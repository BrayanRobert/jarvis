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senvolvimento 01\Desktop\Automação\"/>
    </mc:Choice>
  </mc:AlternateContent>
  <xr:revisionPtr revIDLastSave="0" documentId="13_ncr:1_{F9AB7670-8A54-493E-98A0-7E9104126D48}" xr6:coauthVersionLast="47" xr6:coauthVersionMax="47" xr10:uidLastSave="{00000000-0000-0000-0000-000000000000}"/>
  <bookViews>
    <workbookView xWindow="-28920" yWindow="-15" windowWidth="29040" windowHeight="15840" activeTab="1" xr2:uid="{00000000-000D-0000-FFFF-FFFF00000000}"/>
  </bookViews>
  <sheets>
    <sheet name="unidades" sheetId="9" r:id="rId1"/>
    <sheet name="especialidades" sheetId="11" r:id="rId2"/>
    <sheet name="ocupação" sheetId="5" r:id="rId3"/>
    <sheet name="Grade de horários" sheetId="17" r:id="rId4"/>
    <sheet name="Ocupação DW" sheetId="16" state="hidden" r:id="rId5"/>
    <sheet name="Vagas" sheetId="15" state="hidden" r:id="rId6"/>
    <sheet name="Cadastro" sheetId="12" r:id="rId7"/>
    <sheet name="Controle de vagas" sheetId="10" r:id="rId8"/>
    <sheet name="Conferência provisória" sheetId="20" r:id="rId9"/>
  </sheets>
  <functionGroups builtInGroupCount="19"/>
  <definedNames>
    <definedName name="_xlnm._FilterDatabase" localSheetId="3" hidden="1">'Grade de horários'!$A$1:$N$1257</definedName>
    <definedName name="DadosExternos_1" localSheetId="5" hidden="1">Vagas!$A$1:$E$2385</definedName>
    <definedName name="DadosExternos_2" localSheetId="4" hidden="1">'Ocupação DW'!$A$1:$F$6906</definedName>
    <definedName name="DadosExternos_3" localSheetId="2" hidden="1">ocupação!$A$1:$K$2011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" i="5" l="1"/>
  <c r="Q58" i="5"/>
  <c r="Q56" i="5"/>
  <c r="Q55" i="5"/>
  <c r="Q54" i="5"/>
  <c r="Q53" i="5"/>
  <c r="Q50" i="5"/>
  <c r="Q48" i="5"/>
  <c r="Q43" i="5"/>
  <c r="Q41" i="5"/>
  <c r="Q38" i="5"/>
  <c r="Q36" i="5"/>
  <c r="Q34" i="5"/>
  <c r="Q32" i="5"/>
  <c r="Q30" i="5"/>
  <c r="Q27" i="5"/>
  <c r="Q26" i="5"/>
  <c r="Q25" i="5"/>
  <c r="Q22" i="5"/>
  <c r="Q20" i="5"/>
  <c r="Q18" i="5"/>
  <c r="Q15" i="5"/>
  <c r="Q13" i="5"/>
  <c r="Q12" i="5"/>
  <c r="Q10" i="5"/>
  <c r="Q6" i="5"/>
  <c r="B12" i="20"/>
  <c r="B3" i="20"/>
  <c r="M6" i="5"/>
  <c r="M7" i="5"/>
  <c r="M10" i="5"/>
  <c r="M12" i="5"/>
  <c r="M13" i="5"/>
  <c r="M15" i="5"/>
  <c r="M18" i="5"/>
  <c r="M20" i="5"/>
  <c r="M22" i="5"/>
  <c r="M25" i="5"/>
  <c r="M26" i="5"/>
  <c r="M27" i="5"/>
  <c r="M30" i="5"/>
  <c r="M32" i="5"/>
  <c r="M34" i="5"/>
  <c r="M36" i="5"/>
  <c r="M38" i="5"/>
  <c r="M41" i="5"/>
  <c r="M43" i="5"/>
  <c r="M48" i="5"/>
  <c r="M50" i="5"/>
  <c r="M53" i="5"/>
  <c r="M54" i="5"/>
  <c r="M55" i="5"/>
  <c r="M56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6" i="5"/>
  <c r="M77" i="5"/>
  <c r="M79" i="5"/>
  <c r="M80" i="5"/>
  <c r="M81" i="5"/>
  <c r="M82" i="5"/>
  <c r="M83" i="5"/>
  <c r="M85" i="5"/>
  <c r="M86" i="5"/>
  <c r="M88" i="5"/>
  <c r="M89" i="5"/>
  <c r="M90" i="5"/>
  <c r="M91" i="5"/>
  <c r="M92" i="5"/>
  <c r="M93" i="5"/>
  <c r="M95" i="5"/>
  <c r="M101" i="5"/>
  <c r="M103" i="5"/>
  <c r="M110" i="5"/>
  <c r="M111" i="5"/>
  <c r="M113" i="5"/>
  <c r="M114" i="5"/>
  <c r="M115" i="5"/>
  <c r="M116" i="5"/>
  <c r="M117" i="5"/>
  <c r="M119" i="5"/>
  <c r="M120" i="5"/>
  <c r="M121" i="5"/>
  <c r="M123" i="5"/>
  <c r="M125" i="5"/>
  <c r="M126" i="5"/>
  <c r="M127" i="5"/>
  <c r="M128" i="5"/>
  <c r="M129" i="5"/>
  <c r="M130" i="5"/>
  <c r="M131" i="5"/>
  <c r="M132" i="5"/>
  <c r="M133" i="5"/>
  <c r="M134" i="5"/>
  <c r="M136" i="5"/>
  <c r="M139" i="5"/>
  <c r="M140" i="5"/>
  <c r="M141" i="5"/>
  <c r="M142" i="5"/>
  <c r="M143" i="5"/>
  <c r="M144" i="5"/>
  <c r="M145" i="5"/>
  <c r="M146" i="5"/>
  <c r="M147" i="5"/>
  <c r="M149" i="5"/>
  <c r="M152" i="5"/>
  <c r="M153" i="5"/>
  <c r="M154" i="5"/>
  <c r="M155" i="5"/>
  <c r="M157" i="5"/>
  <c r="M159" i="5"/>
  <c r="M165" i="5"/>
  <c r="M166" i="5"/>
  <c r="M167" i="5"/>
  <c r="M169" i="5"/>
  <c r="M171" i="5"/>
  <c r="M173" i="5"/>
  <c r="M177" i="5"/>
  <c r="M179" i="5"/>
  <c r="M181" i="5"/>
  <c r="M184" i="5"/>
  <c r="M187" i="5"/>
  <c r="M188" i="5"/>
  <c r="M191" i="5"/>
  <c r="M193" i="5"/>
  <c r="M195" i="5"/>
  <c r="M196" i="5"/>
  <c r="M198" i="5"/>
  <c r="M200" i="5"/>
  <c r="M202" i="5"/>
  <c r="M203" i="5"/>
  <c r="M205" i="5"/>
  <c r="M207" i="5"/>
  <c r="M208" i="5"/>
  <c r="M212" i="5"/>
  <c r="M213" i="5"/>
  <c r="M215" i="5"/>
  <c r="M218" i="5"/>
  <c r="M220" i="5"/>
  <c r="M222" i="5"/>
  <c r="M224" i="5"/>
  <c r="M225" i="5"/>
  <c r="M227" i="5"/>
  <c r="M229" i="5"/>
  <c r="M230" i="5"/>
  <c r="M231" i="5"/>
  <c r="M232" i="5"/>
  <c r="M233" i="5"/>
  <c r="M235" i="5"/>
  <c r="M237" i="5"/>
  <c r="M238" i="5"/>
  <c r="M239" i="5"/>
  <c r="M241" i="5"/>
  <c r="M246" i="5"/>
  <c r="M247" i="5"/>
  <c r="M248" i="5"/>
  <c r="M249" i="5"/>
  <c r="M250" i="5"/>
  <c r="M251" i="5"/>
  <c r="M253" i="5"/>
  <c r="M255" i="5"/>
  <c r="M257" i="5"/>
  <c r="M258" i="5"/>
  <c r="M259" i="5"/>
  <c r="M260" i="5"/>
  <c r="M261" i="5"/>
  <c r="M263" i="5"/>
  <c r="M265" i="5"/>
  <c r="M266" i="5"/>
  <c r="M268" i="5"/>
  <c r="M269" i="5"/>
  <c r="M270" i="5"/>
  <c r="M271" i="5"/>
  <c r="M272" i="5"/>
  <c r="M273" i="5"/>
  <c r="M275" i="5"/>
  <c r="M278" i="5"/>
  <c r="M279" i="5"/>
  <c r="M280" i="5"/>
  <c r="M281" i="5"/>
  <c r="M282" i="5"/>
  <c r="M283" i="5"/>
  <c r="M284" i="5"/>
  <c r="M285" i="5"/>
  <c r="M286" i="5"/>
  <c r="M288" i="5"/>
  <c r="M289" i="5"/>
  <c r="M292" i="5"/>
  <c r="M293" i="5"/>
  <c r="M294" i="5"/>
  <c r="M295" i="5"/>
  <c r="M296" i="5"/>
  <c r="M297" i="5"/>
  <c r="M298" i="5"/>
  <c r="M300" i="5"/>
  <c r="M301" i="5"/>
  <c r="M302" i="5"/>
  <c r="M303" i="5"/>
  <c r="M304" i="5"/>
  <c r="M306" i="5"/>
  <c r="M307" i="5"/>
  <c r="M309" i="5"/>
  <c r="M310" i="5"/>
  <c r="M312" i="5"/>
  <c r="M313" i="5"/>
  <c r="M314" i="5"/>
  <c r="M315" i="5"/>
  <c r="M316" i="5"/>
  <c r="M317" i="5"/>
  <c r="M319" i="5"/>
  <c r="M320" i="5"/>
  <c r="M321" i="5"/>
  <c r="M322" i="5"/>
  <c r="M323" i="5"/>
  <c r="M324" i="5"/>
  <c r="M325" i="5"/>
  <c r="M326" i="5"/>
  <c r="M328" i="5"/>
  <c r="M329" i="5"/>
  <c r="M330" i="5"/>
  <c r="M331" i="5"/>
  <c r="M333" i="5"/>
  <c r="M334" i="5"/>
  <c r="M335" i="5"/>
  <c r="M337" i="5"/>
  <c r="M338" i="5"/>
  <c r="M340" i="5"/>
  <c r="M341" i="5"/>
  <c r="M342" i="5"/>
  <c r="M343" i="5"/>
  <c r="M344" i="5"/>
  <c r="M346" i="5"/>
  <c r="M347" i="5"/>
  <c r="M348" i="5"/>
  <c r="M349" i="5"/>
  <c r="M350" i="5"/>
  <c r="M351" i="5"/>
  <c r="M352" i="5"/>
  <c r="M353" i="5"/>
  <c r="M354" i="5"/>
  <c r="M356" i="5"/>
  <c r="M357" i="5"/>
  <c r="M358" i="5"/>
  <c r="M359" i="5"/>
  <c r="M361" i="5"/>
  <c r="M362" i="5"/>
  <c r="M363" i="5"/>
  <c r="M365" i="5"/>
  <c r="M366" i="5"/>
  <c r="M368" i="5"/>
  <c r="M369" i="5"/>
  <c r="M370" i="5"/>
  <c r="M372" i="5"/>
  <c r="M374" i="5"/>
  <c r="M375" i="5"/>
  <c r="M376" i="5"/>
  <c r="M377" i="5"/>
  <c r="M379" i="5"/>
  <c r="M380" i="5"/>
  <c r="M382" i="5"/>
  <c r="M384" i="5"/>
  <c r="M386" i="5"/>
  <c r="M388" i="5"/>
  <c r="M389" i="5"/>
  <c r="M390" i="5"/>
  <c r="M395" i="5"/>
  <c r="M396" i="5"/>
  <c r="M397" i="5"/>
  <c r="M398" i="5"/>
  <c r="M400" i="5"/>
  <c r="M401" i="5"/>
  <c r="M402" i="5"/>
  <c r="M404" i="5"/>
  <c r="M406" i="5"/>
  <c r="M407" i="5"/>
  <c r="M408" i="5"/>
  <c r="M410" i="5"/>
  <c r="M412" i="5"/>
  <c r="M413" i="5"/>
  <c r="M414" i="5"/>
  <c r="M415" i="5"/>
  <c r="M416" i="5"/>
  <c r="M418" i="5"/>
  <c r="M419" i="5"/>
  <c r="M420" i="5"/>
  <c r="M421" i="5"/>
  <c r="M423" i="5"/>
  <c r="M424" i="5"/>
  <c r="M426" i="5"/>
  <c r="M428" i="5"/>
  <c r="M429" i="5"/>
  <c r="M431" i="5"/>
  <c r="M434" i="5"/>
  <c r="M436" i="5"/>
  <c r="M437" i="5"/>
  <c r="M441" i="5"/>
  <c r="M444" i="5"/>
  <c r="M445" i="5"/>
  <c r="M447" i="5"/>
  <c r="M450" i="5"/>
  <c r="M452" i="5"/>
  <c r="M453" i="5"/>
  <c r="M455" i="5"/>
  <c r="M457" i="5"/>
  <c r="M458" i="5"/>
  <c r="M460" i="5"/>
  <c r="M462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2" i="5"/>
  <c r="M493" i="5"/>
  <c r="M494" i="5"/>
  <c r="M495" i="5"/>
  <c r="M496" i="5"/>
  <c r="M498" i="5"/>
  <c r="M499" i="5"/>
  <c r="M500" i="5"/>
  <c r="M501" i="5"/>
  <c r="M502" i="5"/>
  <c r="M503" i="5"/>
  <c r="M505" i="5"/>
  <c r="M506" i="5"/>
  <c r="M510" i="5"/>
  <c r="M512" i="5"/>
  <c r="M513" i="5"/>
  <c r="M514" i="5"/>
  <c r="M515" i="5"/>
  <c r="M516" i="5"/>
  <c r="M518" i="5"/>
  <c r="M519" i="5"/>
  <c r="M520" i="5"/>
  <c r="M521" i="5"/>
  <c r="M522" i="5"/>
  <c r="M523" i="5"/>
  <c r="M524" i="5"/>
  <c r="M526" i="5"/>
  <c r="M527" i="5"/>
  <c r="M531" i="5"/>
  <c r="M532" i="5"/>
  <c r="M533" i="5"/>
  <c r="M534" i="5"/>
  <c r="M536" i="5"/>
  <c r="M537" i="5"/>
  <c r="M539" i="5"/>
  <c r="M541" i="5"/>
  <c r="M543" i="5"/>
  <c r="M544" i="5"/>
  <c r="M546" i="5"/>
  <c r="M547" i="5"/>
  <c r="M549" i="5"/>
  <c r="M550" i="5"/>
  <c r="M552" i="5"/>
  <c r="M556" i="5"/>
  <c r="M558" i="5"/>
  <c r="M560" i="5"/>
  <c r="M561" i="5"/>
  <c r="M564" i="5"/>
  <c r="M567" i="5"/>
  <c r="M571" i="5"/>
  <c r="M573" i="5"/>
  <c r="M576" i="5"/>
  <c r="M580" i="5"/>
  <c r="M582" i="5"/>
  <c r="M584" i="5"/>
  <c r="M586" i="5"/>
  <c r="M588" i="5"/>
  <c r="M590" i="5"/>
  <c r="M600" i="5"/>
  <c r="M602" i="5"/>
  <c r="M604" i="5"/>
  <c r="M607" i="5"/>
  <c r="M609" i="5"/>
  <c r="M613" i="5"/>
  <c r="M615" i="5"/>
  <c r="M619" i="5"/>
  <c r="M621" i="5"/>
  <c r="M623" i="5"/>
  <c r="M624" i="5"/>
  <c r="M625" i="5"/>
  <c r="M626" i="5"/>
  <c r="M627" i="5"/>
  <c r="M628" i="5"/>
  <c r="M630" i="5"/>
  <c r="M632" i="5"/>
  <c r="M633" i="5"/>
  <c r="M634" i="5"/>
  <c r="M635" i="5"/>
  <c r="M636" i="5"/>
  <c r="M638" i="5"/>
  <c r="M639" i="5"/>
  <c r="M641" i="5"/>
  <c r="M643" i="5"/>
  <c r="M644" i="5"/>
  <c r="M645" i="5"/>
  <c r="M646" i="5"/>
  <c r="M647" i="5"/>
  <c r="M648" i="5"/>
  <c r="M650" i="5"/>
  <c r="M652" i="5"/>
  <c r="M653" i="5"/>
  <c r="M654" i="5"/>
  <c r="M655" i="5"/>
  <c r="M656" i="5"/>
  <c r="M658" i="5"/>
  <c r="M660" i="5"/>
  <c r="M661" i="5"/>
  <c r="M662" i="5"/>
  <c r="M663" i="5"/>
  <c r="M664" i="5"/>
  <c r="M665" i="5"/>
  <c r="M666" i="5"/>
  <c r="M668" i="5"/>
  <c r="M670" i="5"/>
  <c r="M671" i="5"/>
  <c r="M673" i="5"/>
  <c r="M674" i="5"/>
  <c r="M675" i="5"/>
  <c r="M676" i="5"/>
  <c r="M680" i="5"/>
  <c r="M681" i="5"/>
  <c r="M683" i="5"/>
  <c r="M689" i="5"/>
  <c r="M691" i="5"/>
  <c r="M692" i="5"/>
  <c r="M693" i="5"/>
  <c r="M697" i="5"/>
  <c r="M698" i="5"/>
  <c r="M700" i="5"/>
  <c r="M702" i="5"/>
  <c r="M704" i="5"/>
  <c r="M706" i="5"/>
  <c r="M708" i="5"/>
  <c r="M709" i="5"/>
  <c r="M712" i="5"/>
  <c r="M715" i="5"/>
  <c r="M716" i="5"/>
  <c r="M717" i="5"/>
  <c r="M718" i="5"/>
  <c r="M719" i="5"/>
  <c r="M721" i="5"/>
  <c r="M722" i="5"/>
  <c r="M723" i="5"/>
  <c r="M724" i="5"/>
  <c r="M725" i="5"/>
  <c r="M726" i="5"/>
  <c r="M727" i="5"/>
  <c r="M728" i="5"/>
  <c r="M729" i="5"/>
  <c r="M730" i="5"/>
  <c r="M731" i="5"/>
  <c r="M733" i="5"/>
  <c r="M734" i="5"/>
  <c r="M736" i="5"/>
  <c r="M737" i="5"/>
  <c r="M738" i="5"/>
  <c r="M740" i="5"/>
  <c r="M741" i="5"/>
  <c r="M743" i="5"/>
  <c r="M744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8" i="5"/>
  <c r="M769" i="5"/>
  <c r="M770" i="5"/>
  <c r="M771" i="5"/>
  <c r="M772" i="5"/>
  <c r="M773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1" i="5"/>
  <c r="M792" i="5"/>
  <c r="M793" i="5"/>
  <c r="M795" i="5"/>
  <c r="M796" i="5"/>
  <c r="M797" i="5"/>
  <c r="M799" i="5"/>
  <c r="M800" i="5"/>
  <c r="M801" i="5"/>
  <c r="M803" i="5"/>
  <c r="M804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4" i="5"/>
  <c r="M838" i="5"/>
  <c r="M840" i="5"/>
  <c r="M841" i="5"/>
  <c r="M842" i="5"/>
  <c r="M843" i="5"/>
  <c r="M846" i="5"/>
  <c r="M848" i="5"/>
  <c r="M850" i="5"/>
  <c r="M851" i="5"/>
  <c r="M853" i="5"/>
  <c r="M854" i="5"/>
  <c r="M855" i="5"/>
  <c r="M856" i="5"/>
  <c r="M857" i="5"/>
  <c r="M859" i="5"/>
  <c r="M860" i="5"/>
  <c r="M861" i="5"/>
  <c r="M865" i="5"/>
  <c r="M867" i="5"/>
  <c r="M869" i="5"/>
  <c r="M873" i="5"/>
  <c r="M876" i="5"/>
  <c r="M878" i="5"/>
  <c r="M879" i="5"/>
  <c r="M881" i="5"/>
  <c r="M883" i="5"/>
  <c r="M885" i="5"/>
  <c r="M886" i="5"/>
  <c r="M887" i="5"/>
  <c r="M888" i="5"/>
  <c r="M890" i="5"/>
  <c r="M893" i="5"/>
  <c r="M895" i="5"/>
  <c r="M898" i="5"/>
  <c r="M899" i="5"/>
  <c r="M902" i="5"/>
  <c r="M904" i="5"/>
  <c r="M905" i="5"/>
  <c r="M906" i="5"/>
  <c r="M909" i="5"/>
  <c r="M911" i="5"/>
  <c r="M921" i="5"/>
  <c r="M922" i="5"/>
  <c r="M923" i="5"/>
  <c r="M924" i="5"/>
  <c r="M926" i="5"/>
  <c r="M927" i="5"/>
  <c r="M928" i="5"/>
  <c r="M930" i="5"/>
  <c r="M931" i="5"/>
  <c r="M932" i="5"/>
  <c r="M933" i="5"/>
  <c r="M934" i="5"/>
  <c r="M935" i="5"/>
  <c r="M936" i="5"/>
  <c r="M937" i="5"/>
  <c r="M938" i="5"/>
  <c r="M948" i="5"/>
  <c r="M949" i="5"/>
  <c r="M950" i="5"/>
  <c r="M951" i="5"/>
  <c r="M952" i="5"/>
  <c r="M953" i="5"/>
  <c r="M954" i="5"/>
  <c r="M964" i="5"/>
  <c r="M965" i="5"/>
  <c r="M966" i="5"/>
  <c r="M967" i="5"/>
  <c r="M968" i="5"/>
  <c r="M970" i="5"/>
  <c r="M972" i="5"/>
  <c r="M973" i="5"/>
  <c r="M974" i="5"/>
  <c r="M975" i="5"/>
  <c r="M976" i="5"/>
  <c r="M978" i="5"/>
  <c r="M981" i="5"/>
  <c r="M991" i="5"/>
  <c r="M993" i="5"/>
  <c r="M994" i="5"/>
  <c r="M995" i="5"/>
  <c r="M1001" i="5"/>
  <c r="M1003" i="5"/>
  <c r="M1004" i="5"/>
  <c r="M1005" i="5"/>
  <c r="M1006" i="5"/>
  <c r="M1007" i="5"/>
  <c r="M1008" i="5"/>
  <c r="M1010" i="5"/>
  <c r="M1013" i="5"/>
  <c r="M1014" i="5"/>
  <c r="M1015" i="5"/>
  <c r="M1017" i="5"/>
  <c r="M1018" i="5"/>
  <c r="M1020" i="5"/>
  <c r="M1023" i="5"/>
  <c r="M1024" i="5"/>
  <c r="M1025" i="5"/>
  <c r="M1027" i="5"/>
  <c r="M1029" i="5"/>
  <c r="M1030" i="5"/>
  <c r="M1031" i="5"/>
  <c r="M1033" i="5"/>
  <c r="M1034" i="5"/>
  <c r="M1036" i="5"/>
  <c r="M1037" i="5"/>
  <c r="M1040" i="5"/>
  <c r="M1042" i="5"/>
  <c r="M1043" i="5"/>
  <c r="M1045" i="5"/>
  <c r="M1046" i="5"/>
  <c r="M1049" i="5"/>
  <c r="M1050" i="5"/>
  <c r="M1052" i="5"/>
  <c r="M1053" i="5"/>
  <c r="M1055" i="5"/>
  <c r="M1056" i="5"/>
  <c r="M1058" i="5"/>
  <c r="M1059" i="5"/>
  <c r="M1060" i="5"/>
  <c r="M1062" i="5"/>
  <c r="M1063" i="5"/>
  <c r="M1064" i="5"/>
  <c r="M1067" i="5"/>
  <c r="M1082" i="5"/>
  <c r="M1084" i="5"/>
  <c r="M1088" i="5"/>
  <c r="M1089" i="5"/>
  <c r="M1091" i="5"/>
  <c r="M1094" i="5"/>
  <c r="M1095" i="5"/>
  <c r="M1096" i="5"/>
  <c r="M1101" i="5"/>
  <c r="M1105" i="5"/>
  <c r="M1119" i="5"/>
  <c r="M1121" i="5"/>
  <c r="M1122" i="5"/>
  <c r="M1126" i="5"/>
  <c r="M1128" i="5"/>
  <c r="M1129" i="5"/>
  <c r="M1131" i="5"/>
  <c r="M1133" i="5"/>
  <c r="M1135" i="5"/>
  <c r="M1137" i="5"/>
  <c r="M1140" i="5"/>
  <c r="M1142" i="5"/>
  <c r="M1144" i="5"/>
  <c r="M1146" i="5"/>
  <c r="M1148" i="5"/>
  <c r="M1150" i="5"/>
  <c r="M1153" i="5"/>
  <c r="M1155" i="5"/>
  <c r="M1159" i="5"/>
  <c r="M1161" i="5"/>
  <c r="M1162" i="5"/>
  <c r="M1164" i="5"/>
  <c r="M1166" i="5"/>
  <c r="M1168" i="5"/>
  <c r="M1169" i="5"/>
  <c r="M1170" i="5"/>
  <c r="M1175" i="5"/>
  <c r="M1177" i="5"/>
  <c r="M1180" i="5"/>
  <c r="M1181" i="5"/>
  <c r="M1186" i="5"/>
  <c r="M1189" i="5"/>
  <c r="M1191" i="5"/>
  <c r="M1193" i="5"/>
  <c r="M1195" i="5"/>
  <c r="M1199" i="5"/>
  <c r="M1202" i="5"/>
  <c r="M1203" i="5"/>
  <c r="M1205" i="5"/>
  <c r="M1207" i="5"/>
  <c r="M1210" i="5"/>
  <c r="M1212" i="5"/>
  <c r="M1213" i="5"/>
  <c r="M1215" i="5"/>
  <c r="M1217" i="5"/>
  <c r="M1218" i="5"/>
  <c r="M1219" i="5"/>
  <c r="M1221" i="5"/>
  <c r="M1223" i="5"/>
  <c r="M1224" i="5"/>
  <c r="M1225" i="5"/>
  <c r="M1227" i="5"/>
  <c r="M1229" i="5"/>
  <c r="M1231" i="5"/>
  <c r="M1233" i="5"/>
  <c r="M1235" i="5"/>
  <c r="M1237" i="5"/>
  <c r="M1240" i="5"/>
  <c r="M1241" i="5"/>
  <c r="M1242" i="5"/>
  <c r="M1244" i="5"/>
  <c r="M1246" i="5"/>
  <c r="M1247" i="5"/>
  <c r="M1249" i="5"/>
  <c r="M1250" i="5"/>
  <c r="M1252" i="5"/>
  <c r="M1254" i="5"/>
  <c r="M1255" i="5"/>
  <c r="M1256" i="5"/>
  <c r="M1257" i="5"/>
  <c r="M1258" i="5"/>
  <c r="M1259" i="5"/>
  <c r="M1261" i="5"/>
  <c r="M1263" i="5"/>
  <c r="M1265" i="5"/>
  <c r="M1266" i="5"/>
  <c r="M1267" i="5"/>
  <c r="M1268" i="5"/>
  <c r="M1269" i="5"/>
  <c r="M1270" i="5"/>
  <c r="M1271" i="5"/>
  <c r="M1272" i="5"/>
  <c r="M1274" i="5"/>
  <c r="M1275" i="5"/>
  <c r="M1276" i="5"/>
  <c r="M1277" i="5"/>
  <c r="M1278" i="5"/>
  <c r="M1279" i="5"/>
  <c r="M1280" i="5"/>
  <c r="M1281" i="5"/>
  <c r="M1282" i="5"/>
  <c r="M1283" i="5"/>
  <c r="M1284" i="5"/>
  <c r="M1286" i="5"/>
  <c r="M1289" i="5"/>
  <c r="M1290" i="5"/>
  <c r="M1291" i="5"/>
  <c r="M1292" i="5"/>
  <c r="M1293" i="5"/>
  <c r="M1294" i="5"/>
  <c r="M1295" i="5"/>
  <c r="M1296" i="5"/>
  <c r="M1297" i="5"/>
  <c r="M1298" i="5"/>
  <c r="M1299" i="5"/>
  <c r="M1301" i="5"/>
  <c r="M1302" i="5"/>
  <c r="M1305" i="5"/>
  <c r="M1306" i="5"/>
  <c r="M1308" i="5"/>
  <c r="M1310" i="5"/>
  <c r="M1311" i="5"/>
  <c r="M1312" i="5"/>
  <c r="M1313" i="5"/>
  <c r="M1314" i="5"/>
  <c r="M1315" i="5"/>
  <c r="M1316" i="5"/>
  <c r="M1317" i="5"/>
  <c r="M1319" i="5"/>
  <c r="M1320" i="5"/>
  <c r="M1322" i="5"/>
  <c r="M1323" i="5"/>
  <c r="M1324" i="5"/>
  <c r="M1325" i="5"/>
  <c r="M1326" i="5"/>
  <c r="M1328" i="5"/>
  <c r="M1329" i="5"/>
  <c r="M1330" i="5"/>
  <c r="M1331" i="5"/>
  <c r="M1332" i="5"/>
  <c r="M1333" i="5"/>
  <c r="M1334" i="5"/>
  <c r="M1335" i="5"/>
  <c r="M1336" i="5"/>
  <c r="M1337" i="5"/>
  <c r="M1338" i="5"/>
  <c r="M1340" i="5"/>
  <c r="M1342" i="5"/>
  <c r="M1343" i="5"/>
  <c r="M1344" i="5"/>
  <c r="M1345" i="5"/>
  <c r="M1346" i="5"/>
  <c r="M1347" i="5"/>
  <c r="M1349" i="5"/>
  <c r="M1350" i="5"/>
  <c r="M1351" i="5"/>
  <c r="M1352" i="5"/>
  <c r="M1354" i="5"/>
  <c r="M1355" i="5"/>
  <c r="M1357" i="5"/>
  <c r="M1358" i="5"/>
  <c r="M1360" i="5"/>
  <c r="M1361" i="5"/>
  <c r="M1362" i="5"/>
  <c r="M1364" i="5"/>
  <c r="M1365" i="5"/>
  <c r="M1366" i="5"/>
  <c r="M1367" i="5"/>
  <c r="M1369" i="5"/>
  <c r="M1370" i="5"/>
  <c r="M1372" i="5"/>
  <c r="M1373" i="5"/>
  <c r="M1375" i="5"/>
  <c r="M1377" i="5"/>
  <c r="M1378" i="5"/>
  <c r="M1381" i="5"/>
  <c r="M1382" i="5"/>
  <c r="M1383" i="5"/>
  <c r="M1384" i="5"/>
  <c r="M1385" i="5"/>
  <c r="M1387" i="5"/>
  <c r="M1388" i="5"/>
  <c r="M1389" i="5"/>
  <c r="M1390" i="5"/>
  <c r="M1393" i="5"/>
  <c r="M1395" i="5"/>
  <c r="M1396" i="5"/>
  <c r="M1398" i="5"/>
  <c r="M1400" i="5"/>
  <c r="M1401" i="5"/>
  <c r="M1404" i="5"/>
  <c r="M1405" i="5"/>
  <c r="M1408" i="5"/>
  <c r="M1409" i="5"/>
  <c r="M1410" i="5"/>
  <c r="M1414" i="5"/>
  <c r="M1415" i="5"/>
  <c r="M1420" i="5"/>
  <c r="M1424" i="5"/>
  <c r="M1425" i="5"/>
  <c r="M1426" i="5"/>
  <c r="M1429" i="5"/>
  <c r="M1432" i="5"/>
  <c r="M1433" i="5"/>
  <c r="M1435" i="5"/>
  <c r="M1436" i="5"/>
  <c r="M1438" i="5"/>
  <c r="M1440" i="5"/>
  <c r="M1441" i="5"/>
  <c r="M1442" i="5"/>
  <c r="M1444" i="5"/>
  <c r="M1446" i="5"/>
  <c r="M1447" i="5"/>
  <c r="M1449" i="5"/>
  <c r="M1450" i="5"/>
  <c r="M1451" i="5"/>
  <c r="M1452" i="5"/>
  <c r="M1455" i="5"/>
  <c r="M1457" i="5"/>
  <c r="M1458" i="5"/>
  <c r="M1460" i="5"/>
  <c r="M1463" i="5"/>
  <c r="M1464" i="5"/>
  <c r="M1465" i="5"/>
  <c r="M1466" i="5"/>
  <c r="M1467" i="5"/>
  <c r="M1468" i="5"/>
  <c r="M1469" i="5"/>
  <c r="M1472" i="5"/>
  <c r="M1473" i="5"/>
  <c r="M1476" i="5"/>
  <c r="M1477" i="5"/>
  <c r="M1478" i="5"/>
  <c r="M1479" i="5"/>
  <c r="M1480" i="5"/>
  <c r="M1482" i="5"/>
  <c r="M1483" i="5"/>
  <c r="M1484" i="5"/>
  <c r="M1485" i="5"/>
  <c r="M1486" i="5"/>
  <c r="M1487" i="5"/>
  <c r="M1488" i="5"/>
  <c r="M1490" i="5"/>
  <c r="M1491" i="5"/>
  <c r="M1492" i="5"/>
  <c r="M1495" i="5"/>
  <c r="M1496" i="5"/>
  <c r="M1497" i="5"/>
  <c r="M1498" i="5"/>
  <c r="M1499" i="5"/>
  <c r="M1500" i="5"/>
  <c r="M1501" i="5"/>
  <c r="M1502" i="5"/>
  <c r="M1503" i="5"/>
  <c r="M1505" i="5"/>
  <c r="M1506" i="5"/>
  <c r="M1509" i="5"/>
  <c r="M1510" i="5"/>
  <c r="M1512" i="5"/>
  <c r="M1513" i="5"/>
  <c r="M1515" i="5"/>
  <c r="M1516" i="5"/>
  <c r="M1517" i="5"/>
  <c r="M1518" i="5"/>
  <c r="M1519" i="5"/>
  <c r="M1520" i="5"/>
  <c r="M1521" i="5"/>
  <c r="M1522" i="5"/>
  <c r="M1527" i="5"/>
  <c r="M1528" i="5"/>
  <c r="M1529" i="5"/>
  <c r="M1531" i="5"/>
  <c r="M1532" i="5"/>
  <c r="M1533" i="5"/>
  <c r="M1534" i="5"/>
  <c r="M1535" i="5"/>
  <c r="M1536" i="5"/>
  <c r="M1539" i="5"/>
  <c r="M1540" i="5"/>
  <c r="M1541" i="5"/>
  <c r="M1544" i="5"/>
  <c r="M1545" i="5"/>
  <c r="M1547" i="5"/>
  <c r="M1549" i="5"/>
  <c r="M1550" i="5"/>
  <c r="M1551" i="5"/>
  <c r="M1553" i="5"/>
  <c r="M1556" i="5"/>
  <c r="M1558" i="5"/>
  <c r="M1560" i="5"/>
  <c r="M1564" i="5"/>
  <c r="M1567" i="5"/>
  <c r="M1569" i="5"/>
  <c r="M1571" i="5"/>
  <c r="M1573" i="5"/>
  <c r="M1574" i="5"/>
  <c r="M1578" i="5"/>
  <c r="M1580" i="5"/>
  <c r="M1582" i="5"/>
  <c r="M1587" i="5"/>
  <c r="M1589" i="5"/>
  <c r="M1591" i="5"/>
  <c r="M1593" i="5"/>
  <c r="M1596" i="5"/>
  <c r="M1598" i="5"/>
  <c r="M1600" i="5"/>
  <c r="M1603" i="5"/>
  <c r="M1604" i="5"/>
  <c r="M1606" i="5"/>
  <c r="M1607" i="5"/>
  <c r="M1611" i="5"/>
  <c r="M1613" i="5"/>
  <c r="M1616" i="5"/>
  <c r="M1618" i="5"/>
  <c r="M1620" i="5"/>
  <c r="M1621" i="5"/>
  <c r="M1622" i="5"/>
  <c r="M1624" i="5"/>
  <c r="M1625" i="5"/>
  <c r="M1626" i="5"/>
  <c r="M1628" i="5"/>
  <c r="M1631" i="5"/>
  <c r="M1632" i="5"/>
  <c r="M1633" i="5"/>
  <c r="M1634" i="5"/>
  <c r="M1635" i="5"/>
  <c r="M1637" i="5"/>
  <c r="M1638" i="5"/>
  <c r="M1639" i="5"/>
  <c r="M1640" i="5"/>
  <c r="M1641" i="5"/>
  <c r="M1643" i="5"/>
  <c r="M1646" i="5"/>
  <c r="M1647" i="5"/>
  <c r="M1649" i="5"/>
  <c r="M1650" i="5"/>
  <c r="M1651" i="5"/>
  <c r="M1653" i="5"/>
  <c r="M1654" i="5"/>
  <c r="M1656" i="5"/>
  <c r="M1657" i="5"/>
  <c r="M1659" i="5"/>
  <c r="M1661" i="5"/>
  <c r="M1662" i="5"/>
  <c r="M1664" i="5"/>
  <c r="M1665" i="5"/>
  <c r="M1666" i="5"/>
  <c r="M1668" i="5"/>
  <c r="M1674" i="5"/>
  <c r="M1675" i="5"/>
  <c r="M1678" i="5"/>
  <c r="M1679" i="5"/>
  <c r="M1681" i="5"/>
  <c r="M1684" i="5"/>
  <c r="M1685" i="5"/>
  <c r="M1686" i="5"/>
  <c r="M1688" i="5"/>
  <c r="M1690" i="5"/>
  <c r="M1691" i="5"/>
  <c r="M1693" i="5"/>
  <c r="M1695" i="5"/>
  <c r="M1697" i="5"/>
  <c r="M1699" i="5"/>
  <c r="M1700" i="5"/>
  <c r="M1701" i="5"/>
  <c r="M1703" i="5"/>
  <c r="M1705" i="5"/>
  <c r="M1706" i="5"/>
  <c r="M1707" i="5"/>
  <c r="M1708" i="5"/>
  <c r="M1710" i="5"/>
  <c r="M1711" i="5"/>
  <c r="M1712" i="5"/>
  <c r="M1713" i="5"/>
  <c r="M1714" i="5"/>
  <c r="M1715" i="5"/>
  <c r="M1716" i="5"/>
  <c r="M1717" i="5"/>
  <c r="M1718" i="5"/>
  <c r="M1719" i="5"/>
  <c r="M1721" i="5"/>
  <c r="M1722" i="5"/>
  <c r="M1723" i="5"/>
  <c r="M1724" i="5"/>
  <c r="M1725" i="5"/>
  <c r="M1726" i="5"/>
  <c r="M1728" i="5"/>
  <c r="M1729" i="5"/>
  <c r="M1730" i="5"/>
  <c r="M1731" i="5"/>
  <c r="M1732" i="5"/>
  <c r="M1733" i="5"/>
  <c r="M1734" i="5"/>
  <c r="M1735" i="5"/>
  <c r="M1736" i="5"/>
  <c r="M1737" i="5"/>
  <c r="M1738" i="5"/>
  <c r="M1739" i="5"/>
  <c r="M1740" i="5"/>
  <c r="M1741" i="5"/>
  <c r="M1742" i="5"/>
  <c r="M1743" i="5"/>
  <c r="M1744" i="5"/>
  <c r="M1745" i="5"/>
  <c r="M1746" i="5"/>
  <c r="M1747" i="5"/>
  <c r="M1748" i="5"/>
  <c r="M1749" i="5"/>
  <c r="M1750" i="5"/>
  <c r="M1751" i="5"/>
  <c r="M1752" i="5"/>
  <c r="M1753" i="5"/>
  <c r="M1754" i="5"/>
  <c r="M1755" i="5"/>
  <c r="M1756" i="5"/>
  <c r="M1757" i="5"/>
  <c r="M1758" i="5"/>
  <c r="M1759" i="5"/>
  <c r="M1760" i="5"/>
  <c r="M1761" i="5"/>
  <c r="M1762" i="5"/>
  <c r="M1763" i="5"/>
  <c r="M1764" i="5"/>
  <c r="M1766" i="5"/>
  <c r="M1768" i="5"/>
  <c r="M1769" i="5"/>
  <c r="M1770" i="5"/>
  <c r="M1771" i="5"/>
  <c r="M1772" i="5"/>
  <c r="M1773" i="5"/>
  <c r="M1774" i="5"/>
  <c r="M1776" i="5"/>
  <c r="M1778" i="5"/>
  <c r="M1779" i="5"/>
  <c r="M1780" i="5"/>
  <c r="M1781" i="5"/>
  <c r="M1782" i="5"/>
  <c r="M1783" i="5"/>
  <c r="M1784" i="5"/>
  <c r="M1786" i="5"/>
  <c r="M1787" i="5"/>
  <c r="M1788" i="5"/>
  <c r="M1789" i="5"/>
  <c r="M1790" i="5"/>
  <c r="M1792" i="5"/>
  <c r="M1793" i="5"/>
  <c r="M1794" i="5"/>
  <c r="M1795" i="5"/>
  <c r="M1796" i="5"/>
  <c r="M1797" i="5"/>
  <c r="M1798" i="5"/>
  <c r="M1799" i="5"/>
  <c r="M1800" i="5"/>
  <c r="M1801" i="5"/>
  <c r="M1802" i="5"/>
  <c r="M1803" i="5"/>
  <c r="M1804" i="5"/>
  <c r="M1806" i="5"/>
  <c r="M1807" i="5"/>
  <c r="M1808" i="5"/>
  <c r="M1809" i="5"/>
  <c r="M1810" i="5"/>
  <c r="M1811" i="5"/>
  <c r="M1812" i="5"/>
  <c r="M1813" i="5"/>
  <c r="M1814" i="5"/>
  <c r="M1815" i="5"/>
  <c r="M1817" i="5"/>
  <c r="M1818" i="5"/>
  <c r="M1819" i="5"/>
  <c r="M1820" i="5"/>
  <c r="M1821" i="5"/>
  <c r="M1822" i="5"/>
  <c r="M1823" i="5"/>
  <c r="M1824" i="5"/>
  <c r="M1825" i="5"/>
  <c r="M1826" i="5"/>
  <c r="M1827" i="5"/>
  <c r="M1828" i="5"/>
  <c r="M1829" i="5"/>
  <c r="M1830" i="5"/>
  <c r="M1831" i="5"/>
  <c r="M1832" i="5"/>
  <c r="M1833" i="5"/>
  <c r="M1834" i="5"/>
  <c r="M1835" i="5"/>
  <c r="M1837" i="5"/>
  <c r="M1839" i="5"/>
  <c r="M1840" i="5"/>
  <c r="M1842" i="5"/>
  <c r="M1845" i="5"/>
  <c r="M1847" i="5"/>
  <c r="M1849" i="5"/>
  <c r="M1851" i="5"/>
  <c r="M1852" i="5"/>
  <c r="M1854" i="5"/>
  <c r="M1856" i="5"/>
  <c r="M1859" i="5"/>
  <c r="M1864" i="5"/>
  <c r="M1881" i="5"/>
  <c r="M1894" i="5"/>
  <c r="M1896" i="5"/>
  <c r="M1899" i="5"/>
  <c r="M1904" i="5"/>
  <c r="M1907" i="5"/>
  <c r="M1909" i="5"/>
  <c r="M1910" i="5"/>
  <c r="M1912" i="5"/>
  <c r="M1916" i="5"/>
  <c r="M1918" i="5"/>
  <c r="M1920" i="5"/>
  <c r="M1921" i="5"/>
  <c r="M1922" i="5"/>
  <c r="M1923" i="5"/>
  <c r="M1924" i="5"/>
  <c r="M1928" i="5"/>
  <c r="M1940" i="5"/>
  <c r="M1951" i="5"/>
  <c r="M1952" i="5"/>
  <c r="M1953" i="5"/>
  <c r="M1954" i="5"/>
  <c r="M1955" i="5"/>
  <c r="M1956" i="5"/>
  <c r="M1957" i="5"/>
  <c r="M1958" i="5"/>
  <c r="M1959" i="5"/>
  <c r="M1960" i="5"/>
  <c r="M1961" i="5"/>
  <c r="M1962" i="5"/>
  <c r="M1963" i="5"/>
  <c r="M1964" i="5"/>
  <c r="M1965" i="5"/>
  <c r="M1966" i="5"/>
  <c r="M1967" i="5"/>
  <c r="M1968" i="5"/>
  <c r="M1969" i="5"/>
  <c r="M1970" i="5"/>
  <c r="M1971" i="5"/>
  <c r="M1972" i="5"/>
  <c r="M1973" i="5"/>
  <c r="M1974" i="5"/>
  <c r="M1975" i="5"/>
  <c r="M1976" i="5"/>
  <c r="M1977" i="5"/>
  <c r="M1988" i="5"/>
  <c r="M2000" i="5"/>
  <c r="M2008" i="5"/>
  <c r="M2009" i="5"/>
  <c r="M2011" i="5"/>
  <c r="N6" i="5"/>
  <c r="N7" i="5"/>
  <c r="N10" i="5"/>
  <c r="N12" i="5"/>
  <c r="N13" i="5"/>
  <c r="N15" i="5"/>
  <c r="N18" i="5"/>
  <c r="N20" i="5"/>
  <c r="N22" i="5"/>
  <c r="N25" i="5"/>
  <c r="N26" i="5"/>
  <c r="N27" i="5"/>
  <c r="N30" i="5"/>
  <c r="N32" i="5"/>
  <c r="N34" i="5"/>
  <c r="N36" i="5"/>
  <c r="N38" i="5"/>
  <c r="N41" i="5"/>
  <c r="N43" i="5"/>
  <c r="N48" i="5"/>
  <c r="N50" i="5"/>
  <c r="N53" i="5"/>
  <c r="N54" i="5"/>
  <c r="N55" i="5"/>
  <c r="N56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6" i="5"/>
  <c r="N77" i="5"/>
  <c r="N79" i="5"/>
  <c r="N80" i="5"/>
  <c r="N81" i="5"/>
  <c r="N82" i="5"/>
  <c r="N83" i="5"/>
  <c r="N85" i="5"/>
  <c r="N86" i="5"/>
  <c r="N88" i="5"/>
  <c r="N89" i="5"/>
  <c r="N90" i="5"/>
  <c r="N91" i="5"/>
  <c r="N92" i="5"/>
  <c r="N93" i="5"/>
  <c r="N95" i="5"/>
  <c r="N101" i="5"/>
  <c r="N103" i="5"/>
  <c r="N110" i="5"/>
  <c r="N111" i="5"/>
  <c r="N113" i="5"/>
  <c r="N114" i="5"/>
  <c r="N115" i="5"/>
  <c r="N116" i="5"/>
  <c r="N117" i="5"/>
  <c r="N119" i="5"/>
  <c r="N120" i="5"/>
  <c r="N121" i="5"/>
  <c r="N123" i="5"/>
  <c r="N125" i="5"/>
  <c r="N126" i="5"/>
  <c r="N127" i="5"/>
  <c r="N128" i="5"/>
  <c r="N129" i="5"/>
  <c r="N130" i="5"/>
  <c r="N131" i="5"/>
  <c r="N132" i="5"/>
  <c r="N133" i="5"/>
  <c r="N134" i="5"/>
  <c r="N136" i="5"/>
  <c r="N139" i="5"/>
  <c r="N140" i="5"/>
  <c r="N141" i="5"/>
  <c r="N142" i="5"/>
  <c r="N143" i="5"/>
  <c r="N144" i="5"/>
  <c r="N145" i="5"/>
  <c r="N146" i="5"/>
  <c r="N147" i="5"/>
  <c r="N149" i="5"/>
  <c r="N152" i="5"/>
  <c r="N153" i="5"/>
  <c r="N154" i="5"/>
  <c r="N155" i="5"/>
  <c r="N157" i="5"/>
  <c r="N159" i="5"/>
  <c r="N165" i="5"/>
  <c r="N166" i="5"/>
  <c r="N167" i="5"/>
  <c r="N169" i="5"/>
  <c r="N171" i="5"/>
  <c r="N173" i="5"/>
  <c r="N177" i="5"/>
  <c r="N179" i="5"/>
  <c r="N181" i="5"/>
  <c r="N184" i="5"/>
  <c r="N187" i="5"/>
  <c r="N188" i="5"/>
  <c r="N191" i="5"/>
  <c r="N193" i="5"/>
  <c r="N195" i="5"/>
  <c r="N196" i="5"/>
  <c r="N198" i="5"/>
  <c r="N200" i="5"/>
  <c r="N202" i="5"/>
  <c r="N203" i="5"/>
  <c r="N205" i="5"/>
  <c r="N207" i="5"/>
  <c r="N208" i="5"/>
  <c r="N212" i="5"/>
  <c r="N213" i="5"/>
  <c r="N215" i="5"/>
  <c r="N218" i="5"/>
  <c r="N220" i="5"/>
  <c r="N222" i="5"/>
  <c r="N224" i="5"/>
  <c r="N225" i="5"/>
  <c r="N227" i="5"/>
  <c r="N229" i="5"/>
  <c r="N230" i="5"/>
  <c r="N231" i="5"/>
  <c r="N232" i="5"/>
  <c r="N233" i="5"/>
  <c r="N235" i="5"/>
  <c r="N237" i="5"/>
  <c r="N238" i="5"/>
  <c r="N239" i="5"/>
  <c r="N241" i="5"/>
  <c r="N246" i="5"/>
  <c r="N247" i="5"/>
  <c r="N248" i="5"/>
  <c r="N249" i="5"/>
  <c r="N250" i="5"/>
  <c r="N251" i="5"/>
  <c r="N253" i="5"/>
  <c r="N255" i="5"/>
  <c r="N257" i="5"/>
  <c r="N258" i="5"/>
  <c r="N259" i="5"/>
  <c r="N260" i="5"/>
  <c r="N261" i="5"/>
  <c r="N263" i="5"/>
  <c r="N265" i="5"/>
  <c r="N266" i="5"/>
  <c r="N268" i="5"/>
  <c r="N269" i="5"/>
  <c r="N270" i="5"/>
  <c r="N271" i="5"/>
  <c r="N272" i="5"/>
  <c r="N273" i="5"/>
  <c r="N275" i="5"/>
  <c r="N278" i="5"/>
  <c r="N279" i="5"/>
  <c r="N280" i="5"/>
  <c r="N281" i="5"/>
  <c r="N282" i="5"/>
  <c r="N283" i="5"/>
  <c r="N284" i="5"/>
  <c r="N285" i="5"/>
  <c r="N286" i="5"/>
  <c r="N288" i="5"/>
  <c r="N289" i="5"/>
  <c r="N292" i="5"/>
  <c r="N293" i="5"/>
  <c r="N294" i="5"/>
  <c r="N295" i="5"/>
  <c r="N296" i="5"/>
  <c r="N297" i="5"/>
  <c r="N298" i="5"/>
  <c r="N300" i="5"/>
  <c r="N301" i="5"/>
  <c r="N302" i="5"/>
  <c r="N303" i="5"/>
  <c r="N304" i="5"/>
  <c r="N306" i="5"/>
  <c r="N307" i="5"/>
  <c r="N309" i="5"/>
  <c r="N310" i="5"/>
  <c r="N312" i="5"/>
  <c r="N313" i="5"/>
  <c r="N314" i="5"/>
  <c r="N315" i="5"/>
  <c r="N316" i="5"/>
  <c r="N317" i="5"/>
  <c r="N319" i="5"/>
  <c r="N320" i="5"/>
  <c r="N321" i="5"/>
  <c r="N322" i="5"/>
  <c r="N323" i="5"/>
  <c r="N324" i="5"/>
  <c r="N325" i="5"/>
  <c r="N326" i="5"/>
  <c r="N328" i="5"/>
  <c r="N329" i="5"/>
  <c r="N330" i="5"/>
  <c r="N331" i="5"/>
  <c r="N333" i="5"/>
  <c r="N334" i="5"/>
  <c r="N335" i="5"/>
  <c r="N337" i="5"/>
  <c r="N338" i="5"/>
  <c r="N340" i="5"/>
  <c r="N341" i="5"/>
  <c r="N342" i="5"/>
  <c r="N343" i="5"/>
  <c r="N344" i="5"/>
  <c r="N346" i="5"/>
  <c r="N347" i="5"/>
  <c r="N348" i="5"/>
  <c r="N349" i="5"/>
  <c r="N350" i="5"/>
  <c r="N351" i="5"/>
  <c r="N352" i="5"/>
  <c r="N353" i="5"/>
  <c r="N354" i="5"/>
  <c r="N356" i="5"/>
  <c r="N357" i="5"/>
  <c r="N358" i="5"/>
  <c r="N359" i="5"/>
  <c r="N361" i="5"/>
  <c r="N362" i="5"/>
  <c r="N363" i="5"/>
  <c r="N365" i="5"/>
  <c r="N366" i="5"/>
  <c r="N368" i="5"/>
  <c r="N369" i="5"/>
  <c r="N370" i="5"/>
  <c r="N372" i="5"/>
  <c r="N374" i="5"/>
  <c r="N375" i="5"/>
  <c r="N376" i="5"/>
  <c r="N377" i="5"/>
  <c r="N379" i="5"/>
  <c r="N380" i="5"/>
  <c r="N382" i="5"/>
  <c r="N384" i="5"/>
  <c r="N386" i="5"/>
  <c r="N388" i="5"/>
  <c r="N389" i="5"/>
  <c r="N390" i="5"/>
  <c r="N395" i="5"/>
  <c r="N396" i="5"/>
  <c r="N397" i="5"/>
  <c r="N398" i="5"/>
  <c r="N400" i="5"/>
  <c r="N401" i="5"/>
  <c r="N402" i="5"/>
  <c r="N404" i="5"/>
  <c r="N406" i="5"/>
  <c r="N407" i="5"/>
  <c r="N408" i="5"/>
  <c r="N410" i="5"/>
  <c r="N412" i="5"/>
  <c r="N413" i="5"/>
  <c r="N414" i="5"/>
  <c r="N415" i="5"/>
  <c r="N416" i="5"/>
  <c r="N418" i="5"/>
  <c r="N419" i="5"/>
  <c r="N420" i="5"/>
  <c r="N421" i="5"/>
  <c r="N423" i="5"/>
  <c r="N424" i="5"/>
  <c r="N426" i="5"/>
  <c r="N428" i="5"/>
  <c r="N429" i="5"/>
  <c r="N431" i="5"/>
  <c r="N434" i="5"/>
  <c r="N436" i="5"/>
  <c r="N437" i="5"/>
  <c r="N441" i="5"/>
  <c r="N444" i="5"/>
  <c r="N445" i="5"/>
  <c r="N447" i="5"/>
  <c r="N450" i="5"/>
  <c r="N452" i="5"/>
  <c r="N453" i="5"/>
  <c r="N455" i="5"/>
  <c r="N457" i="5"/>
  <c r="N458" i="5"/>
  <c r="N460" i="5"/>
  <c r="N462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2" i="5"/>
  <c r="N493" i="5"/>
  <c r="N494" i="5"/>
  <c r="N495" i="5"/>
  <c r="N496" i="5"/>
  <c r="N498" i="5"/>
  <c r="N499" i="5"/>
  <c r="N500" i="5"/>
  <c r="N501" i="5"/>
  <c r="N502" i="5"/>
  <c r="N503" i="5"/>
  <c r="N505" i="5"/>
  <c r="N506" i="5"/>
  <c r="N510" i="5"/>
  <c r="N512" i="5"/>
  <c r="N513" i="5"/>
  <c r="N514" i="5"/>
  <c r="N515" i="5"/>
  <c r="N516" i="5"/>
  <c r="N518" i="5"/>
  <c r="N519" i="5"/>
  <c r="N520" i="5"/>
  <c r="N521" i="5"/>
  <c r="N522" i="5"/>
  <c r="N523" i="5"/>
  <c r="N524" i="5"/>
  <c r="N526" i="5"/>
  <c r="N527" i="5"/>
  <c r="N531" i="5"/>
  <c r="N532" i="5"/>
  <c r="N533" i="5"/>
  <c r="N534" i="5"/>
  <c r="N536" i="5"/>
  <c r="N537" i="5"/>
  <c r="N539" i="5"/>
  <c r="N541" i="5"/>
  <c r="N543" i="5"/>
  <c r="N544" i="5"/>
  <c r="N546" i="5"/>
  <c r="N547" i="5"/>
  <c r="N549" i="5"/>
  <c r="N550" i="5"/>
  <c r="N552" i="5"/>
  <c r="N556" i="5"/>
  <c r="N558" i="5"/>
  <c r="N560" i="5"/>
  <c r="N561" i="5"/>
  <c r="N564" i="5"/>
  <c r="N567" i="5"/>
  <c r="N571" i="5"/>
  <c r="N573" i="5"/>
  <c r="N576" i="5"/>
  <c r="N580" i="5"/>
  <c r="N582" i="5"/>
  <c r="N584" i="5"/>
  <c r="N586" i="5"/>
  <c r="N588" i="5"/>
  <c r="N590" i="5"/>
  <c r="N600" i="5"/>
  <c r="N602" i="5"/>
  <c r="N604" i="5"/>
  <c r="N607" i="5"/>
  <c r="N609" i="5"/>
  <c r="N613" i="5"/>
  <c r="N615" i="5"/>
  <c r="N619" i="5"/>
  <c r="N621" i="5"/>
  <c r="N623" i="5"/>
  <c r="N624" i="5"/>
  <c r="N625" i="5"/>
  <c r="N626" i="5"/>
  <c r="N627" i="5"/>
  <c r="N628" i="5"/>
  <c r="N630" i="5"/>
  <c r="N632" i="5"/>
  <c r="N633" i="5"/>
  <c r="N634" i="5"/>
  <c r="N635" i="5"/>
  <c r="N636" i="5"/>
  <c r="N638" i="5"/>
  <c r="N639" i="5"/>
  <c r="N641" i="5"/>
  <c r="N643" i="5"/>
  <c r="N644" i="5"/>
  <c r="N645" i="5"/>
  <c r="N646" i="5"/>
  <c r="N647" i="5"/>
  <c r="N648" i="5"/>
  <c r="N650" i="5"/>
  <c r="N652" i="5"/>
  <c r="N653" i="5"/>
  <c r="N654" i="5"/>
  <c r="N655" i="5"/>
  <c r="N656" i="5"/>
  <c r="N658" i="5"/>
  <c r="N660" i="5"/>
  <c r="N661" i="5"/>
  <c r="N662" i="5"/>
  <c r="N663" i="5"/>
  <c r="N664" i="5"/>
  <c r="N665" i="5"/>
  <c r="N666" i="5"/>
  <c r="N668" i="5"/>
  <c r="N670" i="5"/>
  <c r="N671" i="5"/>
  <c r="N673" i="5"/>
  <c r="N674" i="5"/>
  <c r="N675" i="5"/>
  <c r="N676" i="5"/>
  <c r="N680" i="5"/>
  <c r="N681" i="5"/>
  <c r="N683" i="5"/>
  <c r="N689" i="5"/>
  <c r="N691" i="5"/>
  <c r="N692" i="5"/>
  <c r="N693" i="5"/>
  <c r="N697" i="5"/>
  <c r="N698" i="5"/>
  <c r="N700" i="5"/>
  <c r="N702" i="5"/>
  <c r="N704" i="5"/>
  <c r="N706" i="5"/>
  <c r="N708" i="5"/>
  <c r="N709" i="5"/>
  <c r="N712" i="5"/>
  <c r="N715" i="5"/>
  <c r="N716" i="5"/>
  <c r="N717" i="5"/>
  <c r="N718" i="5"/>
  <c r="N719" i="5"/>
  <c r="N721" i="5"/>
  <c r="N722" i="5"/>
  <c r="N723" i="5"/>
  <c r="N724" i="5"/>
  <c r="N725" i="5"/>
  <c r="N726" i="5"/>
  <c r="N727" i="5"/>
  <c r="N728" i="5"/>
  <c r="N729" i="5"/>
  <c r="N730" i="5"/>
  <c r="N731" i="5"/>
  <c r="N733" i="5"/>
  <c r="N734" i="5"/>
  <c r="N736" i="5"/>
  <c r="N737" i="5"/>
  <c r="N738" i="5"/>
  <c r="N740" i="5"/>
  <c r="N741" i="5"/>
  <c r="N743" i="5"/>
  <c r="N744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8" i="5"/>
  <c r="N769" i="5"/>
  <c r="N770" i="5"/>
  <c r="N771" i="5"/>
  <c r="N772" i="5"/>
  <c r="N773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1" i="5"/>
  <c r="N792" i="5"/>
  <c r="N793" i="5"/>
  <c r="N795" i="5"/>
  <c r="N796" i="5"/>
  <c r="N797" i="5"/>
  <c r="N799" i="5"/>
  <c r="N800" i="5"/>
  <c r="N801" i="5"/>
  <c r="N803" i="5"/>
  <c r="N804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4" i="5"/>
  <c r="N838" i="5"/>
  <c r="N840" i="5"/>
  <c r="N841" i="5"/>
  <c r="N842" i="5"/>
  <c r="N843" i="5"/>
  <c r="N846" i="5"/>
  <c r="N848" i="5"/>
  <c r="N850" i="5"/>
  <c r="N851" i="5"/>
  <c r="N853" i="5"/>
  <c r="N854" i="5"/>
  <c r="N855" i="5"/>
  <c r="N856" i="5"/>
  <c r="N857" i="5"/>
  <c r="N859" i="5"/>
  <c r="N860" i="5"/>
  <c r="N861" i="5"/>
  <c r="N865" i="5"/>
  <c r="N867" i="5"/>
  <c r="N869" i="5"/>
  <c r="N873" i="5"/>
  <c r="N876" i="5"/>
  <c r="N878" i="5"/>
  <c r="N879" i="5"/>
  <c r="N881" i="5"/>
  <c r="N883" i="5"/>
  <c r="N885" i="5"/>
  <c r="N886" i="5"/>
  <c r="N887" i="5"/>
  <c r="N888" i="5"/>
  <c r="N890" i="5"/>
  <c r="N893" i="5"/>
  <c r="N895" i="5"/>
  <c r="N898" i="5"/>
  <c r="N899" i="5"/>
  <c r="N902" i="5"/>
  <c r="N904" i="5"/>
  <c r="N905" i="5"/>
  <c r="N906" i="5"/>
  <c r="N909" i="5"/>
  <c r="N911" i="5"/>
  <c r="N921" i="5"/>
  <c r="N922" i="5"/>
  <c r="N923" i="5"/>
  <c r="N924" i="5"/>
  <c r="N926" i="5"/>
  <c r="N927" i="5"/>
  <c r="N928" i="5"/>
  <c r="N930" i="5"/>
  <c r="N931" i="5"/>
  <c r="N932" i="5"/>
  <c r="N933" i="5"/>
  <c r="N934" i="5"/>
  <c r="N935" i="5"/>
  <c r="N936" i="5"/>
  <c r="N937" i="5"/>
  <c r="N938" i="5"/>
  <c r="N948" i="5"/>
  <c r="N949" i="5"/>
  <c r="N950" i="5"/>
  <c r="N951" i="5"/>
  <c r="N952" i="5"/>
  <c r="N953" i="5"/>
  <c r="N954" i="5"/>
  <c r="N964" i="5"/>
  <c r="N965" i="5"/>
  <c r="N966" i="5"/>
  <c r="N967" i="5"/>
  <c r="N968" i="5"/>
  <c r="N970" i="5"/>
  <c r="N972" i="5"/>
  <c r="N973" i="5"/>
  <c r="N974" i="5"/>
  <c r="N975" i="5"/>
  <c r="N976" i="5"/>
  <c r="N978" i="5"/>
  <c r="N981" i="5"/>
  <c r="N991" i="5"/>
  <c r="N993" i="5"/>
  <c r="N994" i="5"/>
  <c r="N995" i="5"/>
  <c r="N1001" i="5"/>
  <c r="N1003" i="5"/>
  <c r="N1004" i="5"/>
  <c r="N1005" i="5"/>
  <c r="N1006" i="5"/>
  <c r="N1007" i="5"/>
  <c r="N1008" i="5"/>
  <c r="N1010" i="5"/>
  <c r="N1013" i="5"/>
  <c r="N1014" i="5"/>
  <c r="N1015" i="5"/>
  <c r="N1017" i="5"/>
  <c r="N1018" i="5"/>
  <c r="N1020" i="5"/>
  <c r="N1023" i="5"/>
  <c r="N1024" i="5"/>
  <c r="N1025" i="5"/>
  <c r="N1027" i="5"/>
  <c r="N1029" i="5"/>
  <c r="N1030" i="5"/>
  <c r="N1031" i="5"/>
  <c r="N1033" i="5"/>
  <c r="N1034" i="5"/>
  <c r="N1036" i="5"/>
  <c r="N1037" i="5"/>
  <c r="N1040" i="5"/>
  <c r="N1042" i="5"/>
  <c r="N1043" i="5"/>
  <c r="N1045" i="5"/>
  <c r="N1046" i="5"/>
  <c r="N1049" i="5"/>
  <c r="N1050" i="5"/>
  <c r="N1052" i="5"/>
  <c r="N1053" i="5"/>
  <c r="N1055" i="5"/>
  <c r="N1056" i="5"/>
  <c r="N1058" i="5"/>
  <c r="N1059" i="5"/>
  <c r="N1060" i="5"/>
  <c r="N1062" i="5"/>
  <c r="N1063" i="5"/>
  <c r="N1064" i="5"/>
  <c r="N1067" i="5"/>
  <c r="N1082" i="5"/>
  <c r="N1084" i="5"/>
  <c r="N1088" i="5"/>
  <c r="N1089" i="5"/>
  <c r="N1091" i="5"/>
  <c r="N1094" i="5"/>
  <c r="N1095" i="5"/>
  <c r="N1096" i="5"/>
  <c r="N1101" i="5"/>
  <c r="N1105" i="5"/>
  <c r="N1119" i="5"/>
  <c r="N1121" i="5"/>
  <c r="N1122" i="5"/>
  <c r="N1126" i="5"/>
  <c r="N1128" i="5"/>
  <c r="N1129" i="5"/>
  <c r="N1131" i="5"/>
  <c r="N1133" i="5"/>
  <c r="N1135" i="5"/>
  <c r="N1137" i="5"/>
  <c r="N1140" i="5"/>
  <c r="N1142" i="5"/>
  <c r="N1144" i="5"/>
  <c r="N1146" i="5"/>
  <c r="N1148" i="5"/>
  <c r="N1150" i="5"/>
  <c r="N1153" i="5"/>
  <c r="N1155" i="5"/>
  <c r="N1159" i="5"/>
  <c r="N1161" i="5"/>
  <c r="N1162" i="5"/>
  <c r="N1164" i="5"/>
  <c r="N1166" i="5"/>
  <c r="N1168" i="5"/>
  <c r="N1169" i="5"/>
  <c r="N1170" i="5"/>
  <c r="N1175" i="5"/>
  <c r="N1177" i="5"/>
  <c r="N1180" i="5"/>
  <c r="N1181" i="5"/>
  <c r="N1186" i="5"/>
  <c r="N1189" i="5"/>
  <c r="N1191" i="5"/>
  <c r="N1193" i="5"/>
  <c r="N1195" i="5"/>
  <c r="N1199" i="5"/>
  <c r="N1202" i="5"/>
  <c r="N1203" i="5"/>
  <c r="N1205" i="5"/>
  <c r="N1207" i="5"/>
  <c r="N1210" i="5"/>
  <c r="N1212" i="5"/>
  <c r="N1213" i="5"/>
  <c r="N1215" i="5"/>
  <c r="N1217" i="5"/>
  <c r="N1218" i="5"/>
  <c r="N1219" i="5"/>
  <c r="N1221" i="5"/>
  <c r="N1223" i="5"/>
  <c r="N1224" i="5"/>
  <c r="N1225" i="5"/>
  <c r="N1227" i="5"/>
  <c r="N1229" i="5"/>
  <c r="N1231" i="5"/>
  <c r="N1233" i="5"/>
  <c r="N1235" i="5"/>
  <c r="N1237" i="5"/>
  <c r="N1240" i="5"/>
  <c r="N1241" i="5"/>
  <c r="N1242" i="5"/>
  <c r="N1244" i="5"/>
  <c r="N1246" i="5"/>
  <c r="N1247" i="5"/>
  <c r="N1249" i="5"/>
  <c r="N1250" i="5"/>
  <c r="N1252" i="5"/>
  <c r="N1254" i="5"/>
  <c r="N1255" i="5"/>
  <c r="N1256" i="5"/>
  <c r="N1257" i="5"/>
  <c r="N1258" i="5"/>
  <c r="N1259" i="5"/>
  <c r="N1261" i="5"/>
  <c r="N1263" i="5"/>
  <c r="N1265" i="5"/>
  <c r="N1266" i="5"/>
  <c r="N1267" i="5"/>
  <c r="N1268" i="5"/>
  <c r="N1269" i="5"/>
  <c r="N1270" i="5"/>
  <c r="N1271" i="5"/>
  <c r="N1272" i="5"/>
  <c r="N1274" i="5"/>
  <c r="N1275" i="5"/>
  <c r="N1276" i="5"/>
  <c r="N1277" i="5"/>
  <c r="N1278" i="5"/>
  <c r="N1279" i="5"/>
  <c r="N1280" i="5"/>
  <c r="N1281" i="5"/>
  <c r="N1282" i="5"/>
  <c r="N1283" i="5"/>
  <c r="N1284" i="5"/>
  <c r="N1286" i="5"/>
  <c r="N1289" i="5"/>
  <c r="N1290" i="5"/>
  <c r="N1291" i="5"/>
  <c r="N1292" i="5"/>
  <c r="N1293" i="5"/>
  <c r="N1294" i="5"/>
  <c r="N1295" i="5"/>
  <c r="N1296" i="5"/>
  <c r="N1297" i="5"/>
  <c r="N1298" i="5"/>
  <c r="N1299" i="5"/>
  <c r="N1301" i="5"/>
  <c r="N1302" i="5"/>
  <c r="N1305" i="5"/>
  <c r="N1306" i="5"/>
  <c r="N1308" i="5"/>
  <c r="N1310" i="5"/>
  <c r="N1311" i="5"/>
  <c r="N1312" i="5"/>
  <c r="N1313" i="5"/>
  <c r="N1314" i="5"/>
  <c r="N1315" i="5"/>
  <c r="N1316" i="5"/>
  <c r="N1317" i="5"/>
  <c r="N1319" i="5"/>
  <c r="N1320" i="5"/>
  <c r="N1322" i="5"/>
  <c r="N1323" i="5"/>
  <c r="N1324" i="5"/>
  <c r="N1325" i="5"/>
  <c r="N1326" i="5"/>
  <c r="N1328" i="5"/>
  <c r="N1329" i="5"/>
  <c r="N1330" i="5"/>
  <c r="N1331" i="5"/>
  <c r="N1332" i="5"/>
  <c r="N1333" i="5"/>
  <c r="N1334" i="5"/>
  <c r="N1335" i="5"/>
  <c r="N1336" i="5"/>
  <c r="N1337" i="5"/>
  <c r="N1338" i="5"/>
  <c r="N1340" i="5"/>
  <c r="N1342" i="5"/>
  <c r="N1343" i="5"/>
  <c r="N1344" i="5"/>
  <c r="N1345" i="5"/>
  <c r="N1346" i="5"/>
  <c r="N1347" i="5"/>
  <c r="N1349" i="5"/>
  <c r="N1350" i="5"/>
  <c r="N1351" i="5"/>
  <c r="N1352" i="5"/>
  <c r="N1354" i="5"/>
  <c r="N1355" i="5"/>
  <c r="N1357" i="5"/>
  <c r="N1358" i="5"/>
  <c r="N1360" i="5"/>
  <c r="N1361" i="5"/>
  <c r="N1362" i="5"/>
  <c r="N1364" i="5"/>
  <c r="N1365" i="5"/>
  <c r="N1366" i="5"/>
  <c r="N1367" i="5"/>
  <c r="N1369" i="5"/>
  <c r="N1370" i="5"/>
  <c r="N1372" i="5"/>
  <c r="N1373" i="5"/>
  <c r="N1375" i="5"/>
  <c r="N1377" i="5"/>
  <c r="N1378" i="5"/>
  <c r="N1381" i="5"/>
  <c r="N1382" i="5"/>
  <c r="N1383" i="5"/>
  <c r="N1384" i="5"/>
  <c r="N1385" i="5"/>
  <c r="N1387" i="5"/>
  <c r="N1388" i="5"/>
  <c r="N1389" i="5"/>
  <c r="N1390" i="5"/>
  <c r="N1393" i="5"/>
  <c r="N1395" i="5"/>
  <c r="N1396" i="5"/>
  <c r="N1398" i="5"/>
  <c r="N1400" i="5"/>
  <c r="N1401" i="5"/>
  <c r="N1404" i="5"/>
  <c r="N1405" i="5"/>
  <c r="N1408" i="5"/>
  <c r="N1409" i="5"/>
  <c r="N1410" i="5"/>
  <c r="N1414" i="5"/>
  <c r="N1415" i="5"/>
  <c r="N1420" i="5"/>
  <c r="N1424" i="5"/>
  <c r="N1425" i="5"/>
  <c r="N1426" i="5"/>
  <c r="N1429" i="5"/>
  <c r="N1432" i="5"/>
  <c r="N1433" i="5"/>
  <c r="N1435" i="5"/>
  <c r="N1436" i="5"/>
  <c r="N1438" i="5"/>
  <c r="N1440" i="5"/>
  <c r="N1441" i="5"/>
  <c r="N1442" i="5"/>
  <c r="N1444" i="5"/>
  <c r="N1446" i="5"/>
  <c r="N1447" i="5"/>
  <c r="N1449" i="5"/>
  <c r="N1450" i="5"/>
  <c r="N1451" i="5"/>
  <c r="N1452" i="5"/>
  <c r="N1455" i="5"/>
  <c r="N1457" i="5"/>
  <c r="N1458" i="5"/>
  <c r="N1460" i="5"/>
  <c r="N1463" i="5"/>
  <c r="N1464" i="5"/>
  <c r="N1465" i="5"/>
  <c r="N1466" i="5"/>
  <c r="N1467" i="5"/>
  <c r="N1468" i="5"/>
  <c r="N1469" i="5"/>
  <c r="N1472" i="5"/>
  <c r="N1473" i="5"/>
  <c r="N1476" i="5"/>
  <c r="N1477" i="5"/>
  <c r="N1478" i="5"/>
  <c r="N1479" i="5"/>
  <c r="N1480" i="5"/>
  <c r="N1482" i="5"/>
  <c r="N1483" i="5"/>
  <c r="N1484" i="5"/>
  <c r="N1485" i="5"/>
  <c r="N1486" i="5"/>
  <c r="N1487" i="5"/>
  <c r="N1488" i="5"/>
  <c r="N1490" i="5"/>
  <c r="N1491" i="5"/>
  <c r="N1492" i="5"/>
  <c r="N1495" i="5"/>
  <c r="N1496" i="5"/>
  <c r="N1497" i="5"/>
  <c r="N1498" i="5"/>
  <c r="N1499" i="5"/>
  <c r="N1500" i="5"/>
  <c r="N1501" i="5"/>
  <c r="N1502" i="5"/>
  <c r="N1503" i="5"/>
  <c r="N1505" i="5"/>
  <c r="N1506" i="5"/>
  <c r="N1509" i="5"/>
  <c r="N1510" i="5"/>
  <c r="N1512" i="5"/>
  <c r="N1513" i="5"/>
  <c r="N1515" i="5"/>
  <c r="N1516" i="5"/>
  <c r="N1517" i="5"/>
  <c r="N1518" i="5"/>
  <c r="N1519" i="5"/>
  <c r="N1520" i="5"/>
  <c r="N1521" i="5"/>
  <c r="N1522" i="5"/>
  <c r="N1527" i="5"/>
  <c r="N1528" i="5"/>
  <c r="N1529" i="5"/>
  <c r="N1531" i="5"/>
  <c r="N1532" i="5"/>
  <c r="N1533" i="5"/>
  <c r="N1534" i="5"/>
  <c r="N1535" i="5"/>
  <c r="N1536" i="5"/>
  <c r="N1539" i="5"/>
  <c r="N1540" i="5"/>
  <c r="N1541" i="5"/>
  <c r="N1544" i="5"/>
  <c r="N1545" i="5"/>
  <c r="N1547" i="5"/>
  <c r="N1549" i="5"/>
  <c r="N1550" i="5"/>
  <c r="N1551" i="5"/>
  <c r="N1553" i="5"/>
  <c r="N1556" i="5"/>
  <c r="N1558" i="5"/>
  <c r="N1560" i="5"/>
  <c r="N1564" i="5"/>
  <c r="N1567" i="5"/>
  <c r="N1569" i="5"/>
  <c r="N1571" i="5"/>
  <c r="N1573" i="5"/>
  <c r="N1574" i="5"/>
  <c r="N1578" i="5"/>
  <c r="N1580" i="5"/>
  <c r="N1582" i="5"/>
  <c r="N1587" i="5"/>
  <c r="N1589" i="5"/>
  <c r="N1591" i="5"/>
  <c r="N1593" i="5"/>
  <c r="N1596" i="5"/>
  <c r="N1598" i="5"/>
  <c r="N1600" i="5"/>
  <c r="N1603" i="5"/>
  <c r="N1604" i="5"/>
  <c r="N1606" i="5"/>
  <c r="N1607" i="5"/>
  <c r="N1611" i="5"/>
  <c r="N1613" i="5"/>
  <c r="N1616" i="5"/>
  <c r="N1618" i="5"/>
  <c r="N1620" i="5"/>
  <c r="N1621" i="5"/>
  <c r="N1622" i="5"/>
  <c r="N1624" i="5"/>
  <c r="N1625" i="5"/>
  <c r="N1626" i="5"/>
  <c r="N1628" i="5"/>
  <c r="N1631" i="5"/>
  <c r="N1632" i="5"/>
  <c r="N1633" i="5"/>
  <c r="N1634" i="5"/>
  <c r="N1635" i="5"/>
  <c r="N1637" i="5"/>
  <c r="N1638" i="5"/>
  <c r="N1639" i="5"/>
  <c r="N1640" i="5"/>
  <c r="N1641" i="5"/>
  <c r="N1643" i="5"/>
  <c r="N1646" i="5"/>
  <c r="N1647" i="5"/>
  <c r="N1649" i="5"/>
  <c r="N1650" i="5"/>
  <c r="N1651" i="5"/>
  <c r="N1653" i="5"/>
  <c r="N1654" i="5"/>
  <c r="N1656" i="5"/>
  <c r="N1657" i="5"/>
  <c r="N1659" i="5"/>
  <c r="N1661" i="5"/>
  <c r="N1662" i="5"/>
  <c r="N1664" i="5"/>
  <c r="N1665" i="5"/>
  <c r="N1666" i="5"/>
  <c r="N1668" i="5"/>
  <c r="N1674" i="5"/>
  <c r="N1675" i="5"/>
  <c r="N1678" i="5"/>
  <c r="N1679" i="5"/>
  <c r="N1681" i="5"/>
  <c r="N1684" i="5"/>
  <c r="N1685" i="5"/>
  <c r="N1686" i="5"/>
  <c r="N1688" i="5"/>
  <c r="N1690" i="5"/>
  <c r="N1691" i="5"/>
  <c r="N1693" i="5"/>
  <c r="N1695" i="5"/>
  <c r="N1697" i="5"/>
  <c r="N1699" i="5"/>
  <c r="N1700" i="5"/>
  <c r="N1701" i="5"/>
  <c r="N1703" i="5"/>
  <c r="N1705" i="5"/>
  <c r="N1706" i="5"/>
  <c r="N1707" i="5"/>
  <c r="N1708" i="5"/>
  <c r="N1710" i="5"/>
  <c r="N1711" i="5"/>
  <c r="N1712" i="5"/>
  <c r="N1713" i="5"/>
  <c r="N1714" i="5"/>
  <c r="N1715" i="5"/>
  <c r="N1716" i="5"/>
  <c r="N1717" i="5"/>
  <c r="N1718" i="5"/>
  <c r="N1719" i="5"/>
  <c r="N1721" i="5"/>
  <c r="N1722" i="5"/>
  <c r="N1723" i="5"/>
  <c r="N1724" i="5"/>
  <c r="N1725" i="5"/>
  <c r="N1726" i="5"/>
  <c r="N1728" i="5"/>
  <c r="N1729" i="5"/>
  <c r="N1730" i="5"/>
  <c r="N1731" i="5"/>
  <c r="N1732" i="5"/>
  <c r="N1733" i="5"/>
  <c r="N1734" i="5"/>
  <c r="N1735" i="5"/>
  <c r="N1736" i="5"/>
  <c r="N1737" i="5"/>
  <c r="N1738" i="5"/>
  <c r="N1739" i="5"/>
  <c r="N1740" i="5"/>
  <c r="N1741" i="5"/>
  <c r="N1742" i="5"/>
  <c r="N1743" i="5"/>
  <c r="N1744" i="5"/>
  <c r="N1745" i="5"/>
  <c r="N1746" i="5"/>
  <c r="N1747" i="5"/>
  <c r="N1748" i="5"/>
  <c r="N1749" i="5"/>
  <c r="N1750" i="5"/>
  <c r="N1751" i="5"/>
  <c r="N1752" i="5"/>
  <c r="N1753" i="5"/>
  <c r="N1754" i="5"/>
  <c r="N1755" i="5"/>
  <c r="N1756" i="5"/>
  <c r="N1757" i="5"/>
  <c r="N1758" i="5"/>
  <c r="N1759" i="5"/>
  <c r="N1760" i="5"/>
  <c r="N1761" i="5"/>
  <c r="N1762" i="5"/>
  <c r="N1763" i="5"/>
  <c r="N1764" i="5"/>
  <c r="N1766" i="5"/>
  <c r="N1768" i="5"/>
  <c r="N1769" i="5"/>
  <c r="N1770" i="5"/>
  <c r="N1771" i="5"/>
  <c r="N1772" i="5"/>
  <c r="N1773" i="5"/>
  <c r="N1774" i="5"/>
  <c r="N1776" i="5"/>
  <c r="N1778" i="5"/>
  <c r="N1779" i="5"/>
  <c r="N1780" i="5"/>
  <c r="N1781" i="5"/>
  <c r="N1782" i="5"/>
  <c r="N1783" i="5"/>
  <c r="N1784" i="5"/>
  <c r="N1786" i="5"/>
  <c r="N1787" i="5"/>
  <c r="N1788" i="5"/>
  <c r="N1789" i="5"/>
  <c r="N1790" i="5"/>
  <c r="N1792" i="5"/>
  <c r="N1793" i="5"/>
  <c r="N1794" i="5"/>
  <c r="N1795" i="5"/>
  <c r="N1796" i="5"/>
  <c r="N1797" i="5"/>
  <c r="N1798" i="5"/>
  <c r="N1799" i="5"/>
  <c r="N1800" i="5"/>
  <c r="N1801" i="5"/>
  <c r="N1802" i="5"/>
  <c r="N1803" i="5"/>
  <c r="N1804" i="5"/>
  <c r="N1806" i="5"/>
  <c r="N1807" i="5"/>
  <c r="N1808" i="5"/>
  <c r="N1809" i="5"/>
  <c r="N1810" i="5"/>
  <c r="N1811" i="5"/>
  <c r="N1812" i="5"/>
  <c r="N1813" i="5"/>
  <c r="N1814" i="5"/>
  <c r="N1815" i="5"/>
  <c r="N1817" i="5"/>
  <c r="N1818" i="5"/>
  <c r="N1819" i="5"/>
  <c r="N1820" i="5"/>
  <c r="N1821" i="5"/>
  <c r="N1822" i="5"/>
  <c r="N1823" i="5"/>
  <c r="N1824" i="5"/>
  <c r="N1825" i="5"/>
  <c r="N1826" i="5"/>
  <c r="N1827" i="5"/>
  <c r="N1828" i="5"/>
  <c r="N1829" i="5"/>
  <c r="N1830" i="5"/>
  <c r="N1831" i="5"/>
  <c r="N1832" i="5"/>
  <c r="N1833" i="5"/>
  <c r="N1834" i="5"/>
  <c r="N1835" i="5"/>
  <c r="N1837" i="5"/>
  <c r="N1839" i="5"/>
  <c r="N1840" i="5"/>
  <c r="N1842" i="5"/>
  <c r="N1845" i="5"/>
  <c r="N1847" i="5"/>
  <c r="N1849" i="5"/>
  <c r="N1851" i="5"/>
  <c r="N1852" i="5"/>
  <c r="N1854" i="5"/>
  <c r="N1856" i="5"/>
  <c r="N1859" i="5"/>
  <c r="N1864" i="5"/>
  <c r="N1881" i="5"/>
  <c r="N1894" i="5"/>
  <c r="N1896" i="5"/>
  <c r="N1899" i="5"/>
  <c r="N1904" i="5"/>
  <c r="N1907" i="5"/>
  <c r="N1909" i="5"/>
  <c r="N1910" i="5"/>
  <c r="N1912" i="5"/>
  <c r="N1916" i="5"/>
  <c r="N1918" i="5"/>
  <c r="N1920" i="5"/>
  <c r="N1921" i="5"/>
  <c r="N1922" i="5"/>
  <c r="N1923" i="5"/>
  <c r="N1924" i="5"/>
  <c r="N1928" i="5"/>
  <c r="N1940" i="5"/>
  <c r="N1951" i="5"/>
  <c r="N1952" i="5"/>
  <c r="N1953" i="5"/>
  <c r="N1954" i="5"/>
  <c r="N1955" i="5"/>
  <c r="N1956" i="5"/>
  <c r="N1957" i="5"/>
  <c r="N1958" i="5"/>
  <c r="N1959" i="5"/>
  <c r="N1960" i="5"/>
  <c r="N1961" i="5"/>
  <c r="N1962" i="5"/>
  <c r="N1963" i="5"/>
  <c r="N1964" i="5"/>
  <c r="N1965" i="5"/>
  <c r="N1966" i="5"/>
  <c r="N1967" i="5"/>
  <c r="N1968" i="5"/>
  <c r="N1969" i="5"/>
  <c r="N1970" i="5"/>
  <c r="N1971" i="5"/>
  <c r="N1972" i="5"/>
  <c r="N1973" i="5"/>
  <c r="N1974" i="5"/>
  <c r="N1975" i="5"/>
  <c r="N1976" i="5"/>
  <c r="N1977" i="5"/>
  <c r="N1988" i="5"/>
  <c r="N2000" i="5"/>
  <c r="N2008" i="5"/>
  <c r="N2009" i="5"/>
  <c r="N2011" i="5"/>
  <c r="O6" i="5"/>
  <c r="O7" i="5"/>
  <c r="O10" i="5"/>
  <c r="O12" i="5"/>
  <c r="O13" i="5"/>
  <c r="O15" i="5"/>
  <c r="O18" i="5"/>
  <c r="O20" i="5"/>
  <c r="O22" i="5"/>
  <c r="O25" i="5"/>
  <c r="O26" i="5"/>
  <c r="O27" i="5"/>
  <c r="O30" i="5"/>
  <c r="O32" i="5"/>
  <c r="O34" i="5"/>
  <c r="O36" i="5"/>
  <c r="O38" i="5"/>
  <c r="O41" i="5"/>
  <c r="O43" i="5"/>
  <c r="O48" i="5"/>
  <c r="O50" i="5"/>
  <c r="O53" i="5"/>
  <c r="O54" i="5"/>
  <c r="O55" i="5"/>
  <c r="O56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6" i="5"/>
  <c r="O77" i="5"/>
  <c r="O79" i="5"/>
  <c r="O80" i="5"/>
  <c r="O81" i="5"/>
  <c r="O82" i="5"/>
  <c r="O83" i="5"/>
  <c r="O85" i="5"/>
  <c r="O86" i="5"/>
  <c r="O88" i="5"/>
  <c r="O89" i="5"/>
  <c r="O90" i="5"/>
  <c r="O91" i="5"/>
  <c r="O92" i="5"/>
  <c r="O93" i="5"/>
  <c r="O95" i="5"/>
  <c r="O101" i="5"/>
  <c r="O103" i="5"/>
  <c r="O110" i="5"/>
  <c r="O111" i="5"/>
  <c r="O113" i="5"/>
  <c r="O114" i="5"/>
  <c r="O115" i="5"/>
  <c r="O116" i="5"/>
  <c r="O117" i="5"/>
  <c r="O119" i="5"/>
  <c r="O120" i="5"/>
  <c r="O121" i="5"/>
  <c r="O123" i="5"/>
  <c r="O125" i="5"/>
  <c r="O126" i="5"/>
  <c r="O127" i="5"/>
  <c r="O128" i="5"/>
  <c r="O129" i="5"/>
  <c r="O130" i="5"/>
  <c r="O131" i="5"/>
  <c r="O132" i="5"/>
  <c r="O133" i="5"/>
  <c r="O134" i="5"/>
  <c r="O136" i="5"/>
  <c r="O139" i="5"/>
  <c r="O140" i="5"/>
  <c r="O141" i="5"/>
  <c r="O142" i="5"/>
  <c r="O143" i="5"/>
  <c r="O144" i="5"/>
  <c r="O145" i="5"/>
  <c r="O146" i="5"/>
  <c r="O147" i="5"/>
  <c r="O149" i="5"/>
  <c r="O152" i="5"/>
  <c r="O153" i="5"/>
  <c r="O154" i="5"/>
  <c r="O155" i="5"/>
  <c r="O157" i="5"/>
  <c r="O159" i="5"/>
  <c r="O165" i="5"/>
  <c r="O166" i="5"/>
  <c r="O167" i="5"/>
  <c r="O169" i="5"/>
  <c r="O171" i="5"/>
  <c r="O173" i="5"/>
  <c r="O177" i="5"/>
  <c r="O179" i="5"/>
  <c r="O181" i="5"/>
  <c r="O184" i="5"/>
  <c r="O187" i="5"/>
  <c r="O188" i="5"/>
  <c r="O191" i="5"/>
  <c r="O193" i="5"/>
  <c r="O195" i="5"/>
  <c r="O196" i="5"/>
  <c r="O198" i="5"/>
  <c r="O200" i="5"/>
  <c r="O202" i="5"/>
  <c r="O203" i="5"/>
  <c r="O205" i="5"/>
  <c r="O207" i="5"/>
  <c r="O208" i="5"/>
  <c r="O212" i="5"/>
  <c r="O213" i="5"/>
  <c r="O215" i="5"/>
  <c r="O218" i="5"/>
  <c r="O220" i="5"/>
  <c r="O222" i="5"/>
  <c r="O224" i="5"/>
  <c r="O225" i="5"/>
  <c r="O227" i="5"/>
  <c r="O229" i="5"/>
  <c r="O230" i="5"/>
  <c r="O231" i="5"/>
  <c r="O232" i="5"/>
  <c r="O233" i="5"/>
  <c r="O235" i="5"/>
  <c r="O237" i="5"/>
  <c r="O238" i="5"/>
  <c r="O239" i="5"/>
  <c r="O241" i="5"/>
  <c r="O246" i="5"/>
  <c r="O247" i="5"/>
  <c r="O248" i="5"/>
  <c r="O249" i="5"/>
  <c r="O250" i="5"/>
  <c r="O251" i="5"/>
  <c r="O253" i="5"/>
  <c r="O255" i="5"/>
  <c r="O257" i="5"/>
  <c r="O258" i="5"/>
  <c r="O259" i="5"/>
  <c r="O260" i="5"/>
  <c r="O261" i="5"/>
  <c r="O263" i="5"/>
  <c r="O265" i="5"/>
  <c r="O266" i="5"/>
  <c r="O268" i="5"/>
  <c r="O269" i="5"/>
  <c r="O270" i="5"/>
  <c r="O271" i="5"/>
  <c r="O272" i="5"/>
  <c r="O273" i="5"/>
  <c r="O275" i="5"/>
  <c r="O278" i="5"/>
  <c r="O279" i="5"/>
  <c r="O280" i="5"/>
  <c r="O281" i="5"/>
  <c r="O282" i="5"/>
  <c r="O283" i="5"/>
  <c r="O284" i="5"/>
  <c r="O285" i="5"/>
  <c r="O286" i="5"/>
  <c r="O288" i="5"/>
  <c r="O289" i="5"/>
  <c r="O292" i="5"/>
  <c r="O293" i="5"/>
  <c r="O294" i="5"/>
  <c r="O295" i="5"/>
  <c r="O296" i="5"/>
  <c r="O297" i="5"/>
  <c r="O298" i="5"/>
  <c r="O300" i="5"/>
  <c r="O301" i="5"/>
  <c r="O302" i="5"/>
  <c r="O303" i="5"/>
  <c r="O304" i="5"/>
  <c r="O306" i="5"/>
  <c r="O307" i="5"/>
  <c r="O309" i="5"/>
  <c r="O310" i="5"/>
  <c r="O312" i="5"/>
  <c r="O313" i="5"/>
  <c r="O314" i="5"/>
  <c r="O315" i="5"/>
  <c r="O316" i="5"/>
  <c r="O317" i="5"/>
  <c r="O319" i="5"/>
  <c r="O320" i="5"/>
  <c r="O321" i="5"/>
  <c r="O322" i="5"/>
  <c r="O323" i="5"/>
  <c r="O324" i="5"/>
  <c r="O325" i="5"/>
  <c r="O326" i="5"/>
  <c r="O328" i="5"/>
  <c r="O329" i="5"/>
  <c r="O330" i="5"/>
  <c r="O331" i="5"/>
  <c r="O333" i="5"/>
  <c r="O334" i="5"/>
  <c r="O335" i="5"/>
  <c r="O337" i="5"/>
  <c r="O338" i="5"/>
  <c r="O340" i="5"/>
  <c r="O341" i="5"/>
  <c r="O342" i="5"/>
  <c r="O343" i="5"/>
  <c r="O344" i="5"/>
  <c r="O346" i="5"/>
  <c r="O347" i="5"/>
  <c r="O348" i="5"/>
  <c r="O349" i="5"/>
  <c r="O350" i="5"/>
  <c r="O351" i="5"/>
  <c r="O352" i="5"/>
  <c r="O353" i="5"/>
  <c r="O354" i="5"/>
  <c r="O356" i="5"/>
  <c r="O357" i="5"/>
  <c r="O358" i="5"/>
  <c r="O359" i="5"/>
  <c r="O361" i="5"/>
  <c r="O362" i="5"/>
  <c r="O363" i="5"/>
  <c r="O365" i="5"/>
  <c r="O366" i="5"/>
  <c r="O368" i="5"/>
  <c r="O369" i="5"/>
  <c r="O370" i="5"/>
  <c r="O372" i="5"/>
  <c r="O374" i="5"/>
  <c r="O375" i="5"/>
  <c r="O376" i="5"/>
  <c r="O377" i="5"/>
  <c r="O379" i="5"/>
  <c r="O380" i="5"/>
  <c r="O382" i="5"/>
  <c r="O384" i="5"/>
  <c r="O386" i="5"/>
  <c r="O388" i="5"/>
  <c r="O389" i="5"/>
  <c r="O390" i="5"/>
  <c r="O395" i="5"/>
  <c r="O396" i="5"/>
  <c r="O397" i="5"/>
  <c r="O398" i="5"/>
  <c r="O400" i="5"/>
  <c r="O401" i="5"/>
  <c r="O402" i="5"/>
  <c r="O404" i="5"/>
  <c r="O406" i="5"/>
  <c r="O407" i="5"/>
  <c r="O408" i="5"/>
  <c r="O410" i="5"/>
  <c r="O412" i="5"/>
  <c r="O413" i="5"/>
  <c r="O414" i="5"/>
  <c r="O415" i="5"/>
  <c r="O416" i="5"/>
  <c r="O418" i="5"/>
  <c r="O419" i="5"/>
  <c r="O420" i="5"/>
  <c r="O421" i="5"/>
  <c r="O423" i="5"/>
  <c r="O424" i="5"/>
  <c r="O426" i="5"/>
  <c r="O428" i="5"/>
  <c r="O429" i="5"/>
  <c r="O431" i="5"/>
  <c r="O434" i="5"/>
  <c r="O436" i="5"/>
  <c r="O437" i="5"/>
  <c r="O441" i="5"/>
  <c r="O444" i="5"/>
  <c r="O445" i="5"/>
  <c r="O447" i="5"/>
  <c r="O450" i="5"/>
  <c r="O452" i="5"/>
  <c r="O453" i="5"/>
  <c r="O455" i="5"/>
  <c r="O457" i="5"/>
  <c r="O458" i="5"/>
  <c r="O460" i="5"/>
  <c r="O462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2" i="5"/>
  <c r="O493" i="5"/>
  <c r="O494" i="5"/>
  <c r="O495" i="5"/>
  <c r="O496" i="5"/>
  <c r="O498" i="5"/>
  <c r="O499" i="5"/>
  <c r="O500" i="5"/>
  <c r="O501" i="5"/>
  <c r="O502" i="5"/>
  <c r="O503" i="5"/>
  <c r="O505" i="5"/>
  <c r="O506" i="5"/>
  <c r="O510" i="5"/>
  <c r="O512" i="5"/>
  <c r="O513" i="5"/>
  <c r="O514" i="5"/>
  <c r="O515" i="5"/>
  <c r="O516" i="5"/>
  <c r="O518" i="5"/>
  <c r="O519" i="5"/>
  <c r="O520" i="5"/>
  <c r="O521" i="5"/>
  <c r="O522" i="5"/>
  <c r="O523" i="5"/>
  <c r="O524" i="5"/>
  <c r="O526" i="5"/>
  <c r="O527" i="5"/>
  <c r="O531" i="5"/>
  <c r="O532" i="5"/>
  <c r="O533" i="5"/>
  <c r="O534" i="5"/>
  <c r="O536" i="5"/>
  <c r="O537" i="5"/>
  <c r="O539" i="5"/>
  <c r="O541" i="5"/>
  <c r="O543" i="5"/>
  <c r="O544" i="5"/>
  <c r="O546" i="5"/>
  <c r="O547" i="5"/>
  <c r="O549" i="5"/>
  <c r="O550" i="5"/>
  <c r="O552" i="5"/>
  <c r="O556" i="5"/>
  <c r="O558" i="5"/>
  <c r="O560" i="5"/>
  <c r="O561" i="5"/>
  <c r="O564" i="5"/>
  <c r="O567" i="5"/>
  <c r="O571" i="5"/>
  <c r="O573" i="5"/>
  <c r="O576" i="5"/>
  <c r="O580" i="5"/>
  <c r="O582" i="5"/>
  <c r="O584" i="5"/>
  <c r="O586" i="5"/>
  <c r="O588" i="5"/>
  <c r="O590" i="5"/>
  <c r="O600" i="5"/>
  <c r="O602" i="5"/>
  <c r="O604" i="5"/>
  <c r="O607" i="5"/>
  <c r="O609" i="5"/>
  <c r="O613" i="5"/>
  <c r="O615" i="5"/>
  <c r="O619" i="5"/>
  <c r="O621" i="5"/>
  <c r="O623" i="5"/>
  <c r="O624" i="5"/>
  <c r="O625" i="5"/>
  <c r="O626" i="5"/>
  <c r="O627" i="5"/>
  <c r="O628" i="5"/>
  <c r="O630" i="5"/>
  <c r="O632" i="5"/>
  <c r="O633" i="5"/>
  <c r="O634" i="5"/>
  <c r="O635" i="5"/>
  <c r="O636" i="5"/>
  <c r="O638" i="5"/>
  <c r="O639" i="5"/>
  <c r="O641" i="5"/>
  <c r="O643" i="5"/>
  <c r="O644" i="5"/>
  <c r="O645" i="5"/>
  <c r="O646" i="5"/>
  <c r="O647" i="5"/>
  <c r="O648" i="5"/>
  <c r="O650" i="5"/>
  <c r="O652" i="5"/>
  <c r="O653" i="5"/>
  <c r="O654" i="5"/>
  <c r="O655" i="5"/>
  <c r="O656" i="5"/>
  <c r="O658" i="5"/>
  <c r="O660" i="5"/>
  <c r="O661" i="5"/>
  <c r="O662" i="5"/>
  <c r="O663" i="5"/>
  <c r="O664" i="5"/>
  <c r="O665" i="5"/>
  <c r="O666" i="5"/>
  <c r="O668" i="5"/>
  <c r="O670" i="5"/>
  <c r="O671" i="5"/>
  <c r="O673" i="5"/>
  <c r="O674" i="5"/>
  <c r="O675" i="5"/>
  <c r="O676" i="5"/>
  <c r="O680" i="5"/>
  <c r="O681" i="5"/>
  <c r="O683" i="5"/>
  <c r="O689" i="5"/>
  <c r="O691" i="5"/>
  <c r="O692" i="5"/>
  <c r="O693" i="5"/>
  <c r="O697" i="5"/>
  <c r="O698" i="5"/>
  <c r="O700" i="5"/>
  <c r="O702" i="5"/>
  <c r="O704" i="5"/>
  <c r="O706" i="5"/>
  <c r="O708" i="5"/>
  <c r="O709" i="5"/>
  <c r="O712" i="5"/>
  <c r="O715" i="5"/>
  <c r="O716" i="5"/>
  <c r="O717" i="5"/>
  <c r="O718" i="5"/>
  <c r="O719" i="5"/>
  <c r="O721" i="5"/>
  <c r="O722" i="5"/>
  <c r="O723" i="5"/>
  <c r="O724" i="5"/>
  <c r="O725" i="5"/>
  <c r="O726" i="5"/>
  <c r="O727" i="5"/>
  <c r="O728" i="5"/>
  <c r="O729" i="5"/>
  <c r="O730" i="5"/>
  <c r="O731" i="5"/>
  <c r="O733" i="5"/>
  <c r="O734" i="5"/>
  <c r="O736" i="5"/>
  <c r="O737" i="5"/>
  <c r="O738" i="5"/>
  <c r="O740" i="5"/>
  <c r="O741" i="5"/>
  <c r="O743" i="5"/>
  <c r="O744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8" i="5"/>
  <c r="O769" i="5"/>
  <c r="O770" i="5"/>
  <c r="O771" i="5"/>
  <c r="O772" i="5"/>
  <c r="O773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1" i="5"/>
  <c r="O792" i="5"/>
  <c r="O793" i="5"/>
  <c r="O795" i="5"/>
  <c r="O796" i="5"/>
  <c r="O797" i="5"/>
  <c r="O799" i="5"/>
  <c r="O800" i="5"/>
  <c r="O801" i="5"/>
  <c r="O803" i="5"/>
  <c r="O804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4" i="5"/>
  <c r="O838" i="5"/>
  <c r="O840" i="5"/>
  <c r="O841" i="5"/>
  <c r="O842" i="5"/>
  <c r="O843" i="5"/>
  <c r="O846" i="5"/>
  <c r="O848" i="5"/>
  <c r="O850" i="5"/>
  <c r="O851" i="5"/>
  <c r="O853" i="5"/>
  <c r="O854" i="5"/>
  <c r="O855" i="5"/>
  <c r="O856" i="5"/>
  <c r="O857" i="5"/>
  <c r="O859" i="5"/>
  <c r="O860" i="5"/>
  <c r="O861" i="5"/>
  <c r="O865" i="5"/>
  <c r="O867" i="5"/>
  <c r="O869" i="5"/>
  <c r="O873" i="5"/>
  <c r="O876" i="5"/>
  <c r="O878" i="5"/>
  <c r="O879" i="5"/>
  <c r="O881" i="5"/>
  <c r="O883" i="5"/>
  <c r="O885" i="5"/>
  <c r="O886" i="5"/>
  <c r="O887" i="5"/>
  <c r="O888" i="5"/>
  <c r="O890" i="5"/>
  <c r="O893" i="5"/>
  <c r="O895" i="5"/>
  <c r="O898" i="5"/>
  <c r="O899" i="5"/>
  <c r="O902" i="5"/>
  <c r="O904" i="5"/>
  <c r="O905" i="5"/>
  <c r="O906" i="5"/>
  <c r="O909" i="5"/>
  <c r="O911" i="5"/>
  <c r="O921" i="5"/>
  <c r="O922" i="5"/>
  <c r="O923" i="5"/>
  <c r="O924" i="5"/>
  <c r="O926" i="5"/>
  <c r="O927" i="5"/>
  <c r="O928" i="5"/>
  <c r="O930" i="5"/>
  <c r="O931" i="5"/>
  <c r="O932" i="5"/>
  <c r="O933" i="5"/>
  <c r="O934" i="5"/>
  <c r="O935" i="5"/>
  <c r="O936" i="5"/>
  <c r="O937" i="5"/>
  <c r="O938" i="5"/>
  <c r="O948" i="5"/>
  <c r="O949" i="5"/>
  <c r="O950" i="5"/>
  <c r="O951" i="5"/>
  <c r="O952" i="5"/>
  <c r="O953" i="5"/>
  <c r="O954" i="5"/>
  <c r="O964" i="5"/>
  <c r="O965" i="5"/>
  <c r="O966" i="5"/>
  <c r="O967" i="5"/>
  <c r="O968" i="5"/>
  <c r="O970" i="5"/>
  <c r="O972" i="5"/>
  <c r="O973" i="5"/>
  <c r="O974" i="5"/>
  <c r="O975" i="5"/>
  <c r="O976" i="5"/>
  <c r="O978" i="5"/>
  <c r="O981" i="5"/>
  <c r="O991" i="5"/>
  <c r="O993" i="5"/>
  <c r="O994" i="5"/>
  <c r="O995" i="5"/>
  <c r="O1001" i="5"/>
  <c r="O1003" i="5"/>
  <c r="O1004" i="5"/>
  <c r="O1005" i="5"/>
  <c r="O1006" i="5"/>
  <c r="O1007" i="5"/>
  <c r="O1008" i="5"/>
  <c r="O1010" i="5"/>
  <c r="O1013" i="5"/>
  <c r="O1014" i="5"/>
  <c r="O1015" i="5"/>
  <c r="O1017" i="5"/>
  <c r="O1018" i="5"/>
  <c r="O1020" i="5"/>
  <c r="O1023" i="5"/>
  <c r="O1024" i="5"/>
  <c r="O1025" i="5"/>
  <c r="O1027" i="5"/>
  <c r="O1029" i="5"/>
  <c r="O1030" i="5"/>
  <c r="O1031" i="5"/>
  <c r="O1033" i="5"/>
  <c r="O1034" i="5"/>
  <c r="O1036" i="5"/>
  <c r="O1037" i="5"/>
  <c r="O1040" i="5"/>
  <c r="O1042" i="5"/>
  <c r="O1043" i="5"/>
  <c r="O1045" i="5"/>
  <c r="O1046" i="5"/>
  <c r="O1049" i="5"/>
  <c r="O1050" i="5"/>
  <c r="O1052" i="5"/>
  <c r="O1053" i="5"/>
  <c r="O1055" i="5"/>
  <c r="O1056" i="5"/>
  <c r="O1058" i="5"/>
  <c r="O1059" i="5"/>
  <c r="O1060" i="5"/>
  <c r="O1062" i="5"/>
  <c r="O1063" i="5"/>
  <c r="O1064" i="5"/>
  <c r="O1067" i="5"/>
  <c r="O1082" i="5"/>
  <c r="O1084" i="5"/>
  <c r="O1088" i="5"/>
  <c r="O1089" i="5"/>
  <c r="O1091" i="5"/>
  <c r="O1094" i="5"/>
  <c r="O1095" i="5"/>
  <c r="O1096" i="5"/>
  <c r="O1101" i="5"/>
  <c r="O1105" i="5"/>
  <c r="O1119" i="5"/>
  <c r="O1121" i="5"/>
  <c r="O1122" i="5"/>
  <c r="O1126" i="5"/>
  <c r="O1128" i="5"/>
  <c r="O1129" i="5"/>
  <c r="O1131" i="5"/>
  <c r="O1133" i="5"/>
  <c r="O1135" i="5"/>
  <c r="O1137" i="5"/>
  <c r="O1140" i="5"/>
  <c r="O1142" i="5"/>
  <c r="O1144" i="5"/>
  <c r="O1146" i="5"/>
  <c r="O1148" i="5"/>
  <c r="O1150" i="5"/>
  <c r="O1153" i="5"/>
  <c r="O1155" i="5"/>
  <c r="O1159" i="5"/>
  <c r="O1161" i="5"/>
  <c r="O1162" i="5"/>
  <c r="O1164" i="5"/>
  <c r="O1166" i="5"/>
  <c r="O1168" i="5"/>
  <c r="O1169" i="5"/>
  <c r="O1170" i="5"/>
  <c r="O1175" i="5"/>
  <c r="O1177" i="5"/>
  <c r="O1180" i="5"/>
  <c r="O1181" i="5"/>
  <c r="O1186" i="5"/>
  <c r="O1189" i="5"/>
  <c r="O1191" i="5"/>
  <c r="O1193" i="5"/>
  <c r="O1195" i="5"/>
  <c r="O1199" i="5"/>
  <c r="O1202" i="5"/>
  <c r="O1203" i="5"/>
  <c r="O1205" i="5"/>
  <c r="O1207" i="5"/>
  <c r="O1210" i="5"/>
  <c r="O1212" i="5"/>
  <c r="O1213" i="5"/>
  <c r="O1215" i="5"/>
  <c r="O1217" i="5"/>
  <c r="O1218" i="5"/>
  <c r="O1219" i="5"/>
  <c r="O1221" i="5"/>
  <c r="O1223" i="5"/>
  <c r="O1224" i="5"/>
  <c r="O1225" i="5"/>
  <c r="O1227" i="5"/>
  <c r="O1229" i="5"/>
  <c r="O1231" i="5"/>
  <c r="O1233" i="5"/>
  <c r="O1235" i="5"/>
  <c r="O1237" i="5"/>
  <c r="O1240" i="5"/>
  <c r="O1241" i="5"/>
  <c r="O1242" i="5"/>
  <c r="O1244" i="5"/>
  <c r="O1246" i="5"/>
  <c r="O1247" i="5"/>
  <c r="O1249" i="5"/>
  <c r="O1250" i="5"/>
  <c r="O1252" i="5"/>
  <c r="O1254" i="5"/>
  <c r="O1255" i="5"/>
  <c r="O1256" i="5"/>
  <c r="O1257" i="5"/>
  <c r="O1258" i="5"/>
  <c r="O1259" i="5"/>
  <c r="O1261" i="5"/>
  <c r="O1263" i="5"/>
  <c r="O1265" i="5"/>
  <c r="O1266" i="5"/>
  <c r="O1267" i="5"/>
  <c r="O1268" i="5"/>
  <c r="O1269" i="5"/>
  <c r="O1270" i="5"/>
  <c r="O1271" i="5"/>
  <c r="O1272" i="5"/>
  <c r="O1274" i="5"/>
  <c r="O1275" i="5"/>
  <c r="O1276" i="5"/>
  <c r="O1277" i="5"/>
  <c r="O1278" i="5"/>
  <c r="O1279" i="5"/>
  <c r="O1280" i="5"/>
  <c r="O1281" i="5"/>
  <c r="O1282" i="5"/>
  <c r="O1283" i="5"/>
  <c r="O1284" i="5"/>
  <c r="O1286" i="5"/>
  <c r="O1289" i="5"/>
  <c r="O1290" i="5"/>
  <c r="O1291" i="5"/>
  <c r="O1292" i="5"/>
  <c r="O1293" i="5"/>
  <c r="O1294" i="5"/>
  <c r="O1295" i="5"/>
  <c r="O1296" i="5"/>
  <c r="O1297" i="5"/>
  <c r="O1298" i="5"/>
  <c r="O1299" i="5"/>
  <c r="O1301" i="5"/>
  <c r="O1302" i="5"/>
  <c r="O1305" i="5"/>
  <c r="O1306" i="5"/>
  <c r="O1308" i="5"/>
  <c r="O1310" i="5"/>
  <c r="O1311" i="5"/>
  <c r="O1312" i="5"/>
  <c r="O1313" i="5"/>
  <c r="O1314" i="5"/>
  <c r="O1315" i="5"/>
  <c r="O1316" i="5"/>
  <c r="O1317" i="5"/>
  <c r="O1319" i="5"/>
  <c r="O1320" i="5"/>
  <c r="O1322" i="5"/>
  <c r="O1323" i="5"/>
  <c r="O1324" i="5"/>
  <c r="O1325" i="5"/>
  <c r="O1326" i="5"/>
  <c r="O1328" i="5"/>
  <c r="O1329" i="5"/>
  <c r="O1330" i="5"/>
  <c r="O1331" i="5"/>
  <c r="O1332" i="5"/>
  <c r="O1333" i="5"/>
  <c r="O1334" i="5"/>
  <c r="O1335" i="5"/>
  <c r="O1336" i="5"/>
  <c r="O1337" i="5"/>
  <c r="O1338" i="5"/>
  <c r="O1340" i="5"/>
  <c r="O1342" i="5"/>
  <c r="O1343" i="5"/>
  <c r="O1344" i="5"/>
  <c r="O1345" i="5"/>
  <c r="O1346" i="5"/>
  <c r="O1347" i="5"/>
  <c r="O1349" i="5"/>
  <c r="O1350" i="5"/>
  <c r="O1351" i="5"/>
  <c r="O1352" i="5"/>
  <c r="O1354" i="5"/>
  <c r="O1355" i="5"/>
  <c r="O1357" i="5"/>
  <c r="O1358" i="5"/>
  <c r="O1360" i="5"/>
  <c r="O1361" i="5"/>
  <c r="O1362" i="5"/>
  <c r="O1364" i="5"/>
  <c r="O1365" i="5"/>
  <c r="O1366" i="5"/>
  <c r="O1367" i="5"/>
  <c r="O1369" i="5"/>
  <c r="O1370" i="5"/>
  <c r="O1372" i="5"/>
  <c r="O1373" i="5"/>
  <c r="O1375" i="5"/>
  <c r="O1377" i="5"/>
  <c r="O1378" i="5"/>
  <c r="O1381" i="5"/>
  <c r="O1382" i="5"/>
  <c r="O1383" i="5"/>
  <c r="O1384" i="5"/>
  <c r="O1385" i="5"/>
  <c r="O1387" i="5"/>
  <c r="O1388" i="5"/>
  <c r="O1389" i="5"/>
  <c r="O1390" i="5"/>
  <c r="O1393" i="5"/>
  <c r="O1395" i="5"/>
  <c r="O1396" i="5"/>
  <c r="O1398" i="5"/>
  <c r="O1400" i="5"/>
  <c r="O1401" i="5"/>
  <c r="O1404" i="5"/>
  <c r="O1405" i="5"/>
  <c r="O1408" i="5"/>
  <c r="O1409" i="5"/>
  <c r="O1410" i="5"/>
  <c r="O1414" i="5"/>
  <c r="O1415" i="5"/>
  <c r="O1420" i="5"/>
  <c r="O1424" i="5"/>
  <c r="O1425" i="5"/>
  <c r="O1426" i="5"/>
  <c r="O1429" i="5"/>
  <c r="O1432" i="5"/>
  <c r="O1433" i="5"/>
  <c r="O1435" i="5"/>
  <c r="O1436" i="5"/>
  <c r="O1438" i="5"/>
  <c r="O1440" i="5"/>
  <c r="O1441" i="5"/>
  <c r="O1442" i="5"/>
  <c r="O1444" i="5"/>
  <c r="O1446" i="5"/>
  <c r="O1447" i="5"/>
  <c r="O1449" i="5"/>
  <c r="O1450" i="5"/>
  <c r="O1451" i="5"/>
  <c r="O1452" i="5"/>
  <c r="O1455" i="5"/>
  <c r="O1457" i="5"/>
  <c r="O1458" i="5"/>
  <c r="O1460" i="5"/>
  <c r="O1463" i="5"/>
  <c r="O1464" i="5"/>
  <c r="O1465" i="5"/>
  <c r="O1466" i="5"/>
  <c r="O1467" i="5"/>
  <c r="O1468" i="5"/>
  <c r="O1469" i="5"/>
  <c r="O1472" i="5"/>
  <c r="O1473" i="5"/>
  <c r="O1476" i="5"/>
  <c r="O1477" i="5"/>
  <c r="O1478" i="5"/>
  <c r="O1479" i="5"/>
  <c r="O1480" i="5"/>
  <c r="O1482" i="5"/>
  <c r="O1483" i="5"/>
  <c r="O1484" i="5"/>
  <c r="O1485" i="5"/>
  <c r="O1486" i="5"/>
  <c r="O1487" i="5"/>
  <c r="O1488" i="5"/>
  <c r="O1490" i="5"/>
  <c r="O1491" i="5"/>
  <c r="O1492" i="5"/>
  <c r="O1495" i="5"/>
  <c r="O1496" i="5"/>
  <c r="O1497" i="5"/>
  <c r="O1498" i="5"/>
  <c r="O1499" i="5"/>
  <c r="O1500" i="5"/>
  <c r="O1501" i="5"/>
  <c r="O1502" i="5"/>
  <c r="O1503" i="5"/>
  <c r="O1505" i="5"/>
  <c r="O1506" i="5"/>
  <c r="O1509" i="5"/>
  <c r="O1510" i="5"/>
  <c r="O1512" i="5"/>
  <c r="O1513" i="5"/>
  <c r="O1515" i="5"/>
  <c r="O1516" i="5"/>
  <c r="O1517" i="5"/>
  <c r="O1518" i="5"/>
  <c r="O1519" i="5"/>
  <c r="O1520" i="5"/>
  <c r="O1521" i="5"/>
  <c r="O1522" i="5"/>
  <c r="O1527" i="5"/>
  <c r="O1528" i="5"/>
  <c r="O1529" i="5"/>
  <c r="O1531" i="5"/>
  <c r="O1532" i="5"/>
  <c r="O1533" i="5"/>
  <c r="O1534" i="5"/>
  <c r="O1535" i="5"/>
  <c r="O1536" i="5"/>
  <c r="O1539" i="5"/>
  <c r="O1540" i="5"/>
  <c r="O1541" i="5"/>
  <c r="O1544" i="5"/>
  <c r="O1545" i="5"/>
  <c r="O1547" i="5"/>
  <c r="O1549" i="5"/>
  <c r="O1550" i="5"/>
  <c r="O1551" i="5"/>
  <c r="O1553" i="5"/>
  <c r="O1556" i="5"/>
  <c r="O1558" i="5"/>
  <c r="O1560" i="5"/>
  <c r="O1564" i="5"/>
  <c r="O1567" i="5"/>
  <c r="O1569" i="5"/>
  <c r="O1571" i="5"/>
  <c r="O1573" i="5"/>
  <c r="O1574" i="5"/>
  <c r="O1578" i="5"/>
  <c r="O1580" i="5"/>
  <c r="O1582" i="5"/>
  <c r="O1587" i="5"/>
  <c r="O1589" i="5"/>
  <c r="O1591" i="5"/>
  <c r="O1593" i="5"/>
  <c r="O1596" i="5"/>
  <c r="O1598" i="5"/>
  <c r="O1600" i="5"/>
  <c r="O1603" i="5"/>
  <c r="O1604" i="5"/>
  <c r="O1606" i="5"/>
  <c r="O1607" i="5"/>
  <c r="O1611" i="5"/>
  <c r="O1613" i="5"/>
  <c r="O1616" i="5"/>
  <c r="O1618" i="5"/>
  <c r="O1620" i="5"/>
  <c r="O1621" i="5"/>
  <c r="O1622" i="5"/>
  <c r="O1624" i="5"/>
  <c r="O1625" i="5"/>
  <c r="O1626" i="5"/>
  <c r="O1628" i="5"/>
  <c r="O1631" i="5"/>
  <c r="O1632" i="5"/>
  <c r="O1633" i="5"/>
  <c r="O1634" i="5"/>
  <c r="O1635" i="5"/>
  <c r="O1637" i="5"/>
  <c r="O1638" i="5"/>
  <c r="O1639" i="5"/>
  <c r="O1640" i="5"/>
  <c r="O1641" i="5"/>
  <c r="O1643" i="5"/>
  <c r="O1646" i="5"/>
  <c r="O1647" i="5"/>
  <c r="O1649" i="5"/>
  <c r="O1650" i="5"/>
  <c r="O1651" i="5"/>
  <c r="O1653" i="5"/>
  <c r="O1654" i="5"/>
  <c r="O1656" i="5"/>
  <c r="O1657" i="5"/>
  <c r="O1659" i="5"/>
  <c r="O1661" i="5"/>
  <c r="O1662" i="5"/>
  <c r="O1664" i="5"/>
  <c r="O1665" i="5"/>
  <c r="O1666" i="5"/>
  <c r="O1668" i="5"/>
  <c r="O1674" i="5"/>
  <c r="O1675" i="5"/>
  <c r="O1678" i="5"/>
  <c r="O1679" i="5"/>
  <c r="O1681" i="5"/>
  <c r="O1684" i="5"/>
  <c r="O1685" i="5"/>
  <c r="O1686" i="5"/>
  <c r="O1688" i="5"/>
  <c r="O1690" i="5"/>
  <c r="O1691" i="5"/>
  <c r="O1693" i="5"/>
  <c r="O1695" i="5"/>
  <c r="O1697" i="5"/>
  <c r="O1699" i="5"/>
  <c r="O1700" i="5"/>
  <c r="O1701" i="5"/>
  <c r="O1703" i="5"/>
  <c r="O1705" i="5"/>
  <c r="O1706" i="5"/>
  <c r="O1707" i="5"/>
  <c r="O1708" i="5"/>
  <c r="O1710" i="5"/>
  <c r="O1711" i="5"/>
  <c r="O1712" i="5"/>
  <c r="O1713" i="5"/>
  <c r="O1714" i="5"/>
  <c r="O1715" i="5"/>
  <c r="O1716" i="5"/>
  <c r="O1717" i="5"/>
  <c r="O1718" i="5"/>
  <c r="O1719" i="5"/>
  <c r="O1721" i="5"/>
  <c r="O1722" i="5"/>
  <c r="O1723" i="5"/>
  <c r="O1724" i="5"/>
  <c r="O1725" i="5"/>
  <c r="O1726" i="5"/>
  <c r="O1728" i="5"/>
  <c r="O1729" i="5"/>
  <c r="O1730" i="5"/>
  <c r="O1731" i="5"/>
  <c r="O1732" i="5"/>
  <c r="O1733" i="5"/>
  <c r="O1734" i="5"/>
  <c r="O1735" i="5"/>
  <c r="O1736" i="5"/>
  <c r="O1737" i="5"/>
  <c r="O1738" i="5"/>
  <c r="O1739" i="5"/>
  <c r="O1740" i="5"/>
  <c r="O1741" i="5"/>
  <c r="O1742" i="5"/>
  <c r="O1743" i="5"/>
  <c r="O1744" i="5"/>
  <c r="O1745" i="5"/>
  <c r="O1746" i="5"/>
  <c r="O1747" i="5"/>
  <c r="O1748" i="5"/>
  <c r="O1749" i="5"/>
  <c r="O1750" i="5"/>
  <c r="O1751" i="5"/>
  <c r="O1752" i="5"/>
  <c r="O1753" i="5"/>
  <c r="O1754" i="5"/>
  <c r="O1755" i="5"/>
  <c r="O1756" i="5"/>
  <c r="O1757" i="5"/>
  <c r="O1758" i="5"/>
  <c r="O1759" i="5"/>
  <c r="O1760" i="5"/>
  <c r="O1761" i="5"/>
  <c r="O1762" i="5"/>
  <c r="O1763" i="5"/>
  <c r="O1764" i="5"/>
  <c r="O1766" i="5"/>
  <c r="O1768" i="5"/>
  <c r="O1769" i="5"/>
  <c r="O1770" i="5"/>
  <c r="O1771" i="5"/>
  <c r="O1772" i="5"/>
  <c r="O1773" i="5"/>
  <c r="O1774" i="5"/>
  <c r="O1776" i="5"/>
  <c r="O1778" i="5"/>
  <c r="O1779" i="5"/>
  <c r="O1780" i="5"/>
  <c r="O1781" i="5"/>
  <c r="O1782" i="5"/>
  <c r="O1783" i="5"/>
  <c r="O1784" i="5"/>
  <c r="O1786" i="5"/>
  <c r="O1787" i="5"/>
  <c r="O1788" i="5"/>
  <c r="O1789" i="5"/>
  <c r="O1790" i="5"/>
  <c r="O1792" i="5"/>
  <c r="O1793" i="5"/>
  <c r="O1794" i="5"/>
  <c r="O1795" i="5"/>
  <c r="O1796" i="5"/>
  <c r="O1797" i="5"/>
  <c r="O1798" i="5"/>
  <c r="O1799" i="5"/>
  <c r="O1800" i="5"/>
  <c r="O1801" i="5"/>
  <c r="O1802" i="5"/>
  <c r="O1803" i="5"/>
  <c r="O1804" i="5"/>
  <c r="O1806" i="5"/>
  <c r="O1807" i="5"/>
  <c r="O1808" i="5"/>
  <c r="O1809" i="5"/>
  <c r="O1810" i="5"/>
  <c r="O1811" i="5"/>
  <c r="O1812" i="5"/>
  <c r="O1813" i="5"/>
  <c r="O1814" i="5"/>
  <c r="O1815" i="5"/>
  <c r="O1817" i="5"/>
  <c r="O1818" i="5"/>
  <c r="O1819" i="5"/>
  <c r="O1820" i="5"/>
  <c r="O1821" i="5"/>
  <c r="O1822" i="5"/>
  <c r="O1823" i="5"/>
  <c r="O1824" i="5"/>
  <c r="O1825" i="5"/>
  <c r="O1826" i="5"/>
  <c r="O1827" i="5"/>
  <c r="O1828" i="5"/>
  <c r="O1829" i="5"/>
  <c r="O1830" i="5"/>
  <c r="O1831" i="5"/>
  <c r="O1832" i="5"/>
  <c r="O1833" i="5"/>
  <c r="O1834" i="5"/>
  <c r="O1835" i="5"/>
  <c r="O1837" i="5"/>
  <c r="O1839" i="5"/>
  <c r="O1840" i="5"/>
  <c r="O1842" i="5"/>
  <c r="O1845" i="5"/>
  <c r="O1847" i="5"/>
  <c r="O1849" i="5"/>
  <c r="O1851" i="5"/>
  <c r="O1852" i="5"/>
  <c r="O1854" i="5"/>
  <c r="O1856" i="5"/>
  <c r="O1859" i="5"/>
  <c r="O1864" i="5"/>
  <c r="O1881" i="5"/>
  <c r="O1894" i="5"/>
  <c r="O1896" i="5"/>
  <c r="O1899" i="5"/>
  <c r="O1904" i="5"/>
  <c r="O1907" i="5"/>
  <c r="O1909" i="5"/>
  <c r="O1910" i="5"/>
  <c r="O1912" i="5"/>
  <c r="O1916" i="5"/>
  <c r="O1918" i="5"/>
  <c r="O1920" i="5"/>
  <c r="O1921" i="5"/>
  <c r="O1922" i="5"/>
  <c r="O1923" i="5"/>
  <c r="O1924" i="5"/>
  <c r="O1928" i="5"/>
  <c r="O1940" i="5"/>
  <c r="O1951" i="5"/>
  <c r="O1952" i="5"/>
  <c r="O1953" i="5"/>
  <c r="O1954" i="5"/>
  <c r="O1955" i="5"/>
  <c r="O1956" i="5"/>
  <c r="O1957" i="5"/>
  <c r="O1958" i="5"/>
  <c r="O1959" i="5"/>
  <c r="O1960" i="5"/>
  <c r="O1961" i="5"/>
  <c r="O1962" i="5"/>
  <c r="O1963" i="5"/>
  <c r="O1964" i="5"/>
  <c r="O1965" i="5"/>
  <c r="O1966" i="5"/>
  <c r="O1967" i="5"/>
  <c r="O1968" i="5"/>
  <c r="O1969" i="5"/>
  <c r="O1970" i="5"/>
  <c r="O1971" i="5"/>
  <c r="O1972" i="5"/>
  <c r="O1973" i="5"/>
  <c r="O1974" i="5"/>
  <c r="O1975" i="5"/>
  <c r="O1976" i="5"/>
  <c r="O1977" i="5"/>
  <c r="O1988" i="5"/>
  <c r="O2000" i="5"/>
  <c r="O2008" i="5"/>
  <c r="O2009" i="5"/>
  <c r="O2011" i="5"/>
  <c r="P6" i="5"/>
  <c r="P7" i="5"/>
  <c r="P10" i="5"/>
  <c r="P12" i="5"/>
  <c r="P13" i="5"/>
  <c r="P15" i="5"/>
  <c r="P18" i="5"/>
  <c r="P20" i="5"/>
  <c r="P22" i="5"/>
  <c r="P25" i="5"/>
  <c r="P26" i="5"/>
  <c r="P27" i="5"/>
  <c r="P30" i="5"/>
  <c r="P32" i="5"/>
  <c r="P34" i="5"/>
  <c r="P36" i="5"/>
  <c r="P38" i="5"/>
  <c r="P41" i="5"/>
  <c r="P43" i="5"/>
  <c r="P48" i="5"/>
  <c r="P50" i="5"/>
  <c r="P53" i="5"/>
  <c r="P54" i="5"/>
  <c r="P55" i="5"/>
  <c r="P56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6" i="5"/>
  <c r="P77" i="5"/>
  <c r="P79" i="5"/>
  <c r="P80" i="5"/>
  <c r="P81" i="5"/>
  <c r="P82" i="5"/>
  <c r="P83" i="5"/>
  <c r="P85" i="5"/>
  <c r="P86" i="5"/>
  <c r="P88" i="5"/>
  <c r="P89" i="5"/>
  <c r="P90" i="5"/>
  <c r="P91" i="5"/>
  <c r="P92" i="5"/>
  <c r="P93" i="5"/>
  <c r="P95" i="5"/>
  <c r="P101" i="5"/>
  <c r="P103" i="5"/>
  <c r="P110" i="5"/>
  <c r="P111" i="5"/>
  <c r="P113" i="5"/>
  <c r="P114" i="5"/>
  <c r="P115" i="5"/>
  <c r="P116" i="5"/>
  <c r="P117" i="5"/>
  <c r="P119" i="5"/>
  <c r="P120" i="5"/>
  <c r="P121" i="5"/>
  <c r="P123" i="5"/>
  <c r="P125" i="5"/>
  <c r="P126" i="5"/>
  <c r="P127" i="5"/>
  <c r="P128" i="5"/>
  <c r="P129" i="5"/>
  <c r="P130" i="5"/>
  <c r="P131" i="5"/>
  <c r="P132" i="5"/>
  <c r="P133" i="5"/>
  <c r="P134" i="5"/>
  <c r="P136" i="5"/>
  <c r="P139" i="5"/>
  <c r="P140" i="5"/>
  <c r="P141" i="5"/>
  <c r="P142" i="5"/>
  <c r="P143" i="5"/>
  <c r="P144" i="5"/>
  <c r="P145" i="5"/>
  <c r="P146" i="5"/>
  <c r="P147" i="5"/>
  <c r="P149" i="5"/>
  <c r="P152" i="5"/>
  <c r="P153" i="5"/>
  <c r="P154" i="5"/>
  <c r="P155" i="5"/>
  <c r="P157" i="5"/>
  <c r="P159" i="5"/>
  <c r="P165" i="5"/>
  <c r="P166" i="5"/>
  <c r="P167" i="5"/>
  <c r="P169" i="5"/>
  <c r="P171" i="5"/>
  <c r="P173" i="5"/>
  <c r="P177" i="5"/>
  <c r="P179" i="5"/>
  <c r="P181" i="5"/>
  <c r="P184" i="5"/>
  <c r="P187" i="5"/>
  <c r="P188" i="5"/>
  <c r="P191" i="5"/>
  <c r="P193" i="5"/>
  <c r="P195" i="5"/>
  <c r="P196" i="5"/>
  <c r="P198" i="5"/>
  <c r="P200" i="5"/>
  <c r="P202" i="5"/>
  <c r="P203" i="5"/>
  <c r="P205" i="5"/>
  <c r="P207" i="5"/>
  <c r="P208" i="5"/>
  <c r="P212" i="5"/>
  <c r="P213" i="5"/>
  <c r="P215" i="5"/>
  <c r="P218" i="5"/>
  <c r="P220" i="5"/>
  <c r="P222" i="5"/>
  <c r="P224" i="5"/>
  <c r="P225" i="5"/>
  <c r="P227" i="5"/>
  <c r="P229" i="5"/>
  <c r="P230" i="5"/>
  <c r="P231" i="5"/>
  <c r="P232" i="5"/>
  <c r="P233" i="5"/>
  <c r="P235" i="5"/>
  <c r="P237" i="5"/>
  <c r="P238" i="5"/>
  <c r="P239" i="5"/>
  <c r="P241" i="5"/>
  <c r="P246" i="5"/>
  <c r="P247" i="5"/>
  <c r="P248" i="5"/>
  <c r="P249" i="5"/>
  <c r="P250" i="5"/>
  <c r="P251" i="5"/>
  <c r="P253" i="5"/>
  <c r="P255" i="5"/>
  <c r="P257" i="5"/>
  <c r="P258" i="5"/>
  <c r="P259" i="5"/>
  <c r="P260" i="5"/>
  <c r="P261" i="5"/>
  <c r="P263" i="5"/>
  <c r="P265" i="5"/>
  <c r="P266" i="5"/>
  <c r="P268" i="5"/>
  <c r="P269" i="5"/>
  <c r="P270" i="5"/>
  <c r="P271" i="5"/>
  <c r="P272" i="5"/>
  <c r="P273" i="5"/>
  <c r="P275" i="5"/>
  <c r="P278" i="5"/>
  <c r="P279" i="5"/>
  <c r="P280" i="5"/>
  <c r="P281" i="5"/>
  <c r="P282" i="5"/>
  <c r="P283" i="5"/>
  <c r="P284" i="5"/>
  <c r="P285" i="5"/>
  <c r="P286" i="5"/>
  <c r="P288" i="5"/>
  <c r="P289" i="5"/>
  <c r="P292" i="5"/>
  <c r="P293" i="5"/>
  <c r="P294" i="5"/>
  <c r="P295" i="5"/>
  <c r="P296" i="5"/>
  <c r="P297" i="5"/>
  <c r="P298" i="5"/>
  <c r="P300" i="5"/>
  <c r="P301" i="5"/>
  <c r="P302" i="5"/>
  <c r="P303" i="5"/>
  <c r="P304" i="5"/>
  <c r="P306" i="5"/>
  <c r="P307" i="5"/>
  <c r="P309" i="5"/>
  <c r="P310" i="5"/>
  <c r="P312" i="5"/>
  <c r="P313" i="5"/>
  <c r="P314" i="5"/>
  <c r="P315" i="5"/>
  <c r="P316" i="5"/>
  <c r="P317" i="5"/>
  <c r="P319" i="5"/>
  <c r="P320" i="5"/>
  <c r="P321" i="5"/>
  <c r="P322" i="5"/>
  <c r="P323" i="5"/>
  <c r="P324" i="5"/>
  <c r="P325" i="5"/>
  <c r="P326" i="5"/>
  <c r="P328" i="5"/>
  <c r="P329" i="5"/>
  <c r="P330" i="5"/>
  <c r="P331" i="5"/>
  <c r="P333" i="5"/>
  <c r="P334" i="5"/>
  <c r="P335" i="5"/>
  <c r="P337" i="5"/>
  <c r="P338" i="5"/>
  <c r="P340" i="5"/>
  <c r="P341" i="5"/>
  <c r="P342" i="5"/>
  <c r="P343" i="5"/>
  <c r="P344" i="5"/>
  <c r="P346" i="5"/>
  <c r="P347" i="5"/>
  <c r="P348" i="5"/>
  <c r="P349" i="5"/>
  <c r="P350" i="5"/>
  <c r="P351" i="5"/>
  <c r="P352" i="5"/>
  <c r="P353" i="5"/>
  <c r="P354" i="5"/>
  <c r="P356" i="5"/>
  <c r="P357" i="5"/>
  <c r="P358" i="5"/>
  <c r="P359" i="5"/>
  <c r="P361" i="5"/>
  <c r="P362" i="5"/>
  <c r="P363" i="5"/>
  <c r="P365" i="5"/>
  <c r="P366" i="5"/>
  <c r="P368" i="5"/>
  <c r="P369" i="5"/>
  <c r="P370" i="5"/>
  <c r="P372" i="5"/>
  <c r="P374" i="5"/>
  <c r="P375" i="5"/>
  <c r="P376" i="5"/>
  <c r="P377" i="5"/>
  <c r="P379" i="5"/>
  <c r="P380" i="5"/>
  <c r="P382" i="5"/>
  <c r="P384" i="5"/>
  <c r="P386" i="5"/>
  <c r="P388" i="5"/>
  <c r="P389" i="5"/>
  <c r="P390" i="5"/>
  <c r="P395" i="5"/>
  <c r="P396" i="5"/>
  <c r="P397" i="5"/>
  <c r="P398" i="5"/>
  <c r="P400" i="5"/>
  <c r="P401" i="5"/>
  <c r="P402" i="5"/>
  <c r="P404" i="5"/>
  <c r="P406" i="5"/>
  <c r="P407" i="5"/>
  <c r="P408" i="5"/>
  <c r="P410" i="5"/>
  <c r="P412" i="5"/>
  <c r="P413" i="5"/>
  <c r="P414" i="5"/>
  <c r="P415" i="5"/>
  <c r="P416" i="5"/>
  <c r="P418" i="5"/>
  <c r="P419" i="5"/>
  <c r="P420" i="5"/>
  <c r="P421" i="5"/>
  <c r="P423" i="5"/>
  <c r="P424" i="5"/>
  <c r="P426" i="5"/>
  <c r="P428" i="5"/>
  <c r="P429" i="5"/>
  <c r="P431" i="5"/>
  <c r="P434" i="5"/>
  <c r="P436" i="5"/>
  <c r="P437" i="5"/>
  <c r="P441" i="5"/>
  <c r="P444" i="5"/>
  <c r="P445" i="5"/>
  <c r="P447" i="5"/>
  <c r="P450" i="5"/>
  <c r="P452" i="5"/>
  <c r="P453" i="5"/>
  <c r="P455" i="5"/>
  <c r="P457" i="5"/>
  <c r="P458" i="5"/>
  <c r="P460" i="5"/>
  <c r="P462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2" i="5"/>
  <c r="P493" i="5"/>
  <c r="P494" i="5"/>
  <c r="P495" i="5"/>
  <c r="P496" i="5"/>
  <c r="P498" i="5"/>
  <c r="P499" i="5"/>
  <c r="P500" i="5"/>
  <c r="P501" i="5"/>
  <c r="P502" i="5"/>
  <c r="P503" i="5"/>
  <c r="P505" i="5"/>
  <c r="P506" i="5"/>
  <c r="P510" i="5"/>
  <c r="P512" i="5"/>
  <c r="P513" i="5"/>
  <c r="P514" i="5"/>
  <c r="P515" i="5"/>
  <c r="P516" i="5"/>
  <c r="P518" i="5"/>
  <c r="P519" i="5"/>
  <c r="P520" i="5"/>
  <c r="P521" i="5"/>
  <c r="P522" i="5"/>
  <c r="P523" i="5"/>
  <c r="P524" i="5"/>
  <c r="P526" i="5"/>
  <c r="P527" i="5"/>
  <c r="P531" i="5"/>
  <c r="P532" i="5"/>
  <c r="P533" i="5"/>
  <c r="P534" i="5"/>
  <c r="P536" i="5"/>
  <c r="P537" i="5"/>
  <c r="P539" i="5"/>
  <c r="P541" i="5"/>
  <c r="P543" i="5"/>
  <c r="P544" i="5"/>
  <c r="P546" i="5"/>
  <c r="P547" i="5"/>
  <c r="P549" i="5"/>
  <c r="P550" i="5"/>
  <c r="P552" i="5"/>
  <c r="P556" i="5"/>
  <c r="P558" i="5"/>
  <c r="P560" i="5"/>
  <c r="P561" i="5"/>
  <c r="P564" i="5"/>
  <c r="P567" i="5"/>
  <c r="P571" i="5"/>
  <c r="P573" i="5"/>
  <c r="P576" i="5"/>
  <c r="P580" i="5"/>
  <c r="P582" i="5"/>
  <c r="P584" i="5"/>
  <c r="P586" i="5"/>
  <c r="P588" i="5"/>
  <c r="P590" i="5"/>
  <c r="P600" i="5"/>
  <c r="P602" i="5"/>
  <c r="P604" i="5"/>
  <c r="P607" i="5"/>
  <c r="P609" i="5"/>
  <c r="P613" i="5"/>
  <c r="P615" i="5"/>
  <c r="P619" i="5"/>
  <c r="P621" i="5"/>
  <c r="P623" i="5"/>
  <c r="P624" i="5"/>
  <c r="P625" i="5"/>
  <c r="P626" i="5"/>
  <c r="P627" i="5"/>
  <c r="P628" i="5"/>
  <c r="P630" i="5"/>
  <c r="P632" i="5"/>
  <c r="P633" i="5"/>
  <c r="P634" i="5"/>
  <c r="P635" i="5"/>
  <c r="P636" i="5"/>
  <c r="P638" i="5"/>
  <c r="P639" i="5"/>
  <c r="P641" i="5"/>
  <c r="P643" i="5"/>
  <c r="P644" i="5"/>
  <c r="P645" i="5"/>
  <c r="P646" i="5"/>
  <c r="P647" i="5"/>
  <c r="P648" i="5"/>
  <c r="P650" i="5"/>
  <c r="P652" i="5"/>
  <c r="P653" i="5"/>
  <c r="P654" i="5"/>
  <c r="P655" i="5"/>
  <c r="P656" i="5"/>
  <c r="P658" i="5"/>
  <c r="P660" i="5"/>
  <c r="P661" i="5"/>
  <c r="P662" i="5"/>
  <c r="P663" i="5"/>
  <c r="P664" i="5"/>
  <c r="P665" i="5"/>
  <c r="P666" i="5"/>
  <c r="P668" i="5"/>
  <c r="P670" i="5"/>
  <c r="P671" i="5"/>
  <c r="P673" i="5"/>
  <c r="P674" i="5"/>
  <c r="P675" i="5"/>
  <c r="P676" i="5"/>
  <c r="P680" i="5"/>
  <c r="P681" i="5"/>
  <c r="P683" i="5"/>
  <c r="P689" i="5"/>
  <c r="P691" i="5"/>
  <c r="P692" i="5"/>
  <c r="P693" i="5"/>
  <c r="P697" i="5"/>
  <c r="P698" i="5"/>
  <c r="P700" i="5"/>
  <c r="P702" i="5"/>
  <c r="P704" i="5"/>
  <c r="P706" i="5"/>
  <c r="P708" i="5"/>
  <c r="P709" i="5"/>
  <c r="P712" i="5"/>
  <c r="P715" i="5"/>
  <c r="P716" i="5"/>
  <c r="P717" i="5"/>
  <c r="P718" i="5"/>
  <c r="P719" i="5"/>
  <c r="P721" i="5"/>
  <c r="P722" i="5"/>
  <c r="P723" i="5"/>
  <c r="P724" i="5"/>
  <c r="P725" i="5"/>
  <c r="P726" i="5"/>
  <c r="P727" i="5"/>
  <c r="P728" i="5"/>
  <c r="P729" i="5"/>
  <c r="P730" i="5"/>
  <c r="P731" i="5"/>
  <c r="P733" i="5"/>
  <c r="P734" i="5"/>
  <c r="P736" i="5"/>
  <c r="P737" i="5"/>
  <c r="P738" i="5"/>
  <c r="P740" i="5"/>
  <c r="P741" i="5"/>
  <c r="P743" i="5"/>
  <c r="P744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8" i="5"/>
  <c r="P769" i="5"/>
  <c r="P770" i="5"/>
  <c r="P771" i="5"/>
  <c r="P772" i="5"/>
  <c r="P773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1" i="5"/>
  <c r="P792" i="5"/>
  <c r="P793" i="5"/>
  <c r="P795" i="5"/>
  <c r="P796" i="5"/>
  <c r="P797" i="5"/>
  <c r="P799" i="5"/>
  <c r="P800" i="5"/>
  <c r="P801" i="5"/>
  <c r="P803" i="5"/>
  <c r="P804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4" i="5"/>
  <c r="P838" i="5"/>
  <c r="P840" i="5"/>
  <c r="P841" i="5"/>
  <c r="P842" i="5"/>
  <c r="P843" i="5"/>
  <c r="P846" i="5"/>
  <c r="P848" i="5"/>
  <c r="P850" i="5"/>
  <c r="P851" i="5"/>
  <c r="P853" i="5"/>
  <c r="P854" i="5"/>
  <c r="P855" i="5"/>
  <c r="P856" i="5"/>
  <c r="P857" i="5"/>
  <c r="P859" i="5"/>
  <c r="P860" i="5"/>
  <c r="P861" i="5"/>
  <c r="P865" i="5"/>
  <c r="P867" i="5"/>
  <c r="P869" i="5"/>
  <c r="P873" i="5"/>
  <c r="P876" i="5"/>
  <c r="P878" i="5"/>
  <c r="P879" i="5"/>
  <c r="P881" i="5"/>
  <c r="P883" i="5"/>
  <c r="P885" i="5"/>
  <c r="P886" i="5"/>
  <c r="P887" i="5"/>
  <c r="P888" i="5"/>
  <c r="P890" i="5"/>
  <c r="P893" i="5"/>
  <c r="P895" i="5"/>
  <c r="P898" i="5"/>
  <c r="P899" i="5"/>
  <c r="P902" i="5"/>
  <c r="P904" i="5"/>
  <c r="P905" i="5"/>
  <c r="P906" i="5"/>
  <c r="P909" i="5"/>
  <c r="P911" i="5"/>
  <c r="P921" i="5"/>
  <c r="P922" i="5"/>
  <c r="P923" i="5"/>
  <c r="P924" i="5"/>
  <c r="P926" i="5"/>
  <c r="P927" i="5"/>
  <c r="P928" i="5"/>
  <c r="P930" i="5"/>
  <c r="P931" i="5"/>
  <c r="P932" i="5"/>
  <c r="P933" i="5"/>
  <c r="P934" i="5"/>
  <c r="P935" i="5"/>
  <c r="P936" i="5"/>
  <c r="P937" i="5"/>
  <c r="P938" i="5"/>
  <c r="P948" i="5"/>
  <c r="P949" i="5"/>
  <c r="P950" i="5"/>
  <c r="P951" i="5"/>
  <c r="P952" i="5"/>
  <c r="P953" i="5"/>
  <c r="P954" i="5"/>
  <c r="P964" i="5"/>
  <c r="P965" i="5"/>
  <c r="P966" i="5"/>
  <c r="P967" i="5"/>
  <c r="P968" i="5"/>
  <c r="P970" i="5"/>
  <c r="P972" i="5"/>
  <c r="P973" i="5"/>
  <c r="P974" i="5"/>
  <c r="P975" i="5"/>
  <c r="P976" i="5"/>
  <c r="P978" i="5"/>
  <c r="P981" i="5"/>
  <c r="P991" i="5"/>
  <c r="P993" i="5"/>
  <c r="P994" i="5"/>
  <c r="P995" i="5"/>
  <c r="P1001" i="5"/>
  <c r="P1003" i="5"/>
  <c r="P1004" i="5"/>
  <c r="P1005" i="5"/>
  <c r="P1006" i="5"/>
  <c r="P1007" i="5"/>
  <c r="P1008" i="5"/>
  <c r="P1010" i="5"/>
  <c r="P1013" i="5"/>
  <c r="P1014" i="5"/>
  <c r="P1015" i="5"/>
  <c r="P1017" i="5"/>
  <c r="P1018" i="5"/>
  <c r="P1020" i="5"/>
  <c r="P1023" i="5"/>
  <c r="P1024" i="5"/>
  <c r="P1025" i="5"/>
  <c r="P1027" i="5"/>
  <c r="P1029" i="5"/>
  <c r="P1030" i="5"/>
  <c r="P1031" i="5"/>
  <c r="P1033" i="5"/>
  <c r="P1034" i="5"/>
  <c r="P1036" i="5"/>
  <c r="P1037" i="5"/>
  <c r="P1040" i="5"/>
  <c r="P1042" i="5"/>
  <c r="P1043" i="5"/>
  <c r="P1045" i="5"/>
  <c r="P1046" i="5"/>
  <c r="P1049" i="5"/>
  <c r="P1050" i="5"/>
  <c r="P1052" i="5"/>
  <c r="P1053" i="5"/>
  <c r="P1055" i="5"/>
  <c r="P1056" i="5"/>
  <c r="P1058" i="5"/>
  <c r="P1059" i="5"/>
  <c r="P1060" i="5"/>
  <c r="P1062" i="5"/>
  <c r="P1063" i="5"/>
  <c r="P1064" i="5"/>
  <c r="P1067" i="5"/>
  <c r="P1082" i="5"/>
  <c r="P1084" i="5"/>
  <c r="P1088" i="5"/>
  <c r="P1089" i="5"/>
  <c r="P1091" i="5"/>
  <c r="P1094" i="5"/>
  <c r="P1095" i="5"/>
  <c r="P1096" i="5"/>
  <c r="P1101" i="5"/>
  <c r="P1105" i="5"/>
  <c r="P1119" i="5"/>
  <c r="P1121" i="5"/>
  <c r="P1122" i="5"/>
  <c r="P1126" i="5"/>
  <c r="P1128" i="5"/>
  <c r="P1129" i="5"/>
  <c r="P1131" i="5"/>
  <c r="P1133" i="5"/>
  <c r="P1135" i="5"/>
  <c r="P1137" i="5"/>
  <c r="P1140" i="5"/>
  <c r="P1142" i="5"/>
  <c r="P1144" i="5"/>
  <c r="P1146" i="5"/>
  <c r="P1148" i="5"/>
  <c r="P1150" i="5"/>
  <c r="P1153" i="5"/>
  <c r="P1155" i="5"/>
  <c r="P1159" i="5"/>
  <c r="P1161" i="5"/>
  <c r="P1162" i="5"/>
  <c r="P1164" i="5"/>
  <c r="P1166" i="5"/>
  <c r="P1168" i="5"/>
  <c r="P1169" i="5"/>
  <c r="P1170" i="5"/>
  <c r="P1175" i="5"/>
  <c r="P1177" i="5"/>
  <c r="P1180" i="5"/>
  <c r="P1181" i="5"/>
  <c r="P1186" i="5"/>
  <c r="P1189" i="5"/>
  <c r="P1191" i="5"/>
  <c r="P1193" i="5"/>
  <c r="P1195" i="5"/>
  <c r="P1199" i="5"/>
  <c r="P1202" i="5"/>
  <c r="P1203" i="5"/>
  <c r="P1205" i="5"/>
  <c r="P1207" i="5"/>
  <c r="P1210" i="5"/>
  <c r="P1212" i="5"/>
  <c r="P1213" i="5"/>
  <c r="P1215" i="5"/>
  <c r="P1217" i="5"/>
  <c r="P1218" i="5"/>
  <c r="P1219" i="5"/>
  <c r="P1221" i="5"/>
  <c r="P1223" i="5"/>
  <c r="P1224" i="5"/>
  <c r="P1225" i="5"/>
  <c r="P1227" i="5"/>
  <c r="P1229" i="5"/>
  <c r="P1231" i="5"/>
  <c r="P1233" i="5"/>
  <c r="P1235" i="5"/>
  <c r="P1237" i="5"/>
  <c r="P1240" i="5"/>
  <c r="P1241" i="5"/>
  <c r="P1242" i="5"/>
  <c r="P1244" i="5"/>
  <c r="P1246" i="5"/>
  <c r="P1247" i="5"/>
  <c r="P1249" i="5"/>
  <c r="P1250" i="5"/>
  <c r="P1252" i="5"/>
  <c r="P1254" i="5"/>
  <c r="P1255" i="5"/>
  <c r="P1256" i="5"/>
  <c r="P1257" i="5"/>
  <c r="P1258" i="5"/>
  <c r="P1259" i="5"/>
  <c r="P1261" i="5"/>
  <c r="P1263" i="5"/>
  <c r="P1265" i="5"/>
  <c r="P1266" i="5"/>
  <c r="P1267" i="5"/>
  <c r="P1268" i="5"/>
  <c r="P1269" i="5"/>
  <c r="P1270" i="5"/>
  <c r="P1271" i="5"/>
  <c r="P1272" i="5"/>
  <c r="P1274" i="5"/>
  <c r="P1275" i="5"/>
  <c r="P1276" i="5"/>
  <c r="P1277" i="5"/>
  <c r="P1278" i="5"/>
  <c r="P1279" i="5"/>
  <c r="P1280" i="5"/>
  <c r="P1281" i="5"/>
  <c r="P1282" i="5"/>
  <c r="P1283" i="5"/>
  <c r="P1284" i="5"/>
  <c r="P1286" i="5"/>
  <c r="P1289" i="5"/>
  <c r="P1290" i="5"/>
  <c r="P1291" i="5"/>
  <c r="P1292" i="5"/>
  <c r="P1293" i="5"/>
  <c r="P1294" i="5"/>
  <c r="P1295" i="5"/>
  <c r="P1296" i="5"/>
  <c r="P1297" i="5"/>
  <c r="P1298" i="5"/>
  <c r="P1299" i="5"/>
  <c r="P1301" i="5"/>
  <c r="P1302" i="5"/>
  <c r="P1305" i="5"/>
  <c r="P1306" i="5"/>
  <c r="P1308" i="5"/>
  <c r="P1310" i="5"/>
  <c r="P1311" i="5"/>
  <c r="P1312" i="5"/>
  <c r="P1313" i="5"/>
  <c r="P1314" i="5"/>
  <c r="P1315" i="5"/>
  <c r="P1316" i="5"/>
  <c r="P1317" i="5"/>
  <c r="P1319" i="5"/>
  <c r="P1320" i="5"/>
  <c r="P1322" i="5"/>
  <c r="P1323" i="5"/>
  <c r="P1324" i="5"/>
  <c r="P1325" i="5"/>
  <c r="P1326" i="5"/>
  <c r="P1328" i="5"/>
  <c r="P1329" i="5"/>
  <c r="P1330" i="5"/>
  <c r="P1331" i="5"/>
  <c r="P1332" i="5"/>
  <c r="P1333" i="5"/>
  <c r="P1334" i="5"/>
  <c r="P1335" i="5"/>
  <c r="P1336" i="5"/>
  <c r="P1337" i="5"/>
  <c r="P1338" i="5"/>
  <c r="P1340" i="5"/>
  <c r="P1342" i="5"/>
  <c r="P1343" i="5"/>
  <c r="P1344" i="5"/>
  <c r="P1345" i="5"/>
  <c r="P1346" i="5"/>
  <c r="P1347" i="5"/>
  <c r="P1349" i="5"/>
  <c r="P1350" i="5"/>
  <c r="P1351" i="5"/>
  <c r="P1352" i="5"/>
  <c r="P1354" i="5"/>
  <c r="P1355" i="5"/>
  <c r="P1357" i="5"/>
  <c r="P1358" i="5"/>
  <c r="P1360" i="5"/>
  <c r="P1361" i="5"/>
  <c r="P1362" i="5"/>
  <c r="P1364" i="5"/>
  <c r="P1365" i="5"/>
  <c r="P1366" i="5"/>
  <c r="P1367" i="5"/>
  <c r="P1369" i="5"/>
  <c r="P1370" i="5"/>
  <c r="P1372" i="5"/>
  <c r="P1373" i="5"/>
  <c r="P1375" i="5"/>
  <c r="P1377" i="5"/>
  <c r="P1378" i="5"/>
  <c r="P1381" i="5"/>
  <c r="P1382" i="5"/>
  <c r="P1383" i="5"/>
  <c r="P1384" i="5"/>
  <c r="P1385" i="5"/>
  <c r="P1387" i="5"/>
  <c r="P1388" i="5"/>
  <c r="P1389" i="5"/>
  <c r="P1390" i="5"/>
  <c r="P1393" i="5"/>
  <c r="P1395" i="5"/>
  <c r="P1396" i="5"/>
  <c r="P1398" i="5"/>
  <c r="P1400" i="5"/>
  <c r="P1401" i="5"/>
  <c r="P1404" i="5"/>
  <c r="P1405" i="5"/>
  <c r="P1408" i="5"/>
  <c r="P1409" i="5"/>
  <c r="P1410" i="5"/>
  <c r="P1414" i="5"/>
  <c r="P1415" i="5"/>
  <c r="P1420" i="5"/>
  <c r="P1424" i="5"/>
  <c r="P1425" i="5"/>
  <c r="P1426" i="5"/>
  <c r="P1429" i="5"/>
  <c r="P1432" i="5"/>
  <c r="P1433" i="5"/>
  <c r="P1435" i="5"/>
  <c r="P1436" i="5"/>
  <c r="P1438" i="5"/>
  <c r="P1440" i="5"/>
  <c r="P1441" i="5"/>
  <c r="P1442" i="5"/>
  <c r="P1444" i="5"/>
  <c r="P1446" i="5"/>
  <c r="P1447" i="5"/>
  <c r="P1449" i="5"/>
  <c r="P1450" i="5"/>
  <c r="P1451" i="5"/>
  <c r="P1452" i="5"/>
  <c r="P1455" i="5"/>
  <c r="P1457" i="5"/>
  <c r="P1458" i="5"/>
  <c r="P1460" i="5"/>
  <c r="P1463" i="5"/>
  <c r="P1464" i="5"/>
  <c r="P1465" i="5"/>
  <c r="P1466" i="5"/>
  <c r="P1467" i="5"/>
  <c r="P1468" i="5"/>
  <c r="P1469" i="5"/>
  <c r="P1472" i="5"/>
  <c r="P1473" i="5"/>
  <c r="P1476" i="5"/>
  <c r="P1477" i="5"/>
  <c r="P1478" i="5"/>
  <c r="P1479" i="5"/>
  <c r="P1480" i="5"/>
  <c r="P1482" i="5"/>
  <c r="P1483" i="5"/>
  <c r="P1484" i="5"/>
  <c r="P1485" i="5"/>
  <c r="P1486" i="5"/>
  <c r="P1487" i="5"/>
  <c r="P1488" i="5"/>
  <c r="P1490" i="5"/>
  <c r="P1491" i="5"/>
  <c r="P1492" i="5"/>
  <c r="P1495" i="5"/>
  <c r="P1496" i="5"/>
  <c r="P1497" i="5"/>
  <c r="P1498" i="5"/>
  <c r="P1499" i="5"/>
  <c r="P1500" i="5"/>
  <c r="P1501" i="5"/>
  <c r="P1502" i="5"/>
  <c r="P1503" i="5"/>
  <c r="P1505" i="5"/>
  <c r="P1506" i="5"/>
  <c r="P1509" i="5"/>
  <c r="P1510" i="5"/>
  <c r="P1512" i="5"/>
  <c r="P1513" i="5"/>
  <c r="P1515" i="5"/>
  <c r="P1516" i="5"/>
  <c r="P1517" i="5"/>
  <c r="P1518" i="5"/>
  <c r="P1519" i="5"/>
  <c r="P1520" i="5"/>
  <c r="P1521" i="5"/>
  <c r="P1522" i="5"/>
  <c r="P1527" i="5"/>
  <c r="P1528" i="5"/>
  <c r="P1529" i="5"/>
  <c r="P1531" i="5"/>
  <c r="P1532" i="5"/>
  <c r="P1533" i="5"/>
  <c r="P1534" i="5"/>
  <c r="P1535" i="5"/>
  <c r="P1536" i="5"/>
  <c r="P1539" i="5"/>
  <c r="P1540" i="5"/>
  <c r="P1541" i="5"/>
  <c r="P1544" i="5"/>
  <c r="P1545" i="5"/>
  <c r="P1547" i="5"/>
  <c r="P1549" i="5"/>
  <c r="P1550" i="5"/>
  <c r="P1551" i="5"/>
  <c r="P1553" i="5"/>
  <c r="P1556" i="5"/>
  <c r="P1558" i="5"/>
  <c r="P1560" i="5"/>
  <c r="P1564" i="5"/>
  <c r="P1567" i="5"/>
  <c r="P1569" i="5"/>
  <c r="P1571" i="5"/>
  <c r="P1573" i="5"/>
  <c r="P1574" i="5"/>
  <c r="P1578" i="5"/>
  <c r="P1580" i="5"/>
  <c r="P1582" i="5"/>
  <c r="P1587" i="5"/>
  <c r="P1589" i="5"/>
  <c r="P1591" i="5"/>
  <c r="P1593" i="5"/>
  <c r="P1596" i="5"/>
  <c r="P1598" i="5"/>
  <c r="P1600" i="5"/>
  <c r="P1603" i="5"/>
  <c r="P1604" i="5"/>
  <c r="P1606" i="5"/>
  <c r="P1607" i="5"/>
  <c r="P1611" i="5"/>
  <c r="P1613" i="5"/>
  <c r="P1616" i="5"/>
  <c r="P1618" i="5"/>
  <c r="P1620" i="5"/>
  <c r="P1621" i="5"/>
  <c r="P1622" i="5"/>
  <c r="P1624" i="5"/>
  <c r="P1625" i="5"/>
  <c r="P1626" i="5"/>
  <c r="P1628" i="5"/>
  <c r="P1631" i="5"/>
  <c r="P1632" i="5"/>
  <c r="P1633" i="5"/>
  <c r="P1634" i="5"/>
  <c r="P1635" i="5"/>
  <c r="P1637" i="5"/>
  <c r="P1638" i="5"/>
  <c r="P1639" i="5"/>
  <c r="P1640" i="5"/>
  <c r="P1641" i="5"/>
  <c r="P1643" i="5"/>
  <c r="P1646" i="5"/>
  <c r="P1647" i="5"/>
  <c r="P1649" i="5"/>
  <c r="P1650" i="5"/>
  <c r="P1651" i="5"/>
  <c r="P1653" i="5"/>
  <c r="P1654" i="5"/>
  <c r="P1656" i="5"/>
  <c r="P1657" i="5"/>
  <c r="P1659" i="5"/>
  <c r="P1661" i="5"/>
  <c r="P1662" i="5"/>
  <c r="P1664" i="5"/>
  <c r="P1665" i="5"/>
  <c r="P1666" i="5"/>
  <c r="P1668" i="5"/>
  <c r="P1674" i="5"/>
  <c r="P1675" i="5"/>
  <c r="P1678" i="5"/>
  <c r="P1679" i="5"/>
  <c r="P1681" i="5"/>
  <c r="P1684" i="5"/>
  <c r="P1685" i="5"/>
  <c r="P1686" i="5"/>
  <c r="P1688" i="5"/>
  <c r="P1690" i="5"/>
  <c r="P1691" i="5"/>
  <c r="P1693" i="5"/>
  <c r="P1695" i="5"/>
  <c r="P1697" i="5"/>
  <c r="P1699" i="5"/>
  <c r="P1700" i="5"/>
  <c r="P1701" i="5"/>
  <c r="P1703" i="5"/>
  <c r="P1705" i="5"/>
  <c r="P1706" i="5"/>
  <c r="P1707" i="5"/>
  <c r="P1708" i="5"/>
  <c r="P1710" i="5"/>
  <c r="P1711" i="5"/>
  <c r="P1712" i="5"/>
  <c r="P1713" i="5"/>
  <c r="P1714" i="5"/>
  <c r="P1715" i="5"/>
  <c r="P1716" i="5"/>
  <c r="P1717" i="5"/>
  <c r="P1718" i="5"/>
  <c r="P1719" i="5"/>
  <c r="P1721" i="5"/>
  <c r="P1722" i="5"/>
  <c r="P1723" i="5"/>
  <c r="P1724" i="5"/>
  <c r="P1725" i="5"/>
  <c r="P1726" i="5"/>
  <c r="P1728" i="5"/>
  <c r="P1729" i="5"/>
  <c r="P1730" i="5"/>
  <c r="P1731" i="5"/>
  <c r="P1732" i="5"/>
  <c r="P1733" i="5"/>
  <c r="P1734" i="5"/>
  <c r="P1735" i="5"/>
  <c r="P1736" i="5"/>
  <c r="P1737" i="5"/>
  <c r="P1738" i="5"/>
  <c r="P1739" i="5"/>
  <c r="P1740" i="5"/>
  <c r="P1741" i="5"/>
  <c r="P1742" i="5"/>
  <c r="P1743" i="5"/>
  <c r="P1744" i="5"/>
  <c r="P1745" i="5"/>
  <c r="P1746" i="5"/>
  <c r="P1747" i="5"/>
  <c r="P1748" i="5"/>
  <c r="P1749" i="5"/>
  <c r="P1750" i="5"/>
  <c r="P1751" i="5"/>
  <c r="P1752" i="5"/>
  <c r="P1753" i="5"/>
  <c r="P1754" i="5"/>
  <c r="P1755" i="5"/>
  <c r="P1756" i="5"/>
  <c r="P1757" i="5"/>
  <c r="P1758" i="5"/>
  <c r="P1759" i="5"/>
  <c r="P1760" i="5"/>
  <c r="P1761" i="5"/>
  <c r="P1762" i="5"/>
  <c r="P1763" i="5"/>
  <c r="P1764" i="5"/>
  <c r="P1766" i="5"/>
  <c r="P1768" i="5"/>
  <c r="P1769" i="5"/>
  <c r="P1770" i="5"/>
  <c r="P1771" i="5"/>
  <c r="P1772" i="5"/>
  <c r="P1773" i="5"/>
  <c r="P1774" i="5"/>
  <c r="P1776" i="5"/>
  <c r="P1778" i="5"/>
  <c r="P1779" i="5"/>
  <c r="P1780" i="5"/>
  <c r="P1781" i="5"/>
  <c r="P1782" i="5"/>
  <c r="P1783" i="5"/>
  <c r="P1784" i="5"/>
  <c r="P1786" i="5"/>
  <c r="P1787" i="5"/>
  <c r="P1788" i="5"/>
  <c r="P1789" i="5"/>
  <c r="P1790" i="5"/>
  <c r="P1792" i="5"/>
  <c r="P1793" i="5"/>
  <c r="P1794" i="5"/>
  <c r="P1795" i="5"/>
  <c r="P1796" i="5"/>
  <c r="P1797" i="5"/>
  <c r="P1798" i="5"/>
  <c r="P1799" i="5"/>
  <c r="P1800" i="5"/>
  <c r="P1801" i="5"/>
  <c r="P1802" i="5"/>
  <c r="P1803" i="5"/>
  <c r="P1804" i="5"/>
  <c r="P1806" i="5"/>
  <c r="P1807" i="5"/>
  <c r="P1808" i="5"/>
  <c r="P1809" i="5"/>
  <c r="P1810" i="5"/>
  <c r="P1811" i="5"/>
  <c r="P1812" i="5"/>
  <c r="P1813" i="5"/>
  <c r="P1814" i="5"/>
  <c r="P1815" i="5"/>
  <c r="P1817" i="5"/>
  <c r="P1818" i="5"/>
  <c r="P1819" i="5"/>
  <c r="P1820" i="5"/>
  <c r="P1821" i="5"/>
  <c r="P1822" i="5"/>
  <c r="P1823" i="5"/>
  <c r="P1824" i="5"/>
  <c r="P1825" i="5"/>
  <c r="P1826" i="5"/>
  <c r="P1827" i="5"/>
  <c r="P1828" i="5"/>
  <c r="P1829" i="5"/>
  <c r="P1830" i="5"/>
  <c r="P1831" i="5"/>
  <c r="P1832" i="5"/>
  <c r="P1833" i="5"/>
  <c r="P1834" i="5"/>
  <c r="P1835" i="5"/>
  <c r="P1837" i="5"/>
  <c r="P1839" i="5"/>
  <c r="P1840" i="5"/>
  <c r="P1842" i="5"/>
  <c r="P1845" i="5"/>
  <c r="P1847" i="5"/>
  <c r="P1849" i="5"/>
  <c r="P1851" i="5"/>
  <c r="P1852" i="5"/>
  <c r="P1854" i="5"/>
  <c r="P1856" i="5"/>
  <c r="P1859" i="5"/>
  <c r="P1864" i="5"/>
  <c r="P1881" i="5"/>
  <c r="P1894" i="5"/>
  <c r="P1896" i="5"/>
  <c r="P1899" i="5"/>
  <c r="P1904" i="5"/>
  <c r="P1907" i="5"/>
  <c r="P1909" i="5"/>
  <c r="P1910" i="5"/>
  <c r="P1912" i="5"/>
  <c r="P1916" i="5"/>
  <c r="P1918" i="5"/>
  <c r="P1920" i="5"/>
  <c r="P1921" i="5"/>
  <c r="P1922" i="5"/>
  <c r="P1923" i="5"/>
  <c r="P1924" i="5"/>
  <c r="P1928" i="5"/>
  <c r="P1940" i="5"/>
  <c r="P1951" i="5"/>
  <c r="P1952" i="5"/>
  <c r="P1953" i="5"/>
  <c r="P1954" i="5"/>
  <c r="P1955" i="5"/>
  <c r="P1956" i="5"/>
  <c r="P1957" i="5"/>
  <c r="P1958" i="5"/>
  <c r="P1959" i="5"/>
  <c r="P1960" i="5"/>
  <c r="P1961" i="5"/>
  <c r="P1962" i="5"/>
  <c r="P1963" i="5"/>
  <c r="P1964" i="5"/>
  <c r="P1965" i="5"/>
  <c r="P1966" i="5"/>
  <c r="P1967" i="5"/>
  <c r="P1968" i="5"/>
  <c r="P1969" i="5"/>
  <c r="P1970" i="5"/>
  <c r="P1971" i="5"/>
  <c r="P1972" i="5"/>
  <c r="P1973" i="5"/>
  <c r="P1974" i="5"/>
  <c r="P1975" i="5"/>
  <c r="P1976" i="5"/>
  <c r="P1977" i="5"/>
  <c r="P1988" i="5"/>
  <c r="P2000" i="5"/>
  <c r="P2008" i="5"/>
  <c r="P2009" i="5"/>
  <c r="P2011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6" i="5"/>
  <c r="Q77" i="5"/>
  <c r="Q79" i="5"/>
  <c r="Q80" i="5"/>
  <c r="Q81" i="5"/>
  <c r="Q82" i="5"/>
  <c r="Q83" i="5"/>
  <c r="Q85" i="5"/>
  <c r="Q86" i="5"/>
  <c r="Q88" i="5"/>
  <c r="Q89" i="5"/>
  <c r="Q90" i="5"/>
  <c r="Q91" i="5"/>
  <c r="Q92" i="5"/>
  <c r="Q93" i="5"/>
  <c r="Q95" i="5"/>
  <c r="Q101" i="5"/>
  <c r="Q103" i="5"/>
  <c r="Q110" i="5"/>
  <c r="Q111" i="5"/>
  <c r="Q113" i="5"/>
  <c r="Q114" i="5"/>
  <c r="Q115" i="5"/>
  <c r="Q116" i="5"/>
  <c r="Q117" i="5"/>
  <c r="Q119" i="5"/>
  <c r="Q120" i="5"/>
  <c r="Q121" i="5"/>
  <c r="Q123" i="5"/>
  <c r="Q125" i="5"/>
  <c r="Q126" i="5"/>
  <c r="Q127" i="5"/>
  <c r="Q128" i="5"/>
  <c r="Q129" i="5"/>
  <c r="Q130" i="5"/>
  <c r="Q131" i="5"/>
  <c r="Q132" i="5"/>
  <c r="Q133" i="5"/>
  <c r="Q134" i="5"/>
  <c r="Q136" i="5"/>
  <c r="Q139" i="5"/>
  <c r="Q140" i="5"/>
  <c r="Q141" i="5"/>
  <c r="Q142" i="5"/>
  <c r="Q143" i="5"/>
  <c r="Q144" i="5"/>
  <c r="Q145" i="5"/>
  <c r="Q146" i="5"/>
  <c r="Q147" i="5"/>
  <c r="Q149" i="5"/>
  <c r="Q152" i="5"/>
  <c r="Q153" i="5"/>
  <c r="Q154" i="5"/>
  <c r="Q155" i="5"/>
  <c r="Q157" i="5"/>
  <c r="Q159" i="5"/>
  <c r="Q165" i="5"/>
  <c r="Q166" i="5"/>
  <c r="Q167" i="5"/>
  <c r="Q169" i="5"/>
  <c r="Q171" i="5"/>
  <c r="Q173" i="5"/>
  <c r="Q177" i="5"/>
  <c r="Q179" i="5"/>
  <c r="Q181" i="5"/>
  <c r="Q184" i="5"/>
  <c r="Q187" i="5"/>
  <c r="Q188" i="5"/>
  <c r="Q191" i="5"/>
  <c r="Q193" i="5"/>
  <c r="Q195" i="5"/>
  <c r="Q196" i="5"/>
  <c r="Q198" i="5"/>
  <c r="Q200" i="5"/>
  <c r="Q202" i="5"/>
  <c r="Q203" i="5"/>
  <c r="Q205" i="5"/>
  <c r="Q207" i="5"/>
  <c r="Q208" i="5"/>
  <c r="Q212" i="5"/>
  <c r="Q213" i="5"/>
  <c r="Q215" i="5"/>
  <c r="Q218" i="5"/>
  <c r="Q220" i="5"/>
  <c r="Q222" i="5"/>
  <c r="Q224" i="5"/>
  <c r="Q225" i="5"/>
  <c r="Q227" i="5"/>
  <c r="Q229" i="5"/>
  <c r="Q230" i="5"/>
  <c r="Q231" i="5"/>
  <c r="Q232" i="5"/>
  <c r="Q233" i="5"/>
  <c r="Q235" i="5"/>
  <c r="Q237" i="5"/>
  <c r="Q238" i="5"/>
  <c r="Q239" i="5"/>
  <c r="Q241" i="5"/>
  <c r="Q246" i="5"/>
  <c r="Q247" i="5"/>
  <c r="Q248" i="5"/>
  <c r="Q249" i="5"/>
  <c r="Q250" i="5"/>
  <c r="Q251" i="5"/>
  <c r="Q253" i="5"/>
  <c r="Q255" i="5"/>
  <c r="Q257" i="5"/>
  <c r="Q258" i="5"/>
  <c r="Q259" i="5"/>
  <c r="Q260" i="5"/>
  <c r="Q261" i="5"/>
  <c r="Q263" i="5"/>
  <c r="Q265" i="5"/>
  <c r="Q266" i="5"/>
  <c r="Q268" i="5"/>
  <c r="Q269" i="5"/>
  <c r="Q270" i="5"/>
  <c r="Q271" i="5"/>
  <c r="Q272" i="5"/>
  <c r="Q273" i="5"/>
  <c r="Q275" i="5"/>
  <c r="Q278" i="5"/>
  <c r="Q279" i="5"/>
  <c r="Q280" i="5"/>
  <c r="Q281" i="5"/>
  <c r="Q282" i="5"/>
  <c r="Q283" i="5"/>
  <c r="Q284" i="5"/>
  <c r="Q285" i="5"/>
  <c r="Q286" i="5"/>
  <c r="Q288" i="5"/>
  <c r="Q289" i="5"/>
  <c r="Q292" i="5"/>
  <c r="Q293" i="5"/>
  <c r="Q294" i="5"/>
  <c r="Q295" i="5"/>
  <c r="Q296" i="5"/>
  <c r="Q297" i="5"/>
  <c r="Q298" i="5"/>
  <c r="Q300" i="5"/>
  <c r="Q301" i="5"/>
  <c r="Q302" i="5"/>
  <c r="Q303" i="5"/>
  <c r="Q304" i="5"/>
  <c r="Q306" i="5"/>
  <c r="Q307" i="5"/>
  <c r="Q309" i="5"/>
  <c r="Q310" i="5"/>
  <c r="Q312" i="5"/>
  <c r="Q313" i="5"/>
  <c r="Q314" i="5"/>
  <c r="Q315" i="5"/>
  <c r="Q316" i="5"/>
  <c r="Q317" i="5"/>
  <c r="Q319" i="5"/>
  <c r="Q320" i="5"/>
  <c r="Q321" i="5"/>
  <c r="Q322" i="5"/>
  <c r="Q323" i="5"/>
  <c r="Q324" i="5"/>
  <c r="Q325" i="5"/>
  <c r="Q326" i="5"/>
  <c r="Q328" i="5"/>
  <c r="Q329" i="5"/>
  <c r="Q330" i="5"/>
  <c r="Q331" i="5"/>
  <c r="Q333" i="5"/>
  <c r="Q334" i="5"/>
  <c r="Q335" i="5"/>
  <c r="Q337" i="5"/>
  <c r="Q338" i="5"/>
  <c r="Q340" i="5"/>
  <c r="Q341" i="5"/>
  <c r="Q342" i="5"/>
  <c r="Q343" i="5"/>
  <c r="Q344" i="5"/>
  <c r="Q346" i="5"/>
  <c r="Q347" i="5"/>
  <c r="Q348" i="5"/>
  <c r="Q349" i="5"/>
  <c r="Q350" i="5"/>
  <c r="Q351" i="5"/>
  <c r="Q352" i="5"/>
  <c r="Q353" i="5"/>
  <c r="Q354" i="5"/>
  <c r="Q356" i="5"/>
  <c r="Q357" i="5"/>
  <c r="Q358" i="5"/>
  <c r="Q359" i="5"/>
  <c r="Q361" i="5"/>
  <c r="Q362" i="5"/>
  <c r="Q363" i="5"/>
  <c r="Q365" i="5"/>
  <c r="Q366" i="5"/>
  <c r="Q368" i="5"/>
  <c r="Q369" i="5"/>
  <c r="Q370" i="5"/>
  <c r="Q372" i="5"/>
  <c r="Q374" i="5"/>
  <c r="Q375" i="5"/>
  <c r="Q376" i="5"/>
  <c r="Q377" i="5"/>
  <c r="Q379" i="5"/>
  <c r="Q380" i="5"/>
  <c r="Q382" i="5"/>
  <c r="Q384" i="5"/>
  <c r="Q386" i="5"/>
  <c r="Q388" i="5"/>
  <c r="Q389" i="5"/>
  <c r="Q390" i="5"/>
  <c r="Q395" i="5"/>
  <c r="Q396" i="5"/>
  <c r="Q397" i="5"/>
  <c r="Q398" i="5"/>
  <c r="Q400" i="5"/>
  <c r="Q401" i="5"/>
  <c r="Q402" i="5"/>
  <c r="Q404" i="5"/>
  <c r="Q406" i="5"/>
  <c r="Q407" i="5"/>
  <c r="Q408" i="5"/>
  <c r="Q410" i="5"/>
  <c r="Q412" i="5"/>
  <c r="Q413" i="5"/>
  <c r="Q414" i="5"/>
  <c r="Q415" i="5"/>
  <c r="Q416" i="5"/>
  <c r="Q418" i="5"/>
  <c r="Q419" i="5"/>
  <c r="Q420" i="5"/>
  <c r="Q421" i="5"/>
  <c r="Q423" i="5"/>
  <c r="Q424" i="5"/>
  <c r="Q426" i="5"/>
  <c r="Q428" i="5"/>
  <c r="Q429" i="5"/>
  <c r="Q431" i="5"/>
  <c r="Q434" i="5"/>
  <c r="Q436" i="5"/>
  <c r="Q437" i="5"/>
  <c r="Q441" i="5"/>
  <c r="Q444" i="5"/>
  <c r="Q445" i="5"/>
  <c r="Q447" i="5"/>
  <c r="Q450" i="5"/>
  <c r="Q452" i="5"/>
  <c r="Q453" i="5"/>
  <c r="Q455" i="5"/>
  <c r="Q457" i="5"/>
  <c r="Q458" i="5"/>
  <c r="Q460" i="5"/>
  <c r="Q462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2" i="5"/>
  <c r="Q493" i="5"/>
  <c r="Q494" i="5"/>
  <c r="Q495" i="5"/>
  <c r="Q496" i="5"/>
  <c r="Q498" i="5"/>
  <c r="Q499" i="5"/>
  <c r="Q500" i="5"/>
  <c r="Q501" i="5"/>
  <c r="Q502" i="5"/>
  <c r="Q503" i="5"/>
  <c r="Q505" i="5"/>
  <c r="Q506" i="5"/>
  <c r="Q510" i="5"/>
  <c r="Q512" i="5"/>
  <c r="Q513" i="5"/>
  <c r="Q514" i="5"/>
  <c r="Q515" i="5"/>
  <c r="Q516" i="5"/>
  <c r="Q518" i="5"/>
  <c r="Q519" i="5"/>
  <c r="Q520" i="5"/>
  <c r="Q521" i="5"/>
  <c r="Q522" i="5"/>
  <c r="Q523" i="5"/>
  <c r="Q524" i="5"/>
  <c r="Q526" i="5"/>
  <c r="Q527" i="5"/>
  <c r="Q531" i="5"/>
  <c r="Q532" i="5"/>
  <c r="Q533" i="5"/>
  <c r="Q534" i="5"/>
  <c r="Q536" i="5"/>
  <c r="Q537" i="5"/>
  <c r="Q539" i="5"/>
  <c r="Q541" i="5"/>
  <c r="Q543" i="5"/>
  <c r="Q544" i="5"/>
  <c r="Q546" i="5"/>
  <c r="Q547" i="5"/>
  <c r="Q549" i="5"/>
  <c r="Q550" i="5"/>
  <c r="Q552" i="5"/>
  <c r="Q556" i="5"/>
  <c r="Q558" i="5"/>
  <c r="Q560" i="5"/>
  <c r="Q561" i="5"/>
  <c r="Q564" i="5"/>
  <c r="Q567" i="5"/>
  <c r="Q571" i="5"/>
  <c r="Q573" i="5"/>
  <c r="Q576" i="5"/>
  <c r="Q580" i="5"/>
  <c r="Q582" i="5"/>
  <c r="Q584" i="5"/>
  <c r="Q586" i="5"/>
  <c r="Q588" i="5"/>
  <c r="Q590" i="5"/>
  <c r="Q600" i="5"/>
  <c r="Q602" i="5"/>
  <c r="Q604" i="5"/>
  <c r="Q607" i="5"/>
  <c r="Q609" i="5"/>
  <c r="Q613" i="5"/>
  <c r="Q615" i="5"/>
  <c r="Q619" i="5"/>
  <c r="Q621" i="5"/>
  <c r="Q623" i="5"/>
  <c r="Q624" i="5"/>
  <c r="Q625" i="5"/>
  <c r="Q626" i="5"/>
  <c r="Q627" i="5"/>
  <c r="Q628" i="5"/>
  <c r="Q630" i="5"/>
  <c r="Q632" i="5"/>
  <c r="Q633" i="5"/>
  <c r="Q634" i="5"/>
  <c r="Q635" i="5"/>
  <c r="Q636" i="5"/>
  <c r="Q638" i="5"/>
  <c r="Q639" i="5"/>
  <c r="Q641" i="5"/>
  <c r="Q643" i="5"/>
  <c r="Q644" i="5"/>
  <c r="Q645" i="5"/>
  <c r="Q646" i="5"/>
  <c r="Q647" i="5"/>
  <c r="Q648" i="5"/>
  <c r="Q650" i="5"/>
  <c r="Q652" i="5"/>
  <c r="Q653" i="5"/>
  <c r="Q654" i="5"/>
  <c r="Q655" i="5"/>
  <c r="Q656" i="5"/>
  <c r="Q658" i="5"/>
  <c r="Q660" i="5"/>
  <c r="Q661" i="5"/>
  <c r="Q662" i="5"/>
  <c r="Q663" i="5"/>
  <c r="Q664" i="5"/>
  <c r="Q665" i="5"/>
  <c r="Q666" i="5"/>
  <c r="Q668" i="5"/>
  <c r="Q670" i="5"/>
  <c r="Q671" i="5"/>
  <c r="Q673" i="5"/>
  <c r="Q674" i="5"/>
  <c r="Q675" i="5"/>
  <c r="Q676" i="5"/>
  <c r="Q680" i="5"/>
  <c r="Q681" i="5"/>
  <c r="Q683" i="5"/>
  <c r="Q689" i="5"/>
  <c r="Q691" i="5"/>
  <c r="Q692" i="5"/>
  <c r="Q693" i="5"/>
  <c r="Q697" i="5"/>
  <c r="Q698" i="5"/>
  <c r="Q700" i="5"/>
  <c r="Q702" i="5"/>
  <c r="Q704" i="5"/>
  <c r="Q706" i="5"/>
  <c r="Q708" i="5"/>
  <c r="Q709" i="5"/>
  <c r="Q712" i="5"/>
  <c r="Q715" i="5"/>
  <c r="Q716" i="5"/>
  <c r="Q717" i="5"/>
  <c r="Q718" i="5"/>
  <c r="Q719" i="5"/>
  <c r="Q721" i="5"/>
  <c r="Q722" i="5"/>
  <c r="Q723" i="5"/>
  <c r="Q724" i="5"/>
  <c r="Q725" i="5"/>
  <c r="Q726" i="5"/>
  <c r="Q727" i="5"/>
  <c r="Q728" i="5"/>
  <c r="Q729" i="5"/>
  <c r="Q730" i="5"/>
  <c r="Q731" i="5"/>
  <c r="Q733" i="5"/>
  <c r="Q734" i="5"/>
  <c r="Q736" i="5"/>
  <c r="Q737" i="5"/>
  <c r="Q738" i="5"/>
  <c r="Q740" i="5"/>
  <c r="Q741" i="5"/>
  <c r="Q743" i="5"/>
  <c r="Q744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8" i="5"/>
  <c r="Q769" i="5"/>
  <c r="Q770" i="5"/>
  <c r="Q771" i="5"/>
  <c r="Q772" i="5"/>
  <c r="Q773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1" i="5"/>
  <c r="Q792" i="5"/>
  <c r="Q793" i="5"/>
  <c r="Q795" i="5"/>
  <c r="Q796" i="5"/>
  <c r="Q797" i="5"/>
  <c r="Q799" i="5"/>
  <c r="Q800" i="5"/>
  <c r="Q801" i="5"/>
  <c r="Q803" i="5"/>
  <c r="Q804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4" i="5"/>
  <c r="Q838" i="5"/>
  <c r="Q840" i="5"/>
  <c r="Q841" i="5"/>
  <c r="Q842" i="5"/>
  <c r="Q843" i="5"/>
  <c r="Q846" i="5"/>
  <c r="Q848" i="5"/>
  <c r="Q850" i="5"/>
  <c r="Q851" i="5"/>
  <c r="Q853" i="5"/>
  <c r="Q854" i="5"/>
  <c r="Q855" i="5"/>
  <c r="Q856" i="5"/>
  <c r="Q857" i="5"/>
  <c r="Q859" i="5"/>
  <c r="Q860" i="5"/>
  <c r="Q861" i="5"/>
  <c r="Q865" i="5"/>
  <c r="Q867" i="5"/>
  <c r="Q869" i="5"/>
  <c r="Q873" i="5"/>
  <c r="Q876" i="5"/>
  <c r="Q878" i="5"/>
  <c r="Q879" i="5"/>
  <c r="Q881" i="5"/>
  <c r="Q883" i="5"/>
  <c r="Q885" i="5"/>
  <c r="Q886" i="5"/>
  <c r="Q887" i="5"/>
  <c r="Q888" i="5"/>
  <c r="Q890" i="5"/>
  <c r="Q893" i="5"/>
  <c r="Q895" i="5"/>
  <c r="Q898" i="5"/>
  <c r="Q899" i="5"/>
  <c r="Q902" i="5"/>
  <c r="Q904" i="5"/>
  <c r="Q905" i="5"/>
  <c r="Q906" i="5"/>
  <c r="Q909" i="5"/>
  <c r="Q911" i="5"/>
  <c r="Q921" i="5"/>
  <c r="Q922" i="5"/>
  <c r="Q923" i="5"/>
  <c r="Q924" i="5"/>
  <c r="Q926" i="5"/>
  <c r="Q927" i="5"/>
  <c r="Q928" i="5"/>
  <c r="Q930" i="5"/>
  <c r="Q931" i="5"/>
  <c r="Q932" i="5"/>
  <c r="Q933" i="5"/>
  <c r="Q934" i="5"/>
  <c r="Q935" i="5"/>
  <c r="Q936" i="5"/>
  <c r="Q937" i="5"/>
  <c r="Q938" i="5"/>
  <c r="Q948" i="5"/>
  <c r="Q949" i="5"/>
  <c r="Q950" i="5"/>
  <c r="Q951" i="5"/>
  <c r="Q952" i="5"/>
  <c r="Q953" i="5"/>
  <c r="Q954" i="5"/>
  <c r="Q964" i="5"/>
  <c r="Q965" i="5"/>
  <c r="Q966" i="5"/>
  <c r="Q967" i="5"/>
  <c r="Q968" i="5"/>
  <c r="Q970" i="5"/>
  <c r="Q972" i="5"/>
  <c r="Q973" i="5"/>
  <c r="Q974" i="5"/>
  <c r="Q975" i="5"/>
  <c r="Q976" i="5"/>
  <c r="Q978" i="5"/>
  <c r="Q981" i="5"/>
  <c r="Q991" i="5"/>
  <c r="Q993" i="5"/>
  <c r="Q994" i="5"/>
  <c r="Q995" i="5"/>
  <c r="Q1001" i="5"/>
  <c r="Q1003" i="5"/>
  <c r="Q1004" i="5"/>
  <c r="Q1005" i="5"/>
  <c r="Q1006" i="5"/>
  <c r="Q1007" i="5"/>
  <c r="Q1008" i="5"/>
  <c r="Q1010" i="5"/>
  <c r="Q1013" i="5"/>
  <c r="Q1014" i="5"/>
  <c r="Q1015" i="5"/>
  <c r="Q1017" i="5"/>
  <c r="Q1018" i="5"/>
  <c r="Q1020" i="5"/>
  <c r="Q1023" i="5"/>
  <c r="Q1024" i="5"/>
  <c r="Q1025" i="5"/>
  <c r="Q1027" i="5"/>
  <c r="Q1029" i="5"/>
  <c r="Q1030" i="5"/>
  <c r="Q1031" i="5"/>
  <c r="Q1033" i="5"/>
  <c r="Q1034" i="5"/>
  <c r="Q1036" i="5"/>
  <c r="Q1037" i="5"/>
  <c r="Q1040" i="5"/>
  <c r="Q1042" i="5"/>
  <c r="Q1043" i="5"/>
  <c r="Q1045" i="5"/>
  <c r="Q1046" i="5"/>
  <c r="Q1049" i="5"/>
  <c r="Q1050" i="5"/>
  <c r="Q1052" i="5"/>
  <c r="Q1053" i="5"/>
  <c r="Q1055" i="5"/>
  <c r="Q1056" i="5"/>
  <c r="Q1058" i="5"/>
  <c r="Q1059" i="5"/>
  <c r="Q1060" i="5"/>
  <c r="Q1062" i="5"/>
  <c r="Q1063" i="5"/>
  <c r="Q1064" i="5"/>
  <c r="Q1067" i="5"/>
  <c r="Q1082" i="5"/>
  <c r="Q1084" i="5"/>
  <c r="Q1088" i="5"/>
  <c r="Q1089" i="5"/>
  <c r="Q1091" i="5"/>
  <c r="Q1094" i="5"/>
  <c r="Q1095" i="5"/>
  <c r="Q1096" i="5"/>
  <c r="Q1101" i="5"/>
  <c r="Q1105" i="5"/>
  <c r="Q1119" i="5"/>
  <c r="Q1121" i="5"/>
  <c r="Q1122" i="5"/>
  <c r="Q1126" i="5"/>
  <c r="Q1128" i="5"/>
  <c r="Q1129" i="5"/>
  <c r="Q1131" i="5"/>
  <c r="Q1133" i="5"/>
  <c r="Q1135" i="5"/>
  <c r="Q1137" i="5"/>
  <c r="Q1140" i="5"/>
  <c r="Q1142" i="5"/>
  <c r="Q1144" i="5"/>
  <c r="Q1146" i="5"/>
  <c r="Q1148" i="5"/>
  <c r="Q1150" i="5"/>
  <c r="Q1153" i="5"/>
  <c r="Q1155" i="5"/>
  <c r="Q1159" i="5"/>
  <c r="Q1161" i="5"/>
  <c r="Q1162" i="5"/>
  <c r="Q1164" i="5"/>
  <c r="Q1166" i="5"/>
  <c r="Q1168" i="5"/>
  <c r="Q1169" i="5"/>
  <c r="Q1170" i="5"/>
  <c r="Q1175" i="5"/>
  <c r="Q1177" i="5"/>
  <c r="Q1180" i="5"/>
  <c r="Q1181" i="5"/>
  <c r="Q1186" i="5"/>
  <c r="Q1189" i="5"/>
  <c r="Q1191" i="5"/>
  <c r="Q1193" i="5"/>
  <c r="Q1195" i="5"/>
  <c r="Q1199" i="5"/>
  <c r="Q1202" i="5"/>
  <c r="Q1203" i="5"/>
  <c r="Q1205" i="5"/>
  <c r="Q1207" i="5"/>
  <c r="Q1210" i="5"/>
  <c r="Q1212" i="5"/>
  <c r="Q1213" i="5"/>
  <c r="Q1215" i="5"/>
  <c r="Q1217" i="5"/>
  <c r="Q1218" i="5"/>
  <c r="Q1219" i="5"/>
  <c r="Q1221" i="5"/>
  <c r="Q1223" i="5"/>
  <c r="Q1224" i="5"/>
  <c r="Q1225" i="5"/>
  <c r="Q1227" i="5"/>
  <c r="Q1229" i="5"/>
  <c r="Q1231" i="5"/>
  <c r="Q1233" i="5"/>
  <c r="Q1235" i="5"/>
  <c r="Q1237" i="5"/>
  <c r="Q1240" i="5"/>
  <c r="Q1241" i="5"/>
  <c r="Q1242" i="5"/>
  <c r="Q1244" i="5"/>
  <c r="Q1246" i="5"/>
  <c r="Q1247" i="5"/>
  <c r="Q1249" i="5"/>
  <c r="Q1250" i="5"/>
  <c r="Q1252" i="5"/>
  <c r="Q1254" i="5"/>
  <c r="Q1255" i="5"/>
  <c r="Q1256" i="5"/>
  <c r="Q1257" i="5"/>
  <c r="Q1258" i="5"/>
  <c r="Q1259" i="5"/>
  <c r="Q1261" i="5"/>
  <c r="Q1263" i="5"/>
  <c r="Q1265" i="5"/>
  <c r="Q1266" i="5"/>
  <c r="Q1267" i="5"/>
  <c r="Q1268" i="5"/>
  <c r="Q1269" i="5"/>
  <c r="Q1270" i="5"/>
  <c r="Q1271" i="5"/>
  <c r="Q1272" i="5"/>
  <c r="Q1274" i="5"/>
  <c r="Q1275" i="5"/>
  <c r="Q1276" i="5"/>
  <c r="Q1277" i="5"/>
  <c r="Q1278" i="5"/>
  <c r="Q1279" i="5"/>
  <c r="Q1280" i="5"/>
  <c r="Q1281" i="5"/>
  <c r="Q1282" i="5"/>
  <c r="Q1283" i="5"/>
  <c r="Q1284" i="5"/>
  <c r="Q1286" i="5"/>
  <c r="Q1289" i="5"/>
  <c r="Q1290" i="5"/>
  <c r="Q1291" i="5"/>
  <c r="Q1292" i="5"/>
  <c r="Q1293" i="5"/>
  <c r="Q1294" i="5"/>
  <c r="Q1295" i="5"/>
  <c r="Q1296" i="5"/>
  <c r="Q1297" i="5"/>
  <c r="Q1298" i="5"/>
  <c r="Q1299" i="5"/>
  <c r="Q1301" i="5"/>
  <c r="Q1302" i="5"/>
  <c r="Q1305" i="5"/>
  <c r="Q1306" i="5"/>
  <c r="Q1308" i="5"/>
  <c r="Q1310" i="5"/>
  <c r="Q1311" i="5"/>
  <c r="Q1312" i="5"/>
  <c r="Q1313" i="5"/>
  <c r="Q1314" i="5"/>
  <c r="Q1315" i="5"/>
  <c r="Q1316" i="5"/>
  <c r="Q1317" i="5"/>
  <c r="Q1319" i="5"/>
  <c r="Q1320" i="5"/>
  <c r="Q1322" i="5"/>
  <c r="Q1323" i="5"/>
  <c r="Q1324" i="5"/>
  <c r="Q1325" i="5"/>
  <c r="Q1326" i="5"/>
  <c r="Q1328" i="5"/>
  <c r="Q1329" i="5"/>
  <c r="Q1330" i="5"/>
  <c r="Q1331" i="5"/>
  <c r="Q1332" i="5"/>
  <c r="Q1333" i="5"/>
  <c r="Q1334" i="5"/>
  <c r="Q1335" i="5"/>
  <c r="Q1336" i="5"/>
  <c r="Q1337" i="5"/>
  <c r="Q1338" i="5"/>
  <c r="Q1340" i="5"/>
  <c r="Q1342" i="5"/>
  <c r="Q1343" i="5"/>
  <c r="Q1344" i="5"/>
  <c r="Q1345" i="5"/>
  <c r="Q1346" i="5"/>
  <c r="Q1347" i="5"/>
  <c r="Q1349" i="5"/>
  <c r="Q1350" i="5"/>
  <c r="Q1351" i="5"/>
  <c r="Q1352" i="5"/>
  <c r="Q1354" i="5"/>
  <c r="Q1355" i="5"/>
  <c r="Q1357" i="5"/>
  <c r="Q1358" i="5"/>
  <c r="Q1360" i="5"/>
  <c r="Q1361" i="5"/>
  <c r="Q1362" i="5"/>
  <c r="Q1364" i="5"/>
  <c r="Q1365" i="5"/>
  <c r="Q1366" i="5"/>
  <c r="Q1367" i="5"/>
  <c r="Q1369" i="5"/>
  <c r="Q1370" i="5"/>
  <c r="Q1372" i="5"/>
  <c r="Q1373" i="5"/>
  <c r="Q1375" i="5"/>
  <c r="Q1377" i="5"/>
  <c r="Q1378" i="5"/>
  <c r="Q1381" i="5"/>
  <c r="Q1382" i="5"/>
  <c r="Q1383" i="5"/>
  <c r="Q1384" i="5"/>
  <c r="Q1385" i="5"/>
  <c r="Q1387" i="5"/>
  <c r="Q1388" i="5"/>
  <c r="Q1389" i="5"/>
  <c r="Q1390" i="5"/>
  <c r="Q1393" i="5"/>
  <c r="Q1395" i="5"/>
  <c r="Q1396" i="5"/>
  <c r="Q1398" i="5"/>
  <c r="Q1400" i="5"/>
  <c r="Q1401" i="5"/>
  <c r="Q1404" i="5"/>
  <c r="Q1405" i="5"/>
  <c r="Q1408" i="5"/>
  <c r="Q1409" i="5"/>
  <c r="Q1410" i="5"/>
  <c r="Q1414" i="5"/>
  <c r="Q1415" i="5"/>
  <c r="Q1420" i="5"/>
  <c r="Q1424" i="5"/>
  <c r="Q1425" i="5"/>
  <c r="Q1426" i="5"/>
  <c r="Q1429" i="5"/>
  <c r="Q1432" i="5"/>
  <c r="Q1433" i="5"/>
  <c r="Q1435" i="5"/>
  <c r="Q1436" i="5"/>
  <c r="Q1438" i="5"/>
  <c r="Q1440" i="5"/>
  <c r="Q1441" i="5"/>
  <c r="Q1442" i="5"/>
  <c r="Q1444" i="5"/>
  <c r="Q1446" i="5"/>
  <c r="Q1447" i="5"/>
  <c r="Q1449" i="5"/>
  <c r="Q1450" i="5"/>
  <c r="Q1451" i="5"/>
  <c r="Q1452" i="5"/>
  <c r="Q1455" i="5"/>
  <c r="Q1457" i="5"/>
  <c r="Q1458" i="5"/>
  <c r="Q1460" i="5"/>
  <c r="Q1463" i="5"/>
  <c r="Q1464" i="5"/>
  <c r="Q1465" i="5"/>
  <c r="Q1466" i="5"/>
  <c r="Q1467" i="5"/>
  <c r="Q1468" i="5"/>
  <c r="Q1469" i="5"/>
  <c r="Q1472" i="5"/>
  <c r="Q1473" i="5"/>
  <c r="Q1476" i="5"/>
  <c r="Q1477" i="5"/>
  <c r="Q1478" i="5"/>
  <c r="Q1479" i="5"/>
  <c r="Q1480" i="5"/>
  <c r="Q1482" i="5"/>
  <c r="Q1483" i="5"/>
  <c r="Q1484" i="5"/>
  <c r="Q1485" i="5"/>
  <c r="Q1486" i="5"/>
  <c r="Q1487" i="5"/>
  <c r="Q1488" i="5"/>
  <c r="Q1490" i="5"/>
  <c r="Q1491" i="5"/>
  <c r="Q1492" i="5"/>
  <c r="Q1495" i="5"/>
  <c r="Q1496" i="5"/>
  <c r="Q1497" i="5"/>
  <c r="Q1498" i="5"/>
  <c r="Q1499" i="5"/>
  <c r="Q1500" i="5"/>
  <c r="Q1501" i="5"/>
  <c r="Q1502" i="5"/>
  <c r="Q1503" i="5"/>
  <c r="Q1505" i="5"/>
  <c r="Q1506" i="5"/>
  <c r="Q1509" i="5"/>
  <c r="Q1510" i="5"/>
  <c r="Q1512" i="5"/>
  <c r="Q1513" i="5"/>
  <c r="Q1515" i="5"/>
  <c r="Q1516" i="5"/>
  <c r="Q1517" i="5"/>
  <c r="Q1518" i="5"/>
  <c r="Q1519" i="5"/>
  <c r="Q1520" i="5"/>
  <c r="Q1521" i="5"/>
  <c r="Q1522" i="5"/>
  <c r="Q1527" i="5"/>
  <c r="Q1528" i="5"/>
  <c r="Q1529" i="5"/>
  <c r="Q1531" i="5"/>
  <c r="Q1532" i="5"/>
  <c r="Q1533" i="5"/>
  <c r="Q1534" i="5"/>
  <c r="Q1535" i="5"/>
  <c r="Q1536" i="5"/>
  <c r="Q1539" i="5"/>
  <c r="Q1540" i="5"/>
  <c r="Q1541" i="5"/>
  <c r="Q1544" i="5"/>
  <c r="Q1545" i="5"/>
  <c r="Q1547" i="5"/>
  <c r="Q1549" i="5"/>
  <c r="Q1550" i="5"/>
  <c r="Q1551" i="5"/>
  <c r="Q1553" i="5"/>
  <c r="Q1556" i="5"/>
  <c r="Q1558" i="5"/>
  <c r="Q1560" i="5"/>
  <c r="Q1564" i="5"/>
  <c r="Q1567" i="5"/>
  <c r="Q1569" i="5"/>
  <c r="Q1571" i="5"/>
  <c r="Q1573" i="5"/>
  <c r="Q1574" i="5"/>
  <c r="Q1578" i="5"/>
  <c r="Q1580" i="5"/>
  <c r="Q1582" i="5"/>
  <c r="Q1587" i="5"/>
  <c r="Q1589" i="5"/>
  <c r="Q1591" i="5"/>
  <c r="Q1593" i="5"/>
  <c r="Q1596" i="5"/>
  <c r="Q1598" i="5"/>
  <c r="Q1600" i="5"/>
  <c r="Q1603" i="5"/>
  <c r="Q1604" i="5"/>
  <c r="Q1606" i="5"/>
  <c r="Q1607" i="5"/>
  <c r="Q1611" i="5"/>
  <c r="Q1613" i="5"/>
  <c r="Q1616" i="5"/>
  <c r="Q1618" i="5"/>
  <c r="Q1620" i="5"/>
  <c r="Q1621" i="5"/>
  <c r="Q1622" i="5"/>
  <c r="Q1624" i="5"/>
  <c r="Q1625" i="5"/>
  <c r="Q1626" i="5"/>
  <c r="Q1628" i="5"/>
  <c r="Q1631" i="5"/>
  <c r="Q1632" i="5"/>
  <c r="Q1633" i="5"/>
  <c r="Q1634" i="5"/>
  <c r="Q1635" i="5"/>
  <c r="Q1637" i="5"/>
  <c r="Q1638" i="5"/>
  <c r="Q1639" i="5"/>
  <c r="Q1640" i="5"/>
  <c r="Q1641" i="5"/>
  <c r="Q1643" i="5"/>
  <c r="Q1646" i="5"/>
  <c r="Q1647" i="5"/>
  <c r="Q1649" i="5"/>
  <c r="Q1650" i="5"/>
  <c r="Q1651" i="5"/>
  <c r="Q1653" i="5"/>
  <c r="Q1654" i="5"/>
  <c r="Q1656" i="5"/>
  <c r="Q1657" i="5"/>
  <c r="Q1659" i="5"/>
  <c r="Q1661" i="5"/>
  <c r="Q1662" i="5"/>
  <c r="Q1664" i="5"/>
  <c r="Q1665" i="5"/>
  <c r="Q1666" i="5"/>
  <c r="Q1668" i="5"/>
  <c r="Q1674" i="5"/>
  <c r="Q1675" i="5"/>
  <c r="Q1678" i="5"/>
  <c r="Q1679" i="5"/>
  <c r="Q1681" i="5"/>
  <c r="Q1684" i="5"/>
  <c r="Q1685" i="5"/>
  <c r="Q1686" i="5"/>
  <c r="Q1688" i="5"/>
  <c r="Q1690" i="5"/>
  <c r="Q1691" i="5"/>
  <c r="Q1693" i="5"/>
  <c r="Q1695" i="5"/>
  <c r="Q1697" i="5"/>
  <c r="Q1699" i="5"/>
  <c r="Q1700" i="5"/>
  <c r="Q1701" i="5"/>
  <c r="Q1703" i="5"/>
  <c r="Q1705" i="5"/>
  <c r="Q1706" i="5"/>
  <c r="Q1707" i="5"/>
  <c r="Q1708" i="5"/>
  <c r="Q1710" i="5"/>
  <c r="Q1711" i="5"/>
  <c r="Q1712" i="5"/>
  <c r="Q1713" i="5"/>
  <c r="Q1714" i="5"/>
  <c r="Q1715" i="5"/>
  <c r="Q1716" i="5"/>
  <c r="Q1717" i="5"/>
  <c r="Q1718" i="5"/>
  <c r="Q1719" i="5"/>
  <c r="Q1721" i="5"/>
  <c r="Q1722" i="5"/>
  <c r="Q1723" i="5"/>
  <c r="Q1724" i="5"/>
  <c r="Q1725" i="5"/>
  <c r="Q1726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6" i="5"/>
  <c r="Q1768" i="5"/>
  <c r="Q1769" i="5"/>
  <c r="Q1770" i="5"/>
  <c r="Q1771" i="5"/>
  <c r="Q1772" i="5"/>
  <c r="Q1773" i="5"/>
  <c r="Q1774" i="5"/>
  <c r="Q1776" i="5"/>
  <c r="Q1778" i="5"/>
  <c r="Q1779" i="5"/>
  <c r="Q1780" i="5"/>
  <c r="Q1781" i="5"/>
  <c r="Q1782" i="5"/>
  <c r="Q1783" i="5"/>
  <c r="Q1784" i="5"/>
  <c r="Q1786" i="5"/>
  <c r="Q1787" i="5"/>
  <c r="Q1788" i="5"/>
  <c r="Q1789" i="5"/>
  <c r="Q1790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6" i="5"/>
  <c r="Q1807" i="5"/>
  <c r="Q1808" i="5"/>
  <c r="Q1809" i="5"/>
  <c r="Q1810" i="5"/>
  <c r="Q1811" i="5"/>
  <c r="Q1812" i="5"/>
  <c r="Q1813" i="5"/>
  <c r="Q1814" i="5"/>
  <c r="Q1815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7" i="5"/>
  <c r="Q1839" i="5"/>
  <c r="Q1840" i="5"/>
  <c r="Q1842" i="5"/>
  <c r="Q1845" i="5"/>
  <c r="Q1847" i="5"/>
  <c r="Q1849" i="5"/>
  <c r="Q1851" i="5"/>
  <c r="Q1852" i="5"/>
  <c r="Q1854" i="5"/>
  <c r="Q1856" i="5"/>
  <c r="Q1859" i="5"/>
  <c r="Q1864" i="5"/>
  <c r="Q1881" i="5"/>
  <c r="Q1894" i="5"/>
  <c r="Q1896" i="5"/>
  <c r="Q1899" i="5"/>
  <c r="Q1904" i="5"/>
  <c r="Q1907" i="5"/>
  <c r="Q1909" i="5"/>
  <c r="Q1910" i="5"/>
  <c r="Q1912" i="5"/>
  <c r="Q1916" i="5"/>
  <c r="Q1918" i="5"/>
  <c r="Q1920" i="5"/>
  <c r="Q1921" i="5"/>
  <c r="Q1922" i="5"/>
  <c r="Q1923" i="5"/>
  <c r="Q1924" i="5"/>
  <c r="Q1928" i="5"/>
  <c r="Q194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88" i="5"/>
  <c r="Q2000" i="5"/>
  <c r="Q2008" i="5"/>
  <c r="Q2009" i="5"/>
  <c r="Q2011" i="5"/>
  <c r="C22" i="20" l="1"/>
  <c r="C15" i="20"/>
  <c r="C14" i="20" s="1"/>
  <c r="G4" i="17"/>
  <c r="H4" i="17" s="1"/>
  <c r="G5" i="17"/>
  <c r="H5" i="17" s="1"/>
  <c r="G6" i="17"/>
  <c r="H6" i="17" s="1"/>
  <c r="G7" i="17"/>
  <c r="H7" i="17" s="1"/>
  <c r="G8" i="17"/>
  <c r="H8" i="17" s="1"/>
  <c r="G9" i="17"/>
  <c r="H9" i="17" s="1"/>
  <c r="G10" i="17"/>
  <c r="H10" i="17" s="1"/>
  <c r="G11" i="17"/>
  <c r="H11" i="17" s="1"/>
  <c r="G12" i="17"/>
  <c r="H12" i="17" s="1"/>
  <c r="G13" i="17"/>
  <c r="H13" i="17" s="1"/>
  <c r="G14" i="17"/>
  <c r="H14" i="17" s="1"/>
  <c r="G15" i="17"/>
  <c r="H15" i="17" s="1"/>
  <c r="I15" i="17" s="1"/>
  <c r="G16" i="17"/>
  <c r="H16" i="17" s="1"/>
  <c r="G17" i="17"/>
  <c r="H17" i="17" s="1"/>
  <c r="I17" i="17" s="1"/>
  <c r="G18" i="17"/>
  <c r="H18" i="17" s="1"/>
  <c r="I18" i="17" s="1"/>
  <c r="G19" i="17"/>
  <c r="H19" i="17" s="1"/>
  <c r="G20" i="17"/>
  <c r="H20" i="17" s="1"/>
  <c r="G21" i="17"/>
  <c r="H21" i="17" s="1"/>
  <c r="G22" i="17"/>
  <c r="H22" i="17" s="1"/>
  <c r="G23" i="17"/>
  <c r="H23" i="17" s="1"/>
  <c r="G24" i="17"/>
  <c r="H24" i="17" s="1"/>
  <c r="G25" i="17"/>
  <c r="H25" i="17" s="1"/>
  <c r="G26" i="17"/>
  <c r="H26" i="17" s="1"/>
  <c r="G27" i="17"/>
  <c r="H27" i="17" s="1"/>
  <c r="G28" i="17"/>
  <c r="H28" i="17" s="1"/>
  <c r="G29" i="17"/>
  <c r="H29" i="17" s="1"/>
  <c r="G30" i="17"/>
  <c r="H30" i="17" s="1"/>
  <c r="G31" i="17"/>
  <c r="H31" i="17" s="1"/>
  <c r="I31" i="17" s="1"/>
  <c r="G32" i="17"/>
  <c r="H32" i="17" s="1"/>
  <c r="G33" i="17"/>
  <c r="H33" i="17" s="1"/>
  <c r="I33" i="17" s="1"/>
  <c r="G34" i="17"/>
  <c r="H34" i="17" s="1"/>
  <c r="G35" i="17"/>
  <c r="H35" i="17" s="1"/>
  <c r="G36" i="17"/>
  <c r="H36" i="17" s="1"/>
  <c r="G37" i="17"/>
  <c r="H37" i="17" s="1"/>
  <c r="G38" i="17"/>
  <c r="H38" i="17" s="1"/>
  <c r="G39" i="17"/>
  <c r="H39" i="17" s="1"/>
  <c r="G40" i="17"/>
  <c r="H40" i="17" s="1"/>
  <c r="G41" i="17"/>
  <c r="H41" i="17" s="1"/>
  <c r="G42" i="17"/>
  <c r="H42" i="17" s="1"/>
  <c r="G43" i="17"/>
  <c r="H43" i="17" s="1"/>
  <c r="G44" i="17"/>
  <c r="H44" i="17" s="1"/>
  <c r="G45" i="17"/>
  <c r="H45" i="17" s="1"/>
  <c r="G46" i="17"/>
  <c r="H46" i="17" s="1"/>
  <c r="G47" i="17"/>
  <c r="H47" i="17" s="1"/>
  <c r="I47" i="17" s="1"/>
  <c r="G48" i="17"/>
  <c r="H48" i="17" s="1"/>
  <c r="G49" i="17"/>
  <c r="H49" i="17" s="1"/>
  <c r="I49" i="17" s="1"/>
  <c r="G50" i="17"/>
  <c r="H50" i="17" s="1"/>
  <c r="G51" i="17"/>
  <c r="H51" i="17" s="1"/>
  <c r="G52" i="17"/>
  <c r="H52" i="17" s="1"/>
  <c r="G53" i="17"/>
  <c r="H53" i="17" s="1"/>
  <c r="G54" i="17"/>
  <c r="H54" i="17" s="1"/>
  <c r="G55" i="17"/>
  <c r="H55" i="17" s="1"/>
  <c r="G56" i="17"/>
  <c r="H56" i="17" s="1"/>
  <c r="G57" i="17"/>
  <c r="H57" i="17" s="1"/>
  <c r="G58" i="17"/>
  <c r="H58" i="17" s="1"/>
  <c r="G59" i="17"/>
  <c r="H59" i="17" s="1"/>
  <c r="G60" i="17"/>
  <c r="H60" i="17" s="1"/>
  <c r="G61" i="17"/>
  <c r="H61" i="17" s="1"/>
  <c r="G62" i="17"/>
  <c r="H62" i="17" s="1"/>
  <c r="G63" i="17"/>
  <c r="H63" i="17" s="1"/>
  <c r="I63" i="17" s="1"/>
  <c r="G64" i="17"/>
  <c r="H64" i="17" s="1"/>
  <c r="G65" i="17"/>
  <c r="H65" i="17" s="1"/>
  <c r="G66" i="17"/>
  <c r="H66" i="17" s="1"/>
  <c r="I66" i="17" s="1"/>
  <c r="G67" i="17"/>
  <c r="H67" i="17" s="1"/>
  <c r="G68" i="17"/>
  <c r="H68" i="17" s="1"/>
  <c r="G69" i="17"/>
  <c r="H69" i="17" s="1"/>
  <c r="G70" i="17"/>
  <c r="H70" i="17" s="1"/>
  <c r="G71" i="17"/>
  <c r="H71" i="17" s="1"/>
  <c r="G72" i="17"/>
  <c r="H72" i="17" s="1"/>
  <c r="G73" i="17"/>
  <c r="H73" i="17" s="1"/>
  <c r="G74" i="17"/>
  <c r="H74" i="17" s="1"/>
  <c r="G75" i="17"/>
  <c r="H75" i="17" s="1"/>
  <c r="G76" i="17"/>
  <c r="H76" i="17" s="1"/>
  <c r="I76" i="17" s="1"/>
  <c r="G77" i="17"/>
  <c r="H77" i="17" s="1"/>
  <c r="G78" i="17"/>
  <c r="H78" i="17" s="1"/>
  <c r="G79" i="17"/>
  <c r="H79" i="17" s="1"/>
  <c r="I79" i="17" s="1"/>
  <c r="G80" i="17"/>
  <c r="H80" i="17" s="1"/>
  <c r="G81" i="17"/>
  <c r="H81" i="17" s="1"/>
  <c r="G82" i="17"/>
  <c r="H82" i="17" s="1"/>
  <c r="G83" i="17"/>
  <c r="H83" i="17" s="1"/>
  <c r="G84" i="17"/>
  <c r="H84" i="17" s="1"/>
  <c r="G85" i="17"/>
  <c r="H85" i="17" s="1"/>
  <c r="G86" i="17"/>
  <c r="H86" i="17" s="1"/>
  <c r="G87" i="17"/>
  <c r="H87" i="17" s="1"/>
  <c r="G88" i="17"/>
  <c r="H88" i="17" s="1"/>
  <c r="G89" i="17"/>
  <c r="H89" i="17" s="1"/>
  <c r="I89" i="17" s="1"/>
  <c r="G90" i="17"/>
  <c r="H90" i="17" s="1"/>
  <c r="G91" i="17"/>
  <c r="H91" i="17" s="1"/>
  <c r="G92" i="17"/>
  <c r="H92" i="17" s="1"/>
  <c r="G93" i="17"/>
  <c r="H93" i="17" s="1"/>
  <c r="G94" i="17"/>
  <c r="H94" i="17" s="1"/>
  <c r="G95" i="17"/>
  <c r="H95" i="17" s="1"/>
  <c r="G96" i="17"/>
  <c r="H96" i="17" s="1"/>
  <c r="G97" i="17"/>
  <c r="H97" i="17" s="1"/>
  <c r="G98" i="17"/>
  <c r="H98" i="17" s="1"/>
  <c r="G99" i="17"/>
  <c r="H99" i="17" s="1"/>
  <c r="G100" i="17"/>
  <c r="H100" i="17" s="1"/>
  <c r="G101" i="17"/>
  <c r="H101" i="17" s="1"/>
  <c r="G102" i="17"/>
  <c r="H102" i="17" s="1"/>
  <c r="I102" i="17" s="1"/>
  <c r="G103" i="17"/>
  <c r="H103" i="17" s="1"/>
  <c r="G104" i="17"/>
  <c r="H104" i="17" s="1"/>
  <c r="G105" i="17"/>
  <c r="H105" i="17" s="1"/>
  <c r="I105" i="17" s="1"/>
  <c r="G106" i="17"/>
  <c r="H106" i="17" s="1"/>
  <c r="G107" i="17"/>
  <c r="H107" i="17" s="1"/>
  <c r="G108" i="17"/>
  <c r="H108" i="17" s="1"/>
  <c r="G109" i="17"/>
  <c r="H109" i="17" s="1"/>
  <c r="G110" i="17"/>
  <c r="H110" i="17" s="1"/>
  <c r="G111" i="17"/>
  <c r="H111" i="17" s="1"/>
  <c r="G112" i="17"/>
  <c r="H112" i="17" s="1"/>
  <c r="G113" i="17"/>
  <c r="H113" i="17" s="1"/>
  <c r="G114" i="17"/>
  <c r="H114" i="17" s="1"/>
  <c r="I114" i="17" s="1"/>
  <c r="G115" i="17"/>
  <c r="H115" i="17" s="1"/>
  <c r="G116" i="17"/>
  <c r="H116" i="17" s="1"/>
  <c r="I116" i="17" s="1"/>
  <c r="G117" i="17"/>
  <c r="H117" i="17" s="1"/>
  <c r="G118" i="17"/>
  <c r="H118" i="17" s="1"/>
  <c r="G119" i="17"/>
  <c r="H119" i="17" s="1"/>
  <c r="G120" i="17"/>
  <c r="H120" i="17" s="1"/>
  <c r="G121" i="17"/>
  <c r="H121" i="17" s="1"/>
  <c r="G122" i="17"/>
  <c r="H122" i="17" s="1"/>
  <c r="G123" i="17"/>
  <c r="H123" i="17" s="1"/>
  <c r="G124" i="17"/>
  <c r="H124" i="17" s="1"/>
  <c r="G125" i="17"/>
  <c r="H125" i="17" s="1"/>
  <c r="G126" i="17"/>
  <c r="H126" i="17" s="1"/>
  <c r="G127" i="17"/>
  <c r="H127" i="17" s="1"/>
  <c r="G128" i="17"/>
  <c r="H128" i="17" s="1"/>
  <c r="G129" i="17"/>
  <c r="H129" i="17" s="1"/>
  <c r="I129" i="17" s="1"/>
  <c r="G130" i="17"/>
  <c r="H130" i="17" s="1"/>
  <c r="I130" i="17" s="1"/>
  <c r="G131" i="17"/>
  <c r="H131" i="17" s="1"/>
  <c r="G132" i="17"/>
  <c r="H132" i="17" s="1"/>
  <c r="G133" i="17"/>
  <c r="H133" i="17" s="1"/>
  <c r="G134" i="17"/>
  <c r="H134" i="17" s="1"/>
  <c r="G135" i="17"/>
  <c r="H135" i="17" s="1"/>
  <c r="G136" i="17"/>
  <c r="H136" i="17" s="1"/>
  <c r="G137" i="17"/>
  <c r="H137" i="17" s="1"/>
  <c r="G138" i="17"/>
  <c r="H138" i="17" s="1"/>
  <c r="G139" i="17"/>
  <c r="H139" i="17" s="1"/>
  <c r="G140" i="17"/>
  <c r="H140" i="17" s="1"/>
  <c r="I140" i="17" s="1"/>
  <c r="G141" i="17"/>
  <c r="H141" i="17" s="1"/>
  <c r="G142" i="17"/>
  <c r="H142" i="17" s="1"/>
  <c r="G143" i="17"/>
  <c r="H143" i="17" s="1"/>
  <c r="I143" i="17" s="1"/>
  <c r="G144" i="17"/>
  <c r="H144" i="17" s="1"/>
  <c r="G145" i="17"/>
  <c r="H145" i="17" s="1"/>
  <c r="G146" i="17"/>
  <c r="H146" i="17" s="1"/>
  <c r="G147" i="17"/>
  <c r="H147" i="17" s="1"/>
  <c r="G148" i="17"/>
  <c r="H148" i="17" s="1"/>
  <c r="G149" i="17"/>
  <c r="H149" i="17" s="1"/>
  <c r="G150" i="17"/>
  <c r="H150" i="17" s="1"/>
  <c r="G151" i="17"/>
  <c r="H151" i="17" s="1"/>
  <c r="G152" i="17"/>
  <c r="H152" i="17" s="1"/>
  <c r="G153" i="17"/>
  <c r="H153" i="17" s="1"/>
  <c r="I153" i="17" s="1"/>
  <c r="G154" i="17"/>
  <c r="H154" i="17" s="1"/>
  <c r="I154" i="17" s="1"/>
  <c r="G155" i="17"/>
  <c r="H155" i="17" s="1"/>
  <c r="G156" i="17"/>
  <c r="H156" i="17" s="1"/>
  <c r="G157" i="17"/>
  <c r="H157" i="17" s="1"/>
  <c r="G158" i="17"/>
  <c r="H158" i="17" s="1"/>
  <c r="G159" i="17"/>
  <c r="H159" i="17" s="1"/>
  <c r="G160" i="17"/>
  <c r="H160" i="17" s="1"/>
  <c r="G161" i="17"/>
  <c r="H161" i="17" s="1"/>
  <c r="G162" i="17"/>
  <c r="H162" i="17" s="1"/>
  <c r="G163" i="17"/>
  <c r="H163" i="17" s="1"/>
  <c r="G164" i="17"/>
  <c r="H164" i="17" s="1"/>
  <c r="G165" i="17"/>
  <c r="H165" i="17" s="1"/>
  <c r="G166" i="17"/>
  <c r="H166" i="17" s="1"/>
  <c r="G167" i="17"/>
  <c r="H167" i="17" s="1"/>
  <c r="G168" i="17"/>
  <c r="H168" i="17" s="1"/>
  <c r="G169" i="17"/>
  <c r="H169" i="17" s="1"/>
  <c r="I169" i="17" s="1"/>
  <c r="G170" i="17"/>
  <c r="H170" i="17" s="1"/>
  <c r="G171" i="17"/>
  <c r="H171" i="17" s="1"/>
  <c r="G172" i="17"/>
  <c r="H172" i="17" s="1"/>
  <c r="G173" i="17"/>
  <c r="H173" i="17" s="1"/>
  <c r="G174" i="17"/>
  <c r="H174" i="17" s="1"/>
  <c r="G175" i="17"/>
  <c r="H175" i="17" s="1"/>
  <c r="G176" i="17"/>
  <c r="H176" i="17" s="1"/>
  <c r="G177" i="17"/>
  <c r="H177" i="17" s="1"/>
  <c r="G178" i="17"/>
  <c r="H178" i="17" s="1"/>
  <c r="G179" i="17"/>
  <c r="H179" i="17" s="1"/>
  <c r="G180" i="17"/>
  <c r="H180" i="17" s="1"/>
  <c r="G181" i="17"/>
  <c r="H181" i="17" s="1"/>
  <c r="G182" i="17"/>
  <c r="H182" i="17" s="1"/>
  <c r="I182" i="17" s="1"/>
  <c r="G183" i="17"/>
  <c r="H183" i="17" s="1"/>
  <c r="G184" i="17"/>
  <c r="H184" i="17" s="1"/>
  <c r="G185" i="17"/>
  <c r="H185" i="17" s="1"/>
  <c r="G186" i="17"/>
  <c r="H186" i="17" s="1"/>
  <c r="G187" i="17"/>
  <c r="H187" i="17" s="1"/>
  <c r="G188" i="17"/>
  <c r="H188" i="17" s="1"/>
  <c r="G189" i="17"/>
  <c r="H189" i="17" s="1"/>
  <c r="G190" i="17"/>
  <c r="H190" i="17" s="1"/>
  <c r="G191" i="17"/>
  <c r="H191" i="17" s="1"/>
  <c r="I191" i="17" s="1"/>
  <c r="G192" i="17"/>
  <c r="H192" i="17" s="1"/>
  <c r="G193" i="17"/>
  <c r="H193" i="17" s="1"/>
  <c r="I193" i="17" s="1"/>
  <c r="G194" i="17"/>
  <c r="H194" i="17" s="1"/>
  <c r="G195" i="17"/>
  <c r="H195" i="17" s="1"/>
  <c r="G196" i="17"/>
  <c r="H196" i="17" s="1"/>
  <c r="G197" i="17"/>
  <c r="H197" i="17" s="1"/>
  <c r="G198" i="17"/>
  <c r="H198" i="17" s="1"/>
  <c r="G199" i="17"/>
  <c r="H199" i="17" s="1"/>
  <c r="G200" i="17"/>
  <c r="H200" i="17" s="1"/>
  <c r="G201" i="17"/>
  <c r="H201" i="17" s="1"/>
  <c r="G202" i="17"/>
  <c r="H202" i="17" s="1"/>
  <c r="G203" i="17"/>
  <c r="H203" i="17" s="1"/>
  <c r="G204" i="17"/>
  <c r="H204" i="17" s="1"/>
  <c r="G205" i="17"/>
  <c r="H205" i="17" s="1"/>
  <c r="G206" i="17"/>
  <c r="H206" i="17" s="1"/>
  <c r="I206" i="17" s="1"/>
  <c r="G207" i="17"/>
  <c r="H207" i="17" s="1"/>
  <c r="G208" i="17"/>
  <c r="H208" i="17" s="1"/>
  <c r="G209" i="17"/>
  <c r="H209" i="17" s="1"/>
  <c r="G210" i="17"/>
  <c r="H210" i="17" s="1"/>
  <c r="G211" i="17"/>
  <c r="H211" i="17" s="1"/>
  <c r="G212" i="17"/>
  <c r="H212" i="17" s="1"/>
  <c r="G213" i="17"/>
  <c r="H213" i="17" s="1"/>
  <c r="G214" i="17"/>
  <c r="H214" i="17" s="1"/>
  <c r="G215" i="17"/>
  <c r="H215" i="17" s="1"/>
  <c r="G216" i="17"/>
  <c r="H216" i="17" s="1"/>
  <c r="G217" i="17"/>
  <c r="H217" i="17" s="1"/>
  <c r="G218" i="17"/>
  <c r="H218" i="17" s="1"/>
  <c r="I218" i="17" s="1"/>
  <c r="G219" i="17"/>
  <c r="H219" i="17" s="1"/>
  <c r="G220" i="17"/>
  <c r="H220" i="17" s="1"/>
  <c r="I220" i="17" s="1"/>
  <c r="G221" i="17"/>
  <c r="H221" i="17" s="1"/>
  <c r="G222" i="17"/>
  <c r="H222" i="17" s="1"/>
  <c r="G223" i="17"/>
  <c r="H223" i="17" s="1"/>
  <c r="G224" i="17"/>
  <c r="H224" i="17" s="1"/>
  <c r="G225" i="17"/>
  <c r="H225" i="17" s="1"/>
  <c r="G226" i="17"/>
  <c r="H226" i="17" s="1"/>
  <c r="G227" i="17"/>
  <c r="H227" i="17" s="1"/>
  <c r="G228" i="17"/>
  <c r="H228" i="17" s="1"/>
  <c r="G229" i="17"/>
  <c r="H229" i="17" s="1"/>
  <c r="G230" i="17"/>
  <c r="H230" i="17" s="1"/>
  <c r="G231" i="17"/>
  <c r="H231" i="17" s="1"/>
  <c r="G232" i="17"/>
  <c r="H232" i="17" s="1"/>
  <c r="G233" i="17"/>
  <c r="H233" i="17" s="1"/>
  <c r="G234" i="17"/>
  <c r="H234" i="17" s="1"/>
  <c r="G235" i="17"/>
  <c r="H235" i="17" s="1"/>
  <c r="G236" i="17"/>
  <c r="H236" i="17" s="1"/>
  <c r="G237" i="17"/>
  <c r="H237" i="17" s="1"/>
  <c r="G238" i="17"/>
  <c r="H238" i="17" s="1"/>
  <c r="G239" i="17"/>
  <c r="H239" i="17" s="1"/>
  <c r="G240" i="17"/>
  <c r="H240" i="17" s="1"/>
  <c r="G241" i="17"/>
  <c r="H241" i="17" s="1"/>
  <c r="G242" i="17"/>
  <c r="H242" i="17" s="1"/>
  <c r="I242" i="17" s="1"/>
  <c r="G243" i="17"/>
  <c r="H243" i="17" s="1"/>
  <c r="G244" i="17"/>
  <c r="H244" i="17" s="1"/>
  <c r="G245" i="17"/>
  <c r="H245" i="17" s="1"/>
  <c r="G246" i="17"/>
  <c r="H246" i="17" s="1"/>
  <c r="G247" i="17"/>
  <c r="H247" i="17" s="1"/>
  <c r="G248" i="17"/>
  <c r="H248" i="17" s="1"/>
  <c r="G249" i="17"/>
  <c r="H249" i="17" s="1"/>
  <c r="G250" i="17"/>
  <c r="H250" i="17" s="1"/>
  <c r="G251" i="17"/>
  <c r="H251" i="17" s="1"/>
  <c r="G252" i="17"/>
  <c r="H252" i="17" s="1"/>
  <c r="G253" i="17"/>
  <c r="H253" i="17" s="1"/>
  <c r="G254" i="17"/>
  <c r="H254" i="17" s="1"/>
  <c r="G255" i="17"/>
  <c r="H255" i="17" s="1"/>
  <c r="I255" i="17" s="1"/>
  <c r="G256" i="17"/>
  <c r="H256" i="17" s="1"/>
  <c r="G257" i="17"/>
  <c r="H257" i="17" s="1"/>
  <c r="I257" i="17" s="1"/>
  <c r="G258" i="17"/>
  <c r="H258" i="17" s="1"/>
  <c r="G259" i="17"/>
  <c r="H259" i="17" s="1"/>
  <c r="G260" i="17"/>
  <c r="H260" i="17" s="1"/>
  <c r="G261" i="17"/>
  <c r="H261" i="17" s="1"/>
  <c r="G262" i="17"/>
  <c r="H262" i="17" s="1"/>
  <c r="G263" i="17"/>
  <c r="H263" i="17" s="1"/>
  <c r="G264" i="17"/>
  <c r="H264" i="17" s="1"/>
  <c r="G265" i="17"/>
  <c r="H265" i="17" s="1"/>
  <c r="G266" i="17"/>
  <c r="H266" i="17" s="1"/>
  <c r="G267" i="17"/>
  <c r="H267" i="17" s="1"/>
  <c r="G268" i="17"/>
  <c r="H268" i="17" s="1"/>
  <c r="G269" i="17"/>
  <c r="H269" i="17" s="1"/>
  <c r="G270" i="17"/>
  <c r="H270" i="17" s="1"/>
  <c r="G271" i="17"/>
  <c r="H271" i="17" s="1"/>
  <c r="I271" i="17" s="1"/>
  <c r="G272" i="17"/>
  <c r="H272" i="17" s="1"/>
  <c r="G273" i="17"/>
  <c r="H273" i="17" s="1"/>
  <c r="G274" i="17"/>
  <c r="H274" i="17" s="1"/>
  <c r="G275" i="17"/>
  <c r="H275" i="17" s="1"/>
  <c r="G276" i="17"/>
  <c r="H276" i="17" s="1"/>
  <c r="G277" i="17"/>
  <c r="H277" i="17" s="1"/>
  <c r="G278" i="17"/>
  <c r="H278" i="17" s="1"/>
  <c r="G279" i="17"/>
  <c r="H279" i="17" s="1"/>
  <c r="G280" i="17"/>
  <c r="H280" i="17" s="1"/>
  <c r="G281" i="17"/>
  <c r="H281" i="17" s="1"/>
  <c r="G282" i="17"/>
  <c r="H282" i="17" s="1"/>
  <c r="G283" i="17"/>
  <c r="H283" i="17" s="1"/>
  <c r="G284" i="17"/>
  <c r="H284" i="17" s="1"/>
  <c r="I284" i="17" s="1"/>
  <c r="G285" i="17"/>
  <c r="H285" i="17" s="1"/>
  <c r="G286" i="17"/>
  <c r="H286" i="17" s="1"/>
  <c r="G287" i="17"/>
  <c r="H287" i="17" s="1"/>
  <c r="G288" i="17"/>
  <c r="H288" i="17" s="1"/>
  <c r="G289" i="17"/>
  <c r="H289" i="17" s="1"/>
  <c r="G290" i="17"/>
  <c r="H290" i="17" s="1"/>
  <c r="G291" i="17"/>
  <c r="H291" i="17" s="1"/>
  <c r="G292" i="17"/>
  <c r="H292" i="17" s="1"/>
  <c r="G293" i="17"/>
  <c r="H293" i="17" s="1"/>
  <c r="G294" i="17"/>
  <c r="H294" i="17" s="1"/>
  <c r="I294" i="17" s="1"/>
  <c r="G295" i="17"/>
  <c r="H295" i="17" s="1"/>
  <c r="G296" i="17"/>
  <c r="H296" i="17" s="1"/>
  <c r="G297" i="17"/>
  <c r="H297" i="17" s="1"/>
  <c r="G298" i="17"/>
  <c r="H298" i="17" s="1"/>
  <c r="G299" i="17"/>
  <c r="H299" i="17" s="1"/>
  <c r="G300" i="17"/>
  <c r="H300" i="17" s="1"/>
  <c r="G301" i="17"/>
  <c r="H301" i="17" s="1"/>
  <c r="G302" i="17"/>
  <c r="H302" i="17" s="1"/>
  <c r="G303" i="17"/>
  <c r="H303" i="17" s="1"/>
  <c r="G304" i="17"/>
  <c r="H304" i="17" s="1"/>
  <c r="G305" i="17"/>
  <c r="H305" i="17" s="1"/>
  <c r="G306" i="17"/>
  <c r="H306" i="17" s="1"/>
  <c r="G307" i="17"/>
  <c r="H307" i="17" s="1"/>
  <c r="G308" i="17"/>
  <c r="H308" i="17" s="1"/>
  <c r="I308" i="17" s="1"/>
  <c r="G309" i="17"/>
  <c r="H309" i="17" s="1"/>
  <c r="G310" i="17"/>
  <c r="H310" i="17" s="1"/>
  <c r="G311" i="17"/>
  <c r="H311" i="17" s="1"/>
  <c r="G312" i="17"/>
  <c r="H312" i="17" s="1"/>
  <c r="G313" i="17"/>
  <c r="H313" i="17" s="1"/>
  <c r="G314" i="17"/>
  <c r="H314" i="17" s="1"/>
  <c r="G315" i="17"/>
  <c r="H315" i="17" s="1"/>
  <c r="G316" i="17"/>
  <c r="H316" i="17" s="1"/>
  <c r="G317" i="17"/>
  <c r="H317" i="17" s="1"/>
  <c r="G318" i="17"/>
  <c r="H318" i="17" s="1"/>
  <c r="G319" i="17"/>
  <c r="H319" i="17" s="1"/>
  <c r="G320" i="17"/>
  <c r="H320" i="17" s="1"/>
  <c r="G321" i="17"/>
  <c r="H321" i="17" s="1"/>
  <c r="G322" i="17"/>
  <c r="H322" i="17" s="1"/>
  <c r="I322" i="17" s="1"/>
  <c r="G323" i="17"/>
  <c r="H323" i="17" s="1"/>
  <c r="G324" i="17"/>
  <c r="H324" i="17" s="1"/>
  <c r="G325" i="17"/>
  <c r="H325" i="17" s="1"/>
  <c r="G326" i="17"/>
  <c r="H326" i="17" s="1"/>
  <c r="G327" i="17"/>
  <c r="H327" i="17" s="1"/>
  <c r="G328" i="17"/>
  <c r="H328" i="17" s="1"/>
  <c r="G329" i="17"/>
  <c r="H329" i="17" s="1"/>
  <c r="G330" i="17"/>
  <c r="H330" i="17" s="1"/>
  <c r="G331" i="17"/>
  <c r="H331" i="17" s="1"/>
  <c r="G332" i="17"/>
  <c r="H332" i="17" s="1"/>
  <c r="G333" i="17"/>
  <c r="H333" i="17" s="1"/>
  <c r="G334" i="17"/>
  <c r="H334" i="17" s="1"/>
  <c r="G335" i="17"/>
  <c r="H335" i="17" s="1"/>
  <c r="G336" i="17"/>
  <c r="H336" i="17" s="1"/>
  <c r="G337" i="17"/>
  <c r="H337" i="17" s="1"/>
  <c r="G338" i="17"/>
  <c r="H338" i="17" s="1"/>
  <c r="G339" i="17"/>
  <c r="H339" i="17" s="1"/>
  <c r="G340" i="17"/>
  <c r="H340" i="17" s="1"/>
  <c r="G341" i="17"/>
  <c r="H341" i="17" s="1"/>
  <c r="G342" i="17"/>
  <c r="H342" i="17" s="1"/>
  <c r="G343" i="17"/>
  <c r="H343" i="17" s="1"/>
  <c r="G344" i="17"/>
  <c r="H344" i="17" s="1"/>
  <c r="G345" i="17"/>
  <c r="H345" i="17" s="1"/>
  <c r="I345" i="17" s="1"/>
  <c r="G346" i="17"/>
  <c r="H346" i="17" s="1"/>
  <c r="G347" i="17"/>
  <c r="H347" i="17" s="1"/>
  <c r="G348" i="17"/>
  <c r="H348" i="17" s="1"/>
  <c r="G349" i="17"/>
  <c r="H349" i="17" s="1"/>
  <c r="G350" i="17"/>
  <c r="H350" i="17" s="1"/>
  <c r="G351" i="17"/>
  <c r="H351" i="17" s="1"/>
  <c r="G352" i="17"/>
  <c r="H352" i="17" s="1"/>
  <c r="G353" i="17"/>
  <c r="H353" i="17" s="1"/>
  <c r="G354" i="17"/>
  <c r="H354" i="17" s="1"/>
  <c r="G355" i="17"/>
  <c r="H355" i="17" s="1"/>
  <c r="G356" i="17"/>
  <c r="H356" i="17" s="1"/>
  <c r="G357" i="17"/>
  <c r="H357" i="17" s="1"/>
  <c r="G358" i="17"/>
  <c r="H358" i="17" s="1"/>
  <c r="I358" i="17" s="1"/>
  <c r="G359" i="17"/>
  <c r="H359" i="17" s="1"/>
  <c r="I359" i="17" s="1"/>
  <c r="G360" i="17"/>
  <c r="H360" i="17" s="1"/>
  <c r="G361" i="17"/>
  <c r="H361" i="17" s="1"/>
  <c r="G362" i="17"/>
  <c r="H362" i="17" s="1"/>
  <c r="G363" i="17"/>
  <c r="H363" i="17" s="1"/>
  <c r="G364" i="17"/>
  <c r="H364" i="17" s="1"/>
  <c r="G365" i="17"/>
  <c r="H365" i="17" s="1"/>
  <c r="G366" i="17"/>
  <c r="H366" i="17" s="1"/>
  <c r="G367" i="17"/>
  <c r="H367" i="17" s="1"/>
  <c r="G368" i="17"/>
  <c r="H368" i="17" s="1"/>
  <c r="G369" i="17"/>
  <c r="H369" i="17" s="1"/>
  <c r="G370" i="17"/>
  <c r="H370" i="17" s="1"/>
  <c r="G371" i="17"/>
  <c r="H371" i="17" s="1"/>
  <c r="G372" i="17"/>
  <c r="H372" i="17" s="1"/>
  <c r="G373" i="17"/>
  <c r="H373" i="17" s="1"/>
  <c r="G374" i="17"/>
  <c r="H374" i="17" s="1"/>
  <c r="I374" i="17" s="1"/>
  <c r="G375" i="17"/>
  <c r="H375" i="17" s="1"/>
  <c r="G376" i="17"/>
  <c r="H376" i="17" s="1"/>
  <c r="G377" i="17"/>
  <c r="H377" i="17" s="1"/>
  <c r="G378" i="17"/>
  <c r="H378" i="17" s="1"/>
  <c r="G379" i="17"/>
  <c r="H379" i="17" s="1"/>
  <c r="G380" i="17"/>
  <c r="H380" i="17" s="1"/>
  <c r="G381" i="17"/>
  <c r="H381" i="17" s="1"/>
  <c r="G382" i="17"/>
  <c r="H382" i="17" s="1"/>
  <c r="G383" i="17"/>
  <c r="H383" i="17" s="1"/>
  <c r="G384" i="17"/>
  <c r="H384" i="17" s="1"/>
  <c r="G385" i="17"/>
  <c r="H385" i="17" s="1"/>
  <c r="G386" i="17"/>
  <c r="H386" i="17" s="1"/>
  <c r="I386" i="17" s="1"/>
  <c r="G387" i="17"/>
  <c r="H387" i="17" s="1"/>
  <c r="G388" i="17"/>
  <c r="H388" i="17" s="1"/>
  <c r="G389" i="17"/>
  <c r="H389" i="17" s="1"/>
  <c r="G390" i="17"/>
  <c r="H390" i="17" s="1"/>
  <c r="G391" i="17"/>
  <c r="H391" i="17" s="1"/>
  <c r="G392" i="17"/>
  <c r="H392" i="17" s="1"/>
  <c r="G393" i="17"/>
  <c r="H393" i="17" s="1"/>
  <c r="G394" i="17"/>
  <c r="H394" i="17" s="1"/>
  <c r="G395" i="17"/>
  <c r="H395" i="17" s="1"/>
  <c r="G396" i="17"/>
  <c r="H396" i="17" s="1"/>
  <c r="I396" i="17" s="1"/>
  <c r="G397" i="17"/>
  <c r="H397" i="17" s="1"/>
  <c r="G398" i="17"/>
  <c r="H398" i="17" s="1"/>
  <c r="G399" i="17"/>
  <c r="H399" i="17" s="1"/>
  <c r="G400" i="17"/>
  <c r="H400" i="17" s="1"/>
  <c r="G401" i="17"/>
  <c r="H401" i="17" s="1"/>
  <c r="G402" i="17"/>
  <c r="H402" i="17" s="1"/>
  <c r="G403" i="17"/>
  <c r="H403" i="17" s="1"/>
  <c r="G404" i="17"/>
  <c r="H404" i="17" s="1"/>
  <c r="G405" i="17"/>
  <c r="H405" i="17" s="1"/>
  <c r="G406" i="17"/>
  <c r="H406" i="17" s="1"/>
  <c r="G407" i="17"/>
  <c r="H407" i="17" s="1"/>
  <c r="G408" i="17"/>
  <c r="H408" i="17" s="1"/>
  <c r="G409" i="17"/>
  <c r="H409" i="17" s="1"/>
  <c r="G410" i="17"/>
  <c r="H410" i="17" s="1"/>
  <c r="I410" i="17" s="1"/>
  <c r="G411" i="17"/>
  <c r="H411" i="17" s="1"/>
  <c r="G412" i="17"/>
  <c r="H412" i="17" s="1"/>
  <c r="G413" i="17"/>
  <c r="H413" i="17" s="1"/>
  <c r="G414" i="17"/>
  <c r="H414" i="17" s="1"/>
  <c r="G415" i="17"/>
  <c r="H415" i="17" s="1"/>
  <c r="G416" i="17"/>
  <c r="H416" i="17" s="1"/>
  <c r="G417" i="17"/>
  <c r="H417" i="17" s="1"/>
  <c r="G418" i="17"/>
  <c r="H418" i="17" s="1"/>
  <c r="G419" i="17"/>
  <c r="H419" i="17" s="1"/>
  <c r="G420" i="17"/>
  <c r="H420" i="17" s="1"/>
  <c r="G421" i="17"/>
  <c r="H421" i="17" s="1"/>
  <c r="G422" i="17"/>
  <c r="H422" i="17" s="1"/>
  <c r="G423" i="17"/>
  <c r="H423" i="17" s="1"/>
  <c r="I423" i="17" s="1"/>
  <c r="G424" i="17"/>
  <c r="H424" i="17" s="1"/>
  <c r="G425" i="17"/>
  <c r="H425" i="17" s="1"/>
  <c r="I425" i="17" s="1"/>
  <c r="G426" i="17"/>
  <c r="H426" i="17" s="1"/>
  <c r="G427" i="17"/>
  <c r="H427" i="17" s="1"/>
  <c r="G428" i="17"/>
  <c r="H428" i="17" s="1"/>
  <c r="G429" i="17"/>
  <c r="H429" i="17" s="1"/>
  <c r="G430" i="17"/>
  <c r="H430" i="17" s="1"/>
  <c r="G431" i="17"/>
  <c r="H431" i="17" s="1"/>
  <c r="G432" i="17"/>
  <c r="H432" i="17" s="1"/>
  <c r="G433" i="17"/>
  <c r="H433" i="17" s="1"/>
  <c r="G434" i="17"/>
  <c r="H434" i="17" s="1"/>
  <c r="G435" i="17"/>
  <c r="H435" i="17" s="1"/>
  <c r="G436" i="17"/>
  <c r="H436" i="17" s="1"/>
  <c r="G437" i="17"/>
  <c r="H437" i="17" s="1"/>
  <c r="G438" i="17"/>
  <c r="H438" i="17" s="1"/>
  <c r="G439" i="17"/>
  <c r="H439" i="17" s="1"/>
  <c r="G440" i="17"/>
  <c r="H440" i="17" s="1"/>
  <c r="G441" i="17"/>
  <c r="H441" i="17" s="1"/>
  <c r="G442" i="17"/>
  <c r="H442" i="17" s="1"/>
  <c r="G443" i="17"/>
  <c r="H443" i="17" s="1"/>
  <c r="G444" i="17"/>
  <c r="H444" i="17" s="1"/>
  <c r="G445" i="17"/>
  <c r="H445" i="17" s="1"/>
  <c r="G446" i="17"/>
  <c r="H446" i="17" s="1"/>
  <c r="G447" i="17"/>
  <c r="H447" i="17" s="1"/>
  <c r="I447" i="17" s="1"/>
  <c r="G448" i="17"/>
  <c r="H448" i="17" s="1"/>
  <c r="G449" i="17"/>
  <c r="H449" i="17" s="1"/>
  <c r="G450" i="17"/>
  <c r="H450" i="17" s="1"/>
  <c r="G451" i="17"/>
  <c r="H451" i="17" s="1"/>
  <c r="G452" i="17"/>
  <c r="H452" i="17" s="1"/>
  <c r="G453" i="17"/>
  <c r="H453" i="17" s="1"/>
  <c r="G454" i="17"/>
  <c r="H454" i="17" s="1"/>
  <c r="G455" i="17"/>
  <c r="H455" i="17" s="1"/>
  <c r="G456" i="17"/>
  <c r="H456" i="17" s="1"/>
  <c r="G457" i="17"/>
  <c r="H457" i="17" s="1"/>
  <c r="G458" i="17"/>
  <c r="H458" i="17" s="1"/>
  <c r="G459" i="17"/>
  <c r="H459" i="17" s="1"/>
  <c r="G460" i="17"/>
  <c r="H460" i="17" s="1"/>
  <c r="I460" i="17" s="1"/>
  <c r="G461" i="17"/>
  <c r="H461" i="17" s="1"/>
  <c r="G462" i="17"/>
  <c r="H462" i="17" s="1"/>
  <c r="I462" i="17" s="1"/>
  <c r="G463" i="17"/>
  <c r="H463" i="17" s="1"/>
  <c r="G464" i="17"/>
  <c r="H464" i="17" s="1"/>
  <c r="G465" i="17"/>
  <c r="H465" i="17" s="1"/>
  <c r="G466" i="17"/>
  <c r="H466" i="17" s="1"/>
  <c r="G467" i="17"/>
  <c r="H467" i="17" s="1"/>
  <c r="G468" i="17"/>
  <c r="H468" i="17" s="1"/>
  <c r="G469" i="17"/>
  <c r="H469" i="17" s="1"/>
  <c r="G470" i="17"/>
  <c r="H470" i="17" s="1"/>
  <c r="G471" i="17"/>
  <c r="H471" i="17" s="1"/>
  <c r="G472" i="17"/>
  <c r="H472" i="17" s="1"/>
  <c r="G473" i="17"/>
  <c r="H473" i="17" s="1"/>
  <c r="G474" i="17"/>
  <c r="H474" i="17" s="1"/>
  <c r="G475" i="17"/>
  <c r="H475" i="17" s="1"/>
  <c r="G476" i="17"/>
  <c r="H476" i="17" s="1"/>
  <c r="I476" i="17" s="1"/>
  <c r="G477" i="17"/>
  <c r="H477" i="17" s="1"/>
  <c r="G478" i="17"/>
  <c r="H478" i="17" s="1"/>
  <c r="G479" i="17"/>
  <c r="H479" i="17" s="1"/>
  <c r="G480" i="17"/>
  <c r="H480" i="17" s="1"/>
  <c r="G481" i="17"/>
  <c r="H481" i="17" s="1"/>
  <c r="G482" i="17"/>
  <c r="H482" i="17" s="1"/>
  <c r="G483" i="17"/>
  <c r="H483" i="17" s="1"/>
  <c r="G484" i="17"/>
  <c r="H484" i="17" s="1"/>
  <c r="G485" i="17"/>
  <c r="H485" i="17" s="1"/>
  <c r="G486" i="17"/>
  <c r="H486" i="17" s="1"/>
  <c r="G487" i="17"/>
  <c r="H487" i="17" s="1"/>
  <c r="G488" i="17"/>
  <c r="H488" i="17" s="1"/>
  <c r="G489" i="17"/>
  <c r="H489" i="17" s="1"/>
  <c r="I489" i="17" s="1"/>
  <c r="G490" i="17"/>
  <c r="H490" i="17" s="1"/>
  <c r="G491" i="17"/>
  <c r="H491" i="17" s="1"/>
  <c r="G492" i="17"/>
  <c r="H492" i="17" s="1"/>
  <c r="G493" i="17"/>
  <c r="H493" i="17" s="1"/>
  <c r="G494" i="17"/>
  <c r="H494" i="17" s="1"/>
  <c r="G495" i="17"/>
  <c r="H495" i="17" s="1"/>
  <c r="G496" i="17"/>
  <c r="H496" i="17" s="1"/>
  <c r="G497" i="17"/>
  <c r="H497" i="17" s="1"/>
  <c r="G498" i="17"/>
  <c r="H498" i="17" s="1"/>
  <c r="I498" i="17" s="1"/>
  <c r="G499" i="17"/>
  <c r="H499" i="17" s="1"/>
  <c r="G500" i="17"/>
  <c r="H500" i="17" s="1"/>
  <c r="G501" i="17"/>
  <c r="H501" i="17" s="1"/>
  <c r="G502" i="17"/>
  <c r="H502" i="17" s="1"/>
  <c r="G503" i="17"/>
  <c r="H503" i="17" s="1"/>
  <c r="G504" i="17"/>
  <c r="H504" i="17" s="1"/>
  <c r="G505" i="17"/>
  <c r="H505" i="17" s="1"/>
  <c r="G506" i="17"/>
  <c r="H506" i="17" s="1"/>
  <c r="G507" i="17"/>
  <c r="H507" i="17" s="1"/>
  <c r="G508" i="17"/>
  <c r="H508" i="17" s="1"/>
  <c r="G509" i="17"/>
  <c r="H509" i="17" s="1"/>
  <c r="G510" i="17"/>
  <c r="H510" i="17" s="1"/>
  <c r="G511" i="17"/>
  <c r="H511" i="17" s="1"/>
  <c r="G512" i="17"/>
  <c r="H512" i="17" s="1"/>
  <c r="G513" i="17"/>
  <c r="H513" i="17" s="1"/>
  <c r="I513" i="17" s="1"/>
  <c r="G514" i="17"/>
  <c r="H514" i="17" s="1"/>
  <c r="G515" i="17"/>
  <c r="H515" i="17" s="1"/>
  <c r="G516" i="17"/>
  <c r="H516" i="17" s="1"/>
  <c r="G517" i="17"/>
  <c r="H517" i="17" s="1"/>
  <c r="G518" i="17"/>
  <c r="H518" i="17" s="1"/>
  <c r="G519" i="17"/>
  <c r="H519" i="17" s="1"/>
  <c r="G520" i="17"/>
  <c r="H520" i="17" s="1"/>
  <c r="G521" i="17"/>
  <c r="H521" i="17" s="1"/>
  <c r="G522" i="17"/>
  <c r="H522" i="17" s="1"/>
  <c r="G523" i="17"/>
  <c r="H523" i="17" s="1"/>
  <c r="G524" i="17"/>
  <c r="H524" i="17" s="1"/>
  <c r="G525" i="17"/>
  <c r="H525" i="17" s="1"/>
  <c r="G526" i="17"/>
  <c r="H526" i="17" s="1"/>
  <c r="I526" i="17" s="1"/>
  <c r="G527" i="17"/>
  <c r="H527" i="17" s="1"/>
  <c r="I527" i="17" s="1"/>
  <c r="G528" i="17"/>
  <c r="H528" i="17" s="1"/>
  <c r="G529" i="17"/>
  <c r="H529" i="17" s="1"/>
  <c r="G530" i="17"/>
  <c r="H530" i="17" s="1"/>
  <c r="G531" i="17"/>
  <c r="H531" i="17" s="1"/>
  <c r="G532" i="17"/>
  <c r="H532" i="17" s="1"/>
  <c r="G533" i="17"/>
  <c r="H533" i="17" s="1"/>
  <c r="G534" i="17"/>
  <c r="H534" i="17" s="1"/>
  <c r="G535" i="17"/>
  <c r="H535" i="17" s="1"/>
  <c r="G536" i="17"/>
  <c r="H536" i="17" s="1"/>
  <c r="G537" i="17"/>
  <c r="H537" i="17" s="1"/>
  <c r="G538" i="17"/>
  <c r="H538" i="17" s="1"/>
  <c r="G539" i="17"/>
  <c r="H539" i="17" s="1"/>
  <c r="G540" i="17"/>
  <c r="H540" i="17" s="1"/>
  <c r="G541" i="17"/>
  <c r="H541" i="17" s="1"/>
  <c r="G542" i="17"/>
  <c r="H542" i="17" s="1"/>
  <c r="G543" i="17"/>
  <c r="H543" i="17" s="1"/>
  <c r="G544" i="17"/>
  <c r="H544" i="17" s="1"/>
  <c r="G545" i="17"/>
  <c r="H545" i="17" s="1"/>
  <c r="I545" i="17" s="1"/>
  <c r="G546" i="17"/>
  <c r="H546" i="17" s="1"/>
  <c r="G547" i="17"/>
  <c r="H547" i="17" s="1"/>
  <c r="G548" i="17"/>
  <c r="H548" i="17" s="1"/>
  <c r="G549" i="17"/>
  <c r="H549" i="17" s="1"/>
  <c r="G550" i="17"/>
  <c r="H550" i="17" s="1"/>
  <c r="G551" i="17"/>
  <c r="H551" i="17" s="1"/>
  <c r="G552" i="17"/>
  <c r="H552" i="17" s="1"/>
  <c r="G553" i="17"/>
  <c r="H553" i="17" s="1"/>
  <c r="G554" i="17"/>
  <c r="H554" i="17" s="1"/>
  <c r="G555" i="17"/>
  <c r="H555" i="17" s="1"/>
  <c r="G556" i="17"/>
  <c r="H556" i="17" s="1"/>
  <c r="I556" i="17" s="1"/>
  <c r="G557" i="17"/>
  <c r="H557" i="17" s="1"/>
  <c r="G558" i="17"/>
  <c r="H558" i="17" s="1"/>
  <c r="I558" i="17" s="1"/>
  <c r="G559" i="17"/>
  <c r="H559" i="17" s="1"/>
  <c r="G560" i="17"/>
  <c r="H560" i="17" s="1"/>
  <c r="G561" i="17"/>
  <c r="H561" i="17" s="1"/>
  <c r="G562" i="17"/>
  <c r="H562" i="17" s="1"/>
  <c r="G563" i="17"/>
  <c r="H563" i="17" s="1"/>
  <c r="G564" i="17"/>
  <c r="H564" i="17" s="1"/>
  <c r="G565" i="17"/>
  <c r="H565" i="17" s="1"/>
  <c r="G566" i="17"/>
  <c r="H566" i="17" s="1"/>
  <c r="G567" i="17"/>
  <c r="H567" i="17" s="1"/>
  <c r="G568" i="17"/>
  <c r="H568" i="17" s="1"/>
  <c r="G569" i="17"/>
  <c r="H569" i="17" s="1"/>
  <c r="I569" i="17" s="1"/>
  <c r="G570" i="17"/>
  <c r="H570" i="17" s="1"/>
  <c r="G571" i="17"/>
  <c r="H571" i="17" s="1"/>
  <c r="G572" i="17"/>
  <c r="H572" i="17" s="1"/>
  <c r="G573" i="17"/>
  <c r="H573" i="17" s="1"/>
  <c r="G574" i="17"/>
  <c r="H574" i="17" s="1"/>
  <c r="G575" i="17"/>
  <c r="H575" i="17" s="1"/>
  <c r="G576" i="17"/>
  <c r="H576" i="17" s="1"/>
  <c r="G577" i="17"/>
  <c r="H577" i="17" s="1"/>
  <c r="G578" i="17"/>
  <c r="H578" i="17" s="1"/>
  <c r="G579" i="17"/>
  <c r="H579" i="17" s="1"/>
  <c r="G580" i="17"/>
  <c r="H580" i="17" s="1"/>
  <c r="I580" i="17" s="1"/>
  <c r="G581" i="17"/>
  <c r="H581" i="17" s="1"/>
  <c r="G582" i="17"/>
  <c r="H582" i="17" s="1"/>
  <c r="G583" i="17"/>
  <c r="H583" i="17" s="1"/>
  <c r="G584" i="17"/>
  <c r="H584" i="17" s="1"/>
  <c r="G585" i="17"/>
  <c r="H585" i="17" s="1"/>
  <c r="G586" i="17"/>
  <c r="H586" i="17" s="1"/>
  <c r="G587" i="17"/>
  <c r="H587" i="17" s="1"/>
  <c r="G588" i="17"/>
  <c r="H588" i="17" s="1"/>
  <c r="I588" i="17" s="1"/>
  <c r="G589" i="17"/>
  <c r="H589" i="17" s="1"/>
  <c r="G590" i="17"/>
  <c r="H590" i="17" s="1"/>
  <c r="G591" i="17"/>
  <c r="H591" i="17" s="1"/>
  <c r="G592" i="17"/>
  <c r="H592" i="17" s="1"/>
  <c r="G593" i="17"/>
  <c r="H593" i="17" s="1"/>
  <c r="G594" i="17"/>
  <c r="H594" i="17" s="1"/>
  <c r="G595" i="17"/>
  <c r="H595" i="17" s="1"/>
  <c r="G596" i="17"/>
  <c r="H596" i="17" s="1"/>
  <c r="G597" i="17"/>
  <c r="H597" i="17" s="1"/>
  <c r="G598" i="17"/>
  <c r="H598" i="17" s="1"/>
  <c r="G599" i="17"/>
  <c r="H599" i="17" s="1"/>
  <c r="G600" i="17"/>
  <c r="H600" i="17" s="1"/>
  <c r="I600" i="17" s="1"/>
  <c r="G601" i="17"/>
  <c r="H601" i="17" s="1"/>
  <c r="G602" i="17"/>
  <c r="H602" i="17" s="1"/>
  <c r="G603" i="17"/>
  <c r="H603" i="17" s="1"/>
  <c r="G604" i="17"/>
  <c r="H604" i="17" s="1"/>
  <c r="G605" i="17"/>
  <c r="H605" i="17" s="1"/>
  <c r="G606" i="17"/>
  <c r="H606" i="17" s="1"/>
  <c r="G607" i="17"/>
  <c r="H607" i="17" s="1"/>
  <c r="G608" i="17"/>
  <c r="H608" i="17" s="1"/>
  <c r="G609" i="17"/>
  <c r="H609" i="17" s="1"/>
  <c r="G610" i="17"/>
  <c r="H610" i="17" s="1"/>
  <c r="I610" i="17" s="1"/>
  <c r="G611" i="17"/>
  <c r="H611" i="17" s="1"/>
  <c r="G612" i="17"/>
  <c r="H612" i="17" s="1"/>
  <c r="I612" i="17" s="1"/>
  <c r="G613" i="17"/>
  <c r="H613" i="17" s="1"/>
  <c r="G614" i="17"/>
  <c r="H614" i="17" s="1"/>
  <c r="G615" i="17"/>
  <c r="H615" i="17" s="1"/>
  <c r="G616" i="17"/>
  <c r="H616" i="17" s="1"/>
  <c r="G617" i="17"/>
  <c r="H617" i="17" s="1"/>
  <c r="G618" i="17"/>
  <c r="H618" i="17" s="1"/>
  <c r="G619" i="17"/>
  <c r="H619" i="17" s="1"/>
  <c r="G620" i="17"/>
  <c r="H620" i="17" s="1"/>
  <c r="G621" i="17"/>
  <c r="H621" i="17" s="1"/>
  <c r="G622" i="17"/>
  <c r="H622" i="17" s="1"/>
  <c r="G623" i="17"/>
  <c r="H623" i="17" s="1"/>
  <c r="G624" i="17"/>
  <c r="H624" i="17" s="1"/>
  <c r="G625" i="17"/>
  <c r="H625" i="17" s="1"/>
  <c r="G626" i="17"/>
  <c r="H626" i="17" s="1"/>
  <c r="G627" i="17"/>
  <c r="H627" i="17" s="1"/>
  <c r="G628" i="17"/>
  <c r="H628" i="17" s="1"/>
  <c r="G629" i="17"/>
  <c r="H629" i="17" s="1"/>
  <c r="G630" i="17"/>
  <c r="H630" i="17" s="1"/>
  <c r="G631" i="17"/>
  <c r="H631" i="17" s="1"/>
  <c r="I631" i="17" s="1"/>
  <c r="G632" i="17"/>
  <c r="H632" i="17" s="1"/>
  <c r="G633" i="17"/>
  <c r="H633" i="17" s="1"/>
  <c r="G634" i="17"/>
  <c r="H634" i="17" s="1"/>
  <c r="G635" i="17"/>
  <c r="H635" i="17" s="1"/>
  <c r="G636" i="17"/>
  <c r="H636" i="17" s="1"/>
  <c r="G637" i="17"/>
  <c r="H637" i="17" s="1"/>
  <c r="G638" i="17"/>
  <c r="H638" i="17" s="1"/>
  <c r="G639" i="17"/>
  <c r="H639" i="17" s="1"/>
  <c r="G640" i="17"/>
  <c r="H640" i="17" s="1"/>
  <c r="G641" i="17"/>
  <c r="H641" i="17" s="1"/>
  <c r="I641" i="17" s="1"/>
  <c r="G642" i="17"/>
  <c r="H642" i="17" s="1"/>
  <c r="I642" i="17" s="1"/>
  <c r="G643" i="17"/>
  <c r="H643" i="17" s="1"/>
  <c r="G644" i="17"/>
  <c r="H644" i="17" s="1"/>
  <c r="G645" i="17"/>
  <c r="H645" i="17" s="1"/>
  <c r="G646" i="17"/>
  <c r="H646" i="17" s="1"/>
  <c r="G647" i="17"/>
  <c r="H647" i="17" s="1"/>
  <c r="G648" i="17"/>
  <c r="H648" i="17" s="1"/>
  <c r="G649" i="17"/>
  <c r="H649" i="17" s="1"/>
  <c r="G650" i="17"/>
  <c r="H650" i="17" s="1"/>
  <c r="G651" i="17"/>
  <c r="H651" i="17" s="1"/>
  <c r="G652" i="17"/>
  <c r="H652" i="17" s="1"/>
  <c r="G653" i="17"/>
  <c r="H653" i="17" s="1"/>
  <c r="G654" i="17"/>
  <c r="H654" i="17" s="1"/>
  <c r="G655" i="17"/>
  <c r="H655" i="17" s="1"/>
  <c r="I655" i="17" s="1"/>
  <c r="G656" i="17"/>
  <c r="H656" i="17" s="1"/>
  <c r="G657" i="17"/>
  <c r="H657" i="17" s="1"/>
  <c r="G658" i="17"/>
  <c r="H658" i="17" s="1"/>
  <c r="G659" i="17"/>
  <c r="H659" i="17" s="1"/>
  <c r="G660" i="17"/>
  <c r="H660" i="17" s="1"/>
  <c r="G661" i="17"/>
  <c r="H661" i="17" s="1"/>
  <c r="G662" i="17"/>
  <c r="H662" i="17" s="1"/>
  <c r="G663" i="17"/>
  <c r="H663" i="17" s="1"/>
  <c r="G664" i="17"/>
  <c r="H664" i="17" s="1"/>
  <c r="G665" i="17"/>
  <c r="H665" i="17" s="1"/>
  <c r="I665" i="17" s="1"/>
  <c r="G666" i="17"/>
  <c r="H666" i="17" s="1"/>
  <c r="G667" i="17"/>
  <c r="H667" i="17" s="1"/>
  <c r="G668" i="17"/>
  <c r="H668" i="17" s="1"/>
  <c r="G669" i="17"/>
  <c r="H669" i="17" s="1"/>
  <c r="G670" i="17"/>
  <c r="H670" i="17" s="1"/>
  <c r="G671" i="17"/>
  <c r="H671" i="17" s="1"/>
  <c r="G672" i="17"/>
  <c r="H672" i="17" s="1"/>
  <c r="G673" i="17"/>
  <c r="H673" i="17" s="1"/>
  <c r="G674" i="17"/>
  <c r="H674" i="17" s="1"/>
  <c r="G675" i="17"/>
  <c r="H675" i="17" s="1"/>
  <c r="G676" i="17"/>
  <c r="H676" i="17" s="1"/>
  <c r="G677" i="17"/>
  <c r="H677" i="17" s="1"/>
  <c r="G678" i="17"/>
  <c r="H678" i="17" s="1"/>
  <c r="G679" i="17"/>
  <c r="H679" i="17" s="1"/>
  <c r="G680" i="17"/>
  <c r="H680" i="17" s="1"/>
  <c r="G681" i="17"/>
  <c r="H681" i="17" s="1"/>
  <c r="G682" i="17"/>
  <c r="H682" i="17" s="1"/>
  <c r="G683" i="17"/>
  <c r="H683" i="17" s="1"/>
  <c r="G684" i="17"/>
  <c r="H684" i="17" s="1"/>
  <c r="I684" i="17" s="1"/>
  <c r="G685" i="17"/>
  <c r="H685" i="17" s="1"/>
  <c r="G686" i="17"/>
  <c r="H686" i="17" s="1"/>
  <c r="G687" i="17"/>
  <c r="H687" i="17" s="1"/>
  <c r="G688" i="17"/>
  <c r="H688" i="17" s="1"/>
  <c r="G689" i="17"/>
  <c r="H689" i="17" s="1"/>
  <c r="G690" i="17"/>
  <c r="H690" i="17" s="1"/>
  <c r="G691" i="17"/>
  <c r="H691" i="17" s="1"/>
  <c r="G692" i="17"/>
  <c r="H692" i="17" s="1"/>
  <c r="I692" i="17" s="1"/>
  <c r="G693" i="17"/>
  <c r="H693" i="17" s="1"/>
  <c r="I693" i="17" s="1"/>
  <c r="G694" i="17"/>
  <c r="H694" i="17" s="1"/>
  <c r="G695" i="17"/>
  <c r="H695" i="17" s="1"/>
  <c r="G696" i="17"/>
  <c r="H696" i="17" s="1"/>
  <c r="G697" i="17"/>
  <c r="H697" i="17" s="1"/>
  <c r="G698" i="17"/>
  <c r="H698" i="17" s="1"/>
  <c r="G699" i="17"/>
  <c r="H699" i="17" s="1"/>
  <c r="G700" i="17"/>
  <c r="H700" i="17" s="1"/>
  <c r="G701" i="17"/>
  <c r="H701" i="17" s="1"/>
  <c r="G702" i="17"/>
  <c r="H702" i="17" s="1"/>
  <c r="G703" i="17"/>
  <c r="H703" i="17" s="1"/>
  <c r="G704" i="17"/>
  <c r="H704" i="17" s="1"/>
  <c r="G705" i="17"/>
  <c r="H705" i="17" s="1"/>
  <c r="G706" i="17"/>
  <c r="H706" i="17" s="1"/>
  <c r="G707" i="17"/>
  <c r="H707" i="17" s="1"/>
  <c r="I707" i="17" s="1"/>
  <c r="G708" i="17"/>
  <c r="H708" i="17" s="1"/>
  <c r="G709" i="17"/>
  <c r="H709" i="17" s="1"/>
  <c r="G710" i="17"/>
  <c r="H710" i="17" s="1"/>
  <c r="G711" i="17"/>
  <c r="H711" i="17" s="1"/>
  <c r="G712" i="17"/>
  <c r="H712" i="17" s="1"/>
  <c r="G713" i="17"/>
  <c r="H713" i="17" s="1"/>
  <c r="G714" i="17"/>
  <c r="H714" i="17" s="1"/>
  <c r="G715" i="17"/>
  <c r="H715" i="17" s="1"/>
  <c r="I715" i="17" s="1"/>
  <c r="G716" i="17"/>
  <c r="H716" i="17" s="1"/>
  <c r="I716" i="17" s="1"/>
  <c r="G717" i="17"/>
  <c r="H717" i="17" s="1"/>
  <c r="G718" i="17"/>
  <c r="H718" i="17" s="1"/>
  <c r="G719" i="17"/>
  <c r="H719" i="17" s="1"/>
  <c r="G720" i="17"/>
  <c r="H720" i="17" s="1"/>
  <c r="G721" i="17"/>
  <c r="H721" i="17" s="1"/>
  <c r="G722" i="17"/>
  <c r="H722" i="17" s="1"/>
  <c r="G723" i="17"/>
  <c r="H723" i="17" s="1"/>
  <c r="G724" i="17"/>
  <c r="H724" i="17" s="1"/>
  <c r="G725" i="17"/>
  <c r="H725" i="17" s="1"/>
  <c r="I725" i="17" s="1"/>
  <c r="G726" i="17"/>
  <c r="H726" i="17" s="1"/>
  <c r="G727" i="17"/>
  <c r="H727" i="17" s="1"/>
  <c r="G728" i="17"/>
  <c r="H728" i="17" s="1"/>
  <c r="G729" i="17"/>
  <c r="H729" i="17" s="1"/>
  <c r="G730" i="17"/>
  <c r="H730" i="17" s="1"/>
  <c r="G731" i="17"/>
  <c r="H731" i="17" s="1"/>
  <c r="G732" i="17"/>
  <c r="H732" i="17" s="1"/>
  <c r="G733" i="17"/>
  <c r="H733" i="17" s="1"/>
  <c r="I733" i="17" s="1"/>
  <c r="G734" i="17"/>
  <c r="H734" i="17" s="1"/>
  <c r="G735" i="17"/>
  <c r="H735" i="17" s="1"/>
  <c r="G736" i="17"/>
  <c r="H736" i="17" s="1"/>
  <c r="G737" i="17"/>
  <c r="H737" i="17" s="1"/>
  <c r="G738" i="17"/>
  <c r="H738" i="17" s="1"/>
  <c r="G739" i="17"/>
  <c r="H739" i="17" s="1"/>
  <c r="I739" i="17" s="1"/>
  <c r="G740" i="17"/>
  <c r="H740" i="17" s="1"/>
  <c r="G741" i="17"/>
  <c r="H741" i="17" s="1"/>
  <c r="G742" i="17"/>
  <c r="H742" i="17" s="1"/>
  <c r="G743" i="17"/>
  <c r="H743" i="17" s="1"/>
  <c r="G744" i="17"/>
  <c r="H744" i="17" s="1"/>
  <c r="G745" i="17"/>
  <c r="H745" i="17" s="1"/>
  <c r="G746" i="17"/>
  <c r="H746" i="17" s="1"/>
  <c r="G747" i="17"/>
  <c r="H747" i="17" s="1"/>
  <c r="G748" i="17"/>
  <c r="H748" i="17" s="1"/>
  <c r="I748" i="17" s="1"/>
  <c r="G749" i="17"/>
  <c r="H749" i="17" s="1"/>
  <c r="G750" i="17"/>
  <c r="H750" i="17" s="1"/>
  <c r="G751" i="17"/>
  <c r="H751" i="17" s="1"/>
  <c r="G752" i="17"/>
  <c r="H752" i="17" s="1"/>
  <c r="G753" i="17"/>
  <c r="H753" i="17" s="1"/>
  <c r="G754" i="17"/>
  <c r="H754" i="17" s="1"/>
  <c r="G755" i="17"/>
  <c r="H755" i="17" s="1"/>
  <c r="G756" i="17"/>
  <c r="H756" i="17" s="1"/>
  <c r="G757" i="17"/>
  <c r="H757" i="17" s="1"/>
  <c r="I757" i="17" s="1"/>
  <c r="G758" i="17"/>
  <c r="H758" i="17" s="1"/>
  <c r="G759" i="17"/>
  <c r="H759" i="17" s="1"/>
  <c r="G760" i="17"/>
  <c r="H760" i="17" s="1"/>
  <c r="G761" i="17"/>
  <c r="H761" i="17" s="1"/>
  <c r="G762" i="17"/>
  <c r="H762" i="17" s="1"/>
  <c r="G763" i="17"/>
  <c r="H763" i="17" s="1"/>
  <c r="G764" i="17"/>
  <c r="H764" i="17" s="1"/>
  <c r="G765" i="17"/>
  <c r="H765" i="17" s="1"/>
  <c r="G766" i="17"/>
  <c r="H766" i="17" s="1"/>
  <c r="G767" i="17"/>
  <c r="H767" i="17" s="1"/>
  <c r="G768" i="17"/>
  <c r="H768" i="17" s="1"/>
  <c r="G769" i="17"/>
  <c r="H769" i="17" s="1"/>
  <c r="G770" i="17"/>
  <c r="H770" i="17" s="1"/>
  <c r="G771" i="17"/>
  <c r="H771" i="17" s="1"/>
  <c r="G772" i="17"/>
  <c r="H772" i="17" s="1"/>
  <c r="G773" i="17"/>
  <c r="H773" i="17" s="1"/>
  <c r="G774" i="17"/>
  <c r="H774" i="17" s="1"/>
  <c r="G775" i="17"/>
  <c r="H775" i="17" s="1"/>
  <c r="G776" i="17"/>
  <c r="H776" i="17" s="1"/>
  <c r="G777" i="17"/>
  <c r="H777" i="17" s="1"/>
  <c r="I777" i="17" s="1"/>
  <c r="G778" i="17"/>
  <c r="H778" i="17" s="1"/>
  <c r="G779" i="17"/>
  <c r="H779" i="17" s="1"/>
  <c r="G780" i="17"/>
  <c r="H780" i="17" s="1"/>
  <c r="G781" i="17"/>
  <c r="H781" i="17" s="1"/>
  <c r="G782" i="17"/>
  <c r="H782" i="17" s="1"/>
  <c r="G783" i="17"/>
  <c r="H783" i="17" s="1"/>
  <c r="G784" i="17"/>
  <c r="H784" i="17" s="1"/>
  <c r="G785" i="17"/>
  <c r="H785" i="17" s="1"/>
  <c r="G786" i="17"/>
  <c r="H786" i="17" s="1"/>
  <c r="G787" i="17"/>
  <c r="H787" i="17" s="1"/>
  <c r="G788" i="17"/>
  <c r="H788" i="17" s="1"/>
  <c r="G789" i="17"/>
  <c r="H789" i="17" s="1"/>
  <c r="G790" i="17"/>
  <c r="H790" i="17" s="1"/>
  <c r="G791" i="17"/>
  <c r="H791" i="17" s="1"/>
  <c r="G792" i="17"/>
  <c r="H792" i="17" s="1"/>
  <c r="G793" i="17"/>
  <c r="H793" i="17" s="1"/>
  <c r="I793" i="17" s="1"/>
  <c r="G794" i="17"/>
  <c r="H794" i="17" s="1"/>
  <c r="G795" i="17"/>
  <c r="H795" i="17" s="1"/>
  <c r="G796" i="17"/>
  <c r="H796" i="17" s="1"/>
  <c r="G797" i="17"/>
  <c r="H797" i="17" s="1"/>
  <c r="G798" i="17"/>
  <c r="H798" i="17" s="1"/>
  <c r="G799" i="17"/>
  <c r="H799" i="17" s="1"/>
  <c r="G800" i="17"/>
  <c r="H800" i="17" s="1"/>
  <c r="G801" i="17"/>
  <c r="H801" i="17" s="1"/>
  <c r="G802" i="17"/>
  <c r="H802" i="17" s="1"/>
  <c r="G803" i="17"/>
  <c r="H803" i="17" s="1"/>
  <c r="I803" i="17" s="1"/>
  <c r="G804" i="17"/>
  <c r="H804" i="17" s="1"/>
  <c r="G805" i="17"/>
  <c r="H805" i="17" s="1"/>
  <c r="G806" i="17"/>
  <c r="H806" i="17" s="1"/>
  <c r="G807" i="17"/>
  <c r="H807" i="17" s="1"/>
  <c r="G808" i="17"/>
  <c r="H808" i="17" s="1"/>
  <c r="G809" i="17"/>
  <c r="H809" i="17" s="1"/>
  <c r="I809" i="17" s="1"/>
  <c r="G810" i="17"/>
  <c r="H810" i="17" s="1"/>
  <c r="G811" i="17"/>
  <c r="H811" i="17" s="1"/>
  <c r="I811" i="17" s="1"/>
  <c r="G812" i="17"/>
  <c r="H812" i="17" s="1"/>
  <c r="G813" i="17"/>
  <c r="H813" i="17" s="1"/>
  <c r="G814" i="17"/>
  <c r="H814" i="17" s="1"/>
  <c r="G815" i="17"/>
  <c r="H815" i="17" s="1"/>
  <c r="G816" i="17"/>
  <c r="H816" i="17" s="1"/>
  <c r="G817" i="17"/>
  <c r="H817" i="17" s="1"/>
  <c r="G818" i="17"/>
  <c r="H818" i="17" s="1"/>
  <c r="G819" i="17"/>
  <c r="H819" i="17" s="1"/>
  <c r="I819" i="17" s="1"/>
  <c r="G820" i="17"/>
  <c r="H820" i="17" s="1"/>
  <c r="G821" i="17"/>
  <c r="H821" i="17" s="1"/>
  <c r="G822" i="17"/>
  <c r="H822" i="17" s="1"/>
  <c r="G823" i="17"/>
  <c r="H823" i="17" s="1"/>
  <c r="G824" i="17"/>
  <c r="H824" i="17" s="1"/>
  <c r="G825" i="17"/>
  <c r="H825" i="17" s="1"/>
  <c r="I825" i="17" s="1"/>
  <c r="G826" i="17"/>
  <c r="H826" i="17" s="1"/>
  <c r="G827" i="17"/>
  <c r="H827" i="17" s="1"/>
  <c r="I827" i="17" s="1"/>
  <c r="G828" i="17"/>
  <c r="H828" i="17" s="1"/>
  <c r="G829" i="17"/>
  <c r="H829" i="17" s="1"/>
  <c r="G830" i="17"/>
  <c r="H830" i="17" s="1"/>
  <c r="G831" i="17"/>
  <c r="H831" i="17" s="1"/>
  <c r="G832" i="17"/>
  <c r="H832" i="17" s="1"/>
  <c r="G833" i="17"/>
  <c r="H833" i="17" s="1"/>
  <c r="G834" i="17"/>
  <c r="H834" i="17" s="1"/>
  <c r="G835" i="17"/>
  <c r="H835" i="17" s="1"/>
  <c r="G836" i="17"/>
  <c r="H836" i="17" s="1"/>
  <c r="G837" i="17"/>
  <c r="H837" i="17" s="1"/>
  <c r="G838" i="17"/>
  <c r="H838" i="17" s="1"/>
  <c r="G839" i="17"/>
  <c r="H839" i="17" s="1"/>
  <c r="G840" i="17"/>
  <c r="H840" i="17" s="1"/>
  <c r="G841" i="17"/>
  <c r="H841" i="17" s="1"/>
  <c r="I841" i="17" s="1"/>
  <c r="G842" i="17"/>
  <c r="H842" i="17" s="1"/>
  <c r="G843" i="17"/>
  <c r="H843" i="17" s="1"/>
  <c r="G844" i="17"/>
  <c r="H844" i="17" s="1"/>
  <c r="G845" i="17"/>
  <c r="H845" i="17" s="1"/>
  <c r="G846" i="17"/>
  <c r="H846" i="17" s="1"/>
  <c r="G847" i="17"/>
  <c r="H847" i="17" s="1"/>
  <c r="G848" i="17"/>
  <c r="H848" i="17" s="1"/>
  <c r="G849" i="17"/>
  <c r="H849" i="17" s="1"/>
  <c r="G850" i="17"/>
  <c r="H850" i="17" s="1"/>
  <c r="I850" i="17" s="1"/>
  <c r="G851" i="17"/>
  <c r="H851" i="17" s="1"/>
  <c r="G852" i="17"/>
  <c r="H852" i="17" s="1"/>
  <c r="G853" i="17"/>
  <c r="H853" i="17" s="1"/>
  <c r="I853" i="17" s="1"/>
  <c r="G854" i="17"/>
  <c r="H854" i="17" s="1"/>
  <c r="G855" i="17"/>
  <c r="H855" i="17" s="1"/>
  <c r="G856" i="17"/>
  <c r="H856" i="17" s="1"/>
  <c r="G857" i="17"/>
  <c r="H857" i="17" s="1"/>
  <c r="I857" i="17" s="1"/>
  <c r="G858" i="17"/>
  <c r="H858" i="17" s="1"/>
  <c r="G859" i="17"/>
  <c r="H859" i="17" s="1"/>
  <c r="G860" i="17"/>
  <c r="H860" i="17" s="1"/>
  <c r="G861" i="17"/>
  <c r="H861" i="17" s="1"/>
  <c r="I861" i="17" s="1"/>
  <c r="G862" i="17"/>
  <c r="H862" i="17" s="1"/>
  <c r="G863" i="17"/>
  <c r="H863" i="17" s="1"/>
  <c r="G864" i="17"/>
  <c r="H864" i="17" s="1"/>
  <c r="G865" i="17"/>
  <c r="H865" i="17" s="1"/>
  <c r="G866" i="17"/>
  <c r="H866" i="17" s="1"/>
  <c r="G867" i="17"/>
  <c r="H867" i="17" s="1"/>
  <c r="G868" i="17"/>
  <c r="H868" i="17" s="1"/>
  <c r="I868" i="17" s="1"/>
  <c r="G869" i="17"/>
  <c r="H869" i="17" s="1"/>
  <c r="G870" i="17"/>
  <c r="H870" i="17" s="1"/>
  <c r="G871" i="17"/>
  <c r="H871" i="17" s="1"/>
  <c r="G872" i="17"/>
  <c r="H872" i="17" s="1"/>
  <c r="G873" i="17"/>
  <c r="H873" i="17" s="1"/>
  <c r="G874" i="17"/>
  <c r="H874" i="17" s="1"/>
  <c r="G875" i="17"/>
  <c r="H875" i="17" s="1"/>
  <c r="I875" i="17" s="1"/>
  <c r="G876" i="17"/>
  <c r="H876" i="17" s="1"/>
  <c r="G877" i="17"/>
  <c r="H877" i="17" s="1"/>
  <c r="G878" i="17"/>
  <c r="H878" i="17" s="1"/>
  <c r="G879" i="17"/>
  <c r="H879" i="17" s="1"/>
  <c r="G880" i="17"/>
  <c r="H880" i="17" s="1"/>
  <c r="G881" i="17"/>
  <c r="H881" i="17" s="1"/>
  <c r="I881" i="17" s="1"/>
  <c r="G882" i="17"/>
  <c r="H882" i="17" s="1"/>
  <c r="I882" i="17" s="1"/>
  <c r="G883" i="17"/>
  <c r="H883" i="17" s="1"/>
  <c r="G884" i="17"/>
  <c r="H884" i="17" s="1"/>
  <c r="G885" i="17"/>
  <c r="H885" i="17" s="1"/>
  <c r="G886" i="17"/>
  <c r="H886" i="17" s="1"/>
  <c r="G887" i="17"/>
  <c r="H887" i="17" s="1"/>
  <c r="G888" i="17"/>
  <c r="H888" i="17" s="1"/>
  <c r="G889" i="17"/>
  <c r="H889" i="17" s="1"/>
  <c r="I889" i="17" s="1"/>
  <c r="G890" i="17"/>
  <c r="H890" i="17" s="1"/>
  <c r="G891" i="17"/>
  <c r="H891" i="17" s="1"/>
  <c r="G892" i="17"/>
  <c r="H892" i="17" s="1"/>
  <c r="I892" i="17" s="1"/>
  <c r="G893" i="17"/>
  <c r="H893" i="17" s="1"/>
  <c r="I893" i="17" s="1"/>
  <c r="G894" i="17"/>
  <c r="H894" i="17" s="1"/>
  <c r="G895" i="17"/>
  <c r="H895" i="17" s="1"/>
  <c r="G896" i="17"/>
  <c r="H896" i="17" s="1"/>
  <c r="G897" i="17"/>
  <c r="H897" i="17" s="1"/>
  <c r="G898" i="17"/>
  <c r="H898" i="17" s="1"/>
  <c r="G899" i="17"/>
  <c r="H899" i="17" s="1"/>
  <c r="G900" i="17"/>
  <c r="H900" i="17" s="1"/>
  <c r="I900" i="17" s="1"/>
  <c r="G901" i="17"/>
  <c r="H901" i="17" s="1"/>
  <c r="G902" i="17"/>
  <c r="H902" i="17" s="1"/>
  <c r="G903" i="17"/>
  <c r="H903" i="17" s="1"/>
  <c r="G904" i="17"/>
  <c r="H904" i="17" s="1"/>
  <c r="G905" i="17"/>
  <c r="H905" i="17" s="1"/>
  <c r="G906" i="17"/>
  <c r="H906" i="17" s="1"/>
  <c r="G907" i="17"/>
  <c r="H907" i="17" s="1"/>
  <c r="G908" i="17"/>
  <c r="H908" i="17" s="1"/>
  <c r="G909" i="17"/>
  <c r="H909" i="17" s="1"/>
  <c r="G910" i="17"/>
  <c r="H910" i="17" s="1"/>
  <c r="G911" i="17"/>
  <c r="H911" i="17" s="1"/>
  <c r="G912" i="17"/>
  <c r="H912" i="17" s="1"/>
  <c r="G913" i="17"/>
  <c r="H913" i="17" s="1"/>
  <c r="I913" i="17" s="1"/>
  <c r="G914" i="17"/>
  <c r="H914" i="17" s="1"/>
  <c r="G915" i="17"/>
  <c r="H915" i="17" s="1"/>
  <c r="G916" i="17"/>
  <c r="H916" i="17" s="1"/>
  <c r="I916" i="17" s="1"/>
  <c r="G917" i="17"/>
  <c r="H917" i="17" s="1"/>
  <c r="I917" i="17" s="1"/>
  <c r="G918" i="17"/>
  <c r="H918" i="17" s="1"/>
  <c r="G919" i="17"/>
  <c r="H919" i="17" s="1"/>
  <c r="G920" i="17"/>
  <c r="H920" i="17" s="1"/>
  <c r="G921" i="17"/>
  <c r="H921" i="17" s="1"/>
  <c r="G922" i="17"/>
  <c r="H922" i="17" s="1"/>
  <c r="G923" i="17"/>
  <c r="H923" i="17" s="1"/>
  <c r="I923" i="17" s="1"/>
  <c r="G924" i="17"/>
  <c r="H924" i="17" s="1"/>
  <c r="G925" i="17"/>
  <c r="H925" i="17" s="1"/>
  <c r="G926" i="17"/>
  <c r="H926" i="17" s="1"/>
  <c r="I926" i="17" s="1"/>
  <c r="G927" i="17"/>
  <c r="H927" i="17" s="1"/>
  <c r="G928" i="17"/>
  <c r="H928" i="17" s="1"/>
  <c r="G929" i="17"/>
  <c r="H929" i="17" s="1"/>
  <c r="G930" i="17"/>
  <c r="H930" i="17" s="1"/>
  <c r="G931" i="17"/>
  <c r="H931" i="17" s="1"/>
  <c r="G932" i="17"/>
  <c r="H932" i="17" s="1"/>
  <c r="I932" i="17" s="1"/>
  <c r="G933" i="17"/>
  <c r="H933" i="17" s="1"/>
  <c r="G934" i="17"/>
  <c r="H934" i="17" s="1"/>
  <c r="G935" i="17"/>
  <c r="H935" i="17" s="1"/>
  <c r="G936" i="17"/>
  <c r="H936" i="17" s="1"/>
  <c r="G937" i="17"/>
  <c r="H937" i="17" s="1"/>
  <c r="I937" i="17" s="1"/>
  <c r="G938" i="17"/>
  <c r="H938" i="17" s="1"/>
  <c r="G939" i="17"/>
  <c r="H939" i="17" s="1"/>
  <c r="G940" i="17"/>
  <c r="H940" i="17" s="1"/>
  <c r="G941" i="17"/>
  <c r="H941" i="17" s="1"/>
  <c r="I941" i="17" s="1"/>
  <c r="G942" i="17"/>
  <c r="H942" i="17" s="1"/>
  <c r="G943" i="17"/>
  <c r="H943" i="17" s="1"/>
  <c r="G944" i="17"/>
  <c r="H944" i="17" s="1"/>
  <c r="G945" i="17"/>
  <c r="H945" i="17" s="1"/>
  <c r="I945" i="17" s="1"/>
  <c r="G946" i="17"/>
  <c r="H946" i="17" s="1"/>
  <c r="I946" i="17" s="1"/>
  <c r="G947" i="17"/>
  <c r="H947" i="17" s="1"/>
  <c r="G948" i="17"/>
  <c r="H948" i="17" s="1"/>
  <c r="G949" i="17"/>
  <c r="H949" i="17" s="1"/>
  <c r="G950" i="17"/>
  <c r="H950" i="17" s="1"/>
  <c r="I950" i="17" s="1"/>
  <c r="G951" i="17"/>
  <c r="H951" i="17" s="1"/>
  <c r="G952" i="17"/>
  <c r="H952" i="17" s="1"/>
  <c r="G953" i="17"/>
  <c r="H953" i="17" s="1"/>
  <c r="G954" i="17"/>
  <c r="H954" i="17" s="1"/>
  <c r="I954" i="17" s="1"/>
  <c r="G955" i="17"/>
  <c r="H955" i="17" s="1"/>
  <c r="G956" i="17"/>
  <c r="H956" i="17" s="1"/>
  <c r="G957" i="17"/>
  <c r="H957" i="17" s="1"/>
  <c r="G958" i="17"/>
  <c r="H958" i="17" s="1"/>
  <c r="G959" i="17"/>
  <c r="H959" i="17" s="1"/>
  <c r="G960" i="17"/>
  <c r="H960" i="17" s="1"/>
  <c r="G961" i="17"/>
  <c r="H961" i="17" s="1"/>
  <c r="G962" i="17"/>
  <c r="H962" i="17" s="1"/>
  <c r="G963" i="17"/>
  <c r="H963" i="17" s="1"/>
  <c r="I963" i="17" s="1"/>
  <c r="G964" i="17"/>
  <c r="H964" i="17" s="1"/>
  <c r="I964" i="17" s="1"/>
  <c r="G965" i="17"/>
  <c r="H965" i="17" s="1"/>
  <c r="G966" i="17"/>
  <c r="H966" i="17" s="1"/>
  <c r="G967" i="17"/>
  <c r="H967" i="17" s="1"/>
  <c r="G968" i="17"/>
  <c r="H968" i="17" s="1"/>
  <c r="G969" i="17"/>
  <c r="H969" i="17" s="1"/>
  <c r="G970" i="17"/>
  <c r="H970" i="17" s="1"/>
  <c r="G971" i="17"/>
  <c r="H971" i="17" s="1"/>
  <c r="G972" i="17"/>
  <c r="H972" i="17" s="1"/>
  <c r="I972" i="17" s="1"/>
  <c r="G973" i="17"/>
  <c r="H973" i="17" s="1"/>
  <c r="I973" i="17" s="1"/>
  <c r="G974" i="17"/>
  <c r="H974" i="17" s="1"/>
  <c r="G975" i="17"/>
  <c r="H975" i="17" s="1"/>
  <c r="G976" i="17"/>
  <c r="H976" i="17" s="1"/>
  <c r="G977" i="17"/>
  <c r="H977" i="17" s="1"/>
  <c r="G978" i="17"/>
  <c r="H978" i="17" s="1"/>
  <c r="I978" i="17" s="1"/>
  <c r="G979" i="17"/>
  <c r="H979" i="17" s="1"/>
  <c r="G980" i="17"/>
  <c r="H980" i="17" s="1"/>
  <c r="G981" i="17"/>
  <c r="H981" i="17" s="1"/>
  <c r="I981" i="17" s="1"/>
  <c r="G982" i="17"/>
  <c r="H982" i="17" s="1"/>
  <c r="I982" i="17" s="1"/>
  <c r="G983" i="17"/>
  <c r="H983" i="17" s="1"/>
  <c r="G984" i="17"/>
  <c r="H984" i="17" s="1"/>
  <c r="G985" i="17"/>
  <c r="H985" i="17" s="1"/>
  <c r="G986" i="17"/>
  <c r="H986" i="17" s="1"/>
  <c r="G987" i="17"/>
  <c r="H987" i="17" s="1"/>
  <c r="I987" i="17" s="1"/>
  <c r="G988" i="17"/>
  <c r="H988" i="17" s="1"/>
  <c r="G989" i="17"/>
  <c r="H989" i="17" s="1"/>
  <c r="G990" i="17"/>
  <c r="H990" i="17" s="1"/>
  <c r="I990" i="17" s="1"/>
  <c r="G991" i="17"/>
  <c r="H991" i="17" s="1"/>
  <c r="G992" i="17"/>
  <c r="H992" i="17" s="1"/>
  <c r="G993" i="17"/>
  <c r="H993" i="17" s="1"/>
  <c r="G994" i="17"/>
  <c r="H994" i="17" s="1"/>
  <c r="G995" i="17"/>
  <c r="H995" i="17" s="1"/>
  <c r="G996" i="17"/>
  <c r="H996" i="17" s="1"/>
  <c r="G997" i="17"/>
  <c r="H997" i="17" s="1"/>
  <c r="G998" i="17"/>
  <c r="H998" i="17" s="1"/>
  <c r="G999" i="17"/>
  <c r="H999" i="17" s="1"/>
  <c r="I999" i="17" s="1"/>
  <c r="G1000" i="17"/>
  <c r="H1000" i="17" s="1"/>
  <c r="G1001" i="17"/>
  <c r="H1001" i="17" s="1"/>
  <c r="I1001" i="17" s="1"/>
  <c r="G1002" i="17"/>
  <c r="H1002" i="17" s="1"/>
  <c r="G1003" i="17"/>
  <c r="H1003" i="17" s="1"/>
  <c r="G1004" i="17"/>
  <c r="H1004" i="17" s="1"/>
  <c r="G1005" i="17"/>
  <c r="H1005" i="17" s="1"/>
  <c r="G1006" i="17"/>
  <c r="H1006" i="17" s="1"/>
  <c r="G1007" i="17"/>
  <c r="H1007" i="17" s="1"/>
  <c r="G1008" i="17"/>
  <c r="H1008" i="17" s="1"/>
  <c r="G1009" i="17"/>
  <c r="H1009" i="17" s="1"/>
  <c r="I1009" i="17" s="1"/>
  <c r="G1010" i="17"/>
  <c r="H1010" i="17" s="1"/>
  <c r="I1010" i="17" s="1"/>
  <c r="G1011" i="17"/>
  <c r="H1011" i="17" s="1"/>
  <c r="G1012" i="17"/>
  <c r="H1012" i="17" s="1"/>
  <c r="G1013" i="17"/>
  <c r="H1013" i="17" s="1"/>
  <c r="G1014" i="17"/>
  <c r="H1014" i="17" s="1"/>
  <c r="I1014" i="17" s="1"/>
  <c r="G1015" i="17"/>
  <c r="H1015" i="17" s="1"/>
  <c r="G1016" i="17"/>
  <c r="H1016" i="17" s="1"/>
  <c r="G1017" i="17"/>
  <c r="H1017" i="17" s="1"/>
  <c r="G1018" i="17"/>
  <c r="H1018" i="17" s="1"/>
  <c r="I1018" i="17" s="1"/>
  <c r="G1019" i="17"/>
  <c r="H1019" i="17" s="1"/>
  <c r="I1019" i="17" s="1"/>
  <c r="G1020" i="17"/>
  <c r="H1020" i="17" s="1"/>
  <c r="G1021" i="17"/>
  <c r="H1021" i="17" s="1"/>
  <c r="G1022" i="17"/>
  <c r="H1022" i="17" s="1"/>
  <c r="G1023" i="17"/>
  <c r="H1023" i="17" s="1"/>
  <c r="I1023" i="17" s="1"/>
  <c r="G1024" i="17"/>
  <c r="H1024" i="17" s="1"/>
  <c r="G1025" i="17"/>
  <c r="H1025" i="17" s="1"/>
  <c r="G1026" i="17"/>
  <c r="H1026" i="17" s="1"/>
  <c r="I1026" i="17" s="1"/>
  <c r="G1027" i="17"/>
  <c r="H1027" i="17" s="1"/>
  <c r="G1028" i="17"/>
  <c r="H1028" i="17" s="1"/>
  <c r="G1029" i="17"/>
  <c r="H1029" i="17" s="1"/>
  <c r="G1030" i="17"/>
  <c r="H1030" i="17" s="1"/>
  <c r="G1031" i="17"/>
  <c r="H1031" i="17" s="1"/>
  <c r="I1031" i="17" s="1"/>
  <c r="G1032" i="17"/>
  <c r="H1032" i="17" s="1"/>
  <c r="G1033" i="17"/>
  <c r="H1033" i="17" s="1"/>
  <c r="G1034" i="17"/>
  <c r="H1034" i="17" s="1"/>
  <c r="G1035" i="17"/>
  <c r="H1035" i="17" s="1"/>
  <c r="I1035" i="17" s="1"/>
  <c r="G1036" i="17"/>
  <c r="H1036" i="17" s="1"/>
  <c r="G1037" i="17"/>
  <c r="H1037" i="17" s="1"/>
  <c r="G1038" i="17"/>
  <c r="H1038" i="17" s="1"/>
  <c r="G1039" i="17"/>
  <c r="H1039" i="17" s="1"/>
  <c r="G1040" i="17"/>
  <c r="H1040" i="17" s="1"/>
  <c r="G1041" i="17"/>
  <c r="H1041" i="17" s="1"/>
  <c r="G1042" i="17"/>
  <c r="H1042" i="17" s="1"/>
  <c r="G1043" i="17"/>
  <c r="H1043" i="17" s="1"/>
  <c r="I1043" i="17" s="1"/>
  <c r="G1044" i="17"/>
  <c r="H1044" i="17" s="1"/>
  <c r="G1045" i="17"/>
  <c r="H1045" i="17" s="1"/>
  <c r="G1046" i="17"/>
  <c r="H1046" i="17" s="1"/>
  <c r="G1047" i="17"/>
  <c r="H1047" i="17" s="1"/>
  <c r="I1047" i="17" s="1"/>
  <c r="G1048" i="17"/>
  <c r="H1048" i="17" s="1"/>
  <c r="G1049" i="17"/>
  <c r="H1049" i="17" s="1"/>
  <c r="G1050" i="17"/>
  <c r="H1050" i="17" s="1"/>
  <c r="I1050" i="17" s="1"/>
  <c r="G1051" i="17"/>
  <c r="H1051" i="17" s="1"/>
  <c r="I1051" i="17" s="1"/>
  <c r="G1052" i="17"/>
  <c r="H1052" i="17" s="1"/>
  <c r="G1053" i="17"/>
  <c r="H1053" i="17" s="1"/>
  <c r="G1054" i="17"/>
  <c r="H1054" i="17" s="1"/>
  <c r="G1055" i="17"/>
  <c r="H1055" i="17" s="1"/>
  <c r="I1055" i="17" s="1"/>
  <c r="G1056" i="17"/>
  <c r="H1056" i="17" s="1"/>
  <c r="G1057" i="17"/>
  <c r="H1057" i="17" s="1"/>
  <c r="G1058" i="17"/>
  <c r="H1058" i="17" s="1"/>
  <c r="I1058" i="17" s="1"/>
  <c r="G1059" i="17"/>
  <c r="H1059" i="17" s="1"/>
  <c r="I1059" i="17" s="1"/>
  <c r="G1060" i="17"/>
  <c r="H1060" i="17" s="1"/>
  <c r="G1061" i="17"/>
  <c r="H1061" i="17" s="1"/>
  <c r="G1062" i="17"/>
  <c r="H1062" i="17" s="1"/>
  <c r="G1063" i="17"/>
  <c r="H1063" i="17" s="1"/>
  <c r="G1064" i="17"/>
  <c r="H1064" i="17" s="1"/>
  <c r="G1065" i="17"/>
  <c r="H1065" i="17" s="1"/>
  <c r="G1066" i="17"/>
  <c r="H1066" i="17" s="1"/>
  <c r="I1066" i="17" s="1"/>
  <c r="G1067" i="17"/>
  <c r="H1067" i="17" s="1"/>
  <c r="I1067" i="17" s="1"/>
  <c r="G1068" i="17"/>
  <c r="H1068" i="17" s="1"/>
  <c r="G1069" i="17"/>
  <c r="H1069" i="17" s="1"/>
  <c r="G1070" i="17"/>
  <c r="H1070" i="17" s="1"/>
  <c r="G1071" i="17"/>
  <c r="H1071" i="17" s="1"/>
  <c r="I1071" i="17" s="1"/>
  <c r="G1072" i="17"/>
  <c r="H1072" i="17" s="1"/>
  <c r="G1073" i="17"/>
  <c r="H1073" i="17" s="1"/>
  <c r="G1074" i="17"/>
  <c r="H1074" i="17" s="1"/>
  <c r="I1074" i="17" s="1"/>
  <c r="G1075" i="17"/>
  <c r="H1075" i="17" s="1"/>
  <c r="I1075" i="17" s="1"/>
  <c r="G1076" i="17"/>
  <c r="H1076" i="17" s="1"/>
  <c r="G1077" i="17"/>
  <c r="H1077" i="17" s="1"/>
  <c r="G1078" i="17"/>
  <c r="H1078" i="17" s="1"/>
  <c r="G1079" i="17"/>
  <c r="H1079" i="17" s="1"/>
  <c r="G1080" i="17"/>
  <c r="H1080" i="17" s="1"/>
  <c r="G1081" i="17"/>
  <c r="H1081" i="17" s="1"/>
  <c r="G1082" i="17"/>
  <c r="H1082" i="17" s="1"/>
  <c r="G1083" i="17"/>
  <c r="H1083" i="17" s="1"/>
  <c r="G1084" i="17"/>
  <c r="H1084" i="17" s="1"/>
  <c r="G1085" i="17"/>
  <c r="H1085" i="17" s="1"/>
  <c r="G1086" i="17"/>
  <c r="H1086" i="17" s="1"/>
  <c r="G1087" i="17"/>
  <c r="H1087" i="17" s="1"/>
  <c r="I1087" i="17" s="1"/>
  <c r="G1088" i="17"/>
  <c r="H1088" i="17" s="1"/>
  <c r="G1089" i="17"/>
  <c r="H1089" i="17" s="1"/>
  <c r="G1090" i="17"/>
  <c r="H1090" i="17" s="1"/>
  <c r="G1091" i="17"/>
  <c r="H1091" i="17" s="1"/>
  <c r="I1091" i="17" s="1"/>
  <c r="G1092" i="17"/>
  <c r="H1092" i="17" s="1"/>
  <c r="G1093" i="17"/>
  <c r="H1093" i="17" s="1"/>
  <c r="G1094" i="17"/>
  <c r="H1094" i="17" s="1"/>
  <c r="G1095" i="17"/>
  <c r="H1095" i="17" s="1"/>
  <c r="I1095" i="17" s="1"/>
  <c r="G1096" i="17"/>
  <c r="H1096" i="17" s="1"/>
  <c r="G1097" i="17"/>
  <c r="H1097" i="17" s="1"/>
  <c r="G1098" i="17"/>
  <c r="H1098" i="17" s="1"/>
  <c r="G1099" i="17"/>
  <c r="H1099" i="17" s="1"/>
  <c r="I1099" i="17" s="1"/>
  <c r="G1100" i="17"/>
  <c r="H1100" i="17" s="1"/>
  <c r="G1101" i="17"/>
  <c r="H1101" i="17" s="1"/>
  <c r="G1102" i="17"/>
  <c r="H1102" i="17" s="1"/>
  <c r="G1103" i="17"/>
  <c r="H1103" i="17" s="1"/>
  <c r="I1103" i="17" s="1"/>
  <c r="G1104" i="17"/>
  <c r="H1104" i="17" s="1"/>
  <c r="G1105" i="17"/>
  <c r="H1105" i="17" s="1"/>
  <c r="G1106" i="17"/>
  <c r="H1106" i="17" s="1"/>
  <c r="I1106" i="17" s="1"/>
  <c r="G1107" i="17"/>
  <c r="H1107" i="17" s="1"/>
  <c r="I1107" i="17" s="1"/>
  <c r="G1108" i="17"/>
  <c r="H1108" i="17" s="1"/>
  <c r="G1109" i="17"/>
  <c r="H1109" i="17" s="1"/>
  <c r="G1110" i="17"/>
  <c r="H1110" i="17" s="1"/>
  <c r="G1111" i="17"/>
  <c r="H1111" i="17" s="1"/>
  <c r="I1111" i="17" s="1"/>
  <c r="G1112" i="17"/>
  <c r="H1112" i="17" s="1"/>
  <c r="G1113" i="17"/>
  <c r="H1113" i="17" s="1"/>
  <c r="G1114" i="17"/>
  <c r="H1114" i="17" s="1"/>
  <c r="I1114" i="17" s="1"/>
  <c r="G1115" i="17"/>
  <c r="H1115" i="17" s="1"/>
  <c r="I1115" i="17" s="1"/>
  <c r="G1116" i="17"/>
  <c r="H1116" i="17" s="1"/>
  <c r="G1117" i="17"/>
  <c r="H1117" i="17" s="1"/>
  <c r="G1118" i="17"/>
  <c r="H1118" i="17" s="1"/>
  <c r="G1119" i="17"/>
  <c r="H1119" i="17" s="1"/>
  <c r="G1120" i="17"/>
  <c r="H1120" i="17" s="1"/>
  <c r="G1121" i="17"/>
  <c r="H1121" i="17" s="1"/>
  <c r="G1122" i="17"/>
  <c r="H1122" i="17" s="1"/>
  <c r="I1122" i="17" s="1"/>
  <c r="G1123" i="17"/>
  <c r="H1123" i="17" s="1"/>
  <c r="I1123" i="17" s="1"/>
  <c r="G1124" i="17"/>
  <c r="H1124" i="17" s="1"/>
  <c r="G1125" i="17"/>
  <c r="H1125" i="17" s="1"/>
  <c r="G1126" i="17"/>
  <c r="H1126" i="17" s="1"/>
  <c r="G1127" i="17"/>
  <c r="H1127" i="17" s="1"/>
  <c r="G1128" i="17"/>
  <c r="H1128" i="17" s="1"/>
  <c r="G1129" i="17"/>
  <c r="H1129" i="17" s="1"/>
  <c r="G1130" i="17"/>
  <c r="H1130" i="17" s="1"/>
  <c r="I1130" i="17" s="1"/>
  <c r="G1131" i="17"/>
  <c r="H1131" i="17" s="1"/>
  <c r="I1131" i="17" s="1"/>
  <c r="G1132" i="17"/>
  <c r="H1132" i="17" s="1"/>
  <c r="G1133" i="17"/>
  <c r="H1133" i="17" s="1"/>
  <c r="G1134" i="17"/>
  <c r="H1134" i="17" s="1"/>
  <c r="G1135" i="17"/>
  <c r="H1135" i="17" s="1"/>
  <c r="G1136" i="17"/>
  <c r="H1136" i="17" s="1"/>
  <c r="G1137" i="17"/>
  <c r="H1137" i="17" s="1"/>
  <c r="G1138" i="17"/>
  <c r="H1138" i="17" s="1"/>
  <c r="I1138" i="17" s="1"/>
  <c r="G1139" i="17"/>
  <c r="H1139" i="17" s="1"/>
  <c r="I1139" i="17" s="1"/>
  <c r="G1140" i="17"/>
  <c r="H1140" i="17" s="1"/>
  <c r="G1141" i="17"/>
  <c r="H1141" i="17" s="1"/>
  <c r="G1142" i="17"/>
  <c r="H1142" i="17" s="1"/>
  <c r="G1143" i="17"/>
  <c r="H1143" i="17" s="1"/>
  <c r="I1143" i="17" s="1"/>
  <c r="G1144" i="17"/>
  <c r="H1144" i="17" s="1"/>
  <c r="G1145" i="17"/>
  <c r="H1145" i="17" s="1"/>
  <c r="G1146" i="17"/>
  <c r="H1146" i="17" s="1"/>
  <c r="I1146" i="17" s="1"/>
  <c r="G1147" i="17"/>
  <c r="H1147" i="17" s="1"/>
  <c r="I1147" i="17" s="1"/>
  <c r="G1148" i="17"/>
  <c r="H1148" i="17" s="1"/>
  <c r="G1149" i="17"/>
  <c r="H1149" i="17" s="1"/>
  <c r="G1150" i="17"/>
  <c r="H1150" i="17" s="1"/>
  <c r="G1151" i="17"/>
  <c r="H1151" i="17" s="1"/>
  <c r="I1151" i="17" s="1"/>
  <c r="G1152" i="17"/>
  <c r="H1152" i="17" s="1"/>
  <c r="G1153" i="17"/>
  <c r="H1153" i="17" s="1"/>
  <c r="G1154" i="17"/>
  <c r="H1154" i="17" s="1"/>
  <c r="G1155" i="17"/>
  <c r="H1155" i="17" s="1"/>
  <c r="I1155" i="17" s="1"/>
  <c r="G1156" i="17"/>
  <c r="H1156" i="17" s="1"/>
  <c r="G1157" i="17"/>
  <c r="H1157" i="17" s="1"/>
  <c r="G1158" i="17"/>
  <c r="H1158" i="17" s="1"/>
  <c r="G1159" i="17"/>
  <c r="H1159" i="17" s="1"/>
  <c r="I1159" i="17" s="1"/>
  <c r="G1160" i="17"/>
  <c r="H1160" i="17" s="1"/>
  <c r="G1161" i="17"/>
  <c r="H1161" i="17" s="1"/>
  <c r="G1162" i="17"/>
  <c r="H1162" i="17" s="1"/>
  <c r="I1162" i="17" s="1"/>
  <c r="G1163" i="17"/>
  <c r="H1163" i="17" s="1"/>
  <c r="I1163" i="17" s="1"/>
  <c r="G1164" i="17"/>
  <c r="H1164" i="17" s="1"/>
  <c r="G1165" i="17"/>
  <c r="H1165" i="17" s="1"/>
  <c r="G1166" i="17"/>
  <c r="H1166" i="17" s="1"/>
  <c r="G1167" i="17"/>
  <c r="H1167" i="17" s="1"/>
  <c r="I1167" i="17" s="1"/>
  <c r="G1168" i="17"/>
  <c r="H1168" i="17" s="1"/>
  <c r="G1169" i="17"/>
  <c r="H1169" i="17" s="1"/>
  <c r="G1170" i="17"/>
  <c r="H1170" i="17" s="1"/>
  <c r="I1170" i="17" s="1"/>
  <c r="G1171" i="17"/>
  <c r="H1171" i="17" s="1"/>
  <c r="G1172" i="17"/>
  <c r="H1172" i="17" s="1"/>
  <c r="G1173" i="17"/>
  <c r="H1173" i="17" s="1"/>
  <c r="G1174" i="17"/>
  <c r="H1174" i="17" s="1"/>
  <c r="G1175" i="17"/>
  <c r="H1175" i="17" s="1"/>
  <c r="I1175" i="17" s="1"/>
  <c r="G1176" i="17"/>
  <c r="H1176" i="17" s="1"/>
  <c r="G1177" i="17"/>
  <c r="H1177" i="17" s="1"/>
  <c r="G1178" i="17"/>
  <c r="H1178" i="17" s="1"/>
  <c r="I1178" i="17" s="1"/>
  <c r="G1179" i="17"/>
  <c r="H1179" i="17" s="1"/>
  <c r="G1180" i="17"/>
  <c r="H1180" i="17" s="1"/>
  <c r="G1181" i="17"/>
  <c r="H1181" i="17" s="1"/>
  <c r="G1182" i="17"/>
  <c r="H1182" i="17" s="1"/>
  <c r="G1183" i="17"/>
  <c r="H1183" i="17" s="1"/>
  <c r="I1183" i="17" s="1"/>
  <c r="G1184" i="17"/>
  <c r="H1184" i="17" s="1"/>
  <c r="G1185" i="17"/>
  <c r="H1185" i="17" s="1"/>
  <c r="G1186" i="17"/>
  <c r="H1186" i="17" s="1"/>
  <c r="I1186" i="17" s="1"/>
  <c r="G1187" i="17"/>
  <c r="H1187" i="17" s="1"/>
  <c r="G1188" i="17"/>
  <c r="H1188" i="17" s="1"/>
  <c r="G1189" i="17"/>
  <c r="H1189" i="17" s="1"/>
  <c r="G1190" i="17"/>
  <c r="H1190" i="17" s="1"/>
  <c r="G1191" i="17"/>
  <c r="H1191" i="17" s="1"/>
  <c r="I1191" i="17" s="1"/>
  <c r="G1192" i="17"/>
  <c r="H1192" i="17" s="1"/>
  <c r="G1193" i="17"/>
  <c r="H1193" i="17" s="1"/>
  <c r="G1194" i="17"/>
  <c r="H1194" i="17" s="1"/>
  <c r="I1194" i="17" s="1"/>
  <c r="G1195" i="17"/>
  <c r="H1195" i="17" s="1"/>
  <c r="G1196" i="17"/>
  <c r="H1196" i="17" s="1"/>
  <c r="G1197" i="17"/>
  <c r="H1197" i="17" s="1"/>
  <c r="G1198" i="17"/>
  <c r="H1198" i="17" s="1"/>
  <c r="G1199" i="17"/>
  <c r="H1199" i="17" s="1"/>
  <c r="I1199" i="17" s="1"/>
  <c r="G1200" i="17"/>
  <c r="H1200" i="17" s="1"/>
  <c r="G1201" i="17"/>
  <c r="H1201" i="17" s="1"/>
  <c r="G1202" i="17"/>
  <c r="H1202" i="17" s="1"/>
  <c r="I1202" i="17" s="1"/>
  <c r="G1203" i="17"/>
  <c r="H1203" i="17" s="1"/>
  <c r="G1204" i="17"/>
  <c r="H1204" i="17" s="1"/>
  <c r="G1205" i="17"/>
  <c r="H1205" i="17" s="1"/>
  <c r="G1206" i="17"/>
  <c r="H1206" i="17" s="1"/>
  <c r="G1207" i="17"/>
  <c r="H1207" i="17" s="1"/>
  <c r="I1207" i="17" s="1"/>
  <c r="G1208" i="17"/>
  <c r="H1208" i="17" s="1"/>
  <c r="G1209" i="17"/>
  <c r="H1209" i="17" s="1"/>
  <c r="G1210" i="17"/>
  <c r="H1210" i="17" s="1"/>
  <c r="G1211" i="17"/>
  <c r="H1211" i="17" s="1"/>
  <c r="G1212" i="17"/>
  <c r="H1212" i="17" s="1"/>
  <c r="G1213" i="17"/>
  <c r="H1213" i="17" s="1"/>
  <c r="G1214" i="17"/>
  <c r="H1214" i="17" s="1"/>
  <c r="G1215" i="17"/>
  <c r="H1215" i="17" s="1"/>
  <c r="I1215" i="17" s="1"/>
  <c r="G1216" i="17"/>
  <c r="H1216" i="17" s="1"/>
  <c r="G1217" i="17"/>
  <c r="H1217" i="17" s="1"/>
  <c r="G1218" i="17"/>
  <c r="H1218" i="17" s="1"/>
  <c r="G1219" i="17"/>
  <c r="H1219" i="17" s="1"/>
  <c r="G1220" i="17"/>
  <c r="H1220" i="17" s="1"/>
  <c r="G1221" i="17"/>
  <c r="H1221" i="17" s="1"/>
  <c r="G1222" i="17"/>
  <c r="H1222" i="17" s="1"/>
  <c r="G1223" i="17"/>
  <c r="H1223" i="17" s="1"/>
  <c r="I1223" i="17" s="1"/>
  <c r="G1224" i="17"/>
  <c r="H1224" i="17" s="1"/>
  <c r="G1225" i="17"/>
  <c r="H1225" i="17" s="1"/>
  <c r="G1226" i="17"/>
  <c r="H1226" i="17" s="1"/>
  <c r="G1227" i="17"/>
  <c r="H1227" i="17" s="1"/>
  <c r="I1227" i="17" s="1"/>
  <c r="G1228" i="17"/>
  <c r="H1228" i="17" s="1"/>
  <c r="G1229" i="17"/>
  <c r="H1229" i="17" s="1"/>
  <c r="G1230" i="17"/>
  <c r="H1230" i="17" s="1"/>
  <c r="G1231" i="17"/>
  <c r="H1231" i="17" s="1"/>
  <c r="I1231" i="17" s="1"/>
  <c r="G1232" i="17"/>
  <c r="H1232" i="17" s="1"/>
  <c r="G1233" i="17"/>
  <c r="H1233" i="17" s="1"/>
  <c r="G1234" i="17"/>
  <c r="H1234" i="17" s="1"/>
  <c r="G1235" i="17"/>
  <c r="H1235" i="17" s="1"/>
  <c r="G1236" i="17"/>
  <c r="H1236" i="17" s="1"/>
  <c r="G1237" i="17"/>
  <c r="H1237" i="17" s="1"/>
  <c r="G1238" i="17"/>
  <c r="H1238" i="17" s="1"/>
  <c r="G1239" i="17"/>
  <c r="H1239" i="17" s="1"/>
  <c r="I1239" i="17" s="1"/>
  <c r="G1240" i="17"/>
  <c r="H1240" i="17" s="1"/>
  <c r="G1241" i="17"/>
  <c r="H1241" i="17" s="1"/>
  <c r="G1242" i="17"/>
  <c r="H1242" i="17" s="1"/>
  <c r="I1242" i="17" s="1"/>
  <c r="G1243" i="17"/>
  <c r="H1243" i="17" s="1"/>
  <c r="I1243" i="17" s="1"/>
  <c r="G1244" i="17"/>
  <c r="H1244" i="17" s="1"/>
  <c r="G1245" i="17"/>
  <c r="H1245" i="17" s="1"/>
  <c r="G1246" i="17"/>
  <c r="H1246" i="17" s="1"/>
  <c r="G1247" i="17"/>
  <c r="H1247" i="17" s="1"/>
  <c r="G1248" i="17"/>
  <c r="H1248" i="17" s="1"/>
  <c r="G1249" i="17"/>
  <c r="H1249" i="17" s="1"/>
  <c r="G1250" i="17"/>
  <c r="H1250" i="17" s="1"/>
  <c r="I1250" i="17" s="1"/>
  <c r="G1251" i="17"/>
  <c r="H1251" i="17" s="1"/>
  <c r="I1251" i="17" s="1"/>
  <c r="G1252" i="17"/>
  <c r="H1252" i="17" s="1"/>
  <c r="G1253" i="17"/>
  <c r="H1253" i="17" s="1"/>
  <c r="G1254" i="17"/>
  <c r="H1254" i="17" s="1"/>
  <c r="G1255" i="17"/>
  <c r="H1255" i="17" s="1"/>
  <c r="I1255" i="17" s="1"/>
  <c r="G1256" i="17"/>
  <c r="H1256" i="17" s="1"/>
  <c r="G1257" i="17"/>
  <c r="H1257" i="17" s="1"/>
  <c r="G3" i="17"/>
  <c r="H3" i="17" s="1"/>
  <c r="G2" i="17"/>
  <c r="H2" i="17" s="1"/>
  <c r="I2" i="17" s="1"/>
  <c r="C21" i="20" l="1"/>
  <c r="D15" i="20"/>
  <c r="D14" i="20" s="1"/>
  <c r="D22" i="20"/>
  <c r="I343" i="17"/>
  <c r="I1004" i="17"/>
  <c r="I1045" i="17"/>
  <c r="I924" i="17"/>
  <c r="I1079" i="17"/>
  <c r="I1085" i="17"/>
  <c r="I167" i="17"/>
  <c r="I1237" i="17"/>
  <c r="I914" i="17"/>
  <c r="I1056" i="17"/>
  <c r="I794" i="17"/>
  <c r="I1063" i="17"/>
  <c r="I743" i="17"/>
  <c r="I764" i="17"/>
  <c r="I711" i="17"/>
  <c r="I1154" i="17"/>
  <c r="I1028" i="17"/>
  <c r="I1020" i="17"/>
  <c r="I1012" i="17"/>
  <c r="I997" i="17"/>
  <c r="I943" i="17"/>
  <c r="I935" i="17"/>
  <c r="I928" i="17"/>
  <c r="I921" i="17"/>
  <c r="I906" i="17"/>
  <c r="I898" i="17"/>
  <c r="I890" i="17"/>
  <c r="I876" i="17"/>
  <c r="I869" i="17"/>
  <c r="I802" i="17"/>
  <c r="I787" i="17"/>
  <c r="I780" i="17"/>
  <c r="I772" i="17"/>
  <c r="I751" i="17"/>
  <c r="I736" i="17"/>
  <c r="I728" i="17"/>
  <c r="I720" i="17"/>
  <c r="I712" i="17"/>
  <c r="I704" i="17"/>
  <c r="I696" i="17"/>
  <c r="I688" i="17"/>
  <c r="I680" i="17"/>
  <c r="I471" i="17"/>
  <c r="I463" i="17"/>
  <c r="I942" i="17"/>
  <c r="I934" i="17"/>
  <c r="I786" i="17"/>
  <c r="I750" i="17"/>
  <c r="I735" i="17"/>
  <c r="I727" i="17"/>
  <c r="I719" i="17"/>
  <c r="I703" i="17"/>
  <c r="I687" i="17"/>
  <c r="I679" i="17"/>
  <c r="I478" i="17"/>
  <c r="I1098" i="17"/>
  <c r="I1090" i="17"/>
  <c r="I1083" i="17"/>
  <c r="I1077" i="17"/>
  <c r="I1070" i="17"/>
  <c r="I1049" i="17"/>
  <c r="I1042" i="17"/>
  <c r="I1034" i="17"/>
  <c r="I956" i="17"/>
  <c r="I948" i="17"/>
  <c r="I867" i="17"/>
  <c r="I837" i="17"/>
  <c r="I823" i="17"/>
  <c r="I816" i="17"/>
  <c r="I808" i="17"/>
  <c r="I800" i="17"/>
  <c r="I485" i="17"/>
  <c r="I461" i="17"/>
  <c r="I103" i="17"/>
  <c r="I95" i="17"/>
  <c r="I32" i="17"/>
  <c r="I24" i="17"/>
  <c r="I16" i="17"/>
  <c r="I8" i="17"/>
  <c r="I1222" i="17"/>
  <c r="I1135" i="17"/>
  <c r="I1127" i="17"/>
  <c r="I1120" i="17"/>
  <c r="I1112" i="17"/>
  <c r="I1105" i="17"/>
  <c r="I1097" i="17"/>
  <c r="I1089" i="17"/>
  <c r="I1082" i="17"/>
  <c r="I1076" i="17"/>
  <c r="I1069" i="17"/>
  <c r="I1048" i="17"/>
  <c r="I1041" i="17"/>
  <c r="I955" i="17"/>
  <c r="I918" i="17"/>
  <c r="I836" i="17"/>
  <c r="I830" i="17"/>
  <c r="I822" i="17"/>
  <c r="I815" i="17"/>
  <c r="I807" i="17"/>
  <c r="I508" i="17"/>
  <c r="I500" i="17"/>
  <c r="I492" i="17"/>
  <c r="I283" i="17"/>
  <c r="I275" i="17"/>
  <c r="I267" i="17"/>
  <c r="I259" i="17"/>
  <c r="I251" i="17"/>
  <c r="I243" i="17"/>
  <c r="I235" i="17"/>
  <c r="I227" i="17"/>
  <c r="I219" i="17"/>
  <c r="I212" i="17"/>
  <c r="I204" i="17"/>
  <c r="I197" i="17"/>
  <c r="I189" i="17"/>
  <c r="I181" i="17"/>
  <c r="I173" i="17"/>
  <c r="I166" i="17"/>
  <c r="I158" i="17"/>
  <c r="I150" i="17"/>
  <c r="I142" i="17"/>
  <c r="I134" i="17"/>
  <c r="I126" i="17"/>
  <c r="I118" i="17"/>
  <c r="I110" i="17"/>
  <c r="I920" i="17"/>
  <c r="I779" i="17"/>
  <c r="I756" i="17"/>
  <c r="I1150" i="17"/>
  <c r="I1142" i="17"/>
  <c r="I1134" i="17"/>
  <c r="I1119" i="17"/>
  <c r="I1104" i="17"/>
  <c r="I1032" i="17"/>
  <c r="I962" i="17"/>
  <c r="I851" i="17"/>
  <c r="I843" i="17"/>
  <c r="I835" i="17"/>
  <c r="I829" i="17"/>
  <c r="I584" i="17"/>
  <c r="I577" i="17"/>
  <c r="I570" i="17"/>
  <c r="I562" i="17"/>
  <c r="I554" i="17"/>
  <c r="I546" i="17"/>
  <c r="I539" i="17"/>
  <c r="I531" i="17"/>
  <c r="I523" i="17"/>
  <c r="I515" i="17"/>
  <c r="I290" i="17"/>
  <c r="I1157" i="17"/>
  <c r="I1149" i="17"/>
  <c r="I1039" i="17"/>
  <c r="I984" i="17"/>
  <c r="I977" i="17"/>
  <c r="I969" i="17"/>
  <c r="I961" i="17"/>
  <c r="I842" i="17"/>
  <c r="I351" i="17"/>
  <c r="I336" i="17"/>
  <c r="I328" i="17"/>
  <c r="I321" i="17"/>
  <c r="I313" i="17"/>
  <c r="I305" i="17"/>
  <c r="I297" i="17"/>
  <c r="I695" i="17"/>
  <c r="I1247" i="17"/>
  <c r="I1235" i="17"/>
  <c r="I1219" i="17"/>
  <c r="I1204" i="17"/>
  <c r="I1180" i="17"/>
  <c r="I1164" i="17"/>
  <c r="I976" i="17"/>
  <c r="I856" i="17"/>
  <c r="I674" i="17"/>
  <c r="I666" i="17"/>
  <c r="I659" i="17"/>
  <c r="I652" i="17"/>
  <c r="I644" i="17"/>
  <c r="I637" i="17"/>
  <c r="I629" i="17"/>
  <c r="I621" i="17"/>
  <c r="I613" i="17"/>
  <c r="I598" i="17"/>
  <c r="I590" i="17"/>
  <c r="I457" i="17"/>
  <c r="I450" i="17"/>
  <c r="I443" i="17"/>
  <c r="I435" i="17"/>
  <c r="I427" i="17"/>
  <c r="I420" i="17"/>
  <c r="I412" i="17"/>
  <c r="I405" i="17"/>
  <c r="I397" i="17"/>
  <c r="I389" i="17"/>
  <c r="I381" i="17"/>
  <c r="I373" i="17"/>
  <c r="I365" i="17"/>
  <c r="I357" i="17"/>
  <c r="I1027" i="17"/>
  <c r="I927" i="17"/>
  <c r="I801" i="17"/>
  <c r="I771" i="17"/>
  <c r="I1254" i="17"/>
  <c r="I1241" i="17"/>
  <c r="I1211" i="17"/>
  <c r="I1196" i="17"/>
  <c r="I1188" i="17"/>
  <c r="I1172" i="17"/>
  <c r="I1156" i="17"/>
  <c r="I991" i="17"/>
  <c r="I983" i="17"/>
  <c r="I968" i="17"/>
  <c r="I863" i="17"/>
  <c r="I849" i="17"/>
  <c r="I605" i="17"/>
  <c r="I1246" i="17"/>
  <c r="I1240" i="17"/>
  <c r="I1234" i="17"/>
  <c r="I1226" i="17"/>
  <c r="I1218" i="17"/>
  <c r="I1210" i="17"/>
  <c r="I1203" i="17"/>
  <c r="I1195" i="17"/>
  <c r="I1187" i="17"/>
  <c r="I1179" i="17"/>
  <c r="I1171" i="17"/>
  <c r="I1021" i="17"/>
  <c r="I1013" i="17"/>
  <c r="I1005" i="17"/>
  <c r="I998" i="17"/>
  <c r="I967" i="17"/>
  <c r="I959" i="17"/>
  <c r="I907" i="17"/>
  <c r="I899" i="17"/>
  <c r="I891" i="17"/>
  <c r="I883" i="17"/>
  <c r="I877" i="17"/>
  <c r="I870" i="17"/>
  <c r="I795" i="17"/>
  <c r="I681" i="17"/>
  <c r="I673" i="17"/>
  <c r="I512" i="17"/>
  <c r="I651" i="17"/>
  <c r="I643" i="17"/>
  <c r="I628" i="17"/>
  <c r="I597" i="17"/>
  <c r="I583" i="17"/>
  <c r="I553" i="17"/>
  <c r="I538" i="17"/>
  <c r="I522" i="17"/>
  <c r="I507" i="17"/>
  <c r="I491" i="17"/>
  <c r="I477" i="17"/>
  <c r="I449" i="17"/>
  <c r="I434" i="17"/>
  <c r="I419" i="17"/>
  <c r="I411" i="17"/>
  <c r="I380" i="17"/>
  <c r="I364" i="17"/>
  <c r="I356" i="17"/>
  <c r="I327" i="17"/>
  <c r="I312" i="17"/>
  <c r="I296" i="17"/>
  <c r="I282" i="17"/>
  <c r="I266" i="17"/>
  <c r="I250" i="17"/>
  <c r="I234" i="17"/>
  <c r="I211" i="17"/>
  <c r="I203" i="17"/>
  <c r="I188" i="17"/>
  <c r="I172" i="17"/>
  <c r="I157" i="17"/>
  <c r="I141" i="17"/>
  <c r="I78" i="17"/>
  <c r="I62" i="17"/>
  <c r="I46" i="17"/>
  <c r="I1253" i="17"/>
  <c r="I1233" i="17"/>
  <c r="I1225" i="17"/>
  <c r="I1217" i="17"/>
  <c r="I1148" i="17"/>
  <c r="I1141" i="17"/>
  <c r="I1133" i="17"/>
  <c r="I1126" i="17"/>
  <c r="I1118" i="17"/>
  <c r="I1096" i="17"/>
  <c r="I1088" i="17"/>
  <c r="I1068" i="17"/>
  <c r="I1062" i="17"/>
  <c r="I1040" i="17"/>
  <c r="I1033" i="17"/>
  <c r="I1011" i="17"/>
  <c r="I996" i="17"/>
  <c r="I989" i="17"/>
  <c r="I975" i="17"/>
  <c r="I960" i="17"/>
  <c r="I947" i="17"/>
  <c r="I940" i="17"/>
  <c r="I919" i="17"/>
  <c r="I905" i="17"/>
  <c r="I897" i="17"/>
  <c r="I862" i="17"/>
  <c r="I855" i="17"/>
  <c r="I848" i="17"/>
  <c r="I828" i="17"/>
  <c r="I814" i="17"/>
  <c r="I806" i="17"/>
  <c r="I799" i="17"/>
  <c r="I785" i="17"/>
  <c r="I778" i="17"/>
  <c r="I770" i="17"/>
  <c r="I763" i="17"/>
  <c r="I749" i="17"/>
  <c r="I742" i="17"/>
  <c r="I734" i="17"/>
  <c r="I726" i="17"/>
  <c r="I718" i="17"/>
  <c r="I710" i="17"/>
  <c r="I702" i="17"/>
  <c r="I694" i="17"/>
  <c r="I686" i="17"/>
  <c r="I672" i="17"/>
  <c r="I657" i="17"/>
  <c r="I650" i="17"/>
  <c r="I635" i="17"/>
  <c r="I627" i="17"/>
  <c r="I619" i="17"/>
  <c r="I611" i="17"/>
  <c r="I603" i="17"/>
  <c r="I596" i="17"/>
  <c r="I582" i="17"/>
  <c r="I575" i="17"/>
  <c r="I568" i="17"/>
  <c r="I560" i="17"/>
  <c r="I552" i="17"/>
  <c r="I544" i="17"/>
  <c r="I537" i="17"/>
  <c r="I529" i="17"/>
  <c r="I521" i="17"/>
  <c r="I506" i="17"/>
  <c r="I490" i="17"/>
  <c r="I483" i="17"/>
  <c r="I469" i="17"/>
  <c r="I455" i="17"/>
  <c r="I448" i="17"/>
  <c r="I441" i="17"/>
  <c r="I433" i="17"/>
  <c r="I426" i="17"/>
  <c r="I418" i="17"/>
  <c r="I403" i="17"/>
  <c r="I395" i="17"/>
  <c r="I387" i="17"/>
  <c r="I379" i="17"/>
  <c r="I371" i="17"/>
  <c r="I363" i="17"/>
  <c r="I349" i="17"/>
  <c r="I342" i="17"/>
  <c r="I334" i="17"/>
  <c r="I326" i="17"/>
  <c r="I319" i="17"/>
  <c r="I311" i="17"/>
  <c r="I303" i="17"/>
  <c r="I295" i="17"/>
  <c r="I288" i="17"/>
  <c r="I281" i="17"/>
  <c r="I273" i="17"/>
  <c r="I265" i="17"/>
  <c r="I249" i="17"/>
  <c r="I241" i="17"/>
  <c r="I233" i="17"/>
  <c r="I225" i="17"/>
  <c r="I210" i="17"/>
  <c r="I195" i="17"/>
  <c r="I187" i="17"/>
  <c r="I179" i="17"/>
  <c r="I171" i="17"/>
  <c r="I164" i="17"/>
  <c r="I156" i="17"/>
  <c r="I658" i="17"/>
  <c r="I636" i="17"/>
  <c r="I620" i="17"/>
  <c r="I604" i="17"/>
  <c r="I589" i="17"/>
  <c r="I576" i="17"/>
  <c r="I561" i="17"/>
  <c r="I530" i="17"/>
  <c r="I514" i="17"/>
  <c r="I499" i="17"/>
  <c r="I484" i="17"/>
  <c r="I470" i="17"/>
  <c r="I456" i="17"/>
  <c r="I442" i="17"/>
  <c r="I404" i="17"/>
  <c r="I388" i="17"/>
  <c r="I372" i="17"/>
  <c r="I350" i="17"/>
  <c r="I335" i="17"/>
  <c r="I320" i="17"/>
  <c r="I304" i="17"/>
  <c r="I289" i="17"/>
  <c r="I274" i="17"/>
  <c r="I258" i="17"/>
  <c r="I226" i="17"/>
  <c r="I196" i="17"/>
  <c r="I180" i="17"/>
  <c r="I165" i="17"/>
  <c r="I149" i="17"/>
  <c r="I86" i="17"/>
  <c r="I70" i="17"/>
  <c r="I54" i="17"/>
  <c r="I38" i="17"/>
  <c r="I1252" i="17"/>
  <c r="I1245" i="17"/>
  <c r="I1232" i="17"/>
  <c r="I1224" i="17"/>
  <c r="I1216" i="17"/>
  <c r="I1209" i="17"/>
  <c r="I1201" i="17"/>
  <c r="I1193" i="17"/>
  <c r="I1185" i="17"/>
  <c r="I1177" i="17"/>
  <c r="I1169" i="17"/>
  <c r="I1161" i="17"/>
  <c r="I1140" i="17"/>
  <c r="I1132" i="17"/>
  <c r="I1125" i="17"/>
  <c r="I1117" i="17"/>
  <c r="I1110" i="17"/>
  <c r="I1102" i="17"/>
  <c r="I1081" i="17"/>
  <c r="I1061" i="17"/>
  <c r="I1054" i="17"/>
  <c r="I1046" i="17"/>
  <c r="I1025" i="17"/>
  <c r="I1003" i="17"/>
  <c r="I974" i="17"/>
  <c r="I953" i="17"/>
  <c r="I933" i="17"/>
  <c r="I925" i="17"/>
  <c r="I912" i="17"/>
  <c r="I904" i="17"/>
  <c r="I896" i="17"/>
  <c r="I888" i="17"/>
  <c r="I874" i="17"/>
  <c r="I854" i="17"/>
  <c r="I840" i="17"/>
  <c r="I834" i="17"/>
  <c r="I821" i="17"/>
  <c r="I813" i="17"/>
  <c r="I805" i="17"/>
  <c r="I798" i="17"/>
  <c r="I792" i="17"/>
  <c r="I784" i="17"/>
  <c r="I769" i="17"/>
  <c r="I762" i="17"/>
  <c r="I755" i="17"/>
  <c r="I741" i="17"/>
  <c r="I717" i="17"/>
  <c r="I709" i="17"/>
  <c r="I701" i="17"/>
  <c r="I685" i="17"/>
  <c r="I671" i="17"/>
  <c r="I664" i="17"/>
  <c r="I656" i="17"/>
  <c r="I649" i="17"/>
  <c r="I634" i="17"/>
  <c r="I626" i="17"/>
  <c r="I618" i="17"/>
  <c r="I602" i="17"/>
  <c r="I595" i="17"/>
  <c r="I587" i="17"/>
  <c r="I581" i="17"/>
  <c r="I574" i="17"/>
  <c r="I567" i="17"/>
  <c r="I559" i="17"/>
  <c r="I551" i="17"/>
  <c r="I543" i="17"/>
  <c r="I536" i="17"/>
  <c r="I528" i="17"/>
  <c r="I520" i="17"/>
  <c r="I505" i="17"/>
  <c r="I497" i="17"/>
  <c r="I482" i="17"/>
  <c r="I475" i="17"/>
  <c r="I468" i="17"/>
  <c r="I454" i="17"/>
  <c r="I440" i="17"/>
  <c r="I432" i="17"/>
  <c r="I417" i="17"/>
  <c r="I402" i="17"/>
  <c r="I394" i="17"/>
  <c r="I378" i="17"/>
  <c r="I370" i="17"/>
  <c r="I362" i="17"/>
  <c r="I355" i="17"/>
  <c r="I348" i="17"/>
  <c r="I341" i="17"/>
  <c r="I333" i="17"/>
  <c r="I325" i="17"/>
  <c r="I318" i="17"/>
  <c r="I310" i="17"/>
  <c r="I302" i="17"/>
  <c r="I287" i="17"/>
  <c r="I280" i="17"/>
  <c r="I272" i="17"/>
  <c r="I264" i="17"/>
  <c r="I256" i="17"/>
  <c r="I248" i="17"/>
  <c r="I240" i="17"/>
  <c r="I232" i="17"/>
  <c r="I224" i="17"/>
  <c r="I217" i="17"/>
  <c r="I209" i="17"/>
  <c r="I202" i="17"/>
  <c r="I194" i="17"/>
  <c r="I186" i="17"/>
  <c r="I178" i="17"/>
  <c r="I170" i="17"/>
  <c r="I163" i="17"/>
  <c r="I131" i="17"/>
  <c r="I123" i="17"/>
  <c r="I115" i="17"/>
  <c r="I107" i="17"/>
  <c r="I100" i="17"/>
  <c r="I92" i="17"/>
  <c r="I3" i="17"/>
  <c r="I1244" i="17"/>
  <c r="I1200" i="17"/>
  <c r="I1184" i="17"/>
  <c r="I1168" i="17"/>
  <c r="I1116" i="17"/>
  <c r="I1101" i="17"/>
  <c r="I1086" i="17"/>
  <c r="I1073" i="17"/>
  <c r="I1060" i="17"/>
  <c r="I1017" i="17"/>
  <c r="I1002" i="17"/>
  <c r="I995" i="17"/>
  <c r="I988" i="17"/>
  <c r="I966" i="17"/>
  <c r="I952" i="17"/>
  <c r="I911" i="17"/>
  <c r="I903" i="17"/>
  <c r="I895" i="17"/>
  <c r="I887" i="17"/>
  <c r="I880" i="17"/>
  <c r="I873" i="17"/>
  <c r="I860" i="17"/>
  <c r="I847" i="17"/>
  <c r="I839" i="17"/>
  <c r="I833" i="17"/>
  <c r="I820" i="17"/>
  <c r="I812" i="17"/>
  <c r="I804" i="17"/>
  <c r="I797" i="17"/>
  <c r="I791" i="17"/>
  <c r="I783" i="17"/>
  <c r="I776" i="17"/>
  <c r="I768" i="17"/>
  <c r="I761" i="17"/>
  <c r="I754" i="17"/>
  <c r="I747" i="17"/>
  <c r="I740" i="17"/>
  <c r="I732" i="17"/>
  <c r="I724" i="17"/>
  <c r="I708" i="17"/>
  <c r="I700" i="17"/>
  <c r="I678" i="17"/>
  <c r="I670" i="17"/>
  <c r="I663" i="17"/>
  <c r="I648" i="17"/>
  <c r="I633" i="17"/>
  <c r="I625" i="17"/>
  <c r="I617" i="17"/>
  <c r="I609" i="17"/>
  <c r="I601" i="17"/>
  <c r="I594" i="17"/>
  <c r="I586" i="17"/>
  <c r="I573" i="17"/>
  <c r="I566" i="17"/>
  <c r="I550" i="17"/>
  <c r="I542" i="17"/>
  <c r="I535" i="17"/>
  <c r="I519" i="17"/>
  <c r="I504" i="17"/>
  <c r="I496" i="17"/>
  <c r="I488" i="17"/>
  <c r="I481" i="17"/>
  <c r="I474" i="17"/>
  <c r="I467" i="17"/>
  <c r="I453" i="17"/>
  <c r="I446" i="17"/>
  <c r="I439" i="17"/>
  <c r="I431" i="17"/>
  <c r="I424" i="17"/>
  <c r="I416" i="17"/>
  <c r="I409" i="17"/>
  <c r="I401" i="17"/>
  <c r="I393" i="17"/>
  <c r="I385" i="17"/>
  <c r="I377" i="17"/>
  <c r="I369" i="17"/>
  <c r="I361" i="17"/>
  <c r="I354" i="17"/>
  <c r="I347" i="17"/>
  <c r="I340" i="17"/>
  <c r="I332" i="17"/>
  <c r="I324" i="17"/>
  <c r="I317" i="17"/>
  <c r="I309" i="17"/>
  <c r="I301" i="17"/>
  <c r="I293" i="17"/>
  <c r="I286" i="17"/>
  <c r="I279" i="17"/>
  <c r="I263" i="17"/>
  <c r="I247" i="17"/>
  <c r="I239" i="17"/>
  <c r="I231" i="17"/>
  <c r="I223" i="17"/>
  <c r="I216" i="17"/>
  <c r="I208" i="17"/>
  <c r="I162" i="17"/>
  <c r="I146" i="17"/>
  <c r="I138" i="17"/>
  <c r="I28" i="17"/>
  <c r="I20" i="17"/>
  <c r="I12" i="17"/>
  <c r="I4" i="17"/>
  <c r="I1238" i="17"/>
  <c r="I1208" i="17"/>
  <c r="I1192" i="17"/>
  <c r="I1176" i="17"/>
  <c r="I1160" i="17"/>
  <c r="I1124" i="17"/>
  <c r="I1109" i="17"/>
  <c r="I1094" i="17"/>
  <c r="I1080" i="17"/>
  <c r="I1053" i="17"/>
  <c r="I1024" i="17"/>
  <c r="I939" i="17"/>
  <c r="I1257" i="17"/>
  <c r="I1214" i="17"/>
  <c r="I1153" i="17"/>
  <c r="I1145" i="17"/>
  <c r="I1108" i="17"/>
  <c r="I1100" i="17"/>
  <c r="I1093" i="17"/>
  <c r="I1072" i="17"/>
  <c r="I1052" i="17"/>
  <c r="I1038" i="17"/>
  <c r="I1016" i="17"/>
  <c r="I1008" i="17"/>
  <c r="I994" i="17"/>
  <c r="I980" i="17"/>
  <c r="I965" i="17"/>
  <c r="I958" i="17"/>
  <c r="I951" i="17"/>
  <c r="I944" i="17"/>
  <c r="I938" i="17"/>
  <c r="I931" i="17"/>
  <c r="I910" i="17"/>
  <c r="I902" i="17"/>
  <c r="I894" i="17"/>
  <c r="I886" i="17"/>
  <c r="I879" i="17"/>
  <c r="I872" i="17"/>
  <c r="I866" i="17"/>
  <c r="I859" i="17"/>
  <c r="I852" i="17"/>
  <c r="I846" i="17"/>
  <c r="I838" i="17"/>
  <c r="I832" i="17"/>
  <c r="I826" i="17"/>
  <c r="I796" i="17"/>
  <c r="I790" i="17"/>
  <c r="I775" i="17"/>
  <c r="I767" i="17"/>
  <c r="I760" i="17"/>
  <c r="I753" i="17"/>
  <c r="I746" i="17"/>
  <c r="I731" i="17"/>
  <c r="I723" i="17"/>
  <c r="I699" i="17"/>
  <c r="I691" i="17"/>
  <c r="I677" i="17"/>
  <c r="I669" i="17"/>
  <c r="I662" i="17"/>
  <c r="I647" i="17"/>
  <c r="I640" i="17"/>
  <c r="I632" i="17"/>
  <c r="I624" i="17"/>
  <c r="I616" i="17"/>
  <c r="I608" i="17"/>
  <c r="I593" i="17"/>
  <c r="I585" i="17"/>
  <c r="I579" i="17"/>
  <c r="I572" i="17"/>
  <c r="I565" i="17"/>
  <c r="I557" i="17"/>
  <c r="I549" i="17"/>
  <c r="I541" i="17"/>
  <c r="I534" i="17"/>
  <c r="I518" i="17"/>
  <c r="I511" i="17"/>
  <c r="I503" i="17"/>
  <c r="I495" i="17"/>
  <c r="I487" i="17"/>
  <c r="I480" i="17"/>
  <c r="I473" i="17"/>
  <c r="I466" i="17"/>
  <c r="I459" i="17"/>
  <c r="I452" i="17"/>
  <c r="I445" i="17"/>
  <c r="I438" i="17"/>
  <c r="I430" i="17"/>
  <c r="I415" i="17"/>
  <c r="I408" i="17"/>
  <c r="I400" i="17"/>
  <c r="I392" i="17"/>
  <c r="I384" i="17"/>
  <c r="I376" i="17"/>
  <c r="I368" i="17"/>
  <c r="I360" i="17"/>
  <c r="I353" i="17"/>
  <c r="I346" i="17"/>
  <c r="I339" i="17"/>
  <c r="I331" i="17"/>
  <c r="I323" i="17"/>
  <c r="I316" i="17"/>
  <c r="I300" i="17"/>
  <c r="I292" i="17"/>
  <c r="I285" i="17"/>
  <c r="I278" i="17"/>
  <c r="I270" i="17"/>
  <c r="I262" i="17"/>
  <c r="I254" i="17"/>
  <c r="I246" i="17"/>
  <c r="I238" i="17"/>
  <c r="I230" i="17"/>
  <c r="I222" i="17"/>
  <c r="I215" i="17"/>
  <c r="I207" i="17"/>
  <c r="I200" i="17"/>
  <c r="I192" i="17"/>
  <c r="I184" i="17"/>
  <c r="I176" i="17"/>
  <c r="I168" i="17"/>
  <c r="I161" i="17"/>
  <c r="I90" i="17"/>
  <c r="I82" i="17"/>
  <c r="I74" i="17"/>
  <c r="I58" i="17"/>
  <c r="I50" i="17"/>
  <c r="I42" i="17"/>
  <c r="I35" i="17"/>
  <c r="I27" i="17"/>
  <c r="I19" i="17"/>
  <c r="I11" i="17"/>
  <c r="I1256" i="17"/>
  <c r="I1249" i="17"/>
  <c r="I1229" i="17"/>
  <c r="I1221" i="17"/>
  <c r="I1213" i="17"/>
  <c r="I1206" i="17"/>
  <c r="I1198" i="17"/>
  <c r="I1190" i="17"/>
  <c r="I1182" i="17"/>
  <c r="I1174" i="17"/>
  <c r="I1166" i="17"/>
  <c r="I1158" i="17"/>
  <c r="I1152" i="17"/>
  <c r="I1144" i="17"/>
  <c r="I1137" i="17"/>
  <c r="I1129" i="17"/>
  <c r="I1092" i="17"/>
  <c r="I1065" i="17"/>
  <c r="I1044" i="17"/>
  <c r="I1037" i="17"/>
  <c r="I1030" i="17"/>
  <c r="I1022" i="17"/>
  <c r="I1015" i="17"/>
  <c r="I1007" i="17"/>
  <c r="I1000" i="17"/>
  <c r="I993" i="17"/>
  <c r="I986" i="17"/>
  <c r="I979" i="17"/>
  <c r="I971" i="17"/>
  <c r="I957" i="17"/>
  <c r="I930" i="17"/>
  <c r="I909" i="17"/>
  <c r="I901" i="17"/>
  <c r="I885" i="17"/>
  <c r="I865" i="17"/>
  <c r="I858" i="17"/>
  <c r="I845" i="17"/>
  <c r="I818" i="17"/>
  <c r="I810" i="17"/>
  <c r="I789" i="17"/>
  <c r="I782" i="17"/>
  <c r="I774" i="17"/>
  <c r="I766" i="17"/>
  <c r="I759" i="17"/>
  <c r="I752" i="17"/>
  <c r="I745" i="17"/>
  <c r="I738" i="17"/>
  <c r="I730" i="17"/>
  <c r="I722" i="17"/>
  <c r="I714" i="17"/>
  <c r="I706" i="17"/>
  <c r="I698" i="17"/>
  <c r="I690" i="17"/>
  <c r="I683" i="17"/>
  <c r="I676" i="17"/>
  <c r="I668" i="17"/>
  <c r="I661" i="17"/>
  <c r="I654" i="17"/>
  <c r="I646" i="17"/>
  <c r="I639" i="17"/>
  <c r="I623" i="17"/>
  <c r="I615" i="17"/>
  <c r="I607" i="17"/>
  <c r="I599" i="17"/>
  <c r="I592" i="17"/>
  <c r="I571" i="17"/>
  <c r="I564" i="17"/>
  <c r="I548" i="17"/>
  <c r="I533" i="17"/>
  <c r="I525" i="17"/>
  <c r="I517" i="17"/>
  <c r="I510" i="17"/>
  <c r="I502" i="17"/>
  <c r="I494" i="17"/>
  <c r="I486" i="17"/>
  <c r="I479" i="17"/>
  <c r="I472" i="17"/>
  <c r="I465" i="17"/>
  <c r="I458" i="17"/>
  <c r="I437" i="17"/>
  <c r="I429" i="17"/>
  <c r="I422" i="17"/>
  <c r="I414" i="17"/>
  <c r="I407" i="17"/>
  <c r="I399" i="17"/>
  <c r="I391" i="17"/>
  <c r="I383" i="17"/>
  <c r="I375" i="17"/>
  <c r="I367" i="17"/>
  <c r="I352" i="17"/>
  <c r="I338" i="17"/>
  <c r="I330" i="17"/>
  <c r="I315" i="17"/>
  <c r="I307" i="17"/>
  <c r="I299" i="17"/>
  <c r="I291" i="17"/>
  <c r="I277" i="17"/>
  <c r="I269" i="17"/>
  <c r="I261" i="17"/>
  <c r="I253" i="17"/>
  <c r="I245" i="17"/>
  <c r="I237" i="17"/>
  <c r="I229" i="17"/>
  <c r="I221" i="17"/>
  <c r="I214" i="17"/>
  <c r="I199" i="17"/>
  <c r="I183" i="17"/>
  <c r="I175" i="17"/>
  <c r="I152" i="17"/>
  <c r="I144" i="17"/>
  <c r="I81" i="17"/>
  <c r="I73" i="17"/>
  <c r="I65" i="17"/>
  <c r="I57" i="17"/>
  <c r="I41" i="17"/>
  <c r="I34" i="17"/>
  <c r="I1230" i="17"/>
  <c r="I1248" i="17"/>
  <c r="I1236" i="17"/>
  <c r="I1228" i="17"/>
  <c r="I1220" i="17"/>
  <c r="I1212" i="17"/>
  <c r="I1205" i="17"/>
  <c r="I1197" i="17"/>
  <c r="I1189" i="17"/>
  <c r="I1181" i="17"/>
  <c r="I1173" i="17"/>
  <c r="I1165" i="17"/>
  <c r="I1136" i="17"/>
  <c r="I1128" i="17"/>
  <c r="I1121" i="17"/>
  <c r="I1113" i="17"/>
  <c r="I1084" i="17"/>
  <c r="I1078" i="17"/>
  <c r="I1064" i="17"/>
  <c r="I1057" i="17"/>
  <c r="I1036" i="17"/>
  <c r="I1029" i="17"/>
  <c r="I1006" i="17"/>
  <c r="I992" i="17"/>
  <c r="I985" i="17"/>
  <c r="I970" i="17"/>
  <c r="I949" i="17"/>
  <c r="I936" i="17"/>
  <c r="I929" i="17"/>
  <c r="I922" i="17"/>
  <c r="I915" i="17"/>
  <c r="I908" i="17"/>
  <c r="I884" i="17"/>
  <c r="I878" i="17"/>
  <c r="I871" i="17"/>
  <c r="I864" i="17"/>
  <c r="I844" i="17"/>
  <c r="I831" i="17"/>
  <c r="I824" i="17"/>
  <c r="I817" i="17"/>
  <c r="I788" i="17"/>
  <c r="I781" i="17"/>
  <c r="I773" i="17"/>
  <c r="I765" i="17"/>
  <c r="I758" i="17"/>
  <c r="I744" i="17"/>
  <c r="I737" i="17"/>
  <c r="I729" i="17"/>
  <c r="I721" i="17"/>
  <c r="I713" i="17"/>
  <c r="I705" i="17"/>
  <c r="I697" i="17"/>
  <c r="I689" i="17"/>
  <c r="I682" i="17"/>
  <c r="I675" i="17"/>
  <c r="I667" i="17"/>
  <c r="I660" i="17"/>
  <c r="I653" i="17"/>
  <c r="I645" i="17"/>
  <c r="I638" i="17"/>
  <c r="I630" i="17"/>
  <c r="I622" i="17"/>
  <c r="I614" i="17"/>
  <c r="I606" i="17"/>
  <c r="I591" i="17"/>
  <c r="I578" i="17"/>
  <c r="I563" i="17"/>
  <c r="I555" i="17"/>
  <c r="I547" i="17"/>
  <c r="I540" i="17"/>
  <c r="I532" i="17"/>
  <c r="I524" i="17"/>
  <c r="I516" i="17"/>
  <c r="I509" i="17"/>
  <c r="I501" i="17"/>
  <c r="I493" i="17"/>
  <c r="I464" i="17"/>
  <c r="I451" i="17"/>
  <c r="I444" i="17"/>
  <c r="I436" i="17"/>
  <c r="I428" i="17"/>
  <c r="I421" i="17"/>
  <c r="I413" i="17"/>
  <c r="I406" i="17"/>
  <c r="I398" i="17"/>
  <c r="I390" i="17"/>
  <c r="I382" i="17"/>
  <c r="I366" i="17"/>
  <c r="I344" i="17"/>
  <c r="I337" i="17"/>
  <c r="I329" i="17"/>
  <c r="I314" i="17"/>
  <c r="I306" i="17"/>
  <c r="I298" i="17"/>
  <c r="I276" i="17"/>
  <c r="I268" i="17"/>
  <c r="I260" i="17"/>
  <c r="I252" i="17"/>
  <c r="I244" i="17"/>
  <c r="I236" i="17"/>
  <c r="I228" i="17"/>
  <c r="I213" i="17"/>
  <c r="I159" i="17"/>
  <c r="I151" i="17"/>
  <c r="I135" i="17"/>
  <c r="I127" i="17"/>
  <c r="I119" i="17"/>
  <c r="I111" i="17"/>
  <c r="I96" i="17"/>
  <c r="I88" i="17"/>
  <c r="I201" i="17"/>
  <c r="I185" i="17"/>
  <c r="I177" i="17"/>
  <c r="I155" i="17"/>
  <c r="I148" i="17"/>
  <c r="I133" i="17"/>
  <c r="I125" i="17"/>
  <c r="I117" i="17"/>
  <c r="I109" i="17"/>
  <c r="I94" i="17"/>
  <c r="I87" i="17"/>
  <c r="I80" i="17"/>
  <c r="I72" i="17"/>
  <c r="I64" i="17"/>
  <c r="I56" i="17"/>
  <c r="I48" i="17"/>
  <c r="I40" i="17"/>
  <c r="I26" i="17"/>
  <c r="I10" i="17"/>
  <c r="I147" i="17"/>
  <c r="I139" i="17"/>
  <c r="I132" i="17"/>
  <c r="I124" i="17"/>
  <c r="I108" i="17"/>
  <c r="I101" i="17"/>
  <c r="I93" i="17"/>
  <c r="I71" i="17"/>
  <c r="I55" i="17"/>
  <c r="I39" i="17"/>
  <c r="I25" i="17"/>
  <c r="I9" i="17"/>
  <c r="I205" i="17"/>
  <c r="I198" i="17"/>
  <c r="I190" i="17"/>
  <c r="I174" i="17"/>
  <c r="I160" i="17"/>
  <c r="I145" i="17"/>
  <c r="I137" i="17"/>
  <c r="I122" i="17"/>
  <c r="I106" i="17"/>
  <c r="I99" i="17"/>
  <c r="I91" i="17"/>
  <c r="I85" i="17"/>
  <c r="I77" i="17"/>
  <c r="I69" i="17"/>
  <c r="I61" i="17"/>
  <c r="I53" i="17"/>
  <c r="I45" i="17"/>
  <c r="I23" i="17"/>
  <c r="I7" i="17"/>
  <c r="I136" i="17"/>
  <c r="I121" i="17"/>
  <c r="I113" i="17"/>
  <c r="I98" i="17"/>
  <c r="I84" i="17"/>
  <c r="I68" i="17"/>
  <c r="I60" i="17"/>
  <c r="I52" i="17"/>
  <c r="I44" i="17"/>
  <c r="I37" i="17"/>
  <c r="I30" i="17"/>
  <c r="I22" i="17"/>
  <c r="I14" i="17"/>
  <c r="I6" i="17"/>
  <c r="I128" i="17"/>
  <c r="I120" i="17"/>
  <c r="I112" i="17"/>
  <c r="I104" i="17"/>
  <c r="I97" i="17"/>
  <c r="I83" i="17"/>
  <c r="I75" i="17"/>
  <c r="I67" i="17"/>
  <c r="I59" i="17"/>
  <c r="I51" i="17"/>
  <c r="I43" i="17"/>
  <c r="I36" i="17"/>
  <c r="I29" i="17"/>
  <c r="I21" i="17"/>
  <c r="I13" i="17"/>
  <c r="I5" i="17"/>
  <c r="B3" i="10"/>
  <c r="D21" i="20" l="1"/>
  <c r="E15" i="20"/>
  <c r="E14" i="20" s="1"/>
  <c r="E22" i="20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F2262" i="15"/>
  <c r="F2263" i="15"/>
  <c r="F2264" i="15"/>
  <c r="F2265" i="15"/>
  <c r="F2266" i="15"/>
  <c r="F2267" i="15"/>
  <c r="F2268" i="15"/>
  <c r="F2269" i="15"/>
  <c r="F2270" i="15"/>
  <c r="F2271" i="15"/>
  <c r="F2272" i="15"/>
  <c r="F2273" i="15"/>
  <c r="F2274" i="15"/>
  <c r="F2275" i="15"/>
  <c r="F2276" i="15"/>
  <c r="F2277" i="15"/>
  <c r="F2278" i="15"/>
  <c r="F2279" i="15"/>
  <c r="F2280" i="15"/>
  <c r="F2281" i="15"/>
  <c r="F2282" i="15"/>
  <c r="F2283" i="15"/>
  <c r="F2284" i="15"/>
  <c r="F2285" i="15"/>
  <c r="F2286" i="15"/>
  <c r="F2287" i="15"/>
  <c r="F2288" i="15"/>
  <c r="F2289" i="15"/>
  <c r="F2290" i="15"/>
  <c r="F2291" i="15"/>
  <c r="F2292" i="15"/>
  <c r="F2293" i="15"/>
  <c r="F2294" i="15"/>
  <c r="F2295" i="15"/>
  <c r="F2296" i="15"/>
  <c r="F2297" i="15"/>
  <c r="F2298" i="15"/>
  <c r="F2299" i="15"/>
  <c r="F2300" i="15"/>
  <c r="F2301" i="15"/>
  <c r="F2302" i="15"/>
  <c r="F2303" i="15"/>
  <c r="F2304" i="15"/>
  <c r="F2305" i="15"/>
  <c r="F2306" i="15"/>
  <c r="F2307" i="15"/>
  <c r="F2308" i="15"/>
  <c r="F2309" i="15"/>
  <c r="F2310" i="15"/>
  <c r="F2311" i="15"/>
  <c r="F2312" i="15"/>
  <c r="F2313" i="15"/>
  <c r="F2314" i="15"/>
  <c r="F2315" i="15"/>
  <c r="F2316" i="15"/>
  <c r="F2317" i="15"/>
  <c r="F2318" i="15"/>
  <c r="F2319" i="15"/>
  <c r="F2320" i="15"/>
  <c r="F2321" i="15"/>
  <c r="F2322" i="15"/>
  <c r="F2323" i="15"/>
  <c r="F2324" i="15"/>
  <c r="F2325" i="15"/>
  <c r="F2326" i="15"/>
  <c r="F2327" i="15"/>
  <c r="F2328" i="15"/>
  <c r="F2329" i="15"/>
  <c r="F2330" i="15"/>
  <c r="F2331" i="15"/>
  <c r="F2332" i="15"/>
  <c r="F2333" i="15"/>
  <c r="F2334" i="15"/>
  <c r="F2335" i="15"/>
  <c r="F2336" i="15"/>
  <c r="F2337" i="15"/>
  <c r="F2338" i="15"/>
  <c r="F2339" i="15"/>
  <c r="F2340" i="15"/>
  <c r="F2341" i="15"/>
  <c r="F2342" i="15"/>
  <c r="F2343" i="15"/>
  <c r="F2344" i="15"/>
  <c r="F2345" i="15"/>
  <c r="F2346" i="15"/>
  <c r="F2347" i="15"/>
  <c r="F2348" i="15"/>
  <c r="F2349" i="15"/>
  <c r="F2350" i="15"/>
  <c r="F2351" i="15"/>
  <c r="F2352" i="15"/>
  <c r="F2353" i="15"/>
  <c r="F2354" i="15"/>
  <c r="F2355" i="15"/>
  <c r="F2356" i="15"/>
  <c r="F2357" i="15"/>
  <c r="F2358" i="15"/>
  <c r="F2359" i="15"/>
  <c r="F2360" i="15"/>
  <c r="F2361" i="15"/>
  <c r="F2362" i="15"/>
  <c r="F2363" i="15"/>
  <c r="F2364" i="15"/>
  <c r="F2365" i="15"/>
  <c r="F2366" i="15"/>
  <c r="F2367" i="15"/>
  <c r="F2368" i="15"/>
  <c r="F2369" i="15"/>
  <c r="F2370" i="15"/>
  <c r="F2371" i="15"/>
  <c r="F2372" i="15"/>
  <c r="F2373" i="15"/>
  <c r="F2374" i="15"/>
  <c r="F2375" i="15"/>
  <c r="F2376" i="15"/>
  <c r="F2377" i="15"/>
  <c r="F2378" i="15"/>
  <c r="F2379" i="15"/>
  <c r="F2380" i="15"/>
  <c r="F2381" i="15"/>
  <c r="F2382" i="15"/>
  <c r="F2383" i="15"/>
  <c r="F2384" i="15"/>
  <c r="F2385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/>
  <c r="G1384" i="15"/>
  <c r="G1385" i="15"/>
  <c r="G1386" i="15"/>
  <c r="G1387" i="15"/>
  <c r="G1388" i="15"/>
  <c r="G1389" i="15"/>
  <c r="G1390" i="15"/>
  <c r="G1391" i="15"/>
  <c r="G1392" i="15"/>
  <c r="G1393" i="15"/>
  <c r="G1394" i="15"/>
  <c r="G1395" i="15"/>
  <c r="G1396" i="15"/>
  <c r="G1397" i="15"/>
  <c r="G1398" i="15"/>
  <c r="G1399" i="15"/>
  <c r="G1400" i="15"/>
  <c r="G1401" i="15"/>
  <c r="G1402" i="15"/>
  <c r="G1403" i="15"/>
  <c r="G1404" i="15"/>
  <c r="G1405" i="15"/>
  <c r="G1406" i="15"/>
  <c r="G1407" i="15"/>
  <c r="G1408" i="15"/>
  <c r="G1409" i="15"/>
  <c r="G1410" i="15"/>
  <c r="G1411" i="15"/>
  <c r="G1412" i="15"/>
  <c r="G1413" i="15"/>
  <c r="G1414" i="15"/>
  <c r="G1415" i="15"/>
  <c r="G1416" i="15"/>
  <c r="G1417" i="15"/>
  <c r="G1418" i="15"/>
  <c r="G1419" i="15"/>
  <c r="G1420" i="15"/>
  <c r="G1421" i="15"/>
  <c r="G1422" i="15"/>
  <c r="G1423" i="15"/>
  <c r="G1424" i="15"/>
  <c r="G1425" i="15"/>
  <c r="G1426" i="15"/>
  <c r="G1427" i="15"/>
  <c r="G1428" i="15"/>
  <c r="G1429" i="15"/>
  <c r="G1430" i="15"/>
  <c r="G1431" i="15"/>
  <c r="G1432" i="15"/>
  <c r="G1433" i="15"/>
  <c r="G1434" i="15"/>
  <c r="G1435" i="15"/>
  <c r="G1436" i="15"/>
  <c r="G1437" i="15"/>
  <c r="G1438" i="15"/>
  <c r="G1439" i="15"/>
  <c r="G1440" i="15"/>
  <c r="G1441" i="15"/>
  <c r="G1442" i="15"/>
  <c r="G1443" i="15"/>
  <c r="G1444" i="15"/>
  <c r="G1445" i="15"/>
  <c r="G1446" i="15"/>
  <c r="G1447" i="15"/>
  <c r="G1448" i="15"/>
  <c r="G1449" i="15"/>
  <c r="G1450" i="15"/>
  <c r="G1451" i="15"/>
  <c r="G1452" i="15"/>
  <c r="G1453" i="15"/>
  <c r="G1454" i="15"/>
  <c r="G1455" i="15"/>
  <c r="G1456" i="15"/>
  <c r="G1457" i="15"/>
  <c r="G1458" i="15"/>
  <c r="G1459" i="15"/>
  <c r="G1460" i="15"/>
  <c r="G1461" i="15"/>
  <c r="G1462" i="15"/>
  <c r="G1463" i="15"/>
  <c r="G1464" i="15"/>
  <c r="G1465" i="15"/>
  <c r="G1466" i="15"/>
  <c r="G1467" i="15"/>
  <c r="G1468" i="15"/>
  <c r="G1469" i="15"/>
  <c r="G1470" i="15"/>
  <c r="G1471" i="15"/>
  <c r="G1472" i="15"/>
  <c r="G1473" i="15"/>
  <c r="G1474" i="15"/>
  <c r="G1475" i="15"/>
  <c r="G1476" i="15"/>
  <c r="G1477" i="15"/>
  <c r="G1478" i="15"/>
  <c r="G1479" i="15"/>
  <c r="G1480" i="15"/>
  <c r="G1481" i="15"/>
  <c r="G1482" i="15"/>
  <c r="G1483" i="15"/>
  <c r="G1484" i="15"/>
  <c r="G1485" i="15"/>
  <c r="G1486" i="15"/>
  <c r="G1487" i="15"/>
  <c r="G1488" i="15"/>
  <c r="G1489" i="15"/>
  <c r="G1490" i="15"/>
  <c r="G1491" i="15"/>
  <c r="G1492" i="15"/>
  <c r="G1493" i="15"/>
  <c r="G1494" i="15"/>
  <c r="G1495" i="15"/>
  <c r="G1496" i="15"/>
  <c r="G1497" i="15"/>
  <c r="G1498" i="15"/>
  <c r="G1499" i="15"/>
  <c r="G1500" i="15"/>
  <c r="G1501" i="15"/>
  <c r="G1502" i="15"/>
  <c r="G1503" i="15"/>
  <c r="G1504" i="15"/>
  <c r="G1505" i="15"/>
  <c r="G1506" i="15"/>
  <c r="G1507" i="15"/>
  <c r="G1508" i="15"/>
  <c r="G1509" i="15"/>
  <c r="G1510" i="15"/>
  <c r="G1511" i="15"/>
  <c r="G1512" i="15"/>
  <c r="G1513" i="15"/>
  <c r="G1514" i="15"/>
  <c r="G1515" i="15"/>
  <c r="G1516" i="15"/>
  <c r="G1517" i="15"/>
  <c r="G1518" i="15"/>
  <c r="G1519" i="15"/>
  <c r="G1520" i="15"/>
  <c r="G1521" i="15"/>
  <c r="G1522" i="15"/>
  <c r="G1523" i="15"/>
  <c r="G1524" i="15"/>
  <c r="G1525" i="15"/>
  <c r="G1526" i="15"/>
  <c r="G1527" i="15"/>
  <c r="G1528" i="15"/>
  <c r="G1529" i="15"/>
  <c r="G1530" i="15"/>
  <c r="G1531" i="15"/>
  <c r="G1532" i="15"/>
  <c r="G1533" i="15"/>
  <c r="G1534" i="15"/>
  <c r="G1535" i="15"/>
  <c r="G1536" i="15"/>
  <c r="G1537" i="15"/>
  <c r="G1538" i="15"/>
  <c r="G1539" i="15"/>
  <c r="G1540" i="15"/>
  <c r="G1541" i="15"/>
  <c r="G1542" i="15"/>
  <c r="G1543" i="15"/>
  <c r="G1544" i="15"/>
  <c r="G1545" i="15"/>
  <c r="G1546" i="15"/>
  <c r="G1547" i="15"/>
  <c r="G1548" i="15"/>
  <c r="G1549" i="15"/>
  <c r="G1550" i="15"/>
  <c r="G1551" i="15"/>
  <c r="G1552" i="15"/>
  <c r="G1553" i="15"/>
  <c r="G1554" i="15"/>
  <c r="G1555" i="15"/>
  <c r="G1556" i="15"/>
  <c r="G1557" i="15"/>
  <c r="G1558" i="15"/>
  <c r="G1559" i="15"/>
  <c r="G1560" i="15"/>
  <c r="G1561" i="15"/>
  <c r="G1562" i="15"/>
  <c r="G1563" i="15"/>
  <c r="G1564" i="15"/>
  <c r="G1565" i="15"/>
  <c r="G1566" i="15"/>
  <c r="G1567" i="15"/>
  <c r="G1568" i="15"/>
  <c r="G1569" i="15"/>
  <c r="G1570" i="15"/>
  <c r="G1571" i="15"/>
  <c r="G1572" i="15"/>
  <c r="G1573" i="15"/>
  <c r="G1574" i="15"/>
  <c r="G1575" i="15"/>
  <c r="G1576" i="15"/>
  <c r="G1577" i="15"/>
  <c r="G1578" i="15"/>
  <c r="G1579" i="15"/>
  <c r="G1580" i="15"/>
  <c r="G1581" i="15"/>
  <c r="G1582" i="15"/>
  <c r="G1583" i="15"/>
  <c r="G1584" i="15"/>
  <c r="G1585" i="15"/>
  <c r="G1586" i="15"/>
  <c r="G1587" i="15"/>
  <c r="G1588" i="15"/>
  <c r="G1589" i="15"/>
  <c r="G1590" i="15"/>
  <c r="G1591" i="15"/>
  <c r="G1592" i="15"/>
  <c r="G1593" i="15"/>
  <c r="G1594" i="15"/>
  <c r="G1595" i="15"/>
  <c r="G1596" i="15"/>
  <c r="G1597" i="15"/>
  <c r="G1598" i="15"/>
  <c r="G1599" i="15"/>
  <c r="G1600" i="15"/>
  <c r="G1601" i="15"/>
  <c r="G1602" i="15"/>
  <c r="G1603" i="15"/>
  <c r="G1604" i="15"/>
  <c r="G1605" i="15"/>
  <c r="G1606" i="15"/>
  <c r="G1607" i="15"/>
  <c r="G1608" i="15"/>
  <c r="G1609" i="15"/>
  <c r="G1610" i="15"/>
  <c r="G1611" i="15"/>
  <c r="G1612" i="15"/>
  <c r="G1613" i="15"/>
  <c r="G1614" i="15"/>
  <c r="G1615" i="15"/>
  <c r="G1616" i="15"/>
  <c r="G1617" i="15"/>
  <c r="G1618" i="15"/>
  <c r="G1619" i="15"/>
  <c r="G1620" i="15"/>
  <c r="G1621" i="15"/>
  <c r="G1622" i="15"/>
  <c r="G1623" i="15"/>
  <c r="G1624" i="15"/>
  <c r="G1625" i="15"/>
  <c r="G1626" i="15"/>
  <c r="G1627" i="15"/>
  <c r="G1628" i="15"/>
  <c r="G1629" i="15"/>
  <c r="G1630" i="15"/>
  <c r="G1631" i="15"/>
  <c r="G1632" i="15"/>
  <c r="G1633" i="15"/>
  <c r="G1634" i="15"/>
  <c r="G1635" i="15"/>
  <c r="G1636" i="15"/>
  <c r="G1637" i="15"/>
  <c r="G1638" i="15"/>
  <c r="G1639" i="15"/>
  <c r="G1640" i="15"/>
  <c r="G1641" i="15"/>
  <c r="G1642" i="15"/>
  <c r="G1643" i="15"/>
  <c r="G1644" i="15"/>
  <c r="G1645" i="15"/>
  <c r="G1646" i="15"/>
  <c r="G1647" i="15"/>
  <c r="G1648" i="15"/>
  <c r="G1649" i="15"/>
  <c r="G1650" i="15"/>
  <c r="G1651" i="15"/>
  <c r="G1652" i="15"/>
  <c r="G1653" i="15"/>
  <c r="G1654" i="15"/>
  <c r="G1655" i="15"/>
  <c r="G1656" i="15"/>
  <c r="G1657" i="15"/>
  <c r="G1658" i="15"/>
  <c r="G1659" i="15"/>
  <c r="G1660" i="15"/>
  <c r="G1661" i="15"/>
  <c r="G1662" i="15"/>
  <c r="G1663" i="15"/>
  <c r="G1664" i="15"/>
  <c r="G1665" i="15"/>
  <c r="G1666" i="15"/>
  <c r="G1667" i="15"/>
  <c r="G1668" i="15"/>
  <c r="G1669" i="15"/>
  <c r="G1670" i="15"/>
  <c r="G1671" i="15"/>
  <c r="G1672" i="15"/>
  <c r="G1673" i="15"/>
  <c r="G1674" i="15"/>
  <c r="G1675" i="15"/>
  <c r="G1676" i="15"/>
  <c r="G1677" i="15"/>
  <c r="G1678" i="15"/>
  <c r="G1679" i="15"/>
  <c r="G1680" i="15"/>
  <c r="G1681" i="15"/>
  <c r="G1682" i="15"/>
  <c r="G1683" i="15"/>
  <c r="G1684" i="15"/>
  <c r="G1685" i="15"/>
  <c r="G1686" i="15"/>
  <c r="G1687" i="15"/>
  <c r="G1688" i="15"/>
  <c r="G1689" i="15"/>
  <c r="G1690" i="15"/>
  <c r="G1691" i="15"/>
  <c r="G1692" i="15"/>
  <c r="G1693" i="15"/>
  <c r="G1694" i="15"/>
  <c r="G1695" i="15"/>
  <c r="G1696" i="15"/>
  <c r="G1697" i="15"/>
  <c r="G1698" i="15"/>
  <c r="G1699" i="15"/>
  <c r="G1700" i="15"/>
  <c r="G1701" i="15"/>
  <c r="G1702" i="15"/>
  <c r="G1703" i="15"/>
  <c r="G1704" i="15"/>
  <c r="G1705" i="15"/>
  <c r="G1706" i="15"/>
  <c r="G1707" i="15"/>
  <c r="G1708" i="15"/>
  <c r="G1709" i="15"/>
  <c r="G1710" i="15"/>
  <c r="G1711" i="15"/>
  <c r="G1712" i="15"/>
  <c r="G1713" i="15"/>
  <c r="G1714" i="15"/>
  <c r="G1715" i="15"/>
  <c r="G1716" i="15"/>
  <c r="G1717" i="15"/>
  <c r="G1718" i="15"/>
  <c r="G1719" i="15"/>
  <c r="G1720" i="15"/>
  <c r="G1721" i="15"/>
  <c r="G1722" i="15"/>
  <c r="G1723" i="15"/>
  <c r="G1724" i="15"/>
  <c r="G1725" i="15"/>
  <c r="G1726" i="15"/>
  <c r="G1727" i="15"/>
  <c r="G1728" i="15"/>
  <c r="G1729" i="15"/>
  <c r="G1730" i="15"/>
  <c r="G1731" i="15"/>
  <c r="G1732" i="15"/>
  <c r="G1733" i="15"/>
  <c r="G1734" i="15"/>
  <c r="G1735" i="15"/>
  <c r="G1736" i="15"/>
  <c r="G1737" i="15"/>
  <c r="G1738" i="15"/>
  <c r="G1739" i="15"/>
  <c r="G1740" i="15"/>
  <c r="G1741" i="15"/>
  <c r="G1742" i="15"/>
  <c r="G1743" i="15"/>
  <c r="G1744" i="15"/>
  <c r="G1745" i="15"/>
  <c r="G1746" i="15"/>
  <c r="G1747" i="15"/>
  <c r="G1748" i="15"/>
  <c r="G1749" i="15"/>
  <c r="G1750" i="15"/>
  <c r="G1751" i="15"/>
  <c r="G1752" i="15"/>
  <c r="G1753" i="15"/>
  <c r="G1754" i="15"/>
  <c r="G1755" i="15"/>
  <c r="G1756" i="15"/>
  <c r="G1757" i="15"/>
  <c r="G1758" i="15"/>
  <c r="G1759" i="15"/>
  <c r="G1760" i="15"/>
  <c r="G1761" i="15"/>
  <c r="G1762" i="15"/>
  <c r="G1763" i="15"/>
  <c r="G1764" i="15"/>
  <c r="G1765" i="15"/>
  <c r="G1766" i="15"/>
  <c r="G1767" i="15"/>
  <c r="G1768" i="15"/>
  <c r="G1769" i="15"/>
  <c r="G1770" i="15"/>
  <c r="G1771" i="15"/>
  <c r="G1772" i="15"/>
  <c r="G1773" i="15"/>
  <c r="G1774" i="15"/>
  <c r="G1775" i="15"/>
  <c r="G1776" i="15"/>
  <c r="G1777" i="15"/>
  <c r="G1778" i="15"/>
  <c r="G1779" i="15"/>
  <c r="G1780" i="15"/>
  <c r="G1781" i="15"/>
  <c r="G1782" i="15"/>
  <c r="G1783" i="15"/>
  <c r="G1784" i="15"/>
  <c r="G1785" i="15"/>
  <c r="G1786" i="15"/>
  <c r="G1787" i="15"/>
  <c r="G1788" i="15"/>
  <c r="G1789" i="15"/>
  <c r="G1790" i="15"/>
  <c r="G1791" i="15"/>
  <c r="G1792" i="15"/>
  <c r="G1793" i="15"/>
  <c r="G1794" i="15"/>
  <c r="G1795" i="15"/>
  <c r="G1796" i="15"/>
  <c r="G1797" i="15"/>
  <c r="G1798" i="15"/>
  <c r="G1799" i="15"/>
  <c r="G1800" i="15"/>
  <c r="G1801" i="15"/>
  <c r="G1802" i="15"/>
  <c r="G1803" i="15"/>
  <c r="G1804" i="15"/>
  <c r="G1805" i="15"/>
  <c r="G1806" i="15"/>
  <c r="G1807" i="15"/>
  <c r="G1808" i="15"/>
  <c r="G1809" i="15"/>
  <c r="G1810" i="15"/>
  <c r="G1811" i="15"/>
  <c r="G1812" i="15"/>
  <c r="G1813" i="15"/>
  <c r="G1814" i="15"/>
  <c r="G1815" i="15"/>
  <c r="G1816" i="15"/>
  <c r="G1817" i="15"/>
  <c r="G1818" i="15"/>
  <c r="G1819" i="15"/>
  <c r="G1820" i="15"/>
  <c r="G1821" i="15"/>
  <c r="G1822" i="15"/>
  <c r="G1823" i="15"/>
  <c r="G1824" i="15"/>
  <c r="G1825" i="15"/>
  <c r="G1826" i="15"/>
  <c r="G1827" i="15"/>
  <c r="G1828" i="15"/>
  <c r="G1829" i="15"/>
  <c r="G1830" i="15"/>
  <c r="G1831" i="15"/>
  <c r="G1832" i="15"/>
  <c r="G1833" i="15"/>
  <c r="G1834" i="15"/>
  <c r="G1835" i="15"/>
  <c r="G1836" i="15"/>
  <c r="G1837" i="15"/>
  <c r="G1838" i="15"/>
  <c r="G1839" i="15"/>
  <c r="G1840" i="15"/>
  <c r="G1841" i="15"/>
  <c r="G1842" i="15"/>
  <c r="G1843" i="15"/>
  <c r="G1844" i="15"/>
  <c r="G1845" i="15"/>
  <c r="G1846" i="15"/>
  <c r="G1847" i="15"/>
  <c r="G1848" i="15"/>
  <c r="G1849" i="15"/>
  <c r="G1850" i="15"/>
  <c r="G1851" i="15"/>
  <c r="G1852" i="15"/>
  <c r="G1853" i="15"/>
  <c r="G1854" i="15"/>
  <c r="G1855" i="15"/>
  <c r="G1856" i="15"/>
  <c r="G1857" i="15"/>
  <c r="G1858" i="15"/>
  <c r="G1859" i="15"/>
  <c r="G1860" i="15"/>
  <c r="G1861" i="15"/>
  <c r="G1862" i="15"/>
  <c r="G1863" i="15"/>
  <c r="G1864" i="15"/>
  <c r="G1865" i="15"/>
  <c r="G1866" i="15"/>
  <c r="G1867" i="15"/>
  <c r="G1868" i="15"/>
  <c r="G1869" i="15"/>
  <c r="G1870" i="15"/>
  <c r="G1871" i="15"/>
  <c r="G1872" i="15"/>
  <c r="G1873" i="15"/>
  <c r="G1874" i="15"/>
  <c r="G1875" i="15"/>
  <c r="G1876" i="15"/>
  <c r="G1877" i="15"/>
  <c r="G1878" i="15"/>
  <c r="G1879" i="15"/>
  <c r="G1880" i="15"/>
  <c r="G1881" i="15"/>
  <c r="G1882" i="15"/>
  <c r="G1883" i="15"/>
  <c r="G1884" i="15"/>
  <c r="G1885" i="15"/>
  <c r="G1886" i="15"/>
  <c r="G1887" i="15"/>
  <c r="G1888" i="15"/>
  <c r="G1889" i="15"/>
  <c r="G1890" i="15"/>
  <c r="G1891" i="15"/>
  <c r="G1892" i="15"/>
  <c r="G1893" i="15"/>
  <c r="G1894" i="15"/>
  <c r="G1895" i="15"/>
  <c r="G1896" i="15"/>
  <c r="G1897" i="15"/>
  <c r="G1898" i="15"/>
  <c r="G1899" i="15"/>
  <c r="G1900" i="15"/>
  <c r="G1901" i="15"/>
  <c r="G1902" i="15"/>
  <c r="G1903" i="15"/>
  <c r="G1904" i="15"/>
  <c r="G1905" i="15"/>
  <c r="G1906" i="15"/>
  <c r="G1907" i="15"/>
  <c r="G1908" i="15"/>
  <c r="G1909" i="15"/>
  <c r="G1910" i="15"/>
  <c r="G1911" i="15"/>
  <c r="G1912" i="15"/>
  <c r="G1913" i="15"/>
  <c r="G1914" i="15"/>
  <c r="G1915" i="15"/>
  <c r="G1916" i="15"/>
  <c r="G1917" i="15"/>
  <c r="G1918" i="15"/>
  <c r="G1919" i="15"/>
  <c r="G1920" i="15"/>
  <c r="G1921" i="15"/>
  <c r="G1922" i="15"/>
  <c r="G1923" i="15"/>
  <c r="G1924" i="15"/>
  <c r="G1925" i="15"/>
  <c r="G1926" i="15"/>
  <c r="G1927" i="15"/>
  <c r="G1928" i="15"/>
  <c r="G1929" i="15"/>
  <c r="G1930" i="15"/>
  <c r="G1931" i="15"/>
  <c r="G1932" i="15"/>
  <c r="G1933" i="15"/>
  <c r="G1934" i="15"/>
  <c r="G1935" i="15"/>
  <c r="G1936" i="15"/>
  <c r="G1937" i="15"/>
  <c r="G1938" i="15"/>
  <c r="G1939" i="15"/>
  <c r="G1940" i="15"/>
  <c r="G1941" i="15"/>
  <c r="G1942" i="15"/>
  <c r="G1943" i="15"/>
  <c r="G1944" i="15"/>
  <c r="G1945" i="15"/>
  <c r="G1946" i="15"/>
  <c r="G1947" i="15"/>
  <c r="G1948" i="15"/>
  <c r="G1949" i="15"/>
  <c r="G1950" i="15"/>
  <c r="G1951" i="15"/>
  <c r="G1952" i="15"/>
  <c r="G1953" i="15"/>
  <c r="G1954" i="15"/>
  <c r="G1955" i="15"/>
  <c r="G1956" i="15"/>
  <c r="G1957" i="15"/>
  <c r="G1958" i="15"/>
  <c r="G1959" i="15"/>
  <c r="G1960" i="15"/>
  <c r="G1961" i="15"/>
  <c r="G1962" i="15"/>
  <c r="G1963" i="15"/>
  <c r="G1964" i="15"/>
  <c r="G1965" i="15"/>
  <c r="G1966" i="15"/>
  <c r="G1967" i="15"/>
  <c r="G1968" i="15"/>
  <c r="G1969" i="15"/>
  <c r="G1970" i="15"/>
  <c r="G1971" i="15"/>
  <c r="G1972" i="15"/>
  <c r="G1973" i="15"/>
  <c r="G1974" i="15"/>
  <c r="G1975" i="15"/>
  <c r="G1976" i="15"/>
  <c r="G1977" i="15"/>
  <c r="G1978" i="15"/>
  <c r="G1979" i="15"/>
  <c r="G1980" i="15"/>
  <c r="G1981" i="15"/>
  <c r="G1982" i="15"/>
  <c r="G1983" i="15"/>
  <c r="G1984" i="15"/>
  <c r="G1985" i="15"/>
  <c r="G1986" i="15"/>
  <c r="G1987" i="15"/>
  <c r="G1988" i="15"/>
  <c r="G1989" i="15"/>
  <c r="G1990" i="15"/>
  <c r="G1991" i="15"/>
  <c r="G1992" i="15"/>
  <c r="G1993" i="15"/>
  <c r="G1994" i="15"/>
  <c r="G1995" i="15"/>
  <c r="G1996" i="15"/>
  <c r="G1997" i="15"/>
  <c r="G1998" i="15"/>
  <c r="G1999" i="15"/>
  <c r="G2000" i="15"/>
  <c r="G2001" i="15"/>
  <c r="G2002" i="15"/>
  <c r="G2003" i="15"/>
  <c r="G2004" i="15"/>
  <c r="G2005" i="15"/>
  <c r="G2006" i="15"/>
  <c r="G2007" i="15"/>
  <c r="G2008" i="15"/>
  <c r="G2009" i="15"/>
  <c r="G2010" i="15"/>
  <c r="G2011" i="15"/>
  <c r="G2012" i="15"/>
  <c r="G2013" i="15"/>
  <c r="G2014" i="15"/>
  <c r="G2015" i="15"/>
  <c r="G2016" i="15"/>
  <c r="G2017" i="15"/>
  <c r="G2018" i="15"/>
  <c r="G2019" i="15"/>
  <c r="G2020" i="15"/>
  <c r="G2021" i="15"/>
  <c r="G2022" i="15"/>
  <c r="G2023" i="15"/>
  <c r="G2024" i="15"/>
  <c r="G2025" i="15"/>
  <c r="G2026" i="15"/>
  <c r="G2027" i="15"/>
  <c r="G2028" i="15"/>
  <c r="G2029" i="15"/>
  <c r="G2030" i="15"/>
  <c r="G2031" i="15"/>
  <c r="G2032" i="15"/>
  <c r="G2033" i="15"/>
  <c r="G2034" i="15"/>
  <c r="G2035" i="15"/>
  <c r="G2036" i="15"/>
  <c r="G2037" i="15"/>
  <c r="G2038" i="15"/>
  <c r="G2039" i="15"/>
  <c r="G2040" i="15"/>
  <c r="G2041" i="15"/>
  <c r="G2042" i="15"/>
  <c r="G2043" i="15"/>
  <c r="G2044" i="15"/>
  <c r="G2045" i="15"/>
  <c r="G2046" i="15"/>
  <c r="G2047" i="15"/>
  <c r="G2048" i="15"/>
  <c r="G2049" i="15"/>
  <c r="G2050" i="15"/>
  <c r="G2051" i="15"/>
  <c r="G2052" i="15"/>
  <c r="G2053" i="15"/>
  <c r="G2054" i="15"/>
  <c r="G2055" i="15"/>
  <c r="G2056" i="15"/>
  <c r="G2057" i="15"/>
  <c r="G2058" i="15"/>
  <c r="G2059" i="15"/>
  <c r="G2060" i="15"/>
  <c r="G2061" i="15"/>
  <c r="G2062" i="15"/>
  <c r="G2063" i="15"/>
  <c r="G2064" i="15"/>
  <c r="G2065" i="15"/>
  <c r="G2066" i="15"/>
  <c r="G2067" i="15"/>
  <c r="G2068" i="15"/>
  <c r="G2069" i="15"/>
  <c r="G2070" i="15"/>
  <c r="G2071" i="15"/>
  <c r="G2072" i="15"/>
  <c r="G2073" i="15"/>
  <c r="G2074" i="15"/>
  <c r="G2075" i="15"/>
  <c r="G2076" i="15"/>
  <c r="G2077" i="15"/>
  <c r="G2078" i="15"/>
  <c r="G2079" i="15"/>
  <c r="G2080" i="15"/>
  <c r="G2081" i="15"/>
  <c r="G2082" i="15"/>
  <c r="G2083" i="15"/>
  <c r="G2084" i="15"/>
  <c r="G2085" i="15"/>
  <c r="G2086" i="15"/>
  <c r="G2087" i="15"/>
  <c r="G2088" i="15"/>
  <c r="G2089" i="15"/>
  <c r="G2090" i="15"/>
  <c r="G2091" i="15"/>
  <c r="G2092" i="15"/>
  <c r="G2093" i="15"/>
  <c r="G2094" i="15"/>
  <c r="G2095" i="15"/>
  <c r="G2096" i="15"/>
  <c r="G2097" i="15"/>
  <c r="G2098" i="15"/>
  <c r="G2099" i="15"/>
  <c r="G2100" i="15"/>
  <c r="G2101" i="15"/>
  <c r="G2102" i="15"/>
  <c r="G2103" i="15"/>
  <c r="G2104" i="15"/>
  <c r="G2105" i="15"/>
  <c r="G2106" i="15"/>
  <c r="G2107" i="15"/>
  <c r="G2108" i="15"/>
  <c r="G2109" i="15"/>
  <c r="G2110" i="15"/>
  <c r="G2111" i="15"/>
  <c r="G2112" i="15"/>
  <c r="G2113" i="15"/>
  <c r="G2114" i="15"/>
  <c r="G2115" i="15"/>
  <c r="G2116" i="15"/>
  <c r="G2117" i="15"/>
  <c r="G2118" i="15"/>
  <c r="G2119" i="15"/>
  <c r="G2120" i="15"/>
  <c r="G2121" i="15"/>
  <c r="G2122" i="15"/>
  <c r="G2123" i="15"/>
  <c r="G2124" i="15"/>
  <c r="G2125" i="15"/>
  <c r="G2126" i="15"/>
  <c r="G2127" i="15"/>
  <c r="G2128" i="15"/>
  <c r="G2129" i="15"/>
  <c r="G2130" i="15"/>
  <c r="G2131" i="15"/>
  <c r="G2132" i="15"/>
  <c r="G2133" i="15"/>
  <c r="G2134" i="15"/>
  <c r="G2135" i="15"/>
  <c r="G2136" i="15"/>
  <c r="G2137" i="15"/>
  <c r="G2138" i="15"/>
  <c r="G2139" i="15"/>
  <c r="G2140" i="15"/>
  <c r="G2141" i="15"/>
  <c r="G2142" i="15"/>
  <c r="G2143" i="15"/>
  <c r="G2144" i="15"/>
  <c r="G2145" i="15"/>
  <c r="G2146" i="15"/>
  <c r="G2147" i="15"/>
  <c r="G2148" i="15"/>
  <c r="G2149" i="15"/>
  <c r="G2150" i="15"/>
  <c r="G2151" i="15"/>
  <c r="G2152" i="15"/>
  <c r="G2153" i="15"/>
  <c r="G2154" i="15"/>
  <c r="G2155" i="15"/>
  <c r="G2156" i="15"/>
  <c r="G2157" i="15"/>
  <c r="G2158" i="15"/>
  <c r="G2159" i="15"/>
  <c r="G2160" i="15"/>
  <c r="G2161" i="15"/>
  <c r="G2162" i="15"/>
  <c r="G2163" i="15"/>
  <c r="G2164" i="15"/>
  <c r="G2165" i="15"/>
  <c r="G2166" i="15"/>
  <c r="G2167" i="15"/>
  <c r="G2168" i="15"/>
  <c r="G2169" i="15"/>
  <c r="G2170" i="15"/>
  <c r="G2171" i="15"/>
  <c r="G2172" i="15"/>
  <c r="G2173" i="15"/>
  <c r="G2174" i="15"/>
  <c r="G2175" i="15"/>
  <c r="G2176" i="15"/>
  <c r="G2177" i="15"/>
  <c r="G2178" i="15"/>
  <c r="G2179" i="15"/>
  <c r="G2180" i="15"/>
  <c r="G2181" i="15"/>
  <c r="G2182" i="15"/>
  <c r="G2183" i="15"/>
  <c r="G2184" i="15"/>
  <c r="G2185" i="15"/>
  <c r="G2186" i="15"/>
  <c r="G2187" i="15"/>
  <c r="G2188" i="15"/>
  <c r="G2189" i="15"/>
  <c r="G2190" i="15"/>
  <c r="G2191" i="15"/>
  <c r="G2192" i="15"/>
  <c r="G2193" i="15"/>
  <c r="G2194" i="15"/>
  <c r="G2195" i="15"/>
  <c r="G2196" i="15"/>
  <c r="G2197" i="15"/>
  <c r="G2198" i="15"/>
  <c r="G2199" i="15"/>
  <c r="G2200" i="15"/>
  <c r="G2201" i="15"/>
  <c r="G2202" i="15"/>
  <c r="G2203" i="15"/>
  <c r="G2204" i="15"/>
  <c r="G2205" i="15"/>
  <c r="G2206" i="15"/>
  <c r="G2207" i="15"/>
  <c r="G2208" i="15"/>
  <c r="G2209" i="15"/>
  <c r="G2210" i="15"/>
  <c r="G2211" i="15"/>
  <c r="G2212" i="15"/>
  <c r="G2213" i="15"/>
  <c r="G2214" i="15"/>
  <c r="G2215" i="15"/>
  <c r="G2216" i="15"/>
  <c r="G2217" i="15"/>
  <c r="G2218" i="15"/>
  <c r="G2219" i="15"/>
  <c r="G2220" i="15"/>
  <c r="G2221" i="15"/>
  <c r="G2222" i="15"/>
  <c r="G2223" i="15"/>
  <c r="G2224" i="15"/>
  <c r="G2225" i="15"/>
  <c r="G2226" i="15"/>
  <c r="G2227" i="15"/>
  <c r="G2228" i="15"/>
  <c r="G2229" i="15"/>
  <c r="G2230" i="15"/>
  <c r="G2231" i="15"/>
  <c r="G2232" i="15"/>
  <c r="G2233" i="15"/>
  <c r="G2234" i="15"/>
  <c r="G2235" i="15"/>
  <c r="G2236" i="15"/>
  <c r="G2237" i="15"/>
  <c r="G2238" i="15"/>
  <c r="G2239" i="15"/>
  <c r="G2240" i="15"/>
  <c r="G2241" i="15"/>
  <c r="G2242" i="15"/>
  <c r="G2243" i="15"/>
  <c r="G2244" i="15"/>
  <c r="G2245" i="15"/>
  <c r="G2246" i="15"/>
  <c r="G2247" i="15"/>
  <c r="G2248" i="15"/>
  <c r="G2249" i="15"/>
  <c r="G2250" i="15"/>
  <c r="G2251" i="15"/>
  <c r="G2252" i="15"/>
  <c r="G2253" i="15"/>
  <c r="G2254" i="15"/>
  <c r="G2255" i="15"/>
  <c r="G2256" i="15"/>
  <c r="G2257" i="15"/>
  <c r="G2258" i="15"/>
  <c r="G2259" i="15"/>
  <c r="G2260" i="15"/>
  <c r="G2261" i="15"/>
  <c r="G2262" i="15"/>
  <c r="G2263" i="15"/>
  <c r="G2264" i="15"/>
  <c r="G2265" i="15"/>
  <c r="G2266" i="15"/>
  <c r="G2267" i="15"/>
  <c r="G2268" i="15"/>
  <c r="G2269" i="15"/>
  <c r="G2270" i="15"/>
  <c r="G2271" i="15"/>
  <c r="G2272" i="15"/>
  <c r="G2273" i="15"/>
  <c r="G2274" i="15"/>
  <c r="G2275" i="15"/>
  <c r="G2276" i="15"/>
  <c r="G2277" i="15"/>
  <c r="G2278" i="15"/>
  <c r="G2279" i="15"/>
  <c r="G2280" i="15"/>
  <c r="G2281" i="15"/>
  <c r="G2282" i="15"/>
  <c r="G2283" i="15"/>
  <c r="G2284" i="15"/>
  <c r="G2285" i="15"/>
  <c r="G2286" i="15"/>
  <c r="G2287" i="15"/>
  <c r="G2288" i="15"/>
  <c r="G2289" i="15"/>
  <c r="G2290" i="15"/>
  <c r="G2291" i="15"/>
  <c r="G2292" i="15"/>
  <c r="G2293" i="15"/>
  <c r="G2294" i="15"/>
  <c r="G2295" i="15"/>
  <c r="G2296" i="15"/>
  <c r="G2297" i="15"/>
  <c r="G2298" i="15"/>
  <c r="G2299" i="15"/>
  <c r="G2300" i="15"/>
  <c r="G2301" i="15"/>
  <c r="G2302" i="15"/>
  <c r="G2303" i="15"/>
  <c r="G2304" i="15"/>
  <c r="G2305" i="15"/>
  <c r="G2306" i="15"/>
  <c r="G2307" i="15"/>
  <c r="G2308" i="15"/>
  <c r="G2309" i="15"/>
  <c r="G2310" i="15"/>
  <c r="G2311" i="15"/>
  <c r="G2312" i="15"/>
  <c r="G2313" i="15"/>
  <c r="G2314" i="15"/>
  <c r="G2315" i="15"/>
  <c r="G2316" i="15"/>
  <c r="G2317" i="15"/>
  <c r="G2318" i="15"/>
  <c r="G2319" i="15"/>
  <c r="G2320" i="15"/>
  <c r="G2321" i="15"/>
  <c r="G2322" i="15"/>
  <c r="G2323" i="15"/>
  <c r="G2324" i="15"/>
  <c r="G2325" i="15"/>
  <c r="G2326" i="15"/>
  <c r="G2327" i="15"/>
  <c r="G2328" i="15"/>
  <c r="G2329" i="15"/>
  <c r="G2330" i="15"/>
  <c r="G2331" i="15"/>
  <c r="G2332" i="15"/>
  <c r="G2333" i="15"/>
  <c r="G2334" i="15"/>
  <c r="G2335" i="15"/>
  <c r="G2336" i="15"/>
  <c r="G2337" i="15"/>
  <c r="G2338" i="15"/>
  <c r="G2339" i="15"/>
  <c r="G2340" i="15"/>
  <c r="G2341" i="15"/>
  <c r="G2342" i="15"/>
  <c r="G2343" i="15"/>
  <c r="G2344" i="15"/>
  <c r="G2345" i="15"/>
  <c r="G2346" i="15"/>
  <c r="G2347" i="15"/>
  <c r="G2348" i="15"/>
  <c r="G2349" i="15"/>
  <c r="G2350" i="15"/>
  <c r="G2351" i="15"/>
  <c r="G2352" i="15"/>
  <c r="G2353" i="15"/>
  <c r="G2354" i="15"/>
  <c r="G2355" i="15"/>
  <c r="G2356" i="15"/>
  <c r="G2357" i="15"/>
  <c r="G2358" i="15"/>
  <c r="G2359" i="15"/>
  <c r="G2360" i="15"/>
  <c r="G2361" i="15"/>
  <c r="G2362" i="15"/>
  <c r="G2363" i="15"/>
  <c r="G2364" i="15"/>
  <c r="G2365" i="15"/>
  <c r="G2366" i="15"/>
  <c r="G2367" i="15"/>
  <c r="G2368" i="15"/>
  <c r="G2369" i="15"/>
  <c r="G2370" i="15"/>
  <c r="G2371" i="15"/>
  <c r="G2372" i="15"/>
  <c r="G2373" i="15"/>
  <c r="G2374" i="15"/>
  <c r="G2375" i="15"/>
  <c r="G2376" i="15"/>
  <c r="G2377" i="15"/>
  <c r="G2378" i="15"/>
  <c r="G2379" i="15"/>
  <c r="G2380" i="15"/>
  <c r="G2381" i="15"/>
  <c r="G2382" i="15"/>
  <c r="G2383" i="15"/>
  <c r="G2384" i="15"/>
  <c r="G2385" i="15"/>
  <c r="H2" i="15"/>
  <c r="H3" i="15"/>
  <c r="H4" i="15"/>
  <c r="H2979" i="16" s="1"/>
  <c r="H5" i="15"/>
  <c r="H6" i="15"/>
  <c r="H7" i="15"/>
  <c r="H8" i="15"/>
  <c r="H9" i="15"/>
  <c r="H10" i="15"/>
  <c r="H11" i="15"/>
  <c r="H12" i="15"/>
  <c r="H6753" i="16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H2262" i="15"/>
  <c r="H2263" i="15"/>
  <c r="H2264" i="15"/>
  <c r="H2265" i="15"/>
  <c r="H2266" i="15"/>
  <c r="H2267" i="15"/>
  <c r="H2268" i="15"/>
  <c r="H2269" i="15"/>
  <c r="H2270" i="15"/>
  <c r="H2271" i="15"/>
  <c r="H2272" i="15"/>
  <c r="H2273" i="15"/>
  <c r="H2274" i="15"/>
  <c r="H2275" i="15"/>
  <c r="H2276" i="15"/>
  <c r="H2277" i="15"/>
  <c r="H2278" i="15"/>
  <c r="H2279" i="15"/>
  <c r="H2280" i="15"/>
  <c r="H2281" i="15"/>
  <c r="H2282" i="15"/>
  <c r="H2283" i="15"/>
  <c r="H2284" i="15"/>
  <c r="H2285" i="15"/>
  <c r="H2286" i="15"/>
  <c r="H2287" i="15"/>
  <c r="H2288" i="15"/>
  <c r="H2289" i="15"/>
  <c r="H2290" i="15"/>
  <c r="H2291" i="15"/>
  <c r="H2292" i="15"/>
  <c r="H2293" i="15"/>
  <c r="H2294" i="15"/>
  <c r="H2295" i="15"/>
  <c r="H2296" i="15"/>
  <c r="H2297" i="15"/>
  <c r="H2298" i="15"/>
  <c r="H2299" i="15"/>
  <c r="H2300" i="15"/>
  <c r="H2301" i="15"/>
  <c r="H2302" i="15"/>
  <c r="H2303" i="15"/>
  <c r="H2304" i="15"/>
  <c r="H2305" i="15"/>
  <c r="H2306" i="15"/>
  <c r="H2307" i="15"/>
  <c r="H2308" i="15"/>
  <c r="H2309" i="15"/>
  <c r="H2310" i="15"/>
  <c r="H2311" i="15"/>
  <c r="H2312" i="15"/>
  <c r="H2313" i="15"/>
  <c r="H2314" i="15"/>
  <c r="H2315" i="15"/>
  <c r="H2316" i="15"/>
  <c r="H2317" i="15"/>
  <c r="H2318" i="15"/>
  <c r="H2319" i="15"/>
  <c r="H2320" i="15"/>
  <c r="H2321" i="15"/>
  <c r="H2322" i="15"/>
  <c r="H2323" i="15"/>
  <c r="H2324" i="15"/>
  <c r="H2325" i="15"/>
  <c r="H2326" i="15"/>
  <c r="H2327" i="15"/>
  <c r="H2328" i="15"/>
  <c r="H2329" i="15"/>
  <c r="H2330" i="15"/>
  <c r="H2331" i="15"/>
  <c r="H2332" i="15"/>
  <c r="H2333" i="15"/>
  <c r="H2334" i="15"/>
  <c r="H2335" i="15"/>
  <c r="H2336" i="15"/>
  <c r="H2337" i="15"/>
  <c r="H2338" i="15"/>
  <c r="H2339" i="15"/>
  <c r="H2340" i="15"/>
  <c r="H2341" i="15"/>
  <c r="H2342" i="15"/>
  <c r="H2343" i="15"/>
  <c r="H2344" i="15"/>
  <c r="H2345" i="15"/>
  <c r="H2346" i="15"/>
  <c r="H2347" i="15"/>
  <c r="H2348" i="15"/>
  <c r="H2349" i="15"/>
  <c r="H2350" i="15"/>
  <c r="H2351" i="15"/>
  <c r="H2352" i="15"/>
  <c r="H2353" i="15"/>
  <c r="H2354" i="15"/>
  <c r="H2355" i="15"/>
  <c r="H2356" i="15"/>
  <c r="H2357" i="15"/>
  <c r="H2358" i="15"/>
  <c r="H2359" i="15"/>
  <c r="H2360" i="15"/>
  <c r="H2361" i="15"/>
  <c r="H2362" i="15"/>
  <c r="H2363" i="15"/>
  <c r="H2364" i="15"/>
  <c r="H2365" i="15"/>
  <c r="H2366" i="15"/>
  <c r="H2367" i="15"/>
  <c r="H2368" i="15"/>
  <c r="H2369" i="15"/>
  <c r="H2370" i="15"/>
  <c r="H2371" i="15"/>
  <c r="H2372" i="15"/>
  <c r="H2373" i="15"/>
  <c r="H2374" i="15"/>
  <c r="H2375" i="15"/>
  <c r="H2376" i="15"/>
  <c r="H2377" i="15"/>
  <c r="H2378" i="15"/>
  <c r="H2379" i="15"/>
  <c r="H2380" i="15"/>
  <c r="H2381" i="15"/>
  <c r="H2382" i="15"/>
  <c r="H2383" i="15"/>
  <c r="H2384" i="15"/>
  <c r="H2385" i="15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H2345" i="16" s="1"/>
  <c r="G2346" i="16"/>
  <c r="G2347" i="16"/>
  <c r="G2348" i="16"/>
  <c r="G2349" i="16"/>
  <c r="G2350" i="16"/>
  <c r="G2351" i="16"/>
  <c r="G2352" i="16"/>
  <c r="G2353" i="16"/>
  <c r="H2353" i="16" s="1"/>
  <c r="G2354" i="16"/>
  <c r="G2355" i="16"/>
  <c r="G2356" i="16"/>
  <c r="G2357" i="16"/>
  <c r="G2358" i="16"/>
  <c r="G2359" i="16"/>
  <c r="G2360" i="16"/>
  <c r="G2361" i="16"/>
  <c r="H2361" i="16" s="1"/>
  <c r="G2362" i="16"/>
  <c r="G2363" i="16"/>
  <c r="G2364" i="16"/>
  <c r="G2365" i="16"/>
  <c r="G2366" i="16"/>
  <c r="G2367" i="16"/>
  <c r="G2368" i="16"/>
  <c r="G2369" i="16"/>
  <c r="H2369" i="16" s="1"/>
  <c r="G2370" i="16"/>
  <c r="G2371" i="16"/>
  <c r="G2372" i="16"/>
  <c r="G2373" i="16"/>
  <c r="G2374" i="16"/>
  <c r="G2375" i="16"/>
  <c r="G2376" i="16"/>
  <c r="G2377" i="16"/>
  <c r="H2377" i="16" s="1"/>
  <c r="G2378" i="16"/>
  <c r="G2379" i="16"/>
  <c r="G2380" i="16"/>
  <c r="G2381" i="16"/>
  <c r="G2382" i="16"/>
  <c r="G2383" i="16"/>
  <c r="G2384" i="16"/>
  <c r="G2385" i="16"/>
  <c r="H2385" i="16" s="1"/>
  <c r="G2386" i="16"/>
  <c r="G2387" i="16"/>
  <c r="G2388" i="16"/>
  <c r="G2389" i="16"/>
  <c r="G2390" i="16"/>
  <c r="G2391" i="16"/>
  <c r="G2392" i="16"/>
  <c r="G2393" i="16"/>
  <c r="H2393" i="16" s="1"/>
  <c r="G2394" i="16"/>
  <c r="G2395" i="16"/>
  <c r="G2396" i="16"/>
  <c r="G2397" i="16"/>
  <c r="G2398" i="16"/>
  <c r="G2399" i="16"/>
  <c r="G2400" i="16"/>
  <c r="G2401" i="16"/>
  <c r="H2401" i="16" s="1"/>
  <c r="G2402" i="16"/>
  <c r="G2403" i="16"/>
  <c r="G2404" i="16"/>
  <c r="G2405" i="16"/>
  <c r="G2406" i="16"/>
  <c r="G2407" i="16"/>
  <c r="G2408" i="16"/>
  <c r="G2409" i="16"/>
  <c r="H2409" i="16" s="1"/>
  <c r="G2410" i="16"/>
  <c r="G2411" i="16"/>
  <c r="G2412" i="16"/>
  <c r="G2413" i="16"/>
  <c r="G2414" i="16"/>
  <c r="G2415" i="16"/>
  <c r="G2416" i="16"/>
  <c r="G2417" i="16"/>
  <c r="H2417" i="16" s="1"/>
  <c r="G2418" i="16"/>
  <c r="G2419" i="16"/>
  <c r="G2420" i="16"/>
  <c r="G2421" i="16"/>
  <c r="G2422" i="16"/>
  <c r="G2423" i="16"/>
  <c r="G2424" i="16"/>
  <c r="G2425" i="16"/>
  <c r="H2425" i="16" s="1"/>
  <c r="G2426" i="16"/>
  <c r="G2427" i="16"/>
  <c r="G2428" i="16"/>
  <c r="G2429" i="16"/>
  <c r="G2430" i="16"/>
  <c r="G2431" i="16"/>
  <c r="G2432" i="16"/>
  <c r="G2433" i="16"/>
  <c r="H2433" i="16" s="1"/>
  <c r="G2434" i="16"/>
  <c r="G2435" i="16"/>
  <c r="G2436" i="16"/>
  <c r="G2437" i="16"/>
  <c r="G2438" i="16"/>
  <c r="G2439" i="16"/>
  <c r="G2440" i="16"/>
  <c r="G2441" i="16"/>
  <c r="H2441" i="16" s="1"/>
  <c r="G2442" i="16"/>
  <c r="G2443" i="16"/>
  <c r="G2444" i="16"/>
  <c r="G2445" i="16"/>
  <c r="G2446" i="16"/>
  <c r="G2447" i="16"/>
  <c r="G2448" i="16"/>
  <c r="G2449" i="16"/>
  <c r="H2449" i="16" s="1"/>
  <c r="G2450" i="16"/>
  <c r="G2451" i="16"/>
  <c r="G2452" i="16"/>
  <c r="G2453" i="16"/>
  <c r="G2454" i="16"/>
  <c r="G2455" i="16"/>
  <c r="G2456" i="16"/>
  <c r="G2457" i="16"/>
  <c r="H2457" i="16" s="1"/>
  <c r="G2458" i="16"/>
  <c r="G2459" i="16"/>
  <c r="G2460" i="16"/>
  <c r="G2461" i="16"/>
  <c r="G2462" i="16"/>
  <c r="G2463" i="16"/>
  <c r="G2464" i="16"/>
  <c r="G2465" i="16"/>
  <c r="H2465" i="16" s="1"/>
  <c r="G2466" i="16"/>
  <c r="G2467" i="16"/>
  <c r="G2468" i="16"/>
  <c r="G2469" i="16"/>
  <c r="G2470" i="16"/>
  <c r="G2471" i="16"/>
  <c r="G2472" i="16"/>
  <c r="G2473" i="16"/>
  <c r="H2473" i="16" s="1"/>
  <c r="G2474" i="16"/>
  <c r="G2475" i="16"/>
  <c r="G2476" i="16"/>
  <c r="G2477" i="16"/>
  <c r="G2478" i="16"/>
  <c r="G2479" i="16"/>
  <c r="G2480" i="16"/>
  <c r="G2481" i="16"/>
  <c r="H2481" i="16" s="1"/>
  <c r="G2482" i="16"/>
  <c r="G2483" i="16"/>
  <c r="G2484" i="16"/>
  <c r="G2485" i="16"/>
  <c r="G2486" i="16"/>
  <c r="G2487" i="16"/>
  <c r="G2488" i="16"/>
  <c r="G2489" i="16"/>
  <c r="H2489" i="16" s="1"/>
  <c r="G2490" i="16"/>
  <c r="G2491" i="16"/>
  <c r="G2492" i="16"/>
  <c r="G2493" i="16"/>
  <c r="G2494" i="16"/>
  <c r="G2495" i="16"/>
  <c r="G2496" i="16"/>
  <c r="G2497" i="16"/>
  <c r="H2497" i="16" s="1"/>
  <c r="G2498" i="16"/>
  <c r="G2499" i="16"/>
  <c r="G2500" i="16"/>
  <c r="G2501" i="16"/>
  <c r="G2502" i="16"/>
  <c r="G2503" i="16"/>
  <c r="G2504" i="16"/>
  <c r="G2505" i="16"/>
  <c r="H2505" i="16" s="1"/>
  <c r="G2506" i="16"/>
  <c r="G2507" i="16"/>
  <c r="G2508" i="16"/>
  <c r="G2509" i="16"/>
  <c r="G2510" i="16"/>
  <c r="G2511" i="16"/>
  <c r="G2512" i="16"/>
  <c r="G2513" i="16"/>
  <c r="H2513" i="16" s="1"/>
  <c r="G2514" i="16"/>
  <c r="G2515" i="16"/>
  <c r="G2516" i="16"/>
  <c r="G2517" i="16"/>
  <c r="G2518" i="16"/>
  <c r="G2519" i="16"/>
  <c r="G2520" i="16"/>
  <c r="G2521" i="16"/>
  <c r="H2521" i="16" s="1"/>
  <c r="G2522" i="16"/>
  <c r="G2523" i="16"/>
  <c r="G2524" i="16"/>
  <c r="G2525" i="16"/>
  <c r="G2526" i="16"/>
  <c r="G2527" i="16"/>
  <c r="G2528" i="16"/>
  <c r="G2529" i="16"/>
  <c r="H2529" i="16" s="1"/>
  <c r="G2530" i="16"/>
  <c r="G2531" i="16"/>
  <c r="G2532" i="16"/>
  <c r="G2533" i="16"/>
  <c r="G2534" i="16"/>
  <c r="G2535" i="16"/>
  <c r="G2536" i="16"/>
  <c r="G2537" i="16"/>
  <c r="H2537" i="16" s="1"/>
  <c r="G2538" i="16"/>
  <c r="G2539" i="16"/>
  <c r="G2540" i="16"/>
  <c r="G2541" i="16"/>
  <c r="G2542" i="16"/>
  <c r="G2543" i="16"/>
  <c r="G2544" i="16"/>
  <c r="G2545" i="16"/>
  <c r="H2545" i="16" s="1"/>
  <c r="G2546" i="16"/>
  <c r="G2547" i="16"/>
  <c r="G2548" i="16"/>
  <c r="G2549" i="16"/>
  <c r="G2550" i="16"/>
  <c r="G2551" i="16"/>
  <c r="G2552" i="16"/>
  <c r="G2553" i="16"/>
  <c r="H2553" i="16" s="1"/>
  <c r="G2554" i="16"/>
  <c r="G2555" i="16"/>
  <c r="G2556" i="16"/>
  <c r="G2557" i="16"/>
  <c r="G2558" i="16"/>
  <c r="G2559" i="16"/>
  <c r="G2560" i="16"/>
  <c r="G2561" i="16"/>
  <c r="H2561" i="16" s="1"/>
  <c r="G2562" i="16"/>
  <c r="G2563" i="16"/>
  <c r="G2564" i="16"/>
  <c r="G2565" i="16"/>
  <c r="G2566" i="16"/>
  <c r="G2567" i="16"/>
  <c r="G2568" i="16"/>
  <c r="G2569" i="16"/>
  <c r="H2569" i="16" s="1"/>
  <c r="G2570" i="16"/>
  <c r="G2571" i="16"/>
  <c r="G2572" i="16"/>
  <c r="G2573" i="16"/>
  <c r="G2574" i="16"/>
  <c r="G2575" i="16"/>
  <c r="G2576" i="16"/>
  <c r="G2577" i="16"/>
  <c r="H2577" i="16" s="1"/>
  <c r="G2578" i="16"/>
  <c r="G2579" i="16"/>
  <c r="G2580" i="16"/>
  <c r="G2581" i="16"/>
  <c r="G2582" i="16"/>
  <c r="G2583" i="16"/>
  <c r="G2584" i="16"/>
  <c r="G2585" i="16"/>
  <c r="H2585" i="16" s="1"/>
  <c r="G2586" i="16"/>
  <c r="G2587" i="16"/>
  <c r="G2588" i="16"/>
  <c r="G2589" i="16"/>
  <c r="G2590" i="16"/>
  <c r="G2591" i="16"/>
  <c r="G2592" i="16"/>
  <c r="G2593" i="16"/>
  <c r="H2593" i="16" s="1"/>
  <c r="G2594" i="16"/>
  <c r="G2595" i="16"/>
  <c r="G2596" i="16"/>
  <c r="G2597" i="16"/>
  <c r="G2598" i="16"/>
  <c r="G2599" i="16"/>
  <c r="G2600" i="16"/>
  <c r="G2601" i="16"/>
  <c r="H2601" i="16" s="1"/>
  <c r="G2602" i="16"/>
  <c r="G2603" i="16"/>
  <c r="G2604" i="16"/>
  <c r="G2605" i="16"/>
  <c r="G2606" i="16"/>
  <c r="G2607" i="16"/>
  <c r="G2608" i="16"/>
  <c r="G2609" i="16"/>
  <c r="H2609" i="16" s="1"/>
  <c r="G2610" i="16"/>
  <c r="G2611" i="16"/>
  <c r="G2612" i="16"/>
  <c r="G2613" i="16"/>
  <c r="G2614" i="16"/>
  <c r="G2615" i="16"/>
  <c r="G2616" i="16"/>
  <c r="G2617" i="16"/>
  <c r="H2617" i="16" s="1"/>
  <c r="G2618" i="16"/>
  <c r="G2619" i="16"/>
  <c r="G2620" i="16"/>
  <c r="G2621" i="16"/>
  <c r="G2622" i="16"/>
  <c r="G2623" i="16"/>
  <c r="G2624" i="16"/>
  <c r="G2625" i="16"/>
  <c r="H2625" i="16" s="1"/>
  <c r="G2626" i="16"/>
  <c r="G2627" i="16"/>
  <c r="G2628" i="16"/>
  <c r="G2629" i="16"/>
  <c r="G2630" i="16"/>
  <c r="G2631" i="16"/>
  <c r="G2632" i="16"/>
  <c r="G2633" i="16"/>
  <c r="H2633" i="16" s="1"/>
  <c r="G2634" i="16"/>
  <c r="G2635" i="16"/>
  <c r="G2636" i="16"/>
  <c r="G2637" i="16"/>
  <c r="G2638" i="16"/>
  <c r="G2639" i="16"/>
  <c r="G2640" i="16"/>
  <c r="G2641" i="16"/>
  <c r="H2641" i="16" s="1"/>
  <c r="G2642" i="16"/>
  <c r="G2643" i="16"/>
  <c r="G2644" i="16"/>
  <c r="G2645" i="16"/>
  <c r="G2646" i="16"/>
  <c r="G2647" i="16"/>
  <c r="G2648" i="16"/>
  <c r="G2649" i="16"/>
  <c r="H2649" i="16" s="1"/>
  <c r="G2650" i="16"/>
  <c r="G2651" i="16"/>
  <c r="G2652" i="16"/>
  <c r="G2653" i="16"/>
  <c r="G2654" i="16"/>
  <c r="G2655" i="16"/>
  <c r="G2656" i="16"/>
  <c r="G2657" i="16"/>
  <c r="H2657" i="16" s="1"/>
  <c r="G2658" i="16"/>
  <c r="G2659" i="16"/>
  <c r="G2660" i="16"/>
  <c r="G2661" i="16"/>
  <c r="G2662" i="16"/>
  <c r="G2663" i="16"/>
  <c r="G2664" i="16"/>
  <c r="G2665" i="16"/>
  <c r="H2665" i="16" s="1"/>
  <c r="G2666" i="16"/>
  <c r="G2667" i="16"/>
  <c r="G2668" i="16"/>
  <c r="G2669" i="16"/>
  <c r="G2670" i="16"/>
  <c r="G2671" i="16"/>
  <c r="G2672" i="16"/>
  <c r="G2673" i="16"/>
  <c r="H2673" i="16" s="1"/>
  <c r="G2674" i="16"/>
  <c r="G2675" i="16"/>
  <c r="G2676" i="16"/>
  <c r="G2677" i="16"/>
  <c r="G2678" i="16"/>
  <c r="G2679" i="16"/>
  <c r="G2680" i="16"/>
  <c r="G2681" i="16"/>
  <c r="H2681" i="16" s="1"/>
  <c r="G2682" i="16"/>
  <c r="G2683" i="16"/>
  <c r="G2684" i="16"/>
  <c r="G2685" i="16"/>
  <c r="G2686" i="16"/>
  <c r="G2687" i="16"/>
  <c r="G2688" i="16"/>
  <c r="G2689" i="16"/>
  <c r="H2689" i="16" s="1"/>
  <c r="G2690" i="16"/>
  <c r="G2691" i="16"/>
  <c r="G2692" i="16"/>
  <c r="G2693" i="16"/>
  <c r="G2694" i="16"/>
  <c r="G2695" i="16"/>
  <c r="G2696" i="16"/>
  <c r="G2697" i="16"/>
  <c r="H2697" i="16" s="1"/>
  <c r="G2698" i="16"/>
  <c r="G2699" i="16"/>
  <c r="G2700" i="16"/>
  <c r="G2701" i="16"/>
  <c r="G2702" i="16"/>
  <c r="G2703" i="16"/>
  <c r="G2704" i="16"/>
  <c r="G2705" i="16"/>
  <c r="H2705" i="16" s="1"/>
  <c r="G2706" i="16"/>
  <c r="G2707" i="16"/>
  <c r="G2708" i="16"/>
  <c r="G2709" i="16"/>
  <c r="G2710" i="16"/>
  <c r="G2711" i="16"/>
  <c r="G2712" i="16"/>
  <c r="G2713" i="16"/>
  <c r="H2713" i="16" s="1"/>
  <c r="G2714" i="16"/>
  <c r="G2715" i="16"/>
  <c r="G2716" i="16"/>
  <c r="G2717" i="16"/>
  <c r="G2718" i="16"/>
  <c r="G2719" i="16"/>
  <c r="G2720" i="16"/>
  <c r="G2721" i="16"/>
  <c r="H2721" i="16" s="1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3206" i="16"/>
  <c r="G3207" i="16"/>
  <c r="G3208" i="16"/>
  <c r="G3209" i="16"/>
  <c r="G3210" i="16"/>
  <c r="G3211" i="16"/>
  <c r="G3212" i="16"/>
  <c r="G3213" i="16"/>
  <c r="G3214" i="16"/>
  <c r="G3215" i="16"/>
  <c r="G3216" i="16"/>
  <c r="G3217" i="16"/>
  <c r="G3218" i="16"/>
  <c r="G3219" i="16"/>
  <c r="G3220" i="16"/>
  <c r="G3221" i="16"/>
  <c r="G3222" i="16"/>
  <c r="G3223" i="16"/>
  <c r="G3224" i="16"/>
  <c r="G3225" i="16"/>
  <c r="G3226" i="16"/>
  <c r="G3227" i="16"/>
  <c r="G3228" i="16"/>
  <c r="G3229" i="16"/>
  <c r="G3230" i="16"/>
  <c r="G3231" i="16"/>
  <c r="G3232" i="16"/>
  <c r="G3233" i="16"/>
  <c r="G3234" i="16"/>
  <c r="G3235" i="16"/>
  <c r="G3236" i="16"/>
  <c r="G3237" i="16"/>
  <c r="G3238" i="16"/>
  <c r="G3239" i="16"/>
  <c r="G3240" i="16"/>
  <c r="G3241" i="16"/>
  <c r="G3242" i="16"/>
  <c r="G3243" i="16"/>
  <c r="G3244" i="16"/>
  <c r="G3245" i="16"/>
  <c r="G3246" i="16"/>
  <c r="G3247" i="16"/>
  <c r="G3248" i="16"/>
  <c r="G3249" i="16"/>
  <c r="G3250" i="16"/>
  <c r="G3251" i="16"/>
  <c r="G3252" i="16"/>
  <c r="G3253" i="16"/>
  <c r="G3254" i="16"/>
  <c r="G3255" i="16"/>
  <c r="G3256" i="16"/>
  <c r="G3257" i="16"/>
  <c r="G3258" i="16"/>
  <c r="G3259" i="16"/>
  <c r="G3260" i="16"/>
  <c r="G3261" i="16"/>
  <c r="G3262" i="16"/>
  <c r="G3263" i="16"/>
  <c r="G3264" i="16"/>
  <c r="G3265" i="16"/>
  <c r="G3266" i="16"/>
  <c r="G3267" i="16"/>
  <c r="G3268" i="16"/>
  <c r="G3269" i="16"/>
  <c r="G3270" i="16"/>
  <c r="G3271" i="16"/>
  <c r="G3272" i="16"/>
  <c r="G3273" i="16"/>
  <c r="G3274" i="16"/>
  <c r="G3275" i="16"/>
  <c r="G3276" i="16"/>
  <c r="G3277" i="16"/>
  <c r="G3278" i="16"/>
  <c r="G3279" i="16"/>
  <c r="G3280" i="16"/>
  <c r="G3281" i="16"/>
  <c r="G3282" i="16"/>
  <c r="G3283" i="16"/>
  <c r="G3284" i="16"/>
  <c r="G3285" i="16"/>
  <c r="G3286" i="16"/>
  <c r="G3287" i="16"/>
  <c r="G3288" i="16"/>
  <c r="G3289" i="16"/>
  <c r="G3290" i="16"/>
  <c r="G3291" i="16"/>
  <c r="G3292" i="16"/>
  <c r="G3293" i="16"/>
  <c r="G3294" i="16"/>
  <c r="G3295" i="16"/>
  <c r="G3296" i="16"/>
  <c r="G3297" i="16"/>
  <c r="G3298" i="16"/>
  <c r="G3299" i="16"/>
  <c r="G3300" i="16"/>
  <c r="G3301" i="16"/>
  <c r="G3302" i="16"/>
  <c r="G3303" i="16"/>
  <c r="G3304" i="16"/>
  <c r="G3305" i="16"/>
  <c r="G3306" i="16"/>
  <c r="G3307" i="16"/>
  <c r="G3308" i="16"/>
  <c r="G3309" i="16"/>
  <c r="G3310" i="16"/>
  <c r="G3311" i="16"/>
  <c r="G3312" i="16"/>
  <c r="G3313" i="16"/>
  <c r="G3314" i="16"/>
  <c r="G3315" i="16"/>
  <c r="G3316" i="16"/>
  <c r="G3317" i="16"/>
  <c r="G3318" i="16"/>
  <c r="G3319" i="16"/>
  <c r="G3320" i="16"/>
  <c r="G3321" i="16"/>
  <c r="G3322" i="16"/>
  <c r="G3323" i="16"/>
  <c r="G3324" i="16"/>
  <c r="G3325" i="16"/>
  <c r="G3326" i="16"/>
  <c r="G3327" i="16"/>
  <c r="G3328" i="16"/>
  <c r="G3329" i="16"/>
  <c r="G3330" i="16"/>
  <c r="G3331" i="16"/>
  <c r="G3332" i="16"/>
  <c r="G3333" i="16"/>
  <c r="G3334" i="16"/>
  <c r="G3335" i="16"/>
  <c r="G3336" i="16"/>
  <c r="G3337" i="16"/>
  <c r="G3338" i="16"/>
  <c r="G3339" i="16"/>
  <c r="G3340" i="16"/>
  <c r="G3341" i="16"/>
  <c r="G3342" i="16"/>
  <c r="G3343" i="16"/>
  <c r="G3344" i="16"/>
  <c r="G3345" i="16"/>
  <c r="G3346" i="16"/>
  <c r="G3347" i="16"/>
  <c r="G3348" i="16"/>
  <c r="G3349" i="16"/>
  <c r="G3350" i="16"/>
  <c r="G3351" i="16"/>
  <c r="G3352" i="16"/>
  <c r="G3353" i="16"/>
  <c r="G3354" i="16"/>
  <c r="G3355" i="16"/>
  <c r="G3356" i="16"/>
  <c r="G3357" i="16"/>
  <c r="G3358" i="16"/>
  <c r="G3359" i="16"/>
  <c r="G3360" i="16"/>
  <c r="G3361" i="16"/>
  <c r="G3362" i="16"/>
  <c r="G3363" i="16"/>
  <c r="G3364" i="16"/>
  <c r="G3365" i="16"/>
  <c r="G3366" i="16"/>
  <c r="G3367" i="16"/>
  <c r="G3368" i="16"/>
  <c r="G3369" i="16"/>
  <c r="G3370" i="16"/>
  <c r="G3371" i="16"/>
  <c r="G3372" i="16"/>
  <c r="G3373" i="16"/>
  <c r="G3374" i="16"/>
  <c r="G3375" i="16"/>
  <c r="G3376" i="16"/>
  <c r="G3377" i="16"/>
  <c r="G3378" i="16"/>
  <c r="G3379" i="16"/>
  <c r="G3380" i="16"/>
  <c r="G3381" i="16"/>
  <c r="G3382" i="16"/>
  <c r="G3383" i="16"/>
  <c r="G3384" i="16"/>
  <c r="G3385" i="16"/>
  <c r="G3386" i="16"/>
  <c r="G3387" i="16"/>
  <c r="G3388" i="16"/>
  <c r="G3389" i="16"/>
  <c r="G3390" i="16"/>
  <c r="G3391" i="16"/>
  <c r="G3392" i="16"/>
  <c r="G3393" i="16"/>
  <c r="G3394" i="16"/>
  <c r="G3395" i="16"/>
  <c r="G3396" i="16"/>
  <c r="G3397" i="16"/>
  <c r="G3398" i="16"/>
  <c r="G3399" i="16"/>
  <c r="G3400" i="16"/>
  <c r="G3401" i="16"/>
  <c r="G3402" i="16"/>
  <c r="G3403" i="16"/>
  <c r="G3404" i="16"/>
  <c r="G3405" i="16"/>
  <c r="G3406" i="16"/>
  <c r="G3407" i="16"/>
  <c r="G3408" i="16"/>
  <c r="G3409" i="16"/>
  <c r="G3410" i="16"/>
  <c r="G3411" i="16"/>
  <c r="G3412" i="16"/>
  <c r="G3413" i="16"/>
  <c r="G3414" i="16"/>
  <c r="G3415" i="16"/>
  <c r="G3416" i="16"/>
  <c r="G3417" i="16"/>
  <c r="G3418" i="16"/>
  <c r="G3419" i="16"/>
  <c r="G3420" i="16"/>
  <c r="G3421" i="16"/>
  <c r="G3422" i="16"/>
  <c r="G3423" i="16"/>
  <c r="G3424" i="16"/>
  <c r="G3425" i="16"/>
  <c r="G3426" i="16"/>
  <c r="G3427" i="16"/>
  <c r="G3428" i="16"/>
  <c r="G3429" i="16"/>
  <c r="G3430" i="16"/>
  <c r="G3431" i="16"/>
  <c r="G3432" i="16"/>
  <c r="G3433" i="16"/>
  <c r="G3434" i="16"/>
  <c r="G3435" i="16"/>
  <c r="G3436" i="16"/>
  <c r="G3437" i="16"/>
  <c r="G3438" i="16"/>
  <c r="G3439" i="16"/>
  <c r="G3440" i="16"/>
  <c r="G3441" i="16"/>
  <c r="G3442" i="16"/>
  <c r="G3443" i="16"/>
  <c r="G3444" i="16"/>
  <c r="G3445" i="16"/>
  <c r="G3446" i="16"/>
  <c r="G3447" i="16"/>
  <c r="G3448" i="16"/>
  <c r="G3449" i="16"/>
  <c r="G3450" i="16"/>
  <c r="G3451" i="16"/>
  <c r="G3452" i="16"/>
  <c r="G3453" i="16"/>
  <c r="G3454" i="16"/>
  <c r="G3455" i="16"/>
  <c r="G3456" i="16"/>
  <c r="G3457" i="16"/>
  <c r="G3458" i="16"/>
  <c r="G3459" i="16"/>
  <c r="G3460" i="16"/>
  <c r="G3461" i="16"/>
  <c r="G3462" i="16"/>
  <c r="G3463" i="16"/>
  <c r="G3464" i="16"/>
  <c r="G3465" i="16"/>
  <c r="G3466" i="16"/>
  <c r="G3467" i="16"/>
  <c r="G3468" i="16"/>
  <c r="G3469" i="16"/>
  <c r="G3470" i="16"/>
  <c r="G3471" i="16"/>
  <c r="G3472" i="16"/>
  <c r="G3473" i="16"/>
  <c r="G3474" i="16"/>
  <c r="G3475" i="16"/>
  <c r="G3476" i="16"/>
  <c r="G3477" i="16"/>
  <c r="G3478" i="16"/>
  <c r="G3479" i="16"/>
  <c r="G3480" i="16"/>
  <c r="G3481" i="16"/>
  <c r="G3482" i="16"/>
  <c r="G3483" i="16"/>
  <c r="G3484" i="16"/>
  <c r="G3485" i="16"/>
  <c r="G3486" i="16"/>
  <c r="G3487" i="16"/>
  <c r="G3488" i="16"/>
  <c r="G3489" i="16"/>
  <c r="G3490" i="16"/>
  <c r="G3491" i="16"/>
  <c r="G3492" i="16"/>
  <c r="G3493" i="16"/>
  <c r="G3494" i="16"/>
  <c r="G3495" i="16"/>
  <c r="G3496" i="16"/>
  <c r="G3497" i="16"/>
  <c r="G3498" i="16"/>
  <c r="G3499" i="16"/>
  <c r="G3500" i="16"/>
  <c r="G3501" i="16"/>
  <c r="G3502" i="16"/>
  <c r="G3503" i="16"/>
  <c r="G3504" i="16"/>
  <c r="G3505" i="16"/>
  <c r="G3506" i="16"/>
  <c r="G3507" i="16"/>
  <c r="G3508" i="16"/>
  <c r="G3509" i="16"/>
  <c r="G3510" i="16"/>
  <c r="G3511" i="16"/>
  <c r="G3512" i="16"/>
  <c r="G3513" i="16"/>
  <c r="G3514" i="16"/>
  <c r="G3515" i="16"/>
  <c r="G3516" i="16"/>
  <c r="G3517" i="16"/>
  <c r="G3518" i="16"/>
  <c r="G3519" i="16"/>
  <c r="G3520" i="16"/>
  <c r="G3521" i="16"/>
  <c r="G3522" i="16"/>
  <c r="G3523" i="16"/>
  <c r="G3524" i="16"/>
  <c r="G3525" i="16"/>
  <c r="G3526" i="16"/>
  <c r="G3527" i="16"/>
  <c r="G3528" i="16"/>
  <c r="G3529" i="16"/>
  <c r="G3530" i="16"/>
  <c r="G3531" i="16"/>
  <c r="G3532" i="16"/>
  <c r="G3533" i="16"/>
  <c r="G3534" i="16"/>
  <c r="G3535" i="16"/>
  <c r="G3536" i="16"/>
  <c r="G3537" i="16"/>
  <c r="G3538" i="16"/>
  <c r="G3539" i="16"/>
  <c r="G3540" i="16"/>
  <c r="G3541" i="16"/>
  <c r="G3542" i="16"/>
  <c r="G3543" i="16"/>
  <c r="G3544" i="16"/>
  <c r="G3545" i="16"/>
  <c r="G3546" i="16"/>
  <c r="G3547" i="16"/>
  <c r="G3548" i="16"/>
  <c r="G3549" i="16"/>
  <c r="G3550" i="16"/>
  <c r="G3551" i="16"/>
  <c r="G3552" i="16"/>
  <c r="G3553" i="16"/>
  <c r="G3554" i="16"/>
  <c r="G3555" i="16"/>
  <c r="G3556" i="16"/>
  <c r="G3557" i="16"/>
  <c r="G3558" i="16"/>
  <c r="G3559" i="16"/>
  <c r="G3560" i="16"/>
  <c r="G3561" i="16"/>
  <c r="G3562" i="16"/>
  <c r="G3563" i="16"/>
  <c r="G3564" i="16"/>
  <c r="G3565" i="16"/>
  <c r="G3566" i="16"/>
  <c r="G3567" i="16"/>
  <c r="G3568" i="16"/>
  <c r="G3569" i="16"/>
  <c r="G3570" i="16"/>
  <c r="G3571" i="16"/>
  <c r="G3572" i="16"/>
  <c r="G3573" i="16"/>
  <c r="G3574" i="16"/>
  <c r="G3575" i="16"/>
  <c r="G3576" i="16"/>
  <c r="G3577" i="16"/>
  <c r="G3578" i="16"/>
  <c r="G3579" i="16"/>
  <c r="G3580" i="16"/>
  <c r="G3581" i="16"/>
  <c r="G3582" i="16"/>
  <c r="G3583" i="16"/>
  <c r="G3584" i="16"/>
  <c r="G3585" i="16"/>
  <c r="G3586" i="16"/>
  <c r="G3587" i="16"/>
  <c r="G3588" i="16"/>
  <c r="G3589" i="16"/>
  <c r="G3590" i="16"/>
  <c r="G3591" i="16"/>
  <c r="G3592" i="16"/>
  <c r="G3593" i="16"/>
  <c r="G3594" i="16"/>
  <c r="G3595" i="16"/>
  <c r="G3596" i="16"/>
  <c r="G3597" i="16"/>
  <c r="G3598" i="16"/>
  <c r="G3599" i="16"/>
  <c r="G3600" i="16"/>
  <c r="G3601" i="16"/>
  <c r="G3602" i="16"/>
  <c r="G3603" i="16"/>
  <c r="G3604" i="16"/>
  <c r="G3605" i="16"/>
  <c r="G3606" i="16"/>
  <c r="G3607" i="16"/>
  <c r="G3608" i="16"/>
  <c r="G3609" i="16"/>
  <c r="G3610" i="16"/>
  <c r="G3611" i="16"/>
  <c r="G3612" i="16"/>
  <c r="G3613" i="16"/>
  <c r="G3614" i="16"/>
  <c r="G3615" i="16"/>
  <c r="G3616" i="16"/>
  <c r="G3617" i="16"/>
  <c r="G3618" i="16"/>
  <c r="G3619" i="16"/>
  <c r="G3620" i="16"/>
  <c r="G3621" i="16"/>
  <c r="G3622" i="16"/>
  <c r="G3623" i="16"/>
  <c r="G3624" i="16"/>
  <c r="G3625" i="16"/>
  <c r="G3626" i="16"/>
  <c r="G3627" i="16"/>
  <c r="G3628" i="16"/>
  <c r="G3629" i="16"/>
  <c r="G3630" i="16"/>
  <c r="G3631" i="16"/>
  <c r="G3632" i="16"/>
  <c r="G3633" i="16"/>
  <c r="G3634" i="16"/>
  <c r="G3635" i="16"/>
  <c r="G3636" i="16"/>
  <c r="G3637" i="16"/>
  <c r="G3638" i="16"/>
  <c r="G3639" i="16"/>
  <c r="G3640" i="16"/>
  <c r="G3641" i="16"/>
  <c r="G3642" i="16"/>
  <c r="G3643" i="16"/>
  <c r="G3644" i="16"/>
  <c r="G3645" i="16"/>
  <c r="G3646" i="16"/>
  <c r="G3647" i="16"/>
  <c r="G3648" i="16"/>
  <c r="G3649" i="16"/>
  <c r="G3650" i="16"/>
  <c r="G3651" i="16"/>
  <c r="G3652" i="16"/>
  <c r="G3653" i="16"/>
  <c r="G3654" i="16"/>
  <c r="G3655" i="16"/>
  <c r="G3656" i="16"/>
  <c r="G3657" i="16"/>
  <c r="G3658" i="16"/>
  <c r="G3659" i="16"/>
  <c r="G3660" i="16"/>
  <c r="G3661" i="16"/>
  <c r="G3662" i="16"/>
  <c r="G3663" i="16"/>
  <c r="G3664" i="16"/>
  <c r="G3665" i="16"/>
  <c r="G3666" i="16"/>
  <c r="G3667" i="16"/>
  <c r="G3668" i="16"/>
  <c r="G3669" i="16"/>
  <c r="G3670" i="16"/>
  <c r="G3671" i="16"/>
  <c r="G3672" i="16"/>
  <c r="G3673" i="16"/>
  <c r="G3674" i="16"/>
  <c r="G3675" i="16"/>
  <c r="G3676" i="16"/>
  <c r="G3677" i="16"/>
  <c r="G3678" i="16"/>
  <c r="G3679" i="16"/>
  <c r="G3680" i="16"/>
  <c r="G3681" i="16"/>
  <c r="G3682" i="16"/>
  <c r="G3683" i="16"/>
  <c r="G3684" i="16"/>
  <c r="G3685" i="16"/>
  <c r="G3686" i="16"/>
  <c r="G3687" i="16"/>
  <c r="G3688" i="16"/>
  <c r="G3689" i="16"/>
  <c r="G3690" i="16"/>
  <c r="G3691" i="16"/>
  <c r="G3692" i="16"/>
  <c r="G3693" i="16"/>
  <c r="G3694" i="16"/>
  <c r="G3695" i="16"/>
  <c r="G3696" i="16"/>
  <c r="G3697" i="16"/>
  <c r="G3698" i="16"/>
  <c r="G3699" i="16"/>
  <c r="G3700" i="16"/>
  <c r="G3701" i="16"/>
  <c r="G3702" i="16"/>
  <c r="G3703" i="16"/>
  <c r="G3704" i="16"/>
  <c r="G3705" i="16"/>
  <c r="G3706" i="16"/>
  <c r="G3707" i="16"/>
  <c r="G3708" i="16"/>
  <c r="G3709" i="16"/>
  <c r="G3710" i="16"/>
  <c r="G3711" i="16"/>
  <c r="G3712" i="16"/>
  <c r="G3713" i="16"/>
  <c r="G3714" i="16"/>
  <c r="G3715" i="16"/>
  <c r="G3716" i="16"/>
  <c r="G3717" i="16"/>
  <c r="G3718" i="16"/>
  <c r="G3719" i="16"/>
  <c r="G3720" i="16"/>
  <c r="G3721" i="16"/>
  <c r="G3722" i="16"/>
  <c r="G3723" i="16"/>
  <c r="G3724" i="16"/>
  <c r="G3725" i="16"/>
  <c r="G3726" i="16"/>
  <c r="G3727" i="16"/>
  <c r="G3728" i="16"/>
  <c r="G3729" i="16"/>
  <c r="G3730" i="16"/>
  <c r="G3731" i="16"/>
  <c r="G3732" i="16"/>
  <c r="G3733" i="16"/>
  <c r="G3734" i="16"/>
  <c r="G3735" i="16"/>
  <c r="G3736" i="16"/>
  <c r="G3737" i="16"/>
  <c r="G3738" i="16"/>
  <c r="G3739" i="16"/>
  <c r="G3740" i="16"/>
  <c r="G3741" i="16"/>
  <c r="G3742" i="16"/>
  <c r="G3743" i="16"/>
  <c r="G3744" i="16"/>
  <c r="G3745" i="16"/>
  <c r="G3746" i="16"/>
  <c r="G3747" i="16"/>
  <c r="G3748" i="16"/>
  <c r="G3749" i="16"/>
  <c r="G3750" i="16"/>
  <c r="G3751" i="16"/>
  <c r="G3752" i="16"/>
  <c r="G3753" i="16"/>
  <c r="G3754" i="16"/>
  <c r="G3755" i="16"/>
  <c r="G3756" i="16"/>
  <c r="G3757" i="16"/>
  <c r="G3758" i="16"/>
  <c r="G3759" i="16"/>
  <c r="G3760" i="16"/>
  <c r="G3761" i="16"/>
  <c r="G3762" i="16"/>
  <c r="G3763" i="16"/>
  <c r="G3764" i="16"/>
  <c r="G3765" i="16"/>
  <c r="G3766" i="16"/>
  <c r="G3767" i="16"/>
  <c r="G3768" i="16"/>
  <c r="G3769" i="16"/>
  <c r="G3770" i="16"/>
  <c r="G3771" i="16"/>
  <c r="G3772" i="16"/>
  <c r="G3773" i="16"/>
  <c r="G3774" i="16"/>
  <c r="G3775" i="16"/>
  <c r="G3776" i="16"/>
  <c r="G3777" i="16"/>
  <c r="G3778" i="16"/>
  <c r="G3779" i="16"/>
  <c r="G3780" i="16"/>
  <c r="G3781" i="16"/>
  <c r="G3782" i="16"/>
  <c r="G3783" i="16"/>
  <c r="G3784" i="16"/>
  <c r="G3785" i="16"/>
  <c r="G3786" i="16"/>
  <c r="G3787" i="16"/>
  <c r="G3788" i="16"/>
  <c r="G3789" i="16"/>
  <c r="G3790" i="16"/>
  <c r="G3791" i="16"/>
  <c r="G3792" i="16"/>
  <c r="G3793" i="16"/>
  <c r="G3794" i="16"/>
  <c r="G3795" i="16"/>
  <c r="G3796" i="16"/>
  <c r="G3797" i="16"/>
  <c r="G3798" i="16"/>
  <c r="G3799" i="16"/>
  <c r="G3800" i="16"/>
  <c r="G3801" i="16"/>
  <c r="G3802" i="16"/>
  <c r="G3803" i="16"/>
  <c r="G3804" i="16"/>
  <c r="G3805" i="16"/>
  <c r="G3806" i="16"/>
  <c r="G3807" i="16"/>
  <c r="G3808" i="16"/>
  <c r="G3809" i="16"/>
  <c r="G3810" i="16"/>
  <c r="G3811" i="16"/>
  <c r="G3812" i="16"/>
  <c r="G3813" i="16"/>
  <c r="G3814" i="16"/>
  <c r="G3815" i="16"/>
  <c r="G3816" i="16"/>
  <c r="G3817" i="16"/>
  <c r="G3818" i="16"/>
  <c r="G3819" i="16"/>
  <c r="G3820" i="16"/>
  <c r="G3821" i="16"/>
  <c r="G3822" i="16"/>
  <c r="G3823" i="16"/>
  <c r="G3824" i="16"/>
  <c r="G3825" i="16"/>
  <c r="G3826" i="16"/>
  <c r="G3827" i="16"/>
  <c r="G3828" i="16"/>
  <c r="G3829" i="16"/>
  <c r="G3830" i="16"/>
  <c r="G3831" i="16"/>
  <c r="G3832" i="16"/>
  <c r="G3833" i="16"/>
  <c r="G3834" i="16"/>
  <c r="G3835" i="16"/>
  <c r="G3836" i="16"/>
  <c r="G3837" i="16"/>
  <c r="G3838" i="16"/>
  <c r="G3839" i="16"/>
  <c r="G3840" i="16"/>
  <c r="G3841" i="16"/>
  <c r="G3842" i="16"/>
  <c r="G3843" i="16"/>
  <c r="G3844" i="16"/>
  <c r="G3845" i="16"/>
  <c r="G3846" i="16"/>
  <c r="G3847" i="16"/>
  <c r="G3848" i="16"/>
  <c r="G3849" i="16"/>
  <c r="G3850" i="16"/>
  <c r="G3851" i="16"/>
  <c r="G3852" i="16"/>
  <c r="G3853" i="16"/>
  <c r="G3854" i="16"/>
  <c r="G3855" i="16"/>
  <c r="G3856" i="16"/>
  <c r="G3857" i="16"/>
  <c r="G3858" i="16"/>
  <c r="G3859" i="16"/>
  <c r="G3860" i="16"/>
  <c r="G3861" i="16"/>
  <c r="G3862" i="16"/>
  <c r="G3863" i="16"/>
  <c r="G3864" i="16"/>
  <c r="G3865" i="16"/>
  <c r="G3866" i="16"/>
  <c r="G3867" i="16"/>
  <c r="G3868" i="16"/>
  <c r="G3869" i="16"/>
  <c r="G3870" i="16"/>
  <c r="G3871" i="16"/>
  <c r="G3872" i="16"/>
  <c r="G3873" i="16"/>
  <c r="G3874" i="16"/>
  <c r="G3875" i="16"/>
  <c r="G3876" i="16"/>
  <c r="G3877" i="16"/>
  <c r="G3878" i="16"/>
  <c r="G3879" i="16"/>
  <c r="G3880" i="16"/>
  <c r="G3881" i="16"/>
  <c r="G3882" i="16"/>
  <c r="G3883" i="16"/>
  <c r="G3884" i="16"/>
  <c r="G3885" i="16"/>
  <c r="G3886" i="16"/>
  <c r="G3887" i="16"/>
  <c r="G3888" i="16"/>
  <c r="G3889" i="16"/>
  <c r="G3890" i="16"/>
  <c r="G3891" i="16"/>
  <c r="G3892" i="16"/>
  <c r="G3893" i="16"/>
  <c r="G3894" i="16"/>
  <c r="G3895" i="16"/>
  <c r="G3896" i="16"/>
  <c r="G3897" i="16"/>
  <c r="G3898" i="16"/>
  <c r="G3899" i="16"/>
  <c r="G3900" i="16"/>
  <c r="G3901" i="16"/>
  <c r="G3902" i="16"/>
  <c r="G3903" i="16"/>
  <c r="G3904" i="16"/>
  <c r="G3905" i="16"/>
  <c r="G3906" i="16"/>
  <c r="G3907" i="16"/>
  <c r="G3908" i="16"/>
  <c r="G3909" i="16"/>
  <c r="G3910" i="16"/>
  <c r="G3911" i="16"/>
  <c r="G3912" i="16"/>
  <c r="G3913" i="16"/>
  <c r="G3914" i="16"/>
  <c r="G3915" i="16"/>
  <c r="G3916" i="16"/>
  <c r="G3917" i="16"/>
  <c r="G3918" i="16"/>
  <c r="G3919" i="16"/>
  <c r="G3920" i="16"/>
  <c r="G3921" i="16"/>
  <c r="G3922" i="16"/>
  <c r="G3923" i="16"/>
  <c r="G3924" i="16"/>
  <c r="G3925" i="16"/>
  <c r="G3926" i="16"/>
  <c r="G3927" i="16"/>
  <c r="G3928" i="16"/>
  <c r="G3929" i="16"/>
  <c r="G3930" i="16"/>
  <c r="G3931" i="16"/>
  <c r="G3932" i="16"/>
  <c r="G3933" i="16"/>
  <c r="G3934" i="16"/>
  <c r="G3935" i="16"/>
  <c r="G3936" i="16"/>
  <c r="G3937" i="16"/>
  <c r="G3938" i="16"/>
  <c r="G3939" i="16"/>
  <c r="G3940" i="16"/>
  <c r="G3941" i="16"/>
  <c r="G3942" i="16"/>
  <c r="G3943" i="16"/>
  <c r="G3944" i="16"/>
  <c r="G3945" i="16"/>
  <c r="G3946" i="16"/>
  <c r="G3947" i="16"/>
  <c r="G3948" i="16"/>
  <c r="G3949" i="16"/>
  <c r="G3950" i="16"/>
  <c r="G3951" i="16"/>
  <c r="G3952" i="16"/>
  <c r="G3953" i="16"/>
  <c r="G3954" i="16"/>
  <c r="G3955" i="16"/>
  <c r="G3956" i="16"/>
  <c r="G3957" i="16"/>
  <c r="G3958" i="16"/>
  <c r="G3959" i="16"/>
  <c r="G3960" i="16"/>
  <c r="G3961" i="16"/>
  <c r="G3962" i="16"/>
  <c r="G3963" i="16"/>
  <c r="G3964" i="16"/>
  <c r="G3965" i="16"/>
  <c r="G3966" i="16"/>
  <c r="G3967" i="16"/>
  <c r="G3968" i="16"/>
  <c r="G3969" i="16"/>
  <c r="G3970" i="16"/>
  <c r="G3971" i="16"/>
  <c r="G3972" i="16"/>
  <c r="G3973" i="16"/>
  <c r="G3974" i="16"/>
  <c r="G3975" i="16"/>
  <c r="G3976" i="16"/>
  <c r="G3977" i="16"/>
  <c r="G3978" i="16"/>
  <c r="G3979" i="16"/>
  <c r="G3980" i="16"/>
  <c r="G3981" i="16"/>
  <c r="G3982" i="16"/>
  <c r="G3983" i="16"/>
  <c r="G3984" i="16"/>
  <c r="G3985" i="16"/>
  <c r="G3986" i="16"/>
  <c r="G3987" i="16"/>
  <c r="G3988" i="16"/>
  <c r="G3989" i="16"/>
  <c r="G3990" i="16"/>
  <c r="G3991" i="16"/>
  <c r="G3992" i="16"/>
  <c r="G3993" i="16"/>
  <c r="G3994" i="16"/>
  <c r="G3995" i="16"/>
  <c r="G3996" i="16"/>
  <c r="G3997" i="16"/>
  <c r="G3998" i="16"/>
  <c r="G3999" i="16"/>
  <c r="G4000" i="16"/>
  <c r="G4001" i="16"/>
  <c r="G4002" i="16"/>
  <c r="G4003" i="16"/>
  <c r="G4004" i="16"/>
  <c r="G4005" i="16"/>
  <c r="G4006" i="16"/>
  <c r="G4007" i="16"/>
  <c r="G4008" i="16"/>
  <c r="G4009" i="16"/>
  <c r="G4010" i="16"/>
  <c r="G4011" i="16"/>
  <c r="G4012" i="16"/>
  <c r="G4013" i="16"/>
  <c r="G4014" i="16"/>
  <c r="G4015" i="16"/>
  <c r="G4016" i="16"/>
  <c r="G4017" i="16"/>
  <c r="G4018" i="16"/>
  <c r="G4019" i="16"/>
  <c r="G4020" i="16"/>
  <c r="G4021" i="16"/>
  <c r="G4022" i="16"/>
  <c r="G4023" i="16"/>
  <c r="G4024" i="16"/>
  <c r="G4025" i="16"/>
  <c r="G4026" i="16"/>
  <c r="G4027" i="16"/>
  <c r="G4028" i="16"/>
  <c r="G4029" i="16"/>
  <c r="G4030" i="16"/>
  <c r="G4031" i="16"/>
  <c r="G4032" i="16"/>
  <c r="G4033" i="16"/>
  <c r="G4034" i="16"/>
  <c r="G4035" i="16"/>
  <c r="G4036" i="16"/>
  <c r="G4037" i="16"/>
  <c r="G4038" i="16"/>
  <c r="G4039" i="16"/>
  <c r="G4040" i="16"/>
  <c r="G4041" i="16"/>
  <c r="G4042" i="16"/>
  <c r="G4043" i="16"/>
  <c r="G4044" i="16"/>
  <c r="G4045" i="16"/>
  <c r="G4046" i="16"/>
  <c r="G4047" i="16"/>
  <c r="G4048" i="16"/>
  <c r="G4049" i="16"/>
  <c r="G4050" i="16"/>
  <c r="G4051" i="16"/>
  <c r="G4052" i="16"/>
  <c r="G4053" i="16"/>
  <c r="G4054" i="16"/>
  <c r="G4055" i="16"/>
  <c r="G4056" i="16"/>
  <c r="G4057" i="16"/>
  <c r="G4058" i="16"/>
  <c r="G4059" i="16"/>
  <c r="G4060" i="16"/>
  <c r="G4061" i="16"/>
  <c r="G4062" i="16"/>
  <c r="G4063" i="16"/>
  <c r="G4064" i="16"/>
  <c r="G4065" i="16"/>
  <c r="G4066" i="16"/>
  <c r="G4067" i="16"/>
  <c r="G4068" i="16"/>
  <c r="G4069" i="16"/>
  <c r="G4070" i="16"/>
  <c r="G4071" i="16"/>
  <c r="G4072" i="16"/>
  <c r="G4073" i="16"/>
  <c r="G4074" i="16"/>
  <c r="G4075" i="16"/>
  <c r="G4076" i="16"/>
  <c r="G4077" i="16"/>
  <c r="G4078" i="16"/>
  <c r="G4079" i="16"/>
  <c r="G4080" i="16"/>
  <c r="G4081" i="16"/>
  <c r="G4082" i="16"/>
  <c r="G4083" i="16"/>
  <c r="G4084" i="16"/>
  <c r="G4085" i="16"/>
  <c r="G4086" i="16"/>
  <c r="G4087" i="16"/>
  <c r="G4088" i="16"/>
  <c r="G4089" i="16"/>
  <c r="G4090" i="16"/>
  <c r="G4091" i="16"/>
  <c r="G4092" i="16"/>
  <c r="G4093" i="16"/>
  <c r="G4094" i="16"/>
  <c r="G4095" i="16"/>
  <c r="G4096" i="16"/>
  <c r="G4097" i="16"/>
  <c r="G4098" i="16"/>
  <c r="G4099" i="16"/>
  <c r="G4100" i="16"/>
  <c r="G4101" i="16"/>
  <c r="G4102" i="16"/>
  <c r="G4103" i="16"/>
  <c r="G4104" i="16"/>
  <c r="G4105" i="16"/>
  <c r="G4106" i="16"/>
  <c r="G4107" i="16"/>
  <c r="G4108" i="16"/>
  <c r="G4109" i="16"/>
  <c r="G4110" i="16"/>
  <c r="G4111" i="16"/>
  <c r="G4112" i="16"/>
  <c r="G4113" i="16"/>
  <c r="G4114" i="16"/>
  <c r="G4115" i="16"/>
  <c r="G4116" i="16"/>
  <c r="G4117" i="16"/>
  <c r="G4118" i="16"/>
  <c r="G4119" i="16"/>
  <c r="G4120" i="16"/>
  <c r="G4121" i="16"/>
  <c r="G4122" i="16"/>
  <c r="G4123" i="16"/>
  <c r="G4124" i="16"/>
  <c r="G4125" i="16"/>
  <c r="G4126" i="16"/>
  <c r="G4127" i="16"/>
  <c r="G4128" i="16"/>
  <c r="G4129" i="16"/>
  <c r="G4130" i="16"/>
  <c r="G4131" i="16"/>
  <c r="G4132" i="16"/>
  <c r="G4133" i="16"/>
  <c r="G4134" i="16"/>
  <c r="G4135" i="16"/>
  <c r="G4136" i="16"/>
  <c r="G4137" i="16"/>
  <c r="G4138" i="16"/>
  <c r="G4139" i="16"/>
  <c r="G4140" i="16"/>
  <c r="G4141" i="16"/>
  <c r="G4142" i="16"/>
  <c r="G4143" i="16"/>
  <c r="G4144" i="16"/>
  <c r="G4145" i="16"/>
  <c r="G4146" i="16"/>
  <c r="G4147" i="16"/>
  <c r="G4148" i="16"/>
  <c r="G4149" i="16"/>
  <c r="G4150" i="16"/>
  <c r="G4151" i="16"/>
  <c r="G4152" i="16"/>
  <c r="G4153" i="16"/>
  <c r="G4154" i="16"/>
  <c r="G4155" i="16"/>
  <c r="G4156" i="16"/>
  <c r="G4157" i="16"/>
  <c r="G4158" i="16"/>
  <c r="G4159" i="16"/>
  <c r="G4160" i="16"/>
  <c r="G4161" i="16"/>
  <c r="G4162" i="16"/>
  <c r="G4163" i="16"/>
  <c r="G4164" i="16"/>
  <c r="G4165" i="16"/>
  <c r="G4166" i="16"/>
  <c r="G4167" i="16"/>
  <c r="G4168" i="16"/>
  <c r="G4169" i="16"/>
  <c r="G4170" i="16"/>
  <c r="G4171" i="16"/>
  <c r="G4172" i="16"/>
  <c r="G4173" i="16"/>
  <c r="G4174" i="16"/>
  <c r="G4175" i="16"/>
  <c r="G4176" i="16"/>
  <c r="G4177" i="16"/>
  <c r="G4178" i="16"/>
  <c r="G4179" i="16"/>
  <c r="G4180" i="16"/>
  <c r="G4181" i="16"/>
  <c r="G4182" i="16"/>
  <c r="G4183" i="16"/>
  <c r="G4184" i="16"/>
  <c r="G4185" i="16"/>
  <c r="G4186" i="16"/>
  <c r="G4187" i="16"/>
  <c r="G4188" i="16"/>
  <c r="G4189" i="16"/>
  <c r="G4190" i="16"/>
  <c r="G4191" i="16"/>
  <c r="G4192" i="16"/>
  <c r="G4193" i="16"/>
  <c r="G4194" i="16"/>
  <c r="G4195" i="16"/>
  <c r="G4196" i="16"/>
  <c r="G4197" i="16"/>
  <c r="G4198" i="16"/>
  <c r="G4199" i="16"/>
  <c r="G4200" i="16"/>
  <c r="G4201" i="16"/>
  <c r="G4202" i="16"/>
  <c r="G4203" i="16"/>
  <c r="G4204" i="16"/>
  <c r="G4205" i="16"/>
  <c r="G4206" i="16"/>
  <c r="G4207" i="16"/>
  <c r="G4208" i="16"/>
  <c r="G4209" i="16"/>
  <c r="G4210" i="16"/>
  <c r="G4211" i="16"/>
  <c r="G4212" i="16"/>
  <c r="G4213" i="16"/>
  <c r="G4214" i="16"/>
  <c r="G4215" i="16"/>
  <c r="G4216" i="16"/>
  <c r="G4217" i="16"/>
  <c r="G4218" i="16"/>
  <c r="G4219" i="16"/>
  <c r="G4220" i="16"/>
  <c r="G4221" i="16"/>
  <c r="G4222" i="16"/>
  <c r="G4223" i="16"/>
  <c r="G4224" i="16"/>
  <c r="G4225" i="16"/>
  <c r="G4226" i="16"/>
  <c r="G4227" i="16"/>
  <c r="G4228" i="16"/>
  <c r="G4229" i="16"/>
  <c r="G4230" i="16"/>
  <c r="G4231" i="16"/>
  <c r="G4232" i="16"/>
  <c r="G4233" i="16"/>
  <c r="G4234" i="16"/>
  <c r="G4235" i="16"/>
  <c r="G4236" i="16"/>
  <c r="G4237" i="16"/>
  <c r="G4238" i="16"/>
  <c r="G4239" i="16"/>
  <c r="G4240" i="16"/>
  <c r="G4241" i="16"/>
  <c r="G4242" i="16"/>
  <c r="G4243" i="16"/>
  <c r="G4244" i="16"/>
  <c r="G4245" i="16"/>
  <c r="G4246" i="16"/>
  <c r="G4247" i="16"/>
  <c r="G4248" i="16"/>
  <c r="G4249" i="16"/>
  <c r="G4250" i="16"/>
  <c r="G4251" i="16"/>
  <c r="G4252" i="16"/>
  <c r="G4253" i="16"/>
  <c r="G4254" i="16"/>
  <c r="G4255" i="16"/>
  <c r="G4256" i="16"/>
  <c r="G4257" i="16"/>
  <c r="G4258" i="16"/>
  <c r="G4259" i="16"/>
  <c r="G4260" i="16"/>
  <c r="G4261" i="16"/>
  <c r="G4262" i="16"/>
  <c r="G4263" i="16"/>
  <c r="G4264" i="16"/>
  <c r="G4265" i="16"/>
  <c r="G4266" i="16"/>
  <c r="G4267" i="16"/>
  <c r="G4268" i="16"/>
  <c r="G4269" i="16"/>
  <c r="G4270" i="16"/>
  <c r="G4271" i="16"/>
  <c r="G4272" i="16"/>
  <c r="G4273" i="16"/>
  <c r="G4274" i="16"/>
  <c r="G4275" i="16"/>
  <c r="G4276" i="16"/>
  <c r="G4277" i="16"/>
  <c r="G4278" i="16"/>
  <c r="G4279" i="16"/>
  <c r="G4280" i="16"/>
  <c r="G4281" i="16"/>
  <c r="G4282" i="16"/>
  <c r="G4283" i="16"/>
  <c r="G4284" i="16"/>
  <c r="G4285" i="16"/>
  <c r="G4286" i="16"/>
  <c r="G4287" i="16"/>
  <c r="G4288" i="16"/>
  <c r="G4289" i="16"/>
  <c r="G4290" i="16"/>
  <c r="G4291" i="16"/>
  <c r="G4292" i="16"/>
  <c r="G4293" i="16"/>
  <c r="G4294" i="16"/>
  <c r="G4295" i="16"/>
  <c r="G4296" i="16"/>
  <c r="G4297" i="16"/>
  <c r="G4298" i="16"/>
  <c r="G4299" i="16"/>
  <c r="G4300" i="16"/>
  <c r="G4301" i="16"/>
  <c r="G4302" i="16"/>
  <c r="G4303" i="16"/>
  <c r="G4304" i="16"/>
  <c r="G4305" i="16"/>
  <c r="G4306" i="16"/>
  <c r="G4307" i="16"/>
  <c r="G4308" i="16"/>
  <c r="G4309" i="16"/>
  <c r="G4310" i="16"/>
  <c r="G4311" i="16"/>
  <c r="G4312" i="16"/>
  <c r="G4313" i="16"/>
  <c r="G4314" i="16"/>
  <c r="G4315" i="16"/>
  <c r="G4316" i="16"/>
  <c r="G4317" i="16"/>
  <c r="G4318" i="16"/>
  <c r="G4319" i="16"/>
  <c r="G4320" i="16"/>
  <c r="G4321" i="16"/>
  <c r="G4322" i="16"/>
  <c r="G4323" i="16"/>
  <c r="G4324" i="16"/>
  <c r="G4325" i="16"/>
  <c r="G4326" i="16"/>
  <c r="G4327" i="16"/>
  <c r="G4328" i="16"/>
  <c r="G4329" i="16"/>
  <c r="G4330" i="16"/>
  <c r="G4331" i="16"/>
  <c r="G4332" i="16"/>
  <c r="G4333" i="16"/>
  <c r="G4334" i="16"/>
  <c r="G4335" i="16"/>
  <c r="G4336" i="16"/>
  <c r="G4337" i="16"/>
  <c r="G4338" i="16"/>
  <c r="G4339" i="16"/>
  <c r="G4340" i="16"/>
  <c r="G4341" i="16"/>
  <c r="G4342" i="16"/>
  <c r="G4343" i="16"/>
  <c r="G4344" i="16"/>
  <c r="G4345" i="16"/>
  <c r="G4346" i="16"/>
  <c r="G4347" i="16"/>
  <c r="G4348" i="16"/>
  <c r="G4349" i="16"/>
  <c r="G4350" i="16"/>
  <c r="G4351" i="16"/>
  <c r="G4352" i="16"/>
  <c r="G4353" i="16"/>
  <c r="G4354" i="16"/>
  <c r="G4355" i="16"/>
  <c r="G4356" i="16"/>
  <c r="G4357" i="16"/>
  <c r="G4358" i="16"/>
  <c r="G4359" i="16"/>
  <c r="G4360" i="16"/>
  <c r="G4361" i="16"/>
  <c r="G4362" i="16"/>
  <c r="G4363" i="16"/>
  <c r="G4364" i="16"/>
  <c r="G4365" i="16"/>
  <c r="G4366" i="16"/>
  <c r="G4367" i="16"/>
  <c r="G4368" i="16"/>
  <c r="G4369" i="16"/>
  <c r="G4370" i="16"/>
  <c r="G4371" i="16"/>
  <c r="G4372" i="16"/>
  <c r="G4373" i="16"/>
  <c r="G4374" i="16"/>
  <c r="G4375" i="16"/>
  <c r="G4376" i="16"/>
  <c r="G4377" i="16"/>
  <c r="G4378" i="16"/>
  <c r="G4379" i="16"/>
  <c r="G4380" i="16"/>
  <c r="G4381" i="16"/>
  <c r="G4382" i="16"/>
  <c r="G4383" i="16"/>
  <c r="G4384" i="16"/>
  <c r="G4385" i="16"/>
  <c r="G4386" i="16"/>
  <c r="G4387" i="16"/>
  <c r="G4388" i="16"/>
  <c r="G4389" i="16"/>
  <c r="G4390" i="16"/>
  <c r="G4391" i="16"/>
  <c r="G4392" i="16"/>
  <c r="G4393" i="16"/>
  <c r="G4394" i="16"/>
  <c r="G4395" i="16"/>
  <c r="G4396" i="16"/>
  <c r="G4397" i="16"/>
  <c r="G4398" i="16"/>
  <c r="G4399" i="16"/>
  <c r="G4400" i="16"/>
  <c r="G4401" i="16"/>
  <c r="G4402" i="16"/>
  <c r="G4403" i="16"/>
  <c r="G4404" i="16"/>
  <c r="G4405" i="16"/>
  <c r="G4406" i="16"/>
  <c r="G4407" i="16"/>
  <c r="G4408" i="16"/>
  <c r="G4409" i="16"/>
  <c r="G4410" i="16"/>
  <c r="G4411" i="16"/>
  <c r="G4412" i="16"/>
  <c r="G4413" i="16"/>
  <c r="G4414" i="16"/>
  <c r="G4415" i="16"/>
  <c r="G4416" i="16"/>
  <c r="G4417" i="16"/>
  <c r="G4418" i="16"/>
  <c r="G4419" i="16"/>
  <c r="G4420" i="16"/>
  <c r="G4421" i="16"/>
  <c r="G4422" i="16"/>
  <c r="G4423" i="16"/>
  <c r="G4424" i="16"/>
  <c r="G4425" i="16"/>
  <c r="G4426" i="16"/>
  <c r="G4427" i="16"/>
  <c r="G4428" i="16"/>
  <c r="G4429" i="16"/>
  <c r="G4430" i="16"/>
  <c r="G4431" i="16"/>
  <c r="G4432" i="16"/>
  <c r="G4433" i="16"/>
  <c r="G4434" i="16"/>
  <c r="G4435" i="16"/>
  <c r="G4436" i="16"/>
  <c r="G4437" i="16"/>
  <c r="G4438" i="16"/>
  <c r="G4439" i="16"/>
  <c r="G4440" i="16"/>
  <c r="G4441" i="16"/>
  <c r="G4442" i="16"/>
  <c r="G4443" i="16"/>
  <c r="G4444" i="16"/>
  <c r="G4445" i="16"/>
  <c r="G4446" i="16"/>
  <c r="G4447" i="16"/>
  <c r="G4448" i="16"/>
  <c r="G4449" i="16"/>
  <c r="G4450" i="16"/>
  <c r="G4451" i="16"/>
  <c r="G4452" i="16"/>
  <c r="G4453" i="16"/>
  <c r="G4454" i="16"/>
  <c r="G4455" i="16"/>
  <c r="G4456" i="16"/>
  <c r="G4457" i="16"/>
  <c r="G4458" i="16"/>
  <c r="G4459" i="16"/>
  <c r="G4460" i="16"/>
  <c r="G4461" i="16"/>
  <c r="G4462" i="16"/>
  <c r="G4463" i="16"/>
  <c r="G4464" i="16"/>
  <c r="G4465" i="16"/>
  <c r="G4466" i="16"/>
  <c r="G4467" i="16"/>
  <c r="G4468" i="16"/>
  <c r="G4469" i="16"/>
  <c r="G4470" i="16"/>
  <c r="G4471" i="16"/>
  <c r="G4472" i="16"/>
  <c r="G4473" i="16"/>
  <c r="G4474" i="16"/>
  <c r="G4475" i="16"/>
  <c r="G4476" i="16"/>
  <c r="G4477" i="16"/>
  <c r="G4478" i="16"/>
  <c r="G4479" i="16"/>
  <c r="G4480" i="16"/>
  <c r="G4481" i="16"/>
  <c r="G4482" i="16"/>
  <c r="G4483" i="16"/>
  <c r="G4484" i="16"/>
  <c r="G4485" i="16"/>
  <c r="G4486" i="16"/>
  <c r="G4487" i="16"/>
  <c r="G4488" i="16"/>
  <c r="G4489" i="16"/>
  <c r="G4490" i="16"/>
  <c r="G4491" i="16"/>
  <c r="G4492" i="16"/>
  <c r="G4493" i="16"/>
  <c r="G4494" i="16"/>
  <c r="G4495" i="16"/>
  <c r="G4496" i="16"/>
  <c r="G4497" i="16"/>
  <c r="G4498" i="16"/>
  <c r="G4499" i="16"/>
  <c r="G4500" i="16"/>
  <c r="G4501" i="16"/>
  <c r="G4502" i="16"/>
  <c r="G4503" i="16"/>
  <c r="G4504" i="16"/>
  <c r="G4505" i="16"/>
  <c r="G4506" i="16"/>
  <c r="G4507" i="16"/>
  <c r="G4508" i="16"/>
  <c r="G4509" i="16"/>
  <c r="G4510" i="16"/>
  <c r="G4511" i="16"/>
  <c r="G4512" i="16"/>
  <c r="G4513" i="16"/>
  <c r="G4514" i="16"/>
  <c r="G4515" i="16"/>
  <c r="G4516" i="16"/>
  <c r="G4517" i="16"/>
  <c r="G4518" i="16"/>
  <c r="G4519" i="16"/>
  <c r="G4520" i="16"/>
  <c r="G4521" i="16"/>
  <c r="G4522" i="16"/>
  <c r="G4523" i="16"/>
  <c r="G4524" i="16"/>
  <c r="G4525" i="16"/>
  <c r="G4526" i="16"/>
  <c r="G4527" i="16"/>
  <c r="G4528" i="16"/>
  <c r="G4529" i="16"/>
  <c r="G4530" i="16"/>
  <c r="G4531" i="16"/>
  <c r="G4532" i="16"/>
  <c r="G4533" i="16"/>
  <c r="G4534" i="16"/>
  <c r="G4535" i="16"/>
  <c r="G4536" i="16"/>
  <c r="G4537" i="16"/>
  <c r="G4538" i="16"/>
  <c r="G4539" i="16"/>
  <c r="G4540" i="16"/>
  <c r="G4541" i="16"/>
  <c r="G4542" i="16"/>
  <c r="G4543" i="16"/>
  <c r="G4544" i="16"/>
  <c r="G4545" i="16"/>
  <c r="G4546" i="16"/>
  <c r="G4547" i="16"/>
  <c r="G4548" i="16"/>
  <c r="G4549" i="16"/>
  <c r="G4550" i="16"/>
  <c r="G4551" i="16"/>
  <c r="G4552" i="16"/>
  <c r="G4553" i="16"/>
  <c r="G4554" i="16"/>
  <c r="G4555" i="16"/>
  <c r="G4556" i="16"/>
  <c r="G4557" i="16"/>
  <c r="G4558" i="16"/>
  <c r="G4559" i="16"/>
  <c r="G4560" i="16"/>
  <c r="G4561" i="16"/>
  <c r="G4562" i="16"/>
  <c r="G4563" i="16"/>
  <c r="G4564" i="16"/>
  <c r="G4565" i="16"/>
  <c r="G4566" i="16"/>
  <c r="G4567" i="16"/>
  <c r="G4568" i="16"/>
  <c r="G4569" i="16"/>
  <c r="G4570" i="16"/>
  <c r="G4571" i="16"/>
  <c r="G4572" i="16"/>
  <c r="G4573" i="16"/>
  <c r="G4574" i="16"/>
  <c r="G4575" i="16"/>
  <c r="G4576" i="16"/>
  <c r="G4577" i="16"/>
  <c r="G4578" i="16"/>
  <c r="G4579" i="16"/>
  <c r="G4580" i="16"/>
  <c r="G4581" i="16"/>
  <c r="G4582" i="16"/>
  <c r="G4583" i="16"/>
  <c r="G4584" i="16"/>
  <c r="G4585" i="16"/>
  <c r="G4586" i="16"/>
  <c r="G4587" i="16"/>
  <c r="G4588" i="16"/>
  <c r="G4589" i="16"/>
  <c r="G4590" i="16"/>
  <c r="G4591" i="16"/>
  <c r="G4592" i="16"/>
  <c r="G4593" i="16"/>
  <c r="G4594" i="16"/>
  <c r="G4595" i="16"/>
  <c r="G4596" i="16"/>
  <c r="G4597" i="16"/>
  <c r="G4598" i="16"/>
  <c r="G4599" i="16"/>
  <c r="G4600" i="16"/>
  <c r="G4601" i="16"/>
  <c r="G4602" i="16"/>
  <c r="G4603" i="16"/>
  <c r="G4604" i="16"/>
  <c r="G4605" i="16"/>
  <c r="G4606" i="16"/>
  <c r="G4607" i="16"/>
  <c r="G4608" i="16"/>
  <c r="G4609" i="16"/>
  <c r="G4610" i="16"/>
  <c r="G4611" i="16"/>
  <c r="G4612" i="16"/>
  <c r="G4613" i="16"/>
  <c r="G4614" i="16"/>
  <c r="G4615" i="16"/>
  <c r="G4616" i="16"/>
  <c r="G4617" i="16"/>
  <c r="G4618" i="16"/>
  <c r="G4619" i="16"/>
  <c r="G4620" i="16"/>
  <c r="G4621" i="16"/>
  <c r="G4622" i="16"/>
  <c r="G4623" i="16"/>
  <c r="G4624" i="16"/>
  <c r="G4625" i="16"/>
  <c r="G4626" i="16"/>
  <c r="G4627" i="16"/>
  <c r="G4628" i="16"/>
  <c r="G4629" i="16"/>
  <c r="G4630" i="16"/>
  <c r="G4631" i="16"/>
  <c r="G4632" i="16"/>
  <c r="G4633" i="16"/>
  <c r="G4634" i="16"/>
  <c r="G4635" i="16"/>
  <c r="G4636" i="16"/>
  <c r="G4637" i="16"/>
  <c r="G4638" i="16"/>
  <c r="G4639" i="16"/>
  <c r="G4640" i="16"/>
  <c r="G4641" i="16"/>
  <c r="G4642" i="16"/>
  <c r="G4643" i="16"/>
  <c r="G4644" i="16"/>
  <c r="G4645" i="16"/>
  <c r="G4646" i="16"/>
  <c r="G4647" i="16"/>
  <c r="G4648" i="16"/>
  <c r="G4649" i="16"/>
  <c r="G4650" i="16"/>
  <c r="G4651" i="16"/>
  <c r="G4652" i="16"/>
  <c r="G4653" i="16"/>
  <c r="G4654" i="16"/>
  <c r="G4655" i="16"/>
  <c r="G4656" i="16"/>
  <c r="G4657" i="16"/>
  <c r="G4658" i="16"/>
  <c r="G4659" i="16"/>
  <c r="G4660" i="16"/>
  <c r="G4661" i="16"/>
  <c r="G4662" i="16"/>
  <c r="G4663" i="16"/>
  <c r="G4664" i="16"/>
  <c r="G4665" i="16"/>
  <c r="G4666" i="16"/>
  <c r="G4667" i="16"/>
  <c r="G4668" i="16"/>
  <c r="G4669" i="16"/>
  <c r="G4670" i="16"/>
  <c r="G4671" i="16"/>
  <c r="G4672" i="16"/>
  <c r="G4673" i="16"/>
  <c r="G4674" i="16"/>
  <c r="G4675" i="16"/>
  <c r="G4676" i="16"/>
  <c r="G4677" i="16"/>
  <c r="G4678" i="16"/>
  <c r="G4679" i="16"/>
  <c r="G4680" i="16"/>
  <c r="G4681" i="16"/>
  <c r="G4682" i="16"/>
  <c r="G4683" i="16"/>
  <c r="G4684" i="16"/>
  <c r="G4685" i="16"/>
  <c r="G4686" i="16"/>
  <c r="G4687" i="16"/>
  <c r="G4688" i="16"/>
  <c r="G4689" i="16"/>
  <c r="G4690" i="16"/>
  <c r="G4691" i="16"/>
  <c r="G4692" i="16"/>
  <c r="G4693" i="16"/>
  <c r="G4694" i="16"/>
  <c r="G4695" i="16"/>
  <c r="G4696" i="16"/>
  <c r="G4697" i="16"/>
  <c r="G4698" i="16"/>
  <c r="G4699" i="16"/>
  <c r="G4700" i="16"/>
  <c r="G4701" i="16"/>
  <c r="G4702" i="16"/>
  <c r="G4703" i="16"/>
  <c r="G4704" i="16"/>
  <c r="G4705" i="16"/>
  <c r="G4706" i="16"/>
  <c r="G4707" i="16"/>
  <c r="G4708" i="16"/>
  <c r="G4709" i="16"/>
  <c r="G4710" i="16"/>
  <c r="G4711" i="16"/>
  <c r="G4712" i="16"/>
  <c r="G4713" i="16"/>
  <c r="G4714" i="16"/>
  <c r="G4715" i="16"/>
  <c r="G4716" i="16"/>
  <c r="G4717" i="16"/>
  <c r="G4718" i="16"/>
  <c r="G4719" i="16"/>
  <c r="G4720" i="16"/>
  <c r="G4721" i="16"/>
  <c r="G4722" i="16"/>
  <c r="G4723" i="16"/>
  <c r="G4724" i="16"/>
  <c r="G4725" i="16"/>
  <c r="G4726" i="16"/>
  <c r="G4727" i="16"/>
  <c r="G4728" i="16"/>
  <c r="G4729" i="16"/>
  <c r="G4730" i="16"/>
  <c r="G4731" i="16"/>
  <c r="G4732" i="16"/>
  <c r="G4733" i="16"/>
  <c r="G4734" i="16"/>
  <c r="G4735" i="16"/>
  <c r="G4736" i="16"/>
  <c r="G4737" i="16"/>
  <c r="G4738" i="16"/>
  <c r="G4739" i="16"/>
  <c r="G4740" i="16"/>
  <c r="G4741" i="16"/>
  <c r="G4742" i="16"/>
  <c r="G4743" i="16"/>
  <c r="G4744" i="16"/>
  <c r="G4745" i="16"/>
  <c r="G4746" i="16"/>
  <c r="G4747" i="16"/>
  <c r="G4748" i="16"/>
  <c r="G4749" i="16"/>
  <c r="G4750" i="16"/>
  <c r="G4751" i="16"/>
  <c r="G4752" i="16"/>
  <c r="G4753" i="16"/>
  <c r="G4754" i="16"/>
  <c r="G4755" i="16"/>
  <c r="G4756" i="16"/>
  <c r="G4757" i="16"/>
  <c r="G4758" i="16"/>
  <c r="G4759" i="16"/>
  <c r="G4760" i="16"/>
  <c r="G4761" i="16"/>
  <c r="G4762" i="16"/>
  <c r="G4763" i="16"/>
  <c r="G4764" i="16"/>
  <c r="G4765" i="16"/>
  <c r="G4766" i="16"/>
  <c r="G4767" i="16"/>
  <c r="G4768" i="16"/>
  <c r="G4769" i="16"/>
  <c r="G4770" i="16"/>
  <c r="G4771" i="16"/>
  <c r="G4772" i="16"/>
  <c r="G4773" i="16"/>
  <c r="G4774" i="16"/>
  <c r="G4775" i="16"/>
  <c r="G4776" i="16"/>
  <c r="G4777" i="16"/>
  <c r="G4778" i="16"/>
  <c r="G4779" i="16"/>
  <c r="G4780" i="16"/>
  <c r="G4781" i="16"/>
  <c r="G4782" i="16"/>
  <c r="G4783" i="16"/>
  <c r="G4784" i="16"/>
  <c r="G4785" i="16"/>
  <c r="G4786" i="16"/>
  <c r="G4787" i="16"/>
  <c r="G4788" i="16"/>
  <c r="G4789" i="16"/>
  <c r="G4790" i="16"/>
  <c r="G4791" i="16"/>
  <c r="G4792" i="16"/>
  <c r="G4793" i="16"/>
  <c r="G4794" i="16"/>
  <c r="G4795" i="16"/>
  <c r="G4796" i="16"/>
  <c r="G4797" i="16"/>
  <c r="G4798" i="16"/>
  <c r="G4799" i="16"/>
  <c r="G4800" i="16"/>
  <c r="G4801" i="16"/>
  <c r="G4802" i="16"/>
  <c r="G4803" i="16"/>
  <c r="G4804" i="16"/>
  <c r="G4805" i="16"/>
  <c r="G4806" i="16"/>
  <c r="G4807" i="16"/>
  <c r="G4808" i="16"/>
  <c r="G4809" i="16"/>
  <c r="G4810" i="16"/>
  <c r="G4811" i="16"/>
  <c r="G4812" i="16"/>
  <c r="G4813" i="16"/>
  <c r="G4814" i="16"/>
  <c r="G4815" i="16"/>
  <c r="G4816" i="16"/>
  <c r="G4817" i="16"/>
  <c r="G4818" i="16"/>
  <c r="G4819" i="16"/>
  <c r="G4820" i="16"/>
  <c r="G4821" i="16"/>
  <c r="G4822" i="16"/>
  <c r="G4823" i="16"/>
  <c r="G4824" i="16"/>
  <c r="G4825" i="16"/>
  <c r="G4826" i="16"/>
  <c r="G4827" i="16"/>
  <c r="G4828" i="16"/>
  <c r="G4829" i="16"/>
  <c r="G4830" i="16"/>
  <c r="G4831" i="16"/>
  <c r="G4832" i="16"/>
  <c r="G4833" i="16"/>
  <c r="G4834" i="16"/>
  <c r="G4835" i="16"/>
  <c r="G4836" i="16"/>
  <c r="G4837" i="16"/>
  <c r="G4838" i="16"/>
  <c r="G4839" i="16"/>
  <c r="G4840" i="16"/>
  <c r="G4841" i="16"/>
  <c r="G4842" i="16"/>
  <c r="G4843" i="16"/>
  <c r="G4844" i="16"/>
  <c r="G4845" i="16"/>
  <c r="G4846" i="16"/>
  <c r="G4847" i="16"/>
  <c r="G4848" i="16"/>
  <c r="G4849" i="16"/>
  <c r="G4850" i="16"/>
  <c r="G4851" i="16"/>
  <c r="G4852" i="16"/>
  <c r="G4853" i="16"/>
  <c r="G4854" i="16"/>
  <c r="G4855" i="16"/>
  <c r="G4856" i="16"/>
  <c r="G4857" i="16"/>
  <c r="G4858" i="16"/>
  <c r="G4859" i="16"/>
  <c r="G4860" i="16"/>
  <c r="G4861" i="16"/>
  <c r="G4862" i="16"/>
  <c r="G4863" i="16"/>
  <c r="G4864" i="16"/>
  <c r="G4865" i="16"/>
  <c r="G4866" i="16"/>
  <c r="G4867" i="16"/>
  <c r="G4868" i="16"/>
  <c r="G4869" i="16"/>
  <c r="G4870" i="16"/>
  <c r="G4871" i="16"/>
  <c r="G4872" i="16"/>
  <c r="G4873" i="16"/>
  <c r="G4874" i="16"/>
  <c r="G4875" i="16"/>
  <c r="G4876" i="16"/>
  <c r="G4877" i="16"/>
  <c r="G4878" i="16"/>
  <c r="G4879" i="16"/>
  <c r="G4880" i="16"/>
  <c r="G4881" i="16"/>
  <c r="G4882" i="16"/>
  <c r="G4883" i="16"/>
  <c r="G4884" i="16"/>
  <c r="G4885" i="16"/>
  <c r="G4886" i="16"/>
  <c r="G4887" i="16"/>
  <c r="G4888" i="16"/>
  <c r="G4889" i="16"/>
  <c r="G4890" i="16"/>
  <c r="G4891" i="16"/>
  <c r="G4892" i="16"/>
  <c r="G4893" i="16"/>
  <c r="G4894" i="16"/>
  <c r="G4895" i="16"/>
  <c r="G4896" i="16"/>
  <c r="G4897" i="16"/>
  <c r="G4898" i="16"/>
  <c r="G4899" i="16"/>
  <c r="G4900" i="16"/>
  <c r="G4901" i="16"/>
  <c r="G4902" i="16"/>
  <c r="G4903" i="16"/>
  <c r="G4904" i="16"/>
  <c r="G4905" i="16"/>
  <c r="G4906" i="16"/>
  <c r="G4907" i="16"/>
  <c r="G4908" i="16"/>
  <c r="G4909" i="16"/>
  <c r="G4910" i="16"/>
  <c r="G4911" i="16"/>
  <c r="G4912" i="16"/>
  <c r="G4913" i="16"/>
  <c r="G4914" i="16"/>
  <c r="G4915" i="16"/>
  <c r="G4916" i="16"/>
  <c r="G4917" i="16"/>
  <c r="G4918" i="16"/>
  <c r="G4919" i="16"/>
  <c r="G4920" i="16"/>
  <c r="G4921" i="16"/>
  <c r="G4922" i="16"/>
  <c r="G4923" i="16"/>
  <c r="G4924" i="16"/>
  <c r="G4925" i="16"/>
  <c r="G4926" i="16"/>
  <c r="G4927" i="16"/>
  <c r="G4928" i="16"/>
  <c r="G4929" i="16"/>
  <c r="G4930" i="16"/>
  <c r="G4931" i="16"/>
  <c r="G4932" i="16"/>
  <c r="G4933" i="16"/>
  <c r="G4934" i="16"/>
  <c r="G4935" i="16"/>
  <c r="G4936" i="16"/>
  <c r="G4937" i="16"/>
  <c r="G4938" i="16"/>
  <c r="G4939" i="16"/>
  <c r="G4940" i="16"/>
  <c r="G4941" i="16"/>
  <c r="G4942" i="16"/>
  <c r="G4943" i="16"/>
  <c r="G4944" i="16"/>
  <c r="G4945" i="16"/>
  <c r="G4946" i="16"/>
  <c r="G4947" i="16"/>
  <c r="G4948" i="16"/>
  <c r="G4949" i="16"/>
  <c r="G4950" i="16"/>
  <c r="G4951" i="16"/>
  <c r="G4952" i="16"/>
  <c r="G4953" i="16"/>
  <c r="G4954" i="16"/>
  <c r="G4955" i="16"/>
  <c r="G4956" i="16"/>
  <c r="G4957" i="16"/>
  <c r="G4958" i="16"/>
  <c r="G4959" i="16"/>
  <c r="G4960" i="16"/>
  <c r="G4961" i="16"/>
  <c r="G4962" i="16"/>
  <c r="G4963" i="16"/>
  <c r="G4964" i="16"/>
  <c r="G4965" i="16"/>
  <c r="G4966" i="16"/>
  <c r="G4967" i="16"/>
  <c r="G4968" i="16"/>
  <c r="G4969" i="16"/>
  <c r="G4970" i="16"/>
  <c r="G4971" i="16"/>
  <c r="G4972" i="16"/>
  <c r="G4973" i="16"/>
  <c r="G4974" i="16"/>
  <c r="G4975" i="16"/>
  <c r="G4976" i="16"/>
  <c r="G4977" i="16"/>
  <c r="G4978" i="16"/>
  <c r="G4979" i="16"/>
  <c r="G4980" i="16"/>
  <c r="G4981" i="16"/>
  <c r="G4982" i="16"/>
  <c r="G4983" i="16"/>
  <c r="G4984" i="16"/>
  <c r="G4985" i="16"/>
  <c r="G4986" i="16"/>
  <c r="G4987" i="16"/>
  <c r="G4988" i="16"/>
  <c r="G4989" i="16"/>
  <c r="G4990" i="16"/>
  <c r="G4991" i="16"/>
  <c r="G4992" i="16"/>
  <c r="G4993" i="16"/>
  <c r="G4994" i="16"/>
  <c r="G4995" i="16"/>
  <c r="G4996" i="16"/>
  <c r="G4997" i="16"/>
  <c r="G4998" i="16"/>
  <c r="G4999" i="16"/>
  <c r="G5000" i="16"/>
  <c r="G5001" i="16"/>
  <c r="G5002" i="16"/>
  <c r="G5003" i="16"/>
  <c r="G5004" i="16"/>
  <c r="G5005" i="16"/>
  <c r="G5006" i="16"/>
  <c r="G5007" i="16"/>
  <c r="G5008" i="16"/>
  <c r="G5009" i="16"/>
  <c r="G5010" i="16"/>
  <c r="G5011" i="16"/>
  <c r="G5012" i="16"/>
  <c r="G5013" i="16"/>
  <c r="G5014" i="16"/>
  <c r="G5015" i="16"/>
  <c r="G5016" i="16"/>
  <c r="G5017" i="16"/>
  <c r="G5018" i="16"/>
  <c r="G5019" i="16"/>
  <c r="G5020" i="16"/>
  <c r="G5021" i="16"/>
  <c r="G5022" i="16"/>
  <c r="G5023" i="16"/>
  <c r="G5024" i="16"/>
  <c r="G5025" i="16"/>
  <c r="G5026" i="16"/>
  <c r="G5027" i="16"/>
  <c r="G5028" i="16"/>
  <c r="G5029" i="16"/>
  <c r="G5030" i="16"/>
  <c r="G5031" i="16"/>
  <c r="G5032" i="16"/>
  <c r="G5033" i="16"/>
  <c r="G5034" i="16"/>
  <c r="G5035" i="16"/>
  <c r="G5036" i="16"/>
  <c r="G5037" i="16"/>
  <c r="G5038" i="16"/>
  <c r="G5039" i="16"/>
  <c r="G5040" i="16"/>
  <c r="G5041" i="16"/>
  <c r="G5042" i="16"/>
  <c r="G5043" i="16"/>
  <c r="G5044" i="16"/>
  <c r="G5045" i="16"/>
  <c r="G5046" i="16"/>
  <c r="G5047" i="16"/>
  <c r="G5048" i="16"/>
  <c r="G5049" i="16"/>
  <c r="G5050" i="16"/>
  <c r="G5051" i="16"/>
  <c r="G5052" i="16"/>
  <c r="G5053" i="16"/>
  <c r="G5054" i="16"/>
  <c r="G5055" i="16"/>
  <c r="G5056" i="16"/>
  <c r="G5057" i="16"/>
  <c r="G5058" i="16"/>
  <c r="G5059" i="16"/>
  <c r="G5060" i="16"/>
  <c r="G5061" i="16"/>
  <c r="G5062" i="16"/>
  <c r="G5063" i="16"/>
  <c r="G5064" i="16"/>
  <c r="G5065" i="16"/>
  <c r="G5066" i="16"/>
  <c r="G5067" i="16"/>
  <c r="G5068" i="16"/>
  <c r="G5069" i="16"/>
  <c r="G5070" i="16"/>
  <c r="G5071" i="16"/>
  <c r="G5072" i="16"/>
  <c r="G5073" i="16"/>
  <c r="G5074" i="16"/>
  <c r="G5075" i="16"/>
  <c r="G5076" i="16"/>
  <c r="G5077" i="16"/>
  <c r="G5078" i="16"/>
  <c r="G5079" i="16"/>
  <c r="G5080" i="16"/>
  <c r="G5081" i="16"/>
  <c r="G5082" i="16"/>
  <c r="G5083" i="16"/>
  <c r="G5084" i="16"/>
  <c r="G5085" i="16"/>
  <c r="G5086" i="16"/>
  <c r="G5087" i="16"/>
  <c r="G5088" i="16"/>
  <c r="G5089" i="16"/>
  <c r="G5090" i="16"/>
  <c r="G5091" i="16"/>
  <c r="G5092" i="16"/>
  <c r="G5093" i="16"/>
  <c r="G5094" i="16"/>
  <c r="G5095" i="16"/>
  <c r="G5096" i="16"/>
  <c r="G5097" i="16"/>
  <c r="G5098" i="16"/>
  <c r="G5099" i="16"/>
  <c r="G5100" i="16"/>
  <c r="G5101" i="16"/>
  <c r="G5102" i="16"/>
  <c r="G5103" i="16"/>
  <c r="G5104" i="16"/>
  <c r="G5105" i="16"/>
  <c r="G5106" i="16"/>
  <c r="G5107" i="16"/>
  <c r="G5108" i="16"/>
  <c r="G5109" i="16"/>
  <c r="G5110" i="16"/>
  <c r="G5111" i="16"/>
  <c r="G5112" i="16"/>
  <c r="G5113" i="16"/>
  <c r="G5114" i="16"/>
  <c r="G5115" i="16"/>
  <c r="G5116" i="16"/>
  <c r="G5117" i="16"/>
  <c r="G5118" i="16"/>
  <c r="G5119" i="16"/>
  <c r="G5120" i="16"/>
  <c r="G5121" i="16"/>
  <c r="G5122" i="16"/>
  <c r="G5123" i="16"/>
  <c r="G5124" i="16"/>
  <c r="G5125" i="16"/>
  <c r="G5126" i="16"/>
  <c r="G5127" i="16"/>
  <c r="G5128" i="16"/>
  <c r="G5129" i="16"/>
  <c r="G5130" i="16"/>
  <c r="G5131" i="16"/>
  <c r="G5132" i="16"/>
  <c r="G5133" i="16"/>
  <c r="G5134" i="16"/>
  <c r="G5135" i="16"/>
  <c r="G5136" i="16"/>
  <c r="G5137" i="16"/>
  <c r="G5138" i="16"/>
  <c r="G5139" i="16"/>
  <c r="G5140" i="16"/>
  <c r="G5141" i="16"/>
  <c r="G5142" i="16"/>
  <c r="G5143" i="16"/>
  <c r="G5144" i="16"/>
  <c r="G5145" i="16"/>
  <c r="G5146" i="16"/>
  <c r="G5147" i="16"/>
  <c r="G5148" i="16"/>
  <c r="G5149" i="16"/>
  <c r="G5150" i="16"/>
  <c r="G5151" i="16"/>
  <c r="G5152" i="16"/>
  <c r="G5153" i="16"/>
  <c r="G5154" i="16"/>
  <c r="G5155" i="16"/>
  <c r="G5156" i="16"/>
  <c r="G5157" i="16"/>
  <c r="G5158" i="16"/>
  <c r="G5159" i="16"/>
  <c r="G5160" i="16"/>
  <c r="G5161" i="16"/>
  <c r="G5162" i="16"/>
  <c r="G5163" i="16"/>
  <c r="G5164" i="16"/>
  <c r="G5165" i="16"/>
  <c r="G5166" i="16"/>
  <c r="G5167" i="16"/>
  <c r="G5168" i="16"/>
  <c r="G5169" i="16"/>
  <c r="G5170" i="16"/>
  <c r="G5171" i="16"/>
  <c r="G5172" i="16"/>
  <c r="G5173" i="16"/>
  <c r="G5174" i="16"/>
  <c r="G5175" i="16"/>
  <c r="G5176" i="16"/>
  <c r="G5177" i="16"/>
  <c r="G5178" i="16"/>
  <c r="G5179" i="16"/>
  <c r="G5180" i="16"/>
  <c r="G5181" i="16"/>
  <c r="G5182" i="16"/>
  <c r="G5183" i="16"/>
  <c r="G5184" i="16"/>
  <c r="G5185" i="16"/>
  <c r="G5186" i="16"/>
  <c r="G5187" i="16"/>
  <c r="G5188" i="16"/>
  <c r="G5189" i="16"/>
  <c r="G5190" i="16"/>
  <c r="G5191" i="16"/>
  <c r="G5192" i="16"/>
  <c r="G5193" i="16"/>
  <c r="G5194" i="16"/>
  <c r="G5195" i="16"/>
  <c r="G5196" i="16"/>
  <c r="G5197" i="16"/>
  <c r="G5198" i="16"/>
  <c r="G5199" i="16"/>
  <c r="G5200" i="16"/>
  <c r="G5201" i="16"/>
  <c r="G5202" i="16"/>
  <c r="G5203" i="16"/>
  <c r="G5204" i="16"/>
  <c r="G5205" i="16"/>
  <c r="G5206" i="16"/>
  <c r="G5207" i="16"/>
  <c r="G5208" i="16"/>
  <c r="G5209" i="16"/>
  <c r="G5210" i="16"/>
  <c r="G5211" i="16"/>
  <c r="G5212" i="16"/>
  <c r="G5213" i="16"/>
  <c r="G5214" i="16"/>
  <c r="G5215" i="16"/>
  <c r="G5216" i="16"/>
  <c r="G5217" i="16"/>
  <c r="G5218" i="16"/>
  <c r="G5219" i="16"/>
  <c r="G5220" i="16"/>
  <c r="G5221" i="16"/>
  <c r="G5222" i="16"/>
  <c r="G5223" i="16"/>
  <c r="G5224" i="16"/>
  <c r="G5225" i="16"/>
  <c r="G5226" i="16"/>
  <c r="G5227" i="16"/>
  <c r="G5228" i="16"/>
  <c r="G5229" i="16"/>
  <c r="G5230" i="16"/>
  <c r="G5231" i="16"/>
  <c r="G5232" i="16"/>
  <c r="G5233" i="16"/>
  <c r="G5234" i="16"/>
  <c r="G5235" i="16"/>
  <c r="G5236" i="16"/>
  <c r="G5237" i="16"/>
  <c r="G5238" i="16"/>
  <c r="G5239" i="16"/>
  <c r="G5240" i="16"/>
  <c r="G5241" i="16"/>
  <c r="G5242" i="16"/>
  <c r="G5243" i="16"/>
  <c r="G5244" i="16"/>
  <c r="G5245" i="16"/>
  <c r="G5246" i="16"/>
  <c r="G5247" i="16"/>
  <c r="G5248" i="16"/>
  <c r="G5249" i="16"/>
  <c r="G5250" i="16"/>
  <c r="G5251" i="16"/>
  <c r="G5252" i="16"/>
  <c r="G5253" i="16"/>
  <c r="G5254" i="16"/>
  <c r="G5255" i="16"/>
  <c r="G5256" i="16"/>
  <c r="G5257" i="16"/>
  <c r="G5258" i="16"/>
  <c r="G5259" i="16"/>
  <c r="G5260" i="16"/>
  <c r="G5261" i="16"/>
  <c r="G5262" i="16"/>
  <c r="G5263" i="16"/>
  <c r="G5264" i="16"/>
  <c r="G5265" i="16"/>
  <c r="G5266" i="16"/>
  <c r="G5267" i="16"/>
  <c r="G5268" i="16"/>
  <c r="G5269" i="16"/>
  <c r="G5270" i="16"/>
  <c r="G5271" i="16"/>
  <c r="G5272" i="16"/>
  <c r="G5273" i="16"/>
  <c r="G5274" i="16"/>
  <c r="G5275" i="16"/>
  <c r="G5276" i="16"/>
  <c r="G5277" i="16"/>
  <c r="G5278" i="16"/>
  <c r="G5279" i="16"/>
  <c r="G5280" i="16"/>
  <c r="G5281" i="16"/>
  <c r="G5282" i="16"/>
  <c r="G5283" i="16"/>
  <c r="G5284" i="16"/>
  <c r="G5285" i="16"/>
  <c r="G5286" i="16"/>
  <c r="G5287" i="16"/>
  <c r="G5288" i="16"/>
  <c r="G5289" i="16"/>
  <c r="G5290" i="16"/>
  <c r="G5291" i="16"/>
  <c r="G5292" i="16"/>
  <c r="G5293" i="16"/>
  <c r="G5294" i="16"/>
  <c r="G5295" i="16"/>
  <c r="G5296" i="16"/>
  <c r="G5297" i="16"/>
  <c r="G5298" i="16"/>
  <c r="G5299" i="16"/>
  <c r="G5300" i="16"/>
  <c r="G5301" i="16"/>
  <c r="G5302" i="16"/>
  <c r="G5303" i="16"/>
  <c r="G5304" i="16"/>
  <c r="G5305" i="16"/>
  <c r="G5306" i="16"/>
  <c r="G5307" i="16"/>
  <c r="G5308" i="16"/>
  <c r="G5309" i="16"/>
  <c r="G5310" i="16"/>
  <c r="G5311" i="16"/>
  <c r="G5312" i="16"/>
  <c r="G5313" i="16"/>
  <c r="G5314" i="16"/>
  <c r="G5315" i="16"/>
  <c r="G5316" i="16"/>
  <c r="G5317" i="16"/>
  <c r="G5318" i="16"/>
  <c r="G5319" i="16"/>
  <c r="G5320" i="16"/>
  <c r="G5321" i="16"/>
  <c r="G5322" i="16"/>
  <c r="G5323" i="16"/>
  <c r="G5324" i="16"/>
  <c r="G5325" i="16"/>
  <c r="G5326" i="16"/>
  <c r="G5327" i="16"/>
  <c r="G5328" i="16"/>
  <c r="G5329" i="16"/>
  <c r="G5330" i="16"/>
  <c r="G5331" i="16"/>
  <c r="G5332" i="16"/>
  <c r="G5333" i="16"/>
  <c r="G5334" i="16"/>
  <c r="G5335" i="16"/>
  <c r="G5336" i="16"/>
  <c r="G5337" i="16"/>
  <c r="G5338" i="16"/>
  <c r="G5339" i="16"/>
  <c r="G5340" i="16"/>
  <c r="G5341" i="16"/>
  <c r="G5342" i="16"/>
  <c r="G5343" i="16"/>
  <c r="G5344" i="16"/>
  <c r="G5345" i="16"/>
  <c r="G5346" i="16"/>
  <c r="G5347" i="16"/>
  <c r="G5348" i="16"/>
  <c r="G5349" i="16"/>
  <c r="G5350" i="16"/>
  <c r="G5351" i="16"/>
  <c r="G5352" i="16"/>
  <c r="G5353" i="16"/>
  <c r="G5354" i="16"/>
  <c r="G5355" i="16"/>
  <c r="G5356" i="16"/>
  <c r="G5357" i="16"/>
  <c r="G5358" i="16"/>
  <c r="G5359" i="16"/>
  <c r="G5360" i="16"/>
  <c r="G5361" i="16"/>
  <c r="G5362" i="16"/>
  <c r="G5363" i="16"/>
  <c r="G5364" i="16"/>
  <c r="G5365" i="16"/>
  <c r="G5366" i="16"/>
  <c r="G5367" i="16"/>
  <c r="G5368" i="16"/>
  <c r="G5369" i="16"/>
  <c r="G5370" i="16"/>
  <c r="G5371" i="16"/>
  <c r="G5372" i="16"/>
  <c r="G5373" i="16"/>
  <c r="G5374" i="16"/>
  <c r="G5375" i="16"/>
  <c r="G5376" i="16"/>
  <c r="G5377" i="16"/>
  <c r="G5378" i="16"/>
  <c r="G5379" i="16"/>
  <c r="G5380" i="16"/>
  <c r="G5381" i="16"/>
  <c r="G5382" i="16"/>
  <c r="G5383" i="16"/>
  <c r="G5384" i="16"/>
  <c r="G5385" i="16"/>
  <c r="G5386" i="16"/>
  <c r="G5387" i="16"/>
  <c r="G5388" i="16"/>
  <c r="G5389" i="16"/>
  <c r="G5390" i="16"/>
  <c r="G5391" i="16"/>
  <c r="G5392" i="16"/>
  <c r="G5393" i="16"/>
  <c r="G5394" i="16"/>
  <c r="G5395" i="16"/>
  <c r="G5396" i="16"/>
  <c r="G5397" i="16"/>
  <c r="G5398" i="16"/>
  <c r="G5399" i="16"/>
  <c r="G5400" i="16"/>
  <c r="G5401" i="16"/>
  <c r="G5402" i="16"/>
  <c r="G5403" i="16"/>
  <c r="G5404" i="16"/>
  <c r="G5405" i="16"/>
  <c r="G5406" i="16"/>
  <c r="G5407" i="16"/>
  <c r="G5408" i="16"/>
  <c r="G5409" i="16"/>
  <c r="G5410" i="16"/>
  <c r="G5411" i="16"/>
  <c r="G5412" i="16"/>
  <c r="G5413" i="16"/>
  <c r="G5414" i="16"/>
  <c r="G5415" i="16"/>
  <c r="G5416" i="16"/>
  <c r="G5417" i="16"/>
  <c r="G5418" i="16"/>
  <c r="G5419" i="16"/>
  <c r="G5420" i="16"/>
  <c r="G5421" i="16"/>
  <c r="G5422" i="16"/>
  <c r="G5423" i="16"/>
  <c r="G5424" i="16"/>
  <c r="G5425" i="16"/>
  <c r="G5426" i="16"/>
  <c r="G5427" i="16"/>
  <c r="G5428" i="16"/>
  <c r="G5429" i="16"/>
  <c r="G5430" i="16"/>
  <c r="G5431" i="16"/>
  <c r="G5432" i="16"/>
  <c r="G5433" i="16"/>
  <c r="G5434" i="16"/>
  <c r="G5435" i="16"/>
  <c r="G5436" i="16"/>
  <c r="G5437" i="16"/>
  <c r="G5438" i="16"/>
  <c r="G5439" i="16"/>
  <c r="G5440" i="16"/>
  <c r="G5441" i="16"/>
  <c r="G5442" i="16"/>
  <c r="G5443" i="16"/>
  <c r="G5444" i="16"/>
  <c r="G5445" i="16"/>
  <c r="G5446" i="16"/>
  <c r="G5447" i="16"/>
  <c r="G5448" i="16"/>
  <c r="G5449" i="16"/>
  <c r="G5450" i="16"/>
  <c r="G5451" i="16"/>
  <c r="G5452" i="16"/>
  <c r="G5453" i="16"/>
  <c r="G5454" i="16"/>
  <c r="G5455" i="16"/>
  <c r="G5456" i="16"/>
  <c r="G5457" i="16"/>
  <c r="G5458" i="16"/>
  <c r="G5459" i="16"/>
  <c r="G5460" i="16"/>
  <c r="G5461" i="16"/>
  <c r="G5462" i="16"/>
  <c r="G5463" i="16"/>
  <c r="G5464" i="16"/>
  <c r="G5465" i="16"/>
  <c r="G5466" i="16"/>
  <c r="G5467" i="16"/>
  <c r="G5468" i="16"/>
  <c r="G5469" i="16"/>
  <c r="G5470" i="16"/>
  <c r="G5471" i="16"/>
  <c r="G5472" i="16"/>
  <c r="G5473" i="16"/>
  <c r="G5474" i="16"/>
  <c r="G5475" i="16"/>
  <c r="G5476" i="16"/>
  <c r="G5477" i="16"/>
  <c r="G5478" i="16"/>
  <c r="G5479" i="16"/>
  <c r="G5480" i="16"/>
  <c r="G5481" i="16"/>
  <c r="G5482" i="16"/>
  <c r="G5483" i="16"/>
  <c r="G5484" i="16"/>
  <c r="G5485" i="16"/>
  <c r="G5486" i="16"/>
  <c r="G5487" i="16"/>
  <c r="G5488" i="16"/>
  <c r="G5489" i="16"/>
  <c r="G5490" i="16"/>
  <c r="G5491" i="16"/>
  <c r="G5492" i="16"/>
  <c r="G5493" i="16"/>
  <c r="G5494" i="16"/>
  <c r="G5495" i="16"/>
  <c r="G5496" i="16"/>
  <c r="G5497" i="16"/>
  <c r="G5498" i="16"/>
  <c r="G5499" i="16"/>
  <c r="G5500" i="16"/>
  <c r="G5501" i="16"/>
  <c r="G5502" i="16"/>
  <c r="G5503" i="16"/>
  <c r="G5504" i="16"/>
  <c r="G5505" i="16"/>
  <c r="G5506" i="16"/>
  <c r="G5507" i="16"/>
  <c r="G5508" i="16"/>
  <c r="G5509" i="16"/>
  <c r="G5510" i="16"/>
  <c r="G5511" i="16"/>
  <c r="G5512" i="16"/>
  <c r="G5513" i="16"/>
  <c r="G5514" i="16"/>
  <c r="G5515" i="16"/>
  <c r="G5516" i="16"/>
  <c r="G5517" i="16"/>
  <c r="G5518" i="16"/>
  <c r="G5519" i="16"/>
  <c r="G5520" i="16"/>
  <c r="G5521" i="16"/>
  <c r="G5522" i="16"/>
  <c r="G5523" i="16"/>
  <c r="G5524" i="16"/>
  <c r="G5525" i="16"/>
  <c r="G5526" i="16"/>
  <c r="G5527" i="16"/>
  <c r="G5528" i="16"/>
  <c r="G5529" i="16"/>
  <c r="G5530" i="16"/>
  <c r="G5531" i="16"/>
  <c r="G5532" i="16"/>
  <c r="G5533" i="16"/>
  <c r="G5534" i="16"/>
  <c r="G5535" i="16"/>
  <c r="G5536" i="16"/>
  <c r="G5537" i="16"/>
  <c r="G5538" i="16"/>
  <c r="G5539" i="16"/>
  <c r="G5540" i="16"/>
  <c r="G5541" i="16"/>
  <c r="G5542" i="16"/>
  <c r="G5543" i="16"/>
  <c r="G5544" i="16"/>
  <c r="G5545" i="16"/>
  <c r="G5546" i="16"/>
  <c r="G5547" i="16"/>
  <c r="G5548" i="16"/>
  <c r="G5549" i="16"/>
  <c r="G5550" i="16"/>
  <c r="G5551" i="16"/>
  <c r="G5552" i="16"/>
  <c r="G5553" i="16"/>
  <c r="G5554" i="16"/>
  <c r="G5555" i="16"/>
  <c r="G5556" i="16"/>
  <c r="G5557" i="16"/>
  <c r="G5558" i="16"/>
  <c r="G5559" i="16"/>
  <c r="G5560" i="16"/>
  <c r="G5561" i="16"/>
  <c r="G5562" i="16"/>
  <c r="G5563" i="16"/>
  <c r="G5564" i="16"/>
  <c r="G5565" i="16"/>
  <c r="G5566" i="16"/>
  <c r="G5567" i="16"/>
  <c r="G5568" i="16"/>
  <c r="G5569" i="16"/>
  <c r="G5570" i="16"/>
  <c r="G5571" i="16"/>
  <c r="G5572" i="16"/>
  <c r="G5573" i="16"/>
  <c r="G5574" i="16"/>
  <c r="G5575" i="16"/>
  <c r="G5576" i="16"/>
  <c r="G5577" i="16"/>
  <c r="G5578" i="16"/>
  <c r="G5579" i="16"/>
  <c r="G5580" i="16"/>
  <c r="G5581" i="16"/>
  <c r="G5582" i="16"/>
  <c r="G5583" i="16"/>
  <c r="G5584" i="16"/>
  <c r="G5585" i="16"/>
  <c r="G5586" i="16"/>
  <c r="G5587" i="16"/>
  <c r="G5588" i="16"/>
  <c r="G5589" i="16"/>
  <c r="G5590" i="16"/>
  <c r="G5591" i="16"/>
  <c r="G5592" i="16"/>
  <c r="G5593" i="16"/>
  <c r="G5594" i="16"/>
  <c r="G5595" i="16"/>
  <c r="G5596" i="16"/>
  <c r="G5597" i="16"/>
  <c r="G5598" i="16"/>
  <c r="G5599" i="16"/>
  <c r="G5600" i="16"/>
  <c r="G5601" i="16"/>
  <c r="G5602" i="16"/>
  <c r="G5603" i="16"/>
  <c r="G5604" i="16"/>
  <c r="G5605" i="16"/>
  <c r="G5606" i="16"/>
  <c r="G5607" i="16"/>
  <c r="G5608" i="16"/>
  <c r="G5609" i="16"/>
  <c r="G5610" i="16"/>
  <c r="G5611" i="16"/>
  <c r="G5612" i="16"/>
  <c r="G5613" i="16"/>
  <c r="G5614" i="16"/>
  <c r="G5615" i="16"/>
  <c r="G5616" i="16"/>
  <c r="G5617" i="16"/>
  <c r="G5618" i="16"/>
  <c r="G5619" i="16"/>
  <c r="G5620" i="16"/>
  <c r="G5621" i="16"/>
  <c r="G5622" i="16"/>
  <c r="G5623" i="16"/>
  <c r="G5624" i="16"/>
  <c r="G5625" i="16"/>
  <c r="G5626" i="16"/>
  <c r="G5627" i="16"/>
  <c r="G5628" i="16"/>
  <c r="G5629" i="16"/>
  <c r="G5630" i="16"/>
  <c r="G5631" i="16"/>
  <c r="G5632" i="16"/>
  <c r="G5633" i="16"/>
  <c r="G5634" i="16"/>
  <c r="G5635" i="16"/>
  <c r="G5636" i="16"/>
  <c r="G5637" i="16"/>
  <c r="G5638" i="16"/>
  <c r="G5639" i="16"/>
  <c r="G5640" i="16"/>
  <c r="G5641" i="16"/>
  <c r="G5642" i="16"/>
  <c r="G5643" i="16"/>
  <c r="G5644" i="16"/>
  <c r="G5645" i="16"/>
  <c r="G5646" i="16"/>
  <c r="G5647" i="16"/>
  <c r="G5648" i="16"/>
  <c r="G5649" i="16"/>
  <c r="G5650" i="16"/>
  <c r="G5651" i="16"/>
  <c r="G5652" i="16"/>
  <c r="G5653" i="16"/>
  <c r="G5654" i="16"/>
  <c r="G5655" i="16"/>
  <c r="G5656" i="16"/>
  <c r="G5657" i="16"/>
  <c r="G5658" i="16"/>
  <c r="G5659" i="16"/>
  <c r="G5660" i="16"/>
  <c r="G5661" i="16"/>
  <c r="G5662" i="16"/>
  <c r="G5663" i="16"/>
  <c r="G5664" i="16"/>
  <c r="G5665" i="16"/>
  <c r="G5666" i="16"/>
  <c r="G5667" i="16"/>
  <c r="G5668" i="16"/>
  <c r="G5669" i="16"/>
  <c r="G5670" i="16"/>
  <c r="G5671" i="16"/>
  <c r="G5672" i="16"/>
  <c r="G5673" i="16"/>
  <c r="G5674" i="16"/>
  <c r="G5675" i="16"/>
  <c r="G5676" i="16"/>
  <c r="G5677" i="16"/>
  <c r="G5678" i="16"/>
  <c r="G5679" i="16"/>
  <c r="G5680" i="16"/>
  <c r="G5681" i="16"/>
  <c r="G5682" i="16"/>
  <c r="G5683" i="16"/>
  <c r="G5684" i="16"/>
  <c r="G5685" i="16"/>
  <c r="G5686" i="16"/>
  <c r="G5687" i="16"/>
  <c r="G5688" i="16"/>
  <c r="G5689" i="16"/>
  <c r="G5690" i="16"/>
  <c r="G5691" i="16"/>
  <c r="G5692" i="16"/>
  <c r="G5693" i="16"/>
  <c r="G5694" i="16"/>
  <c r="G5695" i="16"/>
  <c r="G5696" i="16"/>
  <c r="G5697" i="16"/>
  <c r="G5698" i="16"/>
  <c r="G5699" i="16"/>
  <c r="G5700" i="16"/>
  <c r="G5701" i="16"/>
  <c r="G5702" i="16"/>
  <c r="G5703" i="16"/>
  <c r="G5704" i="16"/>
  <c r="G5705" i="16"/>
  <c r="G5706" i="16"/>
  <c r="G5707" i="16"/>
  <c r="G5708" i="16"/>
  <c r="G5709" i="16"/>
  <c r="G5710" i="16"/>
  <c r="G5711" i="16"/>
  <c r="G5712" i="16"/>
  <c r="G5713" i="16"/>
  <c r="G5714" i="16"/>
  <c r="G5715" i="16"/>
  <c r="G5716" i="16"/>
  <c r="G5717" i="16"/>
  <c r="G5718" i="16"/>
  <c r="G5719" i="16"/>
  <c r="G5720" i="16"/>
  <c r="G5721" i="16"/>
  <c r="G5722" i="16"/>
  <c r="G5723" i="16"/>
  <c r="G5724" i="16"/>
  <c r="G5725" i="16"/>
  <c r="G5726" i="16"/>
  <c r="G5727" i="16"/>
  <c r="G5728" i="16"/>
  <c r="G5729" i="16"/>
  <c r="G5730" i="16"/>
  <c r="G5731" i="16"/>
  <c r="G5732" i="16"/>
  <c r="G5733" i="16"/>
  <c r="G5734" i="16"/>
  <c r="G5735" i="16"/>
  <c r="G5736" i="16"/>
  <c r="G5737" i="16"/>
  <c r="G5738" i="16"/>
  <c r="G5739" i="16"/>
  <c r="G5740" i="16"/>
  <c r="G5741" i="16"/>
  <c r="G5742" i="16"/>
  <c r="G5743" i="16"/>
  <c r="G5744" i="16"/>
  <c r="G5745" i="16"/>
  <c r="G5746" i="16"/>
  <c r="G5747" i="16"/>
  <c r="G5748" i="16"/>
  <c r="G5749" i="16"/>
  <c r="G5750" i="16"/>
  <c r="G5751" i="16"/>
  <c r="G5752" i="16"/>
  <c r="G5753" i="16"/>
  <c r="G5754" i="16"/>
  <c r="G5755" i="16"/>
  <c r="G5756" i="16"/>
  <c r="G5757" i="16"/>
  <c r="G5758" i="16"/>
  <c r="G5759" i="16"/>
  <c r="G5760" i="16"/>
  <c r="G5761" i="16"/>
  <c r="G5762" i="16"/>
  <c r="G5763" i="16"/>
  <c r="G5764" i="16"/>
  <c r="G5765" i="16"/>
  <c r="G5766" i="16"/>
  <c r="G5767" i="16"/>
  <c r="G5768" i="16"/>
  <c r="G5769" i="16"/>
  <c r="G5770" i="16"/>
  <c r="G5771" i="16"/>
  <c r="G5772" i="16"/>
  <c r="G5773" i="16"/>
  <c r="G5774" i="16"/>
  <c r="G5775" i="16"/>
  <c r="G5776" i="16"/>
  <c r="G5777" i="16"/>
  <c r="G5778" i="16"/>
  <c r="G5779" i="16"/>
  <c r="G5780" i="16"/>
  <c r="G5781" i="16"/>
  <c r="G5782" i="16"/>
  <c r="G5783" i="16"/>
  <c r="G5784" i="16"/>
  <c r="G5785" i="16"/>
  <c r="G5786" i="16"/>
  <c r="G5787" i="16"/>
  <c r="G5788" i="16"/>
  <c r="G5789" i="16"/>
  <c r="G5790" i="16"/>
  <c r="G5791" i="16"/>
  <c r="G5792" i="16"/>
  <c r="G5793" i="16"/>
  <c r="G5794" i="16"/>
  <c r="G5795" i="16"/>
  <c r="G5796" i="16"/>
  <c r="G5797" i="16"/>
  <c r="G5798" i="16"/>
  <c r="G5799" i="16"/>
  <c r="G5800" i="16"/>
  <c r="G5801" i="16"/>
  <c r="G5802" i="16"/>
  <c r="G5803" i="16"/>
  <c r="G5804" i="16"/>
  <c r="G5805" i="16"/>
  <c r="G5806" i="16"/>
  <c r="G5807" i="16"/>
  <c r="G5808" i="16"/>
  <c r="G5809" i="16"/>
  <c r="G5810" i="16"/>
  <c r="G5811" i="16"/>
  <c r="G5812" i="16"/>
  <c r="G5813" i="16"/>
  <c r="G5814" i="16"/>
  <c r="G5815" i="16"/>
  <c r="G5816" i="16"/>
  <c r="G5817" i="16"/>
  <c r="G5818" i="16"/>
  <c r="G5819" i="16"/>
  <c r="G5820" i="16"/>
  <c r="G5821" i="16"/>
  <c r="G5822" i="16"/>
  <c r="G5823" i="16"/>
  <c r="G5824" i="16"/>
  <c r="G5825" i="16"/>
  <c r="G5826" i="16"/>
  <c r="G5827" i="16"/>
  <c r="G5828" i="16"/>
  <c r="G5829" i="16"/>
  <c r="G5830" i="16"/>
  <c r="G5831" i="16"/>
  <c r="G5832" i="16"/>
  <c r="G5833" i="16"/>
  <c r="G5834" i="16"/>
  <c r="G5835" i="16"/>
  <c r="G5836" i="16"/>
  <c r="G5837" i="16"/>
  <c r="G5838" i="16"/>
  <c r="G5839" i="16"/>
  <c r="G5840" i="16"/>
  <c r="G5841" i="16"/>
  <c r="G5842" i="16"/>
  <c r="G5843" i="16"/>
  <c r="G5844" i="16"/>
  <c r="G5845" i="16"/>
  <c r="G5846" i="16"/>
  <c r="G5847" i="16"/>
  <c r="G5848" i="16"/>
  <c r="G5849" i="16"/>
  <c r="G5850" i="16"/>
  <c r="G5851" i="16"/>
  <c r="G5852" i="16"/>
  <c r="G5853" i="16"/>
  <c r="G5854" i="16"/>
  <c r="G5855" i="16"/>
  <c r="G5856" i="16"/>
  <c r="G5857" i="16"/>
  <c r="G5858" i="16"/>
  <c r="G5859" i="16"/>
  <c r="G5860" i="16"/>
  <c r="G5861" i="16"/>
  <c r="G5862" i="16"/>
  <c r="G5863" i="16"/>
  <c r="G5864" i="16"/>
  <c r="G5865" i="16"/>
  <c r="G5866" i="16"/>
  <c r="G5867" i="16"/>
  <c r="G5868" i="16"/>
  <c r="G5869" i="16"/>
  <c r="G5870" i="16"/>
  <c r="G5871" i="16"/>
  <c r="G5872" i="16"/>
  <c r="G5873" i="16"/>
  <c r="G5874" i="16"/>
  <c r="G5875" i="16"/>
  <c r="G5876" i="16"/>
  <c r="G5877" i="16"/>
  <c r="G5878" i="16"/>
  <c r="G5879" i="16"/>
  <c r="G5880" i="16"/>
  <c r="G5881" i="16"/>
  <c r="G5882" i="16"/>
  <c r="G5883" i="16"/>
  <c r="G5884" i="16"/>
  <c r="G5885" i="16"/>
  <c r="G5886" i="16"/>
  <c r="G5887" i="16"/>
  <c r="G5888" i="16"/>
  <c r="G5889" i="16"/>
  <c r="G5890" i="16"/>
  <c r="G5891" i="16"/>
  <c r="G5892" i="16"/>
  <c r="G5893" i="16"/>
  <c r="G5894" i="16"/>
  <c r="G5895" i="16"/>
  <c r="G5896" i="16"/>
  <c r="G5897" i="16"/>
  <c r="G5898" i="16"/>
  <c r="G5899" i="16"/>
  <c r="G5900" i="16"/>
  <c r="G5901" i="16"/>
  <c r="G5902" i="16"/>
  <c r="G5903" i="16"/>
  <c r="G5904" i="16"/>
  <c r="G5905" i="16"/>
  <c r="G5906" i="16"/>
  <c r="G5907" i="16"/>
  <c r="G5908" i="16"/>
  <c r="G5909" i="16"/>
  <c r="G5910" i="16"/>
  <c r="G5911" i="16"/>
  <c r="G5912" i="16"/>
  <c r="G5913" i="16"/>
  <c r="G5914" i="16"/>
  <c r="G5915" i="16"/>
  <c r="G5916" i="16"/>
  <c r="G5917" i="16"/>
  <c r="G5918" i="16"/>
  <c r="G5919" i="16"/>
  <c r="G5920" i="16"/>
  <c r="G5921" i="16"/>
  <c r="G5922" i="16"/>
  <c r="G5923" i="16"/>
  <c r="G5924" i="16"/>
  <c r="G5925" i="16"/>
  <c r="G5926" i="16"/>
  <c r="G5927" i="16"/>
  <c r="G5928" i="16"/>
  <c r="G5929" i="16"/>
  <c r="G5930" i="16"/>
  <c r="G5931" i="16"/>
  <c r="G5932" i="16"/>
  <c r="G5933" i="16"/>
  <c r="G5934" i="16"/>
  <c r="G5935" i="16"/>
  <c r="G5936" i="16"/>
  <c r="G5937" i="16"/>
  <c r="G5938" i="16"/>
  <c r="G5939" i="16"/>
  <c r="G5940" i="16"/>
  <c r="G5941" i="16"/>
  <c r="G5942" i="16"/>
  <c r="G5943" i="16"/>
  <c r="G5944" i="16"/>
  <c r="G5945" i="16"/>
  <c r="G5946" i="16"/>
  <c r="G5947" i="16"/>
  <c r="G5948" i="16"/>
  <c r="G5949" i="16"/>
  <c r="G5950" i="16"/>
  <c r="G5951" i="16"/>
  <c r="G5952" i="16"/>
  <c r="G5953" i="16"/>
  <c r="G5954" i="16"/>
  <c r="G5955" i="16"/>
  <c r="G5956" i="16"/>
  <c r="G5957" i="16"/>
  <c r="G5958" i="16"/>
  <c r="G5959" i="16"/>
  <c r="G5960" i="16"/>
  <c r="G5961" i="16"/>
  <c r="G5962" i="16"/>
  <c r="G5963" i="16"/>
  <c r="G5964" i="16"/>
  <c r="G5965" i="16"/>
  <c r="G5966" i="16"/>
  <c r="G5967" i="16"/>
  <c r="G5968" i="16"/>
  <c r="G5969" i="16"/>
  <c r="G5970" i="16"/>
  <c r="G5971" i="16"/>
  <c r="G5972" i="16"/>
  <c r="G5973" i="16"/>
  <c r="G5974" i="16"/>
  <c r="G5975" i="16"/>
  <c r="G5976" i="16"/>
  <c r="G5977" i="16"/>
  <c r="G5978" i="16"/>
  <c r="G5979" i="16"/>
  <c r="G5980" i="16"/>
  <c r="G5981" i="16"/>
  <c r="G5982" i="16"/>
  <c r="G5983" i="16"/>
  <c r="G5984" i="16"/>
  <c r="G5985" i="16"/>
  <c r="G5986" i="16"/>
  <c r="G5987" i="16"/>
  <c r="G5988" i="16"/>
  <c r="G5989" i="16"/>
  <c r="G5990" i="16"/>
  <c r="G5991" i="16"/>
  <c r="G5992" i="16"/>
  <c r="G5993" i="16"/>
  <c r="G5994" i="16"/>
  <c r="G5995" i="16"/>
  <c r="G5996" i="16"/>
  <c r="G5997" i="16"/>
  <c r="G5998" i="16"/>
  <c r="G5999" i="16"/>
  <c r="G6000" i="16"/>
  <c r="G6001" i="16"/>
  <c r="G6002" i="16"/>
  <c r="G6003" i="16"/>
  <c r="G6004" i="16"/>
  <c r="G6005" i="16"/>
  <c r="G6006" i="16"/>
  <c r="G6007" i="16"/>
  <c r="G6008" i="16"/>
  <c r="G6009" i="16"/>
  <c r="G6010" i="16"/>
  <c r="G6011" i="16"/>
  <c r="G6012" i="16"/>
  <c r="G6013" i="16"/>
  <c r="G6014" i="16"/>
  <c r="G6015" i="16"/>
  <c r="G6016" i="16"/>
  <c r="G6017" i="16"/>
  <c r="G6018" i="16"/>
  <c r="G6019" i="16"/>
  <c r="G6020" i="16"/>
  <c r="G6021" i="16"/>
  <c r="G6022" i="16"/>
  <c r="G6023" i="16"/>
  <c r="G6024" i="16"/>
  <c r="G6025" i="16"/>
  <c r="G6026" i="16"/>
  <c r="G6027" i="16"/>
  <c r="G6028" i="16"/>
  <c r="G6029" i="16"/>
  <c r="G6030" i="16"/>
  <c r="G6031" i="16"/>
  <c r="G6032" i="16"/>
  <c r="G6033" i="16"/>
  <c r="G6034" i="16"/>
  <c r="G6035" i="16"/>
  <c r="G6036" i="16"/>
  <c r="G6037" i="16"/>
  <c r="G6038" i="16"/>
  <c r="G6039" i="16"/>
  <c r="G6040" i="16"/>
  <c r="G6041" i="16"/>
  <c r="G6042" i="16"/>
  <c r="G6043" i="16"/>
  <c r="G6044" i="16"/>
  <c r="G6045" i="16"/>
  <c r="G6046" i="16"/>
  <c r="G6047" i="16"/>
  <c r="G6048" i="16"/>
  <c r="G6049" i="16"/>
  <c r="G6050" i="16"/>
  <c r="G6051" i="16"/>
  <c r="G6052" i="16"/>
  <c r="G6053" i="16"/>
  <c r="G6054" i="16"/>
  <c r="G6055" i="16"/>
  <c r="G6056" i="16"/>
  <c r="G6057" i="16"/>
  <c r="G6058" i="16"/>
  <c r="G6059" i="16"/>
  <c r="G6060" i="16"/>
  <c r="G6061" i="16"/>
  <c r="G6062" i="16"/>
  <c r="G6063" i="16"/>
  <c r="G6064" i="16"/>
  <c r="G6065" i="16"/>
  <c r="G6066" i="16"/>
  <c r="G6067" i="16"/>
  <c r="G6068" i="16"/>
  <c r="G6069" i="16"/>
  <c r="G6070" i="16"/>
  <c r="G6071" i="16"/>
  <c r="G6072" i="16"/>
  <c r="G6073" i="16"/>
  <c r="G6074" i="16"/>
  <c r="G6075" i="16"/>
  <c r="G6076" i="16"/>
  <c r="G6077" i="16"/>
  <c r="G6078" i="16"/>
  <c r="G6079" i="16"/>
  <c r="G6080" i="16"/>
  <c r="G6081" i="16"/>
  <c r="G6082" i="16"/>
  <c r="G6083" i="16"/>
  <c r="G6084" i="16"/>
  <c r="G6085" i="16"/>
  <c r="G6086" i="16"/>
  <c r="G6087" i="16"/>
  <c r="G6088" i="16"/>
  <c r="G6089" i="16"/>
  <c r="G6090" i="16"/>
  <c r="G6091" i="16"/>
  <c r="G6092" i="16"/>
  <c r="G6093" i="16"/>
  <c r="G6094" i="16"/>
  <c r="G6095" i="16"/>
  <c r="G6096" i="16"/>
  <c r="G6097" i="16"/>
  <c r="G6098" i="16"/>
  <c r="G6099" i="16"/>
  <c r="G6100" i="16"/>
  <c r="G6101" i="16"/>
  <c r="G6102" i="16"/>
  <c r="G6103" i="16"/>
  <c r="G6104" i="16"/>
  <c r="G6105" i="16"/>
  <c r="G6106" i="16"/>
  <c r="G6107" i="16"/>
  <c r="G6108" i="16"/>
  <c r="G6109" i="16"/>
  <c r="G6110" i="16"/>
  <c r="G6111" i="16"/>
  <c r="G6112" i="16"/>
  <c r="G6113" i="16"/>
  <c r="G6114" i="16"/>
  <c r="G6115" i="16"/>
  <c r="G6116" i="16"/>
  <c r="G6117" i="16"/>
  <c r="G6118" i="16"/>
  <c r="G6119" i="16"/>
  <c r="G6120" i="16"/>
  <c r="G6121" i="16"/>
  <c r="G6122" i="16"/>
  <c r="G6123" i="16"/>
  <c r="G6124" i="16"/>
  <c r="G6125" i="16"/>
  <c r="G6126" i="16"/>
  <c r="G6127" i="16"/>
  <c r="G6128" i="16"/>
  <c r="G6129" i="16"/>
  <c r="G6130" i="16"/>
  <c r="G6131" i="16"/>
  <c r="G6132" i="16"/>
  <c r="G6133" i="16"/>
  <c r="G6134" i="16"/>
  <c r="G6135" i="16"/>
  <c r="G6136" i="16"/>
  <c r="G6137" i="16"/>
  <c r="G6138" i="16"/>
  <c r="G6139" i="16"/>
  <c r="G6140" i="16"/>
  <c r="G6141" i="16"/>
  <c r="G6142" i="16"/>
  <c r="G6143" i="16"/>
  <c r="G6144" i="16"/>
  <c r="G6145" i="16"/>
  <c r="G6146" i="16"/>
  <c r="G6147" i="16"/>
  <c r="G6148" i="16"/>
  <c r="G6149" i="16"/>
  <c r="G6150" i="16"/>
  <c r="G6151" i="16"/>
  <c r="G6152" i="16"/>
  <c r="G6153" i="16"/>
  <c r="G6154" i="16"/>
  <c r="G6155" i="16"/>
  <c r="G6156" i="16"/>
  <c r="G6157" i="16"/>
  <c r="G6158" i="16"/>
  <c r="G6159" i="16"/>
  <c r="G6160" i="16"/>
  <c r="G6161" i="16"/>
  <c r="G6162" i="16"/>
  <c r="G6163" i="16"/>
  <c r="G6164" i="16"/>
  <c r="G6165" i="16"/>
  <c r="G6166" i="16"/>
  <c r="G6167" i="16"/>
  <c r="G6168" i="16"/>
  <c r="G6169" i="16"/>
  <c r="G6170" i="16"/>
  <c r="G6171" i="16"/>
  <c r="G6172" i="16"/>
  <c r="G6173" i="16"/>
  <c r="G6174" i="16"/>
  <c r="G6175" i="16"/>
  <c r="G6176" i="16"/>
  <c r="G6177" i="16"/>
  <c r="G6178" i="16"/>
  <c r="G6179" i="16"/>
  <c r="G6180" i="16"/>
  <c r="G6181" i="16"/>
  <c r="G6182" i="16"/>
  <c r="G6183" i="16"/>
  <c r="G6184" i="16"/>
  <c r="G6185" i="16"/>
  <c r="G6186" i="16"/>
  <c r="G6187" i="16"/>
  <c r="G6188" i="16"/>
  <c r="G6189" i="16"/>
  <c r="G6190" i="16"/>
  <c r="G6191" i="16"/>
  <c r="G6192" i="16"/>
  <c r="G6193" i="16"/>
  <c r="G6194" i="16"/>
  <c r="G6195" i="16"/>
  <c r="G6196" i="16"/>
  <c r="G6197" i="16"/>
  <c r="G6198" i="16"/>
  <c r="G6199" i="16"/>
  <c r="G6200" i="16"/>
  <c r="G6201" i="16"/>
  <c r="G6202" i="16"/>
  <c r="G6203" i="16"/>
  <c r="G6204" i="16"/>
  <c r="G6205" i="16"/>
  <c r="G6206" i="16"/>
  <c r="G6207" i="16"/>
  <c r="G6208" i="16"/>
  <c r="G6209" i="16"/>
  <c r="G6210" i="16"/>
  <c r="G6211" i="16"/>
  <c r="G6212" i="16"/>
  <c r="G6213" i="16"/>
  <c r="G6214" i="16"/>
  <c r="G6215" i="16"/>
  <c r="G6216" i="16"/>
  <c r="G6217" i="16"/>
  <c r="G6218" i="16"/>
  <c r="G6219" i="16"/>
  <c r="G6220" i="16"/>
  <c r="G6221" i="16"/>
  <c r="G6222" i="16"/>
  <c r="G6223" i="16"/>
  <c r="G6224" i="16"/>
  <c r="G6225" i="16"/>
  <c r="G6226" i="16"/>
  <c r="G6227" i="16"/>
  <c r="G6228" i="16"/>
  <c r="G6229" i="16"/>
  <c r="G6230" i="16"/>
  <c r="G6231" i="16"/>
  <c r="G6232" i="16"/>
  <c r="G6233" i="16"/>
  <c r="G6234" i="16"/>
  <c r="G6235" i="16"/>
  <c r="G6236" i="16"/>
  <c r="G6237" i="16"/>
  <c r="G6238" i="16"/>
  <c r="G6239" i="16"/>
  <c r="G6240" i="16"/>
  <c r="G6241" i="16"/>
  <c r="G6242" i="16"/>
  <c r="G6243" i="16"/>
  <c r="G6244" i="16"/>
  <c r="G6245" i="16"/>
  <c r="G6246" i="16"/>
  <c r="G6247" i="16"/>
  <c r="G6248" i="16"/>
  <c r="G6249" i="16"/>
  <c r="G6250" i="16"/>
  <c r="G6251" i="16"/>
  <c r="G6252" i="16"/>
  <c r="G6253" i="16"/>
  <c r="G6254" i="16"/>
  <c r="G6255" i="16"/>
  <c r="G6256" i="16"/>
  <c r="G6257" i="16"/>
  <c r="G6258" i="16"/>
  <c r="G6259" i="16"/>
  <c r="G6260" i="16"/>
  <c r="G6261" i="16"/>
  <c r="G6262" i="16"/>
  <c r="G6263" i="16"/>
  <c r="G6264" i="16"/>
  <c r="G6265" i="16"/>
  <c r="G6266" i="16"/>
  <c r="G6267" i="16"/>
  <c r="G6268" i="16"/>
  <c r="G6269" i="16"/>
  <c r="G6270" i="16"/>
  <c r="G6271" i="16"/>
  <c r="G6272" i="16"/>
  <c r="G6273" i="16"/>
  <c r="G6274" i="16"/>
  <c r="G6275" i="16"/>
  <c r="G6276" i="16"/>
  <c r="G6277" i="16"/>
  <c r="G6278" i="16"/>
  <c r="G6279" i="16"/>
  <c r="G6280" i="16"/>
  <c r="G6281" i="16"/>
  <c r="G6282" i="16"/>
  <c r="G6283" i="16"/>
  <c r="G6284" i="16"/>
  <c r="G6285" i="16"/>
  <c r="G6286" i="16"/>
  <c r="G6287" i="16"/>
  <c r="G6288" i="16"/>
  <c r="G6289" i="16"/>
  <c r="G6290" i="16"/>
  <c r="G6291" i="16"/>
  <c r="G6292" i="16"/>
  <c r="G6293" i="16"/>
  <c r="G6294" i="16"/>
  <c r="G6295" i="16"/>
  <c r="G6296" i="16"/>
  <c r="G6297" i="16"/>
  <c r="G6298" i="16"/>
  <c r="G6299" i="16"/>
  <c r="G6300" i="16"/>
  <c r="G6301" i="16"/>
  <c r="G6302" i="16"/>
  <c r="G6303" i="16"/>
  <c r="G6304" i="16"/>
  <c r="G6305" i="16"/>
  <c r="G6306" i="16"/>
  <c r="G6307" i="16"/>
  <c r="G6308" i="16"/>
  <c r="G6309" i="16"/>
  <c r="G6310" i="16"/>
  <c r="G6311" i="16"/>
  <c r="G6312" i="16"/>
  <c r="G6313" i="16"/>
  <c r="G6314" i="16"/>
  <c r="G6315" i="16"/>
  <c r="G6316" i="16"/>
  <c r="G6317" i="16"/>
  <c r="G6318" i="16"/>
  <c r="G6319" i="16"/>
  <c r="G6320" i="16"/>
  <c r="G6321" i="16"/>
  <c r="G6322" i="16"/>
  <c r="G6323" i="16"/>
  <c r="G6324" i="16"/>
  <c r="G6325" i="16"/>
  <c r="G6326" i="16"/>
  <c r="G6327" i="16"/>
  <c r="G6328" i="16"/>
  <c r="G6329" i="16"/>
  <c r="G6330" i="16"/>
  <c r="G6331" i="16"/>
  <c r="G6332" i="16"/>
  <c r="G6333" i="16"/>
  <c r="G6334" i="16"/>
  <c r="G6335" i="16"/>
  <c r="G6336" i="16"/>
  <c r="G6337" i="16"/>
  <c r="G6338" i="16"/>
  <c r="G6339" i="16"/>
  <c r="G6340" i="16"/>
  <c r="G6341" i="16"/>
  <c r="G6342" i="16"/>
  <c r="G6343" i="16"/>
  <c r="G6344" i="16"/>
  <c r="G6345" i="16"/>
  <c r="G6346" i="16"/>
  <c r="G6347" i="16"/>
  <c r="G6348" i="16"/>
  <c r="G6349" i="16"/>
  <c r="G6350" i="16"/>
  <c r="G6351" i="16"/>
  <c r="G6352" i="16"/>
  <c r="G6353" i="16"/>
  <c r="G6354" i="16"/>
  <c r="G6355" i="16"/>
  <c r="G6356" i="16"/>
  <c r="G6357" i="16"/>
  <c r="G6358" i="16"/>
  <c r="G6359" i="16"/>
  <c r="G6360" i="16"/>
  <c r="G6361" i="16"/>
  <c r="G6362" i="16"/>
  <c r="G6363" i="16"/>
  <c r="G6364" i="16"/>
  <c r="G6365" i="16"/>
  <c r="G6366" i="16"/>
  <c r="G6367" i="16"/>
  <c r="G6368" i="16"/>
  <c r="G6369" i="16"/>
  <c r="G6370" i="16"/>
  <c r="G6371" i="16"/>
  <c r="G6372" i="16"/>
  <c r="G6373" i="16"/>
  <c r="G6374" i="16"/>
  <c r="G6375" i="16"/>
  <c r="G6376" i="16"/>
  <c r="G6377" i="16"/>
  <c r="G6378" i="16"/>
  <c r="G6379" i="16"/>
  <c r="G6380" i="16"/>
  <c r="G6381" i="16"/>
  <c r="G6382" i="16"/>
  <c r="G6383" i="16"/>
  <c r="G6384" i="16"/>
  <c r="G6385" i="16"/>
  <c r="G6386" i="16"/>
  <c r="G6387" i="16"/>
  <c r="G6388" i="16"/>
  <c r="G6389" i="16"/>
  <c r="G6390" i="16"/>
  <c r="G6391" i="16"/>
  <c r="G6392" i="16"/>
  <c r="G6393" i="16"/>
  <c r="G6394" i="16"/>
  <c r="G6395" i="16"/>
  <c r="G6396" i="16"/>
  <c r="G6397" i="16"/>
  <c r="G6398" i="16"/>
  <c r="G6399" i="16"/>
  <c r="G6400" i="16"/>
  <c r="G6401" i="16"/>
  <c r="G6402" i="16"/>
  <c r="G6403" i="16"/>
  <c r="G6404" i="16"/>
  <c r="G6405" i="16"/>
  <c r="G6406" i="16"/>
  <c r="G6407" i="16"/>
  <c r="G6408" i="16"/>
  <c r="G6409" i="16"/>
  <c r="G6410" i="16"/>
  <c r="G6411" i="16"/>
  <c r="G6412" i="16"/>
  <c r="G6413" i="16"/>
  <c r="G6414" i="16"/>
  <c r="G6415" i="16"/>
  <c r="G6416" i="16"/>
  <c r="G6417" i="16"/>
  <c r="G6418" i="16"/>
  <c r="G6419" i="16"/>
  <c r="G6420" i="16"/>
  <c r="G6421" i="16"/>
  <c r="G6422" i="16"/>
  <c r="G6423" i="16"/>
  <c r="G6424" i="16"/>
  <c r="G6425" i="16"/>
  <c r="G6426" i="16"/>
  <c r="G6427" i="16"/>
  <c r="G6428" i="16"/>
  <c r="G6429" i="16"/>
  <c r="G6430" i="16"/>
  <c r="G6431" i="16"/>
  <c r="G6432" i="16"/>
  <c r="G6433" i="16"/>
  <c r="G6434" i="16"/>
  <c r="G6435" i="16"/>
  <c r="G6436" i="16"/>
  <c r="G6437" i="16"/>
  <c r="G6438" i="16"/>
  <c r="G6439" i="16"/>
  <c r="G6440" i="16"/>
  <c r="G6441" i="16"/>
  <c r="G6442" i="16"/>
  <c r="G6443" i="16"/>
  <c r="G6444" i="16"/>
  <c r="G6445" i="16"/>
  <c r="G6446" i="16"/>
  <c r="G6447" i="16"/>
  <c r="G6448" i="16"/>
  <c r="G6449" i="16"/>
  <c r="G6450" i="16"/>
  <c r="G6451" i="16"/>
  <c r="G6452" i="16"/>
  <c r="G6453" i="16"/>
  <c r="G6454" i="16"/>
  <c r="G6455" i="16"/>
  <c r="G6456" i="16"/>
  <c r="G6457" i="16"/>
  <c r="G6458" i="16"/>
  <c r="G6459" i="16"/>
  <c r="G6460" i="16"/>
  <c r="G6461" i="16"/>
  <c r="G6462" i="16"/>
  <c r="G6463" i="16"/>
  <c r="G6464" i="16"/>
  <c r="G6465" i="16"/>
  <c r="G6466" i="16"/>
  <c r="G6467" i="16"/>
  <c r="G6468" i="16"/>
  <c r="G6469" i="16"/>
  <c r="G6470" i="16"/>
  <c r="G6471" i="16"/>
  <c r="G6472" i="16"/>
  <c r="G6473" i="16"/>
  <c r="G6474" i="16"/>
  <c r="G6475" i="16"/>
  <c r="G6476" i="16"/>
  <c r="G6477" i="16"/>
  <c r="G6478" i="16"/>
  <c r="G6479" i="16"/>
  <c r="G6480" i="16"/>
  <c r="G6481" i="16"/>
  <c r="G6482" i="16"/>
  <c r="G6483" i="16"/>
  <c r="G6484" i="16"/>
  <c r="G6485" i="16"/>
  <c r="G6486" i="16"/>
  <c r="G6487" i="16"/>
  <c r="G6488" i="16"/>
  <c r="G6489" i="16"/>
  <c r="G6490" i="16"/>
  <c r="G6491" i="16"/>
  <c r="G6492" i="16"/>
  <c r="G6493" i="16"/>
  <c r="G6494" i="16"/>
  <c r="G6495" i="16"/>
  <c r="G6496" i="16"/>
  <c r="G6497" i="16"/>
  <c r="G6498" i="16"/>
  <c r="G6499" i="16"/>
  <c r="G6500" i="16"/>
  <c r="G6501" i="16"/>
  <c r="G6502" i="16"/>
  <c r="G6503" i="16"/>
  <c r="G6504" i="16"/>
  <c r="G6505" i="16"/>
  <c r="G6506" i="16"/>
  <c r="G6507" i="16"/>
  <c r="G6508" i="16"/>
  <c r="G6509" i="16"/>
  <c r="G6510" i="16"/>
  <c r="G6511" i="16"/>
  <c r="G6512" i="16"/>
  <c r="G6513" i="16"/>
  <c r="G6514" i="16"/>
  <c r="G6515" i="16"/>
  <c r="G6516" i="16"/>
  <c r="G6517" i="16"/>
  <c r="G6518" i="16"/>
  <c r="G6519" i="16"/>
  <c r="G6520" i="16"/>
  <c r="G6521" i="16"/>
  <c r="G6522" i="16"/>
  <c r="G6523" i="16"/>
  <c r="G6524" i="16"/>
  <c r="G6525" i="16"/>
  <c r="G6526" i="16"/>
  <c r="G6527" i="16"/>
  <c r="G6528" i="16"/>
  <c r="G6529" i="16"/>
  <c r="G6530" i="16"/>
  <c r="G6531" i="16"/>
  <c r="G6532" i="16"/>
  <c r="G6533" i="16"/>
  <c r="G6534" i="16"/>
  <c r="G6535" i="16"/>
  <c r="G6536" i="16"/>
  <c r="G6537" i="16"/>
  <c r="G6538" i="16"/>
  <c r="G6539" i="16"/>
  <c r="G6540" i="16"/>
  <c r="G6541" i="16"/>
  <c r="G6542" i="16"/>
  <c r="G6543" i="16"/>
  <c r="G6544" i="16"/>
  <c r="G6545" i="16"/>
  <c r="G6546" i="16"/>
  <c r="G6547" i="16"/>
  <c r="G6548" i="16"/>
  <c r="G6549" i="16"/>
  <c r="G6550" i="16"/>
  <c r="G6551" i="16"/>
  <c r="G6552" i="16"/>
  <c r="G6553" i="16"/>
  <c r="G6554" i="16"/>
  <c r="G6555" i="16"/>
  <c r="G6556" i="16"/>
  <c r="G6557" i="16"/>
  <c r="G6558" i="16"/>
  <c r="G6559" i="16"/>
  <c r="G6560" i="16"/>
  <c r="G6561" i="16"/>
  <c r="G6562" i="16"/>
  <c r="G6563" i="16"/>
  <c r="G6564" i="16"/>
  <c r="G6565" i="16"/>
  <c r="G6566" i="16"/>
  <c r="G6567" i="16"/>
  <c r="G6568" i="16"/>
  <c r="G6569" i="16"/>
  <c r="G6570" i="16"/>
  <c r="G6571" i="16"/>
  <c r="G6572" i="16"/>
  <c r="G6573" i="16"/>
  <c r="G6574" i="16"/>
  <c r="G6575" i="16"/>
  <c r="G6576" i="16"/>
  <c r="G6577" i="16"/>
  <c r="G6578" i="16"/>
  <c r="G6579" i="16"/>
  <c r="G6580" i="16"/>
  <c r="G6581" i="16"/>
  <c r="G6582" i="16"/>
  <c r="G6583" i="16"/>
  <c r="G6584" i="16"/>
  <c r="G6585" i="16"/>
  <c r="G6586" i="16"/>
  <c r="G6587" i="16"/>
  <c r="G6588" i="16"/>
  <c r="G6589" i="16"/>
  <c r="G6590" i="16"/>
  <c r="G6591" i="16"/>
  <c r="G6592" i="16"/>
  <c r="G6593" i="16"/>
  <c r="G6594" i="16"/>
  <c r="G6595" i="16"/>
  <c r="G6596" i="16"/>
  <c r="G6597" i="16"/>
  <c r="G6598" i="16"/>
  <c r="G6599" i="16"/>
  <c r="G6600" i="16"/>
  <c r="G6601" i="16"/>
  <c r="G6602" i="16"/>
  <c r="G6603" i="16"/>
  <c r="G6604" i="16"/>
  <c r="G6605" i="16"/>
  <c r="G6606" i="16"/>
  <c r="G6607" i="16"/>
  <c r="G6608" i="16"/>
  <c r="G6609" i="16"/>
  <c r="G6610" i="16"/>
  <c r="G6611" i="16"/>
  <c r="G6612" i="16"/>
  <c r="G6613" i="16"/>
  <c r="G6614" i="16"/>
  <c r="G6615" i="16"/>
  <c r="G6616" i="16"/>
  <c r="G6617" i="16"/>
  <c r="G6618" i="16"/>
  <c r="G6619" i="16"/>
  <c r="G6620" i="16"/>
  <c r="G6621" i="16"/>
  <c r="G6622" i="16"/>
  <c r="G6623" i="16"/>
  <c r="G6624" i="16"/>
  <c r="G6625" i="16"/>
  <c r="G6626" i="16"/>
  <c r="G6627" i="16"/>
  <c r="G6628" i="16"/>
  <c r="G6629" i="16"/>
  <c r="G6630" i="16"/>
  <c r="G6631" i="16"/>
  <c r="G6632" i="16"/>
  <c r="G6633" i="16"/>
  <c r="G6634" i="16"/>
  <c r="G6635" i="16"/>
  <c r="G6636" i="16"/>
  <c r="G6637" i="16"/>
  <c r="G6638" i="16"/>
  <c r="G6639" i="16"/>
  <c r="G6640" i="16"/>
  <c r="G6641" i="16"/>
  <c r="G6642" i="16"/>
  <c r="G6643" i="16"/>
  <c r="G6644" i="16"/>
  <c r="G6645" i="16"/>
  <c r="G6646" i="16"/>
  <c r="G6647" i="16"/>
  <c r="G6648" i="16"/>
  <c r="G6649" i="16"/>
  <c r="G6650" i="16"/>
  <c r="G6651" i="16"/>
  <c r="G6652" i="16"/>
  <c r="G6653" i="16"/>
  <c r="G6654" i="16"/>
  <c r="G6655" i="16"/>
  <c r="G6656" i="16"/>
  <c r="G6657" i="16"/>
  <c r="G6658" i="16"/>
  <c r="G6659" i="16"/>
  <c r="G6660" i="16"/>
  <c r="G6661" i="16"/>
  <c r="G6662" i="16"/>
  <c r="G6663" i="16"/>
  <c r="G6664" i="16"/>
  <c r="G6665" i="16"/>
  <c r="G6666" i="16"/>
  <c r="G6667" i="16"/>
  <c r="G6668" i="16"/>
  <c r="G6669" i="16"/>
  <c r="G6670" i="16"/>
  <c r="G6671" i="16"/>
  <c r="G6672" i="16"/>
  <c r="G6673" i="16"/>
  <c r="G6674" i="16"/>
  <c r="G6675" i="16"/>
  <c r="G6676" i="16"/>
  <c r="G6677" i="16"/>
  <c r="G6678" i="16"/>
  <c r="G6679" i="16"/>
  <c r="G6680" i="16"/>
  <c r="G6681" i="16"/>
  <c r="G6682" i="16"/>
  <c r="G6683" i="16"/>
  <c r="G6684" i="16"/>
  <c r="G6685" i="16"/>
  <c r="G6686" i="16"/>
  <c r="G6687" i="16"/>
  <c r="G6688" i="16"/>
  <c r="G6689" i="16"/>
  <c r="G6690" i="16"/>
  <c r="G6691" i="16"/>
  <c r="G6692" i="16"/>
  <c r="G6693" i="16"/>
  <c r="G6694" i="16"/>
  <c r="G6695" i="16"/>
  <c r="G6696" i="16"/>
  <c r="G6697" i="16"/>
  <c r="G6698" i="16"/>
  <c r="G6699" i="16"/>
  <c r="G6700" i="16"/>
  <c r="G6701" i="16"/>
  <c r="G6702" i="16"/>
  <c r="G6703" i="16"/>
  <c r="G6704" i="16"/>
  <c r="G6705" i="16"/>
  <c r="G6706" i="16"/>
  <c r="G6707" i="16"/>
  <c r="G6708" i="16"/>
  <c r="G6709" i="16"/>
  <c r="G6710" i="16"/>
  <c r="G6711" i="16"/>
  <c r="G6712" i="16"/>
  <c r="G6713" i="16"/>
  <c r="G6714" i="16"/>
  <c r="G6715" i="16"/>
  <c r="G6716" i="16"/>
  <c r="G6717" i="16"/>
  <c r="G6718" i="16"/>
  <c r="G6719" i="16"/>
  <c r="G6720" i="16"/>
  <c r="G6721" i="16"/>
  <c r="G6722" i="16"/>
  <c r="G6723" i="16"/>
  <c r="G6724" i="16"/>
  <c r="G6725" i="16"/>
  <c r="G6726" i="16"/>
  <c r="G6727" i="16"/>
  <c r="G6728" i="16"/>
  <c r="G6729" i="16"/>
  <c r="G6730" i="16"/>
  <c r="G6731" i="16"/>
  <c r="G6732" i="16"/>
  <c r="G6733" i="16"/>
  <c r="G6734" i="16"/>
  <c r="G6735" i="16"/>
  <c r="G6736" i="16"/>
  <c r="G6737" i="16"/>
  <c r="G6738" i="16"/>
  <c r="G6739" i="16"/>
  <c r="G6740" i="16"/>
  <c r="G6741" i="16"/>
  <c r="G6742" i="16"/>
  <c r="G6743" i="16"/>
  <c r="G6744" i="16"/>
  <c r="G6745" i="16"/>
  <c r="G6746" i="16"/>
  <c r="G6747" i="16"/>
  <c r="G6748" i="16"/>
  <c r="G6749" i="16"/>
  <c r="G6750" i="16"/>
  <c r="G6751" i="16"/>
  <c r="G6752" i="16"/>
  <c r="G6753" i="16"/>
  <c r="G6754" i="16"/>
  <c r="G6755" i="16"/>
  <c r="G6756" i="16"/>
  <c r="G6757" i="16"/>
  <c r="G6758" i="16"/>
  <c r="G6759" i="16"/>
  <c r="G6760" i="16"/>
  <c r="G6761" i="16"/>
  <c r="G6762" i="16"/>
  <c r="G6763" i="16"/>
  <c r="G6764" i="16"/>
  <c r="G6765" i="16"/>
  <c r="G6766" i="16"/>
  <c r="G6767" i="16"/>
  <c r="G6768" i="16"/>
  <c r="G6769" i="16"/>
  <c r="G6770" i="16"/>
  <c r="G6771" i="16"/>
  <c r="G6772" i="16"/>
  <c r="G6773" i="16"/>
  <c r="G6774" i="16"/>
  <c r="G6775" i="16"/>
  <c r="G6776" i="16"/>
  <c r="G6777" i="16"/>
  <c r="G6778" i="16"/>
  <c r="G6779" i="16"/>
  <c r="G6780" i="16"/>
  <c r="G6781" i="16"/>
  <c r="G6782" i="16"/>
  <c r="G6783" i="16"/>
  <c r="G6784" i="16"/>
  <c r="G6785" i="16"/>
  <c r="G6786" i="16"/>
  <c r="G6787" i="16"/>
  <c r="G6788" i="16"/>
  <c r="G6789" i="16"/>
  <c r="G6790" i="16"/>
  <c r="G6791" i="16"/>
  <c r="G6792" i="16"/>
  <c r="G6793" i="16"/>
  <c r="G6794" i="16"/>
  <c r="G6795" i="16"/>
  <c r="G6796" i="16"/>
  <c r="G6797" i="16"/>
  <c r="G6798" i="16"/>
  <c r="G6799" i="16"/>
  <c r="G6800" i="16"/>
  <c r="G6801" i="16"/>
  <c r="G6802" i="16"/>
  <c r="G6803" i="16"/>
  <c r="G6804" i="16"/>
  <c r="G6805" i="16"/>
  <c r="G6806" i="16"/>
  <c r="G6807" i="16"/>
  <c r="G6808" i="16"/>
  <c r="G6809" i="16"/>
  <c r="G6810" i="16"/>
  <c r="G6811" i="16"/>
  <c r="G6812" i="16"/>
  <c r="G6813" i="16"/>
  <c r="G6814" i="16"/>
  <c r="G6815" i="16"/>
  <c r="G6816" i="16"/>
  <c r="G6817" i="16"/>
  <c r="G6818" i="16"/>
  <c r="G6819" i="16"/>
  <c r="G6820" i="16"/>
  <c r="G6821" i="16"/>
  <c r="G6822" i="16"/>
  <c r="G6823" i="16"/>
  <c r="G6824" i="16"/>
  <c r="G6825" i="16"/>
  <c r="G6826" i="16"/>
  <c r="G6827" i="16"/>
  <c r="G6828" i="16"/>
  <c r="G6829" i="16"/>
  <c r="G6830" i="16"/>
  <c r="G6831" i="16"/>
  <c r="G6832" i="16"/>
  <c r="G6833" i="16"/>
  <c r="G6834" i="16"/>
  <c r="G6835" i="16"/>
  <c r="G6836" i="16"/>
  <c r="G6837" i="16"/>
  <c r="G6838" i="16"/>
  <c r="G6839" i="16"/>
  <c r="G6840" i="16"/>
  <c r="G6841" i="16"/>
  <c r="G6842" i="16"/>
  <c r="G6843" i="16"/>
  <c r="G6844" i="16"/>
  <c r="G6845" i="16"/>
  <c r="G6846" i="16"/>
  <c r="G6847" i="16"/>
  <c r="G6848" i="16"/>
  <c r="G6849" i="16"/>
  <c r="G6850" i="16"/>
  <c r="G6851" i="16"/>
  <c r="G6852" i="16"/>
  <c r="G6853" i="16"/>
  <c r="G6854" i="16"/>
  <c r="G6855" i="16"/>
  <c r="G6856" i="16"/>
  <c r="G6857" i="16"/>
  <c r="G6858" i="16"/>
  <c r="G6859" i="16"/>
  <c r="G6860" i="16"/>
  <c r="G6861" i="16"/>
  <c r="G6862" i="16"/>
  <c r="G6863" i="16"/>
  <c r="G6864" i="16"/>
  <c r="G6865" i="16"/>
  <c r="G6866" i="16"/>
  <c r="G6867" i="16"/>
  <c r="G6868" i="16"/>
  <c r="G6869" i="16"/>
  <c r="G6870" i="16"/>
  <c r="G6871" i="16"/>
  <c r="G6872" i="16"/>
  <c r="G6873" i="16"/>
  <c r="G6874" i="16"/>
  <c r="G6875" i="16"/>
  <c r="G6876" i="16"/>
  <c r="G6877" i="16"/>
  <c r="G6878" i="16"/>
  <c r="G6879" i="16"/>
  <c r="G6880" i="16"/>
  <c r="G6881" i="16"/>
  <c r="G6882" i="16"/>
  <c r="G6883" i="16"/>
  <c r="G6884" i="16"/>
  <c r="G6885" i="16"/>
  <c r="G6886" i="16"/>
  <c r="G6887" i="16"/>
  <c r="G6888" i="16"/>
  <c r="G6889" i="16"/>
  <c r="G6890" i="16"/>
  <c r="G6891" i="16"/>
  <c r="G6892" i="16"/>
  <c r="G6893" i="16"/>
  <c r="G6894" i="16"/>
  <c r="G6895" i="16"/>
  <c r="G6896" i="16"/>
  <c r="G6897" i="16"/>
  <c r="G6898" i="16"/>
  <c r="G6899" i="16"/>
  <c r="G6900" i="16"/>
  <c r="G6901" i="16"/>
  <c r="G6902" i="16"/>
  <c r="G6903" i="16"/>
  <c r="G6904" i="16"/>
  <c r="G6905" i="16"/>
  <c r="H6905" i="16" s="1"/>
  <c r="G6906" i="16"/>
  <c r="H1542" i="16"/>
  <c r="H1919" i="16"/>
  <c r="H2214" i="16"/>
  <c r="H3302" i="16"/>
  <c r="H3610" i="16"/>
  <c r="H3694" i="16"/>
  <c r="H3920" i="16"/>
  <c r="H4059" i="16"/>
  <c r="H4126" i="16"/>
  <c r="H4277" i="16"/>
  <c r="H4378" i="16"/>
  <c r="H4394" i="16"/>
  <c r="H4546" i="16"/>
  <c r="H4629" i="16"/>
  <c r="H4653" i="16"/>
  <c r="H4717" i="16"/>
  <c r="H4779" i="16"/>
  <c r="H4802" i="16"/>
  <c r="H4844" i="16"/>
  <c r="H4868" i="16"/>
  <c r="H4869" i="16"/>
  <c r="H4902" i="16"/>
  <c r="H4925" i="16"/>
  <c r="H4932" i="16"/>
  <c r="H4958" i="16"/>
  <c r="H4980" i="16"/>
  <c r="H4994" i="16"/>
  <c r="H5022" i="16"/>
  <c r="H5043" i="16"/>
  <c r="H5048" i="16"/>
  <c r="H5082" i="16"/>
  <c r="H5104" i="16"/>
  <c r="H5110" i="16"/>
  <c r="H5136" i="16"/>
  <c r="H5160" i="16"/>
  <c r="H5168" i="16"/>
  <c r="H5202" i="16"/>
  <c r="H5223" i="16"/>
  <c r="H5224" i="16"/>
  <c r="H5260" i="16"/>
  <c r="H5280" i="16"/>
  <c r="H5291" i="16"/>
  <c r="H5315" i="16"/>
  <c r="H5335" i="16"/>
  <c r="H5346" i="16"/>
  <c r="H5371" i="16"/>
  <c r="H5390" i="16"/>
  <c r="H5391" i="16"/>
  <c r="H5419" i="16"/>
  <c r="H5438" i="16"/>
  <c r="H5445" i="16"/>
  <c r="H5466" i="16"/>
  <c r="H5485" i="16"/>
  <c r="H5494" i="16"/>
  <c r="H5517" i="16"/>
  <c r="H5528" i="16"/>
  <c r="H5531" i="16"/>
  <c r="H5547" i="16"/>
  <c r="H5557" i="16"/>
  <c r="H5558" i="16"/>
  <c r="H5574" i="16"/>
  <c r="H5586" i="16"/>
  <c r="H5591" i="16"/>
  <c r="H5606" i="16"/>
  <c r="H5615" i="16"/>
  <c r="H5621" i="16"/>
  <c r="H5634" i="16"/>
  <c r="H5647" i="16"/>
  <c r="H5648" i="16"/>
  <c r="H5667" i="16"/>
  <c r="H5677" i="16"/>
  <c r="H5680" i="16"/>
  <c r="H5695" i="16"/>
  <c r="H5704" i="16"/>
  <c r="H5709" i="16"/>
  <c r="H5725" i="16"/>
  <c r="H5736" i="16"/>
  <c r="H5740" i="16"/>
  <c r="H5754" i="16"/>
  <c r="H5764" i="16"/>
  <c r="H5768" i="16"/>
  <c r="H5781" i="16"/>
  <c r="H5791" i="16"/>
  <c r="H5792" i="16"/>
  <c r="H5805" i="16"/>
  <c r="H5813" i="16"/>
  <c r="H5816" i="16"/>
  <c r="H5828" i="16"/>
  <c r="H5835" i="16"/>
  <c r="H5837" i="16"/>
  <c r="H5848" i="16"/>
  <c r="H5858" i="16"/>
  <c r="H5860" i="16"/>
  <c r="H5869" i="16"/>
  <c r="H5874" i="16"/>
  <c r="H5879" i="16"/>
  <c r="H5884" i="16"/>
  <c r="H5891" i="16"/>
  <c r="H5892" i="16"/>
  <c r="H5900" i="16"/>
  <c r="H5906" i="16"/>
  <c r="H5907" i="16"/>
  <c r="H5915" i="16"/>
  <c r="H5920" i="16"/>
  <c r="H5921" i="16"/>
  <c r="H5929" i="16"/>
  <c r="H5935" i="16"/>
  <c r="H5937" i="16"/>
  <c r="H5944" i="16"/>
  <c r="H5948" i="16"/>
  <c r="H5952" i="16"/>
  <c r="H5957" i="16"/>
  <c r="H5964" i="16"/>
  <c r="H5965" i="16"/>
  <c r="H5973" i="16"/>
  <c r="H5979" i="16"/>
  <c r="H5980" i="16"/>
  <c r="H5988" i="16"/>
  <c r="H5993" i="16"/>
  <c r="H5994" i="16"/>
  <c r="H6002" i="16"/>
  <c r="H6008" i="16"/>
  <c r="H6010" i="16"/>
  <c r="H6017" i="16"/>
  <c r="H6021" i="16"/>
  <c r="H6025" i="16"/>
  <c r="H6031" i="16"/>
  <c r="H6035" i="16"/>
  <c r="H6037" i="16"/>
  <c r="H6043" i="16"/>
  <c r="H6048" i="16"/>
  <c r="H6049" i="16"/>
  <c r="H6056" i="16"/>
  <c r="H6059" i="16"/>
  <c r="H6061" i="16"/>
  <c r="H6067" i="16"/>
  <c r="H6072" i="16"/>
  <c r="H6074" i="16"/>
  <c r="H6080" i="16"/>
  <c r="H6084" i="16"/>
  <c r="H6085" i="16"/>
  <c r="H6092" i="16"/>
  <c r="H6096" i="16"/>
  <c r="H6098" i="16"/>
  <c r="H6104" i="16"/>
  <c r="H6108" i="16"/>
  <c r="H6111" i="16"/>
  <c r="H6116" i="16"/>
  <c r="H6121" i="16"/>
  <c r="H6122" i="16"/>
  <c r="H6129" i="16"/>
  <c r="H6132" i="16"/>
  <c r="H6135" i="16"/>
  <c r="H6140" i="16"/>
  <c r="H6145" i="16"/>
  <c r="H6147" i="16"/>
  <c r="H6153" i="16"/>
  <c r="H6157" i="16"/>
  <c r="H6159" i="16"/>
  <c r="H6165" i="16"/>
  <c r="H6169" i="16"/>
  <c r="H6171" i="16"/>
  <c r="H6177" i="16"/>
  <c r="H6181" i="16"/>
  <c r="H6184" i="16"/>
  <c r="H6189" i="16"/>
  <c r="H6194" i="16"/>
  <c r="H6195" i="16"/>
  <c r="H6202" i="16"/>
  <c r="H6205" i="16"/>
  <c r="H6208" i="16"/>
  <c r="H6213" i="16"/>
  <c r="H6218" i="16"/>
  <c r="H6220" i="16"/>
  <c r="H6226" i="16"/>
  <c r="H6231" i="16"/>
  <c r="H6232" i="16"/>
  <c r="H6239" i="16"/>
  <c r="H6242" i="16"/>
  <c r="H6244" i="16"/>
  <c r="H6250" i="16"/>
  <c r="H6255" i="16"/>
  <c r="H6257" i="16"/>
  <c r="H6263" i="16"/>
  <c r="H6267" i="16"/>
  <c r="H6268" i="16"/>
  <c r="H6275" i="16"/>
  <c r="H6279" i="16"/>
  <c r="H6281" i="16"/>
  <c r="H6287" i="16"/>
  <c r="H6291" i="16"/>
  <c r="H6293" i="16"/>
  <c r="H6299" i="16"/>
  <c r="H6304" i="16"/>
  <c r="H6305" i="16"/>
  <c r="H6312" i="16"/>
  <c r="H6315" i="16"/>
  <c r="H6317" i="16"/>
  <c r="H6323" i="16"/>
  <c r="H6328" i="16"/>
  <c r="H6330" i="16"/>
  <c r="H6336" i="16"/>
  <c r="H6340" i="16"/>
  <c r="H6341" i="16"/>
  <c r="H6348" i="16"/>
  <c r="H6352" i="16"/>
  <c r="H6354" i="16"/>
  <c r="H6360" i="16"/>
  <c r="H6364" i="16"/>
  <c r="H6367" i="16"/>
  <c r="H6372" i="16"/>
  <c r="H6377" i="16"/>
  <c r="H6378" i="16"/>
  <c r="H6385" i="16"/>
  <c r="H6388" i="16"/>
  <c r="H6391" i="16"/>
  <c r="H6395" i="16"/>
  <c r="H6399" i="16"/>
  <c r="H6400" i="16"/>
  <c r="H6404" i="16"/>
  <c r="H6408" i="16"/>
  <c r="H6409" i="16"/>
  <c r="H6413" i="16"/>
  <c r="H6417" i="16"/>
  <c r="H6418" i="16"/>
  <c r="H6423" i="16"/>
  <c r="H6426" i="16"/>
  <c r="H6427" i="16"/>
  <c r="H6432" i="16"/>
  <c r="H6435" i="16"/>
  <c r="H6436" i="16"/>
  <c r="H6441" i="16"/>
  <c r="H6444" i="16"/>
  <c r="H6445" i="16"/>
  <c r="H6450" i="16"/>
  <c r="H6453" i="16"/>
  <c r="H6455" i="16"/>
  <c r="H6459" i="16"/>
  <c r="H6463" i="16"/>
  <c r="H6464" i="16"/>
  <c r="H6468" i="16"/>
  <c r="H6472" i="16"/>
  <c r="H6473" i="16"/>
  <c r="H6477" i="16"/>
  <c r="H6481" i="16"/>
  <c r="H6482" i="16"/>
  <c r="H6487" i="16"/>
  <c r="H6490" i="16"/>
  <c r="H6491" i="16"/>
  <c r="H6496" i="16"/>
  <c r="H6499" i="16"/>
  <c r="H6500" i="16"/>
  <c r="H6504" i="16"/>
  <c r="H6507" i="16"/>
  <c r="H6508" i="16"/>
  <c r="H6512" i="16"/>
  <c r="H6515" i="16"/>
  <c r="H6516" i="16"/>
  <c r="H6520" i="16"/>
  <c r="H6523" i="16"/>
  <c r="H6524" i="16"/>
  <c r="H6528" i="16"/>
  <c r="H6531" i="16"/>
  <c r="H6532" i="16"/>
  <c r="H6536" i="16"/>
  <c r="H6539" i="16"/>
  <c r="H6540" i="16"/>
  <c r="H6544" i="16"/>
  <c r="H6547" i="16"/>
  <c r="H6548" i="16"/>
  <c r="H6552" i="16"/>
  <c r="H6555" i="16"/>
  <c r="H6556" i="16"/>
  <c r="H6560" i="16"/>
  <c r="H6563" i="16"/>
  <c r="H6564" i="16"/>
  <c r="H6568" i="16"/>
  <c r="H6571" i="16"/>
  <c r="H6572" i="16"/>
  <c r="H6576" i="16"/>
  <c r="H6579" i="16"/>
  <c r="H6580" i="16"/>
  <c r="H6584" i="16"/>
  <c r="H6587" i="16"/>
  <c r="H6588" i="16"/>
  <c r="H6592" i="16"/>
  <c r="H6595" i="16"/>
  <c r="H6596" i="16"/>
  <c r="H6600" i="16"/>
  <c r="H6603" i="16"/>
  <c r="H6604" i="16"/>
  <c r="H6608" i="16"/>
  <c r="H6611" i="16"/>
  <c r="H6612" i="16"/>
  <c r="H6616" i="16"/>
  <c r="H6619" i="16"/>
  <c r="H6620" i="16"/>
  <c r="H6624" i="16"/>
  <c r="H6627" i="16"/>
  <c r="H6628" i="16"/>
  <c r="H6632" i="16"/>
  <c r="H6635" i="16"/>
  <c r="H6636" i="16"/>
  <c r="H6640" i="16"/>
  <c r="H6643" i="16"/>
  <c r="H6644" i="16"/>
  <c r="H6648" i="16"/>
  <c r="H6651" i="16"/>
  <c r="H6652" i="16"/>
  <c r="H6656" i="16"/>
  <c r="H6659" i="16"/>
  <c r="H6660" i="16"/>
  <c r="H6664" i="16"/>
  <c r="H6667" i="16"/>
  <c r="H6668" i="16"/>
  <c r="H6672" i="16"/>
  <c r="H6675" i="16"/>
  <c r="H6676" i="16"/>
  <c r="H6680" i="16"/>
  <c r="H6683" i="16"/>
  <c r="H6684" i="16"/>
  <c r="H6688" i="16"/>
  <c r="H6691" i="16"/>
  <c r="H6692" i="16"/>
  <c r="H6696" i="16"/>
  <c r="H6699" i="16"/>
  <c r="H6700" i="16"/>
  <c r="H6704" i="16"/>
  <c r="H6707" i="16"/>
  <c r="H6708" i="16"/>
  <c r="H6712" i="16"/>
  <c r="H6715" i="16"/>
  <c r="H6716" i="16"/>
  <c r="H6720" i="16"/>
  <c r="H6723" i="16"/>
  <c r="H6724" i="16"/>
  <c r="H6728" i="16"/>
  <c r="H6731" i="16"/>
  <c r="H6732" i="16"/>
  <c r="H6735" i="16"/>
  <c r="H6736" i="16"/>
  <c r="H6739" i="16"/>
  <c r="H6740" i="16"/>
  <c r="H6743" i="16"/>
  <c r="H6744" i="16"/>
  <c r="H6747" i="16"/>
  <c r="H6748" i="16"/>
  <c r="H6752" i="16"/>
  <c r="H6755" i="16"/>
  <c r="H6756" i="16"/>
  <c r="H6760" i="16"/>
  <c r="H6761" i="16"/>
  <c r="H6763" i="16"/>
  <c r="H6764" i="16"/>
  <c r="H6768" i="16"/>
  <c r="H6769" i="16"/>
  <c r="H6771" i="16"/>
  <c r="H6772" i="16"/>
  <c r="H6776" i="16"/>
  <c r="H6777" i="16"/>
  <c r="H6779" i="16"/>
  <c r="H6780" i="16"/>
  <c r="H6783" i="16"/>
  <c r="H6784" i="16"/>
  <c r="H6785" i="16"/>
  <c r="H6787" i="16"/>
  <c r="H6788" i="16"/>
  <c r="H6791" i="16"/>
  <c r="H6792" i="16"/>
  <c r="H6793" i="16"/>
  <c r="H6795" i="16"/>
  <c r="H6796" i="16"/>
  <c r="H6799" i="16"/>
  <c r="H6800" i="16"/>
  <c r="H6801" i="16"/>
  <c r="H6803" i="16"/>
  <c r="H6804" i="16"/>
  <c r="H6807" i="16"/>
  <c r="H6808" i="16"/>
  <c r="H6809" i="16"/>
  <c r="H6811" i="16"/>
  <c r="H6812" i="16"/>
  <c r="H6815" i="16"/>
  <c r="H6816" i="16"/>
  <c r="H6817" i="16"/>
  <c r="H6819" i="16"/>
  <c r="H6820" i="16"/>
  <c r="H6823" i="16"/>
  <c r="H6824" i="16"/>
  <c r="H6825" i="16"/>
  <c r="H6827" i="16"/>
  <c r="H6828" i="16"/>
  <c r="H6831" i="16"/>
  <c r="H6832" i="16"/>
  <c r="H6833" i="16"/>
  <c r="H6835" i="16"/>
  <c r="H6836" i="16"/>
  <c r="H6839" i="16"/>
  <c r="H6840" i="16"/>
  <c r="H6841" i="16"/>
  <c r="H6843" i="16"/>
  <c r="H6844" i="16"/>
  <c r="H6847" i="16"/>
  <c r="H6848" i="16"/>
  <c r="H6849" i="16"/>
  <c r="H6851" i="16"/>
  <c r="H6852" i="16"/>
  <c r="H6855" i="16"/>
  <c r="H6856" i="16"/>
  <c r="H6857" i="16"/>
  <c r="H6859" i="16"/>
  <c r="H6860" i="16"/>
  <c r="H6863" i="16"/>
  <c r="H6864" i="16"/>
  <c r="H6865" i="16"/>
  <c r="H6867" i="16"/>
  <c r="H6868" i="16"/>
  <c r="H6871" i="16"/>
  <c r="H6872" i="16"/>
  <c r="H6873" i="16"/>
  <c r="H6875" i="16"/>
  <c r="H6876" i="16"/>
  <c r="H6879" i="16"/>
  <c r="H6880" i="16"/>
  <c r="H6881" i="16"/>
  <c r="H6883" i="16"/>
  <c r="H6884" i="16"/>
  <c r="H6887" i="16"/>
  <c r="H6888" i="16"/>
  <c r="H6889" i="16"/>
  <c r="H6891" i="16"/>
  <c r="H6892" i="16"/>
  <c r="H6895" i="16"/>
  <c r="H6896" i="16"/>
  <c r="H6897" i="16"/>
  <c r="H6899" i="16"/>
  <c r="H6900" i="16"/>
  <c r="H6903" i="16"/>
  <c r="H6904" i="16"/>
  <c r="H6906" i="16"/>
  <c r="F22" i="20" l="1"/>
  <c r="E21" i="20"/>
  <c r="F15" i="20"/>
  <c r="F14" i="20" s="1"/>
  <c r="H6775" i="16"/>
  <c r="H6767" i="16"/>
  <c r="H6759" i="16"/>
  <c r="H6751" i="16"/>
  <c r="H6727" i="16"/>
  <c r="H6719" i="16"/>
  <c r="H6711" i="16"/>
  <c r="H6703" i="16"/>
  <c r="H6695" i="16"/>
  <c r="H6687" i="16"/>
  <c r="H6679" i="16"/>
  <c r="H6671" i="16"/>
  <c r="H6663" i="16"/>
  <c r="H6655" i="16"/>
  <c r="H6647" i="16"/>
  <c r="H6639" i="16"/>
  <c r="H6631" i="16"/>
  <c r="H6623" i="16"/>
  <c r="H6615" i="16"/>
  <c r="H6607" i="16"/>
  <c r="H6599" i="16"/>
  <c r="H6591" i="16"/>
  <c r="H6583" i="16"/>
  <c r="H6575" i="16"/>
  <c r="H6567" i="16"/>
  <c r="H6559" i="16"/>
  <c r="H6551" i="16"/>
  <c r="H6543" i="16"/>
  <c r="H6535" i="16"/>
  <c r="H6527" i="16"/>
  <c r="H6519" i="16"/>
  <c r="H6511" i="16"/>
  <c r="H6503" i="16"/>
  <c r="H6495" i="16"/>
  <c r="H6485" i="16"/>
  <c r="H6476" i="16"/>
  <c r="H6467" i="16"/>
  <c r="H6458" i="16"/>
  <c r="H6449" i="16"/>
  <c r="H6440" i="16"/>
  <c r="H6431" i="16"/>
  <c r="H6421" i="16"/>
  <c r="H6412" i="16"/>
  <c r="H6403" i="16"/>
  <c r="H6394" i="16"/>
  <c r="H6383" i="16"/>
  <c r="H6370" i="16"/>
  <c r="H6359" i="16"/>
  <c r="H6346" i="16"/>
  <c r="H6333" i="16"/>
  <c r="H6322" i="16"/>
  <c r="H6309" i="16"/>
  <c r="H6297" i="16"/>
  <c r="H6285" i="16"/>
  <c r="H6273" i="16"/>
  <c r="H6260" i="16"/>
  <c r="H6249" i="16"/>
  <c r="H6236" i="16"/>
  <c r="H6224" i="16"/>
  <c r="H6212" i="16"/>
  <c r="H6200" i="16"/>
  <c r="H6187" i="16"/>
  <c r="H6176" i="16"/>
  <c r="H6163" i="16"/>
  <c r="H6151" i="16"/>
  <c r="H6139" i="16"/>
  <c r="H6127" i="16"/>
  <c r="H6114" i="16"/>
  <c r="H6103" i="16"/>
  <c r="H6090" i="16"/>
  <c r="H6077" i="16"/>
  <c r="H6066" i="16"/>
  <c r="H6053" i="16"/>
  <c r="H6041" i="16"/>
  <c r="H6029" i="16"/>
  <c r="H6016" i="16"/>
  <c r="H6001" i="16"/>
  <c r="H5985" i="16"/>
  <c r="H5971" i="16"/>
  <c r="H5956" i="16"/>
  <c r="H5943" i="16"/>
  <c r="H5928" i="16"/>
  <c r="H5912" i="16"/>
  <c r="H5898" i="16"/>
  <c r="H5883" i="16"/>
  <c r="H5868" i="16"/>
  <c r="H5847" i="16"/>
  <c r="H5822" i="16"/>
  <c r="H5802" i="16"/>
  <c r="H5780" i="16"/>
  <c r="H5752" i="16"/>
  <c r="H5722" i="16"/>
  <c r="H5690" i="16"/>
  <c r="H5662" i="16"/>
  <c r="H5630" i="16"/>
  <c r="H5602" i="16"/>
  <c r="H5573" i="16"/>
  <c r="H5542" i="16"/>
  <c r="H5512" i="16"/>
  <c r="H5463" i="16"/>
  <c r="H5411" i="16"/>
  <c r="H5364" i="16"/>
  <c r="H5314" i="16"/>
  <c r="H5250" i="16"/>
  <c r="H5192" i="16"/>
  <c r="H5134" i="16"/>
  <c r="H5069" i="16"/>
  <c r="H5014" i="16"/>
  <c r="H4957" i="16"/>
  <c r="H4890" i="16"/>
  <c r="H4834" i="16"/>
  <c r="H4716" i="16"/>
  <c r="H4487" i="16"/>
  <c r="H4234" i="16"/>
  <c r="H3892" i="16"/>
  <c r="H3171" i="16"/>
  <c r="H6902" i="16"/>
  <c r="H6894" i="16"/>
  <c r="H6886" i="16"/>
  <c r="H6878" i="16"/>
  <c r="H6870" i="16"/>
  <c r="H6862" i="16"/>
  <c r="H6854" i="16"/>
  <c r="H6846" i="16"/>
  <c r="H6838" i="16"/>
  <c r="H6830" i="16"/>
  <c r="H6822" i="16"/>
  <c r="H6814" i="16"/>
  <c r="H6806" i="16"/>
  <c r="H6798" i="16"/>
  <c r="H6790" i="16"/>
  <c r="H6782" i="16"/>
  <c r="H6774" i="16"/>
  <c r="H6766" i="16"/>
  <c r="H6758" i="16"/>
  <c r="H6750" i="16"/>
  <c r="H6742" i="16"/>
  <c r="H6734" i="16"/>
  <c r="H6726" i="16"/>
  <c r="H6718" i="16"/>
  <c r="H6710" i="16"/>
  <c r="H6702" i="16"/>
  <c r="H6694" i="16"/>
  <c r="H6686" i="16"/>
  <c r="H6678" i="16"/>
  <c r="H6670" i="16"/>
  <c r="H6662" i="16"/>
  <c r="H6654" i="16"/>
  <c r="H6646" i="16"/>
  <c r="H6638" i="16"/>
  <c r="H6630" i="16"/>
  <c r="H6622" i="16"/>
  <c r="H6614" i="16"/>
  <c r="H6606" i="16"/>
  <c r="H6598" i="16"/>
  <c r="H6590" i="16"/>
  <c r="H6582" i="16"/>
  <c r="H6574" i="16"/>
  <c r="H6566" i="16"/>
  <c r="H6558" i="16"/>
  <c r="H6550" i="16"/>
  <c r="H6542" i="16"/>
  <c r="H6534" i="16"/>
  <c r="H6526" i="16"/>
  <c r="H6518" i="16"/>
  <c r="H6510" i="16"/>
  <c r="H6502" i="16"/>
  <c r="H6493" i="16"/>
  <c r="H6484" i="16"/>
  <c r="H6475" i="16"/>
  <c r="H6466" i="16"/>
  <c r="H6457" i="16"/>
  <c r="H6448" i="16"/>
  <c r="H6439" i="16"/>
  <c r="H6429" i="16"/>
  <c r="H6420" i="16"/>
  <c r="H6411" i="16"/>
  <c r="H6402" i="16"/>
  <c r="H6393" i="16"/>
  <c r="H6381" i="16"/>
  <c r="H6369" i="16"/>
  <c r="H6357" i="16"/>
  <c r="H6345" i="16"/>
  <c r="H6332" i="16"/>
  <c r="H6321" i="16"/>
  <c r="H6308" i="16"/>
  <c r="H6296" i="16"/>
  <c r="H6284" i="16"/>
  <c r="H6272" i="16"/>
  <c r="H6259" i="16"/>
  <c r="H6248" i="16"/>
  <c r="H6235" i="16"/>
  <c r="H6223" i="16"/>
  <c r="H6211" i="16"/>
  <c r="H6199" i="16"/>
  <c r="H6186" i="16"/>
  <c r="H6175" i="16"/>
  <c r="H6162" i="16"/>
  <c r="H6149" i="16"/>
  <c r="H6138" i="16"/>
  <c r="H6125" i="16"/>
  <c r="H6113" i="16"/>
  <c r="H6101" i="16"/>
  <c r="H6089" i="16"/>
  <c r="H6076" i="16"/>
  <c r="H6065" i="16"/>
  <c r="H6052" i="16"/>
  <c r="H6040" i="16"/>
  <c r="H6028" i="16"/>
  <c r="H6012" i="16"/>
  <c r="H5999" i="16"/>
  <c r="H5984" i="16"/>
  <c r="H5970" i="16"/>
  <c r="H5955" i="16"/>
  <c r="H5939" i="16"/>
  <c r="H5925" i="16"/>
  <c r="H5911" i="16"/>
  <c r="H5897" i="16"/>
  <c r="H5882" i="16"/>
  <c r="H5863" i="16"/>
  <c r="H5844" i="16"/>
  <c r="H5821" i="16"/>
  <c r="H5800" i="16"/>
  <c r="H5778" i="16"/>
  <c r="H5746" i="16"/>
  <c r="H5717" i="16"/>
  <c r="H5685" i="16"/>
  <c r="H5658" i="16"/>
  <c r="H5628" i="16"/>
  <c r="H5597" i="16"/>
  <c r="H5570" i="16"/>
  <c r="H5538" i="16"/>
  <c r="H5502" i="16"/>
  <c r="H5458" i="16"/>
  <c r="H5407" i="16"/>
  <c r="H5355" i="16"/>
  <c r="H5304" i="16"/>
  <c r="H5245" i="16"/>
  <c r="H5181" i="16"/>
  <c r="H5125" i="16"/>
  <c r="H5068" i="16"/>
  <c r="H5000" i="16"/>
  <c r="H4946" i="16"/>
  <c r="H4888" i="16"/>
  <c r="H4821" i="16"/>
  <c r="H4695" i="16"/>
  <c r="H4486" i="16"/>
  <c r="H4171" i="16"/>
  <c r="H3822" i="16"/>
  <c r="H3119" i="16"/>
  <c r="H6901" i="16"/>
  <c r="H6893" i="16"/>
  <c r="H6885" i="16"/>
  <c r="H6877" i="16"/>
  <c r="H6869" i="16"/>
  <c r="H6861" i="16"/>
  <c r="H6853" i="16"/>
  <c r="H6845" i="16"/>
  <c r="H6837" i="16"/>
  <c r="H6829" i="16"/>
  <c r="H6821" i="16"/>
  <c r="H6813" i="16"/>
  <c r="H6805" i="16"/>
  <c r="H6797" i="16"/>
  <c r="H6789" i="16"/>
  <c r="H6781" i="16"/>
  <c r="H6773" i="16"/>
  <c r="H6765" i="16"/>
  <c r="H6757" i="16"/>
  <c r="H6749" i="16"/>
  <c r="H6741" i="16"/>
  <c r="H6733" i="16"/>
  <c r="H6725" i="16"/>
  <c r="H6717" i="16"/>
  <c r="H6709" i="16"/>
  <c r="H6701" i="16"/>
  <c r="H6693" i="16"/>
  <c r="H6685" i="16"/>
  <c r="H6677" i="16"/>
  <c r="H6669" i="16"/>
  <c r="H6661" i="16"/>
  <c r="H6653" i="16"/>
  <c r="H6645" i="16"/>
  <c r="H6637" i="16"/>
  <c r="H6629" i="16"/>
  <c r="H6621" i="16"/>
  <c r="H6613" i="16"/>
  <c r="H6605" i="16"/>
  <c r="H6597" i="16"/>
  <c r="H6589" i="16"/>
  <c r="H6581" i="16"/>
  <c r="H6573" i="16"/>
  <c r="H6565" i="16"/>
  <c r="H6557" i="16"/>
  <c r="H6549" i="16"/>
  <c r="H6541" i="16"/>
  <c r="H6533" i="16"/>
  <c r="H6525" i="16"/>
  <c r="H6517" i="16"/>
  <c r="H6509" i="16"/>
  <c r="H6501" i="16"/>
  <c r="H6492" i="16"/>
  <c r="H6483" i="16"/>
  <c r="H6474" i="16"/>
  <c r="H6465" i="16"/>
  <c r="H6456" i="16"/>
  <c r="H6447" i="16"/>
  <c r="H6437" i="16"/>
  <c r="H6428" i="16"/>
  <c r="H6419" i="16"/>
  <c r="H6410" i="16"/>
  <c r="H6401" i="16"/>
  <c r="H6392" i="16"/>
  <c r="H6379" i="16"/>
  <c r="H6368" i="16"/>
  <c r="H6355" i="16"/>
  <c r="H6343" i="16"/>
  <c r="H6331" i="16"/>
  <c r="H6319" i="16"/>
  <c r="H6306" i="16"/>
  <c r="H6295" i="16"/>
  <c r="H6282" i="16"/>
  <c r="H6269" i="16"/>
  <c r="H6258" i="16"/>
  <c r="H6245" i="16"/>
  <c r="H6233" i="16"/>
  <c r="H6221" i="16"/>
  <c r="H6209" i="16"/>
  <c r="H6196" i="16"/>
  <c r="H6185" i="16"/>
  <c r="H6172" i="16"/>
  <c r="H6160" i="16"/>
  <c r="H6148" i="16"/>
  <c r="H6136" i="16"/>
  <c r="H6123" i="16"/>
  <c r="H6112" i="16"/>
  <c r="H6099" i="16"/>
  <c r="H6087" i="16"/>
  <c r="H6075" i="16"/>
  <c r="H6063" i="16"/>
  <c r="H6050" i="16"/>
  <c r="H6039" i="16"/>
  <c r="H6026" i="16"/>
  <c r="H6011" i="16"/>
  <c r="H5997" i="16"/>
  <c r="H5983" i="16"/>
  <c r="H5967" i="16"/>
  <c r="H5953" i="16"/>
  <c r="H5938" i="16"/>
  <c r="H5924" i="16"/>
  <c r="H5909" i="16"/>
  <c r="H5893" i="16"/>
  <c r="H5880" i="16"/>
  <c r="H5862" i="16"/>
  <c r="H5842" i="16"/>
  <c r="H5820" i="16"/>
  <c r="H5795" i="16"/>
  <c r="H5773" i="16"/>
  <c r="H5741" i="16"/>
  <c r="H5714" i="16"/>
  <c r="H5684" i="16"/>
  <c r="H5653" i="16"/>
  <c r="H5626" i="16"/>
  <c r="H5594" i="16"/>
  <c r="H5565" i="16"/>
  <c r="H5536" i="16"/>
  <c r="H5501" i="16"/>
  <c r="H5447" i="16"/>
  <c r="H5402" i="16"/>
  <c r="H5351" i="16"/>
  <c r="H5292" i="16"/>
  <c r="H5236" i="16"/>
  <c r="H5179" i="16"/>
  <c r="H5114" i="16"/>
  <c r="H5058" i="16"/>
  <c r="H4999" i="16"/>
  <c r="H4936" i="16"/>
  <c r="H4880" i="16"/>
  <c r="H4816" i="16"/>
  <c r="H4666" i="16"/>
  <c r="H4448" i="16"/>
  <c r="H4170" i="16"/>
  <c r="H3696" i="16"/>
  <c r="H1469" i="16"/>
  <c r="H1893" i="16"/>
  <c r="H2054" i="16"/>
  <c r="H2191" i="16"/>
  <c r="H2278" i="16"/>
  <c r="H2391" i="16"/>
  <c r="H2476" i="16"/>
  <c r="H2571" i="16"/>
  <c r="H2650" i="16"/>
  <c r="H2712" i="16"/>
  <c r="H2763" i="16"/>
  <c r="H2809" i="16"/>
  <c r="H2845" i="16"/>
  <c r="H2867" i="16"/>
  <c r="H2885" i="16"/>
  <c r="H2904" i="16"/>
  <c r="H2921" i="16"/>
  <c r="H2937" i="16"/>
  <c r="H2954" i="16"/>
  <c r="H2976" i="16"/>
  <c r="H2992" i="16"/>
  <c r="H3009" i="16"/>
  <c r="H3029" i="16"/>
  <c r="H3046" i="16"/>
  <c r="H3064" i="16"/>
  <c r="H3080" i="16"/>
  <c r="H3097" i="16"/>
  <c r="H3112" i="16"/>
  <c r="H3127" i="16"/>
  <c r="H3139" i="16"/>
  <c r="H3153" i="16"/>
  <c r="H3166" i="16"/>
  <c r="H3180" i="16"/>
  <c r="H3194" i="16"/>
  <c r="H3208" i="16"/>
  <c r="H3222" i="16"/>
  <c r="H3235" i="16"/>
  <c r="H3248" i="16"/>
  <c r="H3263" i="16"/>
  <c r="H3275" i="16"/>
  <c r="H3290" i="16"/>
  <c r="H3304" i="16"/>
  <c r="H3318" i="16"/>
  <c r="H3330" i="16"/>
  <c r="H3344" i="16"/>
  <c r="H3358" i="16"/>
  <c r="H3371" i="16"/>
  <c r="H3385" i="16"/>
  <c r="H3400" i="16"/>
  <c r="H3412" i="16"/>
  <c r="H3426" i="16"/>
  <c r="H3440" i="16"/>
  <c r="H3454" i="16"/>
  <c r="H3466" i="16"/>
  <c r="H3482" i="16"/>
  <c r="H3495" i="16"/>
  <c r="H3508" i="16"/>
  <c r="H3520" i="16"/>
  <c r="H3532" i="16"/>
  <c r="H3544" i="16"/>
  <c r="H3555" i="16"/>
  <c r="H3569" i="16"/>
  <c r="H3580" i="16"/>
  <c r="H3592" i="16"/>
  <c r="H3604" i="16"/>
  <c r="H3616" i="16"/>
  <c r="H3627" i="16"/>
  <c r="H3639" i="16"/>
  <c r="H3652" i="16"/>
  <c r="H3664" i="16"/>
  <c r="H3675" i="16"/>
  <c r="H3688" i="16"/>
  <c r="H3699" i="16"/>
  <c r="H3711" i="16"/>
  <c r="H3723" i="16"/>
  <c r="H3736" i="16"/>
  <c r="H3747" i="16"/>
  <c r="H3760" i="16"/>
  <c r="H3771" i="16"/>
  <c r="H3783" i="16"/>
  <c r="H3794" i="16"/>
  <c r="H3807" i="16"/>
  <c r="H3819" i="16"/>
  <c r="H3831" i="16"/>
  <c r="H5175" i="16"/>
  <c r="H5184" i="16"/>
  <c r="H5194" i="16"/>
  <c r="H5203" i="16"/>
  <c r="H5212" i="16"/>
  <c r="H5221" i="16"/>
  <c r="H5230" i="16"/>
  <c r="H5239" i="16"/>
  <c r="H5248" i="16"/>
  <c r="H5258" i="16"/>
  <c r="H5267" i="16"/>
  <c r="H5276" i="16"/>
  <c r="H5285" i="16"/>
  <c r="H5294" i="16"/>
  <c r="H5303" i="16"/>
  <c r="H5312" i="16"/>
  <c r="H5322" i="16"/>
  <c r="H5331" i="16"/>
  <c r="H5340" i="16"/>
  <c r="H5349" i="16"/>
  <c r="H5358" i="16"/>
  <c r="H5367" i="16"/>
  <c r="H5376" i="16"/>
  <c r="H5386" i="16"/>
  <c r="H5395" i="16"/>
  <c r="H5404" i="16"/>
  <c r="H5413" i="16"/>
  <c r="H5422" i="16"/>
  <c r="H5431" i="16"/>
  <c r="H5440" i="16"/>
  <c r="H5450" i="16"/>
  <c r="H5459" i="16"/>
  <c r="H5468" i="16"/>
  <c r="H5477" i="16"/>
  <c r="H5486" i="16"/>
  <c r="H5495" i="16"/>
  <c r="H5504" i="16"/>
  <c r="H5514" i="16"/>
  <c r="H5523" i="16"/>
  <c r="H5532" i="16"/>
  <c r="H5541" i="16"/>
  <c r="H5550" i="16"/>
  <c r="H5559" i="16"/>
  <c r="H5568" i="16"/>
  <c r="H5578" i="16"/>
  <c r="H5587" i="16"/>
  <c r="H5596" i="16"/>
  <c r="H5605" i="16"/>
  <c r="H5614" i="16"/>
  <c r="H5623" i="16"/>
  <c r="H5632" i="16"/>
  <c r="H5642" i="16"/>
  <c r="H5651" i="16"/>
  <c r="H5660" i="16"/>
  <c r="H5669" i="16"/>
  <c r="H5678" i="16"/>
  <c r="H5687" i="16"/>
  <c r="H5696" i="16"/>
  <c r="H5706" i="16"/>
  <c r="H5715" i="16"/>
  <c r="H5724" i="16"/>
  <c r="H5733" i="16"/>
  <c r="H5742" i="16"/>
  <c r="H5751" i="16"/>
  <c r="H5760" i="16"/>
  <c r="H5770" i="16"/>
  <c r="H5779" i="16"/>
  <c r="H5788" i="16"/>
  <c r="H5797" i="16"/>
  <c r="H5806" i="16"/>
  <c r="H5815" i="16"/>
  <c r="H5824" i="16"/>
  <c r="H5834" i="16"/>
  <c r="H5843" i="16"/>
  <c r="H5852" i="16"/>
  <c r="H5861" i="16"/>
  <c r="H5870" i="16"/>
  <c r="H5878" i="16"/>
  <c r="H5886" i="16"/>
  <c r="H5894" i="16"/>
  <c r="H5902" i="16"/>
  <c r="H5910" i="16"/>
  <c r="H5918" i="16"/>
  <c r="H5926" i="16"/>
  <c r="H5934" i="16"/>
  <c r="H5942" i="16"/>
  <c r="H5950" i="16"/>
  <c r="H5958" i="16"/>
  <c r="H5966" i="16"/>
  <c r="H5974" i="16"/>
  <c r="H5982" i="16"/>
  <c r="H5990" i="16"/>
  <c r="H5998" i="16"/>
  <c r="H6006" i="16"/>
  <c r="H6014" i="16"/>
  <c r="H6022" i="16"/>
  <c r="H6030" i="16"/>
  <c r="H6038" i="16"/>
  <c r="H6046" i="16"/>
  <c r="H6054" i="16"/>
  <c r="H6062" i="16"/>
  <c r="H6070" i="16"/>
  <c r="H6078" i="16"/>
  <c r="H6086" i="16"/>
  <c r="H6094" i="16"/>
  <c r="H6102" i="16"/>
  <c r="H6110" i="16"/>
  <c r="H6118" i="16"/>
  <c r="H6126" i="16"/>
  <c r="H6134" i="16"/>
  <c r="H6142" i="16"/>
  <c r="H6150" i="16"/>
  <c r="H6158" i="16"/>
  <c r="H6166" i="16"/>
  <c r="H6174" i="16"/>
  <c r="H6182" i="16"/>
  <c r="H6190" i="16"/>
  <c r="H6198" i="16"/>
  <c r="H6206" i="16"/>
  <c r="H6214" i="16"/>
  <c r="H6222" i="16"/>
  <c r="H6230" i="16"/>
  <c r="H6238" i="16"/>
  <c r="H6246" i="16"/>
  <c r="H6254" i="16"/>
  <c r="H6262" i="16"/>
  <c r="H6270" i="16"/>
  <c r="H6278" i="16"/>
  <c r="H6286" i="16"/>
  <c r="H6294" i="16"/>
  <c r="H6302" i="16"/>
  <c r="H6310" i="16"/>
  <c r="H6318" i="16"/>
  <c r="H6326" i="16"/>
  <c r="H6334" i="16"/>
  <c r="H6342" i="16"/>
  <c r="H6350" i="16"/>
  <c r="H6358" i="16"/>
  <c r="H6366" i="16"/>
  <c r="H6374" i="16"/>
  <c r="H6382" i="16"/>
  <c r="H6390" i="16"/>
  <c r="H6398" i="16"/>
  <c r="H6406" i="16"/>
  <c r="H6414" i="16"/>
  <c r="H6422" i="16"/>
  <c r="H6430" i="16"/>
  <c r="H6438" i="16"/>
  <c r="H6446" i="16"/>
  <c r="H6454" i="16"/>
  <c r="H6462" i="16"/>
  <c r="H6470" i="16"/>
  <c r="H6478" i="16"/>
  <c r="H6486" i="16"/>
  <c r="H6494" i="16"/>
  <c r="H1552" i="16"/>
  <c r="H1981" i="16"/>
  <c r="H2173" i="16"/>
  <c r="H2318" i="16"/>
  <c r="H2422" i="16"/>
  <c r="H2557" i="16"/>
  <c r="H2664" i="16"/>
  <c r="H2736" i="16"/>
  <c r="H2806" i="16"/>
  <c r="H2847" i="16"/>
  <c r="H2875" i="16"/>
  <c r="H2899" i="16"/>
  <c r="H2925" i="16"/>
  <c r="H2946" i="16"/>
  <c r="H2971" i="16"/>
  <c r="H2995" i="16"/>
  <c r="H3018" i="16"/>
  <c r="H3045" i="16"/>
  <c r="H3070" i="16"/>
  <c r="H3088" i="16"/>
  <c r="H3111" i="16"/>
  <c r="H3129" i="16"/>
  <c r="H3147" i="16"/>
  <c r="H3164" i="16"/>
  <c r="H3184" i="16"/>
  <c r="H3201" i="16"/>
  <c r="H3220" i="16"/>
  <c r="H3238" i="16"/>
  <c r="H3256" i="16"/>
  <c r="H3274" i="16"/>
  <c r="H3294" i="16"/>
  <c r="H3310" i="16"/>
  <c r="H3329" i="16"/>
  <c r="H3347" i="16"/>
  <c r="H3364" i="16"/>
  <c r="H3383" i="16"/>
  <c r="H3402" i="16"/>
  <c r="H3419" i="16"/>
  <c r="H3438" i="16"/>
  <c r="H3457" i="16"/>
  <c r="H3474" i="16"/>
  <c r="H3494" i="16"/>
  <c r="H3511" i="16"/>
  <c r="H3527" i="16"/>
  <c r="H3543" i="16"/>
  <c r="H3560" i="16"/>
  <c r="H3574" i="16"/>
  <c r="H3591" i="16"/>
  <c r="H3607" i="16"/>
  <c r="H3623" i="16"/>
  <c r="H3638" i="16"/>
  <c r="H3655" i="16"/>
  <c r="H3670" i="16"/>
  <c r="H3687" i="16"/>
  <c r="H3702" i="16"/>
  <c r="H3718" i="16"/>
  <c r="H3734" i="16"/>
  <c r="H3751" i="16"/>
  <c r="H3764" i="16"/>
  <c r="H3782" i="16"/>
  <c r="H3799" i="16"/>
  <c r="H3812" i="16"/>
  <c r="H3830" i="16"/>
  <c r="H3844" i="16"/>
  <c r="H3857" i="16"/>
  <c r="H3872" i="16"/>
  <c r="H3884" i="16"/>
  <c r="H3898" i="16"/>
  <c r="H3913" i="16"/>
  <c r="H3927" i="16"/>
  <c r="H3939" i="16"/>
  <c r="H3953" i="16"/>
  <c r="H3965" i="16"/>
  <c r="H3977" i="16"/>
  <c r="H3988" i="16"/>
  <c r="H4002" i="16"/>
  <c r="H4013" i="16"/>
  <c r="H4025" i="16"/>
  <c r="H4037" i="16"/>
  <c r="H4049" i="16"/>
  <c r="H4060" i="16"/>
  <c r="H4072" i="16"/>
  <c r="H4085" i="16"/>
  <c r="H4097" i="16"/>
  <c r="H4108" i="16"/>
  <c r="H4121" i="16"/>
  <c r="H4132" i="16"/>
  <c r="H4144" i="16"/>
  <c r="H4156" i="16"/>
  <c r="H4169" i="16"/>
  <c r="H4180" i="16"/>
  <c r="H4193" i="16"/>
  <c r="H4204" i="16"/>
  <c r="H4216" i="16"/>
  <c r="H4227" i="16"/>
  <c r="H4240" i="16"/>
  <c r="H4252" i="16"/>
  <c r="H4264" i="16"/>
  <c r="H4276" i="16"/>
  <c r="H4288" i="16"/>
  <c r="H4299" i="16"/>
  <c r="H4312" i="16"/>
  <c r="H4323" i="16"/>
  <c r="H4335" i="16"/>
  <c r="H4346" i="16"/>
  <c r="H4356" i="16"/>
  <c r="H4366" i="16"/>
  <c r="H4376" i="16"/>
  <c r="H4387" i="16"/>
  <c r="H4397" i="16"/>
  <c r="H4408" i="16"/>
  <c r="H4419" i="16"/>
  <c r="H4429" i="16"/>
  <c r="H4439" i="16"/>
  <c r="H4450" i="16"/>
  <c r="H4460" i="16"/>
  <c r="H4470" i="16"/>
  <c r="H4482" i="16"/>
  <c r="H4492" i="16"/>
  <c r="H4502" i="16"/>
  <c r="H4512" i="16"/>
  <c r="H4523" i="16"/>
  <c r="H4533" i="16"/>
  <c r="H4543" i="16"/>
  <c r="H4555" i="16"/>
  <c r="H4565" i="16"/>
  <c r="H4575" i="16"/>
  <c r="H4586" i="16"/>
  <c r="H4596" i="16"/>
  <c r="H4606" i="16"/>
  <c r="H4616" i="16"/>
  <c r="H4628" i="16"/>
  <c r="H4638" i="16"/>
  <c r="H109" i="16"/>
  <c r="H1663" i="16"/>
  <c r="H2004" i="16"/>
  <c r="H2200" i="16"/>
  <c r="H2327" i="16"/>
  <c r="H2430" i="16"/>
  <c r="H2582" i="16"/>
  <c r="H2671" i="16"/>
  <c r="H2751" i="16"/>
  <c r="H2822" i="16"/>
  <c r="H2851" i="16"/>
  <c r="H2877" i="16"/>
  <c r="H2906" i="16"/>
  <c r="H2928" i="16"/>
  <c r="H2949" i="16"/>
  <c r="H2977" i="16"/>
  <c r="H3000" i="16"/>
  <c r="H3022" i="16"/>
  <c r="H3049" i="16"/>
  <c r="H3072" i="16"/>
  <c r="H3089" i="16"/>
  <c r="H3114" i="16"/>
  <c r="H3130" i="16"/>
  <c r="H3148" i="16"/>
  <c r="H3169" i="16"/>
  <c r="H3185" i="16"/>
  <c r="H3202" i="16"/>
  <c r="H3224" i="16"/>
  <c r="H3239" i="16"/>
  <c r="H3257" i="16"/>
  <c r="H3279" i="16"/>
  <c r="H3295" i="16"/>
  <c r="H3311" i="16"/>
  <c r="H3331" i="16"/>
  <c r="H3350" i="16"/>
  <c r="H3367" i="16"/>
  <c r="H3388" i="16"/>
  <c r="H3403" i="16"/>
  <c r="H3422" i="16"/>
  <c r="H3441" i="16"/>
  <c r="H3458" i="16"/>
  <c r="H3475" i="16"/>
  <c r="H3496" i="16"/>
  <c r="H3513" i="16"/>
  <c r="H3528" i="16"/>
  <c r="H3545" i="16"/>
  <c r="H3561" i="16"/>
  <c r="H3575" i="16"/>
  <c r="H3593" i="16"/>
  <c r="H3608" i="16"/>
  <c r="H3624" i="16"/>
  <c r="H3642" i="16"/>
  <c r="H3656" i="16"/>
  <c r="H3671" i="16"/>
  <c r="H3689" i="16"/>
  <c r="H3705" i="16"/>
  <c r="H3719" i="16"/>
  <c r="H3737" i="16"/>
  <c r="H3752" i="16"/>
  <c r="H3767" i="16"/>
  <c r="H3784" i="16"/>
  <c r="H3800" i="16"/>
  <c r="H3815" i="16"/>
  <c r="H3833" i="16"/>
  <c r="H3846" i="16"/>
  <c r="H3858" i="16"/>
  <c r="H3873" i="16"/>
  <c r="H3886" i="16"/>
  <c r="H3900" i="16"/>
  <c r="H3915" i="16"/>
  <c r="H3928" i="16"/>
  <c r="H3940" i="16"/>
  <c r="H3955" i="16"/>
  <c r="H3966" i="16"/>
  <c r="H3978" i="16"/>
  <c r="H3992" i="16"/>
  <c r="H4003" i="16"/>
  <c r="H4014" i="16"/>
  <c r="H4026" i="16"/>
  <c r="H4038" i="16"/>
  <c r="H4050" i="16"/>
  <c r="H4061" i="16"/>
  <c r="H4075" i="16"/>
  <c r="H4086" i="16"/>
  <c r="H469" i="16"/>
  <c r="H1830" i="16"/>
  <c r="H2077" i="16"/>
  <c r="H2237" i="16"/>
  <c r="H2359" i="16"/>
  <c r="H2493" i="16"/>
  <c r="H2613" i="16"/>
  <c r="H2702" i="16"/>
  <c r="H600" i="16"/>
  <c r="H2128" i="16"/>
  <c r="H2254" i="16"/>
  <c r="H1407" i="16"/>
  <c r="H1934" i="16"/>
  <c r="H2138" i="16"/>
  <c r="H2268" i="16"/>
  <c r="H2406" i="16"/>
  <c r="H2518" i="16"/>
  <c r="H2644" i="16"/>
  <c r="H2723" i="16"/>
  <c r="H2791" i="16"/>
  <c r="H2837" i="16"/>
  <c r="H2871" i="16"/>
  <c r="H2894" i="16"/>
  <c r="H2919" i="16"/>
  <c r="H2944" i="16"/>
  <c r="H2965" i="16"/>
  <c r="H2991" i="16"/>
  <c r="H3016" i="16"/>
  <c r="H3038" i="16"/>
  <c r="H3063" i="16"/>
  <c r="H3086" i="16"/>
  <c r="H3105" i="16"/>
  <c r="H3124" i="16"/>
  <c r="H3143" i="16"/>
  <c r="H3161" i="16"/>
  <c r="H3179" i="16"/>
  <c r="H3198" i="16"/>
  <c r="H3215" i="16"/>
  <c r="H3234" i="16"/>
  <c r="H3252" i="16"/>
  <c r="H3270" i="16"/>
  <c r="H3288" i="16"/>
  <c r="H3307" i="16"/>
  <c r="H3322" i="16"/>
  <c r="H3343" i="16"/>
  <c r="H3362" i="16"/>
  <c r="H3379" i="16"/>
  <c r="H3399" i="16"/>
  <c r="H3416" i="16"/>
  <c r="H3434" i="16"/>
  <c r="H3452" i="16"/>
  <c r="H3472" i="16"/>
  <c r="H3487" i="16"/>
  <c r="H3507" i="16"/>
  <c r="H3523" i="16"/>
  <c r="H3538" i="16"/>
  <c r="H3554" i="16"/>
  <c r="H3571" i="16"/>
  <c r="H3586" i="16"/>
  <c r="H3602" i="16"/>
  <c r="H3618" i="16"/>
  <c r="H3634" i="16"/>
  <c r="H3650" i="16"/>
  <c r="H3666" i="16"/>
  <c r="H3681" i="16"/>
  <c r="H3698" i="16"/>
  <c r="H3715" i="16"/>
  <c r="H3729" i="16"/>
  <c r="H3746" i="16"/>
  <c r="H3762" i="16"/>
  <c r="H3778" i="16"/>
  <c r="H3793" i="16"/>
  <c r="H3810" i="16"/>
  <c r="H3825" i="16"/>
  <c r="H3842" i="16"/>
  <c r="H3855" i="16"/>
  <c r="H3867" i="16"/>
  <c r="H3882" i="16"/>
  <c r="H3895" i="16"/>
  <c r="H3908" i="16"/>
  <c r="H3921" i="16"/>
  <c r="H3937" i="16"/>
  <c r="H3950" i="16"/>
  <c r="H3962" i="16"/>
  <c r="H3974" i="16"/>
  <c r="H3986" i="16"/>
  <c r="H3997" i="16"/>
  <c r="H4010" i="16"/>
  <c r="H4022" i="16"/>
  <c r="H4034" i="16"/>
  <c r="H4046" i="16"/>
  <c r="H4058" i="16"/>
  <c r="H4069" i="16"/>
  <c r="H4081" i="16"/>
  <c r="H4093" i="16"/>
  <c r="H4106" i="16"/>
  <c r="H4117" i="16"/>
  <c r="H4130" i="16"/>
  <c r="H4141" i="16"/>
  <c r="H4153" i="16"/>
  <c r="H4165" i="16"/>
  <c r="H4177" i="16"/>
  <c r="H4189" i="16"/>
  <c r="H4202" i="16"/>
  <c r="H4213" i="16"/>
  <c r="H4225" i="16"/>
  <c r="H4236" i="16"/>
  <c r="H4249" i="16"/>
  <c r="H4260" i="16"/>
  <c r="H4273" i="16"/>
  <c r="H4285" i="16"/>
  <c r="H4297" i="16"/>
  <c r="H4308" i="16"/>
  <c r="H4321" i="16"/>
  <c r="H4332" i="16"/>
  <c r="H4342" i="16"/>
  <c r="H4354" i="16"/>
  <c r="H4364" i="16"/>
  <c r="H4374" i="16"/>
  <c r="H4384" i="16"/>
  <c r="H4395" i="16"/>
  <c r="H4405" i="16"/>
  <c r="H4415" i="16"/>
  <c r="H4427" i="16"/>
  <c r="H4437" i="16"/>
  <c r="H4447" i="16"/>
  <c r="H4458" i="16"/>
  <c r="H4468" i="16"/>
  <c r="H4478" i="16"/>
  <c r="H4488" i="16"/>
  <c r="H4500" i="16"/>
  <c r="H4510" i="16"/>
  <c r="H4520" i="16"/>
  <c r="H4531" i="16"/>
  <c r="H4541" i="16"/>
  <c r="H4551" i="16"/>
  <c r="H4562" i="16"/>
  <c r="H4573" i="16"/>
  <c r="H4583" i="16"/>
  <c r="H4594" i="16"/>
  <c r="H4604" i="16"/>
  <c r="H4614" i="16"/>
  <c r="H4624" i="16"/>
  <c r="H4635" i="16"/>
  <c r="H4646" i="16"/>
  <c r="H4656" i="16"/>
  <c r="H2029" i="16"/>
  <c r="H2396" i="16"/>
  <c r="H2634" i="16"/>
  <c r="H2776" i="16"/>
  <c r="H2854" i="16"/>
  <c r="H2891" i="16"/>
  <c r="H2934" i="16"/>
  <c r="H2967" i="16"/>
  <c r="H3008" i="16"/>
  <c r="H3050" i="16"/>
  <c r="H3084" i="16"/>
  <c r="H3118" i="16"/>
  <c r="H3144" i="16"/>
  <c r="H3174" i="16"/>
  <c r="H3207" i="16"/>
  <c r="H3231" i="16"/>
  <c r="H3264" i="16"/>
  <c r="H3291" i="16"/>
  <c r="H3320" i="16"/>
  <c r="H3352" i="16"/>
  <c r="H3377" i="16"/>
  <c r="H3407" i="16"/>
  <c r="H3435" i="16"/>
  <c r="H3465" i="16"/>
  <c r="H3498" i="16"/>
  <c r="H3522" i="16"/>
  <c r="H3550" i="16"/>
  <c r="H3572" i="16"/>
  <c r="H3598" i="16"/>
  <c r="H3626" i="16"/>
  <c r="H3647" i="16"/>
  <c r="H3678" i="16"/>
  <c r="H3700" i="16"/>
  <c r="H3727" i="16"/>
  <c r="H3753" i="16"/>
  <c r="H3775" i="16"/>
  <c r="H3802" i="16"/>
  <c r="H3826" i="16"/>
  <c r="H3851" i="16"/>
  <c r="H3874" i="16"/>
  <c r="H3894" i="16"/>
  <c r="H3918" i="16"/>
  <c r="H3938" i="16"/>
  <c r="H3960" i="16"/>
  <c r="H3980" i="16"/>
  <c r="H3996" i="16"/>
  <c r="H4017" i="16"/>
  <c r="H4035" i="16"/>
  <c r="H4056" i="16"/>
  <c r="H4076" i="16"/>
  <c r="H4092" i="16"/>
  <c r="H4110" i="16"/>
  <c r="H4124" i="16"/>
  <c r="H4140" i="16"/>
  <c r="H4158" i="16"/>
  <c r="H4172" i="16"/>
  <c r="H4187" i="16"/>
  <c r="H4205" i="16"/>
  <c r="H4221" i="16"/>
  <c r="H4235" i="16"/>
  <c r="H4253" i="16"/>
  <c r="H4268" i="16"/>
  <c r="H4284" i="16"/>
  <c r="H4300" i="16"/>
  <c r="H4316" i="16"/>
  <c r="H4331" i="16"/>
  <c r="H4347" i="16"/>
  <c r="H4359" i="16"/>
  <c r="H4373" i="16"/>
  <c r="H4388" i="16"/>
  <c r="H4402" i="16"/>
  <c r="H4414" i="16"/>
  <c r="H4430" i="16"/>
  <c r="H4443" i="16"/>
  <c r="H4456" i="16"/>
  <c r="H4472" i="16"/>
  <c r="H4485" i="16"/>
  <c r="H4498" i="16"/>
  <c r="H4514" i="16"/>
  <c r="H4527" i="16"/>
  <c r="H4540" i="16"/>
  <c r="H4556" i="16"/>
  <c r="H4568" i="16"/>
  <c r="H4582" i="16"/>
  <c r="H4597" i="16"/>
  <c r="H242" i="16"/>
  <c r="H1732" i="16"/>
  <c r="H2222" i="16"/>
  <c r="H2507" i="16"/>
  <c r="H2717" i="16"/>
  <c r="H2826" i="16"/>
  <c r="H2872" i="16"/>
  <c r="H2912" i="16"/>
  <c r="H2953" i="16"/>
  <c r="H2985" i="16"/>
  <c r="H3031" i="16"/>
  <c r="H3065" i="16"/>
  <c r="H3100" i="16"/>
  <c r="H3132" i="16"/>
  <c r="H3160" i="16"/>
  <c r="H3190" i="16"/>
  <c r="H3216" i="16"/>
  <c r="H3247" i="16"/>
  <c r="H3280" i="16"/>
  <c r="H3306" i="16"/>
  <c r="H3336" i="16"/>
  <c r="H3363" i="16"/>
  <c r="H3392" i="16"/>
  <c r="H3425" i="16"/>
  <c r="H3448" i="16"/>
  <c r="H3483" i="16"/>
  <c r="H3510" i="16"/>
  <c r="H3535" i="16"/>
  <c r="H3562" i="16"/>
  <c r="H3584" i="16"/>
  <c r="H3611" i="16"/>
  <c r="H3635" i="16"/>
  <c r="H3663" i="16"/>
  <c r="H3690" i="16"/>
  <c r="H3712" i="16"/>
  <c r="H3739" i="16"/>
  <c r="H3763" i="16"/>
  <c r="H3790" i="16"/>
  <c r="H3817" i="16"/>
  <c r="H3838" i="16"/>
  <c r="H3863" i="16"/>
  <c r="H3883" i="16"/>
  <c r="H3906" i="16"/>
  <c r="H3929" i="16"/>
  <c r="H1799" i="16"/>
  <c r="H2295" i="16"/>
  <c r="H2534" i="16"/>
  <c r="H2733" i="16"/>
  <c r="H2827" i="16"/>
  <c r="H2882" i="16"/>
  <c r="H2913" i="16"/>
  <c r="H2959" i="16"/>
  <c r="H2994" i="16"/>
  <c r="H3032" i="16"/>
  <c r="H3073" i="16"/>
  <c r="H3102" i="16"/>
  <c r="H3135" i="16"/>
  <c r="H3162" i="16"/>
  <c r="H3192" i="16"/>
  <c r="H3225" i="16"/>
  <c r="H3249" i="16"/>
  <c r="H3281" i="16"/>
  <c r="H3308" i="16"/>
  <c r="H3338" i="16"/>
  <c r="H3370" i="16"/>
  <c r="H3393" i="16"/>
  <c r="H3427" i="16"/>
  <c r="H3455" i="16"/>
  <c r="H3484" i="16"/>
  <c r="H3514" i="16"/>
  <c r="H3537" i="16"/>
  <c r="H3563" i="16"/>
  <c r="H3587" i="16"/>
  <c r="H3615" i="16"/>
  <c r="H3643" i="16"/>
  <c r="H3665" i="16"/>
  <c r="H3691" i="16"/>
  <c r="H3716" i="16"/>
  <c r="H3742" i="16"/>
  <c r="H3770" i="16"/>
  <c r="H3791" i="16"/>
  <c r="H3820" i="16"/>
  <c r="H3843" i="16"/>
  <c r="H3865" i="16"/>
  <c r="H3889" i="16"/>
  <c r="H3907" i="16"/>
  <c r="H3930" i="16"/>
  <c r="H3952" i="16"/>
  <c r="H3971" i="16"/>
  <c r="H3993" i="16"/>
  <c r="H4008" i="16"/>
  <c r="H4029" i="16"/>
  <c r="H4048" i="16"/>
  <c r="H4067" i="16"/>
  <c r="H4088" i="16"/>
  <c r="H4102" i="16"/>
  <c r="H4120" i="16"/>
  <c r="H4134" i="16"/>
  <c r="H4150" i="16"/>
  <c r="H4166" i="16"/>
  <c r="H4184" i="16"/>
  <c r="H4197" i="16"/>
  <c r="H4214" i="16"/>
  <c r="H4232" i="16"/>
  <c r="H4245" i="16"/>
  <c r="H4262" i="16"/>
  <c r="H4278" i="16"/>
  <c r="H4294" i="16"/>
  <c r="H4309" i="16"/>
  <c r="H4326" i="16"/>
  <c r="H4340" i="16"/>
  <c r="H4355" i="16"/>
  <c r="H4368" i="16"/>
  <c r="H4382" i="16"/>
  <c r="H4396" i="16"/>
  <c r="H4411" i="16"/>
  <c r="H4423" i="16"/>
  <c r="H4438" i="16"/>
  <c r="H4452" i="16"/>
  <c r="H4466" i="16"/>
  <c r="H4479" i="16"/>
  <c r="H4494" i="16"/>
  <c r="H4507" i="16"/>
  <c r="H4522" i="16"/>
  <c r="H4536" i="16"/>
  <c r="H4549" i="16"/>
  <c r="H4564" i="16"/>
  <c r="H4578" i="16"/>
  <c r="H4591" i="16"/>
  <c r="H2333" i="16"/>
  <c r="H2344" i="16"/>
  <c r="H2685" i="16"/>
  <c r="H2855" i="16"/>
  <c r="H2922" i="16"/>
  <c r="H2981" i="16"/>
  <c r="H3041" i="16"/>
  <c r="H3099" i="16"/>
  <c r="H3152" i="16"/>
  <c r="H3196" i="16"/>
  <c r="H3243" i="16"/>
  <c r="H3284" i="16"/>
  <c r="H3334" i="16"/>
  <c r="H3380" i="16"/>
  <c r="H3430" i="16"/>
  <c r="H3473" i="16"/>
  <c r="H3519" i="16"/>
  <c r="H3559" i="16"/>
  <c r="H3600" i="16"/>
  <c r="H3644" i="16"/>
  <c r="H3680" i="16"/>
  <c r="H3726" i="16"/>
  <c r="H3761" i="16"/>
  <c r="H3806" i="16"/>
  <c r="H3847" i="16"/>
  <c r="H3879" i="16"/>
  <c r="H3916" i="16"/>
  <c r="H3946" i="16"/>
  <c r="H3973" i="16"/>
  <c r="H3998" i="16"/>
  <c r="H4024" i="16"/>
  <c r="H4051" i="16"/>
  <c r="H4077" i="16"/>
  <c r="H4099" i="16"/>
  <c r="H4122" i="16"/>
  <c r="H4142" i="16"/>
  <c r="H4162" i="16"/>
  <c r="H4185" i="16"/>
  <c r="H4206" i="16"/>
  <c r="H4226" i="16"/>
  <c r="H4248" i="16"/>
  <c r="H4269" i="16"/>
  <c r="H4290" i="16"/>
  <c r="H4313" i="16"/>
  <c r="H4333" i="16"/>
  <c r="H4350" i="16"/>
  <c r="H4370" i="16"/>
  <c r="H4390" i="16"/>
  <c r="H4406" i="16"/>
  <c r="H4424" i="16"/>
  <c r="H4445" i="16"/>
  <c r="H4463" i="16"/>
  <c r="H4483" i="16"/>
  <c r="H4501" i="16"/>
  <c r="H4518" i="16"/>
  <c r="H4538" i="16"/>
  <c r="H4557" i="16"/>
  <c r="H4574" i="16"/>
  <c r="H4592" i="16"/>
  <c r="H4610" i="16"/>
  <c r="H4622" i="16"/>
  <c r="H4637" i="16"/>
  <c r="H4650" i="16"/>
  <c r="H4661" i="16"/>
  <c r="H4671" i="16"/>
  <c r="H4683" i="16"/>
  <c r="H4693" i="16"/>
  <c r="H4703" i="16"/>
  <c r="H4714" i="16"/>
  <c r="H4724" i="16"/>
  <c r="H4734" i="16"/>
  <c r="H4744" i="16"/>
  <c r="H4756" i="16"/>
  <c r="H4766" i="16"/>
  <c r="H4776" i="16"/>
  <c r="H4787" i="16"/>
  <c r="H4797" i="16"/>
  <c r="H4807" i="16"/>
  <c r="H4818" i="16"/>
  <c r="H350" i="16"/>
  <c r="H2413" i="16"/>
  <c r="H2760" i="16"/>
  <c r="H2864" i="16"/>
  <c r="H2931" i="16"/>
  <c r="H2982" i="16"/>
  <c r="H3055" i="16"/>
  <c r="H3107" i="16"/>
  <c r="H3154" i="16"/>
  <c r="H3200" i="16"/>
  <c r="H3244" i="16"/>
  <c r="H3297" i="16"/>
  <c r="H3339" i="16"/>
  <c r="H3390" i="16"/>
  <c r="H3431" i="16"/>
  <c r="H3478" i="16"/>
  <c r="H3524" i="16"/>
  <c r="H3566" i="16"/>
  <c r="H3606" i="16"/>
  <c r="H3646" i="16"/>
  <c r="H3683" i="16"/>
  <c r="H3728" i="16"/>
  <c r="H3772" i="16"/>
  <c r="H3809" i="16"/>
  <c r="H3848" i="16"/>
  <c r="H3880" i="16"/>
  <c r="H3919" i="16"/>
  <c r="H3948" i="16"/>
  <c r="H3976" i="16"/>
  <c r="H4004" i="16"/>
  <c r="H4028" i="16"/>
  <c r="H4053" i="16"/>
  <c r="H4078" i="16"/>
  <c r="H4101" i="16"/>
  <c r="H4123" i="16"/>
  <c r="H4145" i="16"/>
  <c r="H4163" i="16"/>
  <c r="H4186" i="16"/>
  <c r="H4208" i="16"/>
  <c r="H4229" i="16"/>
  <c r="H4250" i="16"/>
  <c r="H4270" i="16"/>
  <c r="H4291" i="16"/>
  <c r="H4315" i="16"/>
  <c r="H4336" i="16"/>
  <c r="H4351" i="16"/>
  <c r="H4372" i="16"/>
  <c r="H4391" i="16"/>
  <c r="H4410" i="16"/>
  <c r="H4428" i="16"/>
  <c r="H4446" i="16"/>
  <c r="H4464" i="16"/>
  <c r="H4484" i="16"/>
  <c r="H4503" i="16"/>
  <c r="H4519" i="16"/>
  <c r="H4539" i="16"/>
  <c r="H4558" i="16"/>
  <c r="H4576" i="16"/>
  <c r="H4595" i="16"/>
  <c r="H4611" i="16"/>
  <c r="H4623" i="16"/>
  <c r="H4639" i="16"/>
  <c r="H4651" i="16"/>
  <c r="H4662" i="16"/>
  <c r="H4674" i="16"/>
  <c r="H4684" i="16"/>
  <c r="H4694" i="16"/>
  <c r="H4704" i="16"/>
  <c r="H4715" i="16"/>
  <c r="H4725" i="16"/>
  <c r="H4735" i="16"/>
  <c r="H4747" i="16"/>
  <c r="H4757" i="16"/>
  <c r="H4767" i="16"/>
  <c r="H4778" i="16"/>
  <c r="H4788" i="16"/>
  <c r="H4798" i="16"/>
  <c r="H4808" i="16"/>
  <c r="H4820" i="16"/>
  <c r="H4830" i="16"/>
  <c r="H4840" i="16"/>
  <c r="H4851" i="16"/>
  <c r="H4861" i="16"/>
  <c r="H4871" i="16"/>
  <c r="H4882" i="16"/>
  <c r="H4893" i="16"/>
  <c r="H4903" i="16"/>
  <c r="H4914" i="16"/>
  <c r="H4924" i="16"/>
  <c r="H4934" i="16"/>
  <c r="H4944" i="16"/>
  <c r="H4955" i="16"/>
  <c r="H4966" i="16"/>
  <c r="H4976" i="16"/>
  <c r="H4987" i="16"/>
  <c r="H4997" i="16"/>
  <c r="H5007" i="16"/>
  <c r="H5018" i="16"/>
  <c r="H5028" i="16"/>
  <c r="H5039" i="16"/>
  <c r="H5050" i="16"/>
  <c r="H5060" i="16"/>
  <c r="H5070" i="16"/>
  <c r="H5080" i="16"/>
  <c r="H5091" i="16"/>
  <c r="H5101" i="16"/>
  <c r="H5112" i="16"/>
  <c r="H5123" i="16"/>
  <c r="H5133" i="16"/>
  <c r="H5143" i="16"/>
  <c r="H5154" i="16"/>
  <c r="H5164" i="16"/>
  <c r="H5174" i="16"/>
  <c r="H5186" i="16"/>
  <c r="H5196" i="16"/>
  <c r="H5206" i="16"/>
  <c r="H5216" i="16"/>
  <c r="H5227" i="16"/>
  <c r="H5237" i="16"/>
  <c r="H5247" i="16"/>
  <c r="H5259" i="16"/>
  <c r="H5269" i="16"/>
  <c r="H5279" i="16"/>
  <c r="H5290" i="16"/>
  <c r="H5300" i="16"/>
  <c r="H5310" i="16"/>
  <c r="H5320" i="16"/>
  <c r="H5332" i="16"/>
  <c r="H5342" i="16"/>
  <c r="H5352" i="16"/>
  <c r="H5363" i="16"/>
  <c r="H5373" i="16"/>
  <c r="H5383" i="16"/>
  <c r="H5394" i="16"/>
  <c r="H5405" i="16"/>
  <c r="H5415" i="16"/>
  <c r="H5426" i="16"/>
  <c r="H5436" i="16"/>
  <c r="H5446" i="16"/>
  <c r="H5456" i="16"/>
  <c r="H5467" i="16"/>
  <c r="H5478" i="16"/>
  <c r="H5488" i="16"/>
  <c r="H5499" i="16"/>
  <c r="H5509" i="16"/>
  <c r="H5519" i="16"/>
  <c r="H5530" i="16"/>
  <c r="H5540" i="16"/>
  <c r="H5551" i="16"/>
  <c r="H5562" i="16"/>
  <c r="H5572" i="16"/>
  <c r="H5582" i="16"/>
  <c r="H5592" i="16"/>
  <c r="H5603" i="16"/>
  <c r="H5613" i="16"/>
  <c r="H5624" i="16"/>
  <c r="H5635" i="16"/>
  <c r="H5645" i="16"/>
  <c r="H5655" i="16"/>
  <c r="H5666" i="16"/>
  <c r="H5676" i="16"/>
  <c r="H5686" i="16"/>
  <c r="H5698" i="16"/>
  <c r="H5708" i="16"/>
  <c r="H5718" i="16"/>
  <c r="H5728" i="16"/>
  <c r="H5739" i="16"/>
  <c r="H5749" i="16"/>
  <c r="H5759" i="16"/>
  <c r="H5771" i="16"/>
  <c r="H1952" i="16"/>
  <c r="H2588" i="16"/>
  <c r="H2797" i="16"/>
  <c r="H2889" i="16"/>
  <c r="H2945" i="16"/>
  <c r="H3014" i="16"/>
  <c r="H3075" i="16"/>
  <c r="H3120" i="16"/>
  <c r="H3172" i="16"/>
  <c r="H3212" i="16"/>
  <c r="H3266" i="16"/>
  <c r="H3316" i="16"/>
  <c r="H3356" i="16"/>
  <c r="H3404" i="16"/>
  <c r="H3447" i="16"/>
  <c r="H3499" i="16"/>
  <c r="H3540" i="16"/>
  <c r="H3582" i="16"/>
  <c r="H3620" i="16"/>
  <c r="H3659" i="16"/>
  <c r="H3706" i="16"/>
  <c r="H3743" i="16"/>
  <c r="H3785" i="16"/>
  <c r="H3824" i="16"/>
  <c r="H3862" i="16"/>
  <c r="H3897" i="16"/>
  <c r="H3931" i="16"/>
  <c r="H3961" i="16"/>
  <c r="H3985" i="16"/>
  <c r="H4012" i="16"/>
  <c r="H4040" i="16"/>
  <c r="H4065" i="16"/>
  <c r="H4089" i="16"/>
  <c r="H4112" i="16"/>
  <c r="H4131" i="16"/>
  <c r="H4152" i="16"/>
  <c r="H4174" i="16"/>
  <c r="H4195" i="16"/>
  <c r="H4217" i="16"/>
  <c r="H4238" i="16"/>
  <c r="H4258" i="16"/>
  <c r="H4280" i="16"/>
  <c r="H4302" i="16"/>
  <c r="H4322" i="16"/>
  <c r="H4341" i="16"/>
  <c r="H4360" i="16"/>
  <c r="H4379" i="16"/>
  <c r="H4399" i="16"/>
  <c r="H4418" i="16"/>
  <c r="H4434" i="16"/>
  <c r="H4454" i="16"/>
  <c r="H4474" i="16"/>
  <c r="H4491" i="16"/>
  <c r="H4509" i="16"/>
  <c r="H4528" i="16"/>
  <c r="H4547" i="16"/>
  <c r="H4566" i="16"/>
  <c r="H4584" i="16"/>
  <c r="H4602" i="16"/>
  <c r="H4615" i="16"/>
  <c r="H4630" i="16"/>
  <c r="H4643" i="16"/>
  <c r="H4655" i="16"/>
  <c r="H4667" i="16"/>
  <c r="H4677" i="16"/>
  <c r="H4687" i="16"/>
  <c r="H4698" i="16"/>
  <c r="H4708" i="16"/>
  <c r="H4719" i="16"/>
  <c r="H4730" i="16"/>
  <c r="H4740" i="16"/>
  <c r="H4750" i="16"/>
  <c r="H4760" i="16"/>
  <c r="H4771" i="16"/>
  <c r="H4781" i="16"/>
  <c r="H4792" i="16"/>
  <c r="H4803" i="16"/>
  <c r="H2064" i="16"/>
  <c r="H2603" i="16"/>
  <c r="H2824" i="16"/>
  <c r="H2897" i="16"/>
  <c r="H2961" i="16"/>
  <c r="H3017" i="16"/>
  <c r="H3078" i="16"/>
  <c r="H3128" i="16"/>
  <c r="H3175" i="16"/>
  <c r="H3226" i="16"/>
  <c r="H3267" i="16"/>
  <c r="H3319" i="16"/>
  <c r="H3359" i="16"/>
  <c r="H3411" i="16"/>
  <c r="H3462" i="16"/>
  <c r="H3500" i="16"/>
  <c r="H3547" i="16"/>
  <c r="H3583" i="16"/>
  <c r="H3628" i="16"/>
  <c r="H3668" i="16"/>
  <c r="H3707" i="16"/>
  <c r="H3748" i="16"/>
  <c r="H3788" i="16"/>
  <c r="H3834" i="16"/>
  <c r="H3866" i="16"/>
  <c r="H3903" i="16"/>
  <c r="H3935" i="16"/>
  <c r="H3964" i="16"/>
  <c r="H3987" i="16"/>
  <c r="H4016" i="16"/>
  <c r="H4041" i="16"/>
  <c r="H4066" i="16"/>
  <c r="H4090" i="16"/>
  <c r="H4113" i="16"/>
  <c r="H4133" i="16"/>
  <c r="H4154" i="16"/>
  <c r="H4176" i="16"/>
  <c r="H4196" i="16"/>
  <c r="H4218" i="16"/>
  <c r="H4242" i="16"/>
  <c r="H4259" i="16"/>
  <c r="H4281" i="16"/>
  <c r="H4305" i="16"/>
  <c r="H4325" i="16"/>
  <c r="H4344" i="16"/>
  <c r="H4363" i="16"/>
  <c r="H4381" i="16"/>
  <c r="H4400" i="16"/>
  <c r="H4420" i="16"/>
  <c r="H4436" i="16"/>
  <c r="H4455" i="16"/>
  <c r="H4475" i="16"/>
  <c r="H4493" i="16"/>
  <c r="H4511" i="16"/>
  <c r="H4530" i="16"/>
  <c r="H4548" i="16"/>
  <c r="H4567" i="16"/>
  <c r="H4587" i="16"/>
  <c r="H4603" i="16"/>
  <c r="H4619" i="16"/>
  <c r="H4631" i="16"/>
  <c r="H4644" i="16"/>
  <c r="H4658" i="16"/>
  <c r="H4668" i="16"/>
  <c r="H4678" i="16"/>
  <c r="H4688" i="16"/>
  <c r="H4699" i="16"/>
  <c r="H4710" i="16"/>
  <c r="H4720" i="16"/>
  <c r="H4731" i="16"/>
  <c r="H4741" i="16"/>
  <c r="H4751" i="16"/>
  <c r="H4762" i="16"/>
  <c r="H4772" i="16"/>
  <c r="H4783" i="16"/>
  <c r="H4794" i="16"/>
  <c r="H4804" i="16"/>
  <c r="H4814" i="16"/>
  <c r="H4824" i="16"/>
  <c r="H4835" i="16"/>
  <c r="H4845" i="16"/>
  <c r="H4856" i="16"/>
  <c r="H4867" i="16"/>
  <c r="H4877" i="16"/>
  <c r="H4887" i="16"/>
  <c r="H4898" i="16"/>
  <c r="H4908" i="16"/>
  <c r="H4918" i="16"/>
  <c r="H4930" i="16"/>
  <c r="H4940" i="16"/>
  <c r="H4950" i="16"/>
  <c r="H4960" i="16"/>
  <c r="H4971" i="16"/>
  <c r="H4981" i="16"/>
  <c r="H4991" i="16"/>
  <c r="H5003" i="16"/>
  <c r="H5013" i="16"/>
  <c r="H5023" i="16"/>
  <c r="H5034" i="16"/>
  <c r="H5044" i="16"/>
  <c r="H5054" i="16"/>
  <c r="H5064" i="16"/>
  <c r="H5076" i="16"/>
  <c r="H5086" i="16"/>
  <c r="H5096" i="16"/>
  <c r="H5107" i="16"/>
  <c r="H5117" i="16"/>
  <c r="H5127" i="16"/>
  <c r="H5138" i="16"/>
  <c r="H5149" i="16"/>
  <c r="H5159" i="16"/>
  <c r="H5170" i="16"/>
  <c r="H5180" i="16"/>
  <c r="H5190" i="16"/>
  <c r="H5200" i="16"/>
  <c r="H5211" i="16"/>
  <c r="H5222" i="16"/>
  <c r="H5232" i="16"/>
  <c r="H5243" i="16"/>
  <c r="H5253" i="16"/>
  <c r="H5263" i="16"/>
  <c r="H5274" i="16"/>
  <c r="H5284" i="16"/>
  <c r="H5295" i="16"/>
  <c r="H5306" i="16"/>
  <c r="H5316" i="16"/>
  <c r="H5326" i="16"/>
  <c r="H5336" i="16"/>
  <c r="H5347" i="16"/>
  <c r="H5357" i="16"/>
  <c r="H5368" i="16"/>
  <c r="H5379" i="16"/>
  <c r="H5389" i="16"/>
  <c r="H5399" i="16"/>
  <c r="H5410" i="16"/>
  <c r="H5420" i="16"/>
  <c r="H5430" i="16"/>
  <c r="H5442" i="16"/>
  <c r="H5452" i="16"/>
  <c r="H5462" i="16"/>
  <c r="H5472" i="16"/>
  <c r="H5483" i="16"/>
  <c r="H5493" i="16"/>
  <c r="H5503" i="16"/>
  <c r="H5515" i="16"/>
  <c r="H5525" i="16"/>
  <c r="H5535" i="16"/>
  <c r="H5546" i="16"/>
  <c r="H5556" i="16"/>
  <c r="H5566" i="16"/>
  <c r="H5576" i="16"/>
  <c r="H5588" i="16"/>
  <c r="H5598" i="16"/>
  <c r="H5608" i="16"/>
  <c r="H5619" i="16"/>
  <c r="H5629" i="16"/>
  <c r="H5639" i="16"/>
  <c r="H5650" i="16"/>
  <c r="H5661" i="16"/>
  <c r="H5671" i="16"/>
  <c r="H5682" i="16"/>
  <c r="H5692" i="16"/>
  <c r="H5702" i="16"/>
  <c r="H5712" i="16"/>
  <c r="H5723" i="16"/>
  <c r="H5734" i="16"/>
  <c r="H5744" i="16"/>
  <c r="H5755" i="16"/>
  <c r="H5765" i="16"/>
  <c r="H5775" i="16"/>
  <c r="H2152" i="16"/>
  <c r="H2661" i="16"/>
  <c r="H2831" i="16"/>
  <c r="H2907" i="16"/>
  <c r="H2963" i="16"/>
  <c r="H3027" i="16"/>
  <c r="H3087" i="16"/>
  <c r="H3138" i="16"/>
  <c r="H3183" i="16"/>
  <c r="H3227" i="16"/>
  <c r="H3271" i="16"/>
  <c r="H3321" i="16"/>
  <c r="H3374" i="16"/>
  <c r="H3414" i="16"/>
  <c r="H3463" i="16"/>
  <c r="H2787" i="16"/>
  <c r="H3001" i="16"/>
  <c r="H3142" i="16"/>
  <c r="H3260" i="16"/>
  <c r="H3391" i="16"/>
  <c r="H3503" i="16"/>
  <c r="H3595" i="16"/>
  <c r="H3674" i="16"/>
  <c r="H3754" i="16"/>
  <c r="H3835" i="16"/>
  <c r="H3904" i="16"/>
  <c r="H3968" i="16"/>
  <c r="H4019" i="16"/>
  <c r="H4068" i="16"/>
  <c r="H4114" i="16"/>
  <c r="H4160" i="16"/>
  <c r="H4200" i="16"/>
  <c r="H4243" i="16"/>
  <c r="H4286" i="16"/>
  <c r="H4328" i="16"/>
  <c r="H4365" i="16"/>
  <c r="H4403" i="16"/>
  <c r="H4440" i="16"/>
  <c r="H4476" i="16"/>
  <c r="H4515" i="16"/>
  <c r="H4550" i="16"/>
  <c r="H4588" i="16"/>
  <c r="H4620" i="16"/>
  <c r="H4647" i="16"/>
  <c r="H4669" i="16"/>
  <c r="H4690" i="16"/>
  <c r="H4711" i="16"/>
  <c r="H4732" i="16"/>
  <c r="H4752" i="16"/>
  <c r="H4774" i="16"/>
  <c r="H4795" i="16"/>
  <c r="H4813" i="16"/>
  <c r="H4829" i="16"/>
  <c r="H4843" i="16"/>
  <c r="H4858" i="16"/>
  <c r="H4870" i="16"/>
  <c r="H4885" i="16"/>
  <c r="H4899" i="16"/>
  <c r="H4912" i="16"/>
  <c r="H4926" i="16"/>
  <c r="H4941" i="16"/>
  <c r="H4954" i="16"/>
  <c r="H4968" i="16"/>
  <c r="H4982" i="16"/>
  <c r="H4996" i="16"/>
  <c r="H5010" i="16"/>
  <c r="H5024" i="16"/>
  <c r="H5037" i="16"/>
  <c r="H5052" i="16"/>
  <c r="H5067" i="16"/>
  <c r="H5079" i="16"/>
  <c r="H5094" i="16"/>
  <c r="H5108" i="16"/>
  <c r="H5122" i="16"/>
  <c r="H5135" i="16"/>
  <c r="H5150" i="16"/>
  <c r="H5163" i="16"/>
  <c r="H5178" i="16"/>
  <c r="H5191" i="16"/>
  <c r="H5205" i="16"/>
  <c r="H5219" i="16"/>
  <c r="H5234" i="16"/>
  <c r="H5246" i="16"/>
  <c r="H5261" i="16"/>
  <c r="H5275" i="16"/>
  <c r="H5288" i="16"/>
  <c r="H5302" i="16"/>
  <c r="H5317" i="16"/>
  <c r="H5330" i="16"/>
  <c r="H5344" i="16"/>
  <c r="H5359" i="16"/>
  <c r="H5372" i="16"/>
  <c r="H5387" i="16"/>
  <c r="H5400" i="16"/>
  <c r="H5414" i="16"/>
  <c r="H5428" i="16"/>
  <c r="H5443" i="16"/>
  <c r="H5455" i="16"/>
  <c r="H5470" i="16"/>
  <c r="H5484" i="16"/>
  <c r="H5498" i="16"/>
  <c r="H5511" i="16"/>
  <c r="H5526" i="16"/>
  <c r="H5539" i="16"/>
  <c r="H5554" i="16"/>
  <c r="H5567" i="16"/>
  <c r="H5581" i="16"/>
  <c r="H5595" i="16"/>
  <c r="H5610" i="16"/>
  <c r="H5622" i="16"/>
  <c r="H5637" i="16"/>
  <c r="H5652" i="16"/>
  <c r="H5664" i="16"/>
  <c r="H5679" i="16"/>
  <c r="H5693" i="16"/>
  <c r="H5707" i="16"/>
  <c r="H5720" i="16"/>
  <c r="H5735" i="16"/>
  <c r="H5748" i="16"/>
  <c r="H5763" i="16"/>
  <c r="H5776" i="16"/>
  <c r="H5787" i="16"/>
  <c r="H5798" i="16"/>
  <c r="H5808" i="16"/>
  <c r="H5819" i="16"/>
  <c r="H5829" i="16"/>
  <c r="H5839" i="16"/>
  <c r="H5850" i="16"/>
  <c r="H2846" i="16"/>
  <c r="H3003" i="16"/>
  <c r="H3155" i="16"/>
  <c r="H3283" i="16"/>
  <c r="H3401" i="16"/>
  <c r="H3516" i="16"/>
  <c r="H3596" i="16"/>
  <c r="H3679" i="16"/>
  <c r="H3758" i="16"/>
  <c r="H3836" i="16"/>
  <c r="H3910" i="16"/>
  <c r="H3970" i="16"/>
  <c r="H4020" i="16"/>
  <c r="H4070" i="16"/>
  <c r="H4116" i="16"/>
  <c r="H4161" i="16"/>
  <c r="H4203" i="16"/>
  <c r="H4244" i="16"/>
  <c r="H4289" i="16"/>
  <c r="H4330" i="16"/>
  <c r="H4367" i="16"/>
  <c r="H4404" i="16"/>
  <c r="H4442" i="16"/>
  <c r="H4477" i="16"/>
  <c r="H4516" i="16"/>
  <c r="H4552" i="16"/>
  <c r="H4589" i="16"/>
  <c r="H4621" i="16"/>
  <c r="H4648" i="16"/>
  <c r="H4670" i="16"/>
  <c r="H4692" i="16"/>
  <c r="H4712" i="16"/>
  <c r="H4733" i="16"/>
  <c r="H4754" i="16"/>
  <c r="H4775" i="16"/>
  <c r="H4796" i="16"/>
  <c r="H2472" i="16"/>
  <c r="H2909" i="16"/>
  <c r="H3058" i="16"/>
  <c r="H3210" i="16"/>
  <c r="H3327" i="16"/>
  <c r="H3446" i="16"/>
  <c r="H3551" i="16"/>
  <c r="H3632" i="16"/>
  <c r="H3710" i="16"/>
  <c r="H3796" i="16"/>
  <c r="H3870" i="16"/>
  <c r="H3943" i="16"/>
  <c r="H3994" i="16"/>
  <c r="H4043" i="16"/>
  <c r="H4096" i="16"/>
  <c r="H4138" i="16"/>
  <c r="H4179" i="16"/>
  <c r="H4222" i="16"/>
  <c r="H4266" i="16"/>
  <c r="H4306" i="16"/>
  <c r="H4348" i="16"/>
  <c r="H4383" i="16"/>
  <c r="H4421" i="16"/>
  <c r="H4459" i="16"/>
  <c r="H4495" i="16"/>
  <c r="H4532" i="16"/>
  <c r="H4570" i="16"/>
  <c r="H4605" i="16"/>
  <c r="H4632" i="16"/>
  <c r="H4659" i="16"/>
  <c r="H4679" i="16"/>
  <c r="H4701" i="16"/>
  <c r="H4722" i="16"/>
  <c r="H4742" i="16"/>
  <c r="H4763" i="16"/>
  <c r="H4784" i="16"/>
  <c r="H4805" i="16"/>
  <c r="H4822" i="16"/>
  <c r="H4836" i="16"/>
  <c r="H4850" i="16"/>
  <c r="H4863" i="16"/>
  <c r="H4878" i="16"/>
  <c r="H4891" i="16"/>
  <c r="H4906" i="16"/>
  <c r="H4920" i="16"/>
  <c r="H4933" i="16"/>
  <c r="H4948" i="16"/>
  <c r="H4962" i="16"/>
  <c r="H4975" i="16"/>
  <c r="H4989" i="16"/>
  <c r="H5004" i="16"/>
  <c r="H5016" i="16"/>
  <c r="H5031" i="16"/>
  <c r="H5045" i="16"/>
  <c r="H5059" i="16"/>
  <c r="H5072" i="16"/>
  <c r="H5087" i="16"/>
  <c r="H5100" i="16"/>
  <c r="H5115" i="16"/>
  <c r="H5128" i="16"/>
  <c r="H5142" i="16"/>
  <c r="H5156" i="16"/>
  <c r="H5171" i="16"/>
  <c r="H5183" i="16"/>
  <c r="H5198" i="16"/>
  <c r="H5213" i="16"/>
  <c r="H5226" i="16"/>
  <c r="H5240" i="16"/>
  <c r="H5254" i="16"/>
  <c r="H5268" i="16"/>
  <c r="H5282" i="16"/>
  <c r="H5296" i="16"/>
  <c r="H5309" i="16"/>
  <c r="H5324" i="16"/>
  <c r="H2486" i="16"/>
  <c r="H2936" i="16"/>
  <c r="H3095" i="16"/>
  <c r="H3211" i="16"/>
  <c r="H3346" i="16"/>
  <c r="H3468" i="16"/>
  <c r="H3552" i="16"/>
  <c r="H3633" i="16"/>
  <c r="H3721" i="16"/>
  <c r="H3801" i="16"/>
  <c r="H3876" i="16"/>
  <c r="H3945" i="16"/>
  <c r="H3995" i="16"/>
  <c r="H4044" i="16"/>
  <c r="H4098" i="16"/>
  <c r="H4139" i="16"/>
  <c r="H4181" i="16"/>
  <c r="H4224" i="16"/>
  <c r="H4267" i="16"/>
  <c r="H4307" i="16"/>
  <c r="H4349" i="16"/>
  <c r="H4386" i="16"/>
  <c r="H4422" i="16"/>
  <c r="H4461" i="16"/>
  <c r="H4496" i="16"/>
  <c r="H4534" i="16"/>
  <c r="H4571" i="16"/>
  <c r="H4607" i="16"/>
  <c r="H4634" i="16"/>
  <c r="H4660" i="16"/>
  <c r="H4680" i="16"/>
  <c r="H4702" i="16"/>
  <c r="H4723" i="16"/>
  <c r="H4743" i="16"/>
  <c r="H4765" i="16"/>
  <c r="H4786" i="16"/>
  <c r="H4806" i="16"/>
  <c r="H4823" i="16"/>
  <c r="H4838" i="16"/>
  <c r="H4852" i="16"/>
  <c r="H4866" i="16"/>
  <c r="H4879" i="16"/>
  <c r="H4894" i="16"/>
  <c r="H4907" i="16"/>
  <c r="H4922" i="16"/>
  <c r="H4935" i="16"/>
  <c r="H4949" i="16"/>
  <c r="H4963" i="16"/>
  <c r="H4978" i="16"/>
  <c r="H4990" i="16"/>
  <c r="H5005" i="16"/>
  <c r="H5019" i="16"/>
  <c r="H5032" i="16"/>
  <c r="H5046" i="16"/>
  <c r="H5061" i="16"/>
  <c r="H5074" i="16"/>
  <c r="H5088" i="16"/>
  <c r="H5103" i="16"/>
  <c r="H5116" i="16"/>
  <c r="H5131" i="16"/>
  <c r="H5144" i="16"/>
  <c r="H5158" i="16"/>
  <c r="H5172" i="16"/>
  <c r="H5187" i="16"/>
  <c r="H5199" i="16"/>
  <c r="H5214" i="16"/>
  <c r="H5228" i="16"/>
  <c r="H5242" i="16"/>
  <c r="H5255" i="16"/>
  <c r="H5270" i="16"/>
  <c r="H5283" i="16"/>
  <c r="H5298" i="16"/>
  <c r="H5311" i="16"/>
  <c r="H5325" i="16"/>
  <c r="H5339" i="16"/>
  <c r="H5354" i="16"/>
  <c r="H5366" i="16"/>
  <c r="H5381" i="16"/>
  <c r="H5396" i="16"/>
  <c r="H5408" i="16"/>
  <c r="H5423" i="16"/>
  <c r="H5437" i="16"/>
  <c r="H5451" i="16"/>
  <c r="H5464" i="16"/>
  <c r="H5479" i="16"/>
  <c r="H5492" i="16"/>
  <c r="H5507" i="16"/>
  <c r="H5520" i="16"/>
  <c r="H5534" i="16"/>
  <c r="H5548" i="16"/>
  <c r="H5563" i="16"/>
  <c r="H5575" i="16"/>
  <c r="H5590" i="16"/>
  <c r="H5604" i="16"/>
  <c r="H5618" i="16"/>
  <c r="H5631" i="16"/>
  <c r="H5646" i="16"/>
  <c r="H5659" i="16"/>
  <c r="H5674" i="16"/>
  <c r="H5688" i="16"/>
  <c r="H5701" i="16"/>
  <c r="H5716" i="16"/>
  <c r="H5730" i="16"/>
  <c r="H5743" i="16"/>
  <c r="H5757" i="16"/>
  <c r="H5772" i="16"/>
  <c r="H5783" i="16"/>
  <c r="H5794" i="16"/>
  <c r="H5804" i="16"/>
  <c r="H5814" i="16"/>
  <c r="H5826" i="16"/>
  <c r="H5836" i="16"/>
  <c r="H5846" i="16"/>
  <c r="H5856" i="16"/>
  <c r="H5867" i="16"/>
  <c r="H5876" i="16"/>
  <c r="H2682" i="16"/>
  <c r="H2941" i="16"/>
  <c r="H3116" i="16"/>
  <c r="H3236" i="16"/>
  <c r="H3353" i="16"/>
  <c r="H3486" i="16"/>
  <c r="H3570" i="16"/>
  <c r="H3654" i="16"/>
  <c r="H3730" i="16"/>
  <c r="H3811" i="16"/>
  <c r="H3890" i="16"/>
  <c r="H3956" i="16"/>
  <c r="H4005" i="16"/>
  <c r="H4057" i="16"/>
  <c r="H4104" i="16"/>
  <c r="H4148" i="16"/>
  <c r="H4190" i="16"/>
  <c r="H4233" i="16"/>
  <c r="H4275" i="16"/>
  <c r="H4317" i="16"/>
  <c r="H4357" i="16"/>
  <c r="H4392" i="16"/>
  <c r="H4431" i="16"/>
  <c r="H4467" i="16"/>
  <c r="H4504" i="16"/>
  <c r="H4542" i="16"/>
  <c r="H4579" i="16"/>
  <c r="H4612" i="16"/>
  <c r="H4640" i="16"/>
  <c r="H4664" i="16"/>
  <c r="H4685" i="16"/>
  <c r="H4706" i="16"/>
  <c r="H4726" i="16"/>
  <c r="H4748" i="16"/>
  <c r="H4768" i="16"/>
  <c r="H4789" i="16"/>
  <c r="H4811" i="16"/>
  <c r="H4826" i="16"/>
  <c r="H3034" i="16"/>
  <c r="H3375" i="16"/>
  <c r="H3617" i="16"/>
  <c r="H3854" i="16"/>
  <c r="H4006" i="16"/>
  <c r="H4129" i="16"/>
  <c r="H4254" i="16"/>
  <c r="H4358" i="16"/>
  <c r="H4451" i="16"/>
  <c r="H4559" i="16"/>
  <c r="H4642" i="16"/>
  <c r="H4696" i="16"/>
  <c r="H4758" i="16"/>
  <c r="H4812" i="16"/>
  <c r="H4839" i="16"/>
  <c r="H4860" i="16"/>
  <c r="H4884" i="16"/>
  <c r="H4904" i="16"/>
  <c r="H4927" i="16"/>
  <c r="H4951" i="16"/>
  <c r="H4972" i="16"/>
  <c r="H4995" i="16"/>
  <c r="H5015" i="16"/>
  <c r="H5040" i="16"/>
  <c r="H5062" i="16"/>
  <c r="H5083" i="16"/>
  <c r="H5106" i="16"/>
  <c r="H5126" i="16"/>
  <c r="H5151" i="16"/>
  <c r="H5173" i="16"/>
  <c r="H5195" i="16"/>
  <c r="H5218" i="16"/>
  <c r="H5238" i="16"/>
  <c r="H5262" i="16"/>
  <c r="H5286" i="16"/>
  <c r="H5307" i="16"/>
  <c r="H5328" i="16"/>
  <c r="H5348" i="16"/>
  <c r="H5365" i="16"/>
  <c r="H5384" i="16"/>
  <c r="H5403" i="16"/>
  <c r="H5421" i="16"/>
  <c r="H5439" i="16"/>
  <c r="H5460" i="16"/>
  <c r="H5476" i="16"/>
  <c r="H5496" i="16"/>
  <c r="H5516" i="16"/>
  <c r="H5533" i="16"/>
  <c r="H5552" i="16"/>
  <c r="H5571" i="16"/>
  <c r="H5589" i="16"/>
  <c r="H5607" i="16"/>
  <c r="H5627" i="16"/>
  <c r="H5644" i="16"/>
  <c r="H5663" i="16"/>
  <c r="H5683" i="16"/>
  <c r="H5700" i="16"/>
  <c r="H5719" i="16"/>
  <c r="H5738" i="16"/>
  <c r="H5756" i="16"/>
  <c r="H5774" i="16"/>
  <c r="H5790" i="16"/>
  <c r="H5803" i="16"/>
  <c r="H5818" i="16"/>
  <c r="H5831" i="16"/>
  <c r="H5845" i="16"/>
  <c r="H5859" i="16"/>
  <c r="H5871" i="16"/>
  <c r="H5881" i="16"/>
  <c r="H5890" i="16"/>
  <c r="H5899" i="16"/>
  <c r="H5908" i="16"/>
  <c r="H5917" i="16"/>
  <c r="H5927" i="16"/>
  <c r="H5936" i="16"/>
  <c r="H5945" i="16"/>
  <c r="H5954" i="16"/>
  <c r="H5963" i="16"/>
  <c r="H5972" i="16"/>
  <c r="H5981" i="16"/>
  <c r="H5991" i="16"/>
  <c r="H6000" i="16"/>
  <c r="H6009" i="16"/>
  <c r="H6018" i="16"/>
  <c r="H6027" i="16"/>
  <c r="H6036" i="16"/>
  <c r="H6045" i="16"/>
  <c r="H6055" i="16"/>
  <c r="H6064" i="16"/>
  <c r="H6073" i="16"/>
  <c r="H6082" i="16"/>
  <c r="H6091" i="16"/>
  <c r="H6100" i="16"/>
  <c r="H6109" i="16"/>
  <c r="H6119" i="16"/>
  <c r="H6128" i="16"/>
  <c r="H6137" i="16"/>
  <c r="H6146" i="16"/>
  <c r="H6155" i="16"/>
  <c r="H6164" i="16"/>
  <c r="H6173" i="16"/>
  <c r="H6183" i="16"/>
  <c r="H6192" i="16"/>
  <c r="H6201" i="16"/>
  <c r="H6210" i="16"/>
  <c r="H6219" i="16"/>
  <c r="H6228" i="16"/>
  <c r="H6237" i="16"/>
  <c r="H6247" i="16"/>
  <c r="H6256" i="16"/>
  <c r="H6265" i="16"/>
  <c r="H6274" i="16"/>
  <c r="H6283" i="16"/>
  <c r="H6292" i="16"/>
  <c r="H6301" i="16"/>
  <c r="H6311" i="16"/>
  <c r="H6320" i="16"/>
  <c r="H6329" i="16"/>
  <c r="H6338" i="16"/>
  <c r="H6347" i="16"/>
  <c r="H6356" i="16"/>
  <c r="H6365" i="16"/>
  <c r="H6375" i="16"/>
  <c r="H6384" i="16"/>
  <c r="H3056" i="16"/>
  <c r="H3417" i="16"/>
  <c r="H3657" i="16"/>
  <c r="H3856" i="16"/>
  <c r="H4030" i="16"/>
  <c r="H4149" i="16"/>
  <c r="H4257" i="16"/>
  <c r="H4375" i="16"/>
  <c r="H4469" i="16"/>
  <c r="H4560" i="16"/>
  <c r="H4652" i="16"/>
  <c r="H4707" i="16"/>
  <c r="H4759" i="16"/>
  <c r="H4815" i="16"/>
  <c r="H4842" i="16"/>
  <c r="H4862" i="16"/>
  <c r="H4886" i="16"/>
  <c r="H4909" i="16"/>
  <c r="H4931" i="16"/>
  <c r="H4952" i="16"/>
  <c r="H4973" i="16"/>
  <c r="H4998" i="16"/>
  <c r="H5021" i="16"/>
  <c r="H5042" i="16"/>
  <c r="H5063" i="16"/>
  <c r="H5085" i="16"/>
  <c r="H5109" i="16"/>
  <c r="H5132" i="16"/>
  <c r="H5152" i="16"/>
  <c r="H5176" i="16"/>
  <c r="H5197" i="16"/>
  <c r="H5220" i="16"/>
  <c r="H5244" i="16"/>
  <c r="H5264" i="16"/>
  <c r="H5287" i="16"/>
  <c r="H5308" i="16"/>
  <c r="H5333" i="16"/>
  <c r="H5350" i="16"/>
  <c r="H5370" i="16"/>
  <c r="H5388" i="16"/>
  <c r="H5406" i="16"/>
  <c r="H5424" i="16"/>
  <c r="H5444" i="16"/>
  <c r="H5461" i="16"/>
  <c r="H5480" i="16"/>
  <c r="H5500" i="16"/>
  <c r="H2769" i="16"/>
  <c r="H3187" i="16"/>
  <c r="H3531" i="16"/>
  <c r="H3738" i="16"/>
  <c r="H3926" i="16"/>
  <c r="H4080" i="16"/>
  <c r="H4194" i="16"/>
  <c r="H4298" i="16"/>
  <c r="H4412" i="16"/>
  <c r="H4506" i="16"/>
  <c r="H4600" i="16"/>
  <c r="H4675" i="16"/>
  <c r="H4728" i="16"/>
  <c r="H4780" i="16"/>
  <c r="H4827" i="16"/>
  <c r="H4848" i="16"/>
  <c r="H4872" i="16"/>
  <c r="H4895" i="16"/>
  <c r="H4916" i="16"/>
  <c r="H4939" i="16"/>
  <c r="H4959" i="16"/>
  <c r="H4984" i="16"/>
  <c r="H5006" i="16"/>
  <c r="H5027" i="16"/>
  <c r="H5051" i="16"/>
  <c r="H5071" i="16"/>
  <c r="H5095" i="16"/>
  <c r="H5118" i="16"/>
  <c r="H5140" i="16"/>
  <c r="H5162" i="16"/>
  <c r="H5182" i="16"/>
  <c r="H5207" i="16"/>
  <c r="H5229" i="16"/>
  <c r="H5251" i="16"/>
  <c r="H5272" i="16"/>
  <c r="H5293" i="16"/>
  <c r="H5318" i="16"/>
  <c r="H5338" i="16"/>
  <c r="H5356" i="16"/>
  <c r="H5375" i="16"/>
  <c r="H5392" i="16"/>
  <c r="H5412" i="16"/>
  <c r="H5432" i="16"/>
  <c r="H5448" i="16"/>
  <c r="H5469" i="16"/>
  <c r="H5487" i="16"/>
  <c r="H5506" i="16"/>
  <c r="H5524" i="16"/>
  <c r="H5543" i="16"/>
  <c r="H5560" i="16"/>
  <c r="H5580" i="16"/>
  <c r="H5599" i="16"/>
  <c r="H5616" i="16"/>
  <c r="H5636" i="16"/>
  <c r="H5654" i="16"/>
  <c r="H5672" i="16"/>
  <c r="H5691" i="16"/>
  <c r="H5710" i="16"/>
  <c r="H5727" i="16"/>
  <c r="H5747" i="16"/>
  <c r="H5766" i="16"/>
  <c r="H5782" i="16"/>
  <c r="H5796" i="16"/>
  <c r="H5811" i="16"/>
  <c r="H5823" i="16"/>
  <c r="H5838" i="16"/>
  <c r="H5853" i="16"/>
  <c r="H5864" i="16"/>
  <c r="H5875" i="16"/>
  <c r="H5885" i="16"/>
  <c r="H5895" i="16"/>
  <c r="H5904" i="16"/>
  <c r="H5913" i="16"/>
  <c r="H5922" i="16"/>
  <c r="H5931" i="16"/>
  <c r="H5940" i="16"/>
  <c r="H5949" i="16"/>
  <c r="H5959" i="16"/>
  <c r="H5968" i="16"/>
  <c r="H5977" i="16"/>
  <c r="H5986" i="16"/>
  <c r="H5995" i="16"/>
  <c r="H6004" i="16"/>
  <c r="H6013" i="16"/>
  <c r="H6023" i="16"/>
  <c r="H2870" i="16"/>
  <c r="H3255" i="16"/>
  <c r="H3534" i="16"/>
  <c r="H3774" i="16"/>
  <c r="H3957" i="16"/>
  <c r="H4083" i="16"/>
  <c r="H4211" i="16"/>
  <c r="H4318" i="16"/>
  <c r="H4413" i="16"/>
  <c r="H4524" i="16"/>
  <c r="H4613" i="16"/>
  <c r="H4676" i="16"/>
  <c r="H4738" i="16"/>
  <c r="H4790" i="16"/>
  <c r="H4831" i="16"/>
  <c r="H4853" i="16"/>
  <c r="H4875" i="16"/>
  <c r="H4896" i="16"/>
  <c r="H4917" i="16"/>
  <c r="H4942" i="16"/>
  <c r="H4964" i="16"/>
  <c r="H4986" i="16"/>
  <c r="H5008" i="16"/>
  <c r="H5030" i="16"/>
  <c r="H5053" i="16"/>
  <c r="H5077" i="16"/>
  <c r="H5098" i="16"/>
  <c r="H5119" i="16"/>
  <c r="H5141" i="16"/>
  <c r="H5165" i="16"/>
  <c r="H5188" i="16"/>
  <c r="H5208" i="16"/>
  <c r="H5231" i="16"/>
  <c r="H5252" i="16"/>
  <c r="H5277" i="16"/>
  <c r="H5299" i="16"/>
  <c r="H5319" i="16"/>
  <c r="H5341" i="16"/>
  <c r="H5360" i="16"/>
  <c r="H5378" i="16"/>
  <c r="H5397" i="16"/>
  <c r="H5416" i="16"/>
  <c r="H5434" i="16"/>
  <c r="H5453" i="16"/>
  <c r="H5471" i="16"/>
  <c r="H5490" i="16"/>
  <c r="H5508" i="16"/>
  <c r="H5527" i="16"/>
  <c r="H5544" i="16"/>
  <c r="H5564" i="16"/>
  <c r="H5583" i="16"/>
  <c r="H5600" i="16"/>
  <c r="H5620" i="16"/>
  <c r="H5638" i="16"/>
  <c r="H5656" i="16"/>
  <c r="H5675" i="16"/>
  <c r="H5694" i="16"/>
  <c r="H5711" i="16"/>
  <c r="H5731" i="16"/>
  <c r="H5750" i="16"/>
  <c r="H5767" i="16"/>
  <c r="H5784" i="16"/>
  <c r="H5799" i="16"/>
  <c r="H5812" i="16"/>
  <c r="H5827" i="16"/>
  <c r="H5840" i="16"/>
  <c r="H5854" i="16"/>
  <c r="H5866" i="16"/>
  <c r="H5877" i="16"/>
  <c r="H5887" i="16"/>
  <c r="H5896" i="16"/>
  <c r="H5905" i="16"/>
  <c r="H5914" i="16"/>
  <c r="H5923" i="16"/>
  <c r="H5932" i="16"/>
  <c r="H5941" i="16"/>
  <c r="H5951" i="16"/>
  <c r="H5960" i="16"/>
  <c r="H5969" i="16"/>
  <c r="H5978" i="16"/>
  <c r="H5987" i="16"/>
  <c r="H5996" i="16"/>
  <c r="H6005" i="16"/>
  <c r="H6015" i="16"/>
  <c r="H6024" i="16"/>
  <c r="H6033" i="16"/>
  <c r="H6042" i="16"/>
  <c r="H6051" i="16"/>
  <c r="H6060" i="16"/>
  <c r="H6069" i="16"/>
  <c r="H6079" i="16"/>
  <c r="H6088" i="16"/>
  <c r="H6097" i="16"/>
  <c r="H6106" i="16"/>
  <c r="H6115" i="16"/>
  <c r="H6124" i="16"/>
  <c r="H6133" i="16"/>
  <c r="H6143" i="16"/>
  <c r="H6152" i="16"/>
  <c r="H6161" i="16"/>
  <c r="H6170" i="16"/>
  <c r="H6179" i="16"/>
  <c r="H6188" i="16"/>
  <c r="H6197" i="16"/>
  <c r="H6207" i="16"/>
  <c r="H6216" i="16"/>
  <c r="H6225" i="16"/>
  <c r="H6234" i="16"/>
  <c r="H6243" i="16"/>
  <c r="H6252" i="16"/>
  <c r="H6261" i="16"/>
  <c r="H6271" i="16"/>
  <c r="H6280" i="16"/>
  <c r="H6289" i="16"/>
  <c r="H6298" i="16"/>
  <c r="H6307" i="16"/>
  <c r="H6316" i="16"/>
  <c r="H6325" i="16"/>
  <c r="H6335" i="16"/>
  <c r="H6344" i="16"/>
  <c r="H6353" i="16"/>
  <c r="H6362" i="16"/>
  <c r="H6371" i="16"/>
  <c r="H6380" i="16"/>
  <c r="H6389" i="16"/>
  <c r="H2886" i="16"/>
  <c r="H3298" i="16"/>
  <c r="H3579" i="16"/>
  <c r="H3779" i="16"/>
  <c r="H3982" i="16"/>
  <c r="H4107" i="16"/>
  <c r="H4212" i="16"/>
  <c r="H4338" i="16"/>
  <c r="H4432" i="16"/>
  <c r="H4525" i="16"/>
  <c r="H4626" i="16"/>
  <c r="H4686" i="16"/>
  <c r="H4739" i="16"/>
  <c r="H4799" i="16"/>
  <c r="H4832" i="16"/>
  <c r="H4854" i="16"/>
  <c r="H4876" i="16"/>
  <c r="H4900" i="16"/>
  <c r="H4923" i="16"/>
  <c r="H4943" i="16"/>
  <c r="H4967" i="16"/>
  <c r="H4988" i="16"/>
  <c r="H5012" i="16"/>
  <c r="H5035" i="16"/>
  <c r="H5055" i="16"/>
  <c r="H5078" i="16"/>
  <c r="H5099" i="16"/>
  <c r="H5124" i="16"/>
  <c r="H5146" i="16"/>
  <c r="H5167" i="16"/>
  <c r="H5189" i="16"/>
  <c r="H5210" i="16"/>
  <c r="H5235" i="16"/>
  <c r="H5256" i="16"/>
  <c r="H5278" i="16"/>
  <c r="H5301" i="16"/>
  <c r="H5323" i="16"/>
  <c r="H5343" i="16"/>
  <c r="H5362" i="16"/>
  <c r="H5380" i="16"/>
  <c r="H5398" i="16"/>
  <c r="H5418" i="16"/>
  <c r="H5435" i="16"/>
  <c r="H5454" i="16"/>
  <c r="H5474" i="16"/>
  <c r="H5491" i="16"/>
  <c r="H5510" i="16"/>
  <c r="H6898" i="16"/>
  <c r="H6890" i="16"/>
  <c r="H6882" i="16"/>
  <c r="H6874" i="16"/>
  <c r="H6866" i="16"/>
  <c r="H6858" i="16"/>
  <c r="H6850" i="16"/>
  <c r="H6842" i="16"/>
  <c r="H6834" i="16"/>
  <c r="H6826" i="16"/>
  <c r="H6818" i="16"/>
  <c r="H6810" i="16"/>
  <c r="H6802" i="16"/>
  <c r="H6794" i="16"/>
  <c r="H6786" i="16"/>
  <c r="H6778" i="16"/>
  <c r="H6770" i="16"/>
  <c r="H6762" i="16"/>
  <c r="H6754" i="16"/>
  <c r="H6746" i="16"/>
  <c r="H6738" i="16"/>
  <c r="H6730" i="16"/>
  <c r="H6722" i="16"/>
  <c r="H6714" i="16"/>
  <c r="H6706" i="16"/>
  <c r="H6698" i="16"/>
  <c r="H6690" i="16"/>
  <c r="H6682" i="16"/>
  <c r="H6674" i="16"/>
  <c r="H6666" i="16"/>
  <c r="H6658" i="16"/>
  <c r="H6650" i="16"/>
  <c r="H6642" i="16"/>
  <c r="H6634" i="16"/>
  <c r="H6626" i="16"/>
  <c r="H6618" i="16"/>
  <c r="H6610" i="16"/>
  <c r="H6602" i="16"/>
  <c r="H6594" i="16"/>
  <c r="H6586" i="16"/>
  <c r="H6578" i="16"/>
  <c r="H6570" i="16"/>
  <c r="H6562" i="16"/>
  <c r="H6554" i="16"/>
  <c r="H6546" i="16"/>
  <c r="H6538" i="16"/>
  <c r="H6530" i="16"/>
  <c r="H6522" i="16"/>
  <c r="H6514" i="16"/>
  <c r="H6506" i="16"/>
  <c r="H6498" i="16"/>
  <c r="H6489" i="16"/>
  <c r="H6480" i="16"/>
  <c r="H6471" i="16"/>
  <c r="H6461" i="16"/>
  <c r="H6452" i="16"/>
  <c r="H6443" i="16"/>
  <c r="H6434" i="16"/>
  <c r="H6425" i="16"/>
  <c r="H6416" i="16"/>
  <c r="H6407" i="16"/>
  <c r="H6397" i="16"/>
  <c r="H6387" i="16"/>
  <c r="H6376" i="16"/>
  <c r="H6363" i="16"/>
  <c r="H6351" i="16"/>
  <c r="H6339" i="16"/>
  <c r="H6327" i="16"/>
  <c r="H6314" i="16"/>
  <c r="H6303" i="16"/>
  <c r="H6290" i="16"/>
  <c r="H6277" i="16"/>
  <c r="H6266" i="16"/>
  <c r="H6253" i="16"/>
  <c r="H6241" i="16"/>
  <c r="H6229" i="16"/>
  <c r="H6217" i="16"/>
  <c r="H6204" i="16"/>
  <c r="H6193" i="16"/>
  <c r="H6180" i="16"/>
  <c r="H6168" i="16"/>
  <c r="H6156" i="16"/>
  <c r="H6144" i="16"/>
  <c r="H6131" i="16"/>
  <c r="H6120" i="16"/>
  <c r="H6107" i="16"/>
  <c r="H6095" i="16"/>
  <c r="H6083" i="16"/>
  <c r="H6071" i="16"/>
  <c r="H6058" i="16"/>
  <c r="H6047" i="16"/>
  <c r="H6034" i="16"/>
  <c r="H6020" i="16"/>
  <c r="H6007" i="16"/>
  <c r="H5992" i="16"/>
  <c r="H5976" i="16"/>
  <c r="H5962" i="16"/>
  <c r="H5947" i="16"/>
  <c r="H5933" i="16"/>
  <c r="H5919" i="16"/>
  <c r="H5903" i="16"/>
  <c r="H5889" i="16"/>
  <c r="H5873" i="16"/>
  <c r="H5855" i="16"/>
  <c r="H5832" i="16"/>
  <c r="H5810" i="16"/>
  <c r="H5789" i="16"/>
  <c r="H5762" i="16"/>
  <c r="H5732" i="16"/>
  <c r="H5703" i="16"/>
  <c r="H5670" i="16"/>
  <c r="H5643" i="16"/>
  <c r="H5612" i="16"/>
  <c r="H5584" i="16"/>
  <c r="H5555" i="16"/>
  <c r="H5522" i="16"/>
  <c r="H5482" i="16"/>
  <c r="H5429" i="16"/>
  <c r="H5382" i="16"/>
  <c r="H5334" i="16"/>
  <c r="H5271" i="16"/>
  <c r="H5215" i="16"/>
  <c r="H5155" i="16"/>
  <c r="H5092" i="16"/>
  <c r="H5036" i="16"/>
  <c r="H4979" i="16"/>
  <c r="H4915" i="16"/>
  <c r="H4859" i="16"/>
  <c r="H4770" i="16"/>
  <c r="H4598" i="16"/>
  <c r="H4339" i="16"/>
  <c r="H4033" i="16"/>
  <c r="H3489" i="16"/>
  <c r="H6745" i="16"/>
  <c r="H6737" i="16"/>
  <c r="H6729" i="16"/>
  <c r="H6721" i="16"/>
  <c r="H6713" i="16"/>
  <c r="H6705" i="16"/>
  <c r="H6697" i="16"/>
  <c r="H6689" i="16"/>
  <c r="H6681" i="16"/>
  <c r="H6673" i="16"/>
  <c r="H6665" i="16"/>
  <c r="H6657" i="16"/>
  <c r="H6649" i="16"/>
  <c r="H6641" i="16"/>
  <c r="H6633" i="16"/>
  <c r="H6625" i="16"/>
  <c r="H6617" i="16"/>
  <c r="H6609" i="16"/>
  <c r="H6601" i="16"/>
  <c r="H6593" i="16"/>
  <c r="H6585" i="16"/>
  <c r="H6577" i="16"/>
  <c r="H6569" i="16"/>
  <c r="H6561" i="16"/>
  <c r="H6553" i="16"/>
  <c r="H6545" i="16"/>
  <c r="H6537" i="16"/>
  <c r="H6529" i="16"/>
  <c r="H6521" i="16"/>
  <c r="H6513" i="16"/>
  <c r="H6505" i="16"/>
  <c r="H6497" i="16"/>
  <c r="H6488" i="16"/>
  <c r="H6479" i="16"/>
  <c r="H6469" i="16"/>
  <c r="H6460" i="16"/>
  <c r="H6451" i="16"/>
  <c r="H6442" i="16"/>
  <c r="H6433" i="16"/>
  <c r="H6424" i="16"/>
  <c r="H6415" i="16"/>
  <c r="H6405" i="16"/>
  <c r="H6396" i="16"/>
  <c r="H6386" i="16"/>
  <c r="H6373" i="16"/>
  <c r="H6361" i="16"/>
  <c r="H6349" i="16"/>
  <c r="H6337" i="16"/>
  <c r="H6324" i="16"/>
  <c r="H6313" i="16"/>
  <c r="H6300" i="16"/>
  <c r="H6288" i="16"/>
  <c r="H6276" i="16"/>
  <c r="H6264" i="16"/>
  <c r="H6251" i="16"/>
  <c r="H6240" i="16"/>
  <c r="H6227" i="16"/>
  <c r="H6215" i="16"/>
  <c r="H6203" i="16"/>
  <c r="H6191" i="16"/>
  <c r="H6178" i="16"/>
  <c r="H6167" i="16"/>
  <c r="H6154" i="16"/>
  <c r="H6141" i="16"/>
  <c r="H6130" i="16"/>
  <c r="H6117" i="16"/>
  <c r="H6105" i="16"/>
  <c r="H6093" i="16"/>
  <c r="H6081" i="16"/>
  <c r="H6068" i="16"/>
  <c r="H6057" i="16"/>
  <c r="H6044" i="16"/>
  <c r="H6032" i="16"/>
  <c r="H6019" i="16"/>
  <c r="H6003" i="16"/>
  <c r="H5989" i="16"/>
  <c r="H5975" i="16"/>
  <c r="H5961" i="16"/>
  <c r="H5946" i="16"/>
  <c r="H5930" i="16"/>
  <c r="H5916" i="16"/>
  <c r="H5901" i="16"/>
  <c r="H5888" i="16"/>
  <c r="H5872" i="16"/>
  <c r="H5851" i="16"/>
  <c r="H5830" i="16"/>
  <c r="H5807" i="16"/>
  <c r="H5786" i="16"/>
  <c r="H5758" i="16"/>
  <c r="H5726" i="16"/>
  <c r="H5699" i="16"/>
  <c r="H5668" i="16"/>
  <c r="H5640" i="16"/>
  <c r="H5611" i="16"/>
  <c r="H5579" i="16"/>
  <c r="H5549" i="16"/>
  <c r="H5518" i="16"/>
  <c r="H5475" i="16"/>
  <c r="H5427" i="16"/>
  <c r="H5374" i="16"/>
  <c r="H5327" i="16"/>
  <c r="H5266" i="16"/>
  <c r="H5204" i="16"/>
  <c r="H5147" i="16"/>
  <c r="H5090" i="16"/>
  <c r="H5026" i="16"/>
  <c r="H4970" i="16"/>
  <c r="H4911" i="16"/>
  <c r="H4847" i="16"/>
  <c r="H4749" i="16"/>
  <c r="H4580" i="16"/>
  <c r="H4296" i="16"/>
  <c r="H3984" i="16"/>
  <c r="H3443" i="16"/>
  <c r="H2337" i="16"/>
  <c r="H2329" i="16"/>
  <c r="H2321" i="16"/>
  <c r="H2313" i="16"/>
  <c r="H2305" i="16"/>
  <c r="H2297" i="16"/>
  <c r="H2289" i="16"/>
  <c r="H2281" i="16"/>
  <c r="H2273" i="16"/>
  <c r="H2265" i="16"/>
  <c r="H2257" i="16"/>
  <c r="H2249" i="16"/>
  <c r="H2241" i="16"/>
  <c r="H2233" i="16"/>
  <c r="H2225" i="16"/>
  <c r="H2217" i="16"/>
  <c r="H2209" i="16"/>
  <c r="H2201" i="16"/>
  <c r="H2193" i="16"/>
  <c r="H2185" i="16"/>
  <c r="H2177" i="16"/>
  <c r="H2169" i="16"/>
  <c r="H2161" i="16"/>
  <c r="H2153" i="16"/>
  <c r="H2145" i="16"/>
  <c r="H2137" i="16"/>
  <c r="H2129" i="16"/>
  <c r="H2121" i="16"/>
  <c r="H2113" i="16"/>
  <c r="H2105" i="16"/>
  <c r="H2097" i="16"/>
  <c r="H2089" i="16"/>
  <c r="H2081" i="16"/>
  <c r="H2073" i="16"/>
  <c r="H2065" i="16"/>
  <c r="H2057" i="16"/>
  <c r="H2049" i="16"/>
  <c r="H2041" i="16"/>
  <c r="H2033" i="16"/>
  <c r="H2025" i="16"/>
  <c r="H2017" i="16"/>
  <c r="H2009" i="16"/>
  <c r="H2001" i="16"/>
  <c r="H1993" i="16"/>
  <c r="H1985" i="16"/>
  <c r="H1977" i="16"/>
  <c r="H1969" i="16"/>
  <c r="H1961" i="16"/>
  <c r="H1953" i="16"/>
  <c r="H1945" i="16"/>
  <c r="H1937" i="16"/>
  <c r="H1929" i="16"/>
  <c r="H1921" i="16"/>
  <c r="H1913" i="16"/>
  <c r="H1905" i="16"/>
  <c r="H1897" i="16"/>
  <c r="H1889" i="16"/>
  <c r="H1881" i="16"/>
  <c r="H1873" i="16"/>
  <c r="H1865" i="16"/>
  <c r="H1857" i="16"/>
  <c r="H1849" i="16"/>
  <c r="H1841" i="16"/>
  <c r="H1833" i="16"/>
  <c r="H1825" i="16"/>
  <c r="H1817" i="16"/>
  <c r="H1809" i="16"/>
  <c r="H1801" i="16"/>
  <c r="H1793" i="16"/>
  <c r="H1785" i="16"/>
  <c r="H1777" i="16"/>
  <c r="H1769" i="16"/>
  <c r="H1761" i="16"/>
  <c r="H1753" i="16"/>
  <c r="H1745" i="16"/>
  <c r="H1737" i="16"/>
  <c r="H1729" i="16"/>
  <c r="H1721" i="16"/>
  <c r="H1713" i="16"/>
  <c r="H1705" i="16"/>
  <c r="H1697" i="16"/>
  <c r="H1689" i="16"/>
  <c r="H1681" i="16"/>
  <c r="H1673" i="16"/>
  <c r="H1665" i="16"/>
  <c r="H1657" i="16"/>
  <c r="H1649" i="16"/>
  <c r="H1641" i="16"/>
  <c r="H1633" i="16"/>
  <c r="H1625" i="16"/>
  <c r="H1617" i="16"/>
  <c r="H1609" i="16"/>
  <c r="H1601" i="16"/>
  <c r="H1593" i="16"/>
  <c r="H1585" i="16"/>
  <c r="H1577" i="16"/>
  <c r="H1569" i="16"/>
  <c r="H1561" i="16"/>
  <c r="H1553" i="16"/>
  <c r="H1545" i="16"/>
  <c r="H1537" i="16"/>
  <c r="H1529" i="16"/>
  <c r="H1521" i="16"/>
  <c r="H1513" i="16"/>
  <c r="H1505" i="16"/>
  <c r="H1497" i="16"/>
  <c r="H1489" i="16"/>
  <c r="H1481" i="16"/>
  <c r="H1473" i="16"/>
  <c r="H1465" i="16"/>
  <c r="H1457" i="16"/>
  <c r="H1449" i="16"/>
  <c r="H1441" i="16"/>
  <c r="H1433" i="16"/>
  <c r="H1425" i="16"/>
  <c r="H1417" i="16"/>
  <c r="H1409" i="16"/>
  <c r="H1401" i="16"/>
  <c r="H1393" i="16"/>
  <c r="H1385" i="16"/>
  <c r="H1377" i="16"/>
  <c r="H1369" i="16"/>
  <c r="H1361" i="16"/>
  <c r="H1353" i="16"/>
  <c r="H1345" i="16"/>
  <c r="H1337" i="16"/>
  <c r="H1329" i="16"/>
  <c r="H1321" i="16"/>
  <c r="H1313" i="16"/>
  <c r="H1305" i="16"/>
  <c r="H1297" i="16"/>
  <c r="H1289" i="16"/>
  <c r="H1281" i="16"/>
  <c r="H1273" i="16"/>
  <c r="H1265" i="16"/>
  <c r="H1257" i="16"/>
  <c r="H1249" i="16"/>
  <c r="H1241" i="16"/>
  <c r="H1233" i="16"/>
  <c r="H1225" i="16"/>
  <c r="H1217" i="16"/>
  <c r="H1209" i="16"/>
  <c r="H1201" i="16"/>
  <c r="H1193" i="16"/>
  <c r="H1185" i="16"/>
  <c r="H1177" i="16"/>
  <c r="H1169" i="16"/>
  <c r="H1161" i="16"/>
  <c r="H1153" i="16"/>
  <c r="H1145" i="16"/>
  <c r="H1137" i="16"/>
  <c r="H1129" i="16"/>
  <c r="H1121" i="16"/>
  <c r="H1113" i="16"/>
  <c r="H1105" i="16"/>
  <c r="H1097" i="16"/>
  <c r="H1089" i="16"/>
  <c r="H1081" i="16"/>
  <c r="H1073" i="16"/>
  <c r="H1065" i="16"/>
  <c r="H1057" i="16"/>
  <c r="H1049" i="16"/>
  <c r="H1041" i="16"/>
  <c r="H1033" i="16"/>
  <c r="H1025" i="16"/>
  <c r="H1017" i="16"/>
  <c r="H1009" i="16"/>
  <c r="H1001" i="16"/>
  <c r="H993" i="16"/>
  <c r="H985" i="16"/>
  <c r="H977" i="16"/>
  <c r="H969" i="16"/>
  <c r="H961" i="16"/>
  <c r="H953" i="16"/>
  <c r="H945" i="16"/>
  <c r="H937" i="16"/>
  <c r="H929" i="16"/>
  <c r="H921" i="16"/>
  <c r="H913" i="16"/>
  <c r="H905" i="16"/>
  <c r="H897" i="16"/>
  <c r="H889" i="16"/>
  <c r="H881" i="16"/>
  <c r="H873" i="16"/>
  <c r="H865" i="16"/>
  <c r="H857" i="16"/>
  <c r="H849" i="16"/>
  <c r="H841" i="16"/>
  <c r="H833" i="16"/>
  <c r="H825" i="16"/>
  <c r="H817" i="16"/>
  <c r="H809" i="16"/>
  <c r="H801" i="16"/>
  <c r="H793" i="16"/>
  <c r="H785" i="16"/>
  <c r="H777" i="16"/>
  <c r="H769" i="16"/>
  <c r="H761" i="16"/>
  <c r="H753" i="16"/>
  <c r="H745" i="16"/>
  <c r="H737" i="16"/>
  <c r="H729" i="16"/>
  <c r="H721" i="16"/>
  <c r="H713" i="16"/>
  <c r="H705" i="16"/>
  <c r="H697" i="16"/>
  <c r="H689" i="16"/>
  <c r="H681" i="16"/>
  <c r="H673" i="16"/>
  <c r="H665" i="16"/>
  <c r="H657" i="16"/>
  <c r="H649" i="16"/>
  <c r="H641" i="16"/>
  <c r="H633" i="16"/>
  <c r="H625" i="16"/>
  <c r="H617" i="16"/>
  <c r="H609" i="16"/>
  <c r="H601" i="16"/>
  <c r="H593" i="16"/>
  <c r="H585" i="16"/>
  <c r="H577" i="16"/>
  <c r="H569" i="16"/>
  <c r="H561" i="16"/>
  <c r="H553" i="16"/>
  <c r="H545" i="16"/>
  <c r="H537" i="16"/>
  <c r="H529" i="16"/>
  <c r="H521" i="16"/>
  <c r="H513" i="16"/>
  <c r="H505" i="16"/>
  <c r="H497" i="16"/>
  <c r="H489" i="16"/>
  <c r="H481" i="16"/>
  <c r="H473" i="16"/>
  <c r="H465" i="16"/>
  <c r="H457" i="16"/>
  <c r="H449" i="16"/>
  <c r="H441" i="16"/>
  <c r="H433" i="16"/>
  <c r="H425" i="16"/>
  <c r="H417" i="16"/>
  <c r="H409" i="16"/>
  <c r="H401" i="16"/>
  <c r="H393" i="16"/>
  <c r="H385" i="16"/>
  <c r="H377" i="16"/>
  <c r="H369" i="16"/>
  <c r="H361" i="16"/>
  <c r="H353" i="16"/>
  <c r="H345" i="16"/>
  <c r="H337" i="16"/>
  <c r="H329" i="16"/>
  <c r="H321" i="16"/>
  <c r="H313" i="16"/>
  <c r="H305" i="16"/>
  <c r="H297" i="16"/>
  <c r="H289" i="16"/>
  <c r="H281" i="16"/>
  <c r="H273" i="16"/>
  <c r="H265" i="16"/>
  <c r="H257" i="16"/>
  <c r="H249" i="16"/>
  <c r="H241" i="16"/>
  <c r="H233" i="16"/>
  <c r="H225" i="16"/>
  <c r="H217" i="16"/>
  <c r="H209" i="16"/>
  <c r="H201" i="16"/>
  <c r="H193" i="16"/>
  <c r="H185" i="16"/>
  <c r="H177" i="16"/>
  <c r="H169" i="16"/>
  <c r="H161" i="16"/>
  <c r="H153" i="16"/>
  <c r="H145" i="16"/>
  <c r="H137" i="16"/>
  <c r="H129" i="16"/>
  <c r="H121" i="16"/>
  <c r="H113" i="16"/>
  <c r="H105" i="16"/>
  <c r="H97" i="16"/>
  <c r="H89" i="16"/>
  <c r="H81" i="16"/>
  <c r="H73" i="16"/>
  <c r="H65" i="16"/>
  <c r="H57" i="16"/>
  <c r="H49" i="16"/>
  <c r="H41" i="16"/>
  <c r="H33" i="16"/>
  <c r="H25" i="16"/>
  <c r="H17" i="16"/>
  <c r="H9" i="16"/>
  <c r="H1245" i="16"/>
  <c r="H2088" i="16"/>
  <c r="H1356" i="16"/>
  <c r="H939" i="16"/>
  <c r="H1509" i="16"/>
  <c r="H1076" i="16"/>
  <c r="H717" i="16"/>
  <c r="H5166" i="16"/>
  <c r="H5157" i="16"/>
  <c r="H5148" i="16"/>
  <c r="H5139" i="16"/>
  <c r="H5130" i="16"/>
  <c r="H5120" i="16"/>
  <c r="H5111" i="16"/>
  <c r="H5102" i="16"/>
  <c r="H5093" i="16"/>
  <c r="H5084" i="16"/>
  <c r="H5075" i="16"/>
  <c r="H5066" i="16"/>
  <c r="H5056" i="16"/>
  <c r="H5047" i="16"/>
  <c r="H5038" i="16"/>
  <c r="H5029" i="16"/>
  <c r="H5020" i="16"/>
  <c r="H5011" i="16"/>
  <c r="H5002" i="16"/>
  <c r="H4992" i="16"/>
  <c r="H4983" i="16"/>
  <c r="H4974" i="16"/>
  <c r="H4965" i="16"/>
  <c r="H4956" i="16"/>
  <c r="H4947" i="16"/>
  <c r="H4938" i="16"/>
  <c r="H4928" i="16"/>
  <c r="H4919" i="16"/>
  <c r="H4910" i="16"/>
  <c r="H4901" i="16"/>
  <c r="H4892" i="16"/>
  <c r="H4883" i="16"/>
  <c r="H4874" i="16"/>
  <c r="H4864" i="16"/>
  <c r="H4855" i="16"/>
  <c r="H4846" i="16"/>
  <c r="H4837" i="16"/>
  <c r="H4828" i="16"/>
  <c r="H4819" i="16"/>
  <c r="H4810" i="16"/>
  <c r="H4800" i="16"/>
  <c r="H4791" i="16"/>
  <c r="H4782" i="16"/>
  <c r="H4773" i="16"/>
  <c r="H4764" i="16"/>
  <c r="H4755" i="16"/>
  <c r="H4746" i="16"/>
  <c r="H4736" i="16"/>
  <c r="H4727" i="16"/>
  <c r="H4718" i="16"/>
  <c r="H4709" i="16"/>
  <c r="H4700" i="16"/>
  <c r="H4691" i="16"/>
  <c r="H4682" i="16"/>
  <c r="H4672" i="16"/>
  <c r="H4663" i="16"/>
  <c r="H4654" i="16"/>
  <c r="H4645" i="16"/>
  <c r="H4636" i="16"/>
  <c r="H4627" i="16"/>
  <c r="H4618" i="16"/>
  <c r="H4608" i="16"/>
  <c r="H4599" i="16"/>
  <c r="H4590" i="16"/>
  <c r="H4581" i="16"/>
  <c r="H4572" i="16"/>
  <c r="H4563" i="16"/>
  <c r="H4554" i="16"/>
  <c r="H4544" i="16"/>
  <c r="H4535" i="16"/>
  <c r="H4526" i="16"/>
  <c r="H4517" i="16"/>
  <c r="H4508" i="16"/>
  <c r="H4499" i="16"/>
  <c r="H4490" i="16"/>
  <c r="H4480" i="16"/>
  <c r="H4471" i="16"/>
  <c r="H4462" i="16"/>
  <c r="H4453" i="16"/>
  <c r="H4444" i="16"/>
  <c r="H4435" i="16"/>
  <c r="H4426" i="16"/>
  <c r="H4416" i="16"/>
  <c r="H4407" i="16"/>
  <c r="H4398" i="16"/>
  <c r="H4389" i="16"/>
  <c r="H4380" i="16"/>
  <c r="H4371" i="16"/>
  <c r="H4362" i="16"/>
  <c r="H4352" i="16"/>
  <c r="H4343" i="16"/>
  <c r="H4334" i="16"/>
  <c r="H4324" i="16"/>
  <c r="H4314" i="16"/>
  <c r="H4304" i="16"/>
  <c r="H4293" i="16"/>
  <c r="H4282" i="16"/>
  <c r="H4272" i="16"/>
  <c r="H4261" i="16"/>
  <c r="H4251" i="16"/>
  <c r="H4241" i="16"/>
  <c r="H4230" i="16"/>
  <c r="H4220" i="16"/>
  <c r="H4209" i="16"/>
  <c r="H4198" i="16"/>
  <c r="H4188" i="16"/>
  <c r="H4178" i="16"/>
  <c r="H4168" i="16"/>
  <c r="H4157" i="16"/>
  <c r="H4147" i="16"/>
  <c r="H4136" i="16"/>
  <c r="H4125" i="16"/>
  <c r="H4115" i="16"/>
  <c r="H4105" i="16"/>
  <c r="H4094" i="16"/>
  <c r="H4084" i="16"/>
  <c r="H4074" i="16"/>
  <c r="H4062" i="16"/>
  <c r="H4052" i="16"/>
  <c r="H4042" i="16"/>
  <c r="H4032" i="16"/>
  <c r="H4021" i="16"/>
  <c r="H4011" i="16"/>
  <c r="H4001" i="16"/>
  <c r="H3989" i="16"/>
  <c r="H3979" i="16"/>
  <c r="H3969" i="16"/>
  <c r="H3958" i="16"/>
  <c r="H3947" i="16"/>
  <c r="H3936" i="16"/>
  <c r="H3924" i="16"/>
  <c r="H3911" i="16"/>
  <c r="H3899" i="16"/>
  <c r="H3888" i="16"/>
  <c r="H3875" i="16"/>
  <c r="H3864" i="16"/>
  <c r="H3852" i="16"/>
  <c r="H3840" i="16"/>
  <c r="H3827" i="16"/>
  <c r="H3816" i="16"/>
  <c r="H3803" i="16"/>
  <c r="H3792" i="16"/>
  <c r="H3780" i="16"/>
  <c r="H3769" i="16"/>
  <c r="H3756" i="16"/>
  <c r="H3744" i="16"/>
  <c r="H3732" i="16"/>
  <c r="H3720" i="16"/>
  <c r="H3708" i="16"/>
  <c r="H3697" i="16"/>
  <c r="H3684" i="16"/>
  <c r="H3673" i="16"/>
  <c r="H3660" i="16"/>
  <c r="H3648" i="16"/>
  <c r="H3636" i="16"/>
  <c r="H3625" i="16"/>
  <c r="H3614" i="16"/>
  <c r="H3601" i="16"/>
  <c r="H3590" i="16"/>
  <c r="H3577" i="16"/>
  <c r="H3564" i="16"/>
  <c r="H3553" i="16"/>
  <c r="H3542" i="16"/>
  <c r="H3529" i="16"/>
  <c r="H3518" i="16"/>
  <c r="H3505" i="16"/>
  <c r="H3490" i="16"/>
  <c r="H3476" i="16"/>
  <c r="H3464" i="16"/>
  <c r="H3450" i="16"/>
  <c r="H3436" i="16"/>
  <c r="H3423" i="16"/>
  <c r="H3410" i="16"/>
  <c r="H3394" i="16"/>
  <c r="H3382" i="16"/>
  <c r="H3368" i="16"/>
  <c r="H3354" i="16"/>
  <c r="H3340" i="16"/>
  <c r="H3328" i="16"/>
  <c r="H3315" i="16"/>
  <c r="H3299" i="16"/>
  <c r="H3286" i="16"/>
  <c r="H3273" i="16"/>
  <c r="H3258" i="16"/>
  <c r="H3246" i="16"/>
  <c r="H3233" i="16"/>
  <c r="H3218" i="16"/>
  <c r="H3203" i="16"/>
  <c r="H3191" i="16"/>
  <c r="H3176" i="16"/>
  <c r="H3163" i="16"/>
  <c r="H3151" i="16"/>
  <c r="H3137" i="16"/>
  <c r="H3123" i="16"/>
  <c r="H3108" i="16"/>
  <c r="H3094" i="16"/>
  <c r="H3076" i="16"/>
  <c r="H3062" i="16"/>
  <c r="H3043" i="16"/>
  <c r="H3025" i="16"/>
  <c r="H3007" i="16"/>
  <c r="H2989" i="16"/>
  <c r="H2968" i="16"/>
  <c r="H2952" i="16"/>
  <c r="H2935" i="16"/>
  <c r="H2918" i="16"/>
  <c r="H2898" i="16"/>
  <c r="H2881" i="16"/>
  <c r="H2861" i="16"/>
  <c r="H2835" i="16"/>
  <c r="H2800" i="16"/>
  <c r="H2754" i="16"/>
  <c r="H2692" i="16"/>
  <c r="H2639" i="16"/>
  <c r="H2549" i="16"/>
  <c r="H2445" i="16"/>
  <c r="H2349" i="16"/>
  <c r="H2264" i="16"/>
  <c r="H2168" i="16"/>
  <c r="H2013" i="16"/>
  <c r="H1827" i="16"/>
  <c r="H5321" i="16"/>
  <c r="H5329" i="16"/>
  <c r="H5337" i="16"/>
  <c r="H5345" i="16"/>
  <c r="H5353" i="16"/>
  <c r="H5361" i="16"/>
  <c r="H5369" i="16"/>
  <c r="H5377" i="16"/>
  <c r="H5385" i="16"/>
  <c r="H5393" i="16"/>
  <c r="H5401" i="16"/>
  <c r="H5409" i="16"/>
  <c r="H5417" i="16"/>
  <c r="H5425" i="16"/>
  <c r="H5433" i="16"/>
  <c r="H5441" i="16"/>
  <c r="H5449" i="16"/>
  <c r="H5457" i="16"/>
  <c r="H5465" i="16"/>
  <c r="H5473" i="16"/>
  <c r="H5481" i="16"/>
  <c r="H5489" i="16"/>
  <c r="H5497" i="16"/>
  <c r="H5505" i="16"/>
  <c r="H5513" i="16"/>
  <c r="H5521" i="16"/>
  <c r="H5529" i="16"/>
  <c r="H5537" i="16"/>
  <c r="H5545" i="16"/>
  <c r="H5553" i="16"/>
  <c r="H5561" i="16"/>
  <c r="H5569" i="16"/>
  <c r="H5577" i="16"/>
  <c r="H5585" i="16"/>
  <c r="H5593" i="16"/>
  <c r="H5601" i="16"/>
  <c r="H5609" i="16"/>
  <c r="H5617" i="16"/>
  <c r="H5625" i="16"/>
  <c r="H5633" i="16"/>
  <c r="H5641" i="16"/>
  <c r="H5649" i="16"/>
  <c r="H5657" i="16"/>
  <c r="H5665" i="16"/>
  <c r="H5673" i="16"/>
  <c r="H5681" i="16"/>
  <c r="H5689" i="16"/>
  <c r="H5697" i="16"/>
  <c r="H5705" i="16"/>
  <c r="H5713" i="16"/>
  <c r="H5721" i="16"/>
  <c r="H5729" i="16"/>
  <c r="H5737" i="16"/>
  <c r="H5745" i="16"/>
  <c r="H5753" i="16"/>
  <c r="H5761" i="16"/>
  <c r="H5769" i="16"/>
  <c r="H5777" i="16"/>
  <c r="H5785" i="16"/>
  <c r="H5793" i="16"/>
  <c r="H5801" i="16"/>
  <c r="H5809" i="16"/>
  <c r="H5817" i="16"/>
  <c r="H5825" i="16"/>
  <c r="H5833" i="16"/>
  <c r="H5841" i="16"/>
  <c r="H5849" i="16"/>
  <c r="H5857" i="16"/>
  <c r="H5865" i="16"/>
  <c r="H1139" i="16"/>
  <c r="H5313" i="16"/>
  <c r="H5305" i="16"/>
  <c r="H5297" i="16"/>
  <c r="H5289" i="16"/>
  <c r="H5281" i="16"/>
  <c r="H5273" i="16"/>
  <c r="H5265" i="16"/>
  <c r="H5257" i="16"/>
  <c r="H5249" i="16"/>
  <c r="H5241" i="16"/>
  <c r="H5233" i="16"/>
  <c r="H5225" i="16"/>
  <c r="H5217" i="16"/>
  <c r="H5209" i="16"/>
  <c r="H5201" i="16"/>
  <c r="H5193" i="16"/>
  <c r="H5185" i="16"/>
  <c r="H5177" i="16"/>
  <c r="H5169" i="16"/>
  <c r="H5161" i="16"/>
  <c r="H5153" i="16"/>
  <c r="H5145" i="16"/>
  <c r="H5137" i="16"/>
  <c r="H5129" i="16"/>
  <c r="H5121" i="16"/>
  <c r="H5113" i="16"/>
  <c r="H5105" i="16"/>
  <c r="H5097" i="16"/>
  <c r="H5089" i="16"/>
  <c r="H5081" i="16"/>
  <c r="H5073" i="16"/>
  <c r="H5065" i="16"/>
  <c r="H5057" i="16"/>
  <c r="H5049" i="16"/>
  <c r="H5041" i="16"/>
  <c r="H5033" i="16"/>
  <c r="H5025" i="16"/>
  <c r="H5017" i="16"/>
  <c r="H5009" i="16"/>
  <c r="H5001" i="16"/>
  <c r="H4993" i="16"/>
  <c r="H4985" i="16"/>
  <c r="H4977" i="16"/>
  <c r="H4969" i="16"/>
  <c r="H4961" i="16"/>
  <c r="H4953" i="16"/>
  <c r="H4945" i="16"/>
  <c r="H4937" i="16"/>
  <c r="H4929" i="16"/>
  <c r="H4921" i="16"/>
  <c r="H4913" i="16"/>
  <c r="H4905" i="16"/>
  <c r="H4897" i="16"/>
  <c r="H4889" i="16"/>
  <c r="H4881" i="16"/>
  <c r="H4873" i="16"/>
  <c r="H4865" i="16"/>
  <c r="H4857" i="16"/>
  <c r="H4849" i="16"/>
  <c r="H4841" i="16"/>
  <c r="H4833" i="16"/>
  <c r="H4825" i="16"/>
  <c r="H4817" i="16"/>
  <c r="H4809" i="16"/>
  <c r="H4801" i="16"/>
  <c r="H4793" i="16"/>
  <c r="H4785" i="16"/>
  <c r="H4777" i="16"/>
  <c r="H4769" i="16"/>
  <c r="H4761" i="16"/>
  <c r="H4753" i="16"/>
  <c r="H4745" i="16"/>
  <c r="H4737" i="16"/>
  <c r="H4729" i="16"/>
  <c r="H4721" i="16"/>
  <c r="H4713" i="16"/>
  <c r="H4705" i="16"/>
  <c r="H4697" i="16"/>
  <c r="H4689" i="16"/>
  <c r="H4681" i="16"/>
  <c r="H4673" i="16"/>
  <c r="H4665" i="16"/>
  <c r="H4657" i="16"/>
  <c r="H4649" i="16"/>
  <c r="H4641" i="16"/>
  <c r="H4633" i="16"/>
  <c r="H4625" i="16"/>
  <c r="H4617" i="16"/>
  <c r="H4609" i="16"/>
  <c r="H4601" i="16"/>
  <c r="H4593" i="16"/>
  <c r="H4585" i="16"/>
  <c r="H4577" i="16"/>
  <c r="H4569" i="16"/>
  <c r="H4561" i="16"/>
  <c r="H4553" i="16"/>
  <c r="H4545" i="16"/>
  <c r="H4537" i="16"/>
  <c r="H4529" i="16"/>
  <c r="H4521" i="16"/>
  <c r="H4513" i="16"/>
  <c r="H4505" i="16"/>
  <c r="H4497" i="16"/>
  <c r="H4489" i="16"/>
  <c r="H4481" i="16"/>
  <c r="H4473" i="16"/>
  <c r="H4465" i="16"/>
  <c r="H4457" i="16"/>
  <c r="H4449" i="16"/>
  <c r="H4441" i="16"/>
  <c r="H4433" i="16"/>
  <c r="H4425" i="16"/>
  <c r="H4417" i="16"/>
  <c r="H4409" i="16"/>
  <c r="H4401" i="16"/>
  <c r="H4393" i="16"/>
  <c r="H4385" i="16"/>
  <c r="H4377" i="16"/>
  <c r="H4369" i="16"/>
  <c r="H4361" i="16"/>
  <c r="H4353" i="16"/>
  <c r="H4345" i="16"/>
  <c r="H4337" i="16"/>
  <c r="H4329" i="16"/>
  <c r="H4320" i="16"/>
  <c r="H4310" i="16"/>
  <c r="H4301" i="16"/>
  <c r="H4292" i="16"/>
  <c r="H4283" i="16"/>
  <c r="H4274" i="16"/>
  <c r="H4265" i="16"/>
  <c r="H4256" i="16"/>
  <c r="H4246" i="16"/>
  <c r="H4237" i="16"/>
  <c r="H4228" i="16"/>
  <c r="H4219" i="16"/>
  <c r="H4210" i="16"/>
  <c r="H4201" i="16"/>
  <c r="H4192" i="16"/>
  <c r="H4182" i="16"/>
  <c r="H4173" i="16"/>
  <c r="H4164" i="16"/>
  <c r="H4155" i="16"/>
  <c r="H4146" i="16"/>
  <c r="H4137" i="16"/>
  <c r="H4128" i="16"/>
  <c r="H4118" i="16"/>
  <c r="H4109" i="16"/>
  <c r="H4100" i="16"/>
  <c r="H4091" i="16"/>
  <c r="H4082" i="16"/>
  <c r="H4073" i="16"/>
  <c r="H4064" i="16"/>
  <c r="H4054" i="16"/>
  <c r="H4045" i="16"/>
  <c r="H4036" i="16"/>
  <c r="H4027" i="16"/>
  <c r="H4018" i="16"/>
  <c r="H4009" i="16"/>
  <c r="H4000" i="16"/>
  <c r="H3990" i="16"/>
  <c r="H3981" i="16"/>
  <c r="H3972" i="16"/>
  <c r="H3963" i="16"/>
  <c r="H3954" i="16"/>
  <c r="H3944" i="16"/>
  <c r="H3934" i="16"/>
  <c r="H3922" i="16"/>
  <c r="H3912" i="16"/>
  <c r="H3902" i="16"/>
  <c r="H3891" i="16"/>
  <c r="H3881" i="16"/>
  <c r="H3871" i="16"/>
  <c r="H3860" i="16"/>
  <c r="H3849" i="16"/>
  <c r="H3839" i="16"/>
  <c r="H3828" i="16"/>
  <c r="H3818" i="16"/>
  <c r="H3808" i="16"/>
  <c r="H3798" i="16"/>
  <c r="H3787" i="16"/>
  <c r="H3776" i="16"/>
  <c r="H3766" i="16"/>
  <c r="H3755" i="16"/>
  <c r="H3745" i="16"/>
  <c r="H3735" i="16"/>
  <c r="H3724" i="16"/>
  <c r="H3714" i="16"/>
  <c r="H3703" i="16"/>
  <c r="H3692" i="16"/>
  <c r="H3682" i="16"/>
  <c r="H3672" i="16"/>
  <c r="H3662" i="16"/>
  <c r="H3651" i="16"/>
  <c r="H3641" i="16"/>
  <c r="H3630" i="16"/>
  <c r="H3619" i="16"/>
  <c r="H3609" i="16"/>
  <c r="H3599" i="16"/>
  <c r="H3588" i="16"/>
  <c r="H3578" i="16"/>
  <c r="H3568" i="16"/>
  <c r="H3556" i="16"/>
  <c r="H3546" i="16"/>
  <c r="H3536" i="16"/>
  <c r="H3526" i="16"/>
  <c r="H3515" i="16"/>
  <c r="H3504" i="16"/>
  <c r="H3492" i="16"/>
  <c r="H3480" i="16"/>
  <c r="H3467" i="16"/>
  <c r="H3456" i="16"/>
  <c r="H3444" i="16"/>
  <c r="H3432" i="16"/>
  <c r="H3420" i="16"/>
  <c r="H3409" i="16"/>
  <c r="H3395" i="16"/>
  <c r="H3384" i="16"/>
  <c r="H3372" i="16"/>
  <c r="H3361" i="16"/>
  <c r="H3348" i="16"/>
  <c r="H3337" i="16"/>
  <c r="H3326" i="16"/>
  <c r="H3312" i="16"/>
  <c r="H3300" i="16"/>
  <c r="H3289" i="16"/>
  <c r="H3276" i="16"/>
  <c r="H3265" i="16"/>
  <c r="H3254" i="16"/>
  <c r="H3242" i="16"/>
  <c r="H3228" i="16"/>
  <c r="H3217" i="16"/>
  <c r="H3206" i="16"/>
  <c r="H3193" i="16"/>
  <c r="H3182" i="16"/>
  <c r="H3170" i="16"/>
  <c r="H3158" i="16"/>
  <c r="H3145" i="16"/>
  <c r="H3134" i="16"/>
  <c r="H3121" i="16"/>
  <c r="H3110" i="16"/>
  <c r="H3096" i="16"/>
  <c r="H3083" i="16"/>
  <c r="H3068" i="16"/>
  <c r="H3053" i="16"/>
  <c r="H3037" i="16"/>
  <c r="H3019" i="16"/>
  <c r="H3005" i="16"/>
  <c r="H2990" i="16"/>
  <c r="H2973" i="16"/>
  <c r="H2958" i="16"/>
  <c r="H2942" i="16"/>
  <c r="H2926" i="16"/>
  <c r="H2910" i="16"/>
  <c r="H2895" i="16"/>
  <c r="H2880" i="16"/>
  <c r="H2863" i="16"/>
  <c r="H2842" i="16"/>
  <c r="H2817" i="16"/>
  <c r="H2773" i="16"/>
  <c r="H2727" i="16"/>
  <c r="H2675" i="16"/>
  <c r="H2619" i="16"/>
  <c r="H2540" i="16"/>
  <c r="H2461" i="16"/>
  <c r="H2365" i="16"/>
  <c r="H2285" i="16"/>
  <c r="H2205" i="16"/>
  <c r="H2112" i="16"/>
  <c r="H1964" i="16"/>
  <c r="H1763" i="16"/>
  <c r="H823" i="16"/>
  <c r="H1596" i="16"/>
  <c r="H1861" i="16"/>
  <c r="H1990" i="16"/>
  <c r="H2103" i="16"/>
  <c r="H2183" i="16"/>
  <c r="H2247" i="16"/>
  <c r="H2310" i="16"/>
  <c r="H2375" i="16"/>
  <c r="H2438" i="16"/>
  <c r="H2503" i="16"/>
  <c r="H2567" i="16"/>
  <c r="H2628" i="16"/>
  <c r="H2670" i="16"/>
  <c r="H2707" i="16"/>
  <c r="H2745" i="16"/>
  <c r="H2778" i="16"/>
  <c r="H2815" i="16"/>
  <c r="H2833" i="16"/>
  <c r="H2849" i="16"/>
  <c r="H2866" i="16"/>
  <c r="H2879" i="16"/>
  <c r="H2890" i="16"/>
  <c r="H2903" i="16"/>
  <c r="H2915" i="16"/>
  <c r="H2927" i="16"/>
  <c r="H2939" i="16"/>
  <c r="H2950" i="16"/>
  <c r="H2962" i="16"/>
  <c r="H2974" i="16"/>
  <c r="H2986" i="16"/>
  <c r="H2999" i="16"/>
  <c r="H3010" i="16"/>
  <c r="H3023" i="16"/>
  <c r="H3035" i="16"/>
  <c r="H3047" i="16"/>
  <c r="H3059" i="16"/>
  <c r="H3071" i="16"/>
  <c r="H3081" i="16"/>
  <c r="H3092" i="16"/>
  <c r="H3103" i="16"/>
  <c r="H3113" i="16"/>
  <c r="H3122" i="16"/>
  <c r="H3131" i="16"/>
  <c r="H3140" i="16"/>
  <c r="H3150" i="16"/>
  <c r="H3159" i="16"/>
  <c r="H3168" i="16"/>
  <c r="H3177" i="16"/>
  <c r="H3186" i="16"/>
  <c r="H3195" i="16"/>
  <c r="H3204" i="16"/>
  <c r="H3214" i="16"/>
  <c r="H3223" i="16"/>
  <c r="H3232" i="16"/>
  <c r="H3241" i="16"/>
  <c r="H3250" i="16"/>
  <c r="H3259" i="16"/>
  <c r="H3268" i="16"/>
  <c r="H3278" i="16"/>
  <c r="H3287" i="16"/>
  <c r="H3296" i="16"/>
  <c r="H3305" i="16"/>
  <c r="H3314" i="16"/>
  <c r="H3323" i="16"/>
  <c r="H3332" i="16"/>
  <c r="H3342" i="16"/>
  <c r="H3351" i="16"/>
  <c r="H3360" i="16"/>
  <c r="H3369" i="16"/>
  <c r="H3378" i="16"/>
  <c r="H3387" i="16"/>
  <c r="H3396" i="16"/>
  <c r="H3406" i="16"/>
  <c r="H3415" i="16"/>
  <c r="H3424" i="16"/>
  <c r="H3433" i="16"/>
  <c r="H3442" i="16"/>
  <c r="H3451" i="16"/>
  <c r="H3460" i="16"/>
  <c r="H3470" i="16"/>
  <c r="H3479" i="16"/>
  <c r="H3488" i="16"/>
  <c r="H3497" i="16"/>
  <c r="H3506" i="16"/>
  <c r="H1027" i="16"/>
  <c r="H1702" i="16"/>
  <c r="H1924" i="16"/>
  <c r="H2039" i="16"/>
  <c r="H2158" i="16"/>
  <c r="H2232" i="16"/>
  <c r="H2302" i="16"/>
  <c r="H2381" i="16"/>
  <c r="H2455" i="16"/>
  <c r="H2525" i="16"/>
  <c r="H2598" i="16"/>
  <c r="H2654" i="16"/>
  <c r="H2695" i="16"/>
  <c r="H2742" i="16"/>
  <c r="H2782" i="16"/>
  <c r="H2818" i="16"/>
  <c r="H2840" i="16"/>
  <c r="H2858" i="16"/>
  <c r="H2873" i="16"/>
  <c r="H2888" i="16"/>
  <c r="H2901" i="16"/>
  <c r="H2917" i="16"/>
  <c r="H2930" i="16"/>
  <c r="H2943" i="16"/>
  <c r="H2955" i="16"/>
  <c r="H2970" i="16"/>
  <c r="H2983" i="16"/>
  <c r="H2998" i="16"/>
  <c r="H3013" i="16"/>
  <c r="H3026" i="16"/>
  <c r="H3040" i="16"/>
  <c r="H3054" i="16"/>
  <c r="H3067" i="16"/>
  <c r="H3079" i="16"/>
  <c r="H3091" i="16"/>
  <c r="H3104" i="16"/>
  <c r="H3115" i="16"/>
  <c r="H3126" i="16"/>
  <c r="H3136" i="16"/>
  <c r="H3146" i="16"/>
  <c r="H3156" i="16"/>
  <c r="H3167" i="16"/>
  <c r="H3178" i="16"/>
  <c r="H3188" i="16"/>
  <c r="H3199" i="16"/>
  <c r="H3209" i="16"/>
  <c r="H3219" i="16"/>
  <c r="H3230" i="16"/>
  <c r="H3240" i="16"/>
  <c r="H3251" i="16"/>
  <c r="H3262" i="16"/>
  <c r="H3272" i="16"/>
  <c r="H3282" i="16"/>
  <c r="H3292" i="16"/>
  <c r="H3303" i="16"/>
  <c r="H3313" i="16"/>
  <c r="H3324" i="16"/>
  <c r="H3335" i="16"/>
  <c r="H3345" i="16"/>
  <c r="H3355" i="16"/>
  <c r="H3366" i="16"/>
  <c r="H3376" i="16"/>
  <c r="H3386" i="16"/>
  <c r="H3398" i="16"/>
  <c r="H3408" i="16"/>
  <c r="H3418" i="16"/>
  <c r="H3428" i="16"/>
  <c r="H3439" i="16"/>
  <c r="H3449" i="16"/>
  <c r="H3459" i="16"/>
  <c r="H3471" i="16"/>
  <c r="H3481" i="16"/>
  <c r="H3491" i="16"/>
  <c r="H3502" i="16"/>
  <c r="H3512" i="16"/>
  <c r="H3521" i="16"/>
  <c r="H3530" i="16"/>
  <c r="H3539" i="16"/>
  <c r="H3548" i="16"/>
  <c r="H3558" i="16"/>
  <c r="H3567" i="16"/>
  <c r="H3576" i="16"/>
  <c r="H3585" i="16"/>
  <c r="H3594" i="16"/>
  <c r="H3603" i="16"/>
  <c r="H3612" i="16"/>
  <c r="H3622" i="16"/>
  <c r="H3631" i="16"/>
  <c r="H3640" i="16"/>
  <c r="H3649" i="16"/>
  <c r="H3658" i="16"/>
  <c r="H3667" i="16"/>
  <c r="H3676" i="16"/>
  <c r="H3686" i="16"/>
  <c r="H3695" i="16"/>
  <c r="H3704" i="16"/>
  <c r="H3713" i="16"/>
  <c r="H3722" i="16"/>
  <c r="H3731" i="16"/>
  <c r="H3740" i="16"/>
  <c r="H3750" i="16"/>
  <c r="H3759" i="16"/>
  <c r="H3768" i="16"/>
  <c r="H3777" i="16"/>
  <c r="H3786" i="16"/>
  <c r="H3795" i="16"/>
  <c r="H3804" i="16"/>
  <c r="H3814" i="16"/>
  <c r="H3823" i="16"/>
  <c r="H3832" i="16"/>
  <c r="H3841" i="16"/>
  <c r="H3850" i="16"/>
  <c r="H3859" i="16"/>
  <c r="H3868" i="16"/>
  <c r="H3878" i="16"/>
  <c r="H3887" i="16"/>
  <c r="H3896" i="16"/>
  <c r="H3905" i="16"/>
  <c r="H3914" i="16"/>
  <c r="H3923" i="16"/>
  <c r="H3932" i="16"/>
  <c r="H3942" i="16"/>
  <c r="H3951" i="16"/>
  <c r="H3959" i="16"/>
  <c r="H3967" i="16"/>
  <c r="H3975" i="16"/>
  <c r="H3983" i="16"/>
  <c r="H3991" i="16"/>
  <c r="H3999" i="16"/>
  <c r="H4007" i="16"/>
  <c r="H4015" i="16"/>
  <c r="H4023" i="16"/>
  <c r="H4031" i="16"/>
  <c r="H4039" i="16"/>
  <c r="H4047" i="16"/>
  <c r="H4055" i="16"/>
  <c r="H4063" i="16"/>
  <c r="H4071" i="16"/>
  <c r="H4079" i="16"/>
  <c r="H4087" i="16"/>
  <c r="H4095" i="16"/>
  <c r="H4103" i="16"/>
  <c r="H4111" i="16"/>
  <c r="H4119" i="16"/>
  <c r="H4127" i="16"/>
  <c r="H4135" i="16"/>
  <c r="H4143" i="16"/>
  <c r="H4151" i="16"/>
  <c r="H4159" i="16"/>
  <c r="H4167" i="16"/>
  <c r="H4175" i="16"/>
  <c r="H4183" i="16"/>
  <c r="H4191" i="16"/>
  <c r="H4199" i="16"/>
  <c r="H4207" i="16"/>
  <c r="H4215" i="16"/>
  <c r="H4223" i="16"/>
  <c r="H4231" i="16"/>
  <c r="H4239" i="16"/>
  <c r="H4247" i="16"/>
  <c r="H4255" i="16"/>
  <c r="H4263" i="16"/>
  <c r="H4271" i="16"/>
  <c r="H4279" i="16"/>
  <c r="H4287" i="16"/>
  <c r="H4295" i="16"/>
  <c r="H4303" i="16"/>
  <c r="H4311" i="16"/>
  <c r="H4319" i="16"/>
  <c r="H4327" i="16"/>
  <c r="H2862" i="16"/>
  <c r="H2808" i="16"/>
  <c r="H1909" i="16"/>
  <c r="H3106" i="16"/>
  <c r="H2857" i="16"/>
  <c r="H3949" i="16"/>
  <c r="H114" i="16"/>
  <c r="H1628" i="16"/>
  <c r="H1303" i="16"/>
  <c r="H1194" i="16"/>
  <c r="H91" i="16"/>
  <c r="H3941" i="16"/>
  <c r="H3933" i="16"/>
  <c r="H3925" i="16"/>
  <c r="H3917" i="16"/>
  <c r="H3909" i="16"/>
  <c r="H3901" i="16"/>
  <c r="H3893" i="16"/>
  <c r="H3885" i="16"/>
  <c r="H3877" i="16"/>
  <c r="H3869" i="16"/>
  <c r="H3861" i="16"/>
  <c r="H3853" i="16"/>
  <c r="H3845" i="16"/>
  <c r="H3837" i="16"/>
  <c r="H3829" i="16"/>
  <c r="H3821" i="16"/>
  <c r="H3813" i="16"/>
  <c r="H3805" i="16"/>
  <c r="H3797" i="16"/>
  <c r="H3789" i="16"/>
  <c r="H3781" i="16"/>
  <c r="H3773" i="16"/>
  <c r="H3765" i="16"/>
  <c r="H3757" i="16"/>
  <c r="H3749" i="16"/>
  <c r="H3741" i="16"/>
  <c r="H3733" i="16"/>
  <c r="H3725" i="16"/>
  <c r="H3717" i="16"/>
  <c r="H3709" i="16"/>
  <c r="H3701" i="16"/>
  <c r="H3693" i="16"/>
  <c r="H3685" i="16"/>
  <c r="H3677" i="16"/>
  <c r="H3669" i="16"/>
  <c r="H3661" i="16"/>
  <c r="H3653" i="16"/>
  <c r="H3645" i="16"/>
  <c r="H3637" i="16"/>
  <c r="H3629" i="16"/>
  <c r="H3621" i="16"/>
  <c r="H3613" i="16"/>
  <c r="H3605" i="16"/>
  <c r="H3597" i="16"/>
  <c r="H3589" i="16"/>
  <c r="H3581" i="16"/>
  <c r="H3573" i="16"/>
  <c r="H3565" i="16"/>
  <c r="H3557" i="16"/>
  <c r="H3549" i="16"/>
  <c r="H3541" i="16"/>
  <c r="H3533" i="16"/>
  <c r="H3525" i="16"/>
  <c r="H3517" i="16"/>
  <c r="H3509" i="16"/>
  <c r="H3501" i="16"/>
  <c r="H3493" i="16"/>
  <c r="H3485" i="16"/>
  <c r="H3477" i="16"/>
  <c r="H3469" i="16"/>
  <c r="H3461" i="16"/>
  <c r="H3453" i="16"/>
  <c r="H3445" i="16"/>
  <c r="H3437" i="16"/>
  <c r="H3429" i="16"/>
  <c r="H3421" i="16"/>
  <c r="H3413" i="16"/>
  <c r="H3405" i="16"/>
  <c r="H3397" i="16"/>
  <c r="H3389" i="16"/>
  <c r="H3381" i="16"/>
  <c r="H3373" i="16"/>
  <c r="H3365" i="16"/>
  <c r="H3357" i="16"/>
  <c r="H3349" i="16"/>
  <c r="H3341" i="16"/>
  <c r="H3333" i="16"/>
  <c r="H3325" i="16"/>
  <c r="H3317" i="16"/>
  <c r="H3309" i="16"/>
  <c r="H3301" i="16"/>
  <c r="H3293" i="16"/>
  <c r="H3285" i="16"/>
  <c r="H3277" i="16"/>
  <c r="H3269" i="16"/>
  <c r="H3261" i="16"/>
  <c r="H3253" i="16"/>
  <c r="H3245" i="16"/>
  <c r="H3237" i="16"/>
  <c r="H3229" i="16"/>
  <c r="H3221" i="16"/>
  <c r="H3213" i="16"/>
  <c r="H3205" i="16"/>
  <c r="H3197" i="16"/>
  <c r="H3189" i="16"/>
  <c r="H3181" i="16"/>
  <c r="H3173" i="16"/>
  <c r="H3165" i="16"/>
  <c r="H3157" i="16"/>
  <c r="H3149" i="16"/>
  <c r="H3141" i="16"/>
  <c r="H3133" i="16"/>
  <c r="H3125" i="16"/>
  <c r="H3117" i="16"/>
  <c r="H3109" i="16"/>
  <c r="H3101" i="16"/>
  <c r="H3093" i="16"/>
  <c r="H3085" i="16"/>
  <c r="H3077" i="16"/>
  <c r="H3069" i="16"/>
  <c r="H3061" i="16"/>
  <c r="H3051" i="16"/>
  <c r="H3042" i="16"/>
  <c r="H3033" i="16"/>
  <c r="H3024" i="16"/>
  <c r="H3015" i="16"/>
  <c r="H3006" i="16"/>
  <c r="H2997" i="16"/>
  <c r="H2987" i="16"/>
  <c r="H2978" i="16"/>
  <c r="H2969" i="16"/>
  <c r="H2960" i="16"/>
  <c r="H2951" i="16"/>
  <c r="H2933" i="16"/>
  <c r="H2923" i="16"/>
  <c r="H2914" i="16"/>
  <c r="H2905" i="16"/>
  <c r="H2896" i="16"/>
  <c r="H2887" i="16"/>
  <c r="H2878" i="16"/>
  <c r="H2869" i="16"/>
  <c r="H2859" i="16"/>
  <c r="H2850" i="16"/>
  <c r="H2841" i="16"/>
  <c r="H2832" i="16"/>
  <c r="H2823" i="16"/>
  <c r="H2814" i="16"/>
  <c r="H2805" i="16"/>
  <c r="H2795" i="16"/>
  <c r="H2786" i="16"/>
  <c r="H2777" i="16"/>
  <c r="H2768" i="16"/>
  <c r="H2759" i="16"/>
  <c r="H2750" i="16"/>
  <c r="H2741" i="16"/>
  <c r="H2731" i="16"/>
  <c r="H2722" i="16"/>
  <c r="H2711" i="16"/>
  <c r="H2701" i="16"/>
  <c r="H2691" i="16"/>
  <c r="H2680" i="16"/>
  <c r="H2659" i="16"/>
  <c r="H2648" i="16"/>
  <c r="H2638" i="16"/>
  <c r="H2627" i="16"/>
  <c r="H2612" i="16"/>
  <c r="H2597" i="16"/>
  <c r="H2580" i="16"/>
  <c r="H2564" i="16"/>
  <c r="H2548" i="16"/>
  <c r="H2532" i="16"/>
  <c r="H2516" i="16"/>
  <c r="H2501" i="16"/>
  <c r="H2485" i="16"/>
  <c r="H2469" i="16"/>
  <c r="H2452" i="16"/>
  <c r="H2436" i="16"/>
  <c r="H2421" i="16"/>
  <c r="H2404" i="16"/>
  <c r="H2390" i="16"/>
  <c r="H2373" i="16"/>
  <c r="H2358" i="16"/>
  <c r="H2340" i="16"/>
  <c r="H2326" i="16"/>
  <c r="H2309" i="16"/>
  <c r="H2294" i="16"/>
  <c r="H2277" i="16"/>
  <c r="H2263" i="16"/>
  <c r="H2246" i="16"/>
  <c r="H2229" i="16"/>
  <c r="H2213" i="16"/>
  <c r="H2198" i="16"/>
  <c r="H2182" i="16"/>
  <c r="H2166" i="16"/>
  <c r="H2150" i="16"/>
  <c r="H2127" i="16"/>
  <c r="H2100" i="16"/>
  <c r="H2076" i="16"/>
  <c r="H2050" i="16"/>
  <c r="H2028" i="16"/>
  <c r="H2002" i="16"/>
  <c r="H1979" i="16"/>
  <c r="H1950" i="16"/>
  <c r="H1891" i="16"/>
  <c r="H1859" i="16"/>
  <c r="H1829" i="16"/>
  <c r="H1794" i="16"/>
  <c r="H1759" i="16"/>
  <c r="H1731" i="16"/>
  <c r="H1692" i="16"/>
  <c r="H1662" i="16"/>
  <c r="H1627" i="16"/>
  <c r="H1583" i="16"/>
  <c r="H1551" i="16"/>
  <c r="H1507" i="16"/>
  <c r="H1452" i="16"/>
  <c r="H1398" i="16"/>
  <c r="H1347" i="16"/>
  <c r="H1288" i="16"/>
  <c r="H1235" i="16"/>
  <c r="H1186" i="16"/>
  <c r="H1124" i="16"/>
  <c r="H1075" i="16"/>
  <c r="H1026" i="16"/>
  <c r="H908" i="16"/>
  <c r="H812" i="16"/>
  <c r="H706" i="16"/>
  <c r="H566" i="16"/>
  <c r="H452" i="16"/>
  <c r="H341" i="16"/>
  <c r="H207" i="16"/>
  <c r="H2813" i="16"/>
  <c r="H2803" i="16"/>
  <c r="H2794" i="16"/>
  <c r="H2785" i="16"/>
  <c r="H2767" i="16"/>
  <c r="H2758" i="16"/>
  <c r="H2749" i="16"/>
  <c r="H2739" i="16"/>
  <c r="H2730" i="16"/>
  <c r="H2720" i="16"/>
  <c r="H2710" i="16"/>
  <c r="H2700" i="16"/>
  <c r="H2690" i="16"/>
  <c r="H2679" i="16"/>
  <c r="H2668" i="16"/>
  <c r="H2658" i="16"/>
  <c r="H2647" i="16"/>
  <c r="H2637" i="16"/>
  <c r="H2624" i="16"/>
  <c r="H2611" i="16"/>
  <c r="H2595" i="16"/>
  <c r="H2578" i="16"/>
  <c r="H2560" i="16"/>
  <c r="H2547" i="16"/>
  <c r="H2530" i="16"/>
  <c r="H2515" i="16"/>
  <c r="H2498" i="16"/>
  <c r="H2484" i="16"/>
  <c r="H2466" i="16"/>
  <c r="H2451" i="16"/>
  <c r="H2434" i="16"/>
  <c r="H2420" i="16"/>
  <c r="H2403" i="16"/>
  <c r="H2388" i="16"/>
  <c r="H2372" i="16"/>
  <c r="H2355" i="16"/>
  <c r="H2339" i="16"/>
  <c r="H2323" i="16"/>
  <c r="H2308" i="16"/>
  <c r="H2292" i="16"/>
  <c r="H2276" i="16"/>
  <c r="H2260" i="16"/>
  <c r="H2244" i="16"/>
  <c r="H2227" i="16"/>
  <c r="H2212" i="16"/>
  <c r="H2195" i="16"/>
  <c r="H2181" i="16"/>
  <c r="H2164" i="16"/>
  <c r="H2148" i="16"/>
  <c r="H2120" i="16"/>
  <c r="H2095" i="16"/>
  <c r="H2072" i="16"/>
  <c r="H2047" i="16"/>
  <c r="H2022" i="16"/>
  <c r="H1999" i="16"/>
  <c r="H1974" i="16"/>
  <c r="H1942" i="16"/>
  <c r="H1914" i="16"/>
  <c r="H1887" i="16"/>
  <c r="H1856" i="16"/>
  <c r="H1787" i="16"/>
  <c r="H1757" i="16"/>
  <c r="H1726" i="16"/>
  <c r="H1690" i="16"/>
  <c r="H1659" i="16"/>
  <c r="H1626" i="16"/>
  <c r="H1581" i="16"/>
  <c r="H1502" i="16"/>
  <c r="H1446" i="16"/>
  <c r="H1396" i="16"/>
  <c r="H1344" i="16"/>
  <c r="H1280" i="16"/>
  <c r="H1231" i="16"/>
  <c r="H1182" i="16"/>
  <c r="H1122" i="16"/>
  <c r="H1070" i="16"/>
  <c r="H1016" i="16"/>
  <c r="H903" i="16"/>
  <c r="H804" i="16"/>
  <c r="H688" i="16"/>
  <c r="H557" i="16"/>
  <c r="H448" i="16"/>
  <c r="H326" i="16"/>
  <c r="H195" i="16"/>
  <c r="H78" i="16"/>
  <c r="H2848" i="16"/>
  <c r="H2839" i="16"/>
  <c r="H2830" i="16"/>
  <c r="H2821" i="16"/>
  <c r="H2811" i="16"/>
  <c r="H2802" i="16"/>
  <c r="H2793" i="16"/>
  <c r="H2784" i="16"/>
  <c r="H2775" i="16"/>
  <c r="H2766" i="16"/>
  <c r="H2757" i="16"/>
  <c r="H2747" i="16"/>
  <c r="H2738" i="16"/>
  <c r="H2729" i="16"/>
  <c r="H2719" i="16"/>
  <c r="H2709" i="16"/>
  <c r="H2699" i="16"/>
  <c r="H2688" i="16"/>
  <c r="H2677" i="16"/>
  <c r="H2667" i="16"/>
  <c r="H2656" i="16"/>
  <c r="H2646" i="16"/>
  <c r="H2636" i="16"/>
  <c r="H2622" i="16"/>
  <c r="H2610" i="16"/>
  <c r="H2591" i="16"/>
  <c r="H2576" i="16"/>
  <c r="H2559" i="16"/>
  <c r="H2546" i="16"/>
  <c r="H2528" i="16"/>
  <c r="H2514" i="16"/>
  <c r="H2496" i="16"/>
  <c r="H2479" i="16"/>
  <c r="H2464" i="16"/>
  <c r="H2448" i="16"/>
  <c r="H2432" i="16"/>
  <c r="H2418" i="16"/>
  <c r="H2402" i="16"/>
  <c r="H2386" i="16"/>
  <c r="H2368" i="16"/>
  <c r="H2351" i="16"/>
  <c r="H2338" i="16"/>
  <c r="H2320" i="16"/>
  <c r="H2306" i="16"/>
  <c r="H2290" i="16"/>
  <c r="H2275" i="16"/>
  <c r="H2256" i="16"/>
  <c r="H2242" i="16"/>
  <c r="H2226" i="16"/>
  <c r="H2211" i="16"/>
  <c r="H2194" i="16"/>
  <c r="H2180" i="16"/>
  <c r="H2163" i="16"/>
  <c r="H2141" i="16"/>
  <c r="H2118" i="16"/>
  <c r="H2093" i="16"/>
  <c r="H2068" i="16"/>
  <c r="H2045" i="16"/>
  <c r="H2020" i="16"/>
  <c r="H1995" i="16"/>
  <c r="H1966" i="16"/>
  <c r="H1941" i="16"/>
  <c r="H1911" i="16"/>
  <c r="H1885" i="16"/>
  <c r="H1854" i="16"/>
  <c r="H1815" i="16"/>
  <c r="H1786" i="16"/>
  <c r="H1756" i="16"/>
  <c r="H1718" i="16"/>
  <c r="H1686" i="16"/>
  <c r="H1658" i="16"/>
  <c r="H1614" i="16"/>
  <c r="H1580" i="16"/>
  <c r="H1539" i="16"/>
  <c r="H1488" i="16"/>
  <c r="H1440" i="16"/>
  <c r="H1389" i="16"/>
  <c r="H1328" i="16"/>
  <c r="H1279" i="16"/>
  <c r="H1230" i="16"/>
  <c r="H1168" i="16"/>
  <c r="H1117" i="16"/>
  <c r="H1063" i="16"/>
  <c r="H992" i="16"/>
  <c r="H893" i="16"/>
  <c r="H791" i="16"/>
  <c r="H660" i="16"/>
  <c r="H544" i="16"/>
  <c r="H432" i="16"/>
  <c r="H299" i="16"/>
  <c r="H180" i="16"/>
  <c r="H69" i="16"/>
  <c r="H3098" i="16"/>
  <c r="H3090" i="16"/>
  <c r="H3082" i="16"/>
  <c r="H3074" i="16"/>
  <c r="H3066" i="16"/>
  <c r="H3057" i="16"/>
  <c r="H3048" i="16"/>
  <c r="H3039" i="16"/>
  <c r="H3030" i="16"/>
  <c r="H3021" i="16"/>
  <c r="H3011" i="16"/>
  <c r="H3002" i="16"/>
  <c r="H2993" i="16"/>
  <c r="H2984" i="16"/>
  <c r="H2975" i="16"/>
  <c r="H2966" i="16"/>
  <c r="H2957" i="16"/>
  <c r="H2947" i="16"/>
  <c r="H2938" i="16"/>
  <c r="H2929" i="16"/>
  <c r="H2920" i="16"/>
  <c r="H2911" i="16"/>
  <c r="H2902" i="16"/>
  <c r="H2893" i="16"/>
  <c r="H2883" i="16"/>
  <c r="H2874" i="16"/>
  <c r="H2865" i="16"/>
  <c r="H2856" i="16"/>
  <c r="H2838" i="16"/>
  <c r="H2829" i="16"/>
  <c r="H2819" i="16"/>
  <c r="H2810" i="16"/>
  <c r="H2801" i="16"/>
  <c r="H2792" i="16"/>
  <c r="H2783" i="16"/>
  <c r="H2774" i="16"/>
  <c r="H2765" i="16"/>
  <c r="H2755" i="16"/>
  <c r="H2746" i="16"/>
  <c r="H2737" i="16"/>
  <c r="H2728" i="16"/>
  <c r="H2718" i="16"/>
  <c r="H2708" i="16"/>
  <c r="H2698" i="16"/>
  <c r="H2686" i="16"/>
  <c r="H2676" i="16"/>
  <c r="H2666" i="16"/>
  <c r="H2655" i="16"/>
  <c r="H2645" i="16"/>
  <c r="H2635" i="16"/>
  <c r="H2621" i="16"/>
  <c r="H2605" i="16"/>
  <c r="H2589" i="16"/>
  <c r="H2574" i="16"/>
  <c r="H2558" i="16"/>
  <c r="H2542" i="16"/>
  <c r="H2527" i="16"/>
  <c r="H2511" i="16"/>
  <c r="H2494" i="16"/>
  <c r="H2477" i="16"/>
  <c r="H2463" i="16"/>
  <c r="H2446" i="16"/>
  <c r="H2431" i="16"/>
  <c r="H2414" i="16"/>
  <c r="H2400" i="16"/>
  <c r="H2382" i="16"/>
  <c r="H2367" i="16"/>
  <c r="H2350" i="16"/>
  <c r="H2336" i="16"/>
  <c r="H2319" i="16"/>
  <c r="H2304" i="16"/>
  <c r="H2287" i="16"/>
  <c r="H2271" i="16"/>
  <c r="H2255" i="16"/>
  <c r="H2239" i="16"/>
  <c r="H2223" i="16"/>
  <c r="H2208" i="16"/>
  <c r="H2192" i="16"/>
  <c r="H2176" i="16"/>
  <c r="H2159" i="16"/>
  <c r="H2140" i="16"/>
  <c r="H2114" i="16"/>
  <c r="H2092" i="16"/>
  <c r="H2066" i="16"/>
  <c r="H2043" i="16"/>
  <c r="H2018" i="16"/>
  <c r="H1991" i="16"/>
  <c r="H1965" i="16"/>
  <c r="H1938" i="16"/>
  <c r="H1910" i="16"/>
  <c r="H1882" i="16"/>
  <c r="H1851" i="16"/>
  <c r="H1814" i="16"/>
  <c r="H1783" i="16"/>
  <c r="H1751" i="16"/>
  <c r="H1714" i="16"/>
  <c r="H1684" i="16"/>
  <c r="H1648" i="16"/>
  <c r="H1611" i="16"/>
  <c r="H1574" i="16"/>
  <c r="H1535" i="16"/>
  <c r="H1486" i="16"/>
  <c r="H1436" i="16"/>
  <c r="H1383" i="16"/>
  <c r="H1325" i="16"/>
  <c r="H1270" i="16"/>
  <c r="H1219" i="16"/>
  <c r="H1159" i="16"/>
  <c r="H1109" i="16"/>
  <c r="H1059" i="16"/>
  <c r="H979" i="16"/>
  <c r="H883" i="16"/>
  <c r="H786" i="16"/>
  <c r="H646" i="16"/>
  <c r="H533" i="16"/>
  <c r="H420" i="16"/>
  <c r="H283" i="16"/>
  <c r="H174" i="16"/>
  <c r="H55" i="16"/>
  <c r="H1879" i="16"/>
  <c r="H1840" i="16"/>
  <c r="H1812" i="16"/>
  <c r="H1778" i="16"/>
  <c r="H1742" i="16"/>
  <c r="H1712" i="16"/>
  <c r="H1682" i="16"/>
  <c r="H1644" i="16"/>
  <c r="H1605" i="16"/>
  <c r="H1570" i="16"/>
  <c r="H1520" i="16"/>
  <c r="H1483" i="16"/>
  <c r="H1431" i="16"/>
  <c r="H1373" i="16"/>
  <c r="H1318" i="16"/>
  <c r="H1268" i="16"/>
  <c r="H1205" i="16"/>
  <c r="H1154" i="16"/>
  <c r="H1103" i="16"/>
  <c r="H1042" i="16"/>
  <c r="H971" i="16"/>
  <c r="H871" i="16"/>
  <c r="H751" i="16"/>
  <c r="H639" i="16"/>
  <c r="H517" i="16"/>
  <c r="H387" i="16"/>
  <c r="H277" i="16"/>
  <c r="H159" i="16"/>
  <c r="H24" i="16"/>
  <c r="H1928" i="16"/>
  <c r="H1939" i="16"/>
  <c r="H1949" i="16"/>
  <c r="H1959" i="16"/>
  <c r="H1970" i="16"/>
  <c r="H1980" i="16"/>
  <c r="H1989" i="16"/>
  <c r="H1998" i="16"/>
  <c r="H2007" i="16"/>
  <c r="H2016" i="16"/>
  <c r="H2026" i="16"/>
  <c r="H2035" i="16"/>
  <c r="H2044" i="16"/>
  <c r="H2053" i="16"/>
  <c r="H2062" i="16"/>
  <c r="H2071" i="16"/>
  <c r="H2080" i="16"/>
  <c r="H2090" i="16"/>
  <c r="H2099" i="16"/>
  <c r="H2108" i="16"/>
  <c r="H2117" i="16"/>
  <c r="H2126" i="16"/>
  <c r="H2135" i="16"/>
  <c r="H2144" i="16"/>
  <c r="H2334" i="16"/>
  <c r="H2343" i="16"/>
  <c r="H2352" i="16"/>
  <c r="H2362" i="16"/>
  <c r="H2371" i="16"/>
  <c r="H2380" i="16"/>
  <c r="H2389" i="16"/>
  <c r="H2398" i="16"/>
  <c r="H2407" i="16"/>
  <c r="H2416" i="16"/>
  <c r="H2426" i="16"/>
  <c r="H2435" i="16"/>
  <c r="H2444" i="16"/>
  <c r="H2453" i="16"/>
  <c r="H2462" i="16"/>
  <c r="H2471" i="16"/>
  <c r="H2480" i="16"/>
  <c r="H2490" i="16"/>
  <c r="H2499" i="16"/>
  <c r="H2508" i="16"/>
  <c r="H2517" i="16"/>
  <c r="H2526" i="16"/>
  <c r="H2535" i="16"/>
  <c r="H2544" i="16"/>
  <c r="H2554" i="16"/>
  <c r="H2563" i="16"/>
  <c r="H2572" i="16"/>
  <c r="H2581" i="16"/>
  <c r="H2590" i="16"/>
  <c r="H2599" i="16"/>
  <c r="H2608" i="16"/>
  <c r="H18" i="16"/>
  <c r="H38" i="16"/>
  <c r="H61" i="16"/>
  <c r="H83" i="16"/>
  <c r="H101" i="16"/>
  <c r="H124" i="16"/>
  <c r="H147" i="16"/>
  <c r="H166" i="16"/>
  <c r="H187" i="16"/>
  <c r="H210" i="16"/>
  <c r="H230" i="16"/>
  <c r="H252" i="16"/>
  <c r="H274" i="16"/>
  <c r="H293" i="16"/>
  <c r="H315" i="16"/>
  <c r="H338" i="16"/>
  <c r="H357" i="16"/>
  <c r="H378" i="16"/>
  <c r="H399" i="16"/>
  <c r="H421" i="16"/>
  <c r="H443" i="16"/>
  <c r="H463" i="16"/>
  <c r="H484" i="16"/>
  <c r="H506" i="16"/>
  <c r="H527" i="16"/>
  <c r="H548" i="16"/>
  <c r="H568" i="16"/>
  <c r="H590" i="16"/>
  <c r="H612" i="16"/>
  <c r="H634" i="16"/>
  <c r="H654" i="16"/>
  <c r="H674" i="16"/>
  <c r="H696" i="16"/>
  <c r="H719" i="16"/>
  <c r="H738" i="16"/>
  <c r="H759" i="16"/>
  <c r="H782" i="16"/>
  <c r="H800" i="16"/>
  <c r="H820" i="16"/>
  <c r="H838" i="16"/>
  <c r="H855" i="16"/>
  <c r="H875" i="16"/>
  <c r="H894" i="16"/>
  <c r="H911" i="16"/>
  <c r="H930" i="16"/>
  <c r="H949" i="16"/>
  <c r="H967" i="16"/>
  <c r="H987" i="16"/>
  <c r="H1003" i="16"/>
  <c r="H1018" i="16"/>
  <c r="H1034" i="16"/>
  <c r="H1051" i="16"/>
  <c r="H1066" i="16"/>
  <c r="H1082" i="16"/>
  <c r="H1099" i="16"/>
  <c r="H1114" i="16"/>
  <c r="H1131" i="16"/>
  <c r="H1146" i="16"/>
  <c r="H1162" i="16"/>
  <c r="H1178" i="16"/>
  <c r="H1195" i="16"/>
  <c r="H1208" i="16"/>
  <c r="H1226" i="16"/>
  <c r="H1242" i="16"/>
  <c r="H1258" i="16"/>
  <c r="H1272" i="16"/>
  <c r="H1290" i="16"/>
  <c r="H1304" i="16"/>
  <c r="H1322" i="16"/>
  <c r="H1336" i="16"/>
  <c r="H1352" i="16"/>
  <c r="H1368" i="16"/>
  <c r="H1386" i="16"/>
  <c r="H1399" i="16"/>
  <c r="H1416" i="16"/>
  <c r="H1434" i="16"/>
  <c r="H1447" i="16"/>
  <c r="H1464" i="16"/>
  <c r="H1480" i="16"/>
  <c r="H1496" i="16"/>
  <c r="H1511" i="16"/>
  <c r="H1528" i="16"/>
  <c r="H1543" i="16"/>
  <c r="H1560" i="16"/>
  <c r="H1575" i="16"/>
  <c r="H1591" i="16"/>
  <c r="H1607" i="16"/>
  <c r="H1624" i="16"/>
  <c r="H1638" i="16"/>
  <c r="H1655" i="16"/>
  <c r="H1669" i="16"/>
  <c r="H1683" i="16"/>
  <c r="H1696" i="16"/>
  <c r="H1711" i="16"/>
  <c r="H1724" i="16"/>
  <c r="H1739" i="16"/>
  <c r="H1754" i="16"/>
  <c r="H1766" i="16"/>
  <c r="H1781" i="16"/>
  <c r="H1795" i="16"/>
  <c r="H1808" i="16"/>
  <c r="H1822" i="16"/>
  <c r="H1837" i="16"/>
  <c r="H1850" i="16"/>
  <c r="H1864" i="16"/>
  <c r="H1878" i="16"/>
  <c r="H1892" i="16"/>
  <c r="H1906" i="16"/>
  <c r="H1920" i="16"/>
  <c r="H1933" i="16"/>
  <c r="H1948" i="16"/>
  <c r="H1962" i="16"/>
  <c r="H1975" i="16"/>
  <c r="H1988" i="16"/>
  <c r="H2000" i="16"/>
  <c r="H2012" i="16"/>
  <c r="H2024" i="16"/>
  <c r="H2037" i="16"/>
  <c r="H2048" i="16"/>
  <c r="H2061" i="16"/>
  <c r="H2074" i="16"/>
  <c r="H2085" i="16"/>
  <c r="H2098" i="16"/>
  <c r="H2110" i="16"/>
  <c r="H2122" i="16"/>
  <c r="H2134" i="16"/>
  <c r="H2147" i="16"/>
  <c r="H2157" i="16"/>
  <c r="H2167" i="16"/>
  <c r="H2178" i="16"/>
  <c r="H2189" i="16"/>
  <c r="H2199" i="16"/>
  <c r="H2210" i="16"/>
  <c r="H2220" i="16"/>
  <c r="H2230" i="16"/>
  <c r="H2240" i="16"/>
  <c r="H2251" i="16"/>
  <c r="H2262" i="16"/>
  <c r="H2272" i="16"/>
  <c r="H2283" i="16"/>
  <c r="H2293" i="16"/>
  <c r="H2303" i="16"/>
  <c r="H2314" i="16"/>
  <c r="H2324" i="16"/>
  <c r="H2335" i="16"/>
  <c r="H2346" i="16"/>
  <c r="H2356" i="16"/>
  <c r="H2366" i="16"/>
  <c r="H2376" i="16"/>
  <c r="H2387" i="16"/>
  <c r="H2397" i="16"/>
  <c r="H2408" i="16"/>
  <c r="H2419" i="16"/>
  <c r="H2429" i="16"/>
  <c r="H2439" i="16"/>
  <c r="H2450" i="16"/>
  <c r="H2460" i="16"/>
  <c r="H2470" i="16"/>
  <c r="H2482" i="16"/>
  <c r="H2492" i="16"/>
  <c r="H2502" i="16"/>
  <c r="H2512" i="16"/>
  <c r="H2523" i="16"/>
  <c r="H2533" i="16"/>
  <c r="H2543" i="16"/>
  <c r="H2555" i="16"/>
  <c r="H2565" i="16"/>
  <c r="H2575" i="16"/>
  <c r="H2586" i="16"/>
  <c r="H2596" i="16"/>
  <c r="H2606" i="16"/>
  <c r="H2616" i="16"/>
  <c r="H2626" i="16"/>
  <c r="H2" i="16"/>
  <c r="H20" i="16"/>
  <c r="H40" i="16"/>
  <c r="H64" i="16"/>
  <c r="H85" i="16"/>
  <c r="H103" i="16"/>
  <c r="H127" i="16"/>
  <c r="H148" i="16"/>
  <c r="H168" i="16"/>
  <c r="H192" i="16"/>
  <c r="H211" i="16"/>
  <c r="H231" i="16"/>
  <c r="H255" i="16"/>
  <c r="H276" i="16"/>
  <c r="H294" i="16"/>
  <c r="H317" i="16"/>
  <c r="H339" i="16"/>
  <c r="H359" i="16"/>
  <c r="H383" i="16"/>
  <c r="H402" i="16"/>
  <c r="H422" i="16"/>
  <c r="H445" i="16"/>
  <c r="H467" i="16"/>
  <c r="H485" i="16"/>
  <c r="H508" i="16"/>
  <c r="H530" i="16"/>
  <c r="H550" i="16"/>
  <c r="H575" i="16"/>
  <c r="H591" i="16"/>
  <c r="H613" i="16"/>
  <c r="H637" i="16"/>
  <c r="H659" i="16"/>
  <c r="H676" i="16"/>
  <c r="H700" i="16"/>
  <c r="H722" i="16"/>
  <c r="H742" i="16"/>
  <c r="H765" i="16"/>
  <c r="H783" i="16"/>
  <c r="H802" i="16"/>
  <c r="H822" i="16"/>
  <c r="H840" i="16"/>
  <c r="H856" i="16"/>
  <c r="H877" i="16"/>
  <c r="H895" i="16"/>
  <c r="H914" i="16"/>
  <c r="H934" i="16"/>
  <c r="H950" i="16"/>
  <c r="H968" i="16"/>
  <c r="H989" i="16"/>
  <c r="H1005" i="16"/>
  <c r="H1020" i="16"/>
  <c r="H1038" i="16"/>
  <c r="H1052" i="16"/>
  <c r="H1068" i="16"/>
  <c r="H1085" i="16"/>
  <c r="H1100" i="16"/>
  <c r="H1115" i="16"/>
  <c r="H1133" i="16"/>
  <c r="H1148" i="16"/>
  <c r="H1163" i="16"/>
  <c r="H1180" i="16"/>
  <c r="H1196" i="16"/>
  <c r="H1210" i="16"/>
  <c r="H1228" i="16"/>
  <c r="H1243" i="16"/>
  <c r="H1259" i="16"/>
  <c r="H1277" i="16"/>
  <c r="H1291" i="16"/>
  <c r="H1306" i="16"/>
  <c r="H1324" i="16"/>
  <c r="H1340" i="16"/>
  <c r="H1354" i="16"/>
  <c r="H1372" i="16"/>
  <c r="H1387" i="16"/>
  <c r="H1402" i="16"/>
  <c r="H1419" i="16"/>
  <c r="H1435" i="16"/>
  <c r="H1450" i="16"/>
  <c r="H1468" i="16"/>
  <c r="H1482" i="16"/>
  <c r="H1498" i="16"/>
  <c r="H1515" i="16"/>
  <c r="H1530" i="16"/>
  <c r="H1544" i="16"/>
  <c r="H13" i="16"/>
  <c r="H34" i="16"/>
  <c r="H54" i="16"/>
  <c r="H76" i="16"/>
  <c r="H98" i="16"/>
  <c r="H118" i="16"/>
  <c r="H139" i="16"/>
  <c r="H160" i="16"/>
  <c r="H182" i="16"/>
  <c r="H204" i="16"/>
  <c r="H224" i="16"/>
  <c r="H244" i="16"/>
  <c r="H267" i="16"/>
  <c r="H288" i="16"/>
  <c r="H308" i="16"/>
  <c r="H330" i="16"/>
  <c r="H351" i="16"/>
  <c r="H372" i="16"/>
  <c r="H396" i="16"/>
  <c r="H416" i="16"/>
  <c r="H435" i="16"/>
  <c r="H459" i="16"/>
  <c r="H480" i="16"/>
  <c r="H500" i="16"/>
  <c r="H522" i="16"/>
  <c r="H543" i="16"/>
  <c r="H564" i="16"/>
  <c r="H587" i="16"/>
  <c r="H607" i="16"/>
  <c r="H627" i="16"/>
  <c r="H650" i="16"/>
  <c r="H671" i="16"/>
  <c r="H691" i="16"/>
  <c r="H712" i="16"/>
  <c r="H734" i="16"/>
  <c r="H755" i="16"/>
  <c r="H778" i="16"/>
  <c r="H796" i="16"/>
  <c r="H813" i="16"/>
  <c r="H832" i="16"/>
  <c r="H852" i="16"/>
  <c r="H869" i="16"/>
  <c r="H887" i="16"/>
  <c r="H907" i="16"/>
  <c r="H925" i="16"/>
  <c r="H944" i="16"/>
  <c r="H963" i="16"/>
  <c r="H980" i="16"/>
  <c r="H998" i="16"/>
  <c r="H1015" i="16"/>
  <c r="H1030" i="16"/>
  <c r="H1047" i="16"/>
  <c r="H1062" i="16"/>
  <c r="H1078" i="16"/>
  <c r="H1094" i="16"/>
  <c r="H1111" i="16"/>
  <c r="H1125" i="16"/>
  <c r="H1142" i="16"/>
  <c r="H1158" i="16"/>
  <c r="H1173" i="16"/>
  <c r="H1189" i="16"/>
  <c r="H1206" i="16"/>
  <c r="H1221" i="16"/>
  <c r="H1237" i="16"/>
  <c r="H1253" i="16"/>
  <c r="H1269" i="16"/>
  <c r="H1285" i="16"/>
  <c r="H1301" i="16"/>
  <c r="H1316" i="16"/>
  <c r="H1333" i="16"/>
  <c r="H1350" i="16"/>
  <c r="H1364" i="16"/>
  <c r="H1381" i="16"/>
  <c r="H1397" i="16"/>
  <c r="H1413" i="16"/>
  <c r="H1428" i="16"/>
  <c r="H1445" i="16"/>
  <c r="H1460" i="16"/>
  <c r="H1477" i="16"/>
  <c r="H1492" i="16"/>
  <c r="H1508" i="16"/>
  <c r="H1524" i="16"/>
  <c r="H1541" i="16"/>
  <c r="H1555" i="16"/>
  <c r="H1572" i="16"/>
  <c r="H1588" i="16"/>
  <c r="H1603" i="16"/>
  <c r="H1619" i="16"/>
  <c r="H1636" i="16"/>
  <c r="H1651" i="16"/>
  <c r="H1666" i="16"/>
  <c r="H1680" i="16"/>
  <c r="H1693" i="16"/>
  <c r="H1708" i="16"/>
  <c r="H1722" i="16"/>
  <c r="H1735" i="16"/>
  <c r="H1749" i="16"/>
  <c r="H1764" i="16"/>
  <c r="H1776" i="16"/>
  <c r="H1791" i="16"/>
  <c r="H1805" i="16"/>
  <c r="H1819" i="16"/>
  <c r="H1832" i="16"/>
  <c r="H1847" i="16"/>
  <c r="H1860" i="16"/>
  <c r="H1875" i="16"/>
  <c r="H1888" i="16"/>
  <c r="H1902" i="16"/>
  <c r="H1916" i="16"/>
  <c r="H1931" i="16"/>
  <c r="H1943" i="16"/>
  <c r="H1958" i="16"/>
  <c r="H1973" i="16"/>
  <c r="H1984" i="16"/>
  <c r="H1997" i="16"/>
  <c r="H2010" i="16"/>
  <c r="H2021" i="16"/>
  <c r="H2034" i="16"/>
  <c r="H2046" i="16"/>
  <c r="H2058" i="16"/>
  <c r="H2070" i="16"/>
  <c r="H2083" i="16"/>
  <c r="H2094" i="16"/>
  <c r="H2107" i="16"/>
  <c r="H2119" i="16"/>
  <c r="H2131" i="16"/>
  <c r="H2143" i="16"/>
  <c r="H2155" i="16"/>
  <c r="H2165" i="16"/>
  <c r="H2175" i="16"/>
  <c r="H2186" i="16"/>
  <c r="H2196" i="16"/>
  <c r="H2207" i="16"/>
  <c r="H2218" i="16"/>
  <c r="H2228" i="16"/>
  <c r="H2238" i="16"/>
  <c r="H2248" i="16"/>
  <c r="H2259" i="16"/>
  <c r="H2269" i="16"/>
  <c r="H2280" i="16"/>
  <c r="H2291" i="16"/>
  <c r="H2301" i="16"/>
  <c r="H2311" i="16"/>
  <c r="H2322" i="16"/>
  <c r="H2332" i="16"/>
  <c r="H2342" i="16"/>
  <c r="H2354" i="16"/>
  <c r="H2364" i="16"/>
  <c r="H2374" i="16"/>
  <c r="H2384" i="16"/>
  <c r="H2395" i="16"/>
  <c r="H2405" i="16"/>
  <c r="H2415" i="16"/>
  <c r="H2427" i="16"/>
  <c r="H2437" i="16"/>
  <c r="H2447" i="16"/>
  <c r="H2458" i="16"/>
  <c r="H2468" i="16"/>
  <c r="H2478" i="16"/>
  <c r="H2488" i="16"/>
  <c r="H2500" i="16"/>
  <c r="H2510" i="16"/>
  <c r="H2520" i="16"/>
  <c r="H2531" i="16"/>
  <c r="H2541" i="16"/>
  <c r="H2551" i="16"/>
  <c r="H2562" i="16"/>
  <c r="H2573" i="16"/>
  <c r="H2583" i="16"/>
  <c r="H2594" i="16"/>
  <c r="H2604" i="16"/>
  <c r="H2614" i="16"/>
  <c r="H2623" i="16"/>
  <c r="H2632" i="16"/>
  <c r="H2642" i="16"/>
  <c r="H2651" i="16"/>
  <c r="H2660" i="16"/>
  <c r="H2669" i="16"/>
  <c r="H2678" i="16"/>
  <c r="H2687" i="16"/>
  <c r="H2696" i="16"/>
  <c r="H2706" i="16"/>
  <c r="H2715" i="16"/>
  <c r="H2724" i="16"/>
  <c r="H2732" i="16"/>
  <c r="H2740" i="16"/>
  <c r="H2748" i="16"/>
  <c r="H2756" i="16"/>
  <c r="H2764" i="16"/>
  <c r="H2772" i="16"/>
  <c r="H2780" i="16"/>
  <c r="H2788" i="16"/>
  <c r="H2796" i="16"/>
  <c r="H2804" i="16"/>
  <c r="H2812" i="16"/>
  <c r="H2820" i="16"/>
  <c r="H2828" i="16"/>
  <c r="H2836" i="16"/>
  <c r="H2844" i="16"/>
  <c r="H2852" i="16"/>
  <c r="H2860" i="16"/>
  <c r="H2868" i="16"/>
  <c r="H2876" i="16"/>
  <c r="H2884" i="16"/>
  <c r="H2892" i="16"/>
  <c r="H2900" i="16"/>
  <c r="H2908" i="16"/>
  <c r="H2916" i="16"/>
  <c r="H2924" i="16"/>
  <c r="H2932" i="16"/>
  <c r="H2940" i="16"/>
  <c r="H2948" i="16"/>
  <c r="H2956" i="16"/>
  <c r="H2964" i="16"/>
  <c r="H2972" i="16"/>
  <c r="H2980" i="16"/>
  <c r="H2988" i="16"/>
  <c r="H2996" i="16"/>
  <c r="H3004" i="16"/>
  <c r="H3012" i="16"/>
  <c r="H3020" i="16"/>
  <c r="H3028" i="16"/>
  <c r="H3036" i="16"/>
  <c r="H3044" i="16"/>
  <c r="H3052" i="16"/>
  <c r="H3060" i="16"/>
  <c r="H28" i="16"/>
  <c r="H66" i="16"/>
  <c r="H96" i="16"/>
  <c r="H132" i="16"/>
  <c r="H162" i="16"/>
  <c r="H197" i="16"/>
  <c r="H234" i="16"/>
  <c r="H264" i="16"/>
  <c r="H303" i="16"/>
  <c r="H335" i="16"/>
  <c r="H368" i="16"/>
  <c r="H404" i="16"/>
  <c r="H434" i="16"/>
  <c r="H470" i="16"/>
  <c r="H503" i="16"/>
  <c r="H539" i="16"/>
  <c r="H576" i="16"/>
  <c r="H605" i="16"/>
  <c r="H640" i="16"/>
  <c r="H672" i="16"/>
  <c r="H707" i="16"/>
  <c r="H744" i="16"/>
  <c r="H772" i="16"/>
  <c r="H810" i="16"/>
  <c r="H835" i="16"/>
  <c r="H866" i="16"/>
  <c r="H896" i="16"/>
  <c r="H924" i="16"/>
  <c r="H956" i="16"/>
  <c r="H981" i="16"/>
  <c r="H1011" i="16"/>
  <c r="H1039" i="16"/>
  <c r="H1061" i="16"/>
  <c r="H1088" i="16"/>
  <c r="H1112" i="16"/>
  <c r="H1136" i="16"/>
  <c r="H1166" i="16"/>
  <c r="H1187" i="16"/>
  <c r="H1216" i="16"/>
  <c r="H1240" i="16"/>
  <c r="H1267" i="16"/>
  <c r="H1292" i="16"/>
  <c r="H1315" i="16"/>
  <c r="H1342" i="16"/>
  <c r="H1365" i="16"/>
  <c r="H1392" i="16"/>
  <c r="H1420" i="16"/>
  <c r="H1444" i="16"/>
  <c r="H1470" i="16"/>
  <c r="H1493" i="16"/>
  <c r="H1519" i="16"/>
  <c r="H1548" i="16"/>
  <c r="H1566" i="16"/>
  <c r="H1590" i="16"/>
  <c r="H1612" i="16"/>
  <c r="H1632" i="16"/>
  <c r="H1653" i="16"/>
  <c r="H1672" i="16"/>
  <c r="H1691" i="16"/>
  <c r="H1710" i="16"/>
  <c r="H1728" i="16"/>
  <c r="H1746" i="16"/>
  <c r="H1765" i="16"/>
  <c r="H1784" i="16"/>
  <c r="H1802" i="16"/>
  <c r="H1820" i="16"/>
  <c r="H1839" i="16"/>
  <c r="H1858" i="16"/>
  <c r="H1877" i="16"/>
  <c r="H1895" i="16"/>
  <c r="H1912" i="16"/>
  <c r="H1932" i="16"/>
  <c r="H1951" i="16"/>
  <c r="H1968" i="16"/>
  <c r="H1986" i="16"/>
  <c r="H2003" i="16"/>
  <c r="H2019" i="16"/>
  <c r="H2036" i="16"/>
  <c r="H2052" i="16"/>
  <c r="H2067" i="16"/>
  <c r="H2084" i="16"/>
  <c r="H2101" i="16"/>
  <c r="H2116" i="16"/>
  <c r="H2132" i="16"/>
  <c r="H2149" i="16"/>
  <c r="H3" i="16"/>
  <c r="H31" i="16"/>
  <c r="H67" i="16"/>
  <c r="H100" i="16"/>
  <c r="H134" i="16"/>
  <c r="H171" i="16"/>
  <c r="H198" i="16"/>
  <c r="H240" i="16"/>
  <c r="H270" i="16"/>
  <c r="H304" i="16"/>
  <c r="H340" i="16"/>
  <c r="H371" i="16"/>
  <c r="H407" i="16"/>
  <c r="H438" i="16"/>
  <c r="H472" i="16"/>
  <c r="H512" i="16"/>
  <c r="H542" i="16"/>
  <c r="H578" i="16"/>
  <c r="H610" i="16"/>
  <c r="H643" i="16"/>
  <c r="H682" i="16"/>
  <c r="H709" i="16"/>
  <c r="H747" i="16"/>
  <c r="H780" i="16"/>
  <c r="H811" i="16"/>
  <c r="H842" i="16"/>
  <c r="H867" i="16"/>
  <c r="H898" i="16"/>
  <c r="H926" i="16"/>
  <c r="H958" i="16"/>
  <c r="H990" i="16"/>
  <c r="H1013" i="16"/>
  <c r="H5" i="16"/>
  <c r="H43" i="16"/>
  <c r="H74" i="16"/>
  <c r="H111" i="16"/>
  <c r="H146" i="16"/>
  <c r="H178" i="16"/>
  <c r="H213" i="16"/>
  <c r="H243" i="16"/>
  <c r="H278" i="16"/>
  <c r="H312" i="16"/>
  <c r="H348" i="16"/>
  <c r="H386" i="16"/>
  <c r="H413" i="16"/>
  <c r="H450" i="16"/>
  <c r="H482" i="16"/>
  <c r="H516" i="16"/>
  <c r="H554" i="16"/>
  <c r="H580" i="16"/>
  <c r="H622" i="16"/>
  <c r="H652" i="16"/>
  <c r="H686" i="16"/>
  <c r="H723" i="16"/>
  <c r="H754" i="16"/>
  <c r="H788" i="16"/>
  <c r="H814" i="16"/>
  <c r="H846" i="16"/>
  <c r="H879" i="16"/>
  <c r="H906" i="16"/>
  <c r="H938" i="16"/>
  <c r="H966" i="16"/>
  <c r="H995" i="16"/>
  <c r="H1022" i="16"/>
  <c r="H1043" i="16"/>
  <c r="H1072" i="16"/>
  <c r="H1096" i="16"/>
  <c r="H1123" i="16"/>
  <c r="H1149" i="16"/>
  <c r="H1172" i="16"/>
  <c r="H1198" i="16"/>
  <c r="H1222" i="16"/>
  <c r="H1250" i="16"/>
  <c r="H1278" i="16"/>
  <c r="H1300" i="16"/>
  <c r="H1326" i="16"/>
  <c r="H1351" i="16"/>
  <c r="H1376" i="16"/>
  <c r="H1405" i="16"/>
  <c r="H1426" i="16"/>
  <c r="H1455" i="16"/>
  <c r="H1479" i="16"/>
  <c r="H1504" i="16"/>
  <c r="H1532" i="16"/>
  <c r="H1554" i="16"/>
  <c r="H1578" i="16"/>
  <c r="H1598" i="16"/>
  <c r="H1616" i="16"/>
  <c r="H1639" i="16"/>
  <c r="H1660" i="16"/>
  <c r="H1678" i="16"/>
  <c r="H1700" i="16"/>
  <c r="H1715" i="16"/>
  <c r="H1733" i="16"/>
  <c r="H1755" i="16"/>
  <c r="H1773" i="16"/>
  <c r="H1788" i="16"/>
  <c r="H1810" i="16"/>
  <c r="H1828" i="16"/>
  <c r="H1846" i="16"/>
  <c r="H1867" i="16"/>
  <c r="H1883" i="16"/>
  <c r="H1901" i="16"/>
  <c r="H1922" i="16"/>
  <c r="H1940" i="16"/>
  <c r="H1956" i="16"/>
  <c r="H1976" i="16"/>
  <c r="H1992" i="16"/>
  <c r="H2008" i="16"/>
  <c r="H2027" i="16"/>
  <c r="H2040" i="16"/>
  <c r="H2056" i="16"/>
  <c r="H2075" i="16"/>
  <c r="H2091" i="16"/>
  <c r="H2104" i="16"/>
  <c r="H2123" i="16"/>
  <c r="H2139" i="16"/>
  <c r="H6" i="16"/>
  <c r="H15" i="16"/>
  <c r="H51" i="16"/>
  <c r="H86" i="16"/>
  <c r="H115" i="16"/>
  <c r="H150" i="16"/>
  <c r="H183" i="16"/>
  <c r="H220" i="16"/>
  <c r="H256" i="16"/>
  <c r="H287" i="16"/>
  <c r="H324" i="16"/>
  <c r="H354" i="16"/>
  <c r="H388" i="16"/>
  <c r="H424" i="16"/>
  <c r="H454" i="16"/>
  <c r="H494" i="16"/>
  <c r="H526" i="16"/>
  <c r="H559" i="16"/>
  <c r="H596" i="16"/>
  <c r="H626" i="16"/>
  <c r="H661" i="16"/>
  <c r="H694" i="16"/>
  <c r="H731" i="16"/>
  <c r="H767" i="16"/>
  <c r="H794" i="16"/>
  <c r="H824" i="16"/>
  <c r="H853" i="16"/>
  <c r="H884" i="16"/>
  <c r="H916" i="16"/>
  <c r="H940" i="16"/>
  <c r="H976" i="16"/>
  <c r="H1002" i="16"/>
  <c r="H22" i="16"/>
  <c r="H52" i="16"/>
  <c r="H87" i="16"/>
  <c r="H120" i="16"/>
  <c r="H157" i="16"/>
  <c r="H194" i="16"/>
  <c r="H222" i="16"/>
  <c r="H258" i="16"/>
  <c r="H292" i="16"/>
  <c r="H325" i="16"/>
  <c r="H362" i="16"/>
  <c r="H389" i="16"/>
  <c r="H431" i="16"/>
  <c r="H461" i="16"/>
  <c r="H495" i="16"/>
  <c r="H532" i="16"/>
  <c r="H563" i="16"/>
  <c r="H598" i="16"/>
  <c r="H628" i="16"/>
  <c r="H663" i="16"/>
  <c r="H703" i="16"/>
  <c r="H733" i="16"/>
  <c r="H768" i="16"/>
  <c r="H798" i="16"/>
  <c r="H828" i="16"/>
  <c r="H861" i="16"/>
  <c r="H885" i="16"/>
  <c r="H919" i="16"/>
  <c r="H948" i="16"/>
  <c r="H978" i="16"/>
  <c r="H1006" i="16"/>
  <c r="H1029" i="16"/>
  <c r="H1054" i="16"/>
  <c r="H1079" i="16"/>
  <c r="H1106" i="16"/>
  <c r="H1134" i="16"/>
  <c r="H1157" i="16"/>
  <c r="H1184" i="16"/>
  <c r="H1207" i="16"/>
  <c r="H1232" i="16"/>
  <c r="H1261" i="16"/>
  <c r="H1282" i="16"/>
  <c r="H1312" i="16"/>
  <c r="H1335" i="16"/>
  <c r="H1362" i="16"/>
  <c r="H1388" i="16"/>
  <c r="H1410" i="16"/>
  <c r="H1437" i="16"/>
  <c r="H1461" i="16"/>
  <c r="H37" i="16"/>
  <c r="H130" i="16"/>
  <c r="H215" i="16"/>
  <c r="H306" i="16"/>
  <c r="H398" i="16"/>
  <c r="H491" i="16"/>
  <c r="H579" i="16"/>
  <c r="H670" i="16"/>
  <c r="H756" i="16"/>
  <c r="H843" i="16"/>
  <c r="H922" i="16"/>
  <c r="H996" i="16"/>
  <c r="H1050" i="16"/>
  <c r="H1090" i="16"/>
  <c r="H1126" i="16"/>
  <c r="H1170" i="16"/>
  <c r="H1214" i="16"/>
  <c r="H1252" i="16"/>
  <c r="H1294" i="16"/>
  <c r="H1331" i="16"/>
  <c r="H1374" i="16"/>
  <c r="H1414" i="16"/>
  <c r="H1456" i="16"/>
  <c r="H1491" i="16"/>
  <c r="H1527" i="16"/>
  <c r="H1563" i="16"/>
  <c r="H1587" i="16"/>
  <c r="H1615" i="16"/>
  <c r="H1646" i="16"/>
  <c r="H1671" i="16"/>
  <c r="H1694" i="16"/>
  <c r="H1720" i="16"/>
  <c r="H1744" i="16"/>
  <c r="H1770" i="16"/>
  <c r="H1796" i="16"/>
  <c r="H1818" i="16"/>
  <c r="H1843" i="16"/>
  <c r="H1869" i="16"/>
  <c r="H48" i="16"/>
  <c r="H136" i="16"/>
  <c r="H229" i="16"/>
  <c r="H320" i="16"/>
  <c r="H411" i="16"/>
  <c r="H496" i="16"/>
  <c r="H589" i="16"/>
  <c r="H685" i="16"/>
  <c r="H770" i="16"/>
  <c r="H851" i="16"/>
  <c r="H935" i="16"/>
  <c r="H1007" i="16"/>
  <c r="H1053" i="16"/>
  <c r="H1091" i="16"/>
  <c r="H1135" i="16"/>
  <c r="H1175" i="16"/>
  <c r="H1218" i="16"/>
  <c r="H1255" i="16"/>
  <c r="H1298" i="16"/>
  <c r="H1341" i="16"/>
  <c r="H1378" i="16"/>
  <c r="H1423" i="16"/>
  <c r="H1459" i="16"/>
  <c r="H1500" i="16"/>
  <c r="H1533" i="16"/>
  <c r="H1564" i="16"/>
  <c r="H1592" i="16"/>
  <c r="H1623" i="16"/>
  <c r="H1647" i="16"/>
  <c r="H1674" i="16"/>
  <c r="H1701" i="16"/>
  <c r="H1723" i="16"/>
  <c r="H1747" i="16"/>
  <c r="H1774" i="16"/>
  <c r="H1797" i="16"/>
  <c r="H1824" i="16"/>
  <c r="H1848" i="16"/>
  <c r="H1870" i="16"/>
  <c r="H1898" i="16"/>
  <c r="H1923" i="16"/>
  <c r="H1946" i="16"/>
  <c r="H1971" i="16"/>
  <c r="H1994" i="16"/>
  <c r="H2015" i="16"/>
  <c r="H2038" i="16"/>
  <c r="H2059" i="16"/>
  <c r="H2079" i="16"/>
  <c r="H2102" i="16"/>
  <c r="H2125" i="16"/>
  <c r="H2146" i="16"/>
  <c r="H2162" i="16"/>
  <c r="H2174" i="16"/>
  <c r="H2190" i="16"/>
  <c r="H2203" i="16"/>
  <c r="H2216" i="16"/>
  <c r="H2231" i="16"/>
  <c r="H2245" i="16"/>
  <c r="H2258" i="16"/>
  <c r="H2274" i="16"/>
  <c r="H2286" i="16"/>
  <c r="H2300" i="16"/>
  <c r="H2315" i="16"/>
  <c r="H2328" i="16"/>
  <c r="H2341" i="16"/>
  <c r="H2357" i="16"/>
  <c r="H2370" i="16"/>
  <c r="H2383" i="16"/>
  <c r="H2399" i="16"/>
  <c r="H2412" i="16"/>
  <c r="H2424" i="16"/>
  <c r="H2440" i="16"/>
  <c r="H2454" i="16"/>
  <c r="H2467" i="16"/>
  <c r="H2483" i="16"/>
  <c r="H2495" i="16"/>
  <c r="H2509" i="16"/>
  <c r="H2524" i="16"/>
  <c r="H2538" i="16"/>
  <c r="H2550" i="16"/>
  <c r="H2566" i="16"/>
  <c r="H2579" i="16"/>
  <c r="H2592" i="16"/>
  <c r="H2607" i="16"/>
  <c r="H2620" i="16"/>
  <c r="H2631" i="16"/>
  <c r="H2799" i="16"/>
  <c r="H2790" i="16"/>
  <c r="H2781" i="16"/>
  <c r="H2771" i="16"/>
  <c r="H2762" i="16"/>
  <c r="H2753" i="16"/>
  <c r="H2744" i="16"/>
  <c r="H2735" i="16"/>
  <c r="H2726" i="16"/>
  <c r="H2716" i="16"/>
  <c r="H2704" i="16"/>
  <c r="H2694" i="16"/>
  <c r="H2684" i="16"/>
  <c r="H2674" i="16"/>
  <c r="H2663" i="16"/>
  <c r="H2653" i="16"/>
  <c r="H2643" i="16"/>
  <c r="H2630" i="16"/>
  <c r="H2618" i="16"/>
  <c r="H2602" i="16"/>
  <c r="H2587" i="16"/>
  <c r="H2570" i="16"/>
  <c r="H2556" i="16"/>
  <c r="H2539" i="16"/>
  <c r="H2522" i="16"/>
  <c r="H2506" i="16"/>
  <c r="H2491" i="16"/>
  <c r="H2475" i="16"/>
  <c r="H2459" i="16"/>
  <c r="H2443" i="16"/>
  <c r="H2428" i="16"/>
  <c r="H2411" i="16"/>
  <c r="H2394" i="16"/>
  <c r="H2379" i="16"/>
  <c r="H2363" i="16"/>
  <c r="H2348" i="16"/>
  <c r="H2331" i="16"/>
  <c r="H2317" i="16"/>
  <c r="H2299" i="16"/>
  <c r="H2284" i="16"/>
  <c r="H2267" i="16"/>
  <c r="H2253" i="16"/>
  <c r="H2236" i="16"/>
  <c r="H2221" i="16"/>
  <c r="H2204" i="16"/>
  <c r="H2187" i="16"/>
  <c r="H2172" i="16"/>
  <c r="H2156" i="16"/>
  <c r="H2136" i="16"/>
  <c r="H2111" i="16"/>
  <c r="H2086" i="16"/>
  <c r="H2063" i="16"/>
  <c r="H2031" i="16"/>
  <c r="H2011" i="16"/>
  <c r="H1983" i="16"/>
  <c r="H1960" i="16"/>
  <c r="H1930" i="16"/>
  <c r="H1903" i="16"/>
  <c r="H1872" i="16"/>
  <c r="H1838" i="16"/>
  <c r="H1806" i="16"/>
  <c r="H1775" i="16"/>
  <c r="H1741" i="16"/>
  <c r="H1704" i="16"/>
  <c r="H1676" i="16"/>
  <c r="H1637" i="16"/>
  <c r="H1602" i="16"/>
  <c r="H1565" i="16"/>
  <c r="H1518" i="16"/>
  <c r="H1472" i="16"/>
  <c r="H1424" i="16"/>
  <c r="H1363" i="16"/>
  <c r="H1314" i="16"/>
  <c r="H1263" i="16"/>
  <c r="H1200" i="16"/>
  <c r="H1151" i="16"/>
  <c r="H1102" i="16"/>
  <c r="H1040" i="16"/>
  <c r="H960" i="16"/>
  <c r="H864" i="16"/>
  <c r="H735" i="16"/>
  <c r="H623" i="16"/>
  <c r="H515" i="16"/>
  <c r="H375" i="16"/>
  <c r="H261" i="16"/>
  <c r="H149" i="16"/>
  <c r="H4" i="16"/>
  <c r="H2853" i="16"/>
  <c r="H2843" i="16"/>
  <c r="H2834" i="16"/>
  <c r="H2825" i="16"/>
  <c r="H2816" i="16"/>
  <c r="H2807" i="16"/>
  <c r="H2798" i="16"/>
  <c r="H2789" i="16"/>
  <c r="H2779" i="16"/>
  <c r="H2770" i="16"/>
  <c r="H2761" i="16"/>
  <c r="H2752" i="16"/>
  <c r="H2743" i="16"/>
  <c r="H2734" i="16"/>
  <c r="H2725" i="16"/>
  <c r="H2714" i="16"/>
  <c r="H2703" i="16"/>
  <c r="H2693" i="16"/>
  <c r="H2683" i="16"/>
  <c r="H2672" i="16"/>
  <c r="H2662" i="16"/>
  <c r="H2652" i="16"/>
  <c r="H2640" i="16"/>
  <c r="H2629" i="16"/>
  <c r="H2615" i="16"/>
  <c r="H2600" i="16"/>
  <c r="H2584" i="16"/>
  <c r="H2568" i="16"/>
  <c r="H2552" i="16"/>
  <c r="H2536" i="16"/>
  <c r="H2519" i="16"/>
  <c r="H2504" i="16"/>
  <c r="H2487" i="16"/>
  <c r="H2474" i="16"/>
  <c r="H2456" i="16"/>
  <c r="H2442" i="16"/>
  <c r="H2423" i="16"/>
  <c r="H2410" i="16"/>
  <c r="H2392" i="16"/>
  <c r="H2378" i="16"/>
  <c r="H2360" i="16"/>
  <c r="H2347" i="16"/>
  <c r="H2330" i="16"/>
  <c r="H2312" i="16"/>
  <c r="H2296" i="16"/>
  <c r="H2282" i="16"/>
  <c r="H2266" i="16"/>
  <c r="H2250" i="16"/>
  <c r="H2235" i="16"/>
  <c r="H2219" i="16"/>
  <c r="H2202" i="16"/>
  <c r="H2184" i="16"/>
  <c r="H2171" i="16"/>
  <c r="H2154" i="16"/>
  <c r="H2130" i="16"/>
  <c r="H2109" i="16"/>
  <c r="H2082" i="16"/>
  <c r="H2055" i="16"/>
  <c r="H2030" i="16"/>
  <c r="H2006" i="16"/>
  <c r="H1982" i="16"/>
  <c r="H1955" i="16"/>
  <c r="H1927" i="16"/>
  <c r="H1900" i="16"/>
  <c r="H1868" i="16"/>
  <c r="H1836" i="16"/>
  <c r="H1804" i="16"/>
  <c r="H1767" i="16"/>
  <c r="H1736" i="16"/>
  <c r="H1703" i="16"/>
  <c r="H1668" i="16"/>
  <c r="H1635" i="16"/>
  <c r="H1600" i="16"/>
  <c r="H1556" i="16"/>
  <c r="H1517" i="16"/>
  <c r="H1471" i="16"/>
  <c r="H1408" i="16"/>
  <c r="H1360" i="16"/>
  <c r="H1309" i="16"/>
  <c r="H1246" i="16"/>
  <c r="H1197" i="16"/>
  <c r="H1144" i="16"/>
  <c r="H1086" i="16"/>
  <c r="H1031" i="16"/>
  <c r="H952" i="16"/>
  <c r="H830" i="16"/>
  <c r="H724" i="16"/>
  <c r="H616" i="16"/>
  <c r="H479" i="16"/>
  <c r="H366" i="16"/>
  <c r="H246" i="16"/>
  <c r="H11" i="16"/>
  <c r="H2325" i="16"/>
  <c r="H2316" i="16"/>
  <c r="H2307" i="16"/>
  <c r="H2298" i="16"/>
  <c r="H2288" i="16"/>
  <c r="H2279" i="16"/>
  <c r="H2270" i="16"/>
  <c r="H2261" i="16"/>
  <c r="H2252" i="16"/>
  <c r="H2243" i="16"/>
  <c r="H2234" i="16"/>
  <c r="H2224" i="16"/>
  <c r="H2215" i="16"/>
  <c r="H2206" i="16"/>
  <c r="H2197" i="16"/>
  <c r="H2188" i="16"/>
  <c r="H2179" i="16"/>
  <c r="H2170" i="16"/>
  <c r="H2160" i="16"/>
  <c r="H2151" i="16"/>
  <c r="H2142" i="16"/>
  <c r="H2133" i="16"/>
  <c r="H2124" i="16"/>
  <c r="H2115" i="16"/>
  <c r="H2106" i="16"/>
  <c r="H2096" i="16"/>
  <c r="H2087" i="16"/>
  <c r="H2078" i="16"/>
  <c r="H2069" i="16"/>
  <c r="H2060" i="16"/>
  <c r="H2051" i="16"/>
  <c r="H2042" i="16"/>
  <c r="H2032" i="16"/>
  <c r="H2023" i="16"/>
  <c r="H2014" i="16"/>
  <c r="H2005" i="16"/>
  <c r="H1996" i="16"/>
  <c r="H1987" i="16"/>
  <c r="H1978" i="16"/>
  <c r="H1967" i="16"/>
  <c r="H1957" i="16"/>
  <c r="H1947" i="16"/>
  <c r="H1936" i="16"/>
  <c r="H1925" i="16"/>
  <c r="H1915" i="16"/>
  <c r="H1904" i="16"/>
  <c r="H1894" i="16"/>
  <c r="H1884" i="16"/>
  <c r="H1874" i="16"/>
  <c r="H1863" i="16"/>
  <c r="H1852" i="16"/>
  <c r="H1842" i="16"/>
  <c r="H1831" i="16"/>
  <c r="H1821" i="16"/>
  <c r="H1811" i="16"/>
  <c r="H1800" i="16"/>
  <c r="H1790" i="16"/>
  <c r="H1779" i="16"/>
  <c r="H1768" i="16"/>
  <c r="H1758" i="16"/>
  <c r="H1748" i="16"/>
  <c r="H1738" i="16"/>
  <c r="H1727" i="16"/>
  <c r="H1717" i="16"/>
  <c r="H1706" i="16"/>
  <c r="H1695" i="16"/>
  <c r="H1685" i="16"/>
  <c r="H1675" i="16"/>
  <c r="H1664" i="16"/>
  <c r="H1654" i="16"/>
  <c r="H1643" i="16"/>
  <c r="H1629" i="16"/>
  <c r="H1618" i="16"/>
  <c r="H1606" i="16"/>
  <c r="H1594" i="16"/>
  <c r="H1582" i="16"/>
  <c r="H1571" i="16"/>
  <c r="H1559" i="16"/>
  <c r="H1546" i="16"/>
  <c r="H1534" i="16"/>
  <c r="H1523" i="16"/>
  <c r="H1510" i="16"/>
  <c r="H1499" i="16"/>
  <c r="H1487" i="16"/>
  <c r="H1475" i="16"/>
  <c r="H1462" i="16"/>
  <c r="H1451" i="16"/>
  <c r="H1438" i="16"/>
  <c r="H1427" i="16"/>
  <c r="H1415" i="16"/>
  <c r="H1404" i="16"/>
  <c r="H1391" i="16"/>
  <c r="H1379" i="16"/>
  <c r="H1367" i="16"/>
  <c r="H1355" i="16"/>
  <c r="H1343" i="16"/>
  <c r="H1332" i="16"/>
  <c r="H1319" i="16"/>
  <c r="H1308" i="16"/>
  <c r="H1295" i="16"/>
  <c r="H1283" i="16"/>
  <c r="H1271" i="16"/>
  <c r="H1260" i="16"/>
  <c r="H1248" i="16"/>
  <c r="H1236" i="16"/>
  <c r="H1224" i="16"/>
  <c r="H1212" i="16"/>
  <c r="H1199" i="16"/>
  <c r="H1188" i="16"/>
  <c r="H1176" i="16"/>
  <c r="H1164" i="16"/>
  <c r="H1152" i="16"/>
  <c r="H1141" i="16"/>
  <c r="H1127" i="16"/>
  <c r="H1116" i="16"/>
  <c r="H1104" i="16"/>
  <c r="H1093" i="16"/>
  <c r="H1080" i="16"/>
  <c r="H1069" i="16"/>
  <c r="H1058" i="16"/>
  <c r="H1044" i="16"/>
  <c r="H1032" i="16"/>
  <c r="H1021" i="16"/>
  <c r="H1008" i="16"/>
  <c r="H997" i="16"/>
  <c r="H984" i="16"/>
  <c r="H970" i="16"/>
  <c r="H957" i="16"/>
  <c r="H942" i="16"/>
  <c r="H928" i="16"/>
  <c r="H915" i="16"/>
  <c r="H901" i="16"/>
  <c r="H886" i="16"/>
  <c r="H874" i="16"/>
  <c r="H859" i="16"/>
  <c r="H844" i="16"/>
  <c r="H831" i="16"/>
  <c r="H816" i="16"/>
  <c r="H803" i="16"/>
  <c r="H789" i="16"/>
  <c r="H774" i="16"/>
  <c r="H758" i="16"/>
  <c r="H743" i="16"/>
  <c r="H726" i="16"/>
  <c r="H710" i="16"/>
  <c r="H695" i="16"/>
  <c r="H679" i="16"/>
  <c r="H662" i="16"/>
  <c r="H648" i="16"/>
  <c r="H631" i="16"/>
  <c r="H615" i="16"/>
  <c r="H599" i="16"/>
  <c r="H584" i="16"/>
  <c r="H567" i="16"/>
  <c r="H552" i="16"/>
  <c r="H535" i="16"/>
  <c r="H518" i="16"/>
  <c r="H504" i="16"/>
  <c r="H487" i="16"/>
  <c r="H471" i="16"/>
  <c r="H456" i="16"/>
  <c r="H440" i="16"/>
  <c r="H423" i="16"/>
  <c r="H408" i="16"/>
  <c r="H392" i="16"/>
  <c r="H376" i="16"/>
  <c r="H360" i="16"/>
  <c r="H344" i="16"/>
  <c r="H328" i="16"/>
  <c r="H314" i="16"/>
  <c r="H296" i="16"/>
  <c r="H280" i="16"/>
  <c r="H266" i="16"/>
  <c r="H250" i="16"/>
  <c r="H232" i="16"/>
  <c r="H219" i="16"/>
  <c r="H202" i="16"/>
  <c r="H184" i="16"/>
  <c r="H170" i="16"/>
  <c r="H152" i="16"/>
  <c r="H138" i="16"/>
  <c r="H122" i="16"/>
  <c r="H106" i="16"/>
  <c r="H88" i="16"/>
  <c r="H75" i="16"/>
  <c r="H58" i="16"/>
  <c r="H42" i="16"/>
  <c r="H27" i="16"/>
  <c r="H12" i="16"/>
  <c r="H23" i="16"/>
  <c r="H36" i="16"/>
  <c r="H47" i="16"/>
  <c r="H59" i="16"/>
  <c r="H72" i="16"/>
  <c r="H84" i="16"/>
  <c r="H95" i="16"/>
  <c r="H107" i="16"/>
  <c r="H119" i="16"/>
  <c r="H131" i="16"/>
  <c r="H142" i="16"/>
  <c r="H156" i="16"/>
  <c r="H167" i="16"/>
  <c r="H179" i="16"/>
  <c r="H191" i="16"/>
  <c r="H203" i="16"/>
  <c r="H214" i="16"/>
  <c r="H226" i="16"/>
  <c r="H239" i="16"/>
  <c r="H251" i="16"/>
  <c r="H262" i="16"/>
  <c r="H275" i="16"/>
  <c r="H286" i="16"/>
  <c r="H298" i="16"/>
  <c r="H310" i="16"/>
  <c r="H323" i="16"/>
  <c r="H334" i="16"/>
  <c r="H347" i="16"/>
  <c r="H358" i="16"/>
  <c r="H370" i="16"/>
  <c r="H381" i="16"/>
  <c r="H394" i="16"/>
  <c r="H406" i="16"/>
  <c r="H418" i="16"/>
  <c r="H430" i="16"/>
  <c r="H442" i="16"/>
  <c r="H453" i="16"/>
  <c r="H466" i="16"/>
  <c r="H477" i="16"/>
  <c r="H490" i="16"/>
  <c r="H502" i="16"/>
  <c r="H514" i="16"/>
  <c r="H525" i="16"/>
  <c r="H536" i="16"/>
  <c r="H549" i="16"/>
  <c r="H560" i="16"/>
  <c r="H573" i="16"/>
  <c r="H586" i="16"/>
  <c r="H597" i="16"/>
  <c r="H608" i="16"/>
  <c r="H621" i="16"/>
  <c r="H632" i="16"/>
  <c r="H644" i="16"/>
  <c r="H658" i="16"/>
  <c r="H669" i="16"/>
  <c r="H680" i="16"/>
  <c r="H692" i="16"/>
  <c r="H704" i="16"/>
  <c r="H716" i="16"/>
  <c r="H727" i="16"/>
  <c r="H741" i="16"/>
  <c r="H752" i="16"/>
  <c r="H764" i="16"/>
  <c r="H776" i="16"/>
  <c r="H787" i="16"/>
  <c r="H797" i="16"/>
  <c r="H807" i="16"/>
  <c r="H819" i="16"/>
  <c r="H829" i="16"/>
  <c r="H839" i="16"/>
  <c r="H850" i="16"/>
  <c r="H860" i="16"/>
  <c r="H870" i="16"/>
  <c r="H880" i="16"/>
  <c r="H892" i="16"/>
  <c r="H902" i="16"/>
  <c r="H912" i="16"/>
  <c r="H923" i="16"/>
  <c r="H933" i="16"/>
  <c r="H943" i="16"/>
  <c r="H954" i="16"/>
  <c r="H965" i="16"/>
  <c r="H975" i="16"/>
  <c r="H986" i="16"/>
  <c r="H32" i="16"/>
  <c r="H45" i="16"/>
  <c r="H56" i="16"/>
  <c r="H68" i="16"/>
  <c r="H79" i="16"/>
  <c r="H93" i="16"/>
  <c r="H104" i="16"/>
  <c r="H116" i="16"/>
  <c r="H128" i="16"/>
  <c r="H140" i="16"/>
  <c r="H151" i="16"/>
  <c r="H164" i="16"/>
  <c r="H176" i="16"/>
  <c r="H188" i="16"/>
  <c r="H200" i="16"/>
  <c r="H212" i="16"/>
  <c r="H223" i="16"/>
  <c r="H235" i="16"/>
  <c r="H247" i="16"/>
  <c r="H260" i="16"/>
  <c r="H271" i="16"/>
  <c r="H284" i="16"/>
  <c r="H295" i="16"/>
  <c r="H307" i="16"/>
  <c r="H319" i="16"/>
  <c r="H331" i="16"/>
  <c r="H343" i="16"/>
  <c r="H356" i="16"/>
  <c r="H367" i="16"/>
  <c r="H379" i="16"/>
  <c r="H390" i="16"/>
  <c r="H403" i="16"/>
  <c r="H414" i="16"/>
  <c r="H427" i="16"/>
  <c r="H439" i="16"/>
  <c r="H451" i="16"/>
  <c r="H462" i="16"/>
  <c r="H475" i="16"/>
  <c r="H486" i="16"/>
  <c r="H498" i="16"/>
  <c r="H511" i="16"/>
  <c r="H523" i="16"/>
  <c r="H534" i="16"/>
  <c r="H546" i="16"/>
  <c r="H558" i="16"/>
  <c r="H570" i="16"/>
  <c r="H581" i="16"/>
  <c r="H595" i="16"/>
  <c r="H606" i="16"/>
  <c r="H618" i="16"/>
  <c r="H630" i="16"/>
  <c r="H642" i="16"/>
  <c r="H653" i="16"/>
  <c r="H664" i="16"/>
  <c r="H678" i="16"/>
  <c r="H690" i="16"/>
  <c r="H701" i="16"/>
  <c r="H714" i="16"/>
  <c r="H725" i="16"/>
  <c r="H736" i="16"/>
  <c r="H749" i="16"/>
  <c r="H762" i="16"/>
  <c r="H773" i="16"/>
  <c r="H784" i="16"/>
  <c r="H795" i="16"/>
  <c r="H805" i="16"/>
  <c r="H815" i="16"/>
  <c r="H826" i="16"/>
  <c r="H837" i="16"/>
  <c r="H847" i="16"/>
  <c r="H858" i="16"/>
  <c r="H868" i="16"/>
  <c r="H878" i="16"/>
  <c r="H888" i="16"/>
  <c r="H899" i="16"/>
  <c r="H910" i="16"/>
  <c r="H920" i="16"/>
  <c r="H931" i="16"/>
  <c r="H941" i="16"/>
  <c r="H951" i="16"/>
  <c r="H962" i="16"/>
  <c r="H972" i="16"/>
  <c r="H983" i="16"/>
  <c r="H994" i="16"/>
  <c r="H1004" i="16"/>
  <c r="H1014" i="16"/>
  <c r="H1024" i="16"/>
  <c r="H1035" i="16"/>
  <c r="H1045" i="16"/>
  <c r="H1056" i="16"/>
  <c r="H1067" i="16"/>
  <c r="H1077" i="16"/>
  <c r="H1087" i="16"/>
  <c r="H1098" i="16"/>
  <c r="H1108" i="16"/>
  <c r="H1118" i="16"/>
  <c r="H1130" i="16"/>
  <c r="H1140" i="16"/>
  <c r="H1150" i="16"/>
  <c r="H1160" i="16"/>
  <c r="H1171" i="16"/>
  <c r="H1181" i="16"/>
  <c r="H1191" i="16"/>
  <c r="H1203" i="16"/>
  <c r="H1213" i="16"/>
  <c r="H1223" i="16"/>
  <c r="H1234" i="16"/>
  <c r="H1244" i="16"/>
  <c r="H1254" i="16"/>
  <c r="H1264" i="16"/>
  <c r="H1276" i="16"/>
  <c r="H1286" i="16"/>
  <c r="H1296" i="16"/>
  <c r="H1307" i="16"/>
  <c r="H1317" i="16"/>
  <c r="H1327" i="16"/>
  <c r="H1338" i="16"/>
  <c r="H1349" i="16"/>
  <c r="H1359" i="16"/>
  <c r="H1370" i="16"/>
  <c r="H1380" i="16"/>
  <c r="H1390" i="16"/>
  <c r="H1400" i="16"/>
  <c r="H1411" i="16"/>
  <c r="H1422" i="16"/>
  <c r="H1432" i="16"/>
  <c r="H1443" i="16"/>
  <c r="H1453" i="16"/>
  <c r="H1463" i="16"/>
  <c r="H1474" i="16"/>
  <c r="H1484" i="16"/>
  <c r="H1495" i="16"/>
  <c r="H1506" i="16"/>
  <c r="H1516" i="16"/>
  <c r="H1526" i="16"/>
  <c r="H1536" i="16"/>
  <c r="H1547" i="16"/>
  <c r="H1557" i="16"/>
  <c r="H1568" i="16"/>
  <c r="H1579" i="16"/>
  <c r="H1589" i="16"/>
  <c r="H1599" i="16"/>
  <c r="H1610" i="16"/>
  <c r="H1620" i="16"/>
  <c r="H1630" i="16"/>
  <c r="H1642" i="16"/>
  <c r="H1652" i="16"/>
  <c r="H1661" i="16"/>
  <c r="H1670" i="16"/>
  <c r="H1679" i="16"/>
  <c r="H1688" i="16"/>
  <c r="H1698" i="16"/>
  <c r="H1707" i="16"/>
  <c r="H1716" i="16"/>
  <c r="H1725" i="16"/>
  <c r="H1734" i="16"/>
  <c r="H1743" i="16"/>
  <c r="H1752" i="16"/>
  <c r="H1762" i="16"/>
  <c r="H1771" i="16"/>
  <c r="H1780" i="16"/>
  <c r="H1789" i="16"/>
  <c r="H1798" i="16"/>
  <c r="H1807" i="16"/>
  <c r="H1816" i="16"/>
  <c r="H1826" i="16"/>
  <c r="H1835" i="16"/>
  <c r="H1844" i="16"/>
  <c r="H1853" i="16"/>
  <c r="H1862" i="16"/>
  <c r="H1871" i="16"/>
  <c r="H1880" i="16"/>
  <c r="H1890" i="16"/>
  <c r="H1899" i="16"/>
  <c r="H1908" i="16"/>
  <c r="H1917" i="16"/>
  <c r="H1926" i="16"/>
  <c r="H1935" i="16"/>
  <c r="H1944" i="16"/>
  <c r="H1954" i="16"/>
  <c r="H1963" i="16"/>
  <c r="H1972" i="16"/>
  <c r="H1918" i="16"/>
  <c r="H1907" i="16"/>
  <c r="H1896" i="16"/>
  <c r="H1886" i="16"/>
  <c r="H1876" i="16"/>
  <c r="H1866" i="16"/>
  <c r="H1855" i="16"/>
  <c r="H1845" i="16"/>
  <c r="H1834" i="16"/>
  <c r="H1823" i="16"/>
  <c r="H1813" i="16"/>
  <c r="H1803" i="16"/>
  <c r="H1792" i="16"/>
  <c r="H1782" i="16"/>
  <c r="H1772" i="16"/>
  <c r="H1760" i="16"/>
  <c r="H1750" i="16"/>
  <c r="H1740" i="16"/>
  <c r="H1730" i="16"/>
  <c r="H1719" i="16"/>
  <c r="H1709" i="16"/>
  <c r="H1699" i="16"/>
  <c r="H1687" i="16"/>
  <c r="H1677" i="16"/>
  <c r="H1667" i="16"/>
  <c r="H1656" i="16"/>
  <c r="H1645" i="16"/>
  <c r="H1634" i="16"/>
  <c r="H1621" i="16"/>
  <c r="H1608" i="16"/>
  <c r="H1597" i="16"/>
  <c r="H1584" i="16"/>
  <c r="H1573" i="16"/>
  <c r="H1562" i="16"/>
  <c r="H1550" i="16"/>
  <c r="H1538" i="16"/>
  <c r="H1525" i="16"/>
  <c r="H1514" i="16"/>
  <c r="H1501" i="16"/>
  <c r="H1490" i="16"/>
  <c r="H1478" i="16"/>
  <c r="H1466" i="16"/>
  <c r="H1454" i="16"/>
  <c r="H1442" i="16"/>
  <c r="H1429" i="16"/>
  <c r="H1418" i="16"/>
  <c r="H1406" i="16"/>
  <c r="H1395" i="16"/>
  <c r="H1382" i="16"/>
  <c r="H1371" i="16"/>
  <c r="H1358" i="16"/>
  <c r="H1346" i="16"/>
  <c r="H1334" i="16"/>
  <c r="H1323" i="16"/>
  <c r="H1310" i="16"/>
  <c r="H1299" i="16"/>
  <c r="H1287" i="16"/>
  <c r="H1274" i="16"/>
  <c r="H1262" i="16"/>
  <c r="H1251" i="16"/>
  <c r="H1239" i="16"/>
  <c r="H1227" i="16"/>
  <c r="H1215" i="16"/>
  <c r="H1204" i="16"/>
  <c r="H1190" i="16"/>
  <c r="H1179" i="16"/>
  <c r="H1167" i="16"/>
  <c r="H1155" i="16"/>
  <c r="H1143" i="16"/>
  <c r="H1132" i="16"/>
  <c r="H1120" i="16"/>
  <c r="H1107" i="16"/>
  <c r="H1095" i="16"/>
  <c r="H1084" i="16"/>
  <c r="H1071" i="16"/>
  <c r="H1060" i="16"/>
  <c r="H1048" i="16"/>
  <c r="H1036" i="16"/>
  <c r="H1023" i="16"/>
  <c r="H1012" i="16"/>
  <c r="H999" i="16"/>
  <c r="H988" i="16"/>
  <c r="H974" i="16"/>
  <c r="H959" i="16"/>
  <c r="H947" i="16"/>
  <c r="H932" i="16"/>
  <c r="H917" i="16"/>
  <c r="H904" i="16"/>
  <c r="H890" i="16"/>
  <c r="H876" i="16"/>
  <c r="H862" i="16"/>
  <c r="H848" i="16"/>
  <c r="H834" i="16"/>
  <c r="H821" i="16"/>
  <c r="H806" i="16"/>
  <c r="H792" i="16"/>
  <c r="H779" i="16"/>
  <c r="H763" i="16"/>
  <c r="H746" i="16"/>
  <c r="H732" i="16"/>
  <c r="H715" i="16"/>
  <c r="H699" i="16"/>
  <c r="H683" i="16"/>
  <c r="H668" i="16"/>
  <c r="H651" i="16"/>
  <c r="H636" i="16"/>
  <c r="H619" i="16"/>
  <c r="H603" i="16"/>
  <c r="H588" i="16"/>
  <c r="H571" i="16"/>
  <c r="H555" i="16"/>
  <c r="H540" i="16"/>
  <c r="H524" i="16"/>
  <c r="H507" i="16"/>
  <c r="H493" i="16"/>
  <c r="H476" i="16"/>
  <c r="H460" i="16"/>
  <c r="H444" i="16"/>
  <c r="H429" i="16"/>
  <c r="H412" i="16"/>
  <c r="H397" i="16"/>
  <c r="H380" i="16"/>
  <c r="H365" i="16"/>
  <c r="H349" i="16"/>
  <c r="H333" i="16"/>
  <c r="H316" i="16"/>
  <c r="H302" i="16"/>
  <c r="H285" i="16"/>
  <c r="H268" i="16"/>
  <c r="H253" i="16"/>
  <c r="H237" i="16"/>
  <c r="H221" i="16"/>
  <c r="H205" i="16"/>
  <c r="H189" i="16"/>
  <c r="H173" i="16"/>
  <c r="H158" i="16"/>
  <c r="H141" i="16"/>
  <c r="H125" i="16"/>
  <c r="H110" i="16"/>
  <c r="H94" i="16"/>
  <c r="H77" i="16"/>
  <c r="H63" i="16"/>
  <c r="H46" i="16"/>
  <c r="H30" i="16"/>
  <c r="H14" i="16"/>
  <c r="H10" i="16"/>
  <c r="H21" i="16"/>
  <c r="H7" i="16"/>
  <c r="H16" i="16"/>
  <c r="H26" i="16"/>
  <c r="H35" i="16"/>
  <c r="H44" i="16"/>
  <c r="H53" i="16"/>
  <c r="H62" i="16"/>
  <c r="H71" i="16"/>
  <c r="H80" i="16"/>
  <c r="H90" i="16"/>
  <c r="H99" i="16"/>
  <c r="H108" i="16"/>
  <c r="H117" i="16"/>
  <c r="H126" i="16"/>
  <c r="H135" i="16"/>
  <c r="H144" i="16"/>
  <c r="H154" i="16"/>
  <c r="H163" i="16"/>
  <c r="H172" i="16"/>
  <c r="H181" i="16"/>
  <c r="H190" i="16"/>
  <c r="H199" i="16"/>
  <c r="H208" i="16"/>
  <c r="H218" i="16"/>
  <c r="H227" i="16"/>
  <c r="H236" i="16"/>
  <c r="H245" i="16"/>
  <c r="H254" i="16"/>
  <c r="H263" i="16"/>
  <c r="H272" i="16"/>
  <c r="H282" i="16"/>
  <c r="H291" i="16"/>
  <c r="H300" i="16"/>
  <c r="H309" i="16"/>
  <c r="H318" i="16"/>
  <c r="H327" i="16"/>
  <c r="H336" i="16"/>
  <c r="H346" i="16"/>
  <c r="H355" i="16"/>
  <c r="H364" i="16"/>
  <c r="H373" i="16"/>
  <c r="H382" i="16"/>
  <c r="H391" i="16"/>
  <c r="H400" i="16"/>
  <c r="H410" i="16"/>
  <c r="H419" i="16"/>
  <c r="H428" i="16"/>
  <c r="H437" i="16"/>
  <c r="H446" i="16"/>
  <c r="H455" i="16"/>
  <c r="H464" i="16"/>
  <c r="H474" i="16"/>
  <c r="H483" i="16"/>
  <c r="H492" i="16"/>
  <c r="H501" i="16"/>
  <c r="H510" i="16"/>
  <c r="H519" i="16"/>
  <c r="H528" i="16"/>
  <c r="H538" i="16"/>
  <c r="H547" i="16"/>
  <c r="H556" i="16"/>
  <c r="H565" i="16"/>
  <c r="H574" i="16"/>
  <c r="H583" i="16"/>
  <c r="H592" i="16"/>
  <c r="H602" i="16"/>
  <c r="H611" i="16"/>
  <c r="H620" i="16"/>
  <c r="H629" i="16"/>
  <c r="H638" i="16"/>
  <c r="H647" i="16"/>
  <c r="H656" i="16"/>
  <c r="H666" i="16"/>
  <c r="H675" i="16"/>
  <c r="H684" i="16"/>
  <c r="H693" i="16"/>
  <c r="H702" i="16"/>
  <c r="H711" i="16"/>
  <c r="H720" i="16"/>
  <c r="H730" i="16"/>
  <c r="H739" i="16"/>
  <c r="H748" i="16"/>
  <c r="H757" i="16"/>
  <c r="H766" i="16"/>
  <c r="H775" i="16"/>
  <c r="H8" i="16"/>
  <c r="H19" i="16"/>
  <c r="H29" i="16"/>
  <c r="H39" i="16"/>
  <c r="H50" i="16"/>
  <c r="H60" i="16"/>
  <c r="H70" i="16"/>
  <c r="H82" i="16"/>
  <c r="H92" i="16"/>
  <c r="H102" i="16"/>
  <c r="H112" i="16"/>
  <c r="H123" i="16"/>
  <c r="H133" i="16"/>
  <c r="H143" i="16"/>
  <c r="H155" i="16"/>
  <c r="H165" i="16"/>
  <c r="H175" i="16"/>
  <c r="H186" i="16"/>
  <c r="H196" i="16"/>
  <c r="H206" i="16"/>
  <c r="H216" i="16"/>
  <c r="H228" i="16"/>
  <c r="H238" i="16"/>
  <c r="H248" i="16"/>
  <c r="H259" i="16"/>
  <c r="H269" i="16"/>
  <c r="H279" i="16"/>
  <c r="H290" i="16"/>
  <c r="H301" i="16"/>
  <c r="H311" i="16"/>
  <c r="H322" i="16"/>
  <c r="H332" i="16"/>
  <c r="H342" i="16"/>
  <c r="H352" i="16"/>
  <c r="H363" i="16"/>
  <c r="H374" i="16"/>
  <c r="H384" i="16"/>
  <c r="H395" i="16"/>
  <c r="H405" i="16"/>
  <c r="H415" i="16"/>
  <c r="H426" i="16"/>
  <c r="H436" i="16"/>
  <c r="H447" i="16"/>
  <c r="H458" i="16"/>
  <c r="H468" i="16"/>
  <c r="H478" i="16"/>
  <c r="H488" i="16"/>
  <c r="H499" i="16"/>
  <c r="H509" i="16"/>
  <c r="H520" i="16"/>
  <c r="H531" i="16"/>
  <c r="H541" i="16"/>
  <c r="H551" i="16"/>
  <c r="H562" i="16"/>
  <c r="H572" i="16"/>
  <c r="H582" i="16"/>
  <c r="H594" i="16"/>
  <c r="H604" i="16"/>
  <c r="H614" i="16"/>
  <c r="H624" i="16"/>
  <c r="H635" i="16"/>
  <c r="H645" i="16"/>
  <c r="H655" i="16"/>
  <c r="H667" i="16"/>
  <c r="H677" i="16"/>
  <c r="H687" i="16"/>
  <c r="H698" i="16"/>
  <c r="H708" i="16"/>
  <c r="H718" i="16"/>
  <c r="H728" i="16"/>
  <c r="H740" i="16"/>
  <c r="H750" i="16"/>
  <c r="H760" i="16"/>
  <c r="H771" i="16"/>
  <c r="H781" i="16"/>
  <c r="H790" i="16"/>
  <c r="H799" i="16"/>
  <c r="H808" i="16"/>
  <c r="H818" i="16"/>
  <c r="H827" i="16"/>
  <c r="H836" i="16"/>
  <c r="H845" i="16"/>
  <c r="H854" i="16"/>
  <c r="H863" i="16"/>
  <c r="H872" i="16"/>
  <c r="H882" i="16"/>
  <c r="H891" i="16"/>
  <c r="H900" i="16"/>
  <c r="H909" i="16"/>
  <c r="H918" i="16"/>
  <c r="H927" i="16"/>
  <c r="H936" i="16"/>
  <c r="H946" i="16"/>
  <c r="H955" i="16"/>
  <c r="H964" i="16"/>
  <c r="H973" i="16"/>
  <c r="H982" i="16"/>
  <c r="H991" i="16"/>
  <c r="H1000" i="16"/>
  <c r="H1010" i="16"/>
  <c r="H1019" i="16"/>
  <c r="H1028" i="16"/>
  <c r="H1037" i="16"/>
  <c r="H1046" i="16"/>
  <c r="H1055" i="16"/>
  <c r="H1064" i="16"/>
  <c r="H1074" i="16"/>
  <c r="H1083" i="16"/>
  <c r="H1092" i="16"/>
  <c r="H1101" i="16"/>
  <c r="H1110" i="16"/>
  <c r="H1119" i="16"/>
  <c r="H1128" i="16"/>
  <c r="H1138" i="16"/>
  <c r="H1147" i="16"/>
  <c r="H1156" i="16"/>
  <c r="H1165" i="16"/>
  <c r="H1174" i="16"/>
  <c r="H1183" i="16"/>
  <c r="H1192" i="16"/>
  <c r="H1202" i="16"/>
  <c r="H1211" i="16"/>
  <c r="H1220" i="16"/>
  <c r="H1229" i="16"/>
  <c r="H1238" i="16"/>
  <c r="H1247" i="16"/>
  <c r="H1256" i="16"/>
  <c r="H1266" i="16"/>
  <c r="H1275" i="16"/>
  <c r="H1284" i="16"/>
  <c r="H1293" i="16"/>
  <c r="H1302" i="16"/>
  <c r="H1311" i="16"/>
  <c r="H1320" i="16"/>
  <c r="H1330" i="16"/>
  <c r="H1339" i="16"/>
  <c r="H1348" i="16"/>
  <c r="H1357" i="16"/>
  <c r="H1366" i="16"/>
  <c r="H1375" i="16"/>
  <c r="H1384" i="16"/>
  <c r="H1394" i="16"/>
  <c r="H1403" i="16"/>
  <c r="H1412" i="16"/>
  <c r="H1421" i="16"/>
  <c r="H1430" i="16"/>
  <c r="H1439" i="16"/>
  <c r="H1448" i="16"/>
  <c r="H1458" i="16"/>
  <c r="H1467" i="16"/>
  <c r="H1476" i="16"/>
  <c r="H1485" i="16"/>
  <c r="H1494" i="16"/>
  <c r="H1503" i="16"/>
  <c r="H1512" i="16"/>
  <c r="H1522" i="16"/>
  <c r="H1531" i="16"/>
  <c r="H1540" i="16"/>
  <c r="H1549" i="16"/>
  <c r="H1558" i="16"/>
  <c r="H1567" i="16"/>
  <c r="H1576" i="16"/>
  <c r="H1586" i="16"/>
  <c r="H1595" i="16"/>
  <c r="H1604" i="16"/>
  <c r="H1613" i="16"/>
  <c r="H1622" i="16"/>
  <c r="H1631" i="16"/>
  <c r="H1640" i="16"/>
  <c r="H1650" i="16"/>
  <c r="B12" i="10"/>
  <c r="F21" i="20" l="1"/>
  <c r="G15" i="20"/>
  <c r="G14" i="20" s="1"/>
  <c r="G22" i="20"/>
  <c r="C15" i="10"/>
  <c r="C59" i="10"/>
  <c r="C61" i="10" s="1"/>
  <c r="C31" i="10"/>
  <c r="C39" i="10" s="1"/>
  <c r="G21" i="20" l="1"/>
  <c r="H15" i="20"/>
  <c r="H14" i="20" s="1"/>
  <c r="H22" i="20"/>
  <c r="C58" i="10"/>
  <c r="D15" i="10"/>
  <c r="C24" i="10"/>
  <c r="C16" i="10"/>
  <c r="C21" i="10"/>
  <c r="C27" i="10"/>
  <c r="C20" i="10"/>
  <c r="C19" i="10"/>
  <c r="C18" i="10"/>
  <c r="C23" i="10"/>
  <c r="C28" i="10"/>
  <c r="C26" i="10"/>
  <c r="C17" i="10"/>
  <c r="C25" i="10"/>
  <c r="C22" i="10"/>
  <c r="C30" i="10"/>
  <c r="C14" i="10"/>
  <c r="D59" i="10"/>
  <c r="D61" i="10" s="1"/>
  <c r="C60" i="10"/>
  <c r="C50" i="10"/>
  <c r="C42" i="10"/>
  <c r="C34" i="10"/>
  <c r="C52" i="10"/>
  <c r="C44" i="10"/>
  <c r="C36" i="10"/>
  <c r="C54" i="10"/>
  <c r="C49" i="10"/>
  <c r="C48" i="10"/>
  <c r="C55" i="10"/>
  <c r="C47" i="10"/>
  <c r="C41" i="10"/>
  <c r="C46" i="10"/>
  <c r="C40" i="10"/>
  <c r="C43" i="10"/>
  <c r="C37" i="10"/>
  <c r="C45" i="10"/>
  <c r="C51" i="10"/>
  <c r="C33" i="10"/>
  <c r="C38" i="10"/>
  <c r="C56" i="10"/>
  <c r="C35" i="10"/>
  <c r="D31" i="10"/>
  <c r="D39" i="10" s="1"/>
  <c r="I22" i="20" l="1"/>
  <c r="H21" i="20"/>
  <c r="I15" i="20"/>
  <c r="I14" i="20" s="1"/>
  <c r="D14" i="10"/>
  <c r="D20" i="10"/>
  <c r="D27" i="10"/>
  <c r="D25" i="10"/>
  <c r="E15" i="10"/>
  <c r="D18" i="10"/>
  <c r="D28" i="10"/>
  <c r="D26" i="10"/>
  <c r="D19" i="10"/>
  <c r="D17" i="10"/>
  <c r="D23" i="10"/>
  <c r="D21" i="10"/>
  <c r="D24" i="10"/>
  <c r="D58" i="10"/>
  <c r="D16" i="10"/>
  <c r="D22" i="10"/>
  <c r="D30" i="10"/>
  <c r="E59" i="10"/>
  <c r="E61" i="10" s="1"/>
  <c r="D60" i="10"/>
  <c r="D51" i="10"/>
  <c r="D43" i="10"/>
  <c r="D35" i="10"/>
  <c r="D53" i="10"/>
  <c r="D45" i="10"/>
  <c r="D37" i="10"/>
  <c r="D54" i="10"/>
  <c r="D48" i="10"/>
  <c r="D42" i="10"/>
  <c r="D55" i="10"/>
  <c r="D47" i="10"/>
  <c r="D41" i="10"/>
  <c r="D46" i="10"/>
  <c r="D40" i="10"/>
  <c r="D33" i="10"/>
  <c r="D56" i="10"/>
  <c r="D52" i="10"/>
  <c r="D49" i="10"/>
  <c r="D50" i="10"/>
  <c r="D36" i="10"/>
  <c r="D44" i="10"/>
  <c r="E31" i="10"/>
  <c r="E39" i="10" s="1"/>
  <c r="I21" i="20" l="1"/>
  <c r="J15" i="20"/>
  <c r="J14" i="20" s="1"/>
  <c r="J22" i="20"/>
  <c r="E28" i="10"/>
  <c r="E19" i="10"/>
  <c r="E22" i="10"/>
  <c r="E25" i="10"/>
  <c r="F15" i="10"/>
  <c r="F16" i="10" s="1"/>
  <c r="E17" i="10"/>
  <c r="E27" i="10"/>
  <c r="E23" i="10"/>
  <c r="E18" i="10"/>
  <c r="E58" i="10"/>
  <c r="E14" i="10"/>
  <c r="E24" i="10"/>
  <c r="E26" i="10"/>
  <c r="E30" i="10"/>
  <c r="E20" i="10"/>
  <c r="E16" i="10"/>
  <c r="E21" i="10"/>
  <c r="F59" i="10"/>
  <c r="F61" i="10" s="1"/>
  <c r="E60" i="10"/>
  <c r="E52" i="10"/>
  <c r="E44" i="10"/>
  <c r="E36" i="10"/>
  <c r="E54" i="10"/>
  <c r="E46" i="10"/>
  <c r="E38" i="10"/>
  <c r="E55" i="10"/>
  <c r="E47" i="10"/>
  <c r="E41" i="10"/>
  <c r="E35" i="10"/>
  <c r="E40" i="10"/>
  <c r="E56" i="10"/>
  <c r="E33" i="10"/>
  <c r="E45" i="10"/>
  <c r="E42" i="10"/>
  <c r="E37" i="10"/>
  <c r="E51" i="10"/>
  <c r="E50" i="10"/>
  <c r="E53" i="10"/>
  <c r="E48" i="10"/>
  <c r="E49" i="10"/>
  <c r="E43" i="10"/>
  <c r="F31" i="10"/>
  <c r="F39" i="10" s="1"/>
  <c r="E32" i="10"/>
  <c r="J21" i="20" l="1"/>
  <c r="K15" i="20"/>
  <c r="K14" i="20" s="1"/>
  <c r="K22" i="20"/>
  <c r="F58" i="10"/>
  <c r="G15" i="10"/>
  <c r="F25" i="10"/>
  <c r="F19" i="10"/>
  <c r="F17" i="10"/>
  <c r="F23" i="10"/>
  <c r="F24" i="10"/>
  <c r="F26" i="10"/>
  <c r="F20" i="10"/>
  <c r="F27" i="10"/>
  <c r="F21" i="10"/>
  <c r="F18" i="10"/>
  <c r="F22" i="10"/>
  <c r="F28" i="10"/>
  <c r="F14" i="10"/>
  <c r="F30" i="10"/>
  <c r="G59" i="10"/>
  <c r="G61" i="10" s="1"/>
  <c r="F60" i="10"/>
  <c r="F53" i="10"/>
  <c r="F45" i="10"/>
  <c r="F37" i="10"/>
  <c r="F55" i="10"/>
  <c r="F47" i="10"/>
  <c r="F56" i="10"/>
  <c r="F40" i="10"/>
  <c r="F34" i="10"/>
  <c r="F46" i="10"/>
  <c r="F51" i="10"/>
  <c r="F41" i="10"/>
  <c r="F52" i="10"/>
  <c r="F50" i="10"/>
  <c r="F49" i="10"/>
  <c r="F44" i="10"/>
  <c r="F43" i="10"/>
  <c r="F54" i="10"/>
  <c r="F42" i="10"/>
  <c r="F48" i="10"/>
  <c r="F36" i="10"/>
  <c r="F33" i="10"/>
  <c r="G31" i="10"/>
  <c r="G39" i="10" s="1"/>
  <c r="K21" i="20" l="1"/>
  <c r="L15" i="20"/>
  <c r="L14" i="20" s="1"/>
  <c r="L22" i="20"/>
  <c r="G30" i="10"/>
  <c r="G19" i="10"/>
  <c r="G25" i="10"/>
  <c r="H15" i="10"/>
  <c r="G27" i="10"/>
  <c r="G26" i="10"/>
  <c r="G14" i="10"/>
  <c r="G18" i="10"/>
  <c r="G22" i="10"/>
  <c r="G21" i="10"/>
  <c r="G17" i="10"/>
  <c r="G20" i="10"/>
  <c r="G58" i="10"/>
  <c r="G23" i="10"/>
  <c r="G28" i="10"/>
  <c r="G24" i="10"/>
  <c r="G16" i="10"/>
  <c r="H59" i="10"/>
  <c r="H61" i="10" s="1"/>
  <c r="G60" i="10"/>
  <c r="G54" i="10"/>
  <c r="G46" i="10"/>
  <c r="G38" i="10"/>
  <c r="G56" i="10"/>
  <c r="G48" i="10"/>
  <c r="G40" i="10"/>
  <c r="G55" i="10"/>
  <c r="G33" i="10"/>
  <c r="G51" i="10"/>
  <c r="G45" i="10"/>
  <c r="G52" i="10"/>
  <c r="G50" i="10"/>
  <c r="G44" i="10"/>
  <c r="G34" i="10"/>
  <c r="G49" i="10"/>
  <c r="G36" i="10"/>
  <c r="G47" i="10"/>
  <c r="G37" i="10"/>
  <c r="G53" i="10"/>
  <c r="G43" i="10"/>
  <c r="G35" i="10"/>
  <c r="G42" i="10"/>
  <c r="G41" i="10"/>
  <c r="H31" i="10"/>
  <c r="H39" i="10" s="1"/>
  <c r="G32" i="10"/>
  <c r="M22" i="20" l="1"/>
  <c r="L21" i="20"/>
  <c r="M15" i="20"/>
  <c r="M14" i="20" s="1"/>
  <c r="H19" i="10"/>
  <c r="H20" i="10"/>
  <c r="I15" i="10"/>
  <c r="H26" i="10"/>
  <c r="H25" i="10"/>
  <c r="H24" i="10"/>
  <c r="H23" i="10"/>
  <c r="H27" i="10"/>
  <c r="H22" i="10"/>
  <c r="H28" i="10"/>
  <c r="H16" i="10"/>
  <c r="H14" i="10"/>
  <c r="H58" i="10"/>
  <c r="H17" i="10"/>
  <c r="H21" i="10"/>
  <c r="H30" i="10"/>
  <c r="H18" i="10"/>
  <c r="I59" i="10"/>
  <c r="I61" i="10" s="1"/>
  <c r="H60" i="10"/>
  <c r="H55" i="10"/>
  <c r="H47" i="10"/>
  <c r="H49" i="10"/>
  <c r="H41" i="10"/>
  <c r="H33" i="10"/>
  <c r="H46" i="10"/>
  <c r="H56" i="10"/>
  <c r="H51" i="10"/>
  <c r="H45" i="10"/>
  <c r="H52" i="10"/>
  <c r="H50" i="10"/>
  <c r="H44" i="10"/>
  <c r="H38" i="10"/>
  <c r="H53" i="10"/>
  <c r="H43" i="10"/>
  <c r="H37" i="10"/>
  <c r="H40" i="10"/>
  <c r="H36" i="10"/>
  <c r="H42" i="10"/>
  <c r="H48" i="10"/>
  <c r="H35" i="10"/>
  <c r="H34" i="10"/>
  <c r="H54" i="10"/>
  <c r="I31" i="10"/>
  <c r="I39" i="10" s="1"/>
  <c r="H32" i="10"/>
  <c r="M21" i="20" l="1"/>
  <c r="N15" i="20"/>
  <c r="N14" i="20" s="1"/>
  <c r="N22" i="20"/>
  <c r="I14" i="10"/>
  <c r="I25" i="10"/>
  <c r="I17" i="10"/>
  <c r="I20" i="10"/>
  <c r="I18" i="10"/>
  <c r="I19" i="10"/>
  <c r="J15" i="10"/>
  <c r="I24" i="10"/>
  <c r="I21" i="10"/>
  <c r="I22" i="10"/>
  <c r="I26" i="10"/>
  <c r="I28" i="10"/>
  <c r="I23" i="10"/>
  <c r="I16" i="10"/>
  <c r="I27" i="10"/>
  <c r="I58" i="10"/>
  <c r="I30" i="10"/>
  <c r="J59" i="10"/>
  <c r="J61" i="10" s="1"/>
  <c r="I60" i="10"/>
  <c r="I56" i="10"/>
  <c r="I48" i="10"/>
  <c r="I40" i="10"/>
  <c r="I50" i="10"/>
  <c r="I42" i="10"/>
  <c r="I34" i="10"/>
  <c r="I51" i="10"/>
  <c r="I45" i="10"/>
  <c r="I52" i="10"/>
  <c r="I44" i="10"/>
  <c r="I43" i="10"/>
  <c r="I37" i="10"/>
  <c r="I49" i="10"/>
  <c r="I36" i="10"/>
  <c r="I54" i="10"/>
  <c r="I33" i="10"/>
  <c r="I46" i="10"/>
  <c r="I41" i="10"/>
  <c r="I47" i="10"/>
  <c r="I35" i="10"/>
  <c r="J31" i="10"/>
  <c r="J39" i="10" s="1"/>
  <c r="N21" i="20" l="1"/>
  <c r="O15" i="20"/>
  <c r="O14" i="20" s="1"/>
  <c r="O22" i="20"/>
  <c r="J30" i="10"/>
  <c r="J20" i="10"/>
  <c r="K15" i="10"/>
  <c r="J19" i="10"/>
  <c r="J21" i="10"/>
  <c r="J18" i="10"/>
  <c r="J28" i="10"/>
  <c r="J22" i="10"/>
  <c r="J27" i="10"/>
  <c r="J17" i="10"/>
  <c r="J24" i="10"/>
  <c r="J16" i="10"/>
  <c r="J26" i="10"/>
  <c r="J25" i="10"/>
  <c r="J23" i="10"/>
  <c r="J14" i="10"/>
  <c r="J58" i="10"/>
  <c r="K59" i="10"/>
  <c r="K61" i="10" s="1"/>
  <c r="J60" i="10"/>
  <c r="J49" i="10"/>
  <c r="J41" i="10"/>
  <c r="J33" i="10"/>
  <c r="J51" i="10"/>
  <c r="J43" i="10"/>
  <c r="J35" i="10"/>
  <c r="J52" i="10"/>
  <c r="J56" i="10"/>
  <c r="J44" i="10"/>
  <c r="J38" i="10"/>
  <c r="J50" i="10"/>
  <c r="J53" i="10"/>
  <c r="J36" i="10"/>
  <c r="J54" i="10"/>
  <c r="J42" i="10"/>
  <c r="J55" i="10"/>
  <c r="J48" i="10"/>
  <c r="J47" i="10"/>
  <c r="J37" i="10"/>
  <c r="J34" i="10"/>
  <c r="J40" i="10"/>
  <c r="J46" i="10"/>
  <c r="J45" i="10"/>
  <c r="K31" i="10"/>
  <c r="K39" i="10" s="1"/>
  <c r="P22" i="20" l="1"/>
  <c r="O21" i="20"/>
  <c r="P15" i="20"/>
  <c r="P14" i="20" s="1"/>
  <c r="K30" i="10"/>
  <c r="K22" i="10"/>
  <c r="K18" i="10"/>
  <c r="K24" i="10"/>
  <c r="K20" i="10"/>
  <c r="K23" i="10"/>
  <c r="K16" i="10"/>
  <c r="L15" i="10"/>
  <c r="K19" i="10"/>
  <c r="K28" i="10"/>
  <c r="K26" i="10"/>
  <c r="K21" i="10"/>
  <c r="K14" i="10"/>
  <c r="K27" i="10"/>
  <c r="K17" i="10"/>
  <c r="K25" i="10"/>
  <c r="K58" i="10"/>
  <c r="L59" i="10"/>
  <c r="L61" i="10" s="1"/>
  <c r="K60" i="10"/>
  <c r="K50" i="10"/>
  <c r="K42" i="10"/>
  <c r="K34" i="10"/>
  <c r="K52" i="10"/>
  <c r="K44" i="10"/>
  <c r="K36" i="10"/>
  <c r="K53" i="10"/>
  <c r="K37" i="10"/>
  <c r="K43" i="10"/>
  <c r="K49" i="10"/>
  <c r="K54" i="10"/>
  <c r="K48" i="10"/>
  <c r="K35" i="10"/>
  <c r="K51" i="10"/>
  <c r="K47" i="10"/>
  <c r="K33" i="10"/>
  <c r="K56" i="10"/>
  <c r="K46" i="10"/>
  <c r="K41" i="10"/>
  <c r="K45" i="10"/>
  <c r="K40" i="10"/>
  <c r="K55" i="10"/>
  <c r="L31" i="10"/>
  <c r="L39" i="10" s="1"/>
  <c r="K32" i="10"/>
  <c r="P21" i="20" l="1"/>
  <c r="Q15" i="20"/>
  <c r="Q14" i="20" s="1"/>
  <c r="Q22" i="20"/>
  <c r="L30" i="10"/>
  <c r="L19" i="10"/>
  <c r="L22" i="10"/>
  <c r="L18" i="10"/>
  <c r="L16" i="10"/>
  <c r="L14" i="10"/>
  <c r="L20" i="10"/>
  <c r="L24" i="10"/>
  <c r="L26" i="10"/>
  <c r="L21" i="10"/>
  <c r="L23" i="10"/>
  <c r="L17" i="10"/>
  <c r="M15" i="10"/>
  <c r="M16" i="10" s="1"/>
  <c r="L28" i="10"/>
  <c r="L27" i="10"/>
  <c r="L25" i="10"/>
  <c r="L58" i="10"/>
  <c r="M59" i="10"/>
  <c r="M61" i="10" s="1"/>
  <c r="L60" i="10"/>
  <c r="L51" i="10"/>
  <c r="L43" i="10"/>
  <c r="L35" i="10"/>
  <c r="L53" i="10"/>
  <c r="L45" i="10"/>
  <c r="L37" i="10"/>
  <c r="L54" i="10"/>
  <c r="L52" i="10"/>
  <c r="L50" i="10"/>
  <c r="L49" i="10"/>
  <c r="L48" i="10"/>
  <c r="L42" i="10"/>
  <c r="L55" i="10"/>
  <c r="L47" i="10"/>
  <c r="L41" i="10"/>
  <c r="L36" i="10"/>
  <c r="L33" i="10"/>
  <c r="L56" i="10"/>
  <c r="L46" i="10"/>
  <c r="L40" i="10"/>
  <c r="L38" i="10"/>
  <c r="L44" i="10"/>
  <c r="M31" i="10"/>
  <c r="M39" i="10" s="1"/>
  <c r="L32" i="10"/>
  <c r="R22" i="20" l="1"/>
  <c r="Q21" i="20"/>
  <c r="R15" i="20"/>
  <c r="R14" i="20" s="1"/>
  <c r="M30" i="10"/>
  <c r="M20" i="10"/>
  <c r="M24" i="10"/>
  <c r="M19" i="10"/>
  <c r="M25" i="10"/>
  <c r="M17" i="10"/>
  <c r="M27" i="10"/>
  <c r="M21" i="10"/>
  <c r="M23" i="10"/>
  <c r="M18" i="10"/>
  <c r="N15" i="10"/>
  <c r="M22" i="10"/>
  <c r="M28" i="10"/>
  <c r="M26" i="10"/>
  <c r="M14" i="10"/>
  <c r="M58" i="10"/>
  <c r="N59" i="10"/>
  <c r="N61" i="10" s="1"/>
  <c r="M60" i="10"/>
  <c r="M52" i="10"/>
  <c r="M44" i="10"/>
  <c r="M36" i="10"/>
  <c r="M54" i="10"/>
  <c r="M46" i="10"/>
  <c r="M38" i="10"/>
  <c r="M55" i="10"/>
  <c r="M49" i="10"/>
  <c r="M43" i="10"/>
  <c r="M53" i="10"/>
  <c r="M48" i="10"/>
  <c r="M42" i="10"/>
  <c r="M47" i="10"/>
  <c r="M41" i="10"/>
  <c r="M40" i="10"/>
  <c r="M34" i="10"/>
  <c r="M56" i="10"/>
  <c r="M50" i="10"/>
  <c r="M45" i="10"/>
  <c r="M51" i="10"/>
  <c r="M37" i="10"/>
  <c r="M33" i="10"/>
  <c r="N31" i="10"/>
  <c r="N39" i="10" s="1"/>
  <c r="R21" i="20" l="1"/>
  <c r="S15" i="20"/>
  <c r="S14" i="20" s="1"/>
  <c r="S22" i="20"/>
  <c r="N58" i="10"/>
  <c r="N22" i="10"/>
  <c r="N19" i="10"/>
  <c r="N25" i="10"/>
  <c r="N23" i="10"/>
  <c r="N21" i="10"/>
  <c r="N20" i="10"/>
  <c r="N16" i="10"/>
  <c r="N14" i="10"/>
  <c r="O15" i="10"/>
  <c r="O20" i="10" s="1"/>
  <c r="N17" i="10"/>
  <c r="N24" i="10"/>
  <c r="N27" i="10"/>
  <c r="N26" i="10"/>
  <c r="N18" i="10"/>
  <c r="N28" i="10"/>
  <c r="N30" i="10"/>
  <c r="O30" i="10"/>
  <c r="O59" i="10"/>
  <c r="O61" i="10" s="1"/>
  <c r="N60" i="10"/>
  <c r="N53" i="10"/>
  <c r="N45" i="10"/>
  <c r="N37" i="10"/>
  <c r="N47" i="10"/>
  <c r="N56" i="10"/>
  <c r="N48" i="10"/>
  <c r="N42" i="10"/>
  <c r="N36" i="10"/>
  <c r="N41" i="10"/>
  <c r="N54" i="10"/>
  <c r="N40" i="10"/>
  <c r="N34" i="10"/>
  <c r="N46" i="10"/>
  <c r="N33" i="10"/>
  <c r="N52" i="10"/>
  <c r="N49" i="10"/>
  <c r="N38" i="10"/>
  <c r="N35" i="10"/>
  <c r="N44" i="10"/>
  <c r="N51" i="10"/>
  <c r="N50" i="10"/>
  <c r="O31" i="10"/>
  <c r="O39" i="10" s="1"/>
  <c r="N32" i="10"/>
  <c r="S21" i="20" l="1"/>
  <c r="T15" i="20"/>
  <c r="T14" i="20" s="1"/>
  <c r="T22" i="20"/>
  <c r="O14" i="10"/>
  <c r="O23" i="10"/>
  <c r="O26" i="10"/>
  <c r="O18" i="10"/>
  <c r="O21" i="10"/>
  <c r="O58" i="10"/>
  <c r="O24" i="10"/>
  <c r="P15" i="10"/>
  <c r="O27" i="10"/>
  <c r="O25" i="10"/>
  <c r="O28" i="10"/>
  <c r="O17" i="10"/>
  <c r="O19" i="10"/>
  <c r="O22" i="10"/>
  <c r="O16" i="10"/>
  <c r="P30" i="10"/>
  <c r="P59" i="10"/>
  <c r="P61" i="10" s="1"/>
  <c r="O60" i="10"/>
  <c r="O54" i="10"/>
  <c r="O46" i="10"/>
  <c r="O38" i="10"/>
  <c r="O56" i="10"/>
  <c r="O48" i="10"/>
  <c r="O40" i="10"/>
  <c r="O53" i="10"/>
  <c r="O41" i="10"/>
  <c r="O35" i="10"/>
  <c r="O47" i="10"/>
  <c r="O33" i="10"/>
  <c r="O55" i="10"/>
  <c r="O45" i="10"/>
  <c r="O34" i="10"/>
  <c r="O51" i="10"/>
  <c r="O44" i="10"/>
  <c r="O50" i="10"/>
  <c r="O52" i="10"/>
  <c r="O49" i="10"/>
  <c r="O43" i="10"/>
  <c r="O42" i="10"/>
  <c r="O37" i="10"/>
  <c r="O36" i="10"/>
  <c r="P31" i="10"/>
  <c r="O32" i="10"/>
  <c r="P21" i="10"/>
  <c r="T21" i="20" l="1"/>
  <c r="U15" i="20"/>
  <c r="U14" i="20" s="1"/>
  <c r="U22" i="20"/>
  <c r="P39" i="10"/>
  <c r="P33" i="10"/>
  <c r="P14" i="10"/>
  <c r="P20" i="10"/>
  <c r="P23" i="10"/>
  <c r="P18" i="10"/>
  <c r="P28" i="10"/>
  <c r="P17" i="10"/>
  <c r="P19" i="10"/>
  <c r="P22" i="10"/>
  <c r="P58" i="10"/>
  <c r="Q15" i="10"/>
  <c r="P26" i="10"/>
  <c r="P24" i="10"/>
  <c r="P27" i="10"/>
  <c r="P25" i="10"/>
  <c r="P16" i="10"/>
  <c r="Q59" i="10"/>
  <c r="Q61" i="10" s="1"/>
  <c r="P60" i="10"/>
  <c r="P47" i="10"/>
  <c r="P49" i="10"/>
  <c r="P41" i="10"/>
  <c r="P34" i="10"/>
  <c r="P54" i="10"/>
  <c r="P40" i="10"/>
  <c r="P46" i="10"/>
  <c r="P56" i="10"/>
  <c r="P51" i="10"/>
  <c r="P45" i="10"/>
  <c r="P48" i="10"/>
  <c r="P44" i="10"/>
  <c r="P35" i="10"/>
  <c r="P53" i="10"/>
  <c r="P50" i="10"/>
  <c r="P52" i="10"/>
  <c r="P42" i="10"/>
  <c r="P37" i="10"/>
  <c r="P36" i="10"/>
  <c r="Q31" i="10"/>
  <c r="V22" i="20" l="1"/>
  <c r="U21" i="20"/>
  <c r="V15" i="20"/>
  <c r="V14" i="20" s="1"/>
  <c r="Q39" i="10"/>
  <c r="Q33" i="10"/>
  <c r="Q30" i="10"/>
  <c r="Q25" i="10"/>
  <c r="Q24" i="10"/>
  <c r="Q27" i="10"/>
  <c r="Q28" i="10"/>
  <c r="Q19" i="10"/>
  <c r="Q16" i="10"/>
  <c r="Q14" i="10"/>
  <c r="R15" i="10"/>
  <c r="R23" i="10" s="1"/>
  <c r="Q21" i="10"/>
  <c r="Q17" i="10"/>
  <c r="Q20" i="10"/>
  <c r="Q23" i="10"/>
  <c r="Q58" i="10"/>
  <c r="Q18" i="10"/>
  <c r="Q26" i="10"/>
  <c r="Q22" i="10"/>
  <c r="R59" i="10"/>
  <c r="R61" i="10" s="1"/>
  <c r="Q60" i="10"/>
  <c r="Q56" i="10"/>
  <c r="Q40" i="10"/>
  <c r="Q50" i="10"/>
  <c r="Q42" i="10"/>
  <c r="Q34" i="10"/>
  <c r="Q51" i="10"/>
  <c r="Q54" i="10"/>
  <c r="Q47" i="10"/>
  <c r="Q46" i="10"/>
  <c r="Q55" i="10"/>
  <c r="Q45" i="10"/>
  <c r="Q52" i="10"/>
  <c r="Q44" i="10"/>
  <c r="Q38" i="10"/>
  <c r="Q35" i="10"/>
  <c r="Q53" i="10"/>
  <c r="Q43" i="10"/>
  <c r="Q37" i="10"/>
  <c r="Q41" i="10"/>
  <c r="Q36" i="10"/>
  <c r="Q49" i="10"/>
  <c r="R31" i="10"/>
  <c r="V21" i="20" l="1"/>
  <c r="W15" i="20"/>
  <c r="W14" i="20" s="1"/>
  <c r="W22" i="20"/>
  <c r="R39" i="10"/>
  <c r="R32" i="10"/>
  <c r="R30" i="10"/>
  <c r="S15" i="10"/>
  <c r="S24" i="10" s="1"/>
  <c r="R27" i="10"/>
  <c r="R20" i="10"/>
  <c r="R14" i="10"/>
  <c r="R22" i="10"/>
  <c r="R28" i="10"/>
  <c r="R26" i="10"/>
  <c r="R16" i="10"/>
  <c r="R58" i="10"/>
  <c r="R17" i="10"/>
  <c r="R21" i="10"/>
  <c r="R25" i="10"/>
  <c r="R18" i="10"/>
  <c r="R19" i="10"/>
  <c r="R24" i="10"/>
  <c r="S59" i="10"/>
  <c r="S61" i="10" s="1"/>
  <c r="R60" i="10"/>
  <c r="R49" i="10"/>
  <c r="R41" i="10"/>
  <c r="R33" i="10"/>
  <c r="R51" i="10"/>
  <c r="R43" i="10"/>
  <c r="R35" i="10"/>
  <c r="R52" i="10"/>
  <c r="R46" i="10"/>
  <c r="R40" i="10"/>
  <c r="R45" i="10"/>
  <c r="R44" i="10"/>
  <c r="R56" i="10"/>
  <c r="R50" i="10"/>
  <c r="R37" i="10"/>
  <c r="R53" i="10"/>
  <c r="R47" i="10"/>
  <c r="R42" i="10"/>
  <c r="R36" i="10"/>
  <c r="R34" i="10"/>
  <c r="R54" i="10"/>
  <c r="R48" i="10"/>
  <c r="S31" i="10"/>
  <c r="S39" i="10" s="1"/>
  <c r="S21" i="10" l="1"/>
  <c r="S19" i="10"/>
  <c r="W21" i="20"/>
  <c r="X15" i="20"/>
  <c r="X14" i="20" s="1"/>
  <c r="X22" i="20"/>
  <c r="S16" i="10"/>
  <c r="S23" i="10"/>
  <c r="S26" i="10"/>
  <c r="S58" i="10"/>
  <c r="T15" i="10"/>
  <c r="T25" i="10" s="1"/>
  <c r="S18" i="10"/>
  <c r="S17" i="10"/>
  <c r="S20" i="10"/>
  <c r="S27" i="10"/>
  <c r="S14" i="10"/>
  <c r="S22" i="10"/>
  <c r="S28" i="10"/>
  <c r="S25" i="10"/>
  <c r="S30" i="10"/>
  <c r="T59" i="10"/>
  <c r="T61" i="10" s="1"/>
  <c r="S60" i="10"/>
  <c r="S50" i="10"/>
  <c r="S42" i="10"/>
  <c r="S34" i="10"/>
  <c r="S52" i="10"/>
  <c r="S44" i="10"/>
  <c r="S36" i="10"/>
  <c r="S53" i="10"/>
  <c r="S45" i="10"/>
  <c r="S33" i="10"/>
  <c r="S56" i="10"/>
  <c r="S51" i="10"/>
  <c r="S37" i="10"/>
  <c r="S43" i="10"/>
  <c r="S46" i="10"/>
  <c r="S48" i="10"/>
  <c r="S47" i="10"/>
  <c r="S54" i="10"/>
  <c r="S41" i="10"/>
  <c r="S40" i="10"/>
  <c r="S49" i="10"/>
  <c r="T31" i="10"/>
  <c r="T20" i="10" l="1"/>
  <c r="T23" i="10"/>
  <c r="T18" i="10"/>
  <c r="T16" i="10"/>
  <c r="T14" i="10"/>
  <c r="Y22" i="20"/>
  <c r="X21" i="20"/>
  <c r="Y15" i="20"/>
  <c r="Y14" i="20" s="1"/>
  <c r="T58" i="10"/>
  <c r="T21" i="10"/>
  <c r="T19" i="10"/>
  <c r="T26" i="10"/>
  <c r="T30" i="10"/>
  <c r="T24" i="10"/>
  <c r="T28" i="10"/>
  <c r="T17" i="10"/>
  <c r="U15" i="10"/>
  <c r="U30" i="10" s="1"/>
  <c r="T22" i="10"/>
  <c r="T27" i="10"/>
  <c r="T39" i="10"/>
  <c r="T34" i="10"/>
  <c r="U59" i="10"/>
  <c r="U61" i="10" s="1"/>
  <c r="T60" i="10"/>
  <c r="T51" i="10"/>
  <c r="T43" i="10"/>
  <c r="T35" i="10"/>
  <c r="T53" i="10"/>
  <c r="T45" i="10"/>
  <c r="T37" i="10"/>
  <c r="T54" i="10"/>
  <c r="T56" i="10"/>
  <c r="T44" i="10"/>
  <c r="T50" i="10"/>
  <c r="T36" i="10"/>
  <c r="T52" i="10"/>
  <c r="T49" i="10"/>
  <c r="T42" i="10"/>
  <c r="T48" i="10"/>
  <c r="T33" i="10"/>
  <c r="T41" i="10"/>
  <c r="T55" i="10"/>
  <c r="T40" i="10"/>
  <c r="T47" i="10"/>
  <c r="T46" i="10"/>
  <c r="U31" i="10"/>
  <c r="U39" i="10" s="1"/>
  <c r="T32" i="10"/>
  <c r="U17" i="10" l="1"/>
  <c r="U23" i="10"/>
  <c r="U20" i="10"/>
  <c r="U27" i="10"/>
  <c r="U21" i="10"/>
  <c r="U18" i="10"/>
  <c r="V15" i="10"/>
  <c r="V30" i="10" s="1"/>
  <c r="U24" i="10"/>
  <c r="U28" i="10"/>
  <c r="U26" i="10"/>
  <c r="U25" i="10"/>
  <c r="U22" i="10"/>
  <c r="U19" i="10"/>
  <c r="U16" i="10"/>
  <c r="U58" i="10"/>
  <c r="U14" i="10"/>
  <c r="Y21" i="20"/>
  <c r="V59" i="10"/>
  <c r="V61" i="10" s="1"/>
  <c r="U60" i="10"/>
  <c r="U52" i="10"/>
  <c r="U44" i="10"/>
  <c r="U36" i="10"/>
  <c r="U54" i="10"/>
  <c r="U46" i="10"/>
  <c r="U38" i="10"/>
  <c r="U56" i="10"/>
  <c r="U51" i="10"/>
  <c r="U50" i="10"/>
  <c r="U49" i="10"/>
  <c r="U43" i="10"/>
  <c r="U53" i="10"/>
  <c r="U48" i="10"/>
  <c r="U42" i="10"/>
  <c r="U45" i="10"/>
  <c r="U41" i="10"/>
  <c r="U37" i="10"/>
  <c r="U34" i="10"/>
  <c r="U40" i="10"/>
  <c r="U47" i="10"/>
  <c r="U35" i="10"/>
  <c r="U33" i="10"/>
  <c r="V31" i="10"/>
  <c r="V39" i="10" s="1"/>
  <c r="U32" i="10"/>
  <c r="V25" i="10" l="1"/>
  <c r="V28" i="10"/>
  <c r="V17" i="10"/>
  <c r="V21" i="10"/>
  <c r="V23" i="10"/>
  <c r="V19" i="10"/>
  <c r="V26" i="10"/>
  <c r="V22" i="10"/>
  <c r="V20" i="10"/>
  <c r="V16" i="10"/>
  <c r="W15" i="10"/>
  <c r="W58" i="10" s="1"/>
  <c r="V24" i="10"/>
  <c r="V18" i="10"/>
  <c r="V27" i="10"/>
  <c r="V14" i="10"/>
  <c r="V58" i="10"/>
  <c r="W59" i="10"/>
  <c r="W61" i="10" s="1"/>
  <c r="V60" i="10"/>
  <c r="V53" i="10"/>
  <c r="V45" i="10"/>
  <c r="V37" i="10"/>
  <c r="V55" i="10"/>
  <c r="V47" i="10"/>
  <c r="V56" i="10"/>
  <c r="V51" i="10"/>
  <c r="V50" i="10"/>
  <c r="V44" i="10"/>
  <c r="V49" i="10"/>
  <c r="V43" i="10"/>
  <c r="V52" i="10"/>
  <c r="V48" i="10"/>
  <c r="V42" i="10"/>
  <c r="V36" i="10"/>
  <c r="V41" i="10"/>
  <c r="V35" i="10"/>
  <c r="V34" i="10"/>
  <c r="V40" i="10"/>
  <c r="V54" i="10"/>
  <c r="V46" i="10"/>
  <c r="V33" i="10"/>
  <c r="V38" i="10"/>
  <c r="W31" i="10"/>
  <c r="W39" i="10" s="1"/>
  <c r="V32" i="10"/>
  <c r="W26" i="10" l="1"/>
  <c r="W22" i="10"/>
  <c r="W20" i="10"/>
  <c r="W25" i="10"/>
  <c r="W17" i="10"/>
  <c r="W28" i="10"/>
  <c r="X15" i="10"/>
  <c r="X30" i="10" s="1"/>
  <c r="W24" i="10"/>
  <c r="W23" i="10"/>
  <c r="W27" i="10"/>
  <c r="W19" i="10"/>
  <c r="W18" i="10"/>
  <c r="W21" i="10"/>
  <c r="W16" i="10"/>
  <c r="W30" i="10"/>
  <c r="W14" i="10"/>
  <c r="X59" i="10"/>
  <c r="X61" i="10" s="1"/>
  <c r="W60" i="10"/>
  <c r="W54" i="10"/>
  <c r="W46" i="10"/>
  <c r="W56" i="10"/>
  <c r="W48" i="10"/>
  <c r="W40" i="10"/>
  <c r="W49" i="10"/>
  <c r="W43" i="10"/>
  <c r="W37" i="10"/>
  <c r="W52" i="10"/>
  <c r="W42" i="10"/>
  <c r="W41" i="10"/>
  <c r="W35" i="10"/>
  <c r="W34" i="10"/>
  <c r="W53" i="10"/>
  <c r="W47" i="10"/>
  <c r="W44" i="10"/>
  <c r="W33" i="10"/>
  <c r="W36" i="10"/>
  <c r="W51" i="10"/>
  <c r="W50" i="10"/>
  <c r="W55" i="10"/>
  <c r="W45" i="10"/>
  <c r="X31" i="10"/>
  <c r="W32" i="10"/>
  <c r="X16" i="10"/>
  <c r="X20" i="10" l="1"/>
  <c r="X17" i="10"/>
  <c r="X22" i="10"/>
  <c r="X19" i="10"/>
  <c r="X24" i="10"/>
  <c r="X28" i="10"/>
  <c r="X18" i="10"/>
  <c r="X25" i="10"/>
  <c r="X21" i="10"/>
  <c r="Y15" i="10"/>
  <c r="Y14" i="10" s="1"/>
  <c r="X26" i="10"/>
  <c r="X23" i="10"/>
  <c r="X27" i="10"/>
  <c r="X14" i="10"/>
  <c r="X58" i="10"/>
  <c r="X39" i="10"/>
  <c r="X33" i="10"/>
  <c r="Y30" i="10"/>
  <c r="Y59" i="10"/>
  <c r="X60" i="10"/>
  <c r="X55" i="10"/>
  <c r="X47" i="10"/>
  <c r="X56" i="10"/>
  <c r="X49" i="10"/>
  <c r="X41" i="10"/>
  <c r="X52" i="10"/>
  <c r="X42" i="10"/>
  <c r="X36" i="10"/>
  <c r="X48" i="10"/>
  <c r="X53" i="10"/>
  <c r="X34" i="10"/>
  <c r="X54" i="10"/>
  <c r="X40" i="10"/>
  <c r="X43" i="10"/>
  <c r="X37" i="10"/>
  <c r="X38" i="10"/>
  <c r="X51" i="10"/>
  <c r="X50" i="10"/>
  <c r="X46" i="10"/>
  <c r="X45" i="10"/>
  <c r="X44" i="10"/>
  <c r="Y31" i="10"/>
  <c r="Y17" i="10" l="1"/>
  <c r="Y26" i="10"/>
  <c r="Y22" i="10"/>
  <c r="Y27" i="10"/>
  <c r="Y20" i="10"/>
  <c r="Y28" i="10"/>
  <c r="Y58" i="10"/>
  <c r="Y18" i="10"/>
  <c r="Y21" i="10"/>
  <c r="Y24" i="10"/>
  <c r="Y16" i="10"/>
  <c r="Y19" i="10"/>
  <c r="Y25" i="10"/>
  <c r="Y23" i="10"/>
  <c r="Y39" i="10"/>
  <c r="Y33" i="10"/>
  <c r="Y60" i="10"/>
  <c r="Y61" i="10"/>
  <c r="Y32" i="10"/>
  <c r="Y56" i="10"/>
  <c r="Y48" i="10"/>
  <c r="Y40" i="10"/>
  <c r="Y50" i="10"/>
  <c r="Y42" i="10"/>
  <c r="Y34" i="10"/>
  <c r="Y51" i="10"/>
  <c r="Y35" i="10"/>
  <c r="Y53" i="10"/>
  <c r="Y41" i="10"/>
  <c r="Y47" i="10"/>
  <c r="Y54" i="10"/>
  <c r="Y46" i="10"/>
  <c r="Y36" i="10"/>
  <c r="Y55" i="10"/>
  <c r="Y49" i="10"/>
  <c r="Y45" i="10"/>
  <c r="Y44" i="10"/>
  <c r="Y43" i="10"/>
  <c r="Y38" i="10"/>
  <c r="Y52" i="10"/>
  <c r="Y3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8C9AE2-8F57-4736-918B-D1787FDD284F}" keepAlive="1" name="Consulta - ocupacao" description="Conexão com a consulta 'ocupacao' na pasta de trabalho." type="5" refreshedVersion="8" background="1" saveData="1">
    <dbPr connection="Provider=Microsoft.Mashup.OleDb.1;Data Source=$Workbook$;Location=ocupacao;Extended Properties=&quot;&quot;" command="SELECT * FROM [ocupacao]"/>
  </connection>
</connections>
</file>

<file path=xl/sharedStrings.xml><?xml version="1.0" encoding="utf-8"?>
<sst xmlns="http://schemas.openxmlformats.org/spreadsheetml/2006/main" count="32158" uniqueCount="803">
  <si>
    <t>data</t>
  </si>
  <si>
    <t>local_id</t>
  </si>
  <si>
    <t>profissional_id</t>
  </si>
  <si>
    <t>nome_fantasia</t>
  </si>
  <si>
    <t>SEG - FILIAL I</t>
  </si>
  <si>
    <t>SEG - FILIAL II 11°</t>
  </si>
  <si>
    <t>SEG - FILIAL II 10°</t>
  </si>
  <si>
    <t>SEG - NILÓPOLIS</t>
  </si>
  <si>
    <t>Data</t>
  </si>
  <si>
    <t>UnidadeID</t>
  </si>
  <si>
    <t>EspecialidadeID</t>
  </si>
  <si>
    <t>LocalID</t>
  </si>
  <si>
    <t>ProfissionalID</t>
  </si>
  <si>
    <t>Bloqueados</t>
  </si>
  <si>
    <t>Agendados</t>
  </si>
  <si>
    <t>Livres</t>
  </si>
  <si>
    <t>Total</t>
  </si>
  <si>
    <t>Percentual</t>
  </si>
  <si>
    <t>Procedimento</t>
  </si>
  <si>
    <t>RAIOS-X</t>
  </si>
  <si>
    <t>TOMOGRAFIA</t>
  </si>
  <si>
    <t>MAPA 24 HORAS</t>
  </si>
  <si>
    <t>HOLTER 24 HORAS</t>
  </si>
  <si>
    <t>ELETROCARDIOGRAMA</t>
  </si>
  <si>
    <t>TESTE ERGOMETRICO</t>
  </si>
  <si>
    <t>AVALIACAO DE BIOIMPEDANCIA</t>
  </si>
  <si>
    <t>ELETRONEUROMIOGRAFIA</t>
  </si>
  <si>
    <t>ID da Unidade</t>
  </si>
  <si>
    <t>Unidade</t>
  </si>
  <si>
    <t>Matriz</t>
  </si>
  <si>
    <t>Filial 2 - 10º</t>
  </si>
  <si>
    <t>Filial 2 - 11º</t>
  </si>
  <si>
    <t>ClubFlex</t>
  </si>
  <si>
    <t>Miguel Couto</t>
  </si>
  <si>
    <t>Filial 1</t>
  </si>
  <si>
    <t>Nilópolis</t>
  </si>
  <si>
    <t>Clube de Benefícios</t>
  </si>
  <si>
    <t>Local</t>
  </si>
  <si>
    <t>Nova Iguaçu</t>
  </si>
  <si>
    <t>EXAMES</t>
  </si>
  <si>
    <t>AUDIOMETRIA</t>
  </si>
  <si>
    <t>COLONOSCOPIA</t>
  </si>
  <si>
    <t>DENSITOMETRIA OSSEA</t>
  </si>
  <si>
    <t>ECOCARDIOGRAMA</t>
  </si>
  <si>
    <t>ELETROENCEFALOGRAMA</t>
  </si>
  <si>
    <t>ENDOSCOPIA</t>
  </si>
  <si>
    <t>MAMOGRAFIA</t>
  </si>
  <si>
    <t>ULTRASSONOGRAFIA</t>
  </si>
  <si>
    <t>CONSULTAS</t>
  </si>
  <si>
    <t>GINECOLOGIA</t>
  </si>
  <si>
    <t>ALERGOLOGIA</t>
  </si>
  <si>
    <t>ANGIOLOGIA</t>
  </si>
  <si>
    <t>CARDIOLOGIA</t>
  </si>
  <si>
    <t>CIRURGIA GERAL</t>
  </si>
  <si>
    <t>DERMATOLOGIA</t>
  </si>
  <si>
    <t>ENDOCRINOLOGIA</t>
  </si>
  <si>
    <t>GASTROENTEROLOGIA</t>
  </si>
  <si>
    <t>GERIATRIA</t>
  </si>
  <si>
    <t>HEMATOLOGIA</t>
  </si>
  <si>
    <t>MASTOLOGIA</t>
  </si>
  <si>
    <t>NEFROLOGIA</t>
  </si>
  <si>
    <t>NEUROCIRURGIA</t>
  </si>
  <si>
    <t>NEUROLOGIA</t>
  </si>
  <si>
    <t>NEUROPEDIATRIA</t>
  </si>
  <si>
    <t>NUTRICAO</t>
  </si>
  <si>
    <t>OTORRINOLARINGOLOGIA</t>
  </si>
  <si>
    <t>PEDIATRIA</t>
  </si>
  <si>
    <t>PNEUMOLOGIA</t>
  </si>
  <si>
    <t>PROCTOLOGIA</t>
  </si>
  <si>
    <t>PSICOLOGIA</t>
  </si>
  <si>
    <t>PSIQUIATRIA</t>
  </si>
  <si>
    <t>REUMATOLOGIA</t>
  </si>
  <si>
    <t>UROLOGIA</t>
  </si>
  <si>
    <t>MEDICINA DA FAMILIA</t>
  </si>
  <si>
    <t>CONSULTAS ESPONTÂNEAS</t>
  </si>
  <si>
    <t>CLINICA GERAL</t>
  </si>
  <si>
    <t>ORTOPEDIA</t>
  </si>
  <si>
    <t xml:space="preserve">Data </t>
  </si>
  <si>
    <t>Local:</t>
  </si>
  <si>
    <t>ID da Modalidade</t>
  </si>
  <si>
    <t>Nome da Modalidade</t>
  </si>
  <si>
    <t>CLINICA DA DOR</t>
  </si>
  <si>
    <t>ENFERMARIA</t>
  </si>
  <si>
    <t>LABORATORIO ALVARO</t>
  </si>
  <si>
    <t>PRE NATAL</t>
  </si>
  <si>
    <t>Modalidade</t>
  </si>
  <si>
    <t>Arthur Vinicius De Andrade Cesar</t>
  </si>
  <si>
    <t>Suzimar De Araujo Rangel</t>
  </si>
  <si>
    <t>Claudio David La Terza Fonseca</t>
  </si>
  <si>
    <t>Renato Grande Corral</t>
  </si>
  <si>
    <t>Leticia Carvalho Lariu</t>
  </si>
  <si>
    <t>Jose Agnelo Marreiro De Freitas</t>
  </si>
  <si>
    <t>Natalia Horta Da Silva Goncalves</t>
  </si>
  <si>
    <t>Priscilla Fonseca Huguenin Couto</t>
  </si>
  <si>
    <t>Roberto Carvalho Chaves</t>
  </si>
  <si>
    <t>Guilherme Santos De Almeida</t>
  </si>
  <si>
    <t>Eduardo Duque Estrada Medeiros</t>
  </si>
  <si>
    <t>Josyane Vidal Neiva</t>
  </si>
  <si>
    <t>Gustavo Borges Martins</t>
  </si>
  <si>
    <t>Amir Aziz Neaman</t>
  </si>
  <si>
    <t>Marcella Teixeira Correa</t>
  </si>
  <si>
    <t>Larissa Rachid Guimaraes</t>
  </si>
  <si>
    <t>Jairo Guedes Fioravante Rezende</t>
  </si>
  <si>
    <t>Gustavo Resse Lascasas Serapiao</t>
  </si>
  <si>
    <t>Ralph Bittencourt Coutinho</t>
  </si>
  <si>
    <t>*</t>
  </si>
  <si>
    <t>Nome do Medico</t>
  </si>
  <si>
    <t>Paulo Ottoni Di Tullio</t>
  </si>
  <si>
    <t>Heloisa Helena Marcelino Xavier De Mattos</t>
  </si>
  <si>
    <t>Michel Barros Fassarela</t>
  </si>
  <si>
    <t>Alfredo Kohler Junior</t>
  </si>
  <si>
    <t>Fernando Victor Da Rocha Carvalho</t>
  </si>
  <si>
    <t>Patricia Da Silva Abrahão</t>
  </si>
  <si>
    <t>Marco Aurelio Salotti</t>
  </si>
  <si>
    <t>Alessandra Ribeiro B.da Fonseca</t>
  </si>
  <si>
    <t>Tatiane Do Nascimento Abdias Malvazio</t>
  </si>
  <si>
    <t>Thereza Cristina Brites Ribeiro</t>
  </si>
  <si>
    <t>Nicole Wienen Guimaraes</t>
  </si>
  <si>
    <t>Thales Carian Martins De Mattos</t>
  </si>
  <si>
    <t>Carolina Aquino Lima Gomes</t>
  </si>
  <si>
    <t>Ricardo Borghi Torrentes</t>
  </si>
  <si>
    <t>Camila Carvalho Ribeiro</t>
  </si>
  <si>
    <t>Julia Christine Dias De Souza</t>
  </si>
  <si>
    <t>Gabriela Granado Duque Soares</t>
  </si>
  <si>
    <t>Daniela C. Ferreira</t>
  </si>
  <si>
    <t>Dennis Bitencourt Coutinho</t>
  </si>
  <si>
    <t>Graziele Magalhães Macedo</t>
  </si>
  <si>
    <t>Eduardo Duarte Vianna</t>
  </si>
  <si>
    <t>Aline Cristine Baptista Costa</t>
  </si>
  <si>
    <t>Guilherme Henrique Cavalcanti Ferreira</t>
  </si>
  <si>
    <t>Cassia Fabiana Souto Lobao Yoneshigue</t>
  </si>
  <si>
    <t>Alexia Arydes Jannotti</t>
  </si>
  <si>
    <t>Roberta De Oliveira Martins Azevedo</t>
  </si>
  <si>
    <t>Thaisa De Oliveira Berkowitz</t>
  </si>
  <si>
    <t>Felipe Giovannetti Piraja Martins</t>
  </si>
  <si>
    <t>Rafael Rezende Da Costa</t>
  </si>
  <si>
    <t>Clayvison Ferreira Cruz</t>
  </si>
  <si>
    <t>To</t>
  </si>
  <si>
    <t>Cc</t>
  </si>
  <si>
    <t>Aurineide Laurentino De Carvalho</t>
  </si>
  <si>
    <t>Victor Aurilio De Moraes</t>
  </si>
  <si>
    <t>TRIAGEM</t>
  </si>
  <si>
    <t>Adrian Andres Jara Benitez</t>
  </si>
  <si>
    <t>Raphael Renovato Pereira</t>
  </si>
  <si>
    <t>Julio Augusto De Carvalho Gama</t>
  </si>
  <si>
    <t>Ricardo Max Almeida Da Fonseca</t>
  </si>
  <si>
    <t>Mamografia - Filial 1</t>
  </si>
  <si>
    <t>Rodrigo Barros Mesquita</t>
  </si>
  <si>
    <t>Natalha Bristot Paurosi</t>
  </si>
  <si>
    <t>Mapa - Nilopolis</t>
  </si>
  <si>
    <t>Mariana Adriano Barquet Abdala</t>
  </si>
  <si>
    <t>Mapa - Filial 2</t>
  </si>
  <si>
    <t>Mapa - Miguel Couto</t>
  </si>
  <si>
    <t>Marcio Adriano De Mattos Pralon</t>
  </si>
  <si>
    <t>Andressa Costa Lima De Freitas</t>
  </si>
  <si>
    <t>Mamografia - Nilopolis</t>
  </si>
  <si>
    <t>Tomografia - Matriz</t>
  </si>
  <si>
    <t>Ned Haas Peçanha</t>
  </si>
  <si>
    <t>Holter - Filial 2</t>
  </si>
  <si>
    <t>Holter - Miguel Couto</t>
  </si>
  <si>
    <t>Holter - Nilopolis</t>
  </si>
  <si>
    <t>Densitometria Ossea - Filial 1</t>
  </si>
  <si>
    <t>Vagas</t>
  </si>
  <si>
    <t>hlivres</t>
  </si>
  <si>
    <t>nome_especialidade</t>
  </si>
  <si>
    <t>nome_profissional</t>
  </si>
  <si>
    <t>KATIA BORGES CARDOZO</t>
  </si>
  <si>
    <t>SEG - MATRIZ</t>
  </si>
  <si>
    <t>JULIO ALVES GOES</t>
  </si>
  <si>
    <t>CLAUDIO DAVID LA TERZA FONSECA</t>
  </si>
  <si>
    <t>IORDANA CARLA DE SA STANESCO BATULI SOARES</t>
  </si>
  <si>
    <t>ADRIANO SIMOES LUZ</t>
  </si>
  <si>
    <t>TAMMIRES FERNANDES MICHO</t>
  </si>
  <si>
    <t>ZYANE RODRIGUES GONCALVES SILVA</t>
  </si>
  <si>
    <t>NICOLE WIENEN GUIMARAES</t>
  </si>
  <si>
    <t>LETICIA CARVALHO LARIU</t>
  </si>
  <si>
    <t>PAULA DEL PRETE MAGALHÃES</t>
  </si>
  <si>
    <t>AMANDA GUIMARÃES CABRAL</t>
  </si>
  <si>
    <t>ALINE CRISTINE BAPTISTA COSTA</t>
  </si>
  <si>
    <t>ARILDO RODRIGUES CAPITAO JUNIOR</t>
  </si>
  <si>
    <t>RICARDO RAUL LAFUENTE</t>
  </si>
  <si>
    <t>CAROLINA AQUINO LIMA GOMES</t>
  </si>
  <si>
    <t>LIDIA FIGUEIREDO DE CARVALHO</t>
  </si>
  <si>
    <t>GUILHERME HENRIQUE CAVALCANTI FERREIRA</t>
  </si>
  <si>
    <t>ANNIBAL COELHO DE AMORIN JUNIOR</t>
  </si>
  <si>
    <t>ALBERTO PEREZ ALVARES DA SILVA</t>
  </si>
  <si>
    <t>VITOR DA SILVA GONCALVES</t>
  </si>
  <si>
    <t>DANIELA C. FERREIRA</t>
  </si>
  <si>
    <t>LUCIANA SILVA DE PAULA</t>
  </si>
  <si>
    <t>ALINE CRISTINA M. DOS S. RACHID GUIMARAES</t>
  </si>
  <si>
    <t>ZEFERINO DE AZEVEDO MOREIRA</t>
  </si>
  <si>
    <t>THALES FIGUEIREDO DE OLIVEIRA</t>
  </si>
  <si>
    <t>RAFAEL REZENDE DA COSTA</t>
  </si>
  <si>
    <t>ALEXIA ARYDES JANNOTTI</t>
  </si>
  <si>
    <t>MARCELLA TEIXEIRA CORREA</t>
  </si>
  <si>
    <t>CARLA PINHEIRO DE MIRANDA</t>
  </si>
  <si>
    <t>ITMS - GUSTAVO NUNES MEDINA COELI</t>
  </si>
  <si>
    <t>MARCIO ADRIANO DE MATTOS PRALON</t>
  </si>
  <si>
    <t>NATALIA HORTA DA SILVA GONCALVES</t>
  </si>
  <si>
    <t>ALESSANDRA RIBEIRO B.DA FONSECA</t>
  </si>
  <si>
    <t>SEG - MIGUEL COUTO</t>
  </si>
  <si>
    <t>THAIS FIGUEIREDO DE OLIVEIRA</t>
  </si>
  <si>
    <t>PAULO FERNANDES DE OLIVEIRA VEIGA</t>
  </si>
  <si>
    <t>GUSTAVO RESSE LASCASAS SERAPIAO</t>
  </si>
  <si>
    <t>POLLYANA MELO NOGUEIRA DE MOURA</t>
  </si>
  <si>
    <t>VICTOR AURILIO DE MORAES</t>
  </si>
  <si>
    <t>LARISSA RACHID GUIMARAES</t>
  </si>
  <si>
    <t>PAULO OTTONI DI TULLIO</t>
  </si>
  <si>
    <t>DENNIS BITENCOURT COUTINHO</t>
  </si>
  <si>
    <t>DANIELLE MAGALHAES QUEIROZ</t>
  </si>
  <si>
    <t>SANDRA REGINA MARTINS</t>
  </si>
  <si>
    <t>THEREZA CRISTINA BRITES RIBEIRO</t>
  </si>
  <si>
    <t>CLAYVISON FERREIRA CRUZ</t>
  </si>
  <si>
    <t>TATIANE DO NASCIMENTO ABDIAS MALVAZIO</t>
  </si>
  <si>
    <t>JONATH DE OLIVEIRA TIGRE</t>
  </si>
  <si>
    <t>CAMILA CARVALHO RIBEIRO</t>
  </si>
  <si>
    <t>SUZIMAR DE ARAUJO RANGEL</t>
  </si>
  <si>
    <t>MARCO AURELIO SALOTTI</t>
  </si>
  <si>
    <t>CARMEM LUCIA FONSECA MARINHO MONTANO</t>
  </si>
  <si>
    <t>ELEN FÁTIMA ALVES STORTI</t>
  </si>
  <si>
    <t>ADELITA DE CARVALHO DIAZ GIMENEZ</t>
  </si>
  <si>
    <t>ANDREA MARTINS MAIA</t>
  </si>
  <si>
    <t>ADRIAN ANDRES JARA BENITEZ</t>
  </si>
  <si>
    <t>MICHEL BARROS FASSARELA</t>
  </si>
  <si>
    <t>GRAZIELE MAGALHÃES MACEDO</t>
  </si>
  <si>
    <t>MAYARA CHIAVELLI VILBERT</t>
  </si>
  <si>
    <t>PRISCILLA FONSECA HUGUENIN COUTO</t>
  </si>
  <si>
    <t>REGINA LUCIA DE SOUZA BARBOSA RODRIGUES</t>
  </si>
  <si>
    <t>GABRIELA GRANADO DUQUE SOARES</t>
  </si>
  <si>
    <t>CARLA ABRANCHES DUARTE MACHADO</t>
  </si>
  <si>
    <t>TOMOGRAFIA - MATRIZ</t>
  </si>
  <si>
    <t>CRISTIANE ARAUJO DE OLIVEIRA</t>
  </si>
  <si>
    <t>HELTON REGIS DE CARVALHO</t>
  </si>
  <si>
    <t>ANA PAULA DE SOUZA COSTA</t>
  </si>
  <si>
    <t>JOEL GOMES RANGEL FILHO</t>
  </si>
  <si>
    <t>ARTHUR VINICIUS DE ANDRADE CESAR</t>
  </si>
  <si>
    <t>RAPHAEL RENOVATO PEREIRA</t>
  </si>
  <si>
    <t>EDUARDO DUQUE ESTRADA MEDEIROS</t>
  </si>
  <si>
    <t>CASSIA FABIANA SOUTO LOBAO YONESHIGUE</t>
  </si>
  <si>
    <t>FELIPE GIOVANNETTI PIRAJA MARTINS</t>
  </si>
  <si>
    <t>ITMS - RICARDO MENDES LAFETA</t>
  </si>
  <si>
    <t>KELLY RACHID GUIMARAES EL WARRAK</t>
  </si>
  <si>
    <t>PAULO ARTHUR GOMES DOS SANTOS</t>
  </si>
  <si>
    <t>ROGERIA CHAMON CARMO LIMA CAMARA</t>
  </si>
  <si>
    <t>MONICA PENHA RIBEIRO DE SOUZA</t>
  </si>
  <si>
    <t>ROGERIO COTRIM MARTINO</t>
  </si>
  <si>
    <t>GABRIELA BABO TORRES DOS SANTOS</t>
  </si>
  <si>
    <t>CARLOS HENRIQUE BARBOSA DA COSTA</t>
  </si>
  <si>
    <t>FLORIZA FERREIRA DOS SANTOS MACIEIRA</t>
  </si>
  <si>
    <t>ABDON KATTER FILHO</t>
  </si>
  <si>
    <t>PATRICIA DA SILVA ABRAHÃO</t>
  </si>
  <si>
    <t>RICARDO BORGHI TORRENTES</t>
  </si>
  <si>
    <t>RAPHAEL DE LUCENA OLIVEIRA</t>
  </si>
  <si>
    <t>ALFREDO KOHLER JUNIOR</t>
  </si>
  <si>
    <t>CAMILA PROVENCANO MONTELLA</t>
  </si>
  <si>
    <t>MAMOGRAFIA - FILIAL 1</t>
  </si>
  <si>
    <t>PRISCILA SILVA MONTEIRO</t>
  </si>
  <si>
    <t>RODRIGO BARROS MESQUITA</t>
  </si>
  <si>
    <t>THAISA DE OLIVEIRA BERKOWITZ</t>
  </si>
  <si>
    <t>EDUARDO DUARTE VIANNA</t>
  </si>
  <si>
    <t>ALLAN ABREU SOARES</t>
  </si>
  <si>
    <t>ROBERTA DE OLIVEIRA MARTINS AZEVEDO</t>
  </si>
  <si>
    <t>LOAMI GOMES SANTOS</t>
  </si>
  <si>
    <t>CARLA APARECIDA VIVEIROS CARVALHO CHAVES</t>
  </si>
  <si>
    <t>DENSITOMETRIA OSSEA - FILIAL 1</t>
  </si>
  <si>
    <t>MARIANA APARECIDA VALENTIM MANSOUR</t>
  </si>
  <si>
    <t>NATALHA BRISTOT PAUROSI</t>
  </si>
  <si>
    <t>MARCIA PEREIRA DOS SANTOS</t>
  </si>
  <si>
    <t>ANDRESSA COSTA LIMA DE FREITAS</t>
  </si>
  <si>
    <t>ANGELA DE CARVALHO PRADO</t>
  </si>
  <si>
    <t>MAPA - FILIAL 2</t>
  </si>
  <si>
    <t>RALPH BITTENCOURT COUTINHO</t>
  </si>
  <si>
    <t>TESTE ERGOMETRICO - FILIAL 2</t>
  </si>
  <si>
    <t>JULIO AUGUSTO DE CARVALHO GAMA</t>
  </si>
  <si>
    <t>MAPA - MIGUEL COUTO</t>
  </si>
  <si>
    <t>HOLTER - FILIAL 2</t>
  </si>
  <si>
    <t>Patologia</t>
  </si>
  <si>
    <t>COLETA - FILIAL 1</t>
  </si>
  <si>
    <t>ELIANE APARECIDA DE OLIVEIRA MARCIANO</t>
  </si>
  <si>
    <t>RICARDO MAX ALMEIDA DA FONSECA</t>
  </si>
  <si>
    <t>MAMOGRAFIA - NILOPOLIS</t>
  </si>
  <si>
    <t>INACIO FREITAS DE QUEIROZ</t>
  </si>
  <si>
    <t>Coluna1</t>
  </si>
  <si>
    <t>Verificador de zeros</t>
  </si>
  <si>
    <t>hbloqueados</t>
  </si>
  <si>
    <t>MARIANA ADRIANO BARQUET ABDALA</t>
  </si>
  <si>
    <t>FERNANDA AMORIM BASTOS HASHIMOTO</t>
  </si>
  <si>
    <t>MAPA - NILOPOLIS</t>
  </si>
  <si>
    <t>SEG - SÃO JOÃO</t>
  </si>
  <si>
    <t>Concat</t>
  </si>
  <si>
    <t>AMIR AZIZ NEAMAN</t>
  </si>
  <si>
    <t>JOAO VICTOR VIEIRA TAVARES</t>
  </si>
  <si>
    <t>ENF - MATRIZ</t>
  </si>
  <si>
    <t>HOLTER - MIGUEL COUTO</t>
  </si>
  <si>
    <t>ECO - FILIAL 2</t>
  </si>
  <si>
    <t>EEG - NILOPOLIS</t>
  </si>
  <si>
    <t>EEG - MATRZ</t>
  </si>
  <si>
    <t>CARRO COLETA DOMICILIAR</t>
  </si>
  <si>
    <t>Francisco Augusto Siqueira De Arruda Camara</t>
  </si>
  <si>
    <t>Herbert Goulart De Souza Santos</t>
  </si>
  <si>
    <t>Ecg - Matriz</t>
  </si>
  <si>
    <t>Ecg - Filial 2</t>
  </si>
  <si>
    <t>Ecg - Miguel Couto</t>
  </si>
  <si>
    <t>Ecg - Nilopolis</t>
  </si>
  <si>
    <t>Eeg - Nilopolis</t>
  </si>
  <si>
    <t>Eeg - Matrz</t>
  </si>
  <si>
    <t>Rodrigo Nakamura Soares</t>
  </si>
  <si>
    <t>Taiara De Azevedo Nascimento</t>
  </si>
  <si>
    <t>Mariana Cristina Vasconcelos</t>
  </si>
  <si>
    <t>Mariana Gouvinhas Cabral Lima</t>
  </si>
  <si>
    <t>Joao Victor Vieira Tavares</t>
  </si>
  <si>
    <t>São João</t>
  </si>
  <si>
    <t>CallCenter@segmedic.com.br;cliente@segmedic.com.br</t>
  </si>
  <si>
    <t>Pollyana Melo Nogueira De Moura</t>
  </si>
  <si>
    <t>Amanda Guimarães Cabral</t>
  </si>
  <si>
    <t>Vitor Da Silva Goncalves</t>
  </si>
  <si>
    <t>São João de Meriti</t>
  </si>
  <si>
    <t>Thales Figueiredo De Oliveira</t>
  </si>
  <si>
    <t>Monica Penha Ribeiro De Souza</t>
  </si>
  <si>
    <t>Annibal Coelho De Amorin Junior</t>
  </si>
  <si>
    <t>Sandra Regina Martins</t>
  </si>
  <si>
    <t>Katia Borges Cardozo</t>
  </si>
  <si>
    <t>Carla Aparecida Viveiros Carvalho Chaves</t>
  </si>
  <si>
    <t>Marcia Pereira Dos Santos</t>
  </si>
  <si>
    <t>Zeferino De Azevedo Moreira</t>
  </si>
  <si>
    <t>Fernanda Amorim Bastos Hashimoto</t>
  </si>
  <si>
    <t>Camila Provencano Montella</t>
  </si>
  <si>
    <t>Carla Abranches Duarte Machado</t>
  </si>
  <si>
    <t>Paulo Arthur Gomes Dos Santos</t>
  </si>
  <si>
    <t>Priscila Silva Monteiro</t>
  </si>
  <si>
    <t>Arildo Rodrigues Capitao Junior</t>
  </si>
  <si>
    <t>Carlos Henrique Barbosa Da Costa</t>
  </si>
  <si>
    <t>Rogerio Cotrim Martino</t>
  </si>
  <si>
    <t>Iordana Carla De Sa Stanesco Batuli Soares</t>
  </si>
  <si>
    <t>Thais Figueiredo De Oliveira</t>
  </si>
  <si>
    <t>Floriza Ferreira Dos Santos Macieira</t>
  </si>
  <si>
    <t>Mariana Aparecida Valentim Mansour</t>
  </si>
  <si>
    <t>Luciana Silva De Paula</t>
  </si>
  <si>
    <t>Loami Gomes Santos</t>
  </si>
  <si>
    <t>Elen Fátima Alves Storti</t>
  </si>
  <si>
    <t>Regina Lucia De Souza Barbosa Rodrigues</t>
  </si>
  <si>
    <t>Adelita De Carvalho Diaz Gimenez</t>
  </si>
  <si>
    <t>Raphael De Lucena Oliveira</t>
  </si>
  <si>
    <t>Alberto Perez Alvares Da Silva</t>
  </si>
  <si>
    <t>Milla Massocati Moreira</t>
  </si>
  <si>
    <t>Nicole Ferreira Pisani De Souza</t>
  </si>
  <si>
    <t>Caroline Bonizioli Barcellos</t>
  </si>
  <si>
    <t>Aron Dos Santos Camilo</t>
  </si>
  <si>
    <t>Brian Franca Dos Santos</t>
  </si>
  <si>
    <t>Carla Pinheiro De Miranda</t>
  </si>
  <si>
    <t>Seggastro</t>
  </si>
  <si>
    <t>Seg - Matriz</t>
  </si>
  <si>
    <t>Segvision</t>
  </si>
  <si>
    <t>Carmem Lucia Fonseca Marinho Montano</t>
  </si>
  <si>
    <t>Danielle Magalhaes Queiroz</t>
  </si>
  <si>
    <t>Ricardo Raul Lafuente</t>
  </si>
  <si>
    <t>Vanessa Pimenta Bueno Freitas</t>
  </si>
  <si>
    <t>Erika Arydes Jannotti</t>
  </si>
  <si>
    <t>João Manoel Salles Bernardino Prata</t>
  </si>
  <si>
    <t>Erika Homsi Barroso</t>
  </si>
  <si>
    <t>Bruna De Assis Caires</t>
  </si>
  <si>
    <t>rennanmiranda@segmedic.com.br;luiscamuce@segmedic.com.br;alvarojunior@segmedic.com.br;supervisao@segmedic.com.br;carloslima@segmedic.com.br;relacionamentomedico@segmedic.com.br;gabrielmarins@clubflex.com.br</t>
  </si>
  <si>
    <t>Fernanda Magalhães Gonçalves</t>
  </si>
  <si>
    <t>Francisco Das Chagas Winicius Leite Silva</t>
  </si>
  <si>
    <t>Mapa - São João</t>
  </si>
  <si>
    <t>Holter - São João</t>
  </si>
  <si>
    <t>Ecg - São João</t>
  </si>
  <si>
    <t>Antonio Carlos Simões De Carvalho</t>
  </si>
  <si>
    <t>Abdon Katter Filho</t>
  </si>
  <si>
    <t>Rogeria Chamon Carmo Lima Camara</t>
  </si>
  <si>
    <t>Kelly Rachid Guimaraes El Warrak</t>
  </si>
  <si>
    <t>Ana Paula Pavan Rodrigues De Paula</t>
  </si>
  <si>
    <t>Joel Gomes Rangel Filho</t>
  </si>
  <si>
    <t>Ana Paula De Souza Costa</t>
  </si>
  <si>
    <t>Luiz Augusto Da Silva</t>
  </si>
  <si>
    <t>Delano Roosevelt Nogueira Bezerra</t>
  </si>
  <si>
    <t>Leonardo Pereira Dos Santos</t>
  </si>
  <si>
    <t>Adriano Simoes Luz</t>
  </si>
  <si>
    <t>Angela De Carvalho Prado</t>
  </si>
  <si>
    <t>Cristiane Araujo De Oliveira</t>
  </si>
  <si>
    <t>Dia da semana</t>
  </si>
  <si>
    <t>Amanda Moreira Paiva Barbosa</t>
  </si>
  <si>
    <t>Amanda Raphael Facuri Cardona</t>
  </si>
  <si>
    <t>Data Até</t>
  </si>
  <si>
    <t>Data De</t>
  </si>
  <si>
    <t>Dia da Semana</t>
  </si>
  <si>
    <t>Hora Fim</t>
  </si>
  <si>
    <t>Hora Início</t>
  </si>
  <si>
    <t>Intervalo</t>
  </si>
  <si>
    <t>Período</t>
  </si>
  <si>
    <t>Profissional</t>
  </si>
  <si>
    <t>Tipo da grade</t>
  </si>
  <si>
    <t>01/03/2020</t>
  </si>
  <si>
    <t>Qua</t>
  </si>
  <si>
    <t>11:05</t>
  </si>
  <si>
    <t>07:30</t>
  </si>
  <si>
    <t>Consultório 8</t>
  </si>
  <si>
    <t>Manhã</t>
  </si>
  <si>
    <t>Fixa</t>
  </si>
  <si>
    <t>Seg - Filial Ii 10°</t>
  </si>
  <si>
    <t>Sex</t>
  </si>
  <si>
    <t>Seg</t>
  </si>
  <si>
    <t>11:35</t>
  </si>
  <si>
    <t>08:00</t>
  </si>
  <si>
    <t>Consultório 3</t>
  </si>
  <si>
    <t>Seg - Filial I</t>
  </si>
  <si>
    <t>Qui</t>
  </si>
  <si>
    <t>Ter</t>
  </si>
  <si>
    <t>16:15</t>
  </si>
  <si>
    <t>Consultório 2</t>
  </si>
  <si>
    <t>10:35</t>
  </si>
  <si>
    <t>07:00</t>
  </si>
  <si>
    <t>11:40</t>
  </si>
  <si>
    <t>08:10</t>
  </si>
  <si>
    <t>Audiometria</t>
  </si>
  <si>
    <t>15:40</t>
  </si>
  <si>
    <t>13:00</t>
  </si>
  <si>
    <t>Tarde</t>
  </si>
  <si>
    <t>15:35</t>
  </si>
  <si>
    <t>09:00</t>
  </si>
  <si>
    <t>Ultrassonografia 3</t>
  </si>
  <si>
    <t>08/01/2022</t>
  </si>
  <si>
    <t>Sab</t>
  </si>
  <si>
    <t>10:50</t>
  </si>
  <si>
    <t>13:40</t>
  </si>
  <si>
    <t>Ultrassonografia 2</t>
  </si>
  <si>
    <t>12:35</t>
  </si>
  <si>
    <t>Consultório 4</t>
  </si>
  <si>
    <t>17:35</t>
  </si>
  <si>
    <t>Consultório 6</t>
  </si>
  <si>
    <t>04/02/2022</t>
  </si>
  <si>
    <t>16:35</t>
  </si>
  <si>
    <t>Consultório 1</t>
  </si>
  <si>
    <t>Seg - Miguel Couto</t>
  </si>
  <si>
    <t>08/02/2022</t>
  </si>
  <si>
    <t>Consultório 5</t>
  </si>
  <si>
    <t>05/02/2022</t>
  </si>
  <si>
    <t>11/02/2022</t>
  </si>
  <si>
    <t>16:55</t>
  </si>
  <si>
    <t>11:55</t>
  </si>
  <si>
    <t>31/01/2022</t>
  </si>
  <si>
    <t>17:55</t>
  </si>
  <si>
    <t>13:55</t>
  </si>
  <si>
    <t>12:55</t>
  </si>
  <si>
    <t>10/02/2022</t>
  </si>
  <si>
    <t>12:00</t>
  </si>
  <si>
    <t>18/02/2022</t>
  </si>
  <si>
    <t>Seg - Nilópolis</t>
  </si>
  <si>
    <t>01/03/2022</t>
  </si>
  <si>
    <t>16:00</t>
  </si>
  <si>
    <t>12:30</t>
  </si>
  <si>
    <t>13:35</t>
  </si>
  <si>
    <t>01/02/2022</t>
  </si>
  <si>
    <t>14:00</t>
  </si>
  <si>
    <t>14:35</t>
  </si>
  <si>
    <t>Consultório 9</t>
  </si>
  <si>
    <t>07/03/2022</t>
  </si>
  <si>
    <t>08:35</t>
  </si>
  <si>
    <t>Consultório 7</t>
  </si>
  <si>
    <t>Consultório 12</t>
  </si>
  <si>
    <t>17:20</t>
  </si>
  <si>
    <t>09/02/2022</t>
  </si>
  <si>
    <t>17/02/2022</t>
  </si>
  <si>
    <t>Consultório 10</t>
  </si>
  <si>
    <t>18:00</t>
  </si>
  <si>
    <t>Centro Medico - Matriz</t>
  </si>
  <si>
    <t>21:55</t>
  </si>
  <si>
    <t>15:55</t>
  </si>
  <si>
    <t>Consultório 11</t>
  </si>
  <si>
    <t>08:30</t>
  </si>
  <si>
    <t>Consultório 13</t>
  </si>
  <si>
    <t>Consultório 17</t>
  </si>
  <si>
    <t>21:35</t>
  </si>
  <si>
    <t>08/03/2022</t>
  </si>
  <si>
    <t>Consultório 16</t>
  </si>
  <si>
    <t>19:40</t>
  </si>
  <si>
    <t>Consultório 20</t>
  </si>
  <si>
    <t>02/03/2022</t>
  </si>
  <si>
    <t>13:20</t>
  </si>
  <si>
    <t>17:00</t>
  </si>
  <si>
    <t>Consultório 18</t>
  </si>
  <si>
    <t>21:40</t>
  </si>
  <si>
    <t>19:00</t>
  </si>
  <si>
    <t>Noite</t>
  </si>
  <si>
    <t>10:55</t>
  </si>
  <si>
    <t>18:55</t>
  </si>
  <si>
    <t>10:00</t>
  </si>
  <si>
    <t>13:15</t>
  </si>
  <si>
    <t>15:30</t>
  </si>
  <si>
    <t>13:25</t>
  </si>
  <si>
    <t>19:30</t>
  </si>
  <si>
    <t>Dom</t>
  </si>
  <si>
    <t>18:35</t>
  </si>
  <si>
    <t>18:20</t>
  </si>
  <si>
    <t>17:40</t>
  </si>
  <si>
    <t>Ultrassonografia 4</t>
  </si>
  <si>
    <t>14:15</t>
  </si>
  <si>
    <t>Ultrassonografia 1</t>
  </si>
  <si>
    <t>16:30</t>
  </si>
  <si>
    <t>Consultorio 1</t>
  </si>
  <si>
    <t>Seg - Filial Ii 11°</t>
  </si>
  <si>
    <t>16:20</t>
  </si>
  <si>
    <t>12:05</t>
  </si>
  <si>
    <t>15:05</t>
  </si>
  <si>
    <t>13:30</t>
  </si>
  <si>
    <t>15:00</t>
  </si>
  <si>
    <t>12/03/2022</t>
  </si>
  <si>
    <t>05/03/2022</t>
  </si>
  <si>
    <t>Triagem</t>
  </si>
  <si>
    <t>Eliane Aparecida De Oliveira Marciano</t>
  </si>
  <si>
    <t>Raul Vargas De Oliveira</t>
  </si>
  <si>
    <t>12:40</t>
  </si>
  <si>
    <t>12:10</t>
  </si>
  <si>
    <t>03/03/2022</t>
  </si>
  <si>
    <t>17:30</t>
  </si>
  <si>
    <t>14:30</t>
  </si>
  <si>
    <t>11:50</t>
  </si>
  <si>
    <t>Ecocardiograma</t>
  </si>
  <si>
    <t>Bioimpedancia - Filial 2</t>
  </si>
  <si>
    <t>Hannah Gabriela Gama Cardoso</t>
  </si>
  <si>
    <t>22:00</t>
  </si>
  <si>
    <t>Sala de Coleta</t>
  </si>
  <si>
    <t>Laboratório - Matriz</t>
  </si>
  <si>
    <t>09/03/2022</t>
  </si>
  <si>
    <t>Laboratório - Miguel Couto</t>
  </si>
  <si>
    <t>16:40</t>
  </si>
  <si>
    <t>Mamografia</t>
  </si>
  <si>
    <t>11:30</t>
  </si>
  <si>
    <t>15/03/2022</t>
  </si>
  <si>
    <t>Enfermaria</t>
  </si>
  <si>
    <t>Enf - Matriz</t>
  </si>
  <si>
    <t>Enf - Miguel Couto</t>
  </si>
  <si>
    <t>23/03/2022</t>
  </si>
  <si>
    <t>Enf - Nilópolis</t>
  </si>
  <si>
    <t>16:50</t>
  </si>
  <si>
    <t>10/03/2022</t>
  </si>
  <si>
    <t>15:50</t>
  </si>
  <si>
    <t>04/04/2022</t>
  </si>
  <si>
    <t>12:50</t>
  </si>
  <si>
    <t>Densitometria Ossea</t>
  </si>
  <si>
    <t>20:50</t>
  </si>
  <si>
    <t>Consultório 19</t>
  </si>
  <si>
    <t>17:50</t>
  </si>
  <si>
    <t>Eletrocardiograma</t>
  </si>
  <si>
    <t>Imobilização</t>
  </si>
  <si>
    <t>09:10</t>
  </si>
  <si>
    <t>08:50</t>
  </si>
  <si>
    <t>11:00</t>
  </si>
  <si>
    <t>09:50</t>
  </si>
  <si>
    <t>10:40</t>
  </si>
  <si>
    <t>10:20</t>
  </si>
  <si>
    <t>08:29</t>
  </si>
  <si>
    <t>Mapa/Holter</t>
  </si>
  <si>
    <t>08:59</t>
  </si>
  <si>
    <t>09:29</t>
  </si>
  <si>
    <t>09:59</t>
  </si>
  <si>
    <t>09:30</t>
  </si>
  <si>
    <t>10:29</t>
  </si>
  <si>
    <t>09:20</t>
  </si>
  <si>
    <t>09:40</t>
  </si>
  <si>
    <t>Eletroencefalograma</t>
  </si>
  <si>
    <t>08:20</t>
  </si>
  <si>
    <t>10:30</t>
  </si>
  <si>
    <t>Raio X</t>
  </si>
  <si>
    <t>Raio X - Matriz</t>
  </si>
  <si>
    <t>17/03/2022</t>
  </si>
  <si>
    <t>Consultório 7 RX</t>
  </si>
  <si>
    <t>Raio X - Miguel Couto</t>
  </si>
  <si>
    <t>Raio X - Nilópolis</t>
  </si>
  <si>
    <t>13:50</t>
  </si>
  <si>
    <t>Tomografia</t>
  </si>
  <si>
    <t>07:59</t>
  </si>
  <si>
    <t>09:35</t>
  </si>
  <si>
    <t>07/04/2022</t>
  </si>
  <si>
    <t>28/03/2022</t>
  </si>
  <si>
    <t>Seg - São João</t>
  </si>
  <si>
    <t>29/03/2022</t>
  </si>
  <si>
    <t>30/03/2022</t>
  </si>
  <si>
    <t>31/03/2022</t>
  </si>
  <si>
    <t>01/04/2022</t>
  </si>
  <si>
    <t>02/04/2022</t>
  </si>
  <si>
    <t>12:20</t>
  </si>
  <si>
    <t>06:30</t>
  </si>
  <si>
    <t>Coleta Domiciliar</t>
  </si>
  <si>
    <t>Carro Coleta Domiciliar</t>
  </si>
  <si>
    <t>18/03/2022</t>
  </si>
  <si>
    <t>OFTALMOLOGIA</t>
  </si>
  <si>
    <t>Andre Bittencourt Aranha</t>
  </si>
  <si>
    <t>Diogo Leitao Caldas</t>
  </si>
  <si>
    <t>Laboratório - Filial 1</t>
  </si>
  <si>
    <t>Laboratório - Nilópolis</t>
  </si>
  <si>
    <t>05/04/2022</t>
  </si>
  <si>
    <t>15:20</t>
  </si>
  <si>
    <t>Teste Ergométrico</t>
  </si>
  <si>
    <t>22/03/2022</t>
  </si>
  <si>
    <t>Arthur Farache Silva</t>
  </si>
  <si>
    <t>13/04/2022</t>
  </si>
  <si>
    <t>06/04/2022</t>
  </si>
  <si>
    <t>08/04/2022</t>
  </si>
  <si>
    <t>16:10</t>
  </si>
  <si>
    <t>Laboratório - São João</t>
  </si>
  <si>
    <t>Enf - São João</t>
  </si>
  <si>
    <t>19:55</t>
  </si>
  <si>
    <t>07/05/2022</t>
  </si>
  <si>
    <t>04/05/2022</t>
  </si>
  <si>
    <t>02/05/2022</t>
  </si>
  <si>
    <t>17:05</t>
  </si>
  <si>
    <t>11/04/2022</t>
  </si>
  <si>
    <t>16/04/2022</t>
  </si>
  <si>
    <t>08:19</t>
  </si>
  <si>
    <t>12/04/2022</t>
  </si>
  <si>
    <t>09:19</t>
  </si>
  <si>
    <t>10:19</t>
  </si>
  <si>
    <t>11:19</t>
  </si>
  <si>
    <t>12:19</t>
  </si>
  <si>
    <t>01/05/2022</t>
  </si>
  <si>
    <t>09/04/2022</t>
  </si>
  <si>
    <t>03/05/2022</t>
  </si>
  <si>
    <t>05/05/2022</t>
  </si>
  <si>
    <t>18:30</t>
  </si>
  <si>
    <t>08:45</t>
  </si>
  <si>
    <t>Enf - Filial 2</t>
  </si>
  <si>
    <t>11/05/2022</t>
  </si>
  <si>
    <t>Joao Paulo Lomelino Goncalves</t>
  </si>
  <si>
    <t>Ricardo Lapoente</t>
  </si>
  <si>
    <t>13/05/2022</t>
  </si>
  <si>
    <t>26/04/2022</t>
  </si>
  <si>
    <t>28/04/2022</t>
  </si>
  <si>
    <t>06/05/2022</t>
  </si>
  <si>
    <t>07/06/2022</t>
  </si>
  <si>
    <t>CONSULTORIO ONLINE</t>
  </si>
  <si>
    <t>17/05/2022</t>
  </si>
  <si>
    <t>20/05/2022</t>
  </si>
  <si>
    <t>19/05/2022</t>
  </si>
  <si>
    <t>24/05/2022</t>
  </si>
  <si>
    <t>25/05/2022</t>
  </si>
  <si>
    <t>01/06/2022</t>
  </si>
  <si>
    <t>17:15</t>
  </si>
  <si>
    <t>11:45</t>
  </si>
  <si>
    <t>16/06/2022</t>
  </si>
  <si>
    <t>06/06/2022</t>
  </si>
  <si>
    <t>16/04/2020</t>
  </si>
  <si>
    <t>13/04/2020</t>
  </si>
  <si>
    <t>Jonath De Oliveira Tigre</t>
  </si>
  <si>
    <t>Exceção</t>
  </si>
  <si>
    <t>17/04/2020</t>
  </si>
  <si>
    <t>30/04/2020</t>
  </si>
  <si>
    <t>19/04/2021</t>
  </si>
  <si>
    <t>19/04/2022</t>
  </si>
  <si>
    <t>11/11/2021</t>
  </si>
  <si>
    <t>27/12/2021</t>
  </si>
  <si>
    <t>28/12/2021</t>
  </si>
  <si>
    <t>03/01/2022</t>
  </si>
  <si>
    <t>18:45</t>
  </si>
  <si>
    <t>02/02/2022</t>
  </si>
  <si>
    <t>00:00</t>
  </si>
  <si>
    <t>03/02/2022</t>
  </si>
  <si>
    <t>28/02/2022</t>
  </si>
  <si>
    <t>16:45</t>
  </si>
  <si>
    <t>13:45</t>
  </si>
  <si>
    <t>Priscila De Almeida Ramos</t>
  </si>
  <si>
    <t>Amanda Prisco Da Silva</t>
  </si>
  <si>
    <t>Rafael Alves Dos Santos</t>
  </si>
  <si>
    <t>Murilo Vinicius Duarte Da Silva</t>
  </si>
  <si>
    <t>Adriano Alves Rodrigues Pereira</t>
  </si>
  <si>
    <t>Renata Alves Dos Santos</t>
  </si>
  <si>
    <t>Marcelo Francisco De Souza</t>
  </si>
  <si>
    <t>Elaine Souza Dos Santos</t>
  </si>
  <si>
    <t>Alice Tassara Dos Santos</t>
  </si>
  <si>
    <t>Dayse Lacerda De Oliveira Lopes</t>
  </si>
  <si>
    <t>Alexandre Oliveira Da Silva</t>
  </si>
  <si>
    <t>Triagem Miguel Couto</t>
  </si>
  <si>
    <t>Tamirys Ederli Macedo</t>
  </si>
  <si>
    <t>Keise Kelly Sines Do Nascimento</t>
  </si>
  <si>
    <t>Vanessa De Souza Miranda</t>
  </si>
  <si>
    <t>04/03/2022</t>
  </si>
  <si>
    <t>Mayara Chiavelli Vilbert</t>
  </si>
  <si>
    <t>Joao Pedro Fassbender Barreto Prates</t>
  </si>
  <si>
    <t>Rejane Oliveira De Lima</t>
  </si>
  <si>
    <t>Triagem Matriz</t>
  </si>
  <si>
    <t>06/03/2022</t>
  </si>
  <si>
    <t>18:50</t>
  </si>
  <si>
    <t>20:00</t>
  </si>
  <si>
    <t>07:15</t>
  </si>
  <si>
    <t>Lidia Figueiredo De Carvalho</t>
  </si>
  <si>
    <t>11/03/2022</t>
  </si>
  <si>
    <t>07:50</t>
  </si>
  <si>
    <t>Camila De Fátima Duarte Fidélis</t>
  </si>
  <si>
    <t>Triagem Nilopolis</t>
  </si>
  <si>
    <t>13/03/2022</t>
  </si>
  <si>
    <t>14/03/2022</t>
  </si>
  <si>
    <t>17:10</t>
  </si>
  <si>
    <t>16/03/2022</t>
  </si>
  <si>
    <t>Jailhane Brito Do Nascimento Silva</t>
  </si>
  <si>
    <t>Vivian Salles Pinto Gomes</t>
  </si>
  <si>
    <t>14:50</t>
  </si>
  <si>
    <t>19/03/2022</t>
  </si>
  <si>
    <t>08:55</t>
  </si>
  <si>
    <t>20/03/2022</t>
  </si>
  <si>
    <t>21/03/2022</t>
  </si>
  <si>
    <t>07:55</t>
  </si>
  <si>
    <t>12:15</t>
  </si>
  <si>
    <t>Carolina Victoria Cabral Da Motta Gomes</t>
  </si>
  <si>
    <t>24/03/2022</t>
  </si>
  <si>
    <t>25/03/2022</t>
  </si>
  <si>
    <t>26/03/2022</t>
  </si>
  <si>
    <t>27/03/2022</t>
  </si>
  <si>
    <t>19:35</t>
  </si>
  <si>
    <t>30/03/3022</t>
  </si>
  <si>
    <t>Triagem São João</t>
  </si>
  <si>
    <t>12:45</t>
  </si>
  <si>
    <t>Selma Cristina De Lima</t>
  </si>
  <si>
    <t>10/04/2022</t>
  </si>
  <si>
    <t>Louise Pimenta De Castro Mota</t>
  </si>
  <si>
    <t>14/04/2022</t>
  </si>
  <si>
    <t>15/04/2022</t>
  </si>
  <si>
    <t>Consultório 14</t>
  </si>
  <si>
    <t>18/04/2022</t>
  </si>
  <si>
    <t>20/04/2022</t>
  </si>
  <si>
    <t>21/04/2022</t>
  </si>
  <si>
    <t>22/04/2022</t>
  </si>
  <si>
    <t>15:45</t>
  </si>
  <si>
    <t>23/04/2022</t>
  </si>
  <si>
    <t>24/04/2022</t>
  </si>
  <si>
    <t>25/04/2022</t>
  </si>
  <si>
    <t>27/04/2022</t>
  </si>
  <si>
    <t>29/04/2022</t>
  </si>
  <si>
    <t>13:05</t>
  </si>
  <si>
    <t>30/04/2022</t>
  </si>
  <si>
    <t>Sandro Moreira Sant Anna</t>
  </si>
  <si>
    <t>04/11/2021</t>
  </si>
  <si>
    <t>Teresa Cristina Abrahão De Velloso Vianna</t>
  </si>
  <si>
    <t>11:20</t>
  </si>
  <si>
    <t>10:05</t>
  </si>
  <si>
    <t>09/05/2022</t>
  </si>
  <si>
    <t>10/05/2022</t>
  </si>
  <si>
    <t>Maicon Roberto Silva Da Conceição</t>
  </si>
  <si>
    <t>12/05/2022</t>
  </si>
  <si>
    <t>14/05/2022</t>
  </si>
  <si>
    <t>16/05/2022</t>
  </si>
  <si>
    <t>Allan Abreu Soares</t>
  </si>
  <si>
    <t>14:45</t>
  </si>
  <si>
    <t>21:45</t>
  </si>
  <si>
    <t>18/05/2022</t>
  </si>
  <si>
    <t>Inacio Freitas De Queiroz</t>
  </si>
  <si>
    <t>17:45</t>
  </si>
  <si>
    <t>21/05/2022</t>
  </si>
  <si>
    <t>23/05/2022</t>
  </si>
  <si>
    <t>26/05/2022</t>
  </si>
  <si>
    <t>27/05/2022</t>
  </si>
  <si>
    <t>28/05/2022</t>
  </si>
  <si>
    <t>30/05/2022</t>
  </si>
  <si>
    <t>31/05/2022</t>
  </si>
  <si>
    <t>02/06/2022</t>
  </si>
  <si>
    <t>03/06/2022</t>
  </si>
  <si>
    <t>05/06/2022</t>
  </si>
  <si>
    <t>08/06/2022</t>
  </si>
  <si>
    <t>09/06/2022</t>
  </si>
  <si>
    <t>10/06/2022</t>
  </si>
  <si>
    <t>16:25</t>
  </si>
  <si>
    <t>15/06/2022</t>
  </si>
  <si>
    <t>17/06/2022</t>
  </si>
  <si>
    <t>18/06/2022</t>
  </si>
  <si>
    <t>22/06/2022</t>
  </si>
  <si>
    <t>24/06/2022</t>
  </si>
  <si>
    <t>30/06/2022</t>
  </si>
  <si>
    <t>06/07/2022</t>
  </si>
  <si>
    <t>20/07/2022</t>
  </si>
  <si>
    <t>29/07/2022</t>
  </si>
  <si>
    <t>22/07/2022</t>
  </si>
  <si>
    <t>03/08/2022</t>
  </si>
  <si>
    <t>12/08/2022</t>
  </si>
  <si>
    <t>17/08/2022</t>
  </si>
  <si>
    <t>02/09/2022</t>
  </si>
  <si>
    <t>26/08/2022</t>
  </si>
  <si>
    <t>07/10/2022</t>
  </si>
  <si>
    <t>23/09/2022</t>
  </si>
  <si>
    <t>11/11/2022</t>
  </si>
  <si>
    <t>28/10/2022</t>
  </si>
  <si>
    <t>07/12/2022</t>
  </si>
  <si>
    <t>09/12/2022</t>
  </si>
  <si>
    <t>02/12/2022</t>
  </si>
  <si>
    <t>21/12/2022</t>
  </si>
  <si>
    <t>27/12/2030</t>
  </si>
  <si>
    <t>20:20</t>
  </si>
  <si>
    <t>27/02/2050</t>
  </si>
  <si>
    <t>26/12/2050</t>
  </si>
  <si>
    <t>27/12/2050</t>
  </si>
  <si>
    <t>28/12/2050</t>
  </si>
  <si>
    <t>20:30</t>
  </si>
  <si>
    <t>29/12/2050</t>
  </si>
  <si>
    <t>30/12/2050</t>
  </si>
  <si>
    <t>Livres validados</t>
  </si>
  <si>
    <t>Slots</t>
  </si>
  <si>
    <t>Minutos</t>
  </si>
  <si>
    <t>Horas trabalhadas</t>
  </si>
  <si>
    <t>Eeg - Sao Joao</t>
  </si>
  <si>
    <t>Patricia Yumi Ladeira Tanaka</t>
  </si>
  <si>
    <t>sfnvjnsjfnvj</t>
  </si>
  <si>
    <t>bskjdvbkbsvb</t>
  </si>
  <si>
    <t>sfbsfb</t>
  </si>
  <si>
    <t>-</t>
  </si>
  <si>
    <t>rennanmiranda@segmedic.com.br;luiscamuce@segmedic.com.br;guilhermeuchoa@segmedic.com.br;carloslima@segmedic.com.br;relacionamentomedico@segmedic.com.br;gabrielmarins@clubflex.com.br;rodrigosouza@segmedic.com.br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</si>
</sst>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F400]h:mm:ss\ AM/PM"/>
    <numFmt numFmtId="165" formatCode="[$-416]d\-mmm;@"/>
    <numFmt numFmtId="166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000000"/>
      <name val="Calibri"/>
      <family val="2"/>
    </font>
    <font>
      <sz val="14"/>
      <color rgb="FFFF0000"/>
      <name val="Calibri"/>
      <family val="2"/>
      <scheme val="minor"/>
    </font>
    <font>
      <sz val="11"/>
      <color rgb="FF242424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theme="4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ont="1" applyFill="1" applyBorder="1" applyAlignment="1">
      <alignment horizontal="left"/>
    </xf>
    <xf numFmtId="0" fontId="0" fillId="3" borderId="2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2" xfId="0" applyNumberFormat="1" applyFont="1" applyBorder="1" applyAlignment="1">
      <alignment horizontal="left"/>
    </xf>
    <xf numFmtId="14" fontId="4" fillId="0" borderId="3" xfId="0" applyNumberFormat="1" applyFont="1" applyBorder="1" applyAlignment="1">
      <alignment horizontal="right" vertical="center"/>
    </xf>
    <xf numFmtId="14" fontId="5" fillId="0" borderId="3" xfId="0" applyNumberFormat="1" applyFont="1" applyBorder="1" applyAlignment="1">
      <alignment horizontal="right" vertical="center"/>
    </xf>
    <xf numFmtId="14" fontId="6" fillId="0" borderId="3" xfId="0" applyNumberFormat="1" applyFont="1" applyBorder="1" applyAlignment="1">
      <alignment horizontal="right" vertical="center"/>
    </xf>
    <xf numFmtId="0" fontId="7" fillId="0" borderId="4" xfId="0" applyFont="1" applyBorder="1" applyAlignment="1">
      <alignment vertical="center"/>
    </xf>
    <xf numFmtId="165" fontId="4" fillId="0" borderId="3" xfId="0" applyNumberFormat="1" applyFont="1" applyBorder="1" applyAlignment="1">
      <alignment horizontal="right" vertical="center"/>
    </xf>
    <xf numFmtId="165" fontId="5" fillId="0" borderId="3" xfId="0" applyNumberFormat="1" applyFont="1" applyBorder="1" applyAlignment="1">
      <alignment horizontal="right" vertical="center"/>
    </xf>
    <xf numFmtId="165" fontId="6" fillId="0" borderId="3" xfId="0" applyNumberFormat="1" applyFont="1" applyBorder="1" applyAlignment="1">
      <alignment horizontal="right" vertical="center"/>
    </xf>
    <xf numFmtId="0" fontId="8" fillId="5" borderId="0" xfId="0" applyFont="1" applyFill="1" applyAlignment="1">
      <alignment horizontal="left" vertical="center" indent="1"/>
    </xf>
    <xf numFmtId="166" fontId="9" fillId="6" borderId="3" xfId="1" applyNumberFormat="1" applyFont="1" applyFill="1" applyBorder="1" applyAlignment="1">
      <alignment horizontal="right" vertical="center"/>
    </xf>
    <xf numFmtId="166" fontId="9" fillId="7" borderId="3" xfId="1" applyNumberFormat="1" applyFont="1" applyFill="1" applyBorder="1" applyAlignment="1">
      <alignment horizontal="right" vertical="center"/>
    </xf>
    <xf numFmtId="166" fontId="9" fillId="8" borderId="3" xfId="1" applyNumberFormat="1" applyFont="1" applyFill="1" applyBorder="1" applyAlignment="1">
      <alignment horizontal="right" vertical="center"/>
    </xf>
    <xf numFmtId="0" fontId="8" fillId="9" borderId="0" xfId="0" applyFont="1" applyFill="1" applyAlignment="1">
      <alignment horizontal="left" vertical="center" indent="1"/>
    </xf>
    <xf numFmtId="166" fontId="7" fillId="10" borderId="3" xfId="1" applyNumberFormat="1" applyFont="1" applyFill="1" applyBorder="1" applyAlignment="1">
      <alignment horizontal="right" vertical="center"/>
    </xf>
    <xf numFmtId="166" fontId="7" fillId="11" borderId="3" xfId="1" applyNumberFormat="1" applyFont="1" applyFill="1" applyBorder="1" applyAlignment="1">
      <alignment horizontal="right" vertical="center"/>
    </xf>
    <xf numFmtId="166" fontId="7" fillId="12" borderId="3" xfId="1" applyNumberFormat="1" applyFont="1" applyFill="1" applyBorder="1" applyAlignment="1">
      <alignment horizontal="right"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8" fillId="0" borderId="3" xfId="1" applyNumberFormat="1" applyFont="1" applyBorder="1" applyAlignment="1">
      <alignment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10" fillId="9" borderId="0" xfId="0" applyNumberFormat="1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0" fillId="13" borderId="0" xfId="0" applyFill="1"/>
    <xf numFmtId="10" fontId="0" fillId="0" borderId="0" xfId="0" applyNumberFormat="1"/>
    <xf numFmtId="0" fontId="11" fillId="0" borderId="0" xfId="2"/>
    <xf numFmtId="0" fontId="0" fillId="3" borderId="5" xfId="0" applyFont="1" applyFill="1" applyBorder="1" applyAlignment="1">
      <alignment horizontal="left"/>
    </xf>
    <xf numFmtId="0" fontId="0" fillId="3" borderId="6" xfId="0" applyNumberFormat="1" applyFont="1" applyFill="1" applyBorder="1" applyAlignment="1">
      <alignment horizontal="left"/>
    </xf>
    <xf numFmtId="0" fontId="12" fillId="0" borderId="0" xfId="0" applyNumberFormat="1" applyFont="1"/>
    <xf numFmtId="0" fontId="13" fillId="0" borderId="0" xfId="0" applyNumberFormat="1" applyFont="1"/>
    <xf numFmtId="0" fontId="14" fillId="9" borderId="0" xfId="0" applyFont="1" applyFill="1" applyAlignment="1">
      <alignment horizontal="left" vertical="center" indent="1"/>
    </xf>
    <xf numFmtId="0" fontId="14" fillId="5" borderId="0" xfId="0" applyFont="1" applyFill="1" applyAlignment="1">
      <alignment horizontal="left" vertical="center" indent="1"/>
    </xf>
    <xf numFmtId="0" fontId="0" fillId="0" borderId="5" xfId="0" applyFont="1" applyFill="1" applyBorder="1" applyAlignment="1">
      <alignment horizontal="left"/>
    </xf>
    <xf numFmtId="0" fontId="0" fillId="0" borderId="6" xfId="0" applyNumberFormat="1" applyFont="1" applyFill="1" applyBorder="1" applyAlignment="1">
      <alignment horizontal="left"/>
    </xf>
    <xf numFmtId="0" fontId="15" fillId="0" borderId="0" xfId="0" applyFont="1"/>
    <xf numFmtId="164" fontId="15" fillId="0" borderId="0" xfId="0" applyNumberFormat="1" applyFont="1"/>
    <xf numFmtId="0" fontId="15" fillId="0" borderId="0" xfId="0" applyNumberFormat="1" applyFont="1"/>
    <xf numFmtId="0" fontId="16" fillId="5" borderId="0" xfId="0" applyFont="1" applyFill="1" applyAlignment="1">
      <alignment horizontal="left" vertical="center" indent="1"/>
    </xf>
    <xf numFmtId="0" fontId="16" fillId="9" borderId="0" xfId="0" applyFont="1" applyFill="1" applyAlignment="1">
      <alignment horizontal="left" vertical="center" indent="1"/>
    </xf>
    <xf numFmtId="166" fontId="7" fillId="11" borderId="3" xfId="1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/>
    </xf>
    <xf numFmtId="166" fontId="9" fillId="6" borderId="3" xfId="1" applyNumberFormat="1" applyFont="1" applyFill="1" applyBorder="1" applyAlignment="1">
      <alignment horizontal="center" vertical="center"/>
    </xf>
    <xf numFmtId="166" fontId="9" fillId="7" borderId="3" xfId="1" applyNumberFormat="1" applyFont="1" applyFill="1" applyBorder="1" applyAlignment="1">
      <alignment horizontal="center" vertical="center"/>
    </xf>
    <xf numFmtId="166" fontId="9" fillId="8" borderId="3" xfId="1" applyNumberFormat="1" applyFont="1" applyFill="1" applyBorder="1" applyAlignment="1">
      <alignment horizontal="center" vertical="center"/>
    </xf>
    <xf numFmtId="166" fontId="7" fillId="12" borderId="3" xfId="1" applyNumberFormat="1" applyFont="1" applyFill="1" applyBorder="1" applyAlignment="1">
      <alignment horizontal="center" vertical="center"/>
    </xf>
    <xf numFmtId="0" fontId="17" fillId="0" borderId="0" xfId="0" applyFont="1"/>
    <xf numFmtId="166" fontId="9" fillId="6" borderId="3" xfId="1" quotePrefix="1" applyNumberFormat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3">
    <cellStyle name="Hiperlink" xfId="2" builtinId="8"/>
    <cellStyle name="Normal" xfId="0" builtinId="0"/>
    <cellStyle name="Vírgula" xfId="1" builtinId="3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47625</xdr:rowOff>
    </xdr:from>
    <xdr:to>
      <xdr:col>8</xdr:col>
      <xdr:colOff>123825</xdr:colOff>
      <xdr:row>3</xdr:row>
      <xdr:rowOff>95250</xdr:rowOff>
    </xdr:to>
    <xdr:sp macro="[0]!Enviar__Control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CE46D13-83AA-48BF-AAAF-B8367D7A23C8}"/>
            </a:ext>
          </a:extLst>
        </xdr:cNvPr>
        <xdr:cNvSpPr/>
      </xdr:nvSpPr>
      <xdr:spPr>
        <a:xfrm>
          <a:off x="6200775" y="238125"/>
          <a:ext cx="75247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ENVIAR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47625</xdr:rowOff>
    </xdr:from>
    <xdr:to>
      <xdr:col>8</xdr:col>
      <xdr:colOff>123825</xdr:colOff>
      <xdr:row>3</xdr:row>
      <xdr:rowOff>95250</xdr:rowOff>
    </xdr:to>
    <xdr:sp macro="[0]!Controle_email_pro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099FCCB-E463-4B4D-9C43-CEBED3EB9114}"/>
            </a:ext>
          </a:extLst>
        </xdr:cNvPr>
        <xdr:cNvSpPr/>
      </xdr:nvSpPr>
      <xdr:spPr>
        <a:xfrm>
          <a:off x="6200775" y="238125"/>
          <a:ext cx="75247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ENVIAR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" xr16:uid="{1E33708F-7103-49A4-B08F-1B652CF14A65}" autoFormatId="16" applyNumberFormats="0" applyBorderFormats="0" applyFontFormats="0" applyPatternFormats="0" applyAlignmentFormats="0" applyWidthHeightFormats="0">
  <queryTableRefresh nextId="20" unboundColumnsRight="6">
    <queryTableFields count="17">
      <queryTableField id="1" name="Data" tableColumnId="1"/>
      <queryTableField id="2" name="UnidadeID" tableColumnId="2"/>
      <queryTableField id="3" name="EspecialidadeID" tableColumnId="3"/>
      <queryTableField id="4" name="LocalID" tableColumnId="4"/>
      <queryTableField id="5" name="ProfissionalID" tableColumnId="5"/>
      <queryTableField id="16" name="Nome do Medico" tableColumnId="6"/>
      <queryTableField id="7" name="Bloqueados" tableColumnId="7"/>
      <queryTableField id="8" name="Agendados" tableColumnId="8"/>
      <queryTableField id="9" name="Livres" tableColumnId="9"/>
      <queryTableField id="10" name="Total" tableColumnId="10"/>
      <queryTableField id="11" name="Percentual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8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B6EC7-0C36-441A-B237-834D2B518555}" name="ocupacao" displayName="ocupacao" ref="A1:Q2011" tableType="queryTable" totalsRowShown="0">
  <autoFilter ref="A1:Q2011" xr:uid="{A45B6EC7-0C36-441A-B237-834D2B518555}">
    <filterColumn colId="16">
      <customFilters>
        <customFilter operator="notEqual" val=" "/>
      </customFilters>
    </filterColumn>
  </autoFilter>
  <tableColumns count="17">
    <tableColumn id="1" xr3:uid="{087CCBA1-427F-44EC-8751-F91AAEFA6450}" uniqueName="1" name="Data" queryTableFieldId="1" dataDxfId="18"/>
    <tableColumn id="2" xr3:uid="{D3E8B6A1-5981-43BF-BD8A-334E6568E393}" uniqueName="2" name="UnidadeID" queryTableFieldId="2"/>
    <tableColumn id="3" xr3:uid="{6CF2619D-35F0-4030-B2BB-5F5DE858182F}" uniqueName="3" name="EspecialidadeID" queryTableFieldId="3"/>
    <tableColumn id="4" xr3:uid="{CE88DDCE-9BEE-4CFE-A905-9B2B376B294E}" uniqueName="4" name="LocalID" queryTableFieldId="4"/>
    <tableColumn id="5" xr3:uid="{AB169CB4-1B77-44B4-BACA-9F2DA88DA3ED}" uniqueName="5" name="ProfissionalID" queryTableFieldId="5"/>
    <tableColumn id="6" xr3:uid="{C3805353-A045-4075-9B7D-8D60AB1824FC}" uniqueName="6" name="Nome do Medico" queryTableFieldId="16" dataDxfId="17"/>
    <tableColumn id="7" xr3:uid="{0B982C64-1902-4287-B988-8EE941CF234A}" uniqueName="7" name="Bloqueados" queryTableFieldId="7"/>
    <tableColumn id="8" xr3:uid="{6014D212-1592-40BB-8F9B-8B3B7847A824}" uniqueName="8" name="Agendados" queryTableFieldId="8"/>
    <tableColumn id="9" xr3:uid="{9E96136B-F07B-4752-AF26-FC4ACEEF12DC}" uniqueName="9" name="Livres" queryTableFieldId="9"/>
    <tableColumn id="10" xr3:uid="{ABD00A39-30A0-4393-80B2-8D0D2CB60AA5}" uniqueName="10" name="Total" queryTableFieldId="10"/>
    <tableColumn id="11" xr3:uid="{F7E5CFB1-665C-484C-B09D-90C46B565822}" uniqueName="11" name="Percentual" queryTableFieldId="11" dataDxfId="16"/>
    <tableColumn id="12" xr3:uid="{2053D145-EB51-41EF-90F0-C878AFF523DE}" uniqueName="12" name="Procedimento" queryTableFieldId="12" dataDxfId="15"/>
    <tableColumn id="13" xr3:uid="{CF09054A-4981-4AC8-BC44-0FC62B994646}" uniqueName="13" name="Unidade" queryTableFieldId="13" dataDxfId="14"/>
    <tableColumn id="14" xr3:uid="{59B96EF6-C4ED-4274-8271-10D9D4D5BA4A}" uniqueName="14" name="Local" queryTableFieldId="14" dataDxfId="13"/>
    <tableColumn id="15" xr3:uid="{37FF6CEE-A862-4211-B20D-48199614356C}" uniqueName="15" name="Modalidade" queryTableFieldId="15" dataDxfId="12"/>
    <tableColumn id="16" xr3:uid="{94448100-6F82-48D1-B5AF-3F8266678178}" uniqueName="16" name="Dia da semana" queryTableFieldId="18" dataDxfId="11"/>
    <tableColumn id="17" xr3:uid="{0F3E20FF-15C1-4543-A284-A44650DFF797}" uniqueName="17" name="Livres validados" queryTableFieldId="19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372D6DD-E229-4884-980E-C102A9758383}" name="Ocupacao_DW" displayName="Ocupacao_DW" ref="A1:H6906" totalsRowShown="0">
  <autoFilter ref="A1:H6906" xr:uid="{E372D6DD-E229-4884-980E-C102A9758383}"/>
  <tableColumns count="8">
    <tableColumn id="1" xr3:uid="{C1259E47-774A-4ACD-8106-3360B71A54AD}" name="data" dataDxfId="9"/>
    <tableColumn id="2" xr3:uid="{57733E8E-215A-4BF6-B848-C595FAB37CDF}" name="nome_especialidade" dataDxfId="8"/>
    <tableColumn id="3" xr3:uid="{C592D6A9-AB6F-4567-A029-416653C54432}" name="profissional_id"/>
    <tableColumn id="4" xr3:uid="{BBF1DCDC-544A-4EFA-833F-7F523B9CE99B}" name="nome_profissional" dataDxfId="7"/>
    <tableColumn id="5" xr3:uid="{7251343F-E285-42B1-968C-59EB2E86B0B1}" name="nome_fantasia" dataDxfId="6"/>
    <tableColumn id="6" xr3:uid="{5DDFB76D-38CE-45A1-8EB7-3D52CD3BDF1D}" name="local_id"/>
    <tableColumn id="8" xr3:uid="{99AB5BD7-DEBA-4579-A8E0-B5624EEC7A98}" name="Concat" dataDxfId="5">
      <calculatedColumnFormula>Ocupacao_DW[[#This Row],[data]]&amp;Ocupacao_DW[[#This Row],[profissional_id]]&amp;Ocupacao_DW[[#This Row],[local_id]]</calculatedColumnFormula>
    </tableColumn>
    <tableColumn id="7" xr3:uid="{83B41B9C-54E1-43BB-9454-9D4A5F24C88D}" name="Vagas" dataDxfId="4">
      <calculatedColumnFormula>_xlfn.XLOOKUP(Ocupacao_DW[[#This Row],[Concat]],Vagas!$H:$H,Vagas!$D:$D,"",0)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2EBAA-D86F-4532-8DCF-447C19E9E31B}" name="Vagas" displayName="Vagas" ref="A1:H2385" totalsRowShown="0">
  <autoFilter ref="A1:H2385" xr:uid="{5AB2EBAA-D86F-4532-8DCF-447C19E9E31B}"/>
  <tableColumns count="8">
    <tableColumn id="1" xr3:uid="{E397CD4F-1C4F-4429-9F1C-73F5E4456479}" name="data" dataDxfId="3"/>
    <tableColumn id="2" xr3:uid="{B26CA15E-D48F-4D55-9EBC-24E858DA5F8E}" name="profissional_id"/>
    <tableColumn id="4" xr3:uid="{4B75EF75-0C81-4A6D-902E-7C070951B1D0}" name="local_id"/>
    <tableColumn id="3" xr3:uid="{825CEEB4-CC08-4A93-A403-D50EB0FF6DAD}" name="hlivres"/>
    <tableColumn id="7" xr3:uid="{286CD575-C0F2-4E50-9D03-DCCF57DD3BBE}" name="hbloqueados"/>
    <tableColumn id="5" xr3:uid="{5B3EA23F-DED0-4EDF-8F36-C214A4B03EDF}" name="Verificador de zeros" dataDxfId="2">
      <calculatedColumnFormula>IF(AND(A2=A1,B2=B1,D1&lt;&gt;0,D2=0),D1,0)</calculatedColumnFormula>
    </tableColumn>
    <tableColumn id="6" xr3:uid="{64312AD5-ECC3-4982-B7A8-B7744CB7CE15}" name="Coluna1" dataDxfId="1">
      <calculatedColumnFormula>_xlfn.XLOOKUP(C2,'Ocupação DW'!$F:$F,'Ocupação DW'!$E:$E,"",0)</calculatedColumnFormula>
    </tableColumn>
    <tableColumn id="8" xr3:uid="{D1B967C7-8449-4790-B227-8135D07F470E}" name="Concat" dataDxfId="0">
      <calculatedColumnFormula>Vagas[[#This Row],[data]]&amp;Vagas[[#This Row],[profissional_id]]&amp;Vagas[[#This Row],[local_id]]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CallCenter@segmedic.com.br;cliente@segmedic.com.br" TargetMode="External"/><Relationship Id="rId2" Type="http://schemas.openxmlformats.org/officeDocument/2006/relationships/hyperlink" Target="mailto:CallCenter@segmedic.com.br;cliente@segmedic.com.br" TargetMode="External"/><Relationship Id="rId1" Type="http://schemas.openxmlformats.org/officeDocument/2006/relationships/hyperlink" Target="mailto:rennanmiranda@segmedic.com.br;luiscamuce@segmedic.com.br;alvarojunior@segmedic.com.br;supervisao@segmedic.com.br;carloslima@segmedic.com.br;relacionamentomedico@segmedic.com.br;gabrielmarins@clubflex.com.br" TargetMode="External"/><Relationship Id="rId4" Type="http://schemas.openxmlformats.org/officeDocument/2006/relationships/hyperlink" Target="mailto:rennanmiranda@segmedic.com.br;luiscamuce@segmedic.com.br;alvarojunior@segmedic.com.br;supervisao@segmedic.com.br;carloslima@segmedic.com.br;relacionamentomedico@segmedic.com.br;gabrielmarins@clubflex.com.br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llCenter@segmedic.com.br;cliente@segmedic.com.br" TargetMode="External"/><Relationship Id="rId1" Type="http://schemas.openxmlformats.org/officeDocument/2006/relationships/hyperlink" Target="mailto:rennanmiranda@segmedic.com.br;luiscamuce@segmedic.com.br;guilhermeuchoa@segmedic.com.br;carloslima@segmedic.com.br;relacionamentomedico@segmedic.com.br;gabrielmarins@clubflex.com.br;rodrigosouza@segmedic.com.br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A23F-FE45-4B28-BC6C-41D044C12347}">
  <sheetPr codeName="Planilha4"/>
  <dimension ref="A1:C13"/>
  <sheetViews>
    <sheetView workbookViewId="0">
      <selection activeCell="E19" sqref="E19"/>
    </sheetView>
  </sheetViews>
  <sheetFormatPr defaultRowHeight="15" x14ac:dyDescent="0.25"/>
  <cols>
    <col min="1" max="1" width="13.42578125" bestFit="1" customWidth="1"/>
    <col min="2" max="2" width="18.7109375" bestFit="1" customWidth="1"/>
    <col min="3" max="3" width="17.42578125" bestFit="1" customWidth="1"/>
  </cols>
  <sheetData>
    <row r="1" spans="1:3" x14ac:dyDescent="0.25">
      <c r="A1" s="4" t="s">
        <v>27</v>
      </c>
      <c r="B1" s="5" t="s">
        <v>28</v>
      </c>
      <c r="C1" s="5" t="s">
        <v>37</v>
      </c>
    </row>
    <row r="2" spans="1:3" x14ac:dyDescent="0.25">
      <c r="A2" s="6">
        <v>0</v>
      </c>
      <c r="B2" s="7" t="s">
        <v>29</v>
      </c>
      <c r="C2" s="7" t="s">
        <v>38</v>
      </c>
    </row>
    <row r="3" spans="1:3" x14ac:dyDescent="0.25">
      <c r="A3" s="8">
        <v>10</v>
      </c>
      <c r="B3" s="9" t="s">
        <v>30</v>
      </c>
      <c r="C3" s="9" t="s">
        <v>38</v>
      </c>
    </row>
    <row r="4" spans="1:3" x14ac:dyDescent="0.25">
      <c r="A4" s="6">
        <v>11</v>
      </c>
      <c r="B4" s="7" t="s">
        <v>31</v>
      </c>
      <c r="C4" s="7" t="s">
        <v>38</v>
      </c>
    </row>
    <row r="5" spans="1:3" x14ac:dyDescent="0.25">
      <c r="A5" s="8">
        <v>14</v>
      </c>
      <c r="B5" s="9" t="s">
        <v>32</v>
      </c>
      <c r="C5" s="9" t="s">
        <v>38</v>
      </c>
    </row>
    <row r="6" spans="1:3" x14ac:dyDescent="0.25">
      <c r="A6" s="6">
        <v>18</v>
      </c>
      <c r="B6" s="7" t="s">
        <v>33</v>
      </c>
      <c r="C6" s="7" t="s">
        <v>33</v>
      </c>
    </row>
    <row r="7" spans="1:3" x14ac:dyDescent="0.25">
      <c r="A7" s="8">
        <v>22</v>
      </c>
      <c r="B7" s="9" t="s">
        <v>34</v>
      </c>
      <c r="C7" s="9" t="s">
        <v>38</v>
      </c>
    </row>
    <row r="8" spans="1:3" x14ac:dyDescent="0.25">
      <c r="A8" s="6">
        <v>24</v>
      </c>
      <c r="B8" s="7" t="s">
        <v>35</v>
      </c>
      <c r="C8" s="7" t="s">
        <v>35</v>
      </c>
    </row>
    <row r="9" spans="1:3" x14ac:dyDescent="0.25">
      <c r="A9" s="8">
        <v>30</v>
      </c>
      <c r="B9" s="9" t="s">
        <v>36</v>
      </c>
      <c r="C9" s="9" t="s">
        <v>38</v>
      </c>
    </row>
    <row r="10" spans="1:3" x14ac:dyDescent="0.25">
      <c r="A10" s="35">
        <v>34</v>
      </c>
      <c r="B10" s="36" t="s">
        <v>311</v>
      </c>
      <c r="C10" s="36" t="s">
        <v>316</v>
      </c>
    </row>
    <row r="11" spans="1:3" x14ac:dyDescent="0.25">
      <c r="A11" s="41">
        <v>33</v>
      </c>
      <c r="B11" s="42" t="s">
        <v>350</v>
      </c>
      <c r="C11" s="42" t="s">
        <v>38</v>
      </c>
    </row>
    <row r="12" spans="1:3" x14ac:dyDescent="0.25">
      <c r="A12" s="35">
        <v>36</v>
      </c>
      <c r="B12" s="36" t="s">
        <v>351</v>
      </c>
      <c r="C12" s="36" t="s">
        <v>38</v>
      </c>
    </row>
    <row r="13" spans="1:3" x14ac:dyDescent="0.25">
      <c r="A13" s="41">
        <v>35</v>
      </c>
      <c r="B13" s="42" t="s">
        <v>352</v>
      </c>
      <c r="C13" s="4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8A0B-190E-41B2-9131-D71EBAF8529B}">
  <sheetPr codeName="Planilha5"/>
  <dimension ref="A1:H49"/>
  <sheetViews>
    <sheetView tabSelected="1" workbookViewId="0">
      <selection activeCell="B6" sqref="B6"/>
    </sheetView>
  </sheetViews>
  <sheetFormatPr defaultRowHeight="15" x14ac:dyDescent="0.25"/>
  <cols>
    <col min="1" max="1" width="19" bestFit="1" customWidth="1"/>
    <col min="2" max="2" width="29.85546875" bestFit="1" customWidth="1"/>
    <col min="6" max="6" width="13.140625" bestFit="1" customWidth="1"/>
    <col min="7" max="7" width="7" customWidth="1"/>
  </cols>
  <sheetData>
    <row r="1" spans="1:8" x14ac:dyDescent="0.25">
      <c r="A1" t="s">
        <v>79</v>
      </c>
      <c r="B1" t="s">
        <v>80</v>
      </c>
    </row>
    <row r="2" spans="1:8" x14ac:dyDescent="0.25">
      <c r="A2">
        <v>1</v>
      </c>
      <c r="B2" s="1" t="s">
        <v>47</v>
      </c>
    </row>
    <row r="3" spans="1:8" x14ac:dyDescent="0.25">
      <c r="A3">
        <v>2</v>
      </c>
      <c r="B3" s="1" t="s">
        <v>19</v>
      </c>
    </row>
    <row r="4" spans="1:8" x14ac:dyDescent="0.25">
      <c r="A4">
        <v>3</v>
      </c>
      <c r="B4" s="1" t="s">
        <v>46</v>
      </c>
    </row>
    <row r="5" spans="1:8" x14ac:dyDescent="0.25">
      <c r="A5">
        <v>4</v>
      </c>
      <c r="B5" s="1" t="s">
        <v>20</v>
      </c>
      <c r="G5" t="s">
        <v>800</v>
      </c>
    </row>
    <row r="6" spans="1:8" x14ac:dyDescent="0.25">
      <c r="A6">
        <v>5</v>
      </c>
      <c r="B6" s="37" t="s">
        <v>52</v>
      </c>
      <c r="H6" t="s">
        <v>798</v>
      </c>
    </row>
    <row r="7" spans="1:8" x14ac:dyDescent="0.25">
      <c r="A7">
        <v>6</v>
      </c>
      <c r="B7" s="38" t="s">
        <v>66</v>
      </c>
      <c r="F7" t="s">
        <v>799</v>
      </c>
    </row>
    <row r="8" spans="1:8" x14ac:dyDescent="0.25">
      <c r="A8">
        <v>7</v>
      </c>
      <c r="B8" s="1" t="s">
        <v>55</v>
      </c>
    </row>
    <row r="9" spans="1:8" x14ac:dyDescent="0.25">
      <c r="A9">
        <v>8</v>
      </c>
      <c r="B9" s="1" t="s">
        <v>76</v>
      </c>
    </row>
    <row r="10" spans="1:8" x14ac:dyDescent="0.25">
      <c r="A10">
        <v>9</v>
      </c>
      <c r="B10" s="1" t="s">
        <v>75</v>
      </c>
    </row>
    <row r="11" spans="1:8" x14ac:dyDescent="0.25">
      <c r="A11">
        <v>10</v>
      </c>
      <c r="B11" s="1" t="s">
        <v>50</v>
      </c>
    </row>
    <row r="12" spans="1:8" x14ac:dyDescent="0.25">
      <c r="A12">
        <v>11</v>
      </c>
      <c r="B12" s="37" t="s">
        <v>51</v>
      </c>
    </row>
    <row r="13" spans="1:8" x14ac:dyDescent="0.25">
      <c r="A13">
        <v>13</v>
      </c>
      <c r="B13" s="37" t="s">
        <v>65</v>
      </c>
    </row>
    <row r="14" spans="1:8" x14ac:dyDescent="0.25">
      <c r="A14">
        <v>14</v>
      </c>
      <c r="B14" s="37" t="s">
        <v>57</v>
      </c>
    </row>
    <row r="15" spans="1:8" x14ac:dyDescent="0.25">
      <c r="A15">
        <v>15</v>
      </c>
      <c r="B15" s="1" t="s">
        <v>54</v>
      </c>
    </row>
    <row r="16" spans="1:8" x14ac:dyDescent="0.25">
      <c r="A16">
        <v>16</v>
      </c>
      <c r="B16" s="1" t="s">
        <v>56</v>
      </c>
    </row>
    <row r="17" spans="1:2" x14ac:dyDescent="0.25">
      <c r="A17">
        <v>18</v>
      </c>
      <c r="B17" s="37" t="s">
        <v>67</v>
      </c>
    </row>
    <row r="18" spans="1:2" x14ac:dyDescent="0.25">
      <c r="A18">
        <v>21</v>
      </c>
      <c r="B18" s="37" t="s">
        <v>49</v>
      </c>
    </row>
    <row r="19" spans="1:2" x14ac:dyDescent="0.25">
      <c r="A19">
        <v>22</v>
      </c>
      <c r="B19" s="1" t="s">
        <v>64</v>
      </c>
    </row>
    <row r="20" spans="1:2" x14ac:dyDescent="0.25">
      <c r="A20">
        <v>23</v>
      </c>
      <c r="B20" s="1" t="s">
        <v>62</v>
      </c>
    </row>
    <row r="21" spans="1:2" x14ac:dyDescent="0.25">
      <c r="A21">
        <v>24</v>
      </c>
      <c r="B21" s="1" t="s">
        <v>72</v>
      </c>
    </row>
    <row r="22" spans="1:2" x14ac:dyDescent="0.25">
      <c r="A22">
        <v>25</v>
      </c>
      <c r="B22" s="1" t="s">
        <v>68</v>
      </c>
    </row>
    <row r="23" spans="1:2" x14ac:dyDescent="0.25">
      <c r="A23">
        <v>26</v>
      </c>
      <c r="B23" s="37" t="s">
        <v>71</v>
      </c>
    </row>
    <row r="24" spans="1:2" x14ac:dyDescent="0.25">
      <c r="A24">
        <v>27</v>
      </c>
      <c r="B24" s="1" t="s">
        <v>21</v>
      </c>
    </row>
    <row r="25" spans="1:2" x14ac:dyDescent="0.25">
      <c r="A25">
        <v>28</v>
      </c>
      <c r="B25" s="1" t="s">
        <v>22</v>
      </c>
    </row>
    <row r="26" spans="1:2" x14ac:dyDescent="0.25">
      <c r="A26">
        <v>29</v>
      </c>
      <c r="B26" s="37" t="s">
        <v>24</v>
      </c>
    </row>
    <row r="27" spans="1:2" x14ac:dyDescent="0.25">
      <c r="A27">
        <v>31</v>
      </c>
      <c r="B27" s="37" t="s">
        <v>60</v>
      </c>
    </row>
    <row r="28" spans="1:2" x14ac:dyDescent="0.25">
      <c r="A28">
        <v>32</v>
      </c>
      <c r="B28" s="1" t="s">
        <v>23</v>
      </c>
    </row>
    <row r="29" spans="1:2" x14ac:dyDescent="0.25">
      <c r="A29">
        <v>33</v>
      </c>
      <c r="B29" s="1" t="s">
        <v>69</v>
      </c>
    </row>
    <row r="30" spans="1:2" x14ac:dyDescent="0.25">
      <c r="A30">
        <v>34</v>
      </c>
      <c r="B30" s="1" t="s">
        <v>42</v>
      </c>
    </row>
    <row r="31" spans="1:2" x14ac:dyDescent="0.25">
      <c r="A31">
        <v>37</v>
      </c>
      <c r="B31" s="1" t="s">
        <v>70</v>
      </c>
    </row>
    <row r="32" spans="1:2" x14ac:dyDescent="0.25">
      <c r="A32">
        <v>38</v>
      </c>
      <c r="B32" s="37" t="s">
        <v>59</v>
      </c>
    </row>
    <row r="33" spans="1:2" x14ac:dyDescent="0.25">
      <c r="A33">
        <v>41</v>
      </c>
      <c r="B33" s="1" t="s">
        <v>43</v>
      </c>
    </row>
    <row r="34" spans="1:2" x14ac:dyDescent="0.25">
      <c r="A34">
        <v>42</v>
      </c>
      <c r="B34" s="1" t="s">
        <v>45</v>
      </c>
    </row>
    <row r="35" spans="1:2" x14ac:dyDescent="0.25">
      <c r="A35">
        <v>46</v>
      </c>
      <c r="B35" s="1" t="s">
        <v>44</v>
      </c>
    </row>
    <row r="36" spans="1:2" x14ac:dyDescent="0.25">
      <c r="A36">
        <v>52</v>
      </c>
      <c r="B36" s="1" t="s">
        <v>41</v>
      </c>
    </row>
    <row r="37" spans="1:2" x14ac:dyDescent="0.25">
      <c r="A37">
        <v>54</v>
      </c>
      <c r="B37" s="37" t="s">
        <v>61</v>
      </c>
    </row>
    <row r="38" spans="1:2" x14ac:dyDescent="0.25">
      <c r="A38">
        <v>57</v>
      </c>
      <c r="B38" s="1" t="s">
        <v>82</v>
      </c>
    </row>
    <row r="39" spans="1:2" x14ac:dyDescent="0.25">
      <c r="A39">
        <v>58</v>
      </c>
      <c r="B39" s="37" t="s">
        <v>63</v>
      </c>
    </row>
    <row r="40" spans="1:2" x14ac:dyDescent="0.25">
      <c r="A40">
        <v>59</v>
      </c>
      <c r="B40" s="1" t="s">
        <v>58</v>
      </c>
    </row>
    <row r="41" spans="1:2" x14ac:dyDescent="0.25">
      <c r="A41">
        <v>61</v>
      </c>
      <c r="B41" s="1" t="s">
        <v>25</v>
      </c>
    </row>
    <row r="42" spans="1:2" x14ac:dyDescent="0.25">
      <c r="A42">
        <v>68</v>
      </c>
      <c r="B42" s="37" t="s">
        <v>53</v>
      </c>
    </row>
    <row r="43" spans="1:2" x14ac:dyDescent="0.25">
      <c r="A43">
        <v>69</v>
      </c>
      <c r="B43" s="1" t="s">
        <v>83</v>
      </c>
    </row>
    <row r="44" spans="1:2" x14ac:dyDescent="0.25">
      <c r="A44">
        <v>71</v>
      </c>
      <c r="B44" s="1" t="s">
        <v>40</v>
      </c>
    </row>
    <row r="45" spans="1:2" x14ac:dyDescent="0.25">
      <c r="A45">
        <v>74</v>
      </c>
      <c r="B45" s="1" t="s">
        <v>73</v>
      </c>
    </row>
    <row r="46" spans="1:2" x14ac:dyDescent="0.25">
      <c r="A46">
        <v>77</v>
      </c>
      <c r="B46" s="1" t="s">
        <v>26</v>
      </c>
    </row>
    <row r="47" spans="1:2" x14ac:dyDescent="0.25">
      <c r="A47">
        <v>79</v>
      </c>
      <c r="B47" s="1" t="s">
        <v>81</v>
      </c>
    </row>
    <row r="48" spans="1:2" x14ac:dyDescent="0.25">
      <c r="A48">
        <v>301</v>
      </c>
      <c r="B48" s="1" t="s">
        <v>141</v>
      </c>
    </row>
    <row r="49" spans="1:2" x14ac:dyDescent="0.25">
      <c r="A49">
        <v>302</v>
      </c>
      <c r="B49" s="1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3BE28-D983-45AE-9AEF-13D8EDAB9BD2}">
  <sheetPr codeName="Planilha6">
    <tabColor theme="7"/>
  </sheetPr>
  <dimension ref="A1:Q2011"/>
  <sheetViews>
    <sheetView topLeftCell="B1" workbookViewId="0">
      <selection activeCell="R7" sqref="R7"/>
    </sheetView>
  </sheetViews>
  <sheetFormatPr defaultRowHeight="15" x14ac:dyDescent="0.25"/>
  <cols>
    <col min="1" max="1" width="10.7109375" bestFit="1" customWidth="1"/>
    <col min="2" max="2" width="12.7109375" bestFit="1" customWidth="1"/>
    <col min="3" max="3" width="17.42578125" bestFit="1" customWidth="1"/>
    <col min="4" max="4" width="9.5703125" bestFit="1" customWidth="1"/>
    <col min="5" max="5" width="15.7109375" bestFit="1" customWidth="1"/>
    <col min="6" max="6" width="41.85546875" bestFit="1" customWidth="1"/>
    <col min="7" max="7" width="13.7109375" bestFit="1" customWidth="1"/>
    <col min="8" max="8" width="13.140625" bestFit="1" customWidth="1"/>
    <col min="9" max="9" width="8.42578125" bestFit="1" customWidth="1"/>
    <col min="10" max="10" width="7.7109375" bestFit="1" customWidth="1"/>
    <col min="11" max="11" width="12.85546875" bestFit="1" customWidth="1"/>
    <col min="12" max="12" width="16" bestFit="1" customWidth="1"/>
    <col min="13" max="13" width="12.85546875" bestFit="1" customWidth="1"/>
    <col min="14" max="14" width="17.42578125" bestFit="1" customWidth="1"/>
    <col min="15" max="15" width="24.42578125" bestFit="1" customWidth="1"/>
    <col min="16" max="16" width="16.140625" bestFit="1" customWidth="1"/>
    <col min="17" max="17" width="17.42578125" bestFit="1" customWidth="1"/>
  </cols>
  <sheetData>
    <row r="1" spans="1:17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106</v>
      </c>
      <c r="G1" t="s">
        <v>13</v>
      </c>
      <c r="H1" t="s">
        <v>14</v>
      </c>
      <c r="I1" s="32" t="s">
        <v>15</v>
      </c>
      <c r="J1" t="s">
        <v>16</v>
      </c>
      <c r="K1" t="s">
        <v>17</v>
      </c>
      <c r="L1" t="s">
        <v>18</v>
      </c>
      <c r="M1" t="s">
        <v>28</v>
      </c>
      <c r="N1" t="s">
        <v>37</v>
      </c>
      <c r="O1" t="s">
        <v>85</v>
      </c>
      <c r="P1" t="s">
        <v>380</v>
      </c>
      <c r="Q1" s="32" t="s">
        <v>792</v>
      </c>
    </row>
    <row r="2" spans="1:17" hidden="1" x14ac:dyDescent="0.25">
      <c r="A2" s="2">
        <v>44733</v>
      </c>
      <c r="B2">
        <v>22</v>
      </c>
      <c r="C2">
        <v>1</v>
      </c>
      <c r="D2">
        <v>51</v>
      </c>
      <c r="E2">
        <v>111</v>
      </c>
      <c r="F2" s="1" t="s">
        <v>114</v>
      </c>
      <c r="G2">
        <v>0</v>
      </c>
      <c r="H2">
        <v>31</v>
      </c>
      <c r="I2">
        <v>10</v>
      </c>
      <c r="J2">
        <v>41</v>
      </c>
      <c r="K2" s="33">
        <v>0.75609999999999999</v>
      </c>
      <c r="L2" s="1"/>
      <c r="M2" s="1"/>
      <c r="N2" s="1"/>
      <c r="O2" s="1"/>
      <c r="P2" s="1"/>
      <c r="Q2" s="1"/>
    </row>
    <row r="3" spans="1:17" hidden="1" x14ac:dyDescent="0.25">
      <c r="A3" s="2"/>
      <c r="F3" s="1"/>
      <c r="K3" s="33"/>
      <c r="L3" s="1"/>
      <c r="M3" s="1"/>
      <c r="N3" s="1"/>
      <c r="O3" s="1"/>
      <c r="P3" s="1"/>
      <c r="Q3" s="1"/>
    </row>
    <row r="4" spans="1:17" hidden="1" x14ac:dyDescent="0.25">
      <c r="A4" s="2">
        <v>44733</v>
      </c>
      <c r="B4">
        <v>22</v>
      </c>
      <c r="C4">
        <v>1</v>
      </c>
      <c r="D4">
        <v>335</v>
      </c>
      <c r="E4">
        <v>9111</v>
      </c>
      <c r="F4" s="1" t="s">
        <v>101</v>
      </c>
      <c r="G4">
        <v>0</v>
      </c>
      <c r="H4">
        <v>34</v>
      </c>
      <c r="I4">
        <v>1</v>
      </c>
      <c r="J4">
        <v>35</v>
      </c>
      <c r="K4" s="33">
        <v>0.97140000000000004</v>
      </c>
      <c r="L4" s="1"/>
      <c r="M4" s="1"/>
      <c r="N4" s="1"/>
      <c r="O4" s="1"/>
      <c r="P4" s="1"/>
      <c r="Q4" s="1"/>
    </row>
    <row r="5" spans="1:17" hidden="1" x14ac:dyDescent="0.25">
      <c r="A5" s="2"/>
      <c r="F5" s="1"/>
      <c r="K5" s="33"/>
      <c r="L5" s="1"/>
      <c r="M5" s="1"/>
      <c r="N5" s="1"/>
      <c r="O5" s="1"/>
      <c r="P5" s="1"/>
      <c r="Q5" s="1"/>
    </row>
    <row r="6" spans="1:17" x14ac:dyDescent="0.25">
      <c r="A6" s="2">
        <v>44733</v>
      </c>
      <c r="B6">
        <v>22</v>
      </c>
      <c r="C6">
        <v>1</v>
      </c>
      <c r="D6">
        <v>51</v>
      </c>
      <c r="E6">
        <v>11207</v>
      </c>
      <c r="F6" s="1" t="s">
        <v>120</v>
      </c>
      <c r="G6">
        <v>0</v>
      </c>
      <c r="H6">
        <v>9</v>
      </c>
      <c r="I6">
        <v>1</v>
      </c>
      <c r="J6">
        <v>10</v>
      </c>
      <c r="K6" s="33">
        <v>0.9</v>
      </c>
      <c r="L6" s="1"/>
      <c r="M6" s="1" t="str">
        <f>_xlfn.XLOOKUP(ocupacao[[#This Row],[UnidadeID]],unidades!$A:$A,unidades!$B:$B,"",0)</f>
        <v>Filial 1</v>
      </c>
      <c r="N6" s="1" t="str">
        <f>_xlfn.XLOOKUP(ocupacao[[#This Row],[UnidadeID]],unidades!$A:$A,unidades!$C:$C,"",0)</f>
        <v>Nova Iguaçu</v>
      </c>
      <c r="O6" s="1" t="str">
        <f>_xlfn.XLOOKUP(ocupacao[[#This Row],[EspecialidadeID]],especialidades!$A:$A,especialidades!$B:$B,"",0)</f>
        <v>ULTRASSONOGRAFIA</v>
      </c>
      <c r="P6" s="1" t="str">
        <f>TEXT(WEEKDAY(ocupacao[[#This Row],[Data]]),"ddd")</f>
        <v>ter</v>
      </c>
      <c r="Q6" s="1">
        <f t="shared" ref="Q6:Q65" si="0">IF(F6=F7,1,0)</f>
        <v>0</v>
      </c>
    </row>
    <row r="7" spans="1:17" x14ac:dyDescent="0.25">
      <c r="A7" s="2">
        <v>44733</v>
      </c>
      <c r="B7">
        <v>34</v>
      </c>
      <c r="C7">
        <v>1</v>
      </c>
      <c r="D7">
        <v>377</v>
      </c>
      <c r="E7">
        <v>12752</v>
      </c>
      <c r="F7" s="1" t="s">
        <v>110</v>
      </c>
      <c r="G7">
        <v>0</v>
      </c>
      <c r="H7">
        <v>8</v>
      </c>
      <c r="I7">
        <v>3</v>
      </c>
      <c r="J7">
        <v>11</v>
      </c>
      <c r="K7" s="33">
        <v>0.72729999999999995</v>
      </c>
      <c r="L7" s="1"/>
      <c r="M7" s="1" t="str">
        <f>_xlfn.XLOOKUP(ocupacao[[#This Row],[UnidadeID]],unidades!$A:$A,unidades!$B:$B,"",0)</f>
        <v>São João</v>
      </c>
      <c r="N7" s="1" t="str">
        <f>_xlfn.XLOOKUP(ocupacao[[#This Row],[UnidadeID]],unidades!$A:$A,unidades!$C:$C,"",0)</f>
        <v>São João de Meriti</v>
      </c>
      <c r="O7" s="1" t="str">
        <f>_xlfn.XLOOKUP(ocupacao[[#This Row],[EspecialidadeID]],especialidades!$A:$A,especialidades!$B:$B,"",0)</f>
        <v>ULTRASSONOGRAFIA</v>
      </c>
      <c r="P7" s="1" t="str">
        <f>TEXT(WEEKDAY(ocupacao[[#This Row],[Data]]),"ddd")</f>
        <v>ter</v>
      </c>
      <c r="Q7" s="1">
        <f t="shared" si="0"/>
        <v>0</v>
      </c>
    </row>
    <row r="8" spans="1:17" hidden="1" x14ac:dyDescent="0.25">
      <c r="A8" s="2"/>
      <c r="F8" s="1"/>
      <c r="K8" s="33"/>
      <c r="L8" s="1"/>
      <c r="M8" s="1"/>
      <c r="N8" s="1"/>
      <c r="O8" s="1"/>
      <c r="P8" s="1"/>
      <c r="Q8" s="1"/>
    </row>
    <row r="9" spans="1:17" hidden="1" x14ac:dyDescent="0.25">
      <c r="A9" s="2">
        <v>44733</v>
      </c>
      <c r="B9">
        <v>11</v>
      </c>
      <c r="C9">
        <v>1</v>
      </c>
      <c r="D9">
        <v>15</v>
      </c>
      <c r="E9">
        <v>17859</v>
      </c>
      <c r="F9" s="1" t="s">
        <v>136</v>
      </c>
      <c r="G9">
        <v>0</v>
      </c>
      <c r="H9">
        <v>11</v>
      </c>
      <c r="I9">
        <v>9</v>
      </c>
      <c r="J9">
        <v>20</v>
      </c>
      <c r="K9" s="33">
        <v>0.55000000000000004</v>
      </c>
      <c r="L9" s="1"/>
      <c r="M9" s="1"/>
      <c r="N9" s="1"/>
      <c r="O9" s="1"/>
      <c r="P9" s="1"/>
      <c r="Q9" s="1"/>
    </row>
    <row r="10" spans="1:17" x14ac:dyDescent="0.25">
      <c r="A10" s="2">
        <v>44733</v>
      </c>
      <c r="B10">
        <v>22</v>
      </c>
      <c r="C10">
        <v>1</v>
      </c>
      <c r="D10">
        <v>43</v>
      </c>
      <c r="E10">
        <v>17859</v>
      </c>
      <c r="F10" s="1" t="s">
        <v>136</v>
      </c>
      <c r="G10">
        <v>0</v>
      </c>
      <c r="H10">
        <v>7</v>
      </c>
      <c r="I10">
        <v>9</v>
      </c>
      <c r="J10">
        <v>16</v>
      </c>
      <c r="K10" s="33">
        <v>0.4375</v>
      </c>
      <c r="L10" s="1"/>
      <c r="M10" s="1" t="str">
        <f>_xlfn.XLOOKUP(ocupacao[[#This Row],[UnidadeID]],unidades!$A:$A,unidades!$B:$B,"",0)</f>
        <v>Filial 1</v>
      </c>
      <c r="N10" s="1" t="str">
        <f>_xlfn.XLOOKUP(ocupacao[[#This Row],[UnidadeID]],unidades!$A:$A,unidades!$C:$C,"",0)</f>
        <v>Nova Iguaçu</v>
      </c>
      <c r="O10" s="1" t="str">
        <f>_xlfn.XLOOKUP(ocupacao[[#This Row],[EspecialidadeID]],especialidades!$A:$A,especialidades!$B:$B,"",0)</f>
        <v>ULTRASSONOGRAFIA</v>
      </c>
      <c r="P10" s="1" t="str">
        <f>TEXT(WEEKDAY(ocupacao[[#This Row],[Data]]),"ddd")</f>
        <v>ter</v>
      </c>
      <c r="Q10" s="1">
        <f t="shared" si="0"/>
        <v>0</v>
      </c>
    </row>
    <row r="11" spans="1:17" hidden="1" x14ac:dyDescent="0.25">
      <c r="A11" s="2">
        <v>44734</v>
      </c>
      <c r="B11">
        <v>22</v>
      </c>
      <c r="C11">
        <v>1</v>
      </c>
      <c r="D11">
        <v>334</v>
      </c>
      <c r="E11">
        <v>110</v>
      </c>
      <c r="F11" s="1" t="s">
        <v>131</v>
      </c>
      <c r="G11">
        <v>0</v>
      </c>
      <c r="H11">
        <v>0</v>
      </c>
      <c r="I11">
        <v>3</v>
      </c>
      <c r="J11">
        <v>3</v>
      </c>
      <c r="K11" s="33">
        <v>0</v>
      </c>
      <c r="L11" s="1"/>
      <c r="M11" s="1"/>
      <c r="N11" s="1"/>
      <c r="O11" s="1"/>
      <c r="P11" s="1"/>
      <c r="Q11" s="1"/>
    </row>
    <row r="12" spans="1:17" x14ac:dyDescent="0.25">
      <c r="A12" s="2">
        <v>44734</v>
      </c>
      <c r="B12">
        <v>22</v>
      </c>
      <c r="C12">
        <v>1</v>
      </c>
      <c r="D12">
        <v>334</v>
      </c>
      <c r="E12">
        <v>110</v>
      </c>
      <c r="F12" s="1" t="s">
        <v>131</v>
      </c>
      <c r="G12">
        <v>0</v>
      </c>
      <c r="H12">
        <v>38</v>
      </c>
      <c r="I12">
        <v>3</v>
      </c>
      <c r="J12">
        <v>41</v>
      </c>
      <c r="K12" s="33">
        <v>0.92679999999999996</v>
      </c>
      <c r="L12" s="1"/>
      <c r="M12" s="1" t="str">
        <f>_xlfn.XLOOKUP(ocupacao[[#This Row],[UnidadeID]],unidades!$A:$A,unidades!$B:$B,"",0)</f>
        <v>Filial 1</v>
      </c>
      <c r="N12" s="1" t="str">
        <f>_xlfn.XLOOKUP(ocupacao[[#This Row],[UnidadeID]],unidades!$A:$A,unidades!$C:$C,"",0)</f>
        <v>Nova Iguaçu</v>
      </c>
      <c r="O12" s="1" t="str">
        <f>_xlfn.XLOOKUP(ocupacao[[#This Row],[EspecialidadeID]],especialidades!$A:$A,especialidades!$B:$B,"",0)</f>
        <v>ULTRASSONOGRAFIA</v>
      </c>
      <c r="P12" s="1" t="str">
        <f>TEXT(WEEKDAY(ocupacao[[#This Row],[Data]]),"ddd")</f>
        <v>qua</v>
      </c>
      <c r="Q12" s="1">
        <f t="shared" si="0"/>
        <v>0</v>
      </c>
    </row>
    <row r="13" spans="1:17" x14ac:dyDescent="0.25">
      <c r="A13" s="2">
        <v>44734</v>
      </c>
      <c r="B13">
        <v>22</v>
      </c>
      <c r="C13">
        <v>1</v>
      </c>
      <c r="D13">
        <v>51</v>
      </c>
      <c r="E13">
        <v>111</v>
      </c>
      <c r="F13" s="1" t="s">
        <v>114</v>
      </c>
      <c r="G13">
        <v>19</v>
      </c>
      <c r="H13">
        <v>19</v>
      </c>
      <c r="I13">
        <v>2</v>
      </c>
      <c r="J13">
        <v>40</v>
      </c>
      <c r="K13" s="33">
        <v>0.95</v>
      </c>
      <c r="L13" s="1"/>
      <c r="M13" s="1" t="str">
        <f>_xlfn.XLOOKUP(ocupacao[[#This Row],[UnidadeID]],unidades!$A:$A,unidades!$B:$B,"",0)</f>
        <v>Filial 1</v>
      </c>
      <c r="N13" s="1" t="str">
        <f>_xlfn.XLOOKUP(ocupacao[[#This Row],[UnidadeID]],unidades!$A:$A,unidades!$C:$C,"",0)</f>
        <v>Nova Iguaçu</v>
      </c>
      <c r="O13" s="1" t="str">
        <f>_xlfn.XLOOKUP(ocupacao[[#This Row],[EspecialidadeID]],especialidades!$A:$A,especialidades!$B:$B,"",0)</f>
        <v>ULTRASSONOGRAFIA</v>
      </c>
      <c r="P13" s="1" t="str">
        <f>TEXT(WEEKDAY(ocupacao[[#This Row],[Data]]),"ddd")</f>
        <v>qua</v>
      </c>
      <c r="Q13" s="1">
        <f t="shared" si="0"/>
        <v>1</v>
      </c>
    </row>
    <row r="14" spans="1:17" hidden="1" x14ac:dyDescent="0.25">
      <c r="A14" s="2">
        <v>44734</v>
      </c>
      <c r="B14">
        <v>22</v>
      </c>
      <c r="C14">
        <v>1</v>
      </c>
      <c r="D14">
        <v>51</v>
      </c>
      <c r="E14">
        <v>111</v>
      </c>
      <c r="F14" s="1" t="s">
        <v>114</v>
      </c>
      <c r="G14">
        <v>0</v>
      </c>
      <c r="H14">
        <v>11</v>
      </c>
      <c r="I14">
        <v>0</v>
      </c>
      <c r="J14">
        <v>11</v>
      </c>
      <c r="K14" s="33">
        <v>1</v>
      </c>
      <c r="L14" s="1"/>
      <c r="M14" s="1"/>
      <c r="N14" s="1"/>
      <c r="O14" s="1"/>
      <c r="P14" s="1"/>
      <c r="Q14" s="1"/>
    </row>
    <row r="15" spans="1:17" x14ac:dyDescent="0.25">
      <c r="A15" s="2">
        <v>44734</v>
      </c>
      <c r="B15">
        <v>22</v>
      </c>
      <c r="C15">
        <v>1</v>
      </c>
      <c r="D15">
        <v>51</v>
      </c>
      <c r="E15">
        <v>12684</v>
      </c>
      <c r="F15" s="1" t="s">
        <v>143</v>
      </c>
      <c r="G15">
        <v>0</v>
      </c>
      <c r="H15">
        <v>20</v>
      </c>
      <c r="I15">
        <v>9</v>
      </c>
      <c r="J15">
        <v>29</v>
      </c>
      <c r="K15" s="33">
        <v>0.68969999999999998</v>
      </c>
      <c r="L15" s="1"/>
      <c r="M15" s="1" t="str">
        <f>_xlfn.XLOOKUP(ocupacao[[#This Row],[UnidadeID]],unidades!$A:$A,unidades!$B:$B,"",0)</f>
        <v>Filial 1</v>
      </c>
      <c r="N15" s="1" t="str">
        <f>_xlfn.XLOOKUP(ocupacao[[#This Row],[UnidadeID]],unidades!$A:$A,unidades!$C:$C,"",0)</f>
        <v>Nova Iguaçu</v>
      </c>
      <c r="O15" s="1" t="str">
        <f>_xlfn.XLOOKUP(ocupacao[[#This Row],[EspecialidadeID]],especialidades!$A:$A,especialidades!$B:$B,"",0)</f>
        <v>ULTRASSONOGRAFIA</v>
      </c>
      <c r="P15" s="1" t="str">
        <f>TEXT(WEEKDAY(ocupacao[[#This Row],[Data]]),"ddd")</f>
        <v>qua</v>
      </c>
      <c r="Q15" s="1">
        <f t="shared" si="0"/>
        <v>0</v>
      </c>
    </row>
    <row r="16" spans="1:17" hidden="1" x14ac:dyDescent="0.25">
      <c r="A16" s="2">
        <v>44735</v>
      </c>
      <c r="B16">
        <v>22</v>
      </c>
      <c r="C16">
        <v>1</v>
      </c>
      <c r="D16">
        <v>335</v>
      </c>
      <c r="E16">
        <v>2334</v>
      </c>
      <c r="F16" s="1" t="s">
        <v>145</v>
      </c>
      <c r="G16">
        <v>0</v>
      </c>
      <c r="H16">
        <v>1</v>
      </c>
      <c r="I16">
        <v>0</v>
      </c>
      <c r="J16">
        <v>1</v>
      </c>
      <c r="K16" s="33">
        <v>1</v>
      </c>
      <c r="L16" s="1"/>
      <c r="M16" s="1"/>
      <c r="N16" s="1"/>
      <c r="O16" s="1"/>
      <c r="P16" s="1"/>
      <c r="Q16" s="1"/>
    </row>
    <row r="17" spans="1:17" hidden="1" x14ac:dyDescent="0.25">
      <c r="A17" s="2"/>
      <c r="F17" s="1"/>
      <c r="K17" s="33"/>
      <c r="L17" s="1"/>
      <c r="M17" s="1"/>
      <c r="N17" s="1"/>
      <c r="O17" s="1"/>
      <c r="P17" s="1"/>
      <c r="Q17" s="1"/>
    </row>
    <row r="18" spans="1:17" x14ac:dyDescent="0.25">
      <c r="A18" s="2">
        <v>44735</v>
      </c>
      <c r="B18">
        <v>22</v>
      </c>
      <c r="C18">
        <v>1</v>
      </c>
      <c r="D18">
        <v>334</v>
      </c>
      <c r="E18">
        <v>9111</v>
      </c>
      <c r="F18" s="1" t="s">
        <v>101</v>
      </c>
      <c r="G18">
        <v>0</v>
      </c>
      <c r="H18">
        <v>41</v>
      </c>
      <c r="I18">
        <v>6</v>
      </c>
      <c r="J18">
        <v>47</v>
      </c>
      <c r="K18" s="33">
        <v>0.87229999999999996</v>
      </c>
      <c r="L18" s="1"/>
      <c r="M18" s="1" t="str">
        <f>_xlfn.XLOOKUP(ocupacao[[#This Row],[UnidadeID]],unidades!$A:$A,unidades!$B:$B,"",0)</f>
        <v>Filial 1</v>
      </c>
      <c r="N18" s="1" t="str">
        <f>_xlfn.XLOOKUP(ocupacao[[#This Row],[UnidadeID]],unidades!$A:$A,unidades!$C:$C,"",0)</f>
        <v>Nova Iguaçu</v>
      </c>
      <c r="O18" s="1" t="str">
        <f>_xlfn.XLOOKUP(ocupacao[[#This Row],[EspecialidadeID]],especialidades!$A:$A,especialidades!$B:$B,"",0)</f>
        <v>ULTRASSONOGRAFIA</v>
      </c>
      <c r="P18" s="1" t="str">
        <f>TEXT(WEEKDAY(ocupacao[[#This Row],[Data]]),"ddd")</f>
        <v>qui</v>
      </c>
      <c r="Q18" s="1">
        <f t="shared" si="0"/>
        <v>0</v>
      </c>
    </row>
    <row r="19" spans="1:17" hidden="1" x14ac:dyDescent="0.25">
      <c r="A19" s="2"/>
      <c r="F19" s="1"/>
      <c r="K19" s="33"/>
      <c r="L19" s="1"/>
      <c r="M19" s="1"/>
      <c r="N19" s="1"/>
      <c r="O19" s="1"/>
      <c r="P19" s="1"/>
      <c r="Q19" s="1"/>
    </row>
    <row r="20" spans="1:17" x14ac:dyDescent="0.25">
      <c r="A20" s="2">
        <v>44735</v>
      </c>
      <c r="B20">
        <v>22</v>
      </c>
      <c r="C20">
        <v>1</v>
      </c>
      <c r="D20">
        <v>51</v>
      </c>
      <c r="E20">
        <v>11207</v>
      </c>
      <c r="F20" s="1" t="s">
        <v>120</v>
      </c>
      <c r="G20">
        <v>0</v>
      </c>
      <c r="H20">
        <v>5</v>
      </c>
      <c r="I20">
        <v>6</v>
      </c>
      <c r="J20">
        <v>11</v>
      </c>
      <c r="K20" s="33">
        <v>0.45450000000000002</v>
      </c>
      <c r="L20" s="1"/>
      <c r="M20" s="1" t="str">
        <f>_xlfn.XLOOKUP(ocupacao[[#This Row],[UnidadeID]],unidades!$A:$A,unidades!$B:$B,"",0)</f>
        <v>Filial 1</v>
      </c>
      <c r="N20" s="1" t="str">
        <f>_xlfn.XLOOKUP(ocupacao[[#This Row],[UnidadeID]],unidades!$A:$A,unidades!$C:$C,"",0)</f>
        <v>Nova Iguaçu</v>
      </c>
      <c r="O20" s="1" t="str">
        <f>_xlfn.XLOOKUP(ocupacao[[#This Row],[EspecialidadeID]],especialidades!$A:$A,especialidades!$B:$B,"",0)</f>
        <v>ULTRASSONOGRAFIA</v>
      </c>
      <c r="P20" s="1" t="str">
        <f>TEXT(WEEKDAY(ocupacao[[#This Row],[Data]]),"ddd")</f>
        <v>qui</v>
      </c>
      <c r="Q20" s="1">
        <f t="shared" si="0"/>
        <v>0</v>
      </c>
    </row>
    <row r="21" spans="1:17" hidden="1" x14ac:dyDescent="0.25">
      <c r="A21" s="2">
        <v>44735</v>
      </c>
      <c r="B21">
        <v>22</v>
      </c>
      <c r="C21">
        <v>1</v>
      </c>
      <c r="D21">
        <v>336</v>
      </c>
      <c r="E21">
        <v>11312</v>
      </c>
      <c r="F21" s="1" t="s">
        <v>107</v>
      </c>
      <c r="G21">
        <v>0</v>
      </c>
      <c r="H21">
        <v>28</v>
      </c>
      <c r="I21">
        <v>1</v>
      </c>
      <c r="J21">
        <v>29</v>
      </c>
      <c r="K21" s="33">
        <v>0.96550000000000002</v>
      </c>
      <c r="L21" s="1"/>
      <c r="M21" s="1"/>
      <c r="N21" s="1"/>
      <c r="O21" s="1"/>
      <c r="P21" s="1"/>
      <c r="Q21" s="1"/>
    </row>
    <row r="22" spans="1:17" x14ac:dyDescent="0.25">
      <c r="A22" s="2">
        <v>44735</v>
      </c>
      <c r="B22">
        <v>22</v>
      </c>
      <c r="C22">
        <v>1</v>
      </c>
      <c r="D22">
        <v>51</v>
      </c>
      <c r="E22">
        <v>17928</v>
      </c>
      <c r="F22" s="1" t="s">
        <v>154</v>
      </c>
      <c r="G22">
        <v>6</v>
      </c>
      <c r="H22">
        <v>12</v>
      </c>
      <c r="I22">
        <v>24</v>
      </c>
      <c r="J22">
        <v>42</v>
      </c>
      <c r="K22" s="33">
        <v>0.42859999999999998</v>
      </c>
      <c r="L22" s="1"/>
      <c r="M22" s="1" t="str">
        <f>_xlfn.XLOOKUP(ocupacao[[#This Row],[UnidadeID]],unidades!$A:$A,unidades!$B:$B,"",0)</f>
        <v>Filial 1</v>
      </c>
      <c r="N22" s="1" t="str">
        <f>_xlfn.XLOOKUP(ocupacao[[#This Row],[UnidadeID]],unidades!$A:$A,unidades!$C:$C,"",0)</f>
        <v>Nova Iguaçu</v>
      </c>
      <c r="O22" s="1" t="str">
        <f>_xlfn.XLOOKUP(ocupacao[[#This Row],[EspecialidadeID]],especialidades!$A:$A,especialidades!$B:$B,"",0)</f>
        <v>ULTRASSONOGRAFIA</v>
      </c>
      <c r="P22" s="1" t="str">
        <f>TEXT(WEEKDAY(ocupacao[[#This Row],[Data]]),"ddd")</f>
        <v>qui</v>
      </c>
      <c r="Q22" s="1">
        <f t="shared" si="0"/>
        <v>0</v>
      </c>
    </row>
    <row r="23" spans="1:17" hidden="1" x14ac:dyDescent="0.25">
      <c r="A23" s="2">
        <v>44736</v>
      </c>
      <c r="B23">
        <v>22</v>
      </c>
      <c r="C23">
        <v>1</v>
      </c>
      <c r="D23">
        <v>335</v>
      </c>
      <c r="E23">
        <v>111</v>
      </c>
      <c r="F23" s="1" t="s">
        <v>114</v>
      </c>
      <c r="G23">
        <v>0</v>
      </c>
      <c r="H23">
        <v>10</v>
      </c>
      <c r="I23">
        <v>20</v>
      </c>
      <c r="J23">
        <v>30</v>
      </c>
      <c r="K23" s="33">
        <v>0.33329999999999999</v>
      </c>
      <c r="L23" s="1"/>
      <c r="M23" s="1"/>
      <c r="N23" s="1"/>
      <c r="O23" s="1"/>
      <c r="P23" s="1"/>
      <c r="Q23" s="1"/>
    </row>
    <row r="24" spans="1:17" hidden="1" x14ac:dyDescent="0.25">
      <c r="A24" s="2"/>
      <c r="F24" s="1"/>
      <c r="K24" s="33"/>
      <c r="L24" s="1"/>
      <c r="M24" s="1"/>
      <c r="N24" s="1"/>
      <c r="O24" s="1"/>
      <c r="P24" s="1"/>
      <c r="Q24" s="1"/>
    </row>
    <row r="25" spans="1:17" x14ac:dyDescent="0.25">
      <c r="A25" s="2">
        <v>44736</v>
      </c>
      <c r="B25">
        <v>22</v>
      </c>
      <c r="C25">
        <v>1</v>
      </c>
      <c r="D25">
        <v>51</v>
      </c>
      <c r="E25">
        <v>9111</v>
      </c>
      <c r="F25" s="1" t="s">
        <v>101</v>
      </c>
      <c r="G25">
        <v>0</v>
      </c>
      <c r="H25">
        <v>21</v>
      </c>
      <c r="I25">
        <v>23</v>
      </c>
      <c r="J25">
        <v>44</v>
      </c>
      <c r="K25" s="33">
        <v>0.4773</v>
      </c>
      <c r="L25" s="1"/>
      <c r="M25" s="1" t="str">
        <f>_xlfn.XLOOKUP(ocupacao[[#This Row],[UnidadeID]],unidades!$A:$A,unidades!$B:$B,"",0)</f>
        <v>Filial 1</v>
      </c>
      <c r="N25" s="1" t="str">
        <f>_xlfn.XLOOKUP(ocupacao[[#This Row],[UnidadeID]],unidades!$A:$A,unidades!$C:$C,"",0)</f>
        <v>Nova Iguaçu</v>
      </c>
      <c r="O25" s="1" t="str">
        <f>_xlfn.XLOOKUP(ocupacao[[#This Row],[EspecialidadeID]],especialidades!$A:$A,especialidades!$B:$B,"",0)</f>
        <v>ULTRASSONOGRAFIA</v>
      </c>
      <c r="P25" s="1" t="str">
        <f>TEXT(WEEKDAY(ocupacao[[#This Row],[Data]]),"ddd")</f>
        <v>sex</v>
      </c>
      <c r="Q25" s="1">
        <f t="shared" si="0"/>
        <v>0</v>
      </c>
    </row>
    <row r="26" spans="1:17" x14ac:dyDescent="0.25">
      <c r="A26" s="2">
        <v>44736</v>
      </c>
      <c r="B26">
        <v>18</v>
      </c>
      <c r="C26">
        <v>1</v>
      </c>
      <c r="D26">
        <v>85</v>
      </c>
      <c r="E26">
        <v>12684</v>
      </c>
      <c r="F26" s="1" t="s">
        <v>143</v>
      </c>
      <c r="G26">
        <v>0</v>
      </c>
      <c r="H26">
        <v>7</v>
      </c>
      <c r="I26">
        <v>16</v>
      </c>
      <c r="J26">
        <v>23</v>
      </c>
      <c r="K26" s="33">
        <v>0.30430000000000001</v>
      </c>
      <c r="L26" s="1"/>
      <c r="M26" s="1" t="str">
        <f>_xlfn.XLOOKUP(ocupacao[[#This Row],[UnidadeID]],unidades!$A:$A,unidades!$B:$B,"",0)</f>
        <v>Miguel Couto</v>
      </c>
      <c r="N26" s="1" t="str">
        <f>_xlfn.XLOOKUP(ocupacao[[#This Row],[UnidadeID]],unidades!$A:$A,unidades!$C:$C,"",0)</f>
        <v>Miguel Couto</v>
      </c>
      <c r="O26" s="1" t="str">
        <f>_xlfn.XLOOKUP(ocupacao[[#This Row],[EspecialidadeID]],especialidades!$A:$A,especialidades!$B:$B,"",0)</f>
        <v>ULTRASSONOGRAFIA</v>
      </c>
      <c r="P26" s="1" t="str">
        <f>TEXT(WEEKDAY(ocupacao[[#This Row],[Data]]),"ddd")</f>
        <v>sex</v>
      </c>
      <c r="Q26" s="1">
        <f t="shared" si="0"/>
        <v>1</v>
      </c>
    </row>
    <row r="27" spans="1:17" x14ac:dyDescent="0.25">
      <c r="A27" s="2">
        <v>44736</v>
      </c>
      <c r="B27">
        <v>18</v>
      </c>
      <c r="C27">
        <v>1</v>
      </c>
      <c r="D27">
        <v>85</v>
      </c>
      <c r="E27">
        <v>12684</v>
      </c>
      <c r="F27" s="1" t="s">
        <v>143</v>
      </c>
      <c r="G27">
        <v>0</v>
      </c>
      <c r="H27">
        <v>30</v>
      </c>
      <c r="I27">
        <v>16</v>
      </c>
      <c r="J27">
        <v>46</v>
      </c>
      <c r="K27" s="33">
        <v>0.6522</v>
      </c>
      <c r="L27" s="1"/>
      <c r="M27" s="1" t="str">
        <f>_xlfn.XLOOKUP(ocupacao[[#This Row],[UnidadeID]],unidades!$A:$A,unidades!$B:$B,"",0)</f>
        <v>Miguel Couto</v>
      </c>
      <c r="N27" s="1" t="str">
        <f>_xlfn.XLOOKUP(ocupacao[[#This Row],[UnidadeID]],unidades!$A:$A,unidades!$C:$C,"",0)</f>
        <v>Miguel Couto</v>
      </c>
      <c r="O27" s="1" t="str">
        <f>_xlfn.XLOOKUP(ocupacao[[#This Row],[EspecialidadeID]],especialidades!$A:$A,especialidades!$B:$B,"",0)</f>
        <v>ULTRASSONOGRAFIA</v>
      </c>
      <c r="P27" s="1" t="str">
        <f>TEXT(WEEKDAY(ocupacao[[#This Row],[Data]]),"ddd")</f>
        <v>sex</v>
      </c>
      <c r="Q27" s="1">
        <f t="shared" si="0"/>
        <v>1</v>
      </c>
    </row>
    <row r="28" spans="1:17" hidden="1" x14ac:dyDescent="0.25">
      <c r="A28" s="2">
        <v>44736</v>
      </c>
      <c r="B28">
        <v>18</v>
      </c>
      <c r="C28">
        <v>1</v>
      </c>
      <c r="D28">
        <v>85</v>
      </c>
      <c r="E28">
        <v>12684</v>
      </c>
      <c r="F28" s="1" t="s">
        <v>143</v>
      </c>
      <c r="G28">
        <v>0</v>
      </c>
      <c r="H28">
        <v>9</v>
      </c>
      <c r="I28">
        <v>16</v>
      </c>
      <c r="J28">
        <v>25</v>
      </c>
      <c r="K28" s="33">
        <v>0.36</v>
      </c>
      <c r="L28" s="1"/>
      <c r="M28" s="1"/>
      <c r="N28" s="1"/>
      <c r="O28" s="1"/>
      <c r="P28" s="1"/>
      <c r="Q28" s="1"/>
    </row>
    <row r="29" spans="1:17" hidden="1" x14ac:dyDescent="0.25">
      <c r="A29" s="2"/>
      <c r="F29" s="1"/>
      <c r="K29" s="33"/>
      <c r="L29" s="1"/>
      <c r="M29" s="1"/>
      <c r="N29" s="1"/>
      <c r="O29" s="1"/>
      <c r="P29" s="1"/>
      <c r="Q29" s="1"/>
    </row>
    <row r="30" spans="1:17" x14ac:dyDescent="0.25">
      <c r="A30" s="2">
        <v>44736</v>
      </c>
      <c r="B30">
        <v>22</v>
      </c>
      <c r="C30">
        <v>1</v>
      </c>
      <c r="D30">
        <v>336</v>
      </c>
      <c r="E30">
        <v>13371</v>
      </c>
      <c r="F30" s="1" t="s">
        <v>140</v>
      </c>
      <c r="G30">
        <v>0</v>
      </c>
      <c r="H30">
        <v>12</v>
      </c>
      <c r="I30">
        <v>18</v>
      </c>
      <c r="J30">
        <v>30</v>
      </c>
      <c r="K30" s="33">
        <v>0.4</v>
      </c>
      <c r="L30" s="1"/>
      <c r="M30" s="1" t="str">
        <f>_xlfn.XLOOKUP(ocupacao[[#This Row],[UnidadeID]],unidades!$A:$A,unidades!$B:$B,"",0)</f>
        <v>Filial 1</v>
      </c>
      <c r="N30" s="1" t="str">
        <f>_xlfn.XLOOKUP(ocupacao[[#This Row],[UnidadeID]],unidades!$A:$A,unidades!$C:$C,"",0)</f>
        <v>Nova Iguaçu</v>
      </c>
      <c r="O30" s="1" t="str">
        <f>_xlfn.XLOOKUP(ocupacao[[#This Row],[EspecialidadeID]],especialidades!$A:$A,especialidades!$B:$B,"",0)</f>
        <v>ULTRASSONOGRAFIA</v>
      </c>
      <c r="P30" s="1" t="str">
        <f>TEXT(WEEKDAY(ocupacao[[#This Row],[Data]]),"ddd")</f>
        <v>sex</v>
      </c>
      <c r="Q30" s="1">
        <f t="shared" si="0"/>
        <v>0</v>
      </c>
    </row>
    <row r="31" spans="1:17" hidden="1" x14ac:dyDescent="0.25">
      <c r="A31" s="2"/>
      <c r="F31" s="1"/>
      <c r="K31" s="33"/>
      <c r="L31" s="1"/>
      <c r="M31" s="1"/>
      <c r="N31" s="1"/>
      <c r="O31" s="1"/>
      <c r="P31" s="1"/>
      <c r="Q31" s="1"/>
    </row>
    <row r="32" spans="1:17" x14ac:dyDescent="0.25">
      <c r="A32" s="2">
        <v>44737</v>
      </c>
      <c r="B32">
        <v>22</v>
      </c>
      <c r="C32">
        <v>1</v>
      </c>
      <c r="D32">
        <v>51</v>
      </c>
      <c r="E32">
        <v>111</v>
      </c>
      <c r="F32" s="1" t="s">
        <v>114</v>
      </c>
      <c r="G32">
        <v>0</v>
      </c>
      <c r="H32">
        <v>48</v>
      </c>
      <c r="I32">
        <v>2</v>
      </c>
      <c r="J32">
        <v>50</v>
      </c>
      <c r="K32" s="33">
        <v>0.96</v>
      </c>
      <c r="L32" s="1"/>
      <c r="M32" s="1" t="str">
        <f>_xlfn.XLOOKUP(ocupacao[[#This Row],[UnidadeID]],unidades!$A:$A,unidades!$B:$B,"",0)</f>
        <v>Filial 1</v>
      </c>
      <c r="N32" s="1" t="str">
        <f>_xlfn.XLOOKUP(ocupacao[[#This Row],[UnidadeID]],unidades!$A:$A,unidades!$C:$C,"",0)</f>
        <v>Nova Iguaçu</v>
      </c>
      <c r="O32" s="1" t="str">
        <f>_xlfn.XLOOKUP(ocupacao[[#This Row],[EspecialidadeID]],especialidades!$A:$A,especialidades!$B:$B,"",0)</f>
        <v>ULTRASSONOGRAFIA</v>
      </c>
      <c r="P32" s="1" t="str">
        <f>TEXT(WEEKDAY(ocupacao[[#This Row],[Data]]),"ddd")</f>
        <v>sáb</v>
      </c>
      <c r="Q32" s="1">
        <f t="shared" si="0"/>
        <v>0</v>
      </c>
    </row>
    <row r="33" spans="1:17" hidden="1" x14ac:dyDescent="0.25">
      <c r="A33" s="2">
        <v>44739</v>
      </c>
      <c r="B33">
        <v>22</v>
      </c>
      <c r="C33">
        <v>1</v>
      </c>
      <c r="D33">
        <v>51</v>
      </c>
      <c r="E33">
        <v>11241</v>
      </c>
      <c r="F33" s="1" t="s">
        <v>342</v>
      </c>
      <c r="G33">
        <v>0</v>
      </c>
      <c r="H33">
        <v>0</v>
      </c>
      <c r="I33">
        <v>36</v>
      </c>
      <c r="J33">
        <v>36</v>
      </c>
      <c r="K33" s="33">
        <v>0</v>
      </c>
      <c r="L33" s="1"/>
      <c r="M33" s="1"/>
      <c r="N33" s="1"/>
      <c r="O33" s="1"/>
      <c r="P33" s="1"/>
      <c r="Q33" s="1"/>
    </row>
    <row r="34" spans="1:17" x14ac:dyDescent="0.25">
      <c r="A34" s="2">
        <v>44739</v>
      </c>
      <c r="B34">
        <v>22</v>
      </c>
      <c r="C34">
        <v>1</v>
      </c>
      <c r="D34">
        <v>51</v>
      </c>
      <c r="E34">
        <v>11241</v>
      </c>
      <c r="F34" s="1" t="s">
        <v>342</v>
      </c>
      <c r="G34">
        <v>0</v>
      </c>
      <c r="H34">
        <v>10</v>
      </c>
      <c r="I34">
        <v>36</v>
      </c>
      <c r="J34">
        <v>46</v>
      </c>
      <c r="K34" s="33">
        <v>0.21740000000000001</v>
      </c>
      <c r="L34" s="1"/>
      <c r="M34" s="1" t="str">
        <f>_xlfn.XLOOKUP(ocupacao[[#This Row],[UnidadeID]],unidades!$A:$A,unidades!$B:$B,"",0)</f>
        <v>Filial 1</v>
      </c>
      <c r="N34" s="1" t="str">
        <f>_xlfn.XLOOKUP(ocupacao[[#This Row],[UnidadeID]],unidades!$A:$A,unidades!$C:$C,"",0)</f>
        <v>Nova Iguaçu</v>
      </c>
      <c r="O34" s="1" t="str">
        <f>_xlfn.XLOOKUP(ocupacao[[#This Row],[EspecialidadeID]],especialidades!$A:$A,especialidades!$B:$B,"",0)</f>
        <v>ULTRASSONOGRAFIA</v>
      </c>
      <c r="P34" s="1" t="str">
        <f>TEXT(WEEKDAY(ocupacao[[#This Row],[Data]]),"ddd")</f>
        <v>seg</v>
      </c>
      <c r="Q34" s="1">
        <f t="shared" si="0"/>
        <v>0</v>
      </c>
    </row>
    <row r="35" spans="1:17" hidden="1" x14ac:dyDescent="0.25">
      <c r="A35" s="2">
        <v>44739</v>
      </c>
      <c r="B35">
        <v>22</v>
      </c>
      <c r="C35">
        <v>1</v>
      </c>
      <c r="D35">
        <v>335</v>
      </c>
      <c r="E35">
        <v>13371</v>
      </c>
      <c r="F35" s="1" t="s">
        <v>140</v>
      </c>
      <c r="G35">
        <v>0</v>
      </c>
      <c r="H35">
        <v>0</v>
      </c>
      <c r="I35">
        <v>17</v>
      </c>
      <c r="J35">
        <v>17</v>
      </c>
      <c r="K35" s="33">
        <v>0</v>
      </c>
      <c r="L35" s="1"/>
      <c r="M35" s="1"/>
      <c r="N35" s="1"/>
      <c r="O35" s="1"/>
      <c r="P35" s="1"/>
      <c r="Q35" s="1"/>
    </row>
    <row r="36" spans="1:17" x14ac:dyDescent="0.25">
      <c r="A36" s="2">
        <v>44739</v>
      </c>
      <c r="B36">
        <v>22</v>
      </c>
      <c r="C36">
        <v>1</v>
      </c>
      <c r="D36">
        <v>335</v>
      </c>
      <c r="E36">
        <v>13371</v>
      </c>
      <c r="F36" s="1" t="s">
        <v>140</v>
      </c>
      <c r="G36">
        <v>0</v>
      </c>
      <c r="H36">
        <v>12</v>
      </c>
      <c r="I36">
        <v>17</v>
      </c>
      <c r="J36">
        <v>29</v>
      </c>
      <c r="K36" s="33">
        <v>0.4138</v>
      </c>
      <c r="L36" s="1"/>
      <c r="M36" s="1" t="str">
        <f>_xlfn.XLOOKUP(ocupacao[[#This Row],[UnidadeID]],unidades!$A:$A,unidades!$B:$B,"",0)</f>
        <v>Filial 1</v>
      </c>
      <c r="N36" s="1" t="str">
        <f>_xlfn.XLOOKUP(ocupacao[[#This Row],[UnidadeID]],unidades!$A:$A,unidades!$C:$C,"",0)</f>
        <v>Nova Iguaçu</v>
      </c>
      <c r="O36" s="1" t="str">
        <f>_xlfn.XLOOKUP(ocupacao[[#This Row],[EspecialidadeID]],especialidades!$A:$A,especialidades!$B:$B,"",0)</f>
        <v>ULTRASSONOGRAFIA</v>
      </c>
      <c r="P36" s="1" t="str">
        <f>TEXT(WEEKDAY(ocupacao[[#This Row],[Data]]),"ddd")</f>
        <v>seg</v>
      </c>
      <c r="Q36" s="1">
        <f t="shared" si="0"/>
        <v>0</v>
      </c>
    </row>
    <row r="37" spans="1:17" hidden="1" x14ac:dyDescent="0.25">
      <c r="A37" s="2">
        <v>44739</v>
      </c>
      <c r="B37">
        <v>22</v>
      </c>
      <c r="C37">
        <v>1</v>
      </c>
      <c r="D37">
        <v>51</v>
      </c>
      <c r="E37">
        <v>17928</v>
      </c>
      <c r="F37" s="1" t="s">
        <v>154</v>
      </c>
      <c r="G37">
        <v>0</v>
      </c>
      <c r="H37">
        <v>4</v>
      </c>
      <c r="I37">
        <v>26</v>
      </c>
      <c r="J37">
        <v>30</v>
      </c>
      <c r="K37" s="33">
        <v>0.1333</v>
      </c>
      <c r="L37" s="1"/>
      <c r="M37" s="1"/>
      <c r="N37" s="1"/>
      <c r="O37" s="1"/>
      <c r="P37" s="1"/>
      <c r="Q37" s="1"/>
    </row>
    <row r="38" spans="1:17" x14ac:dyDescent="0.25">
      <c r="A38" s="2">
        <v>44739</v>
      </c>
      <c r="B38">
        <v>24</v>
      </c>
      <c r="C38">
        <v>1</v>
      </c>
      <c r="D38">
        <v>60</v>
      </c>
      <c r="E38">
        <v>17938</v>
      </c>
      <c r="F38" s="1" t="s">
        <v>382</v>
      </c>
      <c r="G38">
        <v>0</v>
      </c>
      <c r="H38">
        <v>10</v>
      </c>
      <c r="I38">
        <v>1</v>
      </c>
      <c r="J38">
        <v>11</v>
      </c>
      <c r="K38" s="33">
        <v>0.90910000000000002</v>
      </c>
      <c r="L38" s="1"/>
      <c r="M38" s="1" t="str">
        <f>_xlfn.XLOOKUP(ocupacao[[#This Row],[UnidadeID]],unidades!$A:$A,unidades!$B:$B,"",0)</f>
        <v>Nilópolis</v>
      </c>
      <c r="N38" s="1" t="str">
        <f>_xlfn.XLOOKUP(ocupacao[[#This Row],[UnidadeID]],unidades!$A:$A,unidades!$C:$C,"",0)</f>
        <v>Nilópolis</v>
      </c>
      <c r="O38" s="1" t="str">
        <f>_xlfn.XLOOKUP(ocupacao[[#This Row],[EspecialidadeID]],especialidades!$A:$A,especialidades!$B:$B,"",0)</f>
        <v>ULTRASSONOGRAFIA</v>
      </c>
      <c r="P38" s="1" t="str">
        <f>TEXT(WEEKDAY(ocupacao[[#This Row],[Data]]),"ddd")</f>
        <v>seg</v>
      </c>
      <c r="Q38" s="1">
        <f t="shared" si="0"/>
        <v>0</v>
      </c>
    </row>
    <row r="39" spans="1:17" hidden="1" x14ac:dyDescent="0.25">
      <c r="A39" s="2">
        <v>44740</v>
      </c>
      <c r="B39">
        <v>22</v>
      </c>
      <c r="C39">
        <v>1</v>
      </c>
      <c r="D39">
        <v>51</v>
      </c>
      <c r="E39">
        <v>111</v>
      </c>
      <c r="F39" s="1" t="s">
        <v>114</v>
      </c>
      <c r="G39">
        <v>0</v>
      </c>
      <c r="H39">
        <v>5</v>
      </c>
      <c r="I39">
        <v>36</v>
      </c>
      <c r="J39">
        <v>41</v>
      </c>
      <c r="K39" s="33">
        <v>0.122</v>
      </c>
      <c r="L39" s="1"/>
      <c r="M39" s="1"/>
      <c r="N39" s="1"/>
      <c r="O39" s="1"/>
      <c r="P39" s="1"/>
      <c r="Q39" s="1"/>
    </row>
    <row r="40" spans="1:17" hidden="1" x14ac:dyDescent="0.25">
      <c r="A40" s="2"/>
      <c r="F40" s="1"/>
      <c r="K40" s="33"/>
      <c r="L40" s="1"/>
      <c r="M40" s="1"/>
      <c r="N40" s="1"/>
      <c r="O40" s="1"/>
      <c r="P40" s="1"/>
      <c r="Q40" s="1"/>
    </row>
    <row r="41" spans="1:17" x14ac:dyDescent="0.25">
      <c r="A41" s="2">
        <v>44740</v>
      </c>
      <c r="B41">
        <v>22</v>
      </c>
      <c r="C41">
        <v>1</v>
      </c>
      <c r="D41">
        <v>335</v>
      </c>
      <c r="E41">
        <v>9111</v>
      </c>
      <c r="F41" s="1" t="s">
        <v>101</v>
      </c>
      <c r="G41">
        <v>0</v>
      </c>
      <c r="H41">
        <v>17</v>
      </c>
      <c r="I41">
        <v>18</v>
      </c>
      <c r="J41">
        <v>35</v>
      </c>
      <c r="K41" s="33">
        <v>0.48570000000000002</v>
      </c>
      <c r="L41" s="1"/>
      <c r="M41" s="1" t="str">
        <f>_xlfn.XLOOKUP(ocupacao[[#This Row],[UnidadeID]],unidades!$A:$A,unidades!$B:$B,"",0)</f>
        <v>Filial 1</v>
      </c>
      <c r="N41" s="1" t="str">
        <f>_xlfn.XLOOKUP(ocupacao[[#This Row],[UnidadeID]],unidades!$A:$A,unidades!$C:$C,"",0)</f>
        <v>Nova Iguaçu</v>
      </c>
      <c r="O41" s="1" t="str">
        <f>_xlfn.XLOOKUP(ocupacao[[#This Row],[EspecialidadeID]],especialidades!$A:$A,especialidades!$B:$B,"",0)</f>
        <v>ULTRASSONOGRAFIA</v>
      </c>
      <c r="P41" s="1" t="str">
        <f>TEXT(WEEKDAY(ocupacao[[#This Row],[Data]]),"ddd")</f>
        <v>ter</v>
      </c>
      <c r="Q41" s="1">
        <f t="shared" si="0"/>
        <v>0</v>
      </c>
    </row>
    <row r="42" spans="1:17" hidden="1" x14ac:dyDescent="0.25">
      <c r="A42" s="2"/>
      <c r="F42" s="1"/>
      <c r="K42" s="33"/>
      <c r="L42" s="1"/>
      <c r="M42" s="1"/>
      <c r="N42" s="1"/>
      <c r="O42" s="1"/>
      <c r="P42" s="1"/>
      <c r="Q42" s="1"/>
    </row>
    <row r="43" spans="1:17" x14ac:dyDescent="0.25">
      <c r="A43" s="2">
        <v>44740</v>
      </c>
      <c r="B43">
        <v>22</v>
      </c>
      <c r="C43">
        <v>1</v>
      </c>
      <c r="D43">
        <v>51</v>
      </c>
      <c r="E43">
        <v>11207</v>
      </c>
      <c r="F43" s="1" t="s">
        <v>120</v>
      </c>
      <c r="G43">
        <v>0</v>
      </c>
      <c r="H43">
        <v>0</v>
      </c>
      <c r="I43">
        <v>11</v>
      </c>
      <c r="J43">
        <v>11</v>
      </c>
      <c r="K43" s="33">
        <v>0</v>
      </c>
      <c r="L43" s="1"/>
      <c r="M43" s="1" t="str">
        <f>_xlfn.XLOOKUP(ocupacao[[#This Row],[UnidadeID]],unidades!$A:$A,unidades!$B:$B,"",0)</f>
        <v>Filial 1</v>
      </c>
      <c r="N43" s="1" t="str">
        <f>_xlfn.XLOOKUP(ocupacao[[#This Row],[UnidadeID]],unidades!$A:$A,unidades!$C:$C,"",0)</f>
        <v>Nova Iguaçu</v>
      </c>
      <c r="O43" s="1" t="str">
        <f>_xlfn.XLOOKUP(ocupacao[[#This Row],[EspecialidadeID]],especialidades!$A:$A,especialidades!$B:$B,"",0)</f>
        <v>ULTRASSONOGRAFIA</v>
      </c>
      <c r="P43" s="1" t="str">
        <f>TEXT(WEEKDAY(ocupacao[[#This Row],[Data]]),"ddd")</f>
        <v>ter</v>
      </c>
      <c r="Q43" s="1">
        <f t="shared" si="0"/>
        <v>0</v>
      </c>
    </row>
    <row r="44" spans="1:17" hidden="1" x14ac:dyDescent="0.25">
      <c r="A44" s="2">
        <v>44740</v>
      </c>
      <c r="B44">
        <v>24</v>
      </c>
      <c r="C44">
        <v>1</v>
      </c>
      <c r="D44">
        <v>72</v>
      </c>
      <c r="E44">
        <v>12752</v>
      </c>
      <c r="F44" s="1" t="s">
        <v>110</v>
      </c>
      <c r="G44">
        <v>6</v>
      </c>
      <c r="H44">
        <v>17</v>
      </c>
      <c r="I44">
        <v>25</v>
      </c>
      <c r="J44">
        <v>48</v>
      </c>
      <c r="K44" s="33">
        <v>0.47920000000000001</v>
      </c>
      <c r="L44" s="1"/>
      <c r="M44" s="1"/>
      <c r="N44" s="1"/>
      <c r="O44" s="1"/>
      <c r="P44" s="1"/>
      <c r="Q44" s="1"/>
    </row>
    <row r="45" spans="1:17" hidden="1" x14ac:dyDescent="0.25">
      <c r="A45" s="2"/>
      <c r="F45" s="1"/>
      <c r="K45" s="33"/>
      <c r="L45" s="1"/>
      <c r="M45" s="1"/>
      <c r="N45" s="1"/>
      <c r="O45" s="1"/>
      <c r="P45" s="1"/>
      <c r="Q45" s="1"/>
    </row>
    <row r="46" spans="1:17" hidden="1" x14ac:dyDescent="0.25">
      <c r="A46" s="2">
        <v>44740</v>
      </c>
      <c r="B46">
        <v>22</v>
      </c>
      <c r="C46">
        <v>1</v>
      </c>
      <c r="D46">
        <v>43</v>
      </c>
      <c r="E46">
        <v>17859</v>
      </c>
      <c r="F46" s="1" t="s">
        <v>136</v>
      </c>
      <c r="G46">
        <v>0</v>
      </c>
      <c r="H46">
        <v>3</v>
      </c>
      <c r="I46">
        <v>14</v>
      </c>
      <c r="J46">
        <v>17</v>
      </c>
      <c r="K46" s="33">
        <v>0.17649999999999999</v>
      </c>
      <c r="L46" s="1"/>
      <c r="M46" s="1"/>
      <c r="N46" s="1"/>
      <c r="O46" s="1"/>
      <c r="P46" s="1"/>
      <c r="Q46" s="1"/>
    </row>
    <row r="47" spans="1:17" hidden="1" x14ac:dyDescent="0.25">
      <c r="A47" s="2"/>
      <c r="F47" s="1"/>
      <c r="K47" s="33"/>
      <c r="L47" s="1"/>
      <c r="M47" s="1"/>
      <c r="N47" s="1"/>
      <c r="O47" s="1"/>
      <c r="P47" s="1"/>
      <c r="Q47" s="1"/>
    </row>
    <row r="48" spans="1:17" x14ac:dyDescent="0.25">
      <c r="A48" s="2">
        <v>44741</v>
      </c>
      <c r="B48">
        <v>22</v>
      </c>
      <c r="C48">
        <v>1</v>
      </c>
      <c r="D48">
        <v>334</v>
      </c>
      <c r="E48">
        <v>110</v>
      </c>
      <c r="F48" s="1" t="s">
        <v>131</v>
      </c>
      <c r="G48">
        <v>0</v>
      </c>
      <c r="H48">
        <v>4</v>
      </c>
      <c r="I48">
        <v>37</v>
      </c>
      <c r="J48">
        <v>41</v>
      </c>
      <c r="K48" s="33">
        <v>9.7600000000000006E-2</v>
      </c>
      <c r="L48" s="1"/>
      <c r="M48" s="1" t="str">
        <f>_xlfn.XLOOKUP(ocupacao[[#This Row],[UnidadeID]],unidades!$A:$A,unidades!$B:$B,"",0)</f>
        <v>Filial 1</v>
      </c>
      <c r="N48" s="1" t="str">
        <f>_xlfn.XLOOKUP(ocupacao[[#This Row],[UnidadeID]],unidades!$A:$A,unidades!$C:$C,"",0)</f>
        <v>Nova Iguaçu</v>
      </c>
      <c r="O48" s="1" t="str">
        <f>_xlfn.XLOOKUP(ocupacao[[#This Row],[EspecialidadeID]],especialidades!$A:$A,especialidades!$B:$B,"",0)</f>
        <v>ULTRASSONOGRAFIA</v>
      </c>
      <c r="P48" s="1" t="str">
        <f>TEXT(WEEKDAY(ocupacao[[#This Row],[Data]]),"ddd")</f>
        <v>qua</v>
      </c>
      <c r="Q48" s="1">
        <f t="shared" si="0"/>
        <v>0</v>
      </c>
    </row>
    <row r="49" spans="1:17" hidden="1" x14ac:dyDescent="0.25">
      <c r="A49" s="2">
        <v>44741</v>
      </c>
      <c r="B49">
        <v>22</v>
      </c>
      <c r="C49">
        <v>1</v>
      </c>
      <c r="D49">
        <v>51</v>
      </c>
      <c r="E49">
        <v>111</v>
      </c>
      <c r="F49" s="1" t="s">
        <v>114</v>
      </c>
      <c r="G49">
        <v>0</v>
      </c>
      <c r="H49">
        <v>4</v>
      </c>
      <c r="I49">
        <v>37</v>
      </c>
      <c r="J49">
        <v>41</v>
      </c>
      <c r="K49" s="33">
        <v>9.7600000000000006E-2</v>
      </c>
      <c r="L49" s="1"/>
      <c r="M49" s="1"/>
      <c r="N49" s="1"/>
      <c r="O49" s="1"/>
      <c r="P49" s="1"/>
      <c r="Q49" s="1"/>
    </row>
    <row r="50" spans="1:17" x14ac:dyDescent="0.25">
      <c r="A50" s="2">
        <v>44741</v>
      </c>
      <c r="B50">
        <v>22</v>
      </c>
      <c r="C50">
        <v>1</v>
      </c>
      <c r="D50">
        <v>51</v>
      </c>
      <c r="E50">
        <v>12684</v>
      </c>
      <c r="F50" s="1" t="s">
        <v>143</v>
      </c>
      <c r="G50">
        <v>0</v>
      </c>
      <c r="H50">
        <v>3</v>
      </c>
      <c r="I50">
        <v>29</v>
      </c>
      <c r="J50">
        <v>32</v>
      </c>
      <c r="K50" s="33">
        <v>9.3799999999999994E-2</v>
      </c>
      <c r="L50" s="1"/>
      <c r="M50" s="1" t="str">
        <f>_xlfn.XLOOKUP(ocupacao[[#This Row],[UnidadeID]],unidades!$A:$A,unidades!$B:$B,"",0)</f>
        <v>Filial 1</v>
      </c>
      <c r="N50" s="1" t="str">
        <f>_xlfn.XLOOKUP(ocupacao[[#This Row],[UnidadeID]],unidades!$A:$A,unidades!$C:$C,"",0)</f>
        <v>Nova Iguaçu</v>
      </c>
      <c r="O50" s="1" t="str">
        <f>_xlfn.XLOOKUP(ocupacao[[#This Row],[EspecialidadeID]],especialidades!$A:$A,especialidades!$B:$B,"",0)</f>
        <v>ULTRASSONOGRAFIA</v>
      </c>
      <c r="P50" s="1" t="str">
        <f>TEXT(WEEKDAY(ocupacao[[#This Row],[Data]]),"ddd")</f>
        <v>qua</v>
      </c>
      <c r="Q50" s="1">
        <f t="shared" si="0"/>
        <v>0</v>
      </c>
    </row>
    <row r="51" spans="1:17" hidden="1" x14ac:dyDescent="0.25">
      <c r="A51" s="2">
        <v>44742</v>
      </c>
      <c r="B51">
        <v>22</v>
      </c>
      <c r="C51">
        <v>1</v>
      </c>
      <c r="D51">
        <v>335</v>
      </c>
      <c r="E51">
        <v>2334</v>
      </c>
      <c r="F51" s="1" t="s">
        <v>145</v>
      </c>
      <c r="G51">
        <v>0</v>
      </c>
      <c r="H51">
        <v>0</v>
      </c>
      <c r="I51">
        <v>1</v>
      </c>
      <c r="J51">
        <v>1</v>
      </c>
      <c r="K51" s="33">
        <v>0</v>
      </c>
      <c r="L51" s="1"/>
      <c r="M51" s="1"/>
      <c r="N51" s="1"/>
      <c r="O51" s="1"/>
      <c r="P51" s="1"/>
      <c r="Q51" s="1"/>
    </row>
    <row r="52" spans="1:17" hidden="1" x14ac:dyDescent="0.25">
      <c r="A52" s="2"/>
      <c r="F52" s="1"/>
      <c r="K52" s="33"/>
      <c r="L52" s="1"/>
      <c r="M52" s="1"/>
      <c r="N52" s="1"/>
      <c r="O52" s="1"/>
      <c r="P52" s="1"/>
      <c r="Q52" s="1"/>
    </row>
    <row r="53" spans="1:17" x14ac:dyDescent="0.25">
      <c r="A53" s="2">
        <v>44742</v>
      </c>
      <c r="B53">
        <v>22</v>
      </c>
      <c r="C53">
        <v>1</v>
      </c>
      <c r="D53">
        <v>334</v>
      </c>
      <c r="E53">
        <v>9111</v>
      </c>
      <c r="F53" s="1" t="s">
        <v>101</v>
      </c>
      <c r="G53">
        <v>0</v>
      </c>
      <c r="H53">
        <v>3</v>
      </c>
      <c r="I53">
        <v>44</v>
      </c>
      <c r="J53">
        <v>47</v>
      </c>
      <c r="K53" s="33">
        <v>6.3799999999999996E-2</v>
      </c>
      <c r="L53" s="1"/>
      <c r="M53" s="1" t="str">
        <f>_xlfn.XLOOKUP(ocupacao[[#This Row],[UnidadeID]],unidades!$A:$A,unidades!$B:$B,"",0)</f>
        <v>Filial 1</v>
      </c>
      <c r="N53" s="1" t="str">
        <f>_xlfn.XLOOKUP(ocupacao[[#This Row],[UnidadeID]],unidades!$A:$A,unidades!$C:$C,"",0)</f>
        <v>Nova Iguaçu</v>
      </c>
      <c r="O53" s="1" t="str">
        <f>_xlfn.XLOOKUP(ocupacao[[#This Row],[EspecialidadeID]],especialidades!$A:$A,especialidades!$B:$B,"",0)</f>
        <v>ULTRASSONOGRAFIA</v>
      </c>
      <c r="P53" s="1" t="str">
        <f>TEXT(WEEKDAY(ocupacao[[#This Row],[Data]]),"ddd")</f>
        <v>qui</v>
      </c>
      <c r="Q53" s="1">
        <f t="shared" si="0"/>
        <v>0</v>
      </c>
    </row>
    <row r="54" spans="1:17" x14ac:dyDescent="0.25">
      <c r="A54" s="2">
        <v>44742</v>
      </c>
      <c r="B54">
        <v>22</v>
      </c>
      <c r="C54">
        <v>1</v>
      </c>
      <c r="D54">
        <v>51</v>
      </c>
      <c r="E54">
        <v>11207</v>
      </c>
      <c r="F54" s="1" t="s">
        <v>120</v>
      </c>
      <c r="G54">
        <v>0</v>
      </c>
      <c r="H54">
        <v>0</v>
      </c>
      <c r="I54">
        <v>11</v>
      </c>
      <c r="J54">
        <v>11</v>
      </c>
      <c r="K54" s="33">
        <v>0</v>
      </c>
      <c r="L54" s="1"/>
      <c r="M54" s="1" t="str">
        <f>_xlfn.XLOOKUP(ocupacao[[#This Row],[UnidadeID]],unidades!$A:$A,unidades!$B:$B,"",0)</f>
        <v>Filial 1</v>
      </c>
      <c r="N54" s="1" t="str">
        <f>_xlfn.XLOOKUP(ocupacao[[#This Row],[UnidadeID]],unidades!$A:$A,unidades!$C:$C,"",0)</f>
        <v>Nova Iguaçu</v>
      </c>
      <c r="O54" s="1" t="str">
        <f>_xlfn.XLOOKUP(ocupacao[[#This Row],[EspecialidadeID]],especialidades!$A:$A,especialidades!$B:$B,"",0)</f>
        <v>ULTRASSONOGRAFIA</v>
      </c>
      <c r="P54" s="1" t="str">
        <f>TEXT(WEEKDAY(ocupacao[[#This Row],[Data]]),"ddd")</f>
        <v>qui</v>
      </c>
      <c r="Q54" s="1">
        <f t="shared" si="0"/>
        <v>0</v>
      </c>
    </row>
    <row r="55" spans="1:17" x14ac:dyDescent="0.25">
      <c r="A55" s="2">
        <v>44742</v>
      </c>
      <c r="B55">
        <v>22</v>
      </c>
      <c r="C55">
        <v>1</v>
      </c>
      <c r="D55">
        <v>336</v>
      </c>
      <c r="E55">
        <v>11312</v>
      </c>
      <c r="F55" s="1" t="s">
        <v>107</v>
      </c>
      <c r="G55">
        <v>0</v>
      </c>
      <c r="H55">
        <v>7</v>
      </c>
      <c r="I55">
        <v>22</v>
      </c>
      <c r="J55">
        <v>29</v>
      </c>
      <c r="K55" s="33">
        <v>0.2414</v>
      </c>
      <c r="L55" s="1"/>
      <c r="M55" s="1" t="str">
        <f>_xlfn.XLOOKUP(ocupacao[[#This Row],[UnidadeID]],unidades!$A:$A,unidades!$B:$B,"",0)</f>
        <v>Filial 1</v>
      </c>
      <c r="N55" s="1" t="str">
        <f>_xlfn.XLOOKUP(ocupacao[[#This Row],[UnidadeID]],unidades!$A:$A,unidades!$C:$C,"",0)</f>
        <v>Nova Iguaçu</v>
      </c>
      <c r="O55" s="1" t="str">
        <f>_xlfn.XLOOKUP(ocupacao[[#This Row],[EspecialidadeID]],especialidades!$A:$A,especialidades!$B:$B,"",0)</f>
        <v>ULTRASSONOGRAFIA</v>
      </c>
      <c r="P55" s="1" t="str">
        <f>TEXT(WEEKDAY(ocupacao[[#This Row],[Data]]),"ddd")</f>
        <v>qui</v>
      </c>
      <c r="Q55" s="1">
        <f t="shared" si="0"/>
        <v>0</v>
      </c>
    </row>
    <row r="56" spans="1:17" x14ac:dyDescent="0.25">
      <c r="A56" s="2">
        <v>44742</v>
      </c>
      <c r="B56">
        <v>22</v>
      </c>
      <c r="C56">
        <v>1</v>
      </c>
      <c r="D56">
        <v>51</v>
      </c>
      <c r="E56">
        <v>17928</v>
      </c>
      <c r="F56" s="1" t="s">
        <v>154</v>
      </c>
      <c r="G56">
        <v>6</v>
      </c>
      <c r="H56">
        <v>1</v>
      </c>
      <c r="I56">
        <v>35</v>
      </c>
      <c r="J56">
        <v>42</v>
      </c>
      <c r="K56" s="33">
        <v>0.16669999999999999</v>
      </c>
      <c r="L56" s="1"/>
      <c r="M56" s="1" t="str">
        <f>_xlfn.XLOOKUP(ocupacao[[#This Row],[UnidadeID]],unidades!$A:$A,unidades!$B:$B,"",0)</f>
        <v>Filial 1</v>
      </c>
      <c r="N56" s="1" t="str">
        <f>_xlfn.XLOOKUP(ocupacao[[#This Row],[UnidadeID]],unidades!$A:$A,unidades!$C:$C,"",0)</f>
        <v>Nova Iguaçu</v>
      </c>
      <c r="O56" s="1" t="str">
        <f>_xlfn.XLOOKUP(ocupacao[[#This Row],[EspecialidadeID]],especialidades!$A:$A,especialidades!$B:$B,"",0)</f>
        <v>ULTRASSONOGRAFIA</v>
      </c>
      <c r="P56" s="1" t="str">
        <f>TEXT(WEEKDAY(ocupacao[[#This Row],[Data]]),"ddd")</f>
        <v>qui</v>
      </c>
      <c r="Q56" s="1">
        <f t="shared" si="0"/>
        <v>0</v>
      </c>
    </row>
    <row r="57" spans="1:17" hidden="1" x14ac:dyDescent="0.25">
      <c r="A57" s="2"/>
      <c r="F57" s="1"/>
      <c r="K57" s="33"/>
      <c r="L57" s="1"/>
      <c r="M57" s="1"/>
      <c r="N57" s="1"/>
      <c r="O57" s="1"/>
      <c r="P57" s="1"/>
      <c r="Q57" s="1"/>
    </row>
    <row r="58" spans="1:17" x14ac:dyDescent="0.25">
      <c r="A58" s="2">
        <v>44743</v>
      </c>
      <c r="B58">
        <v>22</v>
      </c>
      <c r="C58">
        <v>1</v>
      </c>
      <c r="D58">
        <v>51</v>
      </c>
      <c r="E58">
        <v>9111</v>
      </c>
      <c r="F58" s="1" t="s">
        <v>101</v>
      </c>
      <c r="G58">
        <v>0</v>
      </c>
      <c r="H58">
        <v>6</v>
      </c>
      <c r="I58">
        <v>38</v>
      </c>
      <c r="J58">
        <v>44</v>
      </c>
      <c r="K58" s="33">
        <v>0.13639999999999999</v>
      </c>
      <c r="L58" s="1"/>
      <c r="M58" s="1" t="str">
        <f>_xlfn.XLOOKUP(ocupacao[[#This Row],[UnidadeID]],unidades!$A:$A,unidades!$B:$B,"",0)</f>
        <v>Filial 1</v>
      </c>
      <c r="N58" s="1" t="str">
        <f>_xlfn.XLOOKUP(ocupacao[[#This Row],[UnidadeID]],unidades!$A:$A,unidades!$C:$C,"",0)</f>
        <v>Nova Iguaçu</v>
      </c>
      <c r="O58" s="1" t="str">
        <f>_xlfn.XLOOKUP(ocupacao[[#This Row],[EspecialidadeID]],especialidades!$A:$A,especialidades!$B:$B,"",0)</f>
        <v>ULTRASSONOGRAFIA</v>
      </c>
      <c r="P58" s="1" t="str">
        <f>TEXT(WEEKDAY(ocupacao[[#This Row],[Data]]),"ddd")</f>
        <v>sex</v>
      </c>
      <c r="Q58" s="1">
        <f t="shared" si="0"/>
        <v>0</v>
      </c>
    </row>
    <row r="59" spans="1:17" x14ac:dyDescent="0.25">
      <c r="A59" s="2">
        <v>44743</v>
      </c>
      <c r="B59">
        <v>18</v>
      </c>
      <c r="C59">
        <v>1</v>
      </c>
      <c r="D59">
        <v>85</v>
      </c>
      <c r="E59">
        <v>12684</v>
      </c>
      <c r="F59" s="1" t="s">
        <v>143</v>
      </c>
      <c r="G59">
        <v>0</v>
      </c>
      <c r="H59">
        <v>0</v>
      </c>
      <c r="I59">
        <v>46</v>
      </c>
      <c r="J59">
        <v>46</v>
      </c>
      <c r="K59" s="33">
        <v>0</v>
      </c>
      <c r="L59" s="1"/>
      <c r="M59" s="1" t="str">
        <f>_xlfn.XLOOKUP(ocupacao[[#This Row],[UnidadeID]],unidades!$A:$A,unidades!$B:$B,"",0)</f>
        <v>Miguel Couto</v>
      </c>
      <c r="N59" s="1" t="str">
        <f>_xlfn.XLOOKUP(ocupacao[[#This Row],[UnidadeID]],unidades!$A:$A,unidades!$C:$C,"",0)</f>
        <v>Miguel Couto</v>
      </c>
      <c r="O59" s="1" t="str">
        <f>_xlfn.XLOOKUP(ocupacao[[#This Row],[EspecialidadeID]],especialidades!$A:$A,especialidades!$B:$B,"",0)</f>
        <v>ULTRASSONOGRAFIA</v>
      </c>
      <c r="P59" s="1" t="str">
        <f>TEXT(WEEKDAY(ocupacao[[#This Row],[Data]]),"ddd")</f>
        <v>sex</v>
      </c>
      <c r="Q59" s="1">
        <f t="shared" si="0"/>
        <v>0</v>
      </c>
    </row>
    <row r="60" spans="1:17" x14ac:dyDescent="0.25">
      <c r="A60" s="2">
        <v>44743</v>
      </c>
      <c r="B60">
        <v>22</v>
      </c>
      <c r="C60">
        <v>1</v>
      </c>
      <c r="D60">
        <v>336</v>
      </c>
      <c r="E60">
        <v>13371</v>
      </c>
      <c r="F60" s="1" t="s">
        <v>140</v>
      </c>
      <c r="G60">
        <v>0</v>
      </c>
      <c r="H60">
        <v>0</v>
      </c>
      <c r="I60">
        <v>30</v>
      </c>
      <c r="J60">
        <v>30</v>
      </c>
      <c r="K60" s="33">
        <v>0</v>
      </c>
      <c r="L60" s="1"/>
      <c r="M60" s="1" t="str">
        <f>_xlfn.XLOOKUP(ocupacao[[#This Row],[UnidadeID]],unidades!$A:$A,unidades!$B:$B,"",0)</f>
        <v>Filial 1</v>
      </c>
      <c r="N60" s="1" t="str">
        <f>_xlfn.XLOOKUP(ocupacao[[#This Row],[UnidadeID]],unidades!$A:$A,unidades!$C:$C,"",0)</f>
        <v>Nova Iguaçu</v>
      </c>
      <c r="O60" s="1" t="str">
        <f>_xlfn.XLOOKUP(ocupacao[[#This Row],[EspecialidadeID]],especialidades!$A:$A,especialidades!$B:$B,"",0)</f>
        <v>ULTRASSONOGRAFIA</v>
      </c>
      <c r="P60" s="1" t="str">
        <f>TEXT(WEEKDAY(ocupacao[[#This Row],[Data]]),"ddd")</f>
        <v>sex</v>
      </c>
      <c r="Q60" s="1">
        <f t="shared" si="0"/>
        <v>0</v>
      </c>
    </row>
    <row r="61" spans="1:17" x14ac:dyDescent="0.25">
      <c r="A61" s="2"/>
      <c r="F61" s="1" t="s">
        <v>106</v>
      </c>
      <c r="K61" s="33"/>
      <c r="L61" s="1"/>
      <c r="M61" s="1">
        <f>_xlfn.XLOOKUP(ocupacao[[#This Row],[UnidadeID]],unidades!$A:$A,unidades!$B:$B,"",0)</f>
        <v>0</v>
      </c>
      <c r="N61" s="1">
        <f>_xlfn.XLOOKUP(ocupacao[[#This Row],[UnidadeID]],unidades!$A:$A,unidades!$C:$C,"",0)</f>
        <v>0</v>
      </c>
      <c r="O61" s="1">
        <f>_xlfn.XLOOKUP(ocupacao[[#This Row],[EspecialidadeID]],especialidades!$A:$A,especialidades!$B:$B,"",0)</f>
        <v>0</v>
      </c>
      <c r="P61" s="1" t="str">
        <f>TEXT(WEEKDAY(ocupacao[[#This Row],[Data]]),"ddd")</f>
        <v>sáb</v>
      </c>
      <c r="Q61" s="1">
        <f t="shared" si="0"/>
        <v>0</v>
      </c>
    </row>
    <row r="62" spans="1:17" x14ac:dyDescent="0.25">
      <c r="A62" s="2">
        <v>44733</v>
      </c>
      <c r="B62">
        <v>22</v>
      </c>
      <c r="C62">
        <v>3</v>
      </c>
      <c r="D62">
        <v>40</v>
      </c>
      <c r="E62">
        <v>17888</v>
      </c>
      <c r="F62" s="1" t="s">
        <v>146</v>
      </c>
      <c r="G62">
        <v>0</v>
      </c>
      <c r="H62">
        <v>7</v>
      </c>
      <c r="I62">
        <v>17</v>
      </c>
      <c r="J62">
        <v>24</v>
      </c>
      <c r="K62" s="33">
        <v>0.29170000000000001</v>
      </c>
      <c r="L62" s="1"/>
      <c r="M62" s="1" t="str">
        <f>_xlfn.XLOOKUP(ocupacao[[#This Row],[UnidadeID]],unidades!$A:$A,unidades!$B:$B,"",0)</f>
        <v>Filial 1</v>
      </c>
      <c r="N62" s="1" t="str">
        <f>_xlfn.XLOOKUP(ocupacao[[#This Row],[UnidadeID]],unidades!$A:$A,unidades!$C:$C,"",0)</f>
        <v>Nova Iguaçu</v>
      </c>
      <c r="O62" s="1" t="str">
        <f>_xlfn.XLOOKUP(ocupacao[[#This Row],[EspecialidadeID]],especialidades!$A:$A,especialidades!$B:$B,"",0)</f>
        <v>MAMOGRAFIA</v>
      </c>
      <c r="P62" s="1" t="str">
        <f>TEXT(WEEKDAY(ocupacao[[#This Row],[Data]]),"ddd")</f>
        <v>ter</v>
      </c>
      <c r="Q62" s="1">
        <f t="shared" si="0"/>
        <v>1</v>
      </c>
    </row>
    <row r="63" spans="1:17" x14ac:dyDescent="0.25">
      <c r="A63" s="2">
        <v>44733</v>
      </c>
      <c r="B63">
        <v>22</v>
      </c>
      <c r="C63">
        <v>3</v>
      </c>
      <c r="D63">
        <v>40</v>
      </c>
      <c r="E63">
        <v>17888</v>
      </c>
      <c r="F63" s="1" t="s">
        <v>146</v>
      </c>
      <c r="G63">
        <v>0</v>
      </c>
      <c r="H63">
        <v>7</v>
      </c>
      <c r="I63">
        <v>2</v>
      </c>
      <c r="J63">
        <v>9</v>
      </c>
      <c r="K63" s="33">
        <v>0.77780000000000005</v>
      </c>
      <c r="L63" s="1"/>
      <c r="M63" s="1" t="str">
        <f>_xlfn.XLOOKUP(ocupacao[[#This Row],[UnidadeID]],unidades!$A:$A,unidades!$B:$B,"",0)</f>
        <v>Filial 1</v>
      </c>
      <c r="N63" s="1" t="str">
        <f>_xlfn.XLOOKUP(ocupacao[[#This Row],[UnidadeID]],unidades!$A:$A,unidades!$C:$C,"",0)</f>
        <v>Nova Iguaçu</v>
      </c>
      <c r="O63" s="1" t="str">
        <f>_xlfn.XLOOKUP(ocupacao[[#This Row],[EspecialidadeID]],especialidades!$A:$A,especialidades!$B:$B,"",0)</f>
        <v>MAMOGRAFIA</v>
      </c>
      <c r="P63" s="1" t="str">
        <f>TEXT(WEEKDAY(ocupacao[[#This Row],[Data]]),"ddd")</f>
        <v>ter</v>
      </c>
      <c r="Q63" s="1">
        <f t="shared" si="0"/>
        <v>0</v>
      </c>
    </row>
    <row r="64" spans="1:17" x14ac:dyDescent="0.25">
      <c r="A64" s="2">
        <v>44733</v>
      </c>
      <c r="B64">
        <v>24</v>
      </c>
      <c r="C64">
        <v>3</v>
      </c>
      <c r="D64">
        <v>59</v>
      </c>
      <c r="E64">
        <v>17889</v>
      </c>
      <c r="F64" s="1" t="s">
        <v>155</v>
      </c>
      <c r="G64">
        <v>0</v>
      </c>
      <c r="H64">
        <v>0</v>
      </c>
      <c r="I64">
        <v>30</v>
      </c>
      <c r="J64">
        <v>30</v>
      </c>
      <c r="K64" s="33">
        <v>0</v>
      </c>
      <c r="L64" s="1"/>
      <c r="M64" s="1" t="str">
        <f>_xlfn.XLOOKUP(ocupacao[[#This Row],[UnidadeID]],unidades!$A:$A,unidades!$B:$B,"",0)</f>
        <v>Nilópolis</v>
      </c>
      <c r="N64" s="1" t="str">
        <f>_xlfn.XLOOKUP(ocupacao[[#This Row],[UnidadeID]],unidades!$A:$A,unidades!$C:$C,"",0)</f>
        <v>Nilópolis</v>
      </c>
      <c r="O64" s="1" t="str">
        <f>_xlfn.XLOOKUP(ocupacao[[#This Row],[EspecialidadeID]],especialidades!$A:$A,especialidades!$B:$B,"",0)</f>
        <v>MAMOGRAFIA</v>
      </c>
      <c r="P64" s="1" t="str">
        <f>TEXT(WEEKDAY(ocupacao[[#This Row],[Data]]),"ddd")</f>
        <v>ter</v>
      </c>
      <c r="Q64" s="1">
        <f t="shared" si="0"/>
        <v>0</v>
      </c>
    </row>
    <row r="65" spans="1:17" x14ac:dyDescent="0.25">
      <c r="A65" s="2">
        <v>44734</v>
      </c>
      <c r="B65">
        <v>22</v>
      </c>
      <c r="C65">
        <v>3</v>
      </c>
      <c r="D65">
        <v>40</v>
      </c>
      <c r="E65">
        <v>17888</v>
      </c>
      <c r="F65" s="1" t="s">
        <v>146</v>
      </c>
      <c r="G65">
        <v>0</v>
      </c>
      <c r="H65">
        <v>7</v>
      </c>
      <c r="I65">
        <v>17</v>
      </c>
      <c r="J65">
        <v>24</v>
      </c>
      <c r="K65" s="33">
        <v>0.29170000000000001</v>
      </c>
      <c r="L65" s="1"/>
      <c r="M65" s="1" t="str">
        <f>_xlfn.XLOOKUP(ocupacao[[#This Row],[UnidadeID]],unidades!$A:$A,unidades!$B:$B,"",0)</f>
        <v>Filial 1</v>
      </c>
      <c r="N65" s="1" t="str">
        <f>_xlfn.XLOOKUP(ocupacao[[#This Row],[UnidadeID]],unidades!$A:$A,unidades!$C:$C,"",0)</f>
        <v>Nova Iguaçu</v>
      </c>
      <c r="O65" s="1" t="str">
        <f>_xlfn.XLOOKUP(ocupacao[[#This Row],[EspecialidadeID]],especialidades!$A:$A,especialidades!$B:$B,"",0)</f>
        <v>MAMOGRAFIA</v>
      </c>
      <c r="P65" s="1" t="str">
        <f>TEXT(WEEKDAY(ocupacao[[#This Row],[Data]]),"ddd")</f>
        <v>qua</v>
      </c>
      <c r="Q65" s="1">
        <f t="shared" si="0"/>
        <v>1</v>
      </c>
    </row>
    <row r="66" spans="1:17" x14ac:dyDescent="0.25">
      <c r="A66" s="2">
        <v>44734</v>
      </c>
      <c r="B66">
        <v>22</v>
      </c>
      <c r="C66">
        <v>3</v>
      </c>
      <c r="D66">
        <v>40</v>
      </c>
      <c r="E66">
        <v>17888</v>
      </c>
      <c r="F66" s="1" t="s">
        <v>146</v>
      </c>
      <c r="G66">
        <v>0</v>
      </c>
      <c r="H66">
        <v>8</v>
      </c>
      <c r="I66">
        <v>1</v>
      </c>
      <c r="J66">
        <v>9</v>
      </c>
      <c r="K66" s="33">
        <v>0.88890000000000002</v>
      </c>
      <c r="L66" s="1"/>
      <c r="M66" s="1" t="str">
        <f>_xlfn.XLOOKUP(ocupacao[[#This Row],[UnidadeID]],unidades!$A:$A,unidades!$B:$B,"",0)</f>
        <v>Filial 1</v>
      </c>
      <c r="N66" s="1" t="str">
        <f>_xlfn.XLOOKUP(ocupacao[[#This Row],[UnidadeID]],unidades!$A:$A,unidades!$C:$C,"",0)</f>
        <v>Nova Iguaçu</v>
      </c>
      <c r="O66" s="1" t="str">
        <f>_xlfn.XLOOKUP(ocupacao[[#This Row],[EspecialidadeID]],especialidades!$A:$A,especialidades!$B:$B,"",0)</f>
        <v>MAMOGRAFIA</v>
      </c>
      <c r="P66" s="1" t="str">
        <f>TEXT(WEEKDAY(ocupacao[[#This Row],[Data]]),"ddd")</f>
        <v>qua</v>
      </c>
      <c r="Q66" s="1">
        <f t="shared" ref="Q66:Q129" si="1">IF(F66=F67,1,0)</f>
        <v>0</v>
      </c>
    </row>
    <row r="67" spans="1:17" x14ac:dyDescent="0.25">
      <c r="A67" s="2">
        <v>44734</v>
      </c>
      <c r="B67">
        <v>24</v>
      </c>
      <c r="C67">
        <v>3</v>
      </c>
      <c r="D67">
        <v>59</v>
      </c>
      <c r="E67">
        <v>17889</v>
      </c>
      <c r="F67" s="1" t="s">
        <v>155</v>
      </c>
      <c r="G67">
        <v>0</v>
      </c>
      <c r="H67">
        <v>0</v>
      </c>
      <c r="I67">
        <v>18</v>
      </c>
      <c r="J67">
        <v>18</v>
      </c>
      <c r="K67" s="33">
        <v>0</v>
      </c>
      <c r="L67" s="1"/>
      <c r="M67" s="1" t="str">
        <f>_xlfn.XLOOKUP(ocupacao[[#This Row],[UnidadeID]],unidades!$A:$A,unidades!$B:$B,"",0)</f>
        <v>Nilópolis</v>
      </c>
      <c r="N67" s="1" t="str">
        <f>_xlfn.XLOOKUP(ocupacao[[#This Row],[UnidadeID]],unidades!$A:$A,unidades!$C:$C,"",0)</f>
        <v>Nilópolis</v>
      </c>
      <c r="O67" s="1" t="str">
        <f>_xlfn.XLOOKUP(ocupacao[[#This Row],[EspecialidadeID]],especialidades!$A:$A,especialidades!$B:$B,"",0)</f>
        <v>MAMOGRAFIA</v>
      </c>
      <c r="P67" s="1" t="str">
        <f>TEXT(WEEKDAY(ocupacao[[#This Row],[Data]]),"ddd")</f>
        <v>qua</v>
      </c>
      <c r="Q67" s="1">
        <f t="shared" si="1"/>
        <v>0</v>
      </c>
    </row>
    <row r="68" spans="1:17" x14ac:dyDescent="0.25">
      <c r="A68" s="2">
        <v>44735</v>
      </c>
      <c r="B68">
        <v>22</v>
      </c>
      <c r="C68">
        <v>3</v>
      </c>
      <c r="D68">
        <v>40</v>
      </c>
      <c r="E68">
        <v>17888</v>
      </c>
      <c r="F68" s="1" t="s">
        <v>146</v>
      </c>
      <c r="G68">
        <v>0</v>
      </c>
      <c r="H68">
        <v>5</v>
      </c>
      <c r="I68">
        <v>19</v>
      </c>
      <c r="J68">
        <v>24</v>
      </c>
      <c r="K68" s="33">
        <v>0.20830000000000001</v>
      </c>
      <c r="L68" s="1"/>
      <c r="M68" s="1" t="str">
        <f>_xlfn.XLOOKUP(ocupacao[[#This Row],[UnidadeID]],unidades!$A:$A,unidades!$B:$B,"",0)</f>
        <v>Filial 1</v>
      </c>
      <c r="N68" s="1" t="str">
        <f>_xlfn.XLOOKUP(ocupacao[[#This Row],[UnidadeID]],unidades!$A:$A,unidades!$C:$C,"",0)</f>
        <v>Nova Iguaçu</v>
      </c>
      <c r="O68" s="1" t="str">
        <f>_xlfn.XLOOKUP(ocupacao[[#This Row],[EspecialidadeID]],especialidades!$A:$A,especialidades!$B:$B,"",0)</f>
        <v>MAMOGRAFIA</v>
      </c>
      <c r="P68" s="1" t="str">
        <f>TEXT(WEEKDAY(ocupacao[[#This Row],[Data]]),"ddd")</f>
        <v>qui</v>
      </c>
      <c r="Q68" s="1">
        <f t="shared" si="1"/>
        <v>1</v>
      </c>
    </row>
    <row r="69" spans="1:17" x14ac:dyDescent="0.25">
      <c r="A69" s="2">
        <v>44735</v>
      </c>
      <c r="B69">
        <v>22</v>
      </c>
      <c r="C69">
        <v>3</v>
      </c>
      <c r="D69">
        <v>40</v>
      </c>
      <c r="E69">
        <v>17888</v>
      </c>
      <c r="F69" s="1" t="s">
        <v>146</v>
      </c>
      <c r="G69">
        <v>0</v>
      </c>
      <c r="H69">
        <v>5</v>
      </c>
      <c r="I69">
        <v>4</v>
      </c>
      <c r="J69">
        <v>9</v>
      </c>
      <c r="K69" s="33">
        <v>0.55559999999999998</v>
      </c>
      <c r="L69" s="1"/>
      <c r="M69" s="1" t="str">
        <f>_xlfn.XLOOKUP(ocupacao[[#This Row],[UnidadeID]],unidades!$A:$A,unidades!$B:$B,"",0)</f>
        <v>Filial 1</v>
      </c>
      <c r="N69" s="1" t="str">
        <f>_xlfn.XLOOKUP(ocupacao[[#This Row],[UnidadeID]],unidades!$A:$A,unidades!$C:$C,"",0)</f>
        <v>Nova Iguaçu</v>
      </c>
      <c r="O69" s="1" t="str">
        <f>_xlfn.XLOOKUP(ocupacao[[#This Row],[EspecialidadeID]],especialidades!$A:$A,especialidades!$B:$B,"",0)</f>
        <v>MAMOGRAFIA</v>
      </c>
      <c r="P69" s="1" t="str">
        <f>TEXT(WEEKDAY(ocupacao[[#This Row],[Data]]),"ddd")</f>
        <v>qui</v>
      </c>
      <c r="Q69" s="1">
        <f t="shared" si="1"/>
        <v>0</v>
      </c>
    </row>
    <row r="70" spans="1:17" x14ac:dyDescent="0.25">
      <c r="A70" s="2">
        <v>44735</v>
      </c>
      <c r="B70">
        <v>24</v>
      </c>
      <c r="C70">
        <v>3</v>
      </c>
      <c r="D70">
        <v>59</v>
      </c>
      <c r="E70">
        <v>17889</v>
      </c>
      <c r="F70" s="1" t="s">
        <v>155</v>
      </c>
      <c r="G70">
        <v>0</v>
      </c>
      <c r="H70">
        <v>1</v>
      </c>
      <c r="I70">
        <v>29</v>
      </c>
      <c r="J70">
        <v>30</v>
      </c>
      <c r="K70" s="33">
        <v>3.3300000000000003E-2</v>
      </c>
      <c r="L70" s="1"/>
      <c r="M70" s="1" t="str">
        <f>_xlfn.XLOOKUP(ocupacao[[#This Row],[UnidadeID]],unidades!$A:$A,unidades!$B:$B,"",0)</f>
        <v>Nilópolis</v>
      </c>
      <c r="N70" s="1" t="str">
        <f>_xlfn.XLOOKUP(ocupacao[[#This Row],[UnidadeID]],unidades!$A:$A,unidades!$C:$C,"",0)</f>
        <v>Nilópolis</v>
      </c>
      <c r="O70" s="1" t="str">
        <f>_xlfn.XLOOKUP(ocupacao[[#This Row],[EspecialidadeID]],especialidades!$A:$A,especialidades!$B:$B,"",0)</f>
        <v>MAMOGRAFIA</v>
      </c>
      <c r="P70" s="1" t="str">
        <f>TEXT(WEEKDAY(ocupacao[[#This Row],[Data]]),"ddd")</f>
        <v>qui</v>
      </c>
      <c r="Q70" s="1">
        <f t="shared" si="1"/>
        <v>0</v>
      </c>
    </row>
    <row r="71" spans="1:17" x14ac:dyDescent="0.25">
      <c r="A71" s="2">
        <v>44736</v>
      </c>
      <c r="B71">
        <v>22</v>
      </c>
      <c r="C71">
        <v>3</v>
      </c>
      <c r="D71">
        <v>40</v>
      </c>
      <c r="E71">
        <v>17888</v>
      </c>
      <c r="F71" s="1" t="s">
        <v>146</v>
      </c>
      <c r="G71">
        <v>0</v>
      </c>
      <c r="H71">
        <v>7</v>
      </c>
      <c r="I71">
        <v>18</v>
      </c>
      <c r="J71">
        <v>25</v>
      </c>
      <c r="K71" s="33">
        <v>0.28000000000000003</v>
      </c>
      <c r="L71" s="1"/>
      <c r="M71" s="1" t="str">
        <f>_xlfn.XLOOKUP(ocupacao[[#This Row],[UnidadeID]],unidades!$A:$A,unidades!$B:$B,"",0)</f>
        <v>Filial 1</v>
      </c>
      <c r="N71" s="1" t="str">
        <f>_xlfn.XLOOKUP(ocupacao[[#This Row],[UnidadeID]],unidades!$A:$A,unidades!$C:$C,"",0)</f>
        <v>Nova Iguaçu</v>
      </c>
      <c r="O71" s="1" t="str">
        <f>_xlfn.XLOOKUP(ocupacao[[#This Row],[EspecialidadeID]],especialidades!$A:$A,especialidades!$B:$B,"",0)</f>
        <v>MAMOGRAFIA</v>
      </c>
      <c r="P71" s="1" t="str">
        <f>TEXT(WEEKDAY(ocupacao[[#This Row],[Data]]),"ddd")</f>
        <v>sex</v>
      </c>
      <c r="Q71" s="1">
        <f t="shared" si="1"/>
        <v>1</v>
      </c>
    </row>
    <row r="72" spans="1:17" x14ac:dyDescent="0.25">
      <c r="A72" s="2">
        <v>44736</v>
      </c>
      <c r="B72">
        <v>22</v>
      </c>
      <c r="C72">
        <v>3</v>
      </c>
      <c r="D72">
        <v>40</v>
      </c>
      <c r="E72">
        <v>17888</v>
      </c>
      <c r="F72" s="1" t="s">
        <v>146</v>
      </c>
      <c r="G72">
        <v>0</v>
      </c>
      <c r="H72">
        <v>3</v>
      </c>
      <c r="I72">
        <v>6</v>
      </c>
      <c r="J72">
        <v>9</v>
      </c>
      <c r="K72" s="33">
        <v>0.33329999999999999</v>
      </c>
      <c r="L72" s="1"/>
      <c r="M72" s="1" t="str">
        <f>_xlfn.XLOOKUP(ocupacao[[#This Row],[UnidadeID]],unidades!$A:$A,unidades!$B:$B,"",0)</f>
        <v>Filial 1</v>
      </c>
      <c r="N72" s="1" t="str">
        <f>_xlfn.XLOOKUP(ocupacao[[#This Row],[UnidadeID]],unidades!$A:$A,unidades!$C:$C,"",0)</f>
        <v>Nova Iguaçu</v>
      </c>
      <c r="O72" s="1" t="str">
        <f>_xlfn.XLOOKUP(ocupacao[[#This Row],[EspecialidadeID]],especialidades!$A:$A,especialidades!$B:$B,"",0)</f>
        <v>MAMOGRAFIA</v>
      </c>
      <c r="P72" s="1" t="str">
        <f>TEXT(WEEKDAY(ocupacao[[#This Row],[Data]]),"ddd")</f>
        <v>sex</v>
      </c>
      <c r="Q72" s="1">
        <f t="shared" si="1"/>
        <v>0</v>
      </c>
    </row>
    <row r="73" spans="1:17" x14ac:dyDescent="0.25">
      <c r="A73" s="2">
        <v>44736</v>
      </c>
      <c r="B73">
        <v>24</v>
      </c>
      <c r="C73">
        <v>3</v>
      </c>
      <c r="D73">
        <v>59</v>
      </c>
      <c r="E73">
        <v>17889</v>
      </c>
      <c r="F73" s="1" t="s">
        <v>155</v>
      </c>
      <c r="G73">
        <v>0</v>
      </c>
      <c r="H73">
        <v>0</v>
      </c>
      <c r="I73">
        <v>18</v>
      </c>
      <c r="J73">
        <v>18</v>
      </c>
      <c r="K73" s="33">
        <v>0</v>
      </c>
      <c r="L73" s="1"/>
      <c r="M73" s="1" t="str">
        <f>_xlfn.XLOOKUP(ocupacao[[#This Row],[UnidadeID]],unidades!$A:$A,unidades!$B:$B,"",0)</f>
        <v>Nilópolis</v>
      </c>
      <c r="N73" s="1" t="str">
        <f>_xlfn.XLOOKUP(ocupacao[[#This Row],[UnidadeID]],unidades!$A:$A,unidades!$C:$C,"",0)</f>
        <v>Nilópolis</v>
      </c>
      <c r="O73" s="1" t="str">
        <f>_xlfn.XLOOKUP(ocupacao[[#This Row],[EspecialidadeID]],especialidades!$A:$A,especialidades!$B:$B,"",0)</f>
        <v>MAMOGRAFIA</v>
      </c>
      <c r="P73" s="1" t="str">
        <f>TEXT(WEEKDAY(ocupacao[[#This Row],[Data]]),"ddd")</f>
        <v>sex</v>
      </c>
      <c r="Q73" s="1">
        <f t="shared" si="1"/>
        <v>0</v>
      </c>
    </row>
    <row r="74" spans="1:17" x14ac:dyDescent="0.25">
      <c r="A74" s="2">
        <v>44737</v>
      </c>
      <c r="B74">
        <v>22</v>
      </c>
      <c r="C74">
        <v>3</v>
      </c>
      <c r="D74">
        <v>40</v>
      </c>
      <c r="E74">
        <v>17888</v>
      </c>
      <c r="F74" s="1" t="s">
        <v>146</v>
      </c>
      <c r="G74">
        <v>0</v>
      </c>
      <c r="H74">
        <v>9</v>
      </c>
      <c r="I74">
        <v>3</v>
      </c>
      <c r="J74">
        <v>12</v>
      </c>
      <c r="K74" s="33">
        <v>0.75</v>
      </c>
      <c r="L74" s="1"/>
      <c r="M74" s="1" t="str">
        <f>_xlfn.XLOOKUP(ocupacao[[#This Row],[UnidadeID]],unidades!$A:$A,unidades!$B:$B,"",0)</f>
        <v>Filial 1</v>
      </c>
      <c r="N74" s="1" t="str">
        <f>_xlfn.XLOOKUP(ocupacao[[#This Row],[UnidadeID]],unidades!$A:$A,unidades!$C:$C,"",0)</f>
        <v>Nova Iguaçu</v>
      </c>
      <c r="O74" s="1" t="str">
        <f>_xlfn.XLOOKUP(ocupacao[[#This Row],[EspecialidadeID]],especialidades!$A:$A,especialidades!$B:$B,"",0)</f>
        <v>MAMOGRAFIA</v>
      </c>
      <c r="P74" s="1" t="str">
        <f>TEXT(WEEKDAY(ocupacao[[#This Row],[Data]]),"ddd")</f>
        <v>sáb</v>
      </c>
      <c r="Q74" s="1">
        <f t="shared" si="1"/>
        <v>0</v>
      </c>
    </row>
    <row r="75" spans="1:17" hidden="1" x14ac:dyDescent="0.25">
      <c r="A75" s="2"/>
      <c r="F75" s="1"/>
      <c r="K75" s="33"/>
      <c r="L75" s="1"/>
      <c r="M75" s="1"/>
      <c r="N75" s="1"/>
      <c r="O75" s="1"/>
      <c r="P75" s="1"/>
      <c r="Q75" s="1"/>
    </row>
    <row r="76" spans="1:17" x14ac:dyDescent="0.25">
      <c r="A76" s="2">
        <v>44739</v>
      </c>
      <c r="B76">
        <v>22</v>
      </c>
      <c r="C76">
        <v>3</v>
      </c>
      <c r="D76">
        <v>40</v>
      </c>
      <c r="E76">
        <v>17888</v>
      </c>
      <c r="F76" s="1" t="s">
        <v>146</v>
      </c>
      <c r="G76">
        <v>0</v>
      </c>
      <c r="H76">
        <v>3</v>
      </c>
      <c r="I76">
        <v>6</v>
      </c>
      <c r="J76">
        <v>9</v>
      </c>
      <c r="K76" s="33">
        <v>0.33329999999999999</v>
      </c>
      <c r="L76" s="1"/>
      <c r="M76" s="1" t="str">
        <f>_xlfn.XLOOKUP(ocupacao[[#This Row],[UnidadeID]],unidades!$A:$A,unidades!$B:$B,"",0)</f>
        <v>Filial 1</v>
      </c>
      <c r="N76" s="1" t="str">
        <f>_xlfn.XLOOKUP(ocupacao[[#This Row],[UnidadeID]],unidades!$A:$A,unidades!$C:$C,"",0)</f>
        <v>Nova Iguaçu</v>
      </c>
      <c r="O76" s="1" t="str">
        <f>_xlfn.XLOOKUP(ocupacao[[#This Row],[EspecialidadeID]],especialidades!$A:$A,especialidades!$B:$B,"",0)</f>
        <v>MAMOGRAFIA</v>
      </c>
      <c r="P76" s="1" t="str">
        <f>TEXT(WEEKDAY(ocupacao[[#This Row],[Data]]),"ddd")</f>
        <v>seg</v>
      </c>
      <c r="Q76" s="1">
        <f t="shared" si="1"/>
        <v>0</v>
      </c>
    </row>
    <row r="77" spans="1:17" x14ac:dyDescent="0.25">
      <c r="A77" s="2">
        <v>44739</v>
      </c>
      <c r="B77">
        <v>24</v>
      </c>
      <c r="C77">
        <v>3</v>
      </c>
      <c r="D77">
        <v>59</v>
      </c>
      <c r="E77">
        <v>17889</v>
      </c>
      <c r="F77" s="1" t="s">
        <v>155</v>
      </c>
      <c r="G77">
        <v>0</v>
      </c>
      <c r="H77">
        <v>0</v>
      </c>
      <c r="I77">
        <v>18</v>
      </c>
      <c r="J77">
        <v>18</v>
      </c>
      <c r="K77" s="33">
        <v>0</v>
      </c>
      <c r="L77" s="1"/>
      <c r="M77" s="1" t="str">
        <f>_xlfn.XLOOKUP(ocupacao[[#This Row],[UnidadeID]],unidades!$A:$A,unidades!$B:$B,"",0)</f>
        <v>Nilópolis</v>
      </c>
      <c r="N77" s="1" t="str">
        <f>_xlfn.XLOOKUP(ocupacao[[#This Row],[UnidadeID]],unidades!$A:$A,unidades!$C:$C,"",0)</f>
        <v>Nilópolis</v>
      </c>
      <c r="O77" s="1" t="str">
        <f>_xlfn.XLOOKUP(ocupacao[[#This Row],[EspecialidadeID]],especialidades!$A:$A,especialidades!$B:$B,"",0)</f>
        <v>MAMOGRAFIA</v>
      </c>
      <c r="P77" s="1" t="str">
        <f>TEXT(WEEKDAY(ocupacao[[#This Row],[Data]]),"ddd")</f>
        <v>seg</v>
      </c>
      <c r="Q77" s="1">
        <f t="shared" si="1"/>
        <v>0</v>
      </c>
    </row>
    <row r="78" spans="1:17" hidden="1" x14ac:dyDescent="0.25">
      <c r="A78" s="2">
        <v>44740</v>
      </c>
      <c r="B78">
        <v>22</v>
      </c>
      <c r="C78">
        <v>3</v>
      </c>
      <c r="D78">
        <v>40</v>
      </c>
      <c r="E78">
        <v>17888</v>
      </c>
      <c r="F78" s="1" t="s">
        <v>146</v>
      </c>
      <c r="G78">
        <v>0</v>
      </c>
      <c r="H78">
        <v>4</v>
      </c>
      <c r="I78">
        <v>20</v>
      </c>
      <c r="J78">
        <v>24</v>
      </c>
      <c r="K78" s="33">
        <v>0.16669999999999999</v>
      </c>
      <c r="L78" s="1"/>
      <c r="M78" s="1"/>
      <c r="N78" s="1"/>
      <c r="O78" s="1"/>
      <c r="P78" s="1"/>
      <c r="Q78" s="1"/>
    </row>
    <row r="79" spans="1:17" x14ac:dyDescent="0.25">
      <c r="A79" s="2">
        <v>44740</v>
      </c>
      <c r="B79">
        <v>22</v>
      </c>
      <c r="C79">
        <v>3</v>
      </c>
      <c r="D79">
        <v>40</v>
      </c>
      <c r="E79">
        <v>17888</v>
      </c>
      <c r="F79" s="1" t="s">
        <v>146</v>
      </c>
      <c r="G79">
        <v>0</v>
      </c>
      <c r="H79">
        <v>2</v>
      </c>
      <c r="I79">
        <v>7</v>
      </c>
      <c r="J79">
        <v>9</v>
      </c>
      <c r="K79" s="33">
        <v>0.22220000000000001</v>
      </c>
      <c r="L79" s="1"/>
      <c r="M79" s="1" t="str">
        <f>_xlfn.XLOOKUP(ocupacao[[#This Row],[UnidadeID]],unidades!$A:$A,unidades!$B:$B,"",0)</f>
        <v>Filial 1</v>
      </c>
      <c r="N79" s="1" t="str">
        <f>_xlfn.XLOOKUP(ocupacao[[#This Row],[UnidadeID]],unidades!$A:$A,unidades!$C:$C,"",0)</f>
        <v>Nova Iguaçu</v>
      </c>
      <c r="O79" s="1" t="str">
        <f>_xlfn.XLOOKUP(ocupacao[[#This Row],[EspecialidadeID]],especialidades!$A:$A,especialidades!$B:$B,"",0)</f>
        <v>MAMOGRAFIA</v>
      </c>
      <c r="P79" s="1" t="str">
        <f>TEXT(WEEKDAY(ocupacao[[#This Row],[Data]]),"ddd")</f>
        <v>ter</v>
      </c>
      <c r="Q79" s="1">
        <f t="shared" si="1"/>
        <v>0</v>
      </c>
    </row>
    <row r="80" spans="1:17" x14ac:dyDescent="0.25">
      <c r="A80" s="2">
        <v>44740</v>
      </c>
      <c r="B80">
        <v>24</v>
      </c>
      <c r="C80">
        <v>3</v>
      </c>
      <c r="D80">
        <v>59</v>
      </c>
      <c r="E80">
        <v>17889</v>
      </c>
      <c r="F80" s="1" t="s">
        <v>155</v>
      </c>
      <c r="G80">
        <v>0</v>
      </c>
      <c r="H80">
        <v>1</v>
      </c>
      <c r="I80">
        <v>29</v>
      </c>
      <c r="J80">
        <v>30</v>
      </c>
      <c r="K80" s="33">
        <v>3.3300000000000003E-2</v>
      </c>
      <c r="L80" s="1"/>
      <c r="M80" s="1" t="str">
        <f>_xlfn.XLOOKUP(ocupacao[[#This Row],[UnidadeID]],unidades!$A:$A,unidades!$B:$B,"",0)</f>
        <v>Nilópolis</v>
      </c>
      <c r="N80" s="1" t="str">
        <f>_xlfn.XLOOKUP(ocupacao[[#This Row],[UnidadeID]],unidades!$A:$A,unidades!$C:$C,"",0)</f>
        <v>Nilópolis</v>
      </c>
      <c r="O80" s="1" t="str">
        <f>_xlfn.XLOOKUP(ocupacao[[#This Row],[EspecialidadeID]],especialidades!$A:$A,especialidades!$B:$B,"",0)</f>
        <v>MAMOGRAFIA</v>
      </c>
      <c r="P80" s="1" t="str">
        <f>TEXT(WEEKDAY(ocupacao[[#This Row],[Data]]),"ddd")</f>
        <v>ter</v>
      </c>
      <c r="Q80" s="1">
        <f t="shared" si="1"/>
        <v>0</v>
      </c>
    </row>
    <row r="81" spans="1:17" x14ac:dyDescent="0.25">
      <c r="A81" s="2">
        <v>44741</v>
      </c>
      <c r="B81">
        <v>22</v>
      </c>
      <c r="C81">
        <v>3</v>
      </c>
      <c r="D81">
        <v>40</v>
      </c>
      <c r="E81">
        <v>17888</v>
      </c>
      <c r="F81" s="1" t="s">
        <v>146</v>
      </c>
      <c r="G81">
        <v>0</v>
      </c>
      <c r="H81">
        <v>1</v>
      </c>
      <c r="I81">
        <v>23</v>
      </c>
      <c r="J81">
        <v>24</v>
      </c>
      <c r="K81" s="33">
        <v>4.1700000000000001E-2</v>
      </c>
      <c r="L81" s="1"/>
      <c r="M81" s="1" t="str">
        <f>_xlfn.XLOOKUP(ocupacao[[#This Row],[UnidadeID]],unidades!$A:$A,unidades!$B:$B,"",0)</f>
        <v>Filial 1</v>
      </c>
      <c r="N81" s="1" t="str">
        <f>_xlfn.XLOOKUP(ocupacao[[#This Row],[UnidadeID]],unidades!$A:$A,unidades!$C:$C,"",0)</f>
        <v>Nova Iguaçu</v>
      </c>
      <c r="O81" s="1" t="str">
        <f>_xlfn.XLOOKUP(ocupacao[[#This Row],[EspecialidadeID]],especialidades!$A:$A,especialidades!$B:$B,"",0)</f>
        <v>MAMOGRAFIA</v>
      </c>
      <c r="P81" s="1" t="str">
        <f>TEXT(WEEKDAY(ocupacao[[#This Row],[Data]]),"ddd")</f>
        <v>qua</v>
      </c>
      <c r="Q81" s="1">
        <f t="shared" si="1"/>
        <v>1</v>
      </c>
    </row>
    <row r="82" spans="1:17" x14ac:dyDescent="0.25">
      <c r="A82" s="2">
        <v>44741</v>
      </c>
      <c r="B82">
        <v>22</v>
      </c>
      <c r="C82">
        <v>3</v>
      </c>
      <c r="D82">
        <v>40</v>
      </c>
      <c r="E82">
        <v>17888</v>
      </c>
      <c r="F82" s="1" t="s">
        <v>146</v>
      </c>
      <c r="G82">
        <v>0</v>
      </c>
      <c r="H82">
        <v>0</v>
      </c>
      <c r="I82">
        <v>9</v>
      </c>
      <c r="J82">
        <v>9</v>
      </c>
      <c r="K82" s="33">
        <v>0</v>
      </c>
      <c r="L82" s="1"/>
      <c r="M82" s="1" t="str">
        <f>_xlfn.XLOOKUP(ocupacao[[#This Row],[UnidadeID]],unidades!$A:$A,unidades!$B:$B,"",0)</f>
        <v>Filial 1</v>
      </c>
      <c r="N82" s="1" t="str">
        <f>_xlfn.XLOOKUP(ocupacao[[#This Row],[UnidadeID]],unidades!$A:$A,unidades!$C:$C,"",0)</f>
        <v>Nova Iguaçu</v>
      </c>
      <c r="O82" s="1" t="str">
        <f>_xlfn.XLOOKUP(ocupacao[[#This Row],[EspecialidadeID]],especialidades!$A:$A,especialidades!$B:$B,"",0)</f>
        <v>MAMOGRAFIA</v>
      </c>
      <c r="P82" s="1" t="str">
        <f>TEXT(WEEKDAY(ocupacao[[#This Row],[Data]]),"ddd")</f>
        <v>qua</v>
      </c>
      <c r="Q82" s="1">
        <f t="shared" si="1"/>
        <v>0</v>
      </c>
    </row>
    <row r="83" spans="1:17" x14ac:dyDescent="0.25">
      <c r="A83" s="2">
        <v>44741</v>
      </c>
      <c r="B83">
        <v>24</v>
      </c>
      <c r="C83">
        <v>3</v>
      </c>
      <c r="D83">
        <v>59</v>
      </c>
      <c r="E83">
        <v>17889</v>
      </c>
      <c r="F83" s="1" t="s">
        <v>155</v>
      </c>
      <c r="G83">
        <v>0</v>
      </c>
      <c r="H83">
        <v>0</v>
      </c>
      <c r="I83">
        <v>18</v>
      </c>
      <c r="J83">
        <v>18</v>
      </c>
      <c r="K83" s="33">
        <v>0</v>
      </c>
      <c r="L83" s="1"/>
      <c r="M83" s="1" t="str">
        <f>_xlfn.XLOOKUP(ocupacao[[#This Row],[UnidadeID]],unidades!$A:$A,unidades!$B:$B,"",0)</f>
        <v>Nilópolis</v>
      </c>
      <c r="N83" s="1" t="str">
        <f>_xlfn.XLOOKUP(ocupacao[[#This Row],[UnidadeID]],unidades!$A:$A,unidades!$C:$C,"",0)</f>
        <v>Nilópolis</v>
      </c>
      <c r="O83" s="1" t="str">
        <f>_xlfn.XLOOKUP(ocupacao[[#This Row],[EspecialidadeID]],especialidades!$A:$A,especialidades!$B:$B,"",0)</f>
        <v>MAMOGRAFIA</v>
      </c>
      <c r="P83" s="1" t="str">
        <f>TEXT(WEEKDAY(ocupacao[[#This Row],[Data]]),"ddd")</f>
        <v>qua</v>
      </c>
      <c r="Q83" s="1">
        <f t="shared" si="1"/>
        <v>0</v>
      </c>
    </row>
    <row r="84" spans="1:17" hidden="1" x14ac:dyDescent="0.25">
      <c r="A84" s="2"/>
      <c r="F84" s="1"/>
      <c r="K84" s="33"/>
      <c r="L84" s="1"/>
      <c r="M84" s="1"/>
      <c r="N84" s="1"/>
      <c r="O84" s="1"/>
      <c r="P84" s="1"/>
      <c r="Q84" s="1"/>
    </row>
    <row r="85" spans="1:17" x14ac:dyDescent="0.25">
      <c r="A85" s="2">
        <v>44742</v>
      </c>
      <c r="B85">
        <v>22</v>
      </c>
      <c r="C85">
        <v>3</v>
      </c>
      <c r="D85">
        <v>40</v>
      </c>
      <c r="E85">
        <v>17888</v>
      </c>
      <c r="F85" s="1" t="s">
        <v>146</v>
      </c>
      <c r="G85">
        <v>0</v>
      </c>
      <c r="H85">
        <v>0</v>
      </c>
      <c r="I85">
        <v>9</v>
      </c>
      <c r="J85">
        <v>9</v>
      </c>
      <c r="K85" s="33">
        <v>0</v>
      </c>
      <c r="L85" s="1"/>
      <c r="M85" s="1" t="str">
        <f>_xlfn.XLOOKUP(ocupacao[[#This Row],[UnidadeID]],unidades!$A:$A,unidades!$B:$B,"",0)</f>
        <v>Filial 1</v>
      </c>
      <c r="N85" s="1" t="str">
        <f>_xlfn.XLOOKUP(ocupacao[[#This Row],[UnidadeID]],unidades!$A:$A,unidades!$C:$C,"",0)</f>
        <v>Nova Iguaçu</v>
      </c>
      <c r="O85" s="1" t="str">
        <f>_xlfn.XLOOKUP(ocupacao[[#This Row],[EspecialidadeID]],especialidades!$A:$A,especialidades!$B:$B,"",0)</f>
        <v>MAMOGRAFIA</v>
      </c>
      <c r="P85" s="1" t="str">
        <f>TEXT(WEEKDAY(ocupacao[[#This Row],[Data]]),"ddd")</f>
        <v>qui</v>
      </c>
      <c r="Q85" s="1">
        <f t="shared" si="1"/>
        <v>0</v>
      </c>
    </row>
    <row r="86" spans="1:17" x14ac:dyDescent="0.25">
      <c r="A86" s="2">
        <v>44742</v>
      </c>
      <c r="B86">
        <v>24</v>
      </c>
      <c r="C86">
        <v>3</v>
      </c>
      <c r="D86">
        <v>59</v>
      </c>
      <c r="E86">
        <v>17889</v>
      </c>
      <c r="F86" s="1" t="s">
        <v>155</v>
      </c>
      <c r="G86">
        <v>0</v>
      </c>
      <c r="H86">
        <v>0</v>
      </c>
      <c r="I86">
        <v>30</v>
      </c>
      <c r="J86">
        <v>30</v>
      </c>
      <c r="K86" s="33">
        <v>0</v>
      </c>
      <c r="L86" s="1"/>
      <c r="M86" s="1" t="str">
        <f>_xlfn.XLOOKUP(ocupacao[[#This Row],[UnidadeID]],unidades!$A:$A,unidades!$B:$B,"",0)</f>
        <v>Nilópolis</v>
      </c>
      <c r="N86" s="1" t="str">
        <f>_xlfn.XLOOKUP(ocupacao[[#This Row],[UnidadeID]],unidades!$A:$A,unidades!$C:$C,"",0)</f>
        <v>Nilópolis</v>
      </c>
      <c r="O86" s="1" t="str">
        <f>_xlfn.XLOOKUP(ocupacao[[#This Row],[EspecialidadeID]],especialidades!$A:$A,especialidades!$B:$B,"",0)</f>
        <v>MAMOGRAFIA</v>
      </c>
      <c r="P86" s="1" t="str">
        <f>TEXT(WEEKDAY(ocupacao[[#This Row],[Data]]),"ddd")</f>
        <v>qui</v>
      </c>
      <c r="Q86" s="1">
        <f t="shared" si="1"/>
        <v>0</v>
      </c>
    </row>
    <row r="87" spans="1:17" hidden="1" x14ac:dyDescent="0.25">
      <c r="A87" s="2">
        <v>44743</v>
      </c>
      <c r="B87">
        <v>22</v>
      </c>
      <c r="C87">
        <v>3</v>
      </c>
      <c r="D87">
        <v>40</v>
      </c>
      <c r="E87">
        <v>17888</v>
      </c>
      <c r="F87" s="1" t="s">
        <v>146</v>
      </c>
      <c r="G87">
        <v>0</v>
      </c>
      <c r="H87">
        <v>2</v>
      </c>
      <c r="I87">
        <v>22</v>
      </c>
      <c r="J87">
        <v>24</v>
      </c>
      <c r="K87" s="33">
        <v>8.3299999999999999E-2</v>
      </c>
      <c r="L87" s="1"/>
      <c r="M87" s="1"/>
      <c r="N87" s="1"/>
      <c r="O87" s="1"/>
      <c r="P87" s="1"/>
      <c r="Q87" s="1"/>
    </row>
    <row r="88" spans="1:17" x14ac:dyDescent="0.25">
      <c r="A88" s="2">
        <v>44743</v>
      </c>
      <c r="B88">
        <v>22</v>
      </c>
      <c r="C88">
        <v>3</v>
      </c>
      <c r="D88">
        <v>40</v>
      </c>
      <c r="E88">
        <v>17888</v>
      </c>
      <c r="F88" s="1" t="s">
        <v>146</v>
      </c>
      <c r="G88">
        <v>0</v>
      </c>
      <c r="H88">
        <v>1</v>
      </c>
      <c r="I88">
        <v>8</v>
      </c>
      <c r="J88">
        <v>9</v>
      </c>
      <c r="K88" s="33">
        <v>0.1111</v>
      </c>
      <c r="L88" s="1"/>
      <c r="M88" s="1" t="str">
        <f>_xlfn.XLOOKUP(ocupacao[[#This Row],[UnidadeID]],unidades!$A:$A,unidades!$B:$B,"",0)</f>
        <v>Filial 1</v>
      </c>
      <c r="N88" s="1" t="str">
        <f>_xlfn.XLOOKUP(ocupacao[[#This Row],[UnidadeID]],unidades!$A:$A,unidades!$C:$C,"",0)</f>
        <v>Nova Iguaçu</v>
      </c>
      <c r="O88" s="1" t="str">
        <f>_xlfn.XLOOKUP(ocupacao[[#This Row],[EspecialidadeID]],especialidades!$A:$A,especialidades!$B:$B,"",0)</f>
        <v>MAMOGRAFIA</v>
      </c>
      <c r="P88" s="1" t="str">
        <f>TEXT(WEEKDAY(ocupacao[[#This Row],[Data]]),"ddd")</f>
        <v>sex</v>
      </c>
      <c r="Q88" s="1">
        <f t="shared" si="1"/>
        <v>0</v>
      </c>
    </row>
    <row r="89" spans="1:17" x14ac:dyDescent="0.25">
      <c r="A89" s="2">
        <v>44743</v>
      </c>
      <c r="B89">
        <v>24</v>
      </c>
      <c r="C89">
        <v>3</v>
      </c>
      <c r="D89">
        <v>59</v>
      </c>
      <c r="E89">
        <v>17889</v>
      </c>
      <c r="F89" s="1" t="s">
        <v>155</v>
      </c>
      <c r="G89">
        <v>0</v>
      </c>
      <c r="H89">
        <v>0</v>
      </c>
      <c r="I89">
        <v>18</v>
      </c>
      <c r="J89">
        <v>18</v>
      </c>
      <c r="K89" s="33">
        <v>0</v>
      </c>
      <c r="L89" s="1"/>
      <c r="M89" s="1" t="str">
        <f>_xlfn.XLOOKUP(ocupacao[[#This Row],[UnidadeID]],unidades!$A:$A,unidades!$B:$B,"",0)</f>
        <v>Nilópolis</v>
      </c>
      <c r="N89" s="1" t="str">
        <f>_xlfn.XLOOKUP(ocupacao[[#This Row],[UnidadeID]],unidades!$A:$A,unidades!$C:$C,"",0)</f>
        <v>Nilópolis</v>
      </c>
      <c r="O89" s="1" t="str">
        <f>_xlfn.XLOOKUP(ocupacao[[#This Row],[EspecialidadeID]],especialidades!$A:$A,especialidades!$B:$B,"",0)</f>
        <v>MAMOGRAFIA</v>
      </c>
      <c r="P89" s="1" t="str">
        <f>TEXT(WEEKDAY(ocupacao[[#This Row],[Data]]),"ddd")</f>
        <v>sex</v>
      </c>
      <c r="Q89" s="1">
        <f t="shared" si="1"/>
        <v>0</v>
      </c>
    </row>
    <row r="90" spans="1:17" x14ac:dyDescent="0.25">
      <c r="A90" s="2"/>
      <c r="F90" s="1" t="s">
        <v>106</v>
      </c>
      <c r="K90" s="33"/>
      <c r="L90" s="1"/>
      <c r="M90" s="1">
        <f>_xlfn.XLOOKUP(ocupacao[[#This Row],[UnidadeID]],unidades!$A:$A,unidades!$B:$B,"",0)</f>
        <v>0</v>
      </c>
      <c r="N90" s="1">
        <f>_xlfn.XLOOKUP(ocupacao[[#This Row],[UnidadeID]],unidades!$A:$A,unidades!$C:$C,"",0)</f>
        <v>0</v>
      </c>
      <c r="O90" s="1">
        <f>_xlfn.XLOOKUP(ocupacao[[#This Row],[EspecialidadeID]],especialidades!$A:$A,especialidades!$B:$B,"",0)</f>
        <v>0</v>
      </c>
      <c r="P90" s="1" t="str">
        <f>TEXT(WEEKDAY(ocupacao[[#This Row],[Data]]),"ddd")</f>
        <v>sáb</v>
      </c>
      <c r="Q90" s="1">
        <f t="shared" si="1"/>
        <v>0</v>
      </c>
    </row>
    <row r="91" spans="1:17" x14ac:dyDescent="0.25">
      <c r="A91" s="2">
        <v>44733</v>
      </c>
      <c r="B91">
        <v>0</v>
      </c>
      <c r="C91">
        <v>4</v>
      </c>
      <c r="D91">
        <v>24</v>
      </c>
      <c r="E91">
        <v>174</v>
      </c>
      <c r="F91" s="1" t="s">
        <v>156</v>
      </c>
      <c r="G91">
        <v>0</v>
      </c>
      <c r="H91">
        <v>7</v>
      </c>
      <c r="I91">
        <v>25</v>
      </c>
      <c r="J91">
        <v>32</v>
      </c>
      <c r="K91" s="33">
        <v>0.21879999999999999</v>
      </c>
      <c r="L91" s="1"/>
      <c r="M91" s="1" t="str">
        <f>_xlfn.XLOOKUP(ocupacao[[#This Row],[UnidadeID]],unidades!$A:$A,unidades!$B:$B,"",0)</f>
        <v>Matriz</v>
      </c>
      <c r="N91" s="1" t="str">
        <f>_xlfn.XLOOKUP(ocupacao[[#This Row],[UnidadeID]],unidades!$A:$A,unidades!$C:$C,"",0)</f>
        <v>Nova Iguaçu</v>
      </c>
      <c r="O91" s="1" t="str">
        <f>_xlfn.XLOOKUP(ocupacao[[#This Row],[EspecialidadeID]],especialidades!$A:$A,especialidades!$B:$B,"",0)</f>
        <v>TOMOGRAFIA</v>
      </c>
      <c r="P91" s="1" t="str">
        <f>TEXT(WEEKDAY(ocupacao[[#This Row],[Data]]),"ddd")</f>
        <v>ter</v>
      </c>
      <c r="Q91" s="1">
        <f t="shared" si="1"/>
        <v>1</v>
      </c>
    </row>
    <row r="92" spans="1:17" x14ac:dyDescent="0.25">
      <c r="A92" s="2">
        <v>44733</v>
      </c>
      <c r="B92">
        <v>0</v>
      </c>
      <c r="C92">
        <v>4</v>
      </c>
      <c r="D92">
        <v>24</v>
      </c>
      <c r="E92">
        <v>174</v>
      </c>
      <c r="F92" s="1" t="s">
        <v>156</v>
      </c>
      <c r="G92">
        <v>0</v>
      </c>
      <c r="H92">
        <v>1</v>
      </c>
      <c r="I92">
        <v>11</v>
      </c>
      <c r="J92">
        <v>12</v>
      </c>
      <c r="K92" s="33">
        <v>8.3299999999999999E-2</v>
      </c>
      <c r="L92" s="1"/>
      <c r="M92" s="1" t="str">
        <f>_xlfn.XLOOKUP(ocupacao[[#This Row],[UnidadeID]],unidades!$A:$A,unidades!$B:$B,"",0)</f>
        <v>Matriz</v>
      </c>
      <c r="N92" s="1" t="str">
        <f>_xlfn.XLOOKUP(ocupacao[[#This Row],[UnidadeID]],unidades!$A:$A,unidades!$C:$C,"",0)</f>
        <v>Nova Iguaçu</v>
      </c>
      <c r="O92" s="1" t="str">
        <f>_xlfn.XLOOKUP(ocupacao[[#This Row],[EspecialidadeID]],especialidades!$A:$A,especialidades!$B:$B,"",0)</f>
        <v>TOMOGRAFIA</v>
      </c>
      <c r="P92" s="1" t="str">
        <f>TEXT(WEEKDAY(ocupacao[[#This Row],[Data]]),"ddd")</f>
        <v>ter</v>
      </c>
      <c r="Q92" s="1">
        <f t="shared" si="1"/>
        <v>1</v>
      </c>
    </row>
    <row r="93" spans="1:17" x14ac:dyDescent="0.25">
      <c r="A93" s="2">
        <v>44734</v>
      </c>
      <c r="B93">
        <v>0</v>
      </c>
      <c r="C93">
        <v>4</v>
      </c>
      <c r="D93">
        <v>24</v>
      </c>
      <c r="E93">
        <v>174</v>
      </c>
      <c r="F93" s="1" t="s">
        <v>156</v>
      </c>
      <c r="G93">
        <v>0</v>
      </c>
      <c r="H93">
        <v>1</v>
      </c>
      <c r="I93">
        <v>31</v>
      </c>
      <c r="J93">
        <v>32</v>
      </c>
      <c r="K93" s="33">
        <v>3.1300000000000001E-2</v>
      </c>
      <c r="L93" s="1"/>
      <c r="M93" s="1" t="str">
        <f>_xlfn.XLOOKUP(ocupacao[[#This Row],[UnidadeID]],unidades!$A:$A,unidades!$B:$B,"",0)</f>
        <v>Matriz</v>
      </c>
      <c r="N93" s="1" t="str">
        <f>_xlfn.XLOOKUP(ocupacao[[#This Row],[UnidadeID]],unidades!$A:$A,unidades!$C:$C,"",0)</f>
        <v>Nova Iguaçu</v>
      </c>
      <c r="O93" s="1" t="str">
        <f>_xlfn.XLOOKUP(ocupacao[[#This Row],[EspecialidadeID]],especialidades!$A:$A,especialidades!$B:$B,"",0)</f>
        <v>TOMOGRAFIA</v>
      </c>
      <c r="P93" s="1" t="str">
        <f>TEXT(WEEKDAY(ocupacao[[#This Row],[Data]]),"ddd")</f>
        <v>qua</v>
      </c>
      <c r="Q93" s="1">
        <f t="shared" si="1"/>
        <v>0</v>
      </c>
    </row>
    <row r="94" spans="1:17" hidden="1" x14ac:dyDescent="0.25">
      <c r="A94" s="2"/>
      <c r="F94" s="1"/>
      <c r="K94" s="33"/>
      <c r="L94" s="1"/>
      <c r="M94" s="1"/>
      <c r="N94" s="1"/>
      <c r="O94" s="1"/>
      <c r="P94" s="1"/>
      <c r="Q94" s="1"/>
    </row>
    <row r="95" spans="1:17" x14ac:dyDescent="0.25">
      <c r="A95" s="2">
        <v>44735</v>
      </c>
      <c r="B95">
        <v>0</v>
      </c>
      <c r="C95">
        <v>4</v>
      </c>
      <c r="D95">
        <v>24</v>
      </c>
      <c r="E95">
        <v>174</v>
      </c>
      <c r="F95" s="1" t="s">
        <v>156</v>
      </c>
      <c r="G95">
        <v>0</v>
      </c>
      <c r="H95">
        <v>4</v>
      </c>
      <c r="I95">
        <v>28</v>
      </c>
      <c r="J95">
        <v>32</v>
      </c>
      <c r="K95" s="33">
        <v>0.125</v>
      </c>
      <c r="L95" s="1"/>
      <c r="M95" s="1" t="str">
        <f>_xlfn.XLOOKUP(ocupacao[[#This Row],[UnidadeID]],unidades!$A:$A,unidades!$B:$B,"",0)</f>
        <v>Matriz</v>
      </c>
      <c r="N95" s="1" t="str">
        <f>_xlfn.XLOOKUP(ocupacao[[#This Row],[UnidadeID]],unidades!$A:$A,unidades!$C:$C,"",0)</f>
        <v>Nova Iguaçu</v>
      </c>
      <c r="O95" s="1" t="str">
        <f>_xlfn.XLOOKUP(ocupacao[[#This Row],[EspecialidadeID]],especialidades!$A:$A,especialidades!$B:$B,"",0)</f>
        <v>TOMOGRAFIA</v>
      </c>
      <c r="P95" s="1" t="str">
        <f>TEXT(WEEKDAY(ocupacao[[#This Row],[Data]]),"ddd")</f>
        <v>qui</v>
      </c>
      <c r="Q95" s="1">
        <f t="shared" si="1"/>
        <v>1</v>
      </c>
    </row>
    <row r="96" spans="1:17" hidden="1" x14ac:dyDescent="0.25">
      <c r="A96" s="2">
        <v>44735</v>
      </c>
      <c r="B96">
        <v>0</v>
      </c>
      <c r="C96">
        <v>4</v>
      </c>
      <c r="D96">
        <v>24</v>
      </c>
      <c r="E96">
        <v>174</v>
      </c>
      <c r="F96" s="1" t="s">
        <v>156</v>
      </c>
      <c r="G96">
        <v>0</v>
      </c>
      <c r="H96">
        <v>0</v>
      </c>
      <c r="I96">
        <v>12</v>
      </c>
      <c r="J96">
        <v>12</v>
      </c>
      <c r="K96" s="33">
        <v>0</v>
      </c>
      <c r="L96" s="1"/>
      <c r="M96" s="1"/>
      <c r="N96" s="1"/>
      <c r="O96" s="1"/>
      <c r="P96" s="1"/>
      <c r="Q96" s="1"/>
    </row>
    <row r="97" spans="1:17" hidden="1" x14ac:dyDescent="0.25">
      <c r="A97" s="2"/>
      <c r="F97" s="1"/>
      <c r="K97" s="33"/>
      <c r="L97" s="1"/>
      <c r="M97" s="1"/>
      <c r="N97" s="1"/>
      <c r="O97" s="1"/>
      <c r="P97" s="1"/>
      <c r="Q97" s="1"/>
    </row>
    <row r="98" spans="1:17" hidden="1" x14ac:dyDescent="0.25">
      <c r="A98" s="2">
        <v>44736</v>
      </c>
      <c r="B98">
        <v>0</v>
      </c>
      <c r="C98">
        <v>4</v>
      </c>
      <c r="D98">
        <v>24</v>
      </c>
      <c r="E98">
        <v>174</v>
      </c>
      <c r="F98" s="1" t="s">
        <v>156</v>
      </c>
      <c r="G98">
        <v>0</v>
      </c>
      <c r="H98">
        <v>0</v>
      </c>
      <c r="I98">
        <v>12</v>
      </c>
      <c r="J98">
        <v>12</v>
      </c>
      <c r="K98" s="33">
        <v>0</v>
      </c>
      <c r="L98" s="1"/>
      <c r="M98" s="1"/>
      <c r="N98" s="1"/>
      <c r="O98" s="1"/>
      <c r="P98" s="1"/>
      <c r="Q98" s="1"/>
    </row>
    <row r="99" spans="1:17" hidden="1" x14ac:dyDescent="0.25">
      <c r="A99" s="2">
        <v>44737</v>
      </c>
      <c r="B99">
        <v>0</v>
      </c>
      <c r="C99">
        <v>4</v>
      </c>
      <c r="D99">
        <v>24</v>
      </c>
      <c r="E99">
        <v>174</v>
      </c>
      <c r="F99" s="1" t="s">
        <v>156</v>
      </c>
      <c r="G99">
        <v>0</v>
      </c>
      <c r="H99">
        <v>1</v>
      </c>
      <c r="I99">
        <v>23</v>
      </c>
      <c r="J99">
        <v>24</v>
      </c>
      <c r="K99" s="33">
        <v>4.1700000000000001E-2</v>
      </c>
      <c r="L99" s="1"/>
      <c r="M99" s="1"/>
      <c r="N99" s="1"/>
      <c r="O99" s="1"/>
      <c r="P99" s="1"/>
      <c r="Q99" s="1"/>
    </row>
    <row r="100" spans="1:17" hidden="1" x14ac:dyDescent="0.25">
      <c r="A100" s="2">
        <v>44738</v>
      </c>
      <c r="B100">
        <v>0</v>
      </c>
      <c r="C100">
        <v>4</v>
      </c>
      <c r="D100">
        <v>24</v>
      </c>
      <c r="E100">
        <v>174</v>
      </c>
      <c r="F100" s="1" t="s">
        <v>156</v>
      </c>
      <c r="G100">
        <v>0</v>
      </c>
      <c r="H100">
        <v>0</v>
      </c>
      <c r="I100">
        <v>18</v>
      </c>
      <c r="J100">
        <v>18</v>
      </c>
      <c r="K100" s="33">
        <v>0</v>
      </c>
      <c r="L100" s="1"/>
      <c r="M100" s="1"/>
      <c r="N100" s="1"/>
      <c r="O100" s="1"/>
      <c r="P100" s="1"/>
      <c r="Q100" s="1"/>
    </row>
    <row r="101" spans="1:17" x14ac:dyDescent="0.25">
      <c r="A101" s="2">
        <v>44739</v>
      </c>
      <c r="B101">
        <v>0</v>
      </c>
      <c r="C101">
        <v>4</v>
      </c>
      <c r="D101">
        <v>24</v>
      </c>
      <c r="E101">
        <v>174</v>
      </c>
      <c r="F101" s="1" t="s">
        <v>156</v>
      </c>
      <c r="G101">
        <v>0</v>
      </c>
      <c r="H101">
        <v>3</v>
      </c>
      <c r="I101">
        <v>30</v>
      </c>
      <c r="J101">
        <v>33</v>
      </c>
      <c r="K101" s="33">
        <v>9.0899999999999995E-2</v>
      </c>
      <c r="L101" s="1"/>
      <c r="M101" s="1" t="str">
        <f>_xlfn.XLOOKUP(ocupacao[[#This Row],[UnidadeID]],unidades!$A:$A,unidades!$B:$B,"",0)</f>
        <v>Matriz</v>
      </c>
      <c r="N101" s="1" t="str">
        <f>_xlfn.XLOOKUP(ocupacao[[#This Row],[UnidadeID]],unidades!$A:$A,unidades!$C:$C,"",0)</f>
        <v>Nova Iguaçu</v>
      </c>
      <c r="O101" s="1" t="str">
        <f>_xlfn.XLOOKUP(ocupacao[[#This Row],[EspecialidadeID]],especialidades!$A:$A,especialidades!$B:$B,"",0)</f>
        <v>TOMOGRAFIA</v>
      </c>
      <c r="P101" s="1" t="str">
        <f>TEXT(WEEKDAY(ocupacao[[#This Row],[Data]]),"ddd")</f>
        <v>seg</v>
      </c>
      <c r="Q101" s="1">
        <f t="shared" si="1"/>
        <v>1</v>
      </c>
    </row>
    <row r="102" spans="1:17" hidden="1" x14ac:dyDescent="0.25">
      <c r="A102" s="2">
        <v>44739</v>
      </c>
      <c r="B102">
        <v>0</v>
      </c>
      <c r="C102">
        <v>4</v>
      </c>
      <c r="D102">
        <v>24</v>
      </c>
      <c r="E102">
        <v>174</v>
      </c>
      <c r="F102" s="1" t="s">
        <v>156</v>
      </c>
      <c r="G102">
        <v>0</v>
      </c>
      <c r="H102">
        <v>0</v>
      </c>
      <c r="I102">
        <v>12</v>
      </c>
      <c r="J102">
        <v>12</v>
      </c>
      <c r="K102" s="33">
        <v>0</v>
      </c>
      <c r="L102" s="1"/>
      <c r="M102" s="1"/>
      <c r="N102" s="1"/>
      <c r="O102" s="1"/>
      <c r="P102" s="1"/>
      <c r="Q102" s="1"/>
    </row>
    <row r="103" spans="1:17" x14ac:dyDescent="0.25">
      <c r="A103" s="2">
        <v>44740</v>
      </c>
      <c r="B103">
        <v>0</v>
      </c>
      <c r="C103">
        <v>4</v>
      </c>
      <c r="D103">
        <v>24</v>
      </c>
      <c r="E103">
        <v>174</v>
      </c>
      <c r="F103" s="1" t="s">
        <v>156</v>
      </c>
      <c r="G103">
        <v>0</v>
      </c>
      <c r="H103">
        <v>2</v>
      </c>
      <c r="I103">
        <v>30</v>
      </c>
      <c r="J103">
        <v>32</v>
      </c>
      <c r="K103" s="33">
        <v>6.25E-2</v>
      </c>
      <c r="L103" s="1"/>
      <c r="M103" s="1" t="str">
        <f>_xlfn.XLOOKUP(ocupacao[[#This Row],[UnidadeID]],unidades!$A:$A,unidades!$B:$B,"",0)</f>
        <v>Matriz</v>
      </c>
      <c r="N103" s="1" t="str">
        <f>_xlfn.XLOOKUP(ocupacao[[#This Row],[UnidadeID]],unidades!$A:$A,unidades!$C:$C,"",0)</f>
        <v>Nova Iguaçu</v>
      </c>
      <c r="O103" s="1" t="str">
        <f>_xlfn.XLOOKUP(ocupacao[[#This Row],[EspecialidadeID]],especialidades!$A:$A,especialidades!$B:$B,"",0)</f>
        <v>TOMOGRAFIA</v>
      </c>
      <c r="P103" s="1" t="str">
        <f>TEXT(WEEKDAY(ocupacao[[#This Row],[Data]]),"ddd")</f>
        <v>ter</v>
      </c>
      <c r="Q103" s="1">
        <f t="shared" si="1"/>
        <v>1</v>
      </c>
    </row>
    <row r="104" spans="1:17" hidden="1" x14ac:dyDescent="0.25">
      <c r="A104" s="2">
        <v>44740</v>
      </c>
      <c r="B104">
        <v>0</v>
      </c>
      <c r="C104">
        <v>4</v>
      </c>
      <c r="D104">
        <v>24</v>
      </c>
      <c r="E104">
        <v>174</v>
      </c>
      <c r="F104" s="1" t="s">
        <v>156</v>
      </c>
      <c r="G104">
        <v>0</v>
      </c>
      <c r="H104">
        <v>0</v>
      </c>
      <c r="I104">
        <v>12</v>
      </c>
      <c r="J104">
        <v>12</v>
      </c>
      <c r="K104" s="33">
        <v>0</v>
      </c>
      <c r="L104" s="1"/>
      <c r="M104" s="1"/>
      <c r="N104" s="1"/>
      <c r="O104" s="1"/>
      <c r="P104" s="1"/>
      <c r="Q104" s="1"/>
    </row>
    <row r="105" spans="1:17" hidden="1" x14ac:dyDescent="0.25">
      <c r="A105" s="2"/>
      <c r="F105" s="1"/>
      <c r="K105" s="33"/>
      <c r="L105" s="1"/>
      <c r="M105" s="1"/>
      <c r="N105" s="1"/>
      <c r="O105" s="1"/>
      <c r="P105" s="1"/>
      <c r="Q105" s="1"/>
    </row>
    <row r="106" spans="1:17" hidden="1" x14ac:dyDescent="0.25">
      <c r="A106" s="2">
        <v>44741</v>
      </c>
      <c r="B106">
        <v>0</v>
      </c>
      <c r="C106">
        <v>4</v>
      </c>
      <c r="D106">
        <v>24</v>
      </c>
      <c r="E106">
        <v>174</v>
      </c>
      <c r="F106" s="1" t="s">
        <v>156</v>
      </c>
      <c r="G106">
        <v>0</v>
      </c>
      <c r="H106">
        <v>0</v>
      </c>
      <c r="I106">
        <v>12</v>
      </c>
      <c r="J106">
        <v>12</v>
      </c>
      <c r="K106" s="33">
        <v>0</v>
      </c>
      <c r="L106" s="1"/>
      <c r="M106" s="1"/>
      <c r="N106" s="1"/>
      <c r="O106" s="1"/>
      <c r="P106" s="1"/>
      <c r="Q106" s="1"/>
    </row>
    <row r="107" spans="1:17" hidden="1" x14ac:dyDescent="0.25">
      <c r="A107" s="2">
        <v>44742</v>
      </c>
      <c r="B107">
        <v>0</v>
      </c>
      <c r="C107">
        <v>4</v>
      </c>
      <c r="D107">
        <v>24</v>
      </c>
      <c r="E107">
        <v>174</v>
      </c>
      <c r="F107" s="1" t="s">
        <v>156</v>
      </c>
      <c r="G107">
        <v>0</v>
      </c>
      <c r="H107">
        <v>0</v>
      </c>
      <c r="I107">
        <v>32</v>
      </c>
      <c r="J107">
        <v>32</v>
      </c>
      <c r="K107" s="33">
        <v>0</v>
      </c>
      <c r="L107" s="1"/>
      <c r="M107" s="1"/>
      <c r="N107" s="1"/>
      <c r="O107" s="1"/>
      <c r="P107" s="1"/>
      <c r="Q107" s="1"/>
    </row>
    <row r="108" spans="1:17" hidden="1" x14ac:dyDescent="0.25">
      <c r="A108" s="2">
        <v>44742</v>
      </c>
      <c r="B108">
        <v>0</v>
      </c>
      <c r="C108">
        <v>4</v>
      </c>
      <c r="D108">
        <v>24</v>
      </c>
      <c r="E108">
        <v>174</v>
      </c>
      <c r="F108" s="1" t="s">
        <v>156</v>
      </c>
      <c r="G108">
        <v>0</v>
      </c>
      <c r="H108">
        <v>0</v>
      </c>
      <c r="I108">
        <v>12</v>
      </c>
      <c r="J108">
        <v>12</v>
      </c>
      <c r="K108" s="33">
        <v>0</v>
      </c>
      <c r="L108" s="1"/>
      <c r="M108" s="1"/>
      <c r="N108" s="1"/>
      <c r="O108" s="1"/>
      <c r="P108" s="1"/>
      <c r="Q108" s="1"/>
    </row>
    <row r="109" spans="1:17" hidden="1" x14ac:dyDescent="0.25">
      <c r="A109" s="2">
        <v>44743</v>
      </c>
      <c r="B109">
        <v>0</v>
      </c>
      <c r="C109">
        <v>4</v>
      </c>
      <c r="D109">
        <v>24</v>
      </c>
      <c r="E109">
        <v>174</v>
      </c>
      <c r="F109" s="1" t="s">
        <v>156</v>
      </c>
      <c r="G109">
        <v>0</v>
      </c>
      <c r="H109">
        <v>0</v>
      </c>
      <c r="I109">
        <v>32</v>
      </c>
      <c r="J109">
        <v>32</v>
      </c>
      <c r="K109" s="33">
        <v>0</v>
      </c>
      <c r="L109" s="1"/>
      <c r="M109" s="1"/>
      <c r="N109" s="1"/>
      <c r="O109" s="1"/>
      <c r="P109" s="1"/>
      <c r="Q109" s="1"/>
    </row>
    <row r="110" spans="1:17" x14ac:dyDescent="0.25">
      <c r="A110" s="2">
        <v>44743</v>
      </c>
      <c r="B110">
        <v>0</v>
      </c>
      <c r="C110">
        <v>4</v>
      </c>
      <c r="D110">
        <v>24</v>
      </c>
      <c r="E110">
        <v>174</v>
      </c>
      <c r="F110" s="1" t="s">
        <v>156</v>
      </c>
      <c r="G110">
        <v>0</v>
      </c>
      <c r="H110">
        <v>0</v>
      </c>
      <c r="I110">
        <v>12</v>
      </c>
      <c r="J110">
        <v>12</v>
      </c>
      <c r="K110" s="33">
        <v>0</v>
      </c>
      <c r="L110" s="1"/>
      <c r="M110" s="1" t="str">
        <f>_xlfn.XLOOKUP(ocupacao[[#This Row],[UnidadeID]],unidades!$A:$A,unidades!$B:$B,"",0)</f>
        <v>Matriz</v>
      </c>
      <c r="N110" s="1" t="str">
        <f>_xlfn.XLOOKUP(ocupacao[[#This Row],[UnidadeID]],unidades!$A:$A,unidades!$C:$C,"",0)</f>
        <v>Nova Iguaçu</v>
      </c>
      <c r="O110" s="1" t="str">
        <f>_xlfn.XLOOKUP(ocupacao[[#This Row],[EspecialidadeID]],especialidades!$A:$A,especialidades!$B:$B,"",0)</f>
        <v>TOMOGRAFIA</v>
      </c>
      <c r="P110" s="1" t="str">
        <f>TEXT(WEEKDAY(ocupacao[[#This Row],[Data]]),"ddd")</f>
        <v>sex</v>
      </c>
      <c r="Q110" s="1">
        <f t="shared" si="1"/>
        <v>0</v>
      </c>
    </row>
    <row r="111" spans="1:17" x14ac:dyDescent="0.25">
      <c r="A111" s="2"/>
      <c r="F111" s="1" t="s">
        <v>106</v>
      </c>
      <c r="K111" s="33"/>
      <c r="L111" s="1"/>
      <c r="M111" s="1">
        <f>_xlfn.XLOOKUP(ocupacao[[#This Row],[UnidadeID]],unidades!$A:$A,unidades!$B:$B,"",0)</f>
        <v>0</v>
      </c>
      <c r="N111" s="1">
        <f>_xlfn.XLOOKUP(ocupacao[[#This Row],[UnidadeID]],unidades!$A:$A,unidades!$C:$C,"",0)</f>
        <v>0</v>
      </c>
      <c r="O111" s="1">
        <f>_xlfn.XLOOKUP(ocupacao[[#This Row],[EspecialidadeID]],especialidades!$A:$A,especialidades!$B:$B,"",0)</f>
        <v>0</v>
      </c>
      <c r="P111" s="1" t="str">
        <f>TEXT(WEEKDAY(ocupacao[[#This Row],[Data]]),"ddd")</f>
        <v>sáb</v>
      </c>
      <c r="Q111" s="1">
        <f t="shared" si="1"/>
        <v>0</v>
      </c>
    </row>
    <row r="112" spans="1:17" hidden="1" x14ac:dyDescent="0.25">
      <c r="A112" s="2">
        <v>44733</v>
      </c>
      <c r="B112">
        <v>10</v>
      </c>
      <c r="C112">
        <v>5</v>
      </c>
      <c r="D112">
        <v>3</v>
      </c>
      <c r="E112">
        <v>55</v>
      </c>
      <c r="F112" s="1" t="s">
        <v>318</v>
      </c>
      <c r="G112">
        <v>0</v>
      </c>
      <c r="H112">
        <v>16</v>
      </c>
      <c r="I112">
        <v>0</v>
      </c>
      <c r="J112">
        <v>16</v>
      </c>
      <c r="K112" s="33">
        <v>1</v>
      </c>
      <c r="L112" s="1"/>
      <c r="M112" s="1"/>
      <c r="N112" s="1"/>
      <c r="O112" s="1"/>
      <c r="P112" s="1"/>
      <c r="Q112" s="1"/>
    </row>
    <row r="113" spans="1:17" x14ac:dyDescent="0.25">
      <c r="A113" s="2">
        <v>44733</v>
      </c>
      <c r="B113">
        <v>10</v>
      </c>
      <c r="C113">
        <v>5</v>
      </c>
      <c r="D113">
        <v>3</v>
      </c>
      <c r="E113">
        <v>55</v>
      </c>
      <c r="F113" s="1" t="s">
        <v>318</v>
      </c>
      <c r="G113">
        <v>0</v>
      </c>
      <c r="H113">
        <v>16</v>
      </c>
      <c r="I113">
        <v>0</v>
      </c>
      <c r="J113">
        <v>16</v>
      </c>
      <c r="K113" s="33">
        <v>1</v>
      </c>
      <c r="L113" s="1"/>
      <c r="M113" s="1" t="str">
        <f>_xlfn.XLOOKUP(ocupacao[[#This Row],[UnidadeID]],unidades!$A:$A,unidades!$B:$B,"",0)</f>
        <v>Filial 2 - 10º</v>
      </c>
      <c r="N113" s="1" t="str">
        <f>_xlfn.XLOOKUP(ocupacao[[#This Row],[UnidadeID]],unidades!$A:$A,unidades!$C:$C,"",0)</f>
        <v>Nova Iguaçu</v>
      </c>
      <c r="O113" s="1" t="str">
        <f>_xlfn.XLOOKUP(ocupacao[[#This Row],[EspecialidadeID]],especialidades!$A:$A,especialidades!$B:$B,"",0)</f>
        <v>CARDIOLOGIA</v>
      </c>
      <c r="P113" s="1" t="str">
        <f>TEXT(WEEKDAY(ocupacao[[#This Row],[Data]]),"ddd")</f>
        <v>ter</v>
      </c>
      <c r="Q113" s="1">
        <f t="shared" si="1"/>
        <v>0</v>
      </c>
    </row>
    <row r="114" spans="1:17" x14ac:dyDescent="0.25">
      <c r="A114" s="2">
        <v>44733</v>
      </c>
      <c r="B114">
        <v>10</v>
      </c>
      <c r="C114">
        <v>5</v>
      </c>
      <c r="D114">
        <v>2</v>
      </c>
      <c r="E114">
        <v>57</v>
      </c>
      <c r="F114" s="1" t="s">
        <v>88</v>
      </c>
      <c r="G114">
        <v>0</v>
      </c>
      <c r="H114">
        <v>24</v>
      </c>
      <c r="I114">
        <v>0</v>
      </c>
      <c r="J114">
        <v>24</v>
      </c>
      <c r="K114" s="33">
        <v>1</v>
      </c>
      <c r="L114" s="1"/>
      <c r="M114" s="1" t="str">
        <f>_xlfn.XLOOKUP(ocupacao[[#This Row],[UnidadeID]],unidades!$A:$A,unidades!$B:$B,"",0)</f>
        <v>Filial 2 - 10º</v>
      </c>
      <c r="N114" s="1" t="str">
        <f>_xlfn.XLOOKUP(ocupacao[[#This Row],[UnidadeID]],unidades!$A:$A,unidades!$C:$C,"",0)</f>
        <v>Nova Iguaçu</v>
      </c>
      <c r="O114" s="1" t="str">
        <f>_xlfn.XLOOKUP(ocupacao[[#This Row],[EspecialidadeID]],especialidades!$A:$A,especialidades!$B:$B,"",0)</f>
        <v>CARDIOLOGIA</v>
      </c>
      <c r="P114" s="1" t="str">
        <f>TEXT(WEEKDAY(ocupacao[[#This Row],[Data]]),"ddd")</f>
        <v>ter</v>
      </c>
      <c r="Q114" s="1">
        <f t="shared" si="1"/>
        <v>1</v>
      </c>
    </row>
    <row r="115" spans="1:17" x14ac:dyDescent="0.25">
      <c r="A115" s="2">
        <v>44734</v>
      </c>
      <c r="B115">
        <v>10</v>
      </c>
      <c r="C115">
        <v>5</v>
      </c>
      <c r="D115">
        <v>8</v>
      </c>
      <c r="E115">
        <v>57</v>
      </c>
      <c r="F115" s="1" t="s">
        <v>88</v>
      </c>
      <c r="G115">
        <v>0</v>
      </c>
      <c r="H115">
        <v>23</v>
      </c>
      <c r="I115">
        <v>0</v>
      </c>
      <c r="J115">
        <v>23</v>
      </c>
      <c r="K115" s="33">
        <v>1</v>
      </c>
      <c r="L115" s="1"/>
      <c r="M115" s="1" t="str">
        <f>_xlfn.XLOOKUP(ocupacao[[#This Row],[UnidadeID]],unidades!$A:$A,unidades!$B:$B,"",0)</f>
        <v>Filial 2 - 10º</v>
      </c>
      <c r="N115" s="1" t="str">
        <f>_xlfn.XLOOKUP(ocupacao[[#This Row],[UnidadeID]],unidades!$A:$A,unidades!$C:$C,"",0)</f>
        <v>Nova Iguaçu</v>
      </c>
      <c r="O115" s="1" t="str">
        <f>_xlfn.XLOOKUP(ocupacao[[#This Row],[EspecialidadeID]],especialidades!$A:$A,especialidades!$B:$B,"",0)</f>
        <v>CARDIOLOGIA</v>
      </c>
      <c r="P115" s="1" t="str">
        <f>TEXT(WEEKDAY(ocupacao[[#This Row],[Data]]),"ddd")</f>
        <v>qua</v>
      </c>
      <c r="Q115" s="1">
        <f t="shared" si="1"/>
        <v>0</v>
      </c>
    </row>
    <row r="116" spans="1:17" x14ac:dyDescent="0.25">
      <c r="A116" s="2">
        <v>44734</v>
      </c>
      <c r="B116">
        <v>10</v>
      </c>
      <c r="C116">
        <v>5</v>
      </c>
      <c r="D116">
        <v>7</v>
      </c>
      <c r="E116">
        <v>60</v>
      </c>
      <c r="F116" s="1" t="s">
        <v>113</v>
      </c>
      <c r="G116">
        <v>0</v>
      </c>
      <c r="H116">
        <v>24</v>
      </c>
      <c r="I116">
        <v>0</v>
      </c>
      <c r="J116">
        <v>24</v>
      </c>
      <c r="K116" s="33">
        <v>1</v>
      </c>
      <c r="L116" s="1"/>
      <c r="M116" s="1" t="str">
        <f>_xlfn.XLOOKUP(ocupacao[[#This Row],[UnidadeID]],unidades!$A:$A,unidades!$B:$B,"",0)</f>
        <v>Filial 2 - 10º</v>
      </c>
      <c r="N116" s="1" t="str">
        <f>_xlfn.XLOOKUP(ocupacao[[#This Row],[UnidadeID]],unidades!$A:$A,unidades!$C:$C,"",0)</f>
        <v>Nova Iguaçu</v>
      </c>
      <c r="O116" s="1" t="str">
        <f>_xlfn.XLOOKUP(ocupacao[[#This Row],[EspecialidadeID]],especialidades!$A:$A,especialidades!$B:$B,"",0)</f>
        <v>CARDIOLOGIA</v>
      </c>
      <c r="P116" s="1" t="str">
        <f>TEXT(WEEKDAY(ocupacao[[#This Row],[Data]]),"ddd")</f>
        <v>qua</v>
      </c>
      <c r="Q116" s="1">
        <f t="shared" si="1"/>
        <v>0</v>
      </c>
    </row>
    <row r="117" spans="1:17" x14ac:dyDescent="0.25">
      <c r="A117" s="2">
        <v>44734</v>
      </c>
      <c r="B117">
        <v>10</v>
      </c>
      <c r="C117">
        <v>5</v>
      </c>
      <c r="D117">
        <v>8</v>
      </c>
      <c r="E117">
        <v>9217</v>
      </c>
      <c r="F117" s="1" t="s">
        <v>317</v>
      </c>
      <c r="G117">
        <v>0</v>
      </c>
      <c r="H117">
        <v>23</v>
      </c>
      <c r="I117">
        <v>0</v>
      </c>
      <c r="J117">
        <v>23</v>
      </c>
      <c r="K117" s="33">
        <v>1</v>
      </c>
      <c r="L117" s="1"/>
      <c r="M117" s="1" t="str">
        <f>_xlfn.XLOOKUP(ocupacao[[#This Row],[UnidadeID]],unidades!$A:$A,unidades!$B:$B,"",0)</f>
        <v>Filial 2 - 10º</v>
      </c>
      <c r="N117" s="1" t="str">
        <f>_xlfn.XLOOKUP(ocupacao[[#This Row],[UnidadeID]],unidades!$A:$A,unidades!$C:$C,"",0)</f>
        <v>Nova Iguaçu</v>
      </c>
      <c r="O117" s="1" t="str">
        <f>_xlfn.XLOOKUP(ocupacao[[#This Row],[EspecialidadeID]],especialidades!$A:$A,especialidades!$B:$B,"",0)</f>
        <v>CARDIOLOGIA</v>
      </c>
      <c r="P117" s="1" t="str">
        <f>TEXT(WEEKDAY(ocupacao[[#This Row],[Data]]),"ddd")</f>
        <v>qua</v>
      </c>
      <c r="Q117" s="1">
        <f t="shared" si="1"/>
        <v>0</v>
      </c>
    </row>
    <row r="118" spans="1:17" hidden="1" x14ac:dyDescent="0.25">
      <c r="A118" s="2">
        <v>44734</v>
      </c>
      <c r="B118">
        <v>10</v>
      </c>
      <c r="C118">
        <v>5</v>
      </c>
      <c r="D118">
        <v>9</v>
      </c>
      <c r="E118">
        <v>10691</v>
      </c>
      <c r="F118" s="1" t="s">
        <v>119</v>
      </c>
      <c r="G118">
        <v>0</v>
      </c>
      <c r="H118">
        <v>20</v>
      </c>
      <c r="I118">
        <v>0</v>
      </c>
      <c r="J118">
        <v>20</v>
      </c>
      <c r="K118" s="33">
        <v>1</v>
      </c>
      <c r="L118" s="1"/>
      <c r="M118" s="1"/>
      <c r="N118" s="1"/>
      <c r="O118" s="1"/>
      <c r="P118" s="1"/>
      <c r="Q118" s="1"/>
    </row>
    <row r="119" spans="1:17" x14ac:dyDescent="0.25">
      <c r="A119" s="2">
        <v>44735</v>
      </c>
      <c r="B119">
        <v>10</v>
      </c>
      <c r="C119">
        <v>5</v>
      </c>
      <c r="D119">
        <v>3</v>
      </c>
      <c r="E119">
        <v>55</v>
      </c>
      <c r="F119" s="1" t="s">
        <v>318</v>
      </c>
      <c r="G119">
        <v>0</v>
      </c>
      <c r="H119">
        <v>17</v>
      </c>
      <c r="I119">
        <v>0</v>
      </c>
      <c r="J119">
        <v>17</v>
      </c>
      <c r="K119" s="33">
        <v>1</v>
      </c>
      <c r="L119" s="1"/>
      <c r="M119" s="1" t="str">
        <f>_xlfn.XLOOKUP(ocupacao[[#This Row],[UnidadeID]],unidades!$A:$A,unidades!$B:$B,"",0)</f>
        <v>Filial 2 - 10º</v>
      </c>
      <c r="N119" s="1" t="str">
        <f>_xlfn.XLOOKUP(ocupacao[[#This Row],[UnidadeID]],unidades!$A:$A,unidades!$C:$C,"",0)</f>
        <v>Nova Iguaçu</v>
      </c>
      <c r="O119" s="1" t="str">
        <f>_xlfn.XLOOKUP(ocupacao[[#This Row],[EspecialidadeID]],especialidades!$A:$A,especialidades!$B:$B,"",0)</f>
        <v>CARDIOLOGIA</v>
      </c>
      <c r="P119" s="1" t="str">
        <f>TEXT(WEEKDAY(ocupacao[[#This Row],[Data]]),"ddd")</f>
        <v>qui</v>
      </c>
      <c r="Q119" s="1">
        <f t="shared" si="1"/>
        <v>0</v>
      </c>
    </row>
    <row r="120" spans="1:17" x14ac:dyDescent="0.25">
      <c r="A120" s="2">
        <v>44735</v>
      </c>
      <c r="B120">
        <v>10</v>
      </c>
      <c r="C120">
        <v>5</v>
      </c>
      <c r="D120">
        <v>8</v>
      </c>
      <c r="E120">
        <v>9217</v>
      </c>
      <c r="F120" s="1" t="s">
        <v>317</v>
      </c>
      <c r="G120">
        <v>0</v>
      </c>
      <c r="H120">
        <v>22</v>
      </c>
      <c r="I120">
        <v>0</v>
      </c>
      <c r="J120">
        <v>22</v>
      </c>
      <c r="K120" s="33">
        <v>1</v>
      </c>
      <c r="L120" s="1"/>
      <c r="M120" s="1" t="str">
        <f>_xlfn.XLOOKUP(ocupacao[[#This Row],[UnidadeID]],unidades!$A:$A,unidades!$B:$B,"",0)</f>
        <v>Filial 2 - 10º</v>
      </c>
      <c r="N120" s="1" t="str">
        <f>_xlfn.XLOOKUP(ocupacao[[#This Row],[UnidadeID]],unidades!$A:$A,unidades!$C:$C,"",0)</f>
        <v>Nova Iguaçu</v>
      </c>
      <c r="O120" s="1" t="str">
        <f>_xlfn.XLOOKUP(ocupacao[[#This Row],[EspecialidadeID]],especialidades!$A:$A,especialidades!$B:$B,"",0)</f>
        <v>CARDIOLOGIA</v>
      </c>
      <c r="P120" s="1" t="str">
        <f>TEXT(WEEKDAY(ocupacao[[#This Row],[Data]]),"ddd")</f>
        <v>qui</v>
      </c>
      <c r="Q120" s="1">
        <f t="shared" si="1"/>
        <v>0</v>
      </c>
    </row>
    <row r="121" spans="1:17" x14ac:dyDescent="0.25">
      <c r="A121" s="2">
        <v>44736</v>
      </c>
      <c r="B121">
        <v>24</v>
      </c>
      <c r="C121">
        <v>5</v>
      </c>
      <c r="D121">
        <v>68</v>
      </c>
      <c r="E121">
        <v>55</v>
      </c>
      <c r="F121" s="1" t="s">
        <v>318</v>
      </c>
      <c r="G121">
        <v>0</v>
      </c>
      <c r="H121">
        <v>32</v>
      </c>
      <c r="I121">
        <v>0</v>
      </c>
      <c r="J121">
        <v>32</v>
      </c>
      <c r="K121" s="33">
        <v>1</v>
      </c>
      <c r="L121" s="1"/>
      <c r="M121" s="1" t="str">
        <f>_xlfn.XLOOKUP(ocupacao[[#This Row],[UnidadeID]],unidades!$A:$A,unidades!$B:$B,"",0)</f>
        <v>Nilópolis</v>
      </c>
      <c r="N121" s="1" t="str">
        <f>_xlfn.XLOOKUP(ocupacao[[#This Row],[UnidadeID]],unidades!$A:$A,unidades!$C:$C,"",0)</f>
        <v>Nilópolis</v>
      </c>
      <c r="O121" s="1" t="str">
        <f>_xlfn.XLOOKUP(ocupacao[[#This Row],[EspecialidadeID]],especialidades!$A:$A,especialidades!$B:$B,"",0)</f>
        <v>CARDIOLOGIA</v>
      </c>
      <c r="P121" s="1" t="str">
        <f>TEXT(WEEKDAY(ocupacao[[#This Row],[Data]]),"ddd")</f>
        <v>sex</v>
      </c>
      <c r="Q121" s="1">
        <f t="shared" si="1"/>
        <v>0</v>
      </c>
    </row>
    <row r="122" spans="1:17" hidden="1" x14ac:dyDescent="0.25">
      <c r="A122" s="2">
        <v>44736</v>
      </c>
      <c r="B122">
        <v>10</v>
      </c>
      <c r="C122">
        <v>5</v>
      </c>
      <c r="D122">
        <v>8</v>
      </c>
      <c r="E122">
        <v>57</v>
      </c>
      <c r="F122" s="1" t="s">
        <v>88</v>
      </c>
      <c r="G122">
        <v>0</v>
      </c>
      <c r="H122">
        <v>23</v>
      </c>
      <c r="I122">
        <v>0</v>
      </c>
      <c r="J122">
        <v>23</v>
      </c>
      <c r="K122" s="33">
        <v>1</v>
      </c>
      <c r="L122" s="1"/>
      <c r="M122" s="1"/>
      <c r="N122" s="1"/>
      <c r="O122" s="1"/>
      <c r="P122" s="1"/>
      <c r="Q122" s="1"/>
    </row>
    <row r="123" spans="1:17" x14ac:dyDescent="0.25">
      <c r="A123" s="2">
        <v>44736</v>
      </c>
      <c r="B123">
        <v>0</v>
      </c>
      <c r="C123">
        <v>5</v>
      </c>
      <c r="D123">
        <v>345</v>
      </c>
      <c r="E123">
        <v>60</v>
      </c>
      <c r="F123" s="1" t="s">
        <v>113</v>
      </c>
      <c r="G123">
        <v>0</v>
      </c>
      <c r="H123">
        <v>35</v>
      </c>
      <c r="I123">
        <v>0</v>
      </c>
      <c r="J123">
        <v>35</v>
      </c>
      <c r="K123" s="33">
        <v>1</v>
      </c>
      <c r="L123" s="1"/>
      <c r="M123" s="1" t="str">
        <f>_xlfn.XLOOKUP(ocupacao[[#This Row],[UnidadeID]],unidades!$A:$A,unidades!$B:$B,"",0)</f>
        <v>Matriz</v>
      </c>
      <c r="N123" s="1" t="str">
        <f>_xlfn.XLOOKUP(ocupacao[[#This Row],[UnidadeID]],unidades!$A:$A,unidades!$C:$C,"",0)</f>
        <v>Nova Iguaçu</v>
      </c>
      <c r="O123" s="1" t="str">
        <f>_xlfn.XLOOKUP(ocupacao[[#This Row],[EspecialidadeID]],especialidades!$A:$A,especialidades!$B:$B,"",0)</f>
        <v>CARDIOLOGIA</v>
      </c>
      <c r="P123" s="1" t="str">
        <f>TEXT(WEEKDAY(ocupacao[[#This Row],[Data]]),"ddd")</f>
        <v>sex</v>
      </c>
      <c r="Q123" s="1">
        <f t="shared" si="1"/>
        <v>0</v>
      </c>
    </row>
    <row r="124" spans="1:17" hidden="1" x14ac:dyDescent="0.25">
      <c r="A124" s="2"/>
      <c r="F124" s="1"/>
      <c r="K124" s="33"/>
      <c r="L124" s="1"/>
      <c r="M124" s="1"/>
      <c r="N124" s="1"/>
      <c r="O124" s="1"/>
      <c r="P124" s="1"/>
      <c r="Q124" s="1"/>
    </row>
    <row r="125" spans="1:17" x14ac:dyDescent="0.25">
      <c r="A125" s="2">
        <v>44737</v>
      </c>
      <c r="B125">
        <v>34</v>
      </c>
      <c r="C125">
        <v>5</v>
      </c>
      <c r="D125">
        <v>375</v>
      </c>
      <c r="E125">
        <v>60</v>
      </c>
      <c r="F125" s="1" t="s">
        <v>113</v>
      </c>
      <c r="G125">
        <v>0</v>
      </c>
      <c r="H125">
        <v>28</v>
      </c>
      <c r="I125">
        <v>13</v>
      </c>
      <c r="J125">
        <v>41</v>
      </c>
      <c r="K125" s="33">
        <v>0.68289999999999995</v>
      </c>
      <c r="L125" s="1"/>
      <c r="M125" s="1" t="str">
        <f>_xlfn.XLOOKUP(ocupacao[[#This Row],[UnidadeID]],unidades!$A:$A,unidades!$B:$B,"",0)</f>
        <v>São João</v>
      </c>
      <c r="N125" s="1" t="str">
        <f>_xlfn.XLOOKUP(ocupacao[[#This Row],[UnidadeID]],unidades!$A:$A,unidades!$C:$C,"",0)</f>
        <v>São João de Meriti</v>
      </c>
      <c r="O125" s="1" t="str">
        <f>_xlfn.XLOOKUP(ocupacao[[#This Row],[EspecialidadeID]],especialidades!$A:$A,especialidades!$B:$B,"",0)</f>
        <v>CARDIOLOGIA</v>
      </c>
      <c r="P125" s="1" t="str">
        <f>TEXT(WEEKDAY(ocupacao[[#This Row],[Data]]),"ddd")</f>
        <v>sáb</v>
      </c>
      <c r="Q125" s="1">
        <f t="shared" si="1"/>
        <v>1</v>
      </c>
    </row>
    <row r="126" spans="1:17" x14ac:dyDescent="0.25">
      <c r="A126" s="2">
        <v>44739</v>
      </c>
      <c r="B126">
        <v>24</v>
      </c>
      <c r="C126">
        <v>5</v>
      </c>
      <c r="D126">
        <v>66</v>
      </c>
      <c r="E126">
        <v>60</v>
      </c>
      <c r="F126" s="1" t="s">
        <v>113</v>
      </c>
      <c r="G126">
        <v>0</v>
      </c>
      <c r="H126">
        <v>1</v>
      </c>
      <c r="I126">
        <v>0</v>
      </c>
      <c r="J126">
        <v>1</v>
      </c>
      <c r="K126" s="33">
        <v>1</v>
      </c>
      <c r="L126" s="1"/>
      <c r="M126" s="1" t="str">
        <f>_xlfn.XLOOKUP(ocupacao[[#This Row],[UnidadeID]],unidades!$A:$A,unidades!$B:$B,"",0)</f>
        <v>Nilópolis</v>
      </c>
      <c r="N126" s="1" t="str">
        <f>_xlfn.XLOOKUP(ocupacao[[#This Row],[UnidadeID]],unidades!$A:$A,unidades!$C:$C,"",0)</f>
        <v>Nilópolis</v>
      </c>
      <c r="O126" s="1" t="str">
        <f>_xlfn.XLOOKUP(ocupacao[[#This Row],[EspecialidadeID]],especialidades!$A:$A,especialidades!$B:$B,"",0)</f>
        <v>CARDIOLOGIA</v>
      </c>
      <c r="P126" s="1" t="str">
        <f>TEXT(WEEKDAY(ocupacao[[#This Row],[Data]]),"ddd")</f>
        <v>seg</v>
      </c>
      <c r="Q126" s="1">
        <f t="shared" si="1"/>
        <v>1</v>
      </c>
    </row>
    <row r="127" spans="1:17" x14ac:dyDescent="0.25">
      <c r="A127" s="2">
        <v>44739</v>
      </c>
      <c r="B127">
        <v>24</v>
      </c>
      <c r="C127">
        <v>5</v>
      </c>
      <c r="D127">
        <v>66</v>
      </c>
      <c r="E127">
        <v>60</v>
      </c>
      <c r="F127" s="1" t="s">
        <v>113</v>
      </c>
      <c r="G127">
        <v>0</v>
      </c>
      <c r="H127">
        <v>12</v>
      </c>
      <c r="I127">
        <v>0</v>
      </c>
      <c r="J127">
        <v>12</v>
      </c>
      <c r="K127" s="33">
        <v>1</v>
      </c>
      <c r="L127" s="1"/>
      <c r="M127" s="1" t="str">
        <f>_xlfn.XLOOKUP(ocupacao[[#This Row],[UnidadeID]],unidades!$A:$A,unidades!$B:$B,"",0)</f>
        <v>Nilópolis</v>
      </c>
      <c r="N127" s="1" t="str">
        <f>_xlfn.XLOOKUP(ocupacao[[#This Row],[UnidadeID]],unidades!$A:$A,unidades!$C:$C,"",0)</f>
        <v>Nilópolis</v>
      </c>
      <c r="O127" s="1" t="str">
        <f>_xlfn.XLOOKUP(ocupacao[[#This Row],[EspecialidadeID]],especialidades!$A:$A,especialidades!$B:$B,"",0)</f>
        <v>CARDIOLOGIA</v>
      </c>
      <c r="P127" s="1" t="str">
        <f>TEXT(WEEKDAY(ocupacao[[#This Row],[Data]]),"ddd")</f>
        <v>seg</v>
      </c>
      <c r="Q127" s="1">
        <f t="shared" si="1"/>
        <v>0</v>
      </c>
    </row>
    <row r="128" spans="1:17" x14ac:dyDescent="0.25">
      <c r="A128" s="2">
        <v>44739</v>
      </c>
      <c r="B128">
        <v>18</v>
      </c>
      <c r="C128">
        <v>5</v>
      </c>
      <c r="D128">
        <v>78</v>
      </c>
      <c r="E128">
        <v>10595</v>
      </c>
      <c r="F128" s="1" t="s">
        <v>353</v>
      </c>
      <c r="G128">
        <v>4</v>
      </c>
      <c r="H128">
        <v>0</v>
      </c>
      <c r="I128">
        <v>2</v>
      </c>
      <c r="J128">
        <v>6</v>
      </c>
      <c r="K128" s="33">
        <v>0.66669999999999996</v>
      </c>
      <c r="L128" s="1"/>
      <c r="M128" s="1" t="str">
        <f>_xlfn.XLOOKUP(ocupacao[[#This Row],[UnidadeID]],unidades!$A:$A,unidades!$B:$B,"",0)</f>
        <v>Miguel Couto</v>
      </c>
      <c r="N128" s="1" t="str">
        <f>_xlfn.XLOOKUP(ocupacao[[#This Row],[UnidadeID]],unidades!$A:$A,unidades!$C:$C,"",0)</f>
        <v>Miguel Couto</v>
      </c>
      <c r="O128" s="1" t="str">
        <f>_xlfn.XLOOKUP(ocupacao[[#This Row],[EspecialidadeID]],especialidades!$A:$A,especialidades!$B:$B,"",0)</f>
        <v>CARDIOLOGIA</v>
      </c>
      <c r="P128" s="1" t="str">
        <f>TEXT(WEEKDAY(ocupacao[[#This Row],[Data]]),"ddd")</f>
        <v>seg</v>
      </c>
      <c r="Q128" s="1">
        <f t="shared" si="1"/>
        <v>1</v>
      </c>
    </row>
    <row r="129" spans="1:17" x14ac:dyDescent="0.25">
      <c r="A129" s="2">
        <v>44739</v>
      </c>
      <c r="B129">
        <v>18</v>
      </c>
      <c r="C129">
        <v>5</v>
      </c>
      <c r="D129">
        <v>78</v>
      </c>
      <c r="E129">
        <v>10595</v>
      </c>
      <c r="F129" s="1" t="s">
        <v>353</v>
      </c>
      <c r="G129">
        <v>4</v>
      </c>
      <c r="H129">
        <v>44</v>
      </c>
      <c r="I129">
        <v>2</v>
      </c>
      <c r="J129">
        <v>50</v>
      </c>
      <c r="K129" s="33">
        <v>0.96</v>
      </c>
      <c r="L129" s="1"/>
      <c r="M129" s="1" t="str">
        <f>_xlfn.XLOOKUP(ocupacao[[#This Row],[UnidadeID]],unidades!$A:$A,unidades!$B:$B,"",0)</f>
        <v>Miguel Couto</v>
      </c>
      <c r="N129" s="1" t="str">
        <f>_xlfn.XLOOKUP(ocupacao[[#This Row],[UnidadeID]],unidades!$A:$A,unidades!$C:$C,"",0)</f>
        <v>Miguel Couto</v>
      </c>
      <c r="O129" s="1" t="str">
        <f>_xlfn.XLOOKUP(ocupacao[[#This Row],[EspecialidadeID]],especialidades!$A:$A,especialidades!$B:$B,"",0)</f>
        <v>CARDIOLOGIA</v>
      </c>
      <c r="P129" s="1" t="str">
        <f>TEXT(WEEKDAY(ocupacao[[#This Row],[Data]]),"ddd")</f>
        <v>seg</v>
      </c>
      <c r="Q129" s="1">
        <f t="shared" si="1"/>
        <v>0</v>
      </c>
    </row>
    <row r="130" spans="1:17" x14ac:dyDescent="0.25">
      <c r="A130" s="2">
        <v>44739</v>
      </c>
      <c r="B130">
        <v>10</v>
      </c>
      <c r="C130">
        <v>5</v>
      </c>
      <c r="D130">
        <v>3</v>
      </c>
      <c r="E130">
        <v>10946</v>
      </c>
      <c r="F130" s="1" t="s">
        <v>354</v>
      </c>
      <c r="G130">
        <v>0</v>
      </c>
      <c r="H130">
        <v>25</v>
      </c>
      <c r="I130">
        <v>0</v>
      </c>
      <c r="J130">
        <v>25</v>
      </c>
      <c r="K130" s="33">
        <v>1</v>
      </c>
      <c r="L130" s="1"/>
      <c r="M130" s="1" t="str">
        <f>_xlfn.XLOOKUP(ocupacao[[#This Row],[UnidadeID]],unidades!$A:$A,unidades!$B:$B,"",0)</f>
        <v>Filial 2 - 10º</v>
      </c>
      <c r="N130" s="1" t="str">
        <f>_xlfn.XLOOKUP(ocupacao[[#This Row],[UnidadeID]],unidades!$A:$A,unidades!$C:$C,"",0)</f>
        <v>Nova Iguaçu</v>
      </c>
      <c r="O130" s="1" t="str">
        <f>_xlfn.XLOOKUP(ocupacao[[#This Row],[EspecialidadeID]],especialidades!$A:$A,especialidades!$B:$B,"",0)</f>
        <v>CARDIOLOGIA</v>
      </c>
      <c r="P130" s="1" t="str">
        <f>TEXT(WEEKDAY(ocupacao[[#This Row],[Data]]),"ddd")</f>
        <v>seg</v>
      </c>
      <c r="Q130" s="1">
        <f t="shared" ref="Q130:Q193" si="2">IF(F130=F131,1,0)</f>
        <v>0</v>
      </c>
    </row>
    <row r="131" spans="1:17" x14ac:dyDescent="0.25">
      <c r="A131" s="2">
        <v>44739</v>
      </c>
      <c r="B131">
        <v>10</v>
      </c>
      <c r="C131">
        <v>5</v>
      </c>
      <c r="D131">
        <v>6</v>
      </c>
      <c r="E131">
        <v>17951</v>
      </c>
      <c r="F131" s="1" t="s">
        <v>371</v>
      </c>
      <c r="G131">
        <v>0</v>
      </c>
      <c r="H131">
        <v>25</v>
      </c>
      <c r="I131">
        <v>0</v>
      </c>
      <c r="J131">
        <v>25</v>
      </c>
      <c r="K131" s="33">
        <v>1</v>
      </c>
      <c r="L131" s="1"/>
      <c r="M131" s="1" t="str">
        <f>_xlfn.XLOOKUP(ocupacao[[#This Row],[UnidadeID]],unidades!$A:$A,unidades!$B:$B,"",0)</f>
        <v>Filial 2 - 10º</v>
      </c>
      <c r="N131" s="1" t="str">
        <f>_xlfn.XLOOKUP(ocupacao[[#This Row],[UnidadeID]],unidades!$A:$A,unidades!$C:$C,"",0)</f>
        <v>Nova Iguaçu</v>
      </c>
      <c r="O131" s="1" t="str">
        <f>_xlfn.XLOOKUP(ocupacao[[#This Row],[EspecialidadeID]],especialidades!$A:$A,especialidades!$B:$B,"",0)</f>
        <v>CARDIOLOGIA</v>
      </c>
      <c r="P131" s="1" t="str">
        <f>TEXT(WEEKDAY(ocupacao[[#This Row],[Data]]),"ddd")</f>
        <v>seg</v>
      </c>
      <c r="Q131" s="1">
        <f t="shared" si="2"/>
        <v>0</v>
      </c>
    </row>
    <row r="132" spans="1:17" x14ac:dyDescent="0.25">
      <c r="A132" s="2">
        <v>44740</v>
      </c>
      <c r="B132">
        <v>10</v>
      </c>
      <c r="C132">
        <v>5</v>
      </c>
      <c r="D132">
        <v>3</v>
      </c>
      <c r="E132">
        <v>55</v>
      </c>
      <c r="F132" s="1" t="s">
        <v>318</v>
      </c>
      <c r="G132">
        <v>0</v>
      </c>
      <c r="H132">
        <v>16</v>
      </c>
      <c r="I132">
        <v>0</v>
      </c>
      <c r="J132">
        <v>16</v>
      </c>
      <c r="K132" s="33">
        <v>1</v>
      </c>
      <c r="L132" s="1"/>
      <c r="M132" s="1" t="str">
        <f>_xlfn.XLOOKUP(ocupacao[[#This Row],[UnidadeID]],unidades!$A:$A,unidades!$B:$B,"",0)</f>
        <v>Filial 2 - 10º</v>
      </c>
      <c r="N132" s="1" t="str">
        <f>_xlfn.XLOOKUP(ocupacao[[#This Row],[UnidadeID]],unidades!$A:$A,unidades!$C:$C,"",0)</f>
        <v>Nova Iguaçu</v>
      </c>
      <c r="O132" s="1" t="str">
        <f>_xlfn.XLOOKUP(ocupacao[[#This Row],[EspecialidadeID]],especialidades!$A:$A,especialidades!$B:$B,"",0)</f>
        <v>CARDIOLOGIA</v>
      </c>
      <c r="P132" s="1" t="str">
        <f>TEXT(WEEKDAY(ocupacao[[#This Row],[Data]]),"ddd")</f>
        <v>ter</v>
      </c>
      <c r="Q132" s="1">
        <f t="shared" si="2"/>
        <v>1</v>
      </c>
    </row>
    <row r="133" spans="1:17" x14ac:dyDescent="0.25">
      <c r="A133" s="2">
        <v>44740</v>
      </c>
      <c r="B133">
        <v>10</v>
      </c>
      <c r="C133">
        <v>5</v>
      </c>
      <c r="D133">
        <v>3</v>
      </c>
      <c r="E133">
        <v>55</v>
      </c>
      <c r="F133" s="1" t="s">
        <v>318</v>
      </c>
      <c r="G133">
        <v>0</v>
      </c>
      <c r="H133">
        <v>16</v>
      </c>
      <c r="I133">
        <v>0</v>
      </c>
      <c r="J133">
        <v>16</v>
      </c>
      <c r="K133" s="33">
        <v>1</v>
      </c>
      <c r="L133" s="1"/>
      <c r="M133" s="1" t="str">
        <f>_xlfn.XLOOKUP(ocupacao[[#This Row],[UnidadeID]],unidades!$A:$A,unidades!$B:$B,"",0)</f>
        <v>Filial 2 - 10º</v>
      </c>
      <c r="N133" s="1" t="str">
        <f>_xlfn.XLOOKUP(ocupacao[[#This Row],[UnidadeID]],unidades!$A:$A,unidades!$C:$C,"",0)</f>
        <v>Nova Iguaçu</v>
      </c>
      <c r="O133" s="1" t="str">
        <f>_xlfn.XLOOKUP(ocupacao[[#This Row],[EspecialidadeID]],especialidades!$A:$A,especialidades!$B:$B,"",0)</f>
        <v>CARDIOLOGIA</v>
      </c>
      <c r="P133" s="1" t="str">
        <f>TEXT(WEEKDAY(ocupacao[[#This Row],[Data]]),"ddd")</f>
        <v>ter</v>
      </c>
      <c r="Q133" s="1">
        <f t="shared" si="2"/>
        <v>0</v>
      </c>
    </row>
    <row r="134" spans="1:17" x14ac:dyDescent="0.25">
      <c r="A134" s="2">
        <v>44740</v>
      </c>
      <c r="B134">
        <v>0</v>
      </c>
      <c r="C134">
        <v>5</v>
      </c>
      <c r="D134">
        <v>343</v>
      </c>
      <c r="E134">
        <v>17951</v>
      </c>
      <c r="F134" s="1" t="s">
        <v>371</v>
      </c>
      <c r="G134">
        <v>0</v>
      </c>
      <c r="H134">
        <v>18</v>
      </c>
      <c r="I134">
        <v>0</v>
      </c>
      <c r="J134">
        <v>18</v>
      </c>
      <c r="K134" s="33">
        <v>1</v>
      </c>
      <c r="L134" s="1"/>
      <c r="M134" s="1" t="str">
        <f>_xlfn.XLOOKUP(ocupacao[[#This Row],[UnidadeID]],unidades!$A:$A,unidades!$B:$B,"",0)</f>
        <v>Matriz</v>
      </c>
      <c r="N134" s="1" t="str">
        <f>_xlfn.XLOOKUP(ocupacao[[#This Row],[UnidadeID]],unidades!$A:$A,unidades!$C:$C,"",0)</f>
        <v>Nova Iguaçu</v>
      </c>
      <c r="O134" s="1" t="str">
        <f>_xlfn.XLOOKUP(ocupacao[[#This Row],[EspecialidadeID]],especialidades!$A:$A,especialidades!$B:$B,"",0)</f>
        <v>CARDIOLOGIA</v>
      </c>
      <c r="P134" s="1" t="str">
        <f>TEXT(WEEKDAY(ocupacao[[#This Row],[Data]]),"ddd")</f>
        <v>ter</v>
      </c>
      <c r="Q134" s="1">
        <f t="shared" si="2"/>
        <v>0</v>
      </c>
    </row>
    <row r="135" spans="1:17" hidden="1" x14ac:dyDescent="0.25">
      <c r="A135" s="2">
        <v>44741</v>
      </c>
      <c r="B135">
        <v>10</v>
      </c>
      <c r="C135">
        <v>5</v>
      </c>
      <c r="D135">
        <v>8</v>
      </c>
      <c r="E135">
        <v>57</v>
      </c>
      <c r="F135" s="1" t="s">
        <v>88</v>
      </c>
      <c r="G135">
        <v>0</v>
      </c>
      <c r="H135">
        <v>23</v>
      </c>
      <c r="I135">
        <v>0</v>
      </c>
      <c r="J135">
        <v>23</v>
      </c>
      <c r="K135" s="33">
        <v>1</v>
      </c>
      <c r="L135" s="1"/>
      <c r="M135" s="1"/>
      <c r="N135" s="1"/>
      <c r="O135" s="1"/>
      <c r="P135" s="1"/>
      <c r="Q135" s="1"/>
    </row>
    <row r="136" spans="1:17" x14ac:dyDescent="0.25">
      <c r="A136" s="2">
        <v>44741</v>
      </c>
      <c r="B136">
        <v>10</v>
      </c>
      <c r="C136">
        <v>5</v>
      </c>
      <c r="D136">
        <v>7</v>
      </c>
      <c r="E136">
        <v>60</v>
      </c>
      <c r="F136" s="1" t="s">
        <v>113</v>
      </c>
      <c r="G136">
        <v>0</v>
      </c>
      <c r="H136">
        <v>24</v>
      </c>
      <c r="I136">
        <v>0</v>
      </c>
      <c r="J136">
        <v>24</v>
      </c>
      <c r="K136" s="33">
        <v>1</v>
      </c>
      <c r="L136" s="1"/>
      <c r="M136" s="1" t="str">
        <f>_xlfn.XLOOKUP(ocupacao[[#This Row],[UnidadeID]],unidades!$A:$A,unidades!$B:$B,"",0)</f>
        <v>Filial 2 - 10º</v>
      </c>
      <c r="N136" s="1" t="str">
        <f>_xlfn.XLOOKUP(ocupacao[[#This Row],[UnidadeID]],unidades!$A:$A,unidades!$C:$C,"",0)</f>
        <v>Nova Iguaçu</v>
      </c>
      <c r="O136" s="1" t="str">
        <f>_xlfn.XLOOKUP(ocupacao[[#This Row],[EspecialidadeID]],especialidades!$A:$A,especialidades!$B:$B,"",0)</f>
        <v>CARDIOLOGIA</v>
      </c>
      <c r="P136" s="1" t="str">
        <f>TEXT(WEEKDAY(ocupacao[[#This Row],[Data]]),"ddd")</f>
        <v>qua</v>
      </c>
      <c r="Q136" s="1">
        <f t="shared" si="2"/>
        <v>0</v>
      </c>
    </row>
    <row r="137" spans="1:17" hidden="1" x14ac:dyDescent="0.25">
      <c r="A137" s="2">
        <v>44741</v>
      </c>
      <c r="B137">
        <v>10</v>
      </c>
      <c r="C137">
        <v>5</v>
      </c>
      <c r="D137">
        <v>8</v>
      </c>
      <c r="E137">
        <v>9217</v>
      </c>
      <c r="F137" s="1" t="s">
        <v>317</v>
      </c>
      <c r="G137">
        <v>0</v>
      </c>
      <c r="H137">
        <v>22</v>
      </c>
      <c r="I137">
        <v>0</v>
      </c>
      <c r="J137">
        <v>22</v>
      </c>
      <c r="K137" s="33">
        <v>1</v>
      </c>
      <c r="L137" s="1"/>
      <c r="M137" s="1"/>
      <c r="N137" s="1"/>
      <c r="O137" s="1"/>
      <c r="P137" s="1"/>
      <c r="Q137" s="1"/>
    </row>
    <row r="138" spans="1:17" hidden="1" x14ac:dyDescent="0.25">
      <c r="A138" s="2"/>
      <c r="F138" s="1"/>
      <c r="K138" s="33"/>
      <c r="L138" s="1"/>
      <c r="M138" s="1"/>
      <c r="N138" s="1"/>
      <c r="O138" s="1"/>
      <c r="P138" s="1"/>
      <c r="Q138" s="1"/>
    </row>
    <row r="139" spans="1:17" x14ac:dyDescent="0.25">
      <c r="A139" s="2">
        <v>44741</v>
      </c>
      <c r="B139">
        <v>18</v>
      </c>
      <c r="C139">
        <v>5</v>
      </c>
      <c r="D139">
        <v>85</v>
      </c>
      <c r="E139">
        <v>17864</v>
      </c>
      <c r="F139" s="1" t="s">
        <v>372</v>
      </c>
      <c r="G139">
        <v>0</v>
      </c>
      <c r="H139">
        <v>1</v>
      </c>
      <c r="I139">
        <v>22</v>
      </c>
      <c r="J139">
        <v>23</v>
      </c>
      <c r="K139" s="33">
        <v>4.3499999999999997E-2</v>
      </c>
      <c r="L139" s="1"/>
      <c r="M139" s="1" t="str">
        <f>_xlfn.XLOOKUP(ocupacao[[#This Row],[UnidadeID]],unidades!$A:$A,unidades!$B:$B,"",0)</f>
        <v>Miguel Couto</v>
      </c>
      <c r="N139" s="1" t="str">
        <f>_xlfn.XLOOKUP(ocupacao[[#This Row],[UnidadeID]],unidades!$A:$A,unidades!$C:$C,"",0)</f>
        <v>Miguel Couto</v>
      </c>
      <c r="O139" s="1" t="str">
        <f>_xlfn.XLOOKUP(ocupacao[[#This Row],[EspecialidadeID]],especialidades!$A:$A,especialidades!$B:$B,"",0)</f>
        <v>CARDIOLOGIA</v>
      </c>
      <c r="P139" s="1" t="str">
        <f>TEXT(WEEKDAY(ocupacao[[#This Row],[Data]]),"ddd")</f>
        <v>qua</v>
      </c>
      <c r="Q139" s="1">
        <f t="shared" si="2"/>
        <v>0</v>
      </c>
    </row>
    <row r="140" spans="1:17" x14ac:dyDescent="0.25">
      <c r="A140" s="2">
        <v>44742</v>
      </c>
      <c r="B140">
        <v>10</v>
      </c>
      <c r="C140">
        <v>5</v>
      </c>
      <c r="D140">
        <v>3</v>
      </c>
      <c r="E140">
        <v>55</v>
      </c>
      <c r="F140" s="1" t="s">
        <v>318</v>
      </c>
      <c r="G140">
        <v>0</v>
      </c>
      <c r="H140">
        <v>16</v>
      </c>
      <c r="I140">
        <v>0</v>
      </c>
      <c r="J140">
        <v>16</v>
      </c>
      <c r="K140" s="33">
        <v>1</v>
      </c>
      <c r="L140" s="1"/>
      <c r="M140" s="1" t="str">
        <f>_xlfn.XLOOKUP(ocupacao[[#This Row],[UnidadeID]],unidades!$A:$A,unidades!$B:$B,"",0)</f>
        <v>Filial 2 - 10º</v>
      </c>
      <c r="N140" s="1" t="str">
        <f>_xlfn.XLOOKUP(ocupacao[[#This Row],[UnidadeID]],unidades!$A:$A,unidades!$C:$C,"",0)</f>
        <v>Nova Iguaçu</v>
      </c>
      <c r="O140" s="1" t="str">
        <f>_xlfn.XLOOKUP(ocupacao[[#This Row],[EspecialidadeID]],especialidades!$A:$A,especialidades!$B:$B,"",0)</f>
        <v>CARDIOLOGIA</v>
      </c>
      <c r="P140" s="1" t="str">
        <f>TEXT(WEEKDAY(ocupacao[[#This Row],[Data]]),"ddd")</f>
        <v>qui</v>
      </c>
      <c r="Q140" s="1">
        <f t="shared" si="2"/>
        <v>0</v>
      </c>
    </row>
    <row r="141" spans="1:17" x14ac:dyDescent="0.25">
      <c r="A141" s="2">
        <v>44742</v>
      </c>
      <c r="B141">
        <v>10</v>
      </c>
      <c r="C141">
        <v>5</v>
      </c>
      <c r="D141">
        <v>8</v>
      </c>
      <c r="E141">
        <v>9217</v>
      </c>
      <c r="F141" s="1" t="s">
        <v>317</v>
      </c>
      <c r="G141">
        <v>0</v>
      </c>
      <c r="H141">
        <v>23</v>
      </c>
      <c r="I141">
        <v>0</v>
      </c>
      <c r="J141">
        <v>23</v>
      </c>
      <c r="K141" s="33">
        <v>1</v>
      </c>
      <c r="L141" s="1"/>
      <c r="M141" s="1" t="str">
        <f>_xlfn.XLOOKUP(ocupacao[[#This Row],[UnidadeID]],unidades!$A:$A,unidades!$B:$B,"",0)</f>
        <v>Filial 2 - 10º</v>
      </c>
      <c r="N141" s="1" t="str">
        <f>_xlfn.XLOOKUP(ocupacao[[#This Row],[UnidadeID]],unidades!$A:$A,unidades!$C:$C,"",0)</f>
        <v>Nova Iguaçu</v>
      </c>
      <c r="O141" s="1" t="str">
        <f>_xlfn.XLOOKUP(ocupacao[[#This Row],[EspecialidadeID]],especialidades!$A:$A,especialidades!$B:$B,"",0)</f>
        <v>CARDIOLOGIA</v>
      </c>
      <c r="P141" s="1" t="str">
        <f>TEXT(WEEKDAY(ocupacao[[#This Row],[Data]]),"ddd")</f>
        <v>qui</v>
      </c>
      <c r="Q141" s="1">
        <f t="shared" si="2"/>
        <v>0</v>
      </c>
    </row>
    <row r="142" spans="1:17" x14ac:dyDescent="0.25">
      <c r="A142" s="2">
        <v>44743</v>
      </c>
      <c r="B142">
        <v>24</v>
      </c>
      <c r="C142">
        <v>5</v>
      </c>
      <c r="D142">
        <v>68</v>
      </c>
      <c r="E142">
        <v>55</v>
      </c>
      <c r="F142" s="1" t="s">
        <v>318</v>
      </c>
      <c r="G142">
        <v>0</v>
      </c>
      <c r="H142">
        <v>32</v>
      </c>
      <c r="I142">
        <v>0</v>
      </c>
      <c r="J142">
        <v>32</v>
      </c>
      <c r="K142" s="33">
        <v>1</v>
      </c>
      <c r="L142" s="1"/>
      <c r="M142" s="1" t="str">
        <f>_xlfn.XLOOKUP(ocupacao[[#This Row],[UnidadeID]],unidades!$A:$A,unidades!$B:$B,"",0)</f>
        <v>Nilópolis</v>
      </c>
      <c r="N142" s="1" t="str">
        <f>_xlfn.XLOOKUP(ocupacao[[#This Row],[UnidadeID]],unidades!$A:$A,unidades!$C:$C,"",0)</f>
        <v>Nilópolis</v>
      </c>
      <c r="O142" s="1" t="str">
        <f>_xlfn.XLOOKUP(ocupacao[[#This Row],[EspecialidadeID]],especialidades!$A:$A,especialidades!$B:$B,"",0)</f>
        <v>CARDIOLOGIA</v>
      </c>
      <c r="P142" s="1" t="str">
        <f>TEXT(WEEKDAY(ocupacao[[#This Row],[Data]]),"ddd")</f>
        <v>sex</v>
      </c>
      <c r="Q142" s="1">
        <f t="shared" si="2"/>
        <v>0</v>
      </c>
    </row>
    <row r="143" spans="1:17" x14ac:dyDescent="0.25">
      <c r="A143" s="2">
        <v>44743</v>
      </c>
      <c r="B143">
        <v>10</v>
      </c>
      <c r="C143">
        <v>5</v>
      </c>
      <c r="D143">
        <v>8</v>
      </c>
      <c r="E143">
        <v>57</v>
      </c>
      <c r="F143" s="1" t="s">
        <v>88</v>
      </c>
      <c r="G143">
        <v>0</v>
      </c>
      <c r="H143">
        <v>23</v>
      </c>
      <c r="I143">
        <v>0</v>
      </c>
      <c r="J143">
        <v>23</v>
      </c>
      <c r="K143" s="33">
        <v>1</v>
      </c>
      <c r="L143" s="1"/>
      <c r="M143" s="1" t="str">
        <f>_xlfn.XLOOKUP(ocupacao[[#This Row],[UnidadeID]],unidades!$A:$A,unidades!$B:$B,"",0)</f>
        <v>Filial 2 - 10º</v>
      </c>
      <c r="N143" s="1" t="str">
        <f>_xlfn.XLOOKUP(ocupacao[[#This Row],[UnidadeID]],unidades!$A:$A,unidades!$C:$C,"",0)</f>
        <v>Nova Iguaçu</v>
      </c>
      <c r="O143" s="1" t="str">
        <f>_xlfn.XLOOKUP(ocupacao[[#This Row],[EspecialidadeID]],especialidades!$A:$A,especialidades!$B:$B,"",0)</f>
        <v>CARDIOLOGIA</v>
      </c>
      <c r="P143" s="1" t="str">
        <f>TEXT(WEEKDAY(ocupacao[[#This Row],[Data]]),"ddd")</f>
        <v>sex</v>
      </c>
      <c r="Q143" s="1">
        <f t="shared" si="2"/>
        <v>0</v>
      </c>
    </row>
    <row r="144" spans="1:17" x14ac:dyDescent="0.25">
      <c r="A144" s="2">
        <v>44743</v>
      </c>
      <c r="B144">
        <v>0</v>
      </c>
      <c r="C144">
        <v>5</v>
      </c>
      <c r="D144">
        <v>345</v>
      </c>
      <c r="E144">
        <v>60</v>
      </c>
      <c r="F144" s="1" t="s">
        <v>113</v>
      </c>
      <c r="G144">
        <v>0</v>
      </c>
      <c r="H144">
        <v>35</v>
      </c>
      <c r="I144">
        <v>0</v>
      </c>
      <c r="J144">
        <v>35</v>
      </c>
      <c r="K144" s="33">
        <v>1</v>
      </c>
      <c r="L144" s="1"/>
      <c r="M144" s="1" t="str">
        <f>_xlfn.XLOOKUP(ocupacao[[#This Row],[UnidadeID]],unidades!$A:$A,unidades!$B:$B,"",0)</f>
        <v>Matriz</v>
      </c>
      <c r="N144" s="1" t="str">
        <f>_xlfn.XLOOKUP(ocupacao[[#This Row],[UnidadeID]],unidades!$A:$A,unidades!$C:$C,"",0)</f>
        <v>Nova Iguaçu</v>
      </c>
      <c r="O144" s="1" t="str">
        <f>_xlfn.XLOOKUP(ocupacao[[#This Row],[EspecialidadeID]],especialidades!$A:$A,especialidades!$B:$B,"",0)</f>
        <v>CARDIOLOGIA</v>
      </c>
      <c r="P144" s="1" t="str">
        <f>TEXT(WEEKDAY(ocupacao[[#This Row],[Data]]),"ddd")</f>
        <v>sex</v>
      </c>
      <c r="Q144" s="1">
        <f t="shared" si="2"/>
        <v>0</v>
      </c>
    </row>
    <row r="145" spans="1:17" x14ac:dyDescent="0.25">
      <c r="A145" s="2"/>
      <c r="F145" s="1" t="s">
        <v>106</v>
      </c>
      <c r="K145" s="33"/>
      <c r="L145" s="1"/>
      <c r="M145" s="1">
        <f>_xlfn.XLOOKUP(ocupacao[[#This Row],[UnidadeID]],unidades!$A:$A,unidades!$B:$B,"",0)</f>
        <v>0</v>
      </c>
      <c r="N145" s="1">
        <f>_xlfn.XLOOKUP(ocupacao[[#This Row],[UnidadeID]],unidades!$A:$A,unidades!$C:$C,"",0)</f>
        <v>0</v>
      </c>
      <c r="O145" s="1">
        <f>_xlfn.XLOOKUP(ocupacao[[#This Row],[EspecialidadeID]],especialidades!$A:$A,especialidades!$B:$B,"",0)</f>
        <v>0</v>
      </c>
      <c r="P145" s="1" t="str">
        <f>TEXT(WEEKDAY(ocupacao[[#This Row],[Data]]),"ddd")</f>
        <v>sáb</v>
      </c>
      <c r="Q145" s="1">
        <f t="shared" si="2"/>
        <v>0</v>
      </c>
    </row>
    <row r="146" spans="1:17" x14ac:dyDescent="0.25">
      <c r="A146" s="2">
        <v>44733</v>
      </c>
      <c r="B146">
        <v>0</v>
      </c>
      <c r="C146">
        <v>6</v>
      </c>
      <c r="D146">
        <v>342</v>
      </c>
      <c r="E146">
        <v>100</v>
      </c>
      <c r="F146" s="1" t="s">
        <v>321</v>
      </c>
      <c r="G146">
        <v>4</v>
      </c>
      <c r="H146">
        <v>33</v>
      </c>
      <c r="I146">
        <v>0</v>
      </c>
      <c r="J146">
        <v>37</v>
      </c>
      <c r="K146" s="33">
        <v>1</v>
      </c>
      <c r="L146" s="1"/>
      <c r="M146" s="1" t="str">
        <f>_xlfn.XLOOKUP(ocupacao[[#This Row],[UnidadeID]],unidades!$A:$A,unidades!$B:$B,"",0)</f>
        <v>Matriz</v>
      </c>
      <c r="N146" s="1" t="str">
        <f>_xlfn.XLOOKUP(ocupacao[[#This Row],[UnidadeID]],unidades!$A:$A,unidades!$C:$C,"",0)</f>
        <v>Nova Iguaçu</v>
      </c>
      <c r="O146" s="1" t="str">
        <f>_xlfn.XLOOKUP(ocupacao[[#This Row],[EspecialidadeID]],especialidades!$A:$A,especialidades!$B:$B,"",0)</f>
        <v>PEDIATRIA</v>
      </c>
      <c r="P146" s="1" t="str">
        <f>TEXT(WEEKDAY(ocupacao[[#This Row],[Data]]),"ddd")</f>
        <v>ter</v>
      </c>
      <c r="Q146" s="1">
        <f t="shared" si="2"/>
        <v>0</v>
      </c>
    </row>
    <row r="147" spans="1:17" x14ac:dyDescent="0.25">
      <c r="A147" s="2">
        <v>44733</v>
      </c>
      <c r="B147">
        <v>18</v>
      </c>
      <c r="C147">
        <v>6</v>
      </c>
      <c r="D147">
        <v>80</v>
      </c>
      <c r="E147">
        <v>1343</v>
      </c>
      <c r="F147" s="1" t="s">
        <v>322</v>
      </c>
      <c r="G147">
        <v>0</v>
      </c>
      <c r="H147">
        <v>17</v>
      </c>
      <c r="I147">
        <v>0</v>
      </c>
      <c r="J147">
        <v>17</v>
      </c>
      <c r="K147" s="33">
        <v>1</v>
      </c>
      <c r="L147" s="1"/>
      <c r="M147" s="1" t="str">
        <f>_xlfn.XLOOKUP(ocupacao[[#This Row],[UnidadeID]],unidades!$A:$A,unidades!$B:$B,"",0)</f>
        <v>Miguel Couto</v>
      </c>
      <c r="N147" s="1" t="str">
        <f>_xlfn.XLOOKUP(ocupacao[[#This Row],[UnidadeID]],unidades!$A:$A,unidades!$C:$C,"",0)</f>
        <v>Miguel Couto</v>
      </c>
      <c r="O147" s="1" t="str">
        <f>_xlfn.XLOOKUP(ocupacao[[#This Row],[EspecialidadeID]],especialidades!$A:$A,especialidades!$B:$B,"",0)</f>
        <v>PEDIATRIA</v>
      </c>
      <c r="P147" s="1" t="str">
        <f>TEXT(WEEKDAY(ocupacao[[#This Row],[Data]]),"ddd")</f>
        <v>ter</v>
      </c>
      <c r="Q147" s="1">
        <f t="shared" si="2"/>
        <v>0</v>
      </c>
    </row>
    <row r="148" spans="1:17" hidden="1" x14ac:dyDescent="0.25">
      <c r="A148" s="2"/>
      <c r="F148" s="1"/>
      <c r="K148" s="33"/>
      <c r="L148" s="1"/>
      <c r="M148" s="1"/>
      <c r="N148" s="1"/>
      <c r="O148" s="1"/>
      <c r="P148" s="1"/>
      <c r="Q148" s="1"/>
    </row>
    <row r="149" spans="1:17" x14ac:dyDescent="0.25">
      <c r="A149" s="2">
        <v>44734</v>
      </c>
      <c r="B149">
        <v>0</v>
      </c>
      <c r="C149">
        <v>6</v>
      </c>
      <c r="D149">
        <v>342</v>
      </c>
      <c r="E149">
        <v>99</v>
      </c>
      <c r="F149" s="1" t="s">
        <v>357</v>
      </c>
      <c r="G149">
        <v>0</v>
      </c>
      <c r="H149">
        <v>14</v>
      </c>
      <c r="I149">
        <v>1</v>
      </c>
      <c r="J149">
        <v>15</v>
      </c>
      <c r="K149" s="33">
        <v>0.93330000000000002</v>
      </c>
      <c r="L149" s="1"/>
      <c r="M149" s="1" t="str">
        <f>_xlfn.XLOOKUP(ocupacao[[#This Row],[UnidadeID]],unidades!$A:$A,unidades!$B:$B,"",0)</f>
        <v>Matriz</v>
      </c>
      <c r="N149" s="1" t="str">
        <f>_xlfn.XLOOKUP(ocupacao[[#This Row],[UnidadeID]],unidades!$A:$A,unidades!$C:$C,"",0)</f>
        <v>Nova Iguaçu</v>
      </c>
      <c r="O149" s="1" t="str">
        <f>_xlfn.XLOOKUP(ocupacao[[#This Row],[EspecialidadeID]],especialidades!$A:$A,especialidades!$B:$B,"",0)</f>
        <v>PEDIATRIA</v>
      </c>
      <c r="P149" s="1" t="str">
        <f>TEXT(WEEKDAY(ocupacao[[#This Row],[Data]]),"ddd")</f>
        <v>qua</v>
      </c>
      <c r="Q149" s="1">
        <f t="shared" si="2"/>
        <v>0</v>
      </c>
    </row>
    <row r="150" spans="1:17" hidden="1" x14ac:dyDescent="0.25">
      <c r="A150" s="2"/>
      <c r="F150" s="1"/>
      <c r="K150" s="33"/>
      <c r="L150" s="1"/>
      <c r="M150" s="1"/>
      <c r="N150" s="1"/>
      <c r="O150" s="1"/>
      <c r="P150" s="1"/>
      <c r="Q150" s="1"/>
    </row>
    <row r="151" spans="1:17" hidden="1" x14ac:dyDescent="0.25">
      <c r="A151" s="2">
        <v>44734</v>
      </c>
      <c r="B151">
        <v>0</v>
      </c>
      <c r="C151">
        <v>6</v>
      </c>
      <c r="D151">
        <v>64</v>
      </c>
      <c r="E151">
        <v>1343</v>
      </c>
      <c r="F151" s="1" t="s">
        <v>322</v>
      </c>
      <c r="G151">
        <v>0</v>
      </c>
      <c r="H151">
        <v>12</v>
      </c>
      <c r="I151">
        <v>4</v>
      </c>
      <c r="J151">
        <v>16</v>
      </c>
      <c r="K151" s="33">
        <v>0.75</v>
      </c>
      <c r="L151" s="1"/>
      <c r="M151" s="1"/>
      <c r="N151" s="1"/>
      <c r="O151" s="1"/>
      <c r="P151" s="1"/>
      <c r="Q151" s="1"/>
    </row>
    <row r="152" spans="1:17" x14ac:dyDescent="0.25">
      <c r="A152" s="2">
        <v>44734</v>
      </c>
      <c r="B152">
        <v>0</v>
      </c>
      <c r="C152">
        <v>6</v>
      </c>
      <c r="D152">
        <v>342</v>
      </c>
      <c r="E152">
        <v>1343</v>
      </c>
      <c r="F152" s="1" t="s">
        <v>322</v>
      </c>
      <c r="G152">
        <v>0</v>
      </c>
      <c r="H152">
        <v>17</v>
      </c>
      <c r="I152">
        <v>4</v>
      </c>
      <c r="J152">
        <v>21</v>
      </c>
      <c r="K152" s="33">
        <v>0.8095</v>
      </c>
      <c r="L152" s="1"/>
      <c r="M152" s="1" t="str">
        <f>_xlfn.XLOOKUP(ocupacao[[#This Row],[UnidadeID]],unidades!$A:$A,unidades!$B:$B,"",0)</f>
        <v>Matriz</v>
      </c>
      <c r="N152" s="1" t="str">
        <f>_xlfn.XLOOKUP(ocupacao[[#This Row],[UnidadeID]],unidades!$A:$A,unidades!$C:$C,"",0)</f>
        <v>Nova Iguaçu</v>
      </c>
      <c r="O152" s="1" t="str">
        <f>_xlfn.XLOOKUP(ocupacao[[#This Row],[EspecialidadeID]],especialidades!$A:$A,especialidades!$B:$B,"",0)</f>
        <v>PEDIATRIA</v>
      </c>
      <c r="P152" s="1" t="str">
        <f>TEXT(WEEKDAY(ocupacao[[#This Row],[Data]]),"ddd")</f>
        <v>qua</v>
      </c>
      <c r="Q152" s="1">
        <f t="shared" si="2"/>
        <v>0</v>
      </c>
    </row>
    <row r="153" spans="1:17" x14ac:dyDescent="0.25">
      <c r="A153" s="2">
        <v>44735</v>
      </c>
      <c r="B153">
        <v>0</v>
      </c>
      <c r="C153">
        <v>6</v>
      </c>
      <c r="D153">
        <v>342</v>
      </c>
      <c r="E153">
        <v>100</v>
      </c>
      <c r="F153" s="1" t="s">
        <v>321</v>
      </c>
      <c r="G153">
        <v>4</v>
      </c>
      <c r="H153">
        <v>0</v>
      </c>
      <c r="I153">
        <v>15</v>
      </c>
      <c r="J153">
        <v>19</v>
      </c>
      <c r="K153" s="33">
        <v>0.21049999999999999</v>
      </c>
      <c r="L153" s="1"/>
      <c r="M153" s="1" t="str">
        <f>_xlfn.XLOOKUP(ocupacao[[#This Row],[UnidadeID]],unidades!$A:$A,unidades!$B:$B,"",0)</f>
        <v>Matriz</v>
      </c>
      <c r="N153" s="1" t="str">
        <f>_xlfn.XLOOKUP(ocupacao[[#This Row],[UnidadeID]],unidades!$A:$A,unidades!$C:$C,"",0)</f>
        <v>Nova Iguaçu</v>
      </c>
      <c r="O153" s="1" t="str">
        <f>_xlfn.XLOOKUP(ocupacao[[#This Row],[EspecialidadeID]],especialidades!$A:$A,especialidades!$B:$B,"",0)</f>
        <v>PEDIATRIA</v>
      </c>
      <c r="P153" s="1" t="str">
        <f>TEXT(WEEKDAY(ocupacao[[#This Row],[Data]]),"ddd")</f>
        <v>qui</v>
      </c>
      <c r="Q153" s="1">
        <f t="shared" si="2"/>
        <v>1</v>
      </c>
    </row>
    <row r="154" spans="1:17" x14ac:dyDescent="0.25">
      <c r="A154" s="2">
        <v>44735</v>
      </c>
      <c r="B154">
        <v>0</v>
      </c>
      <c r="C154">
        <v>6</v>
      </c>
      <c r="D154">
        <v>342</v>
      </c>
      <c r="E154">
        <v>100</v>
      </c>
      <c r="F154" s="1" t="s">
        <v>321</v>
      </c>
      <c r="G154">
        <v>4</v>
      </c>
      <c r="H154">
        <v>18</v>
      </c>
      <c r="I154">
        <v>15</v>
      </c>
      <c r="J154">
        <v>37</v>
      </c>
      <c r="K154" s="33">
        <v>0.59460000000000002</v>
      </c>
      <c r="L154" s="1"/>
      <c r="M154" s="1" t="str">
        <f>_xlfn.XLOOKUP(ocupacao[[#This Row],[UnidadeID]],unidades!$A:$A,unidades!$B:$B,"",0)</f>
        <v>Matriz</v>
      </c>
      <c r="N154" s="1" t="str">
        <f>_xlfn.XLOOKUP(ocupacao[[#This Row],[UnidadeID]],unidades!$A:$A,unidades!$C:$C,"",0)</f>
        <v>Nova Iguaçu</v>
      </c>
      <c r="O154" s="1" t="str">
        <f>_xlfn.XLOOKUP(ocupacao[[#This Row],[EspecialidadeID]],especialidades!$A:$A,especialidades!$B:$B,"",0)</f>
        <v>PEDIATRIA</v>
      </c>
      <c r="P154" s="1" t="str">
        <f>TEXT(WEEKDAY(ocupacao[[#This Row],[Data]]),"ddd")</f>
        <v>qui</v>
      </c>
      <c r="Q154" s="1">
        <f t="shared" si="2"/>
        <v>0</v>
      </c>
    </row>
    <row r="155" spans="1:17" x14ac:dyDescent="0.25">
      <c r="A155" s="2">
        <v>44735</v>
      </c>
      <c r="B155">
        <v>18</v>
      </c>
      <c r="C155">
        <v>6</v>
      </c>
      <c r="D155">
        <v>80</v>
      </c>
      <c r="E155">
        <v>1343</v>
      </c>
      <c r="F155" s="1" t="s">
        <v>322</v>
      </c>
      <c r="G155">
        <v>0</v>
      </c>
      <c r="H155">
        <v>17</v>
      </c>
      <c r="I155">
        <v>0</v>
      </c>
      <c r="J155">
        <v>17</v>
      </c>
      <c r="K155" s="33">
        <v>1</v>
      </c>
      <c r="L155" s="1"/>
      <c r="M155" s="1" t="str">
        <f>_xlfn.XLOOKUP(ocupacao[[#This Row],[UnidadeID]],unidades!$A:$A,unidades!$B:$B,"",0)</f>
        <v>Miguel Couto</v>
      </c>
      <c r="N155" s="1" t="str">
        <f>_xlfn.XLOOKUP(ocupacao[[#This Row],[UnidadeID]],unidades!$A:$A,unidades!$C:$C,"",0)</f>
        <v>Miguel Couto</v>
      </c>
      <c r="O155" s="1" t="str">
        <f>_xlfn.XLOOKUP(ocupacao[[#This Row],[EspecialidadeID]],especialidades!$A:$A,especialidades!$B:$B,"",0)</f>
        <v>PEDIATRIA</v>
      </c>
      <c r="P155" s="1" t="str">
        <f>TEXT(WEEKDAY(ocupacao[[#This Row],[Data]]),"ddd")</f>
        <v>qui</v>
      </c>
      <c r="Q155" s="1">
        <f t="shared" si="2"/>
        <v>0</v>
      </c>
    </row>
    <row r="156" spans="1:17" hidden="1" x14ac:dyDescent="0.25">
      <c r="A156" s="2">
        <v>44736</v>
      </c>
      <c r="B156">
        <v>34</v>
      </c>
      <c r="C156">
        <v>6</v>
      </c>
      <c r="D156">
        <v>370</v>
      </c>
      <c r="E156">
        <v>99</v>
      </c>
      <c r="F156" s="1" t="s">
        <v>357</v>
      </c>
      <c r="G156">
        <v>0</v>
      </c>
      <c r="H156">
        <v>0</v>
      </c>
      <c r="I156">
        <v>20</v>
      </c>
      <c r="J156">
        <v>20</v>
      </c>
      <c r="K156" s="33">
        <v>0</v>
      </c>
      <c r="L156" s="1"/>
      <c r="M156" s="1"/>
      <c r="N156" s="1"/>
      <c r="O156" s="1"/>
      <c r="P156" s="1"/>
      <c r="Q156" s="1"/>
    </row>
    <row r="157" spans="1:17" x14ac:dyDescent="0.25">
      <c r="A157" s="2">
        <v>44736</v>
      </c>
      <c r="B157">
        <v>34</v>
      </c>
      <c r="C157">
        <v>6</v>
      </c>
      <c r="D157">
        <v>370</v>
      </c>
      <c r="E157">
        <v>99</v>
      </c>
      <c r="F157" s="1" t="s">
        <v>357</v>
      </c>
      <c r="G157">
        <v>0</v>
      </c>
      <c r="H157">
        <v>4</v>
      </c>
      <c r="I157">
        <v>20</v>
      </c>
      <c r="J157">
        <v>24</v>
      </c>
      <c r="K157" s="33">
        <v>0.16669999999999999</v>
      </c>
      <c r="L157" s="1"/>
      <c r="M157" s="1" t="str">
        <f>_xlfn.XLOOKUP(ocupacao[[#This Row],[UnidadeID]],unidades!$A:$A,unidades!$B:$B,"",0)</f>
        <v>São João</v>
      </c>
      <c r="N157" s="1" t="str">
        <f>_xlfn.XLOOKUP(ocupacao[[#This Row],[UnidadeID]],unidades!$A:$A,unidades!$C:$C,"",0)</f>
        <v>São João de Meriti</v>
      </c>
      <c r="O157" s="1" t="str">
        <f>_xlfn.XLOOKUP(ocupacao[[#This Row],[EspecialidadeID]],especialidades!$A:$A,especialidades!$B:$B,"",0)</f>
        <v>PEDIATRIA</v>
      </c>
      <c r="P157" s="1" t="str">
        <f>TEXT(WEEKDAY(ocupacao[[#This Row],[Data]]),"ddd")</f>
        <v>sex</v>
      </c>
      <c r="Q157" s="1">
        <f t="shared" si="2"/>
        <v>0</v>
      </c>
    </row>
    <row r="158" spans="1:17" hidden="1" x14ac:dyDescent="0.25">
      <c r="A158" s="2">
        <v>44736</v>
      </c>
      <c r="B158">
        <v>0</v>
      </c>
      <c r="C158">
        <v>6</v>
      </c>
      <c r="D158">
        <v>342</v>
      </c>
      <c r="E158">
        <v>1343</v>
      </c>
      <c r="F158" s="1" t="s">
        <v>322</v>
      </c>
      <c r="G158">
        <v>0</v>
      </c>
      <c r="H158">
        <v>0</v>
      </c>
      <c r="I158">
        <v>6</v>
      </c>
      <c r="J158">
        <v>6</v>
      </c>
      <c r="K158" s="33">
        <v>0</v>
      </c>
      <c r="L158" s="1"/>
      <c r="M158" s="1"/>
      <c r="N158" s="1"/>
      <c r="O158" s="1"/>
      <c r="P158" s="1"/>
      <c r="Q158" s="1"/>
    </row>
    <row r="159" spans="1:17" x14ac:dyDescent="0.25">
      <c r="A159" s="2">
        <v>44736</v>
      </c>
      <c r="B159">
        <v>0</v>
      </c>
      <c r="C159">
        <v>6</v>
      </c>
      <c r="D159">
        <v>342</v>
      </c>
      <c r="E159">
        <v>1343</v>
      </c>
      <c r="F159" s="1" t="s">
        <v>322</v>
      </c>
      <c r="G159">
        <v>0</v>
      </c>
      <c r="H159">
        <v>11</v>
      </c>
      <c r="I159">
        <v>6</v>
      </c>
      <c r="J159">
        <v>17</v>
      </c>
      <c r="K159" s="33">
        <v>0.64710000000000001</v>
      </c>
      <c r="L159" s="1"/>
      <c r="M159" s="1" t="str">
        <f>_xlfn.XLOOKUP(ocupacao[[#This Row],[UnidadeID]],unidades!$A:$A,unidades!$B:$B,"",0)</f>
        <v>Matriz</v>
      </c>
      <c r="N159" s="1" t="str">
        <f>_xlfn.XLOOKUP(ocupacao[[#This Row],[UnidadeID]],unidades!$A:$A,unidades!$C:$C,"",0)</f>
        <v>Nova Iguaçu</v>
      </c>
      <c r="O159" s="1" t="str">
        <f>_xlfn.XLOOKUP(ocupacao[[#This Row],[EspecialidadeID]],especialidades!$A:$A,especialidades!$B:$B,"",0)</f>
        <v>PEDIATRIA</v>
      </c>
      <c r="P159" s="1" t="str">
        <f>TEXT(WEEKDAY(ocupacao[[#This Row],[Data]]),"ddd")</f>
        <v>sex</v>
      </c>
      <c r="Q159" s="1">
        <f t="shared" si="2"/>
        <v>0</v>
      </c>
    </row>
    <row r="160" spans="1:17" hidden="1" x14ac:dyDescent="0.25">
      <c r="A160" s="2"/>
      <c r="F160" s="1"/>
      <c r="K160" s="33"/>
      <c r="L160" s="1"/>
      <c r="M160" s="1"/>
      <c r="N160" s="1"/>
      <c r="O160" s="1"/>
      <c r="P160" s="1"/>
      <c r="Q160" s="1"/>
    </row>
    <row r="161" spans="1:17" hidden="1" x14ac:dyDescent="0.25">
      <c r="A161" s="2">
        <v>44736</v>
      </c>
      <c r="B161">
        <v>0</v>
      </c>
      <c r="C161">
        <v>6</v>
      </c>
      <c r="D161">
        <v>342</v>
      </c>
      <c r="E161">
        <v>3158</v>
      </c>
      <c r="F161" s="1" t="s">
        <v>323</v>
      </c>
      <c r="G161">
        <v>0</v>
      </c>
      <c r="H161">
        <v>6</v>
      </c>
      <c r="I161">
        <v>7</v>
      </c>
      <c r="J161">
        <v>13</v>
      </c>
      <c r="K161" s="33">
        <v>0.46150000000000002</v>
      </c>
      <c r="L161" s="1"/>
      <c r="M161" s="1"/>
      <c r="N161" s="1"/>
      <c r="O161" s="1"/>
      <c r="P161" s="1"/>
      <c r="Q161" s="1"/>
    </row>
    <row r="162" spans="1:17" hidden="1" x14ac:dyDescent="0.25">
      <c r="A162" s="2"/>
      <c r="F162" s="1"/>
      <c r="K162" s="33"/>
      <c r="L162" s="1"/>
      <c r="M162" s="1"/>
      <c r="N162" s="1"/>
      <c r="O162" s="1"/>
      <c r="P162" s="1"/>
      <c r="Q162" s="1"/>
    </row>
    <row r="163" spans="1:17" hidden="1" x14ac:dyDescent="0.25">
      <c r="A163" s="2">
        <v>44736</v>
      </c>
      <c r="B163">
        <v>18</v>
      </c>
      <c r="C163">
        <v>6</v>
      </c>
      <c r="D163">
        <v>64</v>
      </c>
      <c r="E163">
        <v>10593</v>
      </c>
      <c r="F163" s="1" t="s">
        <v>370</v>
      </c>
      <c r="G163">
        <v>0</v>
      </c>
      <c r="H163">
        <v>2</v>
      </c>
      <c r="I163">
        <v>17</v>
      </c>
      <c r="J163">
        <v>19</v>
      </c>
      <c r="K163" s="33">
        <v>0.1053</v>
      </c>
      <c r="L163" s="1"/>
      <c r="M163" s="1"/>
      <c r="N163" s="1"/>
      <c r="O163" s="1"/>
      <c r="P163" s="1"/>
      <c r="Q163" s="1"/>
    </row>
    <row r="164" spans="1:17" hidden="1" x14ac:dyDescent="0.25">
      <c r="A164" s="2"/>
      <c r="F164" s="1"/>
      <c r="K164" s="33"/>
      <c r="L164" s="1"/>
      <c r="M164" s="1"/>
      <c r="N164" s="1"/>
      <c r="O164" s="1"/>
      <c r="P164" s="1"/>
      <c r="Q164" s="1"/>
    </row>
    <row r="165" spans="1:17" x14ac:dyDescent="0.25">
      <c r="A165" s="2">
        <v>44738</v>
      </c>
      <c r="B165">
        <v>0</v>
      </c>
      <c r="C165">
        <v>6</v>
      </c>
      <c r="D165">
        <v>342</v>
      </c>
      <c r="E165">
        <v>97</v>
      </c>
      <c r="F165" s="1" t="s">
        <v>369</v>
      </c>
      <c r="G165">
        <v>0</v>
      </c>
      <c r="H165">
        <v>2</v>
      </c>
      <c r="I165">
        <v>14</v>
      </c>
      <c r="J165">
        <v>16</v>
      </c>
      <c r="K165" s="33">
        <v>0.125</v>
      </c>
      <c r="L165" s="1"/>
      <c r="M165" s="1" t="str">
        <f>_xlfn.XLOOKUP(ocupacao[[#This Row],[UnidadeID]],unidades!$A:$A,unidades!$B:$B,"",0)</f>
        <v>Matriz</v>
      </c>
      <c r="N165" s="1" t="str">
        <f>_xlfn.XLOOKUP(ocupacao[[#This Row],[UnidadeID]],unidades!$A:$A,unidades!$C:$C,"",0)</f>
        <v>Nova Iguaçu</v>
      </c>
      <c r="O165" s="1" t="str">
        <f>_xlfn.XLOOKUP(ocupacao[[#This Row],[EspecialidadeID]],especialidades!$A:$A,especialidades!$B:$B,"",0)</f>
        <v>PEDIATRIA</v>
      </c>
      <c r="P165" s="1" t="str">
        <f>TEXT(WEEKDAY(ocupacao[[#This Row],[Data]]),"ddd")</f>
        <v>dom</v>
      </c>
      <c r="Q165" s="1">
        <f t="shared" si="2"/>
        <v>0</v>
      </c>
    </row>
    <row r="166" spans="1:17" x14ac:dyDescent="0.25">
      <c r="A166" s="2">
        <v>44739</v>
      </c>
      <c r="B166">
        <v>34</v>
      </c>
      <c r="C166">
        <v>6</v>
      </c>
      <c r="D166">
        <v>370</v>
      </c>
      <c r="E166">
        <v>100</v>
      </c>
      <c r="F166" s="1" t="s">
        <v>321</v>
      </c>
      <c r="G166">
        <v>0</v>
      </c>
      <c r="H166">
        <v>2</v>
      </c>
      <c r="I166">
        <v>13</v>
      </c>
      <c r="J166">
        <v>15</v>
      </c>
      <c r="K166" s="33">
        <v>0.1333</v>
      </c>
      <c r="L166" s="1"/>
      <c r="M166" s="1" t="str">
        <f>_xlfn.XLOOKUP(ocupacao[[#This Row],[UnidadeID]],unidades!$A:$A,unidades!$B:$B,"",0)</f>
        <v>São João</v>
      </c>
      <c r="N166" s="1" t="str">
        <f>_xlfn.XLOOKUP(ocupacao[[#This Row],[UnidadeID]],unidades!$A:$A,unidades!$C:$C,"",0)</f>
        <v>São João de Meriti</v>
      </c>
      <c r="O166" s="1" t="str">
        <f>_xlfn.XLOOKUP(ocupacao[[#This Row],[EspecialidadeID]],especialidades!$A:$A,especialidades!$B:$B,"",0)</f>
        <v>PEDIATRIA</v>
      </c>
      <c r="P166" s="1" t="str">
        <f>TEXT(WEEKDAY(ocupacao[[#This Row],[Data]]),"ddd")</f>
        <v>seg</v>
      </c>
      <c r="Q166" s="1">
        <f t="shared" si="2"/>
        <v>1</v>
      </c>
    </row>
    <row r="167" spans="1:17" x14ac:dyDescent="0.25">
      <c r="A167" s="2">
        <v>44739</v>
      </c>
      <c r="B167">
        <v>34</v>
      </c>
      <c r="C167">
        <v>6</v>
      </c>
      <c r="D167">
        <v>370</v>
      </c>
      <c r="E167">
        <v>100</v>
      </c>
      <c r="F167" s="1" t="s">
        <v>321</v>
      </c>
      <c r="G167">
        <v>0</v>
      </c>
      <c r="H167">
        <v>0</v>
      </c>
      <c r="I167">
        <v>2</v>
      </c>
      <c r="J167">
        <v>2</v>
      </c>
      <c r="K167" s="33">
        <v>0</v>
      </c>
      <c r="L167" s="1"/>
      <c r="M167" s="1" t="str">
        <f>_xlfn.XLOOKUP(ocupacao[[#This Row],[UnidadeID]],unidades!$A:$A,unidades!$B:$B,"",0)</f>
        <v>São João</v>
      </c>
      <c r="N167" s="1" t="str">
        <f>_xlfn.XLOOKUP(ocupacao[[#This Row],[UnidadeID]],unidades!$A:$A,unidades!$C:$C,"",0)</f>
        <v>São João de Meriti</v>
      </c>
      <c r="O167" s="1" t="str">
        <f>_xlfn.XLOOKUP(ocupacao[[#This Row],[EspecialidadeID]],especialidades!$A:$A,especialidades!$B:$B,"",0)</f>
        <v>PEDIATRIA</v>
      </c>
      <c r="P167" s="1" t="str">
        <f>TEXT(WEEKDAY(ocupacao[[#This Row],[Data]]),"ddd")</f>
        <v>seg</v>
      </c>
      <c r="Q167" s="1">
        <f t="shared" si="2"/>
        <v>0</v>
      </c>
    </row>
    <row r="168" spans="1:17" hidden="1" x14ac:dyDescent="0.25">
      <c r="A168" s="2">
        <v>44739</v>
      </c>
      <c r="B168">
        <v>0</v>
      </c>
      <c r="C168">
        <v>6</v>
      </c>
      <c r="D168">
        <v>342</v>
      </c>
      <c r="E168">
        <v>3158</v>
      </c>
      <c r="F168" s="1" t="s">
        <v>323</v>
      </c>
      <c r="G168">
        <v>0</v>
      </c>
      <c r="H168">
        <v>0</v>
      </c>
      <c r="I168">
        <v>9</v>
      </c>
      <c r="J168">
        <v>9</v>
      </c>
      <c r="K168" s="33">
        <v>0</v>
      </c>
      <c r="L168" s="1"/>
      <c r="M168" s="1"/>
      <c r="N168" s="1"/>
      <c r="O168" s="1"/>
      <c r="P168" s="1"/>
      <c r="Q168" s="1"/>
    </row>
    <row r="169" spans="1:17" x14ac:dyDescent="0.25">
      <c r="A169" s="2">
        <v>44739</v>
      </c>
      <c r="B169">
        <v>0</v>
      </c>
      <c r="C169">
        <v>6</v>
      </c>
      <c r="D169">
        <v>342</v>
      </c>
      <c r="E169">
        <v>3158</v>
      </c>
      <c r="F169" s="1" t="s">
        <v>323</v>
      </c>
      <c r="G169">
        <v>0</v>
      </c>
      <c r="H169">
        <v>4</v>
      </c>
      <c r="I169">
        <v>9</v>
      </c>
      <c r="J169">
        <v>13</v>
      </c>
      <c r="K169" s="33">
        <v>0.30769999999999997</v>
      </c>
      <c r="L169" s="1"/>
      <c r="M169" s="1" t="str">
        <f>_xlfn.XLOOKUP(ocupacao[[#This Row],[UnidadeID]],unidades!$A:$A,unidades!$B:$B,"",0)</f>
        <v>Matriz</v>
      </c>
      <c r="N169" s="1" t="str">
        <f>_xlfn.XLOOKUP(ocupacao[[#This Row],[UnidadeID]],unidades!$A:$A,unidades!$C:$C,"",0)</f>
        <v>Nova Iguaçu</v>
      </c>
      <c r="O169" s="1" t="str">
        <f>_xlfn.XLOOKUP(ocupacao[[#This Row],[EspecialidadeID]],especialidades!$A:$A,especialidades!$B:$B,"",0)</f>
        <v>PEDIATRIA</v>
      </c>
      <c r="P169" s="1" t="str">
        <f>TEXT(WEEKDAY(ocupacao[[#This Row],[Data]]),"ddd")</f>
        <v>seg</v>
      </c>
      <c r="Q169" s="1">
        <f t="shared" si="2"/>
        <v>0</v>
      </c>
    </row>
    <row r="170" spans="1:17" hidden="1" x14ac:dyDescent="0.25">
      <c r="A170" s="2">
        <v>44740</v>
      </c>
      <c r="B170">
        <v>0</v>
      </c>
      <c r="C170">
        <v>6</v>
      </c>
      <c r="D170">
        <v>342</v>
      </c>
      <c r="E170">
        <v>100</v>
      </c>
      <c r="F170" s="1" t="s">
        <v>321</v>
      </c>
      <c r="G170">
        <v>4</v>
      </c>
      <c r="H170">
        <v>0</v>
      </c>
      <c r="I170">
        <v>31</v>
      </c>
      <c r="J170">
        <v>35</v>
      </c>
      <c r="K170" s="33">
        <v>0.1143</v>
      </c>
      <c r="L170" s="1"/>
      <c r="M170" s="1"/>
      <c r="N170" s="1"/>
      <c r="O170" s="1"/>
      <c r="P170" s="1"/>
      <c r="Q170" s="1"/>
    </row>
    <row r="171" spans="1:17" x14ac:dyDescent="0.25">
      <c r="A171" s="2">
        <v>44740</v>
      </c>
      <c r="B171">
        <v>0</v>
      </c>
      <c r="C171">
        <v>6</v>
      </c>
      <c r="D171">
        <v>342</v>
      </c>
      <c r="E171">
        <v>100</v>
      </c>
      <c r="F171" s="1" t="s">
        <v>321</v>
      </c>
      <c r="G171">
        <v>4</v>
      </c>
      <c r="H171">
        <v>2</v>
      </c>
      <c r="I171">
        <v>31</v>
      </c>
      <c r="J171">
        <v>37</v>
      </c>
      <c r="K171" s="33">
        <v>0.16220000000000001</v>
      </c>
      <c r="L171" s="1"/>
      <c r="M171" s="1" t="str">
        <f>_xlfn.XLOOKUP(ocupacao[[#This Row],[UnidadeID]],unidades!$A:$A,unidades!$B:$B,"",0)</f>
        <v>Matriz</v>
      </c>
      <c r="N171" s="1" t="str">
        <f>_xlfn.XLOOKUP(ocupacao[[#This Row],[UnidadeID]],unidades!$A:$A,unidades!$C:$C,"",0)</f>
        <v>Nova Iguaçu</v>
      </c>
      <c r="O171" s="1" t="str">
        <f>_xlfn.XLOOKUP(ocupacao[[#This Row],[EspecialidadeID]],especialidades!$A:$A,especialidades!$B:$B,"",0)</f>
        <v>PEDIATRIA</v>
      </c>
      <c r="P171" s="1" t="str">
        <f>TEXT(WEEKDAY(ocupacao[[#This Row],[Data]]),"ddd")</f>
        <v>ter</v>
      </c>
      <c r="Q171" s="1">
        <f t="shared" si="2"/>
        <v>0</v>
      </c>
    </row>
    <row r="172" spans="1:17" hidden="1" x14ac:dyDescent="0.25">
      <c r="A172" s="2">
        <v>44740</v>
      </c>
      <c r="B172">
        <v>18</v>
      </c>
      <c r="C172">
        <v>6</v>
      </c>
      <c r="D172">
        <v>80</v>
      </c>
      <c r="E172">
        <v>1343</v>
      </c>
      <c r="F172" s="1" t="s">
        <v>322</v>
      </c>
      <c r="G172">
        <v>0</v>
      </c>
      <c r="H172">
        <v>0</v>
      </c>
      <c r="I172">
        <v>16</v>
      </c>
      <c r="J172">
        <v>16</v>
      </c>
      <c r="K172" s="33">
        <v>0</v>
      </c>
      <c r="L172" s="1"/>
      <c r="M172" s="1"/>
      <c r="N172" s="1"/>
      <c r="O172" s="1"/>
      <c r="P172" s="1"/>
      <c r="Q172" s="1"/>
    </row>
    <row r="173" spans="1:17" x14ac:dyDescent="0.25">
      <c r="A173" s="2">
        <v>44740</v>
      </c>
      <c r="B173">
        <v>18</v>
      </c>
      <c r="C173">
        <v>6</v>
      </c>
      <c r="D173">
        <v>80</v>
      </c>
      <c r="E173">
        <v>1343</v>
      </c>
      <c r="F173" s="1" t="s">
        <v>322</v>
      </c>
      <c r="G173">
        <v>0</v>
      </c>
      <c r="H173">
        <v>1</v>
      </c>
      <c r="I173">
        <v>16</v>
      </c>
      <c r="J173">
        <v>17</v>
      </c>
      <c r="K173" s="33">
        <v>5.8799999999999998E-2</v>
      </c>
      <c r="L173" s="1"/>
      <c r="M173" s="1" t="str">
        <f>_xlfn.XLOOKUP(ocupacao[[#This Row],[UnidadeID]],unidades!$A:$A,unidades!$B:$B,"",0)</f>
        <v>Miguel Couto</v>
      </c>
      <c r="N173" s="1" t="str">
        <f>_xlfn.XLOOKUP(ocupacao[[#This Row],[UnidadeID]],unidades!$A:$A,unidades!$C:$C,"",0)</f>
        <v>Miguel Couto</v>
      </c>
      <c r="O173" s="1" t="str">
        <f>_xlfn.XLOOKUP(ocupacao[[#This Row],[EspecialidadeID]],especialidades!$A:$A,especialidades!$B:$B,"",0)</f>
        <v>PEDIATRIA</v>
      </c>
      <c r="P173" s="1" t="str">
        <f>TEXT(WEEKDAY(ocupacao[[#This Row],[Data]]),"ddd")</f>
        <v>ter</v>
      </c>
      <c r="Q173" s="1">
        <f t="shared" si="2"/>
        <v>0</v>
      </c>
    </row>
    <row r="174" spans="1:17" hidden="1" x14ac:dyDescent="0.25">
      <c r="A174" s="2">
        <v>44741</v>
      </c>
      <c r="B174">
        <v>0</v>
      </c>
      <c r="C174">
        <v>6</v>
      </c>
      <c r="D174">
        <v>342</v>
      </c>
      <c r="E174">
        <v>99</v>
      </c>
      <c r="F174" s="1" t="s">
        <v>357</v>
      </c>
      <c r="G174">
        <v>0</v>
      </c>
      <c r="H174">
        <v>0</v>
      </c>
      <c r="I174">
        <v>16</v>
      </c>
      <c r="J174">
        <v>16</v>
      </c>
      <c r="K174" s="33">
        <v>0</v>
      </c>
      <c r="L174" s="1"/>
      <c r="M174" s="1"/>
      <c r="N174" s="1"/>
      <c r="O174" s="1"/>
      <c r="P174" s="1"/>
      <c r="Q174" s="1"/>
    </row>
    <row r="175" spans="1:17" hidden="1" x14ac:dyDescent="0.25">
      <c r="A175" s="2"/>
      <c r="F175" s="1"/>
      <c r="K175" s="33"/>
      <c r="L175" s="1"/>
      <c r="M175" s="1"/>
      <c r="N175" s="1"/>
      <c r="O175" s="1"/>
      <c r="P175" s="1"/>
      <c r="Q175" s="1"/>
    </row>
    <row r="176" spans="1:17" hidden="1" x14ac:dyDescent="0.25">
      <c r="A176" s="2">
        <v>44741</v>
      </c>
      <c r="B176">
        <v>0</v>
      </c>
      <c r="C176">
        <v>6</v>
      </c>
      <c r="D176">
        <v>64</v>
      </c>
      <c r="E176">
        <v>1343</v>
      </c>
      <c r="F176" s="1" t="s">
        <v>322</v>
      </c>
      <c r="G176">
        <v>0</v>
      </c>
      <c r="H176">
        <v>1</v>
      </c>
      <c r="I176">
        <v>30</v>
      </c>
      <c r="J176">
        <v>31</v>
      </c>
      <c r="K176" s="33">
        <v>3.2300000000000002E-2</v>
      </c>
      <c r="L176" s="1"/>
      <c r="M176" s="1"/>
      <c r="N176" s="1"/>
      <c r="O176" s="1"/>
      <c r="P176" s="1"/>
      <c r="Q176" s="1"/>
    </row>
    <row r="177" spans="1:17" x14ac:dyDescent="0.25">
      <c r="A177" s="2">
        <v>44741</v>
      </c>
      <c r="B177">
        <v>0</v>
      </c>
      <c r="C177">
        <v>6</v>
      </c>
      <c r="D177">
        <v>342</v>
      </c>
      <c r="E177">
        <v>1343</v>
      </c>
      <c r="F177" s="1" t="s">
        <v>322</v>
      </c>
      <c r="G177">
        <v>0</v>
      </c>
      <c r="H177">
        <v>2</v>
      </c>
      <c r="I177">
        <v>30</v>
      </c>
      <c r="J177">
        <v>32</v>
      </c>
      <c r="K177" s="33">
        <v>6.25E-2</v>
      </c>
      <c r="L177" s="1"/>
      <c r="M177" s="1" t="str">
        <f>_xlfn.XLOOKUP(ocupacao[[#This Row],[UnidadeID]],unidades!$A:$A,unidades!$B:$B,"",0)</f>
        <v>Matriz</v>
      </c>
      <c r="N177" s="1" t="str">
        <f>_xlfn.XLOOKUP(ocupacao[[#This Row],[UnidadeID]],unidades!$A:$A,unidades!$C:$C,"",0)</f>
        <v>Nova Iguaçu</v>
      </c>
      <c r="O177" s="1" t="str">
        <f>_xlfn.XLOOKUP(ocupacao[[#This Row],[EspecialidadeID]],especialidades!$A:$A,especialidades!$B:$B,"",0)</f>
        <v>PEDIATRIA</v>
      </c>
      <c r="P177" s="1" t="str">
        <f>TEXT(WEEKDAY(ocupacao[[#This Row],[Data]]),"ddd")</f>
        <v>qua</v>
      </c>
      <c r="Q177" s="1">
        <f t="shared" si="2"/>
        <v>0</v>
      </c>
    </row>
    <row r="178" spans="1:17" hidden="1" x14ac:dyDescent="0.25">
      <c r="A178" s="2">
        <v>44742</v>
      </c>
      <c r="B178">
        <v>0</v>
      </c>
      <c r="C178">
        <v>6</v>
      </c>
      <c r="D178">
        <v>342</v>
      </c>
      <c r="E178">
        <v>100</v>
      </c>
      <c r="F178" s="1" t="s">
        <v>321</v>
      </c>
      <c r="G178">
        <v>4</v>
      </c>
      <c r="H178">
        <v>0</v>
      </c>
      <c r="I178">
        <v>31</v>
      </c>
      <c r="J178">
        <v>35</v>
      </c>
      <c r="K178" s="33">
        <v>0.1143</v>
      </c>
      <c r="L178" s="1"/>
      <c r="M178" s="1"/>
      <c r="N178" s="1"/>
      <c r="O178" s="1"/>
      <c r="P178" s="1"/>
      <c r="Q178" s="1"/>
    </row>
    <row r="179" spans="1:17" x14ac:dyDescent="0.25">
      <c r="A179" s="2">
        <v>44742</v>
      </c>
      <c r="B179">
        <v>0</v>
      </c>
      <c r="C179">
        <v>6</v>
      </c>
      <c r="D179">
        <v>342</v>
      </c>
      <c r="E179">
        <v>100</v>
      </c>
      <c r="F179" s="1" t="s">
        <v>321</v>
      </c>
      <c r="G179">
        <v>4</v>
      </c>
      <c r="H179">
        <v>2</v>
      </c>
      <c r="I179">
        <v>31</v>
      </c>
      <c r="J179">
        <v>37</v>
      </c>
      <c r="K179" s="33">
        <v>0.16220000000000001</v>
      </c>
      <c r="L179" s="1"/>
      <c r="M179" s="1" t="str">
        <f>_xlfn.XLOOKUP(ocupacao[[#This Row],[UnidadeID]],unidades!$A:$A,unidades!$B:$B,"",0)</f>
        <v>Matriz</v>
      </c>
      <c r="N179" s="1" t="str">
        <f>_xlfn.XLOOKUP(ocupacao[[#This Row],[UnidadeID]],unidades!$A:$A,unidades!$C:$C,"",0)</f>
        <v>Nova Iguaçu</v>
      </c>
      <c r="O179" s="1" t="str">
        <f>_xlfn.XLOOKUP(ocupacao[[#This Row],[EspecialidadeID]],especialidades!$A:$A,especialidades!$B:$B,"",0)</f>
        <v>PEDIATRIA</v>
      </c>
      <c r="P179" s="1" t="str">
        <f>TEXT(WEEKDAY(ocupacao[[#This Row],[Data]]),"ddd")</f>
        <v>qui</v>
      </c>
      <c r="Q179" s="1">
        <f t="shared" si="2"/>
        <v>0</v>
      </c>
    </row>
    <row r="180" spans="1:17" hidden="1" x14ac:dyDescent="0.25">
      <c r="A180" s="2"/>
      <c r="F180" s="1"/>
      <c r="K180" s="33"/>
      <c r="L180" s="1"/>
      <c r="M180" s="1"/>
      <c r="N180" s="1"/>
      <c r="O180" s="1"/>
      <c r="P180" s="1"/>
      <c r="Q180" s="1"/>
    </row>
    <row r="181" spans="1:17" x14ac:dyDescent="0.25">
      <c r="A181" s="2">
        <v>44742</v>
      </c>
      <c r="B181">
        <v>18</v>
      </c>
      <c r="C181">
        <v>6</v>
      </c>
      <c r="D181">
        <v>80</v>
      </c>
      <c r="E181">
        <v>1343</v>
      </c>
      <c r="F181" s="1" t="s">
        <v>322</v>
      </c>
      <c r="G181">
        <v>0</v>
      </c>
      <c r="H181">
        <v>1</v>
      </c>
      <c r="I181">
        <v>16</v>
      </c>
      <c r="J181">
        <v>17</v>
      </c>
      <c r="K181" s="33">
        <v>5.8799999999999998E-2</v>
      </c>
      <c r="L181" s="1"/>
      <c r="M181" s="1" t="str">
        <f>_xlfn.XLOOKUP(ocupacao[[#This Row],[UnidadeID]],unidades!$A:$A,unidades!$B:$B,"",0)</f>
        <v>Miguel Couto</v>
      </c>
      <c r="N181" s="1" t="str">
        <f>_xlfn.XLOOKUP(ocupacao[[#This Row],[UnidadeID]],unidades!$A:$A,unidades!$C:$C,"",0)</f>
        <v>Miguel Couto</v>
      </c>
      <c r="O181" s="1" t="str">
        <f>_xlfn.XLOOKUP(ocupacao[[#This Row],[EspecialidadeID]],especialidades!$A:$A,especialidades!$B:$B,"",0)</f>
        <v>PEDIATRIA</v>
      </c>
      <c r="P181" s="1" t="str">
        <f>TEXT(WEEKDAY(ocupacao[[#This Row],[Data]]),"ddd")</f>
        <v>qui</v>
      </c>
      <c r="Q181" s="1">
        <f t="shared" si="2"/>
        <v>0</v>
      </c>
    </row>
    <row r="182" spans="1:17" hidden="1" x14ac:dyDescent="0.25">
      <c r="A182" s="2">
        <v>44743</v>
      </c>
      <c r="B182">
        <v>34</v>
      </c>
      <c r="C182">
        <v>6</v>
      </c>
      <c r="D182">
        <v>370</v>
      </c>
      <c r="E182">
        <v>99</v>
      </c>
      <c r="F182" s="1" t="s">
        <v>357</v>
      </c>
      <c r="G182">
        <v>0</v>
      </c>
      <c r="H182">
        <v>0</v>
      </c>
      <c r="I182">
        <v>24</v>
      </c>
      <c r="J182">
        <v>24</v>
      </c>
      <c r="K182" s="33">
        <v>0</v>
      </c>
      <c r="L182" s="1"/>
      <c r="M182" s="1"/>
      <c r="N182" s="1"/>
      <c r="O182" s="1"/>
      <c r="P182" s="1"/>
      <c r="Q182" s="1"/>
    </row>
    <row r="183" spans="1:17" hidden="1" x14ac:dyDescent="0.25">
      <c r="A183" s="2"/>
      <c r="F183" s="1"/>
      <c r="K183" s="33"/>
      <c r="L183" s="1"/>
      <c r="M183" s="1"/>
      <c r="N183" s="1"/>
      <c r="O183" s="1"/>
      <c r="P183" s="1"/>
      <c r="Q183" s="1"/>
    </row>
    <row r="184" spans="1:17" x14ac:dyDescent="0.25">
      <c r="A184" s="2">
        <v>44743</v>
      </c>
      <c r="B184">
        <v>0</v>
      </c>
      <c r="C184">
        <v>6</v>
      </c>
      <c r="D184">
        <v>342</v>
      </c>
      <c r="E184">
        <v>1343</v>
      </c>
      <c r="F184" s="1" t="s">
        <v>322</v>
      </c>
      <c r="G184">
        <v>0</v>
      </c>
      <c r="H184">
        <v>2</v>
      </c>
      <c r="I184">
        <v>15</v>
      </c>
      <c r="J184">
        <v>17</v>
      </c>
      <c r="K184" s="33">
        <v>0.1176</v>
      </c>
      <c r="L184" s="1"/>
      <c r="M184" s="1" t="str">
        <f>_xlfn.XLOOKUP(ocupacao[[#This Row],[UnidadeID]],unidades!$A:$A,unidades!$B:$B,"",0)</f>
        <v>Matriz</v>
      </c>
      <c r="N184" s="1" t="str">
        <f>_xlfn.XLOOKUP(ocupacao[[#This Row],[UnidadeID]],unidades!$A:$A,unidades!$C:$C,"",0)</f>
        <v>Nova Iguaçu</v>
      </c>
      <c r="O184" s="1" t="str">
        <f>_xlfn.XLOOKUP(ocupacao[[#This Row],[EspecialidadeID]],especialidades!$A:$A,especialidades!$B:$B,"",0)</f>
        <v>PEDIATRIA</v>
      </c>
      <c r="P184" s="1" t="str">
        <f>TEXT(WEEKDAY(ocupacao[[#This Row],[Data]]),"ddd")</f>
        <v>sex</v>
      </c>
      <c r="Q184" s="1">
        <f t="shared" si="2"/>
        <v>0</v>
      </c>
    </row>
    <row r="185" spans="1:17" hidden="1" x14ac:dyDescent="0.25">
      <c r="A185" s="2"/>
      <c r="F185" s="1"/>
      <c r="K185" s="33"/>
      <c r="L185" s="1"/>
      <c r="M185" s="1"/>
      <c r="N185" s="1"/>
      <c r="O185" s="1"/>
      <c r="P185" s="1"/>
      <c r="Q185" s="1"/>
    </row>
    <row r="186" spans="1:17" hidden="1" x14ac:dyDescent="0.25">
      <c r="A186" s="2">
        <v>44743</v>
      </c>
      <c r="B186">
        <v>18</v>
      </c>
      <c r="C186">
        <v>6</v>
      </c>
      <c r="D186">
        <v>80</v>
      </c>
      <c r="E186">
        <v>10593</v>
      </c>
      <c r="F186" s="1" t="s">
        <v>370</v>
      </c>
      <c r="G186">
        <v>0</v>
      </c>
      <c r="H186">
        <v>0</v>
      </c>
      <c r="I186">
        <v>18</v>
      </c>
      <c r="J186">
        <v>18</v>
      </c>
      <c r="K186" s="33">
        <v>0</v>
      </c>
      <c r="L186" s="1"/>
      <c r="M186" s="1"/>
      <c r="N186" s="1"/>
      <c r="O186" s="1"/>
      <c r="P186" s="1"/>
      <c r="Q186" s="1"/>
    </row>
    <row r="187" spans="1:17" x14ac:dyDescent="0.25">
      <c r="A187" s="2"/>
      <c r="F187" s="1" t="s">
        <v>106</v>
      </c>
      <c r="K187" s="33"/>
      <c r="L187" s="1"/>
      <c r="M187" s="1">
        <f>_xlfn.XLOOKUP(ocupacao[[#This Row],[UnidadeID]],unidades!$A:$A,unidades!$B:$B,"",0)</f>
        <v>0</v>
      </c>
      <c r="N187" s="1">
        <f>_xlfn.XLOOKUP(ocupacao[[#This Row],[UnidadeID]],unidades!$A:$A,unidades!$C:$C,"",0)</f>
        <v>0</v>
      </c>
      <c r="O187" s="1">
        <f>_xlfn.XLOOKUP(ocupacao[[#This Row],[EspecialidadeID]],especialidades!$A:$A,especialidades!$B:$B,"",0)</f>
        <v>0</v>
      </c>
      <c r="P187" s="1" t="str">
        <f>TEXT(WEEKDAY(ocupacao[[#This Row],[Data]]),"ddd")</f>
        <v>sáb</v>
      </c>
      <c r="Q187" s="1">
        <f t="shared" si="2"/>
        <v>0</v>
      </c>
    </row>
    <row r="188" spans="1:17" x14ac:dyDescent="0.25">
      <c r="A188" s="2">
        <v>44733</v>
      </c>
      <c r="B188">
        <v>10</v>
      </c>
      <c r="C188">
        <v>7</v>
      </c>
      <c r="D188">
        <v>5</v>
      </c>
      <c r="E188">
        <v>73</v>
      </c>
      <c r="F188" s="1" t="s">
        <v>377</v>
      </c>
      <c r="G188">
        <v>0</v>
      </c>
      <c r="H188">
        <v>34</v>
      </c>
      <c r="I188">
        <v>0</v>
      </c>
      <c r="J188">
        <v>34</v>
      </c>
      <c r="K188" s="33">
        <v>1</v>
      </c>
      <c r="L188" s="1"/>
      <c r="M188" s="1" t="str">
        <f>_xlfn.XLOOKUP(ocupacao[[#This Row],[UnidadeID]],unidades!$A:$A,unidades!$B:$B,"",0)</f>
        <v>Filial 2 - 10º</v>
      </c>
      <c r="N188" s="1" t="str">
        <f>_xlfn.XLOOKUP(ocupacao[[#This Row],[UnidadeID]],unidades!$A:$A,unidades!$C:$C,"",0)</f>
        <v>Nova Iguaçu</v>
      </c>
      <c r="O188" s="1" t="str">
        <f>_xlfn.XLOOKUP(ocupacao[[#This Row],[EspecialidadeID]],especialidades!$A:$A,especialidades!$B:$B,"",0)</f>
        <v>ENDOCRINOLOGIA</v>
      </c>
      <c r="P188" s="1" t="str">
        <f>TEXT(WEEKDAY(ocupacao[[#This Row],[Data]]),"ddd")</f>
        <v>ter</v>
      </c>
      <c r="Q188" s="1">
        <f t="shared" si="2"/>
        <v>0</v>
      </c>
    </row>
    <row r="189" spans="1:17" hidden="1" x14ac:dyDescent="0.25">
      <c r="A189" s="2">
        <v>44733</v>
      </c>
      <c r="B189">
        <v>10</v>
      </c>
      <c r="C189">
        <v>7</v>
      </c>
      <c r="D189">
        <v>6</v>
      </c>
      <c r="E189">
        <v>12426</v>
      </c>
      <c r="F189" s="1" t="s">
        <v>121</v>
      </c>
      <c r="G189">
        <v>0</v>
      </c>
      <c r="H189">
        <v>19</v>
      </c>
      <c r="I189">
        <v>0</v>
      </c>
      <c r="J189">
        <v>19</v>
      </c>
      <c r="K189" s="33">
        <v>1</v>
      </c>
      <c r="L189" s="1"/>
      <c r="M189" s="1"/>
      <c r="N189" s="1"/>
      <c r="O189" s="1"/>
      <c r="P189" s="1"/>
      <c r="Q189" s="1"/>
    </row>
    <row r="190" spans="1:17" hidden="1" x14ac:dyDescent="0.25">
      <c r="A190" s="2"/>
      <c r="F190" s="1"/>
      <c r="K190" s="33"/>
      <c r="L190" s="1"/>
      <c r="M190" s="1"/>
      <c r="N190" s="1"/>
      <c r="O190" s="1"/>
      <c r="P190" s="1"/>
      <c r="Q190" s="1"/>
    </row>
    <row r="191" spans="1:17" x14ac:dyDescent="0.25">
      <c r="A191" s="2">
        <v>44733</v>
      </c>
      <c r="B191">
        <v>18</v>
      </c>
      <c r="C191">
        <v>7</v>
      </c>
      <c r="D191">
        <v>78</v>
      </c>
      <c r="E191">
        <v>14452</v>
      </c>
      <c r="F191" s="1" t="s">
        <v>148</v>
      </c>
      <c r="G191">
        <v>0</v>
      </c>
      <c r="H191">
        <v>26</v>
      </c>
      <c r="I191">
        <v>14</v>
      </c>
      <c r="J191">
        <v>40</v>
      </c>
      <c r="K191" s="33">
        <v>0.65</v>
      </c>
      <c r="L191" s="1"/>
      <c r="M191" s="1" t="str">
        <f>_xlfn.XLOOKUP(ocupacao[[#This Row],[UnidadeID]],unidades!$A:$A,unidades!$B:$B,"",0)</f>
        <v>Miguel Couto</v>
      </c>
      <c r="N191" s="1" t="str">
        <f>_xlfn.XLOOKUP(ocupacao[[#This Row],[UnidadeID]],unidades!$A:$A,unidades!$C:$C,"",0)</f>
        <v>Miguel Couto</v>
      </c>
      <c r="O191" s="1" t="str">
        <f>_xlfn.XLOOKUP(ocupacao[[#This Row],[EspecialidadeID]],especialidades!$A:$A,especialidades!$B:$B,"",0)</f>
        <v>ENDOCRINOLOGIA</v>
      </c>
      <c r="P191" s="1" t="str">
        <f>TEXT(WEEKDAY(ocupacao[[#This Row],[Data]]),"ddd")</f>
        <v>ter</v>
      </c>
      <c r="Q191" s="1">
        <f t="shared" si="2"/>
        <v>0</v>
      </c>
    </row>
    <row r="192" spans="1:17" hidden="1" x14ac:dyDescent="0.25">
      <c r="A192" s="2"/>
      <c r="F192" s="1"/>
      <c r="K192" s="33"/>
      <c r="L192" s="1"/>
      <c r="M192" s="1"/>
      <c r="N192" s="1"/>
      <c r="O192" s="1"/>
      <c r="P192" s="1"/>
      <c r="Q192" s="1"/>
    </row>
    <row r="193" spans="1:17" x14ac:dyDescent="0.25">
      <c r="A193" s="2">
        <v>44734</v>
      </c>
      <c r="B193">
        <v>0</v>
      </c>
      <c r="C193">
        <v>7</v>
      </c>
      <c r="D193">
        <v>7</v>
      </c>
      <c r="E193">
        <v>60</v>
      </c>
      <c r="F193" s="1" t="s">
        <v>113</v>
      </c>
      <c r="G193">
        <v>0</v>
      </c>
      <c r="H193">
        <v>1</v>
      </c>
      <c r="I193">
        <v>24</v>
      </c>
      <c r="J193">
        <v>25</v>
      </c>
      <c r="K193" s="33">
        <v>0.04</v>
      </c>
      <c r="L193" s="1"/>
      <c r="M193" s="1" t="str">
        <f>_xlfn.XLOOKUP(ocupacao[[#This Row],[UnidadeID]],unidades!$A:$A,unidades!$B:$B,"",0)</f>
        <v>Matriz</v>
      </c>
      <c r="N193" s="1" t="str">
        <f>_xlfn.XLOOKUP(ocupacao[[#This Row],[UnidadeID]],unidades!$A:$A,unidades!$C:$C,"",0)</f>
        <v>Nova Iguaçu</v>
      </c>
      <c r="O193" s="1" t="str">
        <f>_xlfn.XLOOKUP(ocupacao[[#This Row],[EspecialidadeID]],especialidades!$A:$A,especialidades!$B:$B,"",0)</f>
        <v>ENDOCRINOLOGIA</v>
      </c>
      <c r="P193" s="1" t="str">
        <f>TEXT(WEEKDAY(ocupacao[[#This Row],[Data]]),"ddd")</f>
        <v>qua</v>
      </c>
      <c r="Q193" s="1">
        <f t="shared" si="2"/>
        <v>1</v>
      </c>
    </row>
    <row r="194" spans="1:17" hidden="1" x14ac:dyDescent="0.25">
      <c r="A194" s="2">
        <v>44734</v>
      </c>
      <c r="B194">
        <v>0</v>
      </c>
      <c r="C194">
        <v>7</v>
      </c>
      <c r="D194">
        <v>345</v>
      </c>
      <c r="E194">
        <v>60</v>
      </c>
      <c r="F194" s="1" t="s">
        <v>113</v>
      </c>
      <c r="G194">
        <v>0</v>
      </c>
      <c r="H194">
        <v>6</v>
      </c>
      <c r="I194">
        <v>24</v>
      </c>
      <c r="J194">
        <v>30</v>
      </c>
      <c r="K194" s="33">
        <v>0.2</v>
      </c>
      <c r="L194" s="1"/>
      <c r="M194" s="1"/>
      <c r="N194" s="1"/>
      <c r="O194" s="1"/>
      <c r="P194" s="1"/>
      <c r="Q194" s="1"/>
    </row>
    <row r="195" spans="1:17" x14ac:dyDescent="0.25">
      <c r="A195" s="2">
        <v>44734</v>
      </c>
      <c r="B195">
        <v>0</v>
      </c>
      <c r="C195">
        <v>7</v>
      </c>
      <c r="D195">
        <v>7</v>
      </c>
      <c r="E195">
        <v>60</v>
      </c>
      <c r="F195" s="1" t="s">
        <v>113</v>
      </c>
      <c r="G195">
        <v>0</v>
      </c>
      <c r="H195">
        <v>22</v>
      </c>
      <c r="I195">
        <v>24</v>
      </c>
      <c r="J195">
        <v>46</v>
      </c>
      <c r="K195" s="33">
        <v>0.4783</v>
      </c>
      <c r="L195" s="1"/>
      <c r="M195" s="1" t="str">
        <f>_xlfn.XLOOKUP(ocupacao[[#This Row],[UnidadeID]],unidades!$A:$A,unidades!$B:$B,"",0)</f>
        <v>Matriz</v>
      </c>
      <c r="N195" s="1" t="str">
        <f>_xlfn.XLOOKUP(ocupacao[[#This Row],[UnidadeID]],unidades!$A:$A,unidades!$C:$C,"",0)</f>
        <v>Nova Iguaçu</v>
      </c>
      <c r="O195" s="1" t="str">
        <f>_xlfn.XLOOKUP(ocupacao[[#This Row],[EspecialidadeID]],especialidades!$A:$A,especialidades!$B:$B,"",0)</f>
        <v>ENDOCRINOLOGIA</v>
      </c>
      <c r="P195" s="1" t="str">
        <f>TEXT(WEEKDAY(ocupacao[[#This Row],[Data]]),"ddd")</f>
        <v>qua</v>
      </c>
      <c r="Q195" s="1">
        <f t="shared" ref="Q195:Q257" si="3">IF(F195=F196,1,0)</f>
        <v>0</v>
      </c>
    </row>
    <row r="196" spans="1:17" x14ac:dyDescent="0.25">
      <c r="A196" s="2">
        <v>44734</v>
      </c>
      <c r="B196">
        <v>10</v>
      </c>
      <c r="C196">
        <v>7</v>
      </c>
      <c r="D196">
        <v>5</v>
      </c>
      <c r="E196">
        <v>73</v>
      </c>
      <c r="F196" s="1" t="s">
        <v>377</v>
      </c>
      <c r="G196">
        <v>0</v>
      </c>
      <c r="H196">
        <v>33</v>
      </c>
      <c r="I196">
        <v>0</v>
      </c>
      <c r="J196">
        <v>33</v>
      </c>
      <c r="K196" s="33">
        <v>1</v>
      </c>
      <c r="L196" s="1"/>
      <c r="M196" s="1" t="str">
        <f>_xlfn.XLOOKUP(ocupacao[[#This Row],[UnidadeID]],unidades!$A:$A,unidades!$B:$B,"",0)</f>
        <v>Filial 2 - 10º</v>
      </c>
      <c r="N196" s="1" t="str">
        <f>_xlfn.XLOOKUP(ocupacao[[#This Row],[UnidadeID]],unidades!$A:$A,unidades!$C:$C,"",0)</f>
        <v>Nova Iguaçu</v>
      </c>
      <c r="O196" s="1" t="str">
        <f>_xlfn.XLOOKUP(ocupacao[[#This Row],[EspecialidadeID]],especialidades!$A:$A,especialidades!$B:$B,"",0)</f>
        <v>ENDOCRINOLOGIA</v>
      </c>
      <c r="P196" s="1" t="str">
        <f>TEXT(WEEKDAY(ocupacao[[#This Row],[Data]]),"ddd")</f>
        <v>qua</v>
      </c>
      <c r="Q196" s="1">
        <f t="shared" si="3"/>
        <v>0</v>
      </c>
    </row>
    <row r="197" spans="1:17" hidden="1" x14ac:dyDescent="0.25">
      <c r="A197" s="2">
        <v>44734</v>
      </c>
      <c r="B197">
        <v>10</v>
      </c>
      <c r="C197">
        <v>7</v>
      </c>
      <c r="D197">
        <v>3</v>
      </c>
      <c r="E197">
        <v>8598</v>
      </c>
      <c r="F197" s="1" t="s">
        <v>123</v>
      </c>
      <c r="G197">
        <v>0</v>
      </c>
      <c r="H197">
        <v>24</v>
      </c>
      <c r="I197">
        <v>0</v>
      </c>
      <c r="J197">
        <v>24</v>
      </c>
      <c r="K197" s="33">
        <v>1</v>
      </c>
      <c r="L197" s="1"/>
      <c r="M197" s="1"/>
      <c r="N197" s="1"/>
      <c r="O197" s="1"/>
      <c r="P197" s="1"/>
      <c r="Q197" s="1"/>
    </row>
    <row r="198" spans="1:17" x14ac:dyDescent="0.25">
      <c r="A198" s="2">
        <v>44734</v>
      </c>
      <c r="B198">
        <v>10</v>
      </c>
      <c r="C198">
        <v>7</v>
      </c>
      <c r="D198">
        <v>3</v>
      </c>
      <c r="E198">
        <v>8598</v>
      </c>
      <c r="F198" s="1" t="s">
        <v>123</v>
      </c>
      <c r="G198">
        <v>0</v>
      </c>
      <c r="H198">
        <v>20</v>
      </c>
      <c r="I198">
        <v>0</v>
      </c>
      <c r="J198">
        <v>20</v>
      </c>
      <c r="K198" s="33">
        <v>1</v>
      </c>
      <c r="L198" s="1"/>
      <c r="M198" s="1" t="str">
        <f>_xlfn.XLOOKUP(ocupacao[[#This Row],[UnidadeID]],unidades!$A:$A,unidades!$B:$B,"",0)</f>
        <v>Filial 2 - 10º</v>
      </c>
      <c r="N198" s="1" t="str">
        <f>_xlfn.XLOOKUP(ocupacao[[#This Row],[UnidadeID]],unidades!$A:$A,unidades!$C:$C,"",0)</f>
        <v>Nova Iguaçu</v>
      </c>
      <c r="O198" s="1" t="str">
        <f>_xlfn.XLOOKUP(ocupacao[[#This Row],[EspecialidadeID]],especialidades!$A:$A,especialidades!$B:$B,"",0)</f>
        <v>ENDOCRINOLOGIA</v>
      </c>
      <c r="P198" s="1" t="str">
        <f>TEXT(WEEKDAY(ocupacao[[#This Row],[Data]]),"ddd")</f>
        <v>qua</v>
      </c>
      <c r="Q198" s="1">
        <f t="shared" si="3"/>
        <v>0</v>
      </c>
    </row>
    <row r="199" spans="1:17" hidden="1" x14ac:dyDescent="0.25">
      <c r="A199" s="2"/>
      <c r="F199" s="1"/>
      <c r="K199" s="33"/>
      <c r="L199" s="1"/>
      <c r="M199" s="1"/>
      <c r="N199" s="1"/>
      <c r="O199" s="1"/>
      <c r="P199" s="1"/>
      <c r="Q199" s="1"/>
    </row>
    <row r="200" spans="1:17" x14ac:dyDescent="0.25">
      <c r="A200" s="2">
        <v>44734</v>
      </c>
      <c r="B200">
        <v>10</v>
      </c>
      <c r="C200">
        <v>7</v>
      </c>
      <c r="D200">
        <v>7</v>
      </c>
      <c r="E200">
        <v>14452</v>
      </c>
      <c r="F200" s="1" t="s">
        <v>148</v>
      </c>
      <c r="G200">
        <v>0</v>
      </c>
      <c r="H200">
        <v>34</v>
      </c>
      <c r="I200">
        <v>6</v>
      </c>
      <c r="J200">
        <v>40</v>
      </c>
      <c r="K200" s="33">
        <v>0.85</v>
      </c>
      <c r="L200" s="1"/>
      <c r="M200" s="1" t="str">
        <f>_xlfn.XLOOKUP(ocupacao[[#This Row],[UnidadeID]],unidades!$A:$A,unidades!$B:$B,"",0)</f>
        <v>Filial 2 - 10º</v>
      </c>
      <c r="N200" s="1" t="str">
        <f>_xlfn.XLOOKUP(ocupacao[[#This Row],[UnidadeID]],unidades!$A:$A,unidades!$C:$C,"",0)</f>
        <v>Nova Iguaçu</v>
      </c>
      <c r="O200" s="1" t="str">
        <f>_xlfn.XLOOKUP(ocupacao[[#This Row],[EspecialidadeID]],especialidades!$A:$A,especialidades!$B:$B,"",0)</f>
        <v>ENDOCRINOLOGIA</v>
      </c>
      <c r="P200" s="1" t="str">
        <f>TEXT(WEEKDAY(ocupacao[[#This Row],[Data]]),"ddd")</f>
        <v>qua</v>
      </c>
      <c r="Q200" s="1">
        <f t="shared" si="3"/>
        <v>0</v>
      </c>
    </row>
    <row r="201" spans="1:17" hidden="1" x14ac:dyDescent="0.25">
      <c r="A201" s="2"/>
      <c r="F201" s="1"/>
      <c r="K201" s="33"/>
      <c r="L201" s="1"/>
      <c r="M201" s="1"/>
      <c r="N201" s="1"/>
      <c r="O201" s="1"/>
      <c r="P201" s="1"/>
      <c r="Q201" s="1"/>
    </row>
    <row r="202" spans="1:17" x14ac:dyDescent="0.25">
      <c r="A202" s="2">
        <v>44735</v>
      </c>
      <c r="B202">
        <v>0</v>
      </c>
      <c r="C202">
        <v>7</v>
      </c>
      <c r="D202">
        <v>346</v>
      </c>
      <c r="E202">
        <v>60</v>
      </c>
      <c r="F202" s="1" t="s">
        <v>113</v>
      </c>
      <c r="G202">
        <v>0</v>
      </c>
      <c r="H202">
        <v>10</v>
      </c>
      <c r="I202">
        <v>2</v>
      </c>
      <c r="J202">
        <v>12</v>
      </c>
      <c r="K202" s="33">
        <v>0.83330000000000004</v>
      </c>
      <c r="L202" s="1"/>
      <c r="M202" s="1" t="str">
        <f>_xlfn.XLOOKUP(ocupacao[[#This Row],[UnidadeID]],unidades!$A:$A,unidades!$B:$B,"",0)</f>
        <v>Matriz</v>
      </c>
      <c r="N202" s="1" t="str">
        <f>_xlfn.XLOOKUP(ocupacao[[#This Row],[UnidadeID]],unidades!$A:$A,unidades!$C:$C,"",0)</f>
        <v>Nova Iguaçu</v>
      </c>
      <c r="O202" s="1" t="str">
        <f>_xlfn.XLOOKUP(ocupacao[[#This Row],[EspecialidadeID]],especialidades!$A:$A,especialidades!$B:$B,"",0)</f>
        <v>ENDOCRINOLOGIA</v>
      </c>
      <c r="P202" s="1" t="str">
        <f>TEXT(WEEKDAY(ocupacao[[#This Row],[Data]]),"ddd")</f>
        <v>qui</v>
      </c>
      <c r="Q202" s="1">
        <f t="shared" si="3"/>
        <v>0</v>
      </c>
    </row>
    <row r="203" spans="1:17" x14ac:dyDescent="0.25">
      <c r="A203" s="2">
        <v>44735</v>
      </c>
      <c r="B203">
        <v>10</v>
      </c>
      <c r="C203">
        <v>7</v>
      </c>
      <c r="D203">
        <v>5</v>
      </c>
      <c r="E203">
        <v>12426</v>
      </c>
      <c r="F203" s="1" t="s">
        <v>121</v>
      </c>
      <c r="G203">
        <v>0</v>
      </c>
      <c r="H203">
        <v>20</v>
      </c>
      <c r="I203">
        <v>0</v>
      </c>
      <c r="J203">
        <v>20</v>
      </c>
      <c r="K203" s="33">
        <v>1</v>
      </c>
      <c r="L203" s="1"/>
      <c r="M203" s="1" t="str">
        <f>_xlfn.XLOOKUP(ocupacao[[#This Row],[UnidadeID]],unidades!$A:$A,unidades!$B:$B,"",0)</f>
        <v>Filial 2 - 10º</v>
      </c>
      <c r="N203" s="1" t="str">
        <f>_xlfn.XLOOKUP(ocupacao[[#This Row],[UnidadeID]],unidades!$A:$A,unidades!$C:$C,"",0)</f>
        <v>Nova Iguaçu</v>
      </c>
      <c r="O203" s="1" t="str">
        <f>_xlfn.XLOOKUP(ocupacao[[#This Row],[EspecialidadeID]],especialidades!$A:$A,especialidades!$B:$B,"",0)</f>
        <v>ENDOCRINOLOGIA</v>
      </c>
      <c r="P203" s="1" t="str">
        <f>TEXT(WEEKDAY(ocupacao[[#This Row],[Data]]),"ddd")</f>
        <v>qui</v>
      </c>
      <c r="Q203" s="1">
        <f t="shared" si="3"/>
        <v>0</v>
      </c>
    </row>
    <row r="204" spans="1:17" hidden="1" x14ac:dyDescent="0.25">
      <c r="A204" s="2">
        <v>44735</v>
      </c>
      <c r="B204">
        <v>24</v>
      </c>
      <c r="C204">
        <v>7</v>
      </c>
      <c r="D204">
        <v>67</v>
      </c>
      <c r="E204">
        <v>18023</v>
      </c>
      <c r="F204" s="1" t="s">
        <v>797</v>
      </c>
      <c r="G204">
        <v>0</v>
      </c>
      <c r="H204">
        <v>0</v>
      </c>
      <c r="I204">
        <v>25</v>
      </c>
      <c r="J204">
        <v>25</v>
      </c>
      <c r="K204" s="33">
        <v>0</v>
      </c>
      <c r="L204" s="1"/>
      <c r="M204" s="1"/>
      <c r="N204" s="1"/>
      <c r="O204" s="1"/>
      <c r="P204" s="1"/>
      <c r="Q204" s="1"/>
    </row>
    <row r="205" spans="1:17" x14ac:dyDescent="0.25">
      <c r="A205" s="2">
        <v>44735</v>
      </c>
      <c r="B205">
        <v>24</v>
      </c>
      <c r="C205">
        <v>7</v>
      </c>
      <c r="D205">
        <v>67</v>
      </c>
      <c r="E205">
        <v>18023</v>
      </c>
      <c r="F205" s="1" t="s">
        <v>797</v>
      </c>
      <c r="G205">
        <v>0</v>
      </c>
      <c r="H205">
        <v>28</v>
      </c>
      <c r="I205">
        <v>25</v>
      </c>
      <c r="J205">
        <v>53</v>
      </c>
      <c r="K205" s="33">
        <v>0.52829999999999999</v>
      </c>
      <c r="L205" s="1"/>
      <c r="M205" s="1" t="str">
        <f>_xlfn.XLOOKUP(ocupacao[[#This Row],[UnidadeID]],unidades!$A:$A,unidades!$B:$B,"",0)</f>
        <v>Nilópolis</v>
      </c>
      <c r="N205" s="1" t="str">
        <f>_xlfn.XLOOKUP(ocupacao[[#This Row],[UnidadeID]],unidades!$A:$A,unidades!$C:$C,"",0)</f>
        <v>Nilópolis</v>
      </c>
      <c r="O205" s="1" t="str">
        <f>_xlfn.XLOOKUP(ocupacao[[#This Row],[EspecialidadeID]],especialidades!$A:$A,especialidades!$B:$B,"",0)</f>
        <v>ENDOCRINOLOGIA</v>
      </c>
      <c r="P205" s="1" t="str">
        <f>TEXT(WEEKDAY(ocupacao[[#This Row],[Data]]),"ddd")</f>
        <v>qui</v>
      </c>
      <c r="Q205" s="1">
        <f t="shared" si="3"/>
        <v>0</v>
      </c>
    </row>
    <row r="206" spans="1:17" hidden="1" x14ac:dyDescent="0.25">
      <c r="A206" s="2">
        <v>44736</v>
      </c>
      <c r="B206">
        <v>0</v>
      </c>
      <c r="C206">
        <v>7</v>
      </c>
      <c r="D206">
        <v>345</v>
      </c>
      <c r="E206">
        <v>60</v>
      </c>
      <c r="F206" s="1" t="s">
        <v>113</v>
      </c>
      <c r="G206">
        <v>0</v>
      </c>
      <c r="H206">
        <v>35</v>
      </c>
      <c r="I206">
        <v>0</v>
      </c>
      <c r="J206">
        <v>35</v>
      </c>
      <c r="K206" s="33">
        <v>1</v>
      </c>
      <c r="L206" s="1"/>
      <c r="M206" s="1"/>
      <c r="N206" s="1"/>
      <c r="O206" s="1"/>
      <c r="P206" s="1"/>
      <c r="Q206" s="1"/>
    </row>
    <row r="207" spans="1:17" x14ac:dyDescent="0.25">
      <c r="A207" s="2">
        <v>44736</v>
      </c>
      <c r="B207">
        <v>10</v>
      </c>
      <c r="C207">
        <v>7</v>
      </c>
      <c r="D207">
        <v>5</v>
      </c>
      <c r="E207">
        <v>73</v>
      </c>
      <c r="F207" s="1" t="s">
        <v>377</v>
      </c>
      <c r="G207">
        <v>0</v>
      </c>
      <c r="H207">
        <v>20</v>
      </c>
      <c r="I207">
        <v>0</v>
      </c>
      <c r="J207">
        <v>20</v>
      </c>
      <c r="K207" s="33">
        <v>1</v>
      </c>
      <c r="L207" s="1"/>
      <c r="M207" s="1" t="str">
        <f>_xlfn.XLOOKUP(ocupacao[[#This Row],[UnidadeID]],unidades!$A:$A,unidades!$B:$B,"",0)</f>
        <v>Filial 2 - 10º</v>
      </c>
      <c r="N207" s="1" t="str">
        <f>_xlfn.XLOOKUP(ocupacao[[#This Row],[UnidadeID]],unidades!$A:$A,unidades!$C:$C,"",0)</f>
        <v>Nova Iguaçu</v>
      </c>
      <c r="O207" s="1" t="str">
        <f>_xlfn.XLOOKUP(ocupacao[[#This Row],[EspecialidadeID]],especialidades!$A:$A,especialidades!$B:$B,"",0)</f>
        <v>ENDOCRINOLOGIA</v>
      </c>
      <c r="P207" s="1" t="str">
        <f>TEXT(WEEKDAY(ocupacao[[#This Row],[Data]]),"ddd")</f>
        <v>sex</v>
      </c>
      <c r="Q207" s="1">
        <f t="shared" si="3"/>
        <v>0</v>
      </c>
    </row>
    <row r="208" spans="1:17" x14ac:dyDescent="0.25">
      <c r="A208" s="2">
        <v>44736</v>
      </c>
      <c r="B208">
        <v>10</v>
      </c>
      <c r="C208">
        <v>7</v>
      </c>
      <c r="D208">
        <v>7</v>
      </c>
      <c r="E208">
        <v>2984</v>
      </c>
      <c r="F208" s="1" t="s">
        <v>343</v>
      </c>
      <c r="G208">
        <v>0</v>
      </c>
      <c r="H208">
        <v>20</v>
      </c>
      <c r="I208">
        <v>0</v>
      </c>
      <c r="J208">
        <v>20</v>
      </c>
      <c r="K208" s="33">
        <v>1</v>
      </c>
      <c r="L208" s="1"/>
      <c r="M208" s="1" t="str">
        <f>_xlfn.XLOOKUP(ocupacao[[#This Row],[UnidadeID]],unidades!$A:$A,unidades!$B:$B,"",0)</f>
        <v>Filial 2 - 10º</v>
      </c>
      <c r="N208" s="1" t="str">
        <f>_xlfn.XLOOKUP(ocupacao[[#This Row],[UnidadeID]],unidades!$A:$A,unidades!$C:$C,"",0)</f>
        <v>Nova Iguaçu</v>
      </c>
      <c r="O208" s="1" t="str">
        <f>_xlfn.XLOOKUP(ocupacao[[#This Row],[EspecialidadeID]],especialidades!$A:$A,especialidades!$B:$B,"",0)</f>
        <v>ENDOCRINOLOGIA</v>
      </c>
      <c r="P208" s="1" t="str">
        <f>TEXT(WEEKDAY(ocupacao[[#This Row],[Data]]),"ddd")</f>
        <v>sex</v>
      </c>
      <c r="Q208" s="1">
        <f t="shared" si="3"/>
        <v>0</v>
      </c>
    </row>
    <row r="209" spans="1:17" hidden="1" x14ac:dyDescent="0.25">
      <c r="A209" s="2"/>
      <c r="F209" s="1"/>
      <c r="K209" s="33"/>
      <c r="L209" s="1"/>
      <c r="M209" s="1"/>
      <c r="N209" s="1"/>
      <c r="O209" s="1"/>
      <c r="P209" s="1"/>
      <c r="Q209" s="1"/>
    </row>
    <row r="210" spans="1:17" hidden="1" x14ac:dyDescent="0.25">
      <c r="A210" s="2">
        <v>44737</v>
      </c>
      <c r="B210">
        <v>34</v>
      </c>
      <c r="C210">
        <v>7</v>
      </c>
      <c r="D210">
        <v>375</v>
      </c>
      <c r="E210">
        <v>60</v>
      </c>
      <c r="F210" s="1" t="s">
        <v>113</v>
      </c>
      <c r="G210">
        <v>0</v>
      </c>
      <c r="H210">
        <v>28</v>
      </c>
      <c r="I210">
        <v>13</v>
      </c>
      <c r="J210">
        <v>41</v>
      </c>
      <c r="K210" s="33">
        <v>0.68289999999999995</v>
      </c>
      <c r="L210" s="1"/>
      <c r="M210" s="1"/>
      <c r="N210" s="1"/>
      <c r="O210" s="1"/>
      <c r="P210" s="1"/>
      <c r="Q210" s="1"/>
    </row>
    <row r="211" spans="1:17" hidden="1" x14ac:dyDescent="0.25">
      <c r="A211" s="2"/>
      <c r="F211" s="1"/>
      <c r="K211" s="33"/>
      <c r="L211" s="1"/>
      <c r="M211" s="1"/>
      <c r="N211" s="1"/>
      <c r="O211" s="1"/>
      <c r="P211" s="1"/>
      <c r="Q211" s="1"/>
    </row>
    <row r="212" spans="1:17" x14ac:dyDescent="0.25">
      <c r="A212" s="2">
        <v>44739</v>
      </c>
      <c r="B212">
        <v>0</v>
      </c>
      <c r="C212">
        <v>7</v>
      </c>
      <c r="D212">
        <v>66</v>
      </c>
      <c r="E212">
        <v>60</v>
      </c>
      <c r="F212" s="1" t="s">
        <v>113</v>
      </c>
      <c r="G212">
        <v>0</v>
      </c>
      <c r="H212">
        <v>12</v>
      </c>
      <c r="I212">
        <v>12</v>
      </c>
      <c r="J212">
        <v>24</v>
      </c>
      <c r="K212" s="33">
        <v>0.5</v>
      </c>
      <c r="L212" s="1"/>
      <c r="M212" s="1" t="str">
        <f>_xlfn.XLOOKUP(ocupacao[[#This Row],[UnidadeID]],unidades!$A:$A,unidades!$B:$B,"",0)</f>
        <v>Matriz</v>
      </c>
      <c r="N212" s="1" t="str">
        <f>_xlfn.XLOOKUP(ocupacao[[#This Row],[UnidadeID]],unidades!$A:$A,unidades!$C:$C,"",0)</f>
        <v>Nova Iguaçu</v>
      </c>
      <c r="O212" s="1" t="str">
        <f>_xlfn.XLOOKUP(ocupacao[[#This Row],[EspecialidadeID]],especialidades!$A:$A,especialidades!$B:$B,"",0)</f>
        <v>ENDOCRINOLOGIA</v>
      </c>
      <c r="P212" s="1" t="str">
        <f>TEXT(WEEKDAY(ocupacao[[#This Row],[Data]]),"ddd")</f>
        <v>seg</v>
      </c>
      <c r="Q212" s="1">
        <f t="shared" si="3"/>
        <v>1</v>
      </c>
    </row>
    <row r="213" spans="1:17" x14ac:dyDescent="0.25">
      <c r="A213" s="2">
        <v>44739</v>
      </c>
      <c r="B213">
        <v>0</v>
      </c>
      <c r="C213">
        <v>7</v>
      </c>
      <c r="D213">
        <v>345</v>
      </c>
      <c r="E213">
        <v>60</v>
      </c>
      <c r="F213" s="1" t="s">
        <v>113</v>
      </c>
      <c r="G213">
        <v>0</v>
      </c>
      <c r="H213">
        <v>2</v>
      </c>
      <c r="I213">
        <v>12</v>
      </c>
      <c r="J213">
        <v>14</v>
      </c>
      <c r="K213" s="33">
        <v>0.1429</v>
      </c>
      <c r="L213" s="1"/>
      <c r="M213" s="1" t="str">
        <f>_xlfn.XLOOKUP(ocupacao[[#This Row],[UnidadeID]],unidades!$A:$A,unidades!$B:$B,"",0)</f>
        <v>Matriz</v>
      </c>
      <c r="N213" s="1" t="str">
        <f>_xlfn.XLOOKUP(ocupacao[[#This Row],[UnidadeID]],unidades!$A:$A,unidades!$C:$C,"",0)</f>
        <v>Nova Iguaçu</v>
      </c>
      <c r="O213" s="1" t="str">
        <f>_xlfn.XLOOKUP(ocupacao[[#This Row],[EspecialidadeID]],especialidades!$A:$A,especialidades!$B:$B,"",0)</f>
        <v>ENDOCRINOLOGIA</v>
      </c>
      <c r="P213" s="1" t="str">
        <f>TEXT(WEEKDAY(ocupacao[[#This Row],[Data]]),"ddd")</f>
        <v>seg</v>
      </c>
      <c r="Q213" s="1">
        <f t="shared" si="3"/>
        <v>0</v>
      </c>
    </row>
    <row r="214" spans="1:17" hidden="1" x14ac:dyDescent="0.25">
      <c r="A214" s="2">
        <v>44739</v>
      </c>
      <c r="B214">
        <v>10</v>
      </c>
      <c r="C214">
        <v>7</v>
      </c>
      <c r="D214">
        <v>6</v>
      </c>
      <c r="E214">
        <v>12669</v>
      </c>
      <c r="F214" s="1" t="s">
        <v>109</v>
      </c>
      <c r="G214">
        <v>0</v>
      </c>
      <c r="H214">
        <v>16</v>
      </c>
      <c r="I214">
        <v>0</v>
      </c>
      <c r="J214">
        <v>16</v>
      </c>
      <c r="K214" s="33">
        <v>1</v>
      </c>
      <c r="L214" s="1"/>
      <c r="M214" s="1"/>
      <c r="N214" s="1"/>
      <c r="O214" s="1"/>
      <c r="P214" s="1"/>
      <c r="Q214" s="1"/>
    </row>
    <row r="215" spans="1:17" x14ac:dyDescent="0.25">
      <c r="A215" s="2">
        <v>44739</v>
      </c>
      <c r="B215">
        <v>34</v>
      </c>
      <c r="C215">
        <v>7</v>
      </c>
      <c r="D215">
        <v>375</v>
      </c>
      <c r="E215">
        <v>14452</v>
      </c>
      <c r="F215" s="1" t="s">
        <v>148</v>
      </c>
      <c r="G215">
        <v>0</v>
      </c>
      <c r="H215">
        <v>0</v>
      </c>
      <c r="I215">
        <v>40</v>
      </c>
      <c r="J215">
        <v>40</v>
      </c>
      <c r="K215" s="33">
        <v>0</v>
      </c>
      <c r="L215" s="1"/>
      <c r="M215" s="1" t="str">
        <f>_xlfn.XLOOKUP(ocupacao[[#This Row],[UnidadeID]],unidades!$A:$A,unidades!$B:$B,"",0)</f>
        <v>São João</v>
      </c>
      <c r="N215" s="1" t="str">
        <f>_xlfn.XLOOKUP(ocupacao[[#This Row],[UnidadeID]],unidades!$A:$A,unidades!$C:$C,"",0)</f>
        <v>São João de Meriti</v>
      </c>
      <c r="O215" s="1" t="str">
        <f>_xlfn.XLOOKUP(ocupacao[[#This Row],[EspecialidadeID]],especialidades!$A:$A,especialidades!$B:$B,"",0)</f>
        <v>ENDOCRINOLOGIA</v>
      </c>
      <c r="P215" s="1" t="str">
        <f>TEXT(WEEKDAY(ocupacao[[#This Row],[Data]]),"ddd")</f>
        <v>seg</v>
      </c>
      <c r="Q215" s="1">
        <f t="shared" si="3"/>
        <v>0</v>
      </c>
    </row>
    <row r="216" spans="1:17" hidden="1" x14ac:dyDescent="0.25">
      <c r="A216" s="2">
        <v>44740</v>
      </c>
      <c r="B216">
        <v>10</v>
      </c>
      <c r="C216">
        <v>7</v>
      </c>
      <c r="D216">
        <v>5</v>
      </c>
      <c r="E216">
        <v>73</v>
      </c>
      <c r="F216" s="1" t="s">
        <v>377</v>
      </c>
      <c r="G216">
        <v>0</v>
      </c>
      <c r="H216">
        <v>34</v>
      </c>
      <c r="I216">
        <v>0</v>
      </c>
      <c r="J216">
        <v>34</v>
      </c>
      <c r="K216" s="33">
        <v>1</v>
      </c>
      <c r="L216" s="1"/>
      <c r="M216" s="1"/>
      <c r="N216" s="1"/>
      <c r="O216" s="1"/>
      <c r="P216" s="1"/>
      <c r="Q216" s="1"/>
    </row>
    <row r="217" spans="1:17" hidden="1" x14ac:dyDescent="0.25">
      <c r="A217" s="2"/>
      <c r="F217" s="1"/>
      <c r="K217" s="33"/>
      <c r="L217" s="1"/>
      <c r="M217" s="1"/>
      <c r="N217" s="1"/>
      <c r="O217" s="1"/>
      <c r="P217" s="1"/>
      <c r="Q217" s="1"/>
    </row>
    <row r="218" spans="1:17" x14ac:dyDescent="0.25">
      <c r="A218" s="2">
        <v>44740</v>
      </c>
      <c r="B218">
        <v>18</v>
      </c>
      <c r="C218">
        <v>7</v>
      </c>
      <c r="D218">
        <v>78</v>
      </c>
      <c r="E218">
        <v>14452</v>
      </c>
      <c r="F218" s="1" t="s">
        <v>148</v>
      </c>
      <c r="G218">
        <v>0</v>
      </c>
      <c r="H218">
        <v>11</v>
      </c>
      <c r="I218">
        <v>29</v>
      </c>
      <c r="J218">
        <v>40</v>
      </c>
      <c r="K218" s="33">
        <v>0.27500000000000002</v>
      </c>
      <c r="L218" s="1"/>
      <c r="M218" s="1" t="str">
        <f>_xlfn.XLOOKUP(ocupacao[[#This Row],[UnidadeID]],unidades!$A:$A,unidades!$B:$B,"",0)</f>
        <v>Miguel Couto</v>
      </c>
      <c r="N218" s="1" t="str">
        <f>_xlfn.XLOOKUP(ocupacao[[#This Row],[UnidadeID]],unidades!$A:$A,unidades!$C:$C,"",0)</f>
        <v>Miguel Couto</v>
      </c>
      <c r="O218" s="1" t="str">
        <f>_xlfn.XLOOKUP(ocupacao[[#This Row],[EspecialidadeID]],especialidades!$A:$A,especialidades!$B:$B,"",0)</f>
        <v>ENDOCRINOLOGIA</v>
      </c>
      <c r="P218" s="1" t="str">
        <f>TEXT(WEEKDAY(ocupacao[[#This Row],[Data]]),"ddd")</f>
        <v>ter</v>
      </c>
      <c r="Q218" s="1">
        <f t="shared" si="3"/>
        <v>0</v>
      </c>
    </row>
    <row r="219" spans="1:17" hidden="1" x14ac:dyDescent="0.25">
      <c r="A219" s="2">
        <v>44741</v>
      </c>
      <c r="B219">
        <v>0</v>
      </c>
      <c r="C219">
        <v>7</v>
      </c>
      <c r="D219">
        <v>345</v>
      </c>
      <c r="E219">
        <v>60</v>
      </c>
      <c r="F219" s="1" t="s">
        <v>113</v>
      </c>
      <c r="G219">
        <v>0</v>
      </c>
      <c r="H219">
        <v>0</v>
      </c>
      <c r="I219">
        <v>35</v>
      </c>
      <c r="J219">
        <v>35</v>
      </c>
      <c r="K219" s="33">
        <v>0</v>
      </c>
      <c r="L219" s="1"/>
      <c r="M219" s="1"/>
      <c r="N219" s="1"/>
      <c r="O219" s="1"/>
      <c r="P219" s="1"/>
      <c r="Q219" s="1"/>
    </row>
    <row r="220" spans="1:17" x14ac:dyDescent="0.25">
      <c r="A220" s="2">
        <v>44741</v>
      </c>
      <c r="B220">
        <v>0</v>
      </c>
      <c r="C220">
        <v>7</v>
      </c>
      <c r="D220">
        <v>7</v>
      </c>
      <c r="E220">
        <v>60</v>
      </c>
      <c r="F220" s="1" t="s">
        <v>113</v>
      </c>
      <c r="G220">
        <v>0</v>
      </c>
      <c r="H220">
        <v>1</v>
      </c>
      <c r="I220">
        <v>35</v>
      </c>
      <c r="J220">
        <v>36</v>
      </c>
      <c r="K220" s="33">
        <v>2.7799999999999998E-2</v>
      </c>
      <c r="L220" s="1"/>
      <c r="M220" s="1" t="str">
        <f>_xlfn.XLOOKUP(ocupacao[[#This Row],[UnidadeID]],unidades!$A:$A,unidades!$B:$B,"",0)</f>
        <v>Matriz</v>
      </c>
      <c r="N220" s="1" t="str">
        <f>_xlfn.XLOOKUP(ocupacao[[#This Row],[UnidadeID]],unidades!$A:$A,unidades!$C:$C,"",0)</f>
        <v>Nova Iguaçu</v>
      </c>
      <c r="O220" s="1" t="str">
        <f>_xlfn.XLOOKUP(ocupacao[[#This Row],[EspecialidadeID]],especialidades!$A:$A,especialidades!$B:$B,"",0)</f>
        <v>ENDOCRINOLOGIA</v>
      </c>
      <c r="P220" s="1" t="str">
        <f>TEXT(WEEKDAY(ocupacao[[#This Row],[Data]]),"ddd")</f>
        <v>qua</v>
      </c>
      <c r="Q220" s="1">
        <f t="shared" si="3"/>
        <v>1</v>
      </c>
    </row>
    <row r="221" spans="1:17" hidden="1" x14ac:dyDescent="0.25">
      <c r="A221" s="2">
        <v>44741</v>
      </c>
      <c r="B221">
        <v>0</v>
      </c>
      <c r="C221">
        <v>7</v>
      </c>
      <c r="D221">
        <v>7</v>
      </c>
      <c r="E221">
        <v>60</v>
      </c>
      <c r="F221" s="1" t="s">
        <v>113</v>
      </c>
      <c r="G221">
        <v>0</v>
      </c>
      <c r="H221">
        <v>18</v>
      </c>
      <c r="I221">
        <v>35</v>
      </c>
      <c r="J221">
        <v>53</v>
      </c>
      <c r="K221" s="33">
        <v>0.33960000000000001</v>
      </c>
      <c r="L221" s="1"/>
      <c r="M221" s="1"/>
      <c r="N221" s="1"/>
      <c r="O221" s="1"/>
      <c r="P221" s="1"/>
      <c r="Q221" s="1"/>
    </row>
    <row r="222" spans="1:17" x14ac:dyDescent="0.25">
      <c r="A222" s="2">
        <v>44741</v>
      </c>
      <c r="B222">
        <v>10</v>
      </c>
      <c r="C222">
        <v>7</v>
      </c>
      <c r="D222">
        <v>5</v>
      </c>
      <c r="E222">
        <v>73</v>
      </c>
      <c r="F222" s="1" t="s">
        <v>377</v>
      </c>
      <c r="G222">
        <v>0</v>
      </c>
      <c r="H222">
        <v>33</v>
      </c>
      <c r="I222">
        <v>0</v>
      </c>
      <c r="J222">
        <v>33</v>
      </c>
      <c r="K222" s="33">
        <v>1</v>
      </c>
      <c r="L222" s="1"/>
      <c r="M222" s="1" t="str">
        <f>_xlfn.XLOOKUP(ocupacao[[#This Row],[UnidadeID]],unidades!$A:$A,unidades!$B:$B,"",0)</f>
        <v>Filial 2 - 10º</v>
      </c>
      <c r="N222" s="1" t="str">
        <f>_xlfn.XLOOKUP(ocupacao[[#This Row],[UnidadeID]],unidades!$A:$A,unidades!$C:$C,"",0)</f>
        <v>Nova Iguaçu</v>
      </c>
      <c r="O222" s="1" t="str">
        <f>_xlfn.XLOOKUP(ocupacao[[#This Row],[EspecialidadeID]],especialidades!$A:$A,especialidades!$B:$B,"",0)</f>
        <v>ENDOCRINOLOGIA</v>
      </c>
      <c r="P222" s="1" t="str">
        <f>TEXT(WEEKDAY(ocupacao[[#This Row],[Data]]),"ddd")</f>
        <v>qua</v>
      </c>
      <c r="Q222" s="1">
        <f t="shared" si="3"/>
        <v>0</v>
      </c>
    </row>
    <row r="223" spans="1:17" hidden="1" x14ac:dyDescent="0.25">
      <c r="A223" s="2">
        <v>44741</v>
      </c>
      <c r="B223">
        <v>10</v>
      </c>
      <c r="C223">
        <v>7</v>
      </c>
      <c r="D223">
        <v>7</v>
      </c>
      <c r="E223">
        <v>14452</v>
      </c>
      <c r="F223" s="1" t="s">
        <v>148</v>
      </c>
      <c r="G223">
        <v>0</v>
      </c>
      <c r="H223">
        <v>0</v>
      </c>
      <c r="I223">
        <v>24</v>
      </c>
      <c r="J223">
        <v>24</v>
      </c>
      <c r="K223" s="33">
        <v>0</v>
      </c>
      <c r="L223" s="1"/>
      <c r="M223" s="1"/>
      <c r="N223" s="1"/>
      <c r="O223" s="1"/>
      <c r="P223" s="1"/>
      <c r="Q223" s="1"/>
    </row>
    <row r="224" spans="1:17" x14ac:dyDescent="0.25">
      <c r="A224" s="2">
        <v>44741</v>
      </c>
      <c r="B224">
        <v>10</v>
      </c>
      <c r="C224">
        <v>7</v>
      </c>
      <c r="D224">
        <v>7</v>
      </c>
      <c r="E224">
        <v>14452</v>
      </c>
      <c r="F224" s="1" t="s">
        <v>148</v>
      </c>
      <c r="G224">
        <v>0</v>
      </c>
      <c r="H224">
        <v>15</v>
      </c>
      <c r="I224">
        <v>24</v>
      </c>
      <c r="J224">
        <v>39</v>
      </c>
      <c r="K224" s="33">
        <v>0.3846</v>
      </c>
      <c r="L224" s="1"/>
      <c r="M224" s="1" t="str">
        <f>_xlfn.XLOOKUP(ocupacao[[#This Row],[UnidadeID]],unidades!$A:$A,unidades!$B:$B,"",0)</f>
        <v>Filial 2 - 10º</v>
      </c>
      <c r="N224" s="1" t="str">
        <f>_xlfn.XLOOKUP(ocupacao[[#This Row],[UnidadeID]],unidades!$A:$A,unidades!$C:$C,"",0)</f>
        <v>Nova Iguaçu</v>
      </c>
      <c r="O224" s="1" t="str">
        <f>_xlfn.XLOOKUP(ocupacao[[#This Row],[EspecialidadeID]],especialidades!$A:$A,especialidades!$B:$B,"",0)</f>
        <v>ENDOCRINOLOGIA</v>
      </c>
      <c r="P224" s="1" t="str">
        <f>TEXT(WEEKDAY(ocupacao[[#This Row],[Data]]),"ddd")</f>
        <v>qua</v>
      </c>
      <c r="Q224" s="1">
        <f t="shared" si="3"/>
        <v>0</v>
      </c>
    </row>
    <row r="225" spans="1:17" x14ac:dyDescent="0.25">
      <c r="A225" s="2">
        <v>44742</v>
      </c>
      <c r="B225">
        <v>0</v>
      </c>
      <c r="C225">
        <v>7</v>
      </c>
      <c r="D225">
        <v>346</v>
      </c>
      <c r="E225">
        <v>60</v>
      </c>
      <c r="F225" s="1" t="s">
        <v>113</v>
      </c>
      <c r="G225">
        <v>0</v>
      </c>
      <c r="H225">
        <v>0</v>
      </c>
      <c r="I225">
        <v>12</v>
      </c>
      <c r="J225">
        <v>12</v>
      </c>
      <c r="K225" s="33">
        <v>0</v>
      </c>
      <c r="L225" s="1"/>
      <c r="M225" s="1" t="str">
        <f>_xlfn.XLOOKUP(ocupacao[[#This Row],[UnidadeID]],unidades!$A:$A,unidades!$B:$B,"",0)</f>
        <v>Matriz</v>
      </c>
      <c r="N225" s="1" t="str">
        <f>_xlfn.XLOOKUP(ocupacao[[#This Row],[UnidadeID]],unidades!$A:$A,unidades!$C:$C,"",0)</f>
        <v>Nova Iguaçu</v>
      </c>
      <c r="O225" s="1" t="str">
        <f>_xlfn.XLOOKUP(ocupacao[[#This Row],[EspecialidadeID]],especialidades!$A:$A,especialidades!$B:$B,"",0)</f>
        <v>ENDOCRINOLOGIA</v>
      </c>
      <c r="P225" s="1" t="str">
        <f>TEXT(WEEKDAY(ocupacao[[#This Row],[Data]]),"ddd")</f>
        <v>qui</v>
      </c>
      <c r="Q225" s="1">
        <f t="shared" si="3"/>
        <v>0</v>
      </c>
    </row>
    <row r="226" spans="1:17" hidden="1" x14ac:dyDescent="0.25">
      <c r="A226" s="2">
        <v>44742</v>
      </c>
      <c r="B226">
        <v>10</v>
      </c>
      <c r="C226">
        <v>7</v>
      </c>
      <c r="D226">
        <v>6</v>
      </c>
      <c r="E226">
        <v>8598</v>
      </c>
      <c r="F226" s="1" t="s">
        <v>123</v>
      </c>
      <c r="G226">
        <v>0</v>
      </c>
      <c r="H226">
        <v>0</v>
      </c>
      <c r="I226">
        <v>19</v>
      </c>
      <c r="J226">
        <v>19</v>
      </c>
      <c r="K226" s="33">
        <v>0</v>
      </c>
      <c r="L226" s="1"/>
      <c r="M226" s="1"/>
      <c r="N226" s="1"/>
      <c r="O226" s="1"/>
      <c r="P226" s="1"/>
      <c r="Q226" s="1"/>
    </row>
    <row r="227" spans="1:17" x14ac:dyDescent="0.25">
      <c r="A227" s="2">
        <v>44742</v>
      </c>
      <c r="B227">
        <v>10</v>
      </c>
      <c r="C227">
        <v>7</v>
      </c>
      <c r="D227">
        <v>6</v>
      </c>
      <c r="E227">
        <v>8598</v>
      </c>
      <c r="F227" s="1" t="s">
        <v>123</v>
      </c>
      <c r="G227">
        <v>0</v>
      </c>
      <c r="H227">
        <v>4</v>
      </c>
      <c r="I227">
        <v>19</v>
      </c>
      <c r="J227">
        <v>23</v>
      </c>
      <c r="K227" s="33">
        <v>0.1739</v>
      </c>
      <c r="L227" s="1"/>
      <c r="M227" s="1" t="str">
        <f>_xlfn.XLOOKUP(ocupacao[[#This Row],[UnidadeID]],unidades!$A:$A,unidades!$B:$B,"",0)</f>
        <v>Filial 2 - 10º</v>
      </c>
      <c r="N227" s="1" t="str">
        <f>_xlfn.XLOOKUP(ocupacao[[#This Row],[UnidadeID]],unidades!$A:$A,unidades!$C:$C,"",0)</f>
        <v>Nova Iguaçu</v>
      </c>
      <c r="O227" s="1" t="str">
        <f>_xlfn.XLOOKUP(ocupacao[[#This Row],[EspecialidadeID]],especialidades!$A:$A,especialidades!$B:$B,"",0)</f>
        <v>ENDOCRINOLOGIA</v>
      </c>
      <c r="P227" s="1" t="str">
        <f>TEXT(WEEKDAY(ocupacao[[#This Row],[Data]]),"ddd")</f>
        <v>qui</v>
      </c>
      <c r="Q227" s="1">
        <f t="shared" si="3"/>
        <v>0</v>
      </c>
    </row>
    <row r="228" spans="1:17" hidden="1" x14ac:dyDescent="0.25">
      <c r="A228" s="2">
        <v>44742</v>
      </c>
      <c r="B228">
        <v>10</v>
      </c>
      <c r="C228">
        <v>7</v>
      </c>
      <c r="D228">
        <v>5</v>
      </c>
      <c r="E228">
        <v>12426</v>
      </c>
      <c r="F228" s="1" t="s">
        <v>121</v>
      </c>
      <c r="G228">
        <v>0</v>
      </c>
      <c r="H228">
        <v>20</v>
      </c>
      <c r="I228">
        <v>0</v>
      </c>
      <c r="J228">
        <v>20</v>
      </c>
      <c r="K228" s="33">
        <v>1</v>
      </c>
      <c r="L228" s="1"/>
      <c r="M228" s="1"/>
      <c r="N228" s="1"/>
      <c r="O228" s="1"/>
      <c r="P228" s="1"/>
      <c r="Q228" s="1"/>
    </row>
    <row r="229" spans="1:17" x14ac:dyDescent="0.25">
      <c r="A229" s="2">
        <v>44742</v>
      </c>
      <c r="B229">
        <v>24</v>
      </c>
      <c r="C229">
        <v>7</v>
      </c>
      <c r="D229">
        <v>67</v>
      </c>
      <c r="E229">
        <v>18023</v>
      </c>
      <c r="F229" s="1" t="s">
        <v>797</v>
      </c>
      <c r="G229">
        <v>0</v>
      </c>
      <c r="H229">
        <v>1</v>
      </c>
      <c r="I229">
        <v>28</v>
      </c>
      <c r="J229">
        <v>29</v>
      </c>
      <c r="K229" s="33">
        <v>3.4500000000000003E-2</v>
      </c>
      <c r="L229" s="1"/>
      <c r="M229" s="1" t="str">
        <f>_xlfn.XLOOKUP(ocupacao[[#This Row],[UnidadeID]],unidades!$A:$A,unidades!$B:$B,"",0)</f>
        <v>Nilópolis</v>
      </c>
      <c r="N229" s="1" t="str">
        <f>_xlfn.XLOOKUP(ocupacao[[#This Row],[UnidadeID]],unidades!$A:$A,unidades!$C:$C,"",0)</f>
        <v>Nilópolis</v>
      </c>
      <c r="O229" s="1" t="str">
        <f>_xlfn.XLOOKUP(ocupacao[[#This Row],[EspecialidadeID]],especialidades!$A:$A,especialidades!$B:$B,"",0)</f>
        <v>ENDOCRINOLOGIA</v>
      </c>
      <c r="P229" s="1" t="str">
        <f>TEXT(WEEKDAY(ocupacao[[#This Row],[Data]]),"ddd")</f>
        <v>qui</v>
      </c>
      <c r="Q229" s="1">
        <f t="shared" si="3"/>
        <v>0</v>
      </c>
    </row>
    <row r="230" spans="1:17" x14ac:dyDescent="0.25">
      <c r="A230" s="2">
        <v>44743</v>
      </c>
      <c r="B230">
        <v>0</v>
      </c>
      <c r="C230">
        <v>7</v>
      </c>
      <c r="D230">
        <v>345</v>
      </c>
      <c r="E230">
        <v>60</v>
      </c>
      <c r="F230" s="1" t="s">
        <v>113</v>
      </c>
      <c r="G230">
        <v>0</v>
      </c>
      <c r="H230">
        <v>35</v>
      </c>
      <c r="I230">
        <v>0</v>
      </c>
      <c r="J230">
        <v>35</v>
      </c>
      <c r="K230" s="33">
        <v>1</v>
      </c>
      <c r="L230" s="1"/>
      <c r="M230" s="1" t="str">
        <f>_xlfn.XLOOKUP(ocupacao[[#This Row],[UnidadeID]],unidades!$A:$A,unidades!$B:$B,"",0)</f>
        <v>Matriz</v>
      </c>
      <c r="N230" s="1" t="str">
        <f>_xlfn.XLOOKUP(ocupacao[[#This Row],[UnidadeID]],unidades!$A:$A,unidades!$C:$C,"",0)</f>
        <v>Nova Iguaçu</v>
      </c>
      <c r="O230" s="1" t="str">
        <f>_xlfn.XLOOKUP(ocupacao[[#This Row],[EspecialidadeID]],especialidades!$A:$A,especialidades!$B:$B,"",0)</f>
        <v>ENDOCRINOLOGIA</v>
      </c>
      <c r="P230" s="1" t="str">
        <f>TEXT(WEEKDAY(ocupacao[[#This Row],[Data]]),"ddd")</f>
        <v>sex</v>
      </c>
      <c r="Q230" s="1">
        <f t="shared" si="3"/>
        <v>0</v>
      </c>
    </row>
    <row r="231" spans="1:17" x14ac:dyDescent="0.25">
      <c r="A231" s="2">
        <v>44743</v>
      </c>
      <c r="B231">
        <v>10</v>
      </c>
      <c r="C231">
        <v>7</v>
      </c>
      <c r="D231">
        <v>7</v>
      </c>
      <c r="E231">
        <v>2984</v>
      </c>
      <c r="F231" s="1" t="s">
        <v>343</v>
      </c>
      <c r="G231">
        <v>0</v>
      </c>
      <c r="H231">
        <v>20</v>
      </c>
      <c r="I231">
        <v>0</v>
      </c>
      <c r="J231">
        <v>20</v>
      </c>
      <c r="K231" s="33">
        <v>1</v>
      </c>
      <c r="L231" s="1"/>
      <c r="M231" s="1" t="str">
        <f>_xlfn.XLOOKUP(ocupacao[[#This Row],[UnidadeID]],unidades!$A:$A,unidades!$B:$B,"",0)</f>
        <v>Filial 2 - 10º</v>
      </c>
      <c r="N231" s="1" t="str">
        <f>_xlfn.XLOOKUP(ocupacao[[#This Row],[UnidadeID]],unidades!$A:$A,unidades!$C:$C,"",0)</f>
        <v>Nova Iguaçu</v>
      </c>
      <c r="O231" s="1" t="str">
        <f>_xlfn.XLOOKUP(ocupacao[[#This Row],[EspecialidadeID]],especialidades!$A:$A,especialidades!$B:$B,"",0)</f>
        <v>ENDOCRINOLOGIA</v>
      </c>
      <c r="P231" s="1" t="str">
        <f>TEXT(WEEKDAY(ocupacao[[#This Row],[Data]]),"ddd")</f>
        <v>sex</v>
      </c>
      <c r="Q231" s="1">
        <f t="shared" si="3"/>
        <v>0</v>
      </c>
    </row>
    <row r="232" spans="1:17" x14ac:dyDescent="0.25">
      <c r="A232" s="2"/>
      <c r="F232" s="1" t="s">
        <v>106</v>
      </c>
      <c r="K232" s="33"/>
      <c r="L232" s="1"/>
      <c r="M232" s="1">
        <f>_xlfn.XLOOKUP(ocupacao[[#This Row],[UnidadeID]],unidades!$A:$A,unidades!$B:$B,"",0)</f>
        <v>0</v>
      </c>
      <c r="N232" s="1">
        <f>_xlfn.XLOOKUP(ocupacao[[#This Row],[UnidadeID]],unidades!$A:$A,unidades!$C:$C,"",0)</f>
        <v>0</v>
      </c>
      <c r="O232" s="1">
        <f>_xlfn.XLOOKUP(ocupacao[[#This Row],[EspecialidadeID]],especialidades!$A:$A,especialidades!$B:$B,"",0)</f>
        <v>0</v>
      </c>
      <c r="P232" s="1" t="str">
        <f>TEXT(WEEKDAY(ocupacao[[#This Row],[Data]]),"ddd")</f>
        <v>sáb</v>
      </c>
      <c r="Q232" s="1">
        <f t="shared" si="3"/>
        <v>0</v>
      </c>
    </row>
    <row r="233" spans="1:17" x14ac:dyDescent="0.25">
      <c r="A233" s="2">
        <v>44733</v>
      </c>
      <c r="B233">
        <v>0</v>
      </c>
      <c r="C233">
        <v>8</v>
      </c>
      <c r="D233">
        <v>340</v>
      </c>
      <c r="E233">
        <v>6839</v>
      </c>
      <c r="F233" s="1" t="s">
        <v>94</v>
      </c>
      <c r="G233">
        <v>0</v>
      </c>
      <c r="H233">
        <v>0</v>
      </c>
      <c r="I233">
        <v>48</v>
      </c>
      <c r="J233">
        <v>48</v>
      </c>
      <c r="K233" s="33">
        <v>0</v>
      </c>
      <c r="L233" s="1"/>
      <c r="M233" s="1" t="str">
        <f>_xlfn.XLOOKUP(ocupacao[[#This Row],[UnidadeID]],unidades!$A:$A,unidades!$B:$B,"",0)</f>
        <v>Matriz</v>
      </c>
      <c r="N233" s="1" t="str">
        <f>_xlfn.XLOOKUP(ocupacao[[#This Row],[UnidadeID]],unidades!$A:$A,unidades!$C:$C,"",0)</f>
        <v>Nova Iguaçu</v>
      </c>
      <c r="O233" s="1" t="str">
        <f>_xlfn.XLOOKUP(ocupacao[[#This Row],[EspecialidadeID]],especialidades!$A:$A,especialidades!$B:$B,"",0)</f>
        <v>ORTOPEDIA</v>
      </c>
      <c r="P233" s="1" t="str">
        <f>TEXT(WEEKDAY(ocupacao[[#This Row],[Data]]),"ddd")</f>
        <v>ter</v>
      </c>
      <c r="Q233" s="1">
        <f t="shared" si="3"/>
        <v>0</v>
      </c>
    </row>
    <row r="234" spans="1:17" hidden="1" x14ac:dyDescent="0.25">
      <c r="A234" s="2">
        <v>44733</v>
      </c>
      <c r="B234">
        <v>0</v>
      </c>
      <c r="C234">
        <v>8</v>
      </c>
      <c r="D234">
        <v>341</v>
      </c>
      <c r="E234">
        <v>17939</v>
      </c>
      <c r="F234" s="1" t="s">
        <v>358</v>
      </c>
      <c r="G234">
        <v>0</v>
      </c>
      <c r="H234">
        <v>0</v>
      </c>
      <c r="I234">
        <v>84</v>
      </c>
      <c r="J234">
        <v>84</v>
      </c>
      <c r="K234" s="33">
        <v>0</v>
      </c>
      <c r="L234" s="1"/>
      <c r="M234" s="1"/>
      <c r="N234" s="1"/>
      <c r="O234" s="1"/>
      <c r="P234" s="1"/>
      <c r="Q234" s="1"/>
    </row>
    <row r="235" spans="1:17" x14ac:dyDescent="0.25">
      <c r="A235" s="2">
        <v>44733</v>
      </c>
      <c r="B235">
        <v>0</v>
      </c>
      <c r="C235">
        <v>8</v>
      </c>
      <c r="D235">
        <v>341</v>
      </c>
      <c r="E235">
        <v>17939</v>
      </c>
      <c r="F235" s="1" t="s">
        <v>358</v>
      </c>
      <c r="G235">
        <v>0</v>
      </c>
      <c r="H235">
        <v>0</v>
      </c>
      <c r="I235">
        <v>48</v>
      </c>
      <c r="J235">
        <v>48</v>
      </c>
      <c r="K235" s="33">
        <v>0</v>
      </c>
      <c r="L235" s="1"/>
      <c r="M235" s="1" t="str">
        <f>_xlfn.XLOOKUP(ocupacao[[#This Row],[UnidadeID]],unidades!$A:$A,unidades!$B:$B,"",0)</f>
        <v>Matriz</v>
      </c>
      <c r="N235" s="1" t="str">
        <f>_xlfn.XLOOKUP(ocupacao[[#This Row],[UnidadeID]],unidades!$A:$A,unidades!$C:$C,"",0)</f>
        <v>Nova Iguaçu</v>
      </c>
      <c r="O235" s="1" t="str">
        <f>_xlfn.XLOOKUP(ocupacao[[#This Row],[EspecialidadeID]],especialidades!$A:$A,especialidades!$B:$B,"",0)</f>
        <v>ORTOPEDIA</v>
      </c>
      <c r="P235" s="1" t="str">
        <f>TEXT(WEEKDAY(ocupacao[[#This Row],[Data]]),"ddd")</f>
        <v>ter</v>
      </c>
      <c r="Q235" s="1">
        <f t="shared" si="3"/>
        <v>0</v>
      </c>
    </row>
    <row r="236" spans="1:17" hidden="1" x14ac:dyDescent="0.25">
      <c r="A236" s="2">
        <v>44734</v>
      </c>
      <c r="B236">
        <v>0</v>
      </c>
      <c r="C236">
        <v>8</v>
      </c>
      <c r="D236">
        <v>341</v>
      </c>
      <c r="E236">
        <v>3187</v>
      </c>
      <c r="F236" s="1" t="s">
        <v>359</v>
      </c>
      <c r="G236">
        <v>0</v>
      </c>
      <c r="H236">
        <v>0</v>
      </c>
      <c r="I236">
        <v>60</v>
      </c>
      <c r="J236">
        <v>60</v>
      </c>
      <c r="K236" s="33">
        <v>0</v>
      </c>
      <c r="L236" s="1"/>
      <c r="M236" s="1"/>
      <c r="N236" s="1"/>
      <c r="O236" s="1"/>
      <c r="P236" s="1"/>
      <c r="Q236" s="1"/>
    </row>
    <row r="237" spans="1:17" x14ac:dyDescent="0.25">
      <c r="A237" s="2">
        <v>44734</v>
      </c>
      <c r="B237">
        <v>18</v>
      </c>
      <c r="C237">
        <v>8</v>
      </c>
      <c r="D237">
        <v>81</v>
      </c>
      <c r="E237">
        <v>6839</v>
      </c>
      <c r="F237" s="1" t="s">
        <v>94</v>
      </c>
      <c r="G237">
        <v>0</v>
      </c>
      <c r="H237">
        <v>1</v>
      </c>
      <c r="I237">
        <v>47</v>
      </c>
      <c r="J237">
        <v>48</v>
      </c>
      <c r="K237" s="33">
        <v>2.0799999999999999E-2</v>
      </c>
      <c r="L237" s="1"/>
      <c r="M237" s="1" t="str">
        <f>_xlfn.XLOOKUP(ocupacao[[#This Row],[UnidadeID]],unidades!$A:$A,unidades!$B:$B,"",0)</f>
        <v>Miguel Couto</v>
      </c>
      <c r="N237" s="1" t="str">
        <f>_xlfn.XLOOKUP(ocupacao[[#This Row],[UnidadeID]],unidades!$A:$A,unidades!$C:$C,"",0)</f>
        <v>Miguel Couto</v>
      </c>
      <c r="O237" s="1" t="str">
        <f>_xlfn.XLOOKUP(ocupacao[[#This Row],[EspecialidadeID]],especialidades!$A:$A,especialidades!$B:$B,"",0)</f>
        <v>ORTOPEDIA</v>
      </c>
      <c r="P237" s="1" t="str">
        <f>TEXT(WEEKDAY(ocupacao[[#This Row],[Data]]),"ddd")</f>
        <v>qua</v>
      </c>
      <c r="Q237" s="1">
        <f t="shared" si="3"/>
        <v>0</v>
      </c>
    </row>
    <row r="238" spans="1:17" x14ac:dyDescent="0.25">
      <c r="A238" s="2">
        <v>44734</v>
      </c>
      <c r="B238">
        <v>0</v>
      </c>
      <c r="C238">
        <v>8</v>
      </c>
      <c r="D238">
        <v>340</v>
      </c>
      <c r="E238">
        <v>9237</v>
      </c>
      <c r="F238" s="1" t="s">
        <v>95</v>
      </c>
      <c r="G238">
        <v>6</v>
      </c>
      <c r="H238">
        <v>0</v>
      </c>
      <c r="I238">
        <v>54</v>
      </c>
      <c r="J238">
        <v>60</v>
      </c>
      <c r="K238" s="33">
        <v>0.1</v>
      </c>
      <c r="L238" s="1"/>
      <c r="M238" s="1" t="str">
        <f>_xlfn.XLOOKUP(ocupacao[[#This Row],[UnidadeID]],unidades!$A:$A,unidades!$B:$B,"",0)</f>
        <v>Matriz</v>
      </c>
      <c r="N238" s="1" t="str">
        <f>_xlfn.XLOOKUP(ocupacao[[#This Row],[UnidadeID]],unidades!$A:$A,unidades!$C:$C,"",0)</f>
        <v>Nova Iguaçu</v>
      </c>
      <c r="O238" s="1" t="str">
        <f>_xlfn.XLOOKUP(ocupacao[[#This Row],[EspecialidadeID]],especialidades!$A:$A,especialidades!$B:$B,"",0)</f>
        <v>ORTOPEDIA</v>
      </c>
      <c r="P238" s="1" t="str">
        <f>TEXT(WEEKDAY(ocupacao[[#This Row],[Data]]),"ddd")</f>
        <v>qua</v>
      </c>
      <c r="Q238" s="1">
        <f t="shared" si="3"/>
        <v>0</v>
      </c>
    </row>
    <row r="239" spans="1:17" x14ac:dyDescent="0.25">
      <c r="A239" s="2">
        <v>44734</v>
      </c>
      <c r="B239">
        <v>0</v>
      </c>
      <c r="C239">
        <v>8</v>
      </c>
      <c r="D239">
        <v>342</v>
      </c>
      <c r="E239">
        <v>14438</v>
      </c>
      <c r="F239" s="1" t="s">
        <v>157</v>
      </c>
      <c r="G239">
        <v>0</v>
      </c>
      <c r="H239">
        <v>0</v>
      </c>
      <c r="I239">
        <v>132</v>
      </c>
      <c r="J239">
        <v>132</v>
      </c>
      <c r="K239" s="33">
        <v>0</v>
      </c>
      <c r="L239" s="1"/>
      <c r="M239" s="1" t="str">
        <f>_xlfn.XLOOKUP(ocupacao[[#This Row],[UnidadeID]],unidades!$A:$A,unidades!$B:$B,"",0)</f>
        <v>Matriz</v>
      </c>
      <c r="N239" s="1" t="str">
        <f>_xlfn.XLOOKUP(ocupacao[[#This Row],[UnidadeID]],unidades!$A:$A,unidades!$C:$C,"",0)</f>
        <v>Nova Iguaçu</v>
      </c>
      <c r="O239" s="1" t="str">
        <f>_xlfn.XLOOKUP(ocupacao[[#This Row],[EspecialidadeID]],especialidades!$A:$A,especialidades!$B:$B,"",0)</f>
        <v>ORTOPEDIA</v>
      </c>
      <c r="P239" s="1" t="str">
        <f>TEXT(WEEKDAY(ocupacao[[#This Row],[Data]]),"ddd")</f>
        <v>qua</v>
      </c>
      <c r="Q239" s="1">
        <f t="shared" si="3"/>
        <v>0</v>
      </c>
    </row>
    <row r="240" spans="1:17" hidden="1" x14ac:dyDescent="0.25">
      <c r="A240" s="2">
        <v>44734</v>
      </c>
      <c r="B240">
        <v>34</v>
      </c>
      <c r="C240">
        <v>8</v>
      </c>
      <c r="D240">
        <v>373</v>
      </c>
      <c r="E240">
        <v>17939</v>
      </c>
      <c r="F240" s="1" t="s">
        <v>358</v>
      </c>
      <c r="G240">
        <v>0</v>
      </c>
      <c r="H240">
        <v>0</v>
      </c>
      <c r="I240">
        <v>72</v>
      </c>
      <c r="J240">
        <v>72</v>
      </c>
      <c r="K240" s="33">
        <v>0</v>
      </c>
      <c r="L240" s="1"/>
      <c r="M240" s="1"/>
      <c r="N240" s="1"/>
      <c r="O240" s="1"/>
      <c r="P240" s="1"/>
      <c r="Q240" s="1"/>
    </row>
    <row r="241" spans="1:17" x14ac:dyDescent="0.25">
      <c r="A241" s="2">
        <v>44735</v>
      </c>
      <c r="B241">
        <v>0</v>
      </c>
      <c r="C241">
        <v>8</v>
      </c>
      <c r="D241">
        <v>343</v>
      </c>
      <c r="E241">
        <v>4422</v>
      </c>
      <c r="F241" s="1" t="s">
        <v>99</v>
      </c>
      <c r="G241">
        <v>0</v>
      </c>
      <c r="H241">
        <v>0</v>
      </c>
      <c r="I241">
        <v>60</v>
      </c>
      <c r="J241">
        <v>60</v>
      </c>
      <c r="K241" s="33">
        <v>0</v>
      </c>
      <c r="L241" s="1"/>
      <c r="M241" s="1" t="str">
        <f>_xlfn.XLOOKUP(ocupacao[[#This Row],[UnidadeID]],unidades!$A:$A,unidades!$B:$B,"",0)</f>
        <v>Matriz</v>
      </c>
      <c r="N241" s="1" t="str">
        <f>_xlfn.XLOOKUP(ocupacao[[#This Row],[UnidadeID]],unidades!$A:$A,unidades!$C:$C,"",0)</f>
        <v>Nova Iguaçu</v>
      </c>
      <c r="O241" s="1" t="str">
        <f>_xlfn.XLOOKUP(ocupacao[[#This Row],[EspecialidadeID]],especialidades!$A:$A,especialidades!$B:$B,"",0)</f>
        <v>ORTOPEDIA</v>
      </c>
      <c r="P241" s="1" t="str">
        <f>TEXT(WEEKDAY(ocupacao[[#This Row],[Data]]),"ddd")</f>
        <v>qui</v>
      </c>
      <c r="Q241" s="1">
        <f t="shared" si="3"/>
        <v>0</v>
      </c>
    </row>
    <row r="242" spans="1:17" hidden="1" x14ac:dyDescent="0.25">
      <c r="A242" s="2"/>
      <c r="F242" s="1"/>
      <c r="K242" s="33"/>
      <c r="L242" s="1"/>
      <c r="M242" s="1"/>
      <c r="N242" s="1"/>
      <c r="O242" s="1"/>
      <c r="P242" s="1"/>
      <c r="Q242" s="1"/>
    </row>
    <row r="243" spans="1:17" hidden="1" x14ac:dyDescent="0.25">
      <c r="A243" s="2">
        <v>44735</v>
      </c>
      <c r="B243">
        <v>34</v>
      </c>
      <c r="C243">
        <v>8</v>
      </c>
      <c r="D243">
        <v>373</v>
      </c>
      <c r="E243">
        <v>6839</v>
      </c>
      <c r="F243" s="1" t="s">
        <v>94</v>
      </c>
      <c r="G243">
        <v>0</v>
      </c>
      <c r="H243">
        <v>0</v>
      </c>
      <c r="I243">
        <v>48</v>
      </c>
      <c r="J243">
        <v>48</v>
      </c>
      <c r="K243" s="33">
        <v>0</v>
      </c>
      <c r="L243" s="1"/>
      <c r="M243" s="1"/>
      <c r="N243" s="1"/>
      <c r="O243" s="1"/>
      <c r="P243" s="1"/>
      <c r="Q243" s="1"/>
    </row>
    <row r="244" spans="1:17" hidden="1" x14ac:dyDescent="0.25">
      <c r="A244" s="2"/>
      <c r="F244" s="1"/>
      <c r="K244" s="33"/>
      <c r="L244" s="1"/>
      <c r="M244" s="1"/>
      <c r="N244" s="1"/>
      <c r="O244" s="1"/>
      <c r="P244" s="1"/>
      <c r="Q244" s="1"/>
    </row>
    <row r="245" spans="1:17" hidden="1" x14ac:dyDescent="0.25">
      <c r="A245" s="2">
        <v>44735</v>
      </c>
      <c r="B245">
        <v>0</v>
      </c>
      <c r="C245">
        <v>8</v>
      </c>
      <c r="D245">
        <v>340</v>
      </c>
      <c r="E245">
        <v>11312</v>
      </c>
      <c r="F245" s="1" t="s">
        <v>107</v>
      </c>
      <c r="G245">
        <v>0</v>
      </c>
      <c r="H245">
        <v>2</v>
      </c>
      <c r="I245">
        <v>0</v>
      </c>
      <c r="J245">
        <v>2</v>
      </c>
      <c r="K245" s="33">
        <v>1</v>
      </c>
      <c r="L245" s="1"/>
      <c r="M245" s="1"/>
      <c r="N245" s="1"/>
      <c r="O245" s="1"/>
      <c r="P245" s="1"/>
      <c r="Q245" s="1"/>
    </row>
    <row r="246" spans="1:17" x14ac:dyDescent="0.25">
      <c r="A246" s="2">
        <v>44735</v>
      </c>
      <c r="B246">
        <v>0</v>
      </c>
      <c r="C246">
        <v>8</v>
      </c>
      <c r="D246">
        <v>340</v>
      </c>
      <c r="E246">
        <v>17939</v>
      </c>
      <c r="F246" s="1" t="s">
        <v>358</v>
      </c>
      <c r="G246">
        <v>0</v>
      </c>
      <c r="H246">
        <v>0</v>
      </c>
      <c r="I246">
        <v>72</v>
      </c>
      <c r="J246">
        <v>72</v>
      </c>
      <c r="K246" s="33">
        <v>0</v>
      </c>
      <c r="L246" s="1"/>
      <c r="M246" s="1" t="str">
        <f>_xlfn.XLOOKUP(ocupacao[[#This Row],[UnidadeID]],unidades!$A:$A,unidades!$B:$B,"",0)</f>
        <v>Matriz</v>
      </c>
      <c r="N246" s="1" t="str">
        <f>_xlfn.XLOOKUP(ocupacao[[#This Row],[UnidadeID]],unidades!$A:$A,unidades!$C:$C,"",0)</f>
        <v>Nova Iguaçu</v>
      </c>
      <c r="O246" s="1" t="str">
        <f>_xlfn.XLOOKUP(ocupacao[[#This Row],[EspecialidadeID]],especialidades!$A:$A,especialidades!$B:$B,"",0)</f>
        <v>ORTOPEDIA</v>
      </c>
      <c r="P246" s="1" t="str">
        <f>TEXT(WEEKDAY(ocupacao[[#This Row],[Data]]),"ddd")</f>
        <v>qui</v>
      </c>
      <c r="Q246" s="1">
        <f t="shared" si="3"/>
        <v>0</v>
      </c>
    </row>
    <row r="247" spans="1:17" x14ac:dyDescent="0.25">
      <c r="A247" s="2">
        <v>44736</v>
      </c>
      <c r="B247">
        <v>0</v>
      </c>
      <c r="C247">
        <v>8</v>
      </c>
      <c r="D247">
        <v>341</v>
      </c>
      <c r="E247">
        <v>6839</v>
      </c>
      <c r="F247" s="1" t="s">
        <v>94</v>
      </c>
      <c r="G247">
        <v>0</v>
      </c>
      <c r="H247">
        <v>0</v>
      </c>
      <c r="I247">
        <v>60</v>
      </c>
      <c r="J247">
        <v>60</v>
      </c>
      <c r="K247" s="33">
        <v>0</v>
      </c>
      <c r="L247" s="1"/>
      <c r="M247" s="1" t="str">
        <f>_xlfn.XLOOKUP(ocupacao[[#This Row],[UnidadeID]],unidades!$A:$A,unidades!$B:$B,"",0)</f>
        <v>Matriz</v>
      </c>
      <c r="N247" s="1" t="str">
        <f>_xlfn.XLOOKUP(ocupacao[[#This Row],[UnidadeID]],unidades!$A:$A,unidades!$C:$C,"",0)</f>
        <v>Nova Iguaçu</v>
      </c>
      <c r="O247" s="1" t="str">
        <f>_xlfn.XLOOKUP(ocupacao[[#This Row],[EspecialidadeID]],especialidades!$A:$A,especialidades!$B:$B,"",0)</f>
        <v>ORTOPEDIA</v>
      </c>
      <c r="P247" s="1" t="str">
        <f>TEXT(WEEKDAY(ocupacao[[#This Row],[Data]]),"ddd")</f>
        <v>sex</v>
      </c>
      <c r="Q247" s="1">
        <f t="shared" si="3"/>
        <v>0</v>
      </c>
    </row>
    <row r="248" spans="1:17" x14ac:dyDescent="0.25">
      <c r="A248" s="2">
        <v>44737</v>
      </c>
      <c r="B248">
        <v>0</v>
      </c>
      <c r="C248">
        <v>8</v>
      </c>
      <c r="D248">
        <v>340</v>
      </c>
      <c r="E248">
        <v>14172</v>
      </c>
      <c r="F248" s="1" t="s">
        <v>360</v>
      </c>
      <c r="G248">
        <v>0</v>
      </c>
      <c r="H248">
        <v>0</v>
      </c>
      <c r="I248">
        <v>96</v>
      </c>
      <c r="J248">
        <v>96</v>
      </c>
      <c r="K248" s="33">
        <v>0</v>
      </c>
      <c r="L248" s="1"/>
      <c r="M248" s="1" t="str">
        <f>_xlfn.XLOOKUP(ocupacao[[#This Row],[UnidadeID]],unidades!$A:$A,unidades!$B:$B,"",0)</f>
        <v>Matriz</v>
      </c>
      <c r="N248" s="1" t="str">
        <f>_xlfn.XLOOKUP(ocupacao[[#This Row],[UnidadeID]],unidades!$A:$A,unidades!$C:$C,"",0)</f>
        <v>Nova Iguaçu</v>
      </c>
      <c r="O248" s="1" t="str">
        <f>_xlfn.XLOOKUP(ocupacao[[#This Row],[EspecialidadeID]],especialidades!$A:$A,especialidades!$B:$B,"",0)</f>
        <v>ORTOPEDIA</v>
      </c>
      <c r="P248" s="1" t="str">
        <f>TEXT(WEEKDAY(ocupacao[[#This Row],[Data]]),"ddd")</f>
        <v>sáb</v>
      </c>
      <c r="Q248" s="1">
        <f t="shared" si="3"/>
        <v>0</v>
      </c>
    </row>
    <row r="249" spans="1:17" x14ac:dyDescent="0.25">
      <c r="A249" s="2">
        <v>44739</v>
      </c>
      <c r="B249">
        <v>0</v>
      </c>
      <c r="C249">
        <v>8</v>
      </c>
      <c r="D249">
        <v>340</v>
      </c>
      <c r="E249">
        <v>92</v>
      </c>
      <c r="F249" s="1" t="s">
        <v>376</v>
      </c>
      <c r="G249">
        <v>12</v>
      </c>
      <c r="H249">
        <v>0</v>
      </c>
      <c r="I249">
        <v>96</v>
      </c>
      <c r="J249">
        <v>108</v>
      </c>
      <c r="K249" s="33">
        <v>0.1111</v>
      </c>
      <c r="L249" s="1"/>
      <c r="M249" s="1" t="str">
        <f>_xlfn.XLOOKUP(ocupacao[[#This Row],[UnidadeID]],unidades!$A:$A,unidades!$B:$B,"",0)</f>
        <v>Matriz</v>
      </c>
      <c r="N249" s="1" t="str">
        <f>_xlfn.XLOOKUP(ocupacao[[#This Row],[UnidadeID]],unidades!$A:$A,unidades!$C:$C,"",0)</f>
        <v>Nova Iguaçu</v>
      </c>
      <c r="O249" s="1" t="str">
        <f>_xlfn.XLOOKUP(ocupacao[[#This Row],[EspecialidadeID]],especialidades!$A:$A,especialidades!$B:$B,"",0)</f>
        <v>ORTOPEDIA</v>
      </c>
      <c r="P249" s="1" t="str">
        <f>TEXT(WEEKDAY(ocupacao[[#This Row],[Data]]),"ddd")</f>
        <v>seg</v>
      </c>
      <c r="Q249" s="1">
        <f t="shared" si="3"/>
        <v>0</v>
      </c>
    </row>
    <row r="250" spans="1:17" x14ac:dyDescent="0.25">
      <c r="A250" s="2">
        <v>44739</v>
      </c>
      <c r="B250">
        <v>0</v>
      </c>
      <c r="C250">
        <v>8</v>
      </c>
      <c r="D250">
        <v>343</v>
      </c>
      <c r="E250">
        <v>93</v>
      </c>
      <c r="F250" s="1" t="s">
        <v>91</v>
      </c>
      <c r="G250">
        <v>0</v>
      </c>
      <c r="H250">
        <v>0</v>
      </c>
      <c r="I250">
        <v>60</v>
      </c>
      <c r="J250">
        <v>60</v>
      </c>
      <c r="K250" s="33">
        <v>0</v>
      </c>
      <c r="L250" s="1"/>
      <c r="M250" s="1" t="str">
        <f>_xlfn.XLOOKUP(ocupacao[[#This Row],[UnidadeID]],unidades!$A:$A,unidades!$B:$B,"",0)</f>
        <v>Matriz</v>
      </c>
      <c r="N250" s="1" t="str">
        <f>_xlfn.XLOOKUP(ocupacao[[#This Row],[UnidadeID]],unidades!$A:$A,unidades!$C:$C,"",0)</f>
        <v>Nova Iguaçu</v>
      </c>
      <c r="O250" s="1" t="str">
        <f>_xlfn.XLOOKUP(ocupacao[[#This Row],[EspecialidadeID]],especialidades!$A:$A,especialidades!$B:$B,"",0)</f>
        <v>ORTOPEDIA</v>
      </c>
      <c r="P250" s="1" t="str">
        <f>TEXT(WEEKDAY(ocupacao[[#This Row],[Data]]),"ddd")</f>
        <v>seg</v>
      </c>
      <c r="Q250" s="1">
        <f t="shared" si="3"/>
        <v>0</v>
      </c>
    </row>
    <row r="251" spans="1:17" x14ac:dyDescent="0.25">
      <c r="A251" s="2">
        <v>44739</v>
      </c>
      <c r="B251">
        <v>18</v>
      </c>
      <c r="C251">
        <v>8</v>
      </c>
      <c r="D251">
        <v>81</v>
      </c>
      <c r="E251">
        <v>4422</v>
      </c>
      <c r="F251" s="1" t="s">
        <v>99</v>
      </c>
      <c r="G251">
        <v>0</v>
      </c>
      <c r="H251">
        <v>0</v>
      </c>
      <c r="I251">
        <v>48</v>
      </c>
      <c r="J251">
        <v>48</v>
      </c>
      <c r="K251" s="33">
        <v>0</v>
      </c>
      <c r="L251" s="1"/>
      <c r="M251" s="1" t="str">
        <f>_xlfn.XLOOKUP(ocupacao[[#This Row],[UnidadeID]],unidades!$A:$A,unidades!$B:$B,"",0)</f>
        <v>Miguel Couto</v>
      </c>
      <c r="N251" s="1" t="str">
        <f>_xlfn.XLOOKUP(ocupacao[[#This Row],[UnidadeID]],unidades!$A:$A,unidades!$C:$C,"",0)</f>
        <v>Miguel Couto</v>
      </c>
      <c r="O251" s="1" t="str">
        <f>_xlfn.XLOOKUP(ocupacao[[#This Row],[EspecialidadeID]],especialidades!$A:$A,especialidades!$B:$B,"",0)</f>
        <v>ORTOPEDIA</v>
      </c>
      <c r="P251" s="1" t="str">
        <f>TEXT(WEEKDAY(ocupacao[[#This Row],[Data]]),"ddd")</f>
        <v>seg</v>
      </c>
      <c r="Q251" s="1">
        <f t="shared" si="3"/>
        <v>0</v>
      </c>
    </row>
    <row r="252" spans="1:17" hidden="1" x14ac:dyDescent="0.25">
      <c r="A252" s="2">
        <v>44739</v>
      </c>
      <c r="B252">
        <v>0</v>
      </c>
      <c r="C252">
        <v>8</v>
      </c>
      <c r="D252">
        <v>343</v>
      </c>
      <c r="E252">
        <v>9237</v>
      </c>
      <c r="F252" s="1" t="s">
        <v>95</v>
      </c>
      <c r="G252">
        <v>0</v>
      </c>
      <c r="H252">
        <v>0</v>
      </c>
      <c r="I252">
        <v>60</v>
      </c>
      <c r="J252">
        <v>60</v>
      </c>
      <c r="K252" s="33">
        <v>0</v>
      </c>
      <c r="L252" s="1"/>
      <c r="M252" s="1"/>
      <c r="N252" s="1"/>
      <c r="O252" s="1"/>
      <c r="P252" s="1"/>
      <c r="Q252" s="1"/>
    </row>
    <row r="253" spans="1:17" x14ac:dyDescent="0.25">
      <c r="A253" s="2">
        <v>44740</v>
      </c>
      <c r="B253">
        <v>0</v>
      </c>
      <c r="C253">
        <v>8</v>
      </c>
      <c r="D253">
        <v>340</v>
      </c>
      <c r="E253">
        <v>92</v>
      </c>
      <c r="F253" s="1" t="s">
        <v>376</v>
      </c>
      <c r="G253">
        <v>0</v>
      </c>
      <c r="H253">
        <v>0</v>
      </c>
      <c r="I253">
        <v>60</v>
      </c>
      <c r="J253">
        <v>60</v>
      </c>
      <c r="K253" s="33">
        <v>0</v>
      </c>
      <c r="L253" s="1"/>
      <c r="M253" s="1" t="str">
        <f>_xlfn.XLOOKUP(ocupacao[[#This Row],[UnidadeID]],unidades!$A:$A,unidades!$B:$B,"",0)</f>
        <v>Matriz</v>
      </c>
      <c r="N253" s="1" t="str">
        <f>_xlfn.XLOOKUP(ocupacao[[#This Row],[UnidadeID]],unidades!$A:$A,unidades!$C:$C,"",0)</f>
        <v>Nova Iguaçu</v>
      </c>
      <c r="O253" s="1" t="str">
        <f>_xlfn.XLOOKUP(ocupacao[[#This Row],[EspecialidadeID]],especialidades!$A:$A,especialidades!$B:$B,"",0)</f>
        <v>ORTOPEDIA</v>
      </c>
      <c r="P253" s="1" t="str">
        <f>TEXT(WEEKDAY(ocupacao[[#This Row],[Data]]),"ddd")</f>
        <v>ter</v>
      </c>
      <c r="Q253" s="1">
        <f t="shared" si="3"/>
        <v>0</v>
      </c>
    </row>
    <row r="254" spans="1:17" hidden="1" x14ac:dyDescent="0.25">
      <c r="A254" s="2">
        <v>44740</v>
      </c>
      <c r="B254">
        <v>24</v>
      </c>
      <c r="C254">
        <v>8</v>
      </c>
      <c r="D254">
        <v>60</v>
      </c>
      <c r="E254">
        <v>6839</v>
      </c>
      <c r="F254" s="1" t="s">
        <v>94</v>
      </c>
      <c r="G254">
        <v>0</v>
      </c>
      <c r="H254">
        <v>0</v>
      </c>
      <c r="I254">
        <v>60</v>
      </c>
      <c r="J254">
        <v>60</v>
      </c>
      <c r="K254" s="33">
        <v>0</v>
      </c>
      <c r="L254" s="1"/>
      <c r="M254" s="1"/>
      <c r="N254" s="1"/>
      <c r="O254" s="1"/>
      <c r="P254" s="1"/>
      <c r="Q254" s="1"/>
    </row>
    <row r="255" spans="1:17" x14ac:dyDescent="0.25">
      <c r="A255" s="2">
        <v>44740</v>
      </c>
      <c r="B255">
        <v>34</v>
      </c>
      <c r="C255">
        <v>8</v>
      </c>
      <c r="D255">
        <v>374</v>
      </c>
      <c r="E255">
        <v>6839</v>
      </c>
      <c r="F255" s="1" t="s">
        <v>94</v>
      </c>
      <c r="G255">
        <v>0</v>
      </c>
      <c r="H255">
        <v>0</v>
      </c>
      <c r="I255">
        <v>48</v>
      </c>
      <c r="J255">
        <v>48</v>
      </c>
      <c r="K255" s="33">
        <v>0</v>
      </c>
      <c r="L255" s="1"/>
      <c r="M255" s="1" t="str">
        <f>_xlfn.XLOOKUP(ocupacao[[#This Row],[UnidadeID]],unidades!$A:$A,unidades!$B:$B,"",0)</f>
        <v>São João</v>
      </c>
      <c r="N255" s="1" t="str">
        <f>_xlfn.XLOOKUP(ocupacao[[#This Row],[UnidadeID]],unidades!$A:$A,unidades!$C:$C,"",0)</f>
        <v>São João de Meriti</v>
      </c>
      <c r="O255" s="1" t="str">
        <f>_xlfn.XLOOKUP(ocupacao[[#This Row],[EspecialidadeID]],especialidades!$A:$A,especialidades!$B:$B,"",0)</f>
        <v>ORTOPEDIA</v>
      </c>
      <c r="P255" s="1" t="str">
        <f>TEXT(WEEKDAY(ocupacao[[#This Row],[Data]]),"ddd")</f>
        <v>ter</v>
      </c>
      <c r="Q255" s="1">
        <f t="shared" si="3"/>
        <v>0</v>
      </c>
    </row>
    <row r="256" spans="1:17" hidden="1" x14ac:dyDescent="0.25">
      <c r="A256" s="2"/>
      <c r="F256" s="1"/>
      <c r="K256" s="33"/>
      <c r="L256" s="1"/>
      <c r="M256" s="1"/>
      <c r="N256" s="1"/>
      <c r="O256" s="1"/>
      <c r="P256" s="1"/>
      <c r="Q256" s="1"/>
    </row>
    <row r="257" spans="1:17" x14ac:dyDescent="0.25">
      <c r="A257" s="2">
        <v>44740</v>
      </c>
      <c r="B257">
        <v>0</v>
      </c>
      <c r="C257">
        <v>8</v>
      </c>
      <c r="D257">
        <v>341</v>
      </c>
      <c r="E257">
        <v>17939</v>
      </c>
      <c r="F257" s="1" t="s">
        <v>358</v>
      </c>
      <c r="G257">
        <v>0</v>
      </c>
      <c r="H257">
        <v>0</v>
      </c>
      <c r="I257">
        <v>48</v>
      </c>
      <c r="J257">
        <v>48</v>
      </c>
      <c r="K257" s="33">
        <v>0</v>
      </c>
      <c r="L257" s="1"/>
      <c r="M257" s="1" t="str">
        <f>_xlfn.XLOOKUP(ocupacao[[#This Row],[UnidadeID]],unidades!$A:$A,unidades!$B:$B,"",0)</f>
        <v>Matriz</v>
      </c>
      <c r="N257" s="1" t="str">
        <f>_xlfn.XLOOKUP(ocupacao[[#This Row],[UnidadeID]],unidades!$A:$A,unidades!$C:$C,"",0)</f>
        <v>Nova Iguaçu</v>
      </c>
      <c r="O257" s="1" t="str">
        <f>_xlfn.XLOOKUP(ocupacao[[#This Row],[EspecialidadeID]],especialidades!$A:$A,especialidades!$B:$B,"",0)</f>
        <v>ORTOPEDIA</v>
      </c>
      <c r="P257" s="1" t="str">
        <f>TEXT(WEEKDAY(ocupacao[[#This Row],[Data]]),"ddd")</f>
        <v>ter</v>
      </c>
      <c r="Q257" s="1">
        <f t="shared" si="3"/>
        <v>0</v>
      </c>
    </row>
    <row r="258" spans="1:17" x14ac:dyDescent="0.25">
      <c r="A258" s="2">
        <v>44741</v>
      </c>
      <c r="B258">
        <v>0</v>
      </c>
      <c r="C258">
        <v>8</v>
      </c>
      <c r="D258">
        <v>340</v>
      </c>
      <c r="E258">
        <v>92</v>
      </c>
      <c r="F258" s="1" t="s">
        <v>376</v>
      </c>
      <c r="G258">
        <v>0</v>
      </c>
      <c r="H258">
        <v>0</v>
      </c>
      <c r="I258">
        <v>72</v>
      </c>
      <c r="J258">
        <v>72</v>
      </c>
      <c r="K258" s="33">
        <v>0</v>
      </c>
      <c r="L258" s="1"/>
      <c r="M258" s="1" t="str">
        <f>_xlfn.XLOOKUP(ocupacao[[#This Row],[UnidadeID]],unidades!$A:$A,unidades!$B:$B,"",0)</f>
        <v>Matriz</v>
      </c>
      <c r="N258" s="1" t="str">
        <f>_xlfn.XLOOKUP(ocupacao[[#This Row],[UnidadeID]],unidades!$A:$A,unidades!$C:$C,"",0)</f>
        <v>Nova Iguaçu</v>
      </c>
      <c r="O258" s="1" t="str">
        <f>_xlfn.XLOOKUP(ocupacao[[#This Row],[EspecialidadeID]],especialidades!$A:$A,especialidades!$B:$B,"",0)</f>
        <v>ORTOPEDIA</v>
      </c>
      <c r="P258" s="1" t="str">
        <f>TEXT(WEEKDAY(ocupacao[[#This Row],[Data]]),"ddd")</f>
        <v>qua</v>
      </c>
      <c r="Q258" s="1">
        <f t="shared" ref="Q258:Q321" si="4">IF(F258=F259,1,0)</f>
        <v>0</v>
      </c>
    </row>
    <row r="259" spans="1:17" x14ac:dyDescent="0.25">
      <c r="A259" s="2">
        <v>44741</v>
      </c>
      <c r="B259">
        <v>0</v>
      </c>
      <c r="C259">
        <v>8</v>
      </c>
      <c r="D259">
        <v>341</v>
      </c>
      <c r="E259">
        <v>3187</v>
      </c>
      <c r="F259" s="1" t="s">
        <v>359</v>
      </c>
      <c r="G259">
        <v>0</v>
      </c>
      <c r="H259">
        <v>0</v>
      </c>
      <c r="I259">
        <v>60</v>
      </c>
      <c r="J259">
        <v>60</v>
      </c>
      <c r="K259" s="33">
        <v>0</v>
      </c>
      <c r="L259" s="1"/>
      <c r="M259" s="1" t="str">
        <f>_xlfn.XLOOKUP(ocupacao[[#This Row],[UnidadeID]],unidades!$A:$A,unidades!$B:$B,"",0)</f>
        <v>Matriz</v>
      </c>
      <c r="N259" s="1" t="str">
        <f>_xlfn.XLOOKUP(ocupacao[[#This Row],[UnidadeID]],unidades!$A:$A,unidades!$C:$C,"",0)</f>
        <v>Nova Iguaçu</v>
      </c>
      <c r="O259" s="1" t="str">
        <f>_xlfn.XLOOKUP(ocupacao[[#This Row],[EspecialidadeID]],especialidades!$A:$A,especialidades!$B:$B,"",0)</f>
        <v>ORTOPEDIA</v>
      </c>
      <c r="P259" s="1" t="str">
        <f>TEXT(WEEKDAY(ocupacao[[#This Row],[Data]]),"ddd")</f>
        <v>qua</v>
      </c>
      <c r="Q259" s="1">
        <f t="shared" si="4"/>
        <v>0</v>
      </c>
    </row>
    <row r="260" spans="1:17" x14ac:dyDescent="0.25">
      <c r="A260" s="2">
        <v>44741</v>
      </c>
      <c r="B260">
        <v>18</v>
      </c>
      <c r="C260">
        <v>8</v>
      </c>
      <c r="D260">
        <v>81</v>
      </c>
      <c r="E260">
        <v>6839</v>
      </c>
      <c r="F260" s="1" t="s">
        <v>94</v>
      </c>
      <c r="G260">
        <v>0</v>
      </c>
      <c r="H260">
        <v>0</v>
      </c>
      <c r="I260">
        <v>48</v>
      </c>
      <c r="J260">
        <v>48</v>
      </c>
      <c r="K260" s="33">
        <v>0</v>
      </c>
      <c r="L260" s="1"/>
      <c r="M260" s="1" t="str">
        <f>_xlfn.XLOOKUP(ocupacao[[#This Row],[UnidadeID]],unidades!$A:$A,unidades!$B:$B,"",0)</f>
        <v>Miguel Couto</v>
      </c>
      <c r="N260" s="1" t="str">
        <f>_xlfn.XLOOKUP(ocupacao[[#This Row],[UnidadeID]],unidades!$A:$A,unidades!$C:$C,"",0)</f>
        <v>Miguel Couto</v>
      </c>
      <c r="O260" s="1" t="str">
        <f>_xlfn.XLOOKUP(ocupacao[[#This Row],[EspecialidadeID]],especialidades!$A:$A,especialidades!$B:$B,"",0)</f>
        <v>ORTOPEDIA</v>
      </c>
      <c r="P260" s="1" t="str">
        <f>TEXT(WEEKDAY(ocupacao[[#This Row],[Data]]),"ddd")</f>
        <v>qua</v>
      </c>
      <c r="Q260" s="1">
        <f t="shared" si="4"/>
        <v>0</v>
      </c>
    </row>
    <row r="261" spans="1:17" x14ac:dyDescent="0.25">
      <c r="A261" s="2">
        <v>44741</v>
      </c>
      <c r="B261">
        <v>0</v>
      </c>
      <c r="C261">
        <v>8</v>
      </c>
      <c r="D261">
        <v>340</v>
      </c>
      <c r="E261">
        <v>9237</v>
      </c>
      <c r="F261" s="1" t="s">
        <v>95</v>
      </c>
      <c r="G261">
        <v>0</v>
      </c>
      <c r="H261">
        <v>0</v>
      </c>
      <c r="I261">
        <v>60</v>
      </c>
      <c r="J261">
        <v>60</v>
      </c>
      <c r="K261" s="33">
        <v>0</v>
      </c>
      <c r="L261" s="1"/>
      <c r="M261" s="1" t="str">
        <f>_xlfn.XLOOKUP(ocupacao[[#This Row],[UnidadeID]],unidades!$A:$A,unidades!$B:$B,"",0)</f>
        <v>Matriz</v>
      </c>
      <c r="N261" s="1" t="str">
        <f>_xlfn.XLOOKUP(ocupacao[[#This Row],[UnidadeID]],unidades!$A:$A,unidades!$C:$C,"",0)</f>
        <v>Nova Iguaçu</v>
      </c>
      <c r="O261" s="1" t="str">
        <f>_xlfn.XLOOKUP(ocupacao[[#This Row],[EspecialidadeID]],especialidades!$A:$A,especialidades!$B:$B,"",0)</f>
        <v>ORTOPEDIA</v>
      </c>
      <c r="P261" s="1" t="str">
        <f>TEXT(WEEKDAY(ocupacao[[#This Row],[Data]]),"ddd")</f>
        <v>qua</v>
      </c>
      <c r="Q261" s="1">
        <f t="shared" si="4"/>
        <v>0</v>
      </c>
    </row>
    <row r="262" spans="1:17" hidden="1" x14ac:dyDescent="0.25">
      <c r="A262" s="2">
        <v>44741</v>
      </c>
      <c r="B262">
        <v>0</v>
      </c>
      <c r="C262">
        <v>8</v>
      </c>
      <c r="D262">
        <v>342</v>
      </c>
      <c r="E262">
        <v>14438</v>
      </c>
      <c r="F262" s="1" t="s">
        <v>157</v>
      </c>
      <c r="G262">
        <v>0</v>
      </c>
      <c r="H262">
        <v>0</v>
      </c>
      <c r="I262">
        <v>132</v>
      </c>
      <c r="J262">
        <v>132</v>
      </c>
      <c r="K262" s="33">
        <v>0</v>
      </c>
      <c r="L262" s="1"/>
      <c r="M262" s="1"/>
      <c r="N262" s="1"/>
      <c r="O262" s="1"/>
      <c r="P262" s="1"/>
      <c r="Q262" s="1"/>
    </row>
    <row r="263" spans="1:17" x14ac:dyDescent="0.25">
      <c r="A263" s="2">
        <v>44741</v>
      </c>
      <c r="B263">
        <v>34</v>
      </c>
      <c r="C263">
        <v>8</v>
      </c>
      <c r="D263">
        <v>373</v>
      </c>
      <c r="E263">
        <v>17939</v>
      </c>
      <c r="F263" s="1" t="s">
        <v>358</v>
      </c>
      <c r="G263">
        <v>0</v>
      </c>
      <c r="H263">
        <v>0</v>
      </c>
      <c r="I263">
        <v>72</v>
      </c>
      <c r="J263">
        <v>72</v>
      </c>
      <c r="K263" s="33">
        <v>0</v>
      </c>
      <c r="L263" s="1"/>
      <c r="M263" s="1" t="str">
        <f>_xlfn.XLOOKUP(ocupacao[[#This Row],[UnidadeID]],unidades!$A:$A,unidades!$B:$B,"",0)</f>
        <v>São João</v>
      </c>
      <c r="N263" s="1" t="str">
        <f>_xlfn.XLOOKUP(ocupacao[[#This Row],[UnidadeID]],unidades!$A:$A,unidades!$C:$C,"",0)</f>
        <v>São João de Meriti</v>
      </c>
      <c r="O263" s="1" t="str">
        <f>_xlfn.XLOOKUP(ocupacao[[#This Row],[EspecialidadeID]],especialidades!$A:$A,especialidades!$B:$B,"",0)</f>
        <v>ORTOPEDIA</v>
      </c>
      <c r="P263" s="1" t="str">
        <f>TEXT(WEEKDAY(ocupacao[[#This Row],[Data]]),"ddd")</f>
        <v>qua</v>
      </c>
      <c r="Q263" s="1">
        <f t="shared" si="4"/>
        <v>0</v>
      </c>
    </row>
    <row r="264" spans="1:17" hidden="1" x14ac:dyDescent="0.25">
      <c r="A264" s="2">
        <v>44742</v>
      </c>
      <c r="B264">
        <v>0</v>
      </c>
      <c r="C264">
        <v>8</v>
      </c>
      <c r="D264">
        <v>340</v>
      </c>
      <c r="E264">
        <v>92</v>
      </c>
      <c r="F264" s="1" t="s">
        <v>376</v>
      </c>
      <c r="G264">
        <v>0</v>
      </c>
      <c r="H264">
        <v>0</v>
      </c>
      <c r="I264">
        <v>72</v>
      </c>
      <c r="J264">
        <v>72</v>
      </c>
      <c r="K264" s="33">
        <v>0</v>
      </c>
      <c r="L264" s="1"/>
      <c r="M264" s="1"/>
      <c r="N264" s="1"/>
      <c r="O264" s="1"/>
      <c r="P264" s="1"/>
      <c r="Q264" s="1"/>
    </row>
    <row r="265" spans="1:17" x14ac:dyDescent="0.25">
      <c r="A265" s="2">
        <v>44742</v>
      </c>
      <c r="B265">
        <v>0</v>
      </c>
      <c r="C265">
        <v>8</v>
      </c>
      <c r="D265">
        <v>343</v>
      </c>
      <c r="E265">
        <v>93</v>
      </c>
      <c r="F265" s="1" t="s">
        <v>91</v>
      </c>
      <c r="G265">
        <v>0</v>
      </c>
      <c r="H265">
        <v>0</v>
      </c>
      <c r="I265">
        <v>60</v>
      </c>
      <c r="J265">
        <v>60</v>
      </c>
      <c r="K265" s="33">
        <v>0</v>
      </c>
      <c r="L265" s="1"/>
      <c r="M265" s="1" t="str">
        <f>_xlfn.XLOOKUP(ocupacao[[#This Row],[UnidadeID]],unidades!$A:$A,unidades!$B:$B,"",0)</f>
        <v>Matriz</v>
      </c>
      <c r="N265" s="1" t="str">
        <f>_xlfn.XLOOKUP(ocupacao[[#This Row],[UnidadeID]],unidades!$A:$A,unidades!$C:$C,"",0)</f>
        <v>Nova Iguaçu</v>
      </c>
      <c r="O265" s="1" t="str">
        <f>_xlfn.XLOOKUP(ocupacao[[#This Row],[EspecialidadeID]],especialidades!$A:$A,especialidades!$B:$B,"",0)</f>
        <v>ORTOPEDIA</v>
      </c>
      <c r="P265" s="1" t="str">
        <f>TEXT(WEEKDAY(ocupacao[[#This Row],[Data]]),"ddd")</f>
        <v>qui</v>
      </c>
      <c r="Q265" s="1">
        <f t="shared" si="4"/>
        <v>0</v>
      </c>
    </row>
    <row r="266" spans="1:17" x14ac:dyDescent="0.25">
      <c r="A266" s="2">
        <v>44742</v>
      </c>
      <c r="B266">
        <v>0</v>
      </c>
      <c r="C266">
        <v>8</v>
      </c>
      <c r="D266">
        <v>343</v>
      </c>
      <c r="E266">
        <v>4422</v>
      </c>
      <c r="F266" s="1" t="s">
        <v>99</v>
      </c>
      <c r="G266">
        <v>0</v>
      </c>
      <c r="H266">
        <v>0</v>
      </c>
      <c r="I266">
        <v>60</v>
      </c>
      <c r="J266">
        <v>60</v>
      </c>
      <c r="K266" s="33">
        <v>0</v>
      </c>
      <c r="L266" s="1"/>
      <c r="M266" s="1" t="str">
        <f>_xlfn.XLOOKUP(ocupacao[[#This Row],[UnidadeID]],unidades!$A:$A,unidades!$B:$B,"",0)</f>
        <v>Matriz</v>
      </c>
      <c r="N266" s="1" t="str">
        <f>_xlfn.XLOOKUP(ocupacao[[#This Row],[UnidadeID]],unidades!$A:$A,unidades!$C:$C,"",0)</f>
        <v>Nova Iguaçu</v>
      </c>
      <c r="O266" s="1" t="str">
        <f>_xlfn.XLOOKUP(ocupacao[[#This Row],[EspecialidadeID]],especialidades!$A:$A,especialidades!$B:$B,"",0)</f>
        <v>ORTOPEDIA</v>
      </c>
      <c r="P266" s="1" t="str">
        <f>TEXT(WEEKDAY(ocupacao[[#This Row],[Data]]),"ddd")</f>
        <v>qui</v>
      </c>
      <c r="Q266" s="1">
        <f t="shared" si="4"/>
        <v>0</v>
      </c>
    </row>
    <row r="267" spans="1:17" hidden="1" x14ac:dyDescent="0.25">
      <c r="A267" s="2"/>
      <c r="F267" s="1"/>
      <c r="K267" s="33"/>
      <c r="L267" s="1"/>
      <c r="M267" s="1"/>
      <c r="N267" s="1"/>
      <c r="O267" s="1"/>
      <c r="P267" s="1"/>
      <c r="Q267" s="1"/>
    </row>
    <row r="268" spans="1:17" x14ac:dyDescent="0.25">
      <c r="A268" s="2">
        <v>44742</v>
      </c>
      <c r="B268">
        <v>34</v>
      </c>
      <c r="C268">
        <v>8</v>
      </c>
      <c r="D268">
        <v>373</v>
      </c>
      <c r="E268">
        <v>6839</v>
      </c>
      <c r="F268" s="1" t="s">
        <v>94</v>
      </c>
      <c r="G268">
        <v>0</v>
      </c>
      <c r="H268">
        <v>0</v>
      </c>
      <c r="I268">
        <v>48</v>
      </c>
      <c r="J268">
        <v>48</v>
      </c>
      <c r="K268" s="33">
        <v>0</v>
      </c>
      <c r="L268" s="1"/>
      <c r="M268" s="1" t="str">
        <f>_xlfn.XLOOKUP(ocupacao[[#This Row],[UnidadeID]],unidades!$A:$A,unidades!$B:$B,"",0)</f>
        <v>São João</v>
      </c>
      <c r="N268" s="1" t="str">
        <f>_xlfn.XLOOKUP(ocupacao[[#This Row],[UnidadeID]],unidades!$A:$A,unidades!$C:$C,"",0)</f>
        <v>São João de Meriti</v>
      </c>
      <c r="O268" s="1" t="str">
        <f>_xlfn.XLOOKUP(ocupacao[[#This Row],[EspecialidadeID]],especialidades!$A:$A,especialidades!$B:$B,"",0)</f>
        <v>ORTOPEDIA</v>
      </c>
      <c r="P268" s="1" t="str">
        <f>TEXT(WEEKDAY(ocupacao[[#This Row],[Data]]),"ddd")</f>
        <v>qui</v>
      </c>
      <c r="Q268" s="1">
        <f t="shared" si="4"/>
        <v>0</v>
      </c>
    </row>
    <row r="269" spans="1:17" x14ac:dyDescent="0.25">
      <c r="A269" s="2">
        <v>44742</v>
      </c>
      <c r="B269">
        <v>0</v>
      </c>
      <c r="C269">
        <v>8</v>
      </c>
      <c r="D269">
        <v>340</v>
      </c>
      <c r="E269">
        <v>11312</v>
      </c>
      <c r="F269" s="1" t="s">
        <v>107</v>
      </c>
      <c r="G269">
        <v>0</v>
      </c>
      <c r="H269">
        <v>0</v>
      </c>
      <c r="I269">
        <v>31</v>
      </c>
      <c r="J269">
        <v>31</v>
      </c>
      <c r="K269" s="33">
        <v>0</v>
      </c>
      <c r="L269" s="1"/>
      <c r="M269" s="1" t="str">
        <f>_xlfn.XLOOKUP(ocupacao[[#This Row],[UnidadeID]],unidades!$A:$A,unidades!$B:$B,"",0)</f>
        <v>Matriz</v>
      </c>
      <c r="N269" s="1" t="str">
        <f>_xlfn.XLOOKUP(ocupacao[[#This Row],[UnidadeID]],unidades!$A:$A,unidades!$C:$C,"",0)</f>
        <v>Nova Iguaçu</v>
      </c>
      <c r="O269" s="1" t="str">
        <f>_xlfn.XLOOKUP(ocupacao[[#This Row],[EspecialidadeID]],especialidades!$A:$A,especialidades!$B:$B,"",0)</f>
        <v>ORTOPEDIA</v>
      </c>
      <c r="P269" s="1" t="str">
        <f>TEXT(WEEKDAY(ocupacao[[#This Row],[Data]]),"ddd")</f>
        <v>qui</v>
      </c>
      <c r="Q269" s="1">
        <f t="shared" si="4"/>
        <v>0</v>
      </c>
    </row>
    <row r="270" spans="1:17" x14ac:dyDescent="0.25">
      <c r="A270" s="2">
        <v>44743</v>
      </c>
      <c r="B270">
        <v>0</v>
      </c>
      <c r="C270">
        <v>8</v>
      </c>
      <c r="D270">
        <v>340</v>
      </c>
      <c r="E270">
        <v>92</v>
      </c>
      <c r="F270" s="1" t="s">
        <v>376</v>
      </c>
      <c r="G270">
        <v>12</v>
      </c>
      <c r="H270">
        <v>0</v>
      </c>
      <c r="I270">
        <v>108</v>
      </c>
      <c r="J270">
        <v>120</v>
      </c>
      <c r="K270" s="33">
        <v>0.1</v>
      </c>
      <c r="L270" s="1"/>
      <c r="M270" s="1" t="str">
        <f>_xlfn.XLOOKUP(ocupacao[[#This Row],[UnidadeID]],unidades!$A:$A,unidades!$B:$B,"",0)</f>
        <v>Matriz</v>
      </c>
      <c r="N270" s="1" t="str">
        <f>_xlfn.XLOOKUP(ocupacao[[#This Row],[UnidadeID]],unidades!$A:$A,unidades!$C:$C,"",0)</f>
        <v>Nova Iguaçu</v>
      </c>
      <c r="O270" s="1" t="str">
        <f>_xlfn.XLOOKUP(ocupacao[[#This Row],[EspecialidadeID]],especialidades!$A:$A,especialidades!$B:$B,"",0)</f>
        <v>ORTOPEDIA</v>
      </c>
      <c r="P270" s="1" t="str">
        <f>TEXT(WEEKDAY(ocupacao[[#This Row],[Data]]),"ddd")</f>
        <v>sex</v>
      </c>
      <c r="Q270" s="1">
        <f t="shared" si="4"/>
        <v>0</v>
      </c>
    </row>
    <row r="271" spans="1:17" x14ac:dyDescent="0.25">
      <c r="A271" s="2">
        <v>44743</v>
      </c>
      <c r="B271">
        <v>0</v>
      </c>
      <c r="C271">
        <v>8</v>
      </c>
      <c r="D271">
        <v>341</v>
      </c>
      <c r="E271">
        <v>6839</v>
      </c>
      <c r="F271" s="1" t="s">
        <v>94</v>
      </c>
      <c r="G271">
        <v>0</v>
      </c>
      <c r="H271">
        <v>0</v>
      </c>
      <c r="I271">
        <v>60</v>
      </c>
      <c r="J271">
        <v>60</v>
      </c>
      <c r="K271" s="33">
        <v>0</v>
      </c>
      <c r="L271" s="1"/>
      <c r="M271" s="1" t="str">
        <f>_xlfn.XLOOKUP(ocupacao[[#This Row],[UnidadeID]],unidades!$A:$A,unidades!$B:$B,"",0)</f>
        <v>Matriz</v>
      </c>
      <c r="N271" s="1" t="str">
        <f>_xlfn.XLOOKUP(ocupacao[[#This Row],[UnidadeID]],unidades!$A:$A,unidades!$C:$C,"",0)</f>
        <v>Nova Iguaçu</v>
      </c>
      <c r="O271" s="1" t="str">
        <f>_xlfn.XLOOKUP(ocupacao[[#This Row],[EspecialidadeID]],especialidades!$A:$A,especialidades!$B:$B,"",0)</f>
        <v>ORTOPEDIA</v>
      </c>
      <c r="P271" s="1" t="str">
        <f>TEXT(WEEKDAY(ocupacao[[#This Row],[Data]]),"ddd")</f>
        <v>sex</v>
      </c>
      <c r="Q271" s="1">
        <f t="shared" si="4"/>
        <v>0</v>
      </c>
    </row>
    <row r="272" spans="1:17" x14ac:dyDescent="0.25">
      <c r="A272" s="2">
        <v>44743</v>
      </c>
      <c r="B272">
        <v>0</v>
      </c>
      <c r="C272">
        <v>8</v>
      </c>
      <c r="D272">
        <v>343</v>
      </c>
      <c r="E272">
        <v>9237</v>
      </c>
      <c r="F272" s="1" t="s">
        <v>95</v>
      </c>
      <c r="G272">
        <v>0</v>
      </c>
      <c r="H272">
        <v>0</v>
      </c>
      <c r="I272">
        <v>60</v>
      </c>
      <c r="J272">
        <v>60</v>
      </c>
      <c r="K272" s="33">
        <v>0</v>
      </c>
      <c r="L272" s="1"/>
      <c r="M272" s="1" t="str">
        <f>_xlfn.XLOOKUP(ocupacao[[#This Row],[UnidadeID]],unidades!$A:$A,unidades!$B:$B,"",0)</f>
        <v>Matriz</v>
      </c>
      <c r="N272" s="1" t="str">
        <f>_xlfn.XLOOKUP(ocupacao[[#This Row],[UnidadeID]],unidades!$A:$A,unidades!$C:$C,"",0)</f>
        <v>Nova Iguaçu</v>
      </c>
      <c r="O272" s="1" t="str">
        <f>_xlfn.XLOOKUP(ocupacao[[#This Row],[EspecialidadeID]],especialidades!$A:$A,especialidades!$B:$B,"",0)</f>
        <v>ORTOPEDIA</v>
      </c>
      <c r="P272" s="1" t="str">
        <f>TEXT(WEEKDAY(ocupacao[[#This Row],[Data]]),"ddd")</f>
        <v>sex</v>
      </c>
      <c r="Q272" s="1">
        <f t="shared" si="4"/>
        <v>0</v>
      </c>
    </row>
    <row r="273" spans="1:17" x14ac:dyDescent="0.25">
      <c r="A273" s="2"/>
      <c r="F273" s="1" t="s">
        <v>106</v>
      </c>
      <c r="K273" s="33"/>
      <c r="L273" s="1"/>
      <c r="M273" s="1">
        <f>_xlfn.XLOOKUP(ocupacao[[#This Row],[UnidadeID]],unidades!$A:$A,unidades!$B:$B,"",0)</f>
        <v>0</v>
      </c>
      <c r="N273" s="1">
        <f>_xlfn.XLOOKUP(ocupacao[[#This Row],[UnidadeID]],unidades!$A:$A,unidades!$C:$C,"",0)</f>
        <v>0</v>
      </c>
      <c r="O273" s="1">
        <f>_xlfn.XLOOKUP(ocupacao[[#This Row],[EspecialidadeID]],especialidades!$A:$A,especialidades!$B:$B,"",0)</f>
        <v>0</v>
      </c>
      <c r="P273" s="1" t="str">
        <f>TEXT(WEEKDAY(ocupacao[[#This Row],[Data]]),"ddd")</f>
        <v>sáb</v>
      </c>
      <c r="Q273" s="1">
        <f t="shared" si="4"/>
        <v>0</v>
      </c>
    </row>
    <row r="274" spans="1:17" hidden="1" x14ac:dyDescent="0.25">
      <c r="A274" s="2">
        <v>44733</v>
      </c>
      <c r="B274">
        <v>0</v>
      </c>
      <c r="C274">
        <v>9</v>
      </c>
      <c r="D274">
        <v>345</v>
      </c>
      <c r="E274">
        <v>66</v>
      </c>
      <c r="F274" s="1" t="s">
        <v>89</v>
      </c>
      <c r="G274">
        <v>0</v>
      </c>
      <c r="H274">
        <v>0</v>
      </c>
      <c r="I274">
        <v>120</v>
      </c>
      <c r="J274">
        <v>120</v>
      </c>
      <c r="K274" s="33">
        <v>0</v>
      </c>
      <c r="L274" s="1"/>
      <c r="M274" s="1"/>
      <c r="N274" s="1"/>
      <c r="O274" s="1"/>
      <c r="P274" s="1"/>
      <c r="Q274" s="1"/>
    </row>
    <row r="275" spans="1:17" x14ac:dyDescent="0.25">
      <c r="A275" s="2">
        <v>44733</v>
      </c>
      <c r="B275">
        <v>0</v>
      </c>
      <c r="C275">
        <v>9</v>
      </c>
      <c r="D275">
        <v>346</v>
      </c>
      <c r="E275">
        <v>11634</v>
      </c>
      <c r="F275" s="1" t="s">
        <v>102</v>
      </c>
      <c r="G275">
        <v>0</v>
      </c>
      <c r="H275">
        <v>0</v>
      </c>
      <c r="I275">
        <v>144</v>
      </c>
      <c r="J275">
        <v>144</v>
      </c>
      <c r="K275" s="33">
        <v>0</v>
      </c>
      <c r="L275" s="1"/>
      <c r="M275" s="1" t="str">
        <f>_xlfn.XLOOKUP(ocupacao[[#This Row],[UnidadeID]],unidades!$A:$A,unidades!$B:$B,"",0)</f>
        <v>Matriz</v>
      </c>
      <c r="N275" s="1" t="str">
        <f>_xlfn.XLOOKUP(ocupacao[[#This Row],[UnidadeID]],unidades!$A:$A,unidades!$C:$C,"",0)</f>
        <v>Nova Iguaçu</v>
      </c>
      <c r="O275" s="1" t="str">
        <f>_xlfn.XLOOKUP(ocupacao[[#This Row],[EspecialidadeID]],especialidades!$A:$A,especialidades!$B:$B,"",0)</f>
        <v>CLINICA GERAL</v>
      </c>
      <c r="P275" s="1" t="str">
        <f>TEXT(WEEKDAY(ocupacao[[#This Row],[Data]]),"ddd")</f>
        <v>ter</v>
      </c>
      <c r="Q275" s="1">
        <f t="shared" si="4"/>
        <v>0</v>
      </c>
    </row>
    <row r="276" spans="1:17" hidden="1" x14ac:dyDescent="0.25">
      <c r="A276" s="2">
        <v>44733</v>
      </c>
      <c r="B276">
        <v>11</v>
      </c>
      <c r="C276">
        <v>9</v>
      </c>
      <c r="D276">
        <v>11</v>
      </c>
      <c r="E276">
        <v>12623</v>
      </c>
      <c r="F276" s="1" t="s">
        <v>133</v>
      </c>
      <c r="G276">
        <v>0</v>
      </c>
      <c r="H276">
        <v>28</v>
      </c>
      <c r="I276">
        <v>0</v>
      </c>
      <c r="J276">
        <v>28</v>
      </c>
      <c r="K276" s="33">
        <v>1</v>
      </c>
      <c r="L276" s="1"/>
      <c r="M276" s="1"/>
      <c r="N276" s="1"/>
      <c r="O276" s="1"/>
      <c r="P276" s="1"/>
      <c r="Q276" s="1"/>
    </row>
    <row r="277" spans="1:17" hidden="1" x14ac:dyDescent="0.25">
      <c r="A277" s="2"/>
      <c r="F277" s="1"/>
      <c r="K277" s="33"/>
      <c r="L277" s="1"/>
      <c r="M277" s="1"/>
      <c r="N277" s="1"/>
      <c r="O277" s="1"/>
      <c r="P277" s="1"/>
      <c r="Q277" s="1"/>
    </row>
    <row r="278" spans="1:17" x14ac:dyDescent="0.25">
      <c r="A278" s="2">
        <v>44733</v>
      </c>
      <c r="B278">
        <v>18</v>
      </c>
      <c r="C278">
        <v>9</v>
      </c>
      <c r="D278">
        <v>79</v>
      </c>
      <c r="E278">
        <v>13295</v>
      </c>
      <c r="F278" s="1" t="s">
        <v>98</v>
      </c>
      <c r="G278">
        <v>0</v>
      </c>
      <c r="H278">
        <v>0</v>
      </c>
      <c r="I278">
        <v>60</v>
      </c>
      <c r="J278">
        <v>60</v>
      </c>
      <c r="K278" s="33">
        <v>0</v>
      </c>
      <c r="L278" s="1"/>
      <c r="M278" s="1" t="str">
        <f>_xlfn.XLOOKUP(ocupacao[[#This Row],[UnidadeID]],unidades!$A:$A,unidades!$B:$B,"",0)</f>
        <v>Miguel Couto</v>
      </c>
      <c r="N278" s="1" t="str">
        <f>_xlfn.XLOOKUP(ocupacao[[#This Row],[UnidadeID]],unidades!$A:$A,unidades!$C:$C,"",0)</f>
        <v>Miguel Couto</v>
      </c>
      <c r="O278" s="1" t="str">
        <f>_xlfn.XLOOKUP(ocupacao[[#This Row],[EspecialidadeID]],especialidades!$A:$A,especialidades!$B:$B,"",0)</f>
        <v>CLINICA GERAL</v>
      </c>
      <c r="P278" s="1" t="str">
        <f>TEXT(WEEKDAY(ocupacao[[#This Row],[Data]]),"ddd")</f>
        <v>ter</v>
      </c>
      <c r="Q278" s="1">
        <f t="shared" si="4"/>
        <v>0</v>
      </c>
    </row>
    <row r="279" spans="1:17" x14ac:dyDescent="0.25">
      <c r="A279" s="2">
        <v>44733</v>
      </c>
      <c r="B279">
        <v>0</v>
      </c>
      <c r="C279">
        <v>9</v>
      </c>
      <c r="D279">
        <v>339</v>
      </c>
      <c r="E279">
        <v>13479</v>
      </c>
      <c r="F279" s="1" t="s">
        <v>103</v>
      </c>
      <c r="G279">
        <v>0</v>
      </c>
      <c r="H279">
        <v>0</v>
      </c>
      <c r="I279">
        <v>132</v>
      </c>
      <c r="J279">
        <v>132</v>
      </c>
      <c r="K279" s="33">
        <v>0</v>
      </c>
      <c r="L279" s="1"/>
      <c r="M279" s="1" t="str">
        <f>_xlfn.XLOOKUP(ocupacao[[#This Row],[UnidadeID]],unidades!$A:$A,unidades!$B:$B,"",0)</f>
        <v>Matriz</v>
      </c>
      <c r="N279" s="1" t="str">
        <f>_xlfn.XLOOKUP(ocupacao[[#This Row],[UnidadeID]],unidades!$A:$A,unidades!$C:$C,"",0)</f>
        <v>Nova Iguaçu</v>
      </c>
      <c r="O279" s="1" t="str">
        <f>_xlfn.XLOOKUP(ocupacao[[#This Row],[EspecialidadeID]],especialidades!$A:$A,especialidades!$B:$B,"",0)</f>
        <v>CLINICA GERAL</v>
      </c>
      <c r="P279" s="1" t="str">
        <f>TEXT(WEEKDAY(ocupacao[[#This Row],[Data]]),"ddd")</f>
        <v>ter</v>
      </c>
      <c r="Q279" s="1">
        <f t="shared" si="4"/>
        <v>0</v>
      </c>
    </row>
    <row r="280" spans="1:17" x14ac:dyDescent="0.25">
      <c r="A280" s="2">
        <v>44733</v>
      </c>
      <c r="B280">
        <v>33</v>
      </c>
      <c r="C280">
        <v>9</v>
      </c>
      <c r="D280">
        <v>368</v>
      </c>
      <c r="E280">
        <v>13660</v>
      </c>
      <c r="F280" s="1" t="s">
        <v>112</v>
      </c>
      <c r="G280">
        <v>0</v>
      </c>
      <c r="H280">
        <v>0</v>
      </c>
      <c r="I280">
        <v>41</v>
      </c>
      <c r="J280">
        <v>41</v>
      </c>
      <c r="K280" s="33">
        <v>0</v>
      </c>
      <c r="L280" s="1"/>
      <c r="M280" s="1" t="str">
        <f>_xlfn.XLOOKUP(ocupacao[[#This Row],[UnidadeID]],unidades!$A:$A,unidades!$B:$B,"",0)</f>
        <v>Seggastro</v>
      </c>
      <c r="N280" s="1" t="str">
        <f>_xlfn.XLOOKUP(ocupacao[[#This Row],[UnidadeID]],unidades!$A:$A,unidades!$C:$C,"",0)</f>
        <v>Nova Iguaçu</v>
      </c>
      <c r="O280" s="1" t="str">
        <f>_xlfn.XLOOKUP(ocupacao[[#This Row],[EspecialidadeID]],especialidades!$A:$A,especialidades!$B:$B,"",0)</f>
        <v>CLINICA GERAL</v>
      </c>
      <c r="P280" s="1" t="str">
        <f>TEXT(WEEKDAY(ocupacao[[#This Row],[Data]]),"ddd")</f>
        <v>ter</v>
      </c>
      <c r="Q280" s="1">
        <f t="shared" si="4"/>
        <v>0</v>
      </c>
    </row>
    <row r="281" spans="1:17" x14ac:dyDescent="0.25">
      <c r="A281" s="2">
        <v>44733</v>
      </c>
      <c r="B281">
        <v>34</v>
      </c>
      <c r="C281">
        <v>9</v>
      </c>
      <c r="D281">
        <v>369</v>
      </c>
      <c r="E281">
        <v>14461</v>
      </c>
      <c r="F281" s="1" t="s">
        <v>306</v>
      </c>
      <c r="G281">
        <v>0</v>
      </c>
      <c r="H281">
        <v>0</v>
      </c>
      <c r="I281">
        <v>120</v>
      </c>
      <c r="J281">
        <v>120</v>
      </c>
      <c r="K281" s="33">
        <v>0</v>
      </c>
      <c r="L281" s="1"/>
      <c r="M281" s="1" t="str">
        <f>_xlfn.XLOOKUP(ocupacao[[#This Row],[UnidadeID]],unidades!$A:$A,unidades!$B:$B,"",0)</f>
        <v>São João</v>
      </c>
      <c r="N281" s="1" t="str">
        <f>_xlfn.XLOOKUP(ocupacao[[#This Row],[UnidadeID]],unidades!$A:$A,unidades!$C:$C,"",0)</f>
        <v>São João de Meriti</v>
      </c>
      <c r="O281" s="1" t="str">
        <f>_xlfn.XLOOKUP(ocupacao[[#This Row],[EspecialidadeID]],especialidades!$A:$A,especialidades!$B:$B,"",0)</f>
        <v>CLINICA GERAL</v>
      </c>
      <c r="P281" s="1" t="str">
        <f>TEXT(WEEKDAY(ocupacao[[#This Row],[Data]]),"ddd")</f>
        <v>ter</v>
      </c>
      <c r="Q281" s="1">
        <f t="shared" si="4"/>
        <v>0</v>
      </c>
    </row>
    <row r="282" spans="1:17" x14ac:dyDescent="0.25">
      <c r="A282" s="2">
        <v>44733</v>
      </c>
      <c r="B282">
        <v>24</v>
      </c>
      <c r="C282">
        <v>9</v>
      </c>
      <c r="D282">
        <v>60</v>
      </c>
      <c r="E282">
        <v>17863</v>
      </c>
      <c r="F282" s="1" t="s">
        <v>150</v>
      </c>
      <c r="G282">
        <v>0</v>
      </c>
      <c r="H282">
        <v>0</v>
      </c>
      <c r="I282">
        <v>59</v>
      </c>
      <c r="J282">
        <v>59</v>
      </c>
      <c r="K282" s="33">
        <v>0</v>
      </c>
      <c r="L282" s="1"/>
      <c r="M282" s="1" t="str">
        <f>_xlfn.XLOOKUP(ocupacao[[#This Row],[UnidadeID]],unidades!$A:$A,unidades!$B:$B,"",0)</f>
        <v>Nilópolis</v>
      </c>
      <c r="N282" s="1" t="str">
        <f>_xlfn.XLOOKUP(ocupacao[[#This Row],[UnidadeID]],unidades!$A:$A,unidades!$C:$C,"",0)</f>
        <v>Nilópolis</v>
      </c>
      <c r="O282" s="1" t="str">
        <f>_xlfn.XLOOKUP(ocupacao[[#This Row],[EspecialidadeID]],especialidades!$A:$A,especialidades!$B:$B,"",0)</f>
        <v>CLINICA GERAL</v>
      </c>
      <c r="P282" s="1" t="str">
        <f>TEXT(WEEKDAY(ocupacao[[#This Row],[Data]]),"ddd")</f>
        <v>ter</v>
      </c>
      <c r="Q282" s="1">
        <f t="shared" si="4"/>
        <v>0</v>
      </c>
    </row>
    <row r="283" spans="1:17" x14ac:dyDescent="0.25">
      <c r="A283" s="2">
        <v>44734</v>
      </c>
      <c r="B283">
        <v>0</v>
      </c>
      <c r="C283">
        <v>9</v>
      </c>
      <c r="D283">
        <v>345</v>
      </c>
      <c r="E283">
        <v>66</v>
      </c>
      <c r="F283" s="1" t="s">
        <v>89</v>
      </c>
      <c r="G283">
        <v>0</v>
      </c>
      <c r="H283">
        <v>0</v>
      </c>
      <c r="I283">
        <v>77</v>
      </c>
      <c r="J283">
        <v>77</v>
      </c>
      <c r="K283" s="33">
        <v>0</v>
      </c>
      <c r="L283" s="1"/>
      <c r="M283" s="1" t="str">
        <f>_xlfn.XLOOKUP(ocupacao[[#This Row],[UnidadeID]],unidades!$A:$A,unidades!$B:$B,"",0)</f>
        <v>Matriz</v>
      </c>
      <c r="N283" s="1" t="str">
        <f>_xlfn.XLOOKUP(ocupacao[[#This Row],[UnidadeID]],unidades!$A:$A,unidades!$C:$C,"",0)</f>
        <v>Nova Iguaçu</v>
      </c>
      <c r="O283" s="1" t="str">
        <f>_xlfn.XLOOKUP(ocupacao[[#This Row],[EspecialidadeID]],especialidades!$A:$A,especialidades!$B:$B,"",0)</f>
        <v>CLINICA GERAL</v>
      </c>
      <c r="P283" s="1" t="str">
        <f>TEXT(WEEKDAY(ocupacao[[#This Row],[Data]]),"ddd")</f>
        <v>qua</v>
      </c>
      <c r="Q283" s="1">
        <f t="shared" si="4"/>
        <v>0</v>
      </c>
    </row>
    <row r="284" spans="1:17" x14ac:dyDescent="0.25">
      <c r="A284" s="2">
        <v>44734</v>
      </c>
      <c r="B284">
        <v>18</v>
      </c>
      <c r="C284">
        <v>9</v>
      </c>
      <c r="D284">
        <v>79</v>
      </c>
      <c r="E284">
        <v>9207</v>
      </c>
      <c r="F284" s="1" t="s">
        <v>118</v>
      </c>
      <c r="G284">
        <v>12</v>
      </c>
      <c r="H284">
        <v>0</v>
      </c>
      <c r="I284">
        <v>108</v>
      </c>
      <c r="J284">
        <v>120</v>
      </c>
      <c r="K284" s="33">
        <v>0.1</v>
      </c>
      <c r="L284" s="1"/>
      <c r="M284" s="1" t="str">
        <f>_xlfn.XLOOKUP(ocupacao[[#This Row],[UnidadeID]],unidades!$A:$A,unidades!$B:$B,"",0)</f>
        <v>Miguel Couto</v>
      </c>
      <c r="N284" s="1" t="str">
        <f>_xlfn.XLOOKUP(ocupacao[[#This Row],[UnidadeID]],unidades!$A:$A,unidades!$C:$C,"",0)</f>
        <v>Miguel Couto</v>
      </c>
      <c r="O284" s="1" t="str">
        <f>_xlfn.XLOOKUP(ocupacao[[#This Row],[EspecialidadeID]],especialidades!$A:$A,especialidades!$B:$B,"",0)</f>
        <v>CLINICA GERAL</v>
      </c>
      <c r="P284" s="1" t="str">
        <f>TEXT(WEEKDAY(ocupacao[[#This Row],[Data]]),"ddd")</f>
        <v>qua</v>
      </c>
      <c r="Q284" s="1">
        <f t="shared" si="4"/>
        <v>0</v>
      </c>
    </row>
    <row r="285" spans="1:17" x14ac:dyDescent="0.25">
      <c r="A285" s="2">
        <v>44734</v>
      </c>
      <c r="B285">
        <v>24</v>
      </c>
      <c r="C285">
        <v>9</v>
      </c>
      <c r="D285">
        <v>61</v>
      </c>
      <c r="E285">
        <v>9654</v>
      </c>
      <c r="F285" s="1" t="s">
        <v>139</v>
      </c>
      <c r="G285">
        <v>0</v>
      </c>
      <c r="H285">
        <v>0</v>
      </c>
      <c r="I285">
        <v>120</v>
      </c>
      <c r="J285">
        <v>120</v>
      </c>
      <c r="K285" s="33">
        <v>0</v>
      </c>
      <c r="L285" s="1"/>
      <c r="M285" s="1" t="str">
        <f>_xlfn.XLOOKUP(ocupacao[[#This Row],[UnidadeID]],unidades!$A:$A,unidades!$B:$B,"",0)</f>
        <v>Nilópolis</v>
      </c>
      <c r="N285" s="1" t="str">
        <f>_xlfn.XLOOKUP(ocupacao[[#This Row],[UnidadeID]],unidades!$A:$A,unidades!$C:$C,"",0)</f>
        <v>Nilópolis</v>
      </c>
      <c r="O285" s="1" t="str">
        <f>_xlfn.XLOOKUP(ocupacao[[#This Row],[EspecialidadeID]],especialidades!$A:$A,especialidades!$B:$B,"",0)</f>
        <v>CLINICA GERAL</v>
      </c>
      <c r="P285" s="1" t="str">
        <f>TEXT(WEEKDAY(ocupacao[[#This Row],[Data]]),"ddd")</f>
        <v>qua</v>
      </c>
      <c r="Q285" s="1">
        <f t="shared" si="4"/>
        <v>0</v>
      </c>
    </row>
    <row r="286" spans="1:17" x14ac:dyDescent="0.25">
      <c r="A286" s="2">
        <v>44734</v>
      </c>
      <c r="B286">
        <v>0</v>
      </c>
      <c r="C286">
        <v>9</v>
      </c>
      <c r="D286">
        <v>345</v>
      </c>
      <c r="E286">
        <v>12482</v>
      </c>
      <c r="F286" s="1" t="s">
        <v>97</v>
      </c>
      <c r="G286">
        <v>0</v>
      </c>
      <c r="H286">
        <v>0</v>
      </c>
      <c r="I286">
        <v>60</v>
      </c>
      <c r="J286">
        <v>60</v>
      </c>
      <c r="K286" s="33">
        <v>0</v>
      </c>
      <c r="L286" s="1"/>
      <c r="M286" s="1" t="str">
        <f>_xlfn.XLOOKUP(ocupacao[[#This Row],[UnidadeID]],unidades!$A:$A,unidades!$B:$B,"",0)</f>
        <v>Matriz</v>
      </c>
      <c r="N286" s="1" t="str">
        <f>_xlfn.XLOOKUP(ocupacao[[#This Row],[UnidadeID]],unidades!$A:$A,unidades!$C:$C,"",0)</f>
        <v>Nova Iguaçu</v>
      </c>
      <c r="O286" s="1" t="str">
        <f>_xlfn.XLOOKUP(ocupacao[[#This Row],[EspecialidadeID]],especialidades!$A:$A,especialidades!$B:$B,"",0)</f>
        <v>CLINICA GERAL</v>
      </c>
      <c r="P286" s="1" t="str">
        <f>TEXT(WEEKDAY(ocupacao[[#This Row],[Data]]),"ddd")</f>
        <v>qua</v>
      </c>
      <c r="Q286" s="1">
        <f t="shared" si="4"/>
        <v>0</v>
      </c>
    </row>
    <row r="287" spans="1:17" hidden="1" x14ac:dyDescent="0.25">
      <c r="A287" s="2">
        <v>44734</v>
      </c>
      <c r="B287">
        <v>0</v>
      </c>
      <c r="C287">
        <v>9</v>
      </c>
      <c r="D287">
        <v>346</v>
      </c>
      <c r="E287">
        <v>13295</v>
      </c>
      <c r="F287" s="1" t="s">
        <v>98</v>
      </c>
      <c r="G287">
        <v>0</v>
      </c>
      <c r="H287">
        <v>0</v>
      </c>
      <c r="I287">
        <v>120</v>
      </c>
      <c r="J287">
        <v>120</v>
      </c>
      <c r="K287" s="33">
        <v>0</v>
      </c>
      <c r="L287" s="1"/>
      <c r="M287" s="1"/>
      <c r="N287" s="1"/>
      <c r="O287" s="1"/>
      <c r="P287" s="1"/>
      <c r="Q287" s="1"/>
    </row>
    <row r="288" spans="1:17" x14ac:dyDescent="0.25">
      <c r="A288" s="2">
        <v>44734</v>
      </c>
      <c r="B288">
        <v>0</v>
      </c>
      <c r="C288">
        <v>9</v>
      </c>
      <c r="D288">
        <v>339</v>
      </c>
      <c r="E288">
        <v>13479</v>
      </c>
      <c r="F288" s="1" t="s">
        <v>103</v>
      </c>
      <c r="G288">
        <v>0</v>
      </c>
      <c r="H288">
        <v>0</v>
      </c>
      <c r="I288">
        <v>132</v>
      </c>
      <c r="J288">
        <v>132</v>
      </c>
      <c r="K288" s="33">
        <v>0</v>
      </c>
      <c r="L288" s="1"/>
      <c r="M288" s="1" t="str">
        <f>_xlfn.XLOOKUP(ocupacao[[#This Row],[UnidadeID]],unidades!$A:$A,unidades!$B:$B,"",0)</f>
        <v>Matriz</v>
      </c>
      <c r="N288" s="1" t="str">
        <f>_xlfn.XLOOKUP(ocupacao[[#This Row],[UnidadeID]],unidades!$A:$A,unidades!$C:$C,"",0)</f>
        <v>Nova Iguaçu</v>
      </c>
      <c r="O288" s="1" t="str">
        <f>_xlfn.XLOOKUP(ocupacao[[#This Row],[EspecialidadeID]],especialidades!$A:$A,especialidades!$B:$B,"",0)</f>
        <v>CLINICA GERAL</v>
      </c>
      <c r="P288" s="1" t="str">
        <f>TEXT(WEEKDAY(ocupacao[[#This Row],[Data]]),"ddd")</f>
        <v>qua</v>
      </c>
      <c r="Q288" s="1">
        <f t="shared" si="4"/>
        <v>0</v>
      </c>
    </row>
    <row r="289" spans="1:17" x14ac:dyDescent="0.25">
      <c r="A289" s="2">
        <v>44734</v>
      </c>
      <c r="B289">
        <v>33</v>
      </c>
      <c r="C289">
        <v>9</v>
      </c>
      <c r="D289">
        <v>78</v>
      </c>
      <c r="E289">
        <v>13660</v>
      </c>
      <c r="F289" s="1" t="s">
        <v>112</v>
      </c>
      <c r="G289">
        <v>0</v>
      </c>
      <c r="H289">
        <v>8</v>
      </c>
      <c r="I289">
        <v>0</v>
      </c>
      <c r="J289">
        <v>8</v>
      </c>
      <c r="K289" s="33">
        <v>1</v>
      </c>
      <c r="L289" s="1"/>
      <c r="M289" s="1" t="str">
        <f>_xlfn.XLOOKUP(ocupacao[[#This Row],[UnidadeID]],unidades!$A:$A,unidades!$B:$B,"",0)</f>
        <v>Seggastro</v>
      </c>
      <c r="N289" s="1" t="str">
        <f>_xlfn.XLOOKUP(ocupacao[[#This Row],[UnidadeID]],unidades!$A:$A,unidades!$C:$C,"",0)</f>
        <v>Nova Iguaçu</v>
      </c>
      <c r="O289" s="1" t="str">
        <f>_xlfn.XLOOKUP(ocupacao[[#This Row],[EspecialidadeID]],especialidades!$A:$A,especialidades!$B:$B,"",0)</f>
        <v>CLINICA GERAL</v>
      </c>
      <c r="P289" s="1" t="str">
        <f>TEXT(WEEKDAY(ocupacao[[#This Row],[Data]]),"ddd")</f>
        <v>qua</v>
      </c>
      <c r="Q289" s="1">
        <f t="shared" si="4"/>
        <v>0</v>
      </c>
    </row>
    <row r="290" spans="1:17" hidden="1" x14ac:dyDescent="0.25">
      <c r="A290" s="2"/>
      <c r="F290" s="1"/>
      <c r="K290" s="33"/>
      <c r="L290" s="1"/>
      <c r="M290" s="1"/>
      <c r="N290" s="1"/>
      <c r="O290" s="1"/>
      <c r="P290" s="1"/>
      <c r="Q290" s="1"/>
    </row>
    <row r="291" spans="1:17" hidden="1" x14ac:dyDescent="0.25">
      <c r="A291" s="2">
        <v>44734</v>
      </c>
      <c r="B291">
        <v>33</v>
      </c>
      <c r="C291">
        <v>9</v>
      </c>
      <c r="D291">
        <v>368</v>
      </c>
      <c r="E291">
        <v>13660</v>
      </c>
      <c r="F291" s="1" t="s">
        <v>112</v>
      </c>
      <c r="G291">
        <v>0</v>
      </c>
      <c r="H291">
        <v>0</v>
      </c>
      <c r="I291">
        <v>27</v>
      </c>
      <c r="J291">
        <v>27</v>
      </c>
      <c r="K291" s="33">
        <v>0</v>
      </c>
      <c r="L291" s="1"/>
      <c r="M291" s="1"/>
      <c r="N291" s="1"/>
      <c r="O291" s="1"/>
      <c r="P291" s="1"/>
      <c r="Q291" s="1"/>
    </row>
    <row r="292" spans="1:17" x14ac:dyDescent="0.25">
      <c r="A292" s="2">
        <v>44734</v>
      </c>
      <c r="B292">
        <v>34</v>
      </c>
      <c r="C292">
        <v>9</v>
      </c>
      <c r="D292">
        <v>369</v>
      </c>
      <c r="E292">
        <v>14410</v>
      </c>
      <c r="F292" s="1" t="s">
        <v>307</v>
      </c>
      <c r="G292">
        <v>0</v>
      </c>
      <c r="H292">
        <v>0</v>
      </c>
      <c r="I292">
        <v>120</v>
      </c>
      <c r="J292">
        <v>120</v>
      </c>
      <c r="K292" s="33">
        <v>0</v>
      </c>
      <c r="L292" s="1"/>
      <c r="M292" s="1" t="str">
        <f>_xlfn.XLOOKUP(ocupacao[[#This Row],[UnidadeID]],unidades!$A:$A,unidades!$B:$B,"",0)</f>
        <v>São João</v>
      </c>
      <c r="N292" s="1" t="str">
        <f>_xlfn.XLOOKUP(ocupacao[[#This Row],[UnidadeID]],unidades!$A:$A,unidades!$C:$C,"",0)</f>
        <v>São João de Meriti</v>
      </c>
      <c r="O292" s="1" t="str">
        <f>_xlfn.XLOOKUP(ocupacao[[#This Row],[EspecialidadeID]],especialidades!$A:$A,especialidades!$B:$B,"",0)</f>
        <v>CLINICA GERAL</v>
      </c>
      <c r="P292" s="1" t="str">
        <f>TEXT(WEEKDAY(ocupacao[[#This Row],[Data]]),"ddd")</f>
        <v>qua</v>
      </c>
      <c r="Q292" s="1">
        <f t="shared" si="4"/>
        <v>0</v>
      </c>
    </row>
    <row r="293" spans="1:17" x14ac:dyDescent="0.25">
      <c r="A293" s="2">
        <v>44734</v>
      </c>
      <c r="B293">
        <v>0</v>
      </c>
      <c r="C293">
        <v>9</v>
      </c>
      <c r="D293">
        <v>341</v>
      </c>
      <c r="E293">
        <v>17862</v>
      </c>
      <c r="F293" s="1" t="s">
        <v>363</v>
      </c>
      <c r="G293">
        <v>0</v>
      </c>
      <c r="H293">
        <v>0</v>
      </c>
      <c r="I293">
        <v>72</v>
      </c>
      <c r="J293">
        <v>72</v>
      </c>
      <c r="K293" s="33">
        <v>0</v>
      </c>
      <c r="L293" s="1"/>
      <c r="M293" s="1" t="str">
        <f>_xlfn.XLOOKUP(ocupacao[[#This Row],[UnidadeID]],unidades!$A:$A,unidades!$B:$B,"",0)</f>
        <v>Matriz</v>
      </c>
      <c r="N293" s="1" t="str">
        <f>_xlfn.XLOOKUP(ocupacao[[#This Row],[UnidadeID]],unidades!$A:$A,unidades!$C:$C,"",0)</f>
        <v>Nova Iguaçu</v>
      </c>
      <c r="O293" s="1" t="str">
        <f>_xlfn.XLOOKUP(ocupacao[[#This Row],[EspecialidadeID]],especialidades!$A:$A,especialidades!$B:$B,"",0)</f>
        <v>CLINICA GERAL</v>
      </c>
      <c r="P293" s="1" t="str">
        <f>TEXT(WEEKDAY(ocupacao[[#This Row],[Data]]),"ddd")</f>
        <v>qua</v>
      </c>
      <c r="Q293" s="1">
        <f t="shared" si="4"/>
        <v>0</v>
      </c>
    </row>
    <row r="294" spans="1:17" x14ac:dyDescent="0.25">
      <c r="A294" s="2">
        <v>44735</v>
      </c>
      <c r="B294">
        <v>0</v>
      </c>
      <c r="C294">
        <v>9</v>
      </c>
      <c r="D294">
        <v>345</v>
      </c>
      <c r="E294">
        <v>66</v>
      </c>
      <c r="F294" s="1" t="s">
        <v>89</v>
      </c>
      <c r="G294">
        <v>0</v>
      </c>
      <c r="H294">
        <v>0</v>
      </c>
      <c r="I294">
        <v>64</v>
      </c>
      <c r="J294">
        <v>64</v>
      </c>
      <c r="K294" s="33">
        <v>0</v>
      </c>
      <c r="L294" s="1"/>
      <c r="M294" s="1" t="str">
        <f>_xlfn.XLOOKUP(ocupacao[[#This Row],[UnidadeID]],unidades!$A:$A,unidades!$B:$B,"",0)</f>
        <v>Matriz</v>
      </c>
      <c r="N294" s="1" t="str">
        <f>_xlfn.XLOOKUP(ocupacao[[#This Row],[UnidadeID]],unidades!$A:$A,unidades!$C:$C,"",0)</f>
        <v>Nova Iguaçu</v>
      </c>
      <c r="O294" s="1" t="str">
        <f>_xlfn.XLOOKUP(ocupacao[[#This Row],[EspecialidadeID]],especialidades!$A:$A,especialidades!$B:$B,"",0)</f>
        <v>CLINICA GERAL</v>
      </c>
      <c r="P294" s="1" t="str">
        <f>TEXT(WEEKDAY(ocupacao[[#This Row],[Data]]),"ddd")</f>
        <v>qui</v>
      </c>
      <c r="Q294" s="1">
        <f t="shared" si="4"/>
        <v>0</v>
      </c>
    </row>
    <row r="295" spans="1:17" x14ac:dyDescent="0.25">
      <c r="A295" s="2">
        <v>44735</v>
      </c>
      <c r="B295">
        <v>18</v>
      </c>
      <c r="C295">
        <v>9</v>
      </c>
      <c r="D295">
        <v>79</v>
      </c>
      <c r="E295">
        <v>9207</v>
      </c>
      <c r="F295" s="1" t="s">
        <v>118</v>
      </c>
      <c r="G295">
        <v>12</v>
      </c>
      <c r="H295">
        <v>0</v>
      </c>
      <c r="I295">
        <v>108</v>
      </c>
      <c r="J295">
        <v>120</v>
      </c>
      <c r="K295" s="33">
        <v>0.1</v>
      </c>
      <c r="L295" s="1"/>
      <c r="M295" s="1" t="str">
        <f>_xlfn.XLOOKUP(ocupacao[[#This Row],[UnidadeID]],unidades!$A:$A,unidades!$B:$B,"",0)</f>
        <v>Miguel Couto</v>
      </c>
      <c r="N295" s="1" t="str">
        <f>_xlfn.XLOOKUP(ocupacao[[#This Row],[UnidadeID]],unidades!$A:$A,unidades!$C:$C,"",0)</f>
        <v>Miguel Couto</v>
      </c>
      <c r="O295" s="1" t="str">
        <f>_xlfn.XLOOKUP(ocupacao[[#This Row],[EspecialidadeID]],especialidades!$A:$A,especialidades!$B:$B,"",0)</f>
        <v>CLINICA GERAL</v>
      </c>
      <c r="P295" s="1" t="str">
        <f>TEXT(WEEKDAY(ocupacao[[#This Row],[Data]]),"ddd")</f>
        <v>qui</v>
      </c>
      <c r="Q295" s="1">
        <f t="shared" si="4"/>
        <v>0</v>
      </c>
    </row>
    <row r="296" spans="1:17" x14ac:dyDescent="0.25">
      <c r="A296" s="2">
        <v>44735</v>
      </c>
      <c r="B296">
        <v>0</v>
      </c>
      <c r="C296">
        <v>9</v>
      </c>
      <c r="D296">
        <v>348</v>
      </c>
      <c r="E296">
        <v>11634</v>
      </c>
      <c r="F296" s="1" t="s">
        <v>102</v>
      </c>
      <c r="G296">
        <v>0</v>
      </c>
      <c r="H296">
        <v>0</v>
      </c>
      <c r="I296">
        <v>120</v>
      </c>
      <c r="J296">
        <v>120</v>
      </c>
      <c r="K296" s="33">
        <v>0</v>
      </c>
      <c r="L296" s="1"/>
      <c r="M296" s="1" t="str">
        <f>_xlfn.XLOOKUP(ocupacao[[#This Row],[UnidadeID]],unidades!$A:$A,unidades!$B:$B,"",0)</f>
        <v>Matriz</v>
      </c>
      <c r="N296" s="1" t="str">
        <f>_xlfn.XLOOKUP(ocupacao[[#This Row],[UnidadeID]],unidades!$A:$A,unidades!$C:$C,"",0)</f>
        <v>Nova Iguaçu</v>
      </c>
      <c r="O296" s="1" t="str">
        <f>_xlfn.XLOOKUP(ocupacao[[#This Row],[EspecialidadeID]],especialidades!$A:$A,especialidades!$B:$B,"",0)</f>
        <v>CLINICA GERAL</v>
      </c>
      <c r="P296" s="1" t="str">
        <f>TEXT(WEEKDAY(ocupacao[[#This Row],[Data]]),"ddd")</f>
        <v>qui</v>
      </c>
      <c r="Q296" s="1">
        <f t="shared" si="4"/>
        <v>0</v>
      </c>
    </row>
    <row r="297" spans="1:17" x14ac:dyDescent="0.25">
      <c r="A297" s="2">
        <v>44735</v>
      </c>
      <c r="B297">
        <v>0</v>
      </c>
      <c r="C297">
        <v>9</v>
      </c>
      <c r="D297">
        <v>345</v>
      </c>
      <c r="E297">
        <v>12482</v>
      </c>
      <c r="F297" s="1" t="s">
        <v>97</v>
      </c>
      <c r="G297">
        <v>0</v>
      </c>
      <c r="H297">
        <v>0</v>
      </c>
      <c r="I297">
        <v>60</v>
      </c>
      <c r="J297">
        <v>60</v>
      </c>
      <c r="K297" s="33">
        <v>0</v>
      </c>
      <c r="L297" s="1"/>
      <c r="M297" s="1" t="str">
        <f>_xlfn.XLOOKUP(ocupacao[[#This Row],[UnidadeID]],unidades!$A:$A,unidades!$B:$B,"",0)</f>
        <v>Matriz</v>
      </c>
      <c r="N297" s="1" t="str">
        <f>_xlfn.XLOOKUP(ocupacao[[#This Row],[UnidadeID]],unidades!$A:$A,unidades!$C:$C,"",0)</f>
        <v>Nova Iguaçu</v>
      </c>
      <c r="O297" s="1" t="str">
        <f>_xlfn.XLOOKUP(ocupacao[[#This Row],[EspecialidadeID]],especialidades!$A:$A,especialidades!$B:$B,"",0)</f>
        <v>CLINICA GERAL</v>
      </c>
      <c r="P297" s="1" t="str">
        <f>TEXT(WEEKDAY(ocupacao[[#This Row],[Data]]),"ddd")</f>
        <v>qui</v>
      </c>
      <c r="Q297" s="1">
        <f t="shared" si="4"/>
        <v>0</v>
      </c>
    </row>
    <row r="298" spans="1:17" x14ac:dyDescent="0.25">
      <c r="A298" s="2">
        <v>44735</v>
      </c>
      <c r="B298">
        <v>24</v>
      </c>
      <c r="C298">
        <v>9</v>
      </c>
      <c r="D298">
        <v>61</v>
      </c>
      <c r="E298">
        <v>13487</v>
      </c>
      <c r="F298" s="1" t="s">
        <v>122</v>
      </c>
      <c r="G298">
        <v>0</v>
      </c>
      <c r="H298">
        <v>0</v>
      </c>
      <c r="I298">
        <v>120</v>
      </c>
      <c r="J298">
        <v>120</v>
      </c>
      <c r="K298" s="33">
        <v>0</v>
      </c>
      <c r="L298" s="1"/>
      <c r="M298" s="1" t="str">
        <f>_xlfn.XLOOKUP(ocupacao[[#This Row],[UnidadeID]],unidades!$A:$A,unidades!$B:$B,"",0)</f>
        <v>Nilópolis</v>
      </c>
      <c r="N298" s="1" t="str">
        <f>_xlfn.XLOOKUP(ocupacao[[#This Row],[UnidadeID]],unidades!$A:$A,unidades!$C:$C,"",0)</f>
        <v>Nilópolis</v>
      </c>
      <c r="O298" s="1" t="str">
        <f>_xlfn.XLOOKUP(ocupacao[[#This Row],[EspecialidadeID]],especialidades!$A:$A,especialidades!$B:$B,"",0)</f>
        <v>CLINICA GERAL</v>
      </c>
      <c r="P298" s="1" t="str">
        <f>TEXT(WEEKDAY(ocupacao[[#This Row],[Data]]),"ddd")</f>
        <v>qui</v>
      </c>
      <c r="Q298" s="1">
        <f t="shared" si="4"/>
        <v>0</v>
      </c>
    </row>
    <row r="299" spans="1:17" hidden="1" x14ac:dyDescent="0.25">
      <c r="A299" s="2"/>
      <c r="F299" s="1"/>
      <c r="K299" s="33"/>
      <c r="L299" s="1"/>
      <c r="M299" s="1"/>
      <c r="N299" s="1"/>
      <c r="O299" s="1"/>
      <c r="P299" s="1"/>
      <c r="Q299" s="1"/>
    </row>
    <row r="300" spans="1:17" x14ac:dyDescent="0.25">
      <c r="A300" s="2">
        <v>44735</v>
      </c>
      <c r="B300">
        <v>0</v>
      </c>
      <c r="C300">
        <v>9</v>
      </c>
      <c r="D300">
        <v>346</v>
      </c>
      <c r="E300">
        <v>13660</v>
      </c>
      <c r="F300" s="1" t="s">
        <v>112</v>
      </c>
      <c r="G300">
        <v>0</v>
      </c>
      <c r="H300">
        <v>0</v>
      </c>
      <c r="I300">
        <v>108</v>
      </c>
      <c r="J300">
        <v>108</v>
      </c>
      <c r="K300" s="33">
        <v>0</v>
      </c>
      <c r="L300" s="1"/>
      <c r="M300" s="1" t="str">
        <f>_xlfn.XLOOKUP(ocupacao[[#This Row],[UnidadeID]],unidades!$A:$A,unidades!$B:$B,"",0)</f>
        <v>Matriz</v>
      </c>
      <c r="N300" s="1" t="str">
        <f>_xlfn.XLOOKUP(ocupacao[[#This Row],[UnidadeID]],unidades!$A:$A,unidades!$C:$C,"",0)</f>
        <v>Nova Iguaçu</v>
      </c>
      <c r="O300" s="1" t="str">
        <f>_xlfn.XLOOKUP(ocupacao[[#This Row],[EspecialidadeID]],especialidades!$A:$A,especialidades!$B:$B,"",0)</f>
        <v>CLINICA GERAL</v>
      </c>
      <c r="P300" s="1" t="str">
        <f>TEXT(WEEKDAY(ocupacao[[#This Row],[Data]]),"ddd")</f>
        <v>qui</v>
      </c>
      <c r="Q300" s="1">
        <f t="shared" si="4"/>
        <v>0</v>
      </c>
    </row>
    <row r="301" spans="1:17" x14ac:dyDescent="0.25">
      <c r="A301" s="2">
        <v>44735</v>
      </c>
      <c r="B301">
        <v>34</v>
      </c>
      <c r="C301">
        <v>9</v>
      </c>
      <c r="D301">
        <v>369</v>
      </c>
      <c r="E301">
        <v>14410</v>
      </c>
      <c r="F301" s="1" t="s">
        <v>307</v>
      </c>
      <c r="G301">
        <v>0</v>
      </c>
      <c r="H301">
        <v>0</v>
      </c>
      <c r="I301">
        <v>120</v>
      </c>
      <c r="J301">
        <v>120</v>
      </c>
      <c r="K301" s="33">
        <v>0</v>
      </c>
      <c r="L301" s="1"/>
      <c r="M301" s="1" t="str">
        <f>_xlfn.XLOOKUP(ocupacao[[#This Row],[UnidadeID]],unidades!$A:$A,unidades!$B:$B,"",0)</f>
        <v>São João</v>
      </c>
      <c r="N301" s="1" t="str">
        <f>_xlfn.XLOOKUP(ocupacao[[#This Row],[UnidadeID]],unidades!$A:$A,unidades!$C:$C,"",0)</f>
        <v>São João de Meriti</v>
      </c>
      <c r="O301" s="1" t="str">
        <f>_xlfn.XLOOKUP(ocupacao[[#This Row],[EspecialidadeID]],especialidades!$A:$A,especialidades!$B:$B,"",0)</f>
        <v>CLINICA GERAL</v>
      </c>
      <c r="P301" s="1" t="str">
        <f>TEXT(WEEKDAY(ocupacao[[#This Row],[Data]]),"ddd")</f>
        <v>qui</v>
      </c>
      <c r="Q301" s="1">
        <f t="shared" si="4"/>
        <v>0</v>
      </c>
    </row>
    <row r="302" spans="1:17" x14ac:dyDescent="0.25">
      <c r="A302" s="2">
        <v>44736</v>
      </c>
      <c r="B302">
        <v>0</v>
      </c>
      <c r="C302">
        <v>9</v>
      </c>
      <c r="D302">
        <v>345</v>
      </c>
      <c r="E302">
        <v>66</v>
      </c>
      <c r="F302" s="1" t="s">
        <v>89</v>
      </c>
      <c r="G302">
        <v>0</v>
      </c>
      <c r="H302">
        <v>0</v>
      </c>
      <c r="I302">
        <v>78</v>
      </c>
      <c r="J302">
        <v>78</v>
      </c>
      <c r="K302" s="33">
        <v>0</v>
      </c>
      <c r="L302" s="1"/>
      <c r="M302" s="1" t="str">
        <f>_xlfn.XLOOKUP(ocupacao[[#This Row],[UnidadeID]],unidades!$A:$A,unidades!$B:$B,"",0)</f>
        <v>Matriz</v>
      </c>
      <c r="N302" s="1" t="str">
        <f>_xlfn.XLOOKUP(ocupacao[[#This Row],[UnidadeID]],unidades!$A:$A,unidades!$C:$C,"",0)</f>
        <v>Nova Iguaçu</v>
      </c>
      <c r="O302" s="1" t="str">
        <f>_xlfn.XLOOKUP(ocupacao[[#This Row],[EspecialidadeID]],especialidades!$A:$A,especialidades!$B:$B,"",0)</f>
        <v>CLINICA GERAL</v>
      </c>
      <c r="P302" s="1" t="str">
        <f>TEXT(WEEKDAY(ocupacao[[#This Row],[Data]]),"ddd")</f>
        <v>sex</v>
      </c>
      <c r="Q302" s="1">
        <f t="shared" si="4"/>
        <v>0</v>
      </c>
    </row>
    <row r="303" spans="1:17" x14ac:dyDescent="0.25">
      <c r="A303" s="2">
        <v>44736</v>
      </c>
      <c r="B303">
        <v>0</v>
      </c>
      <c r="C303">
        <v>9</v>
      </c>
      <c r="D303">
        <v>346</v>
      </c>
      <c r="E303">
        <v>9207</v>
      </c>
      <c r="F303" s="1" t="s">
        <v>118</v>
      </c>
      <c r="G303">
        <v>12</v>
      </c>
      <c r="H303">
        <v>0</v>
      </c>
      <c r="I303">
        <v>96</v>
      </c>
      <c r="J303">
        <v>108</v>
      </c>
      <c r="K303" s="33">
        <v>0.1111</v>
      </c>
      <c r="L303" s="1"/>
      <c r="M303" s="1" t="str">
        <f>_xlfn.XLOOKUP(ocupacao[[#This Row],[UnidadeID]],unidades!$A:$A,unidades!$B:$B,"",0)</f>
        <v>Matriz</v>
      </c>
      <c r="N303" s="1" t="str">
        <f>_xlfn.XLOOKUP(ocupacao[[#This Row],[UnidadeID]],unidades!$A:$A,unidades!$C:$C,"",0)</f>
        <v>Nova Iguaçu</v>
      </c>
      <c r="O303" s="1" t="str">
        <f>_xlfn.XLOOKUP(ocupacao[[#This Row],[EspecialidadeID]],especialidades!$A:$A,especialidades!$B:$B,"",0)</f>
        <v>CLINICA GERAL</v>
      </c>
      <c r="P303" s="1" t="str">
        <f>TEXT(WEEKDAY(ocupacao[[#This Row],[Data]]),"ddd")</f>
        <v>sex</v>
      </c>
      <c r="Q303" s="1">
        <f t="shared" si="4"/>
        <v>0</v>
      </c>
    </row>
    <row r="304" spans="1:17" x14ac:dyDescent="0.25">
      <c r="A304" s="2">
        <v>44736</v>
      </c>
      <c r="B304">
        <v>0</v>
      </c>
      <c r="C304">
        <v>9</v>
      </c>
      <c r="D304">
        <v>339</v>
      </c>
      <c r="E304">
        <v>9654</v>
      </c>
      <c r="F304" s="1" t="s">
        <v>139</v>
      </c>
      <c r="G304">
        <v>0</v>
      </c>
      <c r="H304">
        <v>0</v>
      </c>
      <c r="I304">
        <v>132</v>
      </c>
      <c r="J304">
        <v>132</v>
      </c>
      <c r="K304" s="33">
        <v>0</v>
      </c>
      <c r="L304" s="1"/>
      <c r="M304" s="1" t="str">
        <f>_xlfn.XLOOKUP(ocupacao[[#This Row],[UnidadeID]],unidades!$A:$A,unidades!$B:$B,"",0)</f>
        <v>Matriz</v>
      </c>
      <c r="N304" s="1" t="str">
        <f>_xlfn.XLOOKUP(ocupacao[[#This Row],[UnidadeID]],unidades!$A:$A,unidades!$C:$C,"",0)</f>
        <v>Nova Iguaçu</v>
      </c>
      <c r="O304" s="1" t="str">
        <f>_xlfn.XLOOKUP(ocupacao[[#This Row],[EspecialidadeID]],especialidades!$A:$A,especialidades!$B:$B,"",0)</f>
        <v>CLINICA GERAL</v>
      </c>
      <c r="P304" s="1" t="str">
        <f>TEXT(WEEKDAY(ocupacao[[#This Row],[Data]]),"ddd")</f>
        <v>sex</v>
      </c>
      <c r="Q304" s="1">
        <f t="shared" si="4"/>
        <v>0</v>
      </c>
    </row>
    <row r="305" spans="1:17" hidden="1" x14ac:dyDescent="0.25">
      <c r="A305" s="2">
        <v>44736</v>
      </c>
      <c r="B305">
        <v>0</v>
      </c>
      <c r="C305">
        <v>9</v>
      </c>
      <c r="D305">
        <v>346</v>
      </c>
      <c r="E305">
        <v>11634</v>
      </c>
      <c r="F305" s="1" t="s">
        <v>102</v>
      </c>
      <c r="G305">
        <v>0</v>
      </c>
      <c r="H305">
        <v>0</v>
      </c>
      <c r="I305">
        <v>48</v>
      </c>
      <c r="J305">
        <v>48</v>
      </c>
      <c r="K305" s="33">
        <v>0</v>
      </c>
      <c r="L305" s="1"/>
      <c r="M305" s="1"/>
      <c r="N305" s="1"/>
      <c r="O305" s="1"/>
      <c r="P305" s="1"/>
      <c r="Q305" s="1"/>
    </row>
    <row r="306" spans="1:17" x14ac:dyDescent="0.25">
      <c r="A306" s="2">
        <v>44736</v>
      </c>
      <c r="B306">
        <v>18</v>
      </c>
      <c r="C306">
        <v>9</v>
      </c>
      <c r="D306">
        <v>79</v>
      </c>
      <c r="E306">
        <v>13295</v>
      </c>
      <c r="F306" s="1" t="s">
        <v>98</v>
      </c>
      <c r="G306">
        <v>0</v>
      </c>
      <c r="H306">
        <v>0</v>
      </c>
      <c r="I306">
        <v>120</v>
      </c>
      <c r="J306">
        <v>120</v>
      </c>
      <c r="K306" s="33">
        <v>0</v>
      </c>
      <c r="L306" s="1"/>
      <c r="M306" s="1" t="str">
        <f>_xlfn.XLOOKUP(ocupacao[[#This Row],[UnidadeID]],unidades!$A:$A,unidades!$B:$B,"",0)</f>
        <v>Miguel Couto</v>
      </c>
      <c r="N306" s="1" t="str">
        <f>_xlfn.XLOOKUP(ocupacao[[#This Row],[UnidadeID]],unidades!$A:$A,unidades!$C:$C,"",0)</f>
        <v>Miguel Couto</v>
      </c>
      <c r="O306" s="1" t="str">
        <f>_xlfn.XLOOKUP(ocupacao[[#This Row],[EspecialidadeID]],especialidades!$A:$A,especialidades!$B:$B,"",0)</f>
        <v>CLINICA GERAL</v>
      </c>
      <c r="P306" s="1" t="str">
        <f>TEXT(WEEKDAY(ocupacao[[#This Row],[Data]]),"ddd")</f>
        <v>sex</v>
      </c>
      <c r="Q306" s="1">
        <f t="shared" si="4"/>
        <v>0</v>
      </c>
    </row>
    <row r="307" spans="1:17" x14ac:dyDescent="0.25">
      <c r="A307" s="2">
        <v>44736</v>
      </c>
      <c r="B307">
        <v>33</v>
      </c>
      <c r="C307">
        <v>9</v>
      </c>
      <c r="D307">
        <v>15</v>
      </c>
      <c r="E307">
        <v>13660</v>
      </c>
      <c r="F307" s="1" t="s">
        <v>112</v>
      </c>
      <c r="G307">
        <v>0</v>
      </c>
      <c r="H307">
        <v>21</v>
      </c>
      <c r="I307">
        <v>0</v>
      </c>
      <c r="J307">
        <v>21</v>
      </c>
      <c r="K307" s="33">
        <v>1</v>
      </c>
      <c r="L307" s="1"/>
      <c r="M307" s="1" t="str">
        <f>_xlfn.XLOOKUP(ocupacao[[#This Row],[UnidadeID]],unidades!$A:$A,unidades!$B:$B,"",0)</f>
        <v>Seggastro</v>
      </c>
      <c r="N307" s="1" t="str">
        <f>_xlfn.XLOOKUP(ocupacao[[#This Row],[UnidadeID]],unidades!$A:$A,unidades!$C:$C,"",0)</f>
        <v>Nova Iguaçu</v>
      </c>
      <c r="O307" s="1" t="str">
        <f>_xlfn.XLOOKUP(ocupacao[[#This Row],[EspecialidadeID]],especialidades!$A:$A,especialidades!$B:$B,"",0)</f>
        <v>CLINICA GERAL</v>
      </c>
      <c r="P307" s="1" t="str">
        <f>TEXT(WEEKDAY(ocupacao[[#This Row],[Data]]),"ddd")</f>
        <v>sex</v>
      </c>
      <c r="Q307" s="1">
        <f t="shared" si="4"/>
        <v>0</v>
      </c>
    </row>
    <row r="308" spans="1:17" hidden="1" x14ac:dyDescent="0.25">
      <c r="A308" s="2"/>
      <c r="F308" s="1"/>
      <c r="K308" s="33"/>
      <c r="L308" s="1"/>
      <c r="M308" s="1"/>
      <c r="N308" s="1"/>
      <c r="O308" s="1"/>
      <c r="P308" s="1"/>
      <c r="Q308" s="1"/>
    </row>
    <row r="309" spans="1:17" x14ac:dyDescent="0.25">
      <c r="A309" s="2">
        <v>44736</v>
      </c>
      <c r="B309">
        <v>33</v>
      </c>
      <c r="C309">
        <v>9</v>
      </c>
      <c r="D309">
        <v>368</v>
      </c>
      <c r="E309">
        <v>13660</v>
      </c>
      <c r="F309" s="1" t="s">
        <v>112</v>
      </c>
      <c r="G309">
        <v>0</v>
      </c>
      <c r="H309">
        <v>0</v>
      </c>
      <c r="I309">
        <v>13</v>
      </c>
      <c r="J309">
        <v>13</v>
      </c>
      <c r="K309" s="33">
        <v>0</v>
      </c>
      <c r="L309" s="1"/>
      <c r="M309" s="1" t="str">
        <f>_xlfn.XLOOKUP(ocupacao[[#This Row],[UnidadeID]],unidades!$A:$A,unidades!$B:$B,"",0)</f>
        <v>Seggastro</v>
      </c>
      <c r="N309" s="1" t="str">
        <f>_xlfn.XLOOKUP(ocupacao[[#This Row],[UnidadeID]],unidades!$A:$A,unidades!$C:$C,"",0)</f>
        <v>Nova Iguaçu</v>
      </c>
      <c r="O309" s="1" t="str">
        <f>_xlfn.XLOOKUP(ocupacao[[#This Row],[EspecialidadeID]],especialidades!$A:$A,especialidades!$B:$B,"",0)</f>
        <v>CLINICA GERAL</v>
      </c>
      <c r="P309" s="1" t="str">
        <f>TEXT(WEEKDAY(ocupacao[[#This Row],[Data]]),"ddd")</f>
        <v>sex</v>
      </c>
      <c r="Q309" s="1">
        <f t="shared" si="4"/>
        <v>0</v>
      </c>
    </row>
    <row r="310" spans="1:17" x14ac:dyDescent="0.25">
      <c r="A310" s="2">
        <v>44736</v>
      </c>
      <c r="B310">
        <v>34</v>
      </c>
      <c r="C310">
        <v>9</v>
      </c>
      <c r="D310">
        <v>369</v>
      </c>
      <c r="E310">
        <v>14110</v>
      </c>
      <c r="F310" s="1" t="s">
        <v>308</v>
      </c>
      <c r="G310">
        <v>0</v>
      </c>
      <c r="H310">
        <v>0</v>
      </c>
      <c r="I310">
        <v>60</v>
      </c>
      <c r="J310">
        <v>60</v>
      </c>
      <c r="K310" s="33">
        <v>0</v>
      </c>
      <c r="L310" s="1"/>
      <c r="M310" s="1" t="str">
        <f>_xlfn.XLOOKUP(ocupacao[[#This Row],[UnidadeID]],unidades!$A:$A,unidades!$B:$B,"",0)</f>
        <v>São João</v>
      </c>
      <c r="N310" s="1" t="str">
        <f>_xlfn.XLOOKUP(ocupacao[[#This Row],[UnidadeID]],unidades!$A:$A,unidades!$C:$C,"",0)</f>
        <v>São João de Meriti</v>
      </c>
      <c r="O310" s="1" t="str">
        <f>_xlfn.XLOOKUP(ocupacao[[#This Row],[EspecialidadeID]],especialidades!$A:$A,especialidades!$B:$B,"",0)</f>
        <v>CLINICA GERAL</v>
      </c>
      <c r="P310" s="1" t="str">
        <f>TEXT(WEEKDAY(ocupacao[[#This Row],[Data]]),"ddd")</f>
        <v>sex</v>
      </c>
      <c r="Q310" s="1">
        <f t="shared" si="4"/>
        <v>0</v>
      </c>
    </row>
    <row r="311" spans="1:17" hidden="1" x14ac:dyDescent="0.25">
      <c r="A311" s="2"/>
      <c r="F311" s="1"/>
      <c r="K311" s="33"/>
      <c r="L311" s="1"/>
      <c r="M311" s="1"/>
      <c r="N311" s="1"/>
      <c r="O311" s="1"/>
      <c r="P311" s="1"/>
      <c r="Q311" s="1"/>
    </row>
    <row r="312" spans="1:17" x14ac:dyDescent="0.25">
      <c r="A312" s="2">
        <v>44736</v>
      </c>
      <c r="B312">
        <v>24</v>
      </c>
      <c r="C312">
        <v>9</v>
      </c>
      <c r="D312">
        <v>60</v>
      </c>
      <c r="E312">
        <v>17955</v>
      </c>
      <c r="F312" s="1" t="s">
        <v>367</v>
      </c>
      <c r="G312">
        <v>0</v>
      </c>
      <c r="H312">
        <v>0</v>
      </c>
      <c r="I312">
        <v>120</v>
      </c>
      <c r="J312">
        <v>120</v>
      </c>
      <c r="K312" s="33">
        <v>0</v>
      </c>
      <c r="L312" s="1"/>
      <c r="M312" s="1" t="str">
        <f>_xlfn.XLOOKUP(ocupacao[[#This Row],[UnidadeID]],unidades!$A:$A,unidades!$B:$B,"",0)</f>
        <v>Nilópolis</v>
      </c>
      <c r="N312" s="1" t="str">
        <f>_xlfn.XLOOKUP(ocupacao[[#This Row],[UnidadeID]],unidades!$A:$A,unidades!$C:$C,"",0)</f>
        <v>Nilópolis</v>
      </c>
      <c r="O312" s="1" t="str">
        <f>_xlfn.XLOOKUP(ocupacao[[#This Row],[EspecialidadeID]],especialidades!$A:$A,especialidades!$B:$B,"",0)</f>
        <v>CLINICA GERAL</v>
      </c>
      <c r="P312" s="1" t="str">
        <f>TEXT(WEEKDAY(ocupacao[[#This Row],[Data]]),"ddd")</f>
        <v>sex</v>
      </c>
      <c r="Q312" s="1">
        <f t="shared" si="4"/>
        <v>0</v>
      </c>
    </row>
    <row r="313" spans="1:17" x14ac:dyDescent="0.25">
      <c r="A313" s="2">
        <v>44737</v>
      </c>
      <c r="B313">
        <v>0</v>
      </c>
      <c r="C313">
        <v>9</v>
      </c>
      <c r="D313">
        <v>345</v>
      </c>
      <c r="E313">
        <v>66</v>
      </c>
      <c r="F313" s="1" t="s">
        <v>89</v>
      </c>
      <c r="G313">
        <v>0</v>
      </c>
      <c r="H313">
        <v>0</v>
      </c>
      <c r="I313">
        <v>72</v>
      </c>
      <c r="J313">
        <v>72</v>
      </c>
      <c r="K313" s="33">
        <v>0</v>
      </c>
      <c r="L313" s="1"/>
      <c r="M313" s="1" t="str">
        <f>_xlfn.XLOOKUP(ocupacao[[#This Row],[UnidadeID]],unidades!$A:$A,unidades!$B:$B,"",0)</f>
        <v>Matriz</v>
      </c>
      <c r="N313" s="1" t="str">
        <f>_xlfn.XLOOKUP(ocupacao[[#This Row],[UnidadeID]],unidades!$A:$A,unidades!$C:$C,"",0)</f>
        <v>Nova Iguaçu</v>
      </c>
      <c r="O313" s="1" t="str">
        <f>_xlfn.XLOOKUP(ocupacao[[#This Row],[EspecialidadeID]],especialidades!$A:$A,especialidades!$B:$B,"",0)</f>
        <v>CLINICA GERAL</v>
      </c>
      <c r="P313" s="1" t="str">
        <f>TEXT(WEEKDAY(ocupacao[[#This Row],[Data]]),"ddd")</f>
        <v>sáb</v>
      </c>
      <c r="Q313" s="1">
        <f t="shared" si="4"/>
        <v>0</v>
      </c>
    </row>
    <row r="314" spans="1:17" x14ac:dyDescent="0.25">
      <c r="A314" s="2">
        <v>44737</v>
      </c>
      <c r="B314">
        <v>18</v>
      </c>
      <c r="C314">
        <v>9</v>
      </c>
      <c r="D314">
        <v>79</v>
      </c>
      <c r="E314">
        <v>9207</v>
      </c>
      <c r="F314" s="1" t="s">
        <v>118</v>
      </c>
      <c r="G314">
        <v>0</v>
      </c>
      <c r="H314">
        <v>0</v>
      </c>
      <c r="I314">
        <v>72</v>
      </c>
      <c r="J314">
        <v>72</v>
      </c>
      <c r="K314" s="33">
        <v>0</v>
      </c>
      <c r="L314" s="1"/>
      <c r="M314" s="1" t="str">
        <f>_xlfn.XLOOKUP(ocupacao[[#This Row],[UnidadeID]],unidades!$A:$A,unidades!$B:$B,"",0)</f>
        <v>Miguel Couto</v>
      </c>
      <c r="N314" s="1" t="str">
        <f>_xlfn.XLOOKUP(ocupacao[[#This Row],[UnidadeID]],unidades!$A:$A,unidades!$C:$C,"",0)</f>
        <v>Miguel Couto</v>
      </c>
      <c r="O314" s="1" t="str">
        <f>_xlfn.XLOOKUP(ocupacao[[#This Row],[EspecialidadeID]],especialidades!$A:$A,especialidades!$B:$B,"",0)</f>
        <v>CLINICA GERAL</v>
      </c>
      <c r="P314" s="1" t="str">
        <f>TEXT(WEEKDAY(ocupacao[[#This Row],[Data]]),"ddd")</f>
        <v>sáb</v>
      </c>
      <c r="Q314" s="1">
        <f t="shared" si="4"/>
        <v>0</v>
      </c>
    </row>
    <row r="315" spans="1:17" x14ac:dyDescent="0.25">
      <c r="A315" s="2">
        <v>44737</v>
      </c>
      <c r="B315">
        <v>24</v>
      </c>
      <c r="C315">
        <v>9</v>
      </c>
      <c r="D315">
        <v>61</v>
      </c>
      <c r="E315">
        <v>9654</v>
      </c>
      <c r="F315" s="1" t="s">
        <v>139</v>
      </c>
      <c r="G315">
        <v>0</v>
      </c>
      <c r="H315">
        <v>0</v>
      </c>
      <c r="I315">
        <v>72</v>
      </c>
      <c r="J315">
        <v>72</v>
      </c>
      <c r="K315" s="33">
        <v>0</v>
      </c>
      <c r="L315" s="1"/>
      <c r="M315" s="1" t="str">
        <f>_xlfn.XLOOKUP(ocupacao[[#This Row],[UnidadeID]],unidades!$A:$A,unidades!$B:$B,"",0)</f>
        <v>Nilópolis</v>
      </c>
      <c r="N315" s="1" t="str">
        <f>_xlfn.XLOOKUP(ocupacao[[#This Row],[UnidadeID]],unidades!$A:$A,unidades!$C:$C,"",0)</f>
        <v>Nilópolis</v>
      </c>
      <c r="O315" s="1" t="str">
        <f>_xlfn.XLOOKUP(ocupacao[[#This Row],[EspecialidadeID]],especialidades!$A:$A,especialidades!$B:$B,"",0)</f>
        <v>CLINICA GERAL</v>
      </c>
      <c r="P315" s="1" t="str">
        <f>TEXT(WEEKDAY(ocupacao[[#This Row],[Data]]),"ddd")</f>
        <v>sáb</v>
      </c>
      <c r="Q315" s="1">
        <f t="shared" si="4"/>
        <v>0</v>
      </c>
    </row>
    <row r="316" spans="1:17" x14ac:dyDescent="0.25">
      <c r="A316" s="2">
        <v>44737</v>
      </c>
      <c r="B316">
        <v>0</v>
      </c>
      <c r="C316">
        <v>9</v>
      </c>
      <c r="D316">
        <v>339</v>
      </c>
      <c r="E316">
        <v>11634</v>
      </c>
      <c r="F316" s="1" t="s">
        <v>102</v>
      </c>
      <c r="G316">
        <v>0</v>
      </c>
      <c r="H316">
        <v>0</v>
      </c>
      <c r="I316">
        <v>72</v>
      </c>
      <c r="J316">
        <v>72</v>
      </c>
      <c r="K316" s="33">
        <v>0</v>
      </c>
      <c r="L316" s="1"/>
      <c r="M316" s="1" t="str">
        <f>_xlfn.XLOOKUP(ocupacao[[#This Row],[UnidadeID]],unidades!$A:$A,unidades!$B:$B,"",0)</f>
        <v>Matriz</v>
      </c>
      <c r="N316" s="1" t="str">
        <f>_xlfn.XLOOKUP(ocupacao[[#This Row],[UnidadeID]],unidades!$A:$A,unidades!$C:$C,"",0)</f>
        <v>Nova Iguaçu</v>
      </c>
      <c r="O316" s="1" t="str">
        <f>_xlfn.XLOOKUP(ocupacao[[#This Row],[EspecialidadeID]],especialidades!$A:$A,especialidades!$B:$B,"",0)</f>
        <v>CLINICA GERAL</v>
      </c>
      <c r="P316" s="1" t="str">
        <f>TEXT(WEEKDAY(ocupacao[[#This Row],[Data]]),"ddd")</f>
        <v>sáb</v>
      </c>
      <c r="Q316" s="1">
        <f t="shared" si="4"/>
        <v>0</v>
      </c>
    </row>
    <row r="317" spans="1:17" x14ac:dyDescent="0.25">
      <c r="A317" s="2">
        <v>44737</v>
      </c>
      <c r="B317">
        <v>33</v>
      </c>
      <c r="C317">
        <v>9</v>
      </c>
      <c r="D317">
        <v>368</v>
      </c>
      <c r="E317">
        <v>13660</v>
      </c>
      <c r="F317" s="1" t="s">
        <v>112</v>
      </c>
      <c r="G317">
        <v>0</v>
      </c>
      <c r="H317">
        <v>0</v>
      </c>
      <c r="I317">
        <v>41</v>
      </c>
      <c r="J317">
        <v>41</v>
      </c>
      <c r="K317" s="33">
        <v>0</v>
      </c>
      <c r="L317" s="1"/>
      <c r="M317" s="1" t="str">
        <f>_xlfn.XLOOKUP(ocupacao[[#This Row],[UnidadeID]],unidades!$A:$A,unidades!$B:$B,"",0)</f>
        <v>Seggastro</v>
      </c>
      <c r="N317" s="1" t="str">
        <f>_xlfn.XLOOKUP(ocupacao[[#This Row],[UnidadeID]],unidades!$A:$A,unidades!$C:$C,"",0)</f>
        <v>Nova Iguaçu</v>
      </c>
      <c r="O317" s="1" t="str">
        <f>_xlfn.XLOOKUP(ocupacao[[#This Row],[EspecialidadeID]],especialidades!$A:$A,especialidades!$B:$B,"",0)</f>
        <v>CLINICA GERAL</v>
      </c>
      <c r="P317" s="1" t="str">
        <f>TEXT(WEEKDAY(ocupacao[[#This Row],[Data]]),"ddd")</f>
        <v>sáb</v>
      </c>
      <c r="Q317" s="1">
        <f t="shared" si="4"/>
        <v>0</v>
      </c>
    </row>
    <row r="318" spans="1:17" hidden="1" x14ac:dyDescent="0.25">
      <c r="A318" s="2">
        <v>44737</v>
      </c>
      <c r="B318">
        <v>34</v>
      </c>
      <c r="C318">
        <v>9</v>
      </c>
      <c r="D318">
        <v>369</v>
      </c>
      <c r="E318">
        <v>17861</v>
      </c>
      <c r="F318" s="1" t="s">
        <v>309</v>
      </c>
      <c r="G318">
        <v>0</v>
      </c>
      <c r="H318">
        <v>0</v>
      </c>
      <c r="I318">
        <v>72</v>
      </c>
      <c r="J318">
        <v>72</v>
      </c>
      <c r="K318" s="33">
        <v>0</v>
      </c>
      <c r="L318" s="1"/>
      <c r="M318" s="1"/>
      <c r="N318" s="1"/>
      <c r="O318" s="1"/>
      <c r="P318" s="1"/>
      <c r="Q318" s="1"/>
    </row>
    <row r="319" spans="1:17" x14ac:dyDescent="0.25">
      <c r="A319" s="2">
        <v>44737</v>
      </c>
      <c r="B319">
        <v>0</v>
      </c>
      <c r="C319">
        <v>9</v>
      </c>
      <c r="D319">
        <v>346</v>
      </c>
      <c r="E319">
        <v>17940</v>
      </c>
      <c r="F319" s="1" t="s">
        <v>362</v>
      </c>
      <c r="G319">
        <v>0</v>
      </c>
      <c r="H319">
        <v>0</v>
      </c>
      <c r="I319">
        <v>96</v>
      </c>
      <c r="J319">
        <v>96</v>
      </c>
      <c r="K319" s="33">
        <v>0</v>
      </c>
      <c r="L319" s="1"/>
      <c r="M319" s="1" t="str">
        <f>_xlfn.XLOOKUP(ocupacao[[#This Row],[UnidadeID]],unidades!$A:$A,unidades!$B:$B,"",0)</f>
        <v>Matriz</v>
      </c>
      <c r="N319" s="1" t="str">
        <f>_xlfn.XLOOKUP(ocupacao[[#This Row],[UnidadeID]],unidades!$A:$A,unidades!$C:$C,"",0)</f>
        <v>Nova Iguaçu</v>
      </c>
      <c r="O319" s="1" t="str">
        <f>_xlfn.XLOOKUP(ocupacao[[#This Row],[EspecialidadeID]],especialidades!$A:$A,especialidades!$B:$B,"",0)</f>
        <v>CLINICA GERAL</v>
      </c>
      <c r="P319" s="1" t="str">
        <f>TEXT(WEEKDAY(ocupacao[[#This Row],[Data]]),"ddd")</f>
        <v>sáb</v>
      </c>
      <c r="Q319" s="1">
        <f t="shared" si="4"/>
        <v>0</v>
      </c>
    </row>
    <row r="320" spans="1:17" x14ac:dyDescent="0.25">
      <c r="A320" s="2">
        <v>44738</v>
      </c>
      <c r="B320">
        <v>0</v>
      </c>
      <c r="C320">
        <v>9</v>
      </c>
      <c r="D320">
        <v>339</v>
      </c>
      <c r="E320">
        <v>9654</v>
      </c>
      <c r="F320" s="1" t="s">
        <v>139</v>
      </c>
      <c r="G320">
        <v>0</v>
      </c>
      <c r="H320">
        <v>0</v>
      </c>
      <c r="I320">
        <v>72</v>
      </c>
      <c r="J320">
        <v>72</v>
      </c>
      <c r="K320" s="33">
        <v>0</v>
      </c>
      <c r="L320" s="1"/>
      <c r="M320" s="1" t="str">
        <f>_xlfn.XLOOKUP(ocupacao[[#This Row],[UnidadeID]],unidades!$A:$A,unidades!$B:$B,"",0)</f>
        <v>Matriz</v>
      </c>
      <c r="N320" s="1" t="str">
        <f>_xlfn.XLOOKUP(ocupacao[[#This Row],[UnidadeID]],unidades!$A:$A,unidades!$C:$C,"",0)</f>
        <v>Nova Iguaçu</v>
      </c>
      <c r="O320" s="1" t="str">
        <f>_xlfn.XLOOKUP(ocupacao[[#This Row],[EspecialidadeID]],especialidades!$A:$A,especialidades!$B:$B,"",0)</f>
        <v>CLINICA GERAL</v>
      </c>
      <c r="P320" s="1" t="str">
        <f>TEXT(WEEKDAY(ocupacao[[#This Row],[Data]]),"ddd")</f>
        <v>dom</v>
      </c>
      <c r="Q320" s="1">
        <f t="shared" si="4"/>
        <v>0</v>
      </c>
    </row>
    <row r="321" spans="1:17" x14ac:dyDescent="0.25">
      <c r="A321" s="2">
        <v>44738</v>
      </c>
      <c r="B321">
        <v>0</v>
      </c>
      <c r="C321">
        <v>9</v>
      </c>
      <c r="D321">
        <v>341</v>
      </c>
      <c r="E321">
        <v>17940</v>
      </c>
      <c r="F321" s="1" t="s">
        <v>362</v>
      </c>
      <c r="G321">
        <v>0</v>
      </c>
      <c r="H321">
        <v>0</v>
      </c>
      <c r="I321">
        <v>72</v>
      </c>
      <c r="J321">
        <v>72</v>
      </c>
      <c r="K321" s="33">
        <v>0</v>
      </c>
      <c r="L321" s="1"/>
      <c r="M321" s="1" t="str">
        <f>_xlfn.XLOOKUP(ocupacao[[#This Row],[UnidadeID]],unidades!$A:$A,unidades!$B:$B,"",0)</f>
        <v>Matriz</v>
      </c>
      <c r="N321" s="1" t="str">
        <f>_xlfn.XLOOKUP(ocupacao[[#This Row],[UnidadeID]],unidades!$A:$A,unidades!$C:$C,"",0)</f>
        <v>Nova Iguaçu</v>
      </c>
      <c r="O321" s="1" t="str">
        <f>_xlfn.XLOOKUP(ocupacao[[#This Row],[EspecialidadeID]],especialidades!$A:$A,especialidades!$B:$B,"",0)</f>
        <v>CLINICA GERAL</v>
      </c>
      <c r="P321" s="1" t="str">
        <f>TEXT(WEEKDAY(ocupacao[[#This Row],[Data]]),"ddd")</f>
        <v>dom</v>
      </c>
      <c r="Q321" s="1">
        <f t="shared" si="4"/>
        <v>0</v>
      </c>
    </row>
    <row r="322" spans="1:17" x14ac:dyDescent="0.25">
      <c r="A322" s="2">
        <v>44739</v>
      </c>
      <c r="B322">
        <v>0</v>
      </c>
      <c r="C322">
        <v>9</v>
      </c>
      <c r="D322">
        <v>345</v>
      </c>
      <c r="E322">
        <v>66</v>
      </c>
      <c r="F322" s="1" t="s">
        <v>89</v>
      </c>
      <c r="G322">
        <v>0</v>
      </c>
      <c r="H322">
        <v>0</v>
      </c>
      <c r="I322">
        <v>60</v>
      </c>
      <c r="J322">
        <v>60</v>
      </c>
      <c r="K322" s="33">
        <v>0</v>
      </c>
      <c r="L322" s="1"/>
      <c r="M322" s="1" t="str">
        <f>_xlfn.XLOOKUP(ocupacao[[#This Row],[UnidadeID]],unidades!$A:$A,unidades!$B:$B,"",0)</f>
        <v>Matriz</v>
      </c>
      <c r="N322" s="1" t="str">
        <f>_xlfn.XLOOKUP(ocupacao[[#This Row],[UnidadeID]],unidades!$A:$A,unidades!$C:$C,"",0)</f>
        <v>Nova Iguaçu</v>
      </c>
      <c r="O322" s="1" t="str">
        <f>_xlfn.XLOOKUP(ocupacao[[#This Row],[EspecialidadeID]],especialidades!$A:$A,especialidades!$B:$B,"",0)</f>
        <v>CLINICA GERAL</v>
      </c>
      <c r="P322" s="1" t="str">
        <f>TEXT(WEEKDAY(ocupacao[[#This Row],[Data]]),"ddd")</f>
        <v>seg</v>
      </c>
      <c r="Q322" s="1">
        <f t="shared" ref="Q322:Q384" si="5">IF(F322=F323,1,0)</f>
        <v>0</v>
      </c>
    </row>
    <row r="323" spans="1:17" x14ac:dyDescent="0.25">
      <c r="A323" s="2">
        <v>44739</v>
      </c>
      <c r="B323">
        <v>18</v>
      </c>
      <c r="C323">
        <v>9</v>
      </c>
      <c r="D323">
        <v>79</v>
      </c>
      <c r="E323">
        <v>9207</v>
      </c>
      <c r="F323" s="1" t="s">
        <v>118</v>
      </c>
      <c r="G323">
        <v>12</v>
      </c>
      <c r="H323">
        <v>0</v>
      </c>
      <c r="I323">
        <v>108</v>
      </c>
      <c r="J323">
        <v>120</v>
      </c>
      <c r="K323" s="33">
        <v>0.1</v>
      </c>
      <c r="L323" s="1"/>
      <c r="M323" s="1" t="str">
        <f>_xlfn.XLOOKUP(ocupacao[[#This Row],[UnidadeID]],unidades!$A:$A,unidades!$B:$B,"",0)</f>
        <v>Miguel Couto</v>
      </c>
      <c r="N323" s="1" t="str">
        <f>_xlfn.XLOOKUP(ocupacao[[#This Row],[UnidadeID]],unidades!$A:$A,unidades!$C:$C,"",0)</f>
        <v>Miguel Couto</v>
      </c>
      <c r="O323" s="1" t="str">
        <f>_xlfn.XLOOKUP(ocupacao[[#This Row],[EspecialidadeID]],especialidades!$A:$A,especialidades!$B:$B,"",0)</f>
        <v>CLINICA GERAL</v>
      </c>
      <c r="P323" s="1" t="str">
        <f>TEXT(WEEKDAY(ocupacao[[#This Row],[Data]]),"ddd")</f>
        <v>seg</v>
      </c>
      <c r="Q323" s="1">
        <f t="shared" si="5"/>
        <v>0</v>
      </c>
    </row>
    <row r="324" spans="1:17" x14ac:dyDescent="0.25">
      <c r="A324" s="2">
        <v>44739</v>
      </c>
      <c r="B324">
        <v>0</v>
      </c>
      <c r="C324">
        <v>9</v>
      </c>
      <c r="D324">
        <v>346</v>
      </c>
      <c r="E324">
        <v>11634</v>
      </c>
      <c r="F324" s="1" t="s">
        <v>102</v>
      </c>
      <c r="G324">
        <v>0</v>
      </c>
      <c r="H324">
        <v>0</v>
      </c>
      <c r="I324">
        <v>156</v>
      </c>
      <c r="J324">
        <v>156</v>
      </c>
      <c r="K324" s="33">
        <v>0</v>
      </c>
      <c r="L324" s="1"/>
      <c r="M324" s="1" t="str">
        <f>_xlfn.XLOOKUP(ocupacao[[#This Row],[UnidadeID]],unidades!$A:$A,unidades!$B:$B,"",0)</f>
        <v>Matriz</v>
      </c>
      <c r="N324" s="1" t="str">
        <f>_xlfn.XLOOKUP(ocupacao[[#This Row],[UnidadeID]],unidades!$A:$A,unidades!$C:$C,"",0)</f>
        <v>Nova Iguaçu</v>
      </c>
      <c r="O324" s="1" t="str">
        <f>_xlfn.XLOOKUP(ocupacao[[#This Row],[EspecialidadeID]],especialidades!$A:$A,especialidades!$B:$B,"",0)</f>
        <v>CLINICA GERAL</v>
      </c>
      <c r="P324" s="1" t="str">
        <f>TEXT(WEEKDAY(ocupacao[[#This Row],[Data]]),"ddd")</f>
        <v>seg</v>
      </c>
      <c r="Q324" s="1">
        <f t="shared" si="5"/>
        <v>0</v>
      </c>
    </row>
    <row r="325" spans="1:17" x14ac:dyDescent="0.25">
      <c r="A325" s="2">
        <v>44739</v>
      </c>
      <c r="B325">
        <v>0</v>
      </c>
      <c r="C325">
        <v>9</v>
      </c>
      <c r="D325">
        <v>341</v>
      </c>
      <c r="E325">
        <v>12482</v>
      </c>
      <c r="F325" s="1" t="s">
        <v>97</v>
      </c>
      <c r="G325">
        <v>0</v>
      </c>
      <c r="H325">
        <v>0</v>
      </c>
      <c r="I325">
        <v>60</v>
      </c>
      <c r="J325">
        <v>60</v>
      </c>
      <c r="K325" s="33">
        <v>0</v>
      </c>
      <c r="L325" s="1"/>
      <c r="M325" s="1" t="str">
        <f>_xlfn.XLOOKUP(ocupacao[[#This Row],[UnidadeID]],unidades!$A:$A,unidades!$B:$B,"",0)</f>
        <v>Matriz</v>
      </c>
      <c r="N325" s="1" t="str">
        <f>_xlfn.XLOOKUP(ocupacao[[#This Row],[UnidadeID]],unidades!$A:$A,unidades!$C:$C,"",0)</f>
        <v>Nova Iguaçu</v>
      </c>
      <c r="O325" s="1" t="str">
        <f>_xlfn.XLOOKUP(ocupacao[[#This Row],[EspecialidadeID]],especialidades!$A:$A,especialidades!$B:$B,"",0)</f>
        <v>CLINICA GERAL</v>
      </c>
      <c r="P325" s="1" t="str">
        <f>TEXT(WEEKDAY(ocupacao[[#This Row],[Data]]),"ddd")</f>
        <v>seg</v>
      </c>
      <c r="Q325" s="1">
        <f t="shared" si="5"/>
        <v>0</v>
      </c>
    </row>
    <row r="326" spans="1:17" x14ac:dyDescent="0.25">
      <c r="A326" s="2">
        <v>44739</v>
      </c>
      <c r="B326">
        <v>24</v>
      </c>
      <c r="C326">
        <v>9</v>
      </c>
      <c r="D326">
        <v>61</v>
      </c>
      <c r="E326">
        <v>13220</v>
      </c>
      <c r="F326" s="1" t="s">
        <v>344</v>
      </c>
      <c r="G326">
        <v>0</v>
      </c>
      <c r="H326">
        <v>0</v>
      </c>
      <c r="I326">
        <v>120</v>
      </c>
      <c r="J326">
        <v>120</v>
      </c>
      <c r="K326" s="33">
        <v>0</v>
      </c>
      <c r="L326" s="1"/>
      <c r="M326" s="1" t="str">
        <f>_xlfn.XLOOKUP(ocupacao[[#This Row],[UnidadeID]],unidades!$A:$A,unidades!$B:$B,"",0)</f>
        <v>Nilópolis</v>
      </c>
      <c r="N326" s="1" t="str">
        <f>_xlfn.XLOOKUP(ocupacao[[#This Row],[UnidadeID]],unidades!$A:$A,unidades!$C:$C,"",0)</f>
        <v>Nilópolis</v>
      </c>
      <c r="O326" s="1" t="str">
        <f>_xlfn.XLOOKUP(ocupacao[[#This Row],[EspecialidadeID]],especialidades!$A:$A,especialidades!$B:$B,"",0)</f>
        <v>CLINICA GERAL</v>
      </c>
      <c r="P326" s="1" t="str">
        <f>TEXT(WEEKDAY(ocupacao[[#This Row],[Data]]),"ddd")</f>
        <v>seg</v>
      </c>
      <c r="Q326" s="1">
        <f t="shared" si="5"/>
        <v>0</v>
      </c>
    </row>
    <row r="327" spans="1:17" hidden="1" x14ac:dyDescent="0.25">
      <c r="A327" s="2">
        <v>44739</v>
      </c>
      <c r="B327">
        <v>33</v>
      </c>
      <c r="C327">
        <v>9</v>
      </c>
      <c r="D327">
        <v>368</v>
      </c>
      <c r="E327">
        <v>13660</v>
      </c>
      <c r="F327" s="1" t="s">
        <v>112</v>
      </c>
      <c r="G327">
        <v>0</v>
      </c>
      <c r="H327">
        <v>0</v>
      </c>
      <c r="I327">
        <v>41</v>
      </c>
      <c r="J327">
        <v>41</v>
      </c>
      <c r="K327" s="33">
        <v>0</v>
      </c>
      <c r="L327" s="1"/>
      <c r="M327" s="1"/>
      <c r="N327" s="1"/>
      <c r="O327" s="1"/>
      <c r="P327" s="1"/>
      <c r="Q327" s="1"/>
    </row>
    <row r="328" spans="1:17" x14ac:dyDescent="0.25">
      <c r="A328" s="2">
        <v>44739</v>
      </c>
      <c r="B328">
        <v>0</v>
      </c>
      <c r="C328">
        <v>9</v>
      </c>
      <c r="D328">
        <v>339</v>
      </c>
      <c r="E328">
        <v>13992</v>
      </c>
      <c r="F328" s="1" t="s">
        <v>346</v>
      </c>
      <c r="G328">
        <v>0</v>
      </c>
      <c r="H328">
        <v>0</v>
      </c>
      <c r="I328">
        <v>120</v>
      </c>
      <c r="J328">
        <v>120</v>
      </c>
      <c r="K328" s="33">
        <v>0</v>
      </c>
      <c r="L328" s="1"/>
      <c r="M328" s="1" t="str">
        <f>_xlfn.XLOOKUP(ocupacao[[#This Row],[UnidadeID]],unidades!$A:$A,unidades!$B:$B,"",0)</f>
        <v>Matriz</v>
      </c>
      <c r="N328" s="1" t="str">
        <f>_xlfn.XLOOKUP(ocupacao[[#This Row],[UnidadeID]],unidades!$A:$A,unidades!$C:$C,"",0)</f>
        <v>Nova Iguaçu</v>
      </c>
      <c r="O328" s="1" t="str">
        <f>_xlfn.XLOOKUP(ocupacao[[#This Row],[EspecialidadeID]],especialidades!$A:$A,especialidades!$B:$B,"",0)</f>
        <v>CLINICA GERAL</v>
      </c>
      <c r="P328" s="1" t="str">
        <f>TEXT(WEEKDAY(ocupacao[[#This Row],[Data]]),"ddd")</f>
        <v>seg</v>
      </c>
      <c r="Q328" s="1">
        <f t="shared" si="5"/>
        <v>0</v>
      </c>
    </row>
    <row r="329" spans="1:17" x14ac:dyDescent="0.25">
      <c r="A329" s="2">
        <v>44739</v>
      </c>
      <c r="B329">
        <v>34</v>
      </c>
      <c r="C329">
        <v>9</v>
      </c>
      <c r="D329">
        <v>369</v>
      </c>
      <c r="E329">
        <v>17936</v>
      </c>
      <c r="F329" s="1" t="s">
        <v>347</v>
      </c>
      <c r="G329">
        <v>0</v>
      </c>
      <c r="H329">
        <v>0</v>
      </c>
      <c r="I329">
        <v>120</v>
      </c>
      <c r="J329">
        <v>120</v>
      </c>
      <c r="K329" s="33">
        <v>0</v>
      </c>
      <c r="L329" s="1"/>
      <c r="M329" s="1" t="str">
        <f>_xlfn.XLOOKUP(ocupacao[[#This Row],[UnidadeID]],unidades!$A:$A,unidades!$B:$B,"",0)</f>
        <v>São João</v>
      </c>
      <c r="N329" s="1" t="str">
        <f>_xlfn.XLOOKUP(ocupacao[[#This Row],[UnidadeID]],unidades!$A:$A,unidades!$C:$C,"",0)</f>
        <v>São João de Meriti</v>
      </c>
      <c r="O329" s="1" t="str">
        <f>_xlfn.XLOOKUP(ocupacao[[#This Row],[EspecialidadeID]],especialidades!$A:$A,especialidades!$B:$B,"",0)</f>
        <v>CLINICA GERAL</v>
      </c>
      <c r="P329" s="1" t="str">
        <f>TEXT(WEEKDAY(ocupacao[[#This Row],[Data]]),"ddd")</f>
        <v>seg</v>
      </c>
      <c r="Q329" s="1">
        <f t="shared" si="5"/>
        <v>0</v>
      </c>
    </row>
    <row r="330" spans="1:17" x14ac:dyDescent="0.25">
      <c r="A330" s="2">
        <v>44740</v>
      </c>
      <c r="B330">
        <v>0</v>
      </c>
      <c r="C330">
        <v>9</v>
      </c>
      <c r="D330">
        <v>345</v>
      </c>
      <c r="E330">
        <v>66</v>
      </c>
      <c r="F330" s="1" t="s">
        <v>89</v>
      </c>
      <c r="G330">
        <v>0</v>
      </c>
      <c r="H330">
        <v>0</v>
      </c>
      <c r="I330">
        <v>120</v>
      </c>
      <c r="J330">
        <v>120</v>
      </c>
      <c r="K330" s="33">
        <v>0</v>
      </c>
      <c r="L330" s="1"/>
      <c r="M330" s="1" t="str">
        <f>_xlfn.XLOOKUP(ocupacao[[#This Row],[UnidadeID]],unidades!$A:$A,unidades!$B:$B,"",0)</f>
        <v>Matriz</v>
      </c>
      <c r="N330" s="1" t="str">
        <f>_xlfn.XLOOKUP(ocupacao[[#This Row],[UnidadeID]],unidades!$A:$A,unidades!$C:$C,"",0)</f>
        <v>Nova Iguaçu</v>
      </c>
      <c r="O330" s="1" t="str">
        <f>_xlfn.XLOOKUP(ocupacao[[#This Row],[EspecialidadeID]],especialidades!$A:$A,especialidades!$B:$B,"",0)</f>
        <v>CLINICA GERAL</v>
      </c>
      <c r="P330" s="1" t="str">
        <f>TEXT(WEEKDAY(ocupacao[[#This Row],[Data]]),"ddd")</f>
        <v>ter</v>
      </c>
      <c r="Q330" s="1">
        <f t="shared" si="5"/>
        <v>0</v>
      </c>
    </row>
    <row r="331" spans="1:17" x14ac:dyDescent="0.25">
      <c r="A331" s="2">
        <v>44740</v>
      </c>
      <c r="B331">
        <v>0</v>
      </c>
      <c r="C331">
        <v>9</v>
      </c>
      <c r="D331">
        <v>346</v>
      </c>
      <c r="E331">
        <v>11634</v>
      </c>
      <c r="F331" s="1" t="s">
        <v>102</v>
      </c>
      <c r="G331">
        <v>0</v>
      </c>
      <c r="H331">
        <v>0</v>
      </c>
      <c r="I331">
        <v>144</v>
      </c>
      <c r="J331">
        <v>144</v>
      </c>
      <c r="K331" s="33">
        <v>0</v>
      </c>
      <c r="L331" s="1"/>
      <c r="M331" s="1" t="str">
        <f>_xlfn.XLOOKUP(ocupacao[[#This Row],[UnidadeID]],unidades!$A:$A,unidades!$B:$B,"",0)</f>
        <v>Matriz</v>
      </c>
      <c r="N331" s="1" t="str">
        <f>_xlfn.XLOOKUP(ocupacao[[#This Row],[UnidadeID]],unidades!$A:$A,unidades!$C:$C,"",0)</f>
        <v>Nova Iguaçu</v>
      </c>
      <c r="O331" s="1" t="str">
        <f>_xlfn.XLOOKUP(ocupacao[[#This Row],[EspecialidadeID]],especialidades!$A:$A,especialidades!$B:$B,"",0)</f>
        <v>CLINICA GERAL</v>
      </c>
      <c r="P331" s="1" t="str">
        <f>TEXT(WEEKDAY(ocupacao[[#This Row],[Data]]),"ddd")</f>
        <v>ter</v>
      </c>
      <c r="Q331" s="1">
        <f t="shared" si="5"/>
        <v>0</v>
      </c>
    </row>
    <row r="332" spans="1:17" hidden="1" x14ac:dyDescent="0.25">
      <c r="A332" s="2"/>
      <c r="F332" s="1"/>
      <c r="K332" s="33"/>
      <c r="L332" s="1"/>
      <c r="M332" s="1"/>
      <c r="N332" s="1"/>
      <c r="O332" s="1"/>
      <c r="P332" s="1"/>
      <c r="Q332" s="1"/>
    </row>
    <row r="333" spans="1:17" x14ac:dyDescent="0.25">
      <c r="A333" s="2">
        <v>44740</v>
      </c>
      <c r="B333">
        <v>18</v>
      </c>
      <c r="C333">
        <v>9</v>
      </c>
      <c r="D333">
        <v>79</v>
      </c>
      <c r="E333">
        <v>13295</v>
      </c>
      <c r="F333" s="1" t="s">
        <v>98</v>
      </c>
      <c r="G333">
        <v>0</v>
      </c>
      <c r="H333">
        <v>0</v>
      </c>
      <c r="I333">
        <v>60</v>
      </c>
      <c r="J333">
        <v>60</v>
      </c>
      <c r="K333" s="33">
        <v>0</v>
      </c>
      <c r="L333" s="1"/>
      <c r="M333" s="1" t="str">
        <f>_xlfn.XLOOKUP(ocupacao[[#This Row],[UnidadeID]],unidades!$A:$A,unidades!$B:$B,"",0)</f>
        <v>Miguel Couto</v>
      </c>
      <c r="N333" s="1" t="str">
        <f>_xlfn.XLOOKUP(ocupacao[[#This Row],[UnidadeID]],unidades!$A:$A,unidades!$C:$C,"",0)</f>
        <v>Miguel Couto</v>
      </c>
      <c r="O333" s="1" t="str">
        <f>_xlfn.XLOOKUP(ocupacao[[#This Row],[EspecialidadeID]],especialidades!$A:$A,especialidades!$B:$B,"",0)</f>
        <v>CLINICA GERAL</v>
      </c>
      <c r="P333" s="1" t="str">
        <f>TEXT(WEEKDAY(ocupacao[[#This Row],[Data]]),"ddd")</f>
        <v>ter</v>
      </c>
      <c r="Q333" s="1">
        <f t="shared" si="5"/>
        <v>0</v>
      </c>
    </row>
    <row r="334" spans="1:17" x14ac:dyDescent="0.25">
      <c r="A334" s="2">
        <v>44740</v>
      </c>
      <c r="B334">
        <v>0</v>
      </c>
      <c r="C334">
        <v>9</v>
      </c>
      <c r="D334">
        <v>339</v>
      </c>
      <c r="E334">
        <v>13479</v>
      </c>
      <c r="F334" s="1" t="s">
        <v>103</v>
      </c>
      <c r="G334">
        <v>0</v>
      </c>
      <c r="H334">
        <v>0</v>
      </c>
      <c r="I334">
        <v>132</v>
      </c>
      <c r="J334">
        <v>132</v>
      </c>
      <c r="K334" s="33">
        <v>0</v>
      </c>
      <c r="L334" s="1"/>
      <c r="M334" s="1" t="str">
        <f>_xlfn.XLOOKUP(ocupacao[[#This Row],[UnidadeID]],unidades!$A:$A,unidades!$B:$B,"",0)</f>
        <v>Matriz</v>
      </c>
      <c r="N334" s="1" t="str">
        <f>_xlfn.XLOOKUP(ocupacao[[#This Row],[UnidadeID]],unidades!$A:$A,unidades!$C:$C,"",0)</f>
        <v>Nova Iguaçu</v>
      </c>
      <c r="O334" s="1" t="str">
        <f>_xlfn.XLOOKUP(ocupacao[[#This Row],[EspecialidadeID]],especialidades!$A:$A,especialidades!$B:$B,"",0)</f>
        <v>CLINICA GERAL</v>
      </c>
      <c r="P334" s="1" t="str">
        <f>TEXT(WEEKDAY(ocupacao[[#This Row],[Data]]),"ddd")</f>
        <v>ter</v>
      </c>
      <c r="Q334" s="1">
        <f t="shared" si="5"/>
        <v>0</v>
      </c>
    </row>
    <row r="335" spans="1:17" x14ac:dyDescent="0.25">
      <c r="A335" s="2">
        <v>44740</v>
      </c>
      <c r="B335">
        <v>33</v>
      </c>
      <c r="C335">
        <v>9</v>
      </c>
      <c r="D335">
        <v>368</v>
      </c>
      <c r="E335">
        <v>13660</v>
      </c>
      <c r="F335" s="1" t="s">
        <v>112</v>
      </c>
      <c r="G335">
        <v>0</v>
      </c>
      <c r="H335">
        <v>0</v>
      </c>
      <c r="I335">
        <v>41</v>
      </c>
      <c r="J335">
        <v>41</v>
      </c>
      <c r="K335" s="33">
        <v>0</v>
      </c>
      <c r="L335" s="1"/>
      <c r="M335" s="1" t="str">
        <f>_xlfn.XLOOKUP(ocupacao[[#This Row],[UnidadeID]],unidades!$A:$A,unidades!$B:$B,"",0)</f>
        <v>Seggastro</v>
      </c>
      <c r="N335" s="1" t="str">
        <f>_xlfn.XLOOKUP(ocupacao[[#This Row],[UnidadeID]],unidades!$A:$A,unidades!$C:$C,"",0)</f>
        <v>Nova Iguaçu</v>
      </c>
      <c r="O335" s="1" t="str">
        <f>_xlfn.XLOOKUP(ocupacao[[#This Row],[EspecialidadeID]],especialidades!$A:$A,especialidades!$B:$B,"",0)</f>
        <v>CLINICA GERAL</v>
      </c>
      <c r="P335" s="1" t="str">
        <f>TEXT(WEEKDAY(ocupacao[[#This Row],[Data]]),"ddd")</f>
        <v>ter</v>
      </c>
      <c r="Q335" s="1">
        <f t="shared" si="5"/>
        <v>0</v>
      </c>
    </row>
    <row r="336" spans="1:17" hidden="1" x14ac:dyDescent="0.25">
      <c r="A336" s="2">
        <v>44740</v>
      </c>
      <c r="B336">
        <v>34</v>
      </c>
      <c r="C336">
        <v>9</v>
      </c>
      <c r="D336">
        <v>369</v>
      </c>
      <c r="E336">
        <v>14461</v>
      </c>
      <c r="F336" s="1" t="s">
        <v>306</v>
      </c>
      <c r="G336">
        <v>0</v>
      </c>
      <c r="H336">
        <v>0</v>
      </c>
      <c r="I336">
        <v>120</v>
      </c>
      <c r="J336">
        <v>120</v>
      </c>
      <c r="K336" s="33">
        <v>0</v>
      </c>
      <c r="L336" s="1"/>
      <c r="M336" s="1"/>
      <c r="N336" s="1"/>
      <c r="O336" s="1"/>
      <c r="P336" s="1"/>
      <c r="Q336" s="1"/>
    </row>
    <row r="337" spans="1:17" x14ac:dyDescent="0.25">
      <c r="A337" s="2">
        <v>44740</v>
      </c>
      <c r="B337">
        <v>24</v>
      </c>
      <c r="C337">
        <v>9</v>
      </c>
      <c r="D337">
        <v>60</v>
      </c>
      <c r="E337">
        <v>17863</v>
      </c>
      <c r="F337" s="1" t="s">
        <v>150</v>
      </c>
      <c r="G337">
        <v>0</v>
      </c>
      <c r="H337">
        <v>0</v>
      </c>
      <c r="I337">
        <v>59</v>
      </c>
      <c r="J337">
        <v>59</v>
      </c>
      <c r="K337" s="33">
        <v>0</v>
      </c>
      <c r="L337" s="1"/>
      <c r="M337" s="1" t="str">
        <f>_xlfn.XLOOKUP(ocupacao[[#This Row],[UnidadeID]],unidades!$A:$A,unidades!$B:$B,"",0)</f>
        <v>Nilópolis</v>
      </c>
      <c r="N337" s="1" t="str">
        <f>_xlfn.XLOOKUP(ocupacao[[#This Row],[UnidadeID]],unidades!$A:$A,unidades!$C:$C,"",0)</f>
        <v>Nilópolis</v>
      </c>
      <c r="O337" s="1" t="str">
        <f>_xlfn.XLOOKUP(ocupacao[[#This Row],[EspecialidadeID]],especialidades!$A:$A,especialidades!$B:$B,"",0)</f>
        <v>CLINICA GERAL</v>
      </c>
      <c r="P337" s="1" t="str">
        <f>TEXT(WEEKDAY(ocupacao[[#This Row],[Data]]),"ddd")</f>
        <v>ter</v>
      </c>
      <c r="Q337" s="1">
        <f t="shared" si="5"/>
        <v>0</v>
      </c>
    </row>
    <row r="338" spans="1:17" x14ac:dyDescent="0.25">
      <c r="A338" s="2">
        <v>44741</v>
      </c>
      <c r="B338">
        <v>0</v>
      </c>
      <c r="C338">
        <v>9</v>
      </c>
      <c r="D338">
        <v>345</v>
      </c>
      <c r="E338">
        <v>66</v>
      </c>
      <c r="F338" s="1" t="s">
        <v>89</v>
      </c>
      <c r="G338">
        <v>0</v>
      </c>
      <c r="H338">
        <v>0</v>
      </c>
      <c r="I338">
        <v>77</v>
      </c>
      <c r="J338">
        <v>77</v>
      </c>
      <c r="K338" s="33">
        <v>0</v>
      </c>
      <c r="L338" s="1"/>
      <c r="M338" s="1" t="str">
        <f>_xlfn.XLOOKUP(ocupacao[[#This Row],[UnidadeID]],unidades!$A:$A,unidades!$B:$B,"",0)</f>
        <v>Matriz</v>
      </c>
      <c r="N338" s="1" t="str">
        <f>_xlfn.XLOOKUP(ocupacao[[#This Row],[UnidadeID]],unidades!$A:$A,unidades!$C:$C,"",0)</f>
        <v>Nova Iguaçu</v>
      </c>
      <c r="O338" s="1" t="str">
        <f>_xlfn.XLOOKUP(ocupacao[[#This Row],[EspecialidadeID]],especialidades!$A:$A,especialidades!$B:$B,"",0)</f>
        <v>CLINICA GERAL</v>
      </c>
      <c r="P338" s="1" t="str">
        <f>TEXT(WEEKDAY(ocupacao[[#This Row],[Data]]),"ddd")</f>
        <v>qua</v>
      </c>
      <c r="Q338" s="1">
        <f t="shared" si="5"/>
        <v>0</v>
      </c>
    </row>
    <row r="339" spans="1:17" hidden="1" x14ac:dyDescent="0.25">
      <c r="A339" s="2">
        <v>44741</v>
      </c>
      <c r="B339">
        <v>18</v>
      </c>
      <c r="C339">
        <v>9</v>
      </c>
      <c r="D339">
        <v>79</v>
      </c>
      <c r="E339">
        <v>9207</v>
      </c>
      <c r="F339" s="1" t="s">
        <v>118</v>
      </c>
      <c r="G339">
        <v>12</v>
      </c>
      <c r="H339">
        <v>0</v>
      </c>
      <c r="I339">
        <v>108</v>
      </c>
      <c r="J339">
        <v>120</v>
      </c>
      <c r="K339" s="33">
        <v>0.1</v>
      </c>
      <c r="L339" s="1"/>
      <c r="M339" s="1"/>
      <c r="N339" s="1"/>
      <c r="O339" s="1"/>
      <c r="P339" s="1"/>
      <c r="Q339" s="1"/>
    </row>
    <row r="340" spans="1:17" x14ac:dyDescent="0.25">
      <c r="A340" s="2">
        <v>44741</v>
      </c>
      <c r="B340">
        <v>24</v>
      </c>
      <c r="C340">
        <v>9</v>
      </c>
      <c r="D340">
        <v>61</v>
      </c>
      <c r="E340">
        <v>9654</v>
      </c>
      <c r="F340" s="1" t="s">
        <v>139</v>
      </c>
      <c r="G340">
        <v>0</v>
      </c>
      <c r="H340">
        <v>0</v>
      </c>
      <c r="I340">
        <v>120</v>
      </c>
      <c r="J340">
        <v>120</v>
      </c>
      <c r="K340" s="33">
        <v>0</v>
      </c>
      <c r="L340" s="1"/>
      <c r="M340" s="1" t="str">
        <f>_xlfn.XLOOKUP(ocupacao[[#This Row],[UnidadeID]],unidades!$A:$A,unidades!$B:$B,"",0)</f>
        <v>Nilópolis</v>
      </c>
      <c r="N340" s="1" t="str">
        <f>_xlfn.XLOOKUP(ocupacao[[#This Row],[UnidadeID]],unidades!$A:$A,unidades!$C:$C,"",0)</f>
        <v>Nilópolis</v>
      </c>
      <c r="O340" s="1" t="str">
        <f>_xlfn.XLOOKUP(ocupacao[[#This Row],[EspecialidadeID]],especialidades!$A:$A,especialidades!$B:$B,"",0)</f>
        <v>CLINICA GERAL</v>
      </c>
      <c r="P340" s="1" t="str">
        <f>TEXT(WEEKDAY(ocupacao[[#This Row],[Data]]),"ddd")</f>
        <v>qua</v>
      </c>
      <c r="Q340" s="1">
        <f t="shared" si="5"/>
        <v>0</v>
      </c>
    </row>
    <row r="341" spans="1:17" x14ac:dyDescent="0.25">
      <c r="A341" s="2">
        <v>44741</v>
      </c>
      <c r="B341">
        <v>0</v>
      </c>
      <c r="C341">
        <v>9</v>
      </c>
      <c r="D341">
        <v>345</v>
      </c>
      <c r="E341">
        <v>12482</v>
      </c>
      <c r="F341" s="1" t="s">
        <v>97</v>
      </c>
      <c r="G341">
        <v>0</v>
      </c>
      <c r="H341">
        <v>0</v>
      </c>
      <c r="I341">
        <v>60</v>
      </c>
      <c r="J341">
        <v>60</v>
      </c>
      <c r="K341" s="33">
        <v>0</v>
      </c>
      <c r="L341" s="1"/>
      <c r="M341" s="1" t="str">
        <f>_xlfn.XLOOKUP(ocupacao[[#This Row],[UnidadeID]],unidades!$A:$A,unidades!$B:$B,"",0)</f>
        <v>Matriz</v>
      </c>
      <c r="N341" s="1" t="str">
        <f>_xlfn.XLOOKUP(ocupacao[[#This Row],[UnidadeID]],unidades!$A:$A,unidades!$C:$C,"",0)</f>
        <v>Nova Iguaçu</v>
      </c>
      <c r="O341" s="1" t="str">
        <f>_xlfn.XLOOKUP(ocupacao[[#This Row],[EspecialidadeID]],especialidades!$A:$A,especialidades!$B:$B,"",0)</f>
        <v>CLINICA GERAL</v>
      </c>
      <c r="P341" s="1" t="str">
        <f>TEXT(WEEKDAY(ocupacao[[#This Row],[Data]]),"ddd")</f>
        <v>qua</v>
      </c>
      <c r="Q341" s="1">
        <f t="shared" si="5"/>
        <v>0</v>
      </c>
    </row>
    <row r="342" spans="1:17" x14ac:dyDescent="0.25">
      <c r="A342" s="2">
        <v>44741</v>
      </c>
      <c r="B342">
        <v>0</v>
      </c>
      <c r="C342">
        <v>9</v>
      </c>
      <c r="D342">
        <v>346</v>
      </c>
      <c r="E342">
        <v>13295</v>
      </c>
      <c r="F342" s="1" t="s">
        <v>98</v>
      </c>
      <c r="G342">
        <v>0</v>
      </c>
      <c r="H342">
        <v>0</v>
      </c>
      <c r="I342">
        <v>120</v>
      </c>
      <c r="J342">
        <v>120</v>
      </c>
      <c r="K342" s="33">
        <v>0</v>
      </c>
      <c r="L342" s="1"/>
      <c r="M342" s="1" t="str">
        <f>_xlfn.XLOOKUP(ocupacao[[#This Row],[UnidadeID]],unidades!$A:$A,unidades!$B:$B,"",0)</f>
        <v>Matriz</v>
      </c>
      <c r="N342" s="1" t="str">
        <f>_xlfn.XLOOKUP(ocupacao[[#This Row],[UnidadeID]],unidades!$A:$A,unidades!$C:$C,"",0)</f>
        <v>Nova Iguaçu</v>
      </c>
      <c r="O342" s="1" t="str">
        <f>_xlfn.XLOOKUP(ocupacao[[#This Row],[EspecialidadeID]],especialidades!$A:$A,especialidades!$B:$B,"",0)</f>
        <v>CLINICA GERAL</v>
      </c>
      <c r="P342" s="1" t="str">
        <f>TEXT(WEEKDAY(ocupacao[[#This Row],[Data]]),"ddd")</f>
        <v>qua</v>
      </c>
      <c r="Q342" s="1">
        <f t="shared" si="5"/>
        <v>0</v>
      </c>
    </row>
    <row r="343" spans="1:17" x14ac:dyDescent="0.25">
      <c r="A343" s="2">
        <v>44741</v>
      </c>
      <c r="B343">
        <v>0</v>
      </c>
      <c r="C343">
        <v>9</v>
      </c>
      <c r="D343">
        <v>339</v>
      </c>
      <c r="E343">
        <v>13479</v>
      </c>
      <c r="F343" s="1" t="s">
        <v>103</v>
      </c>
      <c r="G343">
        <v>0</v>
      </c>
      <c r="H343">
        <v>0</v>
      </c>
      <c r="I343">
        <v>132</v>
      </c>
      <c r="J343">
        <v>132</v>
      </c>
      <c r="K343" s="33">
        <v>0</v>
      </c>
      <c r="L343" s="1"/>
      <c r="M343" s="1" t="str">
        <f>_xlfn.XLOOKUP(ocupacao[[#This Row],[UnidadeID]],unidades!$A:$A,unidades!$B:$B,"",0)</f>
        <v>Matriz</v>
      </c>
      <c r="N343" s="1" t="str">
        <f>_xlfn.XLOOKUP(ocupacao[[#This Row],[UnidadeID]],unidades!$A:$A,unidades!$C:$C,"",0)</f>
        <v>Nova Iguaçu</v>
      </c>
      <c r="O343" s="1" t="str">
        <f>_xlfn.XLOOKUP(ocupacao[[#This Row],[EspecialidadeID]],especialidades!$A:$A,especialidades!$B:$B,"",0)</f>
        <v>CLINICA GERAL</v>
      </c>
      <c r="P343" s="1" t="str">
        <f>TEXT(WEEKDAY(ocupacao[[#This Row],[Data]]),"ddd")</f>
        <v>qua</v>
      </c>
      <c r="Q343" s="1">
        <f t="shared" si="5"/>
        <v>0</v>
      </c>
    </row>
    <row r="344" spans="1:17" x14ac:dyDescent="0.25">
      <c r="A344" s="2">
        <v>44741</v>
      </c>
      <c r="B344">
        <v>33</v>
      </c>
      <c r="C344">
        <v>9</v>
      </c>
      <c r="D344">
        <v>78</v>
      </c>
      <c r="E344">
        <v>13660</v>
      </c>
      <c r="F344" s="1" t="s">
        <v>112</v>
      </c>
      <c r="G344">
        <v>0</v>
      </c>
      <c r="H344">
        <v>2</v>
      </c>
      <c r="I344">
        <v>0</v>
      </c>
      <c r="J344">
        <v>2</v>
      </c>
      <c r="K344" s="33">
        <v>1</v>
      </c>
      <c r="L344" s="1"/>
      <c r="M344" s="1" t="str">
        <f>_xlfn.XLOOKUP(ocupacao[[#This Row],[UnidadeID]],unidades!$A:$A,unidades!$B:$B,"",0)</f>
        <v>Seggastro</v>
      </c>
      <c r="N344" s="1" t="str">
        <f>_xlfn.XLOOKUP(ocupacao[[#This Row],[UnidadeID]],unidades!$A:$A,unidades!$C:$C,"",0)</f>
        <v>Nova Iguaçu</v>
      </c>
      <c r="O344" s="1" t="str">
        <f>_xlfn.XLOOKUP(ocupacao[[#This Row],[EspecialidadeID]],especialidades!$A:$A,especialidades!$B:$B,"",0)</f>
        <v>CLINICA GERAL</v>
      </c>
      <c r="P344" s="1" t="str">
        <f>TEXT(WEEKDAY(ocupacao[[#This Row],[Data]]),"ddd")</f>
        <v>qua</v>
      </c>
      <c r="Q344" s="1">
        <f t="shared" si="5"/>
        <v>0</v>
      </c>
    </row>
    <row r="345" spans="1:17" hidden="1" x14ac:dyDescent="0.25">
      <c r="A345" s="2"/>
      <c r="F345" s="1"/>
      <c r="K345" s="33"/>
      <c r="L345" s="1"/>
      <c r="M345" s="1"/>
      <c r="N345" s="1"/>
      <c r="O345" s="1"/>
      <c r="P345" s="1"/>
      <c r="Q345" s="1"/>
    </row>
    <row r="346" spans="1:17" x14ac:dyDescent="0.25">
      <c r="A346" s="2">
        <v>44741</v>
      </c>
      <c r="B346">
        <v>33</v>
      </c>
      <c r="C346">
        <v>9</v>
      </c>
      <c r="D346">
        <v>368</v>
      </c>
      <c r="E346">
        <v>13660</v>
      </c>
      <c r="F346" s="1" t="s">
        <v>112</v>
      </c>
      <c r="G346">
        <v>0</v>
      </c>
      <c r="H346">
        <v>0</v>
      </c>
      <c r="I346">
        <v>27</v>
      </c>
      <c r="J346">
        <v>27</v>
      </c>
      <c r="K346" s="33">
        <v>0</v>
      </c>
      <c r="L346" s="1"/>
      <c r="M346" s="1" t="str">
        <f>_xlfn.XLOOKUP(ocupacao[[#This Row],[UnidadeID]],unidades!$A:$A,unidades!$B:$B,"",0)</f>
        <v>Seggastro</v>
      </c>
      <c r="N346" s="1" t="str">
        <f>_xlfn.XLOOKUP(ocupacao[[#This Row],[UnidadeID]],unidades!$A:$A,unidades!$C:$C,"",0)</f>
        <v>Nova Iguaçu</v>
      </c>
      <c r="O346" s="1" t="str">
        <f>_xlfn.XLOOKUP(ocupacao[[#This Row],[EspecialidadeID]],especialidades!$A:$A,especialidades!$B:$B,"",0)</f>
        <v>CLINICA GERAL</v>
      </c>
      <c r="P346" s="1" t="str">
        <f>TEXT(WEEKDAY(ocupacao[[#This Row],[Data]]),"ddd")</f>
        <v>qua</v>
      </c>
      <c r="Q346" s="1">
        <f t="shared" si="5"/>
        <v>0</v>
      </c>
    </row>
    <row r="347" spans="1:17" x14ac:dyDescent="0.25">
      <c r="A347" s="2">
        <v>44741</v>
      </c>
      <c r="B347">
        <v>34</v>
      </c>
      <c r="C347">
        <v>9</v>
      </c>
      <c r="D347">
        <v>369</v>
      </c>
      <c r="E347">
        <v>14410</v>
      </c>
      <c r="F347" s="1" t="s">
        <v>307</v>
      </c>
      <c r="G347">
        <v>0</v>
      </c>
      <c r="H347">
        <v>0</v>
      </c>
      <c r="I347">
        <v>120</v>
      </c>
      <c r="J347">
        <v>120</v>
      </c>
      <c r="K347" s="33">
        <v>0</v>
      </c>
      <c r="L347" s="1"/>
      <c r="M347" s="1" t="str">
        <f>_xlfn.XLOOKUP(ocupacao[[#This Row],[UnidadeID]],unidades!$A:$A,unidades!$B:$B,"",0)</f>
        <v>São João</v>
      </c>
      <c r="N347" s="1" t="str">
        <f>_xlfn.XLOOKUP(ocupacao[[#This Row],[UnidadeID]],unidades!$A:$A,unidades!$C:$C,"",0)</f>
        <v>São João de Meriti</v>
      </c>
      <c r="O347" s="1" t="str">
        <f>_xlfn.XLOOKUP(ocupacao[[#This Row],[EspecialidadeID]],especialidades!$A:$A,especialidades!$B:$B,"",0)</f>
        <v>CLINICA GERAL</v>
      </c>
      <c r="P347" s="1" t="str">
        <f>TEXT(WEEKDAY(ocupacao[[#This Row],[Data]]),"ddd")</f>
        <v>qua</v>
      </c>
      <c r="Q347" s="1">
        <f t="shared" si="5"/>
        <v>0</v>
      </c>
    </row>
    <row r="348" spans="1:17" x14ac:dyDescent="0.25">
      <c r="A348" s="2">
        <v>44741</v>
      </c>
      <c r="B348">
        <v>0</v>
      </c>
      <c r="C348">
        <v>9</v>
      </c>
      <c r="D348">
        <v>341</v>
      </c>
      <c r="E348">
        <v>17862</v>
      </c>
      <c r="F348" s="1" t="s">
        <v>363</v>
      </c>
      <c r="G348">
        <v>0</v>
      </c>
      <c r="H348">
        <v>0</v>
      </c>
      <c r="I348">
        <v>72</v>
      </c>
      <c r="J348">
        <v>72</v>
      </c>
      <c r="K348" s="33">
        <v>0</v>
      </c>
      <c r="L348" s="1"/>
      <c r="M348" s="1" t="str">
        <f>_xlfn.XLOOKUP(ocupacao[[#This Row],[UnidadeID]],unidades!$A:$A,unidades!$B:$B,"",0)</f>
        <v>Matriz</v>
      </c>
      <c r="N348" s="1" t="str">
        <f>_xlfn.XLOOKUP(ocupacao[[#This Row],[UnidadeID]],unidades!$A:$A,unidades!$C:$C,"",0)</f>
        <v>Nova Iguaçu</v>
      </c>
      <c r="O348" s="1" t="str">
        <f>_xlfn.XLOOKUP(ocupacao[[#This Row],[EspecialidadeID]],especialidades!$A:$A,especialidades!$B:$B,"",0)</f>
        <v>CLINICA GERAL</v>
      </c>
      <c r="P348" s="1" t="str">
        <f>TEXT(WEEKDAY(ocupacao[[#This Row],[Data]]),"ddd")</f>
        <v>qua</v>
      </c>
      <c r="Q348" s="1">
        <f t="shared" si="5"/>
        <v>0</v>
      </c>
    </row>
    <row r="349" spans="1:17" x14ac:dyDescent="0.25">
      <c r="A349" s="2">
        <v>44742</v>
      </c>
      <c r="B349">
        <v>0</v>
      </c>
      <c r="C349">
        <v>9</v>
      </c>
      <c r="D349">
        <v>345</v>
      </c>
      <c r="E349">
        <v>66</v>
      </c>
      <c r="F349" s="1" t="s">
        <v>89</v>
      </c>
      <c r="G349">
        <v>0</v>
      </c>
      <c r="H349">
        <v>0</v>
      </c>
      <c r="I349">
        <v>64</v>
      </c>
      <c r="J349">
        <v>64</v>
      </c>
      <c r="K349" s="33">
        <v>0</v>
      </c>
      <c r="L349" s="1"/>
      <c r="M349" s="1" t="str">
        <f>_xlfn.XLOOKUP(ocupacao[[#This Row],[UnidadeID]],unidades!$A:$A,unidades!$B:$B,"",0)</f>
        <v>Matriz</v>
      </c>
      <c r="N349" s="1" t="str">
        <f>_xlfn.XLOOKUP(ocupacao[[#This Row],[UnidadeID]],unidades!$A:$A,unidades!$C:$C,"",0)</f>
        <v>Nova Iguaçu</v>
      </c>
      <c r="O349" s="1" t="str">
        <f>_xlfn.XLOOKUP(ocupacao[[#This Row],[EspecialidadeID]],especialidades!$A:$A,especialidades!$B:$B,"",0)</f>
        <v>CLINICA GERAL</v>
      </c>
      <c r="P349" s="1" t="str">
        <f>TEXT(WEEKDAY(ocupacao[[#This Row],[Data]]),"ddd")</f>
        <v>qui</v>
      </c>
      <c r="Q349" s="1">
        <f t="shared" si="5"/>
        <v>0</v>
      </c>
    </row>
    <row r="350" spans="1:17" x14ac:dyDescent="0.25">
      <c r="A350" s="2">
        <v>44742</v>
      </c>
      <c r="B350">
        <v>18</v>
      </c>
      <c r="C350">
        <v>9</v>
      </c>
      <c r="D350">
        <v>79</v>
      </c>
      <c r="E350">
        <v>9207</v>
      </c>
      <c r="F350" s="1" t="s">
        <v>118</v>
      </c>
      <c r="G350">
        <v>12</v>
      </c>
      <c r="H350">
        <v>0</v>
      </c>
      <c r="I350">
        <v>108</v>
      </c>
      <c r="J350">
        <v>120</v>
      </c>
      <c r="K350" s="33">
        <v>0.1</v>
      </c>
      <c r="L350" s="1"/>
      <c r="M350" s="1" t="str">
        <f>_xlfn.XLOOKUP(ocupacao[[#This Row],[UnidadeID]],unidades!$A:$A,unidades!$B:$B,"",0)</f>
        <v>Miguel Couto</v>
      </c>
      <c r="N350" s="1" t="str">
        <f>_xlfn.XLOOKUP(ocupacao[[#This Row],[UnidadeID]],unidades!$A:$A,unidades!$C:$C,"",0)</f>
        <v>Miguel Couto</v>
      </c>
      <c r="O350" s="1" t="str">
        <f>_xlfn.XLOOKUP(ocupacao[[#This Row],[EspecialidadeID]],especialidades!$A:$A,especialidades!$B:$B,"",0)</f>
        <v>CLINICA GERAL</v>
      </c>
      <c r="P350" s="1" t="str">
        <f>TEXT(WEEKDAY(ocupacao[[#This Row],[Data]]),"ddd")</f>
        <v>qui</v>
      </c>
      <c r="Q350" s="1">
        <f t="shared" si="5"/>
        <v>0</v>
      </c>
    </row>
    <row r="351" spans="1:17" x14ac:dyDescent="0.25">
      <c r="A351" s="2">
        <v>44742</v>
      </c>
      <c r="B351">
        <v>0</v>
      </c>
      <c r="C351">
        <v>9</v>
      </c>
      <c r="D351">
        <v>348</v>
      </c>
      <c r="E351">
        <v>11634</v>
      </c>
      <c r="F351" s="1" t="s">
        <v>102</v>
      </c>
      <c r="G351">
        <v>0</v>
      </c>
      <c r="H351">
        <v>0</v>
      </c>
      <c r="I351">
        <v>120</v>
      </c>
      <c r="J351">
        <v>120</v>
      </c>
      <c r="K351" s="33">
        <v>0</v>
      </c>
      <c r="L351" s="1"/>
      <c r="M351" s="1" t="str">
        <f>_xlfn.XLOOKUP(ocupacao[[#This Row],[UnidadeID]],unidades!$A:$A,unidades!$B:$B,"",0)</f>
        <v>Matriz</v>
      </c>
      <c r="N351" s="1" t="str">
        <f>_xlfn.XLOOKUP(ocupacao[[#This Row],[UnidadeID]],unidades!$A:$A,unidades!$C:$C,"",0)</f>
        <v>Nova Iguaçu</v>
      </c>
      <c r="O351" s="1" t="str">
        <f>_xlfn.XLOOKUP(ocupacao[[#This Row],[EspecialidadeID]],especialidades!$A:$A,especialidades!$B:$B,"",0)</f>
        <v>CLINICA GERAL</v>
      </c>
      <c r="P351" s="1" t="str">
        <f>TEXT(WEEKDAY(ocupacao[[#This Row],[Data]]),"ddd")</f>
        <v>qui</v>
      </c>
      <c r="Q351" s="1">
        <f t="shared" si="5"/>
        <v>0</v>
      </c>
    </row>
    <row r="352" spans="1:17" x14ac:dyDescent="0.25">
      <c r="A352" s="2">
        <v>44742</v>
      </c>
      <c r="B352">
        <v>0</v>
      </c>
      <c r="C352">
        <v>9</v>
      </c>
      <c r="D352">
        <v>345</v>
      </c>
      <c r="E352">
        <v>12482</v>
      </c>
      <c r="F352" s="1" t="s">
        <v>97</v>
      </c>
      <c r="G352">
        <v>0</v>
      </c>
      <c r="H352">
        <v>0</v>
      </c>
      <c r="I352">
        <v>60</v>
      </c>
      <c r="J352">
        <v>60</v>
      </c>
      <c r="K352" s="33">
        <v>0</v>
      </c>
      <c r="L352" s="1"/>
      <c r="M352" s="1" t="str">
        <f>_xlfn.XLOOKUP(ocupacao[[#This Row],[UnidadeID]],unidades!$A:$A,unidades!$B:$B,"",0)</f>
        <v>Matriz</v>
      </c>
      <c r="N352" s="1" t="str">
        <f>_xlfn.XLOOKUP(ocupacao[[#This Row],[UnidadeID]],unidades!$A:$A,unidades!$C:$C,"",0)</f>
        <v>Nova Iguaçu</v>
      </c>
      <c r="O352" s="1" t="str">
        <f>_xlfn.XLOOKUP(ocupacao[[#This Row],[EspecialidadeID]],especialidades!$A:$A,especialidades!$B:$B,"",0)</f>
        <v>CLINICA GERAL</v>
      </c>
      <c r="P352" s="1" t="str">
        <f>TEXT(WEEKDAY(ocupacao[[#This Row],[Data]]),"ddd")</f>
        <v>qui</v>
      </c>
      <c r="Q352" s="1">
        <f t="shared" si="5"/>
        <v>0</v>
      </c>
    </row>
    <row r="353" spans="1:17" x14ac:dyDescent="0.25">
      <c r="A353" s="2">
        <v>44742</v>
      </c>
      <c r="B353">
        <v>0</v>
      </c>
      <c r="C353">
        <v>9</v>
      </c>
      <c r="D353">
        <v>344</v>
      </c>
      <c r="E353">
        <v>13479</v>
      </c>
      <c r="F353" s="1" t="s">
        <v>103</v>
      </c>
      <c r="G353">
        <v>0</v>
      </c>
      <c r="H353">
        <v>0</v>
      </c>
      <c r="I353">
        <v>24</v>
      </c>
      <c r="J353">
        <v>24</v>
      </c>
      <c r="K353" s="33">
        <v>0</v>
      </c>
      <c r="L353" s="1"/>
      <c r="M353" s="1" t="str">
        <f>_xlfn.XLOOKUP(ocupacao[[#This Row],[UnidadeID]],unidades!$A:$A,unidades!$B:$B,"",0)</f>
        <v>Matriz</v>
      </c>
      <c r="N353" s="1" t="str">
        <f>_xlfn.XLOOKUP(ocupacao[[#This Row],[UnidadeID]],unidades!$A:$A,unidades!$C:$C,"",0)</f>
        <v>Nova Iguaçu</v>
      </c>
      <c r="O353" s="1" t="str">
        <f>_xlfn.XLOOKUP(ocupacao[[#This Row],[EspecialidadeID]],especialidades!$A:$A,especialidades!$B:$B,"",0)</f>
        <v>CLINICA GERAL</v>
      </c>
      <c r="P353" s="1" t="str">
        <f>TEXT(WEEKDAY(ocupacao[[#This Row],[Data]]),"ddd")</f>
        <v>qui</v>
      </c>
      <c r="Q353" s="1">
        <f t="shared" si="5"/>
        <v>0</v>
      </c>
    </row>
    <row r="354" spans="1:17" x14ac:dyDescent="0.25">
      <c r="A354" s="2">
        <v>44742</v>
      </c>
      <c r="B354">
        <v>24</v>
      </c>
      <c r="C354">
        <v>9</v>
      </c>
      <c r="D354">
        <v>61</v>
      </c>
      <c r="E354">
        <v>13487</v>
      </c>
      <c r="F354" s="1" t="s">
        <v>122</v>
      </c>
      <c r="G354">
        <v>0</v>
      </c>
      <c r="H354">
        <v>0</v>
      </c>
      <c r="I354">
        <v>120</v>
      </c>
      <c r="J354">
        <v>120</v>
      </c>
      <c r="K354" s="33">
        <v>0</v>
      </c>
      <c r="L354" s="1"/>
      <c r="M354" s="1" t="str">
        <f>_xlfn.XLOOKUP(ocupacao[[#This Row],[UnidadeID]],unidades!$A:$A,unidades!$B:$B,"",0)</f>
        <v>Nilópolis</v>
      </c>
      <c r="N354" s="1" t="str">
        <f>_xlfn.XLOOKUP(ocupacao[[#This Row],[UnidadeID]],unidades!$A:$A,unidades!$C:$C,"",0)</f>
        <v>Nilópolis</v>
      </c>
      <c r="O354" s="1" t="str">
        <f>_xlfn.XLOOKUP(ocupacao[[#This Row],[EspecialidadeID]],especialidades!$A:$A,especialidades!$B:$B,"",0)</f>
        <v>CLINICA GERAL</v>
      </c>
      <c r="P354" s="1" t="str">
        <f>TEXT(WEEKDAY(ocupacao[[#This Row],[Data]]),"ddd")</f>
        <v>qui</v>
      </c>
      <c r="Q354" s="1">
        <f t="shared" si="5"/>
        <v>0</v>
      </c>
    </row>
    <row r="355" spans="1:17" hidden="1" x14ac:dyDescent="0.25">
      <c r="A355" s="2"/>
      <c r="F355" s="1"/>
      <c r="K355" s="33"/>
      <c r="L355" s="1"/>
      <c r="M355" s="1"/>
      <c r="N355" s="1"/>
      <c r="O355" s="1"/>
      <c r="P355" s="1"/>
      <c r="Q355" s="1"/>
    </row>
    <row r="356" spans="1:17" x14ac:dyDescent="0.25">
      <c r="A356" s="2">
        <v>44742</v>
      </c>
      <c r="B356">
        <v>0</v>
      </c>
      <c r="C356">
        <v>9</v>
      </c>
      <c r="D356">
        <v>346</v>
      </c>
      <c r="E356">
        <v>13660</v>
      </c>
      <c r="F356" s="1" t="s">
        <v>112</v>
      </c>
      <c r="G356">
        <v>0</v>
      </c>
      <c r="H356">
        <v>0</v>
      </c>
      <c r="I356">
        <v>108</v>
      </c>
      <c r="J356">
        <v>108</v>
      </c>
      <c r="K356" s="33">
        <v>0</v>
      </c>
      <c r="L356" s="1"/>
      <c r="M356" s="1" t="str">
        <f>_xlfn.XLOOKUP(ocupacao[[#This Row],[UnidadeID]],unidades!$A:$A,unidades!$B:$B,"",0)</f>
        <v>Matriz</v>
      </c>
      <c r="N356" s="1" t="str">
        <f>_xlfn.XLOOKUP(ocupacao[[#This Row],[UnidadeID]],unidades!$A:$A,unidades!$C:$C,"",0)</f>
        <v>Nova Iguaçu</v>
      </c>
      <c r="O356" s="1" t="str">
        <f>_xlfn.XLOOKUP(ocupacao[[#This Row],[EspecialidadeID]],especialidades!$A:$A,especialidades!$B:$B,"",0)</f>
        <v>CLINICA GERAL</v>
      </c>
      <c r="P356" s="1" t="str">
        <f>TEXT(WEEKDAY(ocupacao[[#This Row],[Data]]),"ddd")</f>
        <v>qui</v>
      </c>
      <c r="Q356" s="1">
        <f t="shared" si="5"/>
        <v>0</v>
      </c>
    </row>
    <row r="357" spans="1:17" x14ac:dyDescent="0.25">
      <c r="A357" s="2">
        <v>44742</v>
      </c>
      <c r="B357">
        <v>34</v>
      </c>
      <c r="C357">
        <v>9</v>
      </c>
      <c r="D357">
        <v>369</v>
      </c>
      <c r="E357">
        <v>14410</v>
      </c>
      <c r="F357" s="1" t="s">
        <v>307</v>
      </c>
      <c r="G357">
        <v>0</v>
      </c>
      <c r="H357">
        <v>0</v>
      </c>
      <c r="I357">
        <v>120</v>
      </c>
      <c r="J357">
        <v>120</v>
      </c>
      <c r="K357" s="33">
        <v>0</v>
      </c>
      <c r="L357" s="1"/>
      <c r="M357" s="1" t="str">
        <f>_xlfn.XLOOKUP(ocupacao[[#This Row],[UnidadeID]],unidades!$A:$A,unidades!$B:$B,"",0)</f>
        <v>São João</v>
      </c>
      <c r="N357" s="1" t="str">
        <f>_xlfn.XLOOKUP(ocupacao[[#This Row],[UnidadeID]],unidades!$A:$A,unidades!$C:$C,"",0)</f>
        <v>São João de Meriti</v>
      </c>
      <c r="O357" s="1" t="str">
        <f>_xlfn.XLOOKUP(ocupacao[[#This Row],[EspecialidadeID]],especialidades!$A:$A,especialidades!$B:$B,"",0)</f>
        <v>CLINICA GERAL</v>
      </c>
      <c r="P357" s="1" t="str">
        <f>TEXT(WEEKDAY(ocupacao[[#This Row],[Data]]),"ddd")</f>
        <v>qui</v>
      </c>
      <c r="Q357" s="1">
        <f t="shared" si="5"/>
        <v>0</v>
      </c>
    </row>
    <row r="358" spans="1:17" x14ac:dyDescent="0.25">
      <c r="A358" s="2">
        <v>44743</v>
      </c>
      <c r="B358">
        <v>0</v>
      </c>
      <c r="C358">
        <v>9</v>
      </c>
      <c r="D358">
        <v>345</v>
      </c>
      <c r="E358">
        <v>66</v>
      </c>
      <c r="F358" s="1" t="s">
        <v>89</v>
      </c>
      <c r="G358">
        <v>0</v>
      </c>
      <c r="H358">
        <v>0</v>
      </c>
      <c r="I358">
        <v>78</v>
      </c>
      <c r="J358">
        <v>78</v>
      </c>
      <c r="K358" s="33">
        <v>0</v>
      </c>
      <c r="L358" s="1"/>
      <c r="M358" s="1" t="str">
        <f>_xlfn.XLOOKUP(ocupacao[[#This Row],[UnidadeID]],unidades!$A:$A,unidades!$B:$B,"",0)</f>
        <v>Matriz</v>
      </c>
      <c r="N358" s="1" t="str">
        <f>_xlfn.XLOOKUP(ocupacao[[#This Row],[UnidadeID]],unidades!$A:$A,unidades!$C:$C,"",0)</f>
        <v>Nova Iguaçu</v>
      </c>
      <c r="O358" s="1" t="str">
        <f>_xlfn.XLOOKUP(ocupacao[[#This Row],[EspecialidadeID]],especialidades!$A:$A,especialidades!$B:$B,"",0)</f>
        <v>CLINICA GERAL</v>
      </c>
      <c r="P358" s="1" t="str">
        <f>TEXT(WEEKDAY(ocupacao[[#This Row],[Data]]),"ddd")</f>
        <v>sex</v>
      </c>
      <c r="Q358" s="1">
        <f t="shared" si="5"/>
        <v>0</v>
      </c>
    </row>
    <row r="359" spans="1:17" x14ac:dyDescent="0.25">
      <c r="A359" s="2">
        <v>44743</v>
      </c>
      <c r="B359">
        <v>0</v>
      </c>
      <c r="C359">
        <v>9</v>
      </c>
      <c r="D359">
        <v>346</v>
      </c>
      <c r="E359">
        <v>9207</v>
      </c>
      <c r="F359" s="1" t="s">
        <v>118</v>
      </c>
      <c r="G359">
        <v>12</v>
      </c>
      <c r="H359">
        <v>0</v>
      </c>
      <c r="I359">
        <v>96</v>
      </c>
      <c r="J359">
        <v>108</v>
      </c>
      <c r="K359" s="33">
        <v>0.1111</v>
      </c>
      <c r="L359" s="1"/>
      <c r="M359" s="1" t="str">
        <f>_xlfn.XLOOKUP(ocupacao[[#This Row],[UnidadeID]],unidades!$A:$A,unidades!$B:$B,"",0)</f>
        <v>Matriz</v>
      </c>
      <c r="N359" s="1" t="str">
        <f>_xlfn.XLOOKUP(ocupacao[[#This Row],[UnidadeID]],unidades!$A:$A,unidades!$C:$C,"",0)</f>
        <v>Nova Iguaçu</v>
      </c>
      <c r="O359" s="1" t="str">
        <f>_xlfn.XLOOKUP(ocupacao[[#This Row],[EspecialidadeID]],especialidades!$A:$A,especialidades!$B:$B,"",0)</f>
        <v>CLINICA GERAL</v>
      </c>
      <c r="P359" s="1" t="str">
        <f>TEXT(WEEKDAY(ocupacao[[#This Row],[Data]]),"ddd")</f>
        <v>sex</v>
      </c>
      <c r="Q359" s="1">
        <f t="shared" si="5"/>
        <v>0</v>
      </c>
    </row>
    <row r="360" spans="1:17" hidden="1" x14ac:dyDescent="0.25">
      <c r="A360" s="2">
        <v>44743</v>
      </c>
      <c r="B360">
        <v>0</v>
      </c>
      <c r="C360">
        <v>9</v>
      </c>
      <c r="D360">
        <v>339</v>
      </c>
      <c r="E360">
        <v>9654</v>
      </c>
      <c r="F360" s="1" t="s">
        <v>139</v>
      </c>
      <c r="G360">
        <v>0</v>
      </c>
      <c r="H360">
        <v>0</v>
      </c>
      <c r="I360">
        <v>132</v>
      </c>
      <c r="J360">
        <v>132</v>
      </c>
      <c r="K360" s="33">
        <v>0</v>
      </c>
      <c r="L360" s="1"/>
      <c r="M360" s="1"/>
      <c r="N360" s="1"/>
      <c r="O360" s="1"/>
      <c r="P360" s="1"/>
      <c r="Q360" s="1"/>
    </row>
    <row r="361" spans="1:17" x14ac:dyDescent="0.25">
      <c r="A361" s="2">
        <v>44743</v>
      </c>
      <c r="B361">
        <v>0</v>
      </c>
      <c r="C361">
        <v>9</v>
      </c>
      <c r="D361">
        <v>346</v>
      </c>
      <c r="E361">
        <v>11634</v>
      </c>
      <c r="F361" s="1" t="s">
        <v>102</v>
      </c>
      <c r="G361">
        <v>0</v>
      </c>
      <c r="H361">
        <v>0</v>
      </c>
      <c r="I361">
        <v>48</v>
      </c>
      <c r="J361">
        <v>48</v>
      </c>
      <c r="K361" s="33">
        <v>0</v>
      </c>
      <c r="L361" s="1"/>
      <c r="M361" s="1" t="str">
        <f>_xlfn.XLOOKUP(ocupacao[[#This Row],[UnidadeID]],unidades!$A:$A,unidades!$B:$B,"",0)</f>
        <v>Matriz</v>
      </c>
      <c r="N361" s="1" t="str">
        <f>_xlfn.XLOOKUP(ocupacao[[#This Row],[UnidadeID]],unidades!$A:$A,unidades!$C:$C,"",0)</f>
        <v>Nova Iguaçu</v>
      </c>
      <c r="O361" s="1" t="str">
        <f>_xlfn.XLOOKUP(ocupacao[[#This Row],[EspecialidadeID]],especialidades!$A:$A,especialidades!$B:$B,"",0)</f>
        <v>CLINICA GERAL</v>
      </c>
      <c r="P361" s="1" t="str">
        <f>TEXT(WEEKDAY(ocupacao[[#This Row],[Data]]),"ddd")</f>
        <v>sex</v>
      </c>
      <c r="Q361" s="1">
        <f t="shared" si="5"/>
        <v>0</v>
      </c>
    </row>
    <row r="362" spans="1:17" x14ac:dyDescent="0.25">
      <c r="A362" s="2">
        <v>44743</v>
      </c>
      <c r="B362">
        <v>18</v>
      </c>
      <c r="C362">
        <v>9</v>
      </c>
      <c r="D362">
        <v>79</v>
      </c>
      <c r="E362">
        <v>13295</v>
      </c>
      <c r="F362" s="1" t="s">
        <v>98</v>
      </c>
      <c r="G362">
        <v>0</v>
      </c>
      <c r="H362">
        <v>0</v>
      </c>
      <c r="I362">
        <v>120</v>
      </c>
      <c r="J362">
        <v>120</v>
      </c>
      <c r="K362" s="33">
        <v>0</v>
      </c>
      <c r="L362" s="1"/>
      <c r="M362" s="1" t="str">
        <f>_xlfn.XLOOKUP(ocupacao[[#This Row],[UnidadeID]],unidades!$A:$A,unidades!$B:$B,"",0)</f>
        <v>Miguel Couto</v>
      </c>
      <c r="N362" s="1" t="str">
        <f>_xlfn.XLOOKUP(ocupacao[[#This Row],[UnidadeID]],unidades!$A:$A,unidades!$C:$C,"",0)</f>
        <v>Miguel Couto</v>
      </c>
      <c r="O362" s="1" t="str">
        <f>_xlfn.XLOOKUP(ocupacao[[#This Row],[EspecialidadeID]],especialidades!$A:$A,especialidades!$B:$B,"",0)</f>
        <v>CLINICA GERAL</v>
      </c>
      <c r="P362" s="1" t="str">
        <f>TEXT(WEEKDAY(ocupacao[[#This Row],[Data]]),"ddd")</f>
        <v>sex</v>
      </c>
      <c r="Q362" s="1">
        <f t="shared" si="5"/>
        <v>0</v>
      </c>
    </row>
    <row r="363" spans="1:17" x14ac:dyDescent="0.25">
      <c r="A363" s="2">
        <v>44743</v>
      </c>
      <c r="B363">
        <v>33</v>
      </c>
      <c r="C363">
        <v>9</v>
      </c>
      <c r="D363">
        <v>15</v>
      </c>
      <c r="E363">
        <v>13660</v>
      </c>
      <c r="F363" s="1" t="s">
        <v>112</v>
      </c>
      <c r="G363">
        <v>0</v>
      </c>
      <c r="H363">
        <v>2</v>
      </c>
      <c r="I363">
        <v>0</v>
      </c>
      <c r="J363">
        <v>2</v>
      </c>
      <c r="K363" s="33">
        <v>1</v>
      </c>
      <c r="L363" s="1"/>
      <c r="M363" s="1" t="str">
        <f>_xlfn.XLOOKUP(ocupacao[[#This Row],[UnidadeID]],unidades!$A:$A,unidades!$B:$B,"",0)</f>
        <v>Seggastro</v>
      </c>
      <c r="N363" s="1" t="str">
        <f>_xlfn.XLOOKUP(ocupacao[[#This Row],[UnidadeID]],unidades!$A:$A,unidades!$C:$C,"",0)</f>
        <v>Nova Iguaçu</v>
      </c>
      <c r="O363" s="1" t="str">
        <f>_xlfn.XLOOKUP(ocupacao[[#This Row],[EspecialidadeID]],especialidades!$A:$A,especialidades!$B:$B,"",0)</f>
        <v>CLINICA GERAL</v>
      </c>
      <c r="P363" s="1" t="str">
        <f>TEXT(WEEKDAY(ocupacao[[#This Row],[Data]]),"ddd")</f>
        <v>sex</v>
      </c>
      <c r="Q363" s="1">
        <f t="shared" si="5"/>
        <v>0</v>
      </c>
    </row>
    <row r="364" spans="1:17" hidden="1" x14ac:dyDescent="0.25">
      <c r="A364" s="2"/>
      <c r="F364" s="1"/>
      <c r="K364" s="33"/>
      <c r="L364" s="1"/>
      <c r="M364" s="1"/>
      <c r="N364" s="1"/>
      <c r="O364" s="1"/>
      <c r="P364" s="1"/>
      <c r="Q364" s="1"/>
    </row>
    <row r="365" spans="1:17" x14ac:dyDescent="0.25">
      <c r="A365" s="2">
        <v>44743</v>
      </c>
      <c r="B365">
        <v>33</v>
      </c>
      <c r="C365">
        <v>9</v>
      </c>
      <c r="D365">
        <v>368</v>
      </c>
      <c r="E365">
        <v>13660</v>
      </c>
      <c r="F365" s="1" t="s">
        <v>112</v>
      </c>
      <c r="G365">
        <v>0</v>
      </c>
      <c r="H365">
        <v>0</v>
      </c>
      <c r="I365">
        <v>13</v>
      </c>
      <c r="J365">
        <v>13</v>
      </c>
      <c r="K365" s="33">
        <v>0</v>
      </c>
      <c r="L365" s="1"/>
      <c r="M365" s="1" t="str">
        <f>_xlfn.XLOOKUP(ocupacao[[#This Row],[UnidadeID]],unidades!$A:$A,unidades!$B:$B,"",0)</f>
        <v>Seggastro</v>
      </c>
      <c r="N365" s="1" t="str">
        <f>_xlfn.XLOOKUP(ocupacao[[#This Row],[UnidadeID]],unidades!$A:$A,unidades!$C:$C,"",0)</f>
        <v>Nova Iguaçu</v>
      </c>
      <c r="O365" s="1" t="str">
        <f>_xlfn.XLOOKUP(ocupacao[[#This Row],[EspecialidadeID]],especialidades!$A:$A,especialidades!$B:$B,"",0)</f>
        <v>CLINICA GERAL</v>
      </c>
      <c r="P365" s="1" t="str">
        <f>TEXT(WEEKDAY(ocupacao[[#This Row],[Data]]),"ddd")</f>
        <v>sex</v>
      </c>
      <c r="Q365" s="1">
        <f t="shared" si="5"/>
        <v>0</v>
      </c>
    </row>
    <row r="366" spans="1:17" x14ac:dyDescent="0.25">
      <c r="A366" s="2">
        <v>44743</v>
      </c>
      <c r="B366">
        <v>34</v>
      </c>
      <c r="C366">
        <v>9</v>
      </c>
      <c r="D366">
        <v>369</v>
      </c>
      <c r="E366">
        <v>14110</v>
      </c>
      <c r="F366" s="1" t="s">
        <v>308</v>
      </c>
      <c r="G366">
        <v>0</v>
      </c>
      <c r="H366">
        <v>0</v>
      </c>
      <c r="I366">
        <v>120</v>
      </c>
      <c r="J366">
        <v>120</v>
      </c>
      <c r="K366" s="33">
        <v>0</v>
      </c>
      <c r="L366" s="1"/>
      <c r="M366" s="1" t="str">
        <f>_xlfn.XLOOKUP(ocupacao[[#This Row],[UnidadeID]],unidades!$A:$A,unidades!$B:$B,"",0)</f>
        <v>São João</v>
      </c>
      <c r="N366" s="1" t="str">
        <f>_xlfn.XLOOKUP(ocupacao[[#This Row],[UnidadeID]],unidades!$A:$A,unidades!$C:$C,"",0)</f>
        <v>São João de Meriti</v>
      </c>
      <c r="O366" s="1" t="str">
        <f>_xlfn.XLOOKUP(ocupacao[[#This Row],[EspecialidadeID]],especialidades!$A:$A,especialidades!$B:$B,"",0)</f>
        <v>CLINICA GERAL</v>
      </c>
      <c r="P366" s="1" t="str">
        <f>TEXT(WEEKDAY(ocupacao[[#This Row],[Data]]),"ddd")</f>
        <v>sex</v>
      </c>
      <c r="Q366" s="1">
        <f t="shared" si="5"/>
        <v>0</v>
      </c>
    </row>
    <row r="367" spans="1:17" hidden="1" x14ac:dyDescent="0.25">
      <c r="A367" s="2"/>
      <c r="F367" s="1"/>
      <c r="K367" s="33"/>
      <c r="L367" s="1"/>
      <c r="M367" s="1"/>
      <c r="N367" s="1"/>
      <c r="O367" s="1"/>
      <c r="P367" s="1"/>
      <c r="Q367" s="1"/>
    </row>
    <row r="368" spans="1:17" x14ac:dyDescent="0.25">
      <c r="A368" s="2">
        <v>44743</v>
      </c>
      <c r="B368">
        <v>24</v>
      </c>
      <c r="C368">
        <v>9</v>
      </c>
      <c r="D368">
        <v>60</v>
      </c>
      <c r="E368">
        <v>17955</v>
      </c>
      <c r="F368" s="1" t="s">
        <v>367</v>
      </c>
      <c r="G368">
        <v>0</v>
      </c>
      <c r="H368">
        <v>0</v>
      </c>
      <c r="I368">
        <v>120</v>
      </c>
      <c r="J368">
        <v>120</v>
      </c>
      <c r="K368" s="33">
        <v>0</v>
      </c>
      <c r="L368" s="1"/>
      <c r="M368" s="1" t="str">
        <f>_xlfn.XLOOKUP(ocupacao[[#This Row],[UnidadeID]],unidades!$A:$A,unidades!$B:$B,"",0)</f>
        <v>Nilópolis</v>
      </c>
      <c r="N368" s="1" t="str">
        <f>_xlfn.XLOOKUP(ocupacao[[#This Row],[UnidadeID]],unidades!$A:$A,unidades!$C:$C,"",0)</f>
        <v>Nilópolis</v>
      </c>
      <c r="O368" s="1" t="str">
        <f>_xlfn.XLOOKUP(ocupacao[[#This Row],[EspecialidadeID]],especialidades!$A:$A,especialidades!$B:$B,"",0)</f>
        <v>CLINICA GERAL</v>
      </c>
      <c r="P368" s="1" t="str">
        <f>TEXT(WEEKDAY(ocupacao[[#This Row],[Data]]),"ddd")</f>
        <v>sex</v>
      </c>
      <c r="Q368" s="1">
        <f t="shared" si="5"/>
        <v>0</v>
      </c>
    </row>
    <row r="369" spans="1:17" x14ac:dyDescent="0.25">
      <c r="A369" s="2"/>
      <c r="F369" s="1" t="s">
        <v>106</v>
      </c>
      <c r="K369" s="33"/>
      <c r="L369" s="1"/>
      <c r="M369" s="1">
        <f>_xlfn.XLOOKUP(ocupacao[[#This Row],[UnidadeID]],unidades!$A:$A,unidades!$B:$B,"",0)</f>
        <v>0</v>
      </c>
      <c r="N369" s="1">
        <f>_xlfn.XLOOKUP(ocupacao[[#This Row],[UnidadeID]],unidades!$A:$A,unidades!$C:$C,"",0)</f>
        <v>0</v>
      </c>
      <c r="O369" s="1">
        <f>_xlfn.XLOOKUP(ocupacao[[#This Row],[EspecialidadeID]],especialidades!$A:$A,especialidades!$B:$B,"",0)</f>
        <v>0</v>
      </c>
      <c r="P369" s="1" t="str">
        <f>TEXT(WEEKDAY(ocupacao[[#This Row],[Data]]),"ddd")</f>
        <v>sáb</v>
      </c>
      <c r="Q369" s="1">
        <f t="shared" si="5"/>
        <v>0</v>
      </c>
    </row>
    <row r="370" spans="1:17" x14ac:dyDescent="0.25">
      <c r="A370" s="2">
        <v>44734</v>
      </c>
      <c r="B370">
        <v>11</v>
      </c>
      <c r="C370">
        <v>10</v>
      </c>
      <c r="D370">
        <v>15</v>
      </c>
      <c r="E370">
        <v>10785</v>
      </c>
      <c r="F370" s="1" t="s">
        <v>96</v>
      </c>
      <c r="G370">
        <v>0</v>
      </c>
      <c r="H370">
        <v>24</v>
      </c>
      <c r="I370">
        <v>0</v>
      </c>
      <c r="J370">
        <v>24</v>
      </c>
      <c r="K370" s="33">
        <v>1</v>
      </c>
      <c r="L370" s="1"/>
      <c r="M370" s="1" t="str">
        <f>_xlfn.XLOOKUP(ocupacao[[#This Row],[UnidadeID]],unidades!$A:$A,unidades!$B:$B,"",0)</f>
        <v>Filial 2 - 11º</v>
      </c>
      <c r="N370" s="1" t="str">
        <f>_xlfn.XLOOKUP(ocupacao[[#This Row],[UnidadeID]],unidades!$A:$A,unidades!$C:$C,"",0)</f>
        <v>Nova Iguaçu</v>
      </c>
      <c r="O370" s="1" t="str">
        <f>_xlfn.XLOOKUP(ocupacao[[#This Row],[EspecialidadeID]],especialidades!$A:$A,especialidades!$B:$B,"",0)</f>
        <v>ALERGOLOGIA</v>
      </c>
      <c r="P370" s="1" t="str">
        <f>TEXT(WEEKDAY(ocupacao[[#This Row],[Data]]),"ddd")</f>
        <v>qua</v>
      </c>
      <c r="Q370" s="1">
        <f t="shared" si="5"/>
        <v>0</v>
      </c>
    </row>
    <row r="371" spans="1:17" hidden="1" x14ac:dyDescent="0.25">
      <c r="A371" s="2"/>
      <c r="F371" s="1"/>
      <c r="K371" s="33"/>
      <c r="L371" s="1"/>
      <c r="M371" s="1"/>
      <c r="N371" s="1"/>
      <c r="O371" s="1"/>
      <c r="P371" s="1"/>
      <c r="Q371" s="1"/>
    </row>
    <row r="372" spans="1:17" x14ac:dyDescent="0.25">
      <c r="A372" s="2">
        <v>44735</v>
      </c>
      <c r="B372">
        <v>11</v>
      </c>
      <c r="C372">
        <v>10</v>
      </c>
      <c r="D372">
        <v>17</v>
      </c>
      <c r="E372">
        <v>17858</v>
      </c>
      <c r="F372" s="1" t="s">
        <v>310</v>
      </c>
      <c r="G372">
        <v>0</v>
      </c>
      <c r="H372">
        <v>35</v>
      </c>
      <c r="I372">
        <v>1</v>
      </c>
      <c r="J372">
        <v>36</v>
      </c>
      <c r="K372" s="33">
        <v>0.97219999999999995</v>
      </c>
      <c r="L372" s="1"/>
      <c r="M372" s="1" t="str">
        <f>_xlfn.XLOOKUP(ocupacao[[#This Row],[UnidadeID]],unidades!$A:$A,unidades!$B:$B,"",0)</f>
        <v>Filial 2 - 11º</v>
      </c>
      <c r="N372" s="1" t="str">
        <f>_xlfn.XLOOKUP(ocupacao[[#This Row],[UnidadeID]],unidades!$A:$A,unidades!$C:$C,"",0)</f>
        <v>Nova Iguaçu</v>
      </c>
      <c r="O372" s="1" t="str">
        <f>_xlfn.XLOOKUP(ocupacao[[#This Row],[EspecialidadeID]],especialidades!$A:$A,especialidades!$B:$B,"",0)</f>
        <v>ALERGOLOGIA</v>
      </c>
      <c r="P372" s="1" t="str">
        <f>TEXT(WEEKDAY(ocupacao[[#This Row],[Data]]),"ddd")</f>
        <v>qui</v>
      </c>
      <c r="Q372" s="1">
        <f t="shared" si="5"/>
        <v>0</v>
      </c>
    </row>
    <row r="373" spans="1:17" hidden="1" x14ac:dyDescent="0.25">
      <c r="A373" s="2">
        <v>44741</v>
      </c>
      <c r="B373">
        <v>11</v>
      </c>
      <c r="C373">
        <v>10</v>
      </c>
      <c r="D373">
        <v>15</v>
      </c>
      <c r="E373">
        <v>10785</v>
      </c>
      <c r="F373" s="1" t="s">
        <v>96</v>
      </c>
      <c r="G373">
        <v>0</v>
      </c>
      <c r="H373">
        <v>23</v>
      </c>
      <c r="I373">
        <v>0</v>
      </c>
      <c r="J373">
        <v>23</v>
      </c>
      <c r="K373" s="33">
        <v>1</v>
      </c>
      <c r="L373" s="1"/>
      <c r="M373" s="1"/>
      <c r="N373" s="1"/>
      <c r="O373" s="1"/>
      <c r="P373" s="1"/>
      <c r="Q373" s="1"/>
    </row>
    <row r="374" spans="1:17" x14ac:dyDescent="0.25">
      <c r="A374" s="2">
        <v>44742</v>
      </c>
      <c r="B374">
        <v>11</v>
      </c>
      <c r="C374">
        <v>10</v>
      </c>
      <c r="D374">
        <v>17</v>
      </c>
      <c r="E374">
        <v>17858</v>
      </c>
      <c r="F374" s="1" t="s">
        <v>310</v>
      </c>
      <c r="G374">
        <v>0</v>
      </c>
      <c r="H374">
        <v>34</v>
      </c>
      <c r="I374">
        <v>0</v>
      </c>
      <c r="J374">
        <v>34</v>
      </c>
      <c r="K374" s="33">
        <v>1</v>
      </c>
      <c r="L374" s="1"/>
      <c r="M374" s="1" t="str">
        <f>_xlfn.XLOOKUP(ocupacao[[#This Row],[UnidadeID]],unidades!$A:$A,unidades!$B:$B,"",0)</f>
        <v>Filial 2 - 11º</v>
      </c>
      <c r="N374" s="1" t="str">
        <f>_xlfn.XLOOKUP(ocupacao[[#This Row],[UnidadeID]],unidades!$A:$A,unidades!$C:$C,"",0)</f>
        <v>Nova Iguaçu</v>
      </c>
      <c r="O374" s="1" t="str">
        <f>_xlfn.XLOOKUP(ocupacao[[#This Row],[EspecialidadeID]],especialidades!$A:$A,especialidades!$B:$B,"",0)</f>
        <v>ALERGOLOGIA</v>
      </c>
      <c r="P374" s="1" t="str">
        <f>TEXT(WEEKDAY(ocupacao[[#This Row],[Data]]),"ddd")</f>
        <v>qui</v>
      </c>
      <c r="Q374" s="1">
        <f t="shared" si="5"/>
        <v>0</v>
      </c>
    </row>
    <row r="375" spans="1:17" x14ac:dyDescent="0.25">
      <c r="A375" s="2"/>
      <c r="F375" s="1" t="s">
        <v>106</v>
      </c>
      <c r="K375" s="33"/>
      <c r="L375" s="1"/>
      <c r="M375" s="1">
        <f>_xlfn.XLOOKUP(ocupacao[[#This Row],[UnidadeID]],unidades!$A:$A,unidades!$B:$B,"",0)</f>
        <v>0</v>
      </c>
      <c r="N375" s="1">
        <f>_xlfn.XLOOKUP(ocupacao[[#This Row],[UnidadeID]],unidades!$A:$A,unidades!$C:$C,"",0)</f>
        <v>0</v>
      </c>
      <c r="O375" s="1">
        <f>_xlfn.XLOOKUP(ocupacao[[#This Row],[EspecialidadeID]],especialidades!$A:$A,especialidades!$B:$B,"",0)</f>
        <v>0</v>
      </c>
      <c r="P375" s="1" t="str">
        <f>TEXT(WEEKDAY(ocupacao[[#This Row],[Data]]),"ddd")</f>
        <v>sáb</v>
      </c>
      <c r="Q375" s="1">
        <f t="shared" si="5"/>
        <v>0</v>
      </c>
    </row>
    <row r="376" spans="1:17" x14ac:dyDescent="0.25">
      <c r="A376" s="2">
        <v>44733</v>
      </c>
      <c r="B376">
        <v>24</v>
      </c>
      <c r="C376">
        <v>11</v>
      </c>
      <c r="D376">
        <v>62</v>
      </c>
      <c r="E376">
        <v>12582</v>
      </c>
      <c r="F376" s="1" t="s">
        <v>324</v>
      </c>
      <c r="G376">
        <v>4</v>
      </c>
      <c r="H376">
        <v>0</v>
      </c>
      <c r="I376">
        <v>18</v>
      </c>
      <c r="J376">
        <v>22</v>
      </c>
      <c r="K376" s="33">
        <v>0.18179999999999999</v>
      </c>
      <c r="L376" s="1"/>
      <c r="M376" s="1" t="str">
        <f>_xlfn.XLOOKUP(ocupacao[[#This Row],[UnidadeID]],unidades!$A:$A,unidades!$B:$B,"",0)</f>
        <v>Nilópolis</v>
      </c>
      <c r="N376" s="1" t="str">
        <f>_xlfn.XLOOKUP(ocupacao[[#This Row],[UnidadeID]],unidades!$A:$A,unidades!$C:$C,"",0)</f>
        <v>Nilópolis</v>
      </c>
      <c r="O376" s="1" t="str">
        <f>_xlfn.XLOOKUP(ocupacao[[#This Row],[EspecialidadeID]],especialidades!$A:$A,especialidades!$B:$B,"",0)</f>
        <v>ANGIOLOGIA</v>
      </c>
      <c r="P376" s="1" t="str">
        <f>TEXT(WEEKDAY(ocupacao[[#This Row],[Data]]),"ddd")</f>
        <v>ter</v>
      </c>
      <c r="Q376" s="1">
        <f t="shared" si="5"/>
        <v>1</v>
      </c>
    </row>
    <row r="377" spans="1:17" x14ac:dyDescent="0.25">
      <c r="A377" s="2">
        <v>44733</v>
      </c>
      <c r="B377">
        <v>24</v>
      </c>
      <c r="C377">
        <v>11</v>
      </c>
      <c r="D377">
        <v>62</v>
      </c>
      <c r="E377">
        <v>12582</v>
      </c>
      <c r="F377" s="1" t="s">
        <v>324</v>
      </c>
      <c r="G377">
        <v>4</v>
      </c>
      <c r="H377">
        <v>10</v>
      </c>
      <c r="I377">
        <v>18</v>
      </c>
      <c r="J377">
        <v>32</v>
      </c>
      <c r="K377" s="33">
        <v>0.4375</v>
      </c>
      <c r="L377" s="1"/>
      <c r="M377" s="1" t="str">
        <f>_xlfn.XLOOKUP(ocupacao[[#This Row],[UnidadeID]],unidades!$A:$A,unidades!$B:$B,"",0)</f>
        <v>Nilópolis</v>
      </c>
      <c r="N377" s="1" t="str">
        <f>_xlfn.XLOOKUP(ocupacao[[#This Row],[UnidadeID]],unidades!$A:$A,unidades!$C:$C,"",0)</f>
        <v>Nilópolis</v>
      </c>
      <c r="O377" s="1" t="str">
        <f>_xlfn.XLOOKUP(ocupacao[[#This Row],[EspecialidadeID]],especialidades!$A:$A,especialidades!$B:$B,"",0)</f>
        <v>ANGIOLOGIA</v>
      </c>
      <c r="P377" s="1" t="str">
        <f>TEXT(WEEKDAY(ocupacao[[#This Row],[Data]]),"ddd")</f>
        <v>ter</v>
      </c>
      <c r="Q377" s="1">
        <f t="shared" si="5"/>
        <v>0</v>
      </c>
    </row>
    <row r="378" spans="1:17" hidden="1" x14ac:dyDescent="0.25">
      <c r="A378" s="2"/>
      <c r="F378" s="1"/>
      <c r="K378" s="33"/>
      <c r="L378" s="1"/>
      <c r="M378" s="1"/>
      <c r="N378" s="1"/>
      <c r="O378" s="1"/>
      <c r="P378" s="1"/>
      <c r="Q378" s="1"/>
    </row>
    <row r="379" spans="1:17" x14ac:dyDescent="0.25">
      <c r="A379" s="2">
        <v>44733</v>
      </c>
      <c r="B379">
        <v>11</v>
      </c>
      <c r="C379">
        <v>11</v>
      </c>
      <c r="D379">
        <v>15</v>
      </c>
      <c r="E379">
        <v>17859</v>
      </c>
      <c r="F379" s="1" t="s">
        <v>136</v>
      </c>
      <c r="G379">
        <v>0</v>
      </c>
      <c r="H379">
        <v>11</v>
      </c>
      <c r="I379">
        <v>9</v>
      </c>
      <c r="J379">
        <v>20</v>
      </c>
      <c r="K379" s="33">
        <v>0.55000000000000004</v>
      </c>
      <c r="L379" s="1"/>
      <c r="M379" s="1" t="str">
        <f>_xlfn.XLOOKUP(ocupacao[[#This Row],[UnidadeID]],unidades!$A:$A,unidades!$B:$B,"",0)</f>
        <v>Filial 2 - 11º</v>
      </c>
      <c r="N379" s="1" t="str">
        <f>_xlfn.XLOOKUP(ocupacao[[#This Row],[UnidadeID]],unidades!$A:$A,unidades!$C:$C,"",0)</f>
        <v>Nova Iguaçu</v>
      </c>
      <c r="O379" s="1" t="str">
        <f>_xlfn.XLOOKUP(ocupacao[[#This Row],[EspecialidadeID]],especialidades!$A:$A,especialidades!$B:$B,"",0)</f>
        <v>ANGIOLOGIA</v>
      </c>
      <c r="P379" s="1" t="str">
        <f>TEXT(WEEKDAY(ocupacao[[#This Row],[Data]]),"ddd")</f>
        <v>ter</v>
      </c>
      <c r="Q379" s="1">
        <f t="shared" si="5"/>
        <v>1</v>
      </c>
    </row>
    <row r="380" spans="1:17" x14ac:dyDescent="0.25">
      <c r="A380" s="2">
        <v>44733</v>
      </c>
      <c r="B380">
        <v>22</v>
      </c>
      <c r="C380">
        <v>11</v>
      </c>
      <c r="D380">
        <v>43</v>
      </c>
      <c r="E380">
        <v>17859</v>
      </c>
      <c r="F380" s="1" t="s">
        <v>136</v>
      </c>
      <c r="G380">
        <v>0</v>
      </c>
      <c r="H380">
        <v>7</v>
      </c>
      <c r="I380">
        <v>9</v>
      </c>
      <c r="J380">
        <v>16</v>
      </c>
      <c r="K380" s="33">
        <v>0.4375</v>
      </c>
      <c r="L380" s="1"/>
      <c r="M380" s="1" t="str">
        <f>_xlfn.XLOOKUP(ocupacao[[#This Row],[UnidadeID]],unidades!$A:$A,unidades!$B:$B,"",0)</f>
        <v>Filial 1</v>
      </c>
      <c r="N380" s="1" t="str">
        <f>_xlfn.XLOOKUP(ocupacao[[#This Row],[UnidadeID]],unidades!$A:$A,unidades!$C:$C,"",0)</f>
        <v>Nova Iguaçu</v>
      </c>
      <c r="O380" s="1" t="str">
        <f>_xlfn.XLOOKUP(ocupacao[[#This Row],[EspecialidadeID]],especialidades!$A:$A,especialidades!$B:$B,"",0)</f>
        <v>ANGIOLOGIA</v>
      </c>
      <c r="P380" s="1" t="str">
        <f>TEXT(WEEKDAY(ocupacao[[#This Row],[Data]]),"ddd")</f>
        <v>ter</v>
      </c>
      <c r="Q380" s="1">
        <f t="shared" si="5"/>
        <v>0</v>
      </c>
    </row>
    <row r="381" spans="1:17" hidden="1" x14ac:dyDescent="0.25">
      <c r="A381" s="2"/>
      <c r="F381" s="1"/>
      <c r="K381" s="33"/>
      <c r="L381" s="1"/>
      <c r="M381" s="1"/>
      <c r="N381" s="1"/>
      <c r="O381" s="1"/>
      <c r="P381" s="1"/>
      <c r="Q381" s="1"/>
    </row>
    <row r="382" spans="1:17" x14ac:dyDescent="0.25">
      <c r="A382" s="2">
        <v>44734</v>
      </c>
      <c r="B382">
        <v>11</v>
      </c>
      <c r="C382">
        <v>11</v>
      </c>
      <c r="D382">
        <v>17</v>
      </c>
      <c r="E382">
        <v>17931</v>
      </c>
      <c r="F382" s="1" t="s">
        <v>325</v>
      </c>
      <c r="G382">
        <v>0</v>
      </c>
      <c r="H382">
        <v>15</v>
      </c>
      <c r="I382">
        <v>23</v>
      </c>
      <c r="J382">
        <v>38</v>
      </c>
      <c r="K382" s="33">
        <v>0.3947</v>
      </c>
      <c r="L382" s="1"/>
      <c r="M382" s="1" t="str">
        <f>_xlfn.XLOOKUP(ocupacao[[#This Row],[UnidadeID]],unidades!$A:$A,unidades!$B:$B,"",0)</f>
        <v>Filial 2 - 11º</v>
      </c>
      <c r="N382" s="1" t="str">
        <f>_xlfn.XLOOKUP(ocupacao[[#This Row],[UnidadeID]],unidades!$A:$A,unidades!$C:$C,"",0)</f>
        <v>Nova Iguaçu</v>
      </c>
      <c r="O382" s="1" t="str">
        <f>_xlfn.XLOOKUP(ocupacao[[#This Row],[EspecialidadeID]],especialidades!$A:$A,especialidades!$B:$B,"",0)</f>
        <v>ANGIOLOGIA</v>
      </c>
      <c r="P382" s="1" t="str">
        <f>TEXT(WEEKDAY(ocupacao[[#This Row],[Data]]),"ddd")</f>
        <v>qua</v>
      </c>
      <c r="Q382" s="1">
        <f t="shared" si="5"/>
        <v>0</v>
      </c>
    </row>
    <row r="383" spans="1:17" hidden="1" x14ac:dyDescent="0.25">
      <c r="A383" s="2">
        <v>44735</v>
      </c>
      <c r="B383">
        <v>11</v>
      </c>
      <c r="C383">
        <v>11</v>
      </c>
      <c r="D383">
        <v>15</v>
      </c>
      <c r="E383">
        <v>12582</v>
      </c>
      <c r="F383" s="1" t="s">
        <v>324</v>
      </c>
      <c r="G383">
        <v>4</v>
      </c>
      <c r="H383">
        <v>0</v>
      </c>
      <c r="I383">
        <v>11</v>
      </c>
      <c r="J383">
        <v>15</v>
      </c>
      <c r="K383" s="33">
        <v>0.26669999999999999</v>
      </c>
      <c r="L383" s="1"/>
      <c r="M383" s="1"/>
      <c r="N383" s="1"/>
      <c r="O383" s="1"/>
      <c r="P383" s="1"/>
      <c r="Q383" s="1"/>
    </row>
    <row r="384" spans="1:17" x14ac:dyDescent="0.25">
      <c r="A384" s="2">
        <v>44735</v>
      </c>
      <c r="B384">
        <v>11</v>
      </c>
      <c r="C384">
        <v>11</v>
      </c>
      <c r="D384">
        <v>15</v>
      </c>
      <c r="E384">
        <v>12582</v>
      </c>
      <c r="F384" s="1" t="s">
        <v>324</v>
      </c>
      <c r="G384">
        <v>4</v>
      </c>
      <c r="H384">
        <v>24</v>
      </c>
      <c r="I384">
        <v>11</v>
      </c>
      <c r="J384">
        <v>39</v>
      </c>
      <c r="K384" s="33">
        <v>0.71789999999999998</v>
      </c>
      <c r="L384" s="1"/>
      <c r="M384" s="1" t="str">
        <f>_xlfn.XLOOKUP(ocupacao[[#This Row],[UnidadeID]],unidades!$A:$A,unidades!$B:$B,"",0)</f>
        <v>Filial 2 - 11º</v>
      </c>
      <c r="N384" s="1" t="str">
        <f>_xlfn.XLOOKUP(ocupacao[[#This Row],[UnidadeID]],unidades!$A:$A,unidades!$C:$C,"",0)</f>
        <v>Nova Iguaçu</v>
      </c>
      <c r="O384" s="1" t="str">
        <f>_xlfn.XLOOKUP(ocupacao[[#This Row],[EspecialidadeID]],especialidades!$A:$A,especialidades!$B:$B,"",0)</f>
        <v>ANGIOLOGIA</v>
      </c>
      <c r="P384" s="1" t="str">
        <f>TEXT(WEEKDAY(ocupacao[[#This Row],[Data]]),"ddd")</f>
        <v>qui</v>
      </c>
      <c r="Q384" s="1">
        <f t="shared" si="5"/>
        <v>0</v>
      </c>
    </row>
    <row r="385" spans="1:17" hidden="1" x14ac:dyDescent="0.25">
      <c r="A385" s="2"/>
      <c r="F385" s="1"/>
      <c r="K385" s="33"/>
      <c r="L385" s="1"/>
      <c r="M385" s="1"/>
      <c r="N385" s="1"/>
      <c r="O385" s="1"/>
      <c r="P385" s="1"/>
      <c r="Q385" s="1"/>
    </row>
    <row r="386" spans="1:17" x14ac:dyDescent="0.25">
      <c r="A386" s="2">
        <v>44736</v>
      </c>
      <c r="B386">
        <v>11</v>
      </c>
      <c r="C386">
        <v>11</v>
      </c>
      <c r="D386">
        <v>17</v>
      </c>
      <c r="E386">
        <v>53</v>
      </c>
      <c r="F386" s="1" t="s">
        <v>326</v>
      </c>
      <c r="G386">
        <v>0</v>
      </c>
      <c r="H386">
        <v>9</v>
      </c>
      <c r="I386">
        <v>10</v>
      </c>
      <c r="J386">
        <v>19</v>
      </c>
      <c r="K386" s="33">
        <v>0.47370000000000001</v>
      </c>
      <c r="L386" s="1"/>
      <c r="M386" s="1" t="str">
        <f>_xlfn.XLOOKUP(ocupacao[[#This Row],[UnidadeID]],unidades!$A:$A,unidades!$B:$B,"",0)</f>
        <v>Filial 2 - 11º</v>
      </c>
      <c r="N386" s="1" t="str">
        <f>_xlfn.XLOOKUP(ocupacao[[#This Row],[UnidadeID]],unidades!$A:$A,unidades!$C:$C,"",0)</f>
        <v>Nova Iguaçu</v>
      </c>
      <c r="O386" s="1" t="str">
        <f>_xlfn.XLOOKUP(ocupacao[[#This Row],[EspecialidadeID]],especialidades!$A:$A,especialidades!$B:$B,"",0)</f>
        <v>ANGIOLOGIA</v>
      </c>
      <c r="P386" s="1" t="str">
        <f>TEXT(WEEKDAY(ocupacao[[#This Row],[Data]]),"ddd")</f>
        <v>sex</v>
      </c>
      <c r="Q386" s="1">
        <f t="shared" ref="Q386:Q447" si="6">IF(F386=F387,1,0)</f>
        <v>0</v>
      </c>
    </row>
    <row r="387" spans="1:17" hidden="1" x14ac:dyDescent="0.25">
      <c r="A387" s="2"/>
      <c r="F387" s="1"/>
      <c r="K387" s="33"/>
      <c r="L387" s="1"/>
      <c r="M387" s="1"/>
      <c r="N387" s="1"/>
      <c r="O387" s="1"/>
      <c r="P387" s="1"/>
      <c r="Q387" s="1"/>
    </row>
    <row r="388" spans="1:17" x14ac:dyDescent="0.25">
      <c r="A388" s="2">
        <v>44739</v>
      </c>
      <c r="B388">
        <v>11</v>
      </c>
      <c r="C388">
        <v>11</v>
      </c>
      <c r="D388">
        <v>11</v>
      </c>
      <c r="E388">
        <v>17931</v>
      </c>
      <c r="F388" s="1" t="s">
        <v>325</v>
      </c>
      <c r="G388">
        <v>0</v>
      </c>
      <c r="H388">
        <v>7</v>
      </c>
      <c r="I388">
        <v>33</v>
      </c>
      <c r="J388">
        <v>40</v>
      </c>
      <c r="K388" s="33">
        <v>0.17499999999999999</v>
      </c>
      <c r="L388" s="1"/>
      <c r="M388" s="1" t="str">
        <f>_xlfn.XLOOKUP(ocupacao[[#This Row],[UnidadeID]],unidades!$A:$A,unidades!$B:$B,"",0)</f>
        <v>Filial 2 - 11º</v>
      </c>
      <c r="N388" s="1" t="str">
        <f>_xlfn.XLOOKUP(ocupacao[[#This Row],[UnidadeID]],unidades!$A:$A,unidades!$C:$C,"",0)</f>
        <v>Nova Iguaçu</v>
      </c>
      <c r="O388" s="1" t="str">
        <f>_xlfn.XLOOKUP(ocupacao[[#This Row],[EspecialidadeID]],especialidades!$A:$A,especialidades!$B:$B,"",0)</f>
        <v>ANGIOLOGIA</v>
      </c>
      <c r="P388" s="1" t="str">
        <f>TEXT(WEEKDAY(ocupacao[[#This Row],[Data]]),"ddd")</f>
        <v>seg</v>
      </c>
      <c r="Q388" s="1">
        <f t="shared" si="6"/>
        <v>0</v>
      </c>
    </row>
    <row r="389" spans="1:17" x14ac:dyDescent="0.25">
      <c r="A389" s="2">
        <v>44740</v>
      </c>
      <c r="B389">
        <v>24</v>
      </c>
      <c r="C389">
        <v>11</v>
      </c>
      <c r="D389">
        <v>62</v>
      </c>
      <c r="E389">
        <v>12582</v>
      </c>
      <c r="F389" s="1" t="s">
        <v>324</v>
      </c>
      <c r="G389">
        <v>4</v>
      </c>
      <c r="H389">
        <v>0</v>
      </c>
      <c r="I389">
        <v>27</v>
      </c>
      <c r="J389">
        <v>31</v>
      </c>
      <c r="K389" s="33">
        <v>0.129</v>
      </c>
      <c r="L389" s="1"/>
      <c r="M389" s="1" t="str">
        <f>_xlfn.XLOOKUP(ocupacao[[#This Row],[UnidadeID]],unidades!$A:$A,unidades!$B:$B,"",0)</f>
        <v>Nilópolis</v>
      </c>
      <c r="N389" s="1" t="str">
        <f>_xlfn.XLOOKUP(ocupacao[[#This Row],[UnidadeID]],unidades!$A:$A,unidades!$C:$C,"",0)</f>
        <v>Nilópolis</v>
      </c>
      <c r="O389" s="1" t="str">
        <f>_xlfn.XLOOKUP(ocupacao[[#This Row],[EspecialidadeID]],especialidades!$A:$A,especialidades!$B:$B,"",0)</f>
        <v>ANGIOLOGIA</v>
      </c>
      <c r="P389" s="1" t="str">
        <f>TEXT(WEEKDAY(ocupacao[[#This Row],[Data]]),"ddd")</f>
        <v>ter</v>
      </c>
      <c r="Q389" s="1">
        <f t="shared" si="6"/>
        <v>1</v>
      </c>
    </row>
    <row r="390" spans="1:17" x14ac:dyDescent="0.25">
      <c r="A390" s="2">
        <v>44740</v>
      </c>
      <c r="B390">
        <v>24</v>
      </c>
      <c r="C390">
        <v>11</v>
      </c>
      <c r="D390">
        <v>62</v>
      </c>
      <c r="E390">
        <v>12582</v>
      </c>
      <c r="F390" s="1" t="s">
        <v>324</v>
      </c>
      <c r="G390">
        <v>4</v>
      </c>
      <c r="H390">
        <v>2</v>
      </c>
      <c r="I390">
        <v>27</v>
      </c>
      <c r="J390">
        <v>33</v>
      </c>
      <c r="K390" s="33">
        <v>0.18179999999999999</v>
      </c>
      <c r="L390" s="1"/>
      <c r="M390" s="1" t="str">
        <f>_xlfn.XLOOKUP(ocupacao[[#This Row],[UnidadeID]],unidades!$A:$A,unidades!$B:$B,"",0)</f>
        <v>Nilópolis</v>
      </c>
      <c r="N390" s="1" t="str">
        <f>_xlfn.XLOOKUP(ocupacao[[#This Row],[UnidadeID]],unidades!$A:$A,unidades!$C:$C,"",0)</f>
        <v>Nilópolis</v>
      </c>
      <c r="O390" s="1" t="str">
        <f>_xlfn.XLOOKUP(ocupacao[[#This Row],[EspecialidadeID]],especialidades!$A:$A,especialidades!$B:$B,"",0)</f>
        <v>ANGIOLOGIA</v>
      </c>
      <c r="P390" s="1" t="str">
        <f>TEXT(WEEKDAY(ocupacao[[#This Row],[Data]]),"ddd")</f>
        <v>ter</v>
      </c>
      <c r="Q390" s="1">
        <f t="shared" si="6"/>
        <v>0</v>
      </c>
    </row>
    <row r="391" spans="1:17" hidden="1" x14ac:dyDescent="0.25">
      <c r="A391" s="2"/>
      <c r="F391" s="1"/>
      <c r="K391" s="33"/>
      <c r="L391" s="1"/>
      <c r="M391" s="1"/>
      <c r="N391" s="1"/>
      <c r="O391" s="1"/>
      <c r="P391" s="1"/>
      <c r="Q391" s="1"/>
    </row>
    <row r="392" spans="1:17" hidden="1" x14ac:dyDescent="0.25">
      <c r="A392" s="2">
        <v>44740</v>
      </c>
      <c r="B392">
        <v>11</v>
      </c>
      <c r="C392">
        <v>11</v>
      </c>
      <c r="D392">
        <v>15</v>
      </c>
      <c r="E392">
        <v>17859</v>
      </c>
      <c r="F392" s="1" t="s">
        <v>136</v>
      </c>
      <c r="G392">
        <v>0</v>
      </c>
      <c r="H392">
        <v>9</v>
      </c>
      <c r="I392">
        <v>2</v>
      </c>
      <c r="J392">
        <v>11</v>
      </c>
      <c r="K392" s="33">
        <v>0.81820000000000004</v>
      </c>
      <c r="L392" s="1"/>
      <c r="M392" s="1"/>
      <c r="N392" s="1"/>
      <c r="O392" s="1"/>
      <c r="P392" s="1"/>
      <c r="Q392" s="1"/>
    </row>
    <row r="393" spans="1:17" hidden="1" x14ac:dyDescent="0.25">
      <c r="A393" s="2"/>
      <c r="F393" s="1"/>
      <c r="K393" s="33"/>
      <c r="L393" s="1"/>
      <c r="M393" s="1"/>
      <c r="N393" s="1"/>
      <c r="O393" s="1"/>
      <c r="P393" s="1"/>
      <c r="Q393" s="1"/>
    </row>
    <row r="394" spans="1:17" hidden="1" x14ac:dyDescent="0.25">
      <c r="A394" s="2">
        <v>44741</v>
      </c>
      <c r="B394">
        <v>11</v>
      </c>
      <c r="C394">
        <v>11</v>
      </c>
      <c r="D394">
        <v>17</v>
      </c>
      <c r="E394">
        <v>17931</v>
      </c>
      <c r="F394" s="1" t="s">
        <v>325</v>
      </c>
      <c r="G394">
        <v>0</v>
      </c>
      <c r="H394">
        <v>3</v>
      </c>
      <c r="I394">
        <v>35</v>
      </c>
      <c r="J394">
        <v>38</v>
      </c>
      <c r="K394" s="33">
        <v>7.8899999999999998E-2</v>
      </c>
      <c r="L394" s="1"/>
      <c r="M394" s="1"/>
      <c r="N394" s="1"/>
      <c r="O394" s="1"/>
      <c r="P394" s="1"/>
      <c r="Q394" s="1"/>
    </row>
    <row r="395" spans="1:17" x14ac:dyDescent="0.25">
      <c r="A395" s="2">
        <v>44742</v>
      </c>
      <c r="B395">
        <v>11</v>
      </c>
      <c r="C395">
        <v>11</v>
      </c>
      <c r="D395">
        <v>15</v>
      </c>
      <c r="E395">
        <v>12582</v>
      </c>
      <c r="F395" s="1" t="s">
        <v>324</v>
      </c>
      <c r="G395">
        <v>4</v>
      </c>
      <c r="H395">
        <v>0</v>
      </c>
      <c r="I395">
        <v>30</v>
      </c>
      <c r="J395">
        <v>34</v>
      </c>
      <c r="K395" s="33">
        <v>0.1176</v>
      </c>
      <c r="L395" s="1"/>
      <c r="M395" s="1" t="str">
        <f>_xlfn.XLOOKUP(ocupacao[[#This Row],[UnidadeID]],unidades!$A:$A,unidades!$B:$B,"",0)</f>
        <v>Filial 2 - 11º</v>
      </c>
      <c r="N395" s="1" t="str">
        <f>_xlfn.XLOOKUP(ocupacao[[#This Row],[UnidadeID]],unidades!$A:$A,unidades!$C:$C,"",0)</f>
        <v>Nova Iguaçu</v>
      </c>
      <c r="O395" s="1" t="str">
        <f>_xlfn.XLOOKUP(ocupacao[[#This Row],[EspecialidadeID]],especialidades!$A:$A,especialidades!$B:$B,"",0)</f>
        <v>ANGIOLOGIA</v>
      </c>
      <c r="P395" s="1" t="str">
        <f>TEXT(WEEKDAY(ocupacao[[#This Row],[Data]]),"ddd")</f>
        <v>qui</v>
      </c>
      <c r="Q395" s="1">
        <f t="shared" si="6"/>
        <v>1</v>
      </c>
    </row>
    <row r="396" spans="1:17" x14ac:dyDescent="0.25">
      <c r="A396" s="2">
        <v>44742</v>
      </c>
      <c r="B396">
        <v>11</v>
      </c>
      <c r="C396">
        <v>11</v>
      </c>
      <c r="D396">
        <v>15</v>
      </c>
      <c r="E396">
        <v>12582</v>
      </c>
      <c r="F396" s="1" t="s">
        <v>324</v>
      </c>
      <c r="G396">
        <v>4</v>
      </c>
      <c r="H396">
        <v>5</v>
      </c>
      <c r="I396">
        <v>30</v>
      </c>
      <c r="J396">
        <v>39</v>
      </c>
      <c r="K396" s="33">
        <v>0.23080000000000001</v>
      </c>
      <c r="L396" s="1"/>
      <c r="M396" s="1" t="str">
        <f>_xlfn.XLOOKUP(ocupacao[[#This Row],[UnidadeID]],unidades!$A:$A,unidades!$B:$B,"",0)</f>
        <v>Filial 2 - 11º</v>
      </c>
      <c r="N396" s="1" t="str">
        <f>_xlfn.XLOOKUP(ocupacao[[#This Row],[UnidadeID]],unidades!$A:$A,unidades!$C:$C,"",0)</f>
        <v>Nova Iguaçu</v>
      </c>
      <c r="O396" s="1" t="str">
        <f>_xlfn.XLOOKUP(ocupacao[[#This Row],[EspecialidadeID]],especialidades!$A:$A,especialidades!$B:$B,"",0)</f>
        <v>ANGIOLOGIA</v>
      </c>
      <c r="P396" s="1" t="str">
        <f>TEXT(WEEKDAY(ocupacao[[#This Row],[Data]]),"ddd")</f>
        <v>qui</v>
      </c>
      <c r="Q396" s="1">
        <f t="shared" si="6"/>
        <v>0</v>
      </c>
    </row>
    <row r="397" spans="1:17" x14ac:dyDescent="0.25">
      <c r="A397" s="2">
        <v>44743</v>
      </c>
      <c r="B397">
        <v>11</v>
      </c>
      <c r="C397">
        <v>11</v>
      </c>
      <c r="D397">
        <v>17</v>
      </c>
      <c r="E397">
        <v>53</v>
      </c>
      <c r="F397" s="1" t="s">
        <v>326</v>
      </c>
      <c r="G397">
        <v>0</v>
      </c>
      <c r="H397">
        <v>0</v>
      </c>
      <c r="I397">
        <v>19</v>
      </c>
      <c r="J397">
        <v>19</v>
      </c>
      <c r="K397" s="33">
        <v>0</v>
      </c>
      <c r="L397" s="1"/>
      <c r="M397" s="1" t="str">
        <f>_xlfn.XLOOKUP(ocupacao[[#This Row],[UnidadeID]],unidades!$A:$A,unidades!$B:$B,"",0)</f>
        <v>Filial 2 - 11º</v>
      </c>
      <c r="N397" s="1" t="str">
        <f>_xlfn.XLOOKUP(ocupacao[[#This Row],[UnidadeID]],unidades!$A:$A,unidades!$C:$C,"",0)</f>
        <v>Nova Iguaçu</v>
      </c>
      <c r="O397" s="1" t="str">
        <f>_xlfn.XLOOKUP(ocupacao[[#This Row],[EspecialidadeID]],especialidades!$A:$A,especialidades!$B:$B,"",0)</f>
        <v>ANGIOLOGIA</v>
      </c>
      <c r="P397" s="1" t="str">
        <f>TEXT(WEEKDAY(ocupacao[[#This Row],[Data]]),"ddd")</f>
        <v>sex</v>
      </c>
      <c r="Q397" s="1">
        <f t="shared" si="6"/>
        <v>0</v>
      </c>
    </row>
    <row r="398" spans="1:17" x14ac:dyDescent="0.25">
      <c r="A398" s="2"/>
      <c r="F398" s="1" t="s">
        <v>106</v>
      </c>
      <c r="K398" s="33"/>
      <c r="L398" s="1"/>
      <c r="M398" s="1">
        <f>_xlfn.XLOOKUP(ocupacao[[#This Row],[UnidadeID]],unidades!$A:$A,unidades!$B:$B,"",0)</f>
        <v>0</v>
      </c>
      <c r="N398" s="1">
        <f>_xlfn.XLOOKUP(ocupacao[[#This Row],[UnidadeID]],unidades!$A:$A,unidades!$C:$C,"",0)</f>
        <v>0</v>
      </c>
      <c r="O398" s="1">
        <f>_xlfn.XLOOKUP(ocupacao[[#This Row],[EspecialidadeID]],especialidades!$A:$A,especialidades!$B:$B,"",0)</f>
        <v>0</v>
      </c>
      <c r="P398" s="1" t="str">
        <f>TEXT(WEEKDAY(ocupacao[[#This Row],[Data]]),"ddd")</f>
        <v>sáb</v>
      </c>
      <c r="Q398" s="1">
        <f t="shared" si="6"/>
        <v>0</v>
      </c>
    </row>
    <row r="399" spans="1:17" hidden="1" x14ac:dyDescent="0.25">
      <c r="A399" s="2">
        <v>44733</v>
      </c>
      <c r="B399">
        <v>22</v>
      </c>
      <c r="C399">
        <v>13</v>
      </c>
      <c r="D399">
        <v>46</v>
      </c>
      <c r="E399">
        <v>11237</v>
      </c>
      <c r="F399" s="1" t="s">
        <v>327</v>
      </c>
      <c r="G399">
        <v>0</v>
      </c>
      <c r="H399">
        <v>39</v>
      </c>
      <c r="I399">
        <v>0</v>
      </c>
      <c r="J399">
        <v>39</v>
      </c>
      <c r="K399" s="33">
        <v>1</v>
      </c>
      <c r="L399" s="1"/>
      <c r="M399" s="1"/>
      <c r="N399" s="1"/>
      <c r="O399" s="1"/>
      <c r="P399" s="1"/>
      <c r="Q399" s="1"/>
    </row>
    <row r="400" spans="1:17" x14ac:dyDescent="0.25">
      <c r="A400" s="2">
        <v>44733</v>
      </c>
      <c r="B400">
        <v>22</v>
      </c>
      <c r="C400">
        <v>13</v>
      </c>
      <c r="D400">
        <v>47</v>
      </c>
      <c r="E400">
        <v>11652</v>
      </c>
      <c r="F400" s="1" t="s">
        <v>328</v>
      </c>
      <c r="G400">
        <v>0</v>
      </c>
      <c r="H400">
        <v>46</v>
      </c>
      <c r="I400">
        <v>0</v>
      </c>
      <c r="J400">
        <v>46</v>
      </c>
      <c r="K400" s="33">
        <v>1</v>
      </c>
      <c r="L400" s="1"/>
      <c r="M400" s="1" t="str">
        <f>_xlfn.XLOOKUP(ocupacao[[#This Row],[UnidadeID]],unidades!$A:$A,unidades!$B:$B,"",0)</f>
        <v>Filial 1</v>
      </c>
      <c r="N400" s="1" t="str">
        <f>_xlfn.XLOOKUP(ocupacao[[#This Row],[UnidadeID]],unidades!$A:$A,unidades!$C:$C,"",0)</f>
        <v>Nova Iguaçu</v>
      </c>
      <c r="O400" s="1" t="str">
        <f>_xlfn.XLOOKUP(ocupacao[[#This Row],[EspecialidadeID]],especialidades!$A:$A,especialidades!$B:$B,"",0)</f>
        <v>OTORRINOLARINGOLOGIA</v>
      </c>
      <c r="P400" s="1" t="str">
        <f>TEXT(WEEKDAY(ocupacao[[#This Row],[Data]]),"ddd")</f>
        <v>ter</v>
      </c>
      <c r="Q400" s="1">
        <f t="shared" si="6"/>
        <v>0</v>
      </c>
    </row>
    <row r="401" spans="1:17" x14ac:dyDescent="0.25">
      <c r="A401" s="2">
        <v>44734</v>
      </c>
      <c r="B401">
        <v>34</v>
      </c>
      <c r="C401">
        <v>13</v>
      </c>
      <c r="D401">
        <v>371</v>
      </c>
      <c r="E401">
        <v>11237</v>
      </c>
      <c r="F401" s="1" t="s">
        <v>327</v>
      </c>
      <c r="G401">
        <v>4</v>
      </c>
      <c r="H401">
        <v>0</v>
      </c>
      <c r="I401">
        <v>9</v>
      </c>
      <c r="J401">
        <v>13</v>
      </c>
      <c r="K401" s="33">
        <v>0.30769999999999997</v>
      </c>
      <c r="L401" s="1"/>
      <c r="M401" s="1" t="str">
        <f>_xlfn.XLOOKUP(ocupacao[[#This Row],[UnidadeID]],unidades!$A:$A,unidades!$B:$B,"",0)</f>
        <v>São João</v>
      </c>
      <c r="N401" s="1" t="str">
        <f>_xlfn.XLOOKUP(ocupacao[[#This Row],[UnidadeID]],unidades!$A:$A,unidades!$C:$C,"",0)</f>
        <v>São João de Meriti</v>
      </c>
      <c r="O401" s="1" t="str">
        <f>_xlfn.XLOOKUP(ocupacao[[#This Row],[EspecialidadeID]],especialidades!$A:$A,especialidades!$B:$B,"",0)</f>
        <v>OTORRINOLARINGOLOGIA</v>
      </c>
      <c r="P401" s="1" t="str">
        <f>TEXT(WEEKDAY(ocupacao[[#This Row],[Data]]),"ddd")</f>
        <v>qua</v>
      </c>
      <c r="Q401" s="1">
        <f t="shared" si="6"/>
        <v>1</v>
      </c>
    </row>
    <row r="402" spans="1:17" x14ac:dyDescent="0.25">
      <c r="A402" s="2">
        <v>44734</v>
      </c>
      <c r="B402">
        <v>34</v>
      </c>
      <c r="C402">
        <v>13</v>
      </c>
      <c r="D402">
        <v>371</v>
      </c>
      <c r="E402">
        <v>11237</v>
      </c>
      <c r="F402" s="1" t="s">
        <v>327</v>
      </c>
      <c r="G402">
        <v>4</v>
      </c>
      <c r="H402">
        <v>15</v>
      </c>
      <c r="I402">
        <v>9</v>
      </c>
      <c r="J402">
        <v>28</v>
      </c>
      <c r="K402" s="33">
        <v>0.67859999999999998</v>
      </c>
      <c r="L402" s="1"/>
      <c r="M402" s="1" t="str">
        <f>_xlfn.XLOOKUP(ocupacao[[#This Row],[UnidadeID]],unidades!$A:$A,unidades!$B:$B,"",0)</f>
        <v>São João</v>
      </c>
      <c r="N402" s="1" t="str">
        <f>_xlfn.XLOOKUP(ocupacao[[#This Row],[UnidadeID]],unidades!$A:$A,unidades!$C:$C,"",0)</f>
        <v>São João de Meriti</v>
      </c>
      <c r="O402" s="1" t="str">
        <f>_xlfn.XLOOKUP(ocupacao[[#This Row],[EspecialidadeID]],especialidades!$A:$A,especialidades!$B:$B,"",0)</f>
        <v>OTORRINOLARINGOLOGIA</v>
      </c>
      <c r="P402" s="1" t="str">
        <f>TEXT(WEEKDAY(ocupacao[[#This Row],[Data]]),"ddd")</f>
        <v>qua</v>
      </c>
      <c r="Q402" s="1">
        <f t="shared" si="6"/>
        <v>0</v>
      </c>
    </row>
    <row r="403" spans="1:17" hidden="1" x14ac:dyDescent="0.25">
      <c r="A403" s="2">
        <v>44734</v>
      </c>
      <c r="B403">
        <v>22</v>
      </c>
      <c r="C403">
        <v>13</v>
      </c>
      <c r="D403">
        <v>47</v>
      </c>
      <c r="E403">
        <v>13058</v>
      </c>
      <c r="F403" s="1" t="s">
        <v>329</v>
      </c>
      <c r="G403">
        <v>0</v>
      </c>
      <c r="H403">
        <v>36</v>
      </c>
      <c r="I403">
        <v>0</v>
      </c>
      <c r="J403">
        <v>36</v>
      </c>
      <c r="K403" s="33">
        <v>1</v>
      </c>
      <c r="L403" s="1"/>
      <c r="M403" s="1"/>
      <c r="N403" s="1"/>
      <c r="O403" s="1"/>
      <c r="P403" s="1"/>
      <c r="Q403" s="1"/>
    </row>
    <row r="404" spans="1:17" x14ac:dyDescent="0.25">
      <c r="A404" s="2">
        <v>44740</v>
      </c>
      <c r="B404">
        <v>22</v>
      </c>
      <c r="C404">
        <v>13</v>
      </c>
      <c r="D404">
        <v>46</v>
      </c>
      <c r="E404">
        <v>11237</v>
      </c>
      <c r="F404" s="1" t="s">
        <v>327</v>
      </c>
      <c r="G404">
        <v>0</v>
      </c>
      <c r="H404">
        <v>36</v>
      </c>
      <c r="I404">
        <v>0</v>
      </c>
      <c r="J404">
        <v>36</v>
      </c>
      <c r="K404" s="33">
        <v>1</v>
      </c>
      <c r="L404" s="1"/>
      <c r="M404" s="1" t="str">
        <f>_xlfn.XLOOKUP(ocupacao[[#This Row],[UnidadeID]],unidades!$A:$A,unidades!$B:$B,"",0)</f>
        <v>Filial 1</v>
      </c>
      <c r="N404" s="1" t="str">
        <f>_xlfn.XLOOKUP(ocupacao[[#This Row],[UnidadeID]],unidades!$A:$A,unidades!$C:$C,"",0)</f>
        <v>Nova Iguaçu</v>
      </c>
      <c r="O404" s="1" t="str">
        <f>_xlfn.XLOOKUP(ocupacao[[#This Row],[EspecialidadeID]],especialidades!$A:$A,especialidades!$B:$B,"",0)</f>
        <v>OTORRINOLARINGOLOGIA</v>
      </c>
      <c r="P404" s="1" t="str">
        <f>TEXT(WEEKDAY(ocupacao[[#This Row],[Data]]),"ddd")</f>
        <v>ter</v>
      </c>
      <c r="Q404" s="1">
        <f t="shared" si="6"/>
        <v>0</v>
      </c>
    </row>
    <row r="405" spans="1:17" hidden="1" x14ac:dyDescent="0.25">
      <c r="A405" s="2">
        <v>44740</v>
      </c>
      <c r="B405">
        <v>22</v>
      </c>
      <c r="C405">
        <v>13</v>
      </c>
      <c r="D405">
        <v>47</v>
      </c>
      <c r="E405">
        <v>11652</v>
      </c>
      <c r="F405" s="1" t="s">
        <v>328</v>
      </c>
      <c r="G405">
        <v>0</v>
      </c>
      <c r="H405">
        <v>45</v>
      </c>
      <c r="I405">
        <v>0</v>
      </c>
      <c r="J405">
        <v>45</v>
      </c>
      <c r="K405" s="33">
        <v>1</v>
      </c>
      <c r="L405" s="1"/>
      <c r="M405" s="1"/>
      <c r="N405" s="1"/>
      <c r="O405" s="1"/>
      <c r="P405" s="1"/>
      <c r="Q405" s="1"/>
    </row>
    <row r="406" spans="1:17" x14ac:dyDescent="0.25">
      <c r="A406" s="2">
        <v>44741</v>
      </c>
      <c r="B406">
        <v>34</v>
      </c>
      <c r="C406">
        <v>13</v>
      </c>
      <c r="D406">
        <v>371</v>
      </c>
      <c r="E406">
        <v>11237</v>
      </c>
      <c r="F406" s="1" t="s">
        <v>327</v>
      </c>
      <c r="G406">
        <v>4</v>
      </c>
      <c r="H406">
        <v>0</v>
      </c>
      <c r="I406">
        <v>24</v>
      </c>
      <c r="J406">
        <v>28</v>
      </c>
      <c r="K406" s="33">
        <v>0.1429</v>
      </c>
      <c r="L406" s="1"/>
      <c r="M406" s="1" t="str">
        <f>_xlfn.XLOOKUP(ocupacao[[#This Row],[UnidadeID]],unidades!$A:$A,unidades!$B:$B,"",0)</f>
        <v>São João</v>
      </c>
      <c r="N406" s="1" t="str">
        <f>_xlfn.XLOOKUP(ocupacao[[#This Row],[UnidadeID]],unidades!$A:$A,unidades!$C:$C,"",0)</f>
        <v>São João de Meriti</v>
      </c>
      <c r="O406" s="1" t="str">
        <f>_xlfn.XLOOKUP(ocupacao[[#This Row],[EspecialidadeID]],especialidades!$A:$A,especialidades!$B:$B,"",0)</f>
        <v>OTORRINOLARINGOLOGIA</v>
      </c>
      <c r="P406" s="1" t="str">
        <f>TEXT(WEEKDAY(ocupacao[[#This Row],[Data]]),"ddd")</f>
        <v>qua</v>
      </c>
      <c r="Q406" s="1">
        <f t="shared" si="6"/>
        <v>0</v>
      </c>
    </row>
    <row r="407" spans="1:17" x14ac:dyDescent="0.25">
      <c r="A407" s="2"/>
      <c r="F407" s="1" t="s">
        <v>106</v>
      </c>
      <c r="K407" s="33"/>
      <c r="L407" s="1"/>
      <c r="M407" s="1">
        <f>_xlfn.XLOOKUP(ocupacao[[#This Row],[UnidadeID]],unidades!$A:$A,unidades!$B:$B,"",0)</f>
        <v>0</v>
      </c>
      <c r="N407" s="1">
        <f>_xlfn.XLOOKUP(ocupacao[[#This Row],[UnidadeID]],unidades!$A:$A,unidades!$C:$C,"",0)</f>
        <v>0</v>
      </c>
      <c r="O407" s="1">
        <f>_xlfn.XLOOKUP(ocupacao[[#This Row],[EspecialidadeID]],especialidades!$A:$A,especialidades!$B:$B,"",0)</f>
        <v>0</v>
      </c>
      <c r="P407" s="1" t="str">
        <f>TEXT(WEEKDAY(ocupacao[[#This Row],[Data]]),"ddd")</f>
        <v>sáb</v>
      </c>
      <c r="Q407" s="1">
        <f t="shared" si="6"/>
        <v>0</v>
      </c>
    </row>
    <row r="408" spans="1:17" x14ac:dyDescent="0.25">
      <c r="A408" s="2">
        <v>44734</v>
      </c>
      <c r="B408">
        <v>0</v>
      </c>
      <c r="C408">
        <v>14</v>
      </c>
      <c r="D408">
        <v>346</v>
      </c>
      <c r="E408">
        <v>80</v>
      </c>
      <c r="F408" s="1" t="s">
        <v>330</v>
      </c>
      <c r="G408">
        <v>0</v>
      </c>
      <c r="H408">
        <v>29</v>
      </c>
      <c r="I408">
        <v>0</v>
      </c>
      <c r="J408">
        <v>29</v>
      </c>
      <c r="K408" s="33">
        <v>1</v>
      </c>
      <c r="L408" s="1"/>
      <c r="M408" s="1" t="str">
        <f>_xlfn.XLOOKUP(ocupacao[[#This Row],[UnidadeID]],unidades!$A:$A,unidades!$B:$B,"",0)</f>
        <v>Matriz</v>
      </c>
      <c r="N408" s="1" t="str">
        <f>_xlfn.XLOOKUP(ocupacao[[#This Row],[UnidadeID]],unidades!$A:$A,unidades!$C:$C,"",0)</f>
        <v>Nova Iguaçu</v>
      </c>
      <c r="O408" s="1" t="str">
        <f>_xlfn.XLOOKUP(ocupacao[[#This Row],[EspecialidadeID]],especialidades!$A:$A,especialidades!$B:$B,"",0)</f>
        <v>GERIATRIA</v>
      </c>
      <c r="P408" s="1" t="str">
        <f>TEXT(WEEKDAY(ocupacao[[#This Row],[Data]]),"ddd")</f>
        <v>qua</v>
      </c>
      <c r="Q408" s="1">
        <f t="shared" si="6"/>
        <v>1</v>
      </c>
    </row>
    <row r="409" spans="1:17" hidden="1" x14ac:dyDescent="0.25">
      <c r="A409" s="2">
        <v>44741</v>
      </c>
      <c r="B409">
        <v>0</v>
      </c>
      <c r="C409">
        <v>14</v>
      </c>
      <c r="D409">
        <v>346</v>
      </c>
      <c r="E409">
        <v>80</v>
      </c>
      <c r="F409" s="1" t="s">
        <v>330</v>
      </c>
      <c r="G409">
        <v>0</v>
      </c>
      <c r="H409">
        <v>29</v>
      </c>
      <c r="I409">
        <v>0</v>
      </c>
      <c r="J409">
        <v>29</v>
      </c>
      <c r="K409" s="33">
        <v>1</v>
      </c>
      <c r="L409" s="1"/>
      <c r="M409" s="1"/>
      <c r="N409" s="1"/>
      <c r="O409" s="1"/>
      <c r="P409" s="1"/>
      <c r="Q409" s="1"/>
    </row>
    <row r="410" spans="1:17" x14ac:dyDescent="0.25">
      <c r="A410" s="2"/>
      <c r="F410" s="1" t="s">
        <v>106</v>
      </c>
      <c r="K410" s="33"/>
      <c r="L410" s="1"/>
      <c r="M410" s="1">
        <f>_xlfn.XLOOKUP(ocupacao[[#This Row],[UnidadeID]],unidades!$A:$A,unidades!$B:$B,"",0)</f>
        <v>0</v>
      </c>
      <c r="N410" s="1">
        <f>_xlfn.XLOOKUP(ocupacao[[#This Row],[UnidadeID]],unidades!$A:$A,unidades!$C:$C,"",0)</f>
        <v>0</v>
      </c>
      <c r="O410" s="1">
        <f>_xlfn.XLOOKUP(ocupacao[[#This Row],[EspecialidadeID]],especialidades!$A:$A,especialidades!$B:$B,"",0)</f>
        <v>0</v>
      </c>
      <c r="P410" s="1" t="str">
        <f>TEXT(WEEKDAY(ocupacao[[#This Row],[Data]]),"ddd")</f>
        <v>sáb</v>
      </c>
      <c r="Q410" s="1">
        <f t="shared" si="6"/>
        <v>0</v>
      </c>
    </row>
    <row r="411" spans="1:17" hidden="1" x14ac:dyDescent="0.25">
      <c r="A411" s="2">
        <v>44733</v>
      </c>
      <c r="B411">
        <v>11</v>
      </c>
      <c r="C411">
        <v>15</v>
      </c>
      <c r="D411">
        <v>13</v>
      </c>
      <c r="E411">
        <v>69</v>
      </c>
      <c r="F411" s="1" t="s">
        <v>130</v>
      </c>
      <c r="G411">
        <v>0</v>
      </c>
      <c r="H411">
        <v>0</v>
      </c>
      <c r="I411">
        <v>2</v>
      </c>
      <c r="J411">
        <v>2</v>
      </c>
      <c r="K411" s="33">
        <v>0</v>
      </c>
      <c r="L411" s="1"/>
      <c r="M411" s="1"/>
      <c r="N411" s="1"/>
      <c r="O411" s="1"/>
      <c r="P411" s="1"/>
      <c r="Q411" s="1"/>
    </row>
    <row r="412" spans="1:17" x14ac:dyDescent="0.25">
      <c r="A412" s="2">
        <v>44733</v>
      </c>
      <c r="B412">
        <v>11</v>
      </c>
      <c r="C412">
        <v>15</v>
      </c>
      <c r="D412">
        <v>13</v>
      </c>
      <c r="E412">
        <v>69</v>
      </c>
      <c r="F412" s="1" t="s">
        <v>130</v>
      </c>
      <c r="G412">
        <v>0</v>
      </c>
      <c r="H412">
        <v>33</v>
      </c>
      <c r="I412">
        <v>2</v>
      </c>
      <c r="J412">
        <v>35</v>
      </c>
      <c r="K412" s="33">
        <v>0.94289999999999996</v>
      </c>
      <c r="L412" s="1"/>
      <c r="M412" s="1" t="str">
        <f>_xlfn.XLOOKUP(ocupacao[[#This Row],[UnidadeID]],unidades!$A:$A,unidades!$B:$B,"",0)</f>
        <v>Filial 2 - 11º</v>
      </c>
      <c r="N412" s="1" t="str">
        <f>_xlfn.XLOOKUP(ocupacao[[#This Row],[UnidadeID]],unidades!$A:$A,unidades!$C:$C,"",0)</f>
        <v>Nova Iguaçu</v>
      </c>
      <c r="O412" s="1" t="str">
        <f>_xlfn.XLOOKUP(ocupacao[[#This Row],[EspecialidadeID]],especialidades!$A:$A,especialidades!$B:$B,"",0)</f>
        <v>DERMATOLOGIA</v>
      </c>
      <c r="P412" s="1" t="str">
        <f>TEXT(WEEKDAY(ocupacao[[#This Row],[Data]]),"ddd")</f>
        <v>ter</v>
      </c>
      <c r="Q412" s="1">
        <f t="shared" si="6"/>
        <v>0</v>
      </c>
    </row>
    <row r="413" spans="1:17" x14ac:dyDescent="0.25">
      <c r="A413" s="2">
        <v>44733</v>
      </c>
      <c r="B413">
        <v>18</v>
      </c>
      <c r="C413">
        <v>15</v>
      </c>
      <c r="D413">
        <v>12</v>
      </c>
      <c r="E413">
        <v>10941</v>
      </c>
      <c r="F413" s="1" t="s">
        <v>126</v>
      </c>
      <c r="G413">
        <v>0</v>
      </c>
      <c r="H413">
        <v>3</v>
      </c>
      <c r="I413">
        <v>0</v>
      </c>
      <c r="J413">
        <v>3</v>
      </c>
      <c r="K413" s="33">
        <v>1</v>
      </c>
      <c r="L413" s="1"/>
      <c r="M413" s="1" t="str">
        <f>_xlfn.XLOOKUP(ocupacao[[#This Row],[UnidadeID]],unidades!$A:$A,unidades!$B:$B,"",0)</f>
        <v>Miguel Couto</v>
      </c>
      <c r="N413" s="1" t="str">
        <f>_xlfn.XLOOKUP(ocupacao[[#This Row],[UnidadeID]],unidades!$A:$A,unidades!$C:$C,"",0)</f>
        <v>Miguel Couto</v>
      </c>
      <c r="O413" s="1" t="str">
        <f>_xlfn.XLOOKUP(ocupacao[[#This Row],[EspecialidadeID]],especialidades!$A:$A,especialidades!$B:$B,"",0)</f>
        <v>DERMATOLOGIA</v>
      </c>
      <c r="P413" s="1" t="str">
        <f>TEXT(WEEKDAY(ocupacao[[#This Row],[Data]]),"ddd")</f>
        <v>ter</v>
      </c>
      <c r="Q413" s="1">
        <f t="shared" si="6"/>
        <v>1</v>
      </c>
    </row>
    <row r="414" spans="1:17" x14ac:dyDescent="0.25">
      <c r="A414" s="2">
        <v>44733</v>
      </c>
      <c r="B414">
        <v>18</v>
      </c>
      <c r="C414">
        <v>15</v>
      </c>
      <c r="D414">
        <v>12</v>
      </c>
      <c r="E414">
        <v>10941</v>
      </c>
      <c r="F414" s="1" t="s">
        <v>126</v>
      </c>
      <c r="G414">
        <v>0</v>
      </c>
      <c r="H414">
        <v>10</v>
      </c>
      <c r="I414">
        <v>0</v>
      </c>
      <c r="J414">
        <v>10</v>
      </c>
      <c r="K414" s="33">
        <v>1</v>
      </c>
      <c r="L414" s="1"/>
      <c r="M414" s="1" t="str">
        <f>_xlfn.XLOOKUP(ocupacao[[#This Row],[UnidadeID]],unidades!$A:$A,unidades!$B:$B,"",0)</f>
        <v>Miguel Couto</v>
      </c>
      <c r="N414" s="1" t="str">
        <f>_xlfn.XLOOKUP(ocupacao[[#This Row],[UnidadeID]],unidades!$A:$A,unidades!$C:$C,"",0)</f>
        <v>Miguel Couto</v>
      </c>
      <c r="O414" s="1" t="str">
        <f>_xlfn.XLOOKUP(ocupacao[[#This Row],[EspecialidadeID]],especialidades!$A:$A,especialidades!$B:$B,"",0)</f>
        <v>DERMATOLOGIA</v>
      </c>
      <c r="P414" s="1" t="str">
        <f>TEXT(WEEKDAY(ocupacao[[#This Row],[Data]]),"ddd")</f>
        <v>ter</v>
      </c>
      <c r="Q414" s="1">
        <f t="shared" si="6"/>
        <v>1</v>
      </c>
    </row>
    <row r="415" spans="1:17" x14ac:dyDescent="0.25">
      <c r="A415" s="2">
        <v>44733</v>
      </c>
      <c r="B415">
        <v>11</v>
      </c>
      <c r="C415">
        <v>15</v>
      </c>
      <c r="D415">
        <v>12</v>
      </c>
      <c r="E415">
        <v>10941</v>
      </c>
      <c r="F415" s="1" t="s">
        <v>126</v>
      </c>
      <c r="G415">
        <v>0</v>
      </c>
      <c r="H415">
        <v>6</v>
      </c>
      <c r="I415">
        <v>4</v>
      </c>
      <c r="J415">
        <v>10</v>
      </c>
      <c r="K415" s="33">
        <v>0.6</v>
      </c>
      <c r="L415" s="1"/>
      <c r="M415" s="1" t="str">
        <f>_xlfn.XLOOKUP(ocupacao[[#This Row],[UnidadeID]],unidades!$A:$A,unidades!$B:$B,"",0)</f>
        <v>Filial 2 - 11º</v>
      </c>
      <c r="N415" s="1" t="str">
        <f>_xlfn.XLOOKUP(ocupacao[[#This Row],[UnidadeID]],unidades!$A:$A,unidades!$C:$C,"",0)</f>
        <v>Nova Iguaçu</v>
      </c>
      <c r="O415" s="1" t="str">
        <f>_xlfn.XLOOKUP(ocupacao[[#This Row],[EspecialidadeID]],especialidades!$A:$A,especialidades!$B:$B,"",0)</f>
        <v>DERMATOLOGIA</v>
      </c>
      <c r="P415" s="1" t="str">
        <f>TEXT(WEEKDAY(ocupacao[[#This Row],[Data]]),"ddd")</f>
        <v>ter</v>
      </c>
      <c r="Q415" s="1">
        <f t="shared" si="6"/>
        <v>0</v>
      </c>
    </row>
    <row r="416" spans="1:17" x14ac:dyDescent="0.25">
      <c r="A416" s="2">
        <v>44733</v>
      </c>
      <c r="B416">
        <v>11</v>
      </c>
      <c r="C416">
        <v>15</v>
      </c>
      <c r="D416">
        <v>11</v>
      </c>
      <c r="E416">
        <v>12623</v>
      </c>
      <c r="F416" s="1" t="s">
        <v>133</v>
      </c>
      <c r="G416">
        <v>0</v>
      </c>
      <c r="H416">
        <v>28</v>
      </c>
      <c r="I416">
        <v>0</v>
      </c>
      <c r="J416">
        <v>28</v>
      </c>
      <c r="K416" s="33">
        <v>1</v>
      </c>
      <c r="L416" s="1"/>
      <c r="M416" s="1" t="str">
        <f>_xlfn.XLOOKUP(ocupacao[[#This Row],[UnidadeID]],unidades!$A:$A,unidades!$B:$B,"",0)</f>
        <v>Filial 2 - 11º</v>
      </c>
      <c r="N416" s="1" t="str">
        <f>_xlfn.XLOOKUP(ocupacao[[#This Row],[UnidadeID]],unidades!$A:$A,unidades!$C:$C,"",0)</f>
        <v>Nova Iguaçu</v>
      </c>
      <c r="O416" s="1" t="str">
        <f>_xlfn.XLOOKUP(ocupacao[[#This Row],[EspecialidadeID]],especialidades!$A:$A,especialidades!$B:$B,"",0)</f>
        <v>DERMATOLOGIA</v>
      </c>
      <c r="P416" s="1" t="str">
        <f>TEXT(WEEKDAY(ocupacao[[#This Row],[Data]]),"ddd")</f>
        <v>ter</v>
      </c>
      <c r="Q416" s="1">
        <f t="shared" si="6"/>
        <v>0</v>
      </c>
    </row>
    <row r="417" spans="1:17" hidden="1" x14ac:dyDescent="0.25">
      <c r="A417" s="2"/>
      <c r="F417" s="1"/>
      <c r="K417" s="33"/>
      <c r="L417" s="1"/>
      <c r="M417" s="1"/>
      <c r="N417" s="1"/>
      <c r="O417" s="1"/>
      <c r="P417" s="1"/>
      <c r="Q417" s="1"/>
    </row>
    <row r="418" spans="1:17" x14ac:dyDescent="0.25">
      <c r="A418" s="2">
        <v>44734</v>
      </c>
      <c r="B418">
        <v>11</v>
      </c>
      <c r="C418">
        <v>15</v>
      </c>
      <c r="D418">
        <v>13</v>
      </c>
      <c r="E418">
        <v>70</v>
      </c>
      <c r="F418" s="1" t="s">
        <v>124</v>
      </c>
      <c r="G418">
        <v>0</v>
      </c>
      <c r="H418">
        <v>16</v>
      </c>
      <c r="I418">
        <v>8</v>
      </c>
      <c r="J418">
        <v>24</v>
      </c>
      <c r="K418" s="33">
        <v>0.66669999999999996</v>
      </c>
      <c r="L418" s="1"/>
      <c r="M418" s="1" t="str">
        <f>_xlfn.XLOOKUP(ocupacao[[#This Row],[UnidadeID]],unidades!$A:$A,unidades!$B:$B,"",0)</f>
        <v>Filial 2 - 11º</v>
      </c>
      <c r="N418" s="1" t="str">
        <f>_xlfn.XLOOKUP(ocupacao[[#This Row],[UnidadeID]],unidades!$A:$A,unidades!$C:$C,"",0)</f>
        <v>Nova Iguaçu</v>
      </c>
      <c r="O418" s="1" t="str">
        <f>_xlfn.XLOOKUP(ocupacao[[#This Row],[EspecialidadeID]],especialidades!$A:$A,especialidades!$B:$B,"",0)</f>
        <v>DERMATOLOGIA</v>
      </c>
      <c r="P418" s="1" t="str">
        <f>TEXT(WEEKDAY(ocupacao[[#This Row],[Data]]),"ddd")</f>
        <v>qua</v>
      </c>
      <c r="Q418" s="1">
        <f t="shared" si="6"/>
        <v>0</v>
      </c>
    </row>
    <row r="419" spans="1:17" x14ac:dyDescent="0.25">
      <c r="A419" s="2">
        <v>44734</v>
      </c>
      <c r="B419">
        <v>11</v>
      </c>
      <c r="C419">
        <v>15</v>
      </c>
      <c r="D419">
        <v>13</v>
      </c>
      <c r="E419">
        <v>1490</v>
      </c>
      <c r="F419" s="1" t="s">
        <v>117</v>
      </c>
      <c r="G419">
        <v>0</v>
      </c>
      <c r="H419">
        <v>19</v>
      </c>
      <c r="I419">
        <v>0</v>
      </c>
      <c r="J419">
        <v>19</v>
      </c>
      <c r="K419" s="33">
        <v>1</v>
      </c>
      <c r="L419" s="1"/>
      <c r="M419" s="1" t="str">
        <f>_xlfn.XLOOKUP(ocupacao[[#This Row],[UnidadeID]],unidades!$A:$A,unidades!$B:$B,"",0)</f>
        <v>Filial 2 - 11º</v>
      </c>
      <c r="N419" s="1" t="str">
        <f>_xlfn.XLOOKUP(ocupacao[[#This Row],[UnidadeID]],unidades!$A:$A,unidades!$C:$C,"",0)</f>
        <v>Nova Iguaçu</v>
      </c>
      <c r="O419" s="1" t="str">
        <f>_xlfn.XLOOKUP(ocupacao[[#This Row],[EspecialidadeID]],especialidades!$A:$A,especialidades!$B:$B,"",0)</f>
        <v>DERMATOLOGIA</v>
      </c>
      <c r="P419" s="1" t="str">
        <f>TEXT(WEEKDAY(ocupacao[[#This Row],[Data]]),"ddd")</f>
        <v>qua</v>
      </c>
      <c r="Q419" s="1">
        <f t="shared" si="6"/>
        <v>1</v>
      </c>
    </row>
    <row r="420" spans="1:17" x14ac:dyDescent="0.25">
      <c r="A420" s="2">
        <v>44735</v>
      </c>
      <c r="B420">
        <v>0</v>
      </c>
      <c r="C420">
        <v>15</v>
      </c>
      <c r="D420">
        <v>344</v>
      </c>
      <c r="E420">
        <v>1490</v>
      </c>
      <c r="F420" s="1" t="s">
        <v>117</v>
      </c>
      <c r="G420">
        <v>0</v>
      </c>
      <c r="H420">
        <v>4</v>
      </c>
      <c r="I420">
        <v>0</v>
      </c>
      <c r="J420">
        <v>4</v>
      </c>
      <c r="K420" s="33">
        <v>1</v>
      </c>
      <c r="L420" s="1"/>
      <c r="M420" s="1" t="str">
        <f>_xlfn.XLOOKUP(ocupacao[[#This Row],[UnidadeID]],unidades!$A:$A,unidades!$B:$B,"",0)</f>
        <v>Matriz</v>
      </c>
      <c r="N420" s="1" t="str">
        <f>_xlfn.XLOOKUP(ocupacao[[#This Row],[UnidadeID]],unidades!$A:$A,unidades!$C:$C,"",0)</f>
        <v>Nova Iguaçu</v>
      </c>
      <c r="O420" s="1" t="str">
        <f>_xlfn.XLOOKUP(ocupacao[[#This Row],[EspecialidadeID]],especialidades!$A:$A,especialidades!$B:$B,"",0)</f>
        <v>DERMATOLOGIA</v>
      </c>
      <c r="P420" s="1" t="str">
        <f>TEXT(WEEKDAY(ocupacao[[#This Row],[Data]]),"ddd")</f>
        <v>qui</v>
      </c>
      <c r="Q420" s="1">
        <f t="shared" si="6"/>
        <v>1</v>
      </c>
    </row>
    <row r="421" spans="1:17" x14ac:dyDescent="0.25">
      <c r="A421" s="2">
        <v>44735</v>
      </c>
      <c r="B421">
        <v>0</v>
      </c>
      <c r="C421">
        <v>15</v>
      </c>
      <c r="D421">
        <v>13</v>
      </c>
      <c r="E421">
        <v>1490</v>
      </c>
      <c r="F421" s="1" t="s">
        <v>117</v>
      </c>
      <c r="G421">
        <v>0</v>
      </c>
      <c r="H421">
        <v>9</v>
      </c>
      <c r="I421">
        <v>0</v>
      </c>
      <c r="J421">
        <v>9</v>
      </c>
      <c r="K421" s="33">
        <v>1</v>
      </c>
      <c r="L421" s="1"/>
      <c r="M421" s="1" t="str">
        <f>_xlfn.XLOOKUP(ocupacao[[#This Row],[UnidadeID]],unidades!$A:$A,unidades!$B:$B,"",0)</f>
        <v>Matriz</v>
      </c>
      <c r="N421" s="1" t="str">
        <f>_xlfn.XLOOKUP(ocupacao[[#This Row],[UnidadeID]],unidades!$A:$A,unidades!$C:$C,"",0)</f>
        <v>Nova Iguaçu</v>
      </c>
      <c r="O421" s="1" t="str">
        <f>_xlfn.XLOOKUP(ocupacao[[#This Row],[EspecialidadeID]],especialidades!$A:$A,especialidades!$B:$B,"",0)</f>
        <v>DERMATOLOGIA</v>
      </c>
      <c r="P421" s="1" t="str">
        <f>TEXT(WEEKDAY(ocupacao[[#This Row],[Data]]),"ddd")</f>
        <v>qui</v>
      </c>
      <c r="Q421" s="1">
        <f t="shared" si="6"/>
        <v>0</v>
      </c>
    </row>
    <row r="422" spans="1:17" hidden="1" x14ac:dyDescent="0.25">
      <c r="A422" s="2"/>
      <c r="F422" s="1"/>
      <c r="K422" s="33"/>
      <c r="L422" s="1"/>
      <c r="M422" s="1"/>
      <c r="N422" s="1"/>
      <c r="O422" s="1"/>
      <c r="P422" s="1"/>
      <c r="Q422" s="1"/>
    </row>
    <row r="423" spans="1:17" x14ac:dyDescent="0.25">
      <c r="A423" s="2">
        <v>44736</v>
      </c>
      <c r="B423">
        <v>11</v>
      </c>
      <c r="C423">
        <v>15</v>
      </c>
      <c r="D423">
        <v>13</v>
      </c>
      <c r="E423">
        <v>69</v>
      </c>
      <c r="F423" s="1" t="s">
        <v>130</v>
      </c>
      <c r="G423">
        <v>0</v>
      </c>
      <c r="H423">
        <v>13</v>
      </c>
      <c r="I423">
        <v>5</v>
      </c>
      <c r="J423">
        <v>18</v>
      </c>
      <c r="K423" s="33">
        <v>0.72219999999999995</v>
      </c>
      <c r="L423" s="1"/>
      <c r="M423" s="1" t="str">
        <f>_xlfn.XLOOKUP(ocupacao[[#This Row],[UnidadeID]],unidades!$A:$A,unidades!$B:$B,"",0)</f>
        <v>Filial 2 - 11º</v>
      </c>
      <c r="N423" s="1" t="str">
        <f>_xlfn.XLOOKUP(ocupacao[[#This Row],[UnidadeID]],unidades!$A:$A,unidades!$C:$C,"",0)</f>
        <v>Nova Iguaçu</v>
      </c>
      <c r="O423" s="1" t="str">
        <f>_xlfn.XLOOKUP(ocupacao[[#This Row],[EspecialidadeID]],especialidades!$A:$A,especialidades!$B:$B,"",0)</f>
        <v>DERMATOLOGIA</v>
      </c>
      <c r="P423" s="1" t="str">
        <f>TEXT(WEEKDAY(ocupacao[[#This Row],[Data]]),"ddd")</f>
        <v>sex</v>
      </c>
      <c r="Q423" s="1">
        <f t="shared" si="6"/>
        <v>0</v>
      </c>
    </row>
    <row r="424" spans="1:17" x14ac:dyDescent="0.25">
      <c r="A424" s="2">
        <v>44737</v>
      </c>
      <c r="B424">
        <v>11</v>
      </c>
      <c r="C424">
        <v>15</v>
      </c>
      <c r="D424">
        <v>13</v>
      </c>
      <c r="E424">
        <v>70</v>
      </c>
      <c r="F424" s="1" t="s">
        <v>124</v>
      </c>
      <c r="G424">
        <v>0</v>
      </c>
      <c r="H424">
        <v>18</v>
      </c>
      <c r="I424">
        <v>0</v>
      </c>
      <c r="J424">
        <v>18</v>
      </c>
      <c r="K424" s="33">
        <v>1</v>
      </c>
      <c r="L424" s="1"/>
      <c r="M424" s="1" t="str">
        <f>_xlfn.XLOOKUP(ocupacao[[#This Row],[UnidadeID]],unidades!$A:$A,unidades!$B:$B,"",0)</f>
        <v>Filial 2 - 11º</v>
      </c>
      <c r="N424" s="1" t="str">
        <f>_xlfn.XLOOKUP(ocupacao[[#This Row],[UnidadeID]],unidades!$A:$A,unidades!$C:$C,"",0)</f>
        <v>Nova Iguaçu</v>
      </c>
      <c r="O424" s="1" t="str">
        <f>_xlfn.XLOOKUP(ocupacao[[#This Row],[EspecialidadeID]],especialidades!$A:$A,especialidades!$B:$B,"",0)</f>
        <v>DERMATOLOGIA</v>
      </c>
      <c r="P424" s="1" t="str">
        <f>TEXT(WEEKDAY(ocupacao[[#This Row],[Data]]),"ddd")</f>
        <v>sáb</v>
      </c>
      <c r="Q424" s="1">
        <f t="shared" si="6"/>
        <v>1</v>
      </c>
    </row>
    <row r="425" spans="1:17" hidden="1" x14ac:dyDescent="0.25">
      <c r="A425" s="2">
        <v>44739</v>
      </c>
      <c r="B425">
        <v>11</v>
      </c>
      <c r="C425">
        <v>15</v>
      </c>
      <c r="D425">
        <v>13</v>
      </c>
      <c r="E425">
        <v>70</v>
      </c>
      <c r="F425" s="1" t="s">
        <v>124</v>
      </c>
      <c r="G425">
        <v>0</v>
      </c>
      <c r="H425">
        <v>0</v>
      </c>
      <c r="I425">
        <v>21</v>
      </c>
      <c r="J425">
        <v>21</v>
      </c>
      <c r="K425" s="33">
        <v>0</v>
      </c>
      <c r="L425" s="1"/>
      <c r="M425" s="1"/>
      <c r="N425" s="1"/>
      <c r="O425" s="1"/>
      <c r="P425" s="1"/>
      <c r="Q425" s="1"/>
    </row>
    <row r="426" spans="1:17" x14ac:dyDescent="0.25">
      <c r="A426" s="2">
        <v>44739</v>
      </c>
      <c r="B426">
        <v>11</v>
      </c>
      <c r="C426">
        <v>15</v>
      </c>
      <c r="D426">
        <v>13</v>
      </c>
      <c r="E426">
        <v>70</v>
      </c>
      <c r="F426" s="1" t="s">
        <v>124</v>
      </c>
      <c r="G426">
        <v>0</v>
      </c>
      <c r="H426">
        <v>3</v>
      </c>
      <c r="I426">
        <v>21</v>
      </c>
      <c r="J426">
        <v>24</v>
      </c>
      <c r="K426" s="33">
        <v>0.125</v>
      </c>
      <c r="L426" s="1"/>
      <c r="M426" s="1" t="str">
        <f>_xlfn.XLOOKUP(ocupacao[[#This Row],[UnidadeID]],unidades!$A:$A,unidades!$B:$B,"",0)</f>
        <v>Filial 2 - 11º</v>
      </c>
      <c r="N426" s="1" t="str">
        <f>_xlfn.XLOOKUP(ocupacao[[#This Row],[UnidadeID]],unidades!$A:$A,unidades!$C:$C,"",0)</f>
        <v>Nova Iguaçu</v>
      </c>
      <c r="O426" s="1" t="str">
        <f>_xlfn.XLOOKUP(ocupacao[[#This Row],[EspecialidadeID]],especialidades!$A:$A,especialidades!$B:$B,"",0)</f>
        <v>DERMATOLOGIA</v>
      </c>
      <c r="P426" s="1" t="str">
        <f>TEXT(WEEKDAY(ocupacao[[#This Row],[Data]]),"ddd")</f>
        <v>seg</v>
      </c>
      <c r="Q426" s="1">
        <f t="shared" si="6"/>
        <v>0</v>
      </c>
    </row>
    <row r="427" spans="1:17" hidden="1" x14ac:dyDescent="0.25">
      <c r="A427" s="2"/>
      <c r="F427" s="1"/>
      <c r="K427" s="33"/>
      <c r="L427" s="1"/>
      <c r="M427" s="1"/>
      <c r="N427" s="1"/>
      <c r="O427" s="1"/>
      <c r="P427" s="1"/>
      <c r="Q427" s="1"/>
    </row>
    <row r="428" spans="1:17" x14ac:dyDescent="0.25">
      <c r="A428" s="2">
        <v>44739</v>
      </c>
      <c r="B428">
        <v>11</v>
      </c>
      <c r="C428">
        <v>15</v>
      </c>
      <c r="D428">
        <v>67</v>
      </c>
      <c r="E428">
        <v>10941</v>
      </c>
      <c r="F428" s="1" t="s">
        <v>126</v>
      </c>
      <c r="G428">
        <v>0</v>
      </c>
      <c r="H428">
        <v>8</v>
      </c>
      <c r="I428">
        <v>17</v>
      </c>
      <c r="J428">
        <v>25</v>
      </c>
      <c r="K428" s="33">
        <v>0.32</v>
      </c>
      <c r="L428" s="1"/>
      <c r="M428" s="1" t="str">
        <f>_xlfn.XLOOKUP(ocupacao[[#This Row],[UnidadeID]],unidades!$A:$A,unidades!$B:$B,"",0)</f>
        <v>Filial 2 - 11º</v>
      </c>
      <c r="N428" s="1" t="str">
        <f>_xlfn.XLOOKUP(ocupacao[[#This Row],[UnidadeID]],unidades!$A:$A,unidades!$C:$C,"",0)</f>
        <v>Nova Iguaçu</v>
      </c>
      <c r="O428" s="1" t="str">
        <f>_xlfn.XLOOKUP(ocupacao[[#This Row],[EspecialidadeID]],especialidades!$A:$A,especialidades!$B:$B,"",0)</f>
        <v>DERMATOLOGIA</v>
      </c>
      <c r="P428" s="1" t="str">
        <f>TEXT(WEEKDAY(ocupacao[[#This Row],[Data]]),"ddd")</f>
        <v>seg</v>
      </c>
      <c r="Q428" s="1">
        <f t="shared" si="6"/>
        <v>1</v>
      </c>
    </row>
    <row r="429" spans="1:17" x14ac:dyDescent="0.25">
      <c r="A429" s="2">
        <v>44739</v>
      </c>
      <c r="B429">
        <v>11</v>
      </c>
      <c r="C429">
        <v>15</v>
      </c>
      <c r="D429">
        <v>12</v>
      </c>
      <c r="E429">
        <v>10941</v>
      </c>
      <c r="F429" s="1" t="s">
        <v>126</v>
      </c>
      <c r="G429">
        <v>0</v>
      </c>
      <c r="H429">
        <v>3</v>
      </c>
      <c r="I429">
        <v>17</v>
      </c>
      <c r="J429">
        <v>20</v>
      </c>
      <c r="K429" s="33">
        <v>0.15</v>
      </c>
      <c r="L429" s="1"/>
      <c r="M429" s="1" t="str">
        <f>_xlfn.XLOOKUP(ocupacao[[#This Row],[UnidadeID]],unidades!$A:$A,unidades!$B:$B,"",0)</f>
        <v>Filial 2 - 11º</v>
      </c>
      <c r="N429" s="1" t="str">
        <f>_xlfn.XLOOKUP(ocupacao[[#This Row],[UnidadeID]],unidades!$A:$A,unidades!$C:$C,"",0)</f>
        <v>Nova Iguaçu</v>
      </c>
      <c r="O429" s="1" t="str">
        <f>_xlfn.XLOOKUP(ocupacao[[#This Row],[EspecialidadeID]],especialidades!$A:$A,especialidades!$B:$B,"",0)</f>
        <v>DERMATOLOGIA</v>
      </c>
      <c r="P429" s="1" t="str">
        <f>TEXT(WEEKDAY(ocupacao[[#This Row],[Data]]),"ddd")</f>
        <v>seg</v>
      </c>
      <c r="Q429" s="1">
        <f t="shared" si="6"/>
        <v>0</v>
      </c>
    </row>
    <row r="430" spans="1:17" hidden="1" x14ac:dyDescent="0.25">
      <c r="A430" s="2"/>
      <c r="F430" s="1"/>
      <c r="K430" s="33"/>
      <c r="L430" s="1"/>
      <c r="M430" s="1"/>
      <c r="N430" s="1"/>
      <c r="O430" s="1"/>
      <c r="P430" s="1"/>
      <c r="Q430" s="1"/>
    </row>
    <row r="431" spans="1:17" x14ac:dyDescent="0.25">
      <c r="A431" s="2">
        <v>44740</v>
      </c>
      <c r="B431">
        <v>11</v>
      </c>
      <c r="C431">
        <v>15</v>
      </c>
      <c r="D431">
        <v>13</v>
      </c>
      <c r="E431">
        <v>69</v>
      </c>
      <c r="F431" s="1" t="s">
        <v>130</v>
      </c>
      <c r="G431">
        <v>0</v>
      </c>
      <c r="H431">
        <v>4</v>
      </c>
      <c r="I431">
        <v>31</v>
      </c>
      <c r="J431">
        <v>35</v>
      </c>
      <c r="K431" s="33">
        <v>0.1143</v>
      </c>
      <c r="L431" s="1"/>
      <c r="M431" s="1" t="str">
        <f>_xlfn.XLOOKUP(ocupacao[[#This Row],[UnidadeID]],unidades!$A:$A,unidades!$B:$B,"",0)</f>
        <v>Filial 2 - 11º</v>
      </c>
      <c r="N431" s="1" t="str">
        <f>_xlfn.XLOOKUP(ocupacao[[#This Row],[UnidadeID]],unidades!$A:$A,unidades!$C:$C,"",0)</f>
        <v>Nova Iguaçu</v>
      </c>
      <c r="O431" s="1" t="str">
        <f>_xlfn.XLOOKUP(ocupacao[[#This Row],[EspecialidadeID]],especialidades!$A:$A,especialidades!$B:$B,"",0)</f>
        <v>DERMATOLOGIA</v>
      </c>
      <c r="P431" s="1" t="str">
        <f>TEXT(WEEKDAY(ocupacao[[#This Row],[Data]]),"ddd")</f>
        <v>ter</v>
      </c>
      <c r="Q431" s="1">
        <f t="shared" si="6"/>
        <v>0</v>
      </c>
    </row>
    <row r="432" spans="1:17" hidden="1" x14ac:dyDescent="0.25">
      <c r="A432" s="2"/>
      <c r="F432" s="1"/>
      <c r="K432" s="33"/>
      <c r="L432" s="1"/>
      <c r="M432" s="1"/>
      <c r="N432" s="1"/>
      <c r="O432" s="1"/>
      <c r="P432" s="1"/>
      <c r="Q432" s="1"/>
    </row>
    <row r="433" spans="1:17" hidden="1" x14ac:dyDescent="0.25">
      <c r="A433" s="2">
        <v>44740</v>
      </c>
      <c r="B433">
        <v>18</v>
      </c>
      <c r="C433">
        <v>15</v>
      </c>
      <c r="D433">
        <v>83</v>
      </c>
      <c r="E433">
        <v>10941</v>
      </c>
      <c r="F433" s="1" t="s">
        <v>126</v>
      </c>
      <c r="G433">
        <v>0</v>
      </c>
      <c r="H433">
        <v>19</v>
      </c>
      <c r="I433">
        <v>21</v>
      </c>
      <c r="J433">
        <v>40</v>
      </c>
      <c r="K433" s="33">
        <v>0.47499999999999998</v>
      </c>
      <c r="L433" s="1"/>
      <c r="M433" s="1"/>
      <c r="N433" s="1"/>
      <c r="O433" s="1"/>
      <c r="P433" s="1"/>
      <c r="Q433" s="1"/>
    </row>
    <row r="434" spans="1:17" x14ac:dyDescent="0.25">
      <c r="A434" s="2">
        <v>44740</v>
      </c>
      <c r="B434">
        <v>18</v>
      </c>
      <c r="C434">
        <v>15</v>
      </c>
      <c r="D434">
        <v>12</v>
      </c>
      <c r="E434">
        <v>10941</v>
      </c>
      <c r="F434" s="1" t="s">
        <v>126</v>
      </c>
      <c r="G434">
        <v>0</v>
      </c>
      <c r="H434">
        <v>3</v>
      </c>
      <c r="I434">
        <v>21</v>
      </c>
      <c r="J434">
        <v>24</v>
      </c>
      <c r="K434" s="33">
        <v>0.125</v>
      </c>
      <c r="L434" s="1"/>
      <c r="M434" s="1" t="str">
        <f>_xlfn.XLOOKUP(ocupacao[[#This Row],[UnidadeID]],unidades!$A:$A,unidades!$B:$B,"",0)</f>
        <v>Miguel Couto</v>
      </c>
      <c r="N434" s="1" t="str">
        <f>_xlfn.XLOOKUP(ocupacao[[#This Row],[UnidadeID]],unidades!$A:$A,unidades!$C:$C,"",0)</f>
        <v>Miguel Couto</v>
      </c>
      <c r="O434" s="1" t="str">
        <f>_xlfn.XLOOKUP(ocupacao[[#This Row],[EspecialidadeID]],especialidades!$A:$A,especialidades!$B:$B,"",0)</f>
        <v>DERMATOLOGIA</v>
      </c>
      <c r="P434" s="1" t="str">
        <f>TEXT(WEEKDAY(ocupacao[[#This Row],[Data]]),"ddd")</f>
        <v>ter</v>
      </c>
      <c r="Q434" s="1">
        <f t="shared" si="6"/>
        <v>0</v>
      </c>
    </row>
    <row r="435" spans="1:17" hidden="1" x14ac:dyDescent="0.25">
      <c r="A435" s="2"/>
      <c r="F435" s="1"/>
      <c r="K435" s="33"/>
      <c r="L435" s="1"/>
      <c r="M435" s="1"/>
      <c r="N435" s="1"/>
      <c r="O435" s="1"/>
      <c r="P435" s="1"/>
      <c r="Q435" s="1"/>
    </row>
    <row r="436" spans="1:17" x14ac:dyDescent="0.25">
      <c r="A436" s="2">
        <v>44741</v>
      </c>
      <c r="B436">
        <v>11</v>
      </c>
      <c r="C436">
        <v>15</v>
      </c>
      <c r="D436">
        <v>13</v>
      </c>
      <c r="E436">
        <v>70</v>
      </c>
      <c r="F436" s="1" t="s">
        <v>124</v>
      </c>
      <c r="G436">
        <v>0</v>
      </c>
      <c r="H436">
        <v>2</v>
      </c>
      <c r="I436">
        <v>22</v>
      </c>
      <c r="J436">
        <v>24</v>
      </c>
      <c r="K436" s="33">
        <v>8.3299999999999999E-2</v>
      </c>
      <c r="L436" s="1"/>
      <c r="M436" s="1" t="str">
        <f>_xlfn.XLOOKUP(ocupacao[[#This Row],[UnidadeID]],unidades!$A:$A,unidades!$B:$B,"",0)</f>
        <v>Filial 2 - 11º</v>
      </c>
      <c r="N436" s="1" t="str">
        <f>_xlfn.XLOOKUP(ocupacao[[#This Row],[UnidadeID]],unidades!$A:$A,unidades!$C:$C,"",0)</f>
        <v>Nova Iguaçu</v>
      </c>
      <c r="O436" s="1" t="str">
        <f>_xlfn.XLOOKUP(ocupacao[[#This Row],[EspecialidadeID]],especialidades!$A:$A,especialidades!$B:$B,"",0)</f>
        <v>DERMATOLOGIA</v>
      </c>
      <c r="P436" s="1" t="str">
        <f>TEXT(WEEKDAY(ocupacao[[#This Row],[Data]]),"ddd")</f>
        <v>qua</v>
      </c>
      <c r="Q436" s="1">
        <f t="shared" si="6"/>
        <v>0</v>
      </c>
    </row>
    <row r="437" spans="1:17" x14ac:dyDescent="0.25">
      <c r="A437" s="2">
        <v>44741</v>
      </c>
      <c r="B437">
        <v>11</v>
      </c>
      <c r="C437">
        <v>15</v>
      </c>
      <c r="D437">
        <v>13</v>
      </c>
      <c r="E437">
        <v>1490</v>
      </c>
      <c r="F437" s="1" t="s">
        <v>117</v>
      </c>
      <c r="G437">
        <v>0</v>
      </c>
      <c r="H437">
        <v>1</v>
      </c>
      <c r="I437">
        <v>0</v>
      </c>
      <c r="J437">
        <v>1</v>
      </c>
      <c r="K437" s="33">
        <v>1</v>
      </c>
      <c r="L437" s="1"/>
      <c r="M437" s="1" t="str">
        <f>_xlfn.XLOOKUP(ocupacao[[#This Row],[UnidadeID]],unidades!$A:$A,unidades!$B:$B,"",0)</f>
        <v>Filial 2 - 11º</v>
      </c>
      <c r="N437" s="1" t="str">
        <f>_xlfn.XLOOKUP(ocupacao[[#This Row],[UnidadeID]],unidades!$A:$A,unidades!$C:$C,"",0)</f>
        <v>Nova Iguaçu</v>
      </c>
      <c r="O437" s="1" t="str">
        <f>_xlfn.XLOOKUP(ocupacao[[#This Row],[EspecialidadeID]],especialidades!$A:$A,especialidades!$B:$B,"",0)</f>
        <v>DERMATOLOGIA</v>
      </c>
      <c r="P437" s="1" t="str">
        <f>TEXT(WEEKDAY(ocupacao[[#This Row],[Data]]),"ddd")</f>
        <v>qua</v>
      </c>
      <c r="Q437" s="1">
        <f t="shared" si="6"/>
        <v>1</v>
      </c>
    </row>
    <row r="438" spans="1:17" hidden="1" x14ac:dyDescent="0.25">
      <c r="A438" s="2">
        <v>44741</v>
      </c>
      <c r="B438">
        <v>11</v>
      </c>
      <c r="C438">
        <v>15</v>
      </c>
      <c r="D438">
        <v>13</v>
      </c>
      <c r="E438">
        <v>1490</v>
      </c>
      <c r="F438" s="1" t="s">
        <v>117</v>
      </c>
      <c r="G438">
        <v>0</v>
      </c>
      <c r="H438">
        <v>19</v>
      </c>
      <c r="I438">
        <v>0</v>
      </c>
      <c r="J438">
        <v>19</v>
      </c>
      <c r="K438" s="33">
        <v>1</v>
      </c>
      <c r="L438" s="1"/>
      <c r="M438" s="1"/>
      <c r="N438" s="1"/>
      <c r="O438" s="1"/>
      <c r="P438" s="1"/>
      <c r="Q438" s="1"/>
    </row>
    <row r="439" spans="1:17" hidden="1" x14ac:dyDescent="0.25">
      <c r="A439" s="2"/>
      <c r="F439" s="1"/>
      <c r="K439" s="33"/>
      <c r="L439" s="1"/>
      <c r="M439" s="1"/>
      <c r="N439" s="1"/>
      <c r="O439" s="1"/>
      <c r="P439" s="1"/>
      <c r="Q439" s="1"/>
    </row>
    <row r="440" spans="1:17" hidden="1" x14ac:dyDescent="0.25">
      <c r="A440" s="2">
        <v>44742</v>
      </c>
      <c r="B440">
        <v>18</v>
      </c>
      <c r="C440">
        <v>15</v>
      </c>
      <c r="D440">
        <v>82</v>
      </c>
      <c r="E440">
        <v>69</v>
      </c>
      <c r="F440" s="1" t="s">
        <v>130</v>
      </c>
      <c r="G440">
        <v>0</v>
      </c>
      <c r="H440">
        <v>8</v>
      </c>
      <c r="I440">
        <v>9</v>
      </c>
      <c r="J440">
        <v>17</v>
      </c>
      <c r="K440" s="33">
        <v>0.47060000000000002</v>
      </c>
      <c r="L440" s="1"/>
      <c r="M440" s="1"/>
      <c r="N440" s="1"/>
      <c r="O440" s="1"/>
      <c r="P440" s="1"/>
      <c r="Q440" s="1"/>
    </row>
    <row r="441" spans="1:17" x14ac:dyDescent="0.25">
      <c r="A441" s="2">
        <v>44742</v>
      </c>
      <c r="B441">
        <v>0</v>
      </c>
      <c r="C441">
        <v>15</v>
      </c>
      <c r="D441">
        <v>344</v>
      </c>
      <c r="E441">
        <v>1490</v>
      </c>
      <c r="F441" s="1" t="s">
        <v>117</v>
      </c>
      <c r="G441">
        <v>0</v>
      </c>
      <c r="H441">
        <v>4</v>
      </c>
      <c r="I441">
        <v>0</v>
      </c>
      <c r="J441">
        <v>4</v>
      </c>
      <c r="K441" s="33">
        <v>1</v>
      </c>
      <c r="L441" s="1"/>
      <c r="M441" s="1" t="str">
        <f>_xlfn.XLOOKUP(ocupacao[[#This Row],[UnidadeID]],unidades!$A:$A,unidades!$B:$B,"",0)</f>
        <v>Matriz</v>
      </c>
      <c r="N441" s="1" t="str">
        <f>_xlfn.XLOOKUP(ocupacao[[#This Row],[UnidadeID]],unidades!$A:$A,unidades!$C:$C,"",0)</f>
        <v>Nova Iguaçu</v>
      </c>
      <c r="O441" s="1" t="str">
        <f>_xlfn.XLOOKUP(ocupacao[[#This Row],[EspecialidadeID]],especialidades!$A:$A,especialidades!$B:$B,"",0)</f>
        <v>DERMATOLOGIA</v>
      </c>
      <c r="P441" s="1" t="str">
        <f>TEXT(WEEKDAY(ocupacao[[#This Row],[Data]]),"ddd")</f>
        <v>qui</v>
      </c>
      <c r="Q441" s="1">
        <f t="shared" si="6"/>
        <v>1</v>
      </c>
    </row>
    <row r="442" spans="1:17" hidden="1" x14ac:dyDescent="0.25">
      <c r="A442" s="2">
        <v>44742</v>
      </c>
      <c r="B442">
        <v>0</v>
      </c>
      <c r="C442">
        <v>15</v>
      </c>
      <c r="D442">
        <v>13</v>
      </c>
      <c r="E442">
        <v>1490</v>
      </c>
      <c r="F442" s="1" t="s">
        <v>117</v>
      </c>
      <c r="G442">
        <v>0</v>
      </c>
      <c r="H442">
        <v>9</v>
      </c>
      <c r="I442">
        <v>0</v>
      </c>
      <c r="J442">
        <v>9</v>
      </c>
      <c r="K442" s="33">
        <v>1</v>
      </c>
      <c r="L442" s="1"/>
      <c r="M442" s="1"/>
      <c r="N442" s="1"/>
      <c r="O442" s="1"/>
      <c r="P442" s="1"/>
      <c r="Q442" s="1"/>
    </row>
    <row r="443" spans="1:17" hidden="1" x14ac:dyDescent="0.25">
      <c r="A443" s="2"/>
      <c r="F443" s="1"/>
      <c r="K443" s="33"/>
      <c r="L443" s="1"/>
      <c r="M443" s="1"/>
      <c r="N443" s="1"/>
      <c r="O443" s="1"/>
      <c r="P443" s="1"/>
      <c r="Q443" s="1"/>
    </row>
    <row r="444" spans="1:17" x14ac:dyDescent="0.25">
      <c r="A444" s="2">
        <v>44743</v>
      </c>
      <c r="B444">
        <v>11</v>
      </c>
      <c r="C444">
        <v>15</v>
      </c>
      <c r="D444">
        <v>13</v>
      </c>
      <c r="E444">
        <v>69</v>
      </c>
      <c r="F444" s="1" t="s">
        <v>130</v>
      </c>
      <c r="G444">
        <v>0</v>
      </c>
      <c r="H444">
        <v>1</v>
      </c>
      <c r="I444">
        <v>17</v>
      </c>
      <c r="J444">
        <v>18</v>
      </c>
      <c r="K444" s="33">
        <v>5.5599999999999997E-2</v>
      </c>
      <c r="L444" s="1"/>
      <c r="M444" s="1" t="str">
        <f>_xlfn.XLOOKUP(ocupacao[[#This Row],[UnidadeID]],unidades!$A:$A,unidades!$B:$B,"",0)</f>
        <v>Filial 2 - 11º</v>
      </c>
      <c r="N444" s="1" t="str">
        <f>_xlfn.XLOOKUP(ocupacao[[#This Row],[UnidadeID]],unidades!$A:$A,unidades!$C:$C,"",0)</f>
        <v>Nova Iguaçu</v>
      </c>
      <c r="O444" s="1" t="str">
        <f>_xlfn.XLOOKUP(ocupacao[[#This Row],[EspecialidadeID]],especialidades!$A:$A,especialidades!$B:$B,"",0)</f>
        <v>DERMATOLOGIA</v>
      </c>
      <c r="P444" s="1" t="str">
        <f>TEXT(WEEKDAY(ocupacao[[#This Row],[Data]]),"ddd")</f>
        <v>sex</v>
      </c>
      <c r="Q444" s="1">
        <f t="shared" si="6"/>
        <v>0</v>
      </c>
    </row>
    <row r="445" spans="1:17" x14ac:dyDescent="0.25">
      <c r="A445" s="2"/>
      <c r="F445" s="1" t="s">
        <v>106</v>
      </c>
      <c r="K445" s="33"/>
      <c r="L445" s="1"/>
      <c r="M445" s="1">
        <f>_xlfn.XLOOKUP(ocupacao[[#This Row],[UnidadeID]],unidades!$A:$A,unidades!$B:$B,"",0)</f>
        <v>0</v>
      </c>
      <c r="N445" s="1">
        <f>_xlfn.XLOOKUP(ocupacao[[#This Row],[UnidadeID]],unidades!$A:$A,unidades!$C:$C,"",0)</f>
        <v>0</v>
      </c>
      <c r="O445" s="1">
        <f>_xlfn.XLOOKUP(ocupacao[[#This Row],[EspecialidadeID]],especialidades!$A:$A,especialidades!$B:$B,"",0)</f>
        <v>0</v>
      </c>
      <c r="P445" s="1" t="str">
        <f>TEXT(WEEKDAY(ocupacao[[#This Row],[Data]]),"ddd")</f>
        <v>sáb</v>
      </c>
      <c r="Q445" s="1">
        <f t="shared" si="6"/>
        <v>0</v>
      </c>
    </row>
    <row r="446" spans="1:17" hidden="1" x14ac:dyDescent="0.25">
      <c r="A446" s="2">
        <v>44733</v>
      </c>
      <c r="B446">
        <v>33</v>
      </c>
      <c r="C446">
        <v>16</v>
      </c>
      <c r="D446">
        <v>368</v>
      </c>
      <c r="E446">
        <v>75</v>
      </c>
      <c r="F446" s="1" t="s">
        <v>125</v>
      </c>
      <c r="G446">
        <v>0</v>
      </c>
      <c r="H446">
        <v>0</v>
      </c>
      <c r="I446">
        <v>61</v>
      </c>
      <c r="J446">
        <v>61</v>
      </c>
      <c r="K446" s="33">
        <v>0</v>
      </c>
      <c r="L446" s="1"/>
      <c r="M446" s="1"/>
      <c r="N446" s="1"/>
      <c r="O446" s="1"/>
      <c r="P446" s="1"/>
      <c r="Q446" s="1"/>
    </row>
    <row r="447" spans="1:17" x14ac:dyDescent="0.25">
      <c r="A447" s="2">
        <v>44733</v>
      </c>
      <c r="B447">
        <v>33</v>
      </c>
      <c r="C447">
        <v>16</v>
      </c>
      <c r="D447">
        <v>67</v>
      </c>
      <c r="E447">
        <v>1586</v>
      </c>
      <c r="F447" s="1" t="s">
        <v>132</v>
      </c>
      <c r="G447">
        <v>0</v>
      </c>
      <c r="H447">
        <v>15</v>
      </c>
      <c r="I447">
        <v>0</v>
      </c>
      <c r="J447">
        <v>15</v>
      </c>
      <c r="K447" s="33">
        <v>1</v>
      </c>
      <c r="L447" s="1"/>
      <c r="M447" s="1" t="str">
        <f>_xlfn.XLOOKUP(ocupacao[[#This Row],[UnidadeID]],unidades!$A:$A,unidades!$B:$B,"",0)</f>
        <v>Seggastro</v>
      </c>
      <c r="N447" s="1" t="str">
        <f>_xlfn.XLOOKUP(ocupacao[[#This Row],[UnidadeID]],unidades!$A:$A,unidades!$C:$C,"",0)</f>
        <v>Nova Iguaçu</v>
      </c>
      <c r="O447" s="1" t="str">
        <f>_xlfn.XLOOKUP(ocupacao[[#This Row],[EspecialidadeID]],especialidades!$A:$A,especialidades!$B:$B,"",0)</f>
        <v>GASTROENTEROLOGIA</v>
      </c>
      <c r="P447" s="1" t="str">
        <f>TEXT(WEEKDAY(ocupacao[[#This Row],[Data]]),"ddd")</f>
        <v>ter</v>
      </c>
      <c r="Q447" s="1">
        <f t="shared" si="6"/>
        <v>0</v>
      </c>
    </row>
    <row r="448" spans="1:17" hidden="1" x14ac:dyDescent="0.25">
      <c r="A448" s="2"/>
      <c r="F448" s="1"/>
      <c r="K448" s="33"/>
      <c r="L448" s="1"/>
      <c r="M448" s="1"/>
      <c r="N448" s="1"/>
      <c r="O448" s="1"/>
      <c r="P448" s="1"/>
      <c r="Q448" s="1"/>
    </row>
    <row r="449" spans="1:17" hidden="1" x14ac:dyDescent="0.25">
      <c r="A449" s="2">
        <v>44733</v>
      </c>
      <c r="B449">
        <v>33</v>
      </c>
      <c r="C449">
        <v>16</v>
      </c>
      <c r="D449">
        <v>368</v>
      </c>
      <c r="E449">
        <v>1586</v>
      </c>
      <c r="F449" s="1" t="s">
        <v>132</v>
      </c>
      <c r="G449">
        <v>0</v>
      </c>
      <c r="H449">
        <v>0</v>
      </c>
      <c r="I449">
        <v>17</v>
      </c>
      <c r="J449">
        <v>17</v>
      </c>
      <c r="K449" s="33">
        <v>0</v>
      </c>
      <c r="L449" s="1"/>
      <c r="M449" s="1"/>
      <c r="N449" s="1"/>
      <c r="O449" s="1"/>
      <c r="P449" s="1"/>
      <c r="Q449" s="1"/>
    </row>
    <row r="450" spans="1:17" x14ac:dyDescent="0.25">
      <c r="A450" s="2">
        <v>44733</v>
      </c>
      <c r="B450">
        <v>33</v>
      </c>
      <c r="C450">
        <v>16</v>
      </c>
      <c r="D450">
        <v>368</v>
      </c>
      <c r="E450">
        <v>2036</v>
      </c>
      <c r="F450" s="1" t="s">
        <v>374</v>
      </c>
      <c r="G450">
        <v>0</v>
      </c>
      <c r="H450">
        <v>0</v>
      </c>
      <c r="I450">
        <v>41</v>
      </c>
      <c r="J450">
        <v>41</v>
      </c>
      <c r="K450" s="33">
        <v>0</v>
      </c>
      <c r="L450" s="1"/>
      <c r="M450" s="1" t="str">
        <f>_xlfn.XLOOKUP(ocupacao[[#This Row],[UnidadeID]],unidades!$A:$A,unidades!$B:$B,"",0)</f>
        <v>Seggastro</v>
      </c>
      <c r="N450" s="1" t="str">
        <f>_xlfn.XLOOKUP(ocupacao[[#This Row],[UnidadeID]],unidades!$A:$A,unidades!$C:$C,"",0)</f>
        <v>Nova Iguaçu</v>
      </c>
      <c r="O450" s="1" t="str">
        <f>_xlfn.XLOOKUP(ocupacao[[#This Row],[EspecialidadeID]],especialidades!$A:$A,especialidades!$B:$B,"",0)</f>
        <v>GASTROENTEROLOGIA</v>
      </c>
      <c r="P450" s="1" t="str">
        <f>TEXT(WEEKDAY(ocupacao[[#This Row],[Data]]),"ddd")</f>
        <v>ter</v>
      </c>
      <c r="Q450" s="1">
        <f t="shared" ref="Q450:Q513" si="7">IF(F450=F451,1,0)</f>
        <v>0</v>
      </c>
    </row>
    <row r="451" spans="1:17" hidden="1" x14ac:dyDescent="0.25">
      <c r="A451" s="2">
        <v>44733</v>
      </c>
      <c r="B451">
        <v>33</v>
      </c>
      <c r="C451">
        <v>16</v>
      </c>
      <c r="D451">
        <v>368</v>
      </c>
      <c r="E451">
        <v>5822</v>
      </c>
      <c r="F451" s="1" t="s">
        <v>100</v>
      </c>
      <c r="G451">
        <v>0</v>
      </c>
      <c r="H451">
        <v>1</v>
      </c>
      <c r="I451">
        <v>60</v>
      </c>
      <c r="J451">
        <v>61</v>
      </c>
      <c r="K451" s="33">
        <v>1.6400000000000001E-2</v>
      </c>
      <c r="L451" s="1"/>
      <c r="M451" s="1"/>
      <c r="N451" s="1"/>
      <c r="O451" s="1"/>
      <c r="P451" s="1"/>
      <c r="Q451" s="1"/>
    </row>
    <row r="452" spans="1:17" x14ac:dyDescent="0.25">
      <c r="A452" s="2">
        <v>44733</v>
      </c>
      <c r="B452">
        <v>33</v>
      </c>
      <c r="C452">
        <v>16</v>
      </c>
      <c r="D452">
        <v>368</v>
      </c>
      <c r="E452">
        <v>7900</v>
      </c>
      <c r="F452" s="1" t="s">
        <v>348</v>
      </c>
      <c r="G452">
        <v>0</v>
      </c>
      <c r="H452">
        <v>0</v>
      </c>
      <c r="I452">
        <v>41</v>
      </c>
      <c r="J452">
        <v>41</v>
      </c>
      <c r="K452" s="33">
        <v>0</v>
      </c>
      <c r="L452" s="1"/>
      <c r="M452" s="1" t="str">
        <f>_xlfn.XLOOKUP(ocupacao[[#This Row],[UnidadeID]],unidades!$A:$A,unidades!$B:$B,"",0)</f>
        <v>Seggastro</v>
      </c>
      <c r="N452" s="1" t="str">
        <f>_xlfn.XLOOKUP(ocupacao[[#This Row],[UnidadeID]],unidades!$A:$A,unidades!$C:$C,"",0)</f>
        <v>Nova Iguaçu</v>
      </c>
      <c r="O452" s="1" t="str">
        <f>_xlfn.XLOOKUP(ocupacao[[#This Row],[EspecialidadeID]],especialidades!$A:$A,especialidades!$B:$B,"",0)</f>
        <v>GASTROENTEROLOGIA</v>
      </c>
      <c r="P452" s="1" t="str">
        <f>TEXT(WEEKDAY(ocupacao[[#This Row],[Data]]),"ddd")</f>
        <v>ter</v>
      </c>
      <c r="Q452" s="1">
        <f t="shared" si="7"/>
        <v>0</v>
      </c>
    </row>
    <row r="453" spans="1:17" x14ac:dyDescent="0.25">
      <c r="A453" s="2">
        <v>44733</v>
      </c>
      <c r="B453">
        <v>33</v>
      </c>
      <c r="C453">
        <v>16</v>
      </c>
      <c r="D453">
        <v>368</v>
      </c>
      <c r="E453">
        <v>13660</v>
      </c>
      <c r="F453" s="1" t="s">
        <v>112</v>
      </c>
      <c r="G453">
        <v>0</v>
      </c>
      <c r="H453">
        <v>0</v>
      </c>
      <c r="I453">
        <v>41</v>
      </c>
      <c r="J453">
        <v>41</v>
      </c>
      <c r="K453" s="33">
        <v>0</v>
      </c>
      <c r="L453" s="1"/>
      <c r="M453" s="1" t="str">
        <f>_xlfn.XLOOKUP(ocupacao[[#This Row],[UnidadeID]],unidades!$A:$A,unidades!$B:$B,"",0)</f>
        <v>Seggastro</v>
      </c>
      <c r="N453" s="1" t="str">
        <f>_xlfn.XLOOKUP(ocupacao[[#This Row],[UnidadeID]],unidades!$A:$A,unidades!$C:$C,"",0)</f>
        <v>Nova Iguaçu</v>
      </c>
      <c r="O453" s="1" t="str">
        <f>_xlfn.XLOOKUP(ocupacao[[#This Row],[EspecialidadeID]],especialidades!$A:$A,especialidades!$B:$B,"",0)</f>
        <v>GASTROENTEROLOGIA</v>
      </c>
      <c r="P453" s="1" t="str">
        <f>TEXT(WEEKDAY(ocupacao[[#This Row],[Data]]),"ddd")</f>
        <v>ter</v>
      </c>
      <c r="Q453" s="1">
        <f t="shared" si="7"/>
        <v>0</v>
      </c>
    </row>
    <row r="454" spans="1:17" hidden="1" x14ac:dyDescent="0.25">
      <c r="A454" s="2">
        <v>44734</v>
      </c>
      <c r="B454">
        <v>33</v>
      </c>
      <c r="C454">
        <v>16</v>
      </c>
      <c r="D454">
        <v>368</v>
      </c>
      <c r="E454">
        <v>75</v>
      </c>
      <c r="F454" s="1" t="s">
        <v>125</v>
      </c>
      <c r="G454">
        <v>0</v>
      </c>
      <c r="H454">
        <v>0</v>
      </c>
      <c r="I454">
        <v>61</v>
      </c>
      <c r="J454">
        <v>61</v>
      </c>
      <c r="K454" s="33">
        <v>0</v>
      </c>
      <c r="L454" s="1"/>
      <c r="M454" s="1"/>
      <c r="N454" s="1"/>
      <c r="O454" s="1"/>
      <c r="P454" s="1"/>
      <c r="Q454" s="1"/>
    </row>
    <row r="455" spans="1:17" x14ac:dyDescent="0.25">
      <c r="A455" s="2">
        <v>44734</v>
      </c>
      <c r="B455">
        <v>33</v>
      </c>
      <c r="C455">
        <v>16</v>
      </c>
      <c r="D455">
        <v>368</v>
      </c>
      <c r="E455">
        <v>1586</v>
      </c>
      <c r="F455" s="1" t="s">
        <v>132</v>
      </c>
      <c r="G455">
        <v>0</v>
      </c>
      <c r="H455">
        <v>0</v>
      </c>
      <c r="I455">
        <v>41</v>
      </c>
      <c r="J455">
        <v>41</v>
      </c>
      <c r="K455" s="33">
        <v>0</v>
      </c>
      <c r="L455" s="1"/>
      <c r="M455" s="1" t="str">
        <f>_xlfn.XLOOKUP(ocupacao[[#This Row],[UnidadeID]],unidades!$A:$A,unidades!$B:$B,"",0)</f>
        <v>Seggastro</v>
      </c>
      <c r="N455" s="1" t="str">
        <f>_xlfn.XLOOKUP(ocupacao[[#This Row],[UnidadeID]],unidades!$A:$A,unidades!$C:$C,"",0)</f>
        <v>Nova Iguaçu</v>
      </c>
      <c r="O455" s="1" t="str">
        <f>_xlfn.XLOOKUP(ocupacao[[#This Row],[EspecialidadeID]],especialidades!$A:$A,especialidades!$B:$B,"",0)</f>
        <v>GASTROENTEROLOGIA</v>
      </c>
      <c r="P455" s="1" t="str">
        <f>TEXT(WEEKDAY(ocupacao[[#This Row],[Data]]),"ddd")</f>
        <v>qua</v>
      </c>
      <c r="Q455" s="1">
        <f t="shared" si="7"/>
        <v>0</v>
      </c>
    </row>
    <row r="456" spans="1:17" hidden="1" x14ac:dyDescent="0.25">
      <c r="A456" s="2">
        <v>44734</v>
      </c>
      <c r="B456">
        <v>33</v>
      </c>
      <c r="C456">
        <v>16</v>
      </c>
      <c r="D456">
        <v>368</v>
      </c>
      <c r="E456">
        <v>2036</v>
      </c>
      <c r="F456" s="1" t="s">
        <v>374</v>
      </c>
      <c r="G456">
        <v>0</v>
      </c>
      <c r="H456">
        <v>0</v>
      </c>
      <c r="I456">
        <v>41</v>
      </c>
      <c r="J456">
        <v>41</v>
      </c>
      <c r="K456" s="33">
        <v>0</v>
      </c>
      <c r="L456" s="1"/>
      <c r="M456" s="1"/>
      <c r="N456" s="1"/>
      <c r="O456" s="1"/>
      <c r="P456" s="1"/>
      <c r="Q456" s="1"/>
    </row>
    <row r="457" spans="1:17" x14ac:dyDescent="0.25">
      <c r="A457" s="2">
        <v>44734</v>
      </c>
      <c r="B457">
        <v>33</v>
      </c>
      <c r="C457">
        <v>16</v>
      </c>
      <c r="D457">
        <v>368</v>
      </c>
      <c r="E457">
        <v>5822</v>
      </c>
      <c r="F457" s="1" t="s">
        <v>100</v>
      </c>
      <c r="G457">
        <v>0</v>
      </c>
      <c r="H457">
        <v>0</v>
      </c>
      <c r="I457">
        <v>61</v>
      </c>
      <c r="J457">
        <v>61</v>
      </c>
      <c r="K457" s="33">
        <v>0</v>
      </c>
      <c r="L457" s="1"/>
      <c r="M457" s="1" t="str">
        <f>_xlfn.XLOOKUP(ocupacao[[#This Row],[UnidadeID]],unidades!$A:$A,unidades!$B:$B,"",0)</f>
        <v>Seggastro</v>
      </c>
      <c r="N457" s="1" t="str">
        <f>_xlfn.XLOOKUP(ocupacao[[#This Row],[UnidadeID]],unidades!$A:$A,unidades!$C:$C,"",0)</f>
        <v>Nova Iguaçu</v>
      </c>
      <c r="O457" s="1" t="str">
        <f>_xlfn.XLOOKUP(ocupacao[[#This Row],[EspecialidadeID]],especialidades!$A:$A,especialidades!$B:$B,"",0)</f>
        <v>GASTROENTEROLOGIA</v>
      </c>
      <c r="P457" s="1" t="str">
        <f>TEXT(WEEKDAY(ocupacao[[#This Row],[Data]]),"ddd")</f>
        <v>qua</v>
      </c>
      <c r="Q457" s="1">
        <f t="shared" si="7"/>
        <v>0</v>
      </c>
    </row>
    <row r="458" spans="1:17" x14ac:dyDescent="0.25">
      <c r="A458" s="2">
        <v>44734</v>
      </c>
      <c r="B458">
        <v>11</v>
      </c>
      <c r="C458">
        <v>16</v>
      </c>
      <c r="D458">
        <v>14</v>
      </c>
      <c r="E458">
        <v>5927</v>
      </c>
      <c r="F458" s="1" t="s">
        <v>93</v>
      </c>
      <c r="G458">
        <v>0</v>
      </c>
      <c r="H458">
        <v>21</v>
      </c>
      <c r="I458">
        <v>0</v>
      </c>
      <c r="J458">
        <v>21</v>
      </c>
      <c r="K458" s="33">
        <v>1</v>
      </c>
      <c r="L458" s="1"/>
      <c r="M458" s="1" t="str">
        <f>_xlfn.XLOOKUP(ocupacao[[#This Row],[UnidadeID]],unidades!$A:$A,unidades!$B:$B,"",0)</f>
        <v>Filial 2 - 11º</v>
      </c>
      <c r="N458" s="1" t="str">
        <f>_xlfn.XLOOKUP(ocupacao[[#This Row],[UnidadeID]],unidades!$A:$A,unidades!$C:$C,"",0)</f>
        <v>Nova Iguaçu</v>
      </c>
      <c r="O458" s="1" t="str">
        <f>_xlfn.XLOOKUP(ocupacao[[#This Row],[EspecialidadeID]],especialidades!$A:$A,especialidades!$B:$B,"",0)</f>
        <v>GASTROENTEROLOGIA</v>
      </c>
      <c r="P458" s="1" t="str">
        <f>TEXT(WEEKDAY(ocupacao[[#This Row],[Data]]),"ddd")</f>
        <v>qua</v>
      </c>
      <c r="Q458" s="1">
        <f t="shared" si="7"/>
        <v>0</v>
      </c>
    </row>
    <row r="459" spans="1:17" hidden="1" x14ac:dyDescent="0.25">
      <c r="A459" s="2">
        <v>44734</v>
      </c>
      <c r="B459">
        <v>33</v>
      </c>
      <c r="C459">
        <v>16</v>
      </c>
      <c r="D459">
        <v>368</v>
      </c>
      <c r="E459">
        <v>7900</v>
      </c>
      <c r="F459" s="1" t="s">
        <v>348</v>
      </c>
      <c r="G459">
        <v>0</v>
      </c>
      <c r="H459">
        <v>0</v>
      </c>
      <c r="I459">
        <v>41</v>
      </c>
      <c r="J459">
        <v>41</v>
      </c>
      <c r="K459" s="33">
        <v>0</v>
      </c>
      <c r="L459" s="1"/>
      <c r="M459" s="1"/>
      <c r="N459" s="1"/>
      <c r="O459" s="1"/>
      <c r="P459" s="1"/>
      <c r="Q459" s="1"/>
    </row>
    <row r="460" spans="1:17" x14ac:dyDescent="0.25">
      <c r="A460" s="2">
        <v>44734</v>
      </c>
      <c r="B460">
        <v>18</v>
      </c>
      <c r="C460">
        <v>16</v>
      </c>
      <c r="D460">
        <v>78</v>
      </c>
      <c r="E460">
        <v>13660</v>
      </c>
      <c r="F460" s="1" t="s">
        <v>112</v>
      </c>
      <c r="G460">
        <v>0</v>
      </c>
      <c r="H460">
        <v>8</v>
      </c>
      <c r="I460">
        <v>7</v>
      </c>
      <c r="J460">
        <v>15</v>
      </c>
      <c r="K460" s="33">
        <v>0.5333</v>
      </c>
      <c r="L460" s="1"/>
      <c r="M460" s="1" t="str">
        <f>_xlfn.XLOOKUP(ocupacao[[#This Row],[UnidadeID]],unidades!$A:$A,unidades!$B:$B,"",0)</f>
        <v>Miguel Couto</v>
      </c>
      <c r="N460" s="1" t="str">
        <f>_xlfn.XLOOKUP(ocupacao[[#This Row],[UnidadeID]],unidades!$A:$A,unidades!$C:$C,"",0)</f>
        <v>Miguel Couto</v>
      </c>
      <c r="O460" s="1" t="str">
        <f>_xlfn.XLOOKUP(ocupacao[[#This Row],[EspecialidadeID]],especialidades!$A:$A,especialidades!$B:$B,"",0)</f>
        <v>GASTROENTEROLOGIA</v>
      </c>
      <c r="P460" s="1" t="str">
        <f>TEXT(WEEKDAY(ocupacao[[#This Row],[Data]]),"ddd")</f>
        <v>qua</v>
      </c>
      <c r="Q460" s="1">
        <f t="shared" si="7"/>
        <v>0</v>
      </c>
    </row>
    <row r="461" spans="1:17" hidden="1" x14ac:dyDescent="0.25">
      <c r="A461" s="2"/>
      <c r="F461" s="1"/>
      <c r="K461" s="33"/>
      <c r="L461" s="1"/>
      <c r="M461" s="1"/>
      <c r="N461" s="1"/>
      <c r="O461" s="1"/>
      <c r="P461" s="1"/>
      <c r="Q461" s="1"/>
    </row>
    <row r="462" spans="1:17" x14ac:dyDescent="0.25">
      <c r="A462" s="2">
        <v>44734</v>
      </c>
      <c r="B462">
        <v>33</v>
      </c>
      <c r="C462">
        <v>16</v>
      </c>
      <c r="D462">
        <v>368</v>
      </c>
      <c r="E462">
        <v>13660</v>
      </c>
      <c r="F462" s="1" t="s">
        <v>112</v>
      </c>
      <c r="G462">
        <v>0</v>
      </c>
      <c r="H462">
        <v>0</v>
      </c>
      <c r="I462">
        <v>27</v>
      </c>
      <c r="J462">
        <v>27</v>
      </c>
      <c r="K462" s="33">
        <v>0</v>
      </c>
      <c r="L462" s="1"/>
      <c r="M462" s="1" t="str">
        <f>_xlfn.XLOOKUP(ocupacao[[#This Row],[UnidadeID]],unidades!$A:$A,unidades!$B:$B,"",0)</f>
        <v>Seggastro</v>
      </c>
      <c r="N462" s="1" t="str">
        <f>_xlfn.XLOOKUP(ocupacao[[#This Row],[UnidadeID]],unidades!$A:$A,unidades!$C:$C,"",0)</f>
        <v>Nova Iguaçu</v>
      </c>
      <c r="O462" s="1" t="str">
        <f>_xlfn.XLOOKUP(ocupacao[[#This Row],[EspecialidadeID]],especialidades!$A:$A,especialidades!$B:$B,"",0)</f>
        <v>GASTROENTEROLOGIA</v>
      </c>
      <c r="P462" s="1" t="str">
        <f>TEXT(WEEKDAY(ocupacao[[#This Row],[Data]]),"ddd")</f>
        <v>qua</v>
      </c>
      <c r="Q462" s="1">
        <f t="shared" si="7"/>
        <v>0</v>
      </c>
    </row>
    <row r="463" spans="1:17" hidden="1" x14ac:dyDescent="0.25">
      <c r="A463" s="2">
        <v>44735</v>
      </c>
      <c r="B463">
        <v>33</v>
      </c>
      <c r="C463">
        <v>16</v>
      </c>
      <c r="D463">
        <v>368</v>
      </c>
      <c r="E463">
        <v>75</v>
      </c>
      <c r="F463" s="1" t="s">
        <v>125</v>
      </c>
      <c r="G463">
        <v>0</v>
      </c>
      <c r="H463">
        <v>1</v>
      </c>
      <c r="I463">
        <v>60</v>
      </c>
      <c r="J463">
        <v>61</v>
      </c>
      <c r="K463" s="33">
        <v>1.6400000000000001E-2</v>
      </c>
      <c r="L463" s="1"/>
      <c r="M463" s="1"/>
      <c r="N463" s="1"/>
      <c r="O463" s="1"/>
      <c r="P463" s="1"/>
      <c r="Q463" s="1"/>
    </row>
    <row r="464" spans="1:17" x14ac:dyDescent="0.25">
      <c r="A464" s="2">
        <v>44735</v>
      </c>
      <c r="B464">
        <v>33</v>
      </c>
      <c r="C464">
        <v>16</v>
      </c>
      <c r="D464">
        <v>368</v>
      </c>
      <c r="E464">
        <v>1586</v>
      </c>
      <c r="F464" s="1" t="s">
        <v>132</v>
      </c>
      <c r="G464">
        <v>0</v>
      </c>
      <c r="H464">
        <v>0</v>
      </c>
      <c r="I464">
        <v>41</v>
      </c>
      <c r="J464">
        <v>41</v>
      </c>
      <c r="K464" s="33">
        <v>0</v>
      </c>
      <c r="L464" s="1"/>
      <c r="M464" s="1" t="str">
        <f>_xlfn.XLOOKUP(ocupacao[[#This Row],[UnidadeID]],unidades!$A:$A,unidades!$B:$B,"",0)</f>
        <v>Seggastro</v>
      </c>
      <c r="N464" s="1" t="str">
        <f>_xlfn.XLOOKUP(ocupacao[[#This Row],[UnidadeID]],unidades!$A:$A,unidades!$C:$C,"",0)</f>
        <v>Nova Iguaçu</v>
      </c>
      <c r="O464" s="1" t="str">
        <f>_xlfn.XLOOKUP(ocupacao[[#This Row],[EspecialidadeID]],especialidades!$A:$A,especialidades!$B:$B,"",0)</f>
        <v>GASTROENTEROLOGIA</v>
      </c>
      <c r="P464" s="1" t="str">
        <f>TEXT(WEEKDAY(ocupacao[[#This Row],[Data]]),"ddd")</f>
        <v>qui</v>
      </c>
      <c r="Q464" s="1">
        <f t="shared" si="7"/>
        <v>0</v>
      </c>
    </row>
    <row r="465" spans="1:17" x14ac:dyDescent="0.25">
      <c r="A465" s="2">
        <v>44735</v>
      </c>
      <c r="B465">
        <v>33</v>
      </c>
      <c r="C465">
        <v>16</v>
      </c>
      <c r="D465">
        <v>368</v>
      </c>
      <c r="E465">
        <v>2036</v>
      </c>
      <c r="F465" s="1" t="s">
        <v>374</v>
      </c>
      <c r="G465">
        <v>0</v>
      </c>
      <c r="H465">
        <v>0</v>
      </c>
      <c r="I465">
        <v>41</v>
      </c>
      <c r="J465">
        <v>41</v>
      </c>
      <c r="K465" s="33">
        <v>0</v>
      </c>
      <c r="L465" s="1"/>
      <c r="M465" s="1" t="str">
        <f>_xlfn.XLOOKUP(ocupacao[[#This Row],[UnidadeID]],unidades!$A:$A,unidades!$B:$B,"",0)</f>
        <v>Seggastro</v>
      </c>
      <c r="N465" s="1" t="str">
        <f>_xlfn.XLOOKUP(ocupacao[[#This Row],[UnidadeID]],unidades!$A:$A,unidades!$C:$C,"",0)</f>
        <v>Nova Iguaçu</v>
      </c>
      <c r="O465" s="1" t="str">
        <f>_xlfn.XLOOKUP(ocupacao[[#This Row],[EspecialidadeID]],especialidades!$A:$A,especialidades!$B:$B,"",0)</f>
        <v>GASTROENTEROLOGIA</v>
      </c>
      <c r="P465" s="1" t="str">
        <f>TEXT(WEEKDAY(ocupacao[[#This Row],[Data]]),"ddd")</f>
        <v>qui</v>
      </c>
      <c r="Q465" s="1">
        <f t="shared" si="7"/>
        <v>0</v>
      </c>
    </row>
    <row r="466" spans="1:17" x14ac:dyDescent="0.25">
      <c r="A466" s="2">
        <v>44735</v>
      </c>
      <c r="B466">
        <v>33</v>
      </c>
      <c r="C466">
        <v>16</v>
      </c>
      <c r="D466">
        <v>11</v>
      </c>
      <c r="E466">
        <v>5822</v>
      </c>
      <c r="F466" s="1" t="s">
        <v>100</v>
      </c>
      <c r="G466">
        <v>0</v>
      </c>
      <c r="H466">
        <v>16</v>
      </c>
      <c r="I466">
        <v>0</v>
      </c>
      <c r="J466">
        <v>16</v>
      </c>
      <c r="K466" s="33">
        <v>1</v>
      </c>
      <c r="L466" s="1"/>
      <c r="M466" s="1" t="str">
        <f>_xlfn.XLOOKUP(ocupacao[[#This Row],[UnidadeID]],unidades!$A:$A,unidades!$B:$B,"",0)</f>
        <v>Seggastro</v>
      </c>
      <c r="N466" s="1" t="str">
        <f>_xlfn.XLOOKUP(ocupacao[[#This Row],[UnidadeID]],unidades!$A:$A,unidades!$C:$C,"",0)</f>
        <v>Nova Iguaçu</v>
      </c>
      <c r="O466" s="1" t="str">
        <f>_xlfn.XLOOKUP(ocupacao[[#This Row],[EspecialidadeID]],especialidades!$A:$A,especialidades!$B:$B,"",0)</f>
        <v>GASTROENTEROLOGIA</v>
      </c>
      <c r="P466" s="1" t="str">
        <f>TEXT(WEEKDAY(ocupacao[[#This Row],[Data]]),"ddd")</f>
        <v>qui</v>
      </c>
      <c r="Q466" s="1">
        <f t="shared" si="7"/>
        <v>1</v>
      </c>
    </row>
    <row r="467" spans="1:17" x14ac:dyDescent="0.25">
      <c r="A467" s="2">
        <v>44735</v>
      </c>
      <c r="B467">
        <v>33</v>
      </c>
      <c r="C467">
        <v>16</v>
      </c>
      <c r="D467">
        <v>368</v>
      </c>
      <c r="E467">
        <v>5822</v>
      </c>
      <c r="F467" s="1" t="s">
        <v>100</v>
      </c>
      <c r="G467">
        <v>0</v>
      </c>
      <c r="H467">
        <v>0</v>
      </c>
      <c r="I467">
        <v>25</v>
      </c>
      <c r="J467">
        <v>25</v>
      </c>
      <c r="K467" s="33">
        <v>0</v>
      </c>
      <c r="L467" s="1"/>
      <c r="M467" s="1" t="str">
        <f>_xlfn.XLOOKUP(ocupacao[[#This Row],[UnidadeID]],unidades!$A:$A,unidades!$B:$B,"",0)</f>
        <v>Seggastro</v>
      </c>
      <c r="N467" s="1" t="str">
        <f>_xlfn.XLOOKUP(ocupacao[[#This Row],[UnidadeID]],unidades!$A:$A,unidades!$C:$C,"",0)</f>
        <v>Nova Iguaçu</v>
      </c>
      <c r="O467" s="1" t="str">
        <f>_xlfn.XLOOKUP(ocupacao[[#This Row],[EspecialidadeID]],especialidades!$A:$A,especialidades!$B:$B,"",0)</f>
        <v>GASTROENTEROLOGIA</v>
      </c>
      <c r="P467" s="1" t="str">
        <f>TEXT(WEEKDAY(ocupacao[[#This Row],[Data]]),"ddd")</f>
        <v>qui</v>
      </c>
      <c r="Q467" s="1">
        <f t="shared" si="7"/>
        <v>0</v>
      </c>
    </row>
    <row r="468" spans="1:17" x14ac:dyDescent="0.25">
      <c r="A468" s="2">
        <v>44735</v>
      </c>
      <c r="B468">
        <v>33</v>
      </c>
      <c r="C468">
        <v>16</v>
      </c>
      <c r="D468">
        <v>368</v>
      </c>
      <c r="E468">
        <v>7900</v>
      </c>
      <c r="F468" s="1" t="s">
        <v>348</v>
      </c>
      <c r="G468">
        <v>0</v>
      </c>
      <c r="H468">
        <v>0</v>
      </c>
      <c r="I468">
        <v>41</v>
      </c>
      <c r="J468">
        <v>41</v>
      </c>
      <c r="K468" s="33">
        <v>0</v>
      </c>
      <c r="L468" s="1"/>
      <c r="M468" s="1" t="str">
        <f>_xlfn.XLOOKUP(ocupacao[[#This Row],[UnidadeID]],unidades!$A:$A,unidades!$B:$B,"",0)</f>
        <v>Seggastro</v>
      </c>
      <c r="N468" s="1" t="str">
        <f>_xlfn.XLOOKUP(ocupacao[[#This Row],[UnidadeID]],unidades!$A:$A,unidades!$C:$C,"",0)</f>
        <v>Nova Iguaçu</v>
      </c>
      <c r="O468" s="1" t="str">
        <f>_xlfn.XLOOKUP(ocupacao[[#This Row],[EspecialidadeID]],especialidades!$A:$A,especialidades!$B:$B,"",0)</f>
        <v>GASTROENTEROLOGIA</v>
      </c>
      <c r="P468" s="1" t="str">
        <f>TEXT(WEEKDAY(ocupacao[[#This Row],[Data]]),"ddd")</f>
        <v>qui</v>
      </c>
      <c r="Q468" s="1">
        <f t="shared" si="7"/>
        <v>0</v>
      </c>
    </row>
    <row r="469" spans="1:17" x14ac:dyDescent="0.25">
      <c r="A469" s="2">
        <v>44735</v>
      </c>
      <c r="B469">
        <v>0</v>
      </c>
      <c r="C469">
        <v>16</v>
      </c>
      <c r="D469">
        <v>346</v>
      </c>
      <c r="E469">
        <v>13660</v>
      </c>
      <c r="F469" s="1" t="s">
        <v>112</v>
      </c>
      <c r="G469">
        <v>0</v>
      </c>
      <c r="H469">
        <v>0</v>
      </c>
      <c r="I469">
        <v>108</v>
      </c>
      <c r="J469">
        <v>108</v>
      </c>
      <c r="K469" s="33">
        <v>0</v>
      </c>
      <c r="L469" s="1"/>
      <c r="M469" s="1" t="str">
        <f>_xlfn.XLOOKUP(ocupacao[[#This Row],[UnidadeID]],unidades!$A:$A,unidades!$B:$B,"",0)</f>
        <v>Matriz</v>
      </c>
      <c r="N469" s="1" t="str">
        <f>_xlfn.XLOOKUP(ocupacao[[#This Row],[UnidadeID]],unidades!$A:$A,unidades!$C:$C,"",0)</f>
        <v>Nova Iguaçu</v>
      </c>
      <c r="O469" s="1" t="str">
        <f>_xlfn.XLOOKUP(ocupacao[[#This Row],[EspecialidadeID]],especialidades!$A:$A,especialidades!$B:$B,"",0)</f>
        <v>GASTROENTEROLOGIA</v>
      </c>
      <c r="P469" s="1" t="str">
        <f>TEXT(WEEKDAY(ocupacao[[#This Row],[Data]]),"ddd")</f>
        <v>qui</v>
      </c>
      <c r="Q469" s="1">
        <f t="shared" si="7"/>
        <v>0</v>
      </c>
    </row>
    <row r="470" spans="1:17" x14ac:dyDescent="0.25">
      <c r="A470" s="2">
        <v>44736</v>
      </c>
      <c r="B470">
        <v>33</v>
      </c>
      <c r="C470">
        <v>16</v>
      </c>
      <c r="D470">
        <v>368</v>
      </c>
      <c r="E470">
        <v>75</v>
      </c>
      <c r="F470" s="1" t="s">
        <v>125</v>
      </c>
      <c r="G470">
        <v>0</v>
      </c>
      <c r="H470">
        <v>0</v>
      </c>
      <c r="I470">
        <v>61</v>
      </c>
      <c r="J470">
        <v>61</v>
      </c>
      <c r="K470" s="33">
        <v>0</v>
      </c>
      <c r="L470" s="1"/>
      <c r="M470" s="1" t="str">
        <f>_xlfn.XLOOKUP(ocupacao[[#This Row],[UnidadeID]],unidades!$A:$A,unidades!$B:$B,"",0)</f>
        <v>Seggastro</v>
      </c>
      <c r="N470" s="1" t="str">
        <f>_xlfn.XLOOKUP(ocupacao[[#This Row],[UnidadeID]],unidades!$A:$A,unidades!$C:$C,"",0)</f>
        <v>Nova Iguaçu</v>
      </c>
      <c r="O470" s="1" t="str">
        <f>_xlfn.XLOOKUP(ocupacao[[#This Row],[EspecialidadeID]],especialidades!$A:$A,especialidades!$B:$B,"",0)</f>
        <v>GASTROENTEROLOGIA</v>
      </c>
      <c r="P470" s="1" t="str">
        <f>TEXT(WEEKDAY(ocupacao[[#This Row],[Data]]),"ddd")</f>
        <v>sex</v>
      </c>
      <c r="Q470" s="1">
        <f t="shared" si="7"/>
        <v>0</v>
      </c>
    </row>
    <row r="471" spans="1:17" x14ac:dyDescent="0.25">
      <c r="A471" s="2">
        <v>44736</v>
      </c>
      <c r="B471">
        <v>33</v>
      </c>
      <c r="C471">
        <v>16</v>
      </c>
      <c r="D471">
        <v>368</v>
      </c>
      <c r="E471">
        <v>1586</v>
      </c>
      <c r="F471" s="1" t="s">
        <v>132</v>
      </c>
      <c r="G471">
        <v>0</v>
      </c>
      <c r="H471">
        <v>0</v>
      </c>
      <c r="I471">
        <v>41</v>
      </c>
      <c r="J471">
        <v>41</v>
      </c>
      <c r="K471" s="33">
        <v>0</v>
      </c>
      <c r="L471" s="1"/>
      <c r="M471" s="1" t="str">
        <f>_xlfn.XLOOKUP(ocupacao[[#This Row],[UnidadeID]],unidades!$A:$A,unidades!$B:$B,"",0)</f>
        <v>Seggastro</v>
      </c>
      <c r="N471" s="1" t="str">
        <f>_xlfn.XLOOKUP(ocupacao[[#This Row],[UnidadeID]],unidades!$A:$A,unidades!$C:$C,"",0)</f>
        <v>Nova Iguaçu</v>
      </c>
      <c r="O471" s="1" t="str">
        <f>_xlfn.XLOOKUP(ocupacao[[#This Row],[EspecialidadeID]],especialidades!$A:$A,especialidades!$B:$B,"",0)</f>
        <v>GASTROENTEROLOGIA</v>
      </c>
      <c r="P471" s="1" t="str">
        <f>TEXT(WEEKDAY(ocupacao[[#This Row],[Data]]),"ddd")</f>
        <v>sex</v>
      </c>
      <c r="Q471" s="1">
        <f t="shared" si="7"/>
        <v>0</v>
      </c>
    </row>
    <row r="472" spans="1:17" x14ac:dyDescent="0.25">
      <c r="A472" s="2">
        <v>44736</v>
      </c>
      <c r="B472">
        <v>33</v>
      </c>
      <c r="C472">
        <v>16</v>
      </c>
      <c r="D472">
        <v>368</v>
      </c>
      <c r="E472">
        <v>2036</v>
      </c>
      <c r="F472" s="1" t="s">
        <v>374</v>
      </c>
      <c r="G472">
        <v>0</v>
      </c>
      <c r="H472">
        <v>0</v>
      </c>
      <c r="I472">
        <v>41</v>
      </c>
      <c r="J472">
        <v>41</v>
      </c>
      <c r="K472" s="33">
        <v>0</v>
      </c>
      <c r="L472" s="1"/>
      <c r="M472" s="1" t="str">
        <f>_xlfn.XLOOKUP(ocupacao[[#This Row],[UnidadeID]],unidades!$A:$A,unidades!$B:$B,"",0)</f>
        <v>Seggastro</v>
      </c>
      <c r="N472" s="1" t="str">
        <f>_xlfn.XLOOKUP(ocupacao[[#This Row],[UnidadeID]],unidades!$A:$A,unidades!$C:$C,"",0)</f>
        <v>Nova Iguaçu</v>
      </c>
      <c r="O472" s="1" t="str">
        <f>_xlfn.XLOOKUP(ocupacao[[#This Row],[EspecialidadeID]],especialidades!$A:$A,especialidades!$B:$B,"",0)</f>
        <v>GASTROENTEROLOGIA</v>
      </c>
      <c r="P472" s="1" t="str">
        <f>TEXT(WEEKDAY(ocupacao[[#This Row],[Data]]),"ddd")</f>
        <v>sex</v>
      </c>
      <c r="Q472" s="1">
        <f t="shared" si="7"/>
        <v>0</v>
      </c>
    </row>
    <row r="473" spans="1:17" x14ac:dyDescent="0.25">
      <c r="A473" s="2">
        <v>44736</v>
      </c>
      <c r="B473">
        <v>33</v>
      </c>
      <c r="C473">
        <v>16</v>
      </c>
      <c r="D473">
        <v>368</v>
      </c>
      <c r="E473">
        <v>5822</v>
      </c>
      <c r="F473" s="1" t="s">
        <v>100</v>
      </c>
      <c r="G473">
        <v>0</v>
      </c>
      <c r="H473">
        <v>0</v>
      </c>
      <c r="I473">
        <v>61</v>
      </c>
      <c r="J473">
        <v>61</v>
      </c>
      <c r="K473" s="33">
        <v>0</v>
      </c>
      <c r="L473" s="1"/>
      <c r="M473" s="1" t="str">
        <f>_xlfn.XLOOKUP(ocupacao[[#This Row],[UnidadeID]],unidades!$A:$A,unidades!$B:$B,"",0)</f>
        <v>Seggastro</v>
      </c>
      <c r="N473" s="1" t="str">
        <f>_xlfn.XLOOKUP(ocupacao[[#This Row],[UnidadeID]],unidades!$A:$A,unidades!$C:$C,"",0)</f>
        <v>Nova Iguaçu</v>
      </c>
      <c r="O473" s="1" t="str">
        <f>_xlfn.XLOOKUP(ocupacao[[#This Row],[EspecialidadeID]],especialidades!$A:$A,especialidades!$B:$B,"",0)</f>
        <v>GASTROENTEROLOGIA</v>
      </c>
      <c r="P473" s="1" t="str">
        <f>TEXT(WEEKDAY(ocupacao[[#This Row],[Data]]),"ddd")</f>
        <v>sex</v>
      </c>
      <c r="Q473" s="1">
        <f t="shared" si="7"/>
        <v>0</v>
      </c>
    </row>
    <row r="474" spans="1:17" x14ac:dyDescent="0.25">
      <c r="A474" s="2">
        <v>44736</v>
      </c>
      <c r="B474">
        <v>11</v>
      </c>
      <c r="C474">
        <v>16</v>
      </c>
      <c r="D474">
        <v>17</v>
      </c>
      <c r="E474">
        <v>5927</v>
      </c>
      <c r="F474" s="1" t="s">
        <v>93</v>
      </c>
      <c r="G474">
        <v>0</v>
      </c>
      <c r="H474">
        <v>17</v>
      </c>
      <c r="I474">
        <v>0</v>
      </c>
      <c r="J474">
        <v>17</v>
      </c>
      <c r="K474" s="33">
        <v>1</v>
      </c>
      <c r="L474" s="1"/>
      <c r="M474" s="1" t="str">
        <f>_xlfn.XLOOKUP(ocupacao[[#This Row],[UnidadeID]],unidades!$A:$A,unidades!$B:$B,"",0)</f>
        <v>Filial 2 - 11º</v>
      </c>
      <c r="N474" s="1" t="str">
        <f>_xlfn.XLOOKUP(ocupacao[[#This Row],[UnidadeID]],unidades!$A:$A,unidades!$C:$C,"",0)</f>
        <v>Nova Iguaçu</v>
      </c>
      <c r="O474" s="1" t="str">
        <f>_xlfn.XLOOKUP(ocupacao[[#This Row],[EspecialidadeID]],especialidades!$A:$A,especialidades!$B:$B,"",0)</f>
        <v>GASTROENTEROLOGIA</v>
      </c>
      <c r="P474" s="1" t="str">
        <f>TEXT(WEEKDAY(ocupacao[[#This Row],[Data]]),"ddd")</f>
        <v>sex</v>
      </c>
      <c r="Q474" s="1">
        <f t="shared" si="7"/>
        <v>0</v>
      </c>
    </row>
    <row r="475" spans="1:17" x14ac:dyDescent="0.25">
      <c r="A475" s="2">
        <v>44736</v>
      </c>
      <c r="B475">
        <v>33</v>
      </c>
      <c r="C475">
        <v>16</v>
      </c>
      <c r="D475">
        <v>368</v>
      </c>
      <c r="E475">
        <v>7900</v>
      </c>
      <c r="F475" s="1" t="s">
        <v>348</v>
      </c>
      <c r="G475">
        <v>0</v>
      </c>
      <c r="H475">
        <v>0</v>
      </c>
      <c r="I475">
        <v>41</v>
      </c>
      <c r="J475">
        <v>41</v>
      </c>
      <c r="K475" s="33">
        <v>0</v>
      </c>
      <c r="L475" s="1"/>
      <c r="M475" s="1" t="str">
        <f>_xlfn.XLOOKUP(ocupacao[[#This Row],[UnidadeID]],unidades!$A:$A,unidades!$B:$B,"",0)</f>
        <v>Seggastro</v>
      </c>
      <c r="N475" s="1" t="str">
        <f>_xlfn.XLOOKUP(ocupacao[[#This Row],[UnidadeID]],unidades!$A:$A,unidades!$C:$C,"",0)</f>
        <v>Nova Iguaçu</v>
      </c>
      <c r="O475" s="1" t="str">
        <f>_xlfn.XLOOKUP(ocupacao[[#This Row],[EspecialidadeID]],especialidades!$A:$A,especialidades!$B:$B,"",0)</f>
        <v>GASTROENTEROLOGIA</v>
      </c>
      <c r="P475" s="1" t="str">
        <f>TEXT(WEEKDAY(ocupacao[[#This Row],[Data]]),"ddd")</f>
        <v>sex</v>
      </c>
      <c r="Q475" s="1">
        <f t="shared" si="7"/>
        <v>0</v>
      </c>
    </row>
    <row r="476" spans="1:17" x14ac:dyDescent="0.25">
      <c r="A476" s="2">
        <v>44736</v>
      </c>
      <c r="B476">
        <v>33</v>
      </c>
      <c r="C476">
        <v>16</v>
      </c>
      <c r="D476">
        <v>15</v>
      </c>
      <c r="E476">
        <v>13660</v>
      </c>
      <c r="F476" s="1" t="s">
        <v>112</v>
      </c>
      <c r="G476">
        <v>0</v>
      </c>
      <c r="H476">
        <v>21</v>
      </c>
      <c r="I476">
        <v>0</v>
      </c>
      <c r="J476">
        <v>21</v>
      </c>
      <c r="K476" s="33">
        <v>1</v>
      </c>
      <c r="L476" s="1"/>
      <c r="M476" s="1" t="str">
        <f>_xlfn.XLOOKUP(ocupacao[[#This Row],[UnidadeID]],unidades!$A:$A,unidades!$B:$B,"",0)</f>
        <v>Seggastro</v>
      </c>
      <c r="N476" s="1" t="str">
        <f>_xlfn.XLOOKUP(ocupacao[[#This Row],[UnidadeID]],unidades!$A:$A,unidades!$C:$C,"",0)</f>
        <v>Nova Iguaçu</v>
      </c>
      <c r="O476" s="1" t="str">
        <f>_xlfn.XLOOKUP(ocupacao[[#This Row],[EspecialidadeID]],especialidades!$A:$A,especialidades!$B:$B,"",0)</f>
        <v>GASTROENTEROLOGIA</v>
      </c>
      <c r="P476" s="1" t="str">
        <f>TEXT(WEEKDAY(ocupacao[[#This Row],[Data]]),"ddd")</f>
        <v>sex</v>
      </c>
      <c r="Q476" s="1">
        <f t="shared" si="7"/>
        <v>0</v>
      </c>
    </row>
    <row r="477" spans="1:17" hidden="1" x14ac:dyDescent="0.25">
      <c r="A477" s="2"/>
      <c r="F477" s="1"/>
      <c r="K477" s="33"/>
      <c r="L477" s="1"/>
      <c r="M477" s="1"/>
      <c r="N477" s="1"/>
      <c r="O477" s="1"/>
      <c r="P477" s="1"/>
      <c r="Q477" s="1"/>
    </row>
    <row r="478" spans="1:17" hidden="1" x14ac:dyDescent="0.25">
      <c r="A478" s="2">
        <v>44736</v>
      </c>
      <c r="B478">
        <v>33</v>
      </c>
      <c r="C478">
        <v>16</v>
      </c>
      <c r="D478">
        <v>368</v>
      </c>
      <c r="E478">
        <v>13660</v>
      </c>
      <c r="F478" s="1" t="s">
        <v>112</v>
      </c>
      <c r="G478">
        <v>0</v>
      </c>
      <c r="H478">
        <v>0</v>
      </c>
      <c r="I478">
        <v>13</v>
      </c>
      <c r="J478">
        <v>13</v>
      </c>
      <c r="K478" s="33">
        <v>0</v>
      </c>
      <c r="L478" s="1"/>
      <c r="M478" s="1"/>
      <c r="N478" s="1"/>
      <c r="O478" s="1"/>
      <c r="P478" s="1"/>
      <c r="Q478" s="1"/>
    </row>
    <row r="479" spans="1:17" x14ac:dyDescent="0.25">
      <c r="A479" s="2">
        <v>44736</v>
      </c>
      <c r="B479">
        <v>33</v>
      </c>
      <c r="C479">
        <v>16</v>
      </c>
      <c r="D479">
        <v>368</v>
      </c>
      <c r="E479">
        <v>13660</v>
      </c>
      <c r="F479" s="1" t="s">
        <v>112</v>
      </c>
      <c r="G479">
        <v>0</v>
      </c>
      <c r="H479">
        <v>0</v>
      </c>
      <c r="I479">
        <v>13</v>
      </c>
      <c r="J479">
        <v>13</v>
      </c>
      <c r="K479" s="33">
        <v>0</v>
      </c>
      <c r="L479" s="1"/>
      <c r="M479" s="1" t="str">
        <f>_xlfn.XLOOKUP(ocupacao[[#This Row],[UnidadeID]],unidades!$A:$A,unidades!$B:$B,"",0)</f>
        <v>Seggastro</v>
      </c>
      <c r="N479" s="1" t="str">
        <f>_xlfn.XLOOKUP(ocupacao[[#This Row],[UnidadeID]],unidades!$A:$A,unidades!$C:$C,"",0)</f>
        <v>Nova Iguaçu</v>
      </c>
      <c r="O479" s="1" t="str">
        <f>_xlfn.XLOOKUP(ocupacao[[#This Row],[EspecialidadeID]],especialidades!$A:$A,especialidades!$B:$B,"",0)</f>
        <v>GASTROENTEROLOGIA</v>
      </c>
      <c r="P479" s="1" t="str">
        <f>TEXT(WEEKDAY(ocupacao[[#This Row],[Data]]),"ddd")</f>
        <v>sex</v>
      </c>
      <c r="Q479" s="1">
        <f t="shared" si="7"/>
        <v>0</v>
      </c>
    </row>
    <row r="480" spans="1:17" x14ac:dyDescent="0.25">
      <c r="A480" s="2">
        <v>44737</v>
      </c>
      <c r="B480">
        <v>33</v>
      </c>
      <c r="C480">
        <v>16</v>
      </c>
      <c r="D480">
        <v>368</v>
      </c>
      <c r="E480">
        <v>75</v>
      </c>
      <c r="F480" s="1" t="s">
        <v>125</v>
      </c>
      <c r="G480">
        <v>0</v>
      </c>
      <c r="H480">
        <v>0</v>
      </c>
      <c r="I480">
        <v>61</v>
      </c>
      <c r="J480">
        <v>61</v>
      </c>
      <c r="K480" s="33">
        <v>0</v>
      </c>
      <c r="L480" s="1"/>
      <c r="M480" s="1" t="str">
        <f>_xlfn.XLOOKUP(ocupacao[[#This Row],[UnidadeID]],unidades!$A:$A,unidades!$B:$B,"",0)</f>
        <v>Seggastro</v>
      </c>
      <c r="N480" s="1" t="str">
        <f>_xlfn.XLOOKUP(ocupacao[[#This Row],[UnidadeID]],unidades!$A:$A,unidades!$C:$C,"",0)</f>
        <v>Nova Iguaçu</v>
      </c>
      <c r="O480" s="1" t="str">
        <f>_xlfn.XLOOKUP(ocupacao[[#This Row],[EspecialidadeID]],especialidades!$A:$A,especialidades!$B:$B,"",0)</f>
        <v>GASTROENTEROLOGIA</v>
      </c>
      <c r="P480" s="1" t="str">
        <f>TEXT(WEEKDAY(ocupacao[[#This Row],[Data]]),"ddd")</f>
        <v>sáb</v>
      </c>
      <c r="Q480" s="1">
        <f t="shared" si="7"/>
        <v>0</v>
      </c>
    </row>
    <row r="481" spans="1:17" x14ac:dyDescent="0.25">
      <c r="A481" s="2">
        <v>44737</v>
      </c>
      <c r="B481">
        <v>33</v>
      </c>
      <c r="C481">
        <v>16</v>
      </c>
      <c r="D481">
        <v>368</v>
      </c>
      <c r="E481">
        <v>1586</v>
      </c>
      <c r="F481" s="1" t="s">
        <v>132</v>
      </c>
      <c r="G481">
        <v>0</v>
      </c>
      <c r="H481">
        <v>0</v>
      </c>
      <c r="I481">
        <v>41</v>
      </c>
      <c r="J481">
        <v>41</v>
      </c>
      <c r="K481" s="33">
        <v>0</v>
      </c>
      <c r="L481" s="1"/>
      <c r="M481" s="1" t="str">
        <f>_xlfn.XLOOKUP(ocupacao[[#This Row],[UnidadeID]],unidades!$A:$A,unidades!$B:$B,"",0)</f>
        <v>Seggastro</v>
      </c>
      <c r="N481" s="1" t="str">
        <f>_xlfn.XLOOKUP(ocupacao[[#This Row],[UnidadeID]],unidades!$A:$A,unidades!$C:$C,"",0)</f>
        <v>Nova Iguaçu</v>
      </c>
      <c r="O481" s="1" t="str">
        <f>_xlfn.XLOOKUP(ocupacao[[#This Row],[EspecialidadeID]],especialidades!$A:$A,especialidades!$B:$B,"",0)</f>
        <v>GASTROENTEROLOGIA</v>
      </c>
      <c r="P481" s="1" t="str">
        <f>TEXT(WEEKDAY(ocupacao[[#This Row],[Data]]),"ddd")</f>
        <v>sáb</v>
      </c>
      <c r="Q481" s="1">
        <f t="shared" si="7"/>
        <v>0</v>
      </c>
    </row>
    <row r="482" spans="1:17" x14ac:dyDescent="0.25">
      <c r="A482" s="2">
        <v>44737</v>
      </c>
      <c r="B482">
        <v>33</v>
      </c>
      <c r="C482">
        <v>16</v>
      </c>
      <c r="D482">
        <v>368</v>
      </c>
      <c r="E482">
        <v>2036</v>
      </c>
      <c r="F482" s="1" t="s">
        <v>374</v>
      </c>
      <c r="G482">
        <v>0</v>
      </c>
      <c r="H482">
        <v>0</v>
      </c>
      <c r="I482">
        <v>21</v>
      </c>
      <c r="J482">
        <v>21</v>
      </c>
      <c r="K482" s="33">
        <v>0</v>
      </c>
      <c r="L482" s="1"/>
      <c r="M482" s="1" t="str">
        <f>_xlfn.XLOOKUP(ocupacao[[#This Row],[UnidadeID]],unidades!$A:$A,unidades!$B:$B,"",0)</f>
        <v>Seggastro</v>
      </c>
      <c r="N482" s="1" t="str">
        <f>_xlfn.XLOOKUP(ocupacao[[#This Row],[UnidadeID]],unidades!$A:$A,unidades!$C:$C,"",0)</f>
        <v>Nova Iguaçu</v>
      </c>
      <c r="O482" s="1" t="str">
        <f>_xlfn.XLOOKUP(ocupacao[[#This Row],[EspecialidadeID]],especialidades!$A:$A,especialidades!$B:$B,"",0)</f>
        <v>GASTROENTEROLOGIA</v>
      </c>
      <c r="P482" s="1" t="str">
        <f>TEXT(WEEKDAY(ocupacao[[#This Row],[Data]]),"ddd")</f>
        <v>sáb</v>
      </c>
      <c r="Q482" s="1">
        <f t="shared" si="7"/>
        <v>0</v>
      </c>
    </row>
    <row r="483" spans="1:17" x14ac:dyDescent="0.25">
      <c r="A483" s="2">
        <v>44737</v>
      </c>
      <c r="B483">
        <v>33</v>
      </c>
      <c r="C483">
        <v>16</v>
      </c>
      <c r="D483">
        <v>368</v>
      </c>
      <c r="E483">
        <v>5822</v>
      </c>
      <c r="F483" s="1" t="s">
        <v>100</v>
      </c>
      <c r="G483">
        <v>0</v>
      </c>
      <c r="H483">
        <v>0</v>
      </c>
      <c r="I483">
        <v>61</v>
      </c>
      <c r="J483">
        <v>61</v>
      </c>
      <c r="K483" s="33">
        <v>0</v>
      </c>
      <c r="L483" s="1"/>
      <c r="M483" s="1" t="str">
        <f>_xlfn.XLOOKUP(ocupacao[[#This Row],[UnidadeID]],unidades!$A:$A,unidades!$B:$B,"",0)</f>
        <v>Seggastro</v>
      </c>
      <c r="N483" s="1" t="str">
        <f>_xlfn.XLOOKUP(ocupacao[[#This Row],[UnidadeID]],unidades!$A:$A,unidades!$C:$C,"",0)</f>
        <v>Nova Iguaçu</v>
      </c>
      <c r="O483" s="1" t="str">
        <f>_xlfn.XLOOKUP(ocupacao[[#This Row],[EspecialidadeID]],especialidades!$A:$A,especialidades!$B:$B,"",0)</f>
        <v>GASTROENTEROLOGIA</v>
      </c>
      <c r="P483" s="1" t="str">
        <f>TEXT(WEEKDAY(ocupacao[[#This Row],[Data]]),"ddd")</f>
        <v>sáb</v>
      </c>
      <c r="Q483" s="1">
        <f t="shared" si="7"/>
        <v>0</v>
      </c>
    </row>
    <row r="484" spans="1:17" x14ac:dyDescent="0.25">
      <c r="A484" s="2">
        <v>44737</v>
      </c>
      <c r="B484">
        <v>33</v>
      </c>
      <c r="C484">
        <v>16</v>
      </c>
      <c r="D484">
        <v>368</v>
      </c>
      <c r="E484">
        <v>7900</v>
      </c>
      <c r="F484" s="1" t="s">
        <v>348</v>
      </c>
      <c r="G484">
        <v>0</v>
      </c>
      <c r="H484">
        <v>0</v>
      </c>
      <c r="I484">
        <v>21</v>
      </c>
      <c r="J484">
        <v>21</v>
      </c>
      <c r="K484" s="33">
        <v>0</v>
      </c>
      <c r="L484" s="1"/>
      <c r="M484" s="1" t="str">
        <f>_xlfn.XLOOKUP(ocupacao[[#This Row],[UnidadeID]],unidades!$A:$A,unidades!$B:$B,"",0)</f>
        <v>Seggastro</v>
      </c>
      <c r="N484" s="1" t="str">
        <f>_xlfn.XLOOKUP(ocupacao[[#This Row],[UnidadeID]],unidades!$A:$A,unidades!$C:$C,"",0)</f>
        <v>Nova Iguaçu</v>
      </c>
      <c r="O484" s="1" t="str">
        <f>_xlfn.XLOOKUP(ocupacao[[#This Row],[EspecialidadeID]],especialidades!$A:$A,especialidades!$B:$B,"",0)</f>
        <v>GASTROENTEROLOGIA</v>
      </c>
      <c r="P484" s="1" t="str">
        <f>TEXT(WEEKDAY(ocupacao[[#This Row],[Data]]),"ddd")</f>
        <v>sáb</v>
      </c>
      <c r="Q484" s="1">
        <f t="shared" si="7"/>
        <v>0</v>
      </c>
    </row>
    <row r="485" spans="1:17" x14ac:dyDescent="0.25">
      <c r="A485" s="2">
        <v>44737</v>
      </c>
      <c r="B485">
        <v>33</v>
      </c>
      <c r="C485">
        <v>16</v>
      </c>
      <c r="D485">
        <v>368</v>
      </c>
      <c r="E485">
        <v>13660</v>
      </c>
      <c r="F485" s="1" t="s">
        <v>112</v>
      </c>
      <c r="G485">
        <v>0</v>
      </c>
      <c r="H485">
        <v>0</v>
      </c>
      <c r="I485">
        <v>41</v>
      </c>
      <c r="J485">
        <v>41</v>
      </c>
      <c r="K485" s="33">
        <v>0</v>
      </c>
      <c r="L485" s="1"/>
      <c r="M485" s="1" t="str">
        <f>_xlfn.XLOOKUP(ocupacao[[#This Row],[UnidadeID]],unidades!$A:$A,unidades!$B:$B,"",0)</f>
        <v>Seggastro</v>
      </c>
      <c r="N485" s="1" t="str">
        <f>_xlfn.XLOOKUP(ocupacao[[#This Row],[UnidadeID]],unidades!$A:$A,unidades!$C:$C,"",0)</f>
        <v>Nova Iguaçu</v>
      </c>
      <c r="O485" s="1" t="str">
        <f>_xlfn.XLOOKUP(ocupacao[[#This Row],[EspecialidadeID]],especialidades!$A:$A,especialidades!$B:$B,"",0)</f>
        <v>GASTROENTEROLOGIA</v>
      </c>
      <c r="P485" s="1" t="str">
        <f>TEXT(WEEKDAY(ocupacao[[#This Row],[Data]]),"ddd")</f>
        <v>sáb</v>
      </c>
      <c r="Q485" s="1">
        <f t="shared" si="7"/>
        <v>0</v>
      </c>
    </row>
    <row r="486" spans="1:17" x14ac:dyDescent="0.25">
      <c r="A486" s="2">
        <v>44739</v>
      </c>
      <c r="B486">
        <v>11</v>
      </c>
      <c r="C486">
        <v>16</v>
      </c>
      <c r="D486">
        <v>15</v>
      </c>
      <c r="E486">
        <v>75</v>
      </c>
      <c r="F486" s="1" t="s">
        <v>125</v>
      </c>
      <c r="G486">
        <v>0</v>
      </c>
      <c r="H486">
        <v>20</v>
      </c>
      <c r="I486">
        <v>0</v>
      </c>
      <c r="J486">
        <v>20</v>
      </c>
      <c r="K486" s="33">
        <v>1</v>
      </c>
      <c r="L486" s="1"/>
      <c r="M486" s="1" t="str">
        <f>_xlfn.XLOOKUP(ocupacao[[#This Row],[UnidadeID]],unidades!$A:$A,unidades!$B:$B,"",0)</f>
        <v>Filial 2 - 11º</v>
      </c>
      <c r="N486" s="1" t="str">
        <f>_xlfn.XLOOKUP(ocupacao[[#This Row],[UnidadeID]],unidades!$A:$A,unidades!$C:$C,"",0)</f>
        <v>Nova Iguaçu</v>
      </c>
      <c r="O486" s="1" t="str">
        <f>_xlfn.XLOOKUP(ocupacao[[#This Row],[EspecialidadeID]],especialidades!$A:$A,especialidades!$B:$B,"",0)</f>
        <v>GASTROENTEROLOGIA</v>
      </c>
      <c r="P486" s="1" t="str">
        <f>TEXT(WEEKDAY(ocupacao[[#This Row],[Data]]),"ddd")</f>
        <v>seg</v>
      </c>
      <c r="Q486" s="1">
        <f t="shared" si="7"/>
        <v>1</v>
      </c>
    </row>
    <row r="487" spans="1:17" x14ac:dyDescent="0.25">
      <c r="A487" s="2">
        <v>44739</v>
      </c>
      <c r="B487">
        <v>11</v>
      </c>
      <c r="C487">
        <v>16</v>
      </c>
      <c r="D487">
        <v>15</v>
      </c>
      <c r="E487">
        <v>75</v>
      </c>
      <c r="F487" s="1" t="s">
        <v>125</v>
      </c>
      <c r="G487">
        <v>0</v>
      </c>
      <c r="H487">
        <v>0</v>
      </c>
      <c r="I487">
        <v>35</v>
      </c>
      <c r="J487">
        <v>35</v>
      </c>
      <c r="K487" s="33">
        <v>0</v>
      </c>
      <c r="L487" s="1"/>
      <c r="M487" s="1" t="str">
        <f>_xlfn.XLOOKUP(ocupacao[[#This Row],[UnidadeID]],unidades!$A:$A,unidades!$B:$B,"",0)</f>
        <v>Filial 2 - 11º</v>
      </c>
      <c r="N487" s="1" t="str">
        <f>_xlfn.XLOOKUP(ocupacao[[#This Row],[UnidadeID]],unidades!$A:$A,unidades!$C:$C,"",0)</f>
        <v>Nova Iguaçu</v>
      </c>
      <c r="O487" s="1" t="str">
        <f>_xlfn.XLOOKUP(ocupacao[[#This Row],[EspecialidadeID]],especialidades!$A:$A,especialidades!$B:$B,"",0)</f>
        <v>GASTROENTEROLOGIA</v>
      </c>
      <c r="P487" s="1" t="str">
        <f>TEXT(WEEKDAY(ocupacao[[#This Row],[Data]]),"ddd")</f>
        <v>seg</v>
      </c>
      <c r="Q487" s="1">
        <f t="shared" si="7"/>
        <v>0</v>
      </c>
    </row>
    <row r="488" spans="1:17" x14ac:dyDescent="0.25">
      <c r="A488" s="2">
        <v>44739</v>
      </c>
      <c r="B488">
        <v>33</v>
      </c>
      <c r="C488">
        <v>16</v>
      </c>
      <c r="D488">
        <v>368</v>
      </c>
      <c r="E488">
        <v>1586</v>
      </c>
      <c r="F488" s="1" t="s">
        <v>132</v>
      </c>
      <c r="G488">
        <v>0</v>
      </c>
      <c r="H488">
        <v>0</v>
      </c>
      <c r="I488">
        <v>41</v>
      </c>
      <c r="J488">
        <v>41</v>
      </c>
      <c r="K488" s="33">
        <v>0</v>
      </c>
      <c r="L488" s="1"/>
      <c r="M488" s="1" t="str">
        <f>_xlfn.XLOOKUP(ocupacao[[#This Row],[UnidadeID]],unidades!$A:$A,unidades!$B:$B,"",0)</f>
        <v>Seggastro</v>
      </c>
      <c r="N488" s="1" t="str">
        <f>_xlfn.XLOOKUP(ocupacao[[#This Row],[UnidadeID]],unidades!$A:$A,unidades!$C:$C,"",0)</f>
        <v>Nova Iguaçu</v>
      </c>
      <c r="O488" s="1" t="str">
        <f>_xlfn.XLOOKUP(ocupacao[[#This Row],[EspecialidadeID]],especialidades!$A:$A,especialidades!$B:$B,"",0)</f>
        <v>GASTROENTEROLOGIA</v>
      </c>
      <c r="P488" s="1" t="str">
        <f>TEXT(WEEKDAY(ocupacao[[#This Row],[Data]]),"ddd")</f>
        <v>seg</v>
      </c>
      <c r="Q488" s="1">
        <f t="shared" si="7"/>
        <v>0</v>
      </c>
    </row>
    <row r="489" spans="1:17" x14ac:dyDescent="0.25">
      <c r="A489" s="2">
        <v>44739</v>
      </c>
      <c r="B489">
        <v>33</v>
      </c>
      <c r="C489">
        <v>16</v>
      </c>
      <c r="D489">
        <v>368</v>
      </c>
      <c r="E489">
        <v>2036</v>
      </c>
      <c r="F489" s="1" t="s">
        <v>374</v>
      </c>
      <c r="G489">
        <v>0</v>
      </c>
      <c r="H489">
        <v>0</v>
      </c>
      <c r="I489">
        <v>41</v>
      </c>
      <c r="J489">
        <v>41</v>
      </c>
      <c r="K489" s="33">
        <v>0</v>
      </c>
      <c r="L489" s="1"/>
      <c r="M489" s="1" t="str">
        <f>_xlfn.XLOOKUP(ocupacao[[#This Row],[UnidadeID]],unidades!$A:$A,unidades!$B:$B,"",0)</f>
        <v>Seggastro</v>
      </c>
      <c r="N489" s="1" t="str">
        <f>_xlfn.XLOOKUP(ocupacao[[#This Row],[UnidadeID]],unidades!$A:$A,unidades!$C:$C,"",0)</f>
        <v>Nova Iguaçu</v>
      </c>
      <c r="O489" s="1" t="str">
        <f>_xlfn.XLOOKUP(ocupacao[[#This Row],[EspecialidadeID]],especialidades!$A:$A,especialidades!$B:$B,"",0)</f>
        <v>GASTROENTEROLOGIA</v>
      </c>
      <c r="P489" s="1" t="str">
        <f>TEXT(WEEKDAY(ocupacao[[#This Row],[Data]]),"ddd")</f>
        <v>seg</v>
      </c>
      <c r="Q489" s="1">
        <f t="shared" si="7"/>
        <v>0</v>
      </c>
    </row>
    <row r="490" spans="1:17" x14ac:dyDescent="0.25">
      <c r="A490" s="2">
        <v>44739</v>
      </c>
      <c r="B490">
        <v>33</v>
      </c>
      <c r="C490">
        <v>16</v>
      </c>
      <c r="D490">
        <v>368</v>
      </c>
      <c r="E490">
        <v>5822</v>
      </c>
      <c r="F490" s="1" t="s">
        <v>100</v>
      </c>
      <c r="G490">
        <v>0</v>
      </c>
      <c r="H490">
        <v>0</v>
      </c>
      <c r="I490">
        <v>61</v>
      </c>
      <c r="J490">
        <v>61</v>
      </c>
      <c r="K490" s="33">
        <v>0</v>
      </c>
      <c r="L490" s="1"/>
      <c r="M490" s="1" t="str">
        <f>_xlfn.XLOOKUP(ocupacao[[#This Row],[UnidadeID]],unidades!$A:$A,unidades!$B:$B,"",0)</f>
        <v>Seggastro</v>
      </c>
      <c r="N490" s="1" t="str">
        <f>_xlfn.XLOOKUP(ocupacao[[#This Row],[UnidadeID]],unidades!$A:$A,unidades!$C:$C,"",0)</f>
        <v>Nova Iguaçu</v>
      </c>
      <c r="O490" s="1" t="str">
        <f>_xlfn.XLOOKUP(ocupacao[[#This Row],[EspecialidadeID]],especialidades!$A:$A,especialidades!$B:$B,"",0)</f>
        <v>GASTROENTEROLOGIA</v>
      </c>
      <c r="P490" s="1" t="str">
        <f>TEXT(WEEKDAY(ocupacao[[#This Row],[Data]]),"ddd")</f>
        <v>seg</v>
      </c>
      <c r="Q490" s="1">
        <f t="shared" si="7"/>
        <v>0</v>
      </c>
    </row>
    <row r="491" spans="1:17" hidden="1" x14ac:dyDescent="0.25">
      <c r="A491" s="2">
        <v>44739</v>
      </c>
      <c r="B491">
        <v>11</v>
      </c>
      <c r="C491">
        <v>16</v>
      </c>
      <c r="D491">
        <v>17</v>
      </c>
      <c r="E491">
        <v>5927</v>
      </c>
      <c r="F491" s="1" t="s">
        <v>93</v>
      </c>
      <c r="G491">
        <v>0</v>
      </c>
      <c r="H491">
        <v>6</v>
      </c>
      <c r="I491">
        <v>0</v>
      </c>
      <c r="J491">
        <v>6</v>
      </c>
      <c r="K491" s="33">
        <v>1</v>
      </c>
      <c r="L491" s="1"/>
      <c r="M491" s="1"/>
      <c r="N491" s="1"/>
      <c r="O491" s="1"/>
      <c r="P491" s="1"/>
      <c r="Q491" s="1"/>
    </row>
    <row r="492" spans="1:17" x14ac:dyDescent="0.25">
      <c r="A492" s="2">
        <v>44739</v>
      </c>
      <c r="B492">
        <v>11</v>
      </c>
      <c r="C492">
        <v>16</v>
      </c>
      <c r="D492">
        <v>17</v>
      </c>
      <c r="E492">
        <v>5927</v>
      </c>
      <c r="F492" s="1" t="s">
        <v>93</v>
      </c>
      <c r="G492">
        <v>0</v>
      </c>
      <c r="H492">
        <v>0</v>
      </c>
      <c r="I492">
        <v>15</v>
      </c>
      <c r="J492">
        <v>15</v>
      </c>
      <c r="K492" s="33">
        <v>0</v>
      </c>
      <c r="L492" s="1"/>
      <c r="M492" s="1" t="str">
        <f>_xlfn.XLOOKUP(ocupacao[[#This Row],[UnidadeID]],unidades!$A:$A,unidades!$B:$B,"",0)</f>
        <v>Filial 2 - 11º</v>
      </c>
      <c r="N492" s="1" t="str">
        <f>_xlfn.XLOOKUP(ocupacao[[#This Row],[UnidadeID]],unidades!$A:$A,unidades!$C:$C,"",0)</f>
        <v>Nova Iguaçu</v>
      </c>
      <c r="O492" s="1" t="str">
        <f>_xlfn.XLOOKUP(ocupacao[[#This Row],[EspecialidadeID]],especialidades!$A:$A,especialidades!$B:$B,"",0)</f>
        <v>GASTROENTEROLOGIA</v>
      </c>
      <c r="P492" s="1" t="str">
        <f>TEXT(WEEKDAY(ocupacao[[#This Row],[Data]]),"ddd")</f>
        <v>seg</v>
      </c>
      <c r="Q492" s="1">
        <f t="shared" si="7"/>
        <v>0</v>
      </c>
    </row>
    <row r="493" spans="1:17" x14ac:dyDescent="0.25">
      <c r="A493" s="2">
        <v>44739</v>
      </c>
      <c r="B493">
        <v>33</v>
      </c>
      <c r="C493">
        <v>16</v>
      </c>
      <c r="D493">
        <v>368</v>
      </c>
      <c r="E493">
        <v>7900</v>
      </c>
      <c r="F493" s="1" t="s">
        <v>348</v>
      </c>
      <c r="G493">
        <v>0</v>
      </c>
      <c r="H493">
        <v>0</v>
      </c>
      <c r="I493">
        <v>41</v>
      </c>
      <c r="J493">
        <v>41</v>
      </c>
      <c r="K493" s="33">
        <v>0</v>
      </c>
      <c r="L493" s="1"/>
      <c r="M493" s="1" t="str">
        <f>_xlfn.XLOOKUP(ocupacao[[#This Row],[UnidadeID]],unidades!$A:$A,unidades!$B:$B,"",0)</f>
        <v>Seggastro</v>
      </c>
      <c r="N493" s="1" t="str">
        <f>_xlfn.XLOOKUP(ocupacao[[#This Row],[UnidadeID]],unidades!$A:$A,unidades!$C:$C,"",0)</f>
        <v>Nova Iguaçu</v>
      </c>
      <c r="O493" s="1" t="str">
        <f>_xlfn.XLOOKUP(ocupacao[[#This Row],[EspecialidadeID]],especialidades!$A:$A,especialidades!$B:$B,"",0)</f>
        <v>GASTROENTEROLOGIA</v>
      </c>
      <c r="P493" s="1" t="str">
        <f>TEXT(WEEKDAY(ocupacao[[#This Row],[Data]]),"ddd")</f>
        <v>seg</v>
      </c>
      <c r="Q493" s="1">
        <f t="shared" si="7"/>
        <v>0</v>
      </c>
    </row>
    <row r="494" spans="1:17" x14ac:dyDescent="0.25">
      <c r="A494" s="2">
        <v>44739</v>
      </c>
      <c r="B494">
        <v>33</v>
      </c>
      <c r="C494">
        <v>16</v>
      </c>
      <c r="D494">
        <v>368</v>
      </c>
      <c r="E494">
        <v>13660</v>
      </c>
      <c r="F494" s="1" t="s">
        <v>112</v>
      </c>
      <c r="G494">
        <v>0</v>
      </c>
      <c r="H494">
        <v>0</v>
      </c>
      <c r="I494">
        <v>41</v>
      </c>
      <c r="J494">
        <v>41</v>
      </c>
      <c r="K494" s="33">
        <v>0</v>
      </c>
      <c r="L494" s="1"/>
      <c r="M494" s="1" t="str">
        <f>_xlfn.XLOOKUP(ocupacao[[#This Row],[UnidadeID]],unidades!$A:$A,unidades!$B:$B,"",0)</f>
        <v>Seggastro</v>
      </c>
      <c r="N494" s="1" t="str">
        <f>_xlfn.XLOOKUP(ocupacao[[#This Row],[UnidadeID]],unidades!$A:$A,unidades!$C:$C,"",0)</f>
        <v>Nova Iguaçu</v>
      </c>
      <c r="O494" s="1" t="str">
        <f>_xlfn.XLOOKUP(ocupacao[[#This Row],[EspecialidadeID]],especialidades!$A:$A,especialidades!$B:$B,"",0)</f>
        <v>GASTROENTEROLOGIA</v>
      </c>
      <c r="P494" s="1" t="str">
        <f>TEXT(WEEKDAY(ocupacao[[#This Row],[Data]]),"ddd")</f>
        <v>seg</v>
      </c>
      <c r="Q494" s="1">
        <f t="shared" si="7"/>
        <v>0</v>
      </c>
    </row>
    <row r="495" spans="1:17" x14ac:dyDescent="0.25">
      <c r="A495" s="2">
        <v>44740</v>
      </c>
      <c r="B495">
        <v>33</v>
      </c>
      <c r="C495">
        <v>16</v>
      </c>
      <c r="D495">
        <v>368</v>
      </c>
      <c r="E495">
        <v>75</v>
      </c>
      <c r="F495" s="1" t="s">
        <v>125</v>
      </c>
      <c r="G495">
        <v>0</v>
      </c>
      <c r="H495">
        <v>0</v>
      </c>
      <c r="I495">
        <v>61</v>
      </c>
      <c r="J495">
        <v>61</v>
      </c>
      <c r="K495" s="33">
        <v>0</v>
      </c>
      <c r="L495" s="1"/>
      <c r="M495" s="1" t="str">
        <f>_xlfn.XLOOKUP(ocupacao[[#This Row],[UnidadeID]],unidades!$A:$A,unidades!$B:$B,"",0)</f>
        <v>Seggastro</v>
      </c>
      <c r="N495" s="1" t="str">
        <f>_xlfn.XLOOKUP(ocupacao[[#This Row],[UnidadeID]],unidades!$A:$A,unidades!$C:$C,"",0)</f>
        <v>Nova Iguaçu</v>
      </c>
      <c r="O495" s="1" t="str">
        <f>_xlfn.XLOOKUP(ocupacao[[#This Row],[EspecialidadeID]],especialidades!$A:$A,especialidades!$B:$B,"",0)</f>
        <v>GASTROENTEROLOGIA</v>
      </c>
      <c r="P495" s="1" t="str">
        <f>TEXT(WEEKDAY(ocupacao[[#This Row],[Data]]),"ddd")</f>
        <v>ter</v>
      </c>
      <c r="Q495" s="1">
        <f t="shared" si="7"/>
        <v>0</v>
      </c>
    </row>
    <row r="496" spans="1:17" x14ac:dyDescent="0.25">
      <c r="A496" s="2">
        <v>44740</v>
      </c>
      <c r="B496">
        <v>33</v>
      </c>
      <c r="C496">
        <v>16</v>
      </c>
      <c r="D496">
        <v>67</v>
      </c>
      <c r="E496">
        <v>1586</v>
      </c>
      <c r="F496" s="1" t="s">
        <v>132</v>
      </c>
      <c r="G496">
        <v>0</v>
      </c>
      <c r="H496">
        <v>4</v>
      </c>
      <c r="I496">
        <v>0</v>
      </c>
      <c r="J496">
        <v>4</v>
      </c>
      <c r="K496" s="33">
        <v>1</v>
      </c>
      <c r="L496" s="1"/>
      <c r="M496" s="1" t="str">
        <f>_xlfn.XLOOKUP(ocupacao[[#This Row],[UnidadeID]],unidades!$A:$A,unidades!$B:$B,"",0)</f>
        <v>Seggastro</v>
      </c>
      <c r="N496" s="1" t="str">
        <f>_xlfn.XLOOKUP(ocupacao[[#This Row],[UnidadeID]],unidades!$A:$A,unidades!$C:$C,"",0)</f>
        <v>Nova Iguaçu</v>
      </c>
      <c r="O496" s="1" t="str">
        <f>_xlfn.XLOOKUP(ocupacao[[#This Row],[EspecialidadeID]],especialidades!$A:$A,especialidades!$B:$B,"",0)</f>
        <v>GASTROENTEROLOGIA</v>
      </c>
      <c r="P496" s="1" t="str">
        <f>TEXT(WEEKDAY(ocupacao[[#This Row],[Data]]),"ddd")</f>
        <v>ter</v>
      </c>
      <c r="Q496" s="1">
        <f t="shared" si="7"/>
        <v>0</v>
      </c>
    </row>
    <row r="497" spans="1:17" hidden="1" x14ac:dyDescent="0.25">
      <c r="A497" s="2"/>
      <c r="F497" s="1"/>
      <c r="K497" s="33"/>
      <c r="L497" s="1"/>
      <c r="M497" s="1"/>
      <c r="N497" s="1"/>
      <c r="O497" s="1"/>
      <c r="P497" s="1"/>
      <c r="Q497" s="1"/>
    </row>
    <row r="498" spans="1:17" x14ac:dyDescent="0.25">
      <c r="A498" s="2">
        <v>44740</v>
      </c>
      <c r="B498">
        <v>33</v>
      </c>
      <c r="C498">
        <v>16</v>
      </c>
      <c r="D498">
        <v>368</v>
      </c>
      <c r="E498">
        <v>1586</v>
      </c>
      <c r="F498" s="1" t="s">
        <v>132</v>
      </c>
      <c r="G498">
        <v>0</v>
      </c>
      <c r="H498">
        <v>0</v>
      </c>
      <c r="I498">
        <v>17</v>
      </c>
      <c r="J498">
        <v>17</v>
      </c>
      <c r="K498" s="33">
        <v>0</v>
      </c>
      <c r="L498" s="1"/>
      <c r="M498" s="1" t="str">
        <f>_xlfn.XLOOKUP(ocupacao[[#This Row],[UnidadeID]],unidades!$A:$A,unidades!$B:$B,"",0)</f>
        <v>Seggastro</v>
      </c>
      <c r="N498" s="1" t="str">
        <f>_xlfn.XLOOKUP(ocupacao[[#This Row],[UnidadeID]],unidades!$A:$A,unidades!$C:$C,"",0)</f>
        <v>Nova Iguaçu</v>
      </c>
      <c r="O498" s="1" t="str">
        <f>_xlfn.XLOOKUP(ocupacao[[#This Row],[EspecialidadeID]],especialidades!$A:$A,especialidades!$B:$B,"",0)</f>
        <v>GASTROENTEROLOGIA</v>
      </c>
      <c r="P498" s="1" t="str">
        <f>TEXT(WEEKDAY(ocupacao[[#This Row],[Data]]),"ddd")</f>
        <v>ter</v>
      </c>
      <c r="Q498" s="1">
        <f t="shared" si="7"/>
        <v>0</v>
      </c>
    </row>
    <row r="499" spans="1:17" x14ac:dyDescent="0.25">
      <c r="A499" s="2">
        <v>44740</v>
      </c>
      <c r="B499">
        <v>33</v>
      </c>
      <c r="C499">
        <v>16</v>
      </c>
      <c r="D499">
        <v>368</v>
      </c>
      <c r="E499">
        <v>2036</v>
      </c>
      <c r="F499" s="1" t="s">
        <v>374</v>
      </c>
      <c r="G499">
        <v>0</v>
      </c>
      <c r="H499">
        <v>0</v>
      </c>
      <c r="I499">
        <v>41</v>
      </c>
      <c r="J499">
        <v>41</v>
      </c>
      <c r="K499" s="33">
        <v>0</v>
      </c>
      <c r="L499" s="1"/>
      <c r="M499" s="1" t="str">
        <f>_xlfn.XLOOKUP(ocupacao[[#This Row],[UnidadeID]],unidades!$A:$A,unidades!$B:$B,"",0)</f>
        <v>Seggastro</v>
      </c>
      <c r="N499" s="1" t="str">
        <f>_xlfn.XLOOKUP(ocupacao[[#This Row],[UnidadeID]],unidades!$A:$A,unidades!$C:$C,"",0)</f>
        <v>Nova Iguaçu</v>
      </c>
      <c r="O499" s="1" t="str">
        <f>_xlfn.XLOOKUP(ocupacao[[#This Row],[EspecialidadeID]],especialidades!$A:$A,especialidades!$B:$B,"",0)</f>
        <v>GASTROENTEROLOGIA</v>
      </c>
      <c r="P499" s="1" t="str">
        <f>TEXT(WEEKDAY(ocupacao[[#This Row],[Data]]),"ddd")</f>
        <v>ter</v>
      </c>
      <c r="Q499" s="1">
        <f t="shared" si="7"/>
        <v>0</v>
      </c>
    </row>
    <row r="500" spans="1:17" x14ac:dyDescent="0.25">
      <c r="A500" s="2">
        <v>44740</v>
      </c>
      <c r="B500">
        <v>33</v>
      </c>
      <c r="C500">
        <v>16</v>
      </c>
      <c r="D500">
        <v>368</v>
      </c>
      <c r="E500">
        <v>5822</v>
      </c>
      <c r="F500" s="1" t="s">
        <v>100</v>
      </c>
      <c r="G500">
        <v>0</v>
      </c>
      <c r="H500">
        <v>0</v>
      </c>
      <c r="I500">
        <v>61</v>
      </c>
      <c r="J500">
        <v>61</v>
      </c>
      <c r="K500" s="33">
        <v>0</v>
      </c>
      <c r="L500" s="1"/>
      <c r="M500" s="1" t="str">
        <f>_xlfn.XLOOKUP(ocupacao[[#This Row],[UnidadeID]],unidades!$A:$A,unidades!$B:$B,"",0)</f>
        <v>Seggastro</v>
      </c>
      <c r="N500" s="1" t="str">
        <f>_xlfn.XLOOKUP(ocupacao[[#This Row],[UnidadeID]],unidades!$A:$A,unidades!$C:$C,"",0)</f>
        <v>Nova Iguaçu</v>
      </c>
      <c r="O500" s="1" t="str">
        <f>_xlfn.XLOOKUP(ocupacao[[#This Row],[EspecialidadeID]],especialidades!$A:$A,especialidades!$B:$B,"",0)</f>
        <v>GASTROENTEROLOGIA</v>
      </c>
      <c r="P500" s="1" t="str">
        <f>TEXT(WEEKDAY(ocupacao[[#This Row],[Data]]),"ddd")</f>
        <v>ter</v>
      </c>
      <c r="Q500" s="1">
        <f t="shared" si="7"/>
        <v>0</v>
      </c>
    </row>
    <row r="501" spans="1:17" x14ac:dyDescent="0.25">
      <c r="A501" s="2">
        <v>44740</v>
      </c>
      <c r="B501">
        <v>33</v>
      </c>
      <c r="C501">
        <v>16</v>
      </c>
      <c r="D501">
        <v>368</v>
      </c>
      <c r="E501">
        <v>7900</v>
      </c>
      <c r="F501" s="1" t="s">
        <v>348</v>
      </c>
      <c r="G501">
        <v>0</v>
      </c>
      <c r="H501">
        <v>0</v>
      </c>
      <c r="I501">
        <v>41</v>
      </c>
      <c r="J501">
        <v>41</v>
      </c>
      <c r="K501" s="33">
        <v>0</v>
      </c>
      <c r="L501" s="1"/>
      <c r="M501" s="1" t="str">
        <f>_xlfn.XLOOKUP(ocupacao[[#This Row],[UnidadeID]],unidades!$A:$A,unidades!$B:$B,"",0)</f>
        <v>Seggastro</v>
      </c>
      <c r="N501" s="1" t="str">
        <f>_xlfn.XLOOKUP(ocupacao[[#This Row],[UnidadeID]],unidades!$A:$A,unidades!$C:$C,"",0)</f>
        <v>Nova Iguaçu</v>
      </c>
      <c r="O501" s="1" t="str">
        <f>_xlfn.XLOOKUP(ocupacao[[#This Row],[EspecialidadeID]],especialidades!$A:$A,especialidades!$B:$B,"",0)</f>
        <v>GASTROENTEROLOGIA</v>
      </c>
      <c r="P501" s="1" t="str">
        <f>TEXT(WEEKDAY(ocupacao[[#This Row],[Data]]),"ddd")</f>
        <v>ter</v>
      </c>
      <c r="Q501" s="1">
        <f t="shared" si="7"/>
        <v>0</v>
      </c>
    </row>
    <row r="502" spans="1:17" x14ac:dyDescent="0.25">
      <c r="A502" s="2">
        <v>44740</v>
      </c>
      <c r="B502">
        <v>33</v>
      </c>
      <c r="C502">
        <v>16</v>
      </c>
      <c r="D502">
        <v>368</v>
      </c>
      <c r="E502">
        <v>13660</v>
      </c>
      <c r="F502" s="1" t="s">
        <v>112</v>
      </c>
      <c r="G502">
        <v>0</v>
      </c>
      <c r="H502">
        <v>0</v>
      </c>
      <c r="I502">
        <v>41</v>
      </c>
      <c r="J502">
        <v>41</v>
      </c>
      <c r="K502" s="33">
        <v>0</v>
      </c>
      <c r="L502" s="1"/>
      <c r="M502" s="1" t="str">
        <f>_xlfn.XLOOKUP(ocupacao[[#This Row],[UnidadeID]],unidades!$A:$A,unidades!$B:$B,"",0)</f>
        <v>Seggastro</v>
      </c>
      <c r="N502" s="1" t="str">
        <f>_xlfn.XLOOKUP(ocupacao[[#This Row],[UnidadeID]],unidades!$A:$A,unidades!$C:$C,"",0)</f>
        <v>Nova Iguaçu</v>
      </c>
      <c r="O502" s="1" t="str">
        <f>_xlfn.XLOOKUP(ocupacao[[#This Row],[EspecialidadeID]],especialidades!$A:$A,especialidades!$B:$B,"",0)</f>
        <v>GASTROENTEROLOGIA</v>
      </c>
      <c r="P502" s="1" t="str">
        <f>TEXT(WEEKDAY(ocupacao[[#This Row],[Data]]),"ddd")</f>
        <v>ter</v>
      </c>
      <c r="Q502" s="1">
        <f t="shared" si="7"/>
        <v>0</v>
      </c>
    </row>
    <row r="503" spans="1:17" x14ac:dyDescent="0.25">
      <c r="A503" s="2">
        <v>44741</v>
      </c>
      <c r="B503">
        <v>33</v>
      </c>
      <c r="C503">
        <v>16</v>
      </c>
      <c r="D503">
        <v>368</v>
      </c>
      <c r="E503">
        <v>75</v>
      </c>
      <c r="F503" s="1" t="s">
        <v>125</v>
      </c>
      <c r="G503">
        <v>0</v>
      </c>
      <c r="H503">
        <v>0</v>
      </c>
      <c r="I503">
        <v>61</v>
      </c>
      <c r="J503">
        <v>61</v>
      </c>
      <c r="K503" s="33">
        <v>0</v>
      </c>
      <c r="L503" s="1"/>
      <c r="M503" s="1" t="str">
        <f>_xlfn.XLOOKUP(ocupacao[[#This Row],[UnidadeID]],unidades!$A:$A,unidades!$B:$B,"",0)</f>
        <v>Seggastro</v>
      </c>
      <c r="N503" s="1" t="str">
        <f>_xlfn.XLOOKUP(ocupacao[[#This Row],[UnidadeID]],unidades!$A:$A,unidades!$C:$C,"",0)</f>
        <v>Nova Iguaçu</v>
      </c>
      <c r="O503" s="1" t="str">
        <f>_xlfn.XLOOKUP(ocupacao[[#This Row],[EspecialidadeID]],especialidades!$A:$A,especialidades!$B:$B,"",0)</f>
        <v>GASTROENTEROLOGIA</v>
      </c>
      <c r="P503" s="1" t="str">
        <f>TEXT(WEEKDAY(ocupacao[[#This Row],[Data]]),"ddd")</f>
        <v>qua</v>
      </c>
      <c r="Q503" s="1">
        <f t="shared" si="7"/>
        <v>0</v>
      </c>
    </row>
    <row r="504" spans="1:17" hidden="1" x14ac:dyDescent="0.25">
      <c r="A504" s="2">
        <v>44741</v>
      </c>
      <c r="B504">
        <v>33</v>
      </c>
      <c r="C504">
        <v>16</v>
      </c>
      <c r="D504">
        <v>368</v>
      </c>
      <c r="E504">
        <v>1586</v>
      </c>
      <c r="F504" s="1" t="s">
        <v>132</v>
      </c>
      <c r="G504">
        <v>0</v>
      </c>
      <c r="H504">
        <v>0</v>
      </c>
      <c r="I504">
        <v>41</v>
      </c>
      <c r="J504">
        <v>41</v>
      </c>
      <c r="K504" s="33">
        <v>0</v>
      </c>
      <c r="L504" s="1"/>
      <c r="M504" s="1"/>
      <c r="N504" s="1"/>
      <c r="O504" s="1"/>
      <c r="P504" s="1"/>
      <c r="Q504" s="1"/>
    </row>
    <row r="505" spans="1:17" x14ac:dyDescent="0.25">
      <c r="A505" s="2">
        <v>44741</v>
      </c>
      <c r="B505">
        <v>33</v>
      </c>
      <c r="C505">
        <v>16</v>
      </c>
      <c r="D505">
        <v>368</v>
      </c>
      <c r="E505">
        <v>2036</v>
      </c>
      <c r="F505" s="1" t="s">
        <v>374</v>
      </c>
      <c r="G505">
        <v>0</v>
      </c>
      <c r="H505">
        <v>0</v>
      </c>
      <c r="I505">
        <v>41</v>
      </c>
      <c r="J505">
        <v>41</v>
      </c>
      <c r="K505" s="33">
        <v>0</v>
      </c>
      <c r="L505" s="1"/>
      <c r="M505" s="1" t="str">
        <f>_xlfn.XLOOKUP(ocupacao[[#This Row],[UnidadeID]],unidades!$A:$A,unidades!$B:$B,"",0)</f>
        <v>Seggastro</v>
      </c>
      <c r="N505" s="1" t="str">
        <f>_xlfn.XLOOKUP(ocupacao[[#This Row],[UnidadeID]],unidades!$A:$A,unidades!$C:$C,"",0)</f>
        <v>Nova Iguaçu</v>
      </c>
      <c r="O505" s="1" t="str">
        <f>_xlfn.XLOOKUP(ocupacao[[#This Row],[EspecialidadeID]],especialidades!$A:$A,especialidades!$B:$B,"",0)</f>
        <v>GASTROENTEROLOGIA</v>
      </c>
      <c r="P505" s="1" t="str">
        <f>TEXT(WEEKDAY(ocupacao[[#This Row],[Data]]),"ddd")</f>
        <v>qua</v>
      </c>
      <c r="Q505" s="1">
        <f t="shared" si="7"/>
        <v>0</v>
      </c>
    </row>
    <row r="506" spans="1:17" x14ac:dyDescent="0.25">
      <c r="A506" s="2">
        <v>44741</v>
      </c>
      <c r="B506">
        <v>33</v>
      </c>
      <c r="C506">
        <v>16</v>
      </c>
      <c r="D506">
        <v>368</v>
      </c>
      <c r="E506">
        <v>5822</v>
      </c>
      <c r="F506" s="1" t="s">
        <v>100</v>
      </c>
      <c r="G506">
        <v>0</v>
      </c>
      <c r="H506">
        <v>0</v>
      </c>
      <c r="I506">
        <v>61</v>
      </c>
      <c r="J506">
        <v>61</v>
      </c>
      <c r="K506" s="33">
        <v>0</v>
      </c>
      <c r="L506" s="1"/>
      <c r="M506" s="1" t="str">
        <f>_xlfn.XLOOKUP(ocupacao[[#This Row],[UnidadeID]],unidades!$A:$A,unidades!$B:$B,"",0)</f>
        <v>Seggastro</v>
      </c>
      <c r="N506" s="1" t="str">
        <f>_xlfn.XLOOKUP(ocupacao[[#This Row],[UnidadeID]],unidades!$A:$A,unidades!$C:$C,"",0)</f>
        <v>Nova Iguaçu</v>
      </c>
      <c r="O506" s="1" t="str">
        <f>_xlfn.XLOOKUP(ocupacao[[#This Row],[EspecialidadeID]],especialidades!$A:$A,especialidades!$B:$B,"",0)</f>
        <v>GASTROENTEROLOGIA</v>
      </c>
      <c r="P506" s="1" t="str">
        <f>TEXT(WEEKDAY(ocupacao[[#This Row],[Data]]),"ddd")</f>
        <v>qua</v>
      </c>
      <c r="Q506" s="1">
        <f t="shared" si="7"/>
        <v>0</v>
      </c>
    </row>
    <row r="507" spans="1:17" hidden="1" x14ac:dyDescent="0.25">
      <c r="A507" s="2"/>
      <c r="F507" s="1"/>
      <c r="K507" s="33"/>
      <c r="L507" s="1"/>
      <c r="M507" s="1"/>
      <c r="N507" s="1"/>
      <c r="O507" s="1"/>
      <c r="P507" s="1"/>
      <c r="Q507" s="1"/>
    </row>
    <row r="508" spans="1:17" hidden="1" x14ac:dyDescent="0.25">
      <c r="A508" s="2">
        <v>44741</v>
      </c>
      <c r="B508">
        <v>11</v>
      </c>
      <c r="C508">
        <v>16</v>
      </c>
      <c r="D508">
        <v>14</v>
      </c>
      <c r="E508">
        <v>5927</v>
      </c>
      <c r="F508" s="1" t="s">
        <v>93</v>
      </c>
      <c r="G508">
        <v>0</v>
      </c>
      <c r="H508">
        <v>5</v>
      </c>
      <c r="I508">
        <v>16</v>
      </c>
      <c r="J508">
        <v>21</v>
      </c>
      <c r="K508" s="33">
        <v>0.23810000000000001</v>
      </c>
      <c r="L508" s="1"/>
      <c r="M508" s="1"/>
      <c r="N508" s="1"/>
      <c r="O508" s="1"/>
      <c r="P508" s="1"/>
      <c r="Q508" s="1"/>
    </row>
    <row r="509" spans="1:17" hidden="1" x14ac:dyDescent="0.25">
      <c r="A509" s="2">
        <v>44741</v>
      </c>
      <c r="B509">
        <v>33</v>
      </c>
      <c r="C509">
        <v>16</v>
      </c>
      <c r="D509">
        <v>368</v>
      </c>
      <c r="E509">
        <v>7900</v>
      </c>
      <c r="F509" s="1" t="s">
        <v>348</v>
      </c>
      <c r="G509">
        <v>0</v>
      </c>
      <c r="H509">
        <v>0</v>
      </c>
      <c r="I509">
        <v>41</v>
      </c>
      <c r="J509">
        <v>41</v>
      </c>
      <c r="K509" s="33">
        <v>0</v>
      </c>
      <c r="L509" s="1"/>
      <c r="M509" s="1"/>
      <c r="N509" s="1"/>
      <c r="O509" s="1"/>
      <c r="P509" s="1"/>
      <c r="Q509" s="1"/>
    </row>
    <row r="510" spans="1:17" x14ac:dyDescent="0.25">
      <c r="A510" s="2">
        <v>44741</v>
      </c>
      <c r="B510">
        <v>18</v>
      </c>
      <c r="C510">
        <v>16</v>
      </c>
      <c r="D510">
        <v>78</v>
      </c>
      <c r="E510">
        <v>13660</v>
      </c>
      <c r="F510" s="1" t="s">
        <v>112</v>
      </c>
      <c r="G510">
        <v>0</v>
      </c>
      <c r="H510">
        <v>2</v>
      </c>
      <c r="I510">
        <v>13</v>
      </c>
      <c r="J510">
        <v>15</v>
      </c>
      <c r="K510" s="33">
        <v>0.1333</v>
      </c>
      <c r="L510" s="1"/>
      <c r="M510" s="1" t="str">
        <f>_xlfn.XLOOKUP(ocupacao[[#This Row],[UnidadeID]],unidades!$A:$A,unidades!$B:$B,"",0)</f>
        <v>Miguel Couto</v>
      </c>
      <c r="N510" s="1" t="str">
        <f>_xlfn.XLOOKUP(ocupacao[[#This Row],[UnidadeID]],unidades!$A:$A,unidades!$C:$C,"",0)</f>
        <v>Miguel Couto</v>
      </c>
      <c r="O510" s="1" t="str">
        <f>_xlfn.XLOOKUP(ocupacao[[#This Row],[EspecialidadeID]],especialidades!$A:$A,especialidades!$B:$B,"",0)</f>
        <v>GASTROENTEROLOGIA</v>
      </c>
      <c r="P510" s="1" t="str">
        <f>TEXT(WEEKDAY(ocupacao[[#This Row],[Data]]),"ddd")</f>
        <v>qua</v>
      </c>
      <c r="Q510" s="1">
        <f t="shared" si="7"/>
        <v>0</v>
      </c>
    </row>
    <row r="511" spans="1:17" hidden="1" x14ac:dyDescent="0.25">
      <c r="A511" s="2"/>
      <c r="F511" s="1"/>
      <c r="K511" s="33"/>
      <c r="L511" s="1"/>
      <c r="M511" s="1"/>
      <c r="N511" s="1"/>
      <c r="O511" s="1"/>
      <c r="P511" s="1"/>
      <c r="Q511" s="1"/>
    </row>
    <row r="512" spans="1:17" x14ac:dyDescent="0.25">
      <c r="A512" s="2">
        <v>44741</v>
      </c>
      <c r="B512">
        <v>33</v>
      </c>
      <c r="C512">
        <v>16</v>
      </c>
      <c r="D512">
        <v>368</v>
      </c>
      <c r="E512">
        <v>13660</v>
      </c>
      <c r="F512" s="1" t="s">
        <v>112</v>
      </c>
      <c r="G512">
        <v>0</v>
      </c>
      <c r="H512">
        <v>0</v>
      </c>
      <c r="I512">
        <v>27</v>
      </c>
      <c r="J512">
        <v>27</v>
      </c>
      <c r="K512" s="33">
        <v>0</v>
      </c>
      <c r="L512" s="1"/>
      <c r="M512" s="1" t="str">
        <f>_xlfn.XLOOKUP(ocupacao[[#This Row],[UnidadeID]],unidades!$A:$A,unidades!$B:$B,"",0)</f>
        <v>Seggastro</v>
      </c>
      <c r="N512" s="1" t="str">
        <f>_xlfn.XLOOKUP(ocupacao[[#This Row],[UnidadeID]],unidades!$A:$A,unidades!$C:$C,"",0)</f>
        <v>Nova Iguaçu</v>
      </c>
      <c r="O512" s="1" t="str">
        <f>_xlfn.XLOOKUP(ocupacao[[#This Row],[EspecialidadeID]],especialidades!$A:$A,especialidades!$B:$B,"",0)</f>
        <v>GASTROENTEROLOGIA</v>
      </c>
      <c r="P512" s="1" t="str">
        <f>TEXT(WEEKDAY(ocupacao[[#This Row],[Data]]),"ddd")</f>
        <v>qua</v>
      </c>
      <c r="Q512" s="1">
        <f t="shared" si="7"/>
        <v>0</v>
      </c>
    </row>
    <row r="513" spans="1:17" x14ac:dyDescent="0.25">
      <c r="A513" s="2">
        <v>44742</v>
      </c>
      <c r="B513">
        <v>33</v>
      </c>
      <c r="C513">
        <v>16</v>
      </c>
      <c r="D513">
        <v>368</v>
      </c>
      <c r="E513">
        <v>75</v>
      </c>
      <c r="F513" s="1" t="s">
        <v>125</v>
      </c>
      <c r="G513">
        <v>0</v>
      </c>
      <c r="H513">
        <v>0</v>
      </c>
      <c r="I513">
        <v>61</v>
      </c>
      <c r="J513">
        <v>61</v>
      </c>
      <c r="K513" s="33">
        <v>0</v>
      </c>
      <c r="L513" s="1"/>
      <c r="M513" s="1" t="str">
        <f>_xlfn.XLOOKUP(ocupacao[[#This Row],[UnidadeID]],unidades!$A:$A,unidades!$B:$B,"",0)</f>
        <v>Seggastro</v>
      </c>
      <c r="N513" s="1" t="str">
        <f>_xlfn.XLOOKUP(ocupacao[[#This Row],[UnidadeID]],unidades!$A:$A,unidades!$C:$C,"",0)</f>
        <v>Nova Iguaçu</v>
      </c>
      <c r="O513" s="1" t="str">
        <f>_xlfn.XLOOKUP(ocupacao[[#This Row],[EspecialidadeID]],especialidades!$A:$A,especialidades!$B:$B,"",0)</f>
        <v>GASTROENTEROLOGIA</v>
      </c>
      <c r="P513" s="1" t="str">
        <f>TEXT(WEEKDAY(ocupacao[[#This Row],[Data]]),"ddd")</f>
        <v>qui</v>
      </c>
      <c r="Q513" s="1">
        <f t="shared" si="7"/>
        <v>0</v>
      </c>
    </row>
    <row r="514" spans="1:17" x14ac:dyDescent="0.25">
      <c r="A514" s="2">
        <v>44742</v>
      </c>
      <c r="B514">
        <v>33</v>
      </c>
      <c r="C514">
        <v>16</v>
      </c>
      <c r="D514">
        <v>368</v>
      </c>
      <c r="E514">
        <v>1586</v>
      </c>
      <c r="F514" s="1" t="s">
        <v>132</v>
      </c>
      <c r="G514">
        <v>0</v>
      </c>
      <c r="H514">
        <v>0</v>
      </c>
      <c r="I514">
        <v>41</v>
      </c>
      <c r="J514">
        <v>41</v>
      </c>
      <c r="K514" s="33">
        <v>0</v>
      </c>
      <c r="L514" s="1"/>
      <c r="M514" s="1" t="str">
        <f>_xlfn.XLOOKUP(ocupacao[[#This Row],[UnidadeID]],unidades!$A:$A,unidades!$B:$B,"",0)</f>
        <v>Seggastro</v>
      </c>
      <c r="N514" s="1" t="str">
        <f>_xlfn.XLOOKUP(ocupacao[[#This Row],[UnidadeID]],unidades!$A:$A,unidades!$C:$C,"",0)</f>
        <v>Nova Iguaçu</v>
      </c>
      <c r="O514" s="1" t="str">
        <f>_xlfn.XLOOKUP(ocupacao[[#This Row],[EspecialidadeID]],especialidades!$A:$A,especialidades!$B:$B,"",0)</f>
        <v>GASTROENTEROLOGIA</v>
      </c>
      <c r="P514" s="1" t="str">
        <f>TEXT(WEEKDAY(ocupacao[[#This Row],[Data]]),"ddd")</f>
        <v>qui</v>
      </c>
      <c r="Q514" s="1">
        <f t="shared" ref="Q514:Q576" si="8">IF(F514=F515,1,0)</f>
        <v>0</v>
      </c>
    </row>
    <row r="515" spans="1:17" x14ac:dyDescent="0.25">
      <c r="A515" s="2">
        <v>44742</v>
      </c>
      <c r="B515">
        <v>33</v>
      </c>
      <c r="C515">
        <v>16</v>
      </c>
      <c r="D515">
        <v>368</v>
      </c>
      <c r="E515">
        <v>2036</v>
      </c>
      <c r="F515" s="1" t="s">
        <v>374</v>
      </c>
      <c r="G515">
        <v>0</v>
      </c>
      <c r="H515">
        <v>0</v>
      </c>
      <c r="I515">
        <v>41</v>
      </c>
      <c r="J515">
        <v>41</v>
      </c>
      <c r="K515" s="33">
        <v>0</v>
      </c>
      <c r="L515" s="1"/>
      <c r="M515" s="1" t="str">
        <f>_xlfn.XLOOKUP(ocupacao[[#This Row],[UnidadeID]],unidades!$A:$A,unidades!$B:$B,"",0)</f>
        <v>Seggastro</v>
      </c>
      <c r="N515" s="1" t="str">
        <f>_xlfn.XLOOKUP(ocupacao[[#This Row],[UnidadeID]],unidades!$A:$A,unidades!$C:$C,"",0)</f>
        <v>Nova Iguaçu</v>
      </c>
      <c r="O515" s="1" t="str">
        <f>_xlfn.XLOOKUP(ocupacao[[#This Row],[EspecialidadeID]],especialidades!$A:$A,especialidades!$B:$B,"",0)</f>
        <v>GASTROENTEROLOGIA</v>
      </c>
      <c r="P515" s="1" t="str">
        <f>TEXT(WEEKDAY(ocupacao[[#This Row],[Data]]),"ddd")</f>
        <v>qui</v>
      </c>
      <c r="Q515" s="1">
        <f t="shared" si="8"/>
        <v>0</v>
      </c>
    </row>
    <row r="516" spans="1:17" x14ac:dyDescent="0.25">
      <c r="A516" s="2">
        <v>44742</v>
      </c>
      <c r="B516">
        <v>33</v>
      </c>
      <c r="C516">
        <v>16</v>
      </c>
      <c r="D516">
        <v>11</v>
      </c>
      <c r="E516">
        <v>5822</v>
      </c>
      <c r="F516" s="1" t="s">
        <v>100</v>
      </c>
      <c r="G516">
        <v>0</v>
      </c>
      <c r="H516">
        <v>3</v>
      </c>
      <c r="I516">
        <v>0</v>
      </c>
      <c r="J516">
        <v>3</v>
      </c>
      <c r="K516" s="33">
        <v>1</v>
      </c>
      <c r="L516" s="1"/>
      <c r="M516" s="1" t="str">
        <f>_xlfn.XLOOKUP(ocupacao[[#This Row],[UnidadeID]],unidades!$A:$A,unidades!$B:$B,"",0)</f>
        <v>Seggastro</v>
      </c>
      <c r="N516" s="1" t="str">
        <f>_xlfn.XLOOKUP(ocupacao[[#This Row],[UnidadeID]],unidades!$A:$A,unidades!$C:$C,"",0)</f>
        <v>Nova Iguaçu</v>
      </c>
      <c r="O516" s="1" t="str">
        <f>_xlfn.XLOOKUP(ocupacao[[#This Row],[EspecialidadeID]],especialidades!$A:$A,especialidades!$B:$B,"",0)</f>
        <v>GASTROENTEROLOGIA</v>
      </c>
      <c r="P516" s="1" t="str">
        <f>TEXT(WEEKDAY(ocupacao[[#This Row],[Data]]),"ddd")</f>
        <v>qui</v>
      </c>
      <c r="Q516" s="1">
        <f t="shared" si="8"/>
        <v>0</v>
      </c>
    </row>
    <row r="517" spans="1:17" hidden="1" x14ac:dyDescent="0.25">
      <c r="A517" s="2"/>
      <c r="F517" s="1"/>
      <c r="K517" s="33"/>
      <c r="L517" s="1"/>
      <c r="M517" s="1"/>
      <c r="N517" s="1"/>
      <c r="O517" s="1"/>
      <c r="P517" s="1"/>
      <c r="Q517" s="1"/>
    </row>
    <row r="518" spans="1:17" x14ac:dyDescent="0.25">
      <c r="A518" s="2">
        <v>44742</v>
      </c>
      <c r="B518">
        <v>33</v>
      </c>
      <c r="C518">
        <v>16</v>
      </c>
      <c r="D518">
        <v>368</v>
      </c>
      <c r="E518">
        <v>5822</v>
      </c>
      <c r="F518" s="1" t="s">
        <v>100</v>
      </c>
      <c r="G518">
        <v>0</v>
      </c>
      <c r="H518">
        <v>0</v>
      </c>
      <c r="I518">
        <v>25</v>
      </c>
      <c r="J518">
        <v>25</v>
      </c>
      <c r="K518" s="33">
        <v>0</v>
      </c>
      <c r="L518" s="1"/>
      <c r="M518" s="1" t="str">
        <f>_xlfn.XLOOKUP(ocupacao[[#This Row],[UnidadeID]],unidades!$A:$A,unidades!$B:$B,"",0)</f>
        <v>Seggastro</v>
      </c>
      <c r="N518" s="1" t="str">
        <f>_xlfn.XLOOKUP(ocupacao[[#This Row],[UnidadeID]],unidades!$A:$A,unidades!$C:$C,"",0)</f>
        <v>Nova Iguaçu</v>
      </c>
      <c r="O518" s="1" t="str">
        <f>_xlfn.XLOOKUP(ocupacao[[#This Row],[EspecialidadeID]],especialidades!$A:$A,especialidades!$B:$B,"",0)</f>
        <v>GASTROENTEROLOGIA</v>
      </c>
      <c r="P518" s="1" t="str">
        <f>TEXT(WEEKDAY(ocupacao[[#This Row],[Data]]),"ddd")</f>
        <v>qui</v>
      </c>
      <c r="Q518" s="1">
        <f t="shared" si="8"/>
        <v>0</v>
      </c>
    </row>
    <row r="519" spans="1:17" x14ac:dyDescent="0.25">
      <c r="A519" s="2">
        <v>44742</v>
      </c>
      <c r="B519">
        <v>33</v>
      </c>
      <c r="C519">
        <v>16</v>
      </c>
      <c r="D519">
        <v>368</v>
      </c>
      <c r="E519">
        <v>7900</v>
      </c>
      <c r="F519" s="1" t="s">
        <v>348</v>
      </c>
      <c r="G519">
        <v>0</v>
      </c>
      <c r="H519">
        <v>0</v>
      </c>
      <c r="I519">
        <v>41</v>
      </c>
      <c r="J519">
        <v>41</v>
      </c>
      <c r="K519" s="33">
        <v>0</v>
      </c>
      <c r="L519" s="1"/>
      <c r="M519" s="1" t="str">
        <f>_xlfn.XLOOKUP(ocupacao[[#This Row],[UnidadeID]],unidades!$A:$A,unidades!$B:$B,"",0)</f>
        <v>Seggastro</v>
      </c>
      <c r="N519" s="1" t="str">
        <f>_xlfn.XLOOKUP(ocupacao[[#This Row],[UnidadeID]],unidades!$A:$A,unidades!$C:$C,"",0)</f>
        <v>Nova Iguaçu</v>
      </c>
      <c r="O519" s="1" t="str">
        <f>_xlfn.XLOOKUP(ocupacao[[#This Row],[EspecialidadeID]],especialidades!$A:$A,especialidades!$B:$B,"",0)</f>
        <v>GASTROENTEROLOGIA</v>
      </c>
      <c r="P519" s="1" t="str">
        <f>TEXT(WEEKDAY(ocupacao[[#This Row],[Data]]),"ddd")</f>
        <v>qui</v>
      </c>
      <c r="Q519" s="1">
        <f t="shared" si="8"/>
        <v>0</v>
      </c>
    </row>
    <row r="520" spans="1:17" x14ac:dyDescent="0.25">
      <c r="A520" s="2">
        <v>44742</v>
      </c>
      <c r="B520">
        <v>0</v>
      </c>
      <c r="C520">
        <v>16</v>
      </c>
      <c r="D520">
        <v>346</v>
      </c>
      <c r="E520">
        <v>13660</v>
      </c>
      <c r="F520" s="1" t="s">
        <v>112</v>
      </c>
      <c r="G520">
        <v>0</v>
      </c>
      <c r="H520">
        <v>0</v>
      </c>
      <c r="I520">
        <v>108</v>
      </c>
      <c r="J520">
        <v>108</v>
      </c>
      <c r="K520" s="33">
        <v>0</v>
      </c>
      <c r="L520" s="1"/>
      <c r="M520" s="1" t="str">
        <f>_xlfn.XLOOKUP(ocupacao[[#This Row],[UnidadeID]],unidades!$A:$A,unidades!$B:$B,"",0)</f>
        <v>Matriz</v>
      </c>
      <c r="N520" s="1" t="str">
        <f>_xlfn.XLOOKUP(ocupacao[[#This Row],[UnidadeID]],unidades!$A:$A,unidades!$C:$C,"",0)</f>
        <v>Nova Iguaçu</v>
      </c>
      <c r="O520" s="1" t="str">
        <f>_xlfn.XLOOKUP(ocupacao[[#This Row],[EspecialidadeID]],especialidades!$A:$A,especialidades!$B:$B,"",0)</f>
        <v>GASTROENTEROLOGIA</v>
      </c>
      <c r="P520" s="1" t="str">
        <f>TEXT(WEEKDAY(ocupacao[[#This Row],[Data]]),"ddd")</f>
        <v>qui</v>
      </c>
      <c r="Q520" s="1">
        <f t="shared" si="8"/>
        <v>0</v>
      </c>
    </row>
    <row r="521" spans="1:17" x14ac:dyDescent="0.25">
      <c r="A521" s="2">
        <v>44743</v>
      </c>
      <c r="B521">
        <v>33</v>
      </c>
      <c r="C521">
        <v>16</v>
      </c>
      <c r="D521">
        <v>368</v>
      </c>
      <c r="E521">
        <v>75</v>
      </c>
      <c r="F521" s="1" t="s">
        <v>125</v>
      </c>
      <c r="G521">
        <v>0</v>
      </c>
      <c r="H521">
        <v>0</v>
      </c>
      <c r="I521">
        <v>61</v>
      </c>
      <c r="J521">
        <v>61</v>
      </c>
      <c r="K521" s="33">
        <v>0</v>
      </c>
      <c r="L521" s="1"/>
      <c r="M521" s="1" t="str">
        <f>_xlfn.XLOOKUP(ocupacao[[#This Row],[UnidadeID]],unidades!$A:$A,unidades!$B:$B,"",0)</f>
        <v>Seggastro</v>
      </c>
      <c r="N521" s="1" t="str">
        <f>_xlfn.XLOOKUP(ocupacao[[#This Row],[UnidadeID]],unidades!$A:$A,unidades!$C:$C,"",0)</f>
        <v>Nova Iguaçu</v>
      </c>
      <c r="O521" s="1" t="str">
        <f>_xlfn.XLOOKUP(ocupacao[[#This Row],[EspecialidadeID]],especialidades!$A:$A,especialidades!$B:$B,"",0)</f>
        <v>GASTROENTEROLOGIA</v>
      </c>
      <c r="P521" s="1" t="str">
        <f>TEXT(WEEKDAY(ocupacao[[#This Row],[Data]]),"ddd")</f>
        <v>sex</v>
      </c>
      <c r="Q521" s="1">
        <f t="shared" si="8"/>
        <v>0</v>
      </c>
    </row>
    <row r="522" spans="1:17" x14ac:dyDescent="0.25">
      <c r="A522" s="2">
        <v>44743</v>
      </c>
      <c r="B522">
        <v>33</v>
      </c>
      <c r="C522">
        <v>16</v>
      </c>
      <c r="D522">
        <v>368</v>
      </c>
      <c r="E522">
        <v>1586</v>
      </c>
      <c r="F522" s="1" t="s">
        <v>132</v>
      </c>
      <c r="G522">
        <v>0</v>
      </c>
      <c r="H522">
        <v>0</v>
      </c>
      <c r="I522">
        <v>41</v>
      </c>
      <c r="J522">
        <v>41</v>
      </c>
      <c r="K522" s="33">
        <v>0</v>
      </c>
      <c r="L522" s="1"/>
      <c r="M522" s="1" t="str">
        <f>_xlfn.XLOOKUP(ocupacao[[#This Row],[UnidadeID]],unidades!$A:$A,unidades!$B:$B,"",0)</f>
        <v>Seggastro</v>
      </c>
      <c r="N522" s="1" t="str">
        <f>_xlfn.XLOOKUP(ocupacao[[#This Row],[UnidadeID]],unidades!$A:$A,unidades!$C:$C,"",0)</f>
        <v>Nova Iguaçu</v>
      </c>
      <c r="O522" s="1" t="str">
        <f>_xlfn.XLOOKUP(ocupacao[[#This Row],[EspecialidadeID]],especialidades!$A:$A,especialidades!$B:$B,"",0)</f>
        <v>GASTROENTEROLOGIA</v>
      </c>
      <c r="P522" s="1" t="str">
        <f>TEXT(WEEKDAY(ocupacao[[#This Row],[Data]]),"ddd")</f>
        <v>sex</v>
      </c>
      <c r="Q522" s="1">
        <f t="shared" si="8"/>
        <v>0</v>
      </c>
    </row>
    <row r="523" spans="1:17" x14ac:dyDescent="0.25">
      <c r="A523" s="2">
        <v>44743</v>
      </c>
      <c r="B523">
        <v>33</v>
      </c>
      <c r="C523">
        <v>16</v>
      </c>
      <c r="D523">
        <v>368</v>
      </c>
      <c r="E523">
        <v>2036</v>
      </c>
      <c r="F523" s="1" t="s">
        <v>374</v>
      </c>
      <c r="G523">
        <v>0</v>
      </c>
      <c r="H523">
        <v>0</v>
      </c>
      <c r="I523">
        <v>41</v>
      </c>
      <c r="J523">
        <v>41</v>
      </c>
      <c r="K523" s="33">
        <v>0</v>
      </c>
      <c r="L523" s="1"/>
      <c r="M523" s="1" t="str">
        <f>_xlfn.XLOOKUP(ocupacao[[#This Row],[UnidadeID]],unidades!$A:$A,unidades!$B:$B,"",0)</f>
        <v>Seggastro</v>
      </c>
      <c r="N523" s="1" t="str">
        <f>_xlfn.XLOOKUP(ocupacao[[#This Row],[UnidadeID]],unidades!$A:$A,unidades!$C:$C,"",0)</f>
        <v>Nova Iguaçu</v>
      </c>
      <c r="O523" s="1" t="str">
        <f>_xlfn.XLOOKUP(ocupacao[[#This Row],[EspecialidadeID]],especialidades!$A:$A,especialidades!$B:$B,"",0)</f>
        <v>GASTROENTEROLOGIA</v>
      </c>
      <c r="P523" s="1" t="str">
        <f>TEXT(WEEKDAY(ocupacao[[#This Row],[Data]]),"ddd")</f>
        <v>sex</v>
      </c>
      <c r="Q523" s="1">
        <f t="shared" si="8"/>
        <v>0</v>
      </c>
    </row>
    <row r="524" spans="1:17" x14ac:dyDescent="0.25">
      <c r="A524" s="2">
        <v>44743</v>
      </c>
      <c r="B524">
        <v>33</v>
      </c>
      <c r="C524">
        <v>16</v>
      </c>
      <c r="D524">
        <v>368</v>
      </c>
      <c r="E524">
        <v>5822</v>
      </c>
      <c r="F524" s="1" t="s">
        <v>100</v>
      </c>
      <c r="G524">
        <v>0</v>
      </c>
      <c r="H524">
        <v>0</v>
      </c>
      <c r="I524">
        <v>61</v>
      </c>
      <c r="J524">
        <v>61</v>
      </c>
      <c r="K524" s="33">
        <v>0</v>
      </c>
      <c r="L524" s="1"/>
      <c r="M524" s="1" t="str">
        <f>_xlfn.XLOOKUP(ocupacao[[#This Row],[UnidadeID]],unidades!$A:$A,unidades!$B:$B,"",0)</f>
        <v>Seggastro</v>
      </c>
      <c r="N524" s="1" t="str">
        <f>_xlfn.XLOOKUP(ocupacao[[#This Row],[UnidadeID]],unidades!$A:$A,unidades!$C:$C,"",0)</f>
        <v>Nova Iguaçu</v>
      </c>
      <c r="O524" s="1" t="str">
        <f>_xlfn.XLOOKUP(ocupacao[[#This Row],[EspecialidadeID]],especialidades!$A:$A,especialidades!$B:$B,"",0)</f>
        <v>GASTROENTEROLOGIA</v>
      </c>
      <c r="P524" s="1" t="str">
        <f>TEXT(WEEKDAY(ocupacao[[#This Row],[Data]]),"ddd")</f>
        <v>sex</v>
      </c>
      <c r="Q524" s="1">
        <f t="shared" si="8"/>
        <v>0</v>
      </c>
    </row>
    <row r="525" spans="1:17" hidden="1" x14ac:dyDescent="0.25">
      <c r="A525" s="2"/>
      <c r="F525" s="1"/>
      <c r="K525" s="33"/>
      <c r="L525" s="1"/>
      <c r="M525" s="1"/>
      <c r="N525" s="1"/>
      <c r="O525" s="1"/>
      <c r="P525" s="1"/>
      <c r="Q525" s="1"/>
    </row>
    <row r="526" spans="1:17" x14ac:dyDescent="0.25">
      <c r="A526" s="2">
        <v>44743</v>
      </c>
      <c r="B526">
        <v>11</v>
      </c>
      <c r="C526">
        <v>16</v>
      </c>
      <c r="D526">
        <v>17</v>
      </c>
      <c r="E526">
        <v>5927</v>
      </c>
      <c r="F526" s="1" t="s">
        <v>93</v>
      </c>
      <c r="G526">
        <v>0</v>
      </c>
      <c r="H526">
        <v>1</v>
      </c>
      <c r="I526">
        <v>16</v>
      </c>
      <c r="J526">
        <v>17</v>
      </c>
      <c r="K526" s="33">
        <v>5.8799999999999998E-2</v>
      </c>
      <c r="L526" s="1"/>
      <c r="M526" s="1" t="str">
        <f>_xlfn.XLOOKUP(ocupacao[[#This Row],[UnidadeID]],unidades!$A:$A,unidades!$B:$B,"",0)</f>
        <v>Filial 2 - 11º</v>
      </c>
      <c r="N526" s="1" t="str">
        <f>_xlfn.XLOOKUP(ocupacao[[#This Row],[UnidadeID]],unidades!$A:$A,unidades!$C:$C,"",0)</f>
        <v>Nova Iguaçu</v>
      </c>
      <c r="O526" s="1" t="str">
        <f>_xlfn.XLOOKUP(ocupacao[[#This Row],[EspecialidadeID]],especialidades!$A:$A,especialidades!$B:$B,"",0)</f>
        <v>GASTROENTEROLOGIA</v>
      </c>
      <c r="P526" s="1" t="str">
        <f>TEXT(WEEKDAY(ocupacao[[#This Row],[Data]]),"ddd")</f>
        <v>sex</v>
      </c>
      <c r="Q526" s="1">
        <f t="shared" si="8"/>
        <v>0</v>
      </c>
    </row>
    <row r="527" spans="1:17" x14ac:dyDescent="0.25">
      <c r="A527" s="2">
        <v>44743</v>
      </c>
      <c r="B527">
        <v>33</v>
      </c>
      <c r="C527">
        <v>16</v>
      </c>
      <c r="D527">
        <v>368</v>
      </c>
      <c r="E527">
        <v>7900</v>
      </c>
      <c r="F527" s="1" t="s">
        <v>348</v>
      </c>
      <c r="G527">
        <v>0</v>
      </c>
      <c r="H527">
        <v>0</v>
      </c>
      <c r="I527">
        <v>41</v>
      </c>
      <c r="J527">
        <v>41</v>
      </c>
      <c r="K527" s="33">
        <v>0</v>
      </c>
      <c r="L527" s="1"/>
      <c r="M527" s="1" t="str">
        <f>_xlfn.XLOOKUP(ocupacao[[#This Row],[UnidadeID]],unidades!$A:$A,unidades!$B:$B,"",0)</f>
        <v>Seggastro</v>
      </c>
      <c r="N527" s="1" t="str">
        <f>_xlfn.XLOOKUP(ocupacao[[#This Row],[UnidadeID]],unidades!$A:$A,unidades!$C:$C,"",0)</f>
        <v>Nova Iguaçu</v>
      </c>
      <c r="O527" s="1" t="str">
        <f>_xlfn.XLOOKUP(ocupacao[[#This Row],[EspecialidadeID]],especialidades!$A:$A,especialidades!$B:$B,"",0)</f>
        <v>GASTROENTEROLOGIA</v>
      </c>
      <c r="P527" s="1" t="str">
        <f>TEXT(WEEKDAY(ocupacao[[#This Row],[Data]]),"ddd")</f>
        <v>sex</v>
      </c>
      <c r="Q527" s="1">
        <f t="shared" si="8"/>
        <v>0</v>
      </c>
    </row>
    <row r="528" spans="1:17" hidden="1" x14ac:dyDescent="0.25">
      <c r="A528" s="2">
        <v>44743</v>
      </c>
      <c r="B528">
        <v>33</v>
      </c>
      <c r="C528">
        <v>16</v>
      </c>
      <c r="D528">
        <v>15</v>
      </c>
      <c r="E528">
        <v>13660</v>
      </c>
      <c r="F528" s="1" t="s">
        <v>112</v>
      </c>
      <c r="G528">
        <v>0</v>
      </c>
      <c r="H528">
        <v>2</v>
      </c>
      <c r="I528">
        <v>0</v>
      </c>
      <c r="J528">
        <v>2</v>
      </c>
      <c r="K528" s="33">
        <v>1</v>
      </c>
      <c r="L528" s="1"/>
      <c r="M528" s="1"/>
      <c r="N528" s="1"/>
      <c r="O528" s="1"/>
      <c r="P528" s="1"/>
      <c r="Q528" s="1"/>
    </row>
    <row r="529" spans="1:17" hidden="1" x14ac:dyDescent="0.25">
      <c r="A529" s="2"/>
      <c r="F529" s="1"/>
      <c r="K529" s="33"/>
      <c r="L529" s="1"/>
      <c r="M529" s="1"/>
      <c r="N529" s="1"/>
      <c r="O529" s="1"/>
      <c r="P529" s="1"/>
      <c r="Q529" s="1"/>
    </row>
    <row r="530" spans="1:17" hidden="1" x14ac:dyDescent="0.25">
      <c r="A530" s="2"/>
      <c r="F530" s="1"/>
      <c r="K530" s="33"/>
      <c r="L530" s="1"/>
      <c r="M530" s="1"/>
      <c r="N530" s="1"/>
      <c r="O530" s="1"/>
      <c r="P530" s="1"/>
      <c r="Q530" s="1"/>
    </row>
    <row r="531" spans="1:17" x14ac:dyDescent="0.25">
      <c r="A531" s="2">
        <v>44743</v>
      </c>
      <c r="B531">
        <v>33</v>
      </c>
      <c r="C531">
        <v>16</v>
      </c>
      <c r="D531">
        <v>368</v>
      </c>
      <c r="E531">
        <v>13660</v>
      </c>
      <c r="F531" s="1" t="s">
        <v>112</v>
      </c>
      <c r="G531">
        <v>0</v>
      </c>
      <c r="H531">
        <v>0</v>
      </c>
      <c r="I531">
        <v>13</v>
      </c>
      <c r="J531">
        <v>13</v>
      </c>
      <c r="K531" s="33">
        <v>0</v>
      </c>
      <c r="L531" s="1"/>
      <c r="M531" s="1" t="str">
        <f>_xlfn.XLOOKUP(ocupacao[[#This Row],[UnidadeID]],unidades!$A:$A,unidades!$B:$B,"",0)</f>
        <v>Seggastro</v>
      </c>
      <c r="N531" s="1" t="str">
        <f>_xlfn.XLOOKUP(ocupacao[[#This Row],[UnidadeID]],unidades!$A:$A,unidades!$C:$C,"",0)</f>
        <v>Nova Iguaçu</v>
      </c>
      <c r="O531" s="1" t="str">
        <f>_xlfn.XLOOKUP(ocupacao[[#This Row],[EspecialidadeID]],especialidades!$A:$A,especialidades!$B:$B,"",0)</f>
        <v>GASTROENTEROLOGIA</v>
      </c>
      <c r="P531" s="1" t="str">
        <f>TEXT(WEEKDAY(ocupacao[[#This Row],[Data]]),"ddd")</f>
        <v>sex</v>
      </c>
      <c r="Q531" s="1">
        <f t="shared" si="8"/>
        <v>0</v>
      </c>
    </row>
    <row r="532" spans="1:17" x14ac:dyDescent="0.25">
      <c r="A532" s="2"/>
      <c r="F532" s="1" t="s">
        <v>106</v>
      </c>
      <c r="K532" s="33"/>
      <c r="L532" s="1"/>
      <c r="M532" s="1">
        <f>_xlfn.XLOOKUP(ocupacao[[#This Row],[UnidadeID]],unidades!$A:$A,unidades!$B:$B,"",0)</f>
        <v>0</v>
      </c>
      <c r="N532" s="1">
        <f>_xlfn.XLOOKUP(ocupacao[[#This Row],[UnidadeID]],unidades!$A:$A,unidades!$C:$C,"",0)</f>
        <v>0</v>
      </c>
      <c r="O532" s="1">
        <f>_xlfn.XLOOKUP(ocupacao[[#This Row],[EspecialidadeID]],especialidades!$A:$A,especialidades!$B:$B,"",0)</f>
        <v>0</v>
      </c>
      <c r="P532" s="1" t="str">
        <f>TEXT(WEEKDAY(ocupacao[[#This Row],[Data]]),"ddd")</f>
        <v>sáb</v>
      </c>
      <c r="Q532" s="1">
        <f t="shared" si="8"/>
        <v>0</v>
      </c>
    </row>
    <row r="533" spans="1:17" x14ac:dyDescent="0.25">
      <c r="A533" s="2">
        <v>44733</v>
      </c>
      <c r="B533">
        <v>11</v>
      </c>
      <c r="C533">
        <v>18</v>
      </c>
      <c r="D533">
        <v>18</v>
      </c>
      <c r="E533">
        <v>7290</v>
      </c>
      <c r="F533" s="1" t="s">
        <v>331</v>
      </c>
      <c r="G533">
        <v>6</v>
      </c>
      <c r="H533">
        <v>0</v>
      </c>
      <c r="I533">
        <v>1</v>
      </c>
      <c r="J533">
        <v>7</v>
      </c>
      <c r="K533" s="33">
        <v>0.85709999999999997</v>
      </c>
      <c r="L533" s="1"/>
      <c r="M533" s="1" t="str">
        <f>_xlfn.XLOOKUP(ocupacao[[#This Row],[UnidadeID]],unidades!$A:$A,unidades!$B:$B,"",0)</f>
        <v>Filial 2 - 11º</v>
      </c>
      <c r="N533" s="1" t="str">
        <f>_xlfn.XLOOKUP(ocupacao[[#This Row],[UnidadeID]],unidades!$A:$A,unidades!$C:$C,"",0)</f>
        <v>Nova Iguaçu</v>
      </c>
      <c r="O533" s="1" t="str">
        <f>_xlfn.XLOOKUP(ocupacao[[#This Row],[EspecialidadeID]],especialidades!$A:$A,especialidades!$B:$B,"",0)</f>
        <v>PNEUMOLOGIA</v>
      </c>
      <c r="P533" s="1" t="str">
        <f>TEXT(WEEKDAY(ocupacao[[#This Row],[Data]]),"ddd")</f>
        <v>ter</v>
      </c>
      <c r="Q533" s="1">
        <f t="shared" si="8"/>
        <v>1</v>
      </c>
    </row>
    <row r="534" spans="1:17" x14ac:dyDescent="0.25">
      <c r="A534" s="2">
        <v>44733</v>
      </c>
      <c r="B534">
        <v>11</v>
      </c>
      <c r="C534">
        <v>18</v>
      </c>
      <c r="D534">
        <v>18</v>
      </c>
      <c r="E534">
        <v>7290</v>
      </c>
      <c r="F534" s="1" t="s">
        <v>331</v>
      </c>
      <c r="G534">
        <v>6</v>
      </c>
      <c r="H534">
        <v>33</v>
      </c>
      <c r="I534">
        <v>1</v>
      </c>
      <c r="J534">
        <v>40</v>
      </c>
      <c r="K534" s="33">
        <v>0.97499999999999998</v>
      </c>
      <c r="L534" s="1"/>
      <c r="M534" s="1" t="str">
        <f>_xlfn.XLOOKUP(ocupacao[[#This Row],[UnidadeID]],unidades!$A:$A,unidades!$B:$B,"",0)</f>
        <v>Filial 2 - 11º</v>
      </c>
      <c r="N534" s="1" t="str">
        <f>_xlfn.XLOOKUP(ocupacao[[#This Row],[UnidadeID]],unidades!$A:$A,unidades!$C:$C,"",0)</f>
        <v>Nova Iguaçu</v>
      </c>
      <c r="O534" s="1" t="str">
        <f>_xlfn.XLOOKUP(ocupacao[[#This Row],[EspecialidadeID]],especialidades!$A:$A,especialidades!$B:$B,"",0)</f>
        <v>PNEUMOLOGIA</v>
      </c>
      <c r="P534" s="1" t="str">
        <f>TEXT(WEEKDAY(ocupacao[[#This Row],[Data]]),"ddd")</f>
        <v>ter</v>
      </c>
      <c r="Q534" s="1">
        <f t="shared" si="8"/>
        <v>0</v>
      </c>
    </row>
    <row r="535" spans="1:17" hidden="1" x14ac:dyDescent="0.25">
      <c r="A535" s="2"/>
      <c r="F535" s="1"/>
      <c r="K535" s="33"/>
      <c r="L535" s="1"/>
      <c r="M535" s="1"/>
      <c r="N535" s="1"/>
      <c r="O535" s="1"/>
      <c r="P535" s="1"/>
      <c r="Q535" s="1"/>
    </row>
    <row r="536" spans="1:17" x14ac:dyDescent="0.25">
      <c r="A536" s="2">
        <v>44735</v>
      </c>
      <c r="B536">
        <v>18</v>
      </c>
      <c r="C536">
        <v>18</v>
      </c>
      <c r="D536">
        <v>81</v>
      </c>
      <c r="E536">
        <v>10717</v>
      </c>
      <c r="F536" s="1" t="s">
        <v>332</v>
      </c>
      <c r="G536">
        <v>0</v>
      </c>
      <c r="H536">
        <v>2</v>
      </c>
      <c r="I536">
        <v>14</v>
      </c>
      <c r="J536">
        <v>16</v>
      </c>
      <c r="K536" s="33">
        <v>0.125</v>
      </c>
      <c r="L536" s="1"/>
      <c r="M536" s="1" t="str">
        <f>_xlfn.XLOOKUP(ocupacao[[#This Row],[UnidadeID]],unidades!$A:$A,unidades!$B:$B,"",0)</f>
        <v>Miguel Couto</v>
      </c>
      <c r="N536" s="1" t="str">
        <f>_xlfn.XLOOKUP(ocupacao[[#This Row],[UnidadeID]],unidades!$A:$A,unidades!$C:$C,"",0)</f>
        <v>Miguel Couto</v>
      </c>
      <c r="O536" s="1" t="str">
        <f>_xlfn.XLOOKUP(ocupacao[[#This Row],[EspecialidadeID]],especialidades!$A:$A,especialidades!$B:$B,"",0)</f>
        <v>PNEUMOLOGIA</v>
      </c>
      <c r="P536" s="1" t="str">
        <f>TEXT(WEEKDAY(ocupacao[[#This Row],[Data]]),"ddd")</f>
        <v>qui</v>
      </c>
      <c r="Q536" s="1">
        <f t="shared" si="8"/>
        <v>1</v>
      </c>
    </row>
    <row r="537" spans="1:17" x14ac:dyDescent="0.25">
      <c r="A537" s="2">
        <v>44736</v>
      </c>
      <c r="B537">
        <v>11</v>
      </c>
      <c r="C537">
        <v>18</v>
      </c>
      <c r="D537">
        <v>18</v>
      </c>
      <c r="E537">
        <v>10717</v>
      </c>
      <c r="F537" s="1" t="s">
        <v>332</v>
      </c>
      <c r="G537">
        <v>0</v>
      </c>
      <c r="H537">
        <v>14</v>
      </c>
      <c r="I537">
        <v>0</v>
      </c>
      <c r="J537">
        <v>14</v>
      </c>
      <c r="K537" s="33">
        <v>1</v>
      </c>
      <c r="L537" s="1"/>
      <c r="M537" s="1" t="str">
        <f>_xlfn.XLOOKUP(ocupacao[[#This Row],[UnidadeID]],unidades!$A:$A,unidades!$B:$B,"",0)</f>
        <v>Filial 2 - 11º</v>
      </c>
      <c r="N537" s="1" t="str">
        <f>_xlfn.XLOOKUP(ocupacao[[#This Row],[UnidadeID]],unidades!$A:$A,unidades!$C:$C,"",0)</f>
        <v>Nova Iguaçu</v>
      </c>
      <c r="O537" s="1" t="str">
        <f>_xlfn.XLOOKUP(ocupacao[[#This Row],[EspecialidadeID]],especialidades!$A:$A,especialidades!$B:$B,"",0)</f>
        <v>PNEUMOLOGIA</v>
      </c>
      <c r="P537" s="1" t="str">
        <f>TEXT(WEEKDAY(ocupacao[[#This Row],[Data]]),"ddd")</f>
        <v>sex</v>
      </c>
      <c r="Q537" s="1">
        <f t="shared" si="8"/>
        <v>0</v>
      </c>
    </row>
    <row r="538" spans="1:17" hidden="1" x14ac:dyDescent="0.25">
      <c r="A538" s="2">
        <v>44740</v>
      </c>
      <c r="B538">
        <v>11</v>
      </c>
      <c r="C538">
        <v>18</v>
      </c>
      <c r="D538">
        <v>18</v>
      </c>
      <c r="E538">
        <v>7290</v>
      </c>
      <c r="F538" s="1" t="s">
        <v>331</v>
      </c>
      <c r="G538">
        <v>6</v>
      </c>
      <c r="H538">
        <v>0</v>
      </c>
      <c r="I538">
        <v>16</v>
      </c>
      <c r="J538">
        <v>22</v>
      </c>
      <c r="K538" s="33">
        <v>0.2727</v>
      </c>
      <c r="L538" s="1"/>
      <c r="M538" s="1"/>
      <c r="N538" s="1"/>
      <c r="O538" s="1"/>
      <c r="P538" s="1"/>
      <c r="Q538" s="1"/>
    </row>
    <row r="539" spans="1:17" x14ac:dyDescent="0.25">
      <c r="A539" s="2">
        <v>44740</v>
      </c>
      <c r="B539">
        <v>11</v>
      </c>
      <c r="C539">
        <v>18</v>
      </c>
      <c r="D539">
        <v>18</v>
      </c>
      <c r="E539">
        <v>7290</v>
      </c>
      <c r="F539" s="1" t="s">
        <v>331</v>
      </c>
      <c r="G539">
        <v>6</v>
      </c>
      <c r="H539">
        <v>18</v>
      </c>
      <c r="I539">
        <v>16</v>
      </c>
      <c r="J539">
        <v>40</v>
      </c>
      <c r="K539" s="33">
        <v>0.6</v>
      </c>
      <c r="L539" s="1"/>
      <c r="M539" s="1" t="str">
        <f>_xlfn.XLOOKUP(ocupacao[[#This Row],[UnidadeID]],unidades!$A:$A,unidades!$B:$B,"",0)</f>
        <v>Filial 2 - 11º</v>
      </c>
      <c r="N539" s="1" t="str">
        <f>_xlfn.XLOOKUP(ocupacao[[#This Row],[UnidadeID]],unidades!$A:$A,unidades!$C:$C,"",0)</f>
        <v>Nova Iguaçu</v>
      </c>
      <c r="O539" s="1" t="str">
        <f>_xlfn.XLOOKUP(ocupacao[[#This Row],[EspecialidadeID]],especialidades!$A:$A,especialidades!$B:$B,"",0)</f>
        <v>PNEUMOLOGIA</v>
      </c>
      <c r="P539" s="1" t="str">
        <f>TEXT(WEEKDAY(ocupacao[[#This Row],[Data]]),"ddd")</f>
        <v>ter</v>
      </c>
      <c r="Q539" s="1">
        <f t="shared" si="8"/>
        <v>0</v>
      </c>
    </row>
    <row r="540" spans="1:17" hidden="1" x14ac:dyDescent="0.25">
      <c r="A540" s="2"/>
      <c r="F540" s="1"/>
      <c r="K540" s="33"/>
      <c r="L540" s="1"/>
      <c r="M540" s="1"/>
      <c r="N540" s="1"/>
      <c r="O540" s="1"/>
      <c r="P540" s="1"/>
      <c r="Q540" s="1"/>
    </row>
    <row r="541" spans="1:17" x14ac:dyDescent="0.25">
      <c r="A541" s="2">
        <v>44742</v>
      </c>
      <c r="B541">
        <v>18</v>
      </c>
      <c r="C541">
        <v>18</v>
      </c>
      <c r="D541">
        <v>69</v>
      </c>
      <c r="E541">
        <v>10717</v>
      </c>
      <c r="F541" s="1" t="s">
        <v>332</v>
      </c>
      <c r="G541">
        <v>0</v>
      </c>
      <c r="H541">
        <v>6</v>
      </c>
      <c r="I541">
        <v>10</v>
      </c>
      <c r="J541">
        <v>16</v>
      </c>
      <c r="K541" s="33">
        <v>0.375</v>
      </c>
      <c r="L541" s="1"/>
      <c r="M541" s="1" t="str">
        <f>_xlfn.XLOOKUP(ocupacao[[#This Row],[UnidadeID]],unidades!$A:$A,unidades!$B:$B,"",0)</f>
        <v>Miguel Couto</v>
      </c>
      <c r="N541" s="1" t="str">
        <f>_xlfn.XLOOKUP(ocupacao[[#This Row],[UnidadeID]],unidades!$A:$A,unidades!$C:$C,"",0)</f>
        <v>Miguel Couto</v>
      </c>
      <c r="O541" s="1" t="str">
        <f>_xlfn.XLOOKUP(ocupacao[[#This Row],[EspecialidadeID]],especialidades!$A:$A,especialidades!$B:$B,"",0)</f>
        <v>PNEUMOLOGIA</v>
      </c>
      <c r="P541" s="1" t="str">
        <f>TEXT(WEEKDAY(ocupacao[[#This Row],[Data]]),"ddd")</f>
        <v>qui</v>
      </c>
      <c r="Q541" s="1">
        <f t="shared" si="8"/>
        <v>1</v>
      </c>
    </row>
    <row r="542" spans="1:17" hidden="1" x14ac:dyDescent="0.25">
      <c r="A542" s="2">
        <v>44743</v>
      </c>
      <c r="B542">
        <v>11</v>
      </c>
      <c r="C542">
        <v>18</v>
      </c>
      <c r="D542">
        <v>18</v>
      </c>
      <c r="E542">
        <v>10717</v>
      </c>
      <c r="F542" s="1" t="s">
        <v>332</v>
      </c>
      <c r="G542">
        <v>0</v>
      </c>
      <c r="H542">
        <v>0</v>
      </c>
      <c r="I542">
        <v>13</v>
      </c>
      <c r="J542">
        <v>13</v>
      </c>
      <c r="K542" s="33">
        <v>0</v>
      </c>
      <c r="L542" s="1"/>
      <c r="M542" s="1"/>
      <c r="N542" s="1"/>
      <c r="O542" s="1"/>
      <c r="P542" s="1"/>
      <c r="Q542" s="1"/>
    </row>
    <row r="543" spans="1:17" x14ac:dyDescent="0.25">
      <c r="A543" s="2">
        <v>44743</v>
      </c>
      <c r="B543">
        <v>11</v>
      </c>
      <c r="C543">
        <v>18</v>
      </c>
      <c r="D543">
        <v>18</v>
      </c>
      <c r="E543">
        <v>10717</v>
      </c>
      <c r="F543" s="1" t="s">
        <v>332</v>
      </c>
      <c r="G543">
        <v>0</v>
      </c>
      <c r="H543">
        <v>1</v>
      </c>
      <c r="I543">
        <v>13</v>
      </c>
      <c r="J543">
        <v>14</v>
      </c>
      <c r="K543" s="33">
        <v>7.1400000000000005E-2</v>
      </c>
      <c r="L543" s="1"/>
      <c r="M543" s="1" t="str">
        <f>_xlfn.XLOOKUP(ocupacao[[#This Row],[UnidadeID]],unidades!$A:$A,unidades!$B:$B,"",0)</f>
        <v>Filial 2 - 11º</v>
      </c>
      <c r="N543" s="1" t="str">
        <f>_xlfn.XLOOKUP(ocupacao[[#This Row],[UnidadeID]],unidades!$A:$A,unidades!$C:$C,"",0)</f>
        <v>Nova Iguaçu</v>
      </c>
      <c r="O543" s="1" t="str">
        <f>_xlfn.XLOOKUP(ocupacao[[#This Row],[EspecialidadeID]],especialidades!$A:$A,especialidades!$B:$B,"",0)</f>
        <v>PNEUMOLOGIA</v>
      </c>
      <c r="P543" s="1" t="str">
        <f>TEXT(WEEKDAY(ocupacao[[#This Row],[Data]]),"ddd")</f>
        <v>sex</v>
      </c>
      <c r="Q543" s="1">
        <f t="shared" si="8"/>
        <v>0</v>
      </c>
    </row>
    <row r="544" spans="1:17" x14ac:dyDescent="0.25">
      <c r="A544" s="2"/>
      <c r="F544" s="1" t="s">
        <v>106</v>
      </c>
      <c r="K544" s="33"/>
      <c r="L544" s="1"/>
      <c r="M544" s="1">
        <f>_xlfn.XLOOKUP(ocupacao[[#This Row],[UnidadeID]],unidades!$A:$A,unidades!$B:$B,"",0)</f>
        <v>0</v>
      </c>
      <c r="N544" s="1">
        <f>_xlfn.XLOOKUP(ocupacao[[#This Row],[UnidadeID]],unidades!$A:$A,unidades!$C:$C,"",0)</f>
        <v>0</v>
      </c>
      <c r="O544" s="1">
        <f>_xlfn.XLOOKUP(ocupacao[[#This Row],[EspecialidadeID]],especialidades!$A:$A,especialidades!$B:$B,"",0)</f>
        <v>0</v>
      </c>
      <c r="P544" s="1" t="str">
        <f>TEXT(WEEKDAY(ocupacao[[#This Row],[Data]]),"ddd")</f>
        <v>sáb</v>
      </c>
      <c r="Q544" s="1">
        <f t="shared" si="8"/>
        <v>0</v>
      </c>
    </row>
    <row r="545" spans="1:17" hidden="1" x14ac:dyDescent="0.25">
      <c r="A545" s="2"/>
      <c r="F545" s="1"/>
      <c r="K545" s="33"/>
      <c r="L545" s="1"/>
      <c r="M545" s="1"/>
      <c r="N545" s="1"/>
      <c r="O545" s="1"/>
      <c r="P545" s="1"/>
      <c r="Q545" s="1"/>
    </row>
    <row r="546" spans="1:17" x14ac:dyDescent="0.25">
      <c r="A546" s="2">
        <v>44733</v>
      </c>
      <c r="B546">
        <v>22</v>
      </c>
      <c r="C546">
        <v>21</v>
      </c>
      <c r="D546">
        <v>71</v>
      </c>
      <c r="E546">
        <v>81</v>
      </c>
      <c r="F546" s="1" t="s">
        <v>333</v>
      </c>
      <c r="G546">
        <v>0</v>
      </c>
      <c r="H546">
        <v>17</v>
      </c>
      <c r="I546">
        <v>24</v>
      </c>
      <c r="J546">
        <v>41</v>
      </c>
      <c r="K546" s="33">
        <v>0.41460000000000002</v>
      </c>
      <c r="L546" s="1"/>
      <c r="M546" s="1" t="str">
        <f>_xlfn.XLOOKUP(ocupacao[[#This Row],[UnidadeID]],unidades!$A:$A,unidades!$B:$B,"",0)</f>
        <v>Filial 1</v>
      </c>
      <c r="N546" s="1" t="str">
        <f>_xlfn.XLOOKUP(ocupacao[[#This Row],[UnidadeID]],unidades!$A:$A,unidades!$C:$C,"",0)</f>
        <v>Nova Iguaçu</v>
      </c>
      <c r="O546" s="1" t="str">
        <f>_xlfn.XLOOKUP(ocupacao[[#This Row],[EspecialidadeID]],especialidades!$A:$A,especialidades!$B:$B,"",0)</f>
        <v>GINECOLOGIA</v>
      </c>
      <c r="P546" s="1" t="str">
        <f>TEXT(WEEKDAY(ocupacao[[#This Row],[Data]]),"ddd")</f>
        <v>ter</v>
      </c>
      <c r="Q546" s="1">
        <f t="shared" si="8"/>
        <v>1</v>
      </c>
    </row>
    <row r="547" spans="1:17" x14ac:dyDescent="0.25">
      <c r="A547" s="2">
        <v>44733</v>
      </c>
      <c r="B547">
        <v>22</v>
      </c>
      <c r="C547">
        <v>21</v>
      </c>
      <c r="D547">
        <v>41</v>
      </c>
      <c r="E547">
        <v>81</v>
      </c>
      <c r="F547" s="1" t="s">
        <v>333</v>
      </c>
      <c r="G547">
        <v>0</v>
      </c>
      <c r="H547">
        <v>32</v>
      </c>
      <c r="I547">
        <v>24</v>
      </c>
      <c r="J547">
        <v>56</v>
      </c>
      <c r="K547" s="33">
        <v>0.57140000000000002</v>
      </c>
      <c r="L547" s="1"/>
      <c r="M547" s="1" t="str">
        <f>_xlfn.XLOOKUP(ocupacao[[#This Row],[UnidadeID]],unidades!$A:$A,unidades!$B:$B,"",0)</f>
        <v>Filial 1</v>
      </c>
      <c r="N547" s="1" t="str">
        <f>_xlfn.XLOOKUP(ocupacao[[#This Row],[UnidadeID]],unidades!$A:$A,unidades!$C:$C,"",0)</f>
        <v>Nova Iguaçu</v>
      </c>
      <c r="O547" s="1" t="str">
        <f>_xlfn.XLOOKUP(ocupacao[[#This Row],[EspecialidadeID]],especialidades!$A:$A,especialidades!$B:$B,"",0)</f>
        <v>GINECOLOGIA</v>
      </c>
      <c r="P547" s="1" t="str">
        <f>TEXT(WEEKDAY(ocupacao[[#This Row],[Data]]),"ddd")</f>
        <v>ter</v>
      </c>
      <c r="Q547" s="1">
        <f t="shared" si="8"/>
        <v>0</v>
      </c>
    </row>
    <row r="548" spans="1:17" hidden="1" x14ac:dyDescent="0.25">
      <c r="A548" s="2">
        <v>44733</v>
      </c>
      <c r="B548">
        <v>22</v>
      </c>
      <c r="C548">
        <v>21</v>
      </c>
      <c r="D548">
        <v>42</v>
      </c>
      <c r="E548">
        <v>266</v>
      </c>
      <c r="F548" s="1" t="s">
        <v>334</v>
      </c>
      <c r="G548">
        <v>0</v>
      </c>
      <c r="H548">
        <v>3</v>
      </c>
      <c r="I548">
        <v>28</v>
      </c>
      <c r="J548">
        <v>31</v>
      </c>
      <c r="K548" s="33">
        <v>9.6799999999999997E-2</v>
      </c>
      <c r="L548" s="1"/>
      <c r="M548" s="1"/>
      <c r="N548" s="1"/>
      <c r="O548" s="1"/>
      <c r="P548" s="1"/>
      <c r="Q548" s="1"/>
    </row>
    <row r="549" spans="1:17" x14ac:dyDescent="0.25">
      <c r="A549" s="2">
        <v>44733</v>
      </c>
      <c r="B549">
        <v>22</v>
      </c>
      <c r="C549">
        <v>21</v>
      </c>
      <c r="D549">
        <v>42</v>
      </c>
      <c r="E549">
        <v>266</v>
      </c>
      <c r="F549" s="1" t="s">
        <v>334</v>
      </c>
      <c r="G549">
        <v>0</v>
      </c>
      <c r="H549">
        <v>31</v>
      </c>
      <c r="I549">
        <v>28</v>
      </c>
      <c r="J549">
        <v>59</v>
      </c>
      <c r="K549" s="33">
        <v>0.52539999999999998</v>
      </c>
      <c r="L549" s="1"/>
      <c r="M549" s="1" t="str">
        <f>_xlfn.XLOOKUP(ocupacao[[#This Row],[UnidadeID]],unidades!$A:$A,unidades!$B:$B,"",0)</f>
        <v>Filial 1</v>
      </c>
      <c r="N549" s="1" t="str">
        <f>_xlfn.XLOOKUP(ocupacao[[#This Row],[UnidadeID]],unidades!$A:$A,unidades!$C:$C,"",0)</f>
        <v>Nova Iguaçu</v>
      </c>
      <c r="O549" s="1" t="str">
        <f>_xlfn.XLOOKUP(ocupacao[[#This Row],[EspecialidadeID]],especialidades!$A:$A,especialidades!$B:$B,"",0)</f>
        <v>GINECOLOGIA</v>
      </c>
      <c r="P549" s="1" t="str">
        <f>TEXT(WEEKDAY(ocupacao[[#This Row],[Data]]),"ddd")</f>
        <v>ter</v>
      </c>
      <c r="Q549" s="1">
        <f t="shared" si="8"/>
        <v>0</v>
      </c>
    </row>
    <row r="550" spans="1:17" x14ac:dyDescent="0.25">
      <c r="A550" s="2">
        <v>44733</v>
      </c>
      <c r="B550">
        <v>18</v>
      </c>
      <c r="C550">
        <v>21</v>
      </c>
      <c r="D550">
        <v>86</v>
      </c>
      <c r="E550">
        <v>10600</v>
      </c>
      <c r="F550" s="1" t="s">
        <v>335</v>
      </c>
      <c r="G550">
        <v>0</v>
      </c>
      <c r="H550">
        <v>18</v>
      </c>
      <c r="I550">
        <v>0</v>
      </c>
      <c r="J550">
        <v>18</v>
      </c>
      <c r="K550" s="33">
        <v>1</v>
      </c>
      <c r="L550" s="1"/>
      <c r="M550" s="1" t="str">
        <f>_xlfn.XLOOKUP(ocupacao[[#This Row],[UnidadeID]],unidades!$A:$A,unidades!$B:$B,"",0)</f>
        <v>Miguel Couto</v>
      </c>
      <c r="N550" s="1" t="str">
        <f>_xlfn.XLOOKUP(ocupacao[[#This Row],[UnidadeID]],unidades!$A:$A,unidades!$C:$C,"",0)</f>
        <v>Miguel Couto</v>
      </c>
      <c r="O550" s="1" t="str">
        <f>_xlfn.XLOOKUP(ocupacao[[#This Row],[EspecialidadeID]],especialidades!$A:$A,especialidades!$B:$B,"",0)</f>
        <v>GINECOLOGIA</v>
      </c>
      <c r="P550" s="1" t="str">
        <f>TEXT(WEEKDAY(ocupacao[[#This Row],[Data]]),"ddd")</f>
        <v>ter</v>
      </c>
      <c r="Q550" s="1">
        <f t="shared" si="8"/>
        <v>0</v>
      </c>
    </row>
    <row r="551" spans="1:17" hidden="1" x14ac:dyDescent="0.25">
      <c r="A551" s="2"/>
      <c r="F551" s="1"/>
      <c r="K551" s="33"/>
      <c r="L551" s="1"/>
      <c r="M551" s="1"/>
      <c r="N551" s="1"/>
      <c r="O551" s="1"/>
      <c r="P551" s="1"/>
      <c r="Q551" s="1"/>
    </row>
    <row r="552" spans="1:17" x14ac:dyDescent="0.25">
      <c r="A552" s="2">
        <v>44734</v>
      </c>
      <c r="B552">
        <v>22</v>
      </c>
      <c r="C552">
        <v>21</v>
      </c>
      <c r="D552">
        <v>41</v>
      </c>
      <c r="E552">
        <v>81</v>
      </c>
      <c r="F552" s="1" t="s">
        <v>333</v>
      </c>
      <c r="G552">
        <v>0</v>
      </c>
      <c r="H552">
        <v>18</v>
      </c>
      <c r="I552">
        <v>13</v>
      </c>
      <c r="J552">
        <v>31</v>
      </c>
      <c r="K552" s="33">
        <v>0.5806</v>
      </c>
      <c r="L552" s="1"/>
      <c r="M552" s="1" t="str">
        <f>_xlfn.XLOOKUP(ocupacao[[#This Row],[UnidadeID]],unidades!$A:$A,unidades!$B:$B,"",0)</f>
        <v>Filial 1</v>
      </c>
      <c r="N552" s="1" t="str">
        <f>_xlfn.XLOOKUP(ocupacao[[#This Row],[UnidadeID]],unidades!$A:$A,unidades!$C:$C,"",0)</f>
        <v>Nova Iguaçu</v>
      </c>
      <c r="O552" s="1" t="str">
        <f>_xlfn.XLOOKUP(ocupacao[[#This Row],[EspecialidadeID]],especialidades!$A:$A,especialidades!$B:$B,"",0)</f>
        <v>GINECOLOGIA</v>
      </c>
      <c r="P552" s="1" t="str">
        <f>TEXT(WEEKDAY(ocupacao[[#This Row],[Data]]),"ddd")</f>
        <v>qua</v>
      </c>
      <c r="Q552" s="1">
        <f t="shared" si="8"/>
        <v>0</v>
      </c>
    </row>
    <row r="553" spans="1:17" hidden="1" x14ac:dyDescent="0.25">
      <c r="A553" s="2"/>
      <c r="F553" s="1"/>
      <c r="K553" s="33"/>
      <c r="L553" s="1"/>
      <c r="M553" s="1"/>
      <c r="N553" s="1"/>
      <c r="O553" s="1"/>
      <c r="P553" s="1"/>
      <c r="Q553" s="1"/>
    </row>
    <row r="554" spans="1:17" hidden="1" x14ac:dyDescent="0.25">
      <c r="A554" s="2">
        <v>44734</v>
      </c>
      <c r="B554">
        <v>22</v>
      </c>
      <c r="C554">
        <v>21</v>
      </c>
      <c r="D554">
        <v>42</v>
      </c>
      <c r="E554">
        <v>6430</v>
      </c>
      <c r="F554" s="1" t="s">
        <v>337</v>
      </c>
      <c r="G554">
        <v>0</v>
      </c>
      <c r="H554">
        <v>44</v>
      </c>
      <c r="I554">
        <v>4</v>
      </c>
      <c r="J554">
        <v>48</v>
      </c>
      <c r="K554" s="33">
        <v>0.91669999999999996</v>
      </c>
      <c r="L554" s="1"/>
      <c r="M554" s="1"/>
      <c r="N554" s="1"/>
      <c r="O554" s="1"/>
      <c r="P554" s="1"/>
      <c r="Q554" s="1"/>
    </row>
    <row r="555" spans="1:17" hidden="1" x14ac:dyDescent="0.25">
      <c r="A555" s="2"/>
      <c r="F555" s="1"/>
      <c r="K555" s="33"/>
      <c r="L555" s="1"/>
      <c r="M555" s="1"/>
      <c r="N555" s="1"/>
      <c r="O555" s="1"/>
      <c r="P555" s="1"/>
      <c r="Q555" s="1"/>
    </row>
    <row r="556" spans="1:17" x14ac:dyDescent="0.25">
      <c r="A556" s="2">
        <v>44735</v>
      </c>
      <c r="B556">
        <v>22</v>
      </c>
      <c r="C556">
        <v>21</v>
      </c>
      <c r="D556">
        <v>41</v>
      </c>
      <c r="E556">
        <v>81</v>
      </c>
      <c r="F556" s="1" t="s">
        <v>333</v>
      </c>
      <c r="G556">
        <v>0</v>
      </c>
      <c r="H556">
        <v>9</v>
      </c>
      <c r="I556">
        <v>9</v>
      </c>
      <c r="J556">
        <v>18</v>
      </c>
      <c r="K556" s="33">
        <v>0.5</v>
      </c>
      <c r="L556" s="1"/>
      <c r="M556" s="1" t="str">
        <f>_xlfn.XLOOKUP(ocupacao[[#This Row],[UnidadeID]],unidades!$A:$A,unidades!$B:$B,"",0)</f>
        <v>Filial 1</v>
      </c>
      <c r="N556" s="1" t="str">
        <f>_xlfn.XLOOKUP(ocupacao[[#This Row],[UnidadeID]],unidades!$A:$A,unidades!$C:$C,"",0)</f>
        <v>Nova Iguaçu</v>
      </c>
      <c r="O556" s="1" t="str">
        <f>_xlfn.XLOOKUP(ocupacao[[#This Row],[EspecialidadeID]],especialidades!$A:$A,especialidades!$B:$B,"",0)</f>
        <v>GINECOLOGIA</v>
      </c>
      <c r="P556" s="1" t="str">
        <f>TEXT(WEEKDAY(ocupacao[[#This Row],[Data]]),"ddd")</f>
        <v>qui</v>
      </c>
      <c r="Q556" s="1">
        <f t="shared" si="8"/>
        <v>0</v>
      </c>
    </row>
    <row r="557" spans="1:17" hidden="1" x14ac:dyDescent="0.25">
      <c r="A557" s="2"/>
      <c r="F557" s="1"/>
      <c r="K557" s="33"/>
      <c r="L557" s="1"/>
      <c r="M557" s="1"/>
      <c r="N557" s="1"/>
      <c r="O557" s="1"/>
      <c r="P557" s="1"/>
      <c r="Q557" s="1"/>
    </row>
    <row r="558" spans="1:17" x14ac:dyDescent="0.25">
      <c r="A558" s="2">
        <v>44735</v>
      </c>
      <c r="B558">
        <v>22</v>
      </c>
      <c r="C558">
        <v>21</v>
      </c>
      <c r="D558">
        <v>42</v>
      </c>
      <c r="E558">
        <v>266</v>
      </c>
      <c r="F558" s="1" t="s">
        <v>334</v>
      </c>
      <c r="G558">
        <v>0</v>
      </c>
      <c r="H558">
        <v>10</v>
      </c>
      <c r="I558">
        <v>19</v>
      </c>
      <c r="J558">
        <v>29</v>
      </c>
      <c r="K558" s="33">
        <v>0.3448</v>
      </c>
      <c r="L558" s="1"/>
      <c r="M558" s="1" t="str">
        <f>_xlfn.XLOOKUP(ocupacao[[#This Row],[UnidadeID]],unidades!$A:$A,unidades!$B:$B,"",0)</f>
        <v>Filial 1</v>
      </c>
      <c r="N558" s="1" t="str">
        <f>_xlfn.XLOOKUP(ocupacao[[#This Row],[UnidadeID]],unidades!$A:$A,unidades!$C:$C,"",0)</f>
        <v>Nova Iguaçu</v>
      </c>
      <c r="O558" s="1" t="str">
        <f>_xlfn.XLOOKUP(ocupacao[[#This Row],[EspecialidadeID]],especialidades!$A:$A,especialidades!$B:$B,"",0)</f>
        <v>GINECOLOGIA</v>
      </c>
      <c r="P558" s="1" t="str">
        <f>TEXT(WEEKDAY(ocupacao[[#This Row],[Data]]),"ddd")</f>
        <v>qui</v>
      </c>
      <c r="Q558" s="1">
        <f t="shared" si="8"/>
        <v>0</v>
      </c>
    </row>
    <row r="559" spans="1:17" hidden="1" x14ac:dyDescent="0.25">
      <c r="A559" s="2">
        <v>44735</v>
      </c>
      <c r="B559">
        <v>22</v>
      </c>
      <c r="C559">
        <v>21</v>
      </c>
      <c r="D559">
        <v>43</v>
      </c>
      <c r="E559">
        <v>3092</v>
      </c>
      <c r="F559" s="1" t="s">
        <v>338</v>
      </c>
      <c r="G559">
        <v>0</v>
      </c>
      <c r="H559">
        <v>0</v>
      </c>
      <c r="I559">
        <v>1</v>
      </c>
      <c r="J559">
        <v>1</v>
      </c>
      <c r="K559" s="33">
        <v>0</v>
      </c>
      <c r="L559" s="1"/>
      <c r="M559" s="1"/>
      <c r="N559" s="1"/>
      <c r="O559" s="1"/>
      <c r="P559" s="1"/>
      <c r="Q559" s="1"/>
    </row>
    <row r="560" spans="1:17" x14ac:dyDescent="0.25">
      <c r="A560" s="2">
        <v>44735</v>
      </c>
      <c r="B560">
        <v>22</v>
      </c>
      <c r="C560">
        <v>21</v>
      </c>
      <c r="D560">
        <v>43</v>
      </c>
      <c r="E560">
        <v>3092</v>
      </c>
      <c r="F560" s="1" t="s">
        <v>338</v>
      </c>
      <c r="G560">
        <v>0</v>
      </c>
      <c r="H560">
        <v>15</v>
      </c>
      <c r="I560">
        <v>1</v>
      </c>
      <c r="J560">
        <v>16</v>
      </c>
      <c r="K560" s="33">
        <v>0.9375</v>
      </c>
      <c r="L560" s="1"/>
      <c r="M560" s="1" t="str">
        <f>_xlfn.XLOOKUP(ocupacao[[#This Row],[UnidadeID]],unidades!$A:$A,unidades!$B:$B,"",0)</f>
        <v>Filial 1</v>
      </c>
      <c r="N560" s="1" t="str">
        <f>_xlfn.XLOOKUP(ocupacao[[#This Row],[UnidadeID]],unidades!$A:$A,unidades!$C:$C,"",0)</f>
        <v>Nova Iguaçu</v>
      </c>
      <c r="O560" s="1" t="str">
        <f>_xlfn.XLOOKUP(ocupacao[[#This Row],[EspecialidadeID]],especialidades!$A:$A,especialidades!$B:$B,"",0)</f>
        <v>GINECOLOGIA</v>
      </c>
      <c r="P560" s="1" t="str">
        <f>TEXT(WEEKDAY(ocupacao[[#This Row],[Data]]),"ddd")</f>
        <v>qui</v>
      </c>
      <c r="Q560" s="1">
        <f t="shared" si="8"/>
        <v>0</v>
      </c>
    </row>
    <row r="561" spans="1:17" x14ac:dyDescent="0.25">
      <c r="A561" s="2">
        <v>44736</v>
      </c>
      <c r="B561">
        <v>22</v>
      </c>
      <c r="C561">
        <v>21</v>
      </c>
      <c r="D561">
        <v>41</v>
      </c>
      <c r="E561">
        <v>81</v>
      </c>
      <c r="F561" s="1" t="s">
        <v>333</v>
      </c>
      <c r="G561">
        <v>21</v>
      </c>
      <c r="H561">
        <v>0</v>
      </c>
      <c r="I561">
        <v>13</v>
      </c>
      <c r="J561">
        <v>34</v>
      </c>
      <c r="K561" s="33">
        <v>0.61760000000000004</v>
      </c>
      <c r="L561" s="1"/>
      <c r="M561" s="1" t="str">
        <f>_xlfn.XLOOKUP(ocupacao[[#This Row],[UnidadeID]],unidades!$A:$A,unidades!$B:$B,"",0)</f>
        <v>Filial 1</v>
      </c>
      <c r="N561" s="1" t="str">
        <f>_xlfn.XLOOKUP(ocupacao[[#This Row],[UnidadeID]],unidades!$A:$A,unidades!$C:$C,"",0)</f>
        <v>Nova Iguaçu</v>
      </c>
      <c r="O561" s="1" t="str">
        <f>_xlfn.XLOOKUP(ocupacao[[#This Row],[EspecialidadeID]],especialidades!$A:$A,especialidades!$B:$B,"",0)</f>
        <v>GINECOLOGIA</v>
      </c>
      <c r="P561" s="1" t="str">
        <f>TEXT(WEEKDAY(ocupacao[[#This Row],[Data]]),"ddd")</f>
        <v>sex</v>
      </c>
      <c r="Q561" s="1">
        <f t="shared" si="8"/>
        <v>1</v>
      </c>
    </row>
    <row r="562" spans="1:17" hidden="1" x14ac:dyDescent="0.25">
      <c r="A562" s="2">
        <v>44736</v>
      </c>
      <c r="B562">
        <v>22</v>
      </c>
      <c r="C562">
        <v>21</v>
      </c>
      <c r="D562">
        <v>41</v>
      </c>
      <c r="E562">
        <v>81</v>
      </c>
      <c r="F562" s="1" t="s">
        <v>333</v>
      </c>
      <c r="G562">
        <v>21</v>
      </c>
      <c r="H562">
        <v>22</v>
      </c>
      <c r="I562">
        <v>13</v>
      </c>
      <c r="J562">
        <v>56</v>
      </c>
      <c r="K562" s="33">
        <v>0.76790000000000003</v>
      </c>
      <c r="L562" s="1"/>
      <c r="M562" s="1"/>
      <c r="N562" s="1"/>
      <c r="O562" s="1"/>
      <c r="P562" s="1"/>
      <c r="Q562" s="1"/>
    </row>
    <row r="563" spans="1:17" hidden="1" x14ac:dyDescent="0.25">
      <c r="A563" s="2"/>
      <c r="F563" s="1"/>
      <c r="K563" s="33"/>
      <c r="L563" s="1"/>
      <c r="M563" s="1"/>
      <c r="N563" s="1"/>
      <c r="O563" s="1"/>
      <c r="P563" s="1"/>
      <c r="Q563" s="1"/>
    </row>
    <row r="564" spans="1:17" x14ac:dyDescent="0.25">
      <c r="A564" s="2">
        <v>44736</v>
      </c>
      <c r="B564">
        <v>22</v>
      </c>
      <c r="C564">
        <v>21</v>
      </c>
      <c r="D564">
        <v>42</v>
      </c>
      <c r="E564">
        <v>6430</v>
      </c>
      <c r="F564" s="1" t="s">
        <v>337</v>
      </c>
      <c r="G564">
        <v>0</v>
      </c>
      <c r="H564">
        <v>25</v>
      </c>
      <c r="I564">
        <v>23</v>
      </c>
      <c r="J564">
        <v>48</v>
      </c>
      <c r="K564" s="33">
        <v>0.52080000000000004</v>
      </c>
      <c r="L564" s="1"/>
      <c r="M564" s="1" t="str">
        <f>_xlfn.XLOOKUP(ocupacao[[#This Row],[UnidadeID]],unidades!$A:$A,unidades!$B:$B,"",0)</f>
        <v>Filial 1</v>
      </c>
      <c r="N564" s="1" t="str">
        <f>_xlfn.XLOOKUP(ocupacao[[#This Row],[UnidadeID]],unidades!$A:$A,unidades!$C:$C,"",0)</f>
        <v>Nova Iguaçu</v>
      </c>
      <c r="O564" s="1" t="str">
        <f>_xlfn.XLOOKUP(ocupacao[[#This Row],[EspecialidadeID]],especialidades!$A:$A,especialidades!$B:$B,"",0)</f>
        <v>GINECOLOGIA</v>
      </c>
      <c r="P564" s="1" t="str">
        <f>TEXT(WEEKDAY(ocupacao[[#This Row],[Data]]),"ddd")</f>
        <v>sex</v>
      </c>
      <c r="Q564" s="1">
        <f t="shared" si="8"/>
        <v>0</v>
      </c>
    </row>
    <row r="565" spans="1:17" hidden="1" x14ac:dyDescent="0.25">
      <c r="A565" s="2"/>
      <c r="F565" s="1"/>
      <c r="K565" s="33"/>
      <c r="L565" s="1"/>
      <c r="M565" s="1"/>
      <c r="N565" s="1"/>
      <c r="O565" s="1"/>
      <c r="P565" s="1"/>
      <c r="Q565" s="1"/>
    </row>
    <row r="566" spans="1:17" hidden="1" x14ac:dyDescent="0.25">
      <c r="A566" s="2">
        <v>44736</v>
      </c>
      <c r="B566">
        <v>22</v>
      </c>
      <c r="C566">
        <v>21</v>
      </c>
      <c r="D566">
        <v>44</v>
      </c>
      <c r="E566">
        <v>12142</v>
      </c>
      <c r="F566" s="1" t="s">
        <v>339</v>
      </c>
      <c r="G566">
        <v>0</v>
      </c>
      <c r="H566">
        <v>21</v>
      </c>
      <c r="I566">
        <v>4</v>
      </c>
      <c r="J566">
        <v>25</v>
      </c>
      <c r="K566" s="33">
        <v>0.84</v>
      </c>
      <c r="L566" s="1"/>
      <c r="M566" s="1"/>
      <c r="N566" s="1"/>
      <c r="O566" s="1"/>
      <c r="P566" s="1"/>
      <c r="Q566" s="1"/>
    </row>
    <row r="567" spans="1:17" x14ac:dyDescent="0.25">
      <c r="A567" s="2">
        <v>44737</v>
      </c>
      <c r="B567">
        <v>22</v>
      </c>
      <c r="C567">
        <v>21</v>
      </c>
      <c r="D567">
        <v>42</v>
      </c>
      <c r="E567">
        <v>17918</v>
      </c>
      <c r="F567" s="1" t="s">
        <v>336</v>
      </c>
      <c r="G567">
        <v>0</v>
      </c>
      <c r="H567">
        <v>16</v>
      </c>
      <c r="I567">
        <v>0</v>
      </c>
      <c r="J567">
        <v>16</v>
      </c>
      <c r="K567" s="33">
        <v>1</v>
      </c>
      <c r="L567" s="1"/>
      <c r="M567" s="1" t="str">
        <f>_xlfn.XLOOKUP(ocupacao[[#This Row],[UnidadeID]],unidades!$A:$A,unidades!$B:$B,"",0)</f>
        <v>Filial 1</v>
      </c>
      <c r="N567" s="1" t="str">
        <f>_xlfn.XLOOKUP(ocupacao[[#This Row],[UnidadeID]],unidades!$A:$A,unidades!$C:$C,"",0)</f>
        <v>Nova Iguaçu</v>
      </c>
      <c r="O567" s="1" t="str">
        <f>_xlfn.XLOOKUP(ocupacao[[#This Row],[EspecialidadeID]],especialidades!$A:$A,especialidades!$B:$B,"",0)</f>
        <v>GINECOLOGIA</v>
      </c>
      <c r="P567" s="1" t="str">
        <f>TEXT(WEEKDAY(ocupacao[[#This Row],[Data]]),"ddd")</f>
        <v>sáb</v>
      </c>
      <c r="Q567" s="1">
        <f t="shared" si="8"/>
        <v>0</v>
      </c>
    </row>
    <row r="568" spans="1:17" hidden="1" x14ac:dyDescent="0.25">
      <c r="A568" s="2"/>
      <c r="F568" s="1"/>
      <c r="K568" s="33"/>
      <c r="L568" s="1"/>
      <c r="M568" s="1"/>
      <c r="N568" s="1"/>
      <c r="O568" s="1"/>
      <c r="P568" s="1"/>
      <c r="Q568" s="1"/>
    </row>
    <row r="569" spans="1:17" hidden="1" x14ac:dyDescent="0.25">
      <c r="A569" s="2">
        <v>44739</v>
      </c>
      <c r="B569">
        <v>22</v>
      </c>
      <c r="C569">
        <v>21</v>
      </c>
      <c r="D569">
        <v>41</v>
      </c>
      <c r="E569">
        <v>81</v>
      </c>
      <c r="F569" s="1" t="s">
        <v>333</v>
      </c>
      <c r="G569">
        <v>0</v>
      </c>
      <c r="H569">
        <v>10</v>
      </c>
      <c r="I569">
        <v>41</v>
      </c>
      <c r="J569">
        <v>51</v>
      </c>
      <c r="K569" s="33">
        <v>0.1961</v>
      </c>
      <c r="L569" s="1"/>
      <c r="M569" s="1"/>
      <c r="N569" s="1"/>
      <c r="O569" s="1"/>
      <c r="P569" s="1"/>
      <c r="Q569" s="1"/>
    </row>
    <row r="570" spans="1:17" hidden="1" x14ac:dyDescent="0.25">
      <c r="A570" s="2"/>
      <c r="F570" s="1"/>
      <c r="K570" s="33"/>
      <c r="L570" s="1"/>
      <c r="M570" s="1"/>
      <c r="N570" s="1"/>
      <c r="O570" s="1"/>
      <c r="P570" s="1"/>
      <c r="Q570" s="1"/>
    </row>
    <row r="571" spans="1:17" x14ac:dyDescent="0.25">
      <c r="A571" s="2">
        <v>44739</v>
      </c>
      <c r="B571">
        <v>22</v>
      </c>
      <c r="C571">
        <v>21</v>
      </c>
      <c r="D571">
        <v>43</v>
      </c>
      <c r="E571">
        <v>3092</v>
      </c>
      <c r="F571" s="1" t="s">
        <v>338</v>
      </c>
      <c r="G571">
        <v>0</v>
      </c>
      <c r="H571">
        <v>8</v>
      </c>
      <c r="I571">
        <v>8</v>
      </c>
      <c r="J571">
        <v>16</v>
      </c>
      <c r="K571" s="33">
        <v>0.5</v>
      </c>
      <c r="L571" s="1"/>
      <c r="M571" s="1" t="str">
        <f>_xlfn.XLOOKUP(ocupacao[[#This Row],[UnidadeID]],unidades!$A:$A,unidades!$B:$B,"",0)</f>
        <v>Filial 1</v>
      </c>
      <c r="N571" s="1" t="str">
        <f>_xlfn.XLOOKUP(ocupacao[[#This Row],[UnidadeID]],unidades!$A:$A,unidades!$C:$C,"",0)</f>
        <v>Nova Iguaçu</v>
      </c>
      <c r="O571" s="1" t="str">
        <f>_xlfn.XLOOKUP(ocupacao[[#This Row],[EspecialidadeID]],especialidades!$A:$A,especialidades!$B:$B,"",0)</f>
        <v>GINECOLOGIA</v>
      </c>
      <c r="P571" s="1" t="str">
        <f>TEXT(WEEKDAY(ocupacao[[#This Row],[Data]]),"ddd")</f>
        <v>seg</v>
      </c>
      <c r="Q571" s="1">
        <f t="shared" si="8"/>
        <v>0</v>
      </c>
    </row>
    <row r="572" spans="1:17" hidden="1" x14ac:dyDescent="0.25">
      <c r="A572" s="2"/>
      <c r="F572" s="1"/>
      <c r="K572" s="33"/>
      <c r="L572" s="1"/>
      <c r="M572" s="1"/>
      <c r="N572" s="1"/>
      <c r="O572" s="1"/>
      <c r="P572" s="1"/>
      <c r="Q572" s="1"/>
    </row>
    <row r="573" spans="1:17" x14ac:dyDescent="0.25">
      <c r="A573" s="2">
        <v>44739</v>
      </c>
      <c r="B573">
        <v>18</v>
      </c>
      <c r="C573">
        <v>21</v>
      </c>
      <c r="D573">
        <v>86</v>
      </c>
      <c r="E573">
        <v>6430</v>
      </c>
      <c r="F573" s="1" t="s">
        <v>337</v>
      </c>
      <c r="G573">
        <v>0</v>
      </c>
      <c r="H573">
        <v>25</v>
      </c>
      <c r="I573">
        <v>16</v>
      </c>
      <c r="J573">
        <v>41</v>
      </c>
      <c r="K573" s="33">
        <v>0.60980000000000001</v>
      </c>
      <c r="L573" s="1"/>
      <c r="M573" s="1" t="str">
        <f>_xlfn.XLOOKUP(ocupacao[[#This Row],[UnidadeID]],unidades!$A:$A,unidades!$B:$B,"",0)</f>
        <v>Miguel Couto</v>
      </c>
      <c r="N573" s="1" t="str">
        <f>_xlfn.XLOOKUP(ocupacao[[#This Row],[UnidadeID]],unidades!$A:$A,unidades!$C:$C,"",0)</f>
        <v>Miguel Couto</v>
      </c>
      <c r="O573" s="1" t="str">
        <f>_xlfn.XLOOKUP(ocupacao[[#This Row],[EspecialidadeID]],especialidades!$A:$A,especialidades!$B:$B,"",0)</f>
        <v>GINECOLOGIA</v>
      </c>
      <c r="P573" s="1" t="str">
        <f>TEXT(WEEKDAY(ocupacao[[#This Row],[Data]]),"ddd")</f>
        <v>seg</v>
      </c>
      <c r="Q573" s="1">
        <f t="shared" si="8"/>
        <v>0</v>
      </c>
    </row>
    <row r="574" spans="1:17" hidden="1" x14ac:dyDescent="0.25">
      <c r="A574" s="2"/>
      <c r="F574" s="1"/>
      <c r="K574" s="33"/>
      <c r="L574" s="1"/>
      <c r="M574" s="1"/>
      <c r="N574" s="1"/>
      <c r="O574" s="1"/>
      <c r="P574" s="1"/>
      <c r="Q574" s="1"/>
    </row>
    <row r="575" spans="1:17" hidden="1" x14ac:dyDescent="0.25">
      <c r="A575" s="2">
        <v>44739</v>
      </c>
      <c r="B575">
        <v>22</v>
      </c>
      <c r="C575">
        <v>21</v>
      </c>
      <c r="D575">
        <v>42</v>
      </c>
      <c r="E575">
        <v>12369</v>
      </c>
      <c r="F575" s="1" t="s">
        <v>349</v>
      </c>
      <c r="G575">
        <v>0</v>
      </c>
      <c r="H575">
        <v>5</v>
      </c>
      <c r="I575">
        <v>25</v>
      </c>
      <c r="J575">
        <v>30</v>
      </c>
      <c r="K575" s="33">
        <v>0.16669999999999999</v>
      </c>
      <c r="L575" s="1"/>
      <c r="M575" s="1"/>
      <c r="N575" s="1"/>
      <c r="O575" s="1"/>
      <c r="P575" s="1"/>
      <c r="Q575" s="1"/>
    </row>
    <row r="576" spans="1:17" x14ac:dyDescent="0.25">
      <c r="A576" s="2">
        <v>44739</v>
      </c>
      <c r="B576">
        <v>22</v>
      </c>
      <c r="C576">
        <v>21</v>
      </c>
      <c r="D576">
        <v>44</v>
      </c>
      <c r="E576">
        <v>12369</v>
      </c>
      <c r="F576" s="1" t="s">
        <v>349</v>
      </c>
      <c r="G576">
        <v>0</v>
      </c>
      <c r="H576">
        <v>2</v>
      </c>
      <c r="I576">
        <v>25</v>
      </c>
      <c r="J576">
        <v>27</v>
      </c>
      <c r="K576" s="33">
        <v>7.4099999999999999E-2</v>
      </c>
      <c r="L576" s="1"/>
      <c r="M576" s="1" t="str">
        <f>_xlfn.XLOOKUP(ocupacao[[#This Row],[UnidadeID]],unidades!$A:$A,unidades!$B:$B,"",0)</f>
        <v>Filial 1</v>
      </c>
      <c r="N576" s="1" t="str">
        <f>_xlfn.XLOOKUP(ocupacao[[#This Row],[UnidadeID]],unidades!$A:$A,unidades!$C:$C,"",0)</f>
        <v>Nova Iguaçu</v>
      </c>
      <c r="O576" s="1" t="str">
        <f>_xlfn.XLOOKUP(ocupacao[[#This Row],[EspecialidadeID]],especialidades!$A:$A,especialidades!$B:$B,"",0)</f>
        <v>GINECOLOGIA</v>
      </c>
      <c r="P576" s="1" t="str">
        <f>TEXT(WEEKDAY(ocupacao[[#This Row],[Data]]),"ddd")</f>
        <v>seg</v>
      </c>
      <c r="Q576" s="1">
        <f t="shared" si="8"/>
        <v>0</v>
      </c>
    </row>
    <row r="577" spans="1:17" hidden="1" x14ac:dyDescent="0.25">
      <c r="A577" s="2">
        <v>44739</v>
      </c>
      <c r="B577">
        <v>22</v>
      </c>
      <c r="C577">
        <v>21</v>
      </c>
      <c r="D577">
        <v>42</v>
      </c>
      <c r="E577">
        <v>17918</v>
      </c>
      <c r="F577" s="1" t="s">
        <v>336</v>
      </c>
      <c r="G577">
        <v>0</v>
      </c>
      <c r="H577">
        <v>16</v>
      </c>
      <c r="I577">
        <v>0</v>
      </c>
      <c r="J577">
        <v>16</v>
      </c>
      <c r="K577" s="33">
        <v>1</v>
      </c>
      <c r="L577" s="1"/>
      <c r="M577" s="1"/>
      <c r="N577" s="1"/>
      <c r="O577" s="1"/>
      <c r="P577" s="1"/>
      <c r="Q577" s="1"/>
    </row>
    <row r="578" spans="1:17" hidden="1" x14ac:dyDescent="0.25">
      <c r="A578" s="2"/>
      <c r="F578" s="1"/>
      <c r="K578" s="33"/>
      <c r="L578" s="1"/>
      <c r="M578" s="1"/>
      <c r="N578" s="1"/>
      <c r="O578" s="1"/>
      <c r="P578" s="1"/>
      <c r="Q578" s="1"/>
    </row>
    <row r="579" spans="1:17" hidden="1" x14ac:dyDescent="0.25">
      <c r="A579" s="2">
        <v>44740</v>
      </c>
      <c r="B579">
        <v>22</v>
      </c>
      <c r="C579">
        <v>21</v>
      </c>
      <c r="D579">
        <v>71</v>
      </c>
      <c r="E579">
        <v>81</v>
      </c>
      <c r="F579" s="1" t="s">
        <v>333</v>
      </c>
      <c r="G579">
        <v>0</v>
      </c>
      <c r="H579">
        <v>3</v>
      </c>
      <c r="I579">
        <v>67</v>
      </c>
      <c r="J579">
        <v>70</v>
      </c>
      <c r="K579" s="33">
        <v>4.2900000000000001E-2</v>
      </c>
      <c r="L579" s="1"/>
      <c r="M579" s="1"/>
      <c r="N579" s="1"/>
      <c r="O579" s="1"/>
      <c r="P579" s="1"/>
      <c r="Q579" s="1"/>
    </row>
    <row r="580" spans="1:17" x14ac:dyDescent="0.25">
      <c r="A580" s="2">
        <v>44740</v>
      </c>
      <c r="B580">
        <v>22</v>
      </c>
      <c r="C580">
        <v>21</v>
      </c>
      <c r="D580">
        <v>41</v>
      </c>
      <c r="E580">
        <v>81</v>
      </c>
      <c r="F580" s="1" t="s">
        <v>333</v>
      </c>
      <c r="G580">
        <v>0</v>
      </c>
      <c r="H580">
        <v>3</v>
      </c>
      <c r="I580">
        <v>67</v>
      </c>
      <c r="J580">
        <v>70</v>
      </c>
      <c r="K580" s="33">
        <v>4.2900000000000001E-2</v>
      </c>
      <c r="L580" s="1"/>
      <c r="M580" s="1" t="str">
        <f>_xlfn.XLOOKUP(ocupacao[[#This Row],[UnidadeID]],unidades!$A:$A,unidades!$B:$B,"",0)</f>
        <v>Filial 1</v>
      </c>
      <c r="N580" s="1" t="str">
        <f>_xlfn.XLOOKUP(ocupacao[[#This Row],[UnidadeID]],unidades!$A:$A,unidades!$C:$C,"",0)</f>
        <v>Nova Iguaçu</v>
      </c>
      <c r="O580" s="1" t="str">
        <f>_xlfn.XLOOKUP(ocupacao[[#This Row],[EspecialidadeID]],especialidades!$A:$A,especialidades!$B:$B,"",0)</f>
        <v>GINECOLOGIA</v>
      </c>
      <c r="P580" s="1" t="str">
        <f>TEXT(WEEKDAY(ocupacao[[#This Row],[Data]]),"ddd")</f>
        <v>ter</v>
      </c>
      <c r="Q580" s="1">
        <f t="shared" ref="Q580:Q641" si="9">IF(F580=F581,1,0)</f>
        <v>0</v>
      </c>
    </row>
    <row r="581" spans="1:17" hidden="1" x14ac:dyDescent="0.25">
      <c r="A581" s="2">
        <v>44740</v>
      </c>
      <c r="B581">
        <v>22</v>
      </c>
      <c r="C581">
        <v>21</v>
      </c>
      <c r="D581">
        <v>42</v>
      </c>
      <c r="E581">
        <v>266</v>
      </c>
      <c r="F581" s="1" t="s">
        <v>334</v>
      </c>
      <c r="G581">
        <v>0</v>
      </c>
      <c r="H581">
        <v>0</v>
      </c>
      <c r="I581">
        <v>47</v>
      </c>
      <c r="J581">
        <v>47</v>
      </c>
      <c r="K581" s="33">
        <v>0</v>
      </c>
      <c r="L581" s="1"/>
      <c r="M581" s="1"/>
      <c r="N581" s="1"/>
      <c r="O581" s="1"/>
      <c r="P581" s="1"/>
      <c r="Q581" s="1"/>
    </row>
    <row r="582" spans="1:17" x14ac:dyDescent="0.25">
      <c r="A582" s="2">
        <v>44740</v>
      </c>
      <c r="B582">
        <v>22</v>
      </c>
      <c r="C582">
        <v>21</v>
      </c>
      <c r="D582">
        <v>42</v>
      </c>
      <c r="E582">
        <v>266</v>
      </c>
      <c r="F582" s="1" t="s">
        <v>334</v>
      </c>
      <c r="G582">
        <v>0</v>
      </c>
      <c r="H582">
        <v>12</v>
      </c>
      <c r="I582">
        <v>47</v>
      </c>
      <c r="J582">
        <v>59</v>
      </c>
      <c r="K582" s="33">
        <v>0.2034</v>
      </c>
      <c r="L582" s="1"/>
      <c r="M582" s="1" t="str">
        <f>_xlfn.XLOOKUP(ocupacao[[#This Row],[UnidadeID]],unidades!$A:$A,unidades!$B:$B,"",0)</f>
        <v>Filial 1</v>
      </c>
      <c r="N582" s="1" t="str">
        <f>_xlfn.XLOOKUP(ocupacao[[#This Row],[UnidadeID]],unidades!$A:$A,unidades!$C:$C,"",0)</f>
        <v>Nova Iguaçu</v>
      </c>
      <c r="O582" s="1" t="str">
        <f>_xlfn.XLOOKUP(ocupacao[[#This Row],[EspecialidadeID]],especialidades!$A:$A,especialidades!$B:$B,"",0)</f>
        <v>GINECOLOGIA</v>
      </c>
      <c r="P582" s="1" t="str">
        <f>TEXT(WEEKDAY(ocupacao[[#This Row],[Data]]),"ddd")</f>
        <v>ter</v>
      </c>
      <c r="Q582" s="1">
        <f t="shared" si="9"/>
        <v>0</v>
      </c>
    </row>
    <row r="583" spans="1:17" hidden="1" x14ac:dyDescent="0.25">
      <c r="A583" s="2">
        <v>44740</v>
      </c>
      <c r="B583">
        <v>18</v>
      </c>
      <c r="C583">
        <v>21</v>
      </c>
      <c r="D583">
        <v>86</v>
      </c>
      <c r="E583">
        <v>10600</v>
      </c>
      <c r="F583" s="1" t="s">
        <v>335</v>
      </c>
      <c r="G583">
        <v>0</v>
      </c>
      <c r="H583">
        <v>0</v>
      </c>
      <c r="I583">
        <v>10</v>
      </c>
      <c r="J583">
        <v>10</v>
      </c>
      <c r="K583" s="33">
        <v>0</v>
      </c>
      <c r="L583" s="1"/>
      <c r="M583" s="1"/>
      <c r="N583" s="1"/>
      <c r="O583" s="1"/>
      <c r="P583" s="1"/>
      <c r="Q583" s="1"/>
    </row>
    <row r="584" spans="1:17" x14ac:dyDescent="0.25">
      <c r="A584" s="2">
        <v>44740</v>
      </c>
      <c r="B584">
        <v>18</v>
      </c>
      <c r="C584">
        <v>21</v>
      </c>
      <c r="D584">
        <v>86</v>
      </c>
      <c r="E584">
        <v>10600</v>
      </c>
      <c r="F584" s="1" t="s">
        <v>335</v>
      </c>
      <c r="G584">
        <v>0</v>
      </c>
      <c r="H584">
        <v>7</v>
      </c>
      <c r="I584">
        <v>10</v>
      </c>
      <c r="J584">
        <v>17</v>
      </c>
      <c r="K584" s="33">
        <v>0.4118</v>
      </c>
      <c r="L584" s="1"/>
      <c r="M584" s="1" t="str">
        <f>_xlfn.XLOOKUP(ocupacao[[#This Row],[UnidadeID]],unidades!$A:$A,unidades!$B:$B,"",0)</f>
        <v>Miguel Couto</v>
      </c>
      <c r="N584" s="1" t="str">
        <f>_xlfn.XLOOKUP(ocupacao[[#This Row],[UnidadeID]],unidades!$A:$A,unidades!$C:$C,"",0)</f>
        <v>Miguel Couto</v>
      </c>
      <c r="O584" s="1" t="str">
        <f>_xlfn.XLOOKUP(ocupacao[[#This Row],[EspecialidadeID]],especialidades!$A:$A,especialidades!$B:$B,"",0)</f>
        <v>GINECOLOGIA</v>
      </c>
      <c r="P584" s="1" t="str">
        <f>TEXT(WEEKDAY(ocupacao[[#This Row],[Data]]),"ddd")</f>
        <v>ter</v>
      </c>
      <c r="Q584" s="1">
        <f t="shared" si="9"/>
        <v>0</v>
      </c>
    </row>
    <row r="585" spans="1:17" hidden="1" x14ac:dyDescent="0.25">
      <c r="A585" s="2"/>
      <c r="F585" s="1"/>
      <c r="K585" s="33"/>
      <c r="L585" s="1"/>
      <c r="M585" s="1"/>
      <c r="N585" s="1"/>
      <c r="O585" s="1"/>
      <c r="P585" s="1"/>
      <c r="Q585" s="1"/>
    </row>
    <row r="586" spans="1:17" x14ac:dyDescent="0.25">
      <c r="A586" s="2">
        <v>44740</v>
      </c>
      <c r="B586">
        <v>34</v>
      </c>
      <c r="C586">
        <v>21</v>
      </c>
      <c r="D586">
        <v>378</v>
      </c>
      <c r="E586">
        <v>17918</v>
      </c>
      <c r="F586" s="1" t="s">
        <v>336</v>
      </c>
      <c r="G586">
        <v>0</v>
      </c>
      <c r="H586">
        <v>10</v>
      </c>
      <c r="I586">
        <v>6</v>
      </c>
      <c r="J586">
        <v>16</v>
      </c>
      <c r="K586" s="33">
        <v>0.625</v>
      </c>
      <c r="L586" s="1"/>
      <c r="M586" s="1" t="str">
        <f>_xlfn.XLOOKUP(ocupacao[[#This Row],[UnidadeID]],unidades!$A:$A,unidades!$B:$B,"",0)</f>
        <v>São João</v>
      </c>
      <c r="N586" s="1" t="str">
        <f>_xlfn.XLOOKUP(ocupacao[[#This Row],[UnidadeID]],unidades!$A:$A,unidades!$C:$C,"",0)</f>
        <v>São João de Meriti</v>
      </c>
      <c r="O586" s="1" t="str">
        <f>_xlfn.XLOOKUP(ocupacao[[#This Row],[EspecialidadeID]],especialidades!$A:$A,especialidades!$B:$B,"",0)</f>
        <v>GINECOLOGIA</v>
      </c>
      <c r="P586" s="1" t="str">
        <f>TEXT(WEEKDAY(ocupacao[[#This Row],[Data]]),"ddd")</f>
        <v>ter</v>
      </c>
      <c r="Q586" s="1">
        <f t="shared" si="9"/>
        <v>0</v>
      </c>
    </row>
    <row r="587" spans="1:17" hidden="1" x14ac:dyDescent="0.25">
      <c r="A587" s="2">
        <v>44741</v>
      </c>
      <c r="B587">
        <v>22</v>
      </c>
      <c r="C587">
        <v>21</v>
      </c>
      <c r="D587">
        <v>41</v>
      </c>
      <c r="E587">
        <v>81</v>
      </c>
      <c r="F587" s="1" t="s">
        <v>333</v>
      </c>
      <c r="G587">
        <v>0</v>
      </c>
      <c r="H587">
        <v>0</v>
      </c>
      <c r="I587">
        <v>26</v>
      </c>
      <c r="J587">
        <v>26</v>
      </c>
      <c r="K587" s="33">
        <v>0</v>
      </c>
      <c r="L587" s="1"/>
      <c r="M587" s="1"/>
      <c r="N587" s="1"/>
      <c r="O587" s="1"/>
      <c r="P587" s="1"/>
      <c r="Q587" s="1"/>
    </row>
    <row r="588" spans="1:17" x14ac:dyDescent="0.25">
      <c r="A588" s="2">
        <v>44741</v>
      </c>
      <c r="B588">
        <v>22</v>
      </c>
      <c r="C588">
        <v>21</v>
      </c>
      <c r="D588">
        <v>41</v>
      </c>
      <c r="E588">
        <v>81</v>
      </c>
      <c r="F588" s="1" t="s">
        <v>333</v>
      </c>
      <c r="G588">
        <v>0</v>
      </c>
      <c r="H588">
        <v>5</v>
      </c>
      <c r="I588">
        <v>26</v>
      </c>
      <c r="J588">
        <v>31</v>
      </c>
      <c r="K588" s="33">
        <v>0.1613</v>
      </c>
      <c r="L588" s="1"/>
      <c r="M588" s="1" t="str">
        <f>_xlfn.XLOOKUP(ocupacao[[#This Row],[UnidadeID]],unidades!$A:$A,unidades!$B:$B,"",0)</f>
        <v>Filial 1</v>
      </c>
      <c r="N588" s="1" t="str">
        <f>_xlfn.XLOOKUP(ocupacao[[#This Row],[UnidadeID]],unidades!$A:$A,unidades!$C:$C,"",0)</f>
        <v>Nova Iguaçu</v>
      </c>
      <c r="O588" s="1" t="str">
        <f>_xlfn.XLOOKUP(ocupacao[[#This Row],[EspecialidadeID]],especialidades!$A:$A,especialidades!$B:$B,"",0)</f>
        <v>GINECOLOGIA</v>
      </c>
      <c r="P588" s="1" t="str">
        <f>TEXT(WEEKDAY(ocupacao[[#This Row],[Data]]),"ddd")</f>
        <v>qua</v>
      </c>
      <c r="Q588" s="1">
        <f t="shared" si="9"/>
        <v>0</v>
      </c>
    </row>
    <row r="589" spans="1:17" hidden="1" x14ac:dyDescent="0.25">
      <c r="A589" s="2">
        <v>44741</v>
      </c>
      <c r="B589">
        <v>22</v>
      </c>
      <c r="C589">
        <v>21</v>
      </c>
      <c r="D589">
        <v>42</v>
      </c>
      <c r="E589">
        <v>6430</v>
      </c>
      <c r="F589" s="1" t="s">
        <v>337</v>
      </c>
      <c r="G589">
        <v>0</v>
      </c>
      <c r="H589">
        <v>0</v>
      </c>
      <c r="I589">
        <v>41</v>
      </c>
      <c r="J589">
        <v>41</v>
      </c>
      <c r="K589" s="33">
        <v>0</v>
      </c>
      <c r="L589" s="1"/>
      <c r="M589" s="1"/>
      <c r="N589" s="1"/>
      <c r="O589" s="1"/>
      <c r="P589" s="1"/>
      <c r="Q589" s="1"/>
    </row>
    <row r="590" spans="1:17" x14ac:dyDescent="0.25">
      <c r="A590" s="2">
        <v>44741</v>
      </c>
      <c r="B590">
        <v>22</v>
      </c>
      <c r="C590">
        <v>21</v>
      </c>
      <c r="D590">
        <v>42</v>
      </c>
      <c r="E590">
        <v>6430</v>
      </c>
      <c r="F590" s="1" t="s">
        <v>337</v>
      </c>
      <c r="G590">
        <v>0</v>
      </c>
      <c r="H590">
        <v>7</v>
      </c>
      <c r="I590">
        <v>41</v>
      </c>
      <c r="J590">
        <v>48</v>
      </c>
      <c r="K590" s="33">
        <v>0.14580000000000001</v>
      </c>
      <c r="L590" s="1"/>
      <c r="M590" s="1" t="str">
        <f>_xlfn.XLOOKUP(ocupacao[[#This Row],[UnidadeID]],unidades!$A:$A,unidades!$B:$B,"",0)</f>
        <v>Filial 1</v>
      </c>
      <c r="N590" s="1" t="str">
        <f>_xlfn.XLOOKUP(ocupacao[[#This Row],[UnidadeID]],unidades!$A:$A,unidades!$C:$C,"",0)</f>
        <v>Nova Iguaçu</v>
      </c>
      <c r="O590" s="1" t="str">
        <f>_xlfn.XLOOKUP(ocupacao[[#This Row],[EspecialidadeID]],especialidades!$A:$A,especialidades!$B:$B,"",0)</f>
        <v>GINECOLOGIA</v>
      </c>
      <c r="P590" s="1" t="str">
        <f>TEXT(WEEKDAY(ocupacao[[#This Row],[Data]]),"ddd")</f>
        <v>qua</v>
      </c>
      <c r="Q590" s="1">
        <f t="shared" si="9"/>
        <v>0</v>
      </c>
    </row>
    <row r="591" spans="1:17" hidden="1" x14ac:dyDescent="0.25">
      <c r="A591" s="2"/>
      <c r="F591" s="1"/>
      <c r="K591" s="33"/>
      <c r="L591" s="1"/>
      <c r="M591" s="1"/>
      <c r="N591" s="1"/>
      <c r="O591" s="1"/>
      <c r="P591" s="1"/>
      <c r="Q591" s="1"/>
    </row>
    <row r="592" spans="1:17" hidden="1" x14ac:dyDescent="0.25">
      <c r="A592" s="2">
        <v>44741</v>
      </c>
      <c r="B592">
        <v>24</v>
      </c>
      <c r="C592">
        <v>21</v>
      </c>
      <c r="D592">
        <v>71</v>
      </c>
      <c r="E592">
        <v>10600</v>
      </c>
      <c r="F592" s="1" t="s">
        <v>335</v>
      </c>
      <c r="G592">
        <v>0</v>
      </c>
      <c r="H592">
        <v>5</v>
      </c>
      <c r="I592">
        <v>11</v>
      </c>
      <c r="J592">
        <v>16</v>
      </c>
      <c r="K592" s="33">
        <v>0.3125</v>
      </c>
      <c r="L592" s="1"/>
      <c r="M592" s="1"/>
      <c r="N592" s="1"/>
      <c r="O592" s="1"/>
      <c r="P592" s="1"/>
      <c r="Q592" s="1"/>
    </row>
    <row r="593" spans="1:17" hidden="1" x14ac:dyDescent="0.25">
      <c r="A593" s="2"/>
      <c r="F593" s="1"/>
      <c r="K593" s="33"/>
      <c r="L593" s="1"/>
      <c r="M593" s="1"/>
      <c r="N593" s="1"/>
      <c r="O593" s="1"/>
      <c r="P593" s="1"/>
      <c r="Q593" s="1"/>
    </row>
    <row r="594" spans="1:17" hidden="1" x14ac:dyDescent="0.25">
      <c r="A594" s="2">
        <v>44741</v>
      </c>
      <c r="B594">
        <v>22</v>
      </c>
      <c r="C594">
        <v>21</v>
      </c>
      <c r="D594">
        <v>42</v>
      </c>
      <c r="E594">
        <v>17918</v>
      </c>
      <c r="F594" s="1" t="s">
        <v>336</v>
      </c>
      <c r="G594">
        <v>0</v>
      </c>
      <c r="H594">
        <v>6</v>
      </c>
      <c r="I594">
        <v>10</v>
      </c>
      <c r="J594">
        <v>16</v>
      </c>
      <c r="K594" s="33">
        <v>0.375</v>
      </c>
      <c r="L594" s="1"/>
      <c r="M594" s="1"/>
      <c r="N594" s="1"/>
      <c r="O594" s="1"/>
      <c r="P594" s="1"/>
      <c r="Q594" s="1"/>
    </row>
    <row r="595" spans="1:17" hidden="1" x14ac:dyDescent="0.25">
      <c r="A595" s="2"/>
      <c r="F595" s="1"/>
      <c r="K595" s="33"/>
      <c r="L595" s="1"/>
      <c r="M595" s="1"/>
      <c r="N595" s="1"/>
      <c r="O595" s="1"/>
      <c r="P595" s="1"/>
      <c r="Q595" s="1"/>
    </row>
    <row r="596" spans="1:17" hidden="1" x14ac:dyDescent="0.25">
      <c r="A596" s="2">
        <v>44742</v>
      </c>
      <c r="B596">
        <v>22</v>
      </c>
      <c r="C596">
        <v>21</v>
      </c>
      <c r="D596">
        <v>41</v>
      </c>
      <c r="E596">
        <v>81</v>
      </c>
      <c r="F596" s="1" t="s">
        <v>333</v>
      </c>
      <c r="G596">
        <v>0</v>
      </c>
      <c r="H596">
        <v>3</v>
      </c>
      <c r="I596">
        <v>15</v>
      </c>
      <c r="J596">
        <v>18</v>
      </c>
      <c r="K596" s="33">
        <v>0.16669999999999999</v>
      </c>
      <c r="L596" s="1"/>
      <c r="M596" s="1"/>
      <c r="N596" s="1"/>
      <c r="O596" s="1"/>
      <c r="P596" s="1"/>
      <c r="Q596" s="1"/>
    </row>
    <row r="597" spans="1:17" hidden="1" x14ac:dyDescent="0.25">
      <c r="A597" s="2"/>
      <c r="F597" s="1"/>
      <c r="K597" s="33"/>
      <c r="L597" s="1"/>
      <c r="M597" s="1"/>
      <c r="N597" s="1"/>
      <c r="O597" s="1"/>
      <c r="P597" s="1"/>
      <c r="Q597" s="1"/>
    </row>
    <row r="598" spans="1:17" hidden="1" x14ac:dyDescent="0.25">
      <c r="A598" s="2">
        <v>44742</v>
      </c>
      <c r="B598">
        <v>22</v>
      </c>
      <c r="C598">
        <v>21</v>
      </c>
      <c r="D598">
        <v>42</v>
      </c>
      <c r="E598">
        <v>266</v>
      </c>
      <c r="F598" s="1" t="s">
        <v>334</v>
      </c>
      <c r="G598">
        <v>0</v>
      </c>
      <c r="H598">
        <v>4</v>
      </c>
      <c r="I598">
        <v>25</v>
      </c>
      <c r="J598">
        <v>29</v>
      </c>
      <c r="K598" s="33">
        <v>0.13789999999999999</v>
      </c>
      <c r="L598" s="1"/>
      <c r="M598" s="1"/>
      <c r="N598" s="1"/>
      <c r="O598" s="1"/>
      <c r="P598" s="1"/>
      <c r="Q598" s="1"/>
    </row>
    <row r="599" spans="1:17" hidden="1" x14ac:dyDescent="0.25">
      <c r="A599" s="2"/>
      <c r="F599" s="1"/>
      <c r="K599" s="33"/>
      <c r="L599" s="1"/>
      <c r="M599" s="1"/>
      <c r="N599" s="1"/>
      <c r="O599" s="1"/>
      <c r="P599" s="1"/>
      <c r="Q599" s="1"/>
    </row>
    <row r="600" spans="1:17" x14ac:dyDescent="0.25">
      <c r="A600" s="2">
        <v>44742</v>
      </c>
      <c r="B600">
        <v>22</v>
      </c>
      <c r="C600">
        <v>21</v>
      </c>
      <c r="D600">
        <v>43</v>
      </c>
      <c r="E600">
        <v>3092</v>
      </c>
      <c r="F600" s="1" t="s">
        <v>338</v>
      </c>
      <c r="G600">
        <v>0</v>
      </c>
      <c r="H600">
        <v>1</v>
      </c>
      <c r="I600">
        <v>15</v>
      </c>
      <c r="J600">
        <v>16</v>
      </c>
      <c r="K600" s="33">
        <v>6.25E-2</v>
      </c>
      <c r="L600" s="1"/>
      <c r="M600" s="1" t="str">
        <f>_xlfn.XLOOKUP(ocupacao[[#This Row],[UnidadeID]],unidades!$A:$A,unidades!$B:$B,"",0)</f>
        <v>Filial 1</v>
      </c>
      <c r="N600" s="1" t="str">
        <f>_xlfn.XLOOKUP(ocupacao[[#This Row],[UnidadeID]],unidades!$A:$A,unidades!$C:$C,"",0)</f>
        <v>Nova Iguaçu</v>
      </c>
      <c r="O600" s="1" t="str">
        <f>_xlfn.XLOOKUP(ocupacao[[#This Row],[EspecialidadeID]],especialidades!$A:$A,especialidades!$B:$B,"",0)</f>
        <v>GINECOLOGIA</v>
      </c>
      <c r="P600" s="1" t="str">
        <f>TEXT(WEEKDAY(ocupacao[[#This Row],[Data]]),"ddd")</f>
        <v>qui</v>
      </c>
      <c r="Q600" s="1">
        <f t="shared" si="9"/>
        <v>0</v>
      </c>
    </row>
    <row r="601" spans="1:17" hidden="1" x14ac:dyDescent="0.25">
      <c r="A601" s="2">
        <v>44743</v>
      </c>
      <c r="B601">
        <v>22</v>
      </c>
      <c r="C601">
        <v>21</v>
      </c>
      <c r="D601">
        <v>41</v>
      </c>
      <c r="E601">
        <v>81</v>
      </c>
      <c r="F601" s="1" t="s">
        <v>333</v>
      </c>
      <c r="G601">
        <v>0</v>
      </c>
      <c r="H601">
        <v>0</v>
      </c>
      <c r="I601">
        <v>49</v>
      </c>
      <c r="J601">
        <v>49</v>
      </c>
      <c r="K601" s="33">
        <v>0</v>
      </c>
      <c r="L601" s="1"/>
      <c r="M601" s="1"/>
      <c r="N601" s="1"/>
      <c r="O601" s="1"/>
      <c r="P601" s="1"/>
      <c r="Q601" s="1"/>
    </row>
    <row r="602" spans="1:17" x14ac:dyDescent="0.25">
      <c r="A602" s="2">
        <v>44743</v>
      </c>
      <c r="B602">
        <v>22</v>
      </c>
      <c r="C602">
        <v>21</v>
      </c>
      <c r="D602">
        <v>41</v>
      </c>
      <c r="E602">
        <v>81</v>
      </c>
      <c r="F602" s="1" t="s">
        <v>333</v>
      </c>
      <c r="G602">
        <v>0</v>
      </c>
      <c r="H602">
        <v>7</v>
      </c>
      <c r="I602">
        <v>49</v>
      </c>
      <c r="J602">
        <v>56</v>
      </c>
      <c r="K602" s="33">
        <v>0.125</v>
      </c>
      <c r="L602" s="1"/>
      <c r="M602" s="1" t="str">
        <f>_xlfn.XLOOKUP(ocupacao[[#This Row],[UnidadeID]],unidades!$A:$A,unidades!$B:$B,"",0)</f>
        <v>Filial 1</v>
      </c>
      <c r="N602" s="1" t="str">
        <f>_xlfn.XLOOKUP(ocupacao[[#This Row],[UnidadeID]],unidades!$A:$A,unidades!$C:$C,"",0)</f>
        <v>Nova Iguaçu</v>
      </c>
      <c r="O602" s="1" t="str">
        <f>_xlfn.XLOOKUP(ocupacao[[#This Row],[EspecialidadeID]],especialidades!$A:$A,especialidades!$B:$B,"",0)</f>
        <v>GINECOLOGIA</v>
      </c>
      <c r="P602" s="1" t="str">
        <f>TEXT(WEEKDAY(ocupacao[[#This Row],[Data]]),"ddd")</f>
        <v>sex</v>
      </c>
      <c r="Q602" s="1">
        <f t="shared" si="9"/>
        <v>0</v>
      </c>
    </row>
    <row r="603" spans="1:17" hidden="1" x14ac:dyDescent="0.25">
      <c r="A603" s="2">
        <v>44743</v>
      </c>
      <c r="B603">
        <v>22</v>
      </c>
      <c r="C603">
        <v>21</v>
      </c>
      <c r="D603">
        <v>42</v>
      </c>
      <c r="E603">
        <v>6430</v>
      </c>
      <c r="F603" s="1" t="s">
        <v>337</v>
      </c>
      <c r="G603">
        <v>0</v>
      </c>
      <c r="H603">
        <v>0</v>
      </c>
      <c r="I603">
        <v>42</v>
      </c>
      <c r="J603">
        <v>42</v>
      </c>
      <c r="K603" s="33">
        <v>0</v>
      </c>
      <c r="L603" s="1"/>
      <c r="M603" s="1"/>
      <c r="N603" s="1"/>
      <c r="O603" s="1"/>
      <c r="P603" s="1"/>
      <c r="Q603" s="1"/>
    </row>
    <row r="604" spans="1:17" x14ac:dyDescent="0.25">
      <c r="A604" s="2">
        <v>44743</v>
      </c>
      <c r="B604">
        <v>22</v>
      </c>
      <c r="C604">
        <v>21</v>
      </c>
      <c r="D604">
        <v>42</v>
      </c>
      <c r="E604">
        <v>6430</v>
      </c>
      <c r="F604" s="1" t="s">
        <v>337</v>
      </c>
      <c r="G604">
        <v>0</v>
      </c>
      <c r="H604">
        <v>6</v>
      </c>
      <c r="I604">
        <v>42</v>
      </c>
      <c r="J604">
        <v>48</v>
      </c>
      <c r="K604" s="33">
        <v>0.125</v>
      </c>
      <c r="L604" s="1"/>
      <c r="M604" s="1" t="str">
        <f>_xlfn.XLOOKUP(ocupacao[[#This Row],[UnidadeID]],unidades!$A:$A,unidades!$B:$B,"",0)</f>
        <v>Filial 1</v>
      </c>
      <c r="N604" s="1" t="str">
        <f>_xlfn.XLOOKUP(ocupacao[[#This Row],[UnidadeID]],unidades!$A:$A,unidades!$C:$C,"",0)</f>
        <v>Nova Iguaçu</v>
      </c>
      <c r="O604" s="1" t="str">
        <f>_xlfn.XLOOKUP(ocupacao[[#This Row],[EspecialidadeID]],especialidades!$A:$A,especialidades!$B:$B,"",0)</f>
        <v>GINECOLOGIA</v>
      </c>
      <c r="P604" s="1" t="str">
        <f>TEXT(WEEKDAY(ocupacao[[#This Row],[Data]]),"ddd")</f>
        <v>sex</v>
      </c>
      <c r="Q604" s="1">
        <f t="shared" si="9"/>
        <v>0</v>
      </c>
    </row>
    <row r="605" spans="1:17" hidden="1" x14ac:dyDescent="0.25">
      <c r="A605" s="2"/>
      <c r="F605" s="1"/>
      <c r="K605" s="33"/>
      <c r="L605" s="1"/>
      <c r="M605" s="1"/>
      <c r="N605" s="1"/>
      <c r="O605" s="1"/>
      <c r="P605" s="1"/>
      <c r="Q605" s="1"/>
    </row>
    <row r="606" spans="1:17" hidden="1" x14ac:dyDescent="0.25">
      <c r="A606" s="2">
        <v>44743</v>
      </c>
      <c r="B606">
        <v>22</v>
      </c>
      <c r="C606">
        <v>21</v>
      </c>
      <c r="D606">
        <v>44</v>
      </c>
      <c r="E606">
        <v>12142</v>
      </c>
      <c r="F606" s="1" t="s">
        <v>339</v>
      </c>
      <c r="G606">
        <v>0</v>
      </c>
      <c r="H606">
        <v>2</v>
      </c>
      <c r="I606">
        <v>23</v>
      </c>
      <c r="J606">
        <v>25</v>
      </c>
      <c r="K606" s="33">
        <v>0.08</v>
      </c>
      <c r="L606" s="1"/>
      <c r="M606" s="1"/>
      <c r="N606" s="1"/>
      <c r="O606" s="1"/>
      <c r="P606" s="1"/>
      <c r="Q606" s="1"/>
    </row>
    <row r="607" spans="1:17" x14ac:dyDescent="0.25">
      <c r="A607" s="2"/>
      <c r="F607" s="1" t="s">
        <v>106</v>
      </c>
      <c r="K607" s="33"/>
      <c r="L607" s="1"/>
      <c r="M607" s="1">
        <f>_xlfn.XLOOKUP(ocupacao[[#This Row],[UnidadeID]],unidades!$A:$A,unidades!$B:$B,"",0)</f>
        <v>0</v>
      </c>
      <c r="N607" s="1">
        <f>_xlfn.XLOOKUP(ocupacao[[#This Row],[UnidadeID]],unidades!$A:$A,unidades!$C:$C,"",0)</f>
        <v>0</v>
      </c>
      <c r="O607" s="1">
        <f>_xlfn.XLOOKUP(ocupacao[[#This Row],[EspecialidadeID]],especialidades!$A:$A,especialidades!$B:$B,"",0)</f>
        <v>0</v>
      </c>
      <c r="P607" s="1" t="str">
        <f>TEXT(WEEKDAY(ocupacao[[#This Row],[Data]]),"ddd")</f>
        <v>sáb</v>
      </c>
      <c r="Q607" s="1">
        <f t="shared" si="9"/>
        <v>0</v>
      </c>
    </row>
    <row r="608" spans="1:17" hidden="1" x14ac:dyDescent="0.25">
      <c r="A608" s="2">
        <v>44733</v>
      </c>
      <c r="B608">
        <v>11</v>
      </c>
      <c r="C608">
        <v>22</v>
      </c>
      <c r="D608">
        <v>16</v>
      </c>
      <c r="E608">
        <v>85</v>
      </c>
      <c r="F608" s="1" t="s">
        <v>116</v>
      </c>
      <c r="G608">
        <v>4</v>
      </c>
      <c r="H608">
        <v>0</v>
      </c>
      <c r="I608">
        <v>1</v>
      </c>
      <c r="J608">
        <v>5</v>
      </c>
      <c r="K608" s="33">
        <v>0.8</v>
      </c>
      <c r="L608" s="1"/>
      <c r="M608" s="1"/>
      <c r="N608" s="1"/>
      <c r="O608" s="1"/>
      <c r="P608" s="1"/>
      <c r="Q608" s="1"/>
    </row>
    <row r="609" spans="1:17" x14ac:dyDescent="0.25">
      <c r="A609" s="2">
        <v>44733</v>
      </c>
      <c r="B609">
        <v>11</v>
      </c>
      <c r="C609">
        <v>22</v>
      </c>
      <c r="D609">
        <v>16</v>
      </c>
      <c r="E609">
        <v>85</v>
      </c>
      <c r="F609" s="1" t="s">
        <v>116</v>
      </c>
      <c r="G609">
        <v>4</v>
      </c>
      <c r="H609">
        <v>20</v>
      </c>
      <c r="I609">
        <v>1</v>
      </c>
      <c r="J609">
        <v>25</v>
      </c>
      <c r="K609" s="33">
        <v>0.96</v>
      </c>
      <c r="L609" s="1"/>
      <c r="M609" s="1" t="str">
        <f>_xlfn.XLOOKUP(ocupacao[[#This Row],[UnidadeID]],unidades!$A:$A,unidades!$B:$B,"",0)</f>
        <v>Filial 2 - 11º</v>
      </c>
      <c r="N609" s="1" t="str">
        <f>_xlfn.XLOOKUP(ocupacao[[#This Row],[UnidadeID]],unidades!$A:$A,unidades!$C:$C,"",0)</f>
        <v>Nova Iguaçu</v>
      </c>
      <c r="O609" s="1" t="str">
        <f>_xlfn.XLOOKUP(ocupacao[[#This Row],[EspecialidadeID]],especialidades!$A:$A,especialidades!$B:$B,"",0)</f>
        <v>NUTRICAO</v>
      </c>
      <c r="P609" s="1" t="str">
        <f>TEXT(WEEKDAY(ocupacao[[#This Row],[Data]]),"ddd")</f>
        <v>ter</v>
      </c>
      <c r="Q609" s="1">
        <f t="shared" si="9"/>
        <v>0</v>
      </c>
    </row>
    <row r="610" spans="1:17" hidden="1" x14ac:dyDescent="0.25">
      <c r="A610" s="2">
        <v>44733</v>
      </c>
      <c r="B610">
        <v>18</v>
      </c>
      <c r="C610">
        <v>22</v>
      </c>
      <c r="D610">
        <v>82</v>
      </c>
      <c r="E610">
        <v>86</v>
      </c>
      <c r="F610" s="1" t="s">
        <v>90</v>
      </c>
      <c r="G610">
        <v>0</v>
      </c>
      <c r="H610">
        <v>9</v>
      </c>
      <c r="I610">
        <v>6</v>
      </c>
      <c r="J610">
        <v>15</v>
      </c>
      <c r="K610" s="33">
        <v>0.6</v>
      </c>
      <c r="L610" s="1"/>
      <c r="M610" s="1"/>
      <c r="N610" s="1"/>
      <c r="O610" s="1"/>
      <c r="P610" s="1"/>
      <c r="Q610" s="1"/>
    </row>
    <row r="611" spans="1:17" hidden="1" x14ac:dyDescent="0.25">
      <c r="A611" s="2"/>
      <c r="F611" s="1"/>
      <c r="K611" s="33"/>
      <c r="L611" s="1"/>
      <c r="M611" s="1"/>
      <c r="N611" s="1"/>
      <c r="O611" s="1"/>
      <c r="P611" s="1"/>
      <c r="Q611" s="1"/>
    </row>
    <row r="612" spans="1:17" hidden="1" x14ac:dyDescent="0.25">
      <c r="A612" s="2">
        <v>44734</v>
      </c>
      <c r="B612">
        <v>24</v>
      </c>
      <c r="C612">
        <v>22</v>
      </c>
      <c r="D612">
        <v>66</v>
      </c>
      <c r="E612">
        <v>86</v>
      </c>
      <c r="F612" s="1" t="s">
        <v>90</v>
      </c>
      <c r="G612">
        <v>0</v>
      </c>
      <c r="H612">
        <v>4</v>
      </c>
      <c r="I612">
        <v>12</v>
      </c>
      <c r="J612">
        <v>16</v>
      </c>
      <c r="K612" s="33">
        <v>0.25</v>
      </c>
      <c r="L612" s="1"/>
      <c r="M612" s="1"/>
      <c r="N612" s="1"/>
      <c r="O612" s="1"/>
      <c r="P612" s="1"/>
      <c r="Q612" s="1"/>
    </row>
    <row r="613" spans="1:17" x14ac:dyDescent="0.25">
      <c r="A613" s="2">
        <v>44734</v>
      </c>
      <c r="B613">
        <v>11</v>
      </c>
      <c r="C613">
        <v>22</v>
      </c>
      <c r="D613">
        <v>12</v>
      </c>
      <c r="E613">
        <v>531</v>
      </c>
      <c r="F613" s="1" t="s">
        <v>115</v>
      </c>
      <c r="G613">
        <v>4</v>
      </c>
      <c r="H613">
        <v>0</v>
      </c>
      <c r="I613">
        <v>7</v>
      </c>
      <c r="J613">
        <v>11</v>
      </c>
      <c r="K613" s="33">
        <v>0.36359999999999998</v>
      </c>
      <c r="L613" s="1"/>
      <c r="M613" s="1" t="str">
        <f>_xlfn.XLOOKUP(ocupacao[[#This Row],[UnidadeID]],unidades!$A:$A,unidades!$B:$B,"",0)</f>
        <v>Filial 2 - 11º</v>
      </c>
      <c r="N613" s="1" t="str">
        <f>_xlfn.XLOOKUP(ocupacao[[#This Row],[UnidadeID]],unidades!$A:$A,unidades!$C:$C,"",0)</f>
        <v>Nova Iguaçu</v>
      </c>
      <c r="O613" s="1" t="str">
        <f>_xlfn.XLOOKUP(ocupacao[[#This Row],[EspecialidadeID]],especialidades!$A:$A,especialidades!$B:$B,"",0)</f>
        <v>NUTRICAO</v>
      </c>
      <c r="P613" s="1" t="str">
        <f>TEXT(WEEKDAY(ocupacao[[#This Row],[Data]]),"ddd")</f>
        <v>qua</v>
      </c>
      <c r="Q613" s="1">
        <f t="shared" si="9"/>
        <v>1</v>
      </c>
    </row>
    <row r="614" spans="1:17" hidden="1" x14ac:dyDescent="0.25">
      <c r="A614" s="2">
        <v>44734</v>
      </c>
      <c r="B614">
        <v>11</v>
      </c>
      <c r="C614">
        <v>22</v>
      </c>
      <c r="D614">
        <v>12</v>
      </c>
      <c r="E614">
        <v>531</v>
      </c>
      <c r="F614" s="1" t="s">
        <v>115</v>
      </c>
      <c r="G614">
        <v>4</v>
      </c>
      <c r="H614">
        <v>24</v>
      </c>
      <c r="I614">
        <v>7</v>
      </c>
      <c r="J614">
        <v>35</v>
      </c>
      <c r="K614" s="33">
        <v>0.8</v>
      </c>
      <c r="L614" s="1"/>
      <c r="M614" s="1"/>
      <c r="N614" s="1"/>
      <c r="O614" s="1"/>
      <c r="P614" s="1"/>
      <c r="Q614" s="1"/>
    </row>
    <row r="615" spans="1:17" x14ac:dyDescent="0.25">
      <c r="A615" s="2">
        <v>44735</v>
      </c>
      <c r="B615">
        <v>11</v>
      </c>
      <c r="C615">
        <v>22</v>
      </c>
      <c r="D615">
        <v>16</v>
      </c>
      <c r="E615">
        <v>85</v>
      </c>
      <c r="F615" s="1" t="s">
        <v>116</v>
      </c>
      <c r="G615">
        <v>4</v>
      </c>
      <c r="H615">
        <v>0</v>
      </c>
      <c r="I615">
        <v>13</v>
      </c>
      <c r="J615">
        <v>17</v>
      </c>
      <c r="K615" s="33">
        <v>0.23530000000000001</v>
      </c>
      <c r="L615" s="1"/>
      <c r="M615" s="1" t="str">
        <f>_xlfn.XLOOKUP(ocupacao[[#This Row],[UnidadeID]],unidades!$A:$A,unidades!$B:$B,"",0)</f>
        <v>Filial 2 - 11º</v>
      </c>
      <c r="N615" s="1" t="str">
        <f>_xlfn.XLOOKUP(ocupacao[[#This Row],[UnidadeID]],unidades!$A:$A,unidades!$C:$C,"",0)</f>
        <v>Nova Iguaçu</v>
      </c>
      <c r="O615" s="1" t="str">
        <f>_xlfn.XLOOKUP(ocupacao[[#This Row],[EspecialidadeID]],especialidades!$A:$A,especialidades!$B:$B,"",0)</f>
        <v>NUTRICAO</v>
      </c>
      <c r="P615" s="1" t="str">
        <f>TEXT(WEEKDAY(ocupacao[[#This Row],[Data]]),"ddd")</f>
        <v>qui</v>
      </c>
      <c r="Q615" s="1">
        <f t="shared" si="9"/>
        <v>1</v>
      </c>
    </row>
    <row r="616" spans="1:17" hidden="1" x14ac:dyDescent="0.25">
      <c r="A616" s="2">
        <v>44735</v>
      </c>
      <c r="B616">
        <v>11</v>
      </c>
      <c r="C616">
        <v>22</v>
      </c>
      <c r="D616">
        <v>16</v>
      </c>
      <c r="E616">
        <v>85</v>
      </c>
      <c r="F616" s="1" t="s">
        <v>116</v>
      </c>
      <c r="G616">
        <v>4</v>
      </c>
      <c r="H616">
        <v>9</v>
      </c>
      <c r="I616">
        <v>13</v>
      </c>
      <c r="J616">
        <v>26</v>
      </c>
      <c r="K616" s="33">
        <v>0.5</v>
      </c>
      <c r="L616" s="1"/>
      <c r="M616" s="1"/>
      <c r="N616" s="1"/>
      <c r="O616" s="1"/>
      <c r="P616" s="1"/>
      <c r="Q616" s="1"/>
    </row>
    <row r="617" spans="1:17" hidden="1" x14ac:dyDescent="0.25">
      <c r="A617" s="2"/>
      <c r="F617" s="1"/>
      <c r="K617" s="33"/>
      <c r="L617" s="1"/>
      <c r="M617" s="1"/>
      <c r="N617" s="1"/>
      <c r="O617" s="1"/>
      <c r="P617" s="1"/>
      <c r="Q617" s="1"/>
    </row>
    <row r="618" spans="1:17" hidden="1" x14ac:dyDescent="0.25">
      <c r="A618" s="2">
        <v>44735</v>
      </c>
      <c r="B618">
        <v>11</v>
      </c>
      <c r="C618">
        <v>22</v>
      </c>
      <c r="D618">
        <v>12</v>
      </c>
      <c r="E618">
        <v>531</v>
      </c>
      <c r="F618" s="1" t="s">
        <v>115</v>
      </c>
      <c r="G618">
        <v>0</v>
      </c>
      <c r="H618">
        <v>6</v>
      </c>
      <c r="I618">
        <v>17</v>
      </c>
      <c r="J618">
        <v>23</v>
      </c>
      <c r="K618" s="33">
        <v>0.26090000000000002</v>
      </c>
      <c r="L618" s="1"/>
      <c r="M618" s="1"/>
      <c r="N618" s="1"/>
      <c r="O618" s="1"/>
      <c r="P618" s="1"/>
      <c r="Q618" s="1"/>
    </row>
    <row r="619" spans="1:17" x14ac:dyDescent="0.25">
      <c r="A619" s="2">
        <v>44735</v>
      </c>
      <c r="B619">
        <v>11</v>
      </c>
      <c r="C619">
        <v>22</v>
      </c>
      <c r="D619">
        <v>371</v>
      </c>
      <c r="E619">
        <v>531</v>
      </c>
      <c r="F619" s="1" t="s">
        <v>115</v>
      </c>
      <c r="G619">
        <v>0</v>
      </c>
      <c r="H619">
        <v>6</v>
      </c>
      <c r="I619">
        <v>17</v>
      </c>
      <c r="J619">
        <v>23</v>
      </c>
      <c r="K619" s="33">
        <v>0.26090000000000002</v>
      </c>
      <c r="L619" s="1"/>
      <c r="M619" s="1" t="str">
        <f>_xlfn.XLOOKUP(ocupacao[[#This Row],[UnidadeID]],unidades!$A:$A,unidades!$B:$B,"",0)</f>
        <v>Filial 2 - 11º</v>
      </c>
      <c r="N619" s="1" t="str">
        <f>_xlfn.XLOOKUP(ocupacao[[#This Row],[UnidadeID]],unidades!$A:$A,unidades!$C:$C,"",0)</f>
        <v>Nova Iguaçu</v>
      </c>
      <c r="O619" s="1" t="str">
        <f>_xlfn.XLOOKUP(ocupacao[[#This Row],[EspecialidadeID]],especialidades!$A:$A,especialidades!$B:$B,"",0)</f>
        <v>NUTRICAO</v>
      </c>
      <c r="P619" s="1" t="str">
        <f>TEXT(WEEKDAY(ocupacao[[#This Row],[Data]]),"ddd")</f>
        <v>qui</v>
      </c>
      <c r="Q619" s="1">
        <f t="shared" si="9"/>
        <v>1</v>
      </c>
    </row>
    <row r="620" spans="1:17" hidden="1" x14ac:dyDescent="0.25">
      <c r="A620" s="2">
        <v>44736</v>
      </c>
      <c r="B620">
        <v>18</v>
      </c>
      <c r="C620">
        <v>22</v>
      </c>
      <c r="D620">
        <v>78</v>
      </c>
      <c r="E620">
        <v>531</v>
      </c>
      <c r="F620" s="1" t="s">
        <v>115</v>
      </c>
      <c r="G620">
        <v>0</v>
      </c>
      <c r="H620">
        <v>0</v>
      </c>
      <c r="I620">
        <v>5</v>
      </c>
      <c r="J620">
        <v>5</v>
      </c>
      <c r="K620" s="33">
        <v>0</v>
      </c>
      <c r="L620" s="1"/>
      <c r="M620" s="1"/>
      <c r="N620" s="1"/>
      <c r="O620" s="1"/>
      <c r="P620" s="1"/>
      <c r="Q620" s="1"/>
    </row>
    <row r="621" spans="1:17" x14ac:dyDescent="0.25">
      <c r="A621" s="2">
        <v>44736</v>
      </c>
      <c r="B621">
        <v>18</v>
      </c>
      <c r="C621">
        <v>22</v>
      </c>
      <c r="D621">
        <v>78</v>
      </c>
      <c r="E621">
        <v>531</v>
      </c>
      <c r="F621" s="1" t="s">
        <v>115</v>
      </c>
      <c r="G621">
        <v>0</v>
      </c>
      <c r="H621">
        <v>9</v>
      </c>
      <c r="I621">
        <v>5</v>
      </c>
      <c r="J621">
        <v>14</v>
      </c>
      <c r="K621" s="33">
        <v>0.64290000000000003</v>
      </c>
      <c r="L621" s="1"/>
      <c r="M621" s="1" t="str">
        <f>_xlfn.XLOOKUP(ocupacao[[#This Row],[UnidadeID]],unidades!$A:$A,unidades!$B:$B,"",0)</f>
        <v>Miguel Couto</v>
      </c>
      <c r="N621" s="1" t="str">
        <f>_xlfn.XLOOKUP(ocupacao[[#This Row],[UnidadeID]],unidades!$A:$A,unidades!$C:$C,"",0)</f>
        <v>Miguel Couto</v>
      </c>
      <c r="O621" s="1" t="str">
        <f>_xlfn.XLOOKUP(ocupacao[[#This Row],[EspecialidadeID]],especialidades!$A:$A,especialidades!$B:$B,"",0)</f>
        <v>NUTRICAO</v>
      </c>
      <c r="P621" s="1" t="str">
        <f>TEXT(WEEKDAY(ocupacao[[#This Row],[Data]]),"ddd")</f>
        <v>sex</v>
      </c>
      <c r="Q621" s="1">
        <f t="shared" si="9"/>
        <v>1</v>
      </c>
    </row>
    <row r="622" spans="1:17" hidden="1" x14ac:dyDescent="0.25">
      <c r="A622" s="2">
        <v>44737</v>
      </c>
      <c r="B622">
        <v>18</v>
      </c>
      <c r="C622">
        <v>22</v>
      </c>
      <c r="D622">
        <v>78</v>
      </c>
      <c r="E622">
        <v>531</v>
      </c>
      <c r="F622" s="1" t="s">
        <v>115</v>
      </c>
      <c r="G622">
        <v>0</v>
      </c>
      <c r="H622">
        <v>0</v>
      </c>
      <c r="I622">
        <v>12</v>
      </c>
      <c r="J622">
        <v>12</v>
      </c>
      <c r="K622" s="33">
        <v>0</v>
      </c>
      <c r="L622" s="1"/>
      <c r="M622" s="1"/>
      <c r="N622" s="1"/>
      <c r="O622" s="1"/>
      <c r="P622" s="1"/>
      <c r="Q622" s="1"/>
    </row>
    <row r="623" spans="1:17" x14ac:dyDescent="0.25">
      <c r="A623" s="2">
        <v>44737</v>
      </c>
      <c r="B623">
        <v>18</v>
      </c>
      <c r="C623">
        <v>22</v>
      </c>
      <c r="D623">
        <v>78</v>
      </c>
      <c r="E623">
        <v>531</v>
      </c>
      <c r="F623" s="1" t="s">
        <v>115</v>
      </c>
      <c r="G623">
        <v>0</v>
      </c>
      <c r="H623">
        <v>2</v>
      </c>
      <c r="I623">
        <v>12</v>
      </c>
      <c r="J623">
        <v>14</v>
      </c>
      <c r="K623" s="33">
        <v>0.1429</v>
      </c>
      <c r="L623" s="1"/>
      <c r="M623" s="1" t="str">
        <f>_xlfn.XLOOKUP(ocupacao[[#This Row],[UnidadeID]],unidades!$A:$A,unidades!$B:$B,"",0)</f>
        <v>Miguel Couto</v>
      </c>
      <c r="N623" s="1" t="str">
        <f>_xlfn.XLOOKUP(ocupacao[[#This Row],[UnidadeID]],unidades!$A:$A,unidades!$C:$C,"",0)</f>
        <v>Miguel Couto</v>
      </c>
      <c r="O623" s="1" t="str">
        <f>_xlfn.XLOOKUP(ocupacao[[#This Row],[EspecialidadeID]],especialidades!$A:$A,especialidades!$B:$B,"",0)</f>
        <v>NUTRICAO</v>
      </c>
      <c r="P623" s="1" t="str">
        <f>TEXT(WEEKDAY(ocupacao[[#This Row],[Data]]),"ddd")</f>
        <v>sáb</v>
      </c>
      <c r="Q623" s="1">
        <f t="shared" si="9"/>
        <v>0</v>
      </c>
    </row>
    <row r="624" spans="1:17" x14ac:dyDescent="0.25">
      <c r="A624" s="2">
        <v>44739</v>
      </c>
      <c r="B624">
        <v>11</v>
      </c>
      <c r="C624">
        <v>22</v>
      </c>
      <c r="D624">
        <v>16</v>
      </c>
      <c r="E624">
        <v>86</v>
      </c>
      <c r="F624" s="1" t="s">
        <v>90</v>
      </c>
      <c r="G624">
        <v>4</v>
      </c>
      <c r="H624">
        <v>0</v>
      </c>
      <c r="I624">
        <v>21</v>
      </c>
      <c r="J624">
        <v>25</v>
      </c>
      <c r="K624" s="33">
        <v>0.16</v>
      </c>
      <c r="L624" s="1"/>
      <c r="M624" s="1" t="str">
        <f>_xlfn.XLOOKUP(ocupacao[[#This Row],[UnidadeID]],unidades!$A:$A,unidades!$B:$B,"",0)</f>
        <v>Filial 2 - 11º</v>
      </c>
      <c r="N624" s="1" t="str">
        <f>_xlfn.XLOOKUP(ocupacao[[#This Row],[UnidadeID]],unidades!$A:$A,unidades!$C:$C,"",0)</f>
        <v>Nova Iguaçu</v>
      </c>
      <c r="O624" s="1" t="str">
        <f>_xlfn.XLOOKUP(ocupacao[[#This Row],[EspecialidadeID]],especialidades!$A:$A,especialidades!$B:$B,"",0)</f>
        <v>NUTRICAO</v>
      </c>
      <c r="P624" s="1" t="str">
        <f>TEXT(WEEKDAY(ocupacao[[#This Row],[Data]]),"ddd")</f>
        <v>seg</v>
      </c>
      <c r="Q624" s="1">
        <f t="shared" si="9"/>
        <v>1</v>
      </c>
    </row>
    <row r="625" spans="1:17" x14ac:dyDescent="0.25">
      <c r="A625" s="2">
        <v>44739</v>
      </c>
      <c r="B625">
        <v>11</v>
      </c>
      <c r="C625">
        <v>22</v>
      </c>
      <c r="D625">
        <v>16</v>
      </c>
      <c r="E625">
        <v>86</v>
      </c>
      <c r="F625" s="1" t="s">
        <v>90</v>
      </c>
      <c r="G625">
        <v>4</v>
      </c>
      <c r="H625">
        <v>16</v>
      </c>
      <c r="I625">
        <v>21</v>
      </c>
      <c r="J625">
        <v>41</v>
      </c>
      <c r="K625" s="33">
        <v>0.48780000000000001</v>
      </c>
      <c r="L625" s="1"/>
      <c r="M625" s="1" t="str">
        <f>_xlfn.XLOOKUP(ocupacao[[#This Row],[UnidadeID]],unidades!$A:$A,unidades!$B:$B,"",0)</f>
        <v>Filial 2 - 11º</v>
      </c>
      <c r="N625" s="1" t="str">
        <f>_xlfn.XLOOKUP(ocupacao[[#This Row],[UnidadeID]],unidades!$A:$A,unidades!$C:$C,"",0)</f>
        <v>Nova Iguaçu</v>
      </c>
      <c r="O625" s="1" t="str">
        <f>_xlfn.XLOOKUP(ocupacao[[#This Row],[EspecialidadeID]],especialidades!$A:$A,especialidades!$B:$B,"",0)</f>
        <v>NUTRICAO</v>
      </c>
      <c r="P625" s="1" t="str">
        <f>TEXT(WEEKDAY(ocupacao[[#This Row],[Data]]),"ddd")</f>
        <v>seg</v>
      </c>
      <c r="Q625" s="1">
        <f t="shared" si="9"/>
        <v>0</v>
      </c>
    </row>
    <row r="626" spans="1:17" x14ac:dyDescent="0.25">
      <c r="A626" s="2">
        <v>44740</v>
      </c>
      <c r="B626">
        <v>11</v>
      </c>
      <c r="C626">
        <v>22</v>
      </c>
      <c r="D626">
        <v>16</v>
      </c>
      <c r="E626">
        <v>85</v>
      </c>
      <c r="F626" s="1" t="s">
        <v>116</v>
      </c>
      <c r="G626">
        <v>4</v>
      </c>
      <c r="H626">
        <v>0</v>
      </c>
      <c r="I626">
        <v>16</v>
      </c>
      <c r="J626">
        <v>20</v>
      </c>
      <c r="K626" s="33">
        <v>0.2</v>
      </c>
      <c r="L626" s="1"/>
      <c r="M626" s="1" t="str">
        <f>_xlfn.XLOOKUP(ocupacao[[#This Row],[UnidadeID]],unidades!$A:$A,unidades!$B:$B,"",0)</f>
        <v>Filial 2 - 11º</v>
      </c>
      <c r="N626" s="1" t="str">
        <f>_xlfn.XLOOKUP(ocupacao[[#This Row],[UnidadeID]],unidades!$A:$A,unidades!$C:$C,"",0)</f>
        <v>Nova Iguaçu</v>
      </c>
      <c r="O626" s="1" t="str">
        <f>_xlfn.XLOOKUP(ocupacao[[#This Row],[EspecialidadeID]],especialidades!$A:$A,especialidades!$B:$B,"",0)</f>
        <v>NUTRICAO</v>
      </c>
      <c r="P626" s="1" t="str">
        <f>TEXT(WEEKDAY(ocupacao[[#This Row],[Data]]),"ddd")</f>
        <v>ter</v>
      </c>
      <c r="Q626" s="1">
        <f t="shared" si="9"/>
        <v>1</v>
      </c>
    </row>
    <row r="627" spans="1:17" x14ac:dyDescent="0.25">
      <c r="A627" s="2">
        <v>44740</v>
      </c>
      <c r="B627">
        <v>11</v>
      </c>
      <c r="C627">
        <v>22</v>
      </c>
      <c r="D627">
        <v>16</v>
      </c>
      <c r="E627">
        <v>85</v>
      </c>
      <c r="F627" s="1" t="s">
        <v>116</v>
      </c>
      <c r="G627">
        <v>4</v>
      </c>
      <c r="H627">
        <v>6</v>
      </c>
      <c r="I627">
        <v>16</v>
      </c>
      <c r="J627">
        <v>26</v>
      </c>
      <c r="K627" s="33">
        <v>0.3846</v>
      </c>
      <c r="L627" s="1"/>
      <c r="M627" s="1" t="str">
        <f>_xlfn.XLOOKUP(ocupacao[[#This Row],[UnidadeID]],unidades!$A:$A,unidades!$B:$B,"",0)</f>
        <v>Filial 2 - 11º</v>
      </c>
      <c r="N627" s="1" t="str">
        <f>_xlfn.XLOOKUP(ocupacao[[#This Row],[UnidadeID]],unidades!$A:$A,unidades!$C:$C,"",0)</f>
        <v>Nova Iguaçu</v>
      </c>
      <c r="O627" s="1" t="str">
        <f>_xlfn.XLOOKUP(ocupacao[[#This Row],[EspecialidadeID]],especialidades!$A:$A,especialidades!$B:$B,"",0)</f>
        <v>NUTRICAO</v>
      </c>
      <c r="P627" s="1" t="str">
        <f>TEXT(WEEKDAY(ocupacao[[#This Row],[Data]]),"ddd")</f>
        <v>ter</v>
      </c>
      <c r="Q627" s="1">
        <f t="shared" si="9"/>
        <v>0</v>
      </c>
    </row>
    <row r="628" spans="1:17" x14ac:dyDescent="0.25">
      <c r="A628" s="2">
        <v>44740</v>
      </c>
      <c r="B628">
        <v>18</v>
      </c>
      <c r="C628">
        <v>22</v>
      </c>
      <c r="D628">
        <v>82</v>
      </c>
      <c r="E628">
        <v>86</v>
      </c>
      <c r="F628" s="1" t="s">
        <v>90</v>
      </c>
      <c r="G628">
        <v>0</v>
      </c>
      <c r="H628">
        <v>3</v>
      </c>
      <c r="I628">
        <v>12</v>
      </c>
      <c r="J628">
        <v>15</v>
      </c>
      <c r="K628" s="33">
        <v>0.2</v>
      </c>
      <c r="L628" s="1"/>
      <c r="M628" s="1" t="str">
        <f>_xlfn.XLOOKUP(ocupacao[[#This Row],[UnidadeID]],unidades!$A:$A,unidades!$B:$B,"",0)</f>
        <v>Miguel Couto</v>
      </c>
      <c r="N628" s="1" t="str">
        <f>_xlfn.XLOOKUP(ocupacao[[#This Row],[UnidadeID]],unidades!$A:$A,unidades!$C:$C,"",0)</f>
        <v>Miguel Couto</v>
      </c>
      <c r="O628" s="1" t="str">
        <f>_xlfn.XLOOKUP(ocupacao[[#This Row],[EspecialidadeID]],especialidades!$A:$A,especialidades!$B:$B,"",0)</f>
        <v>NUTRICAO</v>
      </c>
      <c r="P628" s="1" t="str">
        <f>TEXT(WEEKDAY(ocupacao[[#This Row],[Data]]),"ddd")</f>
        <v>ter</v>
      </c>
      <c r="Q628" s="1">
        <f t="shared" si="9"/>
        <v>0</v>
      </c>
    </row>
    <row r="629" spans="1:17" hidden="1" x14ac:dyDescent="0.25">
      <c r="A629" s="2"/>
      <c r="F629" s="1"/>
      <c r="K629" s="33"/>
      <c r="L629" s="1"/>
      <c r="M629" s="1"/>
      <c r="N629" s="1"/>
      <c r="O629" s="1"/>
      <c r="P629" s="1"/>
      <c r="Q629" s="1"/>
    </row>
    <row r="630" spans="1:17" x14ac:dyDescent="0.25">
      <c r="A630" s="2">
        <v>44740</v>
      </c>
      <c r="B630">
        <v>11</v>
      </c>
      <c r="C630">
        <v>22</v>
      </c>
      <c r="D630">
        <v>17</v>
      </c>
      <c r="E630">
        <v>12230</v>
      </c>
      <c r="F630" s="1" t="s">
        <v>378</v>
      </c>
      <c r="G630">
        <v>0</v>
      </c>
      <c r="H630">
        <v>10</v>
      </c>
      <c r="I630">
        <v>15</v>
      </c>
      <c r="J630">
        <v>25</v>
      </c>
      <c r="K630" s="33">
        <v>0.4</v>
      </c>
      <c r="L630" s="1"/>
      <c r="M630" s="1" t="str">
        <f>_xlfn.XLOOKUP(ocupacao[[#This Row],[UnidadeID]],unidades!$A:$A,unidades!$B:$B,"",0)</f>
        <v>Filial 2 - 11º</v>
      </c>
      <c r="N630" s="1" t="str">
        <f>_xlfn.XLOOKUP(ocupacao[[#This Row],[UnidadeID]],unidades!$A:$A,unidades!$C:$C,"",0)</f>
        <v>Nova Iguaçu</v>
      </c>
      <c r="O630" s="1" t="str">
        <f>_xlfn.XLOOKUP(ocupacao[[#This Row],[EspecialidadeID]],especialidades!$A:$A,especialidades!$B:$B,"",0)</f>
        <v>NUTRICAO</v>
      </c>
      <c r="P630" s="1" t="str">
        <f>TEXT(WEEKDAY(ocupacao[[#This Row],[Data]]),"ddd")</f>
        <v>ter</v>
      </c>
      <c r="Q630" s="1">
        <f t="shared" si="9"/>
        <v>0</v>
      </c>
    </row>
    <row r="631" spans="1:17" hidden="1" x14ac:dyDescent="0.25">
      <c r="A631" s="2">
        <v>44741</v>
      </c>
      <c r="B631">
        <v>24</v>
      </c>
      <c r="C631">
        <v>22</v>
      </c>
      <c r="D631">
        <v>66</v>
      </c>
      <c r="E631">
        <v>86</v>
      </c>
      <c r="F631" s="1" t="s">
        <v>90</v>
      </c>
      <c r="G631">
        <v>0</v>
      </c>
      <c r="H631">
        <v>0</v>
      </c>
      <c r="I631">
        <v>15</v>
      </c>
      <c r="J631">
        <v>15</v>
      </c>
      <c r="K631" s="33">
        <v>0</v>
      </c>
      <c r="L631" s="1"/>
      <c r="M631" s="1"/>
      <c r="N631" s="1"/>
      <c r="O631" s="1"/>
      <c r="P631" s="1"/>
      <c r="Q631" s="1"/>
    </row>
    <row r="632" spans="1:17" x14ac:dyDescent="0.25">
      <c r="A632" s="2">
        <v>44741</v>
      </c>
      <c r="B632">
        <v>24</v>
      </c>
      <c r="C632">
        <v>22</v>
      </c>
      <c r="D632">
        <v>66</v>
      </c>
      <c r="E632">
        <v>86</v>
      </c>
      <c r="F632" s="1" t="s">
        <v>90</v>
      </c>
      <c r="G632">
        <v>0</v>
      </c>
      <c r="H632">
        <v>1</v>
      </c>
      <c r="I632">
        <v>15</v>
      </c>
      <c r="J632">
        <v>16</v>
      </c>
      <c r="K632" s="33">
        <v>6.25E-2</v>
      </c>
      <c r="L632" s="1"/>
      <c r="M632" s="1" t="str">
        <f>_xlfn.XLOOKUP(ocupacao[[#This Row],[UnidadeID]],unidades!$A:$A,unidades!$B:$B,"",0)</f>
        <v>Nilópolis</v>
      </c>
      <c r="N632" s="1" t="str">
        <f>_xlfn.XLOOKUP(ocupacao[[#This Row],[UnidadeID]],unidades!$A:$A,unidades!$C:$C,"",0)</f>
        <v>Nilópolis</v>
      </c>
      <c r="O632" s="1" t="str">
        <f>_xlfn.XLOOKUP(ocupacao[[#This Row],[EspecialidadeID]],especialidades!$A:$A,especialidades!$B:$B,"",0)</f>
        <v>NUTRICAO</v>
      </c>
      <c r="P632" s="1" t="str">
        <f>TEXT(WEEKDAY(ocupacao[[#This Row],[Data]]),"ddd")</f>
        <v>qua</v>
      </c>
      <c r="Q632" s="1">
        <f t="shared" si="9"/>
        <v>0</v>
      </c>
    </row>
    <row r="633" spans="1:17" x14ac:dyDescent="0.25">
      <c r="A633" s="2">
        <v>44741</v>
      </c>
      <c r="B633">
        <v>11</v>
      </c>
      <c r="C633">
        <v>22</v>
      </c>
      <c r="D633">
        <v>12</v>
      </c>
      <c r="E633">
        <v>531</v>
      </c>
      <c r="F633" s="1" t="s">
        <v>115</v>
      </c>
      <c r="G633">
        <v>4</v>
      </c>
      <c r="H633">
        <v>0</v>
      </c>
      <c r="I633">
        <v>26</v>
      </c>
      <c r="J633">
        <v>30</v>
      </c>
      <c r="K633" s="33">
        <v>0.1333</v>
      </c>
      <c r="L633" s="1"/>
      <c r="M633" s="1" t="str">
        <f>_xlfn.XLOOKUP(ocupacao[[#This Row],[UnidadeID]],unidades!$A:$A,unidades!$B:$B,"",0)</f>
        <v>Filial 2 - 11º</v>
      </c>
      <c r="N633" s="1" t="str">
        <f>_xlfn.XLOOKUP(ocupacao[[#This Row],[UnidadeID]],unidades!$A:$A,unidades!$C:$C,"",0)</f>
        <v>Nova Iguaçu</v>
      </c>
      <c r="O633" s="1" t="str">
        <f>_xlfn.XLOOKUP(ocupacao[[#This Row],[EspecialidadeID]],especialidades!$A:$A,especialidades!$B:$B,"",0)</f>
        <v>NUTRICAO</v>
      </c>
      <c r="P633" s="1" t="str">
        <f>TEXT(WEEKDAY(ocupacao[[#This Row],[Data]]),"ddd")</f>
        <v>qua</v>
      </c>
      <c r="Q633" s="1">
        <f t="shared" si="9"/>
        <v>1</v>
      </c>
    </row>
    <row r="634" spans="1:17" x14ac:dyDescent="0.25">
      <c r="A634" s="2">
        <v>44741</v>
      </c>
      <c r="B634">
        <v>11</v>
      </c>
      <c r="C634">
        <v>22</v>
      </c>
      <c r="D634">
        <v>12</v>
      </c>
      <c r="E634">
        <v>531</v>
      </c>
      <c r="F634" s="1" t="s">
        <v>115</v>
      </c>
      <c r="G634">
        <v>4</v>
      </c>
      <c r="H634">
        <v>5</v>
      </c>
      <c r="I634">
        <v>26</v>
      </c>
      <c r="J634">
        <v>35</v>
      </c>
      <c r="K634" s="33">
        <v>0.2571</v>
      </c>
      <c r="L634" s="1"/>
      <c r="M634" s="1" t="str">
        <f>_xlfn.XLOOKUP(ocupacao[[#This Row],[UnidadeID]],unidades!$A:$A,unidades!$B:$B,"",0)</f>
        <v>Filial 2 - 11º</v>
      </c>
      <c r="N634" s="1" t="str">
        <f>_xlfn.XLOOKUP(ocupacao[[#This Row],[UnidadeID]],unidades!$A:$A,unidades!$C:$C,"",0)</f>
        <v>Nova Iguaçu</v>
      </c>
      <c r="O634" s="1" t="str">
        <f>_xlfn.XLOOKUP(ocupacao[[#This Row],[EspecialidadeID]],especialidades!$A:$A,especialidades!$B:$B,"",0)</f>
        <v>NUTRICAO</v>
      </c>
      <c r="P634" s="1" t="str">
        <f>TEXT(WEEKDAY(ocupacao[[#This Row],[Data]]),"ddd")</f>
        <v>qua</v>
      </c>
      <c r="Q634" s="1">
        <f t="shared" si="9"/>
        <v>0</v>
      </c>
    </row>
    <row r="635" spans="1:17" x14ac:dyDescent="0.25">
      <c r="A635" s="2">
        <v>44742</v>
      </c>
      <c r="B635">
        <v>11</v>
      </c>
      <c r="C635">
        <v>22</v>
      </c>
      <c r="D635">
        <v>16</v>
      </c>
      <c r="E635">
        <v>85</v>
      </c>
      <c r="F635" s="1" t="s">
        <v>116</v>
      </c>
      <c r="G635">
        <v>4</v>
      </c>
      <c r="H635">
        <v>0</v>
      </c>
      <c r="I635">
        <v>18</v>
      </c>
      <c r="J635">
        <v>22</v>
      </c>
      <c r="K635" s="33">
        <v>0.18179999999999999</v>
      </c>
      <c r="L635" s="1"/>
      <c r="M635" s="1" t="str">
        <f>_xlfn.XLOOKUP(ocupacao[[#This Row],[UnidadeID]],unidades!$A:$A,unidades!$B:$B,"",0)</f>
        <v>Filial 2 - 11º</v>
      </c>
      <c r="N635" s="1" t="str">
        <f>_xlfn.XLOOKUP(ocupacao[[#This Row],[UnidadeID]],unidades!$A:$A,unidades!$C:$C,"",0)</f>
        <v>Nova Iguaçu</v>
      </c>
      <c r="O635" s="1" t="str">
        <f>_xlfn.XLOOKUP(ocupacao[[#This Row],[EspecialidadeID]],especialidades!$A:$A,especialidades!$B:$B,"",0)</f>
        <v>NUTRICAO</v>
      </c>
      <c r="P635" s="1" t="str">
        <f>TEXT(WEEKDAY(ocupacao[[#This Row],[Data]]),"ddd")</f>
        <v>qui</v>
      </c>
      <c r="Q635" s="1">
        <f t="shared" si="9"/>
        <v>1</v>
      </c>
    </row>
    <row r="636" spans="1:17" x14ac:dyDescent="0.25">
      <c r="A636" s="2">
        <v>44742</v>
      </c>
      <c r="B636">
        <v>11</v>
      </c>
      <c r="C636">
        <v>22</v>
      </c>
      <c r="D636">
        <v>16</v>
      </c>
      <c r="E636">
        <v>85</v>
      </c>
      <c r="F636" s="1" t="s">
        <v>116</v>
      </c>
      <c r="G636">
        <v>4</v>
      </c>
      <c r="H636">
        <v>4</v>
      </c>
      <c r="I636">
        <v>18</v>
      </c>
      <c r="J636">
        <v>26</v>
      </c>
      <c r="K636" s="33">
        <v>0.30769999999999997</v>
      </c>
      <c r="L636" s="1"/>
      <c r="M636" s="1" t="str">
        <f>_xlfn.XLOOKUP(ocupacao[[#This Row],[UnidadeID]],unidades!$A:$A,unidades!$B:$B,"",0)</f>
        <v>Filial 2 - 11º</v>
      </c>
      <c r="N636" s="1" t="str">
        <f>_xlfn.XLOOKUP(ocupacao[[#This Row],[UnidadeID]],unidades!$A:$A,unidades!$C:$C,"",0)</f>
        <v>Nova Iguaçu</v>
      </c>
      <c r="O636" s="1" t="str">
        <f>_xlfn.XLOOKUP(ocupacao[[#This Row],[EspecialidadeID]],especialidades!$A:$A,especialidades!$B:$B,"",0)</f>
        <v>NUTRICAO</v>
      </c>
      <c r="P636" s="1" t="str">
        <f>TEXT(WEEKDAY(ocupacao[[#This Row],[Data]]),"ddd")</f>
        <v>qui</v>
      </c>
      <c r="Q636" s="1">
        <f t="shared" si="9"/>
        <v>0</v>
      </c>
    </row>
    <row r="637" spans="1:17" hidden="1" x14ac:dyDescent="0.25">
      <c r="A637" s="2">
        <v>44742</v>
      </c>
      <c r="B637">
        <v>11</v>
      </c>
      <c r="C637">
        <v>22</v>
      </c>
      <c r="D637">
        <v>12</v>
      </c>
      <c r="E637">
        <v>531</v>
      </c>
      <c r="F637" s="1" t="s">
        <v>115</v>
      </c>
      <c r="G637">
        <v>0</v>
      </c>
      <c r="H637">
        <v>0</v>
      </c>
      <c r="I637">
        <v>27</v>
      </c>
      <c r="J637">
        <v>27</v>
      </c>
      <c r="K637" s="33">
        <v>0</v>
      </c>
      <c r="L637" s="1"/>
      <c r="M637" s="1"/>
      <c r="N637" s="1"/>
      <c r="O637" s="1"/>
      <c r="P637" s="1"/>
      <c r="Q637" s="1"/>
    </row>
    <row r="638" spans="1:17" x14ac:dyDescent="0.25">
      <c r="A638" s="2">
        <v>44742</v>
      </c>
      <c r="B638">
        <v>11</v>
      </c>
      <c r="C638">
        <v>22</v>
      </c>
      <c r="D638">
        <v>12</v>
      </c>
      <c r="E638">
        <v>531</v>
      </c>
      <c r="F638" s="1" t="s">
        <v>115</v>
      </c>
      <c r="G638">
        <v>0</v>
      </c>
      <c r="H638">
        <v>1</v>
      </c>
      <c r="I638">
        <v>27</v>
      </c>
      <c r="J638">
        <v>28</v>
      </c>
      <c r="K638" s="33">
        <v>3.5700000000000003E-2</v>
      </c>
      <c r="L638" s="1"/>
      <c r="M638" s="1" t="str">
        <f>_xlfn.XLOOKUP(ocupacao[[#This Row],[UnidadeID]],unidades!$A:$A,unidades!$B:$B,"",0)</f>
        <v>Filial 2 - 11º</v>
      </c>
      <c r="N638" s="1" t="str">
        <f>_xlfn.XLOOKUP(ocupacao[[#This Row],[UnidadeID]],unidades!$A:$A,unidades!$C:$C,"",0)</f>
        <v>Nova Iguaçu</v>
      </c>
      <c r="O638" s="1" t="str">
        <f>_xlfn.XLOOKUP(ocupacao[[#This Row],[EspecialidadeID]],especialidades!$A:$A,especialidades!$B:$B,"",0)</f>
        <v>NUTRICAO</v>
      </c>
      <c r="P638" s="1" t="str">
        <f>TEXT(WEEKDAY(ocupacao[[#This Row],[Data]]),"ddd")</f>
        <v>qui</v>
      </c>
      <c r="Q638" s="1">
        <f t="shared" si="9"/>
        <v>1</v>
      </c>
    </row>
    <row r="639" spans="1:17" x14ac:dyDescent="0.25">
      <c r="A639" s="2">
        <v>44742</v>
      </c>
      <c r="B639">
        <v>11</v>
      </c>
      <c r="C639">
        <v>22</v>
      </c>
      <c r="D639">
        <v>372</v>
      </c>
      <c r="E639">
        <v>531</v>
      </c>
      <c r="F639" s="1" t="s">
        <v>115</v>
      </c>
      <c r="G639">
        <v>0</v>
      </c>
      <c r="H639">
        <v>1</v>
      </c>
      <c r="I639">
        <v>27</v>
      </c>
      <c r="J639">
        <v>28</v>
      </c>
      <c r="K639" s="33">
        <v>3.5700000000000003E-2</v>
      </c>
      <c r="L639" s="1"/>
      <c r="M639" s="1" t="str">
        <f>_xlfn.XLOOKUP(ocupacao[[#This Row],[UnidadeID]],unidades!$A:$A,unidades!$B:$B,"",0)</f>
        <v>Filial 2 - 11º</v>
      </c>
      <c r="N639" s="1" t="str">
        <f>_xlfn.XLOOKUP(ocupacao[[#This Row],[UnidadeID]],unidades!$A:$A,unidades!$C:$C,"",0)</f>
        <v>Nova Iguaçu</v>
      </c>
      <c r="O639" s="1" t="str">
        <f>_xlfn.XLOOKUP(ocupacao[[#This Row],[EspecialidadeID]],especialidades!$A:$A,especialidades!$B:$B,"",0)</f>
        <v>NUTRICAO</v>
      </c>
      <c r="P639" s="1" t="str">
        <f>TEXT(WEEKDAY(ocupacao[[#This Row],[Data]]),"ddd")</f>
        <v>qui</v>
      </c>
      <c r="Q639" s="1">
        <f t="shared" si="9"/>
        <v>1</v>
      </c>
    </row>
    <row r="640" spans="1:17" hidden="1" x14ac:dyDescent="0.25">
      <c r="A640" s="2">
        <v>44743</v>
      </c>
      <c r="B640">
        <v>18</v>
      </c>
      <c r="C640">
        <v>22</v>
      </c>
      <c r="D640">
        <v>78</v>
      </c>
      <c r="E640">
        <v>531</v>
      </c>
      <c r="F640" s="1" t="s">
        <v>115</v>
      </c>
      <c r="G640">
        <v>0</v>
      </c>
      <c r="H640">
        <v>0</v>
      </c>
      <c r="I640">
        <v>13</v>
      </c>
      <c r="J640">
        <v>13</v>
      </c>
      <c r="K640" s="33">
        <v>0</v>
      </c>
      <c r="L640" s="1"/>
      <c r="M640" s="1"/>
      <c r="N640" s="1"/>
      <c r="O640" s="1"/>
      <c r="P640" s="1"/>
      <c r="Q640" s="1"/>
    </row>
    <row r="641" spans="1:17" x14ac:dyDescent="0.25">
      <c r="A641" s="2">
        <v>44743</v>
      </c>
      <c r="B641">
        <v>18</v>
      </c>
      <c r="C641">
        <v>22</v>
      </c>
      <c r="D641">
        <v>78</v>
      </c>
      <c r="E641">
        <v>531</v>
      </c>
      <c r="F641" s="1" t="s">
        <v>115</v>
      </c>
      <c r="G641">
        <v>0</v>
      </c>
      <c r="H641">
        <v>1</v>
      </c>
      <c r="I641">
        <v>13</v>
      </c>
      <c r="J641">
        <v>14</v>
      </c>
      <c r="K641" s="33">
        <v>7.1400000000000005E-2</v>
      </c>
      <c r="L641" s="1"/>
      <c r="M641" s="1" t="str">
        <f>_xlfn.XLOOKUP(ocupacao[[#This Row],[UnidadeID]],unidades!$A:$A,unidades!$B:$B,"",0)</f>
        <v>Miguel Couto</v>
      </c>
      <c r="N641" s="1" t="str">
        <f>_xlfn.XLOOKUP(ocupacao[[#This Row],[UnidadeID]],unidades!$A:$A,unidades!$C:$C,"",0)</f>
        <v>Miguel Couto</v>
      </c>
      <c r="O641" s="1" t="str">
        <f>_xlfn.XLOOKUP(ocupacao[[#This Row],[EspecialidadeID]],especialidades!$A:$A,especialidades!$B:$B,"",0)</f>
        <v>NUTRICAO</v>
      </c>
      <c r="P641" s="1" t="str">
        <f>TEXT(WEEKDAY(ocupacao[[#This Row],[Data]]),"ddd")</f>
        <v>sex</v>
      </c>
      <c r="Q641" s="1">
        <f t="shared" si="9"/>
        <v>0</v>
      </c>
    </row>
    <row r="642" spans="1:17" hidden="1" x14ac:dyDescent="0.25">
      <c r="A642" s="2"/>
      <c r="F642" s="1" t="s">
        <v>106</v>
      </c>
      <c r="K642" s="33"/>
      <c r="L642" s="1"/>
      <c r="M642" s="1"/>
      <c r="N642" s="1"/>
      <c r="O642" s="1"/>
      <c r="P642" s="1"/>
      <c r="Q642" s="1"/>
    </row>
    <row r="643" spans="1:17" x14ac:dyDescent="0.25">
      <c r="A643" s="2">
        <v>44734</v>
      </c>
      <c r="B643">
        <v>11</v>
      </c>
      <c r="C643">
        <v>23</v>
      </c>
      <c r="D643">
        <v>18</v>
      </c>
      <c r="E643">
        <v>10799</v>
      </c>
      <c r="F643" s="1" t="s">
        <v>313</v>
      </c>
      <c r="G643">
        <v>0</v>
      </c>
      <c r="H643">
        <v>22</v>
      </c>
      <c r="I643">
        <v>0</v>
      </c>
      <c r="J643">
        <v>22</v>
      </c>
      <c r="K643" s="33">
        <v>1</v>
      </c>
      <c r="L643" s="1"/>
      <c r="M643" s="1" t="str">
        <f>_xlfn.XLOOKUP(ocupacao[[#This Row],[UnidadeID]],unidades!$A:$A,unidades!$B:$B,"",0)</f>
        <v>Filial 2 - 11º</v>
      </c>
      <c r="N643" s="1" t="str">
        <f>_xlfn.XLOOKUP(ocupacao[[#This Row],[UnidadeID]],unidades!$A:$A,unidades!$C:$C,"",0)</f>
        <v>Nova Iguaçu</v>
      </c>
      <c r="O643" s="1" t="str">
        <f>_xlfn.XLOOKUP(ocupacao[[#This Row],[EspecialidadeID]],especialidades!$A:$A,especialidades!$B:$B,"",0)</f>
        <v>NEUROLOGIA</v>
      </c>
      <c r="P643" s="1" t="str">
        <f>TEXT(WEEKDAY(ocupacao[[#This Row],[Data]]),"ddd")</f>
        <v>qua</v>
      </c>
      <c r="Q643" s="1">
        <f t="shared" ref="Q643:Q704" si="10">IF(F643=F644,1,0)</f>
        <v>0</v>
      </c>
    </row>
    <row r="644" spans="1:17" x14ac:dyDescent="0.25">
      <c r="A644" s="2">
        <v>44735</v>
      </c>
      <c r="B644">
        <v>11</v>
      </c>
      <c r="C644">
        <v>23</v>
      </c>
      <c r="D644">
        <v>18</v>
      </c>
      <c r="E644">
        <v>2567</v>
      </c>
      <c r="F644" s="1" t="s">
        <v>92</v>
      </c>
      <c r="G644">
        <v>0</v>
      </c>
      <c r="H644">
        <v>25</v>
      </c>
      <c r="I644">
        <v>0</v>
      </c>
      <c r="J644">
        <v>25</v>
      </c>
      <c r="K644" s="33">
        <v>1</v>
      </c>
      <c r="L644" s="1"/>
      <c r="M644" s="1" t="str">
        <f>_xlfn.XLOOKUP(ocupacao[[#This Row],[UnidadeID]],unidades!$A:$A,unidades!$B:$B,"",0)</f>
        <v>Filial 2 - 11º</v>
      </c>
      <c r="N644" s="1" t="str">
        <f>_xlfn.XLOOKUP(ocupacao[[#This Row],[UnidadeID]],unidades!$A:$A,unidades!$C:$C,"",0)</f>
        <v>Nova Iguaçu</v>
      </c>
      <c r="O644" s="1" t="str">
        <f>_xlfn.XLOOKUP(ocupacao[[#This Row],[EspecialidadeID]],especialidades!$A:$A,especialidades!$B:$B,"",0)</f>
        <v>NEUROLOGIA</v>
      </c>
      <c r="P644" s="1" t="str">
        <f>TEXT(WEEKDAY(ocupacao[[#This Row],[Data]]),"ddd")</f>
        <v>qui</v>
      </c>
      <c r="Q644" s="1">
        <f t="shared" si="10"/>
        <v>1</v>
      </c>
    </row>
    <row r="645" spans="1:17" x14ac:dyDescent="0.25">
      <c r="A645" s="2">
        <v>44736</v>
      </c>
      <c r="B645">
        <v>11</v>
      </c>
      <c r="C645">
        <v>23</v>
      </c>
      <c r="D645">
        <v>18</v>
      </c>
      <c r="E645">
        <v>2567</v>
      </c>
      <c r="F645" s="1" t="s">
        <v>92</v>
      </c>
      <c r="G645">
        <v>8</v>
      </c>
      <c r="H645">
        <v>16</v>
      </c>
      <c r="I645">
        <v>0</v>
      </c>
      <c r="J645">
        <v>24</v>
      </c>
      <c r="K645" s="33">
        <v>1</v>
      </c>
      <c r="L645" s="1"/>
      <c r="M645" s="1" t="str">
        <f>_xlfn.XLOOKUP(ocupacao[[#This Row],[UnidadeID]],unidades!$A:$A,unidades!$B:$B,"",0)</f>
        <v>Filial 2 - 11º</v>
      </c>
      <c r="N645" s="1" t="str">
        <f>_xlfn.XLOOKUP(ocupacao[[#This Row],[UnidadeID]],unidades!$A:$A,unidades!$C:$C,"",0)</f>
        <v>Nova Iguaçu</v>
      </c>
      <c r="O645" s="1" t="str">
        <f>_xlfn.XLOOKUP(ocupacao[[#This Row],[EspecialidadeID]],especialidades!$A:$A,especialidades!$B:$B,"",0)</f>
        <v>NEUROLOGIA</v>
      </c>
      <c r="P645" s="1" t="str">
        <f>TEXT(WEEKDAY(ocupacao[[#This Row],[Data]]),"ddd")</f>
        <v>sex</v>
      </c>
      <c r="Q645" s="1">
        <f t="shared" si="10"/>
        <v>1</v>
      </c>
    </row>
    <row r="646" spans="1:17" x14ac:dyDescent="0.25">
      <c r="A646" s="2">
        <v>44736</v>
      </c>
      <c r="B646">
        <v>11</v>
      </c>
      <c r="C646">
        <v>23</v>
      </c>
      <c r="D646">
        <v>18</v>
      </c>
      <c r="E646">
        <v>2567</v>
      </c>
      <c r="F646" s="1" t="s">
        <v>92</v>
      </c>
      <c r="G646">
        <v>8</v>
      </c>
      <c r="H646">
        <v>8</v>
      </c>
      <c r="I646">
        <v>0</v>
      </c>
      <c r="J646">
        <v>16</v>
      </c>
      <c r="K646" s="33">
        <v>1</v>
      </c>
      <c r="L646" s="1"/>
      <c r="M646" s="1" t="str">
        <f>_xlfn.XLOOKUP(ocupacao[[#This Row],[UnidadeID]],unidades!$A:$A,unidades!$B:$B,"",0)</f>
        <v>Filial 2 - 11º</v>
      </c>
      <c r="N646" s="1" t="str">
        <f>_xlfn.XLOOKUP(ocupacao[[#This Row],[UnidadeID]],unidades!$A:$A,unidades!$C:$C,"",0)</f>
        <v>Nova Iguaçu</v>
      </c>
      <c r="O646" s="1" t="str">
        <f>_xlfn.XLOOKUP(ocupacao[[#This Row],[EspecialidadeID]],especialidades!$A:$A,especialidades!$B:$B,"",0)</f>
        <v>NEUROLOGIA</v>
      </c>
      <c r="P646" s="1" t="str">
        <f>TEXT(WEEKDAY(ocupacao[[#This Row],[Data]]),"ddd")</f>
        <v>sex</v>
      </c>
      <c r="Q646" s="1">
        <f t="shared" si="10"/>
        <v>0</v>
      </c>
    </row>
    <row r="647" spans="1:17" x14ac:dyDescent="0.25">
      <c r="A647" s="2">
        <v>44741</v>
      </c>
      <c r="B647">
        <v>11</v>
      </c>
      <c r="C647">
        <v>23</v>
      </c>
      <c r="D647">
        <v>18</v>
      </c>
      <c r="E647">
        <v>10799</v>
      </c>
      <c r="F647" s="1" t="s">
        <v>313</v>
      </c>
      <c r="G647">
        <v>0</v>
      </c>
      <c r="H647">
        <v>22</v>
      </c>
      <c r="I647">
        <v>0</v>
      </c>
      <c r="J647">
        <v>22</v>
      </c>
      <c r="K647" s="33">
        <v>1</v>
      </c>
      <c r="L647" s="1"/>
      <c r="M647" s="1" t="str">
        <f>_xlfn.XLOOKUP(ocupacao[[#This Row],[UnidadeID]],unidades!$A:$A,unidades!$B:$B,"",0)</f>
        <v>Filial 2 - 11º</v>
      </c>
      <c r="N647" s="1" t="str">
        <f>_xlfn.XLOOKUP(ocupacao[[#This Row],[UnidadeID]],unidades!$A:$A,unidades!$C:$C,"",0)</f>
        <v>Nova Iguaçu</v>
      </c>
      <c r="O647" s="1" t="str">
        <f>_xlfn.XLOOKUP(ocupacao[[#This Row],[EspecialidadeID]],especialidades!$A:$A,especialidades!$B:$B,"",0)</f>
        <v>NEUROLOGIA</v>
      </c>
      <c r="P647" s="1" t="str">
        <f>TEXT(WEEKDAY(ocupacao[[#This Row],[Data]]),"ddd")</f>
        <v>qua</v>
      </c>
      <c r="Q647" s="1">
        <f t="shared" si="10"/>
        <v>0</v>
      </c>
    </row>
    <row r="648" spans="1:17" x14ac:dyDescent="0.25">
      <c r="A648" s="2">
        <v>44742</v>
      </c>
      <c r="B648">
        <v>11</v>
      </c>
      <c r="C648">
        <v>23</v>
      </c>
      <c r="D648">
        <v>18</v>
      </c>
      <c r="E648">
        <v>2567</v>
      </c>
      <c r="F648" s="1" t="s">
        <v>92</v>
      </c>
      <c r="G648">
        <v>0</v>
      </c>
      <c r="H648">
        <v>24</v>
      </c>
      <c r="I648">
        <v>0</v>
      </c>
      <c r="J648">
        <v>24</v>
      </c>
      <c r="K648" s="33">
        <v>1</v>
      </c>
      <c r="L648" s="1"/>
      <c r="M648" s="1" t="str">
        <f>_xlfn.XLOOKUP(ocupacao[[#This Row],[UnidadeID]],unidades!$A:$A,unidades!$B:$B,"",0)</f>
        <v>Filial 2 - 11º</v>
      </c>
      <c r="N648" s="1" t="str">
        <f>_xlfn.XLOOKUP(ocupacao[[#This Row],[UnidadeID]],unidades!$A:$A,unidades!$C:$C,"",0)</f>
        <v>Nova Iguaçu</v>
      </c>
      <c r="O648" s="1" t="str">
        <f>_xlfn.XLOOKUP(ocupacao[[#This Row],[EspecialidadeID]],especialidades!$A:$A,especialidades!$B:$B,"",0)</f>
        <v>NEUROLOGIA</v>
      </c>
      <c r="P648" s="1" t="str">
        <f>TEXT(WEEKDAY(ocupacao[[#This Row],[Data]]),"ddd")</f>
        <v>qui</v>
      </c>
      <c r="Q648" s="1">
        <f t="shared" si="10"/>
        <v>1</v>
      </c>
    </row>
    <row r="649" spans="1:17" hidden="1" x14ac:dyDescent="0.25">
      <c r="A649" s="2">
        <v>44743</v>
      </c>
      <c r="B649">
        <v>11</v>
      </c>
      <c r="C649">
        <v>23</v>
      </c>
      <c r="D649">
        <v>18</v>
      </c>
      <c r="E649">
        <v>2567</v>
      </c>
      <c r="F649" s="1" t="s">
        <v>92</v>
      </c>
      <c r="G649">
        <v>0</v>
      </c>
      <c r="H649">
        <v>24</v>
      </c>
      <c r="I649">
        <v>0</v>
      </c>
      <c r="J649">
        <v>24</v>
      </c>
      <c r="K649" s="33">
        <v>1</v>
      </c>
      <c r="L649" s="1"/>
      <c r="M649" s="1"/>
      <c r="N649" s="1"/>
      <c r="O649" s="1"/>
      <c r="P649" s="1"/>
      <c r="Q649" s="1"/>
    </row>
    <row r="650" spans="1:17" x14ac:dyDescent="0.25">
      <c r="A650" s="2"/>
      <c r="F650" s="1" t="s">
        <v>106</v>
      </c>
      <c r="K650" s="33"/>
      <c r="L650" s="1"/>
      <c r="M650" s="1">
        <f>_xlfn.XLOOKUP(ocupacao[[#This Row],[UnidadeID]],unidades!$A:$A,unidades!$B:$B,"",0)</f>
        <v>0</v>
      </c>
      <c r="N650" s="1">
        <f>_xlfn.XLOOKUP(ocupacao[[#This Row],[UnidadeID]],unidades!$A:$A,unidades!$C:$C,"",0)</f>
        <v>0</v>
      </c>
      <c r="O650" s="1">
        <f>_xlfn.XLOOKUP(ocupacao[[#This Row],[EspecialidadeID]],especialidades!$A:$A,especialidades!$B:$B,"",0)</f>
        <v>0</v>
      </c>
      <c r="P650" s="1" t="str">
        <f>TEXT(WEEKDAY(ocupacao[[#This Row],[Data]]),"ddd")</f>
        <v>sáb</v>
      </c>
      <c r="Q650" s="1">
        <f t="shared" si="10"/>
        <v>0</v>
      </c>
    </row>
    <row r="651" spans="1:17" hidden="1" x14ac:dyDescent="0.25">
      <c r="A651" s="2">
        <v>44733</v>
      </c>
      <c r="B651">
        <v>0</v>
      </c>
      <c r="C651">
        <v>24</v>
      </c>
      <c r="D651">
        <v>339</v>
      </c>
      <c r="E651">
        <v>13479</v>
      </c>
      <c r="F651" s="1" t="s">
        <v>103</v>
      </c>
      <c r="G651">
        <v>0</v>
      </c>
      <c r="H651">
        <v>0</v>
      </c>
      <c r="I651">
        <v>132</v>
      </c>
      <c r="J651">
        <v>132</v>
      </c>
      <c r="K651" s="33">
        <v>0</v>
      </c>
      <c r="L651" s="1"/>
      <c r="M651" s="1"/>
      <c r="N651" s="1"/>
      <c r="O651" s="1"/>
      <c r="P651" s="1"/>
      <c r="Q651" s="1"/>
    </row>
    <row r="652" spans="1:17" x14ac:dyDescent="0.25">
      <c r="A652" s="2">
        <v>44734</v>
      </c>
      <c r="B652">
        <v>22</v>
      </c>
      <c r="C652">
        <v>24</v>
      </c>
      <c r="D652">
        <v>49</v>
      </c>
      <c r="E652">
        <v>1794</v>
      </c>
      <c r="F652" s="1" t="s">
        <v>86</v>
      </c>
      <c r="G652">
        <v>0</v>
      </c>
      <c r="H652">
        <v>35</v>
      </c>
      <c r="I652">
        <v>0</v>
      </c>
      <c r="J652">
        <v>35</v>
      </c>
      <c r="K652" s="33">
        <v>1</v>
      </c>
      <c r="L652" s="1"/>
      <c r="M652" s="1" t="str">
        <f>_xlfn.XLOOKUP(ocupacao[[#This Row],[UnidadeID]],unidades!$A:$A,unidades!$B:$B,"",0)</f>
        <v>Filial 1</v>
      </c>
      <c r="N652" s="1" t="str">
        <f>_xlfn.XLOOKUP(ocupacao[[#This Row],[UnidadeID]],unidades!$A:$A,unidades!$C:$C,"",0)</f>
        <v>Nova Iguaçu</v>
      </c>
      <c r="O652" s="1" t="str">
        <f>_xlfn.XLOOKUP(ocupacao[[#This Row],[EspecialidadeID]],especialidades!$A:$A,especialidades!$B:$B,"",0)</f>
        <v>UROLOGIA</v>
      </c>
      <c r="P652" s="1" t="str">
        <f>TEXT(WEEKDAY(ocupacao[[#This Row],[Data]]),"ddd")</f>
        <v>qua</v>
      </c>
      <c r="Q652" s="1">
        <f t="shared" si="10"/>
        <v>0</v>
      </c>
    </row>
    <row r="653" spans="1:17" x14ac:dyDescent="0.25">
      <c r="A653" s="2">
        <v>44734</v>
      </c>
      <c r="B653">
        <v>0</v>
      </c>
      <c r="C653">
        <v>24</v>
      </c>
      <c r="D653">
        <v>344</v>
      </c>
      <c r="E653">
        <v>6046</v>
      </c>
      <c r="F653" s="1" t="s">
        <v>142</v>
      </c>
      <c r="G653">
        <v>0</v>
      </c>
      <c r="H653">
        <v>19</v>
      </c>
      <c r="I653">
        <v>0</v>
      </c>
      <c r="J653">
        <v>19</v>
      </c>
      <c r="K653" s="33">
        <v>1</v>
      </c>
      <c r="L653" s="1"/>
      <c r="M653" s="1" t="str">
        <f>_xlfn.XLOOKUP(ocupacao[[#This Row],[UnidadeID]],unidades!$A:$A,unidades!$B:$B,"",0)</f>
        <v>Matriz</v>
      </c>
      <c r="N653" s="1" t="str">
        <f>_xlfn.XLOOKUP(ocupacao[[#This Row],[UnidadeID]],unidades!$A:$A,unidades!$C:$C,"",0)</f>
        <v>Nova Iguaçu</v>
      </c>
      <c r="O653" s="1" t="str">
        <f>_xlfn.XLOOKUP(ocupacao[[#This Row],[EspecialidadeID]],especialidades!$A:$A,especialidades!$B:$B,"",0)</f>
        <v>UROLOGIA</v>
      </c>
      <c r="P653" s="1" t="str">
        <f>TEXT(WEEKDAY(ocupacao[[#This Row],[Data]]),"ddd")</f>
        <v>qua</v>
      </c>
      <c r="Q653" s="1">
        <f t="shared" si="10"/>
        <v>1</v>
      </c>
    </row>
    <row r="654" spans="1:17" x14ac:dyDescent="0.25">
      <c r="A654" s="2">
        <v>44735</v>
      </c>
      <c r="B654">
        <v>22</v>
      </c>
      <c r="C654">
        <v>24</v>
      </c>
      <c r="D654">
        <v>46</v>
      </c>
      <c r="E654">
        <v>6046</v>
      </c>
      <c r="F654" s="1" t="s">
        <v>142</v>
      </c>
      <c r="G654">
        <v>0</v>
      </c>
      <c r="H654">
        <v>19</v>
      </c>
      <c r="I654">
        <v>0</v>
      </c>
      <c r="J654">
        <v>19</v>
      </c>
      <c r="K654" s="33">
        <v>1</v>
      </c>
      <c r="L654" s="1"/>
      <c r="M654" s="1" t="str">
        <f>_xlfn.XLOOKUP(ocupacao[[#This Row],[UnidadeID]],unidades!$A:$A,unidades!$B:$B,"",0)</f>
        <v>Filial 1</v>
      </c>
      <c r="N654" s="1" t="str">
        <f>_xlfn.XLOOKUP(ocupacao[[#This Row],[UnidadeID]],unidades!$A:$A,unidades!$C:$C,"",0)</f>
        <v>Nova Iguaçu</v>
      </c>
      <c r="O654" s="1" t="str">
        <f>_xlfn.XLOOKUP(ocupacao[[#This Row],[EspecialidadeID]],especialidades!$A:$A,especialidades!$B:$B,"",0)</f>
        <v>UROLOGIA</v>
      </c>
      <c r="P654" s="1" t="str">
        <f>TEXT(WEEKDAY(ocupacao[[#This Row],[Data]]),"ddd")</f>
        <v>qui</v>
      </c>
      <c r="Q654" s="1">
        <f t="shared" si="10"/>
        <v>0</v>
      </c>
    </row>
    <row r="655" spans="1:17" x14ac:dyDescent="0.25">
      <c r="A655" s="2">
        <v>44735</v>
      </c>
      <c r="B655">
        <v>18</v>
      </c>
      <c r="C655">
        <v>24</v>
      </c>
      <c r="D655">
        <v>83</v>
      </c>
      <c r="E655">
        <v>13479</v>
      </c>
      <c r="F655" s="1" t="s">
        <v>103</v>
      </c>
      <c r="G655">
        <v>0</v>
      </c>
      <c r="H655">
        <v>10</v>
      </c>
      <c r="I655">
        <v>0</v>
      </c>
      <c r="J655">
        <v>10</v>
      </c>
      <c r="K655" s="33">
        <v>1</v>
      </c>
      <c r="L655" s="1"/>
      <c r="M655" s="1" t="str">
        <f>_xlfn.XLOOKUP(ocupacao[[#This Row],[UnidadeID]],unidades!$A:$A,unidades!$B:$B,"",0)</f>
        <v>Miguel Couto</v>
      </c>
      <c r="N655" s="1" t="str">
        <f>_xlfn.XLOOKUP(ocupacao[[#This Row],[UnidadeID]],unidades!$A:$A,unidades!$C:$C,"",0)</f>
        <v>Miguel Couto</v>
      </c>
      <c r="O655" s="1" t="str">
        <f>_xlfn.XLOOKUP(ocupacao[[#This Row],[EspecialidadeID]],especialidades!$A:$A,especialidades!$B:$B,"",0)</f>
        <v>UROLOGIA</v>
      </c>
      <c r="P655" s="1" t="str">
        <f>TEXT(WEEKDAY(ocupacao[[#This Row],[Data]]),"ddd")</f>
        <v>qui</v>
      </c>
      <c r="Q655" s="1">
        <f t="shared" si="10"/>
        <v>1</v>
      </c>
    </row>
    <row r="656" spans="1:17" x14ac:dyDescent="0.25">
      <c r="A656" s="2">
        <v>44735</v>
      </c>
      <c r="B656">
        <v>18</v>
      </c>
      <c r="C656">
        <v>24</v>
      </c>
      <c r="D656">
        <v>339</v>
      </c>
      <c r="E656">
        <v>13479</v>
      </c>
      <c r="F656" s="1" t="s">
        <v>103</v>
      </c>
      <c r="G656">
        <v>0</v>
      </c>
      <c r="H656">
        <v>14</v>
      </c>
      <c r="I656">
        <v>0</v>
      </c>
      <c r="J656">
        <v>14</v>
      </c>
      <c r="K656" s="33">
        <v>1</v>
      </c>
      <c r="L656" s="1"/>
      <c r="M656" s="1" t="str">
        <f>_xlfn.XLOOKUP(ocupacao[[#This Row],[UnidadeID]],unidades!$A:$A,unidades!$B:$B,"",0)</f>
        <v>Miguel Couto</v>
      </c>
      <c r="N656" s="1" t="str">
        <f>_xlfn.XLOOKUP(ocupacao[[#This Row],[UnidadeID]],unidades!$A:$A,unidades!$C:$C,"",0)</f>
        <v>Miguel Couto</v>
      </c>
      <c r="O656" s="1" t="str">
        <f>_xlfn.XLOOKUP(ocupacao[[#This Row],[EspecialidadeID]],especialidades!$A:$A,especialidades!$B:$B,"",0)</f>
        <v>UROLOGIA</v>
      </c>
      <c r="P656" s="1" t="str">
        <f>TEXT(WEEKDAY(ocupacao[[#This Row],[Data]]),"ddd")</f>
        <v>qui</v>
      </c>
      <c r="Q656" s="1">
        <f t="shared" si="10"/>
        <v>1</v>
      </c>
    </row>
    <row r="657" spans="1:17" hidden="1" x14ac:dyDescent="0.25">
      <c r="A657" s="2">
        <v>44735</v>
      </c>
      <c r="B657">
        <v>18</v>
      </c>
      <c r="C657">
        <v>24</v>
      </c>
      <c r="D657">
        <v>83</v>
      </c>
      <c r="E657">
        <v>13479</v>
      </c>
      <c r="F657" s="1" t="s">
        <v>103</v>
      </c>
      <c r="G657">
        <v>0</v>
      </c>
      <c r="H657">
        <v>2</v>
      </c>
      <c r="I657">
        <v>0</v>
      </c>
      <c r="J657">
        <v>2</v>
      </c>
      <c r="K657" s="33">
        <v>1</v>
      </c>
      <c r="L657" s="1"/>
      <c r="M657" s="1"/>
      <c r="N657" s="1"/>
      <c r="O657" s="1"/>
      <c r="P657" s="1"/>
      <c r="Q657" s="1"/>
    </row>
    <row r="658" spans="1:17" x14ac:dyDescent="0.25">
      <c r="A658" s="2">
        <v>44737</v>
      </c>
      <c r="B658">
        <v>22</v>
      </c>
      <c r="C658">
        <v>24</v>
      </c>
      <c r="D658">
        <v>46</v>
      </c>
      <c r="E658">
        <v>6046</v>
      </c>
      <c r="F658" s="1" t="s">
        <v>142</v>
      </c>
      <c r="G658">
        <v>0</v>
      </c>
      <c r="H658">
        <v>15</v>
      </c>
      <c r="I658">
        <v>0</v>
      </c>
      <c r="J658">
        <v>15</v>
      </c>
      <c r="K658" s="33">
        <v>1</v>
      </c>
      <c r="L658" s="1"/>
      <c r="M658" s="1" t="str">
        <f>_xlfn.XLOOKUP(ocupacao[[#This Row],[UnidadeID]],unidades!$A:$A,unidades!$B:$B,"",0)</f>
        <v>Filial 1</v>
      </c>
      <c r="N658" s="1" t="str">
        <f>_xlfn.XLOOKUP(ocupacao[[#This Row],[UnidadeID]],unidades!$A:$A,unidades!$C:$C,"",0)</f>
        <v>Nova Iguaçu</v>
      </c>
      <c r="O658" s="1" t="str">
        <f>_xlfn.XLOOKUP(ocupacao[[#This Row],[EspecialidadeID]],especialidades!$A:$A,especialidades!$B:$B,"",0)</f>
        <v>UROLOGIA</v>
      </c>
      <c r="P658" s="1" t="str">
        <f>TEXT(WEEKDAY(ocupacao[[#This Row],[Data]]),"ddd")</f>
        <v>sáb</v>
      </c>
      <c r="Q658" s="1">
        <f t="shared" si="10"/>
        <v>0</v>
      </c>
    </row>
    <row r="659" spans="1:17" hidden="1" x14ac:dyDescent="0.25">
      <c r="A659" s="2"/>
      <c r="F659" s="1"/>
      <c r="K659" s="33"/>
      <c r="L659" s="1"/>
      <c r="M659" s="1"/>
      <c r="N659" s="1"/>
      <c r="O659" s="1"/>
      <c r="P659" s="1"/>
      <c r="Q659" s="1"/>
    </row>
    <row r="660" spans="1:17" x14ac:dyDescent="0.25">
      <c r="A660" s="2">
        <v>44739</v>
      </c>
      <c r="B660">
        <v>22</v>
      </c>
      <c r="C660">
        <v>24</v>
      </c>
      <c r="D660">
        <v>62</v>
      </c>
      <c r="E660">
        <v>6046</v>
      </c>
      <c r="F660" s="1" t="s">
        <v>142</v>
      </c>
      <c r="G660">
        <v>0</v>
      </c>
      <c r="H660">
        <v>18</v>
      </c>
      <c r="I660">
        <v>4</v>
      </c>
      <c r="J660">
        <v>22</v>
      </c>
      <c r="K660" s="33">
        <v>0.81820000000000004</v>
      </c>
      <c r="L660" s="1"/>
      <c r="M660" s="1" t="str">
        <f>_xlfn.XLOOKUP(ocupacao[[#This Row],[UnidadeID]],unidades!$A:$A,unidades!$B:$B,"",0)</f>
        <v>Filial 1</v>
      </c>
      <c r="N660" s="1" t="str">
        <f>_xlfn.XLOOKUP(ocupacao[[#This Row],[UnidadeID]],unidades!$A:$A,unidades!$C:$C,"",0)</f>
        <v>Nova Iguaçu</v>
      </c>
      <c r="O660" s="1" t="str">
        <f>_xlfn.XLOOKUP(ocupacao[[#This Row],[EspecialidadeID]],especialidades!$A:$A,especialidades!$B:$B,"",0)</f>
        <v>UROLOGIA</v>
      </c>
      <c r="P660" s="1" t="str">
        <f>TEXT(WEEKDAY(ocupacao[[#This Row],[Data]]),"ddd")</f>
        <v>seg</v>
      </c>
      <c r="Q660" s="1">
        <f t="shared" si="10"/>
        <v>1</v>
      </c>
    </row>
    <row r="661" spans="1:17" x14ac:dyDescent="0.25">
      <c r="A661" s="2">
        <v>44739</v>
      </c>
      <c r="B661">
        <v>22</v>
      </c>
      <c r="C661">
        <v>24</v>
      </c>
      <c r="D661">
        <v>46</v>
      </c>
      <c r="E661">
        <v>6046</v>
      </c>
      <c r="F661" s="1" t="s">
        <v>142</v>
      </c>
      <c r="G661">
        <v>0</v>
      </c>
      <c r="H661">
        <v>18</v>
      </c>
      <c r="I661">
        <v>4</v>
      </c>
      <c r="J661">
        <v>22</v>
      </c>
      <c r="K661" s="33">
        <v>0.81820000000000004</v>
      </c>
      <c r="L661" s="1"/>
      <c r="M661" s="1" t="str">
        <f>_xlfn.XLOOKUP(ocupacao[[#This Row],[UnidadeID]],unidades!$A:$A,unidades!$B:$B,"",0)</f>
        <v>Filial 1</v>
      </c>
      <c r="N661" s="1" t="str">
        <f>_xlfn.XLOOKUP(ocupacao[[#This Row],[UnidadeID]],unidades!$A:$A,unidades!$C:$C,"",0)</f>
        <v>Nova Iguaçu</v>
      </c>
      <c r="O661" s="1" t="str">
        <f>_xlfn.XLOOKUP(ocupacao[[#This Row],[EspecialidadeID]],especialidades!$A:$A,especialidades!$B:$B,"",0)</f>
        <v>UROLOGIA</v>
      </c>
      <c r="P661" s="1" t="str">
        <f>TEXT(WEEKDAY(ocupacao[[#This Row],[Data]]),"ddd")</f>
        <v>seg</v>
      </c>
      <c r="Q661" s="1">
        <f t="shared" si="10"/>
        <v>1</v>
      </c>
    </row>
    <row r="662" spans="1:17" x14ac:dyDescent="0.25">
      <c r="A662" s="2">
        <v>44739</v>
      </c>
      <c r="B662">
        <v>22</v>
      </c>
      <c r="C662">
        <v>24</v>
      </c>
      <c r="D662">
        <v>46</v>
      </c>
      <c r="E662">
        <v>6046</v>
      </c>
      <c r="F662" s="1" t="s">
        <v>142</v>
      </c>
      <c r="G662">
        <v>0</v>
      </c>
      <c r="H662">
        <v>2</v>
      </c>
      <c r="I662">
        <v>4</v>
      </c>
      <c r="J662">
        <v>6</v>
      </c>
      <c r="K662" s="33">
        <v>0.33329999999999999</v>
      </c>
      <c r="L662" s="1"/>
      <c r="M662" s="1" t="str">
        <f>_xlfn.XLOOKUP(ocupacao[[#This Row],[UnidadeID]],unidades!$A:$A,unidades!$B:$B,"",0)</f>
        <v>Filial 1</v>
      </c>
      <c r="N662" s="1" t="str">
        <f>_xlfn.XLOOKUP(ocupacao[[#This Row],[UnidadeID]],unidades!$A:$A,unidades!$C:$C,"",0)</f>
        <v>Nova Iguaçu</v>
      </c>
      <c r="O662" s="1" t="str">
        <f>_xlfn.XLOOKUP(ocupacao[[#This Row],[EspecialidadeID]],especialidades!$A:$A,especialidades!$B:$B,"",0)</f>
        <v>UROLOGIA</v>
      </c>
      <c r="P662" s="1" t="str">
        <f>TEXT(WEEKDAY(ocupacao[[#This Row],[Data]]),"ddd")</f>
        <v>seg</v>
      </c>
      <c r="Q662" s="1">
        <f t="shared" si="10"/>
        <v>0</v>
      </c>
    </row>
    <row r="663" spans="1:17" x14ac:dyDescent="0.25">
      <c r="A663" s="2">
        <v>44741</v>
      </c>
      <c r="B663">
        <v>22</v>
      </c>
      <c r="C663">
        <v>24</v>
      </c>
      <c r="D663">
        <v>49</v>
      </c>
      <c r="E663">
        <v>1794</v>
      </c>
      <c r="F663" s="1" t="s">
        <v>86</v>
      </c>
      <c r="G663">
        <v>0</v>
      </c>
      <c r="H663">
        <v>35</v>
      </c>
      <c r="I663">
        <v>0</v>
      </c>
      <c r="J663">
        <v>35</v>
      </c>
      <c r="K663" s="33">
        <v>1</v>
      </c>
      <c r="L663" s="1"/>
      <c r="M663" s="1" t="str">
        <f>_xlfn.XLOOKUP(ocupacao[[#This Row],[UnidadeID]],unidades!$A:$A,unidades!$B:$B,"",0)</f>
        <v>Filial 1</v>
      </c>
      <c r="N663" s="1" t="str">
        <f>_xlfn.XLOOKUP(ocupacao[[#This Row],[UnidadeID]],unidades!$A:$A,unidades!$C:$C,"",0)</f>
        <v>Nova Iguaçu</v>
      </c>
      <c r="O663" s="1" t="str">
        <f>_xlfn.XLOOKUP(ocupacao[[#This Row],[EspecialidadeID]],especialidades!$A:$A,especialidades!$B:$B,"",0)</f>
        <v>UROLOGIA</v>
      </c>
      <c r="P663" s="1" t="str">
        <f>TEXT(WEEKDAY(ocupacao[[#This Row],[Data]]),"ddd")</f>
        <v>qua</v>
      </c>
      <c r="Q663" s="1">
        <f t="shared" si="10"/>
        <v>0</v>
      </c>
    </row>
    <row r="664" spans="1:17" x14ac:dyDescent="0.25">
      <c r="A664" s="2">
        <v>44742</v>
      </c>
      <c r="B664">
        <v>22</v>
      </c>
      <c r="C664">
        <v>24</v>
      </c>
      <c r="D664">
        <v>46</v>
      </c>
      <c r="E664">
        <v>6046</v>
      </c>
      <c r="F664" s="1" t="s">
        <v>142</v>
      </c>
      <c r="G664">
        <v>0</v>
      </c>
      <c r="H664">
        <v>18</v>
      </c>
      <c r="I664">
        <v>0</v>
      </c>
      <c r="J664">
        <v>18</v>
      </c>
      <c r="K664" s="33">
        <v>1</v>
      </c>
      <c r="L664" s="1"/>
      <c r="M664" s="1" t="str">
        <f>_xlfn.XLOOKUP(ocupacao[[#This Row],[UnidadeID]],unidades!$A:$A,unidades!$B:$B,"",0)</f>
        <v>Filial 1</v>
      </c>
      <c r="N664" s="1" t="str">
        <f>_xlfn.XLOOKUP(ocupacao[[#This Row],[UnidadeID]],unidades!$A:$A,unidades!$C:$C,"",0)</f>
        <v>Nova Iguaçu</v>
      </c>
      <c r="O664" s="1" t="str">
        <f>_xlfn.XLOOKUP(ocupacao[[#This Row],[EspecialidadeID]],especialidades!$A:$A,especialidades!$B:$B,"",0)</f>
        <v>UROLOGIA</v>
      </c>
      <c r="P664" s="1" t="str">
        <f>TEXT(WEEKDAY(ocupacao[[#This Row],[Data]]),"ddd")</f>
        <v>qui</v>
      </c>
      <c r="Q664" s="1">
        <f t="shared" si="10"/>
        <v>0</v>
      </c>
    </row>
    <row r="665" spans="1:17" x14ac:dyDescent="0.25">
      <c r="A665" s="2">
        <v>44742</v>
      </c>
      <c r="B665">
        <v>18</v>
      </c>
      <c r="C665">
        <v>24</v>
      </c>
      <c r="D665">
        <v>339</v>
      </c>
      <c r="E665">
        <v>13479</v>
      </c>
      <c r="F665" s="1" t="s">
        <v>103</v>
      </c>
      <c r="G665">
        <v>0</v>
      </c>
      <c r="H665">
        <v>14</v>
      </c>
      <c r="I665">
        <v>0</v>
      </c>
      <c r="J665">
        <v>14</v>
      </c>
      <c r="K665" s="33">
        <v>1</v>
      </c>
      <c r="L665" s="1"/>
      <c r="M665" s="1" t="str">
        <f>_xlfn.XLOOKUP(ocupacao[[#This Row],[UnidadeID]],unidades!$A:$A,unidades!$B:$B,"",0)</f>
        <v>Miguel Couto</v>
      </c>
      <c r="N665" s="1" t="str">
        <f>_xlfn.XLOOKUP(ocupacao[[#This Row],[UnidadeID]],unidades!$A:$A,unidades!$C:$C,"",0)</f>
        <v>Miguel Couto</v>
      </c>
      <c r="O665" s="1" t="str">
        <f>_xlfn.XLOOKUP(ocupacao[[#This Row],[EspecialidadeID]],especialidades!$A:$A,especialidades!$B:$B,"",0)</f>
        <v>UROLOGIA</v>
      </c>
      <c r="P665" s="1" t="str">
        <f>TEXT(WEEKDAY(ocupacao[[#This Row],[Data]]),"ddd")</f>
        <v>qui</v>
      </c>
      <c r="Q665" s="1">
        <f t="shared" si="10"/>
        <v>0</v>
      </c>
    </row>
    <row r="666" spans="1:17" x14ac:dyDescent="0.25">
      <c r="A666" s="2"/>
      <c r="F666" s="1" t="s">
        <v>106</v>
      </c>
      <c r="K666" s="33"/>
      <c r="L666" s="1"/>
      <c r="M666" s="1">
        <f>_xlfn.XLOOKUP(ocupacao[[#This Row],[UnidadeID]],unidades!$A:$A,unidades!$B:$B,"",0)</f>
        <v>0</v>
      </c>
      <c r="N666" s="1">
        <f>_xlfn.XLOOKUP(ocupacao[[#This Row],[UnidadeID]],unidades!$A:$A,unidades!$C:$C,"",0)</f>
        <v>0</v>
      </c>
      <c r="O666" s="1">
        <f>_xlfn.XLOOKUP(ocupacao[[#This Row],[EspecialidadeID]],especialidades!$A:$A,especialidades!$B:$B,"",0)</f>
        <v>0</v>
      </c>
      <c r="P666" s="1" t="str">
        <f>TEXT(WEEKDAY(ocupacao[[#This Row],[Data]]),"ddd")</f>
        <v>sáb</v>
      </c>
      <c r="Q666" s="1">
        <f t="shared" si="10"/>
        <v>0</v>
      </c>
    </row>
    <row r="667" spans="1:17" hidden="1" x14ac:dyDescent="0.25">
      <c r="A667" s="2">
        <v>44733</v>
      </c>
      <c r="B667">
        <v>0</v>
      </c>
      <c r="C667">
        <v>25</v>
      </c>
      <c r="D667">
        <v>345</v>
      </c>
      <c r="E667">
        <v>8239</v>
      </c>
      <c r="F667" s="1" t="s">
        <v>147</v>
      </c>
      <c r="G667">
        <v>0</v>
      </c>
      <c r="H667">
        <v>0</v>
      </c>
      <c r="I667">
        <v>10</v>
      </c>
      <c r="J667">
        <v>10</v>
      </c>
      <c r="K667" s="33">
        <v>0</v>
      </c>
      <c r="L667" s="1"/>
      <c r="M667" s="1"/>
      <c r="N667" s="1"/>
      <c r="O667" s="1"/>
      <c r="P667" s="1"/>
      <c r="Q667" s="1"/>
    </row>
    <row r="668" spans="1:17" x14ac:dyDescent="0.25">
      <c r="A668" s="2">
        <v>44733</v>
      </c>
      <c r="B668">
        <v>0</v>
      </c>
      <c r="C668">
        <v>25</v>
      </c>
      <c r="D668">
        <v>14</v>
      </c>
      <c r="E668">
        <v>8239</v>
      </c>
      <c r="F668" s="1" t="s">
        <v>147</v>
      </c>
      <c r="G668">
        <v>0</v>
      </c>
      <c r="H668">
        <v>15</v>
      </c>
      <c r="I668">
        <v>10</v>
      </c>
      <c r="J668">
        <v>25</v>
      </c>
      <c r="K668" s="33">
        <v>0.6</v>
      </c>
      <c r="L668" s="1"/>
      <c r="M668" s="1" t="str">
        <f>_xlfn.XLOOKUP(ocupacao[[#This Row],[UnidadeID]],unidades!$A:$A,unidades!$B:$B,"",0)</f>
        <v>Matriz</v>
      </c>
      <c r="N668" s="1" t="str">
        <f>_xlfn.XLOOKUP(ocupacao[[#This Row],[UnidadeID]],unidades!$A:$A,unidades!$C:$C,"",0)</f>
        <v>Nova Iguaçu</v>
      </c>
      <c r="O668" s="1" t="str">
        <f>_xlfn.XLOOKUP(ocupacao[[#This Row],[EspecialidadeID]],especialidades!$A:$A,especialidades!$B:$B,"",0)</f>
        <v>PROCTOLOGIA</v>
      </c>
      <c r="P668" s="1" t="str">
        <f>TEXT(WEEKDAY(ocupacao[[#This Row],[Data]]),"ddd")</f>
        <v>ter</v>
      </c>
      <c r="Q668" s="1">
        <f t="shared" si="10"/>
        <v>0</v>
      </c>
    </row>
    <row r="669" spans="1:17" hidden="1" x14ac:dyDescent="0.25">
      <c r="A669" s="2"/>
      <c r="F669" s="1"/>
      <c r="K669" s="33"/>
      <c r="L669" s="1"/>
      <c r="M669" s="1"/>
      <c r="N669" s="1"/>
      <c r="O669" s="1"/>
      <c r="P669" s="1"/>
      <c r="Q669" s="1"/>
    </row>
    <row r="670" spans="1:17" x14ac:dyDescent="0.25">
      <c r="A670" s="2">
        <v>44733</v>
      </c>
      <c r="B670">
        <v>0</v>
      </c>
      <c r="C670">
        <v>25</v>
      </c>
      <c r="D670">
        <v>344</v>
      </c>
      <c r="E670">
        <v>9138</v>
      </c>
      <c r="F670" s="1" t="s">
        <v>319</v>
      </c>
      <c r="G670">
        <v>0</v>
      </c>
      <c r="H670">
        <v>9</v>
      </c>
      <c r="I670">
        <v>7</v>
      </c>
      <c r="J670">
        <v>16</v>
      </c>
      <c r="K670" s="33">
        <v>0.5625</v>
      </c>
      <c r="L670" s="1"/>
      <c r="M670" s="1" t="str">
        <f>_xlfn.XLOOKUP(ocupacao[[#This Row],[UnidadeID]],unidades!$A:$A,unidades!$B:$B,"",0)</f>
        <v>Matriz</v>
      </c>
      <c r="N670" s="1" t="str">
        <f>_xlfn.XLOOKUP(ocupacao[[#This Row],[UnidadeID]],unidades!$A:$A,unidades!$C:$C,"",0)</f>
        <v>Nova Iguaçu</v>
      </c>
      <c r="O670" s="1" t="str">
        <f>_xlfn.XLOOKUP(ocupacao[[#This Row],[EspecialidadeID]],especialidades!$A:$A,especialidades!$B:$B,"",0)</f>
        <v>PROCTOLOGIA</v>
      </c>
      <c r="P670" s="1" t="str">
        <f>TEXT(WEEKDAY(ocupacao[[#This Row],[Data]]),"ddd")</f>
        <v>ter</v>
      </c>
      <c r="Q670" s="1">
        <f t="shared" si="10"/>
        <v>0</v>
      </c>
    </row>
    <row r="671" spans="1:17" x14ac:dyDescent="0.25">
      <c r="A671" s="2">
        <v>44733</v>
      </c>
      <c r="B671">
        <v>34</v>
      </c>
      <c r="C671">
        <v>25</v>
      </c>
      <c r="D671">
        <v>372</v>
      </c>
      <c r="E671">
        <v>14371</v>
      </c>
      <c r="F671" s="1" t="s">
        <v>144</v>
      </c>
      <c r="G671">
        <v>0</v>
      </c>
      <c r="H671">
        <v>0</v>
      </c>
      <c r="I671">
        <v>23</v>
      </c>
      <c r="J671">
        <v>23</v>
      </c>
      <c r="K671" s="33">
        <v>0</v>
      </c>
      <c r="L671" s="1"/>
      <c r="M671" s="1" t="str">
        <f>_xlfn.XLOOKUP(ocupacao[[#This Row],[UnidadeID]],unidades!$A:$A,unidades!$B:$B,"",0)</f>
        <v>São João</v>
      </c>
      <c r="N671" s="1" t="str">
        <f>_xlfn.XLOOKUP(ocupacao[[#This Row],[UnidadeID]],unidades!$A:$A,unidades!$C:$C,"",0)</f>
        <v>São João de Meriti</v>
      </c>
      <c r="O671" s="1" t="str">
        <f>_xlfn.XLOOKUP(ocupacao[[#This Row],[EspecialidadeID]],especialidades!$A:$A,especialidades!$B:$B,"",0)</f>
        <v>PROCTOLOGIA</v>
      </c>
      <c r="P671" s="1" t="str">
        <f>TEXT(WEEKDAY(ocupacao[[#This Row],[Data]]),"ddd")</f>
        <v>ter</v>
      </c>
      <c r="Q671" s="1">
        <f t="shared" si="10"/>
        <v>0</v>
      </c>
    </row>
    <row r="672" spans="1:17" hidden="1" x14ac:dyDescent="0.25">
      <c r="A672" s="2"/>
      <c r="F672" s="1"/>
      <c r="K672" s="33"/>
      <c r="L672" s="1"/>
      <c r="M672" s="1"/>
      <c r="N672" s="1"/>
      <c r="O672" s="1"/>
      <c r="P672" s="1"/>
      <c r="Q672" s="1"/>
    </row>
    <row r="673" spans="1:17" x14ac:dyDescent="0.25">
      <c r="A673" s="2">
        <v>44740</v>
      </c>
      <c r="B673">
        <v>0</v>
      </c>
      <c r="C673">
        <v>25</v>
      </c>
      <c r="D673">
        <v>14</v>
      </c>
      <c r="E673">
        <v>8239</v>
      </c>
      <c r="F673" s="1" t="s">
        <v>147</v>
      </c>
      <c r="G673">
        <v>0</v>
      </c>
      <c r="H673">
        <v>5</v>
      </c>
      <c r="I673">
        <v>20</v>
      </c>
      <c r="J673">
        <v>25</v>
      </c>
      <c r="K673" s="33">
        <v>0.2</v>
      </c>
      <c r="L673" s="1"/>
      <c r="M673" s="1" t="str">
        <f>_xlfn.XLOOKUP(ocupacao[[#This Row],[UnidadeID]],unidades!$A:$A,unidades!$B:$B,"",0)</f>
        <v>Matriz</v>
      </c>
      <c r="N673" s="1" t="str">
        <f>_xlfn.XLOOKUP(ocupacao[[#This Row],[UnidadeID]],unidades!$A:$A,unidades!$C:$C,"",0)</f>
        <v>Nova Iguaçu</v>
      </c>
      <c r="O673" s="1" t="str">
        <f>_xlfn.XLOOKUP(ocupacao[[#This Row],[EspecialidadeID]],especialidades!$A:$A,especialidades!$B:$B,"",0)</f>
        <v>PROCTOLOGIA</v>
      </c>
      <c r="P673" s="1" t="str">
        <f>TEXT(WEEKDAY(ocupacao[[#This Row],[Data]]),"ddd")</f>
        <v>ter</v>
      </c>
      <c r="Q673" s="1">
        <f t="shared" si="10"/>
        <v>0</v>
      </c>
    </row>
    <row r="674" spans="1:17" x14ac:dyDescent="0.25">
      <c r="A674" s="2">
        <v>44740</v>
      </c>
      <c r="B674">
        <v>24</v>
      </c>
      <c r="C674">
        <v>25</v>
      </c>
      <c r="D674">
        <v>60</v>
      </c>
      <c r="E674">
        <v>14371</v>
      </c>
      <c r="F674" s="1" t="s">
        <v>144</v>
      </c>
      <c r="G674">
        <v>0</v>
      </c>
      <c r="H674">
        <v>0</v>
      </c>
      <c r="I674">
        <v>23</v>
      </c>
      <c r="J674">
        <v>23</v>
      </c>
      <c r="K674" s="33">
        <v>0</v>
      </c>
      <c r="L674" s="1"/>
      <c r="M674" s="1" t="str">
        <f>_xlfn.XLOOKUP(ocupacao[[#This Row],[UnidadeID]],unidades!$A:$A,unidades!$B:$B,"",0)</f>
        <v>Nilópolis</v>
      </c>
      <c r="N674" s="1" t="str">
        <f>_xlfn.XLOOKUP(ocupacao[[#This Row],[UnidadeID]],unidades!$A:$A,unidades!$C:$C,"",0)</f>
        <v>Nilópolis</v>
      </c>
      <c r="O674" s="1" t="str">
        <f>_xlfn.XLOOKUP(ocupacao[[#This Row],[EspecialidadeID]],especialidades!$A:$A,especialidades!$B:$B,"",0)</f>
        <v>PROCTOLOGIA</v>
      </c>
      <c r="P674" s="1" t="str">
        <f>TEXT(WEEKDAY(ocupacao[[#This Row],[Data]]),"ddd")</f>
        <v>ter</v>
      </c>
      <c r="Q674" s="1">
        <f t="shared" si="10"/>
        <v>0</v>
      </c>
    </row>
    <row r="675" spans="1:17" x14ac:dyDescent="0.25">
      <c r="A675" s="2">
        <v>44743</v>
      </c>
      <c r="B675">
        <v>11</v>
      </c>
      <c r="C675">
        <v>25</v>
      </c>
      <c r="D675">
        <v>14</v>
      </c>
      <c r="E675">
        <v>9138</v>
      </c>
      <c r="F675" s="1" t="s">
        <v>319</v>
      </c>
      <c r="G675">
        <v>0</v>
      </c>
      <c r="H675">
        <v>0</v>
      </c>
      <c r="I675">
        <v>13</v>
      </c>
      <c r="J675">
        <v>13</v>
      </c>
      <c r="K675" s="33">
        <v>0</v>
      </c>
      <c r="L675" s="1"/>
      <c r="M675" s="1" t="str">
        <f>_xlfn.XLOOKUP(ocupacao[[#This Row],[UnidadeID]],unidades!$A:$A,unidades!$B:$B,"",0)</f>
        <v>Filial 2 - 11º</v>
      </c>
      <c r="N675" s="1" t="str">
        <f>_xlfn.XLOOKUP(ocupacao[[#This Row],[UnidadeID]],unidades!$A:$A,unidades!$C:$C,"",0)</f>
        <v>Nova Iguaçu</v>
      </c>
      <c r="O675" s="1" t="str">
        <f>_xlfn.XLOOKUP(ocupacao[[#This Row],[EspecialidadeID]],especialidades!$A:$A,especialidades!$B:$B,"",0)</f>
        <v>PROCTOLOGIA</v>
      </c>
      <c r="P675" s="1" t="str">
        <f>TEXT(WEEKDAY(ocupacao[[#This Row],[Data]]),"ddd")</f>
        <v>sex</v>
      </c>
      <c r="Q675" s="1">
        <f t="shared" si="10"/>
        <v>0</v>
      </c>
    </row>
    <row r="676" spans="1:17" x14ac:dyDescent="0.25">
      <c r="A676" s="2"/>
      <c r="F676" s="1" t="s">
        <v>106</v>
      </c>
      <c r="K676" s="33"/>
      <c r="L676" s="1"/>
      <c r="M676" s="1">
        <f>_xlfn.XLOOKUP(ocupacao[[#This Row],[UnidadeID]],unidades!$A:$A,unidades!$B:$B,"",0)</f>
        <v>0</v>
      </c>
      <c r="N676" s="1">
        <f>_xlfn.XLOOKUP(ocupacao[[#This Row],[UnidadeID]],unidades!$A:$A,unidades!$C:$C,"",0)</f>
        <v>0</v>
      </c>
      <c r="O676" s="1">
        <f>_xlfn.XLOOKUP(ocupacao[[#This Row],[EspecialidadeID]],especialidades!$A:$A,especialidades!$B:$B,"",0)</f>
        <v>0</v>
      </c>
      <c r="P676" s="1" t="str">
        <f>TEXT(WEEKDAY(ocupacao[[#This Row],[Data]]),"ddd")</f>
        <v>sáb</v>
      </c>
      <c r="Q676" s="1">
        <f t="shared" si="10"/>
        <v>0</v>
      </c>
    </row>
    <row r="677" spans="1:17" hidden="1" x14ac:dyDescent="0.25">
      <c r="A677" s="2"/>
      <c r="F677" s="1"/>
      <c r="K677" s="33"/>
      <c r="L677" s="1"/>
      <c r="M677" s="1"/>
      <c r="N677" s="1"/>
      <c r="O677" s="1"/>
      <c r="P677" s="1"/>
      <c r="Q677" s="1"/>
    </row>
    <row r="678" spans="1:17" hidden="1" x14ac:dyDescent="0.25">
      <c r="A678" s="2">
        <v>44733</v>
      </c>
      <c r="B678">
        <v>22</v>
      </c>
      <c r="C678">
        <v>26</v>
      </c>
      <c r="D678">
        <v>48</v>
      </c>
      <c r="E678">
        <v>282</v>
      </c>
      <c r="F678" s="1" t="s">
        <v>320</v>
      </c>
      <c r="G678">
        <v>0</v>
      </c>
      <c r="H678">
        <v>61</v>
      </c>
      <c r="I678">
        <v>4</v>
      </c>
      <c r="J678">
        <v>65</v>
      </c>
      <c r="K678" s="33">
        <v>0.9385</v>
      </c>
      <c r="L678" s="1"/>
      <c r="M678" s="1"/>
      <c r="N678" s="1"/>
      <c r="O678" s="1"/>
      <c r="P678" s="1"/>
      <c r="Q678" s="1"/>
    </row>
    <row r="679" spans="1:17" hidden="1" x14ac:dyDescent="0.25">
      <c r="A679" s="2"/>
      <c r="F679" s="1"/>
      <c r="K679" s="33"/>
      <c r="L679" s="1"/>
      <c r="M679" s="1"/>
      <c r="N679" s="1"/>
      <c r="O679" s="1"/>
      <c r="P679" s="1"/>
      <c r="Q679" s="1"/>
    </row>
    <row r="680" spans="1:17" x14ac:dyDescent="0.25">
      <c r="A680" s="2">
        <v>44734</v>
      </c>
      <c r="B680">
        <v>22</v>
      </c>
      <c r="C680">
        <v>26</v>
      </c>
      <c r="D680">
        <v>46</v>
      </c>
      <c r="E680">
        <v>282</v>
      </c>
      <c r="F680" s="1" t="s">
        <v>320</v>
      </c>
      <c r="G680">
        <v>0</v>
      </c>
      <c r="H680">
        <v>21</v>
      </c>
      <c r="I680">
        <v>44</v>
      </c>
      <c r="J680">
        <v>65</v>
      </c>
      <c r="K680" s="33">
        <v>0.3231</v>
      </c>
      <c r="L680" s="1"/>
      <c r="M680" s="1" t="str">
        <f>_xlfn.XLOOKUP(ocupacao[[#This Row],[UnidadeID]],unidades!$A:$A,unidades!$B:$B,"",0)</f>
        <v>Filial 1</v>
      </c>
      <c r="N680" s="1" t="str">
        <f>_xlfn.XLOOKUP(ocupacao[[#This Row],[UnidadeID]],unidades!$A:$A,unidades!$C:$C,"",0)</f>
        <v>Nova Iguaçu</v>
      </c>
      <c r="O680" s="1" t="str">
        <f>_xlfn.XLOOKUP(ocupacao[[#This Row],[EspecialidadeID]],especialidades!$A:$A,especialidades!$B:$B,"",0)</f>
        <v>REUMATOLOGIA</v>
      </c>
      <c r="P680" s="1" t="str">
        <f>TEXT(WEEKDAY(ocupacao[[#This Row],[Data]]),"ddd")</f>
        <v>qua</v>
      </c>
      <c r="Q680" s="1">
        <f t="shared" si="10"/>
        <v>0</v>
      </c>
    </row>
    <row r="681" spans="1:17" x14ac:dyDescent="0.25">
      <c r="A681" s="2">
        <v>44735</v>
      </c>
      <c r="B681">
        <v>22</v>
      </c>
      <c r="C681">
        <v>26</v>
      </c>
      <c r="D681">
        <v>48</v>
      </c>
      <c r="E681">
        <v>76</v>
      </c>
      <c r="F681" s="1" t="s">
        <v>340</v>
      </c>
      <c r="G681">
        <v>0</v>
      </c>
      <c r="H681">
        <v>15</v>
      </c>
      <c r="I681">
        <v>0</v>
      </c>
      <c r="J681">
        <v>15</v>
      </c>
      <c r="K681" s="33">
        <v>1</v>
      </c>
      <c r="L681" s="1"/>
      <c r="M681" s="1" t="str">
        <f>_xlfn.XLOOKUP(ocupacao[[#This Row],[UnidadeID]],unidades!$A:$A,unidades!$B:$B,"",0)</f>
        <v>Filial 1</v>
      </c>
      <c r="N681" s="1" t="str">
        <f>_xlfn.XLOOKUP(ocupacao[[#This Row],[UnidadeID]],unidades!$A:$A,unidades!$C:$C,"",0)</f>
        <v>Nova Iguaçu</v>
      </c>
      <c r="O681" s="1" t="str">
        <f>_xlfn.XLOOKUP(ocupacao[[#This Row],[EspecialidadeID]],especialidades!$A:$A,especialidades!$B:$B,"",0)</f>
        <v>REUMATOLOGIA</v>
      </c>
      <c r="P681" s="1" t="str">
        <f>TEXT(WEEKDAY(ocupacao[[#This Row],[Data]]),"ddd")</f>
        <v>qui</v>
      </c>
      <c r="Q681" s="1">
        <f t="shared" si="10"/>
        <v>0</v>
      </c>
    </row>
    <row r="682" spans="1:17" hidden="1" x14ac:dyDescent="0.25">
      <c r="A682" s="2"/>
      <c r="F682" s="1"/>
      <c r="K682" s="33"/>
      <c r="L682" s="1"/>
      <c r="M682" s="1"/>
      <c r="N682" s="1"/>
      <c r="O682" s="1"/>
      <c r="P682" s="1"/>
      <c r="Q682" s="1"/>
    </row>
    <row r="683" spans="1:17" x14ac:dyDescent="0.25">
      <c r="A683" s="2">
        <v>44735</v>
      </c>
      <c r="B683">
        <v>18</v>
      </c>
      <c r="C683">
        <v>26</v>
      </c>
      <c r="D683">
        <v>68</v>
      </c>
      <c r="E683">
        <v>282</v>
      </c>
      <c r="F683" s="1" t="s">
        <v>320</v>
      </c>
      <c r="G683">
        <v>0</v>
      </c>
      <c r="H683">
        <v>3</v>
      </c>
      <c r="I683">
        <v>29</v>
      </c>
      <c r="J683">
        <v>32</v>
      </c>
      <c r="K683" s="33">
        <v>9.3799999999999994E-2</v>
      </c>
      <c r="L683" s="1"/>
      <c r="M683" s="1" t="str">
        <f>_xlfn.XLOOKUP(ocupacao[[#This Row],[UnidadeID]],unidades!$A:$A,unidades!$B:$B,"",0)</f>
        <v>Miguel Couto</v>
      </c>
      <c r="N683" s="1" t="str">
        <f>_xlfn.XLOOKUP(ocupacao[[#This Row],[UnidadeID]],unidades!$A:$A,unidades!$C:$C,"",0)</f>
        <v>Miguel Couto</v>
      </c>
      <c r="O683" s="1" t="str">
        <f>_xlfn.XLOOKUP(ocupacao[[#This Row],[EspecialidadeID]],especialidades!$A:$A,especialidades!$B:$B,"",0)</f>
        <v>REUMATOLOGIA</v>
      </c>
      <c r="P683" s="1" t="str">
        <f>TEXT(WEEKDAY(ocupacao[[#This Row],[Data]]),"ddd")</f>
        <v>qui</v>
      </c>
      <c r="Q683" s="1">
        <f t="shared" si="10"/>
        <v>0</v>
      </c>
    </row>
    <row r="684" spans="1:17" hidden="1" x14ac:dyDescent="0.25">
      <c r="A684" s="2"/>
      <c r="F684" s="1"/>
      <c r="K684" s="33"/>
      <c r="L684" s="1"/>
      <c r="M684" s="1"/>
      <c r="N684" s="1"/>
      <c r="O684" s="1"/>
      <c r="P684" s="1"/>
      <c r="Q684" s="1"/>
    </row>
    <row r="685" spans="1:17" hidden="1" x14ac:dyDescent="0.25">
      <c r="A685" s="2">
        <v>44740</v>
      </c>
      <c r="B685">
        <v>22</v>
      </c>
      <c r="C685">
        <v>26</v>
      </c>
      <c r="D685">
        <v>48</v>
      </c>
      <c r="E685">
        <v>282</v>
      </c>
      <c r="F685" s="1" t="s">
        <v>320</v>
      </c>
      <c r="G685">
        <v>0</v>
      </c>
      <c r="H685">
        <v>7</v>
      </c>
      <c r="I685">
        <v>58</v>
      </c>
      <c r="J685">
        <v>65</v>
      </c>
      <c r="K685" s="33">
        <v>0.1077</v>
      </c>
      <c r="L685" s="1"/>
      <c r="M685" s="1"/>
      <c r="N685" s="1"/>
      <c r="O685" s="1"/>
      <c r="P685" s="1"/>
      <c r="Q685" s="1"/>
    </row>
    <row r="686" spans="1:17" hidden="1" x14ac:dyDescent="0.25">
      <c r="A686" s="2"/>
      <c r="F686" s="1"/>
      <c r="K686" s="33"/>
      <c r="L686" s="1"/>
      <c r="M686" s="1"/>
      <c r="N686" s="1"/>
      <c r="O686" s="1"/>
      <c r="P686" s="1"/>
      <c r="Q686" s="1"/>
    </row>
    <row r="687" spans="1:17" hidden="1" x14ac:dyDescent="0.25">
      <c r="A687" s="2">
        <v>44741</v>
      </c>
      <c r="B687">
        <v>22</v>
      </c>
      <c r="C687">
        <v>26</v>
      </c>
      <c r="D687">
        <v>46</v>
      </c>
      <c r="E687">
        <v>282</v>
      </c>
      <c r="F687" s="1" t="s">
        <v>320</v>
      </c>
      <c r="G687">
        <v>0</v>
      </c>
      <c r="H687">
        <v>3</v>
      </c>
      <c r="I687">
        <v>62</v>
      </c>
      <c r="J687">
        <v>65</v>
      </c>
      <c r="K687" s="33">
        <v>4.6199999999999998E-2</v>
      </c>
      <c r="L687" s="1"/>
      <c r="M687" s="1"/>
      <c r="N687" s="1"/>
      <c r="O687" s="1"/>
      <c r="P687" s="1"/>
      <c r="Q687" s="1"/>
    </row>
    <row r="688" spans="1:17" hidden="1" x14ac:dyDescent="0.25">
      <c r="A688" s="2"/>
      <c r="F688" s="1"/>
      <c r="K688" s="33"/>
      <c r="L688" s="1"/>
      <c r="M688" s="1"/>
      <c r="N688" s="1"/>
      <c r="O688" s="1"/>
      <c r="P688" s="1"/>
      <c r="Q688" s="1"/>
    </row>
    <row r="689" spans="1:17" x14ac:dyDescent="0.25">
      <c r="A689" s="2">
        <v>44742</v>
      </c>
      <c r="B689">
        <v>22</v>
      </c>
      <c r="C689">
        <v>26</v>
      </c>
      <c r="D689">
        <v>48</v>
      </c>
      <c r="E689">
        <v>76</v>
      </c>
      <c r="F689" s="1" t="s">
        <v>340</v>
      </c>
      <c r="G689">
        <v>0</v>
      </c>
      <c r="H689">
        <v>4</v>
      </c>
      <c r="I689">
        <v>10</v>
      </c>
      <c r="J689">
        <v>14</v>
      </c>
      <c r="K689" s="33">
        <v>0.28570000000000001</v>
      </c>
      <c r="L689" s="1"/>
      <c r="M689" s="1" t="str">
        <f>_xlfn.XLOOKUP(ocupacao[[#This Row],[UnidadeID]],unidades!$A:$A,unidades!$B:$B,"",0)</f>
        <v>Filial 1</v>
      </c>
      <c r="N689" s="1" t="str">
        <f>_xlfn.XLOOKUP(ocupacao[[#This Row],[UnidadeID]],unidades!$A:$A,unidades!$C:$C,"",0)</f>
        <v>Nova Iguaçu</v>
      </c>
      <c r="O689" s="1" t="str">
        <f>_xlfn.XLOOKUP(ocupacao[[#This Row],[EspecialidadeID]],especialidades!$A:$A,especialidades!$B:$B,"",0)</f>
        <v>REUMATOLOGIA</v>
      </c>
      <c r="P689" s="1" t="str">
        <f>TEXT(WEEKDAY(ocupacao[[#This Row],[Data]]),"ddd")</f>
        <v>qui</v>
      </c>
      <c r="Q689" s="1">
        <f t="shared" si="10"/>
        <v>0</v>
      </c>
    </row>
    <row r="690" spans="1:17" hidden="1" x14ac:dyDescent="0.25">
      <c r="A690" s="2">
        <v>44742</v>
      </c>
      <c r="B690">
        <v>18</v>
      </c>
      <c r="C690">
        <v>26</v>
      </c>
      <c r="D690">
        <v>82</v>
      </c>
      <c r="E690">
        <v>282</v>
      </c>
      <c r="F690" s="1" t="s">
        <v>320</v>
      </c>
      <c r="G690">
        <v>0</v>
      </c>
      <c r="H690">
        <v>0</v>
      </c>
      <c r="I690">
        <v>24</v>
      </c>
      <c r="J690">
        <v>24</v>
      </c>
      <c r="K690" s="33">
        <v>0</v>
      </c>
      <c r="L690" s="1"/>
      <c r="M690" s="1"/>
      <c r="N690" s="1"/>
      <c r="O690" s="1"/>
      <c r="P690" s="1"/>
      <c r="Q690" s="1"/>
    </row>
    <row r="691" spans="1:17" x14ac:dyDescent="0.25">
      <c r="A691" s="2">
        <v>44742</v>
      </c>
      <c r="B691">
        <v>18</v>
      </c>
      <c r="C691">
        <v>26</v>
      </c>
      <c r="D691">
        <v>82</v>
      </c>
      <c r="E691">
        <v>282</v>
      </c>
      <c r="F691" s="1" t="s">
        <v>320</v>
      </c>
      <c r="G691">
        <v>0</v>
      </c>
      <c r="H691">
        <v>8</v>
      </c>
      <c r="I691">
        <v>24</v>
      </c>
      <c r="J691">
        <v>32</v>
      </c>
      <c r="K691" s="33">
        <v>0.25</v>
      </c>
      <c r="L691" s="1"/>
      <c r="M691" s="1" t="str">
        <f>_xlfn.XLOOKUP(ocupacao[[#This Row],[UnidadeID]],unidades!$A:$A,unidades!$B:$B,"",0)</f>
        <v>Miguel Couto</v>
      </c>
      <c r="N691" s="1" t="str">
        <f>_xlfn.XLOOKUP(ocupacao[[#This Row],[UnidadeID]],unidades!$A:$A,unidades!$C:$C,"",0)</f>
        <v>Miguel Couto</v>
      </c>
      <c r="O691" s="1" t="str">
        <f>_xlfn.XLOOKUP(ocupacao[[#This Row],[EspecialidadeID]],especialidades!$A:$A,especialidades!$B:$B,"",0)</f>
        <v>REUMATOLOGIA</v>
      </c>
      <c r="P691" s="1" t="str">
        <f>TEXT(WEEKDAY(ocupacao[[#This Row],[Data]]),"ddd")</f>
        <v>qui</v>
      </c>
      <c r="Q691" s="1">
        <f t="shared" si="10"/>
        <v>0</v>
      </c>
    </row>
    <row r="692" spans="1:17" x14ac:dyDescent="0.25">
      <c r="A692" s="2"/>
      <c r="F692" s="1" t="s">
        <v>106</v>
      </c>
      <c r="K692" s="33"/>
      <c r="L692" s="1"/>
      <c r="M692" s="1">
        <f>_xlfn.XLOOKUP(ocupacao[[#This Row],[UnidadeID]],unidades!$A:$A,unidades!$B:$B,"",0)</f>
        <v>0</v>
      </c>
      <c r="N692" s="1">
        <f>_xlfn.XLOOKUP(ocupacao[[#This Row],[UnidadeID]],unidades!$A:$A,unidades!$C:$C,"",0)</f>
        <v>0</v>
      </c>
      <c r="O692" s="1">
        <f>_xlfn.XLOOKUP(ocupacao[[#This Row],[EspecialidadeID]],especialidades!$A:$A,especialidades!$B:$B,"",0)</f>
        <v>0</v>
      </c>
      <c r="P692" s="1" t="str">
        <f>TEXT(WEEKDAY(ocupacao[[#This Row],[Data]]),"ddd")</f>
        <v>sáb</v>
      </c>
      <c r="Q692" s="1">
        <f t="shared" si="10"/>
        <v>0</v>
      </c>
    </row>
    <row r="693" spans="1:17" x14ac:dyDescent="0.25">
      <c r="A693" s="2">
        <v>44733</v>
      </c>
      <c r="B693">
        <v>10</v>
      </c>
      <c r="C693">
        <v>27</v>
      </c>
      <c r="D693">
        <v>4</v>
      </c>
      <c r="E693">
        <v>17890</v>
      </c>
      <c r="F693" s="1" t="s">
        <v>151</v>
      </c>
      <c r="G693">
        <v>0</v>
      </c>
      <c r="H693">
        <v>8</v>
      </c>
      <c r="I693">
        <v>0</v>
      </c>
      <c r="J693">
        <v>8</v>
      </c>
      <c r="K693" s="33">
        <v>1</v>
      </c>
      <c r="L693" s="1"/>
      <c r="M693" s="1" t="str">
        <f>_xlfn.XLOOKUP(ocupacao[[#This Row],[UnidadeID]],unidades!$A:$A,unidades!$B:$B,"",0)</f>
        <v>Filial 2 - 10º</v>
      </c>
      <c r="N693" s="1" t="str">
        <f>_xlfn.XLOOKUP(ocupacao[[#This Row],[UnidadeID]],unidades!$A:$A,unidades!$C:$C,"",0)</f>
        <v>Nova Iguaçu</v>
      </c>
      <c r="O693" s="1" t="str">
        <f>_xlfn.XLOOKUP(ocupacao[[#This Row],[EspecialidadeID]],especialidades!$A:$A,especialidades!$B:$B,"",0)</f>
        <v>MAPA 24 HORAS</v>
      </c>
      <c r="P693" s="1" t="str">
        <f>TEXT(WEEKDAY(ocupacao[[#This Row],[Data]]),"ddd")</f>
        <v>ter</v>
      </c>
      <c r="Q693" s="1">
        <f t="shared" si="10"/>
        <v>0</v>
      </c>
    </row>
    <row r="694" spans="1:17" hidden="1" x14ac:dyDescent="0.25">
      <c r="A694" s="2">
        <v>44733</v>
      </c>
      <c r="B694">
        <v>18</v>
      </c>
      <c r="C694">
        <v>27</v>
      </c>
      <c r="D694">
        <v>76</v>
      </c>
      <c r="E694">
        <v>17891</v>
      </c>
      <c r="F694" s="1" t="s">
        <v>152</v>
      </c>
      <c r="G694">
        <v>0</v>
      </c>
      <c r="H694">
        <v>2</v>
      </c>
      <c r="I694">
        <v>0</v>
      </c>
      <c r="J694">
        <v>2</v>
      </c>
      <c r="K694" s="33">
        <v>1</v>
      </c>
      <c r="L694" s="1"/>
      <c r="M694" s="1"/>
      <c r="N694" s="1"/>
      <c r="O694" s="1"/>
      <c r="P694" s="1"/>
      <c r="Q694" s="1"/>
    </row>
    <row r="695" spans="1:17" hidden="1" x14ac:dyDescent="0.25">
      <c r="A695" s="2"/>
      <c r="F695" s="1"/>
      <c r="K695" s="33"/>
      <c r="L695" s="1"/>
      <c r="M695" s="1"/>
      <c r="N695" s="1"/>
      <c r="O695" s="1"/>
      <c r="P695" s="1"/>
      <c r="Q695" s="1"/>
    </row>
    <row r="696" spans="1:17" hidden="1" x14ac:dyDescent="0.25">
      <c r="A696" s="2">
        <v>44733</v>
      </c>
      <c r="B696">
        <v>24</v>
      </c>
      <c r="C696">
        <v>27</v>
      </c>
      <c r="D696">
        <v>55</v>
      </c>
      <c r="E696">
        <v>17892</v>
      </c>
      <c r="F696" s="1" t="s">
        <v>149</v>
      </c>
      <c r="G696">
        <v>0</v>
      </c>
      <c r="H696">
        <v>1</v>
      </c>
      <c r="I696">
        <v>1</v>
      </c>
      <c r="J696">
        <v>2</v>
      </c>
      <c r="K696" s="33">
        <v>0.5</v>
      </c>
      <c r="L696" s="1"/>
      <c r="M696" s="1"/>
      <c r="N696" s="1"/>
      <c r="O696" s="1"/>
      <c r="P696" s="1"/>
      <c r="Q696" s="1"/>
    </row>
    <row r="697" spans="1:17" x14ac:dyDescent="0.25">
      <c r="A697" s="2">
        <v>44733</v>
      </c>
      <c r="B697">
        <v>34</v>
      </c>
      <c r="C697">
        <v>27</v>
      </c>
      <c r="D697">
        <v>383</v>
      </c>
      <c r="E697">
        <v>17952</v>
      </c>
      <c r="F697" s="1" t="s">
        <v>364</v>
      </c>
      <c r="G697">
        <v>0</v>
      </c>
      <c r="H697">
        <v>0</v>
      </c>
      <c r="I697">
        <v>2</v>
      </c>
      <c r="J697">
        <v>2</v>
      </c>
      <c r="K697" s="33">
        <v>0</v>
      </c>
      <c r="L697" s="1"/>
      <c r="M697" s="1" t="str">
        <f>_xlfn.XLOOKUP(ocupacao[[#This Row],[UnidadeID]],unidades!$A:$A,unidades!$B:$B,"",0)</f>
        <v>São João</v>
      </c>
      <c r="N697" s="1" t="str">
        <f>_xlfn.XLOOKUP(ocupacao[[#This Row],[UnidadeID]],unidades!$A:$A,unidades!$C:$C,"",0)</f>
        <v>São João de Meriti</v>
      </c>
      <c r="O697" s="1" t="str">
        <f>_xlfn.XLOOKUP(ocupacao[[#This Row],[EspecialidadeID]],especialidades!$A:$A,especialidades!$B:$B,"",0)</f>
        <v>MAPA 24 HORAS</v>
      </c>
      <c r="P697" s="1" t="str">
        <f>TEXT(WEEKDAY(ocupacao[[#This Row],[Data]]),"ddd")</f>
        <v>ter</v>
      </c>
      <c r="Q697" s="1">
        <f t="shared" si="10"/>
        <v>0</v>
      </c>
    </row>
    <row r="698" spans="1:17" x14ac:dyDescent="0.25">
      <c r="A698" s="2">
        <v>44734</v>
      </c>
      <c r="B698">
        <v>10</v>
      </c>
      <c r="C698">
        <v>27</v>
      </c>
      <c r="D698">
        <v>4</v>
      </c>
      <c r="E698">
        <v>17890</v>
      </c>
      <c r="F698" s="1" t="s">
        <v>151</v>
      </c>
      <c r="G698">
        <v>0</v>
      </c>
      <c r="H698">
        <v>8</v>
      </c>
      <c r="I698">
        <v>0</v>
      </c>
      <c r="J698">
        <v>8</v>
      </c>
      <c r="K698" s="33">
        <v>1</v>
      </c>
      <c r="L698" s="1"/>
      <c r="M698" s="1" t="str">
        <f>_xlfn.XLOOKUP(ocupacao[[#This Row],[UnidadeID]],unidades!$A:$A,unidades!$B:$B,"",0)</f>
        <v>Filial 2 - 10º</v>
      </c>
      <c r="N698" s="1" t="str">
        <f>_xlfn.XLOOKUP(ocupacao[[#This Row],[UnidadeID]],unidades!$A:$A,unidades!$C:$C,"",0)</f>
        <v>Nova Iguaçu</v>
      </c>
      <c r="O698" s="1" t="str">
        <f>_xlfn.XLOOKUP(ocupacao[[#This Row],[EspecialidadeID]],especialidades!$A:$A,especialidades!$B:$B,"",0)</f>
        <v>MAPA 24 HORAS</v>
      </c>
      <c r="P698" s="1" t="str">
        <f>TEXT(WEEKDAY(ocupacao[[#This Row],[Data]]),"ddd")</f>
        <v>qua</v>
      </c>
      <c r="Q698" s="1">
        <f t="shared" si="10"/>
        <v>0</v>
      </c>
    </row>
    <row r="699" spans="1:17" hidden="1" x14ac:dyDescent="0.25">
      <c r="A699" s="2">
        <v>44734</v>
      </c>
      <c r="B699">
        <v>18</v>
      </c>
      <c r="C699">
        <v>27</v>
      </c>
      <c r="D699">
        <v>76</v>
      </c>
      <c r="E699">
        <v>17891</v>
      </c>
      <c r="F699" s="1" t="s">
        <v>152</v>
      </c>
      <c r="G699">
        <v>0</v>
      </c>
      <c r="H699">
        <v>0</v>
      </c>
      <c r="I699">
        <v>2</v>
      </c>
      <c r="J699">
        <v>2</v>
      </c>
      <c r="K699" s="33">
        <v>0</v>
      </c>
      <c r="L699" s="1"/>
      <c r="M699" s="1"/>
      <c r="N699" s="1"/>
      <c r="O699" s="1"/>
      <c r="P699" s="1"/>
      <c r="Q699" s="1"/>
    </row>
    <row r="700" spans="1:17" x14ac:dyDescent="0.25">
      <c r="A700" s="2">
        <v>44734</v>
      </c>
      <c r="B700">
        <v>24</v>
      </c>
      <c r="C700">
        <v>27</v>
      </c>
      <c r="D700">
        <v>55</v>
      </c>
      <c r="E700">
        <v>17892</v>
      </c>
      <c r="F700" s="1" t="s">
        <v>149</v>
      </c>
      <c r="G700">
        <v>0</v>
      </c>
      <c r="H700">
        <v>0</v>
      </c>
      <c r="I700">
        <v>2</v>
      </c>
      <c r="J700">
        <v>2</v>
      </c>
      <c r="K700" s="33">
        <v>0</v>
      </c>
      <c r="L700" s="1"/>
      <c r="M700" s="1" t="str">
        <f>_xlfn.XLOOKUP(ocupacao[[#This Row],[UnidadeID]],unidades!$A:$A,unidades!$B:$B,"",0)</f>
        <v>Nilópolis</v>
      </c>
      <c r="N700" s="1" t="str">
        <f>_xlfn.XLOOKUP(ocupacao[[#This Row],[UnidadeID]],unidades!$A:$A,unidades!$C:$C,"",0)</f>
        <v>Nilópolis</v>
      </c>
      <c r="O700" s="1" t="str">
        <f>_xlfn.XLOOKUP(ocupacao[[#This Row],[EspecialidadeID]],especialidades!$A:$A,especialidades!$B:$B,"",0)</f>
        <v>MAPA 24 HORAS</v>
      </c>
      <c r="P700" s="1" t="str">
        <f>TEXT(WEEKDAY(ocupacao[[#This Row],[Data]]),"ddd")</f>
        <v>qua</v>
      </c>
      <c r="Q700" s="1">
        <f t="shared" si="10"/>
        <v>0</v>
      </c>
    </row>
    <row r="701" spans="1:17" hidden="1" x14ac:dyDescent="0.25">
      <c r="A701" s="2">
        <v>44734</v>
      </c>
      <c r="B701">
        <v>34</v>
      </c>
      <c r="C701">
        <v>27</v>
      </c>
      <c r="D701">
        <v>383</v>
      </c>
      <c r="E701">
        <v>17952</v>
      </c>
      <c r="F701" s="1" t="s">
        <v>364</v>
      </c>
      <c r="G701">
        <v>0</v>
      </c>
      <c r="H701">
        <v>0</v>
      </c>
      <c r="I701">
        <v>2</v>
      </c>
      <c r="J701">
        <v>2</v>
      </c>
      <c r="K701" s="33">
        <v>0</v>
      </c>
      <c r="L701" s="1"/>
      <c r="M701" s="1"/>
      <c r="N701" s="1"/>
      <c r="O701" s="1"/>
      <c r="P701" s="1"/>
      <c r="Q701" s="1"/>
    </row>
    <row r="702" spans="1:17" x14ac:dyDescent="0.25">
      <c r="A702" s="2">
        <v>44735</v>
      </c>
      <c r="B702">
        <v>10</v>
      </c>
      <c r="C702">
        <v>27</v>
      </c>
      <c r="D702">
        <v>4</v>
      </c>
      <c r="E702">
        <v>17890</v>
      </c>
      <c r="F702" s="1" t="s">
        <v>151</v>
      </c>
      <c r="G702">
        <v>0</v>
      </c>
      <c r="H702">
        <v>5</v>
      </c>
      <c r="I702">
        <v>3</v>
      </c>
      <c r="J702">
        <v>8</v>
      </c>
      <c r="K702" s="33">
        <v>0.625</v>
      </c>
      <c r="L702" s="1"/>
      <c r="M702" s="1" t="str">
        <f>_xlfn.XLOOKUP(ocupacao[[#This Row],[UnidadeID]],unidades!$A:$A,unidades!$B:$B,"",0)</f>
        <v>Filial 2 - 10º</v>
      </c>
      <c r="N702" s="1" t="str">
        <f>_xlfn.XLOOKUP(ocupacao[[#This Row],[UnidadeID]],unidades!$A:$A,unidades!$C:$C,"",0)</f>
        <v>Nova Iguaçu</v>
      </c>
      <c r="O702" s="1" t="str">
        <f>_xlfn.XLOOKUP(ocupacao[[#This Row],[EspecialidadeID]],especialidades!$A:$A,especialidades!$B:$B,"",0)</f>
        <v>MAPA 24 HORAS</v>
      </c>
      <c r="P702" s="1" t="str">
        <f>TEXT(WEEKDAY(ocupacao[[#This Row],[Data]]),"ddd")</f>
        <v>qui</v>
      </c>
      <c r="Q702" s="1">
        <f t="shared" si="10"/>
        <v>0</v>
      </c>
    </row>
    <row r="703" spans="1:17" hidden="1" x14ac:dyDescent="0.25">
      <c r="A703" s="2">
        <v>44735</v>
      </c>
      <c r="B703">
        <v>18</v>
      </c>
      <c r="C703">
        <v>27</v>
      </c>
      <c r="D703">
        <v>76</v>
      </c>
      <c r="E703">
        <v>17891</v>
      </c>
      <c r="F703" s="1" t="s">
        <v>152</v>
      </c>
      <c r="G703">
        <v>0</v>
      </c>
      <c r="H703">
        <v>0</v>
      </c>
      <c r="I703">
        <v>2</v>
      </c>
      <c r="J703">
        <v>2</v>
      </c>
      <c r="K703" s="33">
        <v>0</v>
      </c>
      <c r="L703" s="1"/>
      <c r="M703" s="1"/>
      <c r="N703" s="1"/>
      <c r="O703" s="1"/>
      <c r="P703" s="1"/>
      <c r="Q703" s="1"/>
    </row>
    <row r="704" spans="1:17" x14ac:dyDescent="0.25">
      <c r="A704" s="2">
        <v>44735</v>
      </c>
      <c r="B704">
        <v>24</v>
      </c>
      <c r="C704">
        <v>27</v>
      </c>
      <c r="D704">
        <v>55</v>
      </c>
      <c r="E704">
        <v>17892</v>
      </c>
      <c r="F704" s="1" t="s">
        <v>149</v>
      </c>
      <c r="G704">
        <v>0</v>
      </c>
      <c r="H704">
        <v>0</v>
      </c>
      <c r="I704">
        <v>2</v>
      </c>
      <c r="J704">
        <v>2</v>
      </c>
      <c r="K704" s="33">
        <v>0</v>
      </c>
      <c r="L704" s="1"/>
      <c r="M704" s="1" t="str">
        <f>_xlfn.XLOOKUP(ocupacao[[#This Row],[UnidadeID]],unidades!$A:$A,unidades!$B:$B,"",0)</f>
        <v>Nilópolis</v>
      </c>
      <c r="N704" s="1" t="str">
        <f>_xlfn.XLOOKUP(ocupacao[[#This Row],[UnidadeID]],unidades!$A:$A,unidades!$C:$C,"",0)</f>
        <v>Nilópolis</v>
      </c>
      <c r="O704" s="1" t="str">
        <f>_xlfn.XLOOKUP(ocupacao[[#This Row],[EspecialidadeID]],especialidades!$A:$A,especialidades!$B:$B,"",0)</f>
        <v>MAPA 24 HORAS</v>
      </c>
      <c r="P704" s="1" t="str">
        <f>TEXT(WEEKDAY(ocupacao[[#This Row],[Data]]),"ddd")</f>
        <v>qui</v>
      </c>
      <c r="Q704" s="1">
        <f t="shared" si="10"/>
        <v>0</v>
      </c>
    </row>
    <row r="705" spans="1:17" hidden="1" x14ac:dyDescent="0.25">
      <c r="A705" s="2">
        <v>44735</v>
      </c>
      <c r="B705">
        <v>34</v>
      </c>
      <c r="C705">
        <v>27</v>
      </c>
      <c r="D705">
        <v>383</v>
      </c>
      <c r="E705">
        <v>17952</v>
      </c>
      <c r="F705" s="1" t="s">
        <v>364</v>
      </c>
      <c r="G705">
        <v>0</v>
      </c>
      <c r="H705">
        <v>0</v>
      </c>
      <c r="I705">
        <v>2</v>
      </c>
      <c r="J705">
        <v>2</v>
      </c>
      <c r="K705" s="33">
        <v>0</v>
      </c>
      <c r="L705" s="1"/>
      <c r="M705" s="1"/>
      <c r="N705" s="1"/>
      <c r="O705" s="1"/>
      <c r="P705" s="1"/>
      <c r="Q705" s="1"/>
    </row>
    <row r="706" spans="1:17" x14ac:dyDescent="0.25">
      <c r="A706" s="2">
        <v>44736</v>
      </c>
      <c r="B706">
        <v>10</v>
      </c>
      <c r="C706">
        <v>27</v>
      </c>
      <c r="D706">
        <v>4</v>
      </c>
      <c r="E706">
        <v>17890</v>
      </c>
      <c r="F706" s="1" t="s">
        <v>151</v>
      </c>
      <c r="G706">
        <v>0</v>
      </c>
      <c r="H706">
        <v>2</v>
      </c>
      <c r="I706">
        <v>6</v>
      </c>
      <c r="J706">
        <v>8</v>
      </c>
      <c r="K706" s="33">
        <v>0.25</v>
      </c>
      <c r="L706" s="1"/>
      <c r="M706" s="1" t="str">
        <f>_xlfn.XLOOKUP(ocupacao[[#This Row],[UnidadeID]],unidades!$A:$A,unidades!$B:$B,"",0)</f>
        <v>Filial 2 - 10º</v>
      </c>
      <c r="N706" s="1" t="str">
        <f>_xlfn.XLOOKUP(ocupacao[[#This Row],[UnidadeID]],unidades!$A:$A,unidades!$C:$C,"",0)</f>
        <v>Nova Iguaçu</v>
      </c>
      <c r="O706" s="1" t="str">
        <f>_xlfn.XLOOKUP(ocupacao[[#This Row],[EspecialidadeID]],especialidades!$A:$A,especialidades!$B:$B,"",0)</f>
        <v>MAPA 24 HORAS</v>
      </c>
      <c r="P706" s="1" t="str">
        <f>TEXT(WEEKDAY(ocupacao[[#This Row],[Data]]),"ddd")</f>
        <v>sex</v>
      </c>
      <c r="Q706" s="1">
        <f t="shared" ref="Q706:Q769" si="11">IF(F706=F707,1,0)</f>
        <v>0</v>
      </c>
    </row>
    <row r="707" spans="1:17" hidden="1" x14ac:dyDescent="0.25">
      <c r="A707" s="2">
        <v>44736</v>
      </c>
      <c r="B707">
        <v>18</v>
      </c>
      <c r="C707">
        <v>27</v>
      </c>
      <c r="D707">
        <v>76</v>
      </c>
      <c r="E707">
        <v>17891</v>
      </c>
      <c r="F707" s="1" t="s">
        <v>152</v>
      </c>
      <c r="G707">
        <v>0</v>
      </c>
      <c r="H707">
        <v>1</v>
      </c>
      <c r="I707">
        <v>2</v>
      </c>
      <c r="J707">
        <v>3</v>
      </c>
      <c r="K707" s="33">
        <v>0.33329999999999999</v>
      </c>
      <c r="L707" s="1"/>
      <c r="M707" s="1"/>
      <c r="N707" s="1"/>
      <c r="O707" s="1"/>
      <c r="P707" s="1"/>
      <c r="Q707" s="1"/>
    </row>
    <row r="708" spans="1:17" x14ac:dyDescent="0.25">
      <c r="A708" s="2">
        <v>44736</v>
      </c>
      <c r="B708">
        <v>24</v>
      </c>
      <c r="C708">
        <v>27</v>
      </c>
      <c r="D708">
        <v>55</v>
      </c>
      <c r="E708">
        <v>17892</v>
      </c>
      <c r="F708" s="1" t="s">
        <v>149</v>
      </c>
      <c r="G708">
        <v>0</v>
      </c>
      <c r="H708">
        <v>0</v>
      </c>
      <c r="I708">
        <v>2</v>
      </c>
      <c r="J708">
        <v>2</v>
      </c>
      <c r="K708" s="33">
        <v>0</v>
      </c>
      <c r="L708" s="1"/>
      <c r="M708" s="1" t="str">
        <f>_xlfn.XLOOKUP(ocupacao[[#This Row],[UnidadeID]],unidades!$A:$A,unidades!$B:$B,"",0)</f>
        <v>Nilópolis</v>
      </c>
      <c r="N708" s="1" t="str">
        <f>_xlfn.XLOOKUP(ocupacao[[#This Row],[UnidadeID]],unidades!$A:$A,unidades!$C:$C,"",0)</f>
        <v>Nilópolis</v>
      </c>
      <c r="O708" s="1" t="str">
        <f>_xlfn.XLOOKUP(ocupacao[[#This Row],[EspecialidadeID]],especialidades!$A:$A,especialidades!$B:$B,"",0)</f>
        <v>MAPA 24 HORAS</v>
      </c>
      <c r="P708" s="1" t="str">
        <f>TEXT(WEEKDAY(ocupacao[[#This Row],[Data]]),"ddd")</f>
        <v>sex</v>
      </c>
      <c r="Q708" s="1">
        <f t="shared" si="11"/>
        <v>0</v>
      </c>
    </row>
    <row r="709" spans="1:17" x14ac:dyDescent="0.25">
      <c r="A709" s="2">
        <v>44736</v>
      </c>
      <c r="B709">
        <v>34</v>
      </c>
      <c r="C709">
        <v>27</v>
      </c>
      <c r="D709">
        <v>383</v>
      </c>
      <c r="E709">
        <v>17952</v>
      </c>
      <c r="F709" s="1" t="s">
        <v>364</v>
      </c>
      <c r="G709">
        <v>0</v>
      </c>
      <c r="H709">
        <v>0</v>
      </c>
      <c r="I709">
        <v>2</v>
      </c>
      <c r="J709">
        <v>2</v>
      </c>
      <c r="K709" s="33">
        <v>0</v>
      </c>
      <c r="L709" s="1"/>
      <c r="M709" s="1" t="str">
        <f>_xlfn.XLOOKUP(ocupacao[[#This Row],[UnidadeID]],unidades!$A:$A,unidades!$B:$B,"",0)</f>
        <v>São João</v>
      </c>
      <c r="N709" s="1" t="str">
        <f>_xlfn.XLOOKUP(ocupacao[[#This Row],[UnidadeID]],unidades!$A:$A,unidades!$C:$C,"",0)</f>
        <v>São João de Meriti</v>
      </c>
      <c r="O709" s="1" t="str">
        <f>_xlfn.XLOOKUP(ocupacao[[#This Row],[EspecialidadeID]],especialidades!$A:$A,especialidades!$B:$B,"",0)</f>
        <v>MAPA 24 HORAS</v>
      </c>
      <c r="P709" s="1" t="str">
        <f>TEXT(WEEKDAY(ocupacao[[#This Row],[Data]]),"ddd")</f>
        <v>sex</v>
      </c>
      <c r="Q709" s="1">
        <f t="shared" si="11"/>
        <v>0</v>
      </c>
    </row>
    <row r="710" spans="1:17" hidden="1" x14ac:dyDescent="0.25">
      <c r="A710" s="2"/>
      <c r="F710" s="1"/>
      <c r="K710" s="33"/>
      <c r="L710" s="1"/>
      <c r="M710" s="1"/>
      <c r="N710" s="1"/>
      <c r="O710" s="1"/>
      <c r="P710" s="1"/>
      <c r="Q710" s="1"/>
    </row>
    <row r="711" spans="1:17" hidden="1" x14ac:dyDescent="0.25">
      <c r="A711" s="2">
        <v>44739</v>
      </c>
      <c r="B711">
        <v>10</v>
      </c>
      <c r="C711">
        <v>27</v>
      </c>
      <c r="D711">
        <v>4</v>
      </c>
      <c r="E711">
        <v>17890</v>
      </c>
      <c r="F711" s="1" t="s">
        <v>151</v>
      </c>
      <c r="G711">
        <v>0</v>
      </c>
      <c r="H711">
        <v>2</v>
      </c>
      <c r="I711">
        <v>6</v>
      </c>
      <c r="J711">
        <v>8</v>
      </c>
      <c r="K711" s="33">
        <v>0.25</v>
      </c>
      <c r="L711" s="1"/>
      <c r="M711" s="1"/>
      <c r="N711" s="1"/>
      <c r="O711" s="1"/>
      <c r="P711" s="1"/>
      <c r="Q711" s="1"/>
    </row>
    <row r="712" spans="1:17" x14ac:dyDescent="0.25">
      <c r="A712" s="2">
        <v>44739</v>
      </c>
      <c r="B712">
        <v>18</v>
      </c>
      <c r="C712">
        <v>27</v>
      </c>
      <c r="D712">
        <v>76</v>
      </c>
      <c r="E712">
        <v>17891</v>
      </c>
      <c r="F712" s="1" t="s">
        <v>152</v>
      </c>
      <c r="G712">
        <v>0</v>
      </c>
      <c r="H712">
        <v>0</v>
      </c>
      <c r="I712">
        <v>2</v>
      </c>
      <c r="J712">
        <v>2</v>
      </c>
      <c r="K712" s="33">
        <v>0</v>
      </c>
      <c r="L712" s="1"/>
      <c r="M712" s="1" t="str">
        <f>_xlfn.XLOOKUP(ocupacao[[#This Row],[UnidadeID]],unidades!$A:$A,unidades!$B:$B,"",0)</f>
        <v>Miguel Couto</v>
      </c>
      <c r="N712" s="1" t="str">
        <f>_xlfn.XLOOKUP(ocupacao[[#This Row],[UnidadeID]],unidades!$A:$A,unidades!$C:$C,"",0)</f>
        <v>Miguel Couto</v>
      </c>
      <c r="O712" s="1" t="str">
        <f>_xlfn.XLOOKUP(ocupacao[[#This Row],[EspecialidadeID]],especialidades!$A:$A,especialidades!$B:$B,"",0)</f>
        <v>MAPA 24 HORAS</v>
      </c>
      <c r="P712" s="1" t="str">
        <f>TEXT(WEEKDAY(ocupacao[[#This Row],[Data]]),"ddd")</f>
        <v>seg</v>
      </c>
      <c r="Q712" s="1">
        <f t="shared" si="11"/>
        <v>0</v>
      </c>
    </row>
    <row r="713" spans="1:17" hidden="1" x14ac:dyDescent="0.25">
      <c r="A713" s="2"/>
      <c r="F713" s="1"/>
      <c r="K713" s="33"/>
      <c r="L713" s="1"/>
      <c r="M713" s="1"/>
      <c r="N713" s="1"/>
      <c r="O713" s="1"/>
      <c r="P713" s="1"/>
      <c r="Q713" s="1"/>
    </row>
    <row r="714" spans="1:17" hidden="1" x14ac:dyDescent="0.25">
      <c r="A714" s="2">
        <v>44739</v>
      </c>
      <c r="B714">
        <v>24</v>
      </c>
      <c r="C714">
        <v>27</v>
      </c>
      <c r="D714">
        <v>55</v>
      </c>
      <c r="E714">
        <v>17892</v>
      </c>
      <c r="F714" s="1" t="s">
        <v>149</v>
      </c>
      <c r="G714">
        <v>0</v>
      </c>
      <c r="H714">
        <v>1</v>
      </c>
      <c r="I714">
        <v>1</v>
      </c>
      <c r="J714">
        <v>2</v>
      </c>
      <c r="K714" s="33">
        <v>0.5</v>
      </c>
      <c r="L714" s="1"/>
      <c r="M714" s="1"/>
      <c r="N714" s="1"/>
      <c r="O714" s="1"/>
      <c r="P714" s="1"/>
      <c r="Q714" s="1"/>
    </row>
    <row r="715" spans="1:17" x14ac:dyDescent="0.25">
      <c r="A715" s="2">
        <v>44739</v>
      </c>
      <c r="B715">
        <v>34</v>
      </c>
      <c r="C715">
        <v>27</v>
      </c>
      <c r="D715">
        <v>383</v>
      </c>
      <c r="E715">
        <v>17952</v>
      </c>
      <c r="F715" s="1" t="s">
        <v>364</v>
      </c>
      <c r="G715">
        <v>0</v>
      </c>
      <c r="H715">
        <v>0</v>
      </c>
      <c r="I715">
        <v>2</v>
      </c>
      <c r="J715">
        <v>2</v>
      </c>
      <c r="K715" s="33">
        <v>0</v>
      </c>
      <c r="L715" s="1"/>
      <c r="M715" s="1" t="str">
        <f>_xlfn.XLOOKUP(ocupacao[[#This Row],[UnidadeID]],unidades!$A:$A,unidades!$B:$B,"",0)</f>
        <v>São João</v>
      </c>
      <c r="N715" s="1" t="str">
        <f>_xlfn.XLOOKUP(ocupacao[[#This Row],[UnidadeID]],unidades!$A:$A,unidades!$C:$C,"",0)</f>
        <v>São João de Meriti</v>
      </c>
      <c r="O715" s="1" t="str">
        <f>_xlfn.XLOOKUP(ocupacao[[#This Row],[EspecialidadeID]],especialidades!$A:$A,especialidades!$B:$B,"",0)</f>
        <v>MAPA 24 HORAS</v>
      </c>
      <c r="P715" s="1" t="str">
        <f>TEXT(WEEKDAY(ocupacao[[#This Row],[Data]]),"ddd")</f>
        <v>seg</v>
      </c>
      <c r="Q715" s="1">
        <f t="shared" si="11"/>
        <v>0</v>
      </c>
    </row>
    <row r="716" spans="1:17" x14ac:dyDescent="0.25">
      <c r="A716" s="2">
        <v>44740</v>
      </c>
      <c r="B716">
        <v>10</v>
      </c>
      <c r="C716">
        <v>27</v>
      </c>
      <c r="D716">
        <v>4</v>
      </c>
      <c r="E716">
        <v>17890</v>
      </c>
      <c r="F716" s="1" t="s">
        <v>151</v>
      </c>
      <c r="G716">
        <v>0</v>
      </c>
      <c r="H716">
        <v>0</v>
      </c>
      <c r="I716">
        <v>8</v>
      </c>
      <c r="J716">
        <v>8</v>
      </c>
      <c r="K716" s="33">
        <v>0</v>
      </c>
      <c r="L716" s="1"/>
      <c r="M716" s="1" t="str">
        <f>_xlfn.XLOOKUP(ocupacao[[#This Row],[UnidadeID]],unidades!$A:$A,unidades!$B:$B,"",0)</f>
        <v>Filial 2 - 10º</v>
      </c>
      <c r="N716" s="1" t="str">
        <f>_xlfn.XLOOKUP(ocupacao[[#This Row],[UnidadeID]],unidades!$A:$A,unidades!$C:$C,"",0)</f>
        <v>Nova Iguaçu</v>
      </c>
      <c r="O716" s="1" t="str">
        <f>_xlfn.XLOOKUP(ocupacao[[#This Row],[EspecialidadeID]],especialidades!$A:$A,especialidades!$B:$B,"",0)</f>
        <v>MAPA 24 HORAS</v>
      </c>
      <c r="P716" s="1" t="str">
        <f>TEXT(WEEKDAY(ocupacao[[#This Row],[Data]]),"ddd")</f>
        <v>ter</v>
      </c>
      <c r="Q716" s="1">
        <f t="shared" si="11"/>
        <v>0</v>
      </c>
    </row>
    <row r="717" spans="1:17" x14ac:dyDescent="0.25">
      <c r="A717" s="2">
        <v>44740</v>
      </c>
      <c r="B717">
        <v>18</v>
      </c>
      <c r="C717">
        <v>27</v>
      </c>
      <c r="D717">
        <v>76</v>
      </c>
      <c r="E717">
        <v>17891</v>
      </c>
      <c r="F717" s="1" t="s">
        <v>152</v>
      </c>
      <c r="G717">
        <v>0</v>
      </c>
      <c r="H717">
        <v>0</v>
      </c>
      <c r="I717">
        <v>2</v>
      </c>
      <c r="J717">
        <v>2</v>
      </c>
      <c r="K717" s="33">
        <v>0</v>
      </c>
      <c r="L717" s="1"/>
      <c r="M717" s="1" t="str">
        <f>_xlfn.XLOOKUP(ocupacao[[#This Row],[UnidadeID]],unidades!$A:$A,unidades!$B:$B,"",0)</f>
        <v>Miguel Couto</v>
      </c>
      <c r="N717" s="1" t="str">
        <f>_xlfn.XLOOKUP(ocupacao[[#This Row],[UnidadeID]],unidades!$A:$A,unidades!$C:$C,"",0)</f>
        <v>Miguel Couto</v>
      </c>
      <c r="O717" s="1" t="str">
        <f>_xlfn.XLOOKUP(ocupacao[[#This Row],[EspecialidadeID]],especialidades!$A:$A,especialidades!$B:$B,"",0)</f>
        <v>MAPA 24 HORAS</v>
      </c>
      <c r="P717" s="1" t="str">
        <f>TEXT(WEEKDAY(ocupacao[[#This Row],[Data]]),"ddd")</f>
        <v>ter</v>
      </c>
      <c r="Q717" s="1">
        <f t="shared" si="11"/>
        <v>0</v>
      </c>
    </row>
    <row r="718" spans="1:17" x14ac:dyDescent="0.25">
      <c r="A718" s="2">
        <v>44740</v>
      </c>
      <c r="B718">
        <v>24</v>
      </c>
      <c r="C718">
        <v>27</v>
      </c>
      <c r="D718">
        <v>55</v>
      </c>
      <c r="E718">
        <v>17892</v>
      </c>
      <c r="F718" s="1" t="s">
        <v>149</v>
      </c>
      <c r="G718">
        <v>0</v>
      </c>
      <c r="H718">
        <v>0</v>
      </c>
      <c r="I718">
        <v>2</v>
      </c>
      <c r="J718">
        <v>2</v>
      </c>
      <c r="K718" s="33">
        <v>0</v>
      </c>
      <c r="L718" s="1"/>
      <c r="M718" s="1" t="str">
        <f>_xlfn.XLOOKUP(ocupacao[[#This Row],[UnidadeID]],unidades!$A:$A,unidades!$B:$B,"",0)</f>
        <v>Nilópolis</v>
      </c>
      <c r="N718" s="1" t="str">
        <f>_xlfn.XLOOKUP(ocupacao[[#This Row],[UnidadeID]],unidades!$A:$A,unidades!$C:$C,"",0)</f>
        <v>Nilópolis</v>
      </c>
      <c r="O718" s="1" t="str">
        <f>_xlfn.XLOOKUP(ocupacao[[#This Row],[EspecialidadeID]],especialidades!$A:$A,especialidades!$B:$B,"",0)</f>
        <v>MAPA 24 HORAS</v>
      </c>
      <c r="P718" s="1" t="str">
        <f>TEXT(WEEKDAY(ocupacao[[#This Row],[Data]]),"ddd")</f>
        <v>ter</v>
      </c>
      <c r="Q718" s="1">
        <f t="shared" si="11"/>
        <v>0</v>
      </c>
    </row>
    <row r="719" spans="1:17" x14ac:dyDescent="0.25">
      <c r="A719" s="2">
        <v>44740</v>
      </c>
      <c r="B719">
        <v>34</v>
      </c>
      <c r="C719">
        <v>27</v>
      </c>
      <c r="D719">
        <v>383</v>
      </c>
      <c r="E719">
        <v>17952</v>
      </c>
      <c r="F719" s="1" t="s">
        <v>364</v>
      </c>
      <c r="G719">
        <v>0</v>
      </c>
      <c r="H719">
        <v>0</v>
      </c>
      <c r="I719">
        <v>2</v>
      </c>
      <c r="J719">
        <v>2</v>
      </c>
      <c r="K719" s="33">
        <v>0</v>
      </c>
      <c r="L719" s="1"/>
      <c r="M719" s="1" t="str">
        <f>_xlfn.XLOOKUP(ocupacao[[#This Row],[UnidadeID]],unidades!$A:$A,unidades!$B:$B,"",0)</f>
        <v>São João</v>
      </c>
      <c r="N719" s="1" t="str">
        <f>_xlfn.XLOOKUP(ocupacao[[#This Row],[UnidadeID]],unidades!$A:$A,unidades!$C:$C,"",0)</f>
        <v>São João de Meriti</v>
      </c>
      <c r="O719" s="1" t="str">
        <f>_xlfn.XLOOKUP(ocupacao[[#This Row],[EspecialidadeID]],especialidades!$A:$A,especialidades!$B:$B,"",0)</f>
        <v>MAPA 24 HORAS</v>
      </c>
      <c r="P719" s="1" t="str">
        <f>TEXT(WEEKDAY(ocupacao[[#This Row],[Data]]),"ddd")</f>
        <v>ter</v>
      </c>
      <c r="Q719" s="1">
        <f t="shared" si="11"/>
        <v>0</v>
      </c>
    </row>
    <row r="720" spans="1:17" hidden="1" x14ac:dyDescent="0.25">
      <c r="A720" s="2"/>
      <c r="F720" s="1"/>
      <c r="K720" s="33"/>
      <c r="L720" s="1"/>
      <c r="M720" s="1"/>
      <c r="N720" s="1"/>
      <c r="O720" s="1"/>
      <c r="P720" s="1"/>
      <c r="Q720" s="1"/>
    </row>
    <row r="721" spans="1:17" x14ac:dyDescent="0.25">
      <c r="A721" s="2">
        <v>44741</v>
      </c>
      <c r="B721">
        <v>10</v>
      </c>
      <c r="C721">
        <v>27</v>
      </c>
      <c r="D721">
        <v>4</v>
      </c>
      <c r="E721">
        <v>17890</v>
      </c>
      <c r="F721" s="1" t="s">
        <v>151</v>
      </c>
      <c r="G721">
        <v>0</v>
      </c>
      <c r="H721">
        <v>2</v>
      </c>
      <c r="I721">
        <v>6</v>
      </c>
      <c r="J721">
        <v>8</v>
      </c>
      <c r="K721" s="33">
        <v>0.25</v>
      </c>
      <c r="L721" s="1"/>
      <c r="M721" s="1" t="str">
        <f>_xlfn.XLOOKUP(ocupacao[[#This Row],[UnidadeID]],unidades!$A:$A,unidades!$B:$B,"",0)</f>
        <v>Filial 2 - 10º</v>
      </c>
      <c r="N721" s="1" t="str">
        <f>_xlfn.XLOOKUP(ocupacao[[#This Row],[UnidadeID]],unidades!$A:$A,unidades!$C:$C,"",0)</f>
        <v>Nova Iguaçu</v>
      </c>
      <c r="O721" s="1" t="str">
        <f>_xlfn.XLOOKUP(ocupacao[[#This Row],[EspecialidadeID]],especialidades!$A:$A,especialidades!$B:$B,"",0)</f>
        <v>MAPA 24 HORAS</v>
      </c>
      <c r="P721" s="1" t="str">
        <f>TEXT(WEEKDAY(ocupacao[[#This Row],[Data]]),"ddd")</f>
        <v>qua</v>
      </c>
      <c r="Q721" s="1">
        <f t="shared" si="11"/>
        <v>0</v>
      </c>
    </row>
    <row r="722" spans="1:17" x14ac:dyDescent="0.25">
      <c r="A722" s="2">
        <v>44741</v>
      </c>
      <c r="B722">
        <v>18</v>
      </c>
      <c r="C722">
        <v>27</v>
      </c>
      <c r="D722">
        <v>76</v>
      </c>
      <c r="E722">
        <v>17891</v>
      </c>
      <c r="F722" s="1" t="s">
        <v>152</v>
      </c>
      <c r="G722">
        <v>0</v>
      </c>
      <c r="H722">
        <v>0</v>
      </c>
      <c r="I722">
        <v>2</v>
      </c>
      <c r="J722">
        <v>2</v>
      </c>
      <c r="K722" s="33">
        <v>0</v>
      </c>
      <c r="L722" s="1"/>
      <c r="M722" s="1" t="str">
        <f>_xlfn.XLOOKUP(ocupacao[[#This Row],[UnidadeID]],unidades!$A:$A,unidades!$B:$B,"",0)</f>
        <v>Miguel Couto</v>
      </c>
      <c r="N722" s="1" t="str">
        <f>_xlfn.XLOOKUP(ocupacao[[#This Row],[UnidadeID]],unidades!$A:$A,unidades!$C:$C,"",0)</f>
        <v>Miguel Couto</v>
      </c>
      <c r="O722" s="1" t="str">
        <f>_xlfn.XLOOKUP(ocupacao[[#This Row],[EspecialidadeID]],especialidades!$A:$A,especialidades!$B:$B,"",0)</f>
        <v>MAPA 24 HORAS</v>
      </c>
      <c r="P722" s="1" t="str">
        <f>TEXT(WEEKDAY(ocupacao[[#This Row],[Data]]),"ddd")</f>
        <v>qua</v>
      </c>
      <c r="Q722" s="1">
        <f t="shared" si="11"/>
        <v>0</v>
      </c>
    </row>
    <row r="723" spans="1:17" x14ac:dyDescent="0.25">
      <c r="A723" s="2">
        <v>44741</v>
      </c>
      <c r="B723">
        <v>24</v>
      </c>
      <c r="C723">
        <v>27</v>
      </c>
      <c r="D723">
        <v>55</v>
      </c>
      <c r="E723">
        <v>17892</v>
      </c>
      <c r="F723" s="1" t="s">
        <v>149</v>
      </c>
      <c r="G723">
        <v>0</v>
      </c>
      <c r="H723">
        <v>0</v>
      </c>
      <c r="I723">
        <v>2</v>
      </c>
      <c r="J723">
        <v>2</v>
      </c>
      <c r="K723" s="33">
        <v>0</v>
      </c>
      <c r="L723" s="1"/>
      <c r="M723" s="1" t="str">
        <f>_xlfn.XLOOKUP(ocupacao[[#This Row],[UnidadeID]],unidades!$A:$A,unidades!$B:$B,"",0)</f>
        <v>Nilópolis</v>
      </c>
      <c r="N723" s="1" t="str">
        <f>_xlfn.XLOOKUP(ocupacao[[#This Row],[UnidadeID]],unidades!$A:$A,unidades!$C:$C,"",0)</f>
        <v>Nilópolis</v>
      </c>
      <c r="O723" s="1" t="str">
        <f>_xlfn.XLOOKUP(ocupacao[[#This Row],[EspecialidadeID]],especialidades!$A:$A,especialidades!$B:$B,"",0)</f>
        <v>MAPA 24 HORAS</v>
      </c>
      <c r="P723" s="1" t="str">
        <f>TEXT(WEEKDAY(ocupacao[[#This Row],[Data]]),"ddd")</f>
        <v>qua</v>
      </c>
      <c r="Q723" s="1">
        <f t="shared" si="11"/>
        <v>0</v>
      </c>
    </row>
    <row r="724" spans="1:17" x14ac:dyDescent="0.25">
      <c r="A724" s="2">
        <v>44741</v>
      </c>
      <c r="B724">
        <v>34</v>
      </c>
      <c r="C724">
        <v>27</v>
      </c>
      <c r="D724">
        <v>383</v>
      </c>
      <c r="E724">
        <v>17952</v>
      </c>
      <c r="F724" s="1" t="s">
        <v>364</v>
      </c>
      <c r="G724">
        <v>0</v>
      </c>
      <c r="H724">
        <v>0</v>
      </c>
      <c r="I724">
        <v>2</v>
      </c>
      <c r="J724">
        <v>2</v>
      </c>
      <c r="K724" s="33">
        <v>0</v>
      </c>
      <c r="L724" s="1"/>
      <c r="M724" s="1" t="str">
        <f>_xlfn.XLOOKUP(ocupacao[[#This Row],[UnidadeID]],unidades!$A:$A,unidades!$B:$B,"",0)</f>
        <v>São João</v>
      </c>
      <c r="N724" s="1" t="str">
        <f>_xlfn.XLOOKUP(ocupacao[[#This Row],[UnidadeID]],unidades!$A:$A,unidades!$C:$C,"",0)</f>
        <v>São João de Meriti</v>
      </c>
      <c r="O724" s="1" t="str">
        <f>_xlfn.XLOOKUP(ocupacao[[#This Row],[EspecialidadeID]],especialidades!$A:$A,especialidades!$B:$B,"",0)</f>
        <v>MAPA 24 HORAS</v>
      </c>
      <c r="P724" s="1" t="str">
        <f>TEXT(WEEKDAY(ocupacao[[#This Row],[Data]]),"ddd")</f>
        <v>qua</v>
      </c>
      <c r="Q724" s="1">
        <f t="shared" si="11"/>
        <v>0</v>
      </c>
    </row>
    <row r="725" spans="1:17" x14ac:dyDescent="0.25">
      <c r="A725" s="2">
        <v>44742</v>
      </c>
      <c r="B725">
        <v>10</v>
      </c>
      <c r="C725">
        <v>27</v>
      </c>
      <c r="D725">
        <v>4</v>
      </c>
      <c r="E725">
        <v>17890</v>
      </c>
      <c r="F725" s="1" t="s">
        <v>151</v>
      </c>
      <c r="G725">
        <v>0</v>
      </c>
      <c r="H725">
        <v>0</v>
      </c>
      <c r="I725">
        <v>8</v>
      </c>
      <c r="J725">
        <v>8</v>
      </c>
      <c r="K725" s="33">
        <v>0</v>
      </c>
      <c r="L725" s="1"/>
      <c r="M725" s="1" t="str">
        <f>_xlfn.XLOOKUP(ocupacao[[#This Row],[UnidadeID]],unidades!$A:$A,unidades!$B:$B,"",0)</f>
        <v>Filial 2 - 10º</v>
      </c>
      <c r="N725" s="1" t="str">
        <f>_xlfn.XLOOKUP(ocupacao[[#This Row],[UnidadeID]],unidades!$A:$A,unidades!$C:$C,"",0)</f>
        <v>Nova Iguaçu</v>
      </c>
      <c r="O725" s="1" t="str">
        <f>_xlfn.XLOOKUP(ocupacao[[#This Row],[EspecialidadeID]],especialidades!$A:$A,especialidades!$B:$B,"",0)</f>
        <v>MAPA 24 HORAS</v>
      </c>
      <c r="P725" s="1" t="str">
        <f>TEXT(WEEKDAY(ocupacao[[#This Row],[Data]]),"ddd")</f>
        <v>qui</v>
      </c>
      <c r="Q725" s="1">
        <f t="shared" si="11"/>
        <v>0</v>
      </c>
    </row>
    <row r="726" spans="1:17" x14ac:dyDescent="0.25">
      <c r="A726" s="2">
        <v>44742</v>
      </c>
      <c r="B726">
        <v>18</v>
      </c>
      <c r="C726">
        <v>27</v>
      </c>
      <c r="D726">
        <v>76</v>
      </c>
      <c r="E726">
        <v>17891</v>
      </c>
      <c r="F726" s="1" t="s">
        <v>152</v>
      </c>
      <c r="G726">
        <v>0</v>
      </c>
      <c r="H726">
        <v>1</v>
      </c>
      <c r="I726">
        <v>2</v>
      </c>
      <c r="J726">
        <v>3</v>
      </c>
      <c r="K726" s="33">
        <v>0.33329999999999999</v>
      </c>
      <c r="L726" s="1"/>
      <c r="M726" s="1" t="str">
        <f>_xlfn.XLOOKUP(ocupacao[[#This Row],[UnidadeID]],unidades!$A:$A,unidades!$B:$B,"",0)</f>
        <v>Miguel Couto</v>
      </c>
      <c r="N726" s="1" t="str">
        <f>_xlfn.XLOOKUP(ocupacao[[#This Row],[UnidadeID]],unidades!$A:$A,unidades!$C:$C,"",0)</f>
        <v>Miguel Couto</v>
      </c>
      <c r="O726" s="1" t="str">
        <f>_xlfn.XLOOKUP(ocupacao[[#This Row],[EspecialidadeID]],especialidades!$A:$A,especialidades!$B:$B,"",0)</f>
        <v>MAPA 24 HORAS</v>
      </c>
      <c r="P726" s="1" t="str">
        <f>TEXT(WEEKDAY(ocupacao[[#This Row],[Data]]),"ddd")</f>
        <v>qui</v>
      </c>
      <c r="Q726" s="1">
        <f t="shared" si="11"/>
        <v>0</v>
      </c>
    </row>
    <row r="727" spans="1:17" x14ac:dyDescent="0.25">
      <c r="A727" s="2">
        <v>44742</v>
      </c>
      <c r="B727">
        <v>24</v>
      </c>
      <c r="C727">
        <v>27</v>
      </c>
      <c r="D727">
        <v>55</v>
      </c>
      <c r="E727">
        <v>17892</v>
      </c>
      <c r="F727" s="1" t="s">
        <v>149</v>
      </c>
      <c r="G727">
        <v>0</v>
      </c>
      <c r="H727">
        <v>0</v>
      </c>
      <c r="I727">
        <v>2</v>
      </c>
      <c r="J727">
        <v>2</v>
      </c>
      <c r="K727" s="33">
        <v>0</v>
      </c>
      <c r="L727" s="1"/>
      <c r="M727" s="1" t="str">
        <f>_xlfn.XLOOKUP(ocupacao[[#This Row],[UnidadeID]],unidades!$A:$A,unidades!$B:$B,"",0)</f>
        <v>Nilópolis</v>
      </c>
      <c r="N727" s="1" t="str">
        <f>_xlfn.XLOOKUP(ocupacao[[#This Row],[UnidadeID]],unidades!$A:$A,unidades!$C:$C,"",0)</f>
        <v>Nilópolis</v>
      </c>
      <c r="O727" s="1" t="str">
        <f>_xlfn.XLOOKUP(ocupacao[[#This Row],[EspecialidadeID]],especialidades!$A:$A,especialidades!$B:$B,"",0)</f>
        <v>MAPA 24 HORAS</v>
      </c>
      <c r="P727" s="1" t="str">
        <f>TEXT(WEEKDAY(ocupacao[[#This Row],[Data]]),"ddd")</f>
        <v>qui</v>
      </c>
      <c r="Q727" s="1">
        <f t="shared" si="11"/>
        <v>0</v>
      </c>
    </row>
    <row r="728" spans="1:17" x14ac:dyDescent="0.25">
      <c r="A728" s="2">
        <v>44742</v>
      </c>
      <c r="B728">
        <v>34</v>
      </c>
      <c r="C728">
        <v>27</v>
      </c>
      <c r="D728">
        <v>383</v>
      </c>
      <c r="E728">
        <v>17952</v>
      </c>
      <c r="F728" s="1" t="s">
        <v>364</v>
      </c>
      <c r="G728">
        <v>0</v>
      </c>
      <c r="H728">
        <v>0</v>
      </c>
      <c r="I728">
        <v>2</v>
      </c>
      <c r="J728">
        <v>2</v>
      </c>
      <c r="K728" s="33">
        <v>0</v>
      </c>
      <c r="L728" s="1"/>
      <c r="M728" s="1" t="str">
        <f>_xlfn.XLOOKUP(ocupacao[[#This Row],[UnidadeID]],unidades!$A:$A,unidades!$B:$B,"",0)</f>
        <v>São João</v>
      </c>
      <c r="N728" s="1" t="str">
        <f>_xlfn.XLOOKUP(ocupacao[[#This Row],[UnidadeID]],unidades!$A:$A,unidades!$C:$C,"",0)</f>
        <v>São João de Meriti</v>
      </c>
      <c r="O728" s="1" t="str">
        <f>_xlfn.XLOOKUP(ocupacao[[#This Row],[EspecialidadeID]],especialidades!$A:$A,especialidades!$B:$B,"",0)</f>
        <v>MAPA 24 HORAS</v>
      </c>
      <c r="P728" s="1" t="str">
        <f>TEXT(WEEKDAY(ocupacao[[#This Row],[Data]]),"ddd")</f>
        <v>qui</v>
      </c>
      <c r="Q728" s="1">
        <f t="shared" si="11"/>
        <v>0</v>
      </c>
    </row>
    <row r="729" spans="1:17" x14ac:dyDescent="0.25">
      <c r="A729" s="2">
        <v>44743</v>
      </c>
      <c r="B729">
        <v>10</v>
      </c>
      <c r="C729">
        <v>27</v>
      </c>
      <c r="D729">
        <v>4</v>
      </c>
      <c r="E729">
        <v>17890</v>
      </c>
      <c r="F729" s="1" t="s">
        <v>151</v>
      </c>
      <c r="G729">
        <v>0</v>
      </c>
      <c r="H729">
        <v>0</v>
      </c>
      <c r="I729">
        <v>8</v>
      </c>
      <c r="J729">
        <v>8</v>
      </c>
      <c r="K729" s="33">
        <v>0</v>
      </c>
      <c r="L729" s="1"/>
      <c r="M729" s="1" t="str">
        <f>_xlfn.XLOOKUP(ocupacao[[#This Row],[UnidadeID]],unidades!$A:$A,unidades!$B:$B,"",0)</f>
        <v>Filial 2 - 10º</v>
      </c>
      <c r="N729" s="1" t="str">
        <f>_xlfn.XLOOKUP(ocupacao[[#This Row],[UnidadeID]],unidades!$A:$A,unidades!$C:$C,"",0)</f>
        <v>Nova Iguaçu</v>
      </c>
      <c r="O729" s="1" t="str">
        <f>_xlfn.XLOOKUP(ocupacao[[#This Row],[EspecialidadeID]],especialidades!$A:$A,especialidades!$B:$B,"",0)</f>
        <v>MAPA 24 HORAS</v>
      </c>
      <c r="P729" s="1" t="str">
        <f>TEXT(WEEKDAY(ocupacao[[#This Row],[Data]]),"ddd")</f>
        <v>sex</v>
      </c>
      <c r="Q729" s="1">
        <f t="shared" si="11"/>
        <v>0</v>
      </c>
    </row>
    <row r="730" spans="1:17" x14ac:dyDescent="0.25">
      <c r="A730" s="2">
        <v>44743</v>
      </c>
      <c r="B730">
        <v>18</v>
      </c>
      <c r="C730">
        <v>27</v>
      </c>
      <c r="D730">
        <v>76</v>
      </c>
      <c r="E730">
        <v>17891</v>
      </c>
      <c r="F730" s="1" t="s">
        <v>152</v>
      </c>
      <c r="G730">
        <v>0</v>
      </c>
      <c r="H730">
        <v>0</v>
      </c>
      <c r="I730">
        <v>2</v>
      </c>
      <c r="J730">
        <v>2</v>
      </c>
      <c r="K730" s="33">
        <v>0</v>
      </c>
      <c r="L730" s="1"/>
      <c r="M730" s="1" t="str">
        <f>_xlfn.XLOOKUP(ocupacao[[#This Row],[UnidadeID]],unidades!$A:$A,unidades!$B:$B,"",0)</f>
        <v>Miguel Couto</v>
      </c>
      <c r="N730" s="1" t="str">
        <f>_xlfn.XLOOKUP(ocupacao[[#This Row],[UnidadeID]],unidades!$A:$A,unidades!$C:$C,"",0)</f>
        <v>Miguel Couto</v>
      </c>
      <c r="O730" s="1" t="str">
        <f>_xlfn.XLOOKUP(ocupacao[[#This Row],[EspecialidadeID]],especialidades!$A:$A,especialidades!$B:$B,"",0)</f>
        <v>MAPA 24 HORAS</v>
      </c>
      <c r="P730" s="1" t="str">
        <f>TEXT(WEEKDAY(ocupacao[[#This Row],[Data]]),"ddd")</f>
        <v>sex</v>
      </c>
      <c r="Q730" s="1">
        <f t="shared" si="11"/>
        <v>0</v>
      </c>
    </row>
    <row r="731" spans="1:17" x14ac:dyDescent="0.25">
      <c r="A731" s="2">
        <v>44743</v>
      </c>
      <c r="B731">
        <v>24</v>
      </c>
      <c r="C731">
        <v>27</v>
      </c>
      <c r="D731">
        <v>55</v>
      </c>
      <c r="E731">
        <v>17892</v>
      </c>
      <c r="F731" s="1" t="s">
        <v>149</v>
      </c>
      <c r="G731">
        <v>0</v>
      </c>
      <c r="H731">
        <v>0</v>
      </c>
      <c r="I731">
        <v>2</v>
      </c>
      <c r="J731">
        <v>2</v>
      </c>
      <c r="K731" s="33">
        <v>0</v>
      </c>
      <c r="L731" s="1"/>
      <c r="M731" s="1" t="str">
        <f>_xlfn.XLOOKUP(ocupacao[[#This Row],[UnidadeID]],unidades!$A:$A,unidades!$B:$B,"",0)</f>
        <v>Nilópolis</v>
      </c>
      <c r="N731" s="1" t="str">
        <f>_xlfn.XLOOKUP(ocupacao[[#This Row],[UnidadeID]],unidades!$A:$A,unidades!$C:$C,"",0)</f>
        <v>Nilópolis</v>
      </c>
      <c r="O731" s="1" t="str">
        <f>_xlfn.XLOOKUP(ocupacao[[#This Row],[EspecialidadeID]],especialidades!$A:$A,especialidades!$B:$B,"",0)</f>
        <v>MAPA 24 HORAS</v>
      </c>
      <c r="P731" s="1" t="str">
        <f>TEXT(WEEKDAY(ocupacao[[#This Row],[Data]]),"ddd")</f>
        <v>sex</v>
      </c>
      <c r="Q731" s="1">
        <f t="shared" si="11"/>
        <v>0</v>
      </c>
    </row>
    <row r="732" spans="1:17" hidden="1" x14ac:dyDescent="0.25">
      <c r="A732" s="2">
        <v>44743</v>
      </c>
      <c r="B732">
        <v>34</v>
      </c>
      <c r="C732">
        <v>27</v>
      </c>
      <c r="D732">
        <v>383</v>
      </c>
      <c r="E732">
        <v>17952</v>
      </c>
      <c r="F732" s="1" t="s">
        <v>364</v>
      </c>
      <c r="G732">
        <v>0</v>
      </c>
      <c r="H732">
        <v>0</v>
      </c>
      <c r="I732">
        <v>2</v>
      </c>
      <c r="J732">
        <v>2</v>
      </c>
      <c r="K732" s="33">
        <v>0</v>
      </c>
      <c r="L732" s="1"/>
      <c r="M732" s="1"/>
      <c r="N732" s="1"/>
      <c r="O732" s="1"/>
      <c r="P732" s="1"/>
      <c r="Q732" s="1"/>
    </row>
    <row r="733" spans="1:17" x14ac:dyDescent="0.25">
      <c r="A733" s="2"/>
      <c r="F733" s="1" t="s">
        <v>106</v>
      </c>
      <c r="K733" s="33"/>
      <c r="L733" s="1"/>
      <c r="M733" s="1">
        <f>_xlfn.XLOOKUP(ocupacao[[#This Row],[UnidadeID]],unidades!$A:$A,unidades!$B:$B,"",0)</f>
        <v>0</v>
      </c>
      <c r="N733" s="1">
        <f>_xlfn.XLOOKUP(ocupacao[[#This Row],[UnidadeID]],unidades!$A:$A,unidades!$C:$C,"",0)</f>
        <v>0</v>
      </c>
      <c r="O733" s="1">
        <f>_xlfn.XLOOKUP(ocupacao[[#This Row],[EspecialidadeID]],especialidades!$A:$A,especialidades!$B:$B,"",0)</f>
        <v>0</v>
      </c>
      <c r="P733" s="1" t="str">
        <f>TEXT(WEEKDAY(ocupacao[[#This Row],[Data]]),"ddd")</f>
        <v>sáb</v>
      </c>
      <c r="Q733" s="1">
        <f t="shared" si="11"/>
        <v>0</v>
      </c>
    </row>
    <row r="734" spans="1:17" x14ac:dyDescent="0.25">
      <c r="A734" s="2">
        <v>44733</v>
      </c>
      <c r="B734">
        <v>10</v>
      </c>
      <c r="C734">
        <v>28</v>
      </c>
      <c r="D734">
        <v>4</v>
      </c>
      <c r="E734">
        <v>17893</v>
      </c>
      <c r="F734" s="1" t="s">
        <v>158</v>
      </c>
      <c r="G734">
        <v>0</v>
      </c>
      <c r="H734">
        <v>2</v>
      </c>
      <c r="I734">
        <v>2</v>
      </c>
      <c r="J734">
        <v>4</v>
      </c>
      <c r="K734" s="33">
        <v>0.5</v>
      </c>
      <c r="L734" s="1"/>
      <c r="M734" s="1" t="str">
        <f>_xlfn.XLOOKUP(ocupacao[[#This Row],[UnidadeID]],unidades!$A:$A,unidades!$B:$B,"",0)</f>
        <v>Filial 2 - 10º</v>
      </c>
      <c r="N734" s="1" t="str">
        <f>_xlfn.XLOOKUP(ocupacao[[#This Row],[UnidadeID]],unidades!$A:$A,unidades!$C:$C,"",0)</f>
        <v>Nova Iguaçu</v>
      </c>
      <c r="O734" s="1" t="str">
        <f>_xlfn.XLOOKUP(ocupacao[[#This Row],[EspecialidadeID]],especialidades!$A:$A,especialidades!$B:$B,"",0)</f>
        <v>HOLTER 24 HORAS</v>
      </c>
      <c r="P734" s="1" t="str">
        <f>TEXT(WEEKDAY(ocupacao[[#This Row],[Data]]),"ddd")</f>
        <v>ter</v>
      </c>
      <c r="Q734" s="1">
        <f t="shared" si="11"/>
        <v>0</v>
      </c>
    </row>
    <row r="735" spans="1:17" hidden="1" x14ac:dyDescent="0.25">
      <c r="A735" s="2">
        <v>44733</v>
      </c>
      <c r="B735">
        <v>18</v>
      </c>
      <c r="C735">
        <v>28</v>
      </c>
      <c r="D735">
        <v>76</v>
      </c>
      <c r="E735">
        <v>17894</v>
      </c>
      <c r="F735" s="1" t="s">
        <v>159</v>
      </c>
      <c r="G735">
        <v>0</v>
      </c>
      <c r="H735">
        <v>0</v>
      </c>
      <c r="I735">
        <v>2</v>
      </c>
      <c r="J735">
        <v>2</v>
      </c>
      <c r="K735" s="33">
        <v>0</v>
      </c>
      <c r="L735" s="1"/>
      <c r="M735" s="1"/>
      <c r="N735" s="1"/>
      <c r="O735" s="1"/>
      <c r="P735" s="1"/>
      <c r="Q735" s="1"/>
    </row>
    <row r="736" spans="1:17" x14ac:dyDescent="0.25">
      <c r="A736" s="2">
        <v>44733</v>
      </c>
      <c r="B736">
        <v>24</v>
      </c>
      <c r="C736">
        <v>28</v>
      </c>
      <c r="D736">
        <v>55</v>
      </c>
      <c r="E736">
        <v>17895</v>
      </c>
      <c r="F736" s="1" t="s">
        <v>160</v>
      </c>
      <c r="G736">
        <v>1</v>
      </c>
      <c r="H736">
        <v>0</v>
      </c>
      <c r="I736">
        <v>1</v>
      </c>
      <c r="J736">
        <v>2</v>
      </c>
      <c r="K736" s="33">
        <v>0.5</v>
      </c>
      <c r="L736" s="1"/>
      <c r="M736" s="1" t="str">
        <f>_xlfn.XLOOKUP(ocupacao[[#This Row],[UnidadeID]],unidades!$A:$A,unidades!$B:$B,"",0)</f>
        <v>Nilópolis</v>
      </c>
      <c r="N736" s="1" t="str">
        <f>_xlfn.XLOOKUP(ocupacao[[#This Row],[UnidadeID]],unidades!$A:$A,unidades!$C:$C,"",0)</f>
        <v>Nilópolis</v>
      </c>
      <c r="O736" s="1" t="str">
        <f>_xlfn.XLOOKUP(ocupacao[[#This Row],[EspecialidadeID]],especialidades!$A:$A,especialidades!$B:$B,"",0)</f>
        <v>HOLTER 24 HORAS</v>
      </c>
      <c r="P736" s="1" t="str">
        <f>TEXT(WEEKDAY(ocupacao[[#This Row],[Data]]),"ddd")</f>
        <v>ter</v>
      </c>
      <c r="Q736" s="1">
        <f t="shared" si="11"/>
        <v>0</v>
      </c>
    </row>
    <row r="737" spans="1:17" x14ac:dyDescent="0.25">
      <c r="A737" s="2">
        <v>44733</v>
      </c>
      <c r="B737">
        <v>34</v>
      </c>
      <c r="C737">
        <v>28</v>
      </c>
      <c r="D737">
        <v>383</v>
      </c>
      <c r="E737">
        <v>17953</v>
      </c>
      <c r="F737" s="1" t="s">
        <v>365</v>
      </c>
      <c r="G737">
        <v>0</v>
      </c>
      <c r="H737">
        <v>1</v>
      </c>
      <c r="I737">
        <v>0</v>
      </c>
      <c r="J737">
        <v>1</v>
      </c>
      <c r="K737" s="33">
        <v>1</v>
      </c>
      <c r="L737" s="1"/>
      <c r="M737" s="1" t="str">
        <f>_xlfn.XLOOKUP(ocupacao[[#This Row],[UnidadeID]],unidades!$A:$A,unidades!$B:$B,"",0)</f>
        <v>São João</v>
      </c>
      <c r="N737" s="1" t="str">
        <f>_xlfn.XLOOKUP(ocupacao[[#This Row],[UnidadeID]],unidades!$A:$A,unidades!$C:$C,"",0)</f>
        <v>São João de Meriti</v>
      </c>
      <c r="O737" s="1" t="str">
        <f>_xlfn.XLOOKUP(ocupacao[[#This Row],[EspecialidadeID]],especialidades!$A:$A,especialidades!$B:$B,"",0)</f>
        <v>HOLTER 24 HORAS</v>
      </c>
      <c r="P737" s="1" t="str">
        <f>TEXT(WEEKDAY(ocupacao[[#This Row],[Data]]),"ddd")</f>
        <v>ter</v>
      </c>
      <c r="Q737" s="1">
        <f t="shared" si="11"/>
        <v>0</v>
      </c>
    </row>
    <row r="738" spans="1:17" x14ac:dyDescent="0.25">
      <c r="A738" s="2">
        <v>44734</v>
      </c>
      <c r="B738">
        <v>10</v>
      </c>
      <c r="C738">
        <v>28</v>
      </c>
      <c r="D738">
        <v>4</v>
      </c>
      <c r="E738">
        <v>17893</v>
      </c>
      <c r="F738" s="1" t="s">
        <v>158</v>
      </c>
      <c r="G738">
        <v>0</v>
      </c>
      <c r="H738">
        <v>3</v>
      </c>
      <c r="I738">
        <v>1</v>
      </c>
      <c r="J738">
        <v>4</v>
      </c>
      <c r="K738" s="33">
        <v>0.75</v>
      </c>
      <c r="L738" s="1"/>
      <c r="M738" s="1" t="str">
        <f>_xlfn.XLOOKUP(ocupacao[[#This Row],[UnidadeID]],unidades!$A:$A,unidades!$B:$B,"",0)</f>
        <v>Filial 2 - 10º</v>
      </c>
      <c r="N738" s="1" t="str">
        <f>_xlfn.XLOOKUP(ocupacao[[#This Row],[UnidadeID]],unidades!$A:$A,unidades!$C:$C,"",0)</f>
        <v>Nova Iguaçu</v>
      </c>
      <c r="O738" s="1" t="str">
        <f>_xlfn.XLOOKUP(ocupacao[[#This Row],[EspecialidadeID]],especialidades!$A:$A,especialidades!$B:$B,"",0)</f>
        <v>HOLTER 24 HORAS</v>
      </c>
      <c r="P738" s="1" t="str">
        <f>TEXT(WEEKDAY(ocupacao[[#This Row],[Data]]),"ddd")</f>
        <v>qua</v>
      </c>
      <c r="Q738" s="1">
        <f t="shared" si="11"/>
        <v>0</v>
      </c>
    </row>
    <row r="739" spans="1:17" hidden="1" x14ac:dyDescent="0.25">
      <c r="A739" s="2"/>
      <c r="F739" s="1"/>
      <c r="K739" s="33"/>
      <c r="L739" s="1"/>
      <c r="M739" s="1"/>
      <c r="N739" s="1"/>
      <c r="O739" s="1"/>
      <c r="P739" s="1"/>
      <c r="Q739" s="1"/>
    </row>
    <row r="740" spans="1:17" x14ac:dyDescent="0.25">
      <c r="A740" s="2">
        <v>44734</v>
      </c>
      <c r="B740">
        <v>18</v>
      </c>
      <c r="C740">
        <v>28</v>
      </c>
      <c r="D740">
        <v>76</v>
      </c>
      <c r="E740">
        <v>17894</v>
      </c>
      <c r="F740" s="1" t="s">
        <v>159</v>
      </c>
      <c r="G740">
        <v>0</v>
      </c>
      <c r="H740">
        <v>1</v>
      </c>
      <c r="I740">
        <v>1</v>
      </c>
      <c r="J740">
        <v>2</v>
      </c>
      <c r="K740" s="33">
        <v>0.5</v>
      </c>
      <c r="L740" s="1"/>
      <c r="M740" s="1" t="str">
        <f>_xlfn.XLOOKUP(ocupacao[[#This Row],[UnidadeID]],unidades!$A:$A,unidades!$B:$B,"",0)</f>
        <v>Miguel Couto</v>
      </c>
      <c r="N740" s="1" t="str">
        <f>_xlfn.XLOOKUP(ocupacao[[#This Row],[UnidadeID]],unidades!$A:$A,unidades!$C:$C,"",0)</f>
        <v>Miguel Couto</v>
      </c>
      <c r="O740" s="1" t="str">
        <f>_xlfn.XLOOKUP(ocupacao[[#This Row],[EspecialidadeID]],especialidades!$A:$A,especialidades!$B:$B,"",0)</f>
        <v>HOLTER 24 HORAS</v>
      </c>
      <c r="P740" s="1" t="str">
        <f>TEXT(WEEKDAY(ocupacao[[#This Row],[Data]]),"ddd")</f>
        <v>qua</v>
      </c>
      <c r="Q740" s="1">
        <f t="shared" si="11"/>
        <v>0</v>
      </c>
    </row>
    <row r="741" spans="1:17" x14ac:dyDescent="0.25">
      <c r="A741" s="2">
        <v>44734</v>
      </c>
      <c r="B741">
        <v>24</v>
      </c>
      <c r="C741">
        <v>28</v>
      </c>
      <c r="D741">
        <v>55</v>
      </c>
      <c r="E741">
        <v>17895</v>
      </c>
      <c r="F741" s="1" t="s">
        <v>160</v>
      </c>
      <c r="G741">
        <v>0</v>
      </c>
      <c r="H741">
        <v>0</v>
      </c>
      <c r="I741">
        <v>2</v>
      </c>
      <c r="J741">
        <v>2</v>
      </c>
      <c r="K741" s="33">
        <v>0</v>
      </c>
      <c r="L741" s="1"/>
      <c r="M741" s="1" t="str">
        <f>_xlfn.XLOOKUP(ocupacao[[#This Row],[UnidadeID]],unidades!$A:$A,unidades!$B:$B,"",0)</f>
        <v>Nilópolis</v>
      </c>
      <c r="N741" s="1" t="str">
        <f>_xlfn.XLOOKUP(ocupacao[[#This Row],[UnidadeID]],unidades!$A:$A,unidades!$C:$C,"",0)</f>
        <v>Nilópolis</v>
      </c>
      <c r="O741" s="1" t="str">
        <f>_xlfn.XLOOKUP(ocupacao[[#This Row],[EspecialidadeID]],especialidades!$A:$A,especialidades!$B:$B,"",0)</f>
        <v>HOLTER 24 HORAS</v>
      </c>
      <c r="P741" s="1" t="str">
        <f>TEXT(WEEKDAY(ocupacao[[#This Row],[Data]]),"ddd")</f>
        <v>qua</v>
      </c>
      <c r="Q741" s="1">
        <f t="shared" si="11"/>
        <v>0</v>
      </c>
    </row>
    <row r="742" spans="1:17" hidden="1" x14ac:dyDescent="0.25">
      <c r="A742" s="2">
        <v>44734</v>
      </c>
      <c r="B742">
        <v>34</v>
      </c>
      <c r="C742">
        <v>28</v>
      </c>
      <c r="D742">
        <v>383</v>
      </c>
      <c r="E742">
        <v>17953</v>
      </c>
      <c r="F742" s="1" t="s">
        <v>365</v>
      </c>
      <c r="G742">
        <v>0</v>
      </c>
      <c r="H742">
        <v>0</v>
      </c>
      <c r="I742">
        <v>1</v>
      </c>
      <c r="J742">
        <v>1</v>
      </c>
      <c r="K742" s="33">
        <v>0</v>
      </c>
      <c r="L742" s="1"/>
      <c r="M742" s="1"/>
      <c r="N742" s="1"/>
      <c r="O742" s="1"/>
      <c r="P742" s="1"/>
      <c r="Q742" s="1"/>
    </row>
    <row r="743" spans="1:17" x14ac:dyDescent="0.25">
      <c r="A743" s="2">
        <v>44735</v>
      </c>
      <c r="B743">
        <v>10</v>
      </c>
      <c r="C743">
        <v>28</v>
      </c>
      <c r="D743">
        <v>4</v>
      </c>
      <c r="E743">
        <v>17893</v>
      </c>
      <c r="F743" s="1" t="s">
        <v>158</v>
      </c>
      <c r="G743">
        <v>0</v>
      </c>
      <c r="H743">
        <v>1</v>
      </c>
      <c r="I743">
        <v>3</v>
      </c>
      <c r="J743">
        <v>4</v>
      </c>
      <c r="K743" s="33">
        <v>0.25</v>
      </c>
      <c r="L743" s="1"/>
      <c r="M743" s="1" t="str">
        <f>_xlfn.XLOOKUP(ocupacao[[#This Row],[UnidadeID]],unidades!$A:$A,unidades!$B:$B,"",0)</f>
        <v>Filial 2 - 10º</v>
      </c>
      <c r="N743" s="1" t="str">
        <f>_xlfn.XLOOKUP(ocupacao[[#This Row],[UnidadeID]],unidades!$A:$A,unidades!$C:$C,"",0)</f>
        <v>Nova Iguaçu</v>
      </c>
      <c r="O743" s="1" t="str">
        <f>_xlfn.XLOOKUP(ocupacao[[#This Row],[EspecialidadeID]],especialidades!$A:$A,especialidades!$B:$B,"",0)</f>
        <v>HOLTER 24 HORAS</v>
      </c>
      <c r="P743" s="1" t="str">
        <f>TEXT(WEEKDAY(ocupacao[[#This Row],[Data]]),"ddd")</f>
        <v>qui</v>
      </c>
      <c r="Q743" s="1">
        <f t="shared" si="11"/>
        <v>0</v>
      </c>
    </row>
    <row r="744" spans="1:17" x14ac:dyDescent="0.25">
      <c r="A744" s="2">
        <v>44735</v>
      </c>
      <c r="B744">
        <v>18</v>
      </c>
      <c r="C744">
        <v>28</v>
      </c>
      <c r="D744">
        <v>76</v>
      </c>
      <c r="E744">
        <v>17894</v>
      </c>
      <c r="F744" s="1" t="s">
        <v>159</v>
      </c>
      <c r="G744">
        <v>0</v>
      </c>
      <c r="H744">
        <v>0</v>
      </c>
      <c r="I744">
        <v>2</v>
      </c>
      <c r="J744">
        <v>2</v>
      </c>
      <c r="K744" s="33">
        <v>0</v>
      </c>
      <c r="L744" s="1"/>
      <c r="M744" s="1" t="str">
        <f>_xlfn.XLOOKUP(ocupacao[[#This Row],[UnidadeID]],unidades!$A:$A,unidades!$B:$B,"",0)</f>
        <v>Miguel Couto</v>
      </c>
      <c r="N744" s="1" t="str">
        <f>_xlfn.XLOOKUP(ocupacao[[#This Row],[UnidadeID]],unidades!$A:$A,unidades!$C:$C,"",0)</f>
        <v>Miguel Couto</v>
      </c>
      <c r="O744" s="1" t="str">
        <f>_xlfn.XLOOKUP(ocupacao[[#This Row],[EspecialidadeID]],especialidades!$A:$A,especialidades!$B:$B,"",0)</f>
        <v>HOLTER 24 HORAS</v>
      </c>
      <c r="P744" s="1" t="str">
        <f>TEXT(WEEKDAY(ocupacao[[#This Row],[Data]]),"ddd")</f>
        <v>qui</v>
      </c>
      <c r="Q744" s="1">
        <f t="shared" si="11"/>
        <v>0</v>
      </c>
    </row>
    <row r="745" spans="1:17" hidden="1" x14ac:dyDescent="0.25">
      <c r="A745" s="2"/>
      <c r="F745" s="1"/>
      <c r="K745" s="33"/>
      <c r="L745" s="1"/>
      <c r="M745" s="1"/>
      <c r="N745" s="1"/>
      <c r="O745" s="1"/>
      <c r="P745" s="1"/>
      <c r="Q745" s="1"/>
    </row>
    <row r="746" spans="1:17" x14ac:dyDescent="0.25">
      <c r="A746" s="2">
        <v>44735</v>
      </c>
      <c r="B746">
        <v>24</v>
      </c>
      <c r="C746">
        <v>28</v>
      </c>
      <c r="D746">
        <v>55</v>
      </c>
      <c r="E746">
        <v>17895</v>
      </c>
      <c r="F746" s="1" t="s">
        <v>160</v>
      </c>
      <c r="G746">
        <v>0</v>
      </c>
      <c r="H746">
        <v>1</v>
      </c>
      <c r="I746">
        <v>1</v>
      </c>
      <c r="J746">
        <v>2</v>
      </c>
      <c r="K746" s="33">
        <v>0.5</v>
      </c>
      <c r="L746" s="1"/>
      <c r="M746" s="1" t="str">
        <f>_xlfn.XLOOKUP(ocupacao[[#This Row],[UnidadeID]],unidades!$A:$A,unidades!$B:$B,"",0)</f>
        <v>Nilópolis</v>
      </c>
      <c r="N746" s="1" t="str">
        <f>_xlfn.XLOOKUP(ocupacao[[#This Row],[UnidadeID]],unidades!$A:$A,unidades!$C:$C,"",0)</f>
        <v>Nilópolis</v>
      </c>
      <c r="O746" s="1" t="str">
        <f>_xlfn.XLOOKUP(ocupacao[[#This Row],[EspecialidadeID]],especialidades!$A:$A,especialidades!$B:$B,"",0)</f>
        <v>HOLTER 24 HORAS</v>
      </c>
      <c r="P746" s="1" t="str">
        <f>TEXT(WEEKDAY(ocupacao[[#This Row],[Data]]),"ddd")</f>
        <v>qui</v>
      </c>
      <c r="Q746" s="1">
        <f t="shared" si="11"/>
        <v>0</v>
      </c>
    </row>
    <row r="747" spans="1:17" x14ac:dyDescent="0.25">
      <c r="A747" s="2">
        <v>44736</v>
      </c>
      <c r="B747">
        <v>10</v>
      </c>
      <c r="C747">
        <v>28</v>
      </c>
      <c r="D747">
        <v>4</v>
      </c>
      <c r="E747">
        <v>17893</v>
      </c>
      <c r="F747" s="1" t="s">
        <v>158</v>
      </c>
      <c r="G747">
        <v>0</v>
      </c>
      <c r="H747">
        <v>3</v>
      </c>
      <c r="I747">
        <v>1</v>
      </c>
      <c r="J747">
        <v>4</v>
      </c>
      <c r="K747" s="33">
        <v>0.75</v>
      </c>
      <c r="L747" s="1"/>
      <c r="M747" s="1" t="str">
        <f>_xlfn.XLOOKUP(ocupacao[[#This Row],[UnidadeID]],unidades!$A:$A,unidades!$B:$B,"",0)</f>
        <v>Filial 2 - 10º</v>
      </c>
      <c r="N747" s="1" t="str">
        <f>_xlfn.XLOOKUP(ocupacao[[#This Row],[UnidadeID]],unidades!$A:$A,unidades!$C:$C,"",0)</f>
        <v>Nova Iguaçu</v>
      </c>
      <c r="O747" s="1" t="str">
        <f>_xlfn.XLOOKUP(ocupacao[[#This Row],[EspecialidadeID]],especialidades!$A:$A,especialidades!$B:$B,"",0)</f>
        <v>HOLTER 24 HORAS</v>
      </c>
      <c r="P747" s="1" t="str">
        <f>TEXT(WEEKDAY(ocupacao[[#This Row],[Data]]),"ddd")</f>
        <v>sex</v>
      </c>
      <c r="Q747" s="1">
        <f t="shared" si="11"/>
        <v>0</v>
      </c>
    </row>
    <row r="748" spans="1:17" x14ac:dyDescent="0.25">
      <c r="A748" s="2">
        <v>44736</v>
      </c>
      <c r="B748">
        <v>18</v>
      </c>
      <c r="C748">
        <v>28</v>
      </c>
      <c r="D748">
        <v>76</v>
      </c>
      <c r="E748">
        <v>17894</v>
      </c>
      <c r="F748" s="1" t="s">
        <v>159</v>
      </c>
      <c r="G748">
        <v>0</v>
      </c>
      <c r="H748">
        <v>0</v>
      </c>
      <c r="I748">
        <v>2</v>
      </c>
      <c r="J748">
        <v>2</v>
      </c>
      <c r="K748" s="33">
        <v>0</v>
      </c>
      <c r="L748" s="1"/>
      <c r="M748" s="1" t="str">
        <f>_xlfn.XLOOKUP(ocupacao[[#This Row],[UnidadeID]],unidades!$A:$A,unidades!$B:$B,"",0)</f>
        <v>Miguel Couto</v>
      </c>
      <c r="N748" s="1" t="str">
        <f>_xlfn.XLOOKUP(ocupacao[[#This Row],[UnidadeID]],unidades!$A:$A,unidades!$C:$C,"",0)</f>
        <v>Miguel Couto</v>
      </c>
      <c r="O748" s="1" t="str">
        <f>_xlfn.XLOOKUP(ocupacao[[#This Row],[EspecialidadeID]],especialidades!$A:$A,especialidades!$B:$B,"",0)</f>
        <v>HOLTER 24 HORAS</v>
      </c>
      <c r="P748" s="1" t="str">
        <f>TEXT(WEEKDAY(ocupacao[[#This Row],[Data]]),"ddd")</f>
        <v>sex</v>
      </c>
      <c r="Q748" s="1">
        <f t="shared" si="11"/>
        <v>0</v>
      </c>
    </row>
    <row r="749" spans="1:17" x14ac:dyDescent="0.25">
      <c r="A749" s="2">
        <v>44736</v>
      </c>
      <c r="B749">
        <v>24</v>
      </c>
      <c r="C749">
        <v>28</v>
      </c>
      <c r="D749">
        <v>55</v>
      </c>
      <c r="E749">
        <v>17895</v>
      </c>
      <c r="F749" s="1" t="s">
        <v>160</v>
      </c>
      <c r="G749">
        <v>0</v>
      </c>
      <c r="H749">
        <v>0</v>
      </c>
      <c r="I749">
        <v>2</v>
      </c>
      <c r="J749">
        <v>2</v>
      </c>
      <c r="K749" s="33">
        <v>0</v>
      </c>
      <c r="L749" s="1"/>
      <c r="M749" s="1" t="str">
        <f>_xlfn.XLOOKUP(ocupacao[[#This Row],[UnidadeID]],unidades!$A:$A,unidades!$B:$B,"",0)</f>
        <v>Nilópolis</v>
      </c>
      <c r="N749" s="1" t="str">
        <f>_xlfn.XLOOKUP(ocupacao[[#This Row],[UnidadeID]],unidades!$A:$A,unidades!$C:$C,"",0)</f>
        <v>Nilópolis</v>
      </c>
      <c r="O749" s="1" t="str">
        <f>_xlfn.XLOOKUP(ocupacao[[#This Row],[EspecialidadeID]],especialidades!$A:$A,especialidades!$B:$B,"",0)</f>
        <v>HOLTER 24 HORAS</v>
      </c>
      <c r="P749" s="1" t="str">
        <f>TEXT(WEEKDAY(ocupacao[[#This Row],[Data]]),"ddd")</f>
        <v>sex</v>
      </c>
      <c r="Q749" s="1">
        <f t="shared" si="11"/>
        <v>0</v>
      </c>
    </row>
    <row r="750" spans="1:17" x14ac:dyDescent="0.25">
      <c r="A750" s="2">
        <v>44736</v>
      </c>
      <c r="B750">
        <v>34</v>
      </c>
      <c r="C750">
        <v>28</v>
      </c>
      <c r="D750">
        <v>383</v>
      </c>
      <c r="E750">
        <v>17953</v>
      </c>
      <c r="F750" s="1" t="s">
        <v>365</v>
      </c>
      <c r="G750">
        <v>0</v>
      </c>
      <c r="H750">
        <v>0</v>
      </c>
      <c r="I750">
        <v>1</v>
      </c>
      <c r="J750">
        <v>1</v>
      </c>
      <c r="K750" s="33">
        <v>0</v>
      </c>
      <c r="L750" s="1"/>
      <c r="M750" s="1" t="str">
        <f>_xlfn.XLOOKUP(ocupacao[[#This Row],[UnidadeID]],unidades!$A:$A,unidades!$B:$B,"",0)</f>
        <v>São João</v>
      </c>
      <c r="N750" s="1" t="str">
        <f>_xlfn.XLOOKUP(ocupacao[[#This Row],[UnidadeID]],unidades!$A:$A,unidades!$C:$C,"",0)</f>
        <v>São João de Meriti</v>
      </c>
      <c r="O750" s="1" t="str">
        <f>_xlfn.XLOOKUP(ocupacao[[#This Row],[EspecialidadeID]],especialidades!$A:$A,especialidades!$B:$B,"",0)</f>
        <v>HOLTER 24 HORAS</v>
      </c>
      <c r="P750" s="1" t="str">
        <f>TEXT(WEEKDAY(ocupacao[[#This Row],[Data]]),"ddd")</f>
        <v>sex</v>
      </c>
      <c r="Q750" s="1">
        <f t="shared" si="11"/>
        <v>0</v>
      </c>
    </row>
    <row r="751" spans="1:17" x14ac:dyDescent="0.25">
      <c r="A751" s="2">
        <v>44739</v>
      </c>
      <c r="B751">
        <v>10</v>
      </c>
      <c r="C751">
        <v>28</v>
      </c>
      <c r="D751">
        <v>4</v>
      </c>
      <c r="E751">
        <v>17893</v>
      </c>
      <c r="F751" s="1" t="s">
        <v>158</v>
      </c>
      <c r="G751">
        <v>0</v>
      </c>
      <c r="H751">
        <v>3</v>
      </c>
      <c r="I751">
        <v>0</v>
      </c>
      <c r="J751">
        <v>3</v>
      </c>
      <c r="K751" s="33">
        <v>1</v>
      </c>
      <c r="L751" s="1"/>
      <c r="M751" s="1" t="str">
        <f>_xlfn.XLOOKUP(ocupacao[[#This Row],[UnidadeID]],unidades!$A:$A,unidades!$B:$B,"",0)</f>
        <v>Filial 2 - 10º</v>
      </c>
      <c r="N751" s="1" t="str">
        <f>_xlfn.XLOOKUP(ocupacao[[#This Row],[UnidadeID]],unidades!$A:$A,unidades!$C:$C,"",0)</f>
        <v>Nova Iguaçu</v>
      </c>
      <c r="O751" s="1" t="str">
        <f>_xlfn.XLOOKUP(ocupacao[[#This Row],[EspecialidadeID]],especialidades!$A:$A,especialidades!$B:$B,"",0)</f>
        <v>HOLTER 24 HORAS</v>
      </c>
      <c r="P751" s="1" t="str">
        <f>TEXT(WEEKDAY(ocupacao[[#This Row],[Data]]),"ddd")</f>
        <v>seg</v>
      </c>
      <c r="Q751" s="1">
        <f t="shared" si="11"/>
        <v>1</v>
      </c>
    </row>
    <row r="752" spans="1:17" x14ac:dyDescent="0.25">
      <c r="A752" s="2">
        <v>44739</v>
      </c>
      <c r="B752">
        <v>10</v>
      </c>
      <c r="C752">
        <v>28</v>
      </c>
      <c r="D752">
        <v>4</v>
      </c>
      <c r="E752">
        <v>17893</v>
      </c>
      <c r="F752" s="1" t="s">
        <v>158</v>
      </c>
      <c r="G752">
        <v>0</v>
      </c>
      <c r="H752">
        <v>0</v>
      </c>
      <c r="I752">
        <v>1</v>
      </c>
      <c r="J752">
        <v>1</v>
      </c>
      <c r="K752" s="33">
        <v>0</v>
      </c>
      <c r="L752" s="1"/>
      <c r="M752" s="1" t="str">
        <f>_xlfn.XLOOKUP(ocupacao[[#This Row],[UnidadeID]],unidades!$A:$A,unidades!$B:$B,"",0)</f>
        <v>Filial 2 - 10º</v>
      </c>
      <c r="N752" s="1" t="str">
        <f>_xlfn.XLOOKUP(ocupacao[[#This Row],[UnidadeID]],unidades!$A:$A,unidades!$C:$C,"",0)</f>
        <v>Nova Iguaçu</v>
      </c>
      <c r="O752" s="1" t="str">
        <f>_xlfn.XLOOKUP(ocupacao[[#This Row],[EspecialidadeID]],especialidades!$A:$A,especialidades!$B:$B,"",0)</f>
        <v>HOLTER 24 HORAS</v>
      </c>
      <c r="P752" s="1" t="str">
        <f>TEXT(WEEKDAY(ocupacao[[#This Row],[Data]]),"ddd")</f>
        <v>seg</v>
      </c>
      <c r="Q752" s="1">
        <f t="shared" si="11"/>
        <v>0</v>
      </c>
    </row>
    <row r="753" spans="1:17" x14ac:dyDescent="0.25">
      <c r="A753" s="2">
        <v>44739</v>
      </c>
      <c r="B753">
        <v>18</v>
      </c>
      <c r="C753">
        <v>28</v>
      </c>
      <c r="D753">
        <v>76</v>
      </c>
      <c r="E753">
        <v>17894</v>
      </c>
      <c r="F753" s="1" t="s">
        <v>159</v>
      </c>
      <c r="G753">
        <v>0</v>
      </c>
      <c r="H753">
        <v>0</v>
      </c>
      <c r="I753">
        <v>2</v>
      </c>
      <c r="J753">
        <v>2</v>
      </c>
      <c r="K753" s="33">
        <v>0</v>
      </c>
      <c r="L753" s="1"/>
      <c r="M753" s="1" t="str">
        <f>_xlfn.XLOOKUP(ocupacao[[#This Row],[UnidadeID]],unidades!$A:$A,unidades!$B:$B,"",0)</f>
        <v>Miguel Couto</v>
      </c>
      <c r="N753" s="1" t="str">
        <f>_xlfn.XLOOKUP(ocupacao[[#This Row],[UnidadeID]],unidades!$A:$A,unidades!$C:$C,"",0)</f>
        <v>Miguel Couto</v>
      </c>
      <c r="O753" s="1" t="str">
        <f>_xlfn.XLOOKUP(ocupacao[[#This Row],[EspecialidadeID]],especialidades!$A:$A,especialidades!$B:$B,"",0)</f>
        <v>HOLTER 24 HORAS</v>
      </c>
      <c r="P753" s="1" t="str">
        <f>TEXT(WEEKDAY(ocupacao[[#This Row],[Data]]),"ddd")</f>
        <v>seg</v>
      </c>
      <c r="Q753" s="1">
        <f t="shared" si="11"/>
        <v>0</v>
      </c>
    </row>
    <row r="754" spans="1:17" x14ac:dyDescent="0.25">
      <c r="A754" s="2">
        <v>44739</v>
      </c>
      <c r="B754">
        <v>24</v>
      </c>
      <c r="C754">
        <v>28</v>
      </c>
      <c r="D754">
        <v>55</v>
      </c>
      <c r="E754">
        <v>17895</v>
      </c>
      <c r="F754" s="1" t="s">
        <v>160</v>
      </c>
      <c r="G754">
        <v>0</v>
      </c>
      <c r="H754">
        <v>0</v>
      </c>
      <c r="I754">
        <v>2</v>
      </c>
      <c r="J754">
        <v>2</v>
      </c>
      <c r="K754" s="33">
        <v>0</v>
      </c>
      <c r="L754" s="1"/>
      <c r="M754" s="1" t="str">
        <f>_xlfn.XLOOKUP(ocupacao[[#This Row],[UnidadeID]],unidades!$A:$A,unidades!$B:$B,"",0)</f>
        <v>Nilópolis</v>
      </c>
      <c r="N754" s="1" t="str">
        <f>_xlfn.XLOOKUP(ocupacao[[#This Row],[UnidadeID]],unidades!$A:$A,unidades!$C:$C,"",0)</f>
        <v>Nilópolis</v>
      </c>
      <c r="O754" s="1" t="str">
        <f>_xlfn.XLOOKUP(ocupacao[[#This Row],[EspecialidadeID]],especialidades!$A:$A,especialidades!$B:$B,"",0)</f>
        <v>HOLTER 24 HORAS</v>
      </c>
      <c r="P754" s="1" t="str">
        <f>TEXT(WEEKDAY(ocupacao[[#This Row],[Data]]),"ddd")</f>
        <v>seg</v>
      </c>
      <c r="Q754" s="1">
        <f t="shared" si="11"/>
        <v>0</v>
      </c>
    </row>
    <row r="755" spans="1:17" x14ac:dyDescent="0.25">
      <c r="A755" s="2">
        <v>44739</v>
      </c>
      <c r="B755">
        <v>34</v>
      </c>
      <c r="C755">
        <v>28</v>
      </c>
      <c r="D755">
        <v>383</v>
      </c>
      <c r="E755">
        <v>17953</v>
      </c>
      <c r="F755" s="1" t="s">
        <v>365</v>
      </c>
      <c r="G755">
        <v>0</v>
      </c>
      <c r="H755">
        <v>0</v>
      </c>
      <c r="I755">
        <v>1</v>
      </c>
      <c r="J755">
        <v>1</v>
      </c>
      <c r="K755" s="33">
        <v>0</v>
      </c>
      <c r="L755" s="1"/>
      <c r="M755" s="1" t="str">
        <f>_xlfn.XLOOKUP(ocupacao[[#This Row],[UnidadeID]],unidades!$A:$A,unidades!$B:$B,"",0)</f>
        <v>São João</v>
      </c>
      <c r="N755" s="1" t="str">
        <f>_xlfn.XLOOKUP(ocupacao[[#This Row],[UnidadeID]],unidades!$A:$A,unidades!$C:$C,"",0)</f>
        <v>São João de Meriti</v>
      </c>
      <c r="O755" s="1" t="str">
        <f>_xlfn.XLOOKUP(ocupacao[[#This Row],[EspecialidadeID]],especialidades!$A:$A,especialidades!$B:$B,"",0)</f>
        <v>HOLTER 24 HORAS</v>
      </c>
      <c r="P755" s="1" t="str">
        <f>TEXT(WEEKDAY(ocupacao[[#This Row],[Data]]),"ddd")</f>
        <v>seg</v>
      </c>
      <c r="Q755" s="1">
        <f t="shared" si="11"/>
        <v>0</v>
      </c>
    </row>
    <row r="756" spans="1:17" x14ac:dyDescent="0.25">
      <c r="A756" s="2">
        <v>44740</v>
      </c>
      <c r="B756">
        <v>10</v>
      </c>
      <c r="C756">
        <v>28</v>
      </c>
      <c r="D756">
        <v>4</v>
      </c>
      <c r="E756">
        <v>17893</v>
      </c>
      <c r="F756" s="1" t="s">
        <v>158</v>
      </c>
      <c r="G756">
        <v>0</v>
      </c>
      <c r="H756">
        <v>0</v>
      </c>
      <c r="I756">
        <v>4</v>
      </c>
      <c r="J756">
        <v>4</v>
      </c>
      <c r="K756" s="33">
        <v>0</v>
      </c>
      <c r="L756" s="1"/>
      <c r="M756" s="1" t="str">
        <f>_xlfn.XLOOKUP(ocupacao[[#This Row],[UnidadeID]],unidades!$A:$A,unidades!$B:$B,"",0)</f>
        <v>Filial 2 - 10º</v>
      </c>
      <c r="N756" s="1" t="str">
        <f>_xlfn.XLOOKUP(ocupacao[[#This Row],[UnidadeID]],unidades!$A:$A,unidades!$C:$C,"",0)</f>
        <v>Nova Iguaçu</v>
      </c>
      <c r="O756" s="1" t="str">
        <f>_xlfn.XLOOKUP(ocupacao[[#This Row],[EspecialidadeID]],especialidades!$A:$A,especialidades!$B:$B,"",0)</f>
        <v>HOLTER 24 HORAS</v>
      </c>
      <c r="P756" s="1" t="str">
        <f>TEXT(WEEKDAY(ocupacao[[#This Row],[Data]]),"ddd")</f>
        <v>ter</v>
      </c>
      <c r="Q756" s="1">
        <f t="shared" si="11"/>
        <v>0</v>
      </c>
    </row>
    <row r="757" spans="1:17" x14ac:dyDescent="0.25">
      <c r="A757" s="2">
        <v>44740</v>
      </c>
      <c r="B757">
        <v>18</v>
      </c>
      <c r="C757">
        <v>28</v>
      </c>
      <c r="D757">
        <v>76</v>
      </c>
      <c r="E757">
        <v>17894</v>
      </c>
      <c r="F757" s="1" t="s">
        <v>159</v>
      </c>
      <c r="G757">
        <v>0</v>
      </c>
      <c r="H757">
        <v>0</v>
      </c>
      <c r="I757">
        <v>2</v>
      </c>
      <c r="J757">
        <v>2</v>
      </c>
      <c r="K757" s="33">
        <v>0</v>
      </c>
      <c r="L757" s="1"/>
      <c r="M757" s="1" t="str">
        <f>_xlfn.XLOOKUP(ocupacao[[#This Row],[UnidadeID]],unidades!$A:$A,unidades!$B:$B,"",0)</f>
        <v>Miguel Couto</v>
      </c>
      <c r="N757" s="1" t="str">
        <f>_xlfn.XLOOKUP(ocupacao[[#This Row],[UnidadeID]],unidades!$A:$A,unidades!$C:$C,"",0)</f>
        <v>Miguel Couto</v>
      </c>
      <c r="O757" s="1" t="str">
        <f>_xlfn.XLOOKUP(ocupacao[[#This Row],[EspecialidadeID]],especialidades!$A:$A,especialidades!$B:$B,"",0)</f>
        <v>HOLTER 24 HORAS</v>
      </c>
      <c r="P757" s="1" t="str">
        <f>TEXT(WEEKDAY(ocupacao[[#This Row],[Data]]),"ddd")</f>
        <v>ter</v>
      </c>
      <c r="Q757" s="1">
        <f t="shared" si="11"/>
        <v>0</v>
      </c>
    </row>
    <row r="758" spans="1:17" x14ac:dyDescent="0.25">
      <c r="A758" s="2">
        <v>44740</v>
      </c>
      <c r="B758">
        <v>24</v>
      </c>
      <c r="C758">
        <v>28</v>
      </c>
      <c r="D758">
        <v>55</v>
      </c>
      <c r="E758">
        <v>17895</v>
      </c>
      <c r="F758" s="1" t="s">
        <v>160</v>
      </c>
      <c r="G758">
        <v>0</v>
      </c>
      <c r="H758">
        <v>0</v>
      </c>
      <c r="I758">
        <v>2</v>
      </c>
      <c r="J758">
        <v>2</v>
      </c>
      <c r="K758" s="33">
        <v>0</v>
      </c>
      <c r="L758" s="1"/>
      <c r="M758" s="1" t="str">
        <f>_xlfn.XLOOKUP(ocupacao[[#This Row],[UnidadeID]],unidades!$A:$A,unidades!$B:$B,"",0)</f>
        <v>Nilópolis</v>
      </c>
      <c r="N758" s="1" t="str">
        <f>_xlfn.XLOOKUP(ocupacao[[#This Row],[UnidadeID]],unidades!$A:$A,unidades!$C:$C,"",0)</f>
        <v>Nilópolis</v>
      </c>
      <c r="O758" s="1" t="str">
        <f>_xlfn.XLOOKUP(ocupacao[[#This Row],[EspecialidadeID]],especialidades!$A:$A,especialidades!$B:$B,"",0)</f>
        <v>HOLTER 24 HORAS</v>
      </c>
      <c r="P758" s="1" t="str">
        <f>TEXT(WEEKDAY(ocupacao[[#This Row],[Data]]),"ddd")</f>
        <v>ter</v>
      </c>
      <c r="Q758" s="1">
        <f t="shared" si="11"/>
        <v>0</v>
      </c>
    </row>
    <row r="759" spans="1:17" x14ac:dyDescent="0.25">
      <c r="A759" s="2">
        <v>44740</v>
      </c>
      <c r="B759">
        <v>34</v>
      </c>
      <c r="C759">
        <v>28</v>
      </c>
      <c r="D759">
        <v>383</v>
      </c>
      <c r="E759">
        <v>17953</v>
      </c>
      <c r="F759" s="1" t="s">
        <v>365</v>
      </c>
      <c r="G759">
        <v>0</v>
      </c>
      <c r="H759">
        <v>0</v>
      </c>
      <c r="I759">
        <v>1</v>
      </c>
      <c r="J759">
        <v>1</v>
      </c>
      <c r="K759" s="33">
        <v>0</v>
      </c>
      <c r="L759" s="1"/>
      <c r="M759" s="1" t="str">
        <f>_xlfn.XLOOKUP(ocupacao[[#This Row],[UnidadeID]],unidades!$A:$A,unidades!$B:$B,"",0)</f>
        <v>São João</v>
      </c>
      <c r="N759" s="1" t="str">
        <f>_xlfn.XLOOKUP(ocupacao[[#This Row],[UnidadeID]],unidades!$A:$A,unidades!$C:$C,"",0)</f>
        <v>São João de Meriti</v>
      </c>
      <c r="O759" s="1" t="str">
        <f>_xlfn.XLOOKUP(ocupacao[[#This Row],[EspecialidadeID]],especialidades!$A:$A,especialidades!$B:$B,"",0)</f>
        <v>HOLTER 24 HORAS</v>
      </c>
      <c r="P759" s="1" t="str">
        <f>TEXT(WEEKDAY(ocupacao[[#This Row],[Data]]),"ddd")</f>
        <v>ter</v>
      </c>
      <c r="Q759" s="1">
        <f t="shared" si="11"/>
        <v>0</v>
      </c>
    </row>
    <row r="760" spans="1:17" x14ac:dyDescent="0.25">
      <c r="A760" s="2">
        <v>44741</v>
      </c>
      <c r="B760">
        <v>10</v>
      </c>
      <c r="C760">
        <v>28</v>
      </c>
      <c r="D760">
        <v>4</v>
      </c>
      <c r="E760">
        <v>17893</v>
      </c>
      <c r="F760" s="1" t="s">
        <v>158</v>
      </c>
      <c r="G760">
        <v>0</v>
      </c>
      <c r="H760">
        <v>0</v>
      </c>
      <c r="I760">
        <v>4</v>
      </c>
      <c r="J760">
        <v>4</v>
      </c>
      <c r="K760" s="33">
        <v>0</v>
      </c>
      <c r="L760" s="1"/>
      <c r="M760" s="1" t="str">
        <f>_xlfn.XLOOKUP(ocupacao[[#This Row],[UnidadeID]],unidades!$A:$A,unidades!$B:$B,"",0)</f>
        <v>Filial 2 - 10º</v>
      </c>
      <c r="N760" s="1" t="str">
        <f>_xlfn.XLOOKUP(ocupacao[[#This Row],[UnidadeID]],unidades!$A:$A,unidades!$C:$C,"",0)</f>
        <v>Nova Iguaçu</v>
      </c>
      <c r="O760" s="1" t="str">
        <f>_xlfn.XLOOKUP(ocupacao[[#This Row],[EspecialidadeID]],especialidades!$A:$A,especialidades!$B:$B,"",0)</f>
        <v>HOLTER 24 HORAS</v>
      </c>
      <c r="P760" s="1" t="str">
        <f>TEXT(WEEKDAY(ocupacao[[#This Row],[Data]]),"ddd")</f>
        <v>qua</v>
      </c>
      <c r="Q760" s="1">
        <f t="shared" si="11"/>
        <v>0</v>
      </c>
    </row>
    <row r="761" spans="1:17" x14ac:dyDescent="0.25">
      <c r="A761" s="2">
        <v>44741</v>
      </c>
      <c r="B761">
        <v>18</v>
      </c>
      <c r="C761">
        <v>28</v>
      </c>
      <c r="D761">
        <v>76</v>
      </c>
      <c r="E761">
        <v>17894</v>
      </c>
      <c r="F761" s="1" t="s">
        <v>159</v>
      </c>
      <c r="G761">
        <v>0</v>
      </c>
      <c r="H761">
        <v>0</v>
      </c>
      <c r="I761">
        <v>2</v>
      </c>
      <c r="J761">
        <v>2</v>
      </c>
      <c r="K761" s="33">
        <v>0</v>
      </c>
      <c r="L761" s="1"/>
      <c r="M761" s="1" t="str">
        <f>_xlfn.XLOOKUP(ocupacao[[#This Row],[UnidadeID]],unidades!$A:$A,unidades!$B:$B,"",0)</f>
        <v>Miguel Couto</v>
      </c>
      <c r="N761" s="1" t="str">
        <f>_xlfn.XLOOKUP(ocupacao[[#This Row],[UnidadeID]],unidades!$A:$A,unidades!$C:$C,"",0)</f>
        <v>Miguel Couto</v>
      </c>
      <c r="O761" s="1" t="str">
        <f>_xlfn.XLOOKUP(ocupacao[[#This Row],[EspecialidadeID]],especialidades!$A:$A,especialidades!$B:$B,"",0)</f>
        <v>HOLTER 24 HORAS</v>
      </c>
      <c r="P761" s="1" t="str">
        <f>TEXT(WEEKDAY(ocupacao[[#This Row],[Data]]),"ddd")</f>
        <v>qua</v>
      </c>
      <c r="Q761" s="1">
        <f t="shared" si="11"/>
        <v>0</v>
      </c>
    </row>
    <row r="762" spans="1:17" x14ac:dyDescent="0.25">
      <c r="A762" s="2">
        <v>44741</v>
      </c>
      <c r="B762">
        <v>24</v>
      </c>
      <c r="C762">
        <v>28</v>
      </c>
      <c r="D762">
        <v>55</v>
      </c>
      <c r="E762">
        <v>17895</v>
      </c>
      <c r="F762" s="1" t="s">
        <v>160</v>
      </c>
      <c r="G762">
        <v>0</v>
      </c>
      <c r="H762">
        <v>0</v>
      </c>
      <c r="I762">
        <v>2</v>
      </c>
      <c r="J762">
        <v>2</v>
      </c>
      <c r="K762" s="33">
        <v>0</v>
      </c>
      <c r="L762" s="1"/>
      <c r="M762" s="1" t="str">
        <f>_xlfn.XLOOKUP(ocupacao[[#This Row],[UnidadeID]],unidades!$A:$A,unidades!$B:$B,"",0)</f>
        <v>Nilópolis</v>
      </c>
      <c r="N762" s="1" t="str">
        <f>_xlfn.XLOOKUP(ocupacao[[#This Row],[UnidadeID]],unidades!$A:$A,unidades!$C:$C,"",0)</f>
        <v>Nilópolis</v>
      </c>
      <c r="O762" s="1" t="str">
        <f>_xlfn.XLOOKUP(ocupacao[[#This Row],[EspecialidadeID]],especialidades!$A:$A,especialidades!$B:$B,"",0)</f>
        <v>HOLTER 24 HORAS</v>
      </c>
      <c r="P762" s="1" t="str">
        <f>TEXT(WEEKDAY(ocupacao[[#This Row],[Data]]),"ddd")</f>
        <v>qua</v>
      </c>
      <c r="Q762" s="1">
        <f t="shared" si="11"/>
        <v>0</v>
      </c>
    </row>
    <row r="763" spans="1:17" x14ac:dyDescent="0.25">
      <c r="A763" s="2">
        <v>44741</v>
      </c>
      <c r="B763">
        <v>34</v>
      </c>
      <c r="C763">
        <v>28</v>
      </c>
      <c r="D763">
        <v>383</v>
      </c>
      <c r="E763">
        <v>17953</v>
      </c>
      <c r="F763" s="1" t="s">
        <v>365</v>
      </c>
      <c r="G763">
        <v>0</v>
      </c>
      <c r="H763">
        <v>0</v>
      </c>
      <c r="I763">
        <v>1</v>
      </c>
      <c r="J763">
        <v>1</v>
      </c>
      <c r="K763" s="33">
        <v>0</v>
      </c>
      <c r="L763" s="1"/>
      <c r="M763" s="1" t="str">
        <f>_xlfn.XLOOKUP(ocupacao[[#This Row],[UnidadeID]],unidades!$A:$A,unidades!$B:$B,"",0)</f>
        <v>São João</v>
      </c>
      <c r="N763" s="1" t="str">
        <f>_xlfn.XLOOKUP(ocupacao[[#This Row],[UnidadeID]],unidades!$A:$A,unidades!$C:$C,"",0)</f>
        <v>São João de Meriti</v>
      </c>
      <c r="O763" s="1" t="str">
        <f>_xlfn.XLOOKUP(ocupacao[[#This Row],[EspecialidadeID]],especialidades!$A:$A,especialidades!$B:$B,"",0)</f>
        <v>HOLTER 24 HORAS</v>
      </c>
      <c r="P763" s="1" t="str">
        <f>TEXT(WEEKDAY(ocupacao[[#This Row],[Data]]),"ddd")</f>
        <v>qua</v>
      </c>
      <c r="Q763" s="1">
        <f t="shared" si="11"/>
        <v>0</v>
      </c>
    </row>
    <row r="764" spans="1:17" x14ac:dyDescent="0.25">
      <c r="A764" s="2">
        <v>44742</v>
      </c>
      <c r="B764">
        <v>10</v>
      </c>
      <c r="C764">
        <v>28</v>
      </c>
      <c r="D764">
        <v>4</v>
      </c>
      <c r="E764">
        <v>17893</v>
      </c>
      <c r="F764" s="1" t="s">
        <v>158</v>
      </c>
      <c r="G764">
        <v>0</v>
      </c>
      <c r="H764">
        <v>0</v>
      </c>
      <c r="I764">
        <v>4</v>
      </c>
      <c r="J764">
        <v>4</v>
      </c>
      <c r="K764" s="33">
        <v>0</v>
      </c>
      <c r="L764" s="1"/>
      <c r="M764" s="1" t="str">
        <f>_xlfn.XLOOKUP(ocupacao[[#This Row],[UnidadeID]],unidades!$A:$A,unidades!$B:$B,"",0)</f>
        <v>Filial 2 - 10º</v>
      </c>
      <c r="N764" s="1" t="str">
        <f>_xlfn.XLOOKUP(ocupacao[[#This Row],[UnidadeID]],unidades!$A:$A,unidades!$C:$C,"",0)</f>
        <v>Nova Iguaçu</v>
      </c>
      <c r="O764" s="1" t="str">
        <f>_xlfn.XLOOKUP(ocupacao[[#This Row],[EspecialidadeID]],especialidades!$A:$A,especialidades!$B:$B,"",0)</f>
        <v>HOLTER 24 HORAS</v>
      </c>
      <c r="P764" s="1" t="str">
        <f>TEXT(WEEKDAY(ocupacao[[#This Row],[Data]]),"ddd")</f>
        <v>qui</v>
      </c>
      <c r="Q764" s="1">
        <f t="shared" si="11"/>
        <v>0</v>
      </c>
    </row>
    <row r="765" spans="1:17" x14ac:dyDescent="0.25">
      <c r="A765" s="2">
        <v>44742</v>
      </c>
      <c r="B765">
        <v>18</v>
      </c>
      <c r="C765">
        <v>28</v>
      </c>
      <c r="D765">
        <v>76</v>
      </c>
      <c r="E765">
        <v>17894</v>
      </c>
      <c r="F765" s="1" t="s">
        <v>159</v>
      </c>
      <c r="G765">
        <v>0</v>
      </c>
      <c r="H765">
        <v>0</v>
      </c>
      <c r="I765">
        <v>2</v>
      </c>
      <c r="J765">
        <v>2</v>
      </c>
      <c r="K765" s="33">
        <v>0</v>
      </c>
      <c r="L765" s="1"/>
      <c r="M765" s="1" t="str">
        <f>_xlfn.XLOOKUP(ocupacao[[#This Row],[UnidadeID]],unidades!$A:$A,unidades!$B:$B,"",0)</f>
        <v>Miguel Couto</v>
      </c>
      <c r="N765" s="1" t="str">
        <f>_xlfn.XLOOKUP(ocupacao[[#This Row],[UnidadeID]],unidades!$A:$A,unidades!$C:$C,"",0)</f>
        <v>Miguel Couto</v>
      </c>
      <c r="O765" s="1" t="str">
        <f>_xlfn.XLOOKUP(ocupacao[[#This Row],[EspecialidadeID]],especialidades!$A:$A,especialidades!$B:$B,"",0)</f>
        <v>HOLTER 24 HORAS</v>
      </c>
      <c r="P765" s="1" t="str">
        <f>TEXT(WEEKDAY(ocupacao[[#This Row],[Data]]),"ddd")</f>
        <v>qui</v>
      </c>
      <c r="Q765" s="1">
        <f t="shared" si="11"/>
        <v>0</v>
      </c>
    </row>
    <row r="766" spans="1:17" x14ac:dyDescent="0.25">
      <c r="A766" s="2">
        <v>44742</v>
      </c>
      <c r="B766">
        <v>24</v>
      </c>
      <c r="C766">
        <v>28</v>
      </c>
      <c r="D766">
        <v>55</v>
      </c>
      <c r="E766">
        <v>17895</v>
      </c>
      <c r="F766" s="1" t="s">
        <v>160</v>
      </c>
      <c r="G766">
        <v>0</v>
      </c>
      <c r="H766">
        <v>0</v>
      </c>
      <c r="I766">
        <v>2</v>
      </c>
      <c r="J766">
        <v>2</v>
      </c>
      <c r="K766" s="33">
        <v>0</v>
      </c>
      <c r="L766" s="1"/>
      <c r="M766" s="1" t="str">
        <f>_xlfn.XLOOKUP(ocupacao[[#This Row],[UnidadeID]],unidades!$A:$A,unidades!$B:$B,"",0)</f>
        <v>Nilópolis</v>
      </c>
      <c r="N766" s="1" t="str">
        <f>_xlfn.XLOOKUP(ocupacao[[#This Row],[UnidadeID]],unidades!$A:$A,unidades!$C:$C,"",0)</f>
        <v>Nilópolis</v>
      </c>
      <c r="O766" s="1" t="str">
        <f>_xlfn.XLOOKUP(ocupacao[[#This Row],[EspecialidadeID]],especialidades!$A:$A,especialidades!$B:$B,"",0)</f>
        <v>HOLTER 24 HORAS</v>
      </c>
      <c r="P766" s="1" t="str">
        <f>TEXT(WEEKDAY(ocupacao[[#This Row],[Data]]),"ddd")</f>
        <v>qui</v>
      </c>
      <c r="Q766" s="1">
        <f t="shared" si="11"/>
        <v>0</v>
      </c>
    </row>
    <row r="767" spans="1:17" hidden="1" x14ac:dyDescent="0.25">
      <c r="A767" s="2">
        <v>44742</v>
      </c>
      <c r="B767">
        <v>34</v>
      </c>
      <c r="C767">
        <v>28</v>
      </c>
      <c r="D767">
        <v>383</v>
      </c>
      <c r="E767">
        <v>17953</v>
      </c>
      <c r="F767" s="1" t="s">
        <v>365</v>
      </c>
      <c r="G767">
        <v>0</v>
      </c>
      <c r="H767">
        <v>0</v>
      </c>
      <c r="I767">
        <v>1</v>
      </c>
      <c r="J767">
        <v>1</v>
      </c>
      <c r="K767" s="33">
        <v>0</v>
      </c>
      <c r="L767" s="1"/>
      <c r="M767" s="1"/>
      <c r="N767" s="1"/>
      <c r="O767" s="1"/>
      <c r="P767" s="1"/>
      <c r="Q767" s="1"/>
    </row>
    <row r="768" spans="1:17" x14ac:dyDescent="0.25">
      <c r="A768" s="2">
        <v>44743</v>
      </c>
      <c r="B768">
        <v>10</v>
      </c>
      <c r="C768">
        <v>28</v>
      </c>
      <c r="D768">
        <v>4</v>
      </c>
      <c r="E768">
        <v>17893</v>
      </c>
      <c r="F768" s="1" t="s">
        <v>158</v>
      </c>
      <c r="G768">
        <v>0</v>
      </c>
      <c r="H768">
        <v>0</v>
      </c>
      <c r="I768">
        <v>4</v>
      </c>
      <c r="J768">
        <v>4</v>
      </c>
      <c r="K768" s="33">
        <v>0</v>
      </c>
      <c r="L768" s="1"/>
      <c r="M768" s="1" t="str">
        <f>_xlfn.XLOOKUP(ocupacao[[#This Row],[UnidadeID]],unidades!$A:$A,unidades!$B:$B,"",0)</f>
        <v>Filial 2 - 10º</v>
      </c>
      <c r="N768" s="1" t="str">
        <f>_xlfn.XLOOKUP(ocupacao[[#This Row],[UnidadeID]],unidades!$A:$A,unidades!$C:$C,"",0)</f>
        <v>Nova Iguaçu</v>
      </c>
      <c r="O768" s="1" t="str">
        <f>_xlfn.XLOOKUP(ocupacao[[#This Row],[EspecialidadeID]],especialidades!$A:$A,especialidades!$B:$B,"",0)</f>
        <v>HOLTER 24 HORAS</v>
      </c>
      <c r="P768" s="1" t="str">
        <f>TEXT(WEEKDAY(ocupacao[[#This Row],[Data]]),"ddd")</f>
        <v>sex</v>
      </c>
      <c r="Q768" s="1">
        <f t="shared" si="11"/>
        <v>0</v>
      </c>
    </row>
    <row r="769" spans="1:17" x14ac:dyDescent="0.25">
      <c r="A769" s="2">
        <v>44743</v>
      </c>
      <c r="B769">
        <v>18</v>
      </c>
      <c r="C769">
        <v>28</v>
      </c>
      <c r="D769">
        <v>76</v>
      </c>
      <c r="E769">
        <v>17894</v>
      </c>
      <c r="F769" s="1" t="s">
        <v>159</v>
      </c>
      <c r="G769">
        <v>0</v>
      </c>
      <c r="H769">
        <v>0</v>
      </c>
      <c r="I769">
        <v>2</v>
      </c>
      <c r="J769">
        <v>2</v>
      </c>
      <c r="K769" s="33">
        <v>0</v>
      </c>
      <c r="L769" s="1"/>
      <c r="M769" s="1" t="str">
        <f>_xlfn.XLOOKUP(ocupacao[[#This Row],[UnidadeID]],unidades!$A:$A,unidades!$B:$B,"",0)</f>
        <v>Miguel Couto</v>
      </c>
      <c r="N769" s="1" t="str">
        <f>_xlfn.XLOOKUP(ocupacao[[#This Row],[UnidadeID]],unidades!$A:$A,unidades!$C:$C,"",0)</f>
        <v>Miguel Couto</v>
      </c>
      <c r="O769" s="1" t="str">
        <f>_xlfn.XLOOKUP(ocupacao[[#This Row],[EspecialidadeID]],especialidades!$A:$A,especialidades!$B:$B,"",0)</f>
        <v>HOLTER 24 HORAS</v>
      </c>
      <c r="P769" s="1" t="str">
        <f>TEXT(WEEKDAY(ocupacao[[#This Row],[Data]]),"ddd")</f>
        <v>sex</v>
      </c>
      <c r="Q769" s="1">
        <f t="shared" si="11"/>
        <v>0</v>
      </c>
    </row>
    <row r="770" spans="1:17" x14ac:dyDescent="0.25">
      <c r="A770" s="2">
        <v>44743</v>
      </c>
      <c r="B770">
        <v>24</v>
      </c>
      <c r="C770">
        <v>28</v>
      </c>
      <c r="D770">
        <v>55</v>
      </c>
      <c r="E770">
        <v>17895</v>
      </c>
      <c r="F770" s="1" t="s">
        <v>160</v>
      </c>
      <c r="G770">
        <v>0</v>
      </c>
      <c r="H770">
        <v>0</v>
      </c>
      <c r="I770">
        <v>2</v>
      </c>
      <c r="J770">
        <v>2</v>
      </c>
      <c r="K770" s="33">
        <v>0</v>
      </c>
      <c r="L770" s="1"/>
      <c r="M770" s="1" t="str">
        <f>_xlfn.XLOOKUP(ocupacao[[#This Row],[UnidadeID]],unidades!$A:$A,unidades!$B:$B,"",0)</f>
        <v>Nilópolis</v>
      </c>
      <c r="N770" s="1" t="str">
        <f>_xlfn.XLOOKUP(ocupacao[[#This Row],[UnidadeID]],unidades!$A:$A,unidades!$C:$C,"",0)</f>
        <v>Nilópolis</v>
      </c>
      <c r="O770" s="1" t="str">
        <f>_xlfn.XLOOKUP(ocupacao[[#This Row],[EspecialidadeID]],especialidades!$A:$A,especialidades!$B:$B,"",0)</f>
        <v>HOLTER 24 HORAS</v>
      </c>
      <c r="P770" s="1" t="str">
        <f>TEXT(WEEKDAY(ocupacao[[#This Row],[Data]]),"ddd")</f>
        <v>sex</v>
      </c>
      <c r="Q770" s="1">
        <f t="shared" ref="Q770:Q832" si="12">IF(F770=F771,1,0)</f>
        <v>0</v>
      </c>
    </row>
    <row r="771" spans="1:17" x14ac:dyDescent="0.25">
      <c r="A771" s="2">
        <v>44743</v>
      </c>
      <c r="B771">
        <v>34</v>
      </c>
      <c r="C771">
        <v>28</v>
      </c>
      <c r="D771">
        <v>383</v>
      </c>
      <c r="E771">
        <v>17953</v>
      </c>
      <c r="F771" s="1" t="s">
        <v>365</v>
      </c>
      <c r="G771">
        <v>0</v>
      </c>
      <c r="H771">
        <v>0</v>
      </c>
      <c r="I771">
        <v>1</v>
      </c>
      <c r="J771">
        <v>1</v>
      </c>
      <c r="K771" s="33">
        <v>0</v>
      </c>
      <c r="L771" s="1"/>
      <c r="M771" s="1" t="str">
        <f>_xlfn.XLOOKUP(ocupacao[[#This Row],[UnidadeID]],unidades!$A:$A,unidades!$B:$B,"",0)</f>
        <v>São João</v>
      </c>
      <c r="N771" s="1" t="str">
        <f>_xlfn.XLOOKUP(ocupacao[[#This Row],[UnidadeID]],unidades!$A:$A,unidades!$C:$C,"",0)</f>
        <v>São João de Meriti</v>
      </c>
      <c r="O771" s="1" t="str">
        <f>_xlfn.XLOOKUP(ocupacao[[#This Row],[EspecialidadeID]],especialidades!$A:$A,especialidades!$B:$B,"",0)</f>
        <v>HOLTER 24 HORAS</v>
      </c>
      <c r="P771" s="1" t="str">
        <f>TEXT(WEEKDAY(ocupacao[[#This Row],[Data]]),"ddd")</f>
        <v>sex</v>
      </c>
      <c r="Q771" s="1">
        <f t="shared" si="12"/>
        <v>0</v>
      </c>
    </row>
    <row r="772" spans="1:17" x14ac:dyDescent="0.25">
      <c r="A772" s="2"/>
      <c r="F772" s="1" t="s">
        <v>106</v>
      </c>
      <c r="K772" s="33"/>
      <c r="L772" s="1"/>
      <c r="M772" s="1">
        <f>_xlfn.XLOOKUP(ocupacao[[#This Row],[UnidadeID]],unidades!$A:$A,unidades!$B:$B,"",0)</f>
        <v>0</v>
      </c>
      <c r="N772" s="1">
        <f>_xlfn.XLOOKUP(ocupacao[[#This Row],[UnidadeID]],unidades!$A:$A,unidades!$C:$C,"",0)</f>
        <v>0</v>
      </c>
      <c r="O772" s="1">
        <f>_xlfn.XLOOKUP(ocupacao[[#This Row],[EspecialidadeID]],especialidades!$A:$A,especialidades!$B:$B,"",0)</f>
        <v>0</v>
      </c>
      <c r="P772" s="1" t="str">
        <f>TEXT(WEEKDAY(ocupacao[[#This Row],[Data]]),"ddd")</f>
        <v>sáb</v>
      </c>
      <c r="Q772" s="1">
        <f t="shared" si="12"/>
        <v>0</v>
      </c>
    </row>
    <row r="773" spans="1:17" x14ac:dyDescent="0.25">
      <c r="A773" s="2">
        <v>44735</v>
      </c>
      <c r="B773">
        <v>10</v>
      </c>
      <c r="C773">
        <v>29</v>
      </c>
      <c r="D773">
        <v>1</v>
      </c>
      <c r="E773">
        <v>17860</v>
      </c>
      <c r="F773" s="1" t="s">
        <v>356</v>
      </c>
      <c r="G773">
        <v>0</v>
      </c>
      <c r="H773">
        <v>35</v>
      </c>
      <c r="I773">
        <v>7</v>
      </c>
      <c r="J773">
        <v>42</v>
      </c>
      <c r="K773" s="33">
        <v>0.83330000000000004</v>
      </c>
      <c r="L773" s="1"/>
      <c r="M773" s="1" t="str">
        <f>_xlfn.XLOOKUP(ocupacao[[#This Row],[UnidadeID]],unidades!$A:$A,unidades!$B:$B,"",0)</f>
        <v>Filial 2 - 10º</v>
      </c>
      <c r="N773" s="1" t="str">
        <f>_xlfn.XLOOKUP(ocupacao[[#This Row],[UnidadeID]],unidades!$A:$A,unidades!$C:$C,"",0)</f>
        <v>Nova Iguaçu</v>
      </c>
      <c r="O773" s="1" t="str">
        <f>_xlfn.XLOOKUP(ocupacao[[#This Row],[EspecialidadeID]],especialidades!$A:$A,especialidades!$B:$B,"",0)</f>
        <v>TESTE ERGOMETRICO</v>
      </c>
      <c r="P773" s="1" t="str">
        <f>TEXT(WEEKDAY(ocupacao[[#This Row],[Data]]),"ddd")</f>
        <v>qui</v>
      </c>
      <c r="Q773" s="1">
        <f t="shared" si="12"/>
        <v>0</v>
      </c>
    </row>
    <row r="774" spans="1:17" hidden="1" x14ac:dyDescent="0.25">
      <c r="A774" s="2"/>
      <c r="F774" s="1"/>
      <c r="K774" s="33"/>
      <c r="L774" s="1"/>
      <c r="M774" s="1"/>
      <c r="N774" s="1"/>
      <c r="O774" s="1"/>
      <c r="P774" s="1"/>
      <c r="Q774" s="1"/>
    </row>
    <row r="775" spans="1:17" x14ac:dyDescent="0.25">
      <c r="A775" s="2">
        <v>44739</v>
      </c>
      <c r="B775">
        <v>10</v>
      </c>
      <c r="C775">
        <v>29</v>
      </c>
      <c r="D775">
        <v>1</v>
      </c>
      <c r="E775">
        <v>17951</v>
      </c>
      <c r="F775" s="1" t="s">
        <v>371</v>
      </c>
      <c r="G775">
        <v>0</v>
      </c>
      <c r="H775">
        <v>13</v>
      </c>
      <c r="I775">
        <v>13</v>
      </c>
      <c r="J775">
        <v>26</v>
      </c>
      <c r="K775" s="33">
        <v>0.5</v>
      </c>
      <c r="L775" s="1"/>
      <c r="M775" s="1" t="str">
        <f>_xlfn.XLOOKUP(ocupacao[[#This Row],[UnidadeID]],unidades!$A:$A,unidades!$B:$B,"",0)</f>
        <v>Filial 2 - 10º</v>
      </c>
      <c r="N775" s="1" t="str">
        <f>_xlfn.XLOOKUP(ocupacao[[#This Row],[UnidadeID]],unidades!$A:$A,unidades!$C:$C,"",0)</f>
        <v>Nova Iguaçu</v>
      </c>
      <c r="O775" s="1" t="str">
        <f>_xlfn.XLOOKUP(ocupacao[[#This Row],[EspecialidadeID]],especialidades!$A:$A,especialidades!$B:$B,"",0)</f>
        <v>TESTE ERGOMETRICO</v>
      </c>
      <c r="P775" s="1" t="str">
        <f>TEXT(WEEKDAY(ocupacao[[#This Row],[Data]]),"ddd")</f>
        <v>seg</v>
      </c>
      <c r="Q775" s="1">
        <f t="shared" si="12"/>
        <v>0</v>
      </c>
    </row>
    <row r="776" spans="1:17" x14ac:dyDescent="0.25">
      <c r="A776" s="2">
        <v>44742</v>
      </c>
      <c r="B776">
        <v>10</v>
      </c>
      <c r="C776">
        <v>29</v>
      </c>
      <c r="D776">
        <v>1</v>
      </c>
      <c r="E776">
        <v>17860</v>
      </c>
      <c r="F776" s="1" t="s">
        <v>356</v>
      </c>
      <c r="G776">
        <v>0</v>
      </c>
      <c r="H776">
        <v>6</v>
      </c>
      <c r="I776">
        <v>36</v>
      </c>
      <c r="J776">
        <v>42</v>
      </c>
      <c r="K776" s="33">
        <v>0.1429</v>
      </c>
      <c r="L776" s="1"/>
      <c r="M776" s="1" t="str">
        <f>_xlfn.XLOOKUP(ocupacao[[#This Row],[UnidadeID]],unidades!$A:$A,unidades!$B:$B,"",0)</f>
        <v>Filial 2 - 10º</v>
      </c>
      <c r="N776" s="1" t="str">
        <f>_xlfn.XLOOKUP(ocupacao[[#This Row],[UnidadeID]],unidades!$A:$A,unidades!$C:$C,"",0)</f>
        <v>Nova Iguaçu</v>
      </c>
      <c r="O776" s="1" t="str">
        <f>_xlfn.XLOOKUP(ocupacao[[#This Row],[EspecialidadeID]],especialidades!$A:$A,especialidades!$B:$B,"",0)</f>
        <v>TESTE ERGOMETRICO</v>
      </c>
      <c r="P776" s="1" t="str">
        <f>TEXT(WEEKDAY(ocupacao[[#This Row],[Data]]),"ddd")</f>
        <v>qui</v>
      </c>
      <c r="Q776" s="1">
        <f t="shared" si="12"/>
        <v>0</v>
      </c>
    </row>
    <row r="777" spans="1:17" x14ac:dyDescent="0.25">
      <c r="A777" s="2"/>
      <c r="F777" s="1" t="s">
        <v>106</v>
      </c>
      <c r="K777" s="33"/>
      <c r="L777" s="1"/>
      <c r="M777" s="1">
        <f>_xlfn.XLOOKUP(ocupacao[[#This Row],[UnidadeID]],unidades!$A:$A,unidades!$B:$B,"",0)</f>
        <v>0</v>
      </c>
      <c r="N777" s="1">
        <f>_xlfn.XLOOKUP(ocupacao[[#This Row],[UnidadeID]],unidades!$A:$A,unidades!$C:$C,"",0)</f>
        <v>0</v>
      </c>
      <c r="O777" s="1">
        <f>_xlfn.XLOOKUP(ocupacao[[#This Row],[EspecialidadeID]],especialidades!$A:$A,especialidades!$B:$B,"",0)</f>
        <v>0</v>
      </c>
      <c r="P777" s="1" t="str">
        <f>TEXT(WEEKDAY(ocupacao[[#This Row],[Data]]),"ddd")</f>
        <v>sáb</v>
      </c>
      <c r="Q777" s="1">
        <f t="shared" si="12"/>
        <v>0</v>
      </c>
    </row>
    <row r="778" spans="1:17" x14ac:dyDescent="0.25">
      <c r="A778" s="2">
        <v>44739</v>
      </c>
      <c r="B778">
        <v>22</v>
      </c>
      <c r="C778">
        <v>31</v>
      </c>
      <c r="D778">
        <v>48</v>
      </c>
      <c r="E778">
        <v>117</v>
      </c>
      <c r="F778" s="1" t="s">
        <v>355</v>
      </c>
      <c r="G778">
        <v>0</v>
      </c>
      <c r="H778">
        <v>27</v>
      </c>
      <c r="I778">
        <v>0</v>
      </c>
      <c r="J778">
        <v>27</v>
      </c>
      <c r="K778" s="33">
        <v>1</v>
      </c>
      <c r="L778" s="1"/>
      <c r="M778" s="1" t="str">
        <f>_xlfn.XLOOKUP(ocupacao[[#This Row],[UnidadeID]],unidades!$A:$A,unidades!$B:$B,"",0)</f>
        <v>Filial 1</v>
      </c>
      <c r="N778" s="1" t="str">
        <f>_xlfn.XLOOKUP(ocupacao[[#This Row],[UnidadeID]],unidades!$A:$A,unidades!$C:$C,"",0)</f>
        <v>Nova Iguaçu</v>
      </c>
      <c r="O778" s="1" t="str">
        <f>_xlfn.XLOOKUP(ocupacao[[#This Row],[EspecialidadeID]],especialidades!$A:$A,especialidades!$B:$B,"",0)</f>
        <v>NEFROLOGIA</v>
      </c>
      <c r="P778" s="1" t="str">
        <f>TEXT(WEEKDAY(ocupacao[[#This Row],[Data]]),"ddd")</f>
        <v>seg</v>
      </c>
      <c r="Q778" s="1">
        <f t="shared" si="12"/>
        <v>0</v>
      </c>
    </row>
    <row r="779" spans="1:17" x14ac:dyDescent="0.25">
      <c r="A779" s="2"/>
      <c r="F779" s="1" t="s">
        <v>106</v>
      </c>
      <c r="K779" s="33"/>
      <c r="L779" s="1"/>
      <c r="M779" s="1">
        <f>_xlfn.XLOOKUP(ocupacao[[#This Row],[UnidadeID]],unidades!$A:$A,unidades!$B:$B,"",0)</f>
        <v>0</v>
      </c>
      <c r="N779" s="1">
        <f>_xlfn.XLOOKUP(ocupacao[[#This Row],[UnidadeID]],unidades!$A:$A,unidades!$C:$C,"",0)</f>
        <v>0</v>
      </c>
      <c r="O779" s="1">
        <f>_xlfn.XLOOKUP(ocupacao[[#This Row],[EspecialidadeID]],especialidades!$A:$A,especialidades!$B:$B,"",0)</f>
        <v>0</v>
      </c>
      <c r="P779" s="1" t="str">
        <f>TEXT(WEEKDAY(ocupacao[[#This Row],[Data]]),"ddd")</f>
        <v>sáb</v>
      </c>
      <c r="Q779" s="1">
        <f t="shared" si="12"/>
        <v>0</v>
      </c>
    </row>
    <row r="780" spans="1:17" x14ac:dyDescent="0.25">
      <c r="A780" s="2">
        <v>44733</v>
      </c>
      <c r="B780">
        <v>0</v>
      </c>
      <c r="C780">
        <v>32</v>
      </c>
      <c r="D780">
        <v>35</v>
      </c>
      <c r="E780">
        <v>17898</v>
      </c>
      <c r="F780" s="1" t="s">
        <v>300</v>
      </c>
      <c r="G780">
        <v>0</v>
      </c>
      <c r="H780">
        <v>0</v>
      </c>
      <c r="I780">
        <v>78</v>
      </c>
      <c r="J780">
        <v>78</v>
      </c>
      <c r="K780" s="33">
        <v>0</v>
      </c>
      <c r="L780" s="1"/>
      <c r="M780" s="1" t="str">
        <f>_xlfn.XLOOKUP(ocupacao[[#This Row],[UnidadeID]],unidades!$A:$A,unidades!$B:$B,"",0)</f>
        <v>Matriz</v>
      </c>
      <c r="N780" s="1" t="str">
        <f>_xlfn.XLOOKUP(ocupacao[[#This Row],[UnidadeID]],unidades!$A:$A,unidades!$C:$C,"",0)</f>
        <v>Nova Iguaçu</v>
      </c>
      <c r="O780" s="1" t="str">
        <f>_xlfn.XLOOKUP(ocupacao[[#This Row],[EspecialidadeID]],especialidades!$A:$A,especialidades!$B:$B,"",0)</f>
        <v>ELETROCARDIOGRAMA</v>
      </c>
      <c r="P780" s="1" t="str">
        <f>TEXT(WEEKDAY(ocupacao[[#This Row],[Data]]),"ddd")</f>
        <v>ter</v>
      </c>
      <c r="Q780" s="1">
        <f t="shared" si="12"/>
        <v>0</v>
      </c>
    </row>
    <row r="781" spans="1:17" x14ac:dyDescent="0.25">
      <c r="A781" s="2">
        <v>44733</v>
      </c>
      <c r="B781">
        <v>10</v>
      </c>
      <c r="C781">
        <v>32</v>
      </c>
      <c r="D781">
        <v>4</v>
      </c>
      <c r="E781">
        <v>17899</v>
      </c>
      <c r="F781" s="1" t="s">
        <v>301</v>
      </c>
      <c r="G781">
        <v>0</v>
      </c>
      <c r="H781">
        <v>1</v>
      </c>
      <c r="I781">
        <v>65</v>
      </c>
      <c r="J781">
        <v>66</v>
      </c>
      <c r="K781" s="33">
        <v>1.52E-2</v>
      </c>
      <c r="L781" s="1"/>
      <c r="M781" s="1" t="str">
        <f>_xlfn.XLOOKUP(ocupacao[[#This Row],[UnidadeID]],unidades!$A:$A,unidades!$B:$B,"",0)</f>
        <v>Filial 2 - 10º</v>
      </c>
      <c r="N781" s="1" t="str">
        <f>_xlfn.XLOOKUP(ocupacao[[#This Row],[UnidadeID]],unidades!$A:$A,unidades!$C:$C,"",0)</f>
        <v>Nova Iguaçu</v>
      </c>
      <c r="O781" s="1" t="str">
        <f>_xlfn.XLOOKUP(ocupacao[[#This Row],[EspecialidadeID]],especialidades!$A:$A,especialidades!$B:$B,"",0)</f>
        <v>ELETROCARDIOGRAMA</v>
      </c>
      <c r="P781" s="1" t="str">
        <f>TEXT(WEEKDAY(ocupacao[[#This Row],[Data]]),"ddd")</f>
        <v>ter</v>
      </c>
      <c r="Q781" s="1">
        <f t="shared" si="12"/>
        <v>0</v>
      </c>
    </row>
    <row r="782" spans="1:17" x14ac:dyDescent="0.25">
      <c r="A782" s="2">
        <v>44733</v>
      </c>
      <c r="B782">
        <v>18</v>
      </c>
      <c r="C782">
        <v>32</v>
      </c>
      <c r="D782">
        <v>77</v>
      </c>
      <c r="E782">
        <v>17900</v>
      </c>
      <c r="F782" s="1" t="s">
        <v>302</v>
      </c>
      <c r="G782">
        <v>0</v>
      </c>
      <c r="H782">
        <v>0</v>
      </c>
      <c r="I782">
        <v>66</v>
      </c>
      <c r="J782">
        <v>66</v>
      </c>
      <c r="K782" s="33">
        <v>0</v>
      </c>
      <c r="L782" s="1"/>
      <c r="M782" s="1" t="str">
        <f>_xlfn.XLOOKUP(ocupacao[[#This Row],[UnidadeID]],unidades!$A:$A,unidades!$B:$B,"",0)</f>
        <v>Miguel Couto</v>
      </c>
      <c r="N782" s="1" t="str">
        <f>_xlfn.XLOOKUP(ocupacao[[#This Row],[UnidadeID]],unidades!$A:$A,unidades!$C:$C,"",0)</f>
        <v>Miguel Couto</v>
      </c>
      <c r="O782" s="1" t="str">
        <f>_xlfn.XLOOKUP(ocupacao[[#This Row],[EspecialidadeID]],especialidades!$A:$A,especialidades!$B:$B,"",0)</f>
        <v>ELETROCARDIOGRAMA</v>
      </c>
      <c r="P782" s="1" t="str">
        <f>TEXT(WEEKDAY(ocupacao[[#This Row],[Data]]),"ddd")</f>
        <v>ter</v>
      </c>
      <c r="Q782" s="1">
        <f t="shared" si="12"/>
        <v>0</v>
      </c>
    </row>
    <row r="783" spans="1:17" x14ac:dyDescent="0.25">
      <c r="A783" s="2">
        <v>44733</v>
      </c>
      <c r="B783">
        <v>24</v>
      </c>
      <c r="C783">
        <v>32</v>
      </c>
      <c r="D783">
        <v>55</v>
      </c>
      <c r="E783">
        <v>17901</v>
      </c>
      <c r="F783" s="1" t="s">
        <v>303</v>
      </c>
      <c r="G783">
        <v>0</v>
      </c>
      <c r="H783">
        <v>0</v>
      </c>
      <c r="I783">
        <v>66</v>
      </c>
      <c r="J783">
        <v>66</v>
      </c>
      <c r="K783" s="33">
        <v>0</v>
      </c>
      <c r="L783" s="1"/>
      <c r="M783" s="1" t="str">
        <f>_xlfn.XLOOKUP(ocupacao[[#This Row],[UnidadeID]],unidades!$A:$A,unidades!$B:$B,"",0)</f>
        <v>Nilópolis</v>
      </c>
      <c r="N783" s="1" t="str">
        <f>_xlfn.XLOOKUP(ocupacao[[#This Row],[UnidadeID]],unidades!$A:$A,unidades!$C:$C,"",0)</f>
        <v>Nilópolis</v>
      </c>
      <c r="O783" s="1" t="str">
        <f>_xlfn.XLOOKUP(ocupacao[[#This Row],[EspecialidadeID]],especialidades!$A:$A,especialidades!$B:$B,"",0)</f>
        <v>ELETROCARDIOGRAMA</v>
      </c>
      <c r="P783" s="1" t="str">
        <f>TEXT(WEEKDAY(ocupacao[[#This Row],[Data]]),"ddd")</f>
        <v>ter</v>
      </c>
      <c r="Q783" s="1">
        <f t="shared" si="12"/>
        <v>0</v>
      </c>
    </row>
    <row r="784" spans="1:17" x14ac:dyDescent="0.25">
      <c r="A784" s="2">
        <v>44733</v>
      </c>
      <c r="B784">
        <v>34</v>
      </c>
      <c r="C784">
        <v>32</v>
      </c>
      <c r="D784">
        <v>380</v>
      </c>
      <c r="E784">
        <v>17954</v>
      </c>
      <c r="F784" s="1" t="s">
        <v>366</v>
      </c>
      <c r="G784">
        <v>0</v>
      </c>
      <c r="H784">
        <v>0</v>
      </c>
      <c r="I784">
        <v>66</v>
      </c>
      <c r="J784">
        <v>66</v>
      </c>
      <c r="K784" s="33">
        <v>0</v>
      </c>
      <c r="L784" s="1"/>
      <c r="M784" s="1" t="str">
        <f>_xlfn.XLOOKUP(ocupacao[[#This Row],[UnidadeID]],unidades!$A:$A,unidades!$B:$B,"",0)</f>
        <v>São João</v>
      </c>
      <c r="N784" s="1" t="str">
        <f>_xlfn.XLOOKUP(ocupacao[[#This Row],[UnidadeID]],unidades!$A:$A,unidades!$C:$C,"",0)</f>
        <v>São João de Meriti</v>
      </c>
      <c r="O784" s="1" t="str">
        <f>_xlfn.XLOOKUP(ocupacao[[#This Row],[EspecialidadeID]],especialidades!$A:$A,especialidades!$B:$B,"",0)</f>
        <v>ELETROCARDIOGRAMA</v>
      </c>
      <c r="P784" s="1" t="str">
        <f>TEXT(WEEKDAY(ocupacao[[#This Row],[Data]]),"ddd")</f>
        <v>ter</v>
      </c>
      <c r="Q784" s="1">
        <f t="shared" si="12"/>
        <v>0</v>
      </c>
    </row>
    <row r="785" spans="1:17" x14ac:dyDescent="0.25">
      <c r="A785" s="2">
        <v>44734</v>
      </c>
      <c r="B785">
        <v>0</v>
      </c>
      <c r="C785">
        <v>32</v>
      </c>
      <c r="D785">
        <v>35</v>
      </c>
      <c r="E785">
        <v>17898</v>
      </c>
      <c r="F785" s="1" t="s">
        <v>300</v>
      </c>
      <c r="G785">
        <v>0</v>
      </c>
      <c r="H785">
        <v>0</v>
      </c>
      <c r="I785">
        <v>78</v>
      </c>
      <c r="J785">
        <v>78</v>
      </c>
      <c r="K785" s="33">
        <v>0</v>
      </c>
      <c r="L785" s="1"/>
      <c r="M785" s="1" t="str">
        <f>_xlfn.XLOOKUP(ocupacao[[#This Row],[UnidadeID]],unidades!$A:$A,unidades!$B:$B,"",0)</f>
        <v>Matriz</v>
      </c>
      <c r="N785" s="1" t="str">
        <f>_xlfn.XLOOKUP(ocupacao[[#This Row],[UnidadeID]],unidades!$A:$A,unidades!$C:$C,"",0)</f>
        <v>Nova Iguaçu</v>
      </c>
      <c r="O785" s="1" t="str">
        <f>_xlfn.XLOOKUP(ocupacao[[#This Row],[EspecialidadeID]],especialidades!$A:$A,especialidades!$B:$B,"",0)</f>
        <v>ELETROCARDIOGRAMA</v>
      </c>
      <c r="P785" s="1" t="str">
        <f>TEXT(WEEKDAY(ocupacao[[#This Row],[Data]]),"ddd")</f>
        <v>qua</v>
      </c>
      <c r="Q785" s="1">
        <f t="shared" si="12"/>
        <v>0</v>
      </c>
    </row>
    <row r="786" spans="1:17" x14ac:dyDescent="0.25">
      <c r="A786" s="2">
        <v>44734</v>
      </c>
      <c r="B786">
        <v>10</v>
      </c>
      <c r="C786">
        <v>32</v>
      </c>
      <c r="D786">
        <v>4</v>
      </c>
      <c r="E786">
        <v>17899</v>
      </c>
      <c r="F786" s="1" t="s">
        <v>301</v>
      </c>
      <c r="G786">
        <v>0</v>
      </c>
      <c r="H786">
        <v>0</v>
      </c>
      <c r="I786">
        <v>66</v>
      </c>
      <c r="J786">
        <v>66</v>
      </c>
      <c r="K786" s="33">
        <v>0</v>
      </c>
      <c r="L786" s="1"/>
      <c r="M786" s="1" t="str">
        <f>_xlfn.XLOOKUP(ocupacao[[#This Row],[UnidadeID]],unidades!$A:$A,unidades!$B:$B,"",0)</f>
        <v>Filial 2 - 10º</v>
      </c>
      <c r="N786" s="1" t="str">
        <f>_xlfn.XLOOKUP(ocupacao[[#This Row],[UnidadeID]],unidades!$A:$A,unidades!$C:$C,"",0)</f>
        <v>Nova Iguaçu</v>
      </c>
      <c r="O786" s="1" t="str">
        <f>_xlfn.XLOOKUP(ocupacao[[#This Row],[EspecialidadeID]],especialidades!$A:$A,especialidades!$B:$B,"",0)</f>
        <v>ELETROCARDIOGRAMA</v>
      </c>
      <c r="P786" s="1" t="str">
        <f>TEXT(WEEKDAY(ocupacao[[#This Row],[Data]]),"ddd")</f>
        <v>qua</v>
      </c>
      <c r="Q786" s="1">
        <f t="shared" si="12"/>
        <v>0</v>
      </c>
    </row>
    <row r="787" spans="1:17" x14ac:dyDescent="0.25">
      <c r="A787" s="2">
        <v>44734</v>
      </c>
      <c r="B787">
        <v>18</v>
      </c>
      <c r="C787">
        <v>32</v>
      </c>
      <c r="D787">
        <v>77</v>
      </c>
      <c r="E787">
        <v>17900</v>
      </c>
      <c r="F787" s="1" t="s">
        <v>302</v>
      </c>
      <c r="G787">
        <v>0</v>
      </c>
      <c r="H787">
        <v>0</v>
      </c>
      <c r="I787">
        <v>66</v>
      </c>
      <c r="J787">
        <v>66</v>
      </c>
      <c r="K787" s="33">
        <v>0</v>
      </c>
      <c r="L787" s="1"/>
      <c r="M787" s="1" t="str">
        <f>_xlfn.XLOOKUP(ocupacao[[#This Row],[UnidadeID]],unidades!$A:$A,unidades!$B:$B,"",0)</f>
        <v>Miguel Couto</v>
      </c>
      <c r="N787" s="1" t="str">
        <f>_xlfn.XLOOKUP(ocupacao[[#This Row],[UnidadeID]],unidades!$A:$A,unidades!$C:$C,"",0)</f>
        <v>Miguel Couto</v>
      </c>
      <c r="O787" s="1" t="str">
        <f>_xlfn.XLOOKUP(ocupacao[[#This Row],[EspecialidadeID]],especialidades!$A:$A,especialidades!$B:$B,"",0)</f>
        <v>ELETROCARDIOGRAMA</v>
      </c>
      <c r="P787" s="1" t="str">
        <f>TEXT(WEEKDAY(ocupacao[[#This Row],[Data]]),"ddd")</f>
        <v>qua</v>
      </c>
      <c r="Q787" s="1">
        <f t="shared" si="12"/>
        <v>0</v>
      </c>
    </row>
    <row r="788" spans="1:17" x14ac:dyDescent="0.25">
      <c r="A788" s="2">
        <v>44734</v>
      </c>
      <c r="B788">
        <v>24</v>
      </c>
      <c r="C788">
        <v>32</v>
      </c>
      <c r="D788">
        <v>55</v>
      </c>
      <c r="E788">
        <v>17901</v>
      </c>
      <c r="F788" s="1" t="s">
        <v>303</v>
      </c>
      <c r="G788">
        <v>0</v>
      </c>
      <c r="H788">
        <v>0</v>
      </c>
      <c r="I788">
        <v>66</v>
      </c>
      <c r="J788">
        <v>66</v>
      </c>
      <c r="K788" s="33">
        <v>0</v>
      </c>
      <c r="L788" s="1"/>
      <c r="M788" s="1" t="str">
        <f>_xlfn.XLOOKUP(ocupacao[[#This Row],[UnidadeID]],unidades!$A:$A,unidades!$B:$B,"",0)</f>
        <v>Nilópolis</v>
      </c>
      <c r="N788" s="1" t="str">
        <f>_xlfn.XLOOKUP(ocupacao[[#This Row],[UnidadeID]],unidades!$A:$A,unidades!$C:$C,"",0)</f>
        <v>Nilópolis</v>
      </c>
      <c r="O788" s="1" t="str">
        <f>_xlfn.XLOOKUP(ocupacao[[#This Row],[EspecialidadeID]],especialidades!$A:$A,especialidades!$B:$B,"",0)</f>
        <v>ELETROCARDIOGRAMA</v>
      </c>
      <c r="P788" s="1" t="str">
        <f>TEXT(WEEKDAY(ocupacao[[#This Row],[Data]]),"ddd")</f>
        <v>qua</v>
      </c>
      <c r="Q788" s="1">
        <f t="shared" si="12"/>
        <v>0</v>
      </c>
    </row>
    <row r="789" spans="1:17" x14ac:dyDescent="0.25">
      <c r="A789" s="2">
        <v>44734</v>
      </c>
      <c r="B789">
        <v>34</v>
      </c>
      <c r="C789">
        <v>32</v>
      </c>
      <c r="D789">
        <v>380</v>
      </c>
      <c r="E789">
        <v>17954</v>
      </c>
      <c r="F789" s="1" t="s">
        <v>366</v>
      </c>
      <c r="G789">
        <v>0</v>
      </c>
      <c r="H789">
        <v>0</v>
      </c>
      <c r="I789">
        <v>66</v>
      </c>
      <c r="J789">
        <v>66</v>
      </c>
      <c r="K789" s="33">
        <v>0</v>
      </c>
      <c r="L789" s="1"/>
      <c r="M789" s="1" t="str">
        <f>_xlfn.XLOOKUP(ocupacao[[#This Row],[UnidadeID]],unidades!$A:$A,unidades!$B:$B,"",0)</f>
        <v>São João</v>
      </c>
      <c r="N789" s="1" t="str">
        <f>_xlfn.XLOOKUP(ocupacao[[#This Row],[UnidadeID]],unidades!$A:$A,unidades!$C:$C,"",0)</f>
        <v>São João de Meriti</v>
      </c>
      <c r="O789" s="1" t="str">
        <f>_xlfn.XLOOKUP(ocupacao[[#This Row],[EspecialidadeID]],especialidades!$A:$A,especialidades!$B:$B,"",0)</f>
        <v>ELETROCARDIOGRAMA</v>
      </c>
      <c r="P789" s="1" t="str">
        <f>TEXT(WEEKDAY(ocupacao[[#This Row],[Data]]),"ddd")</f>
        <v>qua</v>
      </c>
      <c r="Q789" s="1">
        <f t="shared" si="12"/>
        <v>0</v>
      </c>
    </row>
    <row r="790" spans="1:17" hidden="1" x14ac:dyDescent="0.25">
      <c r="A790" s="2">
        <v>44735</v>
      </c>
      <c r="B790">
        <v>0</v>
      </c>
      <c r="C790">
        <v>32</v>
      </c>
      <c r="D790">
        <v>35</v>
      </c>
      <c r="E790">
        <v>17898</v>
      </c>
      <c r="F790" s="1" t="s">
        <v>300</v>
      </c>
      <c r="G790">
        <v>0</v>
      </c>
      <c r="H790">
        <v>0</v>
      </c>
      <c r="I790">
        <v>78</v>
      </c>
      <c r="J790">
        <v>78</v>
      </c>
      <c r="K790" s="33">
        <v>0</v>
      </c>
      <c r="L790" s="1"/>
      <c r="M790" s="1"/>
      <c r="N790" s="1"/>
      <c r="O790" s="1"/>
      <c r="P790" s="1"/>
      <c r="Q790" s="1"/>
    </row>
    <row r="791" spans="1:17" x14ac:dyDescent="0.25">
      <c r="A791" s="2">
        <v>44735</v>
      </c>
      <c r="B791">
        <v>10</v>
      </c>
      <c r="C791">
        <v>32</v>
      </c>
      <c r="D791">
        <v>4</v>
      </c>
      <c r="E791">
        <v>17899</v>
      </c>
      <c r="F791" s="1" t="s">
        <v>301</v>
      </c>
      <c r="G791">
        <v>0</v>
      </c>
      <c r="H791">
        <v>0</v>
      </c>
      <c r="I791">
        <v>66</v>
      </c>
      <c r="J791">
        <v>66</v>
      </c>
      <c r="K791" s="33">
        <v>0</v>
      </c>
      <c r="L791" s="1"/>
      <c r="M791" s="1" t="str">
        <f>_xlfn.XLOOKUP(ocupacao[[#This Row],[UnidadeID]],unidades!$A:$A,unidades!$B:$B,"",0)</f>
        <v>Filial 2 - 10º</v>
      </c>
      <c r="N791" s="1" t="str">
        <f>_xlfn.XLOOKUP(ocupacao[[#This Row],[UnidadeID]],unidades!$A:$A,unidades!$C:$C,"",0)</f>
        <v>Nova Iguaçu</v>
      </c>
      <c r="O791" s="1" t="str">
        <f>_xlfn.XLOOKUP(ocupacao[[#This Row],[EspecialidadeID]],especialidades!$A:$A,especialidades!$B:$B,"",0)</f>
        <v>ELETROCARDIOGRAMA</v>
      </c>
      <c r="P791" s="1" t="str">
        <f>TEXT(WEEKDAY(ocupacao[[#This Row],[Data]]),"ddd")</f>
        <v>qui</v>
      </c>
      <c r="Q791" s="1">
        <f t="shared" si="12"/>
        <v>0</v>
      </c>
    </row>
    <row r="792" spans="1:17" x14ac:dyDescent="0.25">
      <c r="A792" s="2">
        <v>44735</v>
      </c>
      <c r="B792">
        <v>18</v>
      </c>
      <c r="C792">
        <v>32</v>
      </c>
      <c r="D792">
        <v>77</v>
      </c>
      <c r="E792">
        <v>17900</v>
      </c>
      <c r="F792" s="1" t="s">
        <v>302</v>
      </c>
      <c r="G792">
        <v>0</v>
      </c>
      <c r="H792">
        <v>0</v>
      </c>
      <c r="I792">
        <v>66</v>
      </c>
      <c r="J792">
        <v>66</v>
      </c>
      <c r="K792" s="33">
        <v>0</v>
      </c>
      <c r="L792" s="1"/>
      <c r="M792" s="1" t="str">
        <f>_xlfn.XLOOKUP(ocupacao[[#This Row],[UnidadeID]],unidades!$A:$A,unidades!$B:$B,"",0)</f>
        <v>Miguel Couto</v>
      </c>
      <c r="N792" s="1" t="str">
        <f>_xlfn.XLOOKUP(ocupacao[[#This Row],[UnidadeID]],unidades!$A:$A,unidades!$C:$C,"",0)</f>
        <v>Miguel Couto</v>
      </c>
      <c r="O792" s="1" t="str">
        <f>_xlfn.XLOOKUP(ocupacao[[#This Row],[EspecialidadeID]],especialidades!$A:$A,especialidades!$B:$B,"",0)</f>
        <v>ELETROCARDIOGRAMA</v>
      </c>
      <c r="P792" s="1" t="str">
        <f>TEXT(WEEKDAY(ocupacao[[#This Row],[Data]]),"ddd")</f>
        <v>qui</v>
      </c>
      <c r="Q792" s="1">
        <f t="shared" si="12"/>
        <v>0</v>
      </c>
    </row>
    <row r="793" spans="1:17" x14ac:dyDescent="0.25">
      <c r="A793" s="2">
        <v>44735</v>
      </c>
      <c r="B793">
        <v>24</v>
      </c>
      <c r="C793">
        <v>32</v>
      </c>
      <c r="D793">
        <v>55</v>
      </c>
      <c r="E793">
        <v>17901</v>
      </c>
      <c r="F793" s="1" t="s">
        <v>303</v>
      </c>
      <c r="G793">
        <v>0</v>
      </c>
      <c r="H793">
        <v>0</v>
      </c>
      <c r="I793">
        <v>66</v>
      </c>
      <c r="J793">
        <v>66</v>
      </c>
      <c r="K793" s="33">
        <v>0</v>
      </c>
      <c r="L793" s="1"/>
      <c r="M793" s="1" t="str">
        <f>_xlfn.XLOOKUP(ocupacao[[#This Row],[UnidadeID]],unidades!$A:$A,unidades!$B:$B,"",0)</f>
        <v>Nilópolis</v>
      </c>
      <c r="N793" s="1" t="str">
        <f>_xlfn.XLOOKUP(ocupacao[[#This Row],[UnidadeID]],unidades!$A:$A,unidades!$C:$C,"",0)</f>
        <v>Nilópolis</v>
      </c>
      <c r="O793" s="1" t="str">
        <f>_xlfn.XLOOKUP(ocupacao[[#This Row],[EspecialidadeID]],especialidades!$A:$A,especialidades!$B:$B,"",0)</f>
        <v>ELETROCARDIOGRAMA</v>
      </c>
      <c r="P793" s="1" t="str">
        <f>TEXT(WEEKDAY(ocupacao[[#This Row],[Data]]),"ddd")</f>
        <v>qui</v>
      </c>
      <c r="Q793" s="1">
        <f t="shared" si="12"/>
        <v>0</v>
      </c>
    </row>
    <row r="794" spans="1:17" hidden="1" x14ac:dyDescent="0.25">
      <c r="A794" s="2">
        <v>44735</v>
      </c>
      <c r="B794">
        <v>34</v>
      </c>
      <c r="C794">
        <v>32</v>
      </c>
      <c r="D794">
        <v>380</v>
      </c>
      <c r="E794">
        <v>17954</v>
      </c>
      <c r="F794" s="1" t="s">
        <v>366</v>
      </c>
      <c r="G794">
        <v>0</v>
      </c>
      <c r="H794">
        <v>0</v>
      </c>
      <c r="I794">
        <v>66</v>
      </c>
      <c r="J794">
        <v>66</v>
      </c>
      <c r="K794" s="33">
        <v>0</v>
      </c>
      <c r="L794" s="1"/>
      <c r="M794" s="1"/>
      <c r="N794" s="1"/>
      <c r="O794" s="1"/>
      <c r="P794" s="1"/>
      <c r="Q794" s="1"/>
    </row>
    <row r="795" spans="1:17" x14ac:dyDescent="0.25">
      <c r="A795" s="2">
        <v>44736</v>
      </c>
      <c r="B795">
        <v>0</v>
      </c>
      <c r="C795">
        <v>32</v>
      </c>
      <c r="D795">
        <v>35</v>
      </c>
      <c r="E795">
        <v>17898</v>
      </c>
      <c r="F795" s="1" t="s">
        <v>300</v>
      </c>
      <c r="G795">
        <v>0</v>
      </c>
      <c r="H795">
        <v>0</v>
      </c>
      <c r="I795">
        <v>78</v>
      </c>
      <c r="J795">
        <v>78</v>
      </c>
      <c r="K795" s="33">
        <v>0</v>
      </c>
      <c r="L795" s="1"/>
      <c r="M795" s="1" t="str">
        <f>_xlfn.XLOOKUP(ocupacao[[#This Row],[UnidadeID]],unidades!$A:$A,unidades!$B:$B,"",0)</f>
        <v>Matriz</v>
      </c>
      <c r="N795" s="1" t="str">
        <f>_xlfn.XLOOKUP(ocupacao[[#This Row],[UnidadeID]],unidades!$A:$A,unidades!$C:$C,"",0)</f>
        <v>Nova Iguaçu</v>
      </c>
      <c r="O795" s="1" t="str">
        <f>_xlfn.XLOOKUP(ocupacao[[#This Row],[EspecialidadeID]],especialidades!$A:$A,especialidades!$B:$B,"",0)</f>
        <v>ELETROCARDIOGRAMA</v>
      </c>
      <c r="P795" s="1" t="str">
        <f>TEXT(WEEKDAY(ocupacao[[#This Row],[Data]]),"ddd")</f>
        <v>sex</v>
      </c>
      <c r="Q795" s="1">
        <f t="shared" si="12"/>
        <v>0</v>
      </c>
    </row>
    <row r="796" spans="1:17" x14ac:dyDescent="0.25">
      <c r="A796" s="2">
        <v>44736</v>
      </c>
      <c r="B796">
        <v>10</v>
      </c>
      <c r="C796">
        <v>32</v>
      </c>
      <c r="D796">
        <v>4</v>
      </c>
      <c r="E796">
        <v>17899</v>
      </c>
      <c r="F796" s="1" t="s">
        <v>301</v>
      </c>
      <c r="G796">
        <v>0</v>
      </c>
      <c r="H796">
        <v>0</v>
      </c>
      <c r="I796">
        <v>66</v>
      </c>
      <c r="J796">
        <v>66</v>
      </c>
      <c r="K796" s="33">
        <v>0</v>
      </c>
      <c r="L796" s="1"/>
      <c r="M796" s="1" t="str">
        <f>_xlfn.XLOOKUP(ocupacao[[#This Row],[UnidadeID]],unidades!$A:$A,unidades!$B:$B,"",0)</f>
        <v>Filial 2 - 10º</v>
      </c>
      <c r="N796" s="1" t="str">
        <f>_xlfn.XLOOKUP(ocupacao[[#This Row],[UnidadeID]],unidades!$A:$A,unidades!$C:$C,"",0)</f>
        <v>Nova Iguaçu</v>
      </c>
      <c r="O796" s="1" t="str">
        <f>_xlfn.XLOOKUP(ocupacao[[#This Row],[EspecialidadeID]],especialidades!$A:$A,especialidades!$B:$B,"",0)</f>
        <v>ELETROCARDIOGRAMA</v>
      </c>
      <c r="P796" s="1" t="str">
        <f>TEXT(WEEKDAY(ocupacao[[#This Row],[Data]]),"ddd")</f>
        <v>sex</v>
      </c>
      <c r="Q796" s="1">
        <f t="shared" si="12"/>
        <v>0</v>
      </c>
    </row>
    <row r="797" spans="1:17" x14ac:dyDescent="0.25">
      <c r="A797" s="2">
        <v>44736</v>
      </c>
      <c r="B797">
        <v>18</v>
      </c>
      <c r="C797">
        <v>32</v>
      </c>
      <c r="D797">
        <v>77</v>
      </c>
      <c r="E797">
        <v>17900</v>
      </c>
      <c r="F797" s="1" t="s">
        <v>302</v>
      </c>
      <c r="G797">
        <v>0</v>
      </c>
      <c r="H797">
        <v>0</v>
      </c>
      <c r="I797">
        <v>66</v>
      </c>
      <c r="J797">
        <v>66</v>
      </c>
      <c r="K797" s="33">
        <v>0</v>
      </c>
      <c r="L797" s="1"/>
      <c r="M797" s="1" t="str">
        <f>_xlfn.XLOOKUP(ocupacao[[#This Row],[UnidadeID]],unidades!$A:$A,unidades!$B:$B,"",0)</f>
        <v>Miguel Couto</v>
      </c>
      <c r="N797" s="1" t="str">
        <f>_xlfn.XLOOKUP(ocupacao[[#This Row],[UnidadeID]],unidades!$A:$A,unidades!$C:$C,"",0)</f>
        <v>Miguel Couto</v>
      </c>
      <c r="O797" s="1" t="str">
        <f>_xlfn.XLOOKUP(ocupacao[[#This Row],[EspecialidadeID]],especialidades!$A:$A,especialidades!$B:$B,"",0)</f>
        <v>ELETROCARDIOGRAMA</v>
      </c>
      <c r="P797" s="1" t="str">
        <f>TEXT(WEEKDAY(ocupacao[[#This Row],[Data]]),"ddd")</f>
        <v>sex</v>
      </c>
      <c r="Q797" s="1">
        <f t="shared" si="12"/>
        <v>0</v>
      </c>
    </row>
    <row r="798" spans="1:17" hidden="1" x14ac:dyDescent="0.25">
      <c r="A798" s="2">
        <v>44736</v>
      </c>
      <c r="B798">
        <v>24</v>
      </c>
      <c r="C798">
        <v>32</v>
      </c>
      <c r="D798">
        <v>55</v>
      </c>
      <c r="E798">
        <v>17901</v>
      </c>
      <c r="F798" s="1" t="s">
        <v>303</v>
      </c>
      <c r="G798">
        <v>0</v>
      </c>
      <c r="H798">
        <v>0</v>
      </c>
      <c r="I798">
        <v>66</v>
      </c>
      <c r="J798">
        <v>66</v>
      </c>
      <c r="K798" s="33">
        <v>0</v>
      </c>
      <c r="L798" s="1"/>
      <c r="M798" s="1"/>
      <c r="N798" s="1"/>
      <c r="O798" s="1"/>
      <c r="P798" s="1"/>
      <c r="Q798" s="1"/>
    </row>
    <row r="799" spans="1:17" x14ac:dyDescent="0.25">
      <c r="A799" s="2">
        <v>44736</v>
      </c>
      <c r="B799">
        <v>34</v>
      </c>
      <c r="C799">
        <v>32</v>
      </c>
      <c r="D799">
        <v>380</v>
      </c>
      <c r="E799">
        <v>17954</v>
      </c>
      <c r="F799" s="1" t="s">
        <v>366</v>
      </c>
      <c r="G799">
        <v>0</v>
      </c>
      <c r="H799">
        <v>0</v>
      </c>
      <c r="I799">
        <v>66</v>
      </c>
      <c r="J799">
        <v>66</v>
      </c>
      <c r="K799" s="33">
        <v>0</v>
      </c>
      <c r="L799" s="1"/>
      <c r="M799" s="1" t="str">
        <f>_xlfn.XLOOKUP(ocupacao[[#This Row],[UnidadeID]],unidades!$A:$A,unidades!$B:$B,"",0)</f>
        <v>São João</v>
      </c>
      <c r="N799" s="1" t="str">
        <f>_xlfn.XLOOKUP(ocupacao[[#This Row],[UnidadeID]],unidades!$A:$A,unidades!$C:$C,"",0)</f>
        <v>São João de Meriti</v>
      </c>
      <c r="O799" s="1" t="str">
        <f>_xlfn.XLOOKUP(ocupacao[[#This Row],[EspecialidadeID]],especialidades!$A:$A,especialidades!$B:$B,"",0)</f>
        <v>ELETROCARDIOGRAMA</v>
      </c>
      <c r="P799" s="1" t="str">
        <f>TEXT(WEEKDAY(ocupacao[[#This Row],[Data]]),"ddd")</f>
        <v>sex</v>
      </c>
      <c r="Q799" s="1">
        <f t="shared" si="12"/>
        <v>0</v>
      </c>
    </row>
    <row r="800" spans="1:17" x14ac:dyDescent="0.25">
      <c r="A800" s="2">
        <v>44737</v>
      </c>
      <c r="B800">
        <v>0</v>
      </c>
      <c r="C800">
        <v>32</v>
      </c>
      <c r="D800">
        <v>35</v>
      </c>
      <c r="E800">
        <v>17898</v>
      </c>
      <c r="F800" s="1" t="s">
        <v>300</v>
      </c>
      <c r="G800">
        <v>0</v>
      </c>
      <c r="H800">
        <v>0</v>
      </c>
      <c r="I800">
        <v>54</v>
      </c>
      <c r="J800">
        <v>54</v>
      </c>
      <c r="K800" s="33">
        <v>0</v>
      </c>
      <c r="L800" s="1"/>
      <c r="M800" s="1" t="str">
        <f>_xlfn.XLOOKUP(ocupacao[[#This Row],[UnidadeID]],unidades!$A:$A,unidades!$B:$B,"",0)</f>
        <v>Matriz</v>
      </c>
      <c r="N800" s="1" t="str">
        <f>_xlfn.XLOOKUP(ocupacao[[#This Row],[UnidadeID]],unidades!$A:$A,unidades!$C:$C,"",0)</f>
        <v>Nova Iguaçu</v>
      </c>
      <c r="O800" s="1" t="str">
        <f>_xlfn.XLOOKUP(ocupacao[[#This Row],[EspecialidadeID]],especialidades!$A:$A,especialidades!$B:$B,"",0)</f>
        <v>ELETROCARDIOGRAMA</v>
      </c>
      <c r="P800" s="1" t="str">
        <f>TEXT(WEEKDAY(ocupacao[[#This Row],[Data]]),"ddd")</f>
        <v>sáb</v>
      </c>
      <c r="Q800" s="1">
        <f t="shared" si="12"/>
        <v>0</v>
      </c>
    </row>
    <row r="801" spans="1:17" x14ac:dyDescent="0.25">
      <c r="A801" s="2">
        <v>44737</v>
      </c>
      <c r="B801">
        <v>10</v>
      </c>
      <c r="C801">
        <v>32</v>
      </c>
      <c r="D801">
        <v>4</v>
      </c>
      <c r="E801">
        <v>17899</v>
      </c>
      <c r="F801" s="1" t="s">
        <v>301</v>
      </c>
      <c r="G801">
        <v>0</v>
      </c>
      <c r="H801">
        <v>0</v>
      </c>
      <c r="I801">
        <v>30</v>
      </c>
      <c r="J801">
        <v>30</v>
      </c>
      <c r="K801" s="33">
        <v>0</v>
      </c>
      <c r="L801" s="1"/>
      <c r="M801" s="1" t="str">
        <f>_xlfn.XLOOKUP(ocupacao[[#This Row],[UnidadeID]],unidades!$A:$A,unidades!$B:$B,"",0)</f>
        <v>Filial 2 - 10º</v>
      </c>
      <c r="N801" s="1" t="str">
        <f>_xlfn.XLOOKUP(ocupacao[[#This Row],[UnidadeID]],unidades!$A:$A,unidades!$C:$C,"",0)</f>
        <v>Nova Iguaçu</v>
      </c>
      <c r="O801" s="1" t="str">
        <f>_xlfn.XLOOKUP(ocupacao[[#This Row],[EspecialidadeID]],especialidades!$A:$A,especialidades!$B:$B,"",0)</f>
        <v>ELETROCARDIOGRAMA</v>
      </c>
      <c r="P801" s="1" t="str">
        <f>TEXT(WEEKDAY(ocupacao[[#This Row],[Data]]),"ddd")</f>
        <v>sáb</v>
      </c>
      <c r="Q801" s="1">
        <f t="shared" si="12"/>
        <v>0</v>
      </c>
    </row>
    <row r="802" spans="1:17" hidden="1" x14ac:dyDescent="0.25">
      <c r="A802" s="2">
        <v>44737</v>
      </c>
      <c r="B802">
        <v>18</v>
      </c>
      <c r="C802">
        <v>32</v>
      </c>
      <c r="D802">
        <v>77</v>
      </c>
      <c r="E802">
        <v>17900</v>
      </c>
      <c r="F802" s="1" t="s">
        <v>302</v>
      </c>
      <c r="G802">
        <v>0</v>
      </c>
      <c r="H802">
        <v>0</v>
      </c>
      <c r="I802">
        <v>42</v>
      </c>
      <c r="J802">
        <v>42</v>
      </c>
      <c r="K802" s="33">
        <v>0</v>
      </c>
      <c r="L802" s="1"/>
      <c r="M802" s="1"/>
      <c r="N802" s="1"/>
      <c r="O802" s="1"/>
      <c r="P802" s="1"/>
      <c r="Q802" s="1"/>
    </row>
    <row r="803" spans="1:17" x14ac:dyDescent="0.25">
      <c r="A803" s="2">
        <v>44737</v>
      </c>
      <c r="B803">
        <v>24</v>
      </c>
      <c r="C803">
        <v>32</v>
      </c>
      <c r="D803">
        <v>59</v>
      </c>
      <c r="E803">
        <v>17901</v>
      </c>
      <c r="F803" s="1" t="s">
        <v>303</v>
      </c>
      <c r="G803">
        <v>0</v>
      </c>
      <c r="H803">
        <v>0</v>
      </c>
      <c r="I803">
        <v>42</v>
      </c>
      <c r="J803">
        <v>42</v>
      </c>
      <c r="K803" s="33">
        <v>0</v>
      </c>
      <c r="L803" s="1"/>
      <c r="M803" s="1" t="str">
        <f>_xlfn.XLOOKUP(ocupacao[[#This Row],[UnidadeID]],unidades!$A:$A,unidades!$B:$B,"",0)</f>
        <v>Nilópolis</v>
      </c>
      <c r="N803" s="1" t="str">
        <f>_xlfn.XLOOKUP(ocupacao[[#This Row],[UnidadeID]],unidades!$A:$A,unidades!$C:$C,"",0)</f>
        <v>Nilópolis</v>
      </c>
      <c r="O803" s="1" t="str">
        <f>_xlfn.XLOOKUP(ocupacao[[#This Row],[EspecialidadeID]],especialidades!$A:$A,especialidades!$B:$B,"",0)</f>
        <v>ELETROCARDIOGRAMA</v>
      </c>
      <c r="P803" s="1" t="str">
        <f>TEXT(WEEKDAY(ocupacao[[#This Row],[Data]]),"ddd")</f>
        <v>sáb</v>
      </c>
      <c r="Q803" s="1">
        <f t="shared" si="12"/>
        <v>0</v>
      </c>
    </row>
    <row r="804" spans="1:17" x14ac:dyDescent="0.25">
      <c r="A804" s="2">
        <v>44737</v>
      </c>
      <c r="B804">
        <v>34</v>
      </c>
      <c r="C804">
        <v>32</v>
      </c>
      <c r="D804">
        <v>380</v>
      </c>
      <c r="E804">
        <v>17954</v>
      </c>
      <c r="F804" s="1" t="s">
        <v>366</v>
      </c>
      <c r="G804">
        <v>0</v>
      </c>
      <c r="H804">
        <v>0</v>
      </c>
      <c r="I804">
        <v>42</v>
      </c>
      <c r="J804">
        <v>42</v>
      </c>
      <c r="K804" s="33">
        <v>0</v>
      </c>
      <c r="L804" s="1"/>
      <c r="M804" s="1" t="str">
        <f>_xlfn.XLOOKUP(ocupacao[[#This Row],[UnidadeID]],unidades!$A:$A,unidades!$B:$B,"",0)</f>
        <v>São João</v>
      </c>
      <c r="N804" s="1" t="str">
        <f>_xlfn.XLOOKUP(ocupacao[[#This Row],[UnidadeID]],unidades!$A:$A,unidades!$C:$C,"",0)</f>
        <v>São João de Meriti</v>
      </c>
      <c r="O804" s="1" t="str">
        <f>_xlfn.XLOOKUP(ocupacao[[#This Row],[EspecialidadeID]],especialidades!$A:$A,especialidades!$B:$B,"",0)</f>
        <v>ELETROCARDIOGRAMA</v>
      </c>
      <c r="P804" s="1" t="str">
        <f>TEXT(WEEKDAY(ocupacao[[#This Row],[Data]]),"ddd")</f>
        <v>sáb</v>
      </c>
      <c r="Q804" s="1">
        <f t="shared" si="12"/>
        <v>0</v>
      </c>
    </row>
    <row r="805" spans="1:17" hidden="1" x14ac:dyDescent="0.25">
      <c r="A805" s="2"/>
      <c r="F805" s="1"/>
      <c r="K805" s="33"/>
      <c r="L805" s="1"/>
      <c r="M805" s="1"/>
      <c r="N805" s="1"/>
      <c r="O805" s="1"/>
      <c r="P805" s="1"/>
      <c r="Q805" s="1"/>
    </row>
    <row r="806" spans="1:17" x14ac:dyDescent="0.25">
      <c r="A806" s="2">
        <v>44739</v>
      </c>
      <c r="B806">
        <v>0</v>
      </c>
      <c r="C806">
        <v>32</v>
      </c>
      <c r="D806">
        <v>35</v>
      </c>
      <c r="E806">
        <v>17898</v>
      </c>
      <c r="F806" s="1" t="s">
        <v>300</v>
      </c>
      <c r="G806">
        <v>0</v>
      </c>
      <c r="H806">
        <v>0</v>
      </c>
      <c r="I806">
        <v>78</v>
      </c>
      <c r="J806">
        <v>78</v>
      </c>
      <c r="K806" s="33">
        <v>0</v>
      </c>
      <c r="L806" s="1"/>
      <c r="M806" s="1" t="str">
        <f>_xlfn.XLOOKUP(ocupacao[[#This Row],[UnidadeID]],unidades!$A:$A,unidades!$B:$B,"",0)</f>
        <v>Matriz</v>
      </c>
      <c r="N806" s="1" t="str">
        <f>_xlfn.XLOOKUP(ocupacao[[#This Row],[UnidadeID]],unidades!$A:$A,unidades!$C:$C,"",0)</f>
        <v>Nova Iguaçu</v>
      </c>
      <c r="O806" s="1" t="str">
        <f>_xlfn.XLOOKUP(ocupacao[[#This Row],[EspecialidadeID]],especialidades!$A:$A,especialidades!$B:$B,"",0)</f>
        <v>ELETROCARDIOGRAMA</v>
      </c>
      <c r="P806" s="1" t="str">
        <f>TEXT(WEEKDAY(ocupacao[[#This Row],[Data]]),"ddd")</f>
        <v>seg</v>
      </c>
      <c r="Q806" s="1">
        <f t="shared" si="12"/>
        <v>0</v>
      </c>
    </row>
    <row r="807" spans="1:17" x14ac:dyDescent="0.25">
      <c r="A807" s="2">
        <v>44739</v>
      </c>
      <c r="B807">
        <v>10</v>
      </c>
      <c r="C807">
        <v>32</v>
      </c>
      <c r="D807">
        <v>4</v>
      </c>
      <c r="E807">
        <v>17899</v>
      </c>
      <c r="F807" s="1" t="s">
        <v>301</v>
      </c>
      <c r="G807">
        <v>0</v>
      </c>
      <c r="H807">
        <v>0</v>
      </c>
      <c r="I807">
        <v>66</v>
      </c>
      <c r="J807">
        <v>66</v>
      </c>
      <c r="K807" s="33">
        <v>0</v>
      </c>
      <c r="L807" s="1"/>
      <c r="M807" s="1" t="str">
        <f>_xlfn.XLOOKUP(ocupacao[[#This Row],[UnidadeID]],unidades!$A:$A,unidades!$B:$B,"",0)</f>
        <v>Filial 2 - 10º</v>
      </c>
      <c r="N807" s="1" t="str">
        <f>_xlfn.XLOOKUP(ocupacao[[#This Row],[UnidadeID]],unidades!$A:$A,unidades!$C:$C,"",0)</f>
        <v>Nova Iguaçu</v>
      </c>
      <c r="O807" s="1" t="str">
        <f>_xlfn.XLOOKUP(ocupacao[[#This Row],[EspecialidadeID]],especialidades!$A:$A,especialidades!$B:$B,"",0)</f>
        <v>ELETROCARDIOGRAMA</v>
      </c>
      <c r="P807" s="1" t="str">
        <f>TEXT(WEEKDAY(ocupacao[[#This Row],[Data]]),"ddd")</f>
        <v>seg</v>
      </c>
      <c r="Q807" s="1">
        <f t="shared" si="12"/>
        <v>0</v>
      </c>
    </row>
    <row r="808" spans="1:17" x14ac:dyDescent="0.25">
      <c r="A808" s="2">
        <v>44739</v>
      </c>
      <c r="B808">
        <v>18</v>
      </c>
      <c r="C808">
        <v>32</v>
      </c>
      <c r="D808">
        <v>77</v>
      </c>
      <c r="E808">
        <v>17900</v>
      </c>
      <c r="F808" s="1" t="s">
        <v>302</v>
      </c>
      <c r="G808">
        <v>0</v>
      </c>
      <c r="H808">
        <v>0</v>
      </c>
      <c r="I808">
        <v>66</v>
      </c>
      <c r="J808">
        <v>66</v>
      </c>
      <c r="K808" s="33">
        <v>0</v>
      </c>
      <c r="L808" s="1"/>
      <c r="M808" s="1" t="str">
        <f>_xlfn.XLOOKUP(ocupacao[[#This Row],[UnidadeID]],unidades!$A:$A,unidades!$B:$B,"",0)</f>
        <v>Miguel Couto</v>
      </c>
      <c r="N808" s="1" t="str">
        <f>_xlfn.XLOOKUP(ocupacao[[#This Row],[UnidadeID]],unidades!$A:$A,unidades!$C:$C,"",0)</f>
        <v>Miguel Couto</v>
      </c>
      <c r="O808" s="1" t="str">
        <f>_xlfn.XLOOKUP(ocupacao[[#This Row],[EspecialidadeID]],especialidades!$A:$A,especialidades!$B:$B,"",0)</f>
        <v>ELETROCARDIOGRAMA</v>
      </c>
      <c r="P808" s="1" t="str">
        <f>TEXT(WEEKDAY(ocupacao[[#This Row],[Data]]),"ddd")</f>
        <v>seg</v>
      </c>
      <c r="Q808" s="1">
        <f t="shared" si="12"/>
        <v>0</v>
      </c>
    </row>
    <row r="809" spans="1:17" x14ac:dyDescent="0.25">
      <c r="A809" s="2">
        <v>44739</v>
      </c>
      <c r="B809">
        <v>24</v>
      </c>
      <c r="C809">
        <v>32</v>
      </c>
      <c r="D809">
        <v>55</v>
      </c>
      <c r="E809">
        <v>17901</v>
      </c>
      <c r="F809" s="1" t="s">
        <v>303</v>
      </c>
      <c r="G809">
        <v>0</v>
      </c>
      <c r="H809">
        <v>0</v>
      </c>
      <c r="I809">
        <v>66</v>
      </c>
      <c r="J809">
        <v>66</v>
      </c>
      <c r="K809" s="33">
        <v>0</v>
      </c>
      <c r="L809" s="1"/>
      <c r="M809" s="1" t="str">
        <f>_xlfn.XLOOKUP(ocupacao[[#This Row],[UnidadeID]],unidades!$A:$A,unidades!$B:$B,"",0)</f>
        <v>Nilópolis</v>
      </c>
      <c r="N809" s="1" t="str">
        <f>_xlfn.XLOOKUP(ocupacao[[#This Row],[UnidadeID]],unidades!$A:$A,unidades!$C:$C,"",0)</f>
        <v>Nilópolis</v>
      </c>
      <c r="O809" s="1" t="str">
        <f>_xlfn.XLOOKUP(ocupacao[[#This Row],[EspecialidadeID]],especialidades!$A:$A,especialidades!$B:$B,"",0)</f>
        <v>ELETROCARDIOGRAMA</v>
      </c>
      <c r="P809" s="1" t="str">
        <f>TEXT(WEEKDAY(ocupacao[[#This Row],[Data]]),"ddd")</f>
        <v>seg</v>
      </c>
      <c r="Q809" s="1">
        <f t="shared" si="12"/>
        <v>0</v>
      </c>
    </row>
    <row r="810" spans="1:17" x14ac:dyDescent="0.25">
      <c r="A810" s="2">
        <v>44739</v>
      </c>
      <c r="B810">
        <v>34</v>
      </c>
      <c r="C810">
        <v>32</v>
      </c>
      <c r="D810">
        <v>380</v>
      </c>
      <c r="E810">
        <v>17954</v>
      </c>
      <c r="F810" s="1" t="s">
        <v>366</v>
      </c>
      <c r="G810">
        <v>0</v>
      </c>
      <c r="H810">
        <v>0</v>
      </c>
      <c r="I810">
        <v>66</v>
      </c>
      <c r="J810">
        <v>66</v>
      </c>
      <c r="K810" s="33">
        <v>0</v>
      </c>
      <c r="L810" s="1"/>
      <c r="M810" s="1" t="str">
        <f>_xlfn.XLOOKUP(ocupacao[[#This Row],[UnidadeID]],unidades!$A:$A,unidades!$B:$B,"",0)</f>
        <v>São João</v>
      </c>
      <c r="N810" s="1" t="str">
        <f>_xlfn.XLOOKUP(ocupacao[[#This Row],[UnidadeID]],unidades!$A:$A,unidades!$C:$C,"",0)</f>
        <v>São João de Meriti</v>
      </c>
      <c r="O810" s="1" t="str">
        <f>_xlfn.XLOOKUP(ocupacao[[#This Row],[EspecialidadeID]],especialidades!$A:$A,especialidades!$B:$B,"",0)</f>
        <v>ELETROCARDIOGRAMA</v>
      </c>
      <c r="P810" s="1" t="str">
        <f>TEXT(WEEKDAY(ocupacao[[#This Row],[Data]]),"ddd")</f>
        <v>seg</v>
      </c>
      <c r="Q810" s="1">
        <f t="shared" si="12"/>
        <v>0</v>
      </c>
    </row>
    <row r="811" spans="1:17" x14ac:dyDescent="0.25">
      <c r="A811" s="2">
        <v>44740</v>
      </c>
      <c r="B811">
        <v>0</v>
      </c>
      <c r="C811">
        <v>32</v>
      </c>
      <c r="D811">
        <v>35</v>
      </c>
      <c r="E811">
        <v>17898</v>
      </c>
      <c r="F811" s="1" t="s">
        <v>300</v>
      </c>
      <c r="G811">
        <v>0</v>
      </c>
      <c r="H811">
        <v>0</v>
      </c>
      <c r="I811">
        <v>78</v>
      </c>
      <c r="J811">
        <v>78</v>
      </c>
      <c r="K811" s="33">
        <v>0</v>
      </c>
      <c r="L811" s="1"/>
      <c r="M811" s="1" t="str">
        <f>_xlfn.XLOOKUP(ocupacao[[#This Row],[UnidadeID]],unidades!$A:$A,unidades!$B:$B,"",0)</f>
        <v>Matriz</v>
      </c>
      <c r="N811" s="1" t="str">
        <f>_xlfn.XLOOKUP(ocupacao[[#This Row],[UnidadeID]],unidades!$A:$A,unidades!$C:$C,"",0)</f>
        <v>Nova Iguaçu</v>
      </c>
      <c r="O811" s="1" t="str">
        <f>_xlfn.XLOOKUP(ocupacao[[#This Row],[EspecialidadeID]],especialidades!$A:$A,especialidades!$B:$B,"",0)</f>
        <v>ELETROCARDIOGRAMA</v>
      </c>
      <c r="P811" s="1" t="str">
        <f>TEXT(WEEKDAY(ocupacao[[#This Row],[Data]]),"ddd")</f>
        <v>ter</v>
      </c>
      <c r="Q811" s="1">
        <f t="shared" si="12"/>
        <v>0</v>
      </c>
    </row>
    <row r="812" spans="1:17" x14ac:dyDescent="0.25">
      <c r="A812" s="2">
        <v>44740</v>
      </c>
      <c r="B812">
        <v>10</v>
      </c>
      <c r="C812">
        <v>32</v>
      </c>
      <c r="D812">
        <v>4</v>
      </c>
      <c r="E812">
        <v>17899</v>
      </c>
      <c r="F812" s="1" t="s">
        <v>301</v>
      </c>
      <c r="G812">
        <v>0</v>
      </c>
      <c r="H812">
        <v>0</v>
      </c>
      <c r="I812">
        <v>66</v>
      </c>
      <c r="J812">
        <v>66</v>
      </c>
      <c r="K812" s="33">
        <v>0</v>
      </c>
      <c r="L812" s="1"/>
      <c r="M812" s="1" t="str">
        <f>_xlfn.XLOOKUP(ocupacao[[#This Row],[UnidadeID]],unidades!$A:$A,unidades!$B:$B,"",0)</f>
        <v>Filial 2 - 10º</v>
      </c>
      <c r="N812" s="1" t="str">
        <f>_xlfn.XLOOKUP(ocupacao[[#This Row],[UnidadeID]],unidades!$A:$A,unidades!$C:$C,"",0)</f>
        <v>Nova Iguaçu</v>
      </c>
      <c r="O812" s="1" t="str">
        <f>_xlfn.XLOOKUP(ocupacao[[#This Row],[EspecialidadeID]],especialidades!$A:$A,especialidades!$B:$B,"",0)</f>
        <v>ELETROCARDIOGRAMA</v>
      </c>
      <c r="P812" s="1" t="str">
        <f>TEXT(WEEKDAY(ocupacao[[#This Row],[Data]]),"ddd")</f>
        <v>ter</v>
      </c>
      <c r="Q812" s="1">
        <f t="shared" si="12"/>
        <v>0</v>
      </c>
    </row>
    <row r="813" spans="1:17" x14ac:dyDescent="0.25">
      <c r="A813" s="2">
        <v>44740</v>
      </c>
      <c r="B813">
        <v>18</v>
      </c>
      <c r="C813">
        <v>32</v>
      </c>
      <c r="D813">
        <v>77</v>
      </c>
      <c r="E813">
        <v>17900</v>
      </c>
      <c r="F813" s="1" t="s">
        <v>302</v>
      </c>
      <c r="G813">
        <v>0</v>
      </c>
      <c r="H813">
        <v>0</v>
      </c>
      <c r="I813">
        <v>66</v>
      </c>
      <c r="J813">
        <v>66</v>
      </c>
      <c r="K813" s="33">
        <v>0</v>
      </c>
      <c r="L813" s="1"/>
      <c r="M813" s="1" t="str">
        <f>_xlfn.XLOOKUP(ocupacao[[#This Row],[UnidadeID]],unidades!$A:$A,unidades!$B:$B,"",0)</f>
        <v>Miguel Couto</v>
      </c>
      <c r="N813" s="1" t="str">
        <f>_xlfn.XLOOKUP(ocupacao[[#This Row],[UnidadeID]],unidades!$A:$A,unidades!$C:$C,"",0)</f>
        <v>Miguel Couto</v>
      </c>
      <c r="O813" s="1" t="str">
        <f>_xlfn.XLOOKUP(ocupacao[[#This Row],[EspecialidadeID]],especialidades!$A:$A,especialidades!$B:$B,"",0)</f>
        <v>ELETROCARDIOGRAMA</v>
      </c>
      <c r="P813" s="1" t="str">
        <f>TEXT(WEEKDAY(ocupacao[[#This Row],[Data]]),"ddd")</f>
        <v>ter</v>
      </c>
      <c r="Q813" s="1">
        <f t="shared" si="12"/>
        <v>0</v>
      </c>
    </row>
    <row r="814" spans="1:17" x14ac:dyDescent="0.25">
      <c r="A814" s="2">
        <v>44740</v>
      </c>
      <c r="B814">
        <v>24</v>
      </c>
      <c r="C814">
        <v>32</v>
      </c>
      <c r="D814">
        <v>55</v>
      </c>
      <c r="E814">
        <v>17901</v>
      </c>
      <c r="F814" s="1" t="s">
        <v>303</v>
      </c>
      <c r="G814">
        <v>0</v>
      </c>
      <c r="H814">
        <v>0</v>
      </c>
      <c r="I814">
        <v>66</v>
      </c>
      <c r="J814">
        <v>66</v>
      </c>
      <c r="K814" s="33">
        <v>0</v>
      </c>
      <c r="L814" s="1"/>
      <c r="M814" s="1" t="str">
        <f>_xlfn.XLOOKUP(ocupacao[[#This Row],[UnidadeID]],unidades!$A:$A,unidades!$B:$B,"",0)</f>
        <v>Nilópolis</v>
      </c>
      <c r="N814" s="1" t="str">
        <f>_xlfn.XLOOKUP(ocupacao[[#This Row],[UnidadeID]],unidades!$A:$A,unidades!$C:$C,"",0)</f>
        <v>Nilópolis</v>
      </c>
      <c r="O814" s="1" t="str">
        <f>_xlfn.XLOOKUP(ocupacao[[#This Row],[EspecialidadeID]],especialidades!$A:$A,especialidades!$B:$B,"",0)</f>
        <v>ELETROCARDIOGRAMA</v>
      </c>
      <c r="P814" s="1" t="str">
        <f>TEXT(WEEKDAY(ocupacao[[#This Row],[Data]]),"ddd")</f>
        <v>ter</v>
      </c>
      <c r="Q814" s="1">
        <f t="shared" si="12"/>
        <v>0</v>
      </c>
    </row>
    <row r="815" spans="1:17" x14ac:dyDescent="0.25">
      <c r="A815" s="2">
        <v>44740</v>
      </c>
      <c r="B815">
        <v>34</v>
      </c>
      <c r="C815">
        <v>32</v>
      </c>
      <c r="D815">
        <v>380</v>
      </c>
      <c r="E815">
        <v>17954</v>
      </c>
      <c r="F815" s="1" t="s">
        <v>366</v>
      </c>
      <c r="G815">
        <v>0</v>
      </c>
      <c r="H815">
        <v>0</v>
      </c>
      <c r="I815">
        <v>66</v>
      </c>
      <c r="J815">
        <v>66</v>
      </c>
      <c r="K815" s="33">
        <v>0</v>
      </c>
      <c r="L815" s="1"/>
      <c r="M815" s="1" t="str">
        <f>_xlfn.XLOOKUP(ocupacao[[#This Row],[UnidadeID]],unidades!$A:$A,unidades!$B:$B,"",0)</f>
        <v>São João</v>
      </c>
      <c r="N815" s="1" t="str">
        <f>_xlfn.XLOOKUP(ocupacao[[#This Row],[UnidadeID]],unidades!$A:$A,unidades!$C:$C,"",0)</f>
        <v>São João de Meriti</v>
      </c>
      <c r="O815" s="1" t="str">
        <f>_xlfn.XLOOKUP(ocupacao[[#This Row],[EspecialidadeID]],especialidades!$A:$A,especialidades!$B:$B,"",0)</f>
        <v>ELETROCARDIOGRAMA</v>
      </c>
      <c r="P815" s="1" t="str">
        <f>TEXT(WEEKDAY(ocupacao[[#This Row],[Data]]),"ddd")</f>
        <v>ter</v>
      </c>
      <c r="Q815" s="1">
        <f t="shared" si="12"/>
        <v>0</v>
      </c>
    </row>
    <row r="816" spans="1:17" x14ac:dyDescent="0.25">
      <c r="A816" s="2">
        <v>44741</v>
      </c>
      <c r="B816">
        <v>0</v>
      </c>
      <c r="C816">
        <v>32</v>
      </c>
      <c r="D816">
        <v>35</v>
      </c>
      <c r="E816">
        <v>17898</v>
      </c>
      <c r="F816" s="1" t="s">
        <v>300</v>
      </c>
      <c r="G816">
        <v>0</v>
      </c>
      <c r="H816">
        <v>0</v>
      </c>
      <c r="I816">
        <v>78</v>
      </c>
      <c r="J816">
        <v>78</v>
      </c>
      <c r="K816" s="33">
        <v>0</v>
      </c>
      <c r="L816" s="1"/>
      <c r="M816" s="1" t="str">
        <f>_xlfn.XLOOKUP(ocupacao[[#This Row],[UnidadeID]],unidades!$A:$A,unidades!$B:$B,"",0)</f>
        <v>Matriz</v>
      </c>
      <c r="N816" s="1" t="str">
        <f>_xlfn.XLOOKUP(ocupacao[[#This Row],[UnidadeID]],unidades!$A:$A,unidades!$C:$C,"",0)</f>
        <v>Nova Iguaçu</v>
      </c>
      <c r="O816" s="1" t="str">
        <f>_xlfn.XLOOKUP(ocupacao[[#This Row],[EspecialidadeID]],especialidades!$A:$A,especialidades!$B:$B,"",0)</f>
        <v>ELETROCARDIOGRAMA</v>
      </c>
      <c r="P816" s="1" t="str">
        <f>TEXT(WEEKDAY(ocupacao[[#This Row],[Data]]),"ddd")</f>
        <v>qua</v>
      </c>
      <c r="Q816" s="1">
        <f t="shared" si="12"/>
        <v>0</v>
      </c>
    </row>
    <row r="817" spans="1:17" x14ac:dyDescent="0.25">
      <c r="A817" s="2">
        <v>44741</v>
      </c>
      <c r="B817">
        <v>10</v>
      </c>
      <c r="C817">
        <v>32</v>
      </c>
      <c r="D817">
        <v>4</v>
      </c>
      <c r="E817">
        <v>17899</v>
      </c>
      <c r="F817" s="1" t="s">
        <v>301</v>
      </c>
      <c r="G817">
        <v>0</v>
      </c>
      <c r="H817">
        <v>0</v>
      </c>
      <c r="I817">
        <v>66</v>
      </c>
      <c r="J817">
        <v>66</v>
      </c>
      <c r="K817" s="33">
        <v>0</v>
      </c>
      <c r="L817" s="1"/>
      <c r="M817" s="1" t="str">
        <f>_xlfn.XLOOKUP(ocupacao[[#This Row],[UnidadeID]],unidades!$A:$A,unidades!$B:$B,"",0)</f>
        <v>Filial 2 - 10º</v>
      </c>
      <c r="N817" s="1" t="str">
        <f>_xlfn.XLOOKUP(ocupacao[[#This Row],[UnidadeID]],unidades!$A:$A,unidades!$C:$C,"",0)</f>
        <v>Nova Iguaçu</v>
      </c>
      <c r="O817" s="1" t="str">
        <f>_xlfn.XLOOKUP(ocupacao[[#This Row],[EspecialidadeID]],especialidades!$A:$A,especialidades!$B:$B,"",0)</f>
        <v>ELETROCARDIOGRAMA</v>
      </c>
      <c r="P817" s="1" t="str">
        <f>TEXT(WEEKDAY(ocupacao[[#This Row],[Data]]),"ddd")</f>
        <v>qua</v>
      </c>
      <c r="Q817" s="1">
        <f t="shared" si="12"/>
        <v>0</v>
      </c>
    </row>
    <row r="818" spans="1:17" x14ac:dyDescent="0.25">
      <c r="A818" s="2">
        <v>44741</v>
      </c>
      <c r="B818">
        <v>18</v>
      </c>
      <c r="C818">
        <v>32</v>
      </c>
      <c r="D818">
        <v>77</v>
      </c>
      <c r="E818">
        <v>17900</v>
      </c>
      <c r="F818" s="1" t="s">
        <v>302</v>
      </c>
      <c r="G818">
        <v>0</v>
      </c>
      <c r="H818">
        <v>0</v>
      </c>
      <c r="I818">
        <v>66</v>
      </c>
      <c r="J818">
        <v>66</v>
      </c>
      <c r="K818" s="33">
        <v>0</v>
      </c>
      <c r="L818" s="1"/>
      <c r="M818" s="1" t="str">
        <f>_xlfn.XLOOKUP(ocupacao[[#This Row],[UnidadeID]],unidades!$A:$A,unidades!$B:$B,"",0)</f>
        <v>Miguel Couto</v>
      </c>
      <c r="N818" s="1" t="str">
        <f>_xlfn.XLOOKUP(ocupacao[[#This Row],[UnidadeID]],unidades!$A:$A,unidades!$C:$C,"",0)</f>
        <v>Miguel Couto</v>
      </c>
      <c r="O818" s="1" t="str">
        <f>_xlfn.XLOOKUP(ocupacao[[#This Row],[EspecialidadeID]],especialidades!$A:$A,especialidades!$B:$B,"",0)</f>
        <v>ELETROCARDIOGRAMA</v>
      </c>
      <c r="P818" s="1" t="str">
        <f>TEXT(WEEKDAY(ocupacao[[#This Row],[Data]]),"ddd")</f>
        <v>qua</v>
      </c>
      <c r="Q818" s="1">
        <f t="shared" si="12"/>
        <v>0</v>
      </c>
    </row>
    <row r="819" spans="1:17" x14ac:dyDescent="0.25">
      <c r="A819" s="2">
        <v>44741</v>
      </c>
      <c r="B819">
        <v>24</v>
      </c>
      <c r="C819">
        <v>32</v>
      </c>
      <c r="D819">
        <v>55</v>
      </c>
      <c r="E819">
        <v>17901</v>
      </c>
      <c r="F819" s="1" t="s">
        <v>303</v>
      </c>
      <c r="G819">
        <v>0</v>
      </c>
      <c r="H819">
        <v>0</v>
      </c>
      <c r="I819">
        <v>66</v>
      </c>
      <c r="J819">
        <v>66</v>
      </c>
      <c r="K819" s="33">
        <v>0</v>
      </c>
      <c r="L819" s="1"/>
      <c r="M819" s="1" t="str">
        <f>_xlfn.XLOOKUP(ocupacao[[#This Row],[UnidadeID]],unidades!$A:$A,unidades!$B:$B,"",0)</f>
        <v>Nilópolis</v>
      </c>
      <c r="N819" s="1" t="str">
        <f>_xlfn.XLOOKUP(ocupacao[[#This Row],[UnidadeID]],unidades!$A:$A,unidades!$C:$C,"",0)</f>
        <v>Nilópolis</v>
      </c>
      <c r="O819" s="1" t="str">
        <f>_xlfn.XLOOKUP(ocupacao[[#This Row],[EspecialidadeID]],especialidades!$A:$A,especialidades!$B:$B,"",0)</f>
        <v>ELETROCARDIOGRAMA</v>
      </c>
      <c r="P819" s="1" t="str">
        <f>TEXT(WEEKDAY(ocupacao[[#This Row],[Data]]),"ddd")</f>
        <v>qua</v>
      </c>
      <c r="Q819" s="1">
        <f t="shared" si="12"/>
        <v>0</v>
      </c>
    </row>
    <row r="820" spans="1:17" x14ac:dyDescent="0.25">
      <c r="A820" s="2">
        <v>44741</v>
      </c>
      <c r="B820">
        <v>34</v>
      </c>
      <c r="C820">
        <v>32</v>
      </c>
      <c r="D820">
        <v>380</v>
      </c>
      <c r="E820">
        <v>17954</v>
      </c>
      <c r="F820" s="1" t="s">
        <v>366</v>
      </c>
      <c r="G820">
        <v>0</v>
      </c>
      <c r="H820">
        <v>0</v>
      </c>
      <c r="I820">
        <v>66</v>
      </c>
      <c r="J820">
        <v>66</v>
      </c>
      <c r="K820" s="33">
        <v>0</v>
      </c>
      <c r="L820" s="1"/>
      <c r="M820" s="1" t="str">
        <f>_xlfn.XLOOKUP(ocupacao[[#This Row],[UnidadeID]],unidades!$A:$A,unidades!$B:$B,"",0)</f>
        <v>São João</v>
      </c>
      <c r="N820" s="1" t="str">
        <f>_xlfn.XLOOKUP(ocupacao[[#This Row],[UnidadeID]],unidades!$A:$A,unidades!$C:$C,"",0)</f>
        <v>São João de Meriti</v>
      </c>
      <c r="O820" s="1" t="str">
        <f>_xlfn.XLOOKUP(ocupacao[[#This Row],[EspecialidadeID]],especialidades!$A:$A,especialidades!$B:$B,"",0)</f>
        <v>ELETROCARDIOGRAMA</v>
      </c>
      <c r="P820" s="1" t="str">
        <f>TEXT(WEEKDAY(ocupacao[[#This Row],[Data]]),"ddd")</f>
        <v>qua</v>
      </c>
      <c r="Q820" s="1">
        <f t="shared" si="12"/>
        <v>0</v>
      </c>
    </row>
    <row r="821" spans="1:17" x14ac:dyDescent="0.25">
      <c r="A821" s="2">
        <v>44742</v>
      </c>
      <c r="B821">
        <v>0</v>
      </c>
      <c r="C821">
        <v>32</v>
      </c>
      <c r="D821">
        <v>35</v>
      </c>
      <c r="E821">
        <v>17898</v>
      </c>
      <c r="F821" s="1" t="s">
        <v>300</v>
      </c>
      <c r="G821">
        <v>0</v>
      </c>
      <c r="H821">
        <v>0</v>
      </c>
      <c r="I821">
        <v>78</v>
      </c>
      <c r="J821">
        <v>78</v>
      </c>
      <c r="K821" s="33">
        <v>0</v>
      </c>
      <c r="L821" s="1"/>
      <c r="M821" s="1" t="str">
        <f>_xlfn.XLOOKUP(ocupacao[[#This Row],[UnidadeID]],unidades!$A:$A,unidades!$B:$B,"",0)</f>
        <v>Matriz</v>
      </c>
      <c r="N821" s="1" t="str">
        <f>_xlfn.XLOOKUP(ocupacao[[#This Row],[UnidadeID]],unidades!$A:$A,unidades!$C:$C,"",0)</f>
        <v>Nova Iguaçu</v>
      </c>
      <c r="O821" s="1" t="str">
        <f>_xlfn.XLOOKUP(ocupacao[[#This Row],[EspecialidadeID]],especialidades!$A:$A,especialidades!$B:$B,"",0)</f>
        <v>ELETROCARDIOGRAMA</v>
      </c>
      <c r="P821" s="1" t="str">
        <f>TEXT(WEEKDAY(ocupacao[[#This Row],[Data]]),"ddd")</f>
        <v>qui</v>
      </c>
      <c r="Q821" s="1">
        <f t="shared" si="12"/>
        <v>0</v>
      </c>
    </row>
    <row r="822" spans="1:17" x14ac:dyDescent="0.25">
      <c r="A822" s="2">
        <v>44742</v>
      </c>
      <c r="B822">
        <v>10</v>
      </c>
      <c r="C822">
        <v>32</v>
      </c>
      <c r="D822">
        <v>4</v>
      </c>
      <c r="E822">
        <v>17899</v>
      </c>
      <c r="F822" s="1" t="s">
        <v>301</v>
      </c>
      <c r="G822">
        <v>0</v>
      </c>
      <c r="H822">
        <v>0</v>
      </c>
      <c r="I822">
        <v>66</v>
      </c>
      <c r="J822">
        <v>66</v>
      </c>
      <c r="K822" s="33">
        <v>0</v>
      </c>
      <c r="L822" s="1"/>
      <c r="M822" s="1" t="str">
        <f>_xlfn.XLOOKUP(ocupacao[[#This Row],[UnidadeID]],unidades!$A:$A,unidades!$B:$B,"",0)</f>
        <v>Filial 2 - 10º</v>
      </c>
      <c r="N822" s="1" t="str">
        <f>_xlfn.XLOOKUP(ocupacao[[#This Row],[UnidadeID]],unidades!$A:$A,unidades!$C:$C,"",0)</f>
        <v>Nova Iguaçu</v>
      </c>
      <c r="O822" s="1" t="str">
        <f>_xlfn.XLOOKUP(ocupacao[[#This Row],[EspecialidadeID]],especialidades!$A:$A,especialidades!$B:$B,"",0)</f>
        <v>ELETROCARDIOGRAMA</v>
      </c>
      <c r="P822" s="1" t="str">
        <f>TEXT(WEEKDAY(ocupacao[[#This Row],[Data]]),"ddd")</f>
        <v>qui</v>
      </c>
      <c r="Q822" s="1">
        <f t="shared" si="12"/>
        <v>0</v>
      </c>
    </row>
    <row r="823" spans="1:17" x14ac:dyDescent="0.25">
      <c r="A823" s="2">
        <v>44742</v>
      </c>
      <c r="B823">
        <v>18</v>
      </c>
      <c r="C823">
        <v>32</v>
      </c>
      <c r="D823">
        <v>77</v>
      </c>
      <c r="E823">
        <v>17900</v>
      </c>
      <c r="F823" s="1" t="s">
        <v>302</v>
      </c>
      <c r="G823">
        <v>0</v>
      </c>
      <c r="H823">
        <v>0</v>
      </c>
      <c r="I823">
        <v>66</v>
      </c>
      <c r="J823">
        <v>66</v>
      </c>
      <c r="K823" s="33">
        <v>0</v>
      </c>
      <c r="L823" s="1"/>
      <c r="M823" s="1" t="str">
        <f>_xlfn.XLOOKUP(ocupacao[[#This Row],[UnidadeID]],unidades!$A:$A,unidades!$B:$B,"",0)</f>
        <v>Miguel Couto</v>
      </c>
      <c r="N823" s="1" t="str">
        <f>_xlfn.XLOOKUP(ocupacao[[#This Row],[UnidadeID]],unidades!$A:$A,unidades!$C:$C,"",0)</f>
        <v>Miguel Couto</v>
      </c>
      <c r="O823" s="1" t="str">
        <f>_xlfn.XLOOKUP(ocupacao[[#This Row],[EspecialidadeID]],especialidades!$A:$A,especialidades!$B:$B,"",0)</f>
        <v>ELETROCARDIOGRAMA</v>
      </c>
      <c r="P823" s="1" t="str">
        <f>TEXT(WEEKDAY(ocupacao[[#This Row],[Data]]),"ddd")</f>
        <v>qui</v>
      </c>
      <c r="Q823" s="1">
        <f t="shared" si="12"/>
        <v>0</v>
      </c>
    </row>
    <row r="824" spans="1:17" x14ac:dyDescent="0.25">
      <c r="A824" s="2">
        <v>44742</v>
      </c>
      <c r="B824">
        <v>24</v>
      </c>
      <c r="C824">
        <v>32</v>
      </c>
      <c r="D824">
        <v>55</v>
      </c>
      <c r="E824">
        <v>17901</v>
      </c>
      <c r="F824" s="1" t="s">
        <v>303</v>
      </c>
      <c r="G824">
        <v>0</v>
      </c>
      <c r="H824">
        <v>0</v>
      </c>
      <c r="I824">
        <v>66</v>
      </c>
      <c r="J824">
        <v>66</v>
      </c>
      <c r="K824" s="33">
        <v>0</v>
      </c>
      <c r="L824" s="1"/>
      <c r="M824" s="1" t="str">
        <f>_xlfn.XLOOKUP(ocupacao[[#This Row],[UnidadeID]],unidades!$A:$A,unidades!$B:$B,"",0)</f>
        <v>Nilópolis</v>
      </c>
      <c r="N824" s="1" t="str">
        <f>_xlfn.XLOOKUP(ocupacao[[#This Row],[UnidadeID]],unidades!$A:$A,unidades!$C:$C,"",0)</f>
        <v>Nilópolis</v>
      </c>
      <c r="O824" s="1" t="str">
        <f>_xlfn.XLOOKUP(ocupacao[[#This Row],[EspecialidadeID]],especialidades!$A:$A,especialidades!$B:$B,"",0)</f>
        <v>ELETROCARDIOGRAMA</v>
      </c>
      <c r="P824" s="1" t="str">
        <f>TEXT(WEEKDAY(ocupacao[[#This Row],[Data]]),"ddd")</f>
        <v>qui</v>
      </c>
      <c r="Q824" s="1">
        <f t="shared" si="12"/>
        <v>0</v>
      </c>
    </row>
    <row r="825" spans="1:17" x14ac:dyDescent="0.25">
      <c r="A825" s="2">
        <v>44742</v>
      </c>
      <c r="B825">
        <v>34</v>
      </c>
      <c r="C825">
        <v>32</v>
      </c>
      <c r="D825">
        <v>380</v>
      </c>
      <c r="E825">
        <v>17954</v>
      </c>
      <c r="F825" s="1" t="s">
        <v>366</v>
      </c>
      <c r="G825">
        <v>0</v>
      </c>
      <c r="H825">
        <v>0</v>
      </c>
      <c r="I825">
        <v>66</v>
      </c>
      <c r="J825">
        <v>66</v>
      </c>
      <c r="K825" s="33">
        <v>0</v>
      </c>
      <c r="L825" s="1"/>
      <c r="M825" s="1" t="str">
        <f>_xlfn.XLOOKUP(ocupacao[[#This Row],[UnidadeID]],unidades!$A:$A,unidades!$B:$B,"",0)</f>
        <v>São João</v>
      </c>
      <c r="N825" s="1" t="str">
        <f>_xlfn.XLOOKUP(ocupacao[[#This Row],[UnidadeID]],unidades!$A:$A,unidades!$C:$C,"",0)</f>
        <v>São João de Meriti</v>
      </c>
      <c r="O825" s="1" t="str">
        <f>_xlfn.XLOOKUP(ocupacao[[#This Row],[EspecialidadeID]],especialidades!$A:$A,especialidades!$B:$B,"",0)</f>
        <v>ELETROCARDIOGRAMA</v>
      </c>
      <c r="P825" s="1" t="str">
        <f>TEXT(WEEKDAY(ocupacao[[#This Row],[Data]]),"ddd")</f>
        <v>qui</v>
      </c>
      <c r="Q825" s="1">
        <f t="shared" si="12"/>
        <v>0</v>
      </c>
    </row>
    <row r="826" spans="1:17" x14ac:dyDescent="0.25">
      <c r="A826" s="2">
        <v>44743</v>
      </c>
      <c r="B826">
        <v>0</v>
      </c>
      <c r="C826">
        <v>32</v>
      </c>
      <c r="D826">
        <v>35</v>
      </c>
      <c r="E826">
        <v>17898</v>
      </c>
      <c r="F826" s="1" t="s">
        <v>300</v>
      </c>
      <c r="G826">
        <v>0</v>
      </c>
      <c r="H826">
        <v>0</v>
      </c>
      <c r="I826">
        <v>78</v>
      </c>
      <c r="J826">
        <v>78</v>
      </c>
      <c r="K826" s="33">
        <v>0</v>
      </c>
      <c r="L826" s="1"/>
      <c r="M826" s="1" t="str">
        <f>_xlfn.XLOOKUP(ocupacao[[#This Row],[UnidadeID]],unidades!$A:$A,unidades!$B:$B,"",0)</f>
        <v>Matriz</v>
      </c>
      <c r="N826" s="1" t="str">
        <f>_xlfn.XLOOKUP(ocupacao[[#This Row],[UnidadeID]],unidades!$A:$A,unidades!$C:$C,"",0)</f>
        <v>Nova Iguaçu</v>
      </c>
      <c r="O826" s="1" t="str">
        <f>_xlfn.XLOOKUP(ocupacao[[#This Row],[EspecialidadeID]],especialidades!$A:$A,especialidades!$B:$B,"",0)</f>
        <v>ELETROCARDIOGRAMA</v>
      </c>
      <c r="P826" s="1" t="str">
        <f>TEXT(WEEKDAY(ocupacao[[#This Row],[Data]]),"ddd")</f>
        <v>sex</v>
      </c>
      <c r="Q826" s="1">
        <f t="shared" si="12"/>
        <v>0</v>
      </c>
    </row>
    <row r="827" spans="1:17" x14ac:dyDescent="0.25">
      <c r="A827" s="2">
        <v>44743</v>
      </c>
      <c r="B827">
        <v>10</v>
      </c>
      <c r="C827">
        <v>32</v>
      </c>
      <c r="D827">
        <v>4</v>
      </c>
      <c r="E827">
        <v>17899</v>
      </c>
      <c r="F827" s="1" t="s">
        <v>301</v>
      </c>
      <c r="G827">
        <v>0</v>
      </c>
      <c r="H827">
        <v>0</v>
      </c>
      <c r="I827">
        <v>66</v>
      </c>
      <c r="J827">
        <v>66</v>
      </c>
      <c r="K827" s="33">
        <v>0</v>
      </c>
      <c r="L827" s="1"/>
      <c r="M827" s="1" t="str">
        <f>_xlfn.XLOOKUP(ocupacao[[#This Row],[UnidadeID]],unidades!$A:$A,unidades!$B:$B,"",0)</f>
        <v>Filial 2 - 10º</v>
      </c>
      <c r="N827" s="1" t="str">
        <f>_xlfn.XLOOKUP(ocupacao[[#This Row],[UnidadeID]],unidades!$A:$A,unidades!$C:$C,"",0)</f>
        <v>Nova Iguaçu</v>
      </c>
      <c r="O827" s="1" t="str">
        <f>_xlfn.XLOOKUP(ocupacao[[#This Row],[EspecialidadeID]],especialidades!$A:$A,especialidades!$B:$B,"",0)</f>
        <v>ELETROCARDIOGRAMA</v>
      </c>
      <c r="P827" s="1" t="str">
        <f>TEXT(WEEKDAY(ocupacao[[#This Row],[Data]]),"ddd")</f>
        <v>sex</v>
      </c>
      <c r="Q827" s="1">
        <f t="shared" si="12"/>
        <v>0</v>
      </c>
    </row>
    <row r="828" spans="1:17" x14ac:dyDescent="0.25">
      <c r="A828" s="2">
        <v>44743</v>
      </c>
      <c r="B828">
        <v>18</v>
      </c>
      <c r="C828">
        <v>32</v>
      </c>
      <c r="D828">
        <v>77</v>
      </c>
      <c r="E828">
        <v>17900</v>
      </c>
      <c r="F828" s="1" t="s">
        <v>302</v>
      </c>
      <c r="G828">
        <v>0</v>
      </c>
      <c r="H828">
        <v>0</v>
      </c>
      <c r="I828">
        <v>66</v>
      </c>
      <c r="J828">
        <v>66</v>
      </c>
      <c r="K828" s="33">
        <v>0</v>
      </c>
      <c r="L828" s="1"/>
      <c r="M828" s="1" t="str">
        <f>_xlfn.XLOOKUP(ocupacao[[#This Row],[UnidadeID]],unidades!$A:$A,unidades!$B:$B,"",0)</f>
        <v>Miguel Couto</v>
      </c>
      <c r="N828" s="1" t="str">
        <f>_xlfn.XLOOKUP(ocupacao[[#This Row],[UnidadeID]],unidades!$A:$A,unidades!$C:$C,"",0)</f>
        <v>Miguel Couto</v>
      </c>
      <c r="O828" s="1" t="str">
        <f>_xlfn.XLOOKUP(ocupacao[[#This Row],[EspecialidadeID]],especialidades!$A:$A,especialidades!$B:$B,"",0)</f>
        <v>ELETROCARDIOGRAMA</v>
      </c>
      <c r="P828" s="1" t="str">
        <f>TEXT(WEEKDAY(ocupacao[[#This Row],[Data]]),"ddd")</f>
        <v>sex</v>
      </c>
      <c r="Q828" s="1">
        <f t="shared" si="12"/>
        <v>0</v>
      </c>
    </row>
    <row r="829" spans="1:17" x14ac:dyDescent="0.25">
      <c r="A829" s="2">
        <v>44743</v>
      </c>
      <c r="B829">
        <v>24</v>
      </c>
      <c r="C829">
        <v>32</v>
      </c>
      <c r="D829">
        <v>55</v>
      </c>
      <c r="E829">
        <v>17901</v>
      </c>
      <c r="F829" s="1" t="s">
        <v>303</v>
      </c>
      <c r="G829">
        <v>0</v>
      </c>
      <c r="H829">
        <v>0</v>
      </c>
      <c r="I829">
        <v>66</v>
      </c>
      <c r="J829">
        <v>66</v>
      </c>
      <c r="K829" s="33">
        <v>0</v>
      </c>
      <c r="L829" s="1"/>
      <c r="M829" s="1" t="str">
        <f>_xlfn.XLOOKUP(ocupacao[[#This Row],[UnidadeID]],unidades!$A:$A,unidades!$B:$B,"",0)</f>
        <v>Nilópolis</v>
      </c>
      <c r="N829" s="1" t="str">
        <f>_xlfn.XLOOKUP(ocupacao[[#This Row],[UnidadeID]],unidades!$A:$A,unidades!$C:$C,"",0)</f>
        <v>Nilópolis</v>
      </c>
      <c r="O829" s="1" t="str">
        <f>_xlfn.XLOOKUP(ocupacao[[#This Row],[EspecialidadeID]],especialidades!$A:$A,especialidades!$B:$B,"",0)</f>
        <v>ELETROCARDIOGRAMA</v>
      </c>
      <c r="P829" s="1" t="str">
        <f>TEXT(WEEKDAY(ocupacao[[#This Row],[Data]]),"ddd")</f>
        <v>sex</v>
      </c>
      <c r="Q829" s="1">
        <f t="shared" si="12"/>
        <v>0</v>
      </c>
    </row>
    <row r="830" spans="1:17" x14ac:dyDescent="0.25">
      <c r="A830" s="2">
        <v>44743</v>
      </c>
      <c r="B830">
        <v>34</v>
      </c>
      <c r="C830">
        <v>32</v>
      </c>
      <c r="D830">
        <v>380</v>
      </c>
      <c r="E830">
        <v>17954</v>
      </c>
      <c r="F830" s="1" t="s">
        <v>366</v>
      </c>
      <c r="G830">
        <v>0</v>
      </c>
      <c r="H830">
        <v>0</v>
      </c>
      <c r="I830">
        <v>66</v>
      </c>
      <c r="J830">
        <v>66</v>
      </c>
      <c r="K830" s="33">
        <v>0</v>
      </c>
      <c r="L830" s="1"/>
      <c r="M830" s="1" t="str">
        <f>_xlfn.XLOOKUP(ocupacao[[#This Row],[UnidadeID]],unidades!$A:$A,unidades!$B:$B,"",0)</f>
        <v>São João</v>
      </c>
      <c r="N830" s="1" t="str">
        <f>_xlfn.XLOOKUP(ocupacao[[#This Row],[UnidadeID]],unidades!$A:$A,unidades!$C:$C,"",0)</f>
        <v>São João de Meriti</v>
      </c>
      <c r="O830" s="1" t="str">
        <f>_xlfn.XLOOKUP(ocupacao[[#This Row],[EspecialidadeID]],especialidades!$A:$A,especialidades!$B:$B,"",0)</f>
        <v>ELETROCARDIOGRAMA</v>
      </c>
      <c r="P830" s="1" t="str">
        <f>TEXT(WEEKDAY(ocupacao[[#This Row],[Data]]),"ddd")</f>
        <v>sex</v>
      </c>
      <c r="Q830" s="1">
        <f t="shared" si="12"/>
        <v>0</v>
      </c>
    </row>
    <row r="831" spans="1:17" x14ac:dyDescent="0.25">
      <c r="A831" s="2"/>
      <c r="F831" s="1" t="s">
        <v>106</v>
      </c>
      <c r="K831" s="33"/>
      <c r="L831" s="1"/>
      <c r="M831" s="1">
        <f>_xlfn.XLOOKUP(ocupacao[[#This Row],[UnidadeID]],unidades!$A:$A,unidades!$B:$B,"",0)</f>
        <v>0</v>
      </c>
      <c r="N831" s="1">
        <f>_xlfn.XLOOKUP(ocupacao[[#This Row],[UnidadeID]],unidades!$A:$A,unidades!$C:$C,"",0)</f>
        <v>0</v>
      </c>
      <c r="O831" s="1">
        <f>_xlfn.XLOOKUP(ocupacao[[#This Row],[EspecialidadeID]],especialidades!$A:$A,especialidades!$B:$B,"",0)</f>
        <v>0</v>
      </c>
      <c r="P831" s="1" t="str">
        <f>TEXT(WEEKDAY(ocupacao[[#This Row],[Data]]),"ddd")</f>
        <v>sáb</v>
      </c>
      <c r="Q831" s="1">
        <f t="shared" si="12"/>
        <v>0</v>
      </c>
    </row>
    <row r="832" spans="1:17" x14ac:dyDescent="0.25">
      <c r="A832" s="2">
        <v>44733</v>
      </c>
      <c r="B832">
        <v>22</v>
      </c>
      <c r="C832">
        <v>33</v>
      </c>
      <c r="D832">
        <v>44</v>
      </c>
      <c r="E832">
        <v>13249</v>
      </c>
      <c r="F832" s="1" t="s">
        <v>128</v>
      </c>
      <c r="G832">
        <v>0</v>
      </c>
      <c r="H832">
        <v>15</v>
      </c>
      <c r="I832">
        <v>0</v>
      </c>
      <c r="J832">
        <v>15</v>
      </c>
      <c r="K832" s="33">
        <v>1</v>
      </c>
      <c r="L832" s="1"/>
      <c r="M832" s="1" t="str">
        <f>_xlfn.XLOOKUP(ocupacao[[#This Row],[UnidadeID]],unidades!$A:$A,unidades!$B:$B,"",0)</f>
        <v>Filial 1</v>
      </c>
      <c r="N832" s="1" t="str">
        <f>_xlfn.XLOOKUP(ocupacao[[#This Row],[UnidadeID]],unidades!$A:$A,unidades!$C:$C,"",0)</f>
        <v>Nova Iguaçu</v>
      </c>
      <c r="O832" s="1" t="str">
        <f>_xlfn.XLOOKUP(ocupacao[[#This Row],[EspecialidadeID]],especialidades!$A:$A,especialidades!$B:$B,"",0)</f>
        <v>PSICOLOGIA</v>
      </c>
      <c r="P832" s="1" t="str">
        <f>TEXT(WEEKDAY(ocupacao[[#This Row],[Data]]),"ddd")</f>
        <v>ter</v>
      </c>
      <c r="Q832" s="1">
        <f t="shared" si="12"/>
        <v>0</v>
      </c>
    </row>
    <row r="833" spans="1:17" hidden="1" x14ac:dyDescent="0.25">
      <c r="A833" s="2"/>
      <c r="F833" s="1"/>
      <c r="K833" s="33"/>
      <c r="L833" s="1"/>
      <c r="M833" s="1"/>
      <c r="N833" s="1"/>
      <c r="O833" s="1"/>
      <c r="P833" s="1"/>
      <c r="Q833" s="1"/>
    </row>
    <row r="834" spans="1:17" x14ac:dyDescent="0.25">
      <c r="A834" s="2">
        <v>44733</v>
      </c>
      <c r="B834">
        <v>34</v>
      </c>
      <c r="C834">
        <v>33</v>
      </c>
      <c r="D834">
        <v>372</v>
      </c>
      <c r="E834">
        <v>17878</v>
      </c>
      <c r="F834" s="1" t="s">
        <v>129</v>
      </c>
      <c r="G834">
        <v>0</v>
      </c>
      <c r="H834">
        <v>1</v>
      </c>
      <c r="I834">
        <v>5</v>
      </c>
      <c r="J834">
        <v>6</v>
      </c>
      <c r="K834" s="33">
        <v>0.16669999999999999</v>
      </c>
      <c r="L834" s="1"/>
      <c r="M834" s="1" t="str">
        <f>_xlfn.XLOOKUP(ocupacao[[#This Row],[UnidadeID]],unidades!$A:$A,unidades!$B:$B,"",0)</f>
        <v>São João</v>
      </c>
      <c r="N834" s="1" t="str">
        <f>_xlfn.XLOOKUP(ocupacao[[#This Row],[UnidadeID]],unidades!$A:$A,unidades!$C:$C,"",0)</f>
        <v>São João de Meriti</v>
      </c>
      <c r="O834" s="1" t="str">
        <f>_xlfn.XLOOKUP(ocupacao[[#This Row],[EspecialidadeID]],especialidades!$A:$A,especialidades!$B:$B,"",0)</f>
        <v>PSICOLOGIA</v>
      </c>
      <c r="P834" s="1" t="str">
        <f>TEXT(WEEKDAY(ocupacao[[#This Row],[Data]]),"ddd")</f>
        <v>ter</v>
      </c>
      <c r="Q834" s="1">
        <f t="shared" ref="Q834:Q895" si="13">IF(F834=F835,1,0)</f>
        <v>0</v>
      </c>
    </row>
    <row r="835" spans="1:17" hidden="1" x14ac:dyDescent="0.25">
      <c r="A835" s="2"/>
      <c r="F835" s="1"/>
      <c r="K835" s="33"/>
      <c r="L835" s="1"/>
      <c r="M835" s="1"/>
      <c r="N835" s="1"/>
      <c r="O835" s="1"/>
      <c r="P835" s="1"/>
      <c r="Q835" s="1"/>
    </row>
    <row r="836" spans="1:17" hidden="1" x14ac:dyDescent="0.25">
      <c r="A836" s="2">
        <v>44734</v>
      </c>
      <c r="B836">
        <v>24</v>
      </c>
      <c r="C836">
        <v>33</v>
      </c>
      <c r="D836">
        <v>63</v>
      </c>
      <c r="E836">
        <v>17878</v>
      </c>
      <c r="F836" s="1" t="s">
        <v>129</v>
      </c>
      <c r="G836">
        <v>0</v>
      </c>
      <c r="H836">
        <v>9</v>
      </c>
      <c r="I836">
        <v>4</v>
      </c>
      <c r="J836">
        <v>13</v>
      </c>
      <c r="K836" s="33">
        <v>0.69230000000000003</v>
      </c>
      <c r="L836" s="1"/>
      <c r="M836" s="1"/>
      <c r="N836" s="1"/>
      <c r="O836" s="1"/>
      <c r="P836" s="1"/>
      <c r="Q836" s="1"/>
    </row>
    <row r="837" spans="1:17" hidden="1" x14ac:dyDescent="0.25">
      <c r="A837" s="2"/>
      <c r="F837" s="1"/>
      <c r="K837" s="33"/>
      <c r="L837" s="1"/>
      <c r="M837" s="1"/>
      <c r="N837" s="1"/>
      <c r="O837" s="1"/>
      <c r="P837" s="1"/>
      <c r="Q837" s="1"/>
    </row>
    <row r="838" spans="1:17" x14ac:dyDescent="0.25">
      <c r="A838" s="2">
        <v>44735</v>
      </c>
      <c r="B838">
        <v>18</v>
      </c>
      <c r="C838">
        <v>33</v>
      </c>
      <c r="D838">
        <v>78</v>
      </c>
      <c r="E838">
        <v>13249</v>
      </c>
      <c r="F838" s="1" t="s">
        <v>128</v>
      </c>
      <c r="G838">
        <v>0</v>
      </c>
      <c r="H838">
        <v>10</v>
      </c>
      <c r="I838">
        <v>1</v>
      </c>
      <c r="J838">
        <v>11</v>
      </c>
      <c r="K838" s="33">
        <v>0.90910000000000002</v>
      </c>
      <c r="L838" s="1"/>
      <c r="M838" s="1" t="str">
        <f>_xlfn.XLOOKUP(ocupacao[[#This Row],[UnidadeID]],unidades!$A:$A,unidades!$B:$B,"",0)</f>
        <v>Miguel Couto</v>
      </c>
      <c r="N838" s="1" t="str">
        <f>_xlfn.XLOOKUP(ocupacao[[#This Row],[UnidadeID]],unidades!$A:$A,unidades!$C:$C,"",0)</f>
        <v>Miguel Couto</v>
      </c>
      <c r="O838" s="1" t="str">
        <f>_xlfn.XLOOKUP(ocupacao[[#This Row],[EspecialidadeID]],especialidades!$A:$A,especialidades!$B:$B,"",0)</f>
        <v>PSICOLOGIA</v>
      </c>
      <c r="P838" s="1" t="str">
        <f>TEXT(WEEKDAY(ocupacao[[#This Row],[Data]]),"ddd")</f>
        <v>qui</v>
      </c>
      <c r="Q838" s="1">
        <f t="shared" si="13"/>
        <v>0</v>
      </c>
    </row>
    <row r="839" spans="1:17" hidden="1" x14ac:dyDescent="0.25">
      <c r="A839" s="2"/>
      <c r="F839" s="1"/>
      <c r="K839" s="33"/>
      <c r="L839" s="1"/>
      <c r="M839" s="1"/>
      <c r="N839" s="1"/>
      <c r="O839" s="1"/>
      <c r="P839" s="1"/>
      <c r="Q839" s="1"/>
    </row>
    <row r="840" spans="1:17" x14ac:dyDescent="0.25">
      <c r="A840" s="2">
        <v>44736</v>
      </c>
      <c r="B840">
        <v>24</v>
      </c>
      <c r="C840">
        <v>33</v>
      </c>
      <c r="D840">
        <v>66</v>
      </c>
      <c r="E840">
        <v>13249</v>
      </c>
      <c r="F840" s="1" t="s">
        <v>128</v>
      </c>
      <c r="G840">
        <v>0</v>
      </c>
      <c r="H840">
        <v>9</v>
      </c>
      <c r="I840">
        <v>4</v>
      </c>
      <c r="J840">
        <v>13</v>
      </c>
      <c r="K840" s="33">
        <v>0.69230000000000003</v>
      </c>
      <c r="L840" s="1"/>
      <c r="M840" s="1" t="str">
        <f>_xlfn.XLOOKUP(ocupacao[[#This Row],[UnidadeID]],unidades!$A:$A,unidades!$B:$B,"",0)</f>
        <v>Nilópolis</v>
      </c>
      <c r="N840" s="1" t="str">
        <f>_xlfn.XLOOKUP(ocupacao[[#This Row],[UnidadeID]],unidades!$A:$A,unidades!$C:$C,"",0)</f>
        <v>Nilópolis</v>
      </c>
      <c r="O840" s="1" t="str">
        <f>_xlfn.XLOOKUP(ocupacao[[#This Row],[EspecialidadeID]],especialidades!$A:$A,especialidades!$B:$B,"",0)</f>
        <v>PSICOLOGIA</v>
      </c>
      <c r="P840" s="1" t="str">
        <f>TEXT(WEEKDAY(ocupacao[[#This Row],[Data]]),"ddd")</f>
        <v>sex</v>
      </c>
      <c r="Q840" s="1">
        <f t="shared" si="13"/>
        <v>1</v>
      </c>
    </row>
    <row r="841" spans="1:17" x14ac:dyDescent="0.25">
      <c r="A841" s="2">
        <v>44739</v>
      </c>
      <c r="B841">
        <v>22</v>
      </c>
      <c r="C841">
        <v>33</v>
      </c>
      <c r="D841">
        <v>49</v>
      </c>
      <c r="E841">
        <v>13249</v>
      </c>
      <c r="F841" s="1" t="s">
        <v>128</v>
      </c>
      <c r="G841">
        <v>0</v>
      </c>
      <c r="H841">
        <v>15</v>
      </c>
      <c r="I841">
        <v>0</v>
      </c>
      <c r="J841">
        <v>15</v>
      </c>
      <c r="K841" s="33">
        <v>1</v>
      </c>
      <c r="L841" s="1"/>
      <c r="M841" s="1" t="str">
        <f>_xlfn.XLOOKUP(ocupacao[[#This Row],[UnidadeID]],unidades!$A:$A,unidades!$B:$B,"",0)</f>
        <v>Filial 1</v>
      </c>
      <c r="N841" s="1" t="str">
        <f>_xlfn.XLOOKUP(ocupacao[[#This Row],[UnidadeID]],unidades!$A:$A,unidades!$C:$C,"",0)</f>
        <v>Nova Iguaçu</v>
      </c>
      <c r="O841" s="1" t="str">
        <f>_xlfn.XLOOKUP(ocupacao[[#This Row],[EspecialidadeID]],especialidades!$A:$A,especialidades!$B:$B,"",0)</f>
        <v>PSICOLOGIA</v>
      </c>
      <c r="P841" s="1" t="str">
        <f>TEXT(WEEKDAY(ocupacao[[#This Row],[Data]]),"ddd")</f>
        <v>seg</v>
      </c>
      <c r="Q841" s="1">
        <f t="shared" si="13"/>
        <v>0</v>
      </c>
    </row>
    <row r="842" spans="1:17" x14ac:dyDescent="0.25">
      <c r="A842" s="2">
        <v>44739</v>
      </c>
      <c r="B842">
        <v>22</v>
      </c>
      <c r="C842">
        <v>33</v>
      </c>
      <c r="D842">
        <v>47</v>
      </c>
      <c r="E842">
        <v>17878</v>
      </c>
      <c r="F842" s="1" t="s">
        <v>129</v>
      </c>
      <c r="G842">
        <v>0</v>
      </c>
      <c r="H842">
        <v>7</v>
      </c>
      <c r="I842">
        <v>0</v>
      </c>
      <c r="J842">
        <v>7</v>
      </c>
      <c r="K842" s="33">
        <v>1</v>
      </c>
      <c r="L842" s="1"/>
      <c r="M842" s="1" t="str">
        <f>_xlfn.XLOOKUP(ocupacao[[#This Row],[UnidadeID]],unidades!$A:$A,unidades!$B:$B,"",0)</f>
        <v>Filial 1</v>
      </c>
      <c r="N842" s="1" t="str">
        <f>_xlfn.XLOOKUP(ocupacao[[#This Row],[UnidadeID]],unidades!$A:$A,unidades!$C:$C,"",0)</f>
        <v>Nova Iguaçu</v>
      </c>
      <c r="O842" s="1" t="str">
        <f>_xlfn.XLOOKUP(ocupacao[[#This Row],[EspecialidadeID]],especialidades!$A:$A,especialidades!$B:$B,"",0)</f>
        <v>PSICOLOGIA</v>
      </c>
      <c r="P842" s="1" t="str">
        <f>TEXT(WEEKDAY(ocupacao[[#This Row],[Data]]),"ddd")</f>
        <v>seg</v>
      </c>
      <c r="Q842" s="1">
        <f t="shared" si="13"/>
        <v>0</v>
      </c>
    </row>
    <row r="843" spans="1:17" x14ac:dyDescent="0.25">
      <c r="A843" s="2">
        <v>44740</v>
      </c>
      <c r="B843">
        <v>22</v>
      </c>
      <c r="C843">
        <v>33</v>
      </c>
      <c r="D843">
        <v>44</v>
      </c>
      <c r="E843">
        <v>13249</v>
      </c>
      <c r="F843" s="1" t="s">
        <v>128</v>
      </c>
      <c r="G843">
        <v>0</v>
      </c>
      <c r="H843">
        <v>15</v>
      </c>
      <c r="I843">
        <v>0</v>
      </c>
      <c r="J843">
        <v>15</v>
      </c>
      <c r="K843" s="33">
        <v>1</v>
      </c>
      <c r="L843" s="1"/>
      <c r="M843" s="1" t="str">
        <f>_xlfn.XLOOKUP(ocupacao[[#This Row],[UnidadeID]],unidades!$A:$A,unidades!$B:$B,"",0)</f>
        <v>Filial 1</v>
      </c>
      <c r="N843" s="1" t="str">
        <f>_xlfn.XLOOKUP(ocupacao[[#This Row],[UnidadeID]],unidades!$A:$A,unidades!$C:$C,"",0)</f>
        <v>Nova Iguaçu</v>
      </c>
      <c r="O843" s="1" t="str">
        <f>_xlfn.XLOOKUP(ocupacao[[#This Row],[EspecialidadeID]],especialidades!$A:$A,especialidades!$B:$B,"",0)</f>
        <v>PSICOLOGIA</v>
      </c>
      <c r="P843" s="1" t="str">
        <f>TEXT(WEEKDAY(ocupacao[[#This Row],[Data]]),"ddd")</f>
        <v>ter</v>
      </c>
      <c r="Q843" s="1">
        <f t="shared" si="13"/>
        <v>0</v>
      </c>
    </row>
    <row r="844" spans="1:17" hidden="1" x14ac:dyDescent="0.25">
      <c r="A844" s="2"/>
      <c r="F844" s="1"/>
      <c r="K844" s="33"/>
      <c r="L844" s="1"/>
      <c r="M844" s="1"/>
      <c r="N844" s="1"/>
      <c r="O844" s="1"/>
      <c r="P844" s="1"/>
      <c r="Q844" s="1"/>
    </row>
    <row r="845" spans="1:17" hidden="1" x14ac:dyDescent="0.25">
      <c r="A845" s="2"/>
      <c r="F845" s="1"/>
      <c r="K845" s="33"/>
      <c r="L845" s="1"/>
      <c r="M845" s="1"/>
      <c r="N845" s="1"/>
      <c r="O845" s="1"/>
      <c r="P845" s="1"/>
      <c r="Q845" s="1"/>
    </row>
    <row r="846" spans="1:17" x14ac:dyDescent="0.25">
      <c r="A846" s="2">
        <v>44741</v>
      </c>
      <c r="B846">
        <v>24</v>
      </c>
      <c r="C846">
        <v>33</v>
      </c>
      <c r="D846">
        <v>63</v>
      </c>
      <c r="E846">
        <v>17878</v>
      </c>
      <c r="F846" s="1" t="s">
        <v>129</v>
      </c>
      <c r="G846">
        <v>0</v>
      </c>
      <c r="H846">
        <v>5</v>
      </c>
      <c r="I846">
        <v>8</v>
      </c>
      <c r="J846">
        <v>13</v>
      </c>
      <c r="K846" s="33">
        <v>0.3846</v>
      </c>
      <c r="L846" s="1"/>
      <c r="M846" s="1" t="str">
        <f>_xlfn.XLOOKUP(ocupacao[[#This Row],[UnidadeID]],unidades!$A:$A,unidades!$B:$B,"",0)</f>
        <v>Nilópolis</v>
      </c>
      <c r="N846" s="1" t="str">
        <f>_xlfn.XLOOKUP(ocupacao[[#This Row],[UnidadeID]],unidades!$A:$A,unidades!$C:$C,"",0)</f>
        <v>Nilópolis</v>
      </c>
      <c r="O846" s="1" t="str">
        <f>_xlfn.XLOOKUP(ocupacao[[#This Row],[EspecialidadeID]],especialidades!$A:$A,especialidades!$B:$B,"",0)</f>
        <v>PSICOLOGIA</v>
      </c>
      <c r="P846" s="1" t="str">
        <f>TEXT(WEEKDAY(ocupacao[[#This Row],[Data]]),"ddd")</f>
        <v>qua</v>
      </c>
      <c r="Q846" s="1">
        <f t="shared" si="13"/>
        <v>0</v>
      </c>
    </row>
    <row r="847" spans="1:17" hidden="1" x14ac:dyDescent="0.25">
      <c r="A847" s="2"/>
      <c r="F847" s="1"/>
      <c r="K847" s="33"/>
      <c r="L847" s="1"/>
      <c r="M847" s="1"/>
      <c r="N847" s="1"/>
      <c r="O847" s="1"/>
      <c r="P847" s="1"/>
      <c r="Q847" s="1"/>
    </row>
    <row r="848" spans="1:17" x14ac:dyDescent="0.25">
      <c r="A848" s="2">
        <v>44742</v>
      </c>
      <c r="B848">
        <v>18</v>
      </c>
      <c r="C848">
        <v>33</v>
      </c>
      <c r="D848">
        <v>78</v>
      </c>
      <c r="E848">
        <v>13249</v>
      </c>
      <c r="F848" s="1" t="s">
        <v>128</v>
      </c>
      <c r="G848">
        <v>0</v>
      </c>
      <c r="H848">
        <v>4</v>
      </c>
      <c r="I848">
        <v>6</v>
      </c>
      <c r="J848">
        <v>10</v>
      </c>
      <c r="K848" s="33">
        <v>0.4</v>
      </c>
      <c r="L848" s="1"/>
      <c r="M848" s="1" t="str">
        <f>_xlfn.XLOOKUP(ocupacao[[#This Row],[UnidadeID]],unidades!$A:$A,unidades!$B:$B,"",0)</f>
        <v>Miguel Couto</v>
      </c>
      <c r="N848" s="1" t="str">
        <f>_xlfn.XLOOKUP(ocupacao[[#This Row],[UnidadeID]],unidades!$A:$A,unidades!$C:$C,"",0)</f>
        <v>Miguel Couto</v>
      </c>
      <c r="O848" s="1" t="str">
        <f>_xlfn.XLOOKUP(ocupacao[[#This Row],[EspecialidadeID]],especialidades!$A:$A,especialidades!$B:$B,"",0)</f>
        <v>PSICOLOGIA</v>
      </c>
      <c r="P848" s="1" t="str">
        <f>TEXT(WEEKDAY(ocupacao[[#This Row],[Data]]),"ddd")</f>
        <v>qui</v>
      </c>
      <c r="Q848" s="1">
        <f t="shared" si="13"/>
        <v>0</v>
      </c>
    </row>
    <row r="849" spans="1:17" hidden="1" x14ac:dyDescent="0.25">
      <c r="A849" s="2"/>
      <c r="F849" s="1"/>
      <c r="K849" s="33"/>
      <c r="L849" s="1"/>
      <c r="M849" s="1"/>
      <c r="N849" s="1"/>
      <c r="O849" s="1"/>
      <c r="P849" s="1"/>
      <c r="Q849" s="1"/>
    </row>
    <row r="850" spans="1:17" x14ac:dyDescent="0.25">
      <c r="A850" s="2">
        <v>44743</v>
      </c>
      <c r="B850">
        <v>24</v>
      </c>
      <c r="C850">
        <v>33</v>
      </c>
      <c r="D850">
        <v>66</v>
      </c>
      <c r="E850">
        <v>13249</v>
      </c>
      <c r="F850" s="1" t="s">
        <v>128</v>
      </c>
      <c r="G850">
        <v>0</v>
      </c>
      <c r="H850">
        <v>3</v>
      </c>
      <c r="I850">
        <v>10</v>
      </c>
      <c r="J850">
        <v>13</v>
      </c>
      <c r="K850" s="33">
        <v>0.23080000000000001</v>
      </c>
      <c r="L850" s="1"/>
      <c r="M850" s="1" t="str">
        <f>_xlfn.XLOOKUP(ocupacao[[#This Row],[UnidadeID]],unidades!$A:$A,unidades!$B:$B,"",0)</f>
        <v>Nilópolis</v>
      </c>
      <c r="N850" s="1" t="str">
        <f>_xlfn.XLOOKUP(ocupacao[[#This Row],[UnidadeID]],unidades!$A:$A,unidades!$C:$C,"",0)</f>
        <v>Nilópolis</v>
      </c>
      <c r="O850" s="1" t="str">
        <f>_xlfn.XLOOKUP(ocupacao[[#This Row],[EspecialidadeID]],especialidades!$A:$A,especialidades!$B:$B,"",0)</f>
        <v>PSICOLOGIA</v>
      </c>
      <c r="P850" s="1" t="str">
        <f>TEXT(WEEKDAY(ocupacao[[#This Row],[Data]]),"ddd")</f>
        <v>sex</v>
      </c>
      <c r="Q850" s="1">
        <f t="shared" si="13"/>
        <v>0</v>
      </c>
    </row>
    <row r="851" spans="1:17" x14ac:dyDescent="0.25">
      <c r="A851" s="2"/>
      <c r="F851" s="1" t="s">
        <v>106</v>
      </c>
      <c r="K851" s="33"/>
      <c r="L851" s="1"/>
      <c r="M851" s="1">
        <f>_xlfn.XLOOKUP(ocupacao[[#This Row],[UnidadeID]],unidades!$A:$A,unidades!$B:$B,"",0)</f>
        <v>0</v>
      </c>
      <c r="N851" s="1">
        <f>_xlfn.XLOOKUP(ocupacao[[#This Row],[UnidadeID]],unidades!$A:$A,unidades!$C:$C,"",0)</f>
        <v>0</v>
      </c>
      <c r="O851" s="1">
        <f>_xlfn.XLOOKUP(ocupacao[[#This Row],[EspecialidadeID]],especialidades!$A:$A,especialidades!$B:$B,"",0)</f>
        <v>0</v>
      </c>
      <c r="P851" s="1" t="str">
        <f>TEXT(WEEKDAY(ocupacao[[#This Row],[Data]]),"ddd")</f>
        <v>sáb</v>
      </c>
      <c r="Q851" s="1">
        <f t="shared" si="13"/>
        <v>0</v>
      </c>
    </row>
    <row r="852" spans="1:17" hidden="1" x14ac:dyDescent="0.25">
      <c r="A852" s="2"/>
      <c r="F852" s="1"/>
      <c r="K852" s="33"/>
      <c r="L852" s="1"/>
      <c r="M852" s="1"/>
      <c r="N852" s="1"/>
      <c r="O852" s="1"/>
      <c r="P852" s="1"/>
      <c r="Q852" s="1"/>
    </row>
    <row r="853" spans="1:17" x14ac:dyDescent="0.25">
      <c r="A853" s="2">
        <v>44733</v>
      </c>
      <c r="B853">
        <v>22</v>
      </c>
      <c r="C853">
        <v>34</v>
      </c>
      <c r="D853">
        <v>48</v>
      </c>
      <c r="E853">
        <v>282</v>
      </c>
      <c r="F853" s="1" t="s">
        <v>320</v>
      </c>
      <c r="G853">
        <v>0</v>
      </c>
      <c r="H853">
        <v>61</v>
      </c>
      <c r="I853">
        <v>4</v>
      </c>
      <c r="J853">
        <v>65</v>
      </c>
      <c r="K853" s="33">
        <v>0.9385</v>
      </c>
      <c r="L853" s="1"/>
      <c r="M853" s="1" t="str">
        <f>_xlfn.XLOOKUP(ocupacao[[#This Row],[UnidadeID]],unidades!$A:$A,unidades!$B:$B,"",0)</f>
        <v>Filial 1</v>
      </c>
      <c r="N853" s="1" t="str">
        <f>_xlfn.XLOOKUP(ocupacao[[#This Row],[UnidadeID]],unidades!$A:$A,unidades!$C:$C,"",0)</f>
        <v>Nova Iguaçu</v>
      </c>
      <c r="O853" s="1" t="str">
        <f>_xlfn.XLOOKUP(ocupacao[[#This Row],[EspecialidadeID]],especialidades!$A:$A,especialidades!$B:$B,"",0)</f>
        <v>DENSITOMETRIA OSSEA</v>
      </c>
      <c r="P853" s="1" t="str">
        <f>TEXT(WEEKDAY(ocupacao[[#This Row],[Data]]),"ddd")</f>
        <v>ter</v>
      </c>
      <c r="Q853" s="1">
        <f t="shared" si="13"/>
        <v>0</v>
      </c>
    </row>
    <row r="854" spans="1:17" x14ac:dyDescent="0.25">
      <c r="A854" s="2">
        <v>44733</v>
      </c>
      <c r="B854">
        <v>22</v>
      </c>
      <c r="C854">
        <v>34</v>
      </c>
      <c r="D854">
        <v>39</v>
      </c>
      <c r="E854">
        <v>17902</v>
      </c>
      <c r="F854" s="1" t="s">
        <v>161</v>
      </c>
      <c r="G854">
        <v>0</v>
      </c>
      <c r="H854">
        <v>3</v>
      </c>
      <c r="I854">
        <v>21</v>
      </c>
      <c r="J854">
        <v>24</v>
      </c>
      <c r="K854" s="33">
        <v>0.125</v>
      </c>
      <c r="L854" s="1"/>
      <c r="M854" s="1" t="str">
        <f>_xlfn.XLOOKUP(ocupacao[[#This Row],[UnidadeID]],unidades!$A:$A,unidades!$B:$B,"",0)</f>
        <v>Filial 1</v>
      </c>
      <c r="N854" s="1" t="str">
        <f>_xlfn.XLOOKUP(ocupacao[[#This Row],[UnidadeID]],unidades!$A:$A,unidades!$C:$C,"",0)</f>
        <v>Nova Iguaçu</v>
      </c>
      <c r="O854" s="1" t="str">
        <f>_xlfn.XLOOKUP(ocupacao[[#This Row],[EspecialidadeID]],especialidades!$A:$A,especialidades!$B:$B,"",0)</f>
        <v>DENSITOMETRIA OSSEA</v>
      </c>
      <c r="P854" s="1" t="str">
        <f>TEXT(WEEKDAY(ocupacao[[#This Row],[Data]]),"ddd")</f>
        <v>ter</v>
      </c>
      <c r="Q854" s="1">
        <f t="shared" si="13"/>
        <v>1</v>
      </c>
    </row>
    <row r="855" spans="1:17" x14ac:dyDescent="0.25">
      <c r="A855" s="2">
        <v>44733</v>
      </c>
      <c r="B855">
        <v>22</v>
      </c>
      <c r="C855">
        <v>34</v>
      </c>
      <c r="D855">
        <v>39</v>
      </c>
      <c r="E855">
        <v>17902</v>
      </c>
      <c r="F855" s="1" t="s">
        <v>161</v>
      </c>
      <c r="G855">
        <v>0</v>
      </c>
      <c r="H855">
        <v>2</v>
      </c>
      <c r="I855">
        <v>7</v>
      </c>
      <c r="J855">
        <v>9</v>
      </c>
      <c r="K855" s="33">
        <v>0.22220000000000001</v>
      </c>
      <c r="L855" s="1"/>
      <c r="M855" s="1" t="str">
        <f>_xlfn.XLOOKUP(ocupacao[[#This Row],[UnidadeID]],unidades!$A:$A,unidades!$B:$B,"",0)</f>
        <v>Filial 1</v>
      </c>
      <c r="N855" s="1" t="str">
        <f>_xlfn.XLOOKUP(ocupacao[[#This Row],[UnidadeID]],unidades!$A:$A,unidades!$C:$C,"",0)</f>
        <v>Nova Iguaçu</v>
      </c>
      <c r="O855" s="1" t="str">
        <f>_xlfn.XLOOKUP(ocupacao[[#This Row],[EspecialidadeID]],especialidades!$A:$A,especialidades!$B:$B,"",0)</f>
        <v>DENSITOMETRIA OSSEA</v>
      </c>
      <c r="P855" s="1" t="str">
        <f>TEXT(WEEKDAY(ocupacao[[#This Row],[Data]]),"ddd")</f>
        <v>ter</v>
      </c>
      <c r="Q855" s="1">
        <f t="shared" si="13"/>
        <v>1</v>
      </c>
    </row>
    <row r="856" spans="1:17" x14ac:dyDescent="0.25">
      <c r="A856" s="2">
        <v>44734</v>
      </c>
      <c r="B856">
        <v>22</v>
      </c>
      <c r="C856">
        <v>34</v>
      </c>
      <c r="D856">
        <v>39</v>
      </c>
      <c r="E856">
        <v>17902</v>
      </c>
      <c r="F856" s="1" t="s">
        <v>161</v>
      </c>
      <c r="G856">
        <v>0</v>
      </c>
      <c r="H856">
        <v>2</v>
      </c>
      <c r="I856">
        <v>22</v>
      </c>
      <c r="J856">
        <v>24</v>
      </c>
      <c r="K856" s="33">
        <v>8.3299999999999999E-2</v>
      </c>
      <c r="L856" s="1"/>
      <c r="M856" s="1" t="str">
        <f>_xlfn.XLOOKUP(ocupacao[[#This Row],[UnidadeID]],unidades!$A:$A,unidades!$B:$B,"",0)</f>
        <v>Filial 1</v>
      </c>
      <c r="N856" s="1" t="str">
        <f>_xlfn.XLOOKUP(ocupacao[[#This Row],[UnidadeID]],unidades!$A:$A,unidades!$C:$C,"",0)</f>
        <v>Nova Iguaçu</v>
      </c>
      <c r="O856" s="1" t="str">
        <f>_xlfn.XLOOKUP(ocupacao[[#This Row],[EspecialidadeID]],especialidades!$A:$A,especialidades!$B:$B,"",0)</f>
        <v>DENSITOMETRIA OSSEA</v>
      </c>
      <c r="P856" s="1" t="str">
        <f>TEXT(WEEKDAY(ocupacao[[#This Row],[Data]]),"ddd")</f>
        <v>qua</v>
      </c>
      <c r="Q856" s="1">
        <f t="shared" si="13"/>
        <v>1</v>
      </c>
    </row>
    <row r="857" spans="1:17" x14ac:dyDescent="0.25">
      <c r="A857" s="2">
        <v>44734</v>
      </c>
      <c r="B857">
        <v>22</v>
      </c>
      <c r="C857">
        <v>34</v>
      </c>
      <c r="D857">
        <v>39</v>
      </c>
      <c r="E857">
        <v>17902</v>
      </c>
      <c r="F857" s="1" t="s">
        <v>161</v>
      </c>
      <c r="G857">
        <v>0</v>
      </c>
      <c r="H857">
        <v>2</v>
      </c>
      <c r="I857">
        <v>7</v>
      </c>
      <c r="J857">
        <v>9</v>
      </c>
      <c r="K857" s="33">
        <v>0.22220000000000001</v>
      </c>
      <c r="L857" s="1"/>
      <c r="M857" s="1" t="str">
        <f>_xlfn.XLOOKUP(ocupacao[[#This Row],[UnidadeID]],unidades!$A:$A,unidades!$B:$B,"",0)</f>
        <v>Filial 1</v>
      </c>
      <c r="N857" s="1" t="str">
        <f>_xlfn.XLOOKUP(ocupacao[[#This Row],[UnidadeID]],unidades!$A:$A,unidades!$C:$C,"",0)</f>
        <v>Nova Iguaçu</v>
      </c>
      <c r="O857" s="1" t="str">
        <f>_xlfn.XLOOKUP(ocupacao[[#This Row],[EspecialidadeID]],especialidades!$A:$A,especialidades!$B:$B,"",0)</f>
        <v>DENSITOMETRIA OSSEA</v>
      </c>
      <c r="P857" s="1" t="str">
        <f>TEXT(WEEKDAY(ocupacao[[#This Row],[Data]]),"ddd")</f>
        <v>qua</v>
      </c>
      <c r="Q857" s="1">
        <f t="shared" si="13"/>
        <v>1</v>
      </c>
    </row>
    <row r="858" spans="1:17" hidden="1" x14ac:dyDescent="0.25">
      <c r="A858" s="2">
        <v>44735</v>
      </c>
      <c r="B858">
        <v>22</v>
      </c>
      <c r="C858">
        <v>34</v>
      </c>
      <c r="D858">
        <v>39</v>
      </c>
      <c r="E858">
        <v>17902</v>
      </c>
      <c r="F858" s="1" t="s">
        <v>161</v>
      </c>
      <c r="G858">
        <v>0</v>
      </c>
      <c r="H858">
        <v>3</v>
      </c>
      <c r="I858">
        <v>21</v>
      </c>
      <c r="J858">
        <v>24</v>
      </c>
      <c r="K858" s="33">
        <v>0.125</v>
      </c>
      <c r="L858" s="1"/>
      <c r="M858" s="1"/>
      <c r="N858" s="1"/>
      <c r="O858" s="1"/>
      <c r="P858" s="1"/>
      <c r="Q858" s="1"/>
    </row>
    <row r="859" spans="1:17" x14ac:dyDescent="0.25">
      <c r="A859" s="2">
        <v>44735</v>
      </c>
      <c r="B859">
        <v>22</v>
      </c>
      <c r="C859">
        <v>34</v>
      </c>
      <c r="D859">
        <v>39</v>
      </c>
      <c r="E859">
        <v>17902</v>
      </c>
      <c r="F859" s="1" t="s">
        <v>161</v>
      </c>
      <c r="G859">
        <v>0</v>
      </c>
      <c r="H859">
        <v>2</v>
      </c>
      <c r="I859">
        <v>7</v>
      </c>
      <c r="J859">
        <v>9</v>
      </c>
      <c r="K859" s="33">
        <v>0.22220000000000001</v>
      </c>
      <c r="L859" s="1"/>
      <c r="M859" s="1" t="str">
        <f>_xlfn.XLOOKUP(ocupacao[[#This Row],[UnidadeID]],unidades!$A:$A,unidades!$B:$B,"",0)</f>
        <v>Filial 1</v>
      </c>
      <c r="N859" s="1" t="str">
        <f>_xlfn.XLOOKUP(ocupacao[[#This Row],[UnidadeID]],unidades!$A:$A,unidades!$C:$C,"",0)</f>
        <v>Nova Iguaçu</v>
      </c>
      <c r="O859" s="1" t="str">
        <f>_xlfn.XLOOKUP(ocupacao[[#This Row],[EspecialidadeID]],especialidades!$A:$A,especialidades!$B:$B,"",0)</f>
        <v>DENSITOMETRIA OSSEA</v>
      </c>
      <c r="P859" s="1" t="str">
        <f>TEXT(WEEKDAY(ocupacao[[#This Row],[Data]]),"ddd")</f>
        <v>qui</v>
      </c>
      <c r="Q859" s="1">
        <f t="shared" si="13"/>
        <v>1</v>
      </c>
    </row>
    <row r="860" spans="1:17" x14ac:dyDescent="0.25">
      <c r="A860" s="2">
        <v>44736</v>
      </c>
      <c r="B860">
        <v>22</v>
      </c>
      <c r="C860">
        <v>34</v>
      </c>
      <c r="D860">
        <v>39</v>
      </c>
      <c r="E860">
        <v>17902</v>
      </c>
      <c r="F860" s="1" t="s">
        <v>161</v>
      </c>
      <c r="G860">
        <v>0</v>
      </c>
      <c r="H860">
        <v>3</v>
      </c>
      <c r="I860">
        <v>21</v>
      </c>
      <c r="J860">
        <v>24</v>
      </c>
      <c r="K860" s="33">
        <v>0.125</v>
      </c>
      <c r="L860" s="1"/>
      <c r="M860" s="1" t="str">
        <f>_xlfn.XLOOKUP(ocupacao[[#This Row],[UnidadeID]],unidades!$A:$A,unidades!$B:$B,"",0)</f>
        <v>Filial 1</v>
      </c>
      <c r="N860" s="1" t="str">
        <f>_xlfn.XLOOKUP(ocupacao[[#This Row],[UnidadeID]],unidades!$A:$A,unidades!$C:$C,"",0)</f>
        <v>Nova Iguaçu</v>
      </c>
      <c r="O860" s="1" t="str">
        <f>_xlfn.XLOOKUP(ocupacao[[#This Row],[EspecialidadeID]],especialidades!$A:$A,especialidades!$B:$B,"",0)</f>
        <v>DENSITOMETRIA OSSEA</v>
      </c>
      <c r="P860" s="1" t="str">
        <f>TEXT(WEEKDAY(ocupacao[[#This Row],[Data]]),"ddd")</f>
        <v>sex</v>
      </c>
      <c r="Q860" s="1">
        <f t="shared" si="13"/>
        <v>1</v>
      </c>
    </row>
    <row r="861" spans="1:17" x14ac:dyDescent="0.25">
      <c r="A861" s="2">
        <v>44736</v>
      </c>
      <c r="B861">
        <v>22</v>
      </c>
      <c r="C861">
        <v>34</v>
      </c>
      <c r="D861">
        <v>39</v>
      </c>
      <c r="E861">
        <v>17902</v>
      </c>
      <c r="F861" s="1" t="s">
        <v>161</v>
      </c>
      <c r="G861">
        <v>0</v>
      </c>
      <c r="H861">
        <v>3</v>
      </c>
      <c r="I861">
        <v>6</v>
      </c>
      <c r="J861">
        <v>9</v>
      </c>
      <c r="K861" s="33">
        <v>0.33329999999999999</v>
      </c>
      <c r="L861" s="1"/>
      <c r="M861" s="1" t="str">
        <f>_xlfn.XLOOKUP(ocupacao[[#This Row],[UnidadeID]],unidades!$A:$A,unidades!$B:$B,"",0)</f>
        <v>Filial 1</v>
      </c>
      <c r="N861" s="1" t="str">
        <f>_xlfn.XLOOKUP(ocupacao[[#This Row],[UnidadeID]],unidades!$A:$A,unidades!$C:$C,"",0)</f>
        <v>Nova Iguaçu</v>
      </c>
      <c r="O861" s="1" t="str">
        <f>_xlfn.XLOOKUP(ocupacao[[#This Row],[EspecialidadeID]],especialidades!$A:$A,especialidades!$B:$B,"",0)</f>
        <v>DENSITOMETRIA OSSEA</v>
      </c>
      <c r="P861" s="1" t="str">
        <f>TEXT(WEEKDAY(ocupacao[[#This Row],[Data]]),"ddd")</f>
        <v>sex</v>
      </c>
      <c r="Q861" s="1">
        <f t="shared" si="13"/>
        <v>1</v>
      </c>
    </row>
    <row r="862" spans="1:17" hidden="1" x14ac:dyDescent="0.25">
      <c r="A862" s="2">
        <v>44737</v>
      </c>
      <c r="B862">
        <v>22</v>
      </c>
      <c r="C862">
        <v>34</v>
      </c>
      <c r="D862">
        <v>39</v>
      </c>
      <c r="E862">
        <v>17902</v>
      </c>
      <c r="F862" s="1" t="s">
        <v>161</v>
      </c>
      <c r="G862">
        <v>0</v>
      </c>
      <c r="H862">
        <v>5</v>
      </c>
      <c r="I862">
        <v>7</v>
      </c>
      <c r="J862">
        <v>12</v>
      </c>
      <c r="K862" s="33">
        <v>0.41670000000000001</v>
      </c>
      <c r="L862" s="1"/>
      <c r="M862" s="1"/>
      <c r="N862" s="1"/>
      <c r="O862" s="1"/>
      <c r="P862" s="1"/>
      <c r="Q862" s="1"/>
    </row>
    <row r="863" spans="1:17" hidden="1" x14ac:dyDescent="0.25">
      <c r="A863" s="2"/>
      <c r="F863" s="1"/>
      <c r="K863" s="33"/>
      <c r="L863" s="1"/>
      <c r="M863" s="1"/>
      <c r="N863" s="1"/>
      <c r="O863" s="1"/>
      <c r="P863" s="1"/>
      <c r="Q863" s="1"/>
    </row>
    <row r="864" spans="1:17" hidden="1" x14ac:dyDescent="0.25">
      <c r="A864" s="2">
        <v>44739</v>
      </c>
      <c r="B864">
        <v>22</v>
      </c>
      <c r="C864">
        <v>34</v>
      </c>
      <c r="D864">
        <v>39</v>
      </c>
      <c r="E864">
        <v>17902</v>
      </c>
      <c r="F864" s="1" t="s">
        <v>161</v>
      </c>
      <c r="G864">
        <v>0</v>
      </c>
      <c r="H864">
        <v>0</v>
      </c>
      <c r="I864">
        <v>9</v>
      </c>
      <c r="J864">
        <v>9</v>
      </c>
      <c r="K864" s="33">
        <v>0</v>
      </c>
      <c r="L864" s="1"/>
      <c r="M864" s="1"/>
      <c r="N864" s="1"/>
      <c r="O864" s="1"/>
      <c r="P864" s="1"/>
      <c r="Q864" s="1"/>
    </row>
    <row r="865" spans="1:17" x14ac:dyDescent="0.25">
      <c r="A865" s="2">
        <v>44740</v>
      </c>
      <c r="B865">
        <v>22</v>
      </c>
      <c r="C865">
        <v>34</v>
      </c>
      <c r="D865">
        <v>39</v>
      </c>
      <c r="E865">
        <v>17902</v>
      </c>
      <c r="F865" s="1" t="s">
        <v>161</v>
      </c>
      <c r="G865">
        <v>0</v>
      </c>
      <c r="H865">
        <v>1</v>
      </c>
      <c r="I865">
        <v>23</v>
      </c>
      <c r="J865">
        <v>24</v>
      </c>
      <c r="K865" s="33">
        <v>4.1700000000000001E-2</v>
      </c>
      <c r="L865" s="1"/>
      <c r="M865" s="1" t="str">
        <f>_xlfn.XLOOKUP(ocupacao[[#This Row],[UnidadeID]],unidades!$A:$A,unidades!$B:$B,"",0)</f>
        <v>Filial 1</v>
      </c>
      <c r="N865" s="1" t="str">
        <f>_xlfn.XLOOKUP(ocupacao[[#This Row],[UnidadeID]],unidades!$A:$A,unidades!$C:$C,"",0)</f>
        <v>Nova Iguaçu</v>
      </c>
      <c r="O865" s="1" t="str">
        <f>_xlfn.XLOOKUP(ocupacao[[#This Row],[EspecialidadeID]],especialidades!$A:$A,especialidades!$B:$B,"",0)</f>
        <v>DENSITOMETRIA OSSEA</v>
      </c>
      <c r="P865" s="1" t="str">
        <f>TEXT(WEEKDAY(ocupacao[[#This Row],[Data]]),"ddd")</f>
        <v>ter</v>
      </c>
      <c r="Q865" s="1">
        <f t="shared" si="13"/>
        <v>1</v>
      </c>
    </row>
    <row r="866" spans="1:17" hidden="1" x14ac:dyDescent="0.25">
      <c r="A866" s="2">
        <v>44740</v>
      </c>
      <c r="B866">
        <v>22</v>
      </c>
      <c r="C866">
        <v>34</v>
      </c>
      <c r="D866">
        <v>39</v>
      </c>
      <c r="E866">
        <v>17902</v>
      </c>
      <c r="F866" s="1" t="s">
        <v>161</v>
      </c>
      <c r="G866">
        <v>0</v>
      </c>
      <c r="H866">
        <v>0</v>
      </c>
      <c r="I866">
        <v>9</v>
      </c>
      <c r="J866">
        <v>9</v>
      </c>
      <c r="K866" s="33">
        <v>0</v>
      </c>
      <c r="L866" s="1"/>
      <c r="M866" s="1"/>
      <c r="N866" s="1"/>
      <c r="O866" s="1"/>
      <c r="P866" s="1"/>
      <c r="Q866" s="1"/>
    </row>
    <row r="867" spans="1:17" x14ac:dyDescent="0.25">
      <c r="A867" s="2">
        <v>44741</v>
      </c>
      <c r="B867">
        <v>22</v>
      </c>
      <c r="C867">
        <v>34</v>
      </c>
      <c r="D867">
        <v>39</v>
      </c>
      <c r="E867">
        <v>17902</v>
      </c>
      <c r="F867" s="1" t="s">
        <v>161</v>
      </c>
      <c r="G867">
        <v>0</v>
      </c>
      <c r="H867">
        <v>1</v>
      </c>
      <c r="I867">
        <v>23</v>
      </c>
      <c r="J867">
        <v>24</v>
      </c>
      <c r="K867" s="33">
        <v>4.1700000000000001E-2</v>
      </c>
      <c r="L867" s="1"/>
      <c r="M867" s="1" t="str">
        <f>_xlfn.XLOOKUP(ocupacao[[#This Row],[UnidadeID]],unidades!$A:$A,unidades!$B:$B,"",0)</f>
        <v>Filial 1</v>
      </c>
      <c r="N867" s="1" t="str">
        <f>_xlfn.XLOOKUP(ocupacao[[#This Row],[UnidadeID]],unidades!$A:$A,unidades!$C:$C,"",0)</f>
        <v>Nova Iguaçu</v>
      </c>
      <c r="O867" s="1" t="str">
        <f>_xlfn.XLOOKUP(ocupacao[[#This Row],[EspecialidadeID]],especialidades!$A:$A,especialidades!$B:$B,"",0)</f>
        <v>DENSITOMETRIA OSSEA</v>
      </c>
      <c r="P867" s="1" t="str">
        <f>TEXT(WEEKDAY(ocupacao[[#This Row],[Data]]),"ddd")</f>
        <v>qua</v>
      </c>
      <c r="Q867" s="1">
        <f t="shared" si="13"/>
        <v>1</v>
      </c>
    </row>
    <row r="868" spans="1:17" hidden="1" x14ac:dyDescent="0.25">
      <c r="A868" s="2">
        <v>44741</v>
      </c>
      <c r="B868">
        <v>22</v>
      </c>
      <c r="C868">
        <v>34</v>
      </c>
      <c r="D868">
        <v>39</v>
      </c>
      <c r="E868">
        <v>17902</v>
      </c>
      <c r="F868" s="1" t="s">
        <v>161</v>
      </c>
      <c r="G868">
        <v>0</v>
      </c>
      <c r="H868">
        <v>0</v>
      </c>
      <c r="I868">
        <v>9</v>
      </c>
      <c r="J868">
        <v>9</v>
      </c>
      <c r="K868" s="33">
        <v>0</v>
      </c>
      <c r="L868" s="1"/>
      <c r="M868" s="1"/>
      <c r="N868" s="1"/>
      <c r="O868" s="1"/>
      <c r="P868" s="1"/>
      <c r="Q868" s="1"/>
    </row>
    <row r="869" spans="1:17" x14ac:dyDescent="0.25">
      <c r="A869" s="2">
        <v>44742</v>
      </c>
      <c r="B869">
        <v>22</v>
      </c>
      <c r="C869">
        <v>34</v>
      </c>
      <c r="D869">
        <v>39</v>
      </c>
      <c r="E869">
        <v>17902</v>
      </c>
      <c r="F869" s="1" t="s">
        <v>161</v>
      </c>
      <c r="G869">
        <v>0</v>
      </c>
      <c r="H869">
        <v>1</v>
      </c>
      <c r="I869">
        <v>23</v>
      </c>
      <c r="J869">
        <v>24</v>
      </c>
      <c r="K869" s="33">
        <v>4.1700000000000001E-2</v>
      </c>
      <c r="L869" s="1"/>
      <c r="M869" s="1" t="str">
        <f>_xlfn.XLOOKUP(ocupacao[[#This Row],[UnidadeID]],unidades!$A:$A,unidades!$B:$B,"",0)</f>
        <v>Filial 1</v>
      </c>
      <c r="N869" s="1" t="str">
        <f>_xlfn.XLOOKUP(ocupacao[[#This Row],[UnidadeID]],unidades!$A:$A,unidades!$C:$C,"",0)</f>
        <v>Nova Iguaçu</v>
      </c>
      <c r="O869" s="1" t="str">
        <f>_xlfn.XLOOKUP(ocupacao[[#This Row],[EspecialidadeID]],especialidades!$A:$A,especialidades!$B:$B,"",0)</f>
        <v>DENSITOMETRIA OSSEA</v>
      </c>
      <c r="P869" s="1" t="str">
        <f>TEXT(WEEKDAY(ocupacao[[#This Row],[Data]]),"ddd")</f>
        <v>qui</v>
      </c>
      <c r="Q869" s="1">
        <f t="shared" si="13"/>
        <v>0</v>
      </c>
    </row>
    <row r="870" spans="1:17" hidden="1" x14ac:dyDescent="0.25">
      <c r="A870" s="2"/>
      <c r="F870" s="1"/>
      <c r="K870" s="33"/>
      <c r="L870" s="1"/>
      <c r="M870" s="1"/>
      <c r="N870" s="1"/>
      <c r="O870" s="1"/>
      <c r="P870" s="1"/>
      <c r="Q870" s="1"/>
    </row>
    <row r="871" spans="1:17" hidden="1" x14ac:dyDescent="0.25">
      <c r="A871" s="2"/>
      <c r="F871" s="1"/>
      <c r="K871" s="33"/>
      <c r="L871" s="1"/>
      <c r="M871" s="1"/>
      <c r="N871" s="1"/>
      <c r="O871" s="1"/>
      <c r="P871" s="1"/>
      <c r="Q871" s="1"/>
    </row>
    <row r="872" spans="1:17" hidden="1" x14ac:dyDescent="0.25">
      <c r="A872" s="2">
        <v>44743</v>
      </c>
      <c r="B872">
        <v>22</v>
      </c>
      <c r="C872">
        <v>34</v>
      </c>
      <c r="D872">
        <v>39</v>
      </c>
      <c r="E872">
        <v>17902</v>
      </c>
      <c r="F872" s="1" t="s">
        <v>161</v>
      </c>
      <c r="G872">
        <v>0</v>
      </c>
      <c r="H872">
        <v>0</v>
      </c>
      <c r="I872">
        <v>9</v>
      </c>
      <c r="J872">
        <v>9</v>
      </c>
      <c r="K872" s="33">
        <v>0</v>
      </c>
      <c r="L872" s="1"/>
      <c r="M872" s="1"/>
      <c r="N872" s="1"/>
      <c r="O872" s="1"/>
      <c r="P872" s="1"/>
      <c r="Q872" s="1"/>
    </row>
    <row r="873" spans="1:17" x14ac:dyDescent="0.25">
      <c r="A873" s="2"/>
      <c r="F873" s="1" t="s">
        <v>106</v>
      </c>
      <c r="K873" s="33"/>
      <c r="L873" s="1"/>
      <c r="M873" s="1">
        <f>_xlfn.XLOOKUP(ocupacao[[#This Row],[UnidadeID]],unidades!$A:$A,unidades!$B:$B,"",0)</f>
        <v>0</v>
      </c>
      <c r="N873" s="1">
        <f>_xlfn.XLOOKUP(ocupacao[[#This Row],[UnidadeID]],unidades!$A:$A,unidades!$C:$C,"",0)</f>
        <v>0</v>
      </c>
      <c r="O873" s="1">
        <f>_xlfn.XLOOKUP(ocupacao[[#This Row],[EspecialidadeID]],especialidades!$A:$A,especialidades!$B:$B,"",0)</f>
        <v>0</v>
      </c>
      <c r="P873" s="1" t="str">
        <f>TEXT(WEEKDAY(ocupacao[[#This Row],[Data]]),"ddd")</f>
        <v>sáb</v>
      </c>
      <c r="Q873" s="1">
        <f t="shared" si="13"/>
        <v>0</v>
      </c>
    </row>
    <row r="874" spans="1:17" hidden="1" x14ac:dyDescent="0.25">
      <c r="A874" s="2">
        <v>44733</v>
      </c>
      <c r="B874">
        <v>24</v>
      </c>
      <c r="C874">
        <v>37</v>
      </c>
      <c r="D874">
        <v>63</v>
      </c>
      <c r="E874">
        <v>12825</v>
      </c>
      <c r="F874" s="1" t="s">
        <v>314</v>
      </c>
      <c r="G874">
        <v>0</v>
      </c>
      <c r="H874">
        <v>0</v>
      </c>
      <c r="I874">
        <v>12</v>
      </c>
      <c r="J874">
        <v>12</v>
      </c>
      <c r="K874" s="33">
        <v>0</v>
      </c>
      <c r="L874" s="1"/>
      <c r="M874" s="1"/>
      <c r="N874" s="1"/>
      <c r="O874" s="1"/>
      <c r="P874" s="1"/>
      <c r="Q874" s="1"/>
    </row>
    <row r="875" spans="1:17" hidden="1" x14ac:dyDescent="0.25">
      <c r="A875" s="2">
        <v>44733</v>
      </c>
      <c r="B875">
        <v>24</v>
      </c>
      <c r="C875">
        <v>37</v>
      </c>
      <c r="D875">
        <v>63</v>
      </c>
      <c r="E875">
        <v>12825</v>
      </c>
      <c r="F875" s="1" t="s">
        <v>314</v>
      </c>
      <c r="G875">
        <v>0</v>
      </c>
      <c r="H875">
        <v>49</v>
      </c>
      <c r="I875">
        <v>12</v>
      </c>
      <c r="J875">
        <v>61</v>
      </c>
      <c r="K875" s="33">
        <v>0.80330000000000001</v>
      </c>
      <c r="L875" s="1"/>
      <c r="M875" s="1"/>
      <c r="N875" s="1"/>
      <c r="O875" s="1"/>
      <c r="P875" s="1"/>
      <c r="Q875" s="1"/>
    </row>
    <row r="876" spans="1:17" x14ac:dyDescent="0.25">
      <c r="A876" s="2">
        <v>44733</v>
      </c>
      <c r="B876">
        <v>22</v>
      </c>
      <c r="C876">
        <v>37</v>
      </c>
      <c r="D876">
        <v>49</v>
      </c>
      <c r="E876">
        <v>14237</v>
      </c>
      <c r="F876" s="1" t="s">
        <v>315</v>
      </c>
      <c r="G876">
        <v>0</v>
      </c>
      <c r="H876">
        <v>61</v>
      </c>
      <c r="I876">
        <v>0</v>
      </c>
      <c r="J876">
        <v>61</v>
      </c>
      <c r="K876" s="33">
        <v>1</v>
      </c>
      <c r="L876" s="1"/>
      <c r="M876" s="1" t="str">
        <f>_xlfn.XLOOKUP(ocupacao[[#This Row],[UnidadeID]],unidades!$A:$A,unidades!$B:$B,"",0)</f>
        <v>Filial 1</v>
      </c>
      <c r="N876" s="1" t="str">
        <f>_xlfn.XLOOKUP(ocupacao[[#This Row],[UnidadeID]],unidades!$A:$A,unidades!$C:$C,"",0)</f>
        <v>Nova Iguaçu</v>
      </c>
      <c r="O876" s="1" t="str">
        <f>_xlfn.XLOOKUP(ocupacao[[#This Row],[EspecialidadeID]],especialidades!$A:$A,especialidades!$B:$B,"",0)</f>
        <v>PSIQUIATRIA</v>
      </c>
      <c r="P876" s="1" t="str">
        <f>TEXT(WEEKDAY(ocupacao[[#This Row],[Data]]),"ddd")</f>
        <v>ter</v>
      </c>
      <c r="Q876" s="1">
        <f t="shared" si="13"/>
        <v>0</v>
      </c>
    </row>
    <row r="877" spans="1:17" hidden="1" x14ac:dyDescent="0.25">
      <c r="A877" s="2">
        <v>44734</v>
      </c>
      <c r="B877">
        <v>22</v>
      </c>
      <c r="C877">
        <v>37</v>
      </c>
      <c r="D877">
        <v>45</v>
      </c>
      <c r="E877">
        <v>12825</v>
      </c>
      <c r="F877" s="1" t="s">
        <v>314</v>
      </c>
      <c r="G877">
        <v>0</v>
      </c>
      <c r="H877">
        <v>51</v>
      </c>
      <c r="I877">
        <v>0</v>
      </c>
      <c r="J877">
        <v>51</v>
      </c>
      <c r="K877" s="33">
        <v>1</v>
      </c>
      <c r="L877" s="1"/>
      <c r="M877" s="1"/>
      <c r="N877" s="1"/>
      <c r="O877" s="1"/>
      <c r="P877" s="1"/>
      <c r="Q877" s="1"/>
    </row>
    <row r="878" spans="1:17" x14ac:dyDescent="0.25">
      <c r="A878" s="2">
        <v>44739</v>
      </c>
      <c r="B878">
        <v>22</v>
      </c>
      <c r="C878">
        <v>37</v>
      </c>
      <c r="D878">
        <v>49</v>
      </c>
      <c r="E878">
        <v>12825</v>
      </c>
      <c r="F878" s="1" t="s">
        <v>314</v>
      </c>
      <c r="G878">
        <v>0</v>
      </c>
      <c r="H878">
        <v>1</v>
      </c>
      <c r="I878">
        <v>0</v>
      </c>
      <c r="J878">
        <v>1</v>
      </c>
      <c r="K878" s="33">
        <v>1</v>
      </c>
      <c r="L878" s="1"/>
      <c r="M878" s="1" t="str">
        <f>_xlfn.XLOOKUP(ocupacao[[#This Row],[UnidadeID]],unidades!$A:$A,unidades!$B:$B,"",0)</f>
        <v>Filial 1</v>
      </c>
      <c r="N878" s="1" t="str">
        <f>_xlfn.XLOOKUP(ocupacao[[#This Row],[UnidadeID]],unidades!$A:$A,unidades!$C:$C,"",0)</f>
        <v>Nova Iguaçu</v>
      </c>
      <c r="O878" s="1" t="str">
        <f>_xlfn.XLOOKUP(ocupacao[[#This Row],[EspecialidadeID]],especialidades!$A:$A,especialidades!$B:$B,"",0)</f>
        <v>PSIQUIATRIA</v>
      </c>
      <c r="P878" s="1" t="str">
        <f>TEXT(WEEKDAY(ocupacao[[#This Row],[Data]]),"ddd")</f>
        <v>seg</v>
      </c>
      <c r="Q878" s="1">
        <f t="shared" si="13"/>
        <v>1</v>
      </c>
    </row>
    <row r="879" spans="1:17" x14ac:dyDescent="0.25">
      <c r="A879" s="2">
        <v>44739</v>
      </c>
      <c r="B879">
        <v>22</v>
      </c>
      <c r="C879">
        <v>37</v>
      </c>
      <c r="D879">
        <v>45</v>
      </c>
      <c r="E879">
        <v>12825</v>
      </c>
      <c r="F879" s="1" t="s">
        <v>314</v>
      </c>
      <c r="G879">
        <v>0</v>
      </c>
      <c r="H879">
        <v>28</v>
      </c>
      <c r="I879">
        <v>7</v>
      </c>
      <c r="J879">
        <v>35</v>
      </c>
      <c r="K879" s="33">
        <v>0.8</v>
      </c>
      <c r="L879" s="1"/>
      <c r="M879" s="1" t="str">
        <f>_xlfn.XLOOKUP(ocupacao[[#This Row],[UnidadeID]],unidades!$A:$A,unidades!$B:$B,"",0)</f>
        <v>Filial 1</v>
      </c>
      <c r="N879" s="1" t="str">
        <f>_xlfn.XLOOKUP(ocupacao[[#This Row],[UnidadeID]],unidades!$A:$A,unidades!$C:$C,"",0)</f>
        <v>Nova Iguaçu</v>
      </c>
      <c r="O879" s="1" t="str">
        <f>_xlfn.XLOOKUP(ocupacao[[#This Row],[EspecialidadeID]],especialidades!$A:$A,especialidades!$B:$B,"",0)</f>
        <v>PSIQUIATRIA</v>
      </c>
      <c r="P879" s="1" t="str">
        <f>TEXT(WEEKDAY(ocupacao[[#This Row],[Data]]),"ddd")</f>
        <v>seg</v>
      </c>
      <c r="Q879" s="1">
        <f t="shared" si="13"/>
        <v>0</v>
      </c>
    </row>
    <row r="880" spans="1:17" hidden="1" x14ac:dyDescent="0.25">
      <c r="A880" s="2"/>
      <c r="F880" s="1"/>
      <c r="K880" s="33"/>
      <c r="L880" s="1"/>
      <c r="M880" s="1"/>
      <c r="N880" s="1"/>
      <c r="O880" s="1"/>
      <c r="P880" s="1"/>
      <c r="Q880" s="1"/>
    </row>
    <row r="881" spans="1:17" x14ac:dyDescent="0.25">
      <c r="A881" s="2">
        <v>44740</v>
      </c>
      <c r="B881">
        <v>24</v>
      </c>
      <c r="C881">
        <v>37</v>
      </c>
      <c r="D881">
        <v>63</v>
      </c>
      <c r="E881">
        <v>12825</v>
      </c>
      <c r="F881" s="1" t="s">
        <v>314</v>
      </c>
      <c r="G881">
        <v>0</v>
      </c>
      <c r="H881">
        <v>5</v>
      </c>
      <c r="I881">
        <v>55</v>
      </c>
      <c r="J881">
        <v>60</v>
      </c>
      <c r="K881" s="33">
        <v>8.3299999999999999E-2</v>
      </c>
      <c r="L881" s="1"/>
      <c r="M881" s="1" t="str">
        <f>_xlfn.XLOOKUP(ocupacao[[#This Row],[UnidadeID]],unidades!$A:$A,unidades!$B:$B,"",0)</f>
        <v>Nilópolis</v>
      </c>
      <c r="N881" s="1" t="str">
        <f>_xlfn.XLOOKUP(ocupacao[[#This Row],[UnidadeID]],unidades!$A:$A,unidades!$C:$C,"",0)</f>
        <v>Nilópolis</v>
      </c>
      <c r="O881" s="1" t="str">
        <f>_xlfn.XLOOKUP(ocupacao[[#This Row],[EspecialidadeID]],especialidades!$A:$A,especialidades!$B:$B,"",0)</f>
        <v>PSIQUIATRIA</v>
      </c>
      <c r="P881" s="1" t="str">
        <f>TEXT(WEEKDAY(ocupacao[[#This Row],[Data]]),"ddd")</f>
        <v>ter</v>
      </c>
      <c r="Q881" s="1">
        <f t="shared" si="13"/>
        <v>0</v>
      </c>
    </row>
    <row r="882" spans="1:17" hidden="1" x14ac:dyDescent="0.25">
      <c r="A882" s="2"/>
      <c r="F882" s="1"/>
      <c r="K882" s="33"/>
      <c r="L882" s="1"/>
      <c r="M882" s="1"/>
      <c r="N882" s="1"/>
      <c r="O882" s="1"/>
      <c r="P882" s="1"/>
      <c r="Q882" s="1"/>
    </row>
    <row r="883" spans="1:17" x14ac:dyDescent="0.25">
      <c r="A883" s="2">
        <v>44740</v>
      </c>
      <c r="B883">
        <v>22</v>
      </c>
      <c r="C883">
        <v>37</v>
      </c>
      <c r="D883">
        <v>49</v>
      </c>
      <c r="E883">
        <v>14237</v>
      </c>
      <c r="F883" s="1" t="s">
        <v>315</v>
      </c>
      <c r="G883">
        <v>0</v>
      </c>
      <c r="H883">
        <v>42</v>
      </c>
      <c r="I883">
        <v>19</v>
      </c>
      <c r="J883">
        <v>61</v>
      </c>
      <c r="K883" s="33">
        <v>0.6885</v>
      </c>
      <c r="L883" s="1"/>
      <c r="M883" s="1" t="str">
        <f>_xlfn.XLOOKUP(ocupacao[[#This Row],[UnidadeID]],unidades!$A:$A,unidades!$B:$B,"",0)</f>
        <v>Filial 1</v>
      </c>
      <c r="N883" s="1" t="str">
        <f>_xlfn.XLOOKUP(ocupacao[[#This Row],[UnidadeID]],unidades!$A:$A,unidades!$C:$C,"",0)</f>
        <v>Nova Iguaçu</v>
      </c>
      <c r="O883" s="1" t="str">
        <f>_xlfn.XLOOKUP(ocupacao[[#This Row],[EspecialidadeID]],especialidades!$A:$A,especialidades!$B:$B,"",0)</f>
        <v>PSIQUIATRIA</v>
      </c>
      <c r="P883" s="1" t="str">
        <f>TEXT(WEEKDAY(ocupacao[[#This Row],[Data]]),"ddd")</f>
        <v>ter</v>
      </c>
      <c r="Q883" s="1">
        <f t="shared" si="13"/>
        <v>0</v>
      </c>
    </row>
    <row r="884" spans="1:17" hidden="1" x14ac:dyDescent="0.25">
      <c r="A884" s="2"/>
      <c r="F884" s="1"/>
      <c r="K884" s="33"/>
      <c r="L884" s="1"/>
      <c r="M884" s="1"/>
      <c r="N884" s="1"/>
      <c r="O884" s="1"/>
      <c r="P884" s="1"/>
      <c r="Q884" s="1"/>
    </row>
    <row r="885" spans="1:17" x14ac:dyDescent="0.25">
      <c r="A885" s="2">
        <v>44741</v>
      </c>
      <c r="B885">
        <v>22</v>
      </c>
      <c r="C885">
        <v>37</v>
      </c>
      <c r="D885">
        <v>45</v>
      </c>
      <c r="E885">
        <v>12825</v>
      </c>
      <c r="F885" s="1" t="s">
        <v>314</v>
      </c>
      <c r="G885">
        <v>0</v>
      </c>
      <c r="H885">
        <v>19</v>
      </c>
      <c r="I885">
        <v>25</v>
      </c>
      <c r="J885">
        <v>44</v>
      </c>
      <c r="K885" s="33">
        <v>0.43180000000000002</v>
      </c>
      <c r="L885" s="1"/>
      <c r="M885" s="1" t="str">
        <f>_xlfn.XLOOKUP(ocupacao[[#This Row],[UnidadeID]],unidades!$A:$A,unidades!$B:$B,"",0)</f>
        <v>Filial 1</v>
      </c>
      <c r="N885" s="1" t="str">
        <f>_xlfn.XLOOKUP(ocupacao[[#This Row],[UnidadeID]],unidades!$A:$A,unidades!$C:$C,"",0)</f>
        <v>Nova Iguaçu</v>
      </c>
      <c r="O885" s="1" t="str">
        <f>_xlfn.XLOOKUP(ocupacao[[#This Row],[EspecialidadeID]],especialidades!$A:$A,especialidades!$B:$B,"",0)</f>
        <v>PSIQUIATRIA</v>
      </c>
      <c r="P885" s="1" t="str">
        <f>TEXT(WEEKDAY(ocupacao[[#This Row],[Data]]),"ddd")</f>
        <v>qua</v>
      </c>
      <c r="Q885" s="1">
        <f t="shared" si="13"/>
        <v>0</v>
      </c>
    </row>
    <row r="886" spans="1:17" x14ac:dyDescent="0.25">
      <c r="A886" s="2"/>
      <c r="F886" s="1" t="s">
        <v>106</v>
      </c>
      <c r="K886" s="33"/>
      <c r="L886" s="1"/>
      <c r="M886" s="1">
        <f>_xlfn.XLOOKUP(ocupacao[[#This Row],[UnidadeID]],unidades!$A:$A,unidades!$B:$B,"",0)</f>
        <v>0</v>
      </c>
      <c r="N886" s="1">
        <f>_xlfn.XLOOKUP(ocupacao[[#This Row],[UnidadeID]],unidades!$A:$A,unidades!$C:$C,"",0)</f>
        <v>0</v>
      </c>
      <c r="O886" s="1">
        <f>_xlfn.XLOOKUP(ocupacao[[#This Row],[EspecialidadeID]],especialidades!$A:$A,especialidades!$B:$B,"",0)</f>
        <v>0</v>
      </c>
      <c r="P886" s="1" t="str">
        <f>TEXT(WEEKDAY(ocupacao[[#This Row],[Data]]),"ddd")</f>
        <v>sáb</v>
      </c>
      <c r="Q886" s="1">
        <f t="shared" si="13"/>
        <v>0</v>
      </c>
    </row>
    <row r="887" spans="1:17" x14ac:dyDescent="0.25">
      <c r="A887" s="2">
        <v>44735</v>
      </c>
      <c r="B887">
        <v>22</v>
      </c>
      <c r="C887">
        <v>38</v>
      </c>
      <c r="D887">
        <v>44</v>
      </c>
      <c r="E887">
        <v>10249</v>
      </c>
      <c r="F887" s="1" t="s">
        <v>379</v>
      </c>
      <c r="G887">
        <v>0</v>
      </c>
      <c r="H887">
        <v>20</v>
      </c>
      <c r="I887">
        <v>0</v>
      </c>
      <c r="J887">
        <v>20</v>
      </c>
      <c r="K887" s="33">
        <v>1</v>
      </c>
      <c r="L887" s="1"/>
      <c r="M887" s="1" t="str">
        <f>_xlfn.XLOOKUP(ocupacao[[#This Row],[UnidadeID]],unidades!$A:$A,unidades!$B:$B,"",0)</f>
        <v>Filial 1</v>
      </c>
      <c r="N887" s="1" t="str">
        <f>_xlfn.XLOOKUP(ocupacao[[#This Row],[UnidadeID]],unidades!$A:$A,unidades!$C:$C,"",0)</f>
        <v>Nova Iguaçu</v>
      </c>
      <c r="O887" s="1" t="str">
        <f>_xlfn.XLOOKUP(ocupacao[[#This Row],[EspecialidadeID]],especialidades!$A:$A,especialidades!$B:$B,"",0)</f>
        <v>MASTOLOGIA</v>
      </c>
      <c r="P887" s="1" t="str">
        <f>TEXT(WEEKDAY(ocupacao[[#This Row],[Data]]),"ddd")</f>
        <v>qui</v>
      </c>
      <c r="Q887" s="1">
        <f t="shared" si="13"/>
        <v>1</v>
      </c>
    </row>
    <row r="888" spans="1:17" x14ac:dyDescent="0.25">
      <c r="A888" s="2">
        <v>44737</v>
      </c>
      <c r="B888">
        <v>22</v>
      </c>
      <c r="C888">
        <v>38</v>
      </c>
      <c r="D888">
        <v>44</v>
      </c>
      <c r="E888">
        <v>10249</v>
      </c>
      <c r="F888" s="1" t="s">
        <v>379</v>
      </c>
      <c r="G888">
        <v>0</v>
      </c>
      <c r="H888">
        <v>24</v>
      </c>
      <c r="I888">
        <v>0</v>
      </c>
      <c r="J888">
        <v>24</v>
      </c>
      <c r="K888" s="33">
        <v>1</v>
      </c>
      <c r="L888" s="1"/>
      <c r="M888" s="1" t="str">
        <f>_xlfn.XLOOKUP(ocupacao[[#This Row],[UnidadeID]],unidades!$A:$A,unidades!$B:$B,"",0)</f>
        <v>Filial 1</v>
      </c>
      <c r="N888" s="1" t="str">
        <f>_xlfn.XLOOKUP(ocupacao[[#This Row],[UnidadeID]],unidades!$A:$A,unidades!$C:$C,"",0)</f>
        <v>Nova Iguaçu</v>
      </c>
      <c r="O888" s="1" t="str">
        <f>_xlfn.XLOOKUP(ocupacao[[#This Row],[EspecialidadeID]],especialidades!$A:$A,especialidades!$B:$B,"",0)</f>
        <v>MASTOLOGIA</v>
      </c>
      <c r="P888" s="1" t="str">
        <f>TEXT(WEEKDAY(ocupacao[[#This Row],[Data]]),"ddd")</f>
        <v>sáb</v>
      </c>
      <c r="Q888" s="1">
        <f t="shared" si="13"/>
        <v>0</v>
      </c>
    </row>
    <row r="889" spans="1:17" hidden="1" x14ac:dyDescent="0.25">
      <c r="A889" s="2"/>
      <c r="F889" s="1"/>
      <c r="K889" s="33"/>
      <c r="L889" s="1"/>
      <c r="M889" s="1"/>
      <c r="N889" s="1"/>
      <c r="O889" s="1"/>
      <c r="P889" s="1"/>
      <c r="Q889" s="1"/>
    </row>
    <row r="890" spans="1:17" x14ac:dyDescent="0.25">
      <c r="A890" s="2">
        <v>44742</v>
      </c>
      <c r="B890">
        <v>22</v>
      </c>
      <c r="C890">
        <v>38</v>
      </c>
      <c r="D890">
        <v>44</v>
      </c>
      <c r="E890">
        <v>10249</v>
      </c>
      <c r="F890" s="1" t="s">
        <v>379</v>
      </c>
      <c r="G890">
        <v>0</v>
      </c>
      <c r="H890">
        <v>19</v>
      </c>
      <c r="I890">
        <v>1</v>
      </c>
      <c r="J890">
        <v>20</v>
      </c>
      <c r="K890" s="33">
        <v>0.95</v>
      </c>
      <c r="L890" s="1"/>
      <c r="M890" s="1" t="str">
        <f>_xlfn.XLOOKUP(ocupacao[[#This Row],[UnidadeID]],unidades!$A:$A,unidades!$B:$B,"",0)</f>
        <v>Filial 1</v>
      </c>
      <c r="N890" s="1" t="str">
        <f>_xlfn.XLOOKUP(ocupacao[[#This Row],[UnidadeID]],unidades!$A:$A,unidades!$C:$C,"",0)</f>
        <v>Nova Iguaçu</v>
      </c>
      <c r="O890" s="1" t="str">
        <f>_xlfn.XLOOKUP(ocupacao[[#This Row],[EspecialidadeID]],especialidades!$A:$A,especialidades!$B:$B,"",0)</f>
        <v>MASTOLOGIA</v>
      </c>
      <c r="P890" s="1" t="str">
        <f>TEXT(WEEKDAY(ocupacao[[#This Row],[Data]]),"ddd")</f>
        <v>qui</v>
      </c>
      <c r="Q890" s="1">
        <f t="shared" si="13"/>
        <v>0</v>
      </c>
    </row>
    <row r="891" spans="1:17" hidden="1" x14ac:dyDescent="0.25">
      <c r="A891" s="2"/>
      <c r="F891" s="1" t="s">
        <v>106</v>
      </c>
      <c r="K891" s="33"/>
      <c r="L891" s="1"/>
      <c r="M891" s="1"/>
      <c r="N891" s="1"/>
      <c r="O891" s="1"/>
      <c r="P891" s="1"/>
      <c r="Q891" s="1"/>
    </row>
    <row r="892" spans="1:17" hidden="1" x14ac:dyDescent="0.25">
      <c r="A892" s="2">
        <v>44733</v>
      </c>
      <c r="B892">
        <v>10</v>
      </c>
      <c r="C892">
        <v>41</v>
      </c>
      <c r="D892">
        <v>2</v>
      </c>
      <c r="E892">
        <v>57</v>
      </c>
      <c r="F892" s="1" t="s">
        <v>88</v>
      </c>
      <c r="G892">
        <v>0</v>
      </c>
      <c r="H892">
        <v>24</v>
      </c>
      <c r="I892">
        <v>0</v>
      </c>
      <c r="J892">
        <v>24</v>
      </c>
      <c r="K892" s="33">
        <v>1</v>
      </c>
      <c r="L892" s="1"/>
      <c r="M892" s="1"/>
      <c r="N892" s="1"/>
      <c r="O892" s="1"/>
      <c r="P892" s="1"/>
      <c r="Q892" s="1"/>
    </row>
    <row r="893" spans="1:17" x14ac:dyDescent="0.25">
      <c r="A893" s="2">
        <v>44733</v>
      </c>
      <c r="B893">
        <v>22</v>
      </c>
      <c r="C893">
        <v>41</v>
      </c>
      <c r="D893">
        <v>334</v>
      </c>
      <c r="E893">
        <v>72</v>
      </c>
      <c r="F893" s="1" t="s">
        <v>104</v>
      </c>
      <c r="G893">
        <v>0</v>
      </c>
      <c r="H893">
        <v>2</v>
      </c>
      <c r="I893">
        <v>3</v>
      </c>
      <c r="J893">
        <v>5</v>
      </c>
      <c r="K893" s="33">
        <v>0.4</v>
      </c>
      <c r="L893" s="1"/>
      <c r="M893" s="1" t="str">
        <f>_xlfn.XLOOKUP(ocupacao[[#This Row],[UnidadeID]],unidades!$A:$A,unidades!$B:$B,"",0)</f>
        <v>Filial 1</v>
      </c>
      <c r="N893" s="1" t="str">
        <f>_xlfn.XLOOKUP(ocupacao[[#This Row],[UnidadeID]],unidades!$A:$A,unidades!$C:$C,"",0)</f>
        <v>Nova Iguaçu</v>
      </c>
      <c r="O893" s="1" t="str">
        <f>_xlfn.XLOOKUP(ocupacao[[#This Row],[EspecialidadeID]],especialidades!$A:$A,especialidades!$B:$B,"",0)</f>
        <v>ECOCARDIOGRAMA</v>
      </c>
      <c r="P893" s="1" t="str">
        <f>TEXT(WEEKDAY(ocupacao[[#This Row],[Data]]),"ddd")</f>
        <v>ter</v>
      </c>
      <c r="Q893" s="1">
        <f t="shared" si="13"/>
        <v>0</v>
      </c>
    </row>
    <row r="894" spans="1:17" hidden="1" x14ac:dyDescent="0.25">
      <c r="A894" s="2">
        <v>44734</v>
      </c>
      <c r="B894">
        <v>10</v>
      </c>
      <c r="C894">
        <v>41</v>
      </c>
      <c r="D894">
        <v>2</v>
      </c>
      <c r="E894">
        <v>57</v>
      </c>
      <c r="F894" s="1" t="s">
        <v>88</v>
      </c>
      <c r="G894">
        <v>0</v>
      </c>
      <c r="H894">
        <v>11</v>
      </c>
      <c r="I894">
        <v>13</v>
      </c>
      <c r="J894">
        <v>24</v>
      </c>
      <c r="K894" s="33">
        <v>0.45829999999999999</v>
      </c>
      <c r="L894" s="1"/>
      <c r="M894" s="1"/>
      <c r="N894" s="1"/>
      <c r="O894" s="1"/>
      <c r="P894" s="1"/>
      <c r="Q894" s="1"/>
    </row>
    <row r="895" spans="1:17" x14ac:dyDescent="0.25">
      <c r="A895" s="2">
        <v>44734</v>
      </c>
      <c r="B895">
        <v>10</v>
      </c>
      <c r="C895">
        <v>41</v>
      </c>
      <c r="D895">
        <v>2</v>
      </c>
      <c r="E895">
        <v>2396</v>
      </c>
      <c r="F895" s="1" t="s">
        <v>153</v>
      </c>
      <c r="G895">
        <v>0</v>
      </c>
      <c r="H895">
        <v>16</v>
      </c>
      <c r="I895">
        <v>0</v>
      </c>
      <c r="J895">
        <v>16</v>
      </c>
      <c r="K895" s="33">
        <v>1</v>
      </c>
      <c r="L895" s="1"/>
      <c r="M895" s="1" t="str">
        <f>_xlfn.XLOOKUP(ocupacao[[#This Row],[UnidadeID]],unidades!$A:$A,unidades!$B:$B,"",0)</f>
        <v>Filial 2 - 10º</v>
      </c>
      <c r="N895" s="1" t="str">
        <f>_xlfn.XLOOKUP(ocupacao[[#This Row],[UnidadeID]],unidades!$A:$A,unidades!$C:$C,"",0)</f>
        <v>Nova Iguaçu</v>
      </c>
      <c r="O895" s="1" t="str">
        <f>_xlfn.XLOOKUP(ocupacao[[#This Row],[EspecialidadeID]],especialidades!$A:$A,especialidades!$B:$B,"",0)</f>
        <v>ECOCARDIOGRAMA</v>
      </c>
      <c r="P895" s="1" t="str">
        <f>TEXT(WEEKDAY(ocupacao[[#This Row],[Data]]),"ddd")</f>
        <v>qua</v>
      </c>
      <c r="Q895" s="1">
        <f t="shared" si="13"/>
        <v>0</v>
      </c>
    </row>
    <row r="896" spans="1:17" hidden="1" x14ac:dyDescent="0.25">
      <c r="A896" s="2">
        <v>44734</v>
      </c>
      <c r="B896">
        <v>18</v>
      </c>
      <c r="C896">
        <v>41</v>
      </c>
      <c r="D896">
        <v>360</v>
      </c>
      <c r="E896">
        <v>17864</v>
      </c>
      <c r="F896" s="1" t="s">
        <v>372</v>
      </c>
      <c r="G896">
        <v>0</v>
      </c>
      <c r="H896">
        <v>0</v>
      </c>
      <c r="I896">
        <v>13</v>
      </c>
      <c r="J896">
        <v>13</v>
      </c>
      <c r="K896" s="33">
        <v>0</v>
      </c>
      <c r="L896" s="1"/>
      <c r="M896" s="1"/>
      <c r="N896" s="1"/>
      <c r="O896" s="1"/>
      <c r="P896" s="1"/>
      <c r="Q896" s="1"/>
    </row>
    <row r="897" spans="1:17" hidden="1" x14ac:dyDescent="0.25">
      <c r="A897" s="2">
        <v>44734</v>
      </c>
      <c r="B897">
        <v>18</v>
      </c>
      <c r="C897">
        <v>41</v>
      </c>
      <c r="D897">
        <v>360</v>
      </c>
      <c r="E897">
        <v>17864</v>
      </c>
      <c r="F897" s="1" t="s">
        <v>372</v>
      </c>
      <c r="G897">
        <v>0</v>
      </c>
      <c r="H897">
        <v>14</v>
      </c>
      <c r="I897">
        <v>13</v>
      </c>
      <c r="J897">
        <v>27</v>
      </c>
      <c r="K897" s="33">
        <v>0.51849999999999996</v>
      </c>
      <c r="L897" s="1"/>
      <c r="M897" s="1"/>
      <c r="N897" s="1"/>
      <c r="O897" s="1"/>
      <c r="P897" s="1"/>
      <c r="Q897" s="1"/>
    </row>
    <row r="898" spans="1:17" x14ac:dyDescent="0.25">
      <c r="A898" s="2">
        <v>44735</v>
      </c>
      <c r="B898">
        <v>10</v>
      </c>
      <c r="C898">
        <v>41</v>
      </c>
      <c r="D898">
        <v>2</v>
      </c>
      <c r="E898">
        <v>57</v>
      </c>
      <c r="F898" s="1" t="s">
        <v>88</v>
      </c>
      <c r="G898">
        <v>0</v>
      </c>
      <c r="H898">
        <v>15</v>
      </c>
      <c r="I898">
        <v>5</v>
      </c>
      <c r="J898">
        <v>20</v>
      </c>
      <c r="K898" s="33">
        <v>0.75</v>
      </c>
      <c r="L898" s="1"/>
      <c r="M898" s="1" t="str">
        <f>_xlfn.XLOOKUP(ocupacao[[#This Row],[UnidadeID]],unidades!$A:$A,unidades!$B:$B,"",0)</f>
        <v>Filial 2 - 10º</v>
      </c>
      <c r="N898" s="1" t="str">
        <f>_xlfn.XLOOKUP(ocupacao[[#This Row],[UnidadeID]],unidades!$A:$A,unidades!$C:$C,"",0)</f>
        <v>Nova Iguaçu</v>
      </c>
      <c r="O898" s="1" t="str">
        <f>_xlfn.XLOOKUP(ocupacao[[#This Row],[EspecialidadeID]],especialidades!$A:$A,especialidades!$B:$B,"",0)</f>
        <v>ECOCARDIOGRAMA</v>
      </c>
      <c r="P898" s="1" t="str">
        <f>TEXT(WEEKDAY(ocupacao[[#This Row],[Data]]),"ddd")</f>
        <v>qui</v>
      </c>
      <c r="Q898" s="1">
        <f t="shared" ref="Q898:Q954" si="14">IF(F898=F899,1,0)</f>
        <v>1</v>
      </c>
    </row>
    <row r="899" spans="1:17" x14ac:dyDescent="0.25">
      <c r="A899" s="2">
        <v>44736</v>
      </c>
      <c r="B899">
        <v>10</v>
      </c>
      <c r="C899">
        <v>41</v>
      </c>
      <c r="D899">
        <v>2</v>
      </c>
      <c r="E899">
        <v>57</v>
      </c>
      <c r="F899" s="1" t="s">
        <v>88</v>
      </c>
      <c r="G899">
        <v>0</v>
      </c>
      <c r="H899">
        <v>4</v>
      </c>
      <c r="I899">
        <v>18</v>
      </c>
      <c r="J899">
        <v>22</v>
      </c>
      <c r="K899" s="33">
        <v>0.18179999999999999</v>
      </c>
      <c r="L899" s="1"/>
      <c r="M899" s="1" t="str">
        <f>_xlfn.XLOOKUP(ocupacao[[#This Row],[UnidadeID]],unidades!$A:$A,unidades!$B:$B,"",0)</f>
        <v>Filial 2 - 10º</v>
      </c>
      <c r="N899" s="1" t="str">
        <f>_xlfn.XLOOKUP(ocupacao[[#This Row],[UnidadeID]],unidades!$A:$A,unidades!$C:$C,"",0)</f>
        <v>Nova Iguaçu</v>
      </c>
      <c r="O899" s="1" t="str">
        <f>_xlfn.XLOOKUP(ocupacao[[#This Row],[EspecialidadeID]],especialidades!$A:$A,especialidades!$B:$B,"",0)</f>
        <v>ECOCARDIOGRAMA</v>
      </c>
      <c r="P899" s="1" t="str">
        <f>TEXT(WEEKDAY(ocupacao[[#This Row],[Data]]),"ddd")</f>
        <v>sex</v>
      </c>
      <c r="Q899" s="1">
        <f t="shared" si="14"/>
        <v>0</v>
      </c>
    </row>
    <row r="900" spans="1:17" hidden="1" x14ac:dyDescent="0.25">
      <c r="A900" s="2"/>
      <c r="F900" s="1"/>
      <c r="K900" s="33"/>
      <c r="L900" s="1"/>
      <c r="M900" s="1"/>
      <c r="N900" s="1"/>
      <c r="O900" s="1"/>
      <c r="P900" s="1"/>
      <c r="Q900" s="1"/>
    </row>
    <row r="901" spans="1:17" hidden="1" x14ac:dyDescent="0.25">
      <c r="A901" s="2">
        <v>44737</v>
      </c>
      <c r="B901">
        <v>10</v>
      </c>
      <c r="C901">
        <v>41</v>
      </c>
      <c r="D901">
        <v>2</v>
      </c>
      <c r="E901">
        <v>57</v>
      </c>
      <c r="F901" s="1" t="s">
        <v>88</v>
      </c>
      <c r="G901">
        <v>0</v>
      </c>
      <c r="H901">
        <v>9</v>
      </c>
      <c r="I901">
        <v>18</v>
      </c>
      <c r="J901">
        <v>27</v>
      </c>
      <c r="K901" s="33">
        <v>0.33329999999999999</v>
      </c>
      <c r="L901" s="1"/>
      <c r="M901" s="1"/>
      <c r="N901" s="1"/>
      <c r="O901" s="1"/>
      <c r="P901" s="1"/>
      <c r="Q901" s="1"/>
    </row>
    <row r="902" spans="1:17" x14ac:dyDescent="0.25">
      <c r="A902" s="2">
        <v>44739</v>
      </c>
      <c r="B902">
        <v>24</v>
      </c>
      <c r="C902">
        <v>41</v>
      </c>
      <c r="D902">
        <v>60</v>
      </c>
      <c r="E902">
        <v>17938</v>
      </c>
      <c r="F902" s="1" t="s">
        <v>382</v>
      </c>
      <c r="G902">
        <v>0</v>
      </c>
      <c r="H902">
        <v>10</v>
      </c>
      <c r="I902">
        <v>1</v>
      </c>
      <c r="J902">
        <v>11</v>
      </c>
      <c r="K902" s="33">
        <v>0.90910000000000002</v>
      </c>
      <c r="L902" s="1"/>
      <c r="M902" s="1" t="str">
        <f>_xlfn.XLOOKUP(ocupacao[[#This Row],[UnidadeID]],unidades!$A:$A,unidades!$B:$B,"",0)</f>
        <v>Nilópolis</v>
      </c>
      <c r="N902" s="1" t="str">
        <f>_xlfn.XLOOKUP(ocupacao[[#This Row],[UnidadeID]],unidades!$A:$A,unidades!$C:$C,"",0)</f>
        <v>Nilópolis</v>
      </c>
      <c r="O902" s="1" t="str">
        <f>_xlfn.XLOOKUP(ocupacao[[#This Row],[EspecialidadeID]],especialidades!$A:$A,especialidades!$B:$B,"",0)</f>
        <v>ECOCARDIOGRAMA</v>
      </c>
      <c r="P902" s="1" t="str">
        <f>TEXT(WEEKDAY(ocupacao[[#This Row],[Data]]),"ddd")</f>
        <v>seg</v>
      </c>
      <c r="Q902" s="1">
        <f t="shared" si="14"/>
        <v>0</v>
      </c>
    </row>
    <row r="903" spans="1:17" hidden="1" x14ac:dyDescent="0.25">
      <c r="A903" s="2">
        <v>44740</v>
      </c>
      <c r="B903">
        <v>10</v>
      </c>
      <c r="C903">
        <v>41</v>
      </c>
      <c r="D903">
        <v>2</v>
      </c>
      <c r="E903">
        <v>57</v>
      </c>
      <c r="F903" s="1" t="s">
        <v>88</v>
      </c>
      <c r="G903">
        <v>0</v>
      </c>
      <c r="H903">
        <v>2</v>
      </c>
      <c r="I903">
        <v>22</v>
      </c>
      <c r="J903">
        <v>24</v>
      </c>
      <c r="K903" s="33">
        <v>8.3299999999999999E-2</v>
      </c>
      <c r="L903" s="1"/>
      <c r="M903" s="1"/>
      <c r="N903" s="1"/>
      <c r="O903" s="1"/>
      <c r="P903" s="1"/>
      <c r="Q903" s="1"/>
    </row>
    <row r="904" spans="1:17" x14ac:dyDescent="0.25">
      <c r="A904" s="2">
        <v>44740</v>
      </c>
      <c r="B904">
        <v>22</v>
      </c>
      <c r="C904">
        <v>41</v>
      </c>
      <c r="D904">
        <v>334</v>
      </c>
      <c r="E904">
        <v>72</v>
      </c>
      <c r="F904" s="1" t="s">
        <v>104</v>
      </c>
      <c r="G904">
        <v>0</v>
      </c>
      <c r="H904">
        <v>0</v>
      </c>
      <c r="I904">
        <v>5</v>
      </c>
      <c r="J904">
        <v>5</v>
      </c>
      <c r="K904" s="33">
        <v>0</v>
      </c>
      <c r="L904" s="1"/>
      <c r="M904" s="1" t="str">
        <f>_xlfn.XLOOKUP(ocupacao[[#This Row],[UnidadeID]],unidades!$A:$A,unidades!$B:$B,"",0)</f>
        <v>Filial 1</v>
      </c>
      <c r="N904" s="1" t="str">
        <f>_xlfn.XLOOKUP(ocupacao[[#This Row],[UnidadeID]],unidades!$A:$A,unidades!$C:$C,"",0)</f>
        <v>Nova Iguaçu</v>
      </c>
      <c r="O904" s="1" t="str">
        <f>_xlfn.XLOOKUP(ocupacao[[#This Row],[EspecialidadeID]],especialidades!$A:$A,especialidades!$B:$B,"",0)</f>
        <v>ECOCARDIOGRAMA</v>
      </c>
      <c r="P904" s="1" t="str">
        <f>TEXT(WEEKDAY(ocupacao[[#This Row],[Data]]),"ddd")</f>
        <v>ter</v>
      </c>
      <c r="Q904" s="1">
        <f t="shared" si="14"/>
        <v>0</v>
      </c>
    </row>
    <row r="905" spans="1:17" x14ac:dyDescent="0.25">
      <c r="A905" s="2">
        <v>44741</v>
      </c>
      <c r="B905">
        <v>10</v>
      </c>
      <c r="C905">
        <v>41</v>
      </c>
      <c r="D905">
        <v>2</v>
      </c>
      <c r="E905">
        <v>57</v>
      </c>
      <c r="F905" s="1" t="s">
        <v>88</v>
      </c>
      <c r="G905">
        <v>0</v>
      </c>
      <c r="H905">
        <v>1</v>
      </c>
      <c r="I905">
        <v>23</v>
      </c>
      <c r="J905">
        <v>24</v>
      </c>
      <c r="K905" s="33">
        <v>4.1700000000000001E-2</v>
      </c>
      <c r="L905" s="1"/>
      <c r="M905" s="1" t="str">
        <f>_xlfn.XLOOKUP(ocupacao[[#This Row],[UnidadeID]],unidades!$A:$A,unidades!$B:$B,"",0)</f>
        <v>Filial 2 - 10º</v>
      </c>
      <c r="N905" s="1" t="str">
        <f>_xlfn.XLOOKUP(ocupacao[[#This Row],[UnidadeID]],unidades!$A:$A,unidades!$C:$C,"",0)</f>
        <v>Nova Iguaçu</v>
      </c>
      <c r="O905" s="1" t="str">
        <f>_xlfn.XLOOKUP(ocupacao[[#This Row],[EspecialidadeID]],especialidades!$A:$A,especialidades!$B:$B,"",0)</f>
        <v>ECOCARDIOGRAMA</v>
      </c>
      <c r="P905" s="1" t="str">
        <f>TEXT(WEEKDAY(ocupacao[[#This Row],[Data]]),"ddd")</f>
        <v>qua</v>
      </c>
      <c r="Q905" s="1">
        <f t="shared" si="14"/>
        <v>0</v>
      </c>
    </row>
    <row r="906" spans="1:17" x14ac:dyDescent="0.25">
      <c r="A906" s="2">
        <v>44741</v>
      </c>
      <c r="B906">
        <v>10</v>
      </c>
      <c r="C906">
        <v>41</v>
      </c>
      <c r="D906">
        <v>2</v>
      </c>
      <c r="E906">
        <v>2396</v>
      </c>
      <c r="F906" s="1" t="s">
        <v>153</v>
      </c>
      <c r="G906">
        <v>0</v>
      </c>
      <c r="H906">
        <v>15</v>
      </c>
      <c r="I906">
        <v>0</v>
      </c>
      <c r="J906">
        <v>15</v>
      </c>
      <c r="K906" s="33">
        <v>1</v>
      </c>
      <c r="L906" s="1"/>
      <c r="M906" s="1" t="str">
        <f>_xlfn.XLOOKUP(ocupacao[[#This Row],[UnidadeID]],unidades!$A:$A,unidades!$B:$B,"",0)</f>
        <v>Filial 2 - 10º</v>
      </c>
      <c r="N906" s="1" t="str">
        <f>_xlfn.XLOOKUP(ocupacao[[#This Row],[UnidadeID]],unidades!$A:$A,unidades!$C:$C,"",0)</f>
        <v>Nova Iguaçu</v>
      </c>
      <c r="O906" s="1" t="str">
        <f>_xlfn.XLOOKUP(ocupacao[[#This Row],[EspecialidadeID]],especialidades!$A:$A,especialidades!$B:$B,"",0)</f>
        <v>ECOCARDIOGRAMA</v>
      </c>
      <c r="P906" s="1" t="str">
        <f>TEXT(WEEKDAY(ocupacao[[#This Row],[Data]]),"ddd")</f>
        <v>qua</v>
      </c>
      <c r="Q906" s="1">
        <f t="shared" si="14"/>
        <v>0</v>
      </c>
    </row>
    <row r="907" spans="1:17" hidden="1" x14ac:dyDescent="0.25">
      <c r="A907" s="2"/>
      <c r="F907" s="1"/>
      <c r="K907" s="33"/>
      <c r="L907" s="1"/>
      <c r="M907" s="1"/>
      <c r="N907" s="1"/>
      <c r="O907" s="1"/>
      <c r="P907" s="1"/>
      <c r="Q907" s="1"/>
    </row>
    <row r="908" spans="1:17" hidden="1" x14ac:dyDescent="0.25">
      <c r="A908" s="2">
        <v>44741</v>
      </c>
      <c r="B908">
        <v>18</v>
      </c>
      <c r="C908">
        <v>41</v>
      </c>
      <c r="D908">
        <v>360</v>
      </c>
      <c r="E908">
        <v>17864</v>
      </c>
      <c r="F908" s="1" t="s">
        <v>372</v>
      </c>
      <c r="G908">
        <v>0</v>
      </c>
      <c r="H908">
        <v>2</v>
      </c>
      <c r="I908">
        <v>26</v>
      </c>
      <c r="J908">
        <v>28</v>
      </c>
      <c r="K908" s="33">
        <v>7.1400000000000005E-2</v>
      </c>
      <c r="L908" s="1"/>
      <c r="M908" s="1"/>
      <c r="N908" s="1"/>
      <c r="O908" s="1"/>
      <c r="P908" s="1"/>
      <c r="Q908" s="1"/>
    </row>
    <row r="909" spans="1:17" x14ac:dyDescent="0.25">
      <c r="A909" s="2">
        <v>44742</v>
      </c>
      <c r="B909">
        <v>10</v>
      </c>
      <c r="C909">
        <v>41</v>
      </c>
      <c r="D909">
        <v>2</v>
      </c>
      <c r="E909">
        <v>57</v>
      </c>
      <c r="F909" s="1" t="s">
        <v>88</v>
      </c>
      <c r="G909">
        <v>0</v>
      </c>
      <c r="H909">
        <v>3</v>
      </c>
      <c r="I909">
        <v>17</v>
      </c>
      <c r="J909">
        <v>20</v>
      </c>
      <c r="K909" s="33">
        <v>0.15</v>
      </c>
      <c r="L909" s="1"/>
      <c r="M909" s="1" t="str">
        <f>_xlfn.XLOOKUP(ocupacao[[#This Row],[UnidadeID]],unidades!$A:$A,unidades!$B:$B,"",0)</f>
        <v>Filial 2 - 10º</v>
      </c>
      <c r="N909" s="1" t="str">
        <f>_xlfn.XLOOKUP(ocupacao[[#This Row],[UnidadeID]],unidades!$A:$A,unidades!$C:$C,"",0)</f>
        <v>Nova Iguaçu</v>
      </c>
      <c r="O909" s="1" t="str">
        <f>_xlfn.XLOOKUP(ocupacao[[#This Row],[EspecialidadeID]],especialidades!$A:$A,especialidades!$B:$B,"",0)</f>
        <v>ECOCARDIOGRAMA</v>
      </c>
      <c r="P909" s="1" t="str">
        <f>TEXT(WEEKDAY(ocupacao[[#This Row],[Data]]),"ddd")</f>
        <v>qui</v>
      </c>
      <c r="Q909" s="1">
        <f t="shared" si="14"/>
        <v>1</v>
      </c>
    </row>
    <row r="910" spans="1:17" hidden="1" x14ac:dyDescent="0.25">
      <c r="A910" s="2">
        <v>44743</v>
      </c>
      <c r="B910">
        <v>10</v>
      </c>
      <c r="C910">
        <v>41</v>
      </c>
      <c r="D910">
        <v>2</v>
      </c>
      <c r="E910">
        <v>57</v>
      </c>
      <c r="F910" s="1" t="s">
        <v>88</v>
      </c>
      <c r="G910">
        <v>0</v>
      </c>
      <c r="H910">
        <v>1</v>
      </c>
      <c r="I910">
        <v>21</v>
      </c>
      <c r="J910">
        <v>22</v>
      </c>
      <c r="K910" s="33">
        <v>4.5499999999999999E-2</v>
      </c>
      <c r="L910" s="1"/>
      <c r="M910" s="1"/>
      <c r="N910" s="1"/>
      <c r="O910" s="1"/>
      <c r="P910" s="1"/>
      <c r="Q910" s="1"/>
    </row>
    <row r="911" spans="1:17" x14ac:dyDescent="0.25">
      <c r="A911" s="2"/>
      <c r="F911" s="1" t="s">
        <v>106</v>
      </c>
      <c r="K911" s="33"/>
      <c r="L911" s="1"/>
      <c r="M911" s="1">
        <f>_xlfn.XLOOKUP(ocupacao[[#This Row],[UnidadeID]],unidades!$A:$A,unidades!$B:$B,"",0)</f>
        <v>0</v>
      </c>
      <c r="N911" s="1">
        <f>_xlfn.XLOOKUP(ocupacao[[#This Row],[UnidadeID]],unidades!$A:$A,unidades!$C:$C,"",0)</f>
        <v>0</v>
      </c>
      <c r="O911" s="1">
        <f>_xlfn.XLOOKUP(ocupacao[[#This Row],[EspecialidadeID]],especialidades!$A:$A,especialidades!$B:$B,"",0)</f>
        <v>0</v>
      </c>
      <c r="P911" s="1" t="str">
        <f>TEXT(WEEKDAY(ocupacao[[#This Row],[Data]]),"ddd")</f>
        <v>sáb</v>
      </c>
      <c r="Q911" s="1">
        <f t="shared" si="14"/>
        <v>0</v>
      </c>
    </row>
    <row r="912" spans="1:17" hidden="1" x14ac:dyDescent="0.25">
      <c r="A912" s="2">
        <v>44733</v>
      </c>
      <c r="B912">
        <v>33</v>
      </c>
      <c r="C912">
        <v>42</v>
      </c>
      <c r="D912">
        <v>368</v>
      </c>
      <c r="E912">
        <v>9123</v>
      </c>
      <c r="F912" s="1" t="s">
        <v>299</v>
      </c>
      <c r="G912">
        <v>0</v>
      </c>
      <c r="H912">
        <v>0</v>
      </c>
      <c r="I912">
        <v>41</v>
      </c>
      <c r="J912">
        <v>41</v>
      </c>
      <c r="K912" s="33">
        <v>0</v>
      </c>
      <c r="L912" s="1"/>
      <c r="M912" s="1"/>
      <c r="N912" s="1"/>
      <c r="O912" s="1"/>
      <c r="P912" s="1"/>
      <c r="Q912" s="1"/>
    </row>
    <row r="913" spans="1:17" hidden="1" x14ac:dyDescent="0.25">
      <c r="A913" s="2"/>
      <c r="F913" s="1"/>
      <c r="K913" s="33"/>
      <c r="L913" s="1"/>
      <c r="M913" s="1"/>
      <c r="N913" s="1"/>
      <c r="O913" s="1"/>
      <c r="P913" s="1"/>
      <c r="Q913" s="1"/>
    </row>
    <row r="914" spans="1:17" hidden="1" x14ac:dyDescent="0.25">
      <c r="A914" s="2"/>
      <c r="F914" s="1"/>
      <c r="K914" s="33"/>
      <c r="L914" s="1"/>
      <c r="M914" s="1"/>
      <c r="N914" s="1"/>
      <c r="O914" s="1"/>
      <c r="P914" s="1"/>
      <c r="Q914" s="1"/>
    </row>
    <row r="915" spans="1:17" hidden="1" x14ac:dyDescent="0.25">
      <c r="A915" s="2"/>
      <c r="F915" s="1"/>
      <c r="K915" s="33"/>
      <c r="L915" s="1"/>
      <c r="M915" s="1"/>
      <c r="N915" s="1"/>
      <c r="O915" s="1"/>
      <c r="P915" s="1"/>
      <c r="Q915" s="1"/>
    </row>
    <row r="916" spans="1:17" hidden="1" x14ac:dyDescent="0.25">
      <c r="A916" s="2"/>
      <c r="F916" s="1"/>
      <c r="K916" s="33"/>
      <c r="L916" s="1"/>
      <c r="M916" s="1"/>
      <c r="N916" s="1"/>
      <c r="O916" s="1"/>
      <c r="P916" s="1"/>
      <c r="Q916" s="1"/>
    </row>
    <row r="917" spans="1:17" hidden="1" x14ac:dyDescent="0.25">
      <c r="A917" s="2">
        <v>44739</v>
      </c>
      <c r="B917">
        <v>33</v>
      </c>
      <c r="C917">
        <v>42</v>
      </c>
      <c r="D917">
        <v>368</v>
      </c>
      <c r="E917">
        <v>9123</v>
      </c>
      <c r="F917" s="1" t="s">
        <v>299</v>
      </c>
      <c r="G917">
        <v>0</v>
      </c>
      <c r="H917">
        <v>0</v>
      </c>
      <c r="I917">
        <v>41</v>
      </c>
      <c r="J917">
        <v>41</v>
      </c>
      <c r="K917" s="33">
        <v>0</v>
      </c>
      <c r="L917" s="1"/>
      <c r="M917" s="1"/>
      <c r="N917" s="1"/>
      <c r="O917" s="1"/>
      <c r="P917" s="1"/>
      <c r="Q917" s="1"/>
    </row>
    <row r="918" spans="1:17" hidden="1" x14ac:dyDescent="0.25">
      <c r="A918" s="2"/>
      <c r="F918" s="1"/>
      <c r="K918" s="33"/>
      <c r="L918" s="1"/>
      <c r="M918" s="1"/>
      <c r="N918" s="1"/>
      <c r="O918" s="1"/>
      <c r="P918" s="1"/>
      <c r="Q918" s="1"/>
    </row>
    <row r="919" spans="1:17" hidden="1" x14ac:dyDescent="0.25">
      <c r="A919" s="2"/>
      <c r="F919" s="1"/>
      <c r="K919" s="33"/>
      <c r="L919" s="1"/>
      <c r="M919" s="1"/>
      <c r="N919" s="1"/>
      <c r="O919" s="1"/>
      <c r="P919" s="1"/>
      <c r="Q919" s="1"/>
    </row>
    <row r="920" spans="1:17" hidden="1" x14ac:dyDescent="0.25">
      <c r="A920" s="2"/>
      <c r="F920" s="1"/>
      <c r="K920" s="33"/>
      <c r="L920" s="1"/>
      <c r="M920" s="1"/>
      <c r="N920" s="1"/>
      <c r="O920" s="1"/>
      <c r="P920" s="1"/>
      <c r="Q920" s="1"/>
    </row>
    <row r="921" spans="1:17" x14ac:dyDescent="0.25">
      <c r="A921" s="2">
        <v>44743</v>
      </c>
      <c r="B921">
        <v>33</v>
      </c>
      <c r="C921">
        <v>42</v>
      </c>
      <c r="D921">
        <v>368</v>
      </c>
      <c r="E921">
        <v>9123</v>
      </c>
      <c r="F921" s="1" t="s">
        <v>299</v>
      </c>
      <c r="G921">
        <v>0</v>
      </c>
      <c r="H921">
        <v>0</v>
      </c>
      <c r="I921">
        <v>41</v>
      </c>
      <c r="J921">
        <v>41</v>
      </c>
      <c r="K921" s="33">
        <v>0</v>
      </c>
      <c r="L921" s="1"/>
      <c r="M921" s="1" t="str">
        <f>_xlfn.XLOOKUP(ocupacao[[#This Row],[UnidadeID]],unidades!$A:$A,unidades!$B:$B,"",0)</f>
        <v>Seggastro</v>
      </c>
      <c r="N921" s="1" t="str">
        <f>_xlfn.XLOOKUP(ocupacao[[#This Row],[UnidadeID]],unidades!$A:$A,unidades!$C:$C,"",0)</f>
        <v>Nova Iguaçu</v>
      </c>
      <c r="O921" s="1" t="str">
        <f>_xlfn.XLOOKUP(ocupacao[[#This Row],[EspecialidadeID]],especialidades!$A:$A,especialidades!$B:$B,"",0)</f>
        <v>ENDOSCOPIA</v>
      </c>
      <c r="P921" s="1" t="str">
        <f>TEXT(WEEKDAY(ocupacao[[#This Row],[Data]]),"ddd")</f>
        <v>sex</v>
      </c>
      <c r="Q921" s="1">
        <f t="shared" si="14"/>
        <v>0</v>
      </c>
    </row>
    <row r="922" spans="1:17" x14ac:dyDescent="0.25">
      <c r="A922" s="2"/>
      <c r="F922" s="1" t="s">
        <v>106</v>
      </c>
      <c r="K922" s="33"/>
      <c r="L922" s="1"/>
      <c r="M922" s="1">
        <f>_xlfn.XLOOKUP(ocupacao[[#This Row],[UnidadeID]],unidades!$A:$A,unidades!$B:$B,"",0)</f>
        <v>0</v>
      </c>
      <c r="N922" s="1">
        <f>_xlfn.XLOOKUP(ocupacao[[#This Row],[UnidadeID]],unidades!$A:$A,unidades!$C:$C,"",0)</f>
        <v>0</v>
      </c>
      <c r="O922" s="1">
        <f>_xlfn.XLOOKUP(ocupacao[[#This Row],[EspecialidadeID]],especialidades!$A:$A,especialidades!$B:$B,"",0)</f>
        <v>0</v>
      </c>
      <c r="P922" s="1" t="str">
        <f>TEXT(WEEKDAY(ocupacao[[#This Row],[Data]]),"ddd")</f>
        <v>sáb</v>
      </c>
      <c r="Q922" s="1">
        <f t="shared" si="14"/>
        <v>0</v>
      </c>
    </row>
    <row r="923" spans="1:17" x14ac:dyDescent="0.25">
      <c r="A923" s="2">
        <v>44733</v>
      </c>
      <c r="B923">
        <v>24</v>
      </c>
      <c r="C923">
        <v>46</v>
      </c>
      <c r="D923">
        <v>55</v>
      </c>
      <c r="E923">
        <v>17907</v>
      </c>
      <c r="F923" s="1" t="s">
        <v>304</v>
      </c>
      <c r="G923">
        <v>0</v>
      </c>
      <c r="H923">
        <v>0</v>
      </c>
      <c r="I923">
        <v>22</v>
      </c>
      <c r="J923">
        <v>22</v>
      </c>
      <c r="K923" s="33">
        <v>0</v>
      </c>
      <c r="L923" s="1"/>
      <c r="M923" s="1" t="str">
        <f>_xlfn.XLOOKUP(ocupacao[[#This Row],[UnidadeID]],unidades!$A:$A,unidades!$B:$B,"",0)</f>
        <v>Nilópolis</v>
      </c>
      <c r="N923" s="1" t="str">
        <f>_xlfn.XLOOKUP(ocupacao[[#This Row],[UnidadeID]],unidades!$A:$A,unidades!$C:$C,"",0)</f>
        <v>Nilópolis</v>
      </c>
      <c r="O923" s="1" t="str">
        <f>_xlfn.XLOOKUP(ocupacao[[#This Row],[EspecialidadeID]],especialidades!$A:$A,especialidades!$B:$B,"",0)</f>
        <v>ELETROENCEFALOGRAMA</v>
      </c>
      <c r="P923" s="1" t="str">
        <f>TEXT(WEEKDAY(ocupacao[[#This Row],[Data]]),"ddd")</f>
        <v>ter</v>
      </c>
      <c r="Q923" s="1">
        <f t="shared" si="14"/>
        <v>0</v>
      </c>
    </row>
    <row r="924" spans="1:17" x14ac:dyDescent="0.25">
      <c r="A924" s="2">
        <v>44733</v>
      </c>
      <c r="B924">
        <v>0</v>
      </c>
      <c r="C924">
        <v>46</v>
      </c>
      <c r="D924">
        <v>25</v>
      </c>
      <c r="E924">
        <v>17908</v>
      </c>
      <c r="F924" s="1" t="s">
        <v>305</v>
      </c>
      <c r="G924">
        <v>0</v>
      </c>
      <c r="H924">
        <v>1</v>
      </c>
      <c r="I924">
        <v>23</v>
      </c>
      <c r="J924">
        <v>24</v>
      </c>
      <c r="K924" s="33">
        <v>4.1700000000000001E-2</v>
      </c>
      <c r="L924" s="1"/>
      <c r="M924" s="1" t="str">
        <f>_xlfn.XLOOKUP(ocupacao[[#This Row],[UnidadeID]],unidades!$A:$A,unidades!$B:$B,"",0)</f>
        <v>Matriz</v>
      </c>
      <c r="N924" s="1" t="str">
        <f>_xlfn.XLOOKUP(ocupacao[[#This Row],[UnidadeID]],unidades!$A:$A,unidades!$C:$C,"",0)</f>
        <v>Nova Iguaçu</v>
      </c>
      <c r="O924" s="1" t="str">
        <f>_xlfn.XLOOKUP(ocupacao[[#This Row],[EspecialidadeID]],especialidades!$A:$A,especialidades!$B:$B,"",0)</f>
        <v>ELETROENCEFALOGRAMA</v>
      </c>
      <c r="P924" s="1" t="str">
        <f>TEXT(WEEKDAY(ocupacao[[#This Row],[Data]]),"ddd")</f>
        <v>ter</v>
      </c>
      <c r="Q924" s="1">
        <f t="shared" si="14"/>
        <v>0</v>
      </c>
    </row>
    <row r="925" spans="1:17" hidden="1" x14ac:dyDescent="0.25">
      <c r="A925" s="2">
        <v>44733</v>
      </c>
      <c r="B925">
        <v>34</v>
      </c>
      <c r="C925">
        <v>46</v>
      </c>
      <c r="D925">
        <v>380</v>
      </c>
      <c r="E925">
        <v>18021</v>
      </c>
      <c r="F925" s="1" t="s">
        <v>796</v>
      </c>
      <c r="G925">
        <v>0</v>
      </c>
      <c r="H925">
        <v>0</v>
      </c>
      <c r="I925">
        <v>22</v>
      </c>
      <c r="J925">
        <v>22</v>
      </c>
      <c r="K925" s="33">
        <v>0</v>
      </c>
      <c r="L925" s="1"/>
      <c r="M925" s="1"/>
      <c r="N925" s="1"/>
      <c r="O925" s="1"/>
      <c r="P925" s="1"/>
      <c r="Q925" s="1"/>
    </row>
    <row r="926" spans="1:17" x14ac:dyDescent="0.25">
      <c r="A926" s="2">
        <v>44734</v>
      </c>
      <c r="B926">
        <v>24</v>
      </c>
      <c r="C926">
        <v>46</v>
      </c>
      <c r="D926">
        <v>55</v>
      </c>
      <c r="E926">
        <v>17907</v>
      </c>
      <c r="F926" s="1" t="s">
        <v>304</v>
      </c>
      <c r="G926">
        <v>0</v>
      </c>
      <c r="H926">
        <v>0</v>
      </c>
      <c r="I926">
        <v>22</v>
      </c>
      <c r="J926">
        <v>22</v>
      </c>
      <c r="K926" s="33">
        <v>0</v>
      </c>
      <c r="L926" s="1"/>
      <c r="M926" s="1" t="str">
        <f>_xlfn.XLOOKUP(ocupacao[[#This Row],[UnidadeID]],unidades!$A:$A,unidades!$B:$B,"",0)</f>
        <v>Nilópolis</v>
      </c>
      <c r="N926" s="1" t="str">
        <f>_xlfn.XLOOKUP(ocupacao[[#This Row],[UnidadeID]],unidades!$A:$A,unidades!$C:$C,"",0)</f>
        <v>Nilópolis</v>
      </c>
      <c r="O926" s="1" t="str">
        <f>_xlfn.XLOOKUP(ocupacao[[#This Row],[EspecialidadeID]],especialidades!$A:$A,especialidades!$B:$B,"",0)</f>
        <v>ELETROENCEFALOGRAMA</v>
      </c>
      <c r="P926" s="1" t="str">
        <f>TEXT(WEEKDAY(ocupacao[[#This Row],[Data]]),"ddd")</f>
        <v>qua</v>
      </c>
      <c r="Q926" s="1">
        <f t="shared" si="14"/>
        <v>0</v>
      </c>
    </row>
    <row r="927" spans="1:17" x14ac:dyDescent="0.25">
      <c r="A927" s="2">
        <v>44734</v>
      </c>
      <c r="B927">
        <v>0</v>
      </c>
      <c r="C927">
        <v>46</v>
      </c>
      <c r="D927">
        <v>25</v>
      </c>
      <c r="E927">
        <v>17908</v>
      </c>
      <c r="F927" s="1" t="s">
        <v>305</v>
      </c>
      <c r="G927">
        <v>0</v>
      </c>
      <c r="H927">
        <v>0</v>
      </c>
      <c r="I927">
        <v>24</v>
      </c>
      <c r="J927">
        <v>24</v>
      </c>
      <c r="K927" s="33">
        <v>0</v>
      </c>
      <c r="L927" s="1"/>
      <c r="M927" s="1" t="str">
        <f>_xlfn.XLOOKUP(ocupacao[[#This Row],[UnidadeID]],unidades!$A:$A,unidades!$B:$B,"",0)</f>
        <v>Matriz</v>
      </c>
      <c r="N927" s="1" t="str">
        <f>_xlfn.XLOOKUP(ocupacao[[#This Row],[UnidadeID]],unidades!$A:$A,unidades!$C:$C,"",0)</f>
        <v>Nova Iguaçu</v>
      </c>
      <c r="O927" s="1" t="str">
        <f>_xlfn.XLOOKUP(ocupacao[[#This Row],[EspecialidadeID]],especialidades!$A:$A,especialidades!$B:$B,"",0)</f>
        <v>ELETROENCEFALOGRAMA</v>
      </c>
      <c r="P927" s="1" t="str">
        <f>TEXT(WEEKDAY(ocupacao[[#This Row],[Data]]),"ddd")</f>
        <v>qua</v>
      </c>
      <c r="Q927" s="1">
        <f t="shared" si="14"/>
        <v>0</v>
      </c>
    </row>
    <row r="928" spans="1:17" x14ac:dyDescent="0.25">
      <c r="A928" s="2">
        <v>44734</v>
      </c>
      <c r="B928">
        <v>34</v>
      </c>
      <c r="C928">
        <v>46</v>
      </c>
      <c r="D928">
        <v>380</v>
      </c>
      <c r="E928">
        <v>18021</v>
      </c>
      <c r="F928" s="1" t="s">
        <v>796</v>
      </c>
      <c r="G928">
        <v>0</v>
      </c>
      <c r="H928">
        <v>1</v>
      </c>
      <c r="I928">
        <v>21</v>
      </c>
      <c r="J928">
        <v>22</v>
      </c>
      <c r="K928" s="33">
        <v>4.5499999999999999E-2</v>
      </c>
      <c r="L928" s="1"/>
      <c r="M928" s="1" t="str">
        <f>_xlfn.XLOOKUP(ocupacao[[#This Row],[UnidadeID]],unidades!$A:$A,unidades!$B:$B,"",0)</f>
        <v>São João</v>
      </c>
      <c r="N928" s="1" t="str">
        <f>_xlfn.XLOOKUP(ocupacao[[#This Row],[UnidadeID]],unidades!$A:$A,unidades!$C:$C,"",0)</f>
        <v>São João de Meriti</v>
      </c>
      <c r="O928" s="1" t="str">
        <f>_xlfn.XLOOKUP(ocupacao[[#This Row],[EspecialidadeID]],especialidades!$A:$A,especialidades!$B:$B,"",0)</f>
        <v>ELETROENCEFALOGRAMA</v>
      </c>
      <c r="P928" s="1" t="str">
        <f>TEXT(WEEKDAY(ocupacao[[#This Row],[Data]]),"ddd")</f>
        <v>qua</v>
      </c>
      <c r="Q928" s="1">
        <f t="shared" si="14"/>
        <v>0</v>
      </c>
    </row>
    <row r="929" spans="1:17" hidden="1" x14ac:dyDescent="0.25">
      <c r="A929" s="2">
        <v>44735</v>
      </c>
      <c r="B929">
        <v>24</v>
      </c>
      <c r="C929">
        <v>46</v>
      </c>
      <c r="D929">
        <v>55</v>
      </c>
      <c r="E929">
        <v>17907</v>
      </c>
      <c r="F929" s="1" t="s">
        <v>304</v>
      </c>
      <c r="G929">
        <v>0</v>
      </c>
      <c r="H929">
        <v>0</v>
      </c>
      <c r="I929">
        <v>22</v>
      </c>
      <c r="J929">
        <v>22</v>
      </c>
      <c r="K929" s="33">
        <v>0</v>
      </c>
      <c r="L929" s="1"/>
      <c r="M929" s="1"/>
      <c r="N929" s="1"/>
      <c r="O929" s="1"/>
      <c r="P929" s="1"/>
      <c r="Q929" s="1"/>
    </row>
    <row r="930" spans="1:17" x14ac:dyDescent="0.25">
      <c r="A930" s="2">
        <v>44735</v>
      </c>
      <c r="B930">
        <v>0</v>
      </c>
      <c r="C930">
        <v>46</v>
      </c>
      <c r="D930">
        <v>25</v>
      </c>
      <c r="E930">
        <v>17908</v>
      </c>
      <c r="F930" s="1" t="s">
        <v>305</v>
      </c>
      <c r="G930">
        <v>0</v>
      </c>
      <c r="H930">
        <v>0</v>
      </c>
      <c r="I930">
        <v>24</v>
      </c>
      <c r="J930">
        <v>24</v>
      </c>
      <c r="K930" s="33">
        <v>0</v>
      </c>
      <c r="L930" s="1"/>
      <c r="M930" s="1" t="str">
        <f>_xlfn.XLOOKUP(ocupacao[[#This Row],[UnidadeID]],unidades!$A:$A,unidades!$B:$B,"",0)</f>
        <v>Matriz</v>
      </c>
      <c r="N930" s="1" t="str">
        <f>_xlfn.XLOOKUP(ocupacao[[#This Row],[UnidadeID]],unidades!$A:$A,unidades!$C:$C,"",0)</f>
        <v>Nova Iguaçu</v>
      </c>
      <c r="O930" s="1" t="str">
        <f>_xlfn.XLOOKUP(ocupacao[[#This Row],[EspecialidadeID]],especialidades!$A:$A,especialidades!$B:$B,"",0)</f>
        <v>ELETROENCEFALOGRAMA</v>
      </c>
      <c r="P930" s="1" t="str">
        <f>TEXT(WEEKDAY(ocupacao[[#This Row],[Data]]),"ddd")</f>
        <v>qui</v>
      </c>
      <c r="Q930" s="1">
        <f t="shared" si="14"/>
        <v>0</v>
      </c>
    </row>
    <row r="931" spans="1:17" x14ac:dyDescent="0.25">
      <c r="A931" s="2">
        <v>44735</v>
      </c>
      <c r="B931">
        <v>34</v>
      </c>
      <c r="C931">
        <v>46</v>
      </c>
      <c r="D931">
        <v>380</v>
      </c>
      <c r="E931">
        <v>18021</v>
      </c>
      <c r="F931" s="1" t="s">
        <v>796</v>
      </c>
      <c r="G931">
        <v>0</v>
      </c>
      <c r="H931">
        <v>0</v>
      </c>
      <c r="I931">
        <v>22</v>
      </c>
      <c r="J931">
        <v>22</v>
      </c>
      <c r="K931" s="33">
        <v>0</v>
      </c>
      <c r="L931" s="1"/>
      <c r="M931" s="1" t="str">
        <f>_xlfn.XLOOKUP(ocupacao[[#This Row],[UnidadeID]],unidades!$A:$A,unidades!$B:$B,"",0)</f>
        <v>São João</v>
      </c>
      <c r="N931" s="1" t="str">
        <f>_xlfn.XLOOKUP(ocupacao[[#This Row],[UnidadeID]],unidades!$A:$A,unidades!$C:$C,"",0)</f>
        <v>São João de Meriti</v>
      </c>
      <c r="O931" s="1" t="str">
        <f>_xlfn.XLOOKUP(ocupacao[[#This Row],[EspecialidadeID]],especialidades!$A:$A,especialidades!$B:$B,"",0)</f>
        <v>ELETROENCEFALOGRAMA</v>
      </c>
      <c r="P931" s="1" t="str">
        <f>TEXT(WEEKDAY(ocupacao[[#This Row],[Data]]),"ddd")</f>
        <v>qui</v>
      </c>
      <c r="Q931" s="1">
        <f t="shared" si="14"/>
        <v>0</v>
      </c>
    </row>
    <row r="932" spans="1:17" x14ac:dyDescent="0.25">
      <c r="A932" s="2">
        <v>44736</v>
      </c>
      <c r="B932">
        <v>24</v>
      </c>
      <c r="C932">
        <v>46</v>
      </c>
      <c r="D932">
        <v>55</v>
      </c>
      <c r="E932">
        <v>17907</v>
      </c>
      <c r="F932" s="1" t="s">
        <v>304</v>
      </c>
      <c r="G932">
        <v>0</v>
      </c>
      <c r="H932">
        <v>0</v>
      </c>
      <c r="I932">
        <v>22</v>
      </c>
      <c r="J932">
        <v>22</v>
      </c>
      <c r="K932" s="33">
        <v>0</v>
      </c>
      <c r="L932" s="1"/>
      <c r="M932" s="1" t="str">
        <f>_xlfn.XLOOKUP(ocupacao[[#This Row],[UnidadeID]],unidades!$A:$A,unidades!$B:$B,"",0)</f>
        <v>Nilópolis</v>
      </c>
      <c r="N932" s="1" t="str">
        <f>_xlfn.XLOOKUP(ocupacao[[#This Row],[UnidadeID]],unidades!$A:$A,unidades!$C:$C,"",0)</f>
        <v>Nilópolis</v>
      </c>
      <c r="O932" s="1" t="str">
        <f>_xlfn.XLOOKUP(ocupacao[[#This Row],[EspecialidadeID]],especialidades!$A:$A,especialidades!$B:$B,"",0)</f>
        <v>ELETROENCEFALOGRAMA</v>
      </c>
      <c r="P932" s="1" t="str">
        <f>TEXT(WEEKDAY(ocupacao[[#This Row],[Data]]),"ddd")</f>
        <v>sex</v>
      </c>
      <c r="Q932" s="1">
        <f t="shared" si="14"/>
        <v>0</v>
      </c>
    </row>
    <row r="933" spans="1:17" x14ac:dyDescent="0.25">
      <c r="A933" s="2">
        <v>44736</v>
      </c>
      <c r="B933">
        <v>0</v>
      </c>
      <c r="C933">
        <v>46</v>
      </c>
      <c r="D933">
        <v>25</v>
      </c>
      <c r="E933">
        <v>17908</v>
      </c>
      <c r="F933" s="1" t="s">
        <v>305</v>
      </c>
      <c r="G933">
        <v>0</v>
      </c>
      <c r="H933">
        <v>0</v>
      </c>
      <c r="I933">
        <v>24</v>
      </c>
      <c r="J933">
        <v>24</v>
      </c>
      <c r="K933" s="33">
        <v>0</v>
      </c>
      <c r="L933" s="1"/>
      <c r="M933" s="1" t="str">
        <f>_xlfn.XLOOKUP(ocupacao[[#This Row],[UnidadeID]],unidades!$A:$A,unidades!$B:$B,"",0)</f>
        <v>Matriz</v>
      </c>
      <c r="N933" s="1" t="str">
        <f>_xlfn.XLOOKUP(ocupacao[[#This Row],[UnidadeID]],unidades!$A:$A,unidades!$C:$C,"",0)</f>
        <v>Nova Iguaçu</v>
      </c>
      <c r="O933" s="1" t="str">
        <f>_xlfn.XLOOKUP(ocupacao[[#This Row],[EspecialidadeID]],especialidades!$A:$A,especialidades!$B:$B,"",0)</f>
        <v>ELETROENCEFALOGRAMA</v>
      </c>
      <c r="P933" s="1" t="str">
        <f>TEXT(WEEKDAY(ocupacao[[#This Row],[Data]]),"ddd")</f>
        <v>sex</v>
      </c>
      <c r="Q933" s="1">
        <f t="shared" si="14"/>
        <v>0</v>
      </c>
    </row>
    <row r="934" spans="1:17" x14ac:dyDescent="0.25">
      <c r="A934" s="2">
        <v>44736</v>
      </c>
      <c r="B934">
        <v>34</v>
      </c>
      <c r="C934">
        <v>46</v>
      </c>
      <c r="D934">
        <v>380</v>
      </c>
      <c r="E934">
        <v>18021</v>
      </c>
      <c r="F934" s="1" t="s">
        <v>796</v>
      </c>
      <c r="G934">
        <v>0</v>
      </c>
      <c r="H934">
        <v>0</v>
      </c>
      <c r="I934">
        <v>22</v>
      </c>
      <c r="J934">
        <v>22</v>
      </c>
      <c r="K934" s="33">
        <v>0</v>
      </c>
      <c r="L934" s="1"/>
      <c r="M934" s="1" t="str">
        <f>_xlfn.XLOOKUP(ocupacao[[#This Row],[UnidadeID]],unidades!$A:$A,unidades!$B:$B,"",0)</f>
        <v>São João</v>
      </c>
      <c r="N934" s="1" t="str">
        <f>_xlfn.XLOOKUP(ocupacao[[#This Row],[UnidadeID]],unidades!$A:$A,unidades!$C:$C,"",0)</f>
        <v>São João de Meriti</v>
      </c>
      <c r="O934" s="1" t="str">
        <f>_xlfn.XLOOKUP(ocupacao[[#This Row],[EspecialidadeID]],especialidades!$A:$A,especialidades!$B:$B,"",0)</f>
        <v>ELETROENCEFALOGRAMA</v>
      </c>
      <c r="P934" s="1" t="str">
        <f>TEXT(WEEKDAY(ocupacao[[#This Row],[Data]]),"ddd")</f>
        <v>sex</v>
      </c>
      <c r="Q934" s="1">
        <f t="shared" si="14"/>
        <v>0</v>
      </c>
    </row>
    <row r="935" spans="1:17" x14ac:dyDescent="0.25">
      <c r="A935" s="2">
        <v>44737</v>
      </c>
      <c r="B935">
        <v>24</v>
      </c>
      <c r="C935">
        <v>46</v>
      </c>
      <c r="D935">
        <v>55</v>
      </c>
      <c r="E935">
        <v>17907</v>
      </c>
      <c r="F935" s="1" t="s">
        <v>304</v>
      </c>
      <c r="G935">
        <v>0</v>
      </c>
      <c r="H935">
        <v>0</v>
      </c>
      <c r="I935">
        <v>15</v>
      </c>
      <c r="J935">
        <v>15</v>
      </c>
      <c r="K935" s="33">
        <v>0</v>
      </c>
      <c r="L935" s="1"/>
      <c r="M935" s="1" t="str">
        <f>_xlfn.XLOOKUP(ocupacao[[#This Row],[UnidadeID]],unidades!$A:$A,unidades!$B:$B,"",0)</f>
        <v>Nilópolis</v>
      </c>
      <c r="N935" s="1" t="str">
        <f>_xlfn.XLOOKUP(ocupacao[[#This Row],[UnidadeID]],unidades!$A:$A,unidades!$C:$C,"",0)</f>
        <v>Nilópolis</v>
      </c>
      <c r="O935" s="1" t="str">
        <f>_xlfn.XLOOKUP(ocupacao[[#This Row],[EspecialidadeID]],especialidades!$A:$A,especialidades!$B:$B,"",0)</f>
        <v>ELETROENCEFALOGRAMA</v>
      </c>
      <c r="P935" s="1" t="str">
        <f>TEXT(WEEKDAY(ocupacao[[#This Row],[Data]]),"ddd")</f>
        <v>sáb</v>
      </c>
      <c r="Q935" s="1">
        <f t="shared" si="14"/>
        <v>0</v>
      </c>
    </row>
    <row r="936" spans="1:17" x14ac:dyDescent="0.25">
      <c r="A936" s="2">
        <v>44737</v>
      </c>
      <c r="B936">
        <v>0</v>
      </c>
      <c r="C936">
        <v>46</v>
      </c>
      <c r="D936">
        <v>25</v>
      </c>
      <c r="E936">
        <v>17908</v>
      </c>
      <c r="F936" s="1" t="s">
        <v>305</v>
      </c>
      <c r="G936">
        <v>0</v>
      </c>
      <c r="H936">
        <v>0</v>
      </c>
      <c r="I936">
        <v>18</v>
      </c>
      <c r="J936">
        <v>18</v>
      </c>
      <c r="K936" s="33">
        <v>0</v>
      </c>
      <c r="L936" s="1"/>
      <c r="M936" s="1" t="str">
        <f>_xlfn.XLOOKUP(ocupacao[[#This Row],[UnidadeID]],unidades!$A:$A,unidades!$B:$B,"",0)</f>
        <v>Matriz</v>
      </c>
      <c r="N936" s="1" t="str">
        <f>_xlfn.XLOOKUP(ocupacao[[#This Row],[UnidadeID]],unidades!$A:$A,unidades!$C:$C,"",0)</f>
        <v>Nova Iguaçu</v>
      </c>
      <c r="O936" s="1" t="str">
        <f>_xlfn.XLOOKUP(ocupacao[[#This Row],[EspecialidadeID]],especialidades!$A:$A,especialidades!$B:$B,"",0)</f>
        <v>ELETROENCEFALOGRAMA</v>
      </c>
      <c r="P936" s="1" t="str">
        <f>TEXT(WEEKDAY(ocupacao[[#This Row],[Data]]),"ddd")</f>
        <v>sáb</v>
      </c>
      <c r="Q936" s="1">
        <f t="shared" si="14"/>
        <v>0</v>
      </c>
    </row>
    <row r="937" spans="1:17" x14ac:dyDescent="0.25">
      <c r="A937" s="2">
        <v>44737</v>
      </c>
      <c r="B937">
        <v>34</v>
      </c>
      <c r="C937">
        <v>46</v>
      </c>
      <c r="D937">
        <v>380</v>
      </c>
      <c r="E937">
        <v>18021</v>
      </c>
      <c r="F937" s="1" t="s">
        <v>796</v>
      </c>
      <c r="G937">
        <v>0</v>
      </c>
      <c r="H937">
        <v>0</v>
      </c>
      <c r="I937">
        <v>14</v>
      </c>
      <c r="J937">
        <v>14</v>
      </c>
      <c r="K937" s="33">
        <v>0</v>
      </c>
      <c r="L937" s="1"/>
      <c r="M937" s="1" t="str">
        <f>_xlfn.XLOOKUP(ocupacao[[#This Row],[UnidadeID]],unidades!$A:$A,unidades!$B:$B,"",0)</f>
        <v>São João</v>
      </c>
      <c r="N937" s="1" t="str">
        <f>_xlfn.XLOOKUP(ocupacao[[#This Row],[UnidadeID]],unidades!$A:$A,unidades!$C:$C,"",0)</f>
        <v>São João de Meriti</v>
      </c>
      <c r="O937" s="1" t="str">
        <f>_xlfn.XLOOKUP(ocupacao[[#This Row],[EspecialidadeID]],especialidades!$A:$A,especialidades!$B:$B,"",0)</f>
        <v>ELETROENCEFALOGRAMA</v>
      </c>
      <c r="P937" s="1" t="str">
        <f>TEXT(WEEKDAY(ocupacao[[#This Row],[Data]]),"ddd")</f>
        <v>sáb</v>
      </c>
      <c r="Q937" s="1">
        <f t="shared" si="14"/>
        <v>0</v>
      </c>
    </row>
    <row r="938" spans="1:17" x14ac:dyDescent="0.25">
      <c r="A938" s="2">
        <v>44738</v>
      </c>
      <c r="B938">
        <v>0</v>
      </c>
      <c r="C938">
        <v>46</v>
      </c>
      <c r="D938">
        <v>25</v>
      </c>
      <c r="E938">
        <v>17908</v>
      </c>
      <c r="F938" s="1" t="s">
        <v>305</v>
      </c>
      <c r="G938">
        <v>0</v>
      </c>
      <c r="H938">
        <v>0</v>
      </c>
      <c r="I938">
        <v>12</v>
      </c>
      <c r="J938">
        <v>12</v>
      </c>
      <c r="K938" s="33">
        <v>0</v>
      </c>
      <c r="L938" s="1"/>
      <c r="M938" s="1" t="str">
        <f>_xlfn.XLOOKUP(ocupacao[[#This Row],[UnidadeID]],unidades!$A:$A,unidades!$B:$B,"",0)</f>
        <v>Matriz</v>
      </c>
      <c r="N938" s="1" t="str">
        <f>_xlfn.XLOOKUP(ocupacao[[#This Row],[UnidadeID]],unidades!$A:$A,unidades!$C:$C,"",0)</f>
        <v>Nova Iguaçu</v>
      </c>
      <c r="O938" s="1" t="str">
        <f>_xlfn.XLOOKUP(ocupacao[[#This Row],[EspecialidadeID]],especialidades!$A:$A,especialidades!$B:$B,"",0)</f>
        <v>ELETROENCEFALOGRAMA</v>
      </c>
      <c r="P938" s="1" t="str">
        <f>TEXT(WEEKDAY(ocupacao[[#This Row],[Data]]),"ddd")</f>
        <v>dom</v>
      </c>
      <c r="Q938" s="1">
        <f t="shared" si="14"/>
        <v>0</v>
      </c>
    </row>
    <row r="939" spans="1:17" hidden="1" x14ac:dyDescent="0.25">
      <c r="A939" s="2">
        <v>44739</v>
      </c>
      <c r="B939">
        <v>24</v>
      </c>
      <c r="C939">
        <v>46</v>
      </c>
      <c r="D939">
        <v>55</v>
      </c>
      <c r="E939">
        <v>17907</v>
      </c>
      <c r="F939" s="1" t="s">
        <v>304</v>
      </c>
      <c r="G939">
        <v>0</v>
      </c>
      <c r="H939">
        <v>0</v>
      </c>
      <c r="I939">
        <v>22</v>
      </c>
      <c r="J939">
        <v>22</v>
      </c>
      <c r="K939" s="33">
        <v>0</v>
      </c>
      <c r="L939" s="1"/>
      <c r="M939" s="1"/>
      <c r="N939" s="1"/>
      <c r="O939" s="1"/>
      <c r="P939" s="1"/>
      <c r="Q939" s="1"/>
    </row>
    <row r="940" spans="1:17" hidden="1" x14ac:dyDescent="0.25">
      <c r="A940" s="2">
        <v>44739</v>
      </c>
      <c r="B940">
        <v>0</v>
      </c>
      <c r="C940">
        <v>46</v>
      </c>
      <c r="D940">
        <v>25</v>
      </c>
      <c r="E940">
        <v>17908</v>
      </c>
      <c r="F940" s="1" t="s">
        <v>305</v>
      </c>
      <c r="G940">
        <v>0</v>
      </c>
      <c r="H940">
        <v>0</v>
      </c>
      <c r="I940">
        <v>24</v>
      </c>
      <c r="J940">
        <v>24</v>
      </c>
      <c r="K940" s="33">
        <v>0</v>
      </c>
      <c r="L940" s="1"/>
      <c r="M940" s="1"/>
      <c r="N940" s="1"/>
      <c r="O940" s="1"/>
      <c r="P940" s="1"/>
      <c r="Q940" s="1"/>
    </row>
    <row r="941" spans="1:17" hidden="1" x14ac:dyDescent="0.25">
      <c r="A941" s="2">
        <v>44739</v>
      </c>
      <c r="B941">
        <v>34</v>
      </c>
      <c r="C941">
        <v>46</v>
      </c>
      <c r="D941">
        <v>380</v>
      </c>
      <c r="E941">
        <v>18021</v>
      </c>
      <c r="F941" s="1" t="s">
        <v>796</v>
      </c>
      <c r="G941">
        <v>0</v>
      </c>
      <c r="H941">
        <v>0</v>
      </c>
      <c r="I941">
        <v>22</v>
      </c>
      <c r="J941">
        <v>22</v>
      </c>
      <c r="K941" s="33">
        <v>0</v>
      </c>
      <c r="L941" s="1"/>
      <c r="M941" s="1"/>
      <c r="N941" s="1"/>
      <c r="O941" s="1"/>
      <c r="P941" s="1"/>
      <c r="Q941" s="1"/>
    </row>
    <row r="942" spans="1:17" hidden="1" x14ac:dyDescent="0.25">
      <c r="A942" s="2">
        <v>44740</v>
      </c>
      <c r="B942">
        <v>24</v>
      </c>
      <c r="C942">
        <v>46</v>
      </c>
      <c r="D942">
        <v>55</v>
      </c>
      <c r="E942">
        <v>17907</v>
      </c>
      <c r="F942" s="1" t="s">
        <v>304</v>
      </c>
      <c r="G942">
        <v>0</v>
      </c>
      <c r="H942">
        <v>0</v>
      </c>
      <c r="I942">
        <v>22</v>
      </c>
      <c r="J942">
        <v>22</v>
      </c>
      <c r="K942" s="33">
        <v>0</v>
      </c>
      <c r="L942" s="1"/>
      <c r="M942" s="1"/>
      <c r="N942" s="1"/>
      <c r="O942" s="1"/>
      <c r="P942" s="1"/>
      <c r="Q942" s="1"/>
    </row>
    <row r="943" spans="1:17" hidden="1" x14ac:dyDescent="0.25">
      <c r="A943" s="2">
        <v>44740</v>
      </c>
      <c r="B943">
        <v>0</v>
      </c>
      <c r="C943">
        <v>46</v>
      </c>
      <c r="D943">
        <v>25</v>
      </c>
      <c r="E943">
        <v>17908</v>
      </c>
      <c r="F943" s="1" t="s">
        <v>305</v>
      </c>
      <c r="G943">
        <v>0</v>
      </c>
      <c r="H943">
        <v>0</v>
      </c>
      <c r="I943">
        <v>24</v>
      </c>
      <c r="J943">
        <v>24</v>
      </c>
      <c r="K943" s="33">
        <v>0</v>
      </c>
      <c r="L943" s="1"/>
      <c r="M943" s="1"/>
      <c r="N943" s="1"/>
      <c r="O943" s="1"/>
      <c r="P943" s="1"/>
      <c r="Q943" s="1"/>
    </row>
    <row r="944" spans="1:17" hidden="1" x14ac:dyDescent="0.25">
      <c r="A944" s="2">
        <v>44740</v>
      </c>
      <c r="B944">
        <v>34</v>
      </c>
      <c r="C944">
        <v>46</v>
      </c>
      <c r="D944">
        <v>380</v>
      </c>
      <c r="E944">
        <v>18021</v>
      </c>
      <c r="F944" s="1" t="s">
        <v>796</v>
      </c>
      <c r="G944">
        <v>0</v>
      </c>
      <c r="H944">
        <v>0</v>
      </c>
      <c r="I944">
        <v>22</v>
      </c>
      <c r="J944">
        <v>22</v>
      </c>
      <c r="K944" s="33">
        <v>0</v>
      </c>
      <c r="L944" s="1"/>
      <c r="M944" s="1"/>
      <c r="N944" s="1"/>
      <c r="O944" s="1"/>
      <c r="P944" s="1"/>
      <c r="Q944" s="1"/>
    </row>
    <row r="945" spans="1:17" hidden="1" x14ac:dyDescent="0.25">
      <c r="A945" s="2">
        <v>44741</v>
      </c>
      <c r="B945">
        <v>24</v>
      </c>
      <c r="C945">
        <v>46</v>
      </c>
      <c r="D945">
        <v>55</v>
      </c>
      <c r="E945">
        <v>17907</v>
      </c>
      <c r="F945" s="1" t="s">
        <v>304</v>
      </c>
      <c r="G945">
        <v>0</v>
      </c>
      <c r="H945">
        <v>0</v>
      </c>
      <c r="I945">
        <v>22</v>
      </c>
      <c r="J945">
        <v>22</v>
      </c>
      <c r="K945" s="33">
        <v>0</v>
      </c>
      <c r="L945" s="1"/>
      <c r="M945" s="1"/>
      <c r="N945" s="1"/>
      <c r="O945" s="1"/>
      <c r="P945" s="1"/>
      <c r="Q945" s="1"/>
    </row>
    <row r="946" spans="1:17" hidden="1" x14ac:dyDescent="0.25">
      <c r="A946" s="2">
        <v>44741</v>
      </c>
      <c r="B946">
        <v>0</v>
      </c>
      <c r="C946">
        <v>46</v>
      </c>
      <c r="D946">
        <v>25</v>
      </c>
      <c r="E946">
        <v>17908</v>
      </c>
      <c r="F946" s="1" t="s">
        <v>305</v>
      </c>
      <c r="G946">
        <v>0</v>
      </c>
      <c r="H946">
        <v>0</v>
      </c>
      <c r="I946">
        <v>24</v>
      </c>
      <c r="J946">
        <v>24</v>
      </c>
      <c r="K946" s="33">
        <v>0</v>
      </c>
      <c r="L946" s="1"/>
      <c r="M946" s="1"/>
      <c r="N946" s="1"/>
      <c r="O946" s="1"/>
      <c r="P946" s="1"/>
      <c r="Q946" s="1"/>
    </row>
    <row r="947" spans="1:17" hidden="1" x14ac:dyDescent="0.25">
      <c r="A947" s="2">
        <v>44741</v>
      </c>
      <c r="B947">
        <v>34</v>
      </c>
      <c r="C947">
        <v>46</v>
      </c>
      <c r="D947">
        <v>380</v>
      </c>
      <c r="E947">
        <v>18021</v>
      </c>
      <c r="F947" s="1" t="s">
        <v>796</v>
      </c>
      <c r="G947">
        <v>0</v>
      </c>
      <c r="H947">
        <v>0</v>
      </c>
      <c r="I947">
        <v>22</v>
      </c>
      <c r="J947">
        <v>22</v>
      </c>
      <c r="K947" s="33">
        <v>0</v>
      </c>
      <c r="L947" s="1"/>
      <c r="M947" s="1"/>
      <c r="N947" s="1"/>
      <c r="O947" s="1"/>
      <c r="P947" s="1"/>
      <c r="Q947" s="1"/>
    </row>
    <row r="948" spans="1:17" x14ac:dyDescent="0.25">
      <c r="A948" s="2">
        <v>44742</v>
      </c>
      <c r="B948">
        <v>24</v>
      </c>
      <c r="C948">
        <v>46</v>
      </c>
      <c r="D948">
        <v>55</v>
      </c>
      <c r="E948">
        <v>17907</v>
      </c>
      <c r="F948" s="1" t="s">
        <v>304</v>
      </c>
      <c r="G948">
        <v>0</v>
      </c>
      <c r="H948">
        <v>0</v>
      </c>
      <c r="I948">
        <v>22</v>
      </c>
      <c r="J948">
        <v>22</v>
      </c>
      <c r="K948" s="33">
        <v>0</v>
      </c>
      <c r="L948" s="1"/>
      <c r="M948" s="1" t="str">
        <f>_xlfn.XLOOKUP(ocupacao[[#This Row],[UnidadeID]],unidades!$A:$A,unidades!$B:$B,"",0)</f>
        <v>Nilópolis</v>
      </c>
      <c r="N948" s="1" t="str">
        <f>_xlfn.XLOOKUP(ocupacao[[#This Row],[UnidadeID]],unidades!$A:$A,unidades!$C:$C,"",0)</f>
        <v>Nilópolis</v>
      </c>
      <c r="O948" s="1" t="str">
        <f>_xlfn.XLOOKUP(ocupacao[[#This Row],[EspecialidadeID]],especialidades!$A:$A,especialidades!$B:$B,"",0)</f>
        <v>ELETROENCEFALOGRAMA</v>
      </c>
      <c r="P948" s="1" t="str">
        <f>TEXT(WEEKDAY(ocupacao[[#This Row],[Data]]),"ddd")</f>
        <v>qui</v>
      </c>
      <c r="Q948" s="1">
        <f t="shared" si="14"/>
        <v>0</v>
      </c>
    </row>
    <row r="949" spans="1:17" x14ac:dyDescent="0.25">
      <c r="A949" s="2">
        <v>44742</v>
      </c>
      <c r="B949">
        <v>0</v>
      </c>
      <c r="C949">
        <v>46</v>
      </c>
      <c r="D949">
        <v>25</v>
      </c>
      <c r="E949">
        <v>17908</v>
      </c>
      <c r="F949" s="1" t="s">
        <v>305</v>
      </c>
      <c r="G949">
        <v>0</v>
      </c>
      <c r="H949">
        <v>0</v>
      </c>
      <c r="I949">
        <v>24</v>
      </c>
      <c r="J949">
        <v>24</v>
      </c>
      <c r="K949" s="33">
        <v>0</v>
      </c>
      <c r="L949" s="1"/>
      <c r="M949" s="1" t="str">
        <f>_xlfn.XLOOKUP(ocupacao[[#This Row],[UnidadeID]],unidades!$A:$A,unidades!$B:$B,"",0)</f>
        <v>Matriz</v>
      </c>
      <c r="N949" s="1" t="str">
        <f>_xlfn.XLOOKUP(ocupacao[[#This Row],[UnidadeID]],unidades!$A:$A,unidades!$C:$C,"",0)</f>
        <v>Nova Iguaçu</v>
      </c>
      <c r="O949" s="1" t="str">
        <f>_xlfn.XLOOKUP(ocupacao[[#This Row],[EspecialidadeID]],especialidades!$A:$A,especialidades!$B:$B,"",0)</f>
        <v>ELETROENCEFALOGRAMA</v>
      </c>
      <c r="P949" s="1" t="str">
        <f>TEXT(WEEKDAY(ocupacao[[#This Row],[Data]]),"ddd")</f>
        <v>qui</v>
      </c>
      <c r="Q949" s="1">
        <f t="shared" si="14"/>
        <v>0</v>
      </c>
    </row>
    <row r="950" spans="1:17" x14ac:dyDescent="0.25">
      <c r="A950" s="2">
        <v>44742</v>
      </c>
      <c r="B950">
        <v>34</v>
      </c>
      <c r="C950">
        <v>46</v>
      </c>
      <c r="D950">
        <v>380</v>
      </c>
      <c r="E950">
        <v>18021</v>
      </c>
      <c r="F950" s="1" t="s">
        <v>796</v>
      </c>
      <c r="G950">
        <v>0</v>
      </c>
      <c r="H950">
        <v>0</v>
      </c>
      <c r="I950">
        <v>22</v>
      </c>
      <c r="J950">
        <v>22</v>
      </c>
      <c r="K950" s="33">
        <v>0</v>
      </c>
      <c r="L950" s="1"/>
      <c r="M950" s="1" t="str">
        <f>_xlfn.XLOOKUP(ocupacao[[#This Row],[UnidadeID]],unidades!$A:$A,unidades!$B:$B,"",0)</f>
        <v>São João</v>
      </c>
      <c r="N950" s="1" t="str">
        <f>_xlfn.XLOOKUP(ocupacao[[#This Row],[UnidadeID]],unidades!$A:$A,unidades!$C:$C,"",0)</f>
        <v>São João de Meriti</v>
      </c>
      <c r="O950" s="1" t="str">
        <f>_xlfn.XLOOKUP(ocupacao[[#This Row],[EspecialidadeID]],especialidades!$A:$A,especialidades!$B:$B,"",0)</f>
        <v>ELETROENCEFALOGRAMA</v>
      </c>
      <c r="P950" s="1" t="str">
        <f>TEXT(WEEKDAY(ocupacao[[#This Row],[Data]]),"ddd")</f>
        <v>qui</v>
      </c>
      <c r="Q950" s="1">
        <f t="shared" si="14"/>
        <v>0</v>
      </c>
    </row>
    <row r="951" spans="1:17" x14ac:dyDescent="0.25">
      <c r="A951" s="2">
        <v>44743</v>
      </c>
      <c r="B951">
        <v>24</v>
      </c>
      <c r="C951">
        <v>46</v>
      </c>
      <c r="D951">
        <v>55</v>
      </c>
      <c r="E951">
        <v>17907</v>
      </c>
      <c r="F951" s="1" t="s">
        <v>304</v>
      </c>
      <c r="G951">
        <v>0</v>
      </c>
      <c r="H951">
        <v>0</v>
      </c>
      <c r="I951">
        <v>22</v>
      </c>
      <c r="J951">
        <v>22</v>
      </c>
      <c r="K951" s="33">
        <v>0</v>
      </c>
      <c r="L951" s="1"/>
      <c r="M951" s="1" t="str">
        <f>_xlfn.XLOOKUP(ocupacao[[#This Row],[UnidadeID]],unidades!$A:$A,unidades!$B:$B,"",0)</f>
        <v>Nilópolis</v>
      </c>
      <c r="N951" s="1" t="str">
        <f>_xlfn.XLOOKUP(ocupacao[[#This Row],[UnidadeID]],unidades!$A:$A,unidades!$C:$C,"",0)</f>
        <v>Nilópolis</v>
      </c>
      <c r="O951" s="1" t="str">
        <f>_xlfn.XLOOKUP(ocupacao[[#This Row],[EspecialidadeID]],especialidades!$A:$A,especialidades!$B:$B,"",0)</f>
        <v>ELETROENCEFALOGRAMA</v>
      </c>
      <c r="P951" s="1" t="str">
        <f>TEXT(WEEKDAY(ocupacao[[#This Row],[Data]]),"ddd")</f>
        <v>sex</v>
      </c>
      <c r="Q951" s="1">
        <f t="shared" si="14"/>
        <v>0</v>
      </c>
    </row>
    <row r="952" spans="1:17" x14ac:dyDescent="0.25">
      <c r="A952" s="2">
        <v>44743</v>
      </c>
      <c r="B952">
        <v>0</v>
      </c>
      <c r="C952">
        <v>46</v>
      </c>
      <c r="D952">
        <v>25</v>
      </c>
      <c r="E952">
        <v>17908</v>
      </c>
      <c r="F952" s="1" t="s">
        <v>305</v>
      </c>
      <c r="G952">
        <v>0</v>
      </c>
      <c r="H952">
        <v>0</v>
      </c>
      <c r="I952">
        <v>24</v>
      </c>
      <c r="J952">
        <v>24</v>
      </c>
      <c r="K952" s="33">
        <v>0</v>
      </c>
      <c r="L952" s="1"/>
      <c r="M952" s="1" t="str">
        <f>_xlfn.XLOOKUP(ocupacao[[#This Row],[UnidadeID]],unidades!$A:$A,unidades!$B:$B,"",0)</f>
        <v>Matriz</v>
      </c>
      <c r="N952" s="1" t="str">
        <f>_xlfn.XLOOKUP(ocupacao[[#This Row],[UnidadeID]],unidades!$A:$A,unidades!$C:$C,"",0)</f>
        <v>Nova Iguaçu</v>
      </c>
      <c r="O952" s="1" t="str">
        <f>_xlfn.XLOOKUP(ocupacao[[#This Row],[EspecialidadeID]],especialidades!$A:$A,especialidades!$B:$B,"",0)</f>
        <v>ELETROENCEFALOGRAMA</v>
      </c>
      <c r="P952" s="1" t="str">
        <f>TEXT(WEEKDAY(ocupacao[[#This Row],[Data]]),"ddd")</f>
        <v>sex</v>
      </c>
      <c r="Q952" s="1">
        <f t="shared" si="14"/>
        <v>0</v>
      </c>
    </row>
    <row r="953" spans="1:17" x14ac:dyDescent="0.25">
      <c r="A953" s="2">
        <v>44743</v>
      </c>
      <c r="B953">
        <v>34</v>
      </c>
      <c r="C953">
        <v>46</v>
      </c>
      <c r="D953">
        <v>380</v>
      </c>
      <c r="E953">
        <v>18021</v>
      </c>
      <c r="F953" s="1" t="s">
        <v>796</v>
      </c>
      <c r="G953">
        <v>0</v>
      </c>
      <c r="H953">
        <v>0</v>
      </c>
      <c r="I953">
        <v>22</v>
      </c>
      <c r="J953">
        <v>22</v>
      </c>
      <c r="K953" s="33">
        <v>0</v>
      </c>
      <c r="L953" s="1"/>
      <c r="M953" s="1" t="str">
        <f>_xlfn.XLOOKUP(ocupacao[[#This Row],[UnidadeID]],unidades!$A:$A,unidades!$B:$B,"",0)</f>
        <v>São João</v>
      </c>
      <c r="N953" s="1" t="str">
        <f>_xlfn.XLOOKUP(ocupacao[[#This Row],[UnidadeID]],unidades!$A:$A,unidades!$C:$C,"",0)</f>
        <v>São João de Meriti</v>
      </c>
      <c r="O953" s="1" t="str">
        <f>_xlfn.XLOOKUP(ocupacao[[#This Row],[EspecialidadeID]],especialidades!$A:$A,especialidades!$B:$B,"",0)</f>
        <v>ELETROENCEFALOGRAMA</v>
      </c>
      <c r="P953" s="1" t="str">
        <f>TEXT(WEEKDAY(ocupacao[[#This Row],[Data]]),"ddd")</f>
        <v>sex</v>
      </c>
      <c r="Q953" s="1">
        <f t="shared" si="14"/>
        <v>0</v>
      </c>
    </row>
    <row r="954" spans="1:17" x14ac:dyDescent="0.25">
      <c r="A954" s="2"/>
      <c r="F954" s="1" t="s">
        <v>106</v>
      </c>
      <c r="K954" s="33"/>
      <c r="L954" s="1"/>
      <c r="M954" s="1">
        <f>_xlfn.XLOOKUP(ocupacao[[#This Row],[UnidadeID]],unidades!$A:$A,unidades!$B:$B,"",0)</f>
        <v>0</v>
      </c>
      <c r="N954" s="1">
        <f>_xlfn.XLOOKUP(ocupacao[[#This Row],[UnidadeID]],unidades!$A:$A,unidades!$C:$C,"",0)</f>
        <v>0</v>
      </c>
      <c r="O954" s="1">
        <f>_xlfn.XLOOKUP(ocupacao[[#This Row],[EspecialidadeID]],especialidades!$A:$A,especialidades!$B:$B,"",0)</f>
        <v>0</v>
      </c>
      <c r="P954" s="1" t="str">
        <f>TEXT(WEEKDAY(ocupacao[[#This Row],[Data]]),"ddd")</f>
        <v>sáb</v>
      </c>
      <c r="Q954" s="1">
        <f t="shared" si="14"/>
        <v>0</v>
      </c>
    </row>
    <row r="955" spans="1:17" hidden="1" x14ac:dyDescent="0.25">
      <c r="A955" s="2"/>
      <c r="F955" s="1"/>
      <c r="K955" s="33"/>
      <c r="L955" s="1"/>
      <c r="M955" s="1"/>
      <c r="N955" s="1"/>
      <c r="O955" s="1"/>
      <c r="P955" s="1"/>
      <c r="Q955" s="1"/>
    </row>
    <row r="956" spans="1:17" hidden="1" x14ac:dyDescent="0.25">
      <c r="A956" s="2"/>
      <c r="F956" s="1"/>
      <c r="K956" s="33"/>
      <c r="L956" s="1"/>
      <c r="M956" s="1"/>
      <c r="N956" s="1"/>
      <c r="O956" s="1"/>
      <c r="P956" s="1"/>
      <c r="Q956" s="1"/>
    </row>
    <row r="957" spans="1:17" hidden="1" x14ac:dyDescent="0.25">
      <c r="A957" s="2"/>
      <c r="F957" s="1"/>
      <c r="K957" s="33"/>
      <c r="L957" s="1"/>
      <c r="M957" s="1"/>
      <c r="N957" s="1"/>
      <c r="O957" s="1"/>
      <c r="P957" s="1"/>
      <c r="Q957" s="1"/>
    </row>
    <row r="958" spans="1:17" hidden="1" x14ac:dyDescent="0.25">
      <c r="A958" s="2"/>
      <c r="F958" s="1"/>
      <c r="K958" s="33"/>
      <c r="L958" s="1"/>
      <c r="M958" s="1"/>
      <c r="N958" s="1"/>
      <c r="O958" s="1"/>
      <c r="P958" s="1"/>
      <c r="Q958" s="1"/>
    </row>
    <row r="959" spans="1:17" hidden="1" x14ac:dyDescent="0.25">
      <c r="A959" s="2"/>
      <c r="F959" s="1"/>
      <c r="K959" s="33"/>
      <c r="L959" s="1"/>
      <c r="M959" s="1"/>
      <c r="N959" s="1"/>
      <c r="O959" s="1"/>
      <c r="P959" s="1"/>
      <c r="Q959" s="1"/>
    </row>
    <row r="960" spans="1:17" hidden="1" x14ac:dyDescent="0.25">
      <c r="A960" s="2"/>
      <c r="F960" s="1"/>
      <c r="K960" s="33"/>
      <c r="L960" s="1"/>
      <c r="M960" s="1"/>
      <c r="N960" s="1"/>
      <c r="O960" s="1"/>
      <c r="P960" s="1"/>
      <c r="Q960" s="1"/>
    </row>
    <row r="961" spans="1:17" hidden="1" x14ac:dyDescent="0.25">
      <c r="A961" s="2"/>
      <c r="F961" s="1"/>
      <c r="K961" s="33"/>
      <c r="L961" s="1"/>
      <c r="M961" s="1"/>
      <c r="N961" s="1"/>
      <c r="O961" s="1"/>
      <c r="P961" s="1"/>
      <c r="Q961" s="1"/>
    </row>
    <row r="962" spans="1:17" hidden="1" x14ac:dyDescent="0.25">
      <c r="A962" s="2"/>
      <c r="F962" s="1"/>
      <c r="K962" s="33"/>
      <c r="L962" s="1"/>
      <c r="M962" s="1"/>
      <c r="N962" s="1"/>
      <c r="O962" s="1"/>
      <c r="P962" s="1"/>
      <c r="Q962" s="1"/>
    </row>
    <row r="963" spans="1:17" hidden="1" x14ac:dyDescent="0.25">
      <c r="A963" s="2"/>
      <c r="F963" s="1"/>
      <c r="K963" s="33"/>
      <c r="L963" s="1"/>
      <c r="M963" s="1"/>
      <c r="N963" s="1"/>
      <c r="O963" s="1"/>
      <c r="P963" s="1"/>
      <c r="Q963" s="1"/>
    </row>
    <row r="964" spans="1:17" x14ac:dyDescent="0.25">
      <c r="A964" s="2">
        <v>44743</v>
      </c>
      <c r="B964">
        <v>33</v>
      </c>
      <c r="C964">
        <v>52</v>
      </c>
      <c r="D964">
        <v>368</v>
      </c>
      <c r="E964">
        <v>8223</v>
      </c>
      <c r="F964" s="1" t="s">
        <v>298</v>
      </c>
      <c r="G964">
        <v>0</v>
      </c>
      <c r="H964">
        <v>0</v>
      </c>
      <c r="I964">
        <v>41</v>
      </c>
      <c r="J964">
        <v>41</v>
      </c>
      <c r="K964" s="33">
        <v>0</v>
      </c>
      <c r="L964" s="1"/>
      <c r="M964" s="1" t="str">
        <f>_xlfn.XLOOKUP(ocupacao[[#This Row],[UnidadeID]],unidades!$A:$A,unidades!$B:$B,"",0)</f>
        <v>Seggastro</v>
      </c>
      <c r="N964" s="1" t="str">
        <f>_xlfn.XLOOKUP(ocupacao[[#This Row],[UnidadeID]],unidades!$A:$A,unidades!$C:$C,"",0)</f>
        <v>Nova Iguaçu</v>
      </c>
      <c r="O964" s="1" t="str">
        <f>_xlfn.XLOOKUP(ocupacao[[#This Row],[EspecialidadeID]],especialidades!$A:$A,especialidades!$B:$B,"",0)</f>
        <v>COLONOSCOPIA</v>
      </c>
      <c r="P964" s="1" t="str">
        <f>TEXT(WEEKDAY(ocupacao[[#This Row],[Data]]),"ddd")</f>
        <v>sex</v>
      </c>
      <c r="Q964" s="1">
        <f t="shared" ref="Q964:Q1025" si="15">IF(F964=F965,1,0)</f>
        <v>0</v>
      </c>
    </row>
    <row r="965" spans="1:17" x14ac:dyDescent="0.25">
      <c r="A965" s="2"/>
      <c r="F965" s="1" t="s">
        <v>106</v>
      </c>
      <c r="K965" s="33"/>
      <c r="L965" s="1"/>
      <c r="M965" s="1">
        <f>_xlfn.XLOOKUP(ocupacao[[#This Row],[UnidadeID]],unidades!$A:$A,unidades!$B:$B,"",0)</f>
        <v>0</v>
      </c>
      <c r="N965" s="1">
        <f>_xlfn.XLOOKUP(ocupacao[[#This Row],[UnidadeID]],unidades!$A:$A,unidades!$C:$C,"",0)</f>
        <v>0</v>
      </c>
      <c r="O965" s="1">
        <f>_xlfn.XLOOKUP(ocupacao[[#This Row],[EspecialidadeID]],especialidades!$A:$A,especialidades!$B:$B,"",0)</f>
        <v>0</v>
      </c>
      <c r="P965" s="1" t="str">
        <f>TEXT(WEEKDAY(ocupacao[[#This Row],[Data]]),"ddd")</f>
        <v>sáb</v>
      </c>
      <c r="Q965" s="1">
        <f t="shared" si="15"/>
        <v>0</v>
      </c>
    </row>
    <row r="966" spans="1:17" x14ac:dyDescent="0.25">
      <c r="A966" s="2">
        <v>44734</v>
      </c>
      <c r="B966">
        <v>22</v>
      </c>
      <c r="C966">
        <v>59</v>
      </c>
      <c r="D966">
        <v>44</v>
      </c>
      <c r="E966">
        <v>5767</v>
      </c>
      <c r="F966" s="1" t="s">
        <v>134</v>
      </c>
      <c r="G966">
        <v>0</v>
      </c>
      <c r="H966">
        <v>14</v>
      </c>
      <c r="I966">
        <v>2</v>
      </c>
      <c r="J966">
        <v>16</v>
      </c>
      <c r="K966" s="33">
        <v>0.875</v>
      </c>
      <c r="L966" s="1"/>
      <c r="M966" s="1" t="str">
        <f>_xlfn.XLOOKUP(ocupacao[[#This Row],[UnidadeID]],unidades!$A:$A,unidades!$B:$B,"",0)</f>
        <v>Filial 1</v>
      </c>
      <c r="N966" s="1" t="str">
        <f>_xlfn.XLOOKUP(ocupacao[[#This Row],[UnidadeID]],unidades!$A:$A,unidades!$C:$C,"",0)</f>
        <v>Nova Iguaçu</v>
      </c>
      <c r="O966" s="1" t="str">
        <f>_xlfn.XLOOKUP(ocupacao[[#This Row],[EspecialidadeID]],especialidades!$A:$A,especialidades!$B:$B,"",0)</f>
        <v>HEMATOLOGIA</v>
      </c>
      <c r="P966" s="1" t="str">
        <f>TEXT(WEEKDAY(ocupacao[[#This Row],[Data]]),"ddd")</f>
        <v>qua</v>
      </c>
      <c r="Q966" s="1">
        <f t="shared" si="15"/>
        <v>1</v>
      </c>
    </row>
    <row r="967" spans="1:17" x14ac:dyDescent="0.25">
      <c r="A967" s="2">
        <v>44741</v>
      </c>
      <c r="B967">
        <v>22</v>
      </c>
      <c r="C967">
        <v>59</v>
      </c>
      <c r="D967">
        <v>44</v>
      </c>
      <c r="E967">
        <v>5767</v>
      </c>
      <c r="F967" s="1" t="s">
        <v>134</v>
      </c>
      <c r="G967">
        <v>0</v>
      </c>
      <c r="H967">
        <v>6</v>
      </c>
      <c r="I967">
        <v>9</v>
      </c>
      <c r="J967">
        <v>15</v>
      </c>
      <c r="K967" s="33">
        <v>0.4</v>
      </c>
      <c r="L967" s="1"/>
      <c r="M967" s="1" t="str">
        <f>_xlfn.XLOOKUP(ocupacao[[#This Row],[UnidadeID]],unidades!$A:$A,unidades!$B:$B,"",0)</f>
        <v>Filial 1</v>
      </c>
      <c r="N967" s="1" t="str">
        <f>_xlfn.XLOOKUP(ocupacao[[#This Row],[UnidadeID]],unidades!$A:$A,unidades!$C:$C,"",0)</f>
        <v>Nova Iguaçu</v>
      </c>
      <c r="O967" s="1" t="str">
        <f>_xlfn.XLOOKUP(ocupacao[[#This Row],[EspecialidadeID]],especialidades!$A:$A,especialidades!$B:$B,"",0)</f>
        <v>HEMATOLOGIA</v>
      </c>
      <c r="P967" s="1" t="str">
        <f>TEXT(WEEKDAY(ocupacao[[#This Row],[Data]]),"ddd")</f>
        <v>qua</v>
      </c>
      <c r="Q967" s="1">
        <f t="shared" si="15"/>
        <v>0</v>
      </c>
    </row>
    <row r="968" spans="1:17" x14ac:dyDescent="0.25">
      <c r="A968" s="2"/>
      <c r="F968" s="1" t="s">
        <v>106</v>
      </c>
      <c r="K968" s="33"/>
      <c r="L968" s="1"/>
      <c r="M968" s="1">
        <f>_xlfn.XLOOKUP(ocupacao[[#This Row],[UnidadeID]],unidades!$A:$A,unidades!$B:$B,"",0)</f>
        <v>0</v>
      </c>
      <c r="N968" s="1">
        <f>_xlfn.XLOOKUP(ocupacao[[#This Row],[UnidadeID]],unidades!$A:$A,unidades!$C:$C,"",0)</f>
        <v>0</v>
      </c>
      <c r="O968" s="1">
        <f>_xlfn.XLOOKUP(ocupacao[[#This Row],[EspecialidadeID]],especialidades!$A:$A,especialidades!$B:$B,"",0)</f>
        <v>0</v>
      </c>
      <c r="P968" s="1" t="str">
        <f>TEXT(WEEKDAY(ocupacao[[#This Row],[Data]]),"ddd")</f>
        <v>sáb</v>
      </c>
      <c r="Q968" s="1">
        <f t="shared" si="15"/>
        <v>0</v>
      </c>
    </row>
    <row r="969" spans="1:17" hidden="1" x14ac:dyDescent="0.25">
      <c r="A969" s="2"/>
      <c r="F969" s="1"/>
      <c r="K969" s="33"/>
      <c r="L969" s="1"/>
      <c r="M969" s="1"/>
      <c r="N969" s="1"/>
      <c r="O969" s="1"/>
      <c r="P969" s="1"/>
      <c r="Q969" s="1"/>
    </row>
    <row r="970" spans="1:17" x14ac:dyDescent="0.25">
      <c r="A970" s="2">
        <v>44733</v>
      </c>
      <c r="B970">
        <v>0</v>
      </c>
      <c r="C970">
        <v>68</v>
      </c>
      <c r="D970">
        <v>344</v>
      </c>
      <c r="E970">
        <v>9138</v>
      </c>
      <c r="F970" s="1" t="s">
        <v>319</v>
      </c>
      <c r="G970">
        <v>0</v>
      </c>
      <c r="H970">
        <v>9</v>
      </c>
      <c r="I970">
        <v>7</v>
      </c>
      <c r="J970">
        <v>16</v>
      </c>
      <c r="K970" s="33">
        <v>0.5625</v>
      </c>
      <c r="L970" s="1"/>
      <c r="M970" s="1" t="str">
        <f>_xlfn.XLOOKUP(ocupacao[[#This Row],[UnidadeID]],unidades!$A:$A,unidades!$B:$B,"",0)</f>
        <v>Matriz</v>
      </c>
      <c r="N970" s="1" t="str">
        <f>_xlfn.XLOOKUP(ocupacao[[#This Row],[UnidadeID]],unidades!$A:$A,unidades!$C:$C,"",0)</f>
        <v>Nova Iguaçu</v>
      </c>
      <c r="O970" s="1" t="str">
        <f>_xlfn.XLOOKUP(ocupacao[[#This Row],[EspecialidadeID]],especialidades!$A:$A,especialidades!$B:$B,"",0)</f>
        <v>CIRURGIA GERAL</v>
      </c>
      <c r="P970" s="1" t="str">
        <f>TEXT(WEEKDAY(ocupacao[[#This Row],[Data]]),"ddd")</f>
        <v>ter</v>
      </c>
      <c r="Q970" s="1">
        <f t="shared" si="15"/>
        <v>0</v>
      </c>
    </row>
    <row r="971" spans="1:17" hidden="1" x14ac:dyDescent="0.25">
      <c r="A971" s="2"/>
      <c r="F971" s="1"/>
      <c r="K971" s="33"/>
      <c r="L971" s="1"/>
      <c r="M971" s="1"/>
      <c r="N971" s="1"/>
      <c r="O971" s="1"/>
      <c r="P971" s="1"/>
      <c r="Q971" s="1"/>
    </row>
    <row r="972" spans="1:17" x14ac:dyDescent="0.25">
      <c r="A972" s="2">
        <v>44740</v>
      </c>
      <c r="B972">
        <v>0</v>
      </c>
      <c r="C972">
        <v>68</v>
      </c>
      <c r="D972">
        <v>344</v>
      </c>
      <c r="E972">
        <v>9138</v>
      </c>
      <c r="F972" s="1" t="s">
        <v>319</v>
      </c>
      <c r="G972">
        <v>0</v>
      </c>
      <c r="H972">
        <v>2</v>
      </c>
      <c r="I972">
        <v>14</v>
      </c>
      <c r="J972">
        <v>16</v>
      </c>
      <c r="K972" s="33">
        <v>0.125</v>
      </c>
      <c r="L972" s="1"/>
      <c r="M972" s="1" t="str">
        <f>_xlfn.XLOOKUP(ocupacao[[#This Row],[UnidadeID]],unidades!$A:$A,unidades!$B:$B,"",0)</f>
        <v>Matriz</v>
      </c>
      <c r="N972" s="1" t="str">
        <f>_xlfn.XLOOKUP(ocupacao[[#This Row],[UnidadeID]],unidades!$A:$A,unidades!$C:$C,"",0)</f>
        <v>Nova Iguaçu</v>
      </c>
      <c r="O972" s="1" t="str">
        <f>_xlfn.XLOOKUP(ocupacao[[#This Row],[EspecialidadeID]],especialidades!$A:$A,especialidades!$B:$B,"",0)</f>
        <v>CIRURGIA GERAL</v>
      </c>
      <c r="P972" s="1" t="str">
        <f>TEXT(WEEKDAY(ocupacao[[#This Row],[Data]]),"ddd")</f>
        <v>ter</v>
      </c>
      <c r="Q972" s="1">
        <f t="shared" si="15"/>
        <v>0</v>
      </c>
    </row>
    <row r="973" spans="1:17" x14ac:dyDescent="0.25">
      <c r="A973" s="2"/>
      <c r="F973" s="1" t="s">
        <v>106</v>
      </c>
      <c r="K973" s="33"/>
      <c r="L973" s="1"/>
      <c r="M973" s="1">
        <f>_xlfn.XLOOKUP(ocupacao[[#This Row],[UnidadeID]],unidades!$A:$A,unidades!$B:$B,"",0)</f>
        <v>0</v>
      </c>
      <c r="N973" s="1">
        <f>_xlfn.XLOOKUP(ocupacao[[#This Row],[UnidadeID]],unidades!$A:$A,unidades!$C:$C,"",0)</f>
        <v>0</v>
      </c>
      <c r="O973" s="1">
        <f>_xlfn.XLOOKUP(ocupacao[[#This Row],[EspecialidadeID]],especialidades!$A:$A,especialidades!$B:$B,"",0)</f>
        <v>0</v>
      </c>
      <c r="P973" s="1" t="str">
        <f>TEXT(WEEKDAY(ocupacao[[#This Row],[Data]]),"ddd")</f>
        <v>sáb</v>
      </c>
      <c r="Q973" s="1">
        <f t="shared" si="15"/>
        <v>0</v>
      </c>
    </row>
    <row r="974" spans="1:17" x14ac:dyDescent="0.25">
      <c r="A974" s="2">
        <v>44733</v>
      </c>
      <c r="B974">
        <v>22</v>
      </c>
      <c r="C974">
        <v>71</v>
      </c>
      <c r="D974">
        <v>50</v>
      </c>
      <c r="E974">
        <v>54</v>
      </c>
      <c r="F974" s="1" t="s">
        <v>87</v>
      </c>
      <c r="G974">
        <v>0</v>
      </c>
      <c r="H974">
        <v>10</v>
      </c>
      <c r="I974">
        <v>12</v>
      </c>
      <c r="J974">
        <v>22</v>
      </c>
      <c r="K974" s="33">
        <v>0.45450000000000002</v>
      </c>
      <c r="L974" s="1"/>
      <c r="M974" s="1" t="str">
        <f>_xlfn.XLOOKUP(ocupacao[[#This Row],[UnidadeID]],unidades!$A:$A,unidades!$B:$B,"",0)</f>
        <v>Filial 1</v>
      </c>
      <c r="N974" s="1" t="str">
        <f>_xlfn.XLOOKUP(ocupacao[[#This Row],[UnidadeID]],unidades!$A:$A,unidades!$C:$C,"",0)</f>
        <v>Nova Iguaçu</v>
      </c>
      <c r="O974" s="1" t="str">
        <f>_xlfn.XLOOKUP(ocupacao[[#This Row],[EspecialidadeID]],especialidades!$A:$A,especialidades!$B:$B,"",0)</f>
        <v>AUDIOMETRIA</v>
      </c>
      <c r="P974" s="1" t="str">
        <f>TEXT(WEEKDAY(ocupacao[[#This Row],[Data]]),"ddd")</f>
        <v>ter</v>
      </c>
      <c r="Q974" s="1">
        <f t="shared" si="15"/>
        <v>1</v>
      </c>
    </row>
    <row r="975" spans="1:17" x14ac:dyDescent="0.25">
      <c r="A975" s="2">
        <v>44734</v>
      </c>
      <c r="B975">
        <v>22</v>
      </c>
      <c r="C975">
        <v>71</v>
      </c>
      <c r="D975">
        <v>50</v>
      </c>
      <c r="E975">
        <v>54</v>
      </c>
      <c r="F975" s="1" t="s">
        <v>87</v>
      </c>
      <c r="G975">
        <v>0</v>
      </c>
      <c r="H975">
        <v>9</v>
      </c>
      <c r="I975">
        <v>3</v>
      </c>
      <c r="J975">
        <v>12</v>
      </c>
      <c r="K975" s="33">
        <v>0.75</v>
      </c>
      <c r="L975" s="1"/>
      <c r="M975" s="1" t="str">
        <f>_xlfn.XLOOKUP(ocupacao[[#This Row],[UnidadeID]],unidades!$A:$A,unidades!$B:$B,"",0)</f>
        <v>Filial 1</v>
      </c>
      <c r="N975" s="1" t="str">
        <f>_xlfn.XLOOKUP(ocupacao[[#This Row],[UnidadeID]],unidades!$A:$A,unidades!$C:$C,"",0)</f>
        <v>Nova Iguaçu</v>
      </c>
      <c r="O975" s="1" t="str">
        <f>_xlfn.XLOOKUP(ocupacao[[#This Row],[EspecialidadeID]],especialidades!$A:$A,especialidades!$B:$B,"",0)</f>
        <v>AUDIOMETRIA</v>
      </c>
      <c r="P975" s="1" t="str">
        <f>TEXT(WEEKDAY(ocupacao[[#This Row],[Data]]),"ddd")</f>
        <v>qua</v>
      </c>
      <c r="Q975" s="1">
        <f t="shared" si="15"/>
        <v>1</v>
      </c>
    </row>
    <row r="976" spans="1:17" x14ac:dyDescent="0.25">
      <c r="A976" s="2">
        <v>44735</v>
      </c>
      <c r="B976">
        <v>22</v>
      </c>
      <c r="C976">
        <v>71</v>
      </c>
      <c r="D976">
        <v>50</v>
      </c>
      <c r="E976">
        <v>54</v>
      </c>
      <c r="F976" s="1" t="s">
        <v>87</v>
      </c>
      <c r="G976">
        <v>0</v>
      </c>
      <c r="H976">
        <v>1</v>
      </c>
      <c r="I976">
        <v>16</v>
      </c>
      <c r="J976">
        <v>17</v>
      </c>
      <c r="K976" s="33">
        <v>5.8799999999999998E-2</v>
      </c>
      <c r="L976" s="1"/>
      <c r="M976" s="1" t="str">
        <f>_xlfn.XLOOKUP(ocupacao[[#This Row],[UnidadeID]],unidades!$A:$A,unidades!$B:$B,"",0)</f>
        <v>Filial 1</v>
      </c>
      <c r="N976" s="1" t="str">
        <f>_xlfn.XLOOKUP(ocupacao[[#This Row],[UnidadeID]],unidades!$A:$A,unidades!$C:$C,"",0)</f>
        <v>Nova Iguaçu</v>
      </c>
      <c r="O976" s="1" t="str">
        <f>_xlfn.XLOOKUP(ocupacao[[#This Row],[EspecialidadeID]],especialidades!$A:$A,especialidades!$B:$B,"",0)</f>
        <v>AUDIOMETRIA</v>
      </c>
      <c r="P976" s="1" t="str">
        <f>TEXT(WEEKDAY(ocupacao[[#This Row],[Data]]),"ddd")</f>
        <v>qui</v>
      </c>
      <c r="Q976" s="1">
        <f t="shared" si="15"/>
        <v>0</v>
      </c>
    </row>
    <row r="977" spans="1:17" hidden="1" x14ac:dyDescent="0.25">
      <c r="A977" s="2"/>
      <c r="F977" s="1"/>
      <c r="K977" s="33"/>
      <c r="L977" s="1"/>
      <c r="M977" s="1"/>
      <c r="N977" s="1"/>
      <c r="O977" s="1"/>
      <c r="P977" s="1"/>
      <c r="Q977" s="1"/>
    </row>
    <row r="978" spans="1:17" x14ac:dyDescent="0.25">
      <c r="A978" s="2">
        <v>44737</v>
      </c>
      <c r="B978">
        <v>22</v>
      </c>
      <c r="C978">
        <v>71</v>
      </c>
      <c r="D978">
        <v>50</v>
      </c>
      <c r="E978">
        <v>54</v>
      </c>
      <c r="F978" s="1" t="s">
        <v>87</v>
      </c>
      <c r="G978">
        <v>0</v>
      </c>
      <c r="H978">
        <v>4</v>
      </c>
      <c r="I978">
        <v>5</v>
      </c>
      <c r="J978">
        <v>9</v>
      </c>
      <c r="K978" s="33">
        <v>0.44440000000000002</v>
      </c>
      <c r="L978" s="1"/>
      <c r="M978" s="1" t="str">
        <f>_xlfn.XLOOKUP(ocupacao[[#This Row],[UnidadeID]],unidades!$A:$A,unidades!$B:$B,"",0)</f>
        <v>Filial 1</v>
      </c>
      <c r="N978" s="1" t="str">
        <f>_xlfn.XLOOKUP(ocupacao[[#This Row],[UnidadeID]],unidades!$A:$A,unidades!$C:$C,"",0)</f>
        <v>Nova Iguaçu</v>
      </c>
      <c r="O978" s="1" t="str">
        <f>_xlfn.XLOOKUP(ocupacao[[#This Row],[EspecialidadeID]],especialidades!$A:$A,especialidades!$B:$B,"",0)</f>
        <v>AUDIOMETRIA</v>
      </c>
      <c r="P978" s="1" t="str">
        <f>TEXT(WEEKDAY(ocupacao[[#This Row],[Data]]),"ddd")</f>
        <v>sáb</v>
      </c>
      <c r="Q978" s="1">
        <f t="shared" si="15"/>
        <v>0</v>
      </c>
    </row>
    <row r="979" spans="1:17" hidden="1" x14ac:dyDescent="0.25">
      <c r="A979" s="2"/>
      <c r="F979" s="1"/>
      <c r="K979" s="33"/>
      <c r="L979" s="1"/>
      <c r="M979" s="1"/>
      <c r="N979" s="1"/>
      <c r="O979" s="1"/>
      <c r="P979" s="1"/>
      <c r="Q979" s="1"/>
    </row>
    <row r="980" spans="1:17" hidden="1" x14ac:dyDescent="0.25">
      <c r="A980" s="2"/>
      <c r="F980" s="1"/>
      <c r="K980" s="33"/>
      <c r="L980" s="1"/>
      <c r="M980" s="1"/>
      <c r="N980" s="1"/>
      <c r="O980" s="1"/>
      <c r="P980" s="1"/>
      <c r="Q980" s="1"/>
    </row>
    <row r="981" spans="1:17" x14ac:dyDescent="0.25">
      <c r="A981" s="2">
        <v>44741</v>
      </c>
      <c r="B981">
        <v>22</v>
      </c>
      <c r="C981">
        <v>71</v>
      </c>
      <c r="D981">
        <v>50</v>
      </c>
      <c r="E981">
        <v>54</v>
      </c>
      <c r="F981" s="1" t="s">
        <v>87</v>
      </c>
      <c r="G981">
        <v>0</v>
      </c>
      <c r="H981">
        <v>1</v>
      </c>
      <c r="I981">
        <v>11</v>
      </c>
      <c r="J981">
        <v>12</v>
      </c>
      <c r="K981" s="33">
        <v>8.3299999999999999E-2</v>
      </c>
      <c r="L981" s="1"/>
      <c r="M981" s="1" t="str">
        <f>_xlfn.XLOOKUP(ocupacao[[#This Row],[UnidadeID]],unidades!$A:$A,unidades!$B:$B,"",0)</f>
        <v>Filial 1</v>
      </c>
      <c r="N981" s="1" t="str">
        <f>_xlfn.XLOOKUP(ocupacao[[#This Row],[UnidadeID]],unidades!$A:$A,unidades!$C:$C,"",0)</f>
        <v>Nova Iguaçu</v>
      </c>
      <c r="O981" s="1" t="str">
        <f>_xlfn.XLOOKUP(ocupacao[[#This Row],[EspecialidadeID]],especialidades!$A:$A,especialidades!$B:$B,"",0)</f>
        <v>AUDIOMETRIA</v>
      </c>
      <c r="P981" s="1" t="str">
        <f>TEXT(WEEKDAY(ocupacao[[#This Row],[Data]]),"ddd")</f>
        <v>qua</v>
      </c>
      <c r="Q981" s="1">
        <f t="shared" si="15"/>
        <v>1</v>
      </c>
    </row>
    <row r="982" spans="1:17" hidden="1" x14ac:dyDescent="0.25">
      <c r="A982" s="2">
        <v>44742</v>
      </c>
      <c r="B982">
        <v>22</v>
      </c>
      <c r="C982">
        <v>71</v>
      </c>
      <c r="D982">
        <v>50</v>
      </c>
      <c r="E982">
        <v>54</v>
      </c>
      <c r="F982" s="1" t="s">
        <v>87</v>
      </c>
      <c r="G982">
        <v>0</v>
      </c>
      <c r="H982">
        <v>1</v>
      </c>
      <c r="I982">
        <v>16</v>
      </c>
      <c r="J982">
        <v>17</v>
      </c>
      <c r="K982" s="33">
        <v>5.8799999999999998E-2</v>
      </c>
      <c r="L982" s="1"/>
      <c r="M982" s="1"/>
      <c r="N982" s="1"/>
      <c r="O982" s="1"/>
      <c r="P982" s="1"/>
      <c r="Q982" s="1"/>
    </row>
    <row r="983" spans="1:17" hidden="1" x14ac:dyDescent="0.25">
      <c r="A983" s="2">
        <v>44743</v>
      </c>
      <c r="B983">
        <v>22</v>
      </c>
      <c r="C983">
        <v>71</v>
      </c>
      <c r="D983">
        <v>50</v>
      </c>
      <c r="E983">
        <v>54</v>
      </c>
      <c r="F983" s="1" t="s">
        <v>87</v>
      </c>
      <c r="G983">
        <v>0</v>
      </c>
      <c r="H983">
        <v>0</v>
      </c>
      <c r="I983">
        <v>22</v>
      </c>
      <c r="J983">
        <v>22</v>
      </c>
      <c r="K983" s="33">
        <v>0</v>
      </c>
      <c r="L983" s="1"/>
      <c r="M983" s="1"/>
      <c r="N983" s="1"/>
      <c r="O983" s="1"/>
      <c r="P983" s="1"/>
      <c r="Q983" s="1"/>
    </row>
    <row r="984" spans="1:17" hidden="1" x14ac:dyDescent="0.25">
      <c r="A984" s="2"/>
      <c r="F984" s="1" t="s">
        <v>106</v>
      </c>
      <c r="K984" s="33"/>
      <c r="L984" s="1"/>
      <c r="M984" s="1"/>
      <c r="N984" s="1"/>
      <c r="O984" s="1"/>
      <c r="P984" s="1"/>
      <c r="Q984" s="1"/>
    </row>
    <row r="985" spans="1:17" hidden="1" x14ac:dyDescent="0.25">
      <c r="A985" s="2">
        <v>44733</v>
      </c>
      <c r="B985">
        <v>24</v>
      </c>
      <c r="C985">
        <v>74</v>
      </c>
      <c r="D985">
        <v>60</v>
      </c>
      <c r="E985">
        <v>17863</v>
      </c>
      <c r="F985" s="1" t="s">
        <v>150</v>
      </c>
      <c r="G985">
        <v>0</v>
      </c>
      <c r="H985">
        <v>0</v>
      </c>
      <c r="I985">
        <v>59</v>
      </c>
      <c r="J985">
        <v>59</v>
      </c>
      <c r="K985" s="33">
        <v>0</v>
      </c>
      <c r="L985" s="1"/>
      <c r="M985" s="1"/>
      <c r="N985" s="1"/>
      <c r="O985" s="1"/>
      <c r="P985" s="1"/>
      <c r="Q985" s="1"/>
    </row>
    <row r="986" spans="1:17" hidden="1" x14ac:dyDescent="0.25">
      <c r="A986" s="2">
        <v>44740</v>
      </c>
      <c r="B986">
        <v>24</v>
      </c>
      <c r="C986">
        <v>74</v>
      </c>
      <c r="D986">
        <v>60</v>
      </c>
      <c r="E986">
        <v>17863</v>
      </c>
      <c r="F986" s="1" t="s">
        <v>150</v>
      </c>
      <c r="G986">
        <v>0</v>
      </c>
      <c r="H986">
        <v>0</v>
      </c>
      <c r="I986">
        <v>59</v>
      </c>
      <c r="J986">
        <v>59</v>
      </c>
      <c r="K986" s="33">
        <v>0</v>
      </c>
      <c r="L986" s="1"/>
      <c r="M986" s="1"/>
      <c r="N986" s="1"/>
      <c r="O986" s="1"/>
      <c r="P986" s="1"/>
      <c r="Q986" s="1"/>
    </row>
    <row r="987" spans="1:17" hidden="1" x14ac:dyDescent="0.25">
      <c r="A987" s="2"/>
      <c r="F987" s="1" t="s">
        <v>106</v>
      </c>
      <c r="K987" s="33"/>
      <c r="L987" s="1"/>
      <c r="M987" s="1"/>
      <c r="N987" s="1"/>
      <c r="O987" s="1"/>
      <c r="P987" s="1"/>
      <c r="Q987" s="1"/>
    </row>
    <row r="988" spans="1:17" hidden="1" x14ac:dyDescent="0.25">
      <c r="A988" s="2">
        <v>44744</v>
      </c>
      <c r="B988">
        <v>22</v>
      </c>
      <c r="C988">
        <v>1</v>
      </c>
      <c r="D988">
        <v>51</v>
      </c>
      <c r="E988">
        <v>111</v>
      </c>
      <c r="F988" s="1" t="s">
        <v>114</v>
      </c>
      <c r="G988">
        <v>0</v>
      </c>
      <c r="H988">
        <v>0</v>
      </c>
      <c r="I988">
        <v>37</v>
      </c>
      <c r="J988">
        <v>37</v>
      </c>
      <c r="K988" s="33">
        <v>0</v>
      </c>
      <c r="L988" s="1"/>
      <c r="M988" s="1"/>
      <c r="N988" s="1"/>
      <c r="O988" s="1"/>
      <c r="P988" s="1"/>
      <c r="Q988" s="1"/>
    </row>
    <row r="989" spans="1:17" hidden="1" x14ac:dyDescent="0.25">
      <c r="A989" s="2">
        <v>44744</v>
      </c>
      <c r="B989">
        <v>22</v>
      </c>
      <c r="C989">
        <v>1</v>
      </c>
      <c r="D989">
        <v>51</v>
      </c>
      <c r="E989">
        <v>111</v>
      </c>
      <c r="F989" s="1" t="s">
        <v>114</v>
      </c>
      <c r="G989">
        <v>0</v>
      </c>
      <c r="H989">
        <v>14</v>
      </c>
      <c r="I989">
        <v>37</v>
      </c>
      <c r="J989">
        <v>51</v>
      </c>
      <c r="K989" s="33">
        <v>0.27450000000000002</v>
      </c>
      <c r="L989" s="1"/>
      <c r="M989" s="1"/>
      <c r="N989" s="1"/>
      <c r="O989" s="1"/>
      <c r="P989" s="1"/>
      <c r="Q989" s="1"/>
    </row>
    <row r="990" spans="1:17" hidden="1" x14ac:dyDescent="0.25">
      <c r="A990" s="2">
        <v>44746</v>
      </c>
      <c r="B990">
        <v>22</v>
      </c>
      <c r="C990">
        <v>1</v>
      </c>
      <c r="D990">
        <v>51</v>
      </c>
      <c r="E990">
        <v>11241</v>
      </c>
      <c r="F990" s="1" t="s">
        <v>342</v>
      </c>
      <c r="G990">
        <v>0</v>
      </c>
      <c r="H990">
        <v>0</v>
      </c>
      <c r="I990">
        <v>45</v>
      </c>
      <c r="J990">
        <v>45</v>
      </c>
      <c r="K990" s="33">
        <v>0</v>
      </c>
      <c r="L990" s="1"/>
      <c r="M990" s="1"/>
      <c r="N990" s="1"/>
      <c r="O990" s="1"/>
      <c r="P990" s="1"/>
      <c r="Q990" s="1"/>
    </row>
    <row r="991" spans="1:17" x14ac:dyDescent="0.25">
      <c r="A991" s="2">
        <v>44746</v>
      </c>
      <c r="B991">
        <v>22</v>
      </c>
      <c r="C991">
        <v>1</v>
      </c>
      <c r="D991">
        <v>51</v>
      </c>
      <c r="E991">
        <v>11241</v>
      </c>
      <c r="F991" s="1" t="s">
        <v>342</v>
      </c>
      <c r="G991">
        <v>0</v>
      </c>
      <c r="H991">
        <v>3</v>
      </c>
      <c r="I991">
        <v>45</v>
      </c>
      <c r="J991">
        <v>48</v>
      </c>
      <c r="K991" s="33">
        <v>6.25E-2</v>
      </c>
      <c r="L991" s="1"/>
      <c r="M991" s="1" t="str">
        <f>_xlfn.XLOOKUP(ocupacao[[#This Row],[UnidadeID]],unidades!$A:$A,unidades!$B:$B,"",0)</f>
        <v>Filial 1</v>
      </c>
      <c r="N991" s="1" t="str">
        <f>_xlfn.XLOOKUP(ocupacao[[#This Row],[UnidadeID]],unidades!$A:$A,unidades!$C:$C,"",0)</f>
        <v>Nova Iguaçu</v>
      </c>
      <c r="O991" s="1" t="str">
        <f>_xlfn.XLOOKUP(ocupacao[[#This Row],[EspecialidadeID]],especialidades!$A:$A,especialidades!$B:$B,"",0)</f>
        <v>ULTRASSONOGRAFIA</v>
      </c>
      <c r="P991" s="1" t="str">
        <f>TEXT(WEEKDAY(ocupacao[[#This Row],[Data]]),"ddd")</f>
        <v>seg</v>
      </c>
      <c r="Q991" s="1">
        <f t="shared" si="15"/>
        <v>0</v>
      </c>
    </row>
    <row r="992" spans="1:17" hidden="1" x14ac:dyDescent="0.25">
      <c r="A992" s="2"/>
      <c r="F992" s="1"/>
      <c r="K992" s="33"/>
      <c r="L992" s="1"/>
      <c r="M992" s="1"/>
      <c r="N992" s="1"/>
      <c r="O992" s="1"/>
      <c r="P992" s="1"/>
      <c r="Q992" s="1"/>
    </row>
    <row r="993" spans="1:17" x14ac:dyDescent="0.25">
      <c r="A993" s="2">
        <v>44746</v>
      </c>
      <c r="B993">
        <v>22</v>
      </c>
      <c r="C993">
        <v>1</v>
      </c>
      <c r="D993">
        <v>335</v>
      </c>
      <c r="E993">
        <v>13371</v>
      </c>
      <c r="F993" s="1" t="s">
        <v>140</v>
      </c>
      <c r="G993">
        <v>0</v>
      </c>
      <c r="H993">
        <v>1</v>
      </c>
      <c r="I993">
        <v>28</v>
      </c>
      <c r="J993">
        <v>29</v>
      </c>
      <c r="K993" s="33">
        <v>3.4500000000000003E-2</v>
      </c>
      <c r="L993" s="1"/>
      <c r="M993" s="1" t="str">
        <f>_xlfn.XLOOKUP(ocupacao[[#This Row],[UnidadeID]],unidades!$A:$A,unidades!$B:$B,"",0)</f>
        <v>Filial 1</v>
      </c>
      <c r="N993" s="1" t="str">
        <f>_xlfn.XLOOKUP(ocupacao[[#This Row],[UnidadeID]],unidades!$A:$A,unidades!$C:$C,"",0)</f>
        <v>Nova Iguaçu</v>
      </c>
      <c r="O993" s="1" t="str">
        <f>_xlfn.XLOOKUP(ocupacao[[#This Row],[EspecialidadeID]],especialidades!$A:$A,especialidades!$B:$B,"",0)</f>
        <v>ULTRASSONOGRAFIA</v>
      </c>
      <c r="P993" s="1" t="str">
        <f>TEXT(WEEKDAY(ocupacao[[#This Row],[Data]]),"ddd")</f>
        <v>seg</v>
      </c>
      <c r="Q993" s="1">
        <f t="shared" si="15"/>
        <v>0</v>
      </c>
    </row>
    <row r="994" spans="1:17" x14ac:dyDescent="0.25">
      <c r="A994" s="2">
        <v>44746</v>
      </c>
      <c r="B994">
        <v>22</v>
      </c>
      <c r="C994">
        <v>1</v>
      </c>
      <c r="D994">
        <v>51</v>
      </c>
      <c r="E994">
        <v>17928</v>
      </c>
      <c r="F994" s="1" t="s">
        <v>154</v>
      </c>
      <c r="G994">
        <v>0</v>
      </c>
      <c r="H994">
        <v>2</v>
      </c>
      <c r="I994">
        <v>28</v>
      </c>
      <c r="J994">
        <v>30</v>
      </c>
      <c r="K994" s="33">
        <v>6.6699999999999995E-2</v>
      </c>
      <c r="L994" s="1"/>
      <c r="M994" s="1" t="str">
        <f>_xlfn.XLOOKUP(ocupacao[[#This Row],[UnidadeID]],unidades!$A:$A,unidades!$B:$B,"",0)</f>
        <v>Filial 1</v>
      </c>
      <c r="N994" s="1" t="str">
        <f>_xlfn.XLOOKUP(ocupacao[[#This Row],[UnidadeID]],unidades!$A:$A,unidades!$C:$C,"",0)</f>
        <v>Nova Iguaçu</v>
      </c>
      <c r="O994" s="1" t="str">
        <f>_xlfn.XLOOKUP(ocupacao[[#This Row],[EspecialidadeID]],especialidades!$A:$A,especialidades!$B:$B,"",0)</f>
        <v>ULTRASSONOGRAFIA</v>
      </c>
      <c r="P994" s="1" t="str">
        <f>TEXT(WEEKDAY(ocupacao[[#This Row],[Data]]),"ddd")</f>
        <v>seg</v>
      </c>
      <c r="Q994" s="1">
        <f t="shared" si="15"/>
        <v>0</v>
      </c>
    </row>
    <row r="995" spans="1:17" x14ac:dyDescent="0.25">
      <c r="A995" s="2">
        <v>44746</v>
      </c>
      <c r="B995">
        <v>24</v>
      </c>
      <c r="C995">
        <v>1</v>
      </c>
      <c r="D995">
        <v>60</v>
      </c>
      <c r="E995">
        <v>17938</v>
      </c>
      <c r="F995" s="1" t="s">
        <v>382</v>
      </c>
      <c r="G995">
        <v>0</v>
      </c>
      <c r="H995">
        <v>9</v>
      </c>
      <c r="I995">
        <v>3</v>
      </c>
      <c r="J995">
        <v>12</v>
      </c>
      <c r="K995" s="33">
        <v>0.75</v>
      </c>
      <c r="L995" s="1"/>
      <c r="M995" s="1" t="str">
        <f>_xlfn.XLOOKUP(ocupacao[[#This Row],[UnidadeID]],unidades!$A:$A,unidades!$B:$B,"",0)</f>
        <v>Nilópolis</v>
      </c>
      <c r="N995" s="1" t="str">
        <f>_xlfn.XLOOKUP(ocupacao[[#This Row],[UnidadeID]],unidades!$A:$A,unidades!$C:$C,"",0)</f>
        <v>Nilópolis</v>
      </c>
      <c r="O995" s="1" t="str">
        <f>_xlfn.XLOOKUP(ocupacao[[#This Row],[EspecialidadeID]],especialidades!$A:$A,especialidades!$B:$B,"",0)</f>
        <v>ULTRASSONOGRAFIA</v>
      </c>
      <c r="P995" s="1" t="str">
        <f>TEXT(WEEKDAY(ocupacao[[#This Row],[Data]]),"ddd")</f>
        <v>seg</v>
      </c>
      <c r="Q995" s="1">
        <f t="shared" si="15"/>
        <v>0</v>
      </c>
    </row>
    <row r="996" spans="1:17" hidden="1" x14ac:dyDescent="0.25">
      <c r="A996" s="2">
        <v>44747</v>
      </c>
      <c r="B996">
        <v>22</v>
      </c>
      <c r="C996">
        <v>1</v>
      </c>
      <c r="D996">
        <v>51</v>
      </c>
      <c r="E996">
        <v>111</v>
      </c>
      <c r="F996" s="1" t="s">
        <v>114</v>
      </c>
      <c r="G996">
        <v>0</v>
      </c>
      <c r="H996">
        <v>5</v>
      </c>
      <c r="I996">
        <v>36</v>
      </c>
      <c r="J996">
        <v>41</v>
      </c>
      <c r="K996" s="33">
        <v>0.122</v>
      </c>
      <c r="L996" s="1"/>
      <c r="M996" s="1"/>
      <c r="N996" s="1"/>
      <c r="O996" s="1"/>
      <c r="P996" s="1"/>
      <c r="Q996" s="1"/>
    </row>
    <row r="997" spans="1:17" hidden="1" x14ac:dyDescent="0.25">
      <c r="A997" s="2"/>
      <c r="F997" s="1"/>
      <c r="K997" s="33"/>
      <c r="L997" s="1"/>
      <c r="M997" s="1"/>
      <c r="N997" s="1"/>
      <c r="O997" s="1"/>
      <c r="P997" s="1"/>
      <c r="Q997" s="1"/>
    </row>
    <row r="998" spans="1:17" hidden="1" x14ac:dyDescent="0.25">
      <c r="A998" s="2">
        <v>44747</v>
      </c>
      <c r="B998">
        <v>22</v>
      </c>
      <c r="C998">
        <v>1</v>
      </c>
      <c r="D998">
        <v>335</v>
      </c>
      <c r="E998">
        <v>9111</v>
      </c>
      <c r="F998" s="1" t="s">
        <v>101</v>
      </c>
      <c r="G998">
        <v>0</v>
      </c>
      <c r="H998">
        <v>1</v>
      </c>
      <c r="I998">
        <v>34</v>
      </c>
      <c r="J998">
        <v>35</v>
      </c>
      <c r="K998" s="33">
        <v>2.86E-2</v>
      </c>
      <c r="L998" s="1"/>
      <c r="M998" s="1"/>
      <c r="N998" s="1"/>
      <c r="O998" s="1"/>
      <c r="P998" s="1"/>
      <c r="Q998" s="1"/>
    </row>
    <row r="999" spans="1:17" hidden="1" x14ac:dyDescent="0.25">
      <c r="A999" s="2"/>
      <c r="F999" s="1"/>
      <c r="K999" s="33"/>
      <c r="L999" s="1"/>
      <c r="M999" s="1"/>
      <c r="N999" s="1"/>
      <c r="O999" s="1"/>
      <c r="P999" s="1"/>
      <c r="Q999" s="1"/>
    </row>
    <row r="1000" spans="1:17" hidden="1" x14ac:dyDescent="0.25">
      <c r="A1000" s="2">
        <v>44747</v>
      </c>
      <c r="B1000">
        <v>22</v>
      </c>
      <c r="C1000">
        <v>1</v>
      </c>
      <c r="D1000">
        <v>51</v>
      </c>
      <c r="E1000">
        <v>11207</v>
      </c>
      <c r="F1000" s="1" t="s">
        <v>120</v>
      </c>
      <c r="G1000">
        <v>0</v>
      </c>
      <c r="H1000">
        <v>0</v>
      </c>
      <c r="I1000">
        <v>11</v>
      </c>
      <c r="J1000">
        <v>11</v>
      </c>
      <c r="K1000" s="33">
        <v>0</v>
      </c>
      <c r="L1000" s="1"/>
      <c r="M1000" s="1"/>
      <c r="N1000" s="1"/>
      <c r="O1000" s="1"/>
      <c r="P1000" s="1"/>
      <c r="Q1000" s="1"/>
    </row>
    <row r="1001" spans="1:17" x14ac:dyDescent="0.25">
      <c r="A1001" s="2">
        <v>44747</v>
      </c>
      <c r="B1001">
        <v>24</v>
      </c>
      <c r="C1001">
        <v>1</v>
      </c>
      <c r="D1001">
        <v>72</v>
      </c>
      <c r="E1001">
        <v>12752</v>
      </c>
      <c r="F1001" s="1" t="s">
        <v>110</v>
      </c>
      <c r="G1001">
        <v>0</v>
      </c>
      <c r="H1001">
        <v>1</v>
      </c>
      <c r="I1001">
        <v>29</v>
      </c>
      <c r="J1001">
        <v>30</v>
      </c>
      <c r="K1001" s="33">
        <v>3.3300000000000003E-2</v>
      </c>
      <c r="L1001" s="1"/>
      <c r="M1001" s="1" t="str">
        <f>_xlfn.XLOOKUP(ocupacao[[#This Row],[UnidadeID]],unidades!$A:$A,unidades!$B:$B,"",0)</f>
        <v>Nilópolis</v>
      </c>
      <c r="N1001" s="1" t="str">
        <f>_xlfn.XLOOKUP(ocupacao[[#This Row],[UnidadeID]],unidades!$A:$A,unidades!$C:$C,"",0)</f>
        <v>Nilópolis</v>
      </c>
      <c r="O1001" s="1" t="str">
        <f>_xlfn.XLOOKUP(ocupacao[[#This Row],[EspecialidadeID]],especialidades!$A:$A,especialidades!$B:$B,"",0)</f>
        <v>ULTRASSONOGRAFIA</v>
      </c>
      <c r="P1001" s="1" t="str">
        <f>TEXT(WEEKDAY(ocupacao[[#This Row],[Data]]),"ddd")</f>
        <v>ter</v>
      </c>
      <c r="Q1001" s="1">
        <f t="shared" si="15"/>
        <v>1</v>
      </c>
    </row>
    <row r="1002" spans="1:17" hidden="1" x14ac:dyDescent="0.25">
      <c r="A1002" s="2">
        <v>44747</v>
      </c>
      <c r="B1002">
        <v>34</v>
      </c>
      <c r="C1002">
        <v>1</v>
      </c>
      <c r="D1002">
        <v>377</v>
      </c>
      <c r="E1002">
        <v>12752</v>
      </c>
      <c r="F1002" s="1" t="s">
        <v>110</v>
      </c>
      <c r="G1002">
        <v>0</v>
      </c>
      <c r="H1002">
        <v>1</v>
      </c>
      <c r="I1002">
        <v>10</v>
      </c>
      <c r="J1002">
        <v>11</v>
      </c>
      <c r="K1002" s="33">
        <v>9.0899999999999995E-2</v>
      </c>
      <c r="L1002" s="1"/>
      <c r="M1002" s="1"/>
      <c r="N1002" s="1"/>
      <c r="O1002" s="1"/>
      <c r="P1002" s="1"/>
      <c r="Q1002" s="1"/>
    </row>
    <row r="1003" spans="1:17" x14ac:dyDescent="0.25">
      <c r="A1003" s="2">
        <v>44748</v>
      </c>
      <c r="B1003">
        <v>22</v>
      </c>
      <c r="C1003">
        <v>1</v>
      </c>
      <c r="D1003">
        <v>51</v>
      </c>
      <c r="E1003">
        <v>111</v>
      </c>
      <c r="F1003" s="1" t="s">
        <v>114</v>
      </c>
      <c r="G1003">
        <v>0</v>
      </c>
      <c r="H1003">
        <v>1</v>
      </c>
      <c r="I1003">
        <v>40</v>
      </c>
      <c r="J1003">
        <v>41</v>
      </c>
      <c r="K1003" s="33">
        <v>2.4400000000000002E-2</v>
      </c>
      <c r="L1003" s="1"/>
      <c r="M1003" s="1" t="str">
        <f>_xlfn.XLOOKUP(ocupacao[[#This Row],[UnidadeID]],unidades!$A:$A,unidades!$B:$B,"",0)</f>
        <v>Filial 1</v>
      </c>
      <c r="N1003" s="1" t="str">
        <f>_xlfn.XLOOKUP(ocupacao[[#This Row],[UnidadeID]],unidades!$A:$A,unidades!$C:$C,"",0)</f>
        <v>Nova Iguaçu</v>
      </c>
      <c r="O1003" s="1" t="str">
        <f>_xlfn.XLOOKUP(ocupacao[[#This Row],[EspecialidadeID]],especialidades!$A:$A,especialidades!$B:$B,"",0)</f>
        <v>ULTRASSONOGRAFIA</v>
      </c>
      <c r="P1003" s="1" t="str">
        <f>TEXT(WEEKDAY(ocupacao[[#This Row],[Data]]),"ddd")</f>
        <v>qua</v>
      </c>
      <c r="Q1003" s="1">
        <f t="shared" si="15"/>
        <v>0</v>
      </c>
    </row>
    <row r="1004" spans="1:17" x14ac:dyDescent="0.25">
      <c r="A1004" s="2">
        <v>44748</v>
      </c>
      <c r="B1004">
        <v>22</v>
      </c>
      <c r="C1004">
        <v>1</v>
      </c>
      <c r="D1004">
        <v>51</v>
      </c>
      <c r="E1004">
        <v>12684</v>
      </c>
      <c r="F1004" s="1" t="s">
        <v>143</v>
      </c>
      <c r="G1004">
        <v>0</v>
      </c>
      <c r="H1004">
        <v>0</v>
      </c>
      <c r="I1004">
        <v>32</v>
      </c>
      <c r="J1004">
        <v>32</v>
      </c>
      <c r="K1004" s="33">
        <v>0</v>
      </c>
      <c r="L1004" s="1"/>
      <c r="M1004" s="1" t="str">
        <f>_xlfn.XLOOKUP(ocupacao[[#This Row],[UnidadeID]],unidades!$A:$A,unidades!$B:$B,"",0)</f>
        <v>Filial 1</v>
      </c>
      <c r="N1004" s="1" t="str">
        <f>_xlfn.XLOOKUP(ocupacao[[#This Row],[UnidadeID]],unidades!$A:$A,unidades!$C:$C,"",0)</f>
        <v>Nova Iguaçu</v>
      </c>
      <c r="O1004" s="1" t="str">
        <f>_xlfn.XLOOKUP(ocupacao[[#This Row],[EspecialidadeID]],especialidades!$A:$A,especialidades!$B:$B,"",0)</f>
        <v>ULTRASSONOGRAFIA</v>
      </c>
      <c r="P1004" s="1" t="str">
        <f>TEXT(WEEKDAY(ocupacao[[#This Row],[Data]]),"ddd")</f>
        <v>qua</v>
      </c>
      <c r="Q1004" s="1">
        <f t="shared" si="15"/>
        <v>0</v>
      </c>
    </row>
    <row r="1005" spans="1:17" x14ac:dyDescent="0.25">
      <c r="A1005" s="2">
        <v>44749</v>
      </c>
      <c r="B1005">
        <v>22</v>
      </c>
      <c r="C1005">
        <v>1</v>
      </c>
      <c r="D1005">
        <v>335</v>
      </c>
      <c r="E1005">
        <v>2334</v>
      </c>
      <c r="F1005" s="1" t="s">
        <v>145</v>
      </c>
      <c r="G1005">
        <v>0</v>
      </c>
      <c r="H1005">
        <v>0</v>
      </c>
      <c r="I1005">
        <v>1</v>
      </c>
      <c r="J1005">
        <v>1</v>
      </c>
      <c r="K1005" s="33">
        <v>0</v>
      </c>
      <c r="L1005" s="1"/>
      <c r="M1005" s="1" t="str">
        <f>_xlfn.XLOOKUP(ocupacao[[#This Row],[UnidadeID]],unidades!$A:$A,unidades!$B:$B,"",0)</f>
        <v>Filial 1</v>
      </c>
      <c r="N1005" s="1" t="str">
        <f>_xlfn.XLOOKUP(ocupacao[[#This Row],[UnidadeID]],unidades!$A:$A,unidades!$C:$C,"",0)</f>
        <v>Nova Iguaçu</v>
      </c>
      <c r="O1005" s="1" t="str">
        <f>_xlfn.XLOOKUP(ocupacao[[#This Row],[EspecialidadeID]],especialidades!$A:$A,especialidades!$B:$B,"",0)</f>
        <v>ULTRASSONOGRAFIA</v>
      </c>
      <c r="P1005" s="1" t="str">
        <f>TEXT(WEEKDAY(ocupacao[[#This Row],[Data]]),"ddd")</f>
        <v>qui</v>
      </c>
      <c r="Q1005" s="1">
        <f t="shared" si="15"/>
        <v>0</v>
      </c>
    </row>
    <row r="1006" spans="1:17" x14ac:dyDescent="0.25">
      <c r="A1006" s="2">
        <v>44749</v>
      </c>
      <c r="B1006">
        <v>22</v>
      </c>
      <c r="C1006">
        <v>1</v>
      </c>
      <c r="D1006">
        <v>334</v>
      </c>
      <c r="E1006">
        <v>9111</v>
      </c>
      <c r="F1006" s="1" t="s">
        <v>101</v>
      </c>
      <c r="G1006">
        <v>0</v>
      </c>
      <c r="H1006">
        <v>0</v>
      </c>
      <c r="I1006">
        <v>47</v>
      </c>
      <c r="J1006">
        <v>47</v>
      </c>
      <c r="K1006" s="33">
        <v>0</v>
      </c>
      <c r="L1006" s="1"/>
      <c r="M1006" s="1" t="str">
        <f>_xlfn.XLOOKUP(ocupacao[[#This Row],[UnidadeID]],unidades!$A:$A,unidades!$B:$B,"",0)</f>
        <v>Filial 1</v>
      </c>
      <c r="N1006" s="1" t="str">
        <f>_xlfn.XLOOKUP(ocupacao[[#This Row],[UnidadeID]],unidades!$A:$A,unidades!$C:$C,"",0)</f>
        <v>Nova Iguaçu</v>
      </c>
      <c r="O1006" s="1" t="str">
        <f>_xlfn.XLOOKUP(ocupacao[[#This Row],[EspecialidadeID]],especialidades!$A:$A,especialidades!$B:$B,"",0)</f>
        <v>ULTRASSONOGRAFIA</v>
      </c>
      <c r="P1006" s="1" t="str">
        <f>TEXT(WEEKDAY(ocupacao[[#This Row],[Data]]),"ddd")</f>
        <v>qui</v>
      </c>
      <c r="Q1006" s="1">
        <f t="shared" si="15"/>
        <v>0</v>
      </c>
    </row>
    <row r="1007" spans="1:17" x14ac:dyDescent="0.25">
      <c r="A1007" s="2">
        <v>44749</v>
      </c>
      <c r="B1007">
        <v>22</v>
      </c>
      <c r="C1007">
        <v>1</v>
      </c>
      <c r="D1007">
        <v>51</v>
      </c>
      <c r="E1007">
        <v>11207</v>
      </c>
      <c r="F1007" s="1" t="s">
        <v>120</v>
      </c>
      <c r="G1007">
        <v>0</v>
      </c>
      <c r="H1007">
        <v>0</v>
      </c>
      <c r="I1007">
        <v>11</v>
      </c>
      <c r="J1007">
        <v>11</v>
      </c>
      <c r="K1007" s="33">
        <v>0</v>
      </c>
      <c r="L1007" s="1"/>
      <c r="M1007" s="1" t="str">
        <f>_xlfn.XLOOKUP(ocupacao[[#This Row],[UnidadeID]],unidades!$A:$A,unidades!$B:$B,"",0)</f>
        <v>Filial 1</v>
      </c>
      <c r="N1007" s="1" t="str">
        <f>_xlfn.XLOOKUP(ocupacao[[#This Row],[UnidadeID]],unidades!$A:$A,unidades!$C:$C,"",0)</f>
        <v>Nova Iguaçu</v>
      </c>
      <c r="O1007" s="1" t="str">
        <f>_xlfn.XLOOKUP(ocupacao[[#This Row],[EspecialidadeID]],especialidades!$A:$A,especialidades!$B:$B,"",0)</f>
        <v>ULTRASSONOGRAFIA</v>
      </c>
      <c r="P1007" s="1" t="str">
        <f>TEXT(WEEKDAY(ocupacao[[#This Row],[Data]]),"ddd")</f>
        <v>qui</v>
      </c>
      <c r="Q1007" s="1">
        <f t="shared" si="15"/>
        <v>0</v>
      </c>
    </row>
    <row r="1008" spans="1:17" x14ac:dyDescent="0.25">
      <c r="A1008" s="2">
        <v>44749</v>
      </c>
      <c r="B1008">
        <v>22</v>
      </c>
      <c r="C1008">
        <v>1</v>
      </c>
      <c r="D1008">
        <v>336</v>
      </c>
      <c r="E1008">
        <v>11312</v>
      </c>
      <c r="F1008" s="1" t="s">
        <v>107</v>
      </c>
      <c r="G1008">
        <v>0</v>
      </c>
      <c r="H1008">
        <v>0</v>
      </c>
      <c r="I1008">
        <v>29</v>
      </c>
      <c r="J1008">
        <v>29</v>
      </c>
      <c r="K1008" s="33">
        <v>0</v>
      </c>
      <c r="L1008" s="1"/>
      <c r="M1008" s="1" t="str">
        <f>_xlfn.XLOOKUP(ocupacao[[#This Row],[UnidadeID]],unidades!$A:$A,unidades!$B:$B,"",0)</f>
        <v>Filial 1</v>
      </c>
      <c r="N1008" s="1" t="str">
        <f>_xlfn.XLOOKUP(ocupacao[[#This Row],[UnidadeID]],unidades!$A:$A,unidades!$C:$C,"",0)</f>
        <v>Nova Iguaçu</v>
      </c>
      <c r="O1008" s="1" t="str">
        <f>_xlfn.XLOOKUP(ocupacao[[#This Row],[EspecialidadeID]],especialidades!$A:$A,especialidades!$B:$B,"",0)</f>
        <v>ULTRASSONOGRAFIA</v>
      </c>
      <c r="P1008" s="1" t="str">
        <f>TEXT(WEEKDAY(ocupacao[[#This Row],[Data]]),"ddd")</f>
        <v>qui</v>
      </c>
      <c r="Q1008" s="1">
        <f t="shared" si="15"/>
        <v>0</v>
      </c>
    </row>
    <row r="1009" spans="1:17" hidden="1" x14ac:dyDescent="0.25">
      <c r="A1009" s="2">
        <v>44749</v>
      </c>
      <c r="B1009">
        <v>22</v>
      </c>
      <c r="C1009">
        <v>1</v>
      </c>
      <c r="D1009">
        <v>51</v>
      </c>
      <c r="E1009">
        <v>17928</v>
      </c>
      <c r="F1009" s="1" t="s">
        <v>154</v>
      </c>
      <c r="G1009">
        <v>6</v>
      </c>
      <c r="H1009">
        <v>0</v>
      </c>
      <c r="I1009">
        <v>36</v>
      </c>
      <c r="J1009">
        <v>42</v>
      </c>
      <c r="K1009" s="33">
        <v>0.1429</v>
      </c>
      <c r="L1009" s="1"/>
      <c r="M1009" s="1"/>
      <c r="N1009" s="1"/>
      <c r="O1009" s="1"/>
      <c r="P1009" s="1"/>
      <c r="Q1009" s="1"/>
    </row>
    <row r="1010" spans="1:17" x14ac:dyDescent="0.25">
      <c r="A1010" s="2">
        <v>44750</v>
      </c>
      <c r="B1010">
        <v>22</v>
      </c>
      <c r="C1010">
        <v>1</v>
      </c>
      <c r="D1010">
        <v>51</v>
      </c>
      <c r="E1010">
        <v>9111</v>
      </c>
      <c r="F1010" s="1" t="s">
        <v>101</v>
      </c>
      <c r="G1010">
        <v>0</v>
      </c>
      <c r="H1010">
        <v>0</v>
      </c>
      <c r="I1010">
        <v>44</v>
      </c>
      <c r="J1010">
        <v>44</v>
      </c>
      <c r="K1010" s="33">
        <v>0</v>
      </c>
      <c r="L1010" s="1"/>
      <c r="M1010" s="1" t="str">
        <f>_xlfn.XLOOKUP(ocupacao[[#This Row],[UnidadeID]],unidades!$A:$A,unidades!$B:$B,"",0)</f>
        <v>Filial 1</v>
      </c>
      <c r="N1010" s="1" t="str">
        <f>_xlfn.XLOOKUP(ocupacao[[#This Row],[UnidadeID]],unidades!$A:$A,unidades!$C:$C,"",0)</f>
        <v>Nova Iguaçu</v>
      </c>
      <c r="O1010" s="1" t="str">
        <f>_xlfn.XLOOKUP(ocupacao[[#This Row],[EspecialidadeID]],especialidades!$A:$A,especialidades!$B:$B,"",0)</f>
        <v>ULTRASSONOGRAFIA</v>
      </c>
      <c r="P1010" s="1" t="str">
        <f>TEXT(WEEKDAY(ocupacao[[#This Row],[Data]]),"ddd")</f>
        <v>sex</v>
      </c>
      <c r="Q1010" s="1">
        <f t="shared" si="15"/>
        <v>0</v>
      </c>
    </row>
    <row r="1011" spans="1:17" hidden="1" x14ac:dyDescent="0.25">
      <c r="A1011" s="2">
        <v>44750</v>
      </c>
      <c r="B1011">
        <v>18</v>
      </c>
      <c r="C1011">
        <v>1</v>
      </c>
      <c r="D1011">
        <v>85</v>
      </c>
      <c r="E1011">
        <v>12684</v>
      </c>
      <c r="F1011" s="1" t="s">
        <v>143</v>
      </c>
      <c r="G1011">
        <v>0</v>
      </c>
      <c r="H1011">
        <v>0</v>
      </c>
      <c r="I1011">
        <v>46</v>
      </c>
      <c r="J1011">
        <v>46</v>
      </c>
      <c r="K1011" s="33">
        <v>0</v>
      </c>
      <c r="L1011" s="1"/>
      <c r="M1011" s="1"/>
      <c r="N1011" s="1"/>
      <c r="O1011" s="1"/>
      <c r="P1011" s="1"/>
      <c r="Q1011" s="1"/>
    </row>
    <row r="1012" spans="1:17" hidden="1" x14ac:dyDescent="0.25">
      <c r="A1012" s="2">
        <v>44753</v>
      </c>
      <c r="B1012">
        <v>22</v>
      </c>
      <c r="C1012">
        <v>1</v>
      </c>
      <c r="D1012">
        <v>51</v>
      </c>
      <c r="E1012">
        <v>11241</v>
      </c>
      <c r="F1012" s="1" t="s">
        <v>342</v>
      </c>
      <c r="G1012">
        <v>0</v>
      </c>
      <c r="H1012">
        <v>0</v>
      </c>
      <c r="I1012">
        <v>48</v>
      </c>
      <c r="J1012">
        <v>48</v>
      </c>
      <c r="K1012" s="33">
        <v>0</v>
      </c>
      <c r="L1012" s="1"/>
      <c r="M1012" s="1"/>
      <c r="N1012" s="1"/>
      <c r="O1012" s="1"/>
      <c r="P1012" s="1"/>
      <c r="Q1012" s="1"/>
    </row>
    <row r="1013" spans="1:17" x14ac:dyDescent="0.25">
      <c r="A1013" s="2">
        <v>44753</v>
      </c>
      <c r="B1013">
        <v>22</v>
      </c>
      <c r="C1013">
        <v>1</v>
      </c>
      <c r="D1013">
        <v>335</v>
      </c>
      <c r="E1013">
        <v>13371</v>
      </c>
      <c r="F1013" s="1" t="s">
        <v>140</v>
      </c>
      <c r="G1013">
        <v>0</v>
      </c>
      <c r="H1013">
        <v>0</v>
      </c>
      <c r="I1013">
        <v>29</v>
      </c>
      <c r="J1013">
        <v>29</v>
      </c>
      <c r="K1013" s="33">
        <v>0</v>
      </c>
      <c r="L1013" s="1"/>
      <c r="M1013" s="1" t="str">
        <f>_xlfn.XLOOKUP(ocupacao[[#This Row],[UnidadeID]],unidades!$A:$A,unidades!$B:$B,"",0)</f>
        <v>Filial 1</v>
      </c>
      <c r="N1013" s="1" t="str">
        <f>_xlfn.XLOOKUP(ocupacao[[#This Row],[UnidadeID]],unidades!$A:$A,unidades!$C:$C,"",0)</f>
        <v>Nova Iguaçu</v>
      </c>
      <c r="O1013" s="1" t="str">
        <f>_xlfn.XLOOKUP(ocupacao[[#This Row],[EspecialidadeID]],especialidades!$A:$A,especialidades!$B:$B,"",0)</f>
        <v>ULTRASSONOGRAFIA</v>
      </c>
      <c r="P1013" s="1" t="str">
        <f>TEXT(WEEKDAY(ocupacao[[#This Row],[Data]]),"ddd")</f>
        <v>seg</v>
      </c>
      <c r="Q1013" s="1">
        <f t="shared" si="15"/>
        <v>0</v>
      </c>
    </row>
    <row r="1014" spans="1:17" x14ac:dyDescent="0.25">
      <c r="A1014" s="2">
        <v>44753</v>
      </c>
      <c r="B1014">
        <v>22</v>
      </c>
      <c r="C1014">
        <v>1</v>
      </c>
      <c r="D1014">
        <v>51</v>
      </c>
      <c r="E1014">
        <v>17928</v>
      </c>
      <c r="F1014" s="1" t="s">
        <v>154</v>
      </c>
      <c r="G1014">
        <v>0</v>
      </c>
      <c r="H1014">
        <v>0</v>
      </c>
      <c r="I1014">
        <v>30</v>
      </c>
      <c r="J1014">
        <v>30</v>
      </c>
      <c r="K1014" s="33">
        <v>0</v>
      </c>
      <c r="L1014" s="1"/>
      <c r="M1014" s="1" t="str">
        <f>_xlfn.XLOOKUP(ocupacao[[#This Row],[UnidadeID]],unidades!$A:$A,unidades!$B:$B,"",0)</f>
        <v>Filial 1</v>
      </c>
      <c r="N1014" s="1" t="str">
        <f>_xlfn.XLOOKUP(ocupacao[[#This Row],[UnidadeID]],unidades!$A:$A,unidades!$C:$C,"",0)</f>
        <v>Nova Iguaçu</v>
      </c>
      <c r="O1014" s="1" t="str">
        <f>_xlfn.XLOOKUP(ocupacao[[#This Row],[EspecialidadeID]],especialidades!$A:$A,especialidades!$B:$B,"",0)</f>
        <v>ULTRASSONOGRAFIA</v>
      </c>
      <c r="P1014" s="1" t="str">
        <f>TEXT(WEEKDAY(ocupacao[[#This Row],[Data]]),"ddd")</f>
        <v>seg</v>
      </c>
      <c r="Q1014" s="1">
        <f t="shared" si="15"/>
        <v>0</v>
      </c>
    </row>
    <row r="1015" spans="1:17" x14ac:dyDescent="0.25">
      <c r="A1015" s="2">
        <v>44753</v>
      </c>
      <c r="B1015">
        <v>24</v>
      </c>
      <c r="C1015">
        <v>1</v>
      </c>
      <c r="D1015">
        <v>60</v>
      </c>
      <c r="E1015">
        <v>17938</v>
      </c>
      <c r="F1015" s="1" t="s">
        <v>382</v>
      </c>
      <c r="G1015">
        <v>0</v>
      </c>
      <c r="H1015">
        <v>0</v>
      </c>
      <c r="I1015">
        <v>12</v>
      </c>
      <c r="J1015">
        <v>12</v>
      </c>
      <c r="K1015" s="33">
        <v>0</v>
      </c>
      <c r="L1015" s="1"/>
      <c r="M1015" s="1" t="str">
        <f>_xlfn.XLOOKUP(ocupacao[[#This Row],[UnidadeID]],unidades!$A:$A,unidades!$B:$B,"",0)</f>
        <v>Nilópolis</v>
      </c>
      <c r="N1015" s="1" t="str">
        <f>_xlfn.XLOOKUP(ocupacao[[#This Row],[UnidadeID]],unidades!$A:$A,unidades!$C:$C,"",0)</f>
        <v>Nilópolis</v>
      </c>
      <c r="O1015" s="1" t="str">
        <f>_xlfn.XLOOKUP(ocupacao[[#This Row],[EspecialidadeID]],especialidades!$A:$A,especialidades!$B:$B,"",0)</f>
        <v>ULTRASSONOGRAFIA</v>
      </c>
      <c r="P1015" s="1" t="str">
        <f>TEXT(WEEKDAY(ocupacao[[#This Row],[Data]]),"ddd")</f>
        <v>seg</v>
      </c>
      <c r="Q1015" s="1">
        <f t="shared" si="15"/>
        <v>0</v>
      </c>
    </row>
    <row r="1016" spans="1:17" hidden="1" x14ac:dyDescent="0.25">
      <c r="A1016" s="2">
        <v>44754</v>
      </c>
      <c r="B1016">
        <v>22</v>
      </c>
      <c r="C1016">
        <v>1</v>
      </c>
      <c r="D1016">
        <v>51</v>
      </c>
      <c r="E1016">
        <v>111</v>
      </c>
      <c r="F1016" s="1" t="s">
        <v>114</v>
      </c>
      <c r="G1016">
        <v>0</v>
      </c>
      <c r="H1016">
        <v>2</v>
      </c>
      <c r="I1016">
        <v>39</v>
      </c>
      <c r="J1016">
        <v>41</v>
      </c>
      <c r="K1016" s="33">
        <v>4.8800000000000003E-2</v>
      </c>
      <c r="L1016" s="1"/>
      <c r="M1016" s="1"/>
      <c r="N1016" s="1"/>
      <c r="O1016" s="1"/>
      <c r="P1016" s="1"/>
      <c r="Q1016" s="1"/>
    </row>
    <row r="1017" spans="1:17" x14ac:dyDescent="0.25">
      <c r="A1017" s="2">
        <v>44754</v>
      </c>
      <c r="B1017">
        <v>22</v>
      </c>
      <c r="C1017">
        <v>1</v>
      </c>
      <c r="D1017">
        <v>335</v>
      </c>
      <c r="E1017">
        <v>9111</v>
      </c>
      <c r="F1017" s="1" t="s">
        <v>101</v>
      </c>
      <c r="G1017">
        <v>0</v>
      </c>
      <c r="H1017">
        <v>0</v>
      </c>
      <c r="I1017">
        <v>35</v>
      </c>
      <c r="J1017">
        <v>35</v>
      </c>
      <c r="K1017" s="33">
        <v>0</v>
      </c>
      <c r="L1017" s="1"/>
      <c r="M1017" s="1" t="str">
        <f>_xlfn.XLOOKUP(ocupacao[[#This Row],[UnidadeID]],unidades!$A:$A,unidades!$B:$B,"",0)</f>
        <v>Filial 1</v>
      </c>
      <c r="N1017" s="1" t="str">
        <f>_xlfn.XLOOKUP(ocupacao[[#This Row],[UnidadeID]],unidades!$A:$A,unidades!$C:$C,"",0)</f>
        <v>Nova Iguaçu</v>
      </c>
      <c r="O1017" s="1" t="str">
        <f>_xlfn.XLOOKUP(ocupacao[[#This Row],[EspecialidadeID]],especialidades!$A:$A,especialidades!$B:$B,"",0)</f>
        <v>ULTRASSONOGRAFIA</v>
      </c>
      <c r="P1017" s="1" t="str">
        <f>TEXT(WEEKDAY(ocupacao[[#This Row],[Data]]),"ddd")</f>
        <v>ter</v>
      </c>
      <c r="Q1017" s="1">
        <f t="shared" si="15"/>
        <v>0</v>
      </c>
    </row>
    <row r="1018" spans="1:17" x14ac:dyDescent="0.25">
      <c r="A1018" s="2">
        <v>44754</v>
      </c>
      <c r="B1018">
        <v>22</v>
      </c>
      <c r="C1018">
        <v>1</v>
      </c>
      <c r="D1018">
        <v>51</v>
      </c>
      <c r="E1018">
        <v>11207</v>
      </c>
      <c r="F1018" s="1" t="s">
        <v>120</v>
      </c>
      <c r="G1018">
        <v>0</v>
      </c>
      <c r="H1018">
        <v>0</v>
      </c>
      <c r="I1018">
        <v>11</v>
      </c>
      <c r="J1018">
        <v>11</v>
      </c>
      <c r="K1018" s="33">
        <v>0</v>
      </c>
      <c r="L1018" s="1"/>
      <c r="M1018" s="1" t="str">
        <f>_xlfn.XLOOKUP(ocupacao[[#This Row],[UnidadeID]],unidades!$A:$A,unidades!$B:$B,"",0)</f>
        <v>Filial 1</v>
      </c>
      <c r="N1018" s="1" t="str">
        <f>_xlfn.XLOOKUP(ocupacao[[#This Row],[UnidadeID]],unidades!$A:$A,unidades!$C:$C,"",0)</f>
        <v>Nova Iguaçu</v>
      </c>
      <c r="O1018" s="1" t="str">
        <f>_xlfn.XLOOKUP(ocupacao[[#This Row],[EspecialidadeID]],especialidades!$A:$A,especialidades!$B:$B,"",0)</f>
        <v>ULTRASSONOGRAFIA</v>
      </c>
      <c r="P1018" s="1" t="str">
        <f>TEXT(WEEKDAY(ocupacao[[#This Row],[Data]]),"ddd")</f>
        <v>ter</v>
      </c>
      <c r="Q1018" s="1">
        <f t="shared" si="15"/>
        <v>0</v>
      </c>
    </row>
    <row r="1019" spans="1:17" hidden="1" x14ac:dyDescent="0.25">
      <c r="A1019" s="2">
        <v>44754</v>
      </c>
      <c r="B1019">
        <v>24</v>
      </c>
      <c r="C1019">
        <v>1</v>
      </c>
      <c r="D1019">
        <v>72</v>
      </c>
      <c r="E1019">
        <v>12752</v>
      </c>
      <c r="F1019" s="1" t="s">
        <v>110</v>
      </c>
      <c r="G1019">
        <v>0</v>
      </c>
      <c r="H1019">
        <v>2</v>
      </c>
      <c r="I1019">
        <v>28</v>
      </c>
      <c r="J1019">
        <v>30</v>
      </c>
      <c r="K1019" s="33">
        <v>6.6699999999999995E-2</v>
      </c>
      <c r="L1019" s="1"/>
      <c r="M1019" s="1"/>
      <c r="N1019" s="1"/>
      <c r="O1019" s="1"/>
      <c r="P1019" s="1"/>
      <c r="Q1019" s="1"/>
    </row>
    <row r="1020" spans="1:17" x14ac:dyDescent="0.25">
      <c r="A1020" s="2">
        <v>44754</v>
      </c>
      <c r="B1020">
        <v>34</v>
      </c>
      <c r="C1020">
        <v>1</v>
      </c>
      <c r="D1020">
        <v>377</v>
      </c>
      <c r="E1020">
        <v>12752</v>
      </c>
      <c r="F1020" s="1" t="s">
        <v>110</v>
      </c>
      <c r="G1020">
        <v>0</v>
      </c>
      <c r="H1020">
        <v>0</v>
      </c>
      <c r="I1020">
        <v>11</v>
      </c>
      <c r="J1020">
        <v>11</v>
      </c>
      <c r="K1020" s="33">
        <v>0</v>
      </c>
      <c r="L1020" s="1"/>
      <c r="M1020" s="1" t="str">
        <f>_xlfn.XLOOKUP(ocupacao[[#This Row],[UnidadeID]],unidades!$A:$A,unidades!$B:$B,"",0)</f>
        <v>São João</v>
      </c>
      <c r="N1020" s="1" t="str">
        <f>_xlfn.XLOOKUP(ocupacao[[#This Row],[UnidadeID]],unidades!$A:$A,unidades!$C:$C,"",0)</f>
        <v>São João de Meriti</v>
      </c>
      <c r="O1020" s="1" t="str">
        <f>_xlfn.XLOOKUP(ocupacao[[#This Row],[EspecialidadeID]],especialidades!$A:$A,especialidades!$B:$B,"",0)</f>
        <v>ULTRASSONOGRAFIA</v>
      </c>
      <c r="P1020" s="1" t="str">
        <f>TEXT(WEEKDAY(ocupacao[[#This Row],[Data]]),"ddd")</f>
        <v>ter</v>
      </c>
      <c r="Q1020" s="1">
        <f t="shared" si="15"/>
        <v>0</v>
      </c>
    </row>
    <row r="1021" spans="1:17" hidden="1" x14ac:dyDescent="0.25">
      <c r="A1021" s="2"/>
      <c r="F1021" s="1"/>
      <c r="K1021" s="33"/>
      <c r="L1021" s="1"/>
      <c r="M1021" s="1"/>
      <c r="N1021" s="1"/>
      <c r="O1021" s="1"/>
      <c r="P1021" s="1"/>
      <c r="Q1021" s="1"/>
    </row>
    <row r="1022" spans="1:17" hidden="1" x14ac:dyDescent="0.25">
      <c r="A1022" s="2">
        <v>44754</v>
      </c>
      <c r="B1022">
        <v>22</v>
      </c>
      <c r="C1022">
        <v>1</v>
      </c>
      <c r="D1022">
        <v>43</v>
      </c>
      <c r="E1022">
        <v>17859</v>
      </c>
      <c r="F1022" s="1" t="s">
        <v>136</v>
      </c>
      <c r="G1022">
        <v>0</v>
      </c>
      <c r="H1022">
        <v>1</v>
      </c>
      <c r="I1022">
        <v>0</v>
      </c>
      <c r="J1022">
        <v>1</v>
      </c>
      <c r="K1022" s="33">
        <v>1</v>
      </c>
      <c r="L1022" s="1"/>
      <c r="M1022" s="1"/>
      <c r="N1022" s="1"/>
      <c r="O1022" s="1"/>
      <c r="P1022" s="1"/>
      <c r="Q1022" s="1"/>
    </row>
    <row r="1023" spans="1:17" x14ac:dyDescent="0.25">
      <c r="A1023" s="2">
        <v>44755</v>
      </c>
      <c r="B1023">
        <v>22</v>
      </c>
      <c r="C1023">
        <v>1</v>
      </c>
      <c r="D1023">
        <v>51</v>
      </c>
      <c r="E1023">
        <v>111</v>
      </c>
      <c r="F1023" s="1" t="s">
        <v>114</v>
      </c>
      <c r="G1023">
        <v>0</v>
      </c>
      <c r="H1023">
        <v>0</v>
      </c>
      <c r="I1023">
        <v>41</v>
      </c>
      <c r="J1023">
        <v>41</v>
      </c>
      <c r="K1023" s="33">
        <v>0</v>
      </c>
      <c r="L1023" s="1"/>
      <c r="M1023" s="1" t="str">
        <f>_xlfn.XLOOKUP(ocupacao[[#This Row],[UnidadeID]],unidades!$A:$A,unidades!$B:$B,"",0)</f>
        <v>Filial 1</v>
      </c>
      <c r="N1023" s="1" t="str">
        <f>_xlfn.XLOOKUP(ocupacao[[#This Row],[UnidadeID]],unidades!$A:$A,unidades!$C:$C,"",0)</f>
        <v>Nova Iguaçu</v>
      </c>
      <c r="O1023" s="1" t="str">
        <f>_xlfn.XLOOKUP(ocupacao[[#This Row],[EspecialidadeID]],especialidades!$A:$A,especialidades!$B:$B,"",0)</f>
        <v>ULTRASSONOGRAFIA</v>
      </c>
      <c r="P1023" s="1" t="str">
        <f>TEXT(WEEKDAY(ocupacao[[#This Row],[Data]]),"ddd")</f>
        <v>qua</v>
      </c>
      <c r="Q1023" s="1">
        <f t="shared" si="15"/>
        <v>0</v>
      </c>
    </row>
    <row r="1024" spans="1:17" x14ac:dyDescent="0.25">
      <c r="A1024" s="2">
        <v>44755</v>
      </c>
      <c r="B1024">
        <v>22</v>
      </c>
      <c r="C1024">
        <v>1</v>
      </c>
      <c r="D1024">
        <v>51</v>
      </c>
      <c r="E1024">
        <v>12684</v>
      </c>
      <c r="F1024" s="1" t="s">
        <v>143</v>
      </c>
      <c r="G1024">
        <v>0</v>
      </c>
      <c r="H1024">
        <v>0</v>
      </c>
      <c r="I1024">
        <v>32</v>
      </c>
      <c r="J1024">
        <v>32</v>
      </c>
      <c r="K1024" s="33">
        <v>0</v>
      </c>
      <c r="L1024" s="1"/>
      <c r="M1024" s="1" t="str">
        <f>_xlfn.XLOOKUP(ocupacao[[#This Row],[UnidadeID]],unidades!$A:$A,unidades!$B:$B,"",0)</f>
        <v>Filial 1</v>
      </c>
      <c r="N1024" s="1" t="str">
        <f>_xlfn.XLOOKUP(ocupacao[[#This Row],[UnidadeID]],unidades!$A:$A,unidades!$C:$C,"",0)</f>
        <v>Nova Iguaçu</v>
      </c>
      <c r="O1024" s="1" t="str">
        <f>_xlfn.XLOOKUP(ocupacao[[#This Row],[EspecialidadeID]],especialidades!$A:$A,especialidades!$B:$B,"",0)</f>
        <v>ULTRASSONOGRAFIA</v>
      </c>
      <c r="P1024" s="1" t="str">
        <f>TEXT(WEEKDAY(ocupacao[[#This Row],[Data]]),"ddd")</f>
        <v>qua</v>
      </c>
      <c r="Q1024" s="1">
        <f t="shared" si="15"/>
        <v>0</v>
      </c>
    </row>
    <row r="1025" spans="1:17" x14ac:dyDescent="0.25">
      <c r="A1025" s="2">
        <v>44756</v>
      </c>
      <c r="B1025">
        <v>22</v>
      </c>
      <c r="C1025">
        <v>1</v>
      </c>
      <c r="D1025">
        <v>335</v>
      </c>
      <c r="E1025">
        <v>2334</v>
      </c>
      <c r="F1025" s="1" t="s">
        <v>145</v>
      </c>
      <c r="G1025">
        <v>0</v>
      </c>
      <c r="H1025">
        <v>0</v>
      </c>
      <c r="I1025">
        <v>1</v>
      </c>
      <c r="J1025">
        <v>1</v>
      </c>
      <c r="K1025" s="33">
        <v>0</v>
      </c>
      <c r="L1025" s="1"/>
      <c r="M1025" s="1" t="str">
        <f>_xlfn.XLOOKUP(ocupacao[[#This Row],[UnidadeID]],unidades!$A:$A,unidades!$B:$B,"",0)</f>
        <v>Filial 1</v>
      </c>
      <c r="N1025" s="1" t="str">
        <f>_xlfn.XLOOKUP(ocupacao[[#This Row],[UnidadeID]],unidades!$A:$A,unidades!$C:$C,"",0)</f>
        <v>Nova Iguaçu</v>
      </c>
      <c r="O1025" s="1" t="str">
        <f>_xlfn.XLOOKUP(ocupacao[[#This Row],[EspecialidadeID]],especialidades!$A:$A,especialidades!$B:$B,"",0)</f>
        <v>ULTRASSONOGRAFIA</v>
      </c>
      <c r="P1025" s="1" t="str">
        <f>TEXT(WEEKDAY(ocupacao[[#This Row],[Data]]),"ddd")</f>
        <v>qui</v>
      </c>
      <c r="Q1025" s="1">
        <f t="shared" si="15"/>
        <v>0</v>
      </c>
    </row>
    <row r="1026" spans="1:17" hidden="1" x14ac:dyDescent="0.25">
      <c r="A1026" s="2">
        <v>44756</v>
      </c>
      <c r="B1026">
        <v>22</v>
      </c>
      <c r="C1026">
        <v>1</v>
      </c>
      <c r="D1026">
        <v>334</v>
      </c>
      <c r="E1026">
        <v>9111</v>
      </c>
      <c r="F1026" s="1" t="s">
        <v>101</v>
      </c>
      <c r="G1026">
        <v>0</v>
      </c>
      <c r="H1026">
        <v>0</v>
      </c>
      <c r="I1026">
        <v>47</v>
      </c>
      <c r="J1026">
        <v>47</v>
      </c>
      <c r="K1026" s="33">
        <v>0</v>
      </c>
      <c r="L1026" s="1"/>
      <c r="M1026" s="1"/>
      <c r="N1026" s="1"/>
      <c r="O1026" s="1"/>
      <c r="P1026" s="1"/>
      <c r="Q1026" s="1"/>
    </row>
    <row r="1027" spans="1:17" x14ac:dyDescent="0.25">
      <c r="A1027" s="2">
        <v>44756</v>
      </c>
      <c r="B1027">
        <v>22</v>
      </c>
      <c r="C1027">
        <v>1</v>
      </c>
      <c r="D1027">
        <v>51</v>
      </c>
      <c r="E1027">
        <v>11207</v>
      </c>
      <c r="F1027" s="1" t="s">
        <v>120</v>
      </c>
      <c r="G1027">
        <v>0</v>
      </c>
      <c r="H1027">
        <v>0</v>
      </c>
      <c r="I1027">
        <v>11</v>
      </c>
      <c r="J1027">
        <v>11</v>
      </c>
      <c r="K1027" s="33">
        <v>0</v>
      </c>
      <c r="L1027" s="1"/>
      <c r="M1027" s="1" t="str">
        <f>_xlfn.XLOOKUP(ocupacao[[#This Row],[UnidadeID]],unidades!$A:$A,unidades!$B:$B,"",0)</f>
        <v>Filial 1</v>
      </c>
      <c r="N1027" s="1" t="str">
        <f>_xlfn.XLOOKUP(ocupacao[[#This Row],[UnidadeID]],unidades!$A:$A,unidades!$C:$C,"",0)</f>
        <v>Nova Iguaçu</v>
      </c>
      <c r="O1027" s="1" t="str">
        <f>_xlfn.XLOOKUP(ocupacao[[#This Row],[EspecialidadeID]],especialidades!$A:$A,especialidades!$B:$B,"",0)</f>
        <v>ULTRASSONOGRAFIA</v>
      </c>
      <c r="P1027" s="1" t="str">
        <f>TEXT(WEEKDAY(ocupacao[[#This Row],[Data]]),"ddd")</f>
        <v>qui</v>
      </c>
      <c r="Q1027" s="1">
        <f t="shared" ref="Q1027:Q1089" si="16">IF(F1027=F1028,1,0)</f>
        <v>0</v>
      </c>
    </row>
    <row r="1028" spans="1:17" hidden="1" x14ac:dyDescent="0.25">
      <c r="A1028" s="2">
        <v>44756</v>
      </c>
      <c r="B1028">
        <v>22</v>
      </c>
      <c r="C1028">
        <v>1</v>
      </c>
      <c r="D1028">
        <v>336</v>
      </c>
      <c r="E1028">
        <v>11312</v>
      </c>
      <c r="F1028" s="1" t="s">
        <v>107</v>
      </c>
      <c r="G1028">
        <v>0</v>
      </c>
      <c r="H1028">
        <v>3</v>
      </c>
      <c r="I1028">
        <v>26</v>
      </c>
      <c r="J1028">
        <v>29</v>
      </c>
      <c r="K1028" s="33">
        <v>0.10340000000000001</v>
      </c>
      <c r="L1028" s="1"/>
      <c r="M1028" s="1"/>
      <c r="N1028" s="1"/>
      <c r="O1028" s="1"/>
      <c r="P1028" s="1"/>
      <c r="Q1028" s="1"/>
    </row>
    <row r="1029" spans="1:17" x14ac:dyDescent="0.25">
      <c r="A1029" s="2">
        <v>44756</v>
      </c>
      <c r="B1029">
        <v>22</v>
      </c>
      <c r="C1029">
        <v>1</v>
      </c>
      <c r="D1029">
        <v>51</v>
      </c>
      <c r="E1029">
        <v>17928</v>
      </c>
      <c r="F1029" s="1" t="s">
        <v>154</v>
      </c>
      <c r="G1029">
        <v>6</v>
      </c>
      <c r="H1029">
        <v>0</v>
      </c>
      <c r="I1029">
        <v>36</v>
      </c>
      <c r="J1029">
        <v>42</v>
      </c>
      <c r="K1029" s="33">
        <v>0.1429</v>
      </c>
      <c r="L1029" s="1"/>
      <c r="M1029" s="1" t="str">
        <f>_xlfn.XLOOKUP(ocupacao[[#This Row],[UnidadeID]],unidades!$A:$A,unidades!$B:$B,"",0)</f>
        <v>Filial 1</v>
      </c>
      <c r="N1029" s="1" t="str">
        <f>_xlfn.XLOOKUP(ocupacao[[#This Row],[UnidadeID]],unidades!$A:$A,unidades!$C:$C,"",0)</f>
        <v>Nova Iguaçu</v>
      </c>
      <c r="O1029" s="1" t="str">
        <f>_xlfn.XLOOKUP(ocupacao[[#This Row],[EspecialidadeID]],especialidades!$A:$A,especialidades!$B:$B,"",0)</f>
        <v>ULTRASSONOGRAFIA</v>
      </c>
      <c r="P1029" s="1" t="str">
        <f>TEXT(WEEKDAY(ocupacao[[#This Row],[Data]]),"ddd")</f>
        <v>qui</v>
      </c>
      <c r="Q1029" s="1">
        <f t="shared" si="16"/>
        <v>0</v>
      </c>
    </row>
    <row r="1030" spans="1:17" x14ac:dyDescent="0.25">
      <c r="A1030" s="2"/>
      <c r="F1030" s="1" t="s">
        <v>106</v>
      </c>
      <c r="K1030" s="33"/>
      <c r="L1030" s="1"/>
      <c r="M1030" s="1">
        <f>_xlfn.XLOOKUP(ocupacao[[#This Row],[UnidadeID]],unidades!$A:$A,unidades!$B:$B,"",0)</f>
        <v>0</v>
      </c>
      <c r="N1030" s="1">
        <f>_xlfn.XLOOKUP(ocupacao[[#This Row],[UnidadeID]],unidades!$A:$A,unidades!$C:$C,"",0)</f>
        <v>0</v>
      </c>
      <c r="O1030" s="1">
        <f>_xlfn.XLOOKUP(ocupacao[[#This Row],[EspecialidadeID]],especialidades!$A:$A,especialidades!$B:$B,"",0)</f>
        <v>0</v>
      </c>
      <c r="P1030" s="1" t="str">
        <f>TEXT(WEEKDAY(ocupacao[[#This Row],[Data]]),"ddd")</f>
        <v>sáb</v>
      </c>
      <c r="Q1030" s="1">
        <f t="shared" si="16"/>
        <v>0</v>
      </c>
    </row>
    <row r="1031" spans="1:17" x14ac:dyDescent="0.25">
      <c r="A1031" s="2">
        <v>44744</v>
      </c>
      <c r="B1031">
        <v>22</v>
      </c>
      <c r="C1031">
        <v>3</v>
      </c>
      <c r="D1031">
        <v>40</v>
      </c>
      <c r="E1031">
        <v>17888</v>
      </c>
      <c r="F1031" s="1" t="s">
        <v>146</v>
      </c>
      <c r="G1031">
        <v>0</v>
      </c>
      <c r="H1031">
        <v>2</v>
      </c>
      <c r="I1031">
        <v>10</v>
      </c>
      <c r="J1031">
        <v>12</v>
      </c>
      <c r="K1031" s="33">
        <v>0.16669999999999999</v>
      </c>
      <c r="L1031" s="1"/>
      <c r="M1031" s="1" t="str">
        <f>_xlfn.XLOOKUP(ocupacao[[#This Row],[UnidadeID]],unidades!$A:$A,unidades!$B:$B,"",0)</f>
        <v>Filial 1</v>
      </c>
      <c r="N1031" s="1" t="str">
        <f>_xlfn.XLOOKUP(ocupacao[[#This Row],[UnidadeID]],unidades!$A:$A,unidades!$C:$C,"",0)</f>
        <v>Nova Iguaçu</v>
      </c>
      <c r="O1031" s="1" t="str">
        <f>_xlfn.XLOOKUP(ocupacao[[#This Row],[EspecialidadeID]],especialidades!$A:$A,especialidades!$B:$B,"",0)</f>
        <v>MAMOGRAFIA</v>
      </c>
      <c r="P1031" s="1" t="str">
        <f>TEXT(WEEKDAY(ocupacao[[#This Row],[Data]]),"ddd")</f>
        <v>sáb</v>
      </c>
      <c r="Q1031" s="1">
        <f t="shared" si="16"/>
        <v>0</v>
      </c>
    </row>
    <row r="1032" spans="1:17" hidden="1" x14ac:dyDescent="0.25">
      <c r="A1032" s="2"/>
      <c r="F1032" s="1"/>
      <c r="K1032" s="33"/>
      <c r="L1032" s="1"/>
      <c r="M1032" s="1"/>
      <c r="N1032" s="1"/>
      <c r="O1032" s="1"/>
      <c r="P1032" s="1"/>
      <c r="Q1032" s="1"/>
    </row>
    <row r="1033" spans="1:17" x14ac:dyDescent="0.25">
      <c r="A1033" s="2">
        <v>44746</v>
      </c>
      <c r="B1033">
        <v>22</v>
      </c>
      <c r="C1033">
        <v>3</v>
      </c>
      <c r="D1033">
        <v>40</v>
      </c>
      <c r="E1033">
        <v>17888</v>
      </c>
      <c r="F1033" s="1" t="s">
        <v>146</v>
      </c>
      <c r="G1033">
        <v>0</v>
      </c>
      <c r="H1033">
        <v>0</v>
      </c>
      <c r="I1033">
        <v>9</v>
      </c>
      <c r="J1033">
        <v>9</v>
      </c>
      <c r="K1033" s="33">
        <v>0</v>
      </c>
      <c r="L1033" s="1"/>
      <c r="M1033" s="1" t="str">
        <f>_xlfn.XLOOKUP(ocupacao[[#This Row],[UnidadeID]],unidades!$A:$A,unidades!$B:$B,"",0)</f>
        <v>Filial 1</v>
      </c>
      <c r="N1033" s="1" t="str">
        <f>_xlfn.XLOOKUP(ocupacao[[#This Row],[UnidadeID]],unidades!$A:$A,unidades!$C:$C,"",0)</f>
        <v>Nova Iguaçu</v>
      </c>
      <c r="O1033" s="1" t="str">
        <f>_xlfn.XLOOKUP(ocupacao[[#This Row],[EspecialidadeID]],especialidades!$A:$A,especialidades!$B:$B,"",0)</f>
        <v>MAMOGRAFIA</v>
      </c>
      <c r="P1033" s="1" t="str">
        <f>TEXT(WEEKDAY(ocupacao[[#This Row],[Data]]),"ddd")</f>
        <v>seg</v>
      </c>
      <c r="Q1033" s="1">
        <f t="shared" si="16"/>
        <v>0</v>
      </c>
    </row>
    <row r="1034" spans="1:17" x14ac:dyDescent="0.25">
      <c r="A1034" s="2">
        <v>44746</v>
      </c>
      <c r="B1034">
        <v>24</v>
      </c>
      <c r="C1034">
        <v>3</v>
      </c>
      <c r="D1034">
        <v>59</v>
      </c>
      <c r="E1034">
        <v>17889</v>
      </c>
      <c r="F1034" s="1" t="s">
        <v>155</v>
      </c>
      <c r="G1034">
        <v>0</v>
      </c>
      <c r="H1034">
        <v>0</v>
      </c>
      <c r="I1034">
        <v>18</v>
      </c>
      <c r="J1034">
        <v>18</v>
      </c>
      <c r="K1034" s="33">
        <v>0</v>
      </c>
      <c r="L1034" s="1"/>
      <c r="M1034" s="1" t="str">
        <f>_xlfn.XLOOKUP(ocupacao[[#This Row],[UnidadeID]],unidades!$A:$A,unidades!$B:$B,"",0)</f>
        <v>Nilópolis</v>
      </c>
      <c r="N1034" s="1" t="str">
        <f>_xlfn.XLOOKUP(ocupacao[[#This Row],[UnidadeID]],unidades!$A:$A,unidades!$C:$C,"",0)</f>
        <v>Nilópolis</v>
      </c>
      <c r="O1034" s="1" t="str">
        <f>_xlfn.XLOOKUP(ocupacao[[#This Row],[EspecialidadeID]],especialidades!$A:$A,especialidades!$B:$B,"",0)</f>
        <v>MAMOGRAFIA</v>
      </c>
      <c r="P1034" s="1" t="str">
        <f>TEXT(WEEKDAY(ocupacao[[#This Row],[Data]]),"ddd")</f>
        <v>seg</v>
      </c>
      <c r="Q1034" s="1">
        <f t="shared" si="16"/>
        <v>0</v>
      </c>
    </row>
    <row r="1035" spans="1:17" hidden="1" x14ac:dyDescent="0.25">
      <c r="A1035" s="2">
        <v>44747</v>
      </c>
      <c r="B1035">
        <v>22</v>
      </c>
      <c r="C1035">
        <v>3</v>
      </c>
      <c r="D1035">
        <v>40</v>
      </c>
      <c r="E1035">
        <v>17888</v>
      </c>
      <c r="F1035" s="1" t="s">
        <v>146</v>
      </c>
      <c r="G1035">
        <v>0</v>
      </c>
      <c r="H1035">
        <v>0</v>
      </c>
      <c r="I1035">
        <v>24</v>
      </c>
      <c r="J1035">
        <v>24</v>
      </c>
      <c r="K1035" s="33">
        <v>0</v>
      </c>
      <c r="L1035" s="1"/>
      <c r="M1035" s="1"/>
      <c r="N1035" s="1"/>
      <c r="O1035" s="1"/>
      <c r="P1035" s="1"/>
      <c r="Q1035" s="1"/>
    </row>
    <row r="1036" spans="1:17" x14ac:dyDescent="0.25">
      <c r="A1036" s="2">
        <v>44747</v>
      </c>
      <c r="B1036">
        <v>22</v>
      </c>
      <c r="C1036">
        <v>3</v>
      </c>
      <c r="D1036">
        <v>40</v>
      </c>
      <c r="E1036">
        <v>17888</v>
      </c>
      <c r="F1036" s="1" t="s">
        <v>146</v>
      </c>
      <c r="G1036">
        <v>0</v>
      </c>
      <c r="H1036">
        <v>0</v>
      </c>
      <c r="I1036">
        <v>9</v>
      </c>
      <c r="J1036">
        <v>9</v>
      </c>
      <c r="K1036" s="33">
        <v>0</v>
      </c>
      <c r="L1036" s="1"/>
      <c r="M1036" s="1" t="str">
        <f>_xlfn.XLOOKUP(ocupacao[[#This Row],[UnidadeID]],unidades!$A:$A,unidades!$B:$B,"",0)</f>
        <v>Filial 1</v>
      </c>
      <c r="N1036" s="1" t="str">
        <f>_xlfn.XLOOKUP(ocupacao[[#This Row],[UnidadeID]],unidades!$A:$A,unidades!$C:$C,"",0)</f>
        <v>Nova Iguaçu</v>
      </c>
      <c r="O1036" s="1" t="str">
        <f>_xlfn.XLOOKUP(ocupacao[[#This Row],[EspecialidadeID]],especialidades!$A:$A,especialidades!$B:$B,"",0)</f>
        <v>MAMOGRAFIA</v>
      </c>
      <c r="P1036" s="1" t="str">
        <f>TEXT(WEEKDAY(ocupacao[[#This Row],[Data]]),"ddd")</f>
        <v>ter</v>
      </c>
      <c r="Q1036" s="1">
        <f t="shared" si="16"/>
        <v>0</v>
      </c>
    </row>
    <row r="1037" spans="1:17" x14ac:dyDescent="0.25">
      <c r="A1037" s="2">
        <v>44747</v>
      </c>
      <c r="B1037">
        <v>24</v>
      </c>
      <c r="C1037">
        <v>3</v>
      </c>
      <c r="D1037">
        <v>59</v>
      </c>
      <c r="E1037">
        <v>17889</v>
      </c>
      <c r="F1037" s="1" t="s">
        <v>155</v>
      </c>
      <c r="G1037">
        <v>0</v>
      </c>
      <c r="H1037">
        <v>0</v>
      </c>
      <c r="I1037">
        <v>30</v>
      </c>
      <c r="J1037">
        <v>30</v>
      </c>
      <c r="K1037" s="33">
        <v>0</v>
      </c>
      <c r="L1037" s="1"/>
      <c r="M1037" s="1" t="str">
        <f>_xlfn.XLOOKUP(ocupacao[[#This Row],[UnidadeID]],unidades!$A:$A,unidades!$B:$B,"",0)</f>
        <v>Nilópolis</v>
      </c>
      <c r="N1037" s="1" t="str">
        <f>_xlfn.XLOOKUP(ocupacao[[#This Row],[UnidadeID]],unidades!$A:$A,unidades!$C:$C,"",0)</f>
        <v>Nilópolis</v>
      </c>
      <c r="O1037" s="1" t="str">
        <f>_xlfn.XLOOKUP(ocupacao[[#This Row],[EspecialidadeID]],especialidades!$A:$A,especialidades!$B:$B,"",0)</f>
        <v>MAMOGRAFIA</v>
      </c>
      <c r="P1037" s="1" t="str">
        <f>TEXT(WEEKDAY(ocupacao[[#This Row],[Data]]),"ddd")</f>
        <v>ter</v>
      </c>
      <c r="Q1037" s="1">
        <f t="shared" si="16"/>
        <v>0</v>
      </c>
    </row>
    <row r="1038" spans="1:17" hidden="1" x14ac:dyDescent="0.25">
      <c r="A1038" s="2"/>
      <c r="F1038" s="1"/>
      <c r="K1038" s="33"/>
      <c r="L1038" s="1"/>
      <c r="M1038" s="1"/>
      <c r="N1038" s="1"/>
      <c r="O1038" s="1"/>
      <c r="P1038" s="1"/>
      <c r="Q1038" s="1"/>
    </row>
    <row r="1039" spans="1:17" hidden="1" x14ac:dyDescent="0.25">
      <c r="A1039" s="2">
        <v>44748</v>
      </c>
      <c r="B1039">
        <v>22</v>
      </c>
      <c r="C1039">
        <v>3</v>
      </c>
      <c r="D1039">
        <v>40</v>
      </c>
      <c r="E1039">
        <v>17888</v>
      </c>
      <c r="F1039" s="1" t="s">
        <v>146</v>
      </c>
      <c r="G1039">
        <v>0</v>
      </c>
      <c r="H1039">
        <v>0</v>
      </c>
      <c r="I1039">
        <v>9</v>
      </c>
      <c r="J1039">
        <v>9</v>
      </c>
      <c r="K1039" s="33">
        <v>0</v>
      </c>
      <c r="L1039" s="1"/>
      <c r="M1039" s="1"/>
      <c r="N1039" s="1"/>
      <c r="O1039" s="1"/>
      <c r="P1039" s="1"/>
      <c r="Q1039" s="1"/>
    </row>
    <row r="1040" spans="1:17" x14ac:dyDescent="0.25">
      <c r="A1040" s="2">
        <v>44748</v>
      </c>
      <c r="B1040">
        <v>24</v>
      </c>
      <c r="C1040">
        <v>3</v>
      </c>
      <c r="D1040">
        <v>59</v>
      </c>
      <c r="E1040">
        <v>17889</v>
      </c>
      <c r="F1040" s="1" t="s">
        <v>155</v>
      </c>
      <c r="G1040">
        <v>0</v>
      </c>
      <c r="H1040">
        <v>0</v>
      </c>
      <c r="I1040">
        <v>18</v>
      </c>
      <c r="J1040">
        <v>18</v>
      </c>
      <c r="K1040" s="33">
        <v>0</v>
      </c>
      <c r="L1040" s="1"/>
      <c r="M1040" s="1" t="str">
        <f>_xlfn.XLOOKUP(ocupacao[[#This Row],[UnidadeID]],unidades!$A:$A,unidades!$B:$B,"",0)</f>
        <v>Nilópolis</v>
      </c>
      <c r="N1040" s="1" t="str">
        <f>_xlfn.XLOOKUP(ocupacao[[#This Row],[UnidadeID]],unidades!$A:$A,unidades!$C:$C,"",0)</f>
        <v>Nilópolis</v>
      </c>
      <c r="O1040" s="1" t="str">
        <f>_xlfn.XLOOKUP(ocupacao[[#This Row],[EspecialidadeID]],especialidades!$A:$A,especialidades!$B:$B,"",0)</f>
        <v>MAMOGRAFIA</v>
      </c>
      <c r="P1040" s="1" t="str">
        <f>TEXT(WEEKDAY(ocupacao[[#This Row],[Data]]),"ddd")</f>
        <v>qua</v>
      </c>
      <c r="Q1040" s="1">
        <f t="shared" si="16"/>
        <v>0</v>
      </c>
    </row>
    <row r="1041" spans="1:17" hidden="1" x14ac:dyDescent="0.25">
      <c r="A1041" s="2"/>
      <c r="F1041" s="1"/>
      <c r="K1041" s="33"/>
      <c r="L1041" s="1"/>
      <c r="M1041" s="1"/>
      <c r="N1041" s="1"/>
      <c r="O1041" s="1"/>
      <c r="P1041" s="1"/>
      <c r="Q1041" s="1"/>
    </row>
    <row r="1042" spans="1:17" x14ac:dyDescent="0.25">
      <c r="A1042" s="2">
        <v>44749</v>
      </c>
      <c r="B1042">
        <v>22</v>
      </c>
      <c r="C1042">
        <v>3</v>
      </c>
      <c r="D1042">
        <v>40</v>
      </c>
      <c r="E1042">
        <v>17888</v>
      </c>
      <c r="F1042" s="1" t="s">
        <v>146</v>
      </c>
      <c r="G1042">
        <v>0</v>
      </c>
      <c r="H1042">
        <v>0</v>
      </c>
      <c r="I1042">
        <v>9</v>
      </c>
      <c r="J1042">
        <v>9</v>
      </c>
      <c r="K1042" s="33">
        <v>0</v>
      </c>
      <c r="L1042" s="1"/>
      <c r="M1042" s="1" t="str">
        <f>_xlfn.XLOOKUP(ocupacao[[#This Row],[UnidadeID]],unidades!$A:$A,unidades!$B:$B,"",0)</f>
        <v>Filial 1</v>
      </c>
      <c r="N1042" s="1" t="str">
        <f>_xlfn.XLOOKUP(ocupacao[[#This Row],[UnidadeID]],unidades!$A:$A,unidades!$C:$C,"",0)</f>
        <v>Nova Iguaçu</v>
      </c>
      <c r="O1042" s="1" t="str">
        <f>_xlfn.XLOOKUP(ocupacao[[#This Row],[EspecialidadeID]],especialidades!$A:$A,especialidades!$B:$B,"",0)</f>
        <v>MAMOGRAFIA</v>
      </c>
      <c r="P1042" s="1" t="str">
        <f>TEXT(WEEKDAY(ocupacao[[#This Row],[Data]]),"ddd")</f>
        <v>qui</v>
      </c>
      <c r="Q1042" s="1">
        <f t="shared" si="16"/>
        <v>0</v>
      </c>
    </row>
    <row r="1043" spans="1:17" x14ac:dyDescent="0.25">
      <c r="A1043" s="2">
        <v>44749</v>
      </c>
      <c r="B1043">
        <v>24</v>
      </c>
      <c r="C1043">
        <v>3</v>
      </c>
      <c r="D1043">
        <v>59</v>
      </c>
      <c r="E1043">
        <v>17889</v>
      </c>
      <c r="F1043" s="1" t="s">
        <v>155</v>
      </c>
      <c r="G1043">
        <v>0</v>
      </c>
      <c r="H1043">
        <v>0</v>
      </c>
      <c r="I1043">
        <v>30</v>
      </c>
      <c r="J1043">
        <v>30</v>
      </c>
      <c r="K1043" s="33">
        <v>0</v>
      </c>
      <c r="L1043" s="1"/>
      <c r="M1043" s="1" t="str">
        <f>_xlfn.XLOOKUP(ocupacao[[#This Row],[UnidadeID]],unidades!$A:$A,unidades!$B:$B,"",0)</f>
        <v>Nilópolis</v>
      </c>
      <c r="N1043" s="1" t="str">
        <f>_xlfn.XLOOKUP(ocupacao[[#This Row],[UnidadeID]],unidades!$A:$A,unidades!$C:$C,"",0)</f>
        <v>Nilópolis</v>
      </c>
      <c r="O1043" s="1" t="str">
        <f>_xlfn.XLOOKUP(ocupacao[[#This Row],[EspecialidadeID]],especialidades!$A:$A,especialidades!$B:$B,"",0)</f>
        <v>MAMOGRAFIA</v>
      </c>
      <c r="P1043" s="1" t="str">
        <f>TEXT(WEEKDAY(ocupacao[[#This Row],[Data]]),"ddd")</f>
        <v>qui</v>
      </c>
      <c r="Q1043" s="1">
        <f t="shared" si="16"/>
        <v>0</v>
      </c>
    </row>
    <row r="1044" spans="1:17" hidden="1" x14ac:dyDescent="0.25">
      <c r="A1044" s="2"/>
      <c r="F1044" s="1"/>
      <c r="K1044" s="33"/>
      <c r="L1044" s="1"/>
      <c r="M1044" s="1"/>
      <c r="N1044" s="1"/>
      <c r="O1044" s="1"/>
      <c r="P1044" s="1"/>
      <c r="Q1044" s="1"/>
    </row>
    <row r="1045" spans="1:17" x14ac:dyDescent="0.25">
      <c r="A1045" s="2">
        <v>44750</v>
      </c>
      <c r="B1045">
        <v>22</v>
      </c>
      <c r="C1045">
        <v>3</v>
      </c>
      <c r="D1045">
        <v>40</v>
      </c>
      <c r="E1045">
        <v>17888</v>
      </c>
      <c r="F1045" s="1" t="s">
        <v>146</v>
      </c>
      <c r="G1045">
        <v>0</v>
      </c>
      <c r="H1045">
        <v>0</v>
      </c>
      <c r="I1045">
        <v>9</v>
      </c>
      <c r="J1045">
        <v>9</v>
      </c>
      <c r="K1045" s="33">
        <v>0</v>
      </c>
      <c r="L1045" s="1"/>
      <c r="M1045" s="1" t="str">
        <f>_xlfn.XLOOKUP(ocupacao[[#This Row],[UnidadeID]],unidades!$A:$A,unidades!$B:$B,"",0)</f>
        <v>Filial 1</v>
      </c>
      <c r="N1045" s="1" t="str">
        <f>_xlfn.XLOOKUP(ocupacao[[#This Row],[UnidadeID]],unidades!$A:$A,unidades!$C:$C,"",0)</f>
        <v>Nova Iguaçu</v>
      </c>
      <c r="O1045" s="1" t="str">
        <f>_xlfn.XLOOKUP(ocupacao[[#This Row],[EspecialidadeID]],especialidades!$A:$A,especialidades!$B:$B,"",0)</f>
        <v>MAMOGRAFIA</v>
      </c>
      <c r="P1045" s="1" t="str">
        <f>TEXT(WEEKDAY(ocupacao[[#This Row],[Data]]),"ddd")</f>
        <v>sex</v>
      </c>
      <c r="Q1045" s="1">
        <f t="shared" si="16"/>
        <v>0</v>
      </c>
    </row>
    <row r="1046" spans="1:17" x14ac:dyDescent="0.25">
      <c r="A1046" s="2">
        <v>44750</v>
      </c>
      <c r="B1046">
        <v>24</v>
      </c>
      <c r="C1046">
        <v>3</v>
      </c>
      <c r="D1046">
        <v>59</v>
      </c>
      <c r="E1046">
        <v>17889</v>
      </c>
      <c r="F1046" s="1" t="s">
        <v>155</v>
      </c>
      <c r="G1046">
        <v>0</v>
      </c>
      <c r="H1046">
        <v>0</v>
      </c>
      <c r="I1046">
        <v>18</v>
      </c>
      <c r="J1046">
        <v>18</v>
      </c>
      <c r="K1046" s="33">
        <v>0</v>
      </c>
      <c r="L1046" s="1"/>
      <c r="M1046" s="1" t="str">
        <f>_xlfn.XLOOKUP(ocupacao[[#This Row],[UnidadeID]],unidades!$A:$A,unidades!$B:$B,"",0)</f>
        <v>Nilópolis</v>
      </c>
      <c r="N1046" s="1" t="str">
        <f>_xlfn.XLOOKUP(ocupacao[[#This Row],[UnidadeID]],unidades!$A:$A,unidades!$C:$C,"",0)</f>
        <v>Nilópolis</v>
      </c>
      <c r="O1046" s="1" t="str">
        <f>_xlfn.XLOOKUP(ocupacao[[#This Row],[EspecialidadeID]],especialidades!$A:$A,especialidades!$B:$B,"",0)</f>
        <v>MAMOGRAFIA</v>
      </c>
      <c r="P1046" s="1" t="str">
        <f>TEXT(WEEKDAY(ocupacao[[#This Row],[Data]]),"ddd")</f>
        <v>sex</v>
      </c>
      <c r="Q1046" s="1">
        <f t="shared" si="16"/>
        <v>0</v>
      </c>
    </row>
    <row r="1047" spans="1:17" hidden="1" x14ac:dyDescent="0.25">
      <c r="A1047" s="2"/>
      <c r="F1047" s="1"/>
      <c r="K1047" s="33"/>
      <c r="L1047" s="1"/>
      <c r="M1047" s="1"/>
      <c r="N1047" s="1"/>
      <c r="O1047" s="1"/>
      <c r="P1047" s="1"/>
      <c r="Q1047" s="1"/>
    </row>
    <row r="1048" spans="1:17" hidden="1" x14ac:dyDescent="0.25">
      <c r="A1048" s="2"/>
      <c r="F1048" s="1"/>
      <c r="K1048" s="33"/>
      <c r="L1048" s="1"/>
      <c r="M1048" s="1"/>
      <c r="N1048" s="1"/>
      <c r="O1048" s="1"/>
      <c r="P1048" s="1"/>
      <c r="Q1048" s="1"/>
    </row>
    <row r="1049" spans="1:17" x14ac:dyDescent="0.25">
      <c r="A1049" s="2">
        <v>44753</v>
      </c>
      <c r="B1049">
        <v>22</v>
      </c>
      <c r="C1049">
        <v>3</v>
      </c>
      <c r="D1049">
        <v>40</v>
      </c>
      <c r="E1049">
        <v>17888</v>
      </c>
      <c r="F1049" s="1" t="s">
        <v>146</v>
      </c>
      <c r="G1049">
        <v>0</v>
      </c>
      <c r="H1049">
        <v>0</v>
      </c>
      <c r="I1049">
        <v>9</v>
      </c>
      <c r="J1049">
        <v>9</v>
      </c>
      <c r="K1049" s="33">
        <v>0</v>
      </c>
      <c r="L1049" s="1"/>
      <c r="M1049" s="1" t="str">
        <f>_xlfn.XLOOKUP(ocupacao[[#This Row],[UnidadeID]],unidades!$A:$A,unidades!$B:$B,"",0)</f>
        <v>Filial 1</v>
      </c>
      <c r="N1049" s="1" t="str">
        <f>_xlfn.XLOOKUP(ocupacao[[#This Row],[UnidadeID]],unidades!$A:$A,unidades!$C:$C,"",0)</f>
        <v>Nova Iguaçu</v>
      </c>
      <c r="O1049" s="1" t="str">
        <f>_xlfn.XLOOKUP(ocupacao[[#This Row],[EspecialidadeID]],especialidades!$A:$A,especialidades!$B:$B,"",0)</f>
        <v>MAMOGRAFIA</v>
      </c>
      <c r="P1049" s="1" t="str">
        <f>TEXT(WEEKDAY(ocupacao[[#This Row],[Data]]),"ddd")</f>
        <v>seg</v>
      </c>
      <c r="Q1049" s="1">
        <f t="shared" si="16"/>
        <v>0</v>
      </c>
    </row>
    <row r="1050" spans="1:17" x14ac:dyDescent="0.25">
      <c r="A1050" s="2">
        <v>44753</v>
      </c>
      <c r="B1050">
        <v>24</v>
      </c>
      <c r="C1050">
        <v>3</v>
      </c>
      <c r="D1050">
        <v>59</v>
      </c>
      <c r="E1050">
        <v>17889</v>
      </c>
      <c r="F1050" s="1" t="s">
        <v>155</v>
      </c>
      <c r="G1050">
        <v>0</v>
      </c>
      <c r="H1050">
        <v>0</v>
      </c>
      <c r="I1050">
        <v>18</v>
      </c>
      <c r="J1050">
        <v>18</v>
      </c>
      <c r="K1050" s="33">
        <v>0</v>
      </c>
      <c r="L1050" s="1"/>
      <c r="M1050" s="1" t="str">
        <f>_xlfn.XLOOKUP(ocupacao[[#This Row],[UnidadeID]],unidades!$A:$A,unidades!$B:$B,"",0)</f>
        <v>Nilópolis</v>
      </c>
      <c r="N1050" s="1" t="str">
        <f>_xlfn.XLOOKUP(ocupacao[[#This Row],[UnidadeID]],unidades!$A:$A,unidades!$C:$C,"",0)</f>
        <v>Nilópolis</v>
      </c>
      <c r="O1050" s="1" t="str">
        <f>_xlfn.XLOOKUP(ocupacao[[#This Row],[EspecialidadeID]],especialidades!$A:$A,especialidades!$B:$B,"",0)</f>
        <v>MAMOGRAFIA</v>
      </c>
      <c r="P1050" s="1" t="str">
        <f>TEXT(WEEKDAY(ocupacao[[#This Row],[Data]]),"ddd")</f>
        <v>seg</v>
      </c>
      <c r="Q1050" s="1">
        <f t="shared" si="16"/>
        <v>0</v>
      </c>
    </row>
    <row r="1051" spans="1:17" hidden="1" x14ac:dyDescent="0.25">
      <c r="A1051" s="2"/>
      <c r="F1051" s="1"/>
      <c r="K1051" s="33"/>
      <c r="L1051" s="1"/>
      <c r="M1051" s="1"/>
      <c r="N1051" s="1"/>
      <c r="O1051" s="1"/>
      <c r="P1051" s="1"/>
      <c r="Q1051" s="1"/>
    </row>
    <row r="1052" spans="1:17" x14ac:dyDescent="0.25">
      <c r="A1052" s="2">
        <v>44754</v>
      </c>
      <c r="B1052">
        <v>22</v>
      </c>
      <c r="C1052">
        <v>3</v>
      </c>
      <c r="D1052">
        <v>40</v>
      </c>
      <c r="E1052">
        <v>17888</v>
      </c>
      <c r="F1052" s="1" t="s">
        <v>146</v>
      </c>
      <c r="G1052">
        <v>0</v>
      </c>
      <c r="H1052">
        <v>0</v>
      </c>
      <c r="I1052">
        <v>9</v>
      </c>
      <c r="J1052">
        <v>9</v>
      </c>
      <c r="K1052" s="33">
        <v>0</v>
      </c>
      <c r="L1052" s="1"/>
      <c r="M1052" s="1" t="str">
        <f>_xlfn.XLOOKUP(ocupacao[[#This Row],[UnidadeID]],unidades!$A:$A,unidades!$B:$B,"",0)</f>
        <v>Filial 1</v>
      </c>
      <c r="N1052" s="1" t="str">
        <f>_xlfn.XLOOKUP(ocupacao[[#This Row],[UnidadeID]],unidades!$A:$A,unidades!$C:$C,"",0)</f>
        <v>Nova Iguaçu</v>
      </c>
      <c r="O1052" s="1" t="str">
        <f>_xlfn.XLOOKUP(ocupacao[[#This Row],[EspecialidadeID]],especialidades!$A:$A,especialidades!$B:$B,"",0)</f>
        <v>MAMOGRAFIA</v>
      </c>
      <c r="P1052" s="1" t="str">
        <f>TEXT(WEEKDAY(ocupacao[[#This Row],[Data]]),"ddd")</f>
        <v>ter</v>
      </c>
      <c r="Q1052" s="1">
        <f t="shared" si="16"/>
        <v>0</v>
      </c>
    </row>
    <row r="1053" spans="1:17" x14ac:dyDescent="0.25">
      <c r="A1053" s="2">
        <v>44754</v>
      </c>
      <c r="B1053">
        <v>24</v>
      </c>
      <c r="C1053">
        <v>3</v>
      </c>
      <c r="D1053">
        <v>59</v>
      </c>
      <c r="E1053">
        <v>17889</v>
      </c>
      <c r="F1053" s="1" t="s">
        <v>155</v>
      </c>
      <c r="G1053">
        <v>0</v>
      </c>
      <c r="H1053">
        <v>1</v>
      </c>
      <c r="I1053">
        <v>29</v>
      </c>
      <c r="J1053">
        <v>30</v>
      </c>
      <c r="K1053" s="33">
        <v>3.3300000000000003E-2</v>
      </c>
      <c r="L1053" s="1"/>
      <c r="M1053" s="1" t="str">
        <f>_xlfn.XLOOKUP(ocupacao[[#This Row],[UnidadeID]],unidades!$A:$A,unidades!$B:$B,"",0)</f>
        <v>Nilópolis</v>
      </c>
      <c r="N1053" s="1" t="str">
        <f>_xlfn.XLOOKUP(ocupacao[[#This Row],[UnidadeID]],unidades!$A:$A,unidades!$C:$C,"",0)</f>
        <v>Nilópolis</v>
      </c>
      <c r="O1053" s="1" t="str">
        <f>_xlfn.XLOOKUP(ocupacao[[#This Row],[EspecialidadeID]],especialidades!$A:$A,especialidades!$B:$B,"",0)</f>
        <v>MAMOGRAFIA</v>
      </c>
      <c r="P1053" s="1" t="str">
        <f>TEXT(WEEKDAY(ocupacao[[#This Row],[Data]]),"ddd")</f>
        <v>ter</v>
      </c>
      <c r="Q1053" s="1">
        <f t="shared" si="16"/>
        <v>0</v>
      </c>
    </row>
    <row r="1054" spans="1:17" hidden="1" x14ac:dyDescent="0.25">
      <c r="A1054" s="2"/>
      <c r="F1054" s="1"/>
      <c r="K1054" s="33"/>
      <c r="L1054" s="1"/>
      <c r="M1054" s="1"/>
      <c r="N1054" s="1"/>
      <c r="O1054" s="1"/>
      <c r="P1054" s="1"/>
      <c r="Q1054" s="1"/>
    </row>
    <row r="1055" spans="1:17" x14ac:dyDescent="0.25">
      <c r="A1055" s="2">
        <v>44755</v>
      </c>
      <c r="B1055">
        <v>22</v>
      </c>
      <c r="C1055">
        <v>3</v>
      </c>
      <c r="D1055">
        <v>40</v>
      </c>
      <c r="E1055">
        <v>17888</v>
      </c>
      <c r="F1055" s="1" t="s">
        <v>146</v>
      </c>
      <c r="G1055">
        <v>0</v>
      </c>
      <c r="H1055">
        <v>0</v>
      </c>
      <c r="I1055">
        <v>9</v>
      </c>
      <c r="J1055">
        <v>9</v>
      </c>
      <c r="K1055" s="33">
        <v>0</v>
      </c>
      <c r="L1055" s="1"/>
      <c r="M1055" s="1" t="str">
        <f>_xlfn.XLOOKUP(ocupacao[[#This Row],[UnidadeID]],unidades!$A:$A,unidades!$B:$B,"",0)</f>
        <v>Filial 1</v>
      </c>
      <c r="N1055" s="1" t="str">
        <f>_xlfn.XLOOKUP(ocupacao[[#This Row],[UnidadeID]],unidades!$A:$A,unidades!$C:$C,"",0)</f>
        <v>Nova Iguaçu</v>
      </c>
      <c r="O1055" s="1" t="str">
        <f>_xlfn.XLOOKUP(ocupacao[[#This Row],[EspecialidadeID]],especialidades!$A:$A,especialidades!$B:$B,"",0)</f>
        <v>MAMOGRAFIA</v>
      </c>
      <c r="P1055" s="1" t="str">
        <f>TEXT(WEEKDAY(ocupacao[[#This Row],[Data]]),"ddd")</f>
        <v>qua</v>
      </c>
      <c r="Q1055" s="1">
        <f t="shared" si="16"/>
        <v>0</v>
      </c>
    </row>
    <row r="1056" spans="1:17" x14ac:dyDescent="0.25">
      <c r="A1056" s="2">
        <v>44755</v>
      </c>
      <c r="B1056">
        <v>24</v>
      </c>
      <c r="C1056">
        <v>3</v>
      </c>
      <c r="D1056">
        <v>59</v>
      </c>
      <c r="E1056">
        <v>17889</v>
      </c>
      <c r="F1056" s="1" t="s">
        <v>155</v>
      </c>
      <c r="G1056">
        <v>0</v>
      </c>
      <c r="H1056">
        <v>0</v>
      </c>
      <c r="I1056">
        <v>18</v>
      </c>
      <c r="J1056">
        <v>18</v>
      </c>
      <c r="K1056" s="33">
        <v>0</v>
      </c>
      <c r="L1056" s="1"/>
      <c r="M1056" s="1" t="str">
        <f>_xlfn.XLOOKUP(ocupacao[[#This Row],[UnidadeID]],unidades!$A:$A,unidades!$B:$B,"",0)</f>
        <v>Nilópolis</v>
      </c>
      <c r="N1056" s="1" t="str">
        <f>_xlfn.XLOOKUP(ocupacao[[#This Row],[UnidadeID]],unidades!$A:$A,unidades!$C:$C,"",0)</f>
        <v>Nilópolis</v>
      </c>
      <c r="O1056" s="1" t="str">
        <f>_xlfn.XLOOKUP(ocupacao[[#This Row],[EspecialidadeID]],especialidades!$A:$A,especialidades!$B:$B,"",0)</f>
        <v>MAMOGRAFIA</v>
      </c>
      <c r="P1056" s="1" t="str">
        <f>TEXT(WEEKDAY(ocupacao[[#This Row],[Data]]),"ddd")</f>
        <v>qua</v>
      </c>
      <c r="Q1056" s="1">
        <f t="shared" si="16"/>
        <v>0</v>
      </c>
    </row>
    <row r="1057" spans="1:17" hidden="1" x14ac:dyDescent="0.25">
      <c r="A1057" s="2"/>
      <c r="F1057" s="1"/>
      <c r="K1057" s="33"/>
      <c r="L1057" s="1"/>
      <c r="M1057" s="1"/>
      <c r="N1057" s="1"/>
      <c r="O1057" s="1"/>
      <c r="P1057" s="1"/>
      <c r="Q1057" s="1"/>
    </row>
    <row r="1058" spans="1:17" x14ac:dyDescent="0.25">
      <c r="A1058" s="2">
        <v>44756</v>
      </c>
      <c r="B1058">
        <v>22</v>
      </c>
      <c r="C1058">
        <v>3</v>
      </c>
      <c r="D1058">
        <v>40</v>
      </c>
      <c r="E1058">
        <v>17888</v>
      </c>
      <c r="F1058" s="1" t="s">
        <v>146</v>
      </c>
      <c r="G1058">
        <v>0</v>
      </c>
      <c r="H1058">
        <v>0</v>
      </c>
      <c r="I1058">
        <v>9</v>
      </c>
      <c r="J1058">
        <v>9</v>
      </c>
      <c r="K1058" s="33">
        <v>0</v>
      </c>
      <c r="L1058" s="1"/>
      <c r="M1058" s="1" t="str">
        <f>_xlfn.XLOOKUP(ocupacao[[#This Row],[UnidadeID]],unidades!$A:$A,unidades!$B:$B,"",0)</f>
        <v>Filial 1</v>
      </c>
      <c r="N1058" s="1" t="str">
        <f>_xlfn.XLOOKUP(ocupacao[[#This Row],[UnidadeID]],unidades!$A:$A,unidades!$C:$C,"",0)</f>
        <v>Nova Iguaçu</v>
      </c>
      <c r="O1058" s="1" t="str">
        <f>_xlfn.XLOOKUP(ocupacao[[#This Row],[EspecialidadeID]],especialidades!$A:$A,especialidades!$B:$B,"",0)</f>
        <v>MAMOGRAFIA</v>
      </c>
      <c r="P1058" s="1" t="str">
        <f>TEXT(WEEKDAY(ocupacao[[#This Row],[Data]]),"ddd")</f>
        <v>qui</v>
      </c>
      <c r="Q1058" s="1">
        <f t="shared" si="16"/>
        <v>0</v>
      </c>
    </row>
    <row r="1059" spans="1:17" x14ac:dyDescent="0.25">
      <c r="A1059" s="2">
        <v>44756</v>
      </c>
      <c r="B1059">
        <v>24</v>
      </c>
      <c r="C1059">
        <v>3</v>
      </c>
      <c r="D1059">
        <v>59</v>
      </c>
      <c r="E1059">
        <v>17889</v>
      </c>
      <c r="F1059" s="1" t="s">
        <v>155</v>
      </c>
      <c r="G1059">
        <v>0</v>
      </c>
      <c r="H1059">
        <v>0</v>
      </c>
      <c r="I1059">
        <v>30</v>
      </c>
      <c r="J1059">
        <v>30</v>
      </c>
      <c r="K1059" s="33">
        <v>0</v>
      </c>
      <c r="L1059" s="1"/>
      <c r="M1059" s="1" t="str">
        <f>_xlfn.XLOOKUP(ocupacao[[#This Row],[UnidadeID]],unidades!$A:$A,unidades!$B:$B,"",0)</f>
        <v>Nilópolis</v>
      </c>
      <c r="N1059" s="1" t="str">
        <f>_xlfn.XLOOKUP(ocupacao[[#This Row],[UnidadeID]],unidades!$A:$A,unidades!$C:$C,"",0)</f>
        <v>Nilópolis</v>
      </c>
      <c r="O1059" s="1" t="str">
        <f>_xlfn.XLOOKUP(ocupacao[[#This Row],[EspecialidadeID]],especialidades!$A:$A,especialidades!$B:$B,"",0)</f>
        <v>MAMOGRAFIA</v>
      </c>
      <c r="P1059" s="1" t="str">
        <f>TEXT(WEEKDAY(ocupacao[[#This Row],[Data]]),"ddd")</f>
        <v>qui</v>
      </c>
      <c r="Q1059" s="1">
        <f t="shared" si="16"/>
        <v>0</v>
      </c>
    </row>
    <row r="1060" spans="1:17" x14ac:dyDescent="0.25">
      <c r="A1060" s="2"/>
      <c r="F1060" s="1" t="s">
        <v>106</v>
      </c>
      <c r="K1060" s="33"/>
      <c r="L1060" s="1"/>
      <c r="M1060" s="1">
        <f>_xlfn.XLOOKUP(ocupacao[[#This Row],[UnidadeID]],unidades!$A:$A,unidades!$B:$B,"",0)</f>
        <v>0</v>
      </c>
      <c r="N1060" s="1">
        <f>_xlfn.XLOOKUP(ocupacao[[#This Row],[UnidadeID]],unidades!$A:$A,unidades!$C:$C,"",0)</f>
        <v>0</v>
      </c>
      <c r="O1060" s="1">
        <f>_xlfn.XLOOKUP(ocupacao[[#This Row],[EspecialidadeID]],especialidades!$A:$A,especialidades!$B:$B,"",0)</f>
        <v>0</v>
      </c>
      <c r="P1060" s="1" t="str">
        <f>TEXT(WEEKDAY(ocupacao[[#This Row],[Data]]),"ddd")</f>
        <v>sáb</v>
      </c>
      <c r="Q1060" s="1">
        <f t="shared" si="16"/>
        <v>0</v>
      </c>
    </row>
    <row r="1061" spans="1:17" hidden="1" x14ac:dyDescent="0.25">
      <c r="A1061" s="2">
        <v>44744</v>
      </c>
      <c r="B1061">
        <v>0</v>
      </c>
      <c r="C1061">
        <v>4</v>
      </c>
      <c r="D1061">
        <v>24</v>
      </c>
      <c r="E1061">
        <v>174</v>
      </c>
      <c r="F1061" s="1" t="s">
        <v>156</v>
      </c>
      <c r="G1061">
        <v>0</v>
      </c>
      <c r="H1061">
        <v>0</v>
      </c>
      <c r="I1061">
        <v>24</v>
      </c>
      <c r="J1061">
        <v>24</v>
      </c>
      <c r="K1061" s="33">
        <v>0</v>
      </c>
      <c r="L1061" s="1"/>
      <c r="M1061" s="1"/>
      <c r="N1061" s="1"/>
      <c r="O1061" s="1"/>
      <c r="P1061" s="1"/>
      <c r="Q1061" s="1"/>
    </row>
    <row r="1062" spans="1:17" x14ac:dyDescent="0.25">
      <c r="A1062" s="2">
        <v>44745</v>
      </c>
      <c r="B1062">
        <v>0</v>
      </c>
      <c r="C1062">
        <v>4</v>
      </c>
      <c r="D1062">
        <v>24</v>
      </c>
      <c r="E1062">
        <v>174</v>
      </c>
      <c r="F1062" s="1" t="s">
        <v>156</v>
      </c>
      <c r="G1062">
        <v>0</v>
      </c>
      <c r="H1062">
        <v>1</v>
      </c>
      <c r="I1062">
        <v>17</v>
      </c>
      <c r="J1062">
        <v>18</v>
      </c>
      <c r="K1062" s="33">
        <v>5.5599999999999997E-2</v>
      </c>
      <c r="L1062" s="1"/>
      <c r="M1062" s="1" t="str">
        <f>_xlfn.XLOOKUP(ocupacao[[#This Row],[UnidadeID]],unidades!$A:$A,unidades!$B:$B,"",0)</f>
        <v>Matriz</v>
      </c>
      <c r="N1062" s="1" t="str">
        <f>_xlfn.XLOOKUP(ocupacao[[#This Row],[UnidadeID]],unidades!$A:$A,unidades!$C:$C,"",0)</f>
        <v>Nova Iguaçu</v>
      </c>
      <c r="O1062" s="1" t="str">
        <f>_xlfn.XLOOKUP(ocupacao[[#This Row],[EspecialidadeID]],especialidades!$A:$A,especialidades!$B:$B,"",0)</f>
        <v>TOMOGRAFIA</v>
      </c>
      <c r="P1062" s="1" t="str">
        <f>TEXT(WEEKDAY(ocupacao[[#This Row],[Data]]),"ddd")</f>
        <v>dom</v>
      </c>
      <c r="Q1062" s="1">
        <f t="shared" si="16"/>
        <v>1</v>
      </c>
    </row>
    <row r="1063" spans="1:17" x14ac:dyDescent="0.25">
      <c r="A1063" s="2">
        <v>44746</v>
      </c>
      <c r="B1063">
        <v>0</v>
      </c>
      <c r="C1063">
        <v>4</v>
      </c>
      <c r="D1063">
        <v>24</v>
      </c>
      <c r="E1063">
        <v>174</v>
      </c>
      <c r="F1063" s="1" t="s">
        <v>156</v>
      </c>
      <c r="G1063">
        <v>0</v>
      </c>
      <c r="H1063">
        <v>1</v>
      </c>
      <c r="I1063">
        <v>31</v>
      </c>
      <c r="J1063">
        <v>32</v>
      </c>
      <c r="K1063" s="33">
        <v>3.1300000000000001E-2</v>
      </c>
      <c r="L1063" s="1"/>
      <c r="M1063" s="1" t="str">
        <f>_xlfn.XLOOKUP(ocupacao[[#This Row],[UnidadeID]],unidades!$A:$A,unidades!$B:$B,"",0)</f>
        <v>Matriz</v>
      </c>
      <c r="N1063" s="1" t="str">
        <f>_xlfn.XLOOKUP(ocupacao[[#This Row],[UnidadeID]],unidades!$A:$A,unidades!$C:$C,"",0)</f>
        <v>Nova Iguaçu</v>
      </c>
      <c r="O1063" s="1" t="str">
        <f>_xlfn.XLOOKUP(ocupacao[[#This Row],[EspecialidadeID]],especialidades!$A:$A,especialidades!$B:$B,"",0)</f>
        <v>TOMOGRAFIA</v>
      </c>
      <c r="P1063" s="1" t="str">
        <f>TEXT(WEEKDAY(ocupacao[[#This Row],[Data]]),"ddd")</f>
        <v>seg</v>
      </c>
      <c r="Q1063" s="1">
        <f t="shared" si="16"/>
        <v>1</v>
      </c>
    </row>
    <row r="1064" spans="1:17" x14ac:dyDescent="0.25">
      <c r="A1064" s="2">
        <v>44746</v>
      </c>
      <c r="B1064">
        <v>0</v>
      </c>
      <c r="C1064">
        <v>4</v>
      </c>
      <c r="D1064">
        <v>24</v>
      </c>
      <c r="E1064">
        <v>174</v>
      </c>
      <c r="F1064" s="1" t="s">
        <v>156</v>
      </c>
      <c r="G1064">
        <v>0</v>
      </c>
      <c r="H1064">
        <v>2</v>
      </c>
      <c r="I1064">
        <v>10</v>
      </c>
      <c r="J1064">
        <v>12</v>
      </c>
      <c r="K1064" s="33">
        <v>0.16669999999999999</v>
      </c>
      <c r="L1064" s="1"/>
      <c r="M1064" s="1" t="str">
        <f>_xlfn.XLOOKUP(ocupacao[[#This Row],[UnidadeID]],unidades!$A:$A,unidades!$B:$B,"",0)</f>
        <v>Matriz</v>
      </c>
      <c r="N1064" s="1" t="str">
        <f>_xlfn.XLOOKUP(ocupacao[[#This Row],[UnidadeID]],unidades!$A:$A,unidades!$C:$C,"",0)</f>
        <v>Nova Iguaçu</v>
      </c>
      <c r="O1064" s="1" t="str">
        <f>_xlfn.XLOOKUP(ocupacao[[#This Row],[EspecialidadeID]],especialidades!$A:$A,especialidades!$B:$B,"",0)</f>
        <v>TOMOGRAFIA</v>
      </c>
      <c r="P1064" s="1" t="str">
        <f>TEXT(WEEKDAY(ocupacao[[#This Row],[Data]]),"ddd")</f>
        <v>seg</v>
      </c>
      <c r="Q1064" s="1">
        <f t="shared" si="16"/>
        <v>0</v>
      </c>
    </row>
    <row r="1065" spans="1:17" hidden="1" x14ac:dyDescent="0.25">
      <c r="A1065" s="2"/>
      <c r="F1065" s="1"/>
      <c r="K1065" s="33"/>
      <c r="L1065" s="1"/>
      <c r="M1065" s="1"/>
      <c r="N1065" s="1"/>
      <c r="O1065" s="1"/>
      <c r="P1065" s="1"/>
      <c r="Q1065" s="1"/>
    </row>
    <row r="1066" spans="1:17" hidden="1" x14ac:dyDescent="0.25">
      <c r="A1066" s="2"/>
      <c r="F1066" s="1"/>
      <c r="K1066" s="33"/>
      <c r="L1066" s="1"/>
      <c r="M1066" s="1"/>
      <c r="N1066" s="1"/>
      <c r="O1066" s="1"/>
      <c r="P1066" s="1"/>
      <c r="Q1066" s="1"/>
    </row>
    <row r="1067" spans="1:17" x14ac:dyDescent="0.25">
      <c r="A1067" s="2">
        <v>44748</v>
      </c>
      <c r="B1067">
        <v>0</v>
      </c>
      <c r="C1067">
        <v>4</v>
      </c>
      <c r="D1067">
        <v>24</v>
      </c>
      <c r="E1067">
        <v>174</v>
      </c>
      <c r="F1067" s="1" t="s">
        <v>156</v>
      </c>
      <c r="G1067">
        <v>0</v>
      </c>
      <c r="H1067">
        <v>1</v>
      </c>
      <c r="I1067">
        <v>32</v>
      </c>
      <c r="J1067">
        <v>33</v>
      </c>
      <c r="K1067" s="33">
        <v>3.0300000000000001E-2</v>
      </c>
      <c r="L1067" s="1"/>
      <c r="M1067" s="1" t="str">
        <f>_xlfn.XLOOKUP(ocupacao[[#This Row],[UnidadeID]],unidades!$A:$A,unidades!$B:$B,"",0)</f>
        <v>Matriz</v>
      </c>
      <c r="N1067" s="1" t="str">
        <f>_xlfn.XLOOKUP(ocupacao[[#This Row],[UnidadeID]],unidades!$A:$A,unidades!$C:$C,"",0)</f>
        <v>Nova Iguaçu</v>
      </c>
      <c r="O1067" s="1" t="str">
        <f>_xlfn.XLOOKUP(ocupacao[[#This Row],[EspecialidadeID]],especialidades!$A:$A,especialidades!$B:$B,"",0)</f>
        <v>TOMOGRAFIA</v>
      </c>
      <c r="P1067" s="1" t="str">
        <f>TEXT(WEEKDAY(ocupacao[[#This Row],[Data]]),"ddd")</f>
        <v>qua</v>
      </c>
      <c r="Q1067" s="1">
        <f t="shared" si="16"/>
        <v>0</v>
      </c>
    </row>
    <row r="1068" spans="1:17" hidden="1" x14ac:dyDescent="0.25">
      <c r="A1068" s="2"/>
      <c r="F1068" s="1"/>
      <c r="K1068" s="33"/>
      <c r="L1068" s="1"/>
      <c r="M1068" s="1"/>
      <c r="N1068" s="1"/>
      <c r="O1068" s="1"/>
      <c r="P1068" s="1"/>
      <c r="Q1068" s="1"/>
    </row>
    <row r="1069" spans="1:17" hidden="1" x14ac:dyDescent="0.25">
      <c r="A1069" s="2"/>
      <c r="F1069" s="1"/>
      <c r="K1069" s="33"/>
      <c r="L1069" s="1"/>
      <c r="M1069" s="1"/>
      <c r="N1069" s="1"/>
      <c r="O1069" s="1"/>
      <c r="P1069" s="1"/>
      <c r="Q1069" s="1"/>
    </row>
    <row r="1070" spans="1:17" hidden="1" x14ac:dyDescent="0.25">
      <c r="A1070" s="2"/>
      <c r="F1070" s="1"/>
      <c r="K1070" s="33"/>
      <c r="L1070" s="1"/>
      <c r="M1070" s="1"/>
      <c r="N1070" s="1"/>
      <c r="O1070" s="1"/>
      <c r="P1070" s="1"/>
      <c r="Q1070" s="1"/>
    </row>
    <row r="1071" spans="1:17" hidden="1" x14ac:dyDescent="0.25">
      <c r="A1071" s="2">
        <v>44750</v>
      </c>
      <c r="B1071">
        <v>0</v>
      </c>
      <c r="C1071">
        <v>4</v>
      </c>
      <c r="D1071">
        <v>24</v>
      </c>
      <c r="E1071">
        <v>174</v>
      </c>
      <c r="F1071" s="1" t="s">
        <v>156</v>
      </c>
      <c r="G1071">
        <v>0</v>
      </c>
      <c r="H1071">
        <v>0</v>
      </c>
      <c r="I1071">
        <v>32</v>
      </c>
      <c r="J1071">
        <v>32</v>
      </c>
      <c r="K1071" s="33">
        <v>0</v>
      </c>
      <c r="L1071" s="1"/>
      <c r="M1071" s="1"/>
      <c r="N1071" s="1"/>
      <c r="O1071" s="1"/>
      <c r="P1071" s="1"/>
      <c r="Q1071" s="1"/>
    </row>
    <row r="1072" spans="1:17" hidden="1" x14ac:dyDescent="0.25">
      <c r="A1072" s="2"/>
      <c r="F1072" s="1"/>
      <c r="K1072" s="33"/>
      <c r="L1072" s="1"/>
      <c r="M1072" s="1"/>
      <c r="N1072" s="1"/>
      <c r="O1072" s="1"/>
      <c r="P1072" s="1"/>
      <c r="Q1072" s="1"/>
    </row>
    <row r="1073" spans="1:17" hidden="1" x14ac:dyDescent="0.25">
      <c r="A1073" s="2"/>
      <c r="F1073" s="1"/>
      <c r="K1073" s="33"/>
      <c r="L1073" s="1"/>
      <c r="M1073" s="1"/>
      <c r="N1073" s="1"/>
      <c r="O1073" s="1"/>
      <c r="P1073" s="1"/>
      <c r="Q1073" s="1"/>
    </row>
    <row r="1074" spans="1:17" hidden="1" x14ac:dyDescent="0.25">
      <c r="A1074" s="2">
        <v>44752</v>
      </c>
      <c r="B1074">
        <v>0</v>
      </c>
      <c r="C1074">
        <v>4</v>
      </c>
      <c r="D1074">
        <v>24</v>
      </c>
      <c r="E1074">
        <v>174</v>
      </c>
      <c r="F1074" s="1" t="s">
        <v>156</v>
      </c>
      <c r="G1074">
        <v>0</v>
      </c>
      <c r="H1074">
        <v>0</v>
      </c>
      <c r="I1074">
        <v>18</v>
      </c>
      <c r="J1074">
        <v>18</v>
      </c>
      <c r="K1074" s="33">
        <v>0</v>
      </c>
      <c r="L1074" s="1"/>
      <c r="M1074" s="1"/>
      <c r="N1074" s="1"/>
      <c r="O1074" s="1"/>
      <c r="P1074" s="1"/>
      <c r="Q1074" s="1"/>
    </row>
    <row r="1075" spans="1:17" hidden="1" x14ac:dyDescent="0.25">
      <c r="A1075" s="2"/>
      <c r="F1075" s="1"/>
      <c r="K1075" s="33"/>
      <c r="L1075" s="1"/>
      <c r="M1075" s="1"/>
      <c r="N1075" s="1"/>
      <c r="O1075" s="1"/>
      <c r="P1075" s="1"/>
      <c r="Q1075" s="1"/>
    </row>
    <row r="1076" spans="1:17" hidden="1" x14ac:dyDescent="0.25">
      <c r="A1076" s="2"/>
      <c r="F1076" s="1"/>
      <c r="K1076" s="33"/>
      <c r="L1076" s="1"/>
      <c r="M1076" s="1"/>
      <c r="N1076" s="1"/>
      <c r="O1076" s="1"/>
      <c r="P1076" s="1"/>
      <c r="Q1076" s="1"/>
    </row>
    <row r="1077" spans="1:17" hidden="1" x14ac:dyDescent="0.25">
      <c r="A1077" s="2">
        <v>44754</v>
      </c>
      <c r="B1077">
        <v>0</v>
      </c>
      <c r="C1077">
        <v>4</v>
      </c>
      <c r="D1077">
        <v>24</v>
      </c>
      <c r="E1077">
        <v>174</v>
      </c>
      <c r="F1077" s="1" t="s">
        <v>156</v>
      </c>
      <c r="G1077">
        <v>0</v>
      </c>
      <c r="H1077">
        <v>0</v>
      </c>
      <c r="I1077">
        <v>32</v>
      </c>
      <c r="J1077">
        <v>32</v>
      </c>
      <c r="K1077" s="33">
        <v>0</v>
      </c>
      <c r="L1077" s="1"/>
      <c r="M1077" s="1"/>
      <c r="N1077" s="1"/>
      <c r="O1077" s="1"/>
      <c r="P1077" s="1"/>
      <c r="Q1077" s="1"/>
    </row>
    <row r="1078" spans="1:17" hidden="1" x14ac:dyDescent="0.25">
      <c r="A1078" s="2"/>
      <c r="F1078" s="1"/>
      <c r="K1078" s="33"/>
      <c r="L1078" s="1"/>
      <c r="M1078" s="1"/>
      <c r="N1078" s="1"/>
      <c r="O1078" s="1"/>
      <c r="P1078" s="1"/>
      <c r="Q1078" s="1"/>
    </row>
    <row r="1079" spans="1:17" hidden="1" x14ac:dyDescent="0.25">
      <c r="A1079" s="2"/>
      <c r="F1079" s="1"/>
      <c r="K1079" s="33"/>
      <c r="L1079" s="1"/>
      <c r="M1079" s="1"/>
      <c r="N1079" s="1"/>
      <c r="O1079" s="1"/>
      <c r="P1079" s="1"/>
      <c r="Q1079" s="1"/>
    </row>
    <row r="1080" spans="1:17" hidden="1" x14ac:dyDescent="0.25">
      <c r="A1080" s="2">
        <v>44755</v>
      </c>
      <c r="B1080">
        <v>0</v>
      </c>
      <c r="C1080">
        <v>4</v>
      </c>
      <c r="D1080">
        <v>24</v>
      </c>
      <c r="E1080">
        <v>174</v>
      </c>
      <c r="F1080" s="1" t="s">
        <v>156</v>
      </c>
      <c r="G1080">
        <v>0</v>
      </c>
      <c r="H1080">
        <v>0</v>
      </c>
      <c r="I1080">
        <v>12</v>
      </c>
      <c r="J1080">
        <v>12</v>
      </c>
      <c r="K1080" s="33">
        <v>0</v>
      </c>
      <c r="L1080" s="1"/>
      <c r="M1080" s="1"/>
      <c r="N1080" s="1"/>
      <c r="O1080" s="1"/>
      <c r="P1080" s="1"/>
      <c r="Q1080" s="1"/>
    </row>
    <row r="1081" spans="1:17" hidden="1" x14ac:dyDescent="0.25">
      <c r="A1081" s="2"/>
      <c r="F1081" s="1"/>
      <c r="K1081" s="33"/>
      <c r="L1081" s="1"/>
      <c r="M1081" s="1"/>
      <c r="N1081" s="1"/>
      <c r="O1081" s="1"/>
      <c r="P1081" s="1"/>
      <c r="Q1081" s="1"/>
    </row>
    <row r="1082" spans="1:17" x14ac:dyDescent="0.25">
      <c r="A1082" s="2">
        <v>44756</v>
      </c>
      <c r="B1082">
        <v>0</v>
      </c>
      <c r="C1082">
        <v>4</v>
      </c>
      <c r="D1082">
        <v>24</v>
      </c>
      <c r="E1082">
        <v>174</v>
      </c>
      <c r="F1082" s="1" t="s">
        <v>156</v>
      </c>
      <c r="G1082">
        <v>0</v>
      </c>
      <c r="H1082">
        <v>0</v>
      </c>
      <c r="I1082">
        <v>12</v>
      </c>
      <c r="J1082">
        <v>12</v>
      </c>
      <c r="K1082" s="33">
        <v>0</v>
      </c>
      <c r="L1082" s="1"/>
      <c r="M1082" s="1" t="str">
        <f>_xlfn.XLOOKUP(ocupacao[[#This Row],[UnidadeID]],unidades!$A:$A,unidades!$B:$B,"",0)</f>
        <v>Matriz</v>
      </c>
      <c r="N1082" s="1" t="str">
        <f>_xlfn.XLOOKUP(ocupacao[[#This Row],[UnidadeID]],unidades!$A:$A,unidades!$C:$C,"",0)</f>
        <v>Nova Iguaçu</v>
      </c>
      <c r="O1082" s="1" t="str">
        <f>_xlfn.XLOOKUP(ocupacao[[#This Row],[EspecialidadeID]],especialidades!$A:$A,especialidades!$B:$B,"",0)</f>
        <v>TOMOGRAFIA</v>
      </c>
      <c r="P1082" s="1" t="str">
        <f>TEXT(WEEKDAY(ocupacao[[#This Row],[Data]]),"ddd")</f>
        <v>qui</v>
      </c>
      <c r="Q1082" s="1">
        <f t="shared" si="16"/>
        <v>0</v>
      </c>
    </row>
    <row r="1083" spans="1:17" hidden="1" x14ac:dyDescent="0.25">
      <c r="A1083" s="2"/>
      <c r="F1083" s="1" t="s">
        <v>106</v>
      </c>
      <c r="K1083" s="33"/>
      <c r="L1083" s="1"/>
      <c r="M1083" s="1"/>
      <c r="N1083" s="1"/>
      <c r="O1083" s="1"/>
      <c r="P1083" s="1"/>
      <c r="Q1083" s="1"/>
    </row>
    <row r="1084" spans="1:17" x14ac:dyDescent="0.25">
      <c r="A1084" s="2">
        <v>44744</v>
      </c>
      <c r="B1084">
        <v>10</v>
      </c>
      <c r="C1084">
        <v>5</v>
      </c>
      <c r="D1084">
        <v>2</v>
      </c>
      <c r="E1084">
        <v>57</v>
      </c>
      <c r="F1084" s="1" t="s">
        <v>88</v>
      </c>
      <c r="G1084">
        <v>0</v>
      </c>
      <c r="H1084">
        <v>0</v>
      </c>
      <c r="I1084">
        <v>27</v>
      </c>
      <c r="J1084">
        <v>27</v>
      </c>
      <c r="K1084" s="33">
        <v>0</v>
      </c>
      <c r="L1084" s="1"/>
      <c r="M1084" s="1" t="str">
        <f>_xlfn.XLOOKUP(ocupacao[[#This Row],[UnidadeID]],unidades!$A:$A,unidades!$B:$B,"",0)</f>
        <v>Filial 2 - 10º</v>
      </c>
      <c r="N1084" s="1" t="str">
        <f>_xlfn.XLOOKUP(ocupacao[[#This Row],[UnidadeID]],unidades!$A:$A,unidades!$C:$C,"",0)</f>
        <v>Nova Iguaçu</v>
      </c>
      <c r="O1084" s="1" t="str">
        <f>_xlfn.XLOOKUP(ocupacao[[#This Row],[EspecialidadeID]],especialidades!$A:$A,especialidades!$B:$B,"",0)</f>
        <v>CARDIOLOGIA</v>
      </c>
      <c r="P1084" s="1" t="str">
        <f>TEXT(WEEKDAY(ocupacao[[#This Row],[Data]]),"ddd")</f>
        <v>sáb</v>
      </c>
      <c r="Q1084" s="1">
        <f t="shared" si="16"/>
        <v>0</v>
      </c>
    </row>
    <row r="1085" spans="1:17" hidden="1" x14ac:dyDescent="0.25">
      <c r="A1085" s="2"/>
      <c r="F1085" s="1"/>
      <c r="K1085" s="33"/>
      <c r="L1085" s="1"/>
      <c r="M1085" s="1"/>
      <c r="N1085" s="1"/>
      <c r="O1085" s="1"/>
      <c r="P1085" s="1"/>
      <c r="Q1085" s="1"/>
    </row>
    <row r="1086" spans="1:17" hidden="1" x14ac:dyDescent="0.25">
      <c r="A1086" s="2">
        <v>44744</v>
      </c>
      <c r="B1086">
        <v>34</v>
      </c>
      <c r="C1086">
        <v>5</v>
      </c>
      <c r="D1086">
        <v>375</v>
      </c>
      <c r="E1086">
        <v>60</v>
      </c>
      <c r="F1086" s="1" t="s">
        <v>113</v>
      </c>
      <c r="G1086">
        <v>0</v>
      </c>
      <c r="H1086">
        <v>4</v>
      </c>
      <c r="I1086">
        <v>37</v>
      </c>
      <c r="J1086">
        <v>41</v>
      </c>
      <c r="K1086" s="33">
        <v>9.7600000000000006E-2</v>
      </c>
      <c r="L1086" s="1"/>
      <c r="M1086" s="1"/>
      <c r="N1086" s="1"/>
      <c r="O1086" s="1"/>
      <c r="P1086" s="1"/>
      <c r="Q1086" s="1"/>
    </row>
    <row r="1087" spans="1:17" hidden="1" x14ac:dyDescent="0.25">
      <c r="A1087" s="2">
        <v>44746</v>
      </c>
      <c r="B1087">
        <v>24</v>
      </c>
      <c r="C1087">
        <v>5</v>
      </c>
      <c r="D1087">
        <v>66</v>
      </c>
      <c r="E1087">
        <v>60</v>
      </c>
      <c r="F1087" s="1" t="s">
        <v>113</v>
      </c>
      <c r="G1087">
        <v>0</v>
      </c>
      <c r="H1087">
        <v>1</v>
      </c>
      <c r="I1087">
        <v>0</v>
      </c>
      <c r="J1087">
        <v>1</v>
      </c>
      <c r="K1087" s="33">
        <v>1</v>
      </c>
      <c r="L1087" s="1"/>
      <c r="M1087" s="1"/>
      <c r="N1087" s="1"/>
      <c r="O1087" s="1"/>
      <c r="P1087" s="1"/>
      <c r="Q1087" s="1"/>
    </row>
    <row r="1088" spans="1:17" x14ac:dyDescent="0.25">
      <c r="A1088" s="2">
        <v>44746</v>
      </c>
      <c r="B1088">
        <v>24</v>
      </c>
      <c r="C1088">
        <v>5</v>
      </c>
      <c r="D1088">
        <v>66</v>
      </c>
      <c r="E1088">
        <v>60</v>
      </c>
      <c r="F1088" s="1" t="s">
        <v>113</v>
      </c>
      <c r="G1088">
        <v>0</v>
      </c>
      <c r="H1088">
        <v>11</v>
      </c>
      <c r="I1088">
        <v>0</v>
      </c>
      <c r="J1088">
        <v>11</v>
      </c>
      <c r="K1088" s="33">
        <v>1</v>
      </c>
      <c r="L1088" s="1"/>
      <c r="M1088" s="1" t="str">
        <f>_xlfn.XLOOKUP(ocupacao[[#This Row],[UnidadeID]],unidades!$A:$A,unidades!$B:$B,"",0)</f>
        <v>Nilópolis</v>
      </c>
      <c r="N1088" s="1" t="str">
        <f>_xlfn.XLOOKUP(ocupacao[[#This Row],[UnidadeID]],unidades!$A:$A,unidades!$C:$C,"",0)</f>
        <v>Nilópolis</v>
      </c>
      <c r="O1088" s="1" t="str">
        <f>_xlfn.XLOOKUP(ocupacao[[#This Row],[EspecialidadeID]],especialidades!$A:$A,especialidades!$B:$B,"",0)</f>
        <v>CARDIOLOGIA</v>
      </c>
      <c r="P1088" s="1" t="str">
        <f>TEXT(WEEKDAY(ocupacao[[#This Row],[Data]]),"ddd")</f>
        <v>seg</v>
      </c>
      <c r="Q1088" s="1">
        <f t="shared" si="16"/>
        <v>0</v>
      </c>
    </row>
    <row r="1089" spans="1:17" x14ac:dyDescent="0.25">
      <c r="A1089" s="2">
        <v>44746</v>
      </c>
      <c r="B1089">
        <v>18</v>
      </c>
      <c r="C1089">
        <v>5</v>
      </c>
      <c r="D1089">
        <v>78</v>
      </c>
      <c r="E1089">
        <v>10595</v>
      </c>
      <c r="F1089" s="1" t="s">
        <v>353</v>
      </c>
      <c r="G1089">
        <v>4</v>
      </c>
      <c r="H1089">
        <v>0</v>
      </c>
      <c r="I1089">
        <v>37</v>
      </c>
      <c r="J1089">
        <v>41</v>
      </c>
      <c r="K1089" s="33">
        <v>9.7600000000000006E-2</v>
      </c>
      <c r="L1089" s="1"/>
      <c r="M1089" s="1" t="str">
        <f>_xlfn.XLOOKUP(ocupacao[[#This Row],[UnidadeID]],unidades!$A:$A,unidades!$B:$B,"",0)</f>
        <v>Miguel Couto</v>
      </c>
      <c r="N1089" s="1" t="str">
        <f>_xlfn.XLOOKUP(ocupacao[[#This Row],[UnidadeID]],unidades!$A:$A,unidades!$C:$C,"",0)</f>
        <v>Miguel Couto</v>
      </c>
      <c r="O1089" s="1" t="str">
        <f>_xlfn.XLOOKUP(ocupacao[[#This Row],[EspecialidadeID]],especialidades!$A:$A,especialidades!$B:$B,"",0)</f>
        <v>CARDIOLOGIA</v>
      </c>
      <c r="P1089" s="1" t="str">
        <f>TEXT(WEEKDAY(ocupacao[[#This Row],[Data]]),"ddd")</f>
        <v>seg</v>
      </c>
      <c r="Q1089" s="1">
        <f t="shared" si="16"/>
        <v>1</v>
      </c>
    </row>
    <row r="1090" spans="1:17" hidden="1" x14ac:dyDescent="0.25">
      <c r="A1090" s="2">
        <v>44746</v>
      </c>
      <c r="B1090">
        <v>18</v>
      </c>
      <c r="C1090">
        <v>5</v>
      </c>
      <c r="D1090">
        <v>78</v>
      </c>
      <c r="E1090">
        <v>10595</v>
      </c>
      <c r="F1090" s="1" t="s">
        <v>353</v>
      </c>
      <c r="G1090">
        <v>4</v>
      </c>
      <c r="H1090">
        <v>8</v>
      </c>
      <c r="I1090">
        <v>37</v>
      </c>
      <c r="J1090">
        <v>49</v>
      </c>
      <c r="K1090" s="33">
        <v>0.24490000000000001</v>
      </c>
      <c r="L1090" s="1"/>
      <c r="M1090" s="1"/>
      <c r="N1090" s="1"/>
      <c r="O1090" s="1"/>
      <c r="P1090" s="1"/>
      <c r="Q1090" s="1"/>
    </row>
    <row r="1091" spans="1:17" x14ac:dyDescent="0.25">
      <c r="A1091" s="2">
        <v>44746</v>
      </c>
      <c r="B1091">
        <v>10</v>
      </c>
      <c r="C1091">
        <v>5</v>
      </c>
      <c r="D1091">
        <v>3</v>
      </c>
      <c r="E1091">
        <v>10946</v>
      </c>
      <c r="F1091" s="1" t="s">
        <v>354</v>
      </c>
      <c r="G1091">
        <v>0</v>
      </c>
      <c r="H1091">
        <v>24</v>
      </c>
      <c r="I1091">
        <v>0</v>
      </c>
      <c r="J1091">
        <v>24</v>
      </c>
      <c r="K1091" s="33">
        <v>1</v>
      </c>
      <c r="L1091" s="1"/>
      <c r="M1091" s="1" t="str">
        <f>_xlfn.XLOOKUP(ocupacao[[#This Row],[UnidadeID]],unidades!$A:$A,unidades!$B:$B,"",0)</f>
        <v>Filial 2 - 10º</v>
      </c>
      <c r="N1091" s="1" t="str">
        <f>_xlfn.XLOOKUP(ocupacao[[#This Row],[UnidadeID]],unidades!$A:$A,unidades!$C:$C,"",0)</f>
        <v>Nova Iguaçu</v>
      </c>
      <c r="O1091" s="1" t="str">
        <f>_xlfn.XLOOKUP(ocupacao[[#This Row],[EspecialidadeID]],especialidades!$A:$A,especialidades!$B:$B,"",0)</f>
        <v>CARDIOLOGIA</v>
      </c>
      <c r="P1091" s="1" t="str">
        <f>TEXT(WEEKDAY(ocupacao[[#This Row],[Data]]),"ddd")</f>
        <v>seg</v>
      </c>
      <c r="Q1091" s="1">
        <f t="shared" ref="Q1091:Q1153" si="17">IF(F1091=F1092,1,0)</f>
        <v>0</v>
      </c>
    </row>
    <row r="1092" spans="1:17" hidden="1" x14ac:dyDescent="0.25">
      <c r="A1092" s="2"/>
      <c r="F1092" s="1"/>
      <c r="K1092" s="33"/>
      <c r="L1092" s="1"/>
      <c r="M1092" s="1"/>
      <c r="N1092" s="1"/>
      <c r="O1092" s="1"/>
      <c r="P1092" s="1"/>
      <c r="Q1092" s="1"/>
    </row>
    <row r="1093" spans="1:17" hidden="1" x14ac:dyDescent="0.25">
      <c r="A1093" s="2">
        <v>44746</v>
      </c>
      <c r="B1093">
        <v>10</v>
      </c>
      <c r="C1093">
        <v>5</v>
      </c>
      <c r="D1093">
        <v>6</v>
      </c>
      <c r="E1093">
        <v>17951</v>
      </c>
      <c r="F1093" s="1" t="s">
        <v>371</v>
      </c>
      <c r="G1093">
        <v>0</v>
      </c>
      <c r="H1093">
        <v>23</v>
      </c>
      <c r="I1093">
        <v>1</v>
      </c>
      <c r="J1093">
        <v>24</v>
      </c>
      <c r="K1093" s="33">
        <v>0.95830000000000004</v>
      </c>
      <c r="L1093" s="1"/>
      <c r="M1093" s="1"/>
      <c r="N1093" s="1"/>
      <c r="O1093" s="1"/>
      <c r="P1093" s="1"/>
      <c r="Q1093" s="1"/>
    </row>
    <row r="1094" spans="1:17" x14ac:dyDescent="0.25">
      <c r="A1094" s="2">
        <v>44747</v>
      </c>
      <c r="B1094">
        <v>10</v>
      </c>
      <c r="C1094">
        <v>5</v>
      </c>
      <c r="D1094">
        <v>3</v>
      </c>
      <c r="E1094">
        <v>55</v>
      </c>
      <c r="F1094" s="1" t="s">
        <v>318</v>
      </c>
      <c r="G1094">
        <v>0</v>
      </c>
      <c r="H1094">
        <v>16</v>
      </c>
      <c r="I1094">
        <v>0</v>
      </c>
      <c r="J1094">
        <v>16</v>
      </c>
      <c r="K1094" s="33">
        <v>1</v>
      </c>
      <c r="L1094" s="1"/>
      <c r="M1094" s="1" t="str">
        <f>_xlfn.XLOOKUP(ocupacao[[#This Row],[UnidadeID]],unidades!$A:$A,unidades!$B:$B,"",0)</f>
        <v>Filial 2 - 10º</v>
      </c>
      <c r="N1094" s="1" t="str">
        <f>_xlfn.XLOOKUP(ocupacao[[#This Row],[UnidadeID]],unidades!$A:$A,unidades!$C:$C,"",0)</f>
        <v>Nova Iguaçu</v>
      </c>
      <c r="O1094" s="1" t="str">
        <f>_xlfn.XLOOKUP(ocupacao[[#This Row],[EspecialidadeID]],especialidades!$A:$A,especialidades!$B:$B,"",0)</f>
        <v>CARDIOLOGIA</v>
      </c>
      <c r="P1094" s="1" t="str">
        <f>TEXT(WEEKDAY(ocupacao[[#This Row],[Data]]),"ddd")</f>
        <v>ter</v>
      </c>
      <c r="Q1094" s="1">
        <f t="shared" si="17"/>
        <v>1</v>
      </c>
    </row>
    <row r="1095" spans="1:17" x14ac:dyDescent="0.25">
      <c r="A1095" s="2">
        <v>44747</v>
      </c>
      <c r="B1095">
        <v>10</v>
      </c>
      <c r="C1095">
        <v>5</v>
      </c>
      <c r="D1095">
        <v>3</v>
      </c>
      <c r="E1095">
        <v>55</v>
      </c>
      <c r="F1095" s="1" t="s">
        <v>318</v>
      </c>
      <c r="G1095">
        <v>0</v>
      </c>
      <c r="H1095">
        <v>16</v>
      </c>
      <c r="I1095">
        <v>0</v>
      </c>
      <c r="J1095">
        <v>16</v>
      </c>
      <c r="K1095" s="33">
        <v>1</v>
      </c>
      <c r="L1095" s="1"/>
      <c r="M1095" s="1" t="str">
        <f>_xlfn.XLOOKUP(ocupacao[[#This Row],[UnidadeID]],unidades!$A:$A,unidades!$B:$B,"",0)</f>
        <v>Filial 2 - 10º</v>
      </c>
      <c r="N1095" s="1" t="str">
        <f>_xlfn.XLOOKUP(ocupacao[[#This Row],[UnidadeID]],unidades!$A:$A,unidades!$C:$C,"",0)</f>
        <v>Nova Iguaçu</v>
      </c>
      <c r="O1095" s="1" t="str">
        <f>_xlfn.XLOOKUP(ocupacao[[#This Row],[EspecialidadeID]],especialidades!$A:$A,especialidades!$B:$B,"",0)</f>
        <v>CARDIOLOGIA</v>
      </c>
      <c r="P1095" s="1" t="str">
        <f>TEXT(WEEKDAY(ocupacao[[#This Row],[Data]]),"ddd")</f>
        <v>ter</v>
      </c>
      <c r="Q1095" s="1">
        <f t="shared" si="17"/>
        <v>0</v>
      </c>
    </row>
    <row r="1096" spans="1:17" x14ac:dyDescent="0.25">
      <c r="A1096" s="2">
        <v>44747</v>
      </c>
      <c r="B1096">
        <v>0</v>
      </c>
      <c r="C1096">
        <v>5</v>
      </c>
      <c r="D1096">
        <v>343</v>
      </c>
      <c r="E1096">
        <v>17951</v>
      </c>
      <c r="F1096" s="1" t="s">
        <v>371</v>
      </c>
      <c r="G1096">
        <v>0</v>
      </c>
      <c r="H1096">
        <v>18</v>
      </c>
      <c r="I1096">
        <v>0</v>
      </c>
      <c r="J1096">
        <v>18</v>
      </c>
      <c r="K1096" s="33">
        <v>1</v>
      </c>
      <c r="L1096" s="1"/>
      <c r="M1096" s="1" t="str">
        <f>_xlfn.XLOOKUP(ocupacao[[#This Row],[UnidadeID]],unidades!$A:$A,unidades!$B:$B,"",0)</f>
        <v>Matriz</v>
      </c>
      <c r="N1096" s="1" t="str">
        <f>_xlfn.XLOOKUP(ocupacao[[#This Row],[UnidadeID]],unidades!$A:$A,unidades!$C:$C,"",0)</f>
        <v>Nova Iguaçu</v>
      </c>
      <c r="O1096" s="1" t="str">
        <f>_xlfn.XLOOKUP(ocupacao[[#This Row],[EspecialidadeID]],especialidades!$A:$A,especialidades!$B:$B,"",0)</f>
        <v>CARDIOLOGIA</v>
      </c>
      <c r="P1096" s="1" t="str">
        <f>TEXT(WEEKDAY(ocupacao[[#This Row],[Data]]),"ddd")</f>
        <v>ter</v>
      </c>
      <c r="Q1096" s="1">
        <f t="shared" si="17"/>
        <v>0</v>
      </c>
    </row>
    <row r="1097" spans="1:17" hidden="1" x14ac:dyDescent="0.25">
      <c r="A1097" s="2">
        <v>44748</v>
      </c>
      <c r="B1097">
        <v>10</v>
      </c>
      <c r="C1097">
        <v>5</v>
      </c>
      <c r="D1097">
        <v>6</v>
      </c>
      <c r="E1097">
        <v>55</v>
      </c>
      <c r="F1097" s="1" t="s">
        <v>318</v>
      </c>
      <c r="G1097">
        <v>0</v>
      </c>
      <c r="H1097">
        <v>16</v>
      </c>
      <c r="I1097">
        <v>0</v>
      </c>
      <c r="J1097">
        <v>16</v>
      </c>
      <c r="K1097" s="33">
        <v>1</v>
      </c>
      <c r="L1097" s="1"/>
      <c r="M1097" s="1"/>
      <c r="N1097" s="1"/>
      <c r="O1097" s="1"/>
      <c r="P1097" s="1"/>
      <c r="Q1097" s="1"/>
    </row>
    <row r="1098" spans="1:17" hidden="1" x14ac:dyDescent="0.25">
      <c r="A1098" s="2">
        <v>44748</v>
      </c>
      <c r="B1098">
        <v>10</v>
      </c>
      <c r="C1098">
        <v>5</v>
      </c>
      <c r="D1098">
        <v>8</v>
      </c>
      <c r="E1098">
        <v>57</v>
      </c>
      <c r="F1098" s="1" t="s">
        <v>88</v>
      </c>
      <c r="G1098">
        <v>0</v>
      </c>
      <c r="H1098">
        <v>23</v>
      </c>
      <c r="I1098">
        <v>0</v>
      </c>
      <c r="J1098">
        <v>23</v>
      </c>
      <c r="K1098" s="33">
        <v>1</v>
      </c>
      <c r="L1098" s="1"/>
      <c r="M1098" s="1"/>
      <c r="N1098" s="1"/>
      <c r="O1098" s="1"/>
      <c r="P1098" s="1"/>
      <c r="Q1098" s="1"/>
    </row>
    <row r="1099" spans="1:17" hidden="1" x14ac:dyDescent="0.25">
      <c r="A1099" s="2">
        <v>44748</v>
      </c>
      <c r="B1099">
        <v>10</v>
      </c>
      <c r="C1099">
        <v>5</v>
      </c>
      <c r="D1099">
        <v>7</v>
      </c>
      <c r="E1099">
        <v>60</v>
      </c>
      <c r="F1099" s="1" t="s">
        <v>113</v>
      </c>
      <c r="G1099">
        <v>0</v>
      </c>
      <c r="H1099">
        <v>23</v>
      </c>
      <c r="I1099">
        <v>0</v>
      </c>
      <c r="J1099">
        <v>23</v>
      </c>
      <c r="K1099" s="33">
        <v>1</v>
      </c>
      <c r="L1099" s="1"/>
      <c r="M1099" s="1"/>
      <c r="N1099" s="1"/>
      <c r="O1099" s="1"/>
      <c r="P1099" s="1"/>
      <c r="Q1099" s="1"/>
    </row>
    <row r="1100" spans="1:17" hidden="1" x14ac:dyDescent="0.25">
      <c r="A1100" s="2"/>
      <c r="F1100" s="1"/>
      <c r="K1100" s="33"/>
      <c r="L1100" s="1"/>
      <c r="M1100" s="1"/>
      <c r="N1100" s="1"/>
      <c r="O1100" s="1"/>
      <c r="P1100" s="1"/>
      <c r="Q1100" s="1"/>
    </row>
    <row r="1101" spans="1:17" x14ac:dyDescent="0.25">
      <c r="A1101" s="2">
        <v>44749</v>
      </c>
      <c r="B1101">
        <v>10</v>
      </c>
      <c r="C1101">
        <v>5</v>
      </c>
      <c r="D1101">
        <v>3</v>
      </c>
      <c r="E1101">
        <v>55</v>
      </c>
      <c r="F1101" s="1" t="s">
        <v>318</v>
      </c>
      <c r="G1101">
        <v>0</v>
      </c>
      <c r="H1101">
        <v>12</v>
      </c>
      <c r="I1101">
        <v>4</v>
      </c>
      <c r="J1101">
        <v>16</v>
      </c>
      <c r="K1101" s="33">
        <v>0.75</v>
      </c>
      <c r="L1101" s="1"/>
      <c r="M1101" s="1" t="str">
        <f>_xlfn.XLOOKUP(ocupacao[[#This Row],[UnidadeID]],unidades!$A:$A,unidades!$B:$B,"",0)</f>
        <v>Filial 2 - 10º</v>
      </c>
      <c r="N1101" s="1" t="str">
        <f>_xlfn.XLOOKUP(ocupacao[[#This Row],[UnidadeID]],unidades!$A:$A,unidades!$C:$C,"",0)</f>
        <v>Nova Iguaçu</v>
      </c>
      <c r="O1101" s="1" t="str">
        <f>_xlfn.XLOOKUP(ocupacao[[#This Row],[EspecialidadeID]],especialidades!$A:$A,especialidades!$B:$B,"",0)</f>
        <v>CARDIOLOGIA</v>
      </c>
      <c r="P1101" s="1" t="str">
        <f>TEXT(WEEKDAY(ocupacao[[#This Row],[Data]]),"ddd")</f>
        <v>qui</v>
      </c>
      <c r="Q1101" s="1">
        <f t="shared" si="17"/>
        <v>0</v>
      </c>
    </row>
    <row r="1102" spans="1:17" hidden="1" x14ac:dyDescent="0.25">
      <c r="A1102" s="2"/>
      <c r="F1102" s="1"/>
      <c r="K1102" s="33"/>
      <c r="L1102" s="1"/>
      <c r="M1102" s="1"/>
      <c r="N1102" s="1"/>
      <c r="O1102" s="1"/>
      <c r="P1102" s="1"/>
      <c r="Q1102" s="1"/>
    </row>
    <row r="1103" spans="1:17" hidden="1" x14ac:dyDescent="0.25">
      <c r="A1103" s="2">
        <v>44749</v>
      </c>
      <c r="B1103">
        <v>10</v>
      </c>
      <c r="C1103">
        <v>5</v>
      </c>
      <c r="D1103">
        <v>8</v>
      </c>
      <c r="E1103">
        <v>9217</v>
      </c>
      <c r="F1103" s="1" t="s">
        <v>317</v>
      </c>
      <c r="G1103">
        <v>0</v>
      </c>
      <c r="H1103">
        <v>16</v>
      </c>
      <c r="I1103">
        <v>6</v>
      </c>
      <c r="J1103">
        <v>22</v>
      </c>
      <c r="K1103" s="33">
        <v>0.72729999999999995</v>
      </c>
      <c r="L1103" s="1"/>
      <c r="M1103" s="1"/>
      <c r="N1103" s="1"/>
      <c r="O1103" s="1"/>
      <c r="P1103" s="1"/>
      <c r="Q1103" s="1"/>
    </row>
    <row r="1104" spans="1:17" hidden="1" x14ac:dyDescent="0.25">
      <c r="A1104" s="2">
        <v>44749</v>
      </c>
      <c r="B1104">
        <v>0</v>
      </c>
      <c r="C1104">
        <v>5</v>
      </c>
      <c r="D1104">
        <v>345</v>
      </c>
      <c r="E1104">
        <v>17951</v>
      </c>
      <c r="F1104" s="1" t="s">
        <v>371</v>
      </c>
      <c r="G1104">
        <v>0</v>
      </c>
      <c r="H1104">
        <v>0</v>
      </c>
      <c r="I1104">
        <v>14</v>
      </c>
      <c r="J1104">
        <v>14</v>
      </c>
      <c r="K1104" s="33">
        <v>0</v>
      </c>
      <c r="L1104" s="1"/>
      <c r="M1104" s="1"/>
      <c r="N1104" s="1"/>
      <c r="O1104" s="1"/>
      <c r="P1104" s="1"/>
      <c r="Q1104" s="1"/>
    </row>
    <row r="1105" spans="1:17" x14ac:dyDescent="0.25">
      <c r="A1105" s="2">
        <v>44749</v>
      </c>
      <c r="B1105">
        <v>0</v>
      </c>
      <c r="C1105">
        <v>5</v>
      </c>
      <c r="D1105">
        <v>345</v>
      </c>
      <c r="E1105">
        <v>17951</v>
      </c>
      <c r="F1105" s="1" t="s">
        <v>371</v>
      </c>
      <c r="G1105">
        <v>0</v>
      </c>
      <c r="H1105">
        <v>4</v>
      </c>
      <c r="I1105">
        <v>14</v>
      </c>
      <c r="J1105">
        <v>18</v>
      </c>
      <c r="K1105" s="33">
        <v>0.22220000000000001</v>
      </c>
      <c r="L1105" s="1"/>
      <c r="M1105" s="1" t="str">
        <f>_xlfn.XLOOKUP(ocupacao[[#This Row],[UnidadeID]],unidades!$A:$A,unidades!$B:$B,"",0)</f>
        <v>Matriz</v>
      </c>
      <c r="N1105" s="1" t="str">
        <f>_xlfn.XLOOKUP(ocupacao[[#This Row],[UnidadeID]],unidades!$A:$A,unidades!$C:$C,"",0)</f>
        <v>Nova Iguaçu</v>
      </c>
      <c r="O1105" s="1" t="str">
        <f>_xlfn.XLOOKUP(ocupacao[[#This Row],[EspecialidadeID]],especialidades!$A:$A,especialidades!$B:$B,"",0)</f>
        <v>CARDIOLOGIA</v>
      </c>
      <c r="P1105" s="1" t="str">
        <f>TEXT(WEEKDAY(ocupacao[[#This Row],[Data]]),"ddd")</f>
        <v>qui</v>
      </c>
      <c r="Q1105" s="1">
        <f t="shared" si="17"/>
        <v>0</v>
      </c>
    </row>
    <row r="1106" spans="1:17" hidden="1" x14ac:dyDescent="0.25">
      <c r="A1106" s="2">
        <v>44750</v>
      </c>
      <c r="B1106">
        <v>24</v>
      </c>
      <c r="C1106">
        <v>5</v>
      </c>
      <c r="D1106">
        <v>68</v>
      </c>
      <c r="E1106">
        <v>55</v>
      </c>
      <c r="F1106" s="1" t="s">
        <v>318</v>
      </c>
      <c r="G1106">
        <v>0</v>
      </c>
      <c r="H1106">
        <v>0</v>
      </c>
      <c r="I1106">
        <v>27</v>
      </c>
      <c r="J1106">
        <v>27</v>
      </c>
      <c r="K1106" s="33">
        <v>0</v>
      </c>
      <c r="L1106" s="1"/>
      <c r="M1106" s="1"/>
      <c r="N1106" s="1"/>
      <c r="O1106" s="1"/>
      <c r="P1106" s="1"/>
      <c r="Q1106" s="1"/>
    </row>
    <row r="1107" spans="1:17" hidden="1" x14ac:dyDescent="0.25">
      <c r="A1107" s="2">
        <v>44750</v>
      </c>
      <c r="B1107">
        <v>24</v>
      </c>
      <c r="C1107">
        <v>5</v>
      </c>
      <c r="D1107">
        <v>68</v>
      </c>
      <c r="E1107">
        <v>55</v>
      </c>
      <c r="F1107" s="1" t="s">
        <v>318</v>
      </c>
      <c r="G1107">
        <v>0</v>
      </c>
      <c r="H1107">
        <v>5</v>
      </c>
      <c r="I1107">
        <v>27</v>
      </c>
      <c r="J1107">
        <v>32</v>
      </c>
      <c r="K1107" s="33">
        <v>0.15629999999999999</v>
      </c>
      <c r="L1107" s="1"/>
      <c r="M1107" s="1"/>
      <c r="N1107" s="1"/>
      <c r="O1107" s="1"/>
      <c r="P1107" s="1"/>
      <c r="Q1107" s="1"/>
    </row>
    <row r="1108" spans="1:17" hidden="1" x14ac:dyDescent="0.25">
      <c r="A1108" s="2">
        <v>44750</v>
      </c>
      <c r="B1108">
        <v>10</v>
      </c>
      <c r="C1108">
        <v>5</v>
      </c>
      <c r="D1108">
        <v>8</v>
      </c>
      <c r="E1108">
        <v>57</v>
      </c>
      <c r="F1108" s="1" t="s">
        <v>88</v>
      </c>
      <c r="G1108">
        <v>0</v>
      </c>
      <c r="H1108">
        <v>23</v>
      </c>
      <c r="I1108">
        <v>0</v>
      </c>
      <c r="J1108">
        <v>23</v>
      </c>
      <c r="K1108" s="33">
        <v>1</v>
      </c>
      <c r="L1108" s="1"/>
      <c r="M1108" s="1"/>
      <c r="N1108" s="1"/>
      <c r="O1108" s="1"/>
      <c r="P1108" s="1"/>
      <c r="Q1108" s="1"/>
    </row>
    <row r="1109" spans="1:17" hidden="1" x14ac:dyDescent="0.25">
      <c r="A1109" s="2">
        <v>44750</v>
      </c>
      <c r="B1109">
        <v>0</v>
      </c>
      <c r="C1109">
        <v>5</v>
      </c>
      <c r="D1109">
        <v>345</v>
      </c>
      <c r="E1109">
        <v>60</v>
      </c>
      <c r="F1109" s="1" t="s">
        <v>113</v>
      </c>
      <c r="G1109">
        <v>0</v>
      </c>
      <c r="H1109">
        <v>0</v>
      </c>
      <c r="I1109">
        <v>8</v>
      </c>
      <c r="J1109">
        <v>8</v>
      </c>
      <c r="K1109" s="33">
        <v>0</v>
      </c>
      <c r="L1109" s="1"/>
      <c r="M1109" s="1"/>
      <c r="N1109" s="1"/>
      <c r="O1109" s="1"/>
      <c r="P1109" s="1"/>
      <c r="Q1109" s="1"/>
    </row>
    <row r="1110" spans="1:17" hidden="1" x14ac:dyDescent="0.25">
      <c r="A1110" s="2">
        <v>44750</v>
      </c>
      <c r="B1110">
        <v>0</v>
      </c>
      <c r="C1110">
        <v>5</v>
      </c>
      <c r="D1110">
        <v>345</v>
      </c>
      <c r="E1110">
        <v>60</v>
      </c>
      <c r="F1110" s="1" t="s">
        <v>113</v>
      </c>
      <c r="G1110">
        <v>0</v>
      </c>
      <c r="H1110">
        <v>27</v>
      </c>
      <c r="I1110">
        <v>8</v>
      </c>
      <c r="J1110">
        <v>35</v>
      </c>
      <c r="K1110" s="33">
        <v>0.77139999999999997</v>
      </c>
      <c r="L1110" s="1"/>
      <c r="M1110" s="1"/>
      <c r="N1110" s="1"/>
      <c r="O1110" s="1"/>
      <c r="P1110" s="1"/>
      <c r="Q1110" s="1"/>
    </row>
    <row r="1111" spans="1:17" hidden="1" x14ac:dyDescent="0.25">
      <c r="A1111" s="2">
        <v>44751</v>
      </c>
      <c r="B1111">
        <v>34</v>
      </c>
      <c r="C1111">
        <v>5</v>
      </c>
      <c r="D1111">
        <v>375</v>
      </c>
      <c r="E1111">
        <v>60</v>
      </c>
      <c r="F1111" s="1" t="s">
        <v>113</v>
      </c>
      <c r="G1111">
        <v>0</v>
      </c>
      <c r="H1111">
        <v>0</v>
      </c>
      <c r="I1111">
        <v>41</v>
      </c>
      <c r="J1111">
        <v>41</v>
      </c>
      <c r="K1111" s="33">
        <v>0</v>
      </c>
      <c r="L1111" s="1"/>
      <c r="M1111" s="1"/>
      <c r="N1111" s="1"/>
      <c r="O1111" s="1"/>
      <c r="P1111" s="1"/>
      <c r="Q1111" s="1"/>
    </row>
    <row r="1112" spans="1:17" hidden="1" x14ac:dyDescent="0.25">
      <c r="A1112" s="2">
        <v>44753</v>
      </c>
      <c r="B1112">
        <v>24</v>
      </c>
      <c r="C1112">
        <v>5</v>
      </c>
      <c r="D1112">
        <v>66</v>
      </c>
      <c r="E1112">
        <v>60</v>
      </c>
      <c r="F1112" s="1" t="s">
        <v>113</v>
      </c>
      <c r="G1112">
        <v>0</v>
      </c>
      <c r="H1112">
        <v>0</v>
      </c>
      <c r="I1112">
        <v>7</v>
      </c>
      <c r="J1112">
        <v>7</v>
      </c>
      <c r="K1112" s="33">
        <v>0</v>
      </c>
      <c r="L1112" s="1"/>
      <c r="M1112" s="1"/>
      <c r="N1112" s="1"/>
      <c r="O1112" s="1"/>
      <c r="P1112" s="1"/>
      <c r="Q1112" s="1"/>
    </row>
    <row r="1113" spans="1:17" hidden="1" x14ac:dyDescent="0.25">
      <c r="A1113" s="2">
        <v>44753</v>
      </c>
      <c r="B1113">
        <v>24</v>
      </c>
      <c r="C1113">
        <v>5</v>
      </c>
      <c r="D1113">
        <v>66</v>
      </c>
      <c r="E1113">
        <v>60</v>
      </c>
      <c r="F1113" s="1" t="s">
        <v>113</v>
      </c>
      <c r="G1113">
        <v>0</v>
      </c>
      <c r="H1113">
        <v>5</v>
      </c>
      <c r="I1113">
        <v>7</v>
      </c>
      <c r="J1113">
        <v>12</v>
      </c>
      <c r="K1113" s="33">
        <v>0.41670000000000001</v>
      </c>
      <c r="L1113" s="1"/>
      <c r="M1113" s="1"/>
      <c r="N1113" s="1"/>
      <c r="O1113" s="1"/>
      <c r="P1113" s="1"/>
      <c r="Q1113" s="1"/>
    </row>
    <row r="1114" spans="1:17" hidden="1" x14ac:dyDescent="0.25">
      <c r="A1114" s="2">
        <v>44753</v>
      </c>
      <c r="B1114">
        <v>18</v>
      </c>
      <c r="C1114">
        <v>5</v>
      </c>
      <c r="D1114">
        <v>78</v>
      </c>
      <c r="E1114">
        <v>10595</v>
      </c>
      <c r="F1114" s="1" t="s">
        <v>353</v>
      </c>
      <c r="G1114">
        <v>4</v>
      </c>
      <c r="H1114">
        <v>0</v>
      </c>
      <c r="I1114">
        <v>45</v>
      </c>
      <c r="J1114">
        <v>49</v>
      </c>
      <c r="K1114" s="33">
        <v>8.1600000000000006E-2</v>
      </c>
      <c r="L1114" s="1"/>
      <c r="M1114" s="1"/>
      <c r="N1114" s="1"/>
      <c r="O1114" s="1"/>
      <c r="P1114" s="1"/>
      <c r="Q1114" s="1"/>
    </row>
    <row r="1115" spans="1:17" hidden="1" x14ac:dyDescent="0.25">
      <c r="A1115" s="2">
        <v>44753</v>
      </c>
      <c r="B1115">
        <v>18</v>
      </c>
      <c r="C1115">
        <v>5</v>
      </c>
      <c r="D1115">
        <v>78</v>
      </c>
      <c r="E1115">
        <v>10595</v>
      </c>
      <c r="F1115" s="1" t="s">
        <v>353</v>
      </c>
      <c r="G1115">
        <v>4</v>
      </c>
      <c r="H1115">
        <v>1</v>
      </c>
      <c r="I1115">
        <v>45</v>
      </c>
      <c r="J1115">
        <v>50</v>
      </c>
      <c r="K1115" s="33">
        <v>0.1</v>
      </c>
      <c r="L1115" s="1"/>
      <c r="M1115" s="1"/>
      <c r="N1115" s="1"/>
      <c r="O1115" s="1"/>
      <c r="P1115" s="1"/>
      <c r="Q1115" s="1"/>
    </row>
    <row r="1116" spans="1:17" hidden="1" x14ac:dyDescent="0.25">
      <c r="A1116" s="2">
        <v>44753</v>
      </c>
      <c r="B1116">
        <v>10</v>
      </c>
      <c r="C1116">
        <v>5</v>
      </c>
      <c r="D1116">
        <v>3</v>
      </c>
      <c r="E1116">
        <v>10946</v>
      </c>
      <c r="F1116" s="1" t="s">
        <v>354</v>
      </c>
      <c r="G1116">
        <v>0</v>
      </c>
      <c r="H1116">
        <v>0</v>
      </c>
      <c r="I1116">
        <v>20</v>
      </c>
      <c r="J1116">
        <v>20</v>
      </c>
      <c r="K1116" s="33">
        <v>0</v>
      </c>
      <c r="L1116" s="1"/>
      <c r="M1116" s="1"/>
      <c r="N1116" s="1"/>
      <c r="O1116" s="1"/>
      <c r="P1116" s="1"/>
      <c r="Q1116" s="1"/>
    </row>
    <row r="1117" spans="1:17" hidden="1" x14ac:dyDescent="0.25">
      <c r="A1117" s="2">
        <v>44753</v>
      </c>
      <c r="B1117">
        <v>10</v>
      </c>
      <c r="C1117">
        <v>5</v>
      </c>
      <c r="D1117">
        <v>3</v>
      </c>
      <c r="E1117">
        <v>10946</v>
      </c>
      <c r="F1117" s="1" t="s">
        <v>354</v>
      </c>
      <c r="G1117">
        <v>0</v>
      </c>
      <c r="H1117">
        <v>4</v>
      </c>
      <c r="I1117">
        <v>20</v>
      </c>
      <c r="J1117">
        <v>24</v>
      </c>
      <c r="K1117" s="33">
        <v>0.16669999999999999</v>
      </c>
      <c r="L1117" s="1"/>
      <c r="M1117" s="1"/>
      <c r="N1117" s="1"/>
      <c r="O1117" s="1"/>
      <c r="P1117" s="1"/>
      <c r="Q1117" s="1"/>
    </row>
    <row r="1118" spans="1:17" hidden="1" x14ac:dyDescent="0.25">
      <c r="A1118" s="2"/>
      <c r="F1118" s="1"/>
      <c r="K1118" s="33"/>
      <c r="L1118" s="1"/>
      <c r="M1118" s="1"/>
      <c r="N1118" s="1"/>
      <c r="O1118" s="1"/>
      <c r="P1118" s="1"/>
      <c r="Q1118" s="1"/>
    </row>
    <row r="1119" spans="1:17" x14ac:dyDescent="0.25">
      <c r="A1119" s="2">
        <v>44753</v>
      </c>
      <c r="B1119">
        <v>10</v>
      </c>
      <c r="C1119">
        <v>5</v>
      </c>
      <c r="D1119">
        <v>6</v>
      </c>
      <c r="E1119">
        <v>17951</v>
      </c>
      <c r="F1119" s="1" t="s">
        <v>371</v>
      </c>
      <c r="G1119">
        <v>0</v>
      </c>
      <c r="H1119">
        <v>8</v>
      </c>
      <c r="I1119">
        <v>16</v>
      </c>
      <c r="J1119">
        <v>24</v>
      </c>
      <c r="K1119" s="33">
        <v>0.33329999999999999</v>
      </c>
      <c r="L1119" s="1"/>
      <c r="M1119" s="1" t="str">
        <f>_xlfn.XLOOKUP(ocupacao[[#This Row],[UnidadeID]],unidades!$A:$A,unidades!$B:$B,"",0)</f>
        <v>Filial 2 - 10º</v>
      </c>
      <c r="N1119" s="1" t="str">
        <f>_xlfn.XLOOKUP(ocupacao[[#This Row],[UnidadeID]],unidades!$A:$A,unidades!$C:$C,"",0)</f>
        <v>Nova Iguaçu</v>
      </c>
      <c r="O1119" s="1" t="str">
        <f>_xlfn.XLOOKUP(ocupacao[[#This Row],[EspecialidadeID]],especialidades!$A:$A,especialidades!$B:$B,"",0)</f>
        <v>CARDIOLOGIA</v>
      </c>
      <c r="P1119" s="1" t="str">
        <f>TEXT(WEEKDAY(ocupacao[[#This Row],[Data]]),"ddd")</f>
        <v>seg</v>
      </c>
      <c r="Q1119" s="1">
        <f t="shared" si="17"/>
        <v>0</v>
      </c>
    </row>
    <row r="1120" spans="1:17" hidden="1" x14ac:dyDescent="0.25">
      <c r="A1120" s="2"/>
      <c r="F1120" s="1"/>
      <c r="K1120" s="33"/>
      <c r="L1120" s="1"/>
      <c r="M1120" s="1"/>
      <c r="N1120" s="1"/>
      <c r="O1120" s="1"/>
      <c r="P1120" s="1"/>
      <c r="Q1120" s="1"/>
    </row>
    <row r="1121" spans="1:17" x14ac:dyDescent="0.25">
      <c r="A1121" s="2">
        <v>44754</v>
      </c>
      <c r="B1121">
        <v>10</v>
      </c>
      <c r="C1121">
        <v>5</v>
      </c>
      <c r="D1121">
        <v>3</v>
      </c>
      <c r="E1121">
        <v>55</v>
      </c>
      <c r="F1121" s="1" t="s">
        <v>318</v>
      </c>
      <c r="G1121">
        <v>0</v>
      </c>
      <c r="H1121">
        <v>3</v>
      </c>
      <c r="I1121">
        <v>23</v>
      </c>
      <c r="J1121">
        <v>26</v>
      </c>
      <c r="K1121" s="33">
        <v>0.1154</v>
      </c>
      <c r="L1121" s="1"/>
      <c r="M1121" s="1" t="str">
        <f>_xlfn.XLOOKUP(ocupacao[[#This Row],[UnidadeID]],unidades!$A:$A,unidades!$B:$B,"",0)</f>
        <v>Filial 2 - 10º</v>
      </c>
      <c r="N1121" s="1" t="str">
        <f>_xlfn.XLOOKUP(ocupacao[[#This Row],[UnidadeID]],unidades!$A:$A,unidades!$C:$C,"",0)</f>
        <v>Nova Iguaçu</v>
      </c>
      <c r="O1121" s="1" t="str">
        <f>_xlfn.XLOOKUP(ocupacao[[#This Row],[EspecialidadeID]],especialidades!$A:$A,especialidades!$B:$B,"",0)</f>
        <v>CARDIOLOGIA</v>
      </c>
      <c r="P1121" s="1" t="str">
        <f>TEXT(WEEKDAY(ocupacao[[#This Row],[Data]]),"ddd")</f>
        <v>ter</v>
      </c>
      <c r="Q1121" s="1">
        <f t="shared" si="17"/>
        <v>1</v>
      </c>
    </row>
    <row r="1122" spans="1:17" x14ac:dyDescent="0.25">
      <c r="A1122" s="2">
        <v>44754</v>
      </c>
      <c r="B1122">
        <v>10</v>
      </c>
      <c r="C1122">
        <v>5</v>
      </c>
      <c r="D1122">
        <v>3</v>
      </c>
      <c r="E1122">
        <v>55</v>
      </c>
      <c r="F1122" s="1" t="s">
        <v>318</v>
      </c>
      <c r="G1122">
        <v>0</v>
      </c>
      <c r="H1122">
        <v>6</v>
      </c>
      <c r="I1122">
        <v>23</v>
      </c>
      <c r="J1122">
        <v>29</v>
      </c>
      <c r="K1122" s="33">
        <v>0.2069</v>
      </c>
      <c r="L1122" s="1"/>
      <c r="M1122" s="1" t="str">
        <f>_xlfn.XLOOKUP(ocupacao[[#This Row],[UnidadeID]],unidades!$A:$A,unidades!$B:$B,"",0)</f>
        <v>Filial 2 - 10º</v>
      </c>
      <c r="N1122" s="1" t="str">
        <f>_xlfn.XLOOKUP(ocupacao[[#This Row],[UnidadeID]],unidades!$A:$A,unidades!$C:$C,"",0)</f>
        <v>Nova Iguaçu</v>
      </c>
      <c r="O1122" s="1" t="str">
        <f>_xlfn.XLOOKUP(ocupacao[[#This Row],[EspecialidadeID]],especialidades!$A:$A,especialidades!$B:$B,"",0)</f>
        <v>CARDIOLOGIA</v>
      </c>
      <c r="P1122" s="1" t="str">
        <f>TEXT(WEEKDAY(ocupacao[[#This Row],[Data]]),"ddd")</f>
        <v>ter</v>
      </c>
      <c r="Q1122" s="1">
        <f t="shared" si="17"/>
        <v>0</v>
      </c>
    </row>
    <row r="1123" spans="1:17" hidden="1" x14ac:dyDescent="0.25">
      <c r="A1123" s="2"/>
      <c r="F1123" s="1"/>
      <c r="K1123" s="33"/>
      <c r="L1123" s="1"/>
      <c r="M1123" s="1"/>
      <c r="N1123" s="1"/>
      <c r="O1123" s="1"/>
      <c r="P1123" s="1"/>
      <c r="Q1123" s="1"/>
    </row>
    <row r="1124" spans="1:17" hidden="1" x14ac:dyDescent="0.25">
      <c r="A1124" s="2">
        <v>44754</v>
      </c>
      <c r="B1124">
        <v>0</v>
      </c>
      <c r="C1124">
        <v>5</v>
      </c>
      <c r="D1124">
        <v>343</v>
      </c>
      <c r="E1124">
        <v>17951</v>
      </c>
      <c r="F1124" s="1" t="s">
        <v>371</v>
      </c>
      <c r="G1124">
        <v>0</v>
      </c>
      <c r="H1124">
        <v>1</v>
      </c>
      <c r="I1124">
        <v>17</v>
      </c>
      <c r="J1124">
        <v>18</v>
      </c>
      <c r="K1124" s="33">
        <v>5.5599999999999997E-2</v>
      </c>
      <c r="L1124" s="1"/>
      <c r="M1124" s="1"/>
      <c r="N1124" s="1"/>
      <c r="O1124" s="1"/>
      <c r="P1124" s="1"/>
      <c r="Q1124" s="1"/>
    </row>
    <row r="1125" spans="1:17" hidden="1" x14ac:dyDescent="0.25">
      <c r="A1125" s="2"/>
      <c r="F1125" s="1"/>
      <c r="K1125" s="33"/>
      <c r="L1125" s="1"/>
      <c r="M1125" s="1"/>
      <c r="N1125" s="1"/>
      <c r="O1125" s="1"/>
      <c r="P1125" s="1"/>
      <c r="Q1125" s="1"/>
    </row>
    <row r="1126" spans="1:17" x14ac:dyDescent="0.25">
      <c r="A1126" s="2">
        <v>44755</v>
      </c>
      <c r="B1126">
        <v>10</v>
      </c>
      <c r="C1126">
        <v>5</v>
      </c>
      <c r="D1126">
        <v>8</v>
      </c>
      <c r="E1126">
        <v>57</v>
      </c>
      <c r="F1126" s="1" t="s">
        <v>88</v>
      </c>
      <c r="G1126">
        <v>0</v>
      </c>
      <c r="H1126">
        <v>13</v>
      </c>
      <c r="I1126">
        <v>10</v>
      </c>
      <c r="J1126">
        <v>23</v>
      </c>
      <c r="K1126" s="33">
        <v>0.56520000000000004</v>
      </c>
      <c r="L1126" s="1"/>
      <c r="M1126" s="1" t="str">
        <f>_xlfn.XLOOKUP(ocupacao[[#This Row],[UnidadeID]],unidades!$A:$A,unidades!$B:$B,"",0)</f>
        <v>Filial 2 - 10º</v>
      </c>
      <c r="N1126" s="1" t="str">
        <f>_xlfn.XLOOKUP(ocupacao[[#This Row],[UnidadeID]],unidades!$A:$A,unidades!$C:$C,"",0)</f>
        <v>Nova Iguaçu</v>
      </c>
      <c r="O1126" s="1" t="str">
        <f>_xlfn.XLOOKUP(ocupacao[[#This Row],[EspecialidadeID]],especialidades!$A:$A,especialidades!$B:$B,"",0)</f>
        <v>CARDIOLOGIA</v>
      </c>
      <c r="P1126" s="1" t="str">
        <f>TEXT(WEEKDAY(ocupacao[[#This Row],[Data]]),"ddd")</f>
        <v>qua</v>
      </c>
      <c r="Q1126" s="1">
        <f t="shared" si="17"/>
        <v>0</v>
      </c>
    </row>
    <row r="1127" spans="1:17" hidden="1" x14ac:dyDescent="0.25">
      <c r="A1127" s="2"/>
      <c r="F1127" s="1"/>
      <c r="K1127" s="33"/>
      <c r="L1127" s="1"/>
      <c r="M1127" s="1"/>
      <c r="N1127" s="1"/>
      <c r="O1127" s="1"/>
      <c r="P1127" s="1"/>
      <c r="Q1127" s="1"/>
    </row>
    <row r="1128" spans="1:17" x14ac:dyDescent="0.25">
      <c r="A1128" s="2">
        <v>44755</v>
      </c>
      <c r="B1128">
        <v>10</v>
      </c>
      <c r="C1128">
        <v>5</v>
      </c>
      <c r="D1128">
        <v>7</v>
      </c>
      <c r="E1128">
        <v>60</v>
      </c>
      <c r="F1128" s="1" t="s">
        <v>113</v>
      </c>
      <c r="G1128">
        <v>0</v>
      </c>
      <c r="H1128">
        <v>9</v>
      </c>
      <c r="I1128">
        <v>14</v>
      </c>
      <c r="J1128">
        <v>23</v>
      </c>
      <c r="K1128" s="33">
        <v>0.39129999999999998</v>
      </c>
      <c r="L1128" s="1"/>
      <c r="M1128" s="1" t="str">
        <f>_xlfn.XLOOKUP(ocupacao[[#This Row],[UnidadeID]],unidades!$A:$A,unidades!$B:$B,"",0)</f>
        <v>Filial 2 - 10º</v>
      </c>
      <c r="N1128" s="1" t="str">
        <f>_xlfn.XLOOKUP(ocupacao[[#This Row],[UnidadeID]],unidades!$A:$A,unidades!$C:$C,"",0)</f>
        <v>Nova Iguaçu</v>
      </c>
      <c r="O1128" s="1" t="str">
        <f>_xlfn.XLOOKUP(ocupacao[[#This Row],[EspecialidadeID]],especialidades!$A:$A,especialidades!$B:$B,"",0)</f>
        <v>CARDIOLOGIA</v>
      </c>
      <c r="P1128" s="1" t="str">
        <f>TEXT(WEEKDAY(ocupacao[[#This Row],[Data]]),"ddd")</f>
        <v>qua</v>
      </c>
      <c r="Q1128" s="1">
        <f t="shared" si="17"/>
        <v>0</v>
      </c>
    </row>
    <row r="1129" spans="1:17" x14ac:dyDescent="0.25">
      <c r="A1129" s="2">
        <v>44755</v>
      </c>
      <c r="B1129">
        <v>18</v>
      </c>
      <c r="C1129">
        <v>5</v>
      </c>
      <c r="D1129">
        <v>85</v>
      </c>
      <c r="E1129">
        <v>17864</v>
      </c>
      <c r="F1129" s="1" t="s">
        <v>372</v>
      </c>
      <c r="G1129">
        <v>0</v>
      </c>
      <c r="H1129">
        <v>0</v>
      </c>
      <c r="I1129">
        <v>23</v>
      </c>
      <c r="J1129">
        <v>23</v>
      </c>
      <c r="K1129" s="33">
        <v>0</v>
      </c>
      <c r="L1129" s="1"/>
      <c r="M1129" s="1" t="str">
        <f>_xlfn.XLOOKUP(ocupacao[[#This Row],[UnidadeID]],unidades!$A:$A,unidades!$B:$B,"",0)</f>
        <v>Miguel Couto</v>
      </c>
      <c r="N1129" s="1" t="str">
        <f>_xlfn.XLOOKUP(ocupacao[[#This Row],[UnidadeID]],unidades!$A:$A,unidades!$C:$C,"",0)</f>
        <v>Miguel Couto</v>
      </c>
      <c r="O1129" s="1" t="str">
        <f>_xlfn.XLOOKUP(ocupacao[[#This Row],[EspecialidadeID]],especialidades!$A:$A,especialidades!$B:$B,"",0)</f>
        <v>CARDIOLOGIA</v>
      </c>
      <c r="P1129" s="1" t="str">
        <f>TEXT(WEEKDAY(ocupacao[[#This Row],[Data]]),"ddd")</f>
        <v>qua</v>
      </c>
      <c r="Q1129" s="1">
        <f t="shared" si="17"/>
        <v>0</v>
      </c>
    </row>
    <row r="1130" spans="1:17" hidden="1" x14ac:dyDescent="0.25">
      <c r="A1130" s="2"/>
      <c r="F1130" s="1"/>
      <c r="K1130" s="33"/>
      <c r="L1130" s="1"/>
      <c r="M1130" s="1"/>
      <c r="N1130" s="1"/>
      <c r="O1130" s="1"/>
      <c r="P1130" s="1"/>
      <c r="Q1130" s="1"/>
    </row>
    <row r="1131" spans="1:17" x14ac:dyDescent="0.25">
      <c r="A1131" s="2">
        <v>44756</v>
      </c>
      <c r="B1131">
        <v>10</v>
      </c>
      <c r="C1131">
        <v>5</v>
      </c>
      <c r="D1131">
        <v>3</v>
      </c>
      <c r="E1131">
        <v>55</v>
      </c>
      <c r="F1131" s="1" t="s">
        <v>318</v>
      </c>
      <c r="G1131">
        <v>0</v>
      </c>
      <c r="H1131">
        <v>2</v>
      </c>
      <c r="I1131">
        <v>14</v>
      </c>
      <c r="J1131">
        <v>16</v>
      </c>
      <c r="K1131" s="33">
        <v>0.125</v>
      </c>
      <c r="L1131" s="1"/>
      <c r="M1131" s="1" t="str">
        <f>_xlfn.XLOOKUP(ocupacao[[#This Row],[UnidadeID]],unidades!$A:$A,unidades!$B:$B,"",0)</f>
        <v>Filial 2 - 10º</v>
      </c>
      <c r="N1131" s="1" t="str">
        <f>_xlfn.XLOOKUP(ocupacao[[#This Row],[UnidadeID]],unidades!$A:$A,unidades!$C:$C,"",0)</f>
        <v>Nova Iguaçu</v>
      </c>
      <c r="O1131" s="1" t="str">
        <f>_xlfn.XLOOKUP(ocupacao[[#This Row],[EspecialidadeID]],especialidades!$A:$A,especialidades!$B:$B,"",0)</f>
        <v>CARDIOLOGIA</v>
      </c>
      <c r="P1131" s="1" t="str">
        <f>TEXT(WEEKDAY(ocupacao[[#This Row],[Data]]),"ddd")</f>
        <v>qui</v>
      </c>
      <c r="Q1131" s="1">
        <f t="shared" si="17"/>
        <v>0</v>
      </c>
    </row>
    <row r="1132" spans="1:17" hidden="1" x14ac:dyDescent="0.25">
      <c r="A1132" s="2"/>
      <c r="F1132" s="1"/>
      <c r="K1132" s="33"/>
      <c r="L1132" s="1"/>
      <c r="M1132" s="1"/>
      <c r="N1132" s="1"/>
      <c r="O1132" s="1"/>
      <c r="P1132" s="1"/>
      <c r="Q1132" s="1"/>
    </row>
    <row r="1133" spans="1:17" x14ac:dyDescent="0.25">
      <c r="A1133" s="2">
        <v>44756</v>
      </c>
      <c r="B1133">
        <v>10</v>
      </c>
      <c r="C1133">
        <v>5</v>
      </c>
      <c r="D1133">
        <v>8</v>
      </c>
      <c r="E1133">
        <v>9217</v>
      </c>
      <c r="F1133" s="1" t="s">
        <v>317</v>
      </c>
      <c r="G1133">
        <v>0</v>
      </c>
      <c r="H1133">
        <v>1</v>
      </c>
      <c r="I1133">
        <v>21</v>
      </c>
      <c r="J1133">
        <v>22</v>
      </c>
      <c r="K1133" s="33">
        <v>4.5499999999999999E-2</v>
      </c>
      <c r="L1133" s="1"/>
      <c r="M1133" s="1" t="str">
        <f>_xlfn.XLOOKUP(ocupacao[[#This Row],[UnidadeID]],unidades!$A:$A,unidades!$B:$B,"",0)</f>
        <v>Filial 2 - 10º</v>
      </c>
      <c r="N1133" s="1" t="str">
        <f>_xlfn.XLOOKUP(ocupacao[[#This Row],[UnidadeID]],unidades!$A:$A,unidades!$C:$C,"",0)</f>
        <v>Nova Iguaçu</v>
      </c>
      <c r="O1133" s="1" t="str">
        <f>_xlfn.XLOOKUP(ocupacao[[#This Row],[EspecialidadeID]],especialidades!$A:$A,especialidades!$B:$B,"",0)</f>
        <v>CARDIOLOGIA</v>
      </c>
      <c r="P1133" s="1" t="str">
        <f>TEXT(WEEKDAY(ocupacao[[#This Row],[Data]]),"ddd")</f>
        <v>qui</v>
      </c>
      <c r="Q1133" s="1">
        <f t="shared" si="17"/>
        <v>0</v>
      </c>
    </row>
    <row r="1134" spans="1:17" hidden="1" x14ac:dyDescent="0.25">
      <c r="A1134" s="2">
        <v>44756</v>
      </c>
      <c r="B1134">
        <v>0</v>
      </c>
      <c r="C1134">
        <v>5</v>
      </c>
      <c r="D1134">
        <v>345</v>
      </c>
      <c r="E1134">
        <v>17951</v>
      </c>
      <c r="F1134" s="1" t="s">
        <v>371</v>
      </c>
      <c r="G1134">
        <v>0</v>
      </c>
      <c r="H1134">
        <v>0</v>
      </c>
      <c r="I1134">
        <v>18</v>
      </c>
      <c r="J1134">
        <v>18</v>
      </c>
      <c r="K1134" s="33">
        <v>0</v>
      </c>
      <c r="L1134" s="1"/>
      <c r="M1134" s="1"/>
      <c r="N1134" s="1"/>
      <c r="O1134" s="1"/>
      <c r="P1134" s="1"/>
      <c r="Q1134" s="1"/>
    </row>
    <row r="1135" spans="1:17" x14ac:dyDescent="0.25">
      <c r="A1135" s="2"/>
      <c r="F1135" s="1" t="s">
        <v>106</v>
      </c>
      <c r="K1135" s="33"/>
      <c r="L1135" s="1"/>
      <c r="M1135" s="1">
        <f>_xlfn.XLOOKUP(ocupacao[[#This Row],[UnidadeID]],unidades!$A:$A,unidades!$B:$B,"",0)</f>
        <v>0</v>
      </c>
      <c r="N1135" s="1">
        <f>_xlfn.XLOOKUP(ocupacao[[#This Row],[UnidadeID]],unidades!$A:$A,unidades!$C:$C,"",0)</f>
        <v>0</v>
      </c>
      <c r="O1135" s="1">
        <f>_xlfn.XLOOKUP(ocupacao[[#This Row],[EspecialidadeID]],especialidades!$A:$A,especialidades!$B:$B,"",0)</f>
        <v>0</v>
      </c>
      <c r="P1135" s="1" t="str">
        <f>TEXT(WEEKDAY(ocupacao[[#This Row],[Data]]),"ddd")</f>
        <v>sáb</v>
      </c>
      <c r="Q1135" s="1">
        <f t="shared" si="17"/>
        <v>0</v>
      </c>
    </row>
    <row r="1136" spans="1:17" hidden="1" x14ac:dyDescent="0.25">
      <c r="A1136" s="2"/>
      <c r="F1136" s="1"/>
      <c r="K1136" s="33"/>
      <c r="L1136" s="1"/>
      <c r="M1136" s="1"/>
      <c r="N1136" s="1"/>
      <c r="O1136" s="1"/>
      <c r="P1136" s="1"/>
      <c r="Q1136" s="1"/>
    </row>
    <row r="1137" spans="1:17" x14ac:dyDescent="0.25">
      <c r="A1137" s="2">
        <v>44745</v>
      </c>
      <c r="B1137">
        <v>0</v>
      </c>
      <c r="C1137">
        <v>6</v>
      </c>
      <c r="D1137">
        <v>342</v>
      </c>
      <c r="E1137">
        <v>97</v>
      </c>
      <c r="F1137" s="1" t="s">
        <v>369</v>
      </c>
      <c r="G1137">
        <v>0</v>
      </c>
      <c r="H1137">
        <v>2</v>
      </c>
      <c r="I1137">
        <v>14</v>
      </c>
      <c r="J1137">
        <v>16</v>
      </c>
      <c r="K1137" s="33">
        <v>0.125</v>
      </c>
      <c r="L1137" s="1"/>
      <c r="M1137" s="1" t="str">
        <f>_xlfn.XLOOKUP(ocupacao[[#This Row],[UnidadeID]],unidades!$A:$A,unidades!$B:$B,"",0)</f>
        <v>Matriz</v>
      </c>
      <c r="N1137" s="1" t="str">
        <f>_xlfn.XLOOKUP(ocupacao[[#This Row],[UnidadeID]],unidades!$A:$A,unidades!$C:$C,"",0)</f>
        <v>Nova Iguaçu</v>
      </c>
      <c r="O1137" s="1" t="str">
        <f>_xlfn.XLOOKUP(ocupacao[[#This Row],[EspecialidadeID]],especialidades!$A:$A,especialidades!$B:$B,"",0)</f>
        <v>PEDIATRIA</v>
      </c>
      <c r="P1137" s="1" t="str">
        <f>TEXT(WEEKDAY(ocupacao[[#This Row],[Data]]),"ddd")</f>
        <v>dom</v>
      </c>
      <c r="Q1137" s="1">
        <f t="shared" si="17"/>
        <v>0</v>
      </c>
    </row>
    <row r="1138" spans="1:17" hidden="1" x14ac:dyDescent="0.25">
      <c r="A1138" s="2"/>
      <c r="F1138" s="1"/>
      <c r="K1138" s="33"/>
      <c r="L1138" s="1"/>
      <c r="M1138" s="1"/>
      <c r="N1138" s="1"/>
      <c r="O1138" s="1"/>
      <c r="P1138" s="1"/>
      <c r="Q1138" s="1"/>
    </row>
    <row r="1139" spans="1:17" hidden="1" x14ac:dyDescent="0.25">
      <c r="A1139" s="2">
        <v>44746</v>
      </c>
      <c r="B1139">
        <v>34</v>
      </c>
      <c r="C1139">
        <v>6</v>
      </c>
      <c r="D1139">
        <v>370</v>
      </c>
      <c r="E1139">
        <v>100</v>
      </c>
      <c r="F1139" s="1" t="s">
        <v>321</v>
      </c>
      <c r="G1139">
        <v>0</v>
      </c>
      <c r="H1139">
        <v>0</v>
      </c>
      <c r="I1139">
        <v>2</v>
      </c>
      <c r="J1139">
        <v>2</v>
      </c>
      <c r="K1139" s="33">
        <v>0</v>
      </c>
      <c r="L1139" s="1"/>
      <c r="M1139" s="1"/>
      <c r="N1139" s="1"/>
      <c r="O1139" s="1"/>
      <c r="P1139" s="1"/>
      <c r="Q1139" s="1"/>
    </row>
    <row r="1140" spans="1:17" x14ac:dyDescent="0.25">
      <c r="A1140" s="2">
        <v>44746</v>
      </c>
      <c r="B1140">
        <v>0</v>
      </c>
      <c r="C1140">
        <v>6</v>
      </c>
      <c r="D1140">
        <v>342</v>
      </c>
      <c r="E1140">
        <v>3158</v>
      </c>
      <c r="F1140" s="1" t="s">
        <v>323</v>
      </c>
      <c r="G1140">
        <v>0</v>
      </c>
      <c r="H1140">
        <v>1</v>
      </c>
      <c r="I1140">
        <v>0</v>
      </c>
      <c r="J1140">
        <v>1</v>
      </c>
      <c r="K1140" s="33">
        <v>1</v>
      </c>
      <c r="L1140" s="1"/>
      <c r="M1140" s="1" t="str">
        <f>_xlfn.XLOOKUP(ocupacao[[#This Row],[UnidadeID]],unidades!$A:$A,unidades!$B:$B,"",0)</f>
        <v>Matriz</v>
      </c>
      <c r="N1140" s="1" t="str">
        <f>_xlfn.XLOOKUP(ocupacao[[#This Row],[UnidadeID]],unidades!$A:$A,unidades!$C:$C,"",0)</f>
        <v>Nova Iguaçu</v>
      </c>
      <c r="O1140" s="1" t="str">
        <f>_xlfn.XLOOKUP(ocupacao[[#This Row],[EspecialidadeID]],especialidades!$A:$A,especialidades!$B:$B,"",0)</f>
        <v>PEDIATRIA</v>
      </c>
      <c r="P1140" s="1" t="str">
        <f>TEXT(WEEKDAY(ocupacao[[#This Row],[Data]]),"ddd")</f>
        <v>seg</v>
      </c>
      <c r="Q1140" s="1">
        <f t="shared" si="17"/>
        <v>1</v>
      </c>
    </row>
    <row r="1141" spans="1:17" hidden="1" x14ac:dyDescent="0.25">
      <c r="A1141" s="2">
        <v>44746</v>
      </c>
      <c r="B1141">
        <v>0</v>
      </c>
      <c r="C1141">
        <v>6</v>
      </c>
      <c r="D1141">
        <v>342</v>
      </c>
      <c r="E1141">
        <v>3158</v>
      </c>
      <c r="F1141" s="1" t="s">
        <v>323</v>
      </c>
      <c r="G1141">
        <v>0</v>
      </c>
      <c r="H1141">
        <v>0</v>
      </c>
      <c r="I1141">
        <v>11</v>
      </c>
      <c r="J1141">
        <v>11</v>
      </c>
      <c r="K1141" s="33">
        <v>0</v>
      </c>
      <c r="L1141" s="1"/>
      <c r="M1141" s="1"/>
      <c r="N1141" s="1"/>
      <c r="O1141" s="1"/>
      <c r="P1141" s="1"/>
      <c r="Q1141" s="1"/>
    </row>
    <row r="1142" spans="1:17" x14ac:dyDescent="0.25">
      <c r="A1142" s="2">
        <v>44747</v>
      </c>
      <c r="B1142">
        <v>0</v>
      </c>
      <c r="C1142">
        <v>6</v>
      </c>
      <c r="D1142">
        <v>342</v>
      </c>
      <c r="E1142">
        <v>100</v>
      </c>
      <c r="F1142" s="1" t="s">
        <v>321</v>
      </c>
      <c r="G1142">
        <v>4</v>
      </c>
      <c r="H1142">
        <v>0</v>
      </c>
      <c r="I1142">
        <v>33</v>
      </c>
      <c r="J1142">
        <v>37</v>
      </c>
      <c r="K1142" s="33">
        <v>0.1081</v>
      </c>
      <c r="L1142" s="1"/>
      <c r="M1142" s="1" t="str">
        <f>_xlfn.XLOOKUP(ocupacao[[#This Row],[UnidadeID]],unidades!$A:$A,unidades!$B:$B,"",0)</f>
        <v>Matriz</v>
      </c>
      <c r="N1142" s="1" t="str">
        <f>_xlfn.XLOOKUP(ocupacao[[#This Row],[UnidadeID]],unidades!$A:$A,unidades!$C:$C,"",0)</f>
        <v>Nova Iguaçu</v>
      </c>
      <c r="O1142" s="1" t="str">
        <f>_xlfn.XLOOKUP(ocupacao[[#This Row],[EspecialidadeID]],especialidades!$A:$A,especialidades!$B:$B,"",0)</f>
        <v>PEDIATRIA</v>
      </c>
      <c r="P1142" s="1" t="str">
        <f>TEXT(WEEKDAY(ocupacao[[#This Row],[Data]]),"ddd")</f>
        <v>ter</v>
      </c>
      <c r="Q1142" s="1">
        <f t="shared" si="17"/>
        <v>0</v>
      </c>
    </row>
    <row r="1143" spans="1:17" hidden="1" x14ac:dyDescent="0.25">
      <c r="A1143" s="2">
        <v>44747</v>
      </c>
      <c r="B1143">
        <v>18</v>
      </c>
      <c r="C1143">
        <v>6</v>
      </c>
      <c r="D1143">
        <v>80</v>
      </c>
      <c r="E1143">
        <v>1343</v>
      </c>
      <c r="F1143" s="1" t="s">
        <v>322</v>
      </c>
      <c r="G1143">
        <v>0</v>
      </c>
      <c r="H1143">
        <v>0</v>
      </c>
      <c r="I1143">
        <v>15</v>
      </c>
      <c r="J1143">
        <v>15</v>
      </c>
      <c r="K1143" s="33">
        <v>0</v>
      </c>
      <c r="L1143" s="1"/>
      <c r="M1143" s="1"/>
      <c r="N1143" s="1"/>
      <c r="O1143" s="1"/>
      <c r="P1143" s="1"/>
      <c r="Q1143" s="1"/>
    </row>
    <row r="1144" spans="1:17" x14ac:dyDescent="0.25">
      <c r="A1144" s="2">
        <v>44747</v>
      </c>
      <c r="B1144">
        <v>18</v>
      </c>
      <c r="C1144">
        <v>6</v>
      </c>
      <c r="D1144">
        <v>80</v>
      </c>
      <c r="E1144">
        <v>1343</v>
      </c>
      <c r="F1144" s="1" t="s">
        <v>322</v>
      </c>
      <c r="G1144">
        <v>0</v>
      </c>
      <c r="H1144">
        <v>2</v>
      </c>
      <c r="I1144">
        <v>15</v>
      </c>
      <c r="J1144">
        <v>17</v>
      </c>
      <c r="K1144" s="33">
        <v>0.1176</v>
      </c>
      <c r="L1144" s="1"/>
      <c r="M1144" s="1" t="str">
        <f>_xlfn.XLOOKUP(ocupacao[[#This Row],[UnidadeID]],unidades!$A:$A,unidades!$B:$B,"",0)</f>
        <v>Miguel Couto</v>
      </c>
      <c r="N1144" s="1" t="str">
        <f>_xlfn.XLOOKUP(ocupacao[[#This Row],[UnidadeID]],unidades!$A:$A,unidades!$C:$C,"",0)</f>
        <v>Miguel Couto</v>
      </c>
      <c r="O1144" s="1" t="str">
        <f>_xlfn.XLOOKUP(ocupacao[[#This Row],[EspecialidadeID]],especialidades!$A:$A,especialidades!$B:$B,"",0)</f>
        <v>PEDIATRIA</v>
      </c>
      <c r="P1144" s="1" t="str">
        <f>TEXT(WEEKDAY(ocupacao[[#This Row],[Data]]),"ddd")</f>
        <v>ter</v>
      </c>
      <c r="Q1144" s="1">
        <f t="shared" si="17"/>
        <v>0</v>
      </c>
    </row>
    <row r="1145" spans="1:17" hidden="1" x14ac:dyDescent="0.25">
      <c r="A1145" s="2">
        <v>44748</v>
      </c>
      <c r="B1145">
        <v>0</v>
      </c>
      <c r="C1145">
        <v>6</v>
      </c>
      <c r="D1145">
        <v>342</v>
      </c>
      <c r="E1145">
        <v>99</v>
      </c>
      <c r="F1145" s="1" t="s">
        <v>357</v>
      </c>
      <c r="G1145">
        <v>0</v>
      </c>
      <c r="H1145">
        <v>0</v>
      </c>
      <c r="I1145">
        <v>14</v>
      </c>
      <c r="J1145">
        <v>14</v>
      </c>
      <c r="K1145" s="33">
        <v>0</v>
      </c>
      <c r="L1145" s="1"/>
      <c r="M1145" s="1"/>
      <c r="N1145" s="1"/>
      <c r="O1145" s="1"/>
      <c r="P1145" s="1"/>
      <c r="Q1145" s="1"/>
    </row>
    <row r="1146" spans="1:17" x14ac:dyDescent="0.25">
      <c r="A1146" s="2">
        <v>44748</v>
      </c>
      <c r="B1146">
        <v>0</v>
      </c>
      <c r="C1146">
        <v>6</v>
      </c>
      <c r="D1146">
        <v>342</v>
      </c>
      <c r="E1146">
        <v>99</v>
      </c>
      <c r="F1146" s="1" t="s">
        <v>357</v>
      </c>
      <c r="G1146">
        <v>0</v>
      </c>
      <c r="H1146">
        <v>2</v>
      </c>
      <c r="I1146">
        <v>14</v>
      </c>
      <c r="J1146">
        <v>16</v>
      </c>
      <c r="K1146" s="33">
        <v>0.125</v>
      </c>
      <c r="L1146" s="1"/>
      <c r="M1146" s="1" t="str">
        <f>_xlfn.XLOOKUP(ocupacao[[#This Row],[UnidadeID]],unidades!$A:$A,unidades!$B:$B,"",0)</f>
        <v>Matriz</v>
      </c>
      <c r="N1146" s="1" t="str">
        <f>_xlfn.XLOOKUP(ocupacao[[#This Row],[UnidadeID]],unidades!$A:$A,unidades!$C:$C,"",0)</f>
        <v>Nova Iguaçu</v>
      </c>
      <c r="O1146" s="1" t="str">
        <f>_xlfn.XLOOKUP(ocupacao[[#This Row],[EspecialidadeID]],especialidades!$A:$A,especialidades!$B:$B,"",0)</f>
        <v>PEDIATRIA</v>
      </c>
      <c r="P1146" s="1" t="str">
        <f>TEXT(WEEKDAY(ocupacao[[#This Row],[Data]]),"ddd")</f>
        <v>qua</v>
      </c>
      <c r="Q1146" s="1">
        <f t="shared" si="17"/>
        <v>0</v>
      </c>
    </row>
    <row r="1147" spans="1:17" hidden="1" x14ac:dyDescent="0.25">
      <c r="A1147" s="2">
        <v>44748</v>
      </c>
      <c r="B1147">
        <v>0</v>
      </c>
      <c r="C1147">
        <v>6</v>
      </c>
      <c r="D1147">
        <v>342</v>
      </c>
      <c r="E1147">
        <v>1343</v>
      </c>
      <c r="F1147" s="1" t="s">
        <v>322</v>
      </c>
      <c r="G1147">
        <v>0</v>
      </c>
      <c r="H1147">
        <v>0</v>
      </c>
      <c r="I1147">
        <v>32</v>
      </c>
      <c r="J1147">
        <v>32</v>
      </c>
      <c r="K1147" s="33">
        <v>0</v>
      </c>
      <c r="L1147" s="1"/>
      <c r="M1147" s="1"/>
      <c r="N1147" s="1"/>
      <c r="O1147" s="1"/>
      <c r="P1147" s="1"/>
      <c r="Q1147" s="1"/>
    </row>
    <row r="1148" spans="1:17" x14ac:dyDescent="0.25">
      <c r="A1148" s="2">
        <v>44748</v>
      </c>
      <c r="B1148">
        <v>0</v>
      </c>
      <c r="C1148">
        <v>6</v>
      </c>
      <c r="D1148">
        <v>342</v>
      </c>
      <c r="E1148">
        <v>1343</v>
      </c>
      <c r="F1148" s="1" t="s">
        <v>322</v>
      </c>
      <c r="G1148">
        <v>0</v>
      </c>
      <c r="H1148">
        <v>1</v>
      </c>
      <c r="I1148">
        <v>32</v>
      </c>
      <c r="J1148">
        <v>33</v>
      </c>
      <c r="K1148" s="33">
        <v>3.0300000000000001E-2</v>
      </c>
      <c r="L1148" s="1"/>
      <c r="M1148" s="1" t="str">
        <f>_xlfn.XLOOKUP(ocupacao[[#This Row],[UnidadeID]],unidades!$A:$A,unidades!$B:$B,"",0)</f>
        <v>Matriz</v>
      </c>
      <c r="N1148" s="1" t="str">
        <f>_xlfn.XLOOKUP(ocupacao[[#This Row],[UnidadeID]],unidades!$A:$A,unidades!$C:$C,"",0)</f>
        <v>Nova Iguaçu</v>
      </c>
      <c r="O1148" s="1" t="str">
        <f>_xlfn.XLOOKUP(ocupacao[[#This Row],[EspecialidadeID]],especialidades!$A:$A,especialidades!$B:$B,"",0)</f>
        <v>PEDIATRIA</v>
      </c>
      <c r="P1148" s="1" t="str">
        <f>TEXT(WEEKDAY(ocupacao[[#This Row],[Data]]),"ddd")</f>
        <v>qua</v>
      </c>
      <c r="Q1148" s="1">
        <f t="shared" si="17"/>
        <v>0</v>
      </c>
    </row>
    <row r="1149" spans="1:17" hidden="1" x14ac:dyDescent="0.25">
      <c r="A1149" s="2">
        <v>44749</v>
      </c>
      <c r="B1149">
        <v>0</v>
      </c>
      <c r="C1149">
        <v>6</v>
      </c>
      <c r="D1149">
        <v>342</v>
      </c>
      <c r="E1149">
        <v>100</v>
      </c>
      <c r="F1149" s="1" t="s">
        <v>321</v>
      </c>
      <c r="G1149">
        <v>4</v>
      </c>
      <c r="H1149">
        <v>0</v>
      </c>
      <c r="I1149">
        <v>32</v>
      </c>
      <c r="J1149">
        <v>36</v>
      </c>
      <c r="K1149" s="33">
        <v>0.1111</v>
      </c>
      <c r="L1149" s="1"/>
      <c r="M1149" s="1"/>
      <c r="N1149" s="1"/>
      <c r="O1149" s="1"/>
      <c r="P1149" s="1"/>
      <c r="Q1149" s="1"/>
    </row>
    <row r="1150" spans="1:17" x14ac:dyDescent="0.25">
      <c r="A1150" s="2">
        <v>44749</v>
      </c>
      <c r="B1150">
        <v>0</v>
      </c>
      <c r="C1150">
        <v>6</v>
      </c>
      <c r="D1150">
        <v>342</v>
      </c>
      <c r="E1150">
        <v>100</v>
      </c>
      <c r="F1150" s="1" t="s">
        <v>321</v>
      </c>
      <c r="G1150">
        <v>4</v>
      </c>
      <c r="H1150">
        <v>1</v>
      </c>
      <c r="I1150">
        <v>32</v>
      </c>
      <c r="J1150">
        <v>37</v>
      </c>
      <c r="K1150" s="33">
        <v>0.1351</v>
      </c>
      <c r="L1150" s="1"/>
      <c r="M1150" s="1" t="str">
        <f>_xlfn.XLOOKUP(ocupacao[[#This Row],[UnidadeID]],unidades!$A:$A,unidades!$B:$B,"",0)</f>
        <v>Matriz</v>
      </c>
      <c r="N1150" s="1" t="str">
        <f>_xlfn.XLOOKUP(ocupacao[[#This Row],[UnidadeID]],unidades!$A:$A,unidades!$C:$C,"",0)</f>
        <v>Nova Iguaçu</v>
      </c>
      <c r="O1150" s="1" t="str">
        <f>_xlfn.XLOOKUP(ocupacao[[#This Row],[EspecialidadeID]],especialidades!$A:$A,especialidades!$B:$B,"",0)</f>
        <v>PEDIATRIA</v>
      </c>
      <c r="P1150" s="1" t="str">
        <f>TEXT(WEEKDAY(ocupacao[[#This Row],[Data]]),"ddd")</f>
        <v>qui</v>
      </c>
      <c r="Q1150" s="1">
        <f t="shared" si="17"/>
        <v>0</v>
      </c>
    </row>
    <row r="1151" spans="1:17" hidden="1" x14ac:dyDescent="0.25">
      <c r="A1151" s="2">
        <v>44749</v>
      </c>
      <c r="B1151">
        <v>18</v>
      </c>
      <c r="C1151">
        <v>6</v>
      </c>
      <c r="D1151">
        <v>80</v>
      </c>
      <c r="E1151">
        <v>1343</v>
      </c>
      <c r="F1151" s="1" t="s">
        <v>322</v>
      </c>
      <c r="G1151">
        <v>0</v>
      </c>
      <c r="H1151">
        <v>0</v>
      </c>
      <c r="I1151">
        <v>17</v>
      </c>
      <c r="J1151">
        <v>17</v>
      </c>
      <c r="K1151" s="33">
        <v>0</v>
      </c>
      <c r="L1151" s="1"/>
      <c r="M1151" s="1"/>
      <c r="N1151" s="1"/>
      <c r="O1151" s="1"/>
      <c r="P1151" s="1"/>
      <c r="Q1151" s="1"/>
    </row>
    <row r="1152" spans="1:17" hidden="1" x14ac:dyDescent="0.25">
      <c r="A1152" s="2">
        <v>44750</v>
      </c>
      <c r="B1152">
        <v>34</v>
      </c>
      <c r="C1152">
        <v>6</v>
      </c>
      <c r="D1152">
        <v>370</v>
      </c>
      <c r="E1152">
        <v>99</v>
      </c>
      <c r="F1152" s="1" t="s">
        <v>357</v>
      </c>
      <c r="G1152">
        <v>0</v>
      </c>
      <c r="H1152">
        <v>0</v>
      </c>
      <c r="I1152">
        <v>24</v>
      </c>
      <c r="J1152">
        <v>24</v>
      </c>
      <c r="K1152" s="33">
        <v>0</v>
      </c>
      <c r="L1152" s="1"/>
      <c r="M1152" s="1"/>
      <c r="N1152" s="1"/>
      <c r="O1152" s="1"/>
      <c r="P1152" s="1"/>
      <c r="Q1152" s="1"/>
    </row>
    <row r="1153" spans="1:17" x14ac:dyDescent="0.25">
      <c r="A1153" s="2">
        <v>44750</v>
      </c>
      <c r="B1153">
        <v>0</v>
      </c>
      <c r="C1153">
        <v>6</v>
      </c>
      <c r="D1153">
        <v>342</v>
      </c>
      <c r="E1153">
        <v>1343</v>
      </c>
      <c r="F1153" s="1" t="s">
        <v>322</v>
      </c>
      <c r="G1153">
        <v>0</v>
      </c>
      <c r="H1153">
        <v>0</v>
      </c>
      <c r="I1153">
        <v>17</v>
      </c>
      <c r="J1153">
        <v>17</v>
      </c>
      <c r="K1153" s="33">
        <v>0</v>
      </c>
      <c r="L1153" s="1"/>
      <c r="M1153" s="1" t="str">
        <f>_xlfn.XLOOKUP(ocupacao[[#This Row],[UnidadeID]],unidades!$A:$A,unidades!$B:$B,"",0)</f>
        <v>Matriz</v>
      </c>
      <c r="N1153" s="1" t="str">
        <f>_xlfn.XLOOKUP(ocupacao[[#This Row],[UnidadeID]],unidades!$A:$A,unidades!$C:$C,"",0)</f>
        <v>Nova Iguaçu</v>
      </c>
      <c r="O1153" s="1" t="str">
        <f>_xlfn.XLOOKUP(ocupacao[[#This Row],[EspecialidadeID]],especialidades!$A:$A,especialidades!$B:$B,"",0)</f>
        <v>PEDIATRIA</v>
      </c>
      <c r="P1153" s="1" t="str">
        <f>TEXT(WEEKDAY(ocupacao[[#This Row],[Data]]),"ddd")</f>
        <v>sex</v>
      </c>
      <c r="Q1153" s="1">
        <f t="shared" si="17"/>
        <v>0</v>
      </c>
    </row>
    <row r="1154" spans="1:17" hidden="1" x14ac:dyDescent="0.25">
      <c r="A1154" s="2"/>
      <c r="F1154" s="1"/>
      <c r="K1154" s="33"/>
      <c r="L1154" s="1"/>
      <c r="M1154" s="1"/>
      <c r="N1154" s="1"/>
      <c r="O1154" s="1"/>
      <c r="P1154" s="1"/>
      <c r="Q1154" s="1"/>
    </row>
    <row r="1155" spans="1:17" x14ac:dyDescent="0.25">
      <c r="A1155" s="2">
        <v>44750</v>
      </c>
      <c r="B1155">
        <v>18</v>
      </c>
      <c r="C1155">
        <v>6</v>
      </c>
      <c r="D1155">
        <v>64</v>
      </c>
      <c r="E1155">
        <v>10593</v>
      </c>
      <c r="F1155" s="1" t="s">
        <v>370</v>
      </c>
      <c r="G1155">
        <v>0</v>
      </c>
      <c r="H1155">
        <v>1</v>
      </c>
      <c r="I1155">
        <v>18</v>
      </c>
      <c r="J1155">
        <v>19</v>
      </c>
      <c r="K1155" s="33">
        <v>5.2600000000000001E-2</v>
      </c>
      <c r="L1155" s="1"/>
      <c r="M1155" s="1" t="str">
        <f>_xlfn.XLOOKUP(ocupacao[[#This Row],[UnidadeID]],unidades!$A:$A,unidades!$B:$B,"",0)</f>
        <v>Miguel Couto</v>
      </c>
      <c r="N1155" s="1" t="str">
        <f>_xlfn.XLOOKUP(ocupacao[[#This Row],[UnidadeID]],unidades!$A:$A,unidades!$C:$C,"",0)</f>
        <v>Miguel Couto</v>
      </c>
      <c r="O1155" s="1" t="str">
        <f>_xlfn.XLOOKUP(ocupacao[[#This Row],[EspecialidadeID]],especialidades!$A:$A,especialidades!$B:$B,"",0)</f>
        <v>PEDIATRIA</v>
      </c>
      <c r="P1155" s="1" t="str">
        <f>TEXT(WEEKDAY(ocupacao[[#This Row],[Data]]),"ddd")</f>
        <v>sex</v>
      </c>
      <c r="Q1155" s="1">
        <f t="shared" ref="Q1155:Q1217" si="18">IF(F1155=F1156,1,0)</f>
        <v>0</v>
      </c>
    </row>
    <row r="1156" spans="1:17" hidden="1" x14ac:dyDescent="0.25">
      <c r="A1156" s="2">
        <v>44752</v>
      </c>
      <c r="B1156">
        <v>0</v>
      </c>
      <c r="C1156">
        <v>6</v>
      </c>
      <c r="D1156">
        <v>342</v>
      </c>
      <c r="E1156">
        <v>97</v>
      </c>
      <c r="F1156" s="1" t="s">
        <v>369</v>
      </c>
      <c r="G1156">
        <v>0</v>
      </c>
      <c r="H1156">
        <v>0</v>
      </c>
      <c r="I1156">
        <v>16</v>
      </c>
      <c r="J1156">
        <v>16</v>
      </c>
      <c r="K1156" s="33">
        <v>0</v>
      </c>
      <c r="L1156" s="1"/>
      <c r="M1156" s="1"/>
      <c r="N1156" s="1"/>
      <c r="O1156" s="1"/>
      <c r="P1156" s="1"/>
      <c r="Q1156" s="1"/>
    </row>
    <row r="1157" spans="1:17" hidden="1" x14ac:dyDescent="0.25">
      <c r="A1157" s="2"/>
      <c r="F1157" s="1"/>
      <c r="K1157" s="33"/>
      <c r="L1157" s="1"/>
      <c r="M1157" s="1"/>
      <c r="N1157" s="1"/>
      <c r="O1157" s="1"/>
      <c r="P1157" s="1"/>
      <c r="Q1157" s="1"/>
    </row>
    <row r="1158" spans="1:17" hidden="1" x14ac:dyDescent="0.25">
      <c r="A1158" s="2">
        <v>44753</v>
      </c>
      <c r="B1158">
        <v>34</v>
      </c>
      <c r="C1158">
        <v>6</v>
      </c>
      <c r="D1158">
        <v>370</v>
      </c>
      <c r="E1158">
        <v>100</v>
      </c>
      <c r="F1158" s="1" t="s">
        <v>321</v>
      </c>
      <c r="G1158">
        <v>0</v>
      </c>
      <c r="H1158">
        <v>0</v>
      </c>
      <c r="I1158">
        <v>2</v>
      </c>
      <c r="J1158">
        <v>2</v>
      </c>
      <c r="K1158" s="33">
        <v>0</v>
      </c>
      <c r="L1158" s="1"/>
      <c r="M1158" s="1"/>
      <c r="N1158" s="1"/>
      <c r="O1158" s="1"/>
      <c r="P1158" s="1"/>
      <c r="Q1158" s="1"/>
    </row>
    <row r="1159" spans="1:17" x14ac:dyDescent="0.25">
      <c r="A1159" s="2">
        <v>44753</v>
      </c>
      <c r="B1159">
        <v>0</v>
      </c>
      <c r="C1159">
        <v>6</v>
      </c>
      <c r="D1159">
        <v>342</v>
      </c>
      <c r="E1159">
        <v>3158</v>
      </c>
      <c r="F1159" s="1" t="s">
        <v>323</v>
      </c>
      <c r="G1159">
        <v>0</v>
      </c>
      <c r="H1159">
        <v>1</v>
      </c>
      <c r="I1159">
        <v>0</v>
      </c>
      <c r="J1159">
        <v>1</v>
      </c>
      <c r="K1159" s="33">
        <v>1</v>
      </c>
      <c r="L1159" s="1"/>
      <c r="M1159" s="1" t="str">
        <f>_xlfn.XLOOKUP(ocupacao[[#This Row],[UnidadeID]],unidades!$A:$A,unidades!$B:$B,"",0)</f>
        <v>Matriz</v>
      </c>
      <c r="N1159" s="1" t="str">
        <f>_xlfn.XLOOKUP(ocupacao[[#This Row],[UnidadeID]],unidades!$A:$A,unidades!$C:$C,"",0)</f>
        <v>Nova Iguaçu</v>
      </c>
      <c r="O1159" s="1" t="str">
        <f>_xlfn.XLOOKUP(ocupacao[[#This Row],[EspecialidadeID]],especialidades!$A:$A,especialidades!$B:$B,"",0)</f>
        <v>PEDIATRIA</v>
      </c>
      <c r="P1159" s="1" t="str">
        <f>TEXT(WEEKDAY(ocupacao[[#This Row],[Data]]),"ddd")</f>
        <v>seg</v>
      </c>
      <c r="Q1159" s="1">
        <f t="shared" si="18"/>
        <v>1</v>
      </c>
    </row>
    <row r="1160" spans="1:17" hidden="1" x14ac:dyDescent="0.25">
      <c r="A1160" s="2">
        <v>44753</v>
      </c>
      <c r="B1160">
        <v>0</v>
      </c>
      <c r="C1160">
        <v>6</v>
      </c>
      <c r="D1160">
        <v>342</v>
      </c>
      <c r="E1160">
        <v>3158</v>
      </c>
      <c r="F1160" s="1" t="s">
        <v>323</v>
      </c>
      <c r="G1160">
        <v>0</v>
      </c>
      <c r="H1160">
        <v>0</v>
      </c>
      <c r="I1160">
        <v>11</v>
      </c>
      <c r="J1160">
        <v>11</v>
      </c>
      <c r="K1160" s="33">
        <v>0</v>
      </c>
      <c r="L1160" s="1"/>
      <c r="M1160" s="1"/>
      <c r="N1160" s="1"/>
      <c r="O1160" s="1"/>
      <c r="P1160" s="1"/>
      <c r="Q1160" s="1"/>
    </row>
    <row r="1161" spans="1:17" x14ac:dyDescent="0.25">
      <c r="A1161" s="2">
        <v>44754</v>
      </c>
      <c r="B1161">
        <v>0</v>
      </c>
      <c r="C1161">
        <v>6</v>
      </c>
      <c r="D1161">
        <v>342</v>
      </c>
      <c r="E1161">
        <v>100</v>
      </c>
      <c r="F1161" s="1" t="s">
        <v>321</v>
      </c>
      <c r="G1161">
        <v>4</v>
      </c>
      <c r="H1161">
        <v>0</v>
      </c>
      <c r="I1161">
        <v>31</v>
      </c>
      <c r="J1161">
        <v>35</v>
      </c>
      <c r="K1161" s="33">
        <v>0.1143</v>
      </c>
      <c r="L1161" s="1"/>
      <c r="M1161" s="1" t="str">
        <f>_xlfn.XLOOKUP(ocupacao[[#This Row],[UnidadeID]],unidades!$A:$A,unidades!$B:$B,"",0)</f>
        <v>Matriz</v>
      </c>
      <c r="N1161" s="1" t="str">
        <f>_xlfn.XLOOKUP(ocupacao[[#This Row],[UnidadeID]],unidades!$A:$A,unidades!$C:$C,"",0)</f>
        <v>Nova Iguaçu</v>
      </c>
      <c r="O1161" s="1" t="str">
        <f>_xlfn.XLOOKUP(ocupacao[[#This Row],[EspecialidadeID]],especialidades!$A:$A,especialidades!$B:$B,"",0)</f>
        <v>PEDIATRIA</v>
      </c>
      <c r="P1161" s="1" t="str">
        <f>TEXT(WEEKDAY(ocupacao[[#This Row],[Data]]),"ddd")</f>
        <v>ter</v>
      </c>
      <c r="Q1161" s="1">
        <f t="shared" si="18"/>
        <v>1</v>
      </c>
    </row>
    <row r="1162" spans="1:17" x14ac:dyDescent="0.25">
      <c r="A1162" s="2">
        <v>44754</v>
      </c>
      <c r="B1162">
        <v>0</v>
      </c>
      <c r="C1162">
        <v>6</v>
      </c>
      <c r="D1162">
        <v>342</v>
      </c>
      <c r="E1162">
        <v>100</v>
      </c>
      <c r="F1162" s="1" t="s">
        <v>321</v>
      </c>
      <c r="G1162">
        <v>4</v>
      </c>
      <c r="H1162">
        <v>2</v>
      </c>
      <c r="I1162">
        <v>31</v>
      </c>
      <c r="J1162">
        <v>37</v>
      </c>
      <c r="K1162" s="33">
        <v>0.16220000000000001</v>
      </c>
      <c r="L1162" s="1"/>
      <c r="M1162" s="1" t="str">
        <f>_xlfn.XLOOKUP(ocupacao[[#This Row],[UnidadeID]],unidades!$A:$A,unidades!$B:$B,"",0)</f>
        <v>Matriz</v>
      </c>
      <c r="N1162" s="1" t="str">
        <f>_xlfn.XLOOKUP(ocupacao[[#This Row],[UnidadeID]],unidades!$A:$A,unidades!$C:$C,"",0)</f>
        <v>Nova Iguaçu</v>
      </c>
      <c r="O1162" s="1" t="str">
        <f>_xlfn.XLOOKUP(ocupacao[[#This Row],[EspecialidadeID]],especialidades!$A:$A,especialidades!$B:$B,"",0)</f>
        <v>PEDIATRIA</v>
      </c>
      <c r="P1162" s="1" t="str">
        <f>TEXT(WEEKDAY(ocupacao[[#This Row],[Data]]),"ddd")</f>
        <v>ter</v>
      </c>
      <c r="Q1162" s="1">
        <f t="shared" si="18"/>
        <v>0</v>
      </c>
    </row>
    <row r="1163" spans="1:17" hidden="1" x14ac:dyDescent="0.25">
      <c r="A1163" s="2">
        <v>44754</v>
      </c>
      <c r="B1163">
        <v>18</v>
      </c>
      <c r="C1163">
        <v>6</v>
      </c>
      <c r="D1163">
        <v>80</v>
      </c>
      <c r="E1163">
        <v>1343</v>
      </c>
      <c r="F1163" s="1" t="s">
        <v>322</v>
      </c>
      <c r="G1163">
        <v>0</v>
      </c>
      <c r="H1163">
        <v>0</v>
      </c>
      <c r="I1163">
        <v>17</v>
      </c>
      <c r="J1163">
        <v>17</v>
      </c>
      <c r="K1163" s="33">
        <v>0</v>
      </c>
      <c r="L1163" s="1"/>
      <c r="M1163" s="1"/>
      <c r="N1163" s="1"/>
      <c r="O1163" s="1"/>
      <c r="P1163" s="1"/>
      <c r="Q1163" s="1"/>
    </row>
    <row r="1164" spans="1:17" x14ac:dyDescent="0.25">
      <c r="A1164" s="2">
        <v>44755</v>
      </c>
      <c r="B1164">
        <v>0</v>
      </c>
      <c r="C1164">
        <v>6</v>
      </c>
      <c r="D1164">
        <v>342</v>
      </c>
      <c r="E1164">
        <v>99</v>
      </c>
      <c r="F1164" s="1" t="s">
        <v>357</v>
      </c>
      <c r="G1164">
        <v>0</v>
      </c>
      <c r="H1164">
        <v>0</v>
      </c>
      <c r="I1164">
        <v>16</v>
      </c>
      <c r="J1164">
        <v>16</v>
      </c>
      <c r="K1164" s="33">
        <v>0</v>
      </c>
      <c r="L1164" s="1"/>
      <c r="M1164" s="1" t="str">
        <f>_xlfn.XLOOKUP(ocupacao[[#This Row],[UnidadeID]],unidades!$A:$A,unidades!$B:$B,"",0)</f>
        <v>Matriz</v>
      </c>
      <c r="N1164" s="1" t="str">
        <f>_xlfn.XLOOKUP(ocupacao[[#This Row],[UnidadeID]],unidades!$A:$A,unidades!$C:$C,"",0)</f>
        <v>Nova Iguaçu</v>
      </c>
      <c r="O1164" s="1" t="str">
        <f>_xlfn.XLOOKUP(ocupacao[[#This Row],[EspecialidadeID]],especialidades!$A:$A,especialidades!$B:$B,"",0)</f>
        <v>PEDIATRIA</v>
      </c>
      <c r="P1164" s="1" t="str">
        <f>TEXT(WEEKDAY(ocupacao[[#This Row],[Data]]),"ddd")</f>
        <v>qua</v>
      </c>
      <c r="Q1164" s="1">
        <f t="shared" si="18"/>
        <v>0</v>
      </c>
    </row>
    <row r="1165" spans="1:17" hidden="1" x14ac:dyDescent="0.25">
      <c r="A1165" s="2">
        <v>44755</v>
      </c>
      <c r="B1165">
        <v>0</v>
      </c>
      <c r="C1165">
        <v>6</v>
      </c>
      <c r="D1165">
        <v>342</v>
      </c>
      <c r="E1165">
        <v>1343</v>
      </c>
      <c r="F1165" s="1" t="s">
        <v>322</v>
      </c>
      <c r="G1165">
        <v>0</v>
      </c>
      <c r="H1165">
        <v>0</v>
      </c>
      <c r="I1165">
        <v>31</v>
      </c>
      <c r="J1165">
        <v>31</v>
      </c>
      <c r="K1165" s="33">
        <v>0</v>
      </c>
      <c r="L1165" s="1"/>
      <c r="M1165" s="1"/>
      <c r="N1165" s="1"/>
      <c r="O1165" s="1"/>
      <c r="P1165" s="1"/>
      <c r="Q1165" s="1"/>
    </row>
    <row r="1166" spans="1:17" x14ac:dyDescent="0.25">
      <c r="A1166" s="2">
        <v>44755</v>
      </c>
      <c r="B1166">
        <v>0</v>
      </c>
      <c r="C1166">
        <v>6</v>
      </c>
      <c r="D1166">
        <v>64</v>
      </c>
      <c r="E1166">
        <v>1343</v>
      </c>
      <c r="F1166" s="1" t="s">
        <v>322</v>
      </c>
      <c r="G1166">
        <v>0</v>
      </c>
      <c r="H1166">
        <v>1</v>
      </c>
      <c r="I1166">
        <v>31</v>
      </c>
      <c r="J1166">
        <v>32</v>
      </c>
      <c r="K1166" s="33">
        <v>3.1300000000000001E-2</v>
      </c>
      <c r="L1166" s="1"/>
      <c r="M1166" s="1" t="str">
        <f>_xlfn.XLOOKUP(ocupacao[[#This Row],[UnidadeID]],unidades!$A:$A,unidades!$B:$B,"",0)</f>
        <v>Matriz</v>
      </c>
      <c r="N1166" s="1" t="str">
        <f>_xlfn.XLOOKUP(ocupacao[[#This Row],[UnidadeID]],unidades!$A:$A,unidades!$C:$C,"",0)</f>
        <v>Nova Iguaçu</v>
      </c>
      <c r="O1166" s="1" t="str">
        <f>_xlfn.XLOOKUP(ocupacao[[#This Row],[EspecialidadeID]],especialidades!$A:$A,especialidades!$B:$B,"",0)</f>
        <v>PEDIATRIA</v>
      </c>
      <c r="P1166" s="1" t="str">
        <f>TEXT(WEEKDAY(ocupacao[[#This Row],[Data]]),"ddd")</f>
        <v>qua</v>
      </c>
      <c r="Q1166" s="1">
        <f t="shared" si="18"/>
        <v>1</v>
      </c>
    </row>
    <row r="1167" spans="1:17" hidden="1" x14ac:dyDescent="0.25">
      <c r="A1167" s="2">
        <v>44755</v>
      </c>
      <c r="B1167">
        <v>0</v>
      </c>
      <c r="C1167">
        <v>6</v>
      </c>
      <c r="D1167">
        <v>342</v>
      </c>
      <c r="E1167">
        <v>1343</v>
      </c>
      <c r="F1167" s="1" t="s">
        <v>322</v>
      </c>
      <c r="G1167">
        <v>0</v>
      </c>
      <c r="H1167">
        <v>1</v>
      </c>
      <c r="I1167">
        <v>31</v>
      </c>
      <c r="J1167">
        <v>32</v>
      </c>
      <c r="K1167" s="33">
        <v>3.1300000000000001E-2</v>
      </c>
      <c r="L1167" s="1"/>
      <c r="M1167" s="1"/>
      <c r="N1167" s="1"/>
      <c r="O1167" s="1"/>
      <c r="P1167" s="1"/>
      <c r="Q1167" s="1"/>
    </row>
    <row r="1168" spans="1:17" x14ac:dyDescent="0.25">
      <c r="A1168" s="2">
        <v>44756</v>
      </c>
      <c r="B1168">
        <v>0</v>
      </c>
      <c r="C1168">
        <v>6</v>
      </c>
      <c r="D1168">
        <v>342</v>
      </c>
      <c r="E1168">
        <v>100</v>
      </c>
      <c r="F1168" s="1" t="s">
        <v>321</v>
      </c>
      <c r="G1168">
        <v>4</v>
      </c>
      <c r="H1168">
        <v>0</v>
      </c>
      <c r="I1168">
        <v>33</v>
      </c>
      <c r="J1168">
        <v>37</v>
      </c>
      <c r="K1168" s="33">
        <v>0.1081</v>
      </c>
      <c r="L1168" s="1"/>
      <c r="M1168" s="1" t="str">
        <f>_xlfn.XLOOKUP(ocupacao[[#This Row],[UnidadeID]],unidades!$A:$A,unidades!$B:$B,"",0)</f>
        <v>Matriz</v>
      </c>
      <c r="N1168" s="1" t="str">
        <f>_xlfn.XLOOKUP(ocupacao[[#This Row],[UnidadeID]],unidades!$A:$A,unidades!$C:$C,"",0)</f>
        <v>Nova Iguaçu</v>
      </c>
      <c r="O1168" s="1" t="str">
        <f>_xlfn.XLOOKUP(ocupacao[[#This Row],[EspecialidadeID]],especialidades!$A:$A,especialidades!$B:$B,"",0)</f>
        <v>PEDIATRIA</v>
      </c>
      <c r="P1168" s="1" t="str">
        <f>TEXT(WEEKDAY(ocupacao[[#This Row],[Data]]),"ddd")</f>
        <v>qui</v>
      </c>
      <c r="Q1168" s="1">
        <f t="shared" si="18"/>
        <v>0</v>
      </c>
    </row>
    <row r="1169" spans="1:17" x14ac:dyDescent="0.25">
      <c r="A1169" s="2">
        <v>44756</v>
      </c>
      <c r="B1169">
        <v>18</v>
      </c>
      <c r="C1169">
        <v>6</v>
      </c>
      <c r="D1169">
        <v>80</v>
      </c>
      <c r="E1169">
        <v>1343</v>
      </c>
      <c r="F1169" s="1" t="s">
        <v>322</v>
      </c>
      <c r="G1169">
        <v>0</v>
      </c>
      <c r="H1169">
        <v>0</v>
      </c>
      <c r="I1169">
        <v>17</v>
      </c>
      <c r="J1169">
        <v>17</v>
      </c>
      <c r="K1169" s="33">
        <v>0</v>
      </c>
      <c r="L1169" s="1"/>
      <c r="M1169" s="1" t="str">
        <f>_xlfn.XLOOKUP(ocupacao[[#This Row],[UnidadeID]],unidades!$A:$A,unidades!$B:$B,"",0)</f>
        <v>Miguel Couto</v>
      </c>
      <c r="N1169" s="1" t="str">
        <f>_xlfn.XLOOKUP(ocupacao[[#This Row],[UnidadeID]],unidades!$A:$A,unidades!$C:$C,"",0)</f>
        <v>Miguel Couto</v>
      </c>
      <c r="O1169" s="1" t="str">
        <f>_xlfn.XLOOKUP(ocupacao[[#This Row],[EspecialidadeID]],especialidades!$A:$A,especialidades!$B:$B,"",0)</f>
        <v>PEDIATRIA</v>
      </c>
      <c r="P1169" s="1" t="str">
        <f>TEXT(WEEKDAY(ocupacao[[#This Row],[Data]]),"ddd")</f>
        <v>qui</v>
      </c>
      <c r="Q1169" s="1">
        <f t="shared" si="18"/>
        <v>0</v>
      </c>
    </row>
    <row r="1170" spans="1:17" x14ac:dyDescent="0.25">
      <c r="A1170" s="2"/>
      <c r="F1170" s="1" t="s">
        <v>106</v>
      </c>
      <c r="K1170" s="33"/>
      <c r="L1170" s="1"/>
      <c r="M1170" s="1">
        <f>_xlfn.XLOOKUP(ocupacao[[#This Row],[UnidadeID]],unidades!$A:$A,unidades!$B:$B,"",0)</f>
        <v>0</v>
      </c>
      <c r="N1170" s="1">
        <f>_xlfn.XLOOKUP(ocupacao[[#This Row],[UnidadeID]],unidades!$A:$A,unidades!$C:$C,"",0)</f>
        <v>0</v>
      </c>
      <c r="O1170" s="1">
        <f>_xlfn.XLOOKUP(ocupacao[[#This Row],[EspecialidadeID]],especialidades!$A:$A,especialidades!$B:$B,"",0)</f>
        <v>0</v>
      </c>
      <c r="P1170" s="1" t="str">
        <f>TEXT(WEEKDAY(ocupacao[[#This Row],[Data]]),"ddd")</f>
        <v>sáb</v>
      </c>
      <c r="Q1170" s="1">
        <f t="shared" si="18"/>
        <v>0</v>
      </c>
    </row>
    <row r="1171" spans="1:17" hidden="1" x14ac:dyDescent="0.25">
      <c r="A1171" s="2"/>
      <c r="F1171" s="1"/>
      <c r="K1171" s="33"/>
      <c r="L1171" s="1"/>
      <c r="M1171" s="1"/>
      <c r="N1171" s="1"/>
      <c r="O1171" s="1"/>
      <c r="P1171" s="1"/>
      <c r="Q1171" s="1"/>
    </row>
    <row r="1172" spans="1:17" hidden="1" x14ac:dyDescent="0.25">
      <c r="A1172" s="2">
        <v>44744</v>
      </c>
      <c r="B1172">
        <v>34</v>
      </c>
      <c r="C1172">
        <v>7</v>
      </c>
      <c r="D1172">
        <v>375</v>
      </c>
      <c r="E1172">
        <v>60</v>
      </c>
      <c r="F1172" s="1" t="s">
        <v>113</v>
      </c>
      <c r="G1172">
        <v>0</v>
      </c>
      <c r="H1172">
        <v>4</v>
      </c>
      <c r="I1172">
        <v>37</v>
      </c>
      <c r="J1172">
        <v>41</v>
      </c>
      <c r="K1172" s="33">
        <v>9.7600000000000006E-2</v>
      </c>
      <c r="L1172" s="1"/>
      <c r="M1172" s="1"/>
      <c r="N1172" s="1"/>
      <c r="O1172" s="1"/>
      <c r="P1172" s="1"/>
      <c r="Q1172" s="1"/>
    </row>
    <row r="1173" spans="1:17" hidden="1" x14ac:dyDescent="0.25">
      <c r="A1173" s="2"/>
      <c r="F1173" s="1"/>
      <c r="K1173" s="33"/>
      <c r="L1173" s="1"/>
      <c r="M1173" s="1"/>
      <c r="N1173" s="1"/>
      <c r="O1173" s="1"/>
      <c r="P1173" s="1"/>
      <c r="Q1173" s="1"/>
    </row>
    <row r="1174" spans="1:17" hidden="1" x14ac:dyDescent="0.25">
      <c r="A1174" s="2">
        <v>44744</v>
      </c>
      <c r="B1174">
        <v>10</v>
      </c>
      <c r="C1174">
        <v>7</v>
      </c>
      <c r="D1174">
        <v>3</v>
      </c>
      <c r="E1174">
        <v>17879</v>
      </c>
      <c r="F1174" s="1" t="s">
        <v>373</v>
      </c>
      <c r="G1174">
        <v>0</v>
      </c>
      <c r="H1174">
        <v>11</v>
      </c>
      <c r="I1174">
        <v>10</v>
      </c>
      <c r="J1174">
        <v>21</v>
      </c>
      <c r="K1174" s="33">
        <v>0.52380000000000004</v>
      </c>
      <c r="L1174" s="1"/>
      <c r="M1174" s="1"/>
      <c r="N1174" s="1"/>
      <c r="O1174" s="1"/>
      <c r="P1174" s="1"/>
      <c r="Q1174" s="1"/>
    </row>
    <row r="1175" spans="1:17" x14ac:dyDescent="0.25">
      <c r="A1175" s="2">
        <v>44746</v>
      </c>
      <c r="B1175">
        <v>0</v>
      </c>
      <c r="C1175">
        <v>7</v>
      </c>
      <c r="D1175">
        <v>345</v>
      </c>
      <c r="E1175">
        <v>60</v>
      </c>
      <c r="F1175" s="1" t="s">
        <v>113</v>
      </c>
      <c r="G1175">
        <v>0</v>
      </c>
      <c r="H1175">
        <v>1</v>
      </c>
      <c r="I1175">
        <v>24</v>
      </c>
      <c r="J1175">
        <v>25</v>
      </c>
      <c r="K1175" s="33">
        <v>0.04</v>
      </c>
      <c r="L1175" s="1"/>
      <c r="M1175" s="1" t="str">
        <f>_xlfn.XLOOKUP(ocupacao[[#This Row],[UnidadeID]],unidades!$A:$A,unidades!$B:$B,"",0)</f>
        <v>Matriz</v>
      </c>
      <c r="N1175" s="1" t="str">
        <f>_xlfn.XLOOKUP(ocupacao[[#This Row],[UnidadeID]],unidades!$A:$A,unidades!$C:$C,"",0)</f>
        <v>Nova Iguaçu</v>
      </c>
      <c r="O1175" s="1" t="str">
        <f>_xlfn.XLOOKUP(ocupacao[[#This Row],[EspecialidadeID]],especialidades!$A:$A,especialidades!$B:$B,"",0)</f>
        <v>ENDOCRINOLOGIA</v>
      </c>
      <c r="P1175" s="1" t="str">
        <f>TEXT(WEEKDAY(ocupacao[[#This Row],[Data]]),"ddd")</f>
        <v>seg</v>
      </c>
      <c r="Q1175" s="1">
        <f t="shared" si="18"/>
        <v>1</v>
      </c>
    </row>
    <row r="1176" spans="1:17" hidden="1" x14ac:dyDescent="0.25">
      <c r="A1176" s="2">
        <v>44746</v>
      </c>
      <c r="B1176">
        <v>0</v>
      </c>
      <c r="C1176">
        <v>7</v>
      </c>
      <c r="D1176">
        <v>66</v>
      </c>
      <c r="E1176">
        <v>60</v>
      </c>
      <c r="F1176" s="1" t="s">
        <v>113</v>
      </c>
      <c r="G1176">
        <v>0</v>
      </c>
      <c r="H1176">
        <v>2</v>
      </c>
      <c r="I1176">
        <v>24</v>
      </c>
      <c r="J1176">
        <v>26</v>
      </c>
      <c r="K1176" s="33">
        <v>7.6899999999999996E-2</v>
      </c>
      <c r="L1176" s="1"/>
      <c r="M1176" s="1"/>
      <c r="N1176" s="1"/>
      <c r="O1176" s="1"/>
      <c r="P1176" s="1"/>
      <c r="Q1176" s="1"/>
    </row>
    <row r="1177" spans="1:17" x14ac:dyDescent="0.25">
      <c r="A1177" s="2">
        <v>44746</v>
      </c>
      <c r="B1177">
        <v>0</v>
      </c>
      <c r="C1177">
        <v>7</v>
      </c>
      <c r="D1177">
        <v>345</v>
      </c>
      <c r="E1177">
        <v>60</v>
      </c>
      <c r="F1177" s="1" t="s">
        <v>113</v>
      </c>
      <c r="G1177">
        <v>0</v>
      </c>
      <c r="H1177">
        <v>2</v>
      </c>
      <c r="I1177">
        <v>24</v>
      </c>
      <c r="J1177">
        <v>26</v>
      </c>
      <c r="K1177" s="33">
        <v>7.6899999999999996E-2</v>
      </c>
      <c r="L1177" s="1"/>
      <c r="M1177" s="1" t="str">
        <f>_xlfn.XLOOKUP(ocupacao[[#This Row],[UnidadeID]],unidades!$A:$A,unidades!$B:$B,"",0)</f>
        <v>Matriz</v>
      </c>
      <c r="N1177" s="1" t="str">
        <f>_xlfn.XLOOKUP(ocupacao[[#This Row],[UnidadeID]],unidades!$A:$A,unidades!$C:$C,"",0)</f>
        <v>Nova Iguaçu</v>
      </c>
      <c r="O1177" s="1" t="str">
        <f>_xlfn.XLOOKUP(ocupacao[[#This Row],[EspecialidadeID]],especialidades!$A:$A,especialidades!$B:$B,"",0)</f>
        <v>ENDOCRINOLOGIA</v>
      </c>
      <c r="P1177" s="1" t="str">
        <f>TEXT(WEEKDAY(ocupacao[[#This Row],[Data]]),"ddd")</f>
        <v>seg</v>
      </c>
      <c r="Q1177" s="1">
        <f t="shared" si="18"/>
        <v>0</v>
      </c>
    </row>
    <row r="1178" spans="1:17" hidden="1" x14ac:dyDescent="0.25">
      <c r="A1178" s="2">
        <v>44746</v>
      </c>
      <c r="B1178">
        <v>10</v>
      </c>
      <c r="C1178">
        <v>7</v>
      </c>
      <c r="D1178">
        <v>7</v>
      </c>
      <c r="E1178">
        <v>2984</v>
      </c>
      <c r="F1178" s="1" t="s">
        <v>343</v>
      </c>
      <c r="G1178">
        <v>0</v>
      </c>
      <c r="H1178">
        <v>16</v>
      </c>
      <c r="I1178">
        <v>0</v>
      </c>
      <c r="J1178">
        <v>16</v>
      </c>
      <c r="K1178" s="33">
        <v>1</v>
      </c>
      <c r="L1178" s="1"/>
      <c r="M1178" s="1"/>
      <c r="N1178" s="1"/>
      <c r="O1178" s="1"/>
      <c r="P1178" s="1"/>
      <c r="Q1178" s="1"/>
    </row>
    <row r="1179" spans="1:17" hidden="1" x14ac:dyDescent="0.25">
      <c r="A1179" s="2"/>
      <c r="F1179" s="1"/>
      <c r="K1179" s="33"/>
      <c r="L1179" s="1"/>
      <c r="M1179" s="1"/>
      <c r="N1179" s="1"/>
      <c r="O1179" s="1"/>
      <c r="P1179" s="1"/>
      <c r="Q1179" s="1"/>
    </row>
    <row r="1180" spans="1:17" x14ac:dyDescent="0.25">
      <c r="A1180" s="2">
        <v>44746</v>
      </c>
      <c r="B1180">
        <v>10</v>
      </c>
      <c r="C1180">
        <v>7</v>
      </c>
      <c r="D1180">
        <v>6</v>
      </c>
      <c r="E1180">
        <v>12669</v>
      </c>
      <c r="F1180" s="1" t="s">
        <v>109</v>
      </c>
      <c r="G1180">
        <v>0</v>
      </c>
      <c r="H1180">
        <v>10</v>
      </c>
      <c r="I1180">
        <v>6</v>
      </c>
      <c r="J1180">
        <v>16</v>
      </c>
      <c r="K1180" s="33">
        <v>0.625</v>
      </c>
      <c r="L1180" s="1"/>
      <c r="M1180" s="1" t="str">
        <f>_xlfn.XLOOKUP(ocupacao[[#This Row],[UnidadeID]],unidades!$A:$A,unidades!$B:$B,"",0)</f>
        <v>Filial 2 - 10º</v>
      </c>
      <c r="N1180" s="1" t="str">
        <f>_xlfn.XLOOKUP(ocupacao[[#This Row],[UnidadeID]],unidades!$A:$A,unidades!$C:$C,"",0)</f>
        <v>Nova Iguaçu</v>
      </c>
      <c r="O1180" s="1" t="str">
        <f>_xlfn.XLOOKUP(ocupacao[[#This Row],[EspecialidadeID]],especialidades!$A:$A,especialidades!$B:$B,"",0)</f>
        <v>ENDOCRINOLOGIA</v>
      </c>
      <c r="P1180" s="1" t="str">
        <f>TEXT(WEEKDAY(ocupacao[[#This Row],[Data]]),"ddd")</f>
        <v>seg</v>
      </c>
      <c r="Q1180" s="1">
        <f t="shared" si="18"/>
        <v>0</v>
      </c>
    </row>
    <row r="1181" spans="1:17" x14ac:dyDescent="0.25">
      <c r="A1181" s="2">
        <v>44747</v>
      </c>
      <c r="B1181">
        <v>10</v>
      </c>
      <c r="C1181">
        <v>7</v>
      </c>
      <c r="D1181">
        <v>5</v>
      </c>
      <c r="E1181">
        <v>73</v>
      </c>
      <c r="F1181" s="1" t="s">
        <v>377</v>
      </c>
      <c r="G1181">
        <v>0</v>
      </c>
      <c r="H1181">
        <v>34</v>
      </c>
      <c r="I1181">
        <v>0</v>
      </c>
      <c r="J1181">
        <v>34</v>
      </c>
      <c r="K1181" s="33">
        <v>1</v>
      </c>
      <c r="L1181" s="1"/>
      <c r="M1181" s="1" t="str">
        <f>_xlfn.XLOOKUP(ocupacao[[#This Row],[UnidadeID]],unidades!$A:$A,unidades!$B:$B,"",0)</f>
        <v>Filial 2 - 10º</v>
      </c>
      <c r="N1181" s="1" t="str">
        <f>_xlfn.XLOOKUP(ocupacao[[#This Row],[UnidadeID]],unidades!$A:$A,unidades!$C:$C,"",0)</f>
        <v>Nova Iguaçu</v>
      </c>
      <c r="O1181" s="1" t="str">
        <f>_xlfn.XLOOKUP(ocupacao[[#This Row],[EspecialidadeID]],especialidades!$A:$A,especialidades!$B:$B,"",0)</f>
        <v>ENDOCRINOLOGIA</v>
      </c>
      <c r="P1181" s="1" t="str">
        <f>TEXT(WEEKDAY(ocupacao[[#This Row],[Data]]),"ddd")</f>
        <v>ter</v>
      </c>
      <c r="Q1181" s="1">
        <f t="shared" si="18"/>
        <v>0</v>
      </c>
    </row>
    <row r="1182" spans="1:17" hidden="1" x14ac:dyDescent="0.25">
      <c r="A1182" s="2"/>
      <c r="F1182" s="1"/>
      <c r="K1182" s="33"/>
      <c r="L1182" s="1"/>
      <c r="M1182" s="1"/>
      <c r="N1182" s="1"/>
      <c r="O1182" s="1"/>
      <c r="P1182" s="1"/>
      <c r="Q1182" s="1"/>
    </row>
    <row r="1183" spans="1:17" hidden="1" x14ac:dyDescent="0.25">
      <c r="A1183" s="2">
        <v>44747</v>
      </c>
      <c r="B1183">
        <v>18</v>
      </c>
      <c r="C1183">
        <v>7</v>
      </c>
      <c r="D1183">
        <v>78</v>
      </c>
      <c r="E1183">
        <v>14452</v>
      </c>
      <c r="F1183" s="1" t="s">
        <v>148</v>
      </c>
      <c r="G1183">
        <v>0</v>
      </c>
      <c r="H1183">
        <v>4</v>
      </c>
      <c r="I1183">
        <v>36</v>
      </c>
      <c r="J1183">
        <v>40</v>
      </c>
      <c r="K1183" s="33">
        <v>0.1</v>
      </c>
      <c r="L1183" s="1"/>
      <c r="M1183" s="1"/>
      <c r="N1183" s="1"/>
      <c r="O1183" s="1"/>
      <c r="P1183" s="1"/>
      <c r="Q1183" s="1"/>
    </row>
    <row r="1184" spans="1:17" hidden="1" x14ac:dyDescent="0.25">
      <c r="A1184" s="2"/>
      <c r="F1184" s="1"/>
      <c r="K1184" s="33"/>
      <c r="L1184" s="1"/>
      <c r="M1184" s="1"/>
      <c r="N1184" s="1"/>
      <c r="O1184" s="1"/>
      <c r="P1184" s="1"/>
      <c r="Q1184" s="1"/>
    </row>
    <row r="1185" spans="1:17" hidden="1" x14ac:dyDescent="0.25">
      <c r="A1185" s="2">
        <v>44748</v>
      </c>
      <c r="B1185">
        <v>0</v>
      </c>
      <c r="C1185">
        <v>7</v>
      </c>
      <c r="D1185">
        <v>7</v>
      </c>
      <c r="E1185">
        <v>60</v>
      </c>
      <c r="F1185" s="1" t="s">
        <v>113</v>
      </c>
      <c r="G1185">
        <v>0</v>
      </c>
      <c r="H1185">
        <v>1</v>
      </c>
      <c r="I1185">
        <v>48</v>
      </c>
      <c r="J1185">
        <v>49</v>
      </c>
      <c r="K1185" s="33">
        <v>2.0400000000000001E-2</v>
      </c>
      <c r="L1185" s="1"/>
      <c r="M1185" s="1"/>
      <c r="N1185" s="1"/>
      <c r="O1185" s="1"/>
      <c r="P1185" s="1"/>
      <c r="Q1185" s="1"/>
    </row>
    <row r="1186" spans="1:17" x14ac:dyDescent="0.25">
      <c r="A1186" s="2">
        <v>44748</v>
      </c>
      <c r="B1186">
        <v>0</v>
      </c>
      <c r="C1186">
        <v>7</v>
      </c>
      <c r="D1186">
        <v>7</v>
      </c>
      <c r="E1186">
        <v>60</v>
      </c>
      <c r="F1186" s="1" t="s">
        <v>113</v>
      </c>
      <c r="G1186">
        <v>0</v>
      </c>
      <c r="H1186">
        <v>4</v>
      </c>
      <c r="I1186">
        <v>48</v>
      </c>
      <c r="J1186">
        <v>52</v>
      </c>
      <c r="K1186" s="33">
        <v>7.6899999999999996E-2</v>
      </c>
      <c r="L1186" s="1"/>
      <c r="M1186" s="1" t="str">
        <f>_xlfn.XLOOKUP(ocupacao[[#This Row],[UnidadeID]],unidades!$A:$A,unidades!$B:$B,"",0)</f>
        <v>Matriz</v>
      </c>
      <c r="N1186" s="1" t="str">
        <f>_xlfn.XLOOKUP(ocupacao[[#This Row],[UnidadeID]],unidades!$A:$A,unidades!$C:$C,"",0)</f>
        <v>Nova Iguaçu</v>
      </c>
      <c r="O1186" s="1" t="str">
        <f>_xlfn.XLOOKUP(ocupacao[[#This Row],[EspecialidadeID]],especialidades!$A:$A,especialidades!$B:$B,"",0)</f>
        <v>ENDOCRINOLOGIA</v>
      </c>
      <c r="P1186" s="1" t="str">
        <f>TEXT(WEEKDAY(ocupacao[[#This Row],[Data]]),"ddd")</f>
        <v>qua</v>
      </c>
      <c r="Q1186" s="1">
        <f t="shared" si="18"/>
        <v>0</v>
      </c>
    </row>
    <row r="1187" spans="1:17" hidden="1" x14ac:dyDescent="0.25">
      <c r="A1187" s="2">
        <v>44748</v>
      </c>
      <c r="B1187">
        <v>10</v>
      </c>
      <c r="C1187">
        <v>7</v>
      </c>
      <c r="D1187">
        <v>5</v>
      </c>
      <c r="E1187">
        <v>73</v>
      </c>
      <c r="F1187" s="1" t="s">
        <v>377</v>
      </c>
      <c r="G1187">
        <v>0</v>
      </c>
      <c r="H1187">
        <v>33</v>
      </c>
      <c r="I1187">
        <v>0</v>
      </c>
      <c r="J1187">
        <v>33</v>
      </c>
      <c r="K1187" s="33">
        <v>1</v>
      </c>
      <c r="L1187" s="1"/>
      <c r="M1187" s="1"/>
      <c r="N1187" s="1"/>
      <c r="O1187" s="1"/>
      <c r="P1187" s="1"/>
      <c r="Q1187" s="1"/>
    </row>
    <row r="1188" spans="1:17" hidden="1" x14ac:dyDescent="0.25">
      <c r="A1188" s="2"/>
      <c r="F1188" s="1"/>
      <c r="K1188" s="33"/>
      <c r="L1188" s="1"/>
      <c r="M1188" s="1"/>
      <c r="N1188" s="1"/>
      <c r="O1188" s="1"/>
      <c r="P1188" s="1"/>
      <c r="Q1188" s="1"/>
    </row>
    <row r="1189" spans="1:17" x14ac:dyDescent="0.25">
      <c r="A1189" s="2">
        <v>44748</v>
      </c>
      <c r="B1189">
        <v>10</v>
      </c>
      <c r="C1189">
        <v>7</v>
      </c>
      <c r="D1189">
        <v>7</v>
      </c>
      <c r="E1189">
        <v>14452</v>
      </c>
      <c r="F1189" s="1" t="s">
        <v>148</v>
      </c>
      <c r="G1189">
        <v>0</v>
      </c>
      <c r="H1189">
        <v>1</v>
      </c>
      <c r="I1189">
        <v>39</v>
      </c>
      <c r="J1189">
        <v>40</v>
      </c>
      <c r="K1189" s="33">
        <v>2.5000000000000001E-2</v>
      </c>
      <c r="L1189" s="1"/>
      <c r="M1189" s="1" t="str">
        <f>_xlfn.XLOOKUP(ocupacao[[#This Row],[UnidadeID]],unidades!$A:$A,unidades!$B:$B,"",0)</f>
        <v>Filial 2 - 10º</v>
      </c>
      <c r="N1189" s="1" t="str">
        <f>_xlfn.XLOOKUP(ocupacao[[#This Row],[UnidadeID]],unidades!$A:$A,unidades!$C:$C,"",0)</f>
        <v>Nova Iguaçu</v>
      </c>
      <c r="O1189" s="1" t="str">
        <f>_xlfn.XLOOKUP(ocupacao[[#This Row],[EspecialidadeID]],especialidades!$A:$A,especialidades!$B:$B,"",0)</f>
        <v>ENDOCRINOLOGIA</v>
      </c>
      <c r="P1189" s="1" t="str">
        <f>TEXT(WEEKDAY(ocupacao[[#This Row],[Data]]),"ddd")</f>
        <v>qua</v>
      </c>
      <c r="Q1189" s="1">
        <f t="shared" si="18"/>
        <v>0</v>
      </c>
    </row>
    <row r="1190" spans="1:17" hidden="1" x14ac:dyDescent="0.25">
      <c r="A1190" s="2"/>
      <c r="F1190" s="1"/>
      <c r="K1190" s="33"/>
      <c r="L1190" s="1"/>
      <c r="M1190" s="1"/>
      <c r="N1190" s="1"/>
      <c r="O1190" s="1"/>
      <c r="P1190" s="1"/>
      <c r="Q1190" s="1"/>
    </row>
    <row r="1191" spans="1:17" x14ac:dyDescent="0.25">
      <c r="A1191" s="2">
        <v>44749</v>
      </c>
      <c r="B1191">
        <v>0</v>
      </c>
      <c r="C1191">
        <v>7</v>
      </c>
      <c r="D1191">
        <v>346</v>
      </c>
      <c r="E1191">
        <v>60</v>
      </c>
      <c r="F1191" s="1" t="s">
        <v>113</v>
      </c>
      <c r="G1191">
        <v>0</v>
      </c>
      <c r="H1191">
        <v>0</v>
      </c>
      <c r="I1191">
        <v>11</v>
      </c>
      <c r="J1191">
        <v>11</v>
      </c>
      <c r="K1191" s="33">
        <v>0</v>
      </c>
      <c r="L1191" s="1"/>
      <c r="M1191" s="1" t="str">
        <f>_xlfn.XLOOKUP(ocupacao[[#This Row],[UnidadeID]],unidades!$A:$A,unidades!$B:$B,"",0)</f>
        <v>Matriz</v>
      </c>
      <c r="N1191" s="1" t="str">
        <f>_xlfn.XLOOKUP(ocupacao[[#This Row],[UnidadeID]],unidades!$A:$A,unidades!$C:$C,"",0)</f>
        <v>Nova Iguaçu</v>
      </c>
      <c r="O1191" s="1" t="str">
        <f>_xlfn.XLOOKUP(ocupacao[[#This Row],[EspecialidadeID]],especialidades!$A:$A,especialidades!$B:$B,"",0)</f>
        <v>ENDOCRINOLOGIA</v>
      </c>
      <c r="P1191" s="1" t="str">
        <f>TEXT(WEEKDAY(ocupacao[[#This Row],[Data]]),"ddd")</f>
        <v>qui</v>
      </c>
      <c r="Q1191" s="1">
        <f t="shared" si="18"/>
        <v>0</v>
      </c>
    </row>
    <row r="1192" spans="1:17" hidden="1" x14ac:dyDescent="0.25">
      <c r="A1192" s="2"/>
      <c r="F1192" s="1"/>
      <c r="K1192" s="33"/>
      <c r="L1192" s="1"/>
      <c r="M1192" s="1"/>
      <c r="N1192" s="1"/>
      <c r="O1192" s="1"/>
      <c r="P1192" s="1"/>
      <c r="Q1192" s="1"/>
    </row>
    <row r="1193" spans="1:17" x14ac:dyDescent="0.25">
      <c r="A1193" s="2">
        <v>44749</v>
      </c>
      <c r="B1193">
        <v>10</v>
      </c>
      <c r="C1193">
        <v>7</v>
      </c>
      <c r="D1193">
        <v>5</v>
      </c>
      <c r="E1193">
        <v>12426</v>
      </c>
      <c r="F1193" s="1" t="s">
        <v>121</v>
      </c>
      <c r="G1193">
        <v>0</v>
      </c>
      <c r="H1193">
        <v>6</v>
      </c>
      <c r="I1193">
        <v>14</v>
      </c>
      <c r="J1193">
        <v>20</v>
      </c>
      <c r="K1193" s="33">
        <v>0.3</v>
      </c>
      <c r="L1193" s="1"/>
      <c r="M1193" s="1" t="str">
        <f>_xlfn.XLOOKUP(ocupacao[[#This Row],[UnidadeID]],unidades!$A:$A,unidades!$B:$B,"",0)</f>
        <v>Filial 2 - 10º</v>
      </c>
      <c r="N1193" s="1" t="str">
        <f>_xlfn.XLOOKUP(ocupacao[[#This Row],[UnidadeID]],unidades!$A:$A,unidades!$C:$C,"",0)</f>
        <v>Nova Iguaçu</v>
      </c>
      <c r="O1193" s="1" t="str">
        <f>_xlfn.XLOOKUP(ocupacao[[#This Row],[EspecialidadeID]],especialidades!$A:$A,especialidades!$B:$B,"",0)</f>
        <v>ENDOCRINOLOGIA</v>
      </c>
      <c r="P1193" s="1" t="str">
        <f>TEXT(WEEKDAY(ocupacao[[#This Row],[Data]]),"ddd")</f>
        <v>qui</v>
      </c>
      <c r="Q1193" s="1">
        <f t="shared" si="18"/>
        <v>0</v>
      </c>
    </row>
    <row r="1194" spans="1:17" hidden="1" x14ac:dyDescent="0.25">
      <c r="A1194" s="2">
        <v>44749</v>
      </c>
      <c r="B1194">
        <v>24</v>
      </c>
      <c r="C1194">
        <v>7</v>
      </c>
      <c r="D1194">
        <v>67</v>
      </c>
      <c r="E1194">
        <v>18023</v>
      </c>
      <c r="F1194" s="1" t="s">
        <v>797</v>
      </c>
      <c r="G1194">
        <v>0</v>
      </c>
      <c r="H1194">
        <v>0</v>
      </c>
      <c r="I1194">
        <v>47</v>
      </c>
      <c r="J1194">
        <v>47</v>
      </c>
      <c r="K1194" s="33">
        <v>0</v>
      </c>
      <c r="L1194" s="1"/>
      <c r="M1194" s="1"/>
      <c r="N1194" s="1"/>
      <c r="O1194" s="1"/>
      <c r="P1194" s="1"/>
      <c r="Q1194" s="1"/>
    </row>
    <row r="1195" spans="1:17" x14ac:dyDescent="0.25">
      <c r="A1195" s="2">
        <v>44749</v>
      </c>
      <c r="B1195">
        <v>24</v>
      </c>
      <c r="C1195">
        <v>7</v>
      </c>
      <c r="D1195">
        <v>67</v>
      </c>
      <c r="E1195">
        <v>18023</v>
      </c>
      <c r="F1195" s="1" t="s">
        <v>797</v>
      </c>
      <c r="G1195">
        <v>0</v>
      </c>
      <c r="H1195">
        <v>6</v>
      </c>
      <c r="I1195">
        <v>47</v>
      </c>
      <c r="J1195">
        <v>53</v>
      </c>
      <c r="K1195" s="33">
        <v>0.1132</v>
      </c>
      <c r="L1195" s="1"/>
      <c r="M1195" s="1" t="str">
        <f>_xlfn.XLOOKUP(ocupacao[[#This Row],[UnidadeID]],unidades!$A:$A,unidades!$B:$B,"",0)</f>
        <v>Nilópolis</v>
      </c>
      <c r="N1195" s="1" t="str">
        <f>_xlfn.XLOOKUP(ocupacao[[#This Row],[UnidadeID]],unidades!$A:$A,unidades!$C:$C,"",0)</f>
        <v>Nilópolis</v>
      </c>
      <c r="O1195" s="1" t="str">
        <f>_xlfn.XLOOKUP(ocupacao[[#This Row],[EspecialidadeID]],especialidades!$A:$A,especialidades!$B:$B,"",0)</f>
        <v>ENDOCRINOLOGIA</v>
      </c>
      <c r="P1195" s="1" t="str">
        <f>TEXT(WEEKDAY(ocupacao[[#This Row],[Data]]),"ddd")</f>
        <v>qui</v>
      </c>
      <c r="Q1195" s="1">
        <f t="shared" si="18"/>
        <v>0</v>
      </c>
    </row>
    <row r="1196" spans="1:17" hidden="1" x14ac:dyDescent="0.25">
      <c r="A1196" s="2"/>
      <c r="F1196" s="1"/>
      <c r="K1196" s="33"/>
      <c r="L1196" s="1"/>
      <c r="M1196" s="1"/>
      <c r="N1196" s="1"/>
      <c r="O1196" s="1"/>
      <c r="P1196" s="1"/>
      <c r="Q1196" s="1"/>
    </row>
    <row r="1197" spans="1:17" hidden="1" x14ac:dyDescent="0.25">
      <c r="A1197" s="2">
        <v>44750</v>
      </c>
      <c r="B1197">
        <v>0</v>
      </c>
      <c r="C1197">
        <v>7</v>
      </c>
      <c r="D1197">
        <v>345</v>
      </c>
      <c r="E1197">
        <v>60</v>
      </c>
      <c r="F1197" s="1" t="s">
        <v>113</v>
      </c>
      <c r="G1197">
        <v>0</v>
      </c>
      <c r="H1197">
        <v>27</v>
      </c>
      <c r="I1197">
        <v>8</v>
      </c>
      <c r="J1197">
        <v>35</v>
      </c>
      <c r="K1197" s="33">
        <v>0.77139999999999997</v>
      </c>
      <c r="L1197" s="1"/>
      <c r="M1197" s="1"/>
      <c r="N1197" s="1"/>
      <c r="O1197" s="1"/>
      <c r="P1197" s="1"/>
      <c r="Q1197" s="1"/>
    </row>
    <row r="1198" spans="1:17" hidden="1" x14ac:dyDescent="0.25">
      <c r="A1198" s="2"/>
      <c r="F1198" s="1"/>
      <c r="K1198" s="33"/>
      <c r="L1198" s="1"/>
      <c r="M1198" s="1"/>
      <c r="N1198" s="1"/>
      <c r="O1198" s="1"/>
      <c r="P1198" s="1"/>
      <c r="Q1198" s="1"/>
    </row>
    <row r="1199" spans="1:17" x14ac:dyDescent="0.25">
      <c r="A1199" s="2">
        <v>44750</v>
      </c>
      <c r="B1199">
        <v>10</v>
      </c>
      <c r="C1199">
        <v>7</v>
      </c>
      <c r="D1199">
        <v>7</v>
      </c>
      <c r="E1199">
        <v>2984</v>
      </c>
      <c r="F1199" s="1" t="s">
        <v>343</v>
      </c>
      <c r="G1199">
        <v>0</v>
      </c>
      <c r="H1199">
        <v>12</v>
      </c>
      <c r="I1199">
        <v>8</v>
      </c>
      <c r="J1199">
        <v>20</v>
      </c>
      <c r="K1199" s="33">
        <v>0.6</v>
      </c>
      <c r="L1199" s="1"/>
      <c r="M1199" s="1" t="str">
        <f>_xlfn.XLOOKUP(ocupacao[[#This Row],[UnidadeID]],unidades!$A:$A,unidades!$B:$B,"",0)</f>
        <v>Filial 2 - 10º</v>
      </c>
      <c r="N1199" s="1" t="str">
        <f>_xlfn.XLOOKUP(ocupacao[[#This Row],[UnidadeID]],unidades!$A:$A,unidades!$C:$C,"",0)</f>
        <v>Nova Iguaçu</v>
      </c>
      <c r="O1199" s="1" t="str">
        <f>_xlfn.XLOOKUP(ocupacao[[#This Row],[EspecialidadeID]],especialidades!$A:$A,especialidades!$B:$B,"",0)</f>
        <v>ENDOCRINOLOGIA</v>
      </c>
      <c r="P1199" s="1" t="str">
        <f>TEXT(WEEKDAY(ocupacao[[#This Row],[Data]]),"ddd")</f>
        <v>sex</v>
      </c>
      <c r="Q1199" s="1">
        <f t="shared" si="18"/>
        <v>0</v>
      </c>
    </row>
    <row r="1200" spans="1:17" hidden="1" x14ac:dyDescent="0.25">
      <c r="A1200" s="2"/>
      <c r="F1200" s="1"/>
      <c r="K1200" s="33"/>
      <c r="L1200" s="1"/>
      <c r="M1200" s="1"/>
      <c r="N1200" s="1"/>
      <c r="O1200" s="1"/>
      <c r="P1200" s="1"/>
      <c r="Q1200" s="1"/>
    </row>
    <row r="1201" spans="1:17" hidden="1" x14ac:dyDescent="0.25">
      <c r="A1201" s="2"/>
      <c r="F1201" s="1"/>
      <c r="K1201" s="33"/>
      <c r="L1201" s="1"/>
      <c r="M1201" s="1"/>
      <c r="N1201" s="1"/>
      <c r="O1201" s="1"/>
      <c r="P1201" s="1"/>
      <c r="Q1201" s="1"/>
    </row>
    <row r="1202" spans="1:17" x14ac:dyDescent="0.25">
      <c r="A1202" s="2">
        <v>44753</v>
      </c>
      <c r="B1202">
        <v>0</v>
      </c>
      <c r="C1202">
        <v>7</v>
      </c>
      <c r="D1202">
        <v>66</v>
      </c>
      <c r="E1202">
        <v>60</v>
      </c>
      <c r="F1202" s="1" t="s">
        <v>113</v>
      </c>
      <c r="G1202">
        <v>0</v>
      </c>
      <c r="H1202">
        <v>1</v>
      </c>
      <c r="I1202">
        <v>25</v>
      </c>
      <c r="J1202">
        <v>26</v>
      </c>
      <c r="K1202" s="33">
        <v>3.85E-2</v>
      </c>
      <c r="L1202" s="1"/>
      <c r="M1202" s="1" t="str">
        <f>_xlfn.XLOOKUP(ocupacao[[#This Row],[UnidadeID]],unidades!$A:$A,unidades!$B:$B,"",0)</f>
        <v>Matriz</v>
      </c>
      <c r="N1202" s="1" t="str">
        <f>_xlfn.XLOOKUP(ocupacao[[#This Row],[UnidadeID]],unidades!$A:$A,unidades!$C:$C,"",0)</f>
        <v>Nova Iguaçu</v>
      </c>
      <c r="O1202" s="1" t="str">
        <f>_xlfn.XLOOKUP(ocupacao[[#This Row],[EspecialidadeID]],especialidades!$A:$A,especialidades!$B:$B,"",0)</f>
        <v>ENDOCRINOLOGIA</v>
      </c>
      <c r="P1202" s="1" t="str">
        <f>TEXT(WEEKDAY(ocupacao[[#This Row],[Data]]),"ddd")</f>
        <v>seg</v>
      </c>
      <c r="Q1202" s="1">
        <f t="shared" si="18"/>
        <v>0</v>
      </c>
    </row>
    <row r="1203" spans="1:17" x14ac:dyDescent="0.25">
      <c r="A1203" s="2">
        <v>44753</v>
      </c>
      <c r="B1203">
        <v>10</v>
      </c>
      <c r="C1203">
        <v>7</v>
      </c>
      <c r="D1203">
        <v>6</v>
      </c>
      <c r="E1203">
        <v>12669</v>
      </c>
      <c r="F1203" s="1" t="s">
        <v>109</v>
      </c>
      <c r="G1203">
        <v>0</v>
      </c>
      <c r="H1203">
        <v>0</v>
      </c>
      <c r="I1203">
        <v>16</v>
      </c>
      <c r="J1203">
        <v>16</v>
      </c>
      <c r="K1203" s="33">
        <v>0</v>
      </c>
      <c r="L1203" s="1"/>
      <c r="M1203" s="1" t="str">
        <f>_xlfn.XLOOKUP(ocupacao[[#This Row],[UnidadeID]],unidades!$A:$A,unidades!$B:$B,"",0)</f>
        <v>Filial 2 - 10º</v>
      </c>
      <c r="N1203" s="1" t="str">
        <f>_xlfn.XLOOKUP(ocupacao[[#This Row],[UnidadeID]],unidades!$A:$A,unidades!$C:$C,"",0)</f>
        <v>Nova Iguaçu</v>
      </c>
      <c r="O1203" s="1" t="str">
        <f>_xlfn.XLOOKUP(ocupacao[[#This Row],[EspecialidadeID]],especialidades!$A:$A,especialidades!$B:$B,"",0)</f>
        <v>ENDOCRINOLOGIA</v>
      </c>
      <c r="P1203" s="1" t="str">
        <f>TEXT(WEEKDAY(ocupacao[[#This Row],[Data]]),"ddd")</f>
        <v>seg</v>
      </c>
      <c r="Q1203" s="1">
        <f t="shared" si="18"/>
        <v>0</v>
      </c>
    </row>
    <row r="1204" spans="1:17" hidden="1" x14ac:dyDescent="0.25">
      <c r="A1204" s="2">
        <v>44753</v>
      </c>
      <c r="B1204">
        <v>34</v>
      </c>
      <c r="C1204">
        <v>7</v>
      </c>
      <c r="D1204">
        <v>375</v>
      </c>
      <c r="E1204">
        <v>14452</v>
      </c>
      <c r="F1204" s="1" t="s">
        <v>148</v>
      </c>
      <c r="G1204">
        <v>0</v>
      </c>
      <c r="H1204">
        <v>0</v>
      </c>
      <c r="I1204">
        <v>40</v>
      </c>
      <c r="J1204">
        <v>40</v>
      </c>
      <c r="K1204" s="33">
        <v>0</v>
      </c>
      <c r="L1204" s="1"/>
      <c r="M1204" s="1"/>
      <c r="N1204" s="1"/>
      <c r="O1204" s="1"/>
      <c r="P1204" s="1"/>
      <c r="Q1204" s="1"/>
    </row>
    <row r="1205" spans="1:17" x14ac:dyDescent="0.25">
      <c r="A1205" s="2">
        <v>44754</v>
      </c>
      <c r="B1205">
        <v>10</v>
      </c>
      <c r="C1205">
        <v>7</v>
      </c>
      <c r="D1205">
        <v>5</v>
      </c>
      <c r="E1205">
        <v>73</v>
      </c>
      <c r="F1205" s="1" t="s">
        <v>377</v>
      </c>
      <c r="G1205">
        <v>0</v>
      </c>
      <c r="H1205">
        <v>34</v>
      </c>
      <c r="I1205">
        <v>0</v>
      </c>
      <c r="J1205">
        <v>34</v>
      </c>
      <c r="K1205" s="33">
        <v>1</v>
      </c>
      <c r="L1205" s="1"/>
      <c r="M1205" s="1" t="str">
        <f>_xlfn.XLOOKUP(ocupacao[[#This Row],[UnidadeID]],unidades!$A:$A,unidades!$B:$B,"",0)</f>
        <v>Filial 2 - 10º</v>
      </c>
      <c r="N1205" s="1" t="str">
        <f>_xlfn.XLOOKUP(ocupacao[[#This Row],[UnidadeID]],unidades!$A:$A,unidades!$C:$C,"",0)</f>
        <v>Nova Iguaçu</v>
      </c>
      <c r="O1205" s="1" t="str">
        <f>_xlfn.XLOOKUP(ocupacao[[#This Row],[EspecialidadeID]],especialidades!$A:$A,especialidades!$B:$B,"",0)</f>
        <v>ENDOCRINOLOGIA</v>
      </c>
      <c r="P1205" s="1" t="str">
        <f>TEXT(WEEKDAY(ocupacao[[#This Row],[Data]]),"ddd")</f>
        <v>ter</v>
      </c>
      <c r="Q1205" s="1">
        <f t="shared" si="18"/>
        <v>0</v>
      </c>
    </row>
    <row r="1206" spans="1:17" hidden="1" x14ac:dyDescent="0.25">
      <c r="A1206" s="2"/>
      <c r="F1206" s="1"/>
      <c r="K1206" s="33"/>
      <c r="L1206" s="1"/>
      <c r="M1206" s="1"/>
      <c r="N1206" s="1"/>
      <c r="O1206" s="1"/>
      <c r="P1206" s="1"/>
      <c r="Q1206" s="1"/>
    </row>
    <row r="1207" spans="1:17" x14ac:dyDescent="0.25">
      <c r="A1207" s="2">
        <v>44754</v>
      </c>
      <c r="B1207">
        <v>18</v>
      </c>
      <c r="C1207">
        <v>7</v>
      </c>
      <c r="D1207">
        <v>78</v>
      </c>
      <c r="E1207">
        <v>14452</v>
      </c>
      <c r="F1207" s="1" t="s">
        <v>148</v>
      </c>
      <c r="G1207">
        <v>0</v>
      </c>
      <c r="H1207">
        <v>3</v>
      </c>
      <c r="I1207">
        <v>37</v>
      </c>
      <c r="J1207">
        <v>40</v>
      </c>
      <c r="K1207" s="33">
        <v>7.4999999999999997E-2</v>
      </c>
      <c r="L1207" s="1"/>
      <c r="M1207" s="1" t="str">
        <f>_xlfn.XLOOKUP(ocupacao[[#This Row],[UnidadeID]],unidades!$A:$A,unidades!$B:$B,"",0)</f>
        <v>Miguel Couto</v>
      </c>
      <c r="N1207" s="1" t="str">
        <f>_xlfn.XLOOKUP(ocupacao[[#This Row],[UnidadeID]],unidades!$A:$A,unidades!$C:$C,"",0)</f>
        <v>Miguel Couto</v>
      </c>
      <c r="O1207" s="1" t="str">
        <f>_xlfn.XLOOKUP(ocupacao[[#This Row],[EspecialidadeID]],especialidades!$A:$A,especialidades!$B:$B,"",0)</f>
        <v>ENDOCRINOLOGIA</v>
      </c>
      <c r="P1207" s="1" t="str">
        <f>TEXT(WEEKDAY(ocupacao[[#This Row],[Data]]),"ddd")</f>
        <v>ter</v>
      </c>
      <c r="Q1207" s="1">
        <f t="shared" si="18"/>
        <v>0</v>
      </c>
    </row>
    <row r="1208" spans="1:17" hidden="1" x14ac:dyDescent="0.25">
      <c r="A1208" s="2"/>
      <c r="F1208" s="1"/>
      <c r="K1208" s="33"/>
      <c r="L1208" s="1"/>
      <c r="M1208" s="1"/>
      <c r="N1208" s="1"/>
      <c r="O1208" s="1"/>
      <c r="P1208" s="1"/>
      <c r="Q1208" s="1"/>
    </row>
    <row r="1209" spans="1:17" hidden="1" x14ac:dyDescent="0.25">
      <c r="A1209" s="2">
        <v>44755</v>
      </c>
      <c r="B1209">
        <v>0</v>
      </c>
      <c r="C1209">
        <v>7</v>
      </c>
      <c r="D1209">
        <v>7</v>
      </c>
      <c r="E1209">
        <v>60</v>
      </c>
      <c r="F1209" s="1" t="s">
        <v>113</v>
      </c>
      <c r="G1209">
        <v>0</v>
      </c>
      <c r="H1209">
        <v>2</v>
      </c>
      <c r="I1209">
        <v>52</v>
      </c>
      <c r="J1209">
        <v>54</v>
      </c>
      <c r="K1209" s="33">
        <v>3.6999999999999998E-2</v>
      </c>
      <c r="L1209" s="1"/>
      <c r="M1209" s="1"/>
      <c r="N1209" s="1"/>
      <c r="O1209" s="1"/>
      <c r="P1209" s="1"/>
      <c r="Q1209" s="1"/>
    </row>
    <row r="1210" spans="1:17" x14ac:dyDescent="0.25">
      <c r="A1210" s="2">
        <v>44755</v>
      </c>
      <c r="B1210">
        <v>10</v>
      </c>
      <c r="C1210">
        <v>7</v>
      </c>
      <c r="D1210">
        <v>5</v>
      </c>
      <c r="E1210">
        <v>73</v>
      </c>
      <c r="F1210" s="1" t="s">
        <v>377</v>
      </c>
      <c r="G1210">
        <v>0</v>
      </c>
      <c r="H1210">
        <v>33</v>
      </c>
      <c r="I1210">
        <v>0</v>
      </c>
      <c r="J1210">
        <v>33</v>
      </c>
      <c r="K1210" s="33">
        <v>1</v>
      </c>
      <c r="L1210" s="1"/>
      <c r="M1210" s="1" t="str">
        <f>_xlfn.XLOOKUP(ocupacao[[#This Row],[UnidadeID]],unidades!$A:$A,unidades!$B:$B,"",0)</f>
        <v>Filial 2 - 10º</v>
      </c>
      <c r="N1210" s="1" t="str">
        <f>_xlfn.XLOOKUP(ocupacao[[#This Row],[UnidadeID]],unidades!$A:$A,unidades!$C:$C,"",0)</f>
        <v>Nova Iguaçu</v>
      </c>
      <c r="O1210" s="1" t="str">
        <f>_xlfn.XLOOKUP(ocupacao[[#This Row],[EspecialidadeID]],especialidades!$A:$A,especialidades!$B:$B,"",0)</f>
        <v>ENDOCRINOLOGIA</v>
      </c>
      <c r="P1210" s="1" t="str">
        <f>TEXT(WEEKDAY(ocupacao[[#This Row],[Data]]),"ddd")</f>
        <v>qua</v>
      </c>
      <c r="Q1210" s="1">
        <f t="shared" si="18"/>
        <v>0</v>
      </c>
    </row>
    <row r="1211" spans="1:17" hidden="1" x14ac:dyDescent="0.25">
      <c r="A1211" s="2">
        <v>44755</v>
      </c>
      <c r="B1211">
        <v>10</v>
      </c>
      <c r="C1211">
        <v>7</v>
      </c>
      <c r="D1211">
        <v>7</v>
      </c>
      <c r="E1211">
        <v>14452</v>
      </c>
      <c r="F1211" s="1" t="s">
        <v>148</v>
      </c>
      <c r="G1211">
        <v>0</v>
      </c>
      <c r="H1211">
        <v>0</v>
      </c>
      <c r="I1211">
        <v>37</v>
      </c>
      <c r="J1211">
        <v>37</v>
      </c>
      <c r="K1211" s="33">
        <v>0</v>
      </c>
      <c r="L1211" s="1"/>
      <c r="M1211" s="1"/>
      <c r="N1211" s="1"/>
      <c r="O1211" s="1"/>
      <c r="P1211" s="1"/>
      <c r="Q1211" s="1"/>
    </row>
    <row r="1212" spans="1:17" x14ac:dyDescent="0.25">
      <c r="A1212" s="2">
        <v>44755</v>
      </c>
      <c r="B1212">
        <v>10</v>
      </c>
      <c r="C1212">
        <v>7</v>
      </c>
      <c r="D1212">
        <v>7</v>
      </c>
      <c r="E1212">
        <v>14452</v>
      </c>
      <c r="F1212" s="1" t="s">
        <v>148</v>
      </c>
      <c r="G1212">
        <v>0</v>
      </c>
      <c r="H1212">
        <v>3</v>
      </c>
      <c r="I1212">
        <v>37</v>
      </c>
      <c r="J1212">
        <v>40</v>
      </c>
      <c r="K1212" s="33">
        <v>7.4999999999999997E-2</v>
      </c>
      <c r="L1212" s="1"/>
      <c r="M1212" s="1" t="str">
        <f>_xlfn.XLOOKUP(ocupacao[[#This Row],[UnidadeID]],unidades!$A:$A,unidades!$B:$B,"",0)</f>
        <v>Filial 2 - 10º</v>
      </c>
      <c r="N1212" s="1" t="str">
        <f>_xlfn.XLOOKUP(ocupacao[[#This Row],[UnidadeID]],unidades!$A:$A,unidades!$C:$C,"",0)</f>
        <v>Nova Iguaçu</v>
      </c>
      <c r="O1212" s="1" t="str">
        <f>_xlfn.XLOOKUP(ocupacao[[#This Row],[EspecialidadeID]],especialidades!$A:$A,especialidades!$B:$B,"",0)</f>
        <v>ENDOCRINOLOGIA</v>
      </c>
      <c r="P1212" s="1" t="str">
        <f>TEXT(WEEKDAY(ocupacao[[#This Row],[Data]]),"ddd")</f>
        <v>qua</v>
      </c>
      <c r="Q1212" s="1">
        <f t="shared" si="18"/>
        <v>0</v>
      </c>
    </row>
    <row r="1213" spans="1:17" x14ac:dyDescent="0.25">
      <c r="A1213" s="2">
        <v>44756</v>
      </c>
      <c r="B1213">
        <v>0</v>
      </c>
      <c r="C1213">
        <v>7</v>
      </c>
      <c r="D1213">
        <v>346</v>
      </c>
      <c r="E1213">
        <v>60</v>
      </c>
      <c r="F1213" s="1" t="s">
        <v>113</v>
      </c>
      <c r="G1213">
        <v>0</v>
      </c>
      <c r="H1213">
        <v>0</v>
      </c>
      <c r="I1213">
        <v>12</v>
      </c>
      <c r="J1213">
        <v>12</v>
      </c>
      <c r="K1213" s="33">
        <v>0</v>
      </c>
      <c r="L1213" s="1"/>
      <c r="M1213" s="1" t="str">
        <f>_xlfn.XLOOKUP(ocupacao[[#This Row],[UnidadeID]],unidades!$A:$A,unidades!$B:$B,"",0)</f>
        <v>Matriz</v>
      </c>
      <c r="N1213" s="1" t="str">
        <f>_xlfn.XLOOKUP(ocupacao[[#This Row],[UnidadeID]],unidades!$A:$A,unidades!$C:$C,"",0)</f>
        <v>Nova Iguaçu</v>
      </c>
      <c r="O1213" s="1" t="str">
        <f>_xlfn.XLOOKUP(ocupacao[[#This Row],[EspecialidadeID]],especialidades!$A:$A,especialidades!$B:$B,"",0)</f>
        <v>ENDOCRINOLOGIA</v>
      </c>
      <c r="P1213" s="1" t="str">
        <f>TEXT(WEEKDAY(ocupacao[[#This Row],[Data]]),"ddd")</f>
        <v>qui</v>
      </c>
      <c r="Q1213" s="1">
        <f t="shared" si="18"/>
        <v>0</v>
      </c>
    </row>
    <row r="1214" spans="1:17" hidden="1" x14ac:dyDescent="0.25">
      <c r="A1214" s="2"/>
      <c r="F1214" s="1"/>
      <c r="K1214" s="33"/>
      <c r="L1214" s="1"/>
      <c r="M1214" s="1"/>
      <c r="N1214" s="1"/>
      <c r="O1214" s="1"/>
      <c r="P1214" s="1"/>
      <c r="Q1214" s="1"/>
    </row>
    <row r="1215" spans="1:17" x14ac:dyDescent="0.25">
      <c r="A1215" s="2">
        <v>44756</v>
      </c>
      <c r="B1215">
        <v>10</v>
      </c>
      <c r="C1215">
        <v>7</v>
      </c>
      <c r="D1215">
        <v>6</v>
      </c>
      <c r="E1215">
        <v>8598</v>
      </c>
      <c r="F1215" s="1" t="s">
        <v>123</v>
      </c>
      <c r="G1215">
        <v>0</v>
      </c>
      <c r="H1215">
        <v>2</v>
      </c>
      <c r="I1215">
        <v>22</v>
      </c>
      <c r="J1215">
        <v>24</v>
      </c>
      <c r="K1215" s="33">
        <v>8.3299999999999999E-2</v>
      </c>
      <c r="L1215" s="1"/>
      <c r="M1215" s="1" t="str">
        <f>_xlfn.XLOOKUP(ocupacao[[#This Row],[UnidadeID]],unidades!$A:$A,unidades!$B:$B,"",0)</f>
        <v>Filial 2 - 10º</v>
      </c>
      <c r="N1215" s="1" t="str">
        <f>_xlfn.XLOOKUP(ocupacao[[#This Row],[UnidadeID]],unidades!$A:$A,unidades!$C:$C,"",0)</f>
        <v>Nova Iguaçu</v>
      </c>
      <c r="O1215" s="1" t="str">
        <f>_xlfn.XLOOKUP(ocupacao[[#This Row],[EspecialidadeID]],especialidades!$A:$A,especialidades!$B:$B,"",0)</f>
        <v>ENDOCRINOLOGIA</v>
      </c>
      <c r="P1215" s="1" t="str">
        <f>TEXT(WEEKDAY(ocupacao[[#This Row],[Data]]),"ddd")</f>
        <v>qui</v>
      </c>
      <c r="Q1215" s="1">
        <f t="shared" si="18"/>
        <v>0</v>
      </c>
    </row>
    <row r="1216" spans="1:17" hidden="1" x14ac:dyDescent="0.25">
      <c r="A1216" s="2"/>
      <c r="F1216" s="1"/>
      <c r="K1216" s="33"/>
      <c r="L1216" s="1"/>
      <c r="M1216" s="1"/>
      <c r="N1216" s="1"/>
      <c r="O1216" s="1"/>
      <c r="P1216" s="1"/>
      <c r="Q1216" s="1"/>
    </row>
    <row r="1217" spans="1:17" x14ac:dyDescent="0.25">
      <c r="A1217" s="2">
        <v>44756</v>
      </c>
      <c r="B1217">
        <v>10</v>
      </c>
      <c r="C1217">
        <v>7</v>
      </c>
      <c r="D1217">
        <v>5</v>
      </c>
      <c r="E1217">
        <v>12426</v>
      </c>
      <c r="F1217" s="1" t="s">
        <v>121</v>
      </c>
      <c r="G1217">
        <v>0</v>
      </c>
      <c r="H1217">
        <v>0</v>
      </c>
      <c r="I1217">
        <v>20</v>
      </c>
      <c r="J1217">
        <v>20</v>
      </c>
      <c r="K1217" s="33">
        <v>0</v>
      </c>
      <c r="L1217" s="1"/>
      <c r="M1217" s="1" t="str">
        <f>_xlfn.XLOOKUP(ocupacao[[#This Row],[UnidadeID]],unidades!$A:$A,unidades!$B:$B,"",0)</f>
        <v>Filial 2 - 10º</v>
      </c>
      <c r="N1217" s="1" t="str">
        <f>_xlfn.XLOOKUP(ocupacao[[#This Row],[UnidadeID]],unidades!$A:$A,unidades!$C:$C,"",0)</f>
        <v>Nova Iguaçu</v>
      </c>
      <c r="O1217" s="1" t="str">
        <f>_xlfn.XLOOKUP(ocupacao[[#This Row],[EspecialidadeID]],especialidades!$A:$A,especialidades!$B:$B,"",0)</f>
        <v>ENDOCRINOLOGIA</v>
      </c>
      <c r="P1217" s="1" t="str">
        <f>TEXT(WEEKDAY(ocupacao[[#This Row],[Data]]),"ddd")</f>
        <v>qui</v>
      </c>
      <c r="Q1217" s="1">
        <f t="shared" si="18"/>
        <v>0</v>
      </c>
    </row>
    <row r="1218" spans="1:17" x14ac:dyDescent="0.25">
      <c r="A1218" s="2">
        <v>44756</v>
      </c>
      <c r="B1218">
        <v>24</v>
      </c>
      <c r="C1218">
        <v>7</v>
      </c>
      <c r="D1218">
        <v>67</v>
      </c>
      <c r="E1218">
        <v>18023</v>
      </c>
      <c r="F1218" s="1" t="s">
        <v>797</v>
      </c>
      <c r="G1218">
        <v>0</v>
      </c>
      <c r="H1218">
        <v>0</v>
      </c>
      <c r="I1218">
        <v>53</v>
      </c>
      <c r="J1218">
        <v>53</v>
      </c>
      <c r="K1218" s="33">
        <v>0</v>
      </c>
      <c r="L1218" s="1"/>
      <c r="M1218" s="1" t="str">
        <f>_xlfn.XLOOKUP(ocupacao[[#This Row],[UnidadeID]],unidades!$A:$A,unidades!$B:$B,"",0)</f>
        <v>Nilópolis</v>
      </c>
      <c r="N1218" s="1" t="str">
        <f>_xlfn.XLOOKUP(ocupacao[[#This Row],[UnidadeID]],unidades!$A:$A,unidades!$C:$C,"",0)</f>
        <v>Nilópolis</v>
      </c>
      <c r="O1218" s="1" t="str">
        <f>_xlfn.XLOOKUP(ocupacao[[#This Row],[EspecialidadeID]],especialidades!$A:$A,especialidades!$B:$B,"",0)</f>
        <v>ENDOCRINOLOGIA</v>
      </c>
      <c r="P1218" s="1" t="str">
        <f>TEXT(WEEKDAY(ocupacao[[#This Row],[Data]]),"ddd")</f>
        <v>qui</v>
      </c>
      <c r="Q1218" s="1">
        <f t="shared" ref="Q1218:Q1281" si="19">IF(F1218=F1219,1,0)</f>
        <v>0</v>
      </c>
    </row>
    <row r="1219" spans="1:17" x14ac:dyDescent="0.25">
      <c r="A1219" s="2"/>
      <c r="F1219" s="1" t="s">
        <v>106</v>
      </c>
      <c r="K1219" s="33"/>
      <c r="L1219" s="1"/>
      <c r="M1219" s="1">
        <f>_xlfn.XLOOKUP(ocupacao[[#This Row],[UnidadeID]],unidades!$A:$A,unidades!$B:$B,"",0)</f>
        <v>0</v>
      </c>
      <c r="N1219" s="1">
        <f>_xlfn.XLOOKUP(ocupacao[[#This Row],[UnidadeID]],unidades!$A:$A,unidades!$C:$C,"",0)</f>
        <v>0</v>
      </c>
      <c r="O1219" s="1">
        <f>_xlfn.XLOOKUP(ocupacao[[#This Row],[EspecialidadeID]],especialidades!$A:$A,especialidades!$B:$B,"",0)</f>
        <v>0</v>
      </c>
      <c r="P1219" s="1" t="str">
        <f>TEXT(WEEKDAY(ocupacao[[#This Row],[Data]]),"ddd")</f>
        <v>sáb</v>
      </c>
      <c r="Q1219" s="1">
        <f t="shared" si="19"/>
        <v>0</v>
      </c>
    </row>
    <row r="1220" spans="1:17" hidden="1" x14ac:dyDescent="0.25">
      <c r="A1220" s="2">
        <v>44744</v>
      </c>
      <c r="B1220">
        <v>0</v>
      </c>
      <c r="C1220">
        <v>8</v>
      </c>
      <c r="D1220">
        <v>340</v>
      </c>
      <c r="E1220">
        <v>14172</v>
      </c>
      <c r="F1220" s="1" t="s">
        <v>360</v>
      </c>
      <c r="G1220">
        <v>0</v>
      </c>
      <c r="H1220">
        <v>0</v>
      </c>
      <c r="I1220">
        <v>96</v>
      </c>
      <c r="J1220">
        <v>96</v>
      </c>
      <c r="K1220" s="33">
        <v>0</v>
      </c>
      <c r="L1220" s="1"/>
      <c r="M1220" s="1"/>
      <c r="N1220" s="1"/>
      <c r="O1220" s="1"/>
      <c r="P1220" s="1"/>
      <c r="Q1220" s="1"/>
    </row>
    <row r="1221" spans="1:17" x14ac:dyDescent="0.25">
      <c r="A1221" s="2">
        <v>44746</v>
      </c>
      <c r="B1221">
        <v>0</v>
      </c>
      <c r="C1221">
        <v>8</v>
      </c>
      <c r="D1221">
        <v>340</v>
      </c>
      <c r="E1221">
        <v>92</v>
      </c>
      <c r="F1221" s="1" t="s">
        <v>376</v>
      </c>
      <c r="G1221">
        <v>12</v>
      </c>
      <c r="H1221">
        <v>0</v>
      </c>
      <c r="I1221">
        <v>96</v>
      </c>
      <c r="J1221">
        <v>108</v>
      </c>
      <c r="K1221" s="33">
        <v>0.1111</v>
      </c>
      <c r="L1221" s="1"/>
      <c r="M1221" s="1" t="str">
        <f>_xlfn.XLOOKUP(ocupacao[[#This Row],[UnidadeID]],unidades!$A:$A,unidades!$B:$B,"",0)</f>
        <v>Matriz</v>
      </c>
      <c r="N1221" s="1" t="str">
        <f>_xlfn.XLOOKUP(ocupacao[[#This Row],[UnidadeID]],unidades!$A:$A,unidades!$C:$C,"",0)</f>
        <v>Nova Iguaçu</v>
      </c>
      <c r="O1221" s="1" t="str">
        <f>_xlfn.XLOOKUP(ocupacao[[#This Row],[EspecialidadeID]],especialidades!$A:$A,especialidades!$B:$B,"",0)</f>
        <v>ORTOPEDIA</v>
      </c>
      <c r="P1221" s="1" t="str">
        <f>TEXT(WEEKDAY(ocupacao[[#This Row],[Data]]),"ddd")</f>
        <v>seg</v>
      </c>
      <c r="Q1221" s="1">
        <f t="shared" si="19"/>
        <v>0</v>
      </c>
    </row>
    <row r="1222" spans="1:17" hidden="1" x14ac:dyDescent="0.25">
      <c r="A1222" s="2">
        <v>44746</v>
      </c>
      <c r="B1222">
        <v>0</v>
      </c>
      <c r="C1222">
        <v>8</v>
      </c>
      <c r="D1222">
        <v>343</v>
      </c>
      <c r="E1222">
        <v>93</v>
      </c>
      <c r="F1222" s="1" t="s">
        <v>91</v>
      </c>
      <c r="G1222">
        <v>0</v>
      </c>
      <c r="H1222">
        <v>0</v>
      </c>
      <c r="I1222">
        <v>60</v>
      </c>
      <c r="J1222">
        <v>60</v>
      </c>
      <c r="K1222" s="33">
        <v>0</v>
      </c>
      <c r="L1222" s="1"/>
      <c r="M1222" s="1"/>
      <c r="N1222" s="1"/>
      <c r="O1222" s="1"/>
      <c r="P1222" s="1"/>
      <c r="Q1222" s="1"/>
    </row>
    <row r="1223" spans="1:17" x14ac:dyDescent="0.25">
      <c r="A1223" s="2">
        <v>44746</v>
      </c>
      <c r="B1223">
        <v>18</v>
      </c>
      <c r="C1223">
        <v>8</v>
      </c>
      <c r="D1223">
        <v>81</v>
      </c>
      <c r="E1223">
        <v>4422</v>
      </c>
      <c r="F1223" s="1" t="s">
        <v>99</v>
      </c>
      <c r="G1223">
        <v>0</v>
      </c>
      <c r="H1223">
        <v>0</v>
      </c>
      <c r="I1223">
        <v>48</v>
      </c>
      <c r="J1223">
        <v>48</v>
      </c>
      <c r="K1223" s="33">
        <v>0</v>
      </c>
      <c r="L1223" s="1"/>
      <c r="M1223" s="1" t="str">
        <f>_xlfn.XLOOKUP(ocupacao[[#This Row],[UnidadeID]],unidades!$A:$A,unidades!$B:$B,"",0)</f>
        <v>Miguel Couto</v>
      </c>
      <c r="N1223" s="1" t="str">
        <f>_xlfn.XLOOKUP(ocupacao[[#This Row],[UnidadeID]],unidades!$A:$A,unidades!$C:$C,"",0)</f>
        <v>Miguel Couto</v>
      </c>
      <c r="O1223" s="1" t="str">
        <f>_xlfn.XLOOKUP(ocupacao[[#This Row],[EspecialidadeID]],especialidades!$A:$A,especialidades!$B:$B,"",0)</f>
        <v>ORTOPEDIA</v>
      </c>
      <c r="P1223" s="1" t="str">
        <f>TEXT(WEEKDAY(ocupacao[[#This Row],[Data]]),"ddd")</f>
        <v>seg</v>
      </c>
      <c r="Q1223" s="1">
        <f t="shared" si="19"/>
        <v>0</v>
      </c>
    </row>
    <row r="1224" spans="1:17" x14ac:dyDescent="0.25">
      <c r="A1224" s="2">
        <v>44746</v>
      </c>
      <c r="B1224">
        <v>0</v>
      </c>
      <c r="C1224">
        <v>8</v>
      </c>
      <c r="D1224">
        <v>343</v>
      </c>
      <c r="E1224">
        <v>9237</v>
      </c>
      <c r="F1224" s="1" t="s">
        <v>95</v>
      </c>
      <c r="G1224">
        <v>0</v>
      </c>
      <c r="H1224">
        <v>0</v>
      </c>
      <c r="I1224">
        <v>60</v>
      </c>
      <c r="J1224">
        <v>60</v>
      </c>
      <c r="K1224" s="33">
        <v>0</v>
      </c>
      <c r="L1224" s="1"/>
      <c r="M1224" s="1" t="str">
        <f>_xlfn.XLOOKUP(ocupacao[[#This Row],[UnidadeID]],unidades!$A:$A,unidades!$B:$B,"",0)</f>
        <v>Matriz</v>
      </c>
      <c r="N1224" s="1" t="str">
        <f>_xlfn.XLOOKUP(ocupacao[[#This Row],[UnidadeID]],unidades!$A:$A,unidades!$C:$C,"",0)</f>
        <v>Nova Iguaçu</v>
      </c>
      <c r="O1224" s="1" t="str">
        <f>_xlfn.XLOOKUP(ocupacao[[#This Row],[EspecialidadeID]],especialidades!$A:$A,especialidades!$B:$B,"",0)</f>
        <v>ORTOPEDIA</v>
      </c>
      <c r="P1224" s="1" t="str">
        <f>TEXT(WEEKDAY(ocupacao[[#This Row],[Data]]),"ddd")</f>
        <v>seg</v>
      </c>
      <c r="Q1224" s="1">
        <f t="shared" si="19"/>
        <v>0</v>
      </c>
    </row>
    <row r="1225" spans="1:17" x14ac:dyDescent="0.25">
      <c r="A1225" s="2">
        <v>44747</v>
      </c>
      <c r="B1225">
        <v>0</v>
      </c>
      <c r="C1225">
        <v>8</v>
      </c>
      <c r="D1225">
        <v>340</v>
      </c>
      <c r="E1225">
        <v>92</v>
      </c>
      <c r="F1225" s="1" t="s">
        <v>376</v>
      </c>
      <c r="G1225">
        <v>0</v>
      </c>
      <c r="H1225">
        <v>0</v>
      </c>
      <c r="I1225">
        <v>60</v>
      </c>
      <c r="J1225">
        <v>60</v>
      </c>
      <c r="K1225" s="33">
        <v>0</v>
      </c>
      <c r="L1225" s="1"/>
      <c r="M1225" s="1" t="str">
        <f>_xlfn.XLOOKUP(ocupacao[[#This Row],[UnidadeID]],unidades!$A:$A,unidades!$B:$B,"",0)</f>
        <v>Matriz</v>
      </c>
      <c r="N1225" s="1" t="str">
        <f>_xlfn.XLOOKUP(ocupacao[[#This Row],[UnidadeID]],unidades!$A:$A,unidades!$C:$C,"",0)</f>
        <v>Nova Iguaçu</v>
      </c>
      <c r="O1225" s="1" t="str">
        <f>_xlfn.XLOOKUP(ocupacao[[#This Row],[EspecialidadeID]],especialidades!$A:$A,especialidades!$B:$B,"",0)</f>
        <v>ORTOPEDIA</v>
      </c>
      <c r="P1225" s="1" t="str">
        <f>TEXT(WEEKDAY(ocupacao[[#This Row],[Data]]),"ddd")</f>
        <v>ter</v>
      </c>
      <c r="Q1225" s="1">
        <f t="shared" si="19"/>
        <v>0</v>
      </c>
    </row>
    <row r="1226" spans="1:17" hidden="1" x14ac:dyDescent="0.25">
      <c r="A1226" s="2">
        <v>44747</v>
      </c>
      <c r="B1226">
        <v>24</v>
      </c>
      <c r="C1226">
        <v>8</v>
      </c>
      <c r="D1226">
        <v>60</v>
      </c>
      <c r="E1226">
        <v>6839</v>
      </c>
      <c r="F1226" s="1" t="s">
        <v>94</v>
      </c>
      <c r="G1226">
        <v>0</v>
      </c>
      <c r="H1226">
        <v>0</v>
      </c>
      <c r="I1226">
        <v>60</v>
      </c>
      <c r="J1226">
        <v>60</v>
      </c>
      <c r="K1226" s="33">
        <v>0</v>
      </c>
      <c r="L1226" s="1"/>
      <c r="M1226" s="1"/>
      <c r="N1226" s="1"/>
      <c r="O1226" s="1"/>
      <c r="P1226" s="1"/>
      <c r="Q1226" s="1"/>
    </row>
    <row r="1227" spans="1:17" x14ac:dyDescent="0.25">
      <c r="A1227" s="2">
        <v>44747</v>
      </c>
      <c r="B1227">
        <v>34</v>
      </c>
      <c r="C1227">
        <v>8</v>
      </c>
      <c r="D1227">
        <v>374</v>
      </c>
      <c r="E1227">
        <v>6839</v>
      </c>
      <c r="F1227" s="1" t="s">
        <v>94</v>
      </c>
      <c r="G1227">
        <v>0</v>
      </c>
      <c r="H1227">
        <v>0</v>
      </c>
      <c r="I1227">
        <v>48</v>
      </c>
      <c r="J1227">
        <v>48</v>
      </c>
      <c r="K1227" s="33">
        <v>0</v>
      </c>
      <c r="L1227" s="1"/>
      <c r="M1227" s="1" t="str">
        <f>_xlfn.XLOOKUP(ocupacao[[#This Row],[UnidadeID]],unidades!$A:$A,unidades!$B:$B,"",0)</f>
        <v>São João</v>
      </c>
      <c r="N1227" s="1" t="str">
        <f>_xlfn.XLOOKUP(ocupacao[[#This Row],[UnidadeID]],unidades!$A:$A,unidades!$C:$C,"",0)</f>
        <v>São João de Meriti</v>
      </c>
      <c r="O1227" s="1" t="str">
        <f>_xlfn.XLOOKUP(ocupacao[[#This Row],[EspecialidadeID]],especialidades!$A:$A,especialidades!$B:$B,"",0)</f>
        <v>ORTOPEDIA</v>
      </c>
      <c r="P1227" s="1" t="str">
        <f>TEXT(WEEKDAY(ocupacao[[#This Row],[Data]]),"ddd")</f>
        <v>ter</v>
      </c>
      <c r="Q1227" s="1">
        <f t="shared" si="19"/>
        <v>0</v>
      </c>
    </row>
    <row r="1228" spans="1:17" hidden="1" x14ac:dyDescent="0.25">
      <c r="A1228" s="2">
        <v>44747</v>
      </c>
      <c r="B1228">
        <v>0</v>
      </c>
      <c r="C1228">
        <v>8</v>
      </c>
      <c r="D1228">
        <v>341</v>
      </c>
      <c r="E1228">
        <v>17939</v>
      </c>
      <c r="F1228" s="1" t="s">
        <v>358</v>
      </c>
      <c r="G1228">
        <v>0</v>
      </c>
      <c r="H1228">
        <v>0</v>
      </c>
      <c r="I1228">
        <v>84</v>
      </c>
      <c r="J1228">
        <v>84</v>
      </c>
      <c r="K1228" s="33">
        <v>0</v>
      </c>
      <c r="L1228" s="1"/>
      <c r="M1228" s="1"/>
      <c r="N1228" s="1"/>
      <c r="O1228" s="1"/>
      <c r="P1228" s="1"/>
      <c r="Q1228" s="1"/>
    </row>
    <row r="1229" spans="1:17" x14ac:dyDescent="0.25">
      <c r="A1229" s="2">
        <v>44747</v>
      </c>
      <c r="B1229">
        <v>0</v>
      </c>
      <c r="C1229">
        <v>8</v>
      </c>
      <c r="D1229">
        <v>341</v>
      </c>
      <c r="E1229">
        <v>17939</v>
      </c>
      <c r="F1229" s="1" t="s">
        <v>358</v>
      </c>
      <c r="G1229">
        <v>0</v>
      </c>
      <c r="H1229">
        <v>0</v>
      </c>
      <c r="I1229">
        <v>48</v>
      </c>
      <c r="J1229">
        <v>48</v>
      </c>
      <c r="K1229" s="33">
        <v>0</v>
      </c>
      <c r="L1229" s="1"/>
      <c r="M1229" s="1" t="str">
        <f>_xlfn.XLOOKUP(ocupacao[[#This Row],[UnidadeID]],unidades!$A:$A,unidades!$B:$B,"",0)</f>
        <v>Matriz</v>
      </c>
      <c r="N1229" s="1" t="str">
        <f>_xlfn.XLOOKUP(ocupacao[[#This Row],[UnidadeID]],unidades!$A:$A,unidades!$C:$C,"",0)</f>
        <v>Nova Iguaçu</v>
      </c>
      <c r="O1229" s="1" t="str">
        <f>_xlfn.XLOOKUP(ocupacao[[#This Row],[EspecialidadeID]],especialidades!$A:$A,especialidades!$B:$B,"",0)</f>
        <v>ORTOPEDIA</v>
      </c>
      <c r="P1229" s="1" t="str">
        <f>TEXT(WEEKDAY(ocupacao[[#This Row],[Data]]),"ddd")</f>
        <v>ter</v>
      </c>
      <c r="Q1229" s="1">
        <f t="shared" si="19"/>
        <v>0</v>
      </c>
    </row>
    <row r="1230" spans="1:17" hidden="1" x14ac:dyDescent="0.25">
      <c r="A1230" s="2">
        <v>44748</v>
      </c>
      <c r="B1230">
        <v>0</v>
      </c>
      <c r="C1230">
        <v>8</v>
      </c>
      <c r="D1230">
        <v>340</v>
      </c>
      <c r="E1230">
        <v>92</v>
      </c>
      <c r="F1230" s="1" t="s">
        <v>376</v>
      </c>
      <c r="G1230">
        <v>0</v>
      </c>
      <c r="H1230">
        <v>0</v>
      </c>
      <c r="I1230">
        <v>72</v>
      </c>
      <c r="J1230">
        <v>72</v>
      </c>
      <c r="K1230" s="33">
        <v>0</v>
      </c>
      <c r="L1230" s="1"/>
      <c r="M1230" s="1"/>
      <c r="N1230" s="1"/>
      <c r="O1230" s="1"/>
      <c r="P1230" s="1"/>
      <c r="Q1230" s="1"/>
    </row>
    <row r="1231" spans="1:17" x14ac:dyDescent="0.25">
      <c r="A1231" s="2">
        <v>44748</v>
      </c>
      <c r="B1231">
        <v>0</v>
      </c>
      <c r="C1231">
        <v>8</v>
      </c>
      <c r="D1231">
        <v>341</v>
      </c>
      <c r="E1231">
        <v>3187</v>
      </c>
      <c r="F1231" s="1" t="s">
        <v>359</v>
      </c>
      <c r="G1231">
        <v>0</v>
      </c>
      <c r="H1231">
        <v>0</v>
      </c>
      <c r="I1231">
        <v>60</v>
      </c>
      <c r="J1231">
        <v>60</v>
      </c>
      <c r="K1231" s="33">
        <v>0</v>
      </c>
      <c r="L1231" s="1"/>
      <c r="M1231" s="1" t="str">
        <f>_xlfn.XLOOKUP(ocupacao[[#This Row],[UnidadeID]],unidades!$A:$A,unidades!$B:$B,"",0)</f>
        <v>Matriz</v>
      </c>
      <c r="N1231" s="1" t="str">
        <f>_xlfn.XLOOKUP(ocupacao[[#This Row],[UnidadeID]],unidades!$A:$A,unidades!$C:$C,"",0)</f>
        <v>Nova Iguaçu</v>
      </c>
      <c r="O1231" s="1" t="str">
        <f>_xlfn.XLOOKUP(ocupacao[[#This Row],[EspecialidadeID]],especialidades!$A:$A,especialidades!$B:$B,"",0)</f>
        <v>ORTOPEDIA</v>
      </c>
      <c r="P1231" s="1" t="str">
        <f>TEXT(WEEKDAY(ocupacao[[#This Row],[Data]]),"ddd")</f>
        <v>qua</v>
      </c>
      <c r="Q1231" s="1">
        <f t="shared" si="19"/>
        <v>0</v>
      </c>
    </row>
    <row r="1232" spans="1:17" hidden="1" x14ac:dyDescent="0.25">
      <c r="A1232" s="2">
        <v>44748</v>
      </c>
      <c r="B1232">
        <v>18</v>
      </c>
      <c r="C1232">
        <v>8</v>
      </c>
      <c r="D1232">
        <v>81</v>
      </c>
      <c r="E1232">
        <v>6839</v>
      </c>
      <c r="F1232" s="1" t="s">
        <v>94</v>
      </c>
      <c r="G1232">
        <v>0</v>
      </c>
      <c r="H1232">
        <v>0</v>
      </c>
      <c r="I1232">
        <v>48</v>
      </c>
      <c r="J1232">
        <v>48</v>
      </c>
      <c r="K1232" s="33">
        <v>0</v>
      </c>
      <c r="L1232" s="1"/>
      <c r="M1232" s="1"/>
      <c r="N1232" s="1"/>
      <c r="O1232" s="1"/>
      <c r="P1232" s="1"/>
      <c r="Q1232" s="1"/>
    </row>
    <row r="1233" spans="1:17" x14ac:dyDescent="0.25">
      <c r="A1233" s="2">
        <v>44748</v>
      </c>
      <c r="B1233">
        <v>0</v>
      </c>
      <c r="C1233">
        <v>8</v>
      </c>
      <c r="D1233">
        <v>340</v>
      </c>
      <c r="E1233">
        <v>9237</v>
      </c>
      <c r="F1233" s="1" t="s">
        <v>95</v>
      </c>
      <c r="G1233">
        <v>0</v>
      </c>
      <c r="H1233">
        <v>0</v>
      </c>
      <c r="I1233">
        <v>60</v>
      </c>
      <c r="J1233">
        <v>60</v>
      </c>
      <c r="K1233" s="33">
        <v>0</v>
      </c>
      <c r="L1233" s="1"/>
      <c r="M1233" s="1" t="str">
        <f>_xlfn.XLOOKUP(ocupacao[[#This Row],[UnidadeID]],unidades!$A:$A,unidades!$B:$B,"",0)</f>
        <v>Matriz</v>
      </c>
      <c r="N1233" s="1" t="str">
        <f>_xlfn.XLOOKUP(ocupacao[[#This Row],[UnidadeID]],unidades!$A:$A,unidades!$C:$C,"",0)</f>
        <v>Nova Iguaçu</v>
      </c>
      <c r="O1233" s="1" t="str">
        <f>_xlfn.XLOOKUP(ocupacao[[#This Row],[EspecialidadeID]],especialidades!$A:$A,especialidades!$B:$B,"",0)</f>
        <v>ORTOPEDIA</v>
      </c>
      <c r="P1233" s="1" t="str">
        <f>TEXT(WEEKDAY(ocupacao[[#This Row],[Data]]),"ddd")</f>
        <v>qua</v>
      </c>
      <c r="Q1233" s="1">
        <f t="shared" si="19"/>
        <v>0</v>
      </c>
    </row>
    <row r="1234" spans="1:17" hidden="1" x14ac:dyDescent="0.25">
      <c r="A1234" s="2">
        <v>44748</v>
      </c>
      <c r="B1234">
        <v>0</v>
      </c>
      <c r="C1234">
        <v>8</v>
      </c>
      <c r="D1234">
        <v>342</v>
      </c>
      <c r="E1234">
        <v>14438</v>
      </c>
      <c r="F1234" s="1" t="s">
        <v>157</v>
      </c>
      <c r="G1234">
        <v>0</v>
      </c>
      <c r="H1234">
        <v>0</v>
      </c>
      <c r="I1234">
        <v>132</v>
      </c>
      <c r="J1234">
        <v>132</v>
      </c>
      <c r="K1234" s="33">
        <v>0</v>
      </c>
      <c r="L1234" s="1"/>
      <c r="M1234" s="1"/>
      <c r="N1234" s="1"/>
      <c r="O1234" s="1"/>
      <c r="P1234" s="1"/>
      <c r="Q1234" s="1"/>
    </row>
    <row r="1235" spans="1:17" x14ac:dyDescent="0.25">
      <c r="A1235" s="2">
        <v>44748</v>
      </c>
      <c r="B1235">
        <v>34</v>
      </c>
      <c r="C1235">
        <v>8</v>
      </c>
      <c r="D1235">
        <v>373</v>
      </c>
      <c r="E1235">
        <v>17939</v>
      </c>
      <c r="F1235" s="1" t="s">
        <v>358</v>
      </c>
      <c r="G1235">
        <v>0</v>
      </c>
      <c r="H1235">
        <v>0</v>
      </c>
      <c r="I1235">
        <v>72</v>
      </c>
      <c r="J1235">
        <v>72</v>
      </c>
      <c r="K1235" s="33">
        <v>0</v>
      </c>
      <c r="L1235" s="1"/>
      <c r="M1235" s="1" t="str">
        <f>_xlfn.XLOOKUP(ocupacao[[#This Row],[UnidadeID]],unidades!$A:$A,unidades!$B:$B,"",0)</f>
        <v>São João</v>
      </c>
      <c r="N1235" s="1" t="str">
        <f>_xlfn.XLOOKUP(ocupacao[[#This Row],[UnidadeID]],unidades!$A:$A,unidades!$C:$C,"",0)</f>
        <v>São João de Meriti</v>
      </c>
      <c r="O1235" s="1" t="str">
        <f>_xlfn.XLOOKUP(ocupacao[[#This Row],[EspecialidadeID]],especialidades!$A:$A,especialidades!$B:$B,"",0)</f>
        <v>ORTOPEDIA</v>
      </c>
      <c r="P1235" s="1" t="str">
        <f>TEXT(WEEKDAY(ocupacao[[#This Row],[Data]]),"ddd")</f>
        <v>qua</v>
      </c>
      <c r="Q1235" s="1">
        <f t="shared" si="19"/>
        <v>0</v>
      </c>
    </row>
    <row r="1236" spans="1:17" hidden="1" x14ac:dyDescent="0.25">
      <c r="A1236" s="2">
        <v>44749</v>
      </c>
      <c r="B1236">
        <v>0</v>
      </c>
      <c r="C1236">
        <v>8</v>
      </c>
      <c r="D1236">
        <v>340</v>
      </c>
      <c r="E1236">
        <v>92</v>
      </c>
      <c r="F1236" s="1" t="s">
        <v>376</v>
      </c>
      <c r="G1236">
        <v>0</v>
      </c>
      <c r="H1236">
        <v>0</v>
      </c>
      <c r="I1236">
        <v>72</v>
      </c>
      <c r="J1236">
        <v>72</v>
      </c>
      <c r="K1236" s="33">
        <v>0</v>
      </c>
      <c r="L1236" s="1"/>
      <c r="M1236" s="1"/>
      <c r="N1236" s="1"/>
      <c r="O1236" s="1"/>
      <c r="P1236" s="1"/>
      <c r="Q1236" s="1"/>
    </row>
    <row r="1237" spans="1:17" x14ac:dyDescent="0.25">
      <c r="A1237" s="2">
        <v>44749</v>
      </c>
      <c r="B1237">
        <v>0</v>
      </c>
      <c r="C1237">
        <v>8</v>
      </c>
      <c r="D1237">
        <v>343</v>
      </c>
      <c r="E1237">
        <v>93</v>
      </c>
      <c r="F1237" s="1" t="s">
        <v>91</v>
      </c>
      <c r="G1237">
        <v>0</v>
      </c>
      <c r="H1237">
        <v>0</v>
      </c>
      <c r="I1237">
        <v>60</v>
      </c>
      <c r="J1237">
        <v>60</v>
      </c>
      <c r="K1237" s="33">
        <v>0</v>
      </c>
      <c r="L1237" s="1"/>
      <c r="M1237" s="1" t="str">
        <f>_xlfn.XLOOKUP(ocupacao[[#This Row],[UnidadeID]],unidades!$A:$A,unidades!$B:$B,"",0)</f>
        <v>Matriz</v>
      </c>
      <c r="N1237" s="1" t="str">
        <f>_xlfn.XLOOKUP(ocupacao[[#This Row],[UnidadeID]],unidades!$A:$A,unidades!$C:$C,"",0)</f>
        <v>Nova Iguaçu</v>
      </c>
      <c r="O1237" s="1" t="str">
        <f>_xlfn.XLOOKUP(ocupacao[[#This Row],[EspecialidadeID]],especialidades!$A:$A,especialidades!$B:$B,"",0)</f>
        <v>ORTOPEDIA</v>
      </c>
      <c r="P1237" s="1" t="str">
        <f>TEXT(WEEKDAY(ocupacao[[#This Row],[Data]]),"ddd")</f>
        <v>qui</v>
      </c>
      <c r="Q1237" s="1">
        <f t="shared" si="19"/>
        <v>0</v>
      </c>
    </row>
    <row r="1238" spans="1:17" hidden="1" x14ac:dyDescent="0.25">
      <c r="A1238" s="2">
        <v>44749</v>
      </c>
      <c r="B1238">
        <v>0</v>
      </c>
      <c r="C1238">
        <v>8</v>
      </c>
      <c r="D1238">
        <v>343</v>
      </c>
      <c r="E1238">
        <v>4422</v>
      </c>
      <c r="F1238" s="1" t="s">
        <v>99</v>
      </c>
      <c r="G1238">
        <v>0</v>
      </c>
      <c r="H1238">
        <v>0</v>
      </c>
      <c r="I1238">
        <v>60</v>
      </c>
      <c r="J1238">
        <v>60</v>
      </c>
      <c r="K1238" s="33">
        <v>0</v>
      </c>
      <c r="L1238" s="1"/>
      <c r="M1238" s="1"/>
      <c r="N1238" s="1"/>
      <c r="O1238" s="1"/>
      <c r="P1238" s="1"/>
      <c r="Q1238" s="1"/>
    </row>
    <row r="1239" spans="1:17" hidden="1" x14ac:dyDescent="0.25">
      <c r="A1239" s="2"/>
      <c r="F1239" s="1"/>
      <c r="K1239" s="33"/>
      <c r="L1239" s="1"/>
      <c r="M1239" s="1"/>
      <c r="N1239" s="1"/>
      <c r="O1239" s="1"/>
      <c r="P1239" s="1"/>
      <c r="Q1239" s="1"/>
    </row>
    <row r="1240" spans="1:17" x14ac:dyDescent="0.25">
      <c r="A1240" s="2">
        <v>44749</v>
      </c>
      <c r="B1240">
        <v>34</v>
      </c>
      <c r="C1240">
        <v>8</v>
      </c>
      <c r="D1240">
        <v>373</v>
      </c>
      <c r="E1240">
        <v>6839</v>
      </c>
      <c r="F1240" s="1" t="s">
        <v>94</v>
      </c>
      <c r="G1240">
        <v>0</v>
      </c>
      <c r="H1240">
        <v>0</v>
      </c>
      <c r="I1240">
        <v>48</v>
      </c>
      <c r="J1240">
        <v>48</v>
      </c>
      <c r="K1240" s="33">
        <v>0</v>
      </c>
      <c r="L1240" s="1"/>
      <c r="M1240" s="1" t="str">
        <f>_xlfn.XLOOKUP(ocupacao[[#This Row],[UnidadeID]],unidades!$A:$A,unidades!$B:$B,"",0)</f>
        <v>São João</v>
      </c>
      <c r="N1240" s="1" t="str">
        <f>_xlfn.XLOOKUP(ocupacao[[#This Row],[UnidadeID]],unidades!$A:$A,unidades!$C:$C,"",0)</f>
        <v>São João de Meriti</v>
      </c>
      <c r="O1240" s="1" t="str">
        <f>_xlfn.XLOOKUP(ocupacao[[#This Row],[EspecialidadeID]],especialidades!$A:$A,especialidades!$B:$B,"",0)</f>
        <v>ORTOPEDIA</v>
      </c>
      <c r="P1240" s="1" t="str">
        <f>TEXT(WEEKDAY(ocupacao[[#This Row],[Data]]),"ddd")</f>
        <v>qui</v>
      </c>
      <c r="Q1240" s="1">
        <f t="shared" si="19"/>
        <v>0</v>
      </c>
    </row>
    <row r="1241" spans="1:17" x14ac:dyDescent="0.25">
      <c r="A1241" s="2">
        <v>44749</v>
      </c>
      <c r="B1241">
        <v>0</v>
      </c>
      <c r="C1241">
        <v>8</v>
      </c>
      <c r="D1241">
        <v>340</v>
      </c>
      <c r="E1241">
        <v>11312</v>
      </c>
      <c r="F1241" s="1" t="s">
        <v>107</v>
      </c>
      <c r="G1241">
        <v>0</v>
      </c>
      <c r="H1241">
        <v>0</v>
      </c>
      <c r="I1241">
        <v>31</v>
      </c>
      <c r="J1241">
        <v>31</v>
      </c>
      <c r="K1241" s="33">
        <v>0</v>
      </c>
      <c r="L1241" s="1"/>
      <c r="M1241" s="1" t="str">
        <f>_xlfn.XLOOKUP(ocupacao[[#This Row],[UnidadeID]],unidades!$A:$A,unidades!$B:$B,"",0)</f>
        <v>Matriz</v>
      </c>
      <c r="N1241" s="1" t="str">
        <f>_xlfn.XLOOKUP(ocupacao[[#This Row],[UnidadeID]],unidades!$A:$A,unidades!$C:$C,"",0)</f>
        <v>Nova Iguaçu</v>
      </c>
      <c r="O1241" s="1" t="str">
        <f>_xlfn.XLOOKUP(ocupacao[[#This Row],[EspecialidadeID]],especialidades!$A:$A,especialidades!$B:$B,"",0)</f>
        <v>ORTOPEDIA</v>
      </c>
      <c r="P1241" s="1" t="str">
        <f>TEXT(WEEKDAY(ocupacao[[#This Row],[Data]]),"ddd")</f>
        <v>qui</v>
      </c>
      <c r="Q1241" s="1">
        <f t="shared" si="19"/>
        <v>0</v>
      </c>
    </row>
    <row r="1242" spans="1:17" x14ac:dyDescent="0.25">
      <c r="A1242" s="2">
        <v>44750</v>
      </c>
      <c r="B1242">
        <v>0</v>
      </c>
      <c r="C1242">
        <v>8</v>
      </c>
      <c r="D1242">
        <v>340</v>
      </c>
      <c r="E1242">
        <v>92</v>
      </c>
      <c r="F1242" s="1" t="s">
        <v>376</v>
      </c>
      <c r="G1242">
        <v>12</v>
      </c>
      <c r="H1242">
        <v>0</v>
      </c>
      <c r="I1242">
        <v>108</v>
      </c>
      <c r="J1242">
        <v>120</v>
      </c>
      <c r="K1242" s="33">
        <v>0.1</v>
      </c>
      <c r="L1242" s="1"/>
      <c r="M1242" s="1" t="str">
        <f>_xlfn.XLOOKUP(ocupacao[[#This Row],[UnidadeID]],unidades!$A:$A,unidades!$B:$B,"",0)</f>
        <v>Matriz</v>
      </c>
      <c r="N1242" s="1" t="str">
        <f>_xlfn.XLOOKUP(ocupacao[[#This Row],[UnidadeID]],unidades!$A:$A,unidades!$C:$C,"",0)</f>
        <v>Nova Iguaçu</v>
      </c>
      <c r="O1242" s="1" t="str">
        <f>_xlfn.XLOOKUP(ocupacao[[#This Row],[EspecialidadeID]],especialidades!$A:$A,especialidades!$B:$B,"",0)</f>
        <v>ORTOPEDIA</v>
      </c>
      <c r="P1242" s="1" t="str">
        <f>TEXT(WEEKDAY(ocupacao[[#This Row],[Data]]),"ddd")</f>
        <v>sex</v>
      </c>
      <c r="Q1242" s="1">
        <f t="shared" si="19"/>
        <v>0</v>
      </c>
    </row>
    <row r="1243" spans="1:17" hidden="1" x14ac:dyDescent="0.25">
      <c r="A1243" s="2">
        <v>44750</v>
      </c>
      <c r="B1243">
        <v>0</v>
      </c>
      <c r="C1243">
        <v>8</v>
      </c>
      <c r="D1243">
        <v>341</v>
      </c>
      <c r="E1243">
        <v>6839</v>
      </c>
      <c r="F1243" s="1" t="s">
        <v>94</v>
      </c>
      <c r="G1243">
        <v>0</v>
      </c>
      <c r="H1243">
        <v>0</v>
      </c>
      <c r="I1243">
        <v>60</v>
      </c>
      <c r="J1243">
        <v>60</v>
      </c>
      <c r="K1243" s="33">
        <v>0</v>
      </c>
      <c r="L1243" s="1"/>
      <c r="M1243" s="1"/>
      <c r="N1243" s="1"/>
      <c r="O1243" s="1"/>
      <c r="P1243" s="1"/>
      <c r="Q1243" s="1"/>
    </row>
    <row r="1244" spans="1:17" x14ac:dyDescent="0.25">
      <c r="A1244" s="2">
        <v>44750</v>
      </c>
      <c r="B1244">
        <v>0</v>
      </c>
      <c r="C1244">
        <v>8</v>
      </c>
      <c r="D1244">
        <v>343</v>
      </c>
      <c r="E1244">
        <v>9237</v>
      </c>
      <c r="F1244" s="1" t="s">
        <v>95</v>
      </c>
      <c r="G1244">
        <v>0</v>
      </c>
      <c r="H1244">
        <v>0</v>
      </c>
      <c r="I1244">
        <v>60</v>
      </c>
      <c r="J1244">
        <v>60</v>
      </c>
      <c r="K1244" s="33">
        <v>0</v>
      </c>
      <c r="L1244" s="1"/>
      <c r="M1244" s="1" t="str">
        <f>_xlfn.XLOOKUP(ocupacao[[#This Row],[UnidadeID]],unidades!$A:$A,unidades!$B:$B,"",0)</f>
        <v>Matriz</v>
      </c>
      <c r="N1244" s="1" t="str">
        <f>_xlfn.XLOOKUP(ocupacao[[#This Row],[UnidadeID]],unidades!$A:$A,unidades!$C:$C,"",0)</f>
        <v>Nova Iguaçu</v>
      </c>
      <c r="O1244" s="1" t="str">
        <f>_xlfn.XLOOKUP(ocupacao[[#This Row],[EspecialidadeID]],especialidades!$A:$A,especialidades!$B:$B,"",0)</f>
        <v>ORTOPEDIA</v>
      </c>
      <c r="P1244" s="1" t="str">
        <f>TEXT(WEEKDAY(ocupacao[[#This Row],[Data]]),"ddd")</f>
        <v>sex</v>
      </c>
      <c r="Q1244" s="1">
        <f t="shared" si="19"/>
        <v>0</v>
      </c>
    </row>
    <row r="1245" spans="1:17" hidden="1" x14ac:dyDescent="0.25">
      <c r="A1245" s="2">
        <v>44751</v>
      </c>
      <c r="B1245">
        <v>0</v>
      </c>
      <c r="C1245">
        <v>8</v>
      </c>
      <c r="D1245">
        <v>340</v>
      </c>
      <c r="E1245">
        <v>14172</v>
      </c>
      <c r="F1245" s="1" t="s">
        <v>360</v>
      </c>
      <c r="G1245">
        <v>0</v>
      </c>
      <c r="H1245">
        <v>0</v>
      </c>
      <c r="I1245">
        <v>96</v>
      </c>
      <c r="J1245">
        <v>96</v>
      </c>
      <c r="K1245" s="33">
        <v>0</v>
      </c>
      <c r="L1245" s="1"/>
      <c r="M1245" s="1"/>
      <c r="N1245" s="1"/>
      <c r="O1245" s="1"/>
      <c r="P1245" s="1"/>
      <c r="Q1245" s="1"/>
    </row>
    <row r="1246" spans="1:17" x14ac:dyDescent="0.25">
      <c r="A1246" s="2">
        <v>44753</v>
      </c>
      <c r="B1246">
        <v>0</v>
      </c>
      <c r="C1246">
        <v>8</v>
      </c>
      <c r="D1246">
        <v>340</v>
      </c>
      <c r="E1246">
        <v>92</v>
      </c>
      <c r="F1246" s="1" t="s">
        <v>376</v>
      </c>
      <c r="G1246">
        <v>12</v>
      </c>
      <c r="H1246">
        <v>0</v>
      </c>
      <c r="I1246">
        <v>96</v>
      </c>
      <c r="J1246">
        <v>108</v>
      </c>
      <c r="K1246" s="33">
        <v>0.1111</v>
      </c>
      <c r="L1246" s="1"/>
      <c r="M1246" s="1" t="str">
        <f>_xlfn.XLOOKUP(ocupacao[[#This Row],[UnidadeID]],unidades!$A:$A,unidades!$B:$B,"",0)</f>
        <v>Matriz</v>
      </c>
      <c r="N1246" s="1" t="str">
        <f>_xlfn.XLOOKUP(ocupacao[[#This Row],[UnidadeID]],unidades!$A:$A,unidades!$C:$C,"",0)</f>
        <v>Nova Iguaçu</v>
      </c>
      <c r="O1246" s="1" t="str">
        <f>_xlfn.XLOOKUP(ocupacao[[#This Row],[EspecialidadeID]],especialidades!$A:$A,especialidades!$B:$B,"",0)</f>
        <v>ORTOPEDIA</v>
      </c>
      <c r="P1246" s="1" t="str">
        <f>TEXT(WEEKDAY(ocupacao[[#This Row],[Data]]),"ddd")</f>
        <v>seg</v>
      </c>
      <c r="Q1246" s="1">
        <f t="shared" si="19"/>
        <v>0</v>
      </c>
    </row>
    <row r="1247" spans="1:17" x14ac:dyDescent="0.25">
      <c r="A1247" s="2">
        <v>44753</v>
      </c>
      <c r="B1247">
        <v>0</v>
      </c>
      <c r="C1247">
        <v>8</v>
      </c>
      <c r="D1247">
        <v>343</v>
      </c>
      <c r="E1247">
        <v>93</v>
      </c>
      <c r="F1247" s="1" t="s">
        <v>91</v>
      </c>
      <c r="G1247">
        <v>0</v>
      </c>
      <c r="H1247">
        <v>0</v>
      </c>
      <c r="I1247">
        <v>60</v>
      </c>
      <c r="J1247">
        <v>60</v>
      </c>
      <c r="K1247" s="33">
        <v>0</v>
      </c>
      <c r="L1247" s="1"/>
      <c r="M1247" s="1" t="str">
        <f>_xlfn.XLOOKUP(ocupacao[[#This Row],[UnidadeID]],unidades!$A:$A,unidades!$B:$B,"",0)</f>
        <v>Matriz</v>
      </c>
      <c r="N1247" s="1" t="str">
        <f>_xlfn.XLOOKUP(ocupacao[[#This Row],[UnidadeID]],unidades!$A:$A,unidades!$C:$C,"",0)</f>
        <v>Nova Iguaçu</v>
      </c>
      <c r="O1247" s="1" t="str">
        <f>_xlfn.XLOOKUP(ocupacao[[#This Row],[EspecialidadeID]],especialidades!$A:$A,especialidades!$B:$B,"",0)</f>
        <v>ORTOPEDIA</v>
      </c>
      <c r="P1247" s="1" t="str">
        <f>TEXT(WEEKDAY(ocupacao[[#This Row],[Data]]),"ddd")</f>
        <v>seg</v>
      </c>
      <c r="Q1247" s="1">
        <f t="shared" si="19"/>
        <v>0</v>
      </c>
    </row>
    <row r="1248" spans="1:17" hidden="1" x14ac:dyDescent="0.25">
      <c r="A1248" s="2">
        <v>44753</v>
      </c>
      <c r="B1248">
        <v>18</v>
      </c>
      <c r="C1248">
        <v>8</v>
      </c>
      <c r="D1248">
        <v>81</v>
      </c>
      <c r="E1248">
        <v>4422</v>
      </c>
      <c r="F1248" s="1" t="s">
        <v>99</v>
      </c>
      <c r="G1248">
        <v>0</v>
      </c>
      <c r="H1248">
        <v>0</v>
      </c>
      <c r="I1248">
        <v>48</v>
      </c>
      <c r="J1248">
        <v>48</v>
      </c>
      <c r="K1248" s="33">
        <v>0</v>
      </c>
      <c r="L1248" s="1"/>
      <c r="M1248" s="1"/>
      <c r="N1248" s="1"/>
      <c r="O1248" s="1"/>
      <c r="P1248" s="1"/>
      <c r="Q1248" s="1"/>
    </row>
    <row r="1249" spans="1:17" x14ac:dyDescent="0.25">
      <c r="A1249" s="2">
        <v>44753</v>
      </c>
      <c r="B1249">
        <v>0</v>
      </c>
      <c r="C1249">
        <v>8</v>
      </c>
      <c r="D1249">
        <v>343</v>
      </c>
      <c r="E1249">
        <v>9237</v>
      </c>
      <c r="F1249" s="1" t="s">
        <v>95</v>
      </c>
      <c r="G1249">
        <v>0</v>
      </c>
      <c r="H1249">
        <v>0</v>
      </c>
      <c r="I1249">
        <v>60</v>
      </c>
      <c r="J1249">
        <v>60</v>
      </c>
      <c r="K1249" s="33">
        <v>0</v>
      </c>
      <c r="L1249" s="1"/>
      <c r="M1249" s="1" t="str">
        <f>_xlfn.XLOOKUP(ocupacao[[#This Row],[UnidadeID]],unidades!$A:$A,unidades!$B:$B,"",0)</f>
        <v>Matriz</v>
      </c>
      <c r="N1249" s="1" t="str">
        <f>_xlfn.XLOOKUP(ocupacao[[#This Row],[UnidadeID]],unidades!$A:$A,unidades!$C:$C,"",0)</f>
        <v>Nova Iguaçu</v>
      </c>
      <c r="O1249" s="1" t="str">
        <f>_xlfn.XLOOKUP(ocupacao[[#This Row],[EspecialidadeID]],especialidades!$A:$A,especialidades!$B:$B,"",0)</f>
        <v>ORTOPEDIA</v>
      </c>
      <c r="P1249" s="1" t="str">
        <f>TEXT(WEEKDAY(ocupacao[[#This Row],[Data]]),"ddd")</f>
        <v>seg</v>
      </c>
      <c r="Q1249" s="1">
        <f t="shared" si="19"/>
        <v>0</v>
      </c>
    </row>
    <row r="1250" spans="1:17" x14ac:dyDescent="0.25">
      <c r="A1250" s="2">
        <v>44754</v>
      </c>
      <c r="B1250">
        <v>0</v>
      </c>
      <c r="C1250">
        <v>8</v>
      </c>
      <c r="D1250">
        <v>340</v>
      </c>
      <c r="E1250">
        <v>92</v>
      </c>
      <c r="F1250" s="1" t="s">
        <v>376</v>
      </c>
      <c r="G1250">
        <v>0</v>
      </c>
      <c r="H1250">
        <v>0</v>
      </c>
      <c r="I1250">
        <v>60</v>
      </c>
      <c r="J1250">
        <v>60</v>
      </c>
      <c r="K1250" s="33">
        <v>0</v>
      </c>
      <c r="L1250" s="1"/>
      <c r="M1250" s="1" t="str">
        <f>_xlfn.XLOOKUP(ocupacao[[#This Row],[UnidadeID]],unidades!$A:$A,unidades!$B:$B,"",0)</f>
        <v>Matriz</v>
      </c>
      <c r="N1250" s="1" t="str">
        <f>_xlfn.XLOOKUP(ocupacao[[#This Row],[UnidadeID]],unidades!$A:$A,unidades!$C:$C,"",0)</f>
        <v>Nova Iguaçu</v>
      </c>
      <c r="O1250" s="1" t="str">
        <f>_xlfn.XLOOKUP(ocupacao[[#This Row],[EspecialidadeID]],especialidades!$A:$A,especialidades!$B:$B,"",0)</f>
        <v>ORTOPEDIA</v>
      </c>
      <c r="P1250" s="1" t="str">
        <f>TEXT(WEEKDAY(ocupacao[[#This Row],[Data]]),"ddd")</f>
        <v>ter</v>
      </c>
      <c r="Q1250" s="1">
        <f t="shared" si="19"/>
        <v>0</v>
      </c>
    </row>
    <row r="1251" spans="1:17" hidden="1" x14ac:dyDescent="0.25">
      <c r="A1251" s="2"/>
      <c r="F1251" s="1"/>
      <c r="K1251" s="33"/>
      <c r="L1251" s="1"/>
      <c r="M1251" s="1"/>
      <c r="N1251" s="1"/>
      <c r="O1251" s="1"/>
      <c r="P1251" s="1"/>
      <c r="Q1251" s="1"/>
    </row>
    <row r="1252" spans="1:17" x14ac:dyDescent="0.25">
      <c r="A1252" s="2">
        <v>44754</v>
      </c>
      <c r="B1252">
        <v>34</v>
      </c>
      <c r="C1252">
        <v>8</v>
      </c>
      <c r="D1252">
        <v>374</v>
      </c>
      <c r="E1252">
        <v>6839</v>
      </c>
      <c r="F1252" s="1" t="s">
        <v>94</v>
      </c>
      <c r="G1252">
        <v>0</v>
      </c>
      <c r="H1252">
        <v>0</v>
      </c>
      <c r="I1252">
        <v>48</v>
      </c>
      <c r="J1252">
        <v>48</v>
      </c>
      <c r="K1252" s="33">
        <v>0</v>
      </c>
      <c r="L1252" s="1"/>
      <c r="M1252" s="1" t="str">
        <f>_xlfn.XLOOKUP(ocupacao[[#This Row],[UnidadeID]],unidades!$A:$A,unidades!$B:$B,"",0)</f>
        <v>São João</v>
      </c>
      <c r="N1252" s="1" t="str">
        <f>_xlfn.XLOOKUP(ocupacao[[#This Row],[UnidadeID]],unidades!$A:$A,unidades!$C:$C,"",0)</f>
        <v>São João de Meriti</v>
      </c>
      <c r="O1252" s="1" t="str">
        <f>_xlfn.XLOOKUP(ocupacao[[#This Row],[EspecialidadeID]],especialidades!$A:$A,especialidades!$B:$B,"",0)</f>
        <v>ORTOPEDIA</v>
      </c>
      <c r="P1252" s="1" t="str">
        <f>TEXT(WEEKDAY(ocupacao[[#This Row],[Data]]),"ddd")</f>
        <v>ter</v>
      </c>
      <c r="Q1252" s="1">
        <f t="shared" si="19"/>
        <v>0</v>
      </c>
    </row>
    <row r="1253" spans="1:17" hidden="1" x14ac:dyDescent="0.25">
      <c r="A1253" s="2"/>
      <c r="F1253" s="1"/>
      <c r="K1253" s="33"/>
      <c r="L1253" s="1"/>
      <c r="M1253" s="1"/>
      <c r="N1253" s="1"/>
      <c r="O1253" s="1"/>
      <c r="P1253" s="1"/>
      <c r="Q1253" s="1"/>
    </row>
    <row r="1254" spans="1:17" x14ac:dyDescent="0.25">
      <c r="A1254" s="2">
        <v>44754</v>
      </c>
      <c r="B1254">
        <v>0</v>
      </c>
      <c r="C1254">
        <v>8</v>
      </c>
      <c r="D1254">
        <v>341</v>
      </c>
      <c r="E1254">
        <v>17939</v>
      </c>
      <c r="F1254" s="1" t="s">
        <v>358</v>
      </c>
      <c r="G1254">
        <v>0</v>
      </c>
      <c r="H1254">
        <v>0</v>
      </c>
      <c r="I1254">
        <v>48</v>
      </c>
      <c r="J1254">
        <v>48</v>
      </c>
      <c r="K1254" s="33">
        <v>0</v>
      </c>
      <c r="L1254" s="1"/>
      <c r="M1254" s="1" t="str">
        <f>_xlfn.XLOOKUP(ocupacao[[#This Row],[UnidadeID]],unidades!$A:$A,unidades!$B:$B,"",0)</f>
        <v>Matriz</v>
      </c>
      <c r="N1254" s="1" t="str">
        <f>_xlfn.XLOOKUP(ocupacao[[#This Row],[UnidadeID]],unidades!$A:$A,unidades!$C:$C,"",0)</f>
        <v>Nova Iguaçu</v>
      </c>
      <c r="O1254" s="1" t="str">
        <f>_xlfn.XLOOKUP(ocupacao[[#This Row],[EspecialidadeID]],especialidades!$A:$A,especialidades!$B:$B,"",0)</f>
        <v>ORTOPEDIA</v>
      </c>
      <c r="P1254" s="1" t="str">
        <f>TEXT(WEEKDAY(ocupacao[[#This Row],[Data]]),"ddd")</f>
        <v>ter</v>
      </c>
      <c r="Q1254" s="1">
        <f t="shared" si="19"/>
        <v>0</v>
      </c>
    </row>
    <row r="1255" spans="1:17" x14ac:dyDescent="0.25">
      <c r="A1255" s="2">
        <v>44755</v>
      </c>
      <c r="B1255">
        <v>0</v>
      </c>
      <c r="C1255">
        <v>8</v>
      </c>
      <c r="D1255">
        <v>340</v>
      </c>
      <c r="E1255">
        <v>92</v>
      </c>
      <c r="F1255" s="1" t="s">
        <v>376</v>
      </c>
      <c r="G1255">
        <v>0</v>
      </c>
      <c r="H1255">
        <v>0</v>
      </c>
      <c r="I1255">
        <v>72</v>
      </c>
      <c r="J1255">
        <v>72</v>
      </c>
      <c r="K1255" s="33">
        <v>0</v>
      </c>
      <c r="L1255" s="1"/>
      <c r="M1255" s="1" t="str">
        <f>_xlfn.XLOOKUP(ocupacao[[#This Row],[UnidadeID]],unidades!$A:$A,unidades!$B:$B,"",0)</f>
        <v>Matriz</v>
      </c>
      <c r="N1255" s="1" t="str">
        <f>_xlfn.XLOOKUP(ocupacao[[#This Row],[UnidadeID]],unidades!$A:$A,unidades!$C:$C,"",0)</f>
        <v>Nova Iguaçu</v>
      </c>
      <c r="O1255" s="1" t="str">
        <f>_xlfn.XLOOKUP(ocupacao[[#This Row],[EspecialidadeID]],especialidades!$A:$A,especialidades!$B:$B,"",0)</f>
        <v>ORTOPEDIA</v>
      </c>
      <c r="P1255" s="1" t="str">
        <f>TEXT(WEEKDAY(ocupacao[[#This Row],[Data]]),"ddd")</f>
        <v>qua</v>
      </c>
      <c r="Q1255" s="1">
        <f t="shared" si="19"/>
        <v>0</v>
      </c>
    </row>
    <row r="1256" spans="1:17" x14ac:dyDescent="0.25">
      <c r="A1256" s="2">
        <v>44755</v>
      </c>
      <c r="B1256">
        <v>0</v>
      </c>
      <c r="C1256">
        <v>8</v>
      </c>
      <c r="D1256">
        <v>341</v>
      </c>
      <c r="E1256">
        <v>3187</v>
      </c>
      <c r="F1256" s="1" t="s">
        <v>359</v>
      </c>
      <c r="G1256">
        <v>0</v>
      </c>
      <c r="H1256">
        <v>0</v>
      </c>
      <c r="I1256">
        <v>60</v>
      </c>
      <c r="J1256">
        <v>60</v>
      </c>
      <c r="K1256" s="33">
        <v>0</v>
      </c>
      <c r="L1256" s="1"/>
      <c r="M1256" s="1" t="str">
        <f>_xlfn.XLOOKUP(ocupacao[[#This Row],[UnidadeID]],unidades!$A:$A,unidades!$B:$B,"",0)</f>
        <v>Matriz</v>
      </c>
      <c r="N1256" s="1" t="str">
        <f>_xlfn.XLOOKUP(ocupacao[[#This Row],[UnidadeID]],unidades!$A:$A,unidades!$C:$C,"",0)</f>
        <v>Nova Iguaçu</v>
      </c>
      <c r="O1256" s="1" t="str">
        <f>_xlfn.XLOOKUP(ocupacao[[#This Row],[EspecialidadeID]],especialidades!$A:$A,especialidades!$B:$B,"",0)</f>
        <v>ORTOPEDIA</v>
      </c>
      <c r="P1256" s="1" t="str">
        <f>TEXT(WEEKDAY(ocupacao[[#This Row],[Data]]),"ddd")</f>
        <v>qua</v>
      </c>
      <c r="Q1256" s="1">
        <f t="shared" si="19"/>
        <v>0</v>
      </c>
    </row>
    <row r="1257" spans="1:17" x14ac:dyDescent="0.25">
      <c r="A1257" s="2">
        <v>44755</v>
      </c>
      <c r="B1257">
        <v>18</v>
      </c>
      <c r="C1257">
        <v>8</v>
      </c>
      <c r="D1257">
        <v>81</v>
      </c>
      <c r="E1257">
        <v>6839</v>
      </c>
      <c r="F1257" s="1" t="s">
        <v>94</v>
      </c>
      <c r="G1257">
        <v>0</v>
      </c>
      <c r="H1257">
        <v>0</v>
      </c>
      <c r="I1257">
        <v>48</v>
      </c>
      <c r="J1257">
        <v>48</v>
      </c>
      <c r="K1257" s="33">
        <v>0</v>
      </c>
      <c r="L1257" s="1"/>
      <c r="M1257" s="1" t="str">
        <f>_xlfn.XLOOKUP(ocupacao[[#This Row],[UnidadeID]],unidades!$A:$A,unidades!$B:$B,"",0)</f>
        <v>Miguel Couto</v>
      </c>
      <c r="N1257" s="1" t="str">
        <f>_xlfn.XLOOKUP(ocupacao[[#This Row],[UnidadeID]],unidades!$A:$A,unidades!$C:$C,"",0)</f>
        <v>Miguel Couto</v>
      </c>
      <c r="O1257" s="1" t="str">
        <f>_xlfn.XLOOKUP(ocupacao[[#This Row],[EspecialidadeID]],especialidades!$A:$A,especialidades!$B:$B,"",0)</f>
        <v>ORTOPEDIA</v>
      </c>
      <c r="P1257" s="1" t="str">
        <f>TEXT(WEEKDAY(ocupacao[[#This Row],[Data]]),"ddd")</f>
        <v>qua</v>
      </c>
      <c r="Q1257" s="1">
        <f t="shared" si="19"/>
        <v>0</v>
      </c>
    </row>
    <row r="1258" spans="1:17" x14ac:dyDescent="0.25">
      <c r="A1258" s="2">
        <v>44755</v>
      </c>
      <c r="B1258">
        <v>0</v>
      </c>
      <c r="C1258">
        <v>8</v>
      </c>
      <c r="D1258">
        <v>340</v>
      </c>
      <c r="E1258">
        <v>9237</v>
      </c>
      <c r="F1258" s="1" t="s">
        <v>95</v>
      </c>
      <c r="G1258">
        <v>0</v>
      </c>
      <c r="H1258">
        <v>0</v>
      </c>
      <c r="I1258">
        <v>60</v>
      </c>
      <c r="J1258">
        <v>60</v>
      </c>
      <c r="K1258" s="33">
        <v>0</v>
      </c>
      <c r="L1258" s="1"/>
      <c r="M1258" s="1" t="str">
        <f>_xlfn.XLOOKUP(ocupacao[[#This Row],[UnidadeID]],unidades!$A:$A,unidades!$B:$B,"",0)</f>
        <v>Matriz</v>
      </c>
      <c r="N1258" s="1" t="str">
        <f>_xlfn.XLOOKUP(ocupacao[[#This Row],[UnidadeID]],unidades!$A:$A,unidades!$C:$C,"",0)</f>
        <v>Nova Iguaçu</v>
      </c>
      <c r="O1258" s="1" t="str">
        <f>_xlfn.XLOOKUP(ocupacao[[#This Row],[EspecialidadeID]],especialidades!$A:$A,especialidades!$B:$B,"",0)</f>
        <v>ORTOPEDIA</v>
      </c>
      <c r="P1258" s="1" t="str">
        <f>TEXT(WEEKDAY(ocupacao[[#This Row],[Data]]),"ddd")</f>
        <v>qua</v>
      </c>
      <c r="Q1258" s="1">
        <f t="shared" si="19"/>
        <v>0</v>
      </c>
    </row>
    <row r="1259" spans="1:17" x14ac:dyDescent="0.25">
      <c r="A1259" s="2">
        <v>44755</v>
      </c>
      <c r="B1259">
        <v>0</v>
      </c>
      <c r="C1259">
        <v>8</v>
      </c>
      <c r="D1259">
        <v>342</v>
      </c>
      <c r="E1259">
        <v>14438</v>
      </c>
      <c r="F1259" s="1" t="s">
        <v>157</v>
      </c>
      <c r="G1259">
        <v>0</v>
      </c>
      <c r="H1259">
        <v>0</v>
      </c>
      <c r="I1259">
        <v>132</v>
      </c>
      <c r="J1259">
        <v>132</v>
      </c>
      <c r="K1259" s="33">
        <v>0</v>
      </c>
      <c r="L1259" s="1"/>
      <c r="M1259" s="1" t="str">
        <f>_xlfn.XLOOKUP(ocupacao[[#This Row],[UnidadeID]],unidades!$A:$A,unidades!$B:$B,"",0)</f>
        <v>Matriz</v>
      </c>
      <c r="N1259" s="1" t="str">
        <f>_xlfn.XLOOKUP(ocupacao[[#This Row],[UnidadeID]],unidades!$A:$A,unidades!$C:$C,"",0)</f>
        <v>Nova Iguaçu</v>
      </c>
      <c r="O1259" s="1" t="str">
        <f>_xlfn.XLOOKUP(ocupacao[[#This Row],[EspecialidadeID]],especialidades!$A:$A,especialidades!$B:$B,"",0)</f>
        <v>ORTOPEDIA</v>
      </c>
      <c r="P1259" s="1" t="str">
        <f>TEXT(WEEKDAY(ocupacao[[#This Row],[Data]]),"ddd")</f>
        <v>qua</v>
      </c>
      <c r="Q1259" s="1">
        <f t="shared" si="19"/>
        <v>0</v>
      </c>
    </row>
    <row r="1260" spans="1:17" hidden="1" x14ac:dyDescent="0.25">
      <c r="A1260" s="2">
        <v>44755</v>
      </c>
      <c r="B1260">
        <v>34</v>
      </c>
      <c r="C1260">
        <v>8</v>
      </c>
      <c r="D1260">
        <v>373</v>
      </c>
      <c r="E1260">
        <v>17939</v>
      </c>
      <c r="F1260" s="1" t="s">
        <v>358</v>
      </c>
      <c r="G1260">
        <v>0</v>
      </c>
      <c r="H1260">
        <v>0</v>
      </c>
      <c r="I1260">
        <v>72</v>
      </c>
      <c r="J1260">
        <v>72</v>
      </c>
      <c r="K1260" s="33">
        <v>0</v>
      </c>
      <c r="L1260" s="1"/>
      <c r="M1260" s="1"/>
      <c r="N1260" s="1"/>
      <c r="O1260" s="1"/>
      <c r="P1260" s="1"/>
      <c r="Q1260" s="1"/>
    </row>
    <row r="1261" spans="1:17" x14ac:dyDescent="0.25">
      <c r="A1261" s="2">
        <v>44756</v>
      </c>
      <c r="B1261">
        <v>0</v>
      </c>
      <c r="C1261">
        <v>8</v>
      </c>
      <c r="D1261">
        <v>340</v>
      </c>
      <c r="E1261">
        <v>92</v>
      </c>
      <c r="F1261" s="1" t="s">
        <v>376</v>
      </c>
      <c r="G1261">
        <v>0</v>
      </c>
      <c r="H1261">
        <v>0</v>
      </c>
      <c r="I1261">
        <v>72</v>
      </c>
      <c r="J1261">
        <v>72</v>
      </c>
      <c r="K1261" s="33">
        <v>0</v>
      </c>
      <c r="L1261" s="1"/>
      <c r="M1261" s="1" t="str">
        <f>_xlfn.XLOOKUP(ocupacao[[#This Row],[UnidadeID]],unidades!$A:$A,unidades!$B:$B,"",0)</f>
        <v>Matriz</v>
      </c>
      <c r="N1261" s="1" t="str">
        <f>_xlfn.XLOOKUP(ocupacao[[#This Row],[UnidadeID]],unidades!$A:$A,unidades!$C:$C,"",0)</f>
        <v>Nova Iguaçu</v>
      </c>
      <c r="O1261" s="1" t="str">
        <f>_xlfn.XLOOKUP(ocupacao[[#This Row],[EspecialidadeID]],especialidades!$A:$A,especialidades!$B:$B,"",0)</f>
        <v>ORTOPEDIA</v>
      </c>
      <c r="P1261" s="1" t="str">
        <f>TEXT(WEEKDAY(ocupacao[[#This Row],[Data]]),"ddd")</f>
        <v>qui</v>
      </c>
      <c r="Q1261" s="1">
        <f t="shared" si="19"/>
        <v>0</v>
      </c>
    </row>
    <row r="1262" spans="1:17" hidden="1" x14ac:dyDescent="0.25">
      <c r="A1262" s="2">
        <v>44756</v>
      </c>
      <c r="B1262">
        <v>0</v>
      </c>
      <c r="C1262">
        <v>8</v>
      </c>
      <c r="D1262">
        <v>343</v>
      </c>
      <c r="E1262">
        <v>93</v>
      </c>
      <c r="F1262" s="1" t="s">
        <v>91</v>
      </c>
      <c r="G1262">
        <v>0</v>
      </c>
      <c r="H1262">
        <v>0</v>
      </c>
      <c r="I1262">
        <v>60</v>
      </c>
      <c r="J1262">
        <v>60</v>
      </c>
      <c r="K1262" s="33">
        <v>0</v>
      </c>
      <c r="L1262" s="1"/>
      <c r="M1262" s="1"/>
      <c r="N1262" s="1"/>
      <c r="O1262" s="1"/>
      <c r="P1262" s="1"/>
      <c r="Q1262" s="1"/>
    </row>
    <row r="1263" spans="1:17" x14ac:dyDescent="0.25">
      <c r="A1263" s="2">
        <v>44756</v>
      </c>
      <c r="B1263">
        <v>0</v>
      </c>
      <c r="C1263">
        <v>8</v>
      </c>
      <c r="D1263">
        <v>343</v>
      </c>
      <c r="E1263">
        <v>4422</v>
      </c>
      <c r="F1263" s="1" t="s">
        <v>99</v>
      </c>
      <c r="G1263">
        <v>0</v>
      </c>
      <c r="H1263">
        <v>0</v>
      </c>
      <c r="I1263">
        <v>60</v>
      </c>
      <c r="J1263">
        <v>60</v>
      </c>
      <c r="K1263" s="33">
        <v>0</v>
      </c>
      <c r="L1263" s="1"/>
      <c r="M1263" s="1" t="str">
        <f>_xlfn.XLOOKUP(ocupacao[[#This Row],[UnidadeID]],unidades!$A:$A,unidades!$B:$B,"",0)</f>
        <v>Matriz</v>
      </c>
      <c r="N1263" s="1" t="str">
        <f>_xlfn.XLOOKUP(ocupacao[[#This Row],[UnidadeID]],unidades!$A:$A,unidades!$C:$C,"",0)</f>
        <v>Nova Iguaçu</v>
      </c>
      <c r="O1263" s="1" t="str">
        <f>_xlfn.XLOOKUP(ocupacao[[#This Row],[EspecialidadeID]],especialidades!$A:$A,especialidades!$B:$B,"",0)</f>
        <v>ORTOPEDIA</v>
      </c>
      <c r="P1263" s="1" t="str">
        <f>TEXT(WEEKDAY(ocupacao[[#This Row],[Data]]),"ddd")</f>
        <v>qui</v>
      </c>
      <c r="Q1263" s="1">
        <f t="shared" si="19"/>
        <v>0</v>
      </c>
    </row>
    <row r="1264" spans="1:17" hidden="1" x14ac:dyDescent="0.25">
      <c r="A1264" s="2"/>
      <c r="F1264" s="1"/>
      <c r="K1264" s="33"/>
      <c r="L1264" s="1"/>
      <c r="M1264" s="1"/>
      <c r="N1264" s="1"/>
      <c r="O1264" s="1"/>
      <c r="P1264" s="1"/>
      <c r="Q1264" s="1"/>
    </row>
    <row r="1265" spans="1:17" x14ac:dyDescent="0.25">
      <c r="A1265" s="2">
        <v>44756</v>
      </c>
      <c r="B1265">
        <v>34</v>
      </c>
      <c r="C1265">
        <v>8</v>
      </c>
      <c r="D1265">
        <v>373</v>
      </c>
      <c r="E1265">
        <v>6839</v>
      </c>
      <c r="F1265" s="1" t="s">
        <v>94</v>
      </c>
      <c r="G1265">
        <v>0</v>
      </c>
      <c r="H1265">
        <v>0</v>
      </c>
      <c r="I1265">
        <v>48</v>
      </c>
      <c r="J1265">
        <v>48</v>
      </c>
      <c r="K1265" s="33">
        <v>0</v>
      </c>
      <c r="L1265" s="1"/>
      <c r="M1265" s="1" t="str">
        <f>_xlfn.XLOOKUP(ocupacao[[#This Row],[UnidadeID]],unidades!$A:$A,unidades!$B:$B,"",0)</f>
        <v>São João</v>
      </c>
      <c r="N1265" s="1" t="str">
        <f>_xlfn.XLOOKUP(ocupacao[[#This Row],[UnidadeID]],unidades!$A:$A,unidades!$C:$C,"",0)</f>
        <v>São João de Meriti</v>
      </c>
      <c r="O1265" s="1" t="str">
        <f>_xlfn.XLOOKUP(ocupacao[[#This Row],[EspecialidadeID]],especialidades!$A:$A,especialidades!$B:$B,"",0)</f>
        <v>ORTOPEDIA</v>
      </c>
      <c r="P1265" s="1" t="str">
        <f>TEXT(WEEKDAY(ocupacao[[#This Row],[Data]]),"ddd")</f>
        <v>qui</v>
      </c>
      <c r="Q1265" s="1">
        <f t="shared" si="19"/>
        <v>0</v>
      </c>
    </row>
    <row r="1266" spans="1:17" x14ac:dyDescent="0.25">
      <c r="A1266" s="2">
        <v>44756</v>
      </c>
      <c r="B1266">
        <v>0</v>
      </c>
      <c r="C1266">
        <v>8</v>
      </c>
      <c r="D1266">
        <v>340</v>
      </c>
      <c r="E1266">
        <v>11312</v>
      </c>
      <c r="F1266" s="1" t="s">
        <v>107</v>
      </c>
      <c r="G1266">
        <v>0</v>
      </c>
      <c r="H1266">
        <v>0</v>
      </c>
      <c r="I1266">
        <v>31</v>
      </c>
      <c r="J1266">
        <v>31</v>
      </c>
      <c r="K1266" s="33">
        <v>0</v>
      </c>
      <c r="L1266" s="1"/>
      <c r="M1266" s="1" t="str">
        <f>_xlfn.XLOOKUP(ocupacao[[#This Row],[UnidadeID]],unidades!$A:$A,unidades!$B:$B,"",0)</f>
        <v>Matriz</v>
      </c>
      <c r="N1266" s="1" t="str">
        <f>_xlfn.XLOOKUP(ocupacao[[#This Row],[UnidadeID]],unidades!$A:$A,unidades!$C:$C,"",0)</f>
        <v>Nova Iguaçu</v>
      </c>
      <c r="O1266" s="1" t="str">
        <f>_xlfn.XLOOKUP(ocupacao[[#This Row],[EspecialidadeID]],especialidades!$A:$A,especialidades!$B:$B,"",0)</f>
        <v>ORTOPEDIA</v>
      </c>
      <c r="P1266" s="1" t="str">
        <f>TEXT(WEEKDAY(ocupacao[[#This Row],[Data]]),"ddd")</f>
        <v>qui</v>
      </c>
      <c r="Q1266" s="1">
        <f t="shared" si="19"/>
        <v>0</v>
      </c>
    </row>
    <row r="1267" spans="1:17" x14ac:dyDescent="0.25">
      <c r="A1267" s="2"/>
      <c r="F1267" s="1" t="s">
        <v>106</v>
      </c>
      <c r="K1267" s="33"/>
      <c r="L1267" s="1"/>
      <c r="M1267" s="1">
        <f>_xlfn.XLOOKUP(ocupacao[[#This Row],[UnidadeID]],unidades!$A:$A,unidades!$B:$B,"",0)</f>
        <v>0</v>
      </c>
      <c r="N1267" s="1">
        <f>_xlfn.XLOOKUP(ocupacao[[#This Row],[UnidadeID]],unidades!$A:$A,unidades!$C:$C,"",0)</f>
        <v>0</v>
      </c>
      <c r="O1267" s="1">
        <f>_xlfn.XLOOKUP(ocupacao[[#This Row],[EspecialidadeID]],especialidades!$A:$A,especialidades!$B:$B,"",0)</f>
        <v>0</v>
      </c>
      <c r="P1267" s="1" t="str">
        <f>TEXT(WEEKDAY(ocupacao[[#This Row],[Data]]),"ddd")</f>
        <v>sáb</v>
      </c>
      <c r="Q1267" s="1">
        <f t="shared" si="19"/>
        <v>0</v>
      </c>
    </row>
    <row r="1268" spans="1:17" x14ac:dyDescent="0.25">
      <c r="A1268" s="2">
        <v>44744</v>
      </c>
      <c r="B1268">
        <v>34</v>
      </c>
      <c r="C1268">
        <v>9</v>
      </c>
      <c r="D1268">
        <v>375</v>
      </c>
      <c r="E1268">
        <v>60</v>
      </c>
      <c r="F1268" s="1" t="s">
        <v>113</v>
      </c>
      <c r="G1268">
        <v>0</v>
      </c>
      <c r="H1268">
        <v>4</v>
      </c>
      <c r="I1268">
        <v>0</v>
      </c>
      <c r="J1268">
        <v>4</v>
      </c>
      <c r="K1268" s="33">
        <v>1</v>
      </c>
      <c r="L1268" s="1"/>
      <c r="M1268" s="1" t="str">
        <f>_xlfn.XLOOKUP(ocupacao[[#This Row],[UnidadeID]],unidades!$A:$A,unidades!$B:$B,"",0)</f>
        <v>São João</v>
      </c>
      <c r="N1268" s="1" t="str">
        <f>_xlfn.XLOOKUP(ocupacao[[#This Row],[UnidadeID]],unidades!$A:$A,unidades!$C:$C,"",0)</f>
        <v>São João de Meriti</v>
      </c>
      <c r="O1268" s="1" t="str">
        <f>_xlfn.XLOOKUP(ocupacao[[#This Row],[EspecialidadeID]],especialidades!$A:$A,especialidades!$B:$B,"",0)</f>
        <v>CLINICA GERAL</v>
      </c>
      <c r="P1268" s="1" t="str">
        <f>TEXT(WEEKDAY(ocupacao[[#This Row],[Data]]),"ddd")</f>
        <v>sáb</v>
      </c>
      <c r="Q1268" s="1">
        <f t="shared" si="19"/>
        <v>1</v>
      </c>
    </row>
    <row r="1269" spans="1:17" x14ac:dyDescent="0.25">
      <c r="A1269" s="2">
        <v>44744</v>
      </c>
      <c r="B1269">
        <v>34</v>
      </c>
      <c r="C1269">
        <v>9</v>
      </c>
      <c r="D1269">
        <v>375</v>
      </c>
      <c r="E1269">
        <v>60</v>
      </c>
      <c r="F1269" s="1" t="s">
        <v>113</v>
      </c>
      <c r="G1269">
        <v>0</v>
      </c>
      <c r="H1269">
        <v>0</v>
      </c>
      <c r="I1269">
        <v>37</v>
      </c>
      <c r="J1269">
        <v>37</v>
      </c>
      <c r="K1269" s="33">
        <v>0</v>
      </c>
      <c r="L1269" s="1"/>
      <c r="M1269" s="1" t="str">
        <f>_xlfn.XLOOKUP(ocupacao[[#This Row],[UnidadeID]],unidades!$A:$A,unidades!$B:$B,"",0)</f>
        <v>São João</v>
      </c>
      <c r="N1269" s="1" t="str">
        <f>_xlfn.XLOOKUP(ocupacao[[#This Row],[UnidadeID]],unidades!$A:$A,unidades!$C:$C,"",0)</f>
        <v>São João de Meriti</v>
      </c>
      <c r="O1269" s="1" t="str">
        <f>_xlfn.XLOOKUP(ocupacao[[#This Row],[EspecialidadeID]],especialidades!$A:$A,especialidades!$B:$B,"",0)</f>
        <v>CLINICA GERAL</v>
      </c>
      <c r="P1269" s="1" t="str">
        <f>TEXT(WEEKDAY(ocupacao[[#This Row],[Data]]),"ddd")</f>
        <v>sáb</v>
      </c>
      <c r="Q1269" s="1">
        <f t="shared" si="19"/>
        <v>0</v>
      </c>
    </row>
    <row r="1270" spans="1:17" x14ac:dyDescent="0.25">
      <c r="A1270" s="2">
        <v>44744</v>
      </c>
      <c r="B1270">
        <v>0</v>
      </c>
      <c r="C1270">
        <v>9</v>
      </c>
      <c r="D1270">
        <v>345</v>
      </c>
      <c r="E1270">
        <v>66</v>
      </c>
      <c r="F1270" s="1" t="s">
        <v>89</v>
      </c>
      <c r="G1270">
        <v>0</v>
      </c>
      <c r="H1270">
        <v>0</v>
      </c>
      <c r="I1270">
        <v>72</v>
      </c>
      <c r="J1270">
        <v>72</v>
      </c>
      <c r="K1270" s="33">
        <v>0</v>
      </c>
      <c r="L1270" s="1"/>
      <c r="M1270" s="1" t="str">
        <f>_xlfn.XLOOKUP(ocupacao[[#This Row],[UnidadeID]],unidades!$A:$A,unidades!$B:$B,"",0)</f>
        <v>Matriz</v>
      </c>
      <c r="N1270" s="1" t="str">
        <f>_xlfn.XLOOKUP(ocupacao[[#This Row],[UnidadeID]],unidades!$A:$A,unidades!$C:$C,"",0)</f>
        <v>Nova Iguaçu</v>
      </c>
      <c r="O1270" s="1" t="str">
        <f>_xlfn.XLOOKUP(ocupacao[[#This Row],[EspecialidadeID]],especialidades!$A:$A,especialidades!$B:$B,"",0)</f>
        <v>CLINICA GERAL</v>
      </c>
      <c r="P1270" s="1" t="str">
        <f>TEXT(WEEKDAY(ocupacao[[#This Row],[Data]]),"ddd")</f>
        <v>sáb</v>
      </c>
      <c r="Q1270" s="1">
        <f t="shared" si="19"/>
        <v>0</v>
      </c>
    </row>
    <row r="1271" spans="1:17" x14ac:dyDescent="0.25">
      <c r="A1271" s="2">
        <v>44744</v>
      </c>
      <c r="B1271">
        <v>18</v>
      </c>
      <c r="C1271">
        <v>9</v>
      </c>
      <c r="D1271">
        <v>79</v>
      </c>
      <c r="E1271">
        <v>9207</v>
      </c>
      <c r="F1271" s="1" t="s">
        <v>118</v>
      </c>
      <c r="G1271">
        <v>0</v>
      </c>
      <c r="H1271">
        <v>0</v>
      </c>
      <c r="I1271">
        <v>72</v>
      </c>
      <c r="J1271">
        <v>72</v>
      </c>
      <c r="K1271" s="33">
        <v>0</v>
      </c>
      <c r="L1271" s="1"/>
      <c r="M1271" s="1" t="str">
        <f>_xlfn.XLOOKUP(ocupacao[[#This Row],[UnidadeID]],unidades!$A:$A,unidades!$B:$B,"",0)</f>
        <v>Miguel Couto</v>
      </c>
      <c r="N1271" s="1" t="str">
        <f>_xlfn.XLOOKUP(ocupacao[[#This Row],[UnidadeID]],unidades!$A:$A,unidades!$C:$C,"",0)</f>
        <v>Miguel Couto</v>
      </c>
      <c r="O1271" s="1" t="str">
        <f>_xlfn.XLOOKUP(ocupacao[[#This Row],[EspecialidadeID]],especialidades!$A:$A,especialidades!$B:$B,"",0)</f>
        <v>CLINICA GERAL</v>
      </c>
      <c r="P1271" s="1" t="str">
        <f>TEXT(WEEKDAY(ocupacao[[#This Row],[Data]]),"ddd")</f>
        <v>sáb</v>
      </c>
      <c r="Q1271" s="1">
        <f t="shared" si="19"/>
        <v>0</v>
      </c>
    </row>
    <row r="1272" spans="1:17" x14ac:dyDescent="0.25">
      <c r="A1272" s="2">
        <v>44744</v>
      </c>
      <c r="B1272">
        <v>24</v>
      </c>
      <c r="C1272">
        <v>9</v>
      </c>
      <c r="D1272">
        <v>61</v>
      </c>
      <c r="E1272">
        <v>9654</v>
      </c>
      <c r="F1272" s="1" t="s">
        <v>139</v>
      </c>
      <c r="G1272">
        <v>0</v>
      </c>
      <c r="H1272">
        <v>0</v>
      </c>
      <c r="I1272">
        <v>72</v>
      </c>
      <c r="J1272">
        <v>72</v>
      </c>
      <c r="K1272" s="33">
        <v>0</v>
      </c>
      <c r="L1272" s="1"/>
      <c r="M1272" s="1" t="str">
        <f>_xlfn.XLOOKUP(ocupacao[[#This Row],[UnidadeID]],unidades!$A:$A,unidades!$B:$B,"",0)</f>
        <v>Nilópolis</v>
      </c>
      <c r="N1272" s="1" t="str">
        <f>_xlfn.XLOOKUP(ocupacao[[#This Row],[UnidadeID]],unidades!$A:$A,unidades!$C:$C,"",0)</f>
        <v>Nilópolis</v>
      </c>
      <c r="O1272" s="1" t="str">
        <f>_xlfn.XLOOKUP(ocupacao[[#This Row],[EspecialidadeID]],especialidades!$A:$A,especialidades!$B:$B,"",0)</f>
        <v>CLINICA GERAL</v>
      </c>
      <c r="P1272" s="1" t="str">
        <f>TEXT(WEEKDAY(ocupacao[[#This Row],[Data]]),"ddd")</f>
        <v>sáb</v>
      </c>
      <c r="Q1272" s="1">
        <f t="shared" si="19"/>
        <v>0</v>
      </c>
    </row>
    <row r="1273" spans="1:17" hidden="1" x14ac:dyDescent="0.25">
      <c r="A1273" s="2">
        <v>44744</v>
      </c>
      <c r="B1273">
        <v>0</v>
      </c>
      <c r="C1273">
        <v>9</v>
      </c>
      <c r="D1273">
        <v>339</v>
      </c>
      <c r="E1273">
        <v>11634</v>
      </c>
      <c r="F1273" s="1" t="s">
        <v>102</v>
      </c>
      <c r="G1273">
        <v>0</v>
      </c>
      <c r="H1273">
        <v>0</v>
      </c>
      <c r="I1273">
        <v>72</v>
      </c>
      <c r="J1273">
        <v>72</v>
      </c>
      <c r="K1273" s="33">
        <v>0</v>
      </c>
      <c r="L1273" s="1"/>
      <c r="M1273" s="1"/>
      <c r="N1273" s="1"/>
      <c r="O1273" s="1"/>
      <c r="P1273" s="1"/>
      <c r="Q1273" s="1"/>
    </row>
    <row r="1274" spans="1:17" x14ac:dyDescent="0.25">
      <c r="A1274" s="2">
        <v>44744</v>
      </c>
      <c r="B1274">
        <v>33</v>
      </c>
      <c r="C1274">
        <v>9</v>
      </c>
      <c r="D1274">
        <v>368</v>
      </c>
      <c r="E1274">
        <v>13660</v>
      </c>
      <c r="F1274" s="1" t="s">
        <v>112</v>
      </c>
      <c r="G1274">
        <v>0</v>
      </c>
      <c r="H1274">
        <v>0</v>
      </c>
      <c r="I1274">
        <v>41</v>
      </c>
      <c r="J1274">
        <v>41</v>
      </c>
      <c r="K1274" s="33">
        <v>0</v>
      </c>
      <c r="L1274" s="1"/>
      <c r="M1274" s="1" t="str">
        <f>_xlfn.XLOOKUP(ocupacao[[#This Row],[UnidadeID]],unidades!$A:$A,unidades!$B:$B,"",0)</f>
        <v>Seggastro</v>
      </c>
      <c r="N1274" s="1" t="str">
        <f>_xlfn.XLOOKUP(ocupacao[[#This Row],[UnidadeID]],unidades!$A:$A,unidades!$C:$C,"",0)</f>
        <v>Nova Iguaçu</v>
      </c>
      <c r="O1274" s="1" t="str">
        <f>_xlfn.XLOOKUP(ocupacao[[#This Row],[EspecialidadeID]],especialidades!$A:$A,especialidades!$B:$B,"",0)</f>
        <v>CLINICA GERAL</v>
      </c>
      <c r="P1274" s="1" t="str">
        <f>TEXT(WEEKDAY(ocupacao[[#This Row],[Data]]),"ddd")</f>
        <v>sáb</v>
      </c>
      <c r="Q1274" s="1">
        <f t="shared" si="19"/>
        <v>0</v>
      </c>
    </row>
    <row r="1275" spans="1:17" x14ac:dyDescent="0.25">
      <c r="A1275" s="2">
        <v>44744</v>
      </c>
      <c r="B1275">
        <v>34</v>
      </c>
      <c r="C1275">
        <v>9</v>
      </c>
      <c r="D1275">
        <v>369</v>
      </c>
      <c r="E1275">
        <v>17861</v>
      </c>
      <c r="F1275" s="1" t="s">
        <v>309</v>
      </c>
      <c r="G1275">
        <v>0</v>
      </c>
      <c r="H1275">
        <v>0</v>
      </c>
      <c r="I1275">
        <v>72</v>
      </c>
      <c r="J1275">
        <v>72</v>
      </c>
      <c r="K1275" s="33">
        <v>0</v>
      </c>
      <c r="L1275" s="1"/>
      <c r="M1275" s="1" t="str">
        <f>_xlfn.XLOOKUP(ocupacao[[#This Row],[UnidadeID]],unidades!$A:$A,unidades!$B:$B,"",0)</f>
        <v>São João</v>
      </c>
      <c r="N1275" s="1" t="str">
        <f>_xlfn.XLOOKUP(ocupacao[[#This Row],[UnidadeID]],unidades!$A:$A,unidades!$C:$C,"",0)</f>
        <v>São João de Meriti</v>
      </c>
      <c r="O1275" s="1" t="str">
        <f>_xlfn.XLOOKUP(ocupacao[[#This Row],[EspecialidadeID]],especialidades!$A:$A,especialidades!$B:$B,"",0)</f>
        <v>CLINICA GERAL</v>
      </c>
      <c r="P1275" s="1" t="str">
        <f>TEXT(WEEKDAY(ocupacao[[#This Row],[Data]]),"ddd")</f>
        <v>sáb</v>
      </c>
      <c r="Q1275" s="1">
        <f t="shared" si="19"/>
        <v>0</v>
      </c>
    </row>
    <row r="1276" spans="1:17" x14ac:dyDescent="0.25">
      <c r="A1276" s="2">
        <v>44744</v>
      </c>
      <c r="B1276">
        <v>0</v>
      </c>
      <c r="C1276">
        <v>9</v>
      </c>
      <c r="D1276">
        <v>346</v>
      </c>
      <c r="E1276">
        <v>17940</v>
      </c>
      <c r="F1276" s="1" t="s">
        <v>362</v>
      </c>
      <c r="G1276">
        <v>0</v>
      </c>
      <c r="H1276">
        <v>0</v>
      </c>
      <c r="I1276">
        <v>96</v>
      </c>
      <c r="J1276">
        <v>96</v>
      </c>
      <c r="K1276" s="33">
        <v>0</v>
      </c>
      <c r="L1276" s="1"/>
      <c r="M1276" s="1" t="str">
        <f>_xlfn.XLOOKUP(ocupacao[[#This Row],[UnidadeID]],unidades!$A:$A,unidades!$B:$B,"",0)</f>
        <v>Matriz</v>
      </c>
      <c r="N1276" s="1" t="str">
        <f>_xlfn.XLOOKUP(ocupacao[[#This Row],[UnidadeID]],unidades!$A:$A,unidades!$C:$C,"",0)</f>
        <v>Nova Iguaçu</v>
      </c>
      <c r="O1276" s="1" t="str">
        <f>_xlfn.XLOOKUP(ocupacao[[#This Row],[EspecialidadeID]],especialidades!$A:$A,especialidades!$B:$B,"",0)</f>
        <v>CLINICA GERAL</v>
      </c>
      <c r="P1276" s="1" t="str">
        <f>TEXT(WEEKDAY(ocupacao[[#This Row],[Data]]),"ddd")</f>
        <v>sáb</v>
      </c>
      <c r="Q1276" s="1">
        <f t="shared" si="19"/>
        <v>0</v>
      </c>
    </row>
    <row r="1277" spans="1:17" x14ac:dyDescent="0.25">
      <c r="A1277" s="2">
        <v>44745</v>
      </c>
      <c r="B1277">
        <v>0</v>
      </c>
      <c r="C1277">
        <v>9</v>
      </c>
      <c r="D1277">
        <v>339</v>
      </c>
      <c r="E1277">
        <v>9654</v>
      </c>
      <c r="F1277" s="1" t="s">
        <v>139</v>
      </c>
      <c r="G1277">
        <v>0</v>
      </c>
      <c r="H1277">
        <v>0</v>
      </c>
      <c r="I1277">
        <v>72</v>
      </c>
      <c r="J1277">
        <v>72</v>
      </c>
      <c r="K1277" s="33">
        <v>0</v>
      </c>
      <c r="L1277" s="1"/>
      <c r="M1277" s="1" t="str">
        <f>_xlfn.XLOOKUP(ocupacao[[#This Row],[UnidadeID]],unidades!$A:$A,unidades!$B:$B,"",0)</f>
        <v>Matriz</v>
      </c>
      <c r="N1277" s="1" t="str">
        <f>_xlfn.XLOOKUP(ocupacao[[#This Row],[UnidadeID]],unidades!$A:$A,unidades!$C:$C,"",0)</f>
        <v>Nova Iguaçu</v>
      </c>
      <c r="O1277" s="1" t="str">
        <f>_xlfn.XLOOKUP(ocupacao[[#This Row],[EspecialidadeID]],especialidades!$A:$A,especialidades!$B:$B,"",0)</f>
        <v>CLINICA GERAL</v>
      </c>
      <c r="P1277" s="1" t="str">
        <f>TEXT(WEEKDAY(ocupacao[[#This Row],[Data]]),"ddd")</f>
        <v>dom</v>
      </c>
      <c r="Q1277" s="1">
        <f t="shared" si="19"/>
        <v>0</v>
      </c>
    </row>
    <row r="1278" spans="1:17" x14ac:dyDescent="0.25">
      <c r="A1278" s="2">
        <v>44746</v>
      </c>
      <c r="B1278">
        <v>0</v>
      </c>
      <c r="C1278">
        <v>9</v>
      </c>
      <c r="D1278">
        <v>345</v>
      </c>
      <c r="E1278">
        <v>66</v>
      </c>
      <c r="F1278" s="1" t="s">
        <v>89</v>
      </c>
      <c r="G1278">
        <v>0</v>
      </c>
      <c r="H1278">
        <v>0</v>
      </c>
      <c r="I1278">
        <v>60</v>
      </c>
      <c r="J1278">
        <v>60</v>
      </c>
      <c r="K1278" s="33">
        <v>0</v>
      </c>
      <c r="L1278" s="1"/>
      <c r="M1278" s="1" t="str">
        <f>_xlfn.XLOOKUP(ocupacao[[#This Row],[UnidadeID]],unidades!$A:$A,unidades!$B:$B,"",0)</f>
        <v>Matriz</v>
      </c>
      <c r="N1278" s="1" t="str">
        <f>_xlfn.XLOOKUP(ocupacao[[#This Row],[UnidadeID]],unidades!$A:$A,unidades!$C:$C,"",0)</f>
        <v>Nova Iguaçu</v>
      </c>
      <c r="O1278" s="1" t="str">
        <f>_xlfn.XLOOKUP(ocupacao[[#This Row],[EspecialidadeID]],especialidades!$A:$A,especialidades!$B:$B,"",0)</f>
        <v>CLINICA GERAL</v>
      </c>
      <c r="P1278" s="1" t="str">
        <f>TEXT(WEEKDAY(ocupacao[[#This Row],[Data]]),"ddd")</f>
        <v>seg</v>
      </c>
      <c r="Q1278" s="1">
        <f t="shared" si="19"/>
        <v>0</v>
      </c>
    </row>
    <row r="1279" spans="1:17" x14ac:dyDescent="0.25">
      <c r="A1279" s="2">
        <v>44746</v>
      </c>
      <c r="B1279">
        <v>18</v>
      </c>
      <c r="C1279">
        <v>9</v>
      </c>
      <c r="D1279">
        <v>79</v>
      </c>
      <c r="E1279">
        <v>9207</v>
      </c>
      <c r="F1279" s="1" t="s">
        <v>118</v>
      </c>
      <c r="G1279">
        <v>12</v>
      </c>
      <c r="H1279">
        <v>0</v>
      </c>
      <c r="I1279">
        <v>108</v>
      </c>
      <c r="J1279">
        <v>120</v>
      </c>
      <c r="K1279" s="33">
        <v>0.1</v>
      </c>
      <c r="L1279" s="1"/>
      <c r="M1279" s="1" t="str">
        <f>_xlfn.XLOOKUP(ocupacao[[#This Row],[UnidadeID]],unidades!$A:$A,unidades!$B:$B,"",0)</f>
        <v>Miguel Couto</v>
      </c>
      <c r="N1279" s="1" t="str">
        <f>_xlfn.XLOOKUP(ocupacao[[#This Row],[UnidadeID]],unidades!$A:$A,unidades!$C:$C,"",0)</f>
        <v>Miguel Couto</v>
      </c>
      <c r="O1279" s="1" t="str">
        <f>_xlfn.XLOOKUP(ocupacao[[#This Row],[EspecialidadeID]],especialidades!$A:$A,especialidades!$B:$B,"",0)</f>
        <v>CLINICA GERAL</v>
      </c>
      <c r="P1279" s="1" t="str">
        <f>TEXT(WEEKDAY(ocupacao[[#This Row],[Data]]),"ddd")</f>
        <v>seg</v>
      </c>
      <c r="Q1279" s="1">
        <f t="shared" si="19"/>
        <v>0</v>
      </c>
    </row>
    <row r="1280" spans="1:17" x14ac:dyDescent="0.25">
      <c r="A1280" s="2">
        <v>44746</v>
      </c>
      <c r="B1280">
        <v>0</v>
      </c>
      <c r="C1280">
        <v>9</v>
      </c>
      <c r="D1280">
        <v>346</v>
      </c>
      <c r="E1280">
        <v>11634</v>
      </c>
      <c r="F1280" s="1" t="s">
        <v>102</v>
      </c>
      <c r="G1280">
        <v>0</v>
      </c>
      <c r="H1280">
        <v>0</v>
      </c>
      <c r="I1280">
        <v>156</v>
      </c>
      <c r="J1280">
        <v>156</v>
      </c>
      <c r="K1280" s="33">
        <v>0</v>
      </c>
      <c r="L1280" s="1"/>
      <c r="M1280" s="1" t="str">
        <f>_xlfn.XLOOKUP(ocupacao[[#This Row],[UnidadeID]],unidades!$A:$A,unidades!$B:$B,"",0)</f>
        <v>Matriz</v>
      </c>
      <c r="N1280" s="1" t="str">
        <f>_xlfn.XLOOKUP(ocupacao[[#This Row],[UnidadeID]],unidades!$A:$A,unidades!$C:$C,"",0)</f>
        <v>Nova Iguaçu</v>
      </c>
      <c r="O1280" s="1" t="str">
        <f>_xlfn.XLOOKUP(ocupacao[[#This Row],[EspecialidadeID]],especialidades!$A:$A,especialidades!$B:$B,"",0)</f>
        <v>CLINICA GERAL</v>
      </c>
      <c r="P1280" s="1" t="str">
        <f>TEXT(WEEKDAY(ocupacao[[#This Row],[Data]]),"ddd")</f>
        <v>seg</v>
      </c>
      <c r="Q1280" s="1">
        <f t="shared" si="19"/>
        <v>0</v>
      </c>
    </row>
    <row r="1281" spans="1:17" x14ac:dyDescent="0.25">
      <c r="A1281" s="2">
        <v>44746</v>
      </c>
      <c r="B1281">
        <v>0</v>
      </c>
      <c r="C1281">
        <v>9</v>
      </c>
      <c r="D1281">
        <v>341</v>
      </c>
      <c r="E1281">
        <v>12482</v>
      </c>
      <c r="F1281" s="1" t="s">
        <v>97</v>
      </c>
      <c r="G1281">
        <v>0</v>
      </c>
      <c r="H1281">
        <v>0</v>
      </c>
      <c r="I1281">
        <v>60</v>
      </c>
      <c r="J1281">
        <v>60</v>
      </c>
      <c r="K1281" s="33">
        <v>0</v>
      </c>
      <c r="L1281" s="1"/>
      <c r="M1281" s="1" t="str">
        <f>_xlfn.XLOOKUP(ocupacao[[#This Row],[UnidadeID]],unidades!$A:$A,unidades!$B:$B,"",0)</f>
        <v>Matriz</v>
      </c>
      <c r="N1281" s="1" t="str">
        <f>_xlfn.XLOOKUP(ocupacao[[#This Row],[UnidadeID]],unidades!$A:$A,unidades!$C:$C,"",0)</f>
        <v>Nova Iguaçu</v>
      </c>
      <c r="O1281" s="1" t="str">
        <f>_xlfn.XLOOKUP(ocupacao[[#This Row],[EspecialidadeID]],especialidades!$A:$A,especialidades!$B:$B,"",0)</f>
        <v>CLINICA GERAL</v>
      </c>
      <c r="P1281" s="1" t="str">
        <f>TEXT(WEEKDAY(ocupacao[[#This Row],[Data]]),"ddd")</f>
        <v>seg</v>
      </c>
      <c r="Q1281" s="1">
        <f t="shared" si="19"/>
        <v>0</v>
      </c>
    </row>
    <row r="1282" spans="1:17" x14ac:dyDescent="0.25">
      <c r="A1282" s="2">
        <v>44746</v>
      </c>
      <c r="B1282">
        <v>24</v>
      </c>
      <c r="C1282">
        <v>9</v>
      </c>
      <c r="D1282">
        <v>61</v>
      </c>
      <c r="E1282">
        <v>13220</v>
      </c>
      <c r="F1282" s="1" t="s">
        <v>344</v>
      </c>
      <c r="G1282">
        <v>0</v>
      </c>
      <c r="H1282">
        <v>0</v>
      </c>
      <c r="I1282">
        <v>120</v>
      </c>
      <c r="J1282">
        <v>120</v>
      </c>
      <c r="K1282" s="33">
        <v>0</v>
      </c>
      <c r="L1282" s="1"/>
      <c r="M1282" s="1" t="str">
        <f>_xlfn.XLOOKUP(ocupacao[[#This Row],[UnidadeID]],unidades!$A:$A,unidades!$B:$B,"",0)</f>
        <v>Nilópolis</v>
      </c>
      <c r="N1282" s="1" t="str">
        <f>_xlfn.XLOOKUP(ocupacao[[#This Row],[UnidadeID]],unidades!$A:$A,unidades!$C:$C,"",0)</f>
        <v>Nilópolis</v>
      </c>
      <c r="O1282" s="1" t="str">
        <f>_xlfn.XLOOKUP(ocupacao[[#This Row],[EspecialidadeID]],especialidades!$A:$A,especialidades!$B:$B,"",0)</f>
        <v>CLINICA GERAL</v>
      </c>
      <c r="P1282" s="1" t="str">
        <f>TEXT(WEEKDAY(ocupacao[[#This Row],[Data]]),"ddd")</f>
        <v>seg</v>
      </c>
      <c r="Q1282" s="1">
        <f t="shared" ref="Q1282:Q1345" si="20">IF(F1282=F1283,1,0)</f>
        <v>0</v>
      </c>
    </row>
    <row r="1283" spans="1:17" x14ac:dyDescent="0.25">
      <c r="A1283" s="2">
        <v>44746</v>
      </c>
      <c r="B1283">
        <v>33</v>
      </c>
      <c r="C1283">
        <v>9</v>
      </c>
      <c r="D1283">
        <v>368</v>
      </c>
      <c r="E1283">
        <v>13660</v>
      </c>
      <c r="F1283" s="1" t="s">
        <v>112</v>
      </c>
      <c r="G1283">
        <v>0</v>
      </c>
      <c r="H1283">
        <v>0</v>
      </c>
      <c r="I1283">
        <v>41</v>
      </c>
      <c r="J1283">
        <v>41</v>
      </c>
      <c r="K1283" s="33">
        <v>0</v>
      </c>
      <c r="L1283" s="1"/>
      <c r="M1283" s="1" t="str">
        <f>_xlfn.XLOOKUP(ocupacao[[#This Row],[UnidadeID]],unidades!$A:$A,unidades!$B:$B,"",0)</f>
        <v>Seggastro</v>
      </c>
      <c r="N1283" s="1" t="str">
        <f>_xlfn.XLOOKUP(ocupacao[[#This Row],[UnidadeID]],unidades!$A:$A,unidades!$C:$C,"",0)</f>
        <v>Nova Iguaçu</v>
      </c>
      <c r="O1283" s="1" t="str">
        <f>_xlfn.XLOOKUP(ocupacao[[#This Row],[EspecialidadeID]],especialidades!$A:$A,especialidades!$B:$B,"",0)</f>
        <v>CLINICA GERAL</v>
      </c>
      <c r="P1283" s="1" t="str">
        <f>TEXT(WEEKDAY(ocupacao[[#This Row],[Data]]),"ddd")</f>
        <v>seg</v>
      </c>
      <c r="Q1283" s="1">
        <f t="shared" si="20"/>
        <v>0</v>
      </c>
    </row>
    <row r="1284" spans="1:17" x14ac:dyDescent="0.25">
      <c r="A1284" s="2">
        <v>44746</v>
      </c>
      <c r="B1284">
        <v>0</v>
      </c>
      <c r="C1284">
        <v>9</v>
      </c>
      <c r="D1284">
        <v>339</v>
      </c>
      <c r="E1284">
        <v>13992</v>
      </c>
      <c r="F1284" s="1" t="s">
        <v>346</v>
      </c>
      <c r="G1284">
        <v>0</v>
      </c>
      <c r="H1284">
        <v>0</v>
      </c>
      <c r="I1284">
        <v>120</v>
      </c>
      <c r="J1284">
        <v>120</v>
      </c>
      <c r="K1284" s="33">
        <v>0</v>
      </c>
      <c r="L1284" s="1"/>
      <c r="M1284" s="1" t="str">
        <f>_xlfn.XLOOKUP(ocupacao[[#This Row],[UnidadeID]],unidades!$A:$A,unidades!$B:$B,"",0)</f>
        <v>Matriz</v>
      </c>
      <c r="N1284" s="1" t="str">
        <f>_xlfn.XLOOKUP(ocupacao[[#This Row],[UnidadeID]],unidades!$A:$A,unidades!$C:$C,"",0)</f>
        <v>Nova Iguaçu</v>
      </c>
      <c r="O1284" s="1" t="str">
        <f>_xlfn.XLOOKUP(ocupacao[[#This Row],[EspecialidadeID]],especialidades!$A:$A,especialidades!$B:$B,"",0)</f>
        <v>CLINICA GERAL</v>
      </c>
      <c r="P1284" s="1" t="str">
        <f>TEXT(WEEKDAY(ocupacao[[#This Row],[Data]]),"ddd")</f>
        <v>seg</v>
      </c>
      <c r="Q1284" s="1">
        <f t="shared" si="20"/>
        <v>0</v>
      </c>
    </row>
    <row r="1285" spans="1:17" hidden="1" x14ac:dyDescent="0.25">
      <c r="A1285" s="2">
        <v>44746</v>
      </c>
      <c r="B1285">
        <v>34</v>
      </c>
      <c r="C1285">
        <v>9</v>
      </c>
      <c r="D1285">
        <v>369</v>
      </c>
      <c r="E1285">
        <v>17936</v>
      </c>
      <c r="F1285" s="1" t="s">
        <v>347</v>
      </c>
      <c r="G1285">
        <v>0</v>
      </c>
      <c r="H1285">
        <v>0</v>
      </c>
      <c r="I1285">
        <v>120</v>
      </c>
      <c r="J1285">
        <v>120</v>
      </c>
      <c r="K1285" s="33">
        <v>0</v>
      </c>
      <c r="L1285" s="1"/>
      <c r="M1285" s="1"/>
      <c r="N1285" s="1"/>
      <c r="O1285" s="1"/>
      <c r="P1285" s="1"/>
      <c r="Q1285" s="1"/>
    </row>
    <row r="1286" spans="1:17" x14ac:dyDescent="0.25">
      <c r="A1286" s="2">
        <v>44747</v>
      </c>
      <c r="B1286">
        <v>0</v>
      </c>
      <c r="C1286">
        <v>9</v>
      </c>
      <c r="D1286">
        <v>345</v>
      </c>
      <c r="E1286">
        <v>66</v>
      </c>
      <c r="F1286" s="1" t="s">
        <v>89</v>
      </c>
      <c r="G1286">
        <v>0</v>
      </c>
      <c r="H1286">
        <v>0</v>
      </c>
      <c r="I1286">
        <v>120</v>
      </c>
      <c r="J1286">
        <v>120</v>
      </c>
      <c r="K1286" s="33">
        <v>0</v>
      </c>
      <c r="L1286" s="1"/>
      <c r="M1286" s="1" t="str">
        <f>_xlfn.XLOOKUP(ocupacao[[#This Row],[UnidadeID]],unidades!$A:$A,unidades!$B:$B,"",0)</f>
        <v>Matriz</v>
      </c>
      <c r="N1286" s="1" t="str">
        <f>_xlfn.XLOOKUP(ocupacao[[#This Row],[UnidadeID]],unidades!$A:$A,unidades!$C:$C,"",0)</f>
        <v>Nova Iguaçu</v>
      </c>
      <c r="O1286" s="1" t="str">
        <f>_xlfn.XLOOKUP(ocupacao[[#This Row],[EspecialidadeID]],especialidades!$A:$A,especialidades!$B:$B,"",0)</f>
        <v>CLINICA GERAL</v>
      </c>
      <c r="P1286" s="1" t="str">
        <f>TEXT(WEEKDAY(ocupacao[[#This Row],[Data]]),"ddd")</f>
        <v>ter</v>
      </c>
      <c r="Q1286" s="1">
        <f t="shared" si="20"/>
        <v>0</v>
      </c>
    </row>
    <row r="1287" spans="1:17" hidden="1" x14ac:dyDescent="0.25">
      <c r="A1287" s="2">
        <v>44747</v>
      </c>
      <c r="B1287">
        <v>0</v>
      </c>
      <c r="C1287">
        <v>9</v>
      </c>
      <c r="D1287">
        <v>346</v>
      </c>
      <c r="E1287">
        <v>11634</v>
      </c>
      <c r="F1287" s="1" t="s">
        <v>102</v>
      </c>
      <c r="G1287">
        <v>0</v>
      </c>
      <c r="H1287">
        <v>0</v>
      </c>
      <c r="I1287">
        <v>144</v>
      </c>
      <c r="J1287">
        <v>144</v>
      </c>
      <c r="K1287" s="33">
        <v>0</v>
      </c>
      <c r="L1287" s="1"/>
      <c r="M1287" s="1"/>
      <c r="N1287" s="1"/>
      <c r="O1287" s="1"/>
      <c r="P1287" s="1"/>
      <c r="Q1287" s="1"/>
    </row>
    <row r="1288" spans="1:17" hidden="1" x14ac:dyDescent="0.25">
      <c r="A1288" s="2"/>
      <c r="F1288" s="1"/>
      <c r="K1288" s="33"/>
      <c r="L1288" s="1"/>
      <c r="M1288" s="1"/>
      <c r="N1288" s="1"/>
      <c r="O1288" s="1"/>
      <c r="P1288" s="1"/>
      <c r="Q1288" s="1"/>
    </row>
    <row r="1289" spans="1:17" x14ac:dyDescent="0.25">
      <c r="A1289" s="2">
        <v>44747</v>
      </c>
      <c r="B1289">
        <v>18</v>
      </c>
      <c r="C1289">
        <v>9</v>
      </c>
      <c r="D1289">
        <v>79</v>
      </c>
      <c r="E1289">
        <v>13295</v>
      </c>
      <c r="F1289" s="1" t="s">
        <v>98</v>
      </c>
      <c r="G1289">
        <v>0</v>
      </c>
      <c r="H1289">
        <v>0</v>
      </c>
      <c r="I1289">
        <v>60</v>
      </c>
      <c r="J1289">
        <v>60</v>
      </c>
      <c r="K1289" s="33">
        <v>0</v>
      </c>
      <c r="L1289" s="1"/>
      <c r="M1289" s="1" t="str">
        <f>_xlfn.XLOOKUP(ocupacao[[#This Row],[UnidadeID]],unidades!$A:$A,unidades!$B:$B,"",0)</f>
        <v>Miguel Couto</v>
      </c>
      <c r="N1289" s="1" t="str">
        <f>_xlfn.XLOOKUP(ocupacao[[#This Row],[UnidadeID]],unidades!$A:$A,unidades!$C:$C,"",0)</f>
        <v>Miguel Couto</v>
      </c>
      <c r="O1289" s="1" t="str">
        <f>_xlfn.XLOOKUP(ocupacao[[#This Row],[EspecialidadeID]],especialidades!$A:$A,especialidades!$B:$B,"",0)</f>
        <v>CLINICA GERAL</v>
      </c>
      <c r="P1289" s="1" t="str">
        <f>TEXT(WEEKDAY(ocupacao[[#This Row],[Data]]),"ddd")</f>
        <v>ter</v>
      </c>
      <c r="Q1289" s="1">
        <f t="shared" si="20"/>
        <v>0</v>
      </c>
    </row>
    <row r="1290" spans="1:17" x14ac:dyDescent="0.25">
      <c r="A1290" s="2">
        <v>44747</v>
      </c>
      <c r="B1290">
        <v>0</v>
      </c>
      <c r="C1290">
        <v>9</v>
      </c>
      <c r="D1290">
        <v>339</v>
      </c>
      <c r="E1290">
        <v>13479</v>
      </c>
      <c r="F1290" s="1" t="s">
        <v>103</v>
      </c>
      <c r="G1290">
        <v>0</v>
      </c>
      <c r="H1290">
        <v>0</v>
      </c>
      <c r="I1290">
        <v>132</v>
      </c>
      <c r="J1290">
        <v>132</v>
      </c>
      <c r="K1290" s="33">
        <v>0</v>
      </c>
      <c r="L1290" s="1"/>
      <c r="M1290" s="1" t="str">
        <f>_xlfn.XLOOKUP(ocupacao[[#This Row],[UnidadeID]],unidades!$A:$A,unidades!$B:$B,"",0)</f>
        <v>Matriz</v>
      </c>
      <c r="N1290" s="1" t="str">
        <f>_xlfn.XLOOKUP(ocupacao[[#This Row],[UnidadeID]],unidades!$A:$A,unidades!$C:$C,"",0)</f>
        <v>Nova Iguaçu</v>
      </c>
      <c r="O1290" s="1" t="str">
        <f>_xlfn.XLOOKUP(ocupacao[[#This Row],[EspecialidadeID]],especialidades!$A:$A,especialidades!$B:$B,"",0)</f>
        <v>CLINICA GERAL</v>
      </c>
      <c r="P1290" s="1" t="str">
        <f>TEXT(WEEKDAY(ocupacao[[#This Row],[Data]]),"ddd")</f>
        <v>ter</v>
      </c>
      <c r="Q1290" s="1">
        <f t="shared" si="20"/>
        <v>0</v>
      </c>
    </row>
    <row r="1291" spans="1:17" x14ac:dyDescent="0.25">
      <c r="A1291" s="2">
        <v>44747</v>
      </c>
      <c r="B1291">
        <v>33</v>
      </c>
      <c r="C1291">
        <v>9</v>
      </c>
      <c r="D1291">
        <v>368</v>
      </c>
      <c r="E1291">
        <v>13660</v>
      </c>
      <c r="F1291" s="1" t="s">
        <v>112</v>
      </c>
      <c r="G1291">
        <v>0</v>
      </c>
      <c r="H1291">
        <v>0</v>
      </c>
      <c r="I1291">
        <v>41</v>
      </c>
      <c r="J1291">
        <v>41</v>
      </c>
      <c r="K1291" s="33">
        <v>0</v>
      </c>
      <c r="L1291" s="1"/>
      <c r="M1291" s="1" t="str">
        <f>_xlfn.XLOOKUP(ocupacao[[#This Row],[UnidadeID]],unidades!$A:$A,unidades!$B:$B,"",0)</f>
        <v>Seggastro</v>
      </c>
      <c r="N1291" s="1" t="str">
        <f>_xlfn.XLOOKUP(ocupacao[[#This Row],[UnidadeID]],unidades!$A:$A,unidades!$C:$C,"",0)</f>
        <v>Nova Iguaçu</v>
      </c>
      <c r="O1291" s="1" t="str">
        <f>_xlfn.XLOOKUP(ocupacao[[#This Row],[EspecialidadeID]],especialidades!$A:$A,especialidades!$B:$B,"",0)</f>
        <v>CLINICA GERAL</v>
      </c>
      <c r="P1291" s="1" t="str">
        <f>TEXT(WEEKDAY(ocupacao[[#This Row],[Data]]),"ddd")</f>
        <v>ter</v>
      </c>
      <c r="Q1291" s="1">
        <f t="shared" si="20"/>
        <v>0</v>
      </c>
    </row>
    <row r="1292" spans="1:17" x14ac:dyDescent="0.25">
      <c r="A1292" s="2">
        <v>44747</v>
      </c>
      <c r="B1292">
        <v>34</v>
      </c>
      <c r="C1292">
        <v>9</v>
      </c>
      <c r="D1292">
        <v>369</v>
      </c>
      <c r="E1292">
        <v>14461</v>
      </c>
      <c r="F1292" s="1" t="s">
        <v>306</v>
      </c>
      <c r="G1292">
        <v>0</v>
      </c>
      <c r="H1292">
        <v>0</v>
      </c>
      <c r="I1292">
        <v>120</v>
      </c>
      <c r="J1292">
        <v>120</v>
      </c>
      <c r="K1292" s="33">
        <v>0</v>
      </c>
      <c r="L1292" s="1"/>
      <c r="M1292" s="1" t="str">
        <f>_xlfn.XLOOKUP(ocupacao[[#This Row],[UnidadeID]],unidades!$A:$A,unidades!$B:$B,"",0)</f>
        <v>São João</v>
      </c>
      <c r="N1292" s="1" t="str">
        <f>_xlfn.XLOOKUP(ocupacao[[#This Row],[UnidadeID]],unidades!$A:$A,unidades!$C:$C,"",0)</f>
        <v>São João de Meriti</v>
      </c>
      <c r="O1292" s="1" t="str">
        <f>_xlfn.XLOOKUP(ocupacao[[#This Row],[EspecialidadeID]],especialidades!$A:$A,especialidades!$B:$B,"",0)</f>
        <v>CLINICA GERAL</v>
      </c>
      <c r="P1292" s="1" t="str">
        <f>TEXT(WEEKDAY(ocupacao[[#This Row],[Data]]),"ddd")</f>
        <v>ter</v>
      </c>
      <c r="Q1292" s="1">
        <f t="shared" si="20"/>
        <v>0</v>
      </c>
    </row>
    <row r="1293" spans="1:17" x14ac:dyDescent="0.25">
      <c r="A1293" s="2">
        <v>44747</v>
      </c>
      <c r="B1293">
        <v>24</v>
      </c>
      <c r="C1293">
        <v>9</v>
      </c>
      <c r="D1293">
        <v>60</v>
      </c>
      <c r="E1293">
        <v>17863</v>
      </c>
      <c r="F1293" s="1" t="s">
        <v>150</v>
      </c>
      <c r="G1293">
        <v>0</v>
      </c>
      <c r="H1293">
        <v>0</v>
      </c>
      <c r="I1293">
        <v>59</v>
      </c>
      <c r="J1293">
        <v>59</v>
      </c>
      <c r="K1293" s="33">
        <v>0</v>
      </c>
      <c r="L1293" s="1"/>
      <c r="M1293" s="1" t="str">
        <f>_xlfn.XLOOKUP(ocupacao[[#This Row],[UnidadeID]],unidades!$A:$A,unidades!$B:$B,"",0)</f>
        <v>Nilópolis</v>
      </c>
      <c r="N1293" s="1" t="str">
        <f>_xlfn.XLOOKUP(ocupacao[[#This Row],[UnidadeID]],unidades!$A:$A,unidades!$C:$C,"",0)</f>
        <v>Nilópolis</v>
      </c>
      <c r="O1293" s="1" t="str">
        <f>_xlfn.XLOOKUP(ocupacao[[#This Row],[EspecialidadeID]],especialidades!$A:$A,especialidades!$B:$B,"",0)</f>
        <v>CLINICA GERAL</v>
      </c>
      <c r="P1293" s="1" t="str">
        <f>TEXT(WEEKDAY(ocupacao[[#This Row],[Data]]),"ddd")</f>
        <v>ter</v>
      </c>
      <c r="Q1293" s="1">
        <f t="shared" si="20"/>
        <v>0</v>
      </c>
    </row>
    <row r="1294" spans="1:17" x14ac:dyDescent="0.25">
      <c r="A1294" s="2">
        <v>44748</v>
      </c>
      <c r="B1294">
        <v>0</v>
      </c>
      <c r="C1294">
        <v>9</v>
      </c>
      <c r="D1294">
        <v>345</v>
      </c>
      <c r="E1294">
        <v>66</v>
      </c>
      <c r="F1294" s="1" t="s">
        <v>89</v>
      </c>
      <c r="G1294">
        <v>0</v>
      </c>
      <c r="H1294">
        <v>0</v>
      </c>
      <c r="I1294">
        <v>77</v>
      </c>
      <c r="J1294">
        <v>77</v>
      </c>
      <c r="K1294" s="33">
        <v>0</v>
      </c>
      <c r="L1294" s="1"/>
      <c r="M1294" s="1" t="str">
        <f>_xlfn.XLOOKUP(ocupacao[[#This Row],[UnidadeID]],unidades!$A:$A,unidades!$B:$B,"",0)</f>
        <v>Matriz</v>
      </c>
      <c r="N1294" s="1" t="str">
        <f>_xlfn.XLOOKUP(ocupacao[[#This Row],[UnidadeID]],unidades!$A:$A,unidades!$C:$C,"",0)</f>
        <v>Nova Iguaçu</v>
      </c>
      <c r="O1294" s="1" t="str">
        <f>_xlfn.XLOOKUP(ocupacao[[#This Row],[EspecialidadeID]],especialidades!$A:$A,especialidades!$B:$B,"",0)</f>
        <v>CLINICA GERAL</v>
      </c>
      <c r="P1294" s="1" t="str">
        <f>TEXT(WEEKDAY(ocupacao[[#This Row],[Data]]),"ddd")</f>
        <v>qua</v>
      </c>
      <c r="Q1294" s="1">
        <f t="shared" si="20"/>
        <v>0</v>
      </c>
    </row>
    <row r="1295" spans="1:17" x14ac:dyDescent="0.25">
      <c r="A1295" s="2">
        <v>44748</v>
      </c>
      <c r="B1295">
        <v>18</v>
      </c>
      <c r="C1295">
        <v>9</v>
      </c>
      <c r="D1295">
        <v>79</v>
      </c>
      <c r="E1295">
        <v>9207</v>
      </c>
      <c r="F1295" s="1" t="s">
        <v>118</v>
      </c>
      <c r="G1295">
        <v>12</v>
      </c>
      <c r="H1295">
        <v>0</v>
      </c>
      <c r="I1295">
        <v>108</v>
      </c>
      <c r="J1295">
        <v>120</v>
      </c>
      <c r="K1295" s="33">
        <v>0.1</v>
      </c>
      <c r="L1295" s="1"/>
      <c r="M1295" s="1" t="str">
        <f>_xlfn.XLOOKUP(ocupacao[[#This Row],[UnidadeID]],unidades!$A:$A,unidades!$B:$B,"",0)</f>
        <v>Miguel Couto</v>
      </c>
      <c r="N1295" s="1" t="str">
        <f>_xlfn.XLOOKUP(ocupacao[[#This Row],[UnidadeID]],unidades!$A:$A,unidades!$C:$C,"",0)</f>
        <v>Miguel Couto</v>
      </c>
      <c r="O1295" s="1" t="str">
        <f>_xlfn.XLOOKUP(ocupacao[[#This Row],[EspecialidadeID]],especialidades!$A:$A,especialidades!$B:$B,"",0)</f>
        <v>CLINICA GERAL</v>
      </c>
      <c r="P1295" s="1" t="str">
        <f>TEXT(WEEKDAY(ocupacao[[#This Row],[Data]]),"ddd")</f>
        <v>qua</v>
      </c>
      <c r="Q1295" s="1">
        <f t="shared" si="20"/>
        <v>0</v>
      </c>
    </row>
    <row r="1296" spans="1:17" x14ac:dyDescent="0.25">
      <c r="A1296" s="2">
        <v>44748</v>
      </c>
      <c r="B1296">
        <v>24</v>
      </c>
      <c r="C1296">
        <v>9</v>
      </c>
      <c r="D1296">
        <v>61</v>
      </c>
      <c r="E1296">
        <v>9654</v>
      </c>
      <c r="F1296" s="1" t="s">
        <v>139</v>
      </c>
      <c r="G1296">
        <v>0</v>
      </c>
      <c r="H1296">
        <v>0</v>
      </c>
      <c r="I1296">
        <v>120</v>
      </c>
      <c r="J1296">
        <v>120</v>
      </c>
      <c r="K1296" s="33">
        <v>0</v>
      </c>
      <c r="L1296" s="1"/>
      <c r="M1296" s="1" t="str">
        <f>_xlfn.XLOOKUP(ocupacao[[#This Row],[UnidadeID]],unidades!$A:$A,unidades!$B:$B,"",0)</f>
        <v>Nilópolis</v>
      </c>
      <c r="N1296" s="1" t="str">
        <f>_xlfn.XLOOKUP(ocupacao[[#This Row],[UnidadeID]],unidades!$A:$A,unidades!$C:$C,"",0)</f>
        <v>Nilópolis</v>
      </c>
      <c r="O1296" s="1" t="str">
        <f>_xlfn.XLOOKUP(ocupacao[[#This Row],[EspecialidadeID]],especialidades!$A:$A,especialidades!$B:$B,"",0)</f>
        <v>CLINICA GERAL</v>
      </c>
      <c r="P1296" s="1" t="str">
        <f>TEXT(WEEKDAY(ocupacao[[#This Row],[Data]]),"ddd")</f>
        <v>qua</v>
      </c>
      <c r="Q1296" s="1">
        <f t="shared" si="20"/>
        <v>0</v>
      </c>
    </row>
    <row r="1297" spans="1:17" x14ac:dyDescent="0.25">
      <c r="A1297" s="2">
        <v>44748</v>
      </c>
      <c r="B1297">
        <v>0</v>
      </c>
      <c r="C1297">
        <v>9</v>
      </c>
      <c r="D1297">
        <v>345</v>
      </c>
      <c r="E1297">
        <v>12482</v>
      </c>
      <c r="F1297" s="1" t="s">
        <v>97</v>
      </c>
      <c r="G1297">
        <v>0</v>
      </c>
      <c r="H1297">
        <v>0</v>
      </c>
      <c r="I1297">
        <v>60</v>
      </c>
      <c r="J1297">
        <v>60</v>
      </c>
      <c r="K1297" s="33">
        <v>0</v>
      </c>
      <c r="L1297" s="1"/>
      <c r="M1297" s="1" t="str">
        <f>_xlfn.XLOOKUP(ocupacao[[#This Row],[UnidadeID]],unidades!$A:$A,unidades!$B:$B,"",0)</f>
        <v>Matriz</v>
      </c>
      <c r="N1297" s="1" t="str">
        <f>_xlfn.XLOOKUP(ocupacao[[#This Row],[UnidadeID]],unidades!$A:$A,unidades!$C:$C,"",0)</f>
        <v>Nova Iguaçu</v>
      </c>
      <c r="O1297" s="1" t="str">
        <f>_xlfn.XLOOKUP(ocupacao[[#This Row],[EspecialidadeID]],especialidades!$A:$A,especialidades!$B:$B,"",0)</f>
        <v>CLINICA GERAL</v>
      </c>
      <c r="P1297" s="1" t="str">
        <f>TEXT(WEEKDAY(ocupacao[[#This Row],[Data]]),"ddd")</f>
        <v>qua</v>
      </c>
      <c r="Q1297" s="1">
        <f t="shared" si="20"/>
        <v>0</v>
      </c>
    </row>
    <row r="1298" spans="1:17" x14ac:dyDescent="0.25">
      <c r="A1298" s="2">
        <v>44748</v>
      </c>
      <c r="B1298">
        <v>0</v>
      </c>
      <c r="C1298">
        <v>9</v>
      </c>
      <c r="D1298">
        <v>346</v>
      </c>
      <c r="E1298">
        <v>13295</v>
      </c>
      <c r="F1298" s="1" t="s">
        <v>98</v>
      </c>
      <c r="G1298">
        <v>0</v>
      </c>
      <c r="H1298">
        <v>0</v>
      </c>
      <c r="I1298">
        <v>120</v>
      </c>
      <c r="J1298">
        <v>120</v>
      </c>
      <c r="K1298" s="33">
        <v>0</v>
      </c>
      <c r="L1298" s="1"/>
      <c r="M1298" s="1" t="str">
        <f>_xlfn.XLOOKUP(ocupacao[[#This Row],[UnidadeID]],unidades!$A:$A,unidades!$B:$B,"",0)</f>
        <v>Matriz</v>
      </c>
      <c r="N1298" s="1" t="str">
        <f>_xlfn.XLOOKUP(ocupacao[[#This Row],[UnidadeID]],unidades!$A:$A,unidades!$C:$C,"",0)</f>
        <v>Nova Iguaçu</v>
      </c>
      <c r="O1298" s="1" t="str">
        <f>_xlfn.XLOOKUP(ocupacao[[#This Row],[EspecialidadeID]],especialidades!$A:$A,especialidades!$B:$B,"",0)</f>
        <v>CLINICA GERAL</v>
      </c>
      <c r="P1298" s="1" t="str">
        <f>TEXT(WEEKDAY(ocupacao[[#This Row],[Data]]),"ddd")</f>
        <v>qua</v>
      </c>
      <c r="Q1298" s="1">
        <f t="shared" si="20"/>
        <v>0</v>
      </c>
    </row>
    <row r="1299" spans="1:17" x14ac:dyDescent="0.25">
      <c r="A1299" s="2">
        <v>44748</v>
      </c>
      <c r="B1299">
        <v>0</v>
      </c>
      <c r="C1299">
        <v>9</v>
      </c>
      <c r="D1299">
        <v>339</v>
      </c>
      <c r="E1299">
        <v>13479</v>
      </c>
      <c r="F1299" s="1" t="s">
        <v>103</v>
      </c>
      <c r="G1299">
        <v>0</v>
      </c>
      <c r="H1299">
        <v>0</v>
      </c>
      <c r="I1299">
        <v>132</v>
      </c>
      <c r="J1299">
        <v>132</v>
      </c>
      <c r="K1299" s="33">
        <v>0</v>
      </c>
      <c r="L1299" s="1"/>
      <c r="M1299" s="1" t="str">
        <f>_xlfn.XLOOKUP(ocupacao[[#This Row],[UnidadeID]],unidades!$A:$A,unidades!$B:$B,"",0)</f>
        <v>Matriz</v>
      </c>
      <c r="N1299" s="1" t="str">
        <f>_xlfn.XLOOKUP(ocupacao[[#This Row],[UnidadeID]],unidades!$A:$A,unidades!$C:$C,"",0)</f>
        <v>Nova Iguaçu</v>
      </c>
      <c r="O1299" s="1" t="str">
        <f>_xlfn.XLOOKUP(ocupacao[[#This Row],[EspecialidadeID]],especialidades!$A:$A,especialidades!$B:$B,"",0)</f>
        <v>CLINICA GERAL</v>
      </c>
      <c r="P1299" s="1" t="str">
        <f>TEXT(WEEKDAY(ocupacao[[#This Row],[Data]]),"ddd")</f>
        <v>qua</v>
      </c>
      <c r="Q1299" s="1">
        <f t="shared" si="20"/>
        <v>0</v>
      </c>
    </row>
    <row r="1300" spans="1:17" hidden="1" x14ac:dyDescent="0.25">
      <c r="A1300" s="2"/>
      <c r="F1300" s="1"/>
      <c r="K1300" s="33"/>
      <c r="L1300" s="1"/>
      <c r="M1300" s="1"/>
      <c r="N1300" s="1"/>
      <c r="O1300" s="1"/>
      <c r="P1300" s="1"/>
      <c r="Q1300" s="1"/>
    </row>
    <row r="1301" spans="1:17" x14ac:dyDescent="0.25">
      <c r="A1301" s="2">
        <v>44748</v>
      </c>
      <c r="B1301">
        <v>33</v>
      </c>
      <c r="C1301">
        <v>9</v>
      </c>
      <c r="D1301">
        <v>368</v>
      </c>
      <c r="E1301">
        <v>13660</v>
      </c>
      <c r="F1301" s="1" t="s">
        <v>112</v>
      </c>
      <c r="G1301">
        <v>0</v>
      </c>
      <c r="H1301">
        <v>0</v>
      </c>
      <c r="I1301">
        <v>27</v>
      </c>
      <c r="J1301">
        <v>27</v>
      </c>
      <c r="K1301" s="33">
        <v>0</v>
      </c>
      <c r="L1301" s="1"/>
      <c r="M1301" s="1" t="str">
        <f>_xlfn.XLOOKUP(ocupacao[[#This Row],[UnidadeID]],unidades!$A:$A,unidades!$B:$B,"",0)</f>
        <v>Seggastro</v>
      </c>
      <c r="N1301" s="1" t="str">
        <f>_xlfn.XLOOKUP(ocupacao[[#This Row],[UnidadeID]],unidades!$A:$A,unidades!$C:$C,"",0)</f>
        <v>Nova Iguaçu</v>
      </c>
      <c r="O1301" s="1" t="str">
        <f>_xlfn.XLOOKUP(ocupacao[[#This Row],[EspecialidadeID]],especialidades!$A:$A,especialidades!$B:$B,"",0)</f>
        <v>CLINICA GERAL</v>
      </c>
      <c r="P1301" s="1" t="str">
        <f>TEXT(WEEKDAY(ocupacao[[#This Row],[Data]]),"ddd")</f>
        <v>qua</v>
      </c>
      <c r="Q1301" s="1">
        <f t="shared" si="20"/>
        <v>0</v>
      </c>
    </row>
    <row r="1302" spans="1:17" x14ac:dyDescent="0.25">
      <c r="A1302" s="2">
        <v>44748</v>
      </c>
      <c r="B1302">
        <v>34</v>
      </c>
      <c r="C1302">
        <v>9</v>
      </c>
      <c r="D1302">
        <v>369</v>
      </c>
      <c r="E1302">
        <v>14410</v>
      </c>
      <c r="F1302" s="1" t="s">
        <v>307</v>
      </c>
      <c r="G1302">
        <v>0</v>
      </c>
      <c r="H1302">
        <v>0</v>
      </c>
      <c r="I1302">
        <v>120</v>
      </c>
      <c r="J1302">
        <v>120</v>
      </c>
      <c r="K1302" s="33">
        <v>0</v>
      </c>
      <c r="L1302" s="1"/>
      <c r="M1302" s="1" t="str">
        <f>_xlfn.XLOOKUP(ocupacao[[#This Row],[UnidadeID]],unidades!$A:$A,unidades!$B:$B,"",0)</f>
        <v>São João</v>
      </c>
      <c r="N1302" s="1" t="str">
        <f>_xlfn.XLOOKUP(ocupacao[[#This Row],[UnidadeID]],unidades!$A:$A,unidades!$C:$C,"",0)</f>
        <v>São João de Meriti</v>
      </c>
      <c r="O1302" s="1" t="str">
        <f>_xlfn.XLOOKUP(ocupacao[[#This Row],[EspecialidadeID]],especialidades!$A:$A,especialidades!$B:$B,"",0)</f>
        <v>CLINICA GERAL</v>
      </c>
      <c r="P1302" s="1" t="str">
        <f>TEXT(WEEKDAY(ocupacao[[#This Row],[Data]]),"ddd")</f>
        <v>qua</v>
      </c>
      <c r="Q1302" s="1">
        <f t="shared" si="20"/>
        <v>0</v>
      </c>
    </row>
    <row r="1303" spans="1:17" hidden="1" x14ac:dyDescent="0.25">
      <c r="A1303" s="2">
        <v>44748</v>
      </c>
      <c r="B1303">
        <v>0</v>
      </c>
      <c r="C1303">
        <v>9</v>
      </c>
      <c r="D1303">
        <v>341</v>
      </c>
      <c r="E1303">
        <v>17862</v>
      </c>
      <c r="F1303" s="1" t="s">
        <v>363</v>
      </c>
      <c r="G1303">
        <v>0</v>
      </c>
      <c r="H1303">
        <v>0</v>
      </c>
      <c r="I1303">
        <v>72</v>
      </c>
      <c r="J1303">
        <v>72</v>
      </c>
      <c r="K1303" s="33">
        <v>0</v>
      </c>
      <c r="L1303" s="1"/>
      <c r="M1303" s="1"/>
      <c r="N1303" s="1"/>
      <c r="O1303" s="1"/>
      <c r="P1303" s="1"/>
      <c r="Q1303" s="1"/>
    </row>
    <row r="1304" spans="1:17" hidden="1" x14ac:dyDescent="0.25">
      <c r="A1304" s="2">
        <v>44749</v>
      </c>
      <c r="B1304">
        <v>0</v>
      </c>
      <c r="C1304">
        <v>9</v>
      </c>
      <c r="D1304">
        <v>345</v>
      </c>
      <c r="E1304">
        <v>66</v>
      </c>
      <c r="F1304" s="1" t="s">
        <v>89</v>
      </c>
      <c r="G1304">
        <v>0</v>
      </c>
      <c r="H1304">
        <v>0</v>
      </c>
      <c r="I1304">
        <v>64</v>
      </c>
      <c r="J1304">
        <v>64</v>
      </c>
      <c r="K1304" s="33">
        <v>0</v>
      </c>
      <c r="L1304" s="1"/>
      <c r="M1304" s="1"/>
      <c r="N1304" s="1"/>
      <c r="O1304" s="1"/>
      <c r="P1304" s="1"/>
      <c r="Q1304" s="1"/>
    </row>
    <row r="1305" spans="1:17" x14ac:dyDescent="0.25">
      <c r="A1305" s="2">
        <v>44749</v>
      </c>
      <c r="B1305">
        <v>18</v>
      </c>
      <c r="C1305">
        <v>9</v>
      </c>
      <c r="D1305">
        <v>79</v>
      </c>
      <c r="E1305">
        <v>9207</v>
      </c>
      <c r="F1305" s="1" t="s">
        <v>118</v>
      </c>
      <c r="G1305">
        <v>12</v>
      </c>
      <c r="H1305">
        <v>0</v>
      </c>
      <c r="I1305">
        <v>108</v>
      </c>
      <c r="J1305">
        <v>120</v>
      </c>
      <c r="K1305" s="33">
        <v>0.1</v>
      </c>
      <c r="L1305" s="1"/>
      <c r="M1305" s="1" t="str">
        <f>_xlfn.XLOOKUP(ocupacao[[#This Row],[UnidadeID]],unidades!$A:$A,unidades!$B:$B,"",0)</f>
        <v>Miguel Couto</v>
      </c>
      <c r="N1305" s="1" t="str">
        <f>_xlfn.XLOOKUP(ocupacao[[#This Row],[UnidadeID]],unidades!$A:$A,unidades!$C:$C,"",0)</f>
        <v>Miguel Couto</v>
      </c>
      <c r="O1305" s="1" t="str">
        <f>_xlfn.XLOOKUP(ocupacao[[#This Row],[EspecialidadeID]],especialidades!$A:$A,especialidades!$B:$B,"",0)</f>
        <v>CLINICA GERAL</v>
      </c>
      <c r="P1305" s="1" t="str">
        <f>TEXT(WEEKDAY(ocupacao[[#This Row],[Data]]),"ddd")</f>
        <v>qui</v>
      </c>
      <c r="Q1305" s="1">
        <f t="shared" si="20"/>
        <v>0</v>
      </c>
    </row>
    <row r="1306" spans="1:17" x14ac:dyDescent="0.25">
      <c r="A1306" s="2">
        <v>44749</v>
      </c>
      <c r="B1306">
        <v>0</v>
      </c>
      <c r="C1306">
        <v>9</v>
      </c>
      <c r="D1306">
        <v>348</v>
      </c>
      <c r="E1306">
        <v>11634</v>
      </c>
      <c r="F1306" s="1" t="s">
        <v>102</v>
      </c>
      <c r="G1306">
        <v>0</v>
      </c>
      <c r="H1306">
        <v>0</v>
      </c>
      <c r="I1306">
        <v>120</v>
      </c>
      <c r="J1306">
        <v>120</v>
      </c>
      <c r="K1306" s="33">
        <v>0</v>
      </c>
      <c r="L1306" s="1"/>
      <c r="M1306" s="1" t="str">
        <f>_xlfn.XLOOKUP(ocupacao[[#This Row],[UnidadeID]],unidades!$A:$A,unidades!$B:$B,"",0)</f>
        <v>Matriz</v>
      </c>
      <c r="N1306" s="1" t="str">
        <f>_xlfn.XLOOKUP(ocupacao[[#This Row],[UnidadeID]],unidades!$A:$A,unidades!$C:$C,"",0)</f>
        <v>Nova Iguaçu</v>
      </c>
      <c r="O1306" s="1" t="str">
        <f>_xlfn.XLOOKUP(ocupacao[[#This Row],[EspecialidadeID]],especialidades!$A:$A,especialidades!$B:$B,"",0)</f>
        <v>CLINICA GERAL</v>
      </c>
      <c r="P1306" s="1" t="str">
        <f>TEXT(WEEKDAY(ocupacao[[#This Row],[Data]]),"ddd")</f>
        <v>qui</v>
      </c>
      <c r="Q1306" s="1">
        <f t="shared" si="20"/>
        <v>0</v>
      </c>
    </row>
    <row r="1307" spans="1:17" hidden="1" x14ac:dyDescent="0.25">
      <c r="A1307" s="2">
        <v>44749</v>
      </c>
      <c r="B1307">
        <v>0</v>
      </c>
      <c r="C1307">
        <v>9</v>
      </c>
      <c r="D1307">
        <v>345</v>
      </c>
      <c r="E1307">
        <v>12482</v>
      </c>
      <c r="F1307" s="1" t="s">
        <v>97</v>
      </c>
      <c r="G1307">
        <v>0</v>
      </c>
      <c r="H1307">
        <v>0</v>
      </c>
      <c r="I1307">
        <v>60</v>
      </c>
      <c r="J1307">
        <v>60</v>
      </c>
      <c r="K1307" s="33">
        <v>0</v>
      </c>
      <c r="L1307" s="1"/>
      <c r="M1307" s="1"/>
      <c r="N1307" s="1"/>
      <c r="O1307" s="1"/>
      <c r="P1307" s="1"/>
      <c r="Q1307" s="1"/>
    </row>
    <row r="1308" spans="1:17" x14ac:dyDescent="0.25">
      <c r="A1308" s="2">
        <v>44749</v>
      </c>
      <c r="B1308">
        <v>24</v>
      </c>
      <c r="C1308">
        <v>9</v>
      </c>
      <c r="D1308">
        <v>61</v>
      </c>
      <c r="E1308">
        <v>13487</v>
      </c>
      <c r="F1308" s="1" t="s">
        <v>122</v>
      </c>
      <c r="G1308">
        <v>0</v>
      </c>
      <c r="H1308">
        <v>0</v>
      </c>
      <c r="I1308">
        <v>120</v>
      </c>
      <c r="J1308">
        <v>120</v>
      </c>
      <c r="K1308" s="33">
        <v>0</v>
      </c>
      <c r="L1308" s="1"/>
      <c r="M1308" s="1" t="str">
        <f>_xlfn.XLOOKUP(ocupacao[[#This Row],[UnidadeID]],unidades!$A:$A,unidades!$B:$B,"",0)</f>
        <v>Nilópolis</v>
      </c>
      <c r="N1308" s="1" t="str">
        <f>_xlfn.XLOOKUP(ocupacao[[#This Row],[UnidadeID]],unidades!$A:$A,unidades!$C:$C,"",0)</f>
        <v>Nilópolis</v>
      </c>
      <c r="O1308" s="1" t="str">
        <f>_xlfn.XLOOKUP(ocupacao[[#This Row],[EspecialidadeID]],especialidades!$A:$A,especialidades!$B:$B,"",0)</f>
        <v>CLINICA GERAL</v>
      </c>
      <c r="P1308" s="1" t="str">
        <f>TEXT(WEEKDAY(ocupacao[[#This Row],[Data]]),"ddd")</f>
        <v>qui</v>
      </c>
      <c r="Q1308" s="1">
        <f t="shared" si="20"/>
        <v>0</v>
      </c>
    </row>
    <row r="1309" spans="1:17" hidden="1" x14ac:dyDescent="0.25">
      <c r="A1309" s="2"/>
      <c r="F1309" s="1"/>
      <c r="K1309" s="33"/>
      <c r="L1309" s="1"/>
      <c r="M1309" s="1"/>
      <c r="N1309" s="1"/>
      <c r="O1309" s="1"/>
      <c r="P1309" s="1"/>
      <c r="Q1309" s="1"/>
    </row>
    <row r="1310" spans="1:17" x14ac:dyDescent="0.25">
      <c r="A1310" s="2">
        <v>44749</v>
      </c>
      <c r="B1310">
        <v>0</v>
      </c>
      <c r="C1310">
        <v>9</v>
      </c>
      <c r="D1310">
        <v>346</v>
      </c>
      <c r="E1310">
        <v>13660</v>
      </c>
      <c r="F1310" s="1" t="s">
        <v>112</v>
      </c>
      <c r="G1310">
        <v>0</v>
      </c>
      <c r="H1310">
        <v>0</v>
      </c>
      <c r="I1310">
        <v>108</v>
      </c>
      <c r="J1310">
        <v>108</v>
      </c>
      <c r="K1310" s="33">
        <v>0</v>
      </c>
      <c r="L1310" s="1"/>
      <c r="M1310" s="1" t="str">
        <f>_xlfn.XLOOKUP(ocupacao[[#This Row],[UnidadeID]],unidades!$A:$A,unidades!$B:$B,"",0)</f>
        <v>Matriz</v>
      </c>
      <c r="N1310" s="1" t="str">
        <f>_xlfn.XLOOKUP(ocupacao[[#This Row],[UnidadeID]],unidades!$A:$A,unidades!$C:$C,"",0)</f>
        <v>Nova Iguaçu</v>
      </c>
      <c r="O1310" s="1" t="str">
        <f>_xlfn.XLOOKUP(ocupacao[[#This Row],[EspecialidadeID]],especialidades!$A:$A,especialidades!$B:$B,"",0)</f>
        <v>CLINICA GERAL</v>
      </c>
      <c r="P1310" s="1" t="str">
        <f>TEXT(WEEKDAY(ocupacao[[#This Row],[Data]]),"ddd")</f>
        <v>qui</v>
      </c>
      <c r="Q1310" s="1">
        <f t="shared" si="20"/>
        <v>0</v>
      </c>
    </row>
    <row r="1311" spans="1:17" x14ac:dyDescent="0.25">
      <c r="A1311" s="2">
        <v>44749</v>
      </c>
      <c r="B1311">
        <v>34</v>
      </c>
      <c r="C1311">
        <v>9</v>
      </c>
      <c r="D1311">
        <v>369</v>
      </c>
      <c r="E1311">
        <v>14410</v>
      </c>
      <c r="F1311" s="1" t="s">
        <v>307</v>
      </c>
      <c r="G1311">
        <v>0</v>
      </c>
      <c r="H1311">
        <v>0</v>
      </c>
      <c r="I1311">
        <v>120</v>
      </c>
      <c r="J1311">
        <v>120</v>
      </c>
      <c r="K1311" s="33">
        <v>0</v>
      </c>
      <c r="L1311" s="1"/>
      <c r="M1311" s="1" t="str">
        <f>_xlfn.XLOOKUP(ocupacao[[#This Row],[UnidadeID]],unidades!$A:$A,unidades!$B:$B,"",0)</f>
        <v>São João</v>
      </c>
      <c r="N1311" s="1" t="str">
        <f>_xlfn.XLOOKUP(ocupacao[[#This Row],[UnidadeID]],unidades!$A:$A,unidades!$C:$C,"",0)</f>
        <v>São João de Meriti</v>
      </c>
      <c r="O1311" s="1" t="str">
        <f>_xlfn.XLOOKUP(ocupacao[[#This Row],[EspecialidadeID]],especialidades!$A:$A,especialidades!$B:$B,"",0)</f>
        <v>CLINICA GERAL</v>
      </c>
      <c r="P1311" s="1" t="str">
        <f>TEXT(WEEKDAY(ocupacao[[#This Row],[Data]]),"ddd")</f>
        <v>qui</v>
      </c>
      <c r="Q1311" s="1">
        <f t="shared" si="20"/>
        <v>0</v>
      </c>
    </row>
    <row r="1312" spans="1:17" x14ac:dyDescent="0.25">
      <c r="A1312" s="2">
        <v>44750</v>
      </c>
      <c r="B1312">
        <v>0</v>
      </c>
      <c r="C1312">
        <v>9</v>
      </c>
      <c r="D1312">
        <v>345</v>
      </c>
      <c r="E1312">
        <v>66</v>
      </c>
      <c r="F1312" s="1" t="s">
        <v>89</v>
      </c>
      <c r="G1312">
        <v>0</v>
      </c>
      <c r="H1312">
        <v>0</v>
      </c>
      <c r="I1312">
        <v>78</v>
      </c>
      <c r="J1312">
        <v>78</v>
      </c>
      <c r="K1312" s="33">
        <v>0</v>
      </c>
      <c r="L1312" s="1"/>
      <c r="M1312" s="1" t="str">
        <f>_xlfn.XLOOKUP(ocupacao[[#This Row],[UnidadeID]],unidades!$A:$A,unidades!$B:$B,"",0)</f>
        <v>Matriz</v>
      </c>
      <c r="N1312" s="1" t="str">
        <f>_xlfn.XLOOKUP(ocupacao[[#This Row],[UnidadeID]],unidades!$A:$A,unidades!$C:$C,"",0)</f>
        <v>Nova Iguaçu</v>
      </c>
      <c r="O1312" s="1" t="str">
        <f>_xlfn.XLOOKUP(ocupacao[[#This Row],[EspecialidadeID]],especialidades!$A:$A,especialidades!$B:$B,"",0)</f>
        <v>CLINICA GERAL</v>
      </c>
      <c r="P1312" s="1" t="str">
        <f>TEXT(WEEKDAY(ocupacao[[#This Row],[Data]]),"ddd")</f>
        <v>sex</v>
      </c>
      <c r="Q1312" s="1">
        <f t="shared" si="20"/>
        <v>0</v>
      </c>
    </row>
    <row r="1313" spans="1:17" x14ac:dyDescent="0.25">
      <c r="A1313" s="2">
        <v>44750</v>
      </c>
      <c r="B1313">
        <v>0</v>
      </c>
      <c r="C1313">
        <v>9</v>
      </c>
      <c r="D1313">
        <v>346</v>
      </c>
      <c r="E1313">
        <v>9207</v>
      </c>
      <c r="F1313" s="1" t="s">
        <v>118</v>
      </c>
      <c r="G1313">
        <v>12</v>
      </c>
      <c r="H1313">
        <v>0</v>
      </c>
      <c r="I1313">
        <v>96</v>
      </c>
      <c r="J1313">
        <v>108</v>
      </c>
      <c r="K1313" s="33">
        <v>0.1111</v>
      </c>
      <c r="L1313" s="1"/>
      <c r="M1313" s="1" t="str">
        <f>_xlfn.XLOOKUP(ocupacao[[#This Row],[UnidadeID]],unidades!$A:$A,unidades!$B:$B,"",0)</f>
        <v>Matriz</v>
      </c>
      <c r="N1313" s="1" t="str">
        <f>_xlfn.XLOOKUP(ocupacao[[#This Row],[UnidadeID]],unidades!$A:$A,unidades!$C:$C,"",0)</f>
        <v>Nova Iguaçu</v>
      </c>
      <c r="O1313" s="1" t="str">
        <f>_xlfn.XLOOKUP(ocupacao[[#This Row],[EspecialidadeID]],especialidades!$A:$A,especialidades!$B:$B,"",0)</f>
        <v>CLINICA GERAL</v>
      </c>
      <c r="P1313" s="1" t="str">
        <f>TEXT(WEEKDAY(ocupacao[[#This Row],[Data]]),"ddd")</f>
        <v>sex</v>
      </c>
      <c r="Q1313" s="1">
        <f t="shared" si="20"/>
        <v>0</v>
      </c>
    </row>
    <row r="1314" spans="1:17" x14ac:dyDescent="0.25">
      <c r="A1314" s="2">
        <v>44750</v>
      </c>
      <c r="B1314">
        <v>0</v>
      </c>
      <c r="C1314">
        <v>9</v>
      </c>
      <c r="D1314">
        <v>339</v>
      </c>
      <c r="E1314">
        <v>9654</v>
      </c>
      <c r="F1314" s="1" t="s">
        <v>139</v>
      </c>
      <c r="G1314">
        <v>0</v>
      </c>
      <c r="H1314">
        <v>0</v>
      </c>
      <c r="I1314">
        <v>132</v>
      </c>
      <c r="J1314">
        <v>132</v>
      </c>
      <c r="K1314" s="33">
        <v>0</v>
      </c>
      <c r="L1314" s="1"/>
      <c r="M1314" s="1" t="str">
        <f>_xlfn.XLOOKUP(ocupacao[[#This Row],[UnidadeID]],unidades!$A:$A,unidades!$B:$B,"",0)</f>
        <v>Matriz</v>
      </c>
      <c r="N1314" s="1" t="str">
        <f>_xlfn.XLOOKUP(ocupacao[[#This Row],[UnidadeID]],unidades!$A:$A,unidades!$C:$C,"",0)</f>
        <v>Nova Iguaçu</v>
      </c>
      <c r="O1314" s="1" t="str">
        <f>_xlfn.XLOOKUP(ocupacao[[#This Row],[EspecialidadeID]],especialidades!$A:$A,especialidades!$B:$B,"",0)</f>
        <v>CLINICA GERAL</v>
      </c>
      <c r="P1314" s="1" t="str">
        <f>TEXT(WEEKDAY(ocupacao[[#This Row],[Data]]),"ddd")</f>
        <v>sex</v>
      </c>
      <c r="Q1314" s="1">
        <f t="shared" si="20"/>
        <v>0</v>
      </c>
    </row>
    <row r="1315" spans="1:17" x14ac:dyDescent="0.25">
      <c r="A1315" s="2">
        <v>44750</v>
      </c>
      <c r="B1315">
        <v>0</v>
      </c>
      <c r="C1315">
        <v>9</v>
      </c>
      <c r="D1315">
        <v>346</v>
      </c>
      <c r="E1315">
        <v>11634</v>
      </c>
      <c r="F1315" s="1" t="s">
        <v>102</v>
      </c>
      <c r="G1315">
        <v>0</v>
      </c>
      <c r="H1315">
        <v>0</v>
      </c>
      <c r="I1315">
        <v>48</v>
      </c>
      <c r="J1315">
        <v>48</v>
      </c>
      <c r="K1315" s="33">
        <v>0</v>
      </c>
      <c r="L1315" s="1"/>
      <c r="M1315" s="1" t="str">
        <f>_xlfn.XLOOKUP(ocupacao[[#This Row],[UnidadeID]],unidades!$A:$A,unidades!$B:$B,"",0)</f>
        <v>Matriz</v>
      </c>
      <c r="N1315" s="1" t="str">
        <f>_xlfn.XLOOKUP(ocupacao[[#This Row],[UnidadeID]],unidades!$A:$A,unidades!$C:$C,"",0)</f>
        <v>Nova Iguaçu</v>
      </c>
      <c r="O1315" s="1" t="str">
        <f>_xlfn.XLOOKUP(ocupacao[[#This Row],[EspecialidadeID]],especialidades!$A:$A,especialidades!$B:$B,"",0)</f>
        <v>CLINICA GERAL</v>
      </c>
      <c r="P1315" s="1" t="str">
        <f>TEXT(WEEKDAY(ocupacao[[#This Row],[Data]]),"ddd")</f>
        <v>sex</v>
      </c>
      <c r="Q1315" s="1">
        <f t="shared" si="20"/>
        <v>0</v>
      </c>
    </row>
    <row r="1316" spans="1:17" x14ac:dyDescent="0.25">
      <c r="A1316" s="2">
        <v>44750</v>
      </c>
      <c r="B1316">
        <v>18</v>
      </c>
      <c r="C1316">
        <v>9</v>
      </c>
      <c r="D1316">
        <v>79</v>
      </c>
      <c r="E1316">
        <v>13295</v>
      </c>
      <c r="F1316" s="1" t="s">
        <v>98</v>
      </c>
      <c r="G1316">
        <v>0</v>
      </c>
      <c r="H1316">
        <v>0</v>
      </c>
      <c r="I1316">
        <v>120</v>
      </c>
      <c r="J1316">
        <v>120</v>
      </c>
      <c r="K1316" s="33">
        <v>0</v>
      </c>
      <c r="L1316" s="1"/>
      <c r="M1316" s="1" t="str">
        <f>_xlfn.XLOOKUP(ocupacao[[#This Row],[UnidadeID]],unidades!$A:$A,unidades!$B:$B,"",0)</f>
        <v>Miguel Couto</v>
      </c>
      <c r="N1316" s="1" t="str">
        <f>_xlfn.XLOOKUP(ocupacao[[#This Row],[UnidadeID]],unidades!$A:$A,unidades!$C:$C,"",0)</f>
        <v>Miguel Couto</v>
      </c>
      <c r="O1316" s="1" t="str">
        <f>_xlfn.XLOOKUP(ocupacao[[#This Row],[EspecialidadeID]],especialidades!$A:$A,especialidades!$B:$B,"",0)</f>
        <v>CLINICA GERAL</v>
      </c>
      <c r="P1316" s="1" t="str">
        <f>TEXT(WEEKDAY(ocupacao[[#This Row],[Data]]),"ddd")</f>
        <v>sex</v>
      </c>
      <c r="Q1316" s="1">
        <f t="shared" si="20"/>
        <v>0</v>
      </c>
    </row>
    <row r="1317" spans="1:17" x14ac:dyDescent="0.25">
      <c r="A1317" s="2">
        <v>44750</v>
      </c>
      <c r="B1317">
        <v>33</v>
      </c>
      <c r="C1317">
        <v>9</v>
      </c>
      <c r="D1317">
        <v>15</v>
      </c>
      <c r="E1317">
        <v>13660</v>
      </c>
      <c r="F1317" s="1" t="s">
        <v>112</v>
      </c>
      <c r="G1317">
        <v>0</v>
      </c>
      <c r="H1317">
        <v>1</v>
      </c>
      <c r="I1317">
        <v>0</v>
      </c>
      <c r="J1317">
        <v>1</v>
      </c>
      <c r="K1317" s="33">
        <v>1</v>
      </c>
      <c r="L1317" s="1"/>
      <c r="M1317" s="1" t="str">
        <f>_xlfn.XLOOKUP(ocupacao[[#This Row],[UnidadeID]],unidades!$A:$A,unidades!$B:$B,"",0)</f>
        <v>Seggastro</v>
      </c>
      <c r="N1317" s="1" t="str">
        <f>_xlfn.XLOOKUP(ocupacao[[#This Row],[UnidadeID]],unidades!$A:$A,unidades!$C:$C,"",0)</f>
        <v>Nova Iguaçu</v>
      </c>
      <c r="O1317" s="1" t="str">
        <f>_xlfn.XLOOKUP(ocupacao[[#This Row],[EspecialidadeID]],especialidades!$A:$A,especialidades!$B:$B,"",0)</f>
        <v>CLINICA GERAL</v>
      </c>
      <c r="P1317" s="1" t="str">
        <f>TEXT(WEEKDAY(ocupacao[[#This Row],[Data]]),"ddd")</f>
        <v>sex</v>
      </c>
      <c r="Q1317" s="1">
        <f t="shared" si="20"/>
        <v>0</v>
      </c>
    </row>
    <row r="1318" spans="1:17" hidden="1" x14ac:dyDescent="0.25">
      <c r="A1318" s="2"/>
      <c r="F1318" s="1"/>
      <c r="K1318" s="33"/>
      <c r="L1318" s="1"/>
      <c r="M1318" s="1"/>
      <c r="N1318" s="1"/>
      <c r="O1318" s="1"/>
      <c r="P1318" s="1"/>
      <c r="Q1318" s="1"/>
    </row>
    <row r="1319" spans="1:17" x14ac:dyDescent="0.25">
      <c r="A1319" s="2">
        <v>44750</v>
      </c>
      <c r="B1319">
        <v>33</v>
      </c>
      <c r="C1319">
        <v>9</v>
      </c>
      <c r="D1319">
        <v>368</v>
      </c>
      <c r="E1319">
        <v>13660</v>
      </c>
      <c r="F1319" s="1" t="s">
        <v>112</v>
      </c>
      <c r="G1319">
        <v>0</v>
      </c>
      <c r="H1319">
        <v>0</v>
      </c>
      <c r="I1319">
        <v>13</v>
      </c>
      <c r="J1319">
        <v>13</v>
      </c>
      <c r="K1319" s="33">
        <v>0</v>
      </c>
      <c r="L1319" s="1"/>
      <c r="M1319" s="1" t="str">
        <f>_xlfn.XLOOKUP(ocupacao[[#This Row],[UnidadeID]],unidades!$A:$A,unidades!$B:$B,"",0)</f>
        <v>Seggastro</v>
      </c>
      <c r="N1319" s="1" t="str">
        <f>_xlfn.XLOOKUP(ocupacao[[#This Row],[UnidadeID]],unidades!$A:$A,unidades!$C:$C,"",0)</f>
        <v>Nova Iguaçu</v>
      </c>
      <c r="O1319" s="1" t="str">
        <f>_xlfn.XLOOKUP(ocupacao[[#This Row],[EspecialidadeID]],especialidades!$A:$A,especialidades!$B:$B,"",0)</f>
        <v>CLINICA GERAL</v>
      </c>
      <c r="P1319" s="1" t="str">
        <f>TEXT(WEEKDAY(ocupacao[[#This Row],[Data]]),"ddd")</f>
        <v>sex</v>
      </c>
      <c r="Q1319" s="1">
        <f t="shared" si="20"/>
        <v>0</v>
      </c>
    </row>
    <row r="1320" spans="1:17" x14ac:dyDescent="0.25">
      <c r="A1320" s="2">
        <v>44750</v>
      </c>
      <c r="B1320">
        <v>34</v>
      </c>
      <c r="C1320">
        <v>9</v>
      </c>
      <c r="D1320">
        <v>369</v>
      </c>
      <c r="E1320">
        <v>14110</v>
      </c>
      <c r="F1320" s="1" t="s">
        <v>308</v>
      </c>
      <c r="G1320">
        <v>0</v>
      </c>
      <c r="H1320">
        <v>0</v>
      </c>
      <c r="I1320">
        <v>120</v>
      </c>
      <c r="J1320">
        <v>120</v>
      </c>
      <c r="K1320" s="33">
        <v>0</v>
      </c>
      <c r="L1320" s="1"/>
      <c r="M1320" s="1" t="str">
        <f>_xlfn.XLOOKUP(ocupacao[[#This Row],[UnidadeID]],unidades!$A:$A,unidades!$B:$B,"",0)</f>
        <v>São João</v>
      </c>
      <c r="N1320" s="1" t="str">
        <f>_xlfn.XLOOKUP(ocupacao[[#This Row],[UnidadeID]],unidades!$A:$A,unidades!$C:$C,"",0)</f>
        <v>São João de Meriti</v>
      </c>
      <c r="O1320" s="1" t="str">
        <f>_xlfn.XLOOKUP(ocupacao[[#This Row],[EspecialidadeID]],especialidades!$A:$A,especialidades!$B:$B,"",0)</f>
        <v>CLINICA GERAL</v>
      </c>
      <c r="P1320" s="1" t="str">
        <f>TEXT(WEEKDAY(ocupacao[[#This Row],[Data]]),"ddd")</f>
        <v>sex</v>
      </c>
      <c r="Q1320" s="1">
        <f t="shared" si="20"/>
        <v>0</v>
      </c>
    </row>
    <row r="1321" spans="1:17" hidden="1" x14ac:dyDescent="0.25">
      <c r="A1321" s="2"/>
      <c r="F1321" s="1"/>
      <c r="K1321" s="33"/>
      <c r="L1321" s="1"/>
      <c r="M1321" s="1"/>
      <c r="N1321" s="1"/>
      <c r="O1321" s="1"/>
      <c r="P1321" s="1"/>
      <c r="Q1321" s="1"/>
    </row>
    <row r="1322" spans="1:17" x14ac:dyDescent="0.25">
      <c r="A1322" s="2">
        <v>44750</v>
      </c>
      <c r="B1322">
        <v>24</v>
      </c>
      <c r="C1322">
        <v>9</v>
      </c>
      <c r="D1322">
        <v>60</v>
      </c>
      <c r="E1322">
        <v>17955</v>
      </c>
      <c r="F1322" s="1" t="s">
        <v>367</v>
      </c>
      <c r="G1322">
        <v>0</v>
      </c>
      <c r="H1322">
        <v>0</v>
      </c>
      <c r="I1322">
        <v>120</v>
      </c>
      <c r="J1322">
        <v>120</v>
      </c>
      <c r="K1322" s="33">
        <v>0</v>
      </c>
      <c r="L1322" s="1"/>
      <c r="M1322" s="1" t="str">
        <f>_xlfn.XLOOKUP(ocupacao[[#This Row],[UnidadeID]],unidades!$A:$A,unidades!$B:$B,"",0)</f>
        <v>Nilópolis</v>
      </c>
      <c r="N1322" s="1" t="str">
        <f>_xlfn.XLOOKUP(ocupacao[[#This Row],[UnidadeID]],unidades!$A:$A,unidades!$C:$C,"",0)</f>
        <v>Nilópolis</v>
      </c>
      <c r="O1322" s="1" t="str">
        <f>_xlfn.XLOOKUP(ocupacao[[#This Row],[EspecialidadeID]],especialidades!$A:$A,especialidades!$B:$B,"",0)</f>
        <v>CLINICA GERAL</v>
      </c>
      <c r="P1322" s="1" t="str">
        <f>TEXT(WEEKDAY(ocupacao[[#This Row],[Data]]),"ddd")</f>
        <v>sex</v>
      </c>
      <c r="Q1322" s="1">
        <f t="shared" si="20"/>
        <v>0</v>
      </c>
    </row>
    <row r="1323" spans="1:17" x14ac:dyDescent="0.25">
      <c r="A1323" s="2">
        <v>44751</v>
      </c>
      <c r="B1323">
        <v>0</v>
      </c>
      <c r="C1323">
        <v>9</v>
      </c>
      <c r="D1323">
        <v>345</v>
      </c>
      <c r="E1323">
        <v>66</v>
      </c>
      <c r="F1323" s="1" t="s">
        <v>89</v>
      </c>
      <c r="G1323">
        <v>0</v>
      </c>
      <c r="H1323">
        <v>0</v>
      </c>
      <c r="I1323">
        <v>72</v>
      </c>
      <c r="J1323">
        <v>72</v>
      </c>
      <c r="K1323" s="33">
        <v>0</v>
      </c>
      <c r="L1323" s="1"/>
      <c r="M1323" s="1" t="str">
        <f>_xlfn.XLOOKUP(ocupacao[[#This Row],[UnidadeID]],unidades!$A:$A,unidades!$B:$B,"",0)</f>
        <v>Matriz</v>
      </c>
      <c r="N1323" s="1" t="str">
        <f>_xlfn.XLOOKUP(ocupacao[[#This Row],[UnidadeID]],unidades!$A:$A,unidades!$C:$C,"",0)</f>
        <v>Nova Iguaçu</v>
      </c>
      <c r="O1323" s="1" t="str">
        <f>_xlfn.XLOOKUP(ocupacao[[#This Row],[EspecialidadeID]],especialidades!$A:$A,especialidades!$B:$B,"",0)</f>
        <v>CLINICA GERAL</v>
      </c>
      <c r="P1323" s="1" t="str">
        <f>TEXT(WEEKDAY(ocupacao[[#This Row],[Data]]),"ddd")</f>
        <v>sáb</v>
      </c>
      <c r="Q1323" s="1">
        <f t="shared" si="20"/>
        <v>0</v>
      </c>
    </row>
    <row r="1324" spans="1:17" x14ac:dyDescent="0.25">
      <c r="A1324" s="2">
        <v>44751</v>
      </c>
      <c r="B1324">
        <v>18</v>
      </c>
      <c r="C1324">
        <v>9</v>
      </c>
      <c r="D1324">
        <v>79</v>
      </c>
      <c r="E1324">
        <v>9207</v>
      </c>
      <c r="F1324" s="1" t="s">
        <v>118</v>
      </c>
      <c r="G1324">
        <v>0</v>
      </c>
      <c r="H1324">
        <v>0</v>
      </c>
      <c r="I1324">
        <v>72</v>
      </c>
      <c r="J1324">
        <v>72</v>
      </c>
      <c r="K1324" s="33">
        <v>0</v>
      </c>
      <c r="L1324" s="1"/>
      <c r="M1324" s="1" t="str">
        <f>_xlfn.XLOOKUP(ocupacao[[#This Row],[UnidadeID]],unidades!$A:$A,unidades!$B:$B,"",0)</f>
        <v>Miguel Couto</v>
      </c>
      <c r="N1324" s="1" t="str">
        <f>_xlfn.XLOOKUP(ocupacao[[#This Row],[UnidadeID]],unidades!$A:$A,unidades!$C:$C,"",0)</f>
        <v>Miguel Couto</v>
      </c>
      <c r="O1324" s="1" t="str">
        <f>_xlfn.XLOOKUP(ocupacao[[#This Row],[EspecialidadeID]],especialidades!$A:$A,especialidades!$B:$B,"",0)</f>
        <v>CLINICA GERAL</v>
      </c>
      <c r="P1324" s="1" t="str">
        <f>TEXT(WEEKDAY(ocupacao[[#This Row],[Data]]),"ddd")</f>
        <v>sáb</v>
      </c>
      <c r="Q1324" s="1">
        <f t="shared" si="20"/>
        <v>0</v>
      </c>
    </row>
    <row r="1325" spans="1:17" x14ac:dyDescent="0.25">
      <c r="A1325" s="2">
        <v>44751</v>
      </c>
      <c r="B1325">
        <v>24</v>
      </c>
      <c r="C1325">
        <v>9</v>
      </c>
      <c r="D1325">
        <v>61</v>
      </c>
      <c r="E1325">
        <v>9654</v>
      </c>
      <c r="F1325" s="1" t="s">
        <v>139</v>
      </c>
      <c r="G1325">
        <v>0</v>
      </c>
      <c r="H1325">
        <v>0</v>
      </c>
      <c r="I1325">
        <v>72</v>
      </c>
      <c r="J1325">
        <v>72</v>
      </c>
      <c r="K1325" s="33">
        <v>0</v>
      </c>
      <c r="L1325" s="1"/>
      <c r="M1325" s="1" t="str">
        <f>_xlfn.XLOOKUP(ocupacao[[#This Row],[UnidadeID]],unidades!$A:$A,unidades!$B:$B,"",0)</f>
        <v>Nilópolis</v>
      </c>
      <c r="N1325" s="1" t="str">
        <f>_xlfn.XLOOKUP(ocupacao[[#This Row],[UnidadeID]],unidades!$A:$A,unidades!$C:$C,"",0)</f>
        <v>Nilópolis</v>
      </c>
      <c r="O1325" s="1" t="str">
        <f>_xlfn.XLOOKUP(ocupacao[[#This Row],[EspecialidadeID]],especialidades!$A:$A,especialidades!$B:$B,"",0)</f>
        <v>CLINICA GERAL</v>
      </c>
      <c r="P1325" s="1" t="str">
        <f>TEXT(WEEKDAY(ocupacao[[#This Row],[Data]]),"ddd")</f>
        <v>sáb</v>
      </c>
      <c r="Q1325" s="1">
        <f t="shared" si="20"/>
        <v>0</v>
      </c>
    </row>
    <row r="1326" spans="1:17" x14ac:dyDescent="0.25">
      <c r="A1326" s="2">
        <v>44751</v>
      </c>
      <c r="B1326">
        <v>0</v>
      </c>
      <c r="C1326">
        <v>9</v>
      </c>
      <c r="D1326">
        <v>339</v>
      </c>
      <c r="E1326">
        <v>11634</v>
      </c>
      <c r="F1326" s="1" t="s">
        <v>102</v>
      </c>
      <c r="G1326">
        <v>0</v>
      </c>
      <c r="H1326">
        <v>0</v>
      </c>
      <c r="I1326">
        <v>72</v>
      </c>
      <c r="J1326">
        <v>72</v>
      </c>
      <c r="K1326" s="33">
        <v>0</v>
      </c>
      <c r="L1326" s="1"/>
      <c r="M1326" s="1" t="str">
        <f>_xlfn.XLOOKUP(ocupacao[[#This Row],[UnidadeID]],unidades!$A:$A,unidades!$B:$B,"",0)</f>
        <v>Matriz</v>
      </c>
      <c r="N1326" s="1" t="str">
        <f>_xlfn.XLOOKUP(ocupacao[[#This Row],[UnidadeID]],unidades!$A:$A,unidades!$C:$C,"",0)</f>
        <v>Nova Iguaçu</v>
      </c>
      <c r="O1326" s="1" t="str">
        <f>_xlfn.XLOOKUP(ocupacao[[#This Row],[EspecialidadeID]],especialidades!$A:$A,especialidades!$B:$B,"",0)</f>
        <v>CLINICA GERAL</v>
      </c>
      <c r="P1326" s="1" t="str">
        <f>TEXT(WEEKDAY(ocupacao[[#This Row],[Data]]),"ddd")</f>
        <v>sáb</v>
      </c>
      <c r="Q1326" s="1">
        <f t="shared" si="20"/>
        <v>0</v>
      </c>
    </row>
    <row r="1327" spans="1:17" hidden="1" x14ac:dyDescent="0.25">
      <c r="A1327" s="2">
        <v>44751</v>
      </c>
      <c r="B1327">
        <v>33</v>
      </c>
      <c r="C1327">
        <v>9</v>
      </c>
      <c r="D1327">
        <v>368</v>
      </c>
      <c r="E1327">
        <v>13660</v>
      </c>
      <c r="F1327" s="1" t="s">
        <v>112</v>
      </c>
      <c r="G1327">
        <v>0</v>
      </c>
      <c r="H1327">
        <v>0</v>
      </c>
      <c r="I1327">
        <v>41</v>
      </c>
      <c r="J1327">
        <v>41</v>
      </c>
      <c r="K1327" s="33">
        <v>0</v>
      </c>
      <c r="L1327" s="1"/>
      <c r="M1327" s="1"/>
      <c r="N1327" s="1"/>
      <c r="O1327" s="1"/>
      <c r="P1327" s="1"/>
      <c r="Q1327" s="1"/>
    </row>
    <row r="1328" spans="1:17" x14ac:dyDescent="0.25">
      <c r="A1328" s="2">
        <v>44751</v>
      </c>
      <c r="B1328">
        <v>34</v>
      </c>
      <c r="C1328">
        <v>9</v>
      </c>
      <c r="D1328">
        <v>369</v>
      </c>
      <c r="E1328">
        <v>17861</v>
      </c>
      <c r="F1328" s="1" t="s">
        <v>309</v>
      </c>
      <c r="G1328">
        <v>0</v>
      </c>
      <c r="H1328">
        <v>0</v>
      </c>
      <c r="I1328">
        <v>72</v>
      </c>
      <c r="J1328">
        <v>72</v>
      </c>
      <c r="K1328" s="33">
        <v>0</v>
      </c>
      <c r="L1328" s="1"/>
      <c r="M1328" s="1" t="str">
        <f>_xlfn.XLOOKUP(ocupacao[[#This Row],[UnidadeID]],unidades!$A:$A,unidades!$B:$B,"",0)</f>
        <v>São João</v>
      </c>
      <c r="N1328" s="1" t="str">
        <f>_xlfn.XLOOKUP(ocupacao[[#This Row],[UnidadeID]],unidades!$A:$A,unidades!$C:$C,"",0)</f>
        <v>São João de Meriti</v>
      </c>
      <c r="O1328" s="1" t="str">
        <f>_xlfn.XLOOKUP(ocupacao[[#This Row],[EspecialidadeID]],especialidades!$A:$A,especialidades!$B:$B,"",0)</f>
        <v>CLINICA GERAL</v>
      </c>
      <c r="P1328" s="1" t="str">
        <f>TEXT(WEEKDAY(ocupacao[[#This Row],[Data]]),"ddd")</f>
        <v>sáb</v>
      </c>
      <c r="Q1328" s="1">
        <f t="shared" si="20"/>
        <v>0</v>
      </c>
    </row>
    <row r="1329" spans="1:17" x14ac:dyDescent="0.25">
      <c r="A1329" s="2">
        <v>44751</v>
      </c>
      <c r="B1329">
        <v>0</v>
      </c>
      <c r="C1329">
        <v>9</v>
      </c>
      <c r="D1329">
        <v>346</v>
      </c>
      <c r="E1329">
        <v>17940</v>
      </c>
      <c r="F1329" s="1" t="s">
        <v>362</v>
      </c>
      <c r="G1329">
        <v>0</v>
      </c>
      <c r="H1329">
        <v>0</v>
      </c>
      <c r="I1329">
        <v>96</v>
      </c>
      <c r="J1329">
        <v>96</v>
      </c>
      <c r="K1329" s="33">
        <v>0</v>
      </c>
      <c r="L1329" s="1"/>
      <c r="M1329" s="1" t="str">
        <f>_xlfn.XLOOKUP(ocupacao[[#This Row],[UnidadeID]],unidades!$A:$A,unidades!$B:$B,"",0)</f>
        <v>Matriz</v>
      </c>
      <c r="N1329" s="1" t="str">
        <f>_xlfn.XLOOKUP(ocupacao[[#This Row],[UnidadeID]],unidades!$A:$A,unidades!$C:$C,"",0)</f>
        <v>Nova Iguaçu</v>
      </c>
      <c r="O1329" s="1" t="str">
        <f>_xlfn.XLOOKUP(ocupacao[[#This Row],[EspecialidadeID]],especialidades!$A:$A,especialidades!$B:$B,"",0)</f>
        <v>CLINICA GERAL</v>
      </c>
      <c r="P1329" s="1" t="str">
        <f>TEXT(WEEKDAY(ocupacao[[#This Row],[Data]]),"ddd")</f>
        <v>sáb</v>
      </c>
      <c r="Q1329" s="1">
        <f t="shared" si="20"/>
        <v>0</v>
      </c>
    </row>
    <row r="1330" spans="1:17" x14ac:dyDescent="0.25">
      <c r="A1330" s="2">
        <v>44752</v>
      </c>
      <c r="B1330">
        <v>0</v>
      </c>
      <c r="C1330">
        <v>9</v>
      </c>
      <c r="D1330">
        <v>339</v>
      </c>
      <c r="E1330">
        <v>9654</v>
      </c>
      <c r="F1330" s="1" t="s">
        <v>139</v>
      </c>
      <c r="G1330">
        <v>0</v>
      </c>
      <c r="H1330">
        <v>0</v>
      </c>
      <c r="I1330">
        <v>72</v>
      </c>
      <c r="J1330">
        <v>72</v>
      </c>
      <c r="K1330" s="33">
        <v>0</v>
      </c>
      <c r="L1330" s="1"/>
      <c r="M1330" s="1" t="str">
        <f>_xlfn.XLOOKUP(ocupacao[[#This Row],[UnidadeID]],unidades!$A:$A,unidades!$B:$B,"",0)</f>
        <v>Matriz</v>
      </c>
      <c r="N1330" s="1" t="str">
        <f>_xlfn.XLOOKUP(ocupacao[[#This Row],[UnidadeID]],unidades!$A:$A,unidades!$C:$C,"",0)</f>
        <v>Nova Iguaçu</v>
      </c>
      <c r="O1330" s="1" t="str">
        <f>_xlfn.XLOOKUP(ocupacao[[#This Row],[EspecialidadeID]],especialidades!$A:$A,especialidades!$B:$B,"",0)</f>
        <v>CLINICA GERAL</v>
      </c>
      <c r="P1330" s="1" t="str">
        <f>TEXT(WEEKDAY(ocupacao[[#This Row],[Data]]),"ddd")</f>
        <v>dom</v>
      </c>
      <c r="Q1330" s="1">
        <f t="shared" si="20"/>
        <v>0</v>
      </c>
    </row>
    <row r="1331" spans="1:17" x14ac:dyDescent="0.25">
      <c r="A1331" s="2">
        <v>44753</v>
      </c>
      <c r="B1331">
        <v>0</v>
      </c>
      <c r="C1331">
        <v>9</v>
      </c>
      <c r="D1331">
        <v>345</v>
      </c>
      <c r="E1331">
        <v>66</v>
      </c>
      <c r="F1331" s="1" t="s">
        <v>89</v>
      </c>
      <c r="G1331">
        <v>0</v>
      </c>
      <c r="H1331">
        <v>0</v>
      </c>
      <c r="I1331">
        <v>60</v>
      </c>
      <c r="J1331">
        <v>60</v>
      </c>
      <c r="K1331" s="33">
        <v>0</v>
      </c>
      <c r="L1331" s="1"/>
      <c r="M1331" s="1" t="str">
        <f>_xlfn.XLOOKUP(ocupacao[[#This Row],[UnidadeID]],unidades!$A:$A,unidades!$B:$B,"",0)</f>
        <v>Matriz</v>
      </c>
      <c r="N1331" s="1" t="str">
        <f>_xlfn.XLOOKUP(ocupacao[[#This Row],[UnidadeID]],unidades!$A:$A,unidades!$C:$C,"",0)</f>
        <v>Nova Iguaçu</v>
      </c>
      <c r="O1331" s="1" t="str">
        <f>_xlfn.XLOOKUP(ocupacao[[#This Row],[EspecialidadeID]],especialidades!$A:$A,especialidades!$B:$B,"",0)</f>
        <v>CLINICA GERAL</v>
      </c>
      <c r="P1331" s="1" t="str">
        <f>TEXT(WEEKDAY(ocupacao[[#This Row],[Data]]),"ddd")</f>
        <v>seg</v>
      </c>
      <c r="Q1331" s="1">
        <f t="shared" si="20"/>
        <v>0</v>
      </c>
    </row>
    <row r="1332" spans="1:17" x14ac:dyDescent="0.25">
      <c r="A1332" s="2">
        <v>44753</v>
      </c>
      <c r="B1332">
        <v>18</v>
      </c>
      <c r="C1332">
        <v>9</v>
      </c>
      <c r="D1332">
        <v>79</v>
      </c>
      <c r="E1332">
        <v>9207</v>
      </c>
      <c r="F1332" s="1" t="s">
        <v>118</v>
      </c>
      <c r="G1332">
        <v>12</v>
      </c>
      <c r="H1332">
        <v>0</v>
      </c>
      <c r="I1332">
        <v>108</v>
      </c>
      <c r="J1332">
        <v>120</v>
      </c>
      <c r="K1332" s="33">
        <v>0.1</v>
      </c>
      <c r="L1332" s="1"/>
      <c r="M1332" s="1" t="str">
        <f>_xlfn.XLOOKUP(ocupacao[[#This Row],[UnidadeID]],unidades!$A:$A,unidades!$B:$B,"",0)</f>
        <v>Miguel Couto</v>
      </c>
      <c r="N1332" s="1" t="str">
        <f>_xlfn.XLOOKUP(ocupacao[[#This Row],[UnidadeID]],unidades!$A:$A,unidades!$C:$C,"",0)</f>
        <v>Miguel Couto</v>
      </c>
      <c r="O1332" s="1" t="str">
        <f>_xlfn.XLOOKUP(ocupacao[[#This Row],[EspecialidadeID]],especialidades!$A:$A,especialidades!$B:$B,"",0)</f>
        <v>CLINICA GERAL</v>
      </c>
      <c r="P1332" s="1" t="str">
        <f>TEXT(WEEKDAY(ocupacao[[#This Row],[Data]]),"ddd")</f>
        <v>seg</v>
      </c>
      <c r="Q1332" s="1">
        <f t="shared" si="20"/>
        <v>0</v>
      </c>
    </row>
    <row r="1333" spans="1:17" x14ac:dyDescent="0.25">
      <c r="A1333" s="2">
        <v>44753</v>
      </c>
      <c r="B1333">
        <v>0</v>
      </c>
      <c r="C1333">
        <v>9</v>
      </c>
      <c r="D1333">
        <v>346</v>
      </c>
      <c r="E1333">
        <v>11634</v>
      </c>
      <c r="F1333" s="1" t="s">
        <v>102</v>
      </c>
      <c r="G1333">
        <v>0</v>
      </c>
      <c r="H1333">
        <v>0</v>
      </c>
      <c r="I1333">
        <v>156</v>
      </c>
      <c r="J1333">
        <v>156</v>
      </c>
      <c r="K1333" s="33">
        <v>0</v>
      </c>
      <c r="L1333" s="1"/>
      <c r="M1333" s="1" t="str">
        <f>_xlfn.XLOOKUP(ocupacao[[#This Row],[UnidadeID]],unidades!$A:$A,unidades!$B:$B,"",0)</f>
        <v>Matriz</v>
      </c>
      <c r="N1333" s="1" t="str">
        <f>_xlfn.XLOOKUP(ocupacao[[#This Row],[UnidadeID]],unidades!$A:$A,unidades!$C:$C,"",0)</f>
        <v>Nova Iguaçu</v>
      </c>
      <c r="O1333" s="1" t="str">
        <f>_xlfn.XLOOKUP(ocupacao[[#This Row],[EspecialidadeID]],especialidades!$A:$A,especialidades!$B:$B,"",0)</f>
        <v>CLINICA GERAL</v>
      </c>
      <c r="P1333" s="1" t="str">
        <f>TEXT(WEEKDAY(ocupacao[[#This Row],[Data]]),"ddd")</f>
        <v>seg</v>
      </c>
      <c r="Q1333" s="1">
        <f t="shared" si="20"/>
        <v>0</v>
      </c>
    </row>
    <row r="1334" spans="1:17" x14ac:dyDescent="0.25">
      <c r="A1334" s="2">
        <v>44753</v>
      </c>
      <c r="B1334">
        <v>0</v>
      </c>
      <c r="C1334">
        <v>9</v>
      </c>
      <c r="D1334">
        <v>341</v>
      </c>
      <c r="E1334">
        <v>12482</v>
      </c>
      <c r="F1334" s="1" t="s">
        <v>97</v>
      </c>
      <c r="G1334">
        <v>0</v>
      </c>
      <c r="H1334">
        <v>0</v>
      </c>
      <c r="I1334">
        <v>60</v>
      </c>
      <c r="J1334">
        <v>60</v>
      </c>
      <c r="K1334" s="33">
        <v>0</v>
      </c>
      <c r="L1334" s="1"/>
      <c r="M1334" s="1" t="str">
        <f>_xlfn.XLOOKUP(ocupacao[[#This Row],[UnidadeID]],unidades!$A:$A,unidades!$B:$B,"",0)</f>
        <v>Matriz</v>
      </c>
      <c r="N1334" s="1" t="str">
        <f>_xlfn.XLOOKUP(ocupacao[[#This Row],[UnidadeID]],unidades!$A:$A,unidades!$C:$C,"",0)</f>
        <v>Nova Iguaçu</v>
      </c>
      <c r="O1334" s="1" t="str">
        <f>_xlfn.XLOOKUP(ocupacao[[#This Row],[EspecialidadeID]],especialidades!$A:$A,especialidades!$B:$B,"",0)</f>
        <v>CLINICA GERAL</v>
      </c>
      <c r="P1334" s="1" t="str">
        <f>TEXT(WEEKDAY(ocupacao[[#This Row],[Data]]),"ddd")</f>
        <v>seg</v>
      </c>
      <c r="Q1334" s="1">
        <f t="shared" si="20"/>
        <v>0</v>
      </c>
    </row>
    <row r="1335" spans="1:17" x14ac:dyDescent="0.25">
      <c r="A1335" s="2">
        <v>44753</v>
      </c>
      <c r="B1335">
        <v>24</v>
      </c>
      <c r="C1335">
        <v>9</v>
      </c>
      <c r="D1335">
        <v>61</v>
      </c>
      <c r="E1335">
        <v>13220</v>
      </c>
      <c r="F1335" s="1" t="s">
        <v>344</v>
      </c>
      <c r="G1335">
        <v>0</v>
      </c>
      <c r="H1335">
        <v>0</v>
      </c>
      <c r="I1335">
        <v>120</v>
      </c>
      <c r="J1335">
        <v>120</v>
      </c>
      <c r="K1335" s="33">
        <v>0</v>
      </c>
      <c r="L1335" s="1"/>
      <c r="M1335" s="1" t="str">
        <f>_xlfn.XLOOKUP(ocupacao[[#This Row],[UnidadeID]],unidades!$A:$A,unidades!$B:$B,"",0)</f>
        <v>Nilópolis</v>
      </c>
      <c r="N1335" s="1" t="str">
        <f>_xlfn.XLOOKUP(ocupacao[[#This Row],[UnidadeID]],unidades!$A:$A,unidades!$C:$C,"",0)</f>
        <v>Nilópolis</v>
      </c>
      <c r="O1335" s="1" t="str">
        <f>_xlfn.XLOOKUP(ocupacao[[#This Row],[EspecialidadeID]],especialidades!$A:$A,especialidades!$B:$B,"",0)</f>
        <v>CLINICA GERAL</v>
      </c>
      <c r="P1335" s="1" t="str">
        <f>TEXT(WEEKDAY(ocupacao[[#This Row],[Data]]),"ddd")</f>
        <v>seg</v>
      </c>
      <c r="Q1335" s="1">
        <f t="shared" si="20"/>
        <v>0</v>
      </c>
    </row>
    <row r="1336" spans="1:17" x14ac:dyDescent="0.25">
      <c r="A1336" s="2">
        <v>44753</v>
      </c>
      <c r="B1336">
        <v>33</v>
      </c>
      <c r="C1336">
        <v>9</v>
      </c>
      <c r="D1336">
        <v>368</v>
      </c>
      <c r="E1336">
        <v>13660</v>
      </c>
      <c r="F1336" s="1" t="s">
        <v>112</v>
      </c>
      <c r="G1336">
        <v>0</v>
      </c>
      <c r="H1336">
        <v>0</v>
      </c>
      <c r="I1336">
        <v>41</v>
      </c>
      <c r="J1336">
        <v>41</v>
      </c>
      <c r="K1336" s="33">
        <v>0</v>
      </c>
      <c r="L1336" s="1"/>
      <c r="M1336" s="1" t="str">
        <f>_xlfn.XLOOKUP(ocupacao[[#This Row],[UnidadeID]],unidades!$A:$A,unidades!$B:$B,"",0)</f>
        <v>Seggastro</v>
      </c>
      <c r="N1336" s="1" t="str">
        <f>_xlfn.XLOOKUP(ocupacao[[#This Row],[UnidadeID]],unidades!$A:$A,unidades!$C:$C,"",0)</f>
        <v>Nova Iguaçu</v>
      </c>
      <c r="O1336" s="1" t="str">
        <f>_xlfn.XLOOKUP(ocupacao[[#This Row],[EspecialidadeID]],especialidades!$A:$A,especialidades!$B:$B,"",0)</f>
        <v>CLINICA GERAL</v>
      </c>
      <c r="P1336" s="1" t="str">
        <f>TEXT(WEEKDAY(ocupacao[[#This Row],[Data]]),"ddd")</f>
        <v>seg</v>
      </c>
      <c r="Q1336" s="1">
        <f t="shared" si="20"/>
        <v>0</v>
      </c>
    </row>
    <row r="1337" spans="1:17" x14ac:dyDescent="0.25">
      <c r="A1337" s="2">
        <v>44753</v>
      </c>
      <c r="B1337">
        <v>0</v>
      </c>
      <c r="C1337">
        <v>9</v>
      </c>
      <c r="D1337">
        <v>339</v>
      </c>
      <c r="E1337">
        <v>13992</v>
      </c>
      <c r="F1337" s="1" t="s">
        <v>346</v>
      </c>
      <c r="G1337">
        <v>0</v>
      </c>
      <c r="H1337">
        <v>0</v>
      </c>
      <c r="I1337">
        <v>120</v>
      </c>
      <c r="J1337">
        <v>120</v>
      </c>
      <c r="K1337" s="33">
        <v>0</v>
      </c>
      <c r="L1337" s="1"/>
      <c r="M1337" s="1" t="str">
        <f>_xlfn.XLOOKUP(ocupacao[[#This Row],[UnidadeID]],unidades!$A:$A,unidades!$B:$B,"",0)</f>
        <v>Matriz</v>
      </c>
      <c r="N1337" s="1" t="str">
        <f>_xlfn.XLOOKUP(ocupacao[[#This Row],[UnidadeID]],unidades!$A:$A,unidades!$C:$C,"",0)</f>
        <v>Nova Iguaçu</v>
      </c>
      <c r="O1337" s="1" t="str">
        <f>_xlfn.XLOOKUP(ocupacao[[#This Row],[EspecialidadeID]],especialidades!$A:$A,especialidades!$B:$B,"",0)</f>
        <v>CLINICA GERAL</v>
      </c>
      <c r="P1337" s="1" t="str">
        <f>TEXT(WEEKDAY(ocupacao[[#This Row],[Data]]),"ddd")</f>
        <v>seg</v>
      </c>
      <c r="Q1337" s="1">
        <f t="shared" si="20"/>
        <v>0</v>
      </c>
    </row>
    <row r="1338" spans="1:17" x14ac:dyDescent="0.25">
      <c r="A1338" s="2">
        <v>44753</v>
      </c>
      <c r="B1338">
        <v>34</v>
      </c>
      <c r="C1338">
        <v>9</v>
      </c>
      <c r="D1338">
        <v>369</v>
      </c>
      <c r="E1338">
        <v>17936</v>
      </c>
      <c r="F1338" s="1" t="s">
        <v>347</v>
      </c>
      <c r="G1338">
        <v>0</v>
      </c>
      <c r="H1338">
        <v>0</v>
      </c>
      <c r="I1338">
        <v>120</v>
      </c>
      <c r="J1338">
        <v>120</v>
      </c>
      <c r="K1338" s="33">
        <v>0</v>
      </c>
      <c r="L1338" s="1"/>
      <c r="M1338" s="1" t="str">
        <f>_xlfn.XLOOKUP(ocupacao[[#This Row],[UnidadeID]],unidades!$A:$A,unidades!$B:$B,"",0)</f>
        <v>São João</v>
      </c>
      <c r="N1338" s="1" t="str">
        <f>_xlfn.XLOOKUP(ocupacao[[#This Row],[UnidadeID]],unidades!$A:$A,unidades!$C:$C,"",0)</f>
        <v>São João de Meriti</v>
      </c>
      <c r="O1338" s="1" t="str">
        <f>_xlfn.XLOOKUP(ocupacao[[#This Row],[EspecialidadeID]],especialidades!$A:$A,especialidades!$B:$B,"",0)</f>
        <v>CLINICA GERAL</v>
      </c>
      <c r="P1338" s="1" t="str">
        <f>TEXT(WEEKDAY(ocupacao[[#This Row],[Data]]),"ddd")</f>
        <v>seg</v>
      </c>
      <c r="Q1338" s="1">
        <f t="shared" si="20"/>
        <v>0</v>
      </c>
    </row>
    <row r="1339" spans="1:17" hidden="1" x14ac:dyDescent="0.25">
      <c r="A1339" s="2">
        <v>44754</v>
      </c>
      <c r="B1339">
        <v>0</v>
      </c>
      <c r="C1339">
        <v>9</v>
      </c>
      <c r="D1339">
        <v>345</v>
      </c>
      <c r="E1339">
        <v>66</v>
      </c>
      <c r="F1339" s="1" t="s">
        <v>89</v>
      </c>
      <c r="G1339">
        <v>0</v>
      </c>
      <c r="H1339">
        <v>0</v>
      </c>
      <c r="I1339">
        <v>120</v>
      </c>
      <c r="J1339">
        <v>120</v>
      </c>
      <c r="K1339" s="33">
        <v>0</v>
      </c>
      <c r="L1339" s="1"/>
      <c r="M1339" s="1"/>
      <c r="N1339" s="1"/>
      <c r="O1339" s="1"/>
      <c r="P1339" s="1"/>
      <c r="Q1339" s="1"/>
    </row>
    <row r="1340" spans="1:17" x14ac:dyDescent="0.25">
      <c r="A1340" s="2">
        <v>44754</v>
      </c>
      <c r="B1340">
        <v>0</v>
      </c>
      <c r="C1340">
        <v>9</v>
      </c>
      <c r="D1340">
        <v>346</v>
      </c>
      <c r="E1340">
        <v>11634</v>
      </c>
      <c r="F1340" s="1" t="s">
        <v>102</v>
      </c>
      <c r="G1340">
        <v>0</v>
      </c>
      <c r="H1340">
        <v>0</v>
      </c>
      <c r="I1340">
        <v>144</v>
      </c>
      <c r="J1340">
        <v>144</v>
      </c>
      <c r="K1340" s="33">
        <v>0</v>
      </c>
      <c r="L1340" s="1"/>
      <c r="M1340" s="1" t="str">
        <f>_xlfn.XLOOKUP(ocupacao[[#This Row],[UnidadeID]],unidades!$A:$A,unidades!$B:$B,"",0)</f>
        <v>Matriz</v>
      </c>
      <c r="N1340" s="1" t="str">
        <f>_xlfn.XLOOKUP(ocupacao[[#This Row],[UnidadeID]],unidades!$A:$A,unidades!$C:$C,"",0)</f>
        <v>Nova Iguaçu</v>
      </c>
      <c r="O1340" s="1" t="str">
        <f>_xlfn.XLOOKUP(ocupacao[[#This Row],[EspecialidadeID]],especialidades!$A:$A,especialidades!$B:$B,"",0)</f>
        <v>CLINICA GERAL</v>
      </c>
      <c r="P1340" s="1" t="str">
        <f>TEXT(WEEKDAY(ocupacao[[#This Row],[Data]]),"ddd")</f>
        <v>ter</v>
      </c>
      <c r="Q1340" s="1">
        <f t="shared" si="20"/>
        <v>0</v>
      </c>
    </row>
    <row r="1341" spans="1:17" hidden="1" x14ac:dyDescent="0.25">
      <c r="A1341" s="2"/>
      <c r="F1341" s="1"/>
      <c r="K1341" s="33"/>
      <c r="L1341" s="1"/>
      <c r="M1341" s="1"/>
      <c r="N1341" s="1"/>
      <c r="O1341" s="1"/>
      <c r="P1341" s="1"/>
      <c r="Q1341" s="1"/>
    </row>
    <row r="1342" spans="1:17" x14ac:dyDescent="0.25">
      <c r="A1342" s="2">
        <v>44754</v>
      </c>
      <c r="B1342">
        <v>18</v>
      </c>
      <c r="C1342">
        <v>9</v>
      </c>
      <c r="D1342">
        <v>79</v>
      </c>
      <c r="E1342">
        <v>13295</v>
      </c>
      <c r="F1342" s="1" t="s">
        <v>98</v>
      </c>
      <c r="G1342">
        <v>0</v>
      </c>
      <c r="H1342">
        <v>0</v>
      </c>
      <c r="I1342">
        <v>60</v>
      </c>
      <c r="J1342">
        <v>60</v>
      </c>
      <c r="K1342" s="33">
        <v>0</v>
      </c>
      <c r="L1342" s="1"/>
      <c r="M1342" s="1" t="str">
        <f>_xlfn.XLOOKUP(ocupacao[[#This Row],[UnidadeID]],unidades!$A:$A,unidades!$B:$B,"",0)</f>
        <v>Miguel Couto</v>
      </c>
      <c r="N1342" s="1" t="str">
        <f>_xlfn.XLOOKUP(ocupacao[[#This Row],[UnidadeID]],unidades!$A:$A,unidades!$C:$C,"",0)</f>
        <v>Miguel Couto</v>
      </c>
      <c r="O1342" s="1" t="str">
        <f>_xlfn.XLOOKUP(ocupacao[[#This Row],[EspecialidadeID]],especialidades!$A:$A,especialidades!$B:$B,"",0)</f>
        <v>CLINICA GERAL</v>
      </c>
      <c r="P1342" s="1" t="str">
        <f>TEXT(WEEKDAY(ocupacao[[#This Row],[Data]]),"ddd")</f>
        <v>ter</v>
      </c>
      <c r="Q1342" s="1">
        <f t="shared" si="20"/>
        <v>0</v>
      </c>
    </row>
    <row r="1343" spans="1:17" x14ac:dyDescent="0.25">
      <c r="A1343" s="2">
        <v>44754</v>
      </c>
      <c r="B1343">
        <v>0</v>
      </c>
      <c r="C1343">
        <v>9</v>
      </c>
      <c r="D1343">
        <v>339</v>
      </c>
      <c r="E1343">
        <v>13479</v>
      </c>
      <c r="F1343" s="1" t="s">
        <v>103</v>
      </c>
      <c r="G1343">
        <v>0</v>
      </c>
      <c r="H1343">
        <v>0</v>
      </c>
      <c r="I1343">
        <v>132</v>
      </c>
      <c r="J1343">
        <v>132</v>
      </c>
      <c r="K1343" s="33">
        <v>0</v>
      </c>
      <c r="L1343" s="1"/>
      <c r="M1343" s="1" t="str">
        <f>_xlfn.XLOOKUP(ocupacao[[#This Row],[UnidadeID]],unidades!$A:$A,unidades!$B:$B,"",0)</f>
        <v>Matriz</v>
      </c>
      <c r="N1343" s="1" t="str">
        <f>_xlfn.XLOOKUP(ocupacao[[#This Row],[UnidadeID]],unidades!$A:$A,unidades!$C:$C,"",0)</f>
        <v>Nova Iguaçu</v>
      </c>
      <c r="O1343" s="1" t="str">
        <f>_xlfn.XLOOKUP(ocupacao[[#This Row],[EspecialidadeID]],especialidades!$A:$A,especialidades!$B:$B,"",0)</f>
        <v>CLINICA GERAL</v>
      </c>
      <c r="P1343" s="1" t="str">
        <f>TEXT(WEEKDAY(ocupacao[[#This Row],[Data]]),"ddd")</f>
        <v>ter</v>
      </c>
      <c r="Q1343" s="1">
        <f t="shared" si="20"/>
        <v>0</v>
      </c>
    </row>
    <row r="1344" spans="1:17" x14ac:dyDescent="0.25">
      <c r="A1344" s="2">
        <v>44754</v>
      </c>
      <c r="B1344">
        <v>33</v>
      </c>
      <c r="C1344">
        <v>9</v>
      </c>
      <c r="D1344">
        <v>368</v>
      </c>
      <c r="E1344">
        <v>13660</v>
      </c>
      <c r="F1344" s="1" t="s">
        <v>112</v>
      </c>
      <c r="G1344">
        <v>0</v>
      </c>
      <c r="H1344">
        <v>0</v>
      </c>
      <c r="I1344">
        <v>41</v>
      </c>
      <c r="J1344">
        <v>41</v>
      </c>
      <c r="K1344" s="33">
        <v>0</v>
      </c>
      <c r="L1344" s="1"/>
      <c r="M1344" s="1" t="str">
        <f>_xlfn.XLOOKUP(ocupacao[[#This Row],[UnidadeID]],unidades!$A:$A,unidades!$B:$B,"",0)</f>
        <v>Seggastro</v>
      </c>
      <c r="N1344" s="1" t="str">
        <f>_xlfn.XLOOKUP(ocupacao[[#This Row],[UnidadeID]],unidades!$A:$A,unidades!$C:$C,"",0)</f>
        <v>Nova Iguaçu</v>
      </c>
      <c r="O1344" s="1" t="str">
        <f>_xlfn.XLOOKUP(ocupacao[[#This Row],[EspecialidadeID]],especialidades!$A:$A,especialidades!$B:$B,"",0)</f>
        <v>CLINICA GERAL</v>
      </c>
      <c r="P1344" s="1" t="str">
        <f>TEXT(WEEKDAY(ocupacao[[#This Row],[Data]]),"ddd")</f>
        <v>ter</v>
      </c>
      <c r="Q1344" s="1">
        <f t="shared" si="20"/>
        <v>0</v>
      </c>
    </row>
    <row r="1345" spans="1:17" x14ac:dyDescent="0.25">
      <c r="A1345" s="2">
        <v>44754</v>
      </c>
      <c r="B1345">
        <v>34</v>
      </c>
      <c r="C1345">
        <v>9</v>
      </c>
      <c r="D1345">
        <v>369</v>
      </c>
      <c r="E1345">
        <v>14461</v>
      </c>
      <c r="F1345" s="1" t="s">
        <v>306</v>
      </c>
      <c r="G1345">
        <v>0</v>
      </c>
      <c r="H1345">
        <v>0</v>
      </c>
      <c r="I1345">
        <v>120</v>
      </c>
      <c r="J1345">
        <v>120</v>
      </c>
      <c r="K1345" s="33">
        <v>0</v>
      </c>
      <c r="L1345" s="1"/>
      <c r="M1345" s="1" t="str">
        <f>_xlfn.XLOOKUP(ocupacao[[#This Row],[UnidadeID]],unidades!$A:$A,unidades!$B:$B,"",0)</f>
        <v>São João</v>
      </c>
      <c r="N1345" s="1" t="str">
        <f>_xlfn.XLOOKUP(ocupacao[[#This Row],[UnidadeID]],unidades!$A:$A,unidades!$C:$C,"",0)</f>
        <v>São João de Meriti</v>
      </c>
      <c r="O1345" s="1" t="str">
        <f>_xlfn.XLOOKUP(ocupacao[[#This Row],[EspecialidadeID]],especialidades!$A:$A,especialidades!$B:$B,"",0)</f>
        <v>CLINICA GERAL</v>
      </c>
      <c r="P1345" s="1" t="str">
        <f>TEXT(WEEKDAY(ocupacao[[#This Row],[Data]]),"ddd")</f>
        <v>ter</v>
      </c>
      <c r="Q1345" s="1">
        <f t="shared" si="20"/>
        <v>0</v>
      </c>
    </row>
    <row r="1346" spans="1:17" x14ac:dyDescent="0.25">
      <c r="A1346" s="2">
        <v>44754</v>
      </c>
      <c r="B1346">
        <v>24</v>
      </c>
      <c r="C1346">
        <v>9</v>
      </c>
      <c r="D1346">
        <v>60</v>
      </c>
      <c r="E1346">
        <v>17863</v>
      </c>
      <c r="F1346" s="1" t="s">
        <v>150</v>
      </c>
      <c r="G1346">
        <v>0</v>
      </c>
      <c r="H1346">
        <v>0</v>
      </c>
      <c r="I1346">
        <v>59</v>
      </c>
      <c r="J1346">
        <v>59</v>
      </c>
      <c r="K1346" s="33">
        <v>0</v>
      </c>
      <c r="L1346" s="1"/>
      <c r="M1346" s="1" t="str">
        <f>_xlfn.XLOOKUP(ocupacao[[#This Row],[UnidadeID]],unidades!$A:$A,unidades!$B:$B,"",0)</f>
        <v>Nilópolis</v>
      </c>
      <c r="N1346" s="1" t="str">
        <f>_xlfn.XLOOKUP(ocupacao[[#This Row],[UnidadeID]],unidades!$A:$A,unidades!$C:$C,"",0)</f>
        <v>Nilópolis</v>
      </c>
      <c r="O1346" s="1" t="str">
        <f>_xlfn.XLOOKUP(ocupacao[[#This Row],[EspecialidadeID]],especialidades!$A:$A,especialidades!$B:$B,"",0)</f>
        <v>CLINICA GERAL</v>
      </c>
      <c r="P1346" s="1" t="str">
        <f>TEXT(WEEKDAY(ocupacao[[#This Row],[Data]]),"ddd")</f>
        <v>ter</v>
      </c>
      <c r="Q1346" s="1">
        <f t="shared" ref="Q1346:Q1409" si="21">IF(F1346=F1347,1,0)</f>
        <v>0</v>
      </c>
    </row>
    <row r="1347" spans="1:17" x14ac:dyDescent="0.25">
      <c r="A1347" s="2">
        <v>44755</v>
      </c>
      <c r="B1347">
        <v>0</v>
      </c>
      <c r="C1347">
        <v>9</v>
      </c>
      <c r="D1347">
        <v>345</v>
      </c>
      <c r="E1347">
        <v>66</v>
      </c>
      <c r="F1347" s="1" t="s">
        <v>89</v>
      </c>
      <c r="G1347">
        <v>0</v>
      </c>
      <c r="H1347">
        <v>0</v>
      </c>
      <c r="I1347">
        <v>77</v>
      </c>
      <c r="J1347">
        <v>77</v>
      </c>
      <c r="K1347" s="33">
        <v>0</v>
      </c>
      <c r="L1347" s="1"/>
      <c r="M1347" s="1" t="str">
        <f>_xlfn.XLOOKUP(ocupacao[[#This Row],[UnidadeID]],unidades!$A:$A,unidades!$B:$B,"",0)</f>
        <v>Matriz</v>
      </c>
      <c r="N1347" s="1" t="str">
        <f>_xlfn.XLOOKUP(ocupacao[[#This Row],[UnidadeID]],unidades!$A:$A,unidades!$C:$C,"",0)</f>
        <v>Nova Iguaçu</v>
      </c>
      <c r="O1347" s="1" t="str">
        <f>_xlfn.XLOOKUP(ocupacao[[#This Row],[EspecialidadeID]],especialidades!$A:$A,especialidades!$B:$B,"",0)</f>
        <v>CLINICA GERAL</v>
      </c>
      <c r="P1347" s="1" t="str">
        <f>TEXT(WEEKDAY(ocupacao[[#This Row],[Data]]),"ddd")</f>
        <v>qua</v>
      </c>
      <c r="Q1347" s="1">
        <f t="shared" si="21"/>
        <v>0</v>
      </c>
    </row>
    <row r="1348" spans="1:17" hidden="1" x14ac:dyDescent="0.25">
      <c r="A1348" s="2">
        <v>44755</v>
      </c>
      <c r="B1348">
        <v>18</v>
      </c>
      <c r="C1348">
        <v>9</v>
      </c>
      <c r="D1348">
        <v>79</v>
      </c>
      <c r="E1348">
        <v>9207</v>
      </c>
      <c r="F1348" s="1" t="s">
        <v>118</v>
      </c>
      <c r="G1348">
        <v>12</v>
      </c>
      <c r="H1348">
        <v>0</v>
      </c>
      <c r="I1348">
        <v>108</v>
      </c>
      <c r="J1348">
        <v>120</v>
      </c>
      <c r="K1348" s="33">
        <v>0.1</v>
      </c>
      <c r="L1348" s="1"/>
      <c r="M1348" s="1"/>
      <c r="N1348" s="1"/>
      <c r="O1348" s="1"/>
      <c r="P1348" s="1"/>
      <c r="Q1348" s="1"/>
    </row>
    <row r="1349" spans="1:17" x14ac:dyDescent="0.25">
      <c r="A1349" s="2">
        <v>44755</v>
      </c>
      <c r="B1349">
        <v>24</v>
      </c>
      <c r="C1349">
        <v>9</v>
      </c>
      <c r="D1349">
        <v>61</v>
      </c>
      <c r="E1349">
        <v>9654</v>
      </c>
      <c r="F1349" s="1" t="s">
        <v>139</v>
      </c>
      <c r="G1349">
        <v>0</v>
      </c>
      <c r="H1349">
        <v>0</v>
      </c>
      <c r="I1349">
        <v>120</v>
      </c>
      <c r="J1349">
        <v>120</v>
      </c>
      <c r="K1349" s="33">
        <v>0</v>
      </c>
      <c r="L1349" s="1"/>
      <c r="M1349" s="1" t="str">
        <f>_xlfn.XLOOKUP(ocupacao[[#This Row],[UnidadeID]],unidades!$A:$A,unidades!$B:$B,"",0)</f>
        <v>Nilópolis</v>
      </c>
      <c r="N1349" s="1" t="str">
        <f>_xlfn.XLOOKUP(ocupacao[[#This Row],[UnidadeID]],unidades!$A:$A,unidades!$C:$C,"",0)</f>
        <v>Nilópolis</v>
      </c>
      <c r="O1349" s="1" t="str">
        <f>_xlfn.XLOOKUP(ocupacao[[#This Row],[EspecialidadeID]],especialidades!$A:$A,especialidades!$B:$B,"",0)</f>
        <v>CLINICA GERAL</v>
      </c>
      <c r="P1349" s="1" t="str">
        <f>TEXT(WEEKDAY(ocupacao[[#This Row],[Data]]),"ddd")</f>
        <v>qua</v>
      </c>
      <c r="Q1349" s="1">
        <f t="shared" si="21"/>
        <v>0</v>
      </c>
    </row>
    <row r="1350" spans="1:17" x14ac:dyDescent="0.25">
      <c r="A1350" s="2">
        <v>44755</v>
      </c>
      <c r="B1350">
        <v>0</v>
      </c>
      <c r="C1350">
        <v>9</v>
      </c>
      <c r="D1350">
        <v>345</v>
      </c>
      <c r="E1350">
        <v>12482</v>
      </c>
      <c r="F1350" s="1" t="s">
        <v>97</v>
      </c>
      <c r="G1350">
        <v>0</v>
      </c>
      <c r="H1350">
        <v>0</v>
      </c>
      <c r="I1350">
        <v>60</v>
      </c>
      <c r="J1350">
        <v>60</v>
      </c>
      <c r="K1350" s="33">
        <v>0</v>
      </c>
      <c r="L1350" s="1"/>
      <c r="M1350" s="1" t="str">
        <f>_xlfn.XLOOKUP(ocupacao[[#This Row],[UnidadeID]],unidades!$A:$A,unidades!$B:$B,"",0)</f>
        <v>Matriz</v>
      </c>
      <c r="N1350" s="1" t="str">
        <f>_xlfn.XLOOKUP(ocupacao[[#This Row],[UnidadeID]],unidades!$A:$A,unidades!$C:$C,"",0)</f>
        <v>Nova Iguaçu</v>
      </c>
      <c r="O1350" s="1" t="str">
        <f>_xlfn.XLOOKUP(ocupacao[[#This Row],[EspecialidadeID]],especialidades!$A:$A,especialidades!$B:$B,"",0)</f>
        <v>CLINICA GERAL</v>
      </c>
      <c r="P1350" s="1" t="str">
        <f>TEXT(WEEKDAY(ocupacao[[#This Row],[Data]]),"ddd")</f>
        <v>qua</v>
      </c>
      <c r="Q1350" s="1">
        <f t="shared" si="21"/>
        <v>0</v>
      </c>
    </row>
    <row r="1351" spans="1:17" x14ac:dyDescent="0.25">
      <c r="A1351" s="2">
        <v>44755</v>
      </c>
      <c r="B1351">
        <v>0</v>
      </c>
      <c r="C1351">
        <v>9</v>
      </c>
      <c r="D1351">
        <v>346</v>
      </c>
      <c r="E1351">
        <v>13295</v>
      </c>
      <c r="F1351" s="1" t="s">
        <v>98</v>
      </c>
      <c r="G1351">
        <v>0</v>
      </c>
      <c r="H1351">
        <v>0</v>
      </c>
      <c r="I1351">
        <v>120</v>
      </c>
      <c r="J1351">
        <v>120</v>
      </c>
      <c r="K1351" s="33">
        <v>0</v>
      </c>
      <c r="L1351" s="1"/>
      <c r="M1351" s="1" t="str">
        <f>_xlfn.XLOOKUP(ocupacao[[#This Row],[UnidadeID]],unidades!$A:$A,unidades!$B:$B,"",0)</f>
        <v>Matriz</v>
      </c>
      <c r="N1351" s="1" t="str">
        <f>_xlfn.XLOOKUP(ocupacao[[#This Row],[UnidadeID]],unidades!$A:$A,unidades!$C:$C,"",0)</f>
        <v>Nova Iguaçu</v>
      </c>
      <c r="O1351" s="1" t="str">
        <f>_xlfn.XLOOKUP(ocupacao[[#This Row],[EspecialidadeID]],especialidades!$A:$A,especialidades!$B:$B,"",0)</f>
        <v>CLINICA GERAL</v>
      </c>
      <c r="P1351" s="1" t="str">
        <f>TEXT(WEEKDAY(ocupacao[[#This Row],[Data]]),"ddd")</f>
        <v>qua</v>
      </c>
      <c r="Q1351" s="1">
        <f t="shared" si="21"/>
        <v>0</v>
      </c>
    </row>
    <row r="1352" spans="1:17" x14ac:dyDescent="0.25">
      <c r="A1352" s="2">
        <v>44755</v>
      </c>
      <c r="B1352">
        <v>0</v>
      </c>
      <c r="C1352">
        <v>9</v>
      </c>
      <c r="D1352">
        <v>339</v>
      </c>
      <c r="E1352">
        <v>13479</v>
      </c>
      <c r="F1352" s="1" t="s">
        <v>103</v>
      </c>
      <c r="G1352">
        <v>0</v>
      </c>
      <c r="H1352">
        <v>0</v>
      </c>
      <c r="I1352">
        <v>132</v>
      </c>
      <c r="J1352">
        <v>132</v>
      </c>
      <c r="K1352" s="33">
        <v>0</v>
      </c>
      <c r="L1352" s="1"/>
      <c r="M1352" s="1" t="str">
        <f>_xlfn.XLOOKUP(ocupacao[[#This Row],[UnidadeID]],unidades!$A:$A,unidades!$B:$B,"",0)</f>
        <v>Matriz</v>
      </c>
      <c r="N1352" s="1" t="str">
        <f>_xlfn.XLOOKUP(ocupacao[[#This Row],[UnidadeID]],unidades!$A:$A,unidades!$C:$C,"",0)</f>
        <v>Nova Iguaçu</v>
      </c>
      <c r="O1352" s="1" t="str">
        <f>_xlfn.XLOOKUP(ocupacao[[#This Row],[EspecialidadeID]],especialidades!$A:$A,especialidades!$B:$B,"",0)</f>
        <v>CLINICA GERAL</v>
      </c>
      <c r="P1352" s="1" t="str">
        <f>TEXT(WEEKDAY(ocupacao[[#This Row],[Data]]),"ddd")</f>
        <v>qua</v>
      </c>
      <c r="Q1352" s="1">
        <f t="shared" si="21"/>
        <v>0</v>
      </c>
    </row>
    <row r="1353" spans="1:17" hidden="1" x14ac:dyDescent="0.25">
      <c r="A1353" s="2"/>
      <c r="F1353" s="1"/>
      <c r="K1353" s="33"/>
      <c r="L1353" s="1"/>
      <c r="M1353" s="1"/>
      <c r="N1353" s="1"/>
      <c r="O1353" s="1"/>
      <c r="P1353" s="1"/>
      <c r="Q1353" s="1"/>
    </row>
    <row r="1354" spans="1:17" x14ac:dyDescent="0.25">
      <c r="A1354" s="2">
        <v>44755</v>
      </c>
      <c r="B1354">
        <v>33</v>
      </c>
      <c r="C1354">
        <v>9</v>
      </c>
      <c r="D1354">
        <v>368</v>
      </c>
      <c r="E1354">
        <v>13660</v>
      </c>
      <c r="F1354" s="1" t="s">
        <v>112</v>
      </c>
      <c r="G1354">
        <v>0</v>
      </c>
      <c r="H1354">
        <v>0</v>
      </c>
      <c r="I1354">
        <v>27</v>
      </c>
      <c r="J1354">
        <v>27</v>
      </c>
      <c r="K1354" s="33">
        <v>0</v>
      </c>
      <c r="L1354" s="1"/>
      <c r="M1354" s="1" t="str">
        <f>_xlfn.XLOOKUP(ocupacao[[#This Row],[UnidadeID]],unidades!$A:$A,unidades!$B:$B,"",0)</f>
        <v>Seggastro</v>
      </c>
      <c r="N1354" s="1" t="str">
        <f>_xlfn.XLOOKUP(ocupacao[[#This Row],[UnidadeID]],unidades!$A:$A,unidades!$C:$C,"",0)</f>
        <v>Nova Iguaçu</v>
      </c>
      <c r="O1354" s="1" t="str">
        <f>_xlfn.XLOOKUP(ocupacao[[#This Row],[EspecialidadeID]],especialidades!$A:$A,especialidades!$B:$B,"",0)</f>
        <v>CLINICA GERAL</v>
      </c>
      <c r="P1354" s="1" t="str">
        <f>TEXT(WEEKDAY(ocupacao[[#This Row],[Data]]),"ddd")</f>
        <v>qua</v>
      </c>
      <c r="Q1354" s="1">
        <f t="shared" si="21"/>
        <v>0</v>
      </c>
    </row>
    <row r="1355" spans="1:17" x14ac:dyDescent="0.25">
      <c r="A1355" s="2">
        <v>44755</v>
      </c>
      <c r="B1355">
        <v>34</v>
      </c>
      <c r="C1355">
        <v>9</v>
      </c>
      <c r="D1355">
        <v>369</v>
      </c>
      <c r="E1355">
        <v>14410</v>
      </c>
      <c r="F1355" s="1" t="s">
        <v>307</v>
      </c>
      <c r="G1355">
        <v>0</v>
      </c>
      <c r="H1355">
        <v>0</v>
      </c>
      <c r="I1355">
        <v>120</v>
      </c>
      <c r="J1355">
        <v>120</v>
      </c>
      <c r="K1355" s="33">
        <v>0</v>
      </c>
      <c r="L1355" s="1"/>
      <c r="M1355" s="1" t="str">
        <f>_xlfn.XLOOKUP(ocupacao[[#This Row],[UnidadeID]],unidades!$A:$A,unidades!$B:$B,"",0)</f>
        <v>São João</v>
      </c>
      <c r="N1355" s="1" t="str">
        <f>_xlfn.XLOOKUP(ocupacao[[#This Row],[UnidadeID]],unidades!$A:$A,unidades!$C:$C,"",0)</f>
        <v>São João de Meriti</v>
      </c>
      <c r="O1355" s="1" t="str">
        <f>_xlfn.XLOOKUP(ocupacao[[#This Row],[EspecialidadeID]],especialidades!$A:$A,especialidades!$B:$B,"",0)</f>
        <v>CLINICA GERAL</v>
      </c>
      <c r="P1355" s="1" t="str">
        <f>TEXT(WEEKDAY(ocupacao[[#This Row],[Data]]),"ddd")</f>
        <v>qua</v>
      </c>
      <c r="Q1355" s="1">
        <f t="shared" si="21"/>
        <v>0</v>
      </c>
    </row>
    <row r="1356" spans="1:17" hidden="1" x14ac:dyDescent="0.25">
      <c r="A1356" s="2">
        <v>44755</v>
      </c>
      <c r="B1356">
        <v>0</v>
      </c>
      <c r="C1356">
        <v>9</v>
      </c>
      <c r="D1356">
        <v>341</v>
      </c>
      <c r="E1356">
        <v>17862</v>
      </c>
      <c r="F1356" s="1" t="s">
        <v>363</v>
      </c>
      <c r="G1356">
        <v>0</v>
      </c>
      <c r="H1356">
        <v>0</v>
      </c>
      <c r="I1356">
        <v>72</v>
      </c>
      <c r="J1356">
        <v>72</v>
      </c>
      <c r="K1356" s="33">
        <v>0</v>
      </c>
      <c r="L1356" s="1"/>
      <c r="M1356" s="1"/>
      <c r="N1356" s="1"/>
      <c r="O1356" s="1"/>
      <c r="P1356" s="1"/>
      <c r="Q1356" s="1"/>
    </row>
    <row r="1357" spans="1:17" x14ac:dyDescent="0.25">
      <c r="A1357" s="2">
        <v>44756</v>
      </c>
      <c r="B1357">
        <v>0</v>
      </c>
      <c r="C1357">
        <v>9</v>
      </c>
      <c r="D1357">
        <v>345</v>
      </c>
      <c r="E1357">
        <v>66</v>
      </c>
      <c r="F1357" s="1" t="s">
        <v>89</v>
      </c>
      <c r="G1357">
        <v>0</v>
      </c>
      <c r="H1357">
        <v>0</v>
      </c>
      <c r="I1357">
        <v>64</v>
      </c>
      <c r="J1357">
        <v>64</v>
      </c>
      <c r="K1357" s="33">
        <v>0</v>
      </c>
      <c r="L1357" s="1"/>
      <c r="M1357" s="1" t="str">
        <f>_xlfn.XLOOKUP(ocupacao[[#This Row],[UnidadeID]],unidades!$A:$A,unidades!$B:$B,"",0)</f>
        <v>Matriz</v>
      </c>
      <c r="N1357" s="1" t="str">
        <f>_xlfn.XLOOKUP(ocupacao[[#This Row],[UnidadeID]],unidades!$A:$A,unidades!$C:$C,"",0)</f>
        <v>Nova Iguaçu</v>
      </c>
      <c r="O1357" s="1" t="str">
        <f>_xlfn.XLOOKUP(ocupacao[[#This Row],[EspecialidadeID]],especialidades!$A:$A,especialidades!$B:$B,"",0)</f>
        <v>CLINICA GERAL</v>
      </c>
      <c r="P1357" s="1" t="str">
        <f>TEXT(WEEKDAY(ocupacao[[#This Row],[Data]]),"ddd")</f>
        <v>qui</v>
      </c>
      <c r="Q1357" s="1">
        <f t="shared" si="21"/>
        <v>0</v>
      </c>
    </row>
    <row r="1358" spans="1:17" x14ac:dyDescent="0.25">
      <c r="A1358" s="2">
        <v>44756</v>
      </c>
      <c r="B1358">
        <v>18</v>
      </c>
      <c r="C1358">
        <v>9</v>
      </c>
      <c r="D1358">
        <v>79</v>
      </c>
      <c r="E1358">
        <v>9207</v>
      </c>
      <c r="F1358" s="1" t="s">
        <v>118</v>
      </c>
      <c r="G1358">
        <v>12</v>
      </c>
      <c r="H1358">
        <v>0</v>
      </c>
      <c r="I1358">
        <v>108</v>
      </c>
      <c r="J1358">
        <v>120</v>
      </c>
      <c r="K1358" s="33">
        <v>0.1</v>
      </c>
      <c r="L1358" s="1"/>
      <c r="M1358" s="1" t="str">
        <f>_xlfn.XLOOKUP(ocupacao[[#This Row],[UnidadeID]],unidades!$A:$A,unidades!$B:$B,"",0)</f>
        <v>Miguel Couto</v>
      </c>
      <c r="N1358" s="1" t="str">
        <f>_xlfn.XLOOKUP(ocupacao[[#This Row],[UnidadeID]],unidades!$A:$A,unidades!$C:$C,"",0)</f>
        <v>Miguel Couto</v>
      </c>
      <c r="O1358" s="1" t="str">
        <f>_xlfn.XLOOKUP(ocupacao[[#This Row],[EspecialidadeID]],especialidades!$A:$A,especialidades!$B:$B,"",0)</f>
        <v>CLINICA GERAL</v>
      </c>
      <c r="P1358" s="1" t="str">
        <f>TEXT(WEEKDAY(ocupacao[[#This Row],[Data]]),"ddd")</f>
        <v>qui</v>
      </c>
      <c r="Q1358" s="1">
        <f t="shared" si="21"/>
        <v>0</v>
      </c>
    </row>
    <row r="1359" spans="1:17" hidden="1" x14ac:dyDescent="0.25">
      <c r="A1359" s="2">
        <v>44756</v>
      </c>
      <c r="B1359">
        <v>0</v>
      </c>
      <c r="C1359">
        <v>9</v>
      </c>
      <c r="D1359">
        <v>348</v>
      </c>
      <c r="E1359">
        <v>11634</v>
      </c>
      <c r="F1359" s="1" t="s">
        <v>102</v>
      </c>
      <c r="G1359">
        <v>0</v>
      </c>
      <c r="H1359">
        <v>0</v>
      </c>
      <c r="I1359">
        <v>120</v>
      </c>
      <c r="J1359">
        <v>120</v>
      </c>
      <c r="K1359" s="33">
        <v>0</v>
      </c>
      <c r="L1359" s="1"/>
      <c r="M1359" s="1"/>
      <c r="N1359" s="1"/>
      <c r="O1359" s="1"/>
      <c r="P1359" s="1"/>
      <c r="Q1359" s="1"/>
    </row>
    <row r="1360" spans="1:17" x14ac:dyDescent="0.25">
      <c r="A1360" s="2">
        <v>44756</v>
      </c>
      <c r="B1360">
        <v>0</v>
      </c>
      <c r="C1360">
        <v>9</v>
      </c>
      <c r="D1360">
        <v>345</v>
      </c>
      <c r="E1360">
        <v>12482</v>
      </c>
      <c r="F1360" s="1" t="s">
        <v>97</v>
      </c>
      <c r="G1360">
        <v>0</v>
      </c>
      <c r="H1360">
        <v>0</v>
      </c>
      <c r="I1360">
        <v>60</v>
      </c>
      <c r="J1360">
        <v>60</v>
      </c>
      <c r="K1360" s="33">
        <v>0</v>
      </c>
      <c r="L1360" s="1"/>
      <c r="M1360" s="1" t="str">
        <f>_xlfn.XLOOKUP(ocupacao[[#This Row],[UnidadeID]],unidades!$A:$A,unidades!$B:$B,"",0)</f>
        <v>Matriz</v>
      </c>
      <c r="N1360" s="1" t="str">
        <f>_xlfn.XLOOKUP(ocupacao[[#This Row],[UnidadeID]],unidades!$A:$A,unidades!$C:$C,"",0)</f>
        <v>Nova Iguaçu</v>
      </c>
      <c r="O1360" s="1" t="str">
        <f>_xlfn.XLOOKUP(ocupacao[[#This Row],[EspecialidadeID]],especialidades!$A:$A,especialidades!$B:$B,"",0)</f>
        <v>CLINICA GERAL</v>
      </c>
      <c r="P1360" s="1" t="str">
        <f>TEXT(WEEKDAY(ocupacao[[#This Row],[Data]]),"ddd")</f>
        <v>qui</v>
      </c>
      <c r="Q1360" s="1">
        <f t="shared" si="21"/>
        <v>0</v>
      </c>
    </row>
    <row r="1361" spans="1:17" x14ac:dyDescent="0.25">
      <c r="A1361" s="2">
        <v>44756</v>
      </c>
      <c r="B1361">
        <v>0</v>
      </c>
      <c r="C1361">
        <v>9</v>
      </c>
      <c r="D1361">
        <v>344</v>
      </c>
      <c r="E1361">
        <v>13479</v>
      </c>
      <c r="F1361" s="1" t="s">
        <v>103</v>
      </c>
      <c r="G1361">
        <v>0</v>
      </c>
      <c r="H1361">
        <v>0</v>
      </c>
      <c r="I1361">
        <v>24</v>
      </c>
      <c r="J1361">
        <v>24</v>
      </c>
      <c r="K1361" s="33">
        <v>0</v>
      </c>
      <c r="L1361" s="1"/>
      <c r="M1361" s="1" t="str">
        <f>_xlfn.XLOOKUP(ocupacao[[#This Row],[UnidadeID]],unidades!$A:$A,unidades!$B:$B,"",0)</f>
        <v>Matriz</v>
      </c>
      <c r="N1361" s="1" t="str">
        <f>_xlfn.XLOOKUP(ocupacao[[#This Row],[UnidadeID]],unidades!$A:$A,unidades!$C:$C,"",0)</f>
        <v>Nova Iguaçu</v>
      </c>
      <c r="O1361" s="1" t="str">
        <f>_xlfn.XLOOKUP(ocupacao[[#This Row],[EspecialidadeID]],especialidades!$A:$A,especialidades!$B:$B,"",0)</f>
        <v>CLINICA GERAL</v>
      </c>
      <c r="P1361" s="1" t="str">
        <f>TEXT(WEEKDAY(ocupacao[[#This Row],[Data]]),"ddd")</f>
        <v>qui</v>
      </c>
      <c r="Q1361" s="1">
        <f t="shared" si="21"/>
        <v>0</v>
      </c>
    </row>
    <row r="1362" spans="1:17" x14ac:dyDescent="0.25">
      <c r="A1362" s="2">
        <v>44756</v>
      </c>
      <c r="B1362">
        <v>24</v>
      </c>
      <c r="C1362">
        <v>9</v>
      </c>
      <c r="D1362">
        <v>61</v>
      </c>
      <c r="E1362">
        <v>13487</v>
      </c>
      <c r="F1362" s="1" t="s">
        <v>122</v>
      </c>
      <c r="G1362">
        <v>0</v>
      </c>
      <c r="H1362">
        <v>0</v>
      </c>
      <c r="I1362">
        <v>120</v>
      </c>
      <c r="J1362">
        <v>120</v>
      </c>
      <c r="K1362" s="33">
        <v>0</v>
      </c>
      <c r="L1362" s="1"/>
      <c r="M1362" s="1" t="str">
        <f>_xlfn.XLOOKUP(ocupacao[[#This Row],[UnidadeID]],unidades!$A:$A,unidades!$B:$B,"",0)</f>
        <v>Nilópolis</v>
      </c>
      <c r="N1362" s="1" t="str">
        <f>_xlfn.XLOOKUP(ocupacao[[#This Row],[UnidadeID]],unidades!$A:$A,unidades!$C:$C,"",0)</f>
        <v>Nilópolis</v>
      </c>
      <c r="O1362" s="1" t="str">
        <f>_xlfn.XLOOKUP(ocupacao[[#This Row],[EspecialidadeID]],especialidades!$A:$A,especialidades!$B:$B,"",0)</f>
        <v>CLINICA GERAL</v>
      </c>
      <c r="P1362" s="1" t="str">
        <f>TEXT(WEEKDAY(ocupacao[[#This Row],[Data]]),"ddd")</f>
        <v>qui</v>
      </c>
      <c r="Q1362" s="1">
        <f t="shared" si="21"/>
        <v>0</v>
      </c>
    </row>
    <row r="1363" spans="1:17" hidden="1" x14ac:dyDescent="0.25">
      <c r="A1363" s="2"/>
      <c r="F1363" s="1"/>
      <c r="K1363" s="33"/>
      <c r="L1363" s="1"/>
      <c r="M1363" s="1"/>
      <c r="N1363" s="1"/>
      <c r="O1363" s="1"/>
      <c r="P1363" s="1"/>
      <c r="Q1363" s="1"/>
    </row>
    <row r="1364" spans="1:17" x14ac:dyDescent="0.25">
      <c r="A1364" s="2">
        <v>44756</v>
      </c>
      <c r="B1364">
        <v>0</v>
      </c>
      <c r="C1364">
        <v>9</v>
      </c>
      <c r="D1364">
        <v>346</v>
      </c>
      <c r="E1364">
        <v>13660</v>
      </c>
      <c r="F1364" s="1" t="s">
        <v>112</v>
      </c>
      <c r="G1364">
        <v>0</v>
      </c>
      <c r="H1364">
        <v>0</v>
      </c>
      <c r="I1364">
        <v>108</v>
      </c>
      <c r="J1364">
        <v>108</v>
      </c>
      <c r="K1364" s="33">
        <v>0</v>
      </c>
      <c r="L1364" s="1"/>
      <c r="M1364" s="1" t="str">
        <f>_xlfn.XLOOKUP(ocupacao[[#This Row],[UnidadeID]],unidades!$A:$A,unidades!$B:$B,"",0)</f>
        <v>Matriz</v>
      </c>
      <c r="N1364" s="1" t="str">
        <f>_xlfn.XLOOKUP(ocupacao[[#This Row],[UnidadeID]],unidades!$A:$A,unidades!$C:$C,"",0)</f>
        <v>Nova Iguaçu</v>
      </c>
      <c r="O1364" s="1" t="str">
        <f>_xlfn.XLOOKUP(ocupacao[[#This Row],[EspecialidadeID]],especialidades!$A:$A,especialidades!$B:$B,"",0)</f>
        <v>CLINICA GERAL</v>
      </c>
      <c r="P1364" s="1" t="str">
        <f>TEXT(WEEKDAY(ocupacao[[#This Row],[Data]]),"ddd")</f>
        <v>qui</v>
      </c>
      <c r="Q1364" s="1">
        <f t="shared" si="21"/>
        <v>0</v>
      </c>
    </row>
    <row r="1365" spans="1:17" x14ac:dyDescent="0.25">
      <c r="A1365" s="2">
        <v>44756</v>
      </c>
      <c r="B1365">
        <v>34</v>
      </c>
      <c r="C1365">
        <v>9</v>
      </c>
      <c r="D1365">
        <v>369</v>
      </c>
      <c r="E1365">
        <v>14410</v>
      </c>
      <c r="F1365" s="1" t="s">
        <v>307</v>
      </c>
      <c r="G1365">
        <v>0</v>
      </c>
      <c r="H1365">
        <v>0</v>
      </c>
      <c r="I1365">
        <v>120</v>
      </c>
      <c r="J1365">
        <v>120</v>
      </c>
      <c r="K1365" s="33">
        <v>0</v>
      </c>
      <c r="L1365" s="1"/>
      <c r="M1365" s="1" t="str">
        <f>_xlfn.XLOOKUP(ocupacao[[#This Row],[UnidadeID]],unidades!$A:$A,unidades!$B:$B,"",0)</f>
        <v>São João</v>
      </c>
      <c r="N1365" s="1" t="str">
        <f>_xlfn.XLOOKUP(ocupacao[[#This Row],[UnidadeID]],unidades!$A:$A,unidades!$C:$C,"",0)</f>
        <v>São João de Meriti</v>
      </c>
      <c r="O1365" s="1" t="str">
        <f>_xlfn.XLOOKUP(ocupacao[[#This Row],[EspecialidadeID]],especialidades!$A:$A,especialidades!$B:$B,"",0)</f>
        <v>CLINICA GERAL</v>
      </c>
      <c r="P1365" s="1" t="str">
        <f>TEXT(WEEKDAY(ocupacao[[#This Row],[Data]]),"ddd")</f>
        <v>qui</v>
      </c>
      <c r="Q1365" s="1">
        <f t="shared" si="21"/>
        <v>0</v>
      </c>
    </row>
    <row r="1366" spans="1:17" x14ac:dyDescent="0.25">
      <c r="A1366" s="2"/>
      <c r="F1366" s="1" t="s">
        <v>106</v>
      </c>
      <c r="K1366" s="33"/>
      <c r="L1366" s="1"/>
      <c r="M1366" s="1">
        <f>_xlfn.XLOOKUP(ocupacao[[#This Row],[UnidadeID]],unidades!$A:$A,unidades!$B:$B,"",0)</f>
        <v>0</v>
      </c>
      <c r="N1366" s="1">
        <f>_xlfn.XLOOKUP(ocupacao[[#This Row],[UnidadeID]],unidades!$A:$A,unidades!$C:$C,"",0)</f>
        <v>0</v>
      </c>
      <c r="O1366" s="1">
        <f>_xlfn.XLOOKUP(ocupacao[[#This Row],[EspecialidadeID]],especialidades!$A:$A,especialidades!$B:$B,"",0)</f>
        <v>0</v>
      </c>
      <c r="P1366" s="1" t="str">
        <f>TEXT(WEEKDAY(ocupacao[[#This Row],[Data]]),"ddd")</f>
        <v>sáb</v>
      </c>
      <c r="Q1366" s="1">
        <f t="shared" si="21"/>
        <v>0</v>
      </c>
    </row>
    <row r="1367" spans="1:17" x14ac:dyDescent="0.25">
      <c r="A1367" s="2">
        <v>44748</v>
      </c>
      <c r="B1367">
        <v>11</v>
      </c>
      <c r="C1367">
        <v>10</v>
      </c>
      <c r="D1367">
        <v>15</v>
      </c>
      <c r="E1367">
        <v>10785</v>
      </c>
      <c r="F1367" s="1" t="s">
        <v>96</v>
      </c>
      <c r="G1367">
        <v>0</v>
      </c>
      <c r="H1367">
        <v>22</v>
      </c>
      <c r="I1367">
        <v>1</v>
      </c>
      <c r="J1367">
        <v>23</v>
      </c>
      <c r="K1367" s="33">
        <v>0.95650000000000002</v>
      </c>
      <c r="L1367" s="1"/>
      <c r="M1367" s="1" t="str">
        <f>_xlfn.XLOOKUP(ocupacao[[#This Row],[UnidadeID]],unidades!$A:$A,unidades!$B:$B,"",0)</f>
        <v>Filial 2 - 11º</v>
      </c>
      <c r="N1367" s="1" t="str">
        <f>_xlfn.XLOOKUP(ocupacao[[#This Row],[UnidadeID]],unidades!$A:$A,unidades!$C:$C,"",0)</f>
        <v>Nova Iguaçu</v>
      </c>
      <c r="O1367" s="1" t="str">
        <f>_xlfn.XLOOKUP(ocupacao[[#This Row],[EspecialidadeID]],especialidades!$A:$A,especialidades!$B:$B,"",0)</f>
        <v>ALERGOLOGIA</v>
      </c>
      <c r="P1367" s="1" t="str">
        <f>TEXT(WEEKDAY(ocupacao[[#This Row],[Data]]),"ddd")</f>
        <v>qua</v>
      </c>
      <c r="Q1367" s="1">
        <f t="shared" si="21"/>
        <v>0</v>
      </c>
    </row>
    <row r="1368" spans="1:17" hidden="1" x14ac:dyDescent="0.25">
      <c r="A1368" s="2"/>
      <c r="F1368" s="1"/>
      <c r="K1368" s="33"/>
      <c r="L1368" s="1"/>
      <c r="M1368" s="1"/>
      <c r="N1368" s="1"/>
      <c r="O1368" s="1"/>
      <c r="P1368" s="1"/>
      <c r="Q1368" s="1"/>
    </row>
    <row r="1369" spans="1:17" x14ac:dyDescent="0.25">
      <c r="A1369" s="2">
        <v>44749</v>
      </c>
      <c r="B1369">
        <v>11</v>
      </c>
      <c r="C1369">
        <v>10</v>
      </c>
      <c r="D1369">
        <v>17</v>
      </c>
      <c r="E1369">
        <v>17858</v>
      </c>
      <c r="F1369" s="1" t="s">
        <v>310</v>
      </c>
      <c r="G1369">
        <v>0</v>
      </c>
      <c r="H1369">
        <v>5</v>
      </c>
      <c r="I1369">
        <v>29</v>
      </c>
      <c r="J1369">
        <v>34</v>
      </c>
      <c r="K1369" s="33">
        <v>0.14710000000000001</v>
      </c>
      <c r="L1369" s="1"/>
      <c r="M1369" s="1" t="str">
        <f>_xlfn.XLOOKUP(ocupacao[[#This Row],[UnidadeID]],unidades!$A:$A,unidades!$B:$B,"",0)</f>
        <v>Filial 2 - 11º</v>
      </c>
      <c r="N1369" s="1" t="str">
        <f>_xlfn.XLOOKUP(ocupacao[[#This Row],[UnidadeID]],unidades!$A:$A,unidades!$C:$C,"",0)</f>
        <v>Nova Iguaçu</v>
      </c>
      <c r="O1369" s="1" t="str">
        <f>_xlfn.XLOOKUP(ocupacao[[#This Row],[EspecialidadeID]],especialidades!$A:$A,especialidades!$B:$B,"",0)</f>
        <v>ALERGOLOGIA</v>
      </c>
      <c r="P1369" s="1" t="str">
        <f>TEXT(WEEKDAY(ocupacao[[#This Row],[Data]]),"ddd")</f>
        <v>qui</v>
      </c>
      <c r="Q1369" s="1">
        <f t="shared" si="21"/>
        <v>0</v>
      </c>
    </row>
    <row r="1370" spans="1:17" x14ac:dyDescent="0.25">
      <c r="A1370" s="2">
        <v>44755</v>
      </c>
      <c r="B1370">
        <v>11</v>
      </c>
      <c r="C1370">
        <v>10</v>
      </c>
      <c r="D1370">
        <v>15</v>
      </c>
      <c r="E1370">
        <v>10785</v>
      </c>
      <c r="F1370" s="1" t="s">
        <v>96</v>
      </c>
      <c r="G1370">
        <v>0</v>
      </c>
      <c r="H1370">
        <v>2</v>
      </c>
      <c r="I1370">
        <v>21</v>
      </c>
      <c r="J1370">
        <v>23</v>
      </c>
      <c r="K1370" s="33">
        <v>8.6999999999999994E-2</v>
      </c>
      <c r="L1370" s="1"/>
      <c r="M1370" s="1" t="str">
        <f>_xlfn.XLOOKUP(ocupacao[[#This Row],[UnidadeID]],unidades!$A:$A,unidades!$B:$B,"",0)</f>
        <v>Filial 2 - 11º</v>
      </c>
      <c r="N1370" s="1" t="str">
        <f>_xlfn.XLOOKUP(ocupacao[[#This Row],[UnidadeID]],unidades!$A:$A,unidades!$C:$C,"",0)</f>
        <v>Nova Iguaçu</v>
      </c>
      <c r="O1370" s="1" t="str">
        <f>_xlfn.XLOOKUP(ocupacao[[#This Row],[EspecialidadeID]],especialidades!$A:$A,especialidades!$B:$B,"",0)</f>
        <v>ALERGOLOGIA</v>
      </c>
      <c r="P1370" s="1" t="str">
        <f>TEXT(WEEKDAY(ocupacao[[#This Row],[Data]]),"ddd")</f>
        <v>qua</v>
      </c>
      <c r="Q1370" s="1">
        <f t="shared" si="21"/>
        <v>0</v>
      </c>
    </row>
    <row r="1371" spans="1:17" hidden="1" x14ac:dyDescent="0.25">
      <c r="A1371" s="2"/>
      <c r="F1371" s="1"/>
      <c r="K1371" s="33"/>
      <c r="L1371" s="1"/>
      <c r="M1371" s="1"/>
      <c r="N1371" s="1"/>
      <c r="O1371" s="1"/>
      <c r="P1371" s="1"/>
      <c r="Q1371" s="1"/>
    </row>
    <row r="1372" spans="1:17" x14ac:dyDescent="0.25">
      <c r="A1372" s="2">
        <v>44756</v>
      </c>
      <c r="B1372">
        <v>11</v>
      </c>
      <c r="C1372">
        <v>10</v>
      </c>
      <c r="D1372">
        <v>17</v>
      </c>
      <c r="E1372">
        <v>17858</v>
      </c>
      <c r="F1372" s="1" t="s">
        <v>310</v>
      </c>
      <c r="G1372">
        <v>0</v>
      </c>
      <c r="H1372">
        <v>1</v>
      </c>
      <c r="I1372">
        <v>33</v>
      </c>
      <c r="J1372">
        <v>34</v>
      </c>
      <c r="K1372" s="33">
        <v>2.9399999999999999E-2</v>
      </c>
      <c r="L1372" s="1"/>
      <c r="M1372" s="1" t="str">
        <f>_xlfn.XLOOKUP(ocupacao[[#This Row],[UnidadeID]],unidades!$A:$A,unidades!$B:$B,"",0)</f>
        <v>Filial 2 - 11º</v>
      </c>
      <c r="N1372" s="1" t="str">
        <f>_xlfn.XLOOKUP(ocupacao[[#This Row],[UnidadeID]],unidades!$A:$A,unidades!$C:$C,"",0)</f>
        <v>Nova Iguaçu</v>
      </c>
      <c r="O1372" s="1" t="str">
        <f>_xlfn.XLOOKUP(ocupacao[[#This Row],[EspecialidadeID]],especialidades!$A:$A,especialidades!$B:$B,"",0)</f>
        <v>ALERGOLOGIA</v>
      </c>
      <c r="P1372" s="1" t="str">
        <f>TEXT(WEEKDAY(ocupacao[[#This Row],[Data]]),"ddd")</f>
        <v>qui</v>
      </c>
      <c r="Q1372" s="1">
        <f t="shared" si="21"/>
        <v>0</v>
      </c>
    </row>
    <row r="1373" spans="1:17" x14ac:dyDescent="0.25">
      <c r="A1373" s="2"/>
      <c r="F1373" s="1" t="s">
        <v>106</v>
      </c>
      <c r="K1373" s="33"/>
      <c r="L1373" s="1"/>
      <c r="M1373" s="1">
        <f>_xlfn.XLOOKUP(ocupacao[[#This Row],[UnidadeID]],unidades!$A:$A,unidades!$B:$B,"",0)</f>
        <v>0</v>
      </c>
      <c r="N1373" s="1">
        <f>_xlfn.XLOOKUP(ocupacao[[#This Row],[UnidadeID]],unidades!$A:$A,unidades!$C:$C,"",0)</f>
        <v>0</v>
      </c>
      <c r="O1373" s="1">
        <f>_xlfn.XLOOKUP(ocupacao[[#This Row],[EspecialidadeID]],especialidades!$A:$A,especialidades!$B:$B,"",0)</f>
        <v>0</v>
      </c>
      <c r="P1373" s="1" t="str">
        <f>TEXT(WEEKDAY(ocupacao[[#This Row],[Data]]),"ddd")</f>
        <v>sáb</v>
      </c>
      <c r="Q1373" s="1">
        <f t="shared" si="21"/>
        <v>0</v>
      </c>
    </row>
    <row r="1374" spans="1:17" hidden="1" x14ac:dyDescent="0.25">
      <c r="A1374" s="2"/>
      <c r="F1374" s="1"/>
      <c r="K1374" s="33"/>
      <c r="L1374" s="1"/>
      <c r="M1374" s="1"/>
      <c r="N1374" s="1"/>
      <c r="O1374" s="1"/>
      <c r="P1374" s="1"/>
      <c r="Q1374" s="1"/>
    </row>
    <row r="1375" spans="1:17" x14ac:dyDescent="0.25">
      <c r="A1375" s="2">
        <v>44746</v>
      </c>
      <c r="B1375">
        <v>22</v>
      </c>
      <c r="C1375">
        <v>11</v>
      </c>
      <c r="D1375">
        <v>51</v>
      </c>
      <c r="E1375">
        <v>11241</v>
      </c>
      <c r="F1375" s="1" t="s">
        <v>342</v>
      </c>
      <c r="G1375">
        <v>0</v>
      </c>
      <c r="H1375">
        <v>3</v>
      </c>
      <c r="I1375">
        <v>45</v>
      </c>
      <c r="J1375">
        <v>48</v>
      </c>
      <c r="K1375" s="33">
        <v>6.25E-2</v>
      </c>
      <c r="L1375" s="1"/>
      <c r="M1375" s="1" t="str">
        <f>_xlfn.XLOOKUP(ocupacao[[#This Row],[UnidadeID]],unidades!$A:$A,unidades!$B:$B,"",0)</f>
        <v>Filial 1</v>
      </c>
      <c r="N1375" s="1" t="str">
        <f>_xlfn.XLOOKUP(ocupacao[[#This Row],[UnidadeID]],unidades!$A:$A,unidades!$C:$C,"",0)</f>
        <v>Nova Iguaçu</v>
      </c>
      <c r="O1375" s="1" t="str">
        <f>_xlfn.XLOOKUP(ocupacao[[#This Row],[EspecialidadeID]],especialidades!$A:$A,especialidades!$B:$B,"",0)</f>
        <v>ANGIOLOGIA</v>
      </c>
      <c r="P1375" s="1" t="str">
        <f>TEXT(WEEKDAY(ocupacao[[#This Row],[Data]]),"ddd")</f>
        <v>seg</v>
      </c>
      <c r="Q1375" s="1">
        <f t="shared" si="21"/>
        <v>0</v>
      </c>
    </row>
    <row r="1376" spans="1:17" hidden="1" x14ac:dyDescent="0.25">
      <c r="A1376" s="2"/>
      <c r="F1376" s="1"/>
      <c r="K1376" s="33"/>
      <c r="L1376" s="1"/>
      <c r="M1376" s="1"/>
      <c r="N1376" s="1"/>
      <c r="O1376" s="1"/>
      <c r="P1376" s="1"/>
      <c r="Q1376" s="1"/>
    </row>
    <row r="1377" spans="1:17" x14ac:dyDescent="0.25">
      <c r="A1377" s="2">
        <v>44746</v>
      </c>
      <c r="B1377">
        <v>11</v>
      </c>
      <c r="C1377">
        <v>11</v>
      </c>
      <c r="D1377">
        <v>11</v>
      </c>
      <c r="E1377">
        <v>17931</v>
      </c>
      <c r="F1377" s="1" t="s">
        <v>325</v>
      </c>
      <c r="G1377">
        <v>0</v>
      </c>
      <c r="H1377">
        <v>4</v>
      </c>
      <c r="I1377">
        <v>36</v>
      </c>
      <c r="J1377">
        <v>40</v>
      </c>
      <c r="K1377" s="33">
        <v>0.1</v>
      </c>
      <c r="L1377" s="1"/>
      <c r="M1377" s="1" t="str">
        <f>_xlfn.XLOOKUP(ocupacao[[#This Row],[UnidadeID]],unidades!$A:$A,unidades!$B:$B,"",0)</f>
        <v>Filial 2 - 11º</v>
      </c>
      <c r="N1377" s="1" t="str">
        <f>_xlfn.XLOOKUP(ocupacao[[#This Row],[UnidadeID]],unidades!$A:$A,unidades!$C:$C,"",0)</f>
        <v>Nova Iguaçu</v>
      </c>
      <c r="O1377" s="1" t="str">
        <f>_xlfn.XLOOKUP(ocupacao[[#This Row],[EspecialidadeID]],especialidades!$A:$A,especialidades!$B:$B,"",0)</f>
        <v>ANGIOLOGIA</v>
      </c>
      <c r="P1377" s="1" t="str">
        <f>TEXT(WEEKDAY(ocupacao[[#This Row],[Data]]),"ddd")</f>
        <v>seg</v>
      </c>
      <c r="Q1377" s="1">
        <f t="shared" si="21"/>
        <v>0</v>
      </c>
    </row>
    <row r="1378" spans="1:17" x14ac:dyDescent="0.25">
      <c r="A1378" s="2">
        <v>44747</v>
      </c>
      <c r="B1378">
        <v>24</v>
      </c>
      <c r="C1378">
        <v>11</v>
      </c>
      <c r="D1378">
        <v>62</v>
      </c>
      <c r="E1378">
        <v>12582</v>
      </c>
      <c r="F1378" s="1" t="s">
        <v>324</v>
      </c>
      <c r="G1378">
        <v>4</v>
      </c>
      <c r="H1378">
        <v>0</v>
      </c>
      <c r="I1378">
        <v>28</v>
      </c>
      <c r="J1378">
        <v>32</v>
      </c>
      <c r="K1378" s="33">
        <v>0.125</v>
      </c>
      <c r="L1378" s="1"/>
      <c r="M1378" s="1" t="str">
        <f>_xlfn.XLOOKUP(ocupacao[[#This Row],[UnidadeID]],unidades!$A:$A,unidades!$B:$B,"",0)</f>
        <v>Nilópolis</v>
      </c>
      <c r="N1378" s="1" t="str">
        <f>_xlfn.XLOOKUP(ocupacao[[#This Row],[UnidadeID]],unidades!$A:$A,unidades!$C:$C,"",0)</f>
        <v>Nilópolis</v>
      </c>
      <c r="O1378" s="1" t="str">
        <f>_xlfn.XLOOKUP(ocupacao[[#This Row],[EspecialidadeID]],especialidades!$A:$A,especialidades!$B:$B,"",0)</f>
        <v>ANGIOLOGIA</v>
      </c>
      <c r="P1378" s="1" t="str">
        <f>TEXT(WEEKDAY(ocupacao[[#This Row],[Data]]),"ddd")</f>
        <v>ter</v>
      </c>
      <c r="Q1378" s="1">
        <f t="shared" si="21"/>
        <v>1</v>
      </c>
    </row>
    <row r="1379" spans="1:17" hidden="1" x14ac:dyDescent="0.25">
      <c r="A1379" s="2">
        <v>44747</v>
      </c>
      <c r="B1379">
        <v>24</v>
      </c>
      <c r="C1379">
        <v>11</v>
      </c>
      <c r="D1379">
        <v>62</v>
      </c>
      <c r="E1379">
        <v>12582</v>
      </c>
      <c r="F1379" s="1" t="s">
        <v>324</v>
      </c>
      <c r="G1379">
        <v>4</v>
      </c>
      <c r="H1379">
        <v>1</v>
      </c>
      <c r="I1379">
        <v>28</v>
      </c>
      <c r="J1379">
        <v>33</v>
      </c>
      <c r="K1379" s="33">
        <v>0.1515</v>
      </c>
      <c r="L1379" s="1"/>
      <c r="M1379" s="1"/>
      <c r="N1379" s="1"/>
      <c r="O1379" s="1"/>
      <c r="P1379" s="1"/>
      <c r="Q1379" s="1"/>
    </row>
    <row r="1380" spans="1:17" hidden="1" x14ac:dyDescent="0.25">
      <c r="A1380" s="2"/>
      <c r="F1380" s="1"/>
      <c r="K1380" s="33"/>
      <c r="L1380" s="1"/>
      <c r="M1380" s="1"/>
      <c r="N1380" s="1"/>
      <c r="O1380" s="1"/>
      <c r="P1380" s="1"/>
      <c r="Q1380" s="1"/>
    </row>
    <row r="1381" spans="1:17" x14ac:dyDescent="0.25">
      <c r="A1381" s="2">
        <v>44748</v>
      </c>
      <c r="B1381">
        <v>11</v>
      </c>
      <c r="C1381">
        <v>11</v>
      </c>
      <c r="D1381">
        <v>17</v>
      </c>
      <c r="E1381">
        <v>17931</v>
      </c>
      <c r="F1381" s="1" t="s">
        <v>325</v>
      </c>
      <c r="G1381">
        <v>0</v>
      </c>
      <c r="H1381">
        <v>2</v>
      </c>
      <c r="I1381">
        <v>36</v>
      </c>
      <c r="J1381">
        <v>38</v>
      </c>
      <c r="K1381" s="33">
        <v>5.2600000000000001E-2</v>
      </c>
      <c r="L1381" s="1"/>
      <c r="M1381" s="1" t="str">
        <f>_xlfn.XLOOKUP(ocupacao[[#This Row],[UnidadeID]],unidades!$A:$A,unidades!$B:$B,"",0)</f>
        <v>Filial 2 - 11º</v>
      </c>
      <c r="N1381" s="1" t="str">
        <f>_xlfn.XLOOKUP(ocupacao[[#This Row],[UnidadeID]],unidades!$A:$A,unidades!$C:$C,"",0)</f>
        <v>Nova Iguaçu</v>
      </c>
      <c r="O1381" s="1" t="str">
        <f>_xlfn.XLOOKUP(ocupacao[[#This Row],[EspecialidadeID]],especialidades!$A:$A,especialidades!$B:$B,"",0)</f>
        <v>ANGIOLOGIA</v>
      </c>
      <c r="P1381" s="1" t="str">
        <f>TEXT(WEEKDAY(ocupacao[[#This Row],[Data]]),"ddd")</f>
        <v>qua</v>
      </c>
      <c r="Q1381" s="1">
        <f t="shared" si="21"/>
        <v>0</v>
      </c>
    </row>
    <row r="1382" spans="1:17" x14ac:dyDescent="0.25">
      <c r="A1382" s="2">
        <v>44749</v>
      </c>
      <c r="B1382">
        <v>11</v>
      </c>
      <c r="C1382">
        <v>11</v>
      </c>
      <c r="D1382">
        <v>15</v>
      </c>
      <c r="E1382">
        <v>12582</v>
      </c>
      <c r="F1382" s="1" t="s">
        <v>324</v>
      </c>
      <c r="G1382">
        <v>4</v>
      </c>
      <c r="H1382">
        <v>0</v>
      </c>
      <c r="I1382">
        <v>35</v>
      </c>
      <c r="J1382">
        <v>39</v>
      </c>
      <c r="K1382" s="33">
        <v>0.1026</v>
      </c>
      <c r="L1382" s="1"/>
      <c r="M1382" s="1" t="str">
        <f>_xlfn.XLOOKUP(ocupacao[[#This Row],[UnidadeID]],unidades!$A:$A,unidades!$B:$B,"",0)</f>
        <v>Filial 2 - 11º</v>
      </c>
      <c r="N1382" s="1" t="str">
        <f>_xlfn.XLOOKUP(ocupacao[[#This Row],[UnidadeID]],unidades!$A:$A,unidades!$C:$C,"",0)</f>
        <v>Nova Iguaçu</v>
      </c>
      <c r="O1382" s="1" t="str">
        <f>_xlfn.XLOOKUP(ocupacao[[#This Row],[EspecialidadeID]],especialidades!$A:$A,especialidades!$B:$B,"",0)</f>
        <v>ANGIOLOGIA</v>
      </c>
      <c r="P1382" s="1" t="str">
        <f>TEXT(WEEKDAY(ocupacao[[#This Row],[Data]]),"ddd")</f>
        <v>qui</v>
      </c>
      <c r="Q1382" s="1">
        <f t="shared" si="21"/>
        <v>0</v>
      </c>
    </row>
    <row r="1383" spans="1:17" x14ac:dyDescent="0.25">
      <c r="A1383" s="2">
        <v>44750</v>
      </c>
      <c r="B1383">
        <v>11</v>
      </c>
      <c r="C1383">
        <v>11</v>
      </c>
      <c r="D1383">
        <v>17</v>
      </c>
      <c r="E1383">
        <v>53</v>
      </c>
      <c r="F1383" s="1" t="s">
        <v>326</v>
      </c>
      <c r="G1383">
        <v>0</v>
      </c>
      <c r="H1383">
        <v>0</v>
      </c>
      <c r="I1383">
        <v>19</v>
      </c>
      <c r="J1383">
        <v>19</v>
      </c>
      <c r="K1383" s="33">
        <v>0</v>
      </c>
      <c r="L1383" s="1"/>
      <c r="M1383" s="1" t="str">
        <f>_xlfn.XLOOKUP(ocupacao[[#This Row],[UnidadeID]],unidades!$A:$A,unidades!$B:$B,"",0)</f>
        <v>Filial 2 - 11º</v>
      </c>
      <c r="N1383" s="1" t="str">
        <f>_xlfn.XLOOKUP(ocupacao[[#This Row],[UnidadeID]],unidades!$A:$A,unidades!$C:$C,"",0)</f>
        <v>Nova Iguaçu</v>
      </c>
      <c r="O1383" s="1" t="str">
        <f>_xlfn.XLOOKUP(ocupacao[[#This Row],[EspecialidadeID]],especialidades!$A:$A,especialidades!$B:$B,"",0)</f>
        <v>ANGIOLOGIA</v>
      </c>
      <c r="P1383" s="1" t="str">
        <f>TEXT(WEEKDAY(ocupacao[[#This Row],[Data]]),"ddd")</f>
        <v>sex</v>
      </c>
      <c r="Q1383" s="1">
        <f t="shared" si="21"/>
        <v>0</v>
      </c>
    </row>
    <row r="1384" spans="1:17" x14ac:dyDescent="0.25">
      <c r="A1384" s="2">
        <v>44753</v>
      </c>
      <c r="B1384">
        <v>11</v>
      </c>
      <c r="C1384">
        <v>11</v>
      </c>
      <c r="D1384">
        <v>11</v>
      </c>
      <c r="E1384">
        <v>17931</v>
      </c>
      <c r="F1384" s="1" t="s">
        <v>325</v>
      </c>
      <c r="G1384">
        <v>0</v>
      </c>
      <c r="H1384">
        <v>0</v>
      </c>
      <c r="I1384">
        <v>40</v>
      </c>
      <c r="J1384">
        <v>40</v>
      </c>
      <c r="K1384" s="33">
        <v>0</v>
      </c>
      <c r="L1384" s="1"/>
      <c r="M1384" s="1" t="str">
        <f>_xlfn.XLOOKUP(ocupacao[[#This Row],[UnidadeID]],unidades!$A:$A,unidades!$B:$B,"",0)</f>
        <v>Filial 2 - 11º</v>
      </c>
      <c r="N1384" s="1" t="str">
        <f>_xlfn.XLOOKUP(ocupacao[[#This Row],[UnidadeID]],unidades!$A:$A,unidades!$C:$C,"",0)</f>
        <v>Nova Iguaçu</v>
      </c>
      <c r="O1384" s="1" t="str">
        <f>_xlfn.XLOOKUP(ocupacao[[#This Row],[EspecialidadeID]],especialidades!$A:$A,especialidades!$B:$B,"",0)</f>
        <v>ANGIOLOGIA</v>
      </c>
      <c r="P1384" s="1" t="str">
        <f>TEXT(WEEKDAY(ocupacao[[#This Row],[Data]]),"ddd")</f>
        <v>seg</v>
      </c>
      <c r="Q1384" s="1">
        <f t="shared" si="21"/>
        <v>0</v>
      </c>
    </row>
    <row r="1385" spans="1:17" x14ac:dyDescent="0.25">
      <c r="A1385" s="2">
        <v>44754</v>
      </c>
      <c r="B1385">
        <v>24</v>
      </c>
      <c r="C1385">
        <v>11</v>
      </c>
      <c r="D1385">
        <v>62</v>
      </c>
      <c r="E1385">
        <v>12582</v>
      </c>
      <c r="F1385" s="1" t="s">
        <v>324</v>
      </c>
      <c r="G1385">
        <v>4</v>
      </c>
      <c r="H1385">
        <v>0</v>
      </c>
      <c r="I1385">
        <v>29</v>
      </c>
      <c r="J1385">
        <v>33</v>
      </c>
      <c r="K1385" s="33">
        <v>0.1212</v>
      </c>
      <c r="L1385" s="1"/>
      <c r="M1385" s="1" t="str">
        <f>_xlfn.XLOOKUP(ocupacao[[#This Row],[UnidadeID]],unidades!$A:$A,unidades!$B:$B,"",0)</f>
        <v>Nilópolis</v>
      </c>
      <c r="N1385" s="1" t="str">
        <f>_xlfn.XLOOKUP(ocupacao[[#This Row],[UnidadeID]],unidades!$A:$A,unidades!$C:$C,"",0)</f>
        <v>Nilópolis</v>
      </c>
      <c r="O1385" s="1" t="str">
        <f>_xlfn.XLOOKUP(ocupacao[[#This Row],[EspecialidadeID]],especialidades!$A:$A,especialidades!$B:$B,"",0)</f>
        <v>ANGIOLOGIA</v>
      </c>
      <c r="P1385" s="1" t="str">
        <f>TEXT(WEEKDAY(ocupacao[[#This Row],[Data]]),"ddd")</f>
        <v>ter</v>
      </c>
      <c r="Q1385" s="1">
        <f t="shared" si="21"/>
        <v>0</v>
      </c>
    </row>
    <row r="1386" spans="1:17" hidden="1" x14ac:dyDescent="0.25">
      <c r="A1386" s="2"/>
      <c r="F1386" s="1"/>
      <c r="K1386" s="33"/>
      <c r="L1386" s="1"/>
      <c r="M1386" s="1"/>
      <c r="N1386" s="1"/>
      <c r="O1386" s="1"/>
      <c r="P1386" s="1"/>
      <c r="Q1386" s="1"/>
    </row>
    <row r="1387" spans="1:17" x14ac:dyDescent="0.25">
      <c r="A1387" s="2">
        <v>44754</v>
      </c>
      <c r="B1387">
        <v>11</v>
      </c>
      <c r="C1387">
        <v>11</v>
      </c>
      <c r="D1387">
        <v>15</v>
      </c>
      <c r="E1387">
        <v>17859</v>
      </c>
      <c r="F1387" s="1" t="s">
        <v>136</v>
      </c>
      <c r="G1387">
        <v>0</v>
      </c>
      <c r="H1387">
        <v>2</v>
      </c>
      <c r="I1387">
        <v>9</v>
      </c>
      <c r="J1387">
        <v>11</v>
      </c>
      <c r="K1387" s="33">
        <v>0.18179999999999999</v>
      </c>
      <c r="L1387" s="1"/>
      <c r="M1387" s="1" t="str">
        <f>_xlfn.XLOOKUP(ocupacao[[#This Row],[UnidadeID]],unidades!$A:$A,unidades!$B:$B,"",0)</f>
        <v>Filial 2 - 11º</v>
      </c>
      <c r="N1387" s="1" t="str">
        <f>_xlfn.XLOOKUP(ocupacao[[#This Row],[UnidadeID]],unidades!$A:$A,unidades!$C:$C,"",0)</f>
        <v>Nova Iguaçu</v>
      </c>
      <c r="O1387" s="1" t="str">
        <f>_xlfn.XLOOKUP(ocupacao[[#This Row],[EspecialidadeID]],especialidades!$A:$A,especialidades!$B:$B,"",0)</f>
        <v>ANGIOLOGIA</v>
      </c>
      <c r="P1387" s="1" t="str">
        <f>TEXT(WEEKDAY(ocupacao[[#This Row],[Data]]),"ddd")</f>
        <v>ter</v>
      </c>
      <c r="Q1387" s="1">
        <f t="shared" si="21"/>
        <v>0</v>
      </c>
    </row>
    <row r="1388" spans="1:17" x14ac:dyDescent="0.25">
      <c r="A1388" s="2">
        <v>44755</v>
      </c>
      <c r="B1388">
        <v>11</v>
      </c>
      <c r="C1388">
        <v>11</v>
      </c>
      <c r="D1388">
        <v>17</v>
      </c>
      <c r="E1388">
        <v>17931</v>
      </c>
      <c r="F1388" s="1" t="s">
        <v>325</v>
      </c>
      <c r="G1388">
        <v>0</v>
      </c>
      <c r="H1388">
        <v>0</v>
      </c>
      <c r="I1388">
        <v>38</v>
      </c>
      <c r="J1388">
        <v>38</v>
      </c>
      <c r="K1388" s="33">
        <v>0</v>
      </c>
      <c r="L1388" s="1"/>
      <c r="M1388" s="1" t="str">
        <f>_xlfn.XLOOKUP(ocupacao[[#This Row],[UnidadeID]],unidades!$A:$A,unidades!$B:$B,"",0)</f>
        <v>Filial 2 - 11º</v>
      </c>
      <c r="N1388" s="1" t="str">
        <f>_xlfn.XLOOKUP(ocupacao[[#This Row],[UnidadeID]],unidades!$A:$A,unidades!$C:$C,"",0)</f>
        <v>Nova Iguaçu</v>
      </c>
      <c r="O1388" s="1" t="str">
        <f>_xlfn.XLOOKUP(ocupacao[[#This Row],[EspecialidadeID]],especialidades!$A:$A,especialidades!$B:$B,"",0)</f>
        <v>ANGIOLOGIA</v>
      </c>
      <c r="P1388" s="1" t="str">
        <f>TEXT(WEEKDAY(ocupacao[[#This Row],[Data]]),"ddd")</f>
        <v>qua</v>
      </c>
      <c r="Q1388" s="1">
        <f t="shared" si="21"/>
        <v>0</v>
      </c>
    </row>
    <row r="1389" spans="1:17" x14ac:dyDescent="0.25">
      <c r="A1389" s="2">
        <v>44756</v>
      </c>
      <c r="B1389">
        <v>11</v>
      </c>
      <c r="C1389">
        <v>11</v>
      </c>
      <c r="D1389">
        <v>15</v>
      </c>
      <c r="E1389">
        <v>12582</v>
      </c>
      <c r="F1389" s="1" t="s">
        <v>324</v>
      </c>
      <c r="G1389">
        <v>4</v>
      </c>
      <c r="H1389">
        <v>0</v>
      </c>
      <c r="I1389">
        <v>34</v>
      </c>
      <c r="J1389">
        <v>38</v>
      </c>
      <c r="K1389" s="33">
        <v>0.1053</v>
      </c>
      <c r="L1389" s="1"/>
      <c r="M1389" s="1" t="str">
        <f>_xlfn.XLOOKUP(ocupacao[[#This Row],[UnidadeID]],unidades!$A:$A,unidades!$B:$B,"",0)</f>
        <v>Filial 2 - 11º</v>
      </c>
      <c r="N1389" s="1" t="str">
        <f>_xlfn.XLOOKUP(ocupacao[[#This Row],[UnidadeID]],unidades!$A:$A,unidades!$C:$C,"",0)</f>
        <v>Nova Iguaçu</v>
      </c>
      <c r="O1389" s="1" t="str">
        <f>_xlfn.XLOOKUP(ocupacao[[#This Row],[EspecialidadeID]],especialidades!$A:$A,especialidades!$B:$B,"",0)</f>
        <v>ANGIOLOGIA</v>
      </c>
      <c r="P1389" s="1" t="str">
        <f>TEXT(WEEKDAY(ocupacao[[#This Row],[Data]]),"ddd")</f>
        <v>qui</v>
      </c>
      <c r="Q1389" s="1">
        <f t="shared" si="21"/>
        <v>1</v>
      </c>
    </row>
    <row r="1390" spans="1:17" x14ac:dyDescent="0.25">
      <c r="A1390" s="2">
        <v>44756</v>
      </c>
      <c r="B1390">
        <v>11</v>
      </c>
      <c r="C1390">
        <v>11</v>
      </c>
      <c r="D1390">
        <v>15</v>
      </c>
      <c r="E1390">
        <v>12582</v>
      </c>
      <c r="F1390" s="1" t="s">
        <v>324</v>
      </c>
      <c r="G1390">
        <v>4</v>
      </c>
      <c r="H1390">
        <v>1</v>
      </c>
      <c r="I1390">
        <v>34</v>
      </c>
      <c r="J1390">
        <v>39</v>
      </c>
      <c r="K1390" s="33">
        <v>0.12820000000000001</v>
      </c>
      <c r="L1390" s="1"/>
      <c r="M1390" s="1" t="str">
        <f>_xlfn.XLOOKUP(ocupacao[[#This Row],[UnidadeID]],unidades!$A:$A,unidades!$B:$B,"",0)</f>
        <v>Filial 2 - 11º</v>
      </c>
      <c r="N1390" s="1" t="str">
        <f>_xlfn.XLOOKUP(ocupacao[[#This Row],[UnidadeID]],unidades!$A:$A,unidades!$C:$C,"",0)</f>
        <v>Nova Iguaçu</v>
      </c>
      <c r="O1390" s="1" t="str">
        <f>_xlfn.XLOOKUP(ocupacao[[#This Row],[EspecialidadeID]],especialidades!$A:$A,especialidades!$B:$B,"",0)</f>
        <v>ANGIOLOGIA</v>
      </c>
      <c r="P1390" s="1" t="str">
        <f>TEXT(WEEKDAY(ocupacao[[#This Row],[Data]]),"ddd")</f>
        <v>qui</v>
      </c>
      <c r="Q1390" s="1">
        <f t="shared" si="21"/>
        <v>0</v>
      </c>
    </row>
    <row r="1391" spans="1:17" hidden="1" x14ac:dyDescent="0.25">
      <c r="A1391" s="2"/>
      <c r="F1391" s="1" t="s">
        <v>106</v>
      </c>
      <c r="K1391" s="33"/>
      <c r="L1391" s="1"/>
      <c r="M1391" s="1"/>
      <c r="N1391" s="1"/>
      <c r="O1391" s="1"/>
      <c r="P1391" s="1"/>
      <c r="Q1391" s="1"/>
    </row>
    <row r="1392" spans="1:17" hidden="1" x14ac:dyDescent="0.25">
      <c r="A1392" s="2"/>
      <c r="F1392" s="1"/>
      <c r="K1392" s="33"/>
      <c r="L1392" s="1"/>
      <c r="M1392" s="1"/>
      <c r="N1392" s="1"/>
      <c r="O1392" s="1"/>
      <c r="P1392" s="1"/>
      <c r="Q1392" s="1"/>
    </row>
    <row r="1393" spans="1:17" x14ac:dyDescent="0.25">
      <c r="A1393" s="2">
        <v>44747</v>
      </c>
      <c r="B1393">
        <v>22</v>
      </c>
      <c r="C1393">
        <v>13</v>
      </c>
      <c r="D1393">
        <v>46</v>
      </c>
      <c r="E1393">
        <v>11237</v>
      </c>
      <c r="F1393" s="1" t="s">
        <v>327</v>
      </c>
      <c r="G1393">
        <v>0</v>
      </c>
      <c r="H1393">
        <v>12</v>
      </c>
      <c r="I1393">
        <v>24</v>
      </c>
      <c r="J1393">
        <v>36</v>
      </c>
      <c r="K1393" s="33">
        <v>0.33329999999999999</v>
      </c>
      <c r="L1393" s="1"/>
      <c r="M1393" s="1" t="str">
        <f>_xlfn.XLOOKUP(ocupacao[[#This Row],[UnidadeID]],unidades!$A:$A,unidades!$B:$B,"",0)</f>
        <v>Filial 1</v>
      </c>
      <c r="N1393" s="1" t="str">
        <f>_xlfn.XLOOKUP(ocupacao[[#This Row],[UnidadeID]],unidades!$A:$A,unidades!$C:$C,"",0)</f>
        <v>Nova Iguaçu</v>
      </c>
      <c r="O1393" s="1" t="str">
        <f>_xlfn.XLOOKUP(ocupacao[[#This Row],[EspecialidadeID]],especialidades!$A:$A,especialidades!$B:$B,"",0)</f>
        <v>OTORRINOLARINGOLOGIA</v>
      </c>
      <c r="P1393" s="1" t="str">
        <f>TEXT(WEEKDAY(ocupacao[[#This Row],[Data]]),"ddd")</f>
        <v>ter</v>
      </c>
      <c r="Q1393" s="1">
        <f t="shared" si="21"/>
        <v>0</v>
      </c>
    </row>
    <row r="1394" spans="1:17" hidden="1" x14ac:dyDescent="0.25">
      <c r="A1394" s="2"/>
      <c r="F1394" s="1"/>
      <c r="K1394" s="33"/>
      <c r="L1394" s="1"/>
      <c r="M1394" s="1"/>
      <c r="N1394" s="1"/>
      <c r="O1394" s="1"/>
      <c r="P1394" s="1"/>
      <c r="Q1394" s="1"/>
    </row>
    <row r="1395" spans="1:17" x14ac:dyDescent="0.25">
      <c r="A1395" s="2">
        <v>44747</v>
      </c>
      <c r="B1395">
        <v>22</v>
      </c>
      <c r="C1395">
        <v>13</v>
      </c>
      <c r="D1395">
        <v>47</v>
      </c>
      <c r="E1395">
        <v>11652</v>
      </c>
      <c r="F1395" s="1" t="s">
        <v>328</v>
      </c>
      <c r="G1395">
        <v>0</v>
      </c>
      <c r="H1395">
        <v>9</v>
      </c>
      <c r="I1395">
        <v>36</v>
      </c>
      <c r="J1395">
        <v>45</v>
      </c>
      <c r="K1395" s="33">
        <v>0.2</v>
      </c>
      <c r="L1395" s="1"/>
      <c r="M1395" s="1" t="str">
        <f>_xlfn.XLOOKUP(ocupacao[[#This Row],[UnidadeID]],unidades!$A:$A,unidades!$B:$B,"",0)</f>
        <v>Filial 1</v>
      </c>
      <c r="N1395" s="1" t="str">
        <f>_xlfn.XLOOKUP(ocupacao[[#This Row],[UnidadeID]],unidades!$A:$A,unidades!$C:$C,"",0)</f>
        <v>Nova Iguaçu</v>
      </c>
      <c r="O1395" s="1" t="str">
        <f>_xlfn.XLOOKUP(ocupacao[[#This Row],[EspecialidadeID]],especialidades!$A:$A,especialidades!$B:$B,"",0)</f>
        <v>OTORRINOLARINGOLOGIA</v>
      </c>
      <c r="P1395" s="1" t="str">
        <f>TEXT(WEEKDAY(ocupacao[[#This Row],[Data]]),"ddd")</f>
        <v>ter</v>
      </c>
      <c r="Q1395" s="1">
        <f t="shared" si="21"/>
        <v>0</v>
      </c>
    </row>
    <row r="1396" spans="1:17" x14ac:dyDescent="0.25">
      <c r="A1396" s="2">
        <v>44748</v>
      </c>
      <c r="B1396">
        <v>34</v>
      </c>
      <c r="C1396">
        <v>13</v>
      </c>
      <c r="D1396">
        <v>371</v>
      </c>
      <c r="E1396">
        <v>11237</v>
      </c>
      <c r="F1396" s="1" t="s">
        <v>327</v>
      </c>
      <c r="G1396">
        <v>4</v>
      </c>
      <c r="H1396">
        <v>0</v>
      </c>
      <c r="I1396">
        <v>24</v>
      </c>
      <c r="J1396">
        <v>28</v>
      </c>
      <c r="K1396" s="33">
        <v>0.1429</v>
      </c>
      <c r="L1396" s="1"/>
      <c r="M1396" s="1" t="str">
        <f>_xlfn.XLOOKUP(ocupacao[[#This Row],[UnidadeID]],unidades!$A:$A,unidades!$B:$B,"",0)</f>
        <v>São João</v>
      </c>
      <c r="N1396" s="1" t="str">
        <f>_xlfn.XLOOKUP(ocupacao[[#This Row],[UnidadeID]],unidades!$A:$A,unidades!$C:$C,"",0)</f>
        <v>São João de Meriti</v>
      </c>
      <c r="O1396" s="1" t="str">
        <f>_xlfn.XLOOKUP(ocupacao[[#This Row],[EspecialidadeID]],especialidades!$A:$A,especialidades!$B:$B,"",0)</f>
        <v>OTORRINOLARINGOLOGIA</v>
      </c>
      <c r="P1396" s="1" t="str">
        <f>TEXT(WEEKDAY(ocupacao[[#This Row],[Data]]),"ddd")</f>
        <v>qua</v>
      </c>
      <c r="Q1396" s="1">
        <f t="shared" si="21"/>
        <v>0</v>
      </c>
    </row>
    <row r="1397" spans="1:17" hidden="1" x14ac:dyDescent="0.25">
      <c r="A1397" s="2">
        <v>44748</v>
      </c>
      <c r="B1397">
        <v>22</v>
      </c>
      <c r="C1397">
        <v>13</v>
      </c>
      <c r="D1397">
        <v>47</v>
      </c>
      <c r="E1397">
        <v>13058</v>
      </c>
      <c r="F1397" s="1" t="s">
        <v>329</v>
      </c>
      <c r="G1397">
        <v>0</v>
      </c>
      <c r="H1397">
        <v>0</v>
      </c>
      <c r="I1397">
        <v>23</v>
      </c>
      <c r="J1397">
        <v>23</v>
      </c>
      <c r="K1397" s="33">
        <v>0</v>
      </c>
      <c r="L1397" s="1"/>
      <c r="M1397" s="1"/>
      <c r="N1397" s="1"/>
      <c r="O1397" s="1"/>
      <c r="P1397" s="1"/>
      <c r="Q1397" s="1"/>
    </row>
    <row r="1398" spans="1:17" x14ac:dyDescent="0.25">
      <c r="A1398" s="2">
        <v>44748</v>
      </c>
      <c r="B1398">
        <v>22</v>
      </c>
      <c r="C1398">
        <v>13</v>
      </c>
      <c r="D1398">
        <v>47</v>
      </c>
      <c r="E1398">
        <v>13058</v>
      </c>
      <c r="F1398" s="1" t="s">
        <v>329</v>
      </c>
      <c r="G1398">
        <v>0</v>
      </c>
      <c r="H1398">
        <v>13</v>
      </c>
      <c r="I1398">
        <v>23</v>
      </c>
      <c r="J1398">
        <v>36</v>
      </c>
      <c r="K1398" s="33">
        <v>0.36109999999999998</v>
      </c>
      <c r="L1398" s="1"/>
      <c r="M1398" s="1" t="str">
        <f>_xlfn.XLOOKUP(ocupacao[[#This Row],[UnidadeID]],unidades!$A:$A,unidades!$B:$B,"",0)</f>
        <v>Filial 1</v>
      </c>
      <c r="N1398" s="1" t="str">
        <f>_xlfn.XLOOKUP(ocupacao[[#This Row],[UnidadeID]],unidades!$A:$A,unidades!$C:$C,"",0)</f>
        <v>Nova Iguaçu</v>
      </c>
      <c r="O1398" s="1" t="str">
        <f>_xlfn.XLOOKUP(ocupacao[[#This Row],[EspecialidadeID]],especialidades!$A:$A,especialidades!$B:$B,"",0)</f>
        <v>OTORRINOLARINGOLOGIA</v>
      </c>
      <c r="P1398" s="1" t="str">
        <f>TEXT(WEEKDAY(ocupacao[[#This Row],[Data]]),"ddd")</f>
        <v>qua</v>
      </c>
      <c r="Q1398" s="1">
        <f t="shared" si="21"/>
        <v>0</v>
      </c>
    </row>
    <row r="1399" spans="1:17" hidden="1" x14ac:dyDescent="0.25">
      <c r="A1399" s="2"/>
      <c r="F1399" s="1"/>
      <c r="K1399" s="33"/>
      <c r="L1399" s="1"/>
      <c r="M1399" s="1"/>
      <c r="N1399" s="1"/>
      <c r="O1399" s="1"/>
      <c r="P1399" s="1"/>
      <c r="Q1399" s="1"/>
    </row>
    <row r="1400" spans="1:17" x14ac:dyDescent="0.25">
      <c r="A1400" s="2">
        <v>44754</v>
      </c>
      <c r="B1400">
        <v>22</v>
      </c>
      <c r="C1400">
        <v>13</v>
      </c>
      <c r="D1400">
        <v>46</v>
      </c>
      <c r="E1400">
        <v>11237</v>
      </c>
      <c r="F1400" s="1" t="s">
        <v>327</v>
      </c>
      <c r="G1400">
        <v>0</v>
      </c>
      <c r="H1400">
        <v>1</v>
      </c>
      <c r="I1400">
        <v>35</v>
      </c>
      <c r="J1400">
        <v>36</v>
      </c>
      <c r="K1400" s="33">
        <v>2.7799999999999998E-2</v>
      </c>
      <c r="L1400" s="1"/>
      <c r="M1400" s="1" t="str">
        <f>_xlfn.XLOOKUP(ocupacao[[#This Row],[UnidadeID]],unidades!$A:$A,unidades!$B:$B,"",0)</f>
        <v>Filial 1</v>
      </c>
      <c r="N1400" s="1" t="str">
        <f>_xlfn.XLOOKUP(ocupacao[[#This Row],[UnidadeID]],unidades!$A:$A,unidades!$C:$C,"",0)</f>
        <v>Nova Iguaçu</v>
      </c>
      <c r="O1400" s="1" t="str">
        <f>_xlfn.XLOOKUP(ocupacao[[#This Row],[EspecialidadeID]],especialidades!$A:$A,especialidades!$B:$B,"",0)</f>
        <v>OTORRINOLARINGOLOGIA</v>
      </c>
      <c r="P1400" s="1" t="str">
        <f>TEXT(WEEKDAY(ocupacao[[#This Row],[Data]]),"ddd")</f>
        <v>ter</v>
      </c>
      <c r="Q1400" s="1">
        <f t="shared" si="21"/>
        <v>0</v>
      </c>
    </row>
    <row r="1401" spans="1:17" x14ac:dyDescent="0.25">
      <c r="A1401" s="2">
        <v>44754</v>
      </c>
      <c r="B1401">
        <v>22</v>
      </c>
      <c r="C1401">
        <v>13</v>
      </c>
      <c r="D1401">
        <v>47</v>
      </c>
      <c r="E1401">
        <v>11652</v>
      </c>
      <c r="F1401" s="1" t="s">
        <v>328</v>
      </c>
      <c r="G1401">
        <v>0</v>
      </c>
      <c r="H1401">
        <v>0</v>
      </c>
      <c r="I1401">
        <v>45</v>
      </c>
      <c r="J1401">
        <v>45</v>
      </c>
      <c r="K1401" s="33">
        <v>0</v>
      </c>
      <c r="L1401" s="1"/>
      <c r="M1401" s="1" t="str">
        <f>_xlfn.XLOOKUP(ocupacao[[#This Row],[UnidadeID]],unidades!$A:$A,unidades!$B:$B,"",0)</f>
        <v>Filial 1</v>
      </c>
      <c r="N1401" s="1" t="str">
        <f>_xlfn.XLOOKUP(ocupacao[[#This Row],[UnidadeID]],unidades!$A:$A,unidades!$C:$C,"",0)</f>
        <v>Nova Iguaçu</v>
      </c>
      <c r="O1401" s="1" t="str">
        <f>_xlfn.XLOOKUP(ocupacao[[#This Row],[EspecialidadeID]],especialidades!$A:$A,especialidades!$B:$B,"",0)</f>
        <v>OTORRINOLARINGOLOGIA</v>
      </c>
      <c r="P1401" s="1" t="str">
        <f>TEXT(WEEKDAY(ocupacao[[#This Row],[Data]]),"ddd")</f>
        <v>ter</v>
      </c>
      <c r="Q1401" s="1">
        <f t="shared" si="21"/>
        <v>0</v>
      </c>
    </row>
    <row r="1402" spans="1:17" hidden="1" x14ac:dyDescent="0.25">
      <c r="A1402" s="2">
        <v>44755</v>
      </c>
      <c r="B1402">
        <v>34</v>
      </c>
      <c r="C1402">
        <v>13</v>
      </c>
      <c r="D1402">
        <v>371</v>
      </c>
      <c r="E1402">
        <v>11237</v>
      </c>
      <c r="F1402" s="1" t="s">
        <v>327</v>
      </c>
      <c r="G1402">
        <v>4</v>
      </c>
      <c r="H1402">
        <v>0</v>
      </c>
      <c r="I1402">
        <v>24</v>
      </c>
      <c r="J1402">
        <v>28</v>
      </c>
      <c r="K1402" s="33">
        <v>0.1429</v>
      </c>
      <c r="L1402" s="1"/>
      <c r="M1402" s="1"/>
      <c r="N1402" s="1"/>
      <c r="O1402" s="1"/>
      <c r="P1402" s="1"/>
      <c r="Q1402" s="1"/>
    </row>
    <row r="1403" spans="1:17" hidden="1" x14ac:dyDescent="0.25">
      <c r="A1403" s="2"/>
      <c r="F1403" s="1"/>
      <c r="K1403" s="33"/>
      <c r="L1403" s="1"/>
      <c r="M1403" s="1"/>
      <c r="N1403" s="1"/>
      <c r="O1403" s="1"/>
      <c r="P1403" s="1"/>
      <c r="Q1403" s="1"/>
    </row>
    <row r="1404" spans="1:17" x14ac:dyDescent="0.25">
      <c r="A1404" s="2">
        <v>44755</v>
      </c>
      <c r="B1404">
        <v>22</v>
      </c>
      <c r="C1404">
        <v>13</v>
      </c>
      <c r="D1404">
        <v>47</v>
      </c>
      <c r="E1404">
        <v>13058</v>
      </c>
      <c r="F1404" s="1" t="s">
        <v>329</v>
      </c>
      <c r="G1404">
        <v>0</v>
      </c>
      <c r="H1404">
        <v>1</v>
      </c>
      <c r="I1404">
        <v>35</v>
      </c>
      <c r="J1404">
        <v>36</v>
      </c>
      <c r="K1404" s="33">
        <v>2.7799999999999998E-2</v>
      </c>
      <c r="L1404" s="1"/>
      <c r="M1404" s="1" t="str">
        <f>_xlfn.XLOOKUP(ocupacao[[#This Row],[UnidadeID]],unidades!$A:$A,unidades!$B:$B,"",0)</f>
        <v>Filial 1</v>
      </c>
      <c r="N1404" s="1" t="str">
        <f>_xlfn.XLOOKUP(ocupacao[[#This Row],[UnidadeID]],unidades!$A:$A,unidades!$C:$C,"",0)</f>
        <v>Nova Iguaçu</v>
      </c>
      <c r="O1404" s="1" t="str">
        <f>_xlfn.XLOOKUP(ocupacao[[#This Row],[EspecialidadeID]],especialidades!$A:$A,especialidades!$B:$B,"",0)</f>
        <v>OTORRINOLARINGOLOGIA</v>
      </c>
      <c r="P1404" s="1" t="str">
        <f>TEXT(WEEKDAY(ocupacao[[#This Row],[Data]]),"ddd")</f>
        <v>qua</v>
      </c>
      <c r="Q1404" s="1">
        <f t="shared" si="21"/>
        <v>0</v>
      </c>
    </row>
    <row r="1405" spans="1:17" x14ac:dyDescent="0.25">
      <c r="A1405" s="2"/>
      <c r="F1405" s="1" t="s">
        <v>106</v>
      </c>
      <c r="K1405" s="33"/>
      <c r="L1405" s="1"/>
      <c r="M1405" s="1">
        <f>_xlfn.XLOOKUP(ocupacao[[#This Row],[UnidadeID]],unidades!$A:$A,unidades!$B:$B,"",0)</f>
        <v>0</v>
      </c>
      <c r="N1405" s="1">
        <f>_xlfn.XLOOKUP(ocupacao[[#This Row],[UnidadeID]],unidades!$A:$A,unidades!$C:$C,"",0)</f>
        <v>0</v>
      </c>
      <c r="O1405" s="1">
        <f>_xlfn.XLOOKUP(ocupacao[[#This Row],[EspecialidadeID]],especialidades!$A:$A,especialidades!$B:$B,"",0)</f>
        <v>0</v>
      </c>
      <c r="P1405" s="1" t="str">
        <f>TEXT(WEEKDAY(ocupacao[[#This Row],[Data]]),"ddd")</f>
        <v>sáb</v>
      </c>
      <c r="Q1405" s="1">
        <f t="shared" si="21"/>
        <v>0</v>
      </c>
    </row>
    <row r="1406" spans="1:17" hidden="1" x14ac:dyDescent="0.25">
      <c r="A1406" s="2">
        <v>44748</v>
      </c>
      <c r="B1406">
        <v>0</v>
      </c>
      <c r="C1406">
        <v>14</v>
      </c>
      <c r="D1406">
        <v>346</v>
      </c>
      <c r="E1406">
        <v>80</v>
      </c>
      <c r="F1406" s="1" t="s">
        <v>330</v>
      </c>
      <c r="G1406">
        <v>0</v>
      </c>
      <c r="H1406">
        <v>28</v>
      </c>
      <c r="I1406">
        <v>0</v>
      </c>
      <c r="J1406">
        <v>28</v>
      </c>
      <c r="K1406" s="33">
        <v>1</v>
      </c>
      <c r="L1406" s="1"/>
      <c r="M1406" s="1"/>
      <c r="N1406" s="1"/>
      <c r="O1406" s="1"/>
      <c r="P1406" s="1"/>
      <c r="Q1406" s="1"/>
    </row>
    <row r="1407" spans="1:17" hidden="1" x14ac:dyDescent="0.25">
      <c r="A1407" s="2"/>
      <c r="F1407" s="1"/>
      <c r="K1407" s="33"/>
      <c r="L1407" s="1"/>
      <c r="M1407" s="1"/>
      <c r="N1407" s="1"/>
      <c r="O1407" s="1"/>
      <c r="P1407" s="1"/>
      <c r="Q1407" s="1"/>
    </row>
    <row r="1408" spans="1:17" x14ac:dyDescent="0.25">
      <c r="A1408" s="2">
        <v>44755</v>
      </c>
      <c r="B1408">
        <v>0</v>
      </c>
      <c r="C1408">
        <v>14</v>
      </c>
      <c r="D1408">
        <v>346</v>
      </c>
      <c r="E1408">
        <v>80</v>
      </c>
      <c r="F1408" s="1" t="s">
        <v>330</v>
      </c>
      <c r="G1408">
        <v>0</v>
      </c>
      <c r="H1408">
        <v>24</v>
      </c>
      <c r="I1408">
        <v>4</v>
      </c>
      <c r="J1408">
        <v>28</v>
      </c>
      <c r="K1408" s="33">
        <v>0.85709999999999997</v>
      </c>
      <c r="L1408" s="1"/>
      <c r="M1408" s="1" t="str">
        <f>_xlfn.XLOOKUP(ocupacao[[#This Row],[UnidadeID]],unidades!$A:$A,unidades!$B:$B,"",0)</f>
        <v>Matriz</v>
      </c>
      <c r="N1408" s="1" t="str">
        <f>_xlfn.XLOOKUP(ocupacao[[#This Row],[UnidadeID]],unidades!$A:$A,unidades!$C:$C,"",0)</f>
        <v>Nova Iguaçu</v>
      </c>
      <c r="O1408" s="1" t="str">
        <f>_xlfn.XLOOKUP(ocupacao[[#This Row],[EspecialidadeID]],especialidades!$A:$A,especialidades!$B:$B,"",0)</f>
        <v>GERIATRIA</v>
      </c>
      <c r="P1408" s="1" t="str">
        <f>TEXT(WEEKDAY(ocupacao[[#This Row],[Data]]),"ddd")</f>
        <v>qua</v>
      </c>
      <c r="Q1408" s="1">
        <f t="shared" si="21"/>
        <v>0</v>
      </c>
    </row>
    <row r="1409" spans="1:17" x14ac:dyDescent="0.25">
      <c r="A1409" s="2"/>
      <c r="F1409" s="1" t="s">
        <v>106</v>
      </c>
      <c r="K1409" s="33"/>
      <c r="L1409" s="1"/>
      <c r="M1409" s="1">
        <f>_xlfn.XLOOKUP(ocupacao[[#This Row],[UnidadeID]],unidades!$A:$A,unidades!$B:$B,"",0)</f>
        <v>0</v>
      </c>
      <c r="N1409" s="1">
        <f>_xlfn.XLOOKUP(ocupacao[[#This Row],[UnidadeID]],unidades!$A:$A,unidades!$C:$C,"",0)</f>
        <v>0</v>
      </c>
      <c r="O1409" s="1">
        <f>_xlfn.XLOOKUP(ocupacao[[#This Row],[EspecialidadeID]],especialidades!$A:$A,especialidades!$B:$B,"",0)</f>
        <v>0</v>
      </c>
      <c r="P1409" s="1" t="str">
        <f>TEXT(WEEKDAY(ocupacao[[#This Row],[Data]]),"ddd")</f>
        <v>sáb</v>
      </c>
      <c r="Q1409" s="1">
        <f t="shared" si="21"/>
        <v>0</v>
      </c>
    </row>
    <row r="1410" spans="1:17" x14ac:dyDescent="0.25">
      <c r="A1410" s="2">
        <v>44746</v>
      </c>
      <c r="B1410">
        <v>11</v>
      </c>
      <c r="C1410">
        <v>15</v>
      </c>
      <c r="D1410">
        <v>13</v>
      </c>
      <c r="E1410">
        <v>70</v>
      </c>
      <c r="F1410" s="1" t="s">
        <v>124</v>
      </c>
      <c r="G1410">
        <v>0</v>
      </c>
      <c r="H1410">
        <v>0</v>
      </c>
      <c r="I1410">
        <v>24</v>
      </c>
      <c r="J1410">
        <v>24</v>
      </c>
      <c r="K1410" s="33">
        <v>0</v>
      </c>
      <c r="L1410" s="1"/>
      <c r="M1410" s="1" t="str">
        <f>_xlfn.XLOOKUP(ocupacao[[#This Row],[UnidadeID]],unidades!$A:$A,unidades!$B:$B,"",0)</f>
        <v>Filial 2 - 11º</v>
      </c>
      <c r="N1410" s="1" t="str">
        <f>_xlfn.XLOOKUP(ocupacao[[#This Row],[UnidadeID]],unidades!$A:$A,unidades!$C:$C,"",0)</f>
        <v>Nova Iguaçu</v>
      </c>
      <c r="O1410" s="1" t="str">
        <f>_xlfn.XLOOKUP(ocupacao[[#This Row],[EspecialidadeID]],especialidades!$A:$A,especialidades!$B:$B,"",0)</f>
        <v>DERMATOLOGIA</v>
      </c>
      <c r="P1410" s="1" t="str">
        <f>TEXT(WEEKDAY(ocupacao[[#This Row],[Data]]),"ddd")</f>
        <v>seg</v>
      </c>
      <c r="Q1410" s="1">
        <f t="shared" ref="Q1410:Q1473" si="22">IF(F1410=F1411,1,0)</f>
        <v>0</v>
      </c>
    </row>
    <row r="1411" spans="1:17" hidden="1" x14ac:dyDescent="0.25">
      <c r="A1411" s="2"/>
      <c r="F1411" s="1"/>
      <c r="K1411" s="33"/>
      <c r="L1411" s="1"/>
      <c r="M1411" s="1"/>
      <c r="N1411" s="1"/>
      <c r="O1411" s="1"/>
      <c r="P1411" s="1"/>
      <c r="Q1411" s="1"/>
    </row>
    <row r="1412" spans="1:17" hidden="1" x14ac:dyDescent="0.25">
      <c r="A1412" s="2">
        <v>44746</v>
      </c>
      <c r="B1412">
        <v>11</v>
      </c>
      <c r="C1412">
        <v>15</v>
      </c>
      <c r="D1412">
        <v>12</v>
      </c>
      <c r="E1412">
        <v>10941</v>
      </c>
      <c r="F1412" s="1" t="s">
        <v>126</v>
      </c>
      <c r="G1412">
        <v>0</v>
      </c>
      <c r="H1412">
        <v>3</v>
      </c>
      <c r="I1412">
        <v>25</v>
      </c>
      <c r="J1412">
        <v>28</v>
      </c>
      <c r="K1412" s="33">
        <v>0.1071</v>
      </c>
      <c r="L1412" s="1"/>
      <c r="M1412" s="1"/>
      <c r="N1412" s="1"/>
      <c r="O1412" s="1"/>
      <c r="P1412" s="1"/>
      <c r="Q1412" s="1"/>
    </row>
    <row r="1413" spans="1:17" hidden="1" x14ac:dyDescent="0.25">
      <c r="A1413" s="2"/>
      <c r="F1413" s="1"/>
      <c r="K1413" s="33"/>
      <c r="L1413" s="1"/>
      <c r="M1413" s="1"/>
      <c r="N1413" s="1"/>
      <c r="O1413" s="1"/>
      <c r="P1413" s="1"/>
      <c r="Q1413" s="1"/>
    </row>
    <row r="1414" spans="1:17" x14ac:dyDescent="0.25">
      <c r="A1414" s="2">
        <v>44747</v>
      </c>
      <c r="B1414">
        <v>11</v>
      </c>
      <c r="C1414">
        <v>15</v>
      </c>
      <c r="D1414">
        <v>13</v>
      </c>
      <c r="E1414">
        <v>69</v>
      </c>
      <c r="F1414" s="1" t="s">
        <v>130</v>
      </c>
      <c r="G1414">
        <v>0</v>
      </c>
      <c r="H1414">
        <v>2</v>
      </c>
      <c r="I1414">
        <v>33</v>
      </c>
      <c r="J1414">
        <v>35</v>
      </c>
      <c r="K1414" s="33">
        <v>5.7099999999999998E-2</v>
      </c>
      <c r="L1414" s="1"/>
      <c r="M1414" s="1" t="str">
        <f>_xlfn.XLOOKUP(ocupacao[[#This Row],[UnidadeID]],unidades!$A:$A,unidades!$B:$B,"",0)</f>
        <v>Filial 2 - 11º</v>
      </c>
      <c r="N1414" s="1" t="str">
        <f>_xlfn.XLOOKUP(ocupacao[[#This Row],[UnidadeID]],unidades!$A:$A,unidades!$C:$C,"",0)</f>
        <v>Nova Iguaçu</v>
      </c>
      <c r="O1414" s="1" t="str">
        <f>_xlfn.XLOOKUP(ocupacao[[#This Row],[EspecialidadeID]],especialidades!$A:$A,especialidades!$B:$B,"",0)</f>
        <v>DERMATOLOGIA</v>
      </c>
      <c r="P1414" s="1" t="str">
        <f>TEXT(WEEKDAY(ocupacao[[#This Row],[Data]]),"ddd")</f>
        <v>ter</v>
      </c>
      <c r="Q1414" s="1">
        <f t="shared" si="22"/>
        <v>0</v>
      </c>
    </row>
    <row r="1415" spans="1:17" x14ac:dyDescent="0.25">
      <c r="A1415" s="2">
        <v>44747</v>
      </c>
      <c r="B1415">
        <v>18</v>
      </c>
      <c r="C1415">
        <v>15</v>
      </c>
      <c r="D1415">
        <v>12</v>
      </c>
      <c r="E1415">
        <v>10941</v>
      </c>
      <c r="F1415" s="1" t="s">
        <v>126</v>
      </c>
      <c r="G1415">
        <v>0</v>
      </c>
      <c r="H1415">
        <v>2</v>
      </c>
      <c r="I1415">
        <v>0</v>
      </c>
      <c r="J1415">
        <v>2</v>
      </c>
      <c r="K1415" s="33">
        <v>1</v>
      </c>
      <c r="L1415" s="1"/>
      <c r="M1415" s="1" t="str">
        <f>_xlfn.XLOOKUP(ocupacao[[#This Row],[UnidadeID]],unidades!$A:$A,unidades!$B:$B,"",0)</f>
        <v>Miguel Couto</v>
      </c>
      <c r="N1415" s="1" t="str">
        <f>_xlfn.XLOOKUP(ocupacao[[#This Row],[UnidadeID]],unidades!$A:$A,unidades!$C:$C,"",0)</f>
        <v>Miguel Couto</v>
      </c>
      <c r="O1415" s="1" t="str">
        <f>_xlfn.XLOOKUP(ocupacao[[#This Row],[EspecialidadeID]],especialidades!$A:$A,especialidades!$B:$B,"",0)</f>
        <v>DERMATOLOGIA</v>
      </c>
      <c r="P1415" s="1" t="str">
        <f>TEXT(WEEKDAY(ocupacao[[#This Row],[Data]]),"ddd")</f>
        <v>ter</v>
      </c>
      <c r="Q1415" s="1">
        <f t="shared" si="22"/>
        <v>1</v>
      </c>
    </row>
    <row r="1416" spans="1:17" hidden="1" x14ac:dyDescent="0.25">
      <c r="A1416" s="2">
        <v>44747</v>
      </c>
      <c r="B1416">
        <v>11</v>
      </c>
      <c r="C1416">
        <v>15</v>
      </c>
      <c r="D1416">
        <v>12</v>
      </c>
      <c r="E1416">
        <v>10941</v>
      </c>
      <c r="F1416" s="1" t="s">
        <v>126</v>
      </c>
      <c r="G1416">
        <v>0</v>
      </c>
      <c r="H1416">
        <v>0</v>
      </c>
      <c r="I1416">
        <v>21</v>
      </c>
      <c r="J1416">
        <v>21</v>
      </c>
      <c r="K1416" s="33">
        <v>0</v>
      </c>
      <c r="L1416" s="1"/>
      <c r="M1416" s="1"/>
      <c r="N1416" s="1"/>
      <c r="O1416" s="1"/>
      <c r="P1416" s="1"/>
      <c r="Q1416" s="1"/>
    </row>
    <row r="1417" spans="1:17" hidden="1" x14ac:dyDescent="0.25">
      <c r="A1417" s="2"/>
      <c r="F1417" s="1"/>
      <c r="K1417" s="33"/>
      <c r="L1417" s="1"/>
      <c r="M1417" s="1"/>
      <c r="N1417" s="1"/>
      <c r="O1417" s="1"/>
      <c r="P1417" s="1"/>
      <c r="Q1417" s="1"/>
    </row>
    <row r="1418" spans="1:17" hidden="1" x14ac:dyDescent="0.25">
      <c r="A1418" s="2">
        <v>44747</v>
      </c>
      <c r="B1418">
        <v>11</v>
      </c>
      <c r="C1418">
        <v>15</v>
      </c>
      <c r="D1418">
        <v>11</v>
      </c>
      <c r="E1418">
        <v>12623</v>
      </c>
      <c r="F1418" s="1" t="s">
        <v>133</v>
      </c>
      <c r="G1418">
        <v>0</v>
      </c>
      <c r="H1418">
        <v>2</v>
      </c>
      <c r="I1418">
        <v>26</v>
      </c>
      <c r="J1418">
        <v>28</v>
      </c>
      <c r="K1418" s="33">
        <v>7.1400000000000005E-2</v>
      </c>
      <c r="L1418" s="1"/>
      <c r="M1418" s="1"/>
      <c r="N1418" s="1"/>
      <c r="O1418" s="1"/>
      <c r="P1418" s="1"/>
      <c r="Q1418" s="1"/>
    </row>
    <row r="1419" spans="1:17" hidden="1" x14ac:dyDescent="0.25">
      <c r="A1419" s="2"/>
      <c r="F1419" s="1"/>
      <c r="K1419" s="33"/>
      <c r="L1419" s="1"/>
      <c r="M1419" s="1"/>
      <c r="N1419" s="1"/>
      <c r="O1419" s="1"/>
      <c r="P1419" s="1"/>
      <c r="Q1419" s="1"/>
    </row>
    <row r="1420" spans="1:17" x14ac:dyDescent="0.25">
      <c r="A1420" s="2">
        <v>44748</v>
      </c>
      <c r="B1420">
        <v>11</v>
      </c>
      <c r="C1420">
        <v>15</v>
      </c>
      <c r="D1420">
        <v>13</v>
      </c>
      <c r="E1420">
        <v>70</v>
      </c>
      <c r="F1420" s="1" t="s">
        <v>124</v>
      </c>
      <c r="G1420">
        <v>0</v>
      </c>
      <c r="H1420">
        <v>1</v>
      </c>
      <c r="I1420">
        <v>23</v>
      </c>
      <c r="J1420">
        <v>24</v>
      </c>
      <c r="K1420" s="33">
        <v>4.1700000000000001E-2</v>
      </c>
      <c r="L1420" s="1"/>
      <c r="M1420" s="1" t="str">
        <f>_xlfn.XLOOKUP(ocupacao[[#This Row],[UnidadeID]],unidades!$A:$A,unidades!$B:$B,"",0)</f>
        <v>Filial 2 - 11º</v>
      </c>
      <c r="N1420" s="1" t="str">
        <f>_xlfn.XLOOKUP(ocupacao[[#This Row],[UnidadeID]],unidades!$A:$A,unidades!$C:$C,"",0)</f>
        <v>Nova Iguaçu</v>
      </c>
      <c r="O1420" s="1" t="str">
        <f>_xlfn.XLOOKUP(ocupacao[[#This Row],[EspecialidadeID]],especialidades!$A:$A,especialidades!$B:$B,"",0)</f>
        <v>DERMATOLOGIA</v>
      </c>
      <c r="P1420" s="1" t="str">
        <f>TEXT(WEEKDAY(ocupacao[[#This Row],[Data]]),"ddd")</f>
        <v>qua</v>
      </c>
      <c r="Q1420" s="1">
        <f t="shared" si="22"/>
        <v>0</v>
      </c>
    </row>
    <row r="1421" spans="1:17" hidden="1" x14ac:dyDescent="0.25">
      <c r="A1421" s="2">
        <v>44748</v>
      </c>
      <c r="B1421">
        <v>11</v>
      </c>
      <c r="C1421">
        <v>15</v>
      </c>
      <c r="D1421">
        <v>13</v>
      </c>
      <c r="E1421">
        <v>1490</v>
      </c>
      <c r="F1421" s="1" t="s">
        <v>117</v>
      </c>
      <c r="G1421">
        <v>0</v>
      </c>
      <c r="H1421">
        <v>18</v>
      </c>
      <c r="I1421">
        <v>0</v>
      </c>
      <c r="J1421">
        <v>18</v>
      </c>
      <c r="K1421" s="33">
        <v>1</v>
      </c>
      <c r="L1421" s="1"/>
      <c r="M1421" s="1"/>
      <c r="N1421" s="1"/>
      <c r="O1421" s="1"/>
      <c r="P1421" s="1"/>
      <c r="Q1421" s="1"/>
    </row>
    <row r="1422" spans="1:17" hidden="1" x14ac:dyDescent="0.25">
      <c r="A1422" s="2"/>
      <c r="F1422" s="1"/>
      <c r="K1422" s="33"/>
      <c r="L1422" s="1"/>
      <c r="M1422" s="1"/>
      <c r="N1422" s="1"/>
      <c r="O1422" s="1"/>
      <c r="P1422" s="1"/>
      <c r="Q1422" s="1"/>
    </row>
    <row r="1423" spans="1:17" hidden="1" x14ac:dyDescent="0.25">
      <c r="A1423" s="2">
        <v>44749</v>
      </c>
      <c r="B1423">
        <v>34</v>
      </c>
      <c r="C1423">
        <v>15</v>
      </c>
      <c r="D1423">
        <v>376</v>
      </c>
      <c r="E1423">
        <v>70</v>
      </c>
      <c r="F1423" s="1" t="s">
        <v>124</v>
      </c>
      <c r="G1423">
        <v>0</v>
      </c>
      <c r="H1423">
        <v>2</v>
      </c>
      <c r="I1423">
        <v>21</v>
      </c>
      <c r="J1423">
        <v>23</v>
      </c>
      <c r="K1423" s="33">
        <v>8.6999999999999994E-2</v>
      </c>
      <c r="L1423" s="1"/>
      <c r="M1423" s="1"/>
      <c r="N1423" s="1"/>
      <c r="O1423" s="1"/>
      <c r="P1423" s="1"/>
      <c r="Q1423" s="1"/>
    </row>
    <row r="1424" spans="1:17" x14ac:dyDescent="0.25">
      <c r="A1424" s="2">
        <v>44749</v>
      </c>
      <c r="B1424">
        <v>0</v>
      </c>
      <c r="C1424">
        <v>15</v>
      </c>
      <c r="D1424">
        <v>344</v>
      </c>
      <c r="E1424">
        <v>1490</v>
      </c>
      <c r="F1424" s="1" t="s">
        <v>117</v>
      </c>
      <c r="G1424">
        <v>0</v>
      </c>
      <c r="H1424">
        <v>4</v>
      </c>
      <c r="I1424">
        <v>0</v>
      </c>
      <c r="J1424">
        <v>4</v>
      </c>
      <c r="K1424" s="33">
        <v>1</v>
      </c>
      <c r="L1424" s="1"/>
      <c r="M1424" s="1" t="str">
        <f>_xlfn.XLOOKUP(ocupacao[[#This Row],[UnidadeID]],unidades!$A:$A,unidades!$B:$B,"",0)</f>
        <v>Matriz</v>
      </c>
      <c r="N1424" s="1" t="str">
        <f>_xlfn.XLOOKUP(ocupacao[[#This Row],[UnidadeID]],unidades!$A:$A,unidades!$C:$C,"",0)</f>
        <v>Nova Iguaçu</v>
      </c>
      <c r="O1424" s="1" t="str">
        <f>_xlfn.XLOOKUP(ocupacao[[#This Row],[EspecialidadeID]],especialidades!$A:$A,especialidades!$B:$B,"",0)</f>
        <v>DERMATOLOGIA</v>
      </c>
      <c r="P1424" s="1" t="str">
        <f>TEXT(WEEKDAY(ocupacao[[#This Row],[Data]]),"ddd")</f>
        <v>qui</v>
      </c>
      <c r="Q1424" s="1">
        <f t="shared" si="22"/>
        <v>1</v>
      </c>
    </row>
    <row r="1425" spans="1:17" x14ac:dyDescent="0.25">
      <c r="A1425" s="2">
        <v>44749</v>
      </c>
      <c r="B1425">
        <v>0</v>
      </c>
      <c r="C1425">
        <v>15</v>
      </c>
      <c r="D1425">
        <v>13</v>
      </c>
      <c r="E1425">
        <v>1490</v>
      </c>
      <c r="F1425" s="1" t="s">
        <v>117</v>
      </c>
      <c r="G1425">
        <v>0</v>
      </c>
      <c r="H1425">
        <v>9</v>
      </c>
      <c r="I1425">
        <v>0</v>
      </c>
      <c r="J1425">
        <v>9</v>
      </c>
      <c r="K1425" s="33">
        <v>1</v>
      </c>
      <c r="L1425" s="1"/>
      <c r="M1425" s="1" t="str">
        <f>_xlfn.XLOOKUP(ocupacao[[#This Row],[UnidadeID]],unidades!$A:$A,unidades!$B:$B,"",0)</f>
        <v>Matriz</v>
      </c>
      <c r="N1425" s="1" t="str">
        <f>_xlfn.XLOOKUP(ocupacao[[#This Row],[UnidadeID]],unidades!$A:$A,unidades!$C:$C,"",0)</f>
        <v>Nova Iguaçu</v>
      </c>
      <c r="O1425" s="1" t="str">
        <f>_xlfn.XLOOKUP(ocupacao[[#This Row],[EspecialidadeID]],especialidades!$A:$A,especialidades!$B:$B,"",0)</f>
        <v>DERMATOLOGIA</v>
      </c>
      <c r="P1425" s="1" t="str">
        <f>TEXT(WEEKDAY(ocupacao[[#This Row],[Data]]),"ddd")</f>
        <v>qui</v>
      </c>
      <c r="Q1425" s="1">
        <f t="shared" si="22"/>
        <v>0</v>
      </c>
    </row>
    <row r="1426" spans="1:17" x14ac:dyDescent="0.25">
      <c r="A1426" s="2">
        <v>44750</v>
      </c>
      <c r="B1426">
        <v>11</v>
      </c>
      <c r="C1426">
        <v>15</v>
      </c>
      <c r="D1426">
        <v>13</v>
      </c>
      <c r="E1426">
        <v>69</v>
      </c>
      <c r="F1426" s="1" t="s">
        <v>130</v>
      </c>
      <c r="G1426">
        <v>0</v>
      </c>
      <c r="H1426">
        <v>0</v>
      </c>
      <c r="I1426">
        <v>18</v>
      </c>
      <c r="J1426">
        <v>18</v>
      </c>
      <c r="K1426" s="33">
        <v>0</v>
      </c>
      <c r="L1426" s="1"/>
      <c r="M1426" s="1" t="str">
        <f>_xlfn.XLOOKUP(ocupacao[[#This Row],[UnidadeID]],unidades!$A:$A,unidades!$B:$B,"",0)</f>
        <v>Filial 2 - 11º</v>
      </c>
      <c r="N1426" s="1" t="str">
        <f>_xlfn.XLOOKUP(ocupacao[[#This Row],[UnidadeID]],unidades!$A:$A,unidades!$C:$C,"",0)</f>
        <v>Nova Iguaçu</v>
      </c>
      <c r="O1426" s="1" t="str">
        <f>_xlfn.XLOOKUP(ocupacao[[#This Row],[EspecialidadeID]],especialidades!$A:$A,especialidades!$B:$B,"",0)</f>
        <v>DERMATOLOGIA</v>
      </c>
      <c r="P1426" s="1" t="str">
        <f>TEXT(WEEKDAY(ocupacao[[#This Row],[Data]]),"ddd")</f>
        <v>sex</v>
      </c>
      <c r="Q1426" s="1">
        <f t="shared" si="22"/>
        <v>0</v>
      </c>
    </row>
    <row r="1427" spans="1:17" hidden="1" x14ac:dyDescent="0.25">
      <c r="A1427" s="2">
        <v>44751</v>
      </c>
      <c r="B1427">
        <v>11</v>
      </c>
      <c r="C1427">
        <v>15</v>
      </c>
      <c r="D1427">
        <v>13</v>
      </c>
      <c r="E1427">
        <v>70</v>
      </c>
      <c r="F1427" s="1" t="s">
        <v>124</v>
      </c>
      <c r="G1427">
        <v>0</v>
      </c>
      <c r="H1427">
        <v>0</v>
      </c>
      <c r="I1427">
        <v>18</v>
      </c>
      <c r="J1427">
        <v>18</v>
      </c>
      <c r="K1427" s="33">
        <v>0</v>
      </c>
      <c r="L1427" s="1"/>
      <c r="M1427" s="1"/>
      <c r="N1427" s="1"/>
      <c r="O1427" s="1"/>
      <c r="P1427" s="1"/>
      <c r="Q1427" s="1"/>
    </row>
    <row r="1428" spans="1:17" hidden="1" x14ac:dyDescent="0.25">
      <c r="A1428" s="2"/>
      <c r="F1428" s="1"/>
      <c r="K1428" s="33"/>
      <c r="L1428" s="1"/>
      <c r="M1428" s="1"/>
      <c r="N1428" s="1"/>
      <c r="O1428" s="1"/>
      <c r="P1428" s="1"/>
      <c r="Q1428" s="1"/>
    </row>
    <row r="1429" spans="1:17" x14ac:dyDescent="0.25">
      <c r="A1429" s="2">
        <v>44753</v>
      </c>
      <c r="B1429">
        <v>11</v>
      </c>
      <c r="C1429">
        <v>15</v>
      </c>
      <c r="D1429">
        <v>13</v>
      </c>
      <c r="E1429">
        <v>70</v>
      </c>
      <c r="F1429" s="1" t="s">
        <v>124</v>
      </c>
      <c r="G1429">
        <v>0</v>
      </c>
      <c r="H1429">
        <v>0</v>
      </c>
      <c r="I1429">
        <v>23</v>
      </c>
      <c r="J1429">
        <v>23</v>
      </c>
      <c r="K1429" s="33">
        <v>0</v>
      </c>
      <c r="L1429" s="1"/>
      <c r="M1429" s="1" t="str">
        <f>_xlfn.XLOOKUP(ocupacao[[#This Row],[UnidadeID]],unidades!$A:$A,unidades!$B:$B,"",0)</f>
        <v>Filial 2 - 11º</v>
      </c>
      <c r="N1429" s="1" t="str">
        <f>_xlfn.XLOOKUP(ocupacao[[#This Row],[UnidadeID]],unidades!$A:$A,unidades!$C:$C,"",0)</f>
        <v>Nova Iguaçu</v>
      </c>
      <c r="O1429" s="1" t="str">
        <f>_xlfn.XLOOKUP(ocupacao[[#This Row],[EspecialidadeID]],especialidades!$A:$A,especialidades!$B:$B,"",0)</f>
        <v>DERMATOLOGIA</v>
      </c>
      <c r="P1429" s="1" t="str">
        <f>TEXT(WEEKDAY(ocupacao[[#This Row],[Data]]),"ddd")</f>
        <v>seg</v>
      </c>
      <c r="Q1429" s="1">
        <f t="shared" si="22"/>
        <v>0</v>
      </c>
    </row>
    <row r="1430" spans="1:17" hidden="1" x14ac:dyDescent="0.25">
      <c r="A1430" s="2"/>
      <c r="F1430" s="1"/>
      <c r="K1430" s="33"/>
      <c r="L1430" s="1"/>
      <c r="M1430" s="1"/>
      <c r="N1430" s="1"/>
      <c r="O1430" s="1"/>
      <c r="P1430" s="1"/>
      <c r="Q1430" s="1"/>
    </row>
    <row r="1431" spans="1:17" hidden="1" x14ac:dyDescent="0.25">
      <c r="A1431" s="2">
        <v>44753</v>
      </c>
      <c r="B1431">
        <v>11</v>
      </c>
      <c r="C1431">
        <v>15</v>
      </c>
      <c r="D1431">
        <v>67</v>
      </c>
      <c r="E1431">
        <v>10941</v>
      </c>
      <c r="F1431" s="1" t="s">
        <v>126</v>
      </c>
      <c r="G1431">
        <v>0</v>
      </c>
      <c r="H1431">
        <v>1</v>
      </c>
      <c r="I1431">
        <v>23</v>
      </c>
      <c r="J1431">
        <v>24</v>
      </c>
      <c r="K1431" s="33">
        <v>4.1700000000000001E-2</v>
      </c>
      <c r="L1431" s="1"/>
      <c r="M1431" s="1"/>
      <c r="N1431" s="1"/>
      <c r="O1431" s="1"/>
      <c r="P1431" s="1"/>
      <c r="Q1431" s="1"/>
    </row>
    <row r="1432" spans="1:17" x14ac:dyDescent="0.25">
      <c r="A1432" s="2">
        <v>44753</v>
      </c>
      <c r="B1432">
        <v>11</v>
      </c>
      <c r="C1432">
        <v>15</v>
      </c>
      <c r="D1432">
        <v>12</v>
      </c>
      <c r="E1432">
        <v>10941</v>
      </c>
      <c r="F1432" s="1" t="s">
        <v>126</v>
      </c>
      <c r="G1432">
        <v>0</v>
      </c>
      <c r="H1432">
        <v>4</v>
      </c>
      <c r="I1432">
        <v>23</v>
      </c>
      <c r="J1432">
        <v>27</v>
      </c>
      <c r="K1432" s="33">
        <v>0.14810000000000001</v>
      </c>
      <c r="L1432" s="1"/>
      <c r="M1432" s="1" t="str">
        <f>_xlfn.XLOOKUP(ocupacao[[#This Row],[UnidadeID]],unidades!$A:$A,unidades!$B:$B,"",0)</f>
        <v>Filial 2 - 11º</v>
      </c>
      <c r="N1432" s="1" t="str">
        <f>_xlfn.XLOOKUP(ocupacao[[#This Row],[UnidadeID]],unidades!$A:$A,unidades!$C:$C,"",0)</f>
        <v>Nova Iguaçu</v>
      </c>
      <c r="O1432" s="1" t="str">
        <f>_xlfn.XLOOKUP(ocupacao[[#This Row],[EspecialidadeID]],especialidades!$A:$A,especialidades!$B:$B,"",0)</f>
        <v>DERMATOLOGIA</v>
      </c>
      <c r="P1432" s="1" t="str">
        <f>TEXT(WEEKDAY(ocupacao[[#This Row],[Data]]),"ddd")</f>
        <v>seg</v>
      </c>
      <c r="Q1432" s="1">
        <f t="shared" si="22"/>
        <v>0</v>
      </c>
    </row>
    <row r="1433" spans="1:17" x14ac:dyDescent="0.25">
      <c r="A1433" s="2">
        <v>44754</v>
      </c>
      <c r="B1433">
        <v>11</v>
      </c>
      <c r="C1433">
        <v>15</v>
      </c>
      <c r="D1433">
        <v>13</v>
      </c>
      <c r="E1433">
        <v>69</v>
      </c>
      <c r="F1433" s="1" t="s">
        <v>130</v>
      </c>
      <c r="G1433">
        <v>0</v>
      </c>
      <c r="H1433">
        <v>0</v>
      </c>
      <c r="I1433">
        <v>35</v>
      </c>
      <c r="J1433">
        <v>35</v>
      </c>
      <c r="K1433" s="33">
        <v>0</v>
      </c>
      <c r="L1433" s="1"/>
      <c r="M1433" s="1" t="str">
        <f>_xlfn.XLOOKUP(ocupacao[[#This Row],[UnidadeID]],unidades!$A:$A,unidades!$B:$B,"",0)</f>
        <v>Filial 2 - 11º</v>
      </c>
      <c r="N1433" s="1" t="str">
        <f>_xlfn.XLOOKUP(ocupacao[[#This Row],[UnidadeID]],unidades!$A:$A,unidades!$C:$C,"",0)</f>
        <v>Nova Iguaçu</v>
      </c>
      <c r="O1433" s="1" t="str">
        <f>_xlfn.XLOOKUP(ocupacao[[#This Row],[EspecialidadeID]],especialidades!$A:$A,especialidades!$B:$B,"",0)</f>
        <v>DERMATOLOGIA</v>
      </c>
      <c r="P1433" s="1" t="str">
        <f>TEXT(WEEKDAY(ocupacao[[#This Row],[Data]]),"ddd")</f>
        <v>ter</v>
      </c>
      <c r="Q1433" s="1">
        <f t="shared" si="22"/>
        <v>0</v>
      </c>
    </row>
    <row r="1434" spans="1:17" hidden="1" x14ac:dyDescent="0.25">
      <c r="A1434" s="2">
        <v>44754</v>
      </c>
      <c r="B1434">
        <v>11</v>
      </c>
      <c r="C1434">
        <v>15</v>
      </c>
      <c r="D1434">
        <v>12</v>
      </c>
      <c r="E1434">
        <v>10941</v>
      </c>
      <c r="F1434" s="1" t="s">
        <v>126</v>
      </c>
      <c r="G1434">
        <v>0</v>
      </c>
      <c r="H1434">
        <v>0</v>
      </c>
      <c r="I1434">
        <v>42</v>
      </c>
      <c r="J1434">
        <v>42</v>
      </c>
      <c r="K1434" s="33">
        <v>0</v>
      </c>
      <c r="L1434" s="1"/>
      <c r="M1434" s="1"/>
      <c r="N1434" s="1"/>
      <c r="O1434" s="1"/>
      <c r="P1434" s="1"/>
      <c r="Q1434" s="1"/>
    </row>
    <row r="1435" spans="1:17" x14ac:dyDescent="0.25">
      <c r="A1435" s="2">
        <v>44754</v>
      </c>
      <c r="B1435">
        <v>18</v>
      </c>
      <c r="C1435">
        <v>15</v>
      </c>
      <c r="D1435">
        <v>12</v>
      </c>
      <c r="E1435">
        <v>10941</v>
      </c>
      <c r="F1435" s="1" t="s">
        <v>126</v>
      </c>
      <c r="G1435">
        <v>0</v>
      </c>
      <c r="H1435">
        <v>1</v>
      </c>
      <c r="I1435">
        <v>42</v>
      </c>
      <c r="J1435">
        <v>43</v>
      </c>
      <c r="K1435" s="33">
        <v>2.3300000000000001E-2</v>
      </c>
      <c r="L1435" s="1"/>
      <c r="M1435" s="1" t="str">
        <f>_xlfn.XLOOKUP(ocupacao[[#This Row],[UnidadeID]],unidades!$A:$A,unidades!$B:$B,"",0)</f>
        <v>Miguel Couto</v>
      </c>
      <c r="N1435" s="1" t="str">
        <f>_xlfn.XLOOKUP(ocupacao[[#This Row],[UnidadeID]],unidades!$A:$A,unidades!$C:$C,"",0)</f>
        <v>Miguel Couto</v>
      </c>
      <c r="O1435" s="1" t="str">
        <f>_xlfn.XLOOKUP(ocupacao[[#This Row],[EspecialidadeID]],especialidades!$A:$A,especialidades!$B:$B,"",0)</f>
        <v>DERMATOLOGIA</v>
      </c>
      <c r="P1435" s="1" t="str">
        <f>TEXT(WEEKDAY(ocupacao[[#This Row],[Data]]),"ddd")</f>
        <v>ter</v>
      </c>
      <c r="Q1435" s="1">
        <f t="shared" si="22"/>
        <v>0</v>
      </c>
    </row>
    <row r="1436" spans="1:17" x14ac:dyDescent="0.25">
      <c r="A1436" s="2">
        <v>44754</v>
      </c>
      <c r="B1436">
        <v>11</v>
      </c>
      <c r="C1436">
        <v>15</v>
      </c>
      <c r="D1436">
        <v>11</v>
      </c>
      <c r="E1436">
        <v>12623</v>
      </c>
      <c r="F1436" s="1" t="s">
        <v>133</v>
      </c>
      <c r="G1436">
        <v>0</v>
      </c>
      <c r="H1436">
        <v>0</v>
      </c>
      <c r="I1436">
        <v>28</v>
      </c>
      <c r="J1436">
        <v>28</v>
      </c>
      <c r="K1436" s="33">
        <v>0</v>
      </c>
      <c r="L1436" s="1"/>
      <c r="M1436" s="1" t="str">
        <f>_xlfn.XLOOKUP(ocupacao[[#This Row],[UnidadeID]],unidades!$A:$A,unidades!$B:$B,"",0)</f>
        <v>Filial 2 - 11º</v>
      </c>
      <c r="N1436" s="1" t="str">
        <f>_xlfn.XLOOKUP(ocupacao[[#This Row],[UnidadeID]],unidades!$A:$A,unidades!$C:$C,"",0)</f>
        <v>Nova Iguaçu</v>
      </c>
      <c r="O1436" s="1" t="str">
        <f>_xlfn.XLOOKUP(ocupacao[[#This Row],[EspecialidadeID]],especialidades!$A:$A,especialidades!$B:$B,"",0)</f>
        <v>DERMATOLOGIA</v>
      </c>
      <c r="P1436" s="1" t="str">
        <f>TEXT(WEEKDAY(ocupacao[[#This Row],[Data]]),"ddd")</f>
        <v>ter</v>
      </c>
      <c r="Q1436" s="1">
        <f t="shared" si="22"/>
        <v>0</v>
      </c>
    </row>
    <row r="1437" spans="1:17" hidden="1" x14ac:dyDescent="0.25">
      <c r="A1437" s="2">
        <v>44755</v>
      </c>
      <c r="B1437">
        <v>11</v>
      </c>
      <c r="C1437">
        <v>15</v>
      </c>
      <c r="D1437">
        <v>13</v>
      </c>
      <c r="E1437">
        <v>70</v>
      </c>
      <c r="F1437" s="1" t="s">
        <v>124</v>
      </c>
      <c r="G1437">
        <v>0</v>
      </c>
      <c r="H1437">
        <v>0</v>
      </c>
      <c r="I1437">
        <v>23</v>
      </c>
      <c r="J1437">
        <v>23</v>
      </c>
      <c r="K1437" s="33">
        <v>0</v>
      </c>
      <c r="L1437" s="1"/>
      <c r="M1437" s="1"/>
      <c r="N1437" s="1"/>
      <c r="O1437" s="1"/>
      <c r="P1437" s="1"/>
      <c r="Q1437" s="1"/>
    </row>
    <row r="1438" spans="1:17" x14ac:dyDescent="0.25">
      <c r="A1438" s="2">
        <v>44755</v>
      </c>
      <c r="B1438">
        <v>11</v>
      </c>
      <c r="C1438">
        <v>15</v>
      </c>
      <c r="D1438">
        <v>13</v>
      </c>
      <c r="E1438">
        <v>70</v>
      </c>
      <c r="F1438" s="1" t="s">
        <v>124</v>
      </c>
      <c r="G1438">
        <v>0</v>
      </c>
      <c r="H1438">
        <v>1</v>
      </c>
      <c r="I1438">
        <v>23</v>
      </c>
      <c r="J1438">
        <v>24</v>
      </c>
      <c r="K1438" s="33">
        <v>4.1700000000000001E-2</v>
      </c>
      <c r="L1438" s="1"/>
      <c r="M1438" s="1" t="str">
        <f>_xlfn.XLOOKUP(ocupacao[[#This Row],[UnidadeID]],unidades!$A:$A,unidades!$B:$B,"",0)</f>
        <v>Filial 2 - 11º</v>
      </c>
      <c r="N1438" s="1" t="str">
        <f>_xlfn.XLOOKUP(ocupacao[[#This Row],[UnidadeID]],unidades!$A:$A,unidades!$C:$C,"",0)</f>
        <v>Nova Iguaçu</v>
      </c>
      <c r="O1438" s="1" t="str">
        <f>_xlfn.XLOOKUP(ocupacao[[#This Row],[EspecialidadeID]],especialidades!$A:$A,especialidades!$B:$B,"",0)</f>
        <v>DERMATOLOGIA</v>
      </c>
      <c r="P1438" s="1" t="str">
        <f>TEXT(WEEKDAY(ocupacao[[#This Row],[Data]]),"ddd")</f>
        <v>qua</v>
      </c>
      <c r="Q1438" s="1">
        <f t="shared" si="22"/>
        <v>0</v>
      </c>
    </row>
    <row r="1439" spans="1:17" hidden="1" x14ac:dyDescent="0.25">
      <c r="A1439" s="2">
        <v>44755</v>
      </c>
      <c r="B1439">
        <v>11</v>
      </c>
      <c r="C1439">
        <v>15</v>
      </c>
      <c r="D1439">
        <v>13</v>
      </c>
      <c r="E1439">
        <v>1490</v>
      </c>
      <c r="F1439" s="1" t="s">
        <v>117</v>
      </c>
      <c r="G1439">
        <v>0</v>
      </c>
      <c r="H1439">
        <v>18</v>
      </c>
      <c r="I1439">
        <v>0</v>
      </c>
      <c r="J1439">
        <v>18</v>
      </c>
      <c r="K1439" s="33">
        <v>1</v>
      </c>
      <c r="L1439" s="1"/>
      <c r="M1439" s="1"/>
      <c r="N1439" s="1"/>
      <c r="O1439" s="1"/>
      <c r="P1439" s="1"/>
      <c r="Q1439" s="1"/>
    </row>
    <row r="1440" spans="1:17" x14ac:dyDescent="0.25">
      <c r="A1440" s="2">
        <v>44756</v>
      </c>
      <c r="B1440">
        <v>18</v>
      </c>
      <c r="C1440">
        <v>15</v>
      </c>
      <c r="D1440">
        <v>82</v>
      </c>
      <c r="E1440">
        <v>69</v>
      </c>
      <c r="F1440" s="1" t="s">
        <v>130</v>
      </c>
      <c r="G1440">
        <v>0</v>
      </c>
      <c r="H1440">
        <v>0</v>
      </c>
      <c r="I1440">
        <v>17</v>
      </c>
      <c r="J1440">
        <v>17</v>
      </c>
      <c r="K1440" s="33">
        <v>0</v>
      </c>
      <c r="L1440" s="1"/>
      <c r="M1440" s="1" t="str">
        <f>_xlfn.XLOOKUP(ocupacao[[#This Row],[UnidadeID]],unidades!$A:$A,unidades!$B:$B,"",0)</f>
        <v>Miguel Couto</v>
      </c>
      <c r="N1440" s="1" t="str">
        <f>_xlfn.XLOOKUP(ocupacao[[#This Row],[UnidadeID]],unidades!$A:$A,unidades!$C:$C,"",0)</f>
        <v>Miguel Couto</v>
      </c>
      <c r="O1440" s="1" t="str">
        <f>_xlfn.XLOOKUP(ocupacao[[#This Row],[EspecialidadeID]],especialidades!$A:$A,especialidades!$B:$B,"",0)</f>
        <v>DERMATOLOGIA</v>
      </c>
      <c r="P1440" s="1" t="str">
        <f>TEXT(WEEKDAY(ocupacao[[#This Row],[Data]]),"ddd")</f>
        <v>qui</v>
      </c>
      <c r="Q1440" s="1">
        <f t="shared" si="22"/>
        <v>0</v>
      </c>
    </row>
    <row r="1441" spans="1:17" x14ac:dyDescent="0.25">
      <c r="A1441" s="2">
        <v>44756</v>
      </c>
      <c r="B1441">
        <v>0</v>
      </c>
      <c r="C1441">
        <v>15</v>
      </c>
      <c r="D1441">
        <v>344</v>
      </c>
      <c r="E1441">
        <v>1490</v>
      </c>
      <c r="F1441" s="1" t="s">
        <v>117</v>
      </c>
      <c r="G1441">
        <v>0</v>
      </c>
      <c r="H1441">
        <v>5</v>
      </c>
      <c r="I1441">
        <v>0</v>
      </c>
      <c r="J1441">
        <v>5</v>
      </c>
      <c r="K1441" s="33">
        <v>1</v>
      </c>
      <c r="L1441" s="1"/>
      <c r="M1441" s="1" t="str">
        <f>_xlfn.XLOOKUP(ocupacao[[#This Row],[UnidadeID]],unidades!$A:$A,unidades!$B:$B,"",0)</f>
        <v>Matriz</v>
      </c>
      <c r="N1441" s="1" t="str">
        <f>_xlfn.XLOOKUP(ocupacao[[#This Row],[UnidadeID]],unidades!$A:$A,unidades!$C:$C,"",0)</f>
        <v>Nova Iguaçu</v>
      </c>
      <c r="O1441" s="1" t="str">
        <f>_xlfn.XLOOKUP(ocupacao[[#This Row],[EspecialidadeID]],especialidades!$A:$A,especialidades!$B:$B,"",0)</f>
        <v>DERMATOLOGIA</v>
      </c>
      <c r="P1441" s="1" t="str">
        <f>TEXT(WEEKDAY(ocupacao[[#This Row],[Data]]),"ddd")</f>
        <v>qui</v>
      </c>
      <c r="Q1441" s="1">
        <f t="shared" si="22"/>
        <v>1</v>
      </c>
    </row>
    <row r="1442" spans="1:17" x14ac:dyDescent="0.25">
      <c r="A1442" s="2">
        <v>44756</v>
      </c>
      <c r="B1442">
        <v>0</v>
      </c>
      <c r="C1442">
        <v>15</v>
      </c>
      <c r="D1442">
        <v>13</v>
      </c>
      <c r="E1442">
        <v>1490</v>
      </c>
      <c r="F1442" s="1" t="s">
        <v>117</v>
      </c>
      <c r="G1442">
        <v>0</v>
      </c>
      <c r="H1442">
        <v>9</v>
      </c>
      <c r="I1442">
        <v>0</v>
      </c>
      <c r="J1442">
        <v>9</v>
      </c>
      <c r="K1442" s="33">
        <v>1</v>
      </c>
      <c r="L1442" s="1"/>
      <c r="M1442" s="1" t="str">
        <f>_xlfn.XLOOKUP(ocupacao[[#This Row],[UnidadeID]],unidades!$A:$A,unidades!$B:$B,"",0)</f>
        <v>Matriz</v>
      </c>
      <c r="N1442" s="1" t="str">
        <f>_xlfn.XLOOKUP(ocupacao[[#This Row],[UnidadeID]],unidades!$A:$A,unidades!$C:$C,"",0)</f>
        <v>Nova Iguaçu</v>
      </c>
      <c r="O1442" s="1" t="str">
        <f>_xlfn.XLOOKUP(ocupacao[[#This Row],[EspecialidadeID]],especialidades!$A:$A,especialidades!$B:$B,"",0)</f>
        <v>DERMATOLOGIA</v>
      </c>
      <c r="P1442" s="1" t="str">
        <f>TEXT(WEEKDAY(ocupacao[[#This Row],[Data]]),"ddd")</f>
        <v>qui</v>
      </c>
      <c r="Q1442" s="1">
        <f t="shared" si="22"/>
        <v>0</v>
      </c>
    </row>
    <row r="1443" spans="1:17" hidden="1" x14ac:dyDescent="0.25">
      <c r="A1443" s="2"/>
      <c r="F1443" s="1" t="s">
        <v>106</v>
      </c>
      <c r="K1443" s="33"/>
      <c r="L1443" s="1"/>
      <c r="M1443" s="1"/>
      <c r="N1443" s="1"/>
      <c r="O1443" s="1"/>
      <c r="P1443" s="1"/>
      <c r="Q1443" s="1"/>
    </row>
    <row r="1444" spans="1:17" x14ac:dyDescent="0.25">
      <c r="A1444" s="2">
        <v>44744</v>
      </c>
      <c r="B1444">
        <v>33</v>
      </c>
      <c r="C1444">
        <v>16</v>
      </c>
      <c r="D1444">
        <v>368</v>
      </c>
      <c r="E1444">
        <v>75</v>
      </c>
      <c r="F1444" s="1" t="s">
        <v>125</v>
      </c>
      <c r="G1444">
        <v>0</v>
      </c>
      <c r="H1444">
        <v>0</v>
      </c>
      <c r="I1444">
        <v>61</v>
      </c>
      <c r="J1444">
        <v>61</v>
      </c>
      <c r="K1444" s="33">
        <v>0</v>
      </c>
      <c r="L1444" s="1"/>
      <c r="M1444" s="1" t="str">
        <f>_xlfn.XLOOKUP(ocupacao[[#This Row],[UnidadeID]],unidades!$A:$A,unidades!$B:$B,"",0)</f>
        <v>Seggastro</v>
      </c>
      <c r="N1444" s="1" t="str">
        <f>_xlfn.XLOOKUP(ocupacao[[#This Row],[UnidadeID]],unidades!$A:$A,unidades!$C:$C,"",0)</f>
        <v>Nova Iguaçu</v>
      </c>
      <c r="O1444" s="1" t="str">
        <f>_xlfn.XLOOKUP(ocupacao[[#This Row],[EspecialidadeID]],especialidades!$A:$A,especialidades!$B:$B,"",0)</f>
        <v>GASTROENTEROLOGIA</v>
      </c>
      <c r="P1444" s="1" t="str">
        <f>TEXT(WEEKDAY(ocupacao[[#This Row],[Data]]),"ddd")</f>
        <v>sáb</v>
      </c>
      <c r="Q1444" s="1">
        <f t="shared" si="22"/>
        <v>0</v>
      </c>
    </row>
    <row r="1445" spans="1:17" hidden="1" x14ac:dyDescent="0.25">
      <c r="A1445" s="2">
        <v>44744</v>
      </c>
      <c r="B1445">
        <v>33</v>
      </c>
      <c r="C1445">
        <v>16</v>
      </c>
      <c r="D1445">
        <v>368</v>
      </c>
      <c r="E1445">
        <v>1586</v>
      </c>
      <c r="F1445" s="1" t="s">
        <v>132</v>
      </c>
      <c r="G1445">
        <v>0</v>
      </c>
      <c r="H1445">
        <v>0</v>
      </c>
      <c r="I1445">
        <v>41</v>
      </c>
      <c r="J1445">
        <v>41</v>
      </c>
      <c r="K1445" s="33">
        <v>0</v>
      </c>
      <c r="L1445" s="1"/>
      <c r="M1445" s="1"/>
      <c r="N1445" s="1"/>
      <c r="O1445" s="1"/>
      <c r="P1445" s="1"/>
      <c r="Q1445" s="1"/>
    </row>
    <row r="1446" spans="1:17" x14ac:dyDescent="0.25">
      <c r="A1446" s="2">
        <v>44744</v>
      </c>
      <c r="B1446">
        <v>33</v>
      </c>
      <c r="C1446">
        <v>16</v>
      </c>
      <c r="D1446">
        <v>368</v>
      </c>
      <c r="E1446">
        <v>2036</v>
      </c>
      <c r="F1446" s="1" t="s">
        <v>374</v>
      </c>
      <c r="G1446">
        <v>0</v>
      </c>
      <c r="H1446">
        <v>0</v>
      </c>
      <c r="I1446">
        <v>21</v>
      </c>
      <c r="J1446">
        <v>21</v>
      </c>
      <c r="K1446" s="33">
        <v>0</v>
      </c>
      <c r="L1446" s="1"/>
      <c r="M1446" s="1" t="str">
        <f>_xlfn.XLOOKUP(ocupacao[[#This Row],[UnidadeID]],unidades!$A:$A,unidades!$B:$B,"",0)</f>
        <v>Seggastro</v>
      </c>
      <c r="N1446" s="1" t="str">
        <f>_xlfn.XLOOKUP(ocupacao[[#This Row],[UnidadeID]],unidades!$A:$A,unidades!$C:$C,"",0)</f>
        <v>Nova Iguaçu</v>
      </c>
      <c r="O1446" s="1" t="str">
        <f>_xlfn.XLOOKUP(ocupacao[[#This Row],[EspecialidadeID]],especialidades!$A:$A,especialidades!$B:$B,"",0)</f>
        <v>GASTROENTEROLOGIA</v>
      </c>
      <c r="P1446" s="1" t="str">
        <f>TEXT(WEEKDAY(ocupacao[[#This Row],[Data]]),"ddd")</f>
        <v>sáb</v>
      </c>
      <c r="Q1446" s="1">
        <f t="shared" si="22"/>
        <v>0</v>
      </c>
    </row>
    <row r="1447" spans="1:17" x14ac:dyDescent="0.25">
      <c r="A1447" s="2">
        <v>44744</v>
      </c>
      <c r="B1447">
        <v>33</v>
      </c>
      <c r="C1447">
        <v>16</v>
      </c>
      <c r="D1447">
        <v>368</v>
      </c>
      <c r="E1447">
        <v>5822</v>
      </c>
      <c r="F1447" s="1" t="s">
        <v>100</v>
      </c>
      <c r="G1447">
        <v>0</v>
      </c>
      <c r="H1447">
        <v>0</v>
      </c>
      <c r="I1447">
        <v>61</v>
      </c>
      <c r="J1447">
        <v>61</v>
      </c>
      <c r="K1447" s="33">
        <v>0</v>
      </c>
      <c r="L1447" s="1"/>
      <c r="M1447" s="1" t="str">
        <f>_xlfn.XLOOKUP(ocupacao[[#This Row],[UnidadeID]],unidades!$A:$A,unidades!$B:$B,"",0)</f>
        <v>Seggastro</v>
      </c>
      <c r="N1447" s="1" t="str">
        <f>_xlfn.XLOOKUP(ocupacao[[#This Row],[UnidadeID]],unidades!$A:$A,unidades!$C:$C,"",0)</f>
        <v>Nova Iguaçu</v>
      </c>
      <c r="O1447" s="1" t="str">
        <f>_xlfn.XLOOKUP(ocupacao[[#This Row],[EspecialidadeID]],especialidades!$A:$A,especialidades!$B:$B,"",0)</f>
        <v>GASTROENTEROLOGIA</v>
      </c>
      <c r="P1447" s="1" t="str">
        <f>TEXT(WEEKDAY(ocupacao[[#This Row],[Data]]),"ddd")</f>
        <v>sáb</v>
      </c>
      <c r="Q1447" s="1">
        <f t="shared" si="22"/>
        <v>0</v>
      </c>
    </row>
    <row r="1448" spans="1:17" hidden="1" x14ac:dyDescent="0.25">
      <c r="A1448" s="2">
        <v>44744</v>
      </c>
      <c r="B1448">
        <v>33</v>
      </c>
      <c r="C1448">
        <v>16</v>
      </c>
      <c r="D1448">
        <v>368</v>
      </c>
      <c r="E1448">
        <v>7900</v>
      </c>
      <c r="F1448" s="1" t="s">
        <v>348</v>
      </c>
      <c r="G1448">
        <v>0</v>
      </c>
      <c r="H1448">
        <v>0</v>
      </c>
      <c r="I1448">
        <v>21</v>
      </c>
      <c r="J1448">
        <v>21</v>
      </c>
      <c r="K1448" s="33">
        <v>0</v>
      </c>
      <c r="L1448" s="1"/>
      <c r="M1448" s="1"/>
      <c r="N1448" s="1"/>
      <c r="O1448" s="1"/>
      <c r="P1448" s="1"/>
      <c r="Q1448" s="1"/>
    </row>
    <row r="1449" spans="1:17" x14ac:dyDescent="0.25">
      <c r="A1449" s="2">
        <v>44744</v>
      </c>
      <c r="B1449">
        <v>33</v>
      </c>
      <c r="C1449">
        <v>16</v>
      </c>
      <c r="D1449">
        <v>368</v>
      </c>
      <c r="E1449">
        <v>13660</v>
      </c>
      <c r="F1449" s="1" t="s">
        <v>112</v>
      </c>
      <c r="G1449">
        <v>0</v>
      </c>
      <c r="H1449">
        <v>0</v>
      </c>
      <c r="I1449">
        <v>41</v>
      </c>
      <c r="J1449">
        <v>41</v>
      </c>
      <c r="K1449" s="33">
        <v>0</v>
      </c>
      <c r="L1449" s="1"/>
      <c r="M1449" s="1" t="str">
        <f>_xlfn.XLOOKUP(ocupacao[[#This Row],[UnidadeID]],unidades!$A:$A,unidades!$B:$B,"",0)</f>
        <v>Seggastro</v>
      </c>
      <c r="N1449" s="1" t="str">
        <f>_xlfn.XLOOKUP(ocupacao[[#This Row],[UnidadeID]],unidades!$A:$A,unidades!$C:$C,"",0)</f>
        <v>Nova Iguaçu</v>
      </c>
      <c r="O1449" s="1" t="str">
        <f>_xlfn.XLOOKUP(ocupacao[[#This Row],[EspecialidadeID]],especialidades!$A:$A,especialidades!$B:$B,"",0)</f>
        <v>GASTROENTEROLOGIA</v>
      </c>
      <c r="P1449" s="1" t="str">
        <f>TEXT(WEEKDAY(ocupacao[[#This Row],[Data]]),"ddd")</f>
        <v>sáb</v>
      </c>
      <c r="Q1449" s="1">
        <f t="shared" si="22"/>
        <v>0</v>
      </c>
    </row>
    <row r="1450" spans="1:17" x14ac:dyDescent="0.25">
      <c r="A1450" s="2">
        <v>44746</v>
      </c>
      <c r="B1450">
        <v>11</v>
      </c>
      <c r="C1450">
        <v>16</v>
      </c>
      <c r="D1450">
        <v>15</v>
      </c>
      <c r="E1450">
        <v>75</v>
      </c>
      <c r="F1450" s="1" t="s">
        <v>125</v>
      </c>
      <c r="G1450">
        <v>0</v>
      </c>
      <c r="H1450">
        <v>5</v>
      </c>
      <c r="I1450">
        <v>0</v>
      </c>
      <c r="J1450">
        <v>5</v>
      </c>
      <c r="K1450" s="33">
        <v>1</v>
      </c>
      <c r="L1450" s="1"/>
      <c r="M1450" s="1" t="str">
        <f>_xlfn.XLOOKUP(ocupacao[[#This Row],[UnidadeID]],unidades!$A:$A,unidades!$B:$B,"",0)</f>
        <v>Filial 2 - 11º</v>
      </c>
      <c r="N1450" s="1" t="str">
        <f>_xlfn.XLOOKUP(ocupacao[[#This Row],[UnidadeID]],unidades!$A:$A,unidades!$C:$C,"",0)</f>
        <v>Nova Iguaçu</v>
      </c>
      <c r="O1450" s="1" t="str">
        <f>_xlfn.XLOOKUP(ocupacao[[#This Row],[EspecialidadeID]],especialidades!$A:$A,especialidades!$B:$B,"",0)</f>
        <v>GASTROENTEROLOGIA</v>
      </c>
      <c r="P1450" s="1" t="str">
        <f>TEXT(WEEKDAY(ocupacao[[#This Row],[Data]]),"ddd")</f>
        <v>seg</v>
      </c>
      <c r="Q1450" s="1">
        <f t="shared" si="22"/>
        <v>1</v>
      </c>
    </row>
    <row r="1451" spans="1:17" x14ac:dyDescent="0.25">
      <c r="A1451" s="2">
        <v>44746</v>
      </c>
      <c r="B1451">
        <v>11</v>
      </c>
      <c r="C1451">
        <v>16</v>
      </c>
      <c r="D1451">
        <v>15</v>
      </c>
      <c r="E1451">
        <v>75</v>
      </c>
      <c r="F1451" s="1" t="s">
        <v>125</v>
      </c>
      <c r="G1451">
        <v>0</v>
      </c>
      <c r="H1451">
        <v>0</v>
      </c>
      <c r="I1451">
        <v>50</v>
      </c>
      <c r="J1451">
        <v>50</v>
      </c>
      <c r="K1451" s="33">
        <v>0</v>
      </c>
      <c r="L1451" s="1"/>
      <c r="M1451" s="1" t="str">
        <f>_xlfn.XLOOKUP(ocupacao[[#This Row],[UnidadeID]],unidades!$A:$A,unidades!$B:$B,"",0)</f>
        <v>Filial 2 - 11º</v>
      </c>
      <c r="N1451" s="1" t="str">
        <f>_xlfn.XLOOKUP(ocupacao[[#This Row],[UnidadeID]],unidades!$A:$A,unidades!$C:$C,"",0)</f>
        <v>Nova Iguaçu</v>
      </c>
      <c r="O1451" s="1" t="str">
        <f>_xlfn.XLOOKUP(ocupacao[[#This Row],[EspecialidadeID]],especialidades!$A:$A,especialidades!$B:$B,"",0)</f>
        <v>GASTROENTEROLOGIA</v>
      </c>
      <c r="P1451" s="1" t="str">
        <f>TEXT(WEEKDAY(ocupacao[[#This Row],[Data]]),"ddd")</f>
        <v>seg</v>
      </c>
      <c r="Q1451" s="1">
        <f t="shared" si="22"/>
        <v>0</v>
      </c>
    </row>
    <row r="1452" spans="1:17" x14ac:dyDescent="0.25">
      <c r="A1452" s="2">
        <v>44746</v>
      </c>
      <c r="B1452">
        <v>33</v>
      </c>
      <c r="C1452">
        <v>16</v>
      </c>
      <c r="D1452">
        <v>368</v>
      </c>
      <c r="E1452">
        <v>1586</v>
      </c>
      <c r="F1452" s="1" t="s">
        <v>132</v>
      </c>
      <c r="G1452">
        <v>0</v>
      </c>
      <c r="H1452">
        <v>0</v>
      </c>
      <c r="I1452">
        <v>41</v>
      </c>
      <c r="J1452">
        <v>41</v>
      </c>
      <c r="K1452" s="33">
        <v>0</v>
      </c>
      <c r="L1452" s="1"/>
      <c r="M1452" s="1" t="str">
        <f>_xlfn.XLOOKUP(ocupacao[[#This Row],[UnidadeID]],unidades!$A:$A,unidades!$B:$B,"",0)</f>
        <v>Seggastro</v>
      </c>
      <c r="N1452" s="1" t="str">
        <f>_xlfn.XLOOKUP(ocupacao[[#This Row],[UnidadeID]],unidades!$A:$A,unidades!$C:$C,"",0)</f>
        <v>Nova Iguaçu</v>
      </c>
      <c r="O1452" s="1" t="str">
        <f>_xlfn.XLOOKUP(ocupacao[[#This Row],[EspecialidadeID]],especialidades!$A:$A,especialidades!$B:$B,"",0)</f>
        <v>GASTROENTEROLOGIA</v>
      </c>
      <c r="P1452" s="1" t="str">
        <f>TEXT(WEEKDAY(ocupacao[[#This Row],[Data]]),"ddd")</f>
        <v>seg</v>
      </c>
      <c r="Q1452" s="1">
        <f t="shared" si="22"/>
        <v>0</v>
      </c>
    </row>
    <row r="1453" spans="1:17" hidden="1" x14ac:dyDescent="0.25">
      <c r="A1453" s="2">
        <v>44746</v>
      </c>
      <c r="B1453">
        <v>33</v>
      </c>
      <c r="C1453">
        <v>16</v>
      </c>
      <c r="D1453">
        <v>368</v>
      </c>
      <c r="E1453">
        <v>2036</v>
      </c>
      <c r="F1453" s="1" t="s">
        <v>374</v>
      </c>
      <c r="G1453">
        <v>0</v>
      </c>
      <c r="H1453">
        <v>0</v>
      </c>
      <c r="I1453">
        <v>41</v>
      </c>
      <c r="J1453">
        <v>41</v>
      </c>
      <c r="K1453" s="33">
        <v>0</v>
      </c>
      <c r="L1453" s="1"/>
      <c r="M1453" s="1"/>
      <c r="N1453" s="1"/>
      <c r="O1453" s="1"/>
      <c r="P1453" s="1"/>
      <c r="Q1453" s="1"/>
    </row>
    <row r="1454" spans="1:17" hidden="1" x14ac:dyDescent="0.25">
      <c r="A1454" s="2">
        <v>44746</v>
      </c>
      <c r="B1454">
        <v>33</v>
      </c>
      <c r="C1454">
        <v>16</v>
      </c>
      <c r="D1454">
        <v>368</v>
      </c>
      <c r="E1454">
        <v>5822</v>
      </c>
      <c r="F1454" s="1" t="s">
        <v>100</v>
      </c>
      <c r="G1454">
        <v>0</v>
      </c>
      <c r="H1454">
        <v>0</v>
      </c>
      <c r="I1454">
        <v>61</v>
      </c>
      <c r="J1454">
        <v>61</v>
      </c>
      <c r="K1454" s="33">
        <v>0</v>
      </c>
      <c r="L1454" s="1"/>
      <c r="M1454" s="1"/>
      <c r="N1454" s="1"/>
      <c r="O1454" s="1"/>
      <c r="P1454" s="1"/>
      <c r="Q1454" s="1"/>
    </row>
    <row r="1455" spans="1:17" x14ac:dyDescent="0.25">
      <c r="A1455" s="2">
        <v>44746</v>
      </c>
      <c r="B1455">
        <v>11</v>
      </c>
      <c r="C1455">
        <v>16</v>
      </c>
      <c r="D1455">
        <v>17</v>
      </c>
      <c r="E1455">
        <v>5927</v>
      </c>
      <c r="F1455" s="1" t="s">
        <v>93</v>
      </c>
      <c r="G1455">
        <v>0</v>
      </c>
      <c r="H1455">
        <v>1</v>
      </c>
      <c r="I1455">
        <v>0</v>
      </c>
      <c r="J1455">
        <v>1</v>
      </c>
      <c r="K1455" s="33">
        <v>1</v>
      </c>
      <c r="L1455" s="1"/>
      <c r="M1455" s="1" t="str">
        <f>_xlfn.XLOOKUP(ocupacao[[#This Row],[UnidadeID]],unidades!$A:$A,unidades!$B:$B,"",0)</f>
        <v>Filial 2 - 11º</v>
      </c>
      <c r="N1455" s="1" t="str">
        <f>_xlfn.XLOOKUP(ocupacao[[#This Row],[UnidadeID]],unidades!$A:$A,unidades!$C:$C,"",0)</f>
        <v>Nova Iguaçu</v>
      </c>
      <c r="O1455" s="1" t="str">
        <f>_xlfn.XLOOKUP(ocupacao[[#This Row],[EspecialidadeID]],especialidades!$A:$A,especialidades!$B:$B,"",0)</f>
        <v>GASTROENTEROLOGIA</v>
      </c>
      <c r="P1455" s="1" t="str">
        <f>TEXT(WEEKDAY(ocupacao[[#This Row],[Data]]),"ddd")</f>
        <v>seg</v>
      </c>
      <c r="Q1455" s="1">
        <f t="shared" si="22"/>
        <v>1</v>
      </c>
    </row>
    <row r="1456" spans="1:17" hidden="1" x14ac:dyDescent="0.25">
      <c r="A1456" s="2">
        <v>44746</v>
      </c>
      <c r="B1456">
        <v>11</v>
      </c>
      <c r="C1456">
        <v>16</v>
      </c>
      <c r="D1456">
        <v>17</v>
      </c>
      <c r="E1456">
        <v>5927</v>
      </c>
      <c r="F1456" s="1" t="s">
        <v>93</v>
      </c>
      <c r="G1456">
        <v>0</v>
      </c>
      <c r="H1456">
        <v>0</v>
      </c>
      <c r="I1456">
        <v>20</v>
      </c>
      <c r="J1456">
        <v>20</v>
      </c>
      <c r="K1456" s="33">
        <v>0</v>
      </c>
      <c r="L1456" s="1"/>
      <c r="M1456" s="1"/>
      <c r="N1456" s="1"/>
      <c r="O1456" s="1"/>
      <c r="P1456" s="1"/>
      <c r="Q1456" s="1"/>
    </row>
    <row r="1457" spans="1:17" x14ac:dyDescent="0.25">
      <c r="A1457" s="2">
        <v>44746</v>
      </c>
      <c r="B1457">
        <v>33</v>
      </c>
      <c r="C1457">
        <v>16</v>
      </c>
      <c r="D1457">
        <v>368</v>
      </c>
      <c r="E1457">
        <v>7900</v>
      </c>
      <c r="F1457" s="1" t="s">
        <v>348</v>
      </c>
      <c r="G1457">
        <v>0</v>
      </c>
      <c r="H1457">
        <v>0</v>
      </c>
      <c r="I1457">
        <v>41</v>
      </c>
      <c r="J1457">
        <v>41</v>
      </c>
      <c r="K1457" s="33">
        <v>0</v>
      </c>
      <c r="L1457" s="1"/>
      <c r="M1457" s="1" t="str">
        <f>_xlfn.XLOOKUP(ocupacao[[#This Row],[UnidadeID]],unidades!$A:$A,unidades!$B:$B,"",0)</f>
        <v>Seggastro</v>
      </c>
      <c r="N1457" s="1" t="str">
        <f>_xlfn.XLOOKUP(ocupacao[[#This Row],[UnidadeID]],unidades!$A:$A,unidades!$C:$C,"",0)</f>
        <v>Nova Iguaçu</v>
      </c>
      <c r="O1457" s="1" t="str">
        <f>_xlfn.XLOOKUP(ocupacao[[#This Row],[EspecialidadeID]],especialidades!$A:$A,especialidades!$B:$B,"",0)</f>
        <v>GASTROENTEROLOGIA</v>
      </c>
      <c r="P1457" s="1" t="str">
        <f>TEXT(WEEKDAY(ocupacao[[#This Row],[Data]]),"ddd")</f>
        <v>seg</v>
      </c>
      <c r="Q1457" s="1">
        <f t="shared" si="22"/>
        <v>0</v>
      </c>
    </row>
    <row r="1458" spans="1:17" x14ac:dyDescent="0.25">
      <c r="A1458" s="2">
        <v>44746</v>
      </c>
      <c r="B1458">
        <v>33</v>
      </c>
      <c r="C1458">
        <v>16</v>
      </c>
      <c r="D1458">
        <v>368</v>
      </c>
      <c r="E1458">
        <v>13660</v>
      </c>
      <c r="F1458" s="1" t="s">
        <v>112</v>
      </c>
      <c r="G1458">
        <v>0</v>
      </c>
      <c r="H1458">
        <v>0</v>
      </c>
      <c r="I1458">
        <v>41</v>
      </c>
      <c r="J1458">
        <v>41</v>
      </c>
      <c r="K1458" s="33">
        <v>0</v>
      </c>
      <c r="L1458" s="1"/>
      <c r="M1458" s="1" t="str">
        <f>_xlfn.XLOOKUP(ocupacao[[#This Row],[UnidadeID]],unidades!$A:$A,unidades!$B:$B,"",0)</f>
        <v>Seggastro</v>
      </c>
      <c r="N1458" s="1" t="str">
        <f>_xlfn.XLOOKUP(ocupacao[[#This Row],[UnidadeID]],unidades!$A:$A,unidades!$C:$C,"",0)</f>
        <v>Nova Iguaçu</v>
      </c>
      <c r="O1458" s="1" t="str">
        <f>_xlfn.XLOOKUP(ocupacao[[#This Row],[EspecialidadeID]],especialidades!$A:$A,especialidades!$B:$B,"",0)</f>
        <v>GASTROENTEROLOGIA</v>
      </c>
      <c r="P1458" s="1" t="str">
        <f>TEXT(WEEKDAY(ocupacao[[#This Row],[Data]]),"ddd")</f>
        <v>seg</v>
      </c>
      <c r="Q1458" s="1">
        <f t="shared" si="22"/>
        <v>0</v>
      </c>
    </row>
    <row r="1459" spans="1:17" hidden="1" x14ac:dyDescent="0.25">
      <c r="A1459" s="2">
        <v>44747</v>
      </c>
      <c r="B1459">
        <v>33</v>
      </c>
      <c r="C1459">
        <v>16</v>
      </c>
      <c r="D1459">
        <v>368</v>
      </c>
      <c r="E1459">
        <v>75</v>
      </c>
      <c r="F1459" s="1" t="s">
        <v>125</v>
      </c>
      <c r="G1459">
        <v>0</v>
      </c>
      <c r="H1459">
        <v>0</v>
      </c>
      <c r="I1459">
        <v>61</v>
      </c>
      <c r="J1459">
        <v>61</v>
      </c>
      <c r="K1459" s="33">
        <v>0</v>
      </c>
      <c r="L1459" s="1"/>
      <c r="M1459" s="1"/>
      <c r="N1459" s="1"/>
      <c r="O1459" s="1"/>
      <c r="P1459" s="1"/>
      <c r="Q1459" s="1"/>
    </row>
    <row r="1460" spans="1:17" x14ac:dyDescent="0.25">
      <c r="A1460" s="2">
        <v>44747</v>
      </c>
      <c r="B1460">
        <v>33</v>
      </c>
      <c r="C1460">
        <v>16</v>
      </c>
      <c r="D1460">
        <v>67</v>
      </c>
      <c r="E1460">
        <v>1586</v>
      </c>
      <c r="F1460" s="1" t="s">
        <v>132</v>
      </c>
      <c r="G1460">
        <v>0</v>
      </c>
      <c r="H1460">
        <v>1</v>
      </c>
      <c r="I1460">
        <v>0</v>
      </c>
      <c r="J1460">
        <v>1</v>
      </c>
      <c r="K1460" s="33">
        <v>1</v>
      </c>
      <c r="L1460" s="1"/>
      <c r="M1460" s="1" t="str">
        <f>_xlfn.XLOOKUP(ocupacao[[#This Row],[UnidadeID]],unidades!$A:$A,unidades!$B:$B,"",0)</f>
        <v>Seggastro</v>
      </c>
      <c r="N1460" s="1" t="str">
        <f>_xlfn.XLOOKUP(ocupacao[[#This Row],[UnidadeID]],unidades!$A:$A,unidades!$C:$C,"",0)</f>
        <v>Nova Iguaçu</v>
      </c>
      <c r="O1460" s="1" t="str">
        <f>_xlfn.XLOOKUP(ocupacao[[#This Row],[EspecialidadeID]],especialidades!$A:$A,especialidades!$B:$B,"",0)</f>
        <v>GASTROENTEROLOGIA</v>
      </c>
      <c r="P1460" s="1" t="str">
        <f>TEXT(WEEKDAY(ocupacao[[#This Row],[Data]]),"ddd")</f>
        <v>ter</v>
      </c>
      <c r="Q1460" s="1">
        <f t="shared" si="22"/>
        <v>0</v>
      </c>
    </row>
    <row r="1461" spans="1:17" hidden="1" x14ac:dyDescent="0.25">
      <c r="A1461" s="2"/>
      <c r="F1461" s="1"/>
      <c r="K1461" s="33"/>
      <c r="L1461" s="1"/>
      <c r="M1461" s="1"/>
      <c r="N1461" s="1"/>
      <c r="O1461" s="1"/>
      <c r="P1461" s="1"/>
      <c r="Q1461" s="1"/>
    </row>
    <row r="1462" spans="1:17" hidden="1" x14ac:dyDescent="0.25">
      <c r="A1462" s="2">
        <v>44747</v>
      </c>
      <c r="B1462">
        <v>33</v>
      </c>
      <c r="C1462">
        <v>16</v>
      </c>
      <c r="D1462">
        <v>368</v>
      </c>
      <c r="E1462">
        <v>1586</v>
      </c>
      <c r="F1462" s="1" t="s">
        <v>132</v>
      </c>
      <c r="G1462">
        <v>0</v>
      </c>
      <c r="H1462">
        <v>0</v>
      </c>
      <c r="I1462">
        <v>17</v>
      </c>
      <c r="J1462">
        <v>17</v>
      </c>
      <c r="K1462" s="33">
        <v>0</v>
      </c>
      <c r="L1462" s="1"/>
      <c r="M1462" s="1"/>
      <c r="N1462" s="1"/>
      <c r="O1462" s="1"/>
      <c r="P1462" s="1"/>
      <c r="Q1462" s="1"/>
    </row>
    <row r="1463" spans="1:17" x14ac:dyDescent="0.25">
      <c r="A1463" s="2">
        <v>44747</v>
      </c>
      <c r="B1463">
        <v>33</v>
      </c>
      <c r="C1463">
        <v>16</v>
      </c>
      <c r="D1463">
        <v>368</v>
      </c>
      <c r="E1463">
        <v>2036</v>
      </c>
      <c r="F1463" s="1" t="s">
        <v>374</v>
      </c>
      <c r="G1463">
        <v>0</v>
      </c>
      <c r="H1463">
        <v>0</v>
      </c>
      <c r="I1463">
        <v>41</v>
      </c>
      <c r="J1463">
        <v>41</v>
      </c>
      <c r="K1463" s="33">
        <v>0</v>
      </c>
      <c r="L1463" s="1"/>
      <c r="M1463" s="1" t="str">
        <f>_xlfn.XLOOKUP(ocupacao[[#This Row],[UnidadeID]],unidades!$A:$A,unidades!$B:$B,"",0)</f>
        <v>Seggastro</v>
      </c>
      <c r="N1463" s="1" t="str">
        <f>_xlfn.XLOOKUP(ocupacao[[#This Row],[UnidadeID]],unidades!$A:$A,unidades!$C:$C,"",0)</f>
        <v>Nova Iguaçu</v>
      </c>
      <c r="O1463" s="1" t="str">
        <f>_xlfn.XLOOKUP(ocupacao[[#This Row],[EspecialidadeID]],especialidades!$A:$A,especialidades!$B:$B,"",0)</f>
        <v>GASTROENTEROLOGIA</v>
      </c>
      <c r="P1463" s="1" t="str">
        <f>TEXT(WEEKDAY(ocupacao[[#This Row],[Data]]),"ddd")</f>
        <v>ter</v>
      </c>
      <c r="Q1463" s="1">
        <f t="shared" si="22"/>
        <v>0</v>
      </c>
    </row>
    <row r="1464" spans="1:17" x14ac:dyDescent="0.25">
      <c r="A1464" s="2">
        <v>44747</v>
      </c>
      <c r="B1464">
        <v>33</v>
      </c>
      <c r="C1464">
        <v>16</v>
      </c>
      <c r="D1464">
        <v>368</v>
      </c>
      <c r="E1464">
        <v>5822</v>
      </c>
      <c r="F1464" s="1" t="s">
        <v>100</v>
      </c>
      <c r="G1464">
        <v>0</v>
      </c>
      <c r="H1464">
        <v>0</v>
      </c>
      <c r="I1464">
        <v>61</v>
      </c>
      <c r="J1464">
        <v>61</v>
      </c>
      <c r="K1464" s="33">
        <v>0</v>
      </c>
      <c r="L1464" s="1"/>
      <c r="M1464" s="1" t="str">
        <f>_xlfn.XLOOKUP(ocupacao[[#This Row],[UnidadeID]],unidades!$A:$A,unidades!$B:$B,"",0)</f>
        <v>Seggastro</v>
      </c>
      <c r="N1464" s="1" t="str">
        <f>_xlfn.XLOOKUP(ocupacao[[#This Row],[UnidadeID]],unidades!$A:$A,unidades!$C:$C,"",0)</f>
        <v>Nova Iguaçu</v>
      </c>
      <c r="O1464" s="1" t="str">
        <f>_xlfn.XLOOKUP(ocupacao[[#This Row],[EspecialidadeID]],especialidades!$A:$A,especialidades!$B:$B,"",0)</f>
        <v>GASTROENTEROLOGIA</v>
      </c>
      <c r="P1464" s="1" t="str">
        <f>TEXT(WEEKDAY(ocupacao[[#This Row],[Data]]),"ddd")</f>
        <v>ter</v>
      </c>
      <c r="Q1464" s="1">
        <f t="shared" si="22"/>
        <v>0</v>
      </c>
    </row>
    <row r="1465" spans="1:17" x14ac:dyDescent="0.25">
      <c r="A1465" s="2">
        <v>44747</v>
      </c>
      <c r="B1465">
        <v>33</v>
      </c>
      <c r="C1465">
        <v>16</v>
      </c>
      <c r="D1465">
        <v>368</v>
      </c>
      <c r="E1465">
        <v>7900</v>
      </c>
      <c r="F1465" s="1" t="s">
        <v>348</v>
      </c>
      <c r="G1465">
        <v>0</v>
      </c>
      <c r="H1465">
        <v>0</v>
      </c>
      <c r="I1465">
        <v>41</v>
      </c>
      <c r="J1465">
        <v>41</v>
      </c>
      <c r="K1465" s="33">
        <v>0</v>
      </c>
      <c r="L1465" s="1"/>
      <c r="M1465" s="1" t="str">
        <f>_xlfn.XLOOKUP(ocupacao[[#This Row],[UnidadeID]],unidades!$A:$A,unidades!$B:$B,"",0)</f>
        <v>Seggastro</v>
      </c>
      <c r="N1465" s="1" t="str">
        <f>_xlfn.XLOOKUP(ocupacao[[#This Row],[UnidadeID]],unidades!$A:$A,unidades!$C:$C,"",0)</f>
        <v>Nova Iguaçu</v>
      </c>
      <c r="O1465" s="1" t="str">
        <f>_xlfn.XLOOKUP(ocupacao[[#This Row],[EspecialidadeID]],especialidades!$A:$A,especialidades!$B:$B,"",0)</f>
        <v>GASTROENTEROLOGIA</v>
      </c>
      <c r="P1465" s="1" t="str">
        <f>TEXT(WEEKDAY(ocupacao[[#This Row],[Data]]),"ddd")</f>
        <v>ter</v>
      </c>
      <c r="Q1465" s="1">
        <f t="shared" si="22"/>
        <v>0</v>
      </c>
    </row>
    <row r="1466" spans="1:17" x14ac:dyDescent="0.25">
      <c r="A1466" s="2">
        <v>44747</v>
      </c>
      <c r="B1466">
        <v>33</v>
      </c>
      <c r="C1466">
        <v>16</v>
      </c>
      <c r="D1466">
        <v>368</v>
      </c>
      <c r="E1466">
        <v>13660</v>
      </c>
      <c r="F1466" s="1" t="s">
        <v>112</v>
      </c>
      <c r="G1466">
        <v>0</v>
      </c>
      <c r="H1466">
        <v>0</v>
      </c>
      <c r="I1466">
        <v>41</v>
      </c>
      <c r="J1466">
        <v>41</v>
      </c>
      <c r="K1466" s="33">
        <v>0</v>
      </c>
      <c r="L1466" s="1"/>
      <c r="M1466" s="1" t="str">
        <f>_xlfn.XLOOKUP(ocupacao[[#This Row],[UnidadeID]],unidades!$A:$A,unidades!$B:$B,"",0)</f>
        <v>Seggastro</v>
      </c>
      <c r="N1466" s="1" t="str">
        <f>_xlfn.XLOOKUP(ocupacao[[#This Row],[UnidadeID]],unidades!$A:$A,unidades!$C:$C,"",0)</f>
        <v>Nova Iguaçu</v>
      </c>
      <c r="O1466" s="1" t="str">
        <f>_xlfn.XLOOKUP(ocupacao[[#This Row],[EspecialidadeID]],especialidades!$A:$A,especialidades!$B:$B,"",0)</f>
        <v>GASTROENTEROLOGIA</v>
      </c>
      <c r="P1466" s="1" t="str">
        <f>TEXT(WEEKDAY(ocupacao[[#This Row],[Data]]),"ddd")</f>
        <v>ter</v>
      </c>
      <c r="Q1466" s="1">
        <f t="shared" si="22"/>
        <v>0</v>
      </c>
    </row>
    <row r="1467" spans="1:17" x14ac:dyDescent="0.25">
      <c r="A1467" s="2">
        <v>44748</v>
      </c>
      <c r="B1467">
        <v>33</v>
      </c>
      <c r="C1467">
        <v>16</v>
      </c>
      <c r="D1467">
        <v>368</v>
      </c>
      <c r="E1467">
        <v>75</v>
      </c>
      <c r="F1467" s="1" t="s">
        <v>125</v>
      </c>
      <c r="G1467">
        <v>0</v>
      </c>
      <c r="H1467">
        <v>0</v>
      </c>
      <c r="I1467">
        <v>61</v>
      </c>
      <c r="J1467">
        <v>61</v>
      </c>
      <c r="K1467" s="33">
        <v>0</v>
      </c>
      <c r="L1467" s="1"/>
      <c r="M1467" s="1" t="str">
        <f>_xlfn.XLOOKUP(ocupacao[[#This Row],[UnidadeID]],unidades!$A:$A,unidades!$B:$B,"",0)</f>
        <v>Seggastro</v>
      </c>
      <c r="N1467" s="1" t="str">
        <f>_xlfn.XLOOKUP(ocupacao[[#This Row],[UnidadeID]],unidades!$A:$A,unidades!$C:$C,"",0)</f>
        <v>Nova Iguaçu</v>
      </c>
      <c r="O1467" s="1" t="str">
        <f>_xlfn.XLOOKUP(ocupacao[[#This Row],[EspecialidadeID]],especialidades!$A:$A,especialidades!$B:$B,"",0)</f>
        <v>GASTROENTEROLOGIA</v>
      </c>
      <c r="P1467" s="1" t="str">
        <f>TEXT(WEEKDAY(ocupacao[[#This Row],[Data]]),"ddd")</f>
        <v>qua</v>
      </c>
      <c r="Q1467" s="1">
        <f t="shared" si="22"/>
        <v>0</v>
      </c>
    </row>
    <row r="1468" spans="1:17" x14ac:dyDescent="0.25">
      <c r="A1468" s="2">
        <v>44748</v>
      </c>
      <c r="B1468">
        <v>33</v>
      </c>
      <c r="C1468">
        <v>16</v>
      </c>
      <c r="D1468">
        <v>368</v>
      </c>
      <c r="E1468">
        <v>1586</v>
      </c>
      <c r="F1468" s="1" t="s">
        <v>132</v>
      </c>
      <c r="G1468">
        <v>0</v>
      </c>
      <c r="H1468">
        <v>0</v>
      </c>
      <c r="I1468">
        <v>41</v>
      </c>
      <c r="J1468">
        <v>41</v>
      </c>
      <c r="K1468" s="33">
        <v>0</v>
      </c>
      <c r="L1468" s="1"/>
      <c r="M1468" s="1" t="str">
        <f>_xlfn.XLOOKUP(ocupacao[[#This Row],[UnidadeID]],unidades!$A:$A,unidades!$B:$B,"",0)</f>
        <v>Seggastro</v>
      </c>
      <c r="N1468" s="1" t="str">
        <f>_xlfn.XLOOKUP(ocupacao[[#This Row],[UnidadeID]],unidades!$A:$A,unidades!$C:$C,"",0)</f>
        <v>Nova Iguaçu</v>
      </c>
      <c r="O1468" s="1" t="str">
        <f>_xlfn.XLOOKUP(ocupacao[[#This Row],[EspecialidadeID]],especialidades!$A:$A,especialidades!$B:$B,"",0)</f>
        <v>GASTROENTEROLOGIA</v>
      </c>
      <c r="P1468" s="1" t="str">
        <f>TEXT(WEEKDAY(ocupacao[[#This Row],[Data]]),"ddd")</f>
        <v>qua</v>
      </c>
      <c r="Q1468" s="1">
        <f t="shared" si="22"/>
        <v>0</v>
      </c>
    </row>
    <row r="1469" spans="1:17" x14ac:dyDescent="0.25">
      <c r="A1469" s="2">
        <v>44748</v>
      </c>
      <c r="B1469">
        <v>33</v>
      </c>
      <c r="C1469">
        <v>16</v>
      </c>
      <c r="D1469">
        <v>368</v>
      </c>
      <c r="E1469">
        <v>2036</v>
      </c>
      <c r="F1469" s="1" t="s">
        <v>374</v>
      </c>
      <c r="G1469">
        <v>0</v>
      </c>
      <c r="H1469">
        <v>0</v>
      </c>
      <c r="I1469">
        <v>41</v>
      </c>
      <c r="J1469">
        <v>41</v>
      </c>
      <c r="K1469" s="33">
        <v>0</v>
      </c>
      <c r="L1469" s="1"/>
      <c r="M1469" s="1" t="str">
        <f>_xlfn.XLOOKUP(ocupacao[[#This Row],[UnidadeID]],unidades!$A:$A,unidades!$B:$B,"",0)</f>
        <v>Seggastro</v>
      </c>
      <c r="N1469" s="1" t="str">
        <f>_xlfn.XLOOKUP(ocupacao[[#This Row],[UnidadeID]],unidades!$A:$A,unidades!$C:$C,"",0)</f>
        <v>Nova Iguaçu</v>
      </c>
      <c r="O1469" s="1" t="str">
        <f>_xlfn.XLOOKUP(ocupacao[[#This Row],[EspecialidadeID]],especialidades!$A:$A,especialidades!$B:$B,"",0)</f>
        <v>GASTROENTEROLOGIA</v>
      </c>
      <c r="P1469" s="1" t="str">
        <f>TEXT(WEEKDAY(ocupacao[[#This Row],[Data]]),"ddd")</f>
        <v>qua</v>
      </c>
      <c r="Q1469" s="1">
        <f t="shared" si="22"/>
        <v>0</v>
      </c>
    </row>
    <row r="1470" spans="1:17" hidden="1" x14ac:dyDescent="0.25">
      <c r="A1470" s="2">
        <v>44748</v>
      </c>
      <c r="B1470">
        <v>33</v>
      </c>
      <c r="C1470">
        <v>16</v>
      </c>
      <c r="D1470">
        <v>368</v>
      </c>
      <c r="E1470">
        <v>5822</v>
      </c>
      <c r="F1470" s="1" t="s">
        <v>100</v>
      </c>
      <c r="G1470">
        <v>0</v>
      </c>
      <c r="H1470">
        <v>0</v>
      </c>
      <c r="I1470">
        <v>61</v>
      </c>
      <c r="J1470">
        <v>61</v>
      </c>
      <c r="K1470" s="33">
        <v>0</v>
      </c>
      <c r="L1470" s="1"/>
      <c r="M1470" s="1"/>
      <c r="N1470" s="1"/>
      <c r="O1470" s="1"/>
      <c r="P1470" s="1"/>
      <c r="Q1470" s="1"/>
    </row>
    <row r="1471" spans="1:17" hidden="1" x14ac:dyDescent="0.25">
      <c r="A1471" s="2"/>
      <c r="F1471" s="1"/>
      <c r="K1471" s="33"/>
      <c r="L1471" s="1"/>
      <c r="M1471" s="1"/>
      <c r="N1471" s="1"/>
      <c r="O1471" s="1"/>
      <c r="P1471" s="1"/>
      <c r="Q1471" s="1"/>
    </row>
    <row r="1472" spans="1:17" x14ac:dyDescent="0.25">
      <c r="A1472" s="2">
        <v>44748</v>
      </c>
      <c r="B1472">
        <v>11</v>
      </c>
      <c r="C1472">
        <v>16</v>
      </c>
      <c r="D1472">
        <v>14</v>
      </c>
      <c r="E1472">
        <v>5927</v>
      </c>
      <c r="F1472" s="1" t="s">
        <v>93</v>
      </c>
      <c r="G1472">
        <v>0</v>
      </c>
      <c r="H1472">
        <v>1</v>
      </c>
      <c r="I1472">
        <v>0</v>
      </c>
      <c r="J1472">
        <v>1</v>
      </c>
      <c r="K1472" s="33">
        <v>1</v>
      </c>
      <c r="L1472" s="1"/>
      <c r="M1472" s="1" t="str">
        <f>_xlfn.XLOOKUP(ocupacao[[#This Row],[UnidadeID]],unidades!$A:$A,unidades!$B:$B,"",0)</f>
        <v>Filial 2 - 11º</v>
      </c>
      <c r="N1472" s="1" t="str">
        <f>_xlfn.XLOOKUP(ocupacao[[#This Row],[UnidadeID]],unidades!$A:$A,unidades!$C:$C,"",0)</f>
        <v>Nova Iguaçu</v>
      </c>
      <c r="O1472" s="1" t="str">
        <f>_xlfn.XLOOKUP(ocupacao[[#This Row],[EspecialidadeID]],especialidades!$A:$A,especialidades!$B:$B,"",0)</f>
        <v>GASTROENTEROLOGIA</v>
      </c>
      <c r="P1472" s="1" t="str">
        <f>TEXT(WEEKDAY(ocupacao[[#This Row],[Data]]),"ddd")</f>
        <v>qua</v>
      </c>
      <c r="Q1472" s="1">
        <f t="shared" si="22"/>
        <v>0</v>
      </c>
    </row>
    <row r="1473" spans="1:17" x14ac:dyDescent="0.25">
      <c r="A1473" s="2">
        <v>44748</v>
      </c>
      <c r="B1473">
        <v>33</v>
      </c>
      <c r="C1473">
        <v>16</v>
      </c>
      <c r="D1473">
        <v>368</v>
      </c>
      <c r="E1473">
        <v>7900</v>
      </c>
      <c r="F1473" s="1" t="s">
        <v>348</v>
      </c>
      <c r="G1473">
        <v>0</v>
      </c>
      <c r="H1473">
        <v>0</v>
      </c>
      <c r="I1473">
        <v>41</v>
      </c>
      <c r="J1473">
        <v>41</v>
      </c>
      <c r="K1473" s="33">
        <v>0</v>
      </c>
      <c r="L1473" s="1"/>
      <c r="M1473" s="1" t="str">
        <f>_xlfn.XLOOKUP(ocupacao[[#This Row],[UnidadeID]],unidades!$A:$A,unidades!$B:$B,"",0)</f>
        <v>Seggastro</v>
      </c>
      <c r="N1473" s="1" t="str">
        <f>_xlfn.XLOOKUP(ocupacao[[#This Row],[UnidadeID]],unidades!$A:$A,unidades!$C:$C,"",0)</f>
        <v>Nova Iguaçu</v>
      </c>
      <c r="O1473" s="1" t="str">
        <f>_xlfn.XLOOKUP(ocupacao[[#This Row],[EspecialidadeID]],especialidades!$A:$A,especialidades!$B:$B,"",0)</f>
        <v>GASTROENTEROLOGIA</v>
      </c>
      <c r="P1473" s="1" t="str">
        <f>TEXT(WEEKDAY(ocupacao[[#This Row],[Data]]),"ddd")</f>
        <v>qua</v>
      </c>
      <c r="Q1473" s="1">
        <f t="shared" si="22"/>
        <v>0</v>
      </c>
    </row>
    <row r="1474" spans="1:17" hidden="1" x14ac:dyDescent="0.25">
      <c r="A1474" s="2">
        <v>44748</v>
      </c>
      <c r="B1474">
        <v>18</v>
      </c>
      <c r="C1474">
        <v>16</v>
      </c>
      <c r="D1474">
        <v>78</v>
      </c>
      <c r="E1474">
        <v>13660</v>
      </c>
      <c r="F1474" s="1" t="s">
        <v>112</v>
      </c>
      <c r="G1474">
        <v>0</v>
      </c>
      <c r="H1474">
        <v>0</v>
      </c>
      <c r="I1474">
        <v>15</v>
      </c>
      <c r="J1474">
        <v>15</v>
      </c>
      <c r="K1474" s="33">
        <v>0</v>
      </c>
      <c r="L1474" s="1"/>
      <c r="M1474" s="1"/>
      <c r="N1474" s="1"/>
      <c r="O1474" s="1"/>
      <c r="P1474" s="1"/>
      <c r="Q1474" s="1"/>
    </row>
    <row r="1475" spans="1:17" hidden="1" x14ac:dyDescent="0.25">
      <c r="A1475" s="2">
        <v>44748</v>
      </c>
      <c r="B1475">
        <v>33</v>
      </c>
      <c r="C1475">
        <v>16</v>
      </c>
      <c r="D1475">
        <v>368</v>
      </c>
      <c r="E1475">
        <v>13660</v>
      </c>
      <c r="F1475" s="1" t="s">
        <v>112</v>
      </c>
      <c r="G1475">
        <v>0</v>
      </c>
      <c r="H1475">
        <v>0</v>
      </c>
      <c r="I1475">
        <v>27</v>
      </c>
      <c r="J1475">
        <v>27</v>
      </c>
      <c r="K1475" s="33">
        <v>0</v>
      </c>
      <c r="L1475" s="1"/>
      <c r="M1475" s="1"/>
      <c r="N1475" s="1"/>
      <c r="O1475" s="1"/>
      <c r="P1475" s="1"/>
      <c r="Q1475" s="1"/>
    </row>
    <row r="1476" spans="1:17" x14ac:dyDescent="0.25">
      <c r="A1476" s="2">
        <v>44748</v>
      </c>
      <c r="B1476">
        <v>33</v>
      </c>
      <c r="C1476">
        <v>16</v>
      </c>
      <c r="D1476">
        <v>368</v>
      </c>
      <c r="E1476">
        <v>13660</v>
      </c>
      <c r="F1476" s="1" t="s">
        <v>112</v>
      </c>
      <c r="G1476">
        <v>0</v>
      </c>
      <c r="H1476">
        <v>0</v>
      </c>
      <c r="I1476">
        <v>27</v>
      </c>
      <c r="J1476">
        <v>27</v>
      </c>
      <c r="K1476" s="33">
        <v>0</v>
      </c>
      <c r="L1476" s="1"/>
      <c r="M1476" s="1" t="str">
        <f>_xlfn.XLOOKUP(ocupacao[[#This Row],[UnidadeID]],unidades!$A:$A,unidades!$B:$B,"",0)</f>
        <v>Seggastro</v>
      </c>
      <c r="N1476" s="1" t="str">
        <f>_xlfn.XLOOKUP(ocupacao[[#This Row],[UnidadeID]],unidades!$A:$A,unidades!$C:$C,"",0)</f>
        <v>Nova Iguaçu</v>
      </c>
      <c r="O1476" s="1" t="str">
        <f>_xlfn.XLOOKUP(ocupacao[[#This Row],[EspecialidadeID]],especialidades!$A:$A,especialidades!$B:$B,"",0)</f>
        <v>GASTROENTEROLOGIA</v>
      </c>
      <c r="P1476" s="1" t="str">
        <f>TEXT(WEEKDAY(ocupacao[[#This Row],[Data]]),"ddd")</f>
        <v>qua</v>
      </c>
      <c r="Q1476" s="1">
        <f t="shared" ref="Q1476:Q1536" si="23">IF(F1476=F1477,1,0)</f>
        <v>0</v>
      </c>
    </row>
    <row r="1477" spans="1:17" x14ac:dyDescent="0.25">
      <c r="A1477" s="2">
        <v>44749</v>
      </c>
      <c r="B1477">
        <v>33</v>
      </c>
      <c r="C1477">
        <v>16</v>
      </c>
      <c r="D1477">
        <v>368</v>
      </c>
      <c r="E1477">
        <v>75</v>
      </c>
      <c r="F1477" s="1" t="s">
        <v>125</v>
      </c>
      <c r="G1477">
        <v>0</v>
      </c>
      <c r="H1477">
        <v>0</v>
      </c>
      <c r="I1477">
        <v>61</v>
      </c>
      <c r="J1477">
        <v>61</v>
      </c>
      <c r="K1477" s="33">
        <v>0</v>
      </c>
      <c r="L1477" s="1"/>
      <c r="M1477" s="1" t="str">
        <f>_xlfn.XLOOKUP(ocupacao[[#This Row],[UnidadeID]],unidades!$A:$A,unidades!$B:$B,"",0)</f>
        <v>Seggastro</v>
      </c>
      <c r="N1477" s="1" t="str">
        <f>_xlfn.XLOOKUP(ocupacao[[#This Row],[UnidadeID]],unidades!$A:$A,unidades!$C:$C,"",0)</f>
        <v>Nova Iguaçu</v>
      </c>
      <c r="O1477" s="1" t="str">
        <f>_xlfn.XLOOKUP(ocupacao[[#This Row],[EspecialidadeID]],especialidades!$A:$A,especialidades!$B:$B,"",0)</f>
        <v>GASTROENTEROLOGIA</v>
      </c>
      <c r="P1477" s="1" t="str">
        <f>TEXT(WEEKDAY(ocupacao[[#This Row],[Data]]),"ddd")</f>
        <v>qui</v>
      </c>
      <c r="Q1477" s="1">
        <f t="shared" si="23"/>
        <v>0</v>
      </c>
    </row>
    <row r="1478" spans="1:17" x14ac:dyDescent="0.25">
      <c r="A1478" s="2">
        <v>44749</v>
      </c>
      <c r="B1478">
        <v>33</v>
      </c>
      <c r="C1478">
        <v>16</v>
      </c>
      <c r="D1478">
        <v>368</v>
      </c>
      <c r="E1478">
        <v>1586</v>
      </c>
      <c r="F1478" s="1" t="s">
        <v>132</v>
      </c>
      <c r="G1478">
        <v>0</v>
      </c>
      <c r="H1478">
        <v>0</v>
      </c>
      <c r="I1478">
        <v>41</v>
      </c>
      <c r="J1478">
        <v>41</v>
      </c>
      <c r="K1478" s="33">
        <v>0</v>
      </c>
      <c r="L1478" s="1"/>
      <c r="M1478" s="1" t="str">
        <f>_xlfn.XLOOKUP(ocupacao[[#This Row],[UnidadeID]],unidades!$A:$A,unidades!$B:$B,"",0)</f>
        <v>Seggastro</v>
      </c>
      <c r="N1478" s="1" t="str">
        <f>_xlfn.XLOOKUP(ocupacao[[#This Row],[UnidadeID]],unidades!$A:$A,unidades!$C:$C,"",0)</f>
        <v>Nova Iguaçu</v>
      </c>
      <c r="O1478" s="1" t="str">
        <f>_xlfn.XLOOKUP(ocupacao[[#This Row],[EspecialidadeID]],especialidades!$A:$A,especialidades!$B:$B,"",0)</f>
        <v>GASTROENTEROLOGIA</v>
      </c>
      <c r="P1478" s="1" t="str">
        <f>TEXT(WEEKDAY(ocupacao[[#This Row],[Data]]),"ddd")</f>
        <v>qui</v>
      </c>
      <c r="Q1478" s="1">
        <f t="shared" si="23"/>
        <v>0</v>
      </c>
    </row>
    <row r="1479" spans="1:17" x14ac:dyDescent="0.25">
      <c r="A1479" s="2">
        <v>44749</v>
      </c>
      <c r="B1479">
        <v>33</v>
      </c>
      <c r="C1479">
        <v>16</v>
      </c>
      <c r="D1479">
        <v>368</v>
      </c>
      <c r="E1479">
        <v>2036</v>
      </c>
      <c r="F1479" s="1" t="s">
        <v>374</v>
      </c>
      <c r="G1479">
        <v>0</v>
      </c>
      <c r="H1479">
        <v>0</v>
      </c>
      <c r="I1479">
        <v>41</v>
      </c>
      <c r="J1479">
        <v>41</v>
      </c>
      <c r="K1479" s="33">
        <v>0</v>
      </c>
      <c r="L1479" s="1"/>
      <c r="M1479" s="1" t="str">
        <f>_xlfn.XLOOKUP(ocupacao[[#This Row],[UnidadeID]],unidades!$A:$A,unidades!$B:$B,"",0)</f>
        <v>Seggastro</v>
      </c>
      <c r="N1479" s="1" t="str">
        <f>_xlfn.XLOOKUP(ocupacao[[#This Row],[UnidadeID]],unidades!$A:$A,unidades!$C:$C,"",0)</f>
        <v>Nova Iguaçu</v>
      </c>
      <c r="O1479" s="1" t="str">
        <f>_xlfn.XLOOKUP(ocupacao[[#This Row],[EspecialidadeID]],especialidades!$A:$A,especialidades!$B:$B,"",0)</f>
        <v>GASTROENTEROLOGIA</v>
      </c>
      <c r="P1479" s="1" t="str">
        <f>TEXT(WEEKDAY(ocupacao[[#This Row],[Data]]),"ddd")</f>
        <v>qui</v>
      </c>
      <c r="Q1479" s="1">
        <f t="shared" si="23"/>
        <v>0</v>
      </c>
    </row>
    <row r="1480" spans="1:17" x14ac:dyDescent="0.25">
      <c r="A1480" s="2">
        <v>44749</v>
      </c>
      <c r="B1480">
        <v>33</v>
      </c>
      <c r="C1480">
        <v>16</v>
      </c>
      <c r="D1480">
        <v>11</v>
      </c>
      <c r="E1480">
        <v>5822</v>
      </c>
      <c r="F1480" s="1" t="s">
        <v>100</v>
      </c>
      <c r="G1480">
        <v>0</v>
      </c>
      <c r="H1480">
        <v>2</v>
      </c>
      <c r="I1480">
        <v>0</v>
      </c>
      <c r="J1480">
        <v>2</v>
      </c>
      <c r="K1480" s="33">
        <v>1</v>
      </c>
      <c r="L1480" s="1"/>
      <c r="M1480" s="1" t="str">
        <f>_xlfn.XLOOKUP(ocupacao[[#This Row],[UnidadeID]],unidades!$A:$A,unidades!$B:$B,"",0)</f>
        <v>Seggastro</v>
      </c>
      <c r="N1480" s="1" t="str">
        <f>_xlfn.XLOOKUP(ocupacao[[#This Row],[UnidadeID]],unidades!$A:$A,unidades!$C:$C,"",0)</f>
        <v>Nova Iguaçu</v>
      </c>
      <c r="O1480" s="1" t="str">
        <f>_xlfn.XLOOKUP(ocupacao[[#This Row],[EspecialidadeID]],especialidades!$A:$A,especialidades!$B:$B,"",0)</f>
        <v>GASTROENTEROLOGIA</v>
      </c>
      <c r="P1480" s="1" t="str">
        <f>TEXT(WEEKDAY(ocupacao[[#This Row],[Data]]),"ddd")</f>
        <v>qui</v>
      </c>
      <c r="Q1480" s="1">
        <f t="shared" si="23"/>
        <v>0</v>
      </c>
    </row>
    <row r="1481" spans="1:17" hidden="1" x14ac:dyDescent="0.25">
      <c r="A1481" s="2"/>
      <c r="F1481" s="1"/>
      <c r="K1481" s="33"/>
      <c r="L1481" s="1"/>
      <c r="M1481" s="1"/>
      <c r="N1481" s="1"/>
      <c r="O1481" s="1"/>
      <c r="P1481" s="1"/>
      <c r="Q1481" s="1"/>
    </row>
    <row r="1482" spans="1:17" x14ac:dyDescent="0.25">
      <c r="A1482" s="2">
        <v>44749</v>
      </c>
      <c r="B1482">
        <v>33</v>
      </c>
      <c r="C1482">
        <v>16</v>
      </c>
      <c r="D1482">
        <v>368</v>
      </c>
      <c r="E1482">
        <v>5822</v>
      </c>
      <c r="F1482" s="1" t="s">
        <v>100</v>
      </c>
      <c r="G1482">
        <v>0</v>
      </c>
      <c r="H1482">
        <v>0</v>
      </c>
      <c r="I1482">
        <v>25</v>
      </c>
      <c r="J1482">
        <v>25</v>
      </c>
      <c r="K1482" s="33">
        <v>0</v>
      </c>
      <c r="L1482" s="1"/>
      <c r="M1482" s="1" t="str">
        <f>_xlfn.XLOOKUP(ocupacao[[#This Row],[UnidadeID]],unidades!$A:$A,unidades!$B:$B,"",0)</f>
        <v>Seggastro</v>
      </c>
      <c r="N1482" s="1" t="str">
        <f>_xlfn.XLOOKUP(ocupacao[[#This Row],[UnidadeID]],unidades!$A:$A,unidades!$C:$C,"",0)</f>
        <v>Nova Iguaçu</v>
      </c>
      <c r="O1482" s="1" t="str">
        <f>_xlfn.XLOOKUP(ocupacao[[#This Row],[EspecialidadeID]],especialidades!$A:$A,especialidades!$B:$B,"",0)</f>
        <v>GASTROENTEROLOGIA</v>
      </c>
      <c r="P1482" s="1" t="str">
        <f>TEXT(WEEKDAY(ocupacao[[#This Row],[Data]]),"ddd")</f>
        <v>qui</v>
      </c>
      <c r="Q1482" s="1">
        <f t="shared" si="23"/>
        <v>0</v>
      </c>
    </row>
    <row r="1483" spans="1:17" x14ac:dyDescent="0.25">
      <c r="A1483" s="2">
        <v>44749</v>
      </c>
      <c r="B1483">
        <v>33</v>
      </c>
      <c r="C1483">
        <v>16</v>
      </c>
      <c r="D1483">
        <v>368</v>
      </c>
      <c r="E1483">
        <v>7900</v>
      </c>
      <c r="F1483" s="1" t="s">
        <v>348</v>
      </c>
      <c r="G1483">
        <v>0</v>
      </c>
      <c r="H1483">
        <v>0</v>
      </c>
      <c r="I1483">
        <v>41</v>
      </c>
      <c r="J1483">
        <v>41</v>
      </c>
      <c r="K1483" s="33">
        <v>0</v>
      </c>
      <c r="L1483" s="1"/>
      <c r="M1483" s="1" t="str">
        <f>_xlfn.XLOOKUP(ocupacao[[#This Row],[UnidadeID]],unidades!$A:$A,unidades!$B:$B,"",0)</f>
        <v>Seggastro</v>
      </c>
      <c r="N1483" s="1" t="str">
        <f>_xlfn.XLOOKUP(ocupacao[[#This Row],[UnidadeID]],unidades!$A:$A,unidades!$C:$C,"",0)</f>
        <v>Nova Iguaçu</v>
      </c>
      <c r="O1483" s="1" t="str">
        <f>_xlfn.XLOOKUP(ocupacao[[#This Row],[EspecialidadeID]],especialidades!$A:$A,especialidades!$B:$B,"",0)</f>
        <v>GASTROENTEROLOGIA</v>
      </c>
      <c r="P1483" s="1" t="str">
        <f>TEXT(WEEKDAY(ocupacao[[#This Row],[Data]]),"ddd")</f>
        <v>qui</v>
      </c>
      <c r="Q1483" s="1">
        <f t="shared" si="23"/>
        <v>0</v>
      </c>
    </row>
    <row r="1484" spans="1:17" x14ac:dyDescent="0.25">
      <c r="A1484" s="2">
        <v>44749</v>
      </c>
      <c r="B1484">
        <v>0</v>
      </c>
      <c r="C1484">
        <v>16</v>
      </c>
      <c r="D1484">
        <v>346</v>
      </c>
      <c r="E1484">
        <v>13660</v>
      </c>
      <c r="F1484" s="1" t="s">
        <v>112</v>
      </c>
      <c r="G1484">
        <v>0</v>
      </c>
      <c r="H1484">
        <v>0</v>
      </c>
      <c r="I1484">
        <v>108</v>
      </c>
      <c r="J1484">
        <v>108</v>
      </c>
      <c r="K1484" s="33">
        <v>0</v>
      </c>
      <c r="L1484" s="1"/>
      <c r="M1484" s="1" t="str">
        <f>_xlfn.XLOOKUP(ocupacao[[#This Row],[UnidadeID]],unidades!$A:$A,unidades!$B:$B,"",0)</f>
        <v>Matriz</v>
      </c>
      <c r="N1484" s="1" t="str">
        <f>_xlfn.XLOOKUP(ocupacao[[#This Row],[UnidadeID]],unidades!$A:$A,unidades!$C:$C,"",0)</f>
        <v>Nova Iguaçu</v>
      </c>
      <c r="O1484" s="1" t="str">
        <f>_xlfn.XLOOKUP(ocupacao[[#This Row],[EspecialidadeID]],especialidades!$A:$A,especialidades!$B:$B,"",0)</f>
        <v>GASTROENTEROLOGIA</v>
      </c>
      <c r="P1484" s="1" t="str">
        <f>TEXT(WEEKDAY(ocupacao[[#This Row],[Data]]),"ddd")</f>
        <v>qui</v>
      </c>
      <c r="Q1484" s="1">
        <f t="shared" si="23"/>
        <v>0</v>
      </c>
    </row>
    <row r="1485" spans="1:17" x14ac:dyDescent="0.25">
      <c r="A1485" s="2">
        <v>44750</v>
      </c>
      <c r="B1485">
        <v>33</v>
      </c>
      <c r="C1485">
        <v>16</v>
      </c>
      <c r="D1485">
        <v>368</v>
      </c>
      <c r="E1485">
        <v>75</v>
      </c>
      <c r="F1485" s="1" t="s">
        <v>125</v>
      </c>
      <c r="G1485">
        <v>0</v>
      </c>
      <c r="H1485">
        <v>0</v>
      </c>
      <c r="I1485">
        <v>61</v>
      </c>
      <c r="J1485">
        <v>61</v>
      </c>
      <c r="K1485" s="33">
        <v>0</v>
      </c>
      <c r="L1485" s="1"/>
      <c r="M1485" s="1" t="str">
        <f>_xlfn.XLOOKUP(ocupacao[[#This Row],[UnidadeID]],unidades!$A:$A,unidades!$B:$B,"",0)</f>
        <v>Seggastro</v>
      </c>
      <c r="N1485" s="1" t="str">
        <f>_xlfn.XLOOKUP(ocupacao[[#This Row],[UnidadeID]],unidades!$A:$A,unidades!$C:$C,"",0)</f>
        <v>Nova Iguaçu</v>
      </c>
      <c r="O1485" s="1" t="str">
        <f>_xlfn.XLOOKUP(ocupacao[[#This Row],[EspecialidadeID]],especialidades!$A:$A,especialidades!$B:$B,"",0)</f>
        <v>GASTROENTEROLOGIA</v>
      </c>
      <c r="P1485" s="1" t="str">
        <f>TEXT(WEEKDAY(ocupacao[[#This Row],[Data]]),"ddd")</f>
        <v>sex</v>
      </c>
      <c r="Q1485" s="1">
        <f t="shared" si="23"/>
        <v>0</v>
      </c>
    </row>
    <row r="1486" spans="1:17" x14ac:dyDescent="0.25">
      <c r="A1486" s="2">
        <v>44750</v>
      </c>
      <c r="B1486">
        <v>33</v>
      </c>
      <c r="C1486">
        <v>16</v>
      </c>
      <c r="D1486">
        <v>368</v>
      </c>
      <c r="E1486">
        <v>1586</v>
      </c>
      <c r="F1486" s="1" t="s">
        <v>132</v>
      </c>
      <c r="G1486">
        <v>0</v>
      </c>
      <c r="H1486">
        <v>0</v>
      </c>
      <c r="I1486">
        <v>41</v>
      </c>
      <c r="J1486">
        <v>41</v>
      </c>
      <c r="K1486" s="33">
        <v>0</v>
      </c>
      <c r="L1486" s="1"/>
      <c r="M1486" s="1" t="str">
        <f>_xlfn.XLOOKUP(ocupacao[[#This Row],[UnidadeID]],unidades!$A:$A,unidades!$B:$B,"",0)</f>
        <v>Seggastro</v>
      </c>
      <c r="N1486" s="1" t="str">
        <f>_xlfn.XLOOKUP(ocupacao[[#This Row],[UnidadeID]],unidades!$A:$A,unidades!$C:$C,"",0)</f>
        <v>Nova Iguaçu</v>
      </c>
      <c r="O1486" s="1" t="str">
        <f>_xlfn.XLOOKUP(ocupacao[[#This Row],[EspecialidadeID]],especialidades!$A:$A,especialidades!$B:$B,"",0)</f>
        <v>GASTROENTEROLOGIA</v>
      </c>
      <c r="P1486" s="1" t="str">
        <f>TEXT(WEEKDAY(ocupacao[[#This Row],[Data]]),"ddd")</f>
        <v>sex</v>
      </c>
      <c r="Q1486" s="1">
        <f t="shared" si="23"/>
        <v>0</v>
      </c>
    </row>
    <row r="1487" spans="1:17" x14ac:dyDescent="0.25">
      <c r="A1487" s="2">
        <v>44750</v>
      </c>
      <c r="B1487">
        <v>33</v>
      </c>
      <c r="C1487">
        <v>16</v>
      </c>
      <c r="D1487">
        <v>368</v>
      </c>
      <c r="E1487">
        <v>2036</v>
      </c>
      <c r="F1487" s="1" t="s">
        <v>374</v>
      </c>
      <c r="G1487">
        <v>0</v>
      </c>
      <c r="H1487">
        <v>0</v>
      </c>
      <c r="I1487">
        <v>41</v>
      </c>
      <c r="J1487">
        <v>41</v>
      </c>
      <c r="K1487" s="33">
        <v>0</v>
      </c>
      <c r="L1487" s="1"/>
      <c r="M1487" s="1" t="str">
        <f>_xlfn.XLOOKUP(ocupacao[[#This Row],[UnidadeID]],unidades!$A:$A,unidades!$B:$B,"",0)</f>
        <v>Seggastro</v>
      </c>
      <c r="N1487" s="1" t="str">
        <f>_xlfn.XLOOKUP(ocupacao[[#This Row],[UnidadeID]],unidades!$A:$A,unidades!$C:$C,"",0)</f>
        <v>Nova Iguaçu</v>
      </c>
      <c r="O1487" s="1" t="str">
        <f>_xlfn.XLOOKUP(ocupacao[[#This Row],[EspecialidadeID]],especialidades!$A:$A,especialidades!$B:$B,"",0)</f>
        <v>GASTROENTEROLOGIA</v>
      </c>
      <c r="P1487" s="1" t="str">
        <f>TEXT(WEEKDAY(ocupacao[[#This Row],[Data]]),"ddd")</f>
        <v>sex</v>
      </c>
      <c r="Q1487" s="1">
        <f t="shared" si="23"/>
        <v>0</v>
      </c>
    </row>
    <row r="1488" spans="1:17" x14ac:dyDescent="0.25">
      <c r="A1488" s="2">
        <v>44750</v>
      </c>
      <c r="B1488">
        <v>33</v>
      </c>
      <c r="C1488">
        <v>16</v>
      </c>
      <c r="D1488">
        <v>368</v>
      </c>
      <c r="E1488">
        <v>5822</v>
      </c>
      <c r="F1488" s="1" t="s">
        <v>100</v>
      </c>
      <c r="G1488">
        <v>0</v>
      </c>
      <c r="H1488">
        <v>0</v>
      </c>
      <c r="I1488">
        <v>61</v>
      </c>
      <c r="J1488">
        <v>61</v>
      </c>
      <c r="K1488" s="33">
        <v>0</v>
      </c>
      <c r="L1488" s="1"/>
      <c r="M1488" s="1" t="str">
        <f>_xlfn.XLOOKUP(ocupacao[[#This Row],[UnidadeID]],unidades!$A:$A,unidades!$B:$B,"",0)</f>
        <v>Seggastro</v>
      </c>
      <c r="N1488" s="1" t="str">
        <f>_xlfn.XLOOKUP(ocupacao[[#This Row],[UnidadeID]],unidades!$A:$A,unidades!$C:$C,"",0)</f>
        <v>Nova Iguaçu</v>
      </c>
      <c r="O1488" s="1" t="str">
        <f>_xlfn.XLOOKUP(ocupacao[[#This Row],[EspecialidadeID]],especialidades!$A:$A,especialidades!$B:$B,"",0)</f>
        <v>GASTROENTEROLOGIA</v>
      </c>
      <c r="P1488" s="1" t="str">
        <f>TEXT(WEEKDAY(ocupacao[[#This Row],[Data]]),"ddd")</f>
        <v>sex</v>
      </c>
      <c r="Q1488" s="1">
        <f t="shared" si="23"/>
        <v>0</v>
      </c>
    </row>
    <row r="1489" spans="1:17" hidden="1" x14ac:dyDescent="0.25">
      <c r="A1489" s="2"/>
      <c r="F1489" s="1"/>
      <c r="K1489" s="33"/>
      <c r="L1489" s="1"/>
      <c r="M1489" s="1"/>
      <c r="N1489" s="1"/>
      <c r="O1489" s="1"/>
      <c r="P1489" s="1"/>
      <c r="Q1489" s="1"/>
    </row>
    <row r="1490" spans="1:17" x14ac:dyDescent="0.25">
      <c r="A1490" s="2">
        <v>44750</v>
      </c>
      <c r="B1490">
        <v>11</v>
      </c>
      <c r="C1490">
        <v>16</v>
      </c>
      <c r="D1490">
        <v>17</v>
      </c>
      <c r="E1490">
        <v>5927</v>
      </c>
      <c r="F1490" s="1" t="s">
        <v>93</v>
      </c>
      <c r="G1490">
        <v>0</v>
      </c>
      <c r="H1490">
        <v>1</v>
      </c>
      <c r="I1490">
        <v>16</v>
      </c>
      <c r="J1490">
        <v>17</v>
      </c>
      <c r="K1490" s="33">
        <v>5.8799999999999998E-2</v>
      </c>
      <c r="L1490" s="1"/>
      <c r="M1490" s="1" t="str">
        <f>_xlfn.XLOOKUP(ocupacao[[#This Row],[UnidadeID]],unidades!$A:$A,unidades!$B:$B,"",0)</f>
        <v>Filial 2 - 11º</v>
      </c>
      <c r="N1490" s="1" t="str">
        <f>_xlfn.XLOOKUP(ocupacao[[#This Row],[UnidadeID]],unidades!$A:$A,unidades!$C:$C,"",0)</f>
        <v>Nova Iguaçu</v>
      </c>
      <c r="O1490" s="1" t="str">
        <f>_xlfn.XLOOKUP(ocupacao[[#This Row],[EspecialidadeID]],especialidades!$A:$A,especialidades!$B:$B,"",0)</f>
        <v>GASTROENTEROLOGIA</v>
      </c>
      <c r="P1490" s="1" t="str">
        <f>TEXT(WEEKDAY(ocupacao[[#This Row],[Data]]),"ddd")</f>
        <v>sex</v>
      </c>
      <c r="Q1490" s="1">
        <f t="shared" si="23"/>
        <v>0</v>
      </c>
    </row>
    <row r="1491" spans="1:17" x14ac:dyDescent="0.25">
      <c r="A1491" s="2">
        <v>44750</v>
      </c>
      <c r="B1491">
        <v>33</v>
      </c>
      <c r="C1491">
        <v>16</v>
      </c>
      <c r="D1491">
        <v>368</v>
      </c>
      <c r="E1491">
        <v>7900</v>
      </c>
      <c r="F1491" s="1" t="s">
        <v>348</v>
      </c>
      <c r="G1491">
        <v>0</v>
      </c>
      <c r="H1491">
        <v>0</v>
      </c>
      <c r="I1491">
        <v>41</v>
      </c>
      <c r="J1491">
        <v>41</v>
      </c>
      <c r="K1491" s="33">
        <v>0</v>
      </c>
      <c r="L1491" s="1"/>
      <c r="M1491" s="1" t="str">
        <f>_xlfn.XLOOKUP(ocupacao[[#This Row],[UnidadeID]],unidades!$A:$A,unidades!$B:$B,"",0)</f>
        <v>Seggastro</v>
      </c>
      <c r="N1491" s="1" t="str">
        <f>_xlfn.XLOOKUP(ocupacao[[#This Row],[UnidadeID]],unidades!$A:$A,unidades!$C:$C,"",0)</f>
        <v>Nova Iguaçu</v>
      </c>
      <c r="O1491" s="1" t="str">
        <f>_xlfn.XLOOKUP(ocupacao[[#This Row],[EspecialidadeID]],especialidades!$A:$A,especialidades!$B:$B,"",0)</f>
        <v>GASTROENTEROLOGIA</v>
      </c>
      <c r="P1491" s="1" t="str">
        <f>TEXT(WEEKDAY(ocupacao[[#This Row],[Data]]),"ddd")</f>
        <v>sex</v>
      </c>
      <c r="Q1491" s="1">
        <f t="shared" si="23"/>
        <v>0</v>
      </c>
    </row>
    <row r="1492" spans="1:17" x14ac:dyDescent="0.25">
      <c r="A1492" s="2">
        <v>44750</v>
      </c>
      <c r="B1492">
        <v>33</v>
      </c>
      <c r="C1492">
        <v>16</v>
      </c>
      <c r="D1492">
        <v>15</v>
      </c>
      <c r="E1492">
        <v>13660</v>
      </c>
      <c r="F1492" s="1" t="s">
        <v>112</v>
      </c>
      <c r="G1492">
        <v>0</v>
      </c>
      <c r="H1492">
        <v>1</v>
      </c>
      <c r="I1492">
        <v>0</v>
      </c>
      <c r="J1492">
        <v>1</v>
      </c>
      <c r="K1492" s="33">
        <v>1</v>
      </c>
      <c r="L1492" s="1"/>
      <c r="M1492" s="1" t="str">
        <f>_xlfn.XLOOKUP(ocupacao[[#This Row],[UnidadeID]],unidades!$A:$A,unidades!$B:$B,"",0)</f>
        <v>Seggastro</v>
      </c>
      <c r="N1492" s="1" t="str">
        <f>_xlfn.XLOOKUP(ocupacao[[#This Row],[UnidadeID]],unidades!$A:$A,unidades!$C:$C,"",0)</f>
        <v>Nova Iguaçu</v>
      </c>
      <c r="O1492" s="1" t="str">
        <f>_xlfn.XLOOKUP(ocupacao[[#This Row],[EspecialidadeID]],especialidades!$A:$A,especialidades!$B:$B,"",0)</f>
        <v>GASTROENTEROLOGIA</v>
      </c>
      <c r="P1492" s="1" t="str">
        <f>TEXT(WEEKDAY(ocupacao[[#This Row],[Data]]),"ddd")</f>
        <v>sex</v>
      </c>
      <c r="Q1492" s="1">
        <f t="shared" si="23"/>
        <v>0</v>
      </c>
    </row>
    <row r="1493" spans="1:17" hidden="1" x14ac:dyDescent="0.25">
      <c r="A1493" s="2"/>
      <c r="F1493" s="1"/>
      <c r="K1493" s="33"/>
      <c r="L1493" s="1"/>
      <c r="M1493" s="1"/>
      <c r="N1493" s="1"/>
      <c r="O1493" s="1"/>
      <c r="P1493" s="1"/>
      <c r="Q1493" s="1"/>
    </row>
    <row r="1494" spans="1:17" hidden="1" x14ac:dyDescent="0.25">
      <c r="A1494" s="2">
        <v>44750</v>
      </c>
      <c r="B1494">
        <v>33</v>
      </c>
      <c r="C1494">
        <v>16</v>
      </c>
      <c r="D1494">
        <v>368</v>
      </c>
      <c r="E1494">
        <v>13660</v>
      </c>
      <c r="F1494" s="1" t="s">
        <v>112</v>
      </c>
      <c r="G1494">
        <v>0</v>
      </c>
      <c r="H1494">
        <v>0</v>
      </c>
      <c r="I1494">
        <v>13</v>
      </c>
      <c r="J1494">
        <v>13</v>
      </c>
      <c r="K1494" s="33">
        <v>0</v>
      </c>
      <c r="L1494" s="1"/>
      <c r="M1494" s="1"/>
      <c r="N1494" s="1"/>
      <c r="O1494" s="1"/>
      <c r="P1494" s="1"/>
      <c r="Q1494" s="1"/>
    </row>
    <row r="1495" spans="1:17" x14ac:dyDescent="0.25">
      <c r="A1495" s="2">
        <v>44750</v>
      </c>
      <c r="B1495">
        <v>33</v>
      </c>
      <c r="C1495">
        <v>16</v>
      </c>
      <c r="D1495">
        <v>368</v>
      </c>
      <c r="E1495">
        <v>13660</v>
      </c>
      <c r="F1495" s="1" t="s">
        <v>112</v>
      </c>
      <c r="G1495">
        <v>0</v>
      </c>
      <c r="H1495">
        <v>0</v>
      </c>
      <c r="I1495">
        <v>13</v>
      </c>
      <c r="J1495">
        <v>13</v>
      </c>
      <c r="K1495" s="33">
        <v>0</v>
      </c>
      <c r="L1495" s="1"/>
      <c r="M1495" s="1" t="str">
        <f>_xlfn.XLOOKUP(ocupacao[[#This Row],[UnidadeID]],unidades!$A:$A,unidades!$B:$B,"",0)</f>
        <v>Seggastro</v>
      </c>
      <c r="N1495" s="1" t="str">
        <f>_xlfn.XLOOKUP(ocupacao[[#This Row],[UnidadeID]],unidades!$A:$A,unidades!$C:$C,"",0)</f>
        <v>Nova Iguaçu</v>
      </c>
      <c r="O1495" s="1" t="str">
        <f>_xlfn.XLOOKUP(ocupacao[[#This Row],[EspecialidadeID]],especialidades!$A:$A,especialidades!$B:$B,"",0)</f>
        <v>GASTROENTEROLOGIA</v>
      </c>
      <c r="P1495" s="1" t="str">
        <f>TEXT(WEEKDAY(ocupacao[[#This Row],[Data]]),"ddd")</f>
        <v>sex</v>
      </c>
      <c r="Q1495" s="1">
        <f t="shared" si="23"/>
        <v>0</v>
      </c>
    </row>
    <row r="1496" spans="1:17" x14ac:dyDescent="0.25">
      <c r="A1496" s="2">
        <v>44751</v>
      </c>
      <c r="B1496">
        <v>33</v>
      </c>
      <c r="C1496">
        <v>16</v>
      </c>
      <c r="D1496">
        <v>368</v>
      </c>
      <c r="E1496">
        <v>75</v>
      </c>
      <c r="F1496" s="1" t="s">
        <v>125</v>
      </c>
      <c r="G1496">
        <v>0</v>
      </c>
      <c r="H1496">
        <v>0</v>
      </c>
      <c r="I1496">
        <v>61</v>
      </c>
      <c r="J1496">
        <v>61</v>
      </c>
      <c r="K1496" s="33">
        <v>0</v>
      </c>
      <c r="L1496" s="1"/>
      <c r="M1496" s="1" t="str">
        <f>_xlfn.XLOOKUP(ocupacao[[#This Row],[UnidadeID]],unidades!$A:$A,unidades!$B:$B,"",0)</f>
        <v>Seggastro</v>
      </c>
      <c r="N1496" s="1" t="str">
        <f>_xlfn.XLOOKUP(ocupacao[[#This Row],[UnidadeID]],unidades!$A:$A,unidades!$C:$C,"",0)</f>
        <v>Nova Iguaçu</v>
      </c>
      <c r="O1496" s="1" t="str">
        <f>_xlfn.XLOOKUP(ocupacao[[#This Row],[EspecialidadeID]],especialidades!$A:$A,especialidades!$B:$B,"",0)</f>
        <v>GASTROENTEROLOGIA</v>
      </c>
      <c r="P1496" s="1" t="str">
        <f>TEXT(WEEKDAY(ocupacao[[#This Row],[Data]]),"ddd")</f>
        <v>sáb</v>
      </c>
      <c r="Q1496" s="1">
        <f t="shared" si="23"/>
        <v>0</v>
      </c>
    </row>
    <row r="1497" spans="1:17" x14ac:dyDescent="0.25">
      <c r="A1497" s="2">
        <v>44751</v>
      </c>
      <c r="B1497">
        <v>33</v>
      </c>
      <c r="C1497">
        <v>16</v>
      </c>
      <c r="D1497">
        <v>368</v>
      </c>
      <c r="E1497">
        <v>1586</v>
      </c>
      <c r="F1497" s="1" t="s">
        <v>132</v>
      </c>
      <c r="G1497">
        <v>0</v>
      </c>
      <c r="H1497">
        <v>0</v>
      </c>
      <c r="I1497">
        <v>41</v>
      </c>
      <c r="J1497">
        <v>41</v>
      </c>
      <c r="K1497" s="33">
        <v>0</v>
      </c>
      <c r="L1497" s="1"/>
      <c r="M1497" s="1" t="str">
        <f>_xlfn.XLOOKUP(ocupacao[[#This Row],[UnidadeID]],unidades!$A:$A,unidades!$B:$B,"",0)</f>
        <v>Seggastro</v>
      </c>
      <c r="N1497" s="1" t="str">
        <f>_xlfn.XLOOKUP(ocupacao[[#This Row],[UnidadeID]],unidades!$A:$A,unidades!$C:$C,"",0)</f>
        <v>Nova Iguaçu</v>
      </c>
      <c r="O1497" s="1" t="str">
        <f>_xlfn.XLOOKUP(ocupacao[[#This Row],[EspecialidadeID]],especialidades!$A:$A,especialidades!$B:$B,"",0)</f>
        <v>GASTROENTEROLOGIA</v>
      </c>
      <c r="P1497" s="1" t="str">
        <f>TEXT(WEEKDAY(ocupacao[[#This Row],[Data]]),"ddd")</f>
        <v>sáb</v>
      </c>
      <c r="Q1497" s="1">
        <f t="shared" si="23"/>
        <v>0</v>
      </c>
    </row>
    <row r="1498" spans="1:17" x14ac:dyDescent="0.25">
      <c r="A1498" s="2">
        <v>44751</v>
      </c>
      <c r="B1498">
        <v>33</v>
      </c>
      <c r="C1498">
        <v>16</v>
      </c>
      <c r="D1498">
        <v>368</v>
      </c>
      <c r="E1498">
        <v>2036</v>
      </c>
      <c r="F1498" s="1" t="s">
        <v>374</v>
      </c>
      <c r="G1498">
        <v>0</v>
      </c>
      <c r="H1498">
        <v>0</v>
      </c>
      <c r="I1498">
        <v>21</v>
      </c>
      <c r="J1498">
        <v>21</v>
      </c>
      <c r="K1498" s="33">
        <v>0</v>
      </c>
      <c r="L1498" s="1"/>
      <c r="M1498" s="1" t="str">
        <f>_xlfn.XLOOKUP(ocupacao[[#This Row],[UnidadeID]],unidades!$A:$A,unidades!$B:$B,"",0)</f>
        <v>Seggastro</v>
      </c>
      <c r="N1498" s="1" t="str">
        <f>_xlfn.XLOOKUP(ocupacao[[#This Row],[UnidadeID]],unidades!$A:$A,unidades!$C:$C,"",0)</f>
        <v>Nova Iguaçu</v>
      </c>
      <c r="O1498" s="1" t="str">
        <f>_xlfn.XLOOKUP(ocupacao[[#This Row],[EspecialidadeID]],especialidades!$A:$A,especialidades!$B:$B,"",0)</f>
        <v>GASTROENTEROLOGIA</v>
      </c>
      <c r="P1498" s="1" t="str">
        <f>TEXT(WEEKDAY(ocupacao[[#This Row],[Data]]),"ddd")</f>
        <v>sáb</v>
      </c>
      <c r="Q1498" s="1">
        <f t="shared" si="23"/>
        <v>0</v>
      </c>
    </row>
    <row r="1499" spans="1:17" x14ac:dyDescent="0.25">
      <c r="A1499" s="2">
        <v>44751</v>
      </c>
      <c r="B1499">
        <v>33</v>
      </c>
      <c r="C1499">
        <v>16</v>
      </c>
      <c r="D1499">
        <v>368</v>
      </c>
      <c r="E1499">
        <v>5822</v>
      </c>
      <c r="F1499" s="1" t="s">
        <v>100</v>
      </c>
      <c r="G1499">
        <v>0</v>
      </c>
      <c r="H1499">
        <v>0</v>
      </c>
      <c r="I1499">
        <v>61</v>
      </c>
      <c r="J1499">
        <v>61</v>
      </c>
      <c r="K1499" s="33">
        <v>0</v>
      </c>
      <c r="L1499" s="1"/>
      <c r="M1499" s="1" t="str">
        <f>_xlfn.XLOOKUP(ocupacao[[#This Row],[UnidadeID]],unidades!$A:$A,unidades!$B:$B,"",0)</f>
        <v>Seggastro</v>
      </c>
      <c r="N1499" s="1" t="str">
        <f>_xlfn.XLOOKUP(ocupacao[[#This Row],[UnidadeID]],unidades!$A:$A,unidades!$C:$C,"",0)</f>
        <v>Nova Iguaçu</v>
      </c>
      <c r="O1499" s="1" t="str">
        <f>_xlfn.XLOOKUP(ocupacao[[#This Row],[EspecialidadeID]],especialidades!$A:$A,especialidades!$B:$B,"",0)</f>
        <v>GASTROENTEROLOGIA</v>
      </c>
      <c r="P1499" s="1" t="str">
        <f>TEXT(WEEKDAY(ocupacao[[#This Row],[Data]]),"ddd")</f>
        <v>sáb</v>
      </c>
      <c r="Q1499" s="1">
        <f t="shared" si="23"/>
        <v>0</v>
      </c>
    </row>
    <row r="1500" spans="1:17" x14ac:dyDescent="0.25">
      <c r="A1500" s="2">
        <v>44751</v>
      </c>
      <c r="B1500">
        <v>33</v>
      </c>
      <c r="C1500">
        <v>16</v>
      </c>
      <c r="D1500">
        <v>368</v>
      </c>
      <c r="E1500">
        <v>7900</v>
      </c>
      <c r="F1500" s="1" t="s">
        <v>348</v>
      </c>
      <c r="G1500">
        <v>0</v>
      </c>
      <c r="H1500">
        <v>0</v>
      </c>
      <c r="I1500">
        <v>21</v>
      </c>
      <c r="J1500">
        <v>21</v>
      </c>
      <c r="K1500" s="33">
        <v>0</v>
      </c>
      <c r="L1500" s="1"/>
      <c r="M1500" s="1" t="str">
        <f>_xlfn.XLOOKUP(ocupacao[[#This Row],[UnidadeID]],unidades!$A:$A,unidades!$B:$B,"",0)</f>
        <v>Seggastro</v>
      </c>
      <c r="N1500" s="1" t="str">
        <f>_xlfn.XLOOKUP(ocupacao[[#This Row],[UnidadeID]],unidades!$A:$A,unidades!$C:$C,"",0)</f>
        <v>Nova Iguaçu</v>
      </c>
      <c r="O1500" s="1" t="str">
        <f>_xlfn.XLOOKUP(ocupacao[[#This Row],[EspecialidadeID]],especialidades!$A:$A,especialidades!$B:$B,"",0)</f>
        <v>GASTROENTEROLOGIA</v>
      </c>
      <c r="P1500" s="1" t="str">
        <f>TEXT(WEEKDAY(ocupacao[[#This Row],[Data]]),"ddd")</f>
        <v>sáb</v>
      </c>
      <c r="Q1500" s="1">
        <f t="shared" si="23"/>
        <v>0</v>
      </c>
    </row>
    <row r="1501" spans="1:17" x14ac:dyDescent="0.25">
      <c r="A1501" s="2">
        <v>44751</v>
      </c>
      <c r="B1501">
        <v>33</v>
      </c>
      <c r="C1501">
        <v>16</v>
      </c>
      <c r="D1501">
        <v>368</v>
      </c>
      <c r="E1501">
        <v>13660</v>
      </c>
      <c r="F1501" s="1" t="s">
        <v>112</v>
      </c>
      <c r="G1501">
        <v>0</v>
      </c>
      <c r="H1501">
        <v>0</v>
      </c>
      <c r="I1501">
        <v>41</v>
      </c>
      <c r="J1501">
        <v>41</v>
      </c>
      <c r="K1501" s="33">
        <v>0</v>
      </c>
      <c r="L1501" s="1"/>
      <c r="M1501" s="1" t="str">
        <f>_xlfn.XLOOKUP(ocupacao[[#This Row],[UnidadeID]],unidades!$A:$A,unidades!$B:$B,"",0)</f>
        <v>Seggastro</v>
      </c>
      <c r="N1501" s="1" t="str">
        <f>_xlfn.XLOOKUP(ocupacao[[#This Row],[UnidadeID]],unidades!$A:$A,unidades!$C:$C,"",0)</f>
        <v>Nova Iguaçu</v>
      </c>
      <c r="O1501" s="1" t="str">
        <f>_xlfn.XLOOKUP(ocupacao[[#This Row],[EspecialidadeID]],especialidades!$A:$A,especialidades!$B:$B,"",0)</f>
        <v>GASTROENTEROLOGIA</v>
      </c>
      <c r="P1501" s="1" t="str">
        <f>TEXT(WEEKDAY(ocupacao[[#This Row],[Data]]),"ddd")</f>
        <v>sáb</v>
      </c>
      <c r="Q1501" s="1">
        <f t="shared" si="23"/>
        <v>0</v>
      </c>
    </row>
    <row r="1502" spans="1:17" x14ac:dyDescent="0.25">
      <c r="A1502" s="2">
        <v>44753</v>
      </c>
      <c r="B1502">
        <v>11</v>
      </c>
      <c r="C1502">
        <v>16</v>
      </c>
      <c r="D1502">
        <v>15</v>
      </c>
      <c r="E1502">
        <v>75</v>
      </c>
      <c r="F1502" s="1" t="s">
        <v>125</v>
      </c>
      <c r="G1502">
        <v>0</v>
      </c>
      <c r="H1502">
        <v>0</v>
      </c>
      <c r="I1502">
        <v>55</v>
      </c>
      <c r="J1502">
        <v>55</v>
      </c>
      <c r="K1502" s="33">
        <v>0</v>
      </c>
      <c r="L1502" s="1"/>
      <c r="M1502" s="1" t="str">
        <f>_xlfn.XLOOKUP(ocupacao[[#This Row],[UnidadeID]],unidades!$A:$A,unidades!$B:$B,"",0)</f>
        <v>Filial 2 - 11º</v>
      </c>
      <c r="N1502" s="1" t="str">
        <f>_xlfn.XLOOKUP(ocupacao[[#This Row],[UnidadeID]],unidades!$A:$A,unidades!$C:$C,"",0)</f>
        <v>Nova Iguaçu</v>
      </c>
      <c r="O1502" s="1" t="str">
        <f>_xlfn.XLOOKUP(ocupacao[[#This Row],[EspecialidadeID]],especialidades!$A:$A,especialidades!$B:$B,"",0)</f>
        <v>GASTROENTEROLOGIA</v>
      </c>
      <c r="P1502" s="1" t="str">
        <f>TEXT(WEEKDAY(ocupacao[[#This Row],[Data]]),"ddd")</f>
        <v>seg</v>
      </c>
      <c r="Q1502" s="1">
        <f t="shared" si="23"/>
        <v>0</v>
      </c>
    </row>
    <row r="1503" spans="1:17" x14ac:dyDescent="0.25">
      <c r="A1503" s="2">
        <v>44753</v>
      </c>
      <c r="B1503">
        <v>33</v>
      </c>
      <c r="C1503">
        <v>16</v>
      </c>
      <c r="D1503">
        <v>368</v>
      </c>
      <c r="E1503">
        <v>1586</v>
      </c>
      <c r="F1503" s="1" t="s">
        <v>132</v>
      </c>
      <c r="G1503">
        <v>0</v>
      </c>
      <c r="H1503">
        <v>0</v>
      </c>
      <c r="I1503">
        <v>41</v>
      </c>
      <c r="J1503">
        <v>41</v>
      </c>
      <c r="K1503" s="33">
        <v>0</v>
      </c>
      <c r="L1503" s="1"/>
      <c r="M1503" s="1" t="str">
        <f>_xlfn.XLOOKUP(ocupacao[[#This Row],[UnidadeID]],unidades!$A:$A,unidades!$B:$B,"",0)</f>
        <v>Seggastro</v>
      </c>
      <c r="N1503" s="1" t="str">
        <f>_xlfn.XLOOKUP(ocupacao[[#This Row],[UnidadeID]],unidades!$A:$A,unidades!$C:$C,"",0)</f>
        <v>Nova Iguaçu</v>
      </c>
      <c r="O1503" s="1" t="str">
        <f>_xlfn.XLOOKUP(ocupacao[[#This Row],[EspecialidadeID]],especialidades!$A:$A,especialidades!$B:$B,"",0)</f>
        <v>GASTROENTEROLOGIA</v>
      </c>
      <c r="P1503" s="1" t="str">
        <f>TEXT(WEEKDAY(ocupacao[[#This Row],[Data]]),"ddd")</f>
        <v>seg</v>
      </c>
      <c r="Q1503" s="1">
        <f t="shared" si="23"/>
        <v>0</v>
      </c>
    </row>
    <row r="1504" spans="1:17" hidden="1" x14ac:dyDescent="0.25">
      <c r="A1504" s="2">
        <v>44753</v>
      </c>
      <c r="B1504">
        <v>33</v>
      </c>
      <c r="C1504">
        <v>16</v>
      </c>
      <c r="D1504">
        <v>368</v>
      </c>
      <c r="E1504">
        <v>2036</v>
      </c>
      <c r="F1504" s="1" t="s">
        <v>374</v>
      </c>
      <c r="G1504">
        <v>0</v>
      </c>
      <c r="H1504">
        <v>0</v>
      </c>
      <c r="I1504">
        <v>41</v>
      </c>
      <c r="J1504">
        <v>41</v>
      </c>
      <c r="K1504" s="33">
        <v>0</v>
      </c>
      <c r="L1504" s="1"/>
      <c r="M1504" s="1"/>
      <c r="N1504" s="1"/>
      <c r="O1504" s="1"/>
      <c r="P1504" s="1"/>
      <c r="Q1504" s="1"/>
    </row>
    <row r="1505" spans="1:17" x14ac:dyDescent="0.25">
      <c r="A1505" s="2">
        <v>44753</v>
      </c>
      <c r="B1505">
        <v>33</v>
      </c>
      <c r="C1505">
        <v>16</v>
      </c>
      <c r="D1505">
        <v>368</v>
      </c>
      <c r="E1505">
        <v>5822</v>
      </c>
      <c r="F1505" s="1" t="s">
        <v>100</v>
      </c>
      <c r="G1505">
        <v>0</v>
      </c>
      <c r="H1505">
        <v>0</v>
      </c>
      <c r="I1505">
        <v>61</v>
      </c>
      <c r="J1505">
        <v>61</v>
      </c>
      <c r="K1505" s="33">
        <v>0</v>
      </c>
      <c r="L1505" s="1"/>
      <c r="M1505" s="1" t="str">
        <f>_xlfn.XLOOKUP(ocupacao[[#This Row],[UnidadeID]],unidades!$A:$A,unidades!$B:$B,"",0)</f>
        <v>Seggastro</v>
      </c>
      <c r="N1505" s="1" t="str">
        <f>_xlfn.XLOOKUP(ocupacao[[#This Row],[UnidadeID]],unidades!$A:$A,unidades!$C:$C,"",0)</f>
        <v>Nova Iguaçu</v>
      </c>
      <c r="O1505" s="1" t="str">
        <f>_xlfn.XLOOKUP(ocupacao[[#This Row],[EspecialidadeID]],especialidades!$A:$A,especialidades!$B:$B,"",0)</f>
        <v>GASTROENTEROLOGIA</v>
      </c>
      <c r="P1505" s="1" t="str">
        <f>TEXT(WEEKDAY(ocupacao[[#This Row],[Data]]),"ddd")</f>
        <v>seg</v>
      </c>
      <c r="Q1505" s="1">
        <f t="shared" si="23"/>
        <v>0</v>
      </c>
    </row>
    <row r="1506" spans="1:17" x14ac:dyDescent="0.25">
      <c r="A1506" s="2">
        <v>44753</v>
      </c>
      <c r="B1506">
        <v>11</v>
      </c>
      <c r="C1506">
        <v>16</v>
      </c>
      <c r="D1506">
        <v>17</v>
      </c>
      <c r="E1506">
        <v>5927</v>
      </c>
      <c r="F1506" s="1" t="s">
        <v>93</v>
      </c>
      <c r="G1506">
        <v>0</v>
      </c>
      <c r="H1506">
        <v>1</v>
      </c>
      <c r="I1506">
        <v>0</v>
      </c>
      <c r="J1506">
        <v>1</v>
      </c>
      <c r="K1506" s="33">
        <v>1</v>
      </c>
      <c r="L1506" s="1"/>
      <c r="M1506" s="1" t="str">
        <f>_xlfn.XLOOKUP(ocupacao[[#This Row],[UnidadeID]],unidades!$A:$A,unidades!$B:$B,"",0)</f>
        <v>Filial 2 - 11º</v>
      </c>
      <c r="N1506" s="1" t="str">
        <f>_xlfn.XLOOKUP(ocupacao[[#This Row],[UnidadeID]],unidades!$A:$A,unidades!$C:$C,"",0)</f>
        <v>Nova Iguaçu</v>
      </c>
      <c r="O1506" s="1" t="str">
        <f>_xlfn.XLOOKUP(ocupacao[[#This Row],[EspecialidadeID]],especialidades!$A:$A,especialidades!$B:$B,"",0)</f>
        <v>GASTROENTEROLOGIA</v>
      </c>
      <c r="P1506" s="1" t="str">
        <f>TEXT(WEEKDAY(ocupacao[[#This Row],[Data]]),"ddd")</f>
        <v>seg</v>
      </c>
      <c r="Q1506" s="1">
        <f t="shared" si="23"/>
        <v>1</v>
      </c>
    </row>
    <row r="1507" spans="1:17" hidden="1" x14ac:dyDescent="0.25">
      <c r="A1507" s="2">
        <v>44753</v>
      </c>
      <c r="B1507">
        <v>11</v>
      </c>
      <c r="C1507">
        <v>16</v>
      </c>
      <c r="D1507">
        <v>17</v>
      </c>
      <c r="E1507">
        <v>5927</v>
      </c>
      <c r="F1507" s="1" t="s">
        <v>93</v>
      </c>
      <c r="G1507">
        <v>0</v>
      </c>
      <c r="H1507">
        <v>0</v>
      </c>
      <c r="I1507">
        <v>20</v>
      </c>
      <c r="J1507">
        <v>20</v>
      </c>
      <c r="K1507" s="33">
        <v>0</v>
      </c>
      <c r="L1507" s="1"/>
      <c r="M1507" s="1"/>
      <c r="N1507" s="1"/>
      <c r="O1507" s="1"/>
      <c r="P1507" s="1"/>
      <c r="Q1507" s="1"/>
    </row>
    <row r="1508" spans="1:17" hidden="1" x14ac:dyDescent="0.25">
      <c r="A1508" s="2">
        <v>44753</v>
      </c>
      <c r="B1508">
        <v>33</v>
      </c>
      <c r="C1508">
        <v>16</v>
      </c>
      <c r="D1508">
        <v>368</v>
      </c>
      <c r="E1508">
        <v>7900</v>
      </c>
      <c r="F1508" s="1" t="s">
        <v>348</v>
      </c>
      <c r="G1508">
        <v>0</v>
      </c>
      <c r="H1508">
        <v>0</v>
      </c>
      <c r="I1508">
        <v>41</v>
      </c>
      <c r="J1508">
        <v>41</v>
      </c>
      <c r="K1508" s="33">
        <v>0</v>
      </c>
      <c r="L1508" s="1"/>
      <c r="M1508" s="1"/>
      <c r="N1508" s="1"/>
      <c r="O1508" s="1"/>
      <c r="P1508" s="1"/>
      <c r="Q1508" s="1"/>
    </row>
    <row r="1509" spans="1:17" x14ac:dyDescent="0.25">
      <c r="A1509" s="2">
        <v>44753</v>
      </c>
      <c r="B1509">
        <v>33</v>
      </c>
      <c r="C1509">
        <v>16</v>
      </c>
      <c r="D1509">
        <v>368</v>
      </c>
      <c r="E1509">
        <v>13660</v>
      </c>
      <c r="F1509" s="1" t="s">
        <v>112</v>
      </c>
      <c r="G1509">
        <v>0</v>
      </c>
      <c r="H1509">
        <v>0</v>
      </c>
      <c r="I1509">
        <v>41</v>
      </c>
      <c r="J1509">
        <v>41</v>
      </c>
      <c r="K1509" s="33">
        <v>0</v>
      </c>
      <c r="L1509" s="1"/>
      <c r="M1509" s="1" t="str">
        <f>_xlfn.XLOOKUP(ocupacao[[#This Row],[UnidadeID]],unidades!$A:$A,unidades!$B:$B,"",0)</f>
        <v>Seggastro</v>
      </c>
      <c r="N1509" s="1" t="str">
        <f>_xlfn.XLOOKUP(ocupacao[[#This Row],[UnidadeID]],unidades!$A:$A,unidades!$C:$C,"",0)</f>
        <v>Nova Iguaçu</v>
      </c>
      <c r="O1509" s="1" t="str">
        <f>_xlfn.XLOOKUP(ocupacao[[#This Row],[EspecialidadeID]],especialidades!$A:$A,especialidades!$B:$B,"",0)</f>
        <v>GASTROENTEROLOGIA</v>
      </c>
      <c r="P1509" s="1" t="str">
        <f>TEXT(WEEKDAY(ocupacao[[#This Row],[Data]]),"ddd")</f>
        <v>seg</v>
      </c>
      <c r="Q1509" s="1">
        <f t="shared" si="23"/>
        <v>0</v>
      </c>
    </row>
    <row r="1510" spans="1:17" x14ac:dyDescent="0.25">
      <c r="A1510" s="2">
        <v>44754</v>
      </c>
      <c r="B1510">
        <v>33</v>
      </c>
      <c r="C1510">
        <v>16</v>
      </c>
      <c r="D1510">
        <v>368</v>
      </c>
      <c r="E1510">
        <v>75</v>
      </c>
      <c r="F1510" s="1" t="s">
        <v>125</v>
      </c>
      <c r="G1510">
        <v>0</v>
      </c>
      <c r="H1510">
        <v>0</v>
      </c>
      <c r="I1510">
        <v>61</v>
      </c>
      <c r="J1510">
        <v>61</v>
      </c>
      <c r="K1510" s="33">
        <v>0</v>
      </c>
      <c r="L1510" s="1"/>
      <c r="M1510" s="1" t="str">
        <f>_xlfn.XLOOKUP(ocupacao[[#This Row],[UnidadeID]],unidades!$A:$A,unidades!$B:$B,"",0)</f>
        <v>Seggastro</v>
      </c>
      <c r="N1510" s="1" t="str">
        <f>_xlfn.XLOOKUP(ocupacao[[#This Row],[UnidadeID]],unidades!$A:$A,unidades!$C:$C,"",0)</f>
        <v>Nova Iguaçu</v>
      </c>
      <c r="O1510" s="1" t="str">
        <f>_xlfn.XLOOKUP(ocupacao[[#This Row],[EspecialidadeID]],especialidades!$A:$A,especialidades!$B:$B,"",0)</f>
        <v>GASTROENTEROLOGIA</v>
      </c>
      <c r="P1510" s="1" t="str">
        <f>TEXT(WEEKDAY(ocupacao[[#This Row],[Data]]),"ddd")</f>
        <v>ter</v>
      </c>
      <c r="Q1510" s="1">
        <f t="shared" si="23"/>
        <v>0</v>
      </c>
    </row>
    <row r="1511" spans="1:17" hidden="1" x14ac:dyDescent="0.25">
      <c r="A1511" s="2"/>
      <c r="F1511" s="1"/>
      <c r="K1511" s="33"/>
      <c r="L1511" s="1"/>
      <c r="M1511" s="1"/>
      <c r="N1511" s="1"/>
      <c r="O1511" s="1"/>
      <c r="P1511" s="1"/>
      <c r="Q1511" s="1"/>
    </row>
    <row r="1512" spans="1:17" x14ac:dyDescent="0.25">
      <c r="A1512" s="2">
        <v>44754</v>
      </c>
      <c r="B1512">
        <v>33</v>
      </c>
      <c r="C1512">
        <v>16</v>
      </c>
      <c r="D1512">
        <v>368</v>
      </c>
      <c r="E1512">
        <v>1586</v>
      </c>
      <c r="F1512" s="1" t="s">
        <v>132</v>
      </c>
      <c r="G1512">
        <v>0</v>
      </c>
      <c r="H1512">
        <v>0</v>
      </c>
      <c r="I1512">
        <v>17</v>
      </c>
      <c r="J1512">
        <v>17</v>
      </c>
      <c r="K1512" s="33">
        <v>0</v>
      </c>
      <c r="L1512" s="1"/>
      <c r="M1512" s="1" t="str">
        <f>_xlfn.XLOOKUP(ocupacao[[#This Row],[UnidadeID]],unidades!$A:$A,unidades!$B:$B,"",0)</f>
        <v>Seggastro</v>
      </c>
      <c r="N1512" s="1" t="str">
        <f>_xlfn.XLOOKUP(ocupacao[[#This Row],[UnidadeID]],unidades!$A:$A,unidades!$C:$C,"",0)</f>
        <v>Nova Iguaçu</v>
      </c>
      <c r="O1512" s="1" t="str">
        <f>_xlfn.XLOOKUP(ocupacao[[#This Row],[EspecialidadeID]],especialidades!$A:$A,especialidades!$B:$B,"",0)</f>
        <v>GASTROENTEROLOGIA</v>
      </c>
      <c r="P1512" s="1" t="str">
        <f>TEXT(WEEKDAY(ocupacao[[#This Row],[Data]]),"ddd")</f>
        <v>ter</v>
      </c>
      <c r="Q1512" s="1">
        <f t="shared" si="23"/>
        <v>0</v>
      </c>
    </row>
    <row r="1513" spans="1:17" x14ac:dyDescent="0.25">
      <c r="A1513" s="2">
        <v>44754</v>
      </c>
      <c r="B1513">
        <v>33</v>
      </c>
      <c r="C1513">
        <v>16</v>
      </c>
      <c r="D1513">
        <v>368</v>
      </c>
      <c r="E1513">
        <v>2036</v>
      </c>
      <c r="F1513" s="1" t="s">
        <v>374</v>
      </c>
      <c r="G1513">
        <v>0</v>
      </c>
      <c r="H1513">
        <v>0</v>
      </c>
      <c r="I1513">
        <v>41</v>
      </c>
      <c r="J1513">
        <v>41</v>
      </c>
      <c r="K1513" s="33">
        <v>0</v>
      </c>
      <c r="L1513" s="1"/>
      <c r="M1513" s="1" t="str">
        <f>_xlfn.XLOOKUP(ocupacao[[#This Row],[UnidadeID]],unidades!$A:$A,unidades!$B:$B,"",0)</f>
        <v>Seggastro</v>
      </c>
      <c r="N1513" s="1" t="str">
        <f>_xlfn.XLOOKUP(ocupacao[[#This Row],[UnidadeID]],unidades!$A:$A,unidades!$C:$C,"",0)</f>
        <v>Nova Iguaçu</v>
      </c>
      <c r="O1513" s="1" t="str">
        <f>_xlfn.XLOOKUP(ocupacao[[#This Row],[EspecialidadeID]],especialidades!$A:$A,especialidades!$B:$B,"",0)</f>
        <v>GASTROENTEROLOGIA</v>
      </c>
      <c r="P1513" s="1" t="str">
        <f>TEXT(WEEKDAY(ocupacao[[#This Row],[Data]]),"ddd")</f>
        <v>ter</v>
      </c>
      <c r="Q1513" s="1">
        <f t="shared" si="23"/>
        <v>0</v>
      </c>
    </row>
    <row r="1514" spans="1:17" hidden="1" x14ac:dyDescent="0.25">
      <c r="A1514" s="2">
        <v>44754</v>
      </c>
      <c r="B1514">
        <v>33</v>
      </c>
      <c r="C1514">
        <v>16</v>
      </c>
      <c r="D1514">
        <v>368</v>
      </c>
      <c r="E1514">
        <v>5822</v>
      </c>
      <c r="F1514" s="1" t="s">
        <v>100</v>
      </c>
      <c r="G1514">
        <v>0</v>
      </c>
      <c r="H1514">
        <v>0</v>
      </c>
      <c r="I1514">
        <v>61</v>
      </c>
      <c r="J1514">
        <v>61</v>
      </c>
      <c r="K1514" s="33">
        <v>0</v>
      </c>
      <c r="L1514" s="1"/>
      <c r="M1514" s="1"/>
      <c r="N1514" s="1"/>
      <c r="O1514" s="1"/>
      <c r="P1514" s="1"/>
      <c r="Q1514" s="1"/>
    </row>
    <row r="1515" spans="1:17" x14ac:dyDescent="0.25">
      <c r="A1515" s="2">
        <v>44754</v>
      </c>
      <c r="B1515">
        <v>33</v>
      </c>
      <c r="C1515">
        <v>16</v>
      </c>
      <c r="D1515">
        <v>368</v>
      </c>
      <c r="E1515">
        <v>7900</v>
      </c>
      <c r="F1515" s="1" t="s">
        <v>348</v>
      </c>
      <c r="G1515">
        <v>0</v>
      </c>
      <c r="H1515">
        <v>0</v>
      </c>
      <c r="I1515">
        <v>41</v>
      </c>
      <c r="J1515">
        <v>41</v>
      </c>
      <c r="K1515" s="33">
        <v>0</v>
      </c>
      <c r="L1515" s="1"/>
      <c r="M1515" s="1" t="str">
        <f>_xlfn.XLOOKUP(ocupacao[[#This Row],[UnidadeID]],unidades!$A:$A,unidades!$B:$B,"",0)</f>
        <v>Seggastro</v>
      </c>
      <c r="N1515" s="1" t="str">
        <f>_xlfn.XLOOKUP(ocupacao[[#This Row],[UnidadeID]],unidades!$A:$A,unidades!$C:$C,"",0)</f>
        <v>Nova Iguaçu</v>
      </c>
      <c r="O1515" s="1" t="str">
        <f>_xlfn.XLOOKUP(ocupacao[[#This Row],[EspecialidadeID]],especialidades!$A:$A,especialidades!$B:$B,"",0)</f>
        <v>GASTROENTEROLOGIA</v>
      </c>
      <c r="P1515" s="1" t="str">
        <f>TEXT(WEEKDAY(ocupacao[[#This Row],[Data]]),"ddd")</f>
        <v>ter</v>
      </c>
      <c r="Q1515" s="1">
        <f t="shared" si="23"/>
        <v>0</v>
      </c>
    </row>
    <row r="1516" spans="1:17" x14ac:dyDescent="0.25">
      <c r="A1516" s="2">
        <v>44754</v>
      </c>
      <c r="B1516">
        <v>33</v>
      </c>
      <c r="C1516">
        <v>16</v>
      </c>
      <c r="D1516">
        <v>368</v>
      </c>
      <c r="E1516">
        <v>13660</v>
      </c>
      <c r="F1516" s="1" t="s">
        <v>112</v>
      </c>
      <c r="G1516">
        <v>0</v>
      </c>
      <c r="H1516">
        <v>0</v>
      </c>
      <c r="I1516">
        <v>41</v>
      </c>
      <c r="J1516">
        <v>41</v>
      </c>
      <c r="K1516" s="33">
        <v>0</v>
      </c>
      <c r="L1516" s="1"/>
      <c r="M1516" s="1" t="str">
        <f>_xlfn.XLOOKUP(ocupacao[[#This Row],[UnidadeID]],unidades!$A:$A,unidades!$B:$B,"",0)</f>
        <v>Seggastro</v>
      </c>
      <c r="N1516" s="1" t="str">
        <f>_xlfn.XLOOKUP(ocupacao[[#This Row],[UnidadeID]],unidades!$A:$A,unidades!$C:$C,"",0)</f>
        <v>Nova Iguaçu</v>
      </c>
      <c r="O1516" s="1" t="str">
        <f>_xlfn.XLOOKUP(ocupacao[[#This Row],[EspecialidadeID]],especialidades!$A:$A,especialidades!$B:$B,"",0)</f>
        <v>GASTROENTEROLOGIA</v>
      </c>
      <c r="P1516" s="1" t="str">
        <f>TEXT(WEEKDAY(ocupacao[[#This Row],[Data]]),"ddd")</f>
        <v>ter</v>
      </c>
      <c r="Q1516" s="1">
        <f t="shared" si="23"/>
        <v>0</v>
      </c>
    </row>
    <row r="1517" spans="1:17" x14ac:dyDescent="0.25">
      <c r="A1517" s="2">
        <v>44755</v>
      </c>
      <c r="B1517">
        <v>33</v>
      </c>
      <c r="C1517">
        <v>16</v>
      </c>
      <c r="D1517">
        <v>368</v>
      </c>
      <c r="E1517">
        <v>75</v>
      </c>
      <c r="F1517" s="1" t="s">
        <v>125</v>
      </c>
      <c r="G1517">
        <v>0</v>
      </c>
      <c r="H1517">
        <v>0</v>
      </c>
      <c r="I1517">
        <v>61</v>
      </c>
      <c r="J1517">
        <v>61</v>
      </c>
      <c r="K1517" s="33">
        <v>0</v>
      </c>
      <c r="L1517" s="1"/>
      <c r="M1517" s="1" t="str">
        <f>_xlfn.XLOOKUP(ocupacao[[#This Row],[UnidadeID]],unidades!$A:$A,unidades!$B:$B,"",0)</f>
        <v>Seggastro</v>
      </c>
      <c r="N1517" s="1" t="str">
        <f>_xlfn.XLOOKUP(ocupacao[[#This Row],[UnidadeID]],unidades!$A:$A,unidades!$C:$C,"",0)</f>
        <v>Nova Iguaçu</v>
      </c>
      <c r="O1517" s="1" t="str">
        <f>_xlfn.XLOOKUP(ocupacao[[#This Row],[EspecialidadeID]],especialidades!$A:$A,especialidades!$B:$B,"",0)</f>
        <v>GASTROENTEROLOGIA</v>
      </c>
      <c r="P1517" s="1" t="str">
        <f>TEXT(WEEKDAY(ocupacao[[#This Row],[Data]]),"ddd")</f>
        <v>qua</v>
      </c>
      <c r="Q1517" s="1">
        <f t="shared" si="23"/>
        <v>0</v>
      </c>
    </row>
    <row r="1518" spans="1:17" x14ac:dyDescent="0.25">
      <c r="A1518" s="2">
        <v>44755</v>
      </c>
      <c r="B1518">
        <v>33</v>
      </c>
      <c r="C1518">
        <v>16</v>
      </c>
      <c r="D1518">
        <v>368</v>
      </c>
      <c r="E1518">
        <v>1586</v>
      </c>
      <c r="F1518" s="1" t="s">
        <v>132</v>
      </c>
      <c r="G1518">
        <v>0</v>
      </c>
      <c r="H1518">
        <v>0</v>
      </c>
      <c r="I1518">
        <v>41</v>
      </c>
      <c r="J1518">
        <v>41</v>
      </c>
      <c r="K1518" s="33">
        <v>0</v>
      </c>
      <c r="L1518" s="1"/>
      <c r="M1518" s="1" t="str">
        <f>_xlfn.XLOOKUP(ocupacao[[#This Row],[UnidadeID]],unidades!$A:$A,unidades!$B:$B,"",0)</f>
        <v>Seggastro</v>
      </c>
      <c r="N1518" s="1" t="str">
        <f>_xlfn.XLOOKUP(ocupacao[[#This Row],[UnidadeID]],unidades!$A:$A,unidades!$C:$C,"",0)</f>
        <v>Nova Iguaçu</v>
      </c>
      <c r="O1518" s="1" t="str">
        <f>_xlfn.XLOOKUP(ocupacao[[#This Row],[EspecialidadeID]],especialidades!$A:$A,especialidades!$B:$B,"",0)</f>
        <v>GASTROENTEROLOGIA</v>
      </c>
      <c r="P1518" s="1" t="str">
        <f>TEXT(WEEKDAY(ocupacao[[#This Row],[Data]]),"ddd")</f>
        <v>qua</v>
      </c>
      <c r="Q1518" s="1">
        <f t="shared" si="23"/>
        <v>0</v>
      </c>
    </row>
    <row r="1519" spans="1:17" x14ac:dyDescent="0.25">
      <c r="A1519" s="2">
        <v>44755</v>
      </c>
      <c r="B1519">
        <v>33</v>
      </c>
      <c r="C1519">
        <v>16</v>
      </c>
      <c r="D1519">
        <v>368</v>
      </c>
      <c r="E1519">
        <v>2036</v>
      </c>
      <c r="F1519" s="1" t="s">
        <v>374</v>
      </c>
      <c r="G1519">
        <v>0</v>
      </c>
      <c r="H1519">
        <v>0</v>
      </c>
      <c r="I1519">
        <v>41</v>
      </c>
      <c r="J1519">
        <v>41</v>
      </c>
      <c r="K1519" s="33">
        <v>0</v>
      </c>
      <c r="L1519" s="1"/>
      <c r="M1519" s="1" t="str">
        <f>_xlfn.XLOOKUP(ocupacao[[#This Row],[UnidadeID]],unidades!$A:$A,unidades!$B:$B,"",0)</f>
        <v>Seggastro</v>
      </c>
      <c r="N1519" s="1" t="str">
        <f>_xlfn.XLOOKUP(ocupacao[[#This Row],[UnidadeID]],unidades!$A:$A,unidades!$C:$C,"",0)</f>
        <v>Nova Iguaçu</v>
      </c>
      <c r="O1519" s="1" t="str">
        <f>_xlfn.XLOOKUP(ocupacao[[#This Row],[EspecialidadeID]],especialidades!$A:$A,especialidades!$B:$B,"",0)</f>
        <v>GASTROENTEROLOGIA</v>
      </c>
      <c r="P1519" s="1" t="str">
        <f>TEXT(WEEKDAY(ocupacao[[#This Row],[Data]]),"ddd")</f>
        <v>qua</v>
      </c>
      <c r="Q1519" s="1">
        <f t="shared" si="23"/>
        <v>0</v>
      </c>
    </row>
    <row r="1520" spans="1:17" x14ac:dyDescent="0.25">
      <c r="A1520" s="2">
        <v>44755</v>
      </c>
      <c r="B1520">
        <v>33</v>
      </c>
      <c r="C1520">
        <v>16</v>
      </c>
      <c r="D1520">
        <v>368</v>
      </c>
      <c r="E1520">
        <v>5822</v>
      </c>
      <c r="F1520" s="1" t="s">
        <v>100</v>
      </c>
      <c r="G1520">
        <v>0</v>
      </c>
      <c r="H1520">
        <v>0</v>
      </c>
      <c r="I1520">
        <v>61</v>
      </c>
      <c r="J1520">
        <v>61</v>
      </c>
      <c r="K1520" s="33">
        <v>0</v>
      </c>
      <c r="L1520" s="1"/>
      <c r="M1520" s="1" t="str">
        <f>_xlfn.XLOOKUP(ocupacao[[#This Row],[UnidadeID]],unidades!$A:$A,unidades!$B:$B,"",0)</f>
        <v>Seggastro</v>
      </c>
      <c r="N1520" s="1" t="str">
        <f>_xlfn.XLOOKUP(ocupacao[[#This Row],[UnidadeID]],unidades!$A:$A,unidades!$C:$C,"",0)</f>
        <v>Nova Iguaçu</v>
      </c>
      <c r="O1520" s="1" t="str">
        <f>_xlfn.XLOOKUP(ocupacao[[#This Row],[EspecialidadeID]],especialidades!$A:$A,especialidades!$B:$B,"",0)</f>
        <v>GASTROENTEROLOGIA</v>
      </c>
      <c r="P1520" s="1" t="str">
        <f>TEXT(WEEKDAY(ocupacao[[#This Row],[Data]]),"ddd")</f>
        <v>qua</v>
      </c>
      <c r="Q1520" s="1">
        <f t="shared" si="23"/>
        <v>0</v>
      </c>
    </row>
    <row r="1521" spans="1:17" x14ac:dyDescent="0.25">
      <c r="A1521" s="2">
        <v>44755</v>
      </c>
      <c r="B1521">
        <v>11</v>
      </c>
      <c r="C1521">
        <v>16</v>
      </c>
      <c r="D1521">
        <v>14</v>
      </c>
      <c r="E1521">
        <v>5927</v>
      </c>
      <c r="F1521" s="1" t="s">
        <v>93</v>
      </c>
      <c r="G1521">
        <v>0</v>
      </c>
      <c r="H1521">
        <v>0</v>
      </c>
      <c r="I1521">
        <v>21</v>
      </c>
      <c r="J1521">
        <v>21</v>
      </c>
      <c r="K1521" s="33">
        <v>0</v>
      </c>
      <c r="L1521" s="1"/>
      <c r="M1521" s="1" t="str">
        <f>_xlfn.XLOOKUP(ocupacao[[#This Row],[UnidadeID]],unidades!$A:$A,unidades!$B:$B,"",0)</f>
        <v>Filial 2 - 11º</v>
      </c>
      <c r="N1521" s="1" t="str">
        <f>_xlfn.XLOOKUP(ocupacao[[#This Row],[UnidadeID]],unidades!$A:$A,unidades!$C:$C,"",0)</f>
        <v>Nova Iguaçu</v>
      </c>
      <c r="O1521" s="1" t="str">
        <f>_xlfn.XLOOKUP(ocupacao[[#This Row],[EspecialidadeID]],especialidades!$A:$A,especialidades!$B:$B,"",0)</f>
        <v>GASTROENTEROLOGIA</v>
      </c>
      <c r="P1521" s="1" t="str">
        <f>TEXT(WEEKDAY(ocupacao[[#This Row],[Data]]),"ddd")</f>
        <v>qua</v>
      </c>
      <c r="Q1521" s="1">
        <f t="shared" si="23"/>
        <v>0</v>
      </c>
    </row>
    <row r="1522" spans="1:17" x14ac:dyDescent="0.25">
      <c r="A1522" s="2">
        <v>44755</v>
      </c>
      <c r="B1522">
        <v>33</v>
      </c>
      <c r="C1522">
        <v>16</v>
      </c>
      <c r="D1522">
        <v>368</v>
      </c>
      <c r="E1522">
        <v>7900</v>
      </c>
      <c r="F1522" s="1" t="s">
        <v>348</v>
      </c>
      <c r="G1522">
        <v>0</v>
      </c>
      <c r="H1522">
        <v>0</v>
      </c>
      <c r="I1522">
        <v>41</v>
      </c>
      <c r="J1522">
        <v>41</v>
      </c>
      <c r="K1522" s="33">
        <v>0</v>
      </c>
      <c r="L1522" s="1"/>
      <c r="M1522" s="1" t="str">
        <f>_xlfn.XLOOKUP(ocupacao[[#This Row],[UnidadeID]],unidades!$A:$A,unidades!$B:$B,"",0)</f>
        <v>Seggastro</v>
      </c>
      <c r="N1522" s="1" t="str">
        <f>_xlfn.XLOOKUP(ocupacao[[#This Row],[UnidadeID]],unidades!$A:$A,unidades!$C:$C,"",0)</f>
        <v>Nova Iguaçu</v>
      </c>
      <c r="O1522" s="1" t="str">
        <f>_xlfn.XLOOKUP(ocupacao[[#This Row],[EspecialidadeID]],especialidades!$A:$A,especialidades!$B:$B,"",0)</f>
        <v>GASTROENTEROLOGIA</v>
      </c>
      <c r="P1522" s="1" t="str">
        <f>TEXT(WEEKDAY(ocupacao[[#This Row],[Data]]),"ddd")</f>
        <v>qua</v>
      </c>
      <c r="Q1522" s="1">
        <f t="shared" si="23"/>
        <v>0</v>
      </c>
    </row>
    <row r="1523" spans="1:17" hidden="1" x14ac:dyDescent="0.25">
      <c r="A1523" s="2"/>
      <c r="F1523" s="1"/>
      <c r="K1523" s="33"/>
      <c r="L1523" s="1"/>
      <c r="M1523" s="1"/>
      <c r="N1523" s="1"/>
      <c r="O1523" s="1"/>
      <c r="P1523" s="1"/>
      <c r="Q1523" s="1"/>
    </row>
    <row r="1524" spans="1:17" hidden="1" x14ac:dyDescent="0.25">
      <c r="A1524" s="2"/>
      <c r="F1524" s="1"/>
      <c r="K1524" s="33"/>
      <c r="L1524" s="1"/>
      <c r="M1524" s="1"/>
      <c r="N1524" s="1"/>
      <c r="O1524" s="1"/>
      <c r="P1524" s="1"/>
      <c r="Q1524" s="1"/>
    </row>
    <row r="1525" spans="1:17" hidden="1" x14ac:dyDescent="0.25">
      <c r="A1525" s="2">
        <v>44755</v>
      </c>
      <c r="B1525">
        <v>33</v>
      </c>
      <c r="C1525">
        <v>16</v>
      </c>
      <c r="D1525">
        <v>368</v>
      </c>
      <c r="E1525">
        <v>13660</v>
      </c>
      <c r="F1525" s="1" t="s">
        <v>112</v>
      </c>
      <c r="G1525">
        <v>0</v>
      </c>
      <c r="H1525">
        <v>0</v>
      </c>
      <c r="I1525">
        <v>27</v>
      </c>
      <c r="J1525">
        <v>27</v>
      </c>
      <c r="K1525" s="33">
        <v>0</v>
      </c>
      <c r="L1525" s="1"/>
      <c r="M1525" s="1"/>
      <c r="N1525" s="1"/>
      <c r="O1525" s="1"/>
      <c r="P1525" s="1"/>
      <c r="Q1525" s="1"/>
    </row>
    <row r="1526" spans="1:17" hidden="1" x14ac:dyDescent="0.25">
      <c r="A1526" s="2">
        <v>44756</v>
      </c>
      <c r="B1526">
        <v>33</v>
      </c>
      <c r="C1526">
        <v>16</v>
      </c>
      <c r="D1526">
        <v>368</v>
      </c>
      <c r="E1526">
        <v>75</v>
      </c>
      <c r="F1526" s="1" t="s">
        <v>125</v>
      </c>
      <c r="G1526">
        <v>0</v>
      </c>
      <c r="H1526">
        <v>0</v>
      </c>
      <c r="I1526">
        <v>61</v>
      </c>
      <c r="J1526">
        <v>61</v>
      </c>
      <c r="K1526" s="33">
        <v>0</v>
      </c>
      <c r="L1526" s="1"/>
      <c r="M1526" s="1"/>
      <c r="N1526" s="1"/>
      <c r="O1526" s="1"/>
      <c r="P1526" s="1"/>
      <c r="Q1526" s="1"/>
    </row>
    <row r="1527" spans="1:17" x14ac:dyDescent="0.25">
      <c r="A1527" s="2">
        <v>44756</v>
      </c>
      <c r="B1527">
        <v>33</v>
      </c>
      <c r="C1527">
        <v>16</v>
      </c>
      <c r="D1527">
        <v>368</v>
      </c>
      <c r="E1527">
        <v>1586</v>
      </c>
      <c r="F1527" s="1" t="s">
        <v>132</v>
      </c>
      <c r="G1527">
        <v>0</v>
      </c>
      <c r="H1527">
        <v>0</v>
      </c>
      <c r="I1527">
        <v>41</v>
      </c>
      <c r="J1527">
        <v>41</v>
      </c>
      <c r="K1527" s="33">
        <v>0</v>
      </c>
      <c r="L1527" s="1"/>
      <c r="M1527" s="1" t="str">
        <f>_xlfn.XLOOKUP(ocupacao[[#This Row],[UnidadeID]],unidades!$A:$A,unidades!$B:$B,"",0)</f>
        <v>Seggastro</v>
      </c>
      <c r="N1527" s="1" t="str">
        <f>_xlfn.XLOOKUP(ocupacao[[#This Row],[UnidadeID]],unidades!$A:$A,unidades!$C:$C,"",0)</f>
        <v>Nova Iguaçu</v>
      </c>
      <c r="O1527" s="1" t="str">
        <f>_xlfn.XLOOKUP(ocupacao[[#This Row],[EspecialidadeID]],especialidades!$A:$A,especialidades!$B:$B,"",0)</f>
        <v>GASTROENTEROLOGIA</v>
      </c>
      <c r="P1527" s="1" t="str">
        <f>TEXT(WEEKDAY(ocupacao[[#This Row],[Data]]),"ddd")</f>
        <v>qui</v>
      </c>
      <c r="Q1527" s="1">
        <f t="shared" si="23"/>
        <v>0</v>
      </c>
    </row>
    <row r="1528" spans="1:17" x14ac:dyDescent="0.25">
      <c r="A1528" s="2">
        <v>44756</v>
      </c>
      <c r="B1528">
        <v>33</v>
      </c>
      <c r="C1528">
        <v>16</v>
      </c>
      <c r="D1528">
        <v>368</v>
      </c>
      <c r="E1528">
        <v>2036</v>
      </c>
      <c r="F1528" s="1" t="s">
        <v>374</v>
      </c>
      <c r="G1528">
        <v>0</v>
      </c>
      <c r="H1528">
        <v>0</v>
      </c>
      <c r="I1528">
        <v>41</v>
      </c>
      <c r="J1528">
        <v>41</v>
      </c>
      <c r="K1528" s="33">
        <v>0</v>
      </c>
      <c r="L1528" s="1"/>
      <c r="M1528" s="1" t="str">
        <f>_xlfn.XLOOKUP(ocupacao[[#This Row],[UnidadeID]],unidades!$A:$A,unidades!$B:$B,"",0)</f>
        <v>Seggastro</v>
      </c>
      <c r="N1528" s="1" t="str">
        <f>_xlfn.XLOOKUP(ocupacao[[#This Row],[UnidadeID]],unidades!$A:$A,unidades!$C:$C,"",0)</f>
        <v>Nova Iguaçu</v>
      </c>
      <c r="O1528" s="1" t="str">
        <f>_xlfn.XLOOKUP(ocupacao[[#This Row],[EspecialidadeID]],especialidades!$A:$A,especialidades!$B:$B,"",0)</f>
        <v>GASTROENTEROLOGIA</v>
      </c>
      <c r="P1528" s="1" t="str">
        <f>TEXT(WEEKDAY(ocupacao[[#This Row],[Data]]),"ddd")</f>
        <v>qui</v>
      </c>
      <c r="Q1528" s="1">
        <f t="shared" si="23"/>
        <v>0</v>
      </c>
    </row>
    <row r="1529" spans="1:17" x14ac:dyDescent="0.25">
      <c r="A1529" s="2">
        <v>44756</v>
      </c>
      <c r="B1529">
        <v>33</v>
      </c>
      <c r="C1529">
        <v>16</v>
      </c>
      <c r="D1529">
        <v>11</v>
      </c>
      <c r="E1529">
        <v>5822</v>
      </c>
      <c r="F1529" s="1" t="s">
        <v>100</v>
      </c>
      <c r="G1529">
        <v>0</v>
      </c>
      <c r="H1529">
        <v>1</v>
      </c>
      <c r="I1529">
        <v>0</v>
      </c>
      <c r="J1529">
        <v>1</v>
      </c>
      <c r="K1529" s="33">
        <v>1</v>
      </c>
      <c r="L1529" s="1"/>
      <c r="M1529" s="1" t="str">
        <f>_xlfn.XLOOKUP(ocupacao[[#This Row],[UnidadeID]],unidades!$A:$A,unidades!$B:$B,"",0)</f>
        <v>Seggastro</v>
      </c>
      <c r="N1529" s="1" t="str">
        <f>_xlfn.XLOOKUP(ocupacao[[#This Row],[UnidadeID]],unidades!$A:$A,unidades!$C:$C,"",0)</f>
        <v>Nova Iguaçu</v>
      </c>
      <c r="O1529" s="1" t="str">
        <f>_xlfn.XLOOKUP(ocupacao[[#This Row],[EspecialidadeID]],especialidades!$A:$A,especialidades!$B:$B,"",0)</f>
        <v>GASTROENTEROLOGIA</v>
      </c>
      <c r="P1529" s="1" t="str">
        <f>TEXT(WEEKDAY(ocupacao[[#This Row],[Data]]),"ddd")</f>
        <v>qui</v>
      </c>
      <c r="Q1529" s="1">
        <f t="shared" si="23"/>
        <v>0</v>
      </c>
    </row>
    <row r="1530" spans="1:17" hidden="1" x14ac:dyDescent="0.25">
      <c r="A1530" s="2"/>
      <c r="F1530" s="1"/>
      <c r="K1530" s="33"/>
      <c r="L1530" s="1"/>
      <c r="M1530" s="1"/>
      <c r="N1530" s="1"/>
      <c r="O1530" s="1"/>
      <c r="P1530" s="1"/>
      <c r="Q1530" s="1"/>
    </row>
    <row r="1531" spans="1:17" x14ac:dyDescent="0.25">
      <c r="A1531" s="2">
        <v>44756</v>
      </c>
      <c r="B1531">
        <v>33</v>
      </c>
      <c r="C1531">
        <v>16</v>
      </c>
      <c r="D1531">
        <v>368</v>
      </c>
      <c r="E1531">
        <v>5822</v>
      </c>
      <c r="F1531" s="1" t="s">
        <v>100</v>
      </c>
      <c r="G1531">
        <v>0</v>
      </c>
      <c r="H1531">
        <v>0</v>
      </c>
      <c r="I1531">
        <v>25</v>
      </c>
      <c r="J1531">
        <v>25</v>
      </c>
      <c r="K1531" s="33">
        <v>0</v>
      </c>
      <c r="L1531" s="1"/>
      <c r="M1531" s="1" t="str">
        <f>_xlfn.XLOOKUP(ocupacao[[#This Row],[UnidadeID]],unidades!$A:$A,unidades!$B:$B,"",0)</f>
        <v>Seggastro</v>
      </c>
      <c r="N1531" s="1" t="str">
        <f>_xlfn.XLOOKUP(ocupacao[[#This Row],[UnidadeID]],unidades!$A:$A,unidades!$C:$C,"",0)</f>
        <v>Nova Iguaçu</v>
      </c>
      <c r="O1531" s="1" t="str">
        <f>_xlfn.XLOOKUP(ocupacao[[#This Row],[EspecialidadeID]],especialidades!$A:$A,especialidades!$B:$B,"",0)</f>
        <v>GASTROENTEROLOGIA</v>
      </c>
      <c r="P1531" s="1" t="str">
        <f>TEXT(WEEKDAY(ocupacao[[#This Row],[Data]]),"ddd")</f>
        <v>qui</v>
      </c>
      <c r="Q1531" s="1">
        <f t="shared" si="23"/>
        <v>0</v>
      </c>
    </row>
    <row r="1532" spans="1:17" x14ac:dyDescent="0.25">
      <c r="A1532" s="2">
        <v>44756</v>
      </c>
      <c r="B1532">
        <v>33</v>
      </c>
      <c r="C1532">
        <v>16</v>
      </c>
      <c r="D1532">
        <v>368</v>
      </c>
      <c r="E1532">
        <v>7900</v>
      </c>
      <c r="F1532" s="1" t="s">
        <v>348</v>
      </c>
      <c r="G1532">
        <v>0</v>
      </c>
      <c r="H1532">
        <v>0</v>
      </c>
      <c r="I1532">
        <v>41</v>
      </c>
      <c r="J1532">
        <v>41</v>
      </c>
      <c r="K1532" s="33">
        <v>0</v>
      </c>
      <c r="L1532" s="1"/>
      <c r="M1532" s="1" t="str">
        <f>_xlfn.XLOOKUP(ocupacao[[#This Row],[UnidadeID]],unidades!$A:$A,unidades!$B:$B,"",0)</f>
        <v>Seggastro</v>
      </c>
      <c r="N1532" s="1" t="str">
        <f>_xlfn.XLOOKUP(ocupacao[[#This Row],[UnidadeID]],unidades!$A:$A,unidades!$C:$C,"",0)</f>
        <v>Nova Iguaçu</v>
      </c>
      <c r="O1532" s="1" t="str">
        <f>_xlfn.XLOOKUP(ocupacao[[#This Row],[EspecialidadeID]],especialidades!$A:$A,especialidades!$B:$B,"",0)</f>
        <v>GASTROENTEROLOGIA</v>
      </c>
      <c r="P1532" s="1" t="str">
        <f>TEXT(WEEKDAY(ocupacao[[#This Row],[Data]]),"ddd")</f>
        <v>qui</v>
      </c>
      <c r="Q1532" s="1">
        <f t="shared" si="23"/>
        <v>0</v>
      </c>
    </row>
    <row r="1533" spans="1:17" x14ac:dyDescent="0.25">
      <c r="A1533" s="2">
        <v>44756</v>
      </c>
      <c r="B1533">
        <v>0</v>
      </c>
      <c r="C1533">
        <v>16</v>
      </c>
      <c r="D1533">
        <v>346</v>
      </c>
      <c r="E1533">
        <v>13660</v>
      </c>
      <c r="F1533" s="1" t="s">
        <v>112</v>
      </c>
      <c r="G1533">
        <v>0</v>
      </c>
      <c r="H1533">
        <v>0</v>
      </c>
      <c r="I1533">
        <v>108</v>
      </c>
      <c r="J1533">
        <v>108</v>
      </c>
      <c r="K1533" s="33">
        <v>0</v>
      </c>
      <c r="L1533" s="1"/>
      <c r="M1533" s="1" t="str">
        <f>_xlfn.XLOOKUP(ocupacao[[#This Row],[UnidadeID]],unidades!$A:$A,unidades!$B:$B,"",0)</f>
        <v>Matriz</v>
      </c>
      <c r="N1533" s="1" t="str">
        <f>_xlfn.XLOOKUP(ocupacao[[#This Row],[UnidadeID]],unidades!$A:$A,unidades!$C:$C,"",0)</f>
        <v>Nova Iguaçu</v>
      </c>
      <c r="O1533" s="1" t="str">
        <f>_xlfn.XLOOKUP(ocupacao[[#This Row],[EspecialidadeID]],especialidades!$A:$A,especialidades!$B:$B,"",0)</f>
        <v>GASTROENTEROLOGIA</v>
      </c>
      <c r="P1533" s="1" t="str">
        <f>TEXT(WEEKDAY(ocupacao[[#This Row],[Data]]),"ddd")</f>
        <v>qui</v>
      </c>
      <c r="Q1533" s="1">
        <f t="shared" si="23"/>
        <v>0</v>
      </c>
    </row>
    <row r="1534" spans="1:17" x14ac:dyDescent="0.25">
      <c r="A1534" s="2"/>
      <c r="F1534" s="1" t="s">
        <v>106</v>
      </c>
      <c r="K1534" s="33"/>
      <c r="L1534" s="1"/>
      <c r="M1534" s="1">
        <f>_xlfn.XLOOKUP(ocupacao[[#This Row],[UnidadeID]],unidades!$A:$A,unidades!$B:$B,"",0)</f>
        <v>0</v>
      </c>
      <c r="N1534" s="1">
        <f>_xlfn.XLOOKUP(ocupacao[[#This Row],[UnidadeID]],unidades!$A:$A,unidades!$C:$C,"",0)</f>
        <v>0</v>
      </c>
      <c r="O1534" s="1">
        <f>_xlfn.XLOOKUP(ocupacao[[#This Row],[EspecialidadeID]],especialidades!$A:$A,especialidades!$B:$B,"",0)</f>
        <v>0</v>
      </c>
      <c r="P1534" s="1" t="str">
        <f>TEXT(WEEKDAY(ocupacao[[#This Row],[Data]]),"ddd")</f>
        <v>sáb</v>
      </c>
      <c r="Q1534" s="1">
        <f t="shared" si="23"/>
        <v>0</v>
      </c>
    </row>
    <row r="1535" spans="1:17" x14ac:dyDescent="0.25">
      <c r="A1535" s="2">
        <v>44747</v>
      </c>
      <c r="B1535">
        <v>11</v>
      </c>
      <c r="C1535">
        <v>18</v>
      </c>
      <c r="D1535">
        <v>18</v>
      </c>
      <c r="E1535">
        <v>7290</v>
      </c>
      <c r="F1535" s="1" t="s">
        <v>331</v>
      </c>
      <c r="G1535">
        <v>6</v>
      </c>
      <c r="H1535">
        <v>0</v>
      </c>
      <c r="I1535">
        <v>33</v>
      </c>
      <c r="J1535">
        <v>39</v>
      </c>
      <c r="K1535" s="33">
        <v>0.15379999999999999</v>
      </c>
      <c r="L1535" s="1"/>
      <c r="M1535" s="1" t="str">
        <f>_xlfn.XLOOKUP(ocupacao[[#This Row],[UnidadeID]],unidades!$A:$A,unidades!$B:$B,"",0)</f>
        <v>Filial 2 - 11º</v>
      </c>
      <c r="N1535" s="1" t="str">
        <f>_xlfn.XLOOKUP(ocupacao[[#This Row],[UnidadeID]],unidades!$A:$A,unidades!$C:$C,"",0)</f>
        <v>Nova Iguaçu</v>
      </c>
      <c r="O1535" s="1" t="str">
        <f>_xlfn.XLOOKUP(ocupacao[[#This Row],[EspecialidadeID]],especialidades!$A:$A,especialidades!$B:$B,"",0)</f>
        <v>PNEUMOLOGIA</v>
      </c>
      <c r="P1535" s="1" t="str">
        <f>TEXT(WEEKDAY(ocupacao[[#This Row],[Data]]),"ddd")</f>
        <v>ter</v>
      </c>
      <c r="Q1535" s="1">
        <f t="shared" si="23"/>
        <v>1</v>
      </c>
    </row>
    <row r="1536" spans="1:17" x14ac:dyDescent="0.25">
      <c r="A1536" s="2">
        <v>44747</v>
      </c>
      <c r="B1536">
        <v>11</v>
      </c>
      <c r="C1536">
        <v>18</v>
      </c>
      <c r="D1536">
        <v>18</v>
      </c>
      <c r="E1536">
        <v>7290</v>
      </c>
      <c r="F1536" s="1" t="s">
        <v>331</v>
      </c>
      <c r="G1536">
        <v>6</v>
      </c>
      <c r="H1536">
        <v>1</v>
      </c>
      <c r="I1536">
        <v>33</v>
      </c>
      <c r="J1536">
        <v>40</v>
      </c>
      <c r="K1536" s="33">
        <v>0.17499999999999999</v>
      </c>
      <c r="L1536" s="1"/>
      <c r="M1536" s="1" t="str">
        <f>_xlfn.XLOOKUP(ocupacao[[#This Row],[UnidadeID]],unidades!$A:$A,unidades!$B:$B,"",0)</f>
        <v>Filial 2 - 11º</v>
      </c>
      <c r="N1536" s="1" t="str">
        <f>_xlfn.XLOOKUP(ocupacao[[#This Row],[UnidadeID]],unidades!$A:$A,unidades!$C:$C,"",0)</f>
        <v>Nova Iguaçu</v>
      </c>
      <c r="O1536" s="1" t="str">
        <f>_xlfn.XLOOKUP(ocupacao[[#This Row],[EspecialidadeID]],especialidades!$A:$A,especialidades!$B:$B,"",0)</f>
        <v>PNEUMOLOGIA</v>
      </c>
      <c r="P1536" s="1" t="str">
        <f>TEXT(WEEKDAY(ocupacao[[#This Row],[Data]]),"ddd")</f>
        <v>ter</v>
      </c>
      <c r="Q1536" s="1">
        <f t="shared" si="23"/>
        <v>0</v>
      </c>
    </row>
    <row r="1537" spans="1:17" hidden="1" x14ac:dyDescent="0.25">
      <c r="A1537" s="2"/>
      <c r="F1537" s="1"/>
      <c r="K1537" s="33"/>
      <c r="L1537" s="1"/>
      <c r="M1537" s="1"/>
      <c r="N1537" s="1"/>
      <c r="O1537" s="1"/>
      <c r="P1537" s="1"/>
      <c r="Q1537" s="1"/>
    </row>
    <row r="1538" spans="1:17" hidden="1" x14ac:dyDescent="0.25">
      <c r="A1538" s="2"/>
      <c r="F1538" s="1"/>
      <c r="K1538" s="33"/>
      <c r="L1538" s="1"/>
      <c r="M1538" s="1"/>
      <c r="N1538" s="1"/>
      <c r="O1538" s="1"/>
      <c r="P1538" s="1"/>
      <c r="Q1538" s="1"/>
    </row>
    <row r="1539" spans="1:17" x14ac:dyDescent="0.25">
      <c r="A1539" s="2">
        <v>44750</v>
      </c>
      <c r="B1539">
        <v>11</v>
      </c>
      <c r="C1539">
        <v>18</v>
      </c>
      <c r="D1539">
        <v>18</v>
      </c>
      <c r="E1539">
        <v>10717</v>
      </c>
      <c r="F1539" s="1" t="s">
        <v>332</v>
      </c>
      <c r="G1539">
        <v>0</v>
      </c>
      <c r="H1539">
        <v>1</v>
      </c>
      <c r="I1539">
        <v>13</v>
      </c>
      <c r="J1539">
        <v>14</v>
      </c>
      <c r="K1539" s="33">
        <v>7.1400000000000005E-2</v>
      </c>
      <c r="L1539" s="1"/>
      <c r="M1539" s="1" t="str">
        <f>_xlfn.XLOOKUP(ocupacao[[#This Row],[UnidadeID]],unidades!$A:$A,unidades!$B:$B,"",0)</f>
        <v>Filial 2 - 11º</v>
      </c>
      <c r="N1539" s="1" t="str">
        <f>_xlfn.XLOOKUP(ocupacao[[#This Row],[UnidadeID]],unidades!$A:$A,unidades!$C:$C,"",0)</f>
        <v>Nova Iguaçu</v>
      </c>
      <c r="O1539" s="1" t="str">
        <f>_xlfn.XLOOKUP(ocupacao[[#This Row],[EspecialidadeID]],especialidades!$A:$A,especialidades!$B:$B,"",0)</f>
        <v>PNEUMOLOGIA</v>
      </c>
      <c r="P1539" s="1" t="str">
        <f>TEXT(WEEKDAY(ocupacao[[#This Row],[Data]]),"ddd")</f>
        <v>sex</v>
      </c>
      <c r="Q1539" s="1">
        <f t="shared" ref="Q1539:Q1600" si="24">IF(F1539=F1540,1,0)</f>
        <v>0</v>
      </c>
    </row>
    <row r="1540" spans="1:17" x14ac:dyDescent="0.25">
      <c r="A1540" s="2">
        <v>44754</v>
      </c>
      <c r="B1540">
        <v>11</v>
      </c>
      <c r="C1540">
        <v>18</v>
      </c>
      <c r="D1540">
        <v>18</v>
      </c>
      <c r="E1540">
        <v>7290</v>
      </c>
      <c r="F1540" s="1" t="s">
        <v>331</v>
      </c>
      <c r="G1540">
        <v>6</v>
      </c>
      <c r="H1540">
        <v>0</v>
      </c>
      <c r="I1540">
        <v>34</v>
      </c>
      <c r="J1540">
        <v>40</v>
      </c>
      <c r="K1540" s="33">
        <v>0.15</v>
      </c>
      <c r="L1540" s="1"/>
      <c r="M1540" s="1" t="str">
        <f>_xlfn.XLOOKUP(ocupacao[[#This Row],[UnidadeID]],unidades!$A:$A,unidades!$B:$B,"",0)</f>
        <v>Filial 2 - 11º</v>
      </c>
      <c r="N1540" s="1" t="str">
        <f>_xlfn.XLOOKUP(ocupacao[[#This Row],[UnidadeID]],unidades!$A:$A,unidades!$C:$C,"",0)</f>
        <v>Nova Iguaçu</v>
      </c>
      <c r="O1540" s="1" t="str">
        <f>_xlfn.XLOOKUP(ocupacao[[#This Row],[EspecialidadeID]],especialidades!$A:$A,especialidades!$B:$B,"",0)</f>
        <v>PNEUMOLOGIA</v>
      </c>
      <c r="P1540" s="1" t="str">
        <f>TEXT(WEEKDAY(ocupacao[[#This Row],[Data]]),"ddd")</f>
        <v>ter</v>
      </c>
      <c r="Q1540" s="1">
        <f t="shared" si="24"/>
        <v>0</v>
      </c>
    </row>
    <row r="1541" spans="1:17" x14ac:dyDescent="0.25">
      <c r="A1541" s="2">
        <v>44756</v>
      </c>
      <c r="B1541">
        <v>24</v>
      </c>
      <c r="C1541">
        <v>18</v>
      </c>
      <c r="D1541">
        <v>69</v>
      </c>
      <c r="E1541">
        <v>10717</v>
      </c>
      <c r="F1541" s="1" t="s">
        <v>332</v>
      </c>
      <c r="G1541">
        <v>0</v>
      </c>
      <c r="H1541">
        <v>0</v>
      </c>
      <c r="I1541">
        <v>16</v>
      </c>
      <c r="J1541">
        <v>16</v>
      </c>
      <c r="K1541" s="33">
        <v>0</v>
      </c>
      <c r="L1541" s="1"/>
      <c r="M1541" s="1" t="str">
        <f>_xlfn.XLOOKUP(ocupacao[[#This Row],[UnidadeID]],unidades!$A:$A,unidades!$B:$B,"",0)</f>
        <v>Nilópolis</v>
      </c>
      <c r="N1541" s="1" t="str">
        <f>_xlfn.XLOOKUP(ocupacao[[#This Row],[UnidadeID]],unidades!$A:$A,unidades!$C:$C,"",0)</f>
        <v>Nilópolis</v>
      </c>
      <c r="O1541" s="1" t="str">
        <f>_xlfn.XLOOKUP(ocupacao[[#This Row],[EspecialidadeID]],especialidades!$A:$A,especialidades!$B:$B,"",0)</f>
        <v>PNEUMOLOGIA</v>
      </c>
      <c r="P1541" s="1" t="str">
        <f>TEXT(WEEKDAY(ocupacao[[#This Row],[Data]]),"ddd")</f>
        <v>qui</v>
      </c>
      <c r="Q1541" s="1">
        <f t="shared" si="24"/>
        <v>0</v>
      </c>
    </row>
    <row r="1542" spans="1:17" hidden="1" x14ac:dyDescent="0.25">
      <c r="A1542" s="2"/>
      <c r="F1542" s="1" t="s">
        <v>106</v>
      </c>
      <c r="K1542" s="33"/>
      <c r="L1542" s="1"/>
      <c r="M1542" s="1"/>
      <c r="N1542" s="1"/>
      <c r="O1542" s="1"/>
      <c r="P1542" s="1"/>
      <c r="Q1542" s="1"/>
    </row>
    <row r="1543" spans="1:17" hidden="1" x14ac:dyDescent="0.25">
      <c r="A1543" s="2"/>
      <c r="F1543" s="1"/>
      <c r="K1543" s="33"/>
      <c r="L1543" s="1"/>
      <c r="M1543" s="1"/>
      <c r="N1543" s="1"/>
      <c r="O1543" s="1"/>
      <c r="P1543" s="1"/>
      <c r="Q1543" s="1"/>
    </row>
    <row r="1544" spans="1:17" x14ac:dyDescent="0.25">
      <c r="A1544" s="2">
        <v>44746</v>
      </c>
      <c r="B1544">
        <v>22</v>
      </c>
      <c r="C1544">
        <v>21</v>
      </c>
      <c r="D1544">
        <v>41</v>
      </c>
      <c r="E1544">
        <v>81</v>
      </c>
      <c r="F1544" s="1" t="s">
        <v>333</v>
      </c>
      <c r="G1544">
        <v>0</v>
      </c>
      <c r="H1544">
        <v>4</v>
      </c>
      <c r="I1544">
        <v>47</v>
      </c>
      <c r="J1544">
        <v>51</v>
      </c>
      <c r="K1544" s="33">
        <v>7.8399999999999997E-2</v>
      </c>
      <c r="L1544" s="1"/>
      <c r="M1544" s="1" t="str">
        <f>_xlfn.XLOOKUP(ocupacao[[#This Row],[UnidadeID]],unidades!$A:$A,unidades!$B:$B,"",0)</f>
        <v>Filial 1</v>
      </c>
      <c r="N1544" s="1" t="str">
        <f>_xlfn.XLOOKUP(ocupacao[[#This Row],[UnidadeID]],unidades!$A:$A,unidades!$C:$C,"",0)</f>
        <v>Nova Iguaçu</v>
      </c>
      <c r="O1544" s="1" t="str">
        <f>_xlfn.XLOOKUP(ocupacao[[#This Row],[EspecialidadeID]],especialidades!$A:$A,especialidades!$B:$B,"",0)</f>
        <v>GINECOLOGIA</v>
      </c>
      <c r="P1544" s="1" t="str">
        <f>TEXT(WEEKDAY(ocupacao[[#This Row],[Data]]),"ddd")</f>
        <v>seg</v>
      </c>
      <c r="Q1544" s="1">
        <f t="shared" si="24"/>
        <v>0</v>
      </c>
    </row>
    <row r="1545" spans="1:17" x14ac:dyDescent="0.25">
      <c r="A1545" s="2">
        <v>44746</v>
      </c>
      <c r="B1545">
        <v>22</v>
      </c>
      <c r="C1545">
        <v>21</v>
      </c>
      <c r="D1545">
        <v>43</v>
      </c>
      <c r="E1545">
        <v>3092</v>
      </c>
      <c r="F1545" s="1" t="s">
        <v>338</v>
      </c>
      <c r="G1545">
        <v>0</v>
      </c>
      <c r="H1545">
        <v>0</v>
      </c>
      <c r="I1545">
        <v>16</v>
      </c>
      <c r="J1545">
        <v>16</v>
      </c>
      <c r="K1545" s="33">
        <v>0</v>
      </c>
      <c r="L1545" s="1"/>
      <c r="M1545" s="1" t="str">
        <f>_xlfn.XLOOKUP(ocupacao[[#This Row],[UnidadeID]],unidades!$A:$A,unidades!$B:$B,"",0)</f>
        <v>Filial 1</v>
      </c>
      <c r="N1545" s="1" t="str">
        <f>_xlfn.XLOOKUP(ocupacao[[#This Row],[UnidadeID]],unidades!$A:$A,unidades!$C:$C,"",0)</f>
        <v>Nova Iguaçu</v>
      </c>
      <c r="O1545" s="1" t="str">
        <f>_xlfn.XLOOKUP(ocupacao[[#This Row],[EspecialidadeID]],especialidades!$A:$A,especialidades!$B:$B,"",0)</f>
        <v>GINECOLOGIA</v>
      </c>
      <c r="P1545" s="1" t="str">
        <f>TEXT(WEEKDAY(ocupacao[[#This Row],[Data]]),"ddd")</f>
        <v>seg</v>
      </c>
      <c r="Q1545" s="1">
        <f t="shared" si="24"/>
        <v>0</v>
      </c>
    </row>
    <row r="1546" spans="1:17" hidden="1" x14ac:dyDescent="0.25">
      <c r="A1546" s="2"/>
      <c r="F1546" s="1"/>
      <c r="K1546" s="33"/>
      <c r="L1546" s="1"/>
      <c r="M1546" s="1"/>
      <c r="N1546" s="1"/>
      <c r="O1546" s="1"/>
      <c r="P1546" s="1"/>
      <c r="Q1546" s="1"/>
    </row>
    <row r="1547" spans="1:17" x14ac:dyDescent="0.25">
      <c r="A1547" s="2">
        <v>44746</v>
      </c>
      <c r="B1547">
        <v>18</v>
      </c>
      <c r="C1547">
        <v>21</v>
      </c>
      <c r="D1547">
        <v>86</v>
      </c>
      <c r="E1547">
        <v>6430</v>
      </c>
      <c r="F1547" s="1" t="s">
        <v>337</v>
      </c>
      <c r="G1547">
        <v>0</v>
      </c>
      <c r="H1547">
        <v>2</v>
      </c>
      <c r="I1547">
        <v>39</v>
      </c>
      <c r="J1547">
        <v>41</v>
      </c>
      <c r="K1547" s="33">
        <v>4.8800000000000003E-2</v>
      </c>
      <c r="L1547" s="1"/>
      <c r="M1547" s="1" t="str">
        <f>_xlfn.XLOOKUP(ocupacao[[#This Row],[UnidadeID]],unidades!$A:$A,unidades!$B:$B,"",0)</f>
        <v>Miguel Couto</v>
      </c>
      <c r="N1547" s="1" t="str">
        <f>_xlfn.XLOOKUP(ocupacao[[#This Row],[UnidadeID]],unidades!$A:$A,unidades!$C:$C,"",0)</f>
        <v>Miguel Couto</v>
      </c>
      <c r="O1547" s="1" t="str">
        <f>_xlfn.XLOOKUP(ocupacao[[#This Row],[EspecialidadeID]],especialidades!$A:$A,especialidades!$B:$B,"",0)</f>
        <v>GINECOLOGIA</v>
      </c>
      <c r="P1547" s="1" t="str">
        <f>TEXT(WEEKDAY(ocupacao[[#This Row],[Data]]),"ddd")</f>
        <v>seg</v>
      </c>
      <c r="Q1547" s="1">
        <f t="shared" si="24"/>
        <v>0</v>
      </c>
    </row>
    <row r="1548" spans="1:17" hidden="1" x14ac:dyDescent="0.25">
      <c r="A1548" s="2"/>
      <c r="F1548" s="1"/>
      <c r="K1548" s="33"/>
      <c r="L1548" s="1"/>
      <c r="M1548" s="1"/>
      <c r="N1548" s="1"/>
      <c r="O1548" s="1"/>
      <c r="P1548" s="1"/>
      <c r="Q1548" s="1"/>
    </row>
    <row r="1549" spans="1:17" x14ac:dyDescent="0.25">
      <c r="A1549" s="2">
        <v>44746</v>
      </c>
      <c r="B1549">
        <v>22</v>
      </c>
      <c r="C1549">
        <v>21</v>
      </c>
      <c r="D1549">
        <v>44</v>
      </c>
      <c r="E1549">
        <v>12369</v>
      </c>
      <c r="F1549" s="1" t="s">
        <v>349</v>
      </c>
      <c r="G1549">
        <v>0</v>
      </c>
      <c r="H1549">
        <v>2</v>
      </c>
      <c r="I1549">
        <v>29</v>
      </c>
      <c r="J1549">
        <v>31</v>
      </c>
      <c r="K1549" s="33">
        <v>6.4500000000000002E-2</v>
      </c>
      <c r="L1549" s="1"/>
      <c r="M1549" s="1" t="str">
        <f>_xlfn.XLOOKUP(ocupacao[[#This Row],[UnidadeID]],unidades!$A:$A,unidades!$B:$B,"",0)</f>
        <v>Filial 1</v>
      </c>
      <c r="N1549" s="1" t="str">
        <f>_xlfn.XLOOKUP(ocupacao[[#This Row],[UnidadeID]],unidades!$A:$A,unidades!$C:$C,"",0)</f>
        <v>Nova Iguaçu</v>
      </c>
      <c r="O1549" s="1" t="str">
        <f>_xlfn.XLOOKUP(ocupacao[[#This Row],[EspecialidadeID]],especialidades!$A:$A,especialidades!$B:$B,"",0)</f>
        <v>GINECOLOGIA</v>
      </c>
      <c r="P1549" s="1" t="str">
        <f>TEXT(WEEKDAY(ocupacao[[#This Row],[Data]]),"ddd")</f>
        <v>seg</v>
      </c>
      <c r="Q1549" s="1">
        <f t="shared" si="24"/>
        <v>1</v>
      </c>
    </row>
    <row r="1550" spans="1:17" x14ac:dyDescent="0.25">
      <c r="A1550" s="2">
        <v>44746</v>
      </c>
      <c r="B1550">
        <v>22</v>
      </c>
      <c r="C1550">
        <v>21</v>
      </c>
      <c r="D1550">
        <v>44</v>
      </c>
      <c r="E1550">
        <v>12369</v>
      </c>
      <c r="F1550" s="1" t="s">
        <v>349</v>
      </c>
      <c r="G1550">
        <v>0</v>
      </c>
      <c r="H1550">
        <v>1</v>
      </c>
      <c r="I1550">
        <v>29</v>
      </c>
      <c r="J1550">
        <v>30</v>
      </c>
      <c r="K1550" s="33">
        <v>3.3300000000000003E-2</v>
      </c>
      <c r="L1550" s="1"/>
      <c r="M1550" s="1" t="str">
        <f>_xlfn.XLOOKUP(ocupacao[[#This Row],[UnidadeID]],unidades!$A:$A,unidades!$B:$B,"",0)</f>
        <v>Filial 1</v>
      </c>
      <c r="N1550" s="1" t="str">
        <f>_xlfn.XLOOKUP(ocupacao[[#This Row],[UnidadeID]],unidades!$A:$A,unidades!$C:$C,"",0)</f>
        <v>Nova Iguaçu</v>
      </c>
      <c r="O1550" s="1" t="str">
        <f>_xlfn.XLOOKUP(ocupacao[[#This Row],[EspecialidadeID]],especialidades!$A:$A,especialidades!$B:$B,"",0)</f>
        <v>GINECOLOGIA</v>
      </c>
      <c r="P1550" s="1" t="str">
        <f>TEXT(WEEKDAY(ocupacao[[#This Row],[Data]]),"ddd")</f>
        <v>seg</v>
      </c>
      <c r="Q1550" s="1">
        <f t="shared" si="24"/>
        <v>0</v>
      </c>
    </row>
    <row r="1551" spans="1:17" x14ac:dyDescent="0.25">
      <c r="A1551" s="2">
        <v>44746</v>
      </c>
      <c r="B1551">
        <v>22</v>
      </c>
      <c r="C1551">
        <v>21</v>
      </c>
      <c r="D1551">
        <v>42</v>
      </c>
      <c r="E1551">
        <v>17918</v>
      </c>
      <c r="F1551" s="1" t="s">
        <v>336</v>
      </c>
      <c r="G1551">
        <v>0</v>
      </c>
      <c r="H1551">
        <v>0</v>
      </c>
      <c r="I1551">
        <v>16</v>
      </c>
      <c r="J1551">
        <v>16</v>
      </c>
      <c r="K1551" s="33">
        <v>0</v>
      </c>
      <c r="L1551" s="1"/>
      <c r="M1551" s="1" t="str">
        <f>_xlfn.XLOOKUP(ocupacao[[#This Row],[UnidadeID]],unidades!$A:$A,unidades!$B:$B,"",0)</f>
        <v>Filial 1</v>
      </c>
      <c r="N1551" s="1" t="str">
        <f>_xlfn.XLOOKUP(ocupacao[[#This Row],[UnidadeID]],unidades!$A:$A,unidades!$C:$C,"",0)</f>
        <v>Nova Iguaçu</v>
      </c>
      <c r="O1551" s="1" t="str">
        <f>_xlfn.XLOOKUP(ocupacao[[#This Row],[EspecialidadeID]],especialidades!$A:$A,especialidades!$B:$B,"",0)</f>
        <v>GINECOLOGIA</v>
      </c>
      <c r="P1551" s="1" t="str">
        <f>TEXT(WEEKDAY(ocupacao[[#This Row],[Data]]),"ddd")</f>
        <v>seg</v>
      </c>
      <c r="Q1551" s="1">
        <f t="shared" si="24"/>
        <v>0</v>
      </c>
    </row>
    <row r="1552" spans="1:17" hidden="1" x14ac:dyDescent="0.25">
      <c r="A1552" s="2"/>
      <c r="F1552" s="1"/>
      <c r="K1552" s="33"/>
      <c r="L1552" s="1"/>
      <c r="M1552" s="1"/>
      <c r="N1552" s="1"/>
      <c r="O1552" s="1"/>
      <c r="P1552" s="1"/>
      <c r="Q1552" s="1"/>
    </row>
    <row r="1553" spans="1:17" x14ac:dyDescent="0.25">
      <c r="A1553" s="2">
        <v>44747</v>
      </c>
      <c r="B1553">
        <v>22</v>
      </c>
      <c r="C1553">
        <v>21</v>
      </c>
      <c r="D1553">
        <v>71</v>
      </c>
      <c r="E1553">
        <v>81</v>
      </c>
      <c r="F1553" s="1" t="s">
        <v>333</v>
      </c>
      <c r="G1553">
        <v>0</v>
      </c>
      <c r="H1553">
        <v>2</v>
      </c>
      <c r="I1553">
        <v>70</v>
      </c>
      <c r="J1553">
        <v>72</v>
      </c>
      <c r="K1553" s="33">
        <v>2.7799999999999998E-2</v>
      </c>
      <c r="L1553" s="1"/>
      <c r="M1553" s="1" t="str">
        <f>_xlfn.XLOOKUP(ocupacao[[#This Row],[UnidadeID]],unidades!$A:$A,unidades!$B:$B,"",0)</f>
        <v>Filial 1</v>
      </c>
      <c r="N1553" s="1" t="str">
        <f>_xlfn.XLOOKUP(ocupacao[[#This Row],[UnidadeID]],unidades!$A:$A,unidades!$C:$C,"",0)</f>
        <v>Nova Iguaçu</v>
      </c>
      <c r="O1553" s="1" t="str">
        <f>_xlfn.XLOOKUP(ocupacao[[#This Row],[EspecialidadeID]],especialidades!$A:$A,especialidades!$B:$B,"",0)</f>
        <v>GINECOLOGIA</v>
      </c>
      <c r="P1553" s="1" t="str">
        <f>TEXT(WEEKDAY(ocupacao[[#This Row],[Data]]),"ddd")</f>
        <v>ter</v>
      </c>
      <c r="Q1553" s="1">
        <f t="shared" si="24"/>
        <v>1</v>
      </c>
    </row>
    <row r="1554" spans="1:17" hidden="1" x14ac:dyDescent="0.25">
      <c r="A1554" s="2">
        <v>44747</v>
      </c>
      <c r="B1554">
        <v>22</v>
      </c>
      <c r="C1554">
        <v>21</v>
      </c>
      <c r="D1554">
        <v>41</v>
      </c>
      <c r="E1554">
        <v>81</v>
      </c>
      <c r="F1554" s="1" t="s">
        <v>333</v>
      </c>
      <c r="G1554">
        <v>0</v>
      </c>
      <c r="H1554">
        <v>0</v>
      </c>
      <c r="I1554">
        <v>70</v>
      </c>
      <c r="J1554">
        <v>70</v>
      </c>
      <c r="K1554" s="33">
        <v>0</v>
      </c>
      <c r="L1554" s="1"/>
      <c r="M1554" s="1"/>
      <c r="N1554" s="1"/>
      <c r="O1554" s="1"/>
      <c r="P1554" s="1"/>
      <c r="Q1554" s="1"/>
    </row>
    <row r="1555" spans="1:17" hidden="1" x14ac:dyDescent="0.25">
      <c r="A1555" s="2">
        <v>44747</v>
      </c>
      <c r="B1555">
        <v>22</v>
      </c>
      <c r="C1555">
        <v>21</v>
      </c>
      <c r="D1555">
        <v>42</v>
      </c>
      <c r="E1555">
        <v>266</v>
      </c>
      <c r="F1555" s="1" t="s">
        <v>334</v>
      </c>
      <c r="G1555">
        <v>0</v>
      </c>
      <c r="H1555">
        <v>0</v>
      </c>
      <c r="I1555">
        <v>56</v>
      </c>
      <c r="J1555">
        <v>56</v>
      </c>
      <c r="K1555" s="33">
        <v>0</v>
      </c>
      <c r="L1555" s="1"/>
      <c r="M1555" s="1"/>
      <c r="N1555" s="1"/>
      <c r="O1555" s="1"/>
      <c r="P1555" s="1"/>
      <c r="Q1555" s="1"/>
    </row>
    <row r="1556" spans="1:17" x14ac:dyDescent="0.25">
      <c r="A1556" s="2">
        <v>44747</v>
      </c>
      <c r="B1556">
        <v>22</v>
      </c>
      <c r="C1556">
        <v>21</v>
      </c>
      <c r="D1556">
        <v>42</v>
      </c>
      <c r="E1556">
        <v>266</v>
      </c>
      <c r="F1556" s="1" t="s">
        <v>334</v>
      </c>
      <c r="G1556">
        <v>0</v>
      </c>
      <c r="H1556">
        <v>3</v>
      </c>
      <c r="I1556">
        <v>56</v>
      </c>
      <c r="J1556">
        <v>59</v>
      </c>
      <c r="K1556" s="33">
        <v>5.0799999999999998E-2</v>
      </c>
      <c r="L1556" s="1"/>
      <c r="M1556" s="1" t="str">
        <f>_xlfn.XLOOKUP(ocupacao[[#This Row],[UnidadeID]],unidades!$A:$A,unidades!$B:$B,"",0)</f>
        <v>Filial 1</v>
      </c>
      <c r="N1556" s="1" t="str">
        <f>_xlfn.XLOOKUP(ocupacao[[#This Row],[UnidadeID]],unidades!$A:$A,unidades!$C:$C,"",0)</f>
        <v>Nova Iguaçu</v>
      </c>
      <c r="O1556" s="1" t="str">
        <f>_xlfn.XLOOKUP(ocupacao[[#This Row],[EspecialidadeID]],especialidades!$A:$A,especialidades!$B:$B,"",0)</f>
        <v>GINECOLOGIA</v>
      </c>
      <c r="P1556" s="1" t="str">
        <f>TEXT(WEEKDAY(ocupacao[[#This Row],[Data]]),"ddd")</f>
        <v>ter</v>
      </c>
      <c r="Q1556" s="1">
        <f t="shared" si="24"/>
        <v>0</v>
      </c>
    </row>
    <row r="1557" spans="1:17" hidden="1" x14ac:dyDescent="0.25">
      <c r="A1557" s="2"/>
      <c r="F1557" s="1"/>
      <c r="K1557" s="33"/>
      <c r="L1557" s="1"/>
      <c r="M1557" s="1"/>
      <c r="N1557" s="1"/>
      <c r="O1557" s="1"/>
      <c r="P1557" s="1"/>
      <c r="Q1557" s="1"/>
    </row>
    <row r="1558" spans="1:17" x14ac:dyDescent="0.25">
      <c r="A1558" s="2">
        <v>44747</v>
      </c>
      <c r="B1558">
        <v>18</v>
      </c>
      <c r="C1558">
        <v>21</v>
      </c>
      <c r="D1558">
        <v>86</v>
      </c>
      <c r="E1558">
        <v>10600</v>
      </c>
      <c r="F1558" s="1" t="s">
        <v>335</v>
      </c>
      <c r="G1558">
        <v>0</v>
      </c>
      <c r="H1558">
        <v>1</v>
      </c>
      <c r="I1558">
        <v>16</v>
      </c>
      <c r="J1558">
        <v>17</v>
      </c>
      <c r="K1558" s="33">
        <v>5.8799999999999998E-2</v>
      </c>
      <c r="L1558" s="1"/>
      <c r="M1558" s="1" t="str">
        <f>_xlfn.XLOOKUP(ocupacao[[#This Row],[UnidadeID]],unidades!$A:$A,unidades!$B:$B,"",0)</f>
        <v>Miguel Couto</v>
      </c>
      <c r="N1558" s="1" t="str">
        <f>_xlfn.XLOOKUP(ocupacao[[#This Row],[UnidadeID]],unidades!$A:$A,unidades!$C:$C,"",0)</f>
        <v>Miguel Couto</v>
      </c>
      <c r="O1558" s="1" t="str">
        <f>_xlfn.XLOOKUP(ocupacao[[#This Row],[EspecialidadeID]],especialidades!$A:$A,especialidades!$B:$B,"",0)</f>
        <v>GINECOLOGIA</v>
      </c>
      <c r="P1558" s="1" t="str">
        <f>TEXT(WEEKDAY(ocupacao[[#This Row],[Data]]),"ddd")</f>
        <v>ter</v>
      </c>
      <c r="Q1558" s="1">
        <f t="shared" si="24"/>
        <v>0</v>
      </c>
    </row>
    <row r="1559" spans="1:17" hidden="1" x14ac:dyDescent="0.25">
      <c r="A1559" s="2"/>
      <c r="F1559" s="1"/>
      <c r="K1559" s="33"/>
      <c r="L1559" s="1"/>
      <c r="M1559" s="1"/>
      <c r="N1559" s="1"/>
      <c r="O1559" s="1"/>
      <c r="P1559" s="1"/>
      <c r="Q1559" s="1"/>
    </row>
    <row r="1560" spans="1:17" x14ac:dyDescent="0.25">
      <c r="A1560" s="2">
        <v>44747</v>
      </c>
      <c r="B1560">
        <v>34</v>
      </c>
      <c r="C1560">
        <v>21</v>
      </c>
      <c r="D1560">
        <v>378</v>
      </c>
      <c r="E1560">
        <v>17918</v>
      </c>
      <c r="F1560" s="1" t="s">
        <v>336</v>
      </c>
      <c r="G1560">
        <v>0</v>
      </c>
      <c r="H1560">
        <v>1</v>
      </c>
      <c r="I1560">
        <v>15</v>
      </c>
      <c r="J1560">
        <v>16</v>
      </c>
      <c r="K1560" s="33">
        <v>6.25E-2</v>
      </c>
      <c r="L1560" s="1"/>
      <c r="M1560" s="1" t="str">
        <f>_xlfn.XLOOKUP(ocupacao[[#This Row],[UnidadeID]],unidades!$A:$A,unidades!$B:$B,"",0)</f>
        <v>São João</v>
      </c>
      <c r="N1560" s="1" t="str">
        <f>_xlfn.XLOOKUP(ocupacao[[#This Row],[UnidadeID]],unidades!$A:$A,unidades!$C:$C,"",0)</f>
        <v>São João de Meriti</v>
      </c>
      <c r="O1560" s="1" t="str">
        <f>_xlfn.XLOOKUP(ocupacao[[#This Row],[EspecialidadeID]],especialidades!$A:$A,especialidades!$B:$B,"",0)</f>
        <v>GINECOLOGIA</v>
      </c>
      <c r="P1560" s="1" t="str">
        <f>TEXT(WEEKDAY(ocupacao[[#This Row],[Data]]),"ddd")</f>
        <v>ter</v>
      </c>
      <c r="Q1560" s="1">
        <f t="shared" si="24"/>
        <v>0</v>
      </c>
    </row>
    <row r="1561" spans="1:17" hidden="1" x14ac:dyDescent="0.25">
      <c r="A1561" s="2">
        <v>44748</v>
      </c>
      <c r="B1561">
        <v>22</v>
      </c>
      <c r="C1561">
        <v>21</v>
      </c>
      <c r="D1561">
        <v>41</v>
      </c>
      <c r="E1561">
        <v>81</v>
      </c>
      <c r="F1561" s="1" t="s">
        <v>333</v>
      </c>
      <c r="G1561">
        <v>0</v>
      </c>
      <c r="H1561">
        <v>0</v>
      </c>
      <c r="I1561">
        <v>30</v>
      </c>
      <c r="J1561">
        <v>30</v>
      </c>
      <c r="K1561" s="33">
        <v>0</v>
      </c>
      <c r="L1561" s="1"/>
      <c r="M1561" s="1"/>
      <c r="N1561" s="1"/>
      <c r="O1561" s="1"/>
      <c r="P1561" s="1"/>
      <c r="Q1561" s="1"/>
    </row>
    <row r="1562" spans="1:17" hidden="1" x14ac:dyDescent="0.25">
      <c r="A1562" s="2">
        <v>44748</v>
      </c>
      <c r="B1562">
        <v>22</v>
      </c>
      <c r="C1562">
        <v>21</v>
      </c>
      <c r="D1562">
        <v>41</v>
      </c>
      <c r="E1562">
        <v>81</v>
      </c>
      <c r="F1562" s="1" t="s">
        <v>333</v>
      </c>
      <c r="G1562">
        <v>0</v>
      </c>
      <c r="H1562">
        <v>1</v>
      </c>
      <c r="I1562">
        <v>30</v>
      </c>
      <c r="J1562">
        <v>31</v>
      </c>
      <c r="K1562" s="33">
        <v>3.2300000000000002E-2</v>
      </c>
      <c r="L1562" s="1"/>
      <c r="M1562" s="1"/>
      <c r="N1562" s="1"/>
      <c r="O1562" s="1"/>
      <c r="P1562" s="1"/>
      <c r="Q1562" s="1"/>
    </row>
    <row r="1563" spans="1:17" hidden="1" x14ac:dyDescent="0.25">
      <c r="A1563" s="2"/>
      <c r="F1563" s="1"/>
      <c r="K1563" s="33"/>
      <c r="L1563" s="1"/>
      <c r="M1563" s="1"/>
      <c r="N1563" s="1"/>
      <c r="O1563" s="1"/>
      <c r="P1563" s="1"/>
      <c r="Q1563" s="1"/>
    </row>
    <row r="1564" spans="1:17" x14ac:dyDescent="0.25">
      <c r="A1564" s="2">
        <v>44748</v>
      </c>
      <c r="B1564">
        <v>22</v>
      </c>
      <c r="C1564">
        <v>21</v>
      </c>
      <c r="D1564">
        <v>42</v>
      </c>
      <c r="E1564">
        <v>6430</v>
      </c>
      <c r="F1564" s="1" t="s">
        <v>337</v>
      </c>
      <c r="G1564">
        <v>0</v>
      </c>
      <c r="H1564">
        <v>2</v>
      </c>
      <c r="I1564">
        <v>46</v>
      </c>
      <c r="J1564">
        <v>48</v>
      </c>
      <c r="K1564" s="33">
        <v>4.1700000000000001E-2</v>
      </c>
      <c r="L1564" s="1"/>
      <c r="M1564" s="1" t="str">
        <f>_xlfn.XLOOKUP(ocupacao[[#This Row],[UnidadeID]],unidades!$A:$A,unidades!$B:$B,"",0)</f>
        <v>Filial 1</v>
      </c>
      <c r="N1564" s="1" t="str">
        <f>_xlfn.XLOOKUP(ocupacao[[#This Row],[UnidadeID]],unidades!$A:$A,unidades!$C:$C,"",0)</f>
        <v>Nova Iguaçu</v>
      </c>
      <c r="O1564" s="1" t="str">
        <f>_xlfn.XLOOKUP(ocupacao[[#This Row],[EspecialidadeID]],especialidades!$A:$A,especialidades!$B:$B,"",0)</f>
        <v>GINECOLOGIA</v>
      </c>
      <c r="P1564" s="1" t="str">
        <f>TEXT(WEEKDAY(ocupacao[[#This Row],[Data]]),"ddd")</f>
        <v>qua</v>
      </c>
      <c r="Q1564" s="1">
        <f t="shared" si="24"/>
        <v>0</v>
      </c>
    </row>
    <row r="1565" spans="1:17" hidden="1" x14ac:dyDescent="0.25">
      <c r="A1565" s="2"/>
      <c r="F1565" s="1"/>
      <c r="K1565" s="33"/>
      <c r="L1565" s="1"/>
      <c r="M1565" s="1"/>
      <c r="N1565" s="1"/>
      <c r="O1565" s="1"/>
      <c r="P1565" s="1"/>
      <c r="Q1565" s="1"/>
    </row>
    <row r="1566" spans="1:17" hidden="1" x14ac:dyDescent="0.25">
      <c r="A1566" s="2">
        <v>44748</v>
      </c>
      <c r="B1566">
        <v>22</v>
      </c>
      <c r="C1566">
        <v>21</v>
      </c>
      <c r="D1566">
        <v>42</v>
      </c>
      <c r="E1566">
        <v>17918</v>
      </c>
      <c r="F1566" s="1" t="s">
        <v>336</v>
      </c>
      <c r="G1566">
        <v>0</v>
      </c>
      <c r="H1566">
        <v>1</v>
      </c>
      <c r="I1566">
        <v>15</v>
      </c>
      <c r="J1566">
        <v>16</v>
      </c>
      <c r="K1566" s="33">
        <v>6.25E-2</v>
      </c>
      <c r="L1566" s="1"/>
      <c r="M1566" s="1"/>
      <c r="N1566" s="1"/>
      <c r="O1566" s="1"/>
      <c r="P1566" s="1"/>
      <c r="Q1566" s="1"/>
    </row>
    <row r="1567" spans="1:17" x14ac:dyDescent="0.25">
      <c r="A1567" s="2">
        <v>44749</v>
      </c>
      <c r="B1567">
        <v>22</v>
      </c>
      <c r="C1567">
        <v>21</v>
      </c>
      <c r="D1567">
        <v>41</v>
      </c>
      <c r="E1567">
        <v>81</v>
      </c>
      <c r="F1567" s="1" t="s">
        <v>333</v>
      </c>
      <c r="G1567">
        <v>0</v>
      </c>
      <c r="H1567">
        <v>0</v>
      </c>
      <c r="I1567">
        <v>18</v>
      </c>
      <c r="J1567">
        <v>18</v>
      </c>
      <c r="K1567" s="33">
        <v>0</v>
      </c>
      <c r="L1567" s="1"/>
      <c r="M1567" s="1" t="str">
        <f>_xlfn.XLOOKUP(ocupacao[[#This Row],[UnidadeID]],unidades!$A:$A,unidades!$B:$B,"",0)</f>
        <v>Filial 1</v>
      </c>
      <c r="N1567" s="1" t="str">
        <f>_xlfn.XLOOKUP(ocupacao[[#This Row],[UnidadeID]],unidades!$A:$A,unidades!$C:$C,"",0)</f>
        <v>Nova Iguaçu</v>
      </c>
      <c r="O1567" s="1" t="str">
        <f>_xlfn.XLOOKUP(ocupacao[[#This Row],[EspecialidadeID]],especialidades!$A:$A,especialidades!$B:$B,"",0)</f>
        <v>GINECOLOGIA</v>
      </c>
      <c r="P1567" s="1" t="str">
        <f>TEXT(WEEKDAY(ocupacao[[#This Row],[Data]]),"ddd")</f>
        <v>qui</v>
      </c>
      <c r="Q1567" s="1">
        <f t="shared" si="24"/>
        <v>0</v>
      </c>
    </row>
    <row r="1568" spans="1:17" hidden="1" x14ac:dyDescent="0.25">
      <c r="A1568" s="2">
        <v>44749</v>
      </c>
      <c r="B1568">
        <v>22</v>
      </c>
      <c r="C1568">
        <v>21</v>
      </c>
      <c r="D1568">
        <v>42</v>
      </c>
      <c r="E1568">
        <v>266</v>
      </c>
      <c r="F1568" s="1" t="s">
        <v>334</v>
      </c>
      <c r="G1568">
        <v>0</v>
      </c>
      <c r="H1568">
        <v>0</v>
      </c>
      <c r="I1568">
        <v>27</v>
      </c>
      <c r="J1568">
        <v>27</v>
      </c>
      <c r="K1568" s="33">
        <v>0</v>
      </c>
      <c r="L1568" s="1"/>
      <c r="M1568" s="1"/>
      <c r="N1568" s="1"/>
      <c r="O1568" s="1"/>
      <c r="P1568" s="1"/>
      <c r="Q1568" s="1"/>
    </row>
    <row r="1569" spans="1:17" x14ac:dyDescent="0.25">
      <c r="A1569" s="2">
        <v>44749</v>
      </c>
      <c r="B1569">
        <v>22</v>
      </c>
      <c r="C1569">
        <v>21</v>
      </c>
      <c r="D1569">
        <v>42</v>
      </c>
      <c r="E1569">
        <v>266</v>
      </c>
      <c r="F1569" s="1" t="s">
        <v>334</v>
      </c>
      <c r="G1569">
        <v>0</v>
      </c>
      <c r="H1569">
        <v>2</v>
      </c>
      <c r="I1569">
        <v>27</v>
      </c>
      <c r="J1569">
        <v>29</v>
      </c>
      <c r="K1569" s="33">
        <v>6.9000000000000006E-2</v>
      </c>
      <c r="L1569" s="1"/>
      <c r="M1569" s="1" t="str">
        <f>_xlfn.XLOOKUP(ocupacao[[#This Row],[UnidadeID]],unidades!$A:$A,unidades!$B:$B,"",0)</f>
        <v>Filial 1</v>
      </c>
      <c r="N1569" s="1" t="str">
        <f>_xlfn.XLOOKUP(ocupacao[[#This Row],[UnidadeID]],unidades!$A:$A,unidades!$C:$C,"",0)</f>
        <v>Nova Iguaçu</v>
      </c>
      <c r="O1569" s="1" t="str">
        <f>_xlfn.XLOOKUP(ocupacao[[#This Row],[EspecialidadeID]],especialidades!$A:$A,especialidades!$B:$B,"",0)</f>
        <v>GINECOLOGIA</v>
      </c>
      <c r="P1569" s="1" t="str">
        <f>TEXT(WEEKDAY(ocupacao[[#This Row],[Data]]),"ddd")</f>
        <v>qui</v>
      </c>
      <c r="Q1569" s="1">
        <f t="shared" si="24"/>
        <v>0</v>
      </c>
    </row>
    <row r="1570" spans="1:17" hidden="1" x14ac:dyDescent="0.25">
      <c r="A1570" s="2">
        <v>44749</v>
      </c>
      <c r="B1570">
        <v>22</v>
      </c>
      <c r="C1570">
        <v>21</v>
      </c>
      <c r="D1570">
        <v>43</v>
      </c>
      <c r="E1570">
        <v>3092</v>
      </c>
      <c r="F1570" s="1" t="s">
        <v>338</v>
      </c>
      <c r="G1570">
        <v>0</v>
      </c>
      <c r="H1570">
        <v>0</v>
      </c>
      <c r="I1570">
        <v>15</v>
      </c>
      <c r="J1570">
        <v>15</v>
      </c>
      <c r="K1570" s="33">
        <v>0</v>
      </c>
      <c r="L1570" s="1"/>
      <c r="M1570" s="1"/>
      <c r="N1570" s="1"/>
      <c r="O1570" s="1"/>
      <c r="P1570" s="1"/>
      <c r="Q1570" s="1"/>
    </row>
    <row r="1571" spans="1:17" x14ac:dyDescent="0.25">
      <c r="A1571" s="2">
        <v>44749</v>
      </c>
      <c r="B1571">
        <v>22</v>
      </c>
      <c r="C1571">
        <v>21</v>
      </c>
      <c r="D1571">
        <v>43</v>
      </c>
      <c r="E1571">
        <v>3092</v>
      </c>
      <c r="F1571" s="1" t="s">
        <v>338</v>
      </c>
      <c r="G1571">
        <v>0</v>
      </c>
      <c r="H1571">
        <v>0</v>
      </c>
      <c r="I1571">
        <v>15</v>
      </c>
      <c r="J1571">
        <v>15</v>
      </c>
      <c r="K1571" s="33">
        <v>0</v>
      </c>
      <c r="L1571" s="1"/>
      <c r="M1571" s="1" t="str">
        <f>_xlfn.XLOOKUP(ocupacao[[#This Row],[UnidadeID]],unidades!$A:$A,unidades!$B:$B,"",0)</f>
        <v>Filial 1</v>
      </c>
      <c r="N1571" s="1" t="str">
        <f>_xlfn.XLOOKUP(ocupacao[[#This Row],[UnidadeID]],unidades!$A:$A,unidades!$C:$C,"",0)</f>
        <v>Nova Iguaçu</v>
      </c>
      <c r="O1571" s="1" t="str">
        <f>_xlfn.XLOOKUP(ocupacao[[#This Row],[EspecialidadeID]],especialidades!$A:$A,especialidades!$B:$B,"",0)</f>
        <v>GINECOLOGIA</v>
      </c>
      <c r="P1571" s="1" t="str">
        <f>TEXT(WEEKDAY(ocupacao[[#This Row],[Data]]),"ddd")</f>
        <v>qui</v>
      </c>
      <c r="Q1571" s="1">
        <f t="shared" si="24"/>
        <v>0</v>
      </c>
    </row>
    <row r="1572" spans="1:17" hidden="1" x14ac:dyDescent="0.25">
      <c r="A1572" s="2">
        <v>44750</v>
      </c>
      <c r="B1572">
        <v>22</v>
      </c>
      <c r="C1572">
        <v>21</v>
      </c>
      <c r="D1572">
        <v>41</v>
      </c>
      <c r="E1572">
        <v>81</v>
      </c>
      <c r="F1572" s="1" t="s">
        <v>333</v>
      </c>
      <c r="G1572">
        <v>0</v>
      </c>
      <c r="H1572">
        <v>0</v>
      </c>
      <c r="I1572">
        <v>55</v>
      </c>
      <c r="J1572">
        <v>55</v>
      </c>
      <c r="K1572" s="33">
        <v>0</v>
      </c>
      <c r="L1572" s="1"/>
      <c r="M1572" s="1"/>
      <c r="N1572" s="1"/>
      <c r="O1572" s="1"/>
      <c r="P1572" s="1"/>
      <c r="Q1572" s="1"/>
    </row>
    <row r="1573" spans="1:17" x14ac:dyDescent="0.25">
      <c r="A1573" s="2">
        <v>44750</v>
      </c>
      <c r="B1573">
        <v>22</v>
      </c>
      <c r="C1573">
        <v>21</v>
      </c>
      <c r="D1573">
        <v>41</v>
      </c>
      <c r="E1573">
        <v>81</v>
      </c>
      <c r="F1573" s="1" t="s">
        <v>333</v>
      </c>
      <c r="G1573">
        <v>0</v>
      </c>
      <c r="H1573">
        <v>1</v>
      </c>
      <c r="I1573">
        <v>55</v>
      </c>
      <c r="J1573">
        <v>56</v>
      </c>
      <c r="K1573" s="33">
        <v>1.7899999999999999E-2</v>
      </c>
      <c r="L1573" s="1"/>
      <c r="M1573" s="1" t="str">
        <f>_xlfn.XLOOKUP(ocupacao[[#This Row],[UnidadeID]],unidades!$A:$A,unidades!$B:$B,"",0)</f>
        <v>Filial 1</v>
      </c>
      <c r="N1573" s="1" t="str">
        <f>_xlfn.XLOOKUP(ocupacao[[#This Row],[UnidadeID]],unidades!$A:$A,unidades!$C:$C,"",0)</f>
        <v>Nova Iguaçu</v>
      </c>
      <c r="O1573" s="1" t="str">
        <f>_xlfn.XLOOKUP(ocupacao[[#This Row],[EspecialidadeID]],especialidades!$A:$A,especialidades!$B:$B,"",0)</f>
        <v>GINECOLOGIA</v>
      </c>
      <c r="P1573" s="1" t="str">
        <f>TEXT(WEEKDAY(ocupacao[[#This Row],[Data]]),"ddd")</f>
        <v>sex</v>
      </c>
      <c r="Q1573" s="1">
        <f t="shared" si="24"/>
        <v>0</v>
      </c>
    </row>
    <row r="1574" spans="1:17" x14ac:dyDescent="0.25">
      <c r="A1574" s="2">
        <v>44750</v>
      </c>
      <c r="B1574">
        <v>22</v>
      </c>
      <c r="C1574">
        <v>21</v>
      </c>
      <c r="D1574">
        <v>42</v>
      </c>
      <c r="E1574">
        <v>6430</v>
      </c>
      <c r="F1574" s="1" t="s">
        <v>337</v>
      </c>
      <c r="G1574">
        <v>0</v>
      </c>
      <c r="H1574">
        <v>0</v>
      </c>
      <c r="I1574">
        <v>48</v>
      </c>
      <c r="J1574">
        <v>48</v>
      </c>
      <c r="K1574" s="33">
        <v>0</v>
      </c>
      <c r="L1574" s="1"/>
      <c r="M1574" s="1" t="str">
        <f>_xlfn.XLOOKUP(ocupacao[[#This Row],[UnidadeID]],unidades!$A:$A,unidades!$B:$B,"",0)</f>
        <v>Filial 1</v>
      </c>
      <c r="N1574" s="1" t="str">
        <f>_xlfn.XLOOKUP(ocupacao[[#This Row],[UnidadeID]],unidades!$A:$A,unidades!$C:$C,"",0)</f>
        <v>Nova Iguaçu</v>
      </c>
      <c r="O1574" s="1" t="str">
        <f>_xlfn.XLOOKUP(ocupacao[[#This Row],[EspecialidadeID]],especialidades!$A:$A,especialidades!$B:$B,"",0)</f>
        <v>GINECOLOGIA</v>
      </c>
      <c r="P1574" s="1" t="str">
        <f>TEXT(WEEKDAY(ocupacao[[#This Row],[Data]]),"ddd")</f>
        <v>sex</v>
      </c>
      <c r="Q1574" s="1">
        <f t="shared" si="24"/>
        <v>0</v>
      </c>
    </row>
    <row r="1575" spans="1:17" hidden="1" x14ac:dyDescent="0.25">
      <c r="A1575" s="2">
        <v>44750</v>
      </c>
      <c r="B1575">
        <v>22</v>
      </c>
      <c r="C1575">
        <v>21</v>
      </c>
      <c r="D1575">
        <v>44</v>
      </c>
      <c r="E1575">
        <v>12142</v>
      </c>
      <c r="F1575" s="1" t="s">
        <v>339</v>
      </c>
      <c r="G1575">
        <v>0</v>
      </c>
      <c r="H1575">
        <v>0</v>
      </c>
      <c r="I1575">
        <v>25</v>
      </c>
      <c r="J1575">
        <v>25</v>
      </c>
      <c r="K1575" s="33">
        <v>0</v>
      </c>
      <c r="L1575" s="1"/>
      <c r="M1575" s="1"/>
      <c r="N1575" s="1"/>
      <c r="O1575" s="1"/>
      <c r="P1575" s="1"/>
      <c r="Q1575" s="1"/>
    </row>
    <row r="1576" spans="1:17" hidden="1" x14ac:dyDescent="0.25">
      <c r="A1576" s="2"/>
      <c r="F1576" s="1"/>
      <c r="K1576" s="33"/>
      <c r="L1576" s="1"/>
      <c r="M1576" s="1"/>
      <c r="N1576" s="1"/>
      <c r="O1576" s="1"/>
      <c r="P1576" s="1"/>
      <c r="Q1576" s="1"/>
    </row>
    <row r="1577" spans="1:17" hidden="1" x14ac:dyDescent="0.25">
      <c r="A1577" s="2">
        <v>44753</v>
      </c>
      <c r="B1577">
        <v>22</v>
      </c>
      <c r="C1577">
        <v>21</v>
      </c>
      <c r="D1577">
        <v>41</v>
      </c>
      <c r="E1577">
        <v>81</v>
      </c>
      <c r="F1577" s="1" t="s">
        <v>333</v>
      </c>
      <c r="G1577">
        <v>0</v>
      </c>
      <c r="H1577">
        <v>2</v>
      </c>
      <c r="I1577">
        <v>49</v>
      </c>
      <c r="J1577">
        <v>51</v>
      </c>
      <c r="K1577" s="33">
        <v>3.9199999999999999E-2</v>
      </c>
      <c r="L1577" s="1"/>
      <c r="M1577" s="1"/>
      <c r="N1577" s="1"/>
      <c r="O1577" s="1"/>
      <c r="P1577" s="1"/>
      <c r="Q1577" s="1"/>
    </row>
    <row r="1578" spans="1:17" x14ac:dyDescent="0.25">
      <c r="A1578" s="2">
        <v>44753</v>
      </c>
      <c r="B1578">
        <v>22</v>
      </c>
      <c r="C1578">
        <v>21</v>
      </c>
      <c r="D1578">
        <v>43</v>
      </c>
      <c r="E1578">
        <v>3092</v>
      </c>
      <c r="F1578" s="1" t="s">
        <v>338</v>
      </c>
      <c r="G1578">
        <v>0</v>
      </c>
      <c r="H1578">
        <v>0</v>
      </c>
      <c r="I1578">
        <v>16</v>
      </c>
      <c r="J1578">
        <v>16</v>
      </c>
      <c r="K1578" s="33">
        <v>0</v>
      </c>
      <c r="L1578" s="1"/>
      <c r="M1578" s="1" t="str">
        <f>_xlfn.XLOOKUP(ocupacao[[#This Row],[UnidadeID]],unidades!$A:$A,unidades!$B:$B,"",0)</f>
        <v>Filial 1</v>
      </c>
      <c r="N1578" s="1" t="str">
        <f>_xlfn.XLOOKUP(ocupacao[[#This Row],[UnidadeID]],unidades!$A:$A,unidades!$C:$C,"",0)</f>
        <v>Nova Iguaçu</v>
      </c>
      <c r="O1578" s="1" t="str">
        <f>_xlfn.XLOOKUP(ocupacao[[#This Row],[EspecialidadeID]],especialidades!$A:$A,especialidades!$B:$B,"",0)</f>
        <v>GINECOLOGIA</v>
      </c>
      <c r="P1578" s="1" t="str">
        <f>TEXT(WEEKDAY(ocupacao[[#This Row],[Data]]),"ddd")</f>
        <v>seg</v>
      </c>
      <c r="Q1578" s="1">
        <f t="shared" si="24"/>
        <v>0</v>
      </c>
    </row>
    <row r="1579" spans="1:17" hidden="1" x14ac:dyDescent="0.25">
      <c r="A1579" s="2"/>
      <c r="F1579" s="1"/>
      <c r="K1579" s="33"/>
      <c r="L1579" s="1"/>
      <c r="M1579" s="1"/>
      <c r="N1579" s="1"/>
      <c r="O1579" s="1"/>
      <c r="P1579" s="1"/>
      <c r="Q1579" s="1"/>
    </row>
    <row r="1580" spans="1:17" x14ac:dyDescent="0.25">
      <c r="A1580" s="2">
        <v>44753</v>
      </c>
      <c r="B1580">
        <v>18</v>
      </c>
      <c r="C1580">
        <v>21</v>
      </c>
      <c r="D1580">
        <v>86</v>
      </c>
      <c r="E1580">
        <v>6430</v>
      </c>
      <c r="F1580" s="1" t="s">
        <v>337</v>
      </c>
      <c r="G1580">
        <v>0</v>
      </c>
      <c r="H1580">
        <v>1</v>
      </c>
      <c r="I1580">
        <v>40</v>
      </c>
      <c r="J1580">
        <v>41</v>
      </c>
      <c r="K1580" s="33">
        <v>2.4400000000000002E-2</v>
      </c>
      <c r="L1580" s="1"/>
      <c r="M1580" s="1" t="str">
        <f>_xlfn.XLOOKUP(ocupacao[[#This Row],[UnidadeID]],unidades!$A:$A,unidades!$B:$B,"",0)</f>
        <v>Miguel Couto</v>
      </c>
      <c r="N1580" s="1" t="str">
        <f>_xlfn.XLOOKUP(ocupacao[[#This Row],[UnidadeID]],unidades!$A:$A,unidades!$C:$C,"",0)</f>
        <v>Miguel Couto</v>
      </c>
      <c r="O1580" s="1" t="str">
        <f>_xlfn.XLOOKUP(ocupacao[[#This Row],[EspecialidadeID]],especialidades!$A:$A,especialidades!$B:$B,"",0)</f>
        <v>GINECOLOGIA</v>
      </c>
      <c r="P1580" s="1" t="str">
        <f>TEXT(WEEKDAY(ocupacao[[#This Row],[Data]]),"ddd")</f>
        <v>seg</v>
      </c>
      <c r="Q1580" s="1">
        <f t="shared" si="24"/>
        <v>0</v>
      </c>
    </row>
    <row r="1581" spans="1:17" hidden="1" x14ac:dyDescent="0.25">
      <c r="A1581" s="2">
        <v>44753</v>
      </c>
      <c r="B1581">
        <v>22</v>
      </c>
      <c r="C1581">
        <v>21</v>
      </c>
      <c r="D1581">
        <v>44</v>
      </c>
      <c r="E1581">
        <v>12369</v>
      </c>
      <c r="F1581" s="1" t="s">
        <v>349</v>
      </c>
      <c r="G1581">
        <v>0</v>
      </c>
      <c r="H1581">
        <v>0</v>
      </c>
      <c r="I1581">
        <v>30</v>
      </c>
      <c r="J1581">
        <v>30</v>
      </c>
      <c r="K1581" s="33">
        <v>0</v>
      </c>
      <c r="L1581" s="1"/>
      <c r="M1581" s="1"/>
      <c r="N1581" s="1"/>
      <c r="O1581" s="1"/>
      <c r="P1581" s="1"/>
      <c r="Q1581" s="1"/>
    </row>
    <row r="1582" spans="1:17" x14ac:dyDescent="0.25">
      <c r="A1582" s="2">
        <v>44753</v>
      </c>
      <c r="B1582">
        <v>22</v>
      </c>
      <c r="C1582">
        <v>21</v>
      </c>
      <c r="D1582">
        <v>44</v>
      </c>
      <c r="E1582">
        <v>12369</v>
      </c>
      <c r="F1582" s="1" t="s">
        <v>349</v>
      </c>
      <c r="G1582">
        <v>0</v>
      </c>
      <c r="H1582">
        <v>2</v>
      </c>
      <c r="I1582">
        <v>30</v>
      </c>
      <c r="J1582">
        <v>32</v>
      </c>
      <c r="K1582" s="33">
        <v>6.25E-2</v>
      </c>
      <c r="L1582" s="1"/>
      <c r="M1582" s="1" t="str">
        <f>_xlfn.XLOOKUP(ocupacao[[#This Row],[UnidadeID]],unidades!$A:$A,unidades!$B:$B,"",0)</f>
        <v>Filial 1</v>
      </c>
      <c r="N1582" s="1" t="str">
        <f>_xlfn.XLOOKUP(ocupacao[[#This Row],[UnidadeID]],unidades!$A:$A,unidades!$C:$C,"",0)</f>
        <v>Nova Iguaçu</v>
      </c>
      <c r="O1582" s="1" t="str">
        <f>_xlfn.XLOOKUP(ocupacao[[#This Row],[EspecialidadeID]],especialidades!$A:$A,especialidades!$B:$B,"",0)</f>
        <v>GINECOLOGIA</v>
      </c>
      <c r="P1582" s="1" t="str">
        <f>TEXT(WEEKDAY(ocupacao[[#This Row],[Data]]),"ddd")</f>
        <v>seg</v>
      </c>
      <c r="Q1582" s="1">
        <f t="shared" si="24"/>
        <v>0</v>
      </c>
    </row>
    <row r="1583" spans="1:17" hidden="1" x14ac:dyDescent="0.25">
      <c r="A1583" s="2"/>
      <c r="F1583" s="1"/>
      <c r="K1583" s="33"/>
      <c r="L1583" s="1"/>
      <c r="M1583" s="1"/>
      <c r="N1583" s="1"/>
      <c r="O1583" s="1"/>
      <c r="P1583" s="1"/>
      <c r="Q1583" s="1"/>
    </row>
    <row r="1584" spans="1:17" hidden="1" x14ac:dyDescent="0.25">
      <c r="A1584" s="2">
        <v>44753</v>
      </c>
      <c r="B1584">
        <v>22</v>
      </c>
      <c r="C1584">
        <v>21</v>
      </c>
      <c r="D1584">
        <v>42</v>
      </c>
      <c r="E1584">
        <v>17918</v>
      </c>
      <c r="F1584" s="1" t="s">
        <v>336</v>
      </c>
      <c r="G1584">
        <v>0</v>
      </c>
      <c r="H1584">
        <v>2</v>
      </c>
      <c r="I1584">
        <v>14</v>
      </c>
      <c r="J1584">
        <v>16</v>
      </c>
      <c r="K1584" s="33">
        <v>0.125</v>
      </c>
      <c r="L1584" s="1"/>
      <c r="M1584" s="1"/>
      <c r="N1584" s="1"/>
      <c r="O1584" s="1"/>
      <c r="P1584" s="1"/>
      <c r="Q1584" s="1"/>
    </row>
    <row r="1585" spans="1:17" hidden="1" x14ac:dyDescent="0.25">
      <c r="A1585" s="2"/>
      <c r="F1585" s="1"/>
      <c r="K1585" s="33"/>
      <c r="L1585" s="1"/>
      <c r="M1585" s="1"/>
      <c r="N1585" s="1"/>
      <c r="O1585" s="1"/>
      <c r="P1585" s="1"/>
      <c r="Q1585" s="1"/>
    </row>
    <row r="1586" spans="1:17" hidden="1" x14ac:dyDescent="0.25">
      <c r="A1586" s="2">
        <v>44754</v>
      </c>
      <c r="B1586">
        <v>22</v>
      </c>
      <c r="C1586">
        <v>21</v>
      </c>
      <c r="D1586">
        <v>41</v>
      </c>
      <c r="E1586">
        <v>81</v>
      </c>
      <c r="F1586" s="1" t="s">
        <v>333</v>
      </c>
      <c r="G1586">
        <v>0</v>
      </c>
      <c r="H1586">
        <v>1</v>
      </c>
      <c r="I1586">
        <v>72</v>
      </c>
      <c r="J1586">
        <v>73</v>
      </c>
      <c r="K1586" s="33">
        <v>1.37E-2</v>
      </c>
      <c r="L1586" s="1"/>
      <c r="M1586" s="1"/>
      <c r="N1586" s="1"/>
      <c r="O1586" s="1"/>
      <c r="P1586" s="1"/>
      <c r="Q1586" s="1"/>
    </row>
    <row r="1587" spans="1:17" x14ac:dyDescent="0.25">
      <c r="A1587" s="2">
        <v>44754</v>
      </c>
      <c r="B1587">
        <v>22</v>
      </c>
      <c r="C1587">
        <v>21</v>
      </c>
      <c r="D1587">
        <v>42</v>
      </c>
      <c r="E1587">
        <v>266</v>
      </c>
      <c r="F1587" s="1" t="s">
        <v>334</v>
      </c>
      <c r="G1587">
        <v>0</v>
      </c>
      <c r="H1587">
        <v>0</v>
      </c>
      <c r="I1587">
        <v>59</v>
      </c>
      <c r="J1587">
        <v>59</v>
      </c>
      <c r="K1587" s="33">
        <v>0</v>
      </c>
      <c r="L1587" s="1"/>
      <c r="M1587" s="1" t="str">
        <f>_xlfn.XLOOKUP(ocupacao[[#This Row],[UnidadeID]],unidades!$A:$A,unidades!$B:$B,"",0)</f>
        <v>Filial 1</v>
      </c>
      <c r="N1587" s="1" t="str">
        <f>_xlfn.XLOOKUP(ocupacao[[#This Row],[UnidadeID]],unidades!$A:$A,unidades!$C:$C,"",0)</f>
        <v>Nova Iguaçu</v>
      </c>
      <c r="O1587" s="1" t="str">
        <f>_xlfn.XLOOKUP(ocupacao[[#This Row],[EspecialidadeID]],especialidades!$A:$A,especialidades!$B:$B,"",0)</f>
        <v>GINECOLOGIA</v>
      </c>
      <c r="P1587" s="1" t="str">
        <f>TEXT(WEEKDAY(ocupacao[[#This Row],[Data]]),"ddd")</f>
        <v>ter</v>
      </c>
      <c r="Q1587" s="1">
        <f t="shared" si="24"/>
        <v>0</v>
      </c>
    </row>
    <row r="1588" spans="1:17" hidden="1" x14ac:dyDescent="0.25">
      <c r="A1588" s="2">
        <v>44754</v>
      </c>
      <c r="B1588">
        <v>18</v>
      </c>
      <c r="C1588">
        <v>21</v>
      </c>
      <c r="D1588">
        <v>86</v>
      </c>
      <c r="E1588">
        <v>10600</v>
      </c>
      <c r="F1588" s="1" t="s">
        <v>335</v>
      </c>
      <c r="G1588">
        <v>0</v>
      </c>
      <c r="H1588">
        <v>0</v>
      </c>
      <c r="I1588">
        <v>16</v>
      </c>
      <c r="J1588">
        <v>16</v>
      </c>
      <c r="K1588" s="33">
        <v>0</v>
      </c>
      <c r="L1588" s="1"/>
      <c r="M1588" s="1"/>
      <c r="N1588" s="1"/>
      <c r="O1588" s="1"/>
      <c r="P1588" s="1"/>
      <c r="Q1588" s="1"/>
    </row>
    <row r="1589" spans="1:17" x14ac:dyDescent="0.25">
      <c r="A1589" s="2">
        <v>44754</v>
      </c>
      <c r="B1589">
        <v>18</v>
      </c>
      <c r="C1589">
        <v>21</v>
      </c>
      <c r="D1589">
        <v>86</v>
      </c>
      <c r="E1589">
        <v>10600</v>
      </c>
      <c r="F1589" s="1" t="s">
        <v>335</v>
      </c>
      <c r="G1589">
        <v>0</v>
      </c>
      <c r="H1589">
        <v>1</v>
      </c>
      <c r="I1589">
        <v>16</v>
      </c>
      <c r="J1589">
        <v>17</v>
      </c>
      <c r="K1589" s="33">
        <v>5.8799999999999998E-2</v>
      </c>
      <c r="L1589" s="1"/>
      <c r="M1589" s="1" t="str">
        <f>_xlfn.XLOOKUP(ocupacao[[#This Row],[UnidadeID]],unidades!$A:$A,unidades!$B:$B,"",0)</f>
        <v>Miguel Couto</v>
      </c>
      <c r="N1589" s="1" t="str">
        <f>_xlfn.XLOOKUP(ocupacao[[#This Row],[UnidadeID]],unidades!$A:$A,unidades!$C:$C,"",0)</f>
        <v>Miguel Couto</v>
      </c>
      <c r="O1589" s="1" t="str">
        <f>_xlfn.XLOOKUP(ocupacao[[#This Row],[EspecialidadeID]],especialidades!$A:$A,especialidades!$B:$B,"",0)</f>
        <v>GINECOLOGIA</v>
      </c>
      <c r="P1589" s="1" t="str">
        <f>TEXT(WEEKDAY(ocupacao[[#This Row],[Data]]),"ddd")</f>
        <v>ter</v>
      </c>
      <c r="Q1589" s="1">
        <f t="shared" si="24"/>
        <v>0</v>
      </c>
    </row>
    <row r="1590" spans="1:17" hidden="1" x14ac:dyDescent="0.25">
      <c r="A1590" s="2">
        <v>44754</v>
      </c>
      <c r="B1590">
        <v>34</v>
      </c>
      <c r="C1590">
        <v>21</v>
      </c>
      <c r="D1590">
        <v>378</v>
      </c>
      <c r="E1590">
        <v>17918</v>
      </c>
      <c r="F1590" s="1" t="s">
        <v>336</v>
      </c>
      <c r="G1590">
        <v>0</v>
      </c>
      <c r="H1590">
        <v>0</v>
      </c>
      <c r="I1590">
        <v>15</v>
      </c>
      <c r="J1590">
        <v>15</v>
      </c>
      <c r="K1590" s="33">
        <v>0</v>
      </c>
      <c r="L1590" s="1"/>
      <c r="M1590" s="1"/>
      <c r="N1590" s="1"/>
      <c r="O1590" s="1"/>
      <c r="P1590" s="1"/>
      <c r="Q1590" s="1"/>
    </row>
    <row r="1591" spans="1:17" x14ac:dyDescent="0.25">
      <c r="A1591" s="2">
        <v>44754</v>
      </c>
      <c r="B1591">
        <v>34</v>
      </c>
      <c r="C1591">
        <v>21</v>
      </c>
      <c r="D1591">
        <v>378</v>
      </c>
      <c r="E1591">
        <v>17918</v>
      </c>
      <c r="F1591" s="1" t="s">
        <v>336</v>
      </c>
      <c r="G1591">
        <v>0</v>
      </c>
      <c r="H1591">
        <v>1</v>
      </c>
      <c r="I1591">
        <v>15</v>
      </c>
      <c r="J1591">
        <v>16</v>
      </c>
      <c r="K1591" s="33">
        <v>6.25E-2</v>
      </c>
      <c r="L1591" s="1"/>
      <c r="M1591" s="1" t="str">
        <f>_xlfn.XLOOKUP(ocupacao[[#This Row],[UnidadeID]],unidades!$A:$A,unidades!$B:$B,"",0)</f>
        <v>São João</v>
      </c>
      <c r="N1591" s="1" t="str">
        <f>_xlfn.XLOOKUP(ocupacao[[#This Row],[UnidadeID]],unidades!$A:$A,unidades!$C:$C,"",0)</f>
        <v>São João de Meriti</v>
      </c>
      <c r="O1591" s="1" t="str">
        <f>_xlfn.XLOOKUP(ocupacao[[#This Row],[EspecialidadeID]],especialidades!$A:$A,especialidades!$B:$B,"",0)</f>
        <v>GINECOLOGIA</v>
      </c>
      <c r="P1591" s="1" t="str">
        <f>TEXT(WEEKDAY(ocupacao[[#This Row],[Data]]),"ddd")</f>
        <v>ter</v>
      </c>
      <c r="Q1591" s="1">
        <f t="shared" si="24"/>
        <v>0</v>
      </c>
    </row>
    <row r="1592" spans="1:17" hidden="1" x14ac:dyDescent="0.25">
      <c r="A1592" s="2">
        <v>44755</v>
      </c>
      <c r="B1592">
        <v>22</v>
      </c>
      <c r="C1592">
        <v>21</v>
      </c>
      <c r="D1592">
        <v>41</v>
      </c>
      <c r="E1592">
        <v>81</v>
      </c>
      <c r="F1592" s="1" t="s">
        <v>333</v>
      </c>
      <c r="G1592">
        <v>0</v>
      </c>
      <c r="H1592">
        <v>0</v>
      </c>
      <c r="I1592">
        <v>30</v>
      </c>
      <c r="J1592">
        <v>30</v>
      </c>
      <c r="K1592" s="33">
        <v>0</v>
      </c>
      <c r="L1592" s="1"/>
      <c r="M1592" s="1"/>
      <c r="N1592" s="1"/>
      <c r="O1592" s="1"/>
      <c r="P1592" s="1"/>
      <c r="Q1592" s="1"/>
    </row>
    <row r="1593" spans="1:17" x14ac:dyDescent="0.25">
      <c r="A1593" s="2">
        <v>44755</v>
      </c>
      <c r="B1593">
        <v>22</v>
      </c>
      <c r="C1593">
        <v>21</v>
      </c>
      <c r="D1593">
        <v>41</v>
      </c>
      <c r="E1593">
        <v>81</v>
      </c>
      <c r="F1593" s="1" t="s">
        <v>333</v>
      </c>
      <c r="G1593">
        <v>0</v>
      </c>
      <c r="H1593">
        <v>1</v>
      </c>
      <c r="I1593">
        <v>30</v>
      </c>
      <c r="J1593">
        <v>31</v>
      </c>
      <c r="K1593" s="33">
        <v>3.2300000000000002E-2</v>
      </c>
      <c r="L1593" s="1"/>
      <c r="M1593" s="1" t="str">
        <f>_xlfn.XLOOKUP(ocupacao[[#This Row],[UnidadeID]],unidades!$A:$A,unidades!$B:$B,"",0)</f>
        <v>Filial 1</v>
      </c>
      <c r="N1593" s="1" t="str">
        <f>_xlfn.XLOOKUP(ocupacao[[#This Row],[UnidadeID]],unidades!$A:$A,unidades!$C:$C,"",0)</f>
        <v>Nova Iguaçu</v>
      </c>
      <c r="O1593" s="1" t="str">
        <f>_xlfn.XLOOKUP(ocupacao[[#This Row],[EspecialidadeID]],especialidades!$A:$A,especialidades!$B:$B,"",0)</f>
        <v>GINECOLOGIA</v>
      </c>
      <c r="P1593" s="1" t="str">
        <f>TEXT(WEEKDAY(ocupacao[[#This Row],[Data]]),"ddd")</f>
        <v>qua</v>
      </c>
      <c r="Q1593" s="1">
        <f t="shared" si="24"/>
        <v>0</v>
      </c>
    </row>
    <row r="1594" spans="1:17" hidden="1" x14ac:dyDescent="0.25">
      <c r="A1594" s="2">
        <v>44755</v>
      </c>
      <c r="B1594">
        <v>22</v>
      </c>
      <c r="C1594">
        <v>21</v>
      </c>
      <c r="D1594">
        <v>42</v>
      </c>
      <c r="E1594">
        <v>6430</v>
      </c>
      <c r="F1594" s="1" t="s">
        <v>337</v>
      </c>
      <c r="G1594">
        <v>0</v>
      </c>
      <c r="H1594">
        <v>0</v>
      </c>
      <c r="I1594">
        <v>48</v>
      </c>
      <c r="J1594">
        <v>48</v>
      </c>
      <c r="K1594" s="33">
        <v>0</v>
      </c>
      <c r="L1594" s="1"/>
      <c r="M1594" s="1"/>
      <c r="N1594" s="1"/>
      <c r="O1594" s="1"/>
      <c r="P1594" s="1"/>
      <c r="Q1594" s="1"/>
    </row>
    <row r="1595" spans="1:17" hidden="1" x14ac:dyDescent="0.25">
      <c r="A1595" s="2"/>
      <c r="F1595" s="1"/>
      <c r="K1595" s="33"/>
      <c r="L1595" s="1"/>
      <c r="M1595" s="1"/>
      <c r="N1595" s="1"/>
      <c r="O1595" s="1"/>
      <c r="P1595" s="1"/>
      <c r="Q1595" s="1"/>
    </row>
    <row r="1596" spans="1:17" x14ac:dyDescent="0.25">
      <c r="A1596" s="2">
        <v>44755</v>
      </c>
      <c r="B1596">
        <v>24</v>
      </c>
      <c r="C1596">
        <v>21</v>
      </c>
      <c r="D1596">
        <v>71</v>
      </c>
      <c r="E1596">
        <v>10600</v>
      </c>
      <c r="F1596" s="1" t="s">
        <v>335</v>
      </c>
      <c r="G1596">
        <v>0</v>
      </c>
      <c r="H1596">
        <v>1</v>
      </c>
      <c r="I1596">
        <v>15</v>
      </c>
      <c r="J1596">
        <v>16</v>
      </c>
      <c r="K1596" s="33">
        <v>6.25E-2</v>
      </c>
      <c r="L1596" s="1"/>
      <c r="M1596" s="1" t="str">
        <f>_xlfn.XLOOKUP(ocupacao[[#This Row],[UnidadeID]],unidades!$A:$A,unidades!$B:$B,"",0)</f>
        <v>Nilópolis</v>
      </c>
      <c r="N1596" s="1" t="str">
        <f>_xlfn.XLOOKUP(ocupacao[[#This Row],[UnidadeID]],unidades!$A:$A,unidades!$C:$C,"",0)</f>
        <v>Nilópolis</v>
      </c>
      <c r="O1596" s="1" t="str">
        <f>_xlfn.XLOOKUP(ocupacao[[#This Row],[EspecialidadeID]],especialidades!$A:$A,especialidades!$B:$B,"",0)</f>
        <v>GINECOLOGIA</v>
      </c>
      <c r="P1596" s="1" t="str">
        <f>TEXT(WEEKDAY(ocupacao[[#This Row],[Data]]),"ddd")</f>
        <v>qua</v>
      </c>
      <c r="Q1596" s="1">
        <f t="shared" si="24"/>
        <v>0</v>
      </c>
    </row>
    <row r="1597" spans="1:17" hidden="1" x14ac:dyDescent="0.25">
      <c r="A1597" s="2">
        <v>44755</v>
      </c>
      <c r="B1597">
        <v>22</v>
      </c>
      <c r="C1597">
        <v>21</v>
      </c>
      <c r="D1597">
        <v>42</v>
      </c>
      <c r="E1597">
        <v>17918</v>
      </c>
      <c r="F1597" s="1" t="s">
        <v>336</v>
      </c>
      <c r="G1597">
        <v>0</v>
      </c>
      <c r="H1597">
        <v>0</v>
      </c>
      <c r="I1597">
        <v>16</v>
      </c>
      <c r="J1597">
        <v>16</v>
      </c>
      <c r="K1597" s="33">
        <v>0</v>
      </c>
      <c r="L1597" s="1"/>
      <c r="M1597" s="1"/>
      <c r="N1597" s="1"/>
      <c r="O1597" s="1"/>
      <c r="P1597" s="1"/>
      <c r="Q1597" s="1"/>
    </row>
    <row r="1598" spans="1:17" x14ac:dyDescent="0.25">
      <c r="A1598" s="2">
        <v>44756</v>
      </c>
      <c r="B1598">
        <v>22</v>
      </c>
      <c r="C1598">
        <v>21</v>
      </c>
      <c r="D1598">
        <v>41</v>
      </c>
      <c r="E1598">
        <v>81</v>
      </c>
      <c r="F1598" s="1" t="s">
        <v>333</v>
      </c>
      <c r="G1598">
        <v>0</v>
      </c>
      <c r="H1598">
        <v>0</v>
      </c>
      <c r="I1598">
        <v>18</v>
      </c>
      <c r="J1598">
        <v>18</v>
      </c>
      <c r="K1598" s="33">
        <v>0</v>
      </c>
      <c r="L1598" s="1"/>
      <c r="M1598" s="1" t="str">
        <f>_xlfn.XLOOKUP(ocupacao[[#This Row],[UnidadeID]],unidades!$A:$A,unidades!$B:$B,"",0)</f>
        <v>Filial 1</v>
      </c>
      <c r="N1598" s="1" t="str">
        <f>_xlfn.XLOOKUP(ocupacao[[#This Row],[UnidadeID]],unidades!$A:$A,unidades!$C:$C,"",0)</f>
        <v>Nova Iguaçu</v>
      </c>
      <c r="O1598" s="1" t="str">
        <f>_xlfn.XLOOKUP(ocupacao[[#This Row],[EspecialidadeID]],especialidades!$A:$A,especialidades!$B:$B,"",0)</f>
        <v>GINECOLOGIA</v>
      </c>
      <c r="P1598" s="1" t="str">
        <f>TEXT(WEEKDAY(ocupacao[[#This Row],[Data]]),"ddd")</f>
        <v>qui</v>
      </c>
      <c r="Q1598" s="1">
        <f t="shared" si="24"/>
        <v>0</v>
      </c>
    </row>
    <row r="1599" spans="1:17" hidden="1" x14ac:dyDescent="0.25">
      <c r="A1599" s="2">
        <v>44756</v>
      </c>
      <c r="B1599">
        <v>22</v>
      </c>
      <c r="C1599">
        <v>21</v>
      </c>
      <c r="D1599">
        <v>42</v>
      </c>
      <c r="E1599">
        <v>266</v>
      </c>
      <c r="F1599" s="1" t="s">
        <v>334</v>
      </c>
      <c r="G1599">
        <v>0</v>
      </c>
      <c r="H1599">
        <v>0</v>
      </c>
      <c r="I1599">
        <v>29</v>
      </c>
      <c r="J1599">
        <v>29</v>
      </c>
      <c r="K1599" s="33">
        <v>0</v>
      </c>
      <c r="L1599" s="1"/>
      <c r="M1599" s="1"/>
      <c r="N1599" s="1"/>
      <c r="O1599" s="1"/>
      <c r="P1599" s="1"/>
      <c r="Q1599" s="1"/>
    </row>
    <row r="1600" spans="1:17" x14ac:dyDescent="0.25">
      <c r="A1600" s="2">
        <v>44756</v>
      </c>
      <c r="B1600">
        <v>22</v>
      </c>
      <c r="C1600">
        <v>21</v>
      </c>
      <c r="D1600">
        <v>43</v>
      </c>
      <c r="E1600">
        <v>3092</v>
      </c>
      <c r="F1600" s="1" t="s">
        <v>338</v>
      </c>
      <c r="G1600">
        <v>0</v>
      </c>
      <c r="H1600">
        <v>0</v>
      </c>
      <c r="I1600">
        <v>16</v>
      </c>
      <c r="J1600">
        <v>16</v>
      </c>
      <c r="K1600" s="33">
        <v>0</v>
      </c>
      <c r="L1600" s="1"/>
      <c r="M1600" s="1" t="str">
        <f>_xlfn.XLOOKUP(ocupacao[[#This Row],[UnidadeID]],unidades!$A:$A,unidades!$B:$B,"",0)</f>
        <v>Filial 1</v>
      </c>
      <c r="N1600" s="1" t="str">
        <f>_xlfn.XLOOKUP(ocupacao[[#This Row],[UnidadeID]],unidades!$A:$A,unidades!$C:$C,"",0)</f>
        <v>Nova Iguaçu</v>
      </c>
      <c r="O1600" s="1" t="str">
        <f>_xlfn.XLOOKUP(ocupacao[[#This Row],[EspecialidadeID]],especialidades!$A:$A,especialidades!$B:$B,"",0)</f>
        <v>GINECOLOGIA</v>
      </c>
      <c r="P1600" s="1" t="str">
        <f>TEXT(WEEKDAY(ocupacao[[#This Row],[Data]]),"ddd")</f>
        <v>qui</v>
      </c>
      <c r="Q1600" s="1">
        <f t="shared" si="24"/>
        <v>0</v>
      </c>
    </row>
    <row r="1601" spans="1:17" hidden="1" x14ac:dyDescent="0.25">
      <c r="A1601" s="2"/>
      <c r="F1601" s="1" t="s">
        <v>106</v>
      </c>
      <c r="K1601" s="33"/>
      <c r="L1601" s="1"/>
      <c r="M1601" s="1"/>
      <c r="N1601" s="1"/>
      <c r="O1601" s="1"/>
      <c r="P1601" s="1"/>
      <c r="Q1601" s="1"/>
    </row>
    <row r="1602" spans="1:17" hidden="1" x14ac:dyDescent="0.25">
      <c r="A1602" s="2"/>
      <c r="F1602" s="1"/>
      <c r="K1602" s="33"/>
      <c r="L1602" s="1"/>
      <c r="M1602" s="1"/>
      <c r="N1602" s="1"/>
      <c r="O1602" s="1"/>
      <c r="P1602" s="1"/>
      <c r="Q1602" s="1"/>
    </row>
    <row r="1603" spans="1:17" x14ac:dyDescent="0.25">
      <c r="A1603" s="2">
        <v>44744</v>
      </c>
      <c r="B1603">
        <v>18</v>
      </c>
      <c r="C1603">
        <v>22</v>
      </c>
      <c r="D1603">
        <v>12</v>
      </c>
      <c r="E1603">
        <v>531</v>
      </c>
      <c r="F1603" s="1" t="s">
        <v>115</v>
      </c>
      <c r="G1603">
        <v>0</v>
      </c>
      <c r="H1603">
        <v>11</v>
      </c>
      <c r="I1603">
        <v>5</v>
      </c>
      <c r="J1603">
        <v>16</v>
      </c>
      <c r="K1603" s="33">
        <v>0.6875</v>
      </c>
      <c r="L1603" s="1"/>
      <c r="M1603" s="1" t="str">
        <f>_xlfn.XLOOKUP(ocupacao[[#This Row],[UnidadeID]],unidades!$A:$A,unidades!$B:$B,"",0)</f>
        <v>Miguel Couto</v>
      </c>
      <c r="N1603" s="1" t="str">
        <f>_xlfn.XLOOKUP(ocupacao[[#This Row],[UnidadeID]],unidades!$A:$A,unidades!$C:$C,"",0)</f>
        <v>Miguel Couto</v>
      </c>
      <c r="O1603" s="1" t="str">
        <f>_xlfn.XLOOKUP(ocupacao[[#This Row],[EspecialidadeID]],especialidades!$A:$A,especialidades!$B:$B,"",0)</f>
        <v>NUTRICAO</v>
      </c>
      <c r="P1603" s="1" t="str">
        <f>TEXT(WEEKDAY(ocupacao[[#This Row],[Data]]),"ddd")</f>
        <v>sáb</v>
      </c>
      <c r="Q1603" s="1">
        <f t="shared" ref="Q1603:Q1665" si="25">IF(F1603=F1604,1,0)</f>
        <v>1</v>
      </c>
    </row>
    <row r="1604" spans="1:17" x14ac:dyDescent="0.25">
      <c r="A1604" s="2">
        <v>44744</v>
      </c>
      <c r="B1604">
        <v>18</v>
      </c>
      <c r="C1604">
        <v>22</v>
      </c>
      <c r="D1604">
        <v>12</v>
      </c>
      <c r="E1604">
        <v>531</v>
      </c>
      <c r="F1604" s="1" t="s">
        <v>115</v>
      </c>
      <c r="G1604">
        <v>0</v>
      </c>
      <c r="H1604">
        <v>2</v>
      </c>
      <c r="I1604">
        <v>5</v>
      </c>
      <c r="J1604">
        <v>7</v>
      </c>
      <c r="K1604" s="33">
        <v>0.28570000000000001</v>
      </c>
      <c r="L1604" s="1"/>
      <c r="M1604" s="1" t="str">
        <f>_xlfn.XLOOKUP(ocupacao[[#This Row],[UnidadeID]],unidades!$A:$A,unidades!$B:$B,"",0)</f>
        <v>Miguel Couto</v>
      </c>
      <c r="N1604" s="1" t="str">
        <f>_xlfn.XLOOKUP(ocupacao[[#This Row],[UnidadeID]],unidades!$A:$A,unidades!$C:$C,"",0)</f>
        <v>Miguel Couto</v>
      </c>
      <c r="O1604" s="1" t="str">
        <f>_xlfn.XLOOKUP(ocupacao[[#This Row],[EspecialidadeID]],especialidades!$A:$A,especialidades!$B:$B,"",0)</f>
        <v>NUTRICAO</v>
      </c>
      <c r="P1604" s="1" t="str">
        <f>TEXT(WEEKDAY(ocupacao[[#This Row],[Data]]),"ddd")</f>
        <v>sáb</v>
      </c>
      <c r="Q1604" s="1">
        <f t="shared" si="25"/>
        <v>0</v>
      </c>
    </row>
    <row r="1605" spans="1:17" hidden="1" x14ac:dyDescent="0.25">
      <c r="A1605" s="2">
        <v>44746</v>
      </c>
      <c r="B1605">
        <v>11</v>
      </c>
      <c r="C1605">
        <v>22</v>
      </c>
      <c r="D1605">
        <v>16</v>
      </c>
      <c r="E1605">
        <v>86</v>
      </c>
      <c r="F1605" s="1" t="s">
        <v>90</v>
      </c>
      <c r="G1605">
        <v>4</v>
      </c>
      <c r="H1605">
        <v>0</v>
      </c>
      <c r="I1605">
        <v>31</v>
      </c>
      <c r="J1605">
        <v>35</v>
      </c>
      <c r="K1605" s="33">
        <v>0.1143</v>
      </c>
      <c r="L1605" s="1"/>
      <c r="M1605" s="1"/>
      <c r="N1605" s="1"/>
      <c r="O1605" s="1"/>
      <c r="P1605" s="1"/>
      <c r="Q1605" s="1"/>
    </row>
    <row r="1606" spans="1:17" x14ac:dyDescent="0.25">
      <c r="A1606" s="2">
        <v>44746</v>
      </c>
      <c r="B1606">
        <v>11</v>
      </c>
      <c r="C1606">
        <v>22</v>
      </c>
      <c r="D1606">
        <v>349</v>
      </c>
      <c r="E1606">
        <v>86</v>
      </c>
      <c r="F1606" s="1" t="s">
        <v>90</v>
      </c>
      <c r="G1606">
        <v>4</v>
      </c>
      <c r="H1606">
        <v>6</v>
      </c>
      <c r="I1606">
        <v>31</v>
      </c>
      <c r="J1606">
        <v>41</v>
      </c>
      <c r="K1606" s="33">
        <v>0.24390000000000001</v>
      </c>
      <c r="L1606" s="1"/>
      <c r="M1606" s="1" t="str">
        <f>_xlfn.XLOOKUP(ocupacao[[#This Row],[UnidadeID]],unidades!$A:$A,unidades!$B:$B,"",0)</f>
        <v>Filial 2 - 11º</v>
      </c>
      <c r="N1606" s="1" t="str">
        <f>_xlfn.XLOOKUP(ocupacao[[#This Row],[UnidadeID]],unidades!$A:$A,unidades!$C:$C,"",0)</f>
        <v>Nova Iguaçu</v>
      </c>
      <c r="O1606" s="1" t="str">
        <f>_xlfn.XLOOKUP(ocupacao[[#This Row],[EspecialidadeID]],especialidades!$A:$A,especialidades!$B:$B,"",0)</f>
        <v>NUTRICAO</v>
      </c>
      <c r="P1606" s="1" t="str">
        <f>TEXT(WEEKDAY(ocupacao[[#This Row],[Data]]),"ddd")</f>
        <v>seg</v>
      </c>
      <c r="Q1606" s="1">
        <f t="shared" si="25"/>
        <v>0</v>
      </c>
    </row>
    <row r="1607" spans="1:17" x14ac:dyDescent="0.25">
      <c r="A1607" s="2">
        <v>44747</v>
      </c>
      <c r="B1607">
        <v>11</v>
      </c>
      <c r="C1607">
        <v>22</v>
      </c>
      <c r="D1607">
        <v>16</v>
      </c>
      <c r="E1607">
        <v>85</v>
      </c>
      <c r="F1607" s="1" t="s">
        <v>116</v>
      </c>
      <c r="G1607">
        <v>4</v>
      </c>
      <c r="H1607">
        <v>0</v>
      </c>
      <c r="I1607">
        <v>22</v>
      </c>
      <c r="J1607">
        <v>26</v>
      </c>
      <c r="K1607" s="33">
        <v>0.15379999999999999</v>
      </c>
      <c r="L1607" s="1"/>
      <c r="M1607" s="1" t="str">
        <f>_xlfn.XLOOKUP(ocupacao[[#This Row],[UnidadeID]],unidades!$A:$A,unidades!$B:$B,"",0)</f>
        <v>Filial 2 - 11º</v>
      </c>
      <c r="N1607" s="1" t="str">
        <f>_xlfn.XLOOKUP(ocupacao[[#This Row],[UnidadeID]],unidades!$A:$A,unidades!$C:$C,"",0)</f>
        <v>Nova Iguaçu</v>
      </c>
      <c r="O1607" s="1" t="str">
        <f>_xlfn.XLOOKUP(ocupacao[[#This Row],[EspecialidadeID]],especialidades!$A:$A,especialidades!$B:$B,"",0)</f>
        <v>NUTRICAO</v>
      </c>
      <c r="P1607" s="1" t="str">
        <f>TEXT(WEEKDAY(ocupacao[[#This Row],[Data]]),"ddd")</f>
        <v>ter</v>
      </c>
      <c r="Q1607" s="1">
        <f t="shared" si="25"/>
        <v>0</v>
      </c>
    </row>
    <row r="1608" spans="1:17" hidden="1" x14ac:dyDescent="0.25">
      <c r="A1608" s="2">
        <v>44747</v>
      </c>
      <c r="B1608">
        <v>18</v>
      </c>
      <c r="C1608">
        <v>22</v>
      </c>
      <c r="D1608">
        <v>82</v>
      </c>
      <c r="E1608">
        <v>86</v>
      </c>
      <c r="F1608" s="1" t="s">
        <v>90</v>
      </c>
      <c r="G1608">
        <v>0</v>
      </c>
      <c r="H1608">
        <v>2</v>
      </c>
      <c r="I1608">
        <v>13</v>
      </c>
      <c r="J1608">
        <v>15</v>
      </c>
      <c r="K1608" s="33">
        <v>0.1333</v>
      </c>
      <c r="L1608" s="1"/>
      <c r="M1608" s="1"/>
      <c r="N1608" s="1"/>
      <c r="O1608" s="1"/>
      <c r="P1608" s="1"/>
      <c r="Q1608" s="1"/>
    </row>
    <row r="1609" spans="1:17" hidden="1" x14ac:dyDescent="0.25">
      <c r="A1609" s="2"/>
      <c r="F1609" s="1"/>
      <c r="K1609" s="33"/>
      <c r="L1609" s="1"/>
      <c r="M1609" s="1"/>
      <c r="N1609" s="1"/>
      <c r="O1609" s="1"/>
      <c r="P1609" s="1"/>
      <c r="Q1609" s="1"/>
    </row>
    <row r="1610" spans="1:17" hidden="1" x14ac:dyDescent="0.25">
      <c r="A1610" s="2">
        <v>44748</v>
      </c>
      <c r="B1610">
        <v>24</v>
      </c>
      <c r="C1610">
        <v>22</v>
      </c>
      <c r="D1610">
        <v>66</v>
      </c>
      <c r="E1610">
        <v>86</v>
      </c>
      <c r="F1610" s="1" t="s">
        <v>90</v>
      </c>
      <c r="G1610">
        <v>0</v>
      </c>
      <c r="H1610">
        <v>3</v>
      </c>
      <c r="I1610">
        <v>13</v>
      </c>
      <c r="J1610">
        <v>16</v>
      </c>
      <c r="K1610" s="33">
        <v>0.1875</v>
      </c>
      <c r="L1610" s="1"/>
      <c r="M1610" s="1"/>
      <c r="N1610" s="1"/>
      <c r="O1610" s="1"/>
      <c r="P1610" s="1"/>
      <c r="Q1610" s="1"/>
    </row>
    <row r="1611" spans="1:17" x14ac:dyDescent="0.25">
      <c r="A1611" s="2">
        <v>44748</v>
      </c>
      <c r="B1611">
        <v>11</v>
      </c>
      <c r="C1611">
        <v>22</v>
      </c>
      <c r="D1611">
        <v>12</v>
      </c>
      <c r="E1611">
        <v>531</v>
      </c>
      <c r="F1611" s="1" t="s">
        <v>115</v>
      </c>
      <c r="G1611">
        <v>4</v>
      </c>
      <c r="H1611">
        <v>0</v>
      </c>
      <c r="I1611">
        <v>19</v>
      </c>
      <c r="J1611">
        <v>23</v>
      </c>
      <c r="K1611" s="33">
        <v>0.1739</v>
      </c>
      <c r="L1611" s="1"/>
      <c r="M1611" s="1" t="str">
        <f>_xlfn.XLOOKUP(ocupacao[[#This Row],[UnidadeID]],unidades!$A:$A,unidades!$B:$B,"",0)</f>
        <v>Filial 2 - 11º</v>
      </c>
      <c r="N1611" s="1" t="str">
        <f>_xlfn.XLOOKUP(ocupacao[[#This Row],[UnidadeID]],unidades!$A:$A,unidades!$C:$C,"",0)</f>
        <v>Nova Iguaçu</v>
      </c>
      <c r="O1611" s="1" t="str">
        <f>_xlfn.XLOOKUP(ocupacao[[#This Row],[EspecialidadeID]],especialidades!$A:$A,especialidades!$B:$B,"",0)</f>
        <v>NUTRICAO</v>
      </c>
      <c r="P1611" s="1" t="str">
        <f>TEXT(WEEKDAY(ocupacao[[#This Row],[Data]]),"ddd")</f>
        <v>qua</v>
      </c>
      <c r="Q1611" s="1">
        <f t="shared" si="25"/>
        <v>1</v>
      </c>
    </row>
    <row r="1612" spans="1:17" hidden="1" x14ac:dyDescent="0.25">
      <c r="A1612" s="2">
        <v>44748</v>
      </c>
      <c r="B1612">
        <v>11</v>
      </c>
      <c r="C1612">
        <v>22</v>
      </c>
      <c r="D1612">
        <v>12</v>
      </c>
      <c r="E1612">
        <v>531</v>
      </c>
      <c r="F1612" s="1" t="s">
        <v>115</v>
      </c>
      <c r="G1612">
        <v>4</v>
      </c>
      <c r="H1612">
        <v>12</v>
      </c>
      <c r="I1612">
        <v>19</v>
      </c>
      <c r="J1612">
        <v>35</v>
      </c>
      <c r="K1612" s="33">
        <v>0.45710000000000001</v>
      </c>
      <c r="L1612" s="1"/>
      <c r="M1612" s="1"/>
      <c r="N1612" s="1"/>
      <c r="O1612" s="1"/>
      <c r="P1612" s="1"/>
      <c r="Q1612" s="1"/>
    </row>
    <row r="1613" spans="1:17" x14ac:dyDescent="0.25">
      <c r="A1613" s="2">
        <v>44749</v>
      </c>
      <c r="B1613">
        <v>11</v>
      </c>
      <c r="C1613">
        <v>22</v>
      </c>
      <c r="D1613">
        <v>16</v>
      </c>
      <c r="E1613">
        <v>85</v>
      </c>
      <c r="F1613" s="1" t="s">
        <v>116</v>
      </c>
      <c r="G1613">
        <v>4</v>
      </c>
      <c r="H1613">
        <v>0</v>
      </c>
      <c r="I1613">
        <v>21</v>
      </c>
      <c r="J1613">
        <v>25</v>
      </c>
      <c r="K1613" s="33">
        <v>0.16</v>
      </c>
      <c r="L1613" s="1"/>
      <c r="M1613" s="1" t="str">
        <f>_xlfn.XLOOKUP(ocupacao[[#This Row],[UnidadeID]],unidades!$A:$A,unidades!$B:$B,"",0)</f>
        <v>Filial 2 - 11º</v>
      </c>
      <c r="N1613" s="1" t="str">
        <f>_xlfn.XLOOKUP(ocupacao[[#This Row],[UnidadeID]],unidades!$A:$A,unidades!$C:$C,"",0)</f>
        <v>Nova Iguaçu</v>
      </c>
      <c r="O1613" s="1" t="str">
        <f>_xlfn.XLOOKUP(ocupacao[[#This Row],[EspecialidadeID]],especialidades!$A:$A,especialidades!$B:$B,"",0)</f>
        <v>NUTRICAO</v>
      </c>
      <c r="P1613" s="1" t="str">
        <f>TEXT(WEEKDAY(ocupacao[[#This Row],[Data]]),"ddd")</f>
        <v>qui</v>
      </c>
      <c r="Q1613" s="1">
        <f t="shared" si="25"/>
        <v>1</v>
      </c>
    </row>
    <row r="1614" spans="1:17" hidden="1" x14ac:dyDescent="0.25">
      <c r="A1614" s="2">
        <v>44749</v>
      </c>
      <c r="B1614">
        <v>11</v>
      </c>
      <c r="C1614">
        <v>22</v>
      </c>
      <c r="D1614">
        <v>349</v>
      </c>
      <c r="E1614">
        <v>85</v>
      </c>
      <c r="F1614" s="1" t="s">
        <v>116</v>
      </c>
      <c r="G1614">
        <v>4</v>
      </c>
      <c r="H1614">
        <v>1</v>
      </c>
      <c r="I1614">
        <v>21</v>
      </c>
      <c r="J1614">
        <v>26</v>
      </c>
      <c r="K1614" s="33">
        <v>0.1923</v>
      </c>
      <c r="L1614" s="1"/>
      <c r="M1614" s="1"/>
      <c r="N1614" s="1"/>
      <c r="O1614" s="1"/>
      <c r="P1614" s="1"/>
      <c r="Q1614" s="1"/>
    </row>
    <row r="1615" spans="1:17" hidden="1" x14ac:dyDescent="0.25">
      <c r="A1615" s="2"/>
      <c r="F1615" s="1"/>
      <c r="K1615" s="33"/>
      <c r="L1615" s="1"/>
      <c r="M1615" s="1"/>
      <c r="N1615" s="1"/>
      <c r="O1615" s="1"/>
      <c r="P1615" s="1"/>
      <c r="Q1615" s="1"/>
    </row>
    <row r="1616" spans="1:17" x14ac:dyDescent="0.25">
      <c r="A1616" s="2">
        <v>44749</v>
      </c>
      <c r="B1616">
        <v>11</v>
      </c>
      <c r="C1616">
        <v>22</v>
      </c>
      <c r="D1616">
        <v>12</v>
      </c>
      <c r="E1616">
        <v>531</v>
      </c>
      <c r="F1616" s="1" t="s">
        <v>115</v>
      </c>
      <c r="G1616">
        <v>0</v>
      </c>
      <c r="H1616">
        <v>6</v>
      </c>
      <c r="I1616">
        <v>23</v>
      </c>
      <c r="J1616">
        <v>29</v>
      </c>
      <c r="K1616" s="33">
        <v>0.2069</v>
      </c>
      <c r="L1616" s="1"/>
      <c r="M1616" s="1" t="str">
        <f>_xlfn.XLOOKUP(ocupacao[[#This Row],[UnidadeID]],unidades!$A:$A,unidades!$B:$B,"",0)</f>
        <v>Filial 2 - 11º</v>
      </c>
      <c r="N1616" s="1" t="str">
        <f>_xlfn.XLOOKUP(ocupacao[[#This Row],[UnidadeID]],unidades!$A:$A,unidades!$C:$C,"",0)</f>
        <v>Nova Iguaçu</v>
      </c>
      <c r="O1616" s="1" t="str">
        <f>_xlfn.XLOOKUP(ocupacao[[#This Row],[EspecialidadeID]],especialidades!$A:$A,especialidades!$B:$B,"",0)</f>
        <v>NUTRICAO</v>
      </c>
      <c r="P1616" s="1" t="str">
        <f>TEXT(WEEKDAY(ocupacao[[#This Row],[Data]]),"ddd")</f>
        <v>qui</v>
      </c>
      <c r="Q1616" s="1">
        <f t="shared" si="25"/>
        <v>1</v>
      </c>
    </row>
    <row r="1617" spans="1:17" hidden="1" x14ac:dyDescent="0.25">
      <c r="A1617" s="2">
        <v>44750</v>
      </c>
      <c r="B1617">
        <v>18</v>
      </c>
      <c r="C1617">
        <v>22</v>
      </c>
      <c r="D1617">
        <v>78</v>
      </c>
      <c r="E1617">
        <v>531</v>
      </c>
      <c r="F1617" s="1" t="s">
        <v>115</v>
      </c>
      <c r="G1617">
        <v>0</v>
      </c>
      <c r="H1617">
        <v>0</v>
      </c>
      <c r="I1617">
        <v>13</v>
      </c>
      <c r="J1617">
        <v>13</v>
      </c>
      <c r="K1617" s="33">
        <v>0</v>
      </c>
      <c r="L1617" s="1"/>
      <c r="M1617" s="1"/>
      <c r="N1617" s="1"/>
      <c r="O1617" s="1"/>
      <c r="P1617" s="1"/>
      <c r="Q1617" s="1"/>
    </row>
    <row r="1618" spans="1:17" x14ac:dyDescent="0.25">
      <c r="A1618" s="2">
        <v>44750</v>
      </c>
      <c r="B1618">
        <v>18</v>
      </c>
      <c r="C1618">
        <v>22</v>
      </c>
      <c r="D1618">
        <v>78</v>
      </c>
      <c r="E1618">
        <v>531</v>
      </c>
      <c r="F1618" s="1" t="s">
        <v>115</v>
      </c>
      <c r="G1618">
        <v>0</v>
      </c>
      <c r="H1618">
        <v>1</v>
      </c>
      <c r="I1618">
        <v>13</v>
      </c>
      <c r="J1618">
        <v>14</v>
      </c>
      <c r="K1618" s="33">
        <v>7.1400000000000005E-2</v>
      </c>
      <c r="L1618" s="1"/>
      <c r="M1618" s="1" t="str">
        <f>_xlfn.XLOOKUP(ocupacao[[#This Row],[UnidadeID]],unidades!$A:$A,unidades!$B:$B,"",0)</f>
        <v>Miguel Couto</v>
      </c>
      <c r="N1618" s="1" t="str">
        <f>_xlfn.XLOOKUP(ocupacao[[#This Row],[UnidadeID]],unidades!$A:$A,unidades!$C:$C,"",0)</f>
        <v>Miguel Couto</v>
      </c>
      <c r="O1618" s="1" t="str">
        <f>_xlfn.XLOOKUP(ocupacao[[#This Row],[EspecialidadeID]],especialidades!$A:$A,especialidades!$B:$B,"",0)</f>
        <v>NUTRICAO</v>
      </c>
      <c r="P1618" s="1" t="str">
        <f>TEXT(WEEKDAY(ocupacao[[#This Row],[Data]]),"ddd")</f>
        <v>sex</v>
      </c>
      <c r="Q1618" s="1">
        <f t="shared" si="25"/>
        <v>1</v>
      </c>
    </row>
    <row r="1619" spans="1:17" hidden="1" x14ac:dyDescent="0.25">
      <c r="A1619" s="2">
        <v>44751</v>
      </c>
      <c r="B1619">
        <v>18</v>
      </c>
      <c r="C1619">
        <v>22</v>
      </c>
      <c r="D1619">
        <v>78</v>
      </c>
      <c r="E1619">
        <v>531</v>
      </c>
      <c r="F1619" s="1" t="s">
        <v>115</v>
      </c>
      <c r="G1619">
        <v>0</v>
      </c>
      <c r="H1619">
        <v>0</v>
      </c>
      <c r="I1619">
        <v>14</v>
      </c>
      <c r="J1619">
        <v>14</v>
      </c>
      <c r="K1619" s="33">
        <v>0</v>
      </c>
      <c r="L1619" s="1"/>
      <c r="M1619" s="1"/>
      <c r="N1619" s="1"/>
      <c r="O1619" s="1"/>
      <c r="P1619" s="1"/>
      <c r="Q1619" s="1"/>
    </row>
    <row r="1620" spans="1:17" x14ac:dyDescent="0.25">
      <c r="A1620" s="2">
        <v>44753</v>
      </c>
      <c r="B1620">
        <v>11</v>
      </c>
      <c r="C1620">
        <v>22</v>
      </c>
      <c r="D1620">
        <v>16</v>
      </c>
      <c r="E1620">
        <v>86</v>
      </c>
      <c r="F1620" s="1" t="s">
        <v>90</v>
      </c>
      <c r="G1620">
        <v>4</v>
      </c>
      <c r="H1620">
        <v>0</v>
      </c>
      <c r="I1620">
        <v>36</v>
      </c>
      <c r="J1620">
        <v>40</v>
      </c>
      <c r="K1620" s="33">
        <v>0.1</v>
      </c>
      <c r="L1620" s="1"/>
      <c r="M1620" s="1" t="str">
        <f>_xlfn.XLOOKUP(ocupacao[[#This Row],[UnidadeID]],unidades!$A:$A,unidades!$B:$B,"",0)</f>
        <v>Filial 2 - 11º</v>
      </c>
      <c r="N1620" s="1" t="str">
        <f>_xlfn.XLOOKUP(ocupacao[[#This Row],[UnidadeID]],unidades!$A:$A,unidades!$C:$C,"",0)</f>
        <v>Nova Iguaçu</v>
      </c>
      <c r="O1620" s="1" t="str">
        <f>_xlfn.XLOOKUP(ocupacao[[#This Row],[EspecialidadeID]],especialidades!$A:$A,especialidades!$B:$B,"",0)</f>
        <v>NUTRICAO</v>
      </c>
      <c r="P1620" s="1" t="str">
        <f>TEXT(WEEKDAY(ocupacao[[#This Row],[Data]]),"ddd")</f>
        <v>seg</v>
      </c>
      <c r="Q1620" s="1">
        <f t="shared" si="25"/>
        <v>1</v>
      </c>
    </row>
    <row r="1621" spans="1:17" x14ac:dyDescent="0.25">
      <c r="A1621" s="2">
        <v>44753</v>
      </c>
      <c r="B1621">
        <v>11</v>
      </c>
      <c r="C1621">
        <v>22</v>
      </c>
      <c r="D1621">
        <v>16</v>
      </c>
      <c r="E1621">
        <v>86</v>
      </c>
      <c r="F1621" s="1" t="s">
        <v>90</v>
      </c>
      <c r="G1621">
        <v>4</v>
      </c>
      <c r="H1621">
        <v>1</v>
      </c>
      <c r="I1621">
        <v>36</v>
      </c>
      <c r="J1621">
        <v>41</v>
      </c>
      <c r="K1621" s="33">
        <v>0.122</v>
      </c>
      <c r="L1621" s="1"/>
      <c r="M1621" s="1" t="str">
        <f>_xlfn.XLOOKUP(ocupacao[[#This Row],[UnidadeID]],unidades!$A:$A,unidades!$B:$B,"",0)</f>
        <v>Filial 2 - 11º</v>
      </c>
      <c r="N1621" s="1" t="str">
        <f>_xlfn.XLOOKUP(ocupacao[[#This Row],[UnidadeID]],unidades!$A:$A,unidades!$C:$C,"",0)</f>
        <v>Nova Iguaçu</v>
      </c>
      <c r="O1621" s="1" t="str">
        <f>_xlfn.XLOOKUP(ocupacao[[#This Row],[EspecialidadeID]],especialidades!$A:$A,especialidades!$B:$B,"",0)</f>
        <v>NUTRICAO</v>
      </c>
      <c r="P1621" s="1" t="str">
        <f>TEXT(WEEKDAY(ocupacao[[#This Row],[Data]]),"ddd")</f>
        <v>seg</v>
      </c>
      <c r="Q1621" s="1">
        <f t="shared" si="25"/>
        <v>0</v>
      </c>
    </row>
    <row r="1622" spans="1:17" x14ac:dyDescent="0.25">
      <c r="A1622" s="2">
        <v>44754</v>
      </c>
      <c r="B1622">
        <v>11</v>
      </c>
      <c r="C1622">
        <v>22</v>
      </c>
      <c r="D1622">
        <v>16</v>
      </c>
      <c r="E1622">
        <v>85</v>
      </c>
      <c r="F1622" s="1" t="s">
        <v>116</v>
      </c>
      <c r="G1622">
        <v>4</v>
      </c>
      <c r="H1622">
        <v>0</v>
      </c>
      <c r="I1622">
        <v>17</v>
      </c>
      <c r="J1622">
        <v>21</v>
      </c>
      <c r="K1622" s="33">
        <v>0.1905</v>
      </c>
      <c r="L1622" s="1"/>
      <c r="M1622" s="1" t="str">
        <f>_xlfn.XLOOKUP(ocupacao[[#This Row],[UnidadeID]],unidades!$A:$A,unidades!$B:$B,"",0)</f>
        <v>Filial 2 - 11º</v>
      </c>
      <c r="N1622" s="1" t="str">
        <f>_xlfn.XLOOKUP(ocupacao[[#This Row],[UnidadeID]],unidades!$A:$A,unidades!$C:$C,"",0)</f>
        <v>Nova Iguaçu</v>
      </c>
      <c r="O1622" s="1" t="str">
        <f>_xlfn.XLOOKUP(ocupacao[[#This Row],[EspecialidadeID]],especialidades!$A:$A,especialidades!$B:$B,"",0)</f>
        <v>NUTRICAO</v>
      </c>
      <c r="P1622" s="1" t="str">
        <f>TEXT(WEEKDAY(ocupacao[[#This Row],[Data]]),"ddd")</f>
        <v>ter</v>
      </c>
      <c r="Q1622" s="1">
        <f t="shared" si="25"/>
        <v>1</v>
      </c>
    </row>
    <row r="1623" spans="1:17" hidden="1" x14ac:dyDescent="0.25">
      <c r="A1623" s="2">
        <v>44754</v>
      </c>
      <c r="B1623">
        <v>11</v>
      </c>
      <c r="C1623">
        <v>22</v>
      </c>
      <c r="D1623">
        <v>16</v>
      </c>
      <c r="E1623">
        <v>85</v>
      </c>
      <c r="F1623" s="1" t="s">
        <v>116</v>
      </c>
      <c r="G1623">
        <v>4</v>
      </c>
      <c r="H1623">
        <v>5</v>
      </c>
      <c r="I1623">
        <v>17</v>
      </c>
      <c r="J1623">
        <v>26</v>
      </c>
      <c r="K1623" s="33">
        <v>0.34620000000000001</v>
      </c>
      <c r="L1623" s="1"/>
      <c r="M1623" s="1"/>
      <c r="N1623" s="1"/>
      <c r="O1623" s="1"/>
      <c r="P1623" s="1"/>
      <c r="Q1623" s="1"/>
    </row>
    <row r="1624" spans="1:17" x14ac:dyDescent="0.25">
      <c r="A1624" s="2">
        <v>44754</v>
      </c>
      <c r="B1624">
        <v>18</v>
      </c>
      <c r="C1624">
        <v>22</v>
      </c>
      <c r="D1624">
        <v>82</v>
      </c>
      <c r="E1624">
        <v>86</v>
      </c>
      <c r="F1624" s="1" t="s">
        <v>90</v>
      </c>
      <c r="G1624">
        <v>0</v>
      </c>
      <c r="H1624">
        <v>2</v>
      </c>
      <c r="I1624">
        <v>13</v>
      </c>
      <c r="J1624">
        <v>15</v>
      </c>
      <c r="K1624" s="33">
        <v>0.1333</v>
      </c>
      <c r="L1624" s="1"/>
      <c r="M1624" s="1" t="str">
        <f>_xlfn.XLOOKUP(ocupacao[[#This Row],[UnidadeID]],unidades!$A:$A,unidades!$B:$B,"",0)</f>
        <v>Miguel Couto</v>
      </c>
      <c r="N1624" s="1" t="str">
        <f>_xlfn.XLOOKUP(ocupacao[[#This Row],[UnidadeID]],unidades!$A:$A,unidades!$C:$C,"",0)</f>
        <v>Miguel Couto</v>
      </c>
      <c r="O1624" s="1" t="str">
        <f>_xlfn.XLOOKUP(ocupacao[[#This Row],[EspecialidadeID]],especialidades!$A:$A,especialidades!$B:$B,"",0)</f>
        <v>NUTRICAO</v>
      </c>
      <c r="P1624" s="1" t="str">
        <f>TEXT(WEEKDAY(ocupacao[[#This Row],[Data]]),"ddd")</f>
        <v>ter</v>
      </c>
      <c r="Q1624" s="1">
        <f t="shared" si="25"/>
        <v>0</v>
      </c>
    </row>
    <row r="1625" spans="1:17" x14ac:dyDescent="0.25">
      <c r="A1625" s="2">
        <v>44754</v>
      </c>
      <c r="B1625">
        <v>11</v>
      </c>
      <c r="C1625">
        <v>22</v>
      </c>
      <c r="D1625">
        <v>17</v>
      </c>
      <c r="E1625">
        <v>12230</v>
      </c>
      <c r="F1625" s="1" t="s">
        <v>378</v>
      </c>
      <c r="G1625">
        <v>0</v>
      </c>
      <c r="H1625">
        <v>0</v>
      </c>
      <c r="I1625">
        <v>25</v>
      </c>
      <c r="J1625">
        <v>25</v>
      </c>
      <c r="K1625" s="33">
        <v>0</v>
      </c>
      <c r="L1625" s="1"/>
      <c r="M1625" s="1" t="str">
        <f>_xlfn.XLOOKUP(ocupacao[[#This Row],[UnidadeID]],unidades!$A:$A,unidades!$B:$B,"",0)</f>
        <v>Filial 2 - 11º</v>
      </c>
      <c r="N1625" s="1" t="str">
        <f>_xlfn.XLOOKUP(ocupacao[[#This Row],[UnidadeID]],unidades!$A:$A,unidades!$C:$C,"",0)</f>
        <v>Nova Iguaçu</v>
      </c>
      <c r="O1625" s="1" t="str">
        <f>_xlfn.XLOOKUP(ocupacao[[#This Row],[EspecialidadeID]],especialidades!$A:$A,especialidades!$B:$B,"",0)</f>
        <v>NUTRICAO</v>
      </c>
      <c r="P1625" s="1" t="str">
        <f>TEXT(WEEKDAY(ocupacao[[#This Row],[Data]]),"ddd")</f>
        <v>ter</v>
      </c>
      <c r="Q1625" s="1">
        <f t="shared" si="25"/>
        <v>0</v>
      </c>
    </row>
    <row r="1626" spans="1:17" x14ac:dyDescent="0.25">
      <c r="A1626" s="2">
        <v>44755</v>
      </c>
      <c r="B1626">
        <v>24</v>
      </c>
      <c r="C1626">
        <v>22</v>
      </c>
      <c r="D1626">
        <v>66</v>
      </c>
      <c r="E1626">
        <v>86</v>
      </c>
      <c r="F1626" s="1" t="s">
        <v>90</v>
      </c>
      <c r="G1626">
        <v>0</v>
      </c>
      <c r="H1626">
        <v>0</v>
      </c>
      <c r="I1626">
        <v>16</v>
      </c>
      <c r="J1626">
        <v>16</v>
      </c>
      <c r="K1626" s="33">
        <v>0</v>
      </c>
      <c r="L1626" s="1"/>
      <c r="M1626" s="1" t="str">
        <f>_xlfn.XLOOKUP(ocupacao[[#This Row],[UnidadeID]],unidades!$A:$A,unidades!$B:$B,"",0)</f>
        <v>Nilópolis</v>
      </c>
      <c r="N1626" s="1" t="str">
        <f>_xlfn.XLOOKUP(ocupacao[[#This Row],[UnidadeID]],unidades!$A:$A,unidades!$C:$C,"",0)</f>
        <v>Nilópolis</v>
      </c>
      <c r="O1626" s="1" t="str">
        <f>_xlfn.XLOOKUP(ocupacao[[#This Row],[EspecialidadeID]],especialidades!$A:$A,especialidades!$B:$B,"",0)</f>
        <v>NUTRICAO</v>
      </c>
      <c r="P1626" s="1" t="str">
        <f>TEXT(WEEKDAY(ocupacao[[#This Row],[Data]]),"ddd")</f>
        <v>qua</v>
      </c>
      <c r="Q1626" s="1">
        <f t="shared" si="25"/>
        <v>0</v>
      </c>
    </row>
    <row r="1627" spans="1:17" hidden="1" x14ac:dyDescent="0.25">
      <c r="A1627" s="2">
        <v>44755</v>
      </c>
      <c r="B1627">
        <v>11</v>
      </c>
      <c r="C1627">
        <v>22</v>
      </c>
      <c r="D1627">
        <v>12</v>
      </c>
      <c r="E1627">
        <v>531</v>
      </c>
      <c r="F1627" s="1" t="s">
        <v>115</v>
      </c>
      <c r="G1627">
        <v>4</v>
      </c>
      <c r="H1627">
        <v>0</v>
      </c>
      <c r="I1627">
        <v>28</v>
      </c>
      <c r="J1627">
        <v>32</v>
      </c>
      <c r="K1627" s="33">
        <v>0.125</v>
      </c>
      <c r="L1627" s="1"/>
      <c r="M1627" s="1"/>
      <c r="N1627" s="1"/>
      <c r="O1627" s="1"/>
      <c r="P1627" s="1"/>
      <c r="Q1627" s="1"/>
    </row>
    <row r="1628" spans="1:17" x14ac:dyDescent="0.25">
      <c r="A1628" s="2">
        <v>44755</v>
      </c>
      <c r="B1628">
        <v>11</v>
      </c>
      <c r="C1628">
        <v>22</v>
      </c>
      <c r="D1628">
        <v>12</v>
      </c>
      <c r="E1628">
        <v>531</v>
      </c>
      <c r="F1628" s="1" t="s">
        <v>115</v>
      </c>
      <c r="G1628">
        <v>4</v>
      </c>
      <c r="H1628">
        <v>3</v>
      </c>
      <c r="I1628">
        <v>28</v>
      </c>
      <c r="J1628">
        <v>35</v>
      </c>
      <c r="K1628" s="33">
        <v>0.2</v>
      </c>
      <c r="L1628" s="1"/>
      <c r="M1628" s="1" t="str">
        <f>_xlfn.XLOOKUP(ocupacao[[#This Row],[UnidadeID]],unidades!$A:$A,unidades!$B:$B,"",0)</f>
        <v>Filial 2 - 11º</v>
      </c>
      <c r="N1628" s="1" t="str">
        <f>_xlfn.XLOOKUP(ocupacao[[#This Row],[UnidadeID]],unidades!$A:$A,unidades!$C:$C,"",0)</f>
        <v>Nova Iguaçu</v>
      </c>
      <c r="O1628" s="1" t="str">
        <f>_xlfn.XLOOKUP(ocupacao[[#This Row],[EspecialidadeID]],especialidades!$A:$A,especialidades!$B:$B,"",0)</f>
        <v>NUTRICAO</v>
      </c>
      <c r="P1628" s="1" t="str">
        <f>TEXT(WEEKDAY(ocupacao[[#This Row],[Data]]),"ddd")</f>
        <v>qua</v>
      </c>
      <c r="Q1628" s="1">
        <f t="shared" si="25"/>
        <v>0</v>
      </c>
    </row>
    <row r="1629" spans="1:17" hidden="1" x14ac:dyDescent="0.25">
      <c r="A1629" s="2">
        <v>44756</v>
      </c>
      <c r="B1629">
        <v>11</v>
      </c>
      <c r="C1629">
        <v>22</v>
      </c>
      <c r="D1629">
        <v>16</v>
      </c>
      <c r="E1629">
        <v>85</v>
      </c>
      <c r="F1629" s="1" t="s">
        <v>116</v>
      </c>
      <c r="G1629">
        <v>4</v>
      </c>
      <c r="H1629">
        <v>0</v>
      </c>
      <c r="I1629">
        <v>22</v>
      </c>
      <c r="J1629">
        <v>26</v>
      </c>
      <c r="K1629" s="33">
        <v>0.15379999999999999</v>
      </c>
      <c r="L1629" s="1"/>
      <c r="M1629" s="1"/>
      <c r="N1629" s="1"/>
      <c r="O1629" s="1"/>
      <c r="P1629" s="1"/>
      <c r="Q1629" s="1"/>
    </row>
    <row r="1630" spans="1:17" hidden="1" x14ac:dyDescent="0.25">
      <c r="A1630" s="2"/>
      <c r="F1630" s="1"/>
      <c r="K1630" s="33"/>
      <c r="L1630" s="1"/>
      <c r="M1630" s="1"/>
      <c r="N1630" s="1"/>
      <c r="O1630" s="1"/>
      <c r="P1630" s="1"/>
      <c r="Q1630" s="1"/>
    </row>
    <row r="1631" spans="1:17" x14ac:dyDescent="0.25">
      <c r="A1631" s="2">
        <v>44756</v>
      </c>
      <c r="B1631">
        <v>11</v>
      </c>
      <c r="C1631">
        <v>22</v>
      </c>
      <c r="D1631">
        <v>12</v>
      </c>
      <c r="E1631">
        <v>531</v>
      </c>
      <c r="F1631" s="1" t="s">
        <v>115</v>
      </c>
      <c r="G1631">
        <v>0</v>
      </c>
      <c r="H1631">
        <v>1</v>
      </c>
      <c r="I1631">
        <v>27</v>
      </c>
      <c r="J1631">
        <v>28</v>
      </c>
      <c r="K1631" s="33">
        <v>3.5700000000000003E-2</v>
      </c>
      <c r="L1631" s="1"/>
      <c r="M1631" s="1" t="str">
        <f>_xlfn.XLOOKUP(ocupacao[[#This Row],[UnidadeID]],unidades!$A:$A,unidades!$B:$B,"",0)</f>
        <v>Filial 2 - 11º</v>
      </c>
      <c r="N1631" s="1" t="str">
        <f>_xlfn.XLOOKUP(ocupacao[[#This Row],[UnidadeID]],unidades!$A:$A,unidades!$C:$C,"",0)</f>
        <v>Nova Iguaçu</v>
      </c>
      <c r="O1631" s="1" t="str">
        <f>_xlfn.XLOOKUP(ocupacao[[#This Row],[EspecialidadeID]],especialidades!$A:$A,especialidades!$B:$B,"",0)</f>
        <v>NUTRICAO</v>
      </c>
      <c r="P1631" s="1" t="str">
        <f>TEXT(WEEKDAY(ocupacao[[#This Row],[Data]]),"ddd")</f>
        <v>qui</v>
      </c>
      <c r="Q1631" s="1">
        <f t="shared" si="25"/>
        <v>1</v>
      </c>
    </row>
    <row r="1632" spans="1:17" x14ac:dyDescent="0.25">
      <c r="A1632" s="2">
        <v>44756</v>
      </c>
      <c r="B1632">
        <v>11</v>
      </c>
      <c r="C1632">
        <v>22</v>
      </c>
      <c r="D1632">
        <v>372</v>
      </c>
      <c r="E1632">
        <v>531</v>
      </c>
      <c r="F1632" s="1" t="s">
        <v>115</v>
      </c>
      <c r="G1632">
        <v>0</v>
      </c>
      <c r="H1632">
        <v>1</v>
      </c>
      <c r="I1632">
        <v>27</v>
      </c>
      <c r="J1632">
        <v>28</v>
      </c>
      <c r="K1632" s="33">
        <v>3.5700000000000003E-2</v>
      </c>
      <c r="L1632" s="1"/>
      <c r="M1632" s="1" t="str">
        <f>_xlfn.XLOOKUP(ocupacao[[#This Row],[UnidadeID]],unidades!$A:$A,unidades!$B:$B,"",0)</f>
        <v>Filial 2 - 11º</v>
      </c>
      <c r="N1632" s="1" t="str">
        <f>_xlfn.XLOOKUP(ocupacao[[#This Row],[UnidadeID]],unidades!$A:$A,unidades!$C:$C,"",0)</f>
        <v>Nova Iguaçu</v>
      </c>
      <c r="O1632" s="1" t="str">
        <f>_xlfn.XLOOKUP(ocupacao[[#This Row],[EspecialidadeID]],especialidades!$A:$A,especialidades!$B:$B,"",0)</f>
        <v>NUTRICAO</v>
      </c>
      <c r="P1632" s="1" t="str">
        <f>TEXT(WEEKDAY(ocupacao[[#This Row],[Data]]),"ddd")</f>
        <v>qui</v>
      </c>
      <c r="Q1632" s="1">
        <f t="shared" si="25"/>
        <v>0</v>
      </c>
    </row>
    <row r="1633" spans="1:17" x14ac:dyDescent="0.25">
      <c r="A1633" s="2"/>
      <c r="F1633" s="1" t="s">
        <v>106</v>
      </c>
      <c r="K1633" s="33"/>
      <c r="L1633" s="1"/>
      <c r="M1633" s="1">
        <f>_xlfn.XLOOKUP(ocupacao[[#This Row],[UnidadeID]],unidades!$A:$A,unidades!$B:$B,"",0)</f>
        <v>0</v>
      </c>
      <c r="N1633" s="1">
        <f>_xlfn.XLOOKUP(ocupacao[[#This Row],[UnidadeID]],unidades!$A:$A,unidades!$C:$C,"",0)</f>
        <v>0</v>
      </c>
      <c r="O1633" s="1">
        <f>_xlfn.XLOOKUP(ocupacao[[#This Row],[EspecialidadeID]],especialidades!$A:$A,especialidades!$B:$B,"",0)</f>
        <v>0</v>
      </c>
      <c r="P1633" s="1" t="str">
        <f>TEXT(WEEKDAY(ocupacao[[#This Row],[Data]]),"ddd")</f>
        <v>sáb</v>
      </c>
      <c r="Q1633" s="1">
        <f t="shared" si="25"/>
        <v>0</v>
      </c>
    </row>
    <row r="1634" spans="1:17" x14ac:dyDescent="0.25">
      <c r="A1634" s="2">
        <v>44746</v>
      </c>
      <c r="B1634">
        <v>11</v>
      </c>
      <c r="C1634">
        <v>23</v>
      </c>
      <c r="D1634">
        <v>18</v>
      </c>
      <c r="E1634">
        <v>2567</v>
      </c>
      <c r="F1634" s="1" t="s">
        <v>92</v>
      </c>
      <c r="G1634">
        <v>12</v>
      </c>
      <c r="H1634">
        <v>57</v>
      </c>
      <c r="I1634">
        <v>0</v>
      </c>
      <c r="J1634">
        <v>69</v>
      </c>
      <c r="K1634" s="33">
        <v>1</v>
      </c>
      <c r="L1634" s="1"/>
      <c r="M1634" s="1" t="str">
        <f>_xlfn.XLOOKUP(ocupacao[[#This Row],[UnidadeID]],unidades!$A:$A,unidades!$B:$B,"",0)</f>
        <v>Filial 2 - 11º</v>
      </c>
      <c r="N1634" s="1" t="str">
        <f>_xlfn.XLOOKUP(ocupacao[[#This Row],[UnidadeID]],unidades!$A:$A,unidades!$C:$C,"",0)</f>
        <v>Nova Iguaçu</v>
      </c>
      <c r="O1634" s="1" t="str">
        <f>_xlfn.XLOOKUP(ocupacao[[#This Row],[EspecialidadeID]],especialidades!$A:$A,especialidades!$B:$B,"",0)</f>
        <v>NEUROLOGIA</v>
      </c>
      <c r="P1634" s="1" t="str">
        <f>TEXT(WEEKDAY(ocupacao[[#This Row],[Data]]),"ddd")</f>
        <v>seg</v>
      </c>
      <c r="Q1634" s="1">
        <f t="shared" si="25"/>
        <v>1</v>
      </c>
    </row>
    <row r="1635" spans="1:17" x14ac:dyDescent="0.25">
      <c r="A1635" s="2">
        <v>44748</v>
      </c>
      <c r="B1635">
        <v>11</v>
      </c>
      <c r="C1635">
        <v>23</v>
      </c>
      <c r="D1635">
        <v>18</v>
      </c>
      <c r="E1635">
        <v>2567</v>
      </c>
      <c r="F1635" s="1" t="s">
        <v>92</v>
      </c>
      <c r="G1635">
        <v>0</v>
      </c>
      <c r="H1635">
        <v>24</v>
      </c>
      <c r="I1635">
        <v>0</v>
      </c>
      <c r="J1635">
        <v>24</v>
      </c>
      <c r="K1635" s="33">
        <v>1</v>
      </c>
      <c r="L1635" s="1"/>
      <c r="M1635" s="1" t="str">
        <f>_xlfn.XLOOKUP(ocupacao[[#This Row],[UnidadeID]],unidades!$A:$A,unidades!$B:$B,"",0)</f>
        <v>Filial 2 - 11º</v>
      </c>
      <c r="N1635" s="1" t="str">
        <f>_xlfn.XLOOKUP(ocupacao[[#This Row],[UnidadeID]],unidades!$A:$A,unidades!$C:$C,"",0)</f>
        <v>Nova Iguaçu</v>
      </c>
      <c r="O1635" s="1" t="str">
        <f>_xlfn.XLOOKUP(ocupacao[[#This Row],[EspecialidadeID]],especialidades!$A:$A,especialidades!$B:$B,"",0)</f>
        <v>NEUROLOGIA</v>
      </c>
      <c r="P1635" s="1" t="str">
        <f>TEXT(WEEKDAY(ocupacao[[#This Row],[Data]]),"ddd")</f>
        <v>qua</v>
      </c>
      <c r="Q1635" s="1">
        <f t="shared" si="25"/>
        <v>0</v>
      </c>
    </row>
    <row r="1636" spans="1:17" hidden="1" x14ac:dyDescent="0.25">
      <c r="A1636" s="2">
        <v>44748</v>
      </c>
      <c r="B1636">
        <v>11</v>
      </c>
      <c r="C1636">
        <v>23</v>
      </c>
      <c r="D1636">
        <v>18</v>
      </c>
      <c r="E1636">
        <v>10799</v>
      </c>
      <c r="F1636" s="1" t="s">
        <v>313</v>
      </c>
      <c r="G1636">
        <v>0</v>
      </c>
      <c r="H1636">
        <v>22</v>
      </c>
      <c r="I1636">
        <v>0</v>
      </c>
      <c r="J1636">
        <v>22</v>
      </c>
      <c r="K1636" s="33">
        <v>1</v>
      </c>
      <c r="L1636" s="1"/>
      <c r="M1636" s="1"/>
      <c r="N1636" s="1"/>
      <c r="O1636" s="1"/>
      <c r="P1636" s="1"/>
      <c r="Q1636" s="1"/>
    </row>
    <row r="1637" spans="1:17" x14ac:dyDescent="0.25">
      <c r="A1637" s="2">
        <v>44749</v>
      </c>
      <c r="B1637">
        <v>11</v>
      </c>
      <c r="C1637">
        <v>23</v>
      </c>
      <c r="D1637">
        <v>18</v>
      </c>
      <c r="E1637">
        <v>2567</v>
      </c>
      <c r="F1637" s="1" t="s">
        <v>92</v>
      </c>
      <c r="G1637">
        <v>0</v>
      </c>
      <c r="H1637">
        <v>24</v>
      </c>
      <c r="I1637">
        <v>0</v>
      </c>
      <c r="J1637">
        <v>24</v>
      </c>
      <c r="K1637" s="33">
        <v>1</v>
      </c>
      <c r="L1637" s="1"/>
      <c r="M1637" s="1" t="str">
        <f>_xlfn.XLOOKUP(ocupacao[[#This Row],[UnidadeID]],unidades!$A:$A,unidades!$B:$B,"",0)</f>
        <v>Filial 2 - 11º</v>
      </c>
      <c r="N1637" s="1" t="str">
        <f>_xlfn.XLOOKUP(ocupacao[[#This Row],[UnidadeID]],unidades!$A:$A,unidades!$C:$C,"",0)</f>
        <v>Nova Iguaçu</v>
      </c>
      <c r="O1637" s="1" t="str">
        <f>_xlfn.XLOOKUP(ocupacao[[#This Row],[EspecialidadeID]],especialidades!$A:$A,especialidades!$B:$B,"",0)</f>
        <v>NEUROLOGIA</v>
      </c>
      <c r="P1637" s="1" t="str">
        <f>TEXT(WEEKDAY(ocupacao[[#This Row],[Data]]),"ddd")</f>
        <v>qui</v>
      </c>
      <c r="Q1637" s="1">
        <f t="shared" si="25"/>
        <v>1</v>
      </c>
    </row>
    <row r="1638" spans="1:17" x14ac:dyDescent="0.25">
      <c r="A1638" s="2">
        <v>44750</v>
      </c>
      <c r="B1638">
        <v>11</v>
      </c>
      <c r="C1638">
        <v>23</v>
      </c>
      <c r="D1638">
        <v>18</v>
      </c>
      <c r="E1638">
        <v>2567</v>
      </c>
      <c r="F1638" s="1" t="s">
        <v>92</v>
      </c>
      <c r="G1638">
        <v>0</v>
      </c>
      <c r="H1638">
        <v>24</v>
      </c>
      <c r="I1638">
        <v>0</v>
      </c>
      <c r="J1638">
        <v>24</v>
      </c>
      <c r="K1638" s="33">
        <v>1</v>
      </c>
      <c r="L1638" s="1"/>
      <c r="M1638" s="1" t="str">
        <f>_xlfn.XLOOKUP(ocupacao[[#This Row],[UnidadeID]],unidades!$A:$A,unidades!$B:$B,"",0)</f>
        <v>Filial 2 - 11º</v>
      </c>
      <c r="N1638" s="1" t="str">
        <f>_xlfn.XLOOKUP(ocupacao[[#This Row],[UnidadeID]],unidades!$A:$A,unidades!$C:$C,"",0)</f>
        <v>Nova Iguaçu</v>
      </c>
      <c r="O1638" s="1" t="str">
        <f>_xlfn.XLOOKUP(ocupacao[[#This Row],[EspecialidadeID]],especialidades!$A:$A,especialidades!$B:$B,"",0)</f>
        <v>NEUROLOGIA</v>
      </c>
      <c r="P1638" s="1" t="str">
        <f>TEXT(WEEKDAY(ocupacao[[#This Row],[Data]]),"ddd")</f>
        <v>sex</v>
      </c>
      <c r="Q1638" s="1">
        <f t="shared" si="25"/>
        <v>1</v>
      </c>
    </row>
    <row r="1639" spans="1:17" x14ac:dyDescent="0.25">
      <c r="A1639" s="2">
        <v>44753</v>
      </c>
      <c r="B1639">
        <v>11</v>
      </c>
      <c r="C1639">
        <v>23</v>
      </c>
      <c r="D1639">
        <v>18</v>
      </c>
      <c r="E1639">
        <v>2567</v>
      </c>
      <c r="F1639" s="1" t="s">
        <v>92</v>
      </c>
      <c r="G1639">
        <v>12</v>
      </c>
      <c r="H1639">
        <v>57</v>
      </c>
      <c r="I1639">
        <v>0</v>
      </c>
      <c r="J1639">
        <v>69</v>
      </c>
      <c r="K1639" s="33">
        <v>1</v>
      </c>
      <c r="L1639" s="1"/>
      <c r="M1639" s="1" t="str">
        <f>_xlfn.XLOOKUP(ocupacao[[#This Row],[UnidadeID]],unidades!$A:$A,unidades!$B:$B,"",0)</f>
        <v>Filial 2 - 11º</v>
      </c>
      <c r="N1639" s="1" t="str">
        <f>_xlfn.XLOOKUP(ocupacao[[#This Row],[UnidadeID]],unidades!$A:$A,unidades!$C:$C,"",0)</f>
        <v>Nova Iguaçu</v>
      </c>
      <c r="O1639" s="1" t="str">
        <f>_xlfn.XLOOKUP(ocupacao[[#This Row],[EspecialidadeID]],especialidades!$A:$A,especialidades!$B:$B,"",0)</f>
        <v>NEUROLOGIA</v>
      </c>
      <c r="P1639" s="1" t="str">
        <f>TEXT(WEEKDAY(ocupacao[[#This Row],[Data]]),"ddd")</f>
        <v>seg</v>
      </c>
      <c r="Q1639" s="1">
        <f t="shared" si="25"/>
        <v>1</v>
      </c>
    </row>
    <row r="1640" spans="1:17" x14ac:dyDescent="0.25">
      <c r="A1640" s="2">
        <v>44755</v>
      </c>
      <c r="B1640">
        <v>11</v>
      </c>
      <c r="C1640">
        <v>23</v>
      </c>
      <c r="D1640">
        <v>18</v>
      </c>
      <c r="E1640">
        <v>2567</v>
      </c>
      <c r="F1640" s="1" t="s">
        <v>92</v>
      </c>
      <c r="G1640">
        <v>0</v>
      </c>
      <c r="H1640">
        <v>24</v>
      </c>
      <c r="I1640">
        <v>0</v>
      </c>
      <c r="J1640">
        <v>24</v>
      </c>
      <c r="K1640" s="33">
        <v>1</v>
      </c>
      <c r="L1640" s="1"/>
      <c r="M1640" s="1" t="str">
        <f>_xlfn.XLOOKUP(ocupacao[[#This Row],[UnidadeID]],unidades!$A:$A,unidades!$B:$B,"",0)</f>
        <v>Filial 2 - 11º</v>
      </c>
      <c r="N1640" s="1" t="str">
        <f>_xlfn.XLOOKUP(ocupacao[[#This Row],[UnidadeID]],unidades!$A:$A,unidades!$C:$C,"",0)</f>
        <v>Nova Iguaçu</v>
      </c>
      <c r="O1640" s="1" t="str">
        <f>_xlfn.XLOOKUP(ocupacao[[#This Row],[EspecialidadeID]],especialidades!$A:$A,especialidades!$B:$B,"",0)</f>
        <v>NEUROLOGIA</v>
      </c>
      <c r="P1640" s="1" t="str">
        <f>TEXT(WEEKDAY(ocupacao[[#This Row],[Data]]),"ddd")</f>
        <v>qua</v>
      </c>
      <c r="Q1640" s="1">
        <f t="shared" si="25"/>
        <v>0</v>
      </c>
    </row>
    <row r="1641" spans="1:17" x14ac:dyDescent="0.25">
      <c r="A1641" s="2">
        <v>44755</v>
      </c>
      <c r="B1641">
        <v>11</v>
      </c>
      <c r="C1641">
        <v>23</v>
      </c>
      <c r="D1641">
        <v>18</v>
      </c>
      <c r="E1641">
        <v>10799</v>
      </c>
      <c r="F1641" s="1" t="s">
        <v>313</v>
      </c>
      <c r="G1641">
        <v>0</v>
      </c>
      <c r="H1641">
        <v>22</v>
      </c>
      <c r="I1641">
        <v>0</v>
      </c>
      <c r="J1641">
        <v>22</v>
      </c>
      <c r="K1641" s="33">
        <v>1</v>
      </c>
      <c r="L1641" s="1"/>
      <c r="M1641" s="1" t="str">
        <f>_xlfn.XLOOKUP(ocupacao[[#This Row],[UnidadeID]],unidades!$A:$A,unidades!$B:$B,"",0)</f>
        <v>Filial 2 - 11º</v>
      </c>
      <c r="N1641" s="1" t="str">
        <f>_xlfn.XLOOKUP(ocupacao[[#This Row],[UnidadeID]],unidades!$A:$A,unidades!$C:$C,"",0)</f>
        <v>Nova Iguaçu</v>
      </c>
      <c r="O1641" s="1" t="str">
        <f>_xlfn.XLOOKUP(ocupacao[[#This Row],[EspecialidadeID]],especialidades!$A:$A,especialidades!$B:$B,"",0)</f>
        <v>NEUROLOGIA</v>
      </c>
      <c r="P1641" s="1" t="str">
        <f>TEXT(WEEKDAY(ocupacao[[#This Row],[Data]]),"ddd")</f>
        <v>qua</v>
      </c>
      <c r="Q1641" s="1">
        <f t="shared" si="25"/>
        <v>0</v>
      </c>
    </row>
    <row r="1642" spans="1:17" hidden="1" x14ac:dyDescent="0.25">
      <c r="A1642" s="2">
        <v>44756</v>
      </c>
      <c r="B1642">
        <v>11</v>
      </c>
      <c r="C1642">
        <v>23</v>
      </c>
      <c r="D1642">
        <v>18</v>
      </c>
      <c r="E1642">
        <v>2567</v>
      </c>
      <c r="F1642" s="1" t="s">
        <v>92</v>
      </c>
      <c r="G1642">
        <v>0</v>
      </c>
      <c r="H1642">
        <v>24</v>
      </c>
      <c r="I1642">
        <v>0</v>
      </c>
      <c r="J1642">
        <v>24</v>
      </c>
      <c r="K1642" s="33">
        <v>1</v>
      </c>
      <c r="L1642" s="1"/>
      <c r="M1642" s="1"/>
      <c r="N1642" s="1"/>
      <c r="O1642" s="1"/>
      <c r="P1642" s="1"/>
      <c r="Q1642" s="1"/>
    </row>
    <row r="1643" spans="1:17" x14ac:dyDescent="0.25">
      <c r="A1643" s="2"/>
      <c r="F1643" s="1" t="s">
        <v>106</v>
      </c>
      <c r="K1643" s="33"/>
      <c r="L1643" s="1"/>
      <c r="M1643" s="1">
        <f>_xlfn.XLOOKUP(ocupacao[[#This Row],[UnidadeID]],unidades!$A:$A,unidades!$B:$B,"",0)</f>
        <v>0</v>
      </c>
      <c r="N1643" s="1">
        <f>_xlfn.XLOOKUP(ocupacao[[#This Row],[UnidadeID]],unidades!$A:$A,unidades!$C:$C,"",0)</f>
        <v>0</v>
      </c>
      <c r="O1643" s="1">
        <f>_xlfn.XLOOKUP(ocupacao[[#This Row],[EspecialidadeID]],especialidades!$A:$A,especialidades!$B:$B,"",0)</f>
        <v>0</v>
      </c>
      <c r="P1643" s="1" t="str">
        <f>TEXT(WEEKDAY(ocupacao[[#This Row],[Data]]),"ddd")</f>
        <v>sáb</v>
      </c>
      <c r="Q1643" s="1">
        <f t="shared" si="25"/>
        <v>0</v>
      </c>
    </row>
    <row r="1644" spans="1:17" hidden="1" x14ac:dyDescent="0.25">
      <c r="A1644" s="2">
        <v>44744</v>
      </c>
      <c r="B1644">
        <v>22</v>
      </c>
      <c r="C1644">
        <v>24</v>
      </c>
      <c r="D1644">
        <v>46</v>
      </c>
      <c r="E1644">
        <v>6046</v>
      </c>
      <c r="F1644" s="1" t="s">
        <v>142</v>
      </c>
      <c r="G1644">
        <v>0</v>
      </c>
      <c r="H1644">
        <v>15</v>
      </c>
      <c r="I1644">
        <v>0</v>
      </c>
      <c r="J1644">
        <v>15</v>
      </c>
      <c r="K1644" s="33">
        <v>1</v>
      </c>
      <c r="L1644" s="1"/>
      <c r="M1644" s="1"/>
      <c r="N1644" s="1"/>
      <c r="O1644" s="1"/>
      <c r="P1644" s="1"/>
      <c r="Q1644" s="1"/>
    </row>
    <row r="1645" spans="1:17" hidden="1" x14ac:dyDescent="0.25">
      <c r="A1645" s="2"/>
      <c r="F1645" s="1"/>
      <c r="K1645" s="33"/>
      <c r="L1645" s="1"/>
      <c r="M1645" s="1"/>
      <c r="N1645" s="1"/>
      <c r="O1645" s="1"/>
      <c r="P1645" s="1"/>
      <c r="Q1645" s="1"/>
    </row>
    <row r="1646" spans="1:17" x14ac:dyDescent="0.25">
      <c r="A1646" s="2">
        <v>44746</v>
      </c>
      <c r="B1646">
        <v>22</v>
      </c>
      <c r="C1646">
        <v>24</v>
      </c>
      <c r="D1646">
        <v>46</v>
      </c>
      <c r="E1646">
        <v>6046</v>
      </c>
      <c r="F1646" s="1" t="s">
        <v>142</v>
      </c>
      <c r="G1646">
        <v>0</v>
      </c>
      <c r="H1646">
        <v>6</v>
      </c>
      <c r="I1646">
        <v>31</v>
      </c>
      <c r="J1646">
        <v>37</v>
      </c>
      <c r="K1646" s="33">
        <v>0.16220000000000001</v>
      </c>
      <c r="L1646" s="1"/>
      <c r="M1646" s="1" t="str">
        <f>_xlfn.XLOOKUP(ocupacao[[#This Row],[UnidadeID]],unidades!$A:$A,unidades!$B:$B,"",0)</f>
        <v>Filial 1</v>
      </c>
      <c r="N1646" s="1" t="str">
        <f>_xlfn.XLOOKUP(ocupacao[[#This Row],[UnidadeID]],unidades!$A:$A,unidades!$C:$C,"",0)</f>
        <v>Nova Iguaçu</v>
      </c>
      <c r="O1646" s="1" t="str">
        <f>_xlfn.XLOOKUP(ocupacao[[#This Row],[EspecialidadeID]],especialidades!$A:$A,especialidades!$B:$B,"",0)</f>
        <v>UROLOGIA</v>
      </c>
      <c r="P1646" s="1" t="str">
        <f>TEXT(WEEKDAY(ocupacao[[#This Row],[Data]]),"ddd")</f>
        <v>seg</v>
      </c>
      <c r="Q1646" s="1">
        <f t="shared" si="25"/>
        <v>1</v>
      </c>
    </row>
    <row r="1647" spans="1:17" x14ac:dyDescent="0.25">
      <c r="A1647" s="2">
        <v>44746</v>
      </c>
      <c r="B1647">
        <v>22</v>
      </c>
      <c r="C1647">
        <v>24</v>
      </c>
      <c r="D1647">
        <v>62</v>
      </c>
      <c r="E1647">
        <v>6046</v>
      </c>
      <c r="F1647" s="1" t="s">
        <v>142</v>
      </c>
      <c r="G1647">
        <v>0</v>
      </c>
      <c r="H1647">
        <v>4</v>
      </c>
      <c r="I1647">
        <v>31</v>
      </c>
      <c r="J1647">
        <v>35</v>
      </c>
      <c r="K1647" s="33">
        <v>0.1143</v>
      </c>
      <c r="L1647" s="1"/>
      <c r="M1647" s="1" t="str">
        <f>_xlfn.XLOOKUP(ocupacao[[#This Row],[UnidadeID]],unidades!$A:$A,unidades!$B:$B,"",0)</f>
        <v>Filial 1</v>
      </c>
      <c r="N1647" s="1" t="str">
        <f>_xlfn.XLOOKUP(ocupacao[[#This Row],[UnidadeID]],unidades!$A:$A,unidades!$C:$C,"",0)</f>
        <v>Nova Iguaçu</v>
      </c>
      <c r="O1647" s="1" t="str">
        <f>_xlfn.XLOOKUP(ocupacao[[#This Row],[EspecialidadeID]],especialidades!$A:$A,especialidades!$B:$B,"",0)</f>
        <v>UROLOGIA</v>
      </c>
      <c r="P1647" s="1" t="str">
        <f>TEXT(WEEKDAY(ocupacao[[#This Row],[Data]]),"ddd")</f>
        <v>seg</v>
      </c>
      <c r="Q1647" s="1">
        <f t="shared" si="25"/>
        <v>0</v>
      </c>
    </row>
    <row r="1648" spans="1:17" hidden="1" x14ac:dyDescent="0.25">
      <c r="A1648" s="2"/>
      <c r="F1648" s="1"/>
      <c r="K1648" s="33"/>
      <c r="L1648" s="1"/>
      <c r="M1648" s="1"/>
      <c r="N1648" s="1"/>
      <c r="O1648" s="1"/>
      <c r="P1648" s="1"/>
      <c r="Q1648" s="1"/>
    </row>
    <row r="1649" spans="1:17" x14ac:dyDescent="0.25">
      <c r="A1649" s="2">
        <v>44748</v>
      </c>
      <c r="B1649">
        <v>22</v>
      </c>
      <c r="C1649">
        <v>24</v>
      </c>
      <c r="D1649">
        <v>49</v>
      </c>
      <c r="E1649">
        <v>1794</v>
      </c>
      <c r="F1649" s="1" t="s">
        <v>86</v>
      </c>
      <c r="G1649">
        <v>0</v>
      </c>
      <c r="H1649">
        <v>13</v>
      </c>
      <c r="I1649">
        <v>22</v>
      </c>
      <c r="J1649">
        <v>35</v>
      </c>
      <c r="K1649" s="33">
        <v>0.37140000000000001</v>
      </c>
      <c r="L1649" s="1"/>
      <c r="M1649" s="1" t="str">
        <f>_xlfn.XLOOKUP(ocupacao[[#This Row],[UnidadeID]],unidades!$A:$A,unidades!$B:$B,"",0)</f>
        <v>Filial 1</v>
      </c>
      <c r="N1649" s="1" t="str">
        <f>_xlfn.XLOOKUP(ocupacao[[#This Row],[UnidadeID]],unidades!$A:$A,unidades!$C:$C,"",0)</f>
        <v>Nova Iguaçu</v>
      </c>
      <c r="O1649" s="1" t="str">
        <f>_xlfn.XLOOKUP(ocupacao[[#This Row],[EspecialidadeID]],especialidades!$A:$A,especialidades!$B:$B,"",0)</f>
        <v>UROLOGIA</v>
      </c>
      <c r="P1649" s="1" t="str">
        <f>TEXT(WEEKDAY(ocupacao[[#This Row],[Data]]),"ddd")</f>
        <v>qua</v>
      </c>
      <c r="Q1649" s="1">
        <f t="shared" si="25"/>
        <v>0</v>
      </c>
    </row>
    <row r="1650" spans="1:17" x14ac:dyDescent="0.25">
      <c r="A1650" s="2">
        <v>44749</v>
      </c>
      <c r="B1650">
        <v>22</v>
      </c>
      <c r="C1650">
        <v>24</v>
      </c>
      <c r="D1650">
        <v>46</v>
      </c>
      <c r="E1650">
        <v>6046</v>
      </c>
      <c r="F1650" s="1" t="s">
        <v>142</v>
      </c>
      <c r="G1650">
        <v>18</v>
      </c>
      <c r="H1650">
        <v>0</v>
      </c>
      <c r="I1650">
        <v>16</v>
      </c>
      <c r="J1650">
        <v>34</v>
      </c>
      <c r="K1650" s="33">
        <v>0.52939999999999998</v>
      </c>
      <c r="L1650" s="1"/>
      <c r="M1650" s="1" t="str">
        <f>_xlfn.XLOOKUP(ocupacao[[#This Row],[UnidadeID]],unidades!$A:$A,unidades!$B:$B,"",0)</f>
        <v>Filial 1</v>
      </c>
      <c r="N1650" s="1" t="str">
        <f>_xlfn.XLOOKUP(ocupacao[[#This Row],[UnidadeID]],unidades!$A:$A,unidades!$C:$C,"",0)</f>
        <v>Nova Iguaçu</v>
      </c>
      <c r="O1650" s="1" t="str">
        <f>_xlfn.XLOOKUP(ocupacao[[#This Row],[EspecialidadeID]],especialidades!$A:$A,especialidades!$B:$B,"",0)</f>
        <v>UROLOGIA</v>
      </c>
      <c r="P1650" s="1" t="str">
        <f>TEXT(WEEKDAY(ocupacao[[#This Row],[Data]]),"ddd")</f>
        <v>qui</v>
      </c>
      <c r="Q1650" s="1">
        <f t="shared" si="25"/>
        <v>1</v>
      </c>
    </row>
    <row r="1651" spans="1:17" x14ac:dyDescent="0.25">
      <c r="A1651" s="2">
        <v>44749</v>
      </c>
      <c r="B1651">
        <v>22</v>
      </c>
      <c r="C1651">
        <v>24</v>
      </c>
      <c r="D1651">
        <v>46</v>
      </c>
      <c r="E1651">
        <v>6046</v>
      </c>
      <c r="F1651" s="1" t="s">
        <v>142</v>
      </c>
      <c r="G1651">
        <v>18</v>
      </c>
      <c r="H1651">
        <v>2</v>
      </c>
      <c r="I1651">
        <v>16</v>
      </c>
      <c r="J1651">
        <v>36</v>
      </c>
      <c r="K1651" s="33">
        <v>0.55559999999999998</v>
      </c>
      <c r="L1651" s="1"/>
      <c r="M1651" s="1" t="str">
        <f>_xlfn.XLOOKUP(ocupacao[[#This Row],[UnidadeID]],unidades!$A:$A,unidades!$B:$B,"",0)</f>
        <v>Filial 1</v>
      </c>
      <c r="N1651" s="1" t="str">
        <f>_xlfn.XLOOKUP(ocupacao[[#This Row],[UnidadeID]],unidades!$A:$A,unidades!$C:$C,"",0)</f>
        <v>Nova Iguaçu</v>
      </c>
      <c r="O1651" s="1" t="str">
        <f>_xlfn.XLOOKUP(ocupacao[[#This Row],[EspecialidadeID]],especialidades!$A:$A,especialidades!$B:$B,"",0)</f>
        <v>UROLOGIA</v>
      </c>
      <c r="P1651" s="1" t="str">
        <f>TEXT(WEEKDAY(ocupacao[[#This Row],[Data]]),"ddd")</f>
        <v>qui</v>
      </c>
      <c r="Q1651" s="1">
        <f t="shared" si="25"/>
        <v>0</v>
      </c>
    </row>
    <row r="1652" spans="1:17" hidden="1" x14ac:dyDescent="0.25">
      <c r="A1652" s="2"/>
      <c r="F1652" s="1"/>
      <c r="K1652" s="33"/>
      <c r="L1652" s="1"/>
      <c r="M1652" s="1"/>
      <c r="N1652" s="1"/>
      <c r="O1652" s="1"/>
      <c r="P1652" s="1"/>
      <c r="Q1652" s="1"/>
    </row>
    <row r="1653" spans="1:17" x14ac:dyDescent="0.25">
      <c r="A1653" s="2">
        <v>44749</v>
      </c>
      <c r="B1653">
        <v>18</v>
      </c>
      <c r="C1653">
        <v>24</v>
      </c>
      <c r="D1653">
        <v>83</v>
      </c>
      <c r="E1653">
        <v>13479</v>
      </c>
      <c r="F1653" s="1" t="s">
        <v>103</v>
      </c>
      <c r="G1653">
        <v>0</v>
      </c>
      <c r="H1653">
        <v>9</v>
      </c>
      <c r="I1653">
        <v>7</v>
      </c>
      <c r="J1653">
        <v>16</v>
      </c>
      <c r="K1653" s="33">
        <v>0.5625</v>
      </c>
      <c r="L1653" s="1"/>
      <c r="M1653" s="1" t="str">
        <f>_xlfn.XLOOKUP(ocupacao[[#This Row],[UnidadeID]],unidades!$A:$A,unidades!$B:$B,"",0)</f>
        <v>Miguel Couto</v>
      </c>
      <c r="N1653" s="1" t="str">
        <f>_xlfn.XLOOKUP(ocupacao[[#This Row],[UnidadeID]],unidades!$A:$A,unidades!$C:$C,"",0)</f>
        <v>Miguel Couto</v>
      </c>
      <c r="O1653" s="1" t="str">
        <f>_xlfn.XLOOKUP(ocupacao[[#This Row],[EspecialidadeID]],especialidades!$A:$A,especialidades!$B:$B,"",0)</f>
        <v>UROLOGIA</v>
      </c>
      <c r="P1653" s="1" t="str">
        <f>TEXT(WEEKDAY(ocupacao[[#This Row],[Data]]),"ddd")</f>
        <v>qui</v>
      </c>
      <c r="Q1653" s="1">
        <f t="shared" si="25"/>
        <v>1</v>
      </c>
    </row>
    <row r="1654" spans="1:17" x14ac:dyDescent="0.25">
      <c r="A1654" s="2">
        <v>44749</v>
      </c>
      <c r="B1654">
        <v>18</v>
      </c>
      <c r="C1654">
        <v>24</v>
      </c>
      <c r="D1654">
        <v>83</v>
      </c>
      <c r="E1654">
        <v>13479</v>
      </c>
      <c r="F1654" s="1" t="s">
        <v>103</v>
      </c>
      <c r="G1654">
        <v>0</v>
      </c>
      <c r="H1654">
        <v>6</v>
      </c>
      <c r="I1654">
        <v>7</v>
      </c>
      <c r="J1654">
        <v>13</v>
      </c>
      <c r="K1654" s="33">
        <v>0.46150000000000002</v>
      </c>
      <c r="L1654" s="1"/>
      <c r="M1654" s="1" t="str">
        <f>_xlfn.XLOOKUP(ocupacao[[#This Row],[UnidadeID]],unidades!$A:$A,unidades!$B:$B,"",0)</f>
        <v>Miguel Couto</v>
      </c>
      <c r="N1654" s="1" t="str">
        <f>_xlfn.XLOOKUP(ocupacao[[#This Row],[UnidadeID]],unidades!$A:$A,unidades!$C:$C,"",0)</f>
        <v>Miguel Couto</v>
      </c>
      <c r="O1654" s="1" t="str">
        <f>_xlfn.XLOOKUP(ocupacao[[#This Row],[EspecialidadeID]],especialidades!$A:$A,especialidades!$B:$B,"",0)</f>
        <v>UROLOGIA</v>
      </c>
      <c r="P1654" s="1" t="str">
        <f>TEXT(WEEKDAY(ocupacao[[#This Row],[Data]]),"ddd")</f>
        <v>qui</v>
      </c>
      <c r="Q1654" s="1">
        <f t="shared" si="25"/>
        <v>0</v>
      </c>
    </row>
    <row r="1655" spans="1:17" hidden="1" x14ac:dyDescent="0.25">
      <c r="A1655" s="2"/>
      <c r="F1655" s="1"/>
      <c r="K1655" s="33"/>
      <c r="L1655" s="1"/>
      <c r="M1655" s="1"/>
      <c r="N1655" s="1"/>
      <c r="O1655" s="1"/>
      <c r="P1655" s="1"/>
      <c r="Q1655" s="1"/>
    </row>
    <row r="1656" spans="1:17" x14ac:dyDescent="0.25">
      <c r="A1656" s="2">
        <v>44751</v>
      </c>
      <c r="B1656">
        <v>22</v>
      </c>
      <c r="C1656">
        <v>24</v>
      </c>
      <c r="D1656">
        <v>46</v>
      </c>
      <c r="E1656">
        <v>6046</v>
      </c>
      <c r="F1656" s="1" t="s">
        <v>142</v>
      </c>
      <c r="G1656">
        <v>0</v>
      </c>
      <c r="H1656">
        <v>4</v>
      </c>
      <c r="I1656">
        <v>11</v>
      </c>
      <c r="J1656">
        <v>15</v>
      </c>
      <c r="K1656" s="33">
        <v>0.26669999999999999</v>
      </c>
      <c r="L1656" s="1"/>
      <c r="M1656" s="1" t="str">
        <f>_xlfn.XLOOKUP(ocupacao[[#This Row],[UnidadeID]],unidades!$A:$A,unidades!$B:$B,"",0)</f>
        <v>Filial 1</v>
      </c>
      <c r="N1656" s="1" t="str">
        <f>_xlfn.XLOOKUP(ocupacao[[#This Row],[UnidadeID]],unidades!$A:$A,unidades!$C:$C,"",0)</f>
        <v>Nova Iguaçu</v>
      </c>
      <c r="O1656" s="1" t="str">
        <f>_xlfn.XLOOKUP(ocupacao[[#This Row],[EspecialidadeID]],especialidades!$A:$A,especialidades!$B:$B,"",0)</f>
        <v>UROLOGIA</v>
      </c>
      <c r="P1656" s="1" t="str">
        <f>TEXT(WEEKDAY(ocupacao[[#This Row],[Data]]),"ddd")</f>
        <v>sáb</v>
      </c>
      <c r="Q1656" s="1">
        <f t="shared" si="25"/>
        <v>1</v>
      </c>
    </row>
    <row r="1657" spans="1:17" x14ac:dyDescent="0.25">
      <c r="A1657" s="2">
        <v>44753</v>
      </c>
      <c r="B1657">
        <v>22</v>
      </c>
      <c r="C1657">
        <v>24</v>
      </c>
      <c r="D1657">
        <v>46</v>
      </c>
      <c r="E1657">
        <v>6046</v>
      </c>
      <c r="F1657" s="1" t="s">
        <v>142</v>
      </c>
      <c r="G1657">
        <v>0</v>
      </c>
      <c r="H1657">
        <v>0</v>
      </c>
      <c r="I1657">
        <v>24</v>
      </c>
      <c r="J1657">
        <v>24</v>
      </c>
      <c r="K1657" s="33">
        <v>0</v>
      </c>
      <c r="L1657" s="1"/>
      <c r="M1657" s="1" t="str">
        <f>_xlfn.XLOOKUP(ocupacao[[#This Row],[UnidadeID]],unidades!$A:$A,unidades!$B:$B,"",0)</f>
        <v>Filial 1</v>
      </c>
      <c r="N1657" s="1" t="str">
        <f>_xlfn.XLOOKUP(ocupacao[[#This Row],[UnidadeID]],unidades!$A:$A,unidades!$C:$C,"",0)</f>
        <v>Nova Iguaçu</v>
      </c>
      <c r="O1657" s="1" t="str">
        <f>_xlfn.XLOOKUP(ocupacao[[#This Row],[EspecialidadeID]],especialidades!$A:$A,especialidades!$B:$B,"",0)</f>
        <v>UROLOGIA</v>
      </c>
      <c r="P1657" s="1" t="str">
        <f>TEXT(WEEKDAY(ocupacao[[#This Row],[Data]]),"ddd")</f>
        <v>seg</v>
      </c>
      <c r="Q1657" s="1">
        <f t="shared" si="25"/>
        <v>0</v>
      </c>
    </row>
    <row r="1658" spans="1:17" hidden="1" x14ac:dyDescent="0.25">
      <c r="A1658" s="2"/>
      <c r="F1658" s="1"/>
      <c r="K1658" s="33"/>
      <c r="L1658" s="1"/>
      <c r="M1658" s="1"/>
      <c r="N1658" s="1"/>
      <c r="O1658" s="1"/>
      <c r="P1658" s="1"/>
      <c r="Q1658" s="1"/>
    </row>
    <row r="1659" spans="1:17" x14ac:dyDescent="0.25">
      <c r="A1659" s="2">
        <v>44755</v>
      </c>
      <c r="B1659">
        <v>22</v>
      </c>
      <c r="C1659">
        <v>24</v>
      </c>
      <c r="D1659">
        <v>49</v>
      </c>
      <c r="E1659">
        <v>1794</v>
      </c>
      <c r="F1659" s="1" t="s">
        <v>86</v>
      </c>
      <c r="G1659">
        <v>0</v>
      </c>
      <c r="H1659">
        <v>1</v>
      </c>
      <c r="I1659">
        <v>34</v>
      </c>
      <c r="J1659">
        <v>35</v>
      </c>
      <c r="K1659" s="33">
        <v>2.86E-2</v>
      </c>
      <c r="L1659" s="1"/>
      <c r="M1659" s="1" t="str">
        <f>_xlfn.XLOOKUP(ocupacao[[#This Row],[UnidadeID]],unidades!$A:$A,unidades!$B:$B,"",0)</f>
        <v>Filial 1</v>
      </c>
      <c r="N1659" s="1" t="str">
        <f>_xlfn.XLOOKUP(ocupacao[[#This Row],[UnidadeID]],unidades!$A:$A,unidades!$C:$C,"",0)</f>
        <v>Nova Iguaçu</v>
      </c>
      <c r="O1659" s="1" t="str">
        <f>_xlfn.XLOOKUP(ocupacao[[#This Row],[EspecialidadeID]],especialidades!$A:$A,especialidades!$B:$B,"",0)</f>
        <v>UROLOGIA</v>
      </c>
      <c r="P1659" s="1" t="str">
        <f>TEXT(WEEKDAY(ocupacao[[#This Row],[Data]]),"ddd")</f>
        <v>qua</v>
      </c>
      <c r="Q1659" s="1">
        <f t="shared" si="25"/>
        <v>0</v>
      </c>
    </row>
    <row r="1660" spans="1:17" hidden="1" x14ac:dyDescent="0.25">
      <c r="A1660" s="2"/>
      <c r="F1660" s="1"/>
      <c r="K1660" s="33"/>
      <c r="L1660" s="1"/>
      <c r="M1660" s="1"/>
      <c r="N1660" s="1"/>
      <c r="O1660" s="1"/>
      <c r="P1660" s="1"/>
      <c r="Q1660" s="1"/>
    </row>
    <row r="1661" spans="1:17" x14ac:dyDescent="0.25">
      <c r="A1661" s="2">
        <v>44755</v>
      </c>
      <c r="B1661">
        <v>0</v>
      </c>
      <c r="C1661">
        <v>24</v>
      </c>
      <c r="D1661">
        <v>344</v>
      </c>
      <c r="E1661">
        <v>6046</v>
      </c>
      <c r="F1661" s="1" t="s">
        <v>142</v>
      </c>
      <c r="G1661">
        <v>0</v>
      </c>
      <c r="H1661">
        <v>1</v>
      </c>
      <c r="I1661">
        <v>18</v>
      </c>
      <c r="J1661">
        <v>19</v>
      </c>
      <c r="K1661" s="33">
        <v>5.2600000000000001E-2</v>
      </c>
      <c r="L1661" s="1"/>
      <c r="M1661" s="1" t="str">
        <f>_xlfn.XLOOKUP(ocupacao[[#This Row],[UnidadeID]],unidades!$A:$A,unidades!$B:$B,"",0)</f>
        <v>Matriz</v>
      </c>
      <c r="N1661" s="1" t="str">
        <f>_xlfn.XLOOKUP(ocupacao[[#This Row],[UnidadeID]],unidades!$A:$A,unidades!$C:$C,"",0)</f>
        <v>Nova Iguaçu</v>
      </c>
      <c r="O1661" s="1" t="str">
        <f>_xlfn.XLOOKUP(ocupacao[[#This Row],[EspecialidadeID]],especialidades!$A:$A,especialidades!$B:$B,"",0)</f>
        <v>UROLOGIA</v>
      </c>
      <c r="P1661" s="1" t="str">
        <f>TEXT(WEEKDAY(ocupacao[[#This Row],[Data]]),"ddd")</f>
        <v>qua</v>
      </c>
      <c r="Q1661" s="1">
        <f t="shared" si="25"/>
        <v>1</v>
      </c>
    </row>
    <row r="1662" spans="1:17" x14ac:dyDescent="0.25">
      <c r="A1662" s="2">
        <v>44756</v>
      </c>
      <c r="B1662">
        <v>22</v>
      </c>
      <c r="C1662">
        <v>24</v>
      </c>
      <c r="D1662">
        <v>46</v>
      </c>
      <c r="E1662">
        <v>6046</v>
      </c>
      <c r="F1662" s="1" t="s">
        <v>142</v>
      </c>
      <c r="G1662">
        <v>0</v>
      </c>
      <c r="H1662">
        <v>0</v>
      </c>
      <c r="I1662">
        <v>36</v>
      </c>
      <c r="J1662">
        <v>36</v>
      </c>
      <c r="K1662" s="33">
        <v>0</v>
      </c>
      <c r="L1662" s="1"/>
      <c r="M1662" s="1" t="str">
        <f>_xlfn.XLOOKUP(ocupacao[[#This Row],[UnidadeID]],unidades!$A:$A,unidades!$B:$B,"",0)</f>
        <v>Filial 1</v>
      </c>
      <c r="N1662" s="1" t="str">
        <f>_xlfn.XLOOKUP(ocupacao[[#This Row],[UnidadeID]],unidades!$A:$A,unidades!$C:$C,"",0)</f>
        <v>Nova Iguaçu</v>
      </c>
      <c r="O1662" s="1" t="str">
        <f>_xlfn.XLOOKUP(ocupacao[[#This Row],[EspecialidadeID]],especialidades!$A:$A,especialidades!$B:$B,"",0)</f>
        <v>UROLOGIA</v>
      </c>
      <c r="P1662" s="1" t="str">
        <f>TEXT(WEEKDAY(ocupacao[[#This Row],[Data]]),"ddd")</f>
        <v>qui</v>
      </c>
      <c r="Q1662" s="1">
        <f t="shared" si="25"/>
        <v>0</v>
      </c>
    </row>
    <row r="1663" spans="1:17" hidden="1" x14ac:dyDescent="0.25">
      <c r="A1663" s="2"/>
      <c r="F1663" s="1"/>
      <c r="K1663" s="33"/>
      <c r="L1663" s="1"/>
      <c r="M1663" s="1"/>
      <c r="N1663" s="1"/>
      <c r="O1663" s="1"/>
      <c r="P1663" s="1"/>
      <c r="Q1663" s="1"/>
    </row>
    <row r="1664" spans="1:17" x14ac:dyDescent="0.25">
      <c r="A1664" s="2">
        <v>44756</v>
      </c>
      <c r="B1664">
        <v>18</v>
      </c>
      <c r="C1664">
        <v>24</v>
      </c>
      <c r="D1664">
        <v>339</v>
      </c>
      <c r="E1664">
        <v>13479</v>
      </c>
      <c r="F1664" s="1" t="s">
        <v>103</v>
      </c>
      <c r="G1664">
        <v>0</v>
      </c>
      <c r="H1664">
        <v>5</v>
      </c>
      <c r="I1664">
        <v>9</v>
      </c>
      <c r="J1664">
        <v>14</v>
      </c>
      <c r="K1664" s="33">
        <v>0.35709999999999997</v>
      </c>
      <c r="L1664" s="1"/>
      <c r="M1664" s="1" t="str">
        <f>_xlfn.XLOOKUP(ocupacao[[#This Row],[UnidadeID]],unidades!$A:$A,unidades!$B:$B,"",0)</f>
        <v>Miguel Couto</v>
      </c>
      <c r="N1664" s="1" t="str">
        <f>_xlfn.XLOOKUP(ocupacao[[#This Row],[UnidadeID]],unidades!$A:$A,unidades!$C:$C,"",0)</f>
        <v>Miguel Couto</v>
      </c>
      <c r="O1664" s="1" t="str">
        <f>_xlfn.XLOOKUP(ocupacao[[#This Row],[EspecialidadeID]],especialidades!$A:$A,especialidades!$B:$B,"",0)</f>
        <v>UROLOGIA</v>
      </c>
      <c r="P1664" s="1" t="str">
        <f>TEXT(WEEKDAY(ocupacao[[#This Row],[Data]]),"ddd")</f>
        <v>qui</v>
      </c>
      <c r="Q1664" s="1">
        <f t="shared" si="25"/>
        <v>0</v>
      </c>
    </row>
    <row r="1665" spans="1:17" x14ac:dyDescent="0.25">
      <c r="A1665" s="2"/>
      <c r="F1665" s="1" t="s">
        <v>106</v>
      </c>
      <c r="K1665" s="33"/>
      <c r="L1665" s="1"/>
      <c r="M1665" s="1">
        <f>_xlfn.XLOOKUP(ocupacao[[#This Row],[UnidadeID]],unidades!$A:$A,unidades!$B:$B,"",0)</f>
        <v>0</v>
      </c>
      <c r="N1665" s="1">
        <f>_xlfn.XLOOKUP(ocupacao[[#This Row],[UnidadeID]],unidades!$A:$A,unidades!$C:$C,"",0)</f>
        <v>0</v>
      </c>
      <c r="O1665" s="1">
        <f>_xlfn.XLOOKUP(ocupacao[[#This Row],[EspecialidadeID]],especialidades!$A:$A,especialidades!$B:$B,"",0)</f>
        <v>0</v>
      </c>
      <c r="P1665" s="1" t="str">
        <f>TEXT(WEEKDAY(ocupacao[[#This Row],[Data]]),"ddd")</f>
        <v>sáb</v>
      </c>
      <c r="Q1665" s="1">
        <f t="shared" si="25"/>
        <v>0</v>
      </c>
    </row>
    <row r="1666" spans="1:17" x14ac:dyDescent="0.25">
      <c r="A1666" s="2">
        <v>44746</v>
      </c>
      <c r="B1666">
        <v>11</v>
      </c>
      <c r="C1666">
        <v>25</v>
      </c>
      <c r="D1666">
        <v>14</v>
      </c>
      <c r="E1666">
        <v>9138</v>
      </c>
      <c r="F1666" s="1" t="s">
        <v>319</v>
      </c>
      <c r="G1666">
        <v>0</v>
      </c>
      <c r="H1666">
        <v>0</v>
      </c>
      <c r="I1666">
        <v>16</v>
      </c>
      <c r="J1666">
        <v>16</v>
      </c>
      <c r="K1666" s="33">
        <v>0</v>
      </c>
      <c r="L1666" s="1"/>
      <c r="M1666" s="1" t="str">
        <f>_xlfn.XLOOKUP(ocupacao[[#This Row],[UnidadeID]],unidades!$A:$A,unidades!$B:$B,"",0)</f>
        <v>Filial 2 - 11º</v>
      </c>
      <c r="N1666" s="1" t="str">
        <f>_xlfn.XLOOKUP(ocupacao[[#This Row],[UnidadeID]],unidades!$A:$A,unidades!$C:$C,"",0)</f>
        <v>Nova Iguaçu</v>
      </c>
      <c r="O1666" s="1" t="str">
        <f>_xlfn.XLOOKUP(ocupacao[[#This Row],[EspecialidadeID]],especialidades!$A:$A,especialidades!$B:$B,"",0)</f>
        <v>PROCTOLOGIA</v>
      </c>
      <c r="P1666" s="1" t="str">
        <f>TEXT(WEEKDAY(ocupacao[[#This Row],[Data]]),"ddd")</f>
        <v>seg</v>
      </c>
      <c r="Q1666" s="1">
        <f t="shared" ref="Q1666:Q1729" si="26">IF(F1666=F1667,1,0)</f>
        <v>0</v>
      </c>
    </row>
    <row r="1667" spans="1:17" hidden="1" x14ac:dyDescent="0.25">
      <c r="A1667" s="2">
        <v>44747</v>
      </c>
      <c r="B1667">
        <v>11</v>
      </c>
      <c r="C1667">
        <v>25</v>
      </c>
      <c r="D1667">
        <v>14</v>
      </c>
      <c r="E1667">
        <v>8239</v>
      </c>
      <c r="F1667" s="1" t="s">
        <v>147</v>
      </c>
      <c r="G1667">
        <v>0</v>
      </c>
      <c r="H1667">
        <v>0</v>
      </c>
      <c r="I1667">
        <v>23</v>
      </c>
      <c r="J1667">
        <v>23</v>
      </c>
      <c r="K1667" s="33">
        <v>0</v>
      </c>
      <c r="L1667" s="1"/>
      <c r="M1667" s="1"/>
      <c r="N1667" s="1"/>
      <c r="O1667" s="1"/>
      <c r="P1667" s="1"/>
      <c r="Q1667" s="1"/>
    </row>
    <row r="1668" spans="1:17" x14ac:dyDescent="0.25">
      <c r="A1668" s="2">
        <v>44747</v>
      </c>
      <c r="B1668">
        <v>0</v>
      </c>
      <c r="C1668">
        <v>25</v>
      </c>
      <c r="D1668">
        <v>345</v>
      </c>
      <c r="E1668">
        <v>8239</v>
      </c>
      <c r="F1668" s="1" t="s">
        <v>147</v>
      </c>
      <c r="G1668">
        <v>0</v>
      </c>
      <c r="H1668">
        <v>1</v>
      </c>
      <c r="I1668">
        <v>23</v>
      </c>
      <c r="J1668">
        <v>24</v>
      </c>
      <c r="K1668" s="33">
        <v>4.1700000000000001E-2</v>
      </c>
      <c r="L1668" s="1"/>
      <c r="M1668" s="1" t="str">
        <f>_xlfn.XLOOKUP(ocupacao[[#This Row],[UnidadeID]],unidades!$A:$A,unidades!$B:$B,"",0)</f>
        <v>Matriz</v>
      </c>
      <c r="N1668" s="1" t="str">
        <f>_xlfn.XLOOKUP(ocupacao[[#This Row],[UnidadeID]],unidades!$A:$A,unidades!$C:$C,"",0)</f>
        <v>Nova Iguaçu</v>
      </c>
      <c r="O1668" s="1" t="str">
        <f>_xlfn.XLOOKUP(ocupacao[[#This Row],[EspecialidadeID]],especialidades!$A:$A,especialidades!$B:$B,"",0)</f>
        <v>PROCTOLOGIA</v>
      </c>
      <c r="P1668" s="1" t="str">
        <f>TEXT(WEEKDAY(ocupacao[[#This Row],[Data]]),"ddd")</f>
        <v>ter</v>
      </c>
      <c r="Q1668" s="1">
        <f t="shared" si="26"/>
        <v>1</v>
      </c>
    </row>
    <row r="1669" spans="1:17" hidden="1" x14ac:dyDescent="0.25">
      <c r="A1669" s="2">
        <v>44747</v>
      </c>
      <c r="B1669">
        <v>0</v>
      </c>
      <c r="C1669">
        <v>25</v>
      </c>
      <c r="D1669">
        <v>14</v>
      </c>
      <c r="E1669">
        <v>8239</v>
      </c>
      <c r="F1669" s="1" t="s">
        <v>147</v>
      </c>
      <c r="G1669">
        <v>0</v>
      </c>
      <c r="H1669">
        <v>1</v>
      </c>
      <c r="I1669">
        <v>23</v>
      </c>
      <c r="J1669">
        <v>24</v>
      </c>
      <c r="K1669" s="33">
        <v>4.1700000000000001E-2</v>
      </c>
      <c r="L1669" s="1"/>
      <c r="M1669" s="1"/>
      <c r="N1669" s="1"/>
      <c r="O1669" s="1"/>
      <c r="P1669" s="1"/>
      <c r="Q1669" s="1"/>
    </row>
    <row r="1670" spans="1:17" hidden="1" x14ac:dyDescent="0.25">
      <c r="A1670" s="2"/>
      <c r="F1670" s="1"/>
      <c r="K1670" s="33"/>
      <c r="L1670" s="1"/>
      <c r="M1670" s="1"/>
      <c r="N1670" s="1"/>
      <c r="O1670" s="1"/>
      <c r="P1670" s="1"/>
      <c r="Q1670" s="1"/>
    </row>
    <row r="1671" spans="1:17" hidden="1" x14ac:dyDescent="0.25">
      <c r="A1671" s="2">
        <v>44747</v>
      </c>
      <c r="B1671">
        <v>34</v>
      </c>
      <c r="C1671">
        <v>25</v>
      </c>
      <c r="D1671">
        <v>372</v>
      </c>
      <c r="E1671">
        <v>14371</v>
      </c>
      <c r="F1671" s="1" t="s">
        <v>144</v>
      </c>
      <c r="G1671">
        <v>0</v>
      </c>
      <c r="H1671">
        <v>1</v>
      </c>
      <c r="I1671">
        <v>22</v>
      </c>
      <c r="J1671">
        <v>23</v>
      </c>
      <c r="K1671" s="33">
        <v>4.3499999999999997E-2</v>
      </c>
      <c r="L1671" s="1"/>
      <c r="M1671" s="1"/>
      <c r="N1671" s="1"/>
      <c r="O1671" s="1"/>
      <c r="P1671" s="1"/>
      <c r="Q1671" s="1"/>
    </row>
    <row r="1672" spans="1:17" hidden="1" x14ac:dyDescent="0.25">
      <c r="A1672" s="2"/>
      <c r="F1672" s="1"/>
      <c r="K1672" s="33"/>
      <c r="L1672" s="1"/>
      <c r="M1672" s="1"/>
      <c r="N1672" s="1"/>
      <c r="O1672" s="1"/>
      <c r="P1672" s="1"/>
      <c r="Q1672" s="1"/>
    </row>
    <row r="1673" spans="1:17" hidden="1" x14ac:dyDescent="0.25">
      <c r="A1673" s="2">
        <v>44754</v>
      </c>
      <c r="B1673">
        <v>0</v>
      </c>
      <c r="C1673">
        <v>25</v>
      </c>
      <c r="D1673">
        <v>14</v>
      </c>
      <c r="E1673">
        <v>8239</v>
      </c>
      <c r="F1673" s="1" t="s">
        <v>147</v>
      </c>
      <c r="G1673">
        <v>0</v>
      </c>
      <c r="H1673">
        <v>2</v>
      </c>
      <c r="I1673">
        <v>23</v>
      </c>
      <c r="J1673">
        <v>25</v>
      </c>
      <c r="K1673" s="33">
        <v>0.08</v>
      </c>
      <c r="L1673" s="1"/>
      <c r="M1673" s="1"/>
      <c r="N1673" s="1"/>
      <c r="O1673" s="1"/>
      <c r="P1673" s="1"/>
      <c r="Q1673" s="1"/>
    </row>
    <row r="1674" spans="1:17" x14ac:dyDescent="0.25">
      <c r="A1674" s="2">
        <v>44754</v>
      </c>
      <c r="B1674">
        <v>24</v>
      </c>
      <c r="C1674">
        <v>25</v>
      </c>
      <c r="D1674">
        <v>60</v>
      </c>
      <c r="E1674">
        <v>14371</v>
      </c>
      <c r="F1674" s="1" t="s">
        <v>144</v>
      </c>
      <c r="G1674">
        <v>0</v>
      </c>
      <c r="H1674">
        <v>0</v>
      </c>
      <c r="I1674">
        <v>23</v>
      </c>
      <c r="J1674">
        <v>23</v>
      </c>
      <c r="K1674" s="33">
        <v>0</v>
      </c>
      <c r="L1674" s="1"/>
      <c r="M1674" s="1" t="str">
        <f>_xlfn.XLOOKUP(ocupacao[[#This Row],[UnidadeID]],unidades!$A:$A,unidades!$B:$B,"",0)</f>
        <v>Nilópolis</v>
      </c>
      <c r="N1674" s="1" t="str">
        <f>_xlfn.XLOOKUP(ocupacao[[#This Row],[UnidadeID]],unidades!$A:$A,unidades!$C:$C,"",0)</f>
        <v>Nilópolis</v>
      </c>
      <c r="O1674" s="1" t="str">
        <f>_xlfn.XLOOKUP(ocupacao[[#This Row],[EspecialidadeID]],especialidades!$A:$A,especialidades!$B:$B,"",0)</f>
        <v>PROCTOLOGIA</v>
      </c>
      <c r="P1674" s="1" t="str">
        <f>TEXT(WEEKDAY(ocupacao[[#This Row],[Data]]),"ddd")</f>
        <v>ter</v>
      </c>
      <c r="Q1674" s="1">
        <f t="shared" si="26"/>
        <v>0</v>
      </c>
    </row>
    <row r="1675" spans="1:17" x14ac:dyDescent="0.25">
      <c r="A1675" s="2"/>
      <c r="F1675" s="1" t="s">
        <v>106</v>
      </c>
      <c r="K1675" s="33"/>
      <c r="L1675" s="1"/>
      <c r="M1675" s="1">
        <f>_xlfn.XLOOKUP(ocupacao[[#This Row],[UnidadeID]],unidades!$A:$A,unidades!$B:$B,"",0)</f>
        <v>0</v>
      </c>
      <c r="N1675" s="1">
        <f>_xlfn.XLOOKUP(ocupacao[[#This Row],[UnidadeID]],unidades!$A:$A,unidades!$C:$C,"",0)</f>
        <v>0</v>
      </c>
      <c r="O1675" s="1">
        <f>_xlfn.XLOOKUP(ocupacao[[#This Row],[EspecialidadeID]],especialidades!$A:$A,especialidades!$B:$B,"",0)</f>
        <v>0</v>
      </c>
      <c r="P1675" s="1" t="str">
        <f>TEXT(WEEKDAY(ocupacao[[#This Row],[Data]]),"ddd")</f>
        <v>sáb</v>
      </c>
      <c r="Q1675" s="1">
        <f t="shared" si="26"/>
        <v>0</v>
      </c>
    </row>
    <row r="1676" spans="1:17" hidden="1" x14ac:dyDescent="0.25">
      <c r="A1676" s="2"/>
      <c r="F1676" s="1"/>
      <c r="K1676" s="33"/>
      <c r="L1676" s="1"/>
      <c r="M1676" s="1"/>
      <c r="N1676" s="1"/>
      <c r="O1676" s="1"/>
      <c r="P1676" s="1"/>
      <c r="Q1676" s="1"/>
    </row>
    <row r="1677" spans="1:17" hidden="1" x14ac:dyDescent="0.25">
      <c r="A1677" s="2">
        <v>44747</v>
      </c>
      <c r="B1677">
        <v>22</v>
      </c>
      <c r="C1677">
        <v>26</v>
      </c>
      <c r="D1677">
        <v>48</v>
      </c>
      <c r="E1677">
        <v>282</v>
      </c>
      <c r="F1677" s="1" t="s">
        <v>320</v>
      </c>
      <c r="G1677">
        <v>0</v>
      </c>
      <c r="H1677">
        <v>4</v>
      </c>
      <c r="I1677">
        <v>61</v>
      </c>
      <c r="J1677">
        <v>65</v>
      </c>
      <c r="K1677" s="33">
        <v>6.1499999999999999E-2</v>
      </c>
      <c r="L1677" s="1"/>
      <c r="M1677" s="1"/>
      <c r="N1677" s="1"/>
      <c r="O1677" s="1"/>
      <c r="P1677" s="1"/>
      <c r="Q1677" s="1"/>
    </row>
    <row r="1678" spans="1:17" x14ac:dyDescent="0.25">
      <c r="A1678" s="2">
        <v>44748</v>
      </c>
      <c r="B1678">
        <v>22</v>
      </c>
      <c r="C1678">
        <v>26</v>
      </c>
      <c r="D1678">
        <v>46</v>
      </c>
      <c r="E1678">
        <v>282</v>
      </c>
      <c r="F1678" s="1" t="s">
        <v>320</v>
      </c>
      <c r="G1678">
        <v>0</v>
      </c>
      <c r="H1678">
        <v>0</v>
      </c>
      <c r="I1678">
        <v>65</v>
      </c>
      <c r="J1678">
        <v>65</v>
      </c>
      <c r="K1678" s="33">
        <v>0</v>
      </c>
      <c r="L1678" s="1"/>
      <c r="M1678" s="1" t="str">
        <f>_xlfn.XLOOKUP(ocupacao[[#This Row],[UnidadeID]],unidades!$A:$A,unidades!$B:$B,"",0)</f>
        <v>Filial 1</v>
      </c>
      <c r="N1678" s="1" t="str">
        <f>_xlfn.XLOOKUP(ocupacao[[#This Row],[UnidadeID]],unidades!$A:$A,unidades!$C:$C,"",0)</f>
        <v>Nova Iguaçu</v>
      </c>
      <c r="O1678" s="1" t="str">
        <f>_xlfn.XLOOKUP(ocupacao[[#This Row],[EspecialidadeID]],especialidades!$A:$A,especialidades!$B:$B,"",0)</f>
        <v>REUMATOLOGIA</v>
      </c>
      <c r="P1678" s="1" t="str">
        <f>TEXT(WEEKDAY(ocupacao[[#This Row],[Data]]),"ddd")</f>
        <v>qua</v>
      </c>
      <c r="Q1678" s="1">
        <f t="shared" si="26"/>
        <v>0</v>
      </c>
    </row>
    <row r="1679" spans="1:17" x14ac:dyDescent="0.25">
      <c r="A1679" s="2">
        <v>44749</v>
      </c>
      <c r="B1679">
        <v>22</v>
      </c>
      <c r="C1679">
        <v>26</v>
      </c>
      <c r="D1679">
        <v>48</v>
      </c>
      <c r="E1679">
        <v>76</v>
      </c>
      <c r="F1679" s="1" t="s">
        <v>340</v>
      </c>
      <c r="G1679">
        <v>0</v>
      </c>
      <c r="H1679">
        <v>0</v>
      </c>
      <c r="I1679">
        <v>14</v>
      </c>
      <c r="J1679">
        <v>14</v>
      </c>
      <c r="K1679" s="33">
        <v>0</v>
      </c>
      <c r="L1679" s="1"/>
      <c r="M1679" s="1" t="str">
        <f>_xlfn.XLOOKUP(ocupacao[[#This Row],[UnidadeID]],unidades!$A:$A,unidades!$B:$B,"",0)</f>
        <v>Filial 1</v>
      </c>
      <c r="N1679" s="1" t="str">
        <f>_xlfn.XLOOKUP(ocupacao[[#This Row],[UnidadeID]],unidades!$A:$A,unidades!$C:$C,"",0)</f>
        <v>Nova Iguaçu</v>
      </c>
      <c r="O1679" s="1" t="str">
        <f>_xlfn.XLOOKUP(ocupacao[[#This Row],[EspecialidadeID]],especialidades!$A:$A,especialidades!$B:$B,"",0)</f>
        <v>REUMATOLOGIA</v>
      </c>
      <c r="P1679" s="1" t="str">
        <f>TEXT(WEEKDAY(ocupacao[[#This Row],[Data]]),"ddd")</f>
        <v>qui</v>
      </c>
      <c r="Q1679" s="1">
        <f t="shared" si="26"/>
        <v>0</v>
      </c>
    </row>
    <row r="1680" spans="1:17" hidden="1" x14ac:dyDescent="0.25">
      <c r="A1680" s="2">
        <v>44749</v>
      </c>
      <c r="B1680">
        <v>24</v>
      </c>
      <c r="C1680">
        <v>26</v>
      </c>
      <c r="D1680">
        <v>68</v>
      </c>
      <c r="E1680">
        <v>282</v>
      </c>
      <c r="F1680" s="1" t="s">
        <v>320</v>
      </c>
      <c r="G1680">
        <v>0</v>
      </c>
      <c r="H1680">
        <v>0</v>
      </c>
      <c r="I1680">
        <v>31</v>
      </c>
      <c r="J1680">
        <v>31</v>
      </c>
      <c r="K1680" s="33">
        <v>0</v>
      </c>
      <c r="L1680" s="1"/>
      <c r="M1680" s="1"/>
      <c r="N1680" s="1"/>
      <c r="O1680" s="1"/>
      <c r="P1680" s="1"/>
      <c r="Q1680" s="1"/>
    </row>
    <row r="1681" spans="1:17" x14ac:dyDescent="0.25">
      <c r="A1681" s="2">
        <v>44749</v>
      </c>
      <c r="B1681">
        <v>18</v>
      </c>
      <c r="C1681">
        <v>26</v>
      </c>
      <c r="D1681">
        <v>68</v>
      </c>
      <c r="E1681">
        <v>282</v>
      </c>
      <c r="F1681" s="1" t="s">
        <v>320</v>
      </c>
      <c r="G1681">
        <v>0</v>
      </c>
      <c r="H1681">
        <v>1</v>
      </c>
      <c r="I1681">
        <v>31</v>
      </c>
      <c r="J1681">
        <v>32</v>
      </c>
      <c r="K1681" s="33">
        <v>3.1300000000000001E-2</v>
      </c>
      <c r="L1681" s="1"/>
      <c r="M1681" s="1" t="str">
        <f>_xlfn.XLOOKUP(ocupacao[[#This Row],[UnidadeID]],unidades!$A:$A,unidades!$B:$B,"",0)</f>
        <v>Miguel Couto</v>
      </c>
      <c r="N1681" s="1" t="str">
        <f>_xlfn.XLOOKUP(ocupacao[[#This Row],[UnidadeID]],unidades!$A:$A,unidades!$C:$C,"",0)</f>
        <v>Miguel Couto</v>
      </c>
      <c r="O1681" s="1" t="str">
        <f>_xlfn.XLOOKUP(ocupacao[[#This Row],[EspecialidadeID]],especialidades!$A:$A,especialidades!$B:$B,"",0)</f>
        <v>REUMATOLOGIA</v>
      </c>
      <c r="P1681" s="1" t="str">
        <f>TEXT(WEEKDAY(ocupacao[[#This Row],[Data]]),"ddd")</f>
        <v>qui</v>
      </c>
      <c r="Q1681" s="1">
        <f t="shared" si="26"/>
        <v>0</v>
      </c>
    </row>
    <row r="1682" spans="1:17" hidden="1" x14ac:dyDescent="0.25">
      <c r="A1682" s="2"/>
      <c r="F1682" s="1"/>
      <c r="K1682" s="33"/>
      <c r="L1682" s="1"/>
      <c r="M1682" s="1"/>
      <c r="N1682" s="1"/>
      <c r="O1682" s="1"/>
      <c r="P1682" s="1"/>
      <c r="Q1682" s="1"/>
    </row>
    <row r="1683" spans="1:17" hidden="1" x14ac:dyDescent="0.25">
      <c r="A1683" s="2">
        <v>44754</v>
      </c>
      <c r="B1683">
        <v>22</v>
      </c>
      <c r="C1683">
        <v>26</v>
      </c>
      <c r="D1683">
        <v>48</v>
      </c>
      <c r="E1683">
        <v>282</v>
      </c>
      <c r="F1683" s="1" t="s">
        <v>320</v>
      </c>
      <c r="G1683">
        <v>0</v>
      </c>
      <c r="H1683">
        <v>1</v>
      </c>
      <c r="I1683">
        <v>64</v>
      </c>
      <c r="J1683">
        <v>65</v>
      </c>
      <c r="K1683" s="33">
        <v>1.54E-2</v>
      </c>
      <c r="L1683" s="1"/>
      <c r="M1683" s="1"/>
      <c r="N1683" s="1"/>
      <c r="O1683" s="1"/>
      <c r="P1683" s="1"/>
      <c r="Q1683" s="1"/>
    </row>
    <row r="1684" spans="1:17" x14ac:dyDescent="0.25">
      <c r="A1684" s="2">
        <v>44755</v>
      </c>
      <c r="B1684">
        <v>22</v>
      </c>
      <c r="C1684">
        <v>26</v>
      </c>
      <c r="D1684">
        <v>46</v>
      </c>
      <c r="E1684">
        <v>282</v>
      </c>
      <c r="F1684" s="1" t="s">
        <v>320</v>
      </c>
      <c r="G1684">
        <v>0</v>
      </c>
      <c r="H1684">
        <v>0</v>
      </c>
      <c r="I1684">
        <v>65</v>
      </c>
      <c r="J1684">
        <v>65</v>
      </c>
      <c r="K1684" s="33">
        <v>0</v>
      </c>
      <c r="L1684" s="1"/>
      <c r="M1684" s="1" t="str">
        <f>_xlfn.XLOOKUP(ocupacao[[#This Row],[UnidadeID]],unidades!$A:$A,unidades!$B:$B,"",0)</f>
        <v>Filial 1</v>
      </c>
      <c r="N1684" s="1" t="str">
        <f>_xlfn.XLOOKUP(ocupacao[[#This Row],[UnidadeID]],unidades!$A:$A,unidades!$C:$C,"",0)</f>
        <v>Nova Iguaçu</v>
      </c>
      <c r="O1684" s="1" t="str">
        <f>_xlfn.XLOOKUP(ocupacao[[#This Row],[EspecialidadeID]],especialidades!$A:$A,especialidades!$B:$B,"",0)</f>
        <v>REUMATOLOGIA</v>
      </c>
      <c r="P1684" s="1" t="str">
        <f>TEXT(WEEKDAY(ocupacao[[#This Row],[Data]]),"ddd")</f>
        <v>qua</v>
      </c>
      <c r="Q1684" s="1">
        <f t="shared" si="26"/>
        <v>0</v>
      </c>
    </row>
    <row r="1685" spans="1:17" x14ac:dyDescent="0.25">
      <c r="A1685" s="2">
        <v>44756</v>
      </c>
      <c r="B1685">
        <v>22</v>
      </c>
      <c r="C1685">
        <v>26</v>
      </c>
      <c r="D1685">
        <v>48</v>
      </c>
      <c r="E1685">
        <v>76</v>
      </c>
      <c r="F1685" s="1" t="s">
        <v>340</v>
      </c>
      <c r="G1685">
        <v>0</v>
      </c>
      <c r="H1685">
        <v>0</v>
      </c>
      <c r="I1685">
        <v>14</v>
      </c>
      <c r="J1685">
        <v>14</v>
      </c>
      <c r="K1685" s="33">
        <v>0</v>
      </c>
      <c r="L1685" s="1"/>
      <c r="M1685" s="1" t="str">
        <f>_xlfn.XLOOKUP(ocupacao[[#This Row],[UnidadeID]],unidades!$A:$A,unidades!$B:$B,"",0)</f>
        <v>Filial 1</v>
      </c>
      <c r="N1685" s="1" t="str">
        <f>_xlfn.XLOOKUP(ocupacao[[#This Row],[UnidadeID]],unidades!$A:$A,unidades!$C:$C,"",0)</f>
        <v>Nova Iguaçu</v>
      </c>
      <c r="O1685" s="1" t="str">
        <f>_xlfn.XLOOKUP(ocupacao[[#This Row],[EspecialidadeID]],especialidades!$A:$A,especialidades!$B:$B,"",0)</f>
        <v>REUMATOLOGIA</v>
      </c>
      <c r="P1685" s="1" t="str">
        <f>TEXT(WEEKDAY(ocupacao[[#This Row],[Data]]),"ddd")</f>
        <v>qui</v>
      </c>
      <c r="Q1685" s="1">
        <f t="shared" si="26"/>
        <v>0</v>
      </c>
    </row>
    <row r="1686" spans="1:17" x14ac:dyDescent="0.25">
      <c r="A1686" s="2">
        <v>44756</v>
      </c>
      <c r="B1686">
        <v>18</v>
      </c>
      <c r="C1686">
        <v>26</v>
      </c>
      <c r="D1686">
        <v>82</v>
      </c>
      <c r="E1686">
        <v>282</v>
      </c>
      <c r="F1686" s="1" t="s">
        <v>320</v>
      </c>
      <c r="G1686">
        <v>0</v>
      </c>
      <c r="H1686">
        <v>0</v>
      </c>
      <c r="I1686">
        <v>32</v>
      </c>
      <c r="J1686">
        <v>32</v>
      </c>
      <c r="K1686" s="33">
        <v>0</v>
      </c>
      <c r="L1686" s="1"/>
      <c r="M1686" s="1" t="str">
        <f>_xlfn.XLOOKUP(ocupacao[[#This Row],[UnidadeID]],unidades!$A:$A,unidades!$B:$B,"",0)</f>
        <v>Miguel Couto</v>
      </c>
      <c r="N1686" s="1" t="str">
        <f>_xlfn.XLOOKUP(ocupacao[[#This Row],[UnidadeID]],unidades!$A:$A,unidades!$C:$C,"",0)</f>
        <v>Miguel Couto</v>
      </c>
      <c r="O1686" s="1" t="str">
        <f>_xlfn.XLOOKUP(ocupacao[[#This Row],[EspecialidadeID]],especialidades!$A:$A,especialidades!$B:$B,"",0)</f>
        <v>REUMATOLOGIA</v>
      </c>
      <c r="P1686" s="1" t="str">
        <f>TEXT(WEEKDAY(ocupacao[[#This Row],[Data]]),"ddd")</f>
        <v>qui</v>
      </c>
      <c r="Q1686" s="1">
        <f t="shared" si="26"/>
        <v>0</v>
      </c>
    </row>
    <row r="1687" spans="1:17" hidden="1" x14ac:dyDescent="0.25">
      <c r="A1687" s="2"/>
      <c r="F1687" s="1" t="s">
        <v>106</v>
      </c>
      <c r="K1687" s="33"/>
      <c r="L1687" s="1"/>
      <c r="M1687" s="1"/>
      <c r="N1687" s="1"/>
      <c r="O1687" s="1"/>
      <c r="P1687" s="1"/>
      <c r="Q1687" s="1"/>
    </row>
    <row r="1688" spans="1:17" x14ac:dyDescent="0.25">
      <c r="A1688" s="2">
        <v>44746</v>
      </c>
      <c r="B1688">
        <v>10</v>
      </c>
      <c r="C1688">
        <v>27</v>
      </c>
      <c r="D1688">
        <v>4</v>
      </c>
      <c r="E1688">
        <v>17890</v>
      </c>
      <c r="F1688" s="1" t="s">
        <v>151</v>
      </c>
      <c r="G1688">
        <v>0</v>
      </c>
      <c r="H1688">
        <v>0</v>
      </c>
      <c r="I1688">
        <v>8</v>
      </c>
      <c r="J1688">
        <v>8</v>
      </c>
      <c r="K1688" s="33">
        <v>0</v>
      </c>
      <c r="L1688" s="1"/>
      <c r="M1688" s="1" t="str">
        <f>_xlfn.XLOOKUP(ocupacao[[#This Row],[UnidadeID]],unidades!$A:$A,unidades!$B:$B,"",0)</f>
        <v>Filial 2 - 10º</v>
      </c>
      <c r="N1688" s="1" t="str">
        <f>_xlfn.XLOOKUP(ocupacao[[#This Row],[UnidadeID]],unidades!$A:$A,unidades!$C:$C,"",0)</f>
        <v>Nova Iguaçu</v>
      </c>
      <c r="O1688" s="1" t="str">
        <f>_xlfn.XLOOKUP(ocupacao[[#This Row],[EspecialidadeID]],especialidades!$A:$A,especialidades!$B:$B,"",0)</f>
        <v>MAPA 24 HORAS</v>
      </c>
      <c r="P1688" s="1" t="str">
        <f>TEXT(WEEKDAY(ocupacao[[#This Row],[Data]]),"ddd")</f>
        <v>seg</v>
      </c>
      <c r="Q1688" s="1">
        <f t="shared" si="26"/>
        <v>0</v>
      </c>
    </row>
    <row r="1689" spans="1:17" hidden="1" x14ac:dyDescent="0.25">
      <c r="A1689" s="2">
        <v>44746</v>
      </c>
      <c r="B1689">
        <v>18</v>
      </c>
      <c r="C1689">
        <v>27</v>
      </c>
      <c r="D1689">
        <v>76</v>
      </c>
      <c r="E1689">
        <v>17891</v>
      </c>
      <c r="F1689" s="1" t="s">
        <v>152</v>
      </c>
      <c r="G1689">
        <v>0</v>
      </c>
      <c r="H1689">
        <v>0</v>
      </c>
      <c r="I1689">
        <v>2</v>
      </c>
      <c r="J1689">
        <v>2</v>
      </c>
      <c r="K1689" s="33">
        <v>0</v>
      </c>
      <c r="L1689" s="1"/>
      <c r="M1689" s="1"/>
      <c r="N1689" s="1"/>
      <c r="O1689" s="1"/>
      <c r="P1689" s="1"/>
      <c r="Q1689" s="1"/>
    </row>
    <row r="1690" spans="1:17" x14ac:dyDescent="0.25">
      <c r="A1690" s="2">
        <v>44746</v>
      </c>
      <c r="B1690">
        <v>24</v>
      </c>
      <c r="C1690">
        <v>27</v>
      </c>
      <c r="D1690">
        <v>55</v>
      </c>
      <c r="E1690">
        <v>17892</v>
      </c>
      <c r="F1690" s="1" t="s">
        <v>149</v>
      </c>
      <c r="G1690">
        <v>0</v>
      </c>
      <c r="H1690">
        <v>0</v>
      </c>
      <c r="I1690">
        <v>2</v>
      </c>
      <c r="J1690">
        <v>2</v>
      </c>
      <c r="K1690" s="33">
        <v>0</v>
      </c>
      <c r="L1690" s="1"/>
      <c r="M1690" s="1" t="str">
        <f>_xlfn.XLOOKUP(ocupacao[[#This Row],[UnidadeID]],unidades!$A:$A,unidades!$B:$B,"",0)</f>
        <v>Nilópolis</v>
      </c>
      <c r="N1690" s="1" t="str">
        <f>_xlfn.XLOOKUP(ocupacao[[#This Row],[UnidadeID]],unidades!$A:$A,unidades!$C:$C,"",0)</f>
        <v>Nilópolis</v>
      </c>
      <c r="O1690" s="1" t="str">
        <f>_xlfn.XLOOKUP(ocupacao[[#This Row],[EspecialidadeID]],especialidades!$A:$A,especialidades!$B:$B,"",0)</f>
        <v>MAPA 24 HORAS</v>
      </c>
      <c r="P1690" s="1" t="str">
        <f>TEXT(WEEKDAY(ocupacao[[#This Row],[Data]]),"ddd")</f>
        <v>seg</v>
      </c>
      <c r="Q1690" s="1">
        <f t="shared" si="26"/>
        <v>0</v>
      </c>
    </row>
    <row r="1691" spans="1:17" x14ac:dyDescent="0.25">
      <c r="A1691" s="2">
        <v>44746</v>
      </c>
      <c r="B1691">
        <v>34</v>
      </c>
      <c r="C1691">
        <v>27</v>
      </c>
      <c r="D1691">
        <v>383</v>
      </c>
      <c r="E1691">
        <v>17952</v>
      </c>
      <c r="F1691" s="1" t="s">
        <v>364</v>
      </c>
      <c r="G1691">
        <v>0</v>
      </c>
      <c r="H1691">
        <v>0</v>
      </c>
      <c r="I1691">
        <v>2</v>
      </c>
      <c r="J1691">
        <v>2</v>
      </c>
      <c r="K1691" s="33">
        <v>0</v>
      </c>
      <c r="L1691" s="1"/>
      <c r="M1691" s="1" t="str">
        <f>_xlfn.XLOOKUP(ocupacao[[#This Row],[UnidadeID]],unidades!$A:$A,unidades!$B:$B,"",0)</f>
        <v>São João</v>
      </c>
      <c r="N1691" s="1" t="str">
        <f>_xlfn.XLOOKUP(ocupacao[[#This Row],[UnidadeID]],unidades!$A:$A,unidades!$C:$C,"",0)</f>
        <v>São João de Meriti</v>
      </c>
      <c r="O1691" s="1" t="str">
        <f>_xlfn.XLOOKUP(ocupacao[[#This Row],[EspecialidadeID]],especialidades!$A:$A,especialidades!$B:$B,"",0)</f>
        <v>MAPA 24 HORAS</v>
      </c>
      <c r="P1691" s="1" t="str">
        <f>TEXT(WEEKDAY(ocupacao[[#This Row],[Data]]),"ddd")</f>
        <v>seg</v>
      </c>
      <c r="Q1691" s="1">
        <f t="shared" si="26"/>
        <v>0</v>
      </c>
    </row>
    <row r="1692" spans="1:17" hidden="1" x14ac:dyDescent="0.25">
      <c r="A1692" s="2">
        <v>44747</v>
      </c>
      <c r="B1692">
        <v>10</v>
      </c>
      <c r="C1692">
        <v>27</v>
      </c>
      <c r="D1692">
        <v>4</v>
      </c>
      <c r="E1692">
        <v>17890</v>
      </c>
      <c r="F1692" s="1" t="s">
        <v>151</v>
      </c>
      <c r="G1692">
        <v>0</v>
      </c>
      <c r="H1692">
        <v>0</v>
      </c>
      <c r="I1692">
        <v>8</v>
      </c>
      <c r="J1692">
        <v>8</v>
      </c>
      <c r="K1692" s="33">
        <v>0</v>
      </c>
      <c r="L1692" s="1"/>
      <c r="M1692" s="1"/>
      <c r="N1692" s="1"/>
      <c r="O1692" s="1"/>
      <c r="P1692" s="1"/>
      <c r="Q1692" s="1"/>
    </row>
    <row r="1693" spans="1:17" x14ac:dyDescent="0.25">
      <c r="A1693" s="2">
        <v>44747</v>
      </c>
      <c r="B1693">
        <v>18</v>
      </c>
      <c r="C1693">
        <v>27</v>
      </c>
      <c r="D1693">
        <v>76</v>
      </c>
      <c r="E1693">
        <v>17891</v>
      </c>
      <c r="F1693" s="1" t="s">
        <v>152</v>
      </c>
      <c r="G1693">
        <v>0</v>
      </c>
      <c r="H1693">
        <v>0</v>
      </c>
      <c r="I1693">
        <v>2</v>
      </c>
      <c r="J1693">
        <v>2</v>
      </c>
      <c r="K1693" s="33">
        <v>0</v>
      </c>
      <c r="L1693" s="1"/>
      <c r="M1693" s="1" t="str">
        <f>_xlfn.XLOOKUP(ocupacao[[#This Row],[UnidadeID]],unidades!$A:$A,unidades!$B:$B,"",0)</f>
        <v>Miguel Couto</v>
      </c>
      <c r="N1693" s="1" t="str">
        <f>_xlfn.XLOOKUP(ocupacao[[#This Row],[UnidadeID]],unidades!$A:$A,unidades!$C:$C,"",0)</f>
        <v>Miguel Couto</v>
      </c>
      <c r="O1693" s="1" t="str">
        <f>_xlfn.XLOOKUP(ocupacao[[#This Row],[EspecialidadeID]],especialidades!$A:$A,especialidades!$B:$B,"",0)</f>
        <v>MAPA 24 HORAS</v>
      </c>
      <c r="P1693" s="1" t="str">
        <f>TEXT(WEEKDAY(ocupacao[[#This Row],[Data]]),"ddd")</f>
        <v>ter</v>
      </c>
      <c r="Q1693" s="1">
        <f t="shared" si="26"/>
        <v>0</v>
      </c>
    </row>
    <row r="1694" spans="1:17" hidden="1" x14ac:dyDescent="0.25">
      <c r="A1694" s="2">
        <v>44747</v>
      </c>
      <c r="B1694">
        <v>24</v>
      </c>
      <c r="C1694">
        <v>27</v>
      </c>
      <c r="D1694">
        <v>55</v>
      </c>
      <c r="E1694">
        <v>17892</v>
      </c>
      <c r="F1694" s="1" t="s">
        <v>149</v>
      </c>
      <c r="G1694">
        <v>0</v>
      </c>
      <c r="H1694">
        <v>0</v>
      </c>
      <c r="I1694">
        <v>2</v>
      </c>
      <c r="J1694">
        <v>2</v>
      </c>
      <c r="K1694" s="33">
        <v>0</v>
      </c>
      <c r="L1694" s="1"/>
      <c r="M1694" s="1"/>
      <c r="N1694" s="1"/>
      <c r="O1694" s="1"/>
      <c r="P1694" s="1"/>
      <c r="Q1694" s="1"/>
    </row>
    <row r="1695" spans="1:17" x14ac:dyDescent="0.25">
      <c r="A1695" s="2">
        <v>44747</v>
      </c>
      <c r="B1695">
        <v>34</v>
      </c>
      <c r="C1695">
        <v>27</v>
      </c>
      <c r="D1695">
        <v>383</v>
      </c>
      <c r="E1695">
        <v>17952</v>
      </c>
      <c r="F1695" s="1" t="s">
        <v>364</v>
      </c>
      <c r="G1695">
        <v>0</v>
      </c>
      <c r="H1695">
        <v>0</v>
      </c>
      <c r="I1695">
        <v>2</v>
      </c>
      <c r="J1695">
        <v>2</v>
      </c>
      <c r="K1695" s="33">
        <v>0</v>
      </c>
      <c r="L1695" s="1"/>
      <c r="M1695" s="1" t="str">
        <f>_xlfn.XLOOKUP(ocupacao[[#This Row],[UnidadeID]],unidades!$A:$A,unidades!$B:$B,"",0)</f>
        <v>São João</v>
      </c>
      <c r="N1695" s="1" t="str">
        <f>_xlfn.XLOOKUP(ocupacao[[#This Row],[UnidadeID]],unidades!$A:$A,unidades!$C:$C,"",0)</f>
        <v>São João de Meriti</v>
      </c>
      <c r="O1695" s="1" t="str">
        <f>_xlfn.XLOOKUP(ocupacao[[#This Row],[EspecialidadeID]],especialidades!$A:$A,especialidades!$B:$B,"",0)</f>
        <v>MAPA 24 HORAS</v>
      </c>
      <c r="P1695" s="1" t="str">
        <f>TEXT(WEEKDAY(ocupacao[[#This Row],[Data]]),"ddd")</f>
        <v>ter</v>
      </c>
      <c r="Q1695" s="1">
        <f t="shared" si="26"/>
        <v>0</v>
      </c>
    </row>
    <row r="1696" spans="1:17" hidden="1" x14ac:dyDescent="0.25">
      <c r="A1696" s="2"/>
      <c r="F1696" s="1"/>
      <c r="K1696" s="33"/>
      <c r="L1696" s="1"/>
      <c r="M1696" s="1"/>
      <c r="N1696" s="1"/>
      <c r="O1696" s="1"/>
      <c r="P1696" s="1"/>
      <c r="Q1696" s="1"/>
    </row>
    <row r="1697" spans="1:17" x14ac:dyDescent="0.25">
      <c r="A1697" s="2">
        <v>44748</v>
      </c>
      <c r="B1697">
        <v>10</v>
      </c>
      <c r="C1697">
        <v>27</v>
      </c>
      <c r="D1697">
        <v>4</v>
      </c>
      <c r="E1697">
        <v>17890</v>
      </c>
      <c r="F1697" s="1" t="s">
        <v>151</v>
      </c>
      <c r="G1697">
        <v>0</v>
      </c>
      <c r="H1697">
        <v>1</v>
      </c>
      <c r="I1697">
        <v>8</v>
      </c>
      <c r="J1697">
        <v>9</v>
      </c>
      <c r="K1697" s="33">
        <v>0.1111</v>
      </c>
      <c r="L1697" s="1"/>
      <c r="M1697" s="1" t="str">
        <f>_xlfn.XLOOKUP(ocupacao[[#This Row],[UnidadeID]],unidades!$A:$A,unidades!$B:$B,"",0)</f>
        <v>Filial 2 - 10º</v>
      </c>
      <c r="N1697" s="1" t="str">
        <f>_xlfn.XLOOKUP(ocupacao[[#This Row],[UnidadeID]],unidades!$A:$A,unidades!$C:$C,"",0)</f>
        <v>Nova Iguaçu</v>
      </c>
      <c r="O1697" s="1" t="str">
        <f>_xlfn.XLOOKUP(ocupacao[[#This Row],[EspecialidadeID]],especialidades!$A:$A,especialidades!$B:$B,"",0)</f>
        <v>MAPA 24 HORAS</v>
      </c>
      <c r="P1697" s="1" t="str">
        <f>TEXT(WEEKDAY(ocupacao[[#This Row],[Data]]),"ddd")</f>
        <v>qua</v>
      </c>
      <c r="Q1697" s="1">
        <f t="shared" si="26"/>
        <v>0</v>
      </c>
    </row>
    <row r="1698" spans="1:17" hidden="1" x14ac:dyDescent="0.25">
      <c r="A1698" s="2">
        <v>44748</v>
      </c>
      <c r="B1698">
        <v>18</v>
      </c>
      <c r="C1698">
        <v>27</v>
      </c>
      <c r="D1698">
        <v>76</v>
      </c>
      <c r="E1698">
        <v>17891</v>
      </c>
      <c r="F1698" s="1" t="s">
        <v>152</v>
      </c>
      <c r="G1698">
        <v>0</v>
      </c>
      <c r="H1698">
        <v>0</v>
      </c>
      <c r="I1698">
        <v>2</v>
      </c>
      <c r="J1698">
        <v>2</v>
      </c>
      <c r="K1698" s="33">
        <v>0</v>
      </c>
      <c r="L1698" s="1"/>
      <c r="M1698" s="1"/>
      <c r="N1698" s="1"/>
      <c r="O1698" s="1"/>
      <c r="P1698" s="1"/>
      <c r="Q1698" s="1"/>
    </row>
    <row r="1699" spans="1:17" x14ac:dyDescent="0.25">
      <c r="A1699" s="2">
        <v>44748</v>
      </c>
      <c r="B1699">
        <v>24</v>
      </c>
      <c r="C1699">
        <v>27</v>
      </c>
      <c r="D1699">
        <v>55</v>
      </c>
      <c r="E1699">
        <v>17892</v>
      </c>
      <c r="F1699" s="1" t="s">
        <v>149</v>
      </c>
      <c r="G1699">
        <v>0</v>
      </c>
      <c r="H1699">
        <v>0</v>
      </c>
      <c r="I1699">
        <v>2</v>
      </c>
      <c r="J1699">
        <v>2</v>
      </c>
      <c r="K1699" s="33">
        <v>0</v>
      </c>
      <c r="L1699" s="1"/>
      <c r="M1699" s="1" t="str">
        <f>_xlfn.XLOOKUP(ocupacao[[#This Row],[UnidadeID]],unidades!$A:$A,unidades!$B:$B,"",0)</f>
        <v>Nilópolis</v>
      </c>
      <c r="N1699" s="1" t="str">
        <f>_xlfn.XLOOKUP(ocupacao[[#This Row],[UnidadeID]],unidades!$A:$A,unidades!$C:$C,"",0)</f>
        <v>Nilópolis</v>
      </c>
      <c r="O1699" s="1" t="str">
        <f>_xlfn.XLOOKUP(ocupacao[[#This Row],[EspecialidadeID]],especialidades!$A:$A,especialidades!$B:$B,"",0)</f>
        <v>MAPA 24 HORAS</v>
      </c>
      <c r="P1699" s="1" t="str">
        <f>TEXT(WEEKDAY(ocupacao[[#This Row],[Data]]),"ddd")</f>
        <v>qua</v>
      </c>
      <c r="Q1699" s="1">
        <f t="shared" si="26"/>
        <v>0</v>
      </c>
    </row>
    <row r="1700" spans="1:17" x14ac:dyDescent="0.25">
      <c r="A1700" s="2">
        <v>44748</v>
      </c>
      <c r="B1700">
        <v>34</v>
      </c>
      <c r="C1700">
        <v>27</v>
      </c>
      <c r="D1700">
        <v>383</v>
      </c>
      <c r="E1700">
        <v>17952</v>
      </c>
      <c r="F1700" s="1" t="s">
        <v>364</v>
      </c>
      <c r="G1700">
        <v>0</v>
      </c>
      <c r="H1700">
        <v>0</v>
      </c>
      <c r="I1700">
        <v>2</v>
      </c>
      <c r="J1700">
        <v>2</v>
      </c>
      <c r="K1700" s="33">
        <v>0</v>
      </c>
      <c r="L1700" s="1"/>
      <c r="M1700" s="1" t="str">
        <f>_xlfn.XLOOKUP(ocupacao[[#This Row],[UnidadeID]],unidades!$A:$A,unidades!$B:$B,"",0)</f>
        <v>São João</v>
      </c>
      <c r="N1700" s="1" t="str">
        <f>_xlfn.XLOOKUP(ocupacao[[#This Row],[UnidadeID]],unidades!$A:$A,unidades!$C:$C,"",0)</f>
        <v>São João de Meriti</v>
      </c>
      <c r="O1700" s="1" t="str">
        <f>_xlfn.XLOOKUP(ocupacao[[#This Row],[EspecialidadeID]],especialidades!$A:$A,especialidades!$B:$B,"",0)</f>
        <v>MAPA 24 HORAS</v>
      </c>
      <c r="P1700" s="1" t="str">
        <f>TEXT(WEEKDAY(ocupacao[[#This Row],[Data]]),"ddd")</f>
        <v>qua</v>
      </c>
      <c r="Q1700" s="1">
        <f t="shared" si="26"/>
        <v>0</v>
      </c>
    </row>
    <row r="1701" spans="1:17" x14ac:dyDescent="0.25">
      <c r="A1701" s="2">
        <v>44749</v>
      </c>
      <c r="B1701">
        <v>10</v>
      </c>
      <c r="C1701">
        <v>27</v>
      </c>
      <c r="D1701">
        <v>4</v>
      </c>
      <c r="E1701">
        <v>17890</v>
      </c>
      <c r="F1701" s="1" t="s">
        <v>151</v>
      </c>
      <c r="G1701">
        <v>0</v>
      </c>
      <c r="H1701">
        <v>0</v>
      </c>
      <c r="I1701">
        <v>8</v>
      </c>
      <c r="J1701">
        <v>8</v>
      </c>
      <c r="K1701" s="33">
        <v>0</v>
      </c>
      <c r="L1701" s="1"/>
      <c r="M1701" s="1" t="str">
        <f>_xlfn.XLOOKUP(ocupacao[[#This Row],[UnidadeID]],unidades!$A:$A,unidades!$B:$B,"",0)</f>
        <v>Filial 2 - 10º</v>
      </c>
      <c r="N1701" s="1" t="str">
        <f>_xlfn.XLOOKUP(ocupacao[[#This Row],[UnidadeID]],unidades!$A:$A,unidades!$C:$C,"",0)</f>
        <v>Nova Iguaçu</v>
      </c>
      <c r="O1701" s="1" t="str">
        <f>_xlfn.XLOOKUP(ocupacao[[#This Row],[EspecialidadeID]],especialidades!$A:$A,especialidades!$B:$B,"",0)</f>
        <v>MAPA 24 HORAS</v>
      </c>
      <c r="P1701" s="1" t="str">
        <f>TEXT(WEEKDAY(ocupacao[[#This Row],[Data]]),"ddd")</f>
        <v>qui</v>
      </c>
      <c r="Q1701" s="1">
        <f t="shared" si="26"/>
        <v>0</v>
      </c>
    </row>
    <row r="1702" spans="1:17" hidden="1" x14ac:dyDescent="0.25">
      <c r="A1702" s="2">
        <v>44749</v>
      </c>
      <c r="B1702">
        <v>18</v>
      </c>
      <c r="C1702">
        <v>27</v>
      </c>
      <c r="D1702">
        <v>76</v>
      </c>
      <c r="E1702">
        <v>17891</v>
      </c>
      <c r="F1702" s="1" t="s">
        <v>152</v>
      </c>
      <c r="G1702">
        <v>0</v>
      </c>
      <c r="H1702">
        <v>0</v>
      </c>
      <c r="I1702">
        <v>2</v>
      </c>
      <c r="J1702">
        <v>2</v>
      </c>
      <c r="K1702" s="33">
        <v>0</v>
      </c>
      <c r="L1702" s="1"/>
      <c r="M1702" s="1"/>
      <c r="N1702" s="1"/>
      <c r="O1702" s="1"/>
      <c r="P1702" s="1"/>
      <c r="Q1702" s="1"/>
    </row>
    <row r="1703" spans="1:17" x14ac:dyDescent="0.25">
      <c r="A1703" s="2">
        <v>44749</v>
      </c>
      <c r="B1703">
        <v>24</v>
      </c>
      <c r="C1703">
        <v>27</v>
      </c>
      <c r="D1703">
        <v>55</v>
      </c>
      <c r="E1703">
        <v>17892</v>
      </c>
      <c r="F1703" s="1" t="s">
        <v>149</v>
      </c>
      <c r="G1703">
        <v>0</v>
      </c>
      <c r="H1703">
        <v>0</v>
      </c>
      <c r="I1703">
        <v>2</v>
      </c>
      <c r="J1703">
        <v>2</v>
      </c>
      <c r="K1703" s="33">
        <v>0</v>
      </c>
      <c r="L1703" s="1"/>
      <c r="M1703" s="1" t="str">
        <f>_xlfn.XLOOKUP(ocupacao[[#This Row],[UnidadeID]],unidades!$A:$A,unidades!$B:$B,"",0)</f>
        <v>Nilópolis</v>
      </c>
      <c r="N1703" s="1" t="str">
        <f>_xlfn.XLOOKUP(ocupacao[[#This Row],[UnidadeID]],unidades!$A:$A,unidades!$C:$C,"",0)</f>
        <v>Nilópolis</v>
      </c>
      <c r="O1703" s="1" t="str">
        <f>_xlfn.XLOOKUP(ocupacao[[#This Row],[EspecialidadeID]],especialidades!$A:$A,especialidades!$B:$B,"",0)</f>
        <v>MAPA 24 HORAS</v>
      </c>
      <c r="P1703" s="1" t="str">
        <f>TEXT(WEEKDAY(ocupacao[[#This Row],[Data]]),"ddd")</f>
        <v>qui</v>
      </c>
      <c r="Q1703" s="1">
        <f t="shared" si="26"/>
        <v>0</v>
      </c>
    </row>
    <row r="1704" spans="1:17" hidden="1" x14ac:dyDescent="0.25">
      <c r="A1704" s="2">
        <v>44749</v>
      </c>
      <c r="B1704">
        <v>34</v>
      </c>
      <c r="C1704">
        <v>27</v>
      </c>
      <c r="D1704">
        <v>383</v>
      </c>
      <c r="E1704">
        <v>17952</v>
      </c>
      <c r="F1704" s="1" t="s">
        <v>364</v>
      </c>
      <c r="G1704">
        <v>0</v>
      </c>
      <c r="H1704">
        <v>0</v>
      </c>
      <c r="I1704">
        <v>2</v>
      </c>
      <c r="J1704">
        <v>2</v>
      </c>
      <c r="K1704" s="33">
        <v>0</v>
      </c>
      <c r="L1704" s="1"/>
      <c r="M1704" s="1"/>
      <c r="N1704" s="1"/>
      <c r="O1704" s="1"/>
      <c r="P1704" s="1"/>
      <c r="Q1704" s="1"/>
    </row>
    <row r="1705" spans="1:17" x14ac:dyDescent="0.25">
      <c r="A1705" s="2">
        <v>44750</v>
      </c>
      <c r="B1705">
        <v>10</v>
      </c>
      <c r="C1705">
        <v>27</v>
      </c>
      <c r="D1705">
        <v>4</v>
      </c>
      <c r="E1705">
        <v>17890</v>
      </c>
      <c r="F1705" s="1" t="s">
        <v>151</v>
      </c>
      <c r="G1705">
        <v>0</v>
      </c>
      <c r="H1705">
        <v>0</v>
      </c>
      <c r="I1705">
        <v>8</v>
      </c>
      <c r="J1705">
        <v>8</v>
      </c>
      <c r="K1705" s="33">
        <v>0</v>
      </c>
      <c r="L1705" s="1"/>
      <c r="M1705" s="1" t="str">
        <f>_xlfn.XLOOKUP(ocupacao[[#This Row],[UnidadeID]],unidades!$A:$A,unidades!$B:$B,"",0)</f>
        <v>Filial 2 - 10º</v>
      </c>
      <c r="N1705" s="1" t="str">
        <f>_xlfn.XLOOKUP(ocupacao[[#This Row],[UnidadeID]],unidades!$A:$A,unidades!$C:$C,"",0)</f>
        <v>Nova Iguaçu</v>
      </c>
      <c r="O1705" s="1" t="str">
        <f>_xlfn.XLOOKUP(ocupacao[[#This Row],[EspecialidadeID]],especialidades!$A:$A,especialidades!$B:$B,"",0)</f>
        <v>MAPA 24 HORAS</v>
      </c>
      <c r="P1705" s="1" t="str">
        <f>TEXT(WEEKDAY(ocupacao[[#This Row],[Data]]),"ddd")</f>
        <v>sex</v>
      </c>
      <c r="Q1705" s="1">
        <f t="shared" si="26"/>
        <v>0</v>
      </c>
    </row>
    <row r="1706" spans="1:17" x14ac:dyDescent="0.25">
      <c r="A1706" s="2">
        <v>44750</v>
      </c>
      <c r="B1706">
        <v>18</v>
      </c>
      <c r="C1706">
        <v>27</v>
      </c>
      <c r="D1706">
        <v>76</v>
      </c>
      <c r="E1706">
        <v>17891</v>
      </c>
      <c r="F1706" s="1" t="s">
        <v>152</v>
      </c>
      <c r="G1706">
        <v>0</v>
      </c>
      <c r="H1706">
        <v>0</v>
      </c>
      <c r="I1706">
        <v>2</v>
      </c>
      <c r="J1706">
        <v>2</v>
      </c>
      <c r="K1706" s="33">
        <v>0</v>
      </c>
      <c r="L1706" s="1"/>
      <c r="M1706" s="1" t="str">
        <f>_xlfn.XLOOKUP(ocupacao[[#This Row],[UnidadeID]],unidades!$A:$A,unidades!$B:$B,"",0)</f>
        <v>Miguel Couto</v>
      </c>
      <c r="N1706" s="1" t="str">
        <f>_xlfn.XLOOKUP(ocupacao[[#This Row],[UnidadeID]],unidades!$A:$A,unidades!$C:$C,"",0)</f>
        <v>Miguel Couto</v>
      </c>
      <c r="O1706" s="1" t="str">
        <f>_xlfn.XLOOKUP(ocupacao[[#This Row],[EspecialidadeID]],especialidades!$A:$A,especialidades!$B:$B,"",0)</f>
        <v>MAPA 24 HORAS</v>
      </c>
      <c r="P1706" s="1" t="str">
        <f>TEXT(WEEKDAY(ocupacao[[#This Row],[Data]]),"ddd")</f>
        <v>sex</v>
      </c>
      <c r="Q1706" s="1">
        <f t="shared" si="26"/>
        <v>0</v>
      </c>
    </row>
    <row r="1707" spans="1:17" x14ac:dyDescent="0.25">
      <c r="A1707" s="2">
        <v>44750</v>
      </c>
      <c r="B1707">
        <v>24</v>
      </c>
      <c r="C1707">
        <v>27</v>
      </c>
      <c r="D1707">
        <v>55</v>
      </c>
      <c r="E1707">
        <v>17892</v>
      </c>
      <c r="F1707" s="1" t="s">
        <v>149</v>
      </c>
      <c r="G1707">
        <v>0</v>
      </c>
      <c r="H1707">
        <v>0</v>
      </c>
      <c r="I1707">
        <v>2</v>
      </c>
      <c r="J1707">
        <v>2</v>
      </c>
      <c r="K1707" s="33">
        <v>0</v>
      </c>
      <c r="L1707" s="1"/>
      <c r="M1707" s="1" t="str">
        <f>_xlfn.XLOOKUP(ocupacao[[#This Row],[UnidadeID]],unidades!$A:$A,unidades!$B:$B,"",0)</f>
        <v>Nilópolis</v>
      </c>
      <c r="N1707" s="1" t="str">
        <f>_xlfn.XLOOKUP(ocupacao[[#This Row],[UnidadeID]],unidades!$A:$A,unidades!$C:$C,"",0)</f>
        <v>Nilópolis</v>
      </c>
      <c r="O1707" s="1" t="str">
        <f>_xlfn.XLOOKUP(ocupacao[[#This Row],[EspecialidadeID]],especialidades!$A:$A,especialidades!$B:$B,"",0)</f>
        <v>MAPA 24 HORAS</v>
      </c>
      <c r="P1707" s="1" t="str">
        <f>TEXT(WEEKDAY(ocupacao[[#This Row],[Data]]),"ddd")</f>
        <v>sex</v>
      </c>
      <c r="Q1707" s="1">
        <f t="shared" si="26"/>
        <v>0</v>
      </c>
    </row>
    <row r="1708" spans="1:17" x14ac:dyDescent="0.25">
      <c r="A1708" s="2">
        <v>44750</v>
      </c>
      <c r="B1708">
        <v>34</v>
      </c>
      <c r="C1708">
        <v>27</v>
      </c>
      <c r="D1708">
        <v>383</v>
      </c>
      <c r="E1708">
        <v>17952</v>
      </c>
      <c r="F1708" s="1" t="s">
        <v>364</v>
      </c>
      <c r="G1708">
        <v>0</v>
      </c>
      <c r="H1708">
        <v>1</v>
      </c>
      <c r="I1708">
        <v>2</v>
      </c>
      <c r="J1708">
        <v>3</v>
      </c>
      <c r="K1708" s="33">
        <v>0.33329999999999999</v>
      </c>
      <c r="L1708" s="1"/>
      <c r="M1708" s="1" t="str">
        <f>_xlfn.XLOOKUP(ocupacao[[#This Row],[UnidadeID]],unidades!$A:$A,unidades!$B:$B,"",0)</f>
        <v>São João</v>
      </c>
      <c r="N1708" s="1" t="str">
        <f>_xlfn.XLOOKUP(ocupacao[[#This Row],[UnidadeID]],unidades!$A:$A,unidades!$C:$C,"",0)</f>
        <v>São João de Meriti</v>
      </c>
      <c r="O1708" s="1" t="str">
        <f>_xlfn.XLOOKUP(ocupacao[[#This Row],[EspecialidadeID]],especialidades!$A:$A,especialidades!$B:$B,"",0)</f>
        <v>MAPA 24 HORAS</v>
      </c>
      <c r="P1708" s="1" t="str">
        <f>TEXT(WEEKDAY(ocupacao[[#This Row],[Data]]),"ddd")</f>
        <v>sex</v>
      </c>
      <c r="Q1708" s="1">
        <f t="shared" si="26"/>
        <v>0</v>
      </c>
    </row>
    <row r="1709" spans="1:17" hidden="1" x14ac:dyDescent="0.25">
      <c r="A1709" s="2"/>
      <c r="F1709" s="1"/>
      <c r="K1709" s="33"/>
      <c r="L1709" s="1"/>
      <c r="M1709" s="1"/>
      <c r="N1709" s="1"/>
      <c r="O1709" s="1"/>
      <c r="P1709" s="1"/>
      <c r="Q1709" s="1"/>
    </row>
    <row r="1710" spans="1:17" x14ac:dyDescent="0.25">
      <c r="A1710" s="2">
        <v>44753</v>
      </c>
      <c r="B1710">
        <v>10</v>
      </c>
      <c r="C1710">
        <v>27</v>
      </c>
      <c r="D1710">
        <v>4</v>
      </c>
      <c r="E1710">
        <v>17890</v>
      </c>
      <c r="F1710" s="1" t="s">
        <v>151</v>
      </c>
      <c r="G1710">
        <v>0</v>
      </c>
      <c r="H1710">
        <v>1</v>
      </c>
      <c r="I1710">
        <v>7</v>
      </c>
      <c r="J1710">
        <v>8</v>
      </c>
      <c r="K1710" s="33">
        <v>0.125</v>
      </c>
      <c r="L1710" s="1"/>
      <c r="M1710" s="1" t="str">
        <f>_xlfn.XLOOKUP(ocupacao[[#This Row],[UnidadeID]],unidades!$A:$A,unidades!$B:$B,"",0)</f>
        <v>Filial 2 - 10º</v>
      </c>
      <c r="N1710" s="1" t="str">
        <f>_xlfn.XLOOKUP(ocupacao[[#This Row],[UnidadeID]],unidades!$A:$A,unidades!$C:$C,"",0)</f>
        <v>Nova Iguaçu</v>
      </c>
      <c r="O1710" s="1" t="str">
        <f>_xlfn.XLOOKUP(ocupacao[[#This Row],[EspecialidadeID]],especialidades!$A:$A,especialidades!$B:$B,"",0)</f>
        <v>MAPA 24 HORAS</v>
      </c>
      <c r="P1710" s="1" t="str">
        <f>TEXT(WEEKDAY(ocupacao[[#This Row],[Data]]),"ddd")</f>
        <v>seg</v>
      </c>
      <c r="Q1710" s="1">
        <f t="shared" si="26"/>
        <v>0</v>
      </c>
    </row>
    <row r="1711" spans="1:17" x14ac:dyDescent="0.25">
      <c r="A1711" s="2">
        <v>44753</v>
      </c>
      <c r="B1711">
        <v>18</v>
      </c>
      <c r="C1711">
        <v>27</v>
      </c>
      <c r="D1711">
        <v>76</v>
      </c>
      <c r="E1711">
        <v>17891</v>
      </c>
      <c r="F1711" s="1" t="s">
        <v>152</v>
      </c>
      <c r="G1711">
        <v>0</v>
      </c>
      <c r="H1711">
        <v>0</v>
      </c>
      <c r="I1711">
        <v>2</v>
      </c>
      <c r="J1711">
        <v>2</v>
      </c>
      <c r="K1711" s="33">
        <v>0</v>
      </c>
      <c r="L1711" s="1"/>
      <c r="M1711" s="1" t="str">
        <f>_xlfn.XLOOKUP(ocupacao[[#This Row],[UnidadeID]],unidades!$A:$A,unidades!$B:$B,"",0)</f>
        <v>Miguel Couto</v>
      </c>
      <c r="N1711" s="1" t="str">
        <f>_xlfn.XLOOKUP(ocupacao[[#This Row],[UnidadeID]],unidades!$A:$A,unidades!$C:$C,"",0)</f>
        <v>Miguel Couto</v>
      </c>
      <c r="O1711" s="1" t="str">
        <f>_xlfn.XLOOKUP(ocupacao[[#This Row],[EspecialidadeID]],especialidades!$A:$A,especialidades!$B:$B,"",0)</f>
        <v>MAPA 24 HORAS</v>
      </c>
      <c r="P1711" s="1" t="str">
        <f>TEXT(WEEKDAY(ocupacao[[#This Row],[Data]]),"ddd")</f>
        <v>seg</v>
      </c>
      <c r="Q1711" s="1">
        <f t="shared" si="26"/>
        <v>0</v>
      </c>
    </row>
    <row r="1712" spans="1:17" x14ac:dyDescent="0.25">
      <c r="A1712" s="2">
        <v>44753</v>
      </c>
      <c r="B1712">
        <v>24</v>
      </c>
      <c r="C1712">
        <v>27</v>
      </c>
      <c r="D1712">
        <v>55</v>
      </c>
      <c r="E1712">
        <v>17892</v>
      </c>
      <c r="F1712" s="1" t="s">
        <v>149</v>
      </c>
      <c r="G1712">
        <v>0</v>
      </c>
      <c r="H1712">
        <v>0</v>
      </c>
      <c r="I1712">
        <v>2</v>
      </c>
      <c r="J1712">
        <v>2</v>
      </c>
      <c r="K1712" s="33">
        <v>0</v>
      </c>
      <c r="L1712" s="1"/>
      <c r="M1712" s="1" t="str">
        <f>_xlfn.XLOOKUP(ocupacao[[#This Row],[UnidadeID]],unidades!$A:$A,unidades!$B:$B,"",0)</f>
        <v>Nilópolis</v>
      </c>
      <c r="N1712" s="1" t="str">
        <f>_xlfn.XLOOKUP(ocupacao[[#This Row],[UnidadeID]],unidades!$A:$A,unidades!$C:$C,"",0)</f>
        <v>Nilópolis</v>
      </c>
      <c r="O1712" s="1" t="str">
        <f>_xlfn.XLOOKUP(ocupacao[[#This Row],[EspecialidadeID]],especialidades!$A:$A,especialidades!$B:$B,"",0)</f>
        <v>MAPA 24 HORAS</v>
      </c>
      <c r="P1712" s="1" t="str">
        <f>TEXT(WEEKDAY(ocupacao[[#This Row],[Data]]),"ddd")</f>
        <v>seg</v>
      </c>
      <c r="Q1712" s="1">
        <f t="shared" si="26"/>
        <v>0</v>
      </c>
    </row>
    <row r="1713" spans="1:17" x14ac:dyDescent="0.25">
      <c r="A1713" s="2">
        <v>44753</v>
      </c>
      <c r="B1713">
        <v>34</v>
      </c>
      <c r="C1713">
        <v>27</v>
      </c>
      <c r="D1713">
        <v>383</v>
      </c>
      <c r="E1713">
        <v>17952</v>
      </c>
      <c r="F1713" s="1" t="s">
        <v>364</v>
      </c>
      <c r="G1713">
        <v>0</v>
      </c>
      <c r="H1713">
        <v>0</v>
      </c>
      <c r="I1713">
        <v>2</v>
      </c>
      <c r="J1713">
        <v>2</v>
      </c>
      <c r="K1713" s="33">
        <v>0</v>
      </c>
      <c r="L1713" s="1"/>
      <c r="M1713" s="1" t="str">
        <f>_xlfn.XLOOKUP(ocupacao[[#This Row],[UnidadeID]],unidades!$A:$A,unidades!$B:$B,"",0)</f>
        <v>São João</v>
      </c>
      <c r="N1713" s="1" t="str">
        <f>_xlfn.XLOOKUP(ocupacao[[#This Row],[UnidadeID]],unidades!$A:$A,unidades!$C:$C,"",0)</f>
        <v>São João de Meriti</v>
      </c>
      <c r="O1713" s="1" t="str">
        <f>_xlfn.XLOOKUP(ocupacao[[#This Row],[EspecialidadeID]],especialidades!$A:$A,especialidades!$B:$B,"",0)</f>
        <v>MAPA 24 HORAS</v>
      </c>
      <c r="P1713" s="1" t="str">
        <f>TEXT(WEEKDAY(ocupacao[[#This Row],[Data]]),"ddd")</f>
        <v>seg</v>
      </c>
      <c r="Q1713" s="1">
        <f t="shared" si="26"/>
        <v>0</v>
      </c>
    </row>
    <row r="1714" spans="1:17" x14ac:dyDescent="0.25">
      <c r="A1714" s="2">
        <v>44754</v>
      </c>
      <c r="B1714">
        <v>10</v>
      </c>
      <c r="C1714">
        <v>27</v>
      </c>
      <c r="D1714">
        <v>4</v>
      </c>
      <c r="E1714">
        <v>17890</v>
      </c>
      <c r="F1714" s="1" t="s">
        <v>151</v>
      </c>
      <c r="G1714">
        <v>0</v>
      </c>
      <c r="H1714">
        <v>0</v>
      </c>
      <c r="I1714">
        <v>8</v>
      </c>
      <c r="J1714">
        <v>8</v>
      </c>
      <c r="K1714" s="33">
        <v>0</v>
      </c>
      <c r="L1714" s="1"/>
      <c r="M1714" s="1" t="str">
        <f>_xlfn.XLOOKUP(ocupacao[[#This Row],[UnidadeID]],unidades!$A:$A,unidades!$B:$B,"",0)</f>
        <v>Filial 2 - 10º</v>
      </c>
      <c r="N1714" s="1" t="str">
        <f>_xlfn.XLOOKUP(ocupacao[[#This Row],[UnidadeID]],unidades!$A:$A,unidades!$C:$C,"",0)</f>
        <v>Nova Iguaçu</v>
      </c>
      <c r="O1714" s="1" t="str">
        <f>_xlfn.XLOOKUP(ocupacao[[#This Row],[EspecialidadeID]],especialidades!$A:$A,especialidades!$B:$B,"",0)</f>
        <v>MAPA 24 HORAS</v>
      </c>
      <c r="P1714" s="1" t="str">
        <f>TEXT(WEEKDAY(ocupacao[[#This Row],[Data]]),"ddd")</f>
        <v>ter</v>
      </c>
      <c r="Q1714" s="1">
        <f t="shared" si="26"/>
        <v>0</v>
      </c>
    </row>
    <row r="1715" spans="1:17" x14ac:dyDescent="0.25">
      <c r="A1715" s="2">
        <v>44754</v>
      </c>
      <c r="B1715">
        <v>18</v>
      </c>
      <c r="C1715">
        <v>27</v>
      </c>
      <c r="D1715">
        <v>76</v>
      </c>
      <c r="E1715">
        <v>17891</v>
      </c>
      <c r="F1715" s="1" t="s">
        <v>152</v>
      </c>
      <c r="G1715">
        <v>0</v>
      </c>
      <c r="H1715">
        <v>0</v>
      </c>
      <c r="I1715">
        <v>2</v>
      </c>
      <c r="J1715">
        <v>2</v>
      </c>
      <c r="K1715" s="33">
        <v>0</v>
      </c>
      <c r="L1715" s="1"/>
      <c r="M1715" s="1" t="str">
        <f>_xlfn.XLOOKUP(ocupacao[[#This Row],[UnidadeID]],unidades!$A:$A,unidades!$B:$B,"",0)</f>
        <v>Miguel Couto</v>
      </c>
      <c r="N1715" s="1" t="str">
        <f>_xlfn.XLOOKUP(ocupacao[[#This Row],[UnidadeID]],unidades!$A:$A,unidades!$C:$C,"",0)</f>
        <v>Miguel Couto</v>
      </c>
      <c r="O1715" s="1" t="str">
        <f>_xlfn.XLOOKUP(ocupacao[[#This Row],[EspecialidadeID]],especialidades!$A:$A,especialidades!$B:$B,"",0)</f>
        <v>MAPA 24 HORAS</v>
      </c>
      <c r="P1715" s="1" t="str">
        <f>TEXT(WEEKDAY(ocupacao[[#This Row],[Data]]),"ddd")</f>
        <v>ter</v>
      </c>
      <c r="Q1715" s="1">
        <f t="shared" si="26"/>
        <v>0</v>
      </c>
    </row>
    <row r="1716" spans="1:17" x14ac:dyDescent="0.25">
      <c r="A1716" s="2">
        <v>44754</v>
      </c>
      <c r="B1716">
        <v>24</v>
      </c>
      <c r="C1716">
        <v>27</v>
      </c>
      <c r="D1716">
        <v>55</v>
      </c>
      <c r="E1716">
        <v>17892</v>
      </c>
      <c r="F1716" s="1" t="s">
        <v>149</v>
      </c>
      <c r="G1716">
        <v>0</v>
      </c>
      <c r="H1716">
        <v>0</v>
      </c>
      <c r="I1716">
        <v>2</v>
      </c>
      <c r="J1716">
        <v>2</v>
      </c>
      <c r="K1716" s="33">
        <v>0</v>
      </c>
      <c r="L1716" s="1"/>
      <c r="M1716" s="1" t="str">
        <f>_xlfn.XLOOKUP(ocupacao[[#This Row],[UnidadeID]],unidades!$A:$A,unidades!$B:$B,"",0)</f>
        <v>Nilópolis</v>
      </c>
      <c r="N1716" s="1" t="str">
        <f>_xlfn.XLOOKUP(ocupacao[[#This Row],[UnidadeID]],unidades!$A:$A,unidades!$C:$C,"",0)</f>
        <v>Nilópolis</v>
      </c>
      <c r="O1716" s="1" t="str">
        <f>_xlfn.XLOOKUP(ocupacao[[#This Row],[EspecialidadeID]],especialidades!$A:$A,especialidades!$B:$B,"",0)</f>
        <v>MAPA 24 HORAS</v>
      </c>
      <c r="P1716" s="1" t="str">
        <f>TEXT(WEEKDAY(ocupacao[[#This Row],[Data]]),"ddd")</f>
        <v>ter</v>
      </c>
      <c r="Q1716" s="1">
        <f t="shared" si="26"/>
        <v>0</v>
      </c>
    </row>
    <row r="1717" spans="1:17" x14ac:dyDescent="0.25">
      <c r="A1717" s="2">
        <v>44754</v>
      </c>
      <c r="B1717">
        <v>34</v>
      </c>
      <c r="C1717">
        <v>27</v>
      </c>
      <c r="D1717">
        <v>383</v>
      </c>
      <c r="E1717">
        <v>17952</v>
      </c>
      <c r="F1717" s="1" t="s">
        <v>364</v>
      </c>
      <c r="G1717">
        <v>0</v>
      </c>
      <c r="H1717">
        <v>0</v>
      </c>
      <c r="I1717">
        <v>2</v>
      </c>
      <c r="J1717">
        <v>2</v>
      </c>
      <c r="K1717" s="33">
        <v>0</v>
      </c>
      <c r="L1717" s="1"/>
      <c r="M1717" s="1" t="str">
        <f>_xlfn.XLOOKUP(ocupacao[[#This Row],[UnidadeID]],unidades!$A:$A,unidades!$B:$B,"",0)</f>
        <v>São João</v>
      </c>
      <c r="N1717" s="1" t="str">
        <f>_xlfn.XLOOKUP(ocupacao[[#This Row],[UnidadeID]],unidades!$A:$A,unidades!$C:$C,"",0)</f>
        <v>São João de Meriti</v>
      </c>
      <c r="O1717" s="1" t="str">
        <f>_xlfn.XLOOKUP(ocupacao[[#This Row],[EspecialidadeID]],especialidades!$A:$A,especialidades!$B:$B,"",0)</f>
        <v>MAPA 24 HORAS</v>
      </c>
      <c r="P1717" s="1" t="str">
        <f>TEXT(WEEKDAY(ocupacao[[#This Row],[Data]]),"ddd")</f>
        <v>ter</v>
      </c>
      <c r="Q1717" s="1">
        <f t="shared" si="26"/>
        <v>0</v>
      </c>
    </row>
    <row r="1718" spans="1:17" x14ac:dyDescent="0.25">
      <c r="A1718" s="2">
        <v>44755</v>
      </c>
      <c r="B1718">
        <v>10</v>
      </c>
      <c r="C1718">
        <v>27</v>
      </c>
      <c r="D1718">
        <v>4</v>
      </c>
      <c r="E1718">
        <v>17890</v>
      </c>
      <c r="F1718" s="1" t="s">
        <v>151</v>
      </c>
      <c r="G1718">
        <v>0</v>
      </c>
      <c r="H1718">
        <v>0</v>
      </c>
      <c r="I1718">
        <v>8</v>
      </c>
      <c r="J1718">
        <v>8</v>
      </c>
      <c r="K1718" s="33">
        <v>0</v>
      </c>
      <c r="L1718" s="1"/>
      <c r="M1718" s="1" t="str">
        <f>_xlfn.XLOOKUP(ocupacao[[#This Row],[UnidadeID]],unidades!$A:$A,unidades!$B:$B,"",0)</f>
        <v>Filial 2 - 10º</v>
      </c>
      <c r="N1718" s="1" t="str">
        <f>_xlfn.XLOOKUP(ocupacao[[#This Row],[UnidadeID]],unidades!$A:$A,unidades!$C:$C,"",0)</f>
        <v>Nova Iguaçu</v>
      </c>
      <c r="O1718" s="1" t="str">
        <f>_xlfn.XLOOKUP(ocupacao[[#This Row],[EspecialidadeID]],especialidades!$A:$A,especialidades!$B:$B,"",0)</f>
        <v>MAPA 24 HORAS</v>
      </c>
      <c r="P1718" s="1" t="str">
        <f>TEXT(WEEKDAY(ocupacao[[#This Row],[Data]]),"ddd")</f>
        <v>qua</v>
      </c>
      <c r="Q1718" s="1">
        <f t="shared" si="26"/>
        <v>0</v>
      </c>
    </row>
    <row r="1719" spans="1:17" x14ac:dyDescent="0.25">
      <c r="A1719" s="2">
        <v>44755</v>
      </c>
      <c r="B1719">
        <v>18</v>
      </c>
      <c r="C1719">
        <v>27</v>
      </c>
      <c r="D1719">
        <v>76</v>
      </c>
      <c r="E1719">
        <v>17891</v>
      </c>
      <c r="F1719" s="1" t="s">
        <v>152</v>
      </c>
      <c r="G1719">
        <v>0</v>
      </c>
      <c r="H1719">
        <v>0</v>
      </c>
      <c r="I1719">
        <v>2</v>
      </c>
      <c r="J1719">
        <v>2</v>
      </c>
      <c r="K1719" s="33">
        <v>0</v>
      </c>
      <c r="L1719" s="1"/>
      <c r="M1719" s="1" t="str">
        <f>_xlfn.XLOOKUP(ocupacao[[#This Row],[UnidadeID]],unidades!$A:$A,unidades!$B:$B,"",0)</f>
        <v>Miguel Couto</v>
      </c>
      <c r="N1719" s="1" t="str">
        <f>_xlfn.XLOOKUP(ocupacao[[#This Row],[UnidadeID]],unidades!$A:$A,unidades!$C:$C,"",0)</f>
        <v>Miguel Couto</v>
      </c>
      <c r="O1719" s="1" t="str">
        <f>_xlfn.XLOOKUP(ocupacao[[#This Row],[EspecialidadeID]],especialidades!$A:$A,especialidades!$B:$B,"",0)</f>
        <v>MAPA 24 HORAS</v>
      </c>
      <c r="P1719" s="1" t="str">
        <f>TEXT(WEEKDAY(ocupacao[[#This Row],[Data]]),"ddd")</f>
        <v>qua</v>
      </c>
      <c r="Q1719" s="1">
        <f t="shared" si="26"/>
        <v>0</v>
      </c>
    </row>
    <row r="1720" spans="1:17" hidden="1" x14ac:dyDescent="0.25">
      <c r="A1720" s="2">
        <v>44755</v>
      </c>
      <c r="B1720">
        <v>24</v>
      </c>
      <c r="C1720">
        <v>27</v>
      </c>
      <c r="D1720">
        <v>55</v>
      </c>
      <c r="E1720">
        <v>17892</v>
      </c>
      <c r="F1720" s="1" t="s">
        <v>149</v>
      </c>
      <c r="G1720">
        <v>0</v>
      </c>
      <c r="H1720">
        <v>0</v>
      </c>
      <c r="I1720">
        <v>2</v>
      </c>
      <c r="J1720">
        <v>2</v>
      </c>
      <c r="K1720" s="33">
        <v>0</v>
      </c>
      <c r="L1720" s="1"/>
      <c r="M1720" s="1"/>
      <c r="N1720" s="1"/>
      <c r="O1720" s="1"/>
      <c r="P1720" s="1"/>
      <c r="Q1720" s="1"/>
    </row>
    <row r="1721" spans="1:17" x14ac:dyDescent="0.25">
      <c r="A1721" s="2">
        <v>44755</v>
      </c>
      <c r="B1721">
        <v>34</v>
      </c>
      <c r="C1721">
        <v>27</v>
      </c>
      <c r="D1721">
        <v>383</v>
      </c>
      <c r="E1721">
        <v>17952</v>
      </c>
      <c r="F1721" s="1" t="s">
        <v>364</v>
      </c>
      <c r="G1721">
        <v>0</v>
      </c>
      <c r="H1721">
        <v>0</v>
      </c>
      <c r="I1721">
        <v>2</v>
      </c>
      <c r="J1721">
        <v>2</v>
      </c>
      <c r="K1721" s="33">
        <v>0</v>
      </c>
      <c r="L1721" s="1"/>
      <c r="M1721" s="1" t="str">
        <f>_xlfn.XLOOKUP(ocupacao[[#This Row],[UnidadeID]],unidades!$A:$A,unidades!$B:$B,"",0)</f>
        <v>São João</v>
      </c>
      <c r="N1721" s="1" t="str">
        <f>_xlfn.XLOOKUP(ocupacao[[#This Row],[UnidadeID]],unidades!$A:$A,unidades!$C:$C,"",0)</f>
        <v>São João de Meriti</v>
      </c>
      <c r="O1721" s="1" t="str">
        <f>_xlfn.XLOOKUP(ocupacao[[#This Row],[EspecialidadeID]],especialidades!$A:$A,especialidades!$B:$B,"",0)</f>
        <v>MAPA 24 HORAS</v>
      </c>
      <c r="P1721" s="1" t="str">
        <f>TEXT(WEEKDAY(ocupacao[[#This Row],[Data]]),"ddd")</f>
        <v>qua</v>
      </c>
      <c r="Q1721" s="1">
        <f t="shared" si="26"/>
        <v>0</v>
      </c>
    </row>
    <row r="1722" spans="1:17" x14ac:dyDescent="0.25">
      <c r="A1722" s="2">
        <v>44756</v>
      </c>
      <c r="B1722">
        <v>10</v>
      </c>
      <c r="C1722">
        <v>27</v>
      </c>
      <c r="D1722">
        <v>4</v>
      </c>
      <c r="E1722">
        <v>17890</v>
      </c>
      <c r="F1722" s="1" t="s">
        <v>151</v>
      </c>
      <c r="G1722">
        <v>0</v>
      </c>
      <c r="H1722">
        <v>0</v>
      </c>
      <c r="I1722">
        <v>8</v>
      </c>
      <c r="J1722">
        <v>8</v>
      </c>
      <c r="K1722" s="33">
        <v>0</v>
      </c>
      <c r="L1722" s="1"/>
      <c r="M1722" s="1" t="str">
        <f>_xlfn.XLOOKUP(ocupacao[[#This Row],[UnidadeID]],unidades!$A:$A,unidades!$B:$B,"",0)</f>
        <v>Filial 2 - 10º</v>
      </c>
      <c r="N1722" s="1" t="str">
        <f>_xlfn.XLOOKUP(ocupacao[[#This Row],[UnidadeID]],unidades!$A:$A,unidades!$C:$C,"",0)</f>
        <v>Nova Iguaçu</v>
      </c>
      <c r="O1722" s="1" t="str">
        <f>_xlfn.XLOOKUP(ocupacao[[#This Row],[EspecialidadeID]],especialidades!$A:$A,especialidades!$B:$B,"",0)</f>
        <v>MAPA 24 HORAS</v>
      </c>
      <c r="P1722" s="1" t="str">
        <f>TEXT(WEEKDAY(ocupacao[[#This Row],[Data]]),"ddd")</f>
        <v>qui</v>
      </c>
      <c r="Q1722" s="1">
        <f t="shared" si="26"/>
        <v>0</v>
      </c>
    </row>
    <row r="1723" spans="1:17" x14ac:dyDescent="0.25">
      <c r="A1723" s="2">
        <v>44756</v>
      </c>
      <c r="B1723">
        <v>18</v>
      </c>
      <c r="C1723">
        <v>27</v>
      </c>
      <c r="D1723">
        <v>76</v>
      </c>
      <c r="E1723">
        <v>17891</v>
      </c>
      <c r="F1723" s="1" t="s">
        <v>152</v>
      </c>
      <c r="G1723">
        <v>0</v>
      </c>
      <c r="H1723">
        <v>0</v>
      </c>
      <c r="I1723">
        <v>2</v>
      </c>
      <c r="J1723">
        <v>2</v>
      </c>
      <c r="K1723" s="33">
        <v>0</v>
      </c>
      <c r="L1723" s="1"/>
      <c r="M1723" s="1" t="str">
        <f>_xlfn.XLOOKUP(ocupacao[[#This Row],[UnidadeID]],unidades!$A:$A,unidades!$B:$B,"",0)</f>
        <v>Miguel Couto</v>
      </c>
      <c r="N1723" s="1" t="str">
        <f>_xlfn.XLOOKUP(ocupacao[[#This Row],[UnidadeID]],unidades!$A:$A,unidades!$C:$C,"",0)</f>
        <v>Miguel Couto</v>
      </c>
      <c r="O1723" s="1" t="str">
        <f>_xlfn.XLOOKUP(ocupacao[[#This Row],[EspecialidadeID]],especialidades!$A:$A,especialidades!$B:$B,"",0)</f>
        <v>MAPA 24 HORAS</v>
      </c>
      <c r="P1723" s="1" t="str">
        <f>TEXT(WEEKDAY(ocupacao[[#This Row],[Data]]),"ddd")</f>
        <v>qui</v>
      </c>
      <c r="Q1723" s="1">
        <f t="shared" si="26"/>
        <v>0</v>
      </c>
    </row>
    <row r="1724" spans="1:17" x14ac:dyDescent="0.25">
      <c r="A1724" s="2">
        <v>44756</v>
      </c>
      <c r="B1724">
        <v>24</v>
      </c>
      <c r="C1724">
        <v>27</v>
      </c>
      <c r="D1724">
        <v>55</v>
      </c>
      <c r="E1724">
        <v>17892</v>
      </c>
      <c r="F1724" s="1" t="s">
        <v>149</v>
      </c>
      <c r="G1724">
        <v>0</v>
      </c>
      <c r="H1724">
        <v>0</v>
      </c>
      <c r="I1724">
        <v>2</v>
      </c>
      <c r="J1724">
        <v>2</v>
      </c>
      <c r="K1724" s="33">
        <v>0</v>
      </c>
      <c r="L1724" s="1"/>
      <c r="M1724" s="1" t="str">
        <f>_xlfn.XLOOKUP(ocupacao[[#This Row],[UnidadeID]],unidades!$A:$A,unidades!$B:$B,"",0)</f>
        <v>Nilópolis</v>
      </c>
      <c r="N1724" s="1" t="str">
        <f>_xlfn.XLOOKUP(ocupacao[[#This Row],[UnidadeID]],unidades!$A:$A,unidades!$C:$C,"",0)</f>
        <v>Nilópolis</v>
      </c>
      <c r="O1724" s="1" t="str">
        <f>_xlfn.XLOOKUP(ocupacao[[#This Row],[EspecialidadeID]],especialidades!$A:$A,especialidades!$B:$B,"",0)</f>
        <v>MAPA 24 HORAS</v>
      </c>
      <c r="P1724" s="1" t="str">
        <f>TEXT(WEEKDAY(ocupacao[[#This Row],[Data]]),"ddd")</f>
        <v>qui</v>
      </c>
      <c r="Q1724" s="1">
        <f t="shared" si="26"/>
        <v>0</v>
      </c>
    </row>
    <row r="1725" spans="1:17" x14ac:dyDescent="0.25">
      <c r="A1725" s="2">
        <v>44756</v>
      </c>
      <c r="B1725">
        <v>34</v>
      </c>
      <c r="C1725">
        <v>27</v>
      </c>
      <c r="D1725">
        <v>383</v>
      </c>
      <c r="E1725">
        <v>17952</v>
      </c>
      <c r="F1725" s="1" t="s">
        <v>364</v>
      </c>
      <c r="G1725">
        <v>0</v>
      </c>
      <c r="H1725">
        <v>0</v>
      </c>
      <c r="I1725">
        <v>2</v>
      </c>
      <c r="J1725">
        <v>2</v>
      </c>
      <c r="K1725" s="33">
        <v>0</v>
      </c>
      <c r="L1725" s="1"/>
      <c r="M1725" s="1" t="str">
        <f>_xlfn.XLOOKUP(ocupacao[[#This Row],[UnidadeID]],unidades!$A:$A,unidades!$B:$B,"",0)</f>
        <v>São João</v>
      </c>
      <c r="N1725" s="1" t="str">
        <f>_xlfn.XLOOKUP(ocupacao[[#This Row],[UnidadeID]],unidades!$A:$A,unidades!$C:$C,"",0)</f>
        <v>São João de Meriti</v>
      </c>
      <c r="O1725" s="1" t="str">
        <f>_xlfn.XLOOKUP(ocupacao[[#This Row],[EspecialidadeID]],especialidades!$A:$A,especialidades!$B:$B,"",0)</f>
        <v>MAPA 24 HORAS</v>
      </c>
      <c r="P1725" s="1" t="str">
        <f>TEXT(WEEKDAY(ocupacao[[#This Row],[Data]]),"ddd")</f>
        <v>qui</v>
      </c>
      <c r="Q1725" s="1">
        <f t="shared" si="26"/>
        <v>0</v>
      </c>
    </row>
    <row r="1726" spans="1:17" x14ac:dyDescent="0.25">
      <c r="A1726" s="2"/>
      <c r="F1726" s="1" t="s">
        <v>106</v>
      </c>
      <c r="K1726" s="33"/>
      <c r="L1726" s="1"/>
      <c r="M1726" s="1">
        <f>_xlfn.XLOOKUP(ocupacao[[#This Row],[UnidadeID]],unidades!$A:$A,unidades!$B:$B,"",0)</f>
        <v>0</v>
      </c>
      <c r="N1726" s="1">
        <f>_xlfn.XLOOKUP(ocupacao[[#This Row],[UnidadeID]],unidades!$A:$A,unidades!$C:$C,"",0)</f>
        <v>0</v>
      </c>
      <c r="O1726" s="1">
        <f>_xlfn.XLOOKUP(ocupacao[[#This Row],[EspecialidadeID]],especialidades!$A:$A,especialidades!$B:$B,"",0)</f>
        <v>0</v>
      </c>
      <c r="P1726" s="1" t="str">
        <f>TEXT(WEEKDAY(ocupacao[[#This Row],[Data]]),"ddd")</f>
        <v>sáb</v>
      </c>
      <c r="Q1726" s="1">
        <f t="shared" si="26"/>
        <v>0</v>
      </c>
    </row>
    <row r="1727" spans="1:17" hidden="1" x14ac:dyDescent="0.25">
      <c r="A1727" s="2"/>
      <c r="F1727" s="1"/>
      <c r="K1727" s="33"/>
      <c r="L1727" s="1"/>
      <c r="M1727" s="1"/>
      <c r="N1727" s="1"/>
      <c r="O1727" s="1"/>
      <c r="P1727" s="1"/>
      <c r="Q1727" s="1"/>
    </row>
    <row r="1728" spans="1:17" x14ac:dyDescent="0.25">
      <c r="A1728" s="2">
        <v>44746</v>
      </c>
      <c r="B1728">
        <v>10</v>
      </c>
      <c r="C1728">
        <v>28</v>
      </c>
      <c r="D1728">
        <v>4</v>
      </c>
      <c r="E1728">
        <v>17893</v>
      </c>
      <c r="F1728" s="1" t="s">
        <v>158</v>
      </c>
      <c r="G1728">
        <v>0</v>
      </c>
      <c r="H1728">
        <v>1</v>
      </c>
      <c r="I1728">
        <v>4</v>
      </c>
      <c r="J1728">
        <v>5</v>
      </c>
      <c r="K1728" s="33">
        <v>0.2</v>
      </c>
      <c r="L1728" s="1"/>
      <c r="M1728" s="1" t="str">
        <f>_xlfn.XLOOKUP(ocupacao[[#This Row],[UnidadeID]],unidades!$A:$A,unidades!$B:$B,"",0)</f>
        <v>Filial 2 - 10º</v>
      </c>
      <c r="N1728" s="1" t="str">
        <f>_xlfn.XLOOKUP(ocupacao[[#This Row],[UnidadeID]],unidades!$A:$A,unidades!$C:$C,"",0)</f>
        <v>Nova Iguaçu</v>
      </c>
      <c r="O1728" s="1" t="str">
        <f>_xlfn.XLOOKUP(ocupacao[[#This Row],[EspecialidadeID]],especialidades!$A:$A,especialidades!$B:$B,"",0)</f>
        <v>HOLTER 24 HORAS</v>
      </c>
      <c r="P1728" s="1" t="str">
        <f>TEXT(WEEKDAY(ocupacao[[#This Row],[Data]]),"ddd")</f>
        <v>seg</v>
      </c>
      <c r="Q1728" s="1">
        <f t="shared" si="26"/>
        <v>0</v>
      </c>
    </row>
    <row r="1729" spans="1:17" x14ac:dyDescent="0.25">
      <c r="A1729" s="2">
        <v>44746</v>
      </c>
      <c r="B1729">
        <v>18</v>
      </c>
      <c r="C1729">
        <v>28</v>
      </c>
      <c r="D1729">
        <v>76</v>
      </c>
      <c r="E1729">
        <v>17894</v>
      </c>
      <c r="F1729" s="1" t="s">
        <v>159</v>
      </c>
      <c r="G1729">
        <v>0</v>
      </c>
      <c r="H1729">
        <v>0</v>
      </c>
      <c r="I1729">
        <v>2</v>
      </c>
      <c r="J1729">
        <v>2</v>
      </c>
      <c r="K1729" s="33">
        <v>0</v>
      </c>
      <c r="L1729" s="1"/>
      <c r="M1729" s="1" t="str">
        <f>_xlfn.XLOOKUP(ocupacao[[#This Row],[UnidadeID]],unidades!$A:$A,unidades!$B:$B,"",0)</f>
        <v>Miguel Couto</v>
      </c>
      <c r="N1729" s="1" t="str">
        <f>_xlfn.XLOOKUP(ocupacao[[#This Row],[UnidadeID]],unidades!$A:$A,unidades!$C:$C,"",0)</f>
        <v>Miguel Couto</v>
      </c>
      <c r="O1729" s="1" t="str">
        <f>_xlfn.XLOOKUP(ocupacao[[#This Row],[EspecialidadeID]],especialidades!$A:$A,especialidades!$B:$B,"",0)</f>
        <v>HOLTER 24 HORAS</v>
      </c>
      <c r="P1729" s="1" t="str">
        <f>TEXT(WEEKDAY(ocupacao[[#This Row],[Data]]),"ddd")</f>
        <v>seg</v>
      </c>
      <c r="Q1729" s="1">
        <f t="shared" si="26"/>
        <v>0</v>
      </c>
    </row>
    <row r="1730" spans="1:17" x14ac:dyDescent="0.25">
      <c r="A1730" s="2">
        <v>44746</v>
      </c>
      <c r="B1730">
        <v>24</v>
      </c>
      <c r="C1730">
        <v>28</v>
      </c>
      <c r="D1730">
        <v>55</v>
      </c>
      <c r="E1730">
        <v>17895</v>
      </c>
      <c r="F1730" s="1" t="s">
        <v>160</v>
      </c>
      <c r="G1730">
        <v>0</v>
      </c>
      <c r="H1730">
        <v>0</v>
      </c>
      <c r="I1730">
        <v>2</v>
      </c>
      <c r="J1730">
        <v>2</v>
      </c>
      <c r="K1730" s="33">
        <v>0</v>
      </c>
      <c r="L1730" s="1"/>
      <c r="M1730" s="1" t="str">
        <f>_xlfn.XLOOKUP(ocupacao[[#This Row],[UnidadeID]],unidades!$A:$A,unidades!$B:$B,"",0)</f>
        <v>Nilópolis</v>
      </c>
      <c r="N1730" s="1" t="str">
        <f>_xlfn.XLOOKUP(ocupacao[[#This Row],[UnidadeID]],unidades!$A:$A,unidades!$C:$C,"",0)</f>
        <v>Nilópolis</v>
      </c>
      <c r="O1730" s="1" t="str">
        <f>_xlfn.XLOOKUP(ocupacao[[#This Row],[EspecialidadeID]],especialidades!$A:$A,especialidades!$B:$B,"",0)</f>
        <v>HOLTER 24 HORAS</v>
      </c>
      <c r="P1730" s="1" t="str">
        <f>TEXT(WEEKDAY(ocupacao[[#This Row],[Data]]),"ddd")</f>
        <v>seg</v>
      </c>
      <c r="Q1730" s="1">
        <f t="shared" ref="Q1730:Q1793" si="27">IF(F1730=F1731,1,0)</f>
        <v>0</v>
      </c>
    </row>
    <row r="1731" spans="1:17" x14ac:dyDescent="0.25">
      <c r="A1731" s="2">
        <v>44746</v>
      </c>
      <c r="B1731">
        <v>34</v>
      </c>
      <c r="C1731">
        <v>28</v>
      </c>
      <c r="D1731">
        <v>383</v>
      </c>
      <c r="E1731">
        <v>17953</v>
      </c>
      <c r="F1731" s="1" t="s">
        <v>365</v>
      </c>
      <c r="G1731">
        <v>0</v>
      </c>
      <c r="H1731">
        <v>0</v>
      </c>
      <c r="I1731">
        <v>1</v>
      </c>
      <c r="J1731">
        <v>1</v>
      </c>
      <c r="K1731" s="33">
        <v>0</v>
      </c>
      <c r="L1731" s="1"/>
      <c r="M1731" s="1" t="str">
        <f>_xlfn.XLOOKUP(ocupacao[[#This Row],[UnidadeID]],unidades!$A:$A,unidades!$B:$B,"",0)</f>
        <v>São João</v>
      </c>
      <c r="N1731" s="1" t="str">
        <f>_xlfn.XLOOKUP(ocupacao[[#This Row],[UnidadeID]],unidades!$A:$A,unidades!$C:$C,"",0)</f>
        <v>São João de Meriti</v>
      </c>
      <c r="O1731" s="1" t="str">
        <f>_xlfn.XLOOKUP(ocupacao[[#This Row],[EspecialidadeID]],especialidades!$A:$A,especialidades!$B:$B,"",0)</f>
        <v>HOLTER 24 HORAS</v>
      </c>
      <c r="P1731" s="1" t="str">
        <f>TEXT(WEEKDAY(ocupacao[[#This Row],[Data]]),"ddd")</f>
        <v>seg</v>
      </c>
      <c r="Q1731" s="1">
        <f t="shared" si="27"/>
        <v>0</v>
      </c>
    </row>
    <row r="1732" spans="1:17" x14ac:dyDescent="0.25">
      <c r="A1732" s="2">
        <v>44747</v>
      </c>
      <c r="B1732">
        <v>10</v>
      </c>
      <c r="C1732">
        <v>28</v>
      </c>
      <c r="D1732">
        <v>4</v>
      </c>
      <c r="E1732">
        <v>17893</v>
      </c>
      <c r="F1732" s="1" t="s">
        <v>158</v>
      </c>
      <c r="G1732">
        <v>0</v>
      </c>
      <c r="H1732">
        <v>0</v>
      </c>
      <c r="I1732">
        <v>4</v>
      </c>
      <c r="J1732">
        <v>4</v>
      </c>
      <c r="K1732" s="33">
        <v>0</v>
      </c>
      <c r="L1732" s="1"/>
      <c r="M1732" s="1" t="str">
        <f>_xlfn.XLOOKUP(ocupacao[[#This Row],[UnidadeID]],unidades!$A:$A,unidades!$B:$B,"",0)</f>
        <v>Filial 2 - 10º</v>
      </c>
      <c r="N1732" s="1" t="str">
        <f>_xlfn.XLOOKUP(ocupacao[[#This Row],[UnidadeID]],unidades!$A:$A,unidades!$C:$C,"",0)</f>
        <v>Nova Iguaçu</v>
      </c>
      <c r="O1732" s="1" t="str">
        <f>_xlfn.XLOOKUP(ocupacao[[#This Row],[EspecialidadeID]],especialidades!$A:$A,especialidades!$B:$B,"",0)</f>
        <v>HOLTER 24 HORAS</v>
      </c>
      <c r="P1732" s="1" t="str">
        <f>TEXT(WEEKDAY(ocupacao[[#This Row],[Data]]),"ddd")</f>
        <v>ter</v>
      </c>
      <c r="Q1732" s="1">
        <f t="shared" si="27"/>
        <v>0</v>
      </c>
    </row>
    <row r="1733" spans="1:17" x14ac:dyDescent="0.25">
      <c r="A1733" s="2">
        <v>44747</v>
      </c>
      <c r="B1733">
        <v>18</v>
      </c>
      <c r="C1733">
        <v>28</v>
      </c>
      <c r="D1733">
        <v>76</v>
      </c>
      <c r="E1733">
        <v>17894</v>
      </c>
      <c r="F1733" s="1" t="s">
        <v>159</v>
      </c>
      <c r="G1733">
        <v>0</v>
      </c>
      <c r="H1733">
        <v>0</v>
      </c>
      <c r="I1733">
        <v>2</v>
      </c>
      <c r="J1733">
        <v>2</v>
      </c>
      <c r="K1733" s="33">
        <v>0</v>
      </c>
      <c r="L1733" s="1"/>
      <c r="M1733" s="1" t="str">
        <f>_xlfn.XLOOKUP(ocupacao[[#This Row],[UnidadeID]],unidades!$A:$A,unidades!$B:$B,"",0)</f>
        <v>Miguel Couto</v>
      </c>
      <c r="N1733" s="1" t="str">
        <f>_xlfn.XLOOKUP(ocupacao[[#This Row],[UnidadeID]],unidades!$A:$A,unidades!$C:$C,"",0)</f>
        <v>Miguel Couto</v>
      </c>
      <c r="O1733" s="1" t="str">
        <f>_xlfn.XLOOKUP(ocupacao[[#This Row],[EspecialidadeID]],especialidades!$A:$A,especialidades!$B:$B,"",0)</f>
        <v>HOLTER 24 HORAS</v>
      </c>
      <c r="P1733" s="1" t="str">
        <f>TEXT(WEEKDAY(ocupacao[[#This Row],[Data]]),"ddd")</f>
        <v>ter</v>
      </c>
      <c r="Q1733" s="1">
        <f t="shared" si="27"/>
        <v>0</v>
      </c>
    </row>
    <row r="1734" spans="1:17" x14ac:dyDescent="0.25">
      <c r="A1734" s="2">
        <v>44747</v>
      </c>
      <c r="B1734">
        <v>24</v>
      </c>
      <c r="C1734">
        <v>28</v>
      </c>
      <c r="D1734">
        <v>55</v>
      </c>
      <c r="E1734">
        <v>17895</v>
      </c>
      <c r="F1734" s="1" t="s">
        <v>160</v>
      </c>
      <c r="G1734">
        <v>0</v>
      </c>
      <c r="H1734">
        <v>0</v>
      </c>
      <c r="I1734">
        <v>2</v>
      </c>
      <c r="J1734">
        <v>2</v>
      </c>
      <c r="K1734" s="33">
        <v>0</v>
      </c>
      <c r="L1734" s="1"/>
      <c r="M1734" s="1" t="str">
        <f>_xlfn.XLOOKUP(ocupacao[[#This Row],[UnidadeID]],unidades!$A:$A,unidades!$B:$B,"",0)</f>
        <v>Nilópolis</v>
      </c>
      <c r="N1734" s="1" t="str">
        <f>_xlfn.XLOOKUP(ocupacao[[#This Row],[UnidadeID]],unidades!$A:$A,unidades!$C:$C,"",0)</f>
        <v>Nilópolis</v>
      </c>
      <c r="O1734" s="1" t="str">
        <f>_xlfn.XLOOKUP(ocupacao[[#This Row],[EspecialidadeID]],especialidades!$A:$A,especialidades!$B:$B,"",0)</f>
        <v>HOLTER 24 HORAS</v>
      </c>
      <c r="P1734" s="1" t="str">
        <f>TEXT(WEEKDAY(ocupacao[[#This Row],[Data]]),"ddd")</f>
        <v>ter</v>
      </c>
      <c r="Q1734" s="1">
        <f t="shared" si="27"/>
        <v>0</v>
      </c>
    </row>
    <row r="1735" spans="1:17" x14ac:dyDescent="0.25">
      <c r="A1735" s="2">
        <v>44747</v>
      </c>
      <c r="B1735">
        <v>34</v>
      </c>
      <c r="C1735">
        <v>28</v>
      </c>
      <c r="D1735">
        <v>383</v>
      </c>
      <c r="E1735">
        <v>17953</v>
      </c>
      <c r="F1735" s="1" t="s">
        <v>365</v>
      </c>
      <c r="G1735">
        <v>0</v>
      </c>
      <c r="H1735">
        <v>0</v>
      </c>
      <c r="I1735">
        <v>1</v>
      </c>
      <c r="J1735">
        <v>1</v>
      </c>
      <c r="K1735" s="33">
        <v>0</v>
      </c>
      <c r="L1735" s="1"/>
      <c r="M1735" s="1" t="str">
        <f>_xlfn.XLOOKUP(ocupacao[[#This Row],[UnidadeID]],unidades!$A:$A,unidades!$B:$B,"",0)</f>
        <v>São João</v>
      </c>
      <c r="N1735" s="1" t="str">
        <f>_xlfn.XLOOKUP(ocupacao[[#This Row],[UnidadeID]],unidades!$A:$A,unidades!$C:$C,"",0)</f>
        <v>São João de Meriti</v>
      </c>
      <c r="O1735" s="1" t="str">
        <f>_xlfn.XLOOKUP(ocupacao[[#This Row],[EspecialidadeID]],especialidades!$A:$A,especialidades!$B:$B,"",0)</f>
        <v>HOLTER 24 HORAS</v>
      </c>
      <c r="P1735" s="1" t="str">
        <f>TEXT(WEEKDAY(ocupacao[[#This Row],[Data]]),"ddd")</f>
        <v>ter</v>
      </c>
      <c r="Q1735" s="1">
        <f t="shared" si="27"/>
        <v>0</v>
      </c>
    </row>
    <row r="1736" spans="1:17" x14ac:dyDescent="0.25">
      <c r="A1736" s="2">
        <v>44748</v>
      </c>
      <c r="B1736">
        <v>10</v>
      </c>
      <c r="C1736">
        <v>28</v>
      </c>
      <c r="D1736">
        <v>4</v>
      </c>
      <c r="E1736">
        <v>17893</v>
      </c>
      <c r="F1736" s="1" t="s">
        <v>158</v>
      </c>
      <c r="G1736">
        <v>0</v>
      </c>
      <c r="H1736">
        <v>0</v>
      </c>
      <c r="I1736">
        <v>4</v>
      </c>
      <c r="J1736">
        <v>4</v>
      </c>
      <c r="K1736" s="33">
        <v>0</v>
      </c>
      <c r="L1736" s="1"/>
      <c r="M1736" s="1" t="str">
        <f>_xlfn.XLOOKUP(ocupacao[[#This Row],[UnidadeID]],unidades!$A:$A,unidades!$B:$B,"",0)</f>
        <v>Filial 2 - 10º</v>
      </c>
      <c r="N1736" s="1" t="str">
        <f>_xlfn.XLOOKUP(ocupacao[[#This Row],[UnidadeID]],unidades!$A:$A,unidades!$C:$C,"",0)</f>
        <v>Nova Iguaçu</v>
      </c>
      <c r="O1736" s="1" t="str">
        <f>_xlfn.XLOOKUP(ocupacao[[#This Row],[EspecialidadeID]],especialidades!$A:$A,especialidades!$B:$B,"",0)</f>
        <v>HOLTER 24 HORAS</v>
      </c>
      <c r="P1736" s="1" t="str">
        <f>TEXT(WEEKDAY(ocupacao[[#This Row],[Data]]),"ddd")</f>
        <v>qua</v>
      </c>
      <c r="Q1736" s="1">
        <f t="shared" si="27"/>
        <v>0</v>
      </c>
    </row>
    <row r="1737" spans="1:17" x14ac:dyDescent="0.25">
      <c r="A1737" s="2">
        <v>44748</v>
      </c>
      <c r="B1737">
        <v>18</v>
      </c>
      <c r="C1737">
        <v>28</v>
      </c>
      <c r="D1737">
        <v>76</v>
      </c>
      <c r="E1737">
        <v>17894</v>
      </c>
      <c r="F1737" s="1" t="s">
        <v>159</v>
      </c>
      <c r="G1737">
        <v>0</v>
      </c>
      <c r="H1737">
        <v>0</v>
      </c>
      <c r="I1737">
        <v>2</v>
      </c>
      <c r="J1737">
        <v>2</v>
      </c>
      <c r="K1737" s="33">
        <v>0</v>
      </c>
      <c r="L1737" s="1"/>
      <c r="M1737" s="1" t="str">
        <f>_xlfn.XLOOKUP(ocupacao[[#This Row],[UnidadeID]],unidades!$A:$A,unidades!$B:$B,"",0)</f>
        <v>Miguel Couto</v>
      </c>
      <c r="N1737" s="1" t="str">
        <f>_xlfn.XLOOKUP(ocupacao[[#This Row],[UnidadeID]],unidades!$A:$A,unidades!$C:$C,"",0)</f>
        <v>Miguel Couto</v>
      </c>
      <c r="O1737" s="1" t="str">
        <f>_xlfn.XLOOKUP(ocupacao[[#This Row],[EspecialidadeID]],especialidades!$A:$A,especialidades!$B:$B,"",0)</f>
        <v>HOLTER 24 HORAS</v>
      </c>
      <c r="P1737" s="1" t="str">
        <f>TEXT(WEEKDAY(ocupacao[[#This Row],[Data]]),"ddd")</f>
        <v>qua</v>
      </c>
      <c r="Q1737" s="1">
        <f t="shared" si="27"/>
        <v>0</v>
      </c>
    </row>
    <row r="1738" spans="1:17" x14ac:dyDescent="0.25">
      <c r="A1738" s="2">
        <v>44748</v>
      </c>
      <c r="B1738">
        <v>24</v>
      </c>
      <c r="C1738">
        <v>28</v>
      </c>
      <c r="D1738">
        <v>55</v>
      </c>
      <c r="E1738">
        <v>17895</v>
      </c>
      <c r="F1738" s="1" t="s">
        <v>160</v>
      </c>
      <c r="G1738">
        <v>0</v>
      </c>
      <c r="H1738">
        <v>0</v>
      </c>
      <c r="I1738">
        <v>2</v>
      </c>
      <c r="J1738">
        <v>2</v>
      </c>
      <c r="K1738" s="33">
        <v>0</v>
      </c>
      <c r="L1738" s="1"/>
      <c r="M1738" s="1" t="str">
        <f>_xlfn.XLOOKUP(ocupacao[[#This Row],[UnidadeID]],unidades!$A:$A,unidades!$B:$B,"",0)</f>
        <v>Nilópolis</v>
      </c>
      <c r="N1738" s="1" t="str">
        <f>_xlfn.XLOOKUP(ocupacao[[#This Row],[UnidadeID]],unidades!$A:$A,unidades!$C:$C,"",0)</f>
        <v>Nilópolis</v>
      </c>
      <c r="O1738" s="1" t="str">
        <f>_xlfn.XLOOKUP(ocupacao[[#This Row],[EspecialidadeID]],especialidades!$A:$A,especialidades!$B:$B,"",0)</f>
        <v>HOLTER 24 HORAS</v>
      </c>
      <c r="P1738" s="1" t="str">
        <f>TEXT(WEEKDAY(ocupacao[[#This Row],[Data]]),"ddd")</f>
        <v>qua</v>
      </c>
      <c r="Q1738" s="1">
        <f t="shared" si="27"/>
        <v>0</v>
      </c>
    </row>
    <row r="1739" spans="1:17" x14ac:dyDescent="0.25">
      <c r="A1739" s="2">
        <v>44748</v>
      </c>
      <c r="B1739">
        <v>34</v>
      </c>
      <c r="C1739">
        <v>28</v>
      </c>
      <c r="D1739">
        <v>383</v>
      </c>
      <c r="E1739">
        <v>17953</v>
      </c>
      <c r="F1739" s="1" t="s">
        <v>365</v>
      </c>
      <c r="G1739">
        <v>0</v>
      </c>
      <c r="H1739">
        <v>0</v>
      </c>
      <c r="I1739">
        <v>1</v>
      </c>
      <c r="J1739">
        <v>1</v>
      </c>
      <c r="K1739" s="33">
        <v>0</v>
      </c>
      <c r="L1739" s="1"/>
      <c r="M1739" s="1" t="str">
        <f>_xlfn.XLOOKUP(ocupacao[[#This Row],[UnidadeID]],unidades!$A:$A,unidades!$B:$B,"",0)</f>
        <v>São João</v>
      </c>
      <c r="N1739" s="1" t="str">
        <f>_xlfn.XLOOKUP(ocupacao[[#This Row],[UnidadeID]],unidades!$A:$A,unidades!$C:$C,"",0)</f>
        <v>São João de Meriti</v>
      </c>
      <c r="O1739" s="1" t="str">
        <f>_xlfn.XLOOKUP(ocupacao[[#This Row],[EspecialidadeID]],especialidades!$A:$A,especialidades!$B:$B,"",0)</f>
        <v>HOLTER 24 HORAS</v>
      </c>
      <c r="P1739" s="1" t="str">
        <f>TEXT(WEEKDAY(ocupacao[[#This Row],[Data]]),"ddd")</f>
        <v>qua</v>
      </c>
      <c r="Q1739" s="1">
        <f t="shared" si="27"/>
        <v>0</v>
      </c>
    </row>
    <row r="1740" spans="1:17" x14ac:dyDescent="0.25">
      <c r="A1740" s="2">
        <v>44749</v>
      </c>
      <c r="B1740">
        <v>10</v>
      </c>
      <c r="C1740">
        <v>28</v>
      </c>
      <c r="D1740">
        <v>4</v>
      </c>
      <c r="E1740">
        <v>17893</v>
      </c>
      <c r="F1740" s="1" t="s">
        <v>158</v>
      </c>
      <c r="G1740">
        <v>0</v>
      </c>
      <c r="H1740">
        <v>0</v>
      </c>
      <c r="I1740">
        <v>4</v>
      </c>
      <c r="J1740">
        <v>4</v>
      </c>
      <c r="K1740" s="33">
        <v>0</v>
      </c>
      <c r="L1740" s="1"/>
      <c r="M1740" s="1" t="str">
        <f>_xlfn.XLOOKUP(ocupacao[[#This Row],[UnidadeID]],unidades!$A:$A,unidades!$B:$B,"",0)</f>
        <v>Filial 2 - 10º</v>
      </c>
      <c r="N1740" s="1" t="str">
        <f>_xlfn.XLOOKUP(ocupacao[[#This Row],[UnidadeID]],unidades!$A:$A,unidades!$C:$C,"",0)</f>
        <v>Nova Iguaçu</v>
      </c>
      <c r="O1740" s="1" t="str">
        <f>_xlfn.XLOOKUP(ocupacao[[#This Row],[EspecialidadeID]],especialidades!$A:$A,especialidades!$B:$B,"",0)</f>
        <v>HOLTER 24 HORAS</v>
      </c>
      <c r="P1740" s="1" t="str">
        <f>TEXT(WEEKDAY(ocupacao[[#This Row],[Data]]),"ddd")</f>
        <v>qui</v>
      </c>
      <c r="Q1740" s="1">
        <f t="shared" si="27"/>
        <v>0</v>
      </c>
    </row>
    <row r="1741" spans="1:17" x14ac:dyDescent="0.25">
      <c r="A1741" s="2">
        <v>44749</v>
      </c>
      <c r="B1741">
        <v>18</v>
      </c>
      <c r="C1741">
        <v>28</v>
      </c>
      <c r="D1741">
        <v>76</v>
      </c>
      <c r="E1741">
        <v>17894</v>
      </c>
      <c r="F1741" s="1" t="s">
        <v>159</v>
      </c>
      <c r="G1741">
        <v>0</v>
      </c>
      <c r="H1741">
        <v>0</v>
      </c>
      <c r="I1741">
        <v>2</v>
      </c>
      <c r="J1741">
        <v>2</v>
      </c>
      <c r="K1741" s="33">
        <v>0</v>
      </c>
      <c r="L1741" s="1"/>
      <c r="M1741" s="1" t="str">
        <f>_xlfn.XLOOKUP(ocupacao[[#This Row],[UnidadeID]],unidades!$A:$A,unidades!$B:$B,"",0)</f>
        <v>Miguel Couto</v>
      </c>
      <c r="N1741" s="1" t="str">
        <f>_xlfn.XLOOKUP(ocupacao[[#This Row],[UnidadeID]],unidades!$A:$A,unidades!$C:$C,"",0)</f>
        <v>Miguel Couto</v>
      </c>
      <c r="O1741" s="1" t="str">
        <f>_xlfn.XLOOKUP(ocupacao[[#This Row],[EspecialidadeID]],especialidades!$A:$A,especialidades!$B:$B,"",0)</f>
        <v>HOLTER 24 HORAS</v>
      </c>
      <c r="P1741" s="1" t="str">
        <f>TEXT(WEEKDAY(ocupacao[[#This Row],[Data]]),"ddd")</f>
        <v>qui</v>
      </c>
      <c r="Q1741" s="1">
        <f t="shared" si="27"/>
        <v>0</v>
      </c>
    </row>
    <row r="1742" spans="1:17" x14ac:dyDescent="0.25">
      <c r="A1742" s="2">
        <v>44749</v>
      </c>
      <c r="B1742">
        <v>24</v>
      </c>
      <c r="C1742">
        <v>28</v>
      </c>
      <c r="D1742">
        <v>55</v>
      </c>
      <c r="E1742">
        <v>17895</v>
      </c>
      <c r="F1742" s="1" t="s">
        <v>160</v>
      </c>
      <c r="G1742">
        <v>0</v>
      </c>
      <c r="H1742">
        <v>0</v>
      </c>
      <c r="I1742">
        <v>2</v>
      </c>
      <c r="J1742">
        <v>2</v>
      </c>
      <c r="K1742" s="33">
        <v>0</v>
      </c>
      <c r="L1742" s="1"/>
      <c r="M1742" s="1" t="str">
        <f>_xlfn.XLOOKUP(ocupacao[[#This Row],[UnidadeID]],unidades!$A:$A,unidades!$B:$B,"",0)</f>
        <v>Nilópolis</v>
      </c>
      <c r="N1742" s="1" t="str">
        <f>_xlfn.XLOOKUP(ocupacao[[#This Row],[UnidadeID]],unidades!$A:$A,unidades!$C:$C,"",0)</f>
        <v>Nilópolis</v>
      </c>
      <c r="O1742" s="1" t="str">
        <f>_xlfn.XLOOKUP(ocupacao[[#This Row],[EspecialidadeID]],especialidades!$A:$A,especialidades!$B:$B,"",0)</f>
        <v>HOLTER 24 HORAS</v>
      </c>
      <c r="P1742" s="1" t="str">
        <f>TEXT(WEEKDAY(ocupacao[[#This Row],[Data]]),"ddd")</f>
        <v>qui</v>
      </c>
      <c r="Q1742" s="1">
        <f t="shared" si="27"/>
        <v>0</v>
      </c>
    </row>
    <row r="1743" spans="1:17" x14ac:dyDescent="0.25">
      <c r="A1743" s="2">
        <v>44749</v>
      </c>
      <c r="B1743">
        <v>34</v>
      </c>
      <c r="C1743">
        <v>28</v>
      </c>
      <c r="D1743">
        <v>383</v>
      </c>
      <c r="E1743">
        <v>17953</v>
      </c>
      <c r="F1743" s="1" t="s">
        <v>365</v>
      </c>
      <c r="G1743">
        <v>0</v>
      </c>
      <c r="H1743">
        <v>0</v>
      </c>
      <c r="I1743">
        <v>1</v>
      </c>
      <c r="J1743">
        <v>1</v>
      </c>
      <c r="K1743" s="33">
        <v>0</v>
      </c>
      <c r="L1743" s="1"/>
      <c r="M1743" s="1" t="str">
        <f>_xlfn.XLOOKUP(ocupacao[[#This Row],[UnidadeID]],unidades!$A:$A,unidades!$B:$B,"",0)</f>
        <v>São João</v>
      </c>
      <c r="N1743" s="1" t="str">
        <f>_xlfn.XLOOKUP(ocupacao[[#This Row],[UnidadeID]],unidades!$A:$A,unidades!$C:$C,"",0)</f>
        <v>São João de Meriti</v>
      </c>
      <c r="O1743" s="1" t="str">
        <f>_xlfn.XLOOKUP(ocupacao[[#This Row],[EspecialidadeID]],especialidades!$A:$A,especialidades!$B:$B,"",0)</f>
        <v>HOLTER 24 HORAS</v>
      </c>
      <c r="P1743" s="1" t="str">
        <f>TEXT(WEEKDAY(ocupacao[[#This Row],[Data]]),"ddd")</f>
        <v>qui</v>
      </c>
      <c r="Q1743" s="1">
        <f t="shared" si="27"/>
        <v>0</v>
      </c>
    </row>
    <row r="1744" spans="1:17" x14ac:dyDescent="0.25">
      <c r="A1744" s="2">
        <v>44750</v>
      </c>
      <c r="B1744">
        <v>10</v>
      </c>
      <c r="C1744">
        <v>28</v>
      </c>
      <c r="D1744">
        <v>4</v>
      </c>
      <c r="E1744">
        <v>17893</v>
      </c>
      <c r="F1744" s="1" t="s">
        <v>158</v>
      </c>
      <c r="G1744">
        <v>0</v>
      </c>
      <c r="H1744">
        <v>0</v>
      </c>
      <c r="I1744">
        <v>4</v>
      </c>
      <c r="J1744">
        <v>4</v>
      </c>
      <c r="K1744" s="33">
        <v>0</v>
      </c>
      <c r="L1744" s="1"/>
      <c r="M1744" s="1" t="str">
        <f>_xlfn.XLOOKUP(ocupacao[[#This Row],[UnidadeID]],unidades!$A:$A,unidades!$B:$B,"",0)</f>
        <v>Filial 2 - 10º</v>
      </c>
      <c r="N1744" s="1" t="str">
        <f>_xlfn.XLOOKUP(ocupacao[[#This Row],[UnidadeID]],unidades!$A:$A,unidades!$C:$C,"",0)</f>
        <v>Nova Iguaçu</v>
      </c>
      <c r="O1744" s="1" t="str">
        <f>_xlfn.XLOOKUP(ocupacao[[#This Row],[EspecialidadeID]],especialidades!$A:$A,especialidades!$B:$B,"",0)</f>
        <v>HOLTER 24 HORAS</v>
      </c>
      <c r="P1744" s="1" t="str">
        <f>TEXT(WEEKDAY(ocupacao[[#This Row],[Data]]),"ddd")</f>
        <v>sex</v>
      </c>
      <c r="Q1744" s="1">
        <f t="shared" si="27"/>
        <v>0</v>
      </c>
    </row>
    <row r="1745" spans="1:17" x14ac:dyDescent="0.25">
      <c r="A1745" s="2">
        <v>44750</v>
      </c>
      <c r="B1745">
        <v>18</v>
      </c>
      <c r="C1745">
        <v>28</v>
      </c>
      <c r="D1745">
        <v>76</v>
      </c>
      <c r="E1745">
        <v>17894</v>
      </c>
      <c r="F1745" s="1" t="s">
        <v>159</v>
      </c>
      <c r="G1745">
        <v>0</v>
      </c>
      <c r="H1745">
        <v>0</v>
      </c>
      <c r="I1745">
        <v>2</v>
      </c>
      <c r="J1745">
        <v>2</v>
      </c>
      <c r="K1745" s="33">
        <v>0</v>
      </c>
      <c r="L1745" s="1"/>
      <c r="M1745" s="1" t="str">
        <f>_xlfn.XLOOKUP(ocupacao[[#This Row],[UnidadeID]],unidades!$A:$A,unidades!$B:$B,"",0)</f>
        <v>Miguel Couto</v>
      </c>
      <c r="N1745" s="1" t="str">
        <f>_xlfn.XLOOKUP(ocupacao[[#This Row],[UnidadeID]],unidades!$A:$A,unidades!$C:$C,"",0)</f>
        <v>Miguel Couto</v>
      </c>
      <c r="O1745" s="1" t="str">
        <f>_xlfn.XLOOKUP(ocupacao[[#This Row],[EspecialidadeID]],especialidades!$A:$A,especialidades!$B:$B,"",0)</f>
        <v>HOLTER 24 HORAS</v>
      </c>
      <c r="P1745" s="1" t="str">
        <f>TEXT(WEEKDAY(ocupacao[[#This Row],[Data]]),"ddd")</f>
        <v>sex</v>
      </c>
      <c r="Q1745" s="1">
        <f t="shared" si="27"/>
        <v>0</v>
      </c>
    </row>
    <row r="1746" spans="1:17" x14ac:dyDescent="0.25">
      <c r="A1746" s="2">
        <v>44750</v>
      </c>
      <c r="B1746">
        <v>24</v>
      </c>
      <c r="C1746">
        <v>28</v>
      </c>
      <c r="D1746">
        <v>55</v>
      </c>
      <c r="E1746">
        <v>17895</v>
      </c>
      <c r="F1746" s="1" t="s">
        <v>160</v>
      </c>
      <c r="G1746">
        <v>0</v>
      </c>
      <c r="H1746">
        <v>0</v>
      </c>
      <c r="I1746">
        <v>2</v>
      </c>
      <c r="J1746">
        <v>2</v>
      </c>
      <c r="K1746" s="33">
        <v>0</v>
      </c>
      <c r="L1746" s="1"/>
      <c r="M1746" s="1" t="str">
        <f>_xlfn.XLOOKUP(ocupacao[[#This Row],[UnidadeID]],unidades!$A:$A,unidades!$B:$B,"",0)</f>
        <v>Nilópolis</v>
      </c>
      <c r="N1746" s="1" t="str">
        <f>_xlfn.XLOOKUP(ocupacao[[#This Row],[UnidadeID]],unidades!$A:$A,unidades!$C:$C,"",0)</f>
        <v>Nilópolis</v>
      </c>
      <c r="O1746" s="1" t="str">
        <f>_xlfn.XLOOKUP(ocupacao[[#This Row],[EspecialidadeID]],especialidades!$A:$A,especialidades!$B:$B,"",0)</f>
        <v>HOLTER 24 HORAS</v>
      </c>
      <c r="P1746" s="1" t="str">
        <f>TEXT(WEEKDAY(ocupacao[[#This Row],[Data]]),"ddd")</f>
        <v>sex</v>
      </c>
      <c r="Q1746" s="1">
        <f t="shared" si="27"/>
        <v>0</v>
      </c>
    </row>
    <row r="1747" spans="1:17" x14ac:dyDescent="0.25">
      <c r="A1747" s="2">
        <v>44750</v>
      </c>
      <c r="B1747">
        <v>34</v>
      </c>
      <c r="C1747">
        <v>28</v>
      </c>
      <c r="D1747">
        <v>383</v>
      </c>
      <c r="E1747">
        <v>17953</v>
      </c>
      <c r="F1747" s="1" t="s">
        <v>365</v>
      </c>
      <c r="G1747">
        <v>0</v>
      </c>
      <c r="H1747">
        <v>0</v>
      </c>
      <c r="I1747">
        <v>1</v>
      </c>
      <c r="J1747">
        <v>1</v>
      </c>
      <c r="K1747" s="33">
        <v>0</v>
      </c>
      <c r="L1747" s="1"/>
      <c r="M1747" s="1" t="str">
        <f>_xlfn.XLOOKUP(ocupacao[[#This Row],[UnidadeID]],unidades!$A:$A,unidades!$B:$B,"",0)</f>
        <v>São João</v>
      </c>
      <c r="N1747" s="1" t="str">
        <f>_xlfn.XLOOKUP(ocupacao[[#This Row],[UnidadeID]],unidades!$A:$A,unidades!$C:$C,"",0)</f>
        <v>São João de Meriti</v>
      </c>
      <c r="O1747" s="1" t="str">
        <f>_xlfn.XLOOKUP(ocupacao[[#This Row],[EspecialidadeID]],especialidades!$A:$A,especialidades!$B:$B,"",0)</f>
        <v>HOLTER 24 HORAS</v>
      </c>
      <c r="P1747" s="1" t="str">
        <f>TEXT(WEEKDAY(ocupacao[[#This Row],[Data]]),"ddd")</f>
        <v>sex</v>
      </c>
      <c r="Q1747" s="1">
        <f t="shared" si="27"/>
        <v>0</v>
      </c>
    </row>
    <row r="1748" spans="1:17" x14ac:dyDescent="0.25">
      <c r="A1748" s="2">
        <v>44753</v>
      </c>
      <c r="B1748">
        <v>10</v>
      </c>
      <c r="C1748">
        <v>28</v>
      </c>
      <c r="D1748">
        <v>4</v>
      </c>
      <c r="E1748">
        <v>17893</v>
      </c>
      <c r="F1748" s="1" t="s">
        <v>158</v>
      </c>
      <c r="G1748">
        <v>0</v>
      </c>
      <c r="H1748">
        <v>0</v>
      </c>
      <c r="I1748">
        <v>4</v>
      </c>
      <c r="J1748">
        <v>4</v>
      </c>
      <c r="K1748" s="33">
        <v>0</v>
      </c>
      <c r="L1748" s="1"/>
      <c r="M1748" s="1" t="str">
        <f>_xlfn.XLOOKUP(ocupacao[[#This Row],[UnidadeID]],unidades!$A:$A,unidades!$B:$B,"",0)</f>
        <v>Filial 2 - 10º</v>
      </c>
      <c r="N1748" s="1" t="str">
        <f>_xlfn.XLOOKUP(ocupacao[[#This Row],[UnidadeID]],unidades!$A:$A,unidades!$C:$C,"",0)</f>
        <v>Nova Iguaçu</v>
      </c>
      <c r="O1748" s="1" t="str">
        <f>_xlfn.XLOOKUP(ocupacao[[#This Row],[EspecialidadeID]],especialidades!$A:$A,especialidades!$B:$B,"",0)</f>
        <v>HOLTER 24 HORAS</v>
      </c>
      <c r="P1748" s="1" t="str">
        <f>TEXT(WEEKDAY(ocupacao[[#This Row],[Data]]),"ddd")</f>
        <v>seg</v>
      </c>
      <c r="Q1748" s="1">
        <f t="shared" si="27"/>
        <v>0</v>
      </c>
    </row>
    <row r="1749" spans="1:17" x14ac:dyDescent="0.25">
      <c r="A1749" s="2">
        <v>44753</v>
      </c>
      <c r="B1749">
        <v>18</v>
      </c>
      <c r="C1749">
        <v>28</v>
      </c>
      <c r="D1749">
        <v>76</v>
      </c>
      <c r="E1749">
        <v>17894</v>
      </c>
      <c r="F1749" s="1" t="s">
        <v>159</v>
      </c>
      <c r="G1749">
        <v>0</v>
      </c>
      <c r="H1749">
        <v>0</v>
      </c>
      <c r="I1749">
        <v>2</v>
      </c>
      <c r="J1749">
        <v>2</v>
      </c>
      <c r="K1749" s="33">
        <v>0</v>
      </c>
      <c r="L1749" s="1"/>
      <c r="M1749" s="1" t="str">
        <f>_xlfn.XLOOKUP(ocupacao[[#This Row],[UnidadeID]],unidades!$A:$A,unidades!$B:$B,"",0)</f>
        <v>Miguel Couto</v>
      </c>
      <c r="N1749" s="1" t="str">
        <f>_xlfn.XLOOKUP(ocupacao[[#This Row],[UnidadeID]],unidades!$A:$A,unidades!$C:$C,"",0)</f>
        <v>Miguel Couto</v>
      </c>
      <c r="O1749" s="1" t="str">
        <f>_xlfn.XLOOKUP(ocupacao[[#This Row],[EspecialidadeID]],especialidades!$A:$A,especialidades!$B:$B,"",0)</f>
        <v>HOLTER 24 HORAS</v>
      </c>
      <c r="P1749" s="1" t="str">
        <f>TEXT(WEEKDAY(ocupacao[[#This Row],[Data]]),"ddd")</f>
        <v>seg</v>
      </c>
      <c r="Q1749" s="1">
        <f t="shared" si="27"/>
        <v>0</v>
      </c>
    </row>
    <row r="1750" spans="1:17" x14ac:dyDescent="0.25">
      <c r="A1750" s="2">
        <v>44753</v>
      </c>
      <c r="B1750">
        <v>24</v>
      </c>
      <c r="C1750">
        <v>28</v>
      </c>
      <c r="D1750">
        <v>55</v>
      </c>
      <c r="E1750">
        <v>17895</v>
      </c>
      <c r="F1750" s="1" t="s">
        <v>160</v>
      </c>
      <c r="G1750">
        <v>0</v>
      </c>
      <c r="H1750">
        <v>0</v>
      </c>
      <c r="I1750">
        <v>2</v>
      </c>
      <c r="J1750">
        <v>2</v>
      </c>
      <c r="K1750" s="33">
        <v>0</v>
      </c>
      <c r="L1750" s="1"/>
      <c r="M1750" s="1" t="str">
        <f>_xlfn.XLOOKUP(ocupacao[[#This Row],[UnidadeID]],unidades!$A:$A,unidades!$B:$B,"",0)</f>
        <v>Nilópolis</v>
      </c>
      <c r="N1750" s="1" t="str">
        <f>_xlfn.XLOOKUP(ocupacao[[#This Row],[UnidadeID]],unidades!$A:$A,unidades!$C:$C,"",0)</f>
        <v>Nilópolis</v>
      </c>
      <c r="O1750" s="1" t="str">
        <f>_xlfn.XLOOKUP(ocupacao[[#This Row],[EspecialidadeID]],especialidades!$A:$A,especialidades!$B:$B,"",0)</f>
        <v>HOLTER 24 HORAS</v>
      </c>
      <c r="P1750" s="1" t="str">
        <f>TEXT(WEEKDAY(ocupacao[[#This Row],[Data]]),"ddd")</f>
        <v>seg</v>
      </c>
      <c r="Q1750" s="1">
        <f t="shared" si="27"/>
        <v>0</v>
      </c>
    </row>
    <row r="1751" spans="1:17" x14ac:dyDescent="0.25">
      <c r="A1751" s="2">
        <v>44753</v>
      </c>
      <c r="B1751">
        <v>34</v>
      </c>
      <c r="C1751">
        <v>28</v>
      </c>
      <c r="D1751">
        <v>383</v>
      </c>
      <c r="E1751">
        <v>17953</v>
      </c>
      <c r="F1751" s="1" t="s">
        <v>365</v>
      </c>
      <c r="G1751">
        <v>0</v>
      </c>
      <c r="H1751">
        <v>0</v>
      </c>
      <c r="I1751">
        <v>1</v>
      </c>
      <c r="J1751">
        <v>1</v>
      </c>
      <c r="K1751" s="33">
        <v>0</v>
      </c>
      <c r="L1751" s="1"/>
      <c r="M1751" s="1" t="str">
        <f>_xlfn.XLOOKUP(ocupacao[[#This Row],[UnidadeID]],unidades!$A:$A,unidades!$B:$B,"",0)</f>
        <v>São João</v>
      </c>
      <c r="N1751" s="1" t="str">
        <f>_xlfn.XLOOKUP(ocupacao[[#This Row],[UnidadeID]],unidades!$A:$A,unidades!$C:$C,"",0)</f>
        <v>São João de Meriti</v>
      </c>
      <c r="O1751" s="1" t="str">
        <f>_xlfn.XLOOKUP(ocupacao[[#This Row],[EspecialidadeID]],especialidades!$A:$A,especialidades!$B:$B,"",0)</f>
        <v>HOLTER 24 HORAS</v>
      </c>
      <c r="P1751" s="1" t="str">
        <f>TEXT(WEEKDAY(ocupacao[[#This Row],[Data]]),"ddd")</f>
        <v>seg</v>
      </c>
      <c r="Q1751" s="1">
        <f t="shared" si="27"/>
        <v>0</v>
      </c>
    </row>
    <row r="1752" spans="1:17" x14ac:dyDescent="0.25">
      <c r="A1752" s="2">
        <v>44754</v>
      </c>
      <c r="B1752">
        <v>10</v>
      </c>
      <c r="C1752">
        <v>28</v>
      </c>
      <c r="D1752">
        <v>4</v>
      </c>
      <c r="E1752">
        <v>17893</v>
      </c>
      <c r="F1752" s="1" t="s">
        <v>158</v>
      </c>
      <c r="G1752">
        <v>0</v>
      </c>
      <c r="H1752">
        <v>0</v>
      </c>
      <c r="I1752">
        <v>4</v>
      </c>
      <c r="J1752">
        <v>4</v>
      </c>
      <c r="K1752" s="33">
        <v>0</v>
      </c>
      <c r="L1752" s="1"/>
      <c r="M1752" s="1" t="str">
        <f>_xlfn.XLOOKUP(ocupacao[[#This Row],[UnidadeID]],unidades!$A:$A,unidades!$B:$B,"",0)</f>
        <v>Filial 2 - 10º</v>
      </c>
      <c r="N1752" s="1" t="str">
        <f>_xlfn.XLOOKUP(ocupacao[[#This Row],[UnidadeID]],unidades!$A:$A,unidades!$C:$C,"",0)</f>
        <v>Nova Iguaçu</v>
      </c>
      <c r="O1752" s="1" t="str">
        <f>_xlfn.XLOOKUP(ocupacao[[#This Row],[EspecialidadeID]],especialidades!$A:$A,especialidades!$B:$B,"",0)</f>
        <v>HOLTER 24 HORAS</v>
      </c>
      <c r="P1752" s="1" t="str">
        <f>TEXT(WEEKDAY(ocupacao[[#This Row],[Data]]),"ddd")</f>
        <v>ter</v>
      </c>
      <c r="Q1752" s="1">
        <f t="shared" si="27"/>
        <v>0</v>
      </c>
    </row>
    <row r="1753" spans="1:17" x14ac:dyDescent="0.25">
      <c r="A1753" s="2">
        <v>44754</v>
      </c>
      <c r="B1753">
        <v>18</v>
      </c>
      <c r="C1753">
        <v>28</v>
      </c>
      <c r="D1753">
        <v>76</v>
      </c>
      <c r="E1753">
        <v>17894</v>
      </c>
      <c r="F1753" s="1" t="s">
        <v>159</v>
      </c>
      <c r="G1753">
        <v>0</v>
      </c>
      <c r="H1753">
        <v>0</v>
      </c>
      <c r="I1753">
        <v>2</v>
      </c>
      <c r="J1753">
        <v>2</v>
      </c>
      <c r="K1753" s="33">
        <v>0</v>
      </c>
      <c r="L1753" s="1"/>
      <c r="M1753" s="1" t="str">
        <f>_xlfn.XLOOKUP(ocupacao[[#This Row],[UnidadeID]],unidades!$A:$A,unidades!$B:$B,"",0)</f>
        <v>Miguel Couto</v>
      </c>
      <c r="N1753" s="1" t="str">
        <f>_xlfn.XLOOKUP(ocupacao[[#This Row],[UnidadeID]],unidades!$A:$A,unidades!$C:$C,"",0)</f>
        <v>Miguel Couto</v>
      </c>
      <c r="O1753" s="1" t="str">
        <f>_xlfn.XLOOKUP(ocupacao[[#This Row],[EspecialidadeID]],especialidades!$A:$A,especialidades!$B:$B,"",0)</f>
        <v>HOLTER 24 HORAS</v>
      </c>
      <c r="P1753" s="1" t="str">
        <f>TEXT(WEEKDAY(ocupacao[[#This Row],[Data]]),"ddd")</f>
        <v>ter</v>
      </c>
      <c r="Q1753" s="1">
        <f t="shared" si="27"/>
        <v>0</v>
      </c>
    </row>
    <row r="1754" spans="1:17" x14ac:dyDescent="0.25">
      <c r="A1754" s="2">
        <v>44754</v>
      </c>
      <c r="B1754">
        <v>24</v>
      </c>
      <c r="C1754">
        <v>28</v>
      </c>
      <c r="D1754">
        <v>55</v>
      </c>
      <c r="E1754">
        <v>17895</v>
      </c>
      <c r="F1754" s="1" t="s">
        <v>160</v>
      </c>
      <c r="G1754">
        <v>0</v>
      </c>
      <c r="H1754">
        <v>0</v>
      </c>
      <c r="I1754">
        <v>2</v>
      </c>
      <c r="J1754">
        <v>2</v>
      </c>
      <c r="K1754" s="33">
        <v>0</v>
      </c>
      <c r="L1754" s="1"/>
      <c r="M1754" s="1" t="str">
        <f>_xlfn.XLOOKUP(ocupacao[[#This Row],[UnidadeID]],unidades!$A:$A,unidades!$B:$B,"",0)</f>
        <v>Nilópolis</v>
      </c>
      <c r="N1754" s="1" t="str">
        <f>_xlfn.XLOOKUP(ocupacao[[#This Row],[UnidadeID]],unidades!$A:$A,unidades!$C:$C,"",0)</f>
        <v>Nilópolis</v>
      </c>
      <c r="O1754" s="1" t="str">
        <f>_xlfn.XLOOKUP(ocupacao[[#This Row],[EspecialidadeID]],especialidades!$A:$A,especialidades!$B:$B,"",0)</f>
        <v>HOLTER 24 HORAS</v>
      </c>
      <c r="P1754" s="1" t="str">
        <f>TEXT(WEEKDAY(ocupacao[[#This Row],[Data]]),"ddd")</f>
        <v>ter</v>
      </c>
      <c r="Q1754" s="1">
        <f t="shared" si="27"/>
        <v>0</v>
      </c>
    </row>
    <row r="1755" spans="1:17" x14ac:dyDescent="0.25">
      <c r="A1755" s="2">
        <v>44754</v>
      </c>
      <c r="B1755">
        <v>34</v>
      </c>
      <c r="C1755">
        <v>28</v>
      </c>
      <c r="D1755">
        <v>383</v>
      </c>
      <c r="E1755">
        <v>17953</v>
      </c>
      <c r="F1755" s="1" t="s">
        <v>365</v>
      </c>
      <c r="G1755">
        <v>0</v>
      </c>
      <c r="H1755">
        <v>0</v>
      </c>
      <c r="I1755">
        <v>1</v>
      </c>
      <c r="J1755">
        <v>1</v>
      </c>
      <c r="K1755" s="33">
        <v>0</v>
      </c>
      <c r="L1755" s="1"/>
      <c r="M1755" s="1" t="str">
        <f>_xlfn.XLOOKUP(ocupacao[[#This Row],[UnidadeID]],unidades!$A:$A,unidades!$B:$B,"",0)</f>
        <v>São João</v>
      </c>
      <c r="N1755" s="1" t="str">
        <f>_xlfn.XLOOKUP(ocupacao[[#This Row],[UnidadeID]],unidades!$A:$A,unidades!$C:$C,"",0)</f>
        <v>São João de Meriti</v>
      </c>
      <c r="O1755" s="1" t="str">
        <f>_xlfn.XLOOKUP(ocupacao[[#This Row],[EspecialidadeID]],especialidades!$A:$A,especialidades!$B:$B,"",0)</f>
        <v>HOLTER 24 HORAS</v>
      </c>
      <c r="P1755" s="1" t="str">
        <f>TEXT(WEEKDAY(ocupacao[[#This Row],[Data]]),"ddd")</f>
        <v>ter</v>
      </c>
      <c r="Q1755" s="1">
        <f t="shared" si="27"/>
        <v>0</v>
      </c>
    </row>
    <row r="1756" spans="1:17" x14ac:dyDescent="0.25">
      <c r="A1756" s="2">
        <v>44755</v>
      </c>
      <c r="B1756">
        <v>10</v>
      </c>
      <c r="C1756">
        <v>28</v>
      </c>
      <c r="D1756">
        <v>4</v>
      </c>
      <c r="E1756">
        <v>17893</v>
      </c>
      <c r="F1756" s="1" t="s">
        <v>158</v>
      </c>
      <c r="G1756">
        <v>0</v>
      </c>
      <c r="H1756">
        <v>0</v>
      </c>
      <c r="I1756">
        <v>4</v>
      </c>
      <c r="J1756">
        <v>4</v>
      </c>
      <c r="K1756" s="33">
        <v>0</v>
      </c>
      <c r="L1756" s="1"/>
      <c r="M1756" s="1" t="str">
        <f>_xlfn.XLOOKUP(ocupacao[[#This Row],[UnidadeID]],unidades!$A:$A,unidades!$B:$B,"",0)</f>
        <v>Filial 2 - 10º</v>
      </c>
      <c r="N1756" s="1" t="str">
        <f>_xlfn.XLOOKUP(ocupacao[[#This Row],[UnidadeID]],unidades!$A:$A,unidades!$C:$C,"",0)</f>
        <v>Nova Iguaçu</v>
      </c>
      <c r="O1756" s="1" t="str">
        <f>_xlfn.XLOOKUP(ocupacao[[#This Row],[EspecialidadeID]],especialidades!$A:$A,especialidades!$B:$B,"",0)</f>
        <v>HOLTER 24 HORAS</v>
      </c>
      <c r="P1756" s="1" t="str">
        <f>TEXT(WEEKDAY(ocupacao[[#This Row],[Data]]),"ddd")</f>
        <v>qua</v>
      </c>
      <c r="Q1756" s="1">
        <f t="shared" si="27"/>
        <v>0</v>
      </c>
    </row>
    <row r="1757" spans="1:17" x14ac:dyDescent="0.25">
      <c r="A1757" s="2">
        <v>44755</v>
      </c>
      <c r="B1757">
        <v>18</v>
      </c>
      <c r="C1757">
        <v>28</v>
      </c>
      <c r="D1757">
        <v>76</v>
      </c>
      <c r="E1757">
        <v>17894</v>
      </c>
      <c r="F1757" s="1" t="s">
        <v>159</v>
      </c>
      <c r="G1757">
        <v>0</v>
      </c>
      <c r="H1757">
        <v>0</v>
      </c>
      <c r="I1757">
        <v>2</v>
      </c>
      <c r="J1757">
        <v>2</v>
      </c>
      <c r="K1757" s="33">
        <v>0</v>
      </c>
      <c r="L1757" s="1"/>
      <c r="M1757" s="1" t="str">
        <f>_xlfn.XLOOKUP(ocupacao[[#This Row],[UnidadeID]],unidades!$A:$A,unidades!$B:$B,"",0)</f>
        <v>Miguel Couto</v>
      </c>
      <c r="N1757" s="1" t="str">
        <f>_xlfn.XLOOKUP(ocupacao[[#This Row],[UnidadeID]],unidades!$A:$A,unidades!$C:$C,"",0)</f>
        <v>Miguel Couto</v>
      </c>
      <c r="O1757" s="1" t="str">
        <f>_xlfn.XLOOKUP(ocupacao[[#This Row],[EspecialidadeID]],especialidades!$A:$A,especialidades!$B:$B,"",0)</f>
        <v>HOLTER 24 HORAS</v>
      </c>
      <c r="P1757" s="1" t="str">
        <f>TEXT(WEEKDAY(ocupacao[[#This Row],[Data]]),"ddd")</f>
        <v>qua</v>
      </c>
      <c r="Q1757" s="1">
        <f t="shared" si="27"/>
        <v>0</v>
      </c>
    </row>
    <row r="1758" spans="1:17" x14ac:dyDescent="0.25">
      <c r="A1758" s="2">
        <v>44755</v>
      </c>
      <c r="B1758">
        <v>24</v>
      </c>
      <c r="C1758">
        <v>28</v>
      </c>
      <c r="D1758">
        <v>55</v>
      </c>
      <c r="E1758">
        <v>17895</v>
      </c>
      <c r="F1758" s="1" t="s">
        <v>160</v>
      </c>
      <c r="G1758">
        <v>0</v>
      </c>
      <c r="H1758">
        <v>0</v>
      </c>
      <c r="I1758">
        <v>2</v>
      </c>
      <c r="J1758">
        <v>2</v>
      </c>
      <c r="K1758" s="33">
        <v>0</v>
      </c>
      <c r="L1758" s="1"/>
      <c r="M1758" s="1" t="str">
        <f>_xlfn.XLOOKUP(ocupacao[[#This Row],[UnidadeID]],unidades!$A:$A,unidades!$B:$B,"",0)</f>
        <v>Nilópolis</v>
      </c>
      <c r="N1758" s="1" t="str">
        <f>_xlfn.XLOOKUP(ocupacao[[#This Row],[UnidadeID]],unidades!$A:$A,unidades!$C:$C,"",0)</f>
        <v>Nilópolis</v>
      </c>
      <c r="O1758" s="1" t="str">
        <f>_xlfn.XLOOKUP(ocupacao[[#This Row],[EspecialidadeID]],especialidades!$A:$A,especialidades!$B:$B,"",0)</f>
        <v>HOLTER 24 HORAS</v>
      </c>
      <c r="P1758" s="1" t="str">
        <f>TEXT(WEEKDAY(ocupacao[[#This Row],[Data]]),"ddd")</f>
        <v>qua</v>
      </c>
      <c r="Q1758" s="1">
        <f t="shared" si="27"/>
        <v>0</v>
      </c>
    </row>
    <row r="1759" spans="1:17" x14ac:dyDescent="0.25">
      <c r="A1759" s="2">
        <v>44755</v>
      </c>
      <c r="B1759">
        <v>34</v>
      </c>
      <c r="C1759">
        <v>28</v>
      </c>
      <c r="D1759">
        <v>383</v>
      </c>
      <c r="E1759">
        <v>17953</v>
      </c>
      <c r="F1759" s="1" t="s">
        <v>365</v>
      </c>
      <c r="G1759">
        <v>0</v>
      </c>
      <c r="H1759">
        <v>0</v>
      </c>
      <c r="I1759">
        <v>1</v>
      </c>
      <c r="J1759">
        <v>1</v>
      </c>
      <c r="K1759" s="33">
        <v>0</v>
      </c>
      <c r="L1759" s="1"/>
      <c r="M1759" s="1" t="str">
        <f>_xlfn.XLOOKUP(ocupacao[[#This Row],[UnidadeID]],unidades!$A:$A,unidades!$B:$B,"",0)</f>
        <v>São João</v>
      </c>
      <c r="N1759" s="1" t="str">
        <f>_xlfn.XLOOKUP(ocupacao[[#This Row],[UnidadeID]],unidades!$A:$A,unidades!$C:$C,"",0)</f>
        <v>São João de Meriti</v>
      </c>
      <c r="O1759" s="1" t="str">
        <f>_xlfn.XLOOKUP(ocupacao[[#This Row],[EspecialidadeID]],especialidades!$A:$A,especialidades!$B:$B,"",0)</f>
        <v>HOLTER 24 HORAS</v>
      </c>
      <c r="P1759" s="1" t="str">
        <f>TEXT(WEEKDAY(ocupacao[[#This Row],[Data]]),"ddd")</f>
        <v>qua</v>
      </c>
      <c r="Q1759" s="1">
        <f t="shared" si="27"/>
        <v>0</v>
      </c>
    </row>
    <row r="1760" spans="1:17" x14ac:dyDescent="0.25">
      <c r="A1760" s="2">
        <v>44756</v>
      </c>
      <c r="B1760">
        <v>10</v>
      </c>
      <c r="C1760">
        <v>28</v>
      </c>
      <c r="D1760">
        <v>4</v>
      </c>
      <c r="E1760">
        <v>17893</v>
      </c>
      <c r="F1760" s="1" t="s">
        <v>158</v>
      </c>
      <c r="G1760">
        <v>0</v>
      </c>
      <c r="H1760">
        <v>0</v>
      </c>
      <c r="I1760">
        <v>4</v>
      </c>
      <c r="J1760">
        <v>4</v>
      </c>
      <c r="K1760" s="33">
        <v>0</v>
      </c>
      <c r="L1760" s="1"/>
      <c r="M1760" s="1" t="str">
        <f>_xlfn.XLOOKUP(ocupacao[[#This Row],[UnidadeID]],unidades!$A:$A,unidades!$B:$B,"",0)</f>
        <v>Filial 2 - 10º</v>
      </c>
      <c r="N1760" s="1" t="str">
        <f>_xlfn.XLOOKUP(ocupacao[[#This Row],[UnidadeID]],unidades!$A:$A,unidades!$C:$C,"",0)</f>
        <v>Nova Iguaçu</v>
      </c>
      <c r="O1760" s="1" t="str">
        <f>_xlfn.XLOOKUP(ocupacao[[#This Row],[EspecialidadeID]],especialidades!$A:$A,especialidades!$B:$B,"",0)</f>
        <v>HOLTER 24 HORAS</v>
      </c>
      <c r="P1760" s="1" t="str">
        <f>TEXT(WEEKDAY(ocupacao[[#This Row],[Data]]),"ddd")</f>
        <v>qui</v>
      </c>
      <c r="Q1760" s="1">
        <f t="shared" si="27"/>
        <v>0</v>
      </c>
    </row>
    <row r="1761" spans="1:17" x14ac:dyDescent="0.25">
      <c r="A1761" s="2">
        <v>44756</v>
      </c>
      <c r="B1761">
        <v>18</v>
      </c>
      <c r="C1761">
        <v>28</v>
      </c>
      <c r="D1761">
        <v>76</v>
      </c>
      <c r="E1761">
        <v>17894</v>
      </c>
      <c r="F1761" s="1" t="s">
        <v>159</v>
      </c>
      <c r="G1761">
        <v>0</v>
      </c>
      <c r="H1761">
        <v>0</v>
      </c>
      <c r="I1761">
        <v>2</v>
      </c>
      <c r="J1761">
        <v>2</v>
      </c>
      <c r="K1761" s="33">
        <v>0</v>
      </c>
      <c r="L1761" s="1"/>
      <c r="M1761" s="1" t="str">
        <f>_xlfn.XLOOKUP(ocupacao[[#This Row],[UnidadeID]],unidades!$A:$A,unidades!$B:$B,"",0)</f>
        <v>Miguel Couto</v>
      </c>
      <c r="N1761" s="1" t="str">
        <f>_xlfn.XLOOKUP(ocupacao[[#This Row],[UnidadeID]],unidades!$A:$A,unidades!$C:$C,"",0)</f>
        <v>Miguel Couto</v>
      </c>
      <c r="O1761" s="1" t="str">
        <f>_xlfn.XLOOKUP(ocupacao[[#This Row],[EspecialidadeID]],especialidades!$A:$A,especialidades!$B:$B,"",0)</f>
        <v>HOLTER 24 HORAS</v>
      </c>
      <c r="P1761" s="1" t="str">
        <f>TEXT(WEEKDAY(ocupacao[[#This Row],[Data]]),"ddd")</f>
        <v>qui</v>
      </c>
      <c r="Q1761" s="1">
        <f t="shared" si="27"/>
        <v>0</v>
      </c>
    </row>
    <row r="1762" spans="1:17" x14ac:dyDescent="0.25">
      <c r="A1762" s="2">
        <v>44756</v>
      </c>
      <c r="B1762">
        <v>24</v>
      </c>
      <c r="C1762">
        <v>28</v>
      </c>
      <c r="D1762">
        <v>55</v>
      </c>
      <c r="E1762">
        <v>17895</v>
      </c>
      <c r="F1762" s="1" t="s">
        <v>160</v>
      </c>
      <c r="G1762">
        <v>0</v>
      </c>
      <c r="H1762">
        <v>0</v>
      </c>
      <c r="I1762">
        <v>2</v>
      </c>
      <c r="J1762">
        <v>2</v>
      </c>
      <c r="K1762" s="33">
        <v>0</v>
      </c>
      <c r="L1762" s="1"/>
      <c r="M1762" s="1" t="str">
        <f>_xlfn.XLOOKUP(ocupacao[[#This Row],[UnidadeID]],unidades!$A:$A,unidades!$B:$B,"",0)</f>
        <v>Nilópolis</v>
      </c>
      <c r="N1762" s="1" t="str">
        <f>_xlfn.XLOOKUP(ocupacao[[#This Row],[UnidadeID]],unidades!$A:$A,unidades!$C:$C,"",0)</f>
        <v>Nilópolis</v>
      </c>
      <c r="O1762" s="1" t="str">
        <f>_xlfn.XLOOKUP(ocupacao[[#This Row],[EspecialidadeID]],especialidades!$A:$A,especialidades!$B:$B,"",0)</f>
        <v>HOLTER 24 HORAS</v>
      </c>
      <c r="P1762" s="1" t="str">
        <f>TEXT(WEEKDAY(ocupacao[[#This Row],[Data]]),"ddd")</f>
        <v>qui</v>
      </c>
      <c r="Q1762" s="1">
        <f t="shared" si="27"/>
        <v>0</v>
      </c>
    </row>
    <row r="1763" spans="1:17" x14ac:dyDescent="0.25">
      <c r="A1763" s="2">
        <v>44756</v>
      </c>
      <c r="B1763">
        <v>34</v>
      </c>
      <c r="C1763">
        <v>28</v>
      </c>
      <c r="D1763">
        <v>383</v>
      </c>
      <c r="E1763">
        <v>17953</v>
      </c>
      <c r="F1763" s="1" t="s">
        <v>365</v>
      </c>
      <c r="G1763">
        <v>0</v>
      </c>
      <c r="H1763">
        <v>0</v>
      </c>
      <c r="I1763">
        <v>1</v>
      </c>
      <c r="J1763">
        <v>1</v>
      </c>
      <c r="K1763" s="33">
        <v>0</v>
      </c>
      <c r="L1763" s="1"/>
      <c r="M1763" s="1" t="str">
        <f>_xlfn.XLOOKUP(ocupacao[[#This Row],[UnidadeID]],unidades!$A:$A,unidades!$B:$B,"",0)</f>
        <v>São João</v>
      </c>
      <c r="N1763" s="1" t="str">
        <f>_xlfn.XLOOKUP(ocupacao[[#This Row],[UnidadeID]],unidades!$A:$A,unidades!$C:$C,"",0)</f>
        <v>São João de Meriti</v>
      </c>
      <c r="O1763" s="1" t="str">
        <f>_xlfn.XLOOKUP(ocupacao[[#This Row],[EspecialidadeID]],especialidades!$A:$A,especialidades!$B:$B,"",0)</f>
        <v>HOLTER 24 HORAS</v>
      </c>
      <c r="P1763" s="1" t="str">
        <f>TEXT(WEEKDAY(ocupacao[[#This Row],[Data]]),"ddd")</f>
        <v>qui</v>
      </c>
      <c r="Q1763" s="1">
        <f t="shared" si="27"/>
        <v>0</v>
      </c>
    </row>
    <row r="1764" spans="1:17" x14ac:dyDescent="0.25">
      <c r="A1764" s="2"/>
      <c r="F1764" s="1" t="s">
        <v>106</v>
      </c>
      <c r="K1764" s="33"/>
      <c r="L1764" s="1"/>
      <c r="M1764" s="1">
        <f>_xlfn.XLOOKUP(ocupacao[[#This Row],[UnidadeID]],unidades!$A:$A,unidades!$B:$B,"",0)</f>
        <v>0</v>
      </c>
      <c r="N1764" s="1">
        <f>_xlfn.XLOOKUP(ocupacao[[#This Row],[UnidadeID]],unidades!$A:$A,unidades!$C:$C,"",0)</f>
        <v>0</v>
      </c>
      <c r="O1764" s="1">
        <f>_xlfn.XLOOKUP(ocupacao[[#This Row],[EspecialidadeID]],especialidades!$A:$A,especialidades!$B:$B,"",0)</f>
        <v>0</v>
      </c>
      <c r="P1764" s="1" t="str">
        <f>TEXT(WEEKDAY(ocupacao[[#This Row],[Data]]),"ddd")</f>
        <v>sáb</v>
      </c>
      <c r="Q1764" s="1">
        <f t="shared" si="27"/>
        <v>0</v>
      </c>
    </row>
    <row r="1765" spans="1:17" hidden="1" x14ac:dyDescent="0.25">
      <c r="A1765" s="2"/>
      <c r="F1765" s="1"/>
      <c r="K1765" s="33"/>
      <c r="L1765" s="1"/>
      <c r="M1765" s="1"/>
      <c r="N1765" s="1"/>
      <c r="O1765" s="1"/>
      <c r="P1765" s="1"/>
      <c r="Q1765" s="1"/>
    </row>
    <row r="1766" spans="1:17" x14ac:dyDescent="0.25">
      <c r="A1766" s="2">
        <v>44744</v>
      </c>
      <c r="B1766">
        <v>34</v>
      </c>
      <c r="C1766">
        <v>29</v>
      </c>
      <c r="D1766">
        <v>375</v>
      </c>
      <c r="E1766">
        <v>60</v>
      </c>
      <c r="F1766" s="1" t="s">
        <v>113</v>
      </c>
      <c r="G1766">
        <v>0</v>
      </c>
      <c r="H1766">
        <v>4</v>
      </c>
      <c r="I1766">
        <v>37</v>
      </c>
      <c r="J1766">
        <v>41</v>
      </c>
      <c r="K1766" s="33">
        <v>9.7600000000000006E-2</v>
      </c>
      <c r="L1766" s="1"/>
      <c r="M1766" s="1" t="str">
        <f>_xlfn.XLOOKUP(ocupacao[[#This Row],[UnidadeID]],unidades!$A:$A,unidades!$B:$B,"",0)</f>
        <v>São João</v>
      </c>
      <c r="N1766" s="1" t="str">
        <f>_xlfn.XLOOKUP(ocupacao[[#This Row],[UnidadeID]],unidades!$A:$A,unidades!$C:$C,"",0)</f>
        <v>São João de Meriti</v>
      </c>
      <c r="O1766" s="1" t="str">
        <f>_xlfn.XLOOKUP(ocupacao[[#This Row],[EspecialidadeID]],especialidades!$A:$A,especialidades!$B:$B,"",0)</f>
        <v>TESTE ERGOMETRICO</v>
      </c>
      <c r="P1766" s="1" t="str">
        <f>TEXT(WEEKDAY(ocupacao[[#This Row],[Data]]),"ddd")</f>
        <v>sáb</v>
      </c>
      <c r="Q1766" s="1">
        <f t="shared" si="27"/>
        <v>0</v>
      </c>
    </row>
    <row r="1767" spans="1:17" hidden="1" x14ac:dyDescent="0.25">
      <c r="A1767" s="2"/>
      <c r="F1767" s="1"/>
      <c r="K1767" s="33"/>
      <c r="L1767" s="1"/>
      <c r="M1767" s="1"/>
      <c r="N1767" s="1"/>
      <c r="O1767" s="1"/>
      <c r="P1767" s="1"/>
      <c r="Q1767" s="1"/>
    </row>
    <row r="1768" spans="1:17" x14ac:dyDescent="0.25">
      <c r="A1768" s="2">
        <v>44746</v>
      </c>
      <c r="B1768">
        <v>10</v>
      </c>
      <c r="C1768">
        <v>29</v>
      </c>
      <c r="D1768">
        <v>1</v>
      </c>
      <c r="E1768">
        <v>17951</v>
      </c>
      <c r="F1768" s="1" t="s">
        <v>371</v>
      </c>
      <c r="G1768">
        <v>0</v>
      </c>
      <c r="H1768">
        <v>7</v>
      </c>
      <c r="I1768">
        <v>19</v>
      </c>
      <c r="J1768">
        <v>26</v>
      </c>
      <c r="K1768" s="33">
        <v>0.26919999999999999</v>
      </c>
      <c r="L1768" s="1"/>
      <c r="M1768" s="1" t="str">
        <f>_xlfn.XLOOKUP(ocupacao[[#This Row],[UnidadeID]],unidades!$A:$A,unidades!$B:$B,"",0)</f>
        <v>Filial 2 - 10º</v>
      </c>
      <c r="N1768" s="1" t="str">
        <f>_xlfn.XLOOKUP(ocupacao[[#This Row],[UnidadeID]],unidades!$A:$A,unidades!$C:$C,"",0)</f>
        <v>Nova Iguaçu</v>
      </c>
      <c r="O1768" s="1" t="str">
        <f>_xlfn.XLOOKUP(ocupacao[[#This Row],[EspecialidadeID]],especialidades!$A:$A,especialidades!$B:$B,"",0)</f>
        <v>TESTE ERGOMETRICO</v>
      </c>
      <c r="P1768" s="1" t="str">
        <f>TEXT(WEEKDAY(ocupacao[[#This Row],[Data]]),"ddd")</f>
        <v>seg</v>
      </c>
      <c r="Q1768" s="1">
        <f t="shared" si="27"/>
        <v>0</v>
      </c>
    </row>
    <row r="1769" spans="1:17" x14ac:dyDescent="0.25">
      <c r="A1769" s="2">
        <v>44749</v>
      </c>
      <c r="B1769">
        <v>10</v>
      </c>
      <c r="C1769">
        <v>29</v>
      </c>
      <c r="D1769">
        <v>1</v>
      </c>
      <c r="E1769">
        <v>17860</v>
      </c>
      <c r="F1769" s="1" t="s">
        <v>356</v>
      </c>
      <c r="G1769">
        <v>0</v>
      </c>
      <c r="H1769">
        <v>0</v>
      </c>
      <c r="I1769">
        <v>42</v>
      </c>
      <c r="J1769">
        <v>42</v>
      </c>
      <c r="K1769" s="33">
        <v>0</v>
      </c>
      <c r="L1769" s="1"/>
      <c r="M1769" s="1" t="str">
        <f>_xlfn.XLOOKUP(ocupacao[[#This Row],[UnidadeID]],unidades!$A:$A,unidades!$B:$B,"",0)</f>
        <v>Filial 2 - 10º</v>
      </c>
      <c r="N1769" s="1" t="str">
        <f>_xlfn.XLOOKUP(ocupacao[[#This Row],[UnidadeID]],unidades!$A:$A,unidades!$C:$C,"",0)</f>
        <v>Nova Iguaçu</v>
      </c>
      <c r="O1769" s="1" t="str">
        <f>_xlfn.XLOOKUP(ocupacao[[#This Row],[EspecialidadeID]],especialidades!$A:$A,especialidades!$B:$B,"",0)</f>
        <v>TESTE ERGOMETRICO</v>
      </c>
      <c r="P1769" s="1" t="str">
        <f>TEXT(WEEKDAY(ocupacao[[#This Row],[Data]]),"ddd")</f>
        <v>qui</v>
      </c>
      <c r="Q1769" s="1">
        <f t="shared" si="27"/>
        <v>0</v>
      </c>
    </row>
    <row r="1770" spans="1:17" x14ac:dyDescent="0.25">
      <c r="A1770" s="2">
        <v>44753</v>
      </c>
      <c r="B1770">
        <v>10</v>
      </c>
      <c r="C1770">
        <v>29</v>
      </c>
      <c r="D1770">
        <v>1</v>
      </c>
      <c r="E1770">
        <v>17951</v>
      </c>
      <c r="F1770" s="1" t="s">
        <v>371</v>
      </c>
      <c r="G1770">
        <v>0</v>
      </c>
      <c r="H1770">
        <v>1</v>
      </c>
      <c r="I1770">
        <v>0</v>
      </c>
      <c r="J1770">
        <v>1</v>
      </c>
      <c r="K1770" s="33">
        <v>1</v>
      </c>
      <c r="L1770" s="1"/>
      <c r="M1770" s="1" t="str">
        <f>_xlfn.XLOOKUP(ocupacao[[#This Row],[UnidadeID]],unidades!$A:$A,unidades!$B:$B,"",0)</f>
        <v>Filial 2 - 10º</v>
      </c>
      <c r="N1770" s="1" t="str">
        <f>_xlfn.XLOOKUP(ocupacao[[#This Row],[UnidadeID]],unidades!$A:$A,unidades!$C:$C,"",0)</f>
        <v>Nova Iguaçu</v>
      </c>
      <c r="O1770" s="1" t="str">
        <f>_xlfn.XLOOKUP(ocupacao[[#This Row],[EspecialidadeID]],especialidades!$A:$A,especialidades!$B:$B,"",0)</f>
        <v>TESTE ERGOMETRICO</v>
      </c>
      <c r="P1770" s="1" t="str">
        <f>TEXT(WEEKDAY(ocupacao[[#This Row],[Data]]),"ddd")</f>
        <v>seg</v>
      </c>
      <c r="Q1770" s="1">
        <f t="shared" si="27"/>
        <v>1</v>
      </c>
    </row>
    <row r="1771" spans="1:17" x14ac:dyDescent="0.25">
      <c r="A1771" s="2">
        <v>44753</v>
      </c>
      <c r="B1771">
        <v>10</v>
      </c>
      <c r="C1771">
        <v>29</v>
      </c>
      <c r="D1771">
        <v>1</v>
      </c>
      <c r="E1771">
        <v>17951</v>
      </c>
      <c r="F1771" s="1" t="s">
        <v>371</v>
      </c>
      <c r="G1771">
        <v>0</v>
      </c>
      <c r="H1771">
        <v>0</v>
      </c>
      <c r="I1771">
        <v>25</v>
      </c>
      <c r="J1771">
        <v>25</v>
      </c>
      <c r="K1771" s="33">
        <v>0</v>
      </c>
      <c r="L1771" s="1"/>
      <c r="M1771" s="1" t="str">
        <f>_xlfn.XLOOKUP(ocupacao[[#This Row],[UnidadeID]],unidades!$A:$A,unidades!$B:$B,"",0)</f>
        <v>Filial 2 - 10º</v>
      </c>
      <c r="N1771" s="1" t="str">
        <f>_xlfn.XLOOKUP(ocupacao[[#This Row],[UnidadeID]],unidades!$A:$A,unidades!$C:$C,"",0)</f>
        <v>Nova Iguaçu</v>
      </c>
      <c r="O1771" s="1" t="str">
        <f>_xlfn.XLOOKUP(ocupacao[[#This Row],[EspecialidadeID]],especialidades!$A:$A,especialidades!$B:$B,"",0)</f>
        <v>TESTE ERGOMETRICO</v>
      </c>
      <c r="P1771" s="1" t="str">
        <f>TEXT(WEEKDAY(ocupacao[[#This Row],[Data]]),"ddd")</f>
        <v>seg</v>
      </c>
      <c r="Q1771" s="1">
        <f t="shared" si="27"/>
        <v>0</v>
      </c>
    </row>
    <row r="1772" spans="1:17" x14ac:dyDescent="0.25">
      <c r="A1772" s="2">
        <v>44756</v>
      </c>
      <c r="B1772">
        <v>10</v>
      </c>
      <c r="C1772">
        <v>29</v>
      </c>
      <c r="D1772">
        <v>1</v>
      </c>
      <c r="E1772">
        <v>17860</v>
      </c>
      <c r="F1772" s="1" t="s">
        <v>356</v>
      </c>
      <c r="G1772">
        <v>0</v>
      </c>
      <c r="H1772">
        <v>1</v>
      </c>
      <c r="I1772">
        <v>41</v>
      </c>
      <c r="J1772">
        <v>42</v>
      </c>
      <c r="K1772" s="33">
        <v>2.3800000000000002E-2</v>
      </c>
      <c r="L1772" s="1"/>
      <c r="M1772" s="1" t="str">
        <f>_xlfn.XLOOKUP(ocupacao[[#This Row],[UnidadeID]],unidades!$A:$A,unidades!$B:$B,"",0)</f>
        <v>Filial 2 - 10º</v>
      </c>
      <c r="N1772" s="1" t="str">
        <f>_xlfn.XLOOKUP(ocupacao[[#This Row],[UnidadeID]],unidades!$A:$A,unidades!$C:$C,"",0)</f>
        <v>Nova Iguaçu</v>
      </c>
      <c r="O1772" s="1" t="str">
        <f>_xlfn.XLOOKUP(ocupacao[[#This Row],[EspecialidadeID]],especialidades!$A:$A,especialidades!$B:$B,"",0)</f>
        <v>TESTE ERGOMETRICO</v>
      </c>
      <c r="P1772" s="1" t="str">
        <f>TEXT(WEEKDAY(ocupacao[[#This Row],[Data]]),"ddd")</f>
        <v>qui</v>
      </c>
      <c r="Q1772" s="1">
        <f t="shared" si="27"/>
        <v>0</v>
      </c>
    </row>
    <row r="1773" spans="1:17" x14ac:dyDescent="0.25">
      <c r="A1773" s="2"/>
      <c r="F1773" s="1" t="s">
        <v>106</v>
      </c>
      <c r="K1773" s="33"/>
      <c r="L1773" s="1"/>
      <c r="M1773" s="1">
        <f>_xlfn.XLOOKUP(ocupacao[[#This Row],[UnidadeID]],unidades!$A:$A,unidades!$B:$B,"",0)</f>
        <v>0</v>
      </c>
      <c r="N1773" s="1">
        <f>_xlfn.XLOOKUP(ocupacao[[#This Row],[UnidadeID]],unidades!$A:$A,unidades!$C:$C,"",0)</f>
        <v>0</v>
      </c>
      <c r="O1773" s="1">
        <f>_xlfn.XLOOKUP(ocupacao[[#This Row],[EspecialidadeID]],especialidades!$A:$A,especialidades!$B:$B,"",0)</f>
        <v>0</v>
      </c>
      <c r="P1773" s="1" t="str">
        <f>TEXT(WEEKDAY(ocupacao[[#This Row],[Data]]),"ddd")</f>
        <v>sáb</v>
      </c>
      <c r="Q1773" s="1">
        <f t="shared" si="27"/>
        <v>0</v>
      </c>
    </row>
    <row r="1774" spans="1:17" x14ac:dyDescent="0.25">
      <c r="A1774" s="2">
        <v>44744</v>
      </c>
      <c r="B1774">
        <v>22</v>
      </c>
      <c r="C1774">
        <v>31</v>
      </c>
      <c r="D1774">
        <v>48</v>
      </c>
      <c r="E1774">
        <v>117</v>
      </c>
      <c r="F1774" s="1" t="s">
        <v>355</v>
      </c>
      <c r="G1774">
        <v>0</v>
      </c>
      <c r="H1774">
        <v>17</v>
      </c>
      <c r="I1774">
        <v>1</v>
      </c>
      <c r="J1774">
        <v>18</v>
      </c>
      <c r="K1774" s="33">
        <v>0.94440000000000002</v>
      </c>
      <c r="L1774" s="1"/>
      <c r="M1774" s="1" t="str">
        <f>_xlfn.XLOOKUP(ocupacao[[#This Row],[UnidadeID]],unidades!$A:$A,unidades!$B:$B,"",0)</f>
        <v>Filial 1</v>
      </c>
      <c r="N1774" s="1" t="str">
        <f>_xlfn.XLOOKUP(ocupacao[[#This Row],[UnidadeID]],unidades!$A:$A,unidades!$C:$C,"",0)</f>
        <v>Nova Iguaçu</v>
      </c>
      <c r="O1774" s="1" t="str">
        <f>_xlfn.XLOOKUP(ocupacao[[#This Row],[EspecialidadeID]],especialidades!$A:$A,especialidades!$B:$B,"",0)</f>
        <v>NEFROLOGIA</v>
      </c>
      <c r="P1774" s="1" t="str">
        <f>TEXT(WEEKDAY(ocupacao[[#This Row],[Data]]),"ddd")</f>
        <v>sáb</v>
      </c>
      <c r="Q1774" s="1">
        <f t="shared" si="27"/>
        <v>0</v>
      </c>
    </row>
    <row r="1775" spans="1:17" hidden="1" x14ac:dyDescent="0.25">
      <c r="A1775" s="2"/>
      <c r="F1775" s="1"/>
      <c r="K1775" s="33"/>
      <c r="L1775" s="1"/>
      <c r="M1775" s="1"/>
      <c r="N1775" s="1"/>
      <c r="O1775" s="1"/>
      <c r="P1775" s="1"/>
      <c r="Q1775" s="1"/>
    </row>
    <row r="1776" spans="1:17" x14ac:dyDescent="0.25">
      <c r="A1776" s="2">
        <v>44746</v>
      </c>
      <c r="B1776">
        <v>22</v>
      </c>
      <c r="C1776">
        <v>31</v>
      </c>
      <c r="D1776">
        <v>48</v>
      </c>
      <c r="E1776">
        <v>117</v>
      </c>
      <c r="F1776" s="1" t="s">
        <v>355</v>
      </c>
      <c r="G1776">
        <v>0</v>
      </c>
      <c r="H1776">
        <v>16</v>
      </c>
      <c r="I1776">
        <v>11</v>
      </c>
      <c r="J1776">
        <v>27</v>
      </c>
      <c r="K1776" s="33">
        <v>0.59260000000000002</v>
      </c>
      <c r="L1776" s="1"/>
      <c r="M1776" s="1" t="str">
        <f>_xlfn.XLOOKUP(ocupacao[[#This Row],[UnidadeID]],unidades!$A:$A,unidades!$B:$B,"",0)</f>
        <v>Filial 1</v>
      </c>
      <c r="N1776" s="1" t="str">
        <f>_xlfn.XLOOKUP(ocupacao[[#This Row],[UnidadeID]],unidades!$A:$A,unidades!$C:$C,"",0)</f>
        <v>Nova Iguaçu</v>
      </c>
      <c r="O1776" s="1" t="str">
        <f>_xlfn.XLOOKUP(ocupacao[[#This Row],[EspecialidadeID]],especialidades!$A:$A,especialidades!$B:$B,"",0)</f>
        <v>NEFROLOGIA</v>
      </c>
      <c r="P1776" s="1" t="str">
        <f>TEXT(WEEKDAY(ocupacao[[#This Row],[Data]]),"ddd")</f>
        <v>seg</v>
      </c>
      <c r="Q1776" s="1">
        <f t="shared" si="27"/>
        <v>0</v>
      </c>
    </row>
    <row r="1777" spans="1:17" hidden="1" x14ac:dyDescent="0.25">
      <c r="A1777" s="2"/>
      <c r="F1777" s="1"/>
      <c r="K1777" s="33"/>
      <c r="L1777" s="1"/>
      <c r="M1777" s="1"/>
      <c r="N1777" s="1"/>
      <c r="O1777" s="1"/>
      <c r="P1777" s="1"/>
      <c r="Q1777" s="1"/>
    </row>
    <row r="1778" spans="1:17" x14ac:dyDescent="0.25">
      <c r="A1778" s="2">
        <v>44753</v>
      </c>
      <c r="B1778">
        <v>22</v>
      </c>
      <c r="C1778">
        <v>31</v>
      </c>
      <c r="D1778">
        <v>48</v>
      </c>
      <c r="E1778">
        <v>117</v>
      </c>
      <c r="F1778" s="1" t="s">
        <v>355</v>
      </c>
      <c r="G1778">
        <v>0</v>
      </c>
      <c r="H1778">
        <v>1</v>
      </c>
      <c r="I1778">
        <v>26</v>
      </c>
      <c r="J1778">
        <v>27</v>
      </c>
      <c r="K1778" s="33">
        <v>3.6999999999999998E-2</v>
      </c>
      <c r="L1778" s="1"/>
      <c r="M1778" s="1" t="str">
        <f>_xlfn.XLOOKUP(ocupacao[[#This Row],[UnidadeID]],unidades!$A:$A,unidades!$B:$B,"",0)</f>
        <v>Filial 1</v>
      </c>
      <c r="N1778" s="1" t="str">
        <f>_xlfn.XLOOKUP(ocupacao[[#This Row],[UnidadeID]],unidades!$A:$A,unidades!$C:$C,"",0)</f>
        <v>Nova Iguaçu</v>
      </c>
      <c r="O1778" s="1" t="str">
        <f>_xlfn.XLOOKUP(ocupacao[[#This Row],[EspecialidadeID]],especialidades!$A:$A,especialidades!$B:$B,"",0)</f>
        <v>NEFROLOGIA</v>
      </c>
      <c r="P1778" s="1" t="str">
        <f>TEXT(WEEKDAY(ocupacao[[#This Row],[Data]]),"ddd")</f>
        <v>seg</v>
      </c>
      <c r="Q1778" s="1">
        <f t="shared" si="27"/>
        <v>0</v>
      </c>
    </row>
    <row r="1779" spans="1:17" x14ac:dyDescent="0.25">
      <c r="A1779" s="2"/>
      <c r="F1779" s="1" t="s">
        <v>106</v>
      </c>
      <c r="K1779" s="33"/>
      <c r="L1779" s="1"/>
      <c r="M1779" s="1">
        <f>_xlfn.XLOOKUP(ocupacao[[#This Row],[UnidadeID]],unidades!$A:$A,unidades!$B:$B,"",0)</f>
        <v>0</v>
      </c>
      <c r="N1779" s="1">
        <f>_xlfn.XLOOKUP(ocupacao[[#This Row],[UnidadeID]],unidades!$A:$A,unidades!$C:$C,"",0)</f>
        <v>0</v>
      </c>
      <c r="O1779" s="1">
        <f>_xlfn.XLOOKUP(ocupacao[[#This Row],[EspecialidadeID]],especialidades!$A:$A,especialidades!$B:$B,"",0)</f>
        <v>0</v>
      </c>
      <c r="P1779" s="1" t="str">
        <f>TEXT(WEEKDAY(ocupacao[[#This Row],[Data]]),"ddd")</f>
        <v>sáb</v>
      </c>
      <c r="Q1779" s="1">
        <f t="shared" si="27"/>
        <v>0</v>
      </c>
    </row>
    <row r="1780" spans="1:17" x14ac:dyDescent="0.25">
      <c r="A1780" s="2">
        <v>44744</v>
      </c>
      <c r="B1780">
        <v>0</v>
      </c>
      <c r="C1780">
        <v>32</v>
      </c>
      <c r="D1780">
        <v>35</v>
      </c>
      <c r="E1780">
        <v>17898</v>
      </c>
      <c r="F1780" s="1" t="s">
        <v>300</v>
      </c>
      <c r="G1780">
        <v>0</v>
      </c>
      <c r="H1780">
        <v>0</v>
      </c>
      <c r="I1780">
        <v>54</v>
      </c>
      <c r="J1780">
        <v>54</v>
      </c>
      <c r="K1780" s="33">
        <v>0</v>
      </c>
      <c r="L1780" s="1"/>
      <c r="M1780" s="1" t="str">
        <f>_xlfn.XLOOKUP(ocupacao[[#This Row],[UnidadeID]],unidades!$A:$A,unidades!$B:$B,"",0)</f>
        <v>Matriz</v>
      </c>
      <c r="N1780" s="1" t="str">
        <f>_xlfn.XLOOKUP(ocupacao[[#This Row],[UnidadeID]],unidades!$A:$A,unidades!$C:$C,"",0)</f>
        <v>Nova Iguaçu</v>
      </c>
      <c r="O1780" s="1" t="str">
        <f>_xlfn.XLOOKUP(ocupacao[[#This Row],[EspecialidadeID]],especialidades!$A:$A,especialidades!$B:$B,"",0)</f>
        <v>ELETROCARDIOGRAMA</v>
      </c>
      <c r="P1780" s="1" t="str">
        <f>TEXT(WEEKDAY(ocupacao[[#This Row],[Data]]),"ddd")</f>
        <v>sáb</v>
      </c>
      <c r="Q1780" s="1">
        <f t="shared" si="27"/>
        <v>0</v>
      </c>
    </row>
    <row r="1781" spans="1:17" x14ac:dyDescent="0.25">
      <c r="A1781" s="2">
        <v>44744</v>
      </c>
      <c r="B1781">
        <v>10</v>
      </c>
      <c r="C1781">
        <v>32</v>
      </c>
      <c r="D1781">
        <v>4</v>
      </c>
      <c r="E1781">
        <v>17899</v>
      </c>
      <c r="F1781" s="1" t="s">
        <v>301</v>
      </c>
      <c r="G1781">
        <v>0</v>
      </c>
      <c r="H1781">
        <v>0</v>
      </c>
      <c r="I1781">
        <v>30</v>
      </c>
      <c r="J1781">
        <v>30</v>
      </c>
      <c r="K1781" s="33">
        <v>0</v>
      </c>
      <c r="L1781" s="1"/>
      <c r="M1781" s="1" t="str">
        <f>_xlfn.XLOOKUP(ocupacao[[#This Row],[UnidadeID]],unidades!$A:$A,unidades!$B:$B,"",0)</f>
        <v>Filial 2 - 10º</v>
      </c>
      <c r="N1781" s="1" t="str">
        <f>_xlfn.XLOOKUP(ocupacao[[#This Row],[UnidadeID]],unidades!$A:$A,unidades!$C:$C,"",0)</f>
        <v>Nova Iguaçu</v>
      </c>
      <c r="O1781" s="1" t="str">
        <f>_xlfn.XLOOKUP(ocupacao[[#This Row],[EspecialidadeID]],especialidades!$A:$A,especialidades!$B:$B,"",0)</f>
        <v>ELETROCARDIOGRAMA</v>
      </c>
      <c r="P1781" s="1" t="str">
        <f>TEXT(WEEKDAY(ocupacao[[#This Row],[Data]]),"ddd")</f>
        <v>sáb</v>
      </c>
      <c r="Q1781" s="1">
        <f t="shared" si="27"/>
        <v>0</v>
      </c>
    </row>
    <row r="1782" spans="1:17" x14ac:dyDescent="0.25">
      <c r="A1782" s="2">
        <v>44744</v>
      </c>
      <c r="B1782">
        <v>18</v>
      </c>
      <c r="C1782">
        <v>32</v>
      </c>
      <c r="D1782">
        <v>77</v>
      </c>
      <c r="E1782">
        <v>17900</v>
      </c>
      <c r="F1782" s="1" t="s">
        <v>302</v>
      </c>
      <c r="G1782">
        <v>0</v>
      </c>
      <c r="H1782">
        <v>0</v>
      </c>
      <c r="I1782">
        <v>42</v>
      </c>
      <c r="J1782">
        <v>42</v>
      </c>
      <c r="K1782" s="33">
        <v>0</v>
      </c>
      <c r="L1782" s="1"/>
      <c r="M1782" s="1" t="str">
        <f>_xlfn.XLOOKUP(ocupacao[[#This Row],[UnidadeID]],unidades!$A:$A,unidades!$B:$B,"",0)</f>
        <v>Miguel Couto</v>
      </c>
      <c r="N1782" s="1" t="str">
        <f>_xlfn.XLOOKUP(ocupacao[[#This Row],[UnidadeID]],unidades!$A:$A,unidades!$C:$C,"",0)</f>
        <v>Miguel Couto</v>
      </c>
      <c r="O1782" s="1" t="str">
        <f>_xlfn.XLOOKUP(ocupacao[[#This Row],[EspecialidadeID]],especialidades!$A:$A,especialidades!$B:$B,"",0)</f>
        <v>ELETROCARDIOGRAMA</v>
      </c>
      <c r="P1782" s="1" t="str">
        <f>TEXT(WEEKDAY(ocupacao[[#This Row],[Data]]),"ddd")</f>
        <v>sáb</v>
      </c>
      <c r="Q1782" s="1">
        <f t="shared" si="27"/>
        <v>0</v>
      </c>
    </row>
    <row r="1783" spans="1:17" x14ac:dyDescent="0.25">
      <c r="A1783" s="2">
        <v>44744</v>
      </c>
      <c r="B1783">
        <v>24</v>
      </c>
      <c r="C1783">
        <v>32</v>
      </c>
      <c r="D1783">
        <v>59</v>
      </c>
      <c r="E1783">
        <v>17901</v>
      </c>
      <c r="F1783" s="1" t="s">
        <v>303</v>
      </c>
      <c r="G1783">
        <v>0</v>
      </c>
      <c r="H1783">
        <v>0</v>
      </c>
      <c r="I1783">
        <v>42</v>
      </c>
      <c r="J1783">
        <v>42</v>
      </c>
      <c r="K1783" s="33">
        <v>0</v>
      </c>
      <c r="L1783" s="1"/>
      <c r="M1783" s="1" t="str">
        <f>_xlfn.XLOOKUP(ocupacao[[#This Row],[UnidadeID]],unidades!$A:$A,unidades!$B:$B,"",0)</f>
        <v>Nilópolis</v>
      </c>
      <c r="N1783" s="1" t="str">
        <f>_xlfn.XLOOKUP(ocupacao[[#This Row],[UnidadeID]],unidades!$A:$A,unidades!$C:$C,"",0)</f>
        <v>Nilópolis</v>
      </c>
      <c r="O1783" s="1" t="str">
        <f>_xlfn.XLOOKUP(ocupacao[[#This Row],[EspecialidadeID]],especialidades!$A:$A,especialidades!$B:$B,"",0)</f>
        <v>ELETROCARDIOGRAMA</v>
      </c>
      <c r="P1783" s="1" t="str">
        <f>TEXT(WEEKDAY(ocupacao[[#This Row],[Data]]),"ddd")</f>
        <v>sáb</v>
      </c>
      <c r="Q1783" s="1">
        <f t="shared" si="27"/>
        <v>0</v>
      </c>
    </row>
    <row r="1784" spans="1:17" x14ac:dyDescent="0.25">
      <c r="A1784" s="2">
        <v>44744</v>
      </c>
      <c r="B1784">
        <v>34</v>
      </c>
      <c r="C1784">
        <v>32</v>
      </c>
      <c r="D1784">
        <v>380</v>
      </c>
      <c r="E1784">
        <v>17954</v>
      </c>
      <c r="F1784" s="1" t="s">
        <v>366</v>
      </c>
      <c r="G1784">
        <v>0</v>
      </c>
      <c r="H1784">
        <v>0</v>
      </c>
      <c r="I1784">
        <v>42</v>
      </c>
      <c r="J1784">
        <v>42</v>
      </c>
      <c r="K1784" s="33">
        <v>0</v>
      </c>
      <c r="L1784" s="1"/>
      <c r="M1784" s="1" t="str">
        <f>_xlfn.XLOOKUP(ocupacao[[#This Row],[UnidadeID]],unidades!$A:$A,unidades!$B:$B,"",0)</f>
        <v>São João</v>
      </c>
      <c r="N1784" s="1" t="str">
        <f>_xlfn.XLOOKUP(ocupacao[[#This Row],[UnidadeID]],unidades!$A:$A,unidades!$C:$C,"",0)</f>
        <v>São João de Meriti</v>
      </c>
      <c r="O1784" s="1" t="str">
        <f>_xlfn.XLOOKUP(ocupacao[[#This Row],[EspecialidadeID]],especialidades!$A:$A,especialidades!$B:$B,"",0)</f>
        <v>ELETROCARDIOGRAMA</v>
      </c>
      <c r="P1784" s="1" t="str">
        <f>TEXT(WEEKDAY(ocupacao[[#This Row],[Data]]),"ddd")</f>
        <v>sáb</v>
      </c>
      <c r="Q1784" s="1">
        <f t="shared" si="27"/>
        <v>0</v>
      </c>
    </row>
    <row r="1785" spans="1:17" hidden="1" x14ac:dyDescent="0.25">
      <c r="A1785" s="2">
        <v>44745</v>
      </c>
      <c r="B1785">
        <v>0</v>
      </c>
      <c r="C1785">
        <v>32</v>
      </c>
      <c r="D1785">
        <v>35</v>
      </c>
      <c r="E1785">
        <v>17898</v>
      </c>
      <c r="F1785" s="1" t="s">
        <v>300</v>
      </c>
      <c r="G1785">
        <v>0</v>
      </c>
      <c r="H1785">
        <v>0</v>
      </c>
      <c r="I1785">
        <v>36</v>
      </c>
      <c r="J1785">
        <v>36</v>
      </c>
      <c r="K1785" s="33">
        <v>0</v>
      </c>
      <c r="L1785" s="1"/>
      <c r="M1785" s="1"/>
      <c r="N1785" s="1"/>
      <c r="O1785" s="1"/>
      <c r="P1785" s="1"/>
      <c r="Q1785" s="1"/>
    </row>
    <row r="1786" spans="1:17" x14ac:dyDescent="0.25">
      <c r="A1786" s="2">
        <v>44746</v>
      </c>
      <c r="B1786">
        <v>0</v>
      </c>
      <c r="C1786">
        <v>32</v>
      </c>
      <c r="D1786">
        <v>35</v>
      </c>
      <c r="E1786">
        <v>17898</v>
      </c>
      <c r="F1786" s="1" t="s">
        <v>300</v>
      </c>
      <c r="G1786">
        <v>0</v>
      </c>
      <c r="H1786">
        <v>0</v>
      </c>
      <c r="I1786">
        <v>78</v>
      </c>
      <c r="J1786">
        <v>78</v>
      </c>
      <c r="K1786" s="33">
        <v>0</v>
      </c>
      <c r="L1786" s="1"/>
      <c r="M1786" s="1" t="str">
        <f>_xlfn.XLOOKUP(ocupacao[[#This Row],[UnidadeID]],unidades!$A:$A,unidades!$B:$B,"",0)</f>
        <v>Matriz</v>
      </c>
      <c r="N1786" s="1" t="str">
        <f>_xlfn.XLOOKUP(ocupacao[[#This Row],[UnidadeID]],unidades!$A:$A,unidades!$C:$C,"",0)</f>
        <v>Nova Iguaçu</v>
      </c>
      <c r="O1786" s="1" t="str">
        <f>_xlfn.XLOOKUP(ocupacao[[#This Row],[EspecialidadeID]],especialidades!$A:$A,especialidades!$B:$B,"",0)</f>
        <v>ELETROCARDIOGRAMA</v>
      </c>
      <c r="P1786" s="1" t="str">
        <f>TEXT(WEEKDAY(ocupacao[[#This Row],[Data]]),"ddd")</f>
        <v>seg</v>
      </c>
      <c r="Q1786" s="1">
        <f t="shared" si="27"/>
        <v>0</v>
      </c>
    </row>
    <row r="1787" spans="1:17" x14ac:dyDescent="0.25">
      <c r="A1787" s="2">
        <v>44746</v>
      </c>
      <c r="B1787">
        <v>10</v>
      </c>
      <c r="C1787">
        <v>32</v>
      </c>
      <c r="D1787">
        <v>4</v>
      </c>
      <c r="E1787">
        <v>17899</v>
      </c>
      <c r="F1787" s="1" t="s">
        <v>301</v>
      </c>
      <c r="G1787">
        <v>0</v>
      </c>
      <c r="H1787">
        <v>0</v>
      </c>
      <c r="I1787">
        <v>66</v>
      </c>
      <c r="J1787">
        <v>66</v>
      </c>
      <c r="K1787" s="33">
        <v>0</v>
      </c>
      <c r="L1787" s="1"/>
      <c r="M1787" s="1" t="str">
        <f>_xlfn.XLOOKUP(ocupacao[[#This Row],[UnidadeID]],unidades!$A:$A,unidades!$B:$B,"",0)</f>
        <v>Filial 2 - 10º</v>
      </c>
      <c r="N1787" s="1" t="str">
        <f>_xlfn.XLOOKUP(ocupacao[[#This Row],[UnidadeID]],unidades!$A:$A,unidades!$C:$C,"",0)</f>
        <v>Nova Iguaçu</v>
      </c>
      <c r="O1787" s="1" t="str">
        <f>_xlfn.XLOOKUP(ocupacao[[#This Row],[EspecialidadeID]],especialidades!$A:$A,especialidades!$B:$B,"",0)</f>
        <v>ELETROCARDIOGRAMA</v>
      </c>
      <c r="P1787" s="1" t="str">
        <f>TEXT(WEEKDAY(ocupacao[[#This Row],[Data]]),"ddd")</f>
        <v>seg</v>
      </c>
      <c r="Q1787" s="1">
        <f t="shared" si="27"/>
        <v>0</v>
      </c>
    </row>
    <row r="1788" spans="1:17" x14ac:dyDescent="0.25">
      <c r="A1788" s="2">
        <v>44746</v>
      </c>
      <c r="B1788">
        <v>18</v>
      </c>
      <c r="C1788">
        <v>32</v>
      </c>
      <c r="D1788">
        <v>77</v>
      </c>
      <c r="E1788">
        <v>17900</v>
      </c>
      <c r="F1788" s="1" t="s">
        <v>302</v>
      </c>
      <c r="G1788">
        <v>0</v>
      </c>
      <c r="H1788">
        <v>0</v>
      </c>
      <c r="I1788">
        <v>66</v>
      </c>
      <c r="J1788">
        <v>66</v>
      </c>
      <c r="K1788" s="33">
        <v>0</v>
      </c>
      <c r="L1788" s="1"/>
      <c r="M1788" s="1" t="str">
        <f>_xlfn.XLOOKUP(ocupacao[[#This Row],[UnidadeID]],unidades!$A:$A,unidades!$B:$B,"",0)</f>
        <v>Miguel Couto</v>
      </c>
      <c r="N1788" s="1" t="str">
        <f>_xlfn.XLOOKUP(ocupacao[[#This Row],[UnidadeID]],unidades!$A:$A,unidades!$C:$C,"",0)</f>
        <v>Miguel Couto</v>
      </c>
      <c r="O1788" s="1" t="str">
        <f>_xlfn.XLOOKUP(ocupacao[[#This Row],[EspecialidadeID]],especialidades!$A:$A,especialidades!$B:$B,"",0)</f>
        <v>ELETROCARDIOGRAMA</v>
      </c>
      <c r="P1788" s="1" t="str">
        <f>TEXT(WEEKDAY(ocupacao[[#This Row],[Data]]),"ddd")</f>
        <v>seg</v>
      </c>
      <c r="Q1788" s="1">
        <f t="shared" si="27"/>
        <v>0</v>
      </c>
    </row>
    <row r="1789" spans="1:17" x14ac:dyDescent="0.25">
      <c r="A1789" s="2">
        <v>44746</v>
      </c>
      <c r="B1789">
        <v>24</v>
      </c>
      <c r="C1789">
        <v>32</v>
      </c>
      <c r="D1789">
        <v>55</v>
      </c>
      <c r="E1789">
        <v>17901</v>
      </c>
      <c r="F1789" s="1" t="s">
        <v>303</v>
      </c>
      <c r="G1789">
        <v>0</v>
      </c>
      <c r="H1789">
        <v>0</v>
      </c>
      <c r="I1789">
        <v>66</v>
      </c>
      <c r="J1789">
        <v>66</v>
      </c>
      <c r="K1789" s="33">
        <v>0</v>
      </c>
      <c r="L1789" s="1"/>
      <c r="M1789" s="1" t="str">
        <f>_xlfn.XLOOKUP(ocupacao[[#This Row],[UnidadeID]],unidades!$A:$A,unidades!$B:$B,"",0)</f>
        <v>Nilópolis</v>
      </c>
      <c r="N1789" s="1" t="str">
        <f>_xlfn.XLOOKUP(ocupacao[[#This Row],[UnidadeID]],unidades!$A:$A,unidades!$C:$C,"",0)</f>
        <v>Nilópolis</v>
      </c>
      <c r="O1789" s="1" t="str">
        <f>_xlfn.XLOOKUP(ocupacao[[#This Row],[EspecialidadeID]],especialidades!$A:$A,especialidades!$B:$B,"",0)</f>
        <v>ELETROCARDIOGRAMA</v>
      </c>
      <c r="P1789" s="1" t="str">
        <f>TEXT(WEEKDAY(ocupacao[[#This Row],[Data]]),"ddd")</f>
        <v>seg</v>
      </c>
      <c r="Q1789" s="1">
        <f t="shared" si="27"/>
        <v>0</v>
      </c>
    </row>
    <row r="1790" spans="1:17" x14ac:dyDescent="0.25">
      <c r="A1790" s="2">
        <v>44746</v>
      </c>
      <c r="B1790">
        <v>34</v>
      </c>
      <c r="C1790">
        <v>32</v>
      </c>
      <c r="D1790">
        <v>380</v>
      </c>
      <c r="E1790">
        <v>17954</v>
      </c>
      <c r="F1790" s="1" t="s">
        <v>366</v>
      </c>
      <c r="G1790">
        <v>0</v>
      </c>
      <c r="H1790">
        <v>0</v>
      </c>
      <c r="I1790">
        <v>66</v>
      </c>
      <c r="J1790">
        <v>66</v>
      </c>
      <c r="K1790" s="33">
        <v>0</v>
      </c>
      <c r="L1790" s="1"/>
      <c r="M1790" s="1" t="str">
        <f>_xlfn.XLOOKUP(ocupacao[[#This Row],[UnidadeID]],unidades!$A:$A,unidades!$B:$B,"",0)</f>
        <v>São João</v>
      </c>
      <c r="N1790" s="1" t="str">
        <f>_xlfn.XLOOKUP(ocupacao[[#This Row],[UnidadeID]],unidades!$A:$A,unidades!$C:$C,"",0)</f>
        <v>São João de Meriti</v>
      </c>
      <c r="O1790" s="1" t="str">
        <f>_xlfn.XLOOKUP(ocupacao[[#This Row],[EspecialidadeID]],especialidades!$A:$A,especialidades!$B:$B,"",0)</f>
        <v>ELETROCARDIOGRAMA</v>
      </c>
      <c r="P1790" s="1" t="str">
        <f>TEXT(WEEKDAY(ocupacao[[#This Row],[Data]]),"ddd")</f>
        <v>seg</v>
      </c>
      <c r="Q1790" s="1">
        <f t="shared" si="27"/>
        <v>0</v>
      </c>
    </row>
    <row r="1791" spans="1:17" hidden="1" x14ac:dyDescent="0.25">
      <c r="A1791" s="2">
        <v>44747</v>
      </c>
      <c r="B1791">
        <v>0</v>
      </c>
      <c r="C1791">
        <v>32</v>
      </c>
      <c r="D1791">
        <v>35</v>
      </c>
      <c r="E1791">
        <v>17898</v>
      </c>
      <c r="F1791" s="1" t="s">
        <v>300</v>
      </c>
      <c r="G1791">
        <v>0</v>
      </c>
      <c r="H1791">
        <v>0</v>
      </c>
      <c r="I1791">
        <v>78</v>
      </c>
      <c r="J1791">
        <v>78</v>
      </c>
      <c r="K1791" s="33">
        <v>0</v>
      </c>
      <c r="L1791" s="1"/>
      <c r="M1791" s="1"/>
      <c r="N1791" s="1"/>
      <c r="O1791" s="1"/>
      <c r="P1791" s="1"/>
      <c r="Q1791" s="1"/>
    </row>
    <row r="1792" spans="1:17" x14ac:dyDescent="0.25">
      <c r="A1792" s="2">
        <v>44747</v>
      </c>
      <c r="B1792">
        <v>10</v>
      </c>
      <c r="C1792">
        <v>32</v>
      </c>
      <c r="D1792">
        <v>4</v>
      </c>
      <c r="E1792">
        <v>17899</v>
      </c>
      <c r="F1792" s="1" t="s">
        <v>301</v>
      </c>
      <c r="G1792">
        <v>0</v>
      </c>
      <c r="H1792">
        <v>0</v>
      </c>
      <c r="I1792">
        <v>66</v>
      </c>
      <c r="J1792">
        <v>66</v>
      </c>
      <c r="K1792" s="33">
        <v>0</v>
      </c>
      <c r="L1792" s="1"/>
      <c r="M1792" s="1" t="str">
        <f>_xlfn.XLOOKUP(ocupacao[[#This Row],[UnidadeID]],unidades!$A:$A,unidades!$B:$B,"",0)</f>
        <v>Filial 2 - 10º</v>
      </c>
      <c r="N1792" s="1" t="str">
        <f>_xlfn.XLOOKUP(ocupacao[[#This Row],[UnidadeID]],unidades!$A:$A,unidades!$C:$C,"",0)</f>
        <v>Nova Iguaçu</v>
      </c>
      <c r="O1792" s="1" t="str">
        <f>_xlfn.XLOOKUP(ocupacao[[#This Row],[EspecialidadeID]],especialidades!$A:$A,especialidades!$B:$B,"",0)</f>
        <v>ELETROCARDIOGRAMA</v>
      </c>
      <c r="P1792" s="1" t="str">
        <f>TEXT(WEEKDAY(ocupacao[[#This Row],[Data]]),"ddd")</f>
        <v>ter</v>
      </c>
      <c r="Q1792" s="1">
        <f t="shared" si="27"/>
        <v>0</v>
      </c>
    </row>
    <row r="1793" spans="1:17" x14ac:dyDescent="0.25">
      <c r="A1793" s="2">
        <v>44747</v>
      </c>
      <c r="B1793">
        <v>18</v>
      </c>
      <c r="C1793">
        <v>32</v>
      </c>
      <c r="D1793">
        <v>77</v>
      </c>
      <c r="E1793">
        <v>17900</v>
      </c>
      <c r="F1793" s="1" t="s">
        <v>302</v>
      </c>
      <c r="G1793">
        <v>0</v>
      </c>
      <c r="H1793">
        <v>0</v>
      </c>
      <c r="I1793">
        <v>66</v>
      </c>
      <c r="J1793">
        <v>66</v>
      </c>
      <c r="K1793" s="33">
        <v>0</v>
      </c>
      <c r="L1793" s="1"/>
      <c r="M1793" s="1" t="str">
        <f>_xlfn.XLOOKUP(ocupacao[[#This Row],[UnidadeID]],unidades!$A:$A,unidades!$B:$B,"",0)</f>
        <v>Miguel Couto</v>
      </c>
      <c r="N1793" s="1" t="str">
        <f>_xlfn.XLOOKUP(ocupacao[[#This Row],[UnidadeID]],unidades!$A:$A,unidades!$C:$C,"",0)</f>
        <v>Miguel Couto</v>
      </c>
      <c r="O1793" s="1" t="str">
        <f>_xlfn.XLOOKUP(ocupacao[[#This Row],[EspecialidadeID]],especialidades!$A:$A,especialidades!$B:$B,"",0)</f>
        <v>ELETROCARDIOGRAMA</v>
      </c>
      <c r="P1793" s="1" t="str">
        <f>TEXT(WEEKDAY(ocupacao[[#This Row],[Data]]),"ddd")</f>
        <v>ter</v>
      </c>
      <c r="Q1793" s="1">
        <f t="shared" si="27"/>
        <v>0</v>
      </c>
    </row>
    <row r="1794" spans="1:17" x14ac:dyDescent="0.25">
      <c r="A1794" s="2">
        <v>44747</v>
      </c>
      <c r="B1794">
        <v>24</v>
      </c>
      <c r="C1794">
        <v>32</v>
      </c>
      <c r="D1794">
        <v>55</v>
      </c>
      <c r="E1794">
        <v>17901</v>
      </c>
      <c r="F1794" s="1" t="s">
        <v>303</v>
      </c>
      <c r="G1794">
        <v>0</v>
      </c>
      <c r="H1794">
        <v>0</v>
      </c>
      <c r="I1794">
        <v>66</v>
      </c>
      <c r="J1794">
        <v>66</v>
      </c>
      <c r="K1794" s="33">
        <v>0</v>
      </c>
      <c r="L1794" s="1"/>
      <c r="M1794" s="1" t="str">
        <f>_xlfn.XLOOKUP(ocupacao[[#This Row],[UnidadeID]],unidades!$A:$A,unidades!$B:$B,"",0)</f>
        <v>Nilópolis</v>
      </c>
      <c r="N1794" s="1" t="str">
        <f>_xlfn.XLOOKUP(ocupacao[[#This Row],[UnidadeID]],unidades!$A:$A,unidades!$C:$C,"",0)</f>
        <v>Nilópolis</v>
      </c>
      <c r="O1794" s="1" t="str">
        <f>_xlfn.XLOOKUP(ocupacao[[#This Row],[EspecialidadeID]],especialidades!$A:$A,especialidades!$B:$B,"",0)</f>
        <v>ELETROCARDIOGRAMA</v>
      </c>
      <c r="P1794" s="1" t="str">
        <f>TEXT(WEEKDAY(ocupacao[[#This Row],[Data]]),"ddd")</f>
        <v>ter</v>
      </c>
      <c r="Q1794" s="1">
        <f t="shared" ref="Q1794:Q1856" si="28">IF(F1794=F1795,1,0)</f>
        <v>0</v>
      </c>
    </row>
    <row r="1795" spans="1:17" x14ac:dyDescent="0.25">
      <c r="A1795" s="2">
        <v>44747</v>
      </c>
      <c r="B1795">
        <v>34</v>
      </c>
      <c r="C1795">
        <v>32</v>
      </c>
      <c r="D1795">
        <v>380</v>
      </c>
      <c r="E1795">
        <v>17954</v>
      </c>
      <c r="F1795" s="1" t="s">
        <v>366</v>
      </c>
      <c r="G1795">
        <v>0</v>
      </c>
      <c r="H1795">
        <v>0</v>
      </c>
      <c r="I1795">
        <v>66</v>
      </c>
      <c r="J1795">
        <v>66</v>
      </c>
      <c r="K1795" s="33">
        <v>0</v>
      </c>
      <c r="L1795" s="1"/>
      <c r="M1795" s="1" t="str">
        <f>_xlfn.XLOOKUP(ocupacao[[#This Row],[UnidadeID]],unidades!$A:$A,unidades!$B:$B,"",0)</f>
        <v>São João</v>
      </c>
      <c r="N1795" s="1" t="str">
        <f>_xlfn.XLOOKUP(ocupacao[[#This Row],[UnidadeID]],unidades!$A:$A,unidades!$C:$C,"",0)</f>
        <v>São João de Meriti</v>
      </c>
      <c r="O1795" s="1" t="str">
        <f>_xlfn.XLOOKUP(ocupacao[[#This Row],[EspecialidadeID]],especialidades!$A:$A,especialidades!$B:$B,"",0)</f>
        <v>ELETROCARDIOGRAMA</v>
      </c>
      <c r="P1795" s="1" t="str">
        <f>TEXT(WEEKDAY(ocupacao[[#This Row],[Data]]),"ddd")</f>
        <v>ter</v>
      </c>
      <c r="Q1795" s="1">
        <f t="shared" si="28"/>
        <v>0</v>
      </c>
    </row>
    <row r="1796" spans="1:17" x14ac:dyDescent="0.25">
      <c r="A1796" s="2">
        <v>44748</v>
      </c>
      <c r="B1796">
        <v>0</v>
      </c>
      <c r="C1796">
        <v>32</v>
      </c>
      <c r="D1796">
        <v>35</v>
      </c>
      <c r="E1796">
        <v>17898</v>
      </c>
      <c r="F1796" s="1" t="s">
        <v>300</v>
      </c>
      <c r="G1796">
        <v>0</v>
      </c>
      <c r="H1796">
        <v>0</v>
      </c>
      <c r="I1796">
        <v>78</v>
      </c>
      <c r="J1796">
        <v>78</v>
      </c>
      <c r="K1796" s="33">
        <v>0</v>
      </c>
      <c r="L1796" s="1"/>
      <c r="M1796" s="1" t="str">
        <f>_xlfn.XLOOKUP(ocupacao[[#This Row],[UnidadeID]],unidades!$A:$A,unidades!$B:$B,"",0)</f>
        <v>Matriz</v>
      </c>
      <c r="N1796" s="1" t="str">
        <f>_xlfn.XLOOKUP(ocupacao[[#This Row],[UnidadeID]],unidades!$A:$A,unidades!$C:$C,"",0)</f>
        <v>Nova Iguaçu</v>
      </c>
      <c r="O1796" s="1" t="str">
        <f>_xlfn.XLOOKUP(ocupacao[[#This Row],[EspecialidadeID]],especialidades!$A:$A,especialidades!$B:$B,"",0)</f>
        <v>ELETROCARDIOGRAMA</v>
      </c>
      <c r="P1796" s="1" t="str">
        <f>TEXT(WEEKDAY(ocupacao[[#This Row],[Data]]),"ddd")</f>
        <v>qua</v>
      </c>
      <c r="Q1796" s="1">
        <f t="shared" si="28"/>
        <v>0</v>
      </c>
    </row>
    <row r="1797" spans="1:17" x14ac:dyDescent="0.25">
      <c r="A1797" s="2">
        <v>44748</v>
      </c>
      <c r="B1797">
        <v>10</v>
      </c>
      <c r="C1797">
        <v>32</v>
      </c>
      <c r="D1797">
        <v>4</v>
      </c>
      <c r="E1797">
        <v>17899</v>
      </c>
      <c r="F1797" s="1" t="s">
        <v>301</v>
      </c>
      <c r="G1797">
        <v>0</v>
      </c>
      <c r="H1797">
        <v>0</v>
      </c>
      <c r="I1797">
        <v>66</v>
      </c>
      <c r="J1797">
        <v>66</v>
      </c>
      <c r="K1797" s="33">
        <v>0</v>
      </c>
      <c r="L1797" s="1"/>
      <c r="M1797" s="1" t="str">
        <f>_xlfn.XLOOKUP(ocupacao[[#This Row],[UnidadeID]],unidades!$A:$A,unidades!$B:$B,"",0)</f>
        <v>Filial 2 - 10º</v>
      </c>
      <c r="N1797" s="1" t="str">
        <f>_xlfn.XLOOKUP(ocupacao[[#This Row],[UnidadeID]],unidades!$A:$A,unidades!$C:$C,"",0)</f>
        <v>Nova Iguaçu</v>
      </c>
      <c r="O1797" s="1" t="str">
        <f>_xlfn.XLOOKUP(ocupacao[[#This Row],[EspecialidadeID]],especialidades!$A:$A,especialidades!$B:$B,"",0)</f>
        <v>ELETROCARDIOGRAMA</v>
      </c>
      <c r="P1797" s="1" t="str">
        <f>TEXT(WEEKDAY(ocupacao[[#This Row],[Data]]),"ddd")</f>
        <v>qua</v>
      </c>
      <c r="Q1797" s="1">
        <f t="shared" si="28"/>
        <v>0</v>
      </c>
    </row>
    <row r="1798" spans="1:17" x14ac:dyDescent="0.25">
      <c r="A1798" s="2">
        <v>44748</v>
      </c>
      <c r="B1798">
        <v>18</v>
      </c>
      <c r="C1798">
        <v>32</v>
      </c>
      <c r="D1798">
        <v>77</v>
      </c>
      <c r="E1798">
        <v>17900</v>
      </c>
      <c r="F1798" s="1" t="s">
        <v>302</v>
      </c>
      <c r="G1798">
        <v>0</v>
      </c>
      <c r="H1798">
        <v>0</v>
      </c>
      <c r="I1798">
        <v>66</v>
      </c>
      <c r="J1798">
        <v>66</v>
      </c>
      <c r="K1798" s="33">
        <v>0</v>
      </c>
      <c r="L1798" s="1"/>
      <c r="M1798" s="1" t="str">
        <f>_xlfn.XLOOKUP(ocupacao[[#This Row],[UnidadeID]],unidades!$A:$A,unidades!$B:$B,"",0)</f>
        <v>Miguel Couto</v>
      </c>
      <c r="N1798" s="1" t="str">
        <f>_xlfn.XLOOKUP(ocupacao[[#This Row],[UnidadeID]],unidades!$A:$A,unidades!$C:$C,"",0)</f>
        <v>Miguel Couto</v>
      </c>
      <c r="O1798" s="1" t="str">
        <f>_xlfn.XLOOKUP(ocupacao[[#This Row],[EspecialidadeID]],especialidades!$A:$A,especialidades!$B:$B,"",0)</f>
        <v>ELETROCARDIOGRAMA</v>
      </c>
      <c r="P1798" s="1" t="str">
        <f>TEXT(WEEKDAY(ocupacao[[#This Row],[Data]]),"ddd")</f>
        <v>qua</v>
      </c>
      <c r="Q1798" s="1">
        <f t="shared" si="28"/>
        <v>0</v>
      </c>
    </row>
    <row r="1799" spans="1:17" x14ac:dyDescent="0.25">
      <c r="A1799" s="2">
        <v>44748</v>
      </c>
      <c r="B1799">
        <v>24</v>
      </c>
      <c r="C1799">
        <v>32</v>
      </c>
      <c r="D1799">
        <v>55</v>
      </c>
      <c r="E1799">
        <v>17901</v>
      </c>
      <c r="F1799" s="1" t="s">
        <v>303</v>
      </c>
      <c r="G1799">
        <v>0</v>
      </c>
      <c r="H1799">
        <v>0</v>
      </c>
      <c r="I1799">
        <v>66</v>
      </c>
      <c r="J1799">
        <v>66</v>
      </c>
      <c r="K1799" s="33">
        <v>0</v>
      </c>
      <c r="L1799" s="1"/>
      <c r="M1799" s="1" t="str">
        <f>_xlfn.XLOOKUP(ocupacao[[#This Row],[UnidadeID]],unidades!$A:$A,unidades!$B:$B,"",0)</f>
        <v>Nilópolis</v>
      </c>
      <c r="N1799" s="1" t="str">
        <f>_xlfn.XLOOKUP(ocupacao[[#This Row],[UnidadeID]],unidades!$A:$A,unidades!$C:$C,"",0)</f>
        <v>Nilópolis</v>
      </c>
      <c r="O1799" s="1" t="str">
        <f>_xlfn.XLOOKUP(ocupacao[[#This Row],[EspecialidadeID]],especialidades!$A:$A,especialidades!$B:$B,"",0)</f>
        <v>ELETROCARDIOGRAMA</v>
      </c>
      <c r="P1799" s="1" t="str">
        <f>TEXT(WEEKDAY(ocupacao[[#This Row],[Data]]),"ddd")</f>
        <v>qua</v>
      </c>
      <c r="Q1799" s="1">
        <f t="shared" si="28"/>
        <v>0</v>
      </c>
    </row>
    <row r="1800" spans="1:17" x14ac:dyDescent="0.25">
      <c r="A1800" s="2">
        <v>44748</v>
      </c>
      <c r="B1800">
        <v>34</v>
      </c>
      <c r="C1800">
        <v>32</v>
      </c>
      <c r="D1800">
        <v>380</v>
      </c>
      <c r="E1800">
        <v>17954</v>
      </c>
      <c r="F1800" s="1" t="s">
        <v>366</v>
      </c>
      <c r="G1800">
        <v>0</v>
      </c>
      <c r="H1800">
        <v>0</v>
      </c>
      <c r="I1800">
        <v>66</v>
      </c>
      <c r="J1800">
        <v>66</v>
      </c>
      <c r="K1800" s="33">
        <v>0</v>
      </c>
      <c r="L1800" s="1"/>
      <c r="M1800" s="1" t="str">
        <f>_xlfn.XLOOKUP(ocupacao[[#This Row],[UnidadeID]],unidades!$A:$A,unidades!$B:$B,"",0)</f>
        <v>São João</v>
      </c>
      <c r="N1800" s="1" t="str">
        <f>_xlfn.XLOOKUP(ocupacao[[#This Row],[UnidadeID]],unidades!$A:$A,unidades!$C:$C,"",0)</f>
        <v>São João de Meriti</v>
      </c>
      <c r="O1800" s="1" t="str">
        <f>_xlfn.XLOOKUP(ocupacao[[#This Row],[EspecialidadeID]],especialidades!$A:$A,especialidades!$B:$B,"",0)</f>
        <v>ELETROCARDIOGRAMA</v>
      </c>
      <c r="P1800" s="1" t="str">
        <f>TEXT(WEEKDAY(ocupacao[[#This Row],[Data]]),"ddd")</f>
        <v>qua</v>
      </c>
      <c r="Q1800" s="1">
        <f t="shared" si="28"/>
        <v>0</v>
      </c>
    </row>
    <row r="1801" spans="1:17" x14ac:dyDescent="0.25">
      <c r="A1801" s="2">
        <v>44749</v>
      </c>
      <c r="B1801">
        <v>0</v>
      </c>
      <c r="C1801">
        <v>32</v>
      </c>
      <c r="D1801">
        <v>35</v>
      </c>
      <c r="E1801">
        <v>17898</v>
      </c>
      <c r="F1801" s="1" t="s">
        <v>300</v>
      </c>
      <c r="G1801">
        <v>0</v>
      </c>
      <c r="H1801">
        <v>0</v>
      </c>
      <c r="I1801">
        <v>78</v>
      </c>
      <c r="J1801">
        <v>78</v>
      </c>
      <c r="K1801" s="33">
        <v>0</v>
      </c>
      <c r="L1801" s="1"/>
      <c r="M1801" s="1" t="str">
        <f>_xlfn.XLOOKUP(ocupacao[[#This Row],[UnidadeID]],unidades!$A:$A,unidades!$B:$B,"",0)</f>
        <v>Matriz</v>
      </c>
      <c r="N1801" s="1" t="str">
        <f>_xlfn.XLOOKUP(ocupacao[[#This Row],[UnidadeID]],unidades!$A:$A,unidades!$C:$C,"",0)</f>
        <v>Nova Iguaçu</v>
      </c>
      <c r="O1801" s="1" t="str">
        <f>_xlfn.XLOOKUP(ocupacao[[#This Row],[EspecialidadeID]],especialidades!$A:$A,especialidades!$B:$B,"",0)</f>
        <v>ELETROCARDIOGRAMA</v>
      </c>
      <c r="P1801" s="1" t="str">
        <f>TEXT(WEEKDAY(ocupacao[[#This Row],[Data]]),"ddd")</f>
        <v>qui</v>
      </c>
      <c r="Q1801" s="1">
        <f t="shared" si="28"/>
        <v>0</v>
      </c>
    </row>
    <row r="1802" spans="1:17" x14ac:dyDescent="0.25">
      <c r="A1802" s="2">
        <v>44749</v>
      </c>
      <c r="B1802">
        <v>10</v>
      </c>
      <c r="C1802">
        <v>32</v>
      </c>
      <c r="D1802">
        <v>4</v>
      </c>
      <c r="E1802">
        <v>17899</v>
      </c>
      <c r="F1802" s="1" t="s">
        <v>301</v>
      </c>
      <c r="G1802">
        <v>0</v>
      </c>
      <c r="H1802">
        <v>0</v>
      </c>
      <c r="I1802">
        <v>66</v>
      </c>
      <c r="J1802">
        <v>66</v>
      </c>
      <c r="K1802" s="33">
        <v>0</v>
      </c>
      <c r="L1802" s="1"/>
      <c r="M1802" s="1" t="str">
        <f>_xlfn.XLOOKUP(ocupacao[[#This Row],[UnidadeID]],unidades!$A:$A,unidades!$B:$B,"",0)</f>
        <v>Filial 2 - 10º</v>
      </c>
      <c r="N1802" s="1" t="str">
        <f>_xlfn.XLOOKUP(ocupacao[[#This Row],[UnidadeID]],unidades!$A:$A,unidades!$C:$C,"",0)</f>
        <v>Nova Iguaçu</v>
      </c>
      <c r="O1802" s="1" t="str">
        <f>_xlfn.XLOOKUP(ocupacao[[#This Row],[EspecialidadeID]],especialidades!$A:$A,especialidades!$B:$B,"",0)</f>
        <v>ELETROCARDIOGRAMA</v>
      </c>
      <c r="P1802" s="1" t="str">
        <f>TEXT(WEEKDAY(ocupacao[[#This Row],[Data]]),"ddd")</f>
        <v>qui</v>
      </c>
      <c r="Q1802" s="1">
        <f t="shared" si="28"/>
        <v>0</v>
      </c>
    </row>
    <row r="1803" spans="1:17" x14ac:dyDescent="0.25">
      <c r="A1803" s="2">
        <v>44749</v>
      </c>
      <c r="B1803">
        <v>18</v>
      </c>
      <c r="C1803">
        <v>32</v>
      </c>
      <c r="D1803">
        <v>77</v>
      </c>
      <c r="E1803">
        <v>17900</v>
      </c>
      <c r="F1803" s="1" t="s">
        <v>302</v>
      </c>
      <c r="G1803">
        <v>0</v>
      </c>
      <c r="H1803">
        <v>0</v>
      </c>
      <c r="I1803">
        <v>66</v>
      </c>
      <c r="J1803">
        <v>66</v>
      </c>
      <c r="K1803" s="33">
        <v>0</v>
      </c>
      <c r="L1803" s="1"/>
      <c r="M1803" s="1" t="str">
        <f>_xlfn.XLOOKUP(ocupacao[[#This Row],[UnidadeID]],unidades!$A:$A,unidades!$B:$B,"",0)</f>
        <v>Miguel Couto</v>
      </c>
      <c r="N1803" s="1" t="str">
        <f>_xlfn.XLOOKUP(ocupacao[[#This Row],[UnidadeID]],unidades!$A:$A,unidades!$C:$C,"",0)</f>
        <v>Miguel Couto</v>
      </c>
      <c r="O1803" s="1" t="str">
        <f>_xlfn.XLOOKUP(ocupacao[[#This Row],[EspecialidadeID]],especialidades!$A:$A,especialidades!$B:$B,"",0)</f>
        <v>ELETROCARDIOGRAMA</v>
      </c>
      <c r="P1803" s="1" t="str">
        <f>TEXT(WEEKDAY(ocupacao[[#This Row],[Data]]),"ddd")</f>
        <v>qui</v>
      </c>
      <c r="Q1803" s="1">
        <f t="shared" si="28"/>
        <v>0</v>
      </c>
    </row>
    <row r="1804" spans="1:17" x14ac:dyDescent="0.25">
      <c r="A1804" s="2">
        <v>44749</v>
      </c>
      <c r="B1804">
        <v>24</v>
      </c>
      <c r="C1804">
        <v>32</v>
      </c>
      <c r="D1804">
        <v>55</v>
      </c>
      <c r="E1804">
        <v>17901</v>
      </c>
      <c r="F1804" s="1" t="s">
        <v>303</v>
      </c>
      <c r="G1804">
        <v>0</v>
      </c>
      <c r="H1804">
        <v>0</v>
      </c>
      <c r="I1804">
        <v>66</v>
      </c>
      <c r="J1804">
        <v>66</v>
      </c>
      <c r="K1804" s="33">
        <v>0</v>
      </c>
      <c r="L1804" s="1"/>
      <c r="M1804" s="1" t="str">
        <f>_xlfn.XLOOKUP(ocupacao[[#This Row],[UnidadeID]],unidades!$A:$A,unidades!$B:$B,"",0)</f>
        <v>Nilópolis</v>
      </c>
      <c r="N1804" s="1" t="str">
        <f>_xlfn.XLOOKUP(ocupacao[[#This Row],[UnidadeID]],unidades!$A:$A,unidades!$C:$C,"",0)</f>
        <v>Nilópolis</v>
      </c>
      <c r="O1804" s="1" t="str">
        <f>_xlfn.XLOOKUP(ocupacao[[#This Row],[EspecialidadeID]],especialidades!$A:$A,especialidades!$B:$B,"",0)</f>
        <v>ELETROCARDIOGRAMA</v>
      </c>
      <c r="P1804" s="1" t="str">
        <f>TEXT(WEEKDAY(ocupacao[[#This Row],[Data]]),"ddd")</f>
        <v>qui</v>
      </c>
      <c r="Q1804" s="1">
        <f t="shared" si="28"/>
        <v>0</v>
      </c>
    </row>
    <row r="1805" spans="1:17" hidden="1" x14ac:dyDescent="0.25">
      <c r="A1805" s="2">
        <v>44749</v>
      </c>
      <c r="B1805">
        <v>34</v>
      </c>
      <c r="C1805">
        <v>32</v>
      </c>
      <c r="D1805">
        <v>380</v>
      </c>
      <c r="E1805">
        <v>17954</v>
      </c>
      <c r="F1805" s="1" t="s">
        <v>366</v>
      </c>
      <c r="G1805">
        <v>0</v>
      </c>
      <c r="H1805">
        <v>0</v>
      </c>
      <c r="I1805">
        <v>66</v>
      </c>
      <c r="J1805">
        <v>66</v>
      </c>
      <c r="K1805" s="33">
        <v>0</v>
      </c>
      <c r="L1805" s="1"/>
      <c r="M1805" s="1"/>
      <c r="N1805" s="1"/>
      <c r="O1805" s="1"/>
      <c r="P1805" s="1"/>
      <c r="Q1805" s="1"/>
    </row>
    <row r="1806" spans="1:17" x14ac:dyDescent="0.25">
      <c r="A1806" s="2">
        <v>44750</v>
      </c>
      <c r="B1806">
        <v>0</v>
      </c>
      <c r="C1806">
        <v>32</v>
      </c>
      <c r="D1806">
        <v>35</v>
      </c>
      <c r="E1806">
        <v>17898</v>
      </c>
      <c r="F1806" s="1" t="s">
        <v>300</v>
      </c>
      <c r="G1806">
        <v>0</v>
      </c>
      <c r="H1806">
        <v>0</v>
      </c>
      <c r="I1806">
        <v>78</v>
      </c>
      <c r="J1806">
        <v>78</v>
      </c>
      <c r="K1806" s="33">
        <v>0</v>
      </c>
      <c r="L1806" s="1"/>
      <c r="M1806" s="1" t="str">
        <f>_xlfn.XLOOKUP(ocupacao[[#This Row],[UnidadeID]],unidades!$A:$A,unidades!$B:$B,"",0)</f>
        <v>Matriz</v>
      </c>
      <c r="N1806" s="1" t="str">
        <f>_xlfn.XLOOKUP(ocupacao[[#This Row],[UnidadeID]],unidades!$A:$A,unidades!$C:$C,"",0)</f>
        <v>Nova Iguaçu</v>
      </c>
      <c r="O1806" s="1" t="str">
        <f>_xlfn.XLOOKUP(ocupacao[[#This Row],[EspecialidadeID]],especialidades!$A:$A,especialidades!$B:$B,"",0)</f>
        <v>ELETROCARDIOGRAMA</v>
      </c>
      <c r="P1806" s="1" t="str">
        <f>TEXT(WEEKDAY(ocupacao[[#This Row],[Data]]),"ddd")</f>
        <v>sex</v>
      </c>
      <c r="Q1806" s="1">
        <f t="shared" si="28"/>
        <v>0</v>
      </c>
    </row>
    <row r="1807" spans="1:17" x14ac:dyDescent="0.25">
      <c r="A1807" s="2">
        <v>44750</v>
      </c>
      <c r="B1807">
        <v>10</v>
      </c>
      <c r="C1807">
        <v>32</v>
      </c>
      <c r="D1807">
        <v>4</v>
      </c>
      <c r="E1807">
        <v>17899</v>
      </c>
      <c r="F1807" s="1" t="s">
        <v>301</v>
      </c>
      <c r="G1807">
        <v>0</v>
      </c>
      <c r="H1807">
        <v>0</v>
      </c>
      <c r="I1807">
        <v>66</v>
      </c>
      <c r="J1807">
        <v>66</v>
      </c>
      <c r="K1807" s="33">
        <v>0</v>
      </c>
      <c r="L1807" s="1"/>
      <c r="M1807" s="1" t="str">
        <f>_xlfn.XLOOKUP(ocupacao[[#This Row],[UnidadeID]],unidades!$A:$A,unidades!$B:$B,"",0)</f>
        <v>Filial 2 - 10º</v>
      </c>
      <c r="N1807" s="1" t="str">
        <f>_xlfn.XLOOKUP(ocupacao[[#This Row],[UnidadeID]],unidades!$A:$A,unidades!$C:$C,"",0)</f>
        <v>Nova Iguaçu</v>
      </c>
      <c r="O1807" s="1" t="str">
        <f>_xlfn.XLOOKUP(ocupacao[[#This Row],[EspecialidadeID]],especialidades!$A:$A,especialidades!$B:$B,"",0)</f>
        <v>ELETROCARDIOGRAMA</v>
      </c>
      <c r="P1807" s="1" t="str">
        <f>TEXT(WEEKDAY(ocupacao[[#This Row],[Data]]),"ddd")</f>
        <v>sex</v>
      </c>
      <c r="Q1807" s="1">
        <f t="shared" si="28"/>
        <v>0</v>
      </c>
    </row>
    <row r="1808" spans="1:17" x14ac:dyDescent="0.25">
      <c r="A1808" s="2">
        <v>44750</v>
      </c>
      <c r="B1808">
        <v>18</v>
      </c>
      <c r="C1808">
        <v>32</v>
      </c>
      <c r="D1808">
        <v>77</v>
      </c>
      <c r="E1808">
        <v>17900</v>
      </c>
      <c r="F1808" s="1" t="s">
        <v>302</v>
      </c>
      <c r="G1808">
        <v>0</v>
      </c>
      <c r="H1808">
        <v>0</v>
      </c>
      <c r="I1808">
        <v>66</v>
      </c>
      <c r="J1808">
        <v>66</v>
      </c>
      <c r="K1808" s="33">
        <v>0</v>
      </c>
      <c r="L1808" s="1"/>
      <c r="M1808" s="1" t="str">
        <f>_xlfn.XLOOKUP(ocupacao[[#This Row],[UnidadeID]],unidades!$A:$A,unidades!$B:$B,"",0)</f>
        <v>Miguel Couto</v>
      </c>
      <c r="N1808" s="1" t="str">
        <f>_xlfn.XLOOKUP(ocupacao[[#This Row],[UnidadeID]],unidades!$A:$A,unidades!$C:$C,"",0)</f>
        <v>Miguel Couto</v>
      </c>
      <c r="O1808" s="1" t="str">
        <f>_xlfn.XLOOKUP(ocupacao[[#This Row],[EspecialidadeID]],especialidades!$A:$A,especialidades!$B:$B,"",0)</f>
        <v>ELETROCARDIOGRAMA</v>
      </c>
      <c r="P1808" s="1" t="str">
        <f>TEXT(WEEKDAY(ocupacao[[#This Row],[Data]]),"ddd")</f>
        <v>sex</v>
      </c>
      <c r="Q1808" s="1">
        <f t="shared" si="28"/>
        <v>0</v>
      </c>
    </row>
    <row r="1809" spans="1:17" x14ac:dyDescent="0.25">
      <c r="A1809" s="2">
        <v>44750</v>
      </c>
      <c r="B1809">
        <v>24</v>
      </c>
      <c r="C1809">
        <v>32</v>
      </c>
      <c r="D1809">
        <v>55</v>
      </c>
      <c r="E1809">
        <v>17901</v>
      </c>
      <c r="F1809" s="1" t="s">
        <v>303</v>
      </c>
      <c r="G1809">
        <v>0</v>
      </c>
      <c r="H1809">
        <v>0</v>
      </c>
      <c r="I1809">
        <v>66</v>
      </c>
      <c r="J1809">
        <v>66</v>
      </c>
      <c r="K1809" s="33">
        <v>0</v>
      </c>
      <c r="L1809" s="1"/>
      <c r="M1809" s="1" t="str">
        <f>_xlfn.XLOOKUP(ocupacao[[#This Row],[UnidadeID]],unidades!$A:$A,unidades!$B:$B,"",0)</f>
        <v>Nilópolis</v>
      </c>
      <c r="N1809" s="1" t="str">
        <f>_xlfn.XLOOKUP(ocupacao[[#This Row],[UnidadeID]],unidades!$A:$A,unidades!$C:$C,"",0)</f>
        <v>Nilópolis</v>
      </c>
      <c r="O1809" s="1" t="str">
        <f>_xlfn.XLOOKUP(ocupacao[[#This Row],[EspecialidadeID]],especialidades!$A:$A,especialidades!$B:$B,"",0)</f>
        <v>ELETROCARDIOGRAMA</v>
      </c>
      <c r="P1809" s="1" t="str">
        <f>TEXT(WEEKDAY(ocupacao[[#This Row],[Data]]),"ddd")</f>
        <v>sex</v>
      </c>
      <c r="Q1809" s="1">
        <f t="shared" si="28"/>
        <v>0</v>
      </c>
    </row>
    <row r="1810" spans="1:17" x14ac:dyDescent="0.25">
      <c r="A1810" s="2">
        <v>44750</v>
      </c>
      <c r="B1810">
        <v>34</v>
      </c>
      <c r="C1810">
        <v>32</v>
      </c>
      <c r="D1810">
        <v>380</v>
      </c>
      <c r="E1810">
        <v>17954</v>
      </c>
      <c r="F1810" s="1" t="s">
        <v>366</v>
      </c>
      <c r="G1810">
        <v>0</v>
      </c>
      <c r="H1810">
        <v>0</v>
      </c>
      <c r="I1810">
        <v>66</v>
      </c>
      <c r="J1810">
        <v>66</v>
      </c>
      <c r="K1810" s="33">
        <v>0</v>
      </c>
      <c r="L1810" s="1"/>
      <c r="M1810" s="1" t="str">
        <f>_xlfn.XLOOKUP(ocupacao[[#This Row],[UnidadeID]],unidades!$A:$A,unidades!$B:$B,"",0)</f>
        <v>São João</v>
      </c>
      <c r="N1810" s="1" t="str">
        <f>_xlfn.XLOOKUP(ocupacao[[#This Row],[UnidadeID]],unidades!$A:$A,unidades!$C:$C,"",0)</f>
        <v>São João de Meriti</v>
      </c>
      <c r="O1810" s="1" t="str">
        <f>_xlfn.XLOOKUP(ocupacao[[#This Row],[EspecialidadeID]],especialidades!$A:$A,especialidades!$B:$B,"",0)</f>
        <v>ELETROCARDIOGRAMA</v>
      </c>
      <c r="P1810" s="1" t="str">
        <f>TEXT(WEEKDAY(ocupacao[[#This Row],[Data]]),"ddd")</f>
        <v>sex</v>
      </c>
      <c r="Q1810" s="1">
        <f t="shared" si="28"/>
        <v>0</v>
      </c>
    </row>
    <row r="1811" spans="1:17" x14ac:dyDescent="0.25">
      <c r="A1811" s="2">
        <v>44751</v>
      </c>
      <c r="B1811">
        <v>0</v>
      </c>
      <c r="C1811">
        <v>32</v>
      </c>
      <c r="D1811">
        <v>35</v>
      </c>
      <c r="E1811">
        <v>17898</v>
      </c>
      <c r="F1811" s="1" t="s">
        <v>300</v>
      </c>
      <c r="G1811">
        <v>0</v>
      </c>
      <c r="H1811">
        <v>0</v>
      </c>
      <c r="I1811">
        <v>54</v>
      </c>
      <c r="J1811">
        <v>54</v>
      </c>
      <c r="K1811" s="33">
        <v>0</v>
      </c>
      <c r="L1811" s="1"/>
      <c r="M1811" s="1" t="str">
        <f>_xlfn.XLOOKUP(ocupacao[[#This Row],[UnidadeID]],unidades!$A:$A,unidades!$B:$B,"",0)</f>
        <v>Matriz</v>
      </c>
      <c r="N1811" s="1" t="str">
        <f>_xlfn.XLOOKUP(ocupacao[[#This Row],[UnidadeID]],unidades!$A:$A,unidades!$C:$C,"",0)</f>
        <v>Nova Iguaçu</v>
      </c>
      <c r="O1811" s="1" t="str">
        <f>_xlfn.XLOOKUP(ocupacao[[#This Row],[EspecialidadeID]],especialidades!$A:$A,especialidades!$B:$B,"",0)</f>
        <v>ELETROCARDIOGRAMA</v>
      </c>
      <c r="P1811" s="1" t="str">
        <f>TEXT(WEEKDAY(ocupacao[[#This Row],[Data]]),"ddd")</f>
        <v>sáb</v>
      </c>
      <c r="Q1811" s="1">
        <f t="shared" si="28"/>
        <v>0</v>
      </c>
    </row>
    <row r="1812" spans="1:17" x14ac:dyDescent="0.25">
      <c r="A1812" s="2">
        <v>44751</v>
      </c>
      <c r="B1812">
        <v>10</v>
      </c>
      <c r="C1812">
        <v>32</v>
      </c>
      <c r="D1812">
        <v>4</v>
      </c>
      <c r="E1812">
        <v>17899</v>
      </c>
      <c r="F1812" s="1" t="s">
        <v>301</v>
      </c>
      <c r="G1812">
        <v>0</v>
      </c>
      <c r="H1812">
        <v>0</v>
      </c>
      <c r="I1812">
        <v>30</v>
      </c>
      <c r="J1812">
        <v>30</v>
      </c>
      <c r="K1812" s="33">
        <v>0</v>
      </c>
      <c r="L1812" s="1"/>
      <c r="M1812" s="1" t="str">
        <f>_xlfn.XLOOKUP(ocupacao[[#This Row],[UnidadeID]],unidades!$A:$A,unidades!$B:$B,"",0)</f>
        <v>Filial 2 - 10º</v>
      </c>
      <c r="N1812" s="1" t="str">
        <f>_xlfn.XLOOKUP(ocupacao[[#This Row],[UnidadeID]],unidades!$A:$A,unidades!$C:$C,"",0)</f>
        <v>Nova Iguaçu</v>
      </c>
      <c r="O1812" s="1" t="str">
        <f>_xlfn.XLOOKUP(ocupacao[[#This Row],[EspecialidadeID]],especialidades!$A:$A,especialidades!$B:$B,"",0)</f>
        <v>ELETROCARDIOGRAMA</v>
      </c>
      <c r="P1812" s="1" t="str">
        <f>TEXT(WEEKDAY(ocupacao[[#This Row],[Data]]),"ddd")</f>
        <v>sáb</v>
      </c>
      <c r="Q1812" s="1">
        <f t="shared" si="28"/>
        <v>0</v>
      </c>
    </row>
    <row r="1813" spans="1:17" x14ac:dyDescent="0.25">
      <c r="A1813" s="2">
        <v>44751</v>
      </c>
      <c r="B1813">
        <v>18</v>
      </c>
      <c r="C1813">
        <v>32</v>
      </c>
      <c r="D1813">
        <v>77</v>
      </c>
      <c r="E1813">
        <v>17900</v>
      </c>
      <c r="F1813" s="1" t="s">
        <v>302</v>
      </c>
      <c r="G1813">
        <v>0</v>
      </c>
      <c r="H1813">
        <v>0</v>
      </c>
      <c r="I1813">
        <v>42</v>
      </c>
      <c r="J1813">
        <v>42</v>
      </c>
      <c r="K1813" s="33">
        <v>0</v>
      </c>
      <c r="L1813" s="1"/>
      <c r="M1813" s="1" t="str">
        <f>_xlfn.XLOOKUP(ocupacao[[#This Row],[UnidadeID]],unidades!$A:$A,unidades!$B:$B,"",0)</f>
        <v>Miguel Couto</v>
      </c>
      <c r="N1813" s="1" t="str">
        <f>_xlfn.XLOOKUP(ocupacao[[#This Row],[UnidadeID]],unidades!$A:$A,unidades!$C:$C,"",0)</f>
        <v>Miguel Couto</v>
      </c>
      <c r="O1813" s="1" t="str">
        <f>_xlfn.XLOOKUP(ocupacao[[#This Row],[EspecialidadeID]],especialidades!$A:$A,especialidades!$B:$B,"",0)</f>
        <v>ELETROCARDIOGRAMA</v>
      </c>
      <c r="P1813" s="1" t="str">
        <f>TEXT(WEEKDAY(ocupacao[[#This Row],[Data]]),"ddd")</f>
        <v>sáb</v>
      </c>
      <c r="Q1813" s="1">
        <f t="shared" si="28"/>
        <v>0</v>
      </c>
    </row>
    <row r="1814" spans="1:17" x14ac:dyDescent="0.25">
      <c r="A1814" s="2">
        <v>44751</v>
      </c>
      <c r="B1814">
        <v>24</v>
      </c>
      <c r="C1814">
        <v>32</v>
      </c>
      <c r="D1814">
        <v>59</v>
      </c>
      <c r="E1814">
        <v>17901</v>
      </c>
      <c r="F1814" s="1" t="s">
        <v>303</v>
      </c>
      <c r="G1814">
        <v>0</v>
      </c>
      <c r="H1814">
        <v>0</v>
      </c>
      <c r="I1814">
        <v>42</v>
      </c>
      <c r="J1814">
        <v>42</v>
      </c>
      <c r="K1814" s="33">
        <v>0</v>
      </c>
      <c r="L1814" s="1"/>
      <c r="M1814" s="1" t="str">
        <f>_xlfn.XLOOKUP(ocupacao[[#This Row],[UnidadeID]],unidades!$A:$A,unidades!$B:$B,"",0)</f>
        <v>Nilópolis</v>
      </c>
      <c r="N1814" s="1" t="str">
        <f>_xlfn.XLOOKUP(ocupacao[[#This Row],[UnidadeID]],unidades!$A:$A,unidades!$C:$C,"",0)</f>
        <v>Nilópolis</v>
      </c>
      <c r="O1814" s="1" t="str">
        <f>_xlfn.XLOOKUP(ocupacao[[#This Row],[EspecialidadeID]],especialidades!$A:$A,especialidades!$B:$B,"",0)</f>
        <v>ELETROCARDIOGRAMA</v>
      </c>
      <c r="P1814" s="1" t="str">
        <f>TEXT(WEEKDAY(ocupacao[[#This Row],[Data]]),"ddd")</f>
        <v>sáb</v>
      </c>
      <c r="Q1814" s="1">
        <f t="shared" si="28"/>
        <v>0</v>
      </c>
    </row>
    <row r="1815" spans="1:17" x14ac:dyDescent="0.25">
      <c r="A1815" s="2">
        <v>44751</v>
      </c>
      <c r="B1815">
        <v>34</v>
      </c>
      <c r="C1815">
        <v>32</v>
      </c>
      <c r="D1815">
        <v>380</v>
      </c>
      <c r="E1815">
        <v>17954</v>
      </c>
      <c r="F1815" s="1" t="s">
        <v>366</v>
      </c>
      <c r="G1815">
        <v>0</v>
      </c>
      <c r="H1815">
        <v>0</v>
      </c>
      <c r="I1815">
        <v>42</v>
      </c>
      <c r="J1815">
        <v>42</v>
      </c>
      <c r="K1815" s="33">
        <v>0</v>
      </c>
      <c r="L1815" s="1"/>
      <c r="M1815" s="1" t="str">
        <f>_xlfn.XLOOKUP(ocupacao[[#This Row],[UnidadeID]],unidades!$A:$A,unidades!$B:$B,"",0)</f>
        <v>São João</v>
      </c>
      <c r="N1815" s="1" t="str">
        <f>_xlfn.XLOOKUP(ocupacao[[#This Row],[UnidadeID]],unidades!$A:$A,unidades!$C:$C,"",0)</f>
        <v>São João de Meriti</v>
      </c>
      <c r="O1815" s="1" t="str">
        <f>_xlfn.XLOOKUP(ocupacao[[#This Row],[EspecialidadeID]],especialidades!$A:$A,especialidades!$B:$B,"",0)</f>
        <v>ELETROCARDIOGRAMA</v>
      </c>
      <c r="P1815" s="1" t="str">
        <f>TEXT(WEEKDAY(ocupacao[[#This Row],[Data]]),"ddd")</f>
        <v>sáb</v>
      </c>
      <c r="Q1815" s="1">
        <f t="shared" si="28"/>
        <v>0</v>
      </c>
    </row>
    <row r="1816" spans="1:17" hidden="1" x14ac:dyDescent="0.25">
      <c r="A1816" s="2"/>
      <c r="F1816" s="1"/>
      <c r="K1816" s="33"/>
      <c r="L1816" s="1"/>
      <c r="M1816" s="1"/>
      <c r="N1816" s="1"/>
      <c r="O1816" s="1"/>
      <c r="P1816" s="1"/>
      <c r="Q1816" s="1"/>
    </row>
    <row r="1817" spans="1:17" x14ac:dyDescent="0.25">
      <c r="A1817" s="2">
        <v>44753</v>
      </c>
      <c r="B1817">
        <v>0</v>
      </c>
      <c r="C1817">
        <v>32</v>
      </c>
      <c r="D1817">
        <v>35</v>
      </c>
      <c r="E1817">
        <v>17898</v>
      </c>
      <c r="F1817" s="1" t="s">
        <v>300</v>
      </c>
      <c r="G1817">
        <v>0</v>
      </c>
      <c r="H1817">
        <v>0</v>
      </c>
      <c r="I1817">
        <v>78</v>
      </c>
      <c r="J1817">
        <v>78</v>
      </c>
      <c r="K1817" s="33">
        <v>0</v>
      </c>
      <c r="L1817" s="1"/>
      <c r="M1817" s="1" t="str">
        <f>_xlfn.XLOOKUP(ocupacao[[#This Row],[UnidadeID]],unidades!$A:$A,unidades!$B:$B,"",0)</f>
        <v>Matriz</v>
      </c>
      <c r="N1817" s="1" t="str">
        <f>_xlfn.XLOOKUP(ocupacao[[#This Row],[UnidadeID]],unidades!$A:$A,unidades!$C:$C,"",0)</f>
        <v>Nova Iguaçu</v>
      </c>
      <c r="O1817" s="1" t="str">
        <f>_xlfn.XLOOKUP(ocupacao[[#This Row],[EspecialidadeID]],especialidades!$A:$A,especialidades!$B:$B,"",0)</f>
        <v>ELETROCARDIOGRAMA</v>
      </c>
      <c r="P1817" s="1" t="str">
        <f>TEXT(WEEKDAY(ocupacao[[#This Row],[Data]]),"ddd")</f>
        <v>seg</v>
      </c>
      <c r="Q1817" s="1">
        <f t="shared" si="28"/>
        <v>0</v>
      </c>
    </row>
    <row r="1818" spans="1:17" x14ac:dyDescent="0.25">
      <c r="A1818" s="2">
        <v>44753</v>
      </c>
      <c r="B1818">
        <v>10</v>
      </c>
      <c r="C1818">
        <v>32</v>
      </c>
      <c r="D1818">
        <v>4</v>
      </c>
      <c r="E1818">
        <v>17899</v>
      </c>
      <c r="F1818" s="1" t="s">
        <v>301</v>
      </c>
      <c r="G1818">
        <v>0</v>
      </c>
      <c r="H1818">
        <v>0</v>
      </c>
      <c r="I1818">
        <v>66</v>
      </c>
      <c r="J1818">
        <v>66</v>
      </c>
      <c r="K1818" s="33">
        <v>0</v>
      </c>
      <c r="L1818" s="1"/>
      <c r="M1818" s="1" t="str">
        <f>_xlfn.XLOOKUP(ocupacao[[#This Row],[UnidadeID]],unidades!$A:$A,unidades!$B:$B,"",0)</f>
        <v>Filial 2 - 10º</v>
      </c>
      <c r="N1818" s="1" t="str">
        <f>_xlfn.XLOOKUP(ocupacao[[#This Row],[UnidadeID]],unidades!$A:$A,unidades!$C:$C,"",0)</f>
        <v>Nova Iguaçu</v>
      </c>
      <c r="O1818" s="1" t="str">
        <f>_xlfn.XLOOKUP(ocupacao[[#This Row],[EspecialidadeID]],especialidades!$A:$A,especialidades!$B:$B,"",0)</f>
        <v>ELETROCARDIOGRAMA</v>
      </c>
      <c r="P1818" s="1" t="str">
        <f>TEXT(WEEKDAY(ocupacao[[#This Row],[Data]]),"ddd")</f>
        <v>seg</v>
      </c>
      <c r="Q1818" s="1">
        <f t="shared" si="28"/>
        <v>0</v>
      </c>
    </row>
    <row r="1819" spans="1:17" x14ac:dyDescent="0.25">
      <c r="A1819" s="2">
        <v>44753</v>
      </c>
      <c r="B1819">
        <v>18</v>
      </c>
      <c r="C1819">
        <v>32</v>
      </c>
      <c r="D1819">
        <v>77</v>
      </c>
      <c r="E1819">
        <v>17900</v>
      </c>
      <c r="F1819" s="1" t="s">
        <v>302</v>
      </c>
      <c r="G1819">
        <v>0</v>
      </c>
      <c r="H1819">
        <v>0</v>
      </c>
      <c r="I1819">
        <v>66</v>
      </c>
      <c r="J1819">
        <v>66</v>
      </c>
      <c r="K1819" s="33">
        <v>0</v>
      </c>
      <c r="L1819" s="1"/>
      <c r="M1819" s="1" t="str">
        <f>_xlfn.XLOOKUP(ocupacao[[#This Row],[UnidadeID]],unidades!$A:$A,unidades!$B:$B,"",0)</f>
        <v>Miguel Couto</v>
      </c>
      <c r="N1819" s="1" t="str">
        <f>_xlfn.XLOOKUP(ocupacao[[#This Row],[UnidadeID]],unidades!$A:$A,unidades!$C:$C,"",0)</f>
        <v>Miguel Couto</v>
      </c>
      <c r="O1819" s="1" t="str">
        <f>_xlfn.XLOOKUP(ocupacao[[#This Row],[EspecialidadeID]],especialidades!$A:$A,especialidades!$B:$B,"",0)</f>
        <v>ELETROCARDIOGRAMA</v>
      </c>
      <c r="P1819" s="1" t="str">
        <f>TEXT(WEEKDAY(ocupacao[[#This Row],[Data]]),"ddd")</f>
        <v>seg</v>
      </c>
      <c r="Q1819" s="1">
        <f t="shared" si="28"/>
        <v>0</v>
      </c>
    </row>
    <row r="1820" spans="1:17" x14ac:dyDescent="0.25">
      <c r="A1820" s="2">
        <v>44753</v>
      </c>
      <c r="B1820">
        <v>24</v>
      </c>
      <c r="C1820">
        <v>32</v>
      </c>
      <c r="D1820">
        <v>55</v>
      </c>
      <c r="E1820">
        <v>17901</v>
      </c>
      <c r="F1820" s="1" t="s">
        <v>303</v>
      </c>
      <c r="G1820">
        <v>0</v>
      </c>
      <c r="H1820">
        <v>0</v>
      </c>
      <c r="I1820">
        <v>66</v>
      </c>
      <c r="J1820">
        <v>66</v>
      </c>
      <c r="K1820" s="33">
        <v>0</v>
      </c>
      <c r="L1820" s="1"/>
      <c r="M1820" s="1" t="str">
        <f>_xlfn.XLOOKUP(ocupacao[[#This Row],[UnidadeID]],unidades!$A:$A,unidades!$B:$B,"",0)</f>
        <v>Nilópolis</v>
      </c>
      <c r="N1820" s="1" t="str">
        <f>_xlfn.XLOOKUP(ocupacao[[#This Row],[UnidadeID]],unidades!$A:$A,unidades!$C:$C,"",0)</f>
        <v>Nilópolis</v>
      </c>
      <c r="O1820" s="1" t="str">
        <f>_xlfn.XLOOKUP(ocupacao[[#This Row],[EspecialidadeID]],especialidades!$A:$A,especialidades!$B:$B,"",0)</f>
        <v>ELETROCARDIOGRAMA</v>
      </c>
      <c r="P1820" s="1" t="str">
        <f>TEXT(WEEKDAY(ocupacao[[#This Row],[Data]]),"ddd")</f>
        <v>seg</v>
      </c>
      <c r="Q1820" s="1">
        <f t="shared" si="28"/>
        <v>0</v>
      </c>
    </row>
    <row r="1821" spans="1:17" x14ac:dyDescent="0.25">
      <c r="A1821" s="2">
        <v>44753</v>
      </c>
      <c r="B1821">
        <v>34</v>
      </c>
      <c r="C1821">
        <v>32</v>
      </c>
      <c r="D1821">
        <v>380</v>
      </c>
      <c r="E1821">
        <v>17954</v>
      </c>
      <c r="F1821" s="1" t="s">
        <v>366</v>
      </c>
      <c r="G1821">
        <v>0</v>
      </c>
      <c r="H1821">
        <v>0</v>
      </c>
      <c r="I1821">
        <v>66</v>
      </c>
      <c r="J1821">
        <v>66</v>
      </c>
      <c r="K1821" s="33">
        <v>0</v>
      </c>
      <c r="L1821" s="1"/>
      <c r="M1821" s="1" t="str">
        <f>_xlfn.XLOOKUP(ocupacao[[#This Row],[UnidadeID]],unidades!$A:$A,unidades!$B:$B,"",0)</f>
        <v>São João</v>
      </c>
      <c r="N1821" s="1" t="str">
        <f>_xlfn.XLOOKUP(ocupacao[[#This Row],[UnidadeID]],unidades!$A:$A,unidades!$C:$C,"",0)</f>
        <v>São João de Meriti</v>
      </c>
      <c r="O1821" s="1" t="str">
        <f>_xlfn.XLOOKUP(ocupacao[[#This Row],[EspecialidadeID]],especialidades!$A:$A,especialidades!$B:$B,"",0)</f>
        <v>ELETROCARDIOGRAMA</v>
      </c>
      <c r="P1821" s="1" t="str">
        <f>TEXT(WEEKDAY(ocupacao[[#This Row],[Data]]),"ddd")</f>
        <v>seg</v>
      </c>
      <c r="Q1821" s="1">
        <f t="shared" si="28"/>
        <v>0</v>
      </c>
    </row>
    <row r="1822" spans="1:17" x14ac:dyDescent="0.25">
      <c r="A1822" s="2">
        <v>44754</v>
      </c>
      <c r="B1822">
        <v>0</v>
      </c>
      <c r="C1822">
        <v>32</v>
      </c>
      <c r="D1822">
        <v>35</v>
      </c>
      <c r="E1822">
        <v>17898</v>
      </c>
      <c r="F1822" s="1" t="s">
        <v>300</v>
      </c>
      <c r="G1822">
        <v>0</v>
      </c>
      <c r="H1822">
        <v>0</v>
      </c>
      <c r="I1822">
        <v>78</v>
      </c>
      <c r="J1822">
        <v>78</v>
      </c>
      <c r="K1822" s="33">
        <v>0</v>
      </c>
      <c r="L1822" s="1"/>
      <c r="M1822" s="1" t="str">
        <f>_xlfn.XLOOKUP(ocupacao[[#This Row],[UnidadeID]],unidades!$A:$A,unidades!$B:$B,"",0)</f>
        <v>Matriz</v>
      </c>
      <c r="N1822" s="1" t="str">
        <f>_xlfn.XLOOKUP(ocupacao[[#This Row],[UnidadeID]],unidades!$A:$A,unidades!$C:$C,"",0)</f>
        <v>Nova Iguaçu</v>
      </c>
      <c r="O1822" s="1" t="str">
        <f>_xlfn.XLOOKUP(ocupacao[[#This Row],[EspecialidadeID]],especialidades!$A:$A,especialidades!$B:$B,"",0)</f>
        <v>ELETROCARDIOGRAMA</v>
      </c>
      <c r="P1822" s="1" t="str">
        <f>TEXT(WEEKDAY(ocupacao[[#This Row],[Data]]),"ddd")</f>
        <v>ter</v>
      </c>
      <c r="Q1822" s="1">
        <f t="shared" si="28"/>
        <v>0</v>
      </c>
    </row>
    <row r="1823" spans="1:17" x14ac:dyDescent="0.25">
      <c r="A1823" s="2">
        <v>44754</v>
      </c>
      <c r="B1823">
        <v>10</v>
      </c>
      <c r="C1823">
        <v>32</v>
      </c>
      <c r="D1823">
        <v>4</v>
      </c>
      <c r="E1823">
        <v>17899</v>
      </c>
      <c r="F1823" s="1" t="s">
        <v>301</v>
      </c>
      <c r="G1823">
        <v>0</v>
      </c>
      <c r="H1823">
        <v>0</v>
      </c>
      <c r="I1823">
        <v>66</v>
      </c>
      <c r="J1823">
        <v>66</v>
      </c>
      <c r="K1823" s="33">
        <v>0</v>
      </c>
      <c r="L1823" s="1"/>
      <c r="M1823" s="1" t="str">
        <f>_xlfn.XLOOKUP(ocupacao[[#This Row],[UnidadeID]],unidades!$A:$A,unidades!$B:$B,"",0)</f>
        <v>Filial 2 - 10º</v>
      </c>
      <c r="N1823" s="1" t="str">
        <f>_xlfn.XLOOKUP(ocupacao[[#This Row],[UnidadeID]],unidades!$A:$A,unidades!$C:$C,"",0)</f>
        <v>Nova Iguaçu</v>
      </c>
      <c r="O1823" s="1" t="str">
        <f>_xlfn.XLOOKUP(ocupacao[[#This Row],[EspecialidadeID]],especialidades!$A:$A,especialidades!$B:$B,"",0)</f>
        <v>ELETROCARDIOGRAMA</v>
      </c>
      <c r="P1823" s="1" t="str">
        <f>TEXT(WEEKDAY(ocupacao[[#This Row],[Data]]),"ddd")</f>
        <v>ter</v>
      </c>
      <c r="Q1823" s="1">
        <f t="shared" si="28"/>
        <v>0</v>
      </c>
    </row>
    <row r="1824" spans="1:17" x14ac:dyDescent="0.25">
      <c r="A1824" s="2">
        <v>44754</v>
      </c>
      <c r="B1824">
        <v>18</v>
      </c>
      <c r="C1824">
        <v>32</v>
      </c>
      <c r="D1824">
        <v>77</v>
      </c>
      <c r="E1824">
        <v>17900</v>
      </c>
      <c r="F1824" s="1" t="s">
        <v>302</v>
      </c>
      <c r="G1824">
        <v>0</v>
      </c>
      <c r="H1824">
        <v>0</v>
      </c>
      <c r="I1824">
        <v>66</v>
      </c>
      <c r="J1824">
        <v>66</v>
      </c>
      <c r="K1824" s="33">
        <v>0</v>
      </c>
      <c r="L1824" s="1"/>
      <c r="M1824" s="1" t="str">
        <f>_xlfn.XLOOKUP(ocupacao[[#This Row],[UnidadeID]],unidades!$A:$A,unidades!$B:$B,"",0)</f>
        <v>Miguel Couto</v>
      </c>
      <c r="N1824" s="1" t="str">
        <f>_xlfn.XLOOKUP(ocupacao[[#This Row],[UnidadeID]],unidades!$A:$A,unidades!$C:$C,"",0)</f>
        <v>Miguel Couto</v>
      </c>
      <c r="O1824" s="1" t="str">
        <f>_xlfn.XLOOKUP(ocupacao[[#This Row],[EspecialidadeID]],especialidades!$A:$A,especialidades!$B:$B,"",0)</f>
        <v>ELETROCARDIOGRAMA</v>
      </c>
      <c r="P1824" s="1" t="str">
        <f>TEXT(WEEKDAY(ocupacao[[#This Row],[Data]]),"ddd")</f>
        <v>ter</v>
      </c>
      <c r="Q1824" s="1">
        <f t="shared" si="28"/>
        <v>0</v>
      </c>
    </row>
    <row r="1825" spans="1:17" x14ac:dyDescent="0.25">
      <c r="A1825" s="2">
        <v>44754</v>
      </c>
      <c r="B1825">
        <v>24</v>
      </c>
      <c r="C1825">
        <v>32</v>
      </c>
      <c r="D1825">
        <v>55</v>
      </c>
      <c r="E1825">
        <v>17901</v>
      </c>
      <c r="F1825" s="1" t="s">
        <v>303</v>
      </c>
      <c r="G1825">
        <v>0</v>
      </c>
      <c r="H1825">
        <v>0</v>
      </c>
      <c r="I1825">
        <v>66</v>
      </c>
      <c r="J1825">
        <v>66</v>
      </c>
      <c r="K1825" s="33">
        <v>0</v>
      </c>
      <c r="L1825" s="1"/>
      <c r="M1825" s="1" t="str">
        <f>_xlfn.XLOOKUP(ocupacao[[#This Row],[UnidadeID]],unidades!$A:$A,unidades!$B:$B,"",0)</f>
        <v>Nilópolis</v>
      </c>
      <c r="N1825" s="1" t="str">
        <f>_xlfn.XLOOKUP(ocupacao[[#This Row],[UnidadeID]],unidades!$A:$A,unidades!$C:$C,"",0)</f>
        <v>Nilópolis</v>
      </c>
      <c r="O1825" s="1" t="str">
        <f>_xlfn.XLOOKUP(ocupacao[[#This Row],[EspecialidadeID]],especialidades!$A:$A,especialidades!$B:$B,"",0)</f>
        <v>ELETROCARDIOGRAMA</v>
      </c>
      <c r="P1825" s="1" t="str">
        <f>TEXT(WEEKDAY(ocupacao[[#This Row],[Data]]),"ddd")</f>
        <v>ter</v>
      </c>
      <c r="Q1825" s="1">
        <f t="shared" si="28"/>
        <v>0</v>
      </c>
    </row>
    <row r="1826" spans="1:17" x14ac:dyDescent="0.25">
      <c r="A1826" s="2">
        <v>44754</v>
      </c>
      <c r="B1826">
        <v>34</v>
      </c>
      <c r="C1826">
        <v>32</v>
      </c>
      <c r="D1826">
        <v>380</v>
      </c>
      <c r="E1826">
        <v>17954</v>
      </c>
      <c r="F1826" s="1" t="s">
        <v>366</v>
      </c>
      <c r="G1826">
        <v>0</v>
      </c>
      <c r="H1826">
        <v>0</v>
      </c>
      <c r="I1826">
        <v>66</v>
      </c>
      <c r="J1826">
        <v>66</v>
      </c>
      <c r="K1826" s="33">
        <v>0</v>
      </c>
      <c r="L1826" s="1"/>
      <c r="M1826" s="1" t="str">
        <f>_xlfn.XLOOKUP(ocupacao[[#This Row],[UnidadeID]],unidades!$A:$A,unidades!$B:$B,"",0)</f>
        <v>São João</v>
      </c>
      <c r="N1826" s="1" t="str">
        <f>_xlfn.XLOOKUP(ocupacao[[#This Row],[UnidadeID]],unidades!$A:$A,unidades!$C:$C,"",0)</f>
        <v>São João de Meriti</v>
      </c>
      <c r="O1826" s="1" t="str">
        <f>_xlfn.XLOOKUP(ocupacao[[#This Row],[EspecialidadeID]],especialidades!$A:$A,especialidades!$B:$B,"",0)</f>
        <v>ELETROCARDIOGRAMA</v>
      </c>
      <c r="P1826" s="1" t="str">
        <f>TEXT(WEEKDAY(ocupacao[[#This Row],[Data]]),"ddd")</f>
        <v>ter</v>
      </c>
      <c r="Q1826" s="1">
        <f t="shared" si="28"/>
        <v>0</v>
      </c>
    </row>
    <row r="1827" spans="1:17" x14ac:dyDescent="0.25">
      <c r="A1827" s="2">
        <v>44755</v>
      </c>
      <c r="B1827">
        <v>0</v>
      </c>
      <c r="C1827">
        <v>32</v>
      </c>
      <c r="D1827">
        <v>35</v>
      </c>
      <c r="E1827">
        <v>17898</v>
      </c>
      <c r="F1827" s="1" t="s">
        <v>300</v>
      </c>
      <c r="G1827">
        <v>0</v>
      </c>
      <c r="H1827">
        <v>0</v>
      </c>
      <c r="I1827">
        <v>78</v>
      </c>
      <c r="J1827">
        <v>78</v>
      </c>
      <c r="K1827" s="33">
        <v>0</v>
      </c>
      <c r="L1827" s="1"/>
      <c r="M1827" s="1" t="str">
        <f>_xlfn.XLOOKUP(ocupacao[[#This Row],[UnidadeID]],unidades!$A:$A,unidades!$B:$B,"",0)</f>
        <v>Matriz</v>
      </c>
      <c r="N1827" s="1" t="str">
        <f>_xlfn.XLOOKUP(ocupacao[[#This Row],[UnidadeID]],unidades!$A:$A,unidades!$C:$C,"",0)</f>
        <v>Nova Iguaçu</v>
      </c>
      <c r="O1827" s="1" t="str">
        <f>_xlfn.XLOOKUP(ocupacao[[#This Row],[EspecialidadeID]],especialidades!$A:$A,especialidades!$B:$B,"",0)</f>
        <v>ELETROCARDIOGRAMA</v>
      </c>
      <c r="P1827" s="1" t="str">
        <f>TEXT(WEEKDAY(ocupacao[[#This Row],[Data]]),"ddd")</f>
        <v>qua</v>
      </c>
      <c r="Q1827" s="1">
        <f t="shared" si="28"/>
        <v>0</v>
      </c>
    </row>
    <row r="1828" spans="1:17" x14ac:dyDescent="0.25">
      <c r="A1828" s="2">
        <v>44755</v>
      </c>
      <c r="B1828">
        <v>10</v>
      </c>
      <c r="C1828">
        <v>32</v>
      </c>
      <c r="D1828">
        <v>4</v>
      </c>
      <c r="E1828">
        <v>17899</v>
      </c>
      <c r="F1828" s="1" t="s">
        <v>301</v>
      </c>
      <c r="G1828">
        <v>0</v>
      </c>
      <c r="H1828">
        <v>0</v>
      </c>
      <c r="I1828">
        <v>66</v>
      </c>
      <c r="J1828">
        <v>66</v>
      </c>
      <c r="K1828" s="33">
        <v>0</v>
      </c>
      <c r="L1828" s="1"/>
      <c r="M1828" s="1" t="str">
        <f>_xlfn.XLOOKUP(ocupacao[[#This Row],[UnidadeID]],unidades!$A:$A,unidades!$B:$B,"",0)</f>
        <v>Filial 2 - 10º</v>
      </c>
      <c r="N1828" s="1" t="str">
        <f>_xlfn.XLOOKUP(ocupacao[[#This Row],[UnidadeID]],unidades!$A:$A,unidades!$C:$C,"",0)</f>
        <v>Nova Iguaçu</v>
      </c>
      <c r="O1828" s="1" t="str">
        <f>_xlfn.XLOOKUP(ocupacao[[#This Row],[EspecialidadeID]],especialidades!$A:$A,especialidades!$B:$B,"",0)</f>
        <v>ELETROCARDIOGRAMA</v>
      </c>
      <c r="P1828" s="1" t="str">
        <f>TEXT(WEEKDAY(ocupacao[[#This Row],[Data]]),"ddd")</f>
        <v>qua</v>
      </c>
      <c r="Q1828" s="1">
        <f t="shared" si="28"/>
        <v>0</v>
      </c>
    </row>
    <row r="1829" spans="1:17" x14ac:dyDescent="0.25">
      <c r="A1829" s="2">
        <v>44755</v>
      </c>
      <c r="B1829">
        <v>18</v>
      </c>
      <c r="C1829">
        <v>32</v>
      </c>
      <c r="D1829">
        <v>77</v>
      </c>
      <c r="E1829">
        <v>17900</v>
      </c>
      <c r="F1829" s="1" t="s">
        <v>302</v>
      </c>
      <c r="G1829">
        <v>0</v>
      </c>
      <c r="H1829">
        <v>0</v>
      </c>
      <c r="I1829">
        <v>66</v>
      </c>
      <c r="J1829">
        <v>66</v>
      </c>
      <c r="K1829" s="33">
        <v>0</v>
      </c>
      <c r="L1829" s="1"/>
      <c r="M1829" s="1" t="str">
        <f>_xlfn.XLOOKUP(ocupacao[[#This Row],[UnidadeID]],unidades!$A:$A,unidades!$B:$B,"",0)</f>
        <v>Miguel Couto</v>
      </c>
      <c r="N1829" s="1" t="str">
        <f>_xlfn.XLOOKUP(ocupacao[[#This Row],[UnidadeID]],unidades!$A:$A,unidades!$C:$C,"",0)</f>
        <v>Miguel Couto</v>
      </c>
      <c r="O1829" s="1" t="str">
        <f>_xlfn.XLOOKUP(ocupacao[[#This Row],[EspecialidadeID]],especialidades!$A:$A,especialidades!$B:$B,"",0)</f>
        <v>ELETROCARDIOGRAMA</v>
      </c>
      <c r="P1829" s="1" t="str">
        <f>TEXT(WEEKDAY(ocupacao[[#This Row],[Data]]),"ddd")</f>
        <v>qua</v>
      </c>
      <c r="Q1829" s="1">
        <f t="shared" si="28"/>
        <v>0</v>
      </c>
    </row>
    <row r="1830" spans="1:17" x14ac:dyDescent="0.25">
      <c r="A1830" s="2">
        <v>44755</v>
      </c>
      <c r="B1830">
        <v>24</v>
      </c>
      <c r="C1830">
        <v>32</v>
      </c>
      <c r="D1830">
        <v>55</v>
      </c>
      <c r="E1830">
        <v>17901</v>
      </c>
      <c r="F1830" s="1" t="s">
        <v>303</v>
      </c>
      <c r="G1830">
        <v>0</v>
      </c>
      <c r="H1830">
        <v>0</v>
      </c>
      <c r="I1830">
        <v>66</v>
      </c>
      <c r="J1830">
        <v>66</v>
      </c>
      <c r="K1830" s="33">
        <v>0</v>
      </c>
      <c r="L1830" s="1"/>
      <c r="M1830" s="1" t="str">
        <f>_xlfn.XLOOKUP(ocupacao[[#This Row],[UnidadeID]],unidades!$A:$A,unidades!$B:$B,"",0)</f>
        <v>Nilópolis</v>
      </c>
      <c r="N1830" s="1" t="str">
        <f>_xlfn.XLOOKUP(ocupacao[[#This Row],[UnidadeID]],unidades!$A:$A,unidades!$C:$C,"",0)</f>
        <v>Nilópolis</v>
      </c>
      <c r="O1830" s="1" t="str">
        <f>_xlfn.XLOOKUP(ocupacao[[#This Row],[EspecialidadeID]],especialidades!$A:$A,especialidades!$B:$B,"",0)</f>
        <v>ELETROCARDIOGRAMA</v>
      </c>
      <c r="P1830" s="1" t="str">
        <f>TEXT(WEEKDAY(ocupacao[[#This Row],[Data]]),"ddd")</f>
        <v>qua</v>
      </c>
      <c r="Q1830" s="1">
        <f t="shared" si="28"/>
        <v>0</v>
      </c>
    </row>
    <row r="1831" spans="1:17" x14ac:dyDescent="0.25">
      <c r="A1831" s="2">
        <v>44755</v>
      </c>
      <c r="B1831">
        <v>34</v>
      </c>
      <c r="C1831">
        <v>32</v>
      </c>
      <c r="D1831">
        <v>380</v>
      </c>
      <c r="E1831">
        <v>17954</v>
      </c>
      <c r="F1831" s="1" t="s">
        <v>366</v>
      </c>
      <c r="G1831">
        <v>0</v>
      </c>
      <c r="H1831">
        <v>0</v>
      </c>
      <c r="I1831">
        <v>66</v>
      </c>
      <c r="J1831">
        <v>66</v>
      </c>
      <c r="K1831" s="33">
        <v>0</v>
      </c>
      <c r="L1831" s="1"/>
      <c r="M1831" s="1" t="str">
        <f>_xlfn.XLOOKUP(ocupacao[[#This Row],[UnidadeID]],unidades!$A:$A,unidades!$B:$B,"",0)</f>
        <v>São João</v>
      </c>
      <c r="N1831" s="1" t="str">
        <f>_xlfn.XLOOKUP(ocupacao[[#This Row],[UnidadeID]],unidades!$A:$A,unidades!$C:$C,"",0)</f>
        <v>São João de Meriti</v>
      </c>
      <c r="O1831" s="1" t="str">
        <f>_xlfn.XLOOKUP(ocupacao[[#This Row],[EspecialidadeID]],especialidades!$A:$A,especialidades!$B:$B,"",0)</f>
        <v>ELETROCARDIOGRAMA</v>
      </c>
      <c r="P1831" s="1" t="str">
        <f>TEXT(WEEKDAY(ocupacao[[#This Row],[Data]]),"ddd")</f>
        <v>qua</v>
      </c>
      <c r="Q1831" s="1">
        <f t="shared" si="28"/>
        <v>0</v>
      </c>
    </row>
    <row r="1832" spans="1:17" x14ac:dyDescent="0.25">
      <c r="A1832" s="2">
        <v>44756</v>
      </c>
      <c r="B1832">
        <v>0</v>
      </c>
      <c r="C1832">
        <v>32</v>
      </c>
      <c r="D1832">
        <v>35</v>
      </c>
      <c r="E1832">
        <v>17898</v>
      </c>
      <c r="F1832" s="1" t="s">
        <v>300</v>
      </c>
      <c r="G1832">
        <v>0</v>
      </c>
      <c r="H1832">
        <v>0</v>
      </c>
      <c r="I1832">
        <v>78</v>
      </c>
      <c r="J1832">
        <v>78</v>
      </c>
      <c r="K1832" s="33">
        <v>0</v>
      </c>
      <c r="L1832" s="1"/>
      <c r="M1832" s="1" t="str">
        <f>_xlfn.XLOOKUP(ocupacao[[#This Row],[UnidadeID]],unidades!$A:$A,unidades!$B:$B,"",0)</f>
        <v>Matriz</v>
      </c>
      <c r="N1832" s="1" t="str">
        <f>_xlfn.XLOOKUP(ocupacao[[#This Row],[UnidadeID]],unidades!$A:$A,unidades!$C:$C,"",0)</f>
        <v>Nova Iguaçu</v>
      </c>
      <c r="O1832" s="1" t="str">
        <f>_xlfn.XLOOKUP(ocupacao[[#This Row],[EspecialidadeID]],especialidades!$A:$A,especialidades!$B:$B,"",0)</f>
        <v>ELETROCARDIOGRAMA</v>
      </c>
      <c r="P1832" s="1" t="str">
        <f>TEXT(WEEKDAY(ocupacao[[#This Row],[Data]]),"ddd")</f>
        <v>qui</v>
      </c>
      <c r="Q1832" s="1">
        <f t="shared" si="28"/>
        <v>0</v>
      </c>
    </row>
    <row r="1833" spans="1:17" x14ac:dyDescent="0.25">
      <c r="A1833" s="2">
        <v>44756</v>
      </c>
      <c r="B1833">
        <v>10</v>
      </c>
      <c r="C1833">
        <v>32</v>
      </c>
      <c r="D1833">
        <v>4</v>
      </c>
      <c r="E1833">
        <v>17899</v>
      </c>
      <c r="F1833" s="1" t="s">
        <v>301</v>
      </c>
      <c r="G1833">
        <v>0</v>
      </c>
      <c r="H1833">
        <v>0</v>
      </c>
      <c r="I1833">
        <v>66</v>
      </c>
      <c r="J1833">
        <v>66</v>
      </c>
      <c r="K1833" s="33">
        <v>0</v>
      </c>
      <c r="L1833" s="1"/>
      <c r="M1833" s="1" t="str">
        <f>_xlfn.XLOOKUP(ocupacao[[#This Row],[UnidadeID]],unidades!$A:$A,unidades!$B:$B,"",0)</f>
        <v>Filial 2 - 10º</v>
      </c>
      <c r="N1833" s="1" t="str">
        <f>_xlfn.XLOOKUP(ocupacao[[#This Row],[UnidadeID]],unidades!$A:$A,unidades!$C:$C,"",0)</f>
        <v>Nova Iguaçu</v>
      </c>
      <c r="O1833" s="1" t="str">
        <f>_xlfn.XLOOKUP(ocupacao[[#This Row],[EspecialidadeID]],especialidades!$A:$A,especialidades!$B:$B,"",0)</f>
        <v>ELETROCARDIOGRAMA</v>
      </c>
      <c r="P1833" s="1" t="str">
        <f>TEXT(WEEKDAY(ocupacao[[#This Row],[Data]]),"ddd")</f>
        <v>qui</v>
      </c>
      <c r="Q1833" s="1">
        <f t="shared" si="28"/>
        <v>0</v>
      </c>
    </row>
    <row r="1834" spans="1:17" x14ac:dyDescent="0.25">
      <c r="A1834" s="2">
        <v>44756</v>
      </c>
      <c r="B1834">
        <v>18</v>
      </c>
      <c r="C1834">
        <v>32</v>
      </c>
      <c r="D1834">
        <v>77</v>
      </c>
      <c r="E1834">
        <v>17900</v>
      </c>
      <c r="F1834" s="1" t="s">
        <v>302</v>
      </c>
      <c r="G1834">
        <v>0</v>
      </c>
      <c r="H1834">
        <v>0</v>
      </c>
      <c r="I1834">
        <v>66</v>
      </c>
      <c r="J1834">
        <v>66</v>
      </c>
      <c r="K1834" s="33">
        <v>0</v>
      </c>
      <c r="L1834" s="1"/>
      <c r="M1834" s="1" t="str">
        <f>_xlfn.XLOOKUP(ocupacao[[#This Row],[UnidadeID]],unidades!$A:$A,unidades!$B:$B,"",0)</f>
        <v>Miguel Couto</v>
      </c>
      <c r="N1834" s="1" t="str">
        <f>_xlfn.XLOOKUP(ocupacao[[#This Row],[UnidadeID]],unidades!$A:$A,unidades!$C:$C,"",0)</f>
        <v>Miguel Couto</v>
      </c>
      <c r="O1834" s="1" t="str">
        <f>_xlfn.XLOOKUP(ocupacao[[#This Row],[EspecialidadeID]],especialidades!$A:$A,especialidades!$B:$B,"",0)</f>
        <v>ELETROCARDIOGRAMA</v>
      </c>
      <c r="P1834" s="1" t="str">
        <f>TEXT(WEEKDAY(ocupacao[[#This Row],[Data]]),"ddd")</f>
        <v>qui</v>
      </c>
      <c r="Q1834" s="1">
        <f t="shared" si="28"/>
        <v>0</v>
      </c>
    </row>
    <row r="1835" spans="1:17" x14ac:dyDescent="0.25">
      <c r="A1835" s="2">
        <v>44756</v>
      </c>
      <c r="B1835">
        <v>24</v>
      </c>
      <c r="C1835">
        <v>32</v>
      </c>
      <c r="D1835">
        <v>55</v>
      </c>
      <c r="E1835">
        <v>17901</v>
      </c>
      <c r="F1835" s="1" t="s">
        <v>303</v>
      </c>
      <c r="G1835">
        <v>0</v>
      </c>
      <c r="H1835">
        <v>0</v>
      </c>
      <c r="I1835">
        <v>66</v>
      </c>
      <c r="J1835">
        <v>66</v>
      </c>
      <c r="K1835" s="33">
        <v>0</v>
      </c>
      <c r="L1835" s="1"/>
      <c r="M1835" s="1" t="str">
        <f>_xlfn.XLOOKUP(ocupacao[[#This Row],[UnidadeID]],unidades!$A:$A,unidades!$B:$B,"",0)</f>
        <v>Nilópolis</v>
      </c>
      <c r="N1835" s="1" t="str">
        <f>_xlfn.XLOOKUP(ocupacao[[#This Row],[UnidadeID]],unidades!$A:$A,unidades!$C:$C,"",0)</f>
        <v>Nilópolis</v>
      </c>
      <c r="O1835" s="1" t="str">
        <f>_xlfn.XLOOKUP(ocupacao[[#This Row],[EspecialidadeID]],especialidades!$A:$A,especialidades!$B:$B,"",0)</f>
        <v>ELETROCARDIOGRAMA</v>
      </c>
      <c r="P1835" s="1" t="str">
        <f>TEXT(WEEKDAY(ocupacao[[#This Row],[Data]]),"ddd")</f>
        <v>qui</v>
      </c>
      <c r="Q1835" s="1">
        <f t="shared" si="28"/>
        <v>0</v>
      </c>
    </row>
    <row r="1836" spans="1:17" hidden="1" x14ac:dyDescent="0.25">
      <c r="A1836" s="2">
        <v>44756</v>
      </c>
      <c r="B1836">
        <v>34</v>
      </c>
      <c r="C1836">
        <v>32</v>
      </c>
      <c r="D1836">
        <v>380</v>
      </c>
      <c r="E1836">
        <v>17954</v>
      </c>
      <c r="F1836" s="1" t="s">
        <v>366</v>
      </c>
      <c r="G1836">
        <v>0</v>
      </c>
      <c r="H1836">
        <v>0</v>
      </c>
      <c r="I1836">
        <v>66</v>
      </c>
      <c r="J1836">
        <v>66</v>
      </c>
      <c r="K1836" s="33">
        <v>0</v>
      </c>
      <c r="L1836" s="1"/>
      <c r="M1836" s="1"/>
      <c r="N1836" s="1"/>
      <c r="O1836" s="1"/>
      <c r="P1836" s="1"/>
      <c r="Q1836" s="1"/>
    </row>
    <row r="1837" spans="1:17" x14ac:dyDescent="0.25">
      <c r="A1837" s="2"/>
      <c r="F1837" s="1" t="s">
        <v>106</v>
      </c>
      <c r="K1837" s="33"/>
      <c r="L1837" s="1"/>
      <c r="M1837" s="1">
        <f>_xlfn.XLOOKUP(ocupacao[[#This Row],[UnidadeID]],unidades!$A:$A,unidades!$B:$B,"",0)</f>
        <v>0</v>
      </c>
      <c r="N1837" s="1">
        <f>_xlfn.XLOOKUP(ocupacao[[#This Row],[UnidadeID]],unidades!$A:$A,unidades!$C:$C,"",0)</f>
        <v>0</v>
      </c>
      <c r="O1837" s="1">
        <f>_xlfn.XLOOKUP(ocupacao[[#This Row],[EspecialidadeID]],especialidades!$A:$A,especialidades!$B:$B,"",0)</f>
        <v>0</v>
      </c>
      <c r="P1837" s="1" t="str">
        <f>TEXT(WEEKDAY(ocupacao[[#This Row],[Data]]),"ddd")</f>
        <v>sáb</v>
      </c>
      <c r="Q1837" s="1">
        <f t="shared" si="28"/>
        <v>0</v>
      </c>
    </row>
    <row r="1838" spans="1:17" hidden="1" x14ac:dyDescent="0.25">
      <c r="A1838" s="2"/>
      <c r="F1838" s="1"/>
      <c r="K1838" s="33"/>
      <c r="L1838" s="1"/>
      <c r="M1838" s="1"/>
      <c r="N1838" s="1"/>
      <c r="O1838" s="1"/>
      <c r="P1838" s="1"/>
      <c r="Q1838" s="1"/>
    </row>
    <row r="1839" spans="1:17" x14ac:dyDescent="0.25">
      <c r="A1839" s="2">
        <v>44746</v>
      </c>
      <c r="B1839">
        <v>22</v>
      </c>
      <c r="C1839">
        <v>33</v>
      </c>
      <c r="D1839">
        <v>49</v>
      </c>
      <c r="E1839">
        <v>13249</v>
      </c>
      <c r="F1839" s="1" t="s">
        <v>128</v>
      </c>
      <c r="G1839">
        <v>0</v>
      </c>
      <c r="H1839">
        <v>11</v>
      </c>
      <c r="I1839">
        <v>4</v>
      </c>
      <c r="J1839">
        <v>15</v>
      </c>
      <c r="K1839" s="33">
        <v>0.73329999999999995</v>
      </c>
      <c r="L1839" s="1"/>
      <c r="M1839" s="1" t="str">
        <f>_xlfn.XLOOKUP(ocupacao[[#This Row],[UnidadeID]],unidades!$A:$A,unidades!$B:$B,"",0)</f>
        <v>Filial 1</v>
      </c>
      <c r="N1839" s="1" t="str">
        <f>_xlfn.XLOOKUP(ocupacao[[#This Row],[UnidadeID]],unidades!$A:$A,unidades!$C:$C,"",0)</f>
        <v>Nova Iguaçu</v>
      </c>
      <c r="O1839" s="1" t="str">
        <f>_xlfn.XLOOKUP(ocupacao[[#This Row],[EspecialidadeID]],especialidades!$A:$A,especialidades!$B:$B,"",0)</f>
        <v>PSICOLOGIA</v>
      </c>
      <c r="P1839" s="1" t="str">
        <f>TEXT(WEEKDAY(ocupacao[[#This Row],[Data]]),"ddd")</f>
        <v>seg</v>
      </c>
      <c r="Q1839" s="1">
        <f t="shared" si="28"/>
        <v>0</v>
      </c>
    </row>
    <row r="1840" spans="1:17" x14ac:dyDescent="0.25">
      <c r="A1840" s="2">
        <v>44746</v>
      </c>
      <c r="B1840">
        <v>22</v>
      </c>
      <c r="C1840">
        <v>33</v>
      </c>
      <c r="D1840">
        <v>47</v>
      </c>
      <c r="E1840">
        <v>17878</v>
      </c>
      <c r="F1840" s="1" t="s">
        <v>129</v>
      </c>
      <c r="G1840">
        <v>0</v>
      </c>
      <c r="H1840">
        <v>7</v>
      </c>
      <c r="I1840">
        <v>0</v>
      </c>
      <c r="J1840">
        <v>7</v>
      </c>
      <c r="K1840" s="33">
        <v>1</v>
      </c>
      <c r="L1840" s="1"/>
      <c r="M1840" s="1" t="str">
        <f>_xlfn.XLOOKUP(ocupacao[[#This Row],[UnidadeID]],unidades!$A:$A,unidades!$B:$B,"",0)</f>
        <v>Filial 1</v>
      </c>
      <c r="N1840" s="1" t="str">
        <f>_xlfn.XLOOKUP(ocupacao[[#This Row],[UnidadeID]],unidades!$A:$A,unidades!$C:$C,"",0)</f>
        <v>Nova Iguaçu</v>
      </c>
      <c r="O1840" s="1" t="str">
        <f>_xlfn.XLOOKUP(ocupacao[[#This Row],[EspecialidadeID]],especialidades!$A:$A,especialidades!$B:$B,"",0)</f>
        <v>PSICOLOGIA</v>
      </c>
      <c r="P1840" s="1" t="str">
        <f>TEXT(WEEKDAY(ocupacao[[#This Row],[Data]]),"ddd")</f>
        <v>seg</v>
      </c>
      <c r="Q1840" s="1">
        <f t="shared" si="28"/>
        <v>0</v>
      </c>
    </row>
    <row r="1841" spans="1:17" hidden="1" x14ac:dyDescent="0.25">
      <c r="A1841" s="2"/>
      <c r="F1841" s="1"/>
      <c r="K1841" s="33"/>
      <c r="L1841" s="1"/>
      <c r="M1841" s="1"/>
      <c r="N1841" s="1"/>
      <c r="O1841" s="1"/>
      <c r="P1841" s="1"/>
      <c r="Q1841" s="1"/>
    </row>
    <row r="1842" spans="1:17" x14ac:dyDescent="0.25">
      <c r="A1842" s="2">
        <v>44747</v>
      </c>
      <c r="B1842">
        <v>22</v>
      </c>
      <c r="C1842">
        <v>33</v>
      </c>
      <c r="D1842">
        <v>44</v>
      </c>
      <c r="E1842">
        <v>13249</v>
      </c>
      <c r="F1842" s="1" t="s">
        <v>128</v>
      </c>
      <c r="G1842">
        <v>0</v>
      </c>
      <c r="H1842">
        <v>4</v>
      </c>
      <c r="I1842">
        <v>11</v>
      </c>
      <c r="J1842">
        <v>15</v>
      </c>
      <c r="K1842" s="33">
        <v>0.26669999999999999</v>
      </c>
      <c r="L1842" s="1"/>
      <c r="M1842" s="1" t="str">
        <f>_xlfn.XLOOKUP(ocupacao[[#This Row],[UnidadeID]],unidades!$A:$A,unidades!$B:$B,"",0)</f>
        <v>Filial 1</v>
      </c>
      <c r="N1842" s="1" t="str">
        <f>_xlfn.XLOOKUP(ocupacao[[#This Row],[UnidadeID]],unidades!$A:$A,unidades!$C:$C,"",0)</f>
        <v>Nova Iguaçu</v>
      </c>
      <c r="O1842" s="1" t="str">
        <f>_xlfn.XLOOKUP(ocupacao[[#This Row],[EspecialidadeID]],especialidades!$A:$A,especialidades!$B:$B,"",0)</f>
        <v>PSICOLOGIA</v>
      </c>
      <c r="P1842" s="1" t="str">
        <f>TEXT(WEEKDAY(ocupacao[[#This Row],[Data]]),"ddd")</f>
        <v>ter</v>
      </c>
      <c r="Q1842" s="1">
        <f t="shared" si="28"/>
        <v>0</v>
      </c>
    </row>
    <row r="1843" spans="1:17" hidden="1" x14ac:dyDescent="0.25">
      <c r="A1843" s="2"/>
      <c r="F1843" s="1"/>
      <c r="K1843" s="33"/>
      <c r="L1843" s="1"/>
      <c r="M1843" s="1"/>
      <c r="N1843" s="1"/>
      <c r="O1843" s="1"/>
      <c r="P1843" s="1"/>
      <c r="Q1843" s="1"/>
    </row>
    <row r="1844" spans="1:17" hidden="1" x14ac:dyDescent="0.25">
      <c r="A1844" s="2"/>
      <c r="F1844" s="1"/>
      <c r="K1844" s="33"/>
      <c r="L1844" s="1"/>
      <c r="M1844" s="1"/>
      <c r="N1844" s="1"/>
      <c r="O1844" s="1"/>
      <c r="P1844" s="1"/>
      <c r="Q1844" s="1"/>
    </row>
    <row r="1845" spans="1:17" x14ac:dyDescent="0.25">
      <c r="A1845" s="2">
        <v>44748</v>
      </c>
      <c r="B1845">
        <v>24</v>
      </c>
      <c r="C1845">
        <v>33</v>
      </c>
      <c r="D1845">
        <v>63</v>
      </c>
      <c r="E1845">
        <v>17878</v>
      </c>
      <c r="F1845" s="1" t="s">
        <v>129</v>
      </c>
      <c r="G1845">
        <v>0</v>
      </c>
      <c r="H1845">
        <v>2</v>
      </c>
      <c r="I1845">
        <v>11</v>
      </c>
      <c r="J1845">
        <v>13</v>
      </c>
      <c r="K1845" s="33">
        <v>0.15379999999999999</v>
      </c>
      <c r="L1845" s="1"/>
      <c r="M1845" s="1" t="str">
        <f>_xlfn.XLOOKUP(ocupacao[[#This Row],[UnidadeID]],unidades!$A:$A,unidades!$B:$B,"",0)</f>
        <v>Nilópolis</v>
      </c>
      <c r="N1845" s="1" t="str">
        <f>_xlfn.XLOOKUP(ocupacao[[#This Row],[UnidadeID]],unidades!$A:$A,unidades!$C:$C,"",0)</f>
        <v>Nilópolis</v>
      </c>
      <c r="O1845" s="1" t="str">
        <f>_xlfn.XLOOKUP(ocupacao[[#This Row],[EspecialidadeID]],especialidades!$A:$A,especialidades!$B:$B,"",0)</f>
        <v>PSICOLOGIA</v>
      </c>
      <c r="P1845" s="1" t="str">
        <f>TEXT(WEEKDAY(ocupacao[[#This Row],[Data]]),"ddd")</f>
        <v>qua</v>
      </c>
      <c r="Q1845" s="1">
        <f t="shared" si="28"/>
        <v>0</v>
      </c>
    </row>
    <row r="1846" spans="1:17" hidden="1" x14ac:dyDescent="0.25">
      <c r="A1846" s="2"/>
      <c r="F1846" s="1"/>
      <c r="K1846" s="33"/>
      <c r="L1846" s="1"/>
      <c r="M1846" s="1"/>
      <c r="N1846" s="1"/>
      <c r="O1846" s="1"/>
      <c r="P1846" s="1"/>
      <c r="Q1846" s="1"/>
    </row>
    <row r="1847" spans="1:17" x14ac:dyDescent="0.25">
      <c r="A1847" s="2">
        <v>44749</v>
      </c>
      <c r="B1847">
        <v>18</v>
      </c>
      <c r="C1847">
        <v>33</v>
      </c>
      <c r="D1847">
        <v>78</v>
      </c>
      <c r="E1847">
        <v>13249</v>
      </c>
      <c r="F1847" s="1" t="s">
        <v>128</v>
      </c>
      <c r="G1847">
        <v>0</v>
      </c>
      <c r="H1847">
        <v>2</v>
      </c>
      <c r="I1847">
        <v>8</v>
      </c>
      <c r="J1847">
        <v>10</v>
      </c>
      <c r="K1847" s="33">
        <v>0.2</v>
      </c>
      <c r="L1847" s="1"/>
      <c r="M1847" s="1" t="str">
        <f>_xlfn.XLOOKUP(ocupacao[[#This Row],[UnidadeID]],unidades!$A:$A,unidades!$B:$B,"",0)</f>
        <v>Miguel Couto</v>
      </c>
      <c r="N1847" s="1" t="str">
        <f>_xlfn.XLOOKUP(ocupacao[[#This Row],[UnidadeID]],unidades!$A:$A,unidades!$C:$C,"",0)</f>
        <v>Miguel Couto</v>
      </c>
      <c r="O1847" s="1" t="str">
        <f>_xlfn.XLOOKUP(ocupacao[[#This Row],[EspecialidadeID]],especialidades!$A:$A,especialidades!$B:$B,"",0)</f>
        <v>PSICOLOGIA</v>
      </c>
      <c r="P1847" s="1" t="str">
        <f>TEXT(WEEKDAY(ocupacao[[#This Row],[Data]]),"ddd")</f>
        <v>qui</v>
      </c>
      <c r="Q1847" s="1">
        <f t="shared" si="28"/>
        <v>0</v>
      </c>
    </row>
    <row r="1848" spans="1:17" hidden="1" x14ac:dyDescent="0.25">
      <c r="A1848" s="2"/>
      <c r="F1848" s="1"/>
      <c r="K1848" s="33"/>
      <c r="L1848" s="1"/>
      <c r="M1848" s="1"/>
      <c r="N1848" s="1"/>
      <c r="O1848" s="1"/>
      <c r="P1848" s="1"/>
      <c r="Q1848" s="1"/>
    </row>
    <row r="1849" spans="1:17" x14ac:dyDescent="0.25">
      <c r="A1849" s="2">
        <v>44750</v>
      </c>
      <c r="B1849">
        <v>24</v>
      </c>
      <c r="C1849">
        <v>33</v>
      </c>
      <c r="D1849">
        <v>66</v>
      </c>
      <c r="E1849">
        <v>13249</v>
      </c>
      <c r="F1849" s="1" t="s">
        <v>128</v>
      </c>
      <c r="G1849">
        <v>0</v>
      </c>
      <c r="H1849">
        <v>1</v>
      </c>
      <c r="I1849">
        <v>12</v>
      </c>
      <c r="J1849">
        <v>13</v>
      </c>
      <c r="K1849" s="33">
        <v>7.6899999999999996E-2</v>
      </c>
      <c r="L1849" s="1"/>
      <c r="M1849" s="1" t="str">
        <f>_xlfn.XLOOKUP(ocupacao[[#This Row],[UnidadeID]],unidades!$A:$A,unidades!$B:$B,"",0)</f>
        <v>Nilópolis</v>
      </c>
      <c r="N1849" s="1" t="str">
        <f>_xlfn.XLOOKUP(ocupacao[[#This Row],[UnidadeID]],unidades!$A:$A,unidades!$C:$C,"",0)</f>
        <v>Nilópolis</v>
      </c>
      <c r="O1849" s="1" t="str">
        <f>_xlfn.XLOOKUP(ocupacao[[#This Row],[EspecialidadeID]],especialidades!$A:$A,especialidades!$B:$B,"",0)</f>
        <v>PSICOLOGIA</v>
      </c>
      <c r="P1849" s="1" t="str">
        <f>TEXT(WEEKDAY(ocupacao[[#This Row],[Data]]),"ddd")</f>
        <v>sex</v>
      </c>
      <c r="Q1849" s="1">
        <f t="shared" si="28"/>
        <v>0</v>
      </c>
    </row>
    <row r="1850" spans="1:17" hidden="1" x14ac:dyDescent="0.25">
      <c r="A1850" s="2"/>
      <c r="F1850" s="1"/>
      <c r="K1850" s="33"/>
      <c r="L1850" s="1"/>
      <c r="M1850" s="1"/>
      <c r="N1850" s="1"/>
      <c r="O1850" s="1"/>
      <c r="P1850" s="1"/>
      <c r="Q1850" s="1"/>
    </row>
    <row r="1851" spans="1:17" x14ac:dyDescent="0.25">
      <c r="A1851" s="2">
        <v>44753</v>
      </c>
      <c r="B1851">
        <v>22</v>
      </c>
      <c r="C1851">
        <v>33</v>
      </c>
      <c r="D1851">
        <v>49</v>
      </c>
      <c r="E1851">
        <v>13249</v>
      </c>
      <c r="F1851" s="1" t="s">
        <v>128</v>
      </c>
      <c r="G1851">
        <v>0</v>
      </c>
      <c r="H1851">
        <v>5</v>
      </c>
      <c r="I1851">
        <v>10</v>
      </c>
      <c r="J1851">
        <v>15</v>
      </c>
      <c r="K1851" s="33">
        <v>0.33329999999999999</v>
      </c>
      <c r="L1851" s="1"/>
      <c r="M1851" s="1" t="str">
        <f>_xlfn.XLOOKUP(ocupacao[[#This Row],[UnidadeID]],unidades!$A:$A,unidades!$B:$B,"",0)</f>
        <v>Filial 1</v>
      </c>
      <c r="N1851" s="1" t="str">
        <f>_xlfn.XLOOKUP(ocupacao[[#This Row],[UnidadeID]],unidades!$A:$A,unidades!$C:$C,"",0)</f>
        <v>Nova Iguaçu</v>
      </c>
      <c r="O1851" s="1" t="str">
        <f>_xlfn.XLOOKUP(ocupacao[[#This Row],[EspecialidadeID]],especialidades!$A:$A,especialidades!$B:$B,"",0)</f>
        <v>PSICOLOGIA</v>
      </c>
      <c r="P1851" s="1" t="str">
        <f>TEXT(WEEKDAY(ocupacao[[#This Row],[Data]]),"ddd")</f>
        <v>seg</v>
      </c>
      <c r="Q1851" s="1">
        <f t="shared" si="28"/>
        <v>0</v>
      </c>
    </row>
    <row r="1852" spans="1:17" x14ac:dyDescent="0.25">
      <c r="A1852" s="2">
        <v>44753</v>
      </c>
      <c r="B1852">
        <v>22</v>
      </c>
      <c r="C1852">
        <v>33</v>
      </c>
      <c r="D1852">
        <v>47</v>
      </c>
      <c r="E1852">
        <v>17878</v>
      </c>
      <c r="F1852" s="1" t="s">
        <v>129</v>
      </c>
      <c r="G1852">
        <v>0</v>
      </c>
      <c r="H1852">
        <v>5</v>
      </c>
      <c r="I1852">
        <v>2</v>
      </c>
      <c r="J1852">
        <v>7</v>
      </c>
      <c r="K1852" s="33">
        <v>0.71430000000000005</v>
      </c>
      <c r="L1852" s="1"/>
      <c r="M1852" s="1" t="str">
        <f>_xlfn.XLOOKUP(ocupacao[[#This Row],[UnidadeID]],unidades!$A:$A,unidades!$B:$B,"",0)</f>
        <v>Filial 1</v>
      </c>
      <c r="N1852" s="1" t="str">
        <f>_xlfn.XLOOKUP(ocupacao[[#This Row],[UnidadeID]],unidades!$A:$A,unidades!$C:$C,"",0)</f>
        <v>Nova Iguaçu</v>
      </c>
      <c r="O1852" s="1" t="str">
        <f>_xlfn.XLOOKUP(ocupacao[[#This Row],[EspecialidadeID]],especialidades!$A:$A,especialidades!$B:$B,"",0)</f>
        <v>PSICOLOGIA</v>
      </c>
      <c r="P1852" s="1" t="str">
        <f>TEXT(WEEKDAY(ocupacao[[#This Row],[Data]]),"ddd")</f>
        <v>seg</v>
      </c>
      <c r="Q1852" s="1">
        <f t="shared" si="28"/>
        <v>0</v>
      </c>
    </row>
    <row r="1853" spans="1:17" hidden="1" x14ac:dyDescent="0.25">
      <c r="A1853" s="2">
        <v>44754</v>
      </c>
      <c r="B1853">
        <v>22</v>
      </c>
      <c r="C1853">
        <v>33</v>
      </c>
      <c r="D1853">
        <v>44</v>
      </c>
      <c r="E1853">
        <v>13249</v>
      </c>
      <c r="F1853" s="1" t="s">
        <v>128</v>
      </c>
      <c r="G1853">
        <v>0</v>
      </c>
      <c r="H1853">
        <v>0</v>
      </c>
      <c r="I1853">
        <v>14</v>
      </c>
      <c r="J1853">
        <v>14</v>
      </c>
      <c r="K1853" s="33">
        <v>0</v>
      </c>
      <c r="L1853" s="1"/>
      <c r="M1853" s="1"/>
      <c r="N1853" s="1"/>
      <c r="O1853" s="1"/>
      <c r="P1853" s="1"/>
      <c r="Q1853" s="1"/>
    </row>
    <row r="1854" spans="1:17" x14ac:dyDescent="0.25">
      <c r="A1854" s="2">
        <v>44754</v>
      </c>
      <c r="B1854">
        <v>22</v>
      </c>
      <c r="C1854">
        <v>33</v>
      </c>
      <c r="D1854">
        <v>44</v>
      </c>
      <c r="E1854">
        <v>13249</v>
      </c>
      <c r="F1854" s="1" t="s">
        <v>128</v>
      </c>
      <c r="G1854">
        <v>0</v>
      </c>
      <c r="H1854">
        <v>1</v>
      </c>
      <c r="I1854">
        <v>14</v>
      </c>
      <c r="J1854">
        <v>15</v>
      </c>
      <c r="K1854" s="33">
        <v>6.6699999999999995E-2</v>
      </c>
      <c r="L1854" s="1"/>
      <c r="M1854" s="1" t="str">
        <f>_xlfn.XLOOKUP(ocupacao[[#This Row],[UnidadeID]],unidades!$A:$A,unidades!$B:$B,"",0)</f>
        <v>Filial 1</v>
      </c>
      <c r="N1854" s="1" t="str">
        <f>_xlfn.XLOOKUP(ocupacao[[#This Row],[UnidadeID]],unidades!$A:$A,unidades!$C:$C,"",0)</f>
        <v>Nova Iguaçu</v>
      </c>
      <c r="O1854" s="1" t="str">
        <f>_xlfn.XLOOKUP(ocupacao[[#This Row],[EspecialidadeID]],especialidades!$A:$A,especialidades!$B:$B,"",0)</f>
        <v>PSICOLOGIA</v>
      </c>
      <c r="P1854" s="1" t="str">
        <f>TEXT(WEEKDAY(ocupacao[[#This Row],[Data]]),"ddd")</f>
        <v>ter</v>
      </c>
      <c r="Q1854" s="1">
        <f t="shared" si="28"/>
        <v>0</v>
      </c>
    </row>
    <row r="1855" spans="1:17" hidden="1" x14ac:dyDescent="0.25">
      <c r="A1855" s="2">
        <v>44754</v>
      </c>
      <c r="B1855">
        <v>34</v>
      </c>
      <c r="C1855">
        <v>33</v>
      </c>
      <c r="D1855">
        <v>372</v>
      </c>
      <c r="E1855">
        <v>17878</v>
      </c>
      <c r="F1855" s="1" t="s">
        <v>129</v>
      </c>
      <c r="G1855">
        <v>0</v>
      </c>
      <c r="H1855">
        <v>0</v>
      </c>
      <c r="I1855">
        <v>6</v>
      </c>
      <c r="J1855">
        <v>6</v>
      </c>
      <c r="K1855" s="33">
        <v>0</v>
      </c>
      <c r="L1855" s="1"/>
      <c r="M1855" s="1"/>
      <c r="N1855" s="1"/>
      <c r="O1855" s="1"/>
      <c r="P1855" s="1"/>
      <c r="Q1855" s="1"/>
    </row>
    <row r="1856" spans="1:17" x14ac:dyDescent="0.25">
      <c r="A1856" s="2">
        <v>44755</v>
      </c>
      <c r="B1856">
        <v>24</v>
      </c>
      <c r="C1856">
        <v>33</v>
      </c>
      <c r="D1856">
        <v>63</v>
      </c>
      <c r="E1856">
        <v>17878</v>
      </c>
      <c r="F1856" s="1" t="s">
        <v>129</v>
      </c>
      <c r="G1856">
        <v>0</v>
      </c>
      <c r="H1856">
        <v>0</v>
      </c>
      <c r="I1856">
        <v>13</v>
      </c>
      <c r="J1856">
        <v>13</v>
      </c>
      <c r="K1856" s="33">
        <v>0</v>
      </c>
      <c r="L1856" s="1"/>
      <c r="M1856" s="1" t="str">
        <f>_xlfn.XLOOKUP(ocupacao[[#This Row],[UnidadeID]],unidades!$A:$A,unidades!$B:$B,"",0)</f>
        <v>Nilópolis</v>
      </c>
      <c r="N1856" s="1" t="str">
        <f>_xlfn.XLOOKUP(ocupacao[[#This Row],[UnidadeID]],unidades!$A:$A,unidades!$C:$C,"",0)</f>
        <v>Nilópolis</v>
      </c>
      <c r="O1856" s="1" t="str">
        <f>_xlfn.XLOOKUP(ocupacao[[#This Row],[EspecialidadeID]],especialidades!$A:$A,especialidades!$B:$B,"",0)</f>
        <v>PSICOLOGIA</v>
      </c>
      <c r="P1856" s="1" t="str">
        <f>TEXT(WEEKDAY(ocupacao[[#This Row],[Data]]),"ddd")</f>
        <v>qua</v>
      </c>
      <c r="Q1856" s="1">
        <f t="shared" si="28"/>
        <v>0</v>
      </c>
    </row>
    <row r="1857" spans="1:17" hidden="1" x14ac:dyDescent="0.25">
      <c r="A1857" s="2"/>
      <c r="F1857" s="1"/>
      <c r="K1857" s="33"/>
      <c r="L1857" s="1"/>
      <c r="M1857" s="1"/>
      <c r="N1857" s="1"/>
      <c r="O1857" s="1"/>
      <c r="P1857" s="1"/>
      <c r="Q1857" s="1"/>
    </row>
    <row r="1858" spans="1:17" hidden="1" x14ac:dyDescent="0.25">
      <c r="A1858" s="2">
        <v>44756</v>
      </c>
      <c r="B1858">
        <v>18</v>
      </c>
      <c r="C1858">
        <v>33</v>
      </c>
      <c r="D1858">
        <v>78</v>
      </c>
      <c r="E1858">
        <v>13249</v>
      </c>
      <c r="F1858" s="1" t="s">
        <v>128</v>
      </c>
      <c r="G1858">
        <v>0</v>
      </c>
      <c r="H1858">
        <v>2</v>
      </c>
      <c r="I1858">
        <v>8</v>
      </c>
      <c r="J1858">
        <v>10</v>
      </c>
      <c r="K1858" s="33">
        <v>0.2</v>
      </c>
      <c r="L1858" s="1"/>
      <c r="M1858" s="1"/>
      <c r="N1858" s="1"/>
      <c r="O1858" s="1"/>
      <c r="P1858" s="1"/>
      <c r="Q1858" s="1"/>
    </row>
    <row r="1859" spans="1:17" x14ac:dyDescent="0.25">
      <c r="A1859" s="2"/>
      <c r="F1859" s="1" t="s">
        <v>106</v>
      </c>
      <c r="K1859" s="33"/>
      <c r="L1859" s="1"/>
      <c r="M1859" s="1">
        <f>_xlfn.XLOOKUP(ocupacao[[#This Row],[UnidadeID]],unidades!$A:$A,unidades!$B:$B,"",0)</f>
        <v>0</v>
      </c>
      <c r="N1859" s="1">
        <f>_xlfn.XLOOKUP(ocupacao[[#This Row],[UnidadeID]],unidades!$A:$A,unidades!$C:$C,"",0)</f>
        <v>0</v>
      </c>
      <c r="O1859" s="1">
        <f>_xlfn.XLOOKUP(ocupacao[[#This Row],[EspecialidadeID]],especialidades!$A:$A,especialidades!$B:$B,"",0)</f>
        <v>0</v>
      </c>
      <c r="P1859" s="1" t="str">
        <f>TEXT(WEEKDAY(ocupacao[[#This Row],[Data]]),"ddd")</f>
        <v>sáb</v>
      </c>
      <c r="Q1859" s="1">
        <f t="shared" ref="Q1859:Q1921" si="29">IF(F1859=F1860,1,0)</f>
        <v>0</v>
      </c>
    </row>
    <row r="1860" spans="1:17" hidden="1" x14ac:dyDescent="0.25">
      <c r="A1860" s="2">
        <v>44744</v>
      </c>
      <c r="B1860">
        <v>22</v>
      </c>
      <c r="C1860">
        <v>34</v>
      </c>
      <c r="D1860">
        <v>39</v>
      </c>
      <c r="E1860">
        <v>17902</v>
      </c>
      <c r="F1860" s="1" t="s">
        <v>161</v>
      </c>
      <c r="G1860">
        <v>0</v>
      </c>
      <c r="H1860">
        <v>0</v>
      </c>
      <c r="I1860">
        <v>12</v>
      </c>
      <c r="J1860">
        <v>12</v>
      </c>
      <c r="K1860" s="33">
        <v>0</v>
      </c>
      <c r="L1860" s="1"/>
      <c r="M1860" s="1"/>
      <c r="N1860" s="1"/>
      <c r="O1860" s="1"/>
      <c r="P1860" s="1"/>
      <c r="Q1860" s="1"/>
    </row>
    <row r="1861" spans="1:17" hidden="1" x14ac:dyDescent="0.25">
      <c r="A1861" s="2">
        <v>44746</v>
      </c>
      <c r="B1861">
        <v>22</v>
      </c>
      <c r="C1861">
        <v>34</v>
      </c>
      <c r="D1861">
        <v>39</v>
      </c>
      <c r="E1861">
        <v>17902</v>
      </c>
      <c r="F1861" s="1" t="s">
        <v>161</v>
      </c>
      <c r="G1861">
        <v>0</v>
      </c>
      <c r="H1861">
        <v>0</v>
      </c>
      <c r="I1861">
        <v>24</v>
      </c>
      <c r="J1861">
        <v>24</v>
      </c>
      <c r="K1861" s="33">
        <v>0</v>
      </c>
      <c r="L1861" s="1"/>
      <c r="M1861" s="1"/>
      <c r="N1861" s="1"/>
      <c r="O1861" s="1"/>
      <c r="P1861" s="1"/>
      <c r="Q1861" s="1"/>
    </row>
    <row r="1862" spans="1:17" hidden="1" x14ac:dyDescent="0.25">
      <c r="A1862" s="2"/>
      <c r="F1862" s="1"/>
      <c r="K1862" s="33"/>
      <c r="L1862" s="1"/>
      <c r="M1862" s="1"/>
      <c r="N1862" s="1"/>
      <c r="O1862" s="1"/>
      <c r="P1862" s="1"/>
      <c r="Q1862" s="1"/>
    </row>
    <row r="1863" spans="1:17" hidden="1" x14ac:dyDescent="0.25">
      <c r="A1863" s="2">
        <v>44747</v>
      </c>
      <c r="B1863">
        <v>22</v>
      </c>
      <c r="C1863">
        <v>34</v>
      </c>
      <c r="D1863">
        <v>39</v>
      </c>
      <c r="E1863">
        <v>17902</v>
      </c>
      <c r="F1863" s="1" t="s">
        <v>161</v>
      </c>
      <c r="G1863">
        <v>0</v>
      </c>
      <c r="H1863">
        <v>0</v>
      </c>
      <c r="I1863">
        <v>24</v>
      </c>
      <c r="J1863">
        <v>24</v>
      </c>
      <c r="K1863" s="33">
        <v>0</v>
      </c>
      <c r="L1863" s="1"/>
      <c r="M1863" s="1"/>
      <c r="N1863" s="1"/>
      <c r="O1863" s="1"/>
      <c r="P1863" s="1"/>
      <c r="Q1863" s="1"/>
    </row>
    <row r="1864" spans="1:17" x14ac:dyDescent="0.25">
      <c r="A1864" s="2">
        <v>44747</v>
      </c>
      <c r="B1864">
        <v>22</v>
      </c>
      <c r="C1864">
        <v>34</v>
      </c>
      <c r="D1864">
        <v>39</v>
      </c>
      <c r="E1864">
        <v>17902</v>
      </c>
      <c r="F1864" s="1" t="s">
        <v>161</v>
      </c>
      <c r="G1864">
        <v>0</v>
      </c>
      <c r="H1864">
        <v>1</v>
      </c>
      <c r="I1864">
        <v>8</v>
      </c>
      <c r="J1864">
        <v>9</v>
      </c>
      <c r="K1864" s="33">
        <v>0.1111</v>
      </c>
      <c r="L1864" s="1"/>
      <c r="M1864" s="1" t="str">
        <f>_xlfn.XLOOKUP(ocupacao[[#This Row],[UnidadeID]],unidades!$A:$A,unidades!$B:$B,"",0)</f>
        <v>Filial 1</v>
      </c>
      <c r="N1864" s="1" t="str">
        <f>_xlfn.XLOOKUP(ocupacao[[#This Row],[UnidadeID]],unidades!$A:$A,unidades!$C:$C,"",0)</f>
        <v>Nova Iguaçu</v>
      </c>
      <c r="O1864" s="1" t="str">
        <f>_xlfn.XLOOKUP(ocupacao[[#This Row],[EspecialidadeID]],especialidades!$A:$A,especialidades!$B:$B,"",0)</f>
        <v>DENSITOMETRIA OSSEA</v>
      </c>
      <c r="P1864" s="1" t="str">
        <f>TEXT(WEEKDAY(ocupacao[[#This Row],[Data]]),"ddd")</f>
        <v>ter</v>
      </c>
      <c r="Q1864" s="1">
        <f t="shared" si="29"/>
        <v>1</v>
      </c>
    </row>
    <row r="1865" spans="1:17" hidden="1" x14ac:dyDescent="0.25">
      <c r="A1865" s="2">
        <v>44748</v>
      </c>
      <c r="B1865">
        <v>22</v>
      </c>
      <c r="C1865">
        <v>34</v>
      </c>
      <c r="D1865">
        <v>39</v>
      </c>
      <c r="E1865">
        <v>17902</v>
      </c>
      <c r="F1865" s="1" t="s">
        <v>161</v>
      </c>
      <c r="G1865">
        <v>0</v>
      </c>
      <c r="H1865">
        <v>0</v>
      </c>
      <c r="I1865">
        <v>24</v>
      </c>
      <c r="J1865">
        <v>24</v>
      </c>
      <c r="K1865" s="33">
        <v>0</v>
      </c>
      <c r="L1865" s="1"/>
      <c r="M1865" s="1"/>
      <c r="N1865" s="1"/>
      <c r="O1865" s="1"/>
      <c r="P1865" s="1"/>
      <c r="Q1865" s="1"/>
    </row>
    <row r="1866" spans="1:17" hidden="1" x14ac:dyDescent="0.25">
      <c r="A1866" s="2"/>
      <c r="F1866" s="1"/>
      <c r="K1866" s="33"/>
      <c r="L1866" s="1"/>
      <c r="M1866" s="1"/>
      <c r="N1866" s="1"/>
      <c r="O1866" s="1"/>
      <c r="P1866" s="1"/>
      <c r="Q1866" s="1"/>
    </row>
    <row r="1867" spans="1:17" hidden="1" x14ac:dyDescent="0.25">
      <c r="A1867" s="2">
        <v>44749</v>
      </c>
      <c r="B1867">
        <v>22</v>
      </c>
      <c r="C1867">
        <v>34</v>
      </c>
      <c r="D1867">
        <v>39</v>
      </c>
      <c r="E1867">
        <v>17902</v>
      </c>
      <c r="F1867" s="1" t="s">
        <v>161</v>
      </c>
      <c r="G1867">
        <v>0</v>
      </c>
      <c r="H1867">
        <v>0</v>
      </c>
      <c r="I1867">
        <v>24</v>
      </c>
      <c r="J1867">
        <v>24</v>
      </c>
      <c r="K1867" s="33">
        <v>0</v>
      </c>
      <c r="L1867" s="1"/>
      <c r="M1867" s="1"/>
      <c r="N1867" s="1"/>
      <c r="O1867" s="1"/>
      <c r="P1867" s="1"/>
      <c r="Q1867" s="1"/>
    </row>
    <row r="1868" spans="1:17" hidden="1" x14ac:dyDescent="0.25">
      <c r="A1868" s="2"/>
      <c r="F1868" s="1"/>
      <c r="K1868" s="33"/>
      <c r="L1868" s="1"/>
      <c r="M1868" s="1"/>
      <c r="N1868" s="1"/>
      <c r="O1868" s="1"/>
      <c r="P1868" s="1"/>
      <c r="Q1868" s="1"/>
    </row>
    <row r="1869" spans="1:17" hidden="1" x14ac:dyDescent="0.25">
      <c r="A1869" s="2"/>
      <c r="F1869" s="1"/>
      <c r="K1869" s="33"/>
      <c r="L1869" s="1"/>
      <c r="M1869" s="1"/>
      <c r="N1869" s="1"/>
      <c r="O1869" s="1"/>
      <c r="P1869" s="1"/>
      <c r="Q1869" s="1"/>
    </row>
    <row r="1870" spans="1:17" hidden="1" x14ac:dyDescent="0.25">
      <c r="A1870" s="2">
        <v>44750</v>
      </c>
      <c r="B1870">
        <v>22</v>
      </c>
      <c r="C1870">
        <v>34</v>
      </c>
      <c r="D1870">
        <v>39</v>
      </c>
      <c r="E1870">
        <v>17902</v>
      </c>
      <c r="F1870" s="1" t="s">
        <v>161</v>
      </c>
      <c r="G1870">
        <v>0</v>
      </c>
      <c r="H1870">
        <v>0</v>
      </c>
      <c r="I1870">
        <v>9</v>
      </c>
      <c r="J1870">
        <v>9</v>
      </c>
      <c r="K1870" s="33">
        <v>0</v>
      </c>
      <c r="L1870" s="1"/>
      <c r="M1870" s="1"/>
      <c r="N1870" s="1"/>
      <c r="O1870" s="1"/>
      <c r="P1870" s="1"/>
      <c r="Q1870" s="1"/>
    </row>
    <row r="1871" spans="1:17" hidden="1" x14ac:dyDescent="0.25">
      <c r="A1871" s="2"/>
      <c r="F1871" s="1"/>
      <c r="K1871" s="33"/>
      <c r="L1871" s="1"/>
      <c r="M1871" s="1"/>
      <c r="N1871" s="1"/>
      <c r="O1871" s="1"/>
      <c r="P1871" s="1"/>
      <c r="Q1871" s="1"/>
    </row>
    <row r="1872" spans="1:17" hidden="1" x14ac:dyDescent="0.25">
      <c r="A1872" s="2">
        <v>44753</v>
      </c>
      <c r="B1872">
        <v>22</v>
      </c>
      <c r="C1872">
        <v>34</v>
      </c>
      <c r="D1872">
        <v>39</v>
      </c>
      <c r="E1872">
        <v>17902</v>
      </c>
      <c r="F1872" s="1" t="s">
        <v>161</v>
      </c>
      <c r="G1872">
        <v>0</v>
      </c>
      <c r="H1872">
        <v>0</v>
      </c>
      <c r="I1872">
        <v>24</v>
      </c>
      <c r="J1872">
        <v>24</v>
      </c>
      <c r="K1872" s="33">
        <v>0</v>
      </c>
      <c r="L1872" s="1"/>
      <c r="M1872" s="1"/>
      <c r="N1872" s="1"/>
      <c r="O1872" s="1"/>
      <c r="P1872" s="1"/>
      <c r="Q1872" s="1"/>
    </row>
    <row r="1873" spans="1:17" hidden="1" x14ac:dyDescent="0.25">
      <c r="A1873" s="2"/>
      <c r="F1873" s="1"/>
      <c r="K1873" s="33"/>
      <c r="L1873" s="1"/>
      <c r="M1873" s="1"/>
      <c r="N1873" s="1"/>
      <c r="O1873" s="1"/>
      <c r="P1873" s="1"/>
      <c r="Q1873" s="1"/>
    </row>
    <row r="1874" spans="1:17" hidden="1" x14ac:dyDescent="0.25">
      <c r="A1874" s="2"/>
      <c r="F1874" s="1"/>
      <c r="K1874" s="33"/>
      <c r="L1874" s="1"/>
      <c r="M1874" s="1"/>
      <c r="N1874" s="1"/>
      <c r="O1874" s="1"/>
      <c r="P1874" s="1"/>
      <c r="Q1874" s="1"/>
    </row>
    <row r="1875" spans="1:17" hidden="1" x14ac:dyDescent="0.25">
      <c r="A1875" s="2">
        <v>44754</v>
      </c>
      <c r="B1875">
        <v>22</v>
      </c>
      <c r="C1875">
        <v>34</v>
      </c>
      <c r="D1875">
        <v>39</v>
      </c>
      <c r="E1875">
        <v>17902</v>
      </c>
      <c r="F1875" s="1" t="s">
        <v>161</v>
      </c>
      <c r="G1875">
        <v>0</v>
      </c>
      <c r="H1875">
        <v>0</v>
      </c>
      <c r="I1875">
        <v>9</v>
      </c>
      <c r="J1875">
        <v>9</v>
      </c>
      <c r="K1875" s="33">
        <v>0</v>
      </c>
      <c r="L1875" s="1"/>
      <c r="M1875" s="1"/>
      <c r="N1875" s="1"/>
      <c r="O1875" s="1"/>
      <c r="P1875" s="1"/>
      <c r="Q1875" s="1"/>
    </row>
    <row r="1876" spans="1:17" hidden="1" x14ac:dyDescent="0.25">
      <c r="A1876" s="2">
        <v>44755</v>
      </c>
      <c r="B1876">
        <v>22</v>
      </c>
      <c r="C1876">
        <v>34</v>
      </c>
      <c r="D1876">
        <v>39</v>
      </c>
      <c r="E1876">
        <v>17902</v>
      </c>
      <c r="F1876" s="1" t="s">
        <v>161</v>
      </c>
      <c r="G1876">
        <v>0</v>
      </c>
      <c r="H1876">
        <v>0</v>
      </c>
      <c r="I1876">
        <v>24</v>
      </c>
      <c r="J1876">
        <v>24</v>
      </c>
      <c r="K1876" s="33">
        <v>0</v>
      </c>
      <c r="L1876" s="1"/>
      <c r="M1876" s="1"/>
      <c r="N1876" s="1"/>
      <c r="O1876" s="1"/>
      <c r="P1876" s="1"/>
      <c r="Q1876" s="1"/>
    </row>
    <row r="1877" spans="1:17" hidden="1" x14ac:dyDescent="0.25">
      <c r="A1877" s="2">
        <v>44755</v>
      </c>
      <c r="B1877">
        <v>22</v>
      </c>
      <c r="C1877">
        <v>34</v>
      </c>
      <c r="D1877">
        <v>39</v>
      </c>
      <c r="E1877">
        <v>17902</v>
      </c>
      <c r="F1877" s="1" t="s">
        <v>161</v>
      </c>
      <c r="G1877">
        <v>0</v>
      </c>
      <c r="H1877">
        <v>0</v>
      </c>
      <c r="I1877">
        <v>9</v>
      </c>
      <c r="J1877">
        <v>9</v>
      </c>
      <c r="K1877" s="33">
        <v>0</v>
      </c>
      <c r="L1877" s="1"/>
      <c r="M1877" s="1"/>
      <c r="N1877" s="1"/>
      <c r="O1877" s="1"/>
      <c r="P1877" s="1"/>
      <c r="Q1877" s="1"/>
    </row>
    <row r="1878" spans="1:17" hidden="1" x14ac:dyDescent="0.25">
      <c r="A1878" s="2">
        <v>44756</v>
      </c>
      <c r="B1878">
        <v>22</v>
      </c>
      <c r="C1878">
        <v>34</v>
      </c>
      <c r="D1878">
        <v>39</v>
      </c>
      <c r="E1878">
        <v>17902</v>
      </c>
      <c r="F1878" s="1" t="s">
        <v>161</v>
      </c>
      <c r="G1878">
        <v>0</v>
      </c>
      <c r="H1878">
        <v>0</v>
      </c>
      <c r="I1878">
        <v>24</v>
      </c>
      <c r="J1878">
        <v>24</v>
      </c>
      <c r="K1878" s="33">
        <v>0</v>
      </c>
      <c r="L1878" s="1"/>
      <c r="M1878" s="1"/>
      <c r="N1878" s="1"/>
      <c r="O1878" s="1"/>
      <c r="P1878" s="1"/>
      <c r="Q1878" s="1"/>
    </row>
    <row r="1879" spans="1:17" hidden="1" x14ac:dyDescent="0.25">
      <c r="A1879" s="2">
        <v>44756</v>
      </c>
      <c r="B1879">
        <v>22</v>
      </c>
      <c r="C1879">
        <v>34</v>
      </c>
      <c r="D1879">
        <v>39</v>
      </c>
      <c r="E1879">
        <v>17902</v>
      </c>
      <c r="F1879" s="1" t="s">
        <v>161</v>
      </c>
      <c r="G1879">
        <v>0</v>
      </c>
      <c r="H1879">
        <v>0</v>
      </c>
      <c r="I1879">
        <v>9</v>
      </c>
      <c r="J1879">
        <v>9</v>
      </c>
      <c r="K1879" s="33">
        <v>0</v>
      </c>
      <c r="L1879" s="1"/>
      <c r="M1879" s="1"/>
      <c r="N1879" s="1"/>
      <c r="O1879" s="1"/>
      <c r="P1879" s="1"/>
      <c r="Q1879" s="1"/>
    </row>
    <row r="1880" spans="1:17" hidden="1" x14ac:dyDescent="0.25">
      <c r="A1880" s="2"/>
      <c r="F1880" s="1" t="s">
        <v>106</v>
      </c>
      <c r="K1880" s="33"/>
      <c r="L1880" s="1"/>
      <c r="M1880" s="1"/>
      <c r="N1880" s="1"/>
      <c r="O1880" s="1"/>
      <c r="P1880" s="1"/>
      <c r="Q1880" s="1"/>
    </row>
    <row r="1881" spans="1:17" x14ac:dyDescent="0.25">
      <c r="A1881" s="2">
        <v>44746</v>
      </c>
      <c r="B1881">
        <v>22</v>
      </c>
      <c r="C1881">
        <v>37</v>
      </c>
      <c r="D1881">
        <v>49</v>
      </c>
      <c r="E1881">
        <v>12825</v>
      </c>
      <c r="F1881" s="1" t="s">
        <v>314</v>
      </c>
      <c r="G1881">
        <v>0</v>
      </c>
      <c r="H1881">
        <v>1</v>
      </c>
      <c r="I1881">
        <v>0</v>
      </c>
      <c r="J1881">
        <v>1</v>
      </c>
      <c r="K1881" s="33">
        <v>1</v>
      </c>
      <c r="L1881" s="1"/>
      <c r="M1881" s="1" t="str">
        <f>_xlfn.XLOOKUP(ocupacao[[#This Row],[UnidadeID]],unidades!$A:$A,unidades!$B:$B,"",0)</f>
        <v>Filial 1</v>
      </c>
      <c r="N1881" s="1" t="str">
        <f>_xlfn.XLOOKUP(ocupacao[[#This Row],[UnidadeID]],unidades!$A:$A,unidades!$C:$C,"",0)</f>
        <v>Nova Iguaçu</v>
      </c>
      <c r="O1881" s="1" t="str">
        <f>_xlfn.XLOOKUP(ocupacao[[#This Row],[EspecialidadeID]],especialidades!$A:$A,especialidades!$B:$B,"",0)</f>
        <v>PSIQUIATRIA</v>
      </c>
      <c r="P1881" s="1" t="str">
        <f>TEXT(WEEKDAY(ocupacao[[#This Row],[Data]]),"ddd")</f>
        <v>seg</v>
      </c>
      <c r="Q1881" s="1">
        <f t="shared" si="29"/>
        <v>1</v>
      </c>
    </row>
    <row r="1882" spans="1:17" hidden="1" x14ac:dyDescent="0.25">
      <c r="A1882" s="2">
        <v>44746</v>
      </c>
      <c r="B1882">
        <v>22</v>
      </c>
      <c r="C1882">
        <v>37</v>
      </c>
      <c r="D1882">
        <v>49</v>
      </c>
      <c r="E1882">
        <v>12825</v>
      </c>
      <c r="F1882" s="1" t="s">
        <v>314</v>
      </c>
      <c r="G1882">
        <v>0</v>
      </c>
      <c r="H1882">
        <v>15</v>
      </c>
      <c r="I1882">
        <v>20</v>
      </c>
      <c r="J1882">
        <v>35</v>
      </c>
      <c r="K1882" s="33">
        <v>0.42859999999999998</v>
      </c>
      <c r="L1882" s="1"/>
      <c r="M1882" s="1"/>
      <c r="N1882" s="1"/>
      <c r="O1882" s="1"/>
      <c r="P1882" s="1"/>
      <c r="Q1882" s="1"/>
    </row>
    <row r="1883" spans="1:17" hidden="1" x14ac:dyDescent="0.25">
      <c r="A1883" s="2">
        <v>44747</v>
      </c>
      <c r="B1883">
        <v>24</v>
      </c>
      <c r="C1883">
        <v>37</v>
      </c>
      <c r="D1883">
        <v>63</v>
      </c>
      <c r="E1883">
        <v>12825</v>
      </c>
      <c r="F1883" s="1" t="s">
        <v>314</v>
      </c>
      <c r="G1883">
        <v>0</v>
      </c>
      <c r="H1883">
        <v>0</v>
      </c>
      <c r="I1883">
        <v>51</v>
      </c>
      <c r="J1883">
        <v>51</v>
      </c>
      <c r="K1883" s="33">
        <v>0</v>
      </c>
      <c r="L1883" s="1"/>
      <c r="M1883" s="1"/>
      <c r="N1883" s="1"/>
      <c r="O1883" s="1"/>
      <c r="P1883" s="1"/>
      <c r="Q1883" s="1"/>
    </row>
    <row r="1884" spans="1:17" hidden="1" x14ac:dyDescent="0.25">
      <c r="A1884" s="2">
        <v>44747</v>
      </c>
      <c r="B1884">
        <v>24</v>
      </c>
      <c r="C1884">
        <v>37</v>
      </c>
      <c r="D1884">
        <v>63</v>
      </c>
      <c r="E1884">
        <v>12825</v>
      </c>
      <c r="F1884" s="1" t="s">
        <v>314</v>
      </c>
      <c r="G1884">
        <v>0</v>
      </c>
      <c r="H1884">
        <v>9</v>
      </c>
      <c r="I1884">
        <v>51</v>
      </c>
      <c r="J1884">
        <v>60</v>
      </c>
      <c r="K1884" s="33">
        <v>0.15</v>
      </c>
      <c r="L1884" s="1"/>
      <c r="M1884" s="1"/>
      <c r="N1884" s="1"/>
      <c r="O1884" s="1"/>
      <c r="P1884" s="1"/>
      <c r="Q1884" s="1"/>
    </row>
    <row r="1885" spans="1:17" hidden="1" x14ac:dyDescent="0.25">
      <c r="A1885" s="2">
        <v>44747</v>
      </c>
      <c r="B1885">
        <v>22</v>
      </c>
      <c r="C1885">
        <v>37</v>
      </c>
      <c r="D1885">
        <v>49</v>
      </c>
      <c r="E1885">
        <v>14237</v>
      </c>
      <c r="F1885" s="1" t="s">
        <v>315</v>
      </c>
      <c r="G1885">
        <v>0</v>
      </c>
      <c r="H1885">
        <v>0</v>
      </c>
      <c r="I1885">
        <v>53</v>
      </c>
      <c r="J1885">
        <v>53</v>
      </c>
      <c r="K1885" s="33">
        <v>0</v>
      </c>
      <c r="L1885" s="1"/>
      <c r="M1885" s="1"/>
      <c r="N1885" s="1"/>
      <c r="O1885" s="1"/>
      <c r="P1885" s="1"/>
      <c r="Q1885" s="1"/>
    </row>
    <row r="1886" spans="1:17" hidden="1" x14ac:dyDescent="0.25">
      <c r="A1886" s="2">
        <v>44747</v>
      </c>
      <c r="B1886">
        <v>22</v>
      </c>
      <c r="C1886">
        <v>37</v>
      </c>
      <c r="D1886">
        <v>49</v>
      </c>
      <c r="E1886">
        <v>14237</v>
      </c>
      <c r="F1886" s="1" t="s">
        <v>315</v>
      </c>
      <c r="G1886">
        <v>0</v>
      </c>
      <c r="H1886">
        <v>8</v>
      </c>
      <c r="I1886">
        <v>53</v>
      </c>
      <c r="J1886">
        <v>61</v>
      </c>
      <c r="K1886" s="33">
        <v>0.13109999999999999</v>
      </c>
      <c r="L1886" s="1"/>
      <c r="M1886" s="1"/>
      <c r="N1886" s="1"/>
      <c r="O1886" s="1"/>
      <c r="P1886" s="1"/>
      <c r="Q1886" s="1"/>
    </row>
    <row r="1887" spans="1:17" hidden="1" x14ac:dyDescent="0.25">
      <c r="A1887" s="2">
        <v>44748</v>
      </c>
      <c r="B1887">
        <v>22</v>
      </c>
      <c r="C1887">
        <v>37</v>
      </c>
      <c r="D1887">
        <v>45</v>
      </c>
      <c r="E1887">
        <v>12825</v>
      </c>
      <c r="F1887" s="1" t="s">
        <v>314</v>
      </c>
      <c r="G1887">
        <v>0</v>
      </c>
      <c r="H1887">
        <v>0</v>
      </c>
      <c r="I1887">
        <v>34</v>
      </c>
      <c r="J1887">
        <v>34</v>
      </c>
      <c r="K1887" s="33">
        <v>0</v>
      </c>
      <c r="L1887" s="1"/>
      <c r="M1887" s="1"/>
      <c r="N1887" s="1"/>
      <c r="O1887" s="1"/>
      <c r="P1887" s="1"/>
      <c r="Q1887" s="1"/>
    </row>
    <row r="1888" spans="1:17" hidden="1" x14ac:dyDescent="0.25">
      <c r="A1888" s="2">
        <v>44748</v>
      </c>
      <c r="B1888">
        <v>22</v>
      </c>
      <c r="C1888">
        <v>37</v>
      </c>
      <c r="D1888">
        <v>45</v>
      </c>
      <c r="E1888">
        <v>12825</v>
      </c>
      <c r="F1888" s="1" t="s">
        <v>314</v>
      </c>
      <c r="G1888">
        <v>0</v>
      </c>
      <c r="H1888">
        <v>12</v>
      </c>
      <c r="I1888">
        <v>34</v>
      </c>
      <c r="J1888">
        <v>46</v>
      </c>
      <c r="K1888" s="33">
        <v>0.26090000000000002</v>
      </c>
      <c r="L1888" s="1"/>
      <c r="M1888" s="1"/>
      <c r="N1888" s="1"/>
      <c r="O1888" s="1"/>
      <c r="P1888" s="1"/>
      <c r="Q1888" s="1"/>
    </row>
    <row r="1889" spans="1:17" hidden="1" x14ac:dyDescent="0.25">
      <c r="A1889" s="2">
        <v>44750</v>
      </c>
      <c r="B1889">
        <v>24</v>
      </c>
      <c r="C1889">
        <v>37</v>
      </c>
      <c r="D1889">
        <v>64</v>
      </c>
      <c r="E1889">
        <v>12825</v>
      </c>
      <c r="F1889" s="1" t="s">
        <v>314</v>
      </c>
      <c r="G1889">
        <v>0</v>
      </c>
      <c r="H1889">
        <v>0</v>
      </c>
      <c r="I1889">
        <v>29</v>
      </c>
      <c r="J1889">
        <v>29</v>
      </c>
      <c r="K1889" s="33">
        <v>0</v>
      </c>
      <c r="L1889" s="1"/>
      <c r="M1889" s="1"/>
      <c r="N1889" s="1"/>
      <c r="O1889" s="1"/>
      <c r="P1889" s="1"/>
      <c r="Q1889" s="1"/>
    </row>
    <row r="1890" spans="1:17" hidden="1" x14ac:dyDescent="0.25">
      <c r="A1890" s="2">
        <v>44751</v>
      </c>
      <c r="B1890">
        <v>24</v>
      </c>
      <c r="C1890">
        <v>37</v>
      </c>
      <c r="D1890">
        <v>64</v>
      </c>
      <c r="E1890">
        <v>12825</v>
      </c>
      <c r="F1890" s="1" t="s">
        <v>314</v>
      </c>
      <c r="G1890">
        <v>0</v>
      </c>
      <c r="H1890">
        <v>0</v>
      </c>
      <c r="I1890">
        <v>29</v>
      </c>
      <c r="J1890">
        <v>29</v>
      </c>
      <c r="K1890" s="33">
        <v>0</v>
      </c>
      <c r="L1890" s="1"/>
      <c r="M1890" s="1"/>
      <c r="N1890" s="1"/>
      <c r="O1890" s="1"/>
      <c r="P1890" s="1"/>
      <c r="Q1890" s="1"/>
    </row>
    <row r="1891" spans="1:17" hidden="1" x14ac:dyDescent="0.25">
      <c r="A1891" s="2">
        <v>44752</v>
      </c>
      <c r="B1891">
        <v>24</v>
      </c>
      <c r="C1891">
        <v>37</v>
      </c>
      <c r="D1891">
        <v>64</v>
      </c>
      <c r="E1891">
        <v>12825</v>
      </c>
      <c r="F1891" s="1" t="s">
        <v>314</v>
      </c>
      <c r="G1891">
        <v>0</v>
      </c>
      <c r="H1891">
        <v>0</v>
      </c>
      <c r="I1891">
        <v>29</v>
      </c>
      <c r="J1891">
        <v>29</v>
      </c>
      <c r="K1891" s="33">
        <v>0</v>
      </c>
      <c r="L1891" s="1"/>
      <c r="M1891" s="1"/>
      <c r="N1891" s="1"/>
      <c r="O1891" s="1"/>
      <c r="P1891" s="1"/>
      <c r="Q1891" s="1"/>
    </row>
    <row r="1892" spans="1:17" hidden="1" x14ac:dyDescent="0.25">
      <c r="A1892" s="2">
        <v>44753</v>
      </c>
      <c r="B1892">
        <v>24</v>
      </c>
      <c r="C1892">
        <v>37</v>
      </c>
      <c r="D1892">
        <v>64</v>
      </c>
      <c r="E1892">
        <v>12825</v>
      </c>
      <c r="F1892" s="1" t="s">
        <v>314</v>
      </c>
      <c r="G1892">
        <v>0</v>
      </c>
      <c r="H1892">
        <v>1</v>
      </c>
      <c r="I1892">
        <v>28</v>
      </c>
      <c r="J1892">
        <v>29</v>
      </c>
      <c r="K1892" s="33">
        <v>3.4500000000000003E-2</v>
      </c>
      <c r="L1892" s="1"/>
      <c r="M1892" s="1"/>
      <c r="N1892" s="1"/>
      <c r="O1892" s="1"/>
      <c r="P1892" s="1"/>
      <c r="Q1892" s="1"/>
    </row>
    <row r="1893" spans="1:17" hidden="1" x14ac:dyDescent="0.25">
      <c r="A1893" s="2">
        <v>44753</v>
      </c>
      <c r="B1893">
        <v>24</v>
      </c>
      <c r="C1893">
        <v>37</v>
      </c>
      <c r="D1893">
        <v>49</v>
      </c>
      <c r="E1893">
        <v>12825</v>
      </c>
      <c r="F1893" s="1" t="s">
        <v>314</v>
      </c>
      <c r="G1893">
        <v>0</v>
      </c>
      <c r="H1893">
        <v>4</v>
      </c>
      <c r="I1893">
        <v>0</v>
      </c>
      <c r="J1893">
        <v>4</v>
      </c>
      <c r="K1893" s="33">
        <v>1</v>
      </c>
      <c r="L1893" s="1"/>
      <c r="M1893" s="1"/>
      <c r="N1893" s="1"/>
      <c r="O1893" s="1"/>
      <c r="P1893" s="1"/>
      <c r="Q1893" s="1"/>
    </row>
    <row r="1894" spans="1:17" x14ac:dyDescent="0.25">
      <c r="A1894" s="2">
        <v>44754</v>
      </c>
      <c r="B1894">
        <v>24</v>
      </c>
      <c r="C1894">
        <v>37</v>
      </c>
      <c r="D1894">
        <v>64</v>
      </c>
      <c r="E1894">
        <v>12825</v>
      </c>
      <c r="F1894" s="1" t="s">
        <v>314</v>
      </c>
      <c r="G1894">
        <v>0</v>
      </c>
      <c r="H1894">
        <v>0</v>
      </c>
      <c r="I1894">
        <v>29</v>
      </c>
      <c r="J1894">
        <v>29</v>
      </c>
      <c r="K1894" s="33">
        <v>0</v>
      </c>
      <c r="L1894" s="1"/>
      <c r="M1894" s="1" t="str">
        <f>_xlfn.XLOOKUP(ocupacao[[#This Row],[UnidadeID]],unidades!$A:$A,unidades!$B:$B,"",0)</f>
        <v>Nilópolis</v>
      </c>
      <c r="N1894" s="1" t="str">
        <f>_xlfn.XLOOKUP(ocupacao[[#This Row],[UnidadeID]],unidades!$A:$A,unidades!$C:$C,"",0)</f>
        <v>Nilópolis</v>
      </c>
      <c r="O1894" s="1" t="str">
        <f>_xlfn.XLOOKUP(ocupacao[[#This Row],[EspecialidadeID]],especialidades!$A:$A,especialidades!$B:$B,"",0)</f>
        <v>PSIQUIATRIA</v>
      </c>
      <c r="P1894" s="1" t="str">
        <f>TEXT(WEEKDAY(ocupacao[[#This Row],[Data]]),"ddd")</f>
        <v>ter</v>
      </c>
      <c r="Q1894" s="1">
        <f t="shared" si="29"/>
        <v>0</v>
      </c>
    </row>
    <row r="1895" spans="1:17" hidden="1" x14ac:dyDescent="0.25">
      <c r="A1895" s="2"/>
      <c r="F1895" s="1"/>
      <c r="K1895" s="33"/>
      <c r="L1895" s="1"/>
      <c r="M1895" s="1"/>
      <c r="N1895" s="1"/>
      <c r="O1895" s="1"/>
      <c r="P1895" s="1"/>
      <c r="Q1895" s="1"/>
    </row>
    <row r="1896" spans="1:17" x14ac:dyDescent="0.25">
      <c r="A1896" s="2">
        <v>44754</v>
      </c>
      <c r="B1896">
        <v>22</v>
      </c>
      <c r="C1896">
        <v>37</v>
      </c>
      <c r="D1896">
        <v>49</v>
      </c>
      <c r="E1896">
        <v>14237</v>
      </c>
      <c r="F1896" s="1" t="s">
        <v>315</v>
      </c>
      <c r="G1896">
        <v>0</v>
      </c>
      <c r="H1896">
        <v>4</v>
      </c>
      <c r="I1896">
        <v>57</v>
      </c>
      <c r="J1896">
        <v>61</v>
      </c>
      <c r="K1896" s="33">
        <v>6.5600000000000006E-2</v>
      </c>
      <c r="L1896" s="1"/>
      <c r="M1896" s="1" t="str">
        <f>_xlfn.XLOOKUP(ocupacao[[#This Row],[UnidadeID]],unidades!$A:$A,unidades!$B:$B,"",0)</f>
        <v>Filial 1</v>
      </c>
      <c r="N1896" s="1" t="str">
        <f>_xlfn.XLOOKUP(ocupacao[[#This Row],[UnidadeID]],unidades!$A:$A,unidades!$C:$C,"",0)</f>
        <v>Nova Iguaçu</v>
      </c>
      <c r="O1896" s="1" t="str">
        <f>_xlfn.XLOOKUP(ocupacao[[#This Row],[EspecialidadeID]],especialidades!$A:$A,especialidades!$B:$B,"",0)</f>
        <v>PSIQUIATRIA</v>
      </c>
      <c r="P1896" s="1" t="str">
        <f>TEXT(WEEKDAY(ocupacao[[#This Row],[Data]]),"ddd")</f>
        <v>ter</v>
      </c>
      <c r="Q1896" s="1">
        <f t="shared" si="29"/>
        <v>0</v>
      </c>
    </row>
    <row r="1897" spans="1:17" hidden="1" x14ac:dyDescent="0.25">
      <c r="A1897" s="2"/>
      <c r="F1897" s="1"/>
      <c r="K1897" s="33"/>
      <c r="L1897" s="1"/>
      <c r="M1897" s="1"/>
      <c r="N1897" s="1"/>
      <c r="O1897" s="1"/>
      <c r="P1897" s="1"/>
      <c r="Q1897" s="1"/>
    </row>
    <row r="1898" spans="1:17" hidden="1" x14ac:dyDescent="0.25">
      <c r="A1898" s="2">
        <v>44755</v>
      </c>
      <c r="B1898">
        <v>24</v>
      </c>
      <c r="C1898">
        <v>37</v>
      </c>
      <c r="D1898">
        <v>45</v>
      </c>
      <c r="E1898">
        <v>12825</v>
      </c>
      <c r="F1898" s="1" t="s">
        <v>314</v>
      </c>
      <c r="G1898">
        <v>0</v>
      </c>
      <c r="H1898">
        <v>3</v>
      </c>
      <c r="I1898">
        <v>0</v>
      </c>
      <c r="J1898">
        <v>3</v>
      </c>
      <c r="K1898" s="33">
        <v>1</v>
      </c>
      <c r="L1898" s="1"/>
      <c r="M1898" s="1"/>
      <c r="N1898" s="1"/>
      <c r="O1898" s="1"/>
      <c r="P1898" s="1"/>
      <c r="Q1898" s="1"/>
    </row>
    <row r="1899" spans="1:17" x14ac:dyDescent="0.25">
      <c r="A1899" s="2">
        <v>44756</v>
      </c>
      <c r="B1899">
        <v>24</v>
      </c>
      <c r="C1899">
        <v>37</v>
      </c>
      <c r="D1899">
        <v>64</v>
      </c>
      <c r="E1899">
        <v>12825</v>
      </c>
      <c r="F1899" s="1" t="s">
        <v>314</v>
      </c>
      <c r="G1899">
        <v>0</v>
      </c>
      <c r="H1899">
        <v>0</v>
      </c>
      <c r="I1899">
        <v>29</v>
      </c>
      <c r="J1899">
        <v>29</v>
      </c>
      <c r="K1899" s="33">
        <v>0</v>
      </c>
      <c r="L1899" s="1"/>
      <c r="M1899" s="1" t="str">
        <f>_xlfn.XLOOKUP(ocupacao[[#This Row],[UnidadeID]],unidades!$A:$A,unidades!$B:$B,"",0)</f>
        <v>Nilópolis</v>
      </c>
      <c r="N1899" s="1" t="str">
        <f>_xlfn.XLOOKUP(ocupacao[[#This Row],[UnidadeID]],unidades!$A:$A,unidades!$C:$C,"",0)</f>
        <v>Nilópolis</v>
      </c>
      <c r="O1899" s="1" t="str">
        <f>_xlfn.XLOOKUP(ocupacao[[#This Row],[EspecialidadeID]],especialidades!$A:$A,especialidades!$B:$B,"",0)</f>
        <v>PSIQUIATRIA</v>
      </c>
      <c r="P1899" s="1" t="str">
        <f>TEXT(WEEKDAY(ocupacao[[#This Row],[Data]]),"ddd")</f>
        <v>qui</v>
      </c>
      <c r="Q1899" s="1">
        <f t="shared" si="29"/>
        <v>0</v>
      </c>
    </row>
    <row r="1900" spans="1:17" hidden="1" x14ac:dyDescent="0.25">
      <c r="A1900" s="2"/>
      <c r="F1900" s="1" t="s">
        <v>106</v>
      </c>
      <c r="K1900" s="33"/>
      <c r="L1900" s="1"/>
      <c r="M1900" s="1"/>
      <c r="N1900" s="1"/>
      <c r="O1900" s="1"/>
      <c r="P1900" s="1"/>
      <c r="Q1900" s="1"/>
    </row>
    <row r="1901" spans="1:17" hidden="1" x14ac:dyDescent="0.25">
      <c r="A1901" s="2"/>
      <c r="F1901" s="1"/>
      <c r="K1901" s="33"/>
      <c r="L1901" s="1"/>
      <c r="M1901" s="1"/>
      <c r="N1901" s="1"/>
      <c r="O1901" s="1"/>
      <c r="P1901" s="1"/>
      <c r="Q1901" s="1"/>
    </row>
    <row r="1902" spans="1:17" hidden="1" x14ac:dyDescent="0.25">
      <c r="A1902" s="2">
        <v>44749</v>
      </c>
      <c r="B1902">
        <v>22</v>
      </c>
      <c r="C1902">
        <v>38</v>
      </c>
      <c r="D1902">
        <v>44</v>
      </c>
      <c r="E1902">
        <v>10249</v>
      </c>
      <c r="F1902" s="1" t="s">
        <v>379</v>
      </c>
      <c r="G1902">
        <v>0</v>
      </c>
      <c r="H1902">
        <v>3</v>
      </c>
      <c r="I1902">
        <v>17</v>
      </c>
      <c r="J1902">
        <v>20</v>
      </c>
      <c r="K1902" s="33">
        <v>0.15</v>
      </c>
      <c r="L1902" s="1"/>
      <c r="M1902" s="1"/>
      <c r="N1902" s="1"/>
      <c r="O1902" s="1"/>
      <c r="P1902" s="1"/>
      <c r="Q1902" s="1"/>
    </row>
    <row r="1903" spans="1:17" hidden="1" x14ac:dyDescent="0.25">
      <c r="A1903" s="2"/>
      <c r="F1903" s="1"/>
      <c r="K1903" s="33"/>
      <c r="L1903" s="1"/>
      <c r="M1903" s="1"/>
      <c r="N1903" s="1"/>
      <c r="O1903" s="1"/>
      <c r="P1903" s="1"/>
      <c r="Q1903" s="1"/>
    </row>
    <row r="1904" spans="1:17" x14ac:dyDescent="0.25">
      <c r="A1904" s="2">
        <v>44750</v>
      </c>
      <c r="B1904">
        <v>22</v>
      </c>
      <c r="C1904">
        <v>38</v>
      </c>
      <c r="D1904">
        <v>43</v>
      </c>
      <c r="E1904">
        <v>10249</v>
      </c>
      <c r="F1904" s="1" t="s">
        <v>379</v>
      </c>
      <c r="G1904">
        <v>0</v>
      </c>
      <c r="H1904">
        <v>3</v>
      </c>
      <c r="I1904">
        <v>9</v>
      </c>
      <c r="J1904">
        <v>12</v>
      </c>
      <c r="K1904" s="33">
        <v>0.25</v>
      </c>
      <c r="L1904" s="1"/>
      <c r="M1904" s="1" t="str">
        <f>_xlfn.XLOOKUP(ocupacao[[#This Row],[UnidadeID]],unidades!$A:$A,unidades!$B:$B,"",0)</f>
        <v>Filial 1</v>
      </c>
      <c r="N1904" s="1" t="str">
        <f>_xlfn.XLOOKUP(ocupacao[[#This Row],[UnidadeID]],unidades!$A:$A,unidades!$C:$C,"",0)</f>
        <v>Nova Iguaçu</v>
      </c>
      <c r="O1904" s="1" t="str">
        <f>_xlfn.XLOOKUP(ocupacao[[#This Row],[EspecialidadeID]],especialidades!$A:$A,especialidades!$B:$B,"",0)</f>
        <v>MASTOLOGIA</v>
      </c>
      <c r="P1904" s="1" t="str">
        <f>TEXT(WEEKDAY(ocupacao[[#This Row],[Data]]),"ddd")</f>
        <v>sex</v>
      </c>
      <c r="Q1904" s="1">
        <f t="shared" si="29"/>
        <v>0</v>
      </c>
    </row>
    <row r="1905" spans="1:17" hidden="1" x14ac:dyDescent="0.25">
      <c r="A1905" s="2"/>
      <c r="F1905" s="1"/>
      <c r="K1905" s="33"/>
      <c r="L1905" s="1"/>
      <c r="M1905" s="1"/>
      <c r="N1905" s="1"/>
      <c r="O1905" s="1"/>
      <c r="P1905" s="1"/>
      <c r="Q1905" s="1"/>
    </row>
    <row r="1906" spans="1:17" hidden="1" x14ac:dyDescent="0.25">
      <c r="A1906" s="2">
        <v>44751</v>
      </c>
      <c r="B1906">
        <v>22</v>
      </c>
      <c r="C1906">
        <v>38</v>
      </c>
      <c r="D1906">
        <v>44</v>
      </c>
      <c r="E1906">
        <v>10249</v>
      </c>
      <c r="F1906" s="1" t="s">
        <v>379</v>
      </c>
      <c r="G1906">
        <v>0</v>
      </c>
      <c r="H1906">
        <v>2</v>
      </c>
      <c r="I1906">
        <v>22</v>
      </c>
      <c r="J1906">
        <v>24</v>
      </c>
      <c r="K1906" s="33">
        <v>8.3299999999999999E-2</v>
      </c>
      <c r="L1906" s="1"/>
      <c r="M1906" s="1"/>
      <c r="N1906" s="1"/>
      <c r="O1906" s="1"/>
      <c r="P1906" s="1"/>
      <c r="Q1906" s="1"/>
    </row>
    <row r="1907" spans="1:17" x14ac:dyDescent="0.25">
      <c r="A1907" s="2"/>
      <c r="F1907" s="1" t="s">
        <v>106</v>
      </c>
      <c r="K1907" s="33"/>
      <c r="L1907" s="1"/>
      <c r="M1907" s="1">
        <f>_xlfn.XLOOKUP(ocupacao[[#This Row],[UnidadeID]],unidades!$A:$A,unidades!$B:$B,"",0)</f>
        <v>0</v>
      </c>
      <c r="N1907" s="1">
        <f>_xlfn.XLOOKUP(ocupacao[[#This Row],[UnidadeID]],unidades!$A:$A,unidades!$C:$C,"",0)</f>
        <v>0</v>
      </c>
      <c r="O1907" s="1">
        <f>_xlfn.XLOOKUP(ocupacao[[#This Row],[EspecialidadeID]],especialidades!$A:$A,especialidades!$B:$B,"",0)</f>
        <v>0</v>
      </c>
      <c r="P1907" s="1" t="str">
        <f>TEXT(WEEKDAY(ocupacao[[#This Row],[Data]]),"ddd")</f>
        <v>sáb</v>
      </c>
      <c r="Q1907" s="1">
        <f t="shared" si="29"/>
        <v>0</v>
      </c>
    </row>
    <row r="1908" spans="1:17" hidden="1" x14ac:dyDescent="0.25">
      <c r="A1908" s="2">
        <v>44744</v>
      </c>
      <c r="B1908">
        <v>10</v>
      </c>
      <c r="C1908">
        <v>41</v>
      </c>
      <c r="D1908">
        <v>2</v>
      </c>
      <c r="E1908">
        <v>57</v>
      </c>
      <c r="F1908" s="1" t="s">
        <v>88</v>
      </c>
      <c r="G1908">
        <v>0</v>
      </c>
      <c r="H1908">
        <v>0</v>
      </c>
      <c r="I1908">
        <v>27</v>
      </c>
      <c r="J1908">
        <v>27</v>
      </c>
      <c r="K1908" s="33">
        <v>0</v>
      </c>
      <c r="L1908" s="1"/>
      <c r="M1908" s="1"/>
      <c r="N1908" s="1"/>
      <c r="O1908" s="1"/>
      <c r="P1908" s="1"/>
      <c r="Q1908" s="1"/>
    </row>
    <row r="1909" spans="1:17" x14ac:dyDescent="0.25">
      <c r="A1909" s="2">
        <v>44746</v>
      </c>
      <c r="B1909">
        <v>24</v>
      </c>
      <c r="C1909">
        <v>41</v>
      </c>
      <c r="D1909">
        <v>60</v>
      </c>
      <c r="E1909">
        <v>17938</v>
      </c>
      <c r="F1909" s="1" t="s">
        <v>382</v>
      </c>
      <c r="G1909">
        <v>0</v>
      </c>
      <c r="H1909">
        <v>9</v>
      </c>
      <c r="I1909">
        <v>3</v>
      </c>
      <c r="J1909">
        <v>12</v>
      </c>
      <c r="K1909" s="33">
        <v>0.75</v>
      </c>
      <c r="L1909" s="1"/>
      <c r="M1909" s="1" t="str">
        <f>_xlfn.XLOOKUP(ocupacao[[#This Row],[UnidadeID]],unidades!$A:$A,unidades!$B:$B,"",0)</f>
        <v>Nilópolis</v>
      </c>
      <c r="N1909" s="1" t="str">
        <f>_xlfn.XLOOKUP(ocupacao[[#This Row],[UnidadeID]],unidades!$A:$A,unidades!$C:$C,"",0)</f>
        <v>Nilópolis</v>
      </c>
      <c r="O1909" s="1" t="str">
        <f>_xlfn.XLOOKUP(ocupacao[[#This Row],[EspecialidadeID]],especialidades!$A:$A,especialidades!$B:$B,"",0)</f>
        <v>ECOCARDIOGRAMA</v>
      </c>
      <c r="P1909" s="1" t="str">
        <f>TEXT(WEEKDAY(ocupacao[[#This Row],[Data]]),"ddd")</f>
        <v>seg</v>
      </c>
      <c r="Q1909" s="1">
        <f t="shared" si="29"/>
        <v>0</v>
      </c>
    </row>
    <row r="1910" spans="1:17" x14ac:dyDescent="0.25">
      <c r="A1910" s="2">
        <v>44747</v>
      </c>
      <c r="B1910">
        <v>10</v>
      </c>
      <c r="C1910">
        <v>41</v>
      </c>
      <c r="D1910">
        <v>2</v>
      </c>
      <c r="E1910">
        <v>57</v>
      </c>
      <c r="F1910" s="1" t="s">
        <v>88</v>
      </c>
      <c r="G1910">
        <v>0</v>
      </c>
      <c r="H1910">
        <v>1</v>
      </c>
      <c r="I1910">
        <v>23</v>
      </c>
      <c r="J1910">
        <v>24</v>
      </c>
      <c r="K1910" s="33">
        <v>4.1700000000000001E-2</v>
      </c>
      <c r="L1910" s="1"/>
      <c r="M1910" s="1" t="str">
        <f>_xlfn.XLOOKUP(ocupacao[[#This Row],[UnidadeID]],unidades!$A:$A,unidades!$B:$B,"",0)</f>
        <v>Filial 2 - 10º</v>
      </c>
      <c r="N1910" s="1" t="str">
        <f>_xlfn.XLOOKUP(ocupacao[[#This Row],[UnidadeID]],unidades!$A:$A,unidades!$C:$C,"",0)</f>
        <v>Nova Iguaçu</v>
      </c>
      <c r="O1910" s="1" t="str">
        <f>_xlfn.XLOOKUP(ocupacao[[#This Row],[EspecialidadeID]],especialidades!$A:$A,especialidades!$B:$B,"",0)</f>
        <v>ECOCARDIOGRAMA</v>
      </c>
      <c r="P1910" s="1" t="str">
        <f>TEXT(WEEKDAY(ocupacao[[#This Row],[Data]]),"ddd")</f>
        <v>ter</v>
      </c>
      <c r="Q1910" s="1">
        <f t="shared" si="29"/>
        <v>0</v>
      </c>
    </row>
    <row r="1911" spans="1:17" hidden="1" x14ac:dyDescent="0.25">
      <c r="A1911" s="2">
        <v>44747</v>
      </c>
      <c r="B1911">
        <v>22</v>
      </c>
      <c r="C1911">
        <v>41</v>
      </c>
      <c r="D1911">
        <v>334</v>
      </c>
      <c r="E1911">
        <v>72</v>
      </c>
      <c r="F1911" s="1" t="s">
        <v>104</v>
      </c>
      <c r="G1911">
        <v>0</v>
      </c>
      <c r="H1911">
        <v>0</v>
      </c>
      <c r="I1911">
        <v>5</v>
      </c>
      <c r="J1911">
        <v>5</v>
      </c>
      <c r="K1911" s="33">
        <v>0</v>
      </c>
      <c r="L1911" s="1"/>
      <c r="M1911" s="1"/>
      <c r="N1911" s="1"/>
      <c r="O1911" s="1"/>
      <c r="P1911" s="1"/>
      <c r="Q1911" s="1"/>
    </row>
    <row r="1912" spans="1:17" x14ac:dyDescent="0.25">
      <c r="A1912" s="2">
        <v>44748</v>
      </c>
      <c r="B1912">
        <v>10</v>
      </c>
      <c r="C1912">
        <v>41</v>
      </c>
      <c r="D1912">
        <v>2</v>
      </c>
      <c r="E1912">
        <v>57</v>
      </c>
      <c r="F1912" s="1" t="s">
        <v>88</v>
      </c>
      <c r="G1912">
        <v>0</v>
      </c>
      <c r="H1912">
        <v>1</v>
      </c>
      <c r="I1912">
        <v>23</v>
      </c>
      <c r="J1912">
        <v>24</v>
      </c>
      <c r="K1912" s="33">
        <v>4.1700000000000001E-2</v>
      </c>
      <c r="L1912" s="1"/>
      <c r="M1912" s="1" t="str">
        <f>_xlfn.XLOOKUP(ocupacao[[#This Row],[UnidadeID]],unidades!$A:$A,unidades!$B:$B,"",0)</f>
        <v>Filial 2 - 10º</v>
      </c>
      <c r="N1912" s="1" t="str">
        <f>_xlfn.XLOOKUP(ocupacao[[#This Row],[UnidadeID]],unidades!$A:$A,unidades!$C:$C,"",0)</f>
        <v>Nova Iguaçu</v>
      </c>
      <c r="O1912" s="1" t="str">
        <f>_xlfn.XLOOKUP(ocupacao[[#This Row],[EspecialidadeID]],especialidades!$A:$A,especialidades!$B:$B,"",0)</f>
        <v>ECOCARDIOGRAMA</v>
      </c>
      <c r="P1912" s="1" t="str">
        <f>TEXT(WEEKDAY(ocupacao[[#This Row],[Data]]),"ddd")</f>
        <v>qua</v>
      </c>
      <c r="Q1912" s="1">
        <f t="shared" si="29"/>
        <v>0</v>
      </c>
    </row>
    <row r="1913" spans="1:17" hidden="1" x14ac:dyDescent="0.25">
      <c r="A1913" s="2">
        <v>44748</v>
      </c>
      <c r="B1913">
        <v>10</v>
      </c>
      <c r="C1913">
        <v>41</v>
      </c>
      <c r="D1913">
        <v>2</v>
      </c>
      <c r="E1913">
        <v>2396</v>
      </c>
      <c r="F1913" s="1" t="s">
        <v>153</v>
      </c>
      <c r="G1913">
        <v>0</v>
      </c>
      <c r="H1913">
        <v>0</v>
      </c>
      <c r="I1913">
        <v>4</v>
      </c>
      <c r="J1913">
        <v>4</v>
      </c>
      <c r="K1913" s="33">
        <v>0</v>
      </c>
      <c r="L1913" s="1"/>
      <c r="M1913" s="1"/>
      <c r="N1913" s="1"/>
      <c r="O1913" s="1"/>
      <c r="P1913" s="1"/>
      <c r="Q1913" s="1"/>
    </row>
    <row r="1914" spans="1:17" hidden="1" x14ac:dyDescent="0.25">
      <c r="A1914" s="2">
        <v>44748</v>
      </c>
      <c r="B1914">
        <v>10</v>
      </c>
      <c r="C1914">
        <v>41</v>
      </c>
      <c r="D1914">
        <v>2</v>
      </c>
      <c r="E1914">
        <v>2396</v>
      </c>
      <c r="F1914" s="1" t="s">
        <v>153</v>
      </c>
      <c r="G1914">
        <v>0</v>
      </c>
      <c r="H1914">
        <v>12</v>
      </c>
      <c r="I1914">
        <v>4</v>
      </c>
      <c r="J1914">
        <v>16</v>
      </c>
      <c r="K1914" s="33">
        <v>0.75</v>
      </c>
      <c r="L1914" s="1"/>
      <c r="M1914" s="1"/>
      <c r="N1914" s="1"/>
      <c r="O1914" s="1"/>
      <c r="P1914" s="1"/>
      <c r="Q1914" s="1"/>
    </row>
    <row r="1915" spans="1:17" hidden="1" x14ac:dyDescent="0.25">
      <c r="A1915" s="2">
        <v>44748</v>
      </c>
      <c r="B1915">
        <v>18</v>
      </c>
      <c r="C1915">
        <v>41</v>
      </c>
      <c r="D1915">
        <v>360</v>
      </c>
      <c r="E1915">
        <v>17864</v>
      </c>
      <c r="F1915" s="1" t="s">
        <v>372</v>
      </c>
      <c r="G1915">
        <v>0</v>
      </c>
      <c r="H1915">
        <v>0</v>
      </c>
      <c r="I1915">
        <v>28</v>
      </c>
      <c r="J1915">
        <v>28</v>
      </c>
      <c r="K1915" s="33">
        <v>0</v>
      </c>
      <c r="L1915" s="1"/>
      <c r="M1915" s="1"/>
      <c r="N1915" s="1"/>
      <c r="O1915" s="1"/>
      <c r="P1915" s="1"/>
      <c r="Q1915" s="1"/>
    </row>
    <row r="1916" spans="1:17" x14ac:dyDescent="0.25">
      <c r="A1916" s="2">
        <v>44748</v>
      </c>
      <c r="B1916">
        <v>18</v>
      </c>
      <c r="C1916">
        <v>41</v>
      </c>
      <c r="D1916">
        <v>360</v>
      </c>
      <c r="E1916">
        <v>17864</v>
      </c>
      <c r="F1916" s="1" t="s">
        <v>372</v>
      </c>
      <c r="G1916">
        <v>0</v>
      </c>
      <c r="H1916">
        <v>1</v>
      </c>
      <c r="I1916">
        <v>28</v>
      </c>
      <c r="J1916">
        <v>29</v>
      </c>
      <c r="K1916" s="33">
        <v>3.4500000000000003E-2</v>
      </c>
      <c r="L1916" s="1"/>
      <c r="M1916" s="1" t="str">
        <f>_xlfn.XLOOKUP(ocupacao[[#This Row],[UnidadeID]],unidades!$A:$A,unidades!$B:$B,"",0)</f>
        <v>Miguel Couto</v>
      </c>
      <c r="N1916" s="1" t="str">
        <f>_xlfn.XLOOKUP(ocupacao[[#This Row],[UnidadeID]],unidades!$A:$A,unidades!$C:$C,"",0)</f>
        <v>Miguel Couto</v>
      </c>
      <c r="O1916" s="1" t="str">
        <f>_xlfn.XLOOKUP(ocupacao[[#This Row],[EspecialidadeID]],especialidades!$A:$A,especialidades!$B:$B,"",0)</f>
        <v>ECOCARDIOGRAMA</v>
      </c>
      <c r="P1916" s="1" t="str">
        <f>TEXT(WEEKDAY(ocupacao[[#This Row],[Data]]),"ddd")</f>
        <v>qua</v>
      </c>
      <c r="Q1916" s="1">
        <f t="shared" si="29"/>
        <v>0</v>
      </c>
    </row>
    <row r="1917" spans="1:17" hidden="1" x14ac:dyDescent="0.25">
      <c r="A1917" s="2"/>
      <c r="F1917" s="1"/>
      <c r="K1917" s="33"/>
      <c r="L1917" s="1"/>
      <c r="M1917" s="1"/>
      <c r="N1917" s="1"/>
      <c r="O1917" s="1"/>
      <c r="P1917" s="1"/>
      <c r="Q1917" s="1"/>
    </row>
    <row r="1918" spans="1:17" x14ac:dyDescent="0.25">
      <c r="A1918" s="2">
        <v>44750</v>
      </c>
      <c r="B1918">
        <v>10</v>
      </c>
      <c r="C1918">
        <v>41</v>
      </c>
      <c r="D1918">
        <v>2</v>
      </c>
      <c r="E1918">
        <v>57</v>
      </c>
      <c r="F1918" s="1" t="s">
        <v>88</v>
      </c>
      <c r="G1918">
        <v>0</v>
      </c>
      <c r="H1918">
        <v>1</v>
      </c>
      <c r="I1918">
        <v>21</v>
      </c>
      <c r="J1918">
        <v>22</v>
      </c>
      <c r="K1918" s="33">
        <v>4.5499999999999999E-2</v>
      </c>
      <c r="L1918" s="1"/>
      <c r="M1918" s="1" t="str">
        <f>_xlfn.XLOOKUP(ocupacao[[#This Row],[UnidadeID]],unidades!$A:$A,unidades!$B:$B,"",0)</f>
        <v>Filial 2 - 10º</v>
      </c>
      <c r="N1918" s="1" t="str">
        <f>_xlfn.XLOOKUP(ocupacao[[#This Row],[UnidadeID]],unidades!$A:$A,unidades!$C:$C,"",0)</f>
        <v>Nova Iguaçu</v>
      </c>
      <c r="O1918" s="1" t="str">
        <f>_xlfn.XLOOKUP(ocupacao[[#This Row],[EspecialidadeID]],especialidades!$A:$A,especialidades!$B:$B,"",0)</f>
        <v>ECOCARDIOGRAMA</v>
      </c>
      <c r="P1918" s="1" t="str">
        <f>TEXT(WEEKDAY(ocupacao[[#This Row],[Data]]),"ddd")</f>
        <v>sex</v>
      </c>
      <c r="Q1918" s="1">
        <f t="shared" si="29"/>
        <v>1</v>
      </c>
    </row>
    <row r="1919" spans="1:17" hidden="1" x14ac:dyDescent="0.25">
      <c r="A1919" s="2">
        <v>44751</v>
      </c>
      <c r="B1919">
        <v>10</v>
      </c>
      <c r="C1919">
        <v>41</v>
      </c>
      <c r="D1919">
        <v>2</v>
      </c>
      <c r="E1919">
        <v>57</v>
      </c>
      <c r="F1919" s="1" t="s">
        <v>88</v>
      </c>
      <c r="G1919">
        <v>0</v>
      </c>
      <c r="H1919">
        <v>0</v>
      </c>
      <c r="I1919">
        <v>26</v>
      </c>
      <c r="J1919">
        <v>26</v>
      </c>
      <c r="K1919" s="33">
        <v>0</v>
      </c>
      <c r="L1919" s="1"/>
      <c r="M1919" s="1"/>
      <c r="N1919" s="1"/>
      <c r="O1919" s="1"/>
      <c r="P1919" s="1"/>
      <c r="Q1919" s="1"/>
    </row>
    <row r="1920" spans="1:17" x14ac:dyDescent="0.25">
      <c r="A1920" s="2">
        <v>44751</v>
      </c>
      <c r="B1920">
        <v>10</v>
      </c>
      <c r="C1920">
        <v>41</v>
      </c>
      <c r="D1920">
        <v>2</v>
      </c>
      <c r="E1920">
        <v>57</v>
      </c>
      <c r="F1920" s="1" t="s">
        <v>88</v>
      </c>
      <c r="G1920">
        <v>0</v>
      </c>
      <c r="H1920">
        <v>1</v>
      </c>
      <c r="I1920">
        <v>26</v>
      </c>
      <c r="J1920">
        <v>27</v>
      </c>
      <c r="K1920" s="33">
        <v>3.6999999999999998E-2</v>
      </c>
      <c r="L1920" s="1"/>
      <c r="M1920" s="1" t="str">
        <f>_xlfn.XLOOKUP(ocupacao[[#This Row],[UnidadeID]],unidades!$A:$A,unidades!$B:$B,"",0)</f>
        <v>Filial 2 - 10º</v>
      </c>
      <c r="N1920" s="1" t="str">
        <f>_xlfn.XLOOKUP(ocupacao[[#This Row],[UnidadeID]],unidades!$A:$A,unidades!$C:$C,"",0)</f>
        <v>Nova Iguaçu</v>
      </c>
      <c r="O1920" s="1" t="str">
        <f>_xlfn.XLOOKUP(ocupacao[[#This Row],[EspecialidadeID]],especialidades!$A:$A,especialidades!$B:$B,"",0)</f>
        <v>ECOCARDIOGRAMA</v>
      </c>
      <c r="P1920" s="1" t="str">
        <f>TEXT(WEEKDAY(ocupacao[[#This Row],[Data]]),"ddd")</f>
        <v>sáb</v>
      </c>
      <c r="Q1920" s="1">
        <f t="shared" si="29"/>
        <v>0</v>
      </c>
    </row>
    <row r="1921" spans="1:17" x14ac:dyDescent="0.25">
      <c r="A1921" s="2">
        <v>44753</v>
      </c>
      <c r="B1921">
        <v>24</v>
      </c>
      <c r="C1921">
        <v>41</v>
      </c>
      <c r="D1921">
        <v>60</v>
      </c>
      <c r="E1921">
        <v>17938</v>
      </c>
      <c r="F1921" s="1" t="s">
        <v>382</v>
      </c>
      <c r="G1921">
        <v>0</v>
      </c>
      <c r="H1921">
        <v>0</v>
      </c>
      <c r="I1921">
        <v>12</v>
      </c>
      <c r="J1921">
        <v>12</v>
      </c>
      <c r="K1921" s="33">
        <v>0</v>
      </c>
      <c r="L1921" s="1"/>
      <c r="M1921" s="1" t="str">
        <f>_xlfn.XLOOKUP(ocupacao[[#This Row],[UnidadeID]],unidades!$A:$A,unidades!$B:$B,"",0)</f>
        <v>Nilópolis</v>
      </c>
      <c r="N1921" s="1" t="str">
        <f>_xlfn.XLOOKUP(ocupacao[[#This Row],[UnidadeID]],unidades!$A:$A,unidades!$C:$C,"",0)</f>
        <v>Nilópolis</v>
      </c>
      <c r="O1921" s="1" t="str">
        <f>_xlfn.XLOOKUP(ocupacao[[#This Row],[EspecialidadeID]],especialidades!$A:$A,especialidades!$B:$B,"",0)</f>
        <v>ECOCARDIOGRAMA</v>
      </c>
      <c r="P1921" s="1" t="str">
        <f>TEXT(WEEKDAY(ocupacao[[#This Row],[Data]]),"ddd")</f>
        <v>seg</v>
      </c>
      <c r="Q1921" s="1">
        <f t="shared" si="29"/>
        <v>0</v>
      </c>
    </row>
    <row r="1922" spans="1:17" x14ac:dyDescent="0.25">
      <c r="A1922" s="2">
        <v>44754</v>
      </c>
      <c r="B1922">
        <v>10</v>
      </c>
      <c r="C1922">
        <v>41</v>
      </c>
      <c r="D1922">
        <v>2</v>
      </c>
      <c r="E1922">
        <v>57</v>
      </c>
      <c r="F1922" s="1" t="s">
        <v>88</v>
      </c>
      <c r="G1922">
        <v>0</v>
      </c>
      <c r="H1922">
        <v>0</v>
      </c>
      <c r="I1922">
        <v>24</v>
      </c>
      <c r="J1922">
        <v>24</v>
      </c>
      <c r="K1922" s="33">
        <v>0</v>
      </c>
      <c r="L1922" s="1"/>
      <c r="M1922" s="1" t="str">
        <f>_xlfn.XLOOKUP(ocupacao[[#This Row],[UnidadeID]],unidades!$A:$A,unidades!$B:$B,"",0)</f>
        <v>Filial 2 - 10º</v>
      </c>
      <c r="N1922" s="1" t="str">
        <f>_xlfn.XLOOKUP(ocupacao[[#This Row],[UnidadeID]],unidades!$A:$A,unidades!$C:$C,"",0)</f>
        <v>Nova Iguaçu</v>
      </c>
      <c r="O1922" s="1" t="str">
        <f>_xlfn.XLOOKUP(ocupacao[[#This Row],[EspecialidadeID]],especialidades!$A:$A,especialidades!$B:$B,"",0)</f>
        <v>ECOCARDIOGRAMA</v>
      </c>
      <c r="P1922" s="1" t="str">
        <f>TEXT(WEEKDAY(ocupacao[[#This Row],[Data]]),"ddd")</f>
        <v>ter</v>
      </c>
      <c r="Q1922" s="1">
        <f t="shared" ref="Q1922:Q1977" si="30">IF(F1922=F1923,1,0)</f>
        <v>0</v>
      </c>
    </row>
    <row r="1923" spans="1:17" x14ac:dyDescent="0.25">
      <c r="A1923" s="2">
        <v>44754</v>
      </c>
      <c r="B1923">
        <v>22</v>
      </c>
      <c r="C1923">
        <v>41</v>
      </c>
      <c r="D1923">
        <v>334</v>
      </c>
      <c r="E1923">
        <v>72</v>
      </c>
      <c r="F1923" s="1" t="s">
        <v>104</v>
      </c>
      <c r="G1923">
        <v>0</v>
      </c>
      <c r="H1923">
        <v>0</v>
      </c>
      <c r="I1923">
        <v>5</v>
      </c>
      <c r="J1923">
        <v>5</v>
      </c>
      <c r="K1923" s="33">
        <v>0</v>
      </c>
      <c r="L1923" s="1"/>
      <c r="M1923" s="1" t="str">
        <f>_xlfn.XLOOKUP(ocupacao[[#This Row],[UnidadeID]],unidades!$A:$A,unidades!$B:$B,"",0)</f>
        <v>Filial 1</v>
      </c>
      <c r="N1923" s="1" t="str">
        <f>_xlfn.XLOOKUP(ocupacao[[#This Row],[UnidadeID]],unidades!$A:$A,unidades!$C:$C,"",0)</f>
        <v>Nova Iguaçu</v>
      </c>
      <c r="O1923" s="1" t="str">
        <f>_xlfn.XLOOKUP(ocupacao[[#This Row],[EspecialidadeID]],especialidades!$A:$A,especialidades!$B:$B,"",0)</f>
        <v>ECOCARDIOGRAMA</v>
      </c>
      <c r="P1923" s="1" t="str">
        <f>TEXT(WEEKDAY(ocupacao[[#This Row],[Data]]),"ddd")</f>
        <v>ter</v>
      </c>
      <c r="Q1923" s="1">
        <f t="shared" si="30"/>
        <v>0</v>
      </c>
    </row>
    <row r="1924" spans="1:17" x14ac:dyDescent="0.25">
      <c r="A1924" s="2">
        <v>44755</v>
      </c>
      <c r="B1924">
        <v>10</v>
      </c>
      <c r="C1924">
        <v>41</v>
      </c>
      <c r="D1924">
        <v>2</v>
      </c>
      <c r="E1924">
        <v>57</v>
      </c>
      <c r="F1924" s="1" t="s">
        <v>88</v>
      </c>
      <c r="G1924">
        <v>0</v>
      </c>
      <c r="H1924">
        <v>0</v>
      </c>
      <c r="I1924">
        <v>24</v>
      </c>
      <c r="J1924">
        <v>24</v>
      </c>
      <c r="K1924" s="33">
        <v>0</v>
      </c>
      <c r="L1924" s="1"/>
      <c r="M1924" s="1" t="str">
        <f>_xlfn.XLOOKUP(ocupacao[[#This Row],[UnidadeID]],unidades!$A:$A,unidades!$B:$B,"",0)</f>
        <v>Filial 2 - 10º</v>
      </c>
      <c r="N1924" s="1" t="str">
        <f>_xlfn.XLOOKUP(ocupacao[[#This Row],[UnidadeID]],unidades!$A:$A,unidades!$C:$C,"",0)</f>
        <v>Nova Iguaçu</v>
      </c>
      <c r="O1924" s="1" t="str">
        <f>_xlfn.XLOOKUP(ocupacao[[#This Row],[EspecialidadeID]],especialidades!$A:$A,especialidades!$B:$B,"",0)</f>
        <v>ECOCARDIOGRAMA</v>
      </c>
      <c r="P1924" s="1" t="str">
        <f>TEXT(WEEKDAY(ocupacao[[#This Row],[Data]]),"ddd")</f>
        <v>qua</v>
      </c>
      <c r="Q1924" s="1">
        <f t="shared" si="30"/>
        <v>0</v>
      </c>
    </row>
    <row r="1925" spans="1:17" hidden="1" x14ac:dyDescent="0.25">
      <c r="A1925" s="2">
        <v>44755</v>
      </c>
      <c r="B1925">
        <v>10</v>
      </c>
      <c r="C1925">
        <v>41</v>
      </c>
      <c r="D1925">
        <v>2</v>
      </c>
      <c r="E1925">
        <v>2396</v>
      </c>
      <c r="F1925" s="1" t="s">
        <v>153</v>
      </c>
      <c r="G1925">
        <v>0</v>
      </c>
      <c r="H1925">
        <v>0</v>
      </c>
      <c r="I1925">
        <v>16</v>
      </c>
      <c r="J1925">
        <v>16</v>
      </c>
      <c r="K1925" s="33">
        <v>0</v>
      </c>
      <c r="L1925" s="1"/>
      <c r="M1925" s="1"/>
      <c r="N1925" s="1"/>
      <c r="O1925" s="1"/>
      <c r="P1925" s="1"/>
      <c r="Q1925" s="1"/>
    </row>
    <row r="1926" spans="1:17" hidden="1" x14ac:dyDescent="0.25">
      <c r="A1926" s="2"/>
      <c r="F1926" s="1"/>
      <c r="K1926" s="33"/>
      <c r="L1926" s="1"/>
      <c r="M1926" s="1"/>
      <c r="N1926" s="1"/>
      <c r="O1926" s="1"/>
      <c r="P1926" s="1"/>
      <c r="Q1926" s="1"/>
    </row>
    <row r="1927" spans="1:17" hidden="1" x14ac:dyDescent="0.25">
      <c r="A1927" s="2">
        <v>44755</v>
      </c>
      <c r="B1927">
        <v>18</v>
      </c>
      <c r="C1927">
        <v>41</v>
      </c>
      <c r="D1927">
        <v>360</v>
      </c>
      <c r="E1927">
        <v>17864</v>
      </c>
      <c r="F1927" s="1" t="s">
        <v>372</v>
      </c>
      <c r="G1927">
        <v>0</v>
      </c>
      <c r="H1927">
        <v>1</v>
      </c>
      <c r="I1927">
        <v>28</v>
      </c>
      <c r="J1927">
        <v>29</v>
      </c>
      <c r="K1927" s="33">
        <v>3.4500000000000003E-2</v>
      </c>
      <c r="L1927" s="1"/>
      <c r="M1927" s="1"/>
      <c r="N1927" s="1"/>
      <c r="O1927" s="1"/>
      <c r="P1927" s="1"/>
      <c r="Q1927" s="1"/>
    </row>
    <row r="1928" spans="1:17" x14ac:dyDescent="0.25">
      <c r="A1928" s="2">
        <v>44756</v>
      </c>
      <c r="B1928">
        <v>10</v>
      </c>
      <c r="C1928">
        <v>41</v>
      </c>
      <c r="D1928">
        <v>2</v>
      </c>
      <c r="E1928">
        <v>57</v>
      </c>
      <c r="F1928" s="1" t="s">
        <v>88</v>
      </c>
      <c r="G1928">
        <v>0</v>
      </c>
      <c r="H1928">
        <v>0</v>
      </c>
      <c r="I1928">
        <v>20</v>
      </c>
      <c r="J1928">
        <v>20</v>
      </c>
      <c r="K1928" s="33">
        <v>0</v>
      </c>
      <c r="L1928" s="1"/>
      <c r="M1928" s="1" t="str">
        <f>_xlfn.XLOOKUP(ocupacao[[#This Row],[UnidadeID]],unidades!$A:$A,unidades!$B:$B,"",0)</f>
        <v>Filial 2 - 10º</v>
      </c>
      <c r="N1928" s="1" t="str">
        <f>_xlfn.XLOOKUP(ocupacao[[#This Row],[UnidadeID]],unidades!$A:$A,unidades!$C:$C,"",0)</f>
        <v>Nova Iguaçu</v>
      </c>
      <c r="O1928" s="1" t="str">
        <f>_xlfn.XLOOKUP(ocupacao[[#This Row],[EspecialidadeID]],especialidades!$A:$A,especialidades!$B:$B,"",0)</f>
        <v>ECOCARDIOGRAMA</v>
      </c>
      <c r="P1928" s="1" t="str">
        <f>TEXT(WEEKDAY(ocupacao[[#This Row],[Data]]),"ddd")</f>
        <v>qui</v>
      </c>
      <c r="Q1928" s="1">
        <f t="shared" si="30"/>
        <v>0</v>
      </c>
    </row>
    <row r="1929" spans="1:17" hidden="1" x14ac:dyDescent="0.25">
      <c r="A1929" s="2"/>
      <c r="F1929" s="1" t="s">
        <v>106</v>
      </c>
      <c r="K1929" s="33"/>
      <c r="L1929" s="1"/>
      <c r="M1929" s="1"/>
      <c r="N1929" s="1"/>
      <c r="O1929" s="1"/>
      <c r="P1929" s="1"/>
      <c r="Q1929" s="1"/>
    </row>
    <row r="1930" spans="1:17" hidden="1" x14ac:dyDescent="0.25">
      <c r="A1930" s="2"/>
      <c r="F1930" s="1"/>
      <c r="K1930" s="33"/>
      <c r="L1930" s="1"/>
      <c r="M1930" s="1"/>
      <c r="N1930" s="1"/>
      <c r="O1930" s="1"/>
      <c r="P1930" s="1"/>
      <c r="Q1930" s="1"/>
    </row>
    <row r="1931" spans="1:17" hidden="1" x14ac:dyDescent="0.25">
      <c r="A1931" s="2">
        <v>44746</v>
      </c>
      <c r="B1931">
        <v>33</v>
      </c>
      <c r="C1931">
        <v>42</v>
      </c>
      <c r="D1931">
        <v>368</v>
      </c>
      <c r="E1931">
        <v>9123</v>
      </c>
      <c r="F1931" s="1" t="s">
        <v>299</v>
      </c>
      <c r="G1931">
        <v>0</v>
      </c>
      <c r="H1931">
        <v>0</v>
      </c>
      <c r="I1931">
        <v>41</v>
      </c>
      <c r="J1931">
        <v>41</v>
      </c>
      <c r="K1931" s="33">
        <v>0</v>
      </c>
      <c r="L1931" s="1"/>
      <c r="M1931" s="1"/>
      <c r="N1931" s="1"/>
      <c r="O1931" s="1"/>
      <c r="P1931" s="1"/>
      <c r="Q1931" s="1"/>
    </row>
    <row r="1932" spans="1:17" hidden="1" x14ac:dyDescent="0.25">
      <c r="A1932" s="2"/>
      <c r="F1932" s="1"/>
      <c r="K1932" s="33"/>
      <c r="L1932" s="1"/>
      <c r="M1932" s="1"/>
      <c r="N1932" s="1"/>
      <c r="O1932" s="1"/>
      <c r="P1932" s="1"/>
      <c r="Q1932" s="1"/>
    </row>
    <row r="1933" spans="1:17" hidden="1" x14ac:dyDescent="0.25">
      <c r="A1933" s="2"/>
      <c r="F1933" s="1"/>
      <c r="K1933" s="33"/>
      <c r="L1933" s="1"/>
      <c r="M1933" s="1"/>
      <c r="N1933" s="1"/>
      <c r="O1933" s="1"/>
      <c r="P1933" s="1"/>
      <c r="Q1933" s="1"/>
    </row>
    <row r="1934" spans="1:17" hidden="1" x14ac:dyDescent="0.25">
      <c r="A1934" s="2"/>
      <c r="F1934" s="1"/>
      <c r="K1934" s="33"/>
      <c r="L1934" s="1"/>
      <c r="M1934" s="1"/>
      <c r="N1934" s="1"/>
      <c r="O1934" s="1"/>
      <c r="P1934" s="1"/>
      <c r="Q1934" s="1"/>
    </row>
    <row r="1935" spans="1:17" hidden="1" x14ac:dyDescent="0.25">
      <c r="A1935" s="2"/>
      <c r="F1935" s="1"/>
      <c r="K1935" s="33"/>
      <c r="L1935" s="1"/>
      <c r="M1935" s="1"/>
      <c r="N1935" s="1"/>
      <c r="O1935" s="1"/>
      <c r="P1935" s="1"/>
      <c r="Q1935" s="1"/>
    </row>
    <row r="1936" spans="1:17" hidden="1" x14ac:dyDescent="0.25">
      <c r="A1936" s="2"/>
      <c r="F1936" s="1"/>
      <c r="K1936" s="33"/>
      <c r="L1936" s="1"/>
      <c r="M1936" s="1"/>
      <c r="N1936" s="1"/>
      <c r="O1936" s="1"/>
      <c r="P1936" s="1"/>
      <c r="Q1936" s="1"/>
    </row>
    <row r="1937" spans="1:17" hidden="1" x14ac:dyDescent="0.25">
      <c r="A1937" s="2"/>
      <c r="F1937" s="1"/>
      <c r="K1937" s="33"/>
      <c r="L1937" s="1"/>
      <c r="M1937" s="1"/>
      <c r="N1937" s="1"/>
      <c r="O1937" s="1"/>
      <c r="P1937" s="1"/>
      <c r="Q1937" s="1"/>
    </row>
    <row r="1938" spans="1:17" hidden="1" x14ac:dyDescent="0.25">
      <c r="A1938" s="2">
        <v>44754</v>
      </c>
      <c r="B1938">
        <v>33</v>
      </c>
      <c r="C1938">
        <v>42</v>
      </c>
      <c r="D1938">
        <v>368</v>
      </c>
      <c r="E1938">
        <v>9123</v>
      </c>
      <c r="F1938" s="1" t="s">
        <v>299</v>
      </c>
      <c r="G1938">
        <v>0</v>
      </c>
      <c r="H1938">
        <v>0</v>
      </c>
      <c r="I1938">
        <v>41</v>
      </c>
      <c r="J1938">
        <v>41</v>
      </c>
      <c r="K1938" s="33">
        <v>0</v>
      </c>
      <c r="L1938" s="1"/>
      <c r="M1938" s="1"/>
      <c r="N1938" s="1"/>
      <c r="O1938" s="1"/>
      <c r="P1938" s="1"/>
      <c r="Q1938" s="1"/>
    </row>
    <row r="1939" spans="1:17" hidden="1" x14ac:dyDescent="0.25">
      <c r="A1939" s="2"/>
      <c r="F1939" s="1"/>
      <c r="K1939" s="33"/>
      <c r="L1939" s="1"/>
      <c r="M1939" s="1"/>
      <c r="N1939" s="1"/>
      <c r="O1939" s="1"/>
      <c r="P1939" s="1"/>
      <c r="Q1939" s="1"/>
    </row>
    <row r="1940" spans="1:17" x14ac:dyDescent="0.25">
      <c r="A1940" s="2">
        <v>44756</v>
      </c>
      <c r="B1940">
        <v>33</v>
      </c>
      <c r="C1940">
        <v>42</v>
      </c>
      <c r="D1940">
        <v>368</v>
      </c>
      <c r="E1940">
        <v>9123</v>
      </c>
      <c r="F1940" s="1" t="s">
        <v>299</v>
      </c>
      <c r="G1940">
        <v>0</v>
      </c>
      <c r="H1940">
        <v>0</v>
      </c>
      <c r="I1940">
        <v>41</v>
      </c>
      <c r="J1940">
        <v>41</v>
      </c>
      <c r="K1940" s="33">
        <v>0</v>
      </c>
      <c r="L1940" s="1"/>
      <c r="M1940" s="1" t="str">
        <f>_xlfn.XLOOKUP(ocupacao[[#This Row],[UnidadeID]],unidades!$A:$A,unidades!$B:$B,"",0)</f>
        <v>Seggastro</v>
      </c>
      <c r="N1940" s="1" t="str">
        <f>_xlfn.XLOOKUP(ocupacao[[#This Row],[UnidadeID]],unidades!$A:$A,unidades!$C:$C,"",0)</f>
        <v>Nova Iguaçu</v>
      </c>
      <c r="O1940" s="1" t="str">
        <f>_xlfn.XLOOKUP(ocupacao[[#This Row],[EspecialidadeID]],especialidades!$A:$A,especialidades!$B:$B,"",0)</f>
        <v>ENDOSCOPIA</v>
      </c>
      <c r="P1940" s="1" t="str">
        <f>TEXT(WEEKDAY(ocupacao[[#This Row],[Data]]),"ddd")</f>
        <v>qui</v>
      </c>
      <c r="Q1940" s="1">
        <f t="shared" si="30"/>
        <v>0</v>
      </c>
    </row>
    <row r="1941" spans="1:17" hidden="1" x14ac:dyDescent="0.25">
      <c r="A1941" s="2"/>
      <c r="F1941" s="1" t="s">
        <v>106</v>
      </c>
      <c r="K1941" s="33"/>
      <c r="L1941" s="1"/>
      <c r="M1941" s="1"/>
      <c r="N1941" s="1"/>
      <c r="O1941" s="1"/>
      <c r="P1941" s="1"/>
      <c r="Q1941" s="1"/>
    </row>
    <row r="1942" spans="1:17" hidden="1" x14ac:dyDescent="0.25">
      <c r="A1942" s="2">
        <v>44744</v>
      </c>
      <c r="B1942">
        <v>24</v>
      </c>
      <c r="C1942">
        <v>46</v>
      </c>
      <c r="D1942">
        <v>55</v>
      </c>
      <c r="E1942">
        <v>17907</v>
      </c>
      <c r="F1942" s="1" t="s">
        <v>304</v>
      </c>
      <c r="G1942">
        <v>0</v>
      </c>
      <c r="H1942">
        <v>0</v>
      </c>
      <c r="I1942">
        <v>15</v>
      </c>
      <c r="J1942">
        <v>15</v>
      </c>
      <c r="K1942" s="33">
        <v>0</v>
      </c>
      <c r="L1942" s="1"/>
      <c r="M1942" s="1"/>
      <c r="N1942" s="1"/>
      <c r="O1942" s="1"/>
      <c r="P1942" s="1"/>
      <c r="Q1942" s="1"/>
    </row>
    <row r="1943" spans="1:17" hidden="1" x14ac:dyDescent="0.25">
      <c r="A1943" s="2">
        <v>44744</v>
      </c>
      <c r="B1943">
        <v>0</v>
      </c>
      <c r="C1943">
        <v>46</v>
      </c>
      <c r="D1943">
        <v>25</v>
      </c>
      <c r="E1943">
        <v>17908</v>
      </c>
      <c r="F1943" s="1" t="s">
        <v>305</v>
      </c>
      <c r="G1943">
        <v>0</v>
      </c>
      <c r="H1943">
        <v>0</v>
      </c>
      <c r="I1943">
        <v>18</v>
      </c>
      <c r="J1943">
        <v>18</v>
      </c>
      <c r="K1943" s="33">
        <v>0</v>
      </c>
      <c r="L1943" s="1"/>
      <c r="M1943" s="1"/>
      <c r="N1943" s="1"/>
      <c r="O1943" s="1"/>
      <c r="P1943" s="1"/>
      <c r="Q1943" s="1"/>
    </row>
    <row r="1944" spans="1:17" hidden="1" x14ac:dyDescent="0.25">
      <c r="A1944" s="2">
        <v>44744</v>
      </c>
      <c r="B1944">
        <v>34</v>
      </c>
      <c r="C1944">
        <v>46</v>
      </c>
      <c r="D1944">
        <v>380</v>
      </c>
      <c r="E1944">
        <v>18021</v>
      </c>
      <c r="F1944" s="1" t="s">
        <v>796</v>
      </c>
      <c r="G1944">
        <v>0</v>
      </c>
      <c r="H1944">
        <v>0</v>
      </c>
      <c r="I1944">
        <v>14</v>
      </c>
      <c r="J1944">
        <v>14</v>
      </c>
      <c r="K1944" s="33">
        <v>0</v>
      </c>
      <c r="L1944" s="1"/>
      <c r="M1944" s="1"/>
      <c r="N1944" s="1"/>
      <c r="O1944" s="1"/>
      <c r="P1944" s="1"/>
      <c r="Q1944" s="1"/>
    </row>
    <row r="1945" spans="1:17" hidden="1" x14ac:dyDescent="0.25">
      <c r="A1945" s="2">
        <v>44745</v>
      </c>
      <c r="B1945">
        <v>0</v>
      </c>
      <c r="C1945">
        <v>46</v>
      </c>
      <c r="D1945">
        <v>25</v>
      </c>
      <c r="E1945">
        <v>17908</v>
      </c>
      <c r="F1945" s="1" t="s">
        <v>305</v>
      </c>
      <c r="G1945">
        <v>0</v>
      </c>
      <c r="H1945">
        <v>0</v>
      </c>
      <c r="I1945">
        <v>12</v>
      </c>
      <c r="J1945">
        <v>12</v>
      </c>
      <c r="K1945" s="33">
        <v>0</v>
      </c>
      <c r="L1945" s="1"/>
      <c r="M1945" s="1"/>
      <c r="N1945" s="1"/>
      <c r="O1945" s="1"/>
      <c r="P1945" s="1"/>
      <c r="Q1945" s="1"/>
    </row>
    <row r="1946" spans="1:17" hidden="1" x14ac:dyDescent="0.25">
      <c r="A1946" s="2">
        <v>44746</v>
      </c>
      <c r="B1946">
        <v>24</v>
      </c>
      <c r="C1946">
        <v>46</v>
      </c>
      <c r="D1946">
        <v>55</v>
      </c>
      <c r="E1946">
        <v>17907</v>
      </c>
      <c r="F1946" s="1" t="s">
        <v>304</v>
      </c>
      <c r="G1946">
        <v>0</v>
      </c>
      <c r="H1946">
        <v>0</v>
      </c>
      <c r="I1946">
        <v>22</v>
      </c>
      <c r="J1946">
        <v>22</v>
      </c>
      <c r="K1946" s="33">
        <v>0</v>
      </c>
      <c r="L1946" s="1"/>
      <c r="M1946" s="1"/>
      <c r="N1946" s="1"/>
      <c r="O1946" s="1"/>
      <c r="P1946" s="1"/>
      <c r="Q1946" s="1"/>
    </row>
    <row r="1947" spans="1:17" hidden="1" x14ac:dyDescent="0.25">
      <c r="A1947" s="2">
        <v>44746</v>
      </c>
      <c r="B1947">
        <v>0</v>
      </c>
      <c r="C1947">
        <v>46</v>
      </c>
      <c r="D1947">
        <v>25</v>
      </c>
      <c r="E1947">
        <v>17908</v>
      </c>
      <c r="F1947" s="1" t="s">
        <v>305</v>
      </c>
      <c r="G1947">
        <v>0</v>
      </c>
      <c r="H1947">
        <v>0</v>
      </c>
      <c r="I1947">
        <v>24</v>
      </c>
      <c r="J1947">
        <v>24</v>
      </c>
      <c r="K1947" s="33">
        <v>0</v>
      </c>
      <c r="L1947" s="1"/>
      <c r="M1947" s="1"/>
      <c r="N1947" s="1"/>
      <c r="O1947" s="1"/>
      <c r="P1947" s="1"/>
      <c r="Q1947" s="1"/>
    </row>
    <row r="1948" spans="1:17" hidden="1" x14ac:dyDescent="0.25">
      <c r="A1948" s="2">
        <v>44746</v>
      </c>
      <c r="B1948">
        <v>34</v>
      </c>
      <c r="C1948">
        <v>46</v>
      </c>
      <c r="D1948">
        <v>380</v>
      </c>
      <c r="E1948">
        <v>18021</v>
      </c>
      <c r="F1948" s="1" t="s">
        <v>796</v>
      </c>
      <c r="G1948">
        <v>0</v>
      </c>
      <c r="H1948">
        <v>0</v>
      </c>
      <c r="I1948">
        <v>22</v>
      </c>
      <c r="J1948">
        <v>22</v>
      </c>
      <c r="K1948" s="33">
        <v>0</v>
      </c>
      <c r="L1948" s="1"/>
      <c r="M1948" s="1"/>
      <c r="N1948" s="1"/>
      <c r="O1948" s="1"/>
      <c r="P1948" s="1"/>
      <c r="Q1948" s="1"/>
    </row>
    <row r="1949" spans="1:17" hidden="1" x14ac:dyDescent="0.25">
      <c r="A1949" s="2">
        <v>44747</v>
      </c>
      <c r="B1949">
        <v>24</v>
      </c>
      <c r="C1949">
        <v>46</v>
      </c>
      <c r="D1949">
        <v>55</v>
      </c>
      <c r="E1949">
        <v>17907</v>
      </c>
      <c r="F1949" s="1" t="s">
        <v>304</v>
      </c>
      <c r="G1949">
        <v>0</v>
      </c>
      <c r="H1949">
        <v>0</v>
      </c>
      <c r="I1949">
        <v>22</v>
      </c>
      <c r="J1949">
        <v>22</v>
      </c>
      <c r="K1949" s="33">
        <v>0</v>
      </c>
      <c r="L1949" s="1"/>
      <c r="M1949" s="1"/>
      <c r="N1949" s="1"/>
      <c r="O1949" s="1"/>
      <c r="P1949" s="1"/>
      <c r="Q1949" s="1"/>
    </row>
    <row r="1950" spans="1:17" hidden="1" x14ac:dyDescent="0.25">
      <c r="A1950" s="2">
        <v>44747</v>
      </c>
      <c r="B1950">
        <v>0</v>
      </c>
      <c r="C1950">
        <v>46</v>
      </c>
      <c r="D1950">
        <v>25</v>
      </c>
      <c r="E1950">
        <v>17908</v>
      </c>
      <c r="F1950" s="1" t="s">
        <v>305</v>
      </c>
      <c r="G1950">
        <v>0</v>
      </c>
      <c r="H1950">
        <v>0</v>
      </c>
      <c r="I1950">
        <v>24</v>
      </c>
      <c r="J1950">
        <v>24</v>
      </c>
      <c r="K1950" s="33">
        <v>0</v>
      </c>
      <c r="L1950" s="1"/>
      <c r="M1950" s="1"/>
      <c r="N1950" s="1"/>
      <c r="O1950" s="1"/>
      <c r="P1950" s="1"/>
      <c r="Q1950" s="1"/>
    </row>
    <row r="1951" spans="1:17" x14ac:dyDescent="0.25">
      <c r="A1951" s="2">
        <v>44747</v>
      </c>
      <c r="B1951">
        <v>34</v>
      </c>
      <c r="C1951">
        <v>46</v>
      </c>
      <c r="D1951">
        <v>380</v>
      </c>
      <c r="E1951">
        <v>18021</v>
      </c>
      <c r="F1951" s="1" t="s">
        <v>796</v>
      </c>
      <c r="G1951">
        <v>0</v>
      </c>
      <c r="H1951">
        <v>0</v>
      </c>
      <c r="I1951">
        <v>22</v>
      </c>
      <c r="J1951">
        <v>22</v>
      </c>
      <c r="K1951" s="33">
        <v>0</v>
      </c>
      <c r="L1951" s="1"/>
      <c r="M1951" s="1" t="str">
        <f>_xlfn.XLOOKUP(ocupacao[[#This Row],[UnidadeID]],unidades!$A:$A,unidades!$B:$B,"",0)</f>
        <v>São João</v>
      </c>
      <c r="N1951" s="1" t="str">
        <f>_xlfn.XLOOKUP(ocupacao[[#This Row],[UnidadeID]],unidades!$A:$A,unidades!$C:$C,"",0)</f>
        <v>São João de Meriti</v>
      </c>
      <c r="O1951" s="1" t="str">
        <f>_xlfn.XLOOKUP(ocupacao[[#This Row],[EspecialidadeID]],especialidades!$A:$A,especialidades!$B:$B,"",0)</f>
        <v>ELETROENCEFALOGRAMA</v>
      </c>
      <c r="P1951" s="1" t="str">
        <f>TEXT(WEEKDAY(ocupacao[[#This Row],[Data]]),"ddd")</f>
        <v>ter</v>
      </c>
      <c r="Q1951" s="1">
        <f t="shared" si="30"/>
        <v>0</v>
      </c>
    </row>
    <row r="1952" spans="1:17" x14ac:dyDescent="0.25">
      <c r="A1952" s="2">
        <v>44748</v>
      </c>
      <c r="B1952">
        <v>24</v>
      </c>
      <c r="C1952">
        <v>46</v>
      </c>
      <c r="D1952">
        <v>55</v>
      </c>
      <c r="E1952">
        <v>17907</v>
      </c>
      <c r="F1952" s="1" t="s">
        <v>304</v>
      </c>
      <c r="G1952">
        <v>0</v>
      </c>
      <c r="H1952">
        <v>0</v>
      </c>
      <c r="I1952">
        <v>22</v>
      </c>
      <c r="J1952">
        <v>22</v>
      </c>
      <c r="K1952" s="33">
        <v>0</v>
      </c>
      <c r="L1952" s="1"/>
      <c r="M1952" s="1" t="str">
        <f>_xlfn.XLOOKUP(ocupacao[[#This Row],[UnidadeID]],unidades!$A:$A,unidades!$B:$B,"",0)</f>
        <v>Nilópolis</v>
      </c>
      <c r="N1952" s="1" t="str">
        <f>_xlfn.XLOOKUP(ocupacao[[#This Row],[UnidadeID]],unidades!$A:$A,unidades!$C:$C,"",0)</f>
        <v>Nilópolis</v>
      </c>
      <c r="O1952" s="1" t="str">
        <f>_xlfn.XLOOKUP(ocupacao[[#This Row],[EspecialidadeID]],especialidades!$A:$A,especialidades!$B:$B,"",0)</f>
        <v>ELETROENCEFALOGRAMA</v>
      </c>
      <c r="P1952" s="1" t="str">
        <f>TEXT(WEEKDAY(ocupacao[[#This Row],[Data]]),"ddd")</f>
        <v>qua</v>
      </c>
      <c r="Q1952" s="1">
        <f t="shared" si="30"/>
        <v>0</v>
      </c>
    </row>
    <row r="1953" spans="1:17" x14ac:dyDescent="0.25">
      <c r="A1953" s="2">
        <v>44748</v>
      </c>
      <c r="B1953">
        <v>0</v>
      </c>
      <c r="C1953">
        <v>46</v>
      </c>
      <c r="D1953">
        <v>25</v>
      </c>
      <c r="E1953">
        <v>17908</v>
      </c>
      <c r="F1953" s="1" t="s">
        <v>305</v>
      </c>
      <c r="G1953">
        <v>0</v>
      </c>
      <c r="H1953">
        <v>0</v>
      </c>
      <c r="I1953">
        <v>24</v>
      </c>
      <c r="J1953">
        <v>24</v>
      </c>
      <c r="K1953" s="33">
        <v>0</v>
      </c>
      <c r="L1953" s="1"/>
      <c r="M1953" s="1" t="str">
        <f>_xlfn.XLOOKUP(ocupacao[[#This Row],[UnidadeID]],unidades!$A:$A,unidades!$B:$B,"",0)</f>
        <v>Matriz</v>
      </c>
      <c r="N1953" s="1" t="str">
        <f>_xlfn.XLOOKUP(ocupacao[[#This Row],[UnidadeID]],unidades!$A:$A,unidades!$C:$C,"",0)</f>
        <v>Nova Iguaçu</v>
      </c>
      <c r="O1953" s="1" t="str">
        <f>_xlfn.XLOOKUP(ocupacao[[#This Row],[EspecialidadeID]],especialidades!$A:$A,especialidades!$B:$B,"",0)</f>
        <v>ELETROENCEFALOGRAMA</v>
      </c>
      <c r="P1953" s="1" t="str">
        <f>TEXT(WEEKDAY(ocupacao[[#This Row],[Data]]),"ddd")</f>
        <v>qua</v>
      </c>
      <c r="Q1953" s="1">
        <f t="shared" si="30"/>
        <v>0</v>
      </c>
    </row>
    <row r="1954" spans="1:17" x14ac:dyDescent="0.25">
      <c r="A1954" s="2">
        <v>44748</v>
      </c>
      <c r="B1954">
        <v>34</v>
      </c>
      <c r="C1954">
        <v>46</v>
      </c>
      <c r="D1954">
        <v>380</v>
      </c>
      <c r="E1954">
        <v>18021</v>
      </c>
      <c r="F1954" s="1" t="s">
        <v>796</v>
      </c>
      <c r="G1954">
        <v>0</v>
      </c>
      <c r="H1954">
        <v>0</v>
      </c>
      <c r="I1954">
        <v>22</v>
      </c>
      <c r="J1954">
        <v>22</v>
      </c>
      <c r="K1954" s="33">
        <v>0</v>
      </c>
      <c r="L1954" s="1"/>
      <c r="M1954" s="1" t="str">
        <f>_xlfn.XLOOKUP(ocupacao[[#This Row],[UnidadeID]],unidades!$A:$A,unidades!$B:$B,"",0)</f>
        <v>São João</v>
      </c>
      <c r="N1954" s="1" t="str">
        <f>_xlfn.XLOOKUP(ocupacao[[#This Row],[UnidadeID]],unidades!$A:$A,unidades!$C:$C,"",0)</f>
        <v>São João de Meriti</v>
      </c>
      <c r="O1954" s="1" t="str">
        <f>_xlfn.XLOOKUP(ocupacao[[#This Row],[EspecialidadeID]],especialidades!$A:$A,especialidades!$B:$B,"",0)</f>
        <v>ELETROENCEFALOGRAMA</v>
      </c>
      <c r="P1954" s="1" t="str">
        <f>TEXT(WEEKDAY(ocupacao[[#This Row],[Data]]),"ddd")</f>
        <v>qua</v>
      </c>
      <c r="Q1954" s="1">
        <f t="shared" si="30"/>
        <v>0</v>
      </c>
    </row>
    <row r="1955" spans="1:17" x14ac:dyDescent="0.25">
      <c r="A1955" s="2">
        <v>44749</v>
      </c>
      <c r="B1955">
        <v>24</v>
      </c>
      <c r="C1955">
        <v>46</v>
      </c>
      <c r="D1955">
        <v>55</v>
      </c>
      <c r="E1955">
        <v>17907</v>
      </c>
      <c r="F1955" s="1" t="s">
        <v>304</v>
      </c>
      <c r="G1955">
        <v>0</v>
      </c>
      <c r="H1955">
        <v>0</v>
      </c>
      <c r="I1955">
        <v>22</v>
      </c>
      <c r="J1955">
        <v>22</v>
      </c>
      <c r="K1955" s="33">
        <v>0</v>
      </c>
      <c r="L1955" s="1"/>
      <c r="M1955" s="1" t="str">
        <f>_xlfn.XLOOKUP(ocupacao[[#This Row],[UnidadeID]],unidades!$A:$A,unidades!$B:$B,"",0)</f>
        <v>Nilópolis</v>
      </c>
      <c r="N1955" s="1" t="str">
        <f>_xlfn.XLOOKUP(ocupacao[[#This Row],[UnidadeID]],unidades!$A:$A,unidades!$C:$C,"",0)</f>
        <v>Nilópolis</v>
      </c>
      <c r="O1955" s="1" t="str">
        <f>_xlfn.XLOOKUP(ocupacao[[#This Row],[EspecialidadeID]],especialidades!$A:$A,especialidades!$B:$B,"",0)</f>
        <v>ELETROENCEFALOGRAMA</v>
      </c>
      <c r="P1955" s="1" t="str">
        <f>TEXT(WEEKDAY(ocupacao[[#This Row],[Data]]),"ddd")</f>
        <v>qui</v>
      </c>
      <c r="Q1955" s="1">
        <f t="shared" si="30"/>
        <v>0</v>
      </c>
    </row>
    <row r="1956" spans="1:17" x14ac:dyDescent="0.25">
      <c r="A1956" s="2">
        <v>44749</v>
      </c>
      <c r="B1956">
        <v>0</v>
      </c>
      <c r="C1956">
        <v>46</v>
      </c>
      <c r="D1956">
        <v>25</v>
      </c>
      <c r="E1956">
        <v>17908</v>
      </c>
      <c r="F1956" s="1" t="s">
        <v>305</v>
      </c>
      <c r="G1956">
        <v>0</v>
      </c>
      <c r="H1956">
        <v>0</v>
      </c>
      <c r="I1956">
        <v>24</v>
      </c>
      <c r="J1956">
        <v>24</v>
      </c>
      <c r="K1956" s="33">
        <v>0</v>
      </c>
      <c r="L1956" s="1"/>
      <c r="M1956" s="1" t="str">
        <f>_xlfn.XLOOKUP(ocupacao[[#This Row],[UnidadeID]],unidades!$A:$A,unidades!$B:$B,"",0)</f>
        <v>Matriz</v>
      </c>
      <c r="N1956" s="1" t="str">
        <f>_xlfn.XLOOKUP(ocupacao[[#This Row],[UnidadeID]],unidades!$A:$A,unidades!$C:$C,"",0)</f>
        <v>Nova Iguaçu</v>
      </c>
      <c r="O1956" s="1" t="str">
        <f>_xlfn.XLOOKUP(ocupacao[[#This Row],[EspecialidadeID]],especialidades!$A:$A,especialidades!$B:$B,"",0)</f>
        <v>ELETROENCEFALOGRAMA</v>
      </c>
      <c r="P1956" s="1" t="str">
        <f>TEXT(WEEKDAY(ocupacao[[#This Row],[Data]]),"ddd")</f>
        <v>qui</v>
      </c>
      <c r="Q1956" s="1">
        <f t="shared" si="30"/>
        <v>0</v>
      </c>
    </row>
    <row r="1957" spans="1:17" x14ac:dyDescent="0.25">
      <c r="A1957" s="2">
        <v>44749</v>
      </c>
      <c r="B1957">
        <v>34</v>
      </c>
      <c r="C1957">
        <v>46</v>
      </c>
      <c r="D1957">
        <v>380</v>
      </c>
      <c r="E1957">
        <v>18021</v>
      </c>
      <c r="F1957" s="1" t="s">
        <v>796</v>
      </c>
      <c r="G1957">
        <v>0</v>
      </c>
      <c r="H1957">
        <v>0</v>
      </c>
      <c r="I1957">
        <v>22</v>
      </c>
      <c r="J1957">
        <v>22</v>
      </c>
      <c r="K1957" s="33">
        <v>0</v>
      </c>
      <c r="L1957" s="1"/>
      <c r="M1957" s="1" t="str">
        <f>_xlfn.XLOOKUP(ocupacao[[#This Row],[UnidadeID]],unidades!$A:$A,unidades!$B:$B,"",0)</f>
        <v>São João</v>
      </c>
      <c r="N1957" s="1" t="str">
        <f>_xlfn.XLOOKUP(ocupacao[[#This Row],[UnidadeID]],unidades!$A:$A,unidades!$C:$C,"",0)</f>
        <v>São João de Meriti</v>
      </c>
      <c r="O1957" s="1" t="str">
        <f>_xlfn.XLOOKUP(ocupacao[[#This Row],[EspecialidadeID]],especialidades!$A:$A,especialidades!$B:$B,"",0)</f>
        <v>ELETROENCEFALOGRAMA</v>
      </c>
      <c r="P1957" s="1" t="str">
        <f>TEXT(WEEKDAY(ocupacao[[#This Row],[Data]]),"ddd")</f>
        <v>qui</v>
      </c>
      <c r="Q1957" s="1">
        <f t="shared" si="30"/>
        <v>0</v>
      </c>
    </row>
    <row r="1958" spans="1:17" x14ac:dyDescent="0.25">
      <c r="A1958" s="2">
        <v>44750</v>
      </c>
      <c r="B1958">
        <v>24</v>
      </c>
      <c r="C1958">
        <v>46</v>
      </c>
      <c r="D1958">
        <v>55</v>
      </c>
      <c r="E1958">
        <v>17907</v>
      </c>
      <c r="F1958" s="1" t="s">
        <v>304</v>
      </c>
      <c r="G1958">
        <v>0</v>
      </c>
      <c r="H1958">
        <v>0</v>
      </c>
      <c r="I1958">
        <v>22</v>
      </c>
      <c r="J1958">
        <v>22</v>
      </c>
      <c r="K1958" s="33">
        <v>0</v>
      </c>
      <c r="L1958" s="1"/>
      <c r="M1958" s="1" t="str">
        <f>_xlfn.XLOOKUP(ocupacao[[#This Row],[UnidadeID]],unidades!$A:$A,unidades!$B:$B,"",0)</f>
        <v>Nilópolis</v>
      </c>
      <c r="N1958" s="1" t="str">
        <f>_xlfn.XLOOKUP(ocupacao[[#This Row],[UnidadeID]],unidades!$A:$A,unidades!$C:$C,"",0)</f>
        <v>Nilópolis</v>
      </c>
      <c r="O1958" s="1" t="str">
        <f>_xlfn.XLOOKUP(ocupacao[[#This Row],[EspecialidadeID]],especialidades!$A:$A,especialidades!$B:$B,"",0)</f>
        <v>ELETROENCEFALOGRAMA</v>
      </c>
      <c r="P1958" s="1" t="str">
        <f>TEXT(WEEKDAY(ocupacao[[#This Row],[Data]]),"ddd")</f>
        <v>sex</v>
      </c>
      <c r="Q1958" s="1">
        <f t="shared" si="30"/>
        <v>0</v>
      </c>
    </row>
    <row r="1959" spans="1:17" x14ac:dyDescent="0.25">
      <c r="A1959" s="2">
        <v>44750</v>
      </c>
      <c r="B1959">
        <v>0</v>
      </c>
      <c r="C1959">
        <v>46</v>
      </c>
      <c r="D1959">
        <v>25</v>
      </c>
      <c r="E1959">
        <v>17908</v>
      </c>
      <c r="F1959" s="1" t="s">
        <v>305</v>
      </c>
      <c r="G1959">
        <v>0</v>
      </c>
      <c r="H1959">
        <v>0</v>
      </c>
      <c r="I1959">
        <v>24</v>
      </c>
      <c r="J1959">
        <v>24</v>
      </c>
      <c r="K1959" s="33">
        <v>0</v>
      </c>
      <c r="L1959" s="1"/>
      <c r="M1959" s="1" t="str">
        <f>_xlfn.XLOOKUP(ocupacao[[#This Row],[UnidadeID]],unidades!$A:$A,unidades!$B:$B,"",0)</f>
        <v>Matriz</v>
      </c>
      <c r="N1959" s="1" t="str">
        <f>_xlfn.XLOOKUP(ocupacao[[#This Row],[UnidadeID]],unidades!$A:$A,unidades!$C:$C,"",0)</f>
        <v>Nova Iguaçu</v>
      </c>
      <c r="O1959" s="1" t="str">
        <f>_xlfn.XLOOKUP(ocupacao[[#This Row],[EspecialidadeID]],especialidades!$A:$A,especialidades!$B:$B,"",0)</f>
        <v>ELETROENCEFALOGRAMA</v>
      </c>
      <c r="P1959" s="1" t="str">
        <f>TEXT(WEEKDAY(ocupacao[[#This Row],[Data]]),"ddd")</f>
        <v>sex</v>
      </c>
      <c r="Q1959" s="1">
        <f t="shared" si="30"/>
        <v>0</v>
      </c>
    </row>
    <row r="1960" spans="1:17" x14ac:dyDescent="0.25">
      <c r="A1960" s="2">
        <v>44750</v>
      </c>
      <c r="B1960">
        <v>34</v>
      </c>
      <c r="C1960">
        <v>46</v>
      </c>
      <c r="D1960">
        <v>380</v>
      </c>
      <c r="E1960">
        <v>18021</v>
      </c>
      <c r="F1960" s="1" t="s">
        <v>796</v>
      </c>
      <c r="G1960">
        <v>0</v>
      </c>
      <c r="H1960">
        <v>0</v>
      </c>
      <c r="I1960">
        <v>22</v>
      </c>
      <c r="J1960">
        <v>22</v>
      </c>
      <c r="K1960" s="33">
        <v>0</v>
      </c>
      <c r="L1960" s="1"/>
      <c r="M1960" s="1" t="str">
        <f>_xlfn.XLOOKUP(ocupacao[[#This Row],[UnidadeID]],unidades!$A:$A,unidades!$B:$B,"",0)</f>
        <v>São João</v>
      </c>
      <c r="N1960" s="1" t="str">
        <f>_xlfn.XLOOKUP(ocupacao[[#This Row],[UnidadeID]],unidades!$A:$A,unidades!$C:$C,"",0)</f>
        <v>São João de Meriti</v>
      </c>
      <c r="O1960" s="1" t="str">
        <f>_xlfn.XLOOKUP(ocupacao[[#This Row],[EspecialidadeID]],especialidades!$A:$A,especialidades!$B:$B,"",0)</f>
        <v>ELETROENCEFALOGRAMA</v>
      </c>
      <c r="P1960" s="1" t="str">
        <f>TEXT(WEEKDAY(ocupacao[[#This Row],[Data]]),"ddd")</f>
        <v>sex</v>
      </c>
      <c r="Q1960" s="1">
        <f t="shared" si="30"/>
        <v>0</v>
      </c>
    </row>
    <row r="1961" spans="1:17" x14ac:dyDescent="0.25">
      <c r="A1961" s="2">
        <v>44751</v>
      </c>
      <c r="B1961">
        <v>24</v>
      </c>
      <c r="C1961">
        <v>46</v>
      </c>
      <c r="D1961">
        <v>55</v>
      </c>
      <c r="E1961">
        <v>17907</v>
      </c>
      <c r="F1961" s="1" t="s">
        <v>304</v>
      </c>
      <c r="G1961">
        <v>0</v>
      </c>
      <c r="H1961">
        <v>0</v>
      </c>
      <c r="I1961">
        <v>15</v>
      </c>
      <c r="J1961">
        <v>15</v>
      </c>
      <c r="K1961" s="33">
        <v>0</v>
      </c>
      <c r="L1961" s="1"/>
      <c r="M1961" s="1" t="str">
        <f>_xlfn.XLOOKUP(ocupacao[[#This Row],[UnidadeID]],unidades!$A:$A,unidades!$B:$B,"",0)</f>
        <v>Nilópolis</v>
      </c>
      <c r="N1961" s="1" t="str">
        <f>_xlfn.XLOOKUP(ocupacao[[#This Row],[UnidadeID]],unidades!$A:$A,unidades!$C:$C,"",0)</f>
        <v>Nilópolis</v>
      </c>
      <c r="O1961" s="1" t="str">
        <f>_xlfn.XLOOKUP(ocupacao[[#This Row],[EspecialidadeID]],especialidades!$A:$A,especialidades!$B:$B,"",0)</f>
        <v>ELETROENCEFALOGRAMA</v>
      </c>
      <c r="P1961" s="1" t="str">
        <f>TEXT(WEEKDAY(ocupacao[[#This Row],[Data]]),"ddd")</f>
        <v>sáb</v>
      </c>
      <c r="Q1961" s="1">
        <f t="shared" si="30"/>
        <v>0</v>
      </c>
    </row>
    <row r="1962" spans="1:17" x14ac:dyDescent="0.25">
      <c r="A1962" s="2">
        <v>44751</v>
      </c>
      <c r="B1962">
        <v>0</v>
      </c>
      <c r="C1962">
        <v>46</v>
      </c>
      <c r="D1962">
        <v>25</v>
      </c>
      <c r="E1962">
        <v>17908</v>
      </c>
      <c r="F1962" s="1" t="s">
        <v>305</v>
      </c>
      <c r="G1962">
        <v>0</v>
      </c>
      <c r="H1962">
        <v>0</v>
      </c>
      <c r="I1962">
        <v>18</v>
      </c>
      <c r="J1962">
        <v>18</v>
      </c>
      <c r="K1962" s="33">
        <v>0</v>
      </c>
      <c r="L1962" s="1"/>
      <c r="M1962" s="1" t="str">
        <f>_xlfn.XLOOKUP(ocupacao[[#This Row],[UnidadeID]],unidades!$A:$A,unidades!$B:$B,"",0)</f>
        <v>Matriz</v>
      </c>
      <c r="N1962" s="1" t="str">
        <f>_xlfn.XLOOKUP(ocupacao[[#This Row],[UnidadeID]],unidades!$A:$A,unidades!$C:$C,"",0)</f>
        <v>Nova Iguaçu</v>
      </c>
      <c r="O1962" s="1" t="str">
        <f>_xlfn.XLOOKUP(ocupacao[[#This Row],[EspecialidadeID]],especialidades!$A:$A,especialidades!$B:$B,"",0)</f>
        <v>ELETROENCEFALOGRAMA</v>
      </c>
      <c r="P1962" s="1" t="str">
        <f>TEXT(WEEKDAY(ocupacao[[#This Row],[Data]]),"ddd")</f>
        <v>sáb</v>
      </c>
      <c r="Q1962" s="1">
        <f t="shared" si="30"/>
        <v>0</v>
      </c>
    </row>
    <row r="1963" spans="1:17" x14ac:dyDescent="0.25">
      <c r="A1963" s="2">
        <v>44751</v>
      </c>
      <c r="B1963">
        <v>34</v>
      </c>
      <c r="C1963">
        <v>46</v>
      </c>
      <c r="D1963">
        <v>380</v>
      </c>
      <c r="E1963">
        <v>18021</v>
      </c>
      <c r="F1963" s="1" t="s">
        <v>796</v>
      </c>
      <c r="G1963">
        <v>0</v>
      </c>
      <c r="H1963">
        <v>0</v>
      </c>
      <c r="I1963">
        <v>14</v>
      </c>
      <c r="J1963">
        <v>14</v>
      </c>
      <c r="K1963" s="33">
        <v>0</v>
      </c>
      <c r="L1963" s="1"/>
      <c r="M1963" s="1" t="str">
        <f>_xlfn.XLOOKUP(ocupacao[[#This Row],[UnidadeID]],unidades!$A:$A,unidades!$B:$B,"",0)</f>
        <v>São João</v>
      </c>
      <c r="N1963" s="1" t="str">
        <f>_xlfn.XLOOKUP(ocupacao[[#This Row],[UnidadeID]],unidades!$A:$A,unidades!$C:$C,"",0)</f>
        <v>São João de Meriti</v>
      </c>
      <c r="O1963" s="1" t="str">
        <f>_xlfn.XLOOKUP(ocupacao[[#This Row],[EspecialidadeID]],especialidades!$A:$A,especialidades!$B:$B,"",0)</f>
        <v>ELETROENCEFALOGRAMA</v>
      </c>
      <c r="P1963" s="1" t="str">
        <f>TEXT(WEEKDAY(ocupacao[[#This Row],[Data]]),"ddd")</f>
        <v>sáb</v>
      </c>
      <c r="Q1963" s="1">
        <f t="shared" si="30"/>
        <v>0</v>
      </c>
    </row>
    <row r="1964" spans="1:17" x14ac:dyDescent="0.25">
      <c r="A1964" s="2">
        <v>44752</v>
      </c>
      <c r="B1964">
        <v>0</v>
      </c>
      <c r="C1964">
        <v>46</v>
      </c>
      <c r="D1964">
        <v>25</v>
      </c>
      <c r="E1964">
        <v>17908</v>
      </c>
      <c r="F1964" s="1" t="s">
        <v>305</v>
      </c>
      <c r="G1964">
        <v>0</v>
      </c>
      <c r="H1964">
        <v>0</v>
      </c>
      <c r="I1964">
        <v>12</v>
      </c>
      <c r="J1964">
        <v>12</v>
      </c>
      <c r="K1964" s="33">
        <v>0</v>
      </c>
      <c r="L1964" s="1"/>
      <c r="M1964" s="1" t="str">
        <f>_xlfn.XLOOKUP(ocupacao[[#This Row],[UnidadeID]],unidades!$A:$A,unidades!$B:$B,"",0)</f>
        <v>Matriz</v>
      </c>
      <c r="N1964" s="1" t="str">
        <f>_xlfn.XLOOKUP(ocupacao[[#This Row],[UnidadeID]],unidades!$A:$A,unidades!$C:$C,"",0)</f>
        <v>Nova Iguaçu</v>
      </c>
      <c r="O1964" s="1" t="str">
        <f>_xlfn.XLOOKUP(ocupacao[[#This Row],[EspecialidadeID]],especialidades!$A:$A,especialidades!$B:$B,"",0)</f>
        <v>ELETROENCEFALOGRAMA</v>
      </c>
      <c r="P1964" s="1" t="str">
        <f>TEXT(WEEKDAY(ocupacao[[#This Row],[Data]]),"ddd")</f>
        <v>dom</v>
      </c>
      <c r="Q1964" s="1">
        <f t="shared" si="30"/>
        <v>0</v>
      </c>
    </row>
    <row r="1965" spans="1:17" x14ac:dyDescent="0.25">
      <c r="A1965" s="2">
        <v>44753</v>
      </c>
      <c r="B1965">
        <v>24</v>
      </c>
      <c r="C1965">
        <v>46</v>
      </c>
      <c r="D1965">
        <v>55</v>
      </c>
      <c r="E1965">
        <v>17907</v>
      </c>
      <c r="F1965" s="1" t="s">
        <v>304</v>
      </c>
      <c r="G1965">
        <v>0</v>
      </c>
      <c r="H1965">
        <v>0</v>
      </c>
      <c r="I1965">
        <v>22</v>
      </c>
      <c r="J1965">
        <v>22</v>
      </c>
      <c r="K1965" s="33">
        <v>0</v>
      </c>
      <c r="L1965" s="1"/>
      <c r="M1965" s="1" t="str">
        <f>_xlfn.XLOOKUP(ocupacao[[#This Row],[UnidadeID]],unidades!$A:$A,unidades!$B:$B,"",0)</f>
        <v>Nilópolis</v>
      </c>
      <c r="N1965" s="1" t="str">
        <f>_xlfn.XLOOKUP(ocupacao[[#This Row],[UnidadeID]],unidades!$A:$A,unidades!$C:$C,"",0)</f>
        <v>Nilópolis</v>
      </c>
      <c r="O1965" s="1" t="str">
        <f>_xlfn.XLOOKUP(ocupacao[[#This Row],[EspecialidadeID]],especialidades!$A:$A,especialidades!$B:$B,"",0)</f>
        <v>ELETROENCEFALOGRAMA</v>
      </c>
      <c r="P1965" s="1" t="str">
        <f>TEXT(WEEKDAY(ocupacao[[#This Row],[Data]]),"ddd")</f>
        <v>seg</v>
      </c>
      <c r="Q1965" s="1">
        <f t="shared" si="30"/>
        <v>0</v>
      </c>
    </row>
    <row r="1966" spans="1:17" x14ac:dyDescent="0.25">
      <c r="A1966" s="2">
        <v>44753</v>
      </c>
      <c r="B1966">
        <v>0</v>
      </c>
      <c r="C1966">
        <v>46</v>
      </c>
      <c r="D1966">
        <v>25</v>
      </c>
      <c r="E1966">
        <v>17908</v>
      </c>
      <c r="F1966" s="1" t="s">
        <v>305</v>
      </c>
      <c r="G1966">
        <v>0</v>
      </c>
      <c r="H1966">
        <v>0</v>
      </c>
      <c r="I1966">
        <v>24</v>
      </c>
      <c r="J1966">
        <v>24</v>
      </c>
      <c r="K1966" s="33">
        <v>0</v>
      </c>
      <c r="L1966" s="1"/>
      <c r="M1966" s="1" t="str">
        <f>_xlfn.XLOOKUP(ocupacao[[#This Row],[UnidadeID]],unidades!$A:$A,unidades!$B:$B,"",0)</f>
        <v>Matriz</v>
      </c>
      <c r="N1966" s="1" t="str">
        <f>_xlfn.XLOOKUP(ocupacao[[#This Row],[UnidadeID]],unidades!$A:$A,unidades!$C:$C,"",0)</f>
        <v>Nova Iguaçu</v>
      </c>
      <c r="O1966" s="1" t="str">
        <f>_xlfn.XLOOKUP(ocupacao[[#This Row],[EspecialidadeID]],especialidades!$A:$A,especialidades!$B:$B,"",0)</f>
        <v>ELETROENCEFALOGRAMA</v>
      </c>
      <c r="P1966" s="1" t="str">
        <f>TEXT(WEEKDAY(ocupacao[[#This Row],[Data]]),"ddd")</f>
        <v>seg</v>
      </c>
      <c r="Q1966" s="1">
        <f t="shared" si="30"/>
        <v>0</v>
      </c>
    </row>
    <row r="1967" spans="1:17" x14ac:dyDescent="0.25">
      <c r="A1967" s="2">
        <v>44753</v>
      </c>
      <c r="B1967">
        <v>34</v>
      </c>
      <c r="C1967">
        <v>46</v>
      </c>
      <c r="D1967">
        <v>380</v>
      </c>
      <c r="E1967">
        <v>18021</v>
      </c>
      <c r="F1967" s="1" t="s">
        <v>796</v>
      </c>
      <c r="G1967">
        <v>0</v>
      </c>
      <c r="H1967">
        <v>0</v>
      </c>
      <c r="I1967">
        <v>22</v>
      </c>
      <c r="J1967">
        <v>22</v>
      </c>
      <c r="K1967" s="33">
        <v>0</v>
      </c>
      <c r="L1967" s="1"/>
      <c r="M1967" s="1" t="str">
        <f>_xlfn.XLOOKUP(ocupacao[[#This Row],[UnidadeID]],unidades!$A:$A,unidades!$B:$B,"",0)</f>
        <v>São João</v>
      </c>
      <c r="N1967" s="1" t="str">
        <f>_xlfn.XLOOKUP(ocupacao[[#This Row],[UnidadeID]],unidades!$A:$A,unidades!$C:$C,"",0)</f>
        <v>São João de Meriti</v>
      </c>
      <c r="O1967" s="1" t="str">
        <f>_xlfn.XLOOKUP(ocupacao[[#This Row],[EspecialidadeID]],especialidades!$A:$A,especialidades!$B:$B,"",0)</f>
        <v>ELETROENCEFALOGRAMA</v>
      </c>
      <c r="P1967" s="1" t="str">
        <f>TEXT(WEEKDAY(ocupacao[[#This Row],[Data]]),"ddd")</f>
        <v>seg</v>
      </c>
      <c r="Q1967" s="1">
        <f t="shared" si="30"/>
        <v>0</v>
      </c>
    </row>
    <row r="1968" spans="1:17" x14ac:dyDescent="0.25">
      <c r="A1968" s="2">
        <v>44754</v>
      </c>
      <c r="B1968">
        <v>24</v>
      </c>
      <c r="C1968">
        <v>46</v>
      </c>
      <c r="D1968">
        <v>55</v>
      </c>
      <c r="E1968">
        <v>17907</v>
      </c>
      <c r="F1968" s="1" t="s">
        <v>304</v>
      </c>
      <c r="G1968">
        <v>0</v>
      </c>
      <c r="H1968">
        <v>0</v>
      </c>
      <c r="I1968">
        <v>22</v>
      </c>
      <c r="J1968">
        <v>22</v>
      </c>
      <c r="K1968" s="33">
        <v>0</v>
      </c>
      <c r="L1968" s="1"/>
      <c r="M1968" s="1" t="str">
        <f>_xlfn.XLOOKUP(ocupacao[[#This Row],[UnidadeID]],unidades!$A:$A,unidades!$B:$B,"",0)</f>
        <v>Nilópolis</v>
      </c>
      <c r="N1968" s="1" t="str">
        <f>_xlfn.XLOOKUP(ocupacao[[#This Row],[UnidadeID]],unidades!$A:$A,unidades!$C:$C,"",0)</f>
        <v>Nilópolis</v>
      </c>
      <c r="O1968" s="1" t="str">
        <f>_xlfn.XLOOKUP(ocupacao[[#This Row],[EspecialidadeID]],especialidades!$A:$A,especialidades!$B:$B,"",0)</f>
        <v>ELETROENCEFALOGRAMA</v>
      </c>
      <c r="P1968" s="1" t="str">
        <f>TEXT(WEEKDAY(ocupacao[[#This Row],[Data]]),"ddd")</f>
        <v>ter</v>
      </c>
      <c r="Q1968" s="1">
        <f t="shared" si="30"/>
        <v>0</v>
      </c>
    </row>
    <row r="1969" spans="1:17" x14ac:dyDescent="0.25">
      <c r="A1969" s="2">
        <v>44754</v>
      </c>
      <c r="B1969">
        <v>0</v>
      </c>
      <c r="C1969">
        <v>46</v>
      </c>
      <c r="D1969">
        <v>25</v>
      </c>
      <c r="E1969">
        <v>17908</v>
      </c>
      <c r="F1969" s="1" t="s">
        <v>305</v>
      </c>
      <c r="G1969">
        <v>0</v>
      </c>
      <c r="H1969">
        <v>0</v>
      </c>
      <c r="I1969">
        <v>24</v>
      </c>
      <c r="J1969">
        <v>24</v>
      </c>
      <c r="K1969" s="33">
        <v>0</v>
      </c>
      <c r="L1969" s="1"/>
      <c r="M1969" s="1" t="str">
        <f>_xlfn.XLOOKUP(ocupacao[[#This Row],[UnidadeID]],unidades!$A:$A,unidades!$B:$B,"",0)</f>
        <v>Matriz</v>
      </c>
      <c r="N1969" s="1" t="str">
        <f>_xlfn.XLOOKUP(ocupacao[[#This Row],[UnidadeID]],unidades!$A:$A,unidades!$C:$C,"",0)</f>
        <v>Nova Iguaçu</v>
      </c>
      <c r="O1969" s="1" t="str">
        <f>_xlfn.XLOOKUP(ocupacao[[#This Row],[EspecialidadeID]],especialidades!$A:$A,especialidades!$B:$B,"",0)</f>
        <v>ELETROENCEFALOGRAMA</v>
      </c>
      <c r="P1969" s="1" t="str">
        <f>TEXT(WEEKDAY(ocupacao[[#This Row],[Data]]),"ddd")</f>
        <v>ter</v>
      </c>
      <c r="Q1969" s="1">
        <f t="shared" si="30"/>
        <v>0</v>
      </c>
    </row>
    <row r="1970" spans="1:17" x14ac:dyDescent="0.25">
      <c r="A1970" s="2">
        <v>44754</v>
      </c>
      <c r="B1970">
        <v>34</v>
      </c>
      <c r="C1970">
        <v>46</v>
      </c>
      <c r="D1970">
        <v>380</v>
      </c>
      <c r="E1970">
        <v>18021</v>
      </c>
      <c r="F1970" s="1" t="s">
        <v>796</v>
      </c>
      <c r="G1970">
        <v>0</v>
      </c>
      <c r="H1970">
        <v>0</v>
      </c>
      <c r="I1970">
        <v>22</v>
      </c>
      <c r="J1970">
        <v>22</v>
      </c>
      <c r="K1970" s="33">
        <v>0</v>
      </c>
      <c r="L1970" s="1"/>
      <c r="M1970" s="1" t="str">
        <f>_xlfn.XLOOKUP(ocupacao[[#This Row],[UnidadeID]],unidades!$A:$A,unidades!$B:$B,"",0)</f>
        <v>São João</v>
      </c>
      <c r="N1970" s="1" t="str">
        <f>_xlfn.XLOOKUP(ocupacao[[#This Row],[UnidadeID]],unidades!$A:$A,unidades!$C:$C,"",0)</f>
        <v>São João de Meriti</v>
      </c>
      <c r="O1970" s="1" t="str">
        <f>_xlfn.XLOOKUP(ocupacao[[#This Row],[EspecialidadeID]],especialidades!$A:$A,especialidades!$B:$B,"",0)</f>
        <v>ELETROENCEFALOGRAMA</v>
      </c>
      <c r="P1970" s="1" t="str">
        <f>TEXT(WEEKDAY(ocupacao[[#This Row],[Data]]),"ddd")</f>
        <v>ter</v>
      </c>
      <c r="Q1970" s="1">
        <f t="shared" si="30"/>
        <v>0</v>
      </c>
    </row>
    <row r="1971" spans="1:17" x14ac:dyDescent="0.25">
      <c r="A1971" s="2">
        <v>44755</v>
      </c>
      <c r="B1971">
        <v>24</v>
      </c>
      <c r="C1971">
        <v>46</v>
      </c>
      <c r="D1971">
        <v>55</v>
      </c>
      <c r="E1971">
        <v>17907</v>
      </c>
      <c r="F1971" s="1" t="s">
        <v>304</v>
      </c>
      <c r="G1971">
        <v>0</v>
      </c>
      <c r="H1971">
        <v>0</v>
      </c>
      <c r="I1971">
        <v>22</v>
      </c>
      <c r="J1971">
        <v>22</v>
      </c>
      <c r="K1971" s="33">
        <v>0</v>
      </c>
      <c r="L1971" s="1"/>
      <c r="M1971" s="1" t="str">
        <f>_xlfn.XLOOKUP(ocupacao[[#This Row],[UnidadeID]],unidades!$A:$A,unidades!$B:$B,"",0)</f>
        <v>Nilópolis</v>
      </c>
      <c r="N1971" s="1" t="str">
        <f>_xlfn.XLOOKUP(ocupacao[[#This Row],[UnidadeID]],unidades!$A:$A,unidades!$C:$C,"",0)</f>
        <v>Nilópolis</v>
      </c>
      <c r="O1971" s="1" t="str">
        <f>_xlfn.XLOOKUP(ocupacao[[#This Row],[EspecialidadeID]],especialidades!$A:$A,especialidades!$B:$B,"",0)</f>
        <v>ELETROENCEFALOGRAMA</v>
      </c>
      <c r="P1971" s="1" t="str">
        <f>TEXT(WEEKDAY(ocupacao[[#This Row],[Data]]),"ddd")</f>
        <v>qua</v>
      </c>
      <c r="Q1971" s="1">
        <f t="shared" si="30"/>
        <v>0</v>
      </c>
    </row>
    <row r="1972" spans="1:17" x14ac:dyDescent="0.25">
      <c r="A1972" s="2">
        <v>44755</v>
      </c>
      <c r="B1972">
        <v>0</v>
      </c>
      <c r="C1972">
        <v>46</v>
      </c>
      <c r="D1972">
        <v>25</v>
      </c>
      <c r="E1972">
        <v>17908</v>
      </c>
      <c r="F1972" s="1" t="s">
        <v>305</v>
      </c>
      <c r="G1972">
        <v>0</v>
      </c>
      <c r="H1972">
        <v>0</v>
      </c>
      <c r="I1972">
        <v>24</v>
      </c>
      <c r="J1972">
        <v>24</v>
      </c>
      <c r="K1972" s="33">
        <v>0</v>
      </c>
      <c r="L1972" s="1"/>
      <c r="M1972" s="1" t="str">
        <f>_xlfn.XLOOKUP(ocupacao[[#This Row],[UnidadeID]],unidades!$A:$A,unidades!$B:$B,"",0)</f>
        <v>Matriz</v>
      </c>
      <c r="N1972" s="1" t="str">
        <f>_xlfn.XLOOKUP(ocupacao[[#This Row],[UnidadeID]],unidades!$A:$A,unidades!$C:$C,"",0)</f>
        <v>Nova Iguaçu</v>
      </c>
      <c r="O1972" s="1" t="str">
        <f>_xlfn.XLOOKUP(ocupacao[[#This Row],[EspecialidadeID]],especialidades!$A:$A,especialidades!$B:$B,"",0)</f>
        <v>ELETROENCEFALOGRAMA</v>
      </c>
      <c r="P1972" s="1" t="str">
        <f>TEXT(WEEKDAY(ocupacao[[#This Row],[Data]]),"ddd")</f>
        <v>qua</v>
      </c>
      <c r="Q1972" s="1">
        <f t="shared" si="30"/>
        <v>0</v>
      </c>
    </row>
    <row r="1973" spans="1:17" x14ac:dyDescent="0.25">
      <c r="A1973" s="2">
        <v>44755</v>
      </c>
      <c r="B1973">
        <v>34</v>
      </c>
      <c r="C1973">
        <v>46</v>
      </c>
      <c r="D1973">
        <v>380</v>
      </c>
      <c r="E1973">
        <v>18021</v>
      </c>
      <c r="F1973" s="1" t="s">
        <v>796</v>
      </c>
      <c r="G1973">
        <v>0</v>
      </c>
      <c r="H1973">
        <v>0</v>
      </c>
      <c r="I1973">
        <v>22</v>
      </c>
      <c r="J1973">
        <v>22</v>
      </c>
      <c r="K1973" s="33">
        <v>0</v>
      </c>
      <c r="L1973" s="1"/>
      <c r="M1973" s="1" t="str">
        <f>_xlfn.XLOOKUP(ocupacao[[#This Row],[UnidadeID]],unidades!$A:$A,unidades!$B:$B,"",0)</f>
        <v>São João</v>
      </c>
      <c r="N1973" s="1" t="str">
        <f>_xlfn.XLOOKUP(ocupacao[[#This Row],[UnidadeID]],unidades!$A:$A,unidades!$C:$C,"",0)</f>
        <v>São João de Meriti</v>
      </c>
      <c r="O1973" s="1" t="str">
        <f>_xlfn.XLOOKUP(ocupacao[[#This Row],[EspecialidadeID]],especialidades!$A:$A,especialidades!$B:$B,"",0)</f>
        <v>ELETROENCEFALOGRAMA</v>
      </c>
      <c r="P1973" s="1" t="str">
        <f>TEXT(WEEKDAY(ocupacao[[#This Row],[Data]]),"ddd")</f>
        <v>qua</v>
      </c>
      <c r="Q1973" s="1">
        <f t="shared" si="30"/>
        <v>0</v>
      </c>
    </row>
    <row r="1974" spans="1:17" x14ac:dyDescent="0.25">
      <c r="A1974" s="2">
        <v>44756</v>
      </c>
      <c r="B1974">
        <v>24</v>
      </c>
      <c r="C1974">
        <v>46</v>
      </c>
      <c r="D1974">
        <v>55</v>
      </c>
      <c r="E1974">
        <v>17907</v>
      </c>
      <c r="F1974" s="1" t="s">
        <v>304</v>
      </c>
      <c r="G1974">
        <v>0</v>
      </c>
      <c r="H1974">
        <v>0</v>
      </c>
      <c r="I1974">
        <v>22</v>
      </c>
      <c r="J1974">
        <v>22</v>
      </c>
      <c r="K1974" s="33">
        <v>0</v>
      </c>
      <c r="L1974" s="1"/>
      <c r="M1974" s="1" t="str">
        <f>_xlfn.XLOOKUP(ocupacao[[#This Row],[UnidadeID]],unidades!$A:$A,unidades!$B:$B,"",0)</f>
        <v>Nilópolis</v>
      </c>
      <c r="N1974" s="1" t="str">
        <f>_xlfn.XLOOKUP(ocupacao[[#This Row],[UnidadeID]],unidades!$A:$A,unidades!$C:$C,"",0)</f>
        <v>Nilópolis</v>
      </c>
      <c r="O1974" s="1" t="str">
        <f>_xlfn.XLOOKUP(ocupacao[[#This Row],[EspecialidadeID]],especialidades!$A:$A,especialidades!$B:$B,"",0)</f>
        <v>ELETROENCEFALOGRAMA</v>
      </c>
      <c r="P1974" s="1" t="str">
        <f>TEXT(WEEKDAY(ocupacao[[#This Row],[Data]]),"ddd")</f>
        <v>qui</v>
      </c>
      <c r="Q1974" s="1">
        <f t="shared" si="30"/>
        <v>0</v>
      </c>
    </row>
    <row r="1975" spans="1:17" x14ac:dyDescent="0.25">
      <c r="A1975" s="2">
        <v>44756</v>
      </c>
      <c r="B1975">
        <v>0</v>
      </c>
      <c r="C1975">
        <v>46</v>
      </c>
      <c r="D1975">
        <v>25</v>
      </c>
      <c r="E1975">
        <v>17908</v>
      </c>
      <c r="F1975" s="1" t="s">
        <v>305</v>
      </c>
      <c r="G1975">
        <v>0</v>
      </c>
      <c r="H1975">
        <v>0</v>
      </c>
      <c r="I1975">
        <v>24</v>
      </c>
      <c r="J1975">
        <v>24</v>
      </c>
      <c r="K1975" s="33">
        <v>0</v>
      </c>
      <c r="L1975" s="1"/>
      <c r="M1975" s="1" t="str">
        <f>_xlfn.XLOOKUP(ocupacao[[#This Row],[UnidadeID]],unidades!$A:$A,unidades!$B:$B,"",0)</f>
        <v>Matriz</v>
      </c>
      <c r="N1975" s="1" t="str">
        <f>_xlfn.XLOOKUP(ocupacao[[#This Row],[UnidadeID]],unidades!$A:$A,unidades!$C:$C,"",0)</f>
        <v>Nova Iguaçu</v>
      </c>
      <c r="O1975" s="1" t="str">
        <f>_xlfn.XLOOKUP(ocupacao[[#This Row],[EspecialidadeID]],especialidades!$A:$A,especialidades!$B:$B,"",0)</f>
        <v>ELETROENCEFALOGRAMA</v>
      </c>
      <c r="P1975" s="1" t="str">
        <f>TEXT(WEEKDAY(ocupacao[[#This Row],[Data]]),"ddd")</f>
        <v>qui</v>
      </c>
      <c r="Q1975" s="1">
        <f t="shared" si="30"/>
        <v>0</v>
      </c>
    </row>
    <row r="1976" spans="1:17" x14ac:dyDescent="0.25">
      <c r="A1976" s="2">
        <v>44756</v>
      </c>
      <c r="B1976">
        <v>34</v>
      </c>
      <c r="C1976">
        <v>46</v>
      </c>
      <c r="D1976">
        <v>380</v>
      </c>
      <c r="E1976">
        <v>18021</v>
      </c>
      <c r="F1976" s="1" t="s">
        <v>796</v>
      </c>
      <c r="G1976">
        <v>0</v>
      </c>
      <c r="H1976">
        <v>0</v>
      </c>
      <c r="I1976">
        <v>22</v>
      </c>
      <c r="J1976">
        <v>22</v>
      </c>
      <c r="K1976" s="33">
        <v>0</v>
      </c>
      <c r="L1976" s="1"/>
      <c r="M1976" s="1" t="str">
        <f>_xlfn.XLOOKUP(ocupacao[[#This Row],[UnidadeID]],unidades!$A:$A,unidades!$B:$B,"",0)</f>
        <v>São João</v>
      </c>
      <c r="N1976" s="1" t="str">
        <f>_xlfn.XLOOKUP(ocupacao[[#This Row],[UnidadeID]],unidades!$A:$A,unidades!$C:$C,"",0)</f>
        <v>São João de Meriti</v>
      </c>
      <c r="O1976" s="1" t="str">
        <f>_xlfn.XLOOKUP(ocupacao[[#This Row],[EspecialidadeID]],especialidades!$A:$A,especialidades!$B:$B,"",0)</f>
        <v>ELETROENCEFALOGRAMA</v>
      </c>
      <c r="P1976" s="1" t="str">
        <f>TEXT(WEEKDAY(ocupacao[[#This Row],[Data]]),"ddd")</f>
        <v>qui</v>
      </c>
      <c r="Q1976" s="1">
        <f t="shared" si="30"/>
        <v>0</v>
      </c>
    </row>
    <row r="1977" spans="1:17" x14ac:dyDescent="0.25">
      <c r="A1977" s="2"/>
      <c r="F1977" s="1" t="s">
        <v>106</v>
      </c>
      <c r="K1977" s="33"/>
      <c r="L1977" s="1"/>
      <c r="M1977" s="1">
        <f>_xlfn.XLOOKUP(ocupacao[[#This Row],[UnidadeID]],unidades!$A:$A,unidades!$B:$B,"",0)</f>
        <v>0</v>
      </c>
      <c r="N1977" s="1">
        <f>_xlfn.XLOOKUP(ocupacao[[#This Row],[UnidadeID]],unidades!$A:$A,unidades!$C:$C,"",0)</f>
        <v>0</v>
      </c>
      <c r="O1977" s="1">
        <f>_xlfn.XLOOKUP(ocupacao[[#This Row],[EspecialidadeID]],especialidades!$A:$A,especialidades!$B:$B,"",0)</f>
        <v>0</v>
      </c>
      <c r="P1977" s="1" t="str">
        <f>TEXT(WEEKDAY(ocupacao[[#This Row],[Data]]),"ddd")</f>
        <v>sáb</v>
      </c>
      <c r="Q1977" s="1">
        <f t="shared" si="30"/>
        <v>0</v>
      </c>
    </row>
    <row r="1978" spans="1:17" hidden="1" x14ac:dyDescent="0.25">
      <c r="A1978" s="2"/>
      <c r="F1978" s="1"/>
      <c r="K1978" s="33"/>
      <c r="L1978" s="1"/>
      <c r="M1978" s="1"/>
      <c r="N1978" s="1"/>
      <c r="O1978" s="1"/>
      <c r="P1978" s="1"/>
      <c r="Q1978" s="1"/>
    </row>
    <row r="1979" spans="1:17" hidden="1" x14ac:dyDescent="0.25">
      <c r="A1979" s="2"/>
      <c r="F1979" s="1"/>
      <c r="K1979" s="33"/>
      <c r="L1979" s="1"/>
      <c r="M1979" s="1"/>
      <c r="N1979" s="1"/>
      <c r="O1979" s="1"/>
      <c r="P1979" s="1"/>
      <c r="Q1979" s="1"/>
    </row>
    <row r="1980" spans="1:17" hidden="1" x14ac:dyDescent="0.25">
      <c r="A1980" s="2"/>
      <c r="F1980" s="1"/>
      <c r="K1980" s="33"/>
      <c r="L1980" s="1"/>
      <c r="M1980" s="1"/>
      <c r="N1980" s="1"/>
      <c r="O1980" s="1"/>
      <c r="P1980" s="1"/>
      <c r="Q1980" s="1"/>
    </row>
    <row r="1981" spans="1:17" hidden="1" x14ac:dyDescent="0.25">
      <c r="A1981" s="2"/>
      <c r="F1981" s="1"/>
      <c r="K1981" s="33"/>
      <c r="L1981" s="1"/>
      <c r="M1981" s="1"/>
      <c r="N1981" s="1"/>
      <c r="O1981" s="1"/>
      <c r="P1981" s="1"/>
      <c r="Q1981" s="1"/>
    </row>
    <row r="1982" spans="1:17" hidden="1" x14ac:dyDescent="0.25">
      <c r="A1982" s="2"/>
      <c r="F1982" s="1"/>
      <c r="K1982" s="33"/>
      <c r="L1982" s="1"/>
      <c r="M1982" s="1"/>
      <c r="N1982" s="1"/>
      <c r="O1982" s="1"/>
      <c r="P1982" s="1"/>
      <c r="Q1982" s="1"/>
    </row>
    <row r="1983" spans="1:17" hidden="1" x14ac:dyDescent="0.25">
      <c r="A1983" s="2"/>
      <c r="F1983" s="1"/>
      <c r="K1983" s="33"/>
      <c r="L1983" s="1"/>
      <c r="M1983" s="1"/>
      <c r="N1983" s="1"/>
      <c r="O1983" s="1"/>
      <c r="P1983" s="1"/>
      <c r="Q1983" s="1"/>
    </row>
    <row r="1984" spans="1:17" hidden="1" x14ac:dyDescent="0.25">
      <c r="A1984" s="2"/>
      <c r="F1984" s="1"/>
      <c r="K1984" s="33"/>
      <c r="L1984" s="1"/>
      <c r="M1984" s="1"/>
      <c r="N1984" s="1"/>
      <c r="O1984" s="1"/>
      <c r="P1984" s="1"/>
      <c r="Q1984" s="1"/>
    </row>
    <row r="1985" spans="1:17" hidden="1" x14ac:dyDescent="0.25">
      <c r="A1985" s="2"/>
      <c r="F1985" s="1"/>
      <c r="K1985" s="33"/>
      <c r="L1985" s="1"/>
      <c r="M1985" s="1"/>
      <c r="N1985" s="1"/>
      <c r="O1985" s="1"/>
      <c r="P1985" s="1"/>
      <c r="Q1985" s="1"/>
    </row>
    <row r="1986" spans="1:17" hidden="1" x14ac:dyDescent="0.25">
      <c r="A1986" s="2"/>
      <c r="F1986" s="1"/>
      <c r="K1986" s="33"/>
      <c r="L1986" s="1"/>
      <c r="M1986" s="1"/>
      <c r="N1986" s="1"/>
      <c r="O1986" s="1"/>
      <c r="P1986" s="1"/>
      <c r="Q1986" s="1"/>
    </row>
    <row r="1987" spans="1:17" hidden="1" x14ac:dyDescent="0.25">
      <c r="A1987" s="2"/>
      <c r="F1987" s="1"/>
      <c r="K1987" s="33"/>
      <c r="L1987" s="1"/>
      <c r="M1987" s="1"/>
      <c r="N1987" s="1"/>
      <c r="O1987" s="1"/>
      <c r="P1987" s="1"/>
      <c r="Q1987" s="1"/>
    </row>
    <row r="1988" spans="1:17" x14ac:dyDescent="0.25">
      <c r="A1988" s="2">
        <v>44756</v>
      </c>
      <c r="B1988">
        <v>33</v>
      </c>
      <c r="C1988">
        <v>52</v>
      </c>
      <c r="D1988">
        <v>368</v>
      </c>
      <c r="E1988">
        <v>8223</v>
      </c>
      <c r="F1988" s="1" t="s">
        <v>298</v>
      </c>
      <c r="G1988">
        <v>0</v>
      </c>
      <c r="H1988">
        <v>0</v>
      </c>
      <c r="I1988">
        <v>41</v>
      </c>
      <c r="J1988">
        <v>41</v>
      </c>
      <c r="K1988" s="33">
        <v>0</v>
      </c>
      <c r="L1988" s="1"/>
      <c r="M1988" s="1" t="str">
        <f>_xlfn.XLOOKUP(ocupacao[[#This Row],[UnidadeID]],unidades!$A:$A,unidades!$B:$B,"",0)</f>
        <v>Seggastro</v>
      </c>
      <c r="N1988" s="1" t="str">
        <f>_xlfn.XLOOKUP(ocupacao[[#This Row],[UnidadeID]],unidades!$A:$A,unidades!$C:$C,"",0)</f>
        <v>Nova Iguaçu</v>
      </c>
      <c r="O1988" s="1" t="str">
        <f>_xlfn.XLOOKUP(ocupacao[[#This Row],[EspecialidadeID]],especialidades!$A:$A,especialidades!$B:$B,"",0)</f>
        <v>COLONOSCOPIA</v>
      </c>
      <c r="P1988" s="1" t="str">
        <f>TEXT(WEEKDAY(ocupacao[[#This Row],[Data]]),"ddd")</f>
        <v>qui</v>
      </c>
      <c r="Q1988" s="1">
        <f t="shared" ref="Q1988:Q2011" si="31">IF(F1988=F1989,1,0)</f>
        <v>0</v>
      </c>
    </row>
    <row r="1989" spans="1:17" hidden="1" x14ac:dyDescent="0.25">
      <c r="A1989" s="2"/>
      <c r="F1989" s="1" t="s">
        <v>106</v>
      </c>
      <c r="K1989" s="33"/>
      <c r="L1989" s="1"/>
      <c r="M1989" s="1"/>
      <c r="N1989" s="1"/>
      <c r="O1989" s="1"/>
      <c r="P1989" s="1"/>
      <c r="Q1989" s="1"/>
    </row>
    <row r="1990" spans="1:17" hidden="1" x14ac:dyDescent="0.25">
      <c r="A1990" s="2">
        <v>44748</v>
      </c>
      <c r="B1990">
        <v>22</v>
      </c>
      <c r="C1990">
        <v>59</v>
      </c>
      <c r="D1990">
        <v>44</v>
      </c>
      <c r="E1990">
        <v>5767</v>
      </c>
      <c r="F1990" s="1" t="s">
        <v>134</v>
      </c>
      <c r="G1990">
        <v>0</v>
      </c>
      <c r="H1990">
        <v>2</v>
      </c>
      <c r="I1990">
        <v>13</v>
      </c>
      <c r="J1990">
        <v>15</v>
      </c>
      <c r="K1990" s="33">
        <v>0.1333</v>
      </c>
      <c r="L1990" s="1"/>
      <c r="M1990" s="1"/>
      <c r="N1990" s="1"/>
      <c r="O1990" s="1"/>
      <c r="P1990" s="1"/>
      <c r="Q1990" s="1"/>
    </row>
    <row r="1991" spans="1:17" hidden="1" x14ac:dyDescent="0.25">
      <c r="A1991" s="2">
        <v>44755</v>
      </c>
      <c r="B1991">
        <v>22</v>
      </c>
      <c r="C1991">
        <v>59</v>
      </c>
      <c r="D1991">
        <v>44</v>
      </c>
      <c r="E1991">
        <v>5767</v>
      </c>
      <c r="F1991" s="1" t="s">
        <v>134</v>
      </c>
      <c r="G1991">
        <v>0</v>
      </c>
      <c r="H1991">
        <v>0</v>
      </c>
      <c r="I1991">
        <v>15</v>
      </c>
      <c r="J1991">
        <v>15</v>
      </c>
      <c r="K1991" s="33">
        <v>0</v>
      </c>
      <c r="L1991" s="1"/>
      <c r="M1991" s="1"/>
      <c r="N1991" s="1"/>
      <c r="O1991" s="1"/>
      <c r="P1991" s="1"/>
      <c r="Q1991" s="1"/>
    </row>
    <row r="1992" spans="1:17" hidden="1" x14ac:dyDescent="0.25">
      <c r="A1992" s="2"/>
      <c r="F1992" s="1" t="s">
        <v>106</v>
      </c>
      <c r="K1992" s="33"/>
      <c r="L1992" s="1"/>
      <c r="M1992" s="1"/>
      <c r="N1992" s="1"/>
      <c r="O1992" s="1"/>
      <c r="P1992" s="1"/>
      <c r="Q1992" s="1"/>
    </row>
    <row r="1993" spans="1:17" hidden="1" x14ac:dyDescent="0.25">
      <c r="A1993" s="2">
        <v>44746</v>
      </c>
      <c r="B1993">
        <v>11</v>
      </c>
      <c r="C1993">
        <v>68</v>
      </c>
      <c r="D1993">
        <v>14</v>
      </c>
      <c r="E1993">
        <v>9138</v>
      </c>
      <c r="F1993" s="1" t="s">
        <v>319</v>
      </c>
      <c r="G1993">
        <v>0</v>
      </c>
      <c r="H1993">
        <v>0</v>
      </c>
      <c r="I1993">
        <v>16</v>
      </c>
      <c r="J1993">
        <v>16</v>
      </c>
      <c r="K1993" s="33">
        <v>0</v>
      </c>
      <c r="L1993" s="1"/>
      <c r="M1993" s="1"/>
      <c r="N1993" s="1"/>
      <c r="O1993" s="1"/>
      <c r="P1993" s="1"/>
      <c r="Q1993" s="1"/>
    </row>
    <row r="1994" spans="1:17" hidden="1" x14ac:dyDescent="0.25">
      <c r="A1994" s="2">
        <v>44747</v>
      </c>
      <c r="B1994">
        <v>0</v>
      </c>
      <c r="C1994">
        <v>68</v>
      </c>
      <c r="D1994">
        <v>344</v>
      </c>
      <c r="E1994">
        <v>9138</v>
      </c>
      <c r="F1994" s="1" t="s">
        <v>319</v>
      </c>
      <c r="G1994">
        <v>0</v>
      </c>
      <c r="H1994">
        <v>0</v>
      </c>
      <c r="I1994">
        <v>15</v>
      </c>
      <c r="J1994">
        <v>15</v>
      </c>
      <c r="K1994" s="33">
        <v>0</v>
      </c>
      <c r="L1994" s="1"/>
      <c r="M1994" s="1"/>
      <c r="N1994" s="1"/>
      <c r="O1994" s="1"/>
      <c r="P1994" s="1"/>
      <c r="Q1994" s="1"/>
    </row>
    <row r="1995" spans="1:17" hidden="1" x14ac:dyDescent="0.25">
      <c r="A1995" s="2">
        <v>44747</v>
      </c>
      <c r="B1995">
        <v>0</v>
      </c>
      <c r="C1995">
        <v>68</v>
      </c>
      <c r="D1995">
        <v>344</v>
      </c>
      <c r="E1995">
        <v>9138</v>
      </c>
      <c r="F1995" s="1" t="s">
        <v>319</v>
      </c>
      <c r="G1995">
        <v>0</v>
      </c>
      <c r="H1995">
        <v>1</v>
      </c>
      <c r="I1995">
        <v>15</v>
      </c>
      <c r="J1995">
        <v>16</v>
      </c>
      <c r="K1995" s="33">
        <v>6.25E-2</v>
      </c>
      <c r="L1995" s="1"/>
      <c r="M1995" s="1"/>
      <c r="N1995" s="1"/>
      <c r="O1995" s="1"/>
      <c r="P1995" s="1"/>
      <c r="Q1995" s="1"/>
    </row>
    <row r="1996" spans="1:17" hidden="1" x14ac:dyDescent="0.25">
      <c r="A1996" s="2">
        <v>44750</v>
      </c>
      <c r="B1996">
        <v>0</v>
      </c>
      <c r="C1996">
        <v>68</v>
      </c>
      <c r="D1996">
        <v>344</v>
      </c>
      <c r="E1996">
        <v>9138</v>
      </c>
      <c r="F1996" s="1" t="s">
        <v>319</v>
      </c>
      <c r="G1996">
        <v>0</v>
      </c>
      <c r="H1996">
        <v>0</v>
      </c>
      <c r="I1996">
        <v>10</v>
      </c>
      <c r="J1996">
        <v>10</v>
      </c>
      <c r="K1996" s="33">
        <v>0</v>
      </c>
      <c r="L1996" s="1"/>
      <c r="M1996" s="1"/>
      <c r="N1996" s="1"/>
      <c r="O1996" s="1"/>
      <c r="P1996" s="1"/>
      <c r="Q1996" s="1"/>
    </row>
    <row r="1997" spans="1:17" hidden="1" x14ac:dyDescent="0.25">
      <c r="A1997" s="2">
        <v>44754</v>
      </c>
      <c r="B1997">
        <v>0</v>
      </c>
      <c r="C1997">
        <v>68</v>
      </c>
      <c r="D1997">
        <v>344</v>
      </c>
      <c r="E1997">
        <v>9138</v>
      </c>
      <c r="F1997" s="1" t="s">
        <v>319</v>
      </c>
      <c r="G1997">
        <v>0</v>
      </c>
      <c r="H1997">
        <v>0</v>
      </c>
      <c r="I1997">
        <v>16</v>
      </c>
      <c r="J1997">
        <v>16</v>
      </c>
      <c r="K1997" s="33">
        <v>0</v>
      </c>
      <c r="L1997" s="1"/>
      <c r="M1997" s="1"/>
      <c r="N1997" s="1"/>
      <c r="O1997" s="1"/>
      <c r="P1997" s="1"/>
      <c r="Q1997" s="1"/>
    </row>
    <row r="1998" spans="1:17" hidden="1" x14ac:dyDescent="0.25">
      <c r="A1998" s="2"/>
      <c r="F1998" s="1" t="s">
        <v>106</v>
      </c>
      <c r="K1998" s="33"/>
      <c r="L1998" s="1"/>
      <c r="M1998" s="1"/>
      <c r="N1998" s="1"/>
      <c r="O1998" s="1"/>
      <c r="P1998" s="1"/>
      <c r="Q1998" s="1"/>
    </row>
    <row r="1999" spans="1:17" hidden="1" x14ac:dyDescent="0.25">
      <c r="A1999" s="2"/>
      <c r="F1999" s="1"/>
      <c r="K1999" s="33"/>
      <c r="L1999" s="1"/>
      <c r="M1999" s="1"/>
      <c r="N1999" s="1"/>
      <c r="O1999" s="1"/>
      <c r="P1999" s="1"/>
      <c r="Q1999" s="1"/>
    </row>
    <row r="2000" spans="1:17" x14ac:dyDescent="0.25">
      <c r="A2000" s="2">
        <v>44747</v>
      </c>
      <c r="B2000">
        <v>22</v>
      </c>
      <c r="C2000">
        <v>71</v>
      </c>
      <c r="D2000">
        <v>50</v>
      </c>
      <c r="E2000">
        <v>54</v>
      </c>
      <c r="F2000" s="1" t="s">
        <v>87</v>
      </c>
      <c r="G2000">
        <v>0</v>
      </c>
      <c r="H2000">
        <v>1</v>
      </c>
      <c r="I2000">
        <v>21</v>
      </c>
      <c r="J2000">
        <v>22</v>
      </c>
      <c r="K2000" s="33">
        <v>4.5499999999999999E-2</v>
      </c>
      <c r="L2000" s="1"/>
      <c r="M2000" s="1" t="str">
        <f>_xlfn.XLOOKUP(ocupacao[[#This Row],[UnidadeID]],unidades!$A:$A,unidades!$B:$B,"",0)</f>
        <v>Filial 1</v>
      </c>
      <c r="N2000" s="1" t="str">
        <f>_xlfn.XLOOKUP(ocupacao[[#This Row],[UnidadeID]],unidades!$A:$A,unidades!$C:$C,"",0)</f>
        <v>Nova Iguaçu</v>
      </c>
      <c r="O2000" s="1" t="str">
        <f>_xlfn.XLOOKUP(ocupacao[[#This Row],[EspecialidadeID]],especialidades!$A:$A,especialidades!$B:$B,"",0)</f>
        <v>AUDIOMETRIA</v>
      </c>
      <c r="P2000" s="1" t="str">
        <f>TEXT(WEEKDAY(ocupacao[[#This Row],[Data]]),"ddd")</f>
        <v>ter</v>
      </c>
      <c r="Q2000" s="1">
        <f t="shared" si="31"/>
        <v>0</v>
      </c>
    </row>
    <row r="2001" spans="1:17" hidden="1" x14ac:dyDescent="0.25">
      <c r="A2001" s="2"/>
      <c r="F2001" s="1"/>
      <c r="K2001" s="33"/>
      <c r="L2001" s="1"/>
      <c r="M2001" s="1"/>
      <c r="N2001" s="1"/>
      <c r="O2001" s="1"/>
      <c r="P2001" s="1"/>
      <c r="Q2001" s="1"/>
    </row>
    <row r="2002" spans="1:17" hidden="1" x14ac:dyDescent="0.25">
      <c r="A2002" s="2"/>
      <c r="F2002" s="1"/>
      <c r="K2002" s="33"/>
      <c r="L2002" s="1"/>
      <c r="M2002" s="1"/>
      <c r="N2002" s="1"/>
      <c r="O2002" s="1"/>
      <c r="P2002" s="1"/>
      <c r="Q2002" s="1"/>
    </row>
    <row r="2003" spans="1:17" hidden="1" x14ac:dyDescent="0.25">
      <c r="A2003" s="2"/>
      <c r="F2003" s="1"/>
      <c r="K2003" s="33"/>
      <c r="L2003" s="1"/>
      <c r="M2003" s="1"/>
      <c r="N2003" s="1"/>
      <c r="O2003" s="1"/>
      <c r="P2003" s="1"/>
      <c r="Q2003" s="1"/>
    </row>
    <row r="2004" spans="1:17" hidden="1" x14ac:dyDescent="0.25">
      <c r="A2004" s="2">
        <v>44751</v>
      </c>
      <c r="B2004">
        <v>22</v>
      </c>
      <c r="C2004">
        <v>71</v>
      </c>
      <c r="D2004">
        <v>50</v>
      </c>
      <c r="E2004">
        <v>54</v>
      </c>
      <c r="F2004" s="1" t="s">
        <v>87</v>
      </c>
      <c r="G2004">
        <v>0</v>
      </c>
      <c r="H2004">
        <v>0</v>
      </c>
      <c r="I2004">
        <v>9</v>
      </c>
      <c r="J2004">
        <v>9</v>
      </c>
      <c r="K2004" s="33">
        <v>0</v>
      </c>
      <c r="L2004" s="1"/>
      <c r="M2004" s="1"/>
      <c r="N2004" s="1"/>
      <c r="O2004" s="1"/>
      <c r="P2004" s="1"/>
      <c r="Q2004" s="1"/>
    </row>
    <row r="2005" spans="1:17" hidden="1" x14ac:dyDescent="0.25">
      <c r="A2005" s="2">
        <v>44753</v>
      </c>
      <c r="B2005">
        <v>22</v>
      </c>
      <c r="C2005">
        <v>71</v>
      </c>
      <c r="D2005">
        <v>50</v>
      </c>
      <c r="E2005">
        <v>54</v>
      </c>
      <c r="F2005" s="1" t="s">
        <v>87</v>
      </c>
      <c r="G2005">
        <v>0</v>
      </c>
      <c r="H2005">
        <v>0</v>
      </c>
      <c r="I2005">
        <v>6</v>
      </c>
      <c r="J2005">
        <v>6</v>
      </c>
      <c r="K2005" s="33">
        <v>0</v>
      </c>
      <c r="L2005" s="1"/>
      <c r="M2005" s="1"/>
      <c r="N2005" s="1"/>
      <c r="O2005" s="1"/>
      <c r="P2005" s="1"/>
      <c r="Q2005" s="1"/>
    </row>
    <row r="2006" spans="1:17" hidden="1" x14ac:dyDescent="0.25">
      <c r="A2006" s="2"/>
      <c r="F2006" s="1"/>
      <c r="K2006" s="33"/>
      <c r="L2006" s="1"/>
      <c r="M2006" s="1"/>
      <c r="N2006" s="1"/>
      <c r="O2006" s="1"/>
      <c r="P2006" s="1"/>
      <c r="Q2006" s="1"/>
    </row>
    <row r="2007" spans="1:17" hidden="1" x14ac:dyDescent="0.25">
      <c r="A2007" s="2">
        <v>44755</v>
      </c>
      <c r="B2007">
        <v>22</v>
      </c>
      <c r="C2007">
        <v>71</v>
      </c>
      <c r="D2007">
        <v>50</v>
      </c>
      <c r="E2007">
        <v>54</v>
      </c>
      <c r="F2007" s="1" t="s">
        <v>87</v>
      </c>
      <c r="G2007">
        <v>0</v>
      </c>
      <c r="H2007">
        <v>0</v>
      </c>
      <c r="I2007">
        <v>12</v>
      </c>
      <c r="J2007">
        <v>12</v>
      </c>
      <c r="K2007" s="33">
        <v>0</v>
      </c>
      <c r="L2007" s="1"/>
      <c r="M2007" s="1"/>
      <c r="N2007" s="1"/>
      <c r="O2007" s="1"/>
      <c r="P2007" s="1"/>
      <c r="Q2007" s="1"/>
    </row>
    <row r="2008" spans="1:17" x14ac:dyDescent="0.25">
      <c r="A2008" s="2">
        <v>44756</v>
      </c>
      <c r="B2008">
        <v>22</v>
      </c>
      <c r="C2008">
        <v>71</v>
      </c>
      <c r="D2008">
        <v>50</v>
      </c>
      <c r="E2008">
        <v>54</v>
      </c>
      <c r="F2008" s="1" t="s">
        <v>87</v>
      </c>
      <c r="G2008">
        <v>0</v>
      </c>
      <c r="H2008">
        <v>0</v>
      </c>
      <c r="I2008">
        <v>17</v>
      </c>
      <c r="J2008">
        <v>17</v>
      </c>
      <c r="K2008" s="33">
        <v>0</v>
      </c>
      <c r="L2008" s="1"/>
      <c r="M2008" s="1" t="str">
        <f>_xlfn.XLOOKUP(ocupacao[[#This Row],[UnidadeID]],unidades!$A:$A,unidades!$B:$B,"",0)</f>
        <v>Filial 1</v>
      </c>
      <c r="N2008" s="1" t="str">
        <f>_xlfn.XLOOKUP(ocupacao[[#This Row],[UnidadeID]],unidades!$A:$A,unidades!$C:$C,"",0)</f>
        <v>Nova Iguaçu</v>
      </c>
      <c r="O2008" s="1" t="str">
        <f>_xlfn.XLOOKUP(ocupacao[[#This Row],[EspecialidadeID]],especialidades!$A:$A,especialidades!$B:$B,"",0)</f>
        <v>AUDIOMETRIA</v>
      </c>
      <c r="P2008" s="1" t="str">
        <f>TEXT(WEEKDAY(ocupacao[[#This Row],[Data]]),"ddd")</f>
        <v>qui</v>
      </c>
      <c r="Q2008" s="1">
        <f t="shared" si="31"/>
        <v>0</v>
      </c>
    </row>
    <row r="2009" spans="1:17" x14ac:dyDescent="0.25">
      <c r="A2009" s="2"/>
      <c r="F2009" s="1" t="s">
        <v>106</v>
      </c>
      <c r="K2009" s="33"/>
      <c r="L2009" s="1"/>
      <c r="M2009" s="1">
        <f>_xlfn.XLOOKUP(ocupacao[[#This Row],[UnidadeID]],unidades!$A:$A,unidades!$B:$B,"",0)</f>
        <v>0</v>
      </c>
      <c r="N2009" s="1">
        <f>_xlfn.XLOOKUP(ocupacao[[#This Row],[UnidadeID]],unidades!$A:$A,unidades!$C:$C,"",0)</f>
        <v>0</v>
      </c>
      <c r="O2009" s="1">
        <f>_xlfn.XLOOKUP(ocupacao[[#This Row],[EspecialidadeID]],especialidades!$A:$A,especialidades!$B:$B,"",0)</f>
        <v>0</v>
      </c>
      <c r="P2009" s="1" t="str">
        <f>TEXT(WEEKDAY(ocupacao[[#This Row],[Data]]),"ddd")</f>
        <v>sáb</v>
      </c>
      <c r="Q2009" s="1">
        <f t="shared" si="31"/>
        <v>0</v>
      </c>
    </row>
    <row r="2010" spans="1:17" hidden="1" x14ac:dyDescent="0.25">
      <c r="A2010" s="2">
        <v>44747</v>
      </c>
      <c r="B2010">
        <v>24</v>
      </c>
      <c r="C2010">
        <v>74</v>
      </c>
      <c r="D2010">
        <v>60</v>
      </c>
      <c r="E2010">
        <v>17863</v>
      </c>
      <c r="F2010" s="1" t="s">
        <v>150</v>
      </c>
      <c r="G2010">
        <v>0</v>
      </c>
      <c r="H2010">
        <v>0</v>
      </c>
      <c r="I2010">
        <v>59</v>
      </c>
      <c r="J2010">
        <v>59</v>
      </c>
      <c r="K2010" s="33">
        <v>0</v>
      </c>
      <c r="L2010" s="1"/>
      <c r="M2010" s="1"/>
      <c r="N2010" s="1"/>
      <c r="O2010" s="1"/>
      <c r="P2010" s="1"/>
      <c r="Q2010" s="1"/>
    </row>
    <row r="2011" spans="1:17" x14ac:dyDescent="0.25">
      <c r="A2011" s="2">
        <v>44754</v>
      </c>
      <c r="B2011">
        <v>24</v>
      </c>
      <c r="C2011">
        <v>74</v>
      </c>
      <c r="D2011">
        <v>60</v>
      </c>
      <c r="E2011">
        <v>17863</v>
      </c>
      <c r="F2011" s="1" t="s">
        <v>150</v>
      </c>
      <c r="G2011">
        <v>0</v>
      </c>
      <c r="H2011">
        <v>0</v>
      </c>
      <c r="I2011">
        <v>59</v>
      </c>
      <c r="J2011">
        <v>59</v>
      </c>
      <c r="K2011" s="33">
        <v>0</v>
      </c>
      <c r="L2011" s="1"/>
      <c r="M2011" s="1" t="str">
        <f>_xlfn.XLOOKUP(ocupacao[[#This Row],[UnidadeID]],unidades!$A:$A,unidades!$B:$B,"",0)</f>
        <v>Nilópolis</v>
      </c>
      <c r="N2011" s="1" t="str">
        <f>_xlfn.XLOOKUP(ocupacao[[#This Row],[UnidadeID]],unidades!$A:$A,unidades!$C:$C,"",0)</f>
        <v>Nilópolis</v>
      </c>
      <c r="O2011" s="1" t="str">
        <f>_xlfn.XLOOKUP(ocupacao[[#This Row],[EspecialidadeID]],especialidades!$A:$A,especialidades!$B:$B,"",0)</f>
        <v>MEDICINA DA FAMILIA</v>
      </c>
      <c r="P2011" s="1" t="str">
        <f>TEXT(WEEKDAY(ocupacao[[#This Row],[Data]]),"ddd")</f>
        <v>ter</v>
      </c>
      <c r="Q2011" s="1">
        <f t="shared" si="31"/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3DE8-6107-4A05-A197-5C056908E525}">
  <sheetPr codeName="Planilha8" filterMode="1"/>
  <dimension ref="A1:N1257"/>
  <sheetViews>
    <sheetView workbookViewId="0">
      <selection activeCell="C1" sqref="C1"/>
    </sheetView>
  </sheetViews>
  <sheetFormatPr defaultRowHeight="15" x14ac:dyDescent="0.25"/>
  <cols>
    <col min="1" max="3" width="19.140625" customWidth="1"/>
    <col min="4" max="5" width="19.140625" style="3" customWidth="1"/>
    <col min="6" max="6" width="19.140625" customWidth="1"/>
    <col min="7" max="7" width="19.140625" style="1" customWidth="1"/>
    <col min="8" max="8" width="19.140625" style="3" customWidth="1"/>
    <col min="9" max="9" width="19.140625" style="1" customWidth="1"/>
    <col min="10" max="14" width="19.140625" customWidth="1"/>
  </cols>
  <sheetData>
    <row r="1" spans="1:14" x14ac:dyDescent="0.25">
      <c r="A1" s="43" t="s">
        <v>383</v>
      </c>
      <c r="B1" s="43" t="s">
        <v>384</v>
      </c>
      <c r="C1" s="43" t="s">
        <v>385</v>
      </c>
      <c r="D1" s="44" t="s">
        <v>387</v>
      </c>
      <c r="E1" s="44" t="s">
        <v>386</v>
      </c>
      <c r="F1" s="43" t="s">
        <v>388</v>
      </c>
      <c r="G1" s="45" t="s">
        <v>795</v>
      </c>
      <c r="H1" s="44" t="s">
        <v>794</v>
      </c>
      <c r="I1" s="45" t="s">
        <v>793</v>
      </c>
      <c r="J1" s="43" t="s">
        <v>37</v>
      </c>
      <c r="K1" s="43" t="s">
        <v>389</v>
      </c>
      <c r="L1" s="43" t="s">
        <v>390</v>
      </c>
      <c r="M1" s="43" t="s">
        <v>391</v>
      </c>
      <c r="N1" s="43" t="s">
        <v>28</v>
      </c>
    </row>
    <row r="2" spans="1:14" hidden="1" x14ac:dyDescent="0.25">
      <c r="B2" t="s">
        <v>392</v>
      </c>
      <c r="C2" t="s">
        <v>393</v>
      </c>
      <c r="D2" s="3" t="s">
        <v>395</v>
      </c>
      <c r="E2" s="3" t="s">
        <v>394</v>
      </c>
      <c r="F2">
        <v>10</v>
      </c>
      <c r="G2" s="3">
        <f>(E2-D2)</f>
        <v>0.14930555555555558</v>
      </c>
      <c r="H2" s="3">
        <f>G2/F2</f>
        <v>1.4930555555555558E-2</v>
      </c>
      <c r="I2" s="1">
        <f t="shared" ref="I2:I33" si="0">MINUTE(H2)</f>
        <v>21</v>
      </c>
      <c r="J2" t="s">
        <v>396</v>
      </c>
      <c r="K2" t="s">
        <v>397</v>
      </c>
      <c r="L2" t="s">
        <v>88</v>
      </c>
      <c r="M2" t="s">
        <v>398</v>
      </c>
      <c r="N2" t="s">
        <v>399</v>
      </c>
    </row>
    <row r="3" spans="1:14" hidden="1" x14ac:dyDescent="0.25">
      <c r="B3" t="s">
        <v>392</v>
      </c>
      <c r="C3" t="s">
        <v>400</v>
      </c>
      <c r="D3" s="3" t="s">
        <v>395</v>
      </c>
      <c r="E3" s="3" t="s">
        <v>394</v>
      </c>
      <c r="F3">
        <v>5</v>
      </c>
      <c r="G3" s="3">
        <f>(E3-D3)</f>
        <v>0.14930555555555558</v>
      </c>
      <c r="H3" s="3">
        <f>G3/F3</f>
        <v>2.9861111111111116E-2</v>
      </c>
      <c r="I3" s="1">
        <f t="shared" si="0"/>
        <v>43</v>
      </c>
      <c r="J3" t="s">
        <v>396</v>
      </c>
      <c r="K3" t="s">
        <v>397</v>
      </c>
      <c r="L3" t="s">
        <v>88</v>
      </c>
      <c r="M3" t="s">
        <v>398</v>
      </c>
      <c r="N3" t="s">
        <v>399</v>
      </c>
    </row>
    <row r="4" spans="1:14" hidden="1" x14ac:dyDescent="0.25">
      <c r="B4" t="s">
        <v>392</v>
      </c>
      <c r="C4" t="s">
        <v>401</v>
      </c>
      <c r="D4" s="3" t="s">
        <v>403</v>
      </c>
      <c r="E4" s="3" t="s">
        <v>402</v>
      </c>
      <c r="F4">
        <v>15</v>
      </c>
      <c r="G4" s="3">
        <f t="shared" ref="G4:G67" si="1">(E4-D4)</f>
        <v>0.14930555555555558</v>
      </c>
      <c r="H4" s="3">
        <f t="shared" ref="H4:H67" si="2">G4/F4</f>
        <v>9.9537037037037059E-3</v>
      </c>
      <c r="I4" s="1">
        <f t="shared" si="0"/>
        <v>14</v>
      </c>
      <c r="J4" t="s">
        <v>404</v>
      </c>
      <c r="K4" t="s">
        <v>397</v>
      </c>
      <c r="L4" t="s">
        <v>338</v>
      </c>
      <c r="M4" t="s">
        <v>398</v>
      </c>
      <c r="N4" t="s">
        <v>405</v>
      </c>
    </row>
    <row r="5" spans="1:14" hidden="1" x14ac:dyDescent="0.25">
      <c r="B5" t="s">
        <v>392</v>
      </c>
      <c r="C5" t="s">
        <v>406</v>
      </c>
      <c r="D5" s="3" t="s">
        <v>403</v>
      </c>
      <c r="E5" s="3" t="s">
        <v>402</v>
      </c>
      <c r="F5">
        <v>15</v>
      </c>
      <c r="G5" s="3">
        <f t="shared" si="1"/>
        <v>0.14930555555555558</v>
      </c>
      <c r="H5" s="3">
        <f t="shared" si="2"/>
        <v>9.9537037037037059E-3</v>
      </c>
      <c r="I5" s="1">
        <f t="shared" si="0"/>
        <v>14</v>
      </c>
      <c r="J5" t="s">
        <v>404</v>
      </c>
      <c r="K5" t="s">
        <v>397</v>
      </c>
      <c r="L5" t="s">
        <v>338</v>
      </c>
      <c r="M5" t="s">
        <v>398</v>
      </c>
      <c r="N5" t="s">
        <v>405</v>
      </c>
    </row>
    <row r="6" spans="1:14" hidden="1" x14ac:dyDescent="0.25">
      <c r="B6" t="s">
        <v>392</v>
      </c>
      <c r="C6" t="s">
        <v>407</v>
      </c>
      <c r="D6" s="3" t="s">
        <v>395</v>
      </c>
      <c r="E6" s="3" t="s">
        <v>408</v>
      </c>
      <c r="F6">
        <v>10</v>
      </c>
      <c r="G6" s="3">
        <f t="shared" si="1"/>
        <v>0.36458333333333337</v>
      </c>
      <c r="H6" s="3">
        <f t="shared" si="2"/>
        <v>3.6458333333333336E-2</v>
      </c>
      <c r="I6" s="1">
        <f t="shared" si="0"/>
        <v>52</v>
      </c>
      <c r="J6" t="s">
        <v>409</v>
      </c>
      <c r="K6" t="s">
        <v>397</v>
      </c>
      <c r="L6" t="s">
        <v>334</v>
      </c>
      <c r="M6" t="s">
        <v>398</v>
      </c>
      <c r="N6" t="s">
        <v>405</v>
      </c>
    </row>
    <row r="7" spans="1:14" hidden="1" x14ac:dyDescent="0.25">
      <c r="B7" t="s">
        <v>392</v>
      </c>
      <c r="C7" t="s">
        <v>406</v>
      </c>
      <c r="D7" s="3" t="s">
        <v>411</v>
      </c>
      <c r="E7" s="3" t="s">
        <v>410</v>
      </c>
      <c r="F7">
        <v>10</v>
      </c>
      <c r="G7" s="3">
        <f t="shared" si="1"/>
        <v>0.14930555555555558</v>
      </c>
      <c r="H7" s="3">
        <f t="shared" si="2"/>
        <v>1.4930555555555558E-2</v>
      </c>
      <c r="I7" s="1">
        <f t="shared" si="0"/>
        <v>21</v>
      </c>
      <c r="J7" t="s">
        <v>409</v>
      </c>
      <c r="K7" t="s">
        <v>397</v>
      </c>
      <c r="L7" t="s">
        <v>334</v>
      </c>
      <c r="M7" t="s">
        <v>398</v>
      </c>
      <c r="N7" t="s">
        <v>405</v>
      </c>
    </row>
    <row r="8" spans="1:14" hidden="1" x14ac:dyDescent="0.25">
      <c r="C8" t="s">
        <v>406</v>
      </c>
      <c r="D8" s="3" t="s">
        <v>403</v>
      </c>
      <c r="E8" s="3" t="s">
        <v>402</v>
      </c>
      <c r="F8">
        <v>20</v>
      </c>
      <c r="G8" s="3">
        <f t="shared" si="1"/>
        <v>0.14930555555555558</v>
      </c>
      <c r="H8" s="3">
        <f t="shared" si="2"/>
        <v>7.465277777777779E-3</v>
      </c>
      <c r="I8" s="1">
        <f t="shared" si="0"/>
        <v>10</v>
      </c>
      <c r="J8" t="s">
        <v>396</v>
      </c>
      <c r="K8" t="s">
        <v>397</v>
      </c>
      <c r="L8" t="s">
        <v>340</v>
      </c>
      <c r="M8" t="s">
        <v>398</v>
      </c>
      <c r="N8" t="s">
        <v>405</v>
      </c>
    </row>
    <row r="9" spans="1:14" hidden="1" x14ac:dyDescent="0.25">
      <c r="C9" t="s">
        <v>407</v>
      </c>
      <c r="D9" s="3" t="s">
        <v>413</v>
      </c>
      <c r="E9" s="3" t="s">
        <v>412</v>
      </c>
      <c r="F9">
        <v>10</v>
      </c>
      <c r="G9" s="3">
        <f t="shared" si="1"/>
        <v>0.14583333333333337</v>
      </c>
      <c r="H9" s="3">
        <f t="shared" si="2"/>
        <v>1.4583333333333337E-2</v>
      </c>
      <c r="I9" s="1">
        <f t="shared" si="0"/>
        <v>21</v>
      </c>
      <c r="J9" t="s">
        <v>414</v>
      </c>
      <c r="K9" t="s">
        <v>397</v>
      </c>
      <c r="L9" t="s">
        <v>87</v>
      </c>
      <c r="M9" t="s">
        <v>398</v>
      </c>
      <c r="N9" t="s">
        <v>405</v>
      </c>
    </row>
    <row r="10" spans="1:14" hidden="1" x14ac:dyDescent="0.25">
      <c r="C10" t="s">
        <v>406</v>
      </c>
      <c r="D10" s="3" t="s">
        <v>416</v>
      </c>
      <c r="E10" s="3" t="s">
        <v>415</v>
      </c>
      <c r="F10">
        <v>10</v>
      </c>
      <c r="G10" s="3">
        <f t="shared" si="1"/>
        <v>0.11111111111111116</v>
      </c>
      <c r="H10" s="3">
        <f t="shared" si="2"/>
        <v>1.1111111111111117E-2</v>
      </c>
      <c r="I10" s="1">
        <f t="shared" si="0"/>
        <v>16</v>
      </c>
      <c r="J10" t="s">
        <v>414</v>
      </c>
      <c r="K10" t="s">
        <v>417</v>
      </c>
      <c r="L10" t="s">
        <v>87</v>
      </c>
      <c r="M10" t="s">
        <v>398</v>
      </c>
      <c r="N10" t="s">
        <v>405</v>
      </c>
    </row>
    <row r="11" spans="1:14" hidden="1" x14ac:dyDescent="0.25">
      <c r="C11" t="s">
        <v>400</v>
      </c>
      <c r="D11" s="3" t="s">
        <v>413</v>
      </c>
      <c r="E11" s="3" t="s">
        <v>412</v>
      </c>
      <c r="F11">
        <v>10</v>
      </c>
      <c r="G11" s="3">
        <f t="shared" si="1"/>
        <v>0.14583333333333337</v>
      </c>
      <c r="H11" s="3">
        <f t="shared" si="2"/>
        <v>1.4583333333333337E-2</v>
      </c>
      <c r="I11" s="1">
        <f t="shared" si="0"/>
        <v>21</v>
      </c>
      <c r="J11" t="s">
        <v>414</v>
      </c>
      <c r="K11" t="s">
        <v>397</v>
      </c>
      <c r="L11" t="s">
        <v>87</v>
      </c>
      <c r="M11" t="s">
        <v>398</v>
      </c>
      <c r="N11" t="s">
        <v>405</v>
      </c>
    </row>
    <row r="12" spans="1:14" hidden="1" x14ac:dyDescent="0.25">
      <c r="C12" t="s">
        <v>407</v>
      </c>
      <c r="D12" s="3" t="s">
        <v>419</v>
      </c>
      <c r="E12" s="3" t="s">
        <v>418</v>
      </c>
      <c r="F12">
        <v>10</v>
      </c>
      <c r="G12" s="3">
        <f t="shared" si="1"/>
        <v>0.27430555555555558</v>
      </c>
      <c r="H12" s="3">
        <f t="shared" si="2"/>
        <v>2.7430555555555559E-2</v>
      </c>
      <c r="I12" s="1">
        <f t="shared" si="0"/>
        <v>39</v>
      </c>
      <c r="J12" t="s">
        <v>420</v>
      </c>
      <c r="K12" t="s">
        <v>397</v>
      </c>
      <c r="L12" t="s">
        <v>101</v>
      </c>
      <c r="M12" t="s">
        <v>398</v>
      </c>
      <c r="N12" t="s">
        <v>405</v>
      </c>
    </row>
    <row r="13" spans="1:14" hidden="1" x14ac:dyDescent="0.25">
      <c r="C13" t="s">
        <v>393</v>
      </c>
      <c r="D13" s="3" t="s">
        <v>403</v>
      </c>
      <c r="E13" s="3" t="s">
        <v>412</v>
      </c>
      <c r="F13">
        <v>20</v>
      </c>
      <c r="G13" s="3">
        <f t="shared" si="1"/>
        <v>0.15277777777777779</v>
      </c>
      <c r="H13" s="3">
        <f t="shared" si="2"/>
        <v>7.6388888888888895E-3</v>
      </c>
      <c r="I13" s="1">
        <f t="shared" si="0"/>
        <v>11</v>
      </c>
      <c r="J13" t="s">
        <v>414</v>
      </c>
      <c r="K13" t="s">
        <v>397</v>
      </c>
      <c r="L13" t="s">
        <v>87</v>
      </c>
      <c r="M13" t="s">
        <v>398</v>
      </c>
      <c r="N13" t="s">
        <v>405</v>
      </c>
    </row>
    <row r="14" spans="1:14" hidden="1" x14ac:dyDescent="0.25">
      <c r="B14" t="s">
        <v>421</v>
      </c>
      <c r="C14" t="s">
        <v>422</v>
      </c>
      <c r="D14" s="3" t="s">
        <v>413</v>
      </c>
      <c r="E14" s="3" t="s">
        <v>423</v>
      </c>
      <c r="F14">
        <v>20</v>
      </c>
      <c r="G14" s="3">
        <f t="shared" si="1"/>
        <v>0.11111111111111116</v>
      </c>
      <c r="H14" s="3">
        <f t="shared" si="2"/>
        <v>5.5555555555555584E-3</v>
      </c>
      <c r="I14" s="1">
        <f t="shared" si="0"/>
        <v>8</v>
      </c>
      <c r="J14" t="s">
        <v>414</v>
      </c>
      <c r="K14" t="s">
        <v>397</v>
      </c>
      <c r="L14" t="s">
        <v>87</v>
      </c>
      <c r="M14" t="s">
        <v>398</v>
      </c>
      <c r="N14" t="s">
        <v>405</v>
      </c>
    </row>
    <row r="15" spans="1:14" hidden="1" x14ac:dyDescent="0.25">
      <c r="C15" t="s">
        <v>407</v>
      </c>
      <c r="D15" s="3" t="s">
        <v>416</v>
      </c>
      <c r="E15" s="3" t="s">
        <v>424</v>
      </c>
      <c r="F15">
        <v>10</v>
      </c>
      <c r="G15" s="3">
        <f t="shared" si="1"/>
        <v>2.777777777777779E-2</v>
      </c>
      <c r="H15" s="3">
        <f t="shared" si="2"/>
        <v>2.7777777777777792E-3</v>
      </c>
      <c r="I15" s="1">
        <f t="shared" si="0"/>
        <v>4</v>
      </c>
      <c r="J15" t="s">
        <v>425</v>
      </c>
      <c r="K15" t="s">
        <v>417</v>
      </c>
      <c r="L15" t="s">
        <v>104</v>
      </c>
      <c r="M15" t="s">
        <v>398</v>
      </c>
      <c r="N15" t="s">
        <v>405</v>
      </c>
    </row>
    <row r="16" spans="1:14" hidden="1" x14ac:dyDescent="0.25">
      <c r="C16" t="s">
        <v>400</v>
      </c>
      <c r="D16" s="3" t="s">
        <v>403</v>
      </c>
      <c r="E16" s="3" t="s">
        <v>426</v>
      </c>
      <c r="F16">
        <v>15</v>
      </c>
      <c r="G16" s="3">
        <f t="shared" si="1"/>
        <v>0.19097222222222227</v>
      </c>
      <c r="H16" s="3">
        <f t="shared" si="2"/>
        <v>1.2731481481481484E-2</v>
      </c>
      <c r="I16" s="1">
        <f t="shared" si="0"/>
        <v>18</v>
      </c>
      <c r="J16" t="s">
        <v>427</v>
      </c>
      <c r="K16" t="s">
        <v>397</v>
      </c>
      <c r="L16" t="s">
        <v>339</v>
      </c>
      <c r="M16" t="s">
        <v>398</v>
      </c>
      <c r="N16" t="s">
        <v>405</v>
      </c>
    </row>
    <row r="17" spans="2:14" hidden="1" x14ac:dyDescent="0.25">
      <c r="C17" t="s">
        <v>406</v>
      </c>
      <c r="D17" s="3" t="s">
        <v>403</v>
      </c>
      <c r="E17" s="3" t="s">
        <v>426</v>
      </c>
      <c r="F17">
        <v>15</v>
      </c>
      <c r="G17" s="3">
        <f t="shared" si="1"/>
        <v>0.19097222222222227</v>
      </c>
      <c r="H17" s="3">
        <f t="shared" si="2"/>
        <v>1.2731481481481484E-2</v>
      </c>
      <c r="I17" s="1">
        <f t="shared" si="0"/>
        <v>18</v>
      </c>
      <c r="J17" t="s">
        <v>427</v>
      </c>
      <c r="K17" t="s">
        <v>397</v>
      </c>
      <c r="L17" t="s">
        <v>379</v>
      </c>
      <c r="M17" t="s">
        <v>398</v>
      </c>
      <c r="N17" t="s">
        <v>405</v>
      </c>
    </row>
    <row r="18" spans="2:14" hidden="1" x14ac:dyDescent="0.25">
      <c r="C18" t="s">
        <v>400</v>
      </c>
      <c r="D18" s="3" t="s">
        <v>416</v>
      </c>
      <c r="E18" s="3" t="s">
        <v>418</v>
      </c>
      <c r="F18">
        <v>15</v>
      </c>
      <c r="G18" s="3">
        <f t="shared" si="1"/>
        <v>0.10763888888888895</v>
      </c>
      <c r="H18" s="3">
        <f t="shared" si="2"/>
        <v>7.1759259259259302E-3</v>
      </c>
      <c r="I18" s="1">
        <f t="shared" si="0"/>
        <v>10</v>
      </c>
      <c r="J18" t="s">
        <v>404</v>
      </c>
      <c r="K18" t="s">
        <v>417</v>
      </c>
      <c r="L18" t="s">
        <v>379</v>
      </c>
      <c r="M18" t="s">
        <v>398</v>
      </c>
      <c r="N18" t="s">
        <v>405</v>
      </c>
    </row>
    <row r="19" spans="2:14" hidden="1" x14ac:dyDescent="0.25">
      <c r="C19" t="s">
        <v>407</v>
      </c>
      <c r="D19" s="3" t="s">
        <v>403</v>
      </c>
      <c r="E19" s="3" t="s">
        <v>428</v>
      </c>
      <c r="F19">
        <v>15</v>
      </c>
      <c r="G19" s="3">
        <f t="shared" si="1"/>
        <v>0.39930555555555552</v>
      </c>
      <c r="H19" s="3">
        <f t="shared" si="2"/>
        <v>2.6620370370370367E-2</v>
      </c>
      <c r="I19" s="1">
        <f t="shared" si="0"/>
        <v>38</v>
      </c>
      <c r="J19" t="s">
        <v>429</v>
      </c>
      <c r="K19" t="s">
        <v>397</v>
      </c>
      <c r="L19" t="s">
        <v>327</v>
      </c>
      <c r="M19" t="s">
        <v>398</v>
      </c>
      <c r="N19" t="s">
        <v>405</v>
      </c>
    </row>
    <row r="20" spans="2:14" hidden="1" x14ac:dyDescent="0.25">
      <c r="B20" t="s">
        <v>430</v>
      </c>
      <c r="C20" t="s">
        <v>400</v>
      </c>
      <c r="D20" s="3" t="s">
        <v>416</v>
      </c>
      <c r="E20" s="3" t="s">
        <v>431</v>
      </c>
      <c r="F20">
        <v>15</v>
      </c>
      <c r="G20" s="3">
        <f t="shared" si="1"/>
        <v>0.14930555555555558</v>
      </c>
      <c r="H20" s="3">
        <f t="shared" si="2"/>
        <v>9.9537037037037059E-3</v>
      </c>
      <c r="I20" s="1">
        <f t="shared" si="0"/>
        <v>14</v>
      </c>
      <c r="J20" t="s">
        <v>432</v>
      </c>
      <c r="K20" t="s">
        <v>417</v>
      </c>
      <c r="L20" t="s">
        <v>119</v>
      </c>
      <c r="M20" t="s">
        <v>398</v>
      </c>
      <c r="N20" t="s">
        <v>433</v>
      </c>
    </row>
    <row r="21" spans="2:14" hidden="1" x14ac:dyDescent="0.25">
      <c r="B21" t="s">
        <v>434</v>
      </c>
      <c r="C21" t="s">
        <v>407</v>
      </c>
      <c r="D21" s="3" t="s">
        <v>416</v>
      </c>
      <c r="E21" s="3" t="s">
        <v>428</v>
      </c>
      <c r="F21">
        <v>15</v>
      </c>
      <c r="G21" s="3">
        <f t="shared" si="1"/>
        <v>0.19097222222222221</v>
      </c>
      <c r="H21" s="3">
        <f t="shared" si="2"/>
        <v>1.2731481481481481E-2</v>
      </c>
      <c r="I21" s="1">
        <f t="shared" si="0"/>
        <v>18</v>
      </c>
      <c r="J21" t="s">
        <v>429</v>
      </c>
      <c r="K21" t="s">
        <v>417</v>
      </c>
      <c r="L21" t="s">
        <v>126</v>
      </c>
      <c r="M21" t="s">
        <v>398</v>
      </c>
      <c r="N21" t="s">
        <v>433</v>
      </c>
    </row>
    <row r="22" spans="2:14" hidden="1" x14ac:dyDescent="0.25">
      <c r="C22" t="s">
        <v>407</v>
      </c>
      <c r="D22" s="3" t="s">
        <v>403</v>
      </c>
      <c r="E22" s="3" t="s">
        <v>402</v>
      </c>
      <c r="F22">
        <v>15</v>
      </c>
      <c r="G22" s="3">
        <f t="shared" si="1"/>
        <v>0.14930555555555558</v>
      </c>
      <c r="H22" s="3">
        <f t="shared" si="2"/>
        <v>9.9537037037037059E-3</v>
      </c>
      <c r="I22" s="1">
        <f t="shared" si="0"/>
        <v>14</v>
      </c>
      <c r="J22" t="s">
        <v>435</v>
      </c>
      <c r="K22" t="s">
        <v>397</v>
      </c>
      <c r="L22" t="s">
        <v>90</v>
      </c>
      <c r="M22" t="s">
        <v>398</v>
      </c>
      <c r="N22" t="s">
        <v>433</v>
      </c>
    </row>
    <row r="23" spans="2:14" hidden="1" x14ac:dyDescent="0.25">
      <c r="B23" t="s">
        <v>436</v>
      </c>
      <c r="C23" t="s">
        <v>422</v>
      </c>
      <c r="D23" s="3" t="s">
        <v>403</v>
      </c>
      <c r="E23" s="3" t="s">
        <v>410</v>
      </c>
      <c r="F23">
        <v>15</v>
      </c>
      <c r="G23" s="3">
        <f t="shared" si="1"/>
        <v>0.10763888888888895</v>
      </c>
      <c r="H23" s="3">
        <f t="shared" si="2"/>
        <v>7.1759259259259302E-3</v>
      </c>
      <c r="I23" s="1">
        <f t="shared" si="0"/>
        <v>10</v>
      </c>
      <c r="J23" t="s">
        <v>432</v>
      </c>
      <c r="K23" t="s">
        <v>397</v>
      </c>
      <c r="L23" t="s">
        <v>115</v>
      </c>
      <c r="M23" t="s">
        <v>398</v>
      </c>
      <c r="N23" t="s">
        <v>433</v>
      </c>
    </row>
    <row r="24" spans="2:14" hidden="1" x14ac:dyDescent="0.25">
      <c r="C24" t="s">
        <v>407</v>
      </c>
      <c r="D24" s="3" t="s">
        <v>403</v>
      </c>
      <c r="E24" s="3" t="s">
        <v>402</v>
      </c>
      <c r="F24">
        <v>15</v>
      </c>
      <c r="G24" s="3">
        <f t="shared" si="1"/>
        <v>0.14930555555555558</v>
      </c>
      <c r="H24" s="3">
        <f t="shared" si="2"/>
        <v>9.9537037037037059E-3</v>
      </c>
      <c r="I24" s="1">
        <f t="shared" si="0"/>
        <v>14</v>
      </c>
      <c r="J24" t="s">
        <v>404</v>
      </c>
      <c r="K24" t="s">
        <v>397</v>
      </c>
      <c r="L24" t="s">
        <v>322</v>
      </c>
      <c r="M24" t="s">
        <v>398</v>
      </c>
      <c r="N24" t="s">
        <v>433</v>
      </c>
    </row>
    <row r="25" spans="2:14" hidden="1" x14ac:dyDescent="0.25">
      <c r="B25" t="s">
        <v>437</v>
      </c>
      <c r="C25" t="s">
        <v>400</v>
      </c>
      <c r="D25" s="3" t="s">
        <v>403</v>
      </c>
      <c r="E25" s="3" t="s">
        <v>402</v>
      </c>
      <c r="F25">
        <v>15</v>
      </c>
      <c r="G25" s="3">
        <f t="shared" si="1"/>
        <v>0.14930555555555558</v>
      </c>
      <c r="H25" s="3">
        <f t="shared" si="2"/>
        <v>9.9537037037037059E-3</v>
      </c>
      <c r="I25" s="1">
        <f t="shared" si="0"/>
        <v>14</v>
      </c>
      <c r="J25" t="s">
        <v>404</v>
      </c>
      <c r="K25" t="s">
        <v>397</v>
      </c>
      <c r="L25" t="s">
        <v>370</v>
      </c>
      <c r="M25" t="s">
        <v>398</v>
      </c>
      <c r="N25" t="s">
        <v>433</v>
      </c>
    </row>
    <row r="26" spans="2:14" hidden="1" x14ac:dyDescent="0.25">
      <c r="C26" t="s">
        <v>401</v>
      </c>
      <c r="D26" s="3" t="s">
        <v>416</v>
      </c>
      <c r="E26" s="3" t="s">
        <v>438</v>
      </c>
      <c r="F26">
        <v>5</v>
      </c>
      <c r="G26" s="3">
        <f t="shared" si="1"/>
        <v>0.16319444444444453</v>
      </c>
      <c r="H26" s="3">
        <f t="shared" si="2"/>
        <v>3.2638888888888905E-2</v>
      </c>
      <c r="I26" s="1">
        <f t="shared" si="0"/>
        <v>47</v>
      </c>
      <c r="J26" t="s">
        <v>427</v>
      </c>
      <c r="K26" t="s">
        <v>417</v>
      </c>
      <c r="L26" t="s">
        <v>99</v>
      </c>
      <c r="M26" t="s">
        <v>398</v>
      </c>
      <c r="N26" t="s">
        <v>433</v>
      </c>
    </row>
    <row r="27" spans="2:14" hidden="1" x14ac:dyDescent="0.25">
      <c r="C27" t="s">
        <v>393</v>
      </c>
      <c r="D27" s="3" t="s">
        <v>403</v>
      </c>
      <c r="E27" s="3" t="s">
        <v>439</v>
      </c>
      <c r="F27">
        <v>5</v>
      </c>
      <c r="G27" s="3">
        <f t="shared" si="1"/>
        <v>0.16319444444444442</v>
      </c>
      <c r="H27" s="3">
        <f t="shared" si="2"/>
        <v>3.2638888888888884E-2</v>
      </c>
      <c r="I27" s="1">
        <f t="shared" si="0"/>
        <v>47</v>
      </c>
      <c r="J27" t="s">
        <v>427</v>
      </c>
      <c r="K27" t="s">
        <v>397</v>
      </c>
      <c r="L27" t="s">
        <v>94</v>
      </c>
      <c r="M27" t="s">
        <v>398</v>
      </c>
      <c r="N27" t="s">
        <v>433</v>
      </c>
    </row>
    <row r="28" spans="2:14" hidden="1" x14ac:dyDescent="0.25">
      <c r="B28" t="s">
        <v>440</v>
      </c>
      <c r="C28" t="s">
        <v>401</v>
      </c>
      <c r="D28" s="3" t="s">
        <v>403</v>
      </c>
      <c r="E28" s="3" t="s">
        <v>441</v>
      </c>
      <c r="F28">
        <v>5</v>
      </c>
      <c r="G28" s="3">
        <f t="shared" si="1"/>
        <v>0.41319444444444448</v>
      </c>
      <c r="H28" s="3">
        <f t="shared" si="2"/>
        <v>8.2638888888888901E-2</v>
      </c>
      <c r="I28" s="1">
        <f t="shared" si="0"/>
        <v>59</v>
      </c>
      <c r="J28" t="s">
        <v>409</v>
      </c>
      <c r="K28" t="s">
        <v>397</v>
      </c>
      <c r="L28" t="s">
        <v>118</v>
      </c>
      <c r="M28" t="s">
        <v>398</v>
      </c>
      <c r="N28" t="s">
        <v>433</v>
      </c>
    </row>
    <row r="29" spans="2:14" hidden="1" x14ac:dyDescent="0.25">
      <c r="C29" t="s">
        <v>422</v>
      </c>
      <c r="D29" s="3" t="s">
        <v>403</v>
      </c>
      <c r="E29" s="3" t="s">
        <v>442</v>
      </c>
      <c r="F29">
        <v>5</v>
      </c>
      <c r="G29" s="3">
        <f t="shared" si="1"/>
        <v>0.24652777777777773</v>
      </c>
      <c r="H29" s="3">
        <f t="shared" si="2"/>
        <v>4.9305555555555547E-2</v>
      </c>
      <c r="I29" s="1">
        <f t="shared" si="0"/>
        <v>11</v>
      </c>
      <c r="J29" t="s">
        <v>409</v>
      </c>
      <c r="K29" t="s">
        <v>397</v>
      </c>
      <c r="L29" t="s">
        <v>118</v>
      </c>
      <c r="M29" t="s">
        <v>398</v>
      </c>
      <c r="N29" t="s">
        <v>433</v>
      </c>
    </row>
    <row r="30" spans="2:14" hidden="1" x14ac:dyDescent="0.25">
      <c r="C30" t="s">
        <v>407</v>
      </c>
      <c r="D30" s="3" t="s">
        <v>403</v>
      </c>
      <c r="E30" s="3" t="s">
        <v>443</v>
      </c>
      <c r="F30">
        <v>5</v>
      </c>
      <c r="G30" s="3">
        <f t="shared" si="1"/>
        <v>0.2048611111111111</v>
      </c>
      <c r="H30" s="3">
        <f t="shared" si="2"/>
        <v>4.0972222222222222E-2</v>
      </c>
      <c r="I30" s="1">
        <f t="shared" si="0"/>
        <v>59</v>
      </c>
      <c r="J30" t="s">
        <v>409</v>
      </c>
      <c r="K30" t="s">
        <v>397</v>
      </c>
      <c r="L30" t="s">
        <v>98</v>
      </c>
      <c r="M30" t="s">
        <v>398</v>
      </c>
      <c r="N30" t="s">
        <v>433</v>
      </c>
    </row>
    <row r="31" spans="2:14" hidden="1" x14ac:dyDescent="0.25">
      <c r="C31" t="s">
        <v>400</v>
      </c>
      <c r="D31" s="3" t="s">
        <v>403</v>
      </c>
      <c r="E31" s="3" t="s">
        <v>441</v>
      </c>
      <c r="F31">
        <v>5</v>
      </c>
      <c r="G31" s="3">
        <f t="shared" si="1"/>
        <v>0.41319444444444448</v>
      </c>
      <c r="H31" s="3">
        <f t="shared" si="2"/>
        <v>8.2638888888888901E-2</v>
      </c>
      <c r="I31" s="1">
        <f t="shared" si="0"/>
        <v>59</v>
      </c>
      <c r="J31" t="s">
        <v>409</v>
      </c>
      <c r="K31" t="s">
        <v>397</v>
      </c>
      <c r="L31" t="s">
        <v>98</v>
      </c>
      <c r="M31" t="s">
        <v>398</v>
      </c>
      <c r="N31" t="s">
        <v>433</v>
      </c>
    </row>
    <row r="32" spans="2:14" hidden="1" x14ac:dyDescent="0.25">
      <c r="B32" t="s">
        <v>444</v>
      </c>
      <c r="C32" t="s">
        <v>406</v>
      </c>
      <c r="D32" s="3" t="s">
        <v>445</v>
      </c>
      <c r="E32" s="3" t="s">
        <v>418</v>
      </c>
      <c r="F32">
        <v>10</v>
      </c>
      <c r="G32" s="3">
        <f t="shared" si="1"/>
        <v>0.14930555555555558</v>
      </c>
      <c r="H32" s="3">
        <f t="shared" si="2"/>
        <v>1.4930555555555558E-2</v>
      </c>
      <c r="I32" s="1">
        <f t="shared" si="0"/>
        <v>21</v>
      </c>
      <c r="J32" t="s">
        <v>435</v>
      </c>
      <c r="K32" t="s">
        <v>417</v>
      </c>
      <c r="L32" t="s">
        <v>320</v>
      </c>
      <c r="M32" t="s">
        <v>398</v>
      </c>
      <c r="N32" t="s">
        <v>433</v>
      </c>
    </row>
    <row r="33" spans="2:14" hidden="1" x14ac:dyDescent="0.25">
      <c r="B33" t="s">
        <v>446</v>
      </c>
      <c r="C33" t="s">
        <v>400</v>
      </c>
      <c r="D33" s="3" t="s">
        <v>403</v>
      </c>
      <c r="E33" s="3" t="s">
        <v>402</v>
      </c>
      <c r="F33">
        <v>15</v>
      </c>
      <c r="G33" s="3">
        <f t="shared" si="1"/>
        <v>0.14930555555555558</v>
      </c>
      <c r="H33" s="3">
        <f t="shared" si="2"/>
        <v>9.9537037037037059E-3</v>
      </c>
      <c r="I33" s="1">
        <f t="shared" si="0"/>
        <v>14</v>
      </c>
      <c r="J33" t="s">
        <v>435</v>
      </c>
      <c r="K33" t="s">
        <v>397</v>
      </c>
      <c r="L33" t="s">
        <v>370</v>
      </c>
      <c r="M33" t="s">
        <v>398</v>
      </c>
      <c r="N33" t="s">
        <v>447</v>
      </c>
    </row>
    <row r="34" spans="2:14" hidden="1" x14ac:dyDescent="0.25">
      <c r="C34" t="s">
        <v>401</v>
      </c>
      <c r="D34" s="3" t="s">
        <v>403</v>
      </c>
      <c r="E34" s="3" t="s">
        <v>441</v>
      </c>
      <c r="F34">
        <v>5</v>
      </c>
      <c r="G34" s="3">
        <f t="shared" si="1"/>
        <v>0.41319444444444448</v>
      </c>
      <c r="H34" s="3">
        <f t="shared" si="2"/>
        <v>8.2638888888888901E-2</v>
      </c>
      <c r="I34" s="1">
        <f t="shared" ref="I34:I65" si="3">MINUTE(H34)</f>
        <v>59</v>
      </c>
      <c r="J34" t="s">
        <v>409</v>
      </c>
      <c r="K34" t="s">
        <v>397</v>
      </c>
      <c r="L34" t="s">
        <v>344</v>
      </c>
      <c r="M34" t="s">
        <v>398</v>
      </c>
      <c r="N34" t="s">
        <v>447</v>
      </c>
    </row>
    <row r="35" spans="2:14" hidden="1" x14ac:dyDescent="0.25">
      <c r="B35" t="s">
        <v>448</v>
      </c>
      <c r="C35" t="s">
        <v>393</v>
      </c>
      <c r="D35" s="3" t="s">
        <v>450</v>
      </c>
      <c r="E35" s="3" t="s">
        <v>449</v>
      </c>
      <c r="F35">
        <v>15</v>
      </c>
      <c r="G35" s="3">
        <f t="shared" si="1"/>
        <v>0.14583333333333326</v>
      </c>
      <c r="H35" s="3">
        <f t="shared" si="2"/>
        <v>9.7222222222222172E-3</v>
      </c>
      <c r="I35" s="1">
        <f t="shared" si="3"/>
        <v>14</v>
      </c>
      <c r="J35" t="s">
        <v>427</v>
      </c>
      <c r="K35" t="s">
        <v>417</v>
      </c>
      <c r="L35" t="s">
        <v>134</v>
      </c>
      <c r="M35" t="s">
        <v>398</v>
      </c>
      <c r="N35" t="s">
        <v>405</v>
      </c>
    </row>
    <row r="36" spans="2:14" hidden="1" x14ac:dyDescent="0.25">
      <c r="B36" t="s">
        <v>436</v>
      </c>
      <c r="C36" t="s">
        <v>422</v>
      </c>
      <c r="D36" s="3" t="s">
        <v>403</v>
      </c>
      <c r="E36" s="3" t="s">
        <v>451</v>
      </c>
      <c r="F36">
        <v>15</v>
      </c>
      <c r="G36" s="3">
        <f t="shared" si="1"/>
        <v>0.2326388888888889</v>
      </c>
      <c r="H36" s="3">
        <f t="shared" si="2"/>
        <v>1.5509259259259259E-2</v>
      </c>
      <c r="I36" s="1">
        <f t="shared" si="3"/>
        <v>22</v>
      </c>
      <c r="J36" t="s">
        <v>427</v>
      </c>
      <c r="K36" t="s">
        <v>397</v>
      </c>
      <c r="L36" t="s">
        <v>379</v>
      </c>
      <c r="M36" t="s">
        <v>398</v>
      </c>
      <c r="N36" t="s">
        <v>405</v>
      </c>
    </row>
    <row r="37" spans="2:14" hidden="1" x14ac:dyDescent="0.25">
      <c r="B37" t="s">
        <v>452</v>
      </c>
      <c r="C37" t="s">
        <v>401</v>
      </c>
      <c r="D37" s="3" t="s">
        <v>411</v>
      </c>
      <c r="E37" s="3" t="s">
        <v>428</v>
      </c>
      <c r="F37">
        <v>15</v>
      </c>
      <c r="G37" s="3">
        <f t="shared" si="1"/>
        <v>0.44097222222222215</v>
      </c>
      <c r="H37" s="3">
        <f t="shared" si="2"/>
        <v>2.9398148148148142E-2</v>
      </c>
      <c r="I37" s="1">
        <f t="shared" si="3"/>
        <v>42</v>
      </c>
      <c r="J37" t="s">
        <v>432</v>
      </c>
      <c r="K37" t="s">
        <v>397</v>
      </c>
      <c r="L37" t="s">
        <v>353</v>
      </c>
      <c r="M37" t="s">
        <v>398</v>
      </c>
      <c r="N37" t="s">
        <v>433</v>
      </c>
    </row>
    <row r="38" spans="2:14" hidden="1" x14ac:dyDescent="0.25">
      <c r="C38" t="s">
        <v>393</v>
      </c>
      <c r="D38" s="3" t="s">
        <v>453</v>
      </c>
      <c r="E38" s="3" t="s">
        <v>428</v>
      </c>
      <c r="F38">
        <v>15</v>
      </c>
      <c r="G38" s="3">
        <f t="shared" si="1"/>
        <v>0.14930555555555547</v>
      </c>
      <c r="H38" s="3">
        <f t="shared" si="2"/>
        <v>9.9537037037036973E-3</v>
      </c>
      <c r="I38" s="1">
        <f t="shared" si="3"/>
        <v>14</v>
      </c>
      <c r="J38" t="s">
        <v>432</v>
      </c>
      <c r="K38" t="s">
        <v>417</v>
      </c>
      <c r="L38" t="s">
        <v>112</v>
      </c>
      <c r="M38" t="s">
        <v>398</v>
      </c>
      <c r="N38" t="s">
        <v>433</v>
      </c>
    </row>
    <row r="39" spans="2:14" hidden="1" x14ac:dyDescent="0.25">
      <c r="C39" t="s">
        <v>406</v>
      </c>
      <c r="D39" s="3" t="s">
        <v>403</v>
      </c>
      <c r="E39" s="3" t="s">
        <v>402</v>
      </c>
      <c r="F39">
        <v>15</v>
      </c>
      <c r="G39" s="3">
        <f t="shared" si="1"/>
        <v>0.14930555555555558</v>
      </c>
      <c r="H39" s="3">
        <f t="shared" si="2"/>
        <v>9.9537037037037059E-3</v>
      </c>
      <c r="I39" s="1">
        <f t="shared" si="3"/>
        <v>14</v>
      </c>
      <c r="J39" t="s">
        <v>404</v>
      </c>
      <c r="K39" t="s">
        <v>397</v>
      </c>
      <c r="L39" t="s">
        <v>322</v>
      </c>
      <c r="M39" t="s">
        <v>398</v>
      </c>
      <c r="N39" t="s">
        <v>433</v>
      </c>
    </row>
    <row r="40" spans="2:14" hidden="1" x14ac:dyDescent="0.25">
      <c r="B40" t="s">
        <v>430</v>
      </c>
      <c r="C40" t="s">
        <v>400</v>
      </c>
      <c r="D40" s="3" t="s">
        <v>403</v>
      </c>
      <c r="E40" s="3" t="s">
        <v>410</v>
      </c>
      <c r="F40">
        <v>15</v>
      </c>
      <c r="G40" s="3">
        <f t="shared" si="1"/>
        <v>0.10763888888888895</v>
      </c>
      <c r="H40" s="3">
        <f t="shared" si="2"/>
        <v>7.1759259259259302E-3</v>
      </c>
      <c r="I40" s="1">
        <f t="shared" si="3"/>
        <v>10</v>
      </c>
      <c r="J40" t="s">
        <v>432</v>
      </c>
      <c r="K40" t="s">
        <v>397</v>
      </c>
      <c r="L40" t="s">
        <v>115</v>
      </c>
      <c r="M40" t="s">
        <v>398</v>
      </c>
      <c r="N40" t="s">
        <v>433</v>
      </c>
    </row>
    <row r="41" spans="2:14" hidden="1" x14ac:dyDescent="0.25">
      <c r="C41" t="s">
        <v>393</v>
      </c>
      <c r="D41" s="3" t="s">
        <v>403</v>
      </c>
      <c r="E41" s="3" t="s">
        <v>441</v>
      </c>
      <c r="F41">
        <v>5</v>
      </c>
      <c r="G41" s="3">
        <f t="shared" si="1"/>
        <v>0.41319444444444448</v>
      </c>
      <c r="H41" s="3">
        <f t="shared" si="2"/>
        <v>8.2638888888888901E-2</v>
      </c>
      <c r="I41" s="1">
        <f t="shared" si="3"/>
        <v>59</v>
      </c>
      <c r="J41" t="s">
        <v>409</v>
      </c>
      <c r="K41" t="s">
        <v>397</v>
      </c>
      <c r="L41" t="s">
        <v>118</v>
      </c>
      <c r="M41" t="s">
        <v>398</v>
      </c>
      <c r="N41" t="s">
        <v>433</v>
      </c>
    </row>
    <row r="42" spans="2:14" hidden="1" x14ac:dyDescent="0.25">
      <c r="C42" t="s">
        <v>401</v>
      </c>
      <c r="D42" s="3" t="s">
        <v>411</v>
      </c>
      <c r="E42" s="3" t="s">
        <v>454</v>
      </c>
      <c r="F42">
        <v>10</v>
      </c>
      <c r="G42" s="3">
        <f t="shared" si="1"/>
        <v>0.31597222222222227</v>
      </c>
      <c r="H42" s="3">
        <f t="shared" si="2"/>
        <v>3.1597222222222228E-2</v>
      </c>
      <c r="I42" s="1">
        <f t="shared" si="3"/>
        <v>45</v>
      </c>
      <c r="J42" t="s">
        <v>455</v>
      </c>
      <c r="K42" t="s">
        <v>397</v>
      </c>
      <c r="L42" t="s">
        <v>337</v>
      </c>
      <c r="M42" t="s">
        <v>398</v>
      </c>
      <c r="N42" t="s">
        <v>433</v>
      </c>
    </row>
    <row r="43" spans="2:14" x14ac:dyDescent="0.25">
      <c r="C43" t="s">
        <v>401</v>
      </c>
      <c r="D43" s="3" t="s">
        <v>419</v>
      </c>
      <c r="E43" s="3" t="s">
        <v>402</v>
      </c>
      <c r="F43">
        <v>10</v>
      </c>
      <c r="G43" s="3">
        <f t="shared" si="1"/>
        <v>0.1076388888888889</v>
      </c>
      <c r="H43" s="3">
        <f t="shared" si="2"/>
        <v>1.0763888888888889E-2</v>
      </c>
      <c r="I43" s="1">
        <f t="shared" si="3"/>
        <v>15</v>
      </c>
      <c r="J43" t="s">
        <v>404</v>
      </c>
      <c r="K43" t="s">
        <v>397</v>
      </c>
      <c r="L43" t="s">
        <v>142</v>
      </c>
      <c r="M43" t="s">
        <v>398</v>
      </c>
      <c r="N43" t="s">
        <v>447</v>
      </c>
    </row>
    <row r="44" spans="2:14" hidden="1" x14ac:dyDescent="0.25">
      <c r="B44" t="s">
        <v>456</v>
      </c>
      <c r="C44" t="s">
        <v>401</v>
      </c>
      <c r="D44" s="3" t="s">
        <v>395</v>
      </c>
      <c r="E44" s="3" t="s">
        <v>457</v>
      </c>
      <c r="F44">
        <v>10</v>
      </c>
      <c r="G44" s="3">
        <f t="shared" si="1"/>
        <v>4.5138888888888895E-2</v>
      </c>
      <c r="H44" s="3">
        <f t="shared" si="2"/>
        <v>4.5138888888888893E-3</v>
      </c>
      <c r="I44" s="1">
        <f t="shared" si="3"/>
        <v>6</v>
      </c>
      <c r="J44" t="s">
        <v>458</v>
      </c>
      <c r="K44" t="s">
        <v>397</v>
      </c>
      <c r="L44" t="s">
        <v>113</v>
      </c>
      <c r="M44" t="s">
        <v>398</v>
      </c>
      <c r="N44" t="s">
        <v>447</v>
      </c>
    </row>
    <row r="45" spans="2:14" hidden="1" x14ac:dyDescent="0.25">
      <c r="C45" t="s">
        <v>401</v>
      </c>
      <c r="D45" s="3" t="s">
        <v>403</v>
      </c>
      <c r="E45" s="3" t="s">
        <v>410</v>
      </c>
      <c r="F45">
        <v>15</v>
      </c>
      <c r="G45" s="3">
        <f t="shared" si="1"/>
        <v>0.10763888888888895</v>
      </c>
      <c r="H45" s="3">
        <f t="shared" si="2"/>
        <v>7.1759259259259302E-3</v>
      </c>
      <c r="I45" s="1">
        <f t="shared" si="3"/>
        <v>10</v>
      </c>
      <c r="J45" t="s">
        <v>396</v>
      </c>
      <c r="K45" t="s">
        <v>397</v>
      </c>
      <c r="L45" t="s">
        <v>126</v>
      </c>
      <c r="M45" t="s">
        <v>398</v>
      </c>
      <c r="N45" t="s">
        <v>447</v>
      </c>
    </row>
    <row r="46" spans="2:14" hidden="1" x14ac:dyDescent="0.25">
      <c r="C46" t="s">
        <v>407</v>
      </c>
      <c r="D46" s="3" t="s">
        <v>416</v>
      </c>
      <c r="E46" s="3" t="s">
        <v>441</v>
      </c>
      <c r="F46">
        <v>5</v>
      </c>
      <c r="G46" s="3">
        <f t="shared" si="1"/>
        <v>0.20486111111111116</v>
      </c>
      <c r="H46" s="3">
        <f t="shared" si="2"/>
        <v>4.0972222222222229E-2</v>
      </c>
      <c r="I46" s="1">
        <f t="shared" si="3"/>
        <v>59</v>
      </c>
      <c r="J46" t="s">
        <v>432</v>
      </c>
      <c r="K46" t="s">
        <v>417</v>
      </c>
      <c r="L46" t="s">
        <v>94</v>
      </c>
      <c r="M46" t="s">
        <v>398</v>
      </c>
      <c r="N46" t="s">
        <v>447</v>
      </c>
    </row>
    <row r="47" spans="2:14" hidden="1" x14ac:dyDescent="0.25">
      <c r="C47" t="s">
        <v>406</v>
      </c>
      <c r="D47" s="3" t="s">
        <v>416</v>
      </c>
      <c r="E47" s="3" t="s">
        <v>441</v>
      </c>
      <c r="F47">
        <v>5</v>
      </c>
      <c r="G47" s="3">
        <f t="shared" si="1"/>
        <v>0.20486111111111116</v>
      </c>
      <c r="H47" s="3">
        <f t="shared" si="2"/>
        <v>4.0972222222222229E-2</v>
      </c>
      <c r="I47" s="1">
        <f t="shared" si="3"/>
        <v>59</v>
      </c>
      <c r="J47" t="s">
        <v>432</v>
      </c>
      <c r="K47" t="s">
        <v>417</v>
      </c>
      <c r="L47" t="s">
        <v>94</v>
      </c>
      <c r="M47" t="s">
        <v>398</v>
      </c>
      <c r="N47" t="s">
        <v>447</v>
      </c>
    </row>
    <row r="48" spans="2:14" hidden="1" x14ac:dyDescent="0.25">
      <c r="C48" t="s">
        <v>407</v>
      </c>
      <c r="D48" s="3" t="s">
        <v>403</v>
      </c>
      <c r="E48" s="3" t="s">
        <v>428</v>
      </c>
      <c r="F48">
        <v>15</v>
      </c>
      <c r="G48" s="3">
        <f t="shared" si="1"/>
        <v>0.39930555555555552</v>
      </c>
      <c r="H48" s="3">
        <f t="shared" si="2"/>
        <v>2.6620370370370367E-2</v>
      </c>
      <c r="I48" s="1">
        <f t="shared" si="3"/>
        <v>38</v>
      </c>
      <c r="J48" t="s">
        <v>427</v>
      </c>
      <c r="K48" t="s">
        <v>397</v>
      </c>
      <c r="L48" t="s">
        <v>314</v>
      </c>
      <c r="M48" t="s">
        <v>398</v>
      </c>
      <c r="N48" t="s">
        <v>447</v>
      </c>
    </row>
    <row r="49" spans="2:14" hidden="1" x14ac:dyDescent="0.25">
      <c r="C49" t="s">
        <v>407</v>
      </c>
      <c r="D49" s="3" t="s">
        <v>403</v>
      </c>
      <c r="E49" s="3" t="s">
        <v>402</v>
      </c>
      <c r="F49">
        <v>10</v>
      </c>
      <c r="G49" s="3">
        <f t="shared" si="1"/>
        <v>0.14930555555555558</v>
      </c>
      <c r="H49" s="3">
        <f t="shared" si="2"/>
        <v>1.4930555555555558E-2</v>
      </c>
      <c r="I49" s="1">
        <f t="shared" si="3"/>
        <v>21</v>
      </c>
      <c r="J49" t="s">
        <v>396</v>
      </c>
      <c r="K49" t="s">
        <v>397</v>
      </c>
      <c r="L49" t="s">
        <v>132</v>
      </c>
      <c r="M49" t="s">
        <v>398</v>
      </c>
      <c r="N49" t="s">
        <v>447</v>
      </c>
    </row>
    <row r="50" spans="2:14" hidden="1" x14ac:dyDescent="0.25">
      <c r="C50" t="s">
        <v>407</v>
      </c>
      <c r="D50" s="3" t="s">
        <v>411</v>
      </c>
      <c r="E50" s="3" t="s">
        <v>410</v>
      </c>
      <c r="F50">
        <v>10</v>
      </c>
      <c r="G50" s="3">
        <f t="shared" si="1"/>
        <v>0.14930555555555558</v>
      </c>
      <c r="H50" s="3">
        <f t="shared" si="2"/>
        <v>1.4930555555555558E-2</v>
      </c>
      <c r="I50" s="1">
        <f t="shared" si="3"/>
        <v>21</v>
      </c>
      <c r="J50" t="s">
        <v>459</v>
      </c>
      <c r="K50" t="s">
        <v>397</v>
      </c>
      <c r="L50" t="s">
        <v>333</v>
      </c>
      <c r="M50" t="s">
        <v>398</v>
      </c>
      <c r="N50" t="s">
        <v>447</v>
      </c>
    </row>
    <row r="51" spans="2:14" hidden="1" x14ac:dyDescent="0.25">
      <c r="C51" t="s">
        <v>393</v>
      </c>
      <c r="D51" s="3" t="s">
        <v>403</v>
      </c>
      <c r="E51" s="3" t="s">
        <v>460</v>
      </c>
      <c r="F51">
        <v>40</v>
      </c>
      <c r="G51" s="3">
        <f t="shared" si="1"/>
        <v>0.3888888888888889</v>
      </c>
      <c r="H51" s="3">
        <f t="shared" si="2"/>
        <v>9.7222222222222224E-3</v>
      </c>
      <c r="I51" s="1">
        <f t="shared" si="3"/>
        <v>14</v>
      </c>
      <c r="J51" t="s">
        <v>427</v>
      </c>
      <c r="K51" t="s">
        <v>397</v>
      </c>
      <c r="L51" t="s">
        <v>129</v>
      </c>
      <c r="M51" t="s">
        <v>398</v>
      </c>
      <c r="N51" t="s">
        <v>447</v>
      </c>
    </row>
    <row r="52" spans="2:14" hidden="1" x14ac:dyDescent="0.25">
      <c r="C52" t="s">
        <v>393</v>
      </c>
      <c r="D52" s="3" t="s">
        <v>403</v>
      </c>
      <c r="E52" s="3" t="s">
        <v>402</v>
      </c>
      <c r="F52">
        <v>15</v>
      </c>
      <c r="G52" s="3">
        <f t="shared" si="1"/>
        <v>0.14930555555555558</v>
      </c>
      <c r="H52" s="3">
        <f t="shared" si="2"/>
        <v>9.9537037037037059E-3</v>
      </c>
      <c r="I52" s="1">
        <f t="shared" si="3"/>
        <v>14</v>
      </c>
      <c r="J52" t="s">
        <v>435</v>
      </c>
      <c r="K52" t="s">
        <v>397</v>
      </c>
      <c r="L52" t="s">
        <v>322</v>
      </c>
      <c r="M52" t="s">
        <v>398</v>
      </c>
      <c r="N52" t="s">
        <v>447</v>
      </c>
    </row>
    <row r="53" spans="2:14" hidden="1" x14ac:dyDescent="0.25">
      <c r="C53" t="s">
        <v>393</v>
      </c>
      <c r="D53" s="3" t="s">
        <v>416</v>
      </c>
      <c r="E53" s="3" t="s">
        <v>431</v>
      </c>
      <c r="F53">
        <v>15</v>
      </c>
      <c r="G53" s="3">
        <f t="shared" si="1"/>
        <v>0.14930555555555558</v>
      </c>
      <c r="H53" s="3">
        <f t="shared" si="2"/>
        <v>9.9537037037037059E-3</v>
      </c>
      <c r="I53" s="1">
        <f t="shared" si="3"/>
        <v>14</v>
      </c>
      <c r="J53" t="s">
        <v>458</v>
      </c>
      <c r="K53" t="s">
        <v>417</v>
      </c>
      <c r="L53" t="s">
        <v>90</v>
      </c>
      <c r="M53" t="s">
        <v>398</v>
      </c>
      <c r="N53" t="s">
        <v>447</v>
      </c>
    </row>
    <row r="54" spans="2:14" hidden="1" x14ac:dyDescent="0.25">
      <c r="B54" t="s">
        <v>461</v>
      </c>
      <c r="C54" t="s">
        <v>393</v>
      </c>
      <c r="D54" s="3" t="s">
        <v>453</v>
      </c>
      <c r="E54" s="3" t="s">
        <v>428</v>
      </c>
      <c r="F54">
        <v>15</v>
      </c>
      <c r="G54" s="3">
        <f t="shared" si="1"/>
        <v>0.14930555555555547</v>
      </c>
      <c r="H54" s="3">
        <f t="shared" si="2"/>
        <v>9.9537037037036973E-3</v>
      </c>
      <c r="I54" s="1">
        <f t="shared" si="3"/>
        <v>14</v>
      </c>
      <c r="J54" t="s">
        <v>459</v>
      </c>
      <c r="K54" t="s">
        <v>417</v>
      </c>
      <c r="L54" t="s">
        <v>335</v>
      </c>
      <c r="M54" t="s">
        <v>398</v>
      </c>
      <c r="N54" t="s">
        <v>447</v>
      </c>
    </row>
    <row r="55" spans="2:14" hidden="1" x14ac:dyDescent="0.25">
      <c r="C55" t="s">
        <v>406</v>
      </c>
      <c r="D55" s="3" t="s">
        <v>403</v>
      </c>
      <c r="E55" s="3" t="s">
        <v>441</v>
      </c>
      <c r="F55">
        <v>5</v>
      </c>
      <c r="G55" s="3">
        <f t="shared" si="1"/>
        <v>0.41319444444444448</v>
      </c>
      <c r="H55" s="3">
        <f t="shared" si="2"/>
        <v>8.2638888888888901E-2</v>
      </c>
      <c r="I55" s="1">
        <f t="shared" si="3"/>
        <v>59</v>
      </c>
      <c r="J55" t="s">
        <v>409</v>
      </c>
      <c r="K55" t="s">
        <v>397</v>
      </c>
      <c r="L55" t="s">
        <v>122</v>
      </c>
      <c r="M55" t="s">
        <v>398</v>
      </c>
      <c r="N55" t="s">
        <v>447</v>
      </c>
    </row>
    <row r="56" spans="2:14" hidden="1" x14ac:dyDescent="0.25">
      <c r="B56" t="s">
        <v>462</v>
      </c>
      <c r="C56" t="s">
        <v>406</v>
      </c>
      <c r="D56" s="3" t="s">
        <v>445</v>
      </c>
      <c r="E56" s="3" t="s">
        <v>418</v>
      </c>
      <c r="F56">
        <v>10</v>
      </c>
      <c r="G56" s="3">
        <f t="shared" si="1"/>
        <v>0.14930555555555558</v>
      </c>
      <c r="H56" s="3">
        <f t="shared" si="2"/>
        <v>1.4930555555555558E-2</v>
      </c>
      <c r="I56" s="1">
        <f t="shared" si="3"/>
        <v>21</v>
      </c>
      <c r="J56" t="s">
        <v>455</v>
      </c>
      <c r="K56" t="s">
        <v>417</v>
      </c>
      <c r="L56" t="s">
        <v>320</v>
      </c>
      <c r="M56" t="s">
        <v>398</v>
      </c>
      <c r="N56" t="s">
        <v>447</v>
      </c>
    </row>
    <row r="57" spans="2:14" hidden="1" x14ac:dyDescent="0.25">
      <c r="B57" t="s">
        <v>444</v>
      </c>
      <c r="C57" t="s">
        <v>406</v>
      </c>
      <c r="D57" s="3" t="s">
        <v>403</v>
      </c>
      <c r="E57" s="3" t="s">
        <v>402</v>
      </c>
      <c r="F57">
        <v>15</v>
      </c>
      <c r="G57" s="3">
        <f t="shared" si="1"/>
        <v>0.14930555555555558</v>
      </c>
      <c r="H57" s="3">
        <f t="shared" si="2"/>
        <v>9.9537037037037059E-3</v>
      </c>
      <c r="I57" s="1">
        <f t="shared" si="3"/>
        <v>14</v>
      </c>
      <c r="J57" t="s">
        <v>463</v>
      </c>
      <c r="K57" t="s">
        <v>397</v>
      </c>
      <c r="L57" t="s">
        <v>332</v>
      </c>
      <c r="M57" t="s">
        <v>398</v>
      </c>
      <c r="N57" t="s">
        <v>447</v>
      </c>
    </row>
    <row r="58" spans="2:14" hidden="1" x14ac:dyDescent="0.25">
      <c r="C58" t="s">
        <v>400</v>
      </c>
      <c r="D58" s="3" t="s">
        <v>403</v>
      </c>
      <c r="E58" s="3" t="s">
        <v>464</v>
      </c>
      <c r="F58">
        <v>40</v>
      </c>
      <c r="G58" s="3">
        <f t="shared" si="1"/>
        <v>0.41666666666666669</v>
      </c>
      <c r="H58" s="3">
        <f t="shared" si="2"/>
        <v>1.0416666666666668E-2</v>
      </c>
      <c r="I58" s="1">
        <f t="shared" si="3"/>
        <v>15</v>
      </c>
      <c r="J58" t="s">
        <v>458</v>
      </c>
      <c r="K58" t="s">
        <v>397</v>
      </c>
      <c r="L58" t="s">
        <v>128</v>
      </c>
      <c r="M58" t="s">
        <v>398</v>
      </c>
      <c r="N58" t="s">
        <v>447</v>
      </c>
    </row>
    <row r="59" spans="2:14" hidden="1" x14ac:dyDescent="0.25">
      <c r="C59" t="s">
        <v>400</v>
      </c>
      <c r="D59" s="3" t="s">
        <v>403</v>
      </c>
      <c r="E59" s="3" t="s">
        <v>431</v>
      </c>
      <c r="F59">
        <v>15</v>
      </c>
      <c r="G59" s="3">
        <f t="shared" si="1"/>
        <v>0.3576388888888889</v>
      </c>
      <c r="H59" s="3">
        <f t="shared" si="2"/>
        <v>2.3842592592592592E-2</v>
      </c>
      <c r="I59" s="1">
        <f t="shared" si="3"/>
        <v>34</v>
      </c>
      <c r="J59" t="s">
        <v>455</v>
      </c>
      <c r="K59" t="s">
        <v>397</v>
      </c>
      <c r="L59" t="s">
        <v>318</v>
      </c>
      <c r="M59" t="s">
        <v>398</v>
      </c>
      <c r="N59" t="s">
        <v>447</v>
      </c>
    </row>
    <row r="60" spans="2:14" hidden="1" x14ac:dyDescent="0.25">
      <c r="C60" t="s">
        <v>422</v>
      </c>
      <c r="D60" s="3" t="s">
        <v>403</v>
      </c>
      <c r="E60" s="3" t="s">
        <v>442</v>
      </c>
      <c r="F60">
        <v>5</v>
      </c>
      <c r="G60" s="3">
        <f t="shared" si="1"/>
        <v>0.24652777777777773</v>
      </c>
      <c r="H60" s="3">
        <f t="shared" si="2"/>
        <v>4.9305555555555547E-2</v>
      </c>
      <c r="I60" s="1">
        <f t="shared" si="3"/>
        <v>11</v>
      </c>
      <c r="J60" t="s">
        <v>409</v>
      </c>
      <c r="K60" t="s">
        <v>397</v>
      </c>
      <c r="L60" t="s">
        <v>139</v>
      </c>
      <c r="M60" t="s">
        <v>398</v>
      </c>
      <c r="N60" t="s">
        <v>447</v>
      </c>
    </row>
    <row r="61" spans="2:14" hidden="1" x14ac:dyDescent="0.25">
      <c r="C61" t="s">
        <v>401</v>
      </c>
      <c r="D61" s="3" t="s">
        <v>411</v>
      </c>
      <c r="E61" s="3" t="s">
        <v>439</v>
      </c>
      <c r="F61">
        <v>5</v>
      </c>
      <c r="G61" s="3">
        <f t="shared" si="1"/>
        <v>0.20486111111111105</v>
      </c>
      <c r="H61" s="3">
        <f t="shared" si="2"/>
        <v>4.0972222222222208E-2</v>
      </c>
      <c r="I61" s="1">
        <f t="shared" si="3"/>
        <v>59</v>
      </c>
      <c r="J61" t="s">
        <v>432</v>
      </c>
      <c r="K61" t="s">
        <v>397</v>
      </c>
      <c r="L61" t="s">
        <v>127</v>
      </c>
      <c r="M61" t="s">
        <v>398</v>
      </c>
      <c r="N61" t="s">
        <v>465</v>
      </c>
    </row>
    <row r="62" spans="2:14" hidden="1" x14ac:dyDescent="0.25">
      <c r="C62" t="s">
        <v>401</v>
      </c>
      <c r="D62" s="3" t="s">
        <v>445</v>
      </c>
      <c r="E62" s="3" t="s">
        <v>466</v>
      </c>
      <c r="F62">
        <v>5</v>
      </c>
      <c r="G62" s="3">
        <f t="shared" si="1"/>
        <v>0.41319444444444453</v>
      </c>
      <c r="H62" s="3">
        <f t="shared" si="2"/>
        <v>8.2638888888888901E-2</v>
      </c>
      <c r="I62" s="1">
        <f t="shared" si="3"/>
        <v>59</v>
      </c>
      <c r="J62" t="s">
        <v>432</v>
      </c>
      <c r="K62" t="s">
        <v>417</v>
      </c>
      <c r="L62" t="s">
        <v>102</v>
      </c>
      <c r="M62" t="s">
        <v>398</v>
      </c>
      <c r="N62" t="s">
        <v>465</v>
      </c>
    </row>
    <row r="63" spans="2:14" hidden="1" x14ac:dyDescent="0.25">
      <c r="C63" t="s">
        <v>401</v>
      </c>
      <c r="D63" s="3" t="s">
        <v>411</v>
      </c>
      <c r="E63" s="3" t="s">
        <v>467</v>
      </c>
      <c r="F63">
        <v>5</v>
      </c>
      <c r="G63" s="3">
        <f t="shared" si="1"/>
        <v>0.37152777777777773</v>
      </c>
      <c r="H63" s="3">
        <f t="shared" si="2"/>
        <v>7.4305555555555541E-2</v>
      </c>
      <c r="I63" s="1">
        <f t="shared" si="3"/>
        <v>47</v>
      </c>
      <c r="J63" t="s">
        <v>463</v>
      </c>
      <c r="K63" t="s">
        <v>397</v>
      </c>
      <c r="L63" t="s">
        <v>376</v>
      </c>
      <c r="M63" t="s">
        <v>398</v>
      </c>
      <c r="N63" t="s">
        <v>465</v>
      </c>
    </row>
    <row r="64" spans="2:14" hidden="1" x14ac:dyDescent="0.25">
      <c r="C64" t="s">
        <v>401</v>
      </c>
      <c r="D64" s="3" t="s">
        <v>403</v>
      </c>
      <c r="E64" s="3" t="s">
        <v>438</v>
      </c>
      <c r="F64">
        <v>5</v>
      </c>
      <c r="G64" s="3">
        <f t="shared" si="1"/>
        <v>0.37152777777777785</v>
      </c>
      <c r="H64" s="3">
        <f t="shared" si="2"/>
        <v>7.4305555555555569E-2</v>
      </c>
      <c r="I64" s="1">
        <f t="shared" si="3"/>
        <v>47</v>
      </c>
      <c r="J64" t="s">
        <v>468</v>
      </c>
      <c r="K64" t="s">
        <v>397</v>
      </c>
      <c r="L64" t="s">
        <v>345</v>
      </c>
      <c r="M64" t="s">
        <v>398</v>
      </c>
      <c r="N64" t="s">
        <v>465</v>
      </c>
    </row>
    <row r="65" spans="2:14" hidden="1" x14ac:dyDescent="0.25">
      <c r="C65" t="s">
        <v>401</v>
      </c>
      <c r="D65" s="3" t="s">
        <v>469</v>
      </c>
      <c r="E65" s="3" t="s">
        <v>394</v>
      </c>
      <c r="F65">
        <v>15</v>
      </c>
      <c r="G65" s="3">
        <f t="shared" si="1"/>
        <v>0.1076388888888889</v>
      </c>
      <c r="H65" s="3">
        <f t="shared" si="2"/>
        <v>7.1759259259259267E-3</v>
      </c>
      <c r="I65" s="1">
        <f t="shared" si="3"/>
        <v>10</v>
      </c>
      <c r="J65" t="s">
        <v>459</v>
      </c>
      <c r="K65" t="s">
        <v>397</v>
      </c>
      <c r="L65" t="s">
        <v>323</v>
      </c>
      <c r="M65" t="s">
        <v>398</v>
      </c>
      <c r="N65" t="s">
        <v>465</v>
      </c>
    </row>
    <row r="66" spans="2:14" hidden="1" x14ac:dyDescent="0.25">
      <c r="C66" t="s">
        <v>401</v>
      </c>
      <c r="D66" s="3" t="s">
        <v>403</v>
      </c>
      <c r="E66" s="3" t="s">
        <v>443</v>
      </c>
      <c r="F66">
        <v>5</v>
      </c>
      <c r="G66" s="3">
        <f t="shared" si="1"/>
        <v>0.2048611111111111</v>
      </c>
      <c r="H66" s="3">
        <f t="shared" si="2"/>
        <v>4.0972222222222222E-2</v>
      </c>
      <c r="I66" s="1">
        <f t="shared" ref="I66" si="4">MINUTE(H66)</f>
        <v>59</v>
      </c>
      <c r="J66" t="s">
        <v>470</v>
      </c>
      <c r="K66" t="s">
        <v>397</v>
      </c>
      <c r="L66" t="s">
        <v>91</v>
      </c>
      <c r="M66" t="s">
        <v>398</v>
      </c>
      <c r="N66" t="s">
        <v>465</v>
      </c>
    </row>
    <row r="67" spans="2:14" hidden="1" x14ac:dyDescent="0.25">
      <c r="C67" t="s">
        <v>401</v>
      </c>
      <c r="D67" s="3" t="s">
        <v>416</v>
      </c>
      <c r="E67" s="3" t="s">
        <v>441</v>
      </c>
      <c r="F67">
        <v>5</v>
      </c>
      <c r="G67" s="3">
        <f t="shared" si="1"/>
        <v>0.20486111111111116</v>
      </c>
      <c r="H67" s="3">
        <f t="shared" si="2"/>
        <v>4.0972222222222229E-2</v>
      </c>
      <c r="I67" s="1">
        <f t="shared" ref="I67:I130" si="5">MINUTE(H67)</f>
        <v>59</v>
      </c>
      <c r="J67" t="s">
        <v>470</v>
      </c>
      <c r="K67" t="s">
        <v>417</v>
      </c>
      <c r="L67" t="s">
        <v>95</v>
      </c>
      <c r="M67" t="s">
        <v>398</v>
      </c>
      <c r="N67" t="s">
        <v>465</v>
      </c>
    </row>
    <row r="68" spans="2:14" hidden="1" x14ac:dyDescent="0.25">
      <c r="C68" t="s">
        <v>401</v>
      </c>
      <c r="D68" s="3" t="s">
        <v>411</v>
      </c>
      <c r="E68" s="3" t="s">
        <v>439</v>
      </c>
      <c r="F68">
        <v>5</v>
      </c>
      <c r="G68" s="3">
        <f t="shared" ref="G68:G131" si="6">(E68-D68)</f>
        <v>0.20486111111111105</v>
      </c>
      <c r="H68" s="3">
        <f t="shared" ref="H68:H131" si="7">G68/F68</f>
        <v>4.0972222222222208E-2</v>
      </c>
      <c r="I68" s="1">
        <f t="shared" si="5"/>
        <v>59</v>
      </c>
      <c r="J68" t="s">
        <v>471</v>
      </c>
      <c r="K68" t="s">
        <v>397</v>
      </c>
      <c r="L68" t="s">
        <v>89</v>
      </c>
      <c r="M68" t="s">
        <v>398</v>
      </c>
      <c r="N68" t="s">
        <v>465</v>
      </c>
    </row>
    <row r="69" spans="2:14" hidden="1" x14ac:dyDescent="0.25">
      <c r="C69" t="s">
        <v>401</v>
      </c>
      <c r="D69" s="3" t="s">
        <v>464</v>
      </c>
      <c r="E69" s="3" t="s">
        <v>472</v>
      </c>
      <c r="F69">
        <v>10</v>
      </c>
      <c r="G69" s="3">
        <f t="shared" si="6"/>
        <v>0.14930555555555547</v>
      </c>
      <c r="H69" s="3">
        <f t="shared" si="7"/>
        <v>1.4930555555555548E-2</v>
      </c>
      <c r="I69" s="1">
        <f t="shared" si="5"/>
        <v>21</v>
      </c>
      <c r="J69" t="s">
        <v>471</v>
      </c>
      <c r="K69" t="s">
        <v>417</v>
      </c>
      <c r="L69" t="s">
        <v>113</v>
      </c>
      <c r="M69" t="s">
        <v>398</v>
      </c>
      <c r="N69" t="s">
        <v>465</v>
      </c>
    </row>
    <row r="70" spans="2:14" hidden="1" x14ac:dyDescent="0.25">
      <c r="C70" t="s">
        <v>407</v>
      </c>
      <c r="D70" s="3" t="s">
        <v>411</v>
      </c>
      <c r="E70" s="3" t="s">
        <v>441</v>
      </c>
      <c r="F70">
        <v>5</v>
      </c>
      <c r="G70" s="3">
        <f t="shared" si="6"/>
        <v>0.4548611111111111</v>
      </c>
      <c r="H70" s="3">
        <f t="shared" si="7"/>
        <v>9.0972222222222218E-2</v>
      </c>
      <c r="I70" s="1">
        <f t="shared" si="5"/>
        <v>11</v>
      </c>
      <c r="J70" t="s">
        <v>432</v>
      </c>
      <c r="K70" t="s">
        <v>397</v>
      </c>
      <c r="L70" t="s">
        <v>103</v>
      </c>
      <c r="M70" t="s">
        <v>398</v>
      </c>
      <c r="N70" t="s">
        <v>465</v>
      </c>
    </row>
    <row r="71" spans="2:14" hidden="1" x14ac:dyDescent="0.25">
      <c r="C71" t="s">
        <v>407</v>
      </c>
      <c r="D71" s="3" t="s">
        <v>445</v>
      </c>
      <c r="E71" s="3" t="s">
        <v>438</v>
      </c>
      <c r="F71">
        <v>5</v>
      </c>
      <c r="G71" s="3">
        <f t="shared" si="6"/>
        <v>0.20486111111111116</v>
      </c>
      <c r="H71" s="3">
        <f t="shared" si="7"/>
        <v>4.0972222222222229E-2</v>
      </c>
      <c r="I71" s="1">
        <f t="shared" si="5"/>
        <v>59</v>
      </c>
      <c r="J71" t="s">
        <v>463</v>
      </c>
      <c r="K71" t="s">
        <v>417</v>
      </c>
      <c r="L71" t="s">
        <v>376</v>
      </c>
      <c r="M71" t="s">
        <v>398</v>
      </c>
      <c r="N71" t="s">
        <v>465</v>
      </c>
    </row>
    <row r="72" spans="2:14" hidden="1" x14ac:dyDescent="0.25">
      <c r="B72" t="s">
        <v>473</v>
      </c>
      <c r="C72" t="s">
        <v>407</v>
      </c>
      <c r="D72" s="3" t="s">
        <v>453</v>
      </c>
      <c r="E72" s="3" t="s">
        <v>428</v>
      </c>
      <c r="F72">
        <v>15</v>
      </c>
      <c r="G72" s="3">
        <f t="shared" si="6"/>
        <v>0.14930555555555547</v>
      </c>
      <c r="H72" s="3">
        <f t="shared" si="7"/>
        <v>9.9537037037036973E-3</v>
      </c>
      <c r="I72" s="1">
        <f t="shared" si="5"/>
        <v>14</v>
      </c>
      <c r="J72" t="s">
        <v>474</v>
      </c>
      <c r="K72" t="s">
        <v>417</v>
      </c>
      <c r="L72" t="s">
        <v>319</v>
      </c>
      <c r="M72" t="s">
        <v>398</v>
      </c>
      <c r="N72" t="s">
        <v>465</v>
      </c>
    </row>
    <row r="73" spans="2:14" hidden="1" x14ac:dyDescent="0.25">
      <c r="C73" t="s">
        <v>407</v>
      </c>
      <c r="D73" s="3" t="s">
        <v>411</v>
      </c>
      <c r="E73" s="3" t="s">
        <v>438</v>
      </c>
      <c r="F73">
        <v>5</v>
      </c>
      <c r="G73" s="3">
        <f t="shared" si="6"/>
        <v>0.41319444444444448</v>
      </c>
      <c r="H73" s="3">
        <f t="shared" si="7"/>
        <v>8.2638888888888901E-2</v>
      </c>
      <c r="I73" s="1">
        <f t="shared" si="5"/>
        <v>59</v>
      </c>
      <c r="J73" t="s">
        <v>471</v>
      </c>
      <c r="K73" t="s">
        <v>397</v>
      </c>
      <c r="L73" t="s">
        <v>89</v>
      </c>
      <c r="M73" t="s">
        <v>398</v>
      </c>
      <c r="N73" t="s">
        <v>465</v>
      </c>
    </row>
    <row r="74" spans="2:14" hidden="1" x14ac:dyDescent="0.25">
      <c r="C74" t="s">
        <v>407</v>
      </c>
      <c r="D74" s="3" t="s">
        <v>464</v>
      </c>
      <c r="E74" s="3" t="s">
        <v>475</v>
      </c>
      <c r="F74">
        <v>20</v>
      </c>
      <c r="G74" s="3">
        <f t="shared" si="6"/>
        <v>6.9444444444444531E-2</v>
      </c>
      <c r="H74" s="3">
        <f t="shared" si="7"/>
        <v>3.4722222222222264E-3</v>
      </c>
      <c r="I74" s="1">
        <f t="shared" si="5"/>
        <v>5</v>
      </c>
      <c r="J74" t="s">
        <v>471</v>
      </c>
      <c r="K74" t="s">
        <v>417</v>
      </c>
      <c r="L74" t="s">
        <v>147</v>
      </c>
      <c r="M74" t="s">
        <v>398</v>
      </c>
      <c r="N74" t="s">
        <v>465</v>
      </c>
    </row>
    <row r="75" spans="2:14" hidden="1" x14ac:dyDescent="0.25">
      <c r="C75" t="s">
        <v>407</v>
      </c>
      <c r="D75" s="3" t="s">
        <v>445</v>
      </c>
      <c r="E75" s="3" t="s">
        <v>466</v>
      </c>
      <c r="F75">
        <v>5</v>
      </c>
      <c r="G75" s="3">
        <f t="shared" si="6"/>
        <v>0.41319444444444453</v>
      </c>
      <c r="H75" s="3">
        <f t="shared" si="7"/>
        <v>8.2638888888888901E-2</v>
      </c>
      <c r="I75" s="1">
        <f t="shared" si="5"/>
        <v>59</v>
      </c>
      <c r="J75" t="s">
        <v>476</v>
      </c>
      <c r="K75" t="s">
        <v>417</v>
      </c>
      <c r="L75" t="s">
        <v>102</v>
      </c>
      <c r="M75" t="s">
        <v>398</v>
      </c>
      <c r="N75" t="s">
        <v>465</v>
      </c>
    </row>
    <row r="76" spans="2:14" hidden="1" x14ac:dyDescent="0.25">
      <c r="C76" t="s">
        <v>393</v>
      </c>
      <c r="D76" s="3" t="s">
        <v>411</v>
      </c>
      <c r="E76" s="3" t="s">
        <v>443</v>
      </c>
      <c r="F76">
        <v>5</v>
      </c>
      <c r="G76" s="3">
        <f t="shared" si="6"/>
        <v>0.24652777777777773</v>
      </c>
      <c r="H76" s="3">
        <f t="shared" si="7"/>
        <v>4.9305555555555547E-2</v>
      </c>
      <c r="I76" s="1">
        <f t="shared" si="5"/>
        <v>11</v>
      </c>
      <c r="J76" t="s">
        <v>463</v>
      </c>
      <c r="K76" t="s">
        <v>397</v>
      </c>
      <c r="L76" t="s">
        <v>376</v>
      </c>
      <c r="M76" t="s">
        <v>398</v>
      </c>
      <c r="N76" t="s">
        <v>465</v>
      </c>
    </row>
    <row r="77" spans="2:14" hidden="1" x14ac:dyDescent="0.25">
      <c r="B77" t="s">
        <v>477</v>
      </c>
      <c r="C77" t="s">
        <v>393</v>
      </c>
      <c r="D77" s="3" t="s">
        <v>416</v>
      </c>
      <c r="E77" s="3" t="s">
        <v>431</v>
      </c>
      <c r="F77">
        <v>15</v>
      </c>
      <c r="G77" s="3">
        <f t="shared" si="6"/>
        <v>0.14930555555555558</v>
      </c>
      <c r="H77" s="3">
        <f t="shared" si="7"/>
        <v>9.9537037037037059E-3</v>
      </c>
      <c r="I77" s="1">
        <f t="shared" si="5"/>
        <v>14</v>
      </c>
      <c r="J77" t="s">
        <v>459</v>
      </c>
      <c r="K77" t="s">
        <v>417</v>
      </c>
      <c r="L77" t="s">
        <v>322</v>
      </c>
      <c r="M77" t="s">
        <v>398</v>
      </c>
      <c r="N77" t="s">
        <v>465</v>
      </c>
    </row>
    <row r="78" spans="2:14" hidden="1" x14ac:dyDescent="0.25">
      <c r="C78" t="s">
        <v>393</v>
      </c>
      <c r="D78" s="3" t="s">
        <v>411</v>
      </c>
      <c r="E78" s="3" t="s">
        <v>478</v>
      </c>
      <c r="F78">
        <v>5</v>
      </c>
      <c r="G78" s="3">
        <f t="shared" si="6"/>
        <v>0.2638888888888889</v>
      </c>
      <c r="H78" s="3">
        <f t="shared" si="7"/>
        <v>5.2777777777777778E-2</v>
      </c>
      <c r="I78" s="1">
        <f t="shared" si="5"/>
        <v>16</v>
      </c>
      <c r="J78" t="s">
        <v>471</v>
      </c>
      <c r="K78" t="s">
        <v>397</v>
      </c>
      <c r="L78" t="s">
        <v>89</v>
      </c>
      <c r="M78" t="s">
        <v>398</v>
      </c>
      <c r="N78" t="s">
        <v>465</v>
      </c>
    </row>
    <row r="79" spans="2:14" hidden="1" x14ac:dyDescent="0.25">
      <c r="C79" t="s">
        <v>393</v>
      </c>
      <c r="D79" s="3" t="s">
        <v>479</v>
      </c>
      <c r="E79" s="3" t="s">
        <v>466</v>
      </c>
      <c r="F79">
        <v>5</v>
      </c>
      <c r="G79" s="3">
        <f t="shared" si="6"/>
        <v>0.20486111111111116</v>
      </c>
      <c r="H79" s="3">
        <f t="shared" si="7"/>
        <v>4.0972222222222229E-2</v>
      </c>
      <c r="I79" s="1">
        <f t="shared" si="5"/>
        <v>59</v>
      </c>
      <c r="J79" t="s">
        <v>471</v>
      </c>
      <c r="K79" t="s">
        <v>417</v>
      </c>
      <c r="L79" t="s">
        <v>97</v>
      </c>
      <c r="M79" t="s">
        <v>398</v>
      </c>
      <c r="N79" t="s">
        <v>465</v>
      </c>
    </row>
    <row r="80" spans="2:14" hidden="1" x14ac:dyDescent="0.25">
      <c r="C80" t="s">
        <v>393</v>
      </c>
      <c r="D80" s="3" t="s">
        <v>403</v>
      </c>
      <c r="E80" s="3" t="s">
        <v>441</v>
      </c>
      <c r="F80">
        <v>5</v>
      </c>
      <c r="G80" s="3">
        <f t="shared" si="6"/>
        <v>0.41319444444444448</v>
      </c>
      <c r="H80" s="3">
        <f t="shared" si="7"/>
        <v>8.2638888888888901E-2</v>
      </c>
      <c r="I80" s="1">
        <f t="shared" si="5"/>
        <v>59</v>
      </c>
      <c r="J80" t="s">
        <v>480</v>
      </c>
      <c r="K80" t="s">
        <v>397</v>
      </c>
      <c r="L80" t="s">
        <v>98</v>
      </c>
      <c r="M80" t="s">
        <v>398</v>
      </c>
      <c r="N80" t="s">
        <v>465</v>
      </c>
    </row>
    <row r="81" spans="3:14" hidden="1" x14ac:dyDescent="0.25">
      <c r="C81" t="s">
        <v>393</v>
      </c>
      <c r="D81" s="3" t="s">
        <v>482</v>
      </c>
      <c r="E81" s="3" t="s">
        <v>481</v>
      </c>
      <c r="F81">
        <v>10</v>
      </c>
      <c r="G81" s="3">
        <f t="shared" si="6"/>
        <v>0.11111111111111116</v>
      </c>
      <c r="H81" s="3">
        <f t="shared" si="7"/>
        <v>1.1111111111111117E-2</v>
      </c>
      <c r="I81" s="1">
        <f t="shared" si="5"/>
        <v>16</v>
      </c>
      <c r="J81" t="s">
        <v>480</v>
      </c>
      <c r="K81" t="s">
        <v>483</v>
      </c>
      <c r="L81" t="s">
        <v>113</v>
      </c>
      <c r="M81" t="s">
        <v>398</v>
      </c>
      <c r="N81" t="s">
        <v>465</v>
      </c>
    </row>
    <row r="82" spans="3:14" hidden="1" x14ac:dyDescent="0.25">
      <c r="C82" t="s">
        <v>393</v>
      </c>
      <c r="D82" s="3" t="s">
        <v>403</v>
      </c>
      <c r="E82" s="3" t="s">
        <v>428</v>
      </c>
      <c r="F82">
        <v>20</v>
      </c>
      <c r="G82" s="3">
        <f t="shared" si="6"/>
        <v>0.39930555555555552</v>
      </c>
      <c r="H82" s="3">
        <f t="shared" si="7"/>
        <v>1.9965277777777776E-2</v>
      </c>
      <c r="I82" s="1">
        <f t="shared" si="5"/>
        <v>28</v>
      </c>
      <c r="J82" t="s">
        <v>480</v>
      </c>
      <c r="K82" t="s">
        <v>397</v>
      </c>
      <c r="L82" t="s">
        <v>330</v>
      </c>
      <c r="M82" t="s">
        <v>398</v>
      </c>
      <c r="N82" t="s">
        <v>465</v>
      </c>
    </row>
    <row r="83" spans="3:14" hidden="1" x14ac:dyDescent="0.25">
      <c r="C83" t="s">
        <v>406</v>
      </c>
      <c r="D83" s="3" t="s">
        <v>419</v>
      </c>
      <c r="E83" s="3" t="s">
        <v>484</v>
      </c>
      <c r="F83">
        <v>5</v>
      </c>
      <c r="G83" s="3">
        <f t="shared" si="6"/>
        <v>7.9861111111111105E-2</v>
      </c>
      <c r="H83" s="3">
        <f t="shared" si="7"/>
        <v>1.5972222222222221E-2</v>
      </c>
      <c r="I83" s="1">
        <f t="shared" si="5"/>
        <v>23</v>
      </c>
      <c r="J83" t="s">
        <v>474</v>
      </c>
      <c r="K83" t="s">
        <v>397</v>
      </c>
      <c r="L83" t="s">
        <v>103</v>
      </c>
      <c r="M83" t="s">
        <v>398</v>
      </c>
      <c r="N83" t="s">
        <v>465</v>
      </c>
    </row>
    <row r="84" spans="3:14" hidden="1" x14ac:dyDescent="0.25">
      <c r="C84" t="s">
        <v>406</v>
      </c>
      <c r="D84" s="3" t="s">
        <v>411</v>
      </c>
      <c r="E84" s="3" t="s">
        <v>438</v>
      </c>
      <c r="F84">
        <v>5</v>
      </c>
      <c r="G84" s="3">
        <f t="shared" si="6"/>
        <v>0.41319444444444448</v>
      </c>
      <c r="H84" s="3">
        <f t="shared" si="7"/>
        <v>8.2638888888888901E-2</v>
      </c>
      <c r="I84" s="1">
        <f t="shared" si="5"/>
        <v>59</v>
      </c>
      <c r="J84" t="s">
        <v>432</v>
      </c>
      <c r="K84" t="s">
        <v>397</v>
      </c>
      <c r="L84" t="s">
        <v>102</v>
      </c>
      <c r="M84" t="s">
        <v>398</v>
      </c>
      <c r="N84" t="s">
        <v>465</v>
      </c>
    </row>
    <row r="85" spans="3:14" hidden="1" x14ac:dyDescent="0.25">
      <c r="C85" t="s">
        <v>406</v>
      </c>
      <c r="D85" s="3" t="s">
        <v>411</v>
      </c>
      <c r="E85" s="3" t="s">
        <v>443</v>
      </c>
      <c r="F85">
        <v>5</v>
      </c>
      <c r="G85" s="3">
        <f t="shared" si="6"/>
        <v>0.24652777777777773</v>
      </c>
      <c r="H85" s="3">
        <f t="shared" si="7"/>
        <v>4.9305555555555547E-2</v>
      </c>
      <c r="I85" s="1">
        <f t="shared" si="5"/>
        <v>11</v>
      </c>
      <c r="J85" t="s">
        <v>463</v>
      </c>
      <c r="K85" t="s">
        <v>397</v>
      </c>
      <c r="L85" t="s">
        <v>376</v>
      </c>
      <c r="M85" t="s">
        <v>398</v>
      </c>
      <c r="N85" t="s">
        <v>465</v>
      </c>
    </row>
    <row r="86" spans="3:14" hidden="1" x14ac:dyDescent="0.25">
      <c r="C86" t="s">
        <v>406</v>
      </c>
      <c r="D86" s="3" t="s">
        <v>416</v>
      </c>
      <c r="E86" s="3" t="s">
        <v>428</v>
      </c>
      <c r="F86">
        <v>10</v>
      </c>
      <c r="G86" s="3">
        <f t="shared" si="6"/>
        <v>0.19097222222222221</v>
      </c>
      <c r="H86" s="3">
        <f t="shared" si="7"/>
        <v>1.909722222222222E-2</v>
      </c>
      <c r="I86" s="1">
        <f t="shared" si="5"/>
        <v>27</v>
      </c>
      <c r="J86" t="s">
        <v>463</v>
      </c>
      <c r="K86" t="s">
        <v>417</v>
      </c>
      <c r="L86" t="s">
        <v>107</v>
      </c>
      <c r="M86" t="s">
        <v>398</v>
      </c>
      <c r="N86" t="s">
        <v>465</v>
      </c>
    </row>
    <row r="87" spans="3:14" hidden="1" x14ac:dyDescent="0.25">
      <c r="C87" t="s">
        <v>406</v>
      </c>
      <c r="D87" s="3" t="s">
        <v>486</v>
      </c>
      <c r="E87" s="3" t="s">
        <v>485</v>
      </c>
      <c r="F87">
        <v>5</v>
      </c>
      <c r="G87" s="3">
        <f t="shared" si="6"/>
        <v>0.37152777777777785</v>
      </c>
      <c r="H87" s="3">
        <f t="shared" si="7"/>
        <v>7.4305555555555569E-2</v>
      </c>
      <c r="I87" s="1">
        <f t="shared" si="5"/>
        <v>47</v>
      </c>
      <c r="J87" t="s">
        <v>468</v>
      </c>
      <c r="K87" t="s">
        <v>397</v>
      </c>
      <c r="L87" t="s">
        <v>112</v>
      </c>
      <c r="M87" t="s">
        <v>398</v>
      </c>
      <c r="N87" t="s">
        <v>465</v>
      </c>
    </row>
    <row r="88" spans="3:14" hidden="1" x14ac:dyDescent="0.25">
      <c r="C88" t="s">
        <v>406</v>
      </c>
      <c r="D88" s="3" t="s">
        <v>403</v>
      </c>
      <c r="E88" s="3" t="s">
        <v>431</v>
      </c>
      <c r="F88">
        <v>15</v>
      </c>
      <c r="G88" s="3">
        <f t="shared" si="6"/>
        <v>0.3576388888888889</v>
      </c>
      <c r="H88" s="3">
        <f t="shared" si="7"/>
        <v>2.3842592592592592E-2</v>
      </c>
      <c r="I88" s="1">
        <f t="shared" si="5"/>
        <v>34</v>
      </c>
      <c r="J88" t="s">
        <v>459</v>
      </c>
      <c r="K88" t="s">
        <v>397</v>
      </c>
      <c r="L88" t="s">
        <v>321</v>
      </c>
      <c r="M88" t="s">
        <v>398</v>
      </c>
      <c r="N88" t="s">
        <v>465</v>
      </c>
    </row>
    <row r="89" spans="3:14" hidden="1" x14ac:dyDescent="0.25">
      <c r="C89" t="s">
        <v>406</v>
      </c>
      <c r="D89" s="3" t="s">
        <v>403</v>
      </c>
      <c r="E89" s="3" t="s">
        <v>443</v>
      </c>
      <c r="F89">
        <v>5</v>
      </c>
      <c r="G89" s="3">
        <f t="shared" si="6"/>
        <v>0.2048611111111111</v>
      </c>
      <c r="H89" s="3">
        <f t="shared" si="7"/>
        <v>4.0972222222222222E-2</v>
      </c>
      <c r="I89" s="1">
        <f t="shared" si="5"/>
        <v>59</v>
      </c>
      <c r="J89" t="s">
        <v>470</v>
      </c>
      <c r="K89" t="s">
        <v>397</v>
      </c>
      <c r="L89" t="s">
        <v>99</v>
      </c>
      <c r="M89" t="s">
        <v>398</v>
      </c>
      <c r="N89" t="s">
        <v>465</v>
      </c>
    </row>
    <row r="90" spans="3:14" hidden="1" x14ac:dyDescent="0.25">
      <c r="C90" t="s">
        <v>406</v>
      </c>
      <c r="D90" s="3" t="s">
        <v>416</v>
      </c>
      <c r="E90" s="3" t="s">
        <v>441</v>
      </c>
      <c r="F90">
        <v>5</v>
      </c>
      <c r="G90" s="3">
        <f t="shared" si="6"/>
        <v>0.20486111111111116</v>
      </c>
      <c r="H90" s="3">
        <f t="shared" si="7"/>
        <v>4.0972222222222229E-2</v>
      </c>
      <c r="I90" s="1">
        <f t="shared" si="5"/>
        <v>59</v>
      </c>
      <c r="J90" t="s">
        <v>470</v>
      </c>
      <c r="K90" t="s">
        <v>417</v>
      </c>
      <c r="L90" t="s">
        <v>91</v>
      </c>
      <c r="M90" t="s">
        <v>398</v>
      </c>
      <c r="N90" t="s">
        <v>465</v>
      </c>
    </row>
    <row r="91" spans="3:14" hidden="1" x14ac:dyDescent="0.25">
      <c r="C91" t="s">
        <v>406</v>
      </c>
      <c r="D91" s="3" t="s">
        <v>403</v>
      </c>
      <c r="E91" s="3" t="s">
        <v>487</v>
      </c>
      <c r="F91">
        <v>5</v>
      </c>
      <c r="G91" s="3">
        <f t="shared" si="6"/>
        <v>0.21875000000000006</v>
      </c>
      <c r="H91" s="3">
        <f t="shared" si="7"/>
        <v>4.3750000000000011E-2</v>
      </c>
      <c r="I91" s="1">
        <f t="shared" si="5"/>
        <v>3</v>
      </c>
      <c r="J91" t="s">
        <v>471</v>
      </c>
      <c r="K91" t="s">
        <v>397</v>
      </c>
      <c r="L91" t="s">
        <v>89</v>
      </c>
      <c r="M91" t="s">
        <v>398</v>
      </c>
      <c r="N91" t="s">
        <v>465</v>
      </c>
    </row>
    <row r="92" spans="3:14" hidden="1" x14ac:dyDescent="0.25">
      <c r="C92" t="s">
        <v>406</v>
      </c>
      <c r="D92" s="3" t="s">
        <v>479</v>
      </c>
      <c r="E92" s="3" t="s">
        <v>466</v>
      </c>
      <c r="F92">
        <v>5</v>
      </c>
      <c r="G92" s="3">
        <f t="shared" si="6"/>
        <v>0.20486111111111116</v>
      </c>
      <c r="H92" s="3">
        <f t="shared" si="7"/>
        <v>4.0972222222222229E-2</v>
      </c>
      <c r="I92" s="1">
        <f t="shared" si="5"/>
        <v>59</v>
      </c>
      <c r="J92" t="s">
        <v>471</v>
      </c>
      <c r="K92" t="s">
        <v>417</v>
      </c>
      <c r="L92" t="s">
        <v>97</v>
      </c>
      <c r="M92" t="s">
        <v>398</v>
      </c>
      <c r="N92" t="s">
        <v>465</v>
      </c>
    </row>
    <row r="93" spans="3:14" hidden="1" x14ac:dyDescent="0.25">
      <c r="C93" t="s">
        <v>406</v>
      </c>
      <c r="D93" s="3" t="s">
        <v>488</v>
      </c>
      <c r="E93" s="3" t="s">
        <v>479</v>
      </c>
      <c r="F93">
        <v>30</v>
      </c>
      <c r="G93" s="3">
        <f t="shared" si="6"/>
        <v>6.25E-2</v>
      </c>
      <c r="H93" s="3">
        <f t="shared" si="7"/>
        <v>2.0833333333333333E-3</v>
      </c>
      <c r="I93" s="1">
        <f t="shared" si="5"/>
        <v>3</v>
      </c>
      <c r="J93" t="s">
        <v>474</v>
      </c>
      <c r="K93" t="s">
        <v>417</v>
      </c>
      <c r="L93" t="s">
        <v>117</v>
      </c>
      <c r="M93" t="s">
        <v>398</v>
      </c>
      <c r="N93" t="s">
        <v>465</v>
      </c>
    </row>
    <row r="94" spans="3:14" hidden="1" x14ac:dyDescent="0.25">
      <c r="C94" t="s">
        <v>400</v>
      </c>
      <c r="D94" s="3" t="s">
        <v>411</v>
      </c>
      <c r="E94" s="3" t="s">
        <v>438</v>
      </c>
      <c r="F94">
        <v>5</v>
      </c>
      <c r="G94" s="3">
        <f t="shared" si="6"/>
        <v>0.41319444444444448</v>
      </c>
      <c r="H94" s="3">
        <f t="shared" si="7"/>
        <v>8.2638888888888901E-2</v>
      </c>
      <c r="I94" s="1">
        <f t="shared" si="5"/>
        <v>59</v>
      </c>
      <c r="J94" t="s">
        <v>463</v>
      </c>
      <c r="K94" t="s">
        <v>397</v>
      </c>
      <c r="L94" t="s">
        <v>376</v>
      </c>
      <c r="M94" t="s">
        <v>398</v>
      </c>
      <c r="N94" t="s">
        <v>465</v>
      </c>
    </row>
    <row r="95" spans="3:14" hidden="1" x14ac:dyDescent="0.25">
      <c r="C95" t="s">
        <v>400</v>
      </c>
      <c r="D95" s="3" t="s">
        <v>411</v>
      </c>
      <c r="E95" s="3" t="s">
        <v>439</v>
      </c>
      <c r="F95">
        <v>5</v>
      </c>
      <c r="G95" s="3">
        <f t="shared" si="6"/>
        <v>0.20486111111111105</v>
      </c>
      <c r="H95" s="3">
        <f t="shared" si="7"/>
        <v>4.0972222222222208E-2</v>
      </c>
      <c r="I95" s="1">
        <f t="shared" si="5"/>
        <v>59</v>
      </c>
      <c r="J95" t="s">
        <v>459</v>
      </c>
      <c r="K95" t="s">
        <v>397</v>
      </c>
      <c r="L95" t="s">
        <v>94</v>
      </c>
      <c r="M95" t="s">
        <v>398</v>
      </c>
      <c r="N95" t="s">
        <v>465</v>
      </c>
    </row>
    <row r="96" spans="3:14" hidden="1" x14ac:dyDescent="0.25">
      <c r="C96" t="s">
        <v>400</v>
      </c>
      <c r="D96" s="3" t="s">
        <v>403</v>
      </c>
      <c r="E96" s="3" t="s">
        <v>402</v>
      </c>
      <c r="F96">
        <v>15</v>
      </c>
      <c r="G96" s="3">
        <f t="shared" si="6"/>
        <v>0.14930555555555558</v>
      </c>
      <c r="H96" s="3">
        <f t="shared" si="7"/>
        <v>9.9537037037037059E-3</v>
      </c>
      <c r="I96" s="1">
        <f t="shared" si="5"/>
        <v>14</v>
      </c>
      <c r="J96" t="s">
        <v>459</v>
      </c>
      <c r="K96" t="s">
        <v>397</v>
      </c>
      <c r="L96" t="s">
        <v>322</v>
      </c>
      <c r="M96" t="s">
        <v>398</v>
      </c>
      <c r="N96" t="s">
        <v>465</v>
      </c>
    </row>
    <row r="97" spans="3:14" hidden="1" x14ac:dyDescent="0.25">
      <c r="C97" t="s">
        <v>400</v>
      </c>
      <c r="D97" s="3" t="s">
        <v>453</v>
      </c>
      <c r="E97" s="3" t="s">
        <v>431</v>
      </c>
      <c r="F97">
        <v>15</v>
      </c>
      <c r="G97" s="3">
        <f t="shared" si="6"/>
        <v>0.10763888888888884</v>
      </c>
      <c r="H97" s="3">
        <f t="shared" si="7"/>
        <v>7.1759259259259224E-3</v>
      </c>
      <c r="I97" s="1">
        <f t="shared" si="5"/>
        <v>10</v>
      </c>
      <c r="J97" t="s">
        <v>459</v>
      </c>
      <c r="K97" t="s">
        <v>417</v>
      </c>
      <c r="L97" t="s">
        <v>323</v>
      </c>
      <c r="M97" t="s">
        <v>398</v>
      </c>
      <c r="N97" t="s">
        <v>465</v>
      </c>
    </row>
    <row r="98" spans="3:14" hidden="1" x14ac:dyDescent="0.25">
      <c r="C98" t="s">
        <v>400</v>
      </c>
      <c r="D98" s="3" t="s">
        <v>411</v>
      </c>
      <c r="E98" s="3" t="s">
        <v>489</v>
      </c>
      <c r="F98">
        <v>5</v>
      </c>
      <c r="G98" s="3">
        <f t="shared" si="6"/>
        <v>0.2673611111111111</v>
      </c>
      <c r="H98" s="3">
        <f t="shared" si="7"/>
        <v>5.347222222222222E-2</v>
      </c>
      <c r="I98" s="1">
        <f t="shared" si="5"/>
        <v>17</v>
      </c>
      <c r="J98" t="s">
        <v>471</v>
      </c>
      <c r="K98" t="s">
        <v>397</v>
      </c>
      <c r="L98" t="s">
        <v>89</v>
      </c>
      <c r="M98" t="s">
        <v>398</v>
      </c>
      <c r="N98" t="s">
        <v>465</v>
      </c>
    </row>
    <row r="99" spans="3:14" hidden="1" x14ac:dyDescent="0.25">
      <c r="C99" t="s">
        <v>400</v>
      </c>
      <c r="D99" s="3" t="s">
        <v>464</v>
      </c>
      <c r="E99" s="3" t="s">
        <v>466</v>
      </c>
      <c r="F99">
        <v>5</v>
      </c>
      <c r="G99" s="3">
        <f t="shared" si="6"/>
        <v>0.16319444444444453</v>
      </c>
      <c r="H99" s="3">
        <f t="shared" si="7"/>
        <v>3.2638888888888905E-2</v>
      </c>
      <c r="I99" s="1">
        <f t="shared" si="5"/>
        <v>47</v>
      </c>
      <c r="J99" t="s">
        <v>471</v>
      </c>
      <c r="K99" t="s">
        <v>417</v>
      </c>
      <c r="L99" t="s">
        <v>102</v>
      </c>
      <c r="M99" t="s">
        <v>398</v>
      </c>
      <c r="N99" t="s">
        <v>465</v>
      </c>
    </row>
    <row r="100" spans="3:14" hidden="1" x14ac:dyDescent="0.25">
      <c r="C100" t="s">
        <v>400</v>
      </c>
      <c r="D100" s="3" t="s">
        <v>403</v>
      </c>
      <c r="E100" s="3" t="s">
        <v>438</v>
      </c>
      <c r="F100">
        <v>5</v>
      </c>
      <c r="G100" s="3">
        <f t="shared" si="6"/>
        <v>0.37152777777777785</v>
      </c>
      <c r="H100" s="3">
        <f t="shared" si="7"/>
        <v>7.4305555555555569E-2</v>
      </c>
      <c r="I100" s="1">
        <f t="shared" si="5"/>
        <v>47</v>
      </c>
      <c r="J100" t="s">
        <v>480</v>
      </c>
      <c r="K100" t="s">
        <v>397</v>
      </c>
      <c r="L100" t="s">
        <v>118</v>
      </c>
      <c r="M100" t="s">
        <v>398</v>
      </c>
      <c r="N100" t="s">
        <v>465</v>
      </c>
    </row>
    <row r="101" spans="3:14" hidden="1" x14ac:dyDescent="0.25">
      <c r="C101" t="s">
        <v>400</v>
      </c>
      <c r="D101" s="3" t="s">
        <v>490</v>
      </c>
      <c r="E101" s="3" t="s">
        <v>472</v>
      </c>
      <c r="F101">
        <v>10</v>
      </c>
      <c r="G101" s="3">
        <f t="shared" si="6"/>
        <v>8.6805555555555469E-2</v>
      </c>
      <c r="H101" s="3">
        <f t="shared" si="7"/>
        <v>8.6805555555555473E-3</v>
      </c>
      <c r="I101" s="1">
        <f t="shared" si="5"/>
        <v>12</v>
      </c>
      <c r="J101" t="s">
        <v>476</v>
      </c>
      <c r="K101" t="s">
        <v>483</v>
      </c>
      <c r="L101" t="s">
        <v>113</v>
      </c>
      <c r="M101" t="s">
        <v>398</v>
      </c>
      <c r="N101" t="s">
        <v>465</v>
      </c>
    </row>
    <row r="102" spans="3:14" hidden="1" x14ac:dyDescent="0.25">
      <c r="C102" t="s">
        <v>422</v>
      </c>
      <c r="D102" s="3" t="s">
        <v>419</v>
      </c>
      <c r="E102" s="3" t="s">
        <v>442</v>
      </c>
      <c r="F102">
        <v>5</v>
      </c>
      <c r="G102" s="3">
        <f t="shared" si="6"/>
        <v>0.20486111111111105</v>
      </c>
      <c r="H102" s="3">
        <f t="shared" si="7"/>
        <v>4.0972222222222208E-2</v>
      </c>
      <c r="I102" s="1">
        <f t="shared" si="5"/>
        <v>59</v>
      </c>
      <c r="J102" t="s">
        <v>432</v>
      </c>
      <c r="K102" t="s">
        <v>397</v>
      </c>
      <c r="L102" t="s">
        <v>102</v>
      </c>
      <c r="M102" t="s">
        <v>398</v>
      </c>
      <c r="N102" t="s">
        <v>465</v>
      </c>
    </row>
    <row r="103" spans="3:14" hidden="1" x14ac:dyDescent="0.25">
      <c r="C103" t="s">
        <v>422</v>
      </c>
      <c r="D103" s="3" t="s">
        <v>453</v>
      </c>
      <c r="E103" s="3" t="s">
        <v>428</v>
      </c>
      <c r="F103">
        <v>10</v>
      </c>
      <c r="G103" s="3">
        <f t="shared" si="6"/>
        <v>0.14930555555555547</v>
      </c>
      <c r="H103" s="3">
        <f t="shared" si="7"/>
        <v>1.4930555555555548E-2</v>
      </c>
      <c r="I103" s="1">
        <f t="shared" si="5"/>
        <v>21</v>
      </c>
      <c r="J103" t="s">
        <v>432</v>
      </c>
      <c r="K103" t="s">
        <v>417</v>
      </c>
      <c r="L103" t="s">
        <v>127</v>
      </c>
      <c r="M103" t="s">
        <v>398</v>
      </c>
      <c r="N103" t="s">
        <v>465</v>
      </c>
    </row>
    <row r="104" spans="3:14" hidden="1" x14ac:dyDescent="0.25">
      <c r="C104" t="s">
        <v>422</v>
      </c>
      <c r="D104" s="3" t="s">
        <v>411</v>
      </c>
      <c r="E104" s="3" t="s">
        <v>443</v>
      </c>
      <c r="F104">
        <v>5</v>
      </c>
      <c r="G104" s="3">
        <f t="shared" si="6"/>
        <v>0.24652777777777773</v>
      </c>
      <c r="H104" s="3">
        <f t="shared" si="7"/>
        <v>4.9305555555555547E-2</v>
      </c>
      <c r="I104" s="1">
        <f t="shared" si="5"/>
        <v>11</v>
      </c>
      <c r="J104" t="s">
        <v>471</v>
      </c>
      <c r="K104" t="s">
        <v>397</v>
      </c>
      <c r="L104" t="s">
        <v>89</v>
      </c>
      <c r="M104" t="s">
        <v>398</v>
      </c>
      <c r="N104" t="s">
        <v>465</v>
      </c>
    </row>
    <row r="105" spans="3:14" hidden="1" x14ac:dyDescent="0.25">
      <c r="C105" t="s">
        <v>491</v>
      </c>
      <c r="D105" s="3" t="s">
        <v>419</v>
      </c>
      <c r="E105" s="3" t="s">
        <v>426</v>
      </c>
      <c r="F105">
        <v>15</v>
      </c>
      <c r="G105" s="3">
        <f t="shared" si="6"/>
        <v>0.14930555555555558</v>
      </c>
      <c r="H105" s="3">
        <f t="shared" si="7"/>
        <v>9.9537037037037059E-3</v>
      </c>
      <c r="I105" s="1">
        <f t="shared" si="5"/>
        <v>14</v>
      </c>
      <c r="J105" t="s">
        <v>459</v>
      </c>
      <c r="K105" t="s">
        <v>397</v>
      </c>
      <c r="L105" t="s">
        <v>369</v>
      </c>
      <c r="M105" t="s">
        <v>398</v>
      </c>
      <c r="N105" t="s">
        <v>465</v>
      </c>
    </row>
    <row r="106" spans="3:14" hidden="1" x14ac:dyDescent="0.25">
      <c r="C106" t="s">
        <v>491</v>
      </c>
      <c r="D106" s="3" t="s">
        <v>403</v>
      </c>
      <c r="E106" s="3" t="s">
        <v>438</v>
      </c>
      <c r="F106">
        <v>5</v>
      </c>
      <c r="G106" s="3">
        <f t="shared" si="6"/>
        <v>0.37152777777777785</v>
      </c>
      <c r="H106" s="3">
        <f t="shared" si="7"/>
        <v>7.4305555555555569E-2</v>
      </c>
      <c r="I106" s="1">
        <f t="shared" si="5"/>
        <v>47</v>
      </c>
      <c r="J106" t="s">
        <v>432</v>
      </c>
      <c r="K106" t="s">
        <v>397</v>
      </c>
      <c r="L106" t="s">
        <v>139</v>
      </c>
      <c r="M106" t="s">
        <v>398</v>
      </c>
      <c r="N106" t="s">
        <v>465</v>
      </c>
    </row>
    <row r="107" spans="3:14" hidden="1" x14ac:dyDescent="0.25">
      <c r="C107" t="s">
        <v>407</v>
      </c>
      <c r="D107" s="3" t="s">
        <v>416</v>
      </c>
      <c r="E107" s="3" t="s">
        <v>492</v>
      </c>
      <c r="F107">
        <v>10</v>
      </c>
      <c r="G107" s="3">
        <f t="shared" si="6"/>
        <v>0.23263888888888884</v>
      </c>
      <c r="H107" s="3">
        <f t="shared" si="7"/>
        <v>2.3263888888888883E-2</v>
      </c>
      <c r="I107" s="1">
        <f t="shared" si="5"/>
        <v>33</v>
      </c>
      <c r="J107" t="s">
        <v>432</v>
      </c>
      <c r="K107" t="s">
        <v>417</v>
      </c>
      <c r="L107" t="s">
        <v>333</v>
      </c>
      <c r="M107" t="s">
        <v>398</v>
      </c>
      <c r="N107" t="s">
        <v>405</v>
      </c>
    </row>
    <row r="108" spans="3:14" hidden="1" x14ac:dyDescent="0.25">
      <c r="C108" t="s">
        <v>400</v>
      </c>
      <c r="D108" s="3" t="s">
        <v>411</v>
      </c>
      <c r="E108" s="3" t="s">
        <v>418</v>
      </c>
      <c r="F108">
        <v>10</v>
      </c>
      <c r="G108" s="3">
        <f t="shared" si="6"/>
        <v>0.3576388888888889</v>
      </c>
      <c r="H108" s="3">
        <f t="shared" si="7"/>
        <v>3.5763888888888887E-2</v>
      </c>
      <c r="I108" s="1">
        <f t="shared" si="5"/>
        <v>51</v>
      </c>
      <c r="J108" t="s">
        <v>432</v>
      </c>
      <c r="K108" t="s">
        <v>397</v>
      </c>
      <c r="L108" t="s">
        <v>333</v>
      </c>
      <c r="M108" t="s">
        <v>398</v>
      </c>
      <c r="N108" t="s">
        <v>405</v>
      </c>
    </row>
    <row r="109" spans="3:14" hidden="1" x14ac:dyDescent="0.25">
      <c r="C109" t="s">
        <v>393</v>
      </c>
      <c r="D109" s="3" t="s">
        <v>403</v>
      </c>
      <c r="E109" s="3" t="s">
        <v>431</v>
      </c>
      <c r="F109">
        <v>10</v>
      </c>
      <c r="G109" s="3">
        <f t="shared" si="6"/>
        <v>0.3576388888888889</v>
      </c>
      <c r="H109" s="3">
        <f t="shared" si="7"/>
        <v>3.5763888888888887E-2</v>
      </c>
      <c r="I109" s="1">
        <f t="shared" si="5"/>
        <v>51</v>
      </c>
      <c r="J109" t="s">
        <v>409</v>
      </c>
      <c r="K109" t="s">
        <v>397</v>
      </c>
      <c r="L109" t="s">
        <v>337</v>
      </c>
      <c r="M109" t="s">
        <v>398</v>
      </c>
      <c r="N109" t="s">
        <v>405</v>
      </c>
    </row>
    <row r="110" spans="3:14" hidden="1" x14ac:dyDescent="0.25">
      <c r="C110" t="s">
        <v>400</v>
      </c>
      <c r="D110" s="3" t="s">
        <v>403</v>
      </c>
      <c r="E110" s="3" t="s">
        <v>431</v>
      </c>
      <c r="F110">
        <v>10</v>
      </c>
      <c r="G110" s="3">
        <f t="shared" si="6"/>
        <v>0.3576388888888889</v>
      </c>
      <c r="H110" s="3">
        <f t="shared" si="7"/>
        <v>3.5763888888888887E-2</v>
      </c>
      <c r="I110" s="1">
        <f t="shared" si="5"/>
        <v>51</v>
      </c>
      <c r="J110" t="s">
        <v>409</v>
      </c>
      <c r="K110" t="s">
        <v>397</v>
      </c>
      <c r="L110" t="s">
        <v>337</v>
      </c>
      <c r="M110" t="s">
        <v>398</v>
      </c>
      <c r="N110" t="s">
        <v>405</v>
      </c>
    </row>
    <row r="111" spans="3:14" hidden="1" x14ac:dyDescent="0.25">
      <c r="C111" t="s">
        <v>401</v>
      </c>
      <c r="D111" s="3" t="s">
        <v>403</v>
      </c>
      <c r="E111" s="3" t="s">
        <v>493</v>
      </c>
      <c r="F111">
        <v>40</v>
      </c>
      <c r="G111" s="3">
        <f t="shared" si="6"/>
        <v>0.43055555555555552</v>
      </c>
      <c r="H111" s="3">
        <f t="shared" si="7"/>
        <v>1.0763888888888889E-2</v>
      </c>
      <c r="I111" s="1">
        <f t="shared" si="5"/>
        <v>15</v>
      </c>
      <c r="J111" t="s">
        <v>435</v>
      </c>
      <c r="K111" t="s">
        <v>397</v>
      </c>
      <c r="L111" t="s">
        <v>128</v>
      </c>
      <c r="M111" t="s">
        <v>398</v>
      </c>
      <c r="N111" t="s">
        <v>405</v>
      </c>
    </row>
    <row r="112" spans="3:14" hidden="1" x14ac:dyDescent="0.25">
      <c r="C112" t="s">
        <v>407</v>
      </c>
      <c r="D112" s="3" t="s">
        <v>403</v>
      </c>
      <c r="E112" s="3" t="s">
        <v>493</v>
      </c>
      <c r="F112">
        <v>40</v>
      </c>
      <c r="G112" s="3">
        <f t="shared" si="6"/>
        <v>0.43055555555555552</v>
      </c>
      <c r="H112" s="3">
        <f t="shared" si="7"/>
        <v>1.0763888888888889E-2</v>
      </c>
      <c r="I112" s="1">
        <f t="shared" si="5"/>
        <v>15</v>
      </c>
      <c r="J112" t="s">
        <v>427</v>
      </c>
      <c r="K112" t="s">
        <v>397</v>
      </c>
      <c r="L112" t="s">
        <v>128</v>
      </c>
      <c r="M112" t="s">
        <v>398</v>
      </c>
      <c r="N112" t="s">
        <v>405</v>
      </c>
    </row>
    <row r="113" spans="3:14" x14ac:dyDescent="0.25">
      <c r="C113" t="s">
        <v>401</v>
      </c>
      <c r="D113" s="3" t="s">
        <v>416</v>
      </c>
      <c r="E113" s="3" t="s">
        <v>418</v>
      </c>
      <c r="F113">
        <v>10</v>
      </c>
      <c r="G113" s="3">
        <f t="shared" si="6"/>
        <v>0.10763888888888895</v>
      </c>
      <c r="H113" s="3">
        <f t="shared" si="7"/>
        <v>1.0763888888888896E-2</v>
      </c>
      <c r="I113" s="1">
        <f t="shared" si="5"/>
        <v>15</v>
      </c>
      <c r="J113" t="s">
        <v>429</v>
      </c>
      <c r="K113" t="s">
        <v>417</v>
      </c>
      <c r="L113" t="s">
        <v>142</v>
      </c>
      <c r="M113" t="s">
        <v>398</v>
      </c>
      <c r="N113" t="s">
        <v>405</v>
      </c>
    </row>
    <row r="114" spans="3:14" x14ac:dyDescent="0.25">
      <c r="C114" t="s">
        <v>401</v>
      </c>
      <c r="D114" s="3" t="s">
        <v>449</v>
      </c>
      <c r="E114" s="3" t="s">
        <v>494</v>
      </c>
      <c r="F114">
        <v>20</v>
      </c>
      <c r="G114" s="3">
        <f t="shared" si="6"/>
        <v>6.9444444444444531E-2</v>
      </c>
      <c r="H114" s="3">
        <f t="shared" si="7"/>
        <v>3.4722222222222264E-3</v>
      </c>
      <c r="I114" s="1">
        <f t="shared" si="5"/>
        <v>5</v>
      </c>
      <c r="J114" t="s">
        <v>429</v>
      </c>
      <c r="K114" t="s">
        <v>417</v>
      </c>
      <c r="L114" t="s">
        <v>142</v>
      </c>
      <c r="M114" t="s">
        <v>398</v>
      </c>
      <c r="N114" t="s">
        <v>405</v>
      </c>
    </row>
    <row r="115" spans="3:14" hidden="1" x14ac:dyDescent="0.25">
      <c r="C115" t="s">
        <v>406</v>
      </c>
      <c r="D115" s="3" t="s">
        <v>416</v>
      </c>
      <c r="E115" s="3" t="s">
        <v>418</v>
      </c>
      <c r="F115">
        <v>10</v>
      </c>
      <c r="G115" s="3">
        <f t="shared" si="6"/>
        <v>0.10763888888888895</v>
      </c>
      <c r="H115" s="3">
        <f t="shared" si="7"/>
        <v>1.0763888888888896E-2</v>
      </c>
      <c r="I115" s="1">
        <f t="shared" si="5"/>
        <v>15</v>
      </c>
      <c r="J115" t="s">
        <v>429</v>
      </c>
      <c r="K115" t="s">
        <v>417</v>
      </c>
      <c r="L115" t="s">
        <v>142</v>
      </c>
      <c r="M115" t="s">
        <v>398</v>
      </c>
      <c r="N115" t="s">
        <v>405</v>
      </c>
    </row>
    <row r="116" spans="3:14" hidden="1" x14ac:dyDescent="0.25">
      <c r="C116" t="s">
        <v>422</v>
      </c>
      <c r="D116" s="3" t="s">
        <v>419</v>
      </c>
      <c r="E116" s="3" t="s">
        <v>445</v>
      </c>
      <c r="F116">
        <v>10</v>
      </c>
      <c r="G116" s="3">
        <f t="shared" si="6"/>
        <v>0.125</v>
      </c>
      <c r="H116" s="3">
        <f t="shared" si="7"/>
        <v>1.2500000000000001E-2</v>
      </c>
      <c r="I116" s="1">
        <f t="shared" si="5"/>
        <v>18</v>
      </c>
      <c r="J116" t="s">
        <v>429</v>
      </c>
      <c r="K116" t="s">
        <v>397</v>
      </c>
      <c r="L116" t="s">
        <v>142</v>
      </c>
      <c r="M116" t="s">
        <v>398</v>
      </c>
      <c r="N116" t="s">
        <v>405</v>
      </c>
    </row>
    <row r="117" spans="3:14" hidden="1" x14ac:dyDescent="0.25">
      <c r="C117" t="s">
        <v>401</v>
      </c>
      <c r="D117" s="3" t="s">
        <v>416</v>
      </c>
      <c r="E117" s="3" t="s">
        <v>479</v>
      </c>
      <c r="F117">
        <v>40</v>
      </c>
      <c r="G117" s="3">
        <f t="shared" si="6"/>
        <v>0.16666666666666674</v>
      </c>
      <c r="H117" s="3">
        <f t="shared" si="7"/>
        <v>4.1666666666666683E-3</v>
      </c>
      <c r="I117" s="1">
        <f t="shared" si="5"/>
        <v>6</v>
      </c>
      <c r="J117" t="s">
        <v>458</v>
      </c>
      <c r="K117" t="s">
        <v>417</v>
      </c>
      <c r="L117" t="s">
        <v>129</v>
      </c>
      <c r="M117" t="s">
        <v>398</v>
      </c>
      <c r="N117" t="s">
        <v>405</v>
      </c>
    </row>
    <row r="118" spans="3:14" hidden="1" x14ac:dyDescent="0.25">
      <c r="C118" t="s">
        <v>401</v>
      </c>
      <c r="D118" s="3" t="s">
        <v>403</v>
      </c>
      <c r="E118" s="3" t="s">
        <v>428</v>
      </c>
      <c r="F118">
        <v>20</v>
      </c>
      <c r="G118" s="3">
        <f t="shared" si="6"/>
        <v>0.39930555555555552</v>
      </c>
      <c r="H118" s="3">
        <f t="shared" si="7"/>
        <v>1.9965277777777776E-2</v>
      </c>
      <c r="I118" s="1">
        <f t="shared" si="5"/>
        <v>28</v>
      </c>
      <c r="J118" t="s">
        <v>396</v>
      </c>
      <c r="K118" t="s">
        <v>397</v>
      </c>
      <c r="L118" t="s">
        <v>355</v>
      </c>
      <c r="M118" t="s">
        <v>398</v>
      </c>
      <c r="N118" t="s">
        <v>405</v>
      </c>
    </row>
    <row r="119" spans="3:14" hidden="1" x14ac:dyDescent="0.25">
      <c r="C119" t="s">
        <v>407</v>
      </c>
      <c r="D119" s="3" t="s">
        <v>403</v>
      </c>
      <c r="E119" s="3" t="s">
        <v>402</v>
      </c>
      <c r="F119">
        <v>5</v>
      </c>
      <c r="G119" s="3">
        <f t="shared" si="6"/>
        <v>0.14930555555555558</v>
      </c>
      <c r="H119" s="3">
        <f t="shared" si="7"/>
        <v>2.9861111111111116E-2</v>
      </c>
      <c r="I119" s="1">
        <f t="shared" si="5"/>
        <v>43</v>
      </c>
      <c r="J119" t="s">
        <v>458</v>
      </c>
      <c r="K119" t="s">
        <v>397</v>
      </c>
      <c r="L119" t="s">
        <v>328</v>
      </c>
      <c r="M119" t="s">
        <v>398</v>
      </c>
      <c r="N119" t="s">
        <v>405</v>
      </c>
    </row>
    <row r="120" spans="3:14" hidden="1" x14ac:dyDescent="0.25">
      <c r="C120" t="s">
        <v>407</v>
      </c>
      <c r="D120" s="3" t="s">
        <v>403</v>
      </c>
      <c r="E120" s="3" t="s">
        <v>418</v>
      </c>
      <c r="F120">
        <v>5</v>
      </c>
      <c r="G120" s="3">
        <f t="shared" si="6"/>
        <v>0.31597222222222227</v>
      </c>
      <c r="H120" s="3">
        <f t="shared" si="7"/>
        <v>6.3194444444444456E-2</v>
      </c>
      <c r="I120" s="1">
        <f t="shared" si="5"/>
        <v>31</v>
      </c>
      <c r="J120" t="s">
        <v>396</v>
      </c>
      <c r="K120" t="s">
        <v>397</v>
      </c>
      <c r="L120" t="s">
        <v>320</v>
      </c>
      <c r="M120" t="s">
        <v>398</v>
      </c>
      <c r="N120" t="s">
        <v>405</v>
      </c>
    </row>
    <row r="121" spans="3:14" hidden="1" x14ac:dyDescent="0.25">
      <c r="C121" t="s">
        <v>393</v>
      </c>
      <c r="D121" s="3" t="s">
        <v>403</v>
      </c>
      <c r="E121" s="3" t="s">
        <v>418</v>
      </c>
      <c r="F121">
        <v>5</v>
      </c>
      <c r="G121" s="3">
        <f t="shared" si="6"/>
        <v>0.31597222222222227</v>
      </c>
      <c r="H121" s="3">
        <f t="shared" si="7"/>
        <v>6.3194444444444456E-2</v>
      </c>
      <c r="I121" s="1">
        <f t="shared" si="5"/>
        <v>31</v>
      </c>
      <c r="J121" t="s">
        <v>429</v>
      </c>
      <c r="K121" t="s">
        <v>397</v>
      </c>
      <c r="L121" t="s">
        <v>320</v>
      </c>
      <c r="M121" t="s">
        <v>398</v>
      </c>
      <c r="N121" t="s">
        <v>405</v>
      </c>
    </row>
    <row r="122" spans="3:14" hidden="1" x14ac:dyDescent="0.25">
      <c r="C122" t="s">
        <v>393</v>
      </c>
      <c r="D122" s="3" t="s">
        <v>419</v>
      </c>
      <c r="E122" s="3" t="s">
        <v>418</v>
      </c>
      <c r="F122">
        <v>10</v>
      </c>
      <c r="G122" s="3">
        <f t="shared" si="6"/>
        <v>0.27430555555555558</v>
      </c>
      <c r="H122" s="3">
        <f t="shared" si="7"/>
        <v>2.7430555555555559E-2</v>
      </c>
      <c r="I122" s="1">
        <f t="shared" si="5"/>
        <v>39</v>
      </c>
      <c r="J122" t="s">
        <v>455</v>
      </c>
      <c r="K122" t="s">
        <v>397</v>
      </c>
      <c r="L122" t="s">
        <v>86</v>
      </c>
      <c r="M122" t="s">
        <v>398</v>
      </c>
      <c r="N122" t="s">
        <v>405</v>
      </c>
    </row>
    <row r="123" spans="3:14" hidden="1" x14ac:dyDescent="0.25">
      <c r="C123" t="s">
        <v>401</v>
      </c>
      <c r="D123" s="3" t="s">
        <v>453</v>
      </c>
      <c r="E123" s="3" t="s">
        <v>428</v>
      </c>
      <c r="F123">
        <v>10</v>
      </c>
      <c r="G123" s="3">
        <f t="shared" si="6"/>
        <v>0.14930555555555547</v>
      </c>
      <c r="H123" s="3">
        <f t="shared" si="7"/>
        <v>1.4930555555555548E-2</v>
      </c>
      <c r="I123" s="1">
        <f t="shared" si="5"/>
        <v>21</v>
      </c>
      <c r="J123" t="s">
        <v>425</v>
      </c>
      <c r="K123" t="s">
        <v>417</v>
      </c>
      <c r="L123" t="s">
        <v>135</v>
      </c>
      <c r="M123" t="s">
        <v>398</v>
      </c>
      <c r="N123" t="s">
        <v>405</v>
      </c>
    </row>
    <row r="124" spans="3:14" hidden="1" x14ac:dyDescent="0.25">
      <c r="C124" t="s">
        <v>401</v>
      </c>
      <c r="D124" s="3" t="s">
        <v>453</v>
      </c>
      <c r="E124" s="3" t="s">
        <v>428</v>
      </c>
      <c r="F124">
        <v>10</v>
      </c>
      <c r="G124" s="3">
        <f t="shared" si="6"/>
        <v>0.14930555555555547</v>
      </c>
      <c r="H124" s="3">
        <f t="shared" si="7"/>
        <v>1.4930555555555548E-2</v>
      </c>
      <c r="I124" s="1">
        <f t="shared" si="5"/>
        <v>21</v>
      </c>
      <c r="J124" t="s">
        <v>420</v>
      </c>
      <c r="K124" t="s">
        <v>417</v>
      </c>
      <c r="L124" t="s">
        <v>140</v>
      </c>
      <c r="M124" t="s">
        <v>398</v>
      </c>
      <c r="N124" t="s">
        <v>405</v>
      </c>
    </row>
    <row r="125" spans="3:14" hidden="1" x14ac:dyDescent="0.25">
      <c r="C125" t="s">
        <v>400</v>
      </c>
      <c r="D125" s="3" t="s">
        <v>403</v>
      </c>
      <c r="E125" s="3" t="s">
        <v>402</v>
      </c>
      <c r="F125">
        <v>10</v>
      </c>
      <c r="G125" s="3">
        <f t="shared" si="6"/>
        <v>0.14930555555555558</v>
      </c>
      <c r="H125" s="3">
        <f t="shared" si="7"/>
        <v>1.4930555555555558E-2</v>
      </c>
      <c r="I125" s="1">
        <f t="shared" si="5"/>
        <v>21</v>
      </c>
      <c r="J125" t="s">
        <v>495</v>
      </c>
      <c r="K125" t="s">
        <v>397</v>
      </c>
      <c r="L125" t="s">
        <v>140</v>
      </c>
      <c r="M125" t="s">
        <v>398</v>
      </c>
      <c r="N125" t="s">
        <v>405</v>
      </c>
    </row>
    <row r="126" spans="3:14" hidden="1" x14ac:dyDescent="0.25">
      <c r="C126" t="s">
        <v>407</v>
      </c>
      <c r="D126" s="3" t="s">
        <v>496</v>
      </c>
      <c r="E126" s="3" t="s">
        <v>428</v>
      </c>
      <c r="F126">
        <v>5</v>
      </c>
      <c r="G126" s="3">
        <f t="shared" si="6"/>
        <v>0.13888888888888884</v>
      </c>
      <c r="H126" s="3">
        <f t="shared" si="7"/>
        <v>2.7777777777777769E-2</v>
      </c>
      <c r="I126" s="1">
        <f t="shared" si="5"/>
        <v>40</v>
      </c>
      <c r="J126" t="s">
        <v>497</v>
      </c>
      <c r="K126" t="s">
        <v>417</v>
      </c>
      <c r="L126" t="s">
        <v>114</v>
      </c>
      <c r="M126" t="s">
        <v>398</v>
      </c>
      <c r="N126" t="s">
        <v>405</v>
      </c>
    </row>
    <row r="127" spans="3:14" hidden="1" x14ac:dyDescent="0.25">
      <c r="C127" t="s">
        <v>393</v>
      </c>
      <c r="D127" s="3" t="s">
        <v>496</v>
      </c>
      <c r="E127" s="3" t="s">
        <v>428</v>
      </c>
      <c r="F127">
        <v>5</v>
      </c>
      <c r="G127" s="3">
        <f t="shared" si="6"/>
        <v>0.13888888888888884</v>
      </c>
      <c r="H127" s="3">
        <f t="shared" si="7"/>
        <v>2.7777777777777769E-2</v>
      </c>
      <c r="I127" s="1">
        <f t="shared" si="5"/>
        <v>40</v>
      </c>
      <c r="J127" t="s">
        <v>497</v>
      </c>
      <c r="K127" t="s">
        <v>417</v>
      </c>
      <c r="L127" t="s">
        <v>114</v>
      </c>
      <c r="M127" t="s">
        <v>398</v>
      </c>
      <c r="N127" t="s">
        <v>405</v>
      </c>
    </row>
    <row r="128" spans="3:14" hidden="1" x14ac:dyDescent="0.25">
      <c r="C128" t="s">
        <v>422</v>
      </c>
      <c r="D128" s="3" t="s">
        <v>395</v>
      </c>
      <c r="E128" s="3" t="s">
        <v>402</v>
      </c>
      <c r="F128">
        <v>5</v>
      </c>
      <c r="G128" s="3">
        <f t="shared" si="6"/>
        <v>0.1701388888888889</v>
      </c>
      <c r="H128" s="3">
        <f t="shared" si="7"/>
        <v>3.4027777777777782E-2</v>
      </c>
      <c r="I128" s="1">
        <f t="shared" si="5"/>
        <v>49</v>
      </c>
      <c r="J128" t="s">
        <v>497</v>
      </c>
      <c r="K128" t="s">
        <v>397</v>
      </c>
      <c r="L128" t="s">
        <v>114</v>
      </c>
      <c r="M128" t="s">
        <v>398</v>
      </c>
      <c r="N128" t="s">
        <v>405</v>
      </c>
    </row>
    <row r="129" spans="3:14" hidden="1" x14ac:dyDescent="0.25">
      <c r="C129" t="s">
        <v>401</v>
      </c>
      <c r="D129" s="3" t="s">
        <v>403</v>
      </c>
      <c r="E129" s="3" t="s">
        <v>431</v>
      </c>
      <c r="F129">
        <v>10</v>
      </c>
      <c r="G129" s="3">
        <f t="shared" si="6"/>
        <v>0.3576388888888889</v>
      </c>
      <c r="H129" s="3">
        <f t="shared" si="7"/>
        <v>3.5763888888888887E-2</v>
      </c>
      <c r="I129" s="1">
        <f t="shared" si="5"/>
        <v>51</v>
      </c>
      <c r="J129" t="s">
        <v>497</v>
      </c>
      <c r="K129" t="s">
        <v>397</v>
      </c>
      <c r="L129" t="s">
        <v>342</v>
      </c>
      <c r="M129" t="s">
        <v>398</v>
      </c>
      <c r="N129" t="s">
        <v>405</v>
      </c>
    </row>
    <row r="130" spans="3:14" hidden="1" x14ac:dyDescent="0.25">
      <c r="C130" t="s">
        <v>407</v>
      </c>
      <c r="D130" s="3" t="s">
        <v>403</v>
      </c>
      <c r="E130" s="3" t="s">
        <v>410</v>
      </c>
      <c r="F130">
        <v>20</v>
      </c>
      <c r="G130" s="3">
        <f t="shared" si="6"/>
        <v>0.10763888888888895</v>
      </c>
      <c r="H130" s="3">
        <f t="shared" si="7"/>
        <v>5.3819444444444479E-3</v>
      </c>
      <c r="I130" s="1">
        <f t="shared" si="5"/>
        <v>7</v>
      </c>
      <c r="J130" t="s">
        <v>497</v>
      </c>
      <c r="K130" t="s">
        <v>397</v>
      </c>
      <c r="L130" t="s">
        <v>120</v>
      </c>
      <c r="M130" t="s">
        <v>398</v>
      </c>
      <c r="N130" t="s">
        <v>405</v>
      </c>
    </row>
    <row r="131" spans="3:14" hidden="1" x14ac:dyDescent="0.25">
      <c r="C131" t="s">
        <v>406</v>
      </c>
      <c r="D131" s="3" t="s">
        <v>403</v>
      </c>
      <c r="E131" s="3" t="s">
        <v>410</v>
      </c>
      <c r="F131">
        <v>20</v>
      </c>
      <c r="G131" s="3">
        <f t="shared" si="6"/>
        <v>0.10763888888888895</v>
      </c>
      <c r="H131" s="3">
        <f t="shared" si="7"/>
        <v>5.3819444444444479E-3</v>
      </c>
      <c r="I131" s="1">
        <f t="shared" ref="I131:I194" si="8">MINUTE(H131)</f>
        <v>7</v>
      </c>
      <c r="J131" t="s">
        <v>497</v>
      </c>
      <c r="K131" t="s">
        <v>397</v>
      </c>
      <c r="L131" t="s">
        <v>120</v>
      </c>
      <c r="M131" t="s">
        <v>398</v>
      </c>
      <c r="N131" t="s">
        <v>405</v>
      </c>
    </row>
    <row r="132" spans="3:14" hidden="1" x14ac:dyDescent="0.25">
      <c r="C132" t="s">
        <v>393</v>
      </c>
      <c r="D132" s="3" t="s">
        <v>403</v>
      </c>
      <c r="E132" s="3" t="s">
        <v>418</v>
      </c>
      <c r="F132">
        <v>10</v>
      </c>
      <c r="G132" s="3">
        <f t="shared" ref="G132:G195" si="9">(E132-D132)</f>
        <v>0.31597222222222227</v>
      </c>
      <c r="H132" s="3">
        <f t="shared" ref="H132:H195" si="10">G132/F132</f>
        <v>3.1597222222222228E-2</v>
      </c>
      <c r="I132" s="1">
        <f t="shared" si="8"/>
        <v>45</v>
      </c>
      <c r="J132" t="s">
        <v>425</v>
      </c>
      <c r="K132" t="s">
        <v>397</v>
      </c>
      <c r="L132" t="s">
        <v>131</v>
      </c>
      <c r="M132" t="s">
        <v>398</v>
      </c>
      <c r="N132" t="s">
        <v>405</v>
      </c>
    </row>
    <row r="133" spans="3:14" hidden="1" x14ac:dyDescent="0.25">
      <c r="C133" t="s">
        <v>406</v>
      </c>
      <c r="D133" s="3" t="s">
        <v>403</v>
      </c>
      <c r="E133" s="3" t="s">
        <v>431</v>
      </c>
      <c r="F133">
        <v>10</v>
      </c>
      <c r="G133" s="3">
        <f t="shared" si="9"/>
        <v>0.3576388888888889</v>
      </c>
      <c r="H133" s="3">
        <f t="shared" si="10"/>
        <v>3.5763888888888887E-2</v>
      </c>
      <c r="I133" s="1">
        <f t="shared" si="8"/>
        <v>51</v>
      </c>
      <c r="J133" t="s">
        <v>425</v>
      </c>
      <c r="K133" t="s">
        <v>397</v>
      </c>
      <c r="L133" t="s">
        <v>101</v>
      </c>
      <c r="M133" t="s">
        <v>398</v>
      </c>
      <c r="N133" t="s">
        <v>405</v>
      </c>
    </row>
    <row r="134" spans="3:14" hidden="1" x14ac:dyDescent="0.25">
      <c r="C134" t="s">
        <v>400</v>
      </c>
      <c r="D134" s="3" t="s">
        <v>403</v>
      </c>
      <c r="E134" s="3" t="s">
        <v>498</v>
      </c>
      <c r="F134">
        <v>10</v>
      </c>
      <c r="G134" s="3">
        <f t="shared" si="9"/>
        <v>0.35416666666666669</v>
      </c>
      <c r="H134" s="3">
        <f t="shared" si="10"/>
        <v>3.5416666666666666E-2</v>
      </c>
      <c r="I134" s="1">
        <f t="shared" si="8"/>
        <v>51</v>
      </c>
      <c r="J134" t="s">
        <v>497</v>
      </c>
      <c r="K134" t="s">
        <v>397</v>
      </c>
      <c r="L134" t="s">
        <v>101</v>
      </c>
      <c r="M134" t="s">
        <v>398</v>
      </c>
      <c r="N134" t="s">
        <v>405</v>
      </c>
    </row>
    <row r="135" spans="3:14" hidden="1" x14ac:dyDescent="0.25">
      <c r="C135" t="s">
        <v>406</v>
      </c>
      <c r="D135" s="3" t="s">
        <v>411</v>
      </c>
      <c r="E135" s="3" t="s">
        <v>412</v>
      </c>
      <c r="F135">
        <v>10</v>
      </c>
      <c r="G135" s="3">
        <f t="shared" si="9"/>
        <v>0.19444444444444442</v>
      </c>
      <c r="H135" s="3">
        <f t="shared" si="10"/>
        <v>1.9444444444444441E-2</v>
      </c>
      <c r="I135" s="1">
        <f t="shared" si="8"/>
        <v>28</v>
      </c>
      <c r="J135" t="s">
        <v>495</v>
      </c>
      <c r="K135" t="s">
        <v>397</v>
      </c>
      <c r="L135" t="s">
        <v>107</v>
      </c>
      <c r="M135" t="s">
        <v>398</v>
      </c>
      <c r="N135" t="s">
        <v>405</v>
      </c>
    </row>
    <row r="136" spans="3:14" hidden="1" x14ac:dyDescent="0.25">
      <c r="C136" t="s">
        <v>401</v>
      </c>
      <c r="D136" s="3" t="s">
        <v>403</v>
      </c>
      <c r="E136" s="3" t="s">
        <v>431</v>
      </c>
      <c r="F136">
        <v>15</v>
      </c>
      <c r="G136" s="3">
        <f t="shared" si="9"/>
        <v>0.3576388888888889</v>
      </c>
      <c r="H136" s="3">
        <f t="shared" si="10"/>
        <v>2.3842592592592592E-2</v>
      </c>
      <c r="I136" s="1">
        <f t="shared" si="8"/>
        <v>34</v>
      </c>
      <c r="J136" t="s">
        <v>499</v>
      </c>
      <c r="K136" t="s">
        <v>397</v>
      </c>
      <c r="L136" t="s">
        <v>90</v>
      </c>
      <c r="M136" t="s">
        <v>398</v>
      </c>
      <c r="N136" t="s">
        <v>500</v>
      </c>
    </row>
    <row r="137" spans="3:14" hidden="1" x14ac:dyDescent="0.25">
      <c r="C137" t="s">
        <v>401</v>
      </c>
      <c r="D137" s="3" t="s">
        <v>403</v>
      </c>
      <c r="E137" s="3" t="s">
        <v>402</v>
      </c>
      <c r="F137">
        <v>10</v>
      </c>
      <c r="G137" s="3">
        <f t="shared" si="9"/>
        <v>0.14930555555555558</v>
      </c>
      <c r="H137" s="3">
        <f t="shared" si="10"/>
        <v>1.4930555555555558E-2</v>
      </c>
      <c r="I137" s="1">
        <f t="shared" si="8"/>
        <v>21</v>
      </c>
      <c r="J137" t="s">
        <v>427</v>
      </c>
      <c r="K137" t="s">
        <v>397</v>
      </c>
      <c r="L137" t="s">
        <v>124</v>
      </c>
      <c r="M137" t="s">
        <v>398</v>
      </c>
      <c r="N137" t="s">
        <v>500</v>
      </c>
    </row>
    <row r="138" spans="3:14" hidden="1" x14ac:dyDescent="0.25">
      <c r="C138" t="s">
        <v>401</v>
      </c>
      <c r="D138" s="3" t="s">
        <v>450</v>
      </c>
      <c r="E138" s="3" t="s">
        <v>501</v>
      </c>
      <c r="F138">
        <v>10</v>
      </c>
      <c r="G138" s="3">
        <f t="shared" si="9"/>
        <v>0.1597222222222221</v>
      </c>
      <c r="H138" s="3">
        <f t="shared" si="10"/>
        <v>1.5972222222222211E-2</v>
      </c>
      <c r="I138" s="1">
        <f t="shared" si="8"/>
        <v>23</v>
      </c>
      <c r="J138" t="s">
        <v>429</v>
      </c>
      <c r="K138" t="s">
        <v>417</v>
      </c>
      <c r="L138" t="s">
        <v>125</v>
      </c>
      <c r="M138" t="s">
        <v>398</v>
      </c>
      <c r="N138" t="s">
        <v>500</v>
      </c>
    </row>
    <row r="139" spans="3:14" hidden="1" x14ac:dyDescent="0.25">
      <c r="C139" t="s">
        <v>401</v>
      </c>
      <c r="D139" s="3" t="s">
        <v>403</v>
      </c>
      <c r="E139" s="3" t="s">
        <v>431</v>
      </c>
      <c r="F139">
        <v>10</v>
      </c>
      <c r="G139" s="3">
        <f t="shared" si="9"/>
        <v>0.3576388888888889</v>
      </c>
      <c r="H139" s="3">
        <f t="shared" si="10"/>
        <v>3.5763888888888887E-2</v>
      </c>
      <c r="I139" s="1">
        <f t="shared" si="8"/>
        <v>51</v>
      </c>
      <c r="J139" t="s">
        <v>455</v>
      </c>
      <c r="K139" t="s">
        <v>397</v>
      </c>
      <c r="L139" t="s">
        <v>92</v>
      </c>
      <c r="M139" t="s">
        <v>398</v>
      </c>
      <c r="N139" t="s">
        <v>500</v>
      </c>
    </row>
    <row r="140" spans="3:14" hidden="1" x14ac:dyDescent="0.25">
      <c r="C140" t="s">
        <v>393</v>
      </c>
      <c r="D140" s="3" t="s">
        <v>403</v>
      </c>
      <c r="E140" s="3" t="s">
        <v>431</v>
      </c>
      <c r="F140">
        <v>15</v>
      </c>
      <c r="G140" s="3">
        <f t="shared" si="9"/>
        <v>0.3576388888888889</v>
      </c>
      <c r="H140" s="3">
        <f t="shared" si="10"/>
        <v>2.3842592592592592E-2</v>
      </c>
      <c r="I140" s="1">
        <f t="shared" si="8"/>
        <v>34</v>
      </c>
      <c r="J140" t="s">
        <v>404</v>
      </c>
      <c r="K140" t="s">
        <v>397</v>
      </c>
      <c r="L140" t="s">
        <v>115</v>
      </c>
      <c r="M140" t="s">
        <v>398</v>
      </c>
      <c r="N140" t="s">
        <v>500</v>
      </c>
    </row>
    <row r="141" spans="3:14" hidden="1" x14ac:dyDescent="0.25">
      <c r="C141" t="s">
        <v>393</v>
      </c>
      <c r="D141" s="3" t="s">
        <v>416</v>
      </c>
      <c r="E141" s="3" t="s">
        <v>428</v>
      </c>
      <c r="F141">
        <v>15</v>
      </c>
      <c r="G141" s="3">
        <f t="shared" si="9"/>
        <v>0.19097222222222221</v>
      </c>
      <c r="H141" s="3">
        <f t="shared" si="10"/>
        <v>1.2731481481481481E-2</v>
      </c>
      <c r="I141" s="1">
        <f t="shared" si="8"/>
        <v>18</v>
      </c>
      <c r="J141" t="s">
        <v>455</v>
      </c>
      <c r="K141" t="s">
        <v>417</v>
      </c>
      <c r="L141" t="s">
        <v>313</v>
      </c>
      <c r="M141" t="s">
        <v>398</v>
      </c>
      <c r="N141" t="s">
        <v>500</v>
      </c>
    </row>
    <row r="142" spans="3:14" hidden="1" x14ac:dyDescent="0.25">
      <c r="C142" t="s">
        <v>406</v>
      </c>
      <c r="D142" s="3" t="s">
        <v>419</v>
      </c>
      <c r="E142" s="3" t="s">
        <v>431</v>
      </c>
      <c r="F142">
        <v>20</v>
      </c>
      <c r="G142" s="3">
        <f t="shared" si="9"/>
        <v>0.31597222222222221</v>
      </c>
      <c r="H142" s="3">
        <f t="shared" si="10"/>
        <v>1.579861111111111E-2</v>
      </c>
      <c r="I142" s="1">
        <f t="shared" si="8"/>
        <v>22</v>
      </c>
      <c r="J142" t="s">
        <v>499</v>
      </c>
      <c r="K142" t="s">
        <v>397</v>
      </c>
      <c r="L142" t="s">
        <v>116</v>
      </c>
      <c r="M142" t="s">
        <v>398</v>
      </c>
      <c r="N142" t="s">
        <v>500</v>
      </c>
    </row>
    <row r="143" spans="3:14" hidden="1" x14ac:dyDescent="0.25">
      <c r="C143" t="s">
        <v>406</v>
      </c>
      <c r="D143" s="3" t="s">
        <v>469</v>
      </c>
      <c r="E143" s="3" t="s">
        <v>502</v>
      </c>
      <c r="F143">
        <v>15</v>
      </c>
      <c r="G143" s="3">
        <f t="shared" si="9"/>
        <v>0.14930555555555552</v>
      </c>
      <c r="H143" s="3">
        <f t="shared" si="10"/>
        <v>9.9537037037037025E-3</v>
      </c>
      <c r="I143" s="1">
        <f t="shared" si="8"/>
        <v>14</v>
      </c>
      <c r="J143" t="s">
        <v>409</v>
      </c>
      <c r="K143" t="s">
        <v>397</v>
      </c>
      <c r="L143" t="s">
        <v>100</v>
      </c>
      <c r="M143" t="s">
        <v>398</v>
      </c>
      <c r="N143" t="s">
        <v>500</v>
      </c>
    </row>
    <row r="144" spans="3:14" hidden="1" x14ac:dyDescent="0.25">
      <c r="C144" t="s">
        <v>406</v>
      </c>
      <c r="D144" s="3" t="s">
        <v>504</v>
      </c>
      <c r="E144" s="3" t="s">
        <v>503</v>
      </c>
      <c r="F144">
        <v>15</v>
      </c>
      <c r="G144" s="3">
        <f t="shared" si="9"/>
        <v>6.597222222222221E-2</v>
      </c>
      <c r="H144" s="3">
        <f t="shared" si="10"/>
        <v>4.3981481481481476E-3</v>
      </c>
      <c r="I144" s="1">
        <f t="shared" si="8"/>
        <v>6</v>
      </c>
      <c r="J144" t="s">
        <v>427</v>
      </c>
      <c r="K144" t="s">
        <v>417</v>
      </c>
      <c r="L144" t="s">
        <v>117</v>
      </c>
      <c r="M144" t="s">
        <v>398</v>
      </c>
      <c r="N144" t="s">
        <v>500</v>
      </c>
    </row>
    <row r="145" spans="2:14" hidden="1" x14ac:dyDescent="0.25">
      <c r="C145" t="s">
        <v>406</v>
      </c>
      <c r="D145" s="3" t="s">
        <v>419</v>
      </c>
      <c r="E145" s="3" t="s">
        <v>431</v>
      </c>
      <c r="F145">
        <v>30</v>
      </c>
      <c r="G145" s="3">
        <f t="shared" si="9"/>
        <v>0.31597222222222221</v>
      </c>
      <c r="H145" s="3">
        <f t="shared" si="10"/>
        <v>1.0532407407407407E-2</v>
      </c>
      <c r="I145" s="1">
        <f t="shared" si="8"/>
        <v>15</v>
      </c>
      <c r="J145" t="s">
        <v>396</v>
      </c>
      <c r="K145" t="s">
        <v>397</v>
      </c>
      <c r="L145" t="s">
        <v>310</v>
      </c>
      <c r="M145" t="s">
        <v>398</v>
      </c>
      <c r="N145" t="s">
        <v>500</v>
      </c>
    </row>
    <row r="146" spans="2:14" hidden="1" x14ac:dyDescent="0.25">
      <c r="C146" t="s">
        <v>406</v>
      </c>
      <c r="D146" s="3" t="s">
        <v>419</v>
      </c>
      <c r="E146" s="3" t="s">
        <v>431</v>
      </c>
      <c r="F146">
        <v>15</v>
      </c>
      <c r="G146" s="3">
        <f t="shared" si="9"/>
        <v>0.31597222222222221</v>
      </c>
      <c r="H146" s="3">
        <f t="shared" si="10"/>
        <v>2.1064814814814814E-2</v>
      </c>
      <c r="I146" s="1">
        <f t="shared" si="8"/>
        <v>30</v>
      </c>
      <c r="J146" t="s">
        <v>429</v>
      </c>
      <c r="K146" t="s">
        <v>397</v>
      </c>
      <c r="L146" t="s">
        <v>324</v>
      </c>
      <c r="M146" t="s">
        <v>398</v>
      </c>
      <c r="N146" t="s">
        <v>500</v>
      </c>
    </row>
    <row r="147" spans="2:14" hidden="1" x14ac:dyDescent="0.25">
      <c r="C147" t="s">
        <v>406</v>
      </c>
      <c r="D147" s="3" t="s">
        <v>403</v>
      </c>
      <c r="E147" s="3" t="s">
        <v>410</v>
      </c>
      <c r="F147">
        <v>10</v>
      </c>
      <c r="G147" s="3">
        <f t="shared" si="9"/>
        <v>0.10763888888888895</v>
      </c>
      <c r="H147" s="3">
        <f t="shared" si="10"/>
        <v>1.0763888888888896E-2</v>
      </c>
      <c r="I147" s="1">
        <f t="shared" si="8"/>
        <v>15</v>
      </c>
      <c r="J147" t="s">
        <v>455</v>
      </c>
      <c r="K147" t="s">
        <v>397</v>
      </c>
      <c r="L147" t="s">
        <v>92</v>
      </c>
      <c r="M147" t="s">
        <v>398</v>
      </c>
      <c r="N147" t="s">
        <v>500</v>
      </c>
    </row>
    <row r="148" spans="2:14" hidden="1" x14ac:dyDescent="0.25">
      <c r="C148" t="s">
        <v>400</v>
      </c>
      <c r="D148" s="3" t="s">
        <v>403</v>
      </c>
      <c r="E148" s="3" t="s">
        <v>402</v>
      </c>
      <c r="F148">
        <v>15</v>
      </c>
      <c r="G148" s="3">
        <f t="shared" si="9"/>
        <v>0.14930555555555558</v>
      </c>
      <c r="H148" s="3">
        <f t="shared" si="10"/>
        <v>9.9537037037037059E-3</v>
      </c>
      <c r="I148" s="1">
        <f t="shared" si="8"/>
        <v>14</v>
      </c>
      <c r="J148" t="s">
        <v>427</v>
      </c>
      <c r="K148" t="s">
        <v>397</v>
      </c>
      <c r="L148" t="s">
        <v>130</v>
      </c>
      <c r="M148" t="s">
        <v>398</v>
      </c>
      <c r="N148" t="s">
        <v>500</v>
      </c>
    </row>
    <row r="149" spans="2:14" hidden="1" x14ac:dyDescent="0.25">
      <c r="C149" t="s">
        <v>400</v>
      </c>
      <c r="D149" s="3" t="s">
        <v>505</v>
      </c>
      <c r="E149" s="3" t="s">
        <v>428</v>
      </c>
      <c r="F149">
        <v>15</v>
      </c>
      <c r="G149" s="3">
        <f t="shared" si="9"/>
        <v>0.10763888888888884</v>
      </c>
      <c r="H149" s="3">
        <f t="shared" si="10"/>
        <v>7.1759259259259224E-3</v>
      </c>
      <c r="I149" s="1">
        <f t="shared" si="8"/>
        <v>10</v>
      </c>
      <c r="J149" t="s">
        <v>429</v>
      </c>
      <c r="K149" t="s">
        <v>417</v>
      </c>
      <c r="L149" t="s">
        <v>96</v>
      </c>
      <c r="M149" t="s">
        <v>398</v>
      </c>
      <c r="N149" t="s">
        <v>500</v>
      </c>
    </row>
    <row r="150" spans="2:14" hidden="1" x14ac:dyDescent="0.25">
      <c r="C150" t="s">
        <v>400</v>
      </c>
      <c r="D150" s="3" t="s">
        <v>403</v>
      </c>
      <c r="E150" s="3" t="s">
        <v>451</v>
      </c>
      <c r="F150">
        <v>15</v>
      </c>
      <c r="G150" s="3">
        <f t="shared" si="9"/>
        <v>0.2326388888888889</v>
      </c>
      <c r="H150" s="3">
        <f t="shared" si="10"/>
        <v>1.5509259259259259E-2</v>
      </c>
      <c r="I150" s="1">
        <f t="shared" si="8"/>
        <v>22</v>
      </c>
      <c r="J150" t="s">
        <v>429</v>
      </c>
      <c r="K150" t="s">
        <v>397</v>
      </c>
      <c r="L150" t="s">
        <v>112</v>
      </c>
      <c r="M150" t="s">
        <v>398</v>
      </c>
      <c r="N150" t="s">
        <v>500</v>
      </c>
    </row>
    <row r="151" spans="2:14" hidden="1" x14ac:dyDescent="0.25">
      <c r="C151" t="s">
        <v>400</v>
      </c>
      <c r="D151" s="3" t="s">
        <v>416</v>
      </c>
      <c r="E151" s="3" t="s">
        <v>498</v>
      </c>
      <c r="F151">
        <v>15</v>
      </c>
      <c r="G151" s="3">
        <f t="shared" si="9"/>
        <v>0.14583333333333337</v>
      </c>
      <c r="H151" s="3">
        <f t="shared" si="10"/>
        <v>9.7222222222222241E-3</v>
      </c>
      <c r="I151" s="1">
        <f t="shared" si="8"/>
        <v>14</v>
      </c>
      <c r="J151" t="s">
        <v>396</v>
      </c>
      <c r="K151" t="s">
        <v>417</v>
      </c>
      <c r="L151" t="s">
        <v>93</v>
      </c>
      <c r="M151" t="s">
        <v>398</v>
      </c>
      <c r="N151" t="s">
        <v>500</v>
      </c>
    </row>
    <row r="152" spans="2:14" hidden="1" x14ac:dyDescent="0.25">
      <c r="C152" t="s">
        <v>400</v>
      </c>
      <c r="D152" s="3" t="s">
        <v>403</v>
      </c>
      <c r="E152" s="3" t="s">
        <v>410</v>
      </c>
      <c r="F152">
        <v>10</v>
      </c>
      <c r="G152" s="3">
        <f t="shared" si="9"/>
        <v>0.10763888888888895</v>
      </c>
      <c r="H152" s="3">
        <f t="shared" si="10"/>
        <v>1.0763888888888896E-2</v>
      </c>
      <c r="I152" s="1">
        <f t="shared" si="8"/>
        <v>15</v>
      </c>
      <c r="J152" t="s">
        <v>455</v>
      </c>
      <c r="K152" t="s">
        <v>397</v>
      </c>
      <c r="L152" t="s">
        <v>92</v>
      </c>
      <c r="M152" t="s">
        <v>398</v>
      </c>
      <c r="N152" t="s">
        <v>500</v>
      </c>
    </row>
    <row r="153" spans="2:14" hidden="1" x14ac:dyDescent="0.25">
      <c r="C153" t="s">
        <v>400</v>
      </c>
      <c r="D153" s="3" t="s">
        <v>505</v>
      </c>
      <c r="E153" s="3" t="s">
        <v>428</v>
      </c>
      <c r="F153">
        <v>15</v>
      </c>
      <c r="G153" s="3">
        <f t="shared" si="9"/>
        <v>0.10763888888888884</v>
      </c>
      <c r="H153" s="3">
        <f t="shared" si="10"/>
        <v>7.1759259259259224E-3</v>
      </c>
      <c r="I153" s="1">
        <f t="shared" si="8"/>
        <v>10</v>
      </c>
      <c r="J153" t="s">
        <v>455</v>
      </c>
      <c r="K153" t="s">
        <v>417</v>
      </c>
      <c r="L153" t="s">
        <v>332</v>
      </c>
      <c r="M153" t="s">
        <v>398</v>
      </c>
      <c r="N153" t="s">
        <v>500</v>
      </c>
    </row>
    <row r="154" spans="2:14" hidden="1" x14ac:dyDescent="0.25">
      <c r="B154" t="s">
        <v>506</v>
      </c>
      <c r="C154" t="s">
        <v>422</v>
      </c>
      <c r="D154" s="3" t="s">
        <v>403</v>
      </c>
      <c r="E154" s="3" t="s">
        <v>402</v>
      </c>
      <c r="F154">
        <v>15</v>
      </c>
      <c r="G154" s="3">
        <f t="shared" si="9"/>
        <v>0.14930555555555558</v>
      </c>
      <c r="H154" s="3">
        <f t="shared" si="10"/>
        <v>9.9537037037037059E-3</v>
      </c>
      <c r="I154" s="1">
        <f t="shared" si="8"/>
        <v>14</v>
      </c>
      <c r="J154" t="s">
        <v>404</v>
      </c>
      <c r="K154" t="s">
        <v>397</v>
      </c>
      <c r="L154" t="s">
        <v>115</v>
      </c>
      <c r="M154" t="s">
        <v>398</v>
      </c>
      <c r="N154" t="s">
        <v>500</v>
      </c>
    </row>
    <row r="155" spans="2:14" hidden="1" x14ac:dyDescent="0.25">
      <c r="B155" t="s">
        <v>507</v>
      </c>
      <c r="C155" t="s">
        <v>422</v>
      </c>
      <c r="D155" s="3" t="s">
        <v>403</v>
      </c>
      <c r="E155" s="3" t="s">
        <v>402</v>
      </c>
      <c r="F155">
        <v>15</v>
      </c>
      <c r="G155" s="3">
        <f t="shared" si="9"/>
        <v>0.14930555555555558</v>
      </c>
      <c r="H155" s="3">
        <f t="shared" si="10"/>
        <v>9.9537037037037059E-3</v>
      </c>
      <c r="I155" s="1">
        <f t="shared" si="8"/>
        <v>14</v>
      </c>
      <c r="J155" t="s">
        <v>427</v>
      </c>
      <c r="K155" t="s">
        <v>397</v>
      </c>
      <c r="L155" t="s">
        <v>124</v>
      </c>
      <c r="M155" t="s">
        <v>398</v>
      </c>
      <c r="N155" t="s">
        <v>500</v>
      </c>
    </row>
    <row r="156" spans="2:14" hidden="1" x14ac:dyDescent="0.25">
      <c r="C156" t="s">
        <v>407</v>
      </c>
      <c r="D156" s="3" t="s">
        <v>411</v>
      </c>
      <c r="E156" s="3" t="s">
        <v>464</v>
      </c>
      <c r="F156">
        <v>30</v>
      </c>
      <c r="G156" s="3">
        <f t="shared" si="9"/>
        <v>0.45833333333333331</v>
      </c>
      <c r="H156" s="3">
        <f t="shared" si="10"/>
        <v>1.5277777777777777E-2</v>
      </c>
      <c r="I156" s="1">
        <f t="shared" si="8"/>
        <v>22</v>
      </c>
      <c r="J156" t="s">
        <v>508</v>
      </c>
      <c r="K156" t="s">
        <v>397</v>
      </c>
      <c r="L156" t="s">
        <v>509</v>
      </c>
      <c r="M156" t="s">
        <v>398</v>
      </c>
      <c r="N156" t="s">
        <v>465</v>
      </c>
    </row>
    <row r="157" spans="2:14" hidden="1" x14ac:dyDescent="0.25">
      <c r="C157" t="s">
        <v>407</v>
      </c>
      <c r="D157" s="3" t="s">
        <v>411</v>
      </c>
      <c r="E157" s="3" t="s">
        <v>464</v>
      </c>
      <c r="F157">
        <v>30</v>
      </c>
      <c r="G157" s="3">
        <f t="shared" si="9"/>
        <v>0.45833333333333331</v>
      </c>
      <c r="H157" s="3">
        <f t="shared" si="10"/>
        <v>1.5277777777777777E-2</v>
      </c>
      <c r="I157" s="1">
        <f t="shared" si="8"/>
        <v>22</v>
      </c>
      <c r="J157" t="s">
        <v>508</v>
      </c>
      <c r="K157" t="s">
        <v>397</v>
      </c>
      <c r="L157" t="s">
        <v>510</v>
      </c>
      <c r="M157" t="s">
        <v>398</v>
      </c>
      <c r="N157" t="s">
        <v>465</v>
      </c>
    </row>
    <row r="158" spans="2:14" hidden="1" x14ac:dyDescent="0.25">
      <c r="C158" t="s">
        <v>393</v>
      </c>
      <c r="D158" s="3" t="s">
        <v>403</v>
      </c>
      <c r="E158" s="3" t="s">
        <v>431</v>
      </c>
      <c r="F158">
        <v>30</v>
      </c>
      <c r="G158" s="3">
        <f t="shared" si="9"/>
        <v>0.3576388888888889</v>
      </c>
      <c r="H158" s="3">
        <f t="shared" si="10"/>
        <v>1.1921296296296296E-2</v>
      </c>
      <c r="I158" s="1">
        <f t="shared" si="8"/>
        <v>17</v>
      </c>
      <c r="J158" t="s">
        <v>435</v>
      </c>
      <c r="K158" t="s">
        <v>397</v>
      </c>
      <c r="L158" t="s">
        <v>314</v>
      </c>
      <c r="M158" t="s">
        <v>398</v>
      </c>
      <c r="N158" t="s">
        <v>405</v>
      </c>
    </row>
    <row r="159" spans="2:14" hidden="1" x14ac:dyDescent="0.25">
      <c r="C159" t="s">
        <v>401</v>
      </c>
      <c r="D159" s="3" t="s">
        <v>445</v>
      </c>
      <c r="E159" s="3" t="s">
        <v>428</v>
      </c>
      <c r="F159">
        <v>15</v>
      </c>
      <c r="G159" s="3">
        <f t="shared" si="9"/>
        <v>0.23263888888888884</v>
      </c>
      <c r="H159" s="3">
        <f t="shared" si="10"/>
        <v>1.5509259259259256E-2</v>
      </c>
      <c r="I159" s="1">
        <f t="shared" si="8"/>
        <v>22</v>
      </c>
      <c r="J159" t="s">
        <v>404</v>
      </c>
      <c r="K159" t="s">
        <v>417</v>
      </c>
      <c r="L159" t="s">
        <v>354</v>
      </c>
      <c r="M159" t="s">
        <v>398</v>
      </c>
      <c r="N159" t="s">
        <v>399</v>
      </c>
    </row>
    <row r="160" spans="2:14" hidden="1" x14ac:dyDescent="0.25">
      <c r="C160" t="s">
        <v>401</v>
      </c>
      <c r="D160" s="3" t="s">
        <v>486</v>
      </c>
      <c r="E160" s="3" t="s">
        <v>511</v>
      </c>
      <c r="F160">
        <v>20</v>
      </c>
      <c r="G160" s="3">
        <f t="shared" si="9"/>
        <v>0.1111111111111111</v>
      </c>
      <c r="H160" s="3">
        <f t="shared" si="10"/>
        <v>5.5555555555555549E-3</v>
      </c>
      <c r="I160" s="1">
        <f t="shared" si="8"/>
        <v>8</v>
      </c>
      <c r="J160" t="s">
        <v>414</v>
      </c>
      <c r="K160" t="s">
        <v>397</v>
      </c>
      <c r="L160" t="s">
        <v>87</v>
      </c>
      <c r="M160" t="s">
        <v>398</v>
      </c>
      <c r="N160" t="s">
        <v>405</v>
      </c>
    </row>
    <row r="161" spans="2:14" hidden="1" x14ac:dyDescent="0.25">
      <c r="C161" t="s">
        <v>400</v>
      </c>
      <c r="D161" s="3" t="s">
        <v>419</v>
      </c>
      <c r="E161" s="3" t="s">
        <v>512</v>
      </c>
      <c r="F161">
        <v>10</v>
      </c>
      <c r="G161" s="3">
        <f t="shared" si="9"/>
        <v>0.13194444444444442</v>
      </c>
      <c r="H161" s="3">
        <f t="shared" si="10"/>
        <v>1.3194444444444443E-2</v>
      </c>
      <c r="I161" s="1">
        <f t="shared" si="8"/>
        <v>19</v>
      </c>
      <c r="J161" t="s">
        <v>458</v>
      </c>
      <c r="K161" t="s">
        <v>397</v>
      </c>
      <c r="L161" t="s">
        <v>343</v>
      </c>
      <c r="M161" t="s">
        <v>398</v>
      </c>
      <c r="N161" t="s">
        <v>399</v>
      </c>
    </row>
    <row r="162" spans="2:14" hidden="1" x14ac:dyDescent="0.25">
      <c r="B162" t="s">
        <v>513</v>
      </c>
      <c r="C162" t="s">
        <v>406</v>
      </c>
      <c r="D162" s="3" t="s">
        <v>403</v>
      </c>
      <c r="E162" s="3" t="s">
        <v>402</v>
      </c>
      <c r="F162">
        <v>15</v>
      </c>
      <c r="G162" s="3">
        <f t="shared" si="9"/>
        <v>0.14930555555555558</v>
      </c>
      <c r="H162" s="3">
        <f t="shared" si="10"/>
        <v>9.9537037037037059E-3</v>
      </c>
      <c r="I162" s="1">
        <f t="shared" si="8"/>
        <v>14</v>
      </c>
      <c r="J162" t="s">
        <v>427</v>
      </c>
      <c r="K162" t="s">
        <v>397</v>
      </c>
      <c r="L162" t="s">
        <v>332</v>
      </c>
      <c r="M162" t="s">
        <v>398</v>
      </c>
      <c r="N162" t="s">
        <v>433</v>
      </c>
    </row>
    <row r="163" spans="2:14" hidden="1" x14ac:dyDescent="0.25">
      <c r="C163" t="s">
        <v>407</v>
      </c>
      <c r="D163" s="3" t="s">
        <v>411</v>
      </c>
      <c r="E163" s="3" t="s">
        <v>418</v>
      </c>
      <c r="F163">
        <v>15</v>
      </c>
      <c r="G163" s="3">
        <f t="shared" si="9"/>
        <v>0.3576388888888889</v>
      </c>
      <c r="H163" s="3">
        <f t="shared" si="10"/>
        <v>2.3842592592592592E-2</v>
      </c>
      <c r="I163" s="1">
        <f t="shared" si="8"/>
        <v>34</v>
      </c>
      <c r="J163" t="s">
        <v>435</v>
      </c>
      <c r="K163" t="s">
        <v>397</v>
      </c>
      <c r="L163" t="s">
        <v>377</v>
      </c>
      <c r="M163" t="s">
        <v>398</v>
      </c>
      <c r="N163" t="s">
        <v>399</v>
      </c>
    </row>
    <row r="164" spans="2:14" hidden="1" x14ac:dyDescent="0.25">
      <c r="C164" t="s">
        <v>393</v>
      </c>
      <c r="D164" s="3" t="s">
        <v>411</v>
      </c>
      <c r="E164" s="3" t="s">
        <v>418</v>
      </c>
      <c r="F164">
        <v>15</v>
      </c>
      <c r="G164" s="3">
        <f t="shared" si="9"/>
        <v>0.3576388888888889</v>
      </c>
      <c r="H164" s="3">
        <f t="shared" si="10"/>
        <v>2.3842592592592592E-2</v>
      </c>
      <c r="I164" s="1">
        <f t="shared" si="8"/>
        <v>34</v>
      </c>
      <c r="J164" t="s">
        <v>435</v>
      </c>
      <c r="K164" t="s">
        <v>397</v>
      </c>
      <c r="L164" t="s">
        <v>377</v>
      </c>
      <c r="M164" t="s">
        <v>398</v>
      </c>
      <c r="N164" t="s">
        <v>399</v>
      </c>
    </row>
    <row r="165" spans="2:14" hidden="1" x14ac:dyDescent="0.25">
      <c r="C165" t="s">
        <v>393</v>
      </c>
      <c r="D165" s="3" t="s">
        <v>504</v>
      </c>
      <c r="E165" s="3" t="s">
        <v>428</v>
      </c>
      <c r="F165">
        <v>10</v>
      </c>
      <c r="G165" s="3">
        <f t="shared" si="9"/>
        <v>0.17013888888888884</v>
      </c>
      <c r="H165" s="3">
        <f t="shared" si="10"/>
        <v>1.7013888888888884E-2</v>
      </c>
      <c r="I165" s="1">
        <f t="shared" si="8"/>
        <v>24</v>
      </c>
      <c r="J165" t="s">
        <v>404</v>
      </c>
      <c r="K165" t="s">
        <v>417</v>
      </c>
      <c r="L165" t="s">
        <v>341</v>
      </c>
      <c r="M165" t="s">
        <v>398</v>
      </c>
      <c r="N165" t="s">
        <v>405</v>
      </c>
    </row>
    <row r="166" spans="2:14" hidden="1" x14ac:dyDescent="0.25">
      <c r="C166" t="s">
        <v>406</v>
      </c>
      <c r="D166" s="3" t="s">
        <v>416</v>
      </c>
      <c r="E166" s="3" t="s">
        <v>431</v>
      </c>
      <c r="F166">
        <v>10</v>
      </c>
      <c r="G166" s="3">
        <f t="shared" si="9"/>
        <v>0.14930555555555558</v>
      </c>
      <c r="H166" s="3">
        <f t="shared" si="10"/>
        <v>1.4930555555555558E-2</v>
      </c>
      <c r="I166" s="1">
        <f t="shared" si="8"/>
        <v>21</v>
      </c>
      <c r="J166" t="s">
        <v>396</v>
      </c>
      <c r="K166" t="s">
        <v>417</v>
      </c>
      <c r="L166" t="s">
        <v>317</v>
      </c>
      <c r="M166" t="s">
        <v>398</v>
      </c>
      <c r="N166" t="s">
        <v>399</v>
      </c>
    </row>
    <row r="167" spans="2:14" hidden="1" x14ac:dyDescent="0.25">
      <c r="C167" t="s">
        <v>400</v>
      </c>
      <c r="D167" s="3" t="s">
        <v>515</v>
      </c>
      <c r="E167" s="3" t="s">
        <v>514</v>
      </c>
      <c r="F167">
        <v>15</v>
      </c>
      <c r="G167" s="3">
        <f t="shared" si="9"/>
        <v>0.125</v>
      </c>
      <c r="H167" s="3">
        <f t="shared" si="10"/>
        <v>8.3333333333333332E-3</v>
      </c>
      <c r="I167" s="1">
        <f t="shared" si="8"/>
        <v>12</v>
      </c>
      <c r="J167" t="s">
        <v>396</v>
      </c>
      <c r="K167" t="s">
        <v>417</v>
      </c>
      <c r="L167" t="s">
        <v>143</v>
      </c>
      <c r="M167" t="s">
        <v>398</v>
      </c>
      <c r="N167" t="s">
        <v>433</v>
      </c>
    </row>
    <row r="168" spans="2:14" hidden="1" x14ac:dyDescent="0.25">
      <c r="C168" t="s">
        <v>422</v>
      </c>
      <c r="D168" s="3" t="s">
        <v>395</v>
      </c>
      <c r="E168" s="3" t="s">
        <v>516</v>
      </c>
      <c r="F168">
        <v>10</v>
      </c>
      <c r="G168" s="3">
        <f t="shared" si="9"/>
        <v>0.18055555555555558</v>
      </c>
      <c r="H168" s="3">
        <f t="shared" si="10"/>
        <v>1.8055555555555557E-2</v>
      </c>
      <c r="I168" s="1">
        <f t="shared" si="8"/>
        <v>26</v>
      </c>
      <c r="J168" t="s">
        <v>517</v>
      </c>
      <c r="K168" t="s">
        <v>397</v>
      </c>
      <c r="L168" t="s">
        <v>88</v>
      </c>
      <c r="M168" t="s">
        <v>398</v>
      </c>
      <c r="N168" t="s">
        <v>399</v>
      </c>
    </row>
    <row r="169" spans="2:14" hidden="1" x14ac:dyDescent="0.25">
      <c r="B169" t="s">
        <v>473</v>
      </c>
      <c r="C169" t="s">
        <v>407</v>
      </c>
      <c r="D169" s="3" t="s">
        <v>416</v>
      </c>
      <c r="E169" s="3" t="s">
        <v>431</v>
      </c>
      <c r="F169">
        <v>15</v>
      </c>
      <c r="G169" s="3">
        <f t="shared" si="9"/>
        <v>0.14930555555555558</v>
      </c>
      <c r="H169" s="3">
        <f t="shared" si="10"/>
        <v>9.9537037037037059E-3</v>
      </c>
      <c r="I169" s="1">
        <f t="shared" si="8"/>
        <v>14</v>
      </c>
      <c r="J169" t="s">
        <v>455</v>
      </c>
      <c r="K169" t="s">
        <v>417</v>
      </c>
      <c r="L169" t="s">
        <v>335</v>
      </c>
      <c r="M169" t="s">
        <v>398</v>
      </c>
      <c r="N169" t="s">
        <v>433</v>
      </c>
    </row>
    <row r="170" spans="2:14" hidden="1" x14ac:dyDescent="0.25">
      <c r="C170" t="s">
        <v>401</v>
      </c>
      <c r="D170" s="3" t="s">
        <v>403</v>
      </c>
      <c r="E170" s="3" t="s">
        <v>464</v>
      </c>
      <c r="F170">
        <v>10</v>
      </c>
      <c r="G170" s="3">
        <f t="shared" si="9"/>
        <v>0.41666666666666669</v>
      </c>
      <c r="H170" s="3">
        <f t="shared" si="10"/>
        <v>4.1666666666666671E-2</v>
      </c>
      <c r="I170" s="1">
        <f t="shared" si="8"/>
        <v>0</v>
      </c>
      <c r="J170" t="s">
        <v>427</v>
      </c>
      <c r="K170" t="s">
        <v>397</v>
      </c>
      <c r="L170" t="s">
        <v>518</v>
      </c>
      <c r="M170" t="s">
        <v>398</v>
      </c>
      <c r="N170" t="s">
        <v>399</v>
      </c>
    </row>
    <row r="171" spans="2:14" hidden="1" x14ac:dyDescent="0.25">
      <c r="C171" t="s">
        <v>407</v>
      </c>
      <c r="D171" s="3" t="s">
        <v>403</v>
      </c>
      <c r="E171" s="3" t="s">
        <v>464</v>
      </c>
      <c r="F171">
        <v>10</v>
      </c>
      <c r="G171" s="3">
        <f t="shared" si="9"/>
        <v>0.41666666666666669</v>
      </c>
      <c r="H171" s="3">
        <f t="shared" si="10"/>
        <v>4.1666666666666671E-2</v>
      </c>
      <c r="I171" s="1">
        <f t="shared" si="8"/>
        <v>0</v>
      </c>
      <c r="J171" t="s">
        <v>427</v>
      </c>
      <c r="K171" t="s">
        <v>397</v>
      </c>
      <c r="L171" t="s">
        <v>518</v>
      </c>
      <c r="M171" t="s">
        <v>398</v>
      </c>
      <c r="N171" t="s">
        <v>399</v>
      </c>
    </row>
    <row r="172" spans="2:14" hidden="1" x14ac:dyDescent="0.25">
      <c r="C172" t="s">
        <v>393</v>
      </c>
      <c r="D172" s="3" t="s">
        <v>403</v>
      </c>
      <c r="E172" s="3" t="s">
        <v>464</v>
      </c>
      <c r="F172">
        <v>10</v>
      </c>
      <c r="G172" s="3">
        <f t="shared" si="9"/>
        <v>0.41666666666666669</v>
      </c>
      <c r="H172" s="3">
        <f t="shared" si="10"/>
        <v>4.1666666666666671E-2</v>
      </c>
      <c r="I172" s="1">
        <f t="shared" si="8"/>
        <v>0</v>
      </c>
      <c r="J172" t="s">
        <v>427</v>
      </c>
      <c r="K172" t="s">
        <v>397</v>
      </c>
      <c r="L172" t="s">
        <v>518</v>
      </c>
      <c r="M172" t="s">
        <v>398</v>
      </c>
      <c r="N172" t="s">
        <v>399</v>
      </c>
    </row>
    <row r="173" spans="2:14" hidden="1" x14ac:dyDescent="0.25">
      <c r="C173" t="s">
        <v>406</v>
      </c>
      <c r="D173" s="3" t="s">
        <v>403</v>
      </c>
      <c r="E173" s="3" t="s">
        <v>464</v>
      </c>
      <c r="F173">
        <v>10</v>
      </c>
      <c r="G173" s="3">
        <f t="shared" si="9"/>
        <v>0.41666666666666669</v>
      </c>
      <c r="H173" s="3">
        <f t="shared" si="10"/>
        <v>4.1666666666666671E-2</v>
      </c>
      <c r="I173" s="1">
        <f t="shared" si="8"/>
        <v>0</v>
      </c>
      <c r="J173" t="s">
        <v>427</v>
      </c>
      <c r="K173" t="s">
        <v>397</v>
      </c>
      <c r="L173" t="s">
        <v>518</v>
      </c>
      <c r="M173" t="s">
        <v>398</v>
      </c>
      <c r="N173" t="s">
        <v>399</v>
      </c>
    </row>
    <row r="174" spans="2:14" hidden="1" x14ac:dyDescent="0.25">
      <c r="C174" t="s">
        <v>400</v>
      </c>
      <c r="D174" s="3" t="s">
        <v>403</v>
      </c>
      <c r="E174" s="3" t="s">
        <v>464</v>
      </c>
      <c r="F174">
        <v>10</v>
      </c>
      <c r="G174" s="3">
        <f t="shared" si="9"/>
        <v>0.41666666666666669</v>
      </c>
      <c r="H174" s="3">
        <f t="shared" si="10"/>
        <v>4.1666666666666671E-2</v>
      </c>
      <c r="I174" s="1">
        <f t="shared" si="8"/>
        <v>0</v>
      </c>
      <c r="J174" t="s">
        <v>427</v>
      </c>
      <c r="K174" t="s">
        <v>397</v>
      </c>
      <c r="L174" t="s">
        <v>518</v>
      </c>
      <c r="M174" t="s">
        <v>398</v>
      </c>
      <c r="N174" t="s">
        <v>399</v>
      </c>
    </row>
    <row r="175" spans="2:14" hidden="1" x14ac:dyDescent="0.25">
      <c r="C175" t="s">
        <v>422</v>
      </c>
      <c r="D175" s="3" t="s">
        <v>403</v>
      </c>
      <c r="E175" s="3" t="s">
        <v>445</v>
      </c>
      <c r="F175">
        <v>10</v>
      </c>
      <c r="G175" s="3">
        <f t="shared" si="9"/>
        <v>0.16666666666666669</v>
      </c>
      <c r="H175" s="3">
        <f t="shared" si="10"/>
        <v>1.666666666666667E-2</v>
      </c>
      <c r="I175" s="1">
        <f t="shared" si="8"/>
        <v>24</v>
      </c>
      <c r="J175" t="s">
        <v>427</v>
      </c>
      <c r="K175" t="s">
        <v>397</v>
      </c>
      <c r="L175" t="s">
        <v>518</v>
      </c>
      <c r="M175" t="s">
        <v>398</v>
      </c>
      <c r="N175" t="s">
        <v>399</v>
      </c>
    </row>
    <row r="176" spans="2:14" hidden="1" x14ac:dyDescent="0.25">
      <c r="C176" t="s">
        <v>407</v>
      </c>
      <c r="D176" s="3" t="s">
        <v>453</v>
      </c>
      <c r="E176" s="3" t="s">
        <v>482</v>
      </c>
      <c r="F176">
        <v>30</v>
      </c>
      <c r="G176" s="3">
        <f t="shared" si="9"/>
        <v>0.20833333333333326</v>
      </c>
      <c r="H176" s="3">
        <f t="shared" si="10"/>
        <v>6.9444444444444423E-3</v>
      </c>
      <c r="I176" s="1">
        <f t="shared" si="8"/>
        <v>10</v>
      </c>
      <c r="J176" t="s">
        <v>404</v>
      </c>
      <c r="K176" t="s">
        <v>417</v>
      </c>
      <c r="L176" t="s">
        <v>519</v>
      </c>
      <c r="M176" t="s">
        <v>398</v>
      </c>
      <c r="N176" t="s">
        <v>399</v>
      </c>
    </row>
    <row r="177" spans="2:14" hidden="1" x14ac:dyDescent="0.25">
      <c r="C177" t="s">
        <v>393</v>
      </c>
      <c r="D177" s="3" t="s">
        <v>411</v>
      </c>
      <c r="E177" s="3" t="s">
        <v>441</v>
      </c>
      <c r="F177">
        <v>5</v>
      </c>
      <c r="G177" s="3">
        <f t="shared" si="9"/>
        <v>0.4548611111111111</v>
      </c>
      <c r="H177" s="3">
        <f t="shared" si="10"/>
        <v>9.0972222222222218E-2</v>
      </c>
      <c r="I177" s="1">
        <f t="shared" si="8"/>
        <v>11</v>
      </c>
      <c r="J177" t="s">
        <v>432</v>
      </c>
      <c r="K177" t="s">
        <v>397</v>
      </c>
      <c r="L177" t="s">
        <v>103</v>
      </c>
      <c r="M177" t="s">
        <v>398</v>
      </c>
      <c r="N177" t="s">
        <v>465</v>
      </c>
    </row>
    <row r="178" spans="2:14" hidden="1" x14ac:dyDescent="0.25">
      <c r="C178" t="s">
        <v>400</v>
      </c>
      <c r="D178" s="3" t="s">
        <v>411</v>
      </c>
      <c r="E178" s="3" t="s">
        <v>441</v>
      </c>
      <c r="F178">
        <v>5</v>
      </c>
      <c r="G178" s="3">
        <f t="shared" si="9"/>
        <v>0.4548611111111111</v>
      </c>
      <c r="H178" s="3">
        <f t="shared" si="10"/>
        <v>9.0972222222222218E-2</v>
      </c>
      <c r="I178" s="1">
        <f t="shared" si="8"/>
        <v>11</v>
      </c>
      <c r="J178" t="s">
        <v>432</v>
      </c>
      <c r="K178" t="s">
        <v>397</v>
      </c>
      <c r="L178" t="s">
        <v>139</v>
      </c>
      <c r="M178" t="s">
        <v>398</v>
      </c>
      <c r="N178" t="s">
        <v>465</v>
      </c>
    </row>
    <row r="179" spans="2:14" hidden="1" x14ac:dyDescent="0.25">
      <c r="C179" t="s">
        <v>401</v>
      </c>
      <c r="D179" s="3" t="s">
        <v>403</v>
      </c>
      <c r="E179" s="3" t="s">
        <v>441</v>
      </c>
      <c r="F179">
        <v>5</v>
      </c>
      <c r="G179" s="3">
        <f t="shared" si="9"/>
        <v>0.41319444444444448</v>
      </c>
      <c r="H179" s="3">
        <f t="shared" si="10"/>
        <v>8.2638888888888901E-2</v>
      </c>
      <c r="I179" s="1">
        <f t="shared" si="8"/>
        <v>59</v>
      </c>
      <c r="J179" t="s">
        <v>432</v>
      </c>
      <c r="K179" t="s">
        <v>397</v>
      </c>
      <c r="L179" t="s">
        <v>346</v>
      </c>
      <c r="M179" t="s">
        <v>398</v>
      </c>
      <c r="N179" t="s">
        <v>465</v>
      </c>
    </row>
    <row r="180" spans="2:14" hidden="1" x14ac:dyDescent="0.25">
      <c r="C180" t="s">
        <v>401</v>
      </c>
      <c r="D180" s="3" t="s">
        <v>411</v>
      </c>
      <c r="E180" s="3" t="s">
        <v>520</v>
      </c>
      <c r="F180">
        <v>5</v>
      </c>
      <c r="G180" s="3">
        <f t="shared" si="9"/>
        <v>0.625</v>
      </c>
      <c r="H180" s="3">
        <f t="shared" si="10"/>
        <v>0.125</v>
      </c>
      <c r="I180" s="1">
        <f t="shared" si="8"/>
        <v>0</v>
      </c>
      <c r="J180" t="s">
        <v>521</v>
      </c>
      <c r="K180" t="s">
        <v>397</v>
      </c>
      <c r="L180" t="s">
        <v>522</v>
      </c>
      <c r="M180" t="s">
        <v>398</v>
      </c>
      <c r="N180" t="s">
        <v>465</v>
      </c>
    </row>
    <row r="181" spans="2:14" hidden="1" x14ac:dyDescent="0.25">
      <c r="C181" t="s">
        <v>407</v>
      </c>
      <c r="D181" s="3" t="s">
        <v>411</v>
      </c>
      <c r="E181" s="3" t="s">
        <v>520</v>
      </c>
      <c r="F181">
        <v>5</v>
      </c>
      <c r="G181" s="3">
        <f t="shared" si="9"/>
        <v>0.625</v>
      </c>
      <c r="H181" s="3">
        <f t="shared" si="10"/>
        <v>0.125</v>
      </c>
      <c r="I181" s="1">
        <f t="shared" si="8"/>
        <v>0</v>
      </c>
      <c r="J181" t="s">
        <v>521</v>
      </c>
      <c r="K181" t="s">
        <v>397</v>
      </c>
      <c r="L181" t="s">
        <v>522</v>
      </c>
      <c r="M181" t="s">
        <v>398</v>
      </c>
      <c r="N181" t="s">
        <v>465</v>
      </c>
    </row>
    <row r="182" spans="2:14" hidden="1" x14ac:dyDescent="0.25">
      <c r="C182" t="s">
        <v>393</v>
      </c>
      <c r="D182" s="3" t="s">
        <v>411</v>
      </c>
      <c r="E182" s="3" t="s">
        <v>520</v>
      </c>
      <c r="F182">
        <v>5</v>
      </c>
      <c r="G182" s="3">
        <f t="shared" si="9"/>
        <v>0.625</v>
      </c>
      <c r="H182" s="3">
        <f t="shared" si="10"/>
        <v>0.125</v>
      </c>
      <c r="I182" s="1">
        <f t="shared" si="8"/>
        <v>0</v>
      </c>
      <c r="J182" t="s">
        <v>521</v>
      </c>
      <c r="K182" t="s">
        <v>397</v>
      </c>
      <c r="L182" t="s">
        <v>522</v>
      </c>
      <c r="M182" t="s">
        <v>398</v>
      </c>
      <c r="N182" t="s">
        <v>465</v>
      </c>
    </row>
    <row r="183" spans="2:14" hidden="1" x14ac:dyDescent="0.25">
      <c r="C183" t="s">
        <v>406</v>
      </c>
      <c r="D183" s="3" t="s">
        <v>411</v>
      </c>
      <c r="E183" s="3" t="s">
        <v>520</v>
      </c>
      <c r="F183">
        <v>5</v>
      </c>
      <c r="G183" s="3">
        <f t="shared" si="9"/>
        <v>0.625</v>
      </c>
      <c r="H183" s="3">
        <f t="shared" si="10"/>
        <v>0.125</v>
      </c>
      <c r="I183" s="1">
        <f t="shared" si="8"/>
        <v>0</v>
      </c>
      <c r="J183" t="s">
        <v>521</v>
      </c>
      <c r="K183" t="s">
        <v>397</v>
      </c>
      <c r="L183" t="s">
        <v>522</v>
      </c>
      <c r="M183" t="s">
        <v>398</v>
      </c>
      <c r="N183" t="s">
        <v>465</v>
      </c>
    </row>
    <row r="184" spans="2:14" hidden="1" x14ac:dyDescent="0.25">
      <c r="C184" t="s">
        <v>400</v>
      </c>
      <c r="D184" s="3" t="s">
        <v>411</v>
      </c>
      <c r="E184" s="3" t="s">
        <v>520</v>
      </c>
      <c r="F184">
        <v>5</v>
      </c>
      <c r="G184" s="3">
        <f t="shared" si="9"/>
        <v>0.625</v>
      </c>
      <c r="H184" s="3">
        <f t="shared" si="10"/>
        <v>0.125</v>
      </c>
      <c r="I184" s="1">
        <f t="shared" si="8"/>
        <v>0</v>
      </c>
      <c r="J184" t="s">
        <v>521</v>
      </c>
      <c r="K184" t="s">
        <v>397</v>
      </c>
      <c r="L184" t="s">
        <v>522</v>
      </c>
      <c r="M184" t="s">
        <v>398</v>
      </c>
      <c r="N184" t="s">
        <v>465</v>
      </c>
    </row>
    <row r="185" spans="2:14" hidden="1" x14ac:dyDescent="0.25">
      <c r="C185" t="s">
        <v>422</v>
      </c>
      <c r="D185" s="3" t="s">
        <v>411</v>
      </c>
      <c r="E185" s="3" t="s">
        <v>464</v>
      </c>
      <c r="F185">
        <v>5</v>
      </c>
      <c r="G185" s="3">
        <f t="shared" si="9"/>
        <v>0.45833333333333331</v>
      </c>
      <c r="H185" s="3">
        <f t="shared" si="10"/>
        <v>9.166666666666666E-2</v>
      </c>
      <c r="I185" s="1">
        <f t="shared" si="8"/>
        <v>12</v>
      </c>
      <c r="J185" t="s">
        <v>521</v>
      </c>
      <c r="K185" t="s">
        <v>397</v>
      </c>
      <c r="L185" t="s">
        <v>522</v>
      </c>
      <c r="M185" t="s">
        <v>398</v>
      </c>
      <c r="N185" t="s">
        <v>465</v>
      </c>
    </row>
    <row r="186" spans="2:14" hidden="1" x14ac:dyDescent="0.25">
      <c r="B186" t="s">
        <v>473</v>
      </c>
      <c r="C186" t="s">
        <v>407</v>
      </c>
      <c r="D186" s="3" t="s">
        <v>403</v>
      </c>
      <c r="E186" s="3" t="s">
        <v>464</v>
      </c>
      <c r="F186">
        <v>30</v>
      </c>
      <c r="G186" s="3">
        <f t="shared" si="9"/>
        <v>0.41666666666666669</v>
      </c>
      <c r="H186" s="3">
        <f t="shared" si="10"/>
        <v>1.388888888888889E-2</v>
      </c>
      <c r="I186" s="1">
        <f t="shared" si="8"/>
        <v>20</v>
      </c>
      <c r="J186" t="s">
        <v>432</v>
      </c>
      <c r="K186" t="s">
        <v>397</v>
      </c>
      <c r="L186" t="s">
        <v>148</v>
      </c>
      <c r="M186" t="s">
        <v>398</v>
      </c>
      <c r="N186" t="s">
        <v>433</v>
      </c>
    </row>
    <row r="187" spans="2:14" hidden="1" x14ac:dyDescent="0.25">
      <c r="C187" t="s">
        <v>401</v>
      </c>
      <c r="D187" s="3" t="s">
        <v>403</v>
      </c>
      <c r="E187" s="3" t="s">
        <v>402</v>
      </c>
      <c r="F187">
        <v>15</v>
      </c>
      <c r="G187" s="3">
        <f t="shared" si="9"/>
        <v>0.14930555555555558</v>
      </c>
      <c r="H187" s="3">
        <f t="shared" si="10"/>
        <v>9.9537037037037059E-3</v>
      </c>
      <c r="I187" s="1">
        <f t="shared" si="8"/>
        <v>14</v>
      </c>
      <c r="J187" t="s">
        <v>409</v>
      </c>
      <c r="K187" t="s">
        <v>397</v>
      </c>
      <c r="L187" t="s">
        <v>336</v>
      </c>
      <c r="M187" t="s">
        <v>398</v>
      </c>
      <c r="N187" t="s">
        <v>405</v>
      </c>
    </row>
    <row r="188" spans="2:14" hidden="1" x14ac:dyDescent="0.25">
      <c r="B188" t="s">
        <v>523</v>
      </c>
      <c r="C188" t="s">
        <v>393</v>
      </c>
      <c r="D188" s="3" t="s">
        <v>403</v>
      </c>
      <c r="E188" s="3" t="s">
        <v>402</v>
      </c>
      <c r="F188">
        <v>15</v>
      </c>
      <c r="G188" s="3">
        <f t="shared" si="9"/>
        <v>0.14930555555555558</v>
      </c>
      <c r="H188" s="3">
        <f t="shared" si="10"/>
        <v>9.9537037037037059E-3</v>
      </c>
      <c r="I188" s="1">
        <f t="shared" si="8"/>
        <v>14</v>
      </c>
      <c r="J188" t="s">
        <v>409</v>
      </c>
      <c r="K188" t="s">
        <v>397</v>
      </c>
      <c r="L188" t="s">
        <v>336</v>
      </c>
      <c r="M188" t="s">
        <v>398</v>
      </c>
      <c r="N188" t="s">
        <v>405</v>
      </c>
    </row>
    <row r="189" spans="2:14" hidden="1" x14ac:dyDescent="0.25">
      <c r="B189" t="s">
        <v>473</v>
      </c>
      <c r="C189" t="s">
        <v>407</v>
      </c>
      <c r="D189" s="3" t="s">
        <v>453</v>
      </c>
      <c r="E189" s="3" t="s">
        <v>494</v>
      </c>
      <c r="F189">
        <v>10</v>
      </c>
      <c r="G189" s="3">
        <f t="shared" si="9"/>
        <v>0.15277777777777779</v>
      </c>
      <c r="H189" s="3">
        <f t="shared" si="10"/>
        <v>1.5277777777777779E-2</v>
      </c>
      <c r="I189" s="1">
        <f t="shared" si="8"/>
        <v>22</v>
      </c>
      <c r="J189" t="s">
        <v>432</v>
      </c>
      <c r="K189" t="s">
        <v>417</v>
      </c>
      <c r="L189" t="s">
        <v>144</v>
      </c>
      <c r="M189" t="s">
        <v>398</v>
      </c>
      <c r="N189" t="s">
        <v>447</v>
      </c>
    </row>
    <row r="190" spans="2:14" hidden="1" x14ac:dyDescent="0.25">
      <c r="C190" t="s">
        <v>401</v>
      </c>
      <c r="D190" s="3" t="s">
        <v>411</v>
      </c>
      <c r="E190" s="3" t="s">
        <v>464</v>
      </c>
      <c r="F190">
        <v>5</v>
      </c>
      <c r="G190" s="3">
        <f t="shared" si="9"/>
        <v>0.45833333333333331</v>
      </c>
      <c r="H190" s="3">
        <f t="shared" si="10"/>
        <v>9.166666666666666E-2</v>
      </c>
      <c r="I190" s="1">
        <f t="shared" si="8"/>
        <v>12</v>
      </c>
      <c r="J190" t="s">
        <v>521</v>
      </c>
      <c r="K190" t="s">
        <v>397</v>
      </c>
      <c r="L190" t="s">
        <v>524</v>
      </c>
      <c r="M190" t="s">
        <v>398</v>
      </c>
      <c r="N190" t="s">
        <v>433</v>
      </c>
    </row>
    <row r="191" spans="2:14" hidden="1" x14ac:dyDescent="0.25">
      <c r="C191" t="s">
        <v>407</v>
      </c>
      <c r="D191" s="3" t="s">
        <v>411</v>
      </c>
      <c r="E191" s="3" t="s">
        <v>464</v>
      </c>
      <c r="F191">
        <v>5</v>
      </c>
      <c r="G191" s="3">
        <f t="shared" si="9"/>
        <v>0.45833333333333331</v>
      </c>
      <c r="H191" s="3">
        <f t="shared" si="10"/>
        <v>9.166666666666666E-2</v>
      </c>
      <c r="I191" s="1">
        <f t="shared" si="8"/>
        <v>12</v>
      </c>
      <c r="J191" t="s">
        <v>521</v>
      </c>
      <c r="K191" t="s">
        <v>397</v>
      </c>
      <c r="L191" t="s">
        <v>524</v>
      </c>
      <c r="M191" t="s">
        <v>398</v>
      </c>
      <c r="N191" t="s">
        <v>433</v>
      </c>
    </row>
    <row r="192" spans="2:14" hidden="1" x14ac:dyDescent="0.25">
      <c r="C192" t="s">
        <v>393</v>
      </c>
      <c r="D192" s="3" t="s">
        <v>411</v>
      </c>
      <c r="E192" s="3" t="s">
        <v>464</v>
      </c>
      <c r="F192">
        <v>5</v>
      </c>
      <c r="G192" s="3">
        <f t="shared" si="9"/>
        <v>0.45833333333333331</v>
      </c>
      <c r="H192" s="3">
        <f t="shared" si="10"/>
        <v>9.166666666666666E-2</v>
      </c>
      <c r="I192" s="1">
        <f t="shared" si="8"/>
        <v>12</v>
      </c>
      <c r="J192" t="s">
        <v>521</v>
      </c>
      <c r="K192" t="s">
        <v>397</v>
      </c>
      <c r="L192" t="s">
        <v>524</v>
      </c>
      <c r="M192" t="s">
        <v>398</v>
      </c>
      <c r="N192" t="s">
        <v>433</v>
      </c>
    </row>
    <row r="193" spans="2:14" hidden="1" x14ac:dyDescent="0.25">
      <c r="C193" t="s">
        <v>406</v>
      </c>
      <c r="D193" s="3" t="s">
        <v>411</v>
      </c>
      <c r="E193" s="3" t="s">
        <v>464</v>
      </c>
      <c r="F193">
        <v>5</v>
      </c>
      <c r="G193" s="3">
        <f t="shared" si="9"/>
        <v>0.45833333333333331</v>
      </c>
      <c r="H193" s="3">
        <f t="shared" si="10"/>
        <v>9.166666666666666E-2</v>
      </c>
      <c r="I193" s="1">
        <f t="shared" si="8"/>
        <v>12</v>
      </c>
      <c r="J193" t="s">
        <v>521</v>
      </c>
      <c r="K193" t="s">
        <v>397</v>
      </c>
      <c r="L193" t="s">
        <v>524</v>
      </c>
      <c r="M193" t="s">
        <v>398</v>
      </c>
      <c r="N193" t="s">
        <v>433</v>
      </c>
    </row>
    <row r="194" spans="2:14" hidden="1" x14ac:dyDescent="0.25">
      <c r="C194" t="s">
        <v>400</v>
      </c>
      <c r="D194" s="3" t="s">
        <v>411</v>
      </c>
      <c r="E194" s="3" t="s">
        <v>464</v>
      </c>
      <c r="F194">
        <v>5</v>
      </c>
      <c r="G194" s="3">
        <f t="shared" si="9"/>
        <v>0.45833333333333331</v>
      </c>
      <c r="H194" s="3">
        <f t="shared" si="10"/>
        <v>9.166666666666666E-2</v>
      </c>
      <c r="I194" s="1">
        <f t="shared" si="8"/>
        <v>12</v>
      </c>
      <c r="J194" t="s">
        <v>521</v>
      </c>
      <c r="K194" t="s">
        <v>397</v>
      </c>
      <c r="L194" t="s">
        <v>524</v>
      </c>
      <c r="M194" t="s">
        <v>398</v>
      </c>
      <c r="N194" t="s">
        <v>433</v>
      </c>
    </row>
    <row r="195" spans="2:14" hidden="1" x14ac:dyDescent="0.25">
      <c r="C195" t="s">
        <v>422</v>
      </c>
      <c r="D195" s="3" t="s">
        <v>411</v>
      </c>
      <c r="E195" s="3" t="s">
        <v>445</v>
      </c>
      <c r="F195">
        <v>5</v>
      </c>
      <c r="G195" s="3">
        <f t="shared" si="9"/>
        <v>0.20833333333333331</v>
      </c>
      <c r="H195" s="3">
        <f t="shared" si="10"/>
        <v>4.1666666666666664E-2</v>
      </c>
      <c r="I195" s="1">
        <f t="shared" ref="I195:I258" si="11">MINUTE(H195)</f>
        <v>0</v>
      </c>
      <c r="J195" t="s">
        <v>521</v>
      </c>
      <c r="K195" t="s">
        <v>397</v>
      </c>
      <c r="L195" t="s">
        <v>524</v>
      </c>
      <c r="M195" t="s">
        <v>398</v>
      </c>
      <c r="N195" t="s">
        <v>433</v>
      </c>
    </row>
    <row r="196" spans="2:14" hidden="1" x14ac:dyDescent="0.25">
      <c r="C196" t="s">
        <v>393</v>
      </c>
      <c r="D196" s="3" t="s">
        <v>403</v>
      </c>
      <c r="E196" s="3" t="s">
        <v>431</v>
      </c>
      <c r="F196">
        <v>15</v>
      </c>
      <c r="G196" s="3">
        <f t="shared" ref="G196:G259" si="12">(E196-D196)</f>
        <v>0.3576388888888889</v>
      </c>
      <c r="H196" s="3">
        <f t="shared" ref="H196:H259" si="13">G196/F196</f>
        <v>2.3842592592592592E-2</v>
      </c>
      <c r="I196" s="1">
        <f t="shared" si="11"/>
        <v>34</v>
      </c>
      <c r="J196" t="s">
        <v>458</v>
      </c>
      <c r="K196" t="s">
        <v>397</v>
      </c>
      <c r="L196" t="s">
        <v>329</v>
      </c>
      <c r="M196" t="s">
        <v>398</v>
      </c>
      <c r="N196" t="s">
        <v>405</v>
      </c>
    </row>
    <row r="197" spans="2:14" hidden="1" x14ac:dyDescent="0.25">
      <c r="C197" t="s">
        <v>393</v>
      </c>
      <c r="D197" s="3" t="s">
        <v>411</v>
      </c>
      <c r="E197" s="3" t="s">
        <v>426</v>
      </c>
      <c r="F197">
        <v>15</v>
      </c>
      <c r="G197" s="3">
        <f t="shared" si="12"/>
        <v>0.2326388888888889</v>
      </c>
      <c r="H197" s="3">
        <f t="shared" si="13"/>
        <v>1.5509259259259259E-2</v>
      </c>
      <c r="I197" s="1">
        <f t="shared" si="11"/>
        <v>22</v>
      </c>
      <c r="J197" t="s">
        <v>429</v>
      </c>
      <c r="K197" t="s">
        <v>397</v>
      </c>
      <c r="L197" t="s">
        <v>96</v>
      </c>
      <c r="M197" t="s">
        <v>398</v>
      </c>
      <c r="N197" t="s">
        <v>500</v>
      </c>
    </row>
    <row r="198" spans="2:14" hidden="1" x14ac:dyDescent="0.25">
      <c r="C198" t="s">
        <v>401</v>
      </c>
      <c r="D198" s="3" t="s">
        <v>403</v>
      </c>
      <c r="E198" s="3" t="s">
        <v>525</v>
      </c>
      <c r="F198">
        <v>20</v>
      </c>
      <c r="G198" s="3">
        <f t="shared" si="12"/>
        <v>0.36111111111111122</v>
      </c>
      <c r="H198" s="3">
        <f t="shared" si="13"/>
        <v>1.8055555555555561E-2</v>
      </c>
      <c r="I198" s="1">
        <f t="shared" si="11"/>
        <v>26</v>
      </c>
      <c r="J198" t="s">
        <v>526</v>
      </c>
      <c r="K198" t="s">
        <v>397</v>
      </c>
      <c r="L198" t="s">
        <v>146</v>
      </c>
      <c r="M198" t="s">
        <v>398</v>
      </c>
      <c r="N198" t="s">
        <v>405</v>
      </c>
    </row>
    <row r="199" spans="2:14" hidden="1" x14ac:dyDescent="0.25">
      <c r="C199" t="s">
        <v>407</v>
      </c>
      <c r="D199" s="3" t="s">
        <v>403</v>
      </c>
      <c r="E199" s="3" t="s">
        <v>525</v>
      </c>
      <c r="F199">
        <v>20</v>
      </c>
      <c r="G199" s="3">
        <f t="shared" si="12"/>
        <v>0.36111111111111122</v>
      </c>
      <c r="H199" s="3">
        <f t="shared" si="13"/>
        <v>1.8055555555555561E-2</v>
      </c>
      <c r="I199" s="1">
        <f t="shared" si="11"/>
        <v>26</v>
      </c>
      <c r="J199" t="s">
        <v>526</v>
      </c>
      <c r="K199" t="s">
        <v>397</v>
      </c>
      <c r="L199" t="s">
        <v>146</v>
      </c>
      <c r="M199" t="s">
        <v>398</v>
      </c>
      <c r="N199" t="s">
        <v>405</v>
      </c>
    </row>
    <row r="200" spans="2:14" hidden="1" x14ac:dyDescent="0.25">
      <c r="C200" t="s">
        <v>393</v>
      </c>
      <c r="D200" s="3" t="s">
        <v>403</v>
      </c>
      <c r="E200" s="3" t="s">
        <v>525</v>
      </c>
      <c r="F200">
        <v>20</v>
      </c>
      <c r="G200" s="3">
        <f t="shared" si="12"/>
        <v>0.36111111111111122</v>
      </c>
      <c r="H200" s="3">
        <f t="shared" si="13"/>
        <v>1.8055555555555561E-2</v>
      </c>
      <c r="I200" s="1">
        <f t="shared" si="11"/>
        <v>26</v>
      </c>
      <c r="J200" t="s">
        <v>526</v>
      </c>
      <c r="K200" t="s">
        <v>397</v>
      </c>
      <c r="L200" t="s">
        <v>146</v>
      </c>
      <c r="M200" t="s">
        <v>398</v>
      </c>
      <c r="N200" t="s">
        <v>405</v>
      </c>
    </row>
    <row r="201" spans="2:14" hidden="1" x14ac:dyDescent="0.25">
      <c r="C201" t="s">
        <v>406</v>
      </c>
      <c r="D201" s="3" t="s">
        <v>403</v>
      </c>
      <c r="E201" s="3" t="s">
        <v>525</v>
      </c>
      <c r="F201">
        <v>20</v>
      </c>
      <c r="G201" s="3">
        <f t="shared" si="12"/>
        <v>0.36111111111111122</v>
      </c>
      <c r="H201" s="3">
        <f t="shared" si="13"/>
        <v>1.8055555555555561E-2</v>
      </c>
      <c r="I201" s="1">
        <f t="shared" si="11"/>
        <v>26</v>
      </c>
      <c r="J201" t="s">
        <v>526</v>
      </c>
      <c r="K201" t="s">
        <v>397</v>
      </c>
      <c r="L201" t="s">
        <v>146</v>
      </c>
      <c r="M201" t="s">
        <v>398</v>
      </c>
      <c r="N201" t="s">
        <v>405</v>
      </c>
    </row>
    <row r="202" spans="2:14" hidden="1" x14ac:dyDescent="0.25">
      <c r="C202" t="s">
        <v>400</v>
      </c>
      <c r="D202" s="3" t="s">
        <v>403</v>
      </c>
      <c r="E202" s="3" t="s">
        <v>525</v>
      </c>
      <c r="F202">
        <v>20</v>
      </c>
      <c r="G202" s="3">
        <f t="shared" si="12"/>
        <v>0.36111111111111122</v>
      </c>
      <c r="H202" s="3">
        <f t="shared" si="13"/>
        <v>1.8055555555555561E-2</v>
      </c>
      <c r="I202" s="1">
        <f t="shared" si="11"/>
        <v>26</v>
      </c>
      <c r="J202" t="s">
        <v>526</v>
      </c>
      <c r="K202" t="s">
        <v>397</v>
      </c>
      <c r="L202" t="s">
        <v>146</v>
      </c>
      <c r="M202" t="s">
        <v>398</v>
      </c>
      <c r="N202" t="s">
        <v>405</v>
      </c>
    </row>
    <row r="203" spans="2:14" hidden="1" x14ac:dyDescent="0.25">
      <c r="C203" t="s">
        <v>422</v>
      </c>
      <c r="D203" s="3" t="s">
        <v>403</v>
      </c>
      <c r="E203" s="3" t="s">
        <v>527</v>
      </c>
      <c r="F203">
        <v>20</v>
      </c>
      <c r="G203" s="3">
        <f t="shared" si="12"/>
        <v>0.14583333333333337</v>
      </c>
      <c r="H203" s="3">
        <f t="shared" si="13"/>
        <v>7.2916666666666685E-3</v>
      </c>
      <c r="I203" s="1">
        <f t="shared" si="11"/>
        <v>10</v>
      </c>
      <c r="J203" t="s">
        <v>526</v>
      </c>
      <c r="K203" t="s">
        <v>397</v>
      </c>
      <c r="L203" t="s">
        <v>146</v>
      </c>
      <c r="M203" t="s">
        <v>398</v>
      </c>
      <c r="N203" t="s">
        <v>405</v>
      </c>
    </row>
    <row r="204" spans="2:14" hidden="1" x14ac:dyDescent="0.25">
      <c r="B204" t="s">
        <v>528</v>
      </c>
      <c r="C204" t="s">
        <v>407</v>
      </c>
      <c r="D204" s="3" t="s">
        <v>403</v>
      </c>
      <c r="E204" s="3" t="s">
        <v>451</v>
      </c>
      <c r="F204">
        <v>15</v>
      </c>
      <c r="G204" s="3">
        <f t="shared" si="12"/>
        <v>0.2326388888888889</v>
      </c>
      <c r="H204" s="3">
        <f t="shared" si="13"/>
        <v>1.5509259259259259E-2</v>
      </c>
      <c r="I204" s="1">
        <f t="shared" si="11"/>
        <v>22</v>
      </c>
      <c r="J204" t="s">
        <v>404</v>
      </c>
      <c r="K204" t="s">
        <v>397</v>
      </c>
      <c r="L204" t="s">
        <v>126</v>
      </c>
      <c r="M204" t="s">
        <v>398</v>
      </c>
      <c r="N204" t="s">
        <v>500</v>
      </c>
    </row>
    <row r="205" spans="2:14" hidden="1" x14ac:dyDescent="0.25">
      <c r="B205" t="s">
        <v>523</v>
      </c>
      <c r="C205" t="s">
        <v>393</v>
      </c>
      <c r="D205" s="3" t="s">
        <v>416</v>
      </c>
      <c r="E205" s="3" t="s">
        <v>441</v>
      </c>
      <c r="F205">
        <v>5</v>
      </c>
      <c r="G205" s="3">
        <f t="shared" si="12"/>
        <v>0.20486111111111116</v>
      </c>
      <c r="H205" s="3">
        <f t="shared" si="13"/>
        <v>4.0972222222222229E-2</v>
      </c>
      <c r="I205" s="1">
        <f t="shared" si="11"/>
        <v>59</v>
      </c>
      <c r="J205" t="s">
        <v>470</v>
      </c>
      <c r="K205" t="s">
        <v>417</v>
      </c>
      <c r="L205" t="s">
        <v>95</v>
      </c>
      <c r="M205" t="s">
        <v>398</v>
      </c>
      <c r="N205" t="s">
        <v>465</v>
      </c>
    </row>
    <row r="206" spans="2:14" hidden="1" x14ac:dyDescent="0.25">
      <c r="C206" t="s">
        <v>491</v>
      </c>
      <c r="D206" s="3" t="s">
        <v>411</v>
      </c>
      <c r="E206" s="3" t="s">
        <v>445</v>
      </c>
      <c r="F206">
        <v>5</v>
      </c>
      <c r="G206" s="3">
        <f t="shared" si="12"/>
        <v>0.20833333333333331</v>
      </c>
      <c r="H206" s="3">
        <f t="shared" si="13"/>
        <v>4.1666666666666664E-2</v>
      </c>
      <c r="I206" s="1">
        <f t="shared" si="11"/>
        <v>0</v>
      </c>
      <c r="J206" t="s">
        <v>529</v>
      </c>
      <c r="K206" t="s">
        <v>397</v>
      </c>
      <c r="L206" t="s">
        <v>530</v>
      </c>
      <c r="M206" t="s">
        <v>398</v>
      </c>
      <c r="N206" t="s">
        <v>465</v>
      </c>
    </row>
    <row r="207" spans="2:14" hidden="1" x14ac:dyDescent="0.25">
      <c r="C207" t="s">
        <v>401</v>
      </c>
      <c r="D207" s="3" t="s">
        <v>411</v>
      </c>
      <c r="E207" s="3" t="s">
        <v>520</v>
      </c>
      <c r="F207">
        <v>5</v>
      </c>
      <c r="G207" s="3">
        <f t="shared" si="12"/>
        <v>0.625</v>
      </c>
      <c r="H207" s="3">
        <f t="shared" si="13"/>
        <v>0.125</v>
      </c>
      <c r="I207" s="1">
        <f t="shared" si="11"/>
        <v>0</v>
      </c>
      <c r="J207" t="s">
        <v>529</v>
      </c>
      <c r="K207" t="s">
        <v>397</v>
      </c>
      <c r="L207" t="s">
        <v>530</v>
      </c>
      <c r="M207" t="s">
        <v>398</v>
      </c>
      <c r="N207" t="s">
        <v>465</v>
      </c>
    </row>
    <row r="208" spans="2:14" hidden="1" x14ac:dyDescent="0.25">
      <c r="C208" t="s">
        <v>407</v>
      </c>
      <c r="D208" s="3" t="s">
        <v>411</v>
      </c>
      <c r="E208" s="3" t="s">
        <v>520</v>
      </c>
      <c r="F208">
        <v>5</v>
      </c>
      <c r="G208" s="3">
        <f t="shared" si="12"/>
        <v>0.625</v>
      </c>
      <c r="H208" s="3">
        <f t="shared" si="13"/>
        <v>0.125</v>
      </c>
      <c r="I208" s="1">
        <f t="shared" si="11"/>
        <v>0</v>
      </c>
      <c r="J208" t="s">
        <v>529</v>
      </c>
      <c r="K208" t="s">
        <v>397</v>
      </c>
      <c r="L208" t="s">
        <v>530</v>
      </c>
      <c r="M208" t="s">
        <v>398</v>
      </c>
      <c r="N208" t="s">
        <v>465</v>
      </c>
    </row>
    <row r="209" spans="2:14" hidden="1" x14ac:dyDescent="0.25">
      <c r="C209" t="s">
        <v>393</v>
      </c>
      <c r="D209" s="3" t="s">
        <v>411</v>
      </c>
      <c r="E209" s="3" t="s">
        <v>520</v>
      </c>
      <c r="F209">
        <v>5</v>
      </c>
      <c r="G209" s="3">
        <f t="shared" si="12"/>
        <v>0.625</v>
      </c>
      <c r="H209" s="3">
        <f t="shared" si="13"/>
        <v>0.125</v>
      </c>
      <c r="I209" s="1">
        <f t="shared" si="11"/>
        <v>0</v>
      </c>
      <c r="J209" t="s">
        <v>529</v>
      </c>
      <c r="K209" t="s">
        <v>397</v>
      </c>
      <c r="L209" t="s">
        <v>530</v>
      </c>
      <c r="M209" t="s">
        <v>398</v>
      </c>
      <c r="N209" t="s">
        <v>465</v>
      </c>
    </row>
    <row r="210" spans="2:14" hidden="1" x14ac:dyDescent="0.25">
      <c r="C210" t="s">
        <v>406</v>
      </c>
      <c r="D210" s="3" t="s">
        <v>411</v>
      </c>
      <c r="E210" s="3" t="s">
        <v>520</v>
      </c>
      <c r="F210">
        <v>5</v>
      </c>
      <c r="G210" s="3">
        <f t="shared" si="12"/>
        <v>0.625</v>
      </c>
      <c r="H210" s="3">
        <f t="shared" si="13"/>
        <v>0.125</v>
      </c>
      <c r="I210" s="1">
        <f t="shared" si="11"/>
        <v>0</v>
      </c>
      <c r="J210" t="s">
        <v>529</v>
      </c>
      <c r="K210" t="s">
        <v>397</v>
      </c>
      <c r="L210" t="s">
        <v>530</v>
      </c>
      <c r="M210" t="s">
        <v>398</v>
      </c>
      <c r="N210" t="s">
        <v>465</v>
      </c>
    </row>
    <row r="211" spans="2:14" hidden="1" x14ac:dyDescent="0.25">
      <c r="C211" t="s">
        <v>400</v>
      </c>
      <c r="D211" s="3" t="s">
        <v>411</v>
      </c>
      <c r="E211" s="3" t="s">
        <v>520</v>
      </c>
      <c r="F211">
        <v>5</v>
      </c>
      <c r="G211" s="3">
        <f t="shared" si="12"/>
        <v>0.625</v>
      </c>
      <c r="H211" s="3">
        <f t="shared" si="13"/>
        <v>0.125</v>
      </c>
      <c r="I211" s="1">
        <f t="shared" si="11"/>
        <v>0</v>
      </c>
      <c r="J211" t="s">
        <v>529</v>
      </c>
      <c r="K211" t="s">
        <v>397</v>
      </c>
      <c r="L211" t="s">
        <v>530</v>
      </c>
      <c r="M211" t="s">
        <v>398</v>
      </c>
      <c r="N211" t="s">
        <v>465</v>
      </c>
    </row>
    <row r="212" spans="2:14" hidden="1" x14ac:dyDescent="0.25">
      <c r="C212" t="s">
        <v>422</v>
      </c>
      <c r="D212" s="3" t="s">
        <v>411</v>
      </c>
      <c r="E212" s="3" t="s">
        <v>464</v>
      </c>
      <c r="F212">
        <v>5</v>
      </c>
      <c r="G212" s="3">
        <f t="shared" si="12"/>
        <v>0.45833333333333331</v>
      </c>
      <c r="H212" s="3">
        <f t="shared" si="13"/>
        <v>9.166666666666666E-2</v>
      </c>
      <c r="I212" s="1">
        <f t="shared" si="11"/>
        <v>12</v>
      </c>
      <c r="J212" t="s">
        <v>529</v>
      </c>
      <c r="K212" t="s">
        <v>397</v>
      </c>
      <c r="L212" t="s">
        <v>530</v>
      </c>
      <c r="M212" t="s">
        <v>398</v>
      </c>
      <c r="N212" t="s">
        <v>465</v>
      </c>
    </row>
    <row r="213" spans="2:14" hidden="1" x14ac:dyDescent="0.25">
      <c r="C213" t="s">
        <v>401</v>
      </c>
      <c r="D213" s="3" t="s">
        <v>411</v>
      </c>
      <c r="E213" s="3" t="s">
        <v>464</v>
      </c>
      <c r="F213">
        <v>5</v>
      </c>
      <c r="G213" s="3">
        <f t="shared" si="12"/>
        <v>0.45833333333333331</v>
      </c>
      <c r="H213" s="3">
        <f t="shared" si="13"/>
        <v>9.166666666666666E-2</v>
      </c>
      <c r="I213" s="1">
        <f t="shared" si="11"/>
        <v>12</v>
      </c>
      <c r="J213" t="s">
        <v>529</v>
      </c>
      <c r="K213" t="s">
        <v>397</v>
      </c>
      <c r="L213" t="s">
        <v>531</v>
      </c>
      <c r="M213" t="s">
        <v>398</v>
      </c>
      <c r="N213" t="s">
        <v>433</v>
      </c>
    </row>
    <row r="214" spans="2:14" hidden="1" x14ac:dyDescent="0.25">
      <c r="C214" t="s">
        <v>407</v>
      </c>
      <c r="D214" s="3" t="s">
        <v>411</v>
      </c>
      <c r="E214" s="3" t="s">
        <v>464</v>
      </c>
      <c r="F214">
        <v>5</v>
      </c>
      <c r="G214" s="3">
        <f t="shared" si="12"/>
        <v>0.45833333333333331</v>
      </c>
      <c r="H214" s="3">
        <f t="shared" si="13"/>
        <v>9.166666666666666E-2</v>
      </c>
      <c r="I214" s="1">
        <f t="shared" si="11"/>
        <v>12</v>
      </c>
      <c r="J214" t="s">
        <v>529</v>
      </c>
      <c r="K214" t="s">
        <v>397</v>
      </c>
      <c r="L214" t="s">
        <v>531</v>
      </c>
      <c r="M214" t="s">
        <v>398</v>
      </c>
      <c r="N214" t="s">
        <v>433</v>
      </c>
    </row>
    <row r="215" spans="2:14" hidden="1" x14ac:dyDescent="0.25">
      <c r="C215" t="s">
        <v>393</v>
      </c>
      <c r="D215" s="3" t="s">
        <v>411</v>
      </c>
      <c r="E215" s="3" t="s">
        <v>464</v>
      </c>
      <c r="F215">
        <v>5</v>
      </c>
      <c r="G215" s="3">
        <f t="shared" si="12"/>
        <v>0.45833333333333331</v>
      </c>
      <c r="H215" s="3">
        <f t="shared" si="13"/>
        <v>9.166666666666666E-2</v>
      </c>
      <c r="I215" s="1">
        <f t="shared" si="11"/>
        <v>12</v>
      </c>
      <c r="J215" t="s">
        <v>529</v>
      </c>
      <c r="K215" t="s">
        <v>397</v>
      </c>
      <c r="L215" t="s">
        <v>531</v>
      </c>
      <c r="M215" t="s">
        <v>398</v>
      </c>
      <c r="N215" t="s">
        <v>433</v>
      </c>
    </row>
    <row r="216" spans="2:14" hidden="1" x14ac:dyDescent="0.25">
      <c r="C216" t="s">
        <v>406</v>
      </c>
      <c r="D216" s="3" t="s">
        <v>411</v>
      </c>
      <c r="E216" s="3" t="s">
        <v>464</v>
      </c>
      <c r="F216">
        <v>5</v>
      </c>
      <c r="G216" s="3">
        <f t="shared" si="12"/>
        <v>0.45833333333333331</v>
      </c>
      <c r="H216" s="3">
        <f t="shared" si="13"/>
        <v>9.166666666666666E-2</v>
      </c>
      <c r="I216" s="1">
        <f t="shared" si="11"/>
        <v>12</v>
      </c>
      <c r="J216" t="s">
        <v>529</v>
      </c>
      <c r="K216" t="s">
        <v>397</v>
      </c>
      <c r="L216" t="s">
        <v>531</v>
      </c>
      <c r="M216" t="s">
        <v>398</v>
      </c>
      <c r="N216" t="s">
        <v>433</v>
      </c>
    </row>
    <row r="217" spans="2:14" hidden="1" x14ac:dyDescent="0.25">
      <c r="C217" t="s">
        <v>400</v>
      </c>
      <c r="D217" s="3" t="s">
        <v>411</v>
      </c>
      <c r="E217" s="3" t="s">
        <v>464</v>
      </c>
      <c r="F217">
        <v>5</v>
      </c>
      <c r="G217" s="3">
        <f t="shared" si="12"/>
        <v>0.45833333333333331</v>
      </c>
      <c r="H217" s="3">
        <f t="shared" si="13"/>
        <v>9.166666666666666E-2</v>
      </c>
      <c r="I217" s="1">
        <f t="shared" si="11"/>
        <v>12</v>
      </c>
      <c r="J217" t="s">
        <v>529</v>
      </c>
      <c r="K217" t="s">
        <v>397</v>
      </c>
      <c r="L217" t="s">
        <v>531</v>
      </c>
      <c r="M217" t="s">
        <v>398</v>
      </c>
      <c r="N217" t="s">
        <v>433</v>
      </c>
    </row>
    <row r="218" spans="2:14" hidden="1" x14ac:dyDescent="0.25">
      <c r="C218" t="s">
        <v>422</v>
      </c>
      <c r="D218" s="3" t="s">
        <v>411</v>
      </c>
      <c r="E218" s="3" t="s">
        <v>445</v>
      </c>
      <c r="F218">
        <v>5</v>
      </c>
      <c r="G218" s="3">
        <f t="shared" si="12"/>
        <v>0.20833333333333331</v>
      </c>
      <c r="H218" s="3">
        <f t="shared" si="13"/>
        <v>4.1666666666666664E-2</v>
      </c>
      <c r="I218" s="1">
        <f t="shared" si="11"/>
        <v>0</v>
      </c>
      <c r="J218" t="s">
        <v>529</v>
      </c>
      <c r="K218" t="s">
        <v>397</v>
      </c>
      <c r="L218" t="s">
        <v>531</v>
      </c>
      <c r="M218" t="s">
        <v>398</v>
      </c>
      <c r="N218" t="s">
        <v>433</v>
      </c>
    </row>
    <row r="219" spans="2:14" hidden="1" x14ac:dyDescent="0.25">
      <c r="B219" t="s">
        <v>532</v>
      </c>
      <c r="C219" t="s">
        <v>393</v>
      </c>
      <c r="D219" s="3" t="s">
        <v>449</v>
      </c>
      <c r="E219" s="3" t="s">
        <v>492</v>
      </c>
      <c r="F219">
        <v>5</v>
      </c>
      <c r="G219" s="3">
        <f t="shared" si="12"/>
        <v>0.10763888888888884</v>
      </c>
      <c r="H219" s="3">
        <f t="shared" si="13"/>
        <v>2.1527777777777767E-2</v>
      </c>
      <c r="I219" s="1">
        <f t="shared" si="11"/>
        <v>31</v>
      </c>
      <c r="J219" t="s">
        <v>497</v>
      </c>
      <c r="K219" t="s">
        <v>417</v>
      </c>
      <c r="L219" t="s">
        <v>143</v>
      </c>
      <c r="M219" t="s">
        <v>398</v>
      </c>
      <c r="N219" t="s">
        <v>405</v>
      </c>
    </row>
    <row r="220" spans="2:14" hidden="1" x14ac:dyDescent="0.25">
      <c r="B220" t="s">
        <v>506</v>
      </c>
      <c r="C220" t="s">
        <v>422</v>
      </c>
      <c r="D220" s="3" t="s">
        <v>403</v>
      </c>
      <c r="E220" s="3" t="s">
        <v>426</v>
      </c>
      <c r="F220">
        <v>15</v>
      </c>
      <c r="G220" s="3">
        <f t="shared" si="12"/>
        <v>0.19097222222222227</v>
      </c>
      <c r="H220" s="3">
        <f t="shared" si="13"/>
        <v>1.2731481481481484E-2</v>
      </c>
      <c r="I220" s="1">
        <f t="shared" si="11"/>
        <v>18</v>
      </c>
      <c r="J220" t="s">
        <v>404</v>
      </c>
      <c r="K220" t="s">
        <v>397</v>
      </c>
      <c r="L220" t="s">
        <v>373</v>
      </c>
      <c r="M220" t="s">
        <v>398</v>
      </c>
      <c r="N220" t="s">
        <v>399</v>
      </c>
    </row>
    <row r="221" spans="2:14" hidden="1" x14ac:dyDescent="0.25">
      <c r="C221" t="s">
        <v>407</v>
      </c>
      <c r="D221" s="3" t="s">
        <v>403</v>
      </c>
      <c r="E221" s="3" t="s">
        <v>494</v>
      </c>
      <c r="F221">
        <v>10</v>
      </c>
      <c r="G221" s="3">
        <f t="shared" si="12"/>
        <v>0.40277777777777785</v>
      </c>
      <c r="H221" s="3">
        <f t="shared" si="13"/>
        <v>4.0277777777777787E-2</v>
      </c>
      <c r="I221" s="1">
        <f t="shared" si="11"/>
        <v>58</v>
      </c>
      <c r="J221" t="s">
        <v>432</v>
      </c>
      <c r="K221" t="s">
        <v>397</v>
      </c>
      <c r="L221" t="s">
        <v>150</v>
      </c>
      <c r="M221" t="s">
        <v>398</v>
      </c>
      <c r="N221" t="s">
        <v>447</v>
      </c>
    </row>
    <row r="222" spans="2:14" hidden="1" x14ac:dyDescent="0.25">
      <c r="C222" t="s">
        <v>393</v>
      </c>
      <c r="D222" s="3" t="s">
        <v>403</v>
      </c>
      <c r="E222" s="3" t="s">
        <v>402</v>
      </c>
      <c r="F222">
        <v>15</v>
      </c>
      <c r="G222" s="3">
        <f t="shared" si="12"/>
        <v>0.14930555555555558</v>
      </c>
      <c r="H222" s="3">
        <f t="shared" si="13"/>
        <v>9.9537037037037059E-3</v>
      </c>
      <c r="I222" s="1">
        <f t="shared" si="11"/>
        <v>14</v>
      </c>
      <c r="J222" t="s">
        <v>517</v>
      </c>
      <c r="K222" t="s">
        <v>397</v>
      </c>
      <c r="L222" t="s">
        <v>153</v>
      </c>
      <c r="M222" t="s">
        <v>398</v>
      </c>
      <c r="N222" t="s">
        <v>399</v>
      </c>
    </row>
    <row r="223" spans="2:14" hidden="1" x14ac:dyDescent="0.25">
      <c r="C223" t="s">
        <v>401</v>
      </c>
      <c r="D223" s="3" t="s">
        <v>411</v>
      </c>
      <c r="E223" s="3" t="s">
        <v>464</v>
      </c>
      <c r="F223">
        <v>5</v>
      </c>
      <c r="G223" s="3">
        <f t="shared" si="12"/>
        <v>0.45833333333333331</v>
      </c>
      <c r="H223" s="3">
        <f t="shared" si="13"/>
        <v>9.166666666666666E-2</v>
      </c>
      <c r="I223" s="1">
        <f t="shared" si="11"/>
        <v>12</v>
      </c>
      <c r="J223" t="s">
        <v>529</v>
      </c>
      <c r="K223" t="s">
        <v>397</v>
      </c>
      <c r="L223" t="s">
        <v>533</v>
      </c>
      <c r="M223" t="s">
        <v>398</v>
      </c>
      <c r="N223" t="s">
        <v>447</v>
      </c>
    </row>
    <row r="224" spans="2:14" hidden="1" x14ac:dyDescent="0.25">
      <c r="C224" t="s">
        <v>407</v>
      </c>
      <c r="D224" s="3" t="s">
        <v>411</v>
      </c>
      <c r="E224" s="3" t="s">
        <v>464</v>
      </c>
      <c r="F224">
        <v>5</v>
      </c>
      <c r="G224" s="3">
        <f t="shared" si="12"/>
        <v>0.45833333333333331</v>
      </c>
      <c r="H224" s="3">
        <f t="shared" si="13"/>
        <v>9.166666666666666E-2</v>
      </c>
      <c r="I224" s="1">
        <f t="shared" si="11"/>
        <v>12</v>
      </c>
      <c r="J224" t="s">
        <v>529</v>
      </c>
      <c r="K224" t="s">
        <v>397</v>
      </c>
      <c r="L224" t="s">
        <v>533</v>
      </c>
      <c r="M224" t="s">
        <v>398</v>
      </c>
      <c r="N224" t="s">
        <v>447</v>
      </c>
    </row>
    <row r="225" spans="2:14" hidden="1" x14ac:dyDescent="0.25">
      <c r="C225" t="s">
        <v>393</v>
      </c>
      <c r="D225" s="3" t="s">
        <v>411</v>
      </c>
      <c r="E225" s="3" t="s">
        <v>464</v>
      </c>
      <c r="F225">
        <v>5</v>
      </c>
      <c r="G225" s="3">
        <f t="shared" si="12"/>
        <v>0.45833333333333331</v>
      </c>
      <c r="H225" s="3">
        <f t="shared" si="13"/>
        <v>9.166666666666666E-2</v>
      </c>
      <c r="I225" s="1">
        <f t="shared" si="11"/>
        <v>12</v>
      </c>
      <c r="J225" t="s">
        <v>529</v>
      </c>
      <c r="K225" t="s">
        <v>397</v>
      </c>
      <c r="L225" t="s">
        <v>533</v>
      </c>
      <c r="M225" t="s">
        <v>398</v>
      </c>
      <c r="N225" t="s">
        <v>447</v>
      </c>
    </row>
    <row r="226" spans="2:14" hidden="1" x14ac:dyDescent="0.25">
      <c r="C226" t="s">
        <v>406</v>
      </c>
      <c r="D226" s="3" t="s">
        <v>411</v>
      </c>
      <c r="E226" s="3" t="s">
        <v>464</v>
      </c>
      <c r="F226">
        <v>5</v>
      </c>
      <c r="G226" s="3">
        <f t="shared" si="12"/>
        <v>0.45833333333333331</v>
      </c>
      <c r="H226" s="3">
        <f t="shared" si="13"/>
        <v>9.166666666666666E-2</v>
      </c>
      <c r="I226" s="1">
        <f t="shared" si="11"/>
        <v>12</v>
      </c>
      <c r="J226" t="s">
        <v>529</v>
      </c>
      <c r="K226" t="s">
        <v>397</v>
      </c>
      <c r="L226" t="s">
        <v>533</v>
      </c>
      <c r="M226" t="s">
        <v>398</v>
      </c>
      <c r="N226" t="s">
        <v>447</v>
      </c>
    </row>
    <row r="227" spans="2:14" hidden="1" x14ac:dyDescent="0.25">
      <c r="C227" t="s">
        <v>400</v>
      </c>
      <c r="D227" s="3" t="s">
        <v>411</v>
      </c>
      <c r="E227" s="3" t="s">
        <v>464</v>
      </c>
      <c r="F227">
        <v>5</v>
      </c>
      <c r="G227" s="3">
        <f t="shared" si="12"/>
        <v>0.45833333333333331</v>
      </c>
      <c r="H227" s="3">
        <f t="shared" si="13"/>
        <v>9.166666666666666E-2</v>
      </c>
      <c r="I227" s="1">
        <f t="shared" si="11"/>
        <v>12</v>
      </c>
      <c r="J227" t="s">
        <v>529</v>
      </c>
      <c r="K227" t="s">
        <v>397</v>
      </c>
      <c r="L227" t="s">
        <v>533</v>
      </c>
      <c r="M227" t="s">
        <v>398</v>
      </c>
      <c r="N227" t="s">
        <v>447</v>
      </c>
    </row>
    <row r="228" spans="2:14" hidden="1" x14ac:dyDescent="0.25">
      <c r="C228" t="s">
        <v>422</v>
      </c>
      <c r="D228" s="3" t="s">
        <v>411</v>
      </c>
      <c r="E228" s="3" t="s">
        <v>445</v>
      </c>
      <c r="F228">
        <v>5</v>
      </c>
      <c r="G228" s="3">
        <f t="shared" si="12"/>
        <v>0.20833333333333331</v>
      </c>
      <c r="H228" s="3">
        <f t="shared" si="13"/>
        <v>4.1666666666666664E-2</v>
      </c>
      <c r="I228" s="1">
        <f t="shared" si="11"/>
        <v>0</v>
      </c>
      <c r="J228" t="s">
        <v>529</v>
      </c>
      <c r="K228" t="s">
        <v>397</v>
      </c>
      <c r="L228" t="s">
        <v>533</v>
      </c>
      <c r="M228" t="s">
        <v>398</v>
      </c>
      <c r="N228" t="s">
        <v>447</v>
      </c>
    </row>
    <row r="229" spans="2:14" hidden="1" x14ac:dyDescent="0.25">
      <c r="C229" t="s">
        <v>407</v>
      </c>
      <c r="D229" s="3" t="s">
        <v>416</v>
      </c>
      <c r="E229" s="3" t="s">
        <v>534</v>
      </c>
      <c r="F229">
        <v>10</v>
      </c>
      <c r="G229" s="3">
        <f t="shared" si="12"/>
        <v>0.15972222222222221</v>
      </c>
      <c r="H229" s="3">
        <f t="shared" si="13"/>
        <v>1.5972222222222221E-2</v>
      </c>
      <c r="I229" s="1">
        <f t="shared" si="11"/>
        <v>23</v>
      </c>
      <c r="J229" t="s">
        <v>517</v>
      </c>
      <c r="K229" t="s">
        <v>417</v>
      </c>
      <c r="L229" t="s">
        <v>88</v>
      </c>
      <c r="M229" t="s">
        <v>398</v>
      </c>
      <c r="N229" t="s">
        <v>399</v>
      </c>
    </row>
    <row r="230" spans="2:14" hidden="1" x14ac:dyDescent="0.25">
      <c r="C230" t="s">
        <v>393</v>
      </c>
      <c r="D230" s="3" t="s">
        <v>411</v>
      </c>
      <c r="E230" s="3" t="s">
        <v>441</v>
      </c>
      <c r="F230">
        <v>5</v>
      </c>
      <c r="G230" s="3">
        <f t="shared" si="12"/>
        <v>0.4548611111111111</v>
      </c>
      <c r="H230" s="3">
        <f t="shared" si="13"/>
        <v>9.0972222222222218E-2</v>
      </c>
      <c r="I230" s="1">
        <f t="shared" si="11"/>
        <v>11</v>
      </c>
      <c r="J230" t="s">
        <v>459</v>
      </c>
      <c r="K230" t="s">
        <v>397</v>
      </c>
      <c r="L230" t="s">
        <v>157</v>
      </c>
      <c r="M230" t="s">
        <v>398</v>
      </c>
      <c r="N230" t="s">
        <v>465</v>
      </c>
    </row>
    <row r="231" spans="2:14" hidden="1" x14ac:dyDescent="0.25">
      <c r="B231" t="s">
        <v>535</v>
      </c>
      <c r="C231" t="s">
        <v>406</v>
      </c>
      <c r="D231" s="3" t="s">
        <v>419</v>
      </c>
      <c r="E231" s="3" t="s">
        <v>536</v>
      </c>
      <c r="F231">
        <v>10</v>
      </c>
      <c r="G231" s="3">
        <f t="shared" si="12"/>
        <v>0.28472222222222221</v>
      </c>
      <c r="H231" s="3">
        <f t="shared" si="13"/>
        <v>2.8472222222222222E-2</v>
      </c>
      <c r="I231" s="1">
        <f t="shared" si="11"/>
        <v>41</v>
      </c>
      <c r="J231" t="s">
        <v>497</v>
      </c>
      <c r="K231" t="s">
        <v>397</v>
      </c>
      <c r="L231" t="s">
        <v>154</v>
      </c>
      <c r="M231" t="s">
        <v>398</v>
      </c>
      <c r="N231" t="s">
        <v>405</v>
      </c>
    </row>
    <row r="232" spans="2:14" hidden="1" x14ac:dyDescent="0.25">
      <c r="B232" t="s">
        <v>537</v>
      </c>
      <c r="C232" t="s">
        <v>401</v>
      </c>
      <c r="D232" s="3" t="s">
        <v>403</v>
      </c>
      <c r="E232" s="3" t="s">
        <v>538</v>
      </c>
      <c r="F232">
        <v>10</v>
      </c>
      <c r="G232" s="3">
        <f t="shared" si="12"/>
        <v>0.2013888888888889</v>
      </c>
      <c r="H232" s="3">
        <f t="shared" si="13"/>
        <v>2.013888888888889E-2</v>
      </c>
      <c r="I232" s="1">
        <f t="shared" si="11"/>
        <v>29</v>
      </c>
      <c r="J232" t="s">
        <v>497</v>
      </c>
      <c r="K232" t="s">
        <v>397</v>
      </c>
      <c r="L232" t="s">
        <v>154</v>
      </c>
      <c r="M232" t="s">
        <v>398</v>
      </c>
      <c r="N232" t="s">
        <v>405</v>
      </c>
    </row>
    <row r="233" spans="2:14" hidden="1" x14ac:dyDescent="0.25">
      <c r="C233" t="s">
        <v>401</v>
      </c>
      <c r="D233" s="3" t="s">
        <v>403</v>
      </c>
      <c r="E233" s="3" t="s">
        <v>494</v>
      </c>
      <c r="F233">
        <v>20</v>
      </c>
      <c r="G233" s="3">
        <f t="shared" si="12"/>
        <v>0.40277777777777785</v>
      </c>
      <c r="H233" s="3">
        <f t="shared" si="13"/>
        <v>2.0138888888888894E-2</v>
      </c>
      <c r="I233" s="1">
        <f t="shared" si="11"/>
        <v>29</v>
      </c>
      <c r="J233" t="s">
        <v>526</v>
      </c>
      <c r="K233" t="s">
        <v>397</v>
      </c>
      <c r="L233" t="s">
        <v>155</v>
      </c>
      <c r="M233" t="s">
        <v>398</v>
      </c>
      <c r="N233" t="s">
        <v>447</v>
      </c>
    </row>
    <row r="234" spans="2:14" hidden="1" x14ac:dyDescent="0.25">
      <c r="C234" t="s">
        <v>407</v>
      </c>
      <c r="D234" s="3" t="s">
        <v>403</v>
      </c>
      <c r="E234" s="3" t="s">
        <v>494</v>
      </c>
      <c r="F234">
        <v>20</v>
      </c>
      <c r="G234" s="3">
        <f t="shared" si="12"/>
        <v>0.40277777777777785</v>
      </c>
      <c r="H234" s="3">
        <f t="shared" si="13"/>
        <v>2.0138888888888894E-2</v>
      </c>
      <c r="I234" s="1">
        <f t="shared" si="11"/>
        <v>29</v>
      </c>
      <c r="J234" t="s">
        <v>526</v>
      </c>
      <c r="K234" t="s">
        <v>397</v>
      </c>
      <c r="L234" t="s">
        <v>155</v>
      </c>
      <c r="M234" t="s">
        <v>398</v>
      </c>
      <c r="N234" t="s">
        <v>447</v>
      </c>
    </row>
    <row r="235" spans="2:14" hidden="1" x14ac:dyDescent="0.25">
      <c r="C235" t="s">
        <v>393</v>
      </c>
      <c r="D235" s="3" t="s">
        <v>403</v>
      </c>
      <c r="E235" s="3" t="s">
        <v>415</v>
      </c>
      <c r="F235">
        <v>20</v>
      </c>
      <c r="G235" s="3">
        <f t="shared" si="12"/>
        <v>0.31944444444444448</v>
      </c>
      <c r="H235" s="3">
        <f t="shared" si="13"/>
        <v>1.5972222222222224E-2</v>
      </c>
      <c r="I235" s="1">
        <f t="shared" si="11"/>
        <v>23</v>
      </c>
      <c r="J235" t="s">
        <v>526</v>
      </c>
      <c r="K235" t="s">
        <v>397</v>
      </c>
      <c r="L235" t="s">
        <v>155</v>
      </c>
      <c r="M235" t="s">
        <v>398</v>
      </c>
      <c r="N235" t="s">
        <v>447</v>
      </c>
    </row>
    <row r="236" spans="2:14" hidden="1" x14ac:dyDescent="0.25">
      <c r="C236" t="s">
        <v>406</v>
      </c>
      <c r="D236" s="3" t="s">
        <v>403</v>
      </c>
      <c r="E236" s="3" t="s">
        <v>494</v>
      </c>
      <c r="F236">
        <v>20</v>
      </c>
      <c r="G236" s="3">
        <f t="shared" si="12"/>
        <v>0.40277777777777785</v>
      </c>
      <c r="H236" s="3">
        <f t="shared" si="13"/>
        <v>2.0138888888888894E-2</v>
      </c>
      <c r="I236" s="1">
        <f t="shared" si="11"/>
        <v>29</v>
      </c>
      <c r="J236" t="s">
        <v>526</v>
      </c>
      <c r="K236" t="s">
        <v>397</v>
      </c>
      <c r="L236" t="s">
        <v>155</v>
      </c>
      <c r="M236" t="s">
        <v>398</v>
      </c>
      <c r="N236" t="s">
        <v>447</v>
      </c>
    </row>
    <row r="237" spans="2:14" hidden="1" x14ac:dyDescent="0.25">
      <c r="C237" t="s">
        <v>400</v>
      </c>
      <c r="D237" s="3" t="s">
        <v>403</v>
      </c>
      <c r="E237" s="3" t="s">
        <v>415</v>
      </c>
      <c r="F237">
        <v>20</v>
      </c>
      <c r="G237" s="3">
        <f t="shared" si="12"/>
        <v>0.31944444444444448</v>
      </c>
      <c r="H237" s="3">
        <f t="shared" si="13"/>
        <v>1.5972222222222224E-2</v>
      </c>
      <c r="I237" s="1">
        <f t="shared" si="11"/>
        <v>23</v>
      </c>
      <c r="J237" t="s">
        <v>526</v>
      </c>
      <c r="K237" t="s">
        <v>397</v>
      </c>
      <c r="L237" t="s">
        <v>155</v>
      </c>
      <c r="M237" t="s">
        <v>398</v>
      </c>
      <c r="N237" t="s">
        <v>447</v>
      </c>
    </row>
    <row r="238" spans="2:14" hidden="1" x14ac:dyDescent="0.25">
      <c r="C238" t="s">
        <v>401</v>
      </c>
      <c r="D238" s="3" t="s">
        <v>403</v>
      </c>
      <c r="E238" s="3" t="s">
        <v>498</v>
      </c>
      <c r="F238">
        <v>10</v>
      </c>
      <c r="G238" s="3">
        <f t="shared" si="12"/>
        <v>0.35416666666666669</v>
      </c>
      <c r="H238" s="3">
        <f t="shared" si="13"/>
        <v>3.5416666666666666E-2</v>
      </c>
      <c r="I238" s="1">
        <f t="shared" si="11"/>
        <v>51</v>
      </c>
      <c r="J238" t="s">
        <v>539</v>
      </c>
      <c r="K238" t="s">
        <v>397</v>
      </c>
      <c r="L238" t="s">
        <v>161</v>
      </c>
      <c r="M238" t="s">
        <v>398</v>
      </c>
      <c r="N238" t="s">
        <v>405</v>
      </c>
    </row>
    <row r="239" spans="2:14" hidden="1" x14ac:dyDescent="0.25">
      <c r="C239" t="s">
        <v>407</v>
      </c>
      <c r="D239" s="3" t="s">
        <v>403</v>
      </c>
      <c r="E239" s="3" t="s">
        <v>498</v>
      </c>
      <c r="F239">
        <v>10</v>
      </c>
      <c r="G239" s="3">
        <f t="shared" si="12"/>
        <v>0.35416666666666669</v>
      </c>
      <c r="H239" s="3">
        <f t="shared" si="13"/>
        <v>3.5416666666666666E-2</v>
      </c>
      <c r="I239" s="1">
        <f t="shared" si="11"/>
        <v>51</v>
      </c>
      <c r="J239" t="s">
        <v>539</v>
      </c>
      <c r="K239" t="s">
        <v>397</v>
      </c>
      <c r="L239" t="s">
        <v>161</v>
      </c>
      <c r="M239" t="s">
        <v>398</v>
      </c>
      <c r="N239" t="s">
        <v>405</v>
      </c>
    </row>
    <row r="240" spans="2:14" hidden="1" x14ac:dyDescent="0.25">
      <c r="C240" t="s">
        <v>393</v>
      </c>
      <c r="D240" s="3" t="s">
        <v>403</v>
      </c>
      <c r="E240" s="3" t="s">
        <v>498</v>
      </c>
      <c r="F240">
        <v>10</v>
      </c>
      <c r="G240" s="3">
        <f t="shared" si="12"/>
        <v>0.35416666666666669</v>
      </c>
      <c r="H240" s="3">
        <f t="shared" si="13"/>
        <v>3.5416666666666666E-2</v>
      </c>
      <c r="I240" s="1">
        <f t="shared" si="11"/>
        <v>51</v>
      </c>
      <c r="J240" t="s">
        <v>539</v>
      </c>
      <c r="K240" t="s">
        <v>397</v>
      </c>
      <c r="L240" t="s">
        <v>161</v>
      </c>
      <c r="M240" t="s">
        <v>398</v>
      </c>
      <c r="N240" t="s">
        <v>405</v>
      </c>
    </row>
    <row r="241" spans="3:14" hidden="1" x14ac:dyDescent="0.25">
      <c r="C241" t="s">
        <v>406</v>
      </c>
      <c r="D241" s="3" t="s">
        <v>403</v>
      </c>
      <c r="E241" s="3" t="s">
        <v>498</v>
      </c>
      <c r="F241">
        <v>10</v>
      </c>
      <c r="G241" s="3">
        <f t="shared" si="12"/>
        <v>0.35416666666666669</v>
      </c>
      <c r="H241" s="3">
        <f t="shared" si="13"/>
        <v>3.5416666666666666E-2</v>
      </c>
      <c r="I241" s="1">
        <f t="shared" si="11"/>
        <v>51</v>
      </c>
      <c r="J241" t="s">
        <v>539</v>
      </c>
      <c r="K241" t="s">
        <v>397</v>
      </c>
      <c r="L241" t="s">
        <v>161</v>
      </c>
      <c r="M241" t="s">
        <v>398</v>
      </c>
      <c r="N241" t="s">
        <v>405</v>
      </c>
    </row>
    <row r="242" spans="3:14" hidden="1" x14ac:dyDescent="0.25">
      <c r="C242" t="s">
        <v>400</v>
      </c>
      <c r="D242" s="3" t="s">
        <v>403</v>
      </c>
      <c r="E242" s="3" t="s">
        <v>498</v>
      </c>
      <c r="F242">
        <v>10</v>
      </c>
      <c r="G242" s="3">
        <f t="shared" si="12"/>
        <v>0.35416666666666669</v>
      </c>
      <c r="H242" s="3">
        <f t="shared" si="13"/>
        <v>3.5416666666666666E-2</v>
      </c>
      <c r="I242" s="1">
        <f t="shared" si="11"/>
        <v>51</v>
      </c>
      <c r="J242" t="s">
        <v>539</v>
      </c>
      <c r="K242" t="s">
        <v>397</v>
      </c>
      <c r="L242" t="s">
        <v>161</v>
      </c>
      <c r="M242" t="s">
        <v>398</v>
      </c>
      <c r="N242" t="s">
        <v>405</v>
      </c>
    </row>
    <row r="243" spans="3:14" hidden="1" x14ac:dyDescent="0.25">
      <c r="C243" t="s">
        <v>422</v>
      </c>
      <c r="D243" s="3" t="s">
        <v>403</v>
      </c>
      <c r="E243" s="3" t="s">
        <v>412</v>
      </c>
      <c r="F243">
        <v>10</v>
      </c>
      <c r="G243" s="3">
        <f t="shared" si="12"/>
        <v>0.15277777777777779</v>
      </c>
      <c r="H243" s="3">
        <f t="shared" si="13"/>
        <v>1.5277777777777779E-2</v>
      </c>
      <c r="I243" s="1">
        <f t="shared" si="11"/>
        <v>22</v>
      </c>
      <c r="J243" t="s">
        <v>539</v>
      </c>
      <c r="K243" t="s">
        <v>397</v>
      </c>
      <c r="L243" t="s">
        <v>161</v>
      </c>
      <c r="M243" t="s">
        <v>398</v>
      </c>
      <c r="N243" t="s">
        <v>405</v>
      </c>
    </row>
    <row r="244" spans="3:14" hidden="1" x14ac:dyDescent="0.25">
      <c r="C244" t="s">
        <v>401</v>
      </c>
      <c r="D244" s="3" t="s">
        <v>403</v>
      </c>
      <c r="E244" s="3" t="s">
        <v>540</v>
      </c>
      <c r="F244">
        <v>10</v>
      </c>
      <c r="G244" s="3">
        <f t="shared" si="12"/>
        <v>0.5347222222222221</v>
      </c>
      <c r="H244" s="3">
        <f t="shared" si="13"/>
        <v>5.3472222222222213E-2</v>
      </c>
      <c r="I244" s="1">
        <f t="shared" si="11"/>
        <v>17</v>
      </c>
      <c r="J244" t="s">
        <v>541</v>
      </c>
      <c r="K244" t="s">
        <v>397</v>
      </c>
      <c r="L244" t="s">
        <v>300</v>
      </c>
      <c r="M244" t="s">
        <v>398</v>
      </c>
      <c r="N244" t="s">
        <v>465</v>
      </c>
    </row>
    <row r="245" spans="3:14" hidden="1" x14ac:dyDescent="0.25">
      <c r="C245" t="s">
        <v>407</v>
      </c>
      <c r="D245" s="3" t="s">
        <v>403</v>
      </c>
      <c r="E245" s="3" t="s">
        <v>540</v>
      </c>
      <c r="F245">
        <v>10</v>
      </c>
      <c r="G245" s="3">
        <f t="shared" si="12"/>
        <v>0.5347222222222221</v>
      </c>
      <c r="H245" s="3">
        <f t="shared" si="13"/>
        <v>5.3472222222222213E-2</v>
      </c>
      <c r="I245" s="1">
        <f t="shared" si="11"/>
        <v>17</v>
      </c>
      <c r="J245" t="s">
        <v>541</v>
      </c>
      <c r="K245" t="s">
        <v>397</v>
      </c>
      <c r="L245" t="s">
        <v>300</v>
      </c>
      <c r="M245" t="s">
        <v>398</v>
      </c>
      <c r="N245" t="s">
        <v>465</v>
      </c>
    </row>
    <row r="246" spans="3:14" hidden="1" x14ac:dyDescent="0.25">
      <c r="C246" t="s">
        <v>393</v>
      </c>
      <c r="D246" s="3" t="s">
        <v>403</v>
      </c>
      <c r="E246" s="3" t="s">
        <v>540</v>
      </c>
      <c r="F246">
        <v>10</v>
      </c>
      <c r="G246" s="3">
        <f t="shared" si="12"/>
        <v>0.5347222222222221</v>
      </c>
      <c r="H246" s="3">
        <f t="shared" si="13"/>
        <v>5.3472222222222213E-2</v>
      </c>
      <c r="I246" s="1">
        <f t="shared" si="11"/>
        <v>17</v>
      </c>
      <c r="J246" t="s">
        <v>541</v>
      </c>
      <c r="K246" t="s">
        <v>397</v>
      </c>
      <c r="L246" t="s">
        <v>300</v>
      </c>
      <c r="M246" t="s">
        <v>398</v>
      </c>
      <c r="N246" t="s">
        <v>465</v>
      </c>
    </row>
    <row r="247" spans="3:14" hidden="1" x14ac:dyDescent="0.25">
      <c r="C247" t="s">
        <v>406</v>
      </c>
      <c r="D247" s="3" t="s">
        <v>403</v>
      </c>
      <c r="E247" s="3" t="s">
        <v>540</v>
      </c>
      <c r="F247">
        <v>10</v>
      </c>
      <c r="G247" s="3">
        <f t="shared" si="12"/>
        <v>0.5347222222222221</v>
      </c>
      <c r="H247" s="3">
        <f t="shared" si="13"/>
        <v>5.3472222222222213E-2</v>
      </c>
      <c r="I247" s="1">
        <f t="shared" si="11"/>
        <v>17</v>
      </c>
      <c r="J247" t="s">
        <v>541</v>
      </c>
      <c r="K247" t="s">
        <v>397</v>
      </c>
      <c r="L247" t="s">
        <v>300</v>
      </c>
      <c r="M247" t="s">
        <v>398</v>
      </c>
      <c r="N247" t="s">
        <v>465</v>
      </c>
    </row>
    <row r="248" spans="3:14" hidden="1" x14ac:dyDescent="0.25">
      <c r="C248" t="s">
        <v>400</v>
      </c>
      <c r="D248" s="3" t="s">
        <v>403</v>
      </c>
      <c r="E248" s="3" t="s">
        <v>540</v>
      </c>
      <c r="F248">
        <v>10</v>
      </c>
      <c r="G248" s="3">
        <f t="shared" si="12"/>
        <v>0.5347222222222221</v>
      </c>
      <c r="H248" s="3">
        <f t="shared" si="13"/>
        <v>5.3472222222222213E-2</v>
      </c>
      <c r="I248" s="1">
        <f t="shared" si="11"/>
        <v>17</v>
      </c>
      <c r="J248" t="s">
        <v>541</v>
      </c>
      <c r="K248" t="s">
        <v>397</v>
      </c>
      <c r="L248" t="s">
        <v>300</v>
      </c>
      <c r="M248" t="s">
        <v>398</v>
      </c>
      <c r="N248" t="s">
        <v>465</v>
      </c>
    </row>
    <row r="249" spans="3:14" hidden="1" x14ac:dyDescent="0.25">
      <c r="C249" t="s">
        <v>491</v>
      </c>
      <c r="D249" s="3" t="s">
        <v>403</v>
      </c>
      <c r="E249" s="3" t="s">
        <v>479</v>
      </c>
      <c r="F249">
        <v>10</v>
      </c>
      <c r="G249" s="3">
        <f t="shared" si="12"/>
        <v>0.37500000000000006</v>
      </c>
      <c r="H249" s="3">
        <f t="shared" si="13"/>
        <v>3.7500000000000006E-2</v>
      </c>
      <c r="I249" s="1">
        <f t="shared" si="11"/>
        <v>54</v>
      </c>
      <c r="J249" t="s">
        <v>541</v>
      </c>
      <c r="K249" t="s">
        <v>397</v>
      </c>
      <c r="L249" t="s">
        <v>300</v>
      </c>
      <c r="M249" t="s">
        <v>398</v>
      </c>
      <c r="N249" t="s">
        <v>465</v>
      </c>
    </row>
    <row r="250" spans="3:14" hidden="1" x14ac:dyDescent="0.25">
      <c r="C250" t="s">
        <v>422</v>
      </c>
      <c r="D250" s="3" t="s">
        <v>411</v>
      </c>
      <c r="E250" s="3" t="s">
        <v>534</v>
      </c>
      <c r="F250">
        <v>10</v>
      </c>
      <c r="G250" s="3">
        <f t="shared" si="12"/>
        <v>0.40972222222222215</v>
      </c>
      <c r="H250" s="3">
        <f t="shared" si="13"/>
        <v>4.0972222222222215E-2</v>
      </c>
      <c r="I250" s="1">
        <f t="shared" si="11"/>
        <v>59</v>
      </c>
      <c r="J250" t="s">
        <v>541</v>
      </c>
      <c r="K250" t="s">
        <v>397</v>
      </c>
      <c r="L250" t="s">
        <v>300</v>
      </c>
      <c r="M250" t="s">
        <v>398</v>
      </c>
      <c r="N250" t="s">
        <v>465</v>
      </c>
    </row>
    <row r="251" spans="3:14" hidden="1" x14ac:dyDescent="0.25">
      <c r="C251" t="s">
        <v>401</v>
      </c>
      <c r="D251" s="3" t="s">
        <v>411</v>
      </c>
      <c r="E251" s="3" t="s">
        <v>542</v>
      </c>
      <c r="F251">
        <v>10</v>
      </c>
      <c r="G251" s="3">
        <f t="shared" si="12"/>
        <v>0.45138888888888878</v>
      </c>
      <c r="H251" s="3">
        <f t="shared" si="13"/>
        <v>4.5138888888888881E-2</v>
      </c>
      <c r="I251" s="1">
        <f t="shared" si="11"/>
        <v>5</v>
      </c>
      <c r="J251" t="s">
        <v>427</v>
      </c>
      <c r="K251" t="s">
        <v>397</v>
      </c>
      <c r="L251" t="s">
        <v>301</v>
      </c>
      <c r="M251" t="s">
        <v>398</v>
      </c>
      <c r="N251" t="s">
        <v>399</v>
      </c>
    </row>
    <row r="252" spans="3:14" hidden="1" x14ac:dyDescent="0.25">
      <c r="C252" t="s">
        <v>407</v>
      </c>
      <c r="D252" s="3" t="s">
        <v>411</v>
      </c>
      <c r="E252" s="3" t="s">
        <v>542</v>
      </c>
      <c r="F252">
        <v>10</v>
      </c>
      <c r="G252" s="3">
        <f t="shared" si="12"/>
        <v>0.45138888888888878</v>
      </c>
      <c r="H252" s="3">
        <f t="shared" si="13"/>
        <v>4.5138888888888881E-2</v>
      </c>
      <c r="I252" s="1">
        <f t="shared" si="11"/>
        <v>5</v>
      </c>
      <c r="J252" t="s">
        <v>427</v>
      </c>
      <c r="K252" t="s">
        <v>397</v>
      </c>
      <c r="L252" t="s">
        <v>301</v>
      </c>
      <c r="M252" t="s">
        <v>398</v>
      </c>
      <c r="N252" t="s">
        <v>399</v>
      </c>
    </row>
    <row r="253" spans="3:14" hidden="1" x14ac:dyDescent="0.25">
      <c r="C253" t="s">
        <v>393</v>
      </c>
      <c r="D253" s="3" t="s">
        <v>411</v>
      </c>
      <c r="E253" s="3" t="s">
        <v>542</v>
      </c>
      <c r="F253">
        <v>10</v>
      </c>
      <c r="G253" s="3">
        <f t="shared" si="12"/>
        <v>0.45138888888888878</v>
      </c>
      <c r="H253" s="3">
        <f t="shared" si="13"/>
        <v>4.5138888888888881E-2</v>
      </c>
      <c r="I253" s="1">
        <f t="shared" si="11"/>
        <v>5</v>
      </c>
      <c r="J253" t="s">
        <v>427</v>
      </c>
      <c r="K253" t="s">
        <v>397</v>
      </c>
      <c r="L253" t="s">
        <v>301</v>
      </c>
      <c r="M253" t="s">
        <v>398</v>
      </c>
      <c r="N253" t="s">
        <v>399</v>
      </c>
    </row>
    <row r="254" spans="3:14" hidden="1" x14ac:dyDescent="0.25">
      <c r="C254" t="s">
        <v>406</v>
      </c>
      <c r="D254" s="3" t="s">
        <v>411</v>
      </c>
      <c r="E254" s="3" t="s">
        <v>542</v>
      </c>
      <c r="F254">
        <v>10</v>
      </c>
      <c r="G254" s="3">
        <f t="shared" si="12"/>
        <v>0.45138888888888878</v>
      </c>
      <c r="H254" s="3">
        <f t="shared" si="13"/>
        <v>4.5138888888888881E-2</v>
      </c>
      <c r="I254" s="1">
        <f t="shared" si="11"/>
        <v>5</v>
      </c>
      <c r="J254" t="s">
        <v>427</v>
      </c>
      <c r="K254" t="s">
        <v>397</v>
      </c>
      <c r="L254" t="s">
        <v>301</v>
      </c>
      <c r="M254" t="s">
        <v>398</v>
      </c>
      <c r="N254" t="s">
        <v>399</v>
      </c>
    </row>
    <row r="255" spans="3:14" hidden="1" x14ac:dyDescent="0.25">
      <c r="C255" t="s">
        <v>400</v>
      </c>
      <c r="D255" s="3" t="s">
        <v>411</v>
      </c>
      <c r="E255" s="3" t="s">
        <v>542</v>
      </c>
      <c r="F255">
        <v>10</v>
      </c>
      <c r="G255" s="3">
        <f t="shared" si="12"/>
        <v>0.45138888888888878</v>
      </c>
      <c r="H255" s="3">
        <f t="shared" si="13"/>
        <v>4.5138888888888881E-2</v>
      </c>
      <c r="I255" s="1">
        <f t="shared" si="11"/>
        <v>5</v>
      </c>
      <c r="J255" t="s">
        <v>427</v>
      </c>
      <c r="K255" t="s">
        <v>397</v>
      </c>
      <c r="L255" t="s">
        <v>301</v>
      </c>
      <c r="M255" t="s">
        <v>398</v>
      </c>
      <c r="N255" t="s">
        <v>399</v>
      </c>
    </row>
    <row r="256" spans="3:14" hidden="1" x14ac:dyDescent="0.25">
      <c r="C256" t="s">
        <v>422</v>
      </c>
      <c r="D256" s="3" t="s">
        <v>403</v>
      </c>
      <c r="E256" s="3" t="s">
        <v>516</v>
      </c>
      <c r="F256">
        <v>10</v>
      </c>
      <c r="G256" s="3">
        <f t="shared" si="12"/>
        <v>0.15972222222222227</v>
      </c>
      <c r="H256" s="3">
        <f t="shared" si="13"/>
        <v>1.5972222222222228E-2</v>
      </c>
      <c r="I256" s="1">
        <f t="shared" si="11"/>
        <v>23</v>
      </c>
      <c r="J256" t="s">
        <v>427</v>
      </c>
      <c r="K256" t="s">
        <v>397</v>
      </c>
      <c r="L256" t="s">
        <v>301</v>
      </c>
      <c r="M256" t="s">
        <v>398</v>
      </c>
      <c r="N256" t="s">
        <v>399</v>
      </c>
    </row>
    <row r="257" spans="3:14" hidden="1" x14ac:dyDescent="0.25">
      <c r="C257" t="s">
        <v>401</v>
      </c>
      <c r="D257" s="3" t="s">
        <v>403</v>
      </c>
      <c r="E257" s="3" t="s">
        <v>542</v>
      </c>
      <c r="F257">
        <v>10</v>
      </c>
      <c r="G257" s="3">
        <f t="shared" si="12"/>
        <v>0.40972222222222215</v>
      </c>
      <c r="H257" s="3">
        <f t="shared" si="13"/>
        <v>4.0972222222222215E-2</v>
      </c>
      <c r="I257" s="1">
        <f t="shared" si="11"/>
        <v>59</v>
      </c>
      <c r="J257" t="s">
        <v>543</v>
      </c>
      <c r="K257" t="s">
        <v>397</v>
      </c>
      <c r="L257" t="s">
        <v>302</v>
      </c>
      <c r="M257" t="s">
        <v>398</v>
      </c>
      <c r="N257" t="s">
        <v>433</v>
      </c>
    </row>
    <row r="258" spans="3:14" hidden="1" x14ac:dyDescent="0.25">
      <c r="C258" t="s">
        <v>407</v>
      </c>
      <c r="D258" s="3" t="s">
        <v>403</v>
      </c>
      <c r="E258" s="3" t="s">
        <v>542</v>
      </c>
      <c r="F258">
        <v>10</v>
      </c>
      <c r="G258" s="3">
        <f t="shared" si="12"/>
        <v>0.40972222222222215</v>
      </c>
      <c r="H258" s="3">
        <f t="shared" si="13"/>
        <v>4.0972222222222215E-2</v>
      </c>
      <c r="I258" s="1">
        <f t="shared" si="11"/>
        <v>59</v>
      </c>
      <c r="J258" t="s">
        <v>543</v>
      </c>
      <c r="K258" t="s">
        <v>397</v>
      </c>
      <c r="L258" t="s">
        <v>302</v>
      </c>
      <c r="M258" t="s">
        <v>398</v>
      </c>
      <c r="N258" t="s">
        <v>433</v>
      </c>
    </row>
    <row r="259" spans="3:14" hidden="1" x14ac:dyDescent="0.25">
      <c r="C259" t="s">
        <v>393</v>
      </c>
      <c r="D259" s="3" t="s">
        <v>403</v>
      </c>
      <c r="E259" s="3" t="s">
        <v>542</v>
      </c>
      <c r="F259">
        <v>10</v>
      </c>
      <c r="G259" s="3">
        <f t="shared" si="12"/>
        <v>0.40972222222222215</v>
      </c>
      <c r="H259" s="3">
        <f t="shared" si="13"/>
        <v>4.0972222222222215E-2</v>
      </c>
      <c r="I259" s="1">
        <f t="shared" ref="I259:I322" si="14">MINUTE(H259)</f>
        <v>59</v>
      </c>
      <c r="J259" t="s">
        <v>543</v>
      </c>
      <c r="K259" t="s">
        <v>397</v>
      </c>
      <c r="L259" t="s">
        <v>302</v>
      </c>
      <c r="M259" t="s">
        <v>398</v>
      </c>
      <c r="N259" t="s">
        <v>433</v>
      </c>
    </row>
    <row r="260" spans="3:14" hidden="1" x14ac:dyDescent="0.25">
      <c r="C260" t="s">
        <v>406</v>
      </c>
      <c r="D260" s="3" t="s">
        <v>403</v>
      </c>
      <c r="E260" s="3" t="s">
        <v>542</v>
      </c>
      <c r="F260">
        <v>10</v>
      </c>
      <c r="G260" s="3">
        <f t="shared" ref="G260:G323" si="15">(E260-D260)</f>
        <v>0.40972222222222215</v>
      </c>
      <c r="H260" s="3">
        <f t="shared" ref="H260:H323" si="16">G260/F260</f>
        <v>4.0972222222222215E-2</v>
      </c>
      <c r="I260" s="1">
        <f t="shared" si="14"/>
        <v>59</v>
      </c>
      <c r="J260" t="s">
        <v>543</v>
      </c>
      <c r="K260" t="s">
        <v>397</v>
      </c>
      <c r="L260" t="s">
        <v>302</v>
      </c>
      <c r="M260" t="s">
        <v>398</v>
      </c>
      <c r="N260" t="s">
        <v>433</v>
      </c>
    </row>
    <row r="261" spans="3:14" hidden="1" x14ac:dyDescent="0.25">
      <c r="C261" t="s">
        <v>400</v>
      </c>
      <c r="D261" s="3" t="s">
        <v>403</v>
      </c>
      <c r="E261" s="3" t="s">
        <v>542</v>
      </c>
      <c r="F261">
        <v>10</v>
      </c>
      <c r="G261" s="3">
        <f t="shared" si="15"/>
        <v>0.40972222222222215</v>
      </c>
      <c r="H261" s="3">
        <f t="shared" si="16"/>
        <v>4.0972222222222215E-2</v>
      </c>
      <c r="I261" s="1">
        <f t="shared" si="14"/>
        <v>59</v>
      </c>
      <c r="J261" t="s">
        <v>543</v>
      </c>
      <c r="K261" t="s">
        <v>397</v>
      </c>
      <c r="L261" t="s">
        <v>302</v>
      </c>
      <c r="M261" t="s">
        <v>398</v>
      </c>
      <c r="N261" t="s">
        <v>433</v>
      </c>
    </row>
    <row r="262" spans="3:14" hidden="1" x14ac:dyDescent="0.25">
      <c r="C262" t="s">
        <v>422</v>
      </c>
      <c r="D262" s="3" t="s">
        <v>403</v>
      </c>
      <c r="E262" s="3" t="s">
        <v>538</v>
      </c>
      <c r="F262">
        <v>10</v>
      </c>
      <c r="G262" s="3">
        <f t="shared" si="15"/>
        <v>0.2013888888888889</v>
      </c>
      <c r="H262" s="3">
        <f t="shared" si="16"/>
        <v>2.013888888888889E-2</v>
      </c>
      <c r="I262" s="1">
        <f t="shared" si="14"/>
        <v>29</v>
      </c>
      <c r="J262" t="s">
        <v>543</v>
      </c>
      <c r="K262" t="s">
        <v>397</v>
      </c>
      <c r="L262" t="s">
        <v>302</v>
      </c>
      <c r="M262" t="s">
        <v>398</v>
      </c>
      <c r="N262" t="s">
        <v>433</v>
      </c>
    </row>
    <row r="263" spans="3:14" hidden="1" x14ac:dyDescent="0.25">
      <c r="C263" t="s">
        <v>401</v>
      </c>
      <c r="D263" s="3" t="s">
        <v>411</v>
      </c>
      <c r="E263" s="3" t="s">
        <v>542</v>
      </c>
      <c r="F263">
        <v>10</v>
      </c>
      <c r="G263" s="3">
        <f t="shared" si="15"/>
        <v>0.45138888888888878</v>
      </c>
      <c r="H263" s="3">
        <f t="shared" si="16"/>
        <v>4.5138888888888881E-2</v>
      </c>
      <c r="I263" s="1">
        <f t="shared" si="14"/>
        <v>5</v>
      </c>
      <c r="J263" t="s">
        <v>544</v>
      </c>
      <c r="K263" t="s">
        <v>397</v>
      </c>
      <c r="L263" t="s">
        <v>303</v>
      </c>
      <c r="M263" t="s">
        <v>398</v>
      </c>
      <c r="N263" t="s">
        <v>447</v>
      </c>
    </row>
    <row r="264" spans="3:14" hidden="1" x14ac:dyDescent="0.25">
      <c r="C264" t="s">
        <v>407</v>
      </c>
      <c r="D264" s="3" t="s">
        <v>411</v>
      </c>
      <c r="E264" s="3" t="s">
        <v>542</v>
      </c>
      <c r="F264">
        <v>10</v>
      </c>
      <c r="G264" s="3">
        <f t="shared" si="15"/>
        <v>0.45138888888888878</v>
      </c>
      <c r="H264" s="3">
        <f t="shared" si="16"/>
        <v>4.5138888888888881E-2</v>
      </c>
      <c r="I264" s="1">
        <f t="shared" si="14"/>
        <v>5</v>
      </c>
      <c r="J264" t="s">
        <v>544</v>
      </c>
      <c r="K264" t="s">
        <v>397</v>
      </c>
      <c r="L264" t="s">
        <v>303</v>
      </c>
      <c r="M264" t="s">
        <v>398</v>
      </c>
      <c r="N264" t="s">
        <v>447</v>
      </c>
    </row>
    <row r="265" spans="3:14" hidden="1" x14ac:dyDescent="0.25">
      <c r="C265" t="s">
        <v>393</v>
      </c>
      <c r="D265" s="3" t="s">
        <v>411</v>
      </c>
      <c r="E265" s="3" t="s">
        <v>542</v>
      </c>
      <c r="F265">
        <v>10</v>
      </c>
      <c r="G265" s="3">
        <f t="shared" si="15"/>
        <v>0.45138888888888878</v>
      </c>
      <c r="H265" s="3">
        <f t="shared" si="16"/>
        <v>4.5138888888888881E-2</v>
      </c>
      <c r="I265" s="1">
        <f t="shared" si="14"/>
        <v>5</v>
      </c>
      <c r="J265" t="s">
        <v>544</v>
      </c>
      <c r="K265" t="s">
        <v>397</v>
      </c>
      <c r="L265" t="s">
        <v>303</v>
      </c>
      <c r="M265" t="s">
        <v>398</v>
      </c>
      <c r="N265" t="s">
        <v>447</v>
      </c>
    </row>
    <row r="266" spans="3:14" hidden="1" x14ac:dyDescent="0.25">
      <c r="C266" t="s">
        <v>406</v>
      </c>
      <c r="D266" s="3" t="s">
        <v>411</v>
      </c>
      <c r="E266" s="3" t="s">
        <v>542</v>
      </c>
      <c r="F266">
        <v>10</v>
      </c>
      <c r="G266" s="3">
        <f t="shared" si="15"/>
        <v>0.45138888888888878</v>
      </c>
      <c r="H266" s="3">
        <f t="shared" si="16"/>
        <v>4.5138888888888881E-2</v>
      </c>
      <c r="I266" s="1">
        <f t="shared" si="14"/>
        <v>5</v>
      </c>
      <c r="J266" t="s">
        <v>544</v>
      </c>
      <c r="K266" t="s">
        <v>397</v>
      </c>
      <c r="L266" t="s">
        <v>303</v>
      </c>
      <c r="M266" t="s">
        <v>398</v>
      </c>
      <c r="N266" t="s">
        <v>447</v>
      </c>
    </row>
    <row r="267" spans="3:14" hidden="1" x14ac:dyDescent="0.25">
      <c r="C267" t="s">
        <v>400</v>
      </c>
      <c r="D267" s="3" t="s">
        <v>411</v>
      </c>
      <c r="E267" s="3" t="s">
        <v>542</v>
      </c>
      <c r="F267">
        <v>10</v>
      </c>
      <c r="G267" s="3">
        <f t="shared" si="15"/>
        <v>0.45138888888888878</v>
      </c>
      <c r="H267" s="3">
        <f t="shared" si="16"/>
        <v>4.5138888888888881E-2</v>
      </c>
      <c r="I267" s="1">
        <f t="shared" si="14"/>
        <v>5</v>
      </c>
      <c r="J267" t="s">
        <v>544</v>
      </c>
      <c r="K267" t="s">
        <v>397</v>
      </c>
      <c r="L267" t="s">
        <v>303</v>
      </c>
      <c r="M267" t="s">
        <v>398</v>
      </c>
      <c r="N267" t="s">
        <v>447</v>
      </c>
    </row>
    <row r="268" spans="3:14" hidden="1" x14ac:dyDescent="0.25">
      <c r="C268" t="s">
        <v>422</v>
      </c>
      <c r="D268" s="3" t="s">
        <v>411</v>
      </c>
      <c r="E268" s="3" t="s">
        <v>538</v>
      </c>
      <c r="F268">
        <v>10</v>
      </c>
      <c r="G268" s="3">
        <f t="shared" si="15"/>
        <v>0.24305555555555552</v>
      </c>
      <c r="H268" s="3">
        <f t="shared" si="16"/>
        <v>2.4305555555555552E-2</v>
      </c>
      <c r="I268" s="1">
        <f t="shared" si="14"/>
        <v>35</v>
      </c>
      <c r="J268" t="s">
        <v>544</v>
      </c>
      <c r="K268" t="s">
        <v>397</v>
      </c>
      <c r="L268" t="s">
        <v>303</v>
      </c>
      <c r="M268" t="s">
        <v>398</v>
      </c>
      <c r="N268" t="s">
        <v>447</v>
      </c>
    </row>
    <row r="269" spans="3:14" hidden="1" x14ac:dyDescent="0.25">
      <c r="C269" t="s">
        <v>401</v>
      </c>
      <c r="D269" s="3" t="s">
        <v>403</v>
      </c>
      <c r="E269" s="3" t="s">
        <v>545</v>
      </c>
      <c r="F269">
        <v>10</v>
      </c>
      <c r="G269" s="3">
        <f t="shared" si="15"/>
        <v>4.8611111111111105E-2</v>
      </c>
      <c r="H269" s="3">
        <f t="shared" si="16"/>
        <v>4.8611111111111103E-3</v>
      </c>
      <c r="I269" s="1">
        <f t="shared" si="14"/>
        <v>7</v>
      </c>
      <c r="J269" t="s">
        <v>427</v>
      </c>
      <c r="K269" t="s">
        <v>397</v>
      </c>
      <c r="L269" t="s">
        <v>151</v>
      </c>
      <c r="M269" t="s">
        <v>398</v>
      </c>
      <c r="N269" t="s">
        <v>399</v>
      </c>
    </row>
    <row r="270" spans="3:14" hidden="1" x14ac:dyDescent="0.25">
      <c r="C270" t="s">
        <v>407</v>
      </c>
      <c r="D270" s="3" t="s">
        <v>546</v>
      </c>
      <c r="E270" s="3" t="s">
        <v>486</v>
      </c>
      <c r="F270">
        <v>10</v>
      </c>
      <c r="G270" s="3">
        <f t="shared" si="15"/>
        <v>4.8611111111111105E-2</v>
      </c>
      <c r="H270" s="3">
        <f t="shared" si="16"/>
        <v>4.8611111111111103E-3</v>
      </c>
      <c r="I270" s="1">
        <f t="shared" si="14"/>
        <v>7</v>
      </c>
      <c r="J270" t="s">
        <v>427</v>
      </c>
      <c r="K270" t="s">
        <v>397</v>
      </c>
      <c r="L270" t="s">
        <v>151</v>
      </c>
      <c r="M270" t="s">
        <v>398</v>
      </c>
      <c r="N270" t="s">
        <v>399</v>
      </c>
    </row>
    <row r="271" spans="3:14" hidden="1" x14ac:dyDescent="0.25">
      <c r="C271" t="s">
        <v>393</v>
      </c>
      <c r="D271" s="3" t="s">
        <v>548</v>
      </c>
      <c r="E271" s="3" t="s">
        <v>547</v>
      </c>
      <c r="F271">
        <v>10</v>
      </c>
      <c r="G271" s="3">
        <f t="shared" si="15"/>
        <v>4.8611111111111049E-2</v>
      </c>
      <c r="H271" s="3">
        <f t="shared" si="16"/>
        <v>4.8611111111111051E-3</v>
      </c>
      <c r="I271" s="1">
        <f t="shared" si="14"/>
        <v>7</v>
      </c>
      <c r="J271" t="s">
        <v>427</v>
      </c>
      <c r="K271" t="s">
        <v>397</v>
      </c>
      <c r="L271" t="s">
        <v>151</v>
      </c>
      <c r="M271" t="s">
        <v>398</v>
      </c>
      <c r="N271" t="s">
        <v>399</v>
      </c>
    </row>
    <row r="272" spans="3:14" hidden="1" x14ac:dyDescent="0.25">
      <c r="C272" t="s">
        <v>406</v>
      </c>
      <c r="D272" s="3" t="s">
        <v>549</v>
      </c>
      <c r="E272" s="3" t="s">
        <v>516</v>
      </c>
      <c r="F272">
        <v>10</v>
      </c>
      <c r="G272" s="3">
        <f t="shared" si="15"/>
        <v>4.861111111111116E-2</v>
      </c>
      <c r="H272" s="3">
        <f t="shared" si="16"/>
        <v>4.8611111111111164E-3</v>
      </c>
      <c r="I272" s="1">
        <f t="shared" si="14"/>
        <v>7</v>
      </c>
      <c r="J272" t="s">
        <v>427</v>
      </c>
      <c r="K272" t="s">
        <v>397</v>
      </c>
      <c r="L272" t="s">
        <v>151</v>
      </c>
      <c r="M272" t="s">
        <v>398</v>
      </c>
      <c r="N272" t="s">
        <v>399</v>
      </c>
    </row>
    <row r="273" spans="3:14" hidden="1" x14ac:dyDescent="0.25">
      <c r="C273" t="s">
        <v>400</v>
      </c>
      <c r="D273" s="3" t="s">
        <v>423</v>
      </c>
      <c r="E273" s="3" t="s">
        <v>445</v>
      </c>
      <c r="F273">
        <v>10</v>
      </c>
      <c r="G273" s="3">
        <f t="shared" si="15"/>
        <v>4.8611111111111105E-2</v>
      </c>
      <c r="H273" s="3">
        <f t="shared" si="16"/>
        <v>4.8611111111111103E-3</v>
      </c>
      <c r="I273" s="1">
        <f t="shared" si="14"/>
        <v>7</v>
      </c>
      <c r="J273" t="s">
        <v>427</v>
      </c>
      <c r="K273" t="s">
        <v>397</v>
      </c>
      <c r="L273" t="s">
        <v>151</v>
      </c>
      <c r="M273" t="s">
        <v>398</v>
      </c>
      <c r="N273" t="s">
        <v>399</v>
      </c>
    </row>
    <row r="274" spans="3:14" hidden="1" x14ac:dyDescent="0.25">
      <c r="C274" t="s">
        <v>401</v>
      </c>
      <c r="D274" s="3" t="s">
        <v>548</v>
      </c>
      <c r="E274" s="3" t="s">
        <v>550</v>
      </c>
      <c r="F274">
        <v>10</v>
      </c>
      <c r="G274" s="3">
        <f t="shared" si="15"/>
        <v>2.0833333333333315E-2</v>
      </c>
      <c r="H274" s="3">
        <f t="shared" si="16"/>
        <v>2.0833333333333316E-3</v>
      </c>
      <c r="I274" s="1">
        <f t="shared" si="14"/>
        <v>3</v>
      </c>
      <c r="J274" t="s">
        <v>427</v>
      </c>
      <c r="K274" t="s">
        <v>397</v>
      </c>
      <c r="L274" t="s">
        <v>158</v>
      </c>
      <c r="M274" t="s">
        <v>398</v>
      </c>
      <c r="N274" t="s">
        <v>399</v>
      </c>
    </row>
    <row r="275" spans="3:14" hidden="1" x14ac:dyDescent="0.25">
      <c r="C275" t="s">
        <v>407</v>
      </c>
      <c r="D275" s="3" t="s">
        <v>548</v>
      </c>
      <c r="E275" s="3" t="s">
        <v>550</v>
      </c>
      <c r="F275">
        <v>10</v>
      </c>
      <c r="G275" s="3">
        <f t="shared" si="15"/>
        <v>2.0833333333333315E-2</v>
      </c>
      <c r="H275" s="3">
        <f t="shared" si="16"/>
        <v>2.0833333333333316E-3</v>
      </c>
      <c r="I275" s="1">
        <f t="shared" si="14"/>
        <v>3</v>
      </c>
      <c r="J275" t="s">
        <v>427</v>
      </c>
      <c r="K275" t="s">
        <v>397</v>
      </c>
      <c r="L275" t="s">
        <v>158</v>
      </c>
      <c r="M275" t="s">
        <v>398</v>
      </c>
      <c r="N275" t="s">
        <v>399</v>
      </c>
    </row>
    <row r="276" spans="3:14" hidden="1" x14ac:dyDescent="0.25">
      <c r="C276" t="s">
        <v>393</v>
      </c>
      <c r="D276" s="3" t="s">
        <v>548</v>
      </c>
      <c r="E276" s="3" t="s">
        <v>550</v>
      </c>
      <c r="F276">
        <v>10</v>
      </c>
      <c r="G276" s="3">
        <f t="shared" si="15"/>
        <v>2.0833333333333315E-2</v>
      </c>
      <c r="H276" s="3">
        <f t="shared" si="16"/>
        <v>2.0833333333333316E-3</v>
      </c>
      <c r="I276" s="1">
        <f t="shared" si="14"/>
        <v>3</v>
      </c>
      <c r="J276" t="s">
        <v>427</v>
      </c>
      <c r="K276" t="s">
        <v>397</v>
      </c>
      <c r="L276" t="s">
        <v>158</v>
      </c>
      <c r="M276" t="s">
        <v>398</v>
      </c>
      <c r="N276" t="s">
        <v>399</v>
      </c>
    </row>
    <row r="277" spans="3:14" hidden="1" x14ac:dyDescent="0.25">
      <c r="C277" t="s">
        <v>406</v>
      </c>
      <c r="D277" s="3" t="s">
        <v>548</v>
      </c>
      <c r="E277" s="3" t="s">
        <v>550</v>
      </c>
      <c r="F277">
        <v>10</v>
      </c>
      <c r="G277" s="3">
        <f t="shared" si="15"/>
        <v>2.0833333333333315E-2</v>
      </c>
      <c r="H277" s="3">
        <f t="shared" si="16"/>
        <v>2.0833333333333316E-3</v>
      </c>
      <c r="I277" s="1">
        <f t="shared" si="14"/>
        <v>3</v>
      </c>
      <c r="J277" t="s">
        <v>427</v>
      </c>
      <c r="K277" t="s">
        <v>397</v>
      </c>
      <c r="L277" t="s">
        <v>158</v>
      </c>
      <c r="M277" t="s">
        <v>398</v>
      </c>
      <c r="N277" t="s">
        <v>399</v>
      </c>
    </row>
    <row r="278" spans="3:14" hidden="1" x14ac:dyDescent="0.25">
      <c r="C278" t="s">
        <v>400</v>
      </c>
      <c r="D278" s="3" t="s">
        <v>548</v>
      </c>
      <c r="E278" s="3" t="s">
        <v>550</v>
      </c>
      <c r="F278">
        <v>10</v>
      </c>
      <c r="G278" s="3">
        <f t="shared" si="15"/>
        <v>2.0833333333333315E-2</v>
      </c>
      <c r="H278" s="3">
        <f t="shared" si="16"/>
        <v>2.0833333333333316E-3</v>
      </c>
      <c r="I278" s="1">
        <f t="shared" si="14"/>
        <v>3</v>
      </c>
      <c r="J278" t="s">
        <v>427</v>
      </c>
      <c r="K278" t="s">
        <v>397</v>
      </c>
      <c r="L278" t="s">
        <v>158</v>
      </c>
      <c r="M278" t="s">
        <v>398</v>
      </c>
      <c r="N278" t="s">
        <v>399</v>
      </c>
    </row>
    <row r="279" spans="3:14" hidden="1" x14ac:dyDescent="0.25">
      <c r="C279" t="s">
        <v>401</v>
      </c>
      <c r="D279" s="3" t="s">
        <v>403</v>
      </c>
      <c r="E279" s="3" t="s">
        <v>551</v>
      </c>
      <c r="F279">
        <v>30</v>
      </c>
      <c r="G279" s="3">
        <f t="shared" si="15"/>
        <v>2.0138888888888873E-2</v>
      </c>
      <c r="H279" s="3">
        <f t="shared" si="16"/>
        <v>6.7129629629629581E-4</v>
      </c>
      <c r="I279" s="1">
        <f t="shared" si="14"/>
        <v>0</v>
      </c>
      <c r="J279" t="s">
        <v>552</v>
      </c>
      <c r="K279" t="s">
        <v>397</v>
      </c>
      <c r="L279" t="s">
        <v>159</v>
      </c>
      <c r="M279" t="s">
        <v>398</v>
      </c>
      <c r="N279" t="s">
        <v>433</v>
      </c>
    </row>
    <row r="280" spans="3:14" hidden="1" x14ac:dyDescent="0.25">
      <c r="C280" t="s">
        <v>407</v>
      </c>
      <c r="D280" s="3" t="s">
        <v>469</v>
      </c>
      <c r="E280" s="3" t="s">
        <v>553</v>
      </c>
      <c r="F280">
        <v>30</v>
      </c>
      <c r="G280" s="3">
        <f t="shared" si="15"/>
        <v>2.0138888888888817E-2</v>
      </c>
      <c r="H280" s="3">
        <f t="shared" si="16"/>
        <v>6.7129629629629386E-4</v>
      </c>
      <c r="I280" s="1">
        <f t="shared" si="14"/>
        <v>0</v>
      </c>
      <c r="J280" t="s">
        <v>552</v>
      </c>
      <c r="K280" t="s">
        <v>397</v>
      </c>
      <c r="L280" t="s">
        <v>159</v>
      </c>
      <c r="M280" t="s">
        <v>398</v>
      </c>
      <c r="N280" t="s">
        <v>433</v>
      </c>
    </row>
    <row r="281" spans="3:14" hidden="1" x14ac:dyDescent="0.25">
      <c r="C281" t="s">
        <v>393</v>
      </c>
      <c r="D281" s="3" t="s">
        <v>419</v>
      </c>
      <c r="E281" s="3" t="s">
        <v>554</v>
      </c>
      <c r="F281">
        <v>30</v>
      </c>
      <c r="G281" s="3">
        <f t="shared" si="15"/>
        <v>2.0138888888888873E-2</v>
      </c>
      <c r="H281" s="3">
        <f t="shared" si="16"/>
        <v>6.7129629629629581E-4</v>
      </c>
      <c r="I281" s="1">
        <f t="shared" si="14"/>
        <v>0</v>
      </c>
      <c r="J281" t="s">
        <v>552</v>
      </c>
      <c r="K281" t="s">
        <v>397</v>
      </c>
      <c r="L281" t="s">
        <v>159</v>
      </c>
      <c r="M281" t="s">
        <v>398</v>
      </c>
      <c r="N281" t="s">
        <v>433</v>
      </c>
    </row>
    <row r="282" spans="3:14" hidden="1" x14ac:dyDescent="0.25">
      <c r="C282" t="s">
        <v>406</v>
      </c>
      <c r="D282" s="3" t="s">
        <v>556</v>
      </c>
      <c r="E282" s="3" t="s">
        <v>555</v>
      </c>
      <c r="F282">
        <v>30</v>
      </c>
      <c r="G282" s="3">
        <f t="shared" si="15"/>
        <v>2.0138888888888873E-2</v>
      </c>
      <c r="H282" s="3">
        <f t="shared" si="16"/>
        <v>6.7129629629629581E-4</v>
      </c>
      <c r="I282" s="1">
        <f t="shared" si="14"/>
        <v>0</v>
      </c>
      <c r="J282" t="s">
        <v>552</v>
      </c>
      <c r="K282" t="s">
        <v>397</v>
      </c>
      <c r="L282" t="s">
        <v>159</v>
      </c>
      <c r="M282" t="s">
        <v>398</v>
      </c>
      <c r="N282" t="s">
        <v>433</v>
      </c>
    </row>
    <row r="283" spans="3:14" hidden="1" x14ac:dyDescent="0.25">
      <c r="C283" t="s">
        <v>400</v>
      </c>
      <c r="D283" s="3" t="s">
        <v>486</v>
      </c>
      <c r="E283" s="3" t="s">
        <v>557</v>
      </c>
      <c r="F283">
        <v>30</v>
      </c>
      <c r="G283" s="3">
        <f t="shared" si="15"/>
        <v>2.0138888888888817E-2</v>
      </c>
      <c r="H283" s="3">
        <f t="shared" si="16"/>
        <v>6.7129629629629386E-4</v>
      </c>
      <c r="I283" s="1">
        <f t="shared" si="14"/>
        <v>0</v>
      </c>
      <c r="J283" t="s">
        <v>552</v>
      </c>
      <c r="K283" t="s">
        <v>397</v>
      </c>
      <c r="L283" t="s">
        <v>159</v>
      </c>
      <c r="M283" t="s">
        <v>398</v>
      </c>
      <c r="N283" t="s">
        <v>433</v>
      </c>
    </row>
    <row r="284" spans="3:14" hidden="1" x14ac:dyDescent="0.25">
      <c r="C284" t="s">
        <v>401</v>
      </c>
      <c r="D284" s="3" t="s">
        <v>419</v>
      </c>
      <c r="E284" s="3" t="s">
        <v>558</v>
      </c>
      <c r="F284">
        <v>20</v>
      </c>
      <c r="G284" s="3">
        <f t="shared" si="15"/>
        <v>1.3888888888888895E-2</v>
      </c>
      <c r="H284" s="3">
        <f t="shared" si="16"/>
        <v>6.944444444444448E-4</v>
      </c>
      <c r="I284" s="1">
        <f t="shared" si="14"/>
        <v>1</v>
      </c>
      <c r="J284" t="s">
        <v>544</v>
      </c>
      <c r="K284" t="s">
        <v>397</v>
      </c>
      <c r="L284" t="s">
        <v>160</v>
      </c>
      <c r="M284" t="s">
        <v>398</v>
      </c>
      <c r="N284" t="s">
        <v>447</v>
      </c>
    </row>
    <row r="285" spans="3:14" hidden="1" x14ac:dyDescent="0.25">
      <c r="C285" t="s">
        <v>407</v>
      </c>
      <c r="D285" s="3" t="s">
        <v>545</v>
      </c>
      <c r="E285" s="3" t="s">
        <v>556</v>
      </c>
      <c r="F285">
        <v>20</v>
      </c>
      <c r="G285" s="3">
        <f t="shared" si="15"/>
        <v>1.3888888888888895E-2</v>
      </c>
      <c r="H285" s="3">
        <f t="shared" si="16"/>
        <v>6.944444444444448E-4</v>
      </c>
      <c r="I285" s="1">
        <f t="shared" si="14"/>
        <v>1</v>
      </c>
      <c r="J285" t="s">
        <v>544</v>
      </c>
      <c r="K285" t="s">
        <v>397</v>
      </c>
      <c r="L285" t="s">
        <v>160</v>
      </c>
      <c r="M285" t="s">
        <v>398</v>
      </c>
      <c r="N285" t="s">
        <v>447</v>
      </c>
    </row>
    <row r="286" spans="3:14" hidden="1" x14ac:dyDescent="0.25">
      <c r="C286" t="s">
        <v>393</v>
      </c>
      <c r="D286" s="3" t="s">
        <v>556</v>
      </c>
      <c r="E286" s="3" t="s">
        <v>548</v>
      </c>
      <c r="F286">
        <v>20</v>
      </c>
      <c r="G286" s="3">
        <f t="shared" si="15"/>
        <v>1.3888888888888951E-2</v>
      </c>
      <c r="H286" s="3">
        <f t="shared" si="16"/>
        <v>6.9444444444444751E-4</v>
      </c>
      <c r="I286" s="1">
        <f t="shared" si="14"/>
        <v>1</v>
      </c>
      <c r="J286" t="s">
        <v>544</v>
      </c>
      <c r="K286" t="s">
        <v>397</v>
      </c>
      <c r="L286" t="s">
        <v>160</v>
      </c>
      <c r="M286" t="s">
        <v>398</v>
      </c>
      <c r="N286" t="s">
        <v>447</v>
      </c>
    </row>
    <row r="287" spans="3:14" hidden="1" x14ac:dyDescent="0.25">
      <c r="C287" t="s">
        <v>406</v>
      </c>
      <c r="D287" s="3" t="s">
        <v>559</v>
      </c>
      <c r="E287" s="3" t="s">
        <v>486</v>
      </c>
      <c r="F287">
        <v>20</v>
      </c>
      <c r="G287" s="3">
        <f t="shared" si="15"/>
        <v>1.3888888888888951E-2</v>
      </c>
      <c r="H287" s="3">
        <f t="shared" si="16"/>
        <v>6.9444444444444751E-4</v>
      </c>
      <c r="I287" s="1">
        <f t="shared" si="14"/>
        <v>1</v>
      </c>
      <c r="J287" t="s">
        <v>544</v>
      </c>
      <c r="K287" t="s">
        <v>397</v>
      </c>
      <c r="L287" t="s">
        <v>160</v>
      </c>
      <c r="M287" t="s">
        <v>398</v>
      </c>
      <c r="N287" t="s">
        <v>447</v>
      </c>
    </row>
    <row r="288" spans="3:14" hidden="1" x14ac:dyDescent="0.25">
      <c r="C288" t="s">
        <v>400</v>
      </c>
      <c r="D288" s="3" t="s">
        <v>486</v>
      </c>
      <c r="E288" s="3" t="s">
        <v>550</v>
      </c>
      <c r="F288">
        <v>20</v>
      </c>
      <c r="G288" s="3">
        <f t="shared" si="15"/>
        <v>1.3888888888888895E-2</v>
      </c>
      <c r="H288" s="3">
        <f t="shared" si="16"/>
        <v>6.944444444444448E-4</v>
      </c>
      <c r="I288" s="1">
        <f t="shared" si="14"/>
        <v>1</v>
      </c>
      <c r="J288" t="s">
        <v>544</v>
      </c>
      <c r="K288" t="s">
        <v>397</v>
      </c>
      <c r="L288" t="s">
        <v>160</v>
      </c>
      <c r="M288" t="s">
        <v>398</v>
      </c>
      <c r="N288" t="s">
        <v>447</v>
      </c>
    </row>
    <row r="289" spans="3:14" hidden="1" x14ac:dyDescent="0.25">
      <c r="C289" t="s">
        <v>401</v>
      </c>
      <c r="D289" s="3" t="s">
        <v>403</v>
      </c>
      <c r="E289" s="3" t="s">
        <v>551</v>
      </c>
      <c r="F289">
        <v>30</v>
      </c>
      <c r="G289" s="3">
        <f t="shared" si="15"/>
        <v>2.0138888888888873E-2</v>
      </c>
      <c r="H289" s="3">
        <f t="shared" si="16"/>
        <v>6.7129629629629581E-4</v>
      </c>
      <c r="I289" s="1">
        <f t="shared" si="14"/>
        <v>0</v>
      </c>
      <c r="J289" t="s">
        <v>552</v>
      </c>
      <c r="K289" t="s">
        <v>397</v>
      </c>
      <c r="L289" t="s">
        <v>152</v>
      </c>
      <c r="M289" t="s">
        <v>398</v>
      </c>
      <c r="N289" t="s">
        <v>433</v>
      </c>
    </row>
    <row r="290" spans="3:14" hidden="1" x14ac:dyDescent="0.25">
      <c r="C290" t="s">
        <v>407</v>
      </c>
      <c r="D290" s="3" t="s">
        <v>469</v>
      </c>
      <c r="E290" s="3" t="s">
        <v>553</v>
      </c>
      <c r="F290">
        <v>30</v>
      </c>
      <c r="G290" s="3">
        <f t="shared" si="15"/>
        <v>2.0138888888888817E-2</v>
      </c>
      <c r="H290" s="3">
        <f t="shared" si="16"/>
        <v>6.7129629629629386E-4</v>
      </c>
      <c r="I290" s="1">
        <f t="shared" si="14"/>
        <v>0</v>
      </c>
      <c r="J290" t="s">
        <v>552</v>
      </c>
      <c r="K290" t="s">
        <v>397</v>
      </c>
      <c r="L290" t="s">
        <v>152</v>
      </c>
      <c r="M290" t="s">
        <v>398</v>
      </c>
      <c r="N290" t="s">
        <v>433</v>
      </c>
    </row>
    <row r="291" spans="3:14" hidden="1" x14ac:dyDescent="0.25">
      <c r="C291" t="s">
        <v>393</v>
      </c>
      <c r="D291" s="3" t="s">
        <v>419</v>
      </c>
      <c r="E291" s="3" t="s">
        <v>554</v>
      </c>
      <c r="F291">
        <v>30</v>
      </c>
      <c r="G291" s="3">
        <f t="shared" si="15"/>
        <v>2.0138888888888873E-2</v>
      </c>
      <c r="H291" s="3">
        <f t="shared" si="16"/>
        <v>6.7129629629629581E-4</v>
      </c>
      <c r="I291" s="1">
        <f t="shared" si="14"/>
        <v>0</v>
      </c>
      <c r="J291" t="s">
        <v>552</v>
      </c>
      <c r="K291" t="s">
        <v>397</v>
      </c>
      <c r="L291" t="s">
        <v>152</v>
      </c>
      <c r="M291" t="s">
        <v>398</v>
      </c>
      <c r="N291" t="s">
        <v>433</v>
      </c>
    </row>
    <row r="292" spans="3:14" hidden="1" x14ac:dyDescent="0.25">
      <c r="C292" t="s">
        <v>406</v>
      </c>
      <c r="D292" s="3" t="s">
        <v>556</v>
      </c>
      <c r="E292" s="3" t="s">
        <v>555</v>
      </c>
      <c r="F292">
        <v>30</v>
      </c>
      <c r="G292" s="3">
        <f t="shared" si="15"/>
        <v>2.0138888888888873E-2</v>
      </c>
      <c r="H292" s="3">
        <f t="shared" si="16"/>
        <v>6.7129629629629581E-4</v>
      </c>
      <c r="I292" s="1">
        <f t="shared" si="14"/>
        <v>0</v>
      </c>
      <c r="J292" t="s">
        <v>552</v>
      </c>
      <c r="K292" t="s">
        <v>397</v>
      </c>
      <c r="L292" t="s">
        <v>152</v>
      </c>
      <c r="M292" t="s">
        <v>398</v>
      </c>
      <c r="N292" t="s">
        <v>433</v>
      </c>
    </row>
    <row r="293" spans="3:14" hidden="1" x14ac:dyDescent="0.25">
      <c r="C293" t="s">
        <v>400</v>
      </c>
      <c r="D293" s="3" t="s">
        <v>486</v>
      </c>
      <c r="E293" s="3" t="s">
        <v>557</v>
      </c>
      <c r="F293">
        <v>30</v>
      </c>
      <c r="G293" s="3">
        <f t="shared" si="15"/>
        <v>2.0138888888888817E-2</v>
      </c>
      <c r="H293" s="3">
        <f t="shared" si="16"/>
        <v>6.7129629629629386E-4</v>
      </c>
      <c r="I293" s="1">
        <f t="shared" si="14"/>
        <v>0</v>
      </c>
      <c r="J293" t="s">
        <v>552</v>
      </c>
      <c r="K293" t="s">
        <v>397</v>
      </c>
      <c r="L293" t="s">
        <v>152</v>
      </c>
      <c r="M293" t="s">
        <v>398</v>
      </c>
      <c r="N293" t="s">
        <v>433</v>
      </c>
    </row>
    <row r="294" spans="3:14" hidden="1" x14ac:dyDescent="0.25">
      <c r="C294" t="s">
        <v>491</v>
      </c>
      <c r="D294" s="3" t="s">
        <v>419</v>
      </c>
      <c r="E294" s="3" t="s">
        <v>488</v>
      </c>
      <c r="F294">
        <v>30</v>
      </c>
      <c r="G294" s="3">
        <f t="shared" si="15"/>
        <v>0.27083333333333337</v>
      </c>
      <c r="H294" s="3">
        <f t="shared" si="16"/>
        <v>9.0277777777777787E-3</v>
      </c>
      <c r="I294" s="1">
        <f t="shared" si="14"/>
        <v>13</v>
      </c>
      <c r="J294" t="s">
        <v>560</v>
      </c>
      <c r="K294" t="s">
        <v>397</v>
      </c>
      <c r="L294" t="s">
        <v>305</v>
      </c>
      <c r="M294" t="s">
        <v>398</v>
      </c>
      <c r="N294" t="s">
        <v>465</v>
      </c>
    </row>
    <row r="295" spans="3:14" hidden="1" x14ac:dyDescent="0.25">
      <c r="C295" t="s">
        <v>401</v>
      </c>
      <c r="D295" s="3" t="s">
        <v>419</v>
      </c>
      <c r="E295" s="3" t="s">
        <v>488</v>
      </c>
      <c r="F295">
        <v>30</v>
      </c>
      <c r="G295" s="3">
        <f t="shared" si="15"/>
        <v>0.27083333333333337</v>
      </c>
      <c r="H295" s="3">
        <f t="shared" si="16"/>
        <v>9.0277777777777787E-3</v>
      </c>
      <c r="I295" s="1">
        <f t="shared" si="14"/>
        <v>13</v>
      </c>
      <c r="J295" t="s">
        <v>560</v>
      </c>
      <c r="K295" t="s">
        <v>397</v>
      </c>
      <c r="L295" t="s">
        <v>305</v>
      </c>
      <c r="M295" t="s">
        <v>398</v>
      </c>
      <c r="N295" t="s">
        <v>465</v>
      </c>
    </row>
    <row r="296" spans="3:14" hidden="1" x14ac:dyDescent="0.25">
      <c r="C296" t="s">
        <v>407</v>
      </c>
      <c r="D296" s="3" t="s">
        <v>419</v>
      </c>
      <c r="E296" s="3" t="s">
        <v>488</v>
      </c>
      <c r="F296">
        <v>30</v>
      </c>
      <c r="G296" s="3">
        <f t="shared" si="15"/>
        <v>0.27083333333333337</v>
      </c>
      <c r="H296" s="3">
        <f t="shared" si="16"/>
        <v>9.0277777777777787E-3</v>
      </c>
      <c r="I296" s="1">
        <f t="shared" si="14"/>
        <v>13</v>
      </c>
      <c r="J296" t="s">
        <v>560</v>
      </c>
      <c r="K296" t="s">
        <v>397</v>
      </c>
      <c r="L296" t="s">
        <v>305</v>
      </c>
      <c r="M296" t="s">
        <v>398</v>
      </c>
      <c r="N296" t="s">
        <v>465</v>
      </c>
    </row>
    <row r="297" spans="3:14" hidden="1" x14ac:dyDescent="0.25">
      <c r="C297" t="s">
        <v>393</v>
      </c>
      <c r="D297" s="3" t="s">
        <v>419</v>
      </c>
      <c r="E297" s="3" t="s">
        <v>488</v>
      </c>
      <c r="F297">
        <v>30</v>
      </c>
      <c r="G297" s="3">
        <f t="shared" si="15"/>
        <v>0.27083333333333337</v>
      </c>
      <c r="H297" s="3">
        <f t="shared" si="16"/>
        <v>9.0277777777777787E-3</v>
      </c>
      <c r="I297" s="1">
        <f t="shared" si="14"/>
        <v>13</v>
      </c>
      <c r="J297" t="s">
        <v>560</v>
      </c>
      <c r="K297" t="s">
        <v>397</v>
      </c>
      <c r="L297" t="s">
        <v>305</v>
      </c>
      <c r="M297" t="s">
        <v>398</v>
      </c>
      <c r="N297" t="s">
        <v>465</v>
      </c>
    </row>
    <row r="298" spans="3:14" hidden="1" x14ac:dyDescent="0.25">
      <c r="C298" t="s">
        <v>406</v>
      </c>
      <c r="D298" s="3" t="s">
        <v>419</v>
      </c>
      <c r="E298" s="3" t="s">
        <v>488</v>
      </c>
      <c r="F298">
        <v>30</v>
      </c>
      <c r="G298" s="3">
        <f t="shared" si="15"/>
        <v>0.27083333333333337</v>
      </c>
      <c r="H298" s="3">
        <f t="shared" si="16"/>
        <v>9.0277777777777787E-3</v>
      </c>
      <c r="I298" s="1">
        <f t="shared" si="14"/>
        <v>13</v>
      </c>
      <c r="J298" t="s">
        <v>560</v>
      </c>
      <c r="K298" t="s">
        <v>397</v>
      </c>
      <c r="L298" t="s">
        <v>305</v>
      </c>
      <c r="M298" t="s">
        <v>398</v>
      </c>
      <c r="N298" t="s">
        <v>465</v>
      </c>
    </row>
    <row r="299" spans="3:14" hidden="1" x14ac:dyDescent="0.25">
      <c r="C299" t="s">
        <v>400</v>
      </c>
      <c r="D299" s="3" t="s">
        <v>419</v>
      </c>
      <c r="E299" s="3" t="s">
        <v>488</v>
      </c>
      <c r="F299">
        <v>30</v>
      </c>
      <c r="G299" s="3">
        <f t="shared" si="15"/>
        <v>0.27083333333333337</v>
      </c>
      <c r="H299" s="3">
        <f t="shared" si="16"/>
        <v>9.0277777777777787E-3</v>
      </c>
      <c r="I299" s="1">
        <f t="shared" si="14"/>
        <v>13</v>
      </c>
      <c r="J299" t="s">
        <v>560</v>
      </c>
      <c r="K299" t="s">
        <v>397</v>
      </c>
      <c r="L299" t="s">
        <v>305</v>
      </c>
      <c r="M299" t="s">
        <v>398</v>
      </c>
      <c r="N299" t="s">
        <v>465</v>
      </c>
    </row>
    <row r="300" spans="3:14" hidden="1" x14ac:dyDescent="0.25">
      <c r="C300" t="s">
        <v>422</v>
      </c>
      <c r="D300" s="3" t="s">
        <v>419</v>
      </c>
      <c r="E300" s="3" t="s">
        <v>488</v>
      </c>
      <c r="F300">
        <v>30</v>
      </c>
      <c r="G300" s="3">
        <f t="shared" si="15"/>
        <v>0.27083333333333337</v>
      </c>
      <c r="H300" s="3">
        <f t="shared" si="16"/>
        <v>9.0277777777777787E-3</v>
      </c>
      <c r="I300" s="1">
        <f t="shared" si="14"/>
        <v>13</v>
      </c>
      <c r="J300" t="s">
        <v>560</v>
      </c>
      <c r="K300" t="s">
        <v>397</v>
      </c>
      <c r="L300" t="s">
        <v>305</v>
      </c>
      <c r="M300" t="s">
        <v>398</v>
      </c>
      <c r="N300" t="s">
        <v>465</v>
      </c>
    </row>
    <row r="301" spans="3:14" hidden="1" x14ac:dyDescent="0.25">
      <c r="C301" t="s">
        <v>401</v>
      </c>
      <c r="D301" s="3" t="s">
        <v>403</v>
      </c>
      <c r="E301" s="3" t="s">
        <v>561</v>
      </c>
      <c r="F301">
        <v>10</v>
      </c>
      <c r="G301" s="3">
        <f t="shared" si="15"/>
        <v>1.3888888888888951E-2</v>
      </c>
      <c r="H301" s="3">
        <f t="shared" si="16"/>
        <v>1.388888888888895E-3</v>
      </c>
      <c r="I301" s="1">
        <f t="shared" si="14"/>
        <v>2</v>
      </c>
      <c r="J301" t="s">
        <v>544</v>
      </c>
      <c r="K301" t="s">
        <v>397</v>
      </c>
      <c r="L301" t="s">
        <v>149</v>
      </c>
      <c r="M301" t="s">
        <v>398</v>
      </c>
      <c r="N301" t="s">
        <v>447</v>
      </c>
    </row>
    <row r="302" spans="3:14" hidden="1" x14ac:dyDescent="0.25">
      <c r="C302" t="s">
        <v>407</v>
      </c>
      <c r="D302" s="3" t="s">
        <v>419</v>
      </c>
      <c r="E302" s="3" t="s">
        <v>558</v>
      </c>
      <c r="F302">
        <v>10</v>
      </c>
      <c r="G302" s="3">
        <f t="shared" si="15"/>
        <v>1.3888888888888895E-2</v>
      </c>
      <c r="H302" s="3">
        <f t="shared" si="16"/>
        <v>1.3888888888888896E-3</v>
      </c>
      <c r="I302" s="1">
        <f t="shared" si="14"/>
        <v>2</v>
      </c>
      <c r="J302" t="s">
        <v>544</v>
      </c>
      <c r="K302" t="s">
        <v>397</v>
      </c>
      <c r="L302" t="s">
        <v>149</v>
      </c>
      <c r="M302" t="s">
        <v>398</v>
      </c>
      <c r="N302" t="s">
        <v>447</v>
      </c>
    </row>
    <row r="303" spans="3:14" hidden="1" x14ac:dyDescent="0.25">
      <c r="C303" t="s">
        <v>393</v>
      </c>
      <c r="D303" s="3" t="s">
        <v>556</v>
      </c>
      <c r="E303" s="3" t="s">
        <v>548</v>
      </c>
      <c r="F303">
        <v>10</v>
      </c>
      <c r="G303" s="3">
        <f t="shared" si="15"/>
        <v>1.3888888888888951E-2</v>
      </c>
      <c r="H303" s="3">
        <f t="shared" si="16"/>
        <v>1.388888888888895E-3</v>
      </c>
      <c r="I303" s="1">
        <f t="shared" si="14"/>
        <v>2</v>
      </c>
      <c r="J303" t="s">
        <v>544</v>
      </c>
      <c r="K303" t="s">
        <v>397</v>
      </c>
      <c r="L303" t="s">
        <v>149</v>
      </c>
      <c r="M303" t="s">
        <v>398</v>
      </c>
      <c r="N303" t="s">
        <v>447</v>
      </c>
    </row>
    <row r="304" spans="3:14" hidden="1" x14ac:dyDescent="0.25">
      <c r="C304" t="s">
        <v>406</v>
      </c>
      <c r="D304" s="3" t="s">
        <v>486</v>
      </c>
      <c r="E304" s="3" t="s">
        <v>550</v>
      </c>
      <c r="F304">
        <v>10</v>
      </c>
      <c r="G304" s="3">
        <f t="shared" si="15"/>
        <v>1.3888888888888895E-2</v>
      </c>
      <c r="H304" s="3">
        <f t="shared" si="16"/>
        <v>1.3888888888888896E-3</v>
      </c>
      <c r="I304" s="1">
        <f t="shared" si="14"/>
        <v>2</v>
      </c>
      <c r="J304" t="s">
        <v>544</v>
      </c>
      <c r="K304" t="s">
        <v>397</v>
      </c>
      <c r="L304" t="s">
        <v>149</v>
      </c>
      <c r="M304" t="s">
        <v>398</v>
      </c>
      <c r="N304" t="s">
        <v>447</v>
      </c>
    </row>
    <row r="305" spans="2:14" hidden="1" x14ac:dyDescent="0.25">
      <c r="C305" t="s">
        <v>400</v>
      </c>
      <c r="D305" s="3" t="s">
        <v>562</v>
      </c>
      <c r="E305" s="3" t="s">
        <v>423</v>
      </c>
      <c r="F305">
        <v>10</v>
      </c>
      <c r="G305" s="3">
        <f t="shared" si="15"/>
        <v>1.3888888888888895E-2</v>
      </c>
      <c r="H305" s="3">
        <f t="shared" si="16"/>
        <v>1.3888888888888896E-3</v>
      </c>
      <c r="I305" s="1">
        <f t="shared" si="14"/>
        <v>2</v>
      </c>
      <c r="J305" t="s">
        <v>544</v>
      </c>
      <c r="K305" t="s">
        <v>397</v>
      </c>
      <c r="L305" t="s">
        <v>149</v>
      </c>
      <c r="M305" t="s">
        <v>398</v>
      </c>
      <c r="N305" t="s">
        <v>447</v>
      </c>
    </row>
    <row r="306" spans="2:14" hidden="1" x14ac:dyDescent="0.25">
      <c r="C306" t="s">
        <v>401</v>
      </c>
      <c r="D306" s="3" t="s">
        <v>419</v>
      </c>
      <c r="E306" s="3" t="s">
        <v>488</v>
      </c>
      <c r="F306">
        <v>30</v>
      </c>
      <c r="G306" s="3">
        <f t="shared" si="15"/>
        <v>0.27083333333333337</v>
      </c>
      <c r="H306" s="3">
        <f t="shared" si="16"/>
        <v>9.0277777777777787E-3</v>
      </c>
      <c r="I306" s="1">
        <f t="shared" si="14"/>
        <v>13</v>
      </c>
      <c r="J306" t="s">
        <v>544</v>
      </c>
      <c r="K306" t="s">
        <v>397</v>
      </c>
      <c r="L306" t="s">
        <v>304</v>
      </c>
      <c r="M306" t="s">
        <v>398</v>
      </c>
      <c r="N306" t="s">
        <v>447</v>
      </c>
    </row>
    <row r="307" spans="2:14" hidden="1" x14ac:dyDescent="0.25">
      <c r="C307" t="s">
        <v>407</v>
      </c>
      <c r="D307" s="3" t="s">
        <v>419</v>
      </c>
      <c r="E307" s="3" t="s">
        <v>488</v>
      </c>
      <c r="F307">
        <v>30</v>
      </c>
      <c r="G307" s="3">
        <f t="shared" si="15"/>
        <v>0.27083333333333337</v>
      </c>
      <c r="H307" s="3">
        <f t="shared" si="16"/>
        <v>9.0277777777777787E-3</v>
      </c>
      <c r="I307" s="1">
        <f t="shared" si="14"/>
        <v>13</v>
      </c>
      <c r="J307" t="s">
        <v>544</v>
      </c>
      <c r="K307" t="s">
        <v>397</v>
      </c>
      <c r="L307" t="s">
        <v>304</v>
      </c>
      <c r="M307" t="s">
        <v>398</v>
      </c>
      <c r="N307" t="s">
        <v>447</v>
      </c>
    </row>
    <row r="308" spans="2:14" hidden="1" x14ac:dyDescent="0.25">
      <c r="C308" t="s">
        <v>393</v>
      </c>
      <c r="D308" s="3" t="s">
        <v>419</v>
      </c>
      <c r="E308" s="3" t="s">
        <v>488</v>
      </c>
      <c r="F308">
        <v>30</v>
      </c>
      <c r="G308" s="3">
        <f t="shared" si="15"/>
        <v>0.27083333333333337</v>
      </c>
      <c r="H308" s="3">
        <f t="shared" si="16"/>
        <v>9.0277777777777787E-3</v>
      </c>
      <c r="I308" s="1">
        <f t="shared" si="14"/>
        <v>13</v>
      </c>
      <c r="J308" t="s">
        <v>544</v>
      </c>
      <c r="K308" t="s">
        <v>397</v>
      </c>
      <c r="L308" t="s">
        <v>304</v>
      </c>
      <c r="M308" t="s">
        <v>398</v>
      </c>
      <c r="N308" t="s">
        <v>447</v>
      </c>
    </row>
    <row r="309" spans="2:14" hidden="1" x14ac:dyDescent="0.25">
      <c r="C309" t="s">
        <v>406</v>
      </c>
      <c r="D309" s="3" t="s">
        <v>419</v>
      </c>
      <c r="E309" s="3" t="s">
        <v>488</v>
      </c>
      <c r="F309">
        <v>30</v>
      </c>
      <c r="G309" s="3">
        <f t="shared" si="15"/>
        <v>0.27083333333333337</v>
      </c>
      <c r="H309" s="3">
        <f t="shared" si="16"/>
        <v>9.0277777777777787E-3</v>
      </c>
      <c r="I309" s="1">
        <f t="shared" si="14"/>
        <v>13</v>
      </c>
      <c r="J309" t="s">
        <v>544</v>
      </c>
      <c r="K309" t="s">
        <v>397</v>
      </c>
      <c r="L309" t="s">
        <v>304</v>
      </c>
      <c r="M309" t="s">
        <v>398</v>
      </c>
      <c r="N309" t="s">
        <v>447</v>
      </c>
    </row>
    <row r="310" spans="2:14" hidden="1" x14ac:dyDescent="0.25">
      <c r="C310" t="s">
        <v>400</v>
      </c>
      <c r="D310" s="3" t="s">
        <v>419</v>
      </c>
      <c r="E310" s="3" t="s">
        <v>488</v>
      </c>
      <c r="F310">
        <v>30</v>
      </c>
      <c r="G310" s="3">
        <f t="shared" si="15"/>
        <v>0.27083333333333337</v>
      </c>
      <c r="H310" s="3">
        <f t="shared" si="16"/>
        <v>9.0277777777777787E-3</v>
      </c>
      <c r="I310" s="1">
        <f t="shared" si="14"/>
        <v>13</v>
      </c>
      <c r="J310" t="s">
        <v>544</v>
      </c>
      <c r="K310" t="s">
        <v>397</v>
      </c>
      <c r="L310" t="s">
        <v>304</v>
      </c>
      <c r="M310" t="s">
        <v>398</v>
      </c>
      <c r="N310" t="s">
        <v>447</v>
      </c>
    </row>
    <row r="311" spans="2:14" hidden="1" x14ac:dyDescent="0.25">
      <c r="C311" t="s">
        <v>422</v>
      </c>
      <c r="D311" s="3" t="s">
        <v>419</v>
      </c>
      <c r="E311" s="3" t="s">
        <v>488</v>
      </c>
      <c r="F311">
        <v>30</v>
      </c>
      <c r="G311" s="3">
        <f t="shared" si="15"/>
        <v>0.27083333333333337</v>
      </c>
      <c r="H311" s="3">
        <f t="shared" si="16"/>
        <v>9.0277777777777787E-3</v>
      </c>
      <c r="I311" s="1">
        <f t="shared" si="14"/>
        <v>13</v>
      </c>
      <c r="J311" t="s">
        <v>544</v>
      </c>
      <c r="K311" t="s">
        <v>397</v>
      </c>
      <c r="L311" t="s">
        <v>304</v>
      </c>
      <c r="M311" t="s">
        <v>398</v>
      </c>
      <c r="N311" t="s">
        <v>447</v>
      </c>
    </row>
    <row r="312" spans="2:14" hidden="1" x14ac:dyDescent="0.25">
      <c r="C312" t="s">
        <v>491</v>
      </c>
      <c r="D312" s="3" t="s">
        <v>403</v>
      </c>
      <c r="E312" s="3" t="s">
        <v>453</v>
      </c>
      <c r="F312">
        <v>10</v>
      </c>
      <c r="G312" s="3">
        <f t="shared" si="15"/>
        <v>0.25000000000000006</v>
      </c>
      <c r="H312" s="3">
        <f t="shared" si="16"/>
        <v>2.5000000000000005E-2</v>
      </c>
      <c r="I312" s="1">
        <f t="shared" si="14"/>
        <v>36</v>
      </c>
      <c r="J312" t="s">
        <v>563</v>
      </c>
      <c r="K312" t="s">
        <v>397</v>
      </c>
      <c r="L312" t="s">
        <v>564</v>
      </c>
      <c r="M312" t="s">
        <v>398</v>
      </c>
      <c r="N312" t="s">
        <v>465</v>
      </c>
    </row>
    <row r="313" spans="2:14" hidden="1" x14ac:dyDescent="0.25">
      <c r="C313" t="s">
        <v>401</v>
      </c>
      <c r="D313" s="3" t="s">
        <v>403</v>
      </c>
      <c r="E313" s="3" t="s">
        <v>464</v>
      </c>
      <c r="F313">
        <v>10</v>
      </c>
      <c r="G313" s="3">
        <f t="shared" si="15"/>
        <v>0.41666666666666669</v>
      </c>
      <c r="H313" s="3">
        <f t="shared" si="16"/>
        <v>4.1666666666666671E-2</v>
      </c>
      <c r="I313" s="1">
        <f t="shared" si="14"/>
        <v>0</v>
      </c>
      <c r="J313" t="s">
        <v>563</v>
      </c>
      <c r="K313" t="s">
        <v>397</v>
      </c>
      <c r="L313" t="s">
        <v>564</v>
      </c>
      <c r="M313" t="s">
        <v>398</v>
      </c>
      <c r="N313" t="s">
        <v>465</v>
      </c>
    </row>
    <row r="314" spans="2:14" hidden="1" x14ac:dyDescent="0.25">
      <c r="C314" t="s">
        <v>407</v>
      </c>
      <c r="D314" s="3" t="s">
        <v>403</v>
      </c>
      <c r="E314" s="3" t="s">
        <v>464</v>
      </c>
      <c r="F314">
        <v>10</v>
      </c>
      <c r="G314" s="3">
        <f t="shared" si="15"/>
        <v>0.41666666666666669</v>
      </c>
      <c r="H314" s="3">
        <f t="shared" si="16"/>
        <v>4.1666666666666671E-2</v>
      </c>
      <c r="I314" s="1">
        <f t="shared" si="14"/>
        <v>0</v>
      </c>
      <c r="J314" t="s">
        <v>563</v>
      </c>
      <c r="K314" t="s">
        <v>397</v>
      </c>
      <c r="L314" t="s">
        <v>564</v>
      </c>
      <c r="M314" t="s">
        <v>398</v>
      </c>
      <c r="N314" t="s">
        <v>465</v>
      </c>
    </row>
    <row r="315" spans="2:14" hidden="1" x14ac:dyDescent="0.25">
      <c r="C315" t="s">
        <v>393</v>
      </c>
      <c r="D315" s="3" t="s">
        <v>403</v>
      </c>
      <c r="E315" s="3" t="s">
        <v>464</v>
      </c>
      <c r="F315">
        <v>10</v>
      </c>
      <c r="G315" s="3">
        <f t="shared" si="15"/>
        <v>0.41666666666666669</v>
      </c>
      <c r="H315" s="3">
        <f t="shared" si="16"/>
        <v>4.1666666666666671E-2</v>
      </c>
      <c r="I315" s="1">
        <f t="shared" si="14"/>
        <v>0</v>
      </c>
      <c r="J315" t="s">
        <v>563</v>
      </c>
      <c r="K315" t="s">
        <v>397</v>
      </c>
      <c r="L315" t="s">
        <v>564</v>
      </c>
      <c r="M315" t="s">
        <v>398</v>
      </c>
      <c r="N315" t="s">
        <v>465</v>
      </c>
    </row>
    <row r="316" spans="2:14" hidden="1" x14ac:dyDescent="0.25">
      <c r="B316" t="s">
        <v>565</v>
      </c>
      <c r="C316" t="s">
        <v>406</v>
      </c>
      <c r="D316" s="3" t="s">
        <v>403</v>
      </c>
      <c r="E316" s="3" t="s">
        <v>464</v>
      </c>
      <c r="F316">
        <v>10</v>
      </c>
      <c r="G316" s="3">
        <f t="shared" si="15"/>
        <v>0.41666666666666669</v>
      </c>
      <c r="H316" s="3">
        <f t="shared" si="16"/>
        <v>4.1666666666666671E-2</v>
      </c>
      <c r="I316" s="1">
        <f t="shared" si="14"/>
        <v>0</v>
      </c>
      <c r="J316" t="s">
        <v>563</v>
      </c>
      <c r="K316" t="s">
        <v>397</v>
      </c>
      <c r="L316" t="s">
        <v>564</v>
      </c>
      <c r="M316" t="s">
        <v>398</v>
      </c>
      <c r="N316" t="s">
        <v>465</v>
      </c>
    </row>
    <row r="317" spans="2:14" hidden="1" x14ac:dyDescent="0.25">
      <c r="C317" t="s">
        <v>400</v>
      </c>
      <c r="D317" s="3" t="s">
        <v>403</v>
      </c>
      <c r="E317" s="3" t="s">
        <v>464</v>
      </c>
      <c r="F317">
        <v>10</v>
      </c>
      <c r="G317" s="3">
        <f t="shared" si="15"/>
        <v>0.41666666666666669</v>
      </c>
      <c r="H317" s="3">
        <f t="shared" si="16"/>
        <v>4.1666666666666671E-2</v>
      </c>
      <c r="I317" s="1">
        <f t="shared" si="14"/>
        <v>0</v>
      </c>
      <c r="J317" t="s">
        <v>563</v>
      </c>
      <c r="K317" t="s">
        <v>397</v>
      </c>
      <c r="L317" t="s">
        <v>564</v>
      </c>
      <c r="M317" t="s">
        <v>398</v>
      </c>
      <c r="N317" t="s">
        <v>465</v>
      </c>
    </row>
    <row r="318" spans="2:14" hidden="1" x14ac:dyDescent="0.25">
      <c r="C318" t="s">
        <v>422</v>
      </c>
      <c r="D318" s="3" t="s">
        <v>403</v>
      </c>
      <c r="E318" s="3" t="s">
        <v>479</v>
      </c>
      <c r="F318">
        <v>10</v>
      </c>
      <c r="G318" s="3">
        <f t="shared" si="15"/>
        <v>0.37500000000000006</v>
      </c>
      <c r="H318" s="3">
        <f t="shared" si="16"/>
        <v>3.7500000000000006E-2</v>
      </c>
      <c r="I318" s="1">
        <f t="shared" si="14"/>
        <v>54</v>
      </c>
      <c r="J318" t="s">
        <v>563</v>
      </c>
      <c r="K318" t="s">
        <v>397</v>
      </c>
      <c r="L318" t="s">
        <v>564</v>
      </c>
      <c r="M318" t="s">
        <v>398</v>
      </c>
      <c r="N318" t="s">
        <v>465</v>
      </c>
    </row>
    <row r="319" spans="2:14" hidden="1" x14ac:dyDescent="0.25">
      <c r="C319" t="s">
        <v>401</v>
      </c>
      <c r="D319" s="3" t="s">
        <v>403</v>
      </c>
      <c r="E319" s="3" t="s">
        <v>542</v>
      </c>
      <c r="F319">
        <v>10</v>
      </c>
      <c r="G319" s="3">
        <f t="shared" si="15"/>
        <v>0.40972222222222215</v>
      </c>
      <c r="H319" s="3">
        <f t="shared" si="16"/>
        <v>4.0972222222222215E-2</v>
      </c>
      <c r="I319" s="1">
        <f t="shared" si="14"/>
        <v>59</v>
      </c>
      <c r="J319" t="s">
        <v>566</v>
      </c>
      <c r="K319" t="s">
        <v>397</v>
      </c>
      <c r="L319" t="s">
        <v>567</v>
      </c>
      <c r="M319" t="s">
        <v>398</v>
      </c>
      <c r="N319" t="s">
        <v>433</v>
      </c>
    </row>
    <row r="320" spans="2:14" hidden="1" x14ac:dyDescent="0.25">
      <c r="C320" t="s">
        <v>401</v>
      </c>
      <c r="D320" s="3" t="s">
        <v>403</v>
      </c>
      <c r="E320" s="3" t="s">
        <v>542</v>
      </c>
      <c r="F320">
        <v>10</v>
      </c>
      <c r="G320" s="3">
        <f t="shared" si="15"/>
        <v>0.40972222222222215</v>
      </c>
      <c r="H320" s="3">
        <f t="shared" si="16"/>
        <v>4.0972222222222215E-2</v>
      </c>
      <c r="I320" s="1">
        <f t="shared" si="14"/>
        <v>59</v>
      </c>
      <c r="J320" t="s">
        <v>563</v>
      </c>
      <c r="K320" t="s">
        <v>397</v>
      </c>
      <c r="L320" t="s">
        <v>568</v>
      </c>
      <c r="M320" t="s">
        <v>398</v>
      </c>
      <c r="N320" t="s">
        <v>447</v>
      </c>
    </row>
    <row r="321" spans="3:14" hidden="1" x14ac:dyDescent="0.25">
      <c r="C321" t="s">
        <v>407</v>
      </c>
      <c r="D321" s="3" t="s">
        <v>403</v>
      </c>
      <c r="E321" s="3" t="s">
        <v>542</v>
      </c>
      <c r="F321">
        <v>10</v>
      </c>
      <c r="G321" s="3">
        <f t="shared" si="15"/>
        <v>0.40972222222222215</v>
      </c>
      <c r="H321" s="3">
        <f t="shared" si="16"/>
        <v>4.0972222222222215E-2</v>
      </c>
      <c r="I321" s="1">
        <f t="shared" si="14"/>
        <v>59</v>
      </c>
      <c r="J321" t="s">
        <v>563</v>
      </c>
      <c r="K321" t="s">
        <v>397</v>
      </c>
      <c r="L321" t="s">
        <v>568</v>
      </c>
      <c r="M321" t="s">
        <v>398</v>
      </c>
      <c r="N321" t="s">
        <v>447</v>
      </c>
    </row>
    <row r="322" spans="3:14" hidden="1" x14ac:dyDescent="0.25">
      <c r="C322" t="s">
        <v>393</v>
      </c>
      <c r="D322" s="3" t="s">
        <v>403</v>
      </c>
      <c r="E322" s="3" t="s">
        <v>542</v>
      </c>
      <c r="F322">
        <v>10</v>
      </c>
      <c r="G322" s="3">
        <f t="shared" si="15"/>
        <v>0.40972222222222215</v>
      </c>
      <c r="H322" s="3">
        <f t="shared" si="16"/>
        <v>4.0972222222222215E-2</v>
      </c>
      <c r="I322" s="1">
        <f t="shared" si="14"/>
        <v>59</v>
      </c>
      <c r="J322" t="s">
        <v>563</v>
      </c>
      <c r="K322" t="s">
        <v>397</v>
      </c>
      <c r="L322" t="s">
        <v>568</v>
      </c>
      <c r="M322" t="s">
        <v>398</v>
      </c>
      <c r="N322" t="s">
        <v>447</v>
      </c>
    </row>
    <row r="323" spans="3:14" hidden="1" x14ac:dyDescent="0.25">
      <c r="C323" t="s">
        <v>406</v>
      </c>
      <c r="D323" s="3" t="s">
        <v>403</v>
      </c>
      <c r="E323" s="3" t="s">
        <v>542</v>
      </c>
      <c r="F323">
        <v>10</v>
      </c>
      <c r="G323" s="3">
        <f t="shared" si="15"/>
        <v>0.40972222222222215</v>
      </c>
      <c r="H323" s="3">
        <f t="shared" si="16"/>
        <v>4.0972222222222215E-2</v>
      </c>
      <c r="I323" s="1">
        <f t="shared" ref="I323:I386" si="17">MINUTE(H323)</f>
        <v>59</v>
      </c>
      <c r="J323" t="s">
        <v>563</v>
      </c>
      <c r="K323" t="s">
        <v>397</v>
      </c>
      <c r="L323" t="s">
        <v>568</v>
      </c>
      <c r="M323" t="s">
        <v>398</v>
      </c>
      <c r="N323" t="s">
        <v>447</v>
      </c>
    </row>
    <row r="324" spans="3:14" hidden="1" x14ac:dyDescent="0.25">
      <c r="C324" t="s">
        <v>400</v>
      </c>
      <c r="D324" s="3" t="s">
        <v>403</v>
      </c>
      <c r="E324" s="3" t="s">
        <v>542</v>
      </c>
      <c r="F324">
        <v>10</v>
      </c>
      <c r="G324" s="3">
        <f t="shared" ref="G324:G387" si="18">(E324-D324)</f>
        <v>0.40972222222222215</v>
      </c>
      <c r="H324" s="3">
        <f t="shared" ref="H324:H387" si="19">G324/F324</f>
        <v>4.0972222222222215E-2</v>
      </c>
      <c r="I324" s="1">
        <f t="shared" si="17"/>
        <v>59</v>
      </c>
      <c r="J324" t="s">
        <v>563</v>
      </c>
      <c r="K324" t="s">
        <v>397</v>
      </c>
      <c r="L324" t="s">
        <v>568</v>
      </c>
      <c r="M324" t="s">
        <v>398</v>
      </c>
      <c r="N324" t="s">
        <v>447</v>
      </c>
    </row>
    <row r="325" spans="3:14" hidden="1" x14ac:dyDescent="0.25">
      <c r="C325" t="s">
        <v>422</v>
      </c>
      <c r="D325" s="3" t="s">
        <v>403</v>
      </c>
      <c r="E325" s="3" t="s">
        <v>569</v>
      </c>
      <c r="F325">
        <v>10</v>
      </c>
      <c r="G325" s="3">
        <f t="shared" si="18"/>
        <v>0.24305555555555564</v>
      </c>
      <c r="H325" s="3">
        <f t="shared" si="19"/>
        <v>2.4305555555555563E-2</v>
      </c>
      <c r="I325" s="1">
        <f t="shared" si="17"/>
        <v>35</v>
      </c>
      <c r="J325" t="s">
        <v>563</v>
      </c>
      <c r="K325" t="s">
        <v>397</v>
      </c>
      <c r="L325" t="s">
        <v>568</v>
      </c>
      <c r="M325" t="s">
        <v>398</v>
      </c>
      <c r="N325" t="s">
        <v>447</v>
      </c>
    </row>
    <row r="326" spans="3:14" hidden="1" x14ac:dyDescent="0.25">
      <c r="C326" t="s">
        <v>407</v>
      </c>
      <c r="D326" s="3" t="s">
        <v>403</v>
      </c>
      <c r="E326" s="3" t="s">
        <v>542</v>
      </c>
      <c r="F326">
        <v>10</v>
      </c>
      <c r="G326" s="3">
        <f t="shared" si="18"/>
        <v>0.40972222222222215</v>
      </c>
      <c r="H326" s="3">
        <f t="shared" si="19"/>
        <v>4.0972222222222215E-2</v>
      </c>
      <c r="I326" s="1">
        <f t="shared" si="17"/>
        <v>59</v>
      </c>
      <c r="J326" t="s">
        <v>566</v>
      </c>
      <c r="K326" t="s">
        <v>397</v>
      </c>
      <c r="L326" t="s">
        <v>567</v>
      </c>
      <c r="M326" t="s">
        <v>398</v>
      </c>
      <c r="N326" t="s">
        <v>433</v>
      </c>
    </row>
    <row r="327" spans="3:14" hidden="1" x14ac:dyDescent="0.25">
      <c r="C327" t="s">
        <v>393</v>
      </c>
      <c r="D327" s="3" t="s">
        <v>403</v>
      </c>
      <c r="E327" s="3" t="s">
        <v>542</v>
      </c>
      <c r="F327">
        <v>10</v>
      </c>
      <c r="G327" s="3">
        <f t="shared" si="18"/>
        <v>0.40972222222222215</v>
      </c>
      <c r="H327" s="3">
        <f t="shared" si="19"/>
        <v>4.0972222222222215E-2</v>
      </c>
      <c r="I327" s="1">
        <f t="shared" si="17"/>
        <v>59</v>
      </c>
      <c r="J327" t="s">
        <v>566</v>
      </c>
      <c r="K327" t="s">
        <v>397</v>
      </c>
      <c r="L327" t="s">
        <v>567</v>
      </c>
      <c r="M327" t="s">
        <v>398</v>
      </c>
      <c r="N327" t="s">
        <v>433</v>
      </c>
    </row>
    <row r="328" spans="3:14" hidden="1" x14ac:dyDescent="0.25">
      <c r="C328" t="s">
        <v>406</v>
      </c>
      <c r="D328" s="3" t="s">
        <v>403</v>
      </c>
      <c r="E328" s="3" t="s">
        <v>542</v>
      </c>
      <c r="F328">
        <v>10</v>
      </c>
      <c r="G328" s="3">
        <f t="shared" si="18"/>
        <v>0.40972222222222215</v>
      </c>
      <c r="H328" s="3">
        <f t="shared" si="19"/>
        <v>4.0972222222222215E-2</v>
      </c>
      <c r="I328" s="1">
        <f t="shared" si="17"/>
        <v>59</v>
      </c>
      <c r="J328" t="s">
        <v>566</v>
      </c>
      <c r="K328" t="s">
        <v>397</v>
      </c>
      <c r="L328" t="s">
        <v>567</v>
      </c>
      <c r="M328" t="s">
        <v>398</v>
      </c>
      <c r="N328" t="s">
        <v>433</v>
      </c>
    </row>
    <row r="329" spans="3:14" hidden="1" x14ac:dyDescent="0.25">
      <c r="C329" t="s">
        <v>400</v>
      </c>
      <c r="D329" s="3" t="s">
        <v>403</v>
      </c>
      <c r="E329" s="3" t="s">
        <v>569</v>
      </c>
      <c r="F329">
        <v>10</v>
      </c>
      <c r="G329" s="3">
        <f t="shared" si="18"/>
        <v>0.24305555555555564</v>
      </c>
      <c r="H329" s="3">
        <f t="shared" si="19"/>
        <v>2.4305555555555563E-2</v>
      </c>
      <c r="I329" s="1">
        <f t="shared" si="17"/>
        <v>35</v>
      </c>
      <c r="J329" t="s">
        <v>566</v>
      </c>
      <c r="K329" t="s">
        <v>397</v>
      </c>
      <c r="L329" t="s">
        <v>567</v>
      </c>
      <c r="M329" t="s">
        <v>398</v>
      </c>
      <c r="N329" t="s">
        <v>433</v>
      </c>
    </row>
    <row r="330" spans="3:14" hidden="1" x14ac:dyDescent="0.25">
      <c r="C330" t="s">
        <v>491</v>
      </c>
      <c r="D330" s="3" t="s">
        <v>403</v>
      </c>
      <c r="E330" s="3" t="s">
        <v>511</v>
      </c>
      <c r="F330">
        <v>20</v>
      </c>
      <c r="G330" s="3">
        <f t="shared" si="18"/>
        <v>0.19444444444444448</v>
      </c>
      <c r="H330" s="3">
        <f t="shared" si="19"/>
        <v>9.7222222222222241E-3</v>
      </c>
      <c r="I330" s="1">
        <f t="shared" si="17"/>
        <v>14</v>
      </c>
      <c r="J330" t="s">
        <v>570</v>
      </c>
      <c r="K330" t="s">
        <v>397</v>
      </c>
      <c r="L330" t="s">
        <v>156</v>
      </c>
      <c r="M330" t="s">
        <v>398</v>
      </c>
      <c r="N330" t="s">
        <v>465</v>
      </c>
    </row>
    <row r="331" spans="3:14" hidden="1" x14ac:dyDescent="0.25">
      <c r="C331" t="s">
        <v>401</v>
      </c>
      <c r="D331" s="3" t="s">
        <v>403</v>
      </c>
      <c r="E331" s="3" t="s">
        <v>481</v>
      </c>
      <c r="F331">
        <v>20</v>
      </c>
      <c r="G331" s="3">
        <f t="shared" si="18"/>
        <v>0.56944444444444442</v>
      </c>
      <c r="H331" s="3">
        <f t="shared" si="19"/>
        <v>2.8472222222222222E-2</v>
      </c>
      <c r="I331" s="1">
        <f t="shared" si="17"/>
        <v>41</v>
      </c>
      <c r="J331" t="s">
        <v>570</v>
      </c>
      <c r="K331" t="s">
        <v>397</v>
      </c>
      <c r="L331" t="s">
        <v>156</v>
      </c>
      <c r="M331" t="s">
        <v>398</v>
      </c>
      <c r="N331" t="s">
        <v>465</v>
      </c>
    </row>
    <row r="332" spans="3:14" hidden="1" x14ac:dyDescent="0.25">
      <c r="C332" t="s">
        <v>407</v>
      </c>
      <c r="D332" s="3" t="s">
        <v>403</v>
      </c>
      <c r="E332" s="3" t="s">
        <v>481</v>
      </c>
      <c r="F332">
        <v>20</v>
      </c>
      <c r="G332" s="3">
        <f t="shared" si="18"/>
        <v>0.56944444444444442</v>
      </c>
      <c r="H332" s="3">
        <f t="shared" si="19"/>
        <v>2.8472222222222222E-2</v>
      </c>
      <c r="I332" s="1">
        <f t="shared" si="17"/>
        <v>41</v>
      </c>
      <c r="J332" t="s">
        <v>570</v>
      </c>
      <c r="K332" t="s">
        <v>397</v>
      </c>
      <c r="L332" t="s">
        <v>156</v>
      </c>
      <c r="M332" t="s">
        <v>398</v>
      </c>
      <c r="N332" t="s">
        <v>465</v>
      </c>
    </row>
    <row r="333" spans="3:14" hidden="1" x14ac:dyDescent="0.25">
      <c r="C333" t="s">
        <v>393</v>
      </c>
      <c r="D333" s="3" t="s">
        <v>403</v>
      </c>
      <c r="E333" s="3" t="s">
        <v>481</v>
      </c>
      <c r="F333">
        <v>20</v>
      </c>
      <c r="G333" s="3">
        <f t="shared" si="18"/>
        <v>0.56944444444444442</v>
      </c>
      <c r="H333" s="3">
        <f t="shared" si="19"/>
        <v>2.8472222222222222E-2</v>
      </c>
      <c r="I333" s="1">
        <f t="shared" si="17"/>
        <v>41</v>
      </c>
      <c r="J333" t="s">
        <v>570</v>
      </c>
      <c r="K333" t="s">
        <v>397</v>
      </c>
      <c r="L333" t="s">
        <v>156</v>
      </c>
      <c r="M333" t="s">
        <v>398</v>
      </c>
      <c r="N333" t="s">
        <v>465</v>
      </c>
    </row>
    <row r="334" spans="3:14" hidden="1" x14ac:dyDescent="0.25">
      <c r="C334" t="s">
        <v>406</v>
      </c>
      <c r="D334" s="3" t="s">
        <v>403</v>
      </c>
      <c r="E334" s="3" t="s">
        <v>481</v>
      </c>
      <c r="F334">
        <v>20</v>
      </c>
      <c r="G334" s="3">
        <f t="shared" si="18"/>
        <v>0.56944444444444442</v>
      </c>
      <c r="H334" s="3">
        <f t="shared" si="19"/>
        <v>2.8472222222222222E-2</v>
      </c>
      <c r="I334" s="1">
        <f t="shared" si="17"/>
        <v>41</v>
      </c>
      <c r="J334" t="s">
        <v>570</v>
      </c>
      <c r="K334" t="s">
        <v>397</v>
      </c>
      <c r="L334" t="s">
        <v>156</v>
      </c>
      <c r="M334" t="s">
        <v>398</v>
      </c>
      <c r="N334" t="s">
        <v>465</v>
      </c>
    </row>
    <row r="335" spans="3:14" hidden="1" x14ac:dyDescent="0.25">
      <c r="C335" t="s">
        <v>400</v>
      </c>
      <c r="D335" s="3" t="s">
        <v>403</v>
      </c>
      <c r="E335" s="3" t="s">
        <v>481</v>
      </c>
      <c r="F335">
        <v>20</v>
      </c>
      <c r="G335" s="3">
        <f t="shared" si="18"/>
        <v>0.56944444444444442</v>
      </c>
      <c r="H335" s="3">
        <f t="shared" si="19"/>
        <v>2.8472222222222222E-2</v>
      </c>
      <c r="I335" s="1">
        <f t="shared" si="17"/>
        <v>41</v>
      </c>
      <c r="J335" t="s">
        <v>570</v>
      </c>
      <c r="K335" t="s">
        <v>397</v>
      </c>
      <c r="L335" t="s">
        <v>156</v>
      </c>
      <c r="M335" t="s">
        <v>398</v>
      </c>
      <c r="N335" t="s">
        <v>465</v>
      </c>
    </row>
    <row r="336" spans="3:14" hidden="1" x14ac:dyDescent="0.25">
      <c r="C336" t="s">
        <v>422</v>
      </c>
      <c r="D336" s="3" t="s">
        <v>403</v>
      </c>
      <c r="E336" s="3" t="s">
        <v>525</v>
      </c>
      <c r="F336">
        <v>20</v>
      </c>
      <c r="G336" s="3">
        <f t="shared" si="18"/>
        <v>0.36111111111111122</v>
      </c>
      <c r="H336" s="3">
        <f t="shared" si="19"/>
        <v>1.8055555555555561E-2</v>
      </c>
      <c r="I336" s="1">
        <f t="shared" si="17"/>
        <v>26</v>
      </c>
      <c r="J336" t="s">
        <v>570</v>
      </c>
      <c r="K336" t="s">
        <v>397</v>
      </c>
      <c r="L336" t="s">
        <v>156</v>
      </c>
      <c r="M336" t="s">
        <v>398</v>
      </c>
      <c r="N336" t="s">
        <v>465</v>
      </c>
    </row>
    <row r="337" spans="2:14" hidden="1" x14ac:dyDescent="0.25">
      <c r="B337" t="s">
        <v>565</v>
      </c>
      <c r="C337" t="s">
        <v>406</v>
      </c>
      <c r="D337" s="3" t="s">
        <v>411</v>
      </c>
      <c r="E337" s="3" t="s">
        <v>571</v>
      </c>
      <c r="F337">
        <v>60</v>
      </c>
      <c r="G337" s="3">
        <f t="shared" si="18"/>
        <v>4.0972222222222188E-2</v>
      </c>
      <c r="H337" s="3">
        <f t="shared" si="19"/>
        <v>6.8287037037036982E-4</v>
      </c>
      <c r="I337" s="1">
        <f t="shared" si="17"/>
        <v>0</v>
      </c>
      <c r="J337" t="s">
        <v>420</v>
      </c>
      <c r="K337" t="s">
        <v>397</v>
      </c>
      <c r="L337" t="s">
        <v>145</v>
      </c>
      <c r="M337" t="s">
        <v>398</v>
      </c>
      <c r="N337" t="s">
        <v>405</v>
      </c>
    </row>
    <row r="338" spans="2:14" hidden="1" x14ac:dyDescent="0.25">
      <c r="C338" t="s">
        <v>393</v>
      </c>
      <c r="D338" s="3" t="s">
        <v>416</v>
      </c>
      <c r="E338" s="3" t="s">
        <v>534</v>
      </c>
      <c r="F338">
        <v>10</v>
      </c>
      <c r="G338" s="3">
        <f t="shared" si="18"/>
        <v>0.15972222222222221</v>
      </c>
      <c r="H338" s="3">
        <f t="shared" si="19"/>
        <v>1.5972222222222221E-2</v>
      </c>
      <c r="I338" s="1">
        <f t="shared" si="17"/>
        <v>23</v>
      </c>
      <c r="J338" t="s">
        <v>517</v>
      </c>
      <c r="K338" t="s">
        <v>417</v>
      </c>
      <c r="L338" t="s">
        <v>88</v>
      </c>
      <c r="M338" t="s">
        <v>398</v>
      </c>
      <c r="N338" t="s">
        <v>399</v>
      </c>
    </row>
    <row r="339" spans="2:14" hidden="1" x14ac:dyDescent="0.25">
      <c r="C339" t="s">
        <v>400</v>
      </c>
      <c r="D339" s="3" t="s">
        <v>416</v>
      </c>
      <c r="E339" s="3" t="s">
        <v>498</v>
      </c>
      <c r="F339">
        <v>10</v>
      </c>
      <c r="G339" s="3">
        <f t="shared" si="18"/>
        <v>0.14583333333333337</v>
      </c>
      <c r="H339" s="3">
        <f t="shared" si="19"/>
        <v>1.4583333333333337E-2</v>
      </c>
      <c r="I339" s="1">
        <f t="shared" si="17"/>
        <v>21</v>
      </c>
      <c r="J339" t="s">
        <v>517</v>
      </c>
      <c r="K339" t="s">
        <v>417</v>
      </c>
      <c r="L339" t="s">
        <v>88</v>
      </c>
      <c r="M339" t="s">
        <v>398</v>
      </c>
      <c r="N339" t="s">
        <v>399</v>
      </c>
    </row>
    <row r="340" spans="2:14" hidden="1" x14ac:dyDescent="0.25">
      <c r="C340" t="s">
        <v>401</v>
      </c>
      <c r="D340" s="3" t="s">
        <v>416</v>
      </c>
      <c r="E340" s="3" t="s">
        <v>431</v>
      </c>
      <c r="F340">
        <v>15</v>
      </c>
      <c r="G340" s="3">
        <f t="shared" si="18"/>
        <v>0.14930555555555558</v>
      </c>
      <c r="H340" s="3">
        <f t="shared" si="19"/>
        <v>9.9537037037037059E-3</v>
      </c>
      <c r="I340" s="1">
        <f t="shared" si="17"/>
        <v>14</v>
      </c>
      <c r="J340" t="s">
        <v>404</v>
      </c>
      <c r="K340" t="s">
        <v>417</v>
      </c>
      <c r="L340" t="s">
        <v>126</v>
      </c>
      <c r="M340" t="s">
        <v>398</v>
      </c>
      <c r="N340" t="s">
        <v>500</v>
      </c>
    </row>
    <row r="341" spans="2:14" hidden="1" x14ac:dyDescent="0.25">
      <c r="B341" t="s">
        <v>537</v>
      </c>
      <c r="C341" t="s">
        <v>401</v>
      </c>
      <c r="D341" s="3" t="s">
        <v>411</v>
      </c>
      <c r="E341" s="3" t="s">
        <v>572</v>
      </c>
      <c r="F341">
        <v>15</v>
      </c>
      <c r="G341" s="3">
        <f t="shared" si="18"/>
        <v>0.1076388888888889</v>
      </c>
      <c r="H341" s="3">
        <f t="shared" si="19"/>
        <v>7.1759259259259267E-3</v>
      </c>
      <c r="I341" s="1">
        <f t="shared" si="17"/>
        <v>10</v>
      </c>
      <c r="J341" t="s">
        <v>476</v>
      </c>
      <c r="K341" t="s">
        <v>397</v>
      </c>
      <c r="L341" t="s">
        <v>119</v>
      </c>
      <c r="M341" t="s">
        <v>398</v>
      </c>
      <c r="N341" t="s">
        <v>465</v>
      </c>
    </row>
    <row r="342" spans="2:14" hidden="1" x14ac:dyDescent="0.25">
      <c r="B342" t="s">
        <v>573</v>
      </c>
      <c r="C342" t="s">
        <v>406</v>
      </c>
      <c r="D342" s="3" t="s">
        <v>416</v>
      </c>
      <c r="E342" s="3" t="s">
        <v>428</v>
      </c>
      <c r="F342">
        <v>15</v>
      </c>
      <c r="G342" s="3">
        <f t="shared" si="18"/>
        <v>0.19097222222222221</v>
      </c>
      <c r="H342" s="3">
        <f t="shared" si="19"/>
        <v>1.2731481481481481E-2</v>
      </c>
      <c r="I342" s="1">
        <f t="shared" si="17"/>
        <v>18</v>
      </c>
      <c r="J342" t="s">
        <v>455</v>
      </c>
      <c r="K342" t="s">
        <v>417</v>
      </c>
      <c r="L342" t="s">
        <v>119</v>
      </c>
      <c r="M342" t="s">
        <v>398</v>
      </c>
      <c r="N342" t="s">
        <v>399</v>
      </c>
    </row>
    <row r="343" spans="2:14" hidden="1" x14ac:dyDescent="0.25">
      <c r="B343" t="s">
        <v>574</v>
      </c>
      <c r="C343" t="s">
        <v>401</v>
      </c>
      <c r="D343" s="3" t="s">
        <v>411</v>
      </c>
      <c r="E343" s="3" t="s">
        <v>431</v>
      </c>
      <c r="F343">
        <v>15</v>
      </c>
      <c r="G343" s="3">
        <f t="shared" si="18"/>
        <v>0.39930555555555552</v>
      </c>
      <c r="H343" s="3">
        <f t="shared" si="19"/>
        <v>2.6620370370370367E-2</v>
      </c>
      <c r="I343" s="1">
        <f t="shared" si="17"/>
        <v>38</v>
      </c>
      <c r="J343" t="s">
        <v>409</v>
      </c>
      <c r="K343" t="s">
        <v>397</v>
      </c>
      <c r="L343" t="s">
        <v>325</v>
      </c>
      <c r="M343" t="s">
        <v>398</v>
      </c>
      <c r="N343" t="s">
        <v>500</v>
      </c>
    </row>
    <row r="344" spans="2:14" hidden="1" x14ac:dyDescent="0.25">
      <c r="B344" t="s">
        <v>574</v>
      </c>
      <c r="C344" t="s">
        <v>401</v>
      </c>
      <c r="D344" s="3" t="s">
        <v>479</v>
      </c>
      <c r="E344" s="3" t="s">
        <v>428</v>
      </c>
      <c r="F344">
        <v>15</v>
      </c>
      <c r="G344" s="3">
        <f t="shared" si="18"/>
        <v>2.4305555555555469E-2</v>
      </c>
      <c r="H344" s="3">
        <f t="shared" si="19"/>
        <v>1.6203703703703647E-3</v>
      </c>
      <c r="I344" s="1">
        <f t="shared" si="17"/>
        <v>2</v>
      </c>
      <c r="J344" t="s">
        <v>409</v>
      </c>
      <c r="K344" t="s">
        <v>417</v>
      </c>
      <c r="L344" t="s">
        <v>325</v>
      </c>
      <c r="M344" t="s">
        <v>398</v>
      </c>
      <c r="N344" t="s">
        <v>500</v>
      </c>
    </row>
    <row r="345" spans="2:14" hidden="1" x14ac:dyDescent="0.25">
      <c r="B345" t="s">
        <v>532</v>
      </c>
      <c r="C345" t="s">
        <v>393</v>
      </c>
      <c r="D345" s="3" t="s">
        <v>411</v>
      </c>
      <c r="E345" s="3" t="s">
        <v>431</v>
      </c>
      <c r="F345">
        <v>15</v>
      </c>
      <c r="G345" s="3">
        <f t="shared" si="18"/>
        <v>0.39930555555555552</v>
      </c>
      <c r="H345" s="3">
        <f t="shared" si="19"/>
        <v>2.6620370370370367E-2</v>
      </c>
      <c r="I345" s="1">
        <f t="shared" si="17"/>
        <v>38</v>
      </c>
      <c r="J345" t="s">
        <v>396</v>
      </c>
      <c r="K345" t="s">
        <v>397</v>
      </c>
      <c r="L345" t="s">
        <v>325</v>
      </c>
      <c r="M345" t="s">
        <v>398</v>
      </c>
      <c r="N345" t="s">
        <v>500</v>
      </c>
    </row>
    <row r="346" spans="2:14" hidden="1" x14ac:dyDescent="0.25">
      <c r="B346" t="s">
        <v>532</v>
      </c>
      <c r="C346" t="s">
        <v>393</v>
      </c>
      <c r="D346" s="3" t="s">
        <v>479</v>
      </c>
      <c r="E346" s="3" t="s">
        <v>428</v>
      </c>
      <c r="F346">
        <v>15</v>
      </c>
      <c r="G346" s="3">
        <f t="shared" si="18"/>
        <v>2.4305555555555469E-2</v>
      </c>
      <c r="H346" s="3">
        <f t="shared" si="19"/>
        <v>1.6203703703703647E-3</v>
      </c>
      <c r="I346" s="1">
        <f t="shared" si="17"/>
        <v>2</v>
      </c>
      <c r="J346" t="s">
        <v>409</v>
      </c>
      <c r="K346" t="s">
        <v>417</v>
      </c>
      <c r="L346" t="s">
        <v>325</v>
      </c>
      <c r="M346" t="s">
        <v>398</v>
      </c>
      <c r="N346" t="s">
        <v>500</v>
      </c>
    </row>
    <row r="347" spans="2:14" hidden="1" x14ac:dyDescent="0.25">
      <c r="B347" t="s">
        <v>574</v>
      </c>
      <c r="C347" t="s">
        <v>401</v>
      </c>
      <c r="D347" s="3" t="s">
        <v>403</v>
      </c>
      <c r="E347" s="3" t="s">
        <v>402</v>
      </c>
      <c r="F347">
        <v>15</v>
      </c>
      <c r="G347" s="3">
        <f t="shared" si="18"/>
        <v>0.14930555555555558</v>
      </c>
      <c r="H347" s="3">
        <f t="shared" si="19"/>
        <v>9.9537037037037059E-3</v>
      </c>
      <c r="I347" s="1">
        <f t="shared" si="17"/>
        <v>14</v>
      </c>
      <c r="J347" t="s">
        <v>404</v>
      </c>
      <c r="K347" t="s">
        <v>397</v>
      </c>
      <c r="L347" t="s">
        <v>93</v>
      </c>
      <c r="M347" t="s">
        <v>398</v>
      </c>
      <c r="N347" t="s">
        <v>575</v>
      </c>
    </row>
    <row r="348" spans="2:14" hidden="1" x14ac:dyDescent="0.25">
      <c r="B348" t="s">
        <v>574</v>
      </c>
      <c r="C348" t="s">
        <v>401</v>
      </c>
      <c r="D348" s="3" t="s">
        <v>416</v>
      </c>
      <c r="E348" s="3" t="s">
        <v>428</v>
      </c>
      <c r="F348">
        <v>15</v>
      </c>
      <c r="G348" s="3">
        <f t="shared" si="18"/>
        <v>0.19097222222222221</v>
      </c>
      <c r="H348" s="3">
        <f t="shared" si="19"/>
        <v>1.2731481481481481E-2</v>
      </c>
      <c r="I348" s="1">
        <f t="shared" si="17"/>
        <v>18</v>
      </c>
      <c r="J348" t="s">
        <v>396</v>
      </c>
      <c r="K348" t="s">
        <v>417</v>
      </c>
      <c r="L348" t="s">
        <v>93</v>
      </c>
      <c r="M348" t="s">
        <v>398</v>
      </c>
      <c r="N348" t="s">
        <v>500</v>
      </c>
    </row>
    <row r="349" spans="2:14" hidden="1" x14ac:dyDescent="0.25">
      <c r="B349" t="s">
        <v>576</v>
      </c>
      <c r="C349" t="s">
        <v>407</v>
      </c>
      <c r="D349" s="3" t="s">
        <v>403</v>
      </c>
      <c r="E349" s="3" t="s">
        <v>441</v>
      </c>
      <c r="F349">
        <v>5</v>
      </c>
      <c r="G349" s="3">
        <f t="shared" si="18"/>
        <v>0.41319444444444448</v>
      </c>
      <c r="H349" s="3">
        <f t="shared" si="19"/>
        <v>8.2638888888888901E-2</v>
      </c>
      <c r="I349" s="1">
        <f t="shared" si="17"/>
        <v>59</v>
      </c>
      <c r="J349" t="s">
        <v>409</v>
      </c>
      <c r="K349" t="s">
        <v>397</v>
      </c>
      <c r="L349" t="s">
        <v>306</v>
      </c>
      <c r="M349" t="s">
        <v>398</v>
      </c>
      <c r="N349" t="s">
        <v>575</v>
      </c>
    </row>
    <row r="350" spans="2:14" hidden="1" x14ac:dyDescent="0.25">
      <c r="B350" t="s">
        <v>577</v>
      </c>
      <c r="C350" t="s">
        <v>393</v>
      </c>
      <c r="D350" s="3" t="s">
        <v>403</v>
      </c>
      <c r="E350" s="3" t="s">
        <v>441</v>
      </c>
      <c r="F350">
        <v>5</v>
      </c>
      <c r="G350" s="3">
        <f t="shared" si="18"/>
        <v>0.41319444444444448</v>
      </c>
      <c r="H350" s="3">
        <f t="shared" si="19"/>
        <v>8.2638888888888901E-2</v>
      </c>
      <c r="I350" s="1">
        <f t="shared" si="17"/>
        <v>59</v>
      </c>
      <c r="J350" t="s">
        <v>409</v>
      </c>
      <c r="K350" t="s">
        <v>397</v>
      </c>
      <c r="L350" t="s">
        <v>307</v>
      </c>
      <c r="M350" t="s">
        <v>398</v>
      </c>
      <c r="N350" t="s">
        <v>575</v>
      </c>
    </row>
    <row r="351" spans="2:14" hidden="1" x14ac:dyDescent="0.25">
      <c r="B351" t="s">
        <v>578</v>
      </c>
      <c r="C351" t="s">
        <v>406</v>
      </c>
      <c r="D351" s="3" t="s">
        <v>403</v>
      </c>
      <c r="E351" s="3" t="s">
        <v>441</v>
      </c>
      <c r="F351">
        <v>5</v>
      </c>
      <c r="G351" s="3">
        <f t="shared" si="18"/>
        <v>0.41319444444444448</v>
      </c>
      <c r="H351" s="3">
        <f t="shared" si="19"/>
        <v>8.2638888888888901E-2</v>
      </c>
      <c r="I351" s="1">
        <f t="shared" si="17"/>
        <v>59</v>
      </c>
      <c r="J351" t="s">
        <v>409</v>
      </c>
      <c r="K351" t="s">
        <v>397</v>
      </c>
      <c r="L351" t="s">
        <v>307</v>
      </c>
      <c r="M351" t="s">
        <v>398</v>
      </c>
      <c r="N351" t="s">
        <v>575</v>
      </c>
    </row>
    <row r="352" spans="2:14" hidden="1" x14ac:dyDescent="0.25">
      <c r="B352" t="s">
        <v>579</v>
      </c>
      <c r="C352" t="s">
        <v>400</v>
      </c>
      <c r="D352" s="3" t="s">
        <v>403</v>
      </c>
      <c r="E352" s="3" t="s">
        <v>441</v>
      </c>
      <c r="F352">
        <v>5</v>
      </c>
      <c r="G352" s="3">
        <f t="shared" si="18"/>
        <v>0.41319444444444448</v>
      </c>
      <c r="H352" s="3">
        <f t="shared" si="19"/>
        <v>8.2638888888888901E-2</v>
      </c>
      <c r="I352" s="1">
        <f t="shared" si="17"/>
        <v>59</v>
      </c>
      <c r="J352" t="s">
        <v>409</v>
      </c>
      <c r="K352" t="s">
        <v>397</v>
      </c>
      <c r="L352" t="s">
        <v>308</v>
      </c>
      <c r="M352" t="s">
        <v>398</v>
      </c>
      <c r="N352" t="s">
        <v>575</v>
      </c>
    </row>
    <row r="353" spans="2:14" hidden="1" x14ac:dyDescent="0.25">
      <c r="B353" t="s">
        <v>580</v>
      </c>
      <c r="C353" t="s">
        <v>422</v>
      </c>
      <c r="D353" s="3" t="s">
        <v>403</v>
      </c>
      <c r="E353" s="3" t="s">
        <v>442</v>
      </c>
      <c r="F353">
        <v>5</v>
      </c>
      <c r="G353" s="3">
        <f t="shared" si="18"/>
        <v>0.24652777777777773</v>
      </c>
      <c r="H353" s="3">
        <f t="shared" si="19"/>
        <v>4.9305555555555547E-2</v>
      </c>
      <c r="I353" s="1">
        <f t="shared" si="17"/>
        <v>11</v>
      </c>
      <c r="J353" t="s">
        <v>409</v>
      </c>
      <c r="K353" t="s">
        <v>397</v>
      </c>
      <c r="L353" t="s">
        <v>309</v>
      </c>
      <c r="M353" t="s">
        <v>398</v>
      </c>
      <c r="N353" t="s">
        <v>575</v>
      </c>
    </row>
    <row r="354" spans="2:14" hidden="1" x14ac:dyDescent="0.25">
      <c r="B354" t="s">
        <v>576</v>
      </c>
      <c r="C354" t="s">
        <v>407</v>
      </c>
      <c r="D354" s="3" t="s">
        <v>403</v>
      </c>
      <c r="E354" s="3" t="s">
        <v>439</v>
      </c>
      <c r="F354">
        <v>5</v>
      </c>
      <c r="G354" s="3">
        <f t="shared" si="18"/>
        <v>0.16319444444444442</v>
      </c>
      <c r="H354" s="3">
        <f t="shared" si="19"/>
        <v>3.2638888888888884E-2</v>
      </c>
      <c r="I354" s="1">
        <f t="shared" si="17"/>
        <v>47</v>
      </c>
      <c r="J354" t="s">
        <v>435</v>
      </c>
      <c r="K354" t="s">
        <v>397</v>
      </c>
      <c r="L354" t="s">
        <v>94</v>
      </c>
      <c r="M354" t="s">
        <v>398</v>
      </c>
      <c r="N354" t="s">
        <v>575</v>
      </c>
    </row>
    <row r="355" spans="2:14" hidden="1" x14ac:dyDescent="0.25">
      <c r="B355" t="s">
        <v>578</v>
      </c>
      <c r="C355" t="s">
        <v>406</v>
      </c>
      <c r="D355" s="3" t="s">
        <v>403</v>
      </c>
      <c r="E355" s="3" t="s">
        <v>439</v>
      </c>
      <c r="F355">
        <v>5</v>
      </c>
      <c r="G355" s="3">
        <f t="shared" si="18"/>
        <v>0.16319444444444442</v>
      </c>
      <c r="H355" s="3">
        <f t="shared" si="19"/>
        <v>3.2638888888888884E-2</v>
      </c>
      <c r="I355" s="1">
        <f t="shared" si="17"/>
        <v>47</v>
      </c>
      <c r="J355" t="s">
        <v>435</v>
      </c>
      <c r="K355" t="s">
        <v>397</v>
      </c>
      <c r="L355" t="s">
        <v>94</v>
      </c>
      <c r="M355" t="s">
        <v>398</v>
      </c>
      <c r="N355" t="s">
        <v>575</v>
      </c>
    </row>
    <row r="356" spans="2:14" hidden="1" x14ac:dyDescent="0.25">
      <c r="B356" t="s">
        <v>576</v>
      </c>
      <c r="C356" t="s">
        <v>407</v>
      </c>
      <c r="D356" s="3" t="s">
        <v>419</v>
      </c>
      <c r="E356" s="3" t="s">
        <v>426</v>
      </c>
      <c r="F356">
        <v>15</v>
      </c>
      <c r="G356" s="3">
        <f t="shared" si="18"/>
        <v>0.14930555555555558</v>
      </c>
      <c r="H356" s="3">
        <f t="shared" si="19"/>
        <v>9.9537037037037059E-3</v>
      </c>
      <c r="I356" s="1">
        <f t="shared" si="17"/>
        <v>14</v>
      </c>
      <c r="J356" t="s">
        <v>455</v>
      </c>
      <c r="K356" t="s">
        <v>397</v>
      </c>
      <c r="L356" t="s">
        <v>336</v>
      </c>
      <c r="M356" t="s">
        <v>398</v>
      </c>
      <c r="N356" t="s">
        <v>575</v>
      </c>
    </row>
    <row r="357" spans="2:14" hidden="1" x14ac:dyDescent="0.25">
      <c r="B357" t="s">
        <v>578</v>
      </c>
      <c r="C357" t="s">
        <v>406</v>
      </c>
      <c r="D357" s="3" t="s">
        <v>445</v>
      </c>
      <c r="E357" s="3" t="s">
        <v>418</v>
      </c>
      <c r="F357">
        <v>15</v>
      </c>
      <c r="G357" s="3">
        <f t="shared" si="18"/>
        <v>0.14930555555555558</v>
      </c>
      <c r="H357" s="3">
        <f t="shared" si="19"/>
        <v>9.9537037037037059E-3</v>
      </c>
      <c r="I357" s="1">
        <f t="shared" si="17"/>
        <v>14</v>
      </c>
      <c r="J357" t="s">
        <v>404</v>
      </c>
      <c r="K357" t="s">
        <v>417</v>
      </c>
      <c r="L357" t="s">
        <v>115</v>
      </c>
      <c r="M357" t="s">
        <v>398</v>
      </c>
      <c r="N357" t="s">
        <v>500</v>
      </c>
    </row>
    <row r="358" spans="2:14" hidden="1" x14ac:dyDescent="0.25">
      <c r="B358" t="s">
        <v>578</v>
      </c>
      <c r="C358" t="s">
        <v>406</v>
      </c>
      <c r="D358" s="3" t="s">
        <v>403</v>
      </c>
      <c r="E358" s="3" t="s">
        <v>410</v>
      </c>
      <c r="F358">
        <v>15</v>
      </c>
      <c r="G358" s="3">
        <f t="shared" si="18"/>
        <v>0.10763888888888895</v>
      </c>
      <c r="H358" s="3">
        <f t="shared" si="19"/>
        <v>7.1759259259259302E-3</v>
      </c>
      <c r="I358" s="1">
        <f t="shared" si="17"/>
        <v>10</v>
      </c>
      <c r="J358" t="s">
        <v>404</v>
      </c>
      <c r="K358" t="s">
        <v>397</v>
      </c>
      <c r="L358" t="s">
        <v>115</v>
      </c>
      <c r="M358" t="s">
        <v>398</v>
      </c>
      <c r="N358" t="s">
        <v>575</v>
      </c>
    </row>
    <row r="359" spans="2:14" hidden="1" x14ac:dyDescent="0.25">
      <c r="C359" t="s">
        <v>401</v>
      </c>
      <c r="D359" s="3" t="s">
        <v>498</v>
      </c>
      <c r="E359" s="3" t="s">
        <v>431</v>
      </c>
      <c r="F359">
        <v>10</v>
      </c>
      <c r="G359" s="3">
        <f t="shared" si="18"/>
        <v>3.4722222222222099E-3</v>
      </c>
      <c r="H359" s="3">
        <f t="shared" si="19"/>
        <v>3.4722222222222099E-4</v>
      </c>
      <c r="I359" s="1">
        <f t="shared" si="17"/>
        <v>0</v>
      </c>
      <c r="J359" t="s">
        <v>429</v>
      </c>
      <c r="K359" t="s">
        <v>417</v>
      </c>
      <c r="L359" t="s">
        <v>125</v>
      </c>
      <c r="M359" t="s">
        <v>398</v>
      </c>
      <c r="N359" t="s">
        <v>500</v>
      </c>
    </row>
    <row r="360" spans="2:14" hidden="1" x14ac:dyDescent="0.25">
      <c r="B360" t="s">
        <v>576</v>
      </c>
      <c r="C360" t="s">
        <v>407</v>
      </c>
      <c r="D360" s="3" t="s">
        <v>419</v>
      </c>
      <c r="E360" s="3" t="s">
        <v>581</v>
      </c>
      <c r="F360">
        <v>40</v>
      </c>
      <c r="G360" s="3">
        <f t="shared" si="18"/>
        <v>0.13888888888888895</v>
      </c>
      <c r="H360" s="3">
        <f t="shared" si="19"/>
        <v>3.4722222222222238E-3</v>
      </c>
      <c r="I360" s="1">
        <f t="shared" si="17"/>
        <v>5</v>
      </c>
      <c r="J360" t="s">
        <v>427</v>
      </c>
      <c r="K360" t="s">
        <v>397</v>
      </c>
      <c r="L360" t="s">
        <v>129</v>
      </c>
      <c r="M360" t="s">
        <v>398</v>
      </c>
      <c r="N360" t="s">
        <v>575</v>
      </c>
    </row>
    <row r="361" spans="2:14" hidden="1" x14ac:dyDescent="0.25">
      <c r="B361" t="s">
        <v>577</v>
      </c>
      <c r="C361" t="s">
        <v>393</v>
      </c>
      <c r="D361" s="3" t="s">
        <v>403</v>
      </c>
      <c r="E361" s="3" t="s">
        <v>454</v>
      </c>
      <c r="F361">
        <v>15</v>
      </c>
      <c r="G361" s="3">
        <f t="shared" si="18"/>
        <v>0.27430555555555564</v>
      </c>
      <c r="H361" s="3">
        <f t="shared" si="19"/>
        <v>1.8287037037037043E-2</v>
      </c>
      <c r="I361" s="1">
        <f t="shared" si="17"/>
        <v>26</v>
      </c>
      <c r="J361" t="s">
        <v>404</v>
      </c>
      <c r="K361" t="s">
        <v>397</v>
      </c>
      <c r="L361" t="s">
        <v>327</v>
      </c>
      <c r="M361" t="s">
        <v>398</v>
      </c>
      <c r="N361" t="s">
        <v>575</v>
      </c>
    </row>
    <row r="362" spans="2:14" hidden="1" x14ac:dyDescent="0.25">
      <c r="B362" t="s">
        <v>574</v>
      </c>
      <c r="C362" t="s">
        <v>401</v>
      </c>
      <c r="D362" s="3" t="s">
        <v>403</v>
      </c>
      <c r="E362" s="3" t="s">
        <v>441</v>
      </c>
      <c r="F362">
        <v>5</v>
      </c>
      <c r="G362" s="3">
        <f t="shared" si="18"/>
        <v>0.41319444444444448</v>
      </c>
      <c r="H362" s="3">
        <f t="shared" si="19"/>
        <v>8.2638888888888901E-2</v>
      </c>
      <c r="I362" s="1">
        <f t="shared" si="17"/>
        <v>59</v>
      </c>
      <c r="J362" t="s">
        <v>409</v>
      </c>
      <c r="K362" t="s">
        <v>397</v>
      </c>
      <c r="L362" t="s">
        <v>347</v>
      </c>
      <c r="M362" t="s">
        <v>398</v>
      </c>
      <c r="N362" t="s">
        <v>575</v>
      </c>
    </row>
    <row r="363" spans="2:14" hidden="1" x14ac:dyDescent="0.25">
      <c r="C363" t="s">
        <v>401</v>
      </c>
      <c r="D363" s="3" t="s">
        <v>582</v>
      </c>
      <c r="E363" s="3" t="s">
        <v>445</v>
      </c>
      <c r="F363">
        <v>30</v>
      </c>
      <c r="G363" s="3">
        <f t="shared" si="18"/>
        <v>0.22916666666666669</v>
      </c>
      <c r="H363" s="3">
        <f t="shared" si="19"/>
        <v>7.6388888888888895E-3</v>
      </c>
      <c r="I363" s="1">
        <f t="shared" si="17"/>
        <v>11</v>
      </c>
      <c r="J363" t="s">
        <v>583</v>
      </c>
      <c r="K363" t="s">
        <v>397</v>
      </c>
      <c r="L363" t="s">
        <v>584</v>
      </c>
      <c r="M363" t="s">
        <v>398</v>
      </c>
      <c r="N363" t="s">
        <v>405</v>
      </c>
    </row>
    <row r="364" spans="2:14" hidden="1" x14ac:dyDescent="0.25">
      <c r="C364" t="s">
        <v>407</v>
      </c>
      <c r="D364" s="3" t="s">
        <v>582</v>
      </c>
      <c r="E364" s="3" t="s">
        <v>445</v>
      </c>
      <c r="F364">
        <v>30</v>
      </c>
      <c r="G364" s="3">
        <f t="shared" si="18"/>
        <v>0.22916666666666669</v>
      </c>
      <c r="H364" s="3">
        <f t="shared" si="19"/>
        <v>7.6388888888888895E-3</v>
      </c>
      <c r="I364" s="1">
        <f t="shared" si="17"/>
        <v>11</v>
      </c>
      <c r="J364" t="s">
        <v>583</v>
      </c>
      <c r="K364" t="s">
        <v>397</v>
      </c>
      <c r="L364" t="s">
        <v>584</v>
      </c>
      <c r="M364" t="s">
        <v>398</v>
      </c>
      <c r="N364" t="s">
        <v>405</v>
      </c>
    </row>
    <row r="365" spans="2:14" hidden="1" x14ac:dyDescent="0.25">
      <c r="C365" t="s">
        <v>393</v>
      </c>
      <c r="D365" s="3" t="s">
        <v>582</v>
      </c>
      <c r="E365" s="3" t="s">
        <v>445</v>
      </c>
      <c r="F365">
        <v>30</v>
      </c>
      <c r="G365" s="3">
        <f t="shared" si="18"/>
        <v>0.22916666666666669</v>
      </c>
      <c r="H365" s="3">
        <f t="shared" si="19"/>
        <v>7.6388888888888895E-3</v>
      </c>
      <c r="I365" s="1">
        <f t="shared" si="17"/>
        <v>11</v>
      </c>
      <c r="J365" t="s">
        <v>583</v>
      </c>
      <c r="K365" t="s">
        <v>397</v>
      </c>
      <c r="L365" t="s">
        <v>584</v>
      </c>
      <c r="M365" t="s">
        <v>398</v>
      </c>
      <c r="N365" t="s">
        <v>405</v>
      </c>
    </row>
    <row r="366" spans="2:14" hidden="1" x14ac:dyDescent="0.25">
      <c r="C366" t="s">
        <v>406</v>
      </c>
      <c r="D366" s="3" t="s">
        <v>582</v>
      </c>
      <c r="E366" s="3" t="s">
        <v>445</v>
      </c>
      <c r="F366">
        <v>30</v>
      </c>
      <c r="G366" s="3">
        <f t="shared" si="18"/>
        <v>0.22916666666666669</v>
      </c>
      <c r="H366" s="3">
        <f t="shared" si="19"/>
        <v>7.6388888888888895E-3</v>
      </c>
      <c r="I366" s="1">
        <f t="shared" si="17"/>
        <v>11</v>
      </c>
      <c r="J366" t="s">
        <v>583</v>
      </c>
      <c r="K366" t="s">
        <v>397</v>
      </c>
      <c r="L366" t="s">
        <v>584</v>
      </c>
      <c r="M366" t="s">
        <v>398</v>
      </c>
      <c r="N366" t="s">
        <v>405</v>
      </c>
    </row>
    <row r="367" spans="2:14" hidden="1" x14ac:dyDescent="0.25">
      <c r="C367" t="s">
        <v>400</v>
      </c>
      <c r="D367" s="3" t="s">
        <v>582</v>
      </c>
      <c r="E367" s="3" t="s">
        <v>445</v>
      </c>
      <c r="F367">
        <v>30</v>
      </c>
      <c r="G367" s="3">
        <f t="shared" si="18"/>
        <v>0.22916666666666669</v>
      </c>
      <c r="H367" s="3">
        <f t="shared" si="19"/>
        <v>7.6388888888888895E-3</v>
      </c>
      <c r="I367" s="1">
        <f t="shared" si="17"/>
        <v>11</v>
      </c>
      <c r="J367" t="s">
        <v>583</v>
      </c>
      <c r="K367" t="s">
        <v>397</v>
      </c>
      <c r="L367" t="s">
        <v>584</v>
      </c>
      <c r="M367" t="s">
        <v>398</v>
      </c>
      <c r="N367" t="s">
        <v>405</v>
      </c>
    </row>
    <row r="368" spans="2:14" hidden="1" x14ac:dyDescent="0.25">
      <c r="C368" t="s">
        <v>422</v>
      </c>
      <c r="D368" s="3" t="s">
        <v>582</v>
      </c>
      <c r="E368" s="3" t="s">
        <v>486</v>
      </c>
      <c r="F368">
        <v>30</v>
      </c>
      <c r="G368" s="3">
        <f t="shared" si="18"/>
        <v>0.14583333333333337</v>
      </c>
      <c r="H368" s="3">
        <f t="shared" si="19"/>
        <v>4.8611111111111121E-3</v>
      </c>
      <c r="I368" s="1">
        <f t="shared" si="17"/>
        <v>7</v>
      </c>
      <c r="J368" t="s">
        <v>583</v>
      </c>
      <c r="K368" t="s">
        <v>397</v>
      </c>
      <c r="L368" t="s">
        <v>584</v>
      </c>
      <c r="M368" t="s">
        <v>398</v>
      </c>
      <c r="N368" t="s">
        <v>405</v>
      </c>
    </row>
    <row r="369" spans="2:14" hidden="1" x14ac:dyDescent="0.25">
      <c r="B369" t="s">
        <v>537</v>
      </c>
      <c r="C369" t="s">
        <v>401</v>
      </c>
      <c r="D369" s="3" t="s">
        <v>486</v>
      </c>
      <c r="E369" s="3" t="s">
        <v>402</v>
      </c>
      <c r="F369">
        <v>15</v>
      </c>
      <c r="G369" s="3">
        <f t="shared" si="18"/>
        <v>6.597222222222221E-2</v>
      </c>
      <c r="H369" s="3">
        <f t="shared" si="19"/>
        <v>4.3981481481481476E-3</v>
      </c>
      <c r="I369" s="1">
        <f t="shared" si="17"/>
        <v>6</v>
      </c>
      <c r="J369" t="s">
        <v>455</v>
      </c>
      <c r="K369" t="s">
        <v>397</v>
      </c>
      <c r="L369" t="s">
        <v>119</v>
      </c>
      <c r="M369" t="s">
        <v>398</v>
      </c>
      <c r="N369" t="s">
        <v>399</v>
      </c>
    </row>
    <row r="370" spans="2:14" hidden="1" x14ac:dyDescent="0.25">
      <c r="B370" t="s">
        <v>585</v>
      </c>
      <c r="C370" t="s">
        <v>400</v>
      </c>
      <c r="D370" s="3" t="s">
        <v>403</v>
      </c>
      <c r="E370" s="3" t="s">
        <v>441</v>
      </c>
      <c r="F370">
        <v>5</v>
      </c>
      <c r="G370" s="3">
        <f t="shared" si="18"/>
        <v>0.41319444444444448</v>
      </c>
      <c r="H370" s="3">
        <f t="shared" si="19"/>
        <v>8.2638888888888901E-2</v>
      </c>
      <c r="I370" s="1">
        <f t="shared" si="17"/>
        <v>59</v>
      </c>
      <c r="J370" t="s">
        <v>432</v>
      </c>
      <c r="K370" t="s">
        <v>397</v>
      </c>
      <c r="L370" t="s">
        <v>111</v>
      </c>
      <c r="M370" t="s">
        <v>398</v>
      </c>
      <c r="N370" t="s">
        <v>447</v>
      </c>
    </row>
    <row r="371" spans="2:14" hidden="1" x14ac:dyDescent="0.25">
      <c r="C371" t="s">
        <v>401</v>
      </c>
      <c r="D371" s="3" t="s">
        <v>411</v>
      </c>
      <c r="E371" s="3" t="s">
        <v>479</v>
      </c>
      <c r="F371">
        <v>15</v>
      </c>
      <c r="G371" s="3">
        <f t="shared" si="18"/>
        <v>0.41666666666666669</v>
      </c>
      <c r="H371" s="3">
        <f t="shared" si="19"/>
        <v>2.777777777777778E-2</v>
      </c>
      <c r="I371" s="1">
        <f t="shared" si="17"/>
        <v>40</v>
      </c>
      <c r="J371" t="s">
        <v>586</v>
      </c>
      <c r="K371" t="s">
        <v>397</v>
      </c>
      <c r="L371" t="s">
        <v>587</v>
      </c>
      <c r="M371" t="s">
        <v>398</v>
      </c>
      <c r="N371" t="s">
        <v>352</v>
      </c>
    </row>
    <row r="372" spans="2:14" hidden="1" x14ac:dyDescent="0.25">
      <c r="C372" t="s">
        <v>401</v>
      </c>
      <c r="D372" s="3" t="s">
        <v>411</v>
      </c>
      <c r="E372" s="3" t="s">
        <v>479</v>
      </c>
      <c r="F372">
        <v>15</v>
      </c>
      <c r="G372" s="3">
        <f t="shared" si="18"/>
        <v>0.41666666666666669</v>
      </c>
      <c r="H372" s="3">
        <f t="shared" si="19"/>
        <v>2.777777777777778E-2</v>
      </c>
      <c r="I372" s="1">
        <f t="shared" si="17"/>
        <v>40</v>
      </c>
      <c r="J372" t="s">
        <v>586</v>
      </c>
      <c r="K372" t="s">
        <v>397</v>
      </c>
      <c r="L372" t="s">
        <v>588</v>
      </c>
      <c r="M372" t="s">
        <v>398</v>
      </c>
      <c r="N372" t="s">
        <v>352</v>
      </c>
    </row>
    <row r="373" spans="2:14" hidden="1" x14ac:dyDescent="0.25">
      <c r="C373" t="s">
        <v>401</v>
      </c>
      <c r="D373" s="3" t="s">
        <v>411</v>
      </c>
      <c r="E373" s="3" t="s">
        <v>479</v>
      </c>
      <c r="F373">
        <v>15</v>
      </c>
      <c r="G373" s="3">
        <f t="shared" si="18"/>
        <v>0.41666666666666669</v>
      </c>
      <c r="H373" s="3">
        <f t="shared" si="19"/>
        <v>2.777777777777778E-2</v>
      </c>
      <c r="I373" s="1">
        <f t="shared" si="17"/>
        <v>40</v>
      </c>
      <c r="J373" t="s">
        <v>45</v>
      </c>
      <c r="K373" t="s">
        <v>397</v>
      </c>
      <c r="L373" t="s">
        <v>348</v>
      </c>
      <c r="M373" t="s">
        <v>398</v>
      </c>
      <c r="N373" t="s">
        <v>350</v>
      </c>
    </row>
    <row r="374" spans="2:14" hidden="1" x14ac:dyDescent="0.25">
      <c r="C374" t="s">
        <v>407</v>
      </c>
      <c r="D374" s="3" t="s">
        <v>411</v>
      </c>
      <c r="E374" s="3" t="s">
        <v>479</v>
      </c>
      <c r="F374">
        <v>15</v>
      </c>
      <c r="G374" s="3">
        <f t="shared" si="18"/>
        <v>0.41666666666666669</v>
      </c>
      <c r="H374" s="3">
        <f t="shared" si="19"/>
        <v>2.777777777777778E-2</v>
      </c>
      <c r="I374" s="1">
        <f t="shared" si="17"/>
        <v>40</v>
      </c>
      <c r="J374" t="s">
        <v>45</v>
      </c>
      <c r="K374" t="s">
        <v>397</v>
      </c>
      <c r="L374" t="s">
        <v>348</v>
      </c>
      <c r="M374" t="s">
        <v>398</v>
      </c>
      <c r="N374" t="s">
        <v>350</v>
      </c>
    </row>
    <row r="375" spans="2:14" hidden="1" x14ac:dyDescent="0.25">
      <c r="C375" t="s">
        <v>393</v>
      </c>
      <c r="D375" s="3" t="s">
        <v>411</v>
      </c>
      <c r="E375" s="3" t="s">
        <v>479</v>
      </c>
      <c r="F375">
        <v>15</v>
      </c>
      <c r="G375" s="3">
        <f t="shared" si="18"/>
        <v>0.41666666666666669</v>
      </c>
      <c r="H375" s="3">
        <f t="shared" si="19"/>
        <v>2.777777777777778E-2</v>
      </c>
      <c r="I375" s="1">
        <f t="shared" si="17"/>
        <v>40</v>
      </c>
      <c r="J375" t="s">
        <v>45</v>
      </c>
      <c r="K375" t="s">
        <v>397</v>
      </c>
      <c r="L375" t="s">
        <v>348</v>
      </c>
      <c r="M375" t="s">
        <v>398</v>
      </c>
      <c r="N375" t="s">
        <v>350</v>
      </c>
    </row>
    <row r="376" spans="2:14" hidden="1" x14ac:dyDescent="0.25">
      <c r="C376" t="s">
        <v>406</v>
      </c>
      <c r="D376" s="3" t="s">
        <v>411</v>
      </c>
      <c r="E376" s="3" t="s">
        <v>479</v>
      </c>
      <c r="F376">
        <v>15</v>
      </c>
      <c r="G376" s="3">
        <f t="shared" si="18"/>
        <v>0.41666666666666669</v>
      </c>
      <c r="H376" s="3">
        <f t="shared" si="19"/>
        <v>2.777777777777778E-2</v>
      </c>
      <c r="I376" s="1">
        <f t="shared" si="17"/>
        <v>40</v>
      </c>
      <c r="J376" t="s">
        <v>45</v>
      </c>
      <c r="K376" t="s">
        <v>397</v>
      </c>
      <c r="L376" t="s">
        <v>348</v>
      </c>
      <c r="M376" t="s">
        <v>398</v>
      </c>
      <c r="N376" t="s">
        <v>350</v>
      </c>
    </row>
    <row r="377" spans="2:14" hidden="1" x14ac:dyDescent="0.25">
      <c r="C377" t="s">
        <v>400</v>
      </c>
      <c r="D377" s="3" t="s">
        <v>411</v>
      </c>
      <c r="E377" s="3" t="s">
        <v>479</v>
      </c>
      <c r="F377">
        <v>15</v>
      </c>
      <c r="G377" s="3">
        <f t="shared" si="18"/>
        <v>0.41666666666666669</v>
      </c>
      <c r="H377" s="3">
        <f t="shared" si="19"/>
        <v>2.777777777777778E-2</v>
      </c>
      <c r="I377" s="1">
        <f t="shared" si="17"/>
        <v>40</v>
      </c>
      <c r="J377" t="s">
        <v>45</v>
      </c>
      <c r="K377" t="s">
        <v>397</v>
      </c>
      <c r="L377" t="s">
        <v>348</v>
      </c>
      <c r="M377" t="s">
        <v>398</v>
      </c>
      <c r="N377" t="s">
        <v>350</v>
      </c>
    </row>
    <row r="378" spans="2:14" hidden="1" x14ac:dyDescent="0.25">
      <c r="C378" t="s">
        <v>422</v>
      </c>
      <c r="D378" s="3" t="s">
        <v>411</v>
      </c>
      <c r="E378" s="3" t="s">
        <v>445</v>
      </c>
      <c r="F378">
        <v>15</v>
      </c>
      <c r="G378" s="3">
        <f t="shared" si="18"/>
        <v>0.20833333333333331</v>
      </c>
      <c r="H378" s="3">
        <f t="shared" si="19"/>
        <v>1.3888888888888888E-2</v>
      </c>
      <c r="I378" s="1">
        <f t="shared" si="17"/>
        <v>20</v>
      </c>
      <c r="J378" t="s">
        <v>45</v>
      </c>
      <c r="K378" t="s">
        <v>397</v>
      </c>
      <c r="L378" t="s">
        <v>348</v>
      </c>
      <c r="M378" t="s">
        <v>398</v>
      </c>
      <c r="N378" t="s">
        <v>350</v>
      </c>
    </row>
    <row r="379" spans="2:14" hidden="1" x14ac:dyDescent="0.25">
      <c r="C379" t="s">
        <v>401</v>
      </c>
      <c r="D379" s="3" t="s">
        <v>411</v>
      </c>
      <c r="E379" s="3" t="s">
        <v>479</v>
      </c>
      <c r="F379">
        <v>15</v>
      </c>
      <c r="G379" s="3">
        <f t="shared" si="18"/>
        <v>0.41666666666666669</v>
      </c>
      <c r="H379" s="3">
        <f t="shared" si="19"/>
        <v>2.777777777777778E-2</v>
      </c>
      <c r="I379" s="1">
        <f t="shared" si="17"/>
        <v>40</v>
      </c>
      <c r="J379" t="s">
        <v>45</v>
      </c>
      <c r="K379" t="s">
        <v>397</v>
      </c>
      <c r="L379" t="s">
        <v>299</v>
      </c>
      <c r="M379" t="s">
        <v>398</v>
      </c>
      <c r="N379" t="s">
        <v>350</v>
      </c>
    </row>
    <row r="380" spans="2:14" hidden="1" x14ac:dyDescent="0.25">
      <c r="C380" t="s">
        <v>407</v>
      </c>
      <c r="D380" s="3" t="s">
        <v>411</v>
      </c>
      <c r="E380" s="3" t="s">
        <v>479</v>
      </c>
      <c r="F380">
        <v>15</v>
      </c>
      <c r="G380" s="3">
        <f t="shared" si="18"/>
        <v>0.41666666666666669</v>
      </c>
      <c r="H380" s="3">
        <f t="shared" si="19"/>
        <v>2.777777777777778E-2</v>
      </c>
      <c r="I380" s="1">
        <f t="shared" si="17"/>
        <v>40</v>
      </c>
      <c r="J380" t="s">
        <v>45</v>
      </c>
      <c r="K380" t="s">
        <v>397</v>
      </c>
      <c r="L380" t="s">
        <v>299</v>
      </c>
      <c r="M380" t="s">
        <v>398</v>
      </c>
      <c r="N380" t="s">
        <v>350</v>
      </c>
    </row>
    <row r="381" spans="2:14" hidden="1" x14ac:dyDescent="0.25">
      <c r="C381" t="s">
        <v>393</v>
      </c>
      <c r="D381" s="3" t="s">
        <v>411</v>
      </c>
      <c r="E381" s="3" t="s">
        <v>479</v>
      </c>
      <c r="F381">
        <v>15</v>
      </c>
      <c r="G381" s="3">
        <f t="shared" si="18"/>
        <v>0.41666666666666669</v>
      </c>
      <c r="H381" s="3">
        <f t="shared" si="19"/>
        <v>2.777777777777778E-2</v>
      </c>
      <c r="I381" s="1">
        <f t="shared" si="17"/>
        <v>40</v>
      </c>
      <c r="J381" t="s">
        <v>45</v>
      </c>
      <c r="K381" t="s">
        <v>397</v>
      </c>
      <c r="L381" t="s">
        <v>299</v>
      </c>
      <c r="M381" t="s">
        <v>398</v>
      </c>
      <c r="N381" t="s">
        <v>350</v>
      </c>
    </row>
    <row r="382" spans="2:14" hidden="1" x14ac:dyDescent="0.25">
      <c r="C382" t="s">
        <v>406</v>
      </c>
      <c r="D382" s="3" t="s">
        <v>411</v>
      </c>
      <c r="E382" s="3" t="s">
        <v>479</v>
      </c>
      <c r="F382">
        <v>15</v>
      </c>
      <c r="G382" s="3">
        <f t="shared" si="18"/>
        <v>0.41666666666666669</v>
      </c>
      <c r="H382" s="3">
        <f t="shared" si="19"/>
        <v>2.777777777777778E-2</v>
      </c>
      <c r="I382" s="1">
        <f t="shared" si="17"/>
        <v>40</v>
      </c>
      <c r="J382" t="s">
        <v>45</v>
      </c>
      <c r="K382" t="s">
        <v>397</v>
      </c>
      <c r="L382" t="s">
        <v>299</v>
      </c>
      <c r="M382" t="s">
        <v>398</v>
      </c>
      <c r="N382" t="s">
        <v>350</v>
      </c>
    </row>
    <row r="383" spans="2:14" hidden="1" x14ac:dyDescent="0.25">
      <c r="C383" t="s">
        <v>400</v>
      </c>
      <c r="D383" s="3" t="s">
        <v>411</v>
      </c>
      <c r="E383" s="3" t="s">
        <v>479</v>
      </c>
      <c r="F383">
        <v>15</v>
      </c>
      <c r="G383" s="3">
        <f t="shared" si="18"/>
        <v>0.41666666666666669</v>
      </c>
      <c r="H383" s="3">
        <f t="shared" si="19"/>
        <v>2.777777777777778E-2</v>
      </c>
      <c r="I383" s="1">
        <f t="shared" si="17"/>
        <v>40</v>
      </c>
      <c r="J383" t="s">
        <v>45</v>
      </c>
      <c r="K383" t="s">
        <v>397</v>
      </c>
      <c r="L383" t="s">
        <v>299</v>
      </c>
      <c r="M383" t="s">
        <v>398</v>
      </c>
      <c r="N383" t="s">
        <v>350</v>
      </c>
    </row>
    <row r="384" spans="2:14" hidden="1" x14ac:dyDescent="0.25">
      <c r="C384" t="s">
        <v>422</v>
      </c>
      <c r="D384" s="3" t="s">
        <v>411</v>
      </c>
      <c r="E384" s="3" t="s">
        <v>445</v>
      </c>
      <c r="F384">
        <v>15</v>
      </c>
      <c r="G384" s="3">
        <f t="shared" si="18"/>
        <v>0.20833333333333331</v>
      </c>
      <c r="H384" s="3">
        <f t="shared" si="19"/>
        <v>1.3888888888888888E-2</v>
      </c>
      <c r="I384" s="1">
        <f t="shared" si="17"/>
        <v>20</v>
      </c>
      <c r="J384" t="s">
        <v>45</v>
      </c>
      <c r="K384" t="s">
        <v>397</v>
      </c>
      <c r="L384" t="s">
        <v>299</v>
      </c>
      <c r="M384" t="s">
        <v>398</v>
      </c>
      <c r="N384" t="s">
        <v>350</v>
      </c>
    </row>
    <row r="385" spans="3:14" hidden="1" x14ac:dyDescent="0.25">
      <c r="C385" t="s">
        <v>401</v>
      </c>
      <c r="D385" s="3" t="s">
        <v>411</v>
      </c>
      <c r="E385" s="3" t="s">
        <v>479</v>
      </c>
      <c r="F385">
        <v>15</v>
      </c>
      <c r="G385" s="3">
        <f t="shared" si="18"/>
        <v>0.41666666666666669</v>
      </c>
      <c r="H385" s="3">
        <f t="shared" si="19"/>
        <v>2.777777777777778E-2</v>
      </c>
      <c r="I385" s="1">
        <f t="shared" si="17"/>
        <v>40</v>
      </c>
      <c r="J385" t="s">
        <v>45</v>
      </c>
      <c r="K385" t="s">
        <v>397</v>
      </c>
      <c r="L385" t="s">
        <v>374</v>
      </c>
      <c r="M385" t="s">
        <v>398</v>
      </c>
      <c r="N385" t="s">
        <v>350</v>
      </c>
    </row>
    <row r="386" spans="3:14" hidden="1" x14ac:dyDescent="0.25">
      <c r="C386" t="s">
        <v>407</v>
      </c>
      <c r="D386" s="3" t="s">
        <v>411</v>
      </c>
      <c r="E386" s="3" t="s">
        <v>479</v>
      </c>
      <c r="F386">
        <v>15</v>
      </c>
      <c r="G386" s="3">
        <f t="shared" si="18"/>
        <v>0.41666666666666669</v>
      </c>
      <c r="H386" s="3">
        <f t="shared" si="19"/>
        <v>2.777777777777778E-2</v>
      </c>
      <c r="I386" s="1">
        <f t="shared" si="17"/>
        <v>40</v>
      </c>
      <c r="J386" t="s">
        <v>45</v>
      </c>
      <c r="K386" t="s">
        <v>397</v>
      </c>
      <c r="L386" t="s">
        <v>374</v>
      </c>
      <c r="M386" t="s">
        <v>398</v>
      </c>
      <c r="N386" t="s">
        <v>350</v>
      </c>
    </row>
    <row r="387" spans="3:14" hidden="1" x14ac:dyDescent="0.25">
      <c r="C387" t="s">
        <v>393</v>
      </c>
      <c r="D387" s="3" t="s">
        <v>411</v>
      </c>
      <c r="E387" s="3" t="s">
        <v>479</v>
      </c>
      <c r="F387">
        <v>15</v>
      </c>
      <c r="G387" s="3">
        <f t="shared" si="18"/>
        <v>0.41666666666666669</v>
      </c>
      <c r="H387" s="3">
        <f t="shared" si="19"/>
        <v>2.777777777777778E-2</v>
      </c>
      <c r="I387" s="1">
        <f t="shared" ref="I387:I450" si="20">MINUTE(H387)</f>
        <v>40</v>
      </c>
      <c r="J387" t="s">
        <v>45</v>
      </c>
      <c r="K387" t="s">
        <v>397</v>
      </c>
      <c r="L387" t="s">
        <v>374</v>
      </c>
      <c r="M387" t="s">
        <v>398</v>
      </c>
      <c r="N387" t="s">
        <v>350</v>
      </c>
    </row>
    <row r="388" spans="3:14" hidden="1" x14ac:dyDescent="0.25">
      <c r="C388" t="s">
        <v>406</v>
      </c>
      <c r="D388" s="3" t="s">
        <v>411</v>
      </c>
      <c r="E388" s="3" t="s">
        <v>479</v>
      </c>
      <c r="F388">
        <v>15</v>
      </c>
      <c r="G388" s="3">
        <f t="shared" ref="G388:G451" si="21">(E388-D388)</f>
        <v>0.41666666666666669</v>
      </c>
      <c r="H388" s="3">
        <f t="shared" ref="H388:H451" si="22">G388/F388</f>
        <v>2.777777777777778E-2</v>
      </c>
      <c r="I388" s="1">
        <f t="shared" si="20"/>
        <v>40</v>
      </c>
      <c r="J388" t="s">
        <v>45</v>
      </c>
      <c r="K388" t="s">
        <v>397</v>
      </c>
      <c r="L388" t="s">
        <v>374</v>
      </c>
      <c r="M388" t="s">
        <v>398</v>
      </c>
      <c r="N388" t="s">
        <v>350</v>
      </c>
    </row>
    <row r="389" spans="3:14" hidden="1" x14ac:dyDescent="0.25">
      <c r="C389" t="s">
        <v>400</v>
      </c>
      <c r="D389" s="3" t="s">
        <v>411</v>
      </c>
      <c r="E389" s="3" t="s">
        <v>479</v>
      </c>
      <c r="F389">
        <v>15</v>
      </c>
      <c r="G389" s="3">
        <f t="shared" si="21"/>
        <v>0.41666666666666669</v>
      </c>
      <c r="H389" s="3">
        <f t="shared" si="22"/>
        <v>2.777777777777778E-2</v>
      </c>
      <c r="I389" s="1">
        <f t="shared" si="20"/>
        <v>40</v>
      </c>
      <c r="J389" t="s">
        <v>45</v>
      </c>
      <c r="K389" t="s">
        <v>397</v>
      </c>
      <c r="L389" t="s">
        <v>374</v>
      </c>
      <c r="M389" t="s">
        <v>398</v>
      </c>
      <c r="N389" t="s">
        <v>350</v>
      </c>
    </row>
    <row r="390" spans="3:14" hidden="1" x14ac:dyDescent="0.25">
      <c r="C390" t="s">
        <v>422</v>
      </c>
      <c r="D390" s="3" t="s">
        <v>411</v>
      </c>
      <c r="E390" s="3" t="s">
        <v>445</v>
      </c>
      <c r="F390">
        <v>15</v>
      </c>
      <c r="G390" s="3">
        <f t="shared" si="21"/>
        <v>0.20833333333333331</v>
      </c>
      <c r="H390" s="3">
        <f t="shared" si="22"/>
        <v>1.3888888888888888E-2</v>
      </c>
      <c r="I390" s="1">
        <f t="shared" si="20"/>
        <v>20</v>
      </c>
      <c r="J390" t="s">
        <v>45</v>
      </c>
      <c r="K390" t="s">
        <v>397</v>
      </c>
      <c r="L390" t="s">
        <v>374</v>
      </c>
      <c r="M390" t="s">
        <v>398</v>
      </c>
      <c r="N390" t="s">
        <v>350</v>
      </c>
    </row>
    <row r="391" spans="3:14" hidden="1" x14ac:dyDescent="0.25">
      <c r="C391" t="s">
        <v>401</v>
      </c>
      <c r="D391" s="3" t="s">
        <v>411</v>
      </c>
      <c r="E391" s="3" t="s">
        <v>569</v>
      </c>
      <c r="F391">
        <v>10</v>
      </c>
      <c r="G391" s="3">
        <f t="shared" si="21"/>
        <v>0.28472222222222227</v>
      </c>
      <c r="H391" s="3">
        <f t="shared" si="22"/>
        <v>2.8472222222222225E-2</v>
      </c>
      <c r="I391" s="1">
        <f t="shared" si="20"/>
        <v>41</v>
      </c>
      <c r="J391" t="s">
        <v>521</v>
      </c>
      <c r="K391" t="s">
        <v>397</v>
      </c>
      <c r="L391" t="s">
        <v>589</v>
      </c>
      <c r="M391" t="s">
        <v>398</v>
      </c>
      <c r="N391" t="s">
        <v>405</v>
      </c>
    </row>
    <row r="392" spans="3:14" hidden="1" x14ac:dyDescent="0.25">
      <c r="C392" t="s">
        <v>407</v>
      </c>
      <c r="D392" s="3" t="s">
        <v>411</v>
      </c>
      <c r="E392" s="3" t="s">
        <v>569</v>
      </c>
      <c r="F392">
        <v>10</v>
      </c>
      <c r="G392" s="3">
        <f t="shared" si="21"/>
        <v>0.28472222222222227</v>
      </c>
      <c r="H392" s="3">
        <f t="shared" si="22"/>
        <v>2.8472222222222225E-2</v>
      </c>
      <c r="I392" s="1">
        <f t="shared" si="20"/>
        <v>41</v>
      </c>
      <c r="J392" t="s">
        <v>521</v>
      </c>
      <c r="K392" t="s">
        <v>397</v>
      </c>
      <c r="L392" t="s">
        <v>589</v>
      </c>
      <c r="M392" t="s">
        <v>398</v>
      </c>
      <c r="N392" t="s">
        <v>405</v>
      </c>
    </row>
    <row r="393" spans="3:14" hidden="1" x14ac:dyDescent="0.25">
      <c r="C393" t="s">
        <v>393</v>
      </c>
      <c r="D393" s="3" t="s">
        <v>411</v>
      </c>
      <c r="E393" s="3" t="s">
        <v>569</v>
      </c>
      <c r="F393">
        <v>10</v>
      </c>
      <c r="G393" s="3">
        <f t="shared" si="21"/>
        <v>0.28472222222222227</v>
      </c>
      <c r="H393" s="3">
        <f t="shared" si="22"/>
        <v>2.8472222222222225E-2</v>
      </c>
      <c r="I393" s="1">
        <f t="shared" si="20"/>
        <v>41</v>
      </c>
      <c r="J393" t="s">
        <v>521</v>
      </c>
      <c r="K393" t="s">
        <v>397</v>
      </c>
      <c r="L393" t="s">
        <v>589</v>
      </c>
      <c r="M393" t="s">
        <v>398</v>
      </c>
      <c r="N393" t="s">
        <v>405</v>
      </c>
    </row>
    <row r="394" spans="3:14" hidden="1" x14ac:dyDescent="0.25">
      <c r="C394" t="s">
        <v>406</v>
      </c>
      <c r="D394" s="3" t="s">
        <v>411</v>
      </c>
      <c r="E394" s="3" t="s">
        <v>569</v>
      </c>
      <c r="F394">
        <v>10</v>
      </c>
      <c r="G394" s="3">
        <f t="shared" si="21"/>
        <v>0.28472222222222227</v>
      </c>
      <c r="H394" s="3">
        <f t="shared" si="22"/>
        <v>2.8472222222222225E-2</v>
      </c>
      <c r="I394" s="1">
        <f t="shared" si="20"/>
        <v>41</v>
      </c>
      <c r="J394" t="s">
        <v>521</v>
      </c>
      <c r="K394" t="s">
        <v>397</v>
      </c>
      <c r="L394" t="s">
        <v>589</v>
      </c>
      <c r="M394" t="s">
        <v>398</v>
      </c>
      <c r="N394" t="s">
        <v>405</v>
      </c>
    </row>
    <row r="395" spans="3:14" hidden="1" x14ac:dyDescent="0.25">
      <c r="C395" t="s">
        <v>400</v>
      </c>
      <c r="D395" s="3" t="s">
        <v>411</v>
      </c>
      <c r="E395" s="3" t="s">
        <v>569</v>
      </c>
      <c r="F395">
        <v>10</v>
      </c>
      <c r="G395" s="3">
        <f t="shared" si="21"/>
        <v>0.28472222222222227</v>
      </c>
      <c r="H395" s="3">
        <f t="shared" si="22"/>
        <v>2.8472222222222225E-2</v>
      </c>
      <c r="I395" s="1">
        <f t="shared" si="20"/>
        <v>41</v>
      </c>
      <c r="J395" t="s">
        <v>521</v>
      </c>
      <c r="K395" t="s">
        <v>397</v>
      </c>
      <c r="L395" t="s">
        <v>589</v>
      </c>
      <c r="M395" t="s">
        <v>398</v>
      </c>
      <c r="N395" t="s">
        <v>405</v>
      </c>
    </row>
    <row r="396" spans="3:14" hidden="1" x14ac:dyDescent="0.25">
      <c r="C396" t="s">
        <v>422</v>
      </c>
      <c r="D396" s="3" t="s">
        <v>411</v>
      </c>
      <c r="E396" s="3" t="s">
        <v>562</v>
      </c>
      <c r="F396">
        <v>10</v>
      </c>
      <c r="G396" s="3">
        <f t="shared" si="21"/>
        <v>0.14583333333333331</v>
      </c>
      <c r="H396" s="3">
        <f t="shared" si="22"/>
        <v>1.4583333333333332E-2</v>
      </c>
      <c r="I396" s="1">
        <f t="shared" si="20"/>
        <v>21</v>
      </c>
      <c r="J396" t="s">
        <v>521</v>
      </c>
      <c r="K396" t="s">
        <v>397</v>
      </c>
      <c r="L396" t="s">
        <v>589</v>
      </c>
      <c r="M396" t="s">
        <v>398</v>
      </c>
      <c r="N396" t="s">
        <v>405</v>
      </c>
    </row>
    <row r="397" spans="3:14" hidden="1" x14ac:dyDescent="0.25">
      <c r="C397" t="s">
        <v>401</v>
      </c>
      <c r="D397" s="3" t="s">
        <v>411</v>
      </c>
      <c r="E397" s="3" t="s">
        <v>464</v>
      </c>
      <c r="F397">
        <v>10</v>
      </c>
      <c r="G397" s="3">
        <f t="shared" si="21"/>
        <v>0.45833333333333331</v>
      </c>
      <c r="H397" s="3">
        <f t="shared" si="22"/>
        <v>4.583333333333333E-2</v>
      </c>
      <c r="I397" s="1">
        <f t="shared" si="20"/>
        <v>6</v>
      </c>
      <c r="J397" t="s">
        <v>521</v>
      </c>
      <c r="K397" t="s">
        <v>397</v>
      </c>
      <c r="L397" t="s">
        <v>590</v>
      </c>
      <c r="M397" t="s">
        <v>398</v>
      </c>
      <c r="N397" t="s">
        <v>447</v>
      </c>
    </row>
    <row r="398" spans="3:14" hidden="1" x14ac:dyDescent="0.25">
      <c r="C398" t="s">
        <v>407</v>
      </c>
      <c r="D398" s="3" t="s">
        <v>411</v>
      </c>
      <c r="E398" s="3" t="s">
        <v>464</v>
      </c>
      <c r="F398">
        <v>10</v>
      </c>
      <c r="G398" s="3">
        <f t="shared" si="21"/>
        <v>0.45833333333333331</v>
      </c>
      <c r="H398" s="3">
        <f t="shared" si="22"/>
        <v>4.583333333333333E-2</v>
      </c>
      <c r="I398" s="1">
        <f t="shared" si="20"/>
        <v>6</v>
      </c>
      <c r="J398" t="s">
        <v>521</v>
      </c>
      <c r="K398" t="s">
        <v>397</v>
      </c>
      <c r="L398" t="s">
        <v>590</v>
      </c>
      <c r="M398" t="s">
        <v>398</v>
      </c>
      <c r="N398" t="s">
        <v>447</v>
      </c>
    </row>
    <row r="399" spans="3:14" hidden="1" x14ac:dyDescent="0.25">
      <c r="C399" t="s">
        <v>393</v>
      </c>
      <c r="D399" s="3" t="s">
        <v>411</v>
      </c>
      <c r="E399" s="3" t="s">
        <v>464</v>
      </c>
      <c r="F399">
        <v>10</v>
      </c>
      <c r="G399" s="3">
        <f t="shared" si="21"/>
        <v>0.45833333333333331</v>
      </c>
      <c r="H399" s="3">
        <f t="shared" si="22"/>
        <v>4.583333333333333E-2</v>
      </c>
      <c r="I399" s="1">
        <f t="shared" si="20"/>
        <v>6</v>
      </c>
      <c r="J399" t="s">
        <v>521</v>
      </c>
      <c r="K399" t="s">
        <v>397</v>
      </c>
      <c r="L399" t="s">
        <v>590</v>
      </c>
      <c r="M399" t="s">
        <v>398</v>
      </c>
      <c r="N399" t="s">
        <v>447</v>
      </c>
    </row>
    <row r="400" spans="3:14" hidden="1" x14ac:dyDescent="0.25">
      <c r="C400" t="s">
        <v>406</v>
      </c>
      <c r="D400" s="3" t="s">
        <v>411</v>
      </c>
      <c r="E400" s="3" t="s">
        <v>464</v>
      </c>
      <c r="F400">
        <v>10</v>
      </c>
      <c r="G400" s="3">
        <f t="shared" si="21"/>
        <v>0.45833333333333331</v>
      </c>
      <c r="H400" s="3">
        <f t="shared" si="22"/>
        <v>4.583333333333333E-2</v>
      </c>
      <c r="I400" s="1">
        <f t="shared" si="20"/>
        <v>6</v>
      </c>
      <c r="J400" t="s">
        <v>521</v>
      </c>
      <c r="K400" t="s">
        <v>397</v>
      </c>
      <c r="L400" t="s">
        <v>590</v>
      </c>
      <c r="M400" t="s">
        <v>398</v>
      </c>
      <c r="N400" t="s">
        <v>447</v>
      </c>
    </row>
    <row r="401" spans="2:14" hidden="1" x14ac:dyDescent="0.25">
      <c r="C401" t="s">
        <v>400</v>
      </c>
      <c r="D401" s="3" t="s">
        <v>411</v>
      </c>
      <c r="E401" s="3" t="s">
        <v>464</v>
      </c>
      <c r="F401">
        <v>10</v>
      </c>
      <c r="G401" s="3">
        <f t="shared" si="21"/>
        <v>0.45833333333333331</v>
      </c>
      <c r="H401" s="3">
        <f t="shared" si="22"/>
        <v>4.583333333333333E-2</v>
      </c>
      <c r="I401" s="1">
        <f t="shared" si="20"/>
        <v>6</v>
      </c>
      <c r="J401" t="s">
        <v>521</v>
      </c>
      <c r="K401" t="s">
        <v>397</v>
      </c>
      <c r="L401" t="s">
        <v>590</v>
      </c>
      <c r="M401" t="s">
        <v>398</v>
      </c>
      <c r="N401" t="s">
        <v>447</v>
      </c>
    </row>
    <row r="402" spans="2:14" hidden="1" x14ac:dyDescent="0.25">
      <c r="C402" t="s">
        <v>422</v>
      </c>
      <c r="D402" s="3" t="s">
        <v>411</v>
      </c>
      <c r="E402" s="3" t="s">
        <v>445</v>
      </c>
      <c r="F402">
        <v>10</v>
      </c>
      <c r="G402" s="3">
        <f t="shared" si="21"/>
        <v>0.20833333333333331</v>
      </c>
      <c r="H402" s="3">
        <f t="shared" si="22"/>
        <v>2.0833333333333332E-2</v>
      </c>
      <c r="I402" s="1">
        <f t="shared" si="20"/>
        <v>30</v>
      </c>
      <c r="J402" t="s">
        <v>521</v>
      </c>
      <c r="K402" t="s">
        <v>397</v>
      </c>
      <c r="L402" t="s">
        <v>590</v>
      </c>
      <c r="M402" t="s">
        <v>398</v>
      </c>
      <c r="N402" t="s">
        <v>447</v>
      </c>
    </row>
    <row r="403" spans="2:14" hidden="1" x14ac:dyDescent="0.25">
      <c r="C403" t="s">
        <v>491</v>
      </c>
      <c r="D403" s="3" t="s">
        <v>411</v>
      </c>
      <c r="E403" s="3" t="s">
        <v>445</v>
      </c>
      <c r="F403">
        <v>10</v>
      </c>
      <c r="G403" s="3">
        <f t="shared" si="21"/>
        <v>0.20833333333333331</v>
      </c>
      <c r="H403" s="3">
        <f t="shared" si="22"/>
        <v>2.0833333333333332E-2</v>
      </c>
      <c r="I403" s="1">
        <f t="shared" si="20"/>
        <v>30</v>
      </c>
      <c r="J403" t="s">
        <v>521</v>
      </c>
      <c r="K403" t="s">
        <v>397</v>
      </c>
      <c r="L403" t="s">
        <v>522</v>
      </c>
      <c r="M403" t="s">
        <v>398</v>
      </c>
      <c r="N403" t="s">
        <v>465</v>
      </c>
    </row>
    <row r="404" spans="2:14" hidden="1" x14ac:dyDescent="0.25">
      <c r="B404" t="s">
        <v>591</v>
      </c>
      <c r="C404" t="s">
        <v>407</v>
      </c>
      <c r="D404" s="3" t="s">
        <v>469</v>
      </c>
      <c r="E404" s="3" t="s">
        <v>592</v>
      </c>
      <c r="F404">
        <v>10</v>
      </c>
      <c r="G404" s="3">
        <f t="shared" si="21"/>
        <v>0.28472222222222227</v>
      </c>
      <c r="H404" s="3">
        <f t="shared" si="22"/>
        <v>2.8472222222222225E-2</v>
      </c>
      <c r="I404" s="1">
        <f t="shared" si="20"/>
        <v>41</v>
      </c>
      <c r="J404" t="s">
        <v>593</v>
      </c>
      <c r="K404" t="s">
        <v>397</v>
      </c>
      <c r="L404" t="s">
        <v>356</v>
      </c>
      <c r="M404" t="s">
        <v>398</v>
      </c>
      <c r="N404" t="s">
        <v>399</v>
      </c>
    </row>
    <row r="405" spans="2:14" hidden="1" x14ac:dyDescent="0.25">
      <c r="B405" t="s">
        <v>574</v>
      </c>
      <c r="C405" t="s">
        <v>401</v>
      </c>
      <c r="D405" s="3" t="s">
        <v>416</v>
      </c>
      <c r="E405" s="3" t="s">
        <v>431</v>
      </c>
      <c r="F405">
        <v>15</v>
      </c>
      <c r="G405" s="3">
        <f t="shared" si="21"/>
        <v>0.14930555555555558</v>
      </c>
      <c r="H405" s="3">
        <f t="shared" si="22"/>
        <v>9.9537037037037059E-3</v>
      </c>
      <c r="I405" s="1">
        <f t="shared" si="20"/>
        <v>14</v>
      </c>
      <c r="J405" t="s">
        <v>432</v>
      </c>
      <c r="K405" t="s">
        <v>417</v>
      </c>
      <c r="L405" t="s">
        <v>321</v>
      </c>
      <c r="M405" t="s">
        <v>398</v>
      </c>
      <c r="N405" t="s">
        <v>575</v>
      </c>
    </row>
    <row r="406" spans="2:14" hidden="1" x14ac:dyDescent="0.25">
      <c r="B406" t="s">
        <v>576</v>
      </c>
      <c r="C406" t="s">
        <v>407</v>
      </c>
      <c r="D406" s="3" t="s">
        <v>403</v>
      </c>
      <c r="E406" s="3" t="s">
        <v>431</v>
      </c>
      <c r="F406">
        <v>15</v>
      </c>
      <c r="G406" s="3">
        <f t="shared" si="21"/>
        <v>0.3576388888888889</v>
      </c>
      <c r="H406" s="3">
        <f t="shared" si="22"/>
        <v>2.3842592592592592E-2</v>
      </c>
      <c r="I406" s="1">
        <f t="shared" si="20"/>
        <v>34</v>
      </c>
      <c r="J406" t="s">
        <v>459</v>
      </c>
      <c r="K406" t="s">
        <v>397</v>
      </c>
      <c r="L406" t="s">
        <v>321</v>
      </c>
      <c r="M406" t="s">
        <v>398</v>
      </c>
      <c r="N406" t="s">
        <v>465</v>
      </c>
    </row>
    <row r="407" spans="2:14" hidden="1" x14ac:dyDescent="0.25">
      <c r="B407" t="s">
        <v>594</v>
      </c>
      <c r="C407" t="s">
        <v>407</v>
      </c>
      <c r="D407" s="3" t="s">
        <v>403</v>
      </c>
      <c r="E407" s="3" t="s">
        <v>428</v>
      </c>
      <c r="F407">
        <v>10</v>
      </c>
      <c r="G407" s="3">
        <f t="shared" si="21"/>
        <v>0.39930555555555552</v>
      </c>
      <c r="H407" s="3">
        <f t="shared" si="22"/>
        <v>3.9930555555555552E-2</v>
      </c>
      <c r="I407" s="1">
        <f t="shared" si="20"/>
        <v>57</v>
      </c>
      <c r="J407" t="s">
        <v>455</v>
      </c>
      <c r="K407" t="s">
        <v>397</v>
      </c>
      <c r="L407" t="s">
        <v>315</v>
      </c>
      <c r="M407" t="s">
        <v>398</v>
      </c>
      <c r="N407" t="s">
        <v>405</v>
      </c>
    </row>
    <row r="408" spans="2:14" hidden="1" x14ac:dyDescent="0.25">
      <c r="B408" t="s">
        <v>537</v>
      </c>
      <c r="C408" t="s">
        <v>401</v>
      </c>
      <c r="D408" s="3" t="s">
        <v>419</v>
      </c>
      <c r="E408" s="3" t="s">
        <v>418</v>
      </c>
      <c r="F408">
        <v>15</v>
      </c>
      <c r="G408" s="3">
        <f t="shared" si="21"/>
        <v>0.27430555555555558</v>
      </c>
      <c r="H408" s="3">
        <f t="shared" si="22"/>
        <v>1.8287037037037039E-2</v>
      </c>
      <c r="I408" s="1">
        <f t="shared" si="20"/>
        <v>26</v>
      </c>
      <c r="J408" t="s">
        <v>429</v>
      </c>
      <c r="K408" t="s">
        <v>397</v>
      </c>
      <c r="L408" t="s">
        <v>310</v>
      </c>
      <c r="M408" t="s">
        <v>398</v>
      </c>
      <c r="N408" t="s">
        <v>433</v>
      </c>
    </row>
    <row r="409" spans="2:14" hidden="1" x14ac:dyDescent="0.25">
      <c r="B409" t="s">
        <v>591</v>
      </c>
      <c r="C409" t="s">
        <v>407</v>
      </c>
      <c r="D409" s="3" t="s">
        <v>416</v>
      </c>
      <c r="E409" s="3" t="s">
        <v>441</v>
      </c>
      <c r="F409">
        <v>5</v>
      </c>
      <c r="G409" s="3">
        <f t="shared" si="21"/>
        <v>0.20486111111111116</v>
      </c>
      <c r="H409" s="3">
        <f t="shared" si="22"/>
        <v>4.0972222222222229E-2</v>
      </c>
      <c r="I409" s="1">
        <f t="shared" si="20"/>
        <v>59</v>
      </c>
      <c r="J409" t="s">
        <v>409</v>
      </c>
      <c r="K409" t="s">
        <v>417</v>
      </c>
      <c r="L409" t="s">
        <v>98</v>
      </c>
      <c r="M409" t="s">
        <v>398</v>
      </c>
      <c r="N409" t="s">
        <v>433</v>
      </c>
    </row>
    <row r="410" spans="2:14" hidden="1" x14ac:dyDescent="0.25">
      <c r="C410" t="s">
        <v>401</v>
      </c>
      <c r="D410" s="3" t="s">
        <v>411</v>
      </c>
      <c r="E410" s="3" t="s">
        <v>479</v>
      </c>
      <c r="F410">
        <v>10</v>
      </c>
      <c r="G410" s="3">
        <f t="shared" si="21"/>
        <v>0.41666666666666669</v>
      </c>
      <c r="H410" s="3">
        <f t="shared" si="22"/>
        <v>4.1666666666666671E-2</v>
      </c>
      <c r="I410" s="1">
        <f t="shared" si="20"/>
        <v>0</v>
      </c>
      <c r="J410" t="s">
        <v>45</v>
      </c>
      <c r="K410" t="s">
        <v>397</v>
      </c>
      <c r="L410" t="s">
        <v>125</v>
      </c>
      <c r="M410" t="s">
        <v>398</v>
      </c>
      <c r="N410" t="s">
        <v>350</v>
      </c>
    </row>
    <row r="411" spans="2:14" hidden="1" x14ac:dyDescent="0.25">
      <c r="C411" t="s">
        <v>407</v>
      </c>
      <c r="D411" s="3" t="s">
        <v>411</v>
      </c>
      <c r="E411" s="3" t="s">
        <v>479</v>
      </c>
      <c r="F411">
        <v>10</v>
      </c>
      <c r="G411" s="3">
        <f t="shared" si="21"/>
        <v>0.41666666666666669</v>
      </c>
      <c r="H411" s="3">
        <f t="shared" si="22"/>
        <v>4.1666666666666671E-2</v>
      </c>
      <c r="I411" s="1">
        <f t="shared" si="20"/>
        <v>0</v>
      </c>
      <c r="J411" t="s">
        <v>45</v>
      </c>
      <c r="K411" t="s">
        <v>397</v>
      </c>
      <c r="L411" t="s">
        <v>125</v>
      </c>
      <c r="M411" t="s">
        <v>398</v>
      </c>
      <c r="N411" t="s">
        <v>350</v>
      </c>
    </row>
    <row r="412" spans="2:14" hidden="1" x14ac:dyDescent="0.25">
      <c r="C412" t="s">
        <v>393</v>
      </c>
      <c r="D412" s="3" t="s">
        <v>411</v>
      </c>
      <c r="E412" s="3" t="s">
        <v>479</v>
      </c>
      <c r="F412">
        <v>10</v>
      </c>
      <c r="G412" s="3">
        <f t="shared" si="21"/>
        <v>0.41666666666666669</v>
      </c>
      <c r="H412" s="3">
        <f t="shared" si="22"/>
        <v>4.1666666666666671E-2</v>
      </c>
      <c r="I412" s="1">
        <f t="shared" si="20"/>
        <v>0</v>
      </c>
      <c r="J412" t="s">
        <v>45</v>
      </c>
      <c r="K412" t="s">
        <v>397</v>
      </c>
      <c r="L412" t="s">
        <v>125</v>
      </c>
      <c r="M412" t="s">
        <v>398</v>
      </c>
      <c r="N412" t="s">
        <v>350</v>
      </c>
    </row>
    <row r="413" spans="2:14" hidden="1" x14ac:dyDescent="0.25">
      <c r="C413" t="s">
        <v>406</v>
      </c>
      <c r="D413" s="3" t="s">
        <v>411</v>
      </c>
      <c r="E413" s="3" t="s">
        <v>479</v>
      </c>
      <c r="F413">
        <v>10</v>
      </c>
      <c r="G413" s="3">
        <f t="shared" si="21"/>
        <v>0.41666666666666669</v>
      </c>
      <c r="H413" s="3">
        <f t="shared" si="22"/>
        <v>4.1666666666666671E-2</v>
      </c>
      <c r="I413" s="1">
        <f t="shared" si="20"/>
        <v>0</v>
      </c>
      <c r="J413" t="s">
        <v>45</v>
      </c>
      <c r="K413" t="s">
        <v>397</v>
      </c>
      <c r="L413" t="s">
        <v>125</v>
      </c>
      <c r="M413" t="s">
        <v>398</v>
      </c>
      <c r="N413" t="s">
        <v>350</v>
      </c>
    </row>
    <row r="414" spans="2:14" hidden="1" x14ac:dyDescent="0.25">
      <c r="C414" t="s">
        <v>400</v>
      </c>
      <c r="D414" s="3" t="s">
        <v>411</v>
      </c>
      <c r="E414" s="3" t="s">
        <v>479</v>
      </c>
      <c r="F414">
        <v>10</v>
      </c>
      <c r="G414" s="3">
        <f t="shared" si="21"/>
        <v>0.41666666666666669</v>
      </c>
      <c r="H414" s="3">
        <f t="shared" si="22"/>
        <v>4.1666666666666671E-2</v>
      </c>
      <c r="I414" s="1">
        <f t="shared" si="20"/>
        <v>0</v>
      </c>
      <c r="J414" t="s">
        <v>45</v>
      </c>
      <c r="K414" t="s">
        <v>397</v>
      </c>
      <c r="L414" t="s">
        <v>125</v>
      </c>
      <c r="M414" t="s">
        <v>398</v>
      </c>
      <c r="N414" t="s">
        <v>350</v>
      </c>
    </row>
    <row r="415" spans="2:14" hidden="1" x14ac:dyDescent="0.25">
      <c r="C415" t="s">
        <v>422</v>
      </c>
      <c r="D415" s="3" t="s">
        <v>411</v>
      </c>
      <c r="E415" s="3" t="s">
        <v>479</v>
      </c>
      <c r="F415">
        <v>10</v>
      </c>
      <c r="G415" s="3">
        <f t="shared" si="21"/>
        <v>0.41666666666666669</v>
      </c>
      <c r="H415" s="3">
        <f t="shared" si="22"/>
        <v>4.1666666666666671E-2</v>
      </c>
      <c r="I415" s="1">
        <f t="shared" si="20"/>
        <v>0</v>
      </c>
      <c r="J415" t="s">
        <v>45</v>
      </c>
      <c r="K415" t="s">
        <v>397</v>
      </c>
      <c r="L415" t="s">
        <v>125</v>
      </c>
      <c r="M415" t="s">
        <v>398</v>
      </c>
      <c r="N415" t="s">
        <v>350</v>
      </c>
    </row>
    <row r="416" spans="2:14" hidden="1" x14ac:dyDescent="0.25">
      <c r="C416" t="s">
        <v>401</v>
      </c>
      <c r="D416" s="3" t="s">
        <v>411</v>
      </c>
      <c r="E416" s="3" t="s">
        <v>479</v>
      </c>
      <c r="F416">
        <v>10</v>
      </c>
      <c r="G416" s="3">
        <f t="shared" si="21"/>
        <v>0.41666666666666669</v>
      </c>
      <c r="H416" s="3">
        <f t="shared" si="22"/>
        <v>4.1666666666666671E-2</v>
      </c>
      <c r="I416" s="1">
        <f t="shared" si="20"/>
        <v>0</v>
      </c>
      <c r="J416" t="s">
        <v>45</v>
      </c>
      <c r="K416" t="s">
        <v>397</v>
      </c>
      <c r="L416" t="s">
        <v>100</v>
      </c>
      <c r="M416" t="s">
        <v>398</v>
      </c>
      <c r="N416" t="s">
        <v>350</v>
      </c>
    </row>
    <row r="417" spans="3:14" hidden="1" x14ac:dyDescent="0.25">
      <c r="C417" t="s">
        <v>407</v>
      </c>
      <c r="D417" s="3" t="s">
        <v>411</v>
      </c>
      <c r="E417" s="3" t="s">
        <v>479</v>
      </c>
      <c r="F417">
        <v>10</v>
      </c>
      <c r="G417" s="3">
        <f t="shared" si="21"/>
        <v>0.41666666666666669</v>
      </c>
      <c r="H417" s="3">
        <f t="shared" si="22"/>
        <v>4.1666666666666671E-2</v>
      </c>
      <c r="I417" s="1">
        <f t="shared" si="20"/>
        <v>0</v>
      </c>
      <c r="J417" t="s">
        <v>45</v>
      </c>
      <c r="K417" t="s">
        <v>397</v>
      </c>
      <c r="L417" t="s">
        <v>100</v>
      </c>
      <c r="M417" t="s">
        <v>398</v>
      </c>
      <c r="N417" t="s">
        <v>350</v>
      </c>
    </row>
    <row r="418" spans="3:14" hidden="1" x14ac:dyDescent="0.25">
      <c r="C418" t="s">
        <v>393</v>
      </c>
      <c r="D418" s="3" t="s">
        <v>411</v>
      </c>
      <c r="E418" s="3" t="s">
        <v>479</v>
      </c>
      <c r="F418">
        <v>10</v>
      </c>
      <c r="G418" s="3">
        <f t="shared" si="21"/>
        <v>0.41666666666666669</v>
      </c>
      <c r="H418" s="3">
        <f t="shared" si="22"/>
        <v>4.1666666666666671E-2</v>
      </c>
      <c r="I418" s="1">
        <f t="shared" si="20"/>
        <v>0</v>
      </c>
      <c r="J418" t="s">
        <v>45</v>
      </c>
      <c r="K418" t="s">
        <v>397</v>
      </c>
      <c r="L418" t="s">
        <v>100</v>
      </c>
      <c r="M418" t="s">
        <v>398</v>
      </c>
      <c r="N418" t="s">
        <v>350</v>
      </c>
    </row>
    <row r="419" spans="3:14" hidden="1" x14ac:dyDescent="0.25">
      <c r="C419" t="s">
        <v>406</v>
      </c>
      <c r="D419" s="3" t="s">
        <v>411</v>
      </c>
      <c r="E419" s="3" t="s">
        <v>479</v>
      </c>
      <c r="F419">
        <v>10</v>
      </c>
      <c r="G419" s="3">
        <f t="shared" si="21"/>
        <v>0.41666666666666669</v>
      </c>
      <c r="H419" s="3">
        <f t="shared" si="22"/>
        <v>4.1666666666666671E-2</v>
      </c>
      <c r="I419" s="1">
        <f t="shared" si="20"/>
        <v>0</v>
      </c>
      <c r="J419" t="s">
        <v>45</v>
      </c>
      <c r="K419" t="s">
        <v>397</v>
      </c>
      <c r="L419" t="s">
        <v>100</v>
      </c>
      <c r="M419" t="s">
        <v>398</v>
      </c>
      <c r="N419" t="s">
        <v>350</v>
      </c>
    </row>
    <row r="420" spans="3:14" hidden="1" x14ac:dyDescent="0.25">
      <c r="C420" t="s">
        <v>400</v>
      </c>
      <c r="D420" s="3" t="s">
        <v>411</v>
      </c>
      <c r="E420" s="3" t="s">
        <v>479</v>
      </c>
      <c r="F420">
        <v>10</v>
      </c>
      <c r="G420" s="3">
        <f t="shared" si="21"/>
        <v>0.41666666666666669</v>
      </c>
      <c r="H420" s="3">
        <f t="shared" si="22"/>
        <v>4.1666666666666671E-2</v>
      </c>
      <c r="I420" s="1">
        <f t="shared" si="20"/>
        <v>0</v>
      </c>
      <c r="J420" t="s">
        <v>45</v>
      </c>
      <c r="K420" t="s">
        <v>397</v>
      </c>
      <c r="L420" t="s">
        <v>100</v>
      </c>
      <c r="M420" t="s">
        <v>398</v>
      </c>
      <c r="N420" t="s">
        <v>350</v>
      </c>
    </row>
    <row r="421" spans="3:14" hidden="1" x14ac:dyDescent="0.25">
      <c r="C421" t="s">
        <v>422</v>
      </c>
      <c r="D421" s="3" t="s">
        <v>411</v>
      </c>
      <c r="E421" s="3" t="s">
        <v>479</v>
      </c>
      <c r="F421">
        <v>10</v>
      </c>
      <c r="G421" s="3">
        <f t="shared" si="21"/>
        <v>0.41666666666666669</v>
      </c>
      <c r="H421" s="3">
        <f t="shared" si="22"/>
        <v>4.1666666666666671E-2</v>
      </c>
      <c r="I421" s="1">
        <f t="shared" si="20"/>
        <v>0</v>
      </c>
      <c r="J421" t="s">
        <v>45</v>
      </c>
      <c r="K421" t="s">
        <v>397</v>
      </c>
      <c r="L421" t="s">
        <v>100</v>
      </c>
      <c r="M421" t="s">
        <v>398</v>
      </c>
      <c r="N421" t="s">
        <v>350</v>
      </c>
    </row>
    <row r="422" spans="3:14" hidden="1" x14ac:dyDescent="0.25">
      <c r="C422" t="s">
        <v>407</v>
      </c>
      <c r="D422" s="3" t="s">
        <v>411</v>
      </c>
      <c r="E422" s="3" t="s">
        <v>479</v>
      </c>
      <c r="F422">
        <v>10</v>
      </c>
      <c r="G422" s="3">
        <f t="shared" si="21"/>
        <v>0.41666666666666669</v>
      </c>
      <c r="H422" s="3">
        <f t="shared" si="22"/>
        <v>4.1666666666666671E-2</v>
      </c>
      <c r="I422" s="1">
        <f t="shared" si="20"/>
        <v>0</v>
      </c>
      <c r="J422" t="s">
        <v>586</v>
      </c>
      <c r="K422" t="s">
        <v>397</v>
      </c>
      <c r="L422" t="s">
        <v>587</v>
      </c>
      <c r="M422" t="s">
        <v>398</v>
      </c>
      <c r="N422" t="s">
        <v>352</v>
      </c>
    </row>
    <row r="423" spans="3:14" hidden="1" x14ac:dyDescent="0.25">
      <c r="C423" t="s">
        <v>393</v>
      </c>
      <c r="D423" s="3" t="s">
        <v>411</v>
      </c>
      <c r="E423" s="3" t="s">
        <v>479</v>
      </c>
      <c r="F423">
        <v>10</v>
      </c>
      <c r="G423" s="3">
        <f t="shared" si="21"/>
        <v>0.41666666666666669</v>
      </c>
      <c r="H423" s="3">
        <f t="shared" si="22"/>
        <v>4.1666666666666671E-2</v>
      </c>
      <c r="I423" s="1">
        <f t="shared" si="20"/>
        <v>0</v>
      </c>
      <c r="J423" t="s">
        <v>586</v>
      </c>
      <c r="K423" t="s">
        <v>397</v>
      </c>
      <c r="L423" t="s">
        <v>587</v>
      </c>
      <c r="M423" t="s">
        <v>398</v>
      </c>
      <c r="N423" t="s">
        <v>352</v>
      </c>
    </row>
    <row r="424" spans="3:14" hidden="1" x14ac:dyDescent="0.25">
      <c r="C424" t="s">
        <v>406</v>
      </c>
      <c r="D424" s="3" t="s">
        <v>411</v>
      </c>
      <c r="E424" s="3" t="s">
        <v>479</v>
      </c>
      <c r="F424">
        <v>10</v>
      </c>
      <c r="G424" s="3">
        <f t="shared" si="21"/>
        <v>0.41666666666666669</v>
      </c>
      <c r="H424" s="3">
        <f t="shared" si="22"/>
        <v>4.1666666666666671E-2</v>
      </c>
      <c r="I424" s="1">
        <f t="shared" si="20"/>
        <v>0</v>
      </c>
      <c r="J424" t="s">
        <v>586</v>
      </c>
      <c r="K424" t="s">
        <v>397</v>
      </c>
      <c r="L424" t="s">
        <v>587</v>
      </c>
      <c r="M424" t="s">
        <v>398</v>
      </c>
      <c r="N424" t="s">
        <v>352</v>
      </c>
    </row>
    <row r="425" spans="3:14" hidden="1" x14ac:dyDescent="0.25">
      <c r="C425" t="s">
        <v>400</v>
      </c>
      <c r="D425" s="3" t="s">
        <v>411</v>
      </c>
      <c r="E425" s="3" t="s">
        <v>479</v>
      </c>
      <c r="F425">
        <v>10</v>
      </c>
      <c r="G425" s="3">
        <f t="shared" si="21"/>
        <v>0.41666666666666669</v>
      </c>
      <c r="H425" s="3">
        <f t="shared" si="22"/>
        <v>4.1666666666666671E-2</v>
      </c>
      <c r="I425" s="1">
        <f t="shared" si="20"/>
        <v>0</v>
      </c>
      <c r="J425" t="s">
        <v>586</v>
      </c>
      <c r="K425" t="s">
        <v>397</v>
      </c>
      <c r="L425" t="s">
        <v>587</v>
      </c>
      <c r="M425" t="s">
        <v>398</v>
      </c>
      <c r="N425" t="s">
        <v>352</v>
      </c>
    </row>
    <row r="426" spans="3:14" hidden="1" x14ac:dyDescent="0.25">
      <c r="C426" t="s">
        <v>422</v>
      </c>
      <c r="D426" s="3" t="s">
        <v>411</v>
      </c>
      <c r="E426" s="3" t="s">
        <v>479</v>
      </c>
      <c r="F426">
        <v>10</v>
      </c>
      <c r="G426" s="3">
        <f t="shared" si="21"/>
        <v>0.41666666666666669</v>
      </c>
      <c r="H426" s="3">
        <f t="shared" si="22"/>
        <v>4.1666666666666671E-2</v>
      </c>
      <c r="I426" s="1">
        <f t="shared" si="20"/>
        <v>0</v>
      </c>
      <c r="J426" t="s">
        <v>586</v>
      </c>
      <c r="K426" t="s">
        <v>397</v>
      </c>
      <c r="L426" t="s">
        <v>587</v>
      </c>
      <c r="M426" t="s">
        <v>398</v>
      </c>
      <c r="N426" t="s">
        <v>352</v>
      </c>
    </row>
    <row r="427" spans="3:14" hidden="1" x14ac:dyDescent="0.25">
      <c r="C427" t="s">
        <v>401</v>
      </c>
      <c r="D427" s="3" t="s">
        <v>411</v>
      </c>
      <c r="E427" s="3" t="s">
        <v>479</v>
      </c>
      <c r="F427">
        <v>15</v>
      </c>
      <c r="G427" s="3">
        <f t="shared" si="21"/>
        <v>0.41666666666666669</v>
      </c>
      <c r="H427" s="3">
        <f t="shared" si="22"/>
        <v>2.777777777777778E-2</v>
      </c>
      <c r="I427" s="1">
        <f t="shared" si="20"/>
        <v>40</v>
      </c>
      <c r="J427" t="s">
        <v>45</v>
      </c>
      <c r="K427" t="s">
        <v>397</v>
      </c>
      <c r="L427" t="s">
        <v>298</v>
      </c>
      <c r="M427" t="s">
        <v>398</v>
      </c>
      <c r="N427" t="s">
        <v>350</v>
      </c>
    </row>
    <row r="428" spans="3:14" hidden="1" x14ac:dyDescent="0.25">
      <c r="C428" t="s">
        <v>407</v>
      </c>
      <c r="D428" s="3" t="s">
        <v>411</v>
      </c>
      <c r="E428" s="3" t="s">
        <v>479</v>
      </c>
      <c r="F428">
        <v>15</v>
      </c>
      <c r="G428" s="3">
        <f t="shared" si="21"/>
        <v>0.41666666666666669</v>
      </c>
      <c r="H428" s="3">
        <f t="shared" si="22"/>
        <v>2.777777777777778E-2</v>
      </c>
      <c r="I428" s="1">
        <f t="shared" si="20"/>
        <v>40</v>
      </c>
      <c r="J428" t="s">
        <v>45</v>
      </c>
      <c r="K428" t="s">
        <v>397</v>
      </c>
      <c r="L428" t="s">
        <v>298</v>
      </c>
      <c r="M428" t="s">
        <v>398</v>
      </c>
      <c r="N428" t="s">
        <v>350</v>
      </c>
    </row>
    <row r="429" spans="3:14" hidden="1" x14ac:dyDescent="0.25">
      <c r="C429" t="s">
        <v>393</v>
      </c>
      <c r="D429" s="3" t="s">
        <v>411</v>
      </c>
      <c r="E429" s="3" t="s">
        <v>479</v>
      </c>
      <c r="F429">
        <v>15</v>
      </c>
      <c r="G429" s="3">
        <f t="shared" si="21"/>
        <v>0.41666666666666669</v>
      </c>
      <c r="H429" s="3">
        <f t="shared" si="22"/>
        <v>2.777777777777778E-2</v>
      </c>
      <c r="I429" s="1">
        <f t="shared" si="20"/>
        <v>40</v>
      </c>
      <c r="J429" t="s">
        <v>45</v>
      </c>
      <c r="K429" t="s">
        <v>397</v>
      </c>
      <c r="L429" t="s">
        <v>298</v>
      </c>
      <c r="M429" t="s">
        <v>398</v>
      </c>
      <c r="N429" t="s">
        <v>350</v>
      </c>
    </row>
    <row r="430" spans="3:14" hidden="1" x14ac:dyDescent="0.25">
      <c r="C430" t="s">
        <v>406</v>
      </c>
      <c r="D430" s="3" t="s">
        <v>411</v>
      </c>
      <c r="E430" s="3" t="s">
        <v>479</v>
      </c>
      <c r="F430">
        <v>15</v>
      </c>
      <c r="G430" s="3">
        <f t="shared" si="21"/>
        <v>0.41666666666666669</v>
      </c>
      <c r="H430" s="3">
        <f t="shared" si="22"/>
        <v>2.777777777777778E-2</v>
      </c>
      <c r="I430" s="1">
        <f t="shared" si="20"/>
        <v>40</v>
      </c>
      <c r="J430" t="s">
        <v>45</v>
      </c>
      <c r="K430" t="s">
        <v>397</v>
      </c>
      <c r="L430" t="s">
        <v>298</v>
      </c>
      <c r="M430" t="s">
        <v>398</v>
      </c>
      <c r="N430" t="s">
        <v>350</v>
      </c>
    </row>
    <row r="431" spans="3:14" hidden="1" x14ac:dyDescent="0.25">
      <c r="C431" t="s">
        <v>400</v>
      </c>
      <c r="D431" s="3" t="s">
        <v>411</v>
      </c>
      <c r="E431" s="3" t="s">
        <v>479</v>
      </c>
      <c r="F431">
        <v>15</v>
      </c>
      <c r="G431" s="3">
        <f t="shared" si="21"/>
        <v>0.41666666666666669</v>
      </c>
      <c r="H431" s="3">
        <f t="shared" si="22"/>
        <v>2.777777777777778E-2</v>
      </c>
      <c r="I431" s="1">
        <f t="shared" si="20"/>
        <v>40</v>
      </c>
      <c r="J431" t="s">
        <v>45</v>
      </c>
      <c r="K431" t="s">
        <v>397</v>
      </c>
      <c r="L431" t="s">
        <v>298</v>
      </c>
      <c r="M431" t="s">
        <v>398</v>
      </c>
      <c r="N431" t="s">
        <v>350</v>
      </c>
    </row>
    <row r="432" spans="3:14" hidden="1" x14ac:dyDescent="0.25">
      <c r="C432" t="s">
        <v>422</v>
      </c>
      <c r="D432" s="3" t="s">
        <v>411</v>
      </c>
      <c r="E432" s="3" t="s">
        <v>479</v>
      </c>
      <c r="F432">
        <v>15</v>
      </c>
      <c r="G432" s="3">
        <f t="shared" si="21"/>
        <v>0.41666666666666669</v>
      </c>
      <c r="H432" s="3">
        <f t="shared" si="22"/>
        <v>2.777777777777778E-2</v>
      </c>
      <c r="I432" s="1">
        <f t="shared" si="20"/>
        <v>40</v>
      </c>
      <c r="J432" t="s">
        <v>45</v>
      </c>
      <c r="K432" t="s">
        <v>397</v>
      </c>
      <c r="L432" t="s">
        <v>298</v>
      </c>
      <c r="M432" t="s">
        <v>398</v>
      </c>
      <c r="N432" t="s">
        <v>350</v>
      </c>
    </row>
    <row r="433" spans="3:14" hidden="1" x14ac:dyDescent="0.25">
      <c r="C433" t="s">
        <v>393</v>
      </c>
      <c r="D433" s="3" t="s">
        <v>411</v>
      </c>
      <c r="E433" s="3" t="s">
        <v>479</v>
      </c>
      <c r="F433">
        <v>15</v>
      </c>
      <c r="G433" s="3">
        <f t="shared" si="21"/>
        <v>0.41666666666666669</v>
      </c>
      <c r="H433" s="3">
        <f t="shared" si="22"/>
        <v>2.777777777777778E-2</v>
      </c>
      <c r="I433" s="1">
        <f t="shared" si="20"/>
        <v>40</v>
      </c>
      <c r="J433" t="s">
        <v>45</v>
      </c>
      <c r="K433" t="s">
        <v>397</v>
      </c>
      <c r="L433" t="s">
        <v>112</v>
      </c>
      <c r="M433" t="s">
        <v>398</v>
      </c>
      <c r="N433" t="s">
        <v>350</v>
      </c>
    </row>
    <row r="434" spans="3:14" hidden="1" x14ac:dyDescent="0.25">
      <c r="C434" t="s">
        <v>400</v>
      </c>
      <c r="D434" s="3" t="s">
        <v>411</v>
      </c>
      <c r="E434" s="3" t="s">
        <v>479</v>
      </c>
      <c r="F434">
        <v>15</v>
      </c>
      <c r="G434" s="3">
        <f t="shared" si="21"/>
        <v>0.41666666666666669</v>
      </c>
      <c r="H434" s="3">
        <f t="shared" si="22"/>
        <v>2.777777777777778E-2</v>
      </c>
      <c r="I434" s="1">
        <f t="shared" si="20"/>
        <v>40</v>
      </c>
      <c r="J434" t="s">
        <v>45</v>
      </c>
      <c r="K434" t="s">
        <v>397</v>
      </c>
      <c r="L434" t="s">
        <v>112</v>
      </c>
      <c r="M434" t="s">
        <v>398</v>
      </c>
      <c r="N434" t="s">
        <v>350</v>
      </c>
    </row>
    <row r="435" spans="3:14" hidden="1" x14ac:dyDescent="0.25">
      <c r="C435" t="s">
        <v>407</v>
      </c>
      <c r="D435" s="3" t="s">
        <v>411</v>
      </c>
      <c r="E435" s="3" t="s">
        <v>479</v>
      </c>
      <c r="F435">
        <v>15</v>
      </c>
      <c r="G435" s="3">
        <f t="shared" si="21"/>
        <v>0.41666666666666669</v>
      </c>
      <c r="H435" s="3">
        <f t="shared" si="22"/>
        <v>2.777777777777778E-2</v>
      </c>
      <c r="I435" s="1">
        <f t="shared" si="20"/>
        <v>40</v>
      </c>
      <c r="J435" t="s">
        <v>586</v>
      </c>
      <c r="K435" t="s">
        <v>397</v>
      </c>
      <c r="L435" t="s">
        <v>588</v>
      </c>
      <c r="M435" t="s">
        <v>398</v>
      </c>
      <c r="N435" t="s">
        <v>352</v>
      </c>
    </row>
    <row r="436" spans="3:14" hidden="1" x14ac:dyDescent="0.25">
      <c r="C436" t="s">
        <v>393</v>
      </c>
      <c r="D436" s="3" t="s">
        <v>411</v>
      </c>
      <c r="E436" s="3" t="s">
        <v>479</v>
      </c>
      <c r="F436">
        <v>15</v>
      </c>
      <c r="G436" s="3">
        <f t="shared" si="21"/>
        <v>0.41666666666666669</v>
      </c>
      <c r="H436" s="3">
        <f t="shared" si="22"/>
        <v>2.777777777777778E-2</v>
      </c>
      <c r="I436" s="1">
        <f t="shared" si="20"/>
        <v>40</v>
      </c>
      <c r="J436" t="s">
        <v>586</v>
      </c>
      <c r="K436" t="s">
        <v>397</v>
      </c>
      <c r="L436" t="s">
        <v>588</v>
      </c>
      <c r="M436" t="s">
        <v>398</v>
      </c>
      <c r="N436" t="s">
        <v>352</v>
      </c>
    </row>
    <row r="437" spans="3:14" hidden="1" x14ac:dyDescent="0.25">
      <c r="C437" t="s">
        <v>406</v>
      </c>
      <c r="D437" s="3" t="s">
        <v>411</v>
      </c>
      <c r="E437" s="3" t="s">
        <v>479</v>
      </c>
      <c r="F437">
        <v>15</v>
      </c>
      <c r="G437" s="3">
        <f t="shared" si="21"/>
        <v>0.41666666666666669</v>
      </c>
      <c r="H437" s="3">
        <f t="shared" si="22"/>
        <v>2.777777777777778E-2</v>
      </c>
      <c r="I437" s="1">
        <f t="shared" si="20"/>
        <v>40</v>
      </c>
      <c r="J437" t="s">
        <v>586</v>
      </c>
      <c r="K437" t="s">
        <v>397</v>
      </c>
      <c r="L437" t="s">
        <v>588</v>
      </c>
      <c r="M437" t="s">
        <v>398</v>
      </c>
      <c r="N437" t="s">
        <v>352</v>
      </c>
    </row>
    <row r="438" spans="3:14" hidden="1" x14ac:dyDescent="0.25">
      <c r="C438" t="s">
        <v>400</v>
      </c>
      <c r="D438" s="3" t="s">
        <v>411</v>
      </c>
      <c r="E438" s="3" t="s">
        <v>479</v>
      </c>
      <c r="F438">
        <v>15</v>
      </c>
      <c r="G438" s="3">
        <f t="shared" si="21"/>
        <v>0.41666666666666669</v>
      </c>
      <c r="H438" s="3">
        <f t="shared" si="22"/>
        <v>2.777777777777778E-2</v>
      </c>
      <c r="I438" s="1">
        <f t="shared" si="20"/>
        <v>40</v>
      </c>
      <c r="J438" t="s">
        <v>586</v>
      </c>
      <c r="K438" t="s">
        <v>397</v>
      </c>
      <c r="L438" t="s">
        <v>588</v>
      </c>
      <c r="M438" t="s">
        <v>398</v>
      </c>
      <c r="N438" t="s">
        <v>352</v>
      </c>
    </row>
    <row r="439" spans="3:14" hidden="1" x14ac:dyDescent="0.25">
      <c r="C439" t="s">
        <v>422</v>
      </c>
      <c r="D439" s="3" t="s">
        <v>411</v>
      </c>
      <c r="E439" s="3" t="s">
        <v>479</v>
      </c>
      <c r="F439">
        <v>15</v>
      </c>
      <c r="G439" s="3">
        <f t="shared" si="21"/>
        <v>0.41666666666666669</v>
      </c>
      <c r="H439" s="3">
        <f t="shared" si="22"/>
        <v>2.777777777777778E-2</v>
      </c>
      <c r="I439" s="1">
        <f t="shared" si="20"/>
        <v>40</v>
      </c>
      <c r="J439" t="s">
        <v>586</v>
      </c>
      <c r="K439" t="s">
        <v>397</v>
      </c>
      <c r="L439" t="s">
        <v>588</v>
      </c>
      <c r="M439" t="s">
        <v>398</v>
      </c>
      <c r="N439" t="s">
        <v>352</v>
      </c>
    </row>
    <row r="440" spans="3:14" hidden="1" x14ac:dyDescent="0.25">
      <c r="C440" t="s">
        <v>401</v>
      </c>
      <c r="D440" s="3" t="s">
        <v>411</v>
      </c>
      <c r="E440" s="3" t="s">
        <v>479</v>
      </c>
      <c r="F440">
        <v>15</v>
      </c>
      <c r="G440" s="3">
        <f t="shared" si="21"/>
        <v>0.41666666666666669</v>
      </c>
      <c r="H440" s="3">
        <f t="shared" si="22"/>
        <v>2.777777777777778E-2</v>
      </c>
      <c r="I440" s="1">
        <f t="shared" si="20"/>
        <v>40</v>
      </c>
      <c r="J440" t="s">
        <v>586</v>
      </c>
      <c r="K440" t="s">
        <v>397</v>
      </c>
      <c r="L440" t="s">
        <v>595</v>
      </c>
      <c r="M440" t="s">
        <v>398</v>
      </c>
      <c r="N440" t="s">
        <v>352</v>
      </c>
    </row>
    <row r="441" spans="3:14" hidden="1" x14ac:dyDescent="0.25">
      <c r="C441" t="s">
        <v>407</v>
      </c>
      <c r="D441" s="3" t="s">
        <v>411</v>
      </c>
      <c r="E441" s="3" t="s">
        <v>479</v>
      </c>
      <c r="F441">
        <v>15</v>
      </c>
      <c r="G441" s="3">
        <f t="shared" si="21"/>
        <v>0.41666666666666669</v>
      </c>
      <c r="H441" s="3">
        <f t="shared" si="22"/>
        <v>2.777777777777778E-2</v>
      </c>
      <c r="I441" s="1">
        <f t="shared" si="20"/>
        <v>40</v>
      </c>
      <c r="J441" t="s">
        <v>586</v>
      </c>
      <c r="K441" t="s">
        <v>397</v>
      </c>
      <c r="L441" t="s">
        <v>595</v>
      </c>
      <c r="M441" t="s">
        <v>398</v>
      </c>
      <c r="N441" t="s">
        <v>352</v>
      </c>
    </row>
    <row r="442" spans="3:14" hidden="1" x14ac:dyDescent="0.25">
      <c r="C442" t="s">
        <v>393</v>
      </c>
      <c r="D442" s="3" t="s">
        <v>411</v>
      </c>
      <c r="E442" s="3" t="s">
        <v>479</v>
      </c>
      <c r="F442">
        <v>15</v>
      </c>
      <c r="G442" s="3">
        <f t="shared" si="21"/>
        <v>0.41666666666666669</v>
      </c>
      <c r="H442" s="3">
        <f t="shared" si="22"/>
        <v>2.777777777777778E-2</v>
      </c>
      <c r="I442" s="1">
        <f t="shared" si="20"/>
        <v>40</v>
      </c>
      <c r="J442" t="s">
        <v>586</v>
      </c>
      <c r="K442" t="s">
        <v>397</v>
      </c>
      <c r="L442" t="s">
        <v>595</v>
      </c>
      <c r="M442" t="s">
        <v>398</v>
      </c>
      <c r="N442" t="s">
        <v>352</v>
      </c>
    </row>
    <row r="443" spans="3:14" hidden="1" x14ac:dyDescent="0.25">
      <c r="C443" t="s">
        <v>406</v>
      </c>
      <c r="D443" s="3" t="s">
        <v>411</v>
      </c>
      <c r="E443" s="3" t="s">
        <v>479</v>
      </c>
      <c r="F443">
        <v>15</v>
      </c>
      <c r="G443" s="3">
        <f t="shared" si="21"/>
        <v>0.41666666666666669</v>
      </c>
      <c r="H443" s="3">
        <f t="shared" si="22"/>
        <v>2.777777777777778E-2</v>
      </c>
      <c r="I443" s="1">
        <f t="shared" si="20"/>
        <v>40</v>
      </c>
      <c r="J443" t="s">
        <v>586</v>
      </c>
      <c r="K443" t="s">
        <v>397</v>
      </c>
      <c r="L443" t="s">
        <v>595</v>
      </c>
      <c r="M443" t="s">
        <v>398</v>
      </c>
      <c r="N443" t="s">
        <v>352</v>
      </c>
    </row>
    <row r="444" spans="3:14" hidden="1" x14ac:dyDescent="0.25">
      <c r="C444" t="s">
        <v>400</v>
      </c>
      <c r="D444" s="3" t="s">
        <v>411</v>
      </c>
      <c r="E444" s="3" t="s">
        <v>479</v>
      </c>
      <c r="F444">
        <v>15</v>
      </c>
      <c r="G444" s="3">
        <f t="shared" si="21"/>
        <v>0.41666666666666669</v>
      </c>
      <c r="H444" s="3">
        <f t="shared" si="22"/>
        <v>2.777777777777778E-2</v>
      </c>
      <c r="I444" s="1">
        <f t="shared" si="20"/>
        <v>40</v>
      </c>
      <c r="J444" t="s">
        <v>586</v>
      </c>
      <c r="K444" t="s">
        <v>397</v>
      </c>
      <c r="L444" t="s">
        <v>595</v>
      </c>
      <c r="M444" t="s">
        <v>398</v>
      </c>
      <c r="N444" t="s">
        <v>352</v>
      </c>
    </row>
    <row r="445" spans="3:14" hidden="1" x14ac:dyDescent="0.25">
      <c r="C445" t="s">
        <v>422</v>
      </c>
      <c r="D445" s="3" t="s">
        <v>411</v>
      </c>
      <c r="E445" s="3" t="s">
        <v>479</v>
      </c>
      <c r="F445">
        <v>15</v>
      </c>
      <c r="G445" s="3">
        <f t="shared" si="21"/>
        <v>0.41666666666666669</v>
      </c>
      <c r="H445" s="3">
        <f t="shared" si="22"/>
        <v>2.777777777777778E-2</v>
      </c>
      <c r="I445" s="1">
        <f t="shared" si="20"/>
        <v>40</v>
      </c>
      <c r="J445" t="s">
        <v>586</v>
      </c>
      <c r="K445" t="s">
        <v>397</v>
      </c>
      <c r="L445" t="s">
        <v>595</v>
      </c>
      <c r="M445" t="s">
        <v>398</v>
      </c>
      <c r="N445" t="s">
        <v>352</v>
      </c>
    </row>
    <row r="446" spans="3:14" hidden="1" x14ac:dyDescent="0.25">
      <c r="C446" t="s">
        <v>401</v>
      </c>
      <c r="D446" s="3" t="s">
        <v>411</v>
      </c>
      <c r="E446" s="3" t="s">
        <v>479</v>
      </c>
      <c r="F446">
        <v>15</v>
      </c>
      <c r="G446" s="3">
        <f t="shared" si="21"/>
        <v>0.41666666666666669</v>
      </c>
      <c r="H446" s="3">
        <f t="shared" si="22"/>
        <v>2.777777777777778E-2</v>
      </c>
      <c r="I446" s="1">
        <f t="shared" si="20"/>
        <v>40</v>
      </c>
      <c r="J446" t="s">
        <v>45</v>
      </c>
      <c r="K446" t="s">
        <v>397</v>
      </c>
      <c r="L446" t="s">
        <v>112</v>
      </c>
      <c r="M446" t="s">
        <v>398</v>
      </c>
      <c r="N446" t="s">
        <v>350</v>
      </c>
    </row>
    <row r="447" spans="3:14" hidden="1" x14ac:dyDescent="0.25">
      <c r="C447" t="s">
        <v>407</v>
      </c>
      <c r="D447" s="3" t="s">
        <v>411</v>
      </c>
      <c r="E447" s="3" t="s">
        <v>479</v>
      </c>
      <c r="F447">
        <v>15</v>
      </c>
      <c r="G447" s="3">
        <f t="shared" si="21"/>
        <v>0.41666666666666669</v>
      </c>
      <c r="H447" s="3">
        <f t="shared" si="22"/>
        <v>2.777777777777778E-2</v>
      </c>
      <c r="I447" s="1">
        <f t="shared" si="20"/>
        <v>40</v>
      </c>
      <c r="J447" t="s">
        <v>45</v>
      </c>
      <c r="K447" t="s">
        <v>397</v>
      </c>
      <c r="L447" t="s">
        <v>112</v>
      </c>
      <c r="M447" t="s">
        <v>398</v>
      </c>
      <c r="N447" t="s">
        <v>350</v>
      </c>
    </row>
    <row r="448" spans="3:14" hidden="1" x14ac:dyDescent="0.25">
      <c r="C448" t="s">
        <v>393</v>
      </c>
      <c r="D448" s="3" t="s">
        <v>411</v>
      </c>
      <c r="E448" s="3" t="s">
        <v>479</v>
      </c>
      <c r="F448">
        <v>15</v>
      </c>
      <c r="G448" s="3">
        <f t="shared" si="21"/>
        <v>0.41666666666666669</v>
      </c>
      <c r="H448" s="3">
        <f t="shared" si="22"/>
        <v>2.777777777777778E-2</v>
      </c>
      <c r="I448" s="1">
        <f t="shared" si="20"/>
        <v>40</v>
      </c>
      <c r="J448" t="s">
        <v>45</v>
      </c>
      <c r="K448" t="s">
        <v>397</v>
      </c>
      <c r="L448" t="s">
        <v>112</v>
      </c>
      <c r="M448" t="s">
        <v>398</v>
      </c>
      <c r="N448" t="s">
        <v>350</v>
      </c>
    </row>
    <row r="449" spans="2:14" hidden="1" x14ac:dyDescent="0.25">
      <c r="C449" t="s">
        <v>406</v>
      </c>
      <c r="D449" s="3" t="s">
        <v>411</v>
      </c>
      <c r="E449" s="3" t="s">
        <v>479</v>
      </c>
      <c r="F449">
        <v>15</v>
      </c>
      <c r="G449" s="3">
        <f t="shared" si="21"/>
        <v>0.41666666666666669</v>
      </c>
      <c r="H449" s="3">
        <f t="shared" si="22"/>
        <v>2.777777777777778E-2</v>
      </c>
      <c r="I449" s="1">
        <f t="shared" si="20"/>
        <v>40</v>
      </c>
      <c r="J449" t="s">
        <v>45</v>
      </c>
      <c r="K449" t="s">
        <v>397</v>
      </c>
      <c r="L449" t="s">
        <v>112</v>
      </c>
      <c r="M449" t="s">
        <v>398</v>
      </c>
      <c r="N449" t="s">
        <v>350</v>
      </c>
    </row>
    <row r="450" spans="2:14" hidden="1" x14ac:dyDescent="0.25">
      <c r="C450" t="s">
        <v>400</v>
      </c>
      <c r="D450" s="3" t="s">
        <v>411</v>
      </c>
      <c r="E450" s="3" t="s">
        <v>479</v>
      </c>
      <c r="F450">
        <v>15</v>
      </c>
      <c r="G450" s="3">
        <f t="shared" si="21"/>
        <v>0.41666666666666669</v>
      </c>
      <c r="H450" s="3">
        <f t="shared" si="22"/>
        <v>2.777777777777778E-2</v>
      </c>
      <c r="I450" s="1">
        <f t="shared" si="20"/>
        <v>40</v>
      </c>
      <c r="J450" t="s">
        <v>45</v>
      </c>
      <c r="K450" t="s">
        <v>397</v>
      </c>
      <c r="L450" t="s">
        <v>112</v>
      </c>
      <c r="M450" t="s">
        <v>398</v>
      </c>
      <c r="N450" t="s">
        <v>350</v>
      </c>
    </row>
    <row r="451" spans="2:14" hidden="1" x14ac:dyDescent="0.25">
      <c r="C451" t="s">
        <v>422</v>
      </c>
      <c r="D451" s="3" t="s">
        <v>411</v>
      </c>
      <c r="E451" s="3" t="s">
        <v>479</v>
      </c>
      <c r="F451">
        <v>15</v>
      </c>
      <c r="G451" s="3">
        <f t="shared" si="21"/>
        <v>0.41666666666666669</v>
      </c>
      <c r="H451" s="3">
        <f t="shared" si="22"/>
        <v>2.777777777777778E-2</v>
      </c>
      <c r="I451" s="1">
        <f t="shared" ref="I451:I514" si="23">MINUTE(H451)</f>
        <v>40</v>
      </c>
      <c r="J451" t="s">
        <v>45</v>
      </c>
      <c r="K451" t="s">
        <v>397</v>
      </c>
      <c r="L451" t="s">
        <v>112</v>
      </c>
      <c r="M451" t="s">
        <v>398</v>
      </c>
      <c r="N451" t="s">
        <v>350</v>
      </c>
    </row>
    <row r="452" spans="2:14" hidden="1" x14ac:dyDescent="0.25">
      <c r="B452" t="s">
        <v>591</v>
      </c>
      <c r="C452" t="s">
        <v>407</v>
      </c>
      <c r="D452" s="3" t="s">
        <v>411</v>
      </c>
      <c r="E452" s="3" t="s">
        <v>442</v>
      </c>
      <c r="F452">
        <v>5</v>
      </c>
      <c r="G452" s="3">
        <f t="shared" ref="G452:G515" si="24">(E452-D452)</f>
        <v>0.28819444444444436</v>
      </c>
      <c r="H452" s="3">
        <f t="shared" ref="H452:H515" si="25">G452/F452</f>
        <v>5.7638888888888871E-2</v>
      </c>
      <c r="I452" s="1">
        <f t="shared" si="23"/>
        <v>23</v>
      </c>
      <c r="J452" t="s">
        <v>468</v>
      </c>
      <c r="K452" t="s">
        <v>397</v>
      </c>
      <c r="L452" t="s">
        <v>358</v>
      </c>
      <c r="M452" t="s">
        <v>398</v>
      </c>
      <c r="N452" t="s">
        <v>465</v>
      </c>
    </row>
    <row r="453" spans="2:14" hidden="1" x14ac:dyDescent="0.25">
      <c r="B453" t="s">
        <v>596</v>
      </c>
      <c r="C453" t="s">
        <v>393</v>
      </c>
      <c r="D453" s="3" t="s">
        <v>403</v>
      </c>
      <c r="E453" s="3" t="s">
        <v>443</v>
      </c>
      <c r="F453">
        <v>5</v>
      </c>
      <c r="G453" s="3">
        <f t="shared" si="24"/>
        <v>0.2048611111111111</v>
      </c>
      <c r="H453" s="3">
        <f t="shared" si="25"/>
        <v>4.0972222222222222E-2</v>
      </c>
      <c r="I453" s="1">
        <f t="shared" si="23"/>
        <v>59</v>
      </c>
      <c r="J453" t="s">
        <v>468</v>
      </c>
      <c r="K453" t="s">
        <v>397</v>
      </c>
      <c r="L453" t="s">
        <v>359</v>
      </c>
      <c r="M453" t="s">
        <v>398</v>
      </c>
      <c r="N453" t="s">
        <v>465</v>
      </c>
    </row>
    <row r="454" spans="2:14" hidden="1" x14ac:dyDescent="0.25">
      <c r="B454" t="s">
        <v>597</v>
      </c>
      <c r="C454" t="s">
        <v>393</v>
      </c>
      <c r="D454" s="3" t="s">
        <v>403</v>
      </c>
      <c r="E454" s="3" t="s">
        <v>442</v>
      </c>
      <c r="F454">
        <v>5</v>
      </c>
      <c r="G454" s="3">
        <f t="shared" si="24"/>
        <v>0.24652777777777773</v>
      </c>
      <c r="H454" s="3">
        <f t="shared" si="25"/>
        <v>4.9305555555555547E-2</v>
      </c>
      <c r="I454" s="1">
        <f t="shared" si="23"/>
        <v>11</v>
      </c>
      <c r="J454" t="s">
        <v>435</v>
      </c>
      <c r="K454" t="s">
        <v>397</v>
      </c>
      <c r="L454" t="s">
        <v>358</v>
      </c>
      <c r="M454" t="s">
        <v>398</v>
      </c>
      <c r="N454" t="s">
        <v>575</v>
      </c>
    </row>
    <row r="455" spans="2:14" hidden="1" x14ac:dyDescent="0.25">
      <c r="B455" t="s">
        <v>598</v>
      </c>
      <c r="C455" t="s">
        <v>400</v>
      </c>
      <c r="D455" s="3" t="s">
        <v>403</v>
      </c>
      <c r="E455" s="3" t="s">
        <v>451</v>
      </c>
      <c r="F455">
        <v>15</v>
      </c>
      <c r="G455" s="3">
        <f t="shared" si="24"/>
        <v>0.2326388888888889</v>
      </c>
      <c r="H455" s="3">
        <f t="shared" si="25"/>
        <v>1.5509259259259259E-2</v>
      </c>
      <c r="I455" s="1">
        <f t="shared" si="23"/>
        <v>22</v>
      </c>
      <c r="J455" t="s">
        <v>432</v>
      </c>
      <c r="K455" t="s">
        <v>397</v>
      </c>
      <c r="L455" t="s">
        <v>357</v>
      </c>
      <c r="M455" t="s">
        <v>398</v>
      </c>
      <c r="N455" t="s">
        <v>575</v>
      </c>
    </row>
    <row r="456" spans="2:14" hidden="1" x14ac:dyDescent="0.25">
      <c r="B456" t="s">
        <v>597</v>
      </c>
      <c r="C456" t="s">
        <v>393</v>
      </c>
      <c r="D456" s="3" t="s">
        <v>403</v>
      </c>
      <c r="E456" s="3" t="s">
        <v>402</v>
      </c>
      <c r="F456">
        <v>15</v>
      </c>
      <c r="G456" s="3">
        <f t="shared" si="24"/>
        <v>0.14930555555555558</v>
      </c>
      <c r="H456" s="3">
        <f t="shared" si="25"/>
        <v>9.9537037037037059E-3</v>
      </c>
      <c r="I456" s="1">
        <f t="shared" si="23"/>
        <v>14</v>
      </c>
      <c r="J456" t="s">
        <v>459</v>
      </c>
      <c r="K456" t="s">
        <v>397</v>
      </c>
      <c r="L456" t="s">
        <v>357</v>
      </c>
      <c r="M456" t="s">
        <v>398</v>
      </c>
      <c r="N456" t="s">
        <v>465</v>
      </c>
    </row>
    <row r="457" spans="2:14" hidden="1" x14ac:dyDescent="0.25">
      <c r="B457" t="s">
        <v>578</v>
      </c>
      <c r="C457" t="s">
        <v>406</v>
      </c>
      <c r="D457" s="3" t="s">
        <v>416</v>
      </c>
      <c r="E457" s="3" t="s">
        <v>599</v>
      </c>
      <c r="F457">
        <v>10</v>
      </c>
      <c r="G457" s="3">
        <f t="shared" si="24"/>
        <v>0.13194444444444453</v>
      </c>
      <c r="H457" s="3">
        <f t="shared" si="25"/>
        <v>1.3194444444444453E-2</v>
      </c>
      <c r="I457" s="1">
        <f t="shared" si="23"/>
        <v>19</v>
      </c>
      <c r="J457" t="s">
        <v>517</v>
      </c>
      <c r="K457" t="s">
        <v>417</v>
      </c>
      <c r="L457" t="s">
        <v>88</v>
      </c>
      <c r="M457" t="s">
        <v>398</v>
      </c>
      <c r="N457" t="s">
        <v>399</v>
      </c>
    </row>
    <row r="458" spans="2:14" hidden="1" x14ac:dyDescent="0.25">
      <c r="B458" t="s">
        <v>574</v>
      </c>
      <c r="C458" t="s">
        <v>401</v>
      </c>
      <c r="D458" s="3" t="s">
        <v>547</v>
      </c>
      <c r="E458" s="3" t="s">
        <v>464</v>
      </c>
      <c r="F458">
        <v>10</v>
      </c>
      <c r="G458" s="3">
        <f t="shared" si="24"/>
        <v>0.29166666666666669</v>
      </c>
      <c r="H458" s="3">
        <f t="shared" si="25"/>
        <v>2.9166666666666667E-2</v>
      </c>
      <c r="I458" s="1">
        <f t="shared" si="23"/>
        <v>42</v>
      </c>
      <c r="J458" t="s">
        <v>432</v>
      </c>
      <c r="K458" t="s">
        <v>397</v>
      </c>
      <c r="L458" t="s">
        <v>333</v>
      </c>
      <c r="M458" t="s">
        <v>398</v>
      </c>
      <c r="N458" t="s">
        <v>405</v>
      </c>
    </row>
    <row r="459" spans="2:14" hidden="1" x14ac:dyDescent="0.25">
      <c r="C459" t="s">
        <v>401</v>
      </c>
      <c r="D459" s="3" t="s">
        <v>411</v>
      </c>
      <c r="E459" s="3" t="s">
        <v>464</v>
      </c>
      <c r="F459">
        <v>5</v>
      </c>
      <c r="G459" s="3">
        <f t="shared" si="24"/>
        <v>0.45833333333333331</v>
      </c>
      <c r="H459" s="3">
        <f t="shared" si="25"/>
        <v>9.166666666666666E-2</v>
      </c>
      <c r="I459" s="1">
        <f t="shared" si="23"/>
        <v>12</v>
      </c>
      <c r="J459" t="s">
        <v>521</v>
      </c>
      <c r="K459" t="s">
        <v>397</v>
      </c>
      <c r="L459" t="s">
        <v>600</v>
      </c>
      <c r="M459" t="s">
        <v>398</v>
      </c>
      <c r="N459" t="s">
        <v>575</v>
      </c>
    </row>
    <row r="460" spans="2:14" hidden="1" x14ac:dyDescent="0.25">
      <c r="C460" t="s">
        <v>407</v>
      </c>
      <c r="D460" s="3" t="s">
        <v>411</v>
      </c>
      <c r="E460" s="3" t="s">
        <v>464</v>
      </c>
      <c r="F460">
        <v>5</v>
      </c>
      <c r="G460" s="3">
        <f t="shared" si="24"/>
        <v>0.45833333333333331</v>
      </c>
      <c r="H460" s="3">
        <f t="shared" si="25"/>
        <v>9.166666666666666E-2</v>
      </c>
      <c r="I460" s="1">
        <f t="shared" si="23"/>
        <v>12</v>
      </c>
      <c r="J460" t="s">
        <v>521</v>
      </c>
      <c r="K460" t="s">
        <v>397</v>
      </c>
      <c r="L460" t="s">
        <v>600</v>
      </c>
      <c r="M460" t="s">
        <v>398</v>
      </c>
      <c r="N460" t="s">
        <v>575</v>
      </c>
    </row>
    <row r="461" spans="2:14" hidden="1" x14ac:dyDescent="0.25">
      <c r="C461" t="s">
        <v>393</v>
      </c>
      <c r="D461" s="3" t="s">
        <v>411</v>
      </c>
      <c r="E461" s="3" t="s">
        <v>464</v>
      </c>
      <c r="F461">
        <v>5</v>
      </c>
      <c r="G461" s="3">
        <f t="shared" si="24"/>
        <v>0.45833333333333331</v>
      </c>
      <c r="H461" s="3">
        <f t="shared" si="25"/>
        <v>9.166666666666666E-2</v>
      </c>
      <c r="I461" s="1">
        <f t="shared" si="23"/>
        <v>12</v>
      </c>
      <c r="J461" t="s">
        <v>521</v>
      </c>
      <c r="K461" t="s">
        <v>397</v>
      </c>
      <c r="L461" t="s">
        <v>600</v>
      </c>
      <c r="M461" t="s">
        <v>398</v>
      </c>
      <c r="N461" t="s">
        <v>575</v>
      </c>
    </row>
    <row r="462" spans="2:14" hidden="1" x14ac:dyDescent="0.25">
      <c r="C462" t="s">
        <v>406</v>
      </c>
      <c r="D462" s="3" t="s">
        <v>411</v>
      </c>
      <c r="E462" s="3" t="s">
        <v>464</v>
      </c>
      <c r="F462">
        <v>5</v>
      </c>
      <c r="G462" s="3">
        <f t="shared" si="24"/>
        <v>0.45833333333333331</v>
      </c>
      <c r="H462" s="3">
        <f t="shared" si="25"/>
        <v>9.166666666666666E-2</v>
      </c>
      <c r="I462" s="1">
        <f t="shared" si="23"/>
        <v>12</v>
      </c>
      <c r="J462" t="s">
        <v>521</v>
      </c>
      <c r="K462" t="s">
        <v>397</v>
      </c>
      <c r="L462" t="s">
        <v>600</v>
      </c>
      <c r="M462" t="s">
        <v>398</v>
      </c>
      <c r="N462" t="s">
        <v>575</v>
      </c>
    </row>
    <row r="463" spans="2:14" hidden="1" x14ac:dyDescent="0.25">
      <c r="C463" t="s">
        <v>400</v>
      </c>
      <c r="D463" s="3" t="s">
        <v>411</v>
      </c>
      <c r="E463" s="3" t="s">
        <v>464</v>
      </c>
      <c r="F463">
        <v>5</v>
      </c>
      <c r="G463" s="3">
        <f t="shared" si="24"/>
        <v>0.45833333333333331</v>
      </c>
      <c r="H463" s="3">
        <f t="shared" si="25"/>
        <v>9.166666666666666E-2</v>
      </c>
      <c r="I463" s="1">
        <f t="shared" si="23"/>
        <v>12</v>
      </c>
      <c r="J463" t="s">
        <v>521</v>
      </c>
      <c r="K463" t="s">
        <v>397</v>
      </c>
      <c r="L463" t="s">
        <v>600</v>
      </c>
      <c r="M463" t="s">
        <v>398</v>
      </c>
      <c r="N463" t="s">
        <v>575</v>
      </c>
    </row>
    <row r="464" spans="2:14" hidden="1" x14ac:dyDescent="0.25">
      <c r="C464" t="s">
        <v>422</v>
      </c>
      <c r="D464" s="3" t="s">
        <v>411</v>
      </c>
      <c r="E464" s="3" t="s">
        <v>453</v>
      </c>
      <c r="F464">
        <v>5</v>
      </c>
      <c r="G464" s="3">
        <f t="shared" si="24"/>
        <v>0.29166666666666669</v>
      </c>
      <c r="H464" s="3">
        <f t="shared" si="25"/>
        <v>5.8333333333333334E-2</v>
      </c>
      <c r="I464" s="1">
        <f t="shared" si="23"/>
        <v>24</v>
      </c>
      <c r="J464" t="s">
        <v>521</v>
      </c>
      <c r="K464" t="s">
        <v>397</v>
      </c>
      <c r="L464" t="s">
        <v>600</v>
      </c>
      <c r="M464" t="s">
        <v>398</v>
      </c>
      <c r="N464" t="s">
        <v>575</v>
      </c>
    </row>
    <row r="465" spans="2:14" hidden="1" x14ac:dyDescent="0.25">
      <c r="B465" t="s">
        <v>597</v>
      </c>
      <c r="C465" t="s">
        <v>393</v>
      </c>
      <c r="D465" s="3" t="s">
        <v>403</v>
      </c>
      <c r="E465" s="3" t="s">
        <v>441</v>
      </c>
      <c r="F465">
        <v>5</v>
      </c>
      <c r="G465" s="3">
        <f t="shared" si="24"/>
        <v>0.41319444444444448</v>
      </c>
      <c r="H465" s="3">
        <f t="shared" si="25"/>
        <v>8.2638888888888901E-2</v>
      </c>
      <c r="I465" s="1">
        <f t="shared" si="23"/>
        <v>59</v>
      </c>
      <c r="J465" t="s">
        <v>409</v>
      </c>
      <c r="K465" t="s">
        <v>397</v>
      </c>
      <c r="L465" t="s">
        <v>139</v>
      </c>
      <c r="M465" t="s">
        <v>398</v>
      </c>
      <c r="N465" t="s">
        <v>447</v>
      </c>
    </row>
    <row r="466" spans="2:14" hidden="1" x14ac:dyDescent="0.25">
      <c r="B466" t="s">
        <v>537</v>
      </c>
      <c r="C466" t="s">
        <v>401</v>
      </c>
      <c r="D466" s="3" t="s">
        <v>453</v>
      </c>
      <c r="E466" s="3" t="s">
        <v>428</v>
      </c>
      <c r="F466">
        <v>15</v>
      </c>
      <c r="G466" s="3">
        <f t="shared" si="24"/>
        <v>0.14930555555555547</v>
      </c>
      <c r="H466" s="3">
        <f t="shared" si="25"/>
        <v>9.9537037037036973E-3</v>
      </c>
      <c r="I466" s="1">
        <f t="shared" si="23"/>
        <v>14</v>
      </c>
      <c r="J466" t="s">
        <v>429</v>
      </c>
      <c r="K466" t="s">
        <v>417</v>
      </c>
      <c r="L466" t="s">
        <v>109</v>
      </c>
      <c r="M466" t="s">
        <v>398</v>
      </c>
      <c r="N466" t="s">
        <v>399</v>
      </c>
    </row>
    <row r="467" spans="2:14" hidden="1" x14ac:dyDescent="0.25">
      <c r="B467" t="s">
        <v>580</v>
      </c>
      <c r="C467" t="s">
        <v>422</v>
      </c>
      <c r="D467" s="3" t="s">
        <v>403</v>
      </c>
      <c r="E467" s="3" t="s">
        <v>441</v>
      </c>
      <c r="F467">
        <v>5</v>
      </c>
      <c r="G467" s="3">
        <f t="shared" si="24"/>
        <v>0.41319444444444448</v>
      </c>
      <c r="H467" s="3">
        <f t="shared" si="25"/>
        <v>8.2638888888888901E-2</v>
      </c>
      <c r="I467" s="1">
        <f t="shared" si="23"/>
        <v>59</v>
      </c>
      <c r="J467" t="s">
        <v>463</v>
      </c>
      <c r="K467" t="s">
        <v>397</v>
      </c>
      <c r="L467" t="s">
        <v>360</v>
      </c>
      <c r="M467" t="s">
        <v>398</v>
      </c>
      <c r="N467" t="s">
        <v>465</v>
      </c>
    </row>
    <row r="468" spans="2:14" hidden="1" x14ac:dyDescent="0.25">
      <c r="B468" t="s">
        <v>591</v>
      </c>
      <c r="C468" t="s">
        <v>407</v>
      </c>
      <c r="D468" s="3" t="s">
        <v>486</v>
      </c>
      <c r="E468" s="3" t="s">
        <v>426</v>
      </c>
      <c r="F468">
        <v>10</v>
      </c>
      <c r="G468" s="3">
        <f t="shared" si="24"/>
        <v>0.1076388888888889</v>
      </c>
      <c r="H468" s="3">
        <f t="shared" si="25"/>
        <v>1.0763888888888889E-2</v>
      </c>
      <c r="I468" s="1">
        <f t="shared" si="23"/>
        <v>15</v>
      </c>
      <c r="J468" t="s">
        <v>404</v>
      </c>
      <c r="K468" t="s">
        <v>397</v>
      </c>
      <c r="L468" t="s">
        <v>136</v>
      </c>
      <c r="M468" t="s">
        <v>398</v>
      </c>
      <c r="N468" t="s">
        <v>405</v>
      </c>
    </row>
    <row r="469" spans="2:14" hidden="1" x14ac:dyDescent="0.25">
      <c r="C469" t="s">
        <v>401</v>
      </c>
      <c r="D469" s="3" t="s">
        <v>411</v>
      </c>
      <c r="E469" s="3" t="s">
        <v>464</v>
      </c>
      <c r="F469">
        <v>5</v>
      </c>
      <c r="G469" s="3">
        <f t="shared" si="24"/>
        <v>0.45833333333333331</v>
      </c>
      <c r="H469" s="3">
        <f t="shared" si="25"/>
        <v>9.166666666666666E-2</v>
      </c>
      <c r="I469" s="1">
        <f t="shared" si="23"/>
        <v>12</v>
      </c>
      <c r="J469" t="s">
        <v>529</v>
      </c>
      <c r="K469" t="s">
        <v>397</v>
      </c>
      <c r="L469" t="s">
        <v>601</v>
      </c>
      <c r="M469" t="s">
        <v>398</v>
      </c>
      <c r="N469" t="s">
        <v>575</v>
      </c>
    </row>
    <row r="470" spans="2:14" hidden="1" x14ac:dyDescent="0.25">
      <c r="C470" t="s">
        <v>407</v>
      </c>
      <c r="D470" s="3" t="s">
        <v>411</v>
      </c>
      <c r="E470" s="3" t="s">
        <v>464</v>
      </c>
      <c r="F470">
        <v>5</v>
      </c>
      <c r="G470" s="3">
        <f t="shared" si="24"/>
        <v>0.45833333333333331</v>
      </c>
      <c r="H470" s="3">
        <f t="shared" si="25"/>
        <v>9.166666666666666E-2</v>
      </c>
      <c r="I470" s="1">
        <f t="shared" si="23"/>
        <v>12</v>
      </c>
      <c r="J470" t="s">
        <v>529</v>
      </c>
      <c r="K470" t="s">
        <v>397</v>
      </c>
      <c r="L470" t="s">
        <v>601</v>
      </c>
      <c r="M470" t="s">
        <v>398</v>
      </c>
      <c r="N470" t="s">
        <v>575</v>
      </c>
    </row>
    <row r="471" spans="2:14" hidden="1" x14ac:dyDescent="0.25">
      <c r="C471" t="s">
        <v>393</v>
      </c>
      <c r="D471" s="3" t="s">
        <v>411</v>
      </c>
      <c r="E471" s="3" t="s">
        <v>464</v>
      </c>
      <c r="F471">
        <v>5</v>
      </c>
      <c r="G471" s="3">
        <f t="shared" si="24"/>
        <v>0.45833333333333331</v>
      </c>
      <c r="H471" s="3">
        <f t="shared" si="25"/>
        <v>9.166666666666666E-2</v>
      </c>
      <c r="I471" s="1">
        <f t="shared" si="23"/>
        <v>12</v>
      </c>
      <c r="J471" t="s">
        <v>529</v>
      </c>
      <c r="K471" t="s">
        <v>397</v>
      </c>
      <c r="L471" t="s">
        <v>601</v>
      </c>
      <c r="M471" t="s">
        <v>398</v>
      </c>
      <c r="N471" t="s">
        <v>575</v>
      </c>
    </row>
    <row r="472" spans="2:14" hidden="1" x14ac:dyDescent="0.25">
      <c r="C472" t="s">
        <v>406</v>
      </c>
      <c r="D472" s="3" t="s">
        <v>411</v>
      </c>
      <c r="E472" s="3" t="s">
        <v>464</v>
      </c>
      <c r="F472">
        <v>5</v>
      </c>
      <c r="G472" s="3">
        <f t="shared" si="24"/>
        <v>0.45833333333333331</v>
      </c>
      <c r="H472" s="3">
        <f t="shared" si="25"/>
        <v>9.166666666666666E-2</v>
      </c>
      <c r="I472" s="1">
        <f t="shared" si="23"/>
        <v>12</v>
      </c>
      <c r="J472" t="s">
        <v>529</v>
      </c>
      <c r="K472" t="s">
        <v>397</v>
      </c>
      <c r="L472" t="s">
        <v>601</v>
      </c>
      <c r="M472" t="s">
        <v>398</v>
      </c>
      <c r="N472" t="s">
        <v>575</v>
      </c>
    </row>
    <row r="473" spans="2:14" hidden="1" x14ac:dyDescent="0.25">
      <c r="C473" t="s">
        <v>400</v>
      </c>
      <c r="D473" s="3" t="s">
        <v>411</v>
      </c>
      <c r="E473" s="3" t="s">
        <v>464</v>
      </c>
      <c r="F473">
        <v>5</v>
      </c>
      <c r="G473" s="3">
        <f t="shared" si="24"/>
        <v>0.45833333333333331</v>
      </c>
      <c r="H473" s="3">
        <f t="shared" si="25"/>
        <v>9.166666666666666E-2</v>
      </c>
      <c r="I473" s="1">
        <f t="shared" si="23"/>
        <v>12</v>
      </c>
      <c r="J473" t="s">
        <v>529</v>
      </c>
      <c r="K473" t="s">
        <v>397</v>
      </c>
      <c r="L473" t="s">
        <v>601</v>
      </c>
      <c r="M473" t="s">
        <v>398</v>
      </c>
      <c r="N473" t="s">
        <v>575</v>
      </c>
    </row>
    <row r="474" spans="2:14" hidden="1" x14ac:dyDescent="0.25">
      <c r="C474" t="s">
        <v>422</v>
      </c>
      <c r="D474" s="3" t="s">
        <v>411</v>
      </c>
      <c r="E474" s="3" t="s">
        <v>453</v>
      </c>
      <c r="F474">
        <v>5</v>
      </c>
      <c r="G474" s="3">
        <f t="shared" si="24"/>
        <v>0.29166666666666669</v>
      </c>
      <c r="H474" s="3">
        <f t="shared" si="25"/>
        <v>5.8333333333333334E-2</v>
      </c>
      <c r="I474" s="1">
        <f t="shared" si="23"/>
        <v>24</v>
      </c>
      <c r="J474" t="s">
        <v>529</v>
      </c>
      <c r="K474" t="s">
        <v>397</v>
      </c>
      <c r="L474" t="s">
        <v>601</v>
      </c>
      <c r="M474" t="s">
        <v>398</v>
      </c>
      <c r="N474" t="s">
        <v>575</v>
      </c>
    </row>
    <row r="475" spans="2:14" hidden="1" x14ac:dyDescent="0.25">
      <c r="B475" t="s">
        <v>580</v>
      </c>
      <c r="C475" t="s">
        <v>422</v>
      </c>
      <c r="D475" s="3" t="s">
        <v>403</v>
      </c>
      <c r="E475" s="3" t="s">
        <v>441</v>
      </c>
      <c r="F475">
        <v>5</v>
      </c>
      <c r="G475" s="3">
        <f t="shared" si="24"/>
        <v>0.41319444444444448</v>
      </c>
      <c r="H475" s="3">
        <f t="shared" si="25"/>
        <v>8.2638888888888901E-2</v>
      </c>
      <c r="I475" s="1">
        <f t="shared" si="23"/>
        <v>59</v>
      </c>
      <c r="J475" t="s">
        <v>480</v>
      </c>
      <c r="K475" t="s">
        <v>397</v>
      </c>
      <c r="L475" t="s">
        <v>362</v>
      </c>
      <c r="M475" t="s">
        <v>398</v>
      </c>
      <c r="N475" t="s">
        <v>465</v>
      </c>
    </row>
    <row r="476" spans="2:14" hidden="1" x14ac:dyDescent="0.25">
      <c r="B476" t="s">
        <v>591</v>
      </c>
      <c r="C476" t="s">
        <v>407</v>
      </c>
      <c r="D476" s="3" t="s">
        <v>453</v>
      </c>
      <c r="E476" s="3" t="s">
        <v>415</v>
      </c>
      <c r="F476">
        <v>10</v>
      </c>
      <c r="G476" s="3">
        <f t="shared" si="24"/>
        <v>6.944444444444442E-2</v>
      </c>
      <c r="H476" s="3">
        <f t="shared" si="25"/>
        <v>6.9444444444444423E-3</v>
      </c>
      <c r="I476" s="1">
        <f t="shared" si="23"/>
        <v>10</v>
      </c>
      <c r="J476" t="s">
        <v>396</v>
      </c>
      <c r="K476" t="s">
        <v>417</v>
      </c>
      <c r="L476" t="s">
        <v>110</v>
      </c>
      <c r="M476" t="s">
        <v>398</v>
      </c>
      <c r="N476" t="s">
        <v>575</v>
      </c>
    </row>
    <row r="477" spans="2:14" hidden="1" x14ac:dyDescent="0.25">
      <c r="B477" t="s">
        <v>596</v>
      </c>
      <c r="C477" t="s">
        <v>393</v>
      </c>
      <c r="D477" s="3" t="s">
        <v>416</v>
      </c>
      <c r="E477" s="3" t="s">
        <v>492</v>
      </c>
      <c r="F477">
        <v>15</v>
      </c>
      <c r="G477" s="3">
        <f t="shared" si="24"/>
        <v>0.23263888888888884</v>
      </c>
      <c r="H477" s="3">
        <f t="shared" si="25"/>
        <v>1.5509259259259256E-2</v>
      </c>
      <c r="I477" s="1">
        <f t="shared" si="23"/>
        <v>22</v>
      </c>
      <c r="J477" t="s">
        <v>404</v>
      </c>
      <c r="K477" t="s">
        <v>417</v>
      </c>
      <c r="L477" t="s">
        <v>123</v>
      </c>
      <c r="M477" t="s">
        <v>398</v>
      </c>
      <c r="N477" t="s">
        <v>399</v>
      </c>
    </row>
    <row r="478" spans="2:14" hidden="1" x14ac:dyDescent="0.25">
      <c r="B478" t="s">
        <v>597</v>
      </c>
      <c r="C478" t="s">
        <v>393</v>
      </c>
      <c r="D478" s="3" t="s">
        <v>453</v>
      </c>
      <c r="E478" s="3" t="s">
        <v>602</v>
      </c>
      <c r="F478">
        <v>5</v>
      </c>
      <c r="G478" s="3">
        <f t="shared" si="24"/>
        <v>0.24652777777777779</v>
      </c>
      <c r="H478" s="3">
        <f t="shared" si="25"/>
        <v>4.9305555555555561E-2</v>
      </c>
      <c r="I478" s="1">
        <f t="shared" si="23"/>
        <v>11</v>
      </c>
      <c r="J478" t="s">
        <v>468</v>
      </c>
      <c r="K478" t="s">
        <v>417</v>
      </c>
      <c r="L478" t="s">
        <v>363</v>
      </c>
      <c r="M478" t="s">
        <v>398</v>
      </c>
      <c r="N478" t="s">
        <v>465</v>
      </c>
    </row>
    <row r="479" spans="2:14" hidden="1" x14ac:dyDescent="0.25">
      <c r="B479" t="s">
        <v>603</v>
      </c>
      <c r="C479" t="s">
        <v>422</v>
      </c>
      <c r="D479" s="3" t="s">
        <v>411</v>
      </c>
      <c r="E479" s="3" t="s">
        <v>451</v>
      </c>
      <c r="F479">
        <v>10</v>
      </c>
      <c r="G479" s="3">
        <f t="shared" si="24"/>
        <v>0.27430555555555552</v>
      </c>
      <c r="H479" s="3">
        <f t="shared" si="25"/>
        <v>2.7430555555555552E-2</v>
      </c>
      <c r="I479" s="1">
        <f t="shared" si="23"/>
        <v>39</v>
      </c>
      <c r="J479" t="s">
        <v>429</v>
      </c>
      <c r="K479" t="s">
        <v>397</v>
      </c>
      <c r="L479" t="s">
        <v>113</v>
      </c>
      <c r="M479" t="s">
        <v>398</v>
      </c>
      <c r="N479" t="s">
        <v>575</v>
      </c>
    </row>
    <row r="480" spans="2:14" hidden="1" x14ac:dyDescent="0.25">
      <c r="B480" t="s">
        <v>604</v>
      </c>
      <c r="C480" t="s">
        <v>393</v>
      </c>
      <c r="D480" s="3" t="s">
        <v>488</v>
      </c>
      <c r="E480" s="3" t="s">
        <v>492</v>
      </c>
      <c r="F480">
        <v>10</v>
      </c>
      <c r="G480" s="3">
        <f t="shared" si="24"/>
        <v>0.1284722222222221</v>
      </c>
      <c r="H480" s="3">
        <f t="shared" si="25"/>
        <v>1.284722222222221E-2</v>
      </c>
      <c r="I480" s="1">
        <f t="shared" si="23"/>
        <v>18</v>
      </c>
      <c r="J480" t="s">
        <v>458</v>
      </c>
      <c r="K480" t="s">
        <v>417</v>
      </c>
      <c r="L480" t="s">
        <v>113</v>
      </c>
      <c r="M480" t="s">
        <v>398</v>
      </c>
      <c r="N480" t="s">
        <v>399</v>
      </c>
    </row>
    <row r="481" spans="2:14" hidden="1" x14ac:dyDescent="0.25">
      <c r="B481" t="s">
        <v>605</v>
      </c>
      <c r="C481" t="s">
        <v>401</v>
      </c>
      <c r="D481" s="3" t="s">
        <v>469</v>
      </c>
      <c r="E481" s="3" t="s">
        <v>606</v>
      </c>
      <c r="F481">
        <v>10</v>
      </c>
      <c r="G481" s="3">
        <f t="shared" si="24"/>
        <v>0.35763888888888878</v>
      </c>
      <c r="H481" s="3">
        <f t="shared" si="25"/>
        <v>3.576388888888888E-2</v>
      </c>
      <c r="I481" s="1">
        <f t="shared" si="23"/>
        <v>51</v>
      </c>
      <c r="J481" t="s">
        <v>593</v>
      </c>
      <c r="K481" t="s">
        <v>397</v>
      </c>
      <c r="L481" t="s">
        <v>371</v>
      </c>
      <c r="M481" t="s">
        <v>398</v>
      </c>
      <c r="N481" t="s">
        <v>399</v>
      </c>
    </row>
    <row r="482" spans="2:14" hidden="1" x14ac:dyDescent="0.25">
      <c r="B482" t="s">
        <v>607</v>
      </c>
      <c r="C482" t="s">
        <v>401</v>
      </c>
      <c r="D482" s="3" t="s">
        <v>411</v>
      </c>
      <c r="E482" s="3" t="s">
        <v>542</v>
      </c>
      <c r="F482">
        <v>10</v>
      </c>
      <c r="G482" s="3">
        <f t="shared" si="24"/>
        <v>0.45138888888888878</v>
      </c>
      <c r="H482" s="3">
        <f t="shared" si="25"/>
        <v>4.5138888888888881E-2</v>
      </c>
      <c r="I482" s="1">
        <f t="shared" si="23"/>
        <v>5</v>
      </c>
      <c r="J482" t="s">
        <v>508</v>
      </c>
      <c r="K482" t="s">
        <v>397</v>
      </c>
      <c r="L482" t="s">
        <v>366</v>
      </c>
      <c r="M482" t="s">
        <v>398</v>
      </c>
      <c r="N482" t="s">
        <v>575</v>
      </c>
    </row>
    <row r="483" spans="2:14" hidden="1" x14ac:dyDescent="0.25">
      <c r="B483" t="s">
        <v>607</v>
      </c>
      <c r="C483" t="s">
        <v>407</v>
      </c>
      <c r="D483" s="3" t="s">
        <v>411</v>
      </c>
      <c r="E483" s="3" t="s">
        <v>542</v>
      </c>
      <c r="F483">
        <v>10</v>
      </c>
      <c r="G483" s="3">
        <f t="shared" si="24"/>
        <v>0.45138888888888878</v>
      </c>
      <c r="H483" s="3">
        <f t="shared" si="25"/>
        <v>4.5138888888888881E-2</v>
      </c>
      <c r="I483" s="1">
        <f t="shared" si="23"/>
        <v>5</v>
      </c>
      <c r="J483" t="s">
        <v>508</v>
      </c>
      <c r="K483" t="s">
        <v>397</v>
      </c>
      <c r="L483" t="s">
        <v>366</v>
      </c>
      <c r="M483" t="s">
        <v>398</v>
      </c>
      <c r="N483" t="s">
        <v>575</v>
      </c>
    </row>
    <row r="484" spans="2:14" hidden="1" x14ac:dyDescent="0.25">
      <c r="B484" t="s">
        <v>607</v>
      </c>
      <c r="C484" t="s">
        <v>393</v>
      </c>
      <c r="D484" s="3" t="s">
        <v>411</v>
      </c>
      <c r="E484" s="3" t="s">
        <v>542</v>
      </c>
      <c r="F484">
        <v>10</v>
      </c>
      <c r="G484" s="3">
        <f t="shared" si="24"/>
        <v>0.45138888888888878</v>
      </c>
      <c r="H484" s="3">
        <f t="shared" si="25"/>
        <v>4.5138888888888881E-2</v>
      </c>
      <c r="I484" s="1">
        <f t="shared" si="23"/>
        <v>5</v>
      </c>
      <c r="J484" t="s">
        <v>508</v>
      </c>
      <c r="K484" t="s">
        <v>397</v>
      </c>
      <c r="L484" t="s">
        <v>366</v>
      </c>
      <c r="M484" t="s">
        <v>398</v>
      </c>
      <c r="N484" t="s">
        <v>575</v>
      </c>
    </row>
    <row r="485" spans="2:14" hidden="1" x14ac:dyDescent="0.25">
      <c r="B485" t="s">
        <v>607</v>
      </c>
      <c r="C485" t="s">
        <v>406</v>
      </c>
      <c r="D485" s="3" t="s">
        <v>411</v>
      </c>
      <c r="E485" s="3" t="s">
        <v>542</v>
      </c>
      <c r="F485">
        <v>10</v>
      </c>
      <c r="G485" s="3">
        <f t="shared" si="24"/>
        <v>0.45138888888888878</v>
      </c>
      <c r="H485" s="3">
        <f t="shared" si="25"/>
        <v>4.5138888888888881E-2</v>
      </c>
      <c r="I485" s="1">
        <f t="shared" si="23"/>
        <v>5</v>
      </c>
      <c r="J485" t="s">
        <v>508</v>
      </c>
      <c r="K485" t="s">
        <v>397</v>
      </c>
      <c r="L485" t="s">
        <v>366</v>
      </c>
      <c r="M485" t="s">
        <v>398</v>
      </c>
      <c r="N485" t="s">
        <v>575</v>
      </c>
    </row>
    <row r="486" spans="2:14" hidden="1" x14ac:dyDescent="0.25">
      <c r="B486" t="s">
        <v>607</v>
      </c>
      <c r="C486" t="s">
        <v>400</v>
      </c>
      <c r="D486" s="3" t="s">
        <v>411</v>
      </c>
      <c r="E486" s="3" t="s">
        <v>542</v>
      </c>
      <c r="F486">
        <v>10</v>
      </c>
      <c r="G486" s="3">
        <f t="shared" si="24"/>
        <v>0.45138888888888878</v>
      </c>
      <c r="H486" s="3">
        <f t="shared" si="25"/>
        <v>4.5138888888888881E-2</v>
      </c>
      <c r="I486" s="1">
        <f t="shared" si="23"/>
        <v>5</v>
      </c>
      <c r="J486" t="s">
        <v>508</v>
      </c>
      <c r="K486" t="s">
        <v>397</v>
      </c>
      <c r="L486" t="s">
        <v>366</v>
      </c>
      <c r="M486" t="s">
        <v>398</v>
      </c>
      <c r="N486" t="s">
        <v>575</v>
      </c>
    </row>
    <row r="487" spans="2:14" hidden="1" x14ac:dyDescent="0.25">
      <c r="B487" t="s">
        <v>608</v>
      </c>
      <c r="C487" t="s">
        <v>422</v>
      </c>
      <c r="D487" s="3" t="s">
        <v>411</v>
      </c>
      <c r="E487" s="3" t="s">
        <v>569</v>
      </c>
      <c r="F487">
        <v>10</v>
      </c>
      <c r="G487" s="3">
        <f t="shared" si="24"/>
        <v>0.28472222222222227</v>
      </c>
      <c r="H487" s="3">
        <f t="shared" si="25"/>
        <v>2.8472222222222225E-2</v>
      </c>
      <c r="I487" s="1">
        <f t="shared" si="23"/>
        <v>41</v>
      </c>
      <c r="J487" t="s">
        <v>508</v>
      </c>
      <c r="K487" t="s">
        <v>397</v>
      </c>
      <c r="L487" t="s">
        <v>366</v>
      </c>
      <c r="M487" t="s">
        <v>398</v>
      </c>
      <c r="N487" t="s">
        <v>575</v>
      </c>
    </row>
    <row r="488" spans="2:14" hidden="1" x14ac:dyDescent="0.25">
      <c r="B488" t="s">
        <v>607</v>
      </c>
      <c r="C488" t="s">
        <v>401</v>
      </c>
      <c r="D488" s="3" t="s">
        <v>403</v>
      </c>
      <c r="E488" s="3" t="s">
        <v>609</v>
      </c>
      <c r="F488">
        <v>10</v>
      </c>
      <c r="G488" s="3">
        <f t="shared" si="24"/>
        <v>1.3194444444444453E-2</v>
      </c>
      <c r="H488" s="3">
        <f t="shared" si="25"/>
        <v>1.3194444444444454E-3</v>
      </c>
      <c r="I488" s="1">
        <f t="shared" si="23"/>
        <v>1</v>
      </c>
      <c r="J488" t="s">
        <v>552</v>
      </c>
      <c r="K488" t="s">
        <v>397</v>
      </c>
      <c r="L488" t="s">
        <v>364</v>
      </c>
      <c r="M488" t="s">
        <v>398</v>
      </c>
      <c r="N488" t="s">
        <v>575</v>
      </c>
    </row>
    <row r="489" spans="2:14" hidden="1" x14ac:dyDescent="0.25">
      <c r="B489" t="s">
        <v>610</v>
      </c>
      <c r="C489" t="s">
        <v>407</v>
      </c>
      <c r="D489" s="3" t="s">
        <v>419</v>
      </c>
      <c r="E489" s="3" t="s">
        <v>611</v>
      </c>
      <c r="F489">
        <v>20</v>
      </c>
      <c r="G489" s="3">
        <f t="shared" si="24"/>
        <v>1.3194444444444453E-2</v>
      </c>
      <c r="H489" s="3">
        <f t="shared" si="25"/>
        <v>6.5972222222222268E-4</v>
      </c>
      <c r="I489" s="1">
        <f t="shared" si="23"/>
        <v>0</v>
      </c>
      <c r="J489" t="s">
        <v>552</v>
      </c>
      <c r="K489" t="s">
        <v>397</v>
      </c>
      <c r="L489" t="s">
        <v>364</v>
      </c>
      <c r="M489" t="s">
        <v>398</v>
      </c>
      <c r="N489" t="s">
        <v>575</v>
      </c>
    </row>
    <row r="490" spans="2:14" hidden="1" x14ac:dyDescent="0.25">
      <c r="C490" t="s">
        <v>393</v>
      </c>
      <c r="D490" s="3" t="s">
        <v>486</v>
      </c>
      <c r="E490" s="3" t="s">
        <v>612</v>
      </c>
      <c r="F490">
        <v>10</v>
      </c>
      <c r="G490" s="3">
        <f t="shared" si="24"/>
        <v>1.3194444444444398E-2</v>
      </c>
      <c r="H490" s="3">
        <f t="shared" si="25"/>
        <v>1.3194444444444397E-3</v>
      </c>
      <c r="I490" s="1">
        <f t="shared" si="23"/>
        <v>1</v>
      </c>
      <c r="J490" t="s">
        <v>552</v>
      </c>
      <c r="K490" t="s">
        <v>397</v>
      </c>
      <c r="L490" t="s">
        <v>364</v>
      </c>
      <c r="M490" t="s">
        <v>398</v>
      </c>
      <c r="N490" t="s">
        <v>575</v>
      </c>
    </row>
    <row r="491" spans="2:14" hidden="1" x14ac:dyDescent="0.25">
      <c r="C491" t="s">
        <v>406</v>
      </c>
      <c r="D491" s="3" t="s">
        <v>547</v>
      </c>
      <c r="E491" s="3" t="s">
        <v>613</v>
      </c>
      <c r="F491">
        <v>10</v>
      </c>
      <c r="G491" s="3">
        <f t="shared" si="24"/>
        <v>1.3194444444444453E-2</v>
      </c>
      <c r="H491" s="3">
        <f t="shared" si="25"/>
        <v>1.3194444444444454E-3</v>
      </c>
      <c r="I491" s="1">
        <f t="shared" si="23"/>
        <v>1</v>
      </c>
      <c r="J491" t="s">
        <v>552</v>
      </c>
      <c r="K491" t="s">
        <v>397</v>
      </c>
      <c r="L491" t="s">
        <v>364</v>
      </c>
      <c r="M491" t="s">
        <v>398</v>
      </c>
      <c r="N491" t="s">
        <v>575</v>
      </c>
    </row>
    <row r="492" spans="2:14" hidden="1" x14ac:dyDescent="0.25">
      <c r="C492" t="s">
        <v>400</v>
      </c>
      <c r="D492" s="3" t="s">
        <v>445</v>
      </c>
      <c r="E492" s="3" t="s">
        <v>614</v>
      </c>
      <c r="F492">
        <v>10</v>
      </c>
      <c r="G492" s="3">
        <f t="shared" si="24"/>
        <v>1.3194444444444398E-2</v>
      </c>
      <c r="H492" s="3">
        <f t="shared" si="25"/>
        <v>1.3194444444444397E-3</v>
      </c>
      <c r="I492" s="1">
        <f t="shared" si="23"/>
        <v>1</v>
      </c>
      <c r="J492" t="s">
        <v>552</v>
      </c>
      <c r="K492" t="s">
        <v>417</v>
      </c>
      <c r="L492" t="s">
        <v>364</v>
      </c>
      <c r="M492" t="s">
        <v>398</v>
      </c>
      <c r="N492" t="s">
        <v>575</v>
      </c>
    </row>
    <row r="493" spans="2:14" hidden="1" x14ac:dyDescent="0.25">
      <c r="B493" t="s">
        <v>607</v>
      </c>
      <c r="C493" t="s">
        <v>401</v>
      </c>
      <c r="D493" s="3" t="s">
        <v>403</v>
      </c>
      <c r="E493" s="3" t="s">
        <v>609</v>
      </c>
      <c r="F493">
        <v>20</v>
      </c>
      <c r="G493" s="3">
        <f t="shared" si="24"/>
        <v>1.3194444444444453E-2</v>
      </c>
      <c r="H493" s="3">
        <f t="shared" si="25"/>
        <v>6.5972222222222268E-4</v>
      </c>
      <c r="I493" s="1">
        <f t="shared" si="23"/>
        <v>0</v>
      </c>
      <c r="J493" t="s">
        <v>552</v>
      </c>
      <c r="K493" t="s">
        <v>397</v>
      </c>
      <c r="L493" t="s">
        <v>365</v>
      </c>
      <c r="M493" t="s">
        <v>398</v>
      </c>
      <c r="N493" t="s">
        <v>575</v>
      </c>
    </row>
    <row r="494" spans="2:14" hidden="1" x14ac:dyDescent="0.25">
      <c r="B494" t="s">
        <v>610</v>
      </c>
      <c r="C494" t="s">
        <v>407</v>
      </c>
      <c r="D494" s="3" t="s">
        <v>419</v>
      </c>
      <c r="E494" s="3" t="s">
        <v>611</v>
      </c>
      <c r="F494">
        <v>20</v>
      </c>
      <c r="G494" s="3">
        <f t="shared" si="24"/>
        <v>1.3194444444444453E-2</v>
      </c>
      <c r="H494" s="3">
        <f t="shared" si="25"/>
        <v>6.5972222222222268E-4</v>
      </c>
      <c r="I494" s="1">
        <f t="shared" si="23"/>
        <v>0</v>
      </c>
      <c r="J494" t="s">
        <v>552</v>
      </c>
      <c r="K494" t="s">
        <v>397</v>
      </c>
      <c r="L494" t="s">
        <v>365</v>
      </c>
      <c r="M494" t="s">
        <v>398</v>
      </c>
      <c r="N494" t="s">
        <v>575</v>
      </c>
    </row>
    <row r="495" spans="2:14" hidden="1" x14ac:dyDescent="0.25">
      <c r="C495" t="s">
        <v>393</v>
      </c>
      <c r="D495" s="3" t="s">
        <v>486</v>
      </c>
      <c r="E495" s="3" t="s">
        <v>612</v>
      </c>
      <c r="F495">
        <v>20</v>
      </c>
      <c r="G495" s="3">
        <f t="shared" si="24"/>
        <v>1.3194444444444398E-2</v>
      </c>
      <c r="H495" s="3">
        <f t="shared" si="25"/>
        <v>6.5972222222221986E-4</v>
      </c>
      <c r="I495" s="1">
        <f t="shared" si="23"/>
        <v>0</v>
      </c>
      <c r="J495" t="s">
        <v>552</v>
      </c>
      <c r="K495" t="s">
        <v>397</v>
      </c>
      <c r="L495" t="s">
        <v>365</v>
      </c>
      <c r="M495" t="s">
        <v>398</v>
      </c>
      <c r="N495" t="s">
        <v>575</v>
      </c>
    </row>
    <row r="496" spans="2:14" hidden="1" x14ac:dyDescent="0.25">
      <c r="C496" t="s">
        <v>406</v>
      </c>
      <c r="D496" s="3" t="s">
        <v>547</v>
      </c>
      <c r="E496" s="3" t="s">
        <v>613</v>
      </c>
      <c r="F496">
        <v>20</v>
      </c>
      <c r="G496" s="3">
        <f t="shared" si="24"/>
        <v>1.3194444444444453E-2</v>
      </c>
      <c r="H496" s="3">
        <f t="shared" si="25"/>
        <v>6.5972222222222268E-4</v>
      </c>
      <c r="I496" s="1">
        <f t="shared" si="23"/>
        <v>0</v>
      </c>
      <c r="J496" t="s">
        <v>552</v>
      </c>
      <c r="K496" t="s">
        <v>397</v>
      </c>
      <c r="L496" t="s">
        <v>365</v>
      </c>
      <c r="M496" t="s">
        <v>398</v>
      </c>
      <c r="N496" t="s">
        <v>575</v>
      </c>
    </row>
    <row r="497" spans="2:14" hidden="1" x14ac:dyDescent="0.25">
      <c r="C497" t="s">
        <v>400</v>
      </c>
      <c r="D497" s="3" t="s">
        <v>445</v>
      </c>
      <c r="E497" s="3" t="s">
        <v>614</v>
      </c>
      <c r="F497">
        <v>20</v>
      </c>
      <c r="G497" s="3">
        <f t="shared" si="24"/>
        <v>1.3194444444444398E-2</v>
      </c>
      <c r="H497" s="3">
        <f t="shared" si="25"/>
        <v>6.5972222222221986E-4</v>
      </c>
      <c r="I497" s="1">
        <f t="shared" si="23"/>
        <v>0</v>
      </c>
      <c r="J497" t="s">
        <v>552</v>
      </c>
      <c r="K497" t="s">
        <v>417</v>
      </c>
      <c r="L497" t="s">
        <v>365</v>
      </c>
      <c r="M497" t="s">
        <v>398</v>
      </c>
      <c r="N497" t="s">
        <v>575</v>
      </c>
    </row>
    <row r="498" spans="2:14" hidden="1" x14ac:dyDescent="0.25">
      <c r="B498" t="s">
        <v>615</v>
      </c>
      <c r="C498" t="s">
        <v>491</v>
      </c>
      <c r="D498" s="3" t="s">
        <v>403</v>
      </c>
      <c r="E498" s="3" t="s">
        <v>438</v>
      </c>
      <c r="F498">
        <v>5</v>
      </c>
      <c r="G498" s="3">
        <f t="shared" si="24"/>
        <v>0.37152777777777785</v>
      </c>
      <c r="H498" s="3">
        <f t="shared" si="25"/>
        <v>7.4305555555555569E-2</v>
      </c>
      <c r="I498" s="1">
        <f t="shared" si="23"/>
        <v>47</v>
      </c>
      <c r="J498" t="s">
        <v>463</v>
      </c>
      <c r="K498" t="s">
        <v>397</v>
      </c>
      <c r="L498" t="s">
        <v>97</v>
      </c>
      <c r="M498" t="s">
        <v>398</v>
      </c>
      <c r="N498" t="s">
        <v>465</v>
      </c>
    </row>
    <row r="499" spans="2:14" hidden="1" x14ac:dyDescent="0.25">
      <c r="B499" t="s">
        <v>616</v>
      </c>
      <c r="C499" t="s">
        <v>422</v>
      </c>
      <c r="D499" s="3" t="s">
        <v>403</v>
      </c>
      <c r="E499" s="3" t="s">
        <v>424</v>
      </c>
      <c r="F499">
        <v>20</v>
      </c>
      <c r="G499" s="3">
        <f t="shared" si="24"/>
        <v>0.2361111111111111</v>
      </c>
      <c r="H499" s="3">
        <f t="shared" si="25"/>
        <v>1.1805555555555555E-2</v>
      </c>
      <c r="I499" s="1">
        <f t="shared" si="23"/>
        <v>17</v>
      </c>
      <c r="J499" t="s">
        <v>396</v>
      </c>
      <c r="K499" t="s">
        <v>397</v>
      </c>
      <c r="L499" t="s">
        <v>355</v>
      </c>
      <c r="M499" t="s">
        <v>398</v>
      </c>
      <c r="N499" t="s">
        <v>405</v>
      </c>
    </row>
    <row r="500" spans="2:14" hidden="1" x14ac:dyDescent="0.25">
      <c r="B500" t="s">
        <v>605</v>
      </c>
      <c r="C500" t="s">
        <v>401</v>
      </c>
      <c r="D500" s="3" t="s">
        <v>411</v>
      </c>
      <c r="E500" s="3" t="s">
        <v>410</v>
      </c>
      <c r="F500">
        <v>10</v>
      </c>
      <c r="G500" s="3">
        <f t="shared" si="24"/>
        <v>0.14930555555555558</v>
      </c>
      <c r="H500" s="3">
        <f t="shared" si="25"/>
        <v>1.4930555555555558E-2</v>
      </c>
      <c r="I500" s="1">
        <f t="shared" si="23"/>
        <v>21</v>
      </c>
      <c r="J500" t="s">
        <v>429</v>
      </c>
      <c r="K500" t="s">
        <v>397</v>
      </c>
      <c r="L500" t="s">
        <v>103</v>
      </c>
      <c r="M500" t="s">
        <v>398</v>
      </c>
      <c r="N500" t="s">
        <v>405</v>
      </c>
    </row>
    <row r="501" spans="2:14" hidden="1" x14ac:dyDescent="0.25">
      <c r="B501" t="s">
        <v>617</v>
      </c>
      <c r="C501" t="s">
        <v>407</v>
      </c>
      <c r="D501" s="3" t="s">
        <v>416</v>
      </c>
      <c r="E501" s="3" t="s">
        <v>431</v>
      </c>
      <c r="F501">
        <v>15</v>
      </c>
      <c r="G501" s="3">
        <f t="shared" si="24"/>
        <v>0.14930555555555558</v>
      </c>
      <c r="H501" s="3">
        <f t="shared" si="25"/>
        <v>9.9537037037037059E-3</v>
      </c>
      <c r="I501" s="1">
        <f t="shared" si="23"/>
        <v>14</v>
      </c>
      <c r="J501" t="s">
        <v>404</v>
      </c>
      <c r="K501" t="s">
        <v>417</v>
      </c>
      <c r="L501" t="s">
        <v>318</v>
      </c>
      <c r="M501" t="s">
        <v>398</v>
      </c>
      <c r="N501" t="s">
        <v>399</v>
      </c>
    </row>
    <row r="502" spans="2:14" hidden="1" x14ac:dyDescent="0.25">
      <c r="B502" t="s">
        <v>618</v>
      </c>
      <c r="C502" t="s">
        <v>406</v>
      </c>
      <c r="D502" s="3" t="s">
        <v>619</v>
      </c>
      <c r="E502" s="3" t="s">
        <v>472</v>
      </c>
      <c r="F502">
        <v>10</v>
      </c>
      <c r="G502" s="3">
        <f t="shared" si="24"/>
        <v>0.1284722222222221</v>
      </c>
      <c r="H502" s="3">
        <f t="shared" si="25"/>
        <v>1.284722222222221E-2</v>
      </c>
      <c r="I502" s="1">
        <f t="shared" si="23"/>
        <v>18</v>
      </c>
      <c r="J502" t="s">
        <v>480</v>
      </c>
      <c r="K502" t="s">
        <v>483</v>
      </c>
      <c r="L502" t="s">
        <v>113</v>
      </c>
      <c r="M502" t="s">
        <v>398</v>
      </c>
      <c r="N502" t="s">
        <v>465</v>
      </c>
    </row>
    <row r="503" spans="2:14" hidden="1" x14ac:dyDescent="0.25">
      <c r="B503" t="s">
        <v>605</v>
      </c>
      <c r="C503" t="s">
        <v>401</v>
      </c>
      <c r="D503" s="3" t="s">
        <v>620</v>
      </c>
      <c r="E503" s="3" t="s">
        <v>410</v>
      </c>
      <c r="F503">
        <v>5</v>
      </c>
      <c r="G503" s="3">
        <f t="shared" si="24"/>
        <v>7.6388888888888951E-2</v>
      </c>
      <c r="H503" s="3">
        <f t="shared" si="25"/>
        <v>1.5277777777777789E-2</v>
      </c>
      <c r="I503" s="1">
        <f t="shared" si="23"/>
        <v>22</v>
      </c>
      <c r="J503" t="s">
        <v>458</v>
      </c>
      <c r="K503" t="s">
        <v>397</v>
      </c>
      <c r="L503" t="s">
        <v>343</v>
      </c>
      <c r="M503" t="s">
        <v>398</v>
      </c>
      <c r="N503" t="s">
        <v>399</v>
      </c>
    </row>
    <row r="504" spans="2:14" hidden="1" x14ac:dyDescent="0.25">
      <c r="C504" t="s">
        <v>401</v>
      </c>
      <c r="D504" s="3" t="s">
        <v>411</v>
      </c>
      <c r="E504" s="3" t="s">
        <v>482</v>
      </c>
      <c r="F504">
        <v>30</v>
      </c>
      <c r="G504" s="3">
        <f t="shared" si="24"/>
        <v>0.49999999999999994</v>
      </c>
      <c r="H504" s="3">
        <f t="shared" si="25"/>
        <v>1.6666666666666666E-2</v>
      </c>
      <c r="I504" s="1">
        <f t="shared" si="23"/>
        <v>24</v>
      </c>
      <c r="J504" t="s">
        <v>427</v>
      </c>
      <c r="K504" t="s">
        <v>397</v>
      </c>
      <c r="L504" t="s">
        <v>621</v>
      </c>
      <c r="M504" t="s">
        <v>398</v>
      </c>
      <c r="N504" t="s">
        <v>399</v>
      </c>
    </row>
    <row r="505" spans="2:14" hidden="1" x14ac:dyDescent="0.25">
      <c r="C505" t="s">
        <v>407</v>
      </c>
      <c r="D505" s="3" t="s">
        <v>411</v>
      </c>
      <c r="E505" s="3" t="s">
        <v>482</v>
      </c>
      <c r="F505">
        <v>30</v>
      </c>
      <c r="G505" s="3">
        <f t="shared" si="24"/>
        <v>0.49999999999999994</v>
      </c>
      <c r="H505" s="3">
        <f t="shared" si="25"/>
        <v>1.6666666666666666E-2</v>
      </c>
      <c r="I505" s="1">
        <f t="shared" si="23"/>
        <v>24</v>
      </c>
      <c r="J505" t="s">
        <v>427</v>
      </c>
      <c r="K505" t="s">
        <v>397</v>
      </c>
      <c r="L505" t="s">
        <v>621</v>
      </c>
      <c r="M505" t="s">
        <v>398</v>
      </c>
      <c r="N505" t="s">
        <v>399</v>
      </c>
    </row>
    <row r="506" spans="2:14" hidden="1" x14ac:dyDescent="0.25">
      <c r="C506" t="s">
        <v>393</v>
      </c>
      <c r="D506" s="3" t="s">
        <v>411</v>
      </c>
      <c r="E506" s="3" t="s">
        <v>482</v>
      </c>
      <c r="F506">
        <v>30</v>
      </c>
      <c r="G506" s="3">
        <f t="shared" si="24"/>
        <v>0.49999999999999994</v>
      </c>
      <c r="H506" s="3">
        <f t="shared" si="25"/>
        <v>1.6666666666666666E-2</v>
      </c>
      <c r="I506" s="1">
        <f t="shared" si="23"/>
        <v>24</v>
      </c>
      <c r="J506" t="s">
        <v>427</v>
      </c>
      <c r="K506" t="s">
        <v>397</v>
      </c>
      <c r="L506" t="s">
        <v>621</v>
      </c>
      <c r="M506" t="s">
        <v>398</v>
      </c>
      <c r="N506" t="s">
        <v>399</v>
      </c>
    </row>
    <row r="507" spans="2:14" hidden="1" x14ac:dyDescent="0.25">
      <c r="C507" t="s">
        <v>406</v>
      </c>
      <c r="D507" s="3" t="s">
        <v>411</v>
      </c>
      <c r="E507" s="3" t="s">
        <v>482</v>
      </c>
      <c r="F507">
        <v>30</v>
      </c>
      <c r="G507" s="3">
        <f t="shared" si="24"/>
        <v>0.49999999999999994</v>
      </c>
      <c r="H507" s="3">
        <f t="shared" si="25"/>
        <v>1.6666666666666666E-2</v>
      </c>
      <c r="I507" s="1">
        <f t="shared" si="23"/>
        <v>24</v>
      </c>
      <c r="J507" t="s">
        <v>427</v>
      </c>
      <c r="K507" t="s">
        <v>397</v>
      </c>
      <c r="L507" t="s">
        <v>621</v>
      </c>
      <c r="M507" t="s">
        <v>398</v>
      </c>
      <c r="N507" t="s">
        <v>399</v>
      </c>
    </row>
    <row r="508" spans="2:14" hidden="1" x14ac:dyDescent="0.25">
      <c r="C508" t="s">
        <v>400</v>
      </c>
      <c r="D508" s="3" t="s">
        <v>411</v>
      </c>
      <c r="E508" s="3" t="s">
        <v>482</v>
      </c>
      <c r="F508">
        <v>30</v>
      </c>
      <c r="G508" s="3">
        <f t="shared" si="24"/>
        <v>0.49999999999999994</v>
      </c>
      <c r="H508" s="3">
        <f t="shared" si="25"/>
        <v>1.6666666666666666E-2</v>
      </c>
      <c r="I508" s="1">
        <f t="shared" si="23"/>
        <v>24</v>
      </c>
      <c r="J508" t="s">
        <v>427</v>
      </c>
      <c r="K508" t="s">
        <v>397</v>
      </c>
      <c r="L508" t="s">
        <v>621</v>
      </c>
      <c r="M508" t="s">
        <v>398</v>
      </c>
      <c r="N508" t="s">
        <v>399</v>
      </c>
    </row>
    <row r="509" spans="2:14" hidden="1" x14ac:dyDescent="0.25">
      <c r="C509" t="s">
        <v>422</v>
      </c>
      <c r="D509" s="3" t="s">
        <v>411</v>
      </c>
      <c r="E509" s="3" t="s">
        <v>453</v>
      </c>
      <c r="F509">
        <v>30</v>
      </c>
      <c r="G509" s="3">
        <f t="shared" si="24"/>
        <v>0.29166666666666669</v>
      </c>
      <c r="H509" s="3">
        <f t="shared" si="25"/>
        <v>9.7222222222222224E-3</v>
      </c>
      <c r="I509" s="1">
        <f t="shared" si="23"/>
        <v>14</v>
      </c>
      <c r="J509" t="s">
        <v>427</v>
      </c>
      <c r="K509" t="s">
        <v>397</v>
      </c>
      <c r="L509" t="s">
        <v>621</v>
      </c>
      <c r="M509" t="s">
        <v>398</v>
      </c>
      <c r="N509" t="s">
        <v>399</v>
      </c>
    </row>
    <row r="510" spans="2:14" hidden="1" x14ac:dyDescent="0.25">
      <c r="B510" t="s">
        <v>622</v>
      </c>
      <c r="C510" t="s">
        <v>393</v>
      </c>
      <c r="D510" s="3" t="s">
        <v>486</v>
      </c>
      <c r="E510" s="3" t="s">
        <v>443</v>
      </c>
      <c r="F510">
        <v>5</v>
      </c>
      <c r="G510" s="3">
        <f t="shared" si="24"/>
        <v>0.12152777777777773</v>
      </c>
      <c r="H510" s="3">
        <f t="shared" si="25"/>
        <v>2.4305555555555546E-2</v>
      </c>
      <c r="I510" s="1">
        <f t="shared" si="23"/>
        <v>35</v>
      </c>
      <c r="J510" t="s">
        <v>396</v>
      </c>
      <c r="K510" t="s">
        <v>397</v>
      </c>
      <c r="L510" t="s">
        <v>143</v>
      </c>
      <c r="M510" t="s">
        <v>398</v>
      </c>
      <c r="N510" t="s">
        <v>575</v>
      </c>
    </row>
    <row r="511" spans="2:14" hidden="1" x14ac:dyDescent="0.25">
      <c r="B511" t="s">
        <v>622</v>
      </c>
      <c r="C511" t="s">
        <v>393</v>
      </c>
      <c r="D511" s="3" t="s">
        <v>486</v>
      </c>
      <c r="E511" s="3" t="s">
        <v>426</v>
      </c>
      <c r="F511">
        <v>15</v>
      </c>
      <c r="G511" s="3">
        <f t="shared" si="24"/>
        <v>0.1076388888888889</v>
      </c>
      <c r="H511" s="3">
        <f t="shared" si="25"/>
        <v>7.1759259259259267E-3</v>
      </c>
      <c r="I511" s="1">
        <f t="shared" si="23"/>
        <v>10</v>
      </c>
      <c r="J511" t="s">
        <v>458</v>
      </c>
      <c r="K511" t="s">
        <v>397</v>
      </c>
      <c r="L511" t="s">
        <v>133</v>
      </c>
      <c r="M511" t="s">
        <v>398</v>
      </c>
      <c r="N511" t="s">
        <v>575</v>
      </c>
    </row>
    <row r="512" spans="2:14" hidden="1" x14ac:dyDescent="0.25">
      <c r="C512" t="s">
        <v>401</v>
      </c>
      <c r="D512" s="3" t="s">
        <v>411</v>
      </c>
      <c r="E512" s="3" t="s">
        <v>479</v>
      </c>
      <c r="F512">
        <v>15</v>
      </c>
      <c r="G512" s="3">
        <f t="shared" si="24"/>
        <v>0.41666666666666669</v>
      </c>
      <c r="H512" s="3">
        <f t="shared" si="25"/>
        <v>2.777777777777778E-2</v>
      </c>
      <c r="I512" s="1">
        <f t="shared" si="23"/>
        <v>40</v>
      </c>
      <c r="J512" t="s">
        <v>586</v>
      </c>
      <c r="K512" t="s">
        <v>397</v>
      </c>
      <c r="L512" t="s">
        <v>623</v>
      </c>
      <c r="M512" t="s">
        <v>398</v>
      </c>
      <c r="N512" t="s">
        <v>352</v>
      </c>
    </row>
    <row r="513" spans="3:14" hidden="1" x14ac:dyDescent="0.25">
      <c r="C513" t="s">
        <v>407</v>
      </c>
      <c r="D513" s="3" t="s">
        <v>411</v>
      </c>
      <c r="E513" s="3" t="s">
        <v>479</v>
      </c>
      <c r="F513">
        <v>15</v>
      </c>
      <c r="G513" s="3">
        <f t="shared" si="24"/>
        <v>0.41666666666666669</v>
      </c>
      <c r="H513" s="3">
        <f t="shared" si="25"/>
        <v>2.777777777777778E-2</v>
      </c>
      <c r="I513" s="1">
        <f t="shared" si="23"/>
        <v>40</v>
      </c>
      <c r="J513" t="s">
        <v>586</v>
      </c>
      <c r="K513" t="s">
        <v>397</v>
      </c>
      <c r="L513" t="s">
        <v>623</v>
      </c>
      <c r="M513" t="s">
        <v>398</v>
      </c>
      <c r="N513" t="s">
        <v>352</v>
      </c>
    </row>
    <row r="514" spans="3:14" hidden="1" x14ac:dyDescent="0.25">
      <c r="C514" t="s">
        <v>393</v>
      </c>
      <c r="D514" s="3" t="s">
        <v>411</v>
      </c>
      <c r="E514" s="3" t="s">
        <v>479</v>
      </c>
      <c r="F514">
        <v>15</v>
      </c>
      <c r="G514" s="3">
        <f t="shared" si="24"/>
        <v>0.41666666666666669</v>
      </c>
      <c r="H514" s="3">
        <f t="shared" si="25"/>
        <v>2.777777777777778E-2</v>
      </c>
      <c r="I514" s="1">
        <f t="shared" si="23"/>
        <v>40</v>
      </c>
      <c r="J514" t="s">
        <v>586</v>
      </c>
      <c r="K514" t="s">
        <v>397</v>
      </c>
      <c r="L514" t="s">
        <v>623</v>
      </c>
      <c r="M514" t="s">
        <v>398</v>
      </c>
      <c r="N514" t="s">
        <v>352</v>
      </c>
    </row>
    <row r="515" spans="3:14" hidden="1" x14ac:dyDescent="0.25">
      <c r="C515" t="s">
        <v>406</v>
      </c>
      <c r="D515" s="3" t="s">
        <v>411</v>
      </c>
      <c r="E515" s="3" t="s">
        <v>479</v>
      </c>
      <c r="F515">
        <v>15</v>
      </c>
      <c r="G515" s="3">
        <f t="shared" si="24"/>
        <v>0.41666666666666669</v>
      </c>
      <c r="H515" s="3">
        <f t="shared" si="25"/>
        <v>2.777777777777778E-2</v>
      </c>
      <c r="I515" s="1">
        <f t="shared" ref="I515:I578" si="26">MINUTE(H515)</f>
        <v>40</v>
      </c>
      <c r="J515" t="s">
        <v>586</v>
      </c>
      <c r="K515" t="s">
        <v>397</v>
      </c>
      <c r="L515" t="s">
        <v>623</v>
      </c>
      <c r="M515" t="s">
        <v>398</v>
      </c>
      <c r="N515" t="s">
        <v>352</v>
      </c>
    </row>
    <row r="516" spans="3:14" hidden="1" x14ac:dyDescent="0.25">
      <c r="C516" t="s">
        <v>400</v>
      </c>
      <c r="D516" s="3" t="s">
        <v>411</v>
      </c>
      <c r="E516" s="3" t="s">
        <v>479</v>
      </c>
      <c r="F516">
        <v>15</v>
      </c>
      <c r="G516" s="3">
        <f t="shared" ref="G516:G579" si="27">(E516-D516)</f>
        <v>0.41666666666666669</v>
      </c>
      <c r="H516" s="3">
        <f t="shared" ref="H516:H579" si="28">G516/F516</f>
        <v>2.777777777777778E-2</v>
      </c>
      <c r="I516" s="1">
        <f t="shared" si="26"/>
        <v>40</v>
      </c>
      <c r="J516" t="s">
        <v>586</v>
      </c>
      <c r="K516" t="s">
        <v>397</v>
      </c>
      <c r="L516" t="s">
        <v>623</v>
      </c>
      <c r="M516" t="s">
        <v>398</v>
      </c>
      <c r="N516" t="s">
        <v>352</v>
      </c>
    </row>
    <row r="517" spans="3:14" hidden="1" x14ac:dyDescent="0.25">
      <c r="C517" t="s">
        <v>422</v>
      </c>
      <c r="D517" s="3" t="s">
        <v>411</v>
      </c>
      <c r="E517" s="3" t="s">
        <v>479</v>
      </c>
      <c r="F517">
        <v>15</v>
      </c>
      <c r="G517" s="3">
        <f t="shared" si="27"/>
        <v>0.41666666666666669</v>
      </c>
      <c r="H517" s="3">
        <f t="shared" si="28"/>
        <v>2.777777777777778E-2</v>
      </c>
      <c r="I517" s="1">
        <f t="shared" si="26"/>
        <v>40</v>
      </c>
      <c r="J517" t="s">
        <v>586</v>
      </c>
      <c r="K517" t="s">
        <v>397</v>
      </c>
      <c r="L517" t="s">
        <v>623</v>
      </c>
      <c r="M517" t="s">
        <v>398</v>
      </c>
      <c r="N517" t="s">
        <v>352</v>
      </c>
    </row>
    <row r="518" spans="3:14" hidden="1" x14ac:dyDescent="0.25">
      <c r="C518" t="s">
        <v>401</v>
      </c>
      <c r="D518" s="3" t="s">
        <v>411</v>
      </c>
      <c r="E518" s="3" t="s">
        <v>479</v>
      </c>
      <c r="F518">
        <v>15</v>
      </c>
      <c r="G518" s="3">
        <f t="shared" si="27"/>
        <v>0.41666666666666669</v>
      </c>
      <c r="H518" s="3">
        <f t="shared" si="28"/>
        <v>2.777777777777778E-2</v>
      </c>
      <c r="I518" s="1">
        <f t="shared" si="26"/>
        <v>40</v>
      </c>
      <c r="J518" t="s">
        <v>586</v>
      </c>
      <c r="K518" t="s">
        <v>397</v>
      </c>
      <c r="L518" t="s">
        <v>624</v>
      </c>
      <c r="M518" t="s">
        <v>398</v>
      </c>
      <c r="N518" t="s">
        <v>352</v>
      </c>
    </row>
    <row r="519" spans="3:14" hidden="1" x14ac:dyDescent="0.25">
      <c r="C519" t="s">
        <v>407</v>
      </c>
      <c r="D519" s="3" t="s">
        <v>411</v>
      </c>
      <c r="E519" s="3" t="s">
        <v>479</v>
      </c>
      <c r="F519">
        <v>15</v>
      </c>
      <c r="G519" s="3">
        <f t="shared" si="27"/>
        <v>0.41666666666666669</v>
      </c>
      <c r="H519" s="3">
        <f t="shared" si="28"/>
        <v>2.777777777777778E-2</v>
      </c>
      <c r="I519" s="1">
        <f t="shared" si="26"/>
        <v>40</v>
      </c>
      <c r="J519" t="s">
        <v>586</v>
      </c>
      <c r="K519" t="s">
        <v>397</v>
      </c>
      <c r="L519" t="s">
        <v>624</v>
      </c>
      <c r="M519" t="s">
        <v>398</v>
      </c>
      <c r="N519" t="s">
        <v>352</v>
      </c>
    </row>
    <row r="520" spans="3:14" hidden="1" x14ac:dyDescent="0.25">
      <c r="C520" t="s">
        <v>393</v>
      </c>
      <c r="D520" s="3" t="s">
        <v>411</v>
      </c>
      <c r="E520" s="3" t="s">
        <v>479</v>
      </c>
      <c r="F520">
        <v>15</v>
      </c>
      <c r="G520" s="3">
        <f t="shared" si="27"/>
        <v>0.41666666666666669</v>
      </c>
      <c r="H520" s="3">
        <f t="shared" si="28"/>
        <v>2.777777777777778E-2</v>
      </c>
      <c r="I520" s="1">
        <f t="shared" si="26"/>
        <v>40</v>
      </c>
      <c r="J520" t="s">
        <v>586</v>
      </c>
      <c r="K520" t="s">
        <v>397</v>
      </c>
      <c r="L520" t="s">
        <v>624</v>
      </c>
      <c r="M520" t="s">
        <v>398</v>
      </c>
      <c r="N520" t="s">
        <v>352</v>
      </c>
    </row>
    <row r="521" spans="3:14" hidden="1" x14ac:dyDescent="0.25">
      <c r="C521" t="s">
        <v>406</v>
      </c>
      <c r="D521" s="3" t="s">
        <v>411</v>
      </c>
      <c r="E521" s="3" t="s">
        <v>479</v>
      </c>
      <c r="F521">
        <v>15</v>
      </c>
      <c r="G521" s="3">
        <f t="shared" si="27"/>
        <v>0.41666666666666669</v>
      </c>
      <c r="H521" s="3">
        <f t="shared" si="28"/>
        <v>2.777777777777778E-2</v>
      </c>
      <c r="I521" s="1">
        <f t="shared" si="26"/>
        <v>40</v>
      </c>
      <c r="J521" t="s">
        <v>586</v>
      </c>
      <c r="K521" t="s">
        <v>397</v>
      </c>
      <c r="L521" t="s">
        <v>624</v>
      </c>
      <c r="M521" t="s">
        <v>398</v>
      </c>
      <c r="N521" t="s">
        <v>352</v>
      </c>
    </row>
    <row r="522" spans="3:14" hidden="1" x14ac:dyDescent="0.25">
      <c r="C522" t="s">
        <v>400</v>
      </c>
      <c r="D522" s="3" t="s">
        <v>411</v>
      </c>
      <c r="E522" s="3" t="s">
        <v>479</v>
      </c>
      <c r="F522">
        <v>15</v>
      </c>
      <c r="G522" s="3">
        <f t="shared" si="27"/>
        <v>0.41666666666666669</v>
      </c>
      <c r="H522" s="3">
        <f t="shared" si="28"/>
        <v>2.777777777777778E-2</v>
      </c>
      <c r="I522" s="1">
        <f t="shared" si="26"/>
        <v>40</v>
      </c>
      <c r="J522" t="s">
        <v>586</v>
      </c>
      <c r="K522" t="s">
        <v>397</v>
      </c>
      <c r="L522" t="s">
        <v>624</v>
      </c>
      <c r="M522" t="s">
        <v>398</v>
      </c>
      <c r="N522" t="s">
        <v>352</v>
      </c>
    </row>
    <row r="523" spans="3:14" hidden="1" x14ac:dyDescent="0.25">
      <c r="C523" t="s">
        <v>422</v>
      </c>
      <c r="D523" s="3" t="s">
        <v>411</v>
      </c>
      <c r="E523" s="3" t="s">
        <v>479</v>
      </c>
      <c r="F523">
        <v>15</v>
      </c>
      <c r="G523" s="3">
        <f t="shared" si="27"/>
        <v>0.41666666666666669</v>
      </c>
      <c r="H523" s="3">
        <f t="shared" si="28"/>
        <v>2.777777777777778E-2</v>
      </c>
      <c r="I523" s="1">
        <f t="shared" si="26"/>
        <v>40</v>
      </c>
      <c r="J523" t="s">
        <v>586</v>
      </c>
      <c r="K523" t="s">
        <v>397</v>
      </c>
      <c r="L523" t="s">
        <v>624</v>
      </c>
      <c r="M523" t="s">
        <v>398</v>
      </c>
      <c r="N523" t="s">
        <v>352</v>
      </c>
    </row>
    <row r="524" spans="3:14" hidden="1" x14ac:dyDescent="0.25">
      <c r="C524" t="s">
        <v>401</v>
      </c>
      <c r="D524" s="3" t="s">
        <v>411</v>
      </c>
      <c r="E524" s="3" t="s">
        <v>479</v>
      </c>
      <c r="F524">
        <v>15</v>
      </c>
      <c r="G524" s="3">
        <f t="shared" si="27"/>
        <v>0.41666666666666669</v>
      </c>
      <c r="H524" s="3">
        <f t="shared" si="28"/>
        <v>2.777777777777778E-2</v>
      </c>
      <c r="I524" s="1">
        <f t="shared" si="26"/>
        <v>40</v>
      </c>
      <c r="J524" t="s">
        <v>41</v>
      </c>
      <c r="K524" t="s">
        <v>397</v>
      </c>
      <c r="L524" t="s">
        <v>132</v>
      </c>
      <c r="M524" t="s">
        <v>398</v>
      </c>
      <c r="N524" t="s">
        <v>350</v>
      </c>
    </row>
    <row r="525" spans="3:14" hidden="1" x14ac:dyDescent="0.25">
      <c r="C525" t="s">
        <v>407</v>
      </c>
      <c r="D525" s="3" t="s">
        <v>411</v>
      </c>
      <c r="E525" s="3" t="s">
        <v>479</v>
      </c>
      <c r="F525">
        <v>15</v>
      </c>
      <c r="G525" s="3">
        <f t="shared" si="27"/>
        <v>0.41666666666666669</v>
      </c>
      <c r="H525" s="3">
        <f t="shared" si="28"/>
        <v>2.777777777777778E-2</v>
      </c>
      <c r="I525" s="1">
        <f t="shared" si="26"/>
        <v>40</v>
      </c>
      <c r="J525" t="s">
        <v>45</v>
      </c>
      <c r="K525" t="s">
        <v>397</v>
      </c>
      <c r="L525" t="s">
        <v>132</v>
      </c>
      <c r="M525" t="s">
        <v>398</v>
      </c>
      <c r="N525" t="s">
        <v>350</v>
      </c>
    </row>
    <row r="526" spans="3:14" hidden="1" x14ac:dyDescent="0.25">
      <c r="C526" t="s">
        <v>393</v>
      </c>
      <c r="D526" s="3" t="s">
        <v>411</v>
      </c>
      <c r="E526" s="3" t="s">
        <v>479</v>
      </c>
      <c r="F526">
        <v>15</v>
      </c>
      <c r="G526" s="3">
        <f t="shared" si="27"/>
        <v>0.41666666666666669</v>
      </c>
      <c r="H526" s="3">
        <f t="shared" si="28"/>
        <v>2.777777777777778E-2</v>
      </c>
      <c r="I526" s="1">
        <f t="shared" si="26"/>
        <v>40</v>
      </c>
      <c r="J526" t="s">
        <v>45</v>
      </c>
      <c r="K526" t="s">
        <v>397</v>
      </c>
      <c r="L526" t="s">
        <v>132</v>
      </c>
      <c r="M526" t="s">
        <v>398</v>
      </c>
      <c r="N526" t="s">
        <v>350</v>
      </c>
    </row>
    <row r="527" spans="3:14" hidden="1" x14ac:dyDescent="0.25">
      <c r="C527" t="s">
        <v>406</v>
      </c>
      <c r="D527" s="3" t="s">
        <v>411</v>
      </c>
      <c r="E527" s="3" t="s">
        <v>479</v>
      </c>
      <c r="F527">
        <v>15</v>
      </c>
      <c r="G527" s="3">
        <f t="shared" si="27"/>
        <v>0.41666666666666669</v>
      </c>
      <c r="H527" s="3">
        <f t="shared" si="28"/>
        <v>2.777777777777778E-2</v>
      </c>
      <c r="I527" s="1">
        <f t="shared" si="26"/>
        <v>40</v>
      </c>
      <c r="J527" t="s">
        <v>45</v>
      </c>
      <c r="K527" t="s">
        <v>397</v>
      </c>
      <c r="L527" t="s">
        <v>132</v>
      </c>
      <c r="M527" t="s">
        <v>398</v>
      </c>
      <c r="N527" t="s">
        <v>350</v>
      </c>
    </row>
    <row r="528" spans="3:14" hidden="1" x14ac:dyDescent="0.25">
      <c r="C528" t="s">
        <v>400</v>
      </c>
      <c r="D528" s="3" t="s">
        <v>411</v>
      </c>
      <c r="E528" s="3" t="s">
        <v>479</v>
      </c>
      <c r="F528">
        <v>15</v>
      </c>
      <c r="G528" s="3">
        <f t="shared" si="27"/>
        <v>0.41666666666666669</v>
      </c>
      <c r="H528" s="3">
        <f t="shared" si="28"/>
        <v>2.777777777777778E-2</v>
      </c>
      <c r="I528" s="1">
        <f t="shared" si="26"/>
        <v>40</v>
      </c>
      <c r="J528" t="s">
        <v>45</v>
      </c>
      <c r="K528" t="s">
        <v>397</v>
      </c>
      <c r="L528" t="s">
        <v>132</v>
      </c>
      <c r="M528" t="s">
        <v>398</v>
      </c>
      <c r="N528" t="s">
        <v>350</v>
      </c>
    </row>
    <row r="529" spans="2:14" hidden="1" x14ac:dyDescent="0.25">
      <c r="C529" t="s">
        <v>422</v>
      </c>
      <c r="D529" s="3" t="s">
        <v>411</v>
      </c>
      <c r="E529" s="3" t="s">
        <v>479</v>
      </c>
      <c r="F529">
        <v>15</v>
      </c>
      <c r="G529" s="3">
        <f t="shared" si="27"/>
        <v>0.41666666666666669</v>
      </c>
      <c r="H529" s="3">
        <f t="shared" si="28"/>
        <v>2.777777777777778E-2</v>
      </c>
      <c r="I529" s="1">
        <f t="shared" si="26"/>
        <v>40</v>
      </c>
      <c r="J529" t="s">
        <v>45</v>
      </c>
      <c r="K529" t="s">
        <v>397</v>
      </c>
      <c r="L529" t="s">
        <v>132</v>
      </c>
      <c r="M529" t="s">
        <v>398</v>
      </c>
      <c r="N529" t="s">
        <v>350</v>
      </c>
    </row>
    <row r="530" spans="2:14" hidden="1" x14ac:dyDescent="0.25">
      <c r="B530" t="s">
        <v>625</v>
      </c>
      <c r="C530" t="s">
        <v>400</v>
      </c>
      <c r="D530" s="3" t="s">
        <v>411</v>
      </c>
      <c r="E530" s="3" t="s">
        <v>486</v>
      </c>
      <c r="F530">
        <v>10</v>
      </c>
      <c r="G530" s="3">
        <f t="shared" si="27"/>
        <v>0.125</v>
      </c>
      <c r="H530" s="3">
        <f t="shared" si="28"/>
        <v>1.2500000000000001E-2</v>
      </c>
      <c r="I530" s="1">
        <f t="shared" si="26"/>
        <v>18</v>
      </c>
      <c r="J530" t="s">
        <v>396</v>
      </c>
      <c r="K530" t="s">
        <v>397</v>
      </c>
      <c r="L530" t="s">
        <v>326</v>
      </c>
      <c r="M530" t="s">
        <v>398</v>
      </c>
      <c r="N530" t="s">
        <v>500</v>
      </c>
    </row>
    <row r="531" spans="2:14" hidden="1" x14ac:dyDescent="0.25">
      <c r="B531" t="s">
        <v>604</v>
      </c>
      <c r="C531" t="s">
        <v>393</v>
      </c>
      <c r="D531" s="3" t="s">
        <v>411</v>
      </c>
      <c r="E531" s="3" t="s">
        <v>402</v>
      </c>
      <c r="F531">
        <v>15</v>
      </c>
      <c r="G531" s="3">
        <f t="shared" si="27"/>
        <v>0.19097222222222221</v>
      </c>
      <c r="H531" s="3">
        <f t="shared" si="28"/>
        <v>1.2731481481481481E-2</v>
      </c>
      <c r="I531" s="1">
        <f t="shared" si="26"/>
        <v>18</v>
      </c>
      <c r="J531" t="s">
        <v>455</v>
      </c>
      <c r="K531" t="s">
        <v>397</v>
      </c>
      <c r="L531" t="s">
        <v>119</v>
      </c>
      <c r="M531" t="s">
        <v>398</v>
      </c>
      <c r="N531" t="s">
        <v>399</v>
      </c>
    </row>
    <row r="532" spans="2:14" hidden="1" x14ac:dyDescent="0.25">
      <c r="B532" t="s">
        <v>626</v>
      </c>
      <c r="C532" t="s">
        <v>407</v>
      </c>
      <c r="D532" s="3" t="s">
        <v>501</v>
      </c>
      <c r="E532" s="3" t="s">
        <v>479</v>
      </c>
      <c r="F532">
        <v>10</v>
      </c>
      <c r="G532" s="3">
        <f t="shared" si="27"/>
        <v>2.7777777777777901E-2</v>
      </c>
      <c r="H532" s="3">
        <f t="shared" si="28"/>
        <v>2.77777777777779E-3</v>
      </c>
      <c r="I532" s="1">
        <f t="shared" si="26"/>
        <v>4</v>
      </c>
      <c r="J532" t="s">
        <v>409</v>
      </c>
      <c r="K532" t="s">
        <v>417</v>
      </c>
      <c r="L532" t="s">
        <v>334</v>
      </c>
      <c r="M532" t="s">
        <v>398</v>
      </c>
      <c r="N532" t="s">
        <v>405</v>
      </c>
    </row>
    <row r="533" spans="2:14" hidden="1" x14ac:dyDescent="0.25">
      <c r="B533" t="s">
        <v>627</v>
      </c>
      <c r="C533" t="s">
        <v>406</v>
      </c>
      <c r="D533" s="3" t="s">
        <v>550</v>
      </c>
      <c r="E533" s="3" t="s">
        <v>547</v>
      </c>
      <c r="F533">
        <v>10</v>
      </c>
      <c r="G533" s="3">
        <f t="shared" si="27"/>
        <v>2.7777777777777735E-2</v>
      </c>
      <c r="H533" s="3">
        <f t="shared" si="28"/>
        <v>2.7777777777777735E-3</v>
      </c>
      <c r="I533" s="1">
        <f t="shared" si="26"/>
        <v>4</v>
      </c>
      <c r="J533" t="s">
        <v>409</v>
      </c>
      <c r="K533" t="s">
        <v>397</v>
      </c>
      <c r="L533" t="s">
        <v>334</v>
      </c>
      <c r="M533" t="s">
        <v>398</v>
      </c>
      <c r="N533" t="s">
        <v>405</v>
      </c>
    </row>
    <row r="534" spans="2:14" hidden="1" x14ac:dyDescent="0.25">
      <c r="B534" t="s">
        <v>627</v>
      </c>
      <c r="C534" t="s">
        <v>406</v>
      </c>
      <c r="D534" s="3" t="s">
        <v>419</v>
      </c>
      <c r="E534" s="3" t="s">
        <v>479</v>
      </c>
      <c r="F534">
        <v>15</v>
      </c>
      <c r="G534" s="3">
        <f t="shared" si="27"/>
        <v>0.33333333333333337</v>
      </c>
      <c r="H534" s="3">
        <f t="shared" si="28"/>
        <v>2.2222222222222223E-2</v>
      </c>
      <c r="I534" s="1">
        <f t="shared" si="26"/>
        <v>32</v>
      </c>
      <c r="J534" t="s">
        <v>429</v>
      </c>
      <c r="K534" t="s">
        <v>397</v>
      </c>
      <c r="L534" t="s">
        <v>324</v>
      </c>
      <c r="M534" t="s">
        <v>398</v>
      </c>
      <c r="N534" t="s">
        <v>500</v>
      </c>
    </row>
    <row r="535" spans="2:14" hidden="1" x14ac:dyDescent="0.25">
      <c r="B535" t="s">
        <v>617</v>
      </c>
      <c r="C535" t="s">
        <v>407</v>
      </c>
      <c r="D535" s="3" t="s">
        <v>453</v>
      </c>
      <c r="E535" s="3" t="s">
        <v>441</v>
      </c>
      <c r="F535">
        <v>5</v>
      </c>
      <c r="G535" s="3">
        <f t="shared" si="27"/>
        <v>0.16319444444444442</v>
      </c>
      <c r="H535" s="3">
        <f t="shared" si="28"/>
        <v>3.2638888888888884E-2</v>
      </c>
      <c r="I535" s="1">
        <f t="shared" si="26"/>
        <v>47</v>
      </c>
      <c r="J535" t="s">
        <v>468</v>
      </c>
      <c r="K535" t="s">
        <v>417</v>
      </c>
      <c r="L535" t="s">
        <v>358</v>
      </c>
      <c r="M535" t="s">
        <v>398</v>
      </c>
      <c r="N535" t="s">
        <v>465</v>
      </c>
    </row>
    <row r="536" spans="2:14" hidden="1" x14ac:dyDescent="0.25">
      <c r="B536" t="s">
        <v>628</v>
      </c>
      <c r="C536" t="s">
        <v>400</v>
      </c>
      <c r="D536" s="3" t="s">
        <v>416</v>
      </c>
      <c r="E536" s="3" t="s">
        <v>441</v>
      </c>
      <c r="F536">
        <v>5</v>
      </c>
      <c r="G536" s="3">
        <f t="shared" si="27"/>
        <v>0.20486111111111116</v>
      </c>
      <c r="H536" s="3">
        <f t="shared" si="28"/>
        <v>4.0972222222222229E-2</v>
      </c>
      <c r="I536" s="1">
        <f t="shared" si="26"/>
        <v>59</v>
      </c>
      <c r="J536" t="s">
        <v>468</v>
      </c>
      <c r="K536" t="s">
        <v>417</v>
      </c>
      <c r="L536" t="s">
        <v>95</v>
      </c>
      <c r="M536" t="s">
        <v>398</v>
      </c>
      <c r="N536" t="s">
        <v>465</v>
      </c>
    </row>
    <row r="537" spans="2:14" hidden="1" x14ac:dyDescent="0.25">
      <c r="B537" t="s">
        <v>617</v>
      </c>
      <c r="C537" t="s">
        <v>407</v>
      </c>
      <c r="D537" s="3" t="s">
        <v>403</v>
      </c>
      <c r="E537" s="3" t="s">
        <v>428</v>
      </c>
      <c r="F537">
        <v>15</v>
      </c>
      <c r="G537" s="3">
        <f t="shared" si="27"/>
        <v>0.39930555555555552</v>
      </c>
      <c r="H537" s="3">
        <f t="shared" si="28"/>
        <v>2.6620370370370367E-2</v>
      </c>
      <c r="I537" s="1">
        <f t="shared" si="26"/>
        <v>38</v>
      </c>
      <c r="J537" t="s">
        <v>476</v>
      </c>
      <c r="K537" t="s">
        <v>397</v>
      </c>
      <c r="L537" t="s">
        <v>375</v>
      </c>
      <c r="M537" t="s">
        <v>398</v>
      </c>
      <c r="N537" t="s">
        <v>465</v>
      </c>
    </row>
    <row r="538" spans="2:14" hidden="1" x14ac:dyDescent="0.25">
      <c r="B538" t="s">
        <v>618</v>
      </c>
      <c r="C538" t="s">
        <v>406</v>
      </c>
      <c r="D538" s="3" t="s">
        <v>403</v>
      </c>
      <c r="E538" s="3" t="s">
        <v>441</v>
      </c>
      <c r="F538">
        <v>5</v>
      </c>
      <c r="G538" s="3">
        <f t="shared" si="27"/>
        <v>0.41319444444444448</v>
      </c>
      <c r="H538" s="3">
        <f t="shared" si="28"/>
        <v>8.2638888888888901E-2</v>
      </c>
      <c r="I538" s="1">
        <f t="shared" si="26"/>
        <v>59</v>
      </c>
      <c r="J538" t="s">
        <v>409</v>
      </c>
      <c r="K538" t="s">
        <v>397</v>
      </c>
      <c r="L538" t="s">
        <v>118</v>
      </c>
      <c r="M538" t="s">
        <v>398</v>
      </c>
      <c r="N538" t="s">
        <v>433</v>
      </c>
    </row>
    <row r="539" spans="2:14" hidden="1" x14ac:dyDescent="0.25">
      <c r="B539" t="s">
        <v>629</v>
      </c>
      <c r="C539" t="s">
        <v>407</v>
      </c>
      <c r="D539" s="3" t="s">
        <v>419</v>
      </c>
      <c r="E539" s="3" t="s">
        <v>449</v>
      </c>
      <c r="F539">
        <v>15</v>
      </c>
      <c r="G539" s="3">
        <f t="shared" si="27"/>
        <v>0.29166666666666663</v>
      </c>
      <c r="H539" s="3">
        <f t="shared" si="28"/>
        <v>1.9444444444444441E-2</v>
      </c>
      <c r="I539" s="1">
        <f t="shared" si="26"/>
        <v>28</v>
      </c>
      <c r="J539" t="s">
        <v>404</v>
      </c>
      <c r="K539" t="s">
        <v>397</v>
      </c>
      <c r="L539" t="s">
        <v>324</v>
      </c>
      <c r="M539" t="s">
        <v>398</v>
      </c>
      <c r="N539" t="s">
        <v>447</v>
      </c>
    </row>
    <row r="540" spans="2:14" hidden="1" x14ac:dyDescent="0.25">
      <c r="B540" t="s">
        <v>629</v>
      </c>
      <c r="C540" t="s">
        <v>407</v>
      </c>
      <c r="D540" s="3" t="s">
        <v>419</v>
      </c>
      <c r="E540" s="3" t="s">
        <v>449</v>
      </c>
      <c r="F540">
        <v>15</v>
      </c>
      <c r="G540" s="3">
        <f t="shared" si="27"/>
        <v>0.29166666666666663</v>
      </c>
      <c r="H540" s="3">
        <f t="shared" si="28"/>
        <v>1.9444444444444441E-2</v>
      </c>
      <c r="I540" s="1">
        <f t="shared" si="26"/>
        <v>28</v>
      </c>
      <c r="J540" t="s">
        <v>404</v>
      </c>
      <c r="K540" t="s">
        <v>397</v>
      </c>
      <c r="L540" t="s">
        <v>324</v>
      </c>
      <c r="M540" t="s">
        <v>398</v>
      </c>
      <c r="N540" t="s">
        <v>447</v>
      </c>
    </row>
    <row r="541" spans="2:14" hidden="1" x14ac:dyDescent="0.25">
      <c r="C541" t="s">
        <v>393</v>
      </c>
      <c r="D541" s="3" t="s">
        <v>547</v>
      </c>
      <c r="E541" s="3" t="s">
        <v>479</v>
      </c>
      <c r="F541">
        <v>40</v>
      </c>
      <c r="G541" s="3">
        <f t="shared" si="27"/>
        <v>0.25000000000000006</v>
      </c>
      <c r="H541" s="3">
        <f t="shared" si="28"/>
        <v>6.2500000000000012E-3</v>
      </c>
      <c r="I541" s="1">
        <f t="shared" si="26"/>
        <v>9</v>
      </c>
      <c r="J541" t="s">
        <v>630</v>
      </c>
      <c r="K541" t="s">
        <v>397</v>
      </c>
      <c r="L541" t="s">
        <v>368</v>
      </c>
      <c r="M541" t="s">
        <v>398</v>
      </c>
      <c r="N541" t="s">
        <v>465</v>
      </c>
    </row>
    <row r="542" spans="2:14" hidden="1" x14ac:dyDescent="0.25">
      <c r="B542" t="s">
        <v>629</v>
      </c>
      <c r="C542" t="s">
        <v>407</v>
      </c>
      <c r="D542" s="3" t="s">
        <v>403</v>
      </c>
      <c r="E542" s="3" t="s">
        <v>454</v>
      </c>
      <c r="F542">
        <v>10</v>
      </c>
      <c r="G542" s="3">
        <f t="shared" si="27"/>
        <v>0.27430555555555564</v>
      </c>
      <c r="H542" s="3">
        <f t="shared" si="28"/>
        <v>2.7430555555555562E-2</v>
      </c>
      <c r="I542" s="1">
        <f t="shared" si="26"/>
        <v>39</v>
      </c>
      <c r="J542" t="s">
        <v>455</v>
      </c>
      <c r="K542" t="s">
        <v>397</v>
      </c>
      <c r="L542" t="s">
        <v>331</v>
      </c>
      <c r="M542" t="s">
        <v>398</v>
      </c>
      <c r="N542" t="s">
        <v>500</v>
      </c>
    </row>
    <row r="543" spans="2:14" hidden="1" x14ac:dyDescent="0.25">
      <c r="C543" t="s">
        <v>400</v>
      </c>
      <c r="D543" s="3" t="s">
        <v>486</v>
      </c>
      <c r="E543" s="3" t="s">
        <v>479</v>
      </c>
      <c r="F543">
        <v>30</v>
      </c>
      <c r="G543" s="3">
        <f t="shared" si="27"/>
        <v>0.29166666666666669</v>
      </c>
      <c r="H543" s="3">
        <f t="shared" si="28"/>
        <v>9.7222222222222224E-3</v>
      </c>
      <c r="I543" s="1">
        <f t="shared" si="26"/>
        <v>14</v>
      </c>
      <c r="J543" t="s">
        <v>630</v>
      </c>
      <c r="K543" t="s">
        <v>397</v>
      </c>
      <c r="L543" t="s">
        <v>368</v>
      </c>
      <c r="M543" t="s">
        <v>398</v>
      </c>
      <c r="N543" t="s">
        <v>465</v>
      </c>
    </row>
    <row r="544" spans="2:14" hidden="1" x14ac:dyDescent="0.25">
      <c r="B544" t="s">
        <v>631</v>
      </c>
      <c r="C544" t="s">
        <v>393</v>
      </c>
      <c r="D544" s="3" t="s">
        <v>416</v>
      </c>
      <c r="E544" s="3" t="s">
        <v>428</v>
      </c>
      <c r="F544">
        <v>10</v>
      </c>
      <c r="G544" s="3">
        <f t="shared" si="27"/>
        <v>0.19097222222222221</v>
      </c>
      <c r="H544" s="3">
        <f t="shared" si="28"/>
        <v>1.909722222222222E-2</v>
      </c>
      <c r="I544" s="1">
        <f t="shared" si="26"/>
        <v>27</v>
      </c>
      <c r="J544" t="s">
        <v>432</v>
      </c>
      <c r="K544" t="s">
        <v>417</v>
      </c>
      <c r="L544" t="s">
        <v>333</v>
      </c>
      <c r="M544" t="s">
        <v>398</v>
      </c>
      <c r="N544" t="s">
        <v>405</v>
      </c>
    </row>
    <row r="545" spans="1:14" hidden="1" x14ac:dyDescent="0.25">
      <c r="B545" t="s">
        <v>632</v>
      </c>
      <c r="C545" t="s">
        <v>400</v>
      </c>
      <c r="D545" s="3" t="s">
        <v>514</v>
      </c>
      <c r="E545" s="3" t="s">
        <v>619</v>
      </c>
      <c r="F545">
        <v>15</v>
      </c>
      <c r="G545" s="3">
        <f t="shared" si="27"/>
        <v>4.1666666666666741E-2</v>
      </c>
      <c r="H545" s="3">
        <f t="shared" si="28"/>
        <v>2.7777777777777827E-3</v>
      </c>
      <c r="I545" s="1">
        <f t="shared" si="26"/>
        <v>4</v>
      </c>
      <c r="J545" t="s">
        <v>396</v>
      </c>
      <c r="K545" t="s">
        <v>417</v>
      </c>
      <c r="L545" t="s">
        <v>143</v>
      </c>
      <c r="M545" t="s">
        <v>398</v>
      </c>
      <c r="N545" t="s">
        <v>433</v>
      </c>
    </row>
    <row r="546" spans="1:14" hidden="1" x14ac:dyDescent="0.25">
      <c r="B546" t="s">
        <v>633</v>
      </c>
      <c r="C546" t="s">
        <v>406</v>
      </c>
      <c r="D546" s="3" t="s">
        <v>395</v>
      </c>
      <c r="E546" s="3" t="s">
        <v>394</v>
      </c>
      <c r="F546">
        <v>15</v>
      </c>
      <c r="G546" s="3">
        <f t="shared" si="27"/>
        <v>0.14930555555555558</v>
      </c>
      <c r="H546" s="3">
        <f t="shared" si="28"/>
        <v>9.9537037037037059E-3</v>
      </c>
      <c r="I546" s="1">
        <f t="shared" si="26"/>
        <v>14</v>
      </c>
      <c r="J546" t="s">
        <v>435</v>
      </c>
      <c r="K546" t="s">
        <v>397</v>
      </c>
      <c r="L546" t="s">
        <v>130</v>
      </c>
      <c r="M546" t="s">
        <v>398</v>
      </c>
      <c r="N546" t="s">
        <v>433</v>
      </c>
    </row>
    <row r="547" spans="1:14" hidden="1" x14ac:dyDescent="0.25">
      <c r="C547" t="s">
        <v>401</v>
      </c>
      <c r="D547" s="3" t="s">
        <v>486</v>
      </c>
      <c r="E547" s="3" t="s">
        <v>482</v>
      </c>
      <c r="F547">
        <v>10</v>
      </c>
      <c r="G547" s="3">
        <f t="shared" si="27"/>
        <v>0.37499999999999994</v>
      </c>
      <c r="H547" s="3">
        <f t="shared" si="28"/>
        <v>3.7499999999999992E-2</v>
      </c>
      <c r="I547" s="1">
        <f t="shared" si="26"/>
        <v>54</v>
      </c>
      <c r="J547" t="s">
        <v>630</v>
      </c>
      <c r="K547" t="s">
        <v>397</v>
      </c>
      <c r="L547" t="s">
        <v>368</v>
      </c>
      <c r="M547" t="s">
        <v>398</v>
      </c>
      <c r="N547" t="s">
        <v>465</v>
      </c>
    </row>
    <row r="548" spans="1:14" hidden="1" x14ac:dyDescent="0.25">
      <c r="B548" t="s">
        <v>634</v>
      </c>
      <c r="C548" t="s">
        <v>407</v>
      </c>
      <c r="D548" s="3" t="s">
        <v>403</v>
      </c>
      <c r="E548" s="3" t="s">
        <v>402</v>
      </c>
      <c r="F548">
        <v>15</v>
      </c>
      <c r="G548" s="3">
        <f t="shared" si="27"/>
        <v>0.14930555555555558</v>
      </c>
      <c r="H548" s="3">
        <f t="shared" si="28"/>
        <v>9.9537037037037059E-3</v>
      </c>
      <c r="I548" s="1">
        <f t="shared" si="26"/>
        <v>14</v>
      </c>
      <c r="J548" t="s">
        <v>404</v>
      </c>
      <c r="K548" t="s">
        <v>397</v>
      </c>
      <c r="L548" t="s">
        <v>318</v>
      </c>
      <c r="M548" t="s">
        <v>398</v>
      </c>
      <c r="N548" t="s">
        <v>399</v>
      </c>
    </row>
    <row r="549" spans="1:14" hidden="1" x14ac:dyDescent="0.25">
      <c r="B549" t="s">
        <v>635</v>
      </c>
      <c r="C549" t="s">
        <v>393</v>
      </c>
      <c r="D549" s="3" t="s">
        <v>416</v>
      </c>
      <c r="E549" s="3" t="s">
        <v>431</v>
      </c>
      <c r="F549">
        <v>15</v>
      </c>
      <c r="G549" s="3">
        <f t="shared" si="27"/>
        <v>0.14930555555555558</v>
      </c>
      <c r="H549" s="3">
        <f t="shared" si="28"/>
        <v>9.9537037037037059E-3</v>
      </c>
      <c r="I549" s="1">
        <f t="shared" si="26"/>
        <v>14</v>
      </c>
      <c r="J549" t="s">
        <v>429</v>
      </c>
      <c r="K549" t="s">
        <v>417</v>
      </c>
      <c r="L549" t="s">
        <v>318</v>
      </c>
      <c r="M549" t="s">
        <v>398</v>
      </c>
      <c r="N549" t="s">
        <v>399</v>
      </c>
    </row>
    <row r="550" spans="1:14" hidden="1" x14ac:dyDescent="0.25">
      <c r="B550" t="s">
        <v>636</v>
      </c>
      <c r="C550" t="s">
        <v>393</v>
      </c>
      <c r="D550" s="3" t="s">
        <v>416</v>
      </c>
      <c r="E550" s="3" t="s">
        <v>428</v>
      </c>
      <c r="F550">
        <v>15</v>
      </c>
      <c r="G550" s="3">
        <f t="shared" si="27"/>
        <v>0.19097222222222221</v>
      </c>
      <c r="H550" s="3">
        <f t="shared" si="28"/>
        <v>1.2731481481481481E-2</v>
      </c>
      <c r="I550" s="1">
        <f t="shared" si="26"/>
        <v>18</v>
      </c>
      <c r="J550" t="s">
        <v>517</v>
      </c>
      <c r="K550" t="s">
        <v>417</v>
      </c>
      <c r="L550" t="s">
        <v>372</v>
      </c>
      <c r="M550" t="s">
        <v>398</v>
      </c>
      <c r="N550" t="s">
        <v>433</v>
      </c>
    </row>
    <row r="551" spans="1:14" hidden="1" x14ac:dyDescent="0.25">
      <c r="B551" t="s">
        <v>636</v>
      </c>
      <c r="C551" t="s">
        <v>393</v>
      </c>
      <c r="D551" s="3" t="s">
        <v>487</v>
      </c>
      <c r="E551" s="3" t="s">
        <v>637</v>
      </c>
      <c r="F551">
        <v>15</v>
      </c>
      <c r="G551" s="3">
        <f t="shared" si="27"/>
        <v>0.16666666666666663</v>
      </c>
      <c r="H551" s="3">
        <f t="shared" si="28"/>
        <v>1.1111111111111108E-2</v>
      </c>
      <c r="I551" s="1">
        <f t="shared" si="26"/>
        <v>16</v>
      </c>
      <c r="J551" t="s">
        <v>517</v>
      </c>
      <c r="K551" t="s">
        <v>417</v>
      </c>
      <c r="L551" t="s">
        <v>372</v>
      </c>
      <c r="M551" t="s">
        <v>398</v>
      </c>
      <c r="N551" t="s">
        <v>433</v>
      </c>
    </row>
    <row r="552" spans="1:14" hidden="1" x14ac:dyDescent="0.25">
      <c r="B552" t="s">
        <v>636</v>
      </c>
      <c r="C552" t="s">
        <v>393</v>
      </c>
      <c r="D552" s="3" t="s">
        <v>403</v>
      </c>
      <c r="E552" s="3" t="s">
        <v>638</v>
      </c>
      <c r="F552">
        <v>15</v>
      </c>
      <c r="G552" s="3">
        <f t="shared" si="27"/>
        <v>0.15625</v>
      </c>
      <c r="H552" s="3">
        <f t="shared" si="28"/>
        <v>1.0416666666666666E-2</v>
      </c>
      <c r="I552" s="1">
        <f t="shared" si="26"/>
        <v>15</v>
      </c>
      <c r="J552" t="s">
        <v>497</v>
      </c>
      <c r="K552" t="s">
        <v>397</v>
      </c>
      <c r="L552" t="s">
        <v>382</v>
      </c>
      <c r="M552" t="s">
        <v>398</v>
      </c>
      <c r="N552" t="s">
        <v>447</v>
      </c>
    </row>
    <row r="553" spans="1:14" hidden="1" x14ac:dyDescent="0.25">
      <c r="B553" t="s">
        <v>639</v>
      </c>
      <c r="C553" t="s">
        <v>406</v>
      </c>
      <c r="D553" s="3" t="s">
        <v>486</v>
      </c>
      <c r="E553" s="3" t="s">
        <v>592</v>
      </c>
      <c r="F553">
        <v>40</v>
      </c>
      <c r="G553" s="3">
        <f t="shared" si="27"/>
        <v>0.22222222222222227</v>
      </c>
      <c r="H553" s="3">
        <f t="shared" si="28"/>
        <v>5.5555555555555566E-3</v>
      </c>
      <c r="I553" s="1">
        <f t="shared" si="26"/>
        <v>8</v>
      </c>
      <c r="J553" t="s">
        <v>432</v>
      </c>
      <c r="K553" t="s">
        <v>397</v>
      </c>
      <c r="L553" t="s">
        <v>128</v>
      </c>
      <c r="M553" t="s">
        <v>398</v>
      </c>
      <c r="N553" t="s">
        <v>433</v>
      </c>
    </row>
    <row r="554" spans="1:14" hidden="1" x14ac:dyDescent="0.25">
      <c r="B554" t="s">
        <v>640</v>
      </c>
      <c r="C554" t="s">
        <v>401</v>
      </c>
      <c r="D554" s="3" t="s">
        <v>403</v>
      </c>
      <c r="E554" s="3" t="s">
        <v>402</v>
      </c>
      <c r="F554">
        <v>15</v>
      </c>
      <c r="G554" s="3">
        <f t="shared" si="27"/>
        <v>0.14930555555555558</v>
      </c>
      <c r="H554" s="3">
        <f t="shared" si="28"/>
        <v>9.9537037037037059E-3</v>
      </c>
      <c r="I554" s="1">
        <f t="shared" si="26"/>
        <v>14</v>
      </c>
      <c r="J554" t="s">
        <v>409</v>
      </c>
      <c r="K554" t="s">
        <v>397</v>
      </c>
      <c r="L554" t="s">
        <v>349</v>
      </c>
      <c r="M554" t="s">
        <v>398</v>
      </c>
      <c r="N554" t="s">
        <v>405</v>
      </c>
    </row>
    <row r="555" spans="1:14" hidden="1" x14ac:dyDescent="0.25">
      <c r="B555" t="s">
        <v>640</v>
      </c>
      <c r="C555" t="s">
        <v>401</v>
      </c>
      <c r="D555" s="3" t="s">
        <v>416</v>
      </c>
      <c r="E555" s="3" t="s">
        <v>431</v>
      </c>
      <c r="F555">
        <v>15</v>
      </c>
      <c r="G555" s="3">
        <f t="shared" si="27"/>
        <v>0.14930555555555558</v>
      </c>
      <c r="H555" s="3">
        <f t="shared" si="28"/>
        <v>9.9537037037037059E-3</v>
      </c>
      <c r="I555" s="1">
        <f t="shared" si="26"/>
        <v>14</v>
      </c>
      <c r="J555" t="s">
        <v>409</v>
      </c>
      <c r="K555" t="s">
        <v>417</v>
      </c>
      <c r="L555" t="s">
        <v>349</v>
      </c>
      <c r="M555" t="s">
        <v>398</v>
      </c>
      <c r="N555" t="s">
        <v>405</v>
      </c>
    </row>
    <row r="556" spans="1:14" hidden="1" x14ac:dyDescent="0.25">
      <c r="A556" t="s">
        <v>641</v>
      </c>
      <c r="B556" t="s">
        <v>642</v>
      </c>
      <c r="C556" t="s">
        <v>491</v>
      </c>
      <c r="D556" s="3" t="s">
        <v>411</v>
      </c>
      <c r="E556" s="3" t="s">
        <v>445</v>
      </c>
      <c r="F556">
        <v>10</v>
      </c>
      <c r="G556" s="3">
        <f t="shared" si="27"/>
        <v>0.20833333333333331</v>
      </c>
      <c r="H556" s="3">
        <f t="shared" si="28"/>
        <v>2.0833333333333332E-2</v>
      </c>
      <c r="I556" s="1">
        <f t="shared" si="26"/>
        <v>30</v>
      </c>
      <c r="J556" t="s">
        <v>432</v>
      </c>
      <c r="K556" t="s">
        <v>397</v>
      </c>
      <c r="L556" t="s">
        <v>643</v>
      </c>
      <c r="M556" t="s">
        <v>644</v>
      </c>
      <c r="N556" t="s">
        <v>500</v>
      </c>
    </row>
    <row r="557" spans="1:14" hidden="1" x14ac:dyDescent="0.25">
      <c r="A557" t="s">
        <v>641</v>
      </c>
      <c r="B557" t="s">
        <v>642</v>
      </c>
      <c r="C557" t="s">
        <v>491</v>
      </c>
      <c r="D557" s="3" t="s">
        <v>416</v>
      </c>
      <c r="E557" s="3" t="s">
        <v>619</v>
      </c>
      <c r="F557">
        <v>10</v>
      </c>
      <c r="G557" s="3">
        <f t="shared" si="27"/>
        <v>0.22916666666666674</v>
      </c>
      <c r="H557" s="3">
        <f t="shared" si="28"/>
        <v>2.2916666666666675E-2</v>
      </c>
      <c r="I557" s="1">
        <f t="shared" si="26"/>
        <v>33</v>
      </c>
      <c r="J557" t="s">
        <v>432</v>
      </c>
      <c r="K557" t="s">
        <v>417</v>
      </c>
      <c r="L557" t="s">
        <v>643</v>
      </c>
      <c r="M557" t="s">
        <v>644</v>
      </c>
      <c r="N557" t="s">
        <v>500</v>
      </c>
    </row>
    <row r="558" spans="1:14" hidden="1" x14ac:dyDescent="0.25">
      <c r="A558" t="s">
        <v>645</v>
      </c>
      <c r="B558" t="s">
        <v>645</v>
      </c>
      <c r="C558" t="s">
        <v>406</v>
      </c>
      <c r="D558" s="3" t="s">
        <v>416</v>
      </c>
      <c r="E558" s="3" t="s">
        <v>498</v>
      </c>
      <c r="F558">
        <v>10</v>
      </c>
      <c r="G558" s="3">
        <f t="shared" si="27"/>
        <v>0.14583333333333337</v>
      </c>
      <c r="H558" s="3">
        <f t="shared" si="28"/>
        <v>1.4583333333333337E-2</v>
      </c>
      <c r="I558" s="1">
        <f t="shared" si="26"/>
        <v>21</v>
      </c>
      <c r="J558" t="s">
        <v>432</v>
      </c>
      <c r="K558" t="s">
        <v>417</v>
      </c>
      <c r="L558" t="s">
        <v>643</v>
      </c>
      <c r="M558" t="s">
        <v>644</v>
      </c>
      <c r="N558" t="s">
        <v>500</v>
      </c>
    </row>
    <row r="559" spans="1:14" hidden="1" x14ac:dyDescent="0.25">
      <c r="A559" t="s">
        <v>645</v>
      </c>
      <c r="B559" t="s">
        <v>645</v>
      </c>
      <c r="C559" t="s">
        <v>406</v>
      </c>
      <c r="D559" s="3" t="s">
        <v>411</v>
      </c>
      <c r="E559" s="3" t="s">
        <v>445</v>
      </c>
      <c r="F559">
        <v>10</v>
      </c>
      <c r="G559" s="3">
        <f t="shared" si="27"/>
        <v>0.20833333333333331</v>
      </c>
      <c r="H559" s="3">
        <f t="shared" si="28"/>
        <v>2.0833333333333332E-2</v>
      </c>
      <c r="I559" s="1">
        <f t="shared" si="26"/>
        <v>30</v>
      </c>
      <c r="J559" t="s">
        <v>432</v>
      </c>
      <c r="K559" t="s">
        <v>397</v>
      </c>
      <c r="L559" t="s">
        <v>643</v>
      </c>
      <c r="M559" t="s">
        <v>644</v>
      </c>
      <c r="N559" t="s">
        <v>500</v>
      </c>
    </row>
    <row r="560" spans="1:14" hidden="1" x14ac:dyDescent="0.25">
      <c r="A560" t="s">
        <v>646</v>
      </c>
      <c r="B560" t="s">
        <v>646</v>
      </c>
      <c r="C560" t="s">
        <v>393</v>
      </c>
      <c r="D560" s="3" t="s">
        <v>416</v>
      </c>
      <c r="E560" s="3" t="s">
        <v>479</v>
      </c>
      <c r="F560">
        <v>10</v>
      </c>
      <c r="G560" s="3">
        <f t="shared" si="27"/>
        <v>0.16666666666666674</v>
      </c>
      <c r="H560" s="3">
        <f t="shared" si="28"/>
        <v>1.6666666666666673E-2</v>
      </c>
      <c r="I560" s="1">
        <f t="shared" si="26"/>
        <v>24</v>
      </c>
      <c r="J560" t="s">
        <v>429</v>
      </c>
      <c r="K560" t="s">
        <v>417</v>
      </c>
      <c r="L560" t="s">
        <v>348</v>
      </c>
      <c r="M560" t="s">
        <v>644</v>
      </c>
      <c r="N560" t="s">
        <v>399</v>
      </c>
    </row>
    <row r="561" spans="1:14" hidden="1" x14ac:dyDescent="0.25">
      <c r="A561" t="s">
        <v>647</v>
      </c>
      <c r="B561" t="s">
        <v>648</v>
      </c>
      <c r="C561" t="s">
        <v>407</v>
      </c>
      <c r="D561" s="3" t="s">
        <v>403</v>
      </c>
      <c r="E561" s="3" t="s">
        <v>441</v>
      </c>
      <c r="F561">
        <v>5</v>
      </c>
      <c r="G561" s="3">
        <f t="shared" si="27"/>
        <v>0.41319444444444448</v>
      </c>
      <c r="H561" s="3">
        <f t="shared" si="28"/>
        <v>8.2638888888888901E-2</v>
      </c>
      <c r="I561" s="1">
        <f t="shared" si="26"/>
        <v>59</v>
      </c>
      <c r="J561" t="s">
        <v>429</v>
      </c>
      <c r="K561" t="s">
        <v>397</v>
      </c>
      <c r="L561" t="s">
        <v>367</v>
      </c>
      <c r="M561" t="s">
        <v>398</v>
      </c>
      <c r="N561" t="s">
        <v>575</v>
      </c>
    </row>
    <row r="562" spans="1:14" hidden="1" x14ac:dyDescent="0.25">
      <c r="A562" t="s">
        <v>649</v>
      </c>
      <c r="B562" t="s">
        <v>649</v>
      </c>
      <c r="C562" t="s">
        <v>393</v>
      </c>
      <c r="D562" s="3" t="s">
        <v>453</v>
      </c>
      <c r="E562" s="3" t="s">
        <v>479</v>
      </c>
      <c r="F562">
        <v>15</v>
      </c>
      <c r="G562" s="3">
        <f t="shared" si="27"/>
        <v>0.125</v>
      </c>
      <c r="H562" s="3">
        <f t="shared" si="28"/>
        <v>8.3333333333333332E-3</v>
      </c>
      <c r="I562" s="1">
        <f t="shared" si="26"/>
        <v>12</v>
      </c>
      <c r="J562" t="s">
        <v>429</v>
      </c>
      <c r="K562" t="s">
        <v>417</v>
      </c>
      <c r="L562" t="s">
        <v>368</v>
      </c>
      <c r="M562" t="s">
        <v>644</v>
      </c>
      <c r="N562" t="s">
        <v>399</v>
      </c>
    </row>
    <row r="563" spans="1:14" hidden="1" x14ac:dyDescent="0.25">
      <c r="A563" t="s">
        <v>650</v>
      </c>
      <c r="C563" t="s">
        <v>393</v>
      </c>
      <c r="D563" s="3" t="s">
        <v>403</v>
      </c>
      <c r="E563" s="3" t="s">
        <v>412</v>
      </c>
      <c r="F563">
        <v>10</v>
      </c>
      <c r="G563" s="3">
        <f t="shared" si="27"/>
        <v>0.15277777777777779</v>
      </c>
      <c r="H563" s="3">
        <f t="shared" si="28"/>
        <v>1.5277777777777779E-2</v>
      </c>
      <c r="I563" s="1">
        <f t="shared" si="26"/>
        <v>22</v>
      </c>
      <c r="J563" t="s">
        <v>427</v>
      </c>
      <c r="K563" t="s">
        <v>397</v>
      </c>
      <c r="L563" t="s">
        <v>124</v>
      </c>
      <c r="M563" t="s">
        <v>398</v>
      </c>
      <c r="N563" t="s">
        <v>500</v>
      </c>
    </row>
    <row r="564" spans="1:14" hidden="1" x14ac:dyDescent="0.25">
      <c r="A564" t="s">
        <v>651</v>
      </c>
      <c r="B564" t="s">
        <v>652</v>
      </c>
      <c r="C564" t="s">
        <v>401</v>
      </c>
      <c r="D564" s="3" t="s">
        <v>505</v>
      </c>
      <c r="E564" s="3" t="s">
        <v>653</v>
      </c>
      <c r="F564">
        <v>15</v>
      </c>
      <c r="G564" s="3">
        <f t="shared" si="27"/>
        <v>0.15625</v>
      </c>
      <c r="H564" s="3">
        <f t="shared" si="28"/>
        <v>1.0416666666666666E-2</v>
      </c>
      <c r="I564" s="1">
        <f t="shared" si="26"/>
        <v>15</v>
      </c>
      <c r="J564" t="s">
        <v>455</v>
      </c>
      <c r="K564" t="s">
        <v>417</v>
      </c>
      <c r="L564" t="s">
        <v>319</v>
      </c>
      <c r="M564" t="s">
        <v>398</v>
      </c>
      <c r="N564" t="s">
        <v>500</v>
      </c>
    </row>
    <row r="565" spans="1:14" hidden="1" x14ac:dyDescent="0.25">
      <c r="A565" t="s">
        <v>654</v>
      </c>
      <c r="B565" t="s">
        <v>654</v>
      </c>
      <c r="C565" t="s">
        <v>407</v>
      </c>
      <c r="D565" s="3" t="s">
        <v>655</v>
      </c>
      <c r="E565" s="3" t="s">
        <v>655</v>
      </c>
      <c r="G565" s="3">
        <f t="shared" si="27"/>
        <v>0</v>
      </c>
      <c r="H565" s="3" t="e">
        <f t="shared" si="28"/>
        <v>#DIV/0!</v>
      </c>
      <c r="I565" s="1" t="e">
        <f t="shared" si="26"/>
        <v>#DIV/0!</v>
      </c>
      <c r="J565" t="s">
        <v>476</v>
      </c>
      <c r="L565" t="s">
        <v>368</v>
      </c>
      <c r="M565" t="s">
        <v>644</v>
      </c>
      <c r="N565" t="s">
        <v>465</v>
      </c>
    </row>
    <row r="566" spans="1:14" hidden="1" x14ac:dyDescent="0.25">
      <c r="A566" t="s">
        <v>654</v>
      </c>
      <c r="B566" t="s">
        <v>654</v>
      </c>
      <c r="C566" t="s">
        <v>407</v>
      </c>
      <c r="D566" s="3" t="s">
        <v>655</v>
      </c>
      <c r="E566" s="3" t="s">
        <v>655</v>
      </c>
      <c r="G566" s="3">
        <f t="shared" si="27"/>
        <v>0</v>
      </c>
      <c r="H566" s="3" t="e">
        <f t="shared" si="28"/>
        <v>#DIV/0!</v>
      </c>
      <c r="I566" s="1" t="e">
        <f t="shared" si="26"/>
        <v>#DIV/0!</v>
      </c>
      <c r="J566" t="s">
        <v>474</v>
      </c>
      <c r="L566" t="s">
        <v>368</v>
      </c>
      <c r="M566" t="s">
        <v>644</v>
      </c>
      <c r="N566" t="s">
        <v>465</v>
      </c>
    </row>
    <row r="567" spans="1:14" hidden="1" x14ac:dyDescent="0.25">
      <c r="A567" t="s">
        <v>654</v>
      </c>
      <c r="B567" t="s">
        <v>654</v>
      </c>
      <c r="C567" t="s">
        <v>407</v>
      </c>
      <c r="D567" s="3" t="s">
        <v>655</v>
      </c>
      <c r="E567" s="3" t="s">
        <v>655</v>
      </c>
      <c r="G567" s="3">
        <f t="shared" si="27"/>
        <v>0</v>
      </c>
      <c r="H567" s="3" t="e">
        <f t="shared" si="28"/>
        <v>#DIV/0!</v>
      </c>
      <c r="I567" s="1" t="e">
        <f t="shared" si="26"/>
        <v>#DIV/0!</v>
      </c>
      <c r="J567" t="s">
        <v>468</v>
      </c>
      <c r="L567" t="s">
        <v>368</v>
      </c>
      <c r="M567" t="s">
        <v>644</v>
      </c>
      <c r="N567" t="s">
        <v>465</v>
      </c>
    </row>
    <row r="568" spans="1:14" hidden="1" x14ac:dyDescent="0.25">
      <c r="A568" t="s">
        <v>654</v>
      </c>
      <c r="B568" t="s">
        <v>654</v>
      </c>
      <c r="C568" t="s">
        <v>407</v>
      </c>
      <c r="D568" s="3" t="s">
        <v>655</v>
      </c>
      <c r="E568" s="3" t="s">
        <v>655</v>
      </c>
      <c r="G568" s="3">
        <f t="shared" si="27"/>
        <v>0</v>
      </c>
      <c r="H568" s="3" t="e">
        <f t="shared" si="28"/>
        <v>#DIV/0!</v>
      </c>
      <c r="I568" s="1" t="e">
        <f t="shared" si="26"/>
        <v>#DIV/0!</v>
      </c>
      <c r="J568" t="s">
        <v>432</v>
      </c>
      <c r="L568" t="s">
        <v>368</v>
      </c>
      <c r="M568" t="s">
        <v>644</v>
      </c>
      <c r="N568" t="s">
        <v>465</v>
      </c>
    </row>
    <row r="569" spans="1:14" hidden="1" x14ac:dyDescent="0.25">
      <c r="A569" t="s">
        <v>656</v>
      </c>
      <c r="B569" t="s">
        <v>656</v>
      </c>
      <c r="C569" t="s">
        <v>393</v>
      </c>
      <c r="D569" s="3" t="s">
        <v>655</v>
      </c>
      <c r="E569" s="3" t="s">
        <v>655</v>
      </c>
      <c r="G569" s="3">
        <f t="shared" si="27"/>
        <v>0</v>
      </c>
      <c r="H569" s="3" t="e">
        <f t="shared" si="28"/>
        <v>#DIV/0!</v>
      </c>
      <c r="I569" s="1" t="e">
        <f t="shared" si="26"/>
        <v>#DIV/0!</v>
      </c>
      <c r="J569" t="s">
        <v>480</v>
      </c>
      <c r="L569" t="s">
        <v>368</v>
      </c>
      <c r="M569" t="s">
        <v>644</v>
      </c>
      <c r="N569" t="s">
        <v>465</v>
      </c>
    </row>
    <row r="570" spans="1:14" hidden="1" x14ac:dyDescent="0.25">
      <c r="A570" t="s">
        <v>444</v>
      </c>
      <c r="B570" t="s">
        <v>444</v>
      </c>
      <c r="C570" t="s">
        <v>393</v>
      </c>
      <c r="D570" s="3" t="s">
        <v>655</v>
      </c>
      <c r="E570" s="3" t="s">
        <v>655</v>
      </c>
      <c r="G570" s="3">
        <f t="shared" si="27"/>
        <v>0</v>
      </c>
      <c r="H570" s="3" t="e">
        <f t="shared" si="28"/>
        <v>#DIV/0!</v>
      </c>
      <c r="I570" s="1" t="e">
        <f t="shared" si="26"/>
        <v>#DIV/0!</v>
      </c>
      <c r="J570" t="s">
        <v>458</v>
      </c>
      <c r="L570" t="s">
        <v>368</v>
      </c>
      <c r="M570" t="s">
        <v>644</v>
      </c>
      <c r="N570" t="s">
        <v>447</v>
      </c>
    </row>
    <row r="571" spans="1:14" hidden="1" x14ac:dyDescent="0.25">
      <c r="A571" t="s">
        <v>446</v>
      </c>
      <c r="B571" t="s">
        <v>446</v>
      </c>
      <c r="C571" t="s">
        <v>400</v>
      </c>
      <c r="D571" s="3" t="s">
        <v>411</v>
      </c>
      <c r="E571" s="3" t="s">
        <v>505</v>
      </c>
      <c r="F571">
        <v>10</v>
      </c>
      <c r="G571" s="3">
        <f t="shared" si="27"/>
        <v>0.33333333333333331</v>
      </c>
      <c r="H571" s="3">
        <f t="shared" si="28"/>
        <v>3.3333333333333333E-2</v>
      </c>
      <c r="I571" s="1">
        <f t="shared" si="26"/>
        <v>48</v>
      </c>
      <c r="J571" t="s">
        <v>427</v>
      </c>
      <c r="K571" t="s">
        <v>397</v>
      </c>
      <c r="L571" t="s">
        <v>643</v>
      </c>
      <c r="M571" t="s">
        <v>398</v>
      </c>
      <c r="N571" t="s">
        <v>447</v>
      </c>
    </row>
    <row r="572" spans="1:14" hidden="1" x14ac:dyDescent="0.25">
      <c r="A572" t="s">
        <v>657</v>
      </c>
      <c r="B572" t="s">
        <v>452</v>
      </c>
      <c r="C572" t="s">
        <v>393</v>
      </c>
      <c r="D572" s="3" t="s">
        <v>445</v>
      </c>
      <c r="E572" s="3" t="s">
        <v>658</v>
      </c>
      <c r="F572">
        <v>15</v>
      </c>
      <c r="G572" s="3">
        <f t="shared" si="27"/>
        <v>0.19791666666666663</v>
      </c>
      <c r="H572" s="3">
        <f t="shared" si="28"/>
        <v>1.3194444444444443E-2</v>
      </c>
      <c r="I572" s="1">
        <f t="shared" si="26"/>
        <v>19</v>
      </c>
      <c r="J572" t="s">
        <v>404</v>
      </c>
      <c r="K572" t="s">
        <v>417</v>
      </c>
      <c r="L572" t="s">
        <v>134</v>
      </c>
      <c r="M572" t="s">
        <v>398</v>
      </c>
      <c r="N572" t="s">
        <v>405</v>
      </c>
    </row>
    <row r="573" spans="1:14" hidden="1" x14ac:dyDescent="0.25">
      <c r="A573" t="s">
        <v>657</v>
      </c>
      <c r="B573" t="s">
        <v>657</v>
      </c>
      <c r="C573" t="s">
        <v>401</v>
      </c>
      <c r="D573" s="3" t="s">
        <v>403</v>
      </c>
      <c r="E573" s="3" t="s">
        <v>426</v>
      </c>
      <c r="F573">
        <v>15</v>
      </c>
      <c r="G573" s="3">
        <f t="shared" si="27"/>
        <v>0.19097222222222227</v>
      </c>
      <c r="H573" s="3">
        <f t="shared" si="28"/>
        <v>1.2731481481481484E-2</v>
      </c>
      <c r="I573" s="1">
        <f t="shared" si="26"/>
        <v>18</v>
      </c>
      <c r="J573" t="s">
        <v>476</v>
      </c>
      <c r="K573" t="s">
        <v>397</v>
      </c>
      <c r="L573" t="s">
        <v>335</v>
      </c>
      <c r="M573" t="s">
        <v>398</v>
      </c>
      <c r="N573" t="s">
        <v>465</v>
      </c>
    </row>
    <row r="574" spans="1:14" hidden="1" x14ac:dyDescent="0.25">
      <c r="A574" t="s">
        <v>448</v>
      </c>
      <c r="B574" t="s">
        <v>448</v>
      </c>
      <c r="C574" t="s">
        <v>407</v>
      </c>
      <c r="D574" s="3" t="s">
        <v>403</v>
      </c>
      <c r="E574" s="3" t="s">
        <v>659</v>
      </c>
      <c r="F574">
        <v>15</v>
      </c>
      <c r="G574" s="3">
        <f t="shared" si="27"/>
        <v>0.23958333333333331</v>
      </c>
      <c r="H574" s="3">
        <f t="shared" si="28"/>
        <v>1.5972222222222221E-2</v>
      </c>
      <c r="I574" s="1">
        <f t="shared" si="26"/>
        <v>23</v>
      </c>
      <c r="J574" t="s">
        <v>476</v>
      </c>
      <c r="K574" t="s">
        <v>397</v>
      </c>
      <c r="L574" t="s">
        <v>315</v>
      </c>
      <c r="M574" t="s">
        <v>398</v>
      </c>
      <c r="N574" t="s">
        <v>465</v>
      </c>
    </row>
    <row r="575" spans="1:14" hidden="1" x14ac:dyDescent="0.25">
      <c r="A575" t="s">
        <v>448</v>
      </c>
      <c r="B575" t="s">
        <v>448</v>
      </c>
      <c r="C575" t="s">
        <v>407</v>
      </c>
      <c r="D575" s="3" t="s">
        <v>416</v>
      </c>
      <c r="E575" s="3" t="s">
        <v>505</v>
      </c>
      <c r="F575">
        <v>10</v>
      </c>
      <c r="G575" s="3">
        <f t="shared" si="27"/>
        <v>8.333333333333337E-2</v>
      </c>
      <c r="H575" s="3">
        <f t="shared" si="28"/>
        <v>8.3333333333333367E-3</v>
      </c>
      <c r="I575" s="1">
        <f t="shared" si="26"/>
        <v>12</v>
      </c>
      <c r="J575" t="s">
        <v>468</v>
      </c>
      <c r="K575" t="s">
        <v>417</v>
      </c>
      <c r="L575" t="s">
        <v>113</v>
      </c>
      <c r="M575" t="s">
        <v>398</v>
      </c>
      <c r="N575" t="s">
        <v>465</v>
      </c>
    </row>
    <row r="576" spans="1:14" hidden="1" x14ac:dyDescent="0.25">
      <c r="A576" t="s">
        <v>448</v>
      </c>
      <c r="B576" t="s">
        <v>448</v>
      </c>
      <c r="C576" t="s">
        <v>407</v>
      </c>
      <c r="D576" s="3" t="s">
        <v>505</v>
      </c>
      <c r="E576" s="3" t="s">
        <v>428</v>
      </c>
      <c r="F576">
        <v>15</v>
      </c>
      <c r="G576" s="3">
        <f t="shared" si="27"/>
        <v>0.10763888888888884</v>
      </c>
      <c r="H576" s="3">
        <f t="shared" si="28"/>
        <v>7.1759259259259224E-3</v>
      </c>
      <c r="I576" s="1">
        <f t="shared" si="26"/>
        <v>10</v>
      </c>
      <c r="J576" t="s">
        <v>468</v>
      </c>
      <c r="K576" t="s">
        <v>417</v>
      </c>
      <c r="L576" t="s">
        <v>113</v>
      </c>
      <c r="M576" t="s">
        <v>398</v>
      </c>
      <c r="N576" t="s">
        <v>465</v>
      </c>
    </row>
    <row r="577" spans="1:14" hidden="1" x14ac:dyDescent="0.25">
      <c r="A577" t="s">
        <v>448</v>
      </c>
      <c r="B577" t="s">
        <v>448</v>
      </c>
      <c r="C577" t="s">
        <v>407</v>
      </c>
      <c r="D577" s="3" t="s">
        <v>411</v>
      </c>
      <c r="E577" s="3" t="s">
        <v>464</v>
      </c>
      <c r="F577">
        <v>5</v>
      </c>
      <c r="G577" s="3">
        <f t="shared" si="27"/>
        <v>0.45833333333333331</v>
      </c>
      <c r="H577" s="3">
        <f t="shared" si="28"/>
        <v>9.166666666666666E-2</v>
      </c>
      <c r="I577" s="1">
        <f t="shared" si="26"/>
        <v>12</v>
      </c>
      <c r="J577" t="s">
        <v>521</v>
      </c>
      <c r="K577" t="s">
        <v>397</v>
      </c>
      <c r="L577" t="s">
        <v>522</v>
      </c>
      <c r="M577" t="s">
        <v>398</v>
      </c>
      <c r="N577" t="s">
        <v>465</v>
      </c>
    </row>
    <row r="578" spans="1:14" hidden="1" x14ac:dyDescent="0.25">
      <c r="A578" t="s">
        <v>448</v>
      </c>
      <c r="B578" t="s">
        <v>448</v>
      </c>
      <c r="C578" t="s">
        <v>401</v>
      </c>
      <c r="D578" s="3" t="s">
        <v>403</v>
      </c>
      <c r="E578" s="3" t="s">
        <v>441</v>
      </c>
      <c r="F578">
        <v>5</v>
      </c>
      <c r="G578" s="3">
        <f t="shared" si="27"/>
        <v>0.41319444444444448</v>
      </c>
      <c r="H578" s="3">
        <f t="shared" si="28"/>
        <v>8.2638888888888901E-2</v>
      </c>
      <c r="I578" s="1">
        <f t="shared" si="26"/>
        <v>59</v>
      </c>
      <c r="J578" t="s">
        <v>432</v>
      </c>
      <c r="K578" t="s">
        <v>397</v>
      </c>
      <c r="L578" t="s">
        <v>102</v>
      </c>
      <c r="M578" t="s">
        <v>644</v>
      </c>
      <c r="N578" t="s">
        <v>465</v>
      </c>
    </row>
    <row r="579" spans="1:14" hidden="1" x14ac:dyDescent="0.25">
      <c r="A579" t="s">
        <v>448</v>
      </c>
      <c r="B579" t="s">
        <v>448</v>
      </c>
      <c r="C579" t="s">
        <v>401</v>
      </c>
      <c r="D579" s="3" t="s">
        <v>411</v>
      </c>
      <c r="E579" s="3" t="s">
        <v>438</v>
      </c>
      <c r="F579">
        <v>5</v>
      </c>
      <c r="G579" s="3">
        <f t="shared" si="27"/>
        <v>0.41319444444444448</v>
      </c>
      <c r="H579" s="3">
        <f t="shared" si="28"/>
        <v>8.2638888888888901E-2</v>
      </c>
      <c r="I579" s="1">
        <f t="shared" ref="I579:I642" si="29">MINUTE(H579)</f>
        <v>59</v>
      </c>
      <c r="J579" t="s">
        <v>463</v>
      </c>
      <c r="K579" t="s">
        <v>397</v>
      </c>
      <c r="L579" t="s">
        <v>376</v>
      </c>
      <c r="M579" t="s">
        <v>644</v>
      </c>
      <c r="N579" t="s">
        <v>465</v>
      </c>
    </row>
    <row r="580" spans="1:14" hidden="1" x14ac:dyDescent="0.25">
      <c r="A580" t="s">
        <v>448</v>
      </c>
      <c r="B580" t="s">
        <v>448</v>
      </c>
      <c r="C580" t="s">
        <v>401</v>
      </c>
      <c r="D580" s="3" t="s">
        <v>403</v>
      </c>
      <c r="E580" s="3" t="s">
        <v>659</v>
      </c>
      <c r="F580">
        <v>15</v>
      </c>
      <c r="G580" s="3">
        <f t="shared" ref="G580:G643" si="30">(E580-D580)</f>
        <v>0.23958333333333331</v>
      </c>
      <c r="H580" s="3">
        <f t="shared" ref="H580:H643" si="31">G580/F580</f>
        <v>1.5972222222222221E-2</v>
      </c>
      <c r="I580" s="1">
        <f t="shared" si="29"/>
        <v>23</v>
      </c>
      <c r="J580" t="s">
        <v>474</v>
      </c>
      <c r="K580" t="s">
        <v>397</v>
      </c>
      <c r="L580" t="s">
        <v>315</v>
      </c>
      <c r="M580" t="s">
        <v>644</v>
      </c>
      <c r="N580" t="s">
        <v>465</v>
      </c>
    </row>
    <row r="581" spans="1:14" hidden="1" x14ac:dyDescent="0.25">
      <c r="A581" t="s">
        <v>448</v>
      </c>
      <c r="B581" t="s">
        <v>448</v>
      </c>
      <c r="C581" t="s">
        <v>401</v>
      </c>
      <c r="D581" s="3" t="s">
        <v>655</v>
      </c>
      <c r="E581" s="3" t="s">
        <v>655</v>
      </c>
      <c r="G581" s="3">
        <f t="shared" si="30"/>
        <v>0</v>
      </c>
      <c r="H581" s="3" t="e">
        <f t="shared" si="31"/>
        <v>#DIV/0!</v>
      </c>
      <c r="I581" s="1" t="e">
        <f t="shared" si="29"/>
        <v>#DIV/0!</v>
      </c>
      <c r="J581" t="s">
        <v>570</v>
      </c>
      <c r="L581" t="s">
        <v>660</v>
      </c>
      <c r="M581" t="s">
        <v>644</v>
      </c>
      <c r="N581" t="s">
        <v>465</v>
      </c>
    </row>
    <row r="582" spans="1:14" hidden="1" x14ac:dyDescent="0.25">
      <c r="A582" t="s">
        <v>448</v>
      </c>
      <c r="B582" t="s">
        <v>448</v>
      </c>
      <c r="C582" t="s">
        <v>401</v>
      </c>
      <c r="D582" s="3" t="s">
        <v>416</v>
      </c>
      <c r="E582" s="3" t="s">
        <v>505</v>
      </c>
      <c r="F582">
        <v>10</v>
      </c>
      <c r="G582" s="3">
        <f t="shared" si="30"/>
        <v>8.333333333333337E-2</v>
      </c>
      <c r="H582" s="3">
        <f t="shared" si="31"/>
        <v>8.3333333333333367E-3</v>
      </c>
      <c r="I582" s="1">
        <f t="shared" si="29"/>
        <v>12</v>
      </c>
      <c r="J582" t="s">
        <v>480</v>
      </c>
      <c r="K582" t="s">
        <v>417</v>
      </c>
      <c r="L582" t="s">
        <v>113</v>
      </c>
      <c r="M582" t="s">
        <v>644</v>
      </c>
      <c r="N582" t="s">
        <v>465</v>
      </c>
    </row>
    <row r="583" spans="1:14" hidden="1" x14ac:dyDescent="0.25">
      <c r="A583" t="s">
        <v>448</v>
      </c>
      <c r="B583" t="s">
        <v>448</v>
      </c>
      <c r="C583" t="s">
        <v>401</v>
      </c>
      <c r="D583" s="3" t="s">
        <v>479</v>
      </c>
      <c r="E583" s="3" t="s">
        <v>482</v>
      </c>
      <c r="F583">
        <v>10</v>
      </c>
      <c r="G583" s="3">
        <f t="shared" si="30"/>
        <v>8.3333333333333259E-2</v>
      </c>
      <c r="H583" s="3">
        <f t="shared" si="31"/>
        <v>8.3333333333333263E-3</v>
      </c>
      <c r="I583" s="1">
        <f t="shared" si="29"/>
        <v>12</v>
      </c>
      <c r="J583" t="s">
        <v>508</v>
      </c>
      <c r="K583" t="s">
        <v>417</v>
      </c>
      <c r="L583" t="s">
        <v>368</v>
      </c>
      <c r="M583" t="s">
        <v>644</v>
      </c>
      <c r="N583" t="s">
        <v>465</v>
      </c>
    </row>
    <row r="584" spans="1:14" hidden="1" x14ac:dyDescent="0.25">
      <c r="A584" t="s">
        <v>448</v>
      </c>
      <c r="B584" t="s">
        <v>448</v>
      </c>
      <c r="C584" t="s">
        <v>401</v>
      </c>
      <c r="D584" s="3" t="s">
        <v>655</v>
      </c>
      <c r="E584" s="3" t="s">
        <v>655</v>
      </c>
      <c r="G584" s="3">
        <f t="shared" si="30"/>
        <v>0</v>
      </c>
      <c r="H584" s="3" t="e">
        <f t="shared" si="31"/>
        <v>#DIV/0!</v>
      </c>
      <c r="I584" s="1" t="e">
        <f t="shared" si="29"/>
        <v>#DIV/0!</v>
      </c>
      <c r="J584" t="s">
        <v>427</v>
      </c>
      <c r="L584" t="s">
        <v>519</v>
      </c>
      <c r="M584" t="s">
        <v>644</v>
      </c>
      <c r="N584" t="s">
        <v>399</v>
      </c>
    </row>
    <row r="585" spans="1:14" hidden="1" x14ac:dyDescent="0.25">
      <c r="A585" t="s">
        <v>448</v>
      </c>
      <c r="B585" t="s">
        <v>448</v>
      </c>
      <c r="C585" t="s">
        <v>401</v>
      </c>
      <c r="D585" s="3" t="s">
        <v>655</v>
      </c>
      <c r="E585" s="3" t="s">
        <v>655</v>
      </c>
      <c r="G585" s="3">
        <f t="shared" si="30"/>
        <v>0</v>
      </c>
      <c r="H585" s="3" t="e">
        <f t="shared" si="31"/>
        <v>#DIV/0!</v>
      </c>
      <c r="I585" s="1" t="e">
        <f t="shared" si="29"/>
        <v>#DIV/0!</v>
      </c>
      <c r="J585" t="s">
        <v>425</v>
      </c>
      <c r="L585" t="s">
        <v>114</v>
      </c>
      <c r="M585" t="s">
        <v>644</v>
      </c>
      <c r="N585" t="s">
        <v>405</v>
      </c>
    </row>
    <row r="586" spans="1:14" hidden="1" x14ac:dyDescent="0.25">
      <c r="A586" t="s">
        <v>477</v>
      </c>
      <c r="B586" t="s">
        <v>477</v>
      </c>
      <c r="C586" t="s">
        <v>393</v>
      </c>
      <c r="D586" s="3" t="s">
        <v>450</v>
      </c>
      <c r="E586" s="3" t="s">
        <v>488</v>
      </c>
      <c r="F586">
        <v>10</v>
      </c>
      <c r="G586" s="3">
        <f t="shared" si="30"/>
        <v>0.125</v>
      </c>
      <c r="H586" s="3">
        <f t="shared" si="31"/>
        <v>1.2500000000000001E-2</v>
      </c>
      <c r="I586" s="1">
        <f t="shared" si="29"/>
        <v>18</v>
      </c>
      <c r="J586" t="s">
        <v>396</v>
      </c>
      <c r="K586" t="s">
        <v>417</v>
      </c>
      <c r="L586" t="s">
        <v>113</v>
      </c>
      <c r="M586" t="s">
        <v>398</v>
      </c>
      <c r="N586" t="s">
        <v>399</v>
      </c>
    </row>
    <row r="587" spans="1:14" hidden="1" x14ac:dyDescent="0.25">
      <c r="A587" t="s">
        <v>477</v>
      </c>
      <c r="B587" t="s">
        <v>477</v>
      </c>
      <c r="C587" t="s">
        <v>407</v>
      </c>
      <c r="D587" s="3" t="s">
        <v>403</v>
      </c>
      <c r="E587" s="3" t="s">
        <v>402</v>
      </c>
      <c r="F587">
        <v>15</v>
      </c>
      <c r="G587" s="3">
        <f t="shared" si="30"/>
        <v>0.14930555555555558</v>
      </c>
      <c r="H587" s="3">
        <f t="shared" si="31"/>
        <v>9.9537037037037059E-3</v>
      </c>
      <c r="I587" s="1">
        <f t="shared" si="29"/>
        <v>14</v>
      </c>
      <c r="J587" t="s">
        <v>404</v>
      </c>
      <c r="K587" t="s">
        <v>397</v>
      </c>
      <c r="L587" t="s">
        <v>115</v>
      </c>
      <c r="M587" t="s">
        <v>644</v>
      </c>
      <c r="N587" t="s">
        <v>500</v>
      </c>
    </row>
    <row r="588" spans="1:14" hidden="1" x14ac:dyDescent="0.25">
      <c r="A588" t="s">
        <v>477</v>
      </c>
      <c r="B588" t="s">
        <v>477</v>
      </c>
      <c r="C588" t="s">
        <v>407</v>
      </c>
      <c r="D588" s="3" t="s">
        <v>411</v>
      </c>
      <c r="E588" s="3" t="s">
        <v>478</v>
      </c>
      <c r="F588">
        <v>10</v>
      </c>
      <c r="G588" s="3">
        <f t="shared" si="30"/>
        <v>0.2638888888888889</v>
      </c>
      <c r="H588" s="3">
        <f t="shared" si="31"/>
        <v>2.6388888888888889E-2</v>
      </c>
      <c r="I588" s="1">
        <f t="shared" si="29"/>
        <v>38</v>
      </c>
      <c r="J588" t="s">
        <v>471</v>
      </c>
      <c r="K588" t="s">
        <v>397</v>
      </c>
      <c r="L588" t="s">
        <v>89</v>
      </c>
      <c r="M588" t="s">
        <v>644</v>
      </c>
      <c r="N588" t="s">
        <v>465</v>
      </c>
    </row>
    <row r="589" spans="1:14" hidden="1" x14ac:dyDescent="0.25">
      <c r="A589" t="s">
        <v>477</v>
      </c>
      <c r="B589" t="s">
        <v>477</v>
      </c>
      <c r="C589" t="s">
        <v>407</v>
      </c>
      <c r="D589" s="3" t="s">
        <v>411</v>
      </c>
      <c r="E589" s="3" t="s">
        <v>478</v>
      </c>
      <c r="F589">
        <v>10</v>
      </c>
      <c r="G589" s="3">
        <f t="shared" si="30"/>
        <v>0.2638888888888889</v>
      </c>
      <c r="H589" s="3">
        <f t="shared" si="31"/>
        <v>2.6388888888888889E-2</v>
      </c>
      <c r="I589" s="1">
        <f t="shared" si="29"/>
        <v>38</v>
      </c>
      <c r="J589" t="s">
        <v>471</v>
      </c>
      <c r="K589" t="s">
        <v>397</v>
      </c>
      <c r="L589" t="s">
        <v>89</v>
      </c>
      <c r="M589" t="s">
        <v>644</v>
      </c>
      <c r="N589" t="s">
        <v>465</v>
      </c>
    </row>
    <row r="590" spans="1:14" hidden="1" x14ac:dyDescent="0.25">
      <c r="A590" t="s">
        <v>477</v>
      </c>
      <c r="B590" t="s">
        <v>477</v>
      </c>
      <c r="C590" t="s">
        <v>407</v>
      </c>
      <c r="D590" s="3" t="s">
        <v>411</v>
      </c>
      <c r="E590" s="3" t="s">
        <v>478</v>
      </c>
      <c r="F590">
        <v>10</v>
      </c>
      <c r="G590" s="3">
        <f t="shared" si="30"/>
        <v>0.2638888888888889</v>
      </c>
      <c r="H590" s="3">
        <f t="shared" si="31"/>
        <v>2.6388888888888889E-2</v>
      </c>
      <c r="I590" s="1">
        <f t="shared" si="29"/>
        <v>38</v>
      </c>
      <c r="J590" t="s">
        <v>471</v>
      </c>
      <c r="K590" t="s">
        <v>397</v>
      </c>
      <c r="L590" t="s">
        <v>89</v>
      </c>
      <c r="M590" t="s">
        <v>644</v>
      </c>
      <c r="N590" t="s">
        <v>465</v>
      </c>
    </row>
    <row r="591" spans="1:14" hidden="1" x14ac:dyDescent="0.25">
      <c r="A591" t="s">
        <v>477</v>
      </c>
      <c r="B591" t="s">
        <v>477</v>
      </c>
      <c r="C591" t="s">
        <v>407</v>
      </c>
      <c r="D591" s="3" t="s">
        <v>411</v>
      </c>
      <c r="E591" s="3" t="s">
        <v>478</v>
      </c>
      <c r="F591">
        <v>10</v>
      </c>
      <c r="G591" s="3">
        <f t="shared" si="30"/>
        <v>0.2638888888888889</v>
      </c>
      <c r="H591" s="3">
        <f t="shared" si="31"/>
        <v>2.6388888888888889E-2</v>
      </c>
      <c r="I591" s="1">
        <f t="shared" si="29"/>
        <v>38</v>
      </c>
      <c r="J591" t="s">
        <v>471</v>
      </c>
      <c r="K591" t="s">
        <v>397</v>
      </c>
      <c r="L591" t="s">
        <v>89</v>
      </c>
      <c r="M591" t="s">
        <v>644</v>
      </c>
      <c r="N591" t="s">
        <v>465</v>
      </c>
    </row>
    <row r="592" spans="1:14" hidden="1" x14ac:dyDescent="0.25">
      <c r="A592" t="s">
        <v>477</v>
      </c>
      <c r="B592" t="s">
        <v>477</v>
      </c>
      <c r="C592" t="s">
        <v>407</v>
      </c>
      <c r="D592" s="3" t="s">
        <v>416</v>
      </c>
      <c r="E592" s="3" t="s">
        <v>479</v>
      </c>
      <c r="F592">
        <v>10</v>
      </c>
      <c r="G592" s="3">
        <f t="shared" si="30"/>
        <v>0.16666666666666674</v>
      </c>
      <c r="H592" s="3">
        <f t="shared" si="31"/>
        <v>1.6666666666666673E-2</v>
      </c>
      <c r="I592" s="1">
        <f t="shared" si="29"/>
        <v>24</v>
      </c>
      <c r="J592" t="s">
        <v>517</v>
      </c>
      <c r="K592" t="s">
        <v>417</v>
      </c>
      <c r="L592" t="s">
        <v>88</v>
      </c>
      <c r="M592" t="s">
        <v>644</v>
      </c>
      <c r="N592" t="s">
        <v>399</v>
      </c>
    </row>
    <row r="593" spans="1:14" hidden="1" x14ac:dyDescent="0.25">
      <c r="A593" t="s">
        <v>477</v>
      </c>
      <c r="B593" t="s">
        <v>477</v>
      </c>
      <c r="C593" t="s">
        <v>407</v>
      </c>
      <c r="D593" s="3" t="s">
        <v>655</v>
      </c>
      <c r="E593" s="3" t="s">
        <v>655</v>
      </c>
      <c r="F593">
        <v>10</v>
      </c>
      <c r="G593" s="3">
        <f t="shared" si="30"/>
        <v>0</v>
      </c>
      <c r="H593" s="3">
        <f t="shared" si="31"/>
        <v>0</v>
      </c>
      <c r="I593" s="1">
        <f t="shared" si="29"/>
        <v>0</v>
      </c>
      <c r="J593" t="s">
        <v>563</v>
      </c>
      <c r="L593" t="s">
        <v>661</v>
      </c>
      <c r="M593" t="s">
        <v>644</v>
      </c>
      <c r="N593" t="s">
        <v>465</v>
      </c>
    </row>
    <row r="594" spans="1:14" hidden="1" x14ac:dyDescent="0.25">
      <c r="A594" t="s">
        <v>477</v>
      </c>
      <c r="B594" t="s">
        <v>477</v>
      </c>
      <c r="C594" t="s">
        <v>407</v>
      </c>
      <c r="D594" s="3" t="s">
        <v>395</v>
      </c>
      <c r="E594" s="3" t="s">
        <v>394</v>
      </c>
      <c r="F594">
        <v>10</v>
      </c>
      <c r="G594" s="3">
        <f t="shared" si="30"/>
        <v>0.14930555555555558</v>
      </c>
      <c r="H594" s="3">
        <f t="shared" si="31"/>
        <v>1.4930555555555558E-2</v>
      </c>
      <c r="I594" s="1">
        <f t="shared" si="29"/>
        <v>21</v>
      </c>
      <c r="J594" t="s">
        <v>396</v>
      </c>
      <c r="K594" t="s">
        <v>397</v>
      </c>
      <c r="L594" t="s">
        <v>88</v>
      </c>
      <c r="M594" t="s">
        <v>644</v>
      </c>
      <c r="N594" t="s">
        <v>399</v>
      </c>
    </row>
    <row r="595" spans="1:14" hidden="1" x14ac:dyDescent="0.25">
      <c r="A595" t="s">
        <v>477</v>
      </c>
      <c r="B595" t="s">
        <v>477</v>
      </c>
      <c r="C595" t="s">
        <v>407</v>
      </c>
      <c r="D595" s="3" t="s">
        <v>655</v>
      </c>
      <c r="E595" s="3" t="s">
        <v>655</v>
      </c>
      <c r="G595" s="3">
        <f t="shared" si="30"/>
        <v>0</v>
      </c>
      <c r="H595" s="3" t="e">
        <f t="shared" si="31"/>
        <v>#DIV/0!</v>
      </c>
      <c r="I595" s="1" t="e">
        <f t="shared" si="29"/>
        <v>#DIV/0!</v>
      </c>
      <c r="J595" t="s">
        <v>427</v>
      </c>
      <c r="L595" t="s">
        <v>662</v>
      </c>
      <c r="M595" t="s">
        <v>644</v>
      </c>
      <c r="N595" t="s">
        <v>399</v>
      </c>
    </row>
    <row r="596" spans="1:14" hidden="1" x14ac:dyDescent="0.25">
      <c r="A596" t="s">
        <v>477</v>
      </c>
      <c r="B596" t="s">
        <v>477</v>
      </c>
      <c r="C596" t="s">
        <v>407</v>
      </c>
      <c r="D596" s="3" t="s">
        <v>403</v>
      </c>
      <c r="E596" s="3" t="s">
        <v>428</v>
      </c>
      <c r="F596">
        <v>20</v>
      </c>
      <c r="G596" s="3">
        <f t="shared" si="30"/>
        <v>0.39930555555555552</v>
      </c>
      <c r="H596" s="3">
        <f t="shared" si="31"/>
        <v>1.9965277777777776E-2</v>
      </c>
      <c r="I596" s="1">
        <f t="shared" si="29"/>
        <v>28</v>
      </c>
      <c r="J596" t="s">
        <v>476</v>
      </c>
      <c r="K596" t="s">
        <v>397</v>
      </c>
      <c r="L596" t="s">
        <v>330</v>
      </c>
      <c r="M596" t="s">
        <v>644</v>
      </c>
      <c r="N596" t="s">
        <v>465</v>
      </c>
    </row>
    <row r="597" spans="1:14" hidden="1" x14ac:dyDescent="0.25">
      <c r="A597" t="s">
        <v>477</v>
      </c>
      <c r="B597" t="s">
        <v>477</v>
      </c>
      <c r="C597" t="s">
        <v>407</v>
      </c>
      <c r="D597" s="3" t="s">
        <v>655</v>
      </c>
      <c r="E597" s="3" t="s">
        <v>655</v>
      </c>
      <c r="F597">
        <v>10</v>
      </c>
      <c r="G597" s="3">
        <f t="shared" si="30"/>
        <v>0</v>
      </c>
      <c r="H597" s="3">
        <f t="shared" si="31"/>
        <v>0</v>
      </c>
      <c r="I597" s="1">
        <f t="shared" si="29"/>
        <v>0</v>
      </c>
      <c r="J597" t="s">
        <v>521</v>
      </c>
      <c r="L597" t="s">
        <v>663</v>
      </c>
      <c r="M597" t="s">
        <v>644</v>
      </c>
      <c r="N597" t="s">
        <v>465</v>
      </c>
    </row>
    <row r="598" spans="1:14" hidden="1" x14ac:dyDescent="0.25">
      <c r="A598" t="s">
        <v>477</v>
      </c>
      <c r="B598" t="s">
        <v>477</v>
      </c>
      <c r="C598" t="s">
        <v>407</v>
      </c>
      <c r="D598" s="3" t="s">
        <v>655</v>
      </c>
      <c r="E598" s="3" t="s">
        <v>655</v>
      </c>
      <c r="F598">
        <v>1</v>
      </c>
      <c r="G598" s="3">
        <f t="shared" si="30"/>
        <v>0</v>
      </c>
      <c r="H598" s="3">
        <f t="shared" si="31"/>
        <v>0</v>
      </c>
      <c r="I598" s="1">
        <f t="shared" si="29"/>
        <v>0</v>
      </c>
      <c r="J598" t="s">
        <v>529</v>
      </c>
      <c r="L598" t="s">
        <v>664</v>
      </c>
      <c r="M598" t="s">
        <v>644</v>
      </c>
      <c r="N598" t="s">
        <v>465</v>
      </c>
    </row>
    <row r="599" spans="1:14" hidden="1" x14ac:dyDescent="0.25">
      <c r="A599" t="s">
        <v>477</v>
      </c>
      <c r="B599" t="s">
        <v>477</v>
      </c>
      <c r="C599" t="s">
        <v>407</v>
      </c>
      <c r="D599" s="3" t="s">
        <v>562</v>
      </c>
      <c r="E599" s="3" t="s">
        <v>562</v>
      </c>
      <c r="F599">
        <v>20</v>
      </c>
      <c r="G599" s="3">
        <f t="shared" si="30"/>
        <v>0</v>
      </c>
      <c r="H599" s="3">
        <f t="shared" si="31"/>
        <v>0</v>
      </c>
      <c r="I599" s="1">
        <f t="shared" si="29"/>
        <v>0</v>
      </c>
      <c r="J599" t="s">
        <v>529</v>
      </c>
      <c r="K599" t="s">
        <v>397</v>
      </c>
      <c r="L599" t="s">
        <v>665</v>
      </c>
      <c r="M599" t="s">
        <v>644</v>
      </c>
      <c r="N599" t="s">
        <v>465</v>
      </c>
    </row>
    <row r="600" spans="1:14" hidden="1" x14ac:dyDescent="0.25">
      <c r="A600" t="s">
        <v>477</v>
      </c>
      <c r="B600" t="s">
        <v>477</v>
      </c>
      <c r="C600" t="s">
        <v>407</v>
      </c>
      <c r="D600" s="3" t="s">
        <v>395</v>
      </c>
      <c r="E600" s="3" t="s">
        <v>394</v>
      </c>
      <c r="F600">
        <v>10</v>
      </c>
      <c r="G600" s="3">
        <f t="shared" si="30"/>
        <v>0.14930555555555558</v>
      </c>
      <c r="H600" s="3">
        <f t="shared" si="31"/>
        <v>1.4930555555555558E-2</v>
      </c>
      <c r="I600" s="1">
        <f t="shared" si="29"/>
        <v>21</v>
      </c>
      <c r="J600" t="s">
        <v>517</v>
      </c>
      <c r="K600" t="s">
        <v>397</v>
      </c>
      <c r="L600" t="s">
        <v>88</v>
      </c>
      <c r="M600" t="s">
        <v>644</v>
      </c>
      <c r="N600" t="s">
        <v>399</v>
      </c>
    </row>
    <row r="601" spans="1:14" hidden="1" x14ac:dyDescent="0.25">
      <c r="A601" t="s">
        <v>477</v>
      </c>
      <c r="B601" t="s">
        <v>477</v>
      </c>
      <c r="C601" t="s">
        <v>407</v>
      </c>
      <c r="D601" s="3" t="s">
        <v>655</v>
      </c>
      <c r="E601" s="3" t="s">
        <v>655</v>
      </c>
      <c r="F601">
        <v>2</v>
      </c>
      <c r="G601" s="3">
        <f t="shared" si="30"/>
        <v>0</v>
      </c>
      <c r="H601" s="3">
        <f t="shared" si="31"/>
        <v>0</v>
      </c>
      <c r="I601" s="1">
        <f t="shared" si="29"/>
        <v>0</v>
      </c>
      <c r="J601" t="s">
        <v>529</v>
      </c>
      <c r="L601" t="s">
        <v>662</v>
      </c>
      <c r="M601" t="s">
        <v>644</v>
      </c>
      <c r="N601" t="s">
        <v>447</v>
      </c>
    </row>
    <row r="602" spans="1:14" hidden="1" x14ac:dyDescent="0.25">
      <c r="A602" t="s">
        <v>477</v>
      </c>
      <c r="B602" t="s">
        <v>477</v>
      </c>
      <c r="C602" t="s">
        <v>407</v>
      </c>
      <c r="D602" s="3" t="s">
        <v>655</v>
      </c>
      <c r="E602" s="3" t="s">
        <v>655</v>
      </c>
      <c r="F602">
        <v>2</v>
      </c>
      <c r="G602" s="3">
        <f t="shared" si="30"/>
        <v>0</v>
      </c>
      <c r="H602" s="3">
        <f t="shared" si="31"/>
        <v>0</v>
      </c>
      <c r="I602" s="1">
        <f t="shared" si="29"/>
        <v>0</v>
      </c>
      <c r="J602" t="s">
        <v>427</v>
      </c>
      <c r="L602" t="s">
        <v>662</v>
      </c>
      <c r="M602" t="s">
        <v>644</v>
      </c>
      <c r="N602" t="s">
        <v>399</v>
      </c>
    </row>
    <row r="603" spans="1:14" hidden="1" x14ac:dyDescent="0.25">
      <c r="A603" t="s">
        <v>477</v>
      </c>
      <c r="B603" t="s">
        <v>477</v>
      </c>
      <c r="C603" t="s">
        <v>407</v>
      </c>
      <c r="D603" s="3" t="s">
        <v>482</v>
      </c>
      <c r="E603" s="3" t="s">
        <v>481</v>
      </c>
      <c r="F603">
        <v>10</v>
      </c>
      <c r="G603" s="3">
        <f t="shared" si="30"/>
        <v>0.11111111111111116</v>
      </c>
      <c r="H603" s="3">
        <f t="shared" si="31"/>
        <v>1.1111111111111117E-2</v>
      </c>
      <c r="I603" s="1">
        <f t="shared" si="29"/>
        <v>16</v>
      </c>
      <c r="J603" t="s">
        <v>429</v>
      </c>
      <c r="K603" t="s">
        <v>483</v>
      </c>
      <c r="L603" t="s">
        <v>113</v>
      </c>
      <c r="M603" t="s">
        <v>644</v>
      </c>
      <c r="N603" t="s">
        <v>399</v>
      </c>
    </row>
    <row r="604" spans="1:14" hidden="1" x14ac:dyDescent="0.25">
      <c r="A604" t="s">
        <v>477</v>
      </c>
      <c r="B604" t="s">
        <v>477</v>
      </c>
      <c r="C604" t="s">
        <v>407</v>
      </c>
      <c r="D604" s="3" t="s">
        <v>416</v>
      </c>
      <c r="E604" s="3" t="s">
        <v>431</v>
      </c>
      <c r="F604">
        <v>15</v>
      </c>
      <c r="G604" s="3">
        <f t="shared" si="30"/>
        <v>0.14930555555555558</v>
      </c>
      <c r="H604" s="3">
        <f t="shared" si="31"/>
        <v>9.9537037037037059E-3</v>
      </c>
      <c r="I604" s="1">
        <f t="shared" si="29"/>
        <v>14</v>
      </c>
      <c r="J604" t="s">
        <v>459</v>
      </c>
      <c r="K604" t="s">
        <v>417</v>
      </c>
      <c r="L604" t="s">
        <v>322</v>
      </c>
      <c r="M604" t="s">
        <v>644</v>
      </c>
      <c r="N604" t="s">
        <v>465</v>
      </c>
    </row>
    <row r="605" spans="1:14" hidden="1" x14ac:dyDescent="0.25">
      <c r="A605" t="s">
        <v>477</v>
      </c>
      <c r="B605" t="s">
        <v>477</v>
      </c>
      <c r="C605" t="s">
        <v>407</v>
      </c>
      <c r="D605" s="3" t="s">
        <v>655</v>
      </c>
      <c r="E605" s="3" t="s">
        <v>655</v>
      </c>
      <c r="F605">
        <v>2</v>
      </c>
      <c r="G605" s="3">
        <f t="shared" si="30"/>
        <v>0</v>
      </c>
      <c r="H605" s="3">
        <f t="shared" si="31"/>
        <v>0</v>
      </c>
      <c r="I605" s="1">
        <f t="shared" si="29"/>
        <v>0</v>
      </c>
      <c r="J605" t="s">
        <v>427</v>
      </c>
      <c r="L605" t="s">
        <v>662</v>
      </c>
      <c r="M605" t="s">
        <v>644</v>
      </c>
      <c r="N605" t="s">
        <v>399</v>
      </c>
    </row>
    <row r="606" spans="1:14" hidden="1" x14ac:dyDescent="0.25">
      <c r="A606" t="s">
        <v>477</v>
      </c>
      <c r="B606" t="s">
        <v>477</v>
      </c>
      <c r="C606" t="s">
        <v>407</v>
      </c>
      <c r="D606" s="3" t="s">
        <v>504</v>
      </c>
      <c r="E606" s="3" t="s">
        <v>428</v>
      </c>
      <c r="F606">
        <v>10</v>
      </c>
      <c r="G606" s="3">
        <f t="shared" si="30"/>
        <v>0.17013888888888884</v>
      </c>
      <c r="H606" s="3">
        <f t="shared" si="31"/>
        <v>1.7013888888888884E-2</v>
      </c>
      <c r="I606" s="1">
        <f t="shared" si="29"/>
        <v>24</v>
      </c>
      <c r="J606" t="s">
        <v>404</v>
      </c>
      <c r="K606" t="s">
        <v>417</v>
      </c>
      <c r="L606" t="s">
        <v>341</v>
      </c>
      <c r="M606" t="s">
        <v>644</v>
      </c>
      <c r="N606" t="s">
        <v>405</v>
      </c>
    </row>
    <row r="607" spans="1:14" hidden="1" x14ac:dyDescent="0.25">
      <c r="A607" t="s">
        <v>477</v>
      </c>
      <c r="B607" t="s">
        <v>477</v>
      </c>
      <c r="C607" t="s">
        <v>407</v>
      </c>
      <c r="D607" s="3" t="s">
        <v>453</v>
      </c>
      <c r="E607" s="3" t="s">
        <v>602</v>
      </c>
      <c r="F607">
        <v>5</v>
      </c>
      <c r="G607" s="3">
        <f t="shared" si="30"/>
        <v>0.24652777777777779</v>
      </c>
      <c r="H607" s="3">
        <f t="shared" si="31"/>
        <v>4.9305555555555561E-2</v>
      </c>
      <c r="I607" s="1">
        <f t="shared" si="29"/>
        <v>11</v>
      </c>
      <c r="J607" t="s">
        <v>432</v>
      </c>
      <c r="K607" t="s">
        <v>417</v>
      </c>
      <c r="L607" t="s">
        <v>111</v>
      </c>
      <c r="M607" t="s">
        <v>644</v>
      </c>
      <c r="N607" t="s">
        <v>465</v>
      </c>
    </row>
    <row r="608" spans="1:14" hidden="1" x14ac:dyDescent="0.25">
      <c r="A608" t="s">
        <v>477</v>
      </c>
      <c r="B608" t="s">
        <v>477</v>
      </c>
      <c r="C608" t="s">
        <v>407</v>
      </c>
      <c r="D608" s="3" t="s">
        <v>655</v>
      </c>
      <c r="E608" s="3" t="s">
        <v>655</v>
      </c>
      <c r="G608" s="3">
        <f t="shared" si="30"/>
        <v>0</v>
      </c>
      <c r="H608" s="3" t="e">
        <f t="shared" si="31"/>
        <v>#DIV/0!</v>
      </c>
      <c r="I608" s="1" t="e">
        <f t="shared" si="29"/>
        <v>#DIV/0!</v>
      </c>
      <c r="J608" t="s">
        <v>570</v>
      </c>
      <c r="L608" t="s">
        <v>666</v>
      </c>
      <c r="M608" t="s">
        <v>644</v>
      </c>
      <c r="N608" t="s">
        <v>465</v>
      </c>
    </row>
    <row r="609" spans="1:14" hidden="1" x14ac:dyDescent="0.25">
      <c r="A609" t="s">
        <v>477</v>
      </c>
      <c r="B609" t="s">
        <v>477</v>
      </c>
      <c r="C609" t="s">
        <v>407</v>
      </c>
      <c r="D609" s="3" t="s">
        <v>655</v>
      </c>
      <c r="E609" s="3" t="s">
        <v>655</v>
      </c>
      <c r="F609">
        <v>1</v>
      </c>
      <c r="G609" s="3">
        <f t="shared" si="30"/>
        <v>0</v>
      </c>
      <c r="H609" s="3">
        <f t="shared" si="31"/>
        <v>0</v>
      </c>
      <c r="I609" s="1">
        <f t="shared" si="29"/>
        <v>0</v>
      </c>
      <c r="J609" t="s">
        <v>541</v>
      </c>
      <c r="L609" t="s">
        <v>664</v>
      </c>
      <c r="M609" t="s">
        <v>644</v>
      </c>
      <c r="N609" t="s">
        <v>465</v>
      </c>
    </row>
    <row r="610" spans="1:14" hidden="1" x14ac:dyDescent="0.25">
      <c r="A610" t="s">
        <v>477</v>
      </c>
      <c r="B610" t="s">
        <v>477</v>
      </c>
      <c r="C610" t="s">
        <v>407</v>
      </c>
      <c r="D610" s="3" t="s">
        <v>655</v>
      </c>
      <c r="E610" s="3" t="s">
        <v>655</v>
      </c>
      <c r="F610">
        <v>1</v>
      </c>
      <c r="G610" s="3">
        <f t="shared" si="30"/>
        <v>0</v>
      </c>
      <c r="H610" s="3">
        <f t="shared" si="31"/>
        <v>0</v>
      </c>
      <c r="I610" s="1">
        <f t="shared" si="29"/>
        <v>0</v>
      </c>
      <c r="J610" t="s">
        <v>541</v>
      </c>
      <c r="L610" t="s">
        <v>664</v>
      </c>
      <c r="M610" t="s">
        <v>644</v>
      </c>
      <c r="N610" t="s">
        <v>465</v>
      </c>
    </row>
    <row r="611" spans="1:14" hidden="1" x14ac:dyDescent="0.25">
      <c r="A611" t="s">
        <v>477</v>
      </c>
      <c r="B611" t="s">
        <v>477</v>
      </c>
      <c r="C611" t="s">
        <v>407</v>
      </c>
      <c r="D611" s="3" t="s">
        <v>482</v>
      </c>
      <c r="E611" s="3" t="s">
        <v>481</v>
      </c>
      <c r="F611">
        <v>10</v>
      </c>
      <c r="G611" s="3">
        <f t="shared" si="30"/>
        <v>0.11111111111111116</v>
      </c>
      <c r="H611" s="3">
        <f t="shared" si="31"/>
        <v>1.1111111111111117E-2</v>
      </c>
      <c r="I611" s="1">
        <f t="shared" si="29"/>
        <v>16</v>
      </c>
      <c r="J611" t="s">
        <v>476</v>
      </c>
      <c r="K611" t="s">
        <v>483</v>
      </c>
      <c r="L611" t="s">
        <v>113</v>
      </c>
      <c r="M611" t="s">
        <v>644</v>
      </c>
      <c r="N611" t="s">
        <v>465</v>
      </c>
    </row>
    <row r="612" spans="1:14" hidden="1" x14ac:dyDescent="0.25">
      <c r="A612" t="s">
        <v>477</v>
      </c>
      <c r="B612" t="s">
        <v>477</v>
      </c>
      <c r="C612" t="s">
        <v>407</v>
      </c>
      <c r="D612" s="3" t="s">
        <v>655</v>
      </c>
      <c r="E612" s="3" t="s">
        <v>655</v>
      </c>
      <c r="G612" s="3">
        <f t="shared" si="30"/>
        <v>0</v>
      </c>
      <c r="H612" s="3" t="e">
        <f t="shared" si="31"/>
        <v>#DIV/0!</v>
      </c>
      <c r="I612" s="1" t="e">
        <f t="shared" si="29"/>
        <v>#DIV/0!</v>
      </c>
      <c r="J612" t="s">
        <v>563</v>
      </c>
      <c r="L612" t="s">
        <v>667</v>
      </c>
      <c r="M612" t="s">
        <v>644</v>
      </c>
      <c r="N612" t="s">
        <v>465</v>
      </c>
    </row>
    <row r="613" spans="1:14" hidden="1" x14ac:dyDescent="0.25">
      <c r="A613" t="s">
        <v>477</v>
      </c>
      <c r="B613" t="s">
        <v>477</v>
      </c>
      <c r="C613" t="s">
        <v>407</v>
      </c>
      <c r="D613" s="3" t="s">
        <v>655</v>
      </c>
      <c r="E613" s="3" t="s">
        <v>655</v>
      </c>
      <c r="G613" s="3">
        <f t="shared" si="30"/>
        <v>0</v>
      </c>
      <c r="H613" s="3" t="e">
        <f t="shared" si="31"/>
        <v>#DIV/0!</v>
      </c>
      <c r="I613" s="1" t="e">
        <f t="shared" si="29"/>
        <v>#DIV/0!</v>
      </c>
      <c r="J613" t="s">
        <v>570</v>
      </c>
      <c r="L613" t="s">
        <v>667</v>
      </c>
      <c r="M613" t="s">
        <v>644</v>
      </c>
      <c r="N613" t="s">
        <v>465</v>
      </c>
    </row>
    <row r="614" spans="1:14" hidden="1" x14ac:dyDescent="0.25">
      <c r="A614" t="s">
        <v>477</v>
      </c>
      <c r="B614" t="s">
        <v>477</v>
      </c>
      <c r="C614" t="s">
        <v>407</v>
      </c>
      <c r="D614" s="3" t="s">
        <v>655</v>
      </c>
      <c r="E614" s="3" t="s">
        <v>655</v>
      </c>
      <c r="G614" s="3">
        <f t="shared" si="30"/>
        <v>0</v>
      </c>
      <c r="H614" s="3" t="e">
        <f t="shared" si="31"/>
        <v>#DIV/0!</v>
      </c>
      <c r="I614" s="1" t="e">
        <f t="shared" si="29"/>
        <v>#DIV/0!</v>
      </c>
      <c r="J614" t="s">
        <v>563</v>
      </c>
      <c r="L614" t="s">
        <v>667</v>
      </c>
      <c r="M614" t="s">
        <v>644</v>
      </c>
      <c r="N614" t="s">
        <v>465</v>
      </c>
    </row>
    <row r="615" spans="1:14" hidden="1" x14ac:dyDescent="0.25">
      <c r="A615" t="s">
        <v>477</v>
      </c>
      <c r="B615" t="s">
        <v>477</v>
      </c>
      <c r="C615" t="s">
        <v>407</v>
      </c>
      <c r="D615" s="3" t="s">
        <v>655</v>
      </c>
      <c r="E615" s="3" t="s">
        <v>655</v>
      </c>
      <c r="G615" s="3">
        <f t="shared" si="30"/>
        <v>0</v>
      </c>
      <c r="H615" s="3" t="e">
        <f t="shared" si="31"/>
        <v>#DIV/0!</v>
      </c>
      <c r="I615" s="1" t="e">
        <f t="shared" si="29"/>
        <v>#DIV/0!</v>
      </c>
      <c r="J615" t="s">
        <v>563</v>
      </c>
      <c r="L615" t="s">
        <v>667</v>
      </c>
      <c r="M615" t="s">
        <v>644</v>
      </c>
      <c r="N615" t="s">
        <v>465</v>
      </c>
    </row>
    <row r="616" spans="1:14" hidden="1" x14ac:dyDescent="0.25">
      <c r="A616" t="s">
        <v>513</v>
      </c>
      <c r="B616" t="s">
        <v>513</v>
      </c>
      <c r="C616" t="s">
        <v>406</v>
      </c>
      <c r="D616" s="3" t="s">
        <v>547</v>
      </c>
      <c r="E616" s="3" t="s">
        <v>428</v>
      </c>
      <c r="F616">
        <v>15</v>
      </c>
      <c r="G616" s="3">
        <f t="shared" si="30"/>
        <v>0.27430555555555552</v>
      </c>
      <c r="H616" s="3">
        <f t="shared" si="31"/>
        <v>1.8287037037037036E-2</v>
      </c>
      <c r="I616" s="1">
        <f t="shared" si="29"/>
        <v>26</v>
      </c>
      <c r="J616" t="s">
        <v>435</v>
      </c>
      <c r="K616" t="s">
        <v>397</v>
      </c>
      <c r="L616" t="s">
        <v>314</v>
      </c>
      <c r="M616" t="s">
        <v>398</v>
      </c>
      <c r="N616" t="s">
        <v>405</v>
      </c>
    </row>
    <row r="617" spans="1:14" hidden="1" x14ac:dyDescent="0.25">
      <c r="A617" t="s">
        <v>513</v>
      </c>
      <c r="B617" t="s">
        <v>513</v>
      </c>
      <c r="C617" t="s">
        <v>393</v>
      </c>
      <c r="D617" s="3" t="s">
        <v>655</v>
      </c>
      <c r="E617" s="3" t="s">
        <v>655</v>
      </c>
      <c r="G617" s="3">
        <f t="shared" si="30"/>
        <v>0</v>
      </c>
      <c r="H617" s="3" t="e">
        <f t="shared" si="31"/>
        <v>#DIV/0!</v>
      </c>
      <c r="I617" s="1" t="e">
        <f t="shared" si="29"/>
        <v>#DIV/0!</v>
      </c>
      <c r="J617" t="s">
        <v>427</v>
      </c>
      <c r="L617" t="s">
        <v>668</v>
      </c>
      <c r="M617" t="s">
        <v>644</v>
      </c>
      <c r="N617" t="s">
        <v>399</v>
      </c>
    </row>
    <row r="618" spans="1:14" hidden="1" x14ac:dyDescent="0.25">
      <c r="A618" t="s">
        <v>513</v>
      </c>
      <c r="B618" t="s">
        <v>513</v>
      </c>
      <c r="C618" t="s">
        <v>393</v>
      </c>
      <c r="D618" s="3" t="s">
        <v>403</v>
      </c>
      <c r="E618" s="3" t="s">
        <v>403</v>
      </c>
      <c r="F618">
        <v>10</v>
      </c>
      <c r="G618" s="3">
        <f t="shared" si="30"/>
        <v>0</v>
      </c>
      <c r="H618" s="3">
        <f t="shared" si="31"/>
        <v>0</v>
      </c>
      <c r="I618" s="1">
        <f t="shared" si="29"/>
        <v>0</v>
      </c>
      <c r="J618" t="s">
        <v>570</v>
      </c>
      <c r="K618" t="s">
        <v>397</v>
      </c>
      <c r="L618" t="s">
        <v>666</v>
      </c>
      <c r="M618" t="s">
        <v>644</v>
      </c>
      <c r="N618" t="s">
        <v>465</v>
      </c>
    </row>
    <row r="619" spans="1:14" hidden="1" x14ac:dyDescent="0.25">
      <c r="A619" t="s">
        <v>513</v>
      </c>
      <c r="B619" t="s">
        <v>513</v>
      </c>
      <c r="C619" t="s">
        <v>393</v>
      </c>
      <c r="D619" s="3" t="s">
        <v>655</v>
      </c>
      <c r="E619" s="3" t="s">
        <v>655</v>
      </c>
      <c r="G619" s="3">
        <f t="shared" si="30"/>
        <v>0</v>
      </c>
      <c r="H619" s="3" t="e">
        <f t="shared" si="31"/>
        <v>#DIV/0!</v>
      </c>
      <c r="I619" s="1" t="e">
        <f t="shared" si="29"/>
        <v>#DIV/0!</v>
      </c>
      <c r="J619" t="s">
        <v>541</v>
      </c>
      <c r="L619" t="s">
        <v>669</v>
      </c>
      <c r="M619" t="s">
        <v>644</v>
      </c>
      <c r="N619" t="s">
        <v>465</v>
      </c>
    </row>
    <row r="620" spans="1:14" hidden="1" x14ac:dyDescent="0.25">
      <c r="A620" t="s">
        <v>513</v>
      </c>
      <c r="B620" t="s">
        <v>513</v>
      </c>
      <c r="C620" t="s">
        <v>393</v>
      </c>
      <c r="D620" s="3" t="s">
        <v>403</v>
      </c>
      <c r="E620" s="3" t="s">
        <v>403</v>
      </c>
      <c r="F620">
        <v>10</v>
      </c>
      <c r="G620" s="3">
        <f t="shared" si="30"/>
        <v>0</v>
      </c>
      <c r="H620" s="3">
        <f t="shared" si="31"/>
        <v>0</v>
      </c>
      <c r="I620" s="1">
        <f t="shared" si="29"/>
        <v>0</v>
      </c>
      <c r="J620" t="s">
        <v>563</v>
      </c>
      <c r="K620" t="s">
        <v>397</v>
      </c>
      <c r="L620" t="s">
        <v>666</v>
      </c>
      <c r="M620" t="s">
        <v>644</v>
      </c>
      <c r="N620" t="s">
        <v>465</v>
      </c>
    </row>
    <row r="621" spans="1:14" hidden="1" x14ac:dyDescent="0.25">
      <c r="A621" t="s">
        <v>513</v>
      </c>
      <c r="B621" t="s">
        <v>513</v>
      </c>
      <c r="C621" t="s">
        <v>393</v>
      </c>
      <c r="D621" s="3" t="s">
        <v>403</v>
      </c>
      <c r="E621" s="3" t="s">
        <v>403</v>
      </c>
      <c r="F621">
        <v>10</v>
      </c>
      <c r="G621" s="3">
        <f t="shared" si="30"/>
        <v>0</v>
      </c>
      <c r="H621" s="3">
        <f t="shared" si="31"/>
        <v>0</v>
      </c>
      <c r="I621" s="1">
        <f t="shared" si="29"/>
        <v>0</v>
      </c>
      <c r="J621" t="s">
        <v>570</v>
      </c>
      <c r="K621" t="s">
        <v>397</v>
      </c>
      <c r="L621" t="s">
        <v>666</v>
      </c>
      <c r="M621" t="s">
        <v>644</v>
      </c>
      <c r="N621" t="s">
        <v>465</v>
      </c>
    </row>
    <row r="622" spans="1:14" hidden="1" x14ac:dyDescent="0.25">
      <c r="A622" t="s">
        <v>513</v>
      </c>
      <c r="B622" t="s">
        <v>513</v>
      </c>
      <c r="C622" t="s">
        <v>393</v>
      </c>
      <c r="D622" s="3" t="s">
        <v>403</v>
      </c>
      <c r="E622" s="3" t="s">
        <v>403</v>
      </c>
      <c r="F622">
        <v>10</v>
      </c>
      <c r="G622" s="3">
        <f t="shared" si="30"/>
        <v>0</v>
      </c>
      <c r="H622" s="3">
        <f t="shared" si="31"/>
        <v>0</v>
      </c>
      <c r="I622" s="1">
        <f t="shared" si="29"/>
        <v>0</v>
      </c>
      <c r="J622" t="s">
        <v>563</v>
      </c>
      <c r="K622" t="s">
        <v>397</v>
      </c>
      <c r="L622" t="s">
        <v>666</v>
      </c>
      <c r="M622" t="s">
        <v>644</v>
      </c>
      <c r="N622" t="s">
        <v>465</v>
      </c>
    </row>
    <row r="623" spans="1:14" hidden="1" x14ac:dyDescent="0.25">
      <c r="A623" t="s">
        <v>513</v>
      </c>
      <c r="B623" t="s">
        <v>513</v>
      </c>
      <c r="C623" t="s">
        <v>393</v>
      </c>
      <c r="D623" s="3" t="s">
        <v>403</v>
      </c>
      <c r="E623" s="3" t="s">
        <v>403</v>
      </c>
      <c r="F623">
        <v>10</v>
      </c>
      <c r="G623" s="3">
        <f t="shared" si="30"/>
        <v>0</v>
      </c>
      <c r="H623" s="3">
        <f t="shared" si="31"/>
        <v>0</v>
      </c>
      <c r="I623" s="1">
        <f t="shared" si="29"/>
        <v>0</v>
      </c>
      <c r="J623" t="s">
        <v>570</v>
      </c>
      <c r="K623" t="s">
        <v>397</v>
      </c>
      <c r="L623" t="s">
        <v>666</v>
      </c>
      <c r="M623" t="s">
        <v>644</v>
      </c>
      <c r="N623" t="s">
        <v>465</v>
      </c>
    </row>
    <row r="624" spans="1:14" hidden="1" x14ac:dyDescent="0.25">
      <c r="A624" t="s">
        <v>513</v>
      </c>
      <c r="B624" t="s">
        <v>513</v>
      </c>
      <c r="C624" t="s">
        <v>393</v>
      </c>
      <c r="D624" s="3" t="s">
        <v>403</v>
      </c>
      <c r="E624" s="3" t="s">
        <v>403</v>
      </c>
      <c r="F624">
        <v>10</v>
      </c>
      <c r="G624" s="3">
        <f t="shared" si="30"/>
        <v>0</v>
      </c>
      <c r="H624" s="3">
        <f t="shared" si="31"/>
        <v>0</v>
      </c>
      <c r="I624" s="1">
        <f t="shared" si="29"/>
        <v>0</v>
      </c>
      <c r="J624" t="s">
        <v>563</v>
      </c>
      <c r="K624" t="s">
        <v>397</v>
      </c>
      <c r="L624" t="s">
        <v>666</v>
      </c>
      <c r="M624" t="s">
        <v>644</v>
      </c>
      <c r="N624" t="s">
        <v>465</v>
      </c>
    </row>
    <row r="625" spans="1:14" hidden="1" x14ac:dyDescent="0.25">
      <c r="A625" t="s">
        <v>513</v>
      </c>
      <c r="B625" t="s">
        <v>513</v>
      </c>
      <c r="C625" t="s">
        <v>393</v>
      </c>
      <c r="D625" s="3" t="s">
        <v>403</v>
      </c>
      <c r="E625" s="3" t="s">
        <v>403</v>
      </c>
      <c r="F625">
        <v>1</v>
      </c>
      <c r="G625" s="3">
        <f t="shared" si="30"/>
        <v>0</v>
      </c>
      <c r="H625" s="3">
        <f t="shared" si="31"/>
        <v>0</v>
      </c>
      <c r="I625" s="1">
        <f t="shared" si="29"/>
        <v>0</v>
      </c>
      <c r="J625" t="s">
        <v>563</v>
      </c>
      <c r="K625" t="s">
        <v>397</v>
      </c>
      <c r="L625" t="s">
        <v>666</v>
      </c>
      <c r="M625" t="s">
        <v>644</v>
      </c>
      <c r="N625" t="s">
        <v>465</v>
      </c>
    </row>
    <row r="626" spans="1:14" hidden="1" x14ac:dyDescent="0.25">
      <c r="A626" t="s">
        <v>513</v>
      </c>
      <c r="B626" t="s">
        <v>513</v>
      </c>
      <c r="C626" t="s">
        <v>393</v>
      </c>
      <c r="D626" s="3" t="s">
        <v>655</v>
      </c>
      <c r="E626" s="3" t="s">
        <v>655</v>
      </c>
      <c r="F626">
        <v>10</v>
      </c>
      <c r="G626" s="3">
        <f t="shared" si="30"/>
        <v>0</v>
      </c>
      <c r="H626" s="3">
        <f t="shared" si="31"/>
        <v>0</v>
      </c>
      <c r="I626" s="1">
        <f t="shared" si="29"/>
        <v>0</v>
      </c>
      <c r="J626" t="s">
        <v>508</v>
      </c>
      <c r="L626" t="s">
        <v>662</v>
      </c>
      <c r="M626" t="s">
        <v>644</v>
      </c>
      <c r="N626" t="s">
        <v>465</v>
      </c>
    </row>
    <row r="627" spans="1:14" hidden="1" x14ac:dyDescent="0.25">
      <c r="A627" t="s">
        <v>513</v>
      </c>
      <c r="B627" t="s">
        <v>513</v>
      </c>
      <c r="C627" t="s">
        <v>393</v>
      </c>
      <c r="D627" s="3" t="s">
        <v>655</v>
      </c>
      <c r="E627" s="3" t="s">
        <v>655</v>
      </c>
      <c r="G627" s="3">
        <f t="shared" si="30"/>
        <v>0</v>
      </c>
      <c r="H627" s="3" t="e">
        <f t="shared" si="31"/>
        <v>#DIV/0!</v>
      </c>
      <c r="I627" s="1" t="e">
        <f t="shared" si="29"/>
        <v>#DIV/0!</v>
      </c>
      <c r="J627" t="s">
        <v>529</v>
      </c>
      <c r="L627" t="s">
        <v>669</v>
      </c>
      <c r="M627" t="s">
        <v>644</v>
      </c>
      <c r="N627" t="s">
        <v>465</v>
      </c>
    </row>
    <row r="628" spans="1:14" hidden="1" x14ac:dyDescent="0.25">
      <c r="A628" t="s">
        <v>513</v>
      </c>
      <c r="B628" t="s">
        <v>513</v>
      </c>
      <c r="C628" t="s">
        <v>393</v>
      </c>
      <c r="D628" s="3" t="s">
        <v>655</v>
      </c>
      <c r="E628" s="3" t="s">
        <v>655</v>
      </c>
      <c r="G628" s="3">
        <f t="shared" si="30"/>
        <v>0</v>
      </c>
      <c r="H628" s="3" t="e">
        <f t="shared" si="31"/>
        <v>#DIV/0!</v>
      </c>
      <c r="I628" s="1" t="e">
        <f t="shared" si="29"/>
        <v>#DIV/0!</v>
      </c>
      <c r="J628" t="s">
        <v>570</v>
      </c>
      <c r="L628" t="s">
        <v>670</v>
      </c>
      <c r="M628" t="s">
        <v>644</v>
      </c>
      <c r="N628" t="s">
        <v>465</v>
      </c>
    </row>
    <row r="629" spans="1:14" hidden="1" x14ac:dyDescent="0.25">
      <c r="A629" t="s">
        <v>513</v>
      </c>
      <c r="B629" t="s">
        <v>513</v>
      </c>
      <c r="C629" t="s">
        <v>393</v>
      </c>
      <c r="D629" s="3" t="s">
        <v>655</v>
      </c>
      <c r="E629" s="3" t="s">
        <v>655</v>
      </c>
      <c r="G629" s="3">
        <f t="shared" si="30"/>
        <v>0</v>
      </c>
      <c r="H629" s="3" t="e">
        <f t="shared" si="31"/>
        <v>#DIV/0!</v>
      </c>
      <c r="I629" s="1" t="e">
        <f t="shared" si="29"/>
        <v>#DIV/0!</v>
      </c>
      <c r="J629" t="s">
        <v>508</v>
      </c>
      <c r="L629" t="s">
        <v>671</v>
      </c>
      <c r="M629" t="s">
        <v>644</v>
      </c>
      <c r="N629" t="s">
        <v>433</v>
      </c>
    </row>
    <row r="630" spans="1:14" hidden="1" x14ac:dyDescent="0.25">
      <c r="A630" t="s">
        <v>513</v>
      </c>
      <c r="B630" t="s">
        <v>513</v>
      </c>
      <c r="C630" t="s">
        <v>393</v>
      </c>
      <c r="D630" s="3" t="s">
        <v>655</v>
      </c>
      <c r="E630" s="3" t="s">
        <v>655</v>
      </c>
      <c r="G630" s="3">
        <f t="shared" si="30"/>
        <v>0</v>
      </c>
      <c r="H630" s="3" t="e">
        <f t="shared" si="31"/>
        <v>#DIV/0!</v>
      </c>
      <c r="I630" s="1" t="e">
        <f t="shared" si="29"/>
        <v>#DIV/0!</v>
      </c>
      <c r="J630" t="s">
        <v>517</v>
      </c>
      <c r="L630" t="s">
        <v>669</v>
      </c>
      <c r="M630" t="s">
        <v>644</v>
      </c>
      <c r="N630" t="s">
        <v>399</v>
      </c>
    </row>
    <row r="631" spans="1:14" hidden="1" x14ac:dyDescent="0.25">
      <c r="A631" t="s">
        <v>513</v>
      </c>
      <c r="B631" t="s">
        <v>513</v>
      </c>
      <c r="C631" t="s">
        <v>393</v>
      </c>
      <c r="D631" s="3" t="s">
        <v>655</v>
      </c>
      <c r="E631" s="3" t="s">
        <v>655</v>
      </c>
      <c r="G631" s="3">
        <f t="shared" si="30"/>
        <v>0</v>
      </c>
      <c r="H631" s="3" t="e">
        <f t="shared" si="31"/>
        <v>#DIV/0!</v>
      </c>
      <c r="I631" s="1" t="e">
        <f t="shared" si="29"/>
        <v>#DIV/0!</v>
      </c>
      <c r="J631" t="s">
        <v>593</v>
      </c>
      <c r="L631" t="s">
        <v>669</v>
      </c>
      <c r="M631" t="s">
        <v>644</v>
      </c>
      <c r="N631" t="s">
        <v>399</v>
      </c>
    </row>
    <row r="632" spans="1:14" hidden="1" x14ac:dyDescent="0.25">
      <c r="A632" t="s">
        <v>513</v>
      </c>
      <c r="B632" t="s">
        <v>513</v>
      </c>
      <c r="C632" t="s">
        <v>393</v>
      </c>
      <c r="D632" s="3" t="s">
        <v>655</v>
      </c>
      <c r="E632" s="3" t="s">
        <v>655</v>
      </c>
      <c r="G632" s="3">
        <f t="shared" si="30"/>
        <v>0</v>
      </c>
      <c r="H632" s="3" t="e">
        <f t="shared" si="31"/>
        <v>#DIV/0!</v>
      </c>
      <c r="I632" s="1" t="e">
        <f t="shared" si="29"/>
        <v>#DIV/0!</v>
      </c>
      <c r="J632" t="s">
        <v>529</v>
      </c>
      <c r="L632" t="s">
        <v>669</v>
      </c>
      <c r="M632" t="s">
        <v>644</v>
      </c>
      <c r="N632" t="s">
        <v>465</v>
      </c>
    </row>
    <row r="633" spans="1:14" hidden="1" x14ac:dyDescent="0.25">
      <c r="A633" t="s">
        <v>513</v>
      </c>
      <c r="B633" t="s">
        <v>513</v>
      </c>
      <c r="C633" t="s">
        <v>393</v>
      </c>
      <c r="D633" s="3" t="s">
        <v>655</v>
      </c>
      <c r="E633" s="3" t="s">
        <v>655</v>
      </c>
      <c r="F633">
        <v>10</v>
      </c>
      <c r="G633" s="3">
        <f t="shared" si="30"/>
        <v>0</v>
      </c>
      <c r="H633" s="3">
        <f t="shared" si="31"/>
        <v>0</v>
      </c>
      <c r="I633" s="1">
        <f t="shared" si="29"/>
        <v>0</v>
      </c>
      <c r="J633" t="s">
        <v>541</v>
      </c>
      <c r="L633" t="s">
        <v>672</v>
      </c>
      <c r="M633" t="s">
        <v>644</v>
      </c>
      <c r="N633" t="s">
        <v>465</v>
      </c>
    </row>
    <row r="634" spans="1:14" hidden="1" x14ac:dyDescent="0.25">
      <c r="A634" t="s">
        <v>513</v>
      </c>
      <c r="B634" t="s">
        <v>513</v>
      </c>
      <c r="C634" t="s">
        <v>393</v>
      </c>
      <c r="D634" s="3" t="s">
        <v>655</v>
      </c>
      <c r="E634" s="3" t="s">
        <v>655</v>
      </c>
      <c r="G634" s="3">
        <f t="shared" si="30"/>
        <v>0</v>
      </c>
      <c r="H634" s="3" t="e">
        <f t="shared" si="31"/>
        <v>#DIV/0!</v>
      </c>
      <c r="I634" s="1" t="e">
        <f t="shared" si="29"/>
        <v>#DIV/0!</v>
      </c>
      <c r="J634" t="s">
        <v>425</v>
      </c>
      <c r="L634" t="s">
        <v>673</v>
      </c>
      <c r="M634" t="s">
        <v>644</v>
      </c>
      <c r="N634" t="s">
        <v>405</v>
      </c>
    </row>
    <row r="635" spans="1:14" hidden="1" x14ac:dyDescent="0.25">
      <c r="A635" t="s">
        <v>513</v>
      </c>
      <c r="B635" t="s">
        <v>513</v>
      </c>
      <c r="C635" t="s">
        <v>393</v>
      </c>
      <c r="D635" s="3" t="s">
        <v>655</v>
      </c>
      <c r="E635" s="3" t="s">
        <v>655</v>
      </c>
      <c r="G635" s="3">
        <f t="shared" si="30"/>
        <v>0</v>
      </c>
      <c r="H635" s="3" t="e">
        <f t="shared" si="31"/>
        <v>#DIV/0!</v>
      </c>
      <c r="I635" s="1" t="e">
        <f t="shared" si="29"/>
        <v>#DIV/0!</v>
      </c>
      <c r="J635" t="s">
        <v>420</v>
      </c>
      <c r="L635" t="s">
        <v>673</v>
      </c>
      <c r="M635" t="s">
        <v>644</v>
      </c>
      <c r="N635" t="s">
        <v>405</v>
      </c>
    </row>
    <row r="636" spans="1:14" hidden="1" x14ac:dyDescent="0.25">
      <c r="A636" t="s">
        <v>513</v>
      </c>
      <c r="B636" t="s">
        <v>513</v>
      </c>
      <c r="C636" t="s">
        <v>393</v>
      </c>
      <c r="D636" s="3" t="s">
        <v>655</v>
      </c>
      <c r="E636" s="3" t="s">
        <v>655</v>
      </c>
      <c r="G636" s="3">
        <f t="shared" si="30"/>
        <v>0</v>
      </c>
      <c r="H636" s="3" t="e">
        <f t="shared" si="31"/>
        <v>#DIV/0!</v>
      </c>
      <c r="I636" s="1" t="e">
        <f t="shared" si="29"/>
        <v>#DIV/0!</v>
      </c>
      <c r="J636" t="s">
        <v>425</v>
      </c>
      <c r="L636" t="s">
        <v>673</v>
      </c>
      <c r="M636" t="s">
        <v>644</v>
      </c>
      <c r="N636" t="s">
        <v>405</v>
      </c>
    </row>
    <row r="637" spans="1:14" hidden="1" x14ac:dyDescent="0.25">
      <c r="A637" t="s">
        <v>513</v>
      </c>
      <c r="B637" t="s">
        <v>513</v>
      </c>
      <c r="C637" t="s">
        <v>393</v>
      </c>
      <c r="D637" s="3" t="s">
        <v>655</v>
      </c>
      <c r="E637" s="3" t="s">
        <v>655</v>
      </c>
      <c r="G637" s="3">
        <f t="shared" si="30"/>
        <v>0</v>
      </c>
      <c r="H637" s="3" t="e">
        <f t="shared" si="31"/>
        <v>#DIV/0!</v>
      </c>
      <c r="I637" s="1" t="e">
        <f t="shared" si="29"/>
        <v>#DIV/0!</v>
      </c>
      <c r="J637" t="s">
        <v>409</v>
      </c>
      <c r="L637" t="s">
        <v>673</v>
      </c>
      <c r="M637" t="s">
        <v>644</v>
      </c>
      <c r="N637" t="s">
        <v>433</v>
      </c>
    </row>
    <row r="638" spans="1:14" hidden="1" x14ac:dyDescent="0.25">
      <c r="A638" t="s">
        <v>513</v>
      </c>
      <c r="B638" t="s">
        <v>513</v>
      </c>
      <c r="C638" t="s">
        <v>393</v>
      </c>
      <c r="D638" s="3" t="s">
        <v>655</v>
      </c>
      <c r="E638" s="3" t="s">
        <v>655</v>
      </c>
      <c r="G638" s="3">
        <f t="shared" si="30"/>
        <v>0</v>
      </c>
      <c r="H638" s="3" t="e">
        <f t="shared" si="31"/>
        <v>#DIV/0!</v>
      </c>
      <c r="I638" s="1" t="e">
        <f t="shared" si="29"/>
        <v>#DIV/0!</v>
      </c>
      <c r="J638" t="s">
        <v>425</v>
      </c>
      <c r="L638" t="s">
        <v>673</v>
      </c>
      <c r="M638" t="s">
        <v>644</v>
      </c>
      <c r="N638" t="s">
        <v>405</v>
      </c>
    </row>
    <row r="639" spans="1:14" hidden="1" x14ac:dyDescent="0.25">
      <c r="A639" t="s">
        <v>513</v>
      </c>
      <c r="B639" t="s">
        <v>513</v>
      </c>
      <c r="C639" t="s">
        <v>393</v>
      </c>
      <c r="D639" s="3" t="s">
        <v>655</v>
      </c>
      <c r="E639" s="3" t="s">
        <v>655</v>
      </c>
      <c r="G639" s="3">
        <f t="shared" si="30"/>
        <v>0</v>
      </c>
      <c r="H639" s="3" t="e">
        <f t="shared" si="31"/>
        <v>#DIV/0!</v>
      </c>
      <c r="I639" s="1" t="e">
        <f t="shared" si="29"/>
        <v>#DIV/0!</v>
      </c>
      <c r="J639" t="s">
        <v>425</v>
      </c>
      <c r="L639" t="s">
        <v>674</v>
      </c>
      <c r="M639" t="s">
        <v>644</v>
      </c>
      <c r="N639" t="s">
        <v>405</v>
      </c>
    </row>
    <row r="640" spans="1:14" hidden="1" x14ac:dyDescent="0.25">
      <c r="A640" t="s">
        <v>513</v>
      </c>
      <c r="B640" t="s">
        <v>513</v>
      </c>
      <c r="C640" t="s">
        <v>393</v>
      </c>
      <c r="D640" s="3" t="s">
        <v>655</v>
      </c>
      <c r="E640" s="3" t="s">
        <v>655</v>
      </c>
      <c r="G640" s="3">
        <f t="shared" si="30"/>
        <v>0</v>
      </c>
      <c r="H640" s="3" t="e">
        <f t="shared" si="31"/>
        <v>#DIV/0!</v>
      </c>
      <c r="I640" s="1" t="e">
        <f t="shared" si="29"/>
        <v>#DIV/0!</v>
      </c>
      <c r="J640" t="s">
        <v>425</v>
      </c>
      <c r="L640" t="s">
        <v>674</v>
      </c>
      <c r="M640" t="s">
        <v>644</v>
      </c>
      <c r="N640" t="s">
        <v>405</v>
      </c>
    </row>
    <row r="641" spans="1:14" hidden="1" x14ac:dyDescent="0.25">
      <c r="A641" t="s">
        <v>513</v>
      </c>
      <c r="B641" t="s">
        <v>513</v>
      </c>
      <c r="C641" t="s">
        <v>393</v>
      </c>
      <c r="D641" s="3" t="s">
        <v>655</v>
      </c>
      <c r="E641" s="3" t="s">
        <v>655</v>
      </c>
      <c r="G641" s="3">
        <f t="shared" si="30"/>
        <v>0</v>
      </c>
      <c r="H641" s="3" t="e">
        <f t="shared" si="31"/>
        <v>#DIV/0!</v>
      </c>
      <c r="I641" s="1" t="e">
        <f t="shared" si="29"/>
        <v>#DIV/0!</v>
      </c>
      <c r="J641" t="s">
        <v>517</v>
      </c>
      <c r="L641" t="s">
        <v>674</v>
      </c>
      <c r="M641" t="s">
        <v>644</v>
      </c>
      <c r="N641" t="s">
        <v>405</v>
      </c>
    </row>
    <row r="642" spans="1:14" hidden="1" x14ac:dyDescent="0.25">
      <c r="A642" t="s">
        <v>513</v>
      </c>
      <c r="B642" t="s">
        <v>513</v>
      </c>
      <c r="C642" t="s">
        <v>393</v>
      </c>
      <c r="D642" s="3" t="s">
        <v>655</v>
      </c>
      <c r="E642" s="3" t="s">
        <v>655</v>
      </c>
      <c r="G642" s="3">
        <f t="shared" si="30"/>
        <v>0</v>
      </c>
      <c r="H642" s="3" t="e">
        <f t="shared" si="31"/>
        <v>#DIV/0!</v>
      </c>
      <c r="I642" s="1" t="e">
        <f t="shared" si="29"/>
        <v>#DIV/0!</v>
      </c>
      <c r="J642" t="s">
        <v>425</v>
      </c>
      <c r="L642" t="s">
        <v>674</v>
      </c>
      <c r="M642" t="s">
        <v>644</v>
      </c>
      <c r="N642" t="s">
        <v>405</v>
      </c>
    </row>
    <row r="643" spans="1:14" hidden="1" x14ac:dyDescent="0.25">
      <c r="A643" t="s">
        <v>513</v>
      </c>
      <c r="B643" t="s">
        <v>513</v>
      </c>
      <c r="C643" t="s">
        <v>393</v>
      </c>
      <c r="D643" s="3" t="s">
        <v>655</v>
      </c>
      <c r="E643" s="3" t="s">
        <v>655</v>
      </c>
      <c r="G643" s="3">
        <f t="shared" si="30"/>
        <v>0</v>
      </c>
      <c r="H643" s="3" t="e">
        <f t="shared" si="31"/>
        <v>#DIV/0!</v>
      </c>
      <c r="I643" s="1" t="e">
        <f t="shared" ref="I643:I706" si="32">MINUTE(H643)</f>
        <v>#DIV/0!</v>
      </c>
      <c r="J643" t="s">
        <v>497</v>
      </c>
      <c r="L643" t="s">
        <v>674</v>
      </c>
      <c r="M643" t="s">
        <v>644</v>
      </c>
      <c r="N643" t="s">
        <v>405</v>
      </c>
    </row>
    <row r="644" spans="1:14" hidden="1" x14ac:dyDescent="0.25">
      <c r="A644" t="s">
        <v>675</v>
      </c>
      <c r="B644" t="s">
        <v>675</v>
      </c>
      <c r="C644" t="s">
        <v>400</v>
      </c>
      <c r="D644" s="3" t="s">
        <v>416</v>
      </c>
      <c r="E644" s="3" t="s">
        <v>428</v>
      </c>
      <c r="F644">
        <v>15</v>
      </c>
      <c r="G644" s="3">
        <f t="shared" ref="G644:G707" si="33">(E644-D644)</f>
        <v>0.19097222222222221</v>
      </c>
      <c r="H644" s="3">
        <f t="shared" ref="H644:H707" si="34">G644/F644</f>
        <v>1.2731481481481481E-2</v>
      </c>
      <c r="I644" s="1">
        <f t="shared" si="32"/>
        <v>18</v>
      </c>
      <c r="J644" t="s">
        <v>404</v>
      </c>
      <c r="K644" t="s">
        <v>417</v>
      </c>
      <c r="L644" t="s">
        <v>123</v>
      </c>
      <c r="M644" t="s">
        <v>398</v>
      </c>
      <c r="N644" t="s">
        <v>399</v>
      </c>
    </row>
    <row r="645" spans="1:14" hidden="1" x14ac:dyDescent="0.25">
      <c r="A645" t="s">
        <v>675</v>
      </c>
      <c r="C645" t="s">
        <v>400</v>
      </c>
      <c r="D645" s="3" t="s">
        <v>416</v>
      </c>
      <c r="E645" s="3" t="s">
        <v>428</v>
      </c>
      <c r="F645">
        <v>10</v>
      </c>
      <c r="G645" s="3">
        <f t="shared" si="33"/>
        <v>0.19097222222222221</v>
      </c>
      <c r="H645" s="3">
        <f t="shared" si="34"/>
        <v>1.909722222222222E-2</v>
      </c>
      <c r="I645" s="1">
        <f t="shared" si="32"/>
        <v>27</v>
      </c>
      <c r="J645" t="s">
        <v>458</v>
      </c>
      <c r="K645" t="s">
        <v>417</v>
      </c>
      <c r="L645" t="s">
        <v>676</v>
      </c>
      <c r="M645" t="s">
        <v>398</v>
      </c>
      <c r="N645" t="s">
        <v>399</v>
      </c>
    </row>
    <row r="646" spans="1:14" hidden="1" x14ac:dyDescent="0.25">
      <c r="A646" t="s">
        <v>675</v>
      </c>
      <c r="B646" t="s">
        <v>675</v>
      </c>
      <c r="C646" t="s">
        <v>400</v>
      </c>
      <c r="D646" s="3" t="s">
        <v>403</v>
      </c>
      <c r="E646" s="3" t="s">
        <v>536</v>
      </c>
      <c r="F646">
        <v>10</v>
      </c>
      <c r="G646" s="3">
        <f t="shared" si="33"/>
        <v>0.3263888888888889</v>
      </c>
      <c r="H646" s="3">
        <f t="shared" si="34"/>
        <v>3.2638888888888891E-2</v>
      </c>
      <c r="I646" s="1">
        <f t="shared" si="32"/>
        <v>47</v>
      </c>
      <c r="J646" t="s">
        <v>429</v>
      </c>
      <c r="K646" t="s">
        <v>397</v>
      </c>
      <c r="L646" t="s">
        <v>320</v>
      </c>
      <c r="M646" t="s">
        <v>398</v>
      </c>
      <c r="N646" t="s">
        <v>405</v>
      </c>
    </row>
    <row r="647" spans="1:14" hidden="1" x14ac:dyDescent="0.25">
      <c r="A647" t="s">
        <v>675</v>
      </c>
      <c r="B647" t="s">
        <v>675</v>
      </c>
      <c r="C647" t="s">
        <v>400</v>
      </c>
      <c r="D647" s="3" t="s">
        <v>416</v>
      </c>
      <c r="E647" s="3" t="s">
        <v>418</v>
      </c>
      <c r="F647">
        <v>10</v>
      </c>
      <c r="G647" s="3">
        <f t="shared" si="33"/>
        <v>0.10763888888888895</v>
      </c>
      <c r="H647" s="3">
        <f t="shared" si="34"/>
        <v>1.0763888888888896E-2</v>
      </c>
      <c r="I647" s="1">
        <f t="shared" si="32"/>
        <v>15</v>
      </c>
      <c r="J647" t="s">
        <v>435</v>
      </c>
      <c r="K647" t="s">
        <v>417</v>
      </c>
      <c r="L647" t="s">
        <v>326</v>
      </c>
      <c r="M647" t="s">
        <v>398</v>
      </c>
      <c r="N647" t="s">
        <v>399</v>
      </c>
    </row>
    <row r="648" spans="1:14" hidden="1" x14ac:dyDescent="0.25">
      <c r="A648" t="s">
        <v>675</v>
      </c>
      <c r="B648" t="s">
        <v>675</v>
      </c>
      <c r="C648" t="s">
        <v>400</v>
      </c>
      <c r="D648" s="3" t="s">
        <v>403</v>
      </c>
      <c r="E648" s="3" t="s">
        <v>464</v>
      </c>
      <c r="F648">
        <v>5</v>
      </c>
      <c r="G648" s="3">
        <f t="shared" si="33"/>
        <v>0.41666666666666669</v>
      </c>
      <c r="H648" s="3">
        <f t="shared" si="34"/>
        <v>8.3333333333333343E-2</v>
      </c>
      <c r="I648" s="1">
        <f t="shared" si="32"/>
        <v>0</v>
      </c>
      <c r="J648" t="s">
        <v>432</v>
      </c>
      <c r="K648" t="s">
        <v>397</v>
      </c>
      <c r="L648" t="s">
        <v>307</v>
      </c>
      <c r="M648" t="s">
        <v>398</v>
      </c>
      <c r="N648" t="s">
        <v>447</v>
      </c>
    </row>
    <row r="649" spans="1:14" hidden="1" x14ac:dyDescent="0.25">
      <c r="A649" t="s">
        <v>675</v>
      </c>
      <c r="B649" t="s">
        <v>675</v>
      </c>
      <c r="C649" t="s">
        <v>400</v>
      </c>
      <c r="D649" s="3" t="s">
        <v>403</v>
      </c>
      <c r="E649" s="3" t="s">
        <v>441</v>
      </c>
      <c r="F649">
        <v>5</v>
      </c>
      <c r="G649" s="3">
        <f t="shared" si="33"/>
        <v>0.41319444444444448</v>
      </c>
      <c r="H649" s="3">
        <f t="shared" si="34"/>
        <v>8.2638888888888901E-2</v>
      </c>
      <c r="I649" s="1">
        <f t="shared" si="32"/>
        <v>59</v>
      </c>
      <c r="J649" t="s">
        <v>432</v>
      </c>
      <c r="K649" t="s">
        <v>397</v>
      </c>
      <c r="L649" t="s">
        <v>677</v>
      </c>
      <c r="M649" t="s">
        <v>398</v>
      </c>
      <c r="N649" t="s">
        <v>465</v>
      </c>
    </row>
    <row r="650" spans="1:14" hidden="1" x14ac:dyDescent="0.25">
      <c r="A650" t="s">
        <v>675</v>
      </c>
      <c r="B650" t="s">
        <v>675</v>
      </c>
      <c r="C650" t="s">
        <v>406</v>
      </c>
      <c r="D650" s="3" t="s">
        <v>655</v>
      </c>
      <c r="E650" s="3" t="s">
        <v>655</v>
      </c>
      <c r="F650">
        <v>5</v>
      </c>
      <c r="G650" s="3">
        <f t="shared" si="33"/>
        <v>0</v>
      </c>
      <c r="H650" s="3">
        <f t="shared" si="34"/>
        <v>0</v>
      </c>
      <c r="I650" s="1">
        <f t="shared" si="32"/>
        <v>0</v>
      </c>
      <c r="J650" t="s">
        <v>427</v>
      </c>
      <c r="L650" t="s">
        <v>678</v>
      </c>
      <c r="M650" t="s">
        <v>644</v>
      </c>
      <c r="N650" t="s">
        <v>399</v>
      </c>
    </row>
    <row r="651" spans="1:14" hidden="1" x14ac:dyDescent="0.25">
      <c r="A651" t="s">
        <v>675</v>
      </c>
      <c r="B651" t="s">
        <v>675</v>
      </c>
      <c r="C651" t="s">
        <v>406</v>
      </c>
      <c r="D651" s="3" t="s">
        <v>655</v>
      </c>
      <c r="E651" s="3" t="s">
        <v>655</v>
      </c>
      <c r="F651">
        <v>20</v>
      </c>
      <c r="G651" s="3">
        <f t="shared" si="33"/>
        <v>0</v>
      </c>
      <c r="H651" s="3">
        <f t="shared" si="34"/>
        <v>0</v>
      </c>
      <c r="I651" s="1">
        <f t="shared" si="32"/>
        <v>0</v>
      </c>
      <c r="J651" t="s">
        <v>541</v>
      </c>
      <c r="L651" t="s">
        <v>381</v>
      </c>
      <c r="M651" t="s">
        <v>644</v>
      </c>
      <c r="N651" t="s">
        <v>465</v>
      </c>
    </row>
    <row r="652" spans="1:14" hidden="1" x14ac:dyDescent="0.25">
      <c r="A652" t="s">
        <v>675</v>
      </c>
      <c r="B652" t="s">
        <v>675</v>
      </c>
      <c r="C652" t="s">
        <v>406</v>
      </c>
      <c r="D652" s="3" t="s">
        <v>655</v>
      </c>
      <c r="E652" s="3" t="s">
        <v>655</v>
      </c>
      <c r="F652">
        <v>20</v>
      </c>
      <c r="G652" s="3">
        <f t="shared" si="33"/>
        <v>0</v>
      </c>
      <c r="H652" s="3">
        <f t="shared" si="34"/>
        <v>0</v>
      </c>
      <c r="I652" s="1">
        <f t="shared" si="32"/>
        <v>0</v>
      </c>
      <c r="J652" t="s">
        <v>508</v>
      </c>
      <c r="L652" t="s">
        <v>381</v>
      </c>
      <c r="M652" t="s">
        <v>644</v>
      </c>
      <c r="N652" t="s">
        <v>465</v>
      </c>
    </row>
    <row r="653" spans="1:14" hidden="1" x14ac:dyDescent="0.25">
      <c r="A653" t="s">
        <v>675</v>
      </c>
      <c r="B653" t="s">
        <v>675</v>
      </c>
      <c r="C653" t="s">
        <v>406</v>
      </c>
      <c r="D653" s="3" t="s">
        <v>655</v>
      </c>
      <c r="E653" s="3" t="s">
        <v>655</v>
      </c>
      <c r="F653">
        <v>20</v>
      </c>
      <c r="G653" s="3">
        <f t="shared" si="33"/>
        <v>0</v>
      </c>
      <c r="H653" s="3">
        <f t="shared" si="34"/>
        <v>0</v>
      </c>
      <c r="I653" s="1">
        <f t="shared" si="32"/>
        <v>0</v>
      </c>
      <c r="J653" t="s">
        <v>560</v>
      </c>
      <c r="L653" t="s">
        <v>381</v>
      </c>
      <c r="M653" t="s">
        <v>644</v>
      </c>
      <c r="N653" t="s">
        <v>465</v>
      </c>
    </row>
    <row r="654" spans="1:14" hidden="1" x14ac:dyDescent="0.25">
      <c r="A654" t="s">
        <v>675</v>
      </c>
      <c r="B654" t="s">
        <v>675</v>
      </c>
      <c r="C654" t="s">
        <v>406</v>
      </c>
      <c r="D654" s="3" t="s">
        <v>655</v>
      </c>
      <c r="E654" s="3" t="s">
        <v>655</v>
      </c>
      <c r="F654">
        <v>20</v>
      </c>
      <c r="G654" s="3">
        <f t="shared" si="33"/>
        <v>0</v>
      </c>
      <c r="H654" s="3">
        <f t="shared" si="34"/>
        <v>0</v>
      </c>
      <c r="I654" s="1">
        <f t="shared" si="32"/>
        <v>0</v>
      </c>
      <c r="J654" t="s">
        <v>529</v>
      </c>
      <c r="L654" t="s">
        <v>381</v>
      </c>
      <c r="M654" t="s">
        <v>644</v>
      </c>
      <c r="N654" t="s">
        <v>465</v>
      </c>
    </row>
    <row r="655" spans="1:14" hidden="1" x14ac:dyDescent="0.25">
      <c r="A655" t="s">
        <v>675</v>
      </c>
      <c r="B655" t="s">
        <v>675</v>
      </c>
      <c r="C655" t="s">
        <v>406</v>
      </c>
      <c r="D655" s="3" t="s">
        <v>655</v>
      </c>
      <c r="E655" s="3" t="s">
        <v>655</v>
      </c>
      <c r="F655">
        <v>20</v>
      </c>
      <c r="G655" s="3">
        <f t="shared" si="33"/>
        <v>0</v>
      </c>
      <c r="H655" s="3">
        <f t="shared" si="34"/>
        <v>0</v>
      </c>
      <c r="I655" s="1">
        <f t="shared" si="32"/>
        <v>0</v>
      </c>
      <c r="J655" t="s">
        <v>508</v>
      </c>
      <c r="L655" t="s">
        <v>381</v>
      </c>
      <c r="M655" t="s">
        <v>644</v>
      </c>
      <c r="N655" t="s">
        <v>465</v>
      </c>
    </row>
    <row r="656" spans="1:14" hidden="1" x14ac:dyDescent="0.25">
      <c r="A656" t="s">
        <v>675</v>
      </c>
      <c r="B656" t="s">
        <v>675</v>
      </c>
      <c r="C656" t="s">
        <v>406</v>
      </c>
      <c r="D656" s="3" t="s">
        <v>655</v>
      </c>
      <c r="E656" s="3" t="s">
        <v>655</v>
      </c>
      <c r="G656" s="3">
        <f t="shared" si="33"/>
        <v>0</v>
      </c>
      <c r="H656" s="3" t="e">
        <f t="shared" si="34"/>
        <v>#DIV/0!</v>
      </c>
      <c r="I656" s="1" t="e">
        <f t="shared" si="32"/>
        <v>#DIV/0!</v>
      </c>
      <c r="J656" t="s">
        <v>508</v>
      </c>
      <c r="L656" t="s">
        <v>671</v>
      </c>
      <c r="M656" t="s">
        <v>644</v>
      </c>
      <c r="N656" t="s">
        <v>433</v>
      </c>
    </row>
    <row r="657" spans="1:14" hidden="1" x14ac:dyDescent="0.25">
      <c r="A657" t="s">
        <v>675</v>
      </c>
      <c r="B657" t="s">
        <v>675</v>
      </c>
      <c r="C657" t="s">
        <v>406</v>
      </c>
      <c r="D657" s="3" t="s">
        <v>655</v>
      </c>
      <c r="E657" s="3" t="s">
        <v>655</v>
      </c>
      <c r="F657">
        <v>20</v>
      </c>
      <c r="G657" s="3">
        <f t="shared" si="33"/>
        <v>0</v>
      </c>
      <c r="H657" s="3">
        <f t="shared" si="34"/>
        <v>0</v>
      </c>
      <c r="I657" s="1">
        <f t="shared" si="32"/>
        <v>0</v>
      </c>
      <c r="J657" t="s">
        <v>529</v>
      </c>
      <c r="L657" t="s">
        <v>381</v>
      </c>
      <c r="M657" t="s">
        <v>644</v>
      </c>
      <c r="N657" t="s">
        <v>465</v>
      </c>
    </row>
    <row r="658" spans="1:14" hidden="1" x14ac:dyDescent="0.25">
      <c r="A658" t="s">
        <v>675</v>
      </c>
      <c r="B658" t="s">
        <v>675</v>
      </c>
      <c r="C658" t="s">
        <v>406</v>
      </c>
      <c r="D658" s="3" t="s">
        <v>655</v>
      </c>
      <c r="E658" s="3" t="s">
        <v>655</v>
      </c>
      <c r="G658" s="3">
        <f t="shared" si="33"/>
        <v>0</v>
      </c>
      <c r="H658" s="3" t="e">
        <f t="shared" si="34"/>
        <v>#DIV/0!</v>
      </c>
      <c r="I658" s="1" t="e">
        <f t="shared" si="32"/>
        <v>#DIV/0!</v>
      </c>
      <c r="J658" t="s">
        <v>508</v>
      </c>
      <c r="L658" t="s">
        <v>679</v>
      </c>
      <c r="M658" t="s">
        <v>644</v>
      </c>
      <c r="N658" t="s">
        <v>465</v>
      </c>
    </row>
    <row r="659" spans="1:14" hidden="1" x14ac:dyDescent="0.25">
      <c r="A659" t="s">
        <v>675</v>
      </c>
      <c r="B659" t="s">
        <v>675</v>
      </c>
      <c r="C659" t="s">
        <v>406</v>
      </c>
      <c r="D659" s="3" t="s">
        <v>655</v>
      </c>
      <c r="E659" s="3" t="s">
        <v>655</v>
      </c>
      <c r="G659" s="3">
        <f t="shared" si="33"/>
        <v>0</v>
      </c>
      <c r="H659" s="3" t="e">
        <f t="shared" si="34"/>
        <v>#DIV/0!</v>
      </c>
      <c r="I659" s="1" t="e">
        <f t="shared" si="32"/>
        <v>#DIV/0!</v>
      </c>
      <c r="J659" t="s">
        <v>508</v>
      </c>
      <c r="L659" t="s">
        <v>671</v>
      </c>
      <c r="M659" t="s">
        <v>644</v>
      </c>
      <c r="N659" t="s">
        <v>433</v>
      </c>
    </row>
    <row r="660" spans="1:14" hidden="1" x14ac:dyDescent="0.25">
      <c r="A660" t="s">
        <v>675</v>
      </c>
      <c r="B660" t="s">
        <v>675</v>
      </c>
      <c r="C660" t="s">
        <v>406</v>
      </c>
      <c r="D660" s="3" t="s">
        <v>655</v>
      </c>
      <c r="E660" s="3" t="s">
        <v>655</v>
      </c>
      <c r="F660">
        <v>20</v>
      </c>
      <c r="G660" s="3">
        <f t="shared" si="33"/>
        <v>0</v>
      </c>
      <c r="H660" s="3">
        <f t="shared" si="34"/>
        <v>0</v>
      </c>
      <c r="I660" s="1">
        <f t="shared" si="32"/>
        <v>0</v>
      </c>
      <c r="J660" t="s">
        <v>541</v>
      </c>
      <c r="L660" t="s">
        <v>381</v>
      </c>
      <c r="M660" t="s">
        <v>644</v>
      </c>
      <c r="N660" t="s">
        <v>465</v>
      </c>
    </row>
    <row r="661" spans="1:14" hidden="1" x14ac:dyDescent="0.25">
      <c r="A661" t="s">
        <v>675</v>
      </c>
      <c r="B661" t="s">
        <v>675</v>
      </c>
      <c r="C661" t="s">
        <v>406</v>
      </c>
      <c r="D661" s="3" t="s">
        <v>655</v>
      </c>
      <c r="E661" s="3" t="s">
        <v>655</v>
      </c>
      <c r="F661">
        <v>5</v>
      </c>
      <c r="G661" s="3">
        <f t="shared" si="33"/>
        <v>0</v>
      </c>
      <c r="H661" s="3">
        <f t="shared" si="34"/>
        <v>0</v>
      </c>
      <c r="I661" s="1">
        <f t="shared" si="32"/>
        <v>0</v>
      </c>
      <c r="J661" t="s">
        <v>529</v>
      </c>
      <c r="L661" t="s">
        <v>662</v>
      </c>
      <c r="M661" t="s">
        <v>644</v>
      </c>
      <c r="N661" t="s">
        <v>433</v>
      </c>
    </row>
    <row r="662" spans="1:14" hidden="1" x14ac:dyDescent="0.25">
      <c r="A662" t="s">
        <v>675</v>
      </c>
      <c r="B662" t="s">
        <v>675</v>
      </c>
      <c r="C662" t="s">
        <v>406</v>
      </c>
      <c r="D662" s="3" t="s">
        <v>486</v>
      </c>
      <c r="E662" s="3" t="s">
        <v>464</v>
      </c>
      <c r="F662">
        <v>8</v>
      </c>
      <c r="G662" s="3">
        <f t="shared" si="33"/>
        <v>0.33333333333333331</v>
      </c>
      <c r="H662" s="3">
        <f t="shared" si="34"/>
        <v>4.1666666666666664E-2</v>
      </c>
      <c r="I662" s="1">
        <f t="shared" si="32"/>
        <v>0</v>
      </c>
      <c r="J662" t="s">
        <v>529</v>
      </c>
      <c r="K662" t="s">
        <v>397</v>
      </c>
      <c r="L662" t="s">
        <v>662</v>
      </c>
      <c r="M662" t="s">
        <v>644</v>
      </c>
      <c r="N662" t="s">
        <v>433</v>
      </c>
    </row>
    <row r="663" spans="1:14" hidden="1" x14ac:dyDescent="0.25">
      <c r="A663" t="s">
        <v>675</v>
      </c>
      <c r="B663" t="s">
        <v>675</v>
      </c>
      <c r="C663" t="s">
        <v>406</v>
      </c>
      <c r="D663" s="3" t="s">
        <v>486</v>
      </c>
      <c r="E663" s="3" t="s">
        <v>464</v>
      </c>
      <c r="F663">
        <v>1</v>
      </c>
      <c r="G663" s="3">
        <f t="shared" si="33"/>
        <v>0.33333333333333331</v>
      </c>
      <c r="H663" s="3">
        <f t="shared" si="34"/>
        <v>0.33333333333333331</v>
      </c>
      <c r="I663" s="1">
        <f t="shared" si="32"/>
        <v>0</v>
      </c>
      <c r="J663" t="s">
        <v>529</v>
      </c>
      <c r="K663" t="s">
        <v>397</v>
      </c>
      <c r="L663" t="s">
        <v>662</v>
      </c>
      <c r="M663" t="s">
        <v>644</v>
      </c>
      <c r="N663" t="s">
        <v>433</v>
      </c>
    </row>
    <row r="664" spans="1:14" hidden="1" x14ac:dyDescent="0.25">
      <c r="A664" t="s">
        <v>675</v>
      </c>
      <c r="B664" t="s">
        <v>675</v>
      </c>
      <c r="C664" t="s">
        <v>406</v>
      </c>
      <c r="D664" s="3" t="s">
        <v>486</v>
      </c>
      <c r="E664" s="3" t="s">
        <v>464</v>
      </c>
      <c r="F664">
        <v>1</v>
      </c>
      <c r="G664" s="3">
        <f t="shared" si="33"/>
        <v>0.33333333333333331</v>
      </c>
      <c r="H664" s="3">
        <f t="shared" si="34"/>
        <v>0.33333333333333331</v>
      </c>
      <c r="I664" s="1">
        <f t="shared" si="32"/>
        <v>0</v>
      </c>
      <c r="J664" t="s">
        <v>543</v>
      </c>
      <c r="K664" t="s">
        <v>397</v>
      </c>
      <c r="L664" t="s">
        <v>662</v>
      </c>
      <c r="M664" t="s">
        <v>644</v>
      </c>
      <c r="N664" t="s">
        <v>433</v>
      </c>
    </row>
    <row r="665" spans="1:14" hidden="1" x14ac:dyDescent="0.25">
      <c r="A665" t="s">
        <v>675</v>
      </c>
      <c r="B665" t="s">
        <v>675</v>
      </c>
      <c r="C665" t="s">
        <v>406</v>
      </c>
      <c r="D665" s="3" t="s">
        <v>486</v>
      </c>
      <c r="E665" s="3" t="s">
        <v>464</v>
      </c>
      <c r="F665">
        <v>1</v>
      </c>
      <c r="G665" s="3">
        <f t="shared" si="33"/>
        <v>0.33333333333333331</v>
      </c>
      <c r="H665" s="3">
        <f t="shared" si="34"/>
        <v>0.33333333333333331</v>
      </c>
      <c r="I665" s="1">
        <f t="shared" si="32"/>
        <v>0</v>
      </c>
      <c r="J665" t="s">
        <v>529</v>
      </c>
      <c r="K665" t="s">
        <v>397</v>
      </c>
      <c r="L665" t="s">
        <v>662</v>
      </c>
      <c r="M665" t="s">
        <v>644</v>
      </c>
      <c r="N665" t="s">
        <v>433</v>
      </c>
    </row>
    <row r="666" spans="1:14" hidden="1" x14ac:dyDescent="0.25">
      <c r="A666" t="s">
        <v>675</v>
      </c>
      <c r="B666" t="s">
        <v>675</v>
      </c>
      <c r="C666" t="s">
        <v>406</v>
      </c>
      <c r="D666" s="3" t="s">
        <v>655</v>
      </c>
      <c r="E666" s="3" t="s">
        <v>655</v>
      </c>
      <c r="F666">
        <v>1</v>
      </c>
      <c r="G666" s="3">
        <f t="shared" si="33"/>
        <v>0</v>
      </c>
      <c r="H666" s="3">
        <f t="shared" si="34"/>
        <v>0</v>
      </c>
      <c r="I666" s="1">
        <f t="shared" si="32"/>
        <v>0</v>
      </c>
      <c r="J666" t="s">
        <v>543</v>
      </c>
      <c r="L666" t="s">
        <v>662</v>
      </c>
      <c r="M666" t="s">
        <v>644</v>
      </c>
      <c r="N666" t="s">
        <v>433</v>
      </c>
    </row>
    <row r="667" spans="1:14" hidden="1" x14ac:dyDescent="0.25">
      <c r="A667" t="s">
        <v>675</v>
      </c>
      <c r="B667" t="s">
        <v>675</v>
      </c>
      <c r="C667" t="s">
        <v>406</v>
      </c>
      <c r="D667" s="3" t="s">
        <v>655</v>
      </c>
      <c r="E667" s="3" t="s">
        <v>655</v>
      </c>
      <c r="F667">
        <v>1</v>
      </c>
      <c r="G667" s="3">
        <f t="shared" si="33"/>
        <v>0</v>
      </c>
      <c r="H667" s="3">
        <f t="shared" si="34"/>
        <v>0</v>
      </c>
      <c r="I667" s="1">
        <f t="shared" si="32"/>
        <v>0</v>
      </c>
      <c r="J667" t="s">
        <v>552</v>
      </c>
      <c r="L667" t="s">
        <v>662</v>
      </c>
      <c r="M667" t="s">
        <v>644</v>
      </c>
      <c r="N667" t="s">
        <v>433</v>
      </c>
    </row>
    <row r="668" spans="1:14" hidden="1" x14ac:dyDescent="0.25">
      <c r="A668" t="s">
        <v>675</v>
      </c>
      <c r="B668" t="s">
        <v>675</v>
      </c>
      <c r="C668" t="s">
        <v>406</v>
      </c>
      <c r="D668" s="3" t="s">
        <v>655</v>
      </c>
      <c r="E668" s="3" t="s">
        <v>655</v>
      </c>
      <c r="F668">
        <v>20</v>
      </c>
      <c r="G668" s="3">
        <f t="shared" si="33"/>
        <v>0</v>
      </c>
      <c r="H668" s="3">
        <f t="shared" si="34"/>
        <v>0</v>
      </c>
      <c r="I668" s="1">
        <f t="shared" si="32"/>
        <v>0</v>
      </c>
      <c r="J668" t="s">
        <v>529</v>
      </c>
      <c r="L668" t="s">
        <v>381</v>
      </c>
      <c r="M668" t="s">
        <v>644</v>
      </c>
      <c r="N668" t="s">
        <v>465</v>
      </c>
    </row>
    <row r="669" spans="1:14" hidden="1" x14ac:dyDescent="0.25">
      <c r="A669" t="s">
        <v>675</v>
      </c>
      <c r="B669" t="s">
        <v>675</v>
      </c>
      <c r="C669" t="s">
        <v>406</v>
      </c>
      <c r="D669" s="3" t="s">
        <v>655</v>
      </c>
      <c r="E669" s="3" t="s">
        <v>655</v>
      </c>
      <c r="F669">
        <v>1</v>
      </c>
      <c r="G669" s="3">
        <f t="shared" si="33"/>
        <v>0</v>
      </c>
      <c r="H669" s="3">
        <f t="shared" si="34"/>
        <v>0</v>
      </c>
      <c r="I669" s="1">
        <f t="shared" si="32"/>
        <v>0</v>
      </c>
      <c r="J669" t="s">
        <v>508</v>
      </c>
      <c r="L669" t="s">
        <v>662</v>
      </c>
      <c r="M669" t="s">
        <v>644</v>
      </c>
      <c r="N669" t="s">
        <v>433</v>
      </c>
    </row>
    <row r="670" spans="1:14" hidden="1" x14ac:dyDescent="0.25">
      <c r="A670" t="s">
        <v>675</v>
      </c>
      <c r="B670" t="s">
        <v>675</v>
      </c>
      <c r="C670" t="s">
        <v>406</v>
      </c>
      <c r="D670" s="3" t="s">
        <v>655</v>
      </c>
      <c r="E670" s="3" t="s">
        <v>655</v>
      </c>
      <c r="F670">
        <v>20</v>
      </c>
      <c r="G670" s="3">
        <f t="shared" si="33"/>
        <v>0</v>
      </c>
      <c r="H670" s="3">
        <f t="shared" si="34"/>
        <v>0</v>
      </c>
      <c r="I670" s="1">
        <f t="shared" si="32"/>
        <v>0</v>
      </c>
      <c r="J670" t="s">
        <v>529</v>
      </c>
      <c r="L670" t="s">
        <v>381</v>
      </c>
      <c r="M670" t="s">
        <v>644</v>
      </c>
      <c r="N670" t="s">
        <v>465</v>
      </c>
    </row>
    <row r="671" spans="1:14" hidden="1" x14ac:dyDescent="0.25">
      <c r="A671" t="s">
        <v>675</v>
      </c>
      <c r="B671" t="s">
        <v>675</v>
      </c>
      <c r="C671" t="s">
        <v>406</v>
      </c>
      <c r="D671" s="3" t="s">
        <v>655</v>
      </c>
      <c r="E671" s="3" t="s">
        <v>655</v>
      </c>
      <c r="G671" s="3">
        <f t="shared" si="33"/>
        <v>0</v>
      </c>
      <c r="H671" s="3" t="e">
        <f t="shared" si="34"/>
        <v>#DIV/0!</v>
      </c>
      <c r="I671" s="1" t="e">
        <f t="shared" si="32"/>
        <v>#DIV/0!</v>
      </c>
      <c r="J671" t="s">
        <v>427</v>
      </c>
      <c r="L671" t="s">
        <v>668</v>
      </c>
      <c r="M671" t="s">
        <v>644</v>
      </c>
      <c r="N671" t="s">
        <v>447</v>
      </c>
    </row>
    <row r="672" spans="1:14" hidden="1" x14ac:dyDescent="0.25">
      <c r="A672" t="s">
        <v>675</v>
      </c>
      <c r="B672" t="s">
        <v>675</v>
      </c>
      <c r="C672" t="s">
        <v>406</v>
      </c>
      <c r="D672" s="3" t="s">
        <v>655</v>
      </c>
      <c r="E672" s="3" t="s">
        <v>655</v>
      </c>
      <c r="G672" s="3">
        <f t="shared" si="33"/>
        <v>0</v>
      </c>
      <c r="H672" s="3" t="e">
        <f t="shared" si="34"/>
        <v>#DIV/0!</v>
      </c>
      <c r="I672" s="1" t="e">
        <f t="shared" si="32"/>
        <v>#DIV/0!</v>
      </c>
      <c r="J672" t="s">
        <v>427</v>
      </c>
      <c r="L672" t="s">
        <v>668</v>
      </c>
      <c r="M672" t="s">
        <v>644</v>
      </c>
      <c r="N672" t="s">
        <v>399</v>
      </c>
    </row>
    <row r="673" spans="1:14" hidden="1" x14ac:dyDescent="0.25">
      <c r="A673" t="s">
        <v>675</v>
      </c>
      <c r="B673" t="s">
        <v>675</v>
      </c>
      <c r="C673" t="s">
        <v>406</v>
      </c>
      <c r="D673" s="3" t="s">
        <v>655</v>
      </c>
      <c r="E673" s="3" t="s">
        <v>655</v>
      </c>
      <c r="G673" s="3">
        <f t="shared" si="33"/>
        <v>0</v>
      </c>
      <c r="H673" s="3" t="e">
        <f t="shared" si="34"/>
        <v>#DIV/0!</v>
      </c>
      <c r="I673" s="1" t="e">
        <f t="shared" si="32"/>
        <v>#DIV/0!</v>
      </c>
      <c r="J673" t="s">
        <v>427</v>
      </c>
      <c r="L673" t="s">
        <v>668</v>
      </c>
      <c r="M673" t="s">
        <v>644</v>
      </c>
      <c r="N673" t="s">
        <v>399</v>
      </c>
    </row>
    <row r="674" spans="1:14" hidden="1" x14ac:dyDescent="0.25">
      <c r="A674" t="s">
        <v>675</v>
      </c>
      <c r="B674" t="s">
        <v>675</v>
      </c>
      <c r="C674" t="s">
        <v>406</v>
      </c>
      <c r="D674" s="3" t="s">
        <v>599</v>
      </c>
      <c r="E674" s="3" t="s">
        <v>599</v>
      </c>
      <c r="F674">
        <v>3</v>
      </c>
      <c r="G674" s="3">
        <f t="shared" si="33"/>
        <v>0</v>
      </c>
      <c r="H674" s="3">
        <f t="shared" si="34"/>
        <v>0</v>
      </c>
      <c r="I674" s="1">
        <f t="shared" si="32"/>
        <v>0</v>
      </c>
      <c r="J674" t="s">
        <v>529</v>
      </c>
      <c r="K674" t="s">
        <v>417</v>
      </c>
      <c r="L674" t="s">
        <v>672</v>
      </c>
      <c r="M674" t="s">
        <v>644</v>
      </c>
      <c r="N674" t="s">
        <v>465</v>
      </c>
    </row>
    <row r="675" spans="1:14" hidden="1" x14ac:dyDescent="0.25">
      <c r="A675" t="s">
        <v>675</v>
      </c>
      <c r="B675" t="s">
        <v>675</v>
      </c>
      <c r="C675" t="s">
        <v>406</v>
      </c>
      <c r="D675" s="3" t="s">
        <v>599</v>
      </c>
      <c r="E675" s="3" t="s">
        <v>599</v>
      </c>
      <c r="F675">
        <v>3</v>
      </c>
      <c r="G675" s="3">
        <f t="shared" si="33"/>
        <v>0</v>
      </c>
      <c r="H675" s="3">
        <f t="shared" si="34"/>
        <v>0</v>
      </c>
      <c r="I675" s="1">
        <f t="shared" si="32"/>
        <v>0</v>
      </c>
      <c r="J675" t="s">
        <v>541</v>
      </c>
      <c r="K675" t="s">
        <v>417</v>
      </c>
      <c r="L675" t="s">
        <v>672</v>
      </c>
      <c r="M675" t="s">
        <v>644</v>
      </c>
      <c r="N675" t="s">
        <v>465</v>
      </c>
    </row>
    <row r="676" spans="1:14" hidden="1" x14ac:dyDescent="0.25">
      <c r="A676" t="s">
        <v>675</v>
      </c>
      <c r="B676" t="s">
        <v>675</v>
      </c>
      <c r="C676" t="s">
        <v>406</v>
      </c>
      <c r="D676" s="3" t="s">
        <v>655</v>
      </c>
      <c r="E676" s="3" t="s">
        <v>655</v>
      </c>
      <c r="G676" s="3">
        <f t="shared" si="33"/>
        <v>0</v>
      </c>
      <c r="H676" s="3" t="e">
        <f t="shared" si="34"/>
        <v>#DIV/0!</v>
      </c>
      <c r="I676" s="1" t="e">
        <f t="shared" si="32"/>
        <v>#DIV/0!</v>
      </c>
      <c r="J676" t="s">
        <v>508</v>
      </c>
      <c r="L676" t="s">
        <v>679</v>
      </c>
      <c r="M676" t="s">
        <v>644</v>
      </c>
      <c r="N676" t="s">
        <v>465</v>
      </c>
    </row>
    <row r="677" spans="1:14" hidden="1" x14ac:dyDescent="0.25">
      <c r="A677" t="s">
        <v>507</v>
      </c>
      <c r="C677" t="s">
        <v>422</v>
      </c>
      <c r="D677" s="3" t="s">
        <v>403</v>
      </c>
      <c r="E677" s="3" t="s">
        <v>412</v>
      </c>
      <c r="F677">
        <v>10</v>
      </c>
      <c r="G677" s="3">
        <f t="shared" si="33"/>
        <v>0.15277777777777779</v>
      </c>
      <c r="H677" s="3">
        <f t="shared" si="34"/>
        <v>1.5277777777777779E-2</v>
      </c>
      <c r="I677" s="1">
        <f t="shared" si="32"/>
        <v>22</v>
      </c>
      <c r="J677" t="s">
        <v>495</v>
      </c>
      <c r="K677" t="s">
        <v>397</v>
      </c>
      <c r="L677" t="s">
        <v>107</v>
      </c>
      <c r="M677" t="s">
        <v>398</v>
      </c>
      <c r="N677" t="s">
        <v>405</v>
      </c>
    </row>
    <row r="678" spans="1:14" hidden="1" x14ac:dyDescent="0.25">
      <c r="A678" t="s">
        <v>507</v>
      </c>
      <c r="B678" t="s">
        <v>507</v>
      </c>
      <c r="C678" t="s">
        <v>422</v>
      </c>
      <c r="D678" s="3" t="s">
        <v>403</v>
      </c>
      <c r="E678" s="3" t="s">
        <v>467</v>
      </c>
      <c r="F678">
        <v>5</v>
      </c>
      <c r="G678" s="3">
        <f t="shared" si="33"/>
        <v>0.3298611111111111</v>
      </c>
      <c r="H678" s="3">
        <f t="shared" si="34"/>
        <v>6.5972222222222224E-2</v>
      </c>
      <c r="I678" s="1">
        <f t="shared" si="32"/>
        <v>35</v>
      </c>
      <c r="J678" t="s">
        <v>468</v>
      </c>
      <c r="K678" t="s">
        <v>397</v>
      </c>
      <c r="L678" t="s">
        <v>112</v>
      </c>
      <c r="M678" t="s">
        <v>398</v>
      </c>
      <c r="N678" t="s">
        <v>465</v>
      </c>
    </row>
    <row r="679" spans="1:14" hidden="1" x14ac:dyDescent="0.25">
      <c r="A679" t="s">
        <v>507</v>
      </c>
      <c r="B679" t="s">
        <v>507</v>
      </c>
      <c r="C679" t="s">
        <v>422</v>
      </c>
      <c r="D679" s="3" t="s">
        <v>403</v>
      </c>
      <c r="E679" s="3" t="s">
        <v>441</v>
      </c>
      <c r="F679">
        <v>5</v>
      </c>
      <c r="G679" s="3">
        <f t="shared" si="33"/>
        <v>0.41319444444444448</v>
      </c>
      <c r="H679" s="3">
        <f t="shared" si="34"/>
        <v>8.2638888888888901E-2</v>
      </c>
      <c r="I679" s="1">
        <f t="shared" si="32"/>
        <v>59</v>
      </c>
      <c r="J679" t="s">
        <v>463</v>
      </c>
      <c r="K679" t="s">
        <v>397</v>
      </c>
      <c r="L679" t="s">
        <v>98</v>
      </c>
      <c r="M679" t="s">
        <v>398</v>
      </c>
      <c r="N679" t="s">
        <v>465</v>
      </c>
    </row>
    <row r="680" spans="1:14" hidden="1" x14ac:dyDescent="0.25">
      <c r="A680" t="s">
        <v>507</v>
      </c>
      <c r="B680" t="s">
        <v>507</v>
      </c>
      <c r="C680" t="s">
        <v>400</v>
      </c>
      <c r="D680" s="3" t="s">
        <v>655</v>
      </c>
      <c r="E680" s="3" t="s">
        <v>655</v>
      </c>
      <c r="G680" s="3">
        <f t="shared" si="33"/>
        <v>0</v>
      </c>
      <c r="H680" s="3" t="e">
        <f t="shared" si="34"/>
        <v>#DIV/0!</v>
      </c>
      <c r="I680" s="1" t="e">
        <f t="shared" si="32"/>
        <v>#DIV/0!</v>
      </c>
      <c r="J680" t="s">
        <v>427</v>
      </c>
      <c r="L680" t="s">
        <v>668</v>
      </c>
      <c r="M680" t="s">
        <v>644</v>
      </c>
      <c r="N680" t="s">
        <v>399</v>
      </c>
    </row>
    <row r="681" spans="1:14" hidden="1" x14ac:dyDescent="0.25">
      <c r="A681" t="s">
        <v>507</v>
      </c>
      <c r="B681" t="s">
        <v>507</v>
      </c>
      <c r="C681" t="s">
        <v>400</v>
      </c>
      <c r="D681" s="3" t="s">
        <v>655</v>
      </c>
      <c r="E681" s="3" t="s">
        <v>655</v>
      </c>
      <c r="G681" s="3">
        <f t="shared" si="33"/>
        <v>0</v>
      </c>
      <c r="H681" s="3" t="e">
        <f t="shared" si="34"/>
        <v>#DIV/0!</v>
      </c>
      <c r="I681" s="1" t="e">
        <f t="shared" si="32"/>
        <v>#DIV/0!</v>
      </c>
      <c r="J681" t="s">
        <v>497</v>
      </c>
      <c r="L681" t="s">
        <v>674</v>
      </c>
      <c r="M681" t="s">
        <v>644</v>
      </c>
      <c r="N681" t="s">
        <v>405</v>
      </c>
    </row>
    <row r="682" spans="1:14" hidden="1" x14ac:dyDescent="0.25">
      <c r="A682" t="s">
        <v>507</v>
      </c>
      <c r="B682" t="s">
        <v>507</v>
      </c>
      <c r="C682" t="s">
        <v>400</v>
      </c>
      <c r="D682" s="3" t="s">
        <v>655</v>
      </c>
      <c r="E682" s="3" t="s">
        <v>655</v>
      </c>
      <c r="F682">
        <v>10</v>
      </c>
      <c r="G682" s="3">
        <f t="shared" si="33"/>
        <v>0</v>
      </c>
      <c r="H682" s="3">
        <f t="shared" si="34"/>
        <v>0</v>
      </c>
      <c r="I682" s="1">
        <f t="shared" si="32"/>
        <v>0</v>
      </c>
      <c r="J682" t="s">
        <v>560</v>
      </c>
      <c r="L682" t="s">
        <v>672</v>
      </c>
      <c r="M682" t="s">
        <v>644</v>
      </c>
      <c r="N682" t="s">
        <v>465</v>
      </c>
    </row>
    <row r="683" spans="1:14" hidden="1" x14ac:dyDescent="0.25">
      <c r="A683" t="s">
        <v>507</v>
      </c>
      <c r="B683" t="s">
        <v>507</v>
      </c>
      <c r="C683" t="s">
        <v>400</v>
      </c>
      <c r="D683" s="3" t="s">
        <v>655</v>
      </c>
      <c r="E683" s="3" t="s">
        <v>655</v>
      </c>
      <c r="F683">
        <v>10</v>
      </c>
      <c r="G683" s="3">
        <f t="shared" si="33"/>
        <v>0</v>
      </c>
      <c r="H683" s="3">
        <f t="shared" si="34"/>
        <v>0</v>
      </c>
      <c r="I683" s="1">
        <f t="shared" si="32"/>
        <v>0</v>
      </c>
      <c r="J683" t="s">
        <v>541</v>
      </c>
      <c r="L683" t="s">
        <v>672</v>
      </c>
      <c r="M683" t="s">
        <v>644</v>
      </c>
      <c r="N683" t="s">
        <v>465</v>
      </c>
    </row>
    <row r="684" spans="1:14" hidden="1" x14ac:dyDescent="0.25">
      <c r="A684" t="s">
        <v>680</v>
      </c>
      <c r="B684" t="s">
        <v>680</v>
      </c>
      <c r="C684" t="s">
        <v>491</v>
      </c>
      <c r="D684" s="3" t="s">
        <v>403</v>
      </c>
      <c r="E684" s="3" t="s">
        <v>438</v>
      </c>
      <c r="F684">
        <v>5</v>
      </c>
      <c r="G684" s="3">
        <f t="shared" si="33"/>
        <v>0.37152777777777785</v>
      </c>
      <c r="H684" s="3">
        <f t="shared" si="34"/>
        <v>7.4305555555555569E-2</v>
      </c>
      <c r="I684" s="1">
        <f t="shared" si="32"/>
        <v>47</v>
      </c>
      <c r="J684" t="s">
        <v>432</v>
      </c>
      <c r="K684" t="s">
        <v>397</v>
      </c>
      <c r="L684" t="s">
        <v>112</v>
      </c>
      <c r="M684" t="s">
        <v>398</v>
      </c>
      <c r="N684" t="s">
        <v>465</v>
      </c>
    </row>
    <row r="685" spans="1:14" hidden="1" x14ac:dyDescent="0.25">
      <c r="A685" t="s">
        <v>456</v>
      </c>
      <c r="B685" t="s">
        <v>456</v>
      </c>
      <c r="C685" t="s">
        <v>401</v>
      </c>
      <c r="D685" s="3" t="s">
        <v>449</v>
      </c>
      <c r="E685" s="3" t="s">
        <v>681</v>
      </c>
      <c r="F685">
        <v>30</v>
      </c>
      <c r="G685" s="3">
        <f t="shared" si="33"/>
        <v>0.11805555555555558</v>
      </c>
      <c r="H685" s="3">
        <f t="shared" si="34"/>
        <v>3.9351851851851857E-3</v>
      </c>
      <c r="I685" s="1">
        <f t="shared" si="32"/>
        <v>5</v>
      </c>
      <c r="J685" t="s">
        <v>432</v>
      </c>
      <c r="K685" t="s">
        <v>417</v>
      </c>
      <c r="L685" t="s">
        <v>143</v>
      </c>
      <c r="M685" t="s">
        <v>398</v>
      </c>
      <c r="N685" t="s">
        <v>405</v>
      </c>
    </row>
    <row r="686" spans="1:14" hidden="1" x14ac:dyDescent="0.25">
      <c r="A686" t="s">
        <v>456</v>
      </c>
      <c r="B686" t="s">
        <v>456</v>
      </c>
      <c r="C686" t="s">
        <v>491</v>
      </c>
      <c r="D686" s="3" t="s">
        <v>655</v>
      </c>
      <c r="E686" s="3" t="s">
        <v>655</v>
      </c>
      <c r="F686">
        <v>58</v>
      </c>
      <c r="G686" s="3">
        <f t="shared" si="33"/>
        <v>0</v>
      </c>
      <c r="H686" s="3">
        <f t="shared" si="34"/>
        <v>0</v>
      </c>
      <c r="I686" s="1">
        <f t="shared" si="32"/>
        <v>0</v>
      </c>
      <c r="J686" t="s">
        <v>529</v>
      </c>
      <c r="L686" t="s">
        <v>669</v>
      </c>
      <c r="M686" t="s">
        <v>644</v>
      </c>
      <c r="N686" t="s">
        <v>465</v>
      </c>
    </row>
    <row r="687" spans="1:14" hidden="1" x14ac:dyDescent="0.25">
      <c r="A687" t="s">
        <v>456</v>
      </c>
      <c r="B687" t="s">
        <v>456</v>
      </c>
      <c r="C687" t="s">
        <v>491</v>
      </c>
      <c r="D687" s="3" t="s">
        <v>655</v>
      </c>
      <c r="E687" s="3" t="s">
        <v>655</v>
      </c>
      <c r="G687" s="3">
        <f t="shared" si="33"/>
        <v>0</v>
      </c>
      <c r="H687" s="3" t="e">
        <f t="shared" si="34"/>
        <v>#DIV/0!</v>
      </c>
      <c r="I687" s="1" t="e">
        <f t="shared" si="32"/>
        <v>#DIV/0!</v>
      </c>
      <c r="J687" t="s">
        <v>508</v>
      </c>
      <c r="L687" t="s">
        <v>679</v>
      </c>
      <c r="M687" t="s">
        <v>644</v>
      </c>
      <c r="N687" t="s">
        <v>465</v>
      </c>
    </row>
    <row r="688" spans="1:14" hidden="1" x14ac:dyDescent="0.25">
      <c r="A688" t="s">
        <v>456</v>
      </c>
      <c r="B688" t="s">
        <v>456</v>
      </c>
      <c r="C688" t="s">
        <v>491</v>
      </c>
      <c r="D688" s="3" t="s">
        <v>655</v>
      </c>
      <c r="E688" s="3" t="s">
        <v>655</v>
      </c>
      <c r="F688">
        <v>10</v>
      </c>
      <c r="G688" s="3">
        <f t="shared" si="33"/>
        <v>0</v>
      </c>
      <c r="H688" s="3">
        <f t="shared" si="34"/>
        <v>0</v>
      </c>
      <c r="I688" s="1">
        <f t="shared" si="32"/>
        <v>0</v>
      </c>
      <c r="J688" t="s">
        <v>529</v>
      </c>
      <c r="L688" t="s">
        <v>672</v>
      </c>
      <c r="M688" t="s">
        <v>644</v>
      </c>
      <c r="N688" t="s">
        <v>465</v>
      </c>
    </row>
    <row r="689" spans="1:14" hidden="1" x14ac:dyDescent="0.25">
      <c r="A689" t="s">
        <v>473</v>
      </c>
      <c r="B689" t="s">
        <v>473</v>
      </c>
      <c r="C689" t="s">
        <v>407</v>
      </c>
      <c r="D689" s="3" t="s">
        <v>416</v>
      </c>
      <c r="E689" s="3" t="s">
        <v>492</v>
      </c>
      <c r="F689">
        <v>1</v>
      </c>
      <c r="G689" s="3">
        <f t="shared" si="33"/>
        <v>0.23263888888888884</v>
      </c>
      <c r="H689" s="3">
        <f t="shared" si="34"/>
        <v>0.23263888888888884</v>
      </c>
      <c r="I689" s="1">
        <f t="shared" si="32"/>
        <v>35</v>
      </c>
      <c r="J689" t="s">
        <v>404</v>
      </c>
      <c r="K689" t="s">
        <v>417</v>
      </c>
      <c r="L689" t="s">
        <v>123</v>
      </c>
      <c r="M689" t="s">
        <v>398</v>
      </c>
      <c r="N689" t="s">
        <v>399</v>
      </c>
    </row>
    <row r="690" spans="1:14" hidden="1" x14ac:dyDescent="0.25">
      <c r="A690" t="s">
        <v>473</v>
      </c>
      <c r="B690" t="s">
        <v>473</v>
      </c>
      <c r="C690" t="s">
        <v>407</v>
      </c>
      <c r="D690" s="3" t="s">
        <v>416</v>
      </c>
      <c r="E690" s="3" t="s">
        <v>492</v>
      </c>
      <c r="F690">
        <v>15</v>
      </c>
      <c r="G690" s="3">
        <f t="shared" si="33"/>
        <v>0.23263888888888884</v>
      </c>
      <c r="H690" s="3">
        <f t="shared" si="34"/>
        <v>1.5509259259259256E-2</v>
      </c>
      <c r="I690" s="1">
        <f t="shared" si="32"/>
        <v>22</v>
      </c>
      <c r="J690" t="s">
        <v>435</v>
      </c>
      <c r="K690" t="s">
        <v>417</v>
      </c>
      <c r="L690" t="s">
        <v>121</v>
      </c>
      <c r="M690" t="s">
        <v>398</v>
      </c>
      <c r="N690" t="s">
        <v>399</v>
      </c>
    </row>
    <row r="691" spans="1:14" hidden="1" x14ac:dyDescent="0.25">
      <c r="A691" t="s">
        <v>473</v>
      </c>
      <c r="B691" t="s">
        <v>473</v>
      </c>
      <c r="C691" t="s">
        <v>407</v>
      </c>
      <c r="D691" s="3" t="s">
        <v>395</v>
      </c>
      <c r="E691" s="3" t="s">
        <v>423</v>
      </c>
      <c r="F691">
        <v>10</v>
      </c>
      <c r="G691" s="3">
        <f t="shared" si="33"/>
        <v>0.1388888888888889</v>
      </c>
      <c r="H691" s="3">
        <f t="shared" si="34"/>
        <v>1.388888888888889E-2</v>
      </c>
      <c r="I691" s="1">
        <f t="shared" si="32"/>
        <v>20</v>
      </c>
      <c r="J691" t="s">
        <v>517</v>
      </c>
      <c r="K691" t="s">
        <v>397</v>
      </c>
      <c r="L691" t="s">
        <v>88</v>
      </c>
      <c r="M691" t="s">
        <v>398</v>
      </c>
      <c r="N691" t="s">
        <v>399</v>
      </c>
    </row>
    <row r="692" spans="1:14" hidden="1" x14ac:dyDescent="0.25">
      <c r="A692" t="s">
        <v>473</v>
      </c>
      <c r="B692" t="s">
        <v>473</v>
      </c>
      <c r="C692" t="s">
        <v>401</v>
      </c>
      <c r="D692" s="3" t="s">
        <v>655</v>
      </c>
      <c r="E692" s="3" t="s">
        <v>655</v>
      </c>
      <c r="F692">
        <v>100</v>
      </c>
      <c r="G692" s="3">
        <f t="shared" si="33"/>
        <v>0</v>
      </c>
      <c r="H692" s="3">
        <f t="shared" si="34"/>
        <v>0</v>
      </c>
      <c r="I692" s="1">
        <f t="shared" si="32"/>
        <v>0</v>
      </c>
      <c r="J692" t="s">
        <v>560</v>
      </c>
      <c r="L692" t="s">
        <v>381</v>
      </c>
      <c r="M692" t="s">
        <v>644</v>
      </c>
      <c r="N692" t="s">
        <v>465</v>
      </c>
    </row>
    <row r="693" spans="1:14" hidden="1" x14ac:dyDescent="0.25">
      <c r="A693" t="s">
        <v>473</v>
      </c>
      <c r="B693" t="s">
        <v>473</v>
      </c>
      <c r="C693" t="s">
        <v>401</v>
      </c>
      <c r="D693" s="3" t="s">
        <v>453</v>
      </c>
      <c r="E693" s="3" t="s">
        <v>482</v>
      </c>
      <c r="F693">
        <v>30</v>
      </c>
      <c r="G693" s="3">
        <f t="shared" si="33"/>
        <v>0.20833333333333326</v>
      </c>
      <c r="H693" s="3">
        <f t="shared" si="34"/>
        <v>6.9444444444444423E-3</v>
      </c>
      <c r="I693" s="1">
        <f t="shared" si="32"/>
        <v>10</v>
      </c>
      <c r="J693" t="s">
        <v>529</v>
      </c>
      <c r="K693" t="s">
        <v>417</v>
      </c>
      <c r="L693" t="s">
        <v>519</v>
      </c>
      <c r="M693" t="s">
        <v>644</v>
      </c>
      <c r="N693" t="s">
        <v>465</v>
      </c>
    </row>
    <row r="694" spans="1:14" hidden="1" x14ac:dyDescent="0.25">
      <c r="A694" t="s">
        <v>473</v>
      </c>
      <c r="B694" t="s">
        <v>473</v>
      </c>
      <c r="C694" t="s">
        <v>401</v>
      </c>
      <c r="D694" s="3" t="s">
        <v>655</v>
      </c>
      <c r="E694" s="3" t="s">
        <v>655</v>
      </c>
      <c r="F694">
        <v>10</v>
      </c>
      <c r="G694" s="3">
        <f t="shared" si="33"/>
        <v>0</v>
      </c>
      <c r="H694" s="3">
        <f t="shared" si="34"/>
        <v>0</v>
      </c>
      <c r="I694" s="1">
        <f t="shared" si="32"/>
        <v>0</v>
      </c>
      <c r="J694" t="s">
        <v>529</v>
      </c>
      <c r="L694" t="s">
        <v>672</v>
      </c>
      <c r="M694" t="s">
        <v>644</v>
      </c>
      <c r="N694" t="s">
        <v>465</v>
      </c>
    </row>
    <row r="695" spans="1:14" hidden="1" x14ac:dyDescent="0.25">
      <c r="A695" t="s">
        <v>473</v>
      </c>
      <c r="B695" t="s">
        <v>473</v>
      </c>
      <c r="C695" t="s">
        <v>401</v>
      </c>
      <c r="D695" s="3" t="s">
        <v>655</v>
      </c>
      <c r="E695" s="3" t="s">
        <v>655</v>
      </c>
      <c r="G695" s="3">
        <f t="shared" si="33"/>
        <v>0</v>
      </c>
      <c r="H695" s="3" t="e">
        <f t="shared" si="34"/>
        <v>#DIV/0!</v>
      </c>
      <c r="I695" s="1" t="e">
        <f t="shared" si="32"/>
        <v>#DIV/0!</v>
      </c>
      <c r="J695" t="s">
        <v>508</v>
      </c>
      <c r="L695" t="s">
        <v>679</v>
      </c>
      <c r="M695" t="s">
        <v>644</v>
      </c>
      <c r="N695" t="s">
        <v>465</v>
      </c>
    </row>
    <row r="696" spans="1:14" hidden="1" x14ac:dyDescent="0.25">
      <c r="A696" t="s">
        <v>523</v>
      </c>
      <c r="B696" t="s">
        <v>523</v>
      </c>
      <c r="C696" t="s">
        <v>393</v>
      </c>
      <c r="D696" s="3" t="s">
        <v>464</v>
      </c>
      <c r="E696" s="3" t="s">
        <v>682</v>
      </c>
      <c r="F696">
        <v>5</v>
      </c>
      <c r="G696" s="3">
        <f t="shared" si="33"/>
        <v>8.333333333333337E-2</v>
      </c>
      <c r="H696" s="3">
        <f t="shared" si="34"/>
        <v>1.6666666666666673E-2</v>
      </c>
      <c r="I696" s="1">
        <f t="shared" si="32"/>
        <v>24</v>
      </c>
      <c r="J696" t="s">
        <v>480</v>
      </c>
      <c r="K696" t="s">
        <v>417</v>
      </c>
      <c r="L696" t="s">
        <v>98</v>
      </c>
      <c r="M696" t="s">
        <v>398</v>
      </c>
      <c r="N696" t="s">
        <v>465</v>
      </c>
    </row>
    <row r="697" spans="1:14" hidden="1" x14ac:dyDescent="0.25">
      <c r="A697" t="s">
        <v>523</v>
      </c>
      <c r="B697" t="s">
        <v>523</v>
      </c>
      <c r="C697" t="s">
        <v>407</v>
      </c>
      <c r="D697" s="3" t="s">
        <v>655</v>
      </c>
      <c r="E697" s="3" t="s">
        <v>655</v>
      </c>
      <c r="F697">
        <v>22</v>
      </c>
      <c r="G697" s="3">
        <f t="shared" si="33"/>
        <v>0</v>
      </c>
      <c r="H697" s="3">
        <f t="shared" si="34"/>
        <v>0</v>
      </c>
      <c r="I697" s="1">
        <f t="shared" si="32"/>
        <v>0</v>
      </c>
      <c r="J697" t="s">
        <v>541</v>
      </c>
      <c r="L697" t="s">
        <v>669</v>
      </c>
      <c r="M697" t="s">
        <v>644</v>
      </c>
      <c r="N697" t="s">
        <v>465</v>
      </c>
    </row>
    <row r="698" spans="1:14" hidden="1" x14ac:dyDescent="0.25">
      <c r="A698" t="s">
        <v>523</v>
      </c>
      <c r="B698" t="s">
        <v>523</v>
      </c>
      <c r="C698" t="s">
        <v>407</v>
      </c>
      <c r="D698" s="3" t="s">
        <v>655</v>
      </c>
      <c r="E698" s="3" t="s">
        <v>655</v>
      </c>
      <c r="G698" s="3">
        <f t="shared" si="33"/>
        <v>0</v>
      </c>
      <c r="H698" s="3" t="e">
        <f t="shared" si="34"/>
        <v>#DIV/0!</v>
      </c>
      <c r="I698" s="1" t="e">
        <f t="shared" si="32"/>
        <v>#DIV/0!</v>
      </c>
      <c r="J698" t="s">
        <v>508</v>
      </c>
      <c r="L698" t="s">
        <v>679</v>
      </c>
      <c r="M698" t="s">
        <v>644</v>
      </c>
      <c r="N698" t="s">
        <v>465</v>
      </c>
    </row>
    <row r="699" spans="1:14" hidden="1" x14ac:dyDescent="0.25">
      <c r="A699" t="s">
        <v>523</v>
      </c>
      <c r="B699" t="s">
        <v>523</v>
      </c>
      <c r="C699" t="s">
        <v>407</v>
      </c>
      <c r="D699" s="3" t="s">
        <v>403</v>
      </c>
      <c r="E699" s="3" t="s">
        <v>441</v>
      </c>
      <c r="F699">
        <v>5</v>
      </c>
      <c r="G699" s="3">
        <f t="shared" si="33"/>
        <v>0.41319444444444448</v>
      </c>
      <c r="H699" s="3">
        <f t="shared" si="34"/>
        <v>8.2638888888888901E-2</v>
      </c>
      <c r="I699" s="1">
        <f t="shared" si="32"/>
        <v>59</v>
      </c>
      <c r="J699" t="s">
        <v>463</v>
      </c>
      <c r="K699" t="s">
        <v>397</v>
      </c>
      <c r="L699" t="s">
        <v>98</v>
      </c>
      <c r="M699" t="s">
        <v>644</v>
      </c>
      <c r="N699" t="s">
        <v>447</v>
      </c>
    </row>
    <row r="700" spans="1:14" hidden="1" x14ac:dyDescent="0.25">
      <c r="A700" t="s">
        <v>523</v>
      </c>
      <c r="B700" t="s">
        <v>523</v>
      </c>
      <c r="C700" t="s">
        <v>407</v>
      </c>
      <c r="D700" s="3" t="s">
        <v>655</v>
      </c>
      <c r="E700" s="3" t="s">
        <v>655</v>
      </c>
      <c r="F700">
        <v>10</v>
      </c>
      <c r="G700" s="3">
        <f t="shared" si="33"/>
        <v>0</v>
      </c>
      <c r="H700" s="3">
        <f t="shared" si="34"/>
        <v>0</v>
      </c>
      <c r="I700" s="1">
        <f t="shared" si="32"/>
        <v>0</v>
      </c>
      <c r="J700" t="s">
        <v>541</v>
      </c>
      <c r="L700" t="s">
        <v>672</v>
      </c>
      <c r="M700" t="s">
        <v>644</v>
      </c>
      <c r="N700" t="s">
        <v>465</v>
      </c>
    </row>
    <row r="701" spans="1:14" hidden="1" x14ac:dyDescent="0.25">
      <c r="A701" t="s">
        <v>523</v>
      </c>
      <c r="B701" t="s">
        <v>523</v>
      </c>
      <c r="C701" t="s">
        <v>407</v>
      </c>
      <c r="D701" s="3" t="s">
        <v>655</v>
      </c>
      <c r="E701" s="3" t="s">
        <v>655</v>
      </c>
      <c r="F701">
        <v>10</v>
      </c>
      <c r="G701" s="3">
        <f t="shared" si="33"/>
        <v>0</v>
      </c>
      <c r="H701" s="3">
        <f t="shared" si="34"/>
        <v>0</v>
      </c>
      <c r="I701" s="1">
        <f t="shared" si="32"/>
        <v>0</v>
      </c>
      <c r="J701" t="s">
        <v>529</v>
      </c>
      <c r="L701" t="s">
        <v>672</v>
      </c>
      <c r="M701" t="s">
        <v>644</v>
      </c>
      <c r="N701" t="s">
        <v>465</v>
      </c>
    </row>
    <row r="702" spans="1:14" hidden="1" x14ac:dyDescent="0.25">
      <c r="A702" t="s">
        <v>523</v>
      </c>
      <c r="B702" t="s">
        <v>523</v>
      </c>
      <c r="C702" t="s">
        <v>407</v>
      </c>
      <c r="D702" s="3" t="s">
        <v>655</v>
      </c>
      <c r="E702" s="3" t="s">
        <v>655</v>
      </c>
      <c r="F702">
        <v>10</v>
      </c>
      <c r="G702" s="3">
        <f t="shared" si="33"/>
        <v>0</v>
      </c>
      <c r="H702" s="3">
        <f t="shared" si="34"/>
        <v>0</v>
      </c>
      <c r="I702" s="1">
        <f t="shared" si="32"/>
        <v>0</v>
      </c>
      <c r="J702" t="s">
        <v>541</v>
      </c>
      <c r="L702" t="s">
        <v>672</v>
      </c>
      <c r="M702" t="s">
        <v>644</v>
      </c>
      <c r="N702" t="s">
        <v>465</v>
      </c>
    </row>
    <row r="703" spans="1:14" hidden="1" x14ac:dyDescent="0.25">
      <c r="A703" t="s">
        <v>523</v>
      </c>
      <c r="B703" t="s">
        <v>523</v>
      </c>
      <c r="C703" t="s">
        <v>407</v>
      </c>
      <c r="D703" s="3" t="s">
        <v>655</v>
      </c>
      <c r="E703" s="3" t="s">
        <v>655</v>
      </c>
      <c r="F703">
        <v>10</v>
      </c>
      <c r="G703" s="3">
        <f t="shared" si="33"/>
        <v>0</v>
      </c>
      <c r="H703" s="3">
        <f t="shared" si="34"/>
        <v>0</v>
      </c>
      <c r="I703" s="1">
        <f t="shared" si="32"/>
        <v>0</v>
      </c>
      <c r="J703" t="s">
        <v>541</v>
      </c>
      <c r="L703" t="s">
        <v>672</v>
      </c>
      <c r="M703" t="s">
        <v>644</v>
      </c>
      <c r="N703" t="s">
        <v>465</v>
      </c>
    </row>
    <row r="704" spans="1:14" hidden="1" x14ac:dyDescent="0.25">
      <c r="A704" t="s">
        <v>523</v>
      </c>
      <c r="B704" t="s">
        <v>523</v>
      </c>
      <c r="C704" t="s">
        <v>407</v>
      </c>
      <c r="D704" s="3" t="s">
        <v>403</v>
      </c>
      <c r="E704" s="3" t="s">
        <v>419</v>
      </c>
      <c r="F704">
        <v>10</v>
      </c>
      <c r="G704" s="3">
        <f t="shared" si="33"/>
        <v>4.1666666666666685E-2</v>
      </c>
      <c r="H704" s="3">
        <f t="shared" si="34"/>
        <v>4.1666666666666683E-3</v>
      </c>
      <c r="I704" s="1">
        <f t="shared" si="32"/>
        <v>6</v>
      </c>
      <c r="J704" t="s">
        <v>432</v>
      </c>
      <c r="K704" t="s">
        <v>397</v>
      </c>
      <c r="L704" t="s">
        <v>142</v>
      </c>
      <c r="M704" t="s">
        <v>644</v>
      </c>
      <c r="N704" t="s">
        <v>465</v>
      </c>
    </row>
    <row r="705" spans="1:14" hidden="1" x14ac:dyDescent="0.25">
      <c r="A705" t="s">
        <v>535</v>
      </c>
      <c r="B705" t="s">
        <v>535</v>
      </c>
      <c r="C705" t="s">
        <v>406</v>
      </c>
      <c r="D705" s="3" t="s">
        <v>683</v>
      </c>
      <c r="E705" s="3" t="s">
        <v>395</v>
      </c>
      <c r="F705">
        <v>15</v>
      </c>
      <c r="G705" s="3">
        <f t="shared" si="33"/>
        <v>1.0416666666666685E-2</v>
      </c>
      <c r="H705" s="3">
        <f t="shared" si="34"/>
        <v>6.9444444444444566E-4</v>
      </c>
      <c r="I705" s="1">
        <f t="shared" si="32"/>
        <v>1</v>
      </c>
      <c r="J705" t="s">
        <v>420</v>
      </c>
      <c r="K705" t="s">
        <v>397</v>
      </c>
      <c r="L705" t="s">
        <v>145</v>
      </c>
      <c r="M705" t="s">
        <v>398</v>
      </c>
      <c r="N705" t="s">
        <v>405</v>
      </c>
    </row>
    <row r="706" spans="1:14" hidden="1" x14ac:dyDescent="0.25">
      <c r="A706" t="s">
        <v>535</v>
      </c>
      <c r="B706" t="s">
        <v>535</v>
      </c>
      <c r="C706" t="s">
        <v>406</v>
      </c>
      <c r="D706" s="3" t="s">
        <v>403</v>
      </c>
      <c r="E706" s="3" t="s">
        <v>460</v>
      </c>
      <c r="F706">
        <v>40</v>
      </c>
      <c r="G706" s="3">
        <f t="shared" si="33"/>
        <v>0.3888888888888889</v>
      </c>
      <c r="H706" s="3">
        <f t="shared" si="34"/>
        <v>9.7222222222222224E-3</v>
      </c>
      <c r="I706" s="1">
        <f t="shared" si="32"/>
        <v>14</v>
      </c>
      <c r="J706" t="s">
        <v>455</v>
      </c>
      <c r="K706" t="s">
        <v>397</v>
      </c>
      <c r="L706" t="s">
        <v>129</v>
      </c>
      <c r="M706" t="s">
        <v>398</v>
      </c>
      <c r="N706" t="s">
        <v>447</v>
      </c>
    </row>
    <row r="707" spans="1:14" hidden="1" x14ac:dyDescent="0.25">
      <c r="A707" t="s">
        <v>535</v>
      </c>
      <c r="B707" t="s">
        <v>535</v>
      </c>
      <c r="C707" t="s">
        <v>406</v>
      </c>
      <c r="D707" s="3" t="s">
        <v>449</v>
      </c>
      <c r="E707" s="3" t="s">
        <v>485</v>
      </c>
      <c r="F707">
        <v>5</v>
      </c>
      <c r="G707" s="3">
        <f t="shared" si="33"/>
        <v>0.1215277777777779</v>
      </c>
      <c r="H707" s="3">
        <f t="shared" si="34"/>
        <v>2.430555555555558E-2</v>
      </c>
      <c r="I707" s="1">
        <f t="shared" ref="I707:I770" si="35">MINUTE(H707)</f>
        <v>35</v>
      </c>
      <c r="J707" t="s">
        <v>432</v>
      </c>
      <c r="K707" t="s">
        <v>417</v>
      </c>
      <c r="L707" t="s">
        <v>143</v>
      </c>
      <c r="M707" t="s">
        <v>398</v>
      </c>
      <c r="N707" t="s">
        <v>405</v>
      </c>
    </row>
    <row r="708" spans="1:14" hidden="1" x14ac:dyDescent="0.25">
      <c r="A708" t="s">
        <v>535</v>
      </c>
      <c r="B708" t="s">
        <v>535</v>
      </c>
      <c r="C708" t="s">
        <v>406</v>
      </c>
      <c r="D708" s="3" t="s">
        <v>403</v>
      </c>
      <c r="E708" s="3" t="s">
        <v>402</v>
      </c>
      <c r="F708">
        <v>15</v>
      </c>
      <c r="G708" s="3">
        <f t="shared" ref="G708:G771" si="36">(E708-D708)</f>
        <v>0.14930555555555558</v>
      </c>
      <c r="H708" s="3">
        <f t="shared" ref="H708:H771" si="37">G708/F708</f>
        <v>9.9537037037037059E-3</v>
      </c>
      <c r="I708" s="1">
        <f t="shared" si="35"/>
        <v>14</v>
      </c>
      <c r="J708" t="s">
        <v>458</v>
      </c>
      <c r="K708" t="s">
        <v>397</v>
      </c>
      <c r="L708" t="s">
        <v>684</v>
      </c>
      <c r="M708" t="s">
        <v>398</v>
      </c>
      <c r="N708" t="s">
        <v>399</v>
      </c>
    </row>
    <row r="709" spans="1:14" hidden="1" x14ac:dyDescent="0.25">
      <c r="A709" t="s">
        <v>535</v>
      </c>
      <c r="B709" t="s">
        <v>535</v>
      </c>
      <c r="C709" t="s">
        <v>393</v>
      </c>
      <c r="D709" s="3" t="s">
        <v>655</v>
      </c>
      <c r="E709" s="3" t="s">
        <v>655</v>
      </c>
      <c r="F709">
        <v>59</v>
      </c>
      <c r="G709" s="3">
        <f t="shared" si="36"/>
        <v>0</v>
      </c>
      <c r="H709" s="3">
        <f t="shared" si="37"/>
        <v>0</v>
      </c>
      <c r="I709" s="1">
        <f t="shared" si="35"/>
        <v>0</v>
      </c>
      <c r="J709" t="s">
        <v>541</v>
      </c>
      <c r="L709" t="s">
        <v>669</v>
      </c>
      <c r="M709" t="s">
        <v>644</v>
      </c>
      <c r="N709" t="s">
        <v>465</v>
      </c>
    </row>
    <row r="710" spans="1:14" hidden="1" x14ac:dyDescent="0.25">
      <c r="A710" t="s">
        <v>535</v>
      </c>
      <c r="B710" t="s">
        <v>535</v>
      </c>
      <c r="C710" t="s">
        <v>393</v>
      </c>
      <c r="D710" s="3" t="s">
        <v>655</v>
      </c>
      <c r="E710" s="3" t="s">
        <v>655</v>
      </c>
      <c r="G710" s="3">
        <f t="shared" si="36"/>
        <v>0</v>
      </c>
      <c r="H710" s="3" t="e">
        <f t="shared" si="37"/>
        <v>#DIV/0!</v>
      </c>
      <c r="I710" s="1" t="e">
        <f t="shared" si="35"/>
        <v>#DIV/0!</v>
      </c>
      <c r="J710" t="s">
        <v>508</v>
      </c>
      <c r="L710" t="s">
        <v>679</v>
      </c>
      <c r="M710" t="s">
        <v>644</v>
      </c>
      <c r="N710" t="s">
        <v>465</v>
      </c>
    </row>
    <row r="711" spans="1:14" hidden="1" x14ac:dyDescent="0.25">
      <c r="A711" t="s">
        <v>535</v>
      </c>
      <c r="B711" t="s">
        <v>535</v>
      </c>
      <c r="C711" t="s">
        <v>393</v>
      </c>
      <c r="D711" s="3" t="s">
        <v>655</v>
      </c>
      <c r="E711" s="3" t="s">
        <v>655</v>
      </c>
      <c r="F711">
        <v>10</v>
      </c>
      <c r="G711" s="3">
        <f t="shared" si="36"/>
        <v>0</v>
      </c>
      <c r="H711" s="3">
        <f t="shared" si="37"/>
        <v>0</v>
      </c>
      <c r="I711" s="1">
        <f t="shared" si="35"/>
        <v>0</v>
      </c>
      <c r="J711" t="s">
        <v>529</v>
      </c>
      <c r="L711" t="s">
        <v>381</v>
      </c>
      <c r="M711" t="s">
        <v>644</v>
      </c>
      <c r="N711" t="s">
        <v>465</v>
      </c>
    </row>
    <row r="712" spans="1:14" hidden="1" x14ac:dyDescent="0.25">
      <c r="A712" t="s">
        <v>535</v>
      </c>
      <c r="B712" t="s">
        <v>535</v>
      </c>
      <c r="C712" t="s">
        <v>393</v>
      </c>
      <c r="D712" s="3" t="s">
        <v>403</v>
      </c>
      <c r="E712" s="3" t="s">
        <v>419</v>
      </c>
      <c r="F712">
        <v>10</v>
      </c>
      <c r="G712" s="3">
        <f t="shared" si="36"/>
        <v>4.1666666666666685E-2</v>
      </c>
      <c r="H712" s="3">
        <f t="shared" si="37"/>
        <v>4.1666666666666683E-3</v>
      </c>
      <c r="I712" s="1">
        <f t="shared" si="35"/>
        <v>6</v>
      </c>
      <c r="J712" t="s">
        <v>432</v>
      </c>
      <c r="K712" t="s">
        <v>397</v>
      </c>
      <c r="L712" t="s">
        <v>142</v>
      </c>
      <c r="M712" t="s">
        <v>644</v>
      </c>
      <c r="N712" t="s">
        <v>405</v>
      </c>
    </row>
    <row r="713" spans="1:14" hidden="1" x14ac:dyDescent="0.25">
      <c r="A713" t="s">
        <v>685</v>
      </c>
      <c r="B713" t="s">
        <v>685</v>
      </c>
      <c r="C713" t="s">
        <v>400</v>
      </c>
      <c r="D713" s="3" t="s">
        <v>403</v>
      </c>
      <c r="E713" s="3" t="s">
        <v>416</v>
      </c>
      <c r="F713">
        <v>40</v>
      </c>
      <c r="G713" s="3">
        <f t="shared" si="36"/>
        <v>0.20833333333333331</v>
      </c>
      <c r="H713" s="3">
        <f t="shared" si="37"/>
        <v>5.208333333333333E-3</v>
      </c>
      <c r="I713" s="1">
        <f t="shared" si="35"/>
        <v>7</v>
      </c>
      <c r="J713" t="s">
        <v>458</v>
      </c>
      <c r="K713" t="s">
        <v>397</v>
      </c>
      <c r="L713" t="s">
        <v>129</v>
      </c>
      <c r="M713" t="s">
        <v>398</v>
      </c>
      <c r="N713" t="s">
        <v>405</v>
      </c>
    </row>
    <row r="714" spans="1:14" hidden="1" x14ac:dyDescent="0.25">
      <c r="A714" t="s">
        <v>685</v>
      </c>
      <c r="B714" t="s">
        <v>685</v>
      </c>
      <c r="C714" t="s">
        <v>400</v>
      </c>
      <c r="D714" s="3" t="s">
        <v>525</v>
      </c>
      <c r="E714" s="3" t="s">
        <v>542</v>
      </c>
      <c r="F714">
        <v>10</v>
      </c>
      <c r="G714" s="3">
        <f t="shared" si="36"/>
        <v>4.8611111111110938E-2</v>
      </c>
      <c r="H714" s="3">
        <f t="shared" si="37"/>
        <v>4.8611111111110938E-3</v>
      </c>
      <c r="I714" s="1">
        <f t="shared" si="35"/>
        <v>7</v>
      </c>
      <c r="J714" t="s">
        <v>409</v>
      </c>
      <c r="K714" t="s">
        <v>417</v>
      </c>
      <c r="L714" t="s">
        <v>337</v>
      </c>
      <c r="M714" t="s">
        <v>398</v>
      </c>
      <c r="N714" t="s">
        <v>405</v>
      </c>
    </row>
    <row r="715" spans="1:14" hidden="1" x14ac:dyDescent="0.25">
      <c r="A715" t="s">
        <v>685</v>
      </c>
      <c r="B715" t="s">
        <v>685</v>
      </c>
      <c r="C715" t="s">
        <v>400</v>
      </c>
      <c r="D715" s="3" t="s">
        <v>411</v>
      </c>
      <c r="E715" s="3" t="s">
        <v>686</v>
      </c>
      <c r="F715">
        <v>10</v>
      </c>
      <c r="G715" s="3">
        <f t="shared" si="36"/>
        <v>3.472222222222221E-2</v>
      </c>
      <c r="H715" s="3">
        <f t="shared" si="37"/>
        <v>3.4722222222222212E-3</v>
      </c>
      <c r="I715" s="1">
        <f t="shared" si="35"/>
        <v>5</v>
      </c>
      <c r="J715" t="s">
        <v>409</v>
      </c>
      <c r="K715" t="s">
        <v>397</v>
      </c>
      <c r="L715" t="s">
        <v>337</v>
      </c>
      <c r="M715" t="s">
        <v>398</v>
      </c>
      <c r="N715" t="s">
        <v>405</v>
      </c>
    </row>
    <row r="716" spans="1:14" hidden="1" x14ac:dyDescent="0.25">
      <c r="A716" t="s">
        <v>685</v>
      </c>
      <c r="B716" t="s">
        <v>685</v>
      </c>
      <c r="C716" t="s">
        <v>400</v>
      </c>
      <c r="D716" s="3" t="s">
        <v>403</v>
      </c>
      <c r="E716" s="3" t="s">
        <v>464</v>
      </c>
      <c r="F716">
        <v>5</v>
      </c>
      <c r="G716" s="3">
        <f t="shared" si="36"/>
        <v>0.41666666666666669</v>
      </c>
      <c r="H716" s="3">
        <f t="shared" si="37"/>
        <v>8.3333333333333343E-2</v>
      </c>
      <c r="I716" s="1">
        <f t="shared" si="35"/>
        <v>0</v>
      </c>
      <c r="J716" t="s">
        <v>432</v>
      </c>
      <c r="K716" t="s">
        <v>397</v>
      </c>
      <c r="L716" t="s">
        <v>687</v>
      </c>
      <c r="M716" t="s">
        <v>398</v>
      </c>
      <c r="N716" t="s">
        <v>447</v>
      </c>
    </row>
    <row r="717" spans="1:14" hidden="1" x14ac:dyDescent="0.25">
      <c r="A717" t="s">
        <v>685</v>
      </c>
      <c r="B717" t="s">
        <v>685</v>
      </c>
      <c r="C717" t="s">
        <v>406</v>
      </c>
      <c r="D717" s="3" t="s">
        <v>655</v>
      </c>
      <c r="E717" s="3" t="s">
        <v>655</v>
      </c>
      <c r="G717" s="3">
        <f t="shared" si="36"/>
        <v>0</v>
      </c>
      <c r="H717" s="3" t="e">
        <f t="shared" si="37"/>
        <v>#DIV/0!</v>
      </c>
      <c r="I717" s="1" t="e">
        <f t="shared" si="35"/>
        <v>#DIV/0!</v>
      </c>
      <c r="J717" t="s">
        <v>508</v>
      </c>
      <c r="L717" t="s">
        <v>671</v>
      </c>
      <c r="M717" t="s">
        <v>644</v>
      </c>
      <c r="N717" t="s">
        <v>433</v>
      </c>
    </row>
    <row r="718" spans="1:14" hidden="1" x14ac:dyDescent="0.25">
      <c r="A718" t="s">
        <v>685</v>
      </c>
      <c r="B718" t="s">
        <v>685</v>
      </c>
      <c r="C718" t="s">
        <v>406</v>
      </c>
      <c r="D718" s="3" t="s">
        <v>655</v>
      </c>
      <c r="E718" s="3" t="s">
        <v>655</v>
      </c>
      <c r="F718">
        <v>30</v>
      </c>
      <c r="G718" s="3">
        <f t="shared" si="36"/>
        <v>0</v>
      </c>
      <c r="H718" s="3">
        <f t="shared" si="37"/>
        <v>0</v>
      </c>
      <c r="I718" s="1">
        <f t="shared" si="35"/>
        <v>0</v>
      </c>
      <c r="J718" t="s">
        <v>541</v>
      </c>
      <c r="L718" t="s">
        <v>509</v>
      </c>
      <c r="M718" t="s">
        <v>644</v>
      </c>
      <c r="N718" t="s">
        <v>465</v>
      </c>
    </row>
    <row r="719" spans="1:14" hidden="1" x14ac:dyDescent="0.25">
      <c r="A719" t="s">
        <v>685</v>
      </c>
      <c r="B719" t="s">
        <v>685</v>
      </c>
      <c r="C719" t="s">
        <v>406</v>
      </c>
      <c r="D719" s="3" t="s">
        <v>655</v>
      </c>
      <c r="E719" s="3" t="s">
        <v>655</v>
      </c>
      <c r="F719">
        <v>138200</v>
      </c>
      <c r="G719" s="3">
        <f t="shared" si="36"/>
        <v>0</v>
      </c>
      <c r="H719" s="3">
        <f t="shared" si="37"/>
        <v>0</v>
      </c>
      <c r="I719" s="1">
        <f t="shared" si="35"/>
        <v>0</v>
      </c>
      <c r="J719" t="s">
        <v>544</v>
      </c>
      <c r="L719" t="s">
        <v>665</v>
      </c>
      <c r="M719" t="s">
        <v>644</v>
      </c>
      <c r="N719" t="s">
        <v>447</v>
      </c>
    </row>
    <row r="720" spans="1:14" hidden="1" x14ac:dyDescent="0.25">
      <c r="A720" t="s">
        <v>685</v>
      </c>
      <c r="B720" t="s">
        <v>685</v>
      </c>
      <c r="C720" t="s">
        <v>406</v>
      </c>
      <c r="D720" s="3" t="s">
        <v>655</v>
      </c>
      <c r="E720" s="3" t="s">
        <v>655</v>
      </c>
      <c r="G720" s="3">
        <f t="shared" si="36"/>
        <v>0</v>
      </c>
      <c r="H720" s="3" t="e">
        <f t="shared" si="37"/>
        <v>#DIV/0!</v>
      </c>
      <c r="I720" s="1" t="e">
        <f t="shared" si="35"/>
        <v>#DIV/0!</v>
      </c>
      <c r="J720" t="s">
        <v>427</v>
      </c>
      <c r="L720" t="s">
        <v>668</v>
      </c>
      <c r="M720" t="s">
        <v>644</v>
      </c>
      <c r="N720" t="s">
        <v>399</v>
      </c>
    </row>
    <row r="721" spans="1:14" hidden="1" x14ac:dyDescent="0.25">
      <c r="A721" t="s">
        <v>685</v>
      </c>
      <c r="B721" t="s">
        <v>685</v>
      </c>
      <c r="C721" t="s">
        <v>406</v>
      </c>
      <c r="D721" s="3" t="s">
        <v>655</v>
      </c>
      <c r="E721" s="3" t="s">
        <v>655</v>
      </c>
      <c r="F721">
        <v>10</v>
      </c>
      <c r="G721" s="3">
        <f t="shared" si="36"/>
        <v>0</v>
      </c>
      <c r="H721" s="3">
        <f t="shared" si="37"/>
        <v>0</v>
      </c>
      <c r="I721" s="1">
        <f t="shared" si="35"/>
        <v>0</v>
      </c>
      <c r="J721" t="s">
        <v>508</v>
      </c>
      <c r="L721" t="s">
        <v>672</v>
      </c>
      <c r="M721" t="s">
        <v>644</v>
      </c>
      <c r="N721" t="s">
        <v>465</v>
      </c>
    </row>
    <row r="722" spans="1:14" hidden="1" x14ac:dyDescent="0.25">
      <c r="A722" t="s">
        <v>685</v>
      </c>
      <c r="B722" t="s">
        <v>685</v>
      </c>
      <c r="C722" t="s">
        <v>406</v>
      </c>
      <c r="D722" s="3" t="s">
        <v>655</v>
      </c>
      <c r="E722" s="3" t="s">
        <v>655</v>
      </c>
      <c r="G722" s="3">
        <f t="shared" si="36"/>
        <v>0</v>
      </c>
      <c r="H722" s="3" t="e">
        <f t="shared" si="37"/>
        <v>#DIV/0!</v>
      </c>
      <c r="I722" s="1" t="e">
        <f t="shared" si="35"/>
        <v>#DIV/0!</v>
      </c>
      <c r="J722" t="s">
        <v>508</v>
      </c>
      <c r="L722" t="s">
        <v>679</v>
      </c>
      <c r="M722" t="s">
        <v>644</v>
      </c>
      <c r="N722" t="s">
        <v>465</v>
      </c>
    </row>
    <row r="723" spans="1:14" hidden="1" x14ac:dyDescent="0.25">
      <c r="A723" t="s">
        <v>685</v>
      </c>
      <c r="B723" t="s">
        <v>685</v>
      </c>
      <c r="C723" t="s">
        <v>406</v>
      </c>
      <c r="D723" s="3" t="s">
        <v>655</v>
      </c>
      <c r="E723" s="3" t="s">
        <v>655</v>
      </c>
      <c r="F723">
        <v>2</v>
      </c>
      <c r="G723" s="3">
        <f t="shared" si="36"/>
        <v>0</v>
      </c>
      <c r="H723" s="3">
        <f t="shared" si="37"/>
        <v>0</v>
      </c>
      <c r="I723" s="1">
        <f t="shared" si="35"/>
        <v>0</v>
      </c>
      <c r="J723" t="s">
        <v>541</v>
      </c>
      <c r="L723" t="s">
        <v>381</v>
      </c>
      <c r="M723" t="s">
        <v>644</v>
      </c>
      <c r="N723" t="s">
        <v>465</v>
      </c>
    </row>
    <row r="724" spans="1:14" hidden="1" x14ac:dyDescent="0.25">
      <c r="A724" t="s">
        <v>685</v>
      </c>
      <c r="B724" t="s">
        <v>685</v>
      </c>
      <c r="C724" t="s">
        <v>406</v>
      </c>
      <c r="D724" s="3" t="s">
        <v>655</v>
      </c>
      <c r="E724" s="3" t="s">
        <v>655</v>
      </c>
      <c r="F724">
        <v>2</v>
      </c>
      <c r="G724" s="3">
        <f t="shared" si="36"/>
        <v>0</v>
      </c>
      <c r="H724" s="3">
        <f t="shared" si="37"/>
        <v>0</v>
      </c>
      <c r="I724" s="1">
        <f t="shared" si="35"/>
        <v>0</v>
      </c>
      <c r="J724" t="s">
        <v>508</v>
      </c>
      <c r="L724" t="s">
        <v>381</v>
      </c>
      <c r="M724" t="s">
        <v>644</v>
      </c>
      <c r="N724" t="s">
        <v>465</v>
      </c>
    </row>
    <row r="725" spans="1:14" hidden="1" x14ac:dyDescent="0.25">
      <c r="A725" t="s">
        <v>685</v>
      </c>
      <c r="B725" t="s">
        <v>685</v>
      </c>
      <c r="C725" t="s">
        <v>406</v>
      </c>
      <c r="D725" s="3" t="s">
        <v>655</v>
      </c>
      <c r="E725" s="3" t="s">
        <v>655</v>
      </c>
      <c r="F725">
        <v>2</v>
      </c>
      <c r="G725" s="3">
        <f t="shared" si="36"/>
        <v>0</v>
      </c>
      <c r="H725" s="3">
        <f t="shared" si="37"/>
        <v>0</v>
      </c>
      <c r="I725" s="1">
        <f t="shared" si="35"/>
        <v>0</v>
      </c>
      <c r="J725" t="s">
        <v>560</v>
      </c>
      <c r="L725" t="s">
        <v>381</v>
      </c>
      <c r="M725" t="s">
        <v>644</v>
      </c>
      <c r="N725" t="s">
        <v>465</v>
      </c>
    </row>
    <row r="726" spans="1:14" hidden="1" x14ac:dyDescent="0.25">
      <c r="A726" t="s">
        <v>685</v>
      </c>
      <c r="B726" t="s">
        <v>685</v>
      </c>
      <c r="C726" t="s">
        <v>406</v>
      </c>
      <c r="D726" s="3" t="s">
        <v>655</v>
      </c>
      <c r="E726" s="3" t="s">
        <v>655</v>
      </c>
      <c r="F726">
        <v>2</v>
      </c>
      <c r="G726" s="3">
        <f t="shared" si="36"/>
        <v>0</v>
      </c>
      <c r="H726" s="3">
        <f t="shared" si="37"/>
        <v>0</v>
      </c>
      <c r="I726" s="1">
        <f t="shared" si="35"/>
        <v>0</v>
      </c>
      <c r="J726" t="s">
        <v>541</v>
      </c>
      <c r="L726" t="s">
        <v>381</v>
      </c>
      <c r="M726" t="s">
        <v>644</v>
      </c>
      <c r="N726" t="s">
        <v>465</v>
      </c>
    </row>
    <row r="727" spans="1:14" hidden="1" x14ac:dyDescent="0.25">
      <c r="A727" t="s">
        <v>685</v>
      </c>
      <c r="B727" t="s">
        <v>685</v>
      </c>
      <c r="C727" t="s">
        <v>406</v>
      </c>
      <c r="D727" s="3" t="s">
        <v>655</v>
      </c>
      <c r="E727" s="3" t="s">
        <v>655</v>
      </c>
      <c r="F727">
        <v>10</v>
      </c>
      <c r="G727" s="3">
        <f t="shared" si="36"/>
        <v>0</v>
      </c>
      <c r="H727" s="3">
        <f t="shared" si="37"/>
        <v>0</v>
      </c>
      <c r="I727" s="1">
        <f t="shared" si="35"/>
        <v>0</v>
      </c>
      <c r="J727" t="s">
        <v>529</v>
      </c>
      <c r="L727" t="s">
        <v>672</v>
      </c>
      <c r="M727" t="s">
        <v>644</v>
      </c>
      <c r="N727" t="s">
        <v>465</v>
      </c>
    </row>
    <row r="728" spans="1:14" hidden="1" x14ac:dyDescent="0.25">
      <c r="A728" t="s">
        <v>685</v>
      </c>
      <c r="B728" t="s">
        <v>685</v>
      </c>
      <c r="C728" t="s">
        <v>406</v>
      </c>
      <c r="D728" s="3" t="s">
        <v>655</v>
      </c>
      <c r="E728" s="3" t="s">
        <v>655</v>
      </c>
      <c r="F728">
        <v>10</v>
      </c>
      <c r="G728" s="3">
        <f t="shared" si="36"/>
        <v>0</v>
      </c>
      <c r="H728" s="3">
        <f t="shared" si="37"/>
        <v>0</v>
      </c>
      <c r="I728" s="1">
        <f t="shared" si="35"/>
        <v>0</v>
      </c>
      <c r="J728" t="s">
        <v>541</v>
      </c>
      <c r="L728" t="s">
        <v>672</v>
      </c>
      <c r="M728" t="s">
        <v>644</v>
      </c>
      <c r="N728" t="s">
        <v>465</v>
      </c>
    </row>
    <row r="729" spans="1:14" hidden="1" x14ac:dyDescent="0.25">
      <c r="A729" t="s">
        <v>506</v>
      </c>
      <c r="B729" t="s">
        <v>506</v>
      </c>
      <c r="C729" t="s">
        <v>422</v>
      </c>
      <c r="D729" s="3" t="s">
        <v>403</v>
      </c>
      <c r="E729" s="3" t="s">
        <v>441</v>
      </c>
      <c r="F729">
        <v>5</v>
      </c>
      <c r="G729" s="3">
        <f t="shared" si="36"/>
        <v>0.41319444444444448</v>
      </c>
      <c r="H729" s="3">
        <f t="shared" si="37"/>
        <v>8.2638888888888901E-2</v>
      </c>
      <c r="I729" s="1">
        <f t="shared" si="35"/>
        <v>59</v>
      </c>
      <c r="J729" t="s">
        <v>470</v>
      </c>
      <c r="K729" t="s">
        <v>397</v>
      </c>
      <c r="L729" t="s">
        <v>98</v>
      </c>
      <c r="M729" t="s">
        <v>398</v>
      </c>
      <c r="N729" t="s">
        <v>465</v>
      </c>
    </row>
    <row r="730" spans="1:14" hidden="1" x14ac:dyDescent="0.25">
      <c r="A730" t="s">
        <v>506</v>
      </c>
      <c r="B730" t="s">
        <v>506</v>
      </c>
      <c r="C730" t="s">
        <v>400</v>
      </c>
      <c r="D730" s="3" t="s">
        <v>655</v>
      </c>
      <c r="E730" s="3" t="s">
        <v>655</v>
      </c>
      <c r="G730" s="3">
        <f t="shared" si="36"/>
        <v>0</v>
      </c>
      <c r="H730" s="3" t="e">
        <f t="shared" si="37"/>
        <v>#DIV/0!</v>
      </c>
      <c r="I730" s="1" t="e">
        <f t="shared" si="35"/>
        <v>#DIV/0!</v>
      </c>
      <c r="J730" t="s">
        <v>508</v>
      </c>
      <c r="L730" t="s">
        <v>688</v>
      </c>
      <c r="M730" t="s">
        <v>644</v>
      </c>
      <c r="N730" t="s">
        <v>447</v>
      </c>
    </row>
    <row r="731" spans="1:14" hidden="1" x14ac:dyDescent="0.25">
      <c r="A731" t="s">
        <v>689</v>
      </c>
      <c r="B731" t="s">
        <v>689</v>
      </c>
      <c r="C731" t="s">
        <v>491</v>
      </c>
      <c r="D731" s="3" t="s">
        <v>403</v>
      </c>
      <c r="E731" s="3" t="s">
        <v>442</v>
      </c>
      <c r="F731">
        <v>5</v>
      </c>
      <c r="G731" s="3">
        <f t="shared" si="36"/>
        <v>0.24652777777777773</v>
      </c>
      <c r="H731" s="3">
        <f t="shared" si="37"/>
        <v>4.9305555555555547E-2</v>
      </c>
      <c r="I731" s="1">
        <f t="shared" si="35"/>
        <v>11</v>
      </c>
      <c r="J731" t="s">
        <v>471</v>
      </c>
      <c r="K731" t="s">
        <v>397</v>
      </c>
      <c r="L731" t="s">
        <v>309</v>
      </c>
      <c r="M731" t="s">
        <v>398</v>
      </c>
      <c r="N731" t="s">
        <v>465</v>
      </c>
    </row>
    <row r="732" spans="1:14" hidden="1" x14ac:dyDescent="0.25">
      <c r="A732" t="s">
        <v>689</v>
      </c>
      <c r="B732" t="s">
        <v>689</v>
      </c>
      <c r="D732" s="3" t="s">
        <v>655</v>
      </c>
      <c r="E732" s="3" t="s">
        <v>655</v>
      </c>
      <c r="F732">
        <v>30</v>
      </c>
      <c r="G732" s="3">
        <f t="shared" si="36"/>
        <v>0</v>
      </c>
      <c r="H732" s="3">
        <f t="shared" si="37"/>
        <v>0</v>
      </c>
      <c r="I732" s="1">
        <f t="shared" si="35"/>
        <v>0</v>
      </c>
      <c r="J732" t="s">
        <v>541</v>
      </c>
      <c r="L732" t="s">
        <v>509</v>
      </c>
      <c r="M732" t="s">
        <v>644</v>
      </c>
      <c r="N732" t="s">
        <v>465</v>
      </c>
    </row>
    <row r="733" spans="1:14" hidden="1" x14ac:dyDescent="0.25">
      <c r="A733" t="s">
        <v>690</v>
      </c>
      <c r="B733" t="s">
        <v>690</v>
      </c>
      <c r="C733" t="s">
        <v>491</v>
      </c>
      <c r="D733" s="3" t="s">
        <v>655</v>
      </c>
      <c r="E733" s="3" t="s">
        <v>655</v>
      </c>
      <c r="G733" s="3">
        <f t="shared" si="36"/>
        <v>0</v>
      </c>
      <c r="H733" s="3" t="e">
        <f t="shared" si="37"/>
        <v>#DIV/0!</v>
      </c>
      <c r="I733" s="1" t="e">
        <f t="shared" si="35"/>
        <v>#DIV/0!</v>
      </c>
      <c r="J733" t="s">
        <v>432</v>
      </c>
      <c r="L733" t="s">
        <v>671</v>
      </c>
      <c r="M733" t="s">
        <v>644</v>
      </c>
      <c r="N733" t="s">
        <v>433</v>
      </c>
    </row>
    <row r="734" spans="1:14" hidden="1" x14ac:dyDescent="0.25">
      <c r="A734" t="s">
        <v>690</v>
      </c>
      <c r="B734" t="s">
        <v>690</v>
      </c>
      <c r="C734" t="s">
        <v>491</v>
      </c>
      <c r="D734" s="3" t="s">
        <v>655</v>
      </c>
      <c r="E734" s="3" t="s">
        <v>655</v>
      </c>
      <c r="G734" s="3">
        <f t="shared" si="36"/>
        <v>0</v>
      </c>
      <c r="H734" s="3" t="e">
        <f t="shared" si="37"/>
        <v>#DIV/0!</v>
      </c>
      <c r="I734" s="1" t="e">
        <f t="shared" si="35"/>
        <v>#DIV/0!</v>
      </c>
      <c r="J734" t="s">
        <v>508</v>
      </c>
      <c r="L734" t="s">
        <v>671</v>
      </c>
      <c r="M734" t="s">
        <v>644</v>
      </c>
      <c r="N734" t="s">
        <v>433</v>
      </c>
    </row>
    <row r="735" spans="1:14" hidden="1" x14ac:dyDescent="0.25">
      <c r="A735" t="s">
        <v>690</v>
      </c>
      <c r="B735" t="s">
        <v>690</v>
      </c>
      <c r="C735" t="s">
        <v>491</v>
      </c>
      <c r="D735" s="3" t="s">
        <v>655</v>
      </c>
      <c r="E735" s="3" t="s">
        <v>655</v>
      </c>
      <c r="G735" s="3">
        <f t="shared" si="36"/>
        <v>0</v>
      </c>
      <c r="H735" s="3" t="e">
        <f t="shared" si="37"/>
        <v>#DIV/0!</v>
      </c>
      <c r="I735" s="1" t="e">
        <f t="shared" si="35"/>
        <v>#DIV/0!</v>
      </c>
      <c r="J735" t="s">
        <v>432</v>
      </c>
      <c r="L735" t="s">
        <v>671</v>
      </c>
      <c r="M735" t="s">
        <v>644</v>
      </c>
      <c r="N735" t="s">
        <v>433</v>
      </c>
    </row>
    <row r="736" spans="1:14" hidden="1" x14ac:dyDescent="0.25">
      <c r="A736" t="s">
        <v>690</v>
      </c>
      <c r="B736" t="s">
        <v>690</v>
      </c>
      <c r="C736" t="s">
        <v>491</v>
      </c>
      <c r="D736" s="3" t="s">
        <v>655</v>
      </c>
      <c r="E736" s="3" t="s">
        <v>655</v>
      </c>
      <c r="G736" s="3">
        <f t="shared" si="36"/>
        <v>0</v>
      </c>
      <c r="H736" s="3" t="e">
        <f t="shared" si="37"/>
        <v>#DIV/0!</v>
      </c>
      <c r="I736" s="1" t="e">
        <f t="shared" si="35"/>
        <v>#DIV/0!</v>
      </c>
      <c r="J736" t="s">
        <v>508</v>
      </c>
      <c r="L736" t="s">
        <v>671</v>
      </c>
      <c r="M736" t="s">
        <v>644</v>
      </c>
      <c r="N736" t="s">
        <v>433</v>
      </c>
    </row>
    <row r="737" spans="1:14" hidden="1" x14ac:dyDescent="0.25">
      <c r="A737" t="s">
        <v>690</v>
      </c>
      <c r="B737" t="s">
        <v>690</v>
      </c>
      <c r="C737" t="s">
        <v>491</v>
      </c>
      <c r="D737" s="3" t="s">
        <v>655</v>
      </c>
      <c r="E737" s="3" t="s">
        <v>655</v>
      </c>
      <c r="F737">
        <v>100</v>
      </c>
      <c r="G737" s="3">
        <f t="shared" si="36"/>
        <v>0</v>
      </c>
      <c r="H737" s="3">
        <f t="shared" si="37"/>
        <v>0</v>
      </c>
      <c r="I737" s="1">
        <f t="shared" si="35"/>
        <v>0</v>
      </c>
      <c r="J737" t="s">
        <v>529</v>
      </c>
      <c r="L737" t="s">
        <v>381</v>
      </c>
      <c r="M737" t="s">
        <v>644</v>
      </c>
      <c r="N737" t="s">
        <v>447</v>
      </c>
    </row>
    <row r="738" spans="1:14" hidden="1" x14ac:dyDescent="0.25">
      <c r="A738" t="s">
        <v>690</v>
      </c>
      <c r="B738" t="s">
        <v>690</v>
      </c>
      <c r="C738" t="s">
        <v>491</v>
      </c>
      <c r="D738" s="3" t="s">
        <v>655</v>
      </c>
      <c r="E738" s="3" t="s">
        <v>655</v>
      </c>
      <c r="F738">
        <v>100</v>
      </c>
      <c r="G738" s="3">
        <f t="shared" si="36"/>
        <v>0</v>
      </c>
      <c r="H738" s="3">
        <f t="shared" si="37"/>
        <v>0</v>
      </c>
      <c r="I738" s="1">
        <f t="shared" si="35"/>
        <v>0</v>
      </c>
      <c r="J738" t="s">
        <v>529</v>
      </c>
      <c r="L738" t="s">
        <v>381</v>
      </c>
      <c r="M738" t="s">
        <v>644</v>
      </c>
      <c r="N738" t="s">
        <v>447</v>
      </c>
    </row>
    <row r="739" spans="1:14" hidden="1" x14ac:dyDescent="0.25">
      <c r="A739" t="s">
        <v>690</v>
      </c>
      <c r="B739" t="s">
        <v>690</v>
      </c>
      <c r="C739" t="s">
        <v>491</v>
      </c>
      <c r="D739" s="3" t="s">
        <v>655</v>
      </c>
      <c r="E739" s="3" t="s">
        <v>655</v>
      </c>
      <c r="F739">
        <v>1000000</v>
      </c>
      <c r="G739" s="3">
        <f t="shared" si="36"/>
        <v>0</v>
      </c>
      <c r="H739" s="3">
        <f t="shared" si="37"/>
        <v>0</v>
      </c>
      <c r="I739" s="1">
        <f t="shared" si="35"/>
        <v>0</v>
      </c>
      <c r="J739" t="s">
        <v>529</v>
      </c>
      <c r="L739" t="s">
        <v>665</v>
      </c>
      <c r="M739" t="s">
        <v>644</v>
      </c>
      <c r="N739" t="s">
        <v>447</v>
      </c>
    </row>
    <row r="740" spans="1:14" hidden="1" x14ac:dyDescent="0.25">
      <c r="A740" t="s">
        <v>690</v>
      </c>
      <c r="B740" t="s">
        <v>690</v>
      </c>
      <c r="C740" t="s">
        <v>491</v>
      </c>
      <c r="D740" s="3" t="s">
        <v>416</v>
      </c>
      <c r="E740" s="3" t="s">
        <v>441</v>
      </c>
      <c r="F740">
        <v>5</v>
      </c>
      <c r="G740" s="3">
        <f t="shared" si="36"/>
        <v>0.20486111111111116</v>
      </c>
      <c r="H740" s="3">
        <f t="shared" si="37"/>
        <v>4.0972222222222229E-2</v>
      </c>
      <c r="I740" s="1">
        <f t="shared" si="35"/>
        <v>59</v>
      </c>
      <c r="J740" t="s">
        <v>432</v>
      </c>
      <c r="K740" t="s">
        <v>417</v>
      </c>
      <c r="L740" t="s">
        <v>139</v>
      </c>
      <c r="M740" t="s">
        <v>644</v>
      </c>
      <c r="N740" t="s">
        <v>465</v>
      </c>
    </row>
    <row r="741" spans="1:14" hidden="1" x14ac:dyDescent="0.25">
      <c r="A741" t="s">
        <v>690</v>
      </c>
      <c r="B741" t="s">
        <v>690</v>
      </c>
      <c r="C741" t="s">
        <v>491</v>
      </c>
      <c r="D741" s="3" t="s">
        <v>655</v>
      </c>
      <c r="E741" s="3" t="s">
        <v>655</v>
      </c>
      <c r="F741">
        <v>10</v>
      </c>
      <c r="G741" s="3">
        <f t="shared" si="36"/>
        <v>0</v>
      </c>
      <c r="H741" s="3">
        <f t="shared" si="37"/>
        <v>0</v>
      </c>
      <c r="I741" s="1">
        <f t="shared" si="35"/>
        <v>0</v>
      </c>
      <c r="J741" t="s">
        <v>541</v>
      </c>
      <c r="L741" t="s">
        <v>672</v>
      </c>
      <c r="M741" t="s">
        <v>644</v>
      </c>
      <c r="N741" t="s">
        <v>465</v>
      </c>
    </row>
    <row r="742" spans="1:14" hidden="1" x14ac:dyDescent="0.25">
      <c r="A742" t="s">
        <v>690</v>
      </c>
      <c r="B742" t="s">
        <v>690</v>
      </c>
      <c r="C742" t="s">
        <v>491</v>
      </c>
      <c r="D742" s="3" t="s">
        <v>655</v>
      </c>
      <c r="E742" s="3" t="s">
        <v>655</v>
      </c>
      <c r="F742">
        <v>10</v>
      </c>
      <c r="G742" s="3">
        <f t="shared" si="36"/>
        <v>0</v>
      </c>
      <c r="H742" s="3">
        <f t="shared" si="37"/>
        <v>0</v>
      </c>
      <c r="I742" s="1">
        <f t="shared" si="35"/>
        <v>0</v>
      </c>
      <c r="J742" t="s">
        <v>541</v>
      </c>
      <c r="L742" t="s">
        <v>672</v>
      </c>
      <c r="M742" t="s">
        <v>644</v>
      </c>
      <c r="N742" t="s">
        <v>465</v>
      </c>
    </row>
    <row r="743" spans="1:14" hidden="1" x14ac:dyDescent="0.25">
      <c r="A743" t="s">
        <v>690</v>
      </c>
      <c r="B743" t="s">
        <v>690</v>
      </c>
      <c r="C743" t="s">
        <v>491</v>
      </c>
      <c r="D743" s="3" t="s">
        <v>655</v>
      </c>
      <c r="E743" s="3" t="s">
        <v>655</v>
      </c>
      <c r="F743">
        <v>1000000</v>
      </c>
      <c r="G743" s="3">
        <f t="shared" si="36"/>
        <v>0</v>
      </c>
      <c r="H743" s="3">
        <f t="shared" si="37"/>
        <v>0</v>
      </c>
      <c r="I743" s="1">
        <f t="shared" si="35"/>
        <v>0</v>
      </c>
      <c r="J743" t="s">
        <v>544</v>
      </c>
      <c r="L743" t="s">
        <v>665</v>
      </c>
      <c r="M743" t="s">
        <v>644</v>
      </c>
      <c r="N743" t="s">
        <v>447</v>
      </c>
    </row>
    <row r="744" spans="1:14" hidden="1" x14ac:dyDescent="0.25">
      <c r="A744" t="s">
        <v>690</v>
      </c>
      <c r="B744" t="s">
        <v>690</v>
      </c>
      <c r="C744" t="s">
        <v>491</v>
      </c>
      <c r="D744" s="3" t="s">
        <v>655</v>
      </c>
      <c r="E744" s="3" t="s">
        <v>655</v>
      </c>
      <c r="G744" s="3">
        <f t="shared" si="36"/>
        <v>0</v>
      </c>
      <c r="H744" s="3" t="e">
        <f t="shared" si="37"/>
        <v>#DIV/0!</v>
      </c>
      <c r="I744" s="1" t="e">
        <f t="shared" si="35"/>
        <v>#DIV/0!</v>
      </c>
      <c r="J744" t="s">
        <v>508</v>
      </c>
      <c r="L744" t="s">
        <v>679</v>
      </c>
      <c r="M744" t="s">
        <v>644</v>
      </c>
      <c r="N744" t="s">
        <v>465</v>
      </c>
    </row>
    <row r="745" spans="1:14" hidden="1" x14ac:dyDescent="0.25">
      <c r="A745" t="s">
        <v>690</v>
      </c>
      <c r="B745" t="s">
        <v>690</v>
      </c>
      <c r="C745" t="s">
        <v>491</v>
      </c>
      <c r="D745" s="3" t="s">
        <v>655</v>
      </c>
      <c r="E745" s="3" t="s">
        <v>655</v>
      </c>
      <c r="F745">
        <v>10</v>
      </c>
      <c r="G745" s="3">
        <f t="shared" si="36"/>
        <v>0</v>
      </c>
      <c r="H745" s="3">
        <f t="shared" si="37"/>
        <v>0</v>
      </c>
      <c r="I745" s="1">
        <f t="shared" si="35"/>
        <v>0</v>
      </c>
      <c r="J745" t="s">
        <v>529</v>
      </c>
      <c r="L745" t="s">
        <v>672</v>
      </c>
      <c r="M745" t="s">
        <v>644</v>
      </c>
      <c r="N745" t="s">
        <v>465</v>
      </c>
    </row>
    <row r="746" spans="1:14" hidden="1" x14ac:dyDescent="0.25">
      <c r="A746" t="s">
        <v>528</v>
      </c>
      <c r="B746" t="s">
        <v>690</v>
      </c>
      <c r="C746" t="s">
        <v>401</v>
      </c>
      <c r="D746" s="3" t="s">
        <v>411</v>
      </c>
      <c r="E746" s="3" t="s">
        <v>691</v>
      </c>
      <c r="F746">
        <v>10</v>
      </c>
      <c r="G746" s="3">
        <f t="shared" si="36"/>
        <v>0.4236111111111111</v>
      </c>
      <c r="H746" s="3">
        <f t="shared" si="37"/>
        <v>4.2361111111111113E-2</v>
      </c>
      <c r="I746" s="1">
        <f t="shared" si="35"/>
        <v>1</v>
      </c>
      <c r="J746" t="s">
        <v>458</v>
      </c>
      <c r="K746" t="s">
        <v>397</v>
      </c>
      <c r="L746" t="s">
        <v>643</v>
      </c>
      <c r="M746" t="s">
        <v>398</v>
      </c>
      <c r="N746" t="s">
        <v>500</v>
      </c>
    </row>
    <row r="747" spans="1:14" hidden="1" x14ac:dyDescent="0.25">
      <c r="A747" t="s">
        <v>528</v>
      </c>
      <c r="B747" t="s">
        <v>690</v>
      </c>
      <c r="C747" t="s">
        <v>407</v>
      </c>
      <c r="D747" s="3" t="s">
        <v>411</v>
      </c>
      <c r="E747" s="3" t="s">
        <v>691</v>
      </c>
      <c r="F747">
        <v>10</v>
      </c>
      <c r="G747" s="3">
        <f t="shared" si="36"/>
        <v>0.4236111111111111</v>
      </c>
      <c r="H747" s="3">
        <f t="shared" si="37"/>
        <v>4.2361111111111113E-2</v>
      </c>
      <c r="I747" s="1">
        <f t="shared" si="35"/>
        <v>1</v>
      </c>
      <c r="J747" t="s">
        <v>458</v>
      </c>
      <c r="K747" t="s">
        <v>397</v>
      </c>
      <c r="L747" t="s">
        <v>643</v>
      </c>
      <c r="M747" t="s">
        <v>398</v>
      </c>
      <c r="N747" t="s">
        <v>500</v>
      </c>
    </row>
    <row r="748" spans="1:14" hidden="1" x14ac:dyDescent="0.25">
      <c r="A748" t="s">
        <v>528</v>
      </c>
      <c r="B748" t="s">
        <v>528</v>
      </c>
      <c r="C748" t="s">
        <v>407</v>
      </c>
      <c r="D748" s="3" t="s">
        <v>504</v>
      </c>
      <c r="E748" s="3" t="s">
        <v>503</v>
      </c>
      <c r="F748">
        <v>10</v>
      </c>
      <c r="G748" s="3">
        <f t="shared" si="36"/>
        <v>6.597222222222221E-2</v>
      </c>
      <c r="H748" s="3">
        <f t="shared" si="37"/>
        <v>6.5972222222222213E-3</v>
      </c>
      <c r="I748" s="1">
        <f t="shared" si="35"/>
        <v>9</v>
      </c>
      <c r="J748" t="s">
        <v>458</v>
      </c>
      <c r="K748" t="s">
        <v>417</v>
      </c>
      <c r="L748" t="s">
        <v>343</v>
      </c>
      <c r="M748" t="s">
        <v>398</v>
      </c>
      <c r="N748" t="s">
        <v>399</v>
      </c>
    </row>
    <row r="749" spans="1:14" hidden="1" x14ac:dyDescent="0.25">
      <c r="A749" t="s">
        <v>528</v>
      </c>
      <c r="B749" t="s">
        <v>528</v>
      </c>
      <c r="C749" t="s">
        <v>401</v>
      </c>
      <c r="D749" s="3" t="s">
        <v>655</v>
      </c>
      <c r="E749" s="3" t="s">
        <v>655</v>
      </c>
      <c r="G749" s="3">
        <f t="shared" si="36"/>
        <v>0</v>
      </c>
      <c r="H749" s="3" t="e">
        <f t="shared" si="37"/>
        <v>#DIV/0!</v>
      </c>
      <c r="I749" s="1" t="e">
        <f t="shared" si="35"/>
        <v>#DIV/0!</v>
      </c>
      <c r="J749" t="s">
        <v>427</v>
      </c>
      <c r="L749" t="s">
        <v>668</v>
      </c>
      <c r="M749" t="s">
        <v>644</v>
      </c>
      <c r="N749" t="s">
        <v>399</v>
      </c>
    </row>
    <row r="750" spans="1:14" hidden="1" x14ac:dyDescent="0.25">
      <c r="A750" t="s">
        <v>528</v>
      </c>
      <c r="B750" t="s">
        <v>528</v>
      </c>
      <c r="C750" t="s">
        <v>401</v>
      </c>
      <c r="D750" s="3" t="s">
        <v>655</v>
      </c>
      <c r="E750" s="3" t="s">
        <v>655</v>
      </c>
      <c r="F750">
        <v>10</v>
      </c>
      <c r="G750" s="3">
        <f t="shared" si="36"/>
        <v>0</v>
      </c>
      <c r="H750" s="3">
        <f t="shared" si="37"/>
        <v>0</v>
      </c>
      <c r="I750" s="1">
        <f t="shared" si="35"/>
        <v>0</v>
      </c>
      <c r="J750" t="s">
        <v>541</v>
      </c>
      <c r="L750" t="s">
        <v>672</v>
      </c>
      <c r="M750" t="s">
        <v>644</v>
      </c>
      <c r="N750" t="s">
        <v>465</v>
      </c>
    </row>
    <row r="751" spans="1:14" hidden="1" x14ac:dyDescent="0.25">
      <c r="A751" t="s">
        <v>692</v>
      </c>
      <c r="B751" t="s">
        <v>692</v>
      </c>
      <c r="C751" t="s">
        <v>393</v>
      </c>
      <c r="D751" s="3" t="s">
        <v>411</v>
      </c>
      <c r="E751" s="3" t="s">
        <v>691</v>
      </c>
      <c r="F751">
        <v>10</v>
      </c>
      <c r="G751" s="3">
        <f t="shared" si="36"/>
        <v>0.4236111111111111</v>
      </c>
      <c r="H751" s="3">
        <f t="shared" si="37"/>
        <v>4.2361111111111113E-2</v>
      </c>
      <c r="I751" s="1">
        <f t="shared" si="35"/>
        <v>1</v>
      </c>
      <c r="J751" t="s">
        <v>458</v>
      </c>
      <c r="K751" t="s">
        <v>397</v>
      </c>
      <c r="L751" t="s">
        <v>643</v>
      </c>
      <c r="M751" t="s">
        <v>398</v>
      </c>
      <c r="N751" t="s">
        <v>500</v>
      </c>
    </row>
    <row r="752" spans="1:14" hidden="1" x14ac:dyDescent="0.25">
      <c r="A752" t="s">
        <v>692</v>
      </c>
      <c r="B752" t="s">
        <v>692</v>
      </c>
      <c r="C752" t="s">
        <v>393</v>
      </c>
      <c r="D752" s="3" t="s">
        <v>486</v>
      </c>
      <c r="E752" s="3" t="s">
        <v>442</v>
      </c>
      <c r="F752">
        <v>5</v>
      </c>
      <c r="G752" s="3">
        <f t="shared" si="36"/>
        <v>0.16319444444444436</v>
      </c>
      <c r="H752" s="3">
        <f t="shared" si="37"/>
        <v>3.263888888888887E-2</v>
      </c>
      <c r="I752" s="1">
        <f t="shared" si="35"/>
        <v>47</v>
      </c>
      <c r="J752" t="s">
        <v>480</v>
      </c>
      <c r="K752" t="s">
        <v>397</v>
      </c>
      <c r="L752" t="s">
        <v>111</v>
      </c>
      <c r="M752" t="s">
        <v>398</v>
      </c>
      <c r="N752" t="s">
        <v>465</v>
      </c>
    </row>
    <row r="753" spans="1:14" hidden="1" x14ac:dyDescent="0.25">
      <c r="A753" t="s">
        <v>692</v>
      </c>
      <c r="B753" t="s">
        <v>692</v>
      </c>
      <c r="C753" t="s">
        <v>407</v>
      </c>
      <c r="D753" s="3" t="s">
        <v>403</v>
      </c>
      <c r="E753" s="3" t="s">
        <v>441</v>
      </c>
      <c r="F753">
        <v>5</v>
      </c>
      <c r="G753" s="3">
        <f t="shared" si="36"/>
        <v>0.41319444444444448</v>
      </c>
      <c r="H753" s="3">
        <f t="shared" si="37"/>
        <v>8.2638888888888901E-2</v>
      </c>
      <c r="I753" s="1">
        <f t="shared" si="35"/>
        <v>59</v>
      </c>
      <c r="J753" t="s">
        <v>463</v>
      </c>
      <c r="K753" t="s">
        <v>397</v>
      </c>
      <c r="L753" t="s">
        <v>98</v>
      </c>
      <c r="M753" t="s">
        <v>644</v>
      </c>
      <c r="N753" t="s">
        <v>447</v>
      </c>
    </row>
    <row r="754" spans="1:14" hidden="1" x14ac:dyDescent="0.25">
      <c r="A754" t="s">
        <v>692</v>
      </c>
      <c r="B754" t="s">
        <v>692</v>
      </c>
      <c r="C754" t="s">
        <v>407</v>
      </c>
      <c r="D754" s="3" t="s">
        <v>655</v>
      </c>
      <c r="E754" s="3" t="s">
        <v>655</v>
      </c>
      <c r="F754">
        <v>1000000000</v>
      </c>
      <c r="G754" s="3">
        <f t="shared" si="36"/>
        <v>0</v>
      </c>
      <c r="H754" s="3">
        <f t="shared" si="37"/>
        <v>0</v>
      </c>
      <c r="I754" s="1">
        <f t="shared" si="35"/>
        <v>0</v>
      </c>
      <c r="J754" t="s">
        <v>508</v>
      </c>
      <c r="L754" t="s">
        <v>665</v>
      </c>
      <c r="M754" t="s">
        <v>644</v>
      </c>
      <c r="N754" t="s">
        <v>447</v>
      </c>
    </row>
    <row r="755" spans="1:14" hidden="1" x14ac:dyDescent="0.25">
      <c r="A755" t="s">
        <v>692</v>
      </c>
      <c r="B755" t="s">
        <v>692</v>
      </c>
      <c r="C755" t="s">
        <v>407</v>
      </c>
      <c r="D755" s="3" t="s">
        <v>655</v>
      </c>
      <c r="E755" s="3" t="s">
        <v>655</v>
      </c>
      <c r="F755">
        <v>1000000000</v>
      </c>
      <c r="G755" s="3">
        <f t="shared" si="36"/>
        <v>0</v>
      </c>
      <c r="H755" s="3">
        <f t="shared" si="37"/>
        <v>0</v>
      </c>
      <c r="I755" s="1">
        <f t="shared" si="35"/>
        <v>0</v>
      </c>
      <c r="J755" t="s">
        <v>544</v>
      </c>
      <c r="L755" t="s">
        <v>665</v>
      </c>
      <c r="M755" t="s">
        <v>644</v>
      </c>
      <c r="N755" t="s">
        <v>447</v>
      </c>
    </row>
    <row r="756" spans="1:14" hidden="1" x14ac:dyDescent="0.25">
      <c r="A756" t="s">
        <v>692</v>
      </c>
      <c r="B756" t="s">
        <v>692</v>
      </c>
      <c r="C756" t="s">
        <v>407</v>
      </c>
      <c r="D756" s="3" t="s">
        <v>655</v>
      </c>
      <c r="E756" s="3" t="s">
        <v>655</v>
      </c>
      <c r="G756" s="3">
        <f t="shared" si="36"/>
        <v>0</v>
      </c>
      <c r="H756" s="3" t="e">
        <f t="shared" si="37"/>
        <v>#DIV/0!</v>
      </c>
      <c r="I756" s="1" t="e">
        <f t="shared" si="35"/>
        <v>#DIV/0!</v>
      </c>
      <c r="J756" t="s">
        <v>508</v>
      </c>
      <c r="L756" t="s">
        <v>679</v>
      </c>
      <c r="M756" t="s">
        <v>644</v>
      </c>
      <c r="N756" t="s">
        <v>465</v>
      </c>
    </row>
    <row r="757" spans="1:14" hidden="1" x14ac:dyDescent="0.25">
      <c r="A757" t="s">
        <v>692</v>
      </c>
      <c r="B757" t="s">
        <v>692</v>
      </c>
      <c r="C757" t="s">
        <v>407</v>
      </c>
      <c r="D757" s="3" t="s">
        <v>655</v>
      </c>
      <c r="E757" s="3" t="s">
        <v>655</v>
      </c>
      <c r="F757">
        <v>59</v>
      </c>
      <c r="G757" s="3">
        <f t="shared" si="36"/>
        <v>0</v>
      </c>
      <c r="H757" s="3">
        <f t="shared" si="37"/>
        <v>0</v>
      </c>
      <c r="I757" s="1">
        <f t="shared" si="35"/>
        <v>0</v>
      </c>
      <c r="J757" t="s">
        <v>541</v>
      </c>
      <c r="L757" t="s">
        <v>693</v>
      </c>
      <c r="M757" t="s">
        <v>644</v>
      </c>
      <c r="N757" t="s">
        <v>465</v>
      </c>
    </row>
    <row r="758" spans="1:14" hidden="1" x14ac:dyDescent="0.25">
      <c r="A758" t="s">
        <v>692</v>
      </c>
      <c r="B758" t="s">
        <v>692</v>
      </c>
      <c r="C758" t="s">
        <v>407</v>
      </c>
      <c r="D758" s="3" t="s">
        <v>655</v>
      </c>
      <c r="E758" s="3" t="s">
        <v>655</v>
      </c>
      <c r="F758">
        <v>1000000000</v>
      </c>
      <c r="G758" s="3">
        <f t="shared" si="36"/>
        <v>0</v>
      </c>
      <c r="H758" s="3">
        <f t="shared" si="37"/>
        <v>0</v>
      </c>
      <c r="I758" s="1">
        <f t="shared" si="35"/>
        <v>0</v>
      </c>
      <c r="J758" t="s">
        <v>508</v>
      </c>
      <c r="L758" t="s">
        <v>665</v>
      </c>
      <c r="M758" t="s">
        <v>644</v>
      </c>
      <c r="N758" t="s">
        <v>447</v>
      </c>
    </row>
    <row r="759" spans="1:14" hidden="1" x14ac:dyDescent="0.25">
      <c r="A759" t="s">
        <v>692</v>
      </c>
      <c r="B759" t="s">
        <v>692</v>
      </c>
      <c r="C759" t="s">
        <v>407</v>
      </c>
      <c r="D759" s="3" t="s">
        <v>655</v>
      </c>
      <c r="E759" s="3" t="s">
        <v>655</v>
      </c>
      <c r="G759" s="3">
        <f t="shared" si="36"/>
        <v>0</v>
      </c>
      <c r="H759" s="3" t="e">
        <f t="shared" si="37"/>
        <v>#DIV/0!</v>
      </c>
      <c r="I759" s="1" t="e">
        <f t="shared" si="35"/>
        <v>#DIV/0!</v>
      </c>
      <c r="J759" t="s">
        <v>508</v>
      </c>
      <c r="L759" t="s">
        <v>688</v>
      </c>
      <c r="M759" t="s">
        <v>644</v>
      </c>
      <c r="N759" t="s">
        <v>447</v>
      </c>
    </row>
    <row r="760" spans="1:14" hidden="1" x14ac:dyDescent="0.25">
      <c r="A760" t="s">
        <v>692</v>
      </c>
      <c r="B760" t="s">
        <v>692</v>
      </c>
      <c r="C760" t="s">
        <v>407</v>
      </c>
      <c r="D760" s="3" t="s">
        <v>655</v>
      </c>
      <c r="E760" s="3" t="s">
        <v>655</v>
      </c>
      <c r="F760">
        <v>1000000000</v>
      </c>
      <c r="G760" s="3">
        <f t="shared" si="36"/>
        <v>0</v>
      </c>
      <c r="H760" s="3">
        <f t="shared" si="37"/>
        <v>0</v>
      </c>
      <c r="I760" s="1">
        <f t="shared" si="35"/>
        <v>0</v>
      </c>
      <c r="J760" t="s">
        <v>544</v>
      </c>
      <c r="L760" t="s">
        <v>665</v>
      </c>
      <c r="M760" t="s">
        <v>644</v>
      </c>
      <c r="N760" t="s">
        <v>447</v>
      </c>
    </row>
    <row r="761" spans="1:14" hidden="1" x14ac:dyDescent="0.25">
      <c r="A761" t="s">
        <v>692</v>
      </c>
      <c r="B761" t="s">
        <v>692</v>
      </c>
      <c r="C761" t="s">
        <v>407</v>
      </c>
      <c r="D761" s="3" t="s">
        <v>655</v>
      </c>
      <c r="E761" s="3" t="s">
        <v>655</v>
      </c>
      <c r="F761">
        <v>10</v>
      </c>
      <c r="G761" s="3">
        <f t="shared" si="36"/>
        <v>0</v>
      </c>
      <c r="H761" s="3">
        <f t="shared" si="37"/>
        <v>0</v>
      </c>
      <c r="I761" s="1">
        <f t="shared" si="35"/>
        <v>0</v>
      </c>
      <c r="J761" t="s">
        <v>529</v>
      </c>
      <c r="L761" t="s">
        <v>672</v>
      </c>
      <c r="M761" t="s">
        <v>644</v>
      </c>
      <c r="N761" t="s">
        <v>465</v>
      </c>
    </row>
    <row r="762" spans="1:14" hidden="1" x14ac:dyDescent="0.25">
      <c r="A762" t="s">
        <v>692</v>
      </c>
      <c r="B762" t="s">
        <v>692</v>
      </c>
      <c r="C762" t="s">
        <v>407</v>
      </c>
      <c r="D762" s="3" t="s">
        <v>655</v>
      </c>
      <c r="E762" s="3" t="s">
        <v>655</v>
      </c>
      <c r="F762">
        <v>10</v>
      </c>
      <c r="G762" s="3">
        <f t="shared" si="36"/>
        <v>0</v>
      </c>
      <c r="H762" s="3">
        <f t="shared" si="37"/>
        <v>0</v>
      </c>
      <c r="I762" s="1">
        <f t="shared" si="35"/>
        <v>0</v>
      </c>
      <c r="J762" t="s">
        <v>541</v>
      </c>
      <c r="L762" t="s">
        <v>672</v>
      </c>
      <c r="M762" t="s">
        <v>644</v>
      </c>
      <c r="N762" t="s">
        <v>465</v>
      </c>
    </row>
    <row r="763" spans="1:14" hidden="1" x14ac:dyDescent="0.25">
      <c r="A763" t="s">
        <v>692</v>
      </c>
      <c r="B763" t="s">
        <v>692</v>
      </c>
      <c r="C763" t="s">
        <v>407</v>
      </c>
      <c r="D763" s="3" t="s">
        <v>655</v>
      </c>
      <c r="E763" s="3" t="s">
        <v>655</v>
      </c>
      <c r="F763">
        <v>10</v>
      </c>
      <c r="G763" s="3">
        <f t="shared" si="36"/>
        <v>0</v>
      </c>
      <c r="H763" s="3">
        <f t="shared" si="37"/>
        <v>0</v>
      </c>
      <c r="I763" s="1">
        <f t="shared" si="35"/>
        <v>0</v>
      </c>
      <c r="J763" t="s">
        <v>529</v>
      </c>
      <c r="L763" t="s">
        <v>672</v>
      </c>
      <c r="M763" t="s">
        <v>644</v>
      </c>
      <c r="N763" t="s">
        <v>465</v>
      </c>
    </row>
    <row r="764" spans="1:14" hidden="1" x14ac:dyDescent="0.25">
      <c r="A764" t="s">
        <v>692</v>
      </c>
      <c r="B764" t="s">
        <v>692</v>
      </c>
      <c r="C764" t="s">
        <v>407</v>
      </c>
      <c r="D764" s="3" t="s">
        <v>655</v>
      </c>
      <c r="E764" s="3" t="s">
        <v>655</v>
      </c>
      <c r="F764">
        <v>10</v>
      </c>
      <c r="G764" s="3">
        <f t="shared" si="36"/>
        <v>0</v>
      </c>
      <c r="H764" s="3">
        <f t="shared" si="37"/>
        <v>0</v>
      </c>
      <c r="I764" s="1">
        <f t="shared" si="35"/>
        <v>0</v>
      </c>
      <c r="J764" t="s">
        <v>541</v>
      </c>
      <c r="L764" t="s">
        <v>672</v>
      </c>
      <c r="M764" t="s">
        <v>644</v>
      </c>
      <c r="N764" t="s">
        <v>465</v>
      </c>
    </row>
    <row r="765" spans="1:14" hidden="1" x14ac:dyDescent="0.25">
      <c r="A765" t="s">
        <v>565</v>
      </c>
      <c r="C765" t="s">
        <v>406</v>
      </c>
      <c r="D765" s="3" t="s">
        <v>416</v>
      </c>
      <c r="E765" s="3" t="s">
        <v>606</v>
      </c>
      <c r="F765">
        <v>20</v>
      </c>
      <c r="G765" s="3">
        <f t="shared" si="36"/>
        <v>0.17013888888888884</v>
      </c>
      <c r="H765" s="3">
        <f t="shared" si="37"/>
        <v>8.506944444444442E-3</v>
      </c>
      <c r="I765" s="1">
        <f t="shared" si="35"/>
        <v>12</v>
      </c>
      <c r="J765" t="s">
        <v>476</v>
      </c>
      <c r="K765" t="s">
        <v>417</v>
      </c>
      <c r="L765" t="s">
        <v>330</v>
      </c>
      <c r="M765" t="s">
        <v>398</v>
      </c>
      <c r="N765" t="s">
        <v>465</v>
      </c>
    </row>
    <row r="766" spans="1:14" hidden="1" x14ac:dyDescent="0.25">
      <c r="A766" t="s">
        <v>565</v>
      </c>
      <c r="B766" t="s">
        <v>565</v>
      </c>
      <c r="C766" t="s">
        <v>406</v>
      </c>
      <c r="D766" s="3" t="s">
        <v>411</v>
      </c>
      <c r="E766" s="3" t="s">
        <v>691</v>
      </c>
      <c r="F766">
        <v>10</v>
      </c>
      <c r="G766" s="3">
        <f t="shared" si="36"/>
        <v>0.4236111111111111</v>
      </c>
      <c r="H766" s="3">
        <f t="shared" si="37"/>
        <v>4.2361111111111113E-2</v>
      </c>
      <c r="I766" s="1">
        <f t="shared" si="35"/>
        <v>1</v>
      </c>
      <c r="J766" t="s">
        <v>458</v>
      </c>
      <c r="K766" t="s">
        <v>397</v>
      </c>
      <c r="L766" t="s">
        <v>643</v>
      </c>
      <c r="M766" t="s">
        <v>398</v>
      </c>
      <c r="N766" t="s">
        <v>500</v>
      </c>
    </row>
    <row r="767" spans="1:14" hidden="1" x14ac:dyDescent="0.25">
      <c r="A767" t="s">
        <v>565</v>
      </c>
      <c r="B767" t="s">
        <v>565</v>
      </c>
      <c r="C767" t="s">
        <v>406</v>
      </c>
      <c r="D767" s="3" t="s">
        <v>416</v>
      </c>
      <c r="E767" s="3" t="s">
        <v>441</v>
      </c>
      <c r="F767">
        <v>5</v>
      </c>
      <c r="G767" s="3">
        <f t="shared" si="36"/>
        <v>0.20486111111111116</v>
      </c>
      <c r="H767" s="3">
        <f t="shared" si="37"/>
        <v>4.0972222222222229E-2</v>
      </c>
      <c r="I767" s="1">
        <f t="shared" si="35"/>
        <v>59</v>
      </c>
      <c r="J767" t="s">
        <v>463</v>
      </c>
      <c r="K767" t="s">
        <v>417</v>
      </c>
      <c r="L767" t="s">
        <v>358</v>
      </c>
      <c r="M767" t="s">
        <v>398</v>
      </c>
      <c r="N767" t="s">
        <v>465</v>
      </c>
    </row>
    <row r="768" spans="1:14" hidden="1" x14ac:dyDescent="0.25">
      <c r="A768" t="s">
        <v>565</v>
      </c>
      <c r="B768" t="s">
        <v>565</v>
      </c>
      <c r="C768" t="s">
        <v>393</v>
      </c>
      <c r="D768" s="3" t="s">
        <v>655</v>
      </c>
      <c r="E768" s="3" t="s">
        <v>655</v>
      </c>
      <c r="F768">
        <v>20</v>
      </c>
      <c r="G768" s="3">
        <f t="shared" si="36"/>
        <v>0</v>
      </c>
      <c r="H768" s="3">
        <f t="shared" si="37"/>
        <v>0</v>
      </c>
      <c r="I768" s="1">
        <f t="shared" si="35"/>
        <v>0</v>
      </c>
      <c r="J768" t="s">
        <v>560</v>
      </c>
      <c r="L768" t="s">
        <v>381</v>
      </c>
      <c r="M768" t="s">
        <v>644</v>
      </c>
      <c r="N768" t="s">
        <v>465</v>
      </c>
    </row>
    <row r="769" spans="1:14" hidden="1" x14ac:dyDescent="0.25">
      <c r="A769" t="s">
        <v>565</v>
      </c>
      <c r="B769" t="s">
        <v>565</v>
      </c>
      <c r="C769" t="s">
        <v>393</v>
      </c>
      <c r="D769" s="3" t="s">
        <v>655</v>
      </c>
      <c r="E769" s="3" t="s">
        <v>655</v>
      </c>
      <c r="F769">
        <v>30</v>
      </c>
      <c r="G769" s="3">
        <f t="shared" si="36"/>
        <v>0</v>
      </c>
      <c r="H769" s="3">
        <f t="shared" si="37"/>
        <v>0</v>
      </c>
      <c r="I769" s="1">
        <f t="shared" si="35"/>
        <v>0</v>
      </c>
      <c r="J769" t="s">
        <v>541</v>
      </c>
      <c r="L769" t="s">
        <v>509</v>
      </c>
      <c r="M769" t="s">
        <v>644</v>
      </c>
      <c r="N769" t="s">
        <v>465</v>
      </c>
    </row>
    <row r="770" spans="1:14" hidden="1" x14ac:dyDescent="0.25">
      <c r="A770" t="s">
        <v>565</v>
      </c>
      <c r="B770" t="s">
        <v>565</v>
      </c>
      <c r="C770" t="s">
        <v>393</v>
      </c>
      <c r="D770" s="3" t="s">
        <v>655</v>
      </c>
      <c r="E770" s="3" t="s">
        <v>655</v>
      </c>
      <c r="F770">
        <v>100000</v>
      </c>
      <c r="G770" s="3">
        <f t="shared" si="36"/>
        <v>0</v>
      </c>
      <c r="H770" s="3">
        <f t="shared" si="37"/>
        <v>0</v>
      </c>
      <c r="I770" s="1">
        <f t="shared" si="35"/>
        <v>0</v>
      </c>
      <c r="J770" t="s">
        <v>544</v>
      </c>
      <c r="L770" t="s">
        <v>694</v>
      </c>
      <c r="M770" t="s">
        <v>644</v>
      </c>
      <c r="N770" t="s">
        <v>447</v>
      </c>
    </row>
    <row r="771" spans="1:14" hidden="1" x14ac:dyDescent="0.25">
      <c r="A771" t="s">
        <v>565</v>
      </c>
      <c r="B771" t="s">
        <v>565</v>
      </c>
      <c r="C771" t="s">
        <v>393</v>
      </c>
      <c r="D771" s="3" t="s">
        <v>655</v>
      </c>
      <c r="E771" s="3" t="s">
        <v>655</v>
      </c>
      <c r="F771">
        <v>10</v>
      </c>
      <c r="G771" s="3">
        <f t="shared" si="36"/>
        <v>0</v>
      </c>
      <c r="H771" s="3">
        <f t="shared" si="37"/>
        <v>0</v>
      </c>
      <c r="I771" s="1">
        <f t="shared" ref="I771:I834" si="38">MINUTE(H771)</f>
        <v>0</v>
      </c>
      <c r="J771" t="s">
        <v>541</v>
      </c>
      <c r="L771" t="s">
        <v>672</v>
      </c>
      <c r="M771" t="s">
        <v>644</v>
      </c>
      <c r="N771" t="s">
        <v>465</v>
      </c>
    </row>
    <row r="772" spans="1:14" hidden="1" x14ac:dyDescent="0.25">
      <c r="A772" t="s">
        <v>565</v>
      </c>
      <c r="B772" t="s">
        <v>565</v>
      </c>
      <c r="C772" t="s">
        <v>393</v>
      </c>
      <c r="D772" s="3" t="s">
        <v>655</v>
      </c>
      <c r="E772" s="3" t="s">
        <v>655</v>
      </c>
      <c r="F772">
        <v>10</v>
      </c>
      <c r="G772" s="3">
        <f t="shared" ref="G772:G835" si="39">(E772-D772)</f>
        <v>0</v>
      </c>
      <c r="H772" s="3">
        <f t="shared" ref="H772:H835" si="40">G772/F772</f>
        <v>0</v>
      </c>
      <c r="I772" s="1">
        <f t="shared" si="38"/>
        <v>0</v>
      </c>
      <c r="J772" t="s">
        <v>529</v>
      </c>
      <c r="L772" t="s">
        <v>672</v>
      </c>
      <c r="M772" t="s">
        <v>644</v>
      </c>
      <c r="N772" t="s">
        <v>465</v>
      </c>
    </row>
    <row r="773" spans="1:14" hidden="1" x14ac:dyDescent="0.25">
      <c r="A773" t="s">
        <v>585</v>
      </c>
      <c r="B773" t="s">
        <v>585</v>
      </c>
      <c r="C773" t="s">
        <v>400</v>
      </c>
      <c r="D773" s="3" t="s">
        <v>411</v>
      </c>
      <c r="E773" s="3" t="s">
        <v>695</v>
      </c>
      <c r="F773">
        <v>10</v>
      </c>
      <c r="G773" s="3">
        <f t="shared" si="39"/>
        <v>0.3263888888888889</v>
      </c>
      <c r="H773" s="3">
        <f t="shared" si="40"/>
        <v>3.2638888888888891E-2</v>
      </c>
      <c r="I773" s="1">
        <f t="shared" si="38"/>
        <v>47</v>
      </c>
      <c r="J773" t="s">
        <v>463</v>
      </c>
      <c r="K773" t="s">
        <v>397</v>
      </c>
      <c r="L773" t="s">
        <v>643</v>
      </c>
      <c r="M773" t="s">
        <v>398</v>
      </c>
      <c r="N773" t="s">
        <v>447</v>
      </c>
    </row>
    <row r="774" spans="1:14" hidden="1" x14ac:dyDescent="0.25">
      <c r="A774" t="s">
        <v>585</v>
      </c>
      <c r="B774" t="s">
        <v>585</v>
      </c>
      <c r="C774" t="s">
        <v>400</v>
      </c>
      <c r="D774" s="3" t="s">
        <v>453</v>
      </c>
      <c r="E774" s="3" t="s">
        <v>542</v>
      </c>
      <c r="F774">
        <v>10</v>
      </c>
      <c r="G774" s="3">
        <f t="shared" si="39"/>
        <v>0.1597222222222221</v>
      </c>
      <c r="H774" s="3">
        <f t="shared" si="40"/>
        <v>1.5972222222222211E-2</v>
      </c>
      <c r="I774" s="1">
        <f t="shared" si="38"/>
        <v>23</v>
      </c>
      <c r="J774" t="s">
        <v>497</v>
      </c>
      <c r="K774" t="s">
        <v>417</v>
      </c>
      <c r="L774" t="s">
        <v>114</v>
      </c>
      <c r="M774" t="s">
        <v>398</v>
      </c>
      <c r="N774" t="s">
        <v>405</v>
      </c>
    </row>
    <row r="775" spans="1:14" hidden="1" x14ac:dyDescent="0.25">
      <c r="A775" t="s">
        <v>585</v>
      </c>
      <c r="B775" t="s">
        <v>585</v>
      </c>
      <c r="C775" t="s">
        <v>406</v>
      </c>
      <c r="D775" s="3" t="s">
        <v>655</v>
      </c>
      <c r="E775" s="3" t="s">
        <v>655</v>
      </c>
      <c r="F775">
        <v>200000000</v>
      </c>
      <c r="G775" s="3">
        <f t="shared" si="39"/>
        <v>0</v>
      </c>
      <c r="H775" s="3">
        <f t="shared" si="40"/>
        <v>0</v>
      </c>
      <c r="I775" s="1">
        <f t="shared" si="38"/>
        <v>0</v>
      </c>
      <c r="J775" t="s">
        <v>544</v>
      </c>
      <c r="L775" t="s">
        <v>665</v>
      </c>
      <c r="M775" t="s">
        <v>644</v>
      </c>
      <c r="N775" t="s">
        <v>447</v>
      </c>
    </row>
    <row r="776" spans="1:14" hidden="1" x14ac:dyDescent="0.25">
      <c r="A776" t="s">
        <v>585</v>
      </c>
      <c r="B776" t="s">
        <v>585</v>
      </c>
      <c r="C776" t="s">
        <v>406</v>
      </c>
      <c r="D776" s="3" t="s">
        <v>655</v>
      </c>
      <c r="E776" s="3" t="s">
        <v>655</v>
      </c>
      <c r="F776">
        <v>10</v>
      </c>
      <c r="G776" s="3">
        <f t="shared" si="39"/>
        <v>0</v>
      </c>
      <c r="H776" s="3">
        <f t="shared" si="40"/>
        <v>0</v>
      </c>
      <c r="I776" s="1">
        <f t="shared" si="38"/>
        <v>0</v>
      </c>
      <c r="J776" t="s">
        <v>541</v>
      </c>
      <c r="L776" t="s">
        <v>672</v>
      </c>
      <c r="M776" t="s">
        <v>644</v>
      </c>
      <c r="N776" t="s">
        <v>465</v>
      </c>
    </row>
    <row r="777" spans="1:14" hidden="1" x14ac:dyDescent="0.25">
      <c r="A777" t="s">
        <v>585</v>
      </c>
      <c r="B777" t="s">
        <v>585</v>
      </c>
      <c r="C777" t="s">
        <v>406</v>
      </c>
      <c r="D777" s="3" t="s">
        <v>655</v>
      </c>
      <c r="E777" s="3" t="s">
        <v>655</v>
      </c>
      <c r="F777">
        <v>10</v>
      </c>
      <c r="G777" s="3">
        <f t="shared" si="39"/>
        <v>0</v>
      </c>
      <c r="H777" s="3">
        <f t="shared" si="40"/>
        <v>0</v>
      </c>
      <c r="I777" s="1">
        <f t="shared" si="38"/>
        <v>0</v>
      </c>
      <c r="J777" t="s">
        <v>529</v>
      </c>
      <c r="L777" t="s">
        <v>672</v>
      </c>
      <c r="M777" t="s">
        <v>644</v>
      </c>
      <c r="N777" t="s">
        <v>465</v>
      </c>
    </row>
    <row r="778" spans="1:14" hidden="1" x14ac:dyDescent="0.25">
      <c r="A778" t="s">
        <v>585</v>
      </c>
      <c r="B778" t="s">
        <v>585</v>
      </c>
      <c r="C778" t="s">
        <v>406</v>
      </c>
      <c r="D778" s="3" t="s">
        <v>655</v>
      </c>
      <c r="E778" s="3" t="s">
        <v>655</v>
      </c>
      <c r="F778">
        <v>10</v>
      </c>
      <c r="G778" s="3">
        <f t="shared" si="39"/>
        <v>0</v>
      </c>
      <c r="H778" s="3">
        <f t="shared" si="40"/>
        <v>0</v>
      </c>
      <c r="I778" s="1">
        <f t="shared" si="38"/>
        <v>0</v>
      </c>
      <c r="J778" t="s">
        <v>541</v>
      </c>
      <c r="L778" t="s">
        <v>672</v>
      </c>
      <c r="M778" t="s">
        <v>644</v>
      </c>
      <c r="N778" t="s">
        <v>465</v>
      </c>
    </row>
    <row r="779" spans="1:14" hidden="1" x14ac:dyDescent="0.25">
      <c r="A779" t="s">
        <v>696</v>
      </c>
      <c r="B779" t="s">
        <v>696</v>
      </c>
      <c r="C779" t="s">
        <v>422</v>
      </c>
      <c r="D779" s="3" t="s">
        <v>411</v>
      </c>
      <c r="E779" s="3" t="s">
        <v>697</v>
      </c>
      <c r="F779">
        <v>5</v>
      </c>
      <c r="G779" s="3">
        <f t="shared" si="39"/>
        <v>7.9861111111111049E-2</v>
      </c>
      <c r="H779" s="3">
        <f t="shared" si="40"/>
        <v>1.5972222222222211E-2</v>
      </c>
      <c r="I779" s="1">
        <f t="shared" si="38"/>
        <v>23</v>
      </c>
      <c r="J779" t="s">
        <v>432</v>
      </c>
      <c r="K779" t="s">
        <v>397</v>
      </c>
      <c r="L779" t="s">
        <v>102</v>
      </c>
      <c r="M779" t="s">
        <v>398</v>
      </c>
      <c r="N779" t="s">
        <v>465</v>
      </c>
    </row>
    <row r="780" spans="1:14" hidden="1" x14ac:dyDescent="0.25">
      <c r="A780" t="s">
        <v>696</v>
      </c>
      <c r="B780" t="s">
        <v>696</v>
      </c>
      <c r="C780" t="s">
        <v>422</v>
      </c>
      <c r="D780" s="3" t="s">
        <v>403</v>
      </c>
      <c r="E780" s="3" t="s">
        <v>441</v>
      </c>
      <c r="F780">
        <v>5</v>
      </c>
      <c r="G780" s="3">
        <f t="shared" si="39"/>
        <v>0.41319444444444448</v>
      </c>
      <c r="H780" s="3">
        <f t="shared" si="40"/>
        <v>8.2638888888888901E-2</v>
      </c>
      <c r="I780" s="1">
        <f t="shared" si="38"/>
        <v>59</v>
      </c>
      <c r="J780" t="s">
        <v>480</v>
      </c>
      <c r="K780" t="s">
        <v>397</v>
      </c>
      <c r="L780" t="s">
        <v>362</v>
      </c>
      <c r="M780" t="s">
        <v>398</v>
      </c>
      <c r="N780" t="s">
        <v>465</v>
      </c>
    </row>
    <row r="781" spans="1:14" hidden="1" x14ac:dyDescent="0.25">
      <c r="A781" t="s">
        <v>696</v>
      </c>
      <c r="B781" t="s">
        <v>696</v>
      </c>
      <c r="C781" t="s">
        <v>422</v>
      </c>
      <c r="D781" s="3" t="s">
        <v>403</v>
      </c>
      <c r="E781" s="3" t="s">
        <v>697</v>
      </c>
      <c r="F781">
        <v>5</v>
      </c>
      <c r="G781" s="3">
        <f t="shared" si="39"/>
        <v>3.819444444444442E-2</v>
      </c>
      <c r="H781" s="3">
        <f t="shared" si="40"/>
        <v>7.6388888888888843E-3</v>
      </c>
      <c r="I781" s="1">
        <f t="shared" si="38"/>
        <v>11</v>
      </c>
      <c r="J781" t="s">
        <v>429</v>
      </c>
      <c r="K781" t="s">
        <v>397</v>
      </c>
      <c r="L781" t="s">
        <v>113</v>
      </c>
      <c r="M781" t="s">
        <v>398</v>
      </c>
      <c r="N781" t="s">
        <v>399</v>
      </c>
    </row>
    <row r="782" spans="1:14" hidden="1" x14ac:dyDescent="0.25">
      <c r="A782" t="s">
        <v>696</v>
      </c>
      <c r="B782" t="s">
        <v>696</v>
      </c>
      <c r="C782" t="s">
        <v>400</v>
      </c>
      <c r="D782" s="3" t="s">
        <v>655</v>
      </c>
      <c r="E782" s="3" t="s">
        <v>655</v>
      </c>
      <c r="G782" s="3">
        <f t="shared" si="39"/>
        <v>0</v>
      </c>
      <c r="H782" s="3" t="e">
        <f t="shared" si="40"/>
        <v>#DIV/0!</v>
      </c>
      <c r="I782" s="1" t="e">
        <f t="shared" si="38"/>
        <v>#DIV/0!</v>
      </c>
      <c r="J782" t="s">
        <v>508</v>
      </c>
      <c r="L782" t="s">
        <v>679</v>
      </c>
      <c r="M782" t="s">
        <v>644</v>
      </c>
      <c r="N782" t="s">
        <v>465</v>
      </c>
    </row>
    <row r="783" spans="1:14" hidden="1" x14ac:dyDescent="0.25">
      <c r="A783" t="s">
        <v>696</v>
      </c>
      <c r="B783" t="s">
        <v>696</v>
      </c>
      <c r="C783" t="s">
        <v>400</v>
      </c>
      <c r="D783" s="3" t="s">
        <v>655</v>
      </c>
      <c r="E783" s="3" t="s">
        <v>655</v>
      </c>
      <c r="F783">
        <v>100</v>
      </c>
      <c r="G783" s="3">
        <f t="shared" si="39"/>
        <v>0</v>
      </c>
      <c r="H783" s="3">
        <f t="shared" si="40"/>
        <v>0</v>
      </c>
      <c r="I783" s="1">
        <f t="shared" si="38"/>
        <v>0</v>
      </c>
      <c r="J783" t="s">
        <v>529</v>
      </c>
      <c r="L783" t="s">
        <v>381</v>
      </c>
      <c r="M783" t="s">
        <v>644</v>
      </c>
      <c r="N783" t="s">
        <v>447</v>
      </c>
    </row>
    <row r="784" spans="1:14" hidden="1" x14ac:dyDescent="0.25">
      <c r="A784" t="s">
        <v>696</v>
      </c>
      <c r="B784" t="s">
        <v>696</v>
      </c>
      <c r="C784" t="s">
        <v>400</v>
      </c>
      <c r="D784" s="3" t="s">
        <v>655</v>
      </c>
      <c r="E784" s="3" t="s">
        <v>655</v>
      </c>
      <c r="F784">
        <v>100</v>
      </c>
      <c r="G784" s="3">
        <f t="shared" si="39"/>
        <v>0</v>
      </c>
      <c r="H784" s="3">
        <f t="shared" si="40"/>
        <v>0</v>
      </c>
      <c r="I784" s="1">
        <f t="shared" si="38"/>
        <v>0</v>
      </c>
      <c r="J784" t="s">
        <v>544</v>
      </c>
      <c r="L784" t="s">
        <v>381</v>
      </c>
      <c r="M784" t="s">
        <v>644</v>
      </c>
      <c r="N784" t="s">
        <v>447</v>
      </c>
    </row>
    <row r="785" spans="1:14" hidden="1" x14ac:dyDescent="0.25">
      <c r="A785" t="s">
        <v>696</v>
      </c>
      <c r="B785" t="s">
        <v>696</v>
      </c>
      <c r="C785" t="s">
        <v>400</v>
      </c>
      <c r="D785" s="3" t="s">
        <v>655</v>
      </c>
      <c r="E785" s="3" t="s">
        <v>655</v>
      </c>
      <c r="F785">
        <v>100</v>
      </c>
      <c r="G785" s="3">
        <f t="shared" si="39"/>
        <v>0</v>
      </c>
      <c r="H785" s="3">
        <f t="shared" si="40"/>
        <v>0</v>
      </c>
      <c r="I785" s="1">
        <f t="shared" si="38"/>
        <v>0</v>
      </c>
      <c r="J785" t="s">
        <v>529</v>
      </c>
      <c r="L785" t="s">
        <v>381</v>
      </c>
      <c r="M785" t="s">
        <v>644</v>
      </c>
      <c r="N785" t="s">
        <v>447</v>
      </c>
    </row>
    <row r="786" spans="1:14" hidden="1" x14ac:dyDescent="0.25">
      <c r="A786" t="s">
        <v>696</v>
      </c>
      <c r="B786" t="s">
        <v>696</v>
      </c>
      <c r="C786" t="s">
        <v>400</v>
      </c>
      <c r="D786" s="3" t="s">
        <v>655</v>
      </c>
      <c r="E786" s="3" t="s">
        <v>655</v>
      </c>
      <c r="F786">
        <v>100</v>
      </c>
      <c r="G786" s="3">
        <f t="shared" si="39"/>
        <v>0</v>
      </c>
      <c r="H786" s="3">
        <f t="shared" si="40"/>
        <v>0</v>
      </c>
      <c r="I786" s="1">
        <f t="shared" si="38"/>
        <v>0</v>
      </c>
      <c r="J786" t="s">
        <v>544</v>
      </c>
      <c r="L786" t="s">
        <v>381</v>
      </c>
      <c r="M786" t="s">
        <v>644</v>
      </c>
      <c r="N786" t="s">
        <v>447</v>
      </c>
    </row>
    <row r="787" spans="1:14" hidden="1" x14ac:dyDescent="0.25">
      <c r="A787" t="s">
        <v>698</v>
      </c>
      <c r="B787" t="s">
        <v>698</v>
      </c>
      <c r="C787" t="s">
        <v>491</v>
      </c>
      <c r="D787" s="3" t="s">
        <v>403</v>
      </c>
      <c r="E787" s="3" t="s">
        <v>438</v>
      </c>
      <c r="F787">
        <v>5</v>
      </c>
      <c r="G787" s="3">
        <f t="shared" si="39"/>
        <v>0.37152777777777785</v>
      </c>
      <c r="H787" s="3">
        <f t="shared" si="40"/>
        <v>7.4305555555555569E-2</v>
      </c>
      <c r="I787" s="1">
        <f t="shared" si="38"/>
        <v>47</v>
      </c>
      <c r="J787" t="s">
        <v>463</v>
      </c>
      <c r="K787" t="s">
        <v>397</v>
      </c>
      <c r="L787" t="s">
        <v>98</v>
      </c>
      <c r="M787" t="s">
        <v>398</v>
      </c>
      <c r="N787" t="s">
        <v>465</v>
      </c>
    </row>
    <row r="788" spans="1:14" hidden="1" x14ac:dyDescent="0.25">
      <c r="A788" t="s">
        <v>699</v>
      </c>
      <c r="C788" t="s">
        <v>401</v>
      </c>
      <c r="D788" s="3" t="s">
        <v>416</v>
      </c>
      <c r="E788" s="3" t="s">
        <v>431</v>
      </c>
      <c r="F788">
        <v>15</v>
      </c>
      <c r="G788" s="3">
        <f t="shared" si="39"/>
        <v>0.14930555555555558</v>
      </c>
      <c r="H788" s="3">
        <f t="shared" si="40"/>
        <v>9.9537037037037059E-3</v>
      </c>
      <c r="I788" s="1">
        <f t="shared" si="38"/>
        <v>14</v>
      </c>
      <c r="J788" t="s">
        <v>459</v>
      </c>
      <c r="K788" t="s">
        <v>417</v>
      </c>
      <c r="L788" t="s">
        <v>321</v>
      </c>
      <c r="M788" t="s">
        <v>398</v>
      </c>
      <c r="N788" t="s">
        <v>465</v>
      </c>
    </row>
    <row r="789" spans="1:14" hidden="1" x14ac:dyDescent="0.25">
      <c r="A789" t="s">
        <v>699</v>
      </c>
      <c r="C789" t="s">
        <v>401</v>
      </c>
      <c r="D789" s="3" t="s">
        <v>547</v>
      </c>
      <c r="E789" s="3" t="s">
        <v>428</v>
      </c>
      <c r="F789">
        <v>10</v>
      </c>
      <c r="G789" s="3">
        <f t="shared" si="39"/>
        <v>0.27430555555555552</v>
      </c>
      <c r="H789" s="3">
        <f t="shared" si="40"/>
        <v>2.7430555555555552E-2</v>
      </c>
      <c r="I789" s="1">
        <f t="shared" si="38"/>
        <v>39</v>
      </c>
      <c r="J789" t="s">
        <v>432</v>
      </c>
      <c r="K789" t="s">
        <v>397</v>
      </c>
      <c r="L789" t="s">
        <v>333</v>
      </c>
      <c r="M789" t="s">
        <v>398</v>
      </c>
      <c r="N789" t="s">
        <v>405</v>
      </c>
    </row>
    <row r="790" spans="1:14" hidden="1" x14ac:dyDescent="0.25">
      <c r="A790" t="s">
        <v>699</v>
      </c>
      <c r="C790" t="s">
        <v>401</v>
      </c>
      <c r="D790" s="3" t="s">
        <v>403</v>
      </c>
      <c r="E790" s="3" t="s">
        <v>426</v>
      </c>
      <c r="F790">
        <v>15</v>
      </c>
      <c r="G790" s="3">
        <f t="shared" si="39"/>
        <v>0.19097222222222227</v>
      </c>
      <c r="H790" s="3">
        <f t="shared" si="40"/>
        <v>1.2731481481481484E-2</v>
      </c>
      <c r="I790" s="1">
        <f t="shared" si="38"/>
        <v>18</v>
      </c>
      <c r="J790" t="s">
        <v>396</v>
      </c>
      <c r="K790" t="s">
        <v>397</v>
      </c>
      <c r="L790" t="s">
        <v>93</v>
      </c>
      <c r="M790" t="s">
        <v>398</v>
      </c>
      <c r="N790" t="s">
        <v>500</v>
      </c>
    </row>
    <row r="791" spans="1:14" hidden="1" x14ac:dyDescent="0.25">
      <c r="A791" t="s">
        <v>699</v>
      </c>
      <c r="B791" t="s">
        <v>699</v>
      </c>
      <c r="C791" t="s">
        <v>401</v>
      </c>
      <c r="D791" s="3" t="s">
        <v>411</v>
      </c>
      <c r="E791" s="3" t="s">
        <v>700</v>
      </c>
      <c r="F791">
        <v>5</v>
      </c>
      <c r="G791" s="3">
        <f t="shared" si="39"/>
        <v>3.819444444444442E-2</v>
      </c>
      <c r="H791" s="3">
        <f t="shared" si="40"/>
        <v>7.6388888888888843E-3</v>
      </c>
      <c r="I791" s="1">
        <f t="shared" si="38"/>
        <v>11</v>
      </c>
      <c r="J791" t="s">
        <v>480</v>
      </c>
      <c r="K791" t="s">
        <v>397</v>
      </c>
      <c r="L791" t="s">
        <v>108</v>
      </c>
      <c r="M791" t="s">
        <v>398</v>
      </c>
      <c r="N791" t="s">
        <v>465</v>
      </c>
    </row>
    <row r="792" spans="1:14" hidden="1" x14ac:dyDescent="0.25">
      <c r="A792" t="s">
        <v>699</v>
      </c>
      <c r="B792" t="s">
        <v>699</v>
      </c>
      <c r="C792" t="s">
        <v>491</v>
      </c>
      <c r="D792" s="3" t="s">
        <v>655</v>
      </c>
      <c r="E792" s="3" t="s">
        <v>655</v>
      </c>
      <c r="F792">
        <v>30</v>
      </c>
      <c r="G792" s="3">
        <f t="shared" si="39"/>
        <v>0</v>
      </c>
      <c r="H792" s="3">
        <f t="shared" si="40"/>
        <v>0</v>
      </c>
      <c r="I792" s="1">
        <f t="shared" si="38"/>
        <v>0</v>
      </c>
      <c r="J792" t="s">
        <v>541</v>
      </c>
      <c r="L792" t="s">
        <v>509</v>
      </c>
      <c r="M792" t="s">
        <v>644</v>
      </c>
      <c r="N792" t="s">
        <v>465</v>
      </c>
    </row>
    <row r="793" spans="1:14" hidden="1" x14ac:dyDescent="0.25">
      <c r="A793" t="s">
        <v>699</v>
      </c>
      <c r="B793" t="s">
        <v>699</v>
      </c>
      <c r="C793" t="s">
        <v>491</v>
      </c>
      <c r="D793" s="3" t="s">
        <v>655</v>
      </c>
      <c r="E793" s="3" t="s">
        <v>655</v>
      </c>
      <c r="F793">
        <v>30</v>
      </c>
      <c r="G793" s="3">
        <f t="shared" si="39"/>
        <v>0</v>
      </c>
      <c r="H793" s="3">
        <f t="shared" si="40"/>
        <v>0</v>
      </c>
      <c r="I793" s="1">
        <f t="shared" si="38"/>
        <v>0</v>
      </c>
      <c r="J793" t="s">
        <v>529</v>
      </c>
      <c r="L793" t="s">
        <v>519</v>
      </c>
      <c r="M793" t="s">
        <v>644</v>
      </c>
      <c r="N793" t="s">
        <v>465</v>
      </c>
    </row>
    <row r="794" spans="1:14" hidden="1" x14ac:dyDescent="0.25">
      <c r="A794" t="s">
        <v>699</v>
      </c>
      <c r="B794" t="s">
        <v>699</v>
      </c>
      <c r="C794" t="s">
        <v>491</v>
      </c>
      <c r="D794" s="3" t="s">
        <v>655</v>
      </c>
      <c r="E794" s="3" t="s">
        <v>655</v>
      </c>
      <c r="G794" s="3">
        <f t="shared" si="39"/>
        <v>0</v>
      </c>
      <c r="H794" s="3" t="e">
        <f t="shared" si="40"/>
        <v>#DIV/0!</v>
      </c>
      <c r="I794" s="1" t="e">
        <f t="shared" si="38"/>
        <v>#DIV/0!</v>
      </c>
      <c r="J794" t="s">
        <v>529</v>
      </c>
      <c r="L794" t="s">
        <v>688</v>
      </c>
      <c r="M794" t="s">
        <v>644</v>
      </c>
      <c r="N794" t="s">
        <v>447</v>
      </c>
    </row>
    <row r="795" spans="1:14" hidden="1" x14ac:dyDescent="0.25">
      <c r="A795" t="s">
        <v>699</v>
      </c>
      <c r="B795" t="s">
        <v>699</v>
      </c>
      <c r="C795" t="s">
        <v>491</v>
      </c>
      <c r="D795" s="3" t="s">
        <v>655</v>
      </c>
      <c r="E795" s="3" t="s">
        <v>655</v>
      </c>
      <c r="F795">
        <v>20</v>
      </c>
      <c r="G795" s="3">
        <f t="shared" si="39"/>
        <v>0</v>
      </c>
      <c r="H795" s="3">
        <f t="shared" si="40"/>
        <v>0</v>
      </c>
      <c r="I795" s="1">
        <f t="shared" si="38"/>
        <v>0</v>
      </c>
      <c r="J795" t="s">
        <v>541</v>
      </c>
      <c r="L795" t="s">
        <v>381</v>
      </c>
      <c r="M795" t="s">
        <v>644</v>
      </c>
      <c r="N795" t="s">
        <v>465</v>
      </c>
    </row>
    <row r="796" spans="1:14" hidden="1" x14ac:dyDescent="0.25">
      <c r="A796" t="s">
        <v>699</v>
      </c>
      <c r="B796" t="s">
        <v>699</v>
      </c>
      <c r="C796" t="s">
        <v>491</v>
      </c>
      <c r="D796" s="3" t="s">
        <v>655</v>
      </c>
      <c r="E796" s="3" t="s">
        <v>655</v>
      </c>
      <c r="F796">
        <v>20</v>
      </c>
      <c r="G796" s="3">
        <f t="shared" si="39"/>
        <v>0</v>
      </c>
      <c r="H796" s="3">
        <f t="shared" si="40"/>
        <v>0</v>
      </c>
      <c r="I796" s="1">
        <f t="shared" si="38"/>
        <v>0</v>
      </c>
      <c r="J796" t="s">
        <v>508</v>
      </c>
      <c r="L796" t="s">
        <v>381</v>
      </c>
      <c r="M796" t="s">
        <v>644</v>
      </c>
      <c r="N796" t="s">
        <v>465</v>
      </c>
    </row>
    <row r="797" spans="1:14" hidden="1" x14ac:dyDescent="0.25">
      <c r="A797" t="s">
        <v>699</v>
      </c>
      <c r="B797" t="s">
        <v>699</v>
      </c>
      <c r="C797" t="s">
        <v>491</v>
      </c>
      <c r="D797" s="3" t="s">
        <v>655</v>
      </c>
      <c r="E797" s="3" t="s">
        <v>655</v>
      </c>
      <c r="F797">
        <v>20</v>
      </c>
      <c r="G797" s="3">
        <f t="shared" si="39"/>
        <v>0</v>
      </c>
      <c r="H797" s="3">
        <f t="shared" si="40"/>
        <v>0</v>
      </c>
      <c r="I797" s="1">
        <f t="shared" si="38"/>
        <v>0</v>
      </c>
      <c r="J797" t="s">
        <v>529</v>
      </c>
      <c r="L797" t="s">
        <v>381</v>
      </c>
      <c r="M797" t="s">
        <v>644</v>
      </c>
      <c r="N797" t="s">
        <v>465</v>
      </c>
    </row>
    <row r="798" spans="1:14" hidden="1" x14ac:dyDescent="0.25">
      <c r="A798" t="s">
        <v>699</v>
      </c>
      <c r="B798" t="s">
        <v>699</v>
      </c>
      <c r="C798" t="s">
        <v>491</v>
      </c>
      <c r="D798" s="3" t="s">
        <v>655</v>
      </c>
      <c r="E798" s="3" t="s">
        <v>655</v>
      </c>
      <c r="F798">
        <v>10</v>
      </c>
      <c r="G798" s="3">
        <f t="shared" si="39"/>
        <v>0</v>
      </c>
      <c r="H798" s="3">
        <f t="shared" si="40"/>
        <v>0</v>
      </c>
      <c r="I798" s="1">
        <f t="shared" si="38"/>
        <v>0</v>
      </c>
      <c r="J798" t="s">
        <v>529</v>
      </c>
      <c r="L798" t="s">
        <v>672</v>
      </c>
      <c r="M798" t="s">
        <v>644</v>
      </c>
      <c r="N798" t="s">
        <v>465</v>
      </c>
    </row>
    <row r="799" spans="1:14" hidden="1" x14ac:dyDescent="0.25">
      <c r="A799" t="s">
        <v>699</v>
      </c>
      <c r="B799" t="s">
        <v>699</v>
      </c>
      <c r="C799" t="s">
        <v>491</v>
      </c>
      <c r="D799" s="3" t="s">
        <v>655</v>
      </c>
      <c r="E799" s="3" t="s">
        <v>655</v>
      </c>
      <c r="G799" s="3">
        <f t="shared" si="39"/>
        <v>0</v>
      </c>
      <c r="H799" s="3" t="e">
        <f t="shared" si="40"/>
        <v>#DIV/0!</v>
      </c>
      <c r="I799" s="1" t="e">
        <f t="shared" si="38"/>
        <v>#DIV/0!</v>
      </c>
      <c r="J799" t="s">
        <v>508</v>
      </c>
      <c r="L799" t="s">
        <v>679</v>
      </c>
      <c r="M799" t="s">
        <v>644</v>
      </c>
      <c r="N799" t="s">
        <v>465</v>
      </c>
    </row>
    <row r="800" spans="1:14" hidden="1" x14ac:dyDescent="0.25">
      <c r="A800" t="s">
        <v>594</v>
      </c>
      <c r="B800" t="s">
        <v>594</v>
      </c>
      <c r="C800" t="s">
        <v>407</v>
      </c>
      <c r="D800" s="3" t="s">
        <v>547</v>
      </c>
      <c r="E800" s="3" t="s">
        <v>439</v>
      </c>
      <c r="F800">
        <v>5</v>
      </c>
      <c r="G800" s="3">
        <f t="shared" si="39"/>
        <v>3.819444444444442E-2</v>
      </c>
      <c r="H800" s="3">
        <f t="shared" si="40"/>
        <v>7.6388888888888843E-3</v>
      </c>
      <c r="I800" s="1">
        <f t="shared" si="38"/>
        <v>11</v>
      </c>
      <c r="J800" t="s">
        <v>463</v>
      </c>
      <c r="K800" t="s">
        <v>397</v>
      </c>
      <c r="L800" t="s">
        <v>376</v>
      </c>
      <c r="M800" t="s">
        <v>398</v>
      </c>
      <c r="N800" t="s">
        <v>465</v>
      </c>
    </row>
    <row r="801" spans="1:14" hidden="1" x14ac:dyDescent="0.25">
      <c r="A801" t="s">
        <v>594</v>
      </c>
      <c r="B801" t="s">
        <v>594</v>
      </c>
      <c r="C801" t="s">
        <v>401</v>
      </c>
      <c r="D801" s="3" t="s">
        <v>655</v>
      </c>
      <c r="E801" s="3" t="s">
        <v>655</v>
      </c>
      <c r="F801">
        <v>100</v>
      </c>
      <c r="G801" s="3">
        <f t="shared" si="39"/>
        <v>0</v>
      </c>
      <c r="H801" s="3">
        <f t="shared" si="40"/>
        <v>0</v>
      </c>
      <c r="I801" s="1">
        <f t="shared" si="38"/>
        <v>0</v>
      </c>
      <c r="J801" t="s">
        <v>541</v>
      </c>
      <c r="L801" t="s">
        <v>381</v>
      </c>
      <c r="M801" t="s">
        <v>644</v>
      </c>
      <c r="N801" t="s">
        <v>465</v>
      </c>
    </row>
    <row r="802" spans="1:14" hidden="1" x14ac:dyDescent="0.25">
      <c r="A802" t="s">
        <v>594</v>
      </c>
      <c r="B802" t="s">
        <v>594</v>
      </c>
      <c r="C802" t="s">
        <v>401</v>
      </c>
      <c r="D802" s="3" t="s">
        <v>655</v>
      </c>
      <c r="E802" s="3" t="s">
        <v>655</v>
      </c>
      <c r="G802" s="3">
        <f t="shared" si="39"/>
        <v>0</v>
      </c>
      <c r="H802" s="3" t="e">
        <f t="shared" si="40"/>
        <v>#DIV/0!</v>
      </c>
      <c r="I802" s="1" t="e">
        <f t="shared" si="38"/>
        <v>#DIV/0!</v>
      </c>
      <c r="J802" t="s">
        <v>427</v>
      </c>
      <c r="L802" t="s">
        <v>668</v>
      </c>
      <c r="M802" t="s">
        <v>644</v>
      </c>
      <c r="N802" t="s">
        <v>399</v>
      </c>
    </row>
    <row r="803" spans="1:14" hidden="1" x14ac:dyDescent="0.25">
      <c r="A803" t="s">
        <v>594</v>
      </c>
      <c r="B803" t="s">
        <v>594</v>
      </c>
      <c r="C803" t="s">
        <v>401</v>
      </c>
      <c r="D803" s="3" t="s">
        <v>453</v>
      </c>
      <c r="E803" s="3" t="s">
        <v>482</v>
      </c>
      <c r="F803">
        <v>30</v>
      </c>
      <c r="G803" s="3">
        <f t="shared" si="39"/>
        <v>0.20833333333333326</v>
      </c>
      <c r="H803" s="3">
        <f t="shared" si="40"/>
        <v>6.9444444444444423E-3</v>
      </c>
      <c r="I803" s="1">
        <f t="shared" si="38"/>
        <v>10</v>
      </c>
      <c r="J803" t="s">
        <v>427</v>
      </c>
      <c r="K803" t="s">
        <v>417</v>
      </c>
      <c r="L803" t="s">
        <v>519</v>
      </c>
      <c r="M803" t="s">
        <v>644</v>
      </c>
      <c r="N803" t="s">
        <v>399</v>
      </c>
    </row>
    <row r="804" spans="1:14" hidden="1" x14ac:dyDescent="0.25">
      <c r="A804" t="s">
        <v>594</v>
      </c>
      <c r="B804" t="s">
        <v>594</v>
      </c>
      <c r="C804" t="s">
        <v>401</v>
      </c>
      <c r="D804" s="3" t="s">
        <v>655</v>
      </c>
      <c r="E804" s="3" t="s">
        <v>655</v>
      </c>
      <c r="F804">
        <v>100000</v>
      </c>
      <c r="G804" s="3">
        <f t="shared" si="39"/>
        <v>0</v>
      </c>
      <c r="H804" s="3">
        <f t="shared" si="40"/>
        <v>0</v>
      </c>
      <c r="I804" s="1">
        <f t="shared" si="38"/>
        <v>0</v>
      </c>
      <c r="J804" t="s">
        <v>544</v>
      </c>
      <c r="L804" t="s">
        <v>665</v>
      </c>
      <c r="M804" t="s">
        <v>644</v>
      </c>
      <c r="N804" t="s">
        <v>447</v>
      </c>
    </row>
    <row r="805" spans="1:14" hidden="1" x14ac:dyDescent="0.25">
      <c r="A805" t="s">
        <v>594</v>
      </c>
      <c r="B805" t="s">
        <v>594</v>
      </c>
      <c r="C805" t="s">
        <v>401</v>
      </c>
      <c r="D805" s="3" t="s">
        <v>655</v>
      </c>
      <c r="E805" s="3" t="s">
        <v>655</v>
      </c>
      <c r="F805">
        <v>10</v>
      </c>
      <c r="G805" s="3">
        <f t="shared" si="39"/>
        <v>0</v>
      </c>
      <c r="H805" s="3">
        <f t="shared" si="40"/>
        <v>0</v>
      </c>
      <c r="I805" s="1">
        <f t="shared" si="38"/>
        <v>0</v>
      </c>
      <c r="J805" t="s">
        <v>541</v>
      </c>
      <c r="L805" t="s">
        <v>672</v>
      </c>
      <c r="M805" t="s">
        <v>644</v>
      </c>
      <c r="N805" t="s">
        <v>465</v>
      </c>
    </row>
    <row r="806" spans="1:14" hidden="1" x14ac:dyDescent="0.25">
      <c r="A806" t="s">
        <v>594</v>
      </c>
      <c r="B806" t="s">
        <v>594</v>
      </c>
      <c r="C806" t="s">
        <v>401</v>
      </c>
      <c r="D806" s="3" t="s">
        <v>655</v>
      </c>
      <c r="E806" s="3" t="s">
        <v>655</v>
      </c>
      <c r="F806">
        <v>10</v>
      </c>
      <c r="G806" s="3">
        <f t="shared" si="39"/>
        <v>0</v>
      </c>
      <c r="H806" s="3">
        <f t="shared" si="40"/>
        <v>0</v>
      </c>
      <c r="I806" s="1">
        <f t="shared" si="38"/>
        <v>0</v>
      </c>
      <c r="J806" t="s">
        <v>529</v>
      </c>
      <c r="L806" t="s">
        <v>672</v>
      </c>
      <c r="M806" t="s">
        <v>644</v>
      </c>
      <c r="N806" t="s">
        <v>465</v>
      </c>
    </row>
    <row r="807" spans="1:14" hidden="1" x14ac:dyDescent="0.25">
      <c r="A807" t="s">
        <v>594</v>
      </c>
      <c r="B807" t="s">
        <v>594</v>
      </c>
      <c r="C807" t="s">
        <v>401</v>
      </c>
      <c r="D807" s="3" t="s">
        <v>655</v>
      </c>
      <c r="E807" s="3" t="s">
        <v>655</v>
      </c>
      <c r="G807" s="3">
        <f t="shared" si="39"/>
        <v>0</v>
      </c>
      <c r="H807" s="3" t="e">
        <f t="shared" si="40"/>
        <v>#DIV/0!</v>
      </c>
      <c r="I807" s="1" t="e">
        <f t="shared" si="38"/>
        <v>#DIV/0!</v>
      </c>
      <c r="J807" t="s">
        <v>508</v>
      </c>
      <c r="L807" t="s">
        <v>679</v>
      </c>
      <c r="M807" t="s">
        <v>644</v>
      </c>
      <c r="N807" t="s">
        <v>465</v>
      </c>
    </row>
    <row r="808" spans="1:14" hidden="1" x14ac:dyDescent="0.25">
      <c r="A808" t="s">
        <v>532</v>
      </c>
      <c r="C808" t="s">
        <v>393</v>
      </c>
      <c r="D808" s="3" t="s">
        <v>488</v>
      </c>
      <c r="E808" s="3" t="s">
        <v>492</v>
      </c>
      <c r="F808">
        <v>10</v>
      </c>
      <c r="G808" s="3">
        <f t="shared" si="39"/>
        <v>0.1284722222222221</v>
      </c>
      <c r="H808" s="3">
        <f t="shared" si="40"/>
        <v>1.284722222222221E-2</v>
      </c>
      <c r="I808" s="1">
        <f t="shared" si="38"/>
        <v>18</v>
      </c>
      <c r="J808" t="s">
        <v>396</v>
      </c>
      <c r="K808" t="s">
        <v>417</v>
      </c>
      <c r="L808" t="s">
        <v>113</v>
      </c>
      <c r="M808" t="s">
        <v>398</v>
      </c>
      <c r="N808" t="s">
        <v>399</v>
      </c>
    </row>
    <row r="809" spans="1:14" hidden="1" x14ac:dyDescent="0.25">
      <c r="A809" t="s">
        <v>532</v>
      </c>
      <c r="B809" t="s">
        <v>532</v>
      </c>
      <c r="C809" t="s">
        <v>393</v>
      </c>
      <c r="D809" s="3" t="s">
        <v>445</v>
      </c>
      <c r="E809" s="3" t="s">
        <v>701</v>
      </c>
      <c r="F809">
        <v>15</v>
      </c>
      <c r="G809" s="3">
        <f t="shared" si="39"/>
        <v>1.041666666666663E-2</v>
      </c>
      <c r="H809" s="3">
        <f t="shared" si="40"/>
        <v>6.9444444444444198E-4</v>
      </c>
      <c r="I809" s="1">
        <f t="shared" si="38"/>
        <v>1</v>
      </c>
      <c r="J809" t="s">
        <v>427</v>
      </c>
      <c r="K809" t="s">
        <v>417</v>
      </c>
      <c r="L809" t="s">
        <v>134</v>
      </c>
      <c r="M809" t="s">
        <v>398</v>
      </c>
      <c r="N809" t="s">
        <v>405</v>
      </c>
    </row>
    <row r="810" spans="1:14" hidden="1" x14ac:dyDescent="0.25">
      <c r="A810" t="s">
        <v>532</v>
      </c>
      <c r="B810" t="s">
        <v>532</v>
      </c>
      <c r="C810" t="s">
        <v>393</v>
      </c>
      <c r="D810" s="3" t="s">
        <v>408</v>
      </c>
      <c r="E810" s="3" t="s">
        <v>658</v>
      </c>
      <c r="F810">
        <v>15</v>
      </c>
      <c r="G810" s="3">
        <f t="shared" si="39"/>
        <v>2.0833333333333259E-2</v>
      </c>
      <c r="H810" s="3">
        <f t="shared" si="40"/>
        <v>1.388888888888884E-3</v>
      </c>
      <c r="I810" s="1">
        <f t="shared" si="38"/>
        <v>2</v>
      </c>
      <c r="J810" t="s">
        <v>427</v>
      </c>
      <c r="K810" t="s">
        <v>417</v>
      </c>
      <c r="L810" t="s">
        <v>134</v>
      </c>
      <c r="M810" t="s">
        <v>398</v>
      </c>
      <c r="N810" t="s">
        <v>405</v>
      </c>
    </row>
    <row r="811" spans="1:14" hidden="1" x14ac:dyDescent="0.25">
      <c r="A811" t="s">
        <v>532</v>
      </c>
      <c r="B811" t="s">
        <v>532</v>
      </c>
      <c r="C811" t="s">
        <v>393</v>
      </c>
      <c r="D811" s="3" t="s">
        <v>464</v>
      </c>
      <c r="E811" s="3" t="s">
        <v>485</v>
      </c>
      <c r="F811">
        <v>5</v>
      </c>
      <c r="G811" s="3">
        <f t="shared" si="39"/>
        <v>3.8194444444444531E-2</v>
      </c>
      <c r="H811" s="3">
        <f t="shared" si="40"/>
        <v>7.638888888888906E-3</v>
      </c>
      <c r="I811" s="1">
        <f t="shared" si="38"/>
        <v>11</v>
      </c>
      <c r="J811" t="s">
        <v>432</v>
      </c>
      <c r="K811" t="s">
        <v>417</v>
      </c>
      <c r="L811" t="s">
        <v>103</v>
      </c>
      <c r="M811" t="s">
        <v>398</v>
      </c>
      <c r="N811" t="s">
        <v>465</v>
      </c>
    </row>
    <row r="812" spans="1:14" hidden="1" x14ac:dyDescent="0.25">
      <c r="A812" t="s">
        <v>532</v>
      </c>
      <c r="B812" t="s">
        <v>532</v>
      </c>
      <c r="C812" t="s">
        <v>407</v>
      </c>
      <c r="D812" s="3" t="s">
        <v>655</v>
      </c>
      <c r="E812" s="3" t="s">
        <v>655</v>
      </c>
      <c r="F812">
        <v>2</v>
      </c>
      <c r="G812" s="3">
        <f t="shared" si="39"/>
        <v>0</v>
      </c>
      <c r="H812" s="3">
        <f t="shared" si="40"/>
        <v>0</v>
      </c>
      <c r="I812" s="1">
        <f t="shared" si="38"/>
        <v>0</v>
      </c>
      <c r="J812" t="s">
        <v>541</v>
      </c>
      <c r="L812" t="s">
        <v>702</v>
      </c>
      <c r="M812" t="s">
        <v>644</v>
      </c>
      <c r="N812" t="s">
        <v>465</v>
      </c>
    </row>
    <row r="813" spans="1:14" hidden="1" x14ac:dyDescent="0.25">
      <c r="A813" t="s">
        <v>532</v>
      </c>
      <c r="B813" t="s">
        <v>532</v>
      </c>
      <c r="C813" t="s">
        <v>407</v>
      </c>
      <c r="D813" s="3" t="s">
        <v>655</v>
      </c>
      <c r="E813" s="3" t="s">
        <v>655</v>
      </c>
      <c r="F813">
        <v>2</v>
      </c>
      <c r="G813" s="3">
        <f t="shared" si="39"/>
        <v>0</v>
      </c>
      <c r="H813" s="3">
        <f t="shared" si="40"/>
        <v>0</v>
      </c>
      <c r="I813" s="1">
        <f t="shared" si="38"/>
        <v>0</v>
      </c>
      <c r="J813" t="s">
        <v>529</v>
      </c>
      <c r="L813" t="s">
        <v>702</v>
      </c>
      <c r="M813" t="s">
        <v>644</v>
      </c>
      <c r="N813" t="s">
        <v>465</v>
      </c>
    </row>
    <row r="814" spans="1:14" hidden="1" x14ac:dyDescent="0.25">
      <c r="A814" t="s">
        <v>532</v>
      </c>
      <c r="B814" t="s">
        <v>532</v>
      </c>
      <c r="C814" t="s">
        <v>407</v>
      </c>
      <c r="D814" s="3" t="s">
        <v>655</v>
      </c>
      <c r="E814" s="3" t="s">
        <v>655</v>
      </c>
      <c r="F814">
        <v>2</v>
      </c>
      <c r="G814" s="3">
        <f t="shared" si="39"/>
        <v>0</v>
      </c>
      <c r="H814" s="3">
        <f t="shared" si="40"/>
        <v>0</v>
      </c>
      <c r="I814" s="1">
        <f t="shared" si="38"/>
        <v>0</v>
      </c>
      <c r="J814" t="s">
        <v>541</v>
      </c>
      <c r="L814" t="s">
        <v>702</v>
      </c>
      <c r="M814" t="s">
        <v>644</v>
      </c>
      <c r="N814" t="s">
        <v>465</v>
      </c>
    </row>
    <row r="815" spans="1:14" hidden="1" x14ac:dyDescent="0.25">
      <c r="A815" t="s">
        <v>532</v>
      </c>
      <c r="B815" t="s">
        <v>532</v>
      </c>
      <c r="C815" t="s">
        <v>407</v>
      </c>
      <c r="D815" s="3" t="s">
        <v>655</v>
      </c>
      <c r="E815" s="3" t="s">
        <v>655</v>
      </c>
      <c r="F815">
        <v>100</v>
      </c>
      <c r="G815" s="3">
        <f t="shared" si="39"/>
        <v>0</v>
      </c>
      <c r="H815" s="3">
        <f t="shared" si="40"/>
        <v>0</v>
      </c>
      <c r="I815" s="1">
        <f t="shared" si="38"/>
        <v>0</v>
      </c>
      <c r="J815" t="s">
        <v>508</v>
      </c>
      <c r="L815" t="s">
        <v>381</v>
      </c>
      <c r="M815" t="s">
        <v>644</v>
      </c>
      <c r="N815" t="s">
        <v>465</v>
      </c>
    </row>
    <row r="816" spans="1:14" hidden="1" x14ac:dyDescent="0.25">
      <c r="A816" t="s">
        <v>532</v>
      </c>
      <c r="B816" t="s">
        <v>532</v>
      </c>
      <c r="C816" t="s">
        <v>407</v>
      </c>
      <c r="D816" s="3" t="s">
        <v>655</v>
      </c>
      <c r="E816" s="3" t="s">
        <v>655</v>
      </c>
      <c r="F816">
        <v>100</v>
      </c>
      <c r="G816" s="3">
        <f t="shared" si="39"/>
        <v>0</v>
      </c>
      <c r="H816" s="3">
        <f t="shared" si="40"/>
        <v>0</v>
      </c>
      <c r="I816" s="1">
        <f t="shared" si="38"/>
        <v>0</v>
      </c>
      <c r="J816" t="s">
        <v>541</v>
      </c>
      <c r="L816" t="s">
        <v>381</v>
      </c>
      <c r="M816" t="s">
        <v>644</v>
      </c>
      <c r="N816" t="s">
        <v>465</v>
      </c>
    </row>
    <row r="817" spans="1:14" hidden="1" x14ac:dyDescent="0.25">
      <c r="A817" t="s">
        <v>532</v>
      </c>
      <c r="B817" t="s">
        <v>532</v>
      </c>
      <c r="C817" t="s">
        <v>407</v>
      </c>
      <c r="D817" s="3" t="s">
        <v>655</v>
      </c>
      <c r="E817" s="3" t="s">
        <v>655</v>
      </c>
      <c r="F817">
        <v>10</v>
      </c>
      <c r="G817" s="3">
        <f t="shared" si="39"/>
        <v>0</v>
      </c>
      <c r="H817" s="3">
        <f t="shared" si="40"/>
        <v>0</v>
      </c>
      <c r="I817" s="1">
        <f t="shared" si="38"/>
        <v>0</v>
      </c>
      <c r="J817" t="s">
        <v>541</v>
      </c>
      <c r="L817" t="s">
        <v>672</v>
      </c>
      <c r="M817" t="s">
        <v>644</v>
      </c>
      <c r="N817" t="s">
        <v>465</v>
      </c>
    </row>
    <row r="818" spans="1:14" hidden="1" x14ac:dyDescent="0.25">
      <c r="A818" t="s">
        <v>532</v>
      </c>
      <c r="B818" t="s">
        <v>532</v>
      </c>
      <c r="C818" t="s">
        <v>407</v>
      </c>
      <c r="D818" s="3" t="s">
        <v>655</v>
      </c>
      <c r="E818" s="3" t="s">
        <v>655</v>
      </c>
      <c r="G818" s="3">
        <f t="shared" si="39"/>
        <v>0</v>
      </c>
      <c r="H818" s="3" t="e">
        <f t="shared" si="40"/>
        <v>#DIV/0!</v>
      </c>
      <c r="I818" s="1" t="e">
        <f t="shared" si="38"/>
        <v>#DIV/0!</v>
      </c>
      <c r="J818" t="s">
        <v>508</v>
      </c>
      <c r="L818" t="s">
        <v>679</v>
      </c>
      <c r="M818" t="s">
        <v>644</v>
      </c>
      <c r="N818" t="s">
        <v>465</v>
      </c>
    </row>
    <row r="819" spans="1:14" hidden="1" x14ac:dyDescent="0.25">
      <c r="A819" t="s">
        <v>703</v>
      </c>
      <c r="C819" t="s">
        <v>406</v>
      </c>
      <c r="D819" s="3" t="s">
        <v>403</v>
      </c>
      <c r="E819" s="3" t="s">
        <v>402</v>
      </c>
      <c r="F819">
        <v>15</v>
      </c>
      <c r="G819" s="3">
        <f t="shared" si="39"/>
        <v>0.14930555555555558</v>
      </c>
      <c r="H819" s="3">
        <f t="shared" si="40"/>
        <v>9.9537037037037059E-3</v>
      </c>
      <c r="I819" s="1">
        <f t="shared" si="38"/>
        <v>14</v>
      </c>
      <c r="J819" t="s">
        <v>404</v>
      </c>
      <c r="K819" t="s">
        <v>397</v>
      </c>
      <c r="L819" t="s">
        <v>115</v>
      </c>
      <c r="M819" t="s">
        <v>398</v>
      </c>
      <c r="N819" t="s">
        <v>500</v>
      </c>
    </row>
    <row r="820" spans="1:14" hidden="1" x14ac:dyDescent="0.25">
      <c r="A820" t="s">
        <v>703</v>
      </c>
      <c r="B820" t="s">
        <v>703</v>
      </c>
      <c r="C820" t="s">
        <v>406</v>
      </c>
      <c r="D820" s="3" t="s">
        <v>464</v>
      </c>
      <c r="E820" s="3" t="s">
        <v>492</v>
      </c>
      <c r="F820">
        <v>15</v>
      </c>
      <c r="G820" s="3">
        <f t="shared" si="39"/>
        <v>2.4305555555555469E-2</v>
      </c>
      <c r="H820" s="3">
        <f t="shared" si="40"/>
        <v>1.6203703703703647E-3</v>
      </c>
      <c r="I820" s="1">
        <f t="shared" si="38"/>
        <v>2</v>
      </c>
      <c r="J820" t="s">
        <v>435</v>
      </c>
      <c r="K820" t="s">
        <v>417</v>
      </c>
      <c r="L820" t="s">
        <v>121</v>
      </c>
      <c r="M820" t="s">
        <v>398</v>
      </c>
      <c r="N820" t="s">
        <v>399</v>
      </c>
    </row>
    <row r="821" spans="1:14" hidden="1" x14ac:dyDescent="0.25">
      <c r="A821" t="s">
        <v>703</v>
      </c>
      <c r="B821" t="s">
        <v>703</v>
      </c>
      <c r="C821" t="s">
        <v>406</v>
      </c>
      <c r="D821" s="3" t="s">
        <v>547</v>
      </c>
      <c r="E821" s="3" t="s">
        <v>443</v>
      </c>
      <c r="F821">
        <v>5</v>
      </c>
      <c r="G821" s="3">
        <f t="shared" si="39"/>
        <v>7.9861111111111105E-2</v>
      </c>
      <c r="H821" s="3">
        <f t="shared" si="40"/>
        <v>1.5972222222222221E-2</v>
      </c>
      <c r="I821" s="1">
        <f t="shared" si="38"/>
        <v>23</v>
      </c>
      <c r="J821" t="s">
        <v>432</v>
      </c>
      <c r="K821" t="s">
        <v>397</v>
      </c>
      <c r="L821" t="s">
        <v>103</v>
      </c>
      <c r="M821" t="s">
        <v>398</v>
      </c>
      <c r="N821" t="s">
        <v>465</v>
      </c>
    </row>
    <row r="822" spans="1:14" hidden="1" x14ac:dyDescent="0.25">
      <c r="A822" t="s">
        <v>703</v>
      </c>
      <c r="B822" t="s">
        <v>703</v>
      </c>
      <c r="C822" t="s">
        <v>393</v>
      </c>
      <c r="D822" s="3" t="s">
        <v>655</v>
      </c>
      <c r="E822" s="3" t="s">
        <v>655</v>
      </c>
      <c r="F822">
        <v>100</v>
      </c>
      <c r="G822" s="3">
        <f t="shared" si="39"/>
        <v>0</v>
      </c>
      <c r="H822" s="3">
        <f t="shared" si="40"/>
        <v>0</v>
      </c>
      <c r="I822" s="1">
        <f t="shared" si="38"/>
        <v>0</v>
      </c>
      <c r="J822" t="s">
        <v>560</v>
      </c>
      <c r="L822" t="s">
        <v>381</v>
      </c>
      <c r="M822" t="s">
        <v>644</v>
      </c>
      <c r="N822" t="s">
        <v>465</v>
      </c>
    </row>
    <row r="823" spans="1:14" hidden="1" x14ac:dyDescent="0.25">
      <c r="A823" t="s">
        <v>703</v>
      </c>
      <c r="B823" t="s">
        <v>703</v>
      </c>
      <c r="C823" t="s">
        <v>393</v>
      </c>
      <c r="D823" s="3" t="s">
        <v>655</v>
      </c>
      <c r="E823" s="3" t="s">
        <v>655</v>
      </c>
      <c r="F823">
        <v>10</v>
      </c>
      <c r="G823" s="3">
        <f t="shared" si="39"/>
        <v>0</v>
      </c>
      <c r="H823" s="3">
        <f t="shared" si="40"/>
        <v>0</v>
      </c>
      <c r="I823" s="1">
        <f t="shared" si="38"/>
        <v>0</v>
      </c>
      <c r="J823" t="s">
        <v>541</v>
      </c>
      <c r="L823" t="s">
        <v>672</v>
      </c>
      <c r="M823" t="s">
        <v>644</v>
      </c>
      <c r="N823" t="s">
        <v>465</v>
      </c>
    </row>
    <row r="824" spans="1:14" hidden="1" x14ac:dyDescent="0.25">
      <c r="A824" t="s">
        <v>704</v>
      </c>
      <c r="B824" t="s">
        <v>704</v>
      </c>
      <c r="C824" t="s">
        <v>400</v>
      </c>
      <c r="D824" s="3" t="s">
        <v>416</v>
      </c>
      <c r="E824" s="3" t="s">
        <v>431</v>
      </c>
      <c r="F824">
        <v>15</v>
      </c>
      <c r="G824" s="3">
        <f t="shared" si="39"/>
        <v>0.14930555555555558</v>
      </c>
      <c r="H824" s="3">
        <f t="shared" si="40"/>
        <v>9.9537037037037059E-3</v>
      </c>
      <c r="I824" s="1">
        <f t="shared" si="38"/>
        <v>14</v>
      </c>
      <c r="J824" t="s">
        <v>429</v>
      </c>
      <c r="K824" t="s">
        <v>417</v>
      </c>
      <c r="L824" t="s">
        <v>119</v>
      </c>
      <c r="M824" t="s">
        <v>398</v>
      </c>
      <c r="N824" t="s">
        <v>399</v>
      </c>
    </row>
    <row r="825" spans="1:14" hidden="1" x14ac:dyDescent="0.25">
      <c r="A825" t="s">
        <v>704</v>
      </c>
      <c r="B825" t="s">
        <v>704</v>
      </c>
      <c r="C825" t="s">
        <v>406</v>
      </c>
      <c r="D825" s="3" t="s">
        <v>655</v>
      </c>
      <c r="E825" s="3" t="s">
        <v>655</v>
      </c>
      <c r="F825">
        <v>100</v>
      </c>
      <c r="G825" s="3">
        <f t="shared" si="39"/>
        <v>0</v>
      </c>
      <c r="H825" s="3">
        <f t="shared" si="40"/>
        <v>0</v>
      </c>
      <c r="I825" s="1">
        <f t="shared" si="38"/>
        <v>0</v>
      </c>
      <c r="J825" t="s">
        <v>541</v>
      </c>
      <c r="L825" t="s">
        <v>381</v>
      </c>
      <c r="M825" t="s">
        <v>644</v>
      </c>
      <c r="N825" t="s">
        <v>465</v>
      </c>
    </row>
    <row r="826" spans="1:14" hidden="1" x14ac:dyDescent="0.25">
      <c r="A826" t="s">
        <v>704</v>
      </c>
      <c r="B826" t="s">
        <v>704</v>
      </c>
      <c r="C826" t="s">
        <v>406</v>
      </c>
      <c r="D826" s="3" t="s">
        <v>655</v>
      </c>
      <c r="E826" s="3" t="s">
        <v>655</v>
      </c>
      <c r="F826">
        <v>100</v>
      </c>
      <c r="G826" s="3">
        <f t="shared" si="39"/>
        <v>0</v>
      </c>
      <c r="H826" s="3">
        <f t="shared" si="40"/>
        <v>0</v>
      </c>
      <c r="I826" s="1">
        <f t="shared" si="38"/>
        <v>0</v>
      </c>
      <c r="J826" t="s">
        <v>529</v>
      </c>
      <c r="L826" t="s">
        <v>381</v>
      </c>
      <c r="M826" t="s">
        <v>644</v>
      </c>
      <c r="N826" t="s">
        <v>465</v>
      </c>
    </row>
    <row r="827" spans="1:14" hidden="1" x14ac:dyDescent="0.25">
      <c r="A827" t="s">
        <v>704</v>
      </c>
      <c r="B827" t="s">
        <v>704</v>
      </c>
      <c r="C827" t="s">
        <v>406</v>
      </c>
      <c r="D827" s="3" t="s">
        <v>655</v>
      </c>
      <c r="E827" s="3" t="s">
        <v>655</v>
      </c>
      <c r="F827">
        <v>10</v>
      </c>
      <c r="G827" s="3">
        <f t="shared" si="39"/>
        <v>0</v>
      </c>
      <c r="H827" s="3">
        <f t="shared" si="40"/>
        <v>0</v>
      </c>
      <c r="I827" s="1">
        <f t="shared" si="38"/>
        <v>0</v>
      </c>
      <c r="J827" t="s">
        <v>541</v>
      </c>
      <c r="L827" t="s">
        <v>672</v>
      </c>
      <c r="M827" t="s">
        <v>644</v>
      </c>
      <c r="N827" t="s">
        <v>465</v>
      </c>
    </row>
    <row r="828" spans="1:14" hidden="1" x14ac:dyDescent="0.25">
      <c r="A828" t="s">
        <v>704</v>
      </c>
      <c r="B828" t="s">
        <v>704</v>
      </c>
      <c r="C828" t="s">
        <v>406</v>
      </c>
      <c r="D828" s="3" t="s">
        <v>655</v>
      </c>
      <c r="E828" s="3" t="s">
        <v>655</v>
      </c>
      <c r="F828">
        <v>100</v>
      </c>
      <c r="G828" s="3">
        <f t="shared" si="39"/>
        <v>0</v>
      </c>
      <c r="H828" s="3">
        <f t="shared" si="40"/>
        <v>0</v>
      </c>
      <c r="I828" s="1">
        <f t="shared" si="38"/>
        <v>0</v>
      </c>
      <c r="J828" t="s">
        <v>541</v>
      </c>
      <c r="L828" t="s">
        <v>381</v>
      </c>
      <c r="M828" t="s">
        <v>644</v>
      </c>
      <c r="N828" t="s">
        <v>465</v>
      </c>
    </row>
    <row r="829" spans="1:14" hidden="1" x14ac:dyDescent="0.25">
      <c r="A829" t="s">
        <v>704</v>
      </c>
      <c r="B829" t="s">
        <v>704</v>
      </c>
      <c r="C829" t="s">
        <v>406</v>
      </c>
      <c r="D829" s="3" t="s">
        <v>655</v>
      </c>
      <c r="E829" s="3" t="s">
        <v>655</v>
      </c>
      <c r="F829">
        <v>100</v>
      </c>
      <c r="G829" s="3">
        <f t="shared" si="39"/>
        <v>0</v>
      </c>
      <c r="H829" s="3">
        <f t="shared" si="40"/>
        <v>0</v>
      </c>
      <c r="I829" s="1">
        <f t="shared" si="38"/>
        <v>0</v>
      </c>
      <c r="J829" t="s">
        <v>529</v>
      </c>
      <c r="L829" t="s">
        <v>381</v>
      </c>
      <c r="M829" t="s">
        <v>644</v>
      </c>
      <c r="N829" t="s">
        <v>465</v>
      </c>
    </row>
    <row r="830" spans="1:14" hidden="1" x14ac:dyDescent="0.25">
      <c r="A830" t="s">
        <v>704</v>
      </c>
      <c r="B830" t="s">
        <v>704</v>
      </c>
      <c r="C830" t="s">
        <v>406</v>
      </c>
      <c r="D830" s="3" t="s">
        <v>655</v>
      </c>
      <c r="E830" s="3" t="s">
        <v>655</v>
      </c>
      <c r="F830">
        <v>30</v>
      </c>
      <c r="G830" s="3">
        <f t="shared" si="39"/>
        <v>0</v>
      </c>
      <c r="H830" s="3">
        <f t="shared" si="40"/>
        <v>0</v>
      </c>
      <c r="I830" s="1">
        <f t="shared" si="38"/>
        <v>0</v>
      </c>
      <c r="J830" t="s">
        <v>529</v>
      </c>
      <c r="L830" t="s">
        <v>509</v>
      </c>
      <c r="M830" t="s">
        <v>644</v>
      </c>
      <c r="N830" t="s">
        <v>465</v>
      </c>
    </row>
    <row r="831" spans="1:14" hidden="1" x14ac:dyDescent="0.25">
      <c r="A831" t="s">
        <v>705</v>
      </c>
      <c r="B831" t="s">
        <v>506</v>
      </c>
      <c r="C831" t="s">
        <v>422</v>
      </c>
      <c r="D831" s="3" t="s">
        <v>403</v>
      </c>
      <c r="E831" s="3" t="s">
        <v>424</v>
      </c>
      <c r="F831">
        <v>20</v>
      </c>
      <c r="G831" s="3">
        <f t="shared" si="39"/>
        <v>0.2361111111111111</v>
      </c>
      <c r="H831" s="3">
        <f t="shared" si="40"/>
        <v>1.1805555555555555E-2</v>
      </c>
      <c r="I831" s="1">
        <f t="shared" si="38"/>
        <v>17</v>
      </c>
      <c r="J831" t="s">
        <v>396</v>
      </c>
      <c r="K831" t="s">
        <v>397</v>
      </c>
      <c r="L831" t="s">
        <v>355</v>
      </c>
      <c r="M831" t="s">
        <v>398</v>
      </c>
      <c r="N831" t="s">
        <v>405</v>
      </c>
    </row>
    <row r="832" spans="1:14" hidden="1" x14ac:dyDescent="0.25">
      <c r="A832" t="s">
        <v>705</v>
      </c>
      <c r="B832" t="s">
        <v>507</v>
      </c>
      <c r="C832" t="s">
        <v>422</v>
      </c>
      <c r="D832" s="3" t="s">
        <v>403</v>
      </c>
      <c r="E832" s="3" t="s">
        <v>441</v>
      </c>
      <c r="F832">
        <v>5</v>
      </c>
      <c r="G832" s="3">
        <f t="shared" si="39"/>
        <v>0.41319444444444448</v>
      </c>
      <c r="H832" s="3">
        <f t="shared" si="40"/>
        <v>8.2638888888888901E-2</v>
      </c>
      <c r="I832" s="1">
        <f t="shared" si="38"/>
        <v>59</v>
      </c>
      <c r="J832" t="s">
        <v>463</v>
      </c>
      <c r="K832" t="s">
        <v>397</v>
      </c>
      <c r="L832" t="s">
        <v>360</v>
      </c>
      <c r="M832" t="s">
        <v>398</v>
      </c>
      <c r="N832" t="s">
        <v>465</v>
      </c>
    </row>
    <row r="833" spans="1:14" hidden="1" x14ac:dyDescent="0.25">
      <c r="A833" t="s">
        <v>705</v>
      </c>
      <c r="B833" t="s">
        <v>705</v>
      </c>
      <c r="C833" t="s">
        <v>422</v>
      </c>
      <c r="D833" s="3" t="s">
        <v>403</v>
      </c>
      <c r="E833" s="3" t="s">
        <v>441</v>
      </c>
      <c r="F833">
        <v>5</v>
      </c>
      <c r="G833" s="3">
        <f t="shared" si="39"/>
        <v>0.41319444444444448</v>
      </c>
      <c r="H833" s="3">
        <f t="shared" si="40"/>
        <v>8.2638888888888901E-2</v>
      </c>
      <c r="I833" s="1">
        <f t="shared" si="38"/>
        <v>59</v>
      </c>
      <c r="J833" t="s">
        <v>463</v>
      </c>
      <c r="K833" t="s">
        <v>397</v>
      </c>
      <c r="L833" t="s">
        <v>98</v>
      </c>
      <c r="M833" t="s">
        <v>398</v>
      </c>
      <c r="N833" t="s">
        <v>465</v>
      </c>
    </row>
    <row r="834" spans="1:14" hidden="1" x14ac:dyDescent="0.25">
      <c r="A834" t="s">
        <v>705</v>
      </c>
      <c r="B834" t="s">
        <v>506</v>
      </c>
      <c r="C834" t="s">
        <v>422</v>
      </c>
      <c r="D834" s="3" t="s">
        <v>419</v>
      </c>
      <c r="E834" s="3" t="s">
        <v>410</v>
      </c>
      <c r="F834">
        <v>10</v>
      </c>
      <c r="G834" s="3">
        <f t="shared" si="39"/>
        <v>6.5972222222222265E-2</v>
      </c>
      <c r="H834" s="3">
        <f t="shared" si="40"/>
        <v>6.5972222222222265E-3</v>
      </c>
      <c r="I834" s="1">
        <f t="shared" si="38"/>
        <v>9</v>
      </c>
      <c r="J834" t="s">
        <v>429</v>
      </c>
      <c r="K834" t="s">
        <v>397</v>
      </c>
      <c r="L834" t="s">
        <v>113</v>
      </c>
      <c r="M834" t="s">
        <v>398</v>
      </c>
      <c r="N834" t="s">
        <v>399</v>
      </c>
    </row>
    <row r="835" spans="1:14" hidden="1" x14ac:dyDescent="0.25">
      <c r="A835" t="s">
        <v>705</v>
      </c>
      <c r="B835" t="s">
        <v>705</v>
      </c>
      <c r="C835" t="s">
        <v>422</v>
      </c>
      <c r="D835" s="3" t="s">
        <v>411</v>
      </c>
      <c r="E835" s="3" t="s">
        <v>572</v>
      </c>
      <c r="F835">
        <v>10</v>
      </c>
      <c r="G835" s="3">
        <f t="shared" si="39"/>
        <v>0.1076388888888889</v>
      </c>
      <c r="H835" s="3">
        <f t="shared" si="40"/>
        <v>1.0763888888888889E-2</v>
      </c>
      <c r="I835" s="1">
        <f t="shared" ref="I835:I898" si="41">MINUTE(H835)</f>
        <v>15</v>
      </c>
      <c r="J835" t="s">
        <v>432</v>
      </c>
      <c r="K835" t="s">
        <v>397</v>
      </c>
      <c r="L835" t="s">
        <v>333</v>
      </c>
      <c r="M835" t="s">
        <v>398</v>
      </c>
      <c r="N835" t="s">
        <v>405</v>
      </c>
    </row>
    <row r="836" spans="1:14" hidden="1" x14ac:dyDescent="0.25">
      <c r="A836" t="s">
        <v>705</v>
      </c>
      <c r="B836" t="s">
        <v>705</v>
      </c>
      <c r="C836" t="s">
        <v>422</v>
      </c>
      <c r="D836" s="3" t="s">
        <v>486</v>
      </c>
      <c r="E836" s="3" t="s">
        <v>451</v>
      </c>
      <c r="F836">
        <v>15</v>
      </c>
      <c r="G836" s="3">
        <f t="shared" ref="G836:G899" si="42">(E836-D836)</f>
        <v>0.14930555555555552</v>
      </c>
      <c r="H836" s="3">
        <f t="shared" ref="H836:H899" si="43">G836/F836</f>
        <v>9.9537037037037025E-3</v>
      </c>
      <c r="I836" s="1">
        <f t="shared" si="41"/>
        <v>14</v>
      </c>
      <c r="J836" t="s">
        <v>458</v>
      </c>
      <c r="K836" t="s">
        <v>397</v>
      </c>
      <c r="L836" t="s">
        <v>314</v>
      </c>
      <c r="M836" t="s">
        <v>398</v>
      </c>
      <c r="N836" t="s">
        <v>405</v>
      </c>
    </row>
    <row r="837" spans="1:14" hidden="1" x14ac:dyDescent="0.25">
      <c r="A837" t="s">
        <v>705</v>
      </c>
      <c r="B837" t="s">
        <v>705</v>
      </c>
      <c r="C837" t="s">
        <v>422</v>
      </c>
      <c r="D837" s="3" t="s">
        <v>453</v>
      </c>
      <c r="E837" s="3" t="s">
        <v>418</v>
      </c>
      <c r="F837">
        <v>15</v>
      </c>
      <c r="G837" s="3">
        <f t="shared" si="42"/>
        <v>6.597222222222221E-2</v>
      </c>
      <c r="H837" s="3">
        <f t="shared" si="43"/>
        <v>4.3981481481481476E-3</v>
      </c>
      <c r="I837" s="1">
        <f t="shared" si="41"/>
        <v>6</v>
      </c>
      <c r="J837" t="s">
        <v>474</v>
      </c>
      <c r="K837" t="s">
        <v>417</v>
      </c>
      <c r="L837" t="s">
        <v>314</v>
      </c>
      <c r="M837" t="s">
        <v>398</v>
      </c>
      <c r="N837" t="s">
        <v>465</v>
      </c>
    </row>
    <row r="838" spans="1:14" hidden="1" x14ac:dyDescent="0.25">
      <c r="A838" t="s">
        <v>705</v>
      </c>
      <c r="B838" t="s">
        <v>705</v>
      </c>
      <c r="C838" t="s">
        <v>422</v>
      </c>
      <c r="D838" s="3" t="s">
        <v>411</v>
      </c>
      <c r="E838" s="3" t="s">
        <v>546</v>
      </c>
      <c r="F838">
        <v>10</v>
      </c>
      <c r="G838" s="3">
        <f t="shared" si="42"/>
        <v>7.6388888888888895E-2</v>
      </c>
      <c r="H838" s="3">
        <f t="shared" si="43"/>
        <v>7.6388888888888895E-3</v>
      </c>
      <c r="I838" s="1">
        <f t="shared" si="41"/>
        <v>11</v>
      </c>
      <c r="J838" t="s">
        <v>429</v>
      </c>
      <c r="K838" t="s">
        <v>397</v>
      </c>
      <c r="L838" t="s">
        <v>113</v>
      </c>
      <c r="M838" t="s">
        <v>398</v>
      </c>
      <c r="N838" t="s">
        <v>399</v>
      </c>
    </row>
    <row r="839" spans="1:14" hidden="1" x14ac:dyDescent="0.25">
      <c r="A839" t="s">
        <v>705</v>
      </c>
      <c r="B839" t="s">
        <v>705</v>
      </c>
      <c r="C839" t="s">
        <v>422</v>
      </c>
      <c r="D839" s="3" t="s">
        <v>419</v>
      </c>
      <c r="E839" s="3" t="s">
        <v>445</v>
      </c>
      <c r="F839">
        <v>15</v>
      </c>
      <c r="G839" s="3">
        <f t="shared" si="42"/>
        <v>0.125</v>
      </c>
      <c r="H839" s="3">
        <f t="shared" si="43"/>
        <v>8.3333333333333332E-3</v>
      </c>
      <c r="I839" s="1">
        <f t="shared" si="41"/>
        <v>12</v>
      </c>
      <c r="J839" t="s">
        <v>593</v>
      </c>
      <c r="K839" t="s">
        <v>397</v>
      </c>
      <c r="L839" t="s">
        <v>113</v>
      </c>
      <c r="M839" t="s">
        <v>398</v>
      </c>
      <c r="N839" t="s">
        <v>399</v>
      </c>
    </row>
    <row r="840" spans="1:14" hidden="1" x14ac:dyDescent="0.25">
      <c r="A840" t="s">
        <v>705</v>
      </c>
      <c r="B840" t="s">
        <v>705</v>
      </c>
      <c r="C840" t="s">
        <v>400</v>
      </c>
      <c r="D840" s="3" t="s">
        <v>655</v>
      </c>
      <c r="E840" s="3" t="s">
        <v>655</v>
      </c>
      <c r="G840" s="3">
        <f t="shared" si="42"/>
        <v>0</v>
      </c>
      <c r="H840" s="3" t="e">
        <f t="shared" si="43"/>
        <v>#DIV/0!</v>
      </c>
      <c r="I840" s="1" t="e">
        <f t="shared" si="41"/>
        <v>#DIV/0!</v>
      </c>
      <c r="J840" t="s">
        <v>508</v>
      </c>
      <c r="L840" t="s">
        <v>688</v>
      </c>
      <c r="M840" t="s">
        <v>644</v>
      </c>
      <c r="N840" t="s">
        <v>447</v>
      </c>
    </row>
    <row r="841" spans="1:14" hidden="1" x14ac:dyDescent="0.25">
      <c r="A841" t="s">
        <v>705</v>
      </c>
      <c r="B841" t="s">
        <v>705</v>
      </c>
      <c r="C841" t="s">
        <v>400</v>
      </c>
      <c r="D841" s="3" t="s">
        <v>655</v>
      </c>
      <c r="E841" s="3" t="s">
        <v>655</v>
      </c>
      <c r="F841">
        <v>103</v>
      </c>
      <c r="G841" s="3">
        <f t="shared" si="42"/>
        <v>0</v>
      </c>
      <c r="H841" s="3">
        <f t="shared" si="43"/>
        <v>0</v>
      </c>
      <c r="I841" s="1">
        <f t="shared" si="41"/>
        <v>0</v>
      </c>
      <c r="J841" t="s">
        <v>529</v>
      </c>
      <c r="L841" t="s">
        <v>381</v>
      </c>
      <c r="M841" t="s">
        <v>644</v>
      </c>
      <c r="N841" t="s">
        <v>447</v>
      </c>
    </row>
    <row r="842" spans="1:14" hidden="1" x14ac:dyDescent="0.25">
      <c r="A842" t="s">
        <v>705</v>
      </c>
      <c r="B842" t="s">
        <v>705</v>
      </c>
      <c r="C842" t="s">
        <v>400</v>
      </c>
      <c r="D842" s="3" t="s">
        <v>655</v>
      </c>
      <c r="E842" s="3" t="s">
        <v>655</v>
      </c>
      <c r="F842">
        <v>10</v>
      </c>
      <c r="G842" s="3">
        <f t="shared" si="42"/>
        <v>0</v>
      </c>
      <c r="H842" s="3">
        <f t="shared" si="43"/>
        <v>0</v>
      </c>
      <c r="I842" s="1">
        <f t="shared" si="41"/>
        <v>0</v>
      </c>
      <c r="J842" t="s">
        <v>529</v>
      </c>
      <c r="L842" t="s">
        <v>672</v>
      </c>
      <c r="M842" t="s">
        <v>644</v>
      </c>
      <c r="N842" t="s">
        <v>465</v>
      </c>
    </row>
    <row r="843" spans="1:14" hidden="1" x14ac:dyDescent="0.25">
      <c r="A843" t="s">
        <v>705</v>
      </c>
      <c r="B843" t="s">
        <v>705</v>
      </c>
      <c r="C843" t="s">
        <v>400</v>
      </c>
      <c r="D843" s="3" t="s">
        <v>655</v>
      </c>
      <c r="E843" s="3" t="s">
        <v>655</v>
      </c>
      <c r="F843">
        <v>10</v>
      </c>
      <c r="G843" s="3">
        <f t="shared" si="42"/>
        <v>0</v>
      </c>
      <c r="H843" s="3">
        <f t="shared" si="43"/>
        <v>0</v>
      </c>
      <c r="I843" s="1">
        <f t="shared" si="41"/>
        <v>0</v>
      </c>
      <c r="J843" t="s">
        <v>541</v>
      </c>
      <c r="L843" t="s">
        <v>672</v>
      </c>
      <c r="M843" t="s">
        <v>644</v>
      </c>
      <c r="N843" t="s">
        <v>465</v>
      </c>
    </row>
    <row r="844" spans="1:14" hidden="1" x14ac:dyDescent="0.25">
      <c r="A844" t="s">
        <v>706</v>
      </c>
      <c r="B844" t="s">
        <v>706</v>
      </c>
      <c r="C844" t="s">
        <v>491</v>
      </c>
      <c r="D844" s="3" t="s">
        <v>403</v>
      </c>
      <c r="E844" s="3" t="s">
        <v>438</v>
      </c>
      <c r="F844">
        <v>5</v>
      </c>
      <c r="G844" s="3">
        <f t="shared" si="42"/>
        <v>0.37152777777777785</v>
      </c>
      <c r="H844" s="3">
        <f t="shared" si="43"/>
        <v>7.4305555555555569E-2</v>
      </c>
      <c r="I844" s="1">
        <f t="shared" si="41"/>
        <v>47</v>
      </c>
      <c r="J844" t="s">
        <v>463</v>
      </c>
      <c r="K844" t="s">
        <v>397</v>
      </c>
      <c r="L844" t="s">
        <v>347</v>
      </c>
      <c r="M844" t="s">
        <v>398</v>
      </c>
      <c r="N844" t="s">
        <v>465</v>
      </c>
    </row>
    <row r="845" spans="1:14" hidden="1" x14ac:dyDescent="0.25">
      <c r="A845" t="s">
        <v>574</v>
      </c>
      <c r="B845" t="s">
        <v>456</v>
      </c>
      <c r="C845" t="s">
        <v>401</v>
      </c>
      <c r="D845" s="3" t="s">
        <v>411</v>
      </c>
      <c r="E845" s="3" t="s">
        <v>428</v>
      </c>
      <c r="F845">
        <v>15</v>
      </c>
      <c r="G845" s="3">
        <f t="shared" si="42"/>
        <v>0.44097222222222215</v>
      </c>
      <c r="H845" s="3">
        <f t="shared" si="43"/>
        <v>2.9398148148148142E-2</v>
      </c>
      <c r="I845" s="1">
        <f t="shared" si="41"/>
        <v>42</v>
      </c>
      <c r="J845" t="s">
        <v>455</v>
      </c>
      <c r="K845" t="s">
        <v>397</v>
      </c>
      <c r="L845" t="s">
        <v>119</v>
      </c>
      <c r="M845" t="s">
        <v>398</v>
      </c>
      <c r="N845" t="s">
        <v>399</v>
      </c>
    </row>
    <row r="846" spans="1:14" hidden="1" x14ac:dyDescent="0.25">
      <c r="A846" t="s">
        <v>574</v>
      </c>
      <c r="B846" t="s">
        <v>690</v>
      </c>
      <c r="C846" t="s">
        <v>401</v>
      </c>
      <c r="D846" s="3" t="s">
        <v>505</v>
      </c>
      <c r="E846" s="3" t="s">
        <v>492</v>
      </c>
      <c r="F846">
        <v>30</v>
      </c>
      <c r="G846" s="3">
        <f t="shared" si="42"/>
        <v>0.14930555555555547</v>
      </c>
      <c r="H846" s="3">
        <f t="shared" si="43"/>
        <v>4.9768518518518486E-3</v>
      </c>
      <c r="I846" s="1">
        <f t="shared" si="41"/>
        <v>7</v>
      </c>
      <c r="J846" t="s">
        <v>429</v>
      </c>
      <c r="K846" t="s">
        <v>417</v>
      </c>
      <c r="L846" t="s">
        <v>109</v>
      </c>
      <c r="M846" t="s">
        <v>398</v>
      </c>
      <c r="N846" t="s">
        <v>399</v>
      </c>
    </row>
    <row r="847" spans="1:14" hidden="1" x14ac:dyDescent="0.25">
      <c r="A847" t="s">
        <v>574</v>
      </c>
      <c r="B847" t="s">
        <v>574</v>
      </c>
      <c r="C847" t="s">
        <v>401</v>
      </c>
      <c r="D847" s="3" t="s">
        <v>482</v>
      </c>
      <c r="E847" s="3" t="s">
        <v>707</v>
      </c>
      <c r="F847">
        <v>15</v>
      </c>
      <c r="G847" s="3">
        <f t="shared" si="42"/>
        <v>2.430555555555558E-2</v>
      </c>
      <c r="H847" s="3">
        <f t="shared" si="43"/>
        <v>1.6203703703703721E-3</v>
      </c>
      <c r="I847" s="1">
        <f t="shared" si="41"/>
        <v>2</v>
      </c>
      <c r="J847" t="s">
        <v>435</v>
      </c>
      <c r="K847" t="s">
        <v>483</v>
      </c>
      <c r="L847" t="s">
        <v>319</v>
      </c>
      <c r="M847" t="s">
        <v>398</v>
      </c>
      <c r="N847" t="s">
        <v>500</v>
      </c>
    </row>
    <row r="848" spans="1:14" hidden="1" x14ac:dyDescent="0.25">
      <c r="A848" t="s">
        <v>574</v>
      </c>
      <c r="B848" t="s">
        <v>574</v>
      </c>
      <c r="C848" t="s">
        <v>491</v>
      </c>
      <c r="D848" s="3" t="s">
        <v>655</v>
      </c>
      <c r="E848" s="3" t="s">
        <v>655</v>
      </c>
      <c r="F848">
        <v>11</v>
      </c>
      <c r="G848" s="3">
        <f t="shared" si="42"/>
        <v>0</v>
      </c>
      <c r="H848" s="3">
        <f t="shared" si="43"/>
        <v>0</v>
      </c>
      <c r="I848" s="1">
        <f t="shared" si="41"/>
        <v>0</v>
      </c>
      <c r="J848" t="s">
        <v>541</v>
      </c>
      <c r="L848" t="s">
        <v>381</v>
      </c>
      <c r="M848" t="s">
        <v>644</v>
      </c>
      <c r="N848" t="s">
        <v>465</v>
      </c>
    </row>
    <row r="849" spans="1:14" hidden="1" x14ac:dyDescent="0.25">
      <c r="A849" t="s">
        <v>574</v>
      </c>
      <c r="B849" t="s">
        <v>574</v>
      </c>
      <c r="C849" t="s">
        <v>491</v>
      </c>
      <c r="D849" s="3" t="s">
        <v>655</v>
      </c>
      <c r="E849" s="3" t="s">
        <v>655</v>
      </c>
      <c r="G849" s="3">
        <f t="shared" si="42"/>
        <v>0</v>
      </c>
      <c r="H849" s="3" t="e">
        <f t="shared" si="43"/>
        <v>#DIV/0!</v>
      </c>
      <c r="I849" s="1" t="e">
        <f t="shared" si="41"/>
        <v>#DIV/0!</v>
      </c>
      <c r="J849" t="s">
        <v>508</v>
      </c>
      <c r="L849" t="s">
        <v>679</v>
      </c>
      <c r="M849" t="s">
        <v>644</v>
      </c>
      <c r="N849" t="s">
        <v>465</v>
      </c>
    </row>
    <row r="850" spans="1:14" hidden="1" x14ac:dyDescent="0.25">
      <c r="A850" t="s">
        <v>574</v>
      </c>
      <c r="B850" t="s">
        <v>574</v>
      </c>
      <c r="C850" t="s">
        <v>491</v>
      </c>
      <c r="D850" s="3" t="s">
        <v>655</v>
      </c>
      <c r="E850" s="3" t="s">
        <v>655</v>
      </c>
      <c r="F850">
        <v>10</v>
      </c>
      <c r="G850" s="3">
        <f t="shared" si="42"/>
        <v>0</v>
      </c>
      <c r="H850" s="3">
        <f t="shared" si="43"/>
        <v>0</v>
      </c>
      <c r="I850" s="1">
        <f t="shared" si="41"/>
        <v>0</v>
      </c>
      <c r="J850" t="s">
        <v>529</v>
      </c>
      <c r="L850" t="s">
        <v>672</v>
      </c>
      <c r="M850" t="s">
        <v>644</v>
      </c>
      <c r="N850" t="s">
        <v>465</v>
      </c>
    </row>
    <row r="851" spans="1:14" hidden="1" x14ac:dyDescent="0.25">
      <c r="A851" t="s">
        <v>576</v>
      </c>
      <c r="C851" t="s">
        <v>407</v>
      </c>
      <c r="D851" s="3" t="s">
        <v>416</v>
      </c>
      <c r="E851" s="3" t="s">
        <v>441</v>
      </c>
      <c r="F851">
        <v>5</v>
      </c>
      <c r="G851" s="3">
        <f t="shared" si="42"/>
        <v>0.20486111111111116</v>
      </c>
      <c r="H851" s="3">
        <f t="shared" si="43"/>
        <v>4.0972222222222229E-2</v>
      </c>
      <c r="I851" s="1">
        <f t="shared" si="41"/>
        <v>59</v>
      </c>
      <c r="J851" t="s">
        <v>409</v>
      </c>
      <c r="K851" t="s">
        <v>417</v>
      </c>
      <c r="L851" t="s">
        <v>111</v>
      </c>
      <c r="M851" t="s">
        <v>398</v>
      </c>
      <c r="N851" t="s">
        <v>433</v>
      </c>
    </row>
    <row r="852" spans="1:14" hidden="1" x14ac:dyDescent="0.25">
      <c r="A852" t="s">
        <v>576</v>
      </c>
      <c r="C852" t="s">
        <v>407</v>
      </c>
      <c r="D852" s="3" t="s">
        <v>403</v>
      </c>
      <c r="E852" s="3" t="s">
        <v>454</v>
      </c>
      <c r="F852">
        <v>10</v>
      </c>
      <c r="G852" s="3">
        <f t="shared" si="42"/>
        <v>0.27430555555555564</v>
      </c>
      <c r="H852" s="3">
        <f t="shared" si="43"/>
        <v>2.7430555555555562E-2</v>
      </c>
      <c r="I852" s="1">
        <f t="shared" si="41"/>
        <v>39</v>
      </c>
      <c r="J852" t="s">
        <v>497</v>
      </c>
      <c r="K852" t="s">
        <v>397</v>
      </c>
      <c r="L852" t="s">
        <v>110</v>
      </c>
      <c r="M852" t="s">
        <v>398</v>
      </c>
      <c r="N852" t="s">
        <v>447</v>
      </c>
    </row>
    <row r="853" spans="1:14" hidden="1" x14ac:dyDescent="0.25">
      <c r="A853" t="s">
        <v>576</v>
      </c>
      <c r="B853" t="s">
        <v>434</v>
      </c>
      <c r="C853" t="s">
        <v>407</v>
      </c>
      <c r="D853" s="3" t="s">
        <v>403</v>
      </c>
      <c r="E853" s="3" t="s">
        <v>441</v>
      </c>
      <c r="F853">
        <v>5</v>
      </c>
      <c r="G853" s="3">
        <f t="shared" si="42"/>
        <v>0.41319444444444448</v>
      </c>
      <c r="H853" s="3">
        <f t="shared" si="43"/>
        <v>8.2638888888888901E-2</v>
      </c>
      <c r="I853" s="1">
        <f t="shared" si="41"/>
        <v>59</v>
      </c>
      <c r="J853" t="s">
        <v>470</v>
      </c>
      <c r="K853" t="s">
        <v>397</v>
      </c>
      <c r="L853" t="s">
        <v>95</v>
      </c>
      <c r="M853" t="s">
        <v>398</v>
      </c>
      <c r="N853" t="s">
        <v>465</v>
      </c>
    </row>
    <row r="854" spans="1:14" hidden="1" x14ac:dyDescent="0.25">
      <c r="A854" t="s">
        <v>576</v>
      </c>
      <c r="B854" t="s">
        <v>448</v>
      </c>
      <c r="C854" t="s">
        <v>407</v>
      </c>
      <c r="D854" s="3" t="s">
        <v>416</v>
      </c>
      <c r="E854" s="3" t="s">
        <v>428</v>
      </c>
      <c r="F854">
        <v>15</v>
      </c>
      <c r="G854" s="3">
        <f t="shared" si="42"/>
        <v>0.19097222222222221</v>
      </c>
      <c r="H854" s="3">
        <f t="shared" si="43"/>
        <v>1.2731481481481481E-2</v>
      </c>
      <c r="I854" s="1">
        <f t="shared" si="41"/>
        <v>18</v>
      </c>
      <c r="J854" t="s">
        <v>420</v>
      </c>
      <c r="K854" t="s">
        <v>417</v>
      </c>
      <c r="L854" t="s">
        <v>136</v>
      </c>
      <c r="M854" t="s">
        <v>398</v>
      </c>
      <c r="N854" t="s">
        <v>405</v>
      </c>
    </row>
    <row r="855" spans="1:14" hidden="1" x14ac:dyDescent="0.25">
      <c r="A855" t="s">
        <v>576</v>
      </c>
      <c r="B855" t="s">
        <v>576</v>
      </c>
      <c r="C855" t="s">
        <v>407</v>
      </c>
      <c r="D855" s="3" t="s">
        <v>411</v>
      </c>
      <c r="E855" s="3" t="s">
        <v>445</v>
      </c>
      <c r="F855">
        <v>10</v>
      </c>
      <c r="G855" s="3">
        <f t="shared" si="42"/>
        <v>0.20833333333333331</v>
      </c>
      <c r="H855" s="3">
        <f t="shared" si="43"/>
        <v>2.0833333333333332E-2</v>
      </c>
      <c r="I855" s="1">
        <f t="shared" si="41"/>
        <v>30</v>
      </c>
      <c r="J855" t="s">
        <v>429</v>
      </c>
      <c r="K855" t="s">
        <v>397</v>
      </c>
      <c r="L855" t="s">
        <v>136</v>
      </c>
      <c r="M855" t="s">
        <v>398</v>
      </c>
      <c r="N855" t="s">
        <v>399</v>
      </c>
    </row>
    <row r="856" spans="1:14" hidden="1" x14ac:dyDescent="0.25">
      <c r="A856" t="s">
        <v>576</v>
      </c>
      <c r="B856" t="s">
        <v>576</v>
      </c>
      <c r="C856" t="s">
        <v>407</v>
      </c>
      <c r="D856" s="3" t="s">
        <v>416</v>
      </c>
      <c r="E856" s="3" t="s">
        <v>464</v>
      </c>
      <c r="F856">
        <v>15</v>
      </c>
      <c r="G856" s="3">
        <f t="shared" si="42"/>
        <v>0.20833333333333337</v>
      </c>
      <c r="H856" s="3">
        <f t="shared" si="43"/>
        <v>1.3888888888888892E-2</v>
      </c>
      <c r="I856" s="1">
        <f t="shared" si="41"/>
        <v>20</v>
      </c>
      <c r="J856" t="s">
        <v>495</v>
      </c>
      <c r="K856" t="s">
        <v>417</v>
      </c>
      <c r="L856" t="s">
        <v>136</v>
      </c>
      <c r="M856" t="s">
        <v>398</v>
      </c>
      <c r="N856" t="s">
        <v>405</v>
      </c>
    </row>
    <row r="857" spans="1:14" hidden="1" x14ac:dyDescent="0.25">
      <c r="A857" t="s">
        <v>576</v>
      </c>
      <c r="B857" t="s">
        <v>576</v>
      </c>
      <c r="C857" t="s">
        <v>401</v>
      </c>
      <c r="D857" s="3" t="s">
        <v>655</v>
      </c>
      <c r="E857" s="3" t="s">
        <v>655</v>
      </c>
      <c r="F857">
        <v>10</v>
      </c>
      <c r="G857" s="3">
        <f t="shared" si="42"/>
        <v>0</v>
      </c>
      <c r="H857" s="3">
        <f t="shared" si="43"/>
        <v>0</v>
      </c>
      <c r="I857" s="1">
        <f t="shared" si="41"/>
        <v>0</v>
      </c>
      <c r="J857" t="s">
        <v>529</v>
      </c>
      <c r="L857" t="s">
        <v>672</v>
      </c>
      <c r="M857" t="s">
        <v>644</v>
      </c>
      <c r="N857" t="s">
        <v>465</v>
      </c>
    </row>
    <row r="858" spans="1:14" hidden="1" x14ac:dyDescent="0.25">
      <c r="A858" t="s">
        <v>576</v>
      </c>
      <c r="B858" t="s">
        <v>576</v>
      </c>
      <c r="C858" t="s">
        <v>401</v>
      </c>
      <c r="D858" s="3" t="s">
        <v>655</v>
      </c>
      <c r="E858" s="3" t="s">
        <v>655</v>
      </c>
      <c r="G858" s="3">
        <f t="shared" si="42"/>
        <v>0</v>
      </c>
      <c r="H858" s="3" t="e">
        <f t="shared" si="43"/>
        <v>#DIV/0!</v>
      </c>
      <c r="I858" s="1" t="e">
        <f t="shared" si="41"/>
        <v>#DIV/0!</v>
      </c>
      <c r="J858" t="s">
        <v>508</v>
      </c>
      <c r="L858" t="s">
        <v>679</v>
      </c>
      <c r="M858" t="s">
        <v>644</v>
      </c>
      <c r="N858" t="s">
        <v>465</v>
      </c>
    </row>
    <row r="859" spans="1:14" hidden="1" x14ac:dyDescent="0.25">
      <c r="A859" t="s">
        <v>577</v>
      </c>
      <c r="B859" t="s">
        <v>523</v>
      </c>
      <c r="C859" t="s">
        <v>393</v>
      </c>
      <c r="D859" s="3" t="s">
        <v>416</v>
      </c>
      <c r="E859" s="3" t="s">
        <v>431</v>
      </c>
      <c r="F859">
        <v>5</v>
      </c>
      <c r="G859" s="3">
        <f t="shared" si="42"/>
        <v>0.14930555555555558</v>
      </c>
      <c r="H859" s="3">
        <f t="shared" si="43"/>
        <v>2.9861111111111116E-2</v>
      </c>
      <c r="I859" s="1">
        <f t="shared" si="41"/>
        <v>43</v>
      </c>
      <c r="J859" t="s">
        <v>463</v>
      </c>
      <c r="K859" t="s">
        <v>417</v>
      </c>
      <c r="L859" t="s">
        <v>328</v>
      </c>
      <c r="M859" t="s">
        <v>398</v>
      </c>
      <c r="N859" t="s">
        <v>447</v>
      </c>
    </row>
    <row r="860" spans="1:14" hidden="1" x14ac:dyDescent="0.25">
      <c r="A860" t="s">
        <v>577</v>
      </c>
      <c r="C860" t="s">
        <v>393</v>
      </c>
      <c r="D860" s="3" t="s">
        <v>453</v>
      </c>
      <c r="E860" s="3" t="s">
        <v>602</v>
      </c>
      <c r="F860">
        <v>5</v>
      </c>
      <c r="G860" s="3">
        <f t="shared" si="42"/>
        <v>0.24652777777777779</v>
      </c>
      <c r="H860" s="3">
        <f t="shared" si="43"/>
        <v>4.9305555555555561E-2</v>
      </c>
      <c r="I860" s="1">
        <f t="shared" si="41"/>
        <v>11</v>
      </c>
      <c r="J860" t="s">
        <v>468</v>
      </c>
      <c r="K860" t="s">
        <v>417</v>
      </c>
      <c r="L860" t="s">
        <v>111</v>
      </c>
      <c r="M860" t="s">
        <v>398</v>
      </c>
      <c r="N860" t="s">
        <v>465</v>
      </c>
    </row>
    <row r="861" spans="1:14" hidden="1" x14ac:dyDescent="0.25">
      <c r="A861" t="s">
        <v>577</v>
      </c>
      <c r="B861" t="s">
        <v>477</v>
      </c>
      <c r="C861" t="s">
        <v>393</v>
      </c>
      <c r="D861" s="3" t="s">
        <v>479</v>
      </c>
      <c r="E861" s="3" t="s">
        <v>707</v>
      </c>
      <c r="F861">
        <v>30</v>
      </c>
      <c r="G861" s="3">
        <f t="shared" si="42"/>
        <v>0.10763888888888884</v>
      </c>
      <c r="H861" s="3">
        <f t="shared" si="43"/>
        <v>3.5879629629629612E-3</v>
      </c>
      <c r="I861" s="1">
        <f t="shared" si="41"/>
        <v>5</v>
      </c>
      <c r="J861" t="s">
        <v>474</v>
      </c>
      <c r="K861" t="s">
        <v>417</v>
      </c>
      <c r="L861" t="s">
        <v>142</v>
      </c>
      <c r="M861" t="s">
        <v>398</v>
      </c>
      <c r="N861" t="s">
        <v>465</v>
      </c>
    </row>
    <row r="862" spans="1:14" hidden="1" x14ac:dyDescent="0.25">
      <c r="A862" t="s">
        <v>577</v>
      </c>
      <c r="C862" t="s">
        <v>393</v>
      </c>
      <c r="D862" s="3" t="s">
        <v>416</v>
      </c>
      <c r="E862" s="3" t="s">
        <v>428</v>
      </c>
      <c r="F862">
        <v>15</v>
      </c>
      <c r="G862" s="3">
        <f t="shared" si="42"/>
        <v>0.19097222222222221</v>
      </c>
      <c r="H862" s="3">
        <f t="shared" si="43"/>
        <v>1.2731481481481481E-2</v>
      </c>
      <c r="I862" s="1">
        <f t="shared" si="41"/>
        <v>18</v>
      </c>
      <c r="J862" t="s">
        <v>495</v>
      </c>
      <c r="K862" t="s">
        <v>417</v>
      </c>
      <c r="L862" t="s">
        <v>136</v>
      </c>
      <c r="M862" t="s">
        <v>398</v>
      </c>
      <c r="N862" t="s">
        <v>405</v>
      </c>
    </row>
    <row r="863" spans="1:14" hidden="1" x14ac:dyDescent="0.25">
      <c r="A863" t="s">
        <v>577</v>
      </c>
      <c r="C863" t="s">
        <v>393</v>
      </c>
      <c r="D863" s="3" t="s">
        <v>411</v>
      </c>
      <c r="E863" s="3" t="s">
        <v>402</v>
      </c>
      <c r="F863">
        <v>30</v>
      </c>
      <c r="G863" s="3">
        <f t="shared" si="42"/>
        <v>0.19097222222222221</v>
      </c>
      <c r="H863" s="3">
        <f t="shared" si="43"/>
        <v>6.3657407407407404E-3</v>
      </c>
      <c r="I863" s="1">
        <f t="shared" si="41"/>
        <v>9</v>
      </c>
      <c r="J863" t="s">
        <v>458</v>
      </c>
      <c r="K863" t="s">
        <v>397</v>
      </c>
      <c r="L863" t="s">
        <v>136</v>
      </c>
      <c r="M863" t="s">
        <v>398</v>
      </c>
      <c r="N863" t="s">
        <v>399</v>
      </c>
    </row>
    <row r="864" spans="1:14" hidden="1" x14ac:dyDescent="0.25">
      <c r="A864" t="s">
        <v>577</v>
      </c>
      <c r="B864" t="s">
        <v>477</v>
      </c>
      <c r="C864" t="s">
        <v>393</v>
      </c>
      <c r="D864" s="3" t="s">
        <v>403</v>
      </c>
      <c r="E864" s="3" t="s">
        <v>402</v>
      </c>
      <c r="F864">
        <v>15</v>
      </c>
      <c r="G864" s="3">
        <f t="shared" si="42"/>
        <v>0.14930555555555558</v>
      </c>
      <c r="H864" s="3">
        <f t="shared" si="43"/>
        <v>9.9537037037037059E-3</v>
      </c>
      <c r="I864" s="1">
        <f t="shared" si="41"/>
        <v>14</v>
      </c>
      <c r="J864" t="s">
        <v>432</v>
      </c>
      <c r="K864" t="s">
        <v>397</v>
      </c>
      <c r="L864" t="s">
        <v>354</v>
      </c>
      <c r="M864" t="s">
        <v>398</v>
      </c>
      <c r="N864" t="s">
        <v>447</v>
      </c>
    </row>
    <row r="865" spans="1:14" hidden="1" x14ac:dyDescent="0.25">
      <c r="A865" t="s">
        <v>577</v>
      </c>
      <c r="B865" t="s">
        <v>577</v>
      </c>
      <c r="C865" t="s">
        <v>393</v>
      </c>
      <c r="D865" s="3" t="s">
        <v>403</v>
      </c>
      <c r="E865" s="3" t="s">
        <v>418</v>
      </c>
      <c r="F865">
        <v>15</v>
      </c>
      <c r="G865" s="3">
        <f t="shared" si="42"/>
        <v>0.31597222222222227</v>
      </c>
      <c r="H865" s="3">
        <f t="shared" si="43"/>
        <v>2.1064814814814817E-2</v>
      </c>
      <c r="I865" s="1">
        <f t="shared" si="41"/>
        <v>30</v>
      </c>
      <c r="J865" t="s">
        <v>432</v>
      </c>
      <c r="K865" t="s">
        <v>397</v>
      </c>
      <c r="L865" t="s">
        <v>382</v>
      </c>
      <c r="M865" t="s">
        <v>398</v>
      </c>
      <c r="N865" t="s">
        <v>447</v>
      </c>
    </row>
    <row r="866" spans="1:14" hidden="1" x14ac:dyDescent="0.25">
      <c r="A866" t="s">
        <v>577</v>
      </c>
      <c r="B866" t="s">
        <v>708</v>
      </c>
      <c r="C866" t="s">
        <v>393</v>
      </c>
      <c r="D866" s="3" t="s">
        <v>403</v>
      </c>
      <c r="E866" s="3" t="s">
        <v>441</v>
      </c>
      <c r="F866">
        <v>5</v>
      </c>
      <c r="G866" s="3">
        <f t="shared" si="42"/>
        <v>0.41319444444444448</v>
      </c>
      <c r="H866" s="3">
        <f t="shared" si="43"/>
        <v>8.2638888888888901E-2</v>
      </c>
      <c r="I866" s="1">
        <f t="shared" si="41"/>
        <v>59</v>
      </c>
      <c r="J866" t="s">
        <v>409</v>
      </c>
      <c r="K866" t="s">
        <v>397</v>
      </c>
      <c r="L866" t="s">
        <v>98</v>
      </c>
      <c r="M866" t="s">
        <v>398</v>
      </c>
      <c r="N866" t="s">
        <v>447</v>
      </c>
    </row>
    <row r="867" spans="1:14" hidden="1" x14ac:dyDescent="0.25">
      <c r="A867" t="s">
        <v>577</v>
      </c>
      <c r="B867" t="s">
        <v>577</v>
      </c>
      <c r="C867" t="s">
        <v>407</v>
      </c>
      <c r="D867" s="3" t="s">
        <v>403</v>
      </c>
      <c r="E867" s="3" t="s">
        <v>441</v>
      </c>
      <c r="F867">
        <v>5</v>
      </c>
      <c r="G867" s="3">
        <f t="shared" si="42"/>
        <v>0.41319444444444448</v>
      </c>
      <c r="H867" s="3">
        <f t="shared" si="43"/>
        <v>8.2638888888888901E-2</v>
      </c>
      <c r="I867" s="1">
        <f t="shared" si="41"/>
        <v>59</v>
      </c>
      <c r="J867" t="s">
        <v>409</v>
      </c>
      <c r="K867" t="s">
        <v>397</v>
      </c>
      <c r="L867" t="s">
        <v>98</v>
      </c>
      <c r="M867" t="s">
        <v>644</v>
      </c>
      <c r="N867" t="s">
        <v>447</v>
      </c>
    </row>
    <row r="868" spans="1:14" hidden="1" x14ac:dyDescent="0.25">
      <c r="A868" t="s">
        <v>577</v>
      </c>
      <c r="B868" t="s">
        <v>577</v>
      </c>
      <c r="C868" t="s">
        <v>407</v>
      </c>
      <c r="D868" s="3" t="s">
        <v>655</v>
      </c>
      <c r="E868" s="3" t="s">
        <v>655</v>
      </c>
      <c r="G868" s="3">
        <f t="shared" si="42"/>
        <v>0</v>
      </c>
      <c r="H868" s="3" t="e">
        <f t="shared" si="43"/>
        <v>#DIV/0!</v>
      </c>
      <c r="I868" s="1" t="e">
        <f t="shared" si="41"/>
        <v>#DIV/0!</v>
      </c>
      <c r="J868" t="s">
        <v>508</v>
      </c>
      <c r="L868" t="s">
        <v>709</v>
      </c>
      <c r="M868" t="s">
        <v>644</v>
      </c>
      <c r="N868" t="s">
        <v>575</v>
      </c>
    </row>
    <row r="869" spans="1:14" hidden="1" x14ac:dyDescent="0.25">
      <c r="A869" t="s">
        <v>577</v>
      </c>
      <c r="B869" t="s">
        <v>577</v>
      </c>
      <c r="C869" t="s">
        <v>407</v>
      </c>
      <c r="D869" s="3" t="s">
        <v>655</v>
      </c>
      <c r="E869" s="3" t="s">
        <v>655</v>
      </c>
      <c r="F869">
        <v>10</v>
      </c>
      <c r="G869" s="3">
        <f t="shared" si="42"/>
        <v>0</v>
      </c>
      <c r="H869" s="3">
        <f t="shared" si="43"/>
        <v>0</v>
      </c>
      <c r="I869" s="1">
        <f t="shared" si="41"/>
        <v>0</v>
      </c>
      <c r="J869" t="s">
        <v>541</v>
      </c>
      <c r="L869" t="s">
        <v>672</v>
      </c>
      <c r="M869" t="s">
        <v>644</v>
      </c>
      <c r="N869" t="s">
        <v>465</v>
      </c>
    </row>
    <row r="870" spans="1:14" hidden="1" x14ac:dyDescent="0.25">
      <c r="A870" t="s">
        <v>577</v>
      </c>
      <c r="B870" t="s">
        <v>577</v>
      </c>
      <c r="C870" t="s">
        <v>407</v>
      </c>
      <c r="D870" s="3" t="s">
        <v>655</v>
      </c>
      <c r="E870" s="3" t="s">
        <v>655</v>
      </c>
      <c r="F870">
        <v>10</v>
      </c>
      <c r="G870" s="3">
        <f t="shared" si="42"/>
        <v>0</v>
      </c>
      <c r="H870" s="3">
        <f t="shared" si="43"/>
        <v>0</v>
      </c>
      <c r="I870" s="1">
        <f t="shared" si="41"/>
        <v>0</v>
      </c>
      <c r="J870" t="s">
        <v>529</v>
      </c>
      <c r="L870" t="s">
        <v>672</v>
      </c>
      <c r="M870" t="s">
        <v>644</v>
      </c>
      <c r="N870" t="s">
        <v>465</v>
      </c>
    </row>
    <row r="871" spans="1:14" hidden="1" x14ac:dyDescent="0.25">
      <c r="A871" t="s">
        <v>578</v>
      </c>
      <c r="C871" t="s">
        <v>406</v>
      </c>
      <c r="D871" s="3" t="s">
        <v>419</v>
      </c>
      <c r="E871" s="3" t="s">
        <v>426</v>
      </c>
      <c r="F871">
        <v>15</v>
      </c>
      <c r="G871" s="3">
        <f t="shared" si="42"/>
        <v>0.14930555555555558</v>
      </c>
      <c r="H871" s="3">
        <f t="shared" si="43"/>
        <v>9.9537037037037059E-3</v>
      </c>
      <c r="I871" s="1">
        <f t="shared" si="41"/>
        <v>14</v>
      </c>
      <c r="J871" t="s">
        <v>476</v>
      </c>
      <c r="K871" t="s">
        <v>397</v>
      </c>
      <c r="L871" t="s">
        <v>119</v>
      </c>
      <c r="M871" t="s">
        <v>398</v>
      </c>
      <c r="N871" t="s">
        <v>465</v>
      </c>
    </row>
    <row r="872" spans="1:14" hidden="1" x14ac:dyDescent="0.25">
      <c r="A872" t="s">
        <v>578</v>
      </c>
      <c r="C872" t="s">
        <v>406</v>
      </c>
      <c r="D872" s="3" t="s">
        <v>453</v>
      </c>
      <c r="E872" s="3" t="s">
        <v>492</v>
      </c>
      <c r="F872">
        <v>15</v>
      </c>
      <c r="G872" s="3">
        <f t="shared" si="42"/>
        <v>0.1909722222222221</v>
      </c>
      <c r="H872" s="3">
        <f t="shared" si="43"/>
        <v>1.2731481481481474E-2</v>
      </c>
      <c r="I872" s="1">
        <f t="shared" si="41"/>
        <v>18</v>
      </c>
      <c r="J872" t="s">
        <v>455</v>
      </c>
      <c r="K872" t="s">
        <v>417</v>
      </c>
      <c r="L872" t="s">
        <v>119</v>
      </c>
      <c r="M872" t="s">
        <v>398</v>
      </c>
      <c r="N872" t="s">
        <v>399</v>
      </c>
    </row>
    <row r="873" spans="1:14" hidden="1" x14ac:dyDescent="0.25">
      <c r="A873" t="s">
        <v>578</v>
      </c>
      <c r="B873" t="s">
        <v>535</v>
      </c>
      <c r="C873" t="s">
        <v>406</v>
      </c>
      <c r="D873" s="3" t="s">
        <v>416</v>
      </c>
      <c r="E873" s="3" t="s">
        <v>428</v>
      </c>
      <c r="F873">
        <v>15</v>
      </c>
      <c r="G873" s="3">
        <f t="shared" si="42"/>
        <v>0.19097222222222221</v>
      </c>
      <c r="H873" s="3">
        <f t="shared" si="43"/>
        <v>1.2731481481481481E-2</v>
      </c>
      <c r="I873" s="1">
        <f t="shared" si="41"/>
        <v>18</v>
      </c>
      <c r="J873" t="s">
        <v>404</v>
      </c>
      <c r="K873" t="s">
        <v>417</v>
      </c>
      <c r="L873" t="s">
        <v>123</v>
      </c>
      <c r="M873" t="s">
        <v>398</v>
      </c>
      <c r="N873" t="s">
        <v>399</v>
      </c>
    </row>
    <row r="874" spans="1:14" hidden="1" x14ac:dyDescent="0.25">
      <c r="A874" t="s">
        <v>578</v>
      </c>
      <c r="B874" t="s">
        <v>578</v>
      </c>
      <c r="C874" t="s">
        <v>406</v>
      </c>
      <c r="D874" s="3" t="s">
        <v>504</v>
      </c>
      <c r="E874" s="3" t="s">
        <v>691</v>
      </c>
      <c r="F874">
        <v>10</v>
      </c>
      <c r="G874" s="3">
        <f t="shared" si="42"/>
        <v>0.15277777777777779</v>
      </c>
      <c r="H874" s="3">
        <f t="shared" si="43"/>
        <v>1.5277777777777779E-2</v>
      </c>
      <c r="I874" s="1">
        <f t="shared" si="41"/>
        <v>22</v>
      </c>
      <c r="J874" t="s">
        <v>396</v>
      </c>
      <c r="K874" t="s">
        <v>417</v>
      </c>
      <c r="L874" t="s">
        <v>110</v>
      </c>
      <c r="M874" t="s">
        <v>398</v>
      </c>
      <c r="N874" t="s">
        <v>575</v>
      </c>
    </row>
    <row r="875" spans="1:14" hidden="1" x14ac:dyDescent="0.25">
      <c r="A875" t="s">
        <v>578</v>
      </c>
      <c r="B875" t="s">
        <v>578</v>
      </c>
      <c r="C875" t="s">
        <v>406</v>
      </c>
      <c r="D875" s="3" t="s">
        <v>464</v>
      </c>
      <c r="E875" s="3" t="s">
        <v>492</v>
      </c>
      <c r="F875">
        <v>15</v>
      </c>
      <c r="G875" s="3">
        <f t="shared" si="42"/>
        <v>2.4305555555555469E-2</v>
      </c>
      <c r="H875" s="3">
        <f t="shared" si="43"/>
        <v>1.6203703703703647E-3</v>
      </c>
      <c r="I875" s="1">
        <f t="shared" si="41"/>
        <v>2</v>
      </c>
      <c r="J875" t="s">
        <v>404</v>
      </c>
      <c r="K875" t="s">
        <v>417</v>
      </c>
      <c r="L875" t="s">
        <v>123</v>
      </c>
      <c r="M875" t="s">
        <v>398</v>
      </c>
      <c r="N875" t="s">
        <v>399</v>
      </c>
    </row>
    <row r="876" spans="1:14" hidden="1" x14ac:dyDescent="0.25">
      <c r="A876" t="s">
        <v>578</v>
      </c>
      <c r="B876" t="s">
        <v>578</v>
      </c>
      <c r="C876" t="s">
        <v>393</v>
      </c>
      <c r="D876" s="3" t="s">
        <v>655</v>
      </c>
      <c r="E876" s="3" t="s">
        <v>655</v>
      </c>
      <c r="G876" s="3">
        <f t="shared" si="42"/>
        <v>0</v>
      </c>
      <c r="H876" s="3" t="e">
        <f t="shared" si="43"/>
        <v>#DIV/0!</v>
      </c>
      <c r="I876" s="1" t="e">
        <f t="shared" si="41"/>
        <v>#DIV/0!</v>
      </c>
      <c r="J876" t="s">
        <v>508</v>
      </c>
      <c r="L876" t="s">
        <v>709</v>
      </c>
      <c r="M876" t="s">
        <v>644</v>
      </c>
      <c r="N876" t="s">
        <v>575</v>
      </c>
    </row>
    <row r="877" spans="1:14" hidden="1" x14ac:dyDescent="0.25">
      <c r="A877" t="s">
        <v>578</v>
      </c>
      <c r="B877" t="s">
        <v>578</v>
      </c>
      <c r="C877" t="s">
        <v>393</v>
      </c>
      <c r="D877" s="3" t="s">
        <v>655</v>
      </c>
      <c r="E877" s="3" t="s">
        <v>655</v>
      </c>
      <c r="G877" s="3">
        <f t="shared" si="42"/>
        <v>0</v>
      </c>
      <c r="H877" s="3" t="e">
        <f t="shared" si="43"/>
        <v>#DIV/0!</v>
      </c>
      <c r="I877" s="1" t="e">
        <f t="shared" si="41"/>
        <v>#DIV/0!</v>
      </c>
      <c r="J877" t="s">
        <v>508</v>
      </c>
      <c r="L877" t="s">
        <v>709</v>
      </c>
      <c r="M877" t="s">
        <v>644</v>
      </c>
      <c r="N877" t="s">
        <v>575</v>
      </c>
    </row>
    <row r="878" spans="1:14" hidden="1" x14ac:dyDescent="0.25">
      <c r="A878" t="s">
        <v>578</v>
      </c>
      <c r="B878" t="s">
        <v>578</v>
      </c>
      <c r="C878" t="s">
        <v>393</v>
      </c>
      <c r="D878" s="3" t="s">
        <v>655</v>
      </c>
      <c r="E878" s="3" t="s">
        <v>655</v>
      </c>
      <c r="F878">
        <v>60</v>
      </c>
      <c r="G878" s="3">
        <f t="shared" si="42"/>
        <v>0</v>
      </c>
      <c r="H878" s="3">
        <f t="shared" si="43"/>
        <v>0</v>
      </c>
      <c r="I878" s="1">
        <f t="shared" si="41"/>
        <v>0</v>
      </c>
      <c r="J878" t="s">
        <v>560</v>
      </c>
      <c r="L878" t="s">
        <v>381</v>
      </c>
      <c r="M878" t="s">
        <v>644</v>
      </c>
      <c r="N878" t="s">
        <v>465</v>
      </c>
    </row>
    <row r="879" spans="1:14" hidden="1" x14ac:dyDescent="0.25">
      <c r="A879" t="s">
        <v>578</v>
      </c>
      <c r="B879" t="s">
        <v>578</v>
      </c>
      <c r="C879" t="s">
        <v>393</v>
      </c>
      <c r="D879" s="3" t="s">
        <v>655</v>
      </c>
      <c r="E879" s="3" t="s">
        <v>655</v>
      </c>
      <c r="F879">
        <v>100000000</v>
      </c>
      <c r="G879" s="3">
        <f t="shared" si="42"/>
        <v>0</v>
      </c>
      <c r="H879" s="3">
        <f t="shared" si="43"/>
        <v>0</v>
      </c>
      <c r="I879" s="1">
        <f t="shared" si="41"/>
        <v>0</v>
      </c>
      <c r="J879" t="s">
        <v>529</v>
      </c>
      <c r="L879" t="s">
        <v>665</v>
      </c>
      <c r="M879" t="s">
        <v>644</v>
      </c>
      <c r="N879" t="s">
        <v>465</v>
      </c>
    </row>
    <row r="880" spans="1:14" hidden="1" x14ac:dyDescent="0.25">
      <c r="A880" t="s">
        <v>578</v>
      </c>
      <c r="B880" t="s">
        <v>578</v>
      </c>
      <c r="C880" t="s">
        <v>393</v>
      </c>
      <c r="D880" s="3" t="s">
        <v>655</v>
      </c>
      <c r="E880" s="3" t="s">
        <v>655</v>
      </c>
      <c r="F880">
        <v>10</v>
      </c>
      <c r="G880" s="3">
        <f t="shared" si="42"/>
        <v>0</v>
      </c>
      <c r="H880" s="3">
        <f t="shared" si="43"/>
        <v>0</v>
      </c>
      <c r="I880" s="1">
        <f t="shared" si="41"/>
        <v>0</v>
      </c>
      <c r="J880" t="s">
        <v>541</v>
      </c>
      <c r="L880" t="s">
        <v>672</v>
      </c>
      <c r="M880" t="s">
        <v>644</v>
      </c>
      <c r="N880" t="s">
        <v>465</v>
      </c>
    </row>
    <row r="881" spans="1:14" hidden="1" x14ac:dyDescent="0.25">
      <c r="A881" t="s">
        <v>578</v>
      </c>
      <c r="B881" t="s">
        <v>578</v>
      </c>
      <c r="C881" t="s">
        <v>393</v>
      </c>
      <c r="D881" s="3" t="s">
        <v>655</v>
      </c>
      <c r="E881" s="3" t="s">
        <v>655</v>
      </c>
      <c r="F881">
        <v>10</v>
      </c>
      <c r="G881" s="3">
        <f t="shared" si="42"/>
        <v>0</v>
      </c>
      <c r="H881" s="3">
        <f t="shared" si="43"/>
        <v>0</v>
      </c>
      <c r="I881" s="1">
        <f t="shared" si="41"/>
        <v>0</v>
      </c>
      <c r="J881" t="s">
        <v>529</v>
      </c>
      <c r="L881" t="s">
        <v>672</v>
      </c>
      <c r="M881" t="s">
        <v>644</v>
      </c>
      <c r="N881" t="s">
        <v>465</v>
      </c>
    </row>
    <row r="882" spans="1:14" hidden="1" x14ac:dyDescent="0.25">
      <c r="A882" t="s">
        <v>578</v>
      </c>
      <c r="B882" t="s">
        <v>578</v>
      </c>
      <c r="C882" t="s">
        <v>393</v>
      </c>
      <c r="D882" s="3" t="s">
        <v>655</v>
      </c>
      <c r="E882" s="3" t="s">
        <v>655</v>
      </c>
      <c r="F882">
        <v>10</v>
      </c>
      <c r="G882" s="3">
        <f t="shared" si="42"/>
        <v>0</v>
      </c>
      <c r="H882" s="3">
        <f t="shared" si="43"/>
        <v>0</v>
      </c>
      <c r="I882" s="1">
        <f t="shared" si="41"/>
        <v>0</v>
      </c>
      <c r="J882" t="s">
        <v>541</v>
      </c>
      <c r="L882" t="s">
        <v>672</v>
      </c>
      <c r="M882" t="s">
        <v>644</v>
      </c>
      <c r="N882" t="s">
        <v>465</v>
      </c>
    </row>
    <row r="883" spans="1:14" hidden="1" x14ac:dyDescent="0.25">
      <c r="A883" t="s">
        <v>578</v>
      </c>
      <c r="B883" t="s">
        <v>578</v>
      </c>
      <c r="C883" t="s">
        <v>393</v>
      </c>
      <c r="D883" s="3" t="s">
        <v>655</v>
      </c>
      <c r="E883" s="3" t="s">
        <v>655</v>
      </c>
      <c r="F883">
        <v>10</v>
      </c>
      <c r="G883" s="3">
        <f t="shared" si="42"/>
        <v>0</v>
      </c>
      <c r="H883" s="3">
        <f t="shared" si="43"/>
        <v>0</v>
      </c>
      <c r="I883" s="1">
        <f t="shared" si="41"/>
        <v>0</v>
      </c>
      <c r="J883" t="s">
        <v>529</v>
      </c>
      <c r="L883" t="s">
        <v>672</v>
      </c>
      <c r="M883" t="s">
        <v>644</v>
      </c>
      <c r="N883" t="s">
        <v>465</v>
      </c>
    </row>
    <row r="884" spans="1:14" hidden="1" x14ac:dyDescent="0.25">
      <c r="A884" t="s">
        <v>578</v>
      </c>
      <c r="B884" t="s">
        <v>578</v>
      </c>
      <c r="C884" t="s">
        <v>393</v>
      </c>
      <c r="D884" s="3" t="s">
        <v>655</v>
      </c>
      <c r="E884" s="3" t="s">
        <v>655</v>
      </c>
      <c r="G884" s="3">
        <f t="shared" si="42"/>
        <v>0</v>
      </c>
      <c r="H884" s="3" t="e">
        <f t="shared" si="43"/>
        <v>#DIV/0!</v>
      </c>
      <c r="I884" s="1" t="e">
        <f t="shared" si="41"/>
        <v>#DIV/0!</v>
      </c>
      <c r="J884" t="s">
        <v>508</v>
      </c>
      <c r="L884" t="s">
        <v>679</v>
      </c>
      <c r="M884" t="s">
        <v>644</v>
      </c>
      <c r="N884" t="s">
        <v>465</v>
      </c>
    </row>
    <row r="885" spans="1:14" hidden="1" x14ac:dyDescent="0.25">
      <c r="A885" t="s">
        <v>578</v>
      </c>
      <c r="B885" t="s">
        <v>578</v>
      </c>
      <c r="C885" t="s">
        <v>393</v>
      </c>
      <c r="D885" s="3" t="s">
        <v>655</v>
      </c>
      <c r="E885" s="3" t="s">
        <v>655</v>
      </c>
      <c r="G885" s="3">
        <f t="shared" si="42"/>
        <v>0</v>
      </c>
      <c r="H885" s="3" t="e">
        <f t="shared" si="43"/>
        <v>#DIV/0!</v>
      </c>
      <c r="I885" s="1" t="e">
        <f t="shared" si="41"/>
        <v>#DIV/0!</v>
      </c>
      <c r="J885" t="s">
        <v>508</v>
      </c>
      <c r="L885" t="s">
        <v>679</v>
      </c>
      <c r="M885" t="s">
        <v>644</v>
      </c>
      <c r="N885" t="s">
        <v>465</v>
      </c>
    </row>
    <row r="886" spans="1:14" hidden="1" x14ac:dyDescent="0.25">
      <c r="A886" t="s">
        <v>579</v>
      </c>
      <c r="C886" t="s">
        <v>400</v>
      </c>
      <c r="D886" s="3" t="s">
        <v>403</v>
      </c>
      <c r="E886" s="3" t="s">
        <v>402</v>
      </c>
      <c r="F886">
        <v>10</v>
      </c>
      <c r="G886" s="3">
        <f t="shared" si="42"/>
        <v>0.14930555555555558</v>
      </c>
      <c r="H886" s="3">
        <f t="shared" si="43"/>
        <v>1.4930555555555558E-2</v>
      </c>
      <c r="I886" s="1">
        <f t="shared" si="41"/>
        <v>21</v>
      </c>
      <c r="J886" t="s">
        <v>495</v>
      </c>
      <c r="K886" t="s">
        <v>397</v>
      </c>
      <c r="L886" t="s">
        <v>135</v>
      </c>
      <c r="M886" t="s">
        <v>398</v>
      </c>
      <c r="N886" t="s">
        <v>405</v>
      </c>
    </row>
    <row r="887" spans="1:14" hidden="1" x14ac:dyDescent="0.25">
      <c r="A887" t="s">
        <v>579</v>
      </c>
      <c r="B887" t="s">
        <v>579</v>
      </c>
      <c r="C887" t="s">
        <v>400</v>
      </c>
      <c r="D887" s="3" t="s">
        <v>449</v>
      </c>
      <c r="E887" s="3" t="s">
        <v>441</v>
      </c>
      <c r="F887">
        <v>5</v>
      </c>
      <c r="G887" s="3">
        <f t="shared" si="42"/>
        <v>7.986111111111116E-2</v>
      </c>
      <c r="H887" s="3">
        <f t="shared" si="43"/>
        <v>1.5972222222222231E-2</v>
      </c>
      <c r="I887" s="1">
        <f t="shared" si="41"/>
        <v>23</v>
      </c>
      <c r="J887" t="s">
        <v>476</v>
      </c>
      <c r="K887" t="s">
        <v>417</v>
      </c>
      <c r="L887" t="s">
        <v>97</v>
      </c>
      <c r="M887" t="s">
        <v>398</v>
      </c>
      <c r="N887" t="s">
        <v>465</v>
      </c>
    </row>
    <row r="888" spans="1:14" hidden="1" x14ac:dyDescent="0.25">
      <c r="A888" t="s">
        <v>579</v>
      </c>
      <c r="B888" t="s">
        <v>579</v>
      </c>
      <c r="C888" t="s">
        <v>406</v>
      </c>
      <c r="D888" s="3" t="s">
        <v>453</v>
      </c>
      <c r="E888" s="3" t="s">
        <v>431</v>
      </c>
      <c r="F888">
        <v>5</v>
      </c>
      <c r="G888" s="3">
        <f t="shared" si="42"/>
        <v>0.10763888888888884</v>
      </c>
      <c r="H888" s="3">
        <f t="shared" si="43"/>
        <v>2.1527777777777767E-2</v>
      </c>
      <c r="I888" s="1">
        <f t="shared" si="41"/>
        <v>31</v>
      </c>
      <c r="J888" t="s">
        <v>420</v>
      </c>
      <c r="K888" t="s">
        <v>417</v>
      </c>
      <c r="L888" t="s">
        <v>114</v>
      </c>
      <c r="M888" t="s">
        <v>644</v>
      </c>
      <c r="N888" t="s">
        <v>405</v>
      </c>
    </row>
    <row r="889" spans="1:14" hidden="1" x14ac:dyDescent="0.25">
      <c r="A889" t="s">
        <v>579</v>
      </c>
      <c r="B889" t="s">
        <v>579</v>
      </c>
      <c r="C889" t="s">
        <v>406</v>
      </c>
      <c r="D889" s="3" t="s">
        <v>403</v>
      </c>
      <c r="E889" s="3" t="s">
        <v>441</v>
      </c>
      <c r="F889">
        <v>5</v>
      </c>
      <c r="G889" s="3">
        <f t="shared" si="42"/>
        <v>0.41319444444444448</v>
      </c>
      <c r="H889" s="3">
        <f t="shared" si="43"/>
        <v>8.2638888888888901E-2</v>
      </c>
      <c r="I889" s="1">
        <f t="shared" si="41"/>
        <v>59</v>
      </c>
      <c r="J889" t="s">
        <v>432</v>
      </c>
      <c r="K889" t="s">
        <v>397</v>
      </c>
      <c r="L889" t="s">
        <v>139</v>
      </c>
      <c r="M889" t="s">
        <v>644</v>
      </c>
      <c r="N889" t="s">
        <v>433</v>
      </c>
    </row>
    <row r="890" spans="1:14" hidden="1" x14ac:dyDescent="0.25">
      <c r="A890" t="s">
        <v>579</v>
      </c>
      <c r="B890" t="s">
        <v>579</v>
      </c>
      <c r="C890" t="s">
        <v>406</v>
      </c>
      <c r="D890" s="3" t="s">
        <v>655</v>
      </c>
      <c r="E890" s="3" t="s">
        <v>655</v>
      </c>
      <c r="F890">
        <v>100</v>
      </c>
      <c r="G890" s="3">
        <f t="shared" si="42"/>
        <v>0</v>
      </c>
      <c r="H890" s="3">
        <f t="shared" si="43"/>
        <v>0</v>
      </c>
      <c r="I890" s="1">
        <f t="shared" si="41"/>
        <v>0</v>
      </c>
      <c r="J890" t="s">
        <v>541</v>
      </c>
      <c r="L890" t="s">
        <v>381</v>
      </c>
      <c r="M890" t="s">
        <v>644</v>
      </c>
      <c r="N890" t="s">
        <v>465</v>
      </c>
    </row>
    <row r="891" spans="1:14" hidden="1" x14ac:dyDescent="0.25">
      <c r="A891" t="s">
        <v>579</v>
      </c>
      <c r="B891" t="s">
        <v>579</v>
      </c>
      <c r="C891" t="s">
        <v>406</v>
      </c>
      <c r="D891" s="3" t="s">
        <v>655</v>
      </c>
      <c r="E891" s="3" t="s">
        <v>655</v>
      </c>
      <c r="F891">
        <v>100</v>
      </c>
      <c r="G891" s="3">
        <f t="shared" si="42"/>
        <v>0</v>
      </c>
      <c r="H891" s="3">
        <f t="shared" si="43"/>
        <v>0</v>
      </c>
      <c r="I891" s="1">
        <f t="shared" si="41"/>
        <v>0</v>
      </c>
      <c r="J891" t="s">
        <v>529</v>
      </c>
      <c r="L891" t="s">
        <v>381</v>
      </c>
      <c r="M891" t="s">
        <v>644</v>
      </c>
      <c r="N891" t="s">
        <v>465</v>
      </c>
    </row>
    <row r="892" spans="1:14" hidden="1" x14ac:dyDescent="0.25">
      <c r="A892" t="s">
        <v>579</v>
      </c>
      <c r="B892" t="s">
        <v>579</v>
      </c>
      <c r="C892" t="s">
        <v>406</v>
      </c>
      <c r="D892" s="3" t="s">
        <v>655</v>
      </c>
      <c r="E892" s="3" t="s">
        <v>655</v>
      </c>
      <c r="F892">
        <v>10000000</v>
      </c>
      <c r="G892" s="3">
        <f t="shared" si="42"/>
        <v>0</v>
      </c>
      <c r="H892" s="3">
        <f t="shared" si="43"/>
        <v>0</v>
      </c>
      <c r="I892" s="1">
        <f t="shared" si="41"/>
        <v>0</v>
      </c>
      <c r="J892" t="s">
        <v>544</v>
      </c>
      <c r="L892" t="s">
        <v>665</v>
      </c>
      <c r="M892" t="s">
        <v>644</v>
      </c>
      <c r="N892" t="s">
        <v>447</v>
      </c>
    </row>
    <row r="893" spans="1:14" hidden="1" x14ac:dyDescent="0.25">
      <c r="A893" t="s">
        <v>579</v>
      </c>
      <c r="B893" t="s">
        <v>579</v>
      </c>
      <c r="C893" t="s">
        <v>406</v>
      </c>
      <c r="D893" s="3" t="s">
        <v>655</v>
      </c>
      <c r="E893" s="3" t="s">
        <v>655</v>
      </c>
      <c r="F893">
        <v>100</v>
      </c>
      <c r="G893" s="3">
        <f t="shared" si="42"/>
        <v>0</v>
      </c>
      <c r="H893" s="3">
        <f t="shared" si="43"/>
        <v>0</v>
      </c>
      <c r="I893" s="1">
        <f t="shared" si="41"/>
        <v>0</v>
      </c>
      <c r="J893" t="s">
        <v>541</v>
      </c>
      <c r="L893" t="s">
        <v>381</v>
      </c>
      <c r="M893" t="s">
        <v>644</v>
      </c>
      <c r="N893" t="s">
        <v>465</v>
      </c>
    </row>
    <row r="894" spans="1:14" hidden="1" x14ac:dyDescent="0.25">
      <c r="A894" t="s">
        <v>579</v>
      </c>
      <c r="B894" t="s">
        <v>579</v>
      </c>
      <c r="C894" t="s">
        <v>406</v>
      </c>
      <c r="D894" s="3" t="s">
        <v>655</v>
      </c>
      <c r="E894" s="3" t="s">
        <v>655</v>
      </c>
      <c r="F894">
        <v>10</v>
      </c>
      <c r="G894" s="3">
        <f t="shared" si="42"/>
        <v>0</v>
      </c>
      <c r="H894" s="3">
        <f t="shared" si="43"/>
        <v>0</v>
      </c>
      <c r="I894" s="1">
        <f t="shared" si="41"/>
        <v>0</v>
      </c>
      <c r="J894" t="s">
        <v>541</v>
      </c>
      <c r="L894" t="s">
        <v>672</v>
      </c>
      <c r="M894" t="s">
        <v>644</v>
      </c>
      <c r="N894" t="s">
        <v>465</v>
      </c>
    </row>
    <row r="895" spans="1:14" hidden="1" x14ac:dyDescent="0.25">
      <c r="A895" t="s">
        <v>579</v>
      </c>
      <c r="B895" t="s">
        <v>579</v>
      </c>
      <c r="C895" t="s">
        <v>406</v>
      </c>
      <c r="D895" s="3" t="s">
        <v>655</v>
      </c>
      <c r="E895" s="3" t="s">
        <v>655</v>
      </c>
      <c r="F895">
        <v>100</v>
      </c>
      <c r="G895" s="3">
        <f t="shared" si="42"/>
        <v>0</v>
      </c>
      <c r="H895" s="3">
        <f t="shared" si="43"/>
        <v>0</v>
      </c>
      <c r="I895" s="1">
        <f t="shared" si="41"/>
        <v>0</v>
      </c>
      <c r="J895" t="s">
        <v>529</v>
      </c>
      <c r="L895" t="s">
        <v>381</v>
      </c>
      <c r="M895" t="s">
        <v>644</v>
      </c>
      <c r="N895" t="s">
        <v>465</v>
      </c>
    </row>
    <row r="896" spans="1:14" hidden="1" x14ac:dyDescent="0.25">
      <c r="A896" t="s">
        <v>580</v>
      </c>
      <c r="B896" t="s">
        <v>580</v>
      </c>
      <c r="C896" t="s">
        <v>422</v>
      </c>
      <c r="D896" s="3" t="s">
        <v>403</v>
      </c>
      <c r="E896" s="3" t="s">
        <v>659</v>
      </c>
      <c r="F896">
        <v>15</v>
      </c>
      <c r="G896" s="3">
        <f t="shared" si="42"/>
        <v>0.23958333333333331</v>
      </c>
      <c r="H896" s="3">
        <f t="shared" si="43"/>
        <v>1.5972222222222221E-2</v>
      </c>
      <c r="I896" s="1">
        <f t="shared" si="41"/>
        <v>23</v>
      </c>
      <c r="J896" t="s">
        <v>455</v>
      </c>
      <c r="K896" t="s">
        <v>397</v>
      </c>
      <c r="L896" t="s">
        <v>314</v>
      </c>
      <c r="M896" t="s">
        <v>398</v>
      </c>
      <c r="N896" t="s">
        <v>405</v>
      </c>
    </row>
    <row r="897" spans="1:14" hidden="1" x14ac:dyDescent="0.25">
      <c r="A897" t="s">
        <v>537</v>
      </c>
      <c r="B897" t="s">
        <v>537</v>
      </c>
      <c r="C897" t="s">
        <v>491</v>
      </c>
      <c r="D897" s="3" t="s">
        <v>655</v>
      </c>
      <c r="E897" s="3" t="s">
        <v>655</v>
      </c>
      <c r="F897">
        <v>20000</v>
      </c>
      <c r="G897" s="3">
        <f t="shared" si="42"/>
        <v>0</v>
      </c>
      <c r="H897" s="3">
        <f t="shared" si="43"/>
        <v>0</v>
      </c>
      <c r="I897" s="1">
        <f t="shared" si="41"/>
        <v>0</v>
      </c>
      <c r="J897" t="s">
        <v>544</v>
      </c>
      <c r="L897" t="s">
        <v>665</v>
      </c>
      <c r="M897" t="s">
        <v>644</v>
      </c>
      <c r="N897" t="s">
        <v>447</v>
      </c>
    </row>
    <row r="898" spans="1:14" hidden="1" x14ac:dyDescent="0.25">
      <c r="A898" t="s">
        <v>537</v>
      </c>
      <c r="B898" t="s">
        <v>537</v>
      </c>
      <c r="C898" t="s">
        <v>491</v>
      </c>
      <c r="D898" s="3" t="s">
        <v>655</v>
      </c>
      <c r="E898" s="3" t="s">
        <v>655</v>
      </c>
      <c r="F898">
        <v>100</v>
      </c>
      <c r="G898" s="3">
        <f t="shared" si="42"/>
        <v>0</v>
      </c>
      <c r="H898" s="3">
        <f t="shared" si="43"/>
        <v>0</v>
      </c>
      <c r="I898" s="1">
        <f t="shared" si="41"/>
        <v>0</v>
      </c>
      <c r="J898" t="s">
        <v>541</v>
      </c>
      <c r="L898" t="s">
        <v>381</v>
      </c>
      <c r="M898" t="s">
        <v>644</v>
      </c>
      <c r="N898" t="s">
        <v>465</v>
      </c>
    </row>
    <row r="899" spans="1:14" hidden="1" x14ac:dyDescent="0.25">
      <c r="A899" t="s">
        <v>537</v>
      </c>
      <c r="B899" t="s">
        <v>537</v>
      </c>
      <c r="C899" t="s">
        <v>491</v>
      </c>
      <c r="D899" s="3" t="s">
        <v>655</v>
      </c>
      <c r="E899" s="3" t="s">
        <v>655</v>
      </c>
      <c r="G899" s="3">
        <f t="shared" si="42"/>
        <v>0</v>
      </c>
      <c r="H899" s="3" t="e">
        <f t="shared" si="43"/>
        <v>#DIV/0!</v>
      </c>
      <c r="I899" s="1" t="e">
        <f t="shared" ref="I899:I962" si="44">MINUTE(H899)</f>
        <v>#DIV/0!</v>
      </c>
      <c r="J899" t="s">
        <v>508</v>
      </c>
      <c r="L899" t="s">
        <v>679</v>
      </c>
      <c r="M899" t="s">
        <v>644</v>
      </c>
      <c r="N899" t="s">
        <v>465</v>
      </c>
    </row>
    <row r="900" spans="1:14" hidden="1" x14ac:dyDescent="0.25">
      <c r="A900" t="s">
        <v>537</v>
      </c>
      <c r="B900" t="s">
        <v>537</v>
      </c>
      <c r="C900" t="s">
        <v>491</v>
      </c>
      <c r="D900" s="3" t="s">
        <v>655</v>
      </c>
      <c r="E900" s="3" t="s">
        <v>655</v>
      </c>
      <c r="F900">
        <v>100</v>
      </c>
      <c r="G900" s="3">
        <f t="shared" ref="G900:G963" si="45">(E900-D900)</f>
        <v>0</v>
      </c>
      <c r="H900" s="3">
        <f t="shared" ref="H900:H963" si="46">G900/F900</f>
        <v>0</v>
      </c>
      <c r="I900" s="1">
        <f t="shared" si="44"/>
        <v>0</v>
      </c>
      <c r="J900" t="s">
        <v>560</v>
      </c>
      <c r="L900" t="s">
        <v>381</v>
      </c>
      <c r="M900" t="s">
        <v>644</v>
      </c>
      <c r="N900" t="s">
        <v>465</v>
      </c>
    </row>
    <row r="901" spans="1:14" hidden="1" x14ac:dyDescent="0.25">
      <c r="A901" t="s">
        <v>537</v>
      </c>
      <c r="B901" t="s">
        <v>537</v>
      </c>
      <c r="C901" t="s">
        <v>491</v>
      </c>
      <c r="D901" s="3" t="s">
        <v>655</v>
      </c>
      <c r="E901" s="3" t="s">
        <v>655</v>
      </c>
      <c r="F901">
        <v>100</v>
      </c>
      <c r="G901" s="3">
        <f t="shared" si="45"/>
        <v>0</v>
      </c>
      <c r="H901" s="3">
        <f t="shared" si="46"/>
        <v>0</v>
      </c>
      <c r="I901" s="1">
        <f t="shared" si="44"/>
        <v>0</v>
      </c>
      <c r="J901" t="s">
        <v>541</v>
      </c>
      <c r="L901" t="s">
        <v>381</v>
      </c>
      <c r="M901" t="s">
        <v>644</v>
      </c>
      <c r="N901" t="s">
        <v>465</v>
      </c>
    </row>
    <row r="902" spans="1:14" hidden="1" x14ac:dyDescent="0.25">
      <c r="A902" t="s">
        <v>537</v>
      </c>
      <c r="B902" t="s">
        <v>537</v>
      </c>
      <c r="C902" t="s">
        <v>491</v>
      </c>
      <c r="D902" s="3" t="s">
        <v>655</v>
      </c>
      <c r="E902" s="3" t="s">
        <v>655</v>
      </c>
      <c r="F902">
        <v>100</v>
      </c>
      <c r="G902" s="3">
        <f t="shared" si="45"/>
        <v>0</v>
      </c>
      <c r="H902" s="3">
        <f t="shared" si="46"/>
        <v>0</v>
      </c>
      <c r="I902" s="1">
        <f t="shared" si="44"/>
        <v>0</v>
      </c>
      <c r="J902" t="s">
        <v>560</v>
      </c>
      <c r="L902" t="s">
        <v>381</v>
      </c>
      <c r="M902" t="s">
        <v>644</v>
      </c>
      <c r="N902" t="s">
        <v>465</v>
      </c>
    </row>
    <row r="903" spans="1:14" hidden="1" x14ac:dyDescent="0.25">
      <c r="A903" t="s">
        <v>537</v>
      </c>
      <c r="B903" t="s">
        <v>537</v>
      </c>
      <c r="C903" t="s">
        <v>491</v>
      </c>
      <c r="D903" s="3" t="s">
        <v>655</v>
      </c>
      <c r="E903" s="3" t="s">
        <v>655</v>
      </c>
      <c r="F903">
        <v>20000</v>
      </c>
      <c r="G903" s="3">
        <f t="shared" si="45"/>
        <v>0</v>
      </c>
      <c r="H903" s="3">
        <f t="shared" si="46"/>
        <v>0</v>
      </c>
      <c r="I903" s="1">
        <f t="shared" si="44"/>
        <v>0</v>
      </c>
      <c r="J903" t="s">
        <v>529</v>
      </c>
      <c r="L903" t="s">
        <v>665</v>
      </c>
      <c r="M903" t="s">
        <v>644</v>
      </c>
      <c r="N903" t="s">
        <v>447</v>
      </c>
    </row>
    <row r="904" spans="1:14" hidden="1" x14ac:dyDescent="0.25">
      <c r="A904" t="s">
        <v>537</v>
      </c>
      <c r="B904" t="s">
        <v>537</v>
      </c>
      <c r="C904" t="s">
        <v>491</v>
      </c>
      <c r="D904" s="3" t="s">
        <v>655</v>
      </c>
      <c r="E904" s="3" t="s">
        <v>655</v>
      </c>
      <c r="F904">
        <v>100</v>
      </c>
      <c r="G904" s="3">
        <f t="shared" si="45"/>
        <v>0</v>
      </c>
      <c r="H904" s="3">
        <f t="shared" si="46"/>
        <v>0</v>
      </c>
      <c r="I904" s="1">
        <f t="shared" si="44"/>
        <v>0</v>
      </c>
      <c r="J904" t="s">
        <v>541</v>
      </c>
      <c r="L904" t="s">
        <v>381</v>
      </c>
      <c r="M904" t="s">
        <v>644</v>
      </c>
      <c r="N904" t="s">
        <v>465</v>
      </c>
    </row>
    <row r="905" spans="1:14" hidden="1" x14ac:dyDescent="0.25">
      <c r="A905" t="s">
        <v>537</v>
      </c>
      <c r="B905" t="s">
        <v>537</v>
      </c>
      <c r="C905" t="s">
        <v>491</v>
      </c>
      <c r="D905" s="3" t="s">
        <v>655</v>
      </c>
      <c r="E905" s="3" t="s">
        <v>655</v>
      </c>
      <c r="F905">
        <v>10</v>
      </c>
      <c r="G905" s="3">
        <f t="shared" si="45"/>
        <v>0</v>
      </c>
      <c r="H905" s="3">
        <f t="shared" si="46"/>
        <v>0</v>
      </c>
      <c r="I905" s="1">
        <f t="shared" si="44"/>
        <v>0</v>
      </c>
      <c r="J905" t="s">
        <v>541</v>
      </c>
      <c r="L905" t="s">
        <v>672</v>
      </c>
      <c r="M905" t="s">
        <v>644</v>
      </c>
      <c r="N905" t="s">
        <v>465</v>
      </c>
    </row>
    <row r="906" spans="1:14" hidden="1" x14ac:dyDescent="0.25">
      <c r="A906" t="s">
        <v>537</v>
      </c>
      <c r="B906" t="s">
        <v>537</v>
      </c>
      <c r="C906" t="s">
        <v>491</v>
      </c>
      <c r="D906" s="3" t="s">
        <v>655</v>
      </c>
      <c r="E906" s="3" t="s">
        <v>655</v>
      </c>
      <c r="F906">
        <v>10</v>
      </c>
      <c r="G906" s="3">
        <f t="shared" si="45"/>
        <v>0</v>
      </c>
      <c r="H906" s="3">
        <f t="shared" si="46"/>
        <v>0</v>
      </c>
      <c r="I906" s="1">
        <f t="shared" si="44"/>
        <v>0</v>
      </c>
      <c r="J906" t="s">
        <v>529</v>
      </c>
      <c r="L906" t="s">
        <v>672</v>
      </c>
      <c r="M906" t="s">
        <v>644</v>
      </c>
      <c r="N906" t="s">
        <v>465</v>
      </c>
    </row>
    <row r="907" spans="1:14" hidden="1" x14ac:dyDescent="0.25">
      <c r="A907" t="s">
        <v>537</v>
      </c>
      <c r="B907" t="s">
        <v>537</v>
      </c>
      <c r="C907" t="s">
        <v>491</v>
      </c>
      <c r="D907" s="3" t="s">
        <v>655</v>
      </c>
      <c r="E907" s="3" t="s">
        <v>655</v>
      </c>
      <c r="F907">
        <v>10</v>
      </c>
      <c r="G907" s="3">
        <f t="shared" si="45"/>
        <v>0</v>
      </c>
      <c r="H907" s="3">
        <f t="shared" si="46"/>
        <v>0</v>
      </c>
      <c r="I907" s="1">
        <f t="shared" si="44"/>
        <v>0</v>
      </c>
      <c r="J907" t="s">
        <v>541</v>
      </c>
      <c r="L907" t="s">
        <v>672</v>
      </c>
      <c r="M907" t="s">
        <v>644</v>
      </c>
      <c r="N907" t="s">
        <v>465</v>
      </c>
    </row>
    <row r="908" spans="1:14" hidden="1" x14ac:dyDescent="0.25">
      <c r="A908" t="s">
        <v>537</v>
      </c>
      <c r="B908" t="s">
        <v>537</v>
      </c>
      <c r="C908" t="s">
        <v>491</v>
      </c>
      <c r="D908" s="3" t="s">
        <v>655</v>
      </c>
      <c r="E908" s="3" t="s">
        <v>655</v>
      </c>
      <c r="F908">
        <v>10</v>
      </c>
      <c r="G908" s="3">
        <f t="shared" si="45"/>
        <v>0</v>
      </c>
      <c r="H908" s="3">
        <f t="shared" si="46"/>
        <v>0</v>
      </c>
      <c r="I908" s="1">
        <f t="shared" si="44"/>
        <v>0</v>
      </c>
      <c r="J908" t="s">
        <v>541</v>
      </c>
      <c r="L908" t="s">
        <v>672</v>
      </c>
      <c r="M908" t="s">
        <v>644</v>
      </c>
      <c r="N908" t="s">
        <v>465</v>
      </c>
    </row>
    <row r="909" spans="1:14" hidden="1" x14ac:dyDescent="0.25">
      <c r="A909" t="s">
        <v>537</v>
      </c>
      <c r="B909" t="s">
        <v>537</v>
      </c>
      <c r="C909" t="s">
        <v>491</v>
      </c>
      <c r="D909" s="3" t="s">
        <v>655</v>
      </c>
      <c r="E909" s="3" t="s">
        <v>655</v>
      </c>
      <c r="F909">
        <v>10</v>
      </c>
      <c r="G909" s="3">
        <f t="shared" si="45"/>
        <v>0</v>
      </c>
      <c r="H909" s="3">
        <f t="shared" si="46"/>
        <v>0</v>
      </c>
      <c r="I909" s="1">
        <f t="shared" si="44"/>
        <v>0</v>
      </c>
      <c r="J909" t="s">
        <v>529</v>
      </c>
      <c r="L909" t="s">
        <v>672</v>
      </c>
      <c r="M909" t="s">
        <v>644</v>
      </c>
      <c r="N909" t="s">
        <v>465</v>
      </c>
    </row>
    <row r="910" spans="1:14" hidden="1" x14ac:dyDescent="0.25">
      <c r="A910" t="s">
        <v>591</v>
      </c>
      <c r="C910" t="s">
        <v>407</v>
      </c>
      <c r="D910" s="3" t="s">
        <v>453</v>
      </c>
      <c r="E910" s="3" t="s">
        <v>707</v>
      </c>
      <c r="F910">
        <v>15</v>
      </c>
      <c r="G910" s="3">
        <f t="shared" si="45"/>
        <v>0.23263888888888884</v>
      </c>
      <c r="H910" s="3">
        <f t="shared" si="46"/>
        <v>1.5509259259259256E-2</v>
      </c>
      <c r="I910" s="1">
        <f t="shared" si="44"/>
        <v>22</v>
      </c>
      <c r="J910" t="s">
        <v>429</v>
      </c>
      <c r="K910" t="s">
        <v>417</v>
      </c>
      <c r="L910" t="s">
        <v>109</v>
      </c>
      <c r="M910" t="s">
        <v>398</v>
      </c>
      <c r="N910" t="s">
        <v>399</v>
      </c>
    </row>
    <row r="911" spans="1:14" hidden="1" x14ac:dyDescent="0.25">
      <c r="A911" t="s">
        <v>591</v>
      </c>
      <c r="B911" t="s">
        <v>591</v>
      </c>
      <c r="C911" t="s">
        <v>401</v>
      </c>
      <c r="D911" s="3" t="s">
        <v>445</v>
      </c>
      <c r="E911" s="3" t="s">
        <v>653</v>
      </c>
      <c r="F911">
        <v>15</v>
      </c>
      <c r="G911" s="3">
        <f t="shared" si="45"/>
        <v>0.28125</v>
      </c>
      <c r="H911" s="3">
        <f t="shared" si="46"/>
        <v>1.8749999999999999E-2</v>
      </c>
      <c r="I911" s="1">
        <f t="shared" si="44"/>
        <v>27</v>
      </c>
      <c r="J911" t="s">
        <v>455</v>
      </c>
      <c r="K911" t="s">
        <v>417</v>
      </c>
      <c r="L911" t="s">
        <v>315</v>
      </c>
      <c r="M911" t="s">
        <v>644</v>
      </c>
      <c r="N911" t="s">
        <v>405</v>
      </c>
    </row>
    <row r="912" spans="1:14" hidden="1" x14ac:dyDescent="0.25">
      <c r="A912" t="s">
        <v>591</v>
      </c>
      <c r="B912" t="s">
        <v>591</v>
      </c>
      <c r="C912" t="s">
        <v>401</v>
      </c>
      <c r="D912" s="3" t="s">
        <v>655</v>
      </c>
      <c r="E912" s="3" t="s">
        <v>655</v>
      </c>
      <c r="F912">
        <v>10</v>
      </c>
      <c r="G912" s="3">
        <f t="shared" si="45"/>
        <v>0</v>
      </c>
      <c r="H912" s="3">
        <f t="shared" si="46"/>
        <v>0</v>
      </c>
      <c r="I912" s="1">
        <f t="shared" si="44"/>
        <v>0</v>
      </c>
      <c r="J912" t="s">
        <v>541</v>
      </c>
      <c r="L912" t="s">
        <v>672</v>
      </c>
      <c r="M912" t="s">
        <v>644</v>
      </c>
      <c r="N912" t="s">
        <v>465</v>
      </c>
    </row>
    <row r="913" spans="1:14" hidden="1" x14ac:dyDescent="0.25">
      <c r="A913" t="s">
        <v>591</v>
      </c>
      <c r="B913" t="s">
        <v>591</v>
      </c>
      <c r="C913" t="s">
        <v>401</v>
      </c>
      <c r="D913" s="3" t="s">
        <v>655</v>
      </c>
      <c r="E913" s="3" t="s">
        <v>655</v>
      </c>
      <c r="F913">
        <v>20</v>
      </c>
      <c r="G913" s="3">
        <f t="shared" si="45"/>
        <v>0</v>
      </c>
      <c r="H913" s="3">
        <f t="shared" si="46"/>
        <v>0</v>
      </c>
      <c r="I913" s="1">
        <f t="shared" si="44"/>
        <v>0</v>
      </c>
      <c r="J913" t="s">
        <v>541</v>
      </c>
      <c r="L913" t="s">
        <v>381</v>
      </c>
      <c r="M913" t="s">
        <v>644</v>
      </c>
      <c r="N913" t="s">
        <v>465</v>
      </c>
    </row>
    <row r="914" spans="1:14" hidden="1" x14ac:dyDescent="0.25">
      <c r="A914" t="s">
        <v>591</v>
      </c>
      <c r="B914" t="s">
        <v>591</v>
      </c>
      <c r="C914" t="s">
        <v>401</v>
      </c>
      <c r="D914" s="3" t="s">
        <v>655</v>
      </c>
      <c r="E914" s="3" t="s">
        <v>655</v>
      </c>
      <c r="F914">
        <v>100</v>
      </c>
      <c r="G914" s="3">
        <f t="shared" si="45"/>
        <v>0</v>
      </c>
      <c r="H914" s="3">
        <f t="shared" si="46"/>
        <v>0</v>
      </c>
      <c r="I914" s="1">
        <f t="shared" si="44"/>
        <v>0</v>
      </c>
      <c r="J914" t="s">
        <v>560</v>
      </c>
      <c r="L914" t="s">
        <v>381</v>
      </c>
      <c r="M914" t="s">
        <v>644</v>
      </c>
      <c r="N914" t="s">
        <v>465</v>
      </c>
    </row>
    <row r="915" spans="1:14" hidden="1" x14ac:dyDescent="0.25">
      <c r="A915" t="s">
        <v>591</v>
      </c>
      <c r="B915" t="s">
        <v>591</v>
      </c>
      <c r="C915" t="s">
        <v>401</v>
      </c>
      <c r="D915" s="3" t="s">
        <v>655</v>
      </c>
      <c r="E915" s="3" t="s">
        <v>655</v>
      </c>
      <c r="F915">
        <v>10</v>
      </c>
      <c r="G915" s="3">
        <f t="shared" si="45"/>
        <v>0</v>
      </c>
      <c r="H915" s="3">
        <f t="shared" si="46"/>
        <v>0</v>
      </c>
      <c r="I915" s="1">
        <f t="shared" si="44"/>
        <v>0</v>
      </c>
      <c r="J915" t="s">
        <v>529</v>
      </c>
      <c r="L915" t="s">
        <v>672</v>
      </c>
      <c r="M915" t="s">
        <v>644</v>
      </c>
      <c r="N915" t="s">
        <v>465</v>
      </c>
    </row>
    <row r="916" spans="1:14" hidden="1" x14ac:dyDescent="0.25">
      <c r="A916" t="s">
        <v>597</v>
      </c>
      <c r="B916" t="s">
        <v>597</v>
      </c>
      <c r="C916" t="s">
        <v>393</v>
      </c>
      <c r="D916" s="3" t="s">
        <v>416</v>
      </c>
      <c r="E916" s="3" t="s">
        <v>428</v>
      </c>
      <c r="F916">
        <v>15</v>
      </c>
      <c r="G916" s="3">
        <f t="shared" si="45"/>
        <v>0.19097222222222221</v>
      </c>
      <c r="H916" s="3">
        <f t="shared" si="46"/>
        <v>1.2731481481481481E-2</v>
      </c>
      <c r="I916" s="1">
        <f t="shared" si="44"/>
        <v>18</v>
      </c>
      <c r="J916" t="s">
        <v>404</v>
      </c>
      <c r="K916" t="s">
        <v>417</v>
      </c>
      <c r="L916" t="s">
        <v>123</v>
      </c>
      <c r="M916" t="s">
        <v>398</v>
      </c>
      <c r="N916" t="s">
        <v>399</v>
      </c>
    </row>
    <row r="917" spans="1:14" hidden="1" x14ac:dyDescent="0.25">
      <c r="A917" t="s">
        <v>597</v>
      </c>
      <c r="B917" t="s">
        <v>597</v>
      </c>
      <c r="C917" t="s">
        <v>406</v>
      </c>
      <c r="D917" s="3" t="s">
        <v>403</v>
      </c>
      <c r="E917" s="3" t="s">
        <v>402</v>
      </c>
      <c r="F917">
        <v>15</v>
      </c>
      <c r="G917" s="3">
        <f t="shared" si="45"/>
        <v>0.14930555555555558</v>
      </c>
      <c r="H917" s="3">
        <f t="shared" si="46"/>
        <v>9.9537037037037059E-3</v>
      </c>
      <c r="I917" s="1">
        <f t="shared" si="44"/>
        <v>14</v>
      </c>
      <c r="J917" t="s">
        <v>404</v>
      </c>
      <c r="K917" t="s">
        <v>397</v>
      </c>
      <c r="L917" t="s">
        <v>123</v>
      </c>
      <c r="M917" t="s">
        <v>398</v>
      </c>
      <c r="N917" t="s">
        <v>399</v>
      </c>
    </row>
    <row r="918" spans="1:14" hidden="1" x14ac:dyDescent="0.25">
      <c r="A918" t="s">
        <v>597</v>
      </c>
      <c r="B918" t="s">
        <v>597</v>
      </c>
      <c r="C918" t="s">
        <v>393</v>
      </c>
      <c r="D918" s="3" t="s">
        <v>403</v>
      </c>
      <c r="E918" s="3" t="s">
        <v>402</v>
      </c>
      <c r="F918">
        <v>15</v>
      </c>
      <c r="G918" s="3">
        <f t="shared" si="45"/>
        <v>0.14930555555555558</v>
      </c>
      <c r="H918" s="3">
        <f t="shared" si="46"/>
        <v>9.9537037037037059E-3</v>
      </c>
      <c r="I918" s="1">
        <f t="shared" si="44"/>
        <v>14</v>
      </c>
      <c r="J918" t="s">
        <v>404</v>
      </c>
      <c r="K918" t="s">
        <v>397</v>
      </c>
      <c r="L918" t="s">
        <v>123</v>
      </c>
      <c r="M918" t="s">
        <v>398</v>
      </c>
      <c r="N918" t="s">
        <v>399</v>
      </c>
    </row>
    <row r="919" spans="1:14" hidden="1" x14ac:dyDescent="0.25">
      <c r="A919" t="s">
        <v>597</v>
      </c>
      <c r="B919" t="s">
        <v>597</v>
      </c>
      <c r="C919" t="s">
        <v>393</v>
      </c>
      <c r="D919" s="3" t="s">
        <v>464</v>
      </c>
      <c r="E919" s="3" t="s">
        <v>492</v>
      </c>
      <c r="F919">
        <v>15</v>
      </c>
      <c r="G919" s="3">
        <f t="shared" si="45"/>
        <v>2.4305555555555469E-2</v>
      </c>
      <c r="H919" s="3">
        <f t="shared" si="46"/>
        <v>1.6203703703703647E-3</v>
      </c>
      <c r="I919" s="1">
        <f t="shared" si="44"/>
        <v>2</v>
      </c>
      <c r="J919" t="s">
        <v>404</v>
      </c>
      <c r="K919" t="s">
        <v>417</v>
      </c>
      <c r="L919" t="s">
        <v>123</v>
      </c>
      <c r="M919" t="s">
        <v>398</v>
      </c>
      <c r="N919" t="s">
        <v>399</v>
      </c>
    </row>
    <row r="920" spans="1:14" hidden="1" x14ac:dyDescent="0.25">
      <c r="A920" t="s">
        <v>597</v>
      </c>
      <c r="B920" t="s">
        <v>597</v>
      </c>
      <c r="C920" t="s">
        <v>407</v>
      </c>
      <c r="D920" s="3" t="s">
        <v>655</v>
      </c>
      <c r="E920" s="3" t="s">
        <v>655</v>
      </c>
      <c r="F920">
        <v>100</v>
      </c>
      <c r="G920" s="3">
        <f t="shared" si="45"/>
        <v>0</v>
      </c>
      <c r="H920" s="3">
        <f t="shared" si="46"/>
        <v>0</v>
      </c>
      <c r="I920" s="1">
        <f t="shared" si="44"/>
        <v>0</v>
      </c>
      <c r="J920" t="s">
        <v>560</v>
      </c>
      <c r="L920" t="s">
        <v>381</v>
      </c>
      <c r="M920" t="s">
        <v>644</v>
      </c>
      <c r="N920" t="s">
        <v>465</v>
      </c>
    </row>
    <row r="921" spans="1:14" hidden="1" x14ac:dyDescent="0.25">
      <c r="A921" t="s">
        <v>597</v>
      </c>
      <c r="B921" t="s">
        <v>597</v>
      </c>
      <c r="C921" t="s">
        <v>407</v>
      </c>
      <c r="D921" s="3" t="s">
        <v>450</v>
      </c>
      <c r="E921" s="3" t="s">
        <v>534</v>
      </c>
      <c r="F921">
        <v>5</v>
      </c>
      <c r="G921" s="3">
        <f t="shared" si="45"/>
        <v>0.18055555555555547</v>
      </c>
      <c r="H921" s="3">
        <f t="shared" si="46"/>
        <v>3.6111111111111094E-2</v>
      </c>
      <c r="I921" s="1">
        <f t="shared" si="44"/>
        <v>52</v>
      </c>
      <c r="J921" t="s">
        <v>497</v>
      </c>
      <c r="K921" t="s">
        <v>417</v>
      </c>
      <c r="L921" t="s">
        <v>114</v>
      </c>
      <c r="M921" t="s">
        <v>644</v>
      </c>
      <c r="N921" t="s">
        <v>405</v>
      </c>
    </row>
    <row r="922" spans="1:14" hidden="1" x14ac:dyDescent="0.25">
      <c r="A922" t="s">
        <v>597</v>
      </c>
      <c r="B922" t="s">
        <v>597</v>
      </c>
      <c r="C922" t="s">
        <v>407</v>
      </c>
      <c r="D922" s="3" t="s">
        <v>655</v>
      </c>
      <c r="E922" s="3" t="s">
        <v>655</v>
      </c>
      <c r="F922">
        <v>10</v>
      </c>
      <c r="G922" s="3">
        <f t="shared" si="45"/>
        <v>0</v>
      </c>
      <c r="H922" s="3">
        <f t="shared" si="46"/>
        <v>0</v>
      </c>
      <c r="I922" s="1">
        <f t="shared" si="44"/>
        <v>0</v>
      </c>
      <c r="J922" t="s">
        <v>529</v>
      </c>
      <c r="L922" t="s">
        <v>672</v>
      </c>
      <c r="M922" t="s">
        <v>644</v>
      </c>
      <c r="N922" t="s">
        <v>465</v>
      </c>
    </row>
    <row r="923" spans="1:14" hidden="1" x14ac:dyDescent="0.25">
      <c r="A923" t="s">
        <v>573</v>
      </c>
      <c r="B923" t="s">
        <v>573</v>
      </c>
      <c r="C923" t="s">
        <v>406</v>
      </c>
      <c r="D923" s="3" t="s">
        <v>416</v>
      </c>
      <c r="E923" s="3" t="s">
        <v>534</v>
      </c>
      <c r="F923">
        <v>10</v>
      </c>
      <c r="G923" s="3">
        <f t="shared" si="45"/>
        <v>0.15972222222222221</v>
      </c>
      <c r="H923" s="3">
        <f t="shared" si="46"/>
        <v>1.5972222222222221E-2</v>
      </c>
      <c r="I923" s="1">
        <f t="shared" si="44"/>
        <v>23</v>
      </c>
      <c r="J923" t="s">
        <v>497</v>
      </c>
      <c r="K923" t="s">
        <v>417</v>
      </c>
      <c r="L923" t="s">
        <v>140</v>
      </c>
      <c r="M923" t="s">
        <v>398</v>
      </c>
      <c r="N923" t="s">
        <v>405</v>
      </c>
    </row>
    <row r="924" spans="1:14" hidden="1" x14ac:dyDescent="0.25">
      <c r="A924" t="s">
        <v>573</v>
      </c>
      <c r="B924" t="s">
        <v>537</v>
      </c>
      <c r="C924" t="s">
        <v>401</v>
      </c>
      <c r="D924" s="3" t="s">
        <v>411</v>
      </c>
      <c r="E924" s="3" t="s">
        <v>691</v>
      </c>
      <c r="F924">
        <v>10</v>
      </c>
      <c r="G924" s="3">
        <f t="shared" si="45"/>
        <v>0.4236111111111111</v>
      </c>
      <c r="H924" s="3">
        <f t="shared" si="46"/>
        <v>4.2361111111111113E-2</v>
      </c>
      <c r="I924" s="1">
        <f t="shared" si="44"/>
        <v>1</v>
      </c>
      <c r="J924" t="s">
        <v>458</v>
      </c>
      <c r="K924" t="s">
        <v>397</v>
      </c>
      <c r="L924" t="s">
        <v>643</v>
      </c>
      <c r="M924" t="s">
        <v>398</v>
      </c>
      <c r="N924" t="s">
        <v>500</v>
      </c>
    </row>
    <row r="925" spans="1:14" hidden="1" x14ac:dyDescent="0.25">
      <c r="A925" t="s">
        <v>573</v>
      </c>
      <c r="B925" t="s">
        <v>537</v>
      </c>
      <c r="C925" t="s">
        <v>407</v>
      </c>
      <c r="D925" s="3" t="s">
        <v>411</v>
      </c>
      <c r="E925" s="3" t="s">
        <v>691</v>
      </c>
      <c r="F925">
        <v>10</v>
      </c>
      <c r="G925" s="3">
        <f t="shared" si="45"/>
        <v>0.4236111111111111</v>
      </c>
      <c r="H925" s="3">
        <f t="shared" si="46"/>
        <v>4.2361111111111113E-2</v>
      </c>
      <c r="I925" s="1">
        <f t="shared" si="44"/>
        <v>1</v>
      </c>
      <c r="J925" t="s">
        <v>458</v>
      </c>
      <c r="K925" t="s">
        <v>397</v>
      </c>
      <c r="L925" t="s">
        <v>643</v>
      </c>
      <c r="M925" t="s">
        <v>398</v>
      </c>
      <c r="N925" t="s">
        <v>500</v>
      </c>
    </row>
    <row r="926" spans="1:14" hidden="1" x14ac:dyDescent="0.25">
      <c r="A926" t="s">
        <v>573</v>
      </c>
      <c r="B926" t="s">
        <v>537</v>
      </c>
      <c r="C926" t="s">
        <v>393</v>
      </c>
      <c r="D926" s="3" t="s">
        <v>411</v>
      </c>
      <c r="E926" s="3" t="s">
        <v>691</v>
      </c>
      <c r="F926">
        <v>10</v>
      </c>
      <c r="G926" s="3">
        <f t="shared" si="45"/>
        <v>0.4236111111111111</v>
      </c>
      <c r="H926" s="3">
        <f t="shared" si="46"/>
        <v>4.2361111111111113E-2</v>
      </c>
      <c r="I926" s="1">
        <f t="shared" si="44"/>
        <v>1</v>
      </c>
      <c r="J926" t="s">
        <v>458</v>
      </c>
      <c r="K926" t="s">
        <v>397</v>
      </c>
      <c r="L926" t="s">
        <v>643</v>
      </c>
      <c r="M926" t="s">
        <v>398</v>
      </c>
      <c r="N926" t="s">
        <v>500</v>
      </c>
    </row>
    <row r="927" spans="1:14" hidden="1" x14ac:dyDescent="0.25">
      <c r="A927" t="s">
        <v>573</v>
      </c>
      <c r="B927" t="s">
        <v>537</v>
      </c>
      <c r="C927" t="s">
        <v>406</v>
      </c>
      <c r="D927" s="3" t="s">
        <v>411</v>
      </c>
      <c r="E927" s="3" t="s">
        <v>691</v>
      </c>
      <c r="F927">
        <v>10</v>
      </c>
      <c r="G927" s="3">
        <f t="shared" si="45"/>
        <v>0.4236111111111111</v>
      </c>
      <c r="H927" s="3">
        <f t="shared" si="46"/>
        <v>4.2361111111111113E-2</v>
      </c>
      <c r="I927" s="1">
        <f t="shared" si="44"/>
        <v>1</v>
      </c>
      <c r="J927" t="s">
        <v>458</v>
      </c>
      <c r="K927" t="s">
        <v>397</v>
      </c>
      <c r="L927" t="s">
        <v>643</v>
      </c>
      <c r="M927" t="s">
        <v>398</v>
      </c>
      <c r="N927" t="s">
        <v>500</v>
      </c>
    </row>
    <row r="928" spans="1:14" hidden="1" x14ac:dyDescent="0.25">
      <c r="A928" t="s">
        <v>573</v>
      </c>
      <c r="B928" t="s">
        <v>597</v>
      </c>
      <c r="C928" t="s">
        <v>393</v>
      </c>
      <c r="D928" s="3" t="s">
        <v>479</v>
      </c>
      <c r="E928" s="3" t="s">
        <v>466</v>
      </c>
      <c r="F928">
        <v>5</v>
      </c>
      <c r="G928" s="3">
        <f t="shared" si="45"/>
        <v>0.20486111111111116</v>
      </c>
      <c r="H928" s="3">
        <f t="shared" si="46"/>
        <v>4.0972222222222229E-2</v>
      </c>
      <c r="I928" s="1">
        <f t="shared" si="44"/>
        <v>59</v>
      </c>
      <c r="J928" t="s">
        <v>471</v>
      </c>
      <c r="K928" t="s">
        <v>417</v>
      </c>
      <c r="L928" t="s">
        <v>89</v>
      </c>
      <c r="M928" t="s">
        <v>398</v>
      </c>
      <c r="N928" t="s">
        <v>465</v>
      </c>
    </row>
    <row r="929" spans="1:14" hidden="1" x14ac:dyDescent="0.25">
      <c r="A929" t="s">
        <v>573</v>
      </c>
      <c r="B929" t="s">
        <v>597</v>
      </c>
      <c r="C929" t="s">
        <v>406</v>
      </c>
      <c r="D929" s="3" t="s">
        <v>479</v>
      </c>
      <c r="E929" s="3" t="s">
        <v>466</v>
      </c>
      <c r="F929">
        <v>5</v>
      </c>
      <c r="G929" s="3">
        <f t="shared" si="45"/>
        <v>0.20486111111111116</v>
      </c>
      <c r="H929" s="3">
        <f t="shared" si="46"/>
        <v>4.0972222222222229E-2</v>
      </c>
      <c r="I929" s="1">
        <f t="shared" si="44"/>
        <v>59</v>
      </c>
      <c r="J929" t="s">
        <v>471</v>
      </c>
      <c r="K929" t="s">
        <v>417</v>
      </c>
      <c r="L929" t="s">
        <v>89</v>
      </c>
      <c r="M929" t="s">
        <v>398</v>
      </c>
      <c r="N929" t="s">
        <v>465</v>
      </c>
    </row>
    <row r="930" spans="1:14" hidden="1" x14ac:dyDescent="0.25">
      <c r="A930" t="s">
        <v>573</v>
      </c>
      <c r="B930" t="s">
        <v>573</v>
      </c>
      <c r="C930" t="s">
        <v>406</v>
      </c>
      <c r="D930" s="3" t="s">
        <v>403</v>
      </c>
      <c r="E930" s="3" t="s">
        <v>710</v>
      </c>
      <c r="F930">
        <v>15</v>
      </c>
      <c r="G930" s="3">
        <f t="shared" si="45"/>
        <v>0.19791666666666669</v>
      </c>
      <c r="H930" s="3">
        <f t="shared" si="46"/>
        <v>1.3194444444444446E-2</v>
      </c>
      <c r="I930" s="1">
        <f t="shared" si="44"/>
        <v>19</v>
      </c>
      <c r="J930" t="s">
        <v>455</v>
      </c>
      <c r="K930" t="s">
        <v>397</v>
      </c>
      <c r="L930" t="s">
        <v>315</v>
      </c>
      <c r="M930" t="s">
        <v>398</v>
      </c>
      <c r="N930" t="s">
        <v>405</v>
      </c>
    </row>
    <row r="931" spans="1:14" hidden="1" x14ac:dyDescent="0.25">
      <c r="A931" t="s">
        <v>573</v>
      </c>
      <c r="B931" t="s">
        <v>573</v>
      </c>
      <c r="C931" t="s">
        <v>393</v>
      </c>
      <c r="D931" s="3" t="s">
        <v>655</v>
      </c>
      <c r="E931" s="3" t="s">
        <v>655</v>
      </c>
      <c r="F931">
        <v>20</v>
      </c>
      <c r="G931" s="3">
        <f t="shared" si="45"/>
        <v>0</v>
      </c>
      <c r="H931" s="3">
        <f t="shared" si="46"/>
        <v>0</v>
      </c>
      <c r="I931" s="1">
        <f t="shared" si="44"/>
        <v>0</v>
      </c>
      <c r="J931" t="s">
        <v>541</v>
      </c>
      <c r="L931" t="s">
        <v>381</v>
      </c>
      <c r="M931" t="s">
        <v>644</v>
      </c>
      <c r="N931" t="s">
        <v>465</v>
      </c>
    </row>
    <row r="932" spans="1:14" hidden="1" x14ac:dyDescent="0.25">
      <c r="A932" t="s">
        <v>573</v>
      </c>
      <c r="B932" t="s">
        <v>573</v>
      </c>
      <c r="C932" t="s">
        <v>393</v>
      </c>
      <c r="D932" s="3" t="s">
        <v>655</v>
      </c>
      <c r="E932" s="3" t="s">
        <v>655</v>
      </c>
      <c r="F932">
        <v>20</v>
      </c>
      <c r="G932" s="3">
        <f t="shared" si="45"/>
        <v>0</v>
      </c>
      <c r="H932" s="3">
        <f t="shared" si="46"/>
        <v>0</v>
      </c>
      <c r="I932" s="1">
        <f t="shared" si="44"/>
        <v>0</v>
      </c>
      <c r="J932" t="s">
        <v>560</v>
      </c>
      <c r="L932" t="s">
        <v>381</v>
      </c>
      <c r="M932" t="s">
        <v>644</v>
      </c>
      <c r="N932" t="s">
        <v>465</v>
      </c>
    </row>
    <row r="933" spans="1:14" hidden="1" x14ac:dyDescent="0.25">
      <c r="A933" t="s">
        <v>573</v>
      </c>
      <c r="B933" t="s">
        <v>573</v>
      </c>
      <c r="C933" t="s">
        <v>393</v>
      </c>
      <c r="D933" s="3" t="s">
        <v>655</v>
      </c>
      <c r="E933" s="3" t="s">
        <v>655</v>
      </c>
      <c r="F933">
        <v>10</v>
      </c>
      <c r="G933" s="3">
        <f t="shared" si="45"/>
        <v>0</v>
      </c>
      <c r="H933" s="3">
        <f t="shared" si="46"/>
        <v>0</v>
      </c>
      <c r="I933" s="1">
        <f t="shared" si="44"/>
        <v>0</v>
      </c>
      <c r="J933" t="s">
        <v>529</v>
      </c>
      <c r="L933" t="s">
        <v>672</v>
      </c>
      <c r="M933" t="s">
        <v>644</v>
      </c>
      <c r="N933" t="s">
        <v>465</v>
      </c>
    </row>
    <row r="934" spans="1:14" hidden="1" x14ac:dyDescent="0.25">
      <c r="A934" t="s">
        <v>573</v>
      </c>
      <c r="B934" t="s">
        <v>573</v>
      </c>
      <c r="C934" t="s">
        <v>393</v>
      </c>
      <c r="D934" s="3" t="s">
        <v>655</v>
      </c>
      <c r="E934" s="3" t="s">
        <v>655</v>
      </c>
      <c r="F934">
        <v>10</v>
      </c>
      <c r="G934" s="3">
        <f t="shared" si="45"/>
        <v>0</v>
      </c>
      <c r="H934" s="3">
        <f t="shared" si="46"/>
        <v>0</v>
      </c>
      <c r="I934" s="1">
        <f t="shared" si="44"/>
        <v>0</v>
      </c>
      <c r="J934" t="s">
        <v>541</v>
      </c>
      <c r="L934" t="s">
        <v>672</v>
      </c>
      <c r="M934" t="s">
        <v>644</v>
      </c>
      <c r="N934" t="s">
        <v>465</v>
      </c>
    </row>
    <row r="935" spans="1:14" hidden="1" x14ac:dyDescent="0.25">
      <c r="A935" t="s">
        <v>573</v>
      </c>
      <c r="B935" t="s">
        <v>573</v>
      </c>
      <c r="C935" t="s">
        <v>393</v>
      </c>
      <c r="D935" s="3" t="s">
        <v>655</v>
      </c>
      <c r="E935" s="3" t="s">
        <v>655</v>
      </c>
      <c r="F935">
        <v>10</v>
      </c>
      <c r="G935" s="3">
        <f t="shared" si="45"/>
        <v>0</v>
      </c>
      <c r="H935" s="3">
        <f t="shared" si="46"/>
        <v>0</v>
      </c>
      <c r="I935" s="1">
        <f t="shared" si="44"/>
        <v>0</v>
      </c>
      <c r="J935" t="s">
        <v>529</v>
      </c>
      <c r="L935" t="s">
        <v>672</v>
      </c>
      <c r="M935" t="s">
        <v>644</v>
      </c>
      <c r="N935" t="s">
        <v>465</v>
      </c>
    </row>
    <row r="936" spans="1:14" hidden="1" x14ac:dyDescent="0.25">
      <c r="A936" t="s">
        <v>598</v>
      </c>
      <c r="B936" t="s">
        <v>598</v>
      </c>
      <c r="C936" t="s">
        <v>400</v>
      </c>
      <c r="D936" s="3" t="s">
        <v>403</v>
      </c>
      <c r="E936" s="3" t="s">
        <v>431</v>
      </c>
      <c r="F936">
        <v>5</v>
      </c>
      <c r="G936" s="3">
        <f t="shared" si="45"/>
        <v>0.3576388888888889</v>
      </c>
      <c r="H936" s="3">
        <f t="shared" si="46"/>
        <v>7.1527777777777773E-2</v>
      </c>
      <c r="I936" s="1">
        <f t="shared" si="44"/>
        <v>43</v>
      </c>
      <c r="J936" t="s">
        <v>425</v>
      </c>
      <c r="K936" t="s">
        <v>397</v>
      </c>
      <c r="L936" t="s">
        <v>114</v>
      </c>
      <c r="M936" t="s">
        <v>398</v>
      </c>
      <c r="N936" t="s">
        <v>405</v>
      </c>
    </row>
    <row r="937" spans="1:14" hidden="1" x14ac:dyDescent="0.25">
      <c r="A937" t="s">
        <v>598</v>
      </c>
      <c r="B937" t="s">
        <v>598</v>
      </c>
      <c r="C937" t="s">
        <v>400</v>
      </c>
      <c r="D937" s="3" t="s">
        <v>411</v>
      </c>
      <c r="E937" s="3" t="s">
        <v>695</v>
      </c>
      <c r="F937">
        <v>10</v>
      </c>
      <c r="G937" s="3">
        <f t="shared" si="45"/>
        <v>0.3263888888888889</v>
      </c>
      <c r="H937" s="3">
        <f t="shared" si="46"/>
        <v>3.2638888888888891E-2</v>
      </c>
      <c r="I937" s="1">
        <f t="shared" si="44"/>
        <v>47</v>
      </c>
      <c r="J937" t="s">
        <v>427</v>
      </c>
      <c r="K937" t="s">
        <v>397</v>
      </c>
      <c r="L937" t="s">
        <v>643</v>
      </c>
      <c r="M937" t="s">
        <v>398</v>
      </c>
      <c r="N937" t="s">
        <v>447</v>
      </c>
    </row>
    <row r="938" spans="1:14" hidden="1" x14ac:dyDescent="0.25">
      <c r="A938" t="s">
        <v>598</v>
      </c>
      <c r="B938" t="s">
        <v>598</v>
      </c>
      <c r="C938" t="s">
        <v>400</v>
      </c>
      <c r="D938" s="3" t="s">
        <v>403</v>
      </c>
      <c r="E938" s="3" t="s">
        <v>424</v>
      </c>
      <c r="F938">
        <v>20</v>
      </c>
      <c r="G938" s="3">
        <f t="shared" si="45"/>
        <v>0.2361111111111111</v>
      </c>
      <c r="H938" s="3">
        <f t="shared" si="46"/>
        <v>1.1805555555555555E-2</v>
      </c>
      <c r="I938" s="1">
        <f t="shared" si="44"/>
        <v>17</v>
      </c>
      <c r="J938" t="s">
        <v>396</v>
      </c>
      <c r="K938" t="s">
        <v>397</v>
      </c>
      <c r="L938" t="s">
        <v>355</v>
      </c>
      <c r="M938" t="s">
        <v>398</v>
      </c>
      <c r="N938" t="s">
        <v>405</v>
      </c>
    </row>
    <row r="939" spans="1:14" hidden="1" x14ac:dyDescent="0.25">
      <c r="A939" t="s">
        <v>598</v>
      </c>
      <c r="B939" t="s">
        <v>598</v>
      </c>
      <c r="C939" t="s">
        <v>400</v>
      </c>
      <c r="D939" s="3" t="s">
        <v>411</v>
      </c>
      <c r="E939" s="3" t="s">
        <v>467</v>
      </c>
      <c r="F939">
        <v>5</v>
      </c>
      <c r="G939" s="3">
        <f t="shared" si="45"/>
        <v>0.37152777777777773</v>
      </c>
      <c r="H939" s="3">
        <f t="shared" si="46"/>
        <v>7.4305555555555541E-2</v>
      </c>
      <c r="I939" s="1">
        <f t="shared" si="44"/>
        <v>47</v>
      </c>
      <c r="J939" t="s">
        <v>476</v>
      </c>
      <c r="K939" t="s">
        <v>397</v>
      </c>
      <c r="L939" t="s">
        <v>711</v>
      </c>
      <c r="M939" t="s">
        <v>398</v>
      </c>
      <c r="N939" t="s">
        <v>465</v>
      </c>
    </row>
    <row r="940" spans="1:14" hidden="1" x14ac:dyDescent="0.25">
      <c r="A940" t="s">
        <v>598</v>
      </c>
      <c r="B940" t="s">
        <v>598</v>
      </c>
      <c r="C940" t="s">
        <v>406</v>
      </c>
      <c r="D940" s="3" t="s">
        <v>655</v>
      </c>
      <c r="E940" s="3" t="s">
        <v>655</v>
      </c>
      <c r="F940">
        <v>100</v>
      </c>
      <c r="G940" s="3">
        <f t="shared" si="45"/>
        <v>0</v>
      </c>
      <c r="H940" s="3">
        <f t="shared" si="46"/>
        <v>0</v>
      </c>
      <c r="I940" s="1">
        <f t="shared" si="44"/>
        <v>0</v>
      </c>
      <c r="J940" t="s">
        <v>560</v>
      </c>
      <c r="L940" t="s">
        <v>381</v>
      </c>
      <c r="M940" t="s">
        <v>644</v>
      </c>
      <c r="N940" t="s">
        <v>465</v>
      </c>
    </row>
    <row r="941" spans="1:14" hidden="1" x14ac:dyDescent="0.25">
      <c r="A941" t="s">
        <v>598</v>
      </c>
      <c r="B941" t="s">
        <v>598</v>
      </c>
      <c r="C941" t="s">
        <v>406</v>
      </c>
      <c r="D941" s="3" t="s">
        <v>655</v>
      </c>
      <c r="E941" s="3" t="s">
        <v>655</v>
      </c>
      <c r="F941">
        <v>10</v>
      </c>
      <c r="G941" s="3">
        <f t="shared" si="45"/>
        <v>0</v>
      </c>
      <c r="H941" s="3">
        <f t="shared" si="46"/>
        <v>0</v>
      </c>
      <c r="I941" s="1">
        <f t="shared" si="44"/>
        <v>0</v>
      </c>
      <c r="J941" t="s">
        <v>541</v>
      </c>
      <c r="L941" t="s">
        <v>672</v>
      </c>
      <c r="M941" t="s">
        <v>644</v>
      </c>
      <c r="N941" t="s">
        <v>465</v>
      </c>
    </row>
    <row r="942" spans="1:14" hidden="1" x14ac:dyDescent="0.25">
      <c r="A942" t="s">
        <v>616</v>
      </c>
      <c r="B942" t="s">
        <v>616</v>
      </c>
      <c r="C942" t="s">
        <v>422</v>
      </c>
      <c r="D942" s="3" t="s">
        <v>419</v>
      </c>
      <c r="E942" s="3" t="s">
        <v>451</v>
      </c>
      <c r="F942">
        <v>5</v>
      </c>
      <c r="G942" s="3">
        <f t="shared" si="45"/>
        <v>0.19097222222222221</v>
      </c>
      <c r="H942" s="3">
        <f t="shared" si="46"/>
        <v>3.8194444444444441E-2</v>
      </c>
      <c r="I942" s="1">
        <f t="shared" si="44"/>
        <v>55</v>
      </c>
      <c r="J942" t="s">
        <v>497</v>
      </c>
      <c r="K942" t="s">
        <v>397</v>
      </c>
      <c r="L942" t="s">
        <v>143</v>
      </c>
      <c r="M942" t="s">
        <v>398</v>
      </c>
      <c r="N942" t="s">
        <v>405</v>
      </c>
    </row>
    <row r="943" spans="1:14" hidden="1" x14ac:dyDescent="0.25">
      <c r="A943" t="s">
        <v>616</v>
      </c>
      <c r="B943" t="s">
        <v>580</v>
      </c>
      <c r="C943" t="s">
        <v>422</v>
      </c>
      <c r="D943" s="3" t="s">
        <v>411</v>
      </c>
      <c r="E943" s="3" t="s">
        <v>548</v>
      </c>
      <c r="F943">
        <v>10</v>
      </c>
      <c r="G943" s="3">
        <f t="shared" si="45"/>
        <v>0.11805555555555558</v>
      </c>
      <c r="H943" s="3">
        <f t="shared" si="46"/>
        <v>1.1805555555555559E-2</v>
      </c>
      <c r="I943" s="1">
        <f t="shared" si="44"/>
        <v>17</v>
      </c>
      <c r="J943" t="s">
        <v>404</v>
      </c>
      <c r="K943" t="s">
        <v>397</v>
      </c>
      <c r="L943" t="s">
        <v>333</v>
      </c>
      <c r="M943" t="s">
        <v>398</v>
      </c>
      <c r="N943" t="s">
        <v>405</v>
      </c>
    </row>
    <row r="944" spans="1:14" hidden="1" x14ac:dyDescent="0.25">
      <c r="A944" t="s">
        <v>616</v>
      </c>
      <c r="B944" t="s">
        <v>616</v>
      </c>
      <c r="C944" t="s">
        <v>400</v>
      </c>
      <c r="D944" s="3" t="s">
        <v>655</v>
      </c>
      <c r="E944" s="3" t="s">
        <v>655</v>
      </c>
      <c r="F944">
        <v>1</v>
      </c>
      <c r="G944" s="3">
        <f t="shared" si="45"/>
        <v>0</v>
      </c>
      <c r="H944" s="3">
        <f t="shared" si="46"/>
        <v>0</v>
      </c>
      <c r="I944" s="1">
        <f t="shared" si="44"/>
        <v>0</v>
      </c>
      <c r="J944" t="s">
        <v>566</v>
      </c>
      <c r="L944" t="s">
        <v>693</v>
      </c>
      <c r="M944" t="s">
        <v>644</v>
      </c>
      <c r="N944" t="s">
        <v>433</v>
      </c>
    </row>
    <row r="945" spans="1:14" hidden="1" x14ac:dyDescent="0.25">
      <c r="A945" t="s">
        <v>616</v>
      </c>
      <c r="B945" t="s">
        <v>616</v>
      </c>
      <c r="C945" t="s">
        <v>400</v>
      </c>
      <c r="D945" s="3" t="s">
        <v>655</v>
      </c>
      <c r="E945" s="3" t="s">
        <v>655</v>
      </c>
      <c r="G945" s="3">
        <f t="shared" si="45"/>
        <v>0</v>
      </c>
      <c r="H945" s="3" t="e">
        <f t="shared" si="46"/>
        <v>#DIV/0!</v>
      </c>
      <c r="I945" s="1" t="e">
        <f t="shared" si="44"/>
        <v>#DIV/0!</v>
      </c>
      <c r="J945" t="s">
        <v>508</v>
      </c>
      <c r="L945" t="s">
        <v>688</v>
      </c>
      <c r="M945" t="s">
        <v>644</v>
      </c>
      <c r="N945" t="s">
        <v>447</v>
      </c>
    </row>
    <row r="946" spans="1:14" hidden="1" x14ac:dyDescent="0.25">
      <c r="A946" t="s">
        <v>616</v>
      </c>
      <c r="B946" t="s">
        <v>616</v>
      </c>
      <c r="C946" t="s">
        <v>400</v>
      </c>
      <c r="D946" s="3" t="s">
        <v>655</v>
      </c>
      <c r="E946" s="3" t="s">
        <v>655</v>
      </c>
      <c r="F946">
        <v>20</v>
      </c>
      <c r="G946" s="3">
        <f t="shared" si="45"/>
        <v>0</v>
      </c>
      <c r="H946" s="3">
        <f t="shared" si="46"/>
        <v>0</v>
      </c>
      <c r="I946" s="1">
        <f t="shared" si="44"/>
        <v>0</v>
      </c>
      <c r="J946" t="s">
        <v>541</v>
      </c>
      <c r="L946" t="s">
        <v>381</v>
      </c>
      <c r="M946" t="s">
        <v>644</v>
      </c>
      <c r="N946" t="s">
        <v>465</v>
      </c>
    </row>
    <row r="947" spans="1:14" hidden="1" x14ac:dyDescent="0.25">
      <c r="A947" t="s">
        <v>712</v>
      </c>
      <c r="B947" t="s">
        <v>712</v>
      </c>
      <c r="C947" t="s">
        <v>491</v>
      </c>
      <c r="D947" s="3" t="s">
        <v>403</v>
      </c>
      <c r="E947" s="3" t="s">
        <v>442</v>
      </c>
      <c r="F947">
        <v>5</v>
      </c>
      <c r="G947" s="3">
        <f t="shared" si="45"/>
        <v>0.24652777777777773</v>
      </c>
      <c r="H947" s="3">
        <f t="shared" si="46"/>
        <v>4.9305555555555547E-2</v>
      </c>
      <c r="I947" s="1">
        <f t="shared" si="44"/>
        <v>11</v>
      </c>
      <c r="J947" t="s">
        <v>463</v>
      </c>
      <c r="K947" t="s">
        <v>397</v>
      </c>
      <c r="L947" t="s">
        <v>309</v>
      </c>
      <c r="M947" t="s">
        <v>398</v>
      </c>
      <c r="N947" t="s">
        <v>465</v>
      </c>
    </row>
    <row r="948" spans="1:14" hidden="1" x14ac:dyDescent="0.25">
      <c r="A948" t="s">
        <v>607</v>
      </c>
      <c r="B948" t="s">
        <v>607</v>
      </c>
      <c r="C948" t="s">
        <v>491</v>
      </c>
      <c r="D948" s="3" t="s">
        <v>655</v>
      </c>
      <c r="E948" s="3" t="s">
        <v>655</v>
      </c>
      <c r="G948" s="3">
        <f t="shared" si="45"/>
        <v>0</v>
      </c>
      <c r="H948" s="3" t="e">
        <f t="shared" si="46"/>
        <v>#DIV/0!</v>
      </c>
      <c r="I948" s="1" t="e">
        <f t="shared" si="44"/>
        <v>#DIV/0!</v>
      </c>
      <c r="J948" t="s">
        <v>508</v>
      </c>
      <c r="L948" t="s">
        <v>709</v>
      </c>
      <c r="M948" t="s">
        <v>644</v>
      </c>
      <c r="N948" t="s">
        <v>575</v>
      </c>
    </row>
    <row r="949" spans="1:14" hidden="1" x14ac:dyDescent="0.25">
      <c r="A949" t="s">
        <v>607</v>
      </c>
      <c r="B949" t="s">
        <v>607</v>
      </c>
      <c r="C949" t="s">
        <v>491</v>
      </c>
      <c r="D949" s="3" t="s">
        <v>655</v>
      </c>
      <c r="E949" s="3" t="s">
        <v>655</v>
      </c>
      <c r="F949">
        <v>10</v>
      </c>
      <c r="G949" s="3">
        <f t="shared" si="45"/>
        <v>0</v>
      </c>
      <c r="H949" s="3">
        <f t="shared" si="46"/>
        <v>0</v>
      </c>
      <c r="I949" s="1">
        <f t="shared" si="44"/>
        <v>0</v>
      </c>
      <c r="J949" t="s">
        <v>541</v>
      </c>
      <c r="L949" t="s">
        <v>672</v>
      </c>
      <c r="M949" t="s">
        <v>644</v>
      </c>
      <c r="N949" t="s">
        <v>465</v>
      </c>
    </row>
    <row r="950" spans="1:14" hidden="1" x14ac:dyDescent="0.25">
      <c r="A950" t="s">
        <v>607</v>
      </c>
      <c r="B950" t="s">
        <v>607</v>
      </c>
      <c r="C950" t="s">
        <v>491</v>
      </c>
      <c r="D950" s="3" t="s">
        <v>655</v>
      </c>
      <c r="E950" s="3" t="s">
        <v>655</v>
      </c>
      <c r="F950">
        <v>10</v>
      </c>
      <c r="G950" s="3">
        <f t="shared" si="45"/>
        <v>0</v>
      </c>
      <c r="H950" s="3">
        <f t="shared" si="46"/>
        <v>0</v>
      </c>
      <c r="I950" s="1">
        <f t="shared" si="44"/>
        <v>0</v>
      </c>
      <c r="J950" t="s">
        <v>529</v>
      </c>
      <c r="L950" t="s">
        <v>672</v>
      </c>
      <c r="M950" t="s">
        <v>644</v>
      </c>
      <c r="N950" t="s">
        <v>465</v>
      </c>
    </row>
    <row r="951" spans="1:14" hidden="1" x14ac:dyDescent="0.25">
      <c r="A951" t="s">
        <v>607</v>
      </c>
      <c r="B951" t="s">
        <v>607</v>
      </c>
      <c r="C951" t="s">
        <v>491</v>
      </c>
      <c r="D951" s="3" t="s">
        <v>655</v>
      </c>
      <c r="E951" s="3" t="s">
        <v>655</v>
      </c>
      <c r="F951">
        <v>10</v>
      </c>
      <c r="G951" s="3">
        <f t="shared" si="45"/>
        <v>0</v>
      </c>
      <c r="H951" s="3">
        <f t="shared" si="46"/>
        <v>0</v>
      </c>
      <c r="I951" s="1">
        <f t="shared" si="44"/>
        <v>0</v>
      </c>
      <c r="J951" t="s">
        <v>541</v>
      </c>
      <c r="L951" t="s">
        <v>672</v>
      </c>
      <c r="M951" t="s">
        <v>644</v>
      </c>
      <c r="N951" t="s">
        <v>465</v>
      </c>
    </row>
    <row r="952" spans="1:14" hidden="1" x14ac:dyDescent="0.25">
      <c r="A952" t="s">
        <v>610</v>
      </c>
      <c r="B952" t="s">
        <v>591</v>
      </c>
      <c r="C952" t="s">
        <v>407</v>
      </c>
      <c r="D952" s="3" t="s">
        <v>403</v>
      </c>
      <c r="E952" s="3" t="s">
        <v>441</v>
      </c>
      <c r="F952">
        <v>5</v>
      </c>
      <c r="G952" s="3">
        <f t="shared" si="45"/>
        <v>0.41319444444444448</v>
      </c>
      <c r="H952" s="3">
        <f t="shared" si="46"/>
        <v>8.2638888888888901E-2</v>
      </c>
      <c r="I952" s="1">
        <f t="shared" si="44"/>
        <v>59</v>
      </c>
      <c r="J952" t="s">
        <v>470</v>
      </c>
      <c r="K952" t="s">
        <v>397</v>
      </c>
      <c r="L952" t="s">
        <v>713</v>
      </c>
      <c r="M952" t="s">
        <v>398</v>
      </c>
      <c r="N952" t="s">
        <v>465</v>
      </c>
    </row>
    <row r="953" spans="1:14" hidden="1" x14ac:dyDescent="0.25">
      <c r="A953" t="s">
        <v>610</v>
      </c>
      <c r="B953" t="s">
        <v>610</v>
      </c>
      <c r="C953" t="s">
        <v>401</v>
      </c>
      <c r="D953" s="3" t="s">
        <v>411</v>
      </c>
      <c r="E953" s="3" t="s">
        <v>441</v>
      </c>
      <c r="F953">
        <v>5</v>
      </c>
      <c r="G953" s="3">
        <f t="shared" si="45"/>
        <v>0.4548611111111111</v>
      </c>
      <c r="H953" s="3">
        <f t="shared" si="46"/>
        <v>9.0972222222222218E-2</v>
      </c>
      <c r="I953" s="1">
        <f t="shared" si="44"/>
        <v>11</v>
      </c>
      <c r="J953" t="s">
        <v>468</v>
      </c>
      <c r="K953" t="s">
        <v>397</v>
      </c>
      <c r="L953" t="s">
        <v>358</v>
      </c>
      <c r="M953" t="s">
        <v>644</v>
      </c>
      <c r="N953" t="s">
        <v>465</v>
      </c>
    </row>
    <row r="954" spans="1:14" hidden="1" x14ac:dyDescent="0.25">
      <c r="A954" t="s">
        <v>610</v>
      </c>
      <c r="B954" t="s">
        <v>610</v>
      </c>
      <c r="C954" t="s">
        <v>401</v>
      </c>
      <c r="D954" s="3" t="s">
        <v>655</v>
      </c>
      <c r="E954" s="3" t="s">
        <v>655</v>
      </c>
      <c r="F954">
        <v>20</v>
      </c>
      <c r="G954" s="3">
        <f t="shared" si="45"/>
        <v>0</v>
      </c>
      <c r="H954" s="3">
        <f t="shared" si="46"/>
        <v>0</v>
      </c>
      <c r="I954" s="1">
        <f t="shared" si="44"/>
        <v>0</v>
      </c>
      <c r="J954" t="s">
        <v>541</v>
      </c>
      <c r="L954" t="s">
        <v>381</v>
      </c>
      <c r="M954" t="s">
        <v>644</v>
      </c>
      <c r="N954" t="s">
        <v>465</v>
      </c>
    </row>
    <row r="955" spans="1:14" hidden="1" x14ac:dyDescent="0.25">
      <c r="A955" t="s">
        <v>610</v>
      </c>
      <c r="B955" t="s">
        <v>610</v>
      </c>
      <c r="C955" t="s">
        <v>401</v>
      </c>
      <c r="D955" s="3" t="s">
        <v>547</v>
      </c>
      <c r="E955" s="3" t="s">
        <v>438</v>
      </c>
      <c r="F955">
        <v>5</v>
      </c>
      <c r="G955" s="3">
        <f t="shared" si="45"/>
        <v>0.24652777777777785</v>
      </c>
      <c r="H955" s="3">
        <f t="shared" si="46"/>
        <v>4.9305555555555568E-2</v>
      </c>
      <c r="I955" s="1">
        <f t="shared" si="44"/>
        <v>11</v>
      </c>
      <c r="J955" t="s">
        <v>463</v>
      </c>
      <c r="K955" t="s">
        <v>397</v>
      </c>
      <c r="L955" t="s">
        <v>376</v>
      </c>
      <c r="M955" t="s">
        <v>644</v>
      </c>
      <c r="N955" t="s">
        <v>465</v>
      </c>
    </row>
    <row r="956" spans="1:14" hidden="1" x14ac:dyDescent="0.25">
      <c r="A956" t="s">
        <v>610</v>
      </c>
      <c r="B956" t="s">
        <v>610</v>
      </c>
      <c r="C956" t="s">
        <v>401</v>
      </c>
      <c r="D956" s="3" t="s">
        <v>411</v>
      </c>
      <c r="E956" s="3" t="s">
        <v>464</v>
      </c>
      <c r="F956">
        <v>30</v>
      </c>
      <c r="G956" s="3">
        <f t="shared" si="45"/>
        <v>0.45833333333333331</v>
      </c>
      <c r="H956" s="3">
        <f t="shared" si="46"/>
        <v>1.5277777777777777E-2</v>
      </c>
      <c r="I956" s="1">
        <f t="shared" si="44"/>
        <v>22</v>
      </c>
      <c r="J956" t="s">
        <v>529</v>
      </c>
      <c r="K956" t="s">
        <v>397</v>
      </c>
      <c r="L956" t="s">
        <v>510</v>
      </c>
      <c r="M956" t="s">
        <v>644</v>
      </c>
      <c r="N956" t="s">
        <v>465</v>
      </c>
    </row>
    <row r="957" spans="1:14" hidden="1" x14ac:dyDescent="0.25">
      <c r="A957" t="s">
        <v>610</v>
      </c>
      <c r="B957" t="s">
        <v>610</v>
      </c>
      <c r="C957" t="s">
        <v>401</v>
      </c>
      <c r="D957" s="3" t="s">
        <v>411</v>
      </c>
      <c r="E957" s="3" t="s">
        <v>464</v>
      </c>
      <c r="F957">
        <v>30</v>
      </c>
      <c r="G957" s="3">
        <f t="shared" si="45"/>
        <v>0.45833333333333331</v>
      </c>
      <c r="H957" s="3">
        <f t="shared" si="46"/>
        <v>1.5277777777777777E-2</v>
      </c>
      <c r="I957" s="1">
        <f t="shared" si="44"/>
        <v>22</v>
      </c>
      <c r="J957" t="s">
        <v>508</v>
      </c>
      <c r="K957" t="s">
        <v>397</v>
      </c>
      <c r="L957" t="s">
        <v>510</v>
      </c>
      <c r="M957" t="s">
        <v>644</v>
      </c>
      <c r="N957" t="s">
        <v>465</v>
      </c>
    </row>
    <row r="958" spans="1:14" hidden="1" x14ac:dyDescent="0.25">
      <c r="A958" t="s">
        <v>610</v>
      </c>
      <c r="B958" t="s">
        <v>610</v>
      </c>
      <c r="C958" t="s">
        <v>401</v>
      </c>
      <c r="D958" s="3" t="s">
        <v>655</v>
      </c>
      <c r="E958" s="3" t="s">
        <v>655</v>
      </c>
      <c r="F958">
        <v>10</v>
      </c>
      <c r="G958" s="3">
        <f t="shared" si="45"/>
        <v>0</v>
      </c>
      <c r="H958" s="3">
        <f t="shared" si="46"/>
        <v>0</v>
      </c>
      <c r="I958" s="1">
        <f t="shared" si="44"/>
        <v>0</v>
      </c>
      <c r="J958" t="s">
        <v>541</v>
      </c>
      <c r="L958" t="s">
        <v>672</v>
      </c>
      <c r="M958" t="s">
        <v>644</v>
      </c>
      <c r="N958" t="s">
        <v>465</v>
      </c>
    </row>
    <row r="959" spans="1:14" hidden="1" x14ac:dyDescent="0.25">
      <c r="A959" t="s">
        <v>596</v>
      </c>
      <c r="B959" t="s">
        <v>596</v>
      </c>
      <c r="C959" t="s">
        <v>393</v>
      </c>
      <c r="D959" s="3" t="s">
        <v>479</v>
      </c>
      <c r="E959" s="3" t="s">
        <v>466</v>
      </c>
      <c r="F959">
        <v>5</v>
      </c>
      <c r="G959" s="3">
        <f t="shared" si="45"/>
        <v>0.20486111111111116</v>
      </c>
      <c r="H959" s="3">
        <f t="shared" si="46"/>
        <v>4.0972222222222229E-2</v>
      </c>
      <c r="I959" s="1">
        <f t="shared" si="44"/>
        <v>59</v>
      </c>
      <c r="J959" t="s">
        <v>471</v>
      </c>
      <c r="K959" t="s">
        <v>417</v>
      </c>
      <c r="L959" t="s">
        <v>89</v>
      </c>
      <c r="M959" t="s">
        <v>398</v>
      </c>
      <c r="N959" t="s">
        <v>465</v>
      </c>
    </row>
    <row r="960" spans="1:14" hidden="1" x14ac:dyDescent="0.25">
      <c r="A960" t="s">
        <v>596</v>
      </c>
      <c r="B960" t="s">
        <v>596</v>
      </c>
      <c r="C960" t="s">
        <v>407</v>
      </c>
      <c r="D960" s="3" t="s">
        <v>403</v>
      </c>
      <c r="E960" s="3" t="s">
        <v>439</v>
      </c>
      <c r="F960">
        <v>5</v>
      </c>
      <c r="G960" s="3">
        <f t="shared" si="45"/>
        <v>0.16319444444444442</v>
      </c>
      <c r="H960" s="3">
        <f t="shared" si="46"/>
        <v>3.2638888888888884E-2</v>
      </c>
      <c r="I960" s="1">
        <f t="shared" si="44"/>
        <v>47</v>
      </c>
      <c r="J960" t="s">
        <v>480</v>
      </c>
      <c r="K960" t="s">
        <v>397</v>
      </c>
      <c r="L960" t="s">
        <v>139</v>
      </c>
      <c r="M960" t="s">
        <v>644</v>
      </c>
      <c r="N960" t="s">
        <v>465</v>
      </c>
    </row>
    <row r="961" spans="1:14" hidden="1" x14ac:dyDescent="0.25">
      <c r="A961" t="s">
        <v>596</v>
      </c>
      <c r="B961" t="s">
        <v>596</v>
      </c>
      <c r="C961" t="s">
        <v>407</v>
      </c>
      <c r="D961" s="3" t="s">
        <v>403</v>
      </c>
      <c r="E961" s="3" t="s">
        <v>441</v>
      </c>
      <c r="F961">
        <v>5</v>
      </c>
      <c r="G961" s="3">
        <f t="shared" si="45"/>
        <v>0.41319444444444448</v>
      </c>
      <c r="H961" s="3">
        <f t="shared" si="46"/>
        <v>8.2638888888888901E-2</v>
      </c>
      <c r="I961" s="1">
        <f t="shared" si="44"/>
        <v>59</v>
      </c>
      <c r="J961" t="s">
        <v>409</v>
      </c>
      <c r="K961" t="s">
        <v>397</v>
      </c>
      <c r="L961" t="s">
        <v>98</v>
      </c>
      <c r="M961" t="s">
        <v>644</v>
      </c>
      <c r="N961" t="s">
        <v>447</v>
      </c>
    </row>
    <row r="962" spans="1:14" hidden="1" x14ac:dyDescent="0.25">
      <c r="A962" t="s">
        <v>596</v>
      </c>
      <c r="B962" t="s">
        <v>596</v>
      </c>
      <c r="C962" t="s">
        <v>407</v>
      </c>
      <c r="D962" s="3" t="s">
        <v>655</v>
      </c>
      <c r="E962" s="3" t="s">
        <v>655</v>
      </c>
      <c r="G962" s="3">
        <f t="shared" si="45"/>
        <v>0</v>
      </c>
      <c r="H962" s="3" t="e">
        <f t="shared" si="46"/>
        <v>#DIV/0!</v>
      </c>
      <c r="I962" s="1" t="e">
        <f t="shared" si="44"/>
        <v>#DIV/0!</v>
      </c>
      <c r="J962" t="s">
        <v>508</v>
      </c>
      <c r="L962" t="s">
        <v>709</v>
      </c>
      <c r="M962" t="s">
        <v>644</v>
      </c>
      <c r="N962" t="s">
        <v>575</v>
      </c>
    </row>
    <row r="963" spans="1:14" hidden="1" x14ac:dyDescent="0.25">
      <c r="A963" t="s">
        <v>596</v>
      </c>
      <c r="B963" t="s">
        <v>596</v>
      </c>
      <c r="C963" t="s">
        <v>407</v>
      </c>
      <c r="D963" s="3" t="s">
        <v>655</v>
      </c>
      <c r="E963" s="3" t="s">
        <v>655</v>
      </c>
      <c r="F963">
        <v>10</v>
      </c>
      <c r="G963" s="3">
        <f t="shared" si="45"/>
        <v>0</v>
      </c>
      <c r="H963" s="3">
        <f t="shared" si="46"/>
        <v>0</v>
      </c>
      <c r="I963" s="1">
        <f t="shared" ref="I963:I1026" si="47">MINUTE(H963)</f>
        <v>0</v>
      </c>
      <c r="J963" t="s">
        <v>529</v>
      </c>
      <c r="L963" t="s">
        <v>672</v>
      </c>
      <c r="M963" t="s">
        <v>644</v>
      </c>
      <c r="N963" t="s">
        <v>465</v>
      </c>
    </row>
    <row r="964" spans="1:14" hidden="1" x14ac:dyDescent="0.25">
      <c r="A964" t="s">
        <v>714</v>
      </c>
      <c r="B964" t="s">
        <v>596</v>
      </c>
      <c r="C964" t="s">
        <v>406</v>
      </c>
      <c r="D964" s="3" t="s">
        <v>479</v>
      </c>
      <c r="E964" s="3" t="s">
        <v>466</v>
      </c>
      <c r="F964">
        <v>5</v>
      </c>
      <c r="G964" s="3">
        <f t="shared" ref="G964:G1027" si="48">(E964-D964)</f>
        <v>0.20486111111111116</v>
      </c>
      <c r="H964" s="3">
        <f t="shared" ref="H964:H1027" si="49">G964/F964</f>
        <v>4.0972222222222229E-2</v>
      </c>
      <c r="I964" s="1">
        <f t="shared" si="47"/>
        <v>59</v>
      </c>
      <c r="J964" t="s">
        <v>471</v>
      </c>
      <c r="K964" t="s">
        <v>417</v>
      </c>
      <c r="L964" t="s">
        <v>89</v>
      </c>
      <c r="M964" t="s">
        <v>398</v>
      </c>
      <c r="N964" t="s">
        <v>465</v>
      </c>
    </row>
    <row r="965" spans="1:14" hidden="1" x14ac:dyDescent="0.25">
      <c r="A965" t="s">
        <v>714</v>
      </c>
      <c r="B965" t="s">
        <v>714</v>
      </c>
      <c r="C965" t="s">
        <v>406</v>
      </c>
      <c r="D965" s="3" t="s">
        <v>403</v>
      </c>
      <c r="E965" s="3" t="s">
        <v>460</v>
      </c>
      <c r="F965">
        <v>40</v>
      </c>
      <c r="G965" s="3">
        <f t="shared" si="48"/>
        <v>0.3888888888888889</v>
      </c>
      <c r="H965" s="3">
        <f t="shared" si="49"/>
        <v>9.7222222222222224E-3</v>
      </c>
      <c r="I965" s="1">
        <f t="shared" si="47"/>
        <v>14</v>
      </c>
      <c r="J965" t="s">
        <v>458</v>
      </c>
      <c r="K965" t="s">
        <v>397</v>
      </c>
      <c r="L965" t="s">
        <v>128</v>
      </c>
      <c r="M965" t="s">
        <v>398</v>
      </c>
      <c r="N965" t="s">
        <v>447</v>
      </c>
    </row>
    <row r="966" spans="1:14" hidden="1" x14ac:dyDescent="0.25">
      <c r="A966" t="s">
        <v>714</v>
      </c>
      <c r="B966" t="s">
        <v>714</v>
      </c>
      <c r="C966" t="s">
        <v>406</v>
      </c>
      <c r="D966" s="3" t="s">
        <v>403</v>
      </c>
      <c r="E966" s="3" t="s">
        <v>402</v>
      </c>
      <c r="F966">
        <v>15</v>
      </c>
      <c r="G966" s="3">
        <f t="shared" si="48"/>
        <v>0.14930555555555558</v>
      </c>
      <c r="H966" s="3">
        <f t="shared" si="49"/>
        <v>9.9537037037037059E-3</v>
      </c>
      <c r="I966" s="1">
        <f t="shared" si="47"/>
        <v>14</v>
      </c>
      <c r="J966" t="s">
        <v>455</v>
      </c>
      <c r="K966" t="s">
        <v>397</v>
      </c>
      <c r="L966" t="s">
        <v>315</v>
      </c>
      <c r="M966" t="s">
        <v>398</v>
      </c>
      <c r="N966" t="s">
        <v>405</v>
      </c>
    </row>
    <row r="967" spans="1:14" hidden="1" x14ac:dyDescent="0.25">
      <c r="A967" t="s">
        <v>714</v>
      </c>
      <c r="B967" t="s">
        <v>714</v>
      </c>
      <c r="C967" t="s">
        <v>393</v>
      </c>
      <c r="D967" s="3" t="s">
        <v>655</v>
      </c>
      <c r="E967" s="3" t="s">
        <v>655</v>
      </c>
      <c r="G967" s="3">
        <f t="shared" si="48"/>
        <v>0</v>
      </c>
      <c r="H967" s="3" t="e">
        <f t="shared" si="49"/>
        <v>#DIV/0!</v>
      </c>
      <c r="I967" s="1" t="e">
        <f t="shared" si="47"/>
        <v>#DIV/0!</v>
      </c>
      <c r="J967" t="s">
        <v>508</v>
      </c>
      <c r="L967" t="s">
        <v>709</v>
      </c>
      <c r="M967" t="s">
        <v>644</v>
      </c>
      <c r="N967" t="s">
        <v>575</v>
      </c>
    </row>
    <row r="968" spans="1:14" hidden="1" x14ac:dyDescent="0.25">
      <c r="A968" t="s">
        <v>714</v>
      </c>
      <c r="B968" t="s">
        <v>714</v>
      </c>
      <c r="C968" t="s">
        <v>393</v>
      </c>
      <c r="D968" s="3" t="s">
        <v>655</v>
      </c>
      <c r="E968" s="3" t="s">
        <v>655</v>
      </c>
      <c r="F968">
        <v>100</v>
      </c>
      <c r="G968" s="3">
        <f t="shared" si="48"/>
        <v>0</v>
      </c>
      <c r="H968" s="3">
        <f t="shared" si="49"/>
        <v>0</v>
      </c>
      <c r="I968" s="1">
        <f t="shared" si="47"/>
        <v>0</v>
      </c>
      <c r="J968" t="s">
        <v>552</v>
      </c>
      <c r="L968" t="s">
        <v>702</v>
      </c>
      <c r="M968" t="s">
        <v>644</v>
      </c>
      <c r="N968" t="s">
        <v>575</v>
      </c>
    </row>
    <row r="969" spans="1:14" hidden="1" x14ac:dyDescent="0.25">
      <c r="A969" t="s">
        <v>714</v>
      </c>
      <c r="B969" t="s">
        <v>714</v>
      </c>
      <c r="C969" t="s">
        <v>393</v>
      </c>
      <c r="D969" s="3" t="s">
        <v>655</v>
      </c>
      <c r="E969" s="3" t="s">
        <v>655</v>
      </c>
      <c r="F969">
        <v>20</v>
      </c>
      <c r="G969" s="3">
        <f t="shared" si="48"/>
        <v>0</v>
      </c>
      <c r="H969" s="3">
        <f t="shared" si="49"/>
        <v>0</v>
      </c>
      <c r="I969" s="1">
        <f t="shared" si="47"/>
        <v>0</v>
      </c>
      <c r="J969" t="s">
        <v>541</v>
      </c>
      <c r="L969" t="s">
        <v>381</v>
      </c>
      <c r="M969" t="s">
        <v>644</v>
      </c>
      <c r="N969" t="s">
        <v>465</v>
      </c>
    </row>
    <row r="970" spans="1:14" hidden="1" x14ac:dyDescent="0.25">
      <c r="A970" t="s">
        <v>714</v>
      </c>
      <c r="B970" t="s">
        <v>714</v>
      </c>
      <c r="C970" t="s">
        <v>393</v>
      </c>
      <c r="D970" s="3" t="s">
        <v>655</v>
      </c>
      <c r="E970" s="3" t="s">
        <v>655</v>
      </c>
      <c r="F970">
        <v>60</v>
      </c>
      <c r="G970" s="3">
        <f t="shared" si="48"/>
        <v>0</v>
      </c>
      <c r="H970" s="3">
        <f t="shared" si="49"/>
        <v>0</v>
      </c>
      <c r="I970" s="1">
        <f t="shared" si="47"/>
        <v>0</v>
      </c>
      <c r="J970" t="s">
        <v>560</v>
      </c>
      <c r="L970" t="s">
        <v>381</v>
      </c>
      <c r="M970" t="s">
        <v>644</v>
      </c>
      <c r="N970" t="s">
        <v>465</v>
      </c>
    </row>
    <row r="971" spans="1:14" hidden="1" x14ac:dyDescent="0.25">
      <c r="A971" t="s">
        <v>714</v>
      </c>
      <c r="B971" t="s">
        <v>714</v>
      </c>
      <c r="C971" t="s">
        <v>393</v>
      </c>
      <c r="D971" s="3" t="s">
        <v>655</v>
      </c>
      <c r="E971" s="3" t="s">
        <v>655</v>
      </c>
      <c r="F971">
        <v>60</v>
      </c>
      <c r="G971" s="3">
        <f t="shared" si="48"/>
        <v>0</v>
      </c>
      <c r="H971" s="3">
        <f t="shared" si="49"/>
        <v>0</v>
      </c>
      <c r="I971" s="1">
        <f t="shared" si="47"/>
        <v>0</v>
      </c>
      <c r="J971" t="s">
        <v>541</v>
      </c>
      <c r="L971" t="s">
        <v>381</v>
      </c>
      <c r="M971" t="s">
        <v>644</v>
      </c>
      <c r="N971" t="s">
        <v>465</v>
      </c>
    </row>
    <row r="972" spans="1:14" hidden="1" x14ac:dyDescent="0.25">
      <c r="A972" t="s">
        <v>714</v>
      </c>
      <c r="B972" t="s">
        <v>714</v>
      </c>
      <c r="C972" t="s">
        <v>393</v>
      </c>
      <c r="D972" s="3" t="s">
        <v>655</v>
      </c>
      <c r="E972" s="3" t="s">
        <v>655</v>
      </c>
      <c r="F972">
        <v>91</v>
      </c>
      <c r="G972" s="3">
        <f t="shared" si="48"/>
        <v>0</v>
      </c>
      <c r="H972" s="3">
        <f t="shared" si="49"/>
        <v>0</v>
      </c>
      <c r="I972" s="1">
        <f t="shared" si="47"/>
        <v>0</v>
      </c>
      <c r="J972" t="s">
        <v>529</v>
      </c>
      <c r="L972" t="s">
        <v>669</v>
      </c>
      <c r="M972" t="s">
        <v>644</v>
      </c>
      <c r="N972" t="s">
        <v>465</v>
      </c>
    </row>
    <row r="973" spans="1:14" hidden="1" x14ac:dyDescent="0.25">
      <c r="A973" t="s">
        <v>714</v>
      </c>
      <c r="B973" t="s">
        <v>714</v>
      </c>
      <c r="C973" t="s">
        <v>393</v>
      </c>
      <c r="D973" s="3" t="s">
        <v>655</v>
      </c>
      <c r="E973" s="3" t="s">
        <v>655</v>
      </c>
      <c r="F973">
        <v>10</v>
      </c>
      <c r="G973" s="3">
        <f t="shared" si="48"/>
        <v>0</v>
      </c>
      <c r="H973" s="3">
        <f t="shared" si="49"/>
        <v>0</v>
      </c>
      <c r="I973" s="1">
        <f t="shared" si="47"/>
        <v>0</v>
      </c>
      <c r="J973" t="s">
        <v>541</v>
      </c>
      <c r="L973" t="s">
        <v>672</v>
      </c>
      <c r="M973" t="s">
        <v>644</v>
      </c>
      <c r="N973" t="s">
        <v>465</v>
      </c>
    </row>
    <row r="974" spans="1:14" hidden="1" x14ac:dyDescent="0.25">
      <c r="A974" t="s">
        <v>714</v>
      </c>
      <c r="B974" t="s">
        <v>714</v>
      </c>
      <c r="C974" t="s">
        <v>393</v>
      </c>
      <c r="D974" s="3" t="s">
        <v>655</v>
      </c>
      <c r="E974" s="3" t="s">
        <v>655</v>
      </c>
      <c r="F974">
        <v>10</v>
      </c>
      <c r="G974" s="3">
        <f t="shared" si="48"/>
        <v>0</v>
      </c>
      <c r="H974" s="3">
        <f t="shared" si="49"/>
        <v>0</v>
      </c>
      <c r="I974" s="1">
        <f t="shared" si="47"/>
        <v>0</v>
      </c>
      <c r="J974" t="s">
        <v>529</v>
      </c>
      <c r="L974" t="s">
        <v>672</v>
      </c>
      <c r="M974" t="s">
        <v>644</v>
      </c>
      <c r="N974" t="s">
        <v>465</v>
      </c>
    </row>
    <row r="975" spans="1:14" hidden="1" x14ac:dyDescent="0.25">
      <c r="A975" t="s">
        <v>715</v>
      </c>
      <c r="B975" t="s">
        <v>715</v>
      </c>
      <c r="C975" t="s">
        <v>400</v>
      </c>
      <c r="D975" s="3" t="s">
        <v>504</v>
      </c>
      <c r="E975" s="3" t="s">
        <v>442</v>
      </c>
      <c r="F975">
        <v>5</v>
      </c>
      <c r="G975" s="3">
        <f t="shared" si="48"/>
        <v>1.7361111111111049E-2</v>
      </c>
      <c r="H975" s="3">
        <f t="shared" si="49"/>
        <v>3.4722222222222099E-3</v>
      </c>
      <c r="I975" s="1">
        <f t="shared" si="47"/>
        <v>5</v>
      </c>
      <c r="J975" t="s">
        <v>471</v>
      </c>
      <c r="K975" t="s">
        <v>417</v>
      </c>
      <c r="L975" t="s">
        <v>89</v>
      </c>
      <c r="M975" t="s">
        <v>398</v>
      </c>
      <c r="N975" t="s">
        <v>465</v>
      </c>
    </row>
    <row r="976" spans="1:14" hidden="1" x14ac:dyDescent="0.25">
      <c r="A976" t="s">
        <v>715</v>
      </c>
      <c r="B976" t="s">
        <v>715</v>
      </c>
      <c r="C976" t="s">
        <v>400</v>
      </c>
      <c r="D976" s="3" t="s">
        <v>403</v>
      </c>
      <c r="E976" s="3" t="s">
        <v>402</v>
      </c>
      <c r="F976">
        <v>15</v>
      </c>
      <c r="G976" s="3">
        <f t="shared" si="48"/>
        <v>0.14930555555555558</v>
      </c>
      <c r="H976" s="3">
        <f t="shared" si="49"/>
        <v>9.9537037037037059E-3</v>
      </c>
      <c r="I976" s="1">
        <f t="shared" si="47"/>
        <v>14</v>
      </c>
      <c r="J976" t="s">
        <v>459</v>
      </c>
      <c r="K976" t="s">
        <v>397</v>
      </c>
      <c r="L976" t="s">
        <v>313</v>
      </c>
      <c r="M976" t="s">
        <v>398</v>
      </c>
      <c r="N976" t="s">
        <v>465</v>
      </c>
    </row>
    <row r="977" spans="1:14" hidden="1" x14ac:dyDescent="0.25">
      <c r="A977" t="s">
        <v>715</v>
      </c>
      <c r="B977" t="s">
        <v>715</v>
      </c>
      <c r="C977" t="s">
        <v>400</v>
      </c>
      <c r="D977" s="3" t="s">
        <v>479</v>
      </c>
      <c r="E977" s="3" t="s">
        <v>441</v>
      </c>
      <c r="F977">
        <v>5</v>
      </c>
      <c r="G977" s="3">
        <f t="shared" si="48"/>
        <v>3.819444444444442E-2</v>
      </c>
      <c r="H977" s="3">
        <f t="shared" si="49"/>
        <v>7.6388888888888843E-3</v>
      </c>
      <c r="I977" s="1">
        <f t="shared" si="47"/>
        <v>11</v>
      </c>
      <c r="J977" t="s">
        <v>463</v>
      </c>
      <c r="K977" t="s">
        <v>417</v>
      </c>
      <c r="L977" t="s">
        <v>376</v>
      </c>
      <c r="M977" t="s">
        <v>398</v>
      </c>
      <c r="N977" t="s">
        <v>465</v>
      </c>
    </row>
    <row r="978" spans="1:14" hidden="1" x14ac:dyDescent="0.25">
      <c r="A978" t="s">
        <v>715</v>
      </c>
      <c r="B978" t="s">
        <v>715</v>
      </c>
      <c r="C978" t="s">
        <v>406</v>
      </c>
      <c r="D978" s="3" t="s">
        <v>411</v>
      </c>
      <c r="E978" s="3" t="s">
        <v>424</v>
      </c>
      <c r="F978">
        <v>10</v>
      </c>
      <c r="G978" s="3">
        <f t="shared" si="48"/>
        <v>0.27777777777777773</v>
      </c>
      <c r="H978" s="3">
        <f t="shared" si="49"/>
        <v>2.7777777777777773E-2</v>
      </c>
      <c r="I978" s="1">
        <f t="shared" si="47"/>
        <v>40</v>
      </c>
      <c r="J978" t="s">
        <v>476</v>
      </c>
      <c r="K978" t="s">
        <v>397</v>
      </c>
      <c r="L978" t="s">
        <v>333</v>
      </c>
      <c r="M978" t="s">
        <v>644</v>
      </c>
      <c r="N978" t="s">
        <v>465</v>
      </c>
    </row>
    <row r="979" spans="1:14" hidden="1" x14ac:dyDescent="0.25">
      <c r="A979" t="s">
        <v>715</v>
      </c>
      <c r="B979" t="s">
        <v>715</v>
      </c>
      <c r="C979" t="s">
        <v>406</v>
      </c>
      <c r="D979" s="3" t="s">
        <v>403</v>
      </c>
      <c r="E979" s="3" t="s">
        <v>549</v>
      </c>
      <c r="F979">
        <v>10</v>
      </c>
      <c r="G979" s="3">
        <f t="shared" si="48"/>
        <v>0.1111111111111111</v>
      </c>
      <c r="H979" s="3">
        <f t="shared" si="49"/>
        <v>1.111111111111111E-2</v>
      </c>
      <c r="I979" s="1">
        <f t="shared" si="47"/>
        <v>16</v>
      </c>
      <c r="J979" t="s">
        <v>468</v>
      </c>
      <c r="K979" t="s">
        <v>397</v>
      </c>
      <c r="L979" t="s">
        <v>343</v>
      </c>
      <c r="M979" t="s">
        <v>644</v>
      </c>
      <c r="N979" t="s">
        <v>465</v>
      </c>
    </row>
    <row r="980" spans="1:14" hidden="1" x14ac:dyDescent="0.25">
      <c r="A980" t="s">
        <v>715</v>
      </c>
      <c r="B980" t="s">
        <v>715</v>
      </c>
      <c r="C980" t="s">
        <v>406</v>
      </c>
      <c r="D980" s="3" t="s">
        <v>411</v>
      </c>
      <c r="E980" s="3" t="s">
        <v>569</v>
      </c>
      <c r="F980">
        <v>10</v>
      </c>
      <c r="G980" s="3">
        <f t="shared" si="48"/>
        <v>0.28472222222222227</v>
      </c>
      <c r="H980" s="3">
        <f t="shared" si="49"/>
        <v>2.8472222222222225E-2</v>
      </c>
      <c r="I980" s="1">
        <f t="shared" si="47"/>
        <v>41</v>
      </c>
      <c r="J980" t="s">
        <v>470</v>
      </c>
      <c r="K980" t="s">
        <v>397</v>
      </c>
      <c r="L980" t="s">
        <v>113</v>
      </c>
      <c r="M980" t="s">
        <v>644</v>
      </c>
      <c r="N980" t="s">
        <v>465</v>
      </c>
    </row>
    <row r="981" spans="1:14" hidden="1" x14ac:dyDescent="0.25">
      <c r="A981" t="s">
        <v>715</v>
      </c>
      <c r="B981" t="s">
        <v>715</v>
      </c>
      <c r="C981" t="s">
        <v>406</v>
      </c>
      <c r="D981" s="3" t="s">
        <v>403</v>
      </c>
      <c r="E981" s="3" t="s">
        <v>441</v>
      </c>
      <c r="F981">
        <v>5</v>
      </c>
      <c r="G981" s="3">
        <f t="shared" si="48"/>
        <v>0.41319444444444448</v>
      </c>
      <c r="H981" s="3">
        <f t="shared" si="49"/>
        <v>8.2638888888888901E-2</v>
      </c>
      <c r="I981" s="1">
        <f t="shared" si="47"/>
        <v>59</v>
      </c>
      <c r="J981" t="s">
        <v>474</v>
      </c>
      <c r="K981" t="s">
        <v>397</v>
      </c>
      <c r="L981" t="s">
        <v>94</v>
      </c>
      <c r="M981" t="s">
        <v>644</v>
      </c>
      <c r="N981" t="s">
        <v>465</v>
      </c>
    </row>
    <row r="982" spans="1:14" hidden="1" x14ac:dyDescent="0.25">
      <c r="A982" t="s">
        <v>715</v>
      </c>
      <c r="B982" t="s">
        <v>715</v>
      </c>
      <c r="C982" t="s">
        <v>406</v>
      </c>
      <c r="D982" s="3" t="s">
        <v>395</v>
      </c>
      <c r="E982" s="3" t="s">
        <v>516</v>
      </c>
      <c r="F982">
        <v>10</v>
      </c>
      <c r="G982" s="3">
        <f t="shared" si="48"/>
        <v>0.18055555555555558</v>
      </c>
      <c r="H982" s="3">
        <f t="shared" si="49"/>
        <v>1.8055555555555557E-2</v>
      </c>
      <c r="I982" s="1">
        <f t="shared" si="47"/>
        <v>26</v>
      </c>
      <c r="J982" t="s">
        <v>716</v>
      </c>
      <c r="K982" t="s">
        <v>397</v>
      </c>
      <c r="L982" t="s">
        <v>88</v>
      </c>
      <c r="M982" t="s">
        <v>644</v>
      </c>
      <c r="N982" t="s">
        <v>465</v>
      </c>
    </row>
    <row r="983" spans="1:14" hidden="1" x14ac:dyDescent="0.25">
      <c r="A983" t="s">
        <v>715</v>
      </c>
      <c r="B983" t="s">
        <v>715</v>
      </c>
      <c r="C983" t="s">
        <v>406</v>
      </c>
      <c r="D983" s="3" t="s">
        <v>655</v>
      </c>
      <c r="E983" s="3" t="s">
        <v>655</v>
      </c>
      <c r="G983" s="3">
        <f t="shared" si="48"/>
        <v>0</v>
      </c>
      <c r="H983" s="3" t="e">
        <f t="shared" si="49"/>
        <v>#DIV/0!</v>
      </c>
      <c r="I983" s="1" t="e">
        <f t="shared" si="47"/>
        <v>#DIV/0!</v>
      </c>
      <c r="J983" t="s">
        <v>508</v>
      </c>
      <c r="L983" t="s">
        <v>709</v>
      </c>
      <c r="M983" t="s">
        <v>644</v>
      </c>
      <c r="N983" t="s">
        <v>575</v>
      </c>
    </row>
    <row r="984" spans="1:14" hidden="1" x14ac:dyDescent="0.25">
      <c r="A984" t="s">
        <v>715</v>
      </c>
      <c r="B984" t="s">
        <v>715</v>
      </c>
      <c r="C984" t="s">
        <v>406</v>
      </c>
      <c r="D984" s="3" t="s">
        <v>655</v>
      </c>
      <c r="E984" s="3" t="s">
        <v>655</v>
      </c>
      <c r="F984">
        <v>102</v>
      </c>
      <c r="G984" s="3">
        <f t="shared" si="48"/>
        <v>0</v>
      </c>
      <c r="H984" s="3">
        <f t="shared" si="49"/>
        <v>0</v>
      </c>
      <c r="I984" s="1">
        <f t="shared" si="47"/>
        <v>0</v>
      </c>
      <c r="J984" t="s">
        <v>529</v>
      </c>
      <c r="L984" t="s">
        <v>702</v>
      </c>
      <c r="M984" t="s">
        <v>644</v>
      </c>
      <c r="N984" t="s">
        <v>575</v>
      </c>
    </row>
    <row r="985" spans="1:14" hidden="1" x14ac:dyDescent="0.25">
      <c r="A985" t="s">
        <v>715</v>
      </c>
      <c r="B985" t="s">
        <v>715</v>
      </c>
      <c r="C985" t="s">
        <v>406</v>
      </c>
      <c r="D985" s="3" t="s">
        <v>655</v>
      </c>
      <c r="E985" s="3" t="s">
        <v>655</v>
      </c>
      <c r="F985">
        <v>1</v>
      </c>
      <c r="G985" s="3">
        <f t="shared" si="48"/>
        <v>0</v>
      </c>
      <c r="H985" s="3">
        <f t="shared" si="49"/>
        <v>0</v>
      </c>
      <c r="I985" s="1">
        <f t="shared" si="47"/>
        <v>0</v>
      </c>
      <c r="J985" t="s">
        <v>529</v>
      </c>
      <c r="L985" t="s">
        <v>702</v>
      </c>
      <c r="M985" t="s">
        <v>644</v>
      </c>
      <c r="N985" t="s">
        <v>575</v>
      </c>
    </row>
    <row r="986" spans="1:14" hidden="1" x14ac:dyDescent="0.25">
      <c r="A986" t="s">
        <v>608</v>
      </c>
      <c r="B986" t="s">
        <v>608</v>
      </c>
      <c r="C986" t="s">
        <v>422</v>
      </c>
      <c r="D986" s="3" t="s">
        <v>416</v>
      </c>
      <c r="E986" s="3" t="s">
        <v>442</v>
      </c>
      <c r="F986">
        <v>5</v>
      </c>
      <c r="G986" s="3">
        <f t="shared" si="48"/>
        <v>3.819444444444442E-2</v>
      </c>
      <c r="H986" s="3">
        <f t="shared" si="49"/>
        <v>7.6388888888888843E-3</v>
      </c>
      <c r="I986" s="1">
        <f t="shared" si="47"/>
        <v>11</v>
      </c>
      <c r="J986" t="s">
        <v>471</v>
      </c>
      <c r="K986" t="s">
        <v>417</v>
      </c>
      <c r="L986" t="s">
        <v>89</v>
      </c>
      <c r="M986" t="s">
        <v>398</v>
      </c>
      <c r="N986" t="s">
        <v>465</v>
      </c>
    </row>
    <row r="987" spans="1:14" hidden="1" x14ac:dyDescent="0.25">
      <c r="A987" t="s">
        <v>608</v>
      </c>
      <c r="B987" t="s">
        <v>608</v>
      </c>
      <c r="C987" t="s">
        <v>422</v>
      </c>
      <c r="D987" s="3" t="s">
        <v>411</v>
      </c>
      <c r="E987" s="3" t="s">
        <v>548</v>
      </c>
      <c r="F987">
        <v>10</v>
      </c>
      <c r="G987" s="3">
        <f t="shared" si="48"/>
        <v>0.11805555555555558</v>
      </c>
      <c r="H987" s="3">
        <f t="shared" si="49"/>
        <v>1.1805555555555559E-2</v>
      </c>
      <c r="I987" s="1">
        <f t="shared" si="47"/>
        <v>17</v>
      </c>
      <c r="J987" t="s">
        <v>476</v>
      </c>
      <c r="K987" t="s">
        <v>397</v>
      </c>
      <c r="L987" t="s">
        <v>333</v>
      </c>
      <c r="M987" t="s">
        <v>398</v>
      </c>
      <c r="N987" t="s">
        <v>465</v>
      </c>
    </row>
    <row r="988" spans="1:14" hidden="1" x14ac:dyDescent="0.25">
      <c r="A988" t="s">
        <v>608</v>
      </c>
      <c r="B988" t="s">
        <v>608</v>
      </c>
      <c r="C988" t="s">
        <v>400</v>
      </c>
      <c r="D988" s="3" t="s">
        <v>411</v>
      </c>
      <c r="E988" s="3" t="s">
        <v>569</v>
      </c>
      <c r="F988">
        <v>10</v>
      </c>
      <c r="G988" s="3">
        <f t="shared" si="48"/>
        <v>0.28472222222222227</v>
      </c>
      <c r="H988" s="3">
        <f t="shared" si="49"/>
        <v>2.8472222222222225E-2</v>
      </c>
      <c r="I988" s="1">
        <f t="shared" si="47"/>
        <v>41</v>
      </c>
      <c r="J988" t="s">
        <v>429</v>
      </c>
      <c r="K988" t="s">
        <v>397</v>
      </c>
      <c r="L988" t="s">
        <v>113</v>
      </c>
      <c r="M988" t="s">
        <v>644</v>
      </c>
      <c r="N988" t="s">
        <v>575</v>
      </c>
    </row>
    <row r="989" spans="1:14" hidden="1" x14ac:dyDescent="0.25">
      <c r="A989" t="s">
        <v>608</v>
      </c>
      <c r="B989" t="s">
        <v>608</v>
      </c>
      <c r="C989" t="s">
        <v>400</v>
      </c>
      <c r="D989" s="3" t="s">
        <v>403</v>
      </c>
      <c r="E989" s="3" t="s">
        <v>441</v>
      </c>
      <c r="F989">
        <v>5</v>
      </c>
      <c r="G989" s="3">
        <f t="shared" si="48"/>
        <v>0.41319444444444448</v>
      </c>
      <c r="H989" s="3">
        <f t="shared" si="49"/>
        <v>8.2638888888888901E-2</v>
      </c>
      <c r="I989" s="1">
        <f t="shared" si="47"/>
        <v>59</v>
      </c>
      <c r="J989" t="s">
        <v>432</v>
      </c>
      <c r="K989" t="s">
        <v>397</v>
      </c>
      <c r="L989" t="s">
        <v>139</v>
      </c>
      <c r="M989" t="s">
        <v>644</v>
      </c>
      <c r="N989" t="s">
        <v>465</v>
      </c>
    </row>
    <row r="990" spans="1:14" hidden="1" x14ac:dyDescent="0.25">
      <c r="A990" t="s">
        <v>717</v>
      </c>
      <c r="B990" t="s">
        <v>717</v>
      </c>
      <c r="C990" t="s">
        <v>491</v>
      </c>
      <c r="D990" s="3" t="s">
        <v>655</v>
      </c>
      <c r="E990" s="3" t="s">
        <v>655</v>
      </c>
      <c r="F990">
        <v>10</v>
      </c>
      <c r="G990" s="3">
        <f t="shared" si="48"/>
        <v>0</v>
      </c>
      <c r="H990" s="3">
        <f t="shared" si="49"/>
        <v>0</v>
      </c>
      <c r="I990" s="1">
        <f t="shared" si="47"/>
        <v>0</v>
      </c>
      <c r="J990" t="s">
        <v>544</v>
      </c>
      <c r="L990" t="s">
        <v>381</v>
      </c>
      <c r="M990" t="s">
        <v>644</v>
      </c>
      <c r="N990" t="s">
        <v>447</v>
      </c>
    </row>
    <row r="991" spans="1:14" hidden="1" x14ac:dyDescent="0.25">
      <c r="A991" t="s">
        <v>717</v>
      </c>
      <c r="B991" t="s">
        <v>717</v>
      </c>
      <c r="C991" t="s">
        <v>491</v>
      </c>
      <c r="D991" s="3" t="s">
        <v>655</v>
      </c>
      <c r="E991" s="3" t="s">
        <v>655</v>
      </c>
      <c r="F991">
        <v>10</v>
      </c>
      <c r="G991" s="3">
        <f t="shared" si="48"/>
        <v>0</v>
      </c>
      <c r="H991" s="3">
        <f t="shared" si="49"/>
        <v>0</v>
      </c>
      <c r="I991" s="1">
        <f t="shared" si="47"/>
        <v>0</v>
      </c>
      <c r="J991" t="s">
        <v>544</v>
      </c>
      <c r="L991" t="s">
        <v>381</v>
      </c>
      <c r="M991" t="s">
        <v>644</v>
      </c>
      <c r="N991" t="s">
        <v>447</v>
      </c>
    </row>
    <row r="992" spans="1:14" hidden="1" x14ac:dyDescent="0.25">
      <c r="A992" t="s">
        <v>717</v>
      </c>
      <c r="B992" t="s">
        <v>717</v>
      </c>
      <c r="C992" t="s">
        <v>491</v>
      </c>
      <c r="D992" s="3" t="s">
        <v>655</v>
      </c>
      <c r="E992" s="3" t="s">
        <v>655</v>
      </c>
      <c r="F992">
        <v>10</v>
      </c>
      <c r="G992" s="3">
        <f t="shared" si="48"/>
        <v>0</v>
      </c>
      <c r="H992" s="3">
        <f t="shared" si="49"/>
        <v>0</v>
      </c>
      <c r="I992" s="1">
        <f t="shared" si="47"/>
        <v>0</v>
      </c>
      <c r="J992" t="s">
        <v>529</v>
      </c>
      <c r="L992" t="s">
        <v>381</v>
      </c>
      <c r="M992" t="s">
        <v>644</v>
      </c>
      <c r="N992" t="s">
        <v>447</v>
      </c>
    </row>
    <row r="993" spans="1:14" hidden="1" x14ac:dyDescent="0.25">
      <c r="A993" t="s">
        <v>648</v>
      </c>
      <c r="B993" t="s">
        <v>648</v>
      </c>
      <c r="C993" t="s">
        <v>407</v>
      </c>
      <c r="D993" s="3" t="s">
        <v>403</v>
      </c>
      <c r="E993" s="3" t="s">
        <v>441</v>
      </c>
      <c r="F993">
        <v>5</v>
      </c>
      <c r="G993" s="3">
        <f t="shared" si="48"/>
        <v>0.41319444444444448</v>
      </c>
      <c r="H993" s="3">
        <f t="shared" si="49"/>
        <v>8.2638888888888901E-2</v>
      </c>
      <c r="I993" s="1">
        <f t="shared" si="47"/>
        <v>59</v>
      </c>
      <c r="J993" t="s">
        <v>429</v>
      </c>
      <c r="K993" t="s">
        <v>397</v>
      </c>
      <c r="L993" t="s">
        <v>367</v>
      </c>
      <c r="M993" t="s">
        <v>398</v>
      </c>
      <c r="N993" t="s">
        <v>575</v>
      </c>
    </row>
    <row r="994" spans="1:14" hidden="1" x14ac:dyDescent="0.25">
      <c r="A994" t="s">
        <v>648</v>
      </c>
      <c r="B994" t="s">
        <v>648</v>
      </c>
      <c r="C994" t="s">
        <v>401</v>
      </c>
      <c r="D994" s="3" t="s">
        <v>655</v>
      </c>
      <c r="E994" s="3" t="s">
        <v>655</v>
      </c>
      <c r="F994">
        <v>10</v>
      </c>
      <c r="G994" s="3">
        <f t="shared" si="48"/>
        <v>0</v>
      </c>
      <c r="H994" s="3">
        <f t="shared" si="49"/>
        <v>0</v>
      </c>
      <c r="I994" s="1">
        <f t="shared" si="47"/>
        <v>0</v>
      </c>
      <c r="J994" t="s">
        <v>544</v>
      </c>
      <c r="L994" t="s">
        <v>381</v>
      </c>
      <c r="M994" t="s">
        <v>644</v>
      </c>
      <c r="N994" t="s">
        <v>447</v>
      </c>
    </row>
    <row r="995" spans="1:14" hidden="1" x14ac:dyDescent="0.25">
      <c r="A995" t="s">
        <v>648</v>
      </c>
      <c r="B995" t="s">
        <v>648</v>
      </c>
      <c r="C995" t="s">
        <v>401</v>
      </c>
      <c r="D995" s="3" t="s">
        <v>655</v>
      </c>
      <c r="E995" s="3" t="s">
        <v>655</v>
      </c>
      <c r="F995">
        <v>10</v>
      </c>
      <c r="G995" s="3">
        <f t="shared" si="48"/>
        <v>0</v>
      </c>
      <c r="H995" s="3">
        <f t="shared" si="49"/>
        <v>0</v>
      </c>
      <c r="I995" s="1">
        <f t="shared" si="47"/>
        <v>0</v>
      </c>
      <c r="J995" t="s">
        <v>544</v>
      </c>
      <c r="L995" t="s">
        <v>381</v>
      </c>
      <c r="M995" t="s">
        <v>644</v>
      </c>
      <c r="N995" t="s">
        <v>447</v>
      </c>
    </row>
    <row r="996" spans="1:14" hidden="1" x14ac:dyDescent="0.25">
      <c r="A996" t="s">
        <v>648</v>
      </c>
      <c r="B996" t="s">
        <v>648</v>
      </c>
      <c r="C996" t="s">
        <v>401</v>
      </c>
      <c r="D996" s="3" t="s">
        <v>655</v>
      </c>
      <c r="E996" s="3" t="s">
        <v>655</v>
      </c>
      <c r="F996">
        <v>59</v>
      </c>
      <c r="G996" s="3">
        <f t="shared" si="48"/>
        <v>0</v>
      </c>
      <c r="H996" s="3">
        <f t="shared" si="49"/>
        <v>0</v>
      </c>
      <c r="I996" s="1">
        <f t="shared" si="47"/>
        <v>0</v>
      </c>
      <c r="J996" t="s">
        <v>529</v>
      </c>
      <c r="L996" t="s">
        <v>664</v>
      </c>
      <c r="M996" t="s">
        <v>644</v>
      </c>
      <c r="N996" t="s">
        <v>465</v>
      </c>
    </row>
    <row r="997" spans="1:14" hidden="1" x14ac:dyDescent="0.25">
      <c r="A997" t="s">
        <v>648</v>
      </c>
      <c r="B997" t="s">
        <v>648</v>
      </c>
      <c r="C997" t="s">
        <v>401</v>
      </c>
      <c r="D997" s="3" t="s">
        <v>655</v>
      </c>
      <c r="E997" s="3" t="s">
        <v>655</v>
      </c>
      <c r="F997">
        <v>59</v>
      </c>
      <c r="G997" s="3">
        <f t="shared" si="48"/>
        <v>0</v>
      </c>
      <c r="H997" s="3">
        <f t="shared" si="49"/>
        <v>0</v>
      </c>
      <c r="I997" s="1">
        <f t="shared" si="47"/>
        <v>0</v>
      </c>
      <c r="J997" t="s">
        <v>541</v>
      </c>
      <c r="L997" t="s">
        <v>669</v>
      </c>
      <c r="M997" t="s">
        <v>644</v>
      </c>
      <c r="N997" t="s">
        <v>465</v>
      </c>
    </row>
    <row r="998" spans="1:14" hidden="1" x14ac:dyDescent="0.25">
      <c r="A998" t="s">
        <v>648</v>
      </c>
      <c r="B998" t="s">
        <v>648</v>
      </c>
      <c r="C998" t="s">
        <v>401</v>
      </c>
      <c r="D998" s="3" t="s">
        <v>547</v>
      </c>
      <c r="E998" s="3" t="s">
        <v>438</v>
      </c>
      <c r="F998">
        <v>5</v>
      </c>
      <c r="G998" s="3">
        <f t="shared" si="48"/>
        <v>0.24652777777777785</v>
      </c>
      <c r="H998" s="3">
        <f t="shared" si="49"/>
        <v>4.9305555555555568E-2</v>
      </c>
      <c r="I998" s="1">
        <f t="shared" si="47"/>
        <v>11</v>
      </c>
      <c r="J998" t="s">
        <v>463</v>
      </c>
      <c r="K998" t="s">
        <v>397</v>
      </c>
      <c r="L998" t="s">
        <v>376</v>
      </c>
      <c r="M998" t="s">
        <v>644</v>
      </c>
      <c r="N998" t="s">
        <v>465</v>
      </c>
    </row>
    <row r="999" spans="1:14" hidden="1" x14ac:dyDescent="0.25">
      <c r="A999" t="s">
        <v>648</v>
      </c>
      <c r="B999" t="s">
        <v>648</v>
      </c>
      <c r="C999" t="s">
        <v>401</v>
      </c>
      <c r="D999" s="3" t="s">
        <v>655</v>
      </c>
      <c r="E999" s="3" t="s">
        <v>655</v>
      </c>
      <c r="F999">
        <v>10</v>
      </c>
      <c r="G999" s="3">
        <f t="shared" si="48"/>
        <v>0</v>
      </c>
      <c r="H999" s="3">
        <f t="shared" si="49"/>
        <v>0</v>
      </c>
      <c r="I999" s="1">
        <f t="shared" si="47"/>
        <v>0</v>
      </c>
      <c r="J999" t="s">
        <v>541</v>
      </c>
      <c r="L999" t="s">
        <v>672</v>
      </c>
      <c r="M999" t="s">
        <v>644</v>
      </c>
      <c r="N999" t="s">
        <v>465</v>
      </c>
    </row>
    <row r="1000" spans="1:14" hidden="1" x14ac:dyDescent="0.25">
      <c r="A1000" t="s">
        <v>648</v>
      </c>
      <c r="B1000" t="s">
        <v>648</v>
      </c>
      <c r="C1000" t="s">
        <v>401</v>
      </c>
      <c r="D1000" s="3" t="s">
        <v>655</v>
      </c>
      <c r="E1000" s="3" t="s">
        <v>655</v>
      </c>
      <c r="F1000">
        <v>10</v>
      </c>
      <c r="G1000" s="3">
        <f t="shared" si="48"/>
        <v>0</v>
      </c>
      <c r="H1000" s="3">
        <f t="shared" si="49"/>
        <v>0</v>
      </c>
      <c r="I1000" s="1">
        <f t="shared" si="47"/>
        <v>0</v>
      </c>
      <c r="J1000" t="s">
        <v>529</v>
      </c>
      <c r="L1000" t="s">
        <v>672</v>
      </c>
      <c r="M1000" t="s">
        <v>644</v>
      </c>
      <c r="N1000" t="s">
        <v>465</v>
      </c>
    </row>
    <row r="1001" spans="1:14" hidden="1" x14ac:dyDescent="0.25">
      <c r="A1001" t="s">
        <v>718</v>
      </c>
      <c r="B1001" t="s">
        <v>718</v>
      </c>
      <c r="C1001" t="s">
        <v>393</v>
      </c>
      <c r="D1001" s="3" t="s">
        <v>416</v>
      </c>
      <c r="E1001" s="3" t="s">
        <v>441</v>
      </c>
      <c r="F1001">
        <v>5</v>
      </c>
      <c r="G1001" s="3">
        <f t="shared" si="48"/>
        <v>0.20486111111111116</v>
      </c>
      <c r="H1001" s="3">
        <f t="shared" si="49"/>
        <v>4.0972222222222229E-2</v>
      </c>
      <c r="I1001" s="1">
        <f t="shared" si="47"/>
        <v>59</v>
      </c>
      <c r="J1001" t="s">
        <v>470</v>
      </c>
      <c r="K1001" t="s">
        <v>417</v>
      </c>
      <c r="L1001" t="s">
        <v>360</v>
      </c>
      <c r="M1001" t="s">
        <v>398</v>
      </c>
      <c r="N1001" t="s">
        <v>465</v>
      </c>
    </row>
    <row r="1002" spans="1:14" hidden="1" x14ac:dyDescent="0.25">
      <c r="A1002" t="s">
        <v>718</v>
      </c>
      <c r="B1002" t="s">
        <v>718</v>
      </c>
      <c r="C1002" t="s">
        <v>407</v>
      </c>
      <c r="D1002" s="3" t="s">
        <v>655</v>
      </c>
      <c r="E1002" s="3" t="s">
        <v>655</v>
      </c>
      <c r="F1002">
        <v>10</v>
      </c>
      <c r="G1002" s="3">
        <f t="shared" si="48"/>
        <v>0</v>
      </c>
      <c r="H1002" s="3">
        <f t="shared" si="49"/>
        <v>0</v>
      </c>
      <c r="I1002" s="1">
        <f t="shared" si="47"/>
        <v>0</v>
      </c>
      <c r="J1002" t="s">
        <v>541</v>
      </c>
      <c r="L1002" t="s">
        <v>381</v>
      </c>
      <c r="M1002" t="s">
        <v>644</v>
      </c>
      <c r="N1002" t="s">
        <v>465</v>
      </c>
    </row>
    <row r="1003" spans="1:14" hidden="1" x14ac:dyDescent="0.25">
      <c r="A1003" t="s">
        <v>718</v>
      </c>
      <c r="B1003" t="s">
        <v>718</v>
      </c>
      <c r="C1003" t="s">
        <v>407</v>
      </c>
      <c r="D1003" s="3" t="s">
        <v>655</v>
      </c>
      <c r="E1003" s="3" t="s">
        <v>655</v>
      </c>
      <c r="F1003">
        <v>10</v>
      </c>
      <c r="G1003" s="3">
        <f t="shared" si="48"/>
        <v>0</v>
      </c>
      <c r="H1003" s="3">
        <f t="shared" si="49"/>
        <v>0</v>
      </c>
      <c r="I1003" s="1">
        <f t="shared" si="47"/>
        <v>0</v>
      </c>
      <c r="J1003" t="s">
        <v>541</v>
      </c>
      <c r="L1003" t="s">
        <v>381</v>
      </c>
      <c r="M1003" t="s">
        <v>644</v>
      </c>
      <c r="N1003" t="s">
        <v>465</v>
      </c>
    </row>
    <row r="1004" spans="1:14" hidden="1" x14ac:dyDescent="0.25">
      <c r="A1004" t="s">
        <v>718</v>
      </c>
      <c r="B1004" t="s">
        <v>718</v>
      </c>
      <c r="C1004" t="s">
        <v>407</v>
      </c>
      <c r="D1004" s="3" t="s">
        <v>655</v>
      </c>
      <c r="E1004" s="3" t="s">
        <v>655</v>
      </c>
      <c r="F1004">
        <v>10</v>
      </c>
      <c r="G1004" s="3">
        <f t="shared" si="48"/>
        <v>0</v>
      </c>
      <c r="H1004" s="3">
        <f t="shared" si="49"/>
        <v>0</v>
      </c>
      <c r="I1004" s="1">
        <f t="shared" si="47"/>
        <v>0</v>
      </c>
      <c r="J1004" t="s">
        <v>529</v>
      </c>
      <c r="L1004" t="s">
        <v>672</v>
      </c>
      <c r="M1004" t="s">
        <v>644</v>
      </c>
      <c r="N1004" t="s">
        <v>465</v>
      </c>
    </row>
    <row r="1005" spans="1:14" hidden="1" x14ac:dyDescent="0.25">
      <c r="A1005" t="s">
        <v>718</v>
      </c>
      <c r="B1005" t="s">
        <v>718</v>
      </c>
      <c r="C1005" t="s">
        <v>407</v>
      </c>
      <c r="D1005" s="3" t="s">
        <v>655</v>
      </c>
      <c r="E1005" s="3" t="s">
        <v>655</v>
      </c>
      <c r="F1005">
        <v>10</v>
      </c>
      <c r="G1005" s="3">
        <f t="shared" si="48"/>
        <v>0</v>
      </c>
      <c r="H1005" s="3">
        <f t="shared" si="49"/>
        <v>0</v>
      </c>
      <c r="I1005" s="1">
        <f t="shared" si="47"/>
        <v>0</v>
      </c>
      <c r="J1005" t="s">
        <v>529</v>
      </c>
      <c r="L1005" t="s">
        <v>672</v>
      </c>
      <c r="M1005" t="s">
        <v>644</v>
      </c>
      <c r="N1005" t="s">
        <v>465</v>
      </c>
    </row>
    <row r="1006" spans="1:14" hidden="1" x14ac:dyDescent="0.25">
      <c r="A1006" t="s">
        <v>719</v>
      </c>
      <c r="B1006" t="s">
        <v>719</v>
      </c>
      <c r="C1006" t="s">
        <v>406</v>
      </c>
      <c r="D1006" s="3" t="s">
        <v>403</v>
      </c>
      <c r="E1006" s="3" t="s">
        <v>516</v>
      </c>
      <c r="F1006">
        <v>10</v>
      </c>
      <c r="G1006" s="3">
        <f t="shared" si="48"/>
        <v>0.15972222222222227</v>
      </c>
      <c r="H1006" s="3">
        <f t="shared" si="49"/>
        <v>1.5972222222222228E-2</v>
      </c>
      <c r="I1006" s="1">
        <f t="shared" si="47"/>
        <v>23</v>
      </c>
      <c r="J1006" t="s">
        <v>432</v>
      </c>
      <c r="K1006" t="s">
        <v>397</v>
      </c>
      <c r="L1006" t="s">
        <v>143</v>
      </c>
      <c r="M1006" t="s">
        <v>398</v>
      </c>
      <c r="N1006" t="s">
        <v>405</v>
      </c>
    </row>
    <row r="1007" spans="1:14" hidden="1" x14ac:dyDescent="0.25">
      <c r="A1007" t="s">
        <v>719</v>
      </c>
      <c r="B1007" t="s">
        <v>719</v>
      </c>
      <c r="C1007" t="s">
        <v>400</v>
      </c>
      <c r="D1007" s="3" t="s">
        <v>419</v>
      </c>
      <c r="E1007" s="3" t="s">
        <v>426</v>
      </c>
      <c r="F1007">
        <v>15</v>
      </c>
      <c r="G1007" s="3">
        <f t="shared" si="48"/>
        <v>0.14930555555555558</v>
      </c>
      <c r="H1007" s="3">
        <f t="shared" si="49"/>
        <v>9.9537037037037059E-3</v>
      </c>
      <c r="I1007" s="1">
        <f t="shared" si="47"/>
        <v>14</v>
      </c>
      <c r="J1007" t="s">
        <v>459</v>
      </c>
      <c r="K1007" t="s">
        <v>397</v>
      </c>
      <c r="L1007" t="s">
        <v>318</v>
      </c>
      <c r="M1007" t="s">
        <v>398</v>
      </c>
      <c r="N1007" t="s">
        <v>465</v>
      </c>
    </row>
    <row r="1008" spans="1:14" hidden="1" x14ac:dyDescent="0.25">
      <c r="A1008" t="s">
        <v>719</v>
      </c>
      <c r="B1008" t="s">
        <v>719</v>
      </c>
      <c r="C1008" t="s">
        <v>393</v>
      </c>
      <c r="D1008" s="3" t="s">
        <v>403</v>
      </c>
      <c r="E1008" s="3" t="s">
        <v>549</v>
      </c>
      <c r="F1008">
        <v>10</v>
      </c>
      <c r="G1008" s="3">
        <f t="shared" si="48"/>
        <v>0.1111111111111111</v>
      </c>
      <c r="H1008" s="3">
        <f t="shared" si="49"/>
        <v>1.111111111111111E-2</v>
      </c>
      <c r="I1008" s="1">
        <f t="shared" si="47"/>
        <v>16</v>
      </c>
      <c r="J1008" t="s">
        <v>470</v>
      </c>
      <c r="K1008" t="s">
        <v>397</v>
      </c>
      <c r="L1008" t="s">
        <v>92</v>
      </c>
      <c r="M1008" t="s">
        <v>644</v>
      </c>
      <c r="N1008" t="s">
        <v>465</v>
      </c>
    </row>
    <row r="1009" spans="1:14" hidden="1" x14ac:dyDescent="0.25">
      <c r="A1009" t="s">
        <v>719</v>
      </c>
      <c r="B1009" t="s">
        <v>719</v>
      </c>
      <c r="C1009" t="s">
        <v>393</v>
      </c>
      <c r="D1009" s="3" t="s">
        <v>486</v>
      </c>
      <c r="E1009" s="3" t="s">
        <v>441</v>
      </c>
      <c r="F1009">
        <v>5</v>
      </c>
      <c r="G1009" s="3">
        <f t="shared" si="48"/>
        <v>0.3298611111111111</v>
      </c>
      <c r="H1009" s="3">
        <f t="shared" si="49"/>
        <v>6.5972222222222224E-2</v>
      </c>
      <c r="I1009" s="1">
        <f t="shared" si="47"/>
        <v>35</v>
      </c>
      <c r="J1009" t="s">
        <v>468</v>
      </c>
      <c r="K1009" t="s">
        <v>397</v>
      </c>
      <c r="L1009" t="s">
        <v>112</v>
      </c>
      <c r="M1009" t="s">
        <v>644</v>
      </c>
      <c r="N1009" t="s">
        <v>465</v>
      </c>
    </row>
    <row r="1010" spans="1:14" hidden="1" x14ac:dyDescent="0.25">
      <c r="A1010" t="s">
        <v>719</v>
      </c>
      <c r="B1010" t="s">
        <v>719</v>
      </c>
      <c r="C1010" t="s">
        <v>393</v>
      </c>
      <c r="D1010" s="3" t="s">
        <v>403</v>
      </c>
      <c r="E1010" s="3" t="s">
        <v>442</v>
      </c>
      <c r="F1010">
        <v>5</v>
      </c>
      <c r="G1010" s="3">
        <f t="shared" si="48"/>
        <v>0.24652777777777773</v>
      </c>
      <c r="H1010" s="3">
        <f t="shared" si="49"/>
        <v>4.9305555555555547E-2</v>
      </c>
      <c r="I1010" s="1">
        <f t="shared" si="47"/>
        <v>11</v>
      </c>
      <c r="J1010" t="s">
        <v>409</v>
      </c>
      <c r="K1010" t="s">
        <v>397</v>
      </c>
      <c r="L1010" t="s">
        <v>307</v>
      </c>
      <c r="M1010" t="s">
        <v>644</v>
      </c>
      <c r="N1010" t="s">
        <v>575</v>
      </c>
    </row>
    <row r="1011" spans="1:14" hidden="1" x14ac:dyDescent="0.25">
      <c r="A1011" t="s">
        <v>719</v>
      </c>
      <c r="B1011" t="s">
        <v>719</v>
      </c>
      <c r="C1011" t="s">
        <v>393</v>
      </c>
      <c r="D1011" s="3" t="s">
        <v>419</v>
      </c>
      <c r="E1011" s="3" t="s">
        <v>659</v>
      </c>
      <c r="F1011">
        <v>15</v>
      </c>
      <c r="G1011" s="3">
        <f t="shared" si="48"/>
        <v>0.19791666666666663</v>
      </c>
      <c r="H1011" s="3">
        <f t="shared" si="49"/>
        <v>1.3194444444444443E-2</v>
      </c>
      <c r="I1011" s="1">
        <f t="shared" si="47"/>
        <v>19</v>
      </c>
      <c r="J1011" t="s">
        <v>716</v>
      </c>
      <c r="K1011" t="s">
        <v>397</v>
      </c>
      <c r="L1011" t="s">
        <v>324</v>
      </c>
      <c r="M1011" t="s">
        <v>644</v>
      </c>
      <c r="N1011" t="s">
        <v>465</v>
      </c>
    </row>
    <row r="1012" spans="1:14" hidden="1" x14ac:dyDescent="0.25">
      <c r="A1012" t="s">
        <v>719</v>
      </c>
      <c r="B1012" t="s">
        <v>719</v>
      </c>
      <c r="C1012" t="s">
        <v>393</v>
      </c>
      <c r="D1012" s="3" t="s">
        <v>403</v>
      </c>
      <c r="E1012" s="3" t="s">
        <v>441</v>
      </c>
      <c r="F1012">
        <v>5</v>
      </c>
      <c r="G1012" s="3">
        <f t="shared" si="48"/>
        <v>0.41319444444444448</v>
      </c>
      <c r="H1012" s="3">
        <f t="shared" si="49"/>
        <v>8.2638888888888901E-2</v>
      </c>
      <c r="I1012" s="1">
        <f t="shared" si="47"/>
        <v>59</v>
      </c>
      <c r="J1012" t="s">
        <v>432</v>
      </c>
      <c r="K1012" t="s">
        <v>397</v>
      </c>
      <c r="L1012" t="s">
        <v>102</v>
      </c>
      <c r="M1012" t="s">
        <v>644</v>
      </c>
      <c r="N1012" t="s">
        <v>465</v>
      </c>
    </row>
    <row r="1013" spans="1:14" hidden="1" x14ac:dyDescent="0.25">
      <c r="A1013" t="s">
        <v>719</v>
      </c>
      <c r="B1013" t="s">
        <v>719</v>
      </c>
      <c r="C1013" t="s">
        <v>393</v>
      </c>
      <c r="D1013" s="3" t="s">
        <v>403</v>
      </c>
      <c r="E1013" s="3" t="s">
        <v>442</v>
      </c>
      <c r="F1013">
        <v>5</v>
      </c>
      <c r="G1013" s="3">
        <f t="shared" si="48"/>
        <v>0.24652777777777773</v>
      </c>
      <c r="H1013" s="3">
        <f t="shared" si="49"/>
        <v>4.9305555555555547E-2</v>
      </c>
      <c r="I1013" s="1">
        <f t="shared" si="47"/>
        <v>11</v>
      </c>
      <c r="J1013" t="s">
        <v>471</v>
      </c>
      <c r="K1013" t="s">
        <v>397</v>
      </c>
      <c r="L1013" t="s">
        <v>89</v>
      </c>
      <c r="M1013" t="s">
        <v>644</v>
      </c>
      <c r="N1013" t="s">
        <v>465</v>
      </c>
    </row>
    <row r="1014" spans="1:14" hidden="1" x14ac:dyDescent="0.25">
      <c r="A1014" t="s">
        <v>719</v>
      </c>
      <c r="B1014" t="s">
        <v>719</v>
      </c>
      <c r="C1014" t="s">
        <v>393</v>
      </c>
      <c r="D1014" s="3" t="s">
        <v>395</v>
      </c>
      <c r="E1014" s="3" t="s">
        <v>516</v>
      </c>
      <c r="F1014">
        <v>10</v>
      </c>
      <c r="G1014" s="3">
        <f t="shared" si="48"/>
        <v>0.18055555555555558</v>
      </c>
      <c r="H1014" s="3">
        <f t="shared" si="49"/>
        <v>1.8055555555555557E-2</v>
      </c>
      <c r="I1014" s="1">
        <f t="shared" si="47"/>
        <v>26</v>
      </c>
      <c r="J1014" t="s">
        <v>716</v>
      </c>
      <c r="K1014" t="s">
        <v>397</v>
      </c>
      <c r="L1014" t="s">
        <v>88</v>
      </c>
      <c r="M1014" t="s">
        <v>644</v>
      </c>
      <c r="N1014" t="s">
        <v>465</v>
      </c>
    </row>
    <row r="1015" spans="1:14" hidden="1" x14ac:dyDescent="0.25">
      <c r="A1015" t="s">
        <v>720</v>
      </c>
      <c r="B1015" t="s">
        <v>685</v>
      </c>
      <c r="C1015" t="s">
        <v>400</v>
      </c>
      <c r="D1015" s="3" t="s">
        <v>403</v>
      </c>
      <c r="E1015" s="3" t="s">
        <v>487</v>
      </c>
      <c r="F1015">
        <v>15</v>
      </c>
      <c r="G1015" s="3">
        <f t="shared" si="48"/>
        <v>0.21875000000000006</v>
      </c>
      <c r="H1015" s="3">
        <f t="shared" si="49"/>
        <v>1.4583333333333337E-2</v>
      </c>
      <c r="I1015" s="1">
        <f t="shared" si="47"/>
        <v>21</v>
      </c>
      <c r="J1015" t="s">
        <v>517</v>
      </c>
      <c r="K1015" t="s">
        <v>397</v>
      </c>
      <c r="L1015" t="s">
        <v>372</v>
      </c>
      <c r="M1015" t="s">
        <v>398</v>
      </c>
      <c r="N1015" t="s">
        <v>433</v>
      </c>
    </row>
    <row r="1016" spans="1:14" hidden="1" x14ac:dyDescent="0.25">
      <c r="A1016" t="s">
        <v>720</v>
      </c>
      <c r="B1016" t="s">
        <v>719</v>
      </c>
      <c r="C1016" t="s">
        <v>406</v>
      </c>
      <c r="D1016" s="3" t="s">
        <v>419</v>
      </c>
      <c r="E1016" s="3" t="s">
        <v>426</v>
      </c>
      <c r="F1016">
        <v>15</v>
      </c>
      <c r="G1016" s="3">
        <f t="shared" si="48"/>
        <v>0.14930555555555558</v>
      </c>
      <c r="H1016" s="3">
        <f t="shared" si="49"/>
        <v>9.9537037037037059E-3</v>
      </c>
      <c r="I1016" s="1">
        <f t="shared" si="47"/>
        <v>14</v>
      </c>
      <c r="J1016" t="s">
        <v>459</v>
      </c>
      <c r="K1016" t="s">
        <v>397</v>
      </c>
      <c r="L1016" t="s">
        <v>318</v>
      </c>
      <c r="M1016" t="s">
        <v>398</v>
      </c>
      <c r="N1016" t="s">
        <v>465</v>
      </c>
    </row>
    <row r="1017" spans="1:14" hidden="1" x14ac:dyDescent="0.25">
      <c r="A1017" t="s">
        <v>720</v>
      </c>
      <c r="B1017" t="s">
        <v>720</v>
      </c>
      <c r="C1017" t="s">
        <v>406</v>
      </c>
      <c r="D1017" s="3" t="s">
        <v>395</v>
      </c>
      <c r="E1017" s="3" t="s">
        <v>423</v>
      </c>
      <c r="F1017">
        <v>10</v>
      </c>
      <c r="G1017" s="3">
        <f t="shared" si="48"/>
        <v>0.1388888888888889</v>
      </c>
      <c r="H1017" s="3">
        <f t="shared" si="49"/>
        <v>1.388888888888889E-2</v>
      </c>
      <c r="I1017" s="1">
        <f t="shared" si="47"/>
        <v>20</v>
      </c>
      <c r="J1017" t="s">
        <v>474</v>
      </c>
      <c r="K1017" t="s">
        <v>397</v>
      </c>
      <c r="L1017" t="s">
        <v>88</v>
      </c>
      <c r="M1017" t="s">
        <v>644</v>
      </c>
      <c r="N1017" t="s">
        <v>465</v>
      </c>
    </row>
    <row r="1018" spans="1:14" hidden="1" x14ac:dyDescent="0.25">
      <c r="A1018" t="s">
        <v>720</v>
      </c>
      <c r="B1018" t="s">
        <v>720</v>
      </c>
      <c r="C1018" t="s">
        <v>406</v>
      </c>
      <c r="D1018" s="3" t="s">
        <v>403</v>
      </c>
      <c r="E1018" s="3" t="s">
        <v>549</v>
      </c>
      <c r="F1018">
        <v>10</v>
      </c>
      <c r="G1018" s="3">
        <f t="shared" si="48"/>
        <v>0.1111111111111111</v>
      </c>
      <c r="H1018" s="3">
        <f t="shared" si="49"/>
        <v>1.111111111111111E-2</v>
      </c>
      <c r="I1018" s="1">
        <f t="shared" si="47"/>
        <v>16</v>
      </c>
      <c r="J1018" t="s">
        <v>470</v>
      </c>
      <c r="K1018" t="s">
        <v>397</v>
      </c>
      <c r="L1018" t="s">
        <v>92</v>
      </c>
      <c r="M1018" t="s">
        <v>644</v>
      </c>
      <c r="N1018" t="s">
        <v>465</v>
      </c>
    </row>
    <row r="1019" spans="1:14" hidden="1" x14ac:dyDescent="0.25">
      <c r="A1019" t="s">
        <v>720</v>
      </c>
      <c r="B1019" t="s">
        <v>720</v>
      </c>
      <c r="C1019" t="s">
        <v>406</v>
      </c>
      <c r="D1019" s="3" t="s">
        <v>403</v>
      </c>
      <c r="E1019" s="3" t="s">
        <v>441</v>
      </c>
      <c r="F1019">
        <v>5</v>
      </c>
      <c r="G1019" s="3">
        <f t="shared" si="48"/>
        <v>0.41319444444444448</v>
      </c>
      <c r="H1019" s="3">
        <f t="shared" si="49"/>
        <v>8.2638888888888901E-2</v>
      </c>
      <c r="I1019" s="1">
        <f t="shared" si="47"/>
        <v>59</v>
      </c>
      <c r="J1019" t="s">
        <v>463</v>
      </c>
      <c r="K1019" t="s">
        <v>397</v>
      </c>
      <c r="L1019" t="s">
        <v>376</v>
      </c>
      <c r="M1019" t="s">
        <v>644</v>
      </c>
      <c r="N1019" t="s">
        <v>465</v>
      </c>
    </row>
    <row r="1020" spans="1:14" hidden="1" x14ac:dyDescent="0.25">
      <c r="A1020" t="s">
        <v>720</v>
      </c>
      <c r="B1020" t="s">
        <v>720</v>
      </c>
      <c r="C1020" t="s">
        <v>406</v>
      </c>
      <c r="D1020" s="3" t="s">
        <v>419</v>
      </c>
      <c r="E1020" s="3" t="s">
        <v>710</v>
      </c>
      <c r="F1020">
        <v>15</v>
      </c>
      <c r="G1020" s="3">
        <f t="shared" si="48"/>
        <v>0.15625</v>
      </c>
      <c r="H1020" s="3">
        <f t="shared" si="49"/>
        <v>1.0416666666666666E-2</v>
      </c>
      <c r="I1020" s="1">
        <f t="shared" si="47"/>
        <v>15</v>
      </c>
      <c r="J1020" t="s">
        <v>476</v>
      </c>
      <c r="K1020" t="s">
        <v>397</v>
      </c>
      <c r="L1020" t="s">
        <v>318</v>
      </c>
      <c r="M1020" t="s">
        <v>644</v>
      </c>
      <c r="N1020" t="s">
        <v>465</v>
      </c>
    </row>
    <row r="1021" spans="1:14" hidden="1" x14ac:dyDescent="0.25">
      <c r="A1021" t="s">
        <v>720</v>
      </c>
      <c r="B1021" t="s">
        <v>720</v>
      </c>
      <c r="C1021" t="s">
        <v>406</v>
      </c>
      <c r="D1021" s="3" t="s">
        <v>403</v>
      </c>
      <c r="E1021" s="3" t="s">
        <v>489</v>
      </c>
      <c r="F1021">
        <v>5</v>
      </c>
      <c r="G1021" s="3">
        <f t="shared" si="48"/>
        <v>0.22569444444444448</v>
      </c>
      <c r="H1021" s="3">
        <f t="shared" si="49"/>
        <v>4.5138888888888895E-2</v>
      </c>
      <c r="I1021" s="1">
        <f t="shared" si="47"/>
        <v>5</v>
      </c>
      <c r="J1021" t="s">
        <v>716</v>
      </c>
      <c r="K1021" t="s">
        <v>397</v>
      </c>
      <c r="L1021" t="s">
        <v>89</v>
      </c>
      <c r="M1021" t="s">
        <v>644</v>
      </c>
      <c r="N1021" t="s">
        <v>465</v>
      </c>
    </row>
    <row r="1022" spans="1:14" hidden="1" x14ac:dyDescent="0.25">
      <c r="A1022" t="s">
        <v>720</v>
      </c>
      <c r="B1022" t="s">
        <v>720</v>
      </c>
      <c r="C1022" t="s">
        <v>406</v>
      </c>
      <c r="D1022" s="3" t="s">
        <v>416</v>
      </c>
      <c r="E1022" s="3" t="s">
        <v>534</v>
      </c>
      <c r="F1022">
        <v>10</v>
      </c>
      <c r="G1022" s="3">
        <f t="shared" si="48"/>
        <v>0.15972222222222221</v>
      </c>
      <c r="H1022" s="3">
        <f t="shared" si="49"/>
        <v>1.5972222222222221E-2</v>
      </c>
      <c r="I1022" s="1">
        <f t="shared" si="47"/>
        <v>23</v>
      </c>
      <c r="J1022" t="s">
        <v>716</v>
      </c>
      <c r="K1022" t="s">
        <v>417</v>
      </c>
      <c r="L1022" t="s">
        <v>88</v>
      </c>
      <c r="M1022" t="s">
        <v>644</v>
      </c>
      <c r="N1022" t="s">
        <v>465</v>
      </c>
    </row>
    <row r="1023" spans="1:14" hidden="1" x14ac:dyDescent="0.25">
      <c r="A1023" t="s">
        <v>720</v>
      </c>
      <c r="B1023" t="s">
        <v>720</v>
      </c>
      <c r="C1023" t="s">
        <v>406</v>
      </c>
      <c r="D1023" s="3" t="s">
        <v>403</v>
      </c>
      <c r="E1023" s="3" t="s">
        <v>721</v>
      </c>
      <c r="F1023">
        <v>15</v>
      </c>
      <c r="G1023" s="3">
        <f t="shared" si="48"/>
        <v>0.32291666666666669</v>
      </c>
      <c r="H1023" s="3">
        <f t="shared" si="49"/>
        <v>2.1527777777777778E-2</v>
      </c>
      <c r="I1023" s="1">
        <f t="shared" si="47"/>
        <v>31</v>
      </c>
      <c r="J1023" t="s">
        <v>471</v>
      </c>
      <c r="K1023" t="s">
        <v>397</v>
      </c>
      <c r="L1023" t="s">
        <v>314</v>
      </c>
      <c r="M1023" t="s">
        <v>644</v>
      </c>
      <c r="N1023" t="s">
        <v>465</v>
      </c>
    </row>
    <row r="1024" spans="1:14" hidden="1" x14ac:dyDescent="0.25">
      <c r="A1024" t="s">
        <v>720</v>
      </c>
      <c r="B1024" t="s">
        <v>720</v>
      </c>
      <c r="C1024" t="s">
        <v>406</v>
      </c>
      <c r="D1024" s="3" t="s">
        <v>547</v>
      </c>
      <c r="E1024" s="3" t="s">
        <v>695</v>
      </c>
      <c r="F1024">
        <v>10</v>
      </c>
      <c r="G1024" s="3">
        <f t="shared" si="48"/>
        <v>0.15972222222222227</v>
      </c>
      <c r="H1024" s="3">
        <f t="shared" si="49"/>
        <v>1.5972222222222228E-2</v>
      </c>
      <c r="I1024" s="1">
        <f t="shared" si="47"/>
        <v>23</v>
      </c>
      <c r="J1024" t="s">
        <v>470</v>
      </c>
      <c r="K1024" t="s">
        <v>397</v>
      </c>
      <c r="L1024" t="s">
        <v>113</v>
      </c>
      <c r="M1024" t="s">
        <v>644</v>
      </c>
      <c r="N1024" t="s">
        <v>465</v>
      </c>
    </row>
    <row r="1025" spans="1:14" hidden="1" x14ac:dyDescent="0.25">
      <c r="A1025" t="s">
        <v>722</v>
      </c>
      <c r="B1025" t="s">
        <v>722</v>
      </c>
      <c r="C1025" t="s">
        <v>422</v>
      </c>
      <c r="D1025" s="3" t="s">
        <v>403</v>
      </c>
      <c r="E1025" s="3" t="s">
        <v>442</v>
      </c>
      <c r="F1025">
        <v>5</v>
      </c>
      <c r="G1025" s="3">
        <f t="shared" si="48"/>
        <v>0.24652777777777773</v>
      </c>
      <c r="H1025" s="3">
        <f t="shared" si="49"/>
        <v>4.9305555555555547E-2</v>
      </c>
      <c r="I1025" s="1">
        <f t="shared" si="47"/>
        <v>11</v>
      </c>
      <c r="J1025" t="s">
        <v>409</v>
      </c>
      <c r="K1025" t="s">
        <v>397</v>
      </c>
      <c r="L1025" t="s">
        <v>98</v>
      </c>
      <c r="M1025" t="s">
        <v>398</v>
      </c>
      <c r="N1025" t="s">
        <v>575</v>
      </c>
    </row>
    <row r="1026" spans="1:14" hidden="1" x14ac:dyDescent="0.25">
      <c r="A1026" t="s">
        <v>722</v>
      </c>
      <c r="B1026" t="s">
        <v>722</v>
      </c>
      <c r="C1026" t="s">
        <v>400</v>
      </c>
      <c r="D1026" s="3" t="s">
        <v>395</v>
      </c>
      <c r="E1026" s="3" t="s">
        <v>516</v>
      </c>
      <c r="F1026">
        <v>10</v>
      </c>
      <c r="G1026" s="3">
        <f t="shared" si="48"/>
        <v>0.18055555555555558</v>
      </c>
      <c r="H1026" s="3">
        <f t="shared" si="49"/>
        <v>1.8055555555555557E-2</v>
      </c>
      <c r="I1026" s="1">
        <f t="shared" si="47"/>
        <v>26</v>
      </c>
      <c r="J1026" t="s">
        <v>474</v>
      </c>
      <c r="K1026" t="s">
        <v>397</v>
      </c>
      <c r="L1026" t="s">
        <v>88</v>
      </c>
      <c r="M1026" t="s">
        <v>644</v>
      </c>
      <c r="N1026" t="s">
        <v>465</v>
      </c>
    </row>
    <row r="1027" spans="1:14" hidden="1" x14ac:dyDescent="0.25">
      <c r="A1027" t="s">
        <v>722</v>
      </c>
      <c r="B1027" t="s">
        <v>722</v>
      </c>
      <c r="C1027" t="s">
        <v>400</v>
      </c>
      <c r="D1027" s="3" t="s">
        <v>411</v>
      </c>
      <c r="E1027" s="3" t="s">
        <v>453</v>
      </c>
      <c r="F1027">
        <v>10</v>
      </c>
      <c r="G1027" s="3">
        <f t="shared" si="48"/>
        <v>0.29166666666666669</v>
      </c>
      <c r="H1027" s="3">
        <f t="shared" si="49"/>
        <v>2.9166666666666667E-2</v>
      </c>
      <c r="I1027" s="1">
        <f t="shared" ref="I1027:I1090" si="50">MINUTE(H1027)</f>
        <v>42</v>
      </c>
      <c r="J1027" t="s">
        <v>429</v>
      </c>
      <c r="K1027" t="s">
        <v>397</v>
      </c>
      <c r="L1027" t="s">
        <v>113</v>
      </c>
      <c r="M1027" t="s">
        <v>644</v>
      </c>
      <c r="N1027" t="s">
        <v>575</v>
      </c>
    </row>
    <row r="1028" spans="1:14" hidden="1" x14ac:dyDescent="0.25">
      <c r="A1028" t="s">
        <v>722</v>
      </c>
      <c r="B1028" t="s">
        <v>722</v>
      </c>
      <c r="C1028" t="s">
        <v>400</v>
      </c>
      <c r="D1028" s="3" t="s">
        <v>403</v>
      </c>
      <c r="E1028" s="3" t="s">
        <v>424</v>
      </c>
      <c r="F1028">
        <v>20</v>
      </c>
      <c r="G1028" s="3">
        <f t="shared" ref="G1028:G1091" si="51">(E1028-D1028)</f>
        <v>0.2361111111111111</v>
      </c>
      <c r="H1028" s="3">
        <f t="shared" ref="H1028:H1091" si="52">G1028/F1028</f>
        <v>1.1805555555555555E-2</v>
      </c>
      <c r="I1028" s="1">
        <f t="shared" si="50"/>
        <v>17</v>
      </c>
      <c r="J1028" t="s">
        <v>468</v>
      </c>
      <c r="K1028" t="s">
        <v>397</v>
      </c>
      <c r="L1028" t="s">
        <v>355</v>
      </c>
      <c r="M1028" t="s">
        <v>644</v>
      </c>
      <c r="N1028" t="s">
        <v>465</v>
      </c>
    </row>
    <row r="1029" spans="1:14" hidden="1" x14ac:dyDescent="0.25">
      <c r="A1029" t="s">
        <v>723</v>
      </c>
      <c r="B1029" t="s">
        <v>723</v>
      </c>
      <c r="C1029" t="s">
        <v>491</v>
      </c>
      <c r="D1029" s="3" t="s">
        <v>403</v>
      </c>
      <c r="E1029" s="3" t="s">
        <v>438</v>
      </c>
      <c r="F1029">
        <v>5</v>
      </c>
      <c r="G1029" s="3">
        <f t="shared" si="51"/>
        <v>0.37152777777777785</v>
      </c>
      <c r="H1029" s="3">
        <f t="shared" si="52"/>
        <v>7.4305555555555569E-2</v>
      </c>
      <c r="I1029" s="1">
        <f t="shared" si="50"/>
        <v>47</v>
      </c>
      <c r="J1029" t="s">
        <v>463</v>
      </c>
      <c r="K1029" t="s">
        <v>397</v>
      </c>
      <c r="L1029" t="s">
        <v>362</v>
      </c>
      <c r="M1029" t="s">
        <v>398</v>
      </c>
      <c r="N1029" t="s">
        <v>465</v>
      </c>
    </row>
    <row r="1030" spans="1:14" hidden="1" x14ac:dyDescent="0.25">
      <c r="A1030" t="s">
        <v>724</v>
      </c>
      <c r="C1030" t="s">
        <v>401</v>
      </c>
      <c r="D1030" s="3" t="s">
        <v>411</v>
      </c>
      <c r="E1030" s="3" t="s">
        <v>410</v>
      </c>
      <c r="F1030">
        <v>10</v>
      </c>
      <c r="G1030" s="3">
        <f t="shared" si="51"/>
        <v>0.14930555555555558</v>
      </c>
      <c r="H1030" s="3">
        <f t="shared" si="52"/>
        <v>1.4930555555555558E-2</v>
      </c>
      <c r="I1030" s="1">
        <f t="shared" si="50"/>
        <v>21</v>
      </c>
      <c r="J1030" t="s">
        <v>429</v>
      </c>
      <c r="K1030" t="s">
        <v>397</v>
      </c>
      <c r="L1030" t="s">
        <v>103</v>
      </c>
      <c r="M1030" t="s">
        <v>398</v>
      </c>
      <c r="N1030" t="s">
        <v>405</v>
      </c>
    </row>
    <row r="1031" spans="1:14" hidden="1" x14ac:dyDescent="0.25">
      <c r="A1031" t="s">
        <v>724</v>
      </c>
      <c r="C1031" t="s">
        <v>401</v>
      </c>
      <c r="D1031" s="3" t="s">
        <v>419</v>
      </c>
      <c r="E1031" s="3" t="s">
        <v>423</v>
      </c>
      <c r="F1031">
        <v>10</v>
      </c>
      <c r="G1031" s="3">
        <f t="shared" si="51"/>
        <v>7.6388888888888895E-2</v>
      </c>
      <c r="H1031" s="3">
        <f t="shared" si="52"/>
        <v>7.6388888888888895E-3</v>
      </c>
      <c r="I1031" s="1">
        <f t="shared" si="50"/>
        <v>11</v>
      </c>
      <c r="J1031" t="s">
        <v>458</v>
      </c>
      <c r="K1031" t="s">
        <v>397</v>
      </c>
      <c r="L1031" t="s">
        <v>343</v>
      </c>
      <c r="M1031" t="s">
        <v>398</v>
      </c>
      <c r="N1031" t="s">
        <v>399</v>
      </c>
    </row>
    <row r="1032" spans="1:14" hidden="1" x14ac:dyDescent="0.25">
      <c r="A1032" t="s">
        <v>724</v>
      </c>
      <c r="B1032" t="s">
        <v>724</v>
      </c>
      <c r="C1032" t="s">
        <v>401</v>
      </c>
      <c r="D1032" s="3" t="s">
        <v>419</v>
      </c>
      <c r="E1032" s="3" t="s">
        <v>527</v>
      </c>
      <c r="F1032">
        <v>15</v>
      </c>
      <c r="G1032" s="3">
        <f t="shared" si="51"/>
        <v>0.10416666666666669</v>
      </c>
      <c r="H1032" s="3">
        <f t="shared" si="52"/>
        <v>6.9444444444444458E-3</v>
      </c>
      <c r="I1032" s="1">
        <f t="shared" si="50"/>
        <v>10</v>
      </c>
      <c r="J1032" t="s">
        <v>427</v>
      </c>
      <c r="K1032" t="s">
        <v>397</v>
      </c>
      <c r="L1032" t="s">
        <v>117</v>
      </c>
      <c r="M1032" t="s">
        <v>398</v>
      </c>
      <c r="N1032" t="s">
        <v>500</v>
      </c>
    </row>
    <row r="1033" spans="1:14" hidden="1" x14ac:dyDescent="0.25">
      <c r="A1033" t="s">
        <v>724</v>
      </c>
      <c r="B1033" t="s">
        <v>724</v>
      </c>
      <c r="C1033" t="s">
        <v>491</v>
      </c>
      <c r="D1033" s="3" t="s">
        <v>655</v>
      </c>
      <c r="E1033" s="3" t="s">
        <v>655</v>
      </c>
      <c r="F1033">
        <v>20</v>
      </c>
      <c r="G1033" s="3">
        <f t="shared" si="51"/>
        <v>0</v>
      </c>
      <c r="H1033" s="3">
        <f t="shared" si="52"/>
        <v>0</v>
      </c>
      <c r="I1033" s="1">
        <f t="shared" si="50"/>
        <v>0</v>
      </c>
      <c r="J1033" t="s">
        <v>529</v>
      </c>
      <c r="L1033" t="s">
        <v>381</v>
      </c>
      <c r="M1033" t="s">
        <v>644</v>
      </c>
      <c r="N1033" t="s">
        <v>465</v>
      </c>
    </row>
    <row r="1034" spans="1:14" hidden="1" x14ac:dyDescent="0.25">
      <c r="A1034" t="s">
        <v>724</v>
      </c>
      <c r="B1034" t="s">
        <v>724</v>
      </c>
      <c r="C1034" t="s">
        <v>491</v>
      </c>
      <c r="D1034" s="3" t="s">
        <v>655</v>
      </c>
      <c r="E1034" s="3" t="s">
        <v>655</v>
      </c>
      <c r="F1034">
        <v>20</v>
      </c>
      <c r="G1034" s="3">
        <f t="shared" si="51"/>
        <v>0</v>
      </c>
      <c r="H1034" s="3">
        <f t="shared" si="52"/>
        <v>0</v>
      </c>
      <c r="I1034" s="1">
        <f t="shared" si="50"/>
        <v>0</v>
      </c>
      <c r="J1034" t="s">
        <v>541</v>
      </c>
      <c r="L1034" t="s">
        <v>381</v>
      </c>
      <c r="M1034" t="s">
        <v>644</v>
      </c>
      <c r="N1034" t="s">
        <v>465</v>
      </c>
    </row>
    <row r="1035" spans="1:14" hidden="1" x14ac:dyDescent="0.25">
      <c r="A1035" t="s">
        <v>724</v>
      </c>
      <c r="B1035" t="s">
        <v>724</v>
      </c>
      <c r="C1035" t="s">
        <v>491</v>
      </c>
      <c r="D1035" s="3" t="s">
        <v>655</v>
      </c>
      <c r="E1035" s="3" t="s">
        <v>655</v>
      </c>
      <c r="G1035" s="3">
        <f t="shared" si="51"/>
        <v>0</v>
      </c>
      <c r="H1035" s="3" t="e">
        <f t="shared" si="52"/>
        <v>#DIV/0!</v>
      </c>
      <c r="I1035" s="1" t="e">
        <f t="shared" si="50"/>
        <v>#DIV/0!</v>
      </c>
      <c r="J1035" t="s">
        <v>508</v>
      </c>
      <c r="L1035" t="s">
        <v>709</v>
      </c>
      <c r="M1035" t="s">
        <v>644</v>
      </c>
      <c r="N1035" t="s">
        <v>575</v>
      </c>
    </row>
    <row r="1036" spans="1:14" hidden="1" x14ac:dyDescent="0.25">
      <c r="A1036" t="s">
        <v>724</v>
      </c>
      <c r="B1036" t="s">
        <v>724</v>
      </c>
      <c r="C1036" t="s">
        <v>491</v>
      </c>
      <c r="D1036" s="3" t="s">
        <v>655</v>
      </c>
      <c r="E1036" s="3" t="s">
        <v>655</v>
      </c>
      <c r="F1036">
        <v>2147483647</v>
      </c>
      <c r="G1036" s="3">
        <f t="shared" si="51"/>
        <v>0</v>
      </c>
      <c r="H1036" s="3">
        <f t="shared" si="52"/>
        <v>0</v>
      </c>
      <c r="I1036" s="1">
        <f t="shared" si="50"/>
        <v>0</v>
      </c>
      <c r="J1036" t="s">
        <v>544</v>
      </c>
      <c r="L1036" t="s">
        <v>665</v>
      </c>
      <c r="M1036" t="s">
        <v>644</v>
      </c>
      <c r="N1036" t="s">
        <v>447</v>
      </c>
    </row>
    <row r="1037" spans="1:14" hidden="1" x14ac:dyDescent="0.25">
      <c r="A1037" t="s">
        <v>724</v>
      </c>
      <c r="B1037" t="s">
        <v>724</v>
      </c>
      <c r="C1037" t="s">
        <v>491</v>
      </c>
      <c r="D1037" s="3" t="s">
        <v>655</v>
      </c>
      <c r="E1037" s="3" t="s">
        <v>655</v>
      </c>
      <c r="F1037">
        <v>20</v>
      </c>
      <c r="G1037" s="3">
        <f t="shared" si="51"/>
        <v>0</v>
      </c>
      <c r="H1037" s="3">
        <f t="shared" si="52"/>
        <v>0</v>
      </c>
      <c r="I1037" s="1">
        <f t="shared" si="50"/>
        <v>0</v>
      </c>
      <c r="J1037" t="s">
        <v>529</v>
      </c>
      <c r="L1037" t="s">
        <v>381</v>
      </c>
      <c r="M1037" t="s">
        <v>644</v>
      </c>
      <c r="N1037" t="s">
        <v>465</v>
      </c>
    </row>
    <row r="1038" spans="1:14" hidden="1" x14ac:dyDescent="0.25">
      <c r="A1038" t="s">
        <v>724</v>
      </c>
      <c r="B1038" t="s">
        <v>724</v>
      </c>
      <c r="C1038" t="s">
        <v>491</v>
      </c>
      <c r="D1038" s="3" t="s">
        <v>655</v>
      </c>
      <c r="E1038" s="3" t="s">
        <v>655</v>
      </c>
      <c r="F1038">
        <v>10</v>
      </c>
      <c r="G1038" s="3">
        <f t="shared" si="51"/>
        <v>0</v>
      </c>
      <c r="H1038" s="3">
        <f t="shared" si="52"/>
        <v>0</v>
      </c>
      <c r="I1038" s="1">
        <f t="shared" si="50"/>
        <v>0</v>
      </c>
      <c r="J1038" t="s">
        <v>529</v>
      </c>
      <c r="L1038" t="s">
        <v>672</v>
      </c>
      <c r="M1038" t="s">
        <v>644</v>
      </c>
      <c r="N1038" t="s">
        <v>465</v>
      </c>
    </row>
    <row r="1039" spans="1:14" hidden="1" x14ac:dyDescent="0.25">
      <c r="A1039" t="s">
        <v>626</v>
      </c>
      <c r="C1039" t="s">
        <v>407</v>
      </c>
      <c r="D1039" s="3" t="s">
        <v>403</v>
      </c>
      <c r="E1039" s="3" t="s">
        <v>402</v>
      </c>
      <c r="F1039">
        <v>10</v>
      </c>
      <c r="G1039" s="3">
        <f t="shared" si="51"/>
        <v>0.14930555555555558</v>
      </c>
      <c r="H1039" s="3">
        <f t="shared" si="52"/>
        <v>1.4930555555555558E-2</v>
      </c>
      <c r="I1039" s="1">
        <f t="shared" si="50"/>
        <v>21</v>
      </c>
      <c r="J1039" t="s">
        <v>425</v>
      </c>
      <c r="K1039" t="s">
        <v>397</v>
      </c>
      <c r="L1039" t="s">
        <v>131</v>
      </c>
      <c r="M1039" t="s">
        <v>398</v>
      </c>
      <c r="N1039" t="s">
        <v>405</v>
      </c>
    </row>
    <row r="1040" spans="1:14" hidden="1" x14ac:dyDescent="0.25">
      <c r="A1040" t="s">
        <v>626</v>
      </c>
      <c r="B1040" t="s">
        <v>626</v>
      </c>
      <c r="C1040" t="s">
        <v>407</v>
      </c>
      <c r="D1040" s="3" t="s">
        <v>504</v>
      </c>
      <c r="E1040" s="3" t="s">
        <v>488</v>
      </c>
      <c r="F1040">
        <v>10</v>
      </c>
      <c r="G1040" s="3">
        <f t="shared" si="51"/>
        <v>8.333333333333337E-2</v>
      </c>
      <c r="H1040" s="3">
        <f t="shared" si="52"/>
        <v>8.3333333333333367E-3</v>
      </c>
      <c r="I1040" s="1">
        <f t="shared" si="50"/>
        <v>12</v>
      </c>
      <c r="J1040" t="s">
        <v>429</v>
      </c>
      <c r="K1040" t="s">
        <v>417</v>
      </c>
      <c r="L1040" t="s">
        <v>343</v>
      </c>
      <c r="M1040" t="s">
        <v>398</v>
      </c>
      <c r="N1040" t="s">
        <v>399</v>
      </c>
    </row>
    <row r="1041" spans="1:14" hidden="1" x14ac:dyDescent="0.25">
      <c r="A1041" t="s">
        <v>626</v>
      </c>
      <c r="B1041" t="s">
        <v>626</v>
      </c>
      <c r="C1041" t="s">
        <v>401</v>
      </c>
      <c r="D1041" s="3" t="s">
        <v>403</v>
      </c>
      <c r="E1041" s="3" t="s">
        <v>467</v>
      </c>
      <c r="F1041">
        <v>5</v>
      </c>
      <c r="G1041" s="3">
        <f t="shared" si="51"/>
        <v>0.3298611111111111</v>
      </c>
      <c r="H1041" s="3">
        <f t="shared" si="52"/>
        <v>6.5972222222222224E-2</v>
      </c>
      <c r="I1041" s="1">
        <f t="shared" si="50"/>
        <v>35</v>
      </c>
      <c r="J1041" t="s">
        <v>427</v>
      </c>
      <c r="K1041" t="s">
        <v>397</v>
      </c>
      <c r="L1041" t="s">
        <v>320</v>
      </c>
      <c r="M1041" t="s">
        <v>644</v>
      </c>
      <c r="N1041" t="s">
        <v>433</v>
      </c>
    </row>
    <row r="1042" spans="1:14" hidden="1" x14ac:dyDescent="0.25">
      <c r="A1042" t="s">
        <v>626</v>
      </c>
      <c r="B1042" t="s">
        <v>626</v>
      </c>
      <c r="C1042" t="s">
        <v>401</v>
      </c>
      <c r="D1042" s="3" t="s">
        <v>655</v>
      </c>
      <c r="E1042" s="3" t="s">
        <v>655</v>
      </c>
      <c r="F1042">
        <v>10</v>
      </c>
      <c r="G1042" s="3">
        <f t="shared" si="51"/>
        <v>0</v>
      </c>
      <c r="H1042" s="3">
        <f t="shared" si="52"/>
        <v>0</v>
      </c>
      <c r="I1042" s="1">
        <f t="shared" si="50"/>
        <v>0</v>
      </c>
      <c r="J1042" t="s">
        <v>541</v>
      </c>
      <c r="L1042" t="s">
        <v>672</v>
      </c>
      <c r="M1042" t="s">
        <v>644</v>
      </c>
      <c r="N1042" t="s">
        <v>465</v>
      </c>
    </row>
    <row r="1043" spans="1:14" hidden="1" x14ac:dyDescent="0.25">
      <c r="A1043" t="s">
        <v>725</v>
      </c>
      <c r="C1043" t="s">
        <v>393</v>
      </c>
      <c r="D1043" s="3" t="s">
        <v>411</v>
      </c>
      <c r="E1043" s="3" t="s">
        <v>428</v>
      </c>
      <c r="F1043">
        <v>15</v>
      </c>
      <c r="G1043" s="3">
        <f t="shared" si="51"/>
        <v>0.44097222222222215</v>
      </c>
      <c r="H1043" s="3">
        <f t="shared" si="52"/>
        <v>2.9398148148148142E-2</v>
      </c>
      <c r="I1043" s="1">
        <f t="shared" si="50"/>
        <v>42</v>
      </c>
      <c r="J1043" t="s">
        <v>455</v>
      </c>
      <c r="K1043" t="s">
        <v>397</v>
      </c>
      <c r="L1043" t="s">
        <v>119</v>
      </c>
      <c r="M1043" t="s">
        <v>398</v>
      </c>
      <c r="N1043" t="s">
        <v>399</v>
      </c>
    </row>
    <row r="1044" spans="1:14" hidden="1" x14ac:dyDescent="0.25">
      <c r="A1044" t="s">
        <v>725</v>
      </c>
      <c r="B1044" t="s">
        <v>577</v>
      </c>
      <c r="C1044" t="s">
        <v>393</v>
      </c>
      <c r="D1044" s="3" t="s">
        <v>505</v>
      </c>
      <c r="E1044" s="3" t="s">
        <v>428</v>
      </c>
      <c r="F1044">
        <v>10</v>
      </c>
      <c r="G1044" s="3">
        <f t="shared" si="51"/>
        <v>0.10763888888888884</v>
      </c>
      <c r="H1044" s="3">
        <f t="shared" si="52"/>
        <v>1.0763888888888884E-2</v>
      </c>
      <c r="I1044" s="1">
        <f t="shared" si="50"/>
        <v>15</v>
      </c>
      <c r="J1044" t="s">
        <v>429</v>
      </c>
      <c r="K1044" t="s">
        <v>417</v>
      </c>
      <c r="L1044" t="s">
        <v>113</v>
      </c>
      <c r="M1044" t="s">
        <v>398</v>
      </c>
      <c r="N1044" t="s">
        <v>575</v>
      </c>
    </row>
    <row r="1045" spans="1:14" hidden="1" x14ac:dyDescent="0.25">
      <c r="A1045" t="s">
        <v>725</v>
      </c>
      <c r="B1045" t="s">
        <v>725</v>
      </c>
      <c r="C1045" t="s">
        <v>407</v>
      </c>
      <c r="D1045" s="3" t="s">
        <v>655</v>
      </c>
      <c r="E1045" s="3" t="s">
        <v>655</v>
      </c>
      <c r="G1045" s="3">
        <f t="shared" si="51"/>
        <v>0</v>
      </c>
      <c r="H1045" s="3" t="e">
        <f t="shared" si="52"/>
        <v>#DIV/0!</v>
      </c>
      <c r="I1045" s="1" t="e">
        <f t="shared" si="50"/>
        <v>#DIV/0!</v>
      </c>
      <c r="J1045" t="s">
        <v>508</v>
      </c>
      <c r="L1045" t="s">
        <v>709</v>
      </c>
      <c r="M1045" t="s">
        <v>644</v>
      </c>
      <c r="N1045" t="s">
        <v>575</v>
      </c>
    </row>
    <row r="1046" spans="1:14" hidden="1" x14ac:dyDescent="0.25">
      <c r="A1046" t="s">
        <v>725</v>
      </c>
      <c r="B1046" t="s">
        <v>725</v>
      </c>
      <c r="C1046" t="s">
        <v>407</v>
      </c>
      <c r="D1046" s="3" t="s">
        <v>655</v>
      </c>
      <c r="E1046" s="3" t="s">
        <v>655</v>
      </c>
      <c r="F1046">
        <v>20</v>
      </c>
      <c r="G1046" s="3">
        <f t="shared" si="51"/>
        <v>0</v>
      </c>
      <c r="H1046" s="3">
        <f t="shared" si="52"/>
        <v>0</v>
      </c>
      <c r="I1046" s="1">
        <f t="shared" si="50"/>
        <v>0</v>
      </c>
      <c r="J1046" t="s">
        <v>541</v>
      </c>
      <c r="L1046" t="s">
        <v>381</v>
      </c>
      <c r="M1046" t="s">
        <v>644</v>
      </c>
      <c r="N1046" t="s">
        <v>465</v>
      </c>
    </row>
    <row r="1047" spans="1:14" hidden="1" x14ac:dyDescent="0.25">
      <c r="A1047" t="s">
        <v>725</v>
      </c>
      <c r="B1047" t="s">
        <v>725</v>
      </c>
      <c r="C1047" t="s">
        <v>407</v>
      </c>
      <c r="D1047" s="3" t="s">
        <v>655</v>
      </c>
      <c r="E1047" s="3" t="s">
        <v>655</v>
      </c>
      <c r="F1047">
        <v>60</v>
      </c>
      <c r="G1047" s="3">
        <f t="shared" si="51"/>
        <v>0</v>
      </c>
      <c r="H1047" s="3">
        <f t="shared" si="52"/>
        <v>0</v>
      </c>
      <c r="I1047" s="1">
        <f t="shared" si="50"/>
        <v>0</v>
      </c>
      <c r="J1047" t="s">
        <v>560</v>
      </c>
      <c r="L1047" t="s">
        <v>381</v>
      </c>
      <c r="M1047" t="s">
        <v>644</v>
      </c>
      <c r="N1047" t="s">
        <v>465</v>
      </c>
    </row>
    <row r="1048" spans="1:14" hidden="1" x14ac:dyDescent="0.25">
      <c r="A1048" t="s">
        <v>725</v>
      </c>
      <c r="B1048" t="s">
        <v>725</v>
      </c>
      <c r="C1048" t="s">
        <v>407</v>
      </c>
      <c r="D1048" s="3" t="s">
        <v>655</v>
      </c>
      <c r="E1048" s="3" t="s">
        <v>655</v>
      </c>
      <c r="F1048">
        <v>60</v>
      </c>
      <c r="G1048" s="3">
        <f t="shared" si="51"/>
        <v>0</v>
      </c>
      <c r="H1048" s="3">
        <f t="shared" si="52"/>
        <v>0</v>
      </c>
      <c r="I1048" s="1">
        <f t="shared" si="50"/>
        <v>0</v>
      </c>
      <c r="J1048" t="s">
        <v>541</v>
      </c>
      <c r="L1048" t="s">
        <v>381</v>
      </c>
      <c r="M1048" t="s">
        <v>644</v>
      </c>
      <c r="N1048" t="s">
        <v>465</v>
      </c>
    </row>
    <row r="1049" spans="1:14" hidden="1" x14ac:dyDescent="0.25">
      <c r="A1049" t="s">
        <v>725</v>
      </c>
      <c r="B1049" t="s">
        <v>725</v>
      </c>
      <c r="C1049" t="s">
        <v>407</v>
      </c>
      <c r="D1049" s="3" t="s">
        <v>655</v>
      </c>
      <c r="E1049" s="3" t="s">
        <v>655</v>
      </c>
      <c r="F1049">
        <v>10</v>
      </c>
      <c r="G1049" s="3">
        <f t="shared" si="51"/>
        <v>0</v>
      </c>
      <c r="H1049" s="3">
        <f t="shared" si="52"/>
        <v>0</v>
      </c>
      <c r="I1049" s="1">
        <f t="shared" si="50"/>
        <v>0</v>
      </c>
      <c r="J1049" t="s">
        <v>541</v>
      </c>
      <c r="L1049" t="s">
        <v>672</v>
      </c>
      <c r="M1049" t="s">
        <v>644</v>
      </c>
      <c r="N1049" t="s">
        <v>465</v>
      </c>
    </row>
    <row r="1050" spans="1:14" hidden="1" x14ac:dyDescent="0.25">
      <c r="A1050" t="s">
        <v>725</v>
      </c>
      <c r="B1050" t="s">
        <v>725</v>
      </c>
      <c r="C1050" t="s">
        <v>407</v>
      </c>
      <c r="D1050" s="3" t="s">
        <v>655</v>
      </c>
      <c r="E1050" s="3" t="s">
        <v>655</v>
      </c>
      <c r="F1050">
        <v>10</v>
      </c>
      <c r="G1050" s="3">
        <f t="shared" si="51"/>
        <v>0</v>
      </c>
      <c r="H1050" s="3">
        <f t="shared" si="52"/>
        <v>0</v>
      </c>
      <c r="I1050" s="1">
        <f t="shared" si="50"/>
        <v>0</v>
      </c>
      <c r="J1050" t="s">
        <v>529</v>
      </c>
      <c r="L1050" t="s">
        <v>672</v>
      </c>
      <c r="M1050" t="s">
        <v>644</v>
      </c>
      <c r="N1050" t="s">
        <v>465</v>
      </c>
    </row>
    <row r="1051" spans="1:14" hidden="1" x14ac:dyDescent="0.25">
      <c r="A1051" t="s">
        <v>627</v>
      </c>
      <c r="C1051" t="s">
        <v>406</v>
      </c>
      <c r="D1051" s="3" t="s">
        <v>403</v>
      </c>
      <c r="E1051" s="3" t="s">
        <v>441</v>
      </c>
      <c r="F1051">
        <v>5</v>
      </c>
      <c r="G1051" s="3">
        <f t="shared" si="51"/>
        <v>0.41319444444444448</v>
      </c>
      <c r="H1051" s="3">
        <f t="shared" si="52"/>
        <v>8.2638888888888901E-2</v>
      </c>
      <c r="I1051" s="1">
        <f t="shared" si="50"/>
        <v>59</v>
      </c>
      <c r="J1051" t="s">
        <v>480</v>
      </c>
      <c r="K1051" t="s">
        <v>397</v>
      </c>
      <c r="L1051" t="s">
        <v>118</v>
      </c>
      <c r="M1051" t="s">
        <v>398</v>
      </c>
      <c r="N1051" t="s">
        <v>465</v>
      </c>
    </row>
    <row r="1052" spans="1:14" hidden="1" x14ac:dyDescent="0.25">
      <c r="A1052" t="s">
        <v>627</v>
      </c>
      <c r="C1052" t="s">
        <v>406</v>
      </c>
      <c r="D1052" s="3" t="s">
        <v>619</v>
      </c>
      <c r="E1052" s="3" t="s">
        <v>472</v>
      </c>
      <c r="F1052">
        <v>10</v>
      </c>
      <c r="G1052" s="3">
        <f t="shared" si="51"/>
        <v>0.1284722222222221</v>
      </c>
      <c r="H1052" s="3">
        <f t="shared" si="52"/>
        <v>1.284722222222221E-2</v>
      </c>
      <c r="I1052" s="1">
        <f t="shared" si="50"/>
        <v>18</v>
      </c>
      <c r="J1052" t="s">
        <v>480</v>
      </c>
      <c r="K1052" t="s">
        <v>483</v>
      </c>
      <c r="L1052" t="s">
        <v>113</v>
      </c>
      <c r="M1052" t="s">
        <v>398</v>
      </c>
      <c r="N1052" t="s">
        <v>465</v>
      </c>
    </row>
    <row r="1053" spans="1:14" hidden="1" x14ac:dyDescent="0.25">
      <c r="A1053" t="s">
        <v>627</v>
      </c>
      <c r="C1053" t="s">
        <v>406</v>
      </c>
      <c r="D1053" s="3" t="s">
        <v>416</v>
      </c>
      <c r="E1053" s="3" t="s">
        <v>418</v>
      </c>
      <c r="F1053">
        <v>10</v>
      </c>
      <c r="G1053" s="3">
        <f t="shared" si="51"/>
        <v>0.10763888888888895</v>
      </c>
      <c r="H1053" s="3">
        <f t="shared" si="52"/>
        <v>1.0763888888888896E-2</v>
      </c>
      <c r="I1053" s="1">
        <f t="shared" si="50"/>
        <v>15</v>
      </c>
      <c r="J1053" t="s">
        <v>435</v>
      </c>
      <c r="K1053" t="s">
        <v>417</v>
      </c>
      <c r="L1053" t="s">
        <v>326</v>
      </c>
      <c r="M1053" t="s">
        <v>398</v>
      </c>
      <c r="N1053" t="s">
        <v>500</v>
      </c>
    </row>
    <row r="1054" spans="1:14" hidden="1" x14ac:dyDescent="0.25">
      <c r="A1054" t="s">
        <v>627</v>
      </c>
      <c r="B1054" t="s">
        <v>627</v>
      </c>
      <c r="C1054" t="s">
        <v>406</v>
      </c>
      <c r="D1054" s="3" t="s">
        <v>416</v>
      </c>
      <c r="E1054" s="3" t="s">
        <v>534</v>
      </c>
      <c r="F1054">
        <v>10</v>
      </c>
      <c r="G1054" s="3">
        <f t="shared" si="51"/>
        <v>0.15972222222222221</v>
      </c>
      <c r="H1054" s="3">
        <f t="shared" si="52"/>
        <v>1.5972222222222221E-2</v>
      </c>
      <c r="I1054" s="1">
        <f t="shared" si="50"/>
        <v>23</v>
      </c>
      <c r="J1054" t="s">
        <v>497</v>
      </c>
      <c r="K1054" t="s">
        <v>417</v>
      </c>
      <c r="L1054" t="s">
        <v>140</v>
      </c>
      <c r="M1054" t="s">
        <v>398</v>
      </c>
      <c r="N1054" t="s">
        <v>405</v>
      </c>
    </row>
    <row r="1055" spans="1:14" hidden="1" x14ac:dyDescent="0.25">
      <c r="A1055" t="s">
        <v>627</v>
      </c>
      <c r="B1055" t="s">
        <v>627</v>
      </c>
      <c r="C1055" t="s">
        <v>406</v>
      </c>
      <c r="D1055" s="3" t="s">
        <v>403</v>
      </c>
      <c r="E1055" s="3" t="s">
        <v>428</v>
      </c>
      <c r="F1055">
        <v>15</v>
      </c>
      <c r="G1055" s="3">
        <f t="shared" si="51"/>
        <v>0.39930555555555552</v>
      </c>
      <c r="H1055" s="3">
        <f t="shared" si="52"/>
        <v>2.6620370370370367E-2</v>
      </c>
      <c r="I1055" s="1">
        <f t="shared" si="50"/>
        <v>38</v>
      </c>
      <c r="J1055" t="s">
        <v>455</v>
      </c>
      <c r="K1055" t="s">
        <v>397</v>
      </c>
      <c r="L1055" t="s">
        <v>315</v>
      </c>
      <c r="M1055" t="s">
        <v>398</v>
      </c>
      <c r="N1055" t="s">
        <v>405</v>
      </c>
    </row>
    <row r="1056" spans="1:14" hidden="1" x14ac:dyDescent="0.25">
      <c r="A1056" t="s">
        <v>627</v>
      </c>
      <c r="B1056" t="s">
        <v>627</v>
      </c>
      <c r="C1056" t="s">
        <v>406</v>
      </c>
      <c r="D1056" s="3" t="s">
        <v>403</v>
      </c>
      <c r="E1056" s="3" t="s">
        <v>501</v>
      </c>
      <c r="F1056">
        <v>40</v>
      </c>
      <c r="G1056" s="3">
        <f t="shared" si="51"/>
        <v>0.34722222222222215</v>
      </c>
      <c r="H1056" s="3">
        <f t="shared" si="52"/>
        <v>8.6805555555555542E-3</v>
      </c>
      <c r="I1056" s="1">
        <f t="shared" si="50"/>
        <v>12</v>
      </c>
      <c r="J1056" t="s">
        <v>458</v>
      </c>
      <c r="K1056" t="s">
        <v>397</v>
      </c>
      <c r="L1056" t="s">
        <v>128</v>
      </c>
      <c r="M1056" t="s">
        <v>398</v>
      </c>
      <c r="N1056" t="s">
        <v>447</v>
      </c>
    </row>
    <row r="1057" spans="1:14" hidden="1" x14ac:dyDescent="0.25">
      <c r="A1057" t="s">
        <v>627</v>
      </c>
      <c r="B1057" t="s">
        <v>627</v>
      </c>
      <c r="C1057" t="s">
        <v>393</v>
      </c>
      <c r="D1057" s="3" t="s">
        <v>403</v>
      </c>
      <c r="E1057" s="3" t="s">
        <v>441</v>
      </c>
      <c r="F1057">
        <v>5</v>
      </c>
      <c r="G1057" s="3">
        <f t="shared" si="51"/>
        <v>0.41319444444444448</v>
      </c>
      <c r="H1057" s="3">
        <f t="shared" si="52"/>
        <v>8.2638888888888901E-2</v>
      </c>
      <c r="I1057" s="1">
        <f t="shared" si="50"/>
        <v>59</v>
      </c>
      <c r="J1057" t="s">
        <v>409</v>
      </c>
      <c r="K1057" t="s">
        <v>397</v>
      </c>
      <c r="L1057" t="s">
        <v>118</v>
      </c>
      <c r="M1057" t="s">
        <v>644</v>
      </c>
      <c r="N1057" t="s">
        <v>433</v>
      </c>
    </row>
    <row r="1058" spans="1:14" hidden="1" x14ac:dyDescent="0.25">
      <c r="A1058" t="s">
        <v>627</v>
      </c>
      <c r="B1058" t="s">
        <v>627</v>
      </c>
      <c r="C1058" t="s">
        <v>393</v>
      </c>
      <c r="D1058" s="3" t="s">
        <v>655</v>
      </c>
      <c r="E1058" s="3" t="s">
        <v>655</v>
      </c>
      <c r="F1058">
        <v>10</v>
      </c>
      <c r="G1058" s="3">
        <f t="shared" si="51"/>
        <v>0</v>
      </c>
      <c r="H1058" s="3">
        <f t="shared" si="52"/>
        <v>0</v>
      </c>
      <c r="I1058" s="1">
        <f t="shared" si="50"/>
        <v>0</v>
      </c>
      <c r="J1058" t="s">
        <v>541</v>
      </c>
      <c r="L1058" t="s">
        <v>381</v>
      </c>
      <c r="M1058" t="s">
        <v>644</v>
      </c>
      <c r="N1058" t="s">
        <v>465</v>
      </c>
    </row>
    <row r="1059" spans="1:14" hidden="1" x14ac:dyDescent="0.25">
      <c r="A1059" t="s">
        <v>627</v>
      </c>
      <c r="B1059" t="s">
        <v>627</v>
      </c>
      <c r="C1059" t="s">
        <v>393</v>
      </c>
      <c r="D1059" s="3" t="s">
        <v>655</v>
      </c>
      <c r="E1059" s="3" t="s">
        <v>655</v>
      </c>
      <c r="G1059" s="3">
        <f t="shared" si="51"/>
        <v>0</v>
      </c>
      <c r="H1059" s="3" t="e">
        <f t="shared" si="52"/>
        <v>#DIV/0!</v>
      </c>
      <c r="I1059" s="1" t="e">
        <f t="shared" si="50"/>
        <v>#DIV/0!</v>
      </c>
      <c r="J1059" t="s">
        <v>508</v>
      </c>
      <c r="L1059" t="s">
        <v>709</v>
      </c>
      <c r="M1059" t="s">
        <v>644</v>
      </c>
      <c r="N1059" t="s">
        <v>575</v>
      </c>
    </row>
    <row r="1060" spans="1:14" hidden="1" x14ac:dyDescent="0.25">
      <c r="A1060" t="s">
        <v>627</v>
      </c>
      <c r="B1060" t="s">
        <v>627</v>
      </c>
      <c r="C1060" t="s">
        <v>393</v>
      </c>
      <c r="D1060" s="3" t="s">
        <v>655</v>
      </c>
      <c r="E1060" s="3" t="s">
        <v>655</v>
      </c>
      <c r="F1060">
        <v>1</v>
      </c>
      <c r="G1060" s="3">
        <f t="shared" si="51"/>
        <v>0</v>
      </c>
      <c r="H1060" s="3">
        <f t="shared" si="52"/>
        <v>0</v>
      </c>
      <c r="I1060" s="1">
        <f t="shared" si="50"/>
        <v>0</v>
      </c>
      <c r="J1060" t="s">
        <v>552</v>
      </c>
      <c r="L1060" t="s">
        <v>702</v>
      </c>
      <c r="M1060" t="s">
        <v>644</v>
      </c>
      <c r="N1060" t="s">
        <v>575</v>
      </c>
    </row>
    <row r="1061" spans="1:14" hidden="1" x14ac:dyDescent="0.25">
      <c r="A1061" t="s">
        <v>627</v>
      </c>
      <c r="B1061" t="s">
        <v>627</v>
      </c>
      <c r="C1061" t="s">
        <v>393</v>
      </c>
      <c r="D1061" s="3" t="s">
        <v>655</v>
      </c>
      <c r="E1061" s="3" t="s">
        <v>655</v>
      </c>
      <c r="G1061" s="3">
        <f t="shared" si="51"/>
        <v>0</v>
      </c>
      <c r="H1061" s="3" t="e">
        <f t="shared" si="52"/>
        <v>#DIV/0!</v>
      </c>
      <c r="I1061" s="1" t="e">
        <f t="shared" si="50"/>
        <v>#DIV/0!</v>
      </c>
      <c r="J1061" t="s">
        <v>508</v>
      </c>
      <c r="L1061" t="s">
        <v>709</v>
      </c>
      <c r="M1061" t="s">
        <v>644</v>
      </c>
      <c r="N1061" t="s">
        <v>575</v>
      </c>
    </row>
    <row r="1062" spans="1:14" hidden="1" x14ac:dyDescent="0.25">
      <c r="A1062" t="s">
        <v>627</v>
      </c>
      <c r="B1062" t="s">
        <v>627</v>
      </c>
      <c r="C1062" t="s">
        <v>393</v>
      </c>
      <c r="D1062" s="3" t="s">
        <v>655</v>
      </c>
      <c r="E1062" s="3" t="s">
        <v>655</v>
      </c>
      <c r="F1062">
        <v>10</v>
      </c>
      <c r="G1062" s="3">
        <f t="shared" si="51"/>
        <v>0</v>
      </c>
      <c r="H1062" s="3">
        <f t="shared" si="52"/>
        <v>0</v>
      </c>
      <c r="I1062" s="1">
        <f t="shared" si="50"/>
        <v>0</v>
      </c>
      <c r="J1062" t="s">
        <v>529</v>
      </c>
      <c r="L1062" t="s">
        <v>381</v>
      </c>
      <c r="M1062" t="s">
        <v>644</v>
      </c>
      <c r="N1062" t="s">
        <v>465</v>
      </c>
    </row>
    <row r="1063" spans="1:14" hidden="1" x14ac:dyDescent="0.25">
      <c r="A1063" t="s">
        <v>627</v>
      </c>
      <c r="B1063" t="s">
        <v>627</v>
      </c>
      <c r="C1063" t="s">
        <v>393</v>
      </c>
      <c r="D1063" s="3" t="s">
        <v>655</v>
      </c>
      <c r="E1063" s="3" t="s">
        <v>655</v>
      </c>
      <c r="F1063">
        <v>100</v>
      </c>
      <c r="G1063" s="3">
        <f t="shared" si="51"/>
        <v>0</v>
      </c>
      <c r="H1063" s="3">
        <f t="shared" si="52"/>
        <v>0</v>
      </c>
      <c r="I1063" s="1">
        <f t="shared" si="50"/>
        <v>0</v>
      </c>
      <c r="J1063" t="s">
        <v>529</v>
      </c>
      <c r="L1063" t="s">
        <v>672</v>
      </c>
      <c r="M1063" t="s">
        <v>644</v>
      </c>
      <c r="N1063" t="s">
        <v>465</v>
      </c>
    </row>
    <row r="1064" spans="1:14" hidden="1" x14ac:dyDescent="0.25">
      <c r="A1064" t="s">
        <v>726</v>
      </c>
      <c r="C1064" t="s">
        <v>400</v>
      </c>
      <c r="D1064" s="3" t="s">
        <v>411</v>
      </c>
      <c r="E1064" s="3" t="s">
        <v>467</v>
      </c>
      <c r="F1064">
        <v>5</v>
      </c>
      <c r="G1064" s="3">
        <f t="shared" si="51"/>
        <v>0.37152777777777773</v>
      </c>
      <c r="H1064" s="3">
        <f t="shared" si="52"/>
        <v>7.4305555555555541E-2</v>
      </c>
      <c r="I1064" s="1">
        <f t="shared" si="50"/>
        <v>47</v>
      </c>
      <c r="J1064" t="s">
        <v>476</v>
      </c>
      <c r="K1064" t="s">
        <v>397</v>
      </c>
      <c r="L1064" t="s">
        <v>97</v>
      </c>
      <c r="M1064" t="s">
        <v>398</v>
      </c>
      <c r="N1064" t="s">
        <v>465</v>
      </c>
    </row>
    <row r="1065" spans="1:14" hidden="1" x14ac:dyDescent="0.25">
      <c r="A1065" t="s">
        <v>726</v>
      </c>
      <c r="B1065" t="s">
        <v>675</v>
      </c>
      <c r="C1065" t="s">
        <v>400</v>
      </c>
      <c r="D1065" s="3" t="s">
        <v>403</v>
      </c>
      <c r="E1065" s="3" t="s">
        <v>727</v>
      </c>
      <c r="F1065">
        <v>15</v>
      </c>
      <c r="G1065" s="3">
        <f t="shared" si="51"/>
        <v>0.21180555555555564</v>
      </c>
      <c r="H1065" s="3">
        <f t="shared" si="52"/>
        <v>1.4120370370370375E-2</v>
      </c>
      <c r="I1065" s="1">
        <f t="shared" si="50"/>
        <v>20</v>
      </c>
      <c r="J1065" t="s">
        <v>432</v>
      </c>
      <c r="K1065" t="s">
        <v>397</v>
      </c>
      <c r="L1065" t="s">
        <v>372</v>
      </c>
      <c r="M1065" t="s">
        <v>398</v>
      </c>
      <c r="N1065" t="s">
        <v>447</v>
      </c>
    </row>
    <row r="1066" spans="1:14" hidden="1" x14ac:dyDescent="0.25">
      <c r="A1066" t="s">
        <v>726</v>
      </c>
      <c r="B1066" t="s">
        <v>430</v>
      </c>
      <c r="C1066" t="s">
        <v>400</v>
      </c>
      <c r="D1066" s="3" t="s">
        <v>411</v>
      </c>
      <c r="E1066" s="3" t="s">
        <v>410</v>
      </c>
      <c r="F1066">
        <v>10</v>
      </c>
      <c r="G1066" s="3">
        <f t="shared" si="51"/>
        <v>0.14930555555555558</v>
      </c>
      <c r="H1066" s="3">
        <f t="shared" si="52"/>
        <v>1.4930555555555558E-2</v>
      </c>
      <c r="I1066" s="1">
        <f t="shared" si="50"/>
        <v>21</v>
      </c>
      <c r="J1066" t="s">
        <v>429</v>
      </c>
      <c r="K1066" t="s">
        <v>397</v>
      </c>
      <c r="L1066" t="s">
        <v>103</v>
      </c>
      <c r="M1066" t="s">
        <v>398</v>
      </c>
      <c r="N1066" t="s">
        <v>433</v>
      </c>
    </row>
    <row r="1067" spans="1:14" hidden="1" x14ac:dyDescent="0.25">
      <c r="A1067" t="s">
        <v>726</v>
      </c>
      <c r="C1067" t="s">
        <v>400</v>
      </c>
      <c r="D1067" s="3" t="s">
        <v>403</v>
      </c>
      <c r="E1067" s="3" t="s">
        <v>441</v>
      </c>
      <c r="F1067">
        <v>5</v>
      </c>
      <c r="G1067" s="3">
        <f t="shared" si="51"/>
        <v>0.41319444444444448</v>
      </c>
      <c r="H1067" s="3">
        <f t="shared" si="52"/>
        <v>8.2638888888888901E-2</v>
      </c>
      <c r="I1067" s="1">
        <f t="shared" si="50"/>
        <v>59</v>
      </c>
      <c r="J1067" t="s">
        <v>468</v>
      </c>
      <c r="K1067" t="s">
        <v>397</v>
      </c>
      <c r="L1067" t="s">
        <v>95</v>
      </c>
      <c r="M1067" t="s">
        <v>398</v>
      </c>
      <c r="N1067" t="s">
        <v>465</v>
      </c>
    </row>
    <row r="1068" spans="1:14" hidden="1" x14ac:dyDescent="0.25">
      <c r="A1068" t="s">
        <v>726</v>
      </c>
      <c r="B1068" t="s">
        <v>726</v>
      </c>
      <c r="C1068" t="s">
        <v>400</v>
      </c>
      <c r="D1068" s="3" t="s">
        <v>453</v>
      </c>
      <c r="E1068" s="3" t="s">
        <v>534</v>
      </c>
      <c r="F1068">
        <v>10</v>
      </c>
      <c r="G1068" s="3">
        <f t="shared" si="51"/>
        <v>0.11805555555555547</v>
      </c>
      <c r="H1068" s="3">
        <f t="shared" si="52"/>
        <v>1.1805555555555547E-2</v>
      </c>
      <c r="I1068" s="1">
        <f t="shared" si="50"/>
        <v>17</v>
      </c>
      <c r="J1068" t="s">
        <v>497</v>
      </c>
      <c r="K1068" t="s">
        <v>417</v>
      </c>
      <c r="L1068" t="s">
        <v>114</v>
      </c>
      <c r="M1068" t="s">
        <v>398</v>
      </c>
      <c r="N1068" t="s">
        <v>405</v>
      </c>
    </row>
    <row r="1069" spans="1:14" hidden="1" x14ac:dyDescent="0.25">
      <c r="A1069" t="s">
        <v>726</v>
      </c>
      <c r="B1069" t="s">
        <v>726</v>
      </c>
      <c r="C1069" t="s">
        <v>406</v>
      </c>
      <c r="D1069" s="3" t="s">
        <v>453</v>
      </c>
      <c r="E1069" s="3" t="s">
        <v>431</v>
      </c>
      <c r="F1069">
        <v>5</v>
      </c>
      <c r="G1069" s="3">
        <f t="shared" si="51"/>
        <v>0.10763888888888884</v>
      </c>
      <c r="H1069" s="3">
        <f t="shared" si="52"/>
        <v>2.1527777777777767E-2</v>
      </c>
      <c r="I1069" s="1">
        <f t="shared" si="50"/>
        <v>31</v>
      </c>
      <c r="J1069" t="s">
        <v>420</v>
      </c>
      <c r="K1069" t="s">
        <v>417</v>
      </c>
      <c r="L1069" t="s">
        <v>114</v>
      </c>
      <c r="M1069" t="s">
        <v>644</v>
      </c>
      <c r="N1069" t="s">
        <v>405</v>
      </c>
    </row>
    <row r="1070" spans="1:14" hidden="1" x14ac:dyDescent="0.25">
      <c r="A1070" t="s">
        <v>726</v>
      </c>
      <c r="B1070" t="s">
        <v>726</v>
      </c>
      <c r="C1070" t="s">
        <v>406</v>
      </c>
      <c r="D1070" s="3" t="s">
        <v>655</v>
      </c>
      <c r="E1070" s="3" t="s">
        <v>655</v>
      </c>
      <c r="G1070" s="3">
        <f t="shared" si="51"/>
        <v>0</v>
      </c>
      <c r="H1070" s="3" t="e">
        <f t="shared" si="52"/>
        <v>#DIV/0!</v>
      </c>
      <c r="I1070" s="1" t="e">
        <f t="shared" si="50"/>
        <v>#DIV/0!</v>
      </c>
      <c r="J1070" t="s">
        <v>508</v>
      </c>
      <c r="L1070" t="s">
        <v>709</v>
      </c>
      <c r="M1070" t="s">
        <v>644</v>
      </c>
      <c r="N1070" t="s">
        <v>575</v>
      </c>
    </row>
    <row r="1071" spans="1:14" hidden="1" x14ac:dyDescent="0.25">
      <c r="A1071" t="s">
        <v>726</v>
      </c>
      <c r="B1071" t="s">
        <v>726</v>
      </c>
      <c r="C1071" t="s">
        <v>406</v>
      </c>
      <c r="D1071" s="3" t="s">
        <v>655</v>
      </c>
      <c r="E1071" s="3" t="s">
        <v>655</v>
      </c>
      <c r="F1071">
        <v>60</v>
      </c>
      <c r="G1071" s="3">
        <f t="shared" si="51"/>
        <v>0</v>
      </c>
      <c r="H1071" s="3">
        <f t="shared" si="52"/>
        <v>0</v>
      </c>
      <c r="I1071" s="1">
        <f t="shared" si="50"/>
        <v>0</v>
      </c>
      <c r="J1071" t="s">
        <v>560</v>
      </c>
      <c r="L1071" t="s">
        <v>381</v>
      </c>
      <c r="M1071" t="s">
        <v>644</v>
      </c>
      <c r="N1071" t="s">
        <v>465</v>
      </c>
    </row>
    <row r="1072" spans="1:14" hidden="1" x14ac:dyDescent="0.25">
      <c r="A1072" t="s">
        <v>726</v>
      </c>
      <c r="B1072" t="s">
        <v>726</v>
      </c>
      <c r="C1072" t="s">
        <v>406</v>
      </c>
      <c r="D1072" s="3" t="s">
        <v>655</v>
      </c>
      <c r="E1072" s="3" t="s">
        <v>655</v>
      </c>
      <c r="F1072">
        <v>60</v>
      </c>
      <c r="G1072" s="3">
        <f t="shared" si="51"/>
        <v>0</v>
      </c>
      <c r="H1072" s="3">
        <f t="shared" si="52"/>
        <v>0</v>
      </c>
      <c r="I1072" s="1">
        <f t="shared" si="50"/>
        <v>0</v>
      </c>
      <c r="J1072" t="s">
        <v>541</v>
      </c>
      <c r="L1072" t="s">
        <v>381</v>
      </c>
      <c r="M1072" t="s">
        <v>644</v>
      </c>
      <c r="N1072" t="s">
        <v>465</v>
      </c>
    </row>
    <row r="1073" spans="1:14" hidden="1" x14ac:dyDescent="0.25">
      <c r="A1073" t="s">
        <v>726</v>
      </c>
      <c r="B1073" t="s">
        <v>726</v>
      </c>
      <c r="C1073" t="s">
        <v>406</v>
      </c>
      <c r="D1073" s="3" t="s">
        <v>655</v>
      </c>
      <c r="E1073" s="3" t="s">
        <v>655</v>
      </c>
      <c r="F1073">
        <v>60</v>
      </c>
      <c r="G1073" s="3">
        <f t="shared" si="51"/>
        <v>0</v>
      </c>
      <c r="H1073" s="3">
        <f t="shared" si="52"/>
        <v>0</v>
      </c>
      <c r="I1073" s="1">
        <f t="shared" si="50"/>
        <v>0</v>
      </c>
      <c r="J1073" t="s">
        <v>560</v>
      </c>
      <c r="L1073" t="s">
        <v>381</v>
      </c>
      <c r="M1073" t="s">
        <v>644</v>
      </c>
      <c r="N1073" t="s">
        <v>465</v>
      </c>
    </row>
    <row r="1074" spans="1:14" hidden="1" x14ac:dyDescent="0.25">
      <c r="A1074" t="s">
        <v>726</v>
      </c>
      <c r="B1074" t="s">
        <v>726</v>
      </c>
      <c r="C1074" t="s">
        <v>406</v>
      </c>
      <c r="D1074" s="3" t="s">
        <v>655</v>
      </c>
      <c r="E1074" s="3" t="s">
        <v>655</v>
      </c>
      <c r="F1074">
        <v>60</v>
      </c>
      <c r="G1074" s="3">
        <f t="shared" si="51"/>
        <v>0</v>
      </c>
      <c r="H1074" s="3">
        <f t="shared" si="52"/>
        <v>0</v>
      </c>
      <c r="I1074" s="1">
        <f t="shared" si="50"/>
        <v>0</v>
      </c>
      <c r="J1074" t="s">
        <v>560</v>
      </c>
      <c r="L1074" t="s">
        <v>381</v>
      </c>
      <c r="M1074" t="s">
        <v>644</v>
      </c>
      <c r="N1074" t="s">
        <v>465</v>
      </c>
    </row>
    <row r="1075" spans="1:14" hidden="1" x14ac:dyDescent="0.25">
      <c r="A1075" t="s">
        <v>726</v>
      </c>
      <c r="B1075" t="s">
        <v>726</v>
      </c>
      <c r="C1075" t="s">
        <v>406</v>
      </c>
      <c r="D1075" s="3" t="s">
        <v>655</v>
      </c>
      <c r="E1075" s="3" t="s">
        <v>655</v>
      </c>
      <c r="F1075">
        <v>10</v>
      </c>
      <c r="G1075" s="3">
        <f t="shared" si="51"/>
        <v>0</v>
      </c>
      <c r="H1075" s="3">
        <f t="shared" si="52"/>
        <v>0</v>
      </c>
      <c r="I1075" s="1">
        <f t="shared" si="50"/>
        <v>0</v>
      </c>
      <c r="J1075" t="s">
        <v>541</v>
      </c>
      <c r="L1075" t="s">
        <v>672</v>
      </c>
      <c r="M1075" t="s">
        <v>644</v>
      </c>
      <c r="N1075" t="s">
        <v>465</v>
      </c>
    </row>
    <row r="1076" spans="1:14" hidden="1" x14ac:dyDescent="0.25">
      <c r="A1076" t="s">
        <v>728</v>
      </c>
      <c r="B1076" t="s">
        <v>580</v>
      </c>
      <c r="C1076" t="s">
        <v>422</v>
      </c>
      <c r="D1076" s="3" t="s">
        <v>419</v>
      </c>
      <c r="E1076" s="3" t="s">
        <v>547</v>
      </c>
      <c r="F1076">
        <v>10</v>
      </c>
      <c r="G1076" s="3">
        <f t="shared" si="51"/>
        <v>8.3333333333333315E-2</v>
      </c>
      <c r="H1076" s="3">
        <f t="shared" si="52"/>
        <v>8.3333333333333315E-3</v>
      </c>
      <c r="I1076" s="1">
        <f t="shared" si="50"/>
        <v>12</v>
      </c>
      <c r="J1076" t="s">
        <v>429</v>
      </c>
      <c r="K1076" t="s">
        <v>397</v>
      </c>
      <c r="L1076" t="s">
        <v>113</v>
      </c>
      <c r="M1076" t="s">
        <v>398</v>
      </c>
      <c r="N1076" t="s">
        <v>575</v>
      </c>
    </row>
    <row r="1077" spans="1:14" hidden="1" x14ac:dyDescent="0.25">
      <c r="A1077" t="s">
        <v>728</v>
      </c>
      <c r="B1077" t="s">
        <v>728</v>
      </c>
      <c r="C1077" t="s">
        <v>422</v>
      </c>
      <c r="D1077" s="3" t="s">
        <v>403</v>
      </c>
      <c r="E1077" s="3" t="s">
        <v>638</v>
      </c>
      <c r="F1077">
        <v>15</v>
      </c>
      <c r="G1077" s="3">
        <f t="shared" si="51"/>
        <v>0.15625</v>
      </c>
      <c r="H1077" s="3">
        <f t="shared" si="52"/>
        <v>1.0416666666666666E-2</v>
      </c>
      <c r="I1077" s="1">
        <f t="shared" si="50"/>
        <v>15</v>
      </c>
      <c r="J1077" t="s">
        <v>396</v>
      </c>
      <c r="K1077" t="s">
        <v>397</v>
      </c>
      <c r="L1077" t="s">
        <v>314</v>
      </c>
      <c r="M1077" t="s">
        <v>398</v>
      </c>
      <c r="N1077" t="s">
        <v>405</v>
      </c>
    </row>
    <row r="1078" spans="1:14" hidden="1" x14ac:dyDescent="0.25">
      <c r="A1078" t="s">
        <v>605</v>
      </c>
      <c r="B1078" t="s">
        <v>605</v>
      </c>
      <c r="C1078" t="s">
        <v>491</v>
      </c>
      <c r="D1078" s="3" t="s">
        <v>655</v>
      </c>
      <c r="E1078" s="3" t="s">
        <v>655</v>
      </c>
      <c r="F1078">
        <v>60</v>
      </c>
      <c r="G1078" s="3">
        <f t="shared" si="51"/>
        <v>0</v>
      </c>
      <c r="H1078" s="3">
        <f t="shared" si="52"/>
        <v>0</v>
      </c>
      <c r="I1078" s="1">
        <f t="shared" si="50"/>
        <v>0</v>
      </c>
      <c r="J1078" t="s">
        <v>560</v>
      </c>
      <c r="L1078" t="s">
        <v>381</v>
      </c>
      <c r="M1078" t="s">
        <v>644</v>
      </c>
      <c r="N1078" t="s">
        <v>465</v>
      </c>
    </row>
    <row r="1079" spans="1:14" hidden="1" x14ac:dyDescent="0.25">
      <c r="A1079" t="s">
        <v>605</v>
      </c>
      <c r="B1079" t="s">
        <v>605</v>
      </c>
      <c r="C1079" t="s">
        <v>491</v>
      </c>
      <c r="D1079" s="3" t="s">
        <v>655</v>
      </c>
      <c r="E1079" s="3" t="s">
        <v>655</v>
      </c>
      <c r="F1079">
        <v>60</v>
      </c>
      <c r="G1079" s="3">
        <f t="shared" si="51"/>
        <v>0</v>
      </c>
      <c r="H1079" s="3">
        <f t="shared" si="52"/>
        <v>0</v>
      </c>
      <c r="I1079" s="1">
        <f t="shared" si="50"/>
        <v>0</v>
      </c>
      <c r="J1079" t="s">
        <v>560</v>
      </c>
      <c r="L1079" t="s">
        <v>381</v>
      </c>
      <c r="M1079" t="s">
        <v>644</v>
      </c>
      <c r="N1079" t="s">
        <v>465</v>
      </c>
    </row>
    <row r="1080" spans="1:14" hidden="1" x14ac:dyDescent="0.25">
      <c r="A1080" t="s">
        <v>605</v>
      </c>
      <c r="B1080" t="s">
        <v>605</v>
      </c>
      <c r="C1080" t="s">
        <v>491</v>
      </c>
      <c r="D1080" s="3" t="s">
        <v>655</v>
      </c>
      <c r="E1080" s="3" t="s">
        <v>655</v>
      </c>
      <c r="G1080" s="3">
        <f t="shared" si="51"/>
        <v>0</v>
      </c>
      <c r="H1080" s="3" t="e">
        <f t="shared" si="52"/>
        <v>#DIV/0!</v>
      </c>
      <c r="I1080" s="1" t="e">
        <f t="shared" si="50"/>
        <v>#DIV/0!</v>
      </c>
      <c r="J1080" t="s">
        <v>508</v>
      </c>
      <c r="L1080" t="s">
        <v>709</v>
      </c>
      <c r="M1080" t="s">
        <v>644</v>
      </c>
      <c r="N1080" t="s">
        <v>575</v>
      </c>
    </row>
    <row r="1081" spans="1:14" hidden="1" x14ac:dyDescent="0.25">
      <c r="A1081" t="s">
        <v>605</v>
      </c>
      <c r="B1081" t="s">
        <v>605</v>
      </c>
      <c r="C1081" t="s">
        <v>491</v>
      </c>
      <c r="D1081" s="3" t="s">
        <v>655</v>
      </c>
      <c r="E1081" s="3" t="s">
        <v>655</v>
      </c>
      <c r="F1081">
        <v>20</v>
      </c>
      <c r="G1081" s="3">
        <f t="shared" si="51"/>
        <v>0</v>
      </c>
      <c r="H1081" s="3">
        <f t="shared" si="52"/>
        <v>0</v>
      </c>
      <c r="I1081" s="1">
        <f t="shared" si="50"/>
        <v>0</v>
      </c>
      <c r="J1081" t="s">
        <v>529</v>
      </c>
      <c r="L1081" t="s">
        <v>729</v>
      </c>
      <c r="M1081" t="s">
        <v>644</v>
      </c>
      <c r="N1081" t="s">
        <v>465</v>
      </c>
    </row>
    <row r="1082" spans="1:14" hidden="1" x14ac:dyDescent="0.25">
      <c r="A1082" t="s">
        <v>605</v>
      </c>
      <c r="B1082" t="s">
        <v>605</v>
      </c>
      <c r="C1082" t="s">
        <v>491</v>
      </c>
      <c r="D1082" s="3" t="s">
        <v>655</v>
      </c>
      <c r="E1082" s="3" t="s">
        <v>655</v>
      </c>
      <c r="F1082">
        <v>10</v>
      </c>
      <c r="G1082" s="3">
        <f t="shared" si="51"/>
        <v>0</v>
      </c>
      <c r="H1082" s="3">
        <f t="shared" si="52"/>
        <v>0</v>
      </c>
      <c r="I1082" s="1">
        <f t="shared" si="50"/>
        <v>0</v>
      </c>
      <c r="J1082" t="s">
        <v>529</v>
      </c>
      <c r="L1082" t="s">
        <v>672</v>
      </c>
      <c r="M1082" t="s">
        <v>644</v>
      </c>
      <c r="N1082" t="s">
        <v>465</v>
      </c>
    </row>
    <row r="1083" spans="1:14" hidden="1" x14ac:dyDescent="0.25">
      <c r="A1083" t="s">
        <v>617</v>
      </c>
      <c r="B1083" t="s">
        <v>617</v>
      </c>
      <c r="C1083" t="s">
        <v>401</v>
      </c>
      <c r="D1083" s="3" t="s">
        <v>655</v>
      </c>
      <c r="E1083" s="3" t="s">
        <v>655</v>
      </c>
      <c r="G1083" s="3">
        <f t="shared" si="51"/>
        <v>0</v>
      </c>
      <c r="H1083" s="3" t="e">
        <f t="shared" si="52"/>
        <v>#DIV/0!</v>
      </c>
      <c r="I1083" s="1" t="e">
        <f t="shared" si="50"/>
        <v>#DIV/0!</v>
      </c>
      <c r="J1083" t="s">
        <v>508</v>
      </c>
      <c r="L1083" t="s">
        <v>709</v>
      </c>
      <c r="M1083" t="s">
        <v>644</v>
      </c>
      <c r="N1083" t="s">
        <v>575</v>
      </c>
    </row>
    <row r="1084" spans="1:14" hidden="1" x14ac:dyDescent="0.25">
      <c r="A1084" t="s">
        <v>617</v>
      </c>
      <c r="B1084" t="s">
        <v>617</v>
      </c>
      <c r="C1084" t="s">
        <v>401</v>
      </c>
      <c r="D1084" s="3" t="s">
        <v>655</v>
      </c>
      <c r="E1084" s="3" t="s">
        <v>655</v>
      </c>
      <c r="F1084">
        <v>20</v>
      </c>
      <c r="G1084" s="3">
        <f t="shared" si="51"/>
        <v>0</v>
      </c>
      <c r="H1084" s="3">
        <f t="shared" si="52"/>
        <v>0</v>
      </c>
      <c r="I1084" s="1">
        <f t="shared" si="50"/>
        <v>0</v>
      </c>
      <c r="J1084" t="s">
        <v>541</v>
      </c>
      <c r="L1084" t="s">
        <v>381</v>
      </c>
      <c r="M1084" t="s">
        <v>644</v>
      </c>
      <c r="N1084" t="s">
        <v>465</v>
      </c>
    </row>
    <row r="1085" spans="1:14" hidden="1" x14ac:dyDescent="0.25">
      <c r="A1085" t="s">
        <v>617</v>
      </c>
      <c r="B1085" t="s">
        <v>617</v>
      </c>
      <c r="C1085" t="s">
        <v>401</v>
      </c>
      <c r="D1085" s="3" t="s">
        <v>655</v>
      </c>
      <c r="E1085" s="3" t="s">
        <v>655</v>
      </c>
      <c r="F1085">
        <v>10</v>
      </c>
      <c r="G1085" s="3">
        <f t="shared" si="51"/>
        <v>0</v>
      </c>
      <c r="H1085" s="3">
        <f t="shared" si="52"/>
        <v>0</v>
      </c>
      <c r="I1085" s="1">
        <f t="shared" si="50"/>
        <v>0</v>
      </c>
      <c r="J1085" t="s">
        <v>529</v>
      </c>
      <c r="L1085" t="s">
        <v>672</v>
      </c>
      <c r="M1085" t="s">
        <v>644</v>
      </c>
      <c r="N1085" t="s">
        <v>465</v>
      </c>
    </row>
    <row r="1086" spans="1:14" hidden="1" x14ac:dyDescent="0.25">
      <c r="A1086" t="s">
        <v>617</v>
      </c>
      <c r="B1086" t="s">
        <v>617</v>
      </c>
      <c r="C1086" t="s">
        <v>401</v>
      </c>
      <c r="D1086" s="3" t="s">
        <v>655</v>
      </c>
      <c r="E1086" s="3" t="s">
        <v>655</v>
      </c>
      <c r="F1086">
        <v>20</v>
      </c>
      <c r="G1086" s="3">
        <f t="shared" si="51"/>
        <v>0</v>
      </c>
      <c r="H1086" s="3">
        <f t="shared" si="52"/>
        <v>0</v>
      </c>
      <c r="I1086" s="1">
        <f t="shared" si="50"/>
        <v>0</v>
      </c>
      <c r="J1086" t="s">
        <v>529</v>
      </c>
      <c r="L1086" t="s">
        <v>381</v>
      </c>
      <c r="M1086" t="s">
        <v>644</v>
      </c>
      <c r="N1086" t="s">
        <v>465</v>
      </c>
    </row>
    <row r="1087" spans="1:14" hidden="1" x14ac:dyDescent="0.25">
      <c r="A1087" t="s">
        <v>604</v>
      </c>
      <c r="B1087" t="s">
        <v>604</v>
      </c>
      <c r="C1087" t="s">
        <v>407</v>
      </c>
      <c r="D1087" s="3" t="s">
        <v>655</v>
      </c>
      <c r="E1087" s="3" t="s">
        <v>655</v>
      </c>
      <c r="G1087" s="3">
        <f t="shared" si="51"/>
        <v>0</v>
      </c>
      <c r="H1087" s="3" t="e">
        <f t="shared" si="52"/>
        <v>#DIV/0!</v>
      </c>
      <c r="I1087" s="1" t="e">
        <f t="shared" si="50"/>
        <v>#DIV/0!</v>
      </c>
      <c r="J1087" t="s">
        <v>508</v>
      </c>
      <c r="L1087" t="s">
        <v>709</v>
      </c>
      <c r="M1087" t="s">
        <v>644</v>
      </c>
      <c r="N1087" t="s">
        <v>575</v>
      </c>
    </row>
    <row r="1088" spans="1:14" hidden="1" x14ac:dyDescent="0.25">
      <c r="A1088" t="s">
        <v>604</v>
      </c>
      <c r="B1088" t="s">
        <v>604</v>
      </c>
      <c r="C1088" t="s">
        <v>407</v>
      </c>
      <c r="D1088" s="3" t="s">
        <v>655</v>
      </c>
      <c r="E1088" s="3" t="s">
        <v>655</v>
      </c>
      <c r="F1088">
        <v>10</v>
      </c>
      <c r="G1088" s="3">
        <f t="shared" si="51"/>
        <v>0</v>
      </c>
      <c r="H1088" s="3">
        <f t="shared" si="52"/>
        <v>0</v>
      </c>
      <c r="I1088" s="1">
        <f t="shared" si="50"/>
        <v>0</v>
      </c>
      <c r="J1088" t="s">
        <v>541</v>
      </c>
      <c r="L1088" t="s">
        <v>381</v>
      </c>
      <c r="M1088" t="s">
        <v>644</v>
      </c>
      <c r="N1088" t="s">
        <v>465</v>
      </c>
    </row>
    <row r="1089" spans="1:14" hidden="1" x14ac:dyDescent="0.25">
      <c r="A1089" t="s">
        <v>604</v>
      </c>
      <c r="B1089" t="s">
        <v>604</v>
      </c>
      <c r="C1089" t="s">
        <v>407</v>
      </c>
      <c r="D1089" s="3" t="s">
        <v>655</v>
      </c>
      <c r="E1089" s="3" t="s">
        <v>655</v>
      </c>
      <c r="F1089">
        <v>10</v>
      </c>
      <c r="G1089" s="3">
        <f t="shared" si="51"/>
        <v>0</v>
      </c>
      <c r="H1089" s="3">
        <f t="shared" si="52"/>
        <v>0</v>
      </c>
      <c r="I1089" s="1">
        <f t="shared" si="50"/>
        <v>0</v>
      </c>
      <c r="J1089" t="s">
        <v>541</v>
      </c>
      <c r="L1089" t="s">
        <v>672</v>
      </c>
      <c r="M1089" t="s">
        <v>644</v>
      </c>
      <c r="N1089" t="s">
        <v>465</v>
      </c>
    </row>
    <row r="1090" spans="1:14" hidden="1" x14ac:dyDescent="0.25">
      <c r="A1090" t="s">
        <v>604</v>
      </c>
      <c r="B1090" t="s">
        <v>604</v>
      </c>
      <c r="C1090" t="s">
        <v>407</v>
      </c>
      <c r="D1090" s="3" t="s">
        <v>655</v>
      </c>
      <c r="E1090" s="3" t="s">
        <v>655</v>
      </c>
      <c r="F1090">
        <v>10</v>
      </c>
      <c r="G1090" s="3">
        <f t="shared" si="51"/>
        <v>0</v>
      </c>
      <c r="H1090" s="3">
        <f t="shared" si="52"/>
        <v>0</v>
      </c>
      <c r="I1090" s="1">
        <f t="shared" si="50"/>
        <v>0</v>
      </c>
      <c r="J1090" t="s">
        <v>529</v>
      </c>
      <c r="L1090" t="s">
        <v>672</v>
      </c>
      <c r="M1090" t="s">
        <v>644</v>
      </c>
      <c r="N1090" t="s">
        <v>465</v>
      </c>
    </row>
    <row r="1091" spans="1:14" hidden="1" x14ac:dyDescent="0.25">
      <c r="A1091" t="s">
        <v>618</v>
      </c>
      <c r="B1091" t="s">
        <v>730</v>
      </c>
      <c r="C1091" t="s">
        <v>406</v>
      </c>
      <c r="D1091" s="3" t="s">
        <v>416</v>
      </c>
      <c r="E1091" s="3" t="s">
        <v>431</v>
      </c>
      <c r="F1091">
        <v>15</v>
      </c>
      <c r="G1091" s="3">
        <f t="shared" si="51"/>
        <v>0.14930555555555558</v>
      </c>
      <c r="H1091" s="3">
        <f t="shared" si="52"/>
        <v>9.9537037037037059E-3</v>
      </c>
      <c r="I1091" s="1">
        <f t="shared" ref="I1091:I1154" si="53">MINUTE(H1091)</f>
        <v>14</v>
      </c>
      <c r="J1091" t="s">
        <v>458</v>
      </c>
      <c r="K1091" t="s">
        <v>417</v>
      </c>
      <c r="L1091" t="s">
        <v>684</v>
      </c>
      <c r="M1091" t="s">
        <v>398</v>
      </c>
      <c r="N1091" t="s">
        <v>399</v>
      </c>
    </row>
    <row r="1092" spans="1:14" hidden="1" x14ac:dyDescent="0.25">
      <c r="A1092" t="s">
        <v>618</v>
      </c>
      <c r="B1092" t="s">
        <v>618</v>
      </c>
      <c r="C1092" t="s">
        <v>406</v>
      </c>
      <c r="D1092" s="3" t="s">
        <v>469</v>
      </c>
      <c r="E1092" s="3" t="s">
        <v>727</v>
      </c>
      <c r="F1092">
        <v>5</v>
      </c>
      <c r="G1092" s="3">
        <f t="shared" ref="G1092:G1155" si="54">(E1092-D1092)</f>
        <v>0.19097222222222227</v>
      </c>
      <c r="H1092" s="3">
        <f t="shared" ref="H1092:H1155" si="55">G1092/F1092</f>
        <v>3.8194444444444454E-2</v>
      </c>
      <c r="I1092" s="1">
        <f t="shared" si="53"/>
        <v>55</v>
      </c>
      <c r="J1092" t="s">
        <v>396</v>
      </c>
      <c r="K1092" t="s">
        <v>397</v>
      </c>
      <c r="L1092" t="s">
        <v>731</v>
      </c>
      <c r="M1092" t="s">
        <v>398</v>
      </c>
      <c r="N1092" t="s">
        <v>500</v>
      </c>
    </row>
    <row r="1093" spans="1:14" hidden="1" x14ac:dyDescent="0.25">
      <c r="A1093" t="s">
        <v>618</v>
      </c>
      <c r="B1093" t="s">
        <v>618</v>
      </c>
      <c r="C1093" t="s">
        <v>406</v>
      </c>
      <c r="D1093" s="3" t="s">
        <v>403</v>
      </c>
      <c r="E1093" s="3" t="s">
        <v>493</v>
      </c>
      <c r="F1093">
        <v>40</v>
      </c>
      <c r="G1093" s="3">
        <f t="shared" si="54"/>
        <v>0.43055555555555552</v>
      </c>
      <c r="H1093" s="3">
        <f t="shared" si="55"/>
        <v>1.0763888888888889E-2</v>
      </c>
      <c r="I1093" s="1">
        <f t="shared" si="53"/>
        <v>15</v>
      </c>
      <c r="J1093" t="s">
        <v>458</v>
      </c>
      <c r="K1093" t="s">
        <v>397</v>
      </c>
      <c r="L1093" t="s">
        <v>128</v>
      </c>
      <c r="M1093" t="s">
        <v>398</v>
      </c>
      <c r="N1093" t="s">
        <v>405</v>
      </c>
    </row>
    <row r="1094" spans="1:14" hidden="1" x14ac:dyDescent="0.25">
      <c r="A1094" t="s">
        <v>618</v>
      </c>
      <c r="B1094" t="s">
        <v>618</v>
      </c>
      <c r="C1094" t="s">
        <v>393</v>
      </c>
      <c r="D1094" s="3" t="s">
        <v>655</v>
      </c>
      <c r="E1094" s="3" t="s">
        <v>655</v>
      </c>
      <c r="G1094" s="3">
        <f t="shared" si="54"/>
        <v>0</v>
      </c>
      <c r="H1094" s="3" t="e">
        <f t="shared" si="55"/>
        <v>#DIV/0!</v>
      </c>
      <c r="I1094" s="1" t="e">
        <f t="shared" si="53"/>
        <v>#DIV/0!</v>
      </c>
      <c r="J1094" t="s">
        <v>508</v>
      </c>
      <c r="L1094" t="s">
        <v>709</v>
      </c>
      <c r="M1094" t="s">
        <v>644</v>
      </c>
      <c r="N1094" t="s">
        <v>575</v>
      </c>
    </row>
    <row r="1095" spans="1:14" hidden="1" x14ac:dyDescent="0.25">
      <c r="A1095" t="s">
        <v>628</v>
      </c>
      <c r="C1095" t="s">
        <v>400</v>
      </c>
      <c r="D1095" s="3" t="s">
        <v>411</v>
      </c>
      <c r="E1095" s="3" t="s">
        <v>732</v>
      </c>
      <c r="F1095">
        <v>10</v>
      </c>
      <c r="G1095" s="3">
        <f t="shared" si="54"/>
        <v>0.18055555555555558</v>
      </c>
      <c r="H1095" s="3">
        <f t="shared" si="55"/>
        <v>1.8055555555555557E-2</v>
      </c>
      <c r="I1095" s="1">
        <f t="shared" si="53"/>
        <v>26</v>
      </c>
      <c r="J1095" t="s">
        <v>455</v>
      </c>
      <c r="K1095" t="s">
        <v>397</v>
      </c>
      <c r="L1095" t="s">
        <v>86</v>
      </c>
      <c r="M1095" t="s">
        <v>398</v>
      </c>
      <c r="N1095" t="s">
        <v>405</v>
      </c>
    </row>
    <row r="1096" spans="1:14" hidden="1" x14ac:dyDescent="0.25">
      <c r="A1096" t="s">
        <v>628</v>
      </c>
      <c r="B1096" t="s">
        <v>628</v>
      </c>
      <c r="C1096" t="s">
        <v>400</v>
      </c>
      <c r="D1096" s="3" t="s">
        <v>395</v>
      </c>
      <c r="E1096" s="3" t="s">
        <v>733</v>
      </c>
      <c r="F1096">
        <v>10</v>
      </c>
      <c r="G1096" s="3">
        <f t="shared" si="54"/>
        <v>0.1076388888888889</v>
      </c>
      <c r="H1096" s="3">
        <f t="shared" si="55"/>
        <v>1.0763888888888889E-2</v>
      </c>
      <c r="I1096" s="1">
        <f t="shared" si="53"/>
        <v>15</v>
      </c>
      <c r="J1096" t="s">
        <v>396</v>
      </c>
      <c r="K1096" t="s">
        <v>397</v>
      </c>
      <c r="L1096" t="s">
        <v>326</v>
      </c>
      <c r="M1096" t="s">
        <v>398</v>
      </c>
      <c r="N1096" t="s">
        <v>500</v>
      </c>
    </row>
    <row r="1097" spans="1:14" hidden="1" x14ac:dyDescent="0.25">
      <c r="A1097" t="s">
        <v>628</v>
      </c>
      <c r="B1097" t="s">
        <v>628</v>
      </c>
      <c r="C1097" t="s">
        <v>400</v>
      </c>
      <c r="D1097" s="3" t="s">
        <v>449</v>
      </c>
      <c r="E1097" s="3" t="s">
        <v>441</v>
      </c>
      <c r="F1097">
        <v>5</v>
      </c>
      <c r="G1097" s="3">
        <f t="shared" si="54"/>
        <v>7.986111111111116E-2</v>
      </c>
      <c r="H1097" s="3">
        <f t="shared" si="55"/>
        <v>1.5972222222222231E-2</v>
      </c>
      <c r="I1097" s="1">
        <f t="shared" si="53"/>
        <v>23</v>
      </c>
      <c r="J1097" t="s">
        <v>476</v>
      </c>
      <c r="K1097" t="s">
        <v>417</v>
      </c>
      <c r="L1097" t="s">
        <v>367</v>
      </c>
      <c r="M1097" t="s">
        <v>398</v>
      </c>
      <c r="N1097" t="s">
        <v>465</v>
      </c>
    </row>
    <row r="1098" spans="1:14" hidden="1" x14ac:dyDescent="0.25">
      <c r="A1098" t="s">
        <v>628</v>
      </c>
      <c r="B1098" t="s">
        <v>628</v>
      </c>
      <c r="C1098" t="s">
        <v>406</v>
      </c>
      <c r="D1098" s="3" t="s">
        <v>562</v>
      </c>
      <c r="E1098" s="3" t="s">
        <v>478</v>
      </c>
      <c r="F1098">
        <v>10</v>
      </c>
      <c r="G1098" s="3">
        <f t="shared" si="54"/>
        <v>0.11805555555555558</v>
      </c>
      <c r="H1098" s="3">
        <f t="shared" si="55"/>
        <v>1.1805555555555559E-2</v>
      </c>
      <c r="I1098" s="1">
        <f t="shared" si="53"/>
        <v>17</v>
      </c>
      <c r="J1098" t="s">
        <v>435</v>
      </c>
      <c r="K1098" t="s">
        <v>397</v>
      </c>
      <c r="L1098" t="s">
        <v>326</v>
      </c>
      <c r="M1098" t="s">
        <v>644</v>
      </c>
      <c r="N1098" t="s">
        <v>500</v>
      </c>
    </row>
    <row r="1099" spans="1:14" hidden="1" x14ac:dyDescent="0.25">
      <c r="A1099" t="s">
        <v>628</v>
      </c>
      <c r="B1099" t="s">
        <v>628</v>
      </c>
      <c r="C1099" t="s">
        <v>406</v>
      </c>
      <c r="D1099" s="3" t="s">
        <v>486</v>
      </c>
      <c r="E1099" s="3" t="s">
        <v>721</v>
      </c>
      <c r="F1099">
        <v>15</v>
      </c>
      <c r="G1099" s="3">
        <f t="shared" si="54"/>
        <v>0.23958333333333331</v>
      </c>
      <c r="H1099" s="3">
        <f t="shared" si="55"/>
        <v>1.5972222222222221E-2</v>
      </c>
      <c r="I1099" s="1">
        <f t="shared" si="53"/>
        <v>23</v>
      </c>
      <c r="J1099" t="s">
        <v>458</v>
      </c>
      <c r="K1099" t="s">
        <v>397</v>
      </c>
      <c r="L1099" t="s">
        <v>112</v>
      </c>
      <c r="M1099" t="s">
        <v>644</v>
      </c>
      <c r="N1099" t="s">
        <v>500</v>
      </c>
    </row>
    <row r="1100" spans="1:14" hidden="1" x14ac:dyDescent="0.25">
      <c r="A1100" t="s">
        <v>628</v>
      </c>
      <c r="B1100" t="s">
        <v>628</v>
      </c>
      <c r="C1100" t="s">
        <v>406</v>
      </c>
      <c r="D1100" s="3" t="s">
        <v>655</v>
      </c>
      <c r="E1100" s="3" t="s">
        <v>655</v>
      </c>
      <c r="G1100" s="3">
        <f t="shared" si="54"/>
        <v>0</v>
      </c>
      <c r="H1100" s="3" t="e">
        <f t="shared" si="55"/>
        <v>#DIV/0!</v>
      </c>
      <c r="I1100" s="1" t="e">
        <f t="shared" si="53"/>
        <v>#DIV/0!</v>
      </c>
      <c r="J1100" t="s">
        <v>508</v>
      </c>
      <c r="L1100" t="s">
        <v>709</v>
      </c>
      <c r="M1100" t="s">
        <v>644</v>
      </c>
      <c r="N1100" t="s">
        <v>575</v>
      </c>
    </row>
    <row r="1101" spans="1:14" hidden="1" x14ac:dyDescent="0.25">
      <c r="A1101" t="s">
        <v>628</v>
      </c>
      <c r="B1101" t="s">
        <v>628</v>
      </c>
      <c r="C1101" t="s">
        <v>406</v>
      </c>
      <c r="D1101" s="3" t="s">
        <v>655</v>
      </c>
      <c r="E1101" s="3" t="s">
        <v>655</v>
      </c>
      <c r="F1101">
        <v>10</v>
      </c>
      <c r="G1101" s="3">
        <f t="shared" si="54"/>
        <v>0</v>
      </c>
      <c r="H1101" s="3">
        <f t="shared" si="55"/>
        <v>0</v>
      </c>
      <c r="I1101" s="1">
        <f t="shared" si="53"/>
        <v>0</v>
      </c>
      <c r="J1101" t="s">
        <v>529</v>
      </c>
      <c r="L1101" t="s">
        <v>381</v>
      </c>
      <c r="M1101" t="s">
        <v>644</v>
      </c>
      <c r="N1101" t="s">
        <v>465</v>
      </c>
    </row>
    <row r="1102" spans="1:14" hidden="1" x14ac:dyDescent="0.25">
      <c r="A1102" t="s">
        <v>628</v>
      </c>
      <c r="B1102" t="s">
        <v>628</v>
      </c>
      <c r="C1102" t="s">
        <v>406</v>
      </c>
      <c r="D1102" s="3" t="s">
        <v>655</v>
      </c>
      <c r="E1102" s="3" t="s">
        <v>655</v>
      </c>
      <c r="G1102" s="3">
        <f t="shared" si="54"/>
        <v>0</v>
      </c>
      <c r="H1102" s="3" t="e">
        <f t="shared" si="55"/>
        <v>#DIV/0!</v>
      </c>
      <c r="I1102" s="1" t="e">
        <f t="shared" si="53"/>
        <v>#DIV/0!</v>
      </c>
      <c r="J1102" t="s">
        <v>529</v>
      </c>
      <c r="L1102" t="s">
        <v>679</v>
      </c>
      <c r="M1102" t="s">
        <v>644</v>
      </c>
      <c r="N1102" t="s">
        <v>465</v>
      </c>
    </row>
    <row r="1103" spans="1:14" hidden="1" x14ac:dyDescent="0.25">
      <c r="A1103" t="s">
        <v>628</v>
      </c>
      <c r="B1103" t="s">
        <v>628</v>
      </c>
      <c r="C1103" t="s">
        <v>406</v>
      </c>
      <c r="D1103" s="3" t="s">
        <v>655</v>
      </c>
      <c r="E1103" s="3" t="s">
        <v>655</v>
      </c>
      <c r="G1103" s="3">
        <f t="shared" si="54"/>
        <v>0</v>
      </c>
      <c r="H1103" s="3" t="e">
        <f t="shared" si="55"/>
        <v>#DIV/0!</v>
      </c>
      <c r="I1103" s="1" t="e">
        <f t="shared" si="53"/>
        <v>#DIV/0!</v>
      </c>
      <c r="J1103" t="s">
        <v>508</v>
      </c>
      <c r="L1103" t="s">
        <v>679</v>
      </c>
      <c r="M1103" t="s">
        <v>644</v>
      </c>
      <c r="N1103" t="s">
        <v>465</v>
      </c>
    </row>
    <row r="1104" spans="1:14" hidden="1" x14ac:dyDescent="0.25">
      <c r="A1104" t="s">
        <v>628</v>
      </c>
      <c r="B1104" t="s">
        <v>628</v>
      </c>
      <c r="C1104" t="s">
        <v>406</v>
      </c>
      <c r="D1104" s="3" t="s">
        <v>655</v>
      </c>
      <c r="E1104" s="3" t="s">
        <v>655</v>
      </c>
      <c r="F1104">
        <v>10</v>
      </c>
      <c r="G1104" s="3">
        <f t="shared" si="54"/>
        <v>0</v>
      </c>
      <c r="H1104" s="3">
        <f t="shared" si="55"/>
        <v>0</v>
      </c>
      <c r="I1104" s="1">
        <f t="shared" si="53"/>
        <v>0</v>
      </c>
      <c r="J1104" t="s">
        <v>541</v>
      </c>
      <c r="L1104" t="s">
        <v>672</v>
      </c>
      <c r="M1104" t="s">
        <v>644</v>
      </c>
      <c r="N1104" t="s">
        <v>465</v>
      </c>
    </row>
    <row r="1105" spans="1:14" hidden="1" x14ac:dyDescent="0.25">
      <c r="A1105" t="s">
        <v>603</v>
      </c>
      <c r="B1105" t="s">
        <v>603</v>
      </c>
      <c r="C1105" t="s">
        <v>422</v>
      </c>
      <c r="D1105" s="3" t="s">
        <v>403</v>
      </c>
      <c r="E1105" s="3" t="s">
        <v>659</v>
      </c>
      <c r="F1105">
        <v>15</v>
      </c>
      <c r="G1105" s="3">
        <f t="shared" si="54"/>
        <v>0.23958333333333331</v>
      </c>
      <c r="H1105" s="3">
        <f t="shared" si="55"/>
        <v>1.5972222222222221E-2</v>
      </c>
      <c r="I1105" s="1">
        <f t="shared" si="53"/>
        <v>23</v>
      </c>
      <c r="J1105" t="s">
        <v>429</v>
      </c>
      <c r="K1105" t="s">
        <v>397</v>
      </c>
      <c r="L1105" t="s">
        <v>112</v>
      </c>
      <c r="M1105" t="s">
        <v>398</v>
      </c>
      <c r="N1105" t="s">
        <v>500</v>
      </c>
    </row>
    <row r="1106" spans="1:14" hidden="1" x14ac:dyDescent="0.25">
      <c r="A1106" t="s">
        <v>603</v>
      </c>
      <c r="B1106" t="s">
        <v>603</v>
      </c>
      <c r="C1106" t="s">
        <v>422</v>
      </c>
      <c r="D1106" s="3" t="s">
        <v>403</v>
      </c>
      <c r="E1106" s="3" t="s">
        <v>423</v>
      </c>
      <c r="F1106">
        <v>10</v>
      </c>
      <c r="G1106" s="3">
        <f t="shared" si="54"/>
        <v>0.11805555555555558</v>
      </c>
      <c r="H1106" s="3">
        <f t="shared" si="55"/>
        <v>1.1805555555555559E-2</v>
      </c>
      <c r="I1106" s="1">
        <f t="shared" si="53"/>
        <v>17</v>
      </c>
      <c r="J1106" t="s">
        <v>455</v>
      </c>
      <c r="K1106" t="s">
        <v>397</v>
      </c>
      <c r="L1106" t="s">
        <v>92</v>
      </c>
      <c r="M1106" t="s">
        <v>398</v>
      </c>
      <c r="N1106" t="s">
        <v>500</v>
      </c>
    </row>
    <row r="1107" spans="1:14" hidden="1" x14ac:dyDescent="0.25">
      <c r="A1107" t="s">
        <v>603</v>
      </c>
      <c r="B1107" t="s">
        <v>603</v>
      </c>
      <c r="C1107" t="s">
        <v>422</v>
      </c>
      <c r="D1107" s="3" t="s">
        <v>403</v>
      </c>
      <c r="E1107" s="3" t="s">
        <v>516</v>
      </c>
      <c r="F1107">
        <v>10</v>
      </c>
      <c r="G1107" s="3">
        <f t="shared" si="54"/>
        <v>0.15972222222222227</v>
      </c>
      <c r="H1107" s="3">
        <f t="shared" si="55"/>
        <v>1.5972222222222228E-2</v>
      </c>
      <c r="I1107" s="1">
        <f t="shared" si="53"/>
        <v>23</v>
      </c>
      <c r="J1107" t="s">
        <v>414</v>
      </c>
      <c r="K1107" t="s">
        <v>397</v>
      </c>
      <c r="L1107" t="s">
        <v>87</v>
      </c>
      <c r="M1107" t="s">
        <v>398</v>
      </c>
      <c r="N1107" t="s">
        <v>405</v>
      </c>
    </row>
    <row r="1108" spans="1:14" hidden="1" x14ac:dyDescent="0.25">
      <c r="A1108" t="s">
        <v>603</v>
      </c>
      <c r="B1108" t="s">
        <v>603</v>
      </c>
      <c r="C1108" t="s">
        <v>400</v>
      </c>
      <c r="D1108" s="3" t="s">
        <v>655</v>
      </c>
      <c r="E1108" s="3" t="s">
        <v>655</v>
      </c>
      <c r="G1108" s="3">
        <f t="shared" si="54"/>
        <v>0</v>
      </c>
      <c r="H1108" s="3" t="e">
        <f t="shared" si="55"/>
        <v>#DIV/0!</v>
      </c>
      <c r="I1108" s="1" t="e">
        <f t="shared" si="53"/>
        <v>#DIV/0!</v>
      </c>
      <c r="J1108" t="s">
        <v>508</v>
      </c>
      <c r="L1108" t="s">
        <v>709</v>
      </c>
      <c r="M1108" t="s">
        <v>644</v>
      </c>
      <c r="N1108" t="s">
        <v>575</v>
      </c>
    </row>
    <row r="1109" spans="1:14" hidden="1" x14ac:dyDescent="0.25">
      <c r="A1109" t="s">
        <v>603</v>
      </c>
      <c r="B1109" t="s">
        <v>603</v>
      </c>
      <c r="C1109" t="s">
        <v>400</v>
      </c>
      <c r="D1109" s="3" t="s">
        <v>655</v>
      </c>
      <c r="E1109" s="3" t="s">
        <v>655</v>
      </c>
      <c r="F1109">
        <v>10</v>
      </c>
      <c r="G1109" s="3">
        <f t="shared" si="54"/>
        <v>0</v>
      </c>
      <c r="H1109" s="3">
        <f t="shared" si="55"/>
        <v>0</v>
      </c>
      <c r="I1109" s="1">
        <f t="shared" si="53"/>
        <v>0</v>
      </c>
      <c r="J1109" t="s">
        <v>541</v>
      </c>
      <c r="L1109" t="s">
        <v>381</v>
      </c>
      <c r="M1109" t="s">
        <v>644</v>
      </c>
      <c r="N1109" t="s">
        <v>465</v>
      </c>
    </row>
    <row r="1110" spans="1:14" hidden="1" x14ac:dyDescent="0.25">
      <c r="A1110" t="s">
        <v>734</v>
      </c>
      <c r="B1110" t="s">
        <v>734</v>
      </c>
      <c r="C1110" t="s">
        <v>491</v>
      </c>
      <c r="D1110" s="3" t="s">
        <v>655</v>
      </c>
      <c r="E1110" s="3" t="s">
        <v>655</v>
      </c>
      <c r="F1110">
        <v>10</v>
      </c>
      <c r="G1110" s="3">
        <f t="shared" si="54"/>
        <v>0</v>
      </c>
      <c r="H1110" s="3">
        <f t="shared" si="55"/>
        <v>0</v>
      </c>
      <c r="I1110" s="1">
        <f t="shared" si="53"/>
        <v>0</v>
      </c>
      <c r="J1110" t="s">
        <v>541</v>
      </c>
      <c r="L1110" t="s">
        <v>381</v>
      </c>
      <c r="M1110" t="s">
        <v>644</v>
      </c>
      <c r="N1110" t="s">
        <v>465</v>
      </c>
    </row>
    <row r="1111" spans="1:14" hidden="1" x14ac:dyDescent="0.25">
      <c r="A1111" t="s">
        <v>735</v>
      </c>
      <c r="C1111" t="s">
        <v>393</v>
      </c>
      <c r="D1111" s="3" t="s">
        <v>504</v>
      </c>
      <c r="E1111" s="3" t="s">
        <v>428</v>
      </c>
      <c r="F1111">
        <v>10</v>
      </c>
      <c r="G1111" s="3">
        <f t="shared" si="54"/>
        <v>0.17013888888888884</v>
      </c>
      <c r="H1111" s="3">
        <f t="shared" si="55"/>
        <v>1.7013888888888884E-2</v>
      </c>
      <c r="I1111" s="1">
        <f t="shared" si="53"/>
        <v>24</v>
      </c>
      <c r="J1111" t="s">
        <v>432</v>
      </c>
      <c r="K1111" t="s">
        <v>417</v>
      </c>
      <c r="L1111" t="s">
        <v>333</v>
      </c>
      <c r="M1111" t="s">
        <v>398</v>
      </c>
      <c r="N1111" t="s">
        <v>405</v>
      </c>
    </row>
    <row r="1112" spans="1:14" hidden="1" x14ac:dyDescent="0.25">
      <c r="A1112" t="s">
        <v>735</v>
      </c>
      <c r="B1112" t="s">
        <v>648</v>
      </c>
      <c r="C1112" t="s">
        <v>407</v>
      </c>
      <c r="D1112" s="3" t="s">
        <v>403</v>
      </c>
      <c r="E1112" s="3" t="s">
        <v>451</v>
      </c>
      <c r="F1112">
        <v>15</v>
      </c>
      <c r="G1112" s="3">
        <f t="shared" si="54"/>
        <v>0.2326388888888889</v>
      </c>
      <c r="H1112" s="3">
        <f t="shared" si="55"/>
        <v>1.5509259259259259E-2</v>
      </c>
      <c r="I1112" s="1">
        <f t="shared" si="53"/>
        <v>22</v>
      </c>
      <c r="J1112" t="s">
        <v>429</v>
      </c>
      <c r="K1112" t="s">
        <v>397</v>
      </c>
      <c r="L1112" t="s">
        <v>736</v>
      </c>
      <c r="M1112" t="s">
        <v>398</v>
      </c>
      <c r="N1112" t="s">
        <v>399</v>
      </c>
    </row>
    <row r="1113" spans="1:14" hidden="1" x14ac:dyDescent="0.25">
      <c r="A1113" t="s">
        <v>735</v>
      </c>
      <c r="B1113" t="s">
        <v>735</v>
      </c>
      <c r="C1113" t="s">
        <v>407</v>
      </c>
      <c r="D1113" s="3" t="s">
        <v>403</v>
      </c>
      <c r="E1113" s="3" t="s">
        <v>441</v>
      </c>
      <c r="F1113">
        <v>5</v>
      </c>
      <c r="G1113" s="3">
        <f t="shared" si="54"/>
        <v>0.41319444444444448</v>
      </c>
      <c r="H1113" s="3">
        <f t="shared" si="55"/>
        <v>8.2638888888888901E-2</v>
      </c>
      <c r="I1113" s="1">
        <f t="shared" si="53"/>
        <v>59</v>
      </c>
      <c r="J1113" t="s">
        <v>409</v>
      </c>
      <c r="K1113" t="s">
        <v>397</v>
      </c>
      <c r="L1113" t="s">
        <v>362</v>
      </c>
      <c r="M1113" t="s">
        <v>398</v>
      </c>
      <c r="N1113" t="s">
        <v>433</v>
      </c>
    </row>
    <row r="1114" spans="1:14" hidden="1" x14ac:dyDescent="0.25">
      <c r="A1114" t="s">
        <v>735</v>
      </c>
      <c r="B1114" t="s">
        <v>735</v>
      </c>
      <c r="C1114" t="s">
        <v>401</v>
      </c>
      <c r="D1114" s="3" t="s">
        <v>655</v>
      </c>
      <c r="E1114" s="3" t="s">
        <v>655</v>
      </c>
      <c r="G1114" s="3">
        <f t="shared" si="54"/>
        <v>0</v>
      </c>
      <c r="H1114" s="3" t="e">
        <f t="shared" si="55"/>
        <v>#DIV/0!</v>
      </c>
      <c r="I1114" s="1" t="e">
        <f t="shared" si="53"/>
        <v>#DIV/0!</v>
      </c>
      <c r="J1114" t="s">
        <v>508</v>
      </c>
      <c r="L1114" t="s">
        <v>709</v>
      </c>
      <c r="M1114" t="s">
        <v>644</v>
      </c>
      <c r="N1114" t="s">
        <v>575</v>
      </c>
    </row>
    <row r="1115" spans="1:14" hidden="1" x14ac:dyDescent="0.25">
      <c r="A1115" t="s">
        <v>735</v>
      </c>
      <c r="B1115" t="s">
        <v>735</v>
      </c>
      <c r="C1115" t="s">
        <v>401</v>
      </c>
      <c r="D1115" s="3" t="s">
        <v>655</v>
      </c>
      <c r="E1115" s="3" t="s">
        <v>655</v>
      </c>
      <c r="F1115">
        <v>10</v>
      </c>
      <c r="G1115" s="3">
        <f t="shared" si="54"/>
        <v>0</v>
      </c>
      <c r="H1115" s="3">
        <f t="shared" si="55"/>
        <v>0</v>
      </c>
      <c r="I1115" s="1">
        <f t="shared" si="53"/>
        <v>0</v>
      </c>
      <c r="J1115" t="s">
        <v>541</v>
      </c>
      <c r="L1115" t="s">
        <v>381</v>
      </c>
      <c r="M1115" t="s">
        <v>644</v>
      </c>
      <c r="N1115" t="s">
        <v>465</v>
      </c>
    </row>
    <row r="1116" spans="1:14" hidden="1" x14ac:dyDescent="0.25">
      <c r="A1116" t="s">
        <v>735</v>
      </c>
      <c r="B1116" t="s">
        <v>735</v>
      </c>
      <c r="C1116" t="s">
        <v>401</v>
      </c>
      <c r="D1116" s="3" t="s">
        <v>411</v>
      </c>
      <c r="E1116" s="3" t="s">
        <v>464</v>
      </c>
      <c r="F1116">
        <v>30</v>
      </c>
      <c r="G1116" s="3">
        <f t="shared" si="54"/>
        <v>0.45833333333333331</v>
      </c>
      <c r="H1116" s="3">
        <f t="shared" si="55"/>
        <v>1.5277777777777777E-2</v>
      </c>
      <c r="I1116" s="1">
        <f t="shared" si="53"/>
        <v>22</v>
      </c>
      <c r="J1116" t="s">
        <v>529</v>
      </c>
      <c r="K1116" t="s">
        <v>397</v>
      </c>
      <c r="L1116" t="s">
        <v>510</v>
      </c>
      <c r="M1116" t="s">
        <v>644</v>
      </c>
      <c r="N1116" t="s">
        <v>465</v>
      </c>
    </row>
    <row r="1117" spans="1:14" hidden="1" x14ac:dyDescent="0.25">
      <c r="A1117" t="s">
        <v>735</v>
      </c>
      <c r="B1117" t="s">
        <v>735</v>
      </c>
      <c r="C1117" t="s">
        <v>401</v>
      </c>
      <c r="D1117" s="3" t="s">
        <v>655</v>
      </c>
      <c r="E1117" s="3" t="s">
        <v>655</v>
      </c>
      <c r="F1117">
        <v>10</v>
      </c>
      <c r="G1117" s="3">
        <f t="shared" si="54"/>
        <v>0</v>
      </c>
      <c r="H1117" s="3">
        <f t="shared" si="55"/>
        <v>0</v>
      </c>
      <c r="I1117" s="1">
        <f t="shared" si="53"/>
        <v>0</v>
      </c>
      <c r="J1117" t="s">
        <v>529</v>
      </c>
      <c r="L1117" t="s">
        <v>381</v>
      </c>
      <c r="M1117" t="s">
        <v>644</v>
      </c>
      <c r="N1117" t="s">
        <v>465</v>
      </c>
    </row>
    <row r="1118" spans="1:14" hidden="1" x14ac:dyDescent="0.25">
      <c r="A1118" t="s">
        <v>735</v>
      </c>
      <c r="B1118" t="s">
        <v>735</v>
      </c>
      <c r="C1118" t="s">
        <v>401</v>
      </c>
      <c r="D1118" s="3" t="s">
        <v>655</v>
      </c>
      <c r="E1118" s="3" t="s">
        <v>655</v>
      </c>
      <c r="F1118">
        <v>10</v>
      </c>
      <c r="G1118" s="3">
        <f t="shared" si="54"/>
        <v>0</v>
      </c>
      <c r="H1118" s="3">
        <f t="shared" si="55"/>
        <v>0</v>
      </c>
      <c r="I1118" s="1">
        <f t="shared" si="53"/>
        <v>0</v>
      </c>
      <c r="J1118" t="s">
        <v>560</v>
      </c>
      <c r="L1118" t="s">
        <v>381</v>
      </c>
      <c r="M1118" t="s">
        <v>644</v>
      </c>
      <c r="N1118" t="s">
        <v>465</v>
      </c>
    </row>
    <row r="1119" spans="1:14" hidden="1" x14ac:dyDescent="0.25">
      <c r="A1119" t="s">
        <v>735</v>
      </c>
      <c r="B1119" t="s">
        <v>735</v>
      </c>
      <c r="C1119" t="s">
        <v>401</v>
      </c>
      <c r="D1119" s="3" t="s">
        <v>655</v>
      </c>
      <c r="E1119" s="3" t="s">
        <v>655</v>
      </c>
      <c r="F1119">
        <v>10</v>
      </c>
      <c r="G1119" s="3">
        <f t="shared" si="54"/>
        <v>0</v>
      </c>
      <c r="H1119" s="3">
        <f t="shared" si="55"/>
        <v>0</v>
      </c>
      <c r="I1119" s="1">
        <f t="shared" si="53"/>
        <v>0</v>
      </c>
      <c r="J1119" t="s">
        <v>541</v>
      </c>
      <c r="L1119" t="s">
        <v>672</v>
      </c>
      <c r="M1119" t="s">
        <v>644</v>
      </c>
      <c r="N1119" t="s">
        <v>465</v>
      </c>
    </row>
    <row r="1120" spans="1:14" hidden="1" x14ac:dyDescent="0.25">
      <c r="A1120" t="s">
        <v>735</v>
      </c>
      <c r="B1120" t="s">
        <v>735</v>
      </c>
      <c r="C1120" t="s">
        <v>401</v>
      </c>
      <c r="D1120" s="3" t="s">
        <v>411</v>
      </c>
      <c r="E1120" s="3" t="s">
        <v>464</v>
      </c>
      <c r="F1120">
        <v>30</v>
      </c>
      <c r="G1120" s="3">
        <f t="shared" si="54"/>
        <v>0.45833333333333331</v>
      </c>
      <c r="H1120" s="3">
        <f t="shared" si="55"/>
        <v>1.5277777777777777E-2</v>
      </c>
      <c r="I1120" s="1">
        <f t="shared" si="53"/>
        <v>22</v>
      </c>
      <c r="J1120" t="s">
        <v>521</v>
      </c>
      <c r="K1120" t="s">
        <v>397</v>
      </c>
      <c r="L1120" t="s">
        <v>510</v>
      </c>
      <c r="M1120" t="s">
        <v>644</v>
      </c>
      <c r="N1120" t="s">
        <v>465</v>
      </c>
    </row>
    <row r="1121" spans="1:14" hidden="1" x14ac:dyDescent="0.25">
      <c r="A1121" t="s">
        <v>735</v>
      </c>
      <c r="B1121" t="s">
        <v>735</v>
      </c>
      <c r="C1121" t="s">
        <v>401</v>
      </c>
      <c r="D1121" s="3" t="s">
        <v>655</v>
      </c>
      <c r="E1121" s="3" t="s">
        <v>655</v>
      </c>
      <c r="F1121">
        <v>10</v>
      </c>
      <c r="G1121" s="3">
        <f t="shared" si="54"/>
        <v>0</v>
      </c>
      <c r="H1121" s="3">
        <f t="shared" si="55"/>
        <v>0</v>
      </c>
      <c r="I1121" s="1">
        <f t="shared" si="53"/>
        <v>0</v>
      </c>
      <c r="J1121" t="s">
        <v>529</v>
      </c>
      <c r="L1121" t="s">
        <v>672</v>
      </c>
      <c r="M1121" t="s">
        <v>644</v>
      </c>
      <c r="N1121" t="s">
        <v>465</v>
      </c>
    </row>
    <row r="1122" spans="1:14" hidden="1" x14ac:dyDescent="0.25">
      <c r="A1122" t="s">
        <v>622</v>
      </c>
      <c r="B1122" t="s">
        <v>523</v>
      </c>
      <c r="C1122" t="s">
        <v>393</v>
      </c>
      <c r="D1122" s="3" t="s">
        <v>403</v>
      </c>
      <c r="E1122" s="3" t="s">
        <v>431</v>
      </c>
      <c r="F1122">
        <v>30</v>
      </c>
      <c r="G1122" s="3">
        <f t="shared" si="54"/>
        <v>0.3576388888888889</v>
      </c>
      <c r="H1122" s="3">
        <f t="shared" si="55"/>
        <v>1.1921296296296296E-2</v>
      </c>
      <c r="I1122" s="1">
        <f t="shared" si="53"/>
        <v>17</v>
      </c>
      <c r="J1122" t="s">
        <v>458</v>
      </c>
      <c r="K1122" t="s">
        <v>397</v>
      </c>
      <c r="L1122" t="s">
        <v>684</v>
      </c>
      <c r="M1122" t="s">
        <v>398</v>
      </c>
      <c r="N1122" t="s">
        <v>399</v>
      </c>
    </row>
    <row r="1123" spans="1:14" hidden="1" x14ac:dyDescent="0.25">
      <c r="A1123" t="s">
        <v>622</v>
      </c>
      <c r="B1123" t="s">
        <v>718</v>
      </c>
      <c r="C1123" t="s">
        <v>393</v>
      </c>
      <c r="D1123" s="3" t="s">
        <v>403</v>
      </c>
      <c r="E1123" s="3" t="s">
        <v>451</v>
      </c>
      <c r="F1123">
        <v>15</v>
      </c>
      <c r="G1123" s="3">
        <f t="shared" si="54"/>
        <v>0.2326388888888889</v>
      </c>
      <c r="H1123" s="3">
        <f t="shared" si="55"/>
        <v>1.5509259259259259E-2</v>
      </c>
      <c r="I1123" s="1">
        <f t="shared" si="53"/>
        <v>22</v>
      </c>
      <c r="J1123" t="s">
        <v>429</v>
      </c>
      <c r="K1123" t="s">
        <v>397</v>
      </c>
      <c r="L1123" t="s">
        <v>736</v>
      </c>
      <c r="M1123" t="s">
        <v>398</v>
      </c>
      <c r="N1123" t="s">
        <v>399</v>
      </c>
    </row>
    <row r="1124" spans="1:14" hidden="1" x14ac:dyDescent="0.25">
      <c r="A1124" t="s">
        <v>622</v>
      </c>
      <c r="B1124" t="s">
        <v>622</v>
      </c>
      <c r="C1124" t="s">
        <v>393</v>
      </c>
      <c r="D1124" s="3" t="s">
        <v>479</v>
      </c>
      <c r="E1124" s="3" t="s">
        <v>707</v>
      </c>
      <c r="F1124">
        <v>10</v>
      </c>
      <c r="G1124" s="3">
        <f t="shared" si="54"/>
        <v>0.10763888888888884</v>
      </c>
      <c r="H1124" s="3">
        <f t="shared" si="55"/>
        <v>1.0763888888888884E-2</v>
      </c>
      <c r="I1124" s="1">
        <f t="shared" si="53"/>
        <v>15</v>
      </c>
      <c r="J1124" t="s">
        <v>474</v>
      </c>
      <c r="K1124" t="s">
        <v>417</v>
      </c>
      <c r="L1124" t="s">
        <v>142</v>
      </c>
      <c r="M1124" t="s">
        <v>398</v>
      </c>
      <c r="N1124" t="s">
        <v>465</v>
      </c>
    </row>
    <row r="1125" spans="1:14" hidden="1" x14ac:dyDescent="0.25">
      <c r="A1125" t="s">
        <v>622</v>
      </c>
      <c r="B1125" t="s">
        <v>622</v>
      </c>
      <c r="C1125" t="s">
        <v>393</v>
      </c>
      <c r="D1125" s="3" t="s">
        <v>403</v>
      </c>
      <c r="E1125" s="3" t="s">
        <v>441</v>
      </c>
      <c r="F1125">
        <v>5</v>
      </c>
      <c r="G1125" s="3">
        <f t="shared" si="54"/>
        <v>0.41319444444444448</v>
      </c>
      <c r="H1125" s="3">
        <f t="shared" si="55"/>
        <v>8.2638888888888901E-2</v>
      </c>
      <c r="I1125" s="1">
        <f t="shared" si="53"/>
        <v>59</v>
      </c>
      <c r="J1125" t="s">
        <v>480</v>
      </c>
      <c r="K1125" t="s">
        <v>397</v>
      </c>
      <c r="L1125" t="s">
        <v>362</v>
      </c>
      <c r="M1125" t="s">
        <v>398</v>
      </c>
      <c r="N1125" t="s">
        <v>465</v>
      </c>
    </row>
    <row r="1126" spans="1:14" hidden="1" x14ac:dyDescent="0.25">
      <c r="A1126" t="s">
        <v>622</v>
      </c>
      <c r="B1126" t="s">
        <v>622</v>
      </c>
      <c r="C1126" t="s">
        <v>393</v>
      </c>
      <c r="D1126" s="3" t="s">
        <v>515</v>
      </c>
      <c r="E1126" s="3" t="s">
        <v>592</v>
      </c>
      <c r="F1126">
        <v>10</v>
      </c>
      <c r="G1126" s="3">
        <f t="shared" si="54"/>
        <v>3.4722222222222321E-2</v>
      </c>
      <c r="H1126" s="3">
        <f t="shared" si="55"/>
        <v>3.472222222222232E-3</v>
      </c>
      <c r="I1126" s="1">
        <f t="shared" si="53"/>
        <v>5</v>
      </c>
      <c r="J1126" t="s">
        <v>396</v>
      </c>
      <c r="K1126" t="s">
        <v>417</v>
      </c>
      <c r="L1126" t="s">
        <v>113</v>
      </c>
      <c r="M1126" t="s">
        <v>398</v>
      </c>
      <c r="N1126" t="s">
        <v>399</v>
      </c>
    </row>
    <row r="1127" spans="1:14" hidden="1" x14ac:dyDescent="0.25">
      <c r="A1127" t="s">
        <v>622</v>
      </c>
      <c r="B1127" t="s">
        <v>622</v>
      </c>
      <c r="C1127" t="s">
        <v>407</v>
      </c>
      <c r="D1127" s="3" t="s">
        <v>655</v>
      </c>
      <c r="E1127" s="3" t="s">
        <v>655</v>
      </c>
      <c r="G1127" s="3">
        <f t="shared" si="54"/>
        <v>0</v>
      </c>
      <c r="H1127" s="3" t="e">
        <f t="shared" si="55"/>
        <v>#DIV/0!</v>
      </c>
      <c r="I1127" s="1" t="e">
        <f t="shared" si="53"/>
        <v>#DIV/0!</v>
      </c>
      <c r="J1127" t="s">
        <v>508</v>
      </c>
      <c r="L1127" t="s">
        <v>709</v>
      </c>
      <c r="M1127" t="s">
        <v>644</v>
      </c>
      <c r="N1127" t="s">
        <v>575</v>
      </c>
    </row>
    <row r="1128" spans="1:14" hidden="1" x14ac:dyDescent="0.25">
      <c r="A1128" t="s">
        <v>622</v>
      </c>
      <c r="B1128" t="s">
        <v>622</v>
      </c>
      <c r="C1128" t="s">
        <v>407</v>
      </c>
      <c r="D1128" s="3" t="s">
        <v>655</v>
      </c>
      <c r="E1128" s="3" t="s">
        <v>655</v>
      </c>
      <c r="F1128">
        <v>10</v>
      </c>
      <c r="G1128" s="3">
        <f t="shared" si="54"/>
        <v>0</v>
      </c>
      <c r="H1128" s="3">
        <f t="shared" si="55"/>
        <v>0</v>
      </c>
      <c r="I1128" s="1">
        <f t="shared" si="53"/>
        <v>0</v>
      </c>
      <c r="J1128" t="s">
        <v>529</v>
      </c>
      <c r="L1128" t="s">
        <v>381</v>
      </c>
      <c r="M1128" t="s">
        <v>644</v>
      </c>
      <c r="N1128" t="s">
        <v>465</v>
      </c>
    </row>
    <row r="1129" spans="1:14" hidden="1" x14ac:dyDescent="0.25">
      <c r="A1129" t="s">
        <v>622</v>
      </c>
      <c r="B1129" t="s">
        <v>622</v>
      </c>
      <c r="C1129" t="s">
        <v>407</v>
      </c>
      <c r="D1129" s="3" t="s">
        <v>655</v>
      </c>
      <c r="E1129" s="3" t="s">
        <v>655</v>
      </c>
      <c r="F1129">
        <v>10</v>
      </c>
      <c r="G1129" s="3">
        <f t="shared" si="54"/>
        <v>0</v>
      </c>
      <c r="H1129" s="3">
        <f t="shared" si="55"/>
        <v>0</v>
      </c>
      <c r="I1129" s="1">
        <f t="shared" si="53"/>
        <v>0</v>
      </c>
      <c r="J1129" t="s">
        <v>541</v>
      </c>
      <c r="L1129" t="s">
        <v>672</v>
      </c>
      <c r="M1129" t="s">
        <v>644</v>
      </c>
      <c r="N1129" t="s">
        <v>465</v>
      </c>
    </row>
    <row r="1130" spans="1:14" hidden="1" x14ac:dyDescent="0.25">
      <c r="A1130" t="s">
        <v>737</v>
      </c>
      <c r="B1130" t="s">
        <v>656</v>
      </c>
      <c r="C1130" t="s">
        <v>406</v>
      </c>
      <c r="D1130" s="3" t="s">
        <v>395</v>
      </c>
      <c r="E1130" s="3" t="s">
        <v>394</v>
      </c>
      <c r="F1130">
        <v>15</v>
      </c>
      <c r="G1130" s="3">
        <f t="shared" si="54"/>
        <v>0.14930555555555558</v>
      </c>
      <c r="H1130" s="3">
        <f t="shared" si="55"/>
        <v>9.9537037037037059E-3</v>
      </c>
      <c r="I1130" s="1">
        <f t="shared" si="53"/>
        <v>14</v>
      </c>
      <c r="J1130" t="s">
        <v>435</v>
      </c>
      <c r="K1130" t="s">
        <v>397</v>
      </c>
      <c r="L1130" t="s">
        <v>130</v>
      </c>
      <c r="M1130" t="s">
        <v>398</v>
      </c>
      <c r="N1130" t="s">
        <v>433</v>
      </c>
    </row>
    <row r="1131" spans="1:14" hidden="1" x14ac:dyDescent="0.25">
      <c r="A1131" t="s">
        <v>737</v>
      </c>
      <c r="B1131" t="s">
        <v>737</v>
      </c>
      <c r="C1131" t="s">
        <v>406</v>
      </c>
      <c r="D1131" s="3" t="s">
        <v>395</v>
      </c>
      <c r="E1131" s="3" t="s">
        <v>410</v>
      </c>
      <c r="F1131">
        <v>10</v>
      </c>
      <c r="G1131" s="3">
        <f t="shared" si="54"/>
        <v>0.12847222222222227</v>
      </c>
      <c r="H1131" s="3">
        <f t="shared" si="55"/>
        <v>1.2847222222222227E-2</v>
      </c>
      <c r="I1131" s="1">
        <f t="shared" si="53"/>
        <v>18</v>
      </c>
      <c r="J1131" t="s">
        <v>396</v>
      </c>
      <c r="K1131" t="s">
        <v>397</v>
      </c>
      <c r="L1131" t="s">
        <v>88</v>
      </c>
      <c r="M1131" t="s">
        <v>398</v>
      </c>
      <c r="N1131" t="s">
        <v>399</v>
      </c>
    </row>
    <row r="1132" spans="1:14" hidden="1" x14ac:dyDescent="0.25">
      <c r="A1132" t="s">
        <v>737</v>
      </c>
      <c r="B1132" t="s">
        <v>737</v>
      </c>
      <c r="C1132" t="s">
        <v>406</v>
      </c>
      <c r="D1132" s="3" t="s">
        <v>411</v>
      </c>
      <c r="E1132" s="3" t="s">
        <v>443</v>
      </c>
      <c r="F1132">
        <v>5</v>
      </c>
      <c r="G1132" s="3">
        <f t="shared" si="54"/>
        <v>0.24652777777777773</v>
      </c>
      <c r="H1132" s="3">
        <f t="shared" si="55"/>
        <v>4.9305555555555547E-2</v>
      </c>
      <c r="I1132" s="1">
        <f t="shared" si="53"/>
        <v>11</v>
      </c>
      <c r="J1132" t="s">
        <v>463</v>
      </c>
      <c r="K1132" t="s">
        <v>397</v>
      </c>
      <c r="L1132" t="s">
        <v>358</v>
      </c>
      <c r="M1132" t="s">
        <v>398</v>
      </c>
      <c r="N1132" t="s">
        <v>465</v>
      </c>
    </row>
    <row r="1133" spans="1:14" hidden="1" x14ac:dyDescent="0.25">
      <c r="A1133" t="s">
        <v>737</v>
      </c>
      <c r="B1133" t="s">
        <v>737</v>
      </c>
      <c r="C1133" t="s">
        <v>406</v>
      </c>
      <c r="D1133" s="3" t="s">
        <v>505</v>
      </c>
      <c r="E1133" s="3" t="s">
        <v>492</v>
      </c>
      <c r="F1133">
        <v>15</v>
      </c>
      <c r="G1133" s="3">
        <f t="shared" si="54"/>
        <v>0.14930555555555547</v>
      </c>
      <c r="H1133" s="3">
        <f t="shared" si="55"/>
        <v>9.9537037037036973E-3</v>
      </c>
      <c r="I1133" s="1">
        <f t="shared" si="53"/>
        <v>14</v>
      </c>
      <c r="J1133" t="s">
        <v>435</v>
      </c>
      <c r="K1133" t="s">
        <v>417</v>
      </c>
      <c r="L1133" t="s">
        <v>319</v>
      </c>
      <c r="M1133" t="s">
        <v>398</v>
      </c>
      <c r="N1133" t="s">
        <v>500</v>
      </c>
    </row>
    <row r="1134" spans="1:14" hidden="1" x14ac:dyDescent="0.25">
      <c r="A1134" t="s">
        <v>737</v>
      </c>
      <c r="B1134" t="s">
        <v>737</v>
      </c>
      <c r="C1134" t="s">
        <v>393</v>
      </c>
      <c r="D1134" s="3" t="s">
        <v>403</v>
      </c>
      <c r="E1134" s="3" t="s">
        <v>445</v>
      </c>
      <c r="F1134">
        <v>10</v>
      </c>
      <c r="G1134" s="3">
        <f t="shared" si="54"/>
        <v>0.16666666666666669</v>
      </c>
      <c r="H1134" s="3">
        <f t="shared" si="55"/>
        <v>1.666666666666667E-2</v>
      </c>
      <c r="I1134" s="1">
        <f t="shared" si="53"/>
        <v>24</v>
      </c>
      <c r="J1134" t="s">
        <v>497</v>
      </c>
      <c r="K1134" t="s">
        <v>397</v>
      </c>
      <c r="L1134" t="s">
        <v>154</v>
      </c>
      <c r="M1134" t="s">
        <v>644</v>
      </c>
      <c r="N1134" t="s">
        <v>405</v>
      </c>
    </row>
    <row r="1135" spans="1:14" hidden="1" x14ac:dyDescent="0.25">
      <c r="A1135" t="s">
        <v>737</v>
      </c>
      <c r="B1135" t="s">
        <v>737</v>
      </c>
      <c r="C1135" t="s">
        <v>393</v>
      </c>
      <c r="D1135" s="3" t="s">
        <v>655</v>
      </c>
      <c r="E1135" s="3" t="s">
        <v>655</v>
      </c>
      <c r="F1135">
        <v>60</v>
      </c>
      <c r="G1135" s="3">
        <f t="shared" si="54"/>
        <v>0</v>
      </c>
      <c r="H1135" s="3">
        <f t="shared" si="55"/>
        <v>0</v>
      </c>
      <c r="I1135" s="1">
        <f t="shared" si="53"/>
        <v>0</v>
      </c>
      <c r="J1135" t="s">
        <v>560</v>
      </c>
      <c r="L1135" t="s">
        <v>381</v>
      </c>
      <c r="M1135" t="s">
        <v>644</v>
      </c>
      <c r="N1135" t="s">
        <v>465</v>
      </c>
    </row>
    <row r="1136" spans="1:14" hidden="1" x14ac:dyDescent="0.25">
      <c r="A1136" t="s">
        <v>737</v>
      </c>
      <c r="B1136" t="s">
        <v>737</v>
      </c>
      <c r="C1136" t="s">
        <v>393</v>
      </c>
      <c r="D1136" s="3" t="s">
        <v>655</v>
      </c>
      <c r="E1136" s="3" t="s">
        <v>655</v>
      </c>
      <c r="F1136">
        <v>60</v>
      </c>
      <c r="G1136" s="3">
        <f t="shared" si="54"/>
        <v>0</v>
      </c>
      <c r="H1136" s="3">
        <f t="shared" si="55"/>
        <v>0</v>
      </c>
      <c r="I1136" s="1">
        <f t="shared" si="53"/>
        <v>0</v>
      </c>
      <c r="J1136" t="s">
        <v>529</v>
      </c>
      <c r="L1136" t="s">
        <v>381</v>
      </c>
      <c r="M1136" t="s">
        <v>644</v>
      </c>
      <c r="N1136" t="s">
        <v>465</v>
      </c>
    </row>
    <row r="1137" spans="1:14" hidden="1" x14ac:dyDescent="0.25">
      <c r="A1137" t="s">
        <v>737</v>
      </c>
      <c r="B1137" t="s">
        <v>737</v>
      </c>
      <c r="C1137" t="s">
        <v>393</v>
      </c>
      <c r="D1137" s="3" t="s">
        <v>655</v>
      </c>
      <c r="E1137" s="3" t="s">
        <v>655</v>
      </c>
      <c r="F1137">
        <v>10</v>
      </c>
      <c r="G1137" s="3">
        <f t="shared" si="54"/>
        <v>0</v>
      </c>
      <c r="H1137" s="3">
        <f t="shared" si="55"/>
        <v>0</v>
      </c>
      <c r="I1137" s="1">
        <f t="shared" si="53"/>
        <v>0</v>
      </c>
      <c r="J1137" t="s">
        <v>529</v>
      </c>
      <c r="L1137" t="s">
        <v>672</v>
      </c>
      <c r="M1137" t="s">
        <v>644</v>
      </c>
      <c r="N1137" t="s">
        <v>465</v>
      </c>
    </row>
    <row r="1138" spans="1:14" hidden="1" x14ac:dyDescent="0.25">
      <c r="A1138" t="s">
        <v>625</v>
      </c>
      <c r="B1138" t="s">
        <v>625</v>
      </c>
      <c r="C1138" t="s">
        <v>400</v>
      </c>
      <c r="D1138" s="3" t="s">
        <v>403</v>
      </c>
      <c r="E1138" s="3" t="s">
        <v>453</v>
      </c>
      <c r="F1138">
        <v>15</v>
      </c>
      <c r="G1138" s="3">
        <f t="shared" si="54"/>
        <v>0.25000000000000006</v>
      </c>
      <c r="H1138" s="3">
        <f t="shared" si="55"/>
        <v>1.666666666666667E-2</v>
      </c>
      <c r="I1138" s="1">
        <f t="shared" si="53"/>
        <v>24</v>
      </c>
      <c r="J1138" t="s">
        <v>429</v>
      </c>
      <c r="K1138" t="s">
        <v>397</v>
      </c>
      <c r="L1138" t="s">
        <v>736</v>
      </c>
      <c r="M1138" t="s">
        <v>398</v>
      </c>
      <c r="N1138" t="s">
        <v>399</v>
      </c>
    </row>
    <row r="1139" spans="1:14" hidden="1" x14ac:dyDescent="0.25">
      <c r="A1139" t="s">
        <v>625</v>
      </c>
      <c r="B1139" t="s">
        <v>625</v>
      </c>
      <c r="C1139" t="s">
        <v>406</v>
      </c>
      <c r="D1139" s="3" t="s">
        <v>655</v>
      </c>
      <c r="E1139" s="3" t="s">
        <v>655</v>
      </c>
      <c r="G1139" s="3">
        <f t="shared" si="54"/>
        <v>0</v>
      </c>
      <c r="H1139" s="3" t="e">
        <f t="shared" si="55"/>
        <v>#DIV/0!</v>
      </c>
      <c r="I1139" s="1" t="e">
        <f t="shared" si="53"/>
        <v>#DIV/0!</v>
      </c>
      <c r="J1139" t="s">
        <v>508</v>
      </c>
      <c r="L1139" t="s">
        <v>709</v>
      </c>
      <c r="M1139" t="s">
        <v>644</v>
      </c>
      <c r="N1139" t="s">
        <v>575</v>
      </c>
    </row>
    <row r="1140" spans="1:14" hidden="1" x14ac:dyDescent="0.25">
      <c r="A1140" t="s">
        <v>625</v>
      </c>
      <c r="B1140" t="s">
        <v>625</v>
      </c>
      <c r="C1140" t="s">
        <v>406</v>
      </c>
      <c r="D1140" s="3" t="s">
        <v>655</v>
      </c>
      <c r="E1140" s="3" t="s">
        <v>655</v>
      </c>
      <c r="F1140">
        <v>10</v>
      </c>
      <c r="G1140" s="3">
        <f t="shared" si="54"/>
        <v>0</v>
      </c>
      <c r="H1140" s="3">
        <f t="shared" si="55"/>
        <v>0</v>
      </c>
      <c r="I1140" s="1">
        <f t="shared" si="53"/>
        <v>0</v>
      </c>
      <c r="J1140" t="s">
        <v>529</v>
      </c>
      <c r="L1140" t="s">
        <v>672</v>
      </c>
      <c r="M1140" t="s">
        <v>644</v>
      </c>
      <c r="N1140" t="s">
        <v>465</v>
      </c>
    </row>
    <row r="1141" spans="1:14" hidden="1" x14ac:dyDescent="0.25">
      <c r="A1141" t="s">
        <v>738</v>
      </c>
      <c r="B1141" t="s">
        <v>738</v>
      </c>
      <c r="C1141" t="s">
        <v>422</v>
      </c>
      <c r="D1141" s="3" t="s">
        <v>403</v>
      </c>
      <c r="E1141" s="3" t="s">
        <v>442</v>
      </c>
      <c r="F1141">
        <v>5</v>
      </c>
      <c r="G1141" s="3">
        <f t="shared" si="54"/>
        <v>0.24652777777777773</v>
      </c>
      <c r="H1141" s="3">
        <f t="shared" si="55"/>
        <v>4.9305555555555547E-2</v>
      </c>
      <c r="I1141" s="1">
        <f t="shared" si="53"/>
        <v>11</v>
      </c>
      <c r="J1141" t="s">
        <v>409</v>
      </c>
      <c r="K1141" t="s">
        <v>397</v>
      </c>
      <c r="L1141" t="s">
        <v>367</v>
      </c>
      <c r="M1141" t="s">
        <v>398</v>
      </c>
      <c r="N1141" t="s">
        <v>433</v>
      </c>
    </row>
    <row r="1142" spans="1:14" hidden="1" x14ac:dyDescent="0.25">
      <c r="A1142" t="s">
        <v>738</v>
      </c>
      <c r="B1142" t="s">
        <v>738</v>
      </c>
      <c r="C1142" t="s">
        <v>400</v>
      </c>
      <c r="D1142" s="3" t="s">
        <v>655</v>
      </c>
      <c r="E1142" s="3" t="s">
        <v>655</v>
      </c>
      <c r="F1142">
        <v>10</v>
      </c>
      <c r="G1142" s="3">
        <f t="shared" si="54"/>
        <v>0</v>
      </c>
      <c r="H1142" s="3">
        <f t="shared" si="55"/>
        <v>0</v>
      </c>
      <c r="I1142" s="1">
        <f t="shared" si="53"/>
        <v>0</v>
      </c>
      <c r="J1142" t="s">
        <v>541</v>
      </c>
      <c r="L1142" t="s">
        <v>381</v>
      </c>
      <c r="M1142" t="s">
        <v>644</v>
      </c>
      <c r="N1142" t="s">
        <v>465</v>
      </c>
    </row>
    <row r="1143" spans="1:14" hidden="1" x14ac:dyDescent="0.25">
      <c r="A1143" t="s">
        <v>738</v>
      </c>
      <c r="B1143" t="s">
        <v>738</v>
      </c>
      <c r="C1143" t="s">
        <v>400</v>
      </c>
      <c r="D1143" s="3" t="s">
        <v>655</v>
      </c>
      <c r="E1143" s="3" t="s">
        <v>655</v>
      </c>
      <c r="F1143">
        <v>10</v>
      </c>
      <c r="G1143" s="3">
        <f t="shared" si="54"/>
        <v>0</v>
      </c>
      <c r="H1143" s="3">
        <f t="shared" si="55"/>
        <v>0</v>
      </c>
      <c r="I1143" s="1">
        <f t="shared" si="53"/>
        <v>0</v>
      </c>
      <c r="J1143" t="s">
        <v>541</v>
      </c>
      <c r="L1143" t="s">
        <v>381</v>
      </c>
      <c r="M1143" t="s">
        <v>644</v>
      </c>
      <c r="N1143" t="s">
        <v>465</v>
      </c>
    </row>
    <row r="1144" spans="1:14" hidden="1" x14ac:dyDescent="0.25">
      <c r="A1144" t="s">
        <v>738</v>
      </c>
      <c r="B1144" t="s">
        <v>738</v>
      </c>
      <c r="C1144" t="s">
        <v>400</v>
      </c>
      <c r="D1144" s="3" t="s">
        <v>655</v>
      </c>
      <c r="E1144" s="3" t="s">
        <v>655</v>
      </c>
      <c r="F1144">
        <v>10</v>
      </c>
      <c r="G1144" s="3">
        <f t="shared" si="54"/>
        <v>0</v>
      </c>
      <c r="H1144" s="3">
        <f t="shared" si="55"/>
        <v>0</v>
      </c>
      <c r="I1144" s="1">
        <f t="shared" si="53"/>
        <v>0</v>
      </c>
      <c r="J1144" t="s">
        <v>529</v>
      </c>
      <c r="L1144" t="s">
        <v>381</v>
      </c>
      <c r="M1144" t="s">
        <v>644</v>
      </c>
      <c r="N1144" t="s">
        <v>465</v>
      </c>
    </row>
    <row r="1145" spans="1:14" hidden="1" x14ac:dyDescent="0.25">
      <c r="A1145" t="s">
        <v>738</v>
      </c>
      <c r="B1145" t="s">
        <v>738</v>
      </c>
      <c r="C1145" t="s">
        <v>400</v>
      </c>
      <c r="D1145" s="3" t="s">
        <v>655</v>
      </c>
      <c r="E1145" s="3" t="s">
        <v>655</v>
      </c>
      <c r="F1145">
        <v>10</v>
      </c>
      <c r="G1145" s="3">
        <f t="shared" si="54"/>
        <v>0</v>
      </c>
      <c r="H1145" s="3">
        <f t="shared" si="55"/>
        <v>0</v>
      </c>
      <c r="I1145" s="1">
        <f t="shared" si="53"/>
        <v>0</v>
      </c>
      <c r="J1145" t="s">
        <v>541</v>
      </c>
      <c r="L1145" t="s">
        <v>672</v>
      </c>
      <c r="M1145" t="s">
        <v>644</v>
      </c>
      <c r="N1145" t="s">
        <v>465</v>
      </c>
    </row>
    <row r="1146" spans="1:14" hidden="1" x14ac:dyDescent="0.25">
      <c r="A1146" t="s">
        <v>738</v>
      </c>
      <c r="B1146" t="s">
        <v>738</v>
      </c>
      <c r="C1146" t="s">
        <v>400</v>
      </c>
      <c r="D1146" s="3" t="s">
        <v>655</v>
      </c>
      <c r="E1146" s="3" t="s">
        <v>655</v>
      </c>
      <c r="F1146">
        <v>10</v>
      </c>
      <c r="G1146" s="3">
        <f t="shared" si="54"/>
        <v>0</v>
      </c>
      <c r="H1146" s="3">
        <f t="shared" si="55"/>
        <v>0</v>
      </c>
      <c r="I1146" s="1">
        <f t="shared" si="53"/>
        <v>0</v>
      </c>
      <c r="J1146" t="s">
        <v>529</v>
      </c>
      <c r="L1146" t="s">
        <v>672</v>
      </c>
      <c r="M1146" t="s">
        <v>644</v>
      </c>
      <c r="N1146" t="s">
        <v>465</v>
      </c>
    </row>
    <row r="1147" spans="1:14" hidden="1" x14ac:dyDescent="0.25">
      <c r="A1147" t="s">
        <v>739</v>
      </c>
      <c r="B1147" t="s">
        <v>690</v>
      </c>
      <c r="C1147" t="s">
        <v>401</v>
      </c>
      <c r="D1147" s="3" t="s">
        <v>453</v>
      </c>
      <c r="E1147" s="3" t="s">
        <v>428</v>
      </c>
      <c r="F1147">
        <v>10</v>
      </c>
      <c r="G1147" s="3">
        <f t="shared" si="54"/>
        <v>0.14930555555555547</v>
      </c>
      <c r="H1147" s="3">
        <f t="shared" si="55"/>
        <v>1.4930555555555548E-2</v>
      </c>
      <c r="I1147" s="1">
        <f t="shared" si="53"/>
        <v>21</v>
      </c>
      <c r="J1147" t="s">
        <v>517</v>
      </c>
      <c r="K1147" t="s">
        <v>417</v>
      </c>
      <c r="L1147" t="s">
        <v>740</v>
      </c>
      <c r="M1147" t="s">
        <v>398</v>
      </c>
      <c r="N1147" t="s">
        <v>433</v>
      </c>
    </row>
    <row r="1148" spans="1:14" hidden="1" x14ac:dyDescent="0.25">
      <c r="A1148" t="s">
        <v>739</v>
      </c>
      <c r="B1148" t="s">
        <v>739</v>
      </c>
      <c r="C1148" t="s">
        <v>401</v>
      </c>
      <c r="D1148" s="3" t="s">
        <v>453</v>
      </c>
      <c r="E1148" s="3" t="s">
        <v>431</v>
      </c>
      <c r="F1148">
        <v>15</v>
      </c>
      <c r="G1148" s="3">
        <f t="shared" si="54"/>
        <v>0.10763888888888884</v>
      </c>
      <c r="H1148" s="3">
        <f t="shared" si="55"/>
        <v>7.1759259259259224E-3</v>
      </c>
      <c r="I1148" s="1">
        <f t="shared" si="53"/>
        <v>10</v>
      </c>
      <c r="J1148" t="s">
        <v>476</v>
      </c>
      <c r="K1148" t="s">
        <v>417</v>
      </c>
      <c r="L1148" t="s">
        <v>119</v>
      </c>
      <c r="M1148" t="s">
        <v>398</v>
      </c>
      <c r="N1148" t="s">
        <v>465</v>
      </c>
    </row>
    <row r="1149" spans="1:14" hidden="1" x14ac:dyDescent="0.25">
      <c r="A1149" t="s">
        <v>739</v>
      </c>
      <c r="B1149" t="s">
        <v>739</v>
      </c>
      <c r="C1149" t="s">
        <v>401</v>
      </c>
      <c r="D1149" s="3" t="s">
        <v>479</v>
      </c>
      <c r="E1149" s="3" t="s">
        <v>653</v>
      </c>
      <c r="F1149">
        <v>15</v>
      </c>
      <c r="G1149" s="3">
        <f t="shared" si="54"/>
        <v>7.291666666666663E-2</v>
      </c>
      <c r="H1149" s="3">
        <f t="shared" si="55"/>
        <v>4.8611111111111086E-3</v>
      </c>
      <c r="I1149" s="1">
        <f t="shared" si="53"/>
        <v>7</v>
      </c>
      <c r="J1149" t="s">
        <v>455</v>
      </c>
      <c r="K1149" t="s">
        <v>417</v>
      </c>
      <c r="L1149" t="s">
        <v>119</v>
      </c>
      <c r="M1149" t="s">
        <v>398</v>
      </c>
      <c r="N1149" t="s">
        <v>399</v>
      </c>
    </row>
    <row r="1150" spans="1:14" hidden="1" x14ac:dyDescent="0.25">
      <c r="A1150" t="s">
        <v>739</v>
      </c>
      <c r="B1150" t="s">
        <v>739</v>
      </c>
      <c r="C1150" t="s">
        <v>401</v>
      </c>
      <c r="D1150" s="3" t="s">
        <v>486</v>
      </c>
      <c r="E1150" s="3" t="s">
        <v>741</v>
      </c>
      <c r="F1150">
        <v>15</v>
      </c>
      <c r="G1150" s="3">
        <f t="shared" si="54"/>
        <v>0.19791666666666669</v>
      </c>
      <c r="H1150" s="3">
        <f t="shared" si="55"/>
        <v>1.3194444444444446E-2</v>
      </c>
      <c r="I1150" s="1">
        <f t="shared" si="53"/>
        <v>19</v>
      </c>
      <c r="J1150" t="s">
        <v>455</v>
      </c>
      <c r="K1150" t="s">
        <v>397</v>
      </c>
      <c r="L1150" t="s">
        <v>314</v>
      </c>
      <c r="M1150" t="s">
        <v>398</v>
      </c>
      <c r="N1150" t="s">
        <v>405</v>
      </c>
    </row>
    <row r="1151" spans="1:14" hidden="1" x14ac:dyDescent="0.25">
      <c r="A1151" t="s">
        <v>739</v>
      </c>
      <c r="B1151" t="s">
        <v>739</v>
      </c>
      <c r="C1151" t="s">
        <v>491</v>
      </c>
      <c r="D1151" s="3" t="s">
        <v>655</v>
      </c>
      <c r="E1151" s="3" t="s">
        <v>655</v>
      </c>
      <c r="G1151" s="3">
        <f t="shared" si="54"/>
        <v>0</v>
      </c>
      <c r="H1151" s="3" t="e">
        <f t="shared" si="55"/>
        <v>#DIV/0!</v>
      </c>
      <c r="I1151" s="1" t="e">
        <f t="shared" si="53"/>
        <v>#DIV/0!</v>
      </c>
      <c r="J1151" t="s">
        <v>508</v>
      </c>
      <c r="L1151" t="s">
        <v>709</v>
      </c>
      <c r="M1151" t="s">
        <v>644</v>
      </c>
      <c r="N1151" t="s">
        <v>575</v>
      </c>
    </row>
    <row r="1152" spans="1:14" hidden="1" x14ac:dyDescent="0.25">
      <c r="A1152" t="s">
        <v>739</v>
      </c>
      <c r="B1152" t="s">
        <v>739</v>
      </c>
      <c r="C1152" t="s">
        <v>491</v>
      </c>
      <c r="D1152" s="3" t="s">
        <v>655</v>
      </c>
      <c r="E1152" s="3" t="s">
        <v>655</v>
      </c>
      <c r="F1152">
        <v>20</v>
      </c>
      <c r="G1152" s="3">
        <f t="shared" si="54"/>
        <v>0</v>
      </c>
      <c r="H1152" s="3">
        <f t="shared" si="55"/>
        <v>0</v>
      </c>
      <c r="I1152" s="1">
        <f t="shared" si="53"/>
        <v>0</v>
      </c>
      <c r="J1152" t="s">
        <v>529</v>
      </c>
      <c r="L1152" t="s">
        <v>381</v>
      </c>
      <c r="M1152" t="s">
        <v>644</v>
      </c>
      <c r="N1152" t="s">
        <v>465</v>
      </c>
    </row>
    <row r="1153" spans="1:14" hidden="1" x14ac:dyDescent="0.25">
      <c r="A1153" t="s">
        <v>739</v>
      </c>
      <c r="B1153" t="s">
        <v>739</v>
      </c>
      <c r="C1153" t="s">
        <v>491</v>
      </c>
      <c r="D1153" s="3" t="s">
        <v>655</v>
      </c>
      <c r="E1153" s="3" t="s">
        <v>655</v>
      </c>
      <c r="F1153">
        <v>10</v>
      </c>
      <c r="G1153" s="3">
        <f t="shared" si="54"/>
        <v>0</v>
      </c>
      <c r="H1153" s="3">
        <f t="shared" si="55"/>
        <v>0</v>
      </c>
      <c r="I1153" s="1">
        <f t="shared" si="53"/>
        <v>0</v>
      </c>
      <c r="J1153" t="s">
        <v>541</v>
      </c>
      <c r="L1153" t="s">
        <v>672</v>
      </c>
      <c r="M1153" t="s">
        <v>644</v>
      </c>
      <c r="N1153" t="s">
        <v>465</v>
      </c>
    </row>
    <row r="1154" spans="1:14" hidden="1" x14ac:dyDescent="0.25">
      <c r="A1154" t="s">
        <v>739</v>
      </c>
      <c r="B1154" t="s">
        <v>739</v>
      </c>
      <c r="C1154" t="s">
        <v>491</v>
      </c>
      <c r="D1154" s="3" t="s">
        <v>655</v>
      </c>
      <c r="E1154" s="3" t="s">
        <v>655</v>
      </c>
      <c r="F1154">
        <v>10</v>
      </c>
      <c r="G1154" s="3">
        <f t="shared" si="54"/>
        <v>0</v>
      </c>
      <c r="H1154" s="3">
        <f t="shared" si="55"/>
        <v>0</v>
      </c>
      <c r="I1154" s="1">
        <f t="shared" si="53"/>
        <v>0</v>
      </c>
      <c r="J1154" t="s">
        <v>529</v>
      </c>
      <c r="L1154" t="s">
        <v>672</v>
      </c>
      <c r="M1154" t="s">
        <v>644</v>
      </c>
      <c r="N1154" t="s">
        <v>465</v>
      </c>
    </row>
    <row r="1155" spans="1:14" hidden="1" x14ac:dyDescent="0.25">
      <c r="A1155" t="s">
        <v>631</v>
      </c>
      <c r="B1155" t="s">
        <v>631</v>
      </c>
      <c r="C1155" t="s">
        <v>407</v>
      </c>
      <c r="D1155" s="3" t="s">
        <v>464</v>
      </c>
      <c r="E1155" s="3" t="s">
        <v>742</v>
      </c>
      <c r="F1155">
        <v>15</v>
      </c>
      <c r="G1155" s="3">
        <f t="shared" si="54"/>
        <v>0.15625</v>
      </c>
      <c r="H1155" s="3">
        <f t="shared" si="55"/>
        <v>1.0416666666666666E-2</v>
      </c>
      <c r="I1155" s="1">
        <f t="shared" ref="I1155:I1218" si="56">MINUTE(H1155)</f>
        <v>15</v>
      </c>
      <c r="J1155" t="s">
        <v>470</v>
      </c>
      <c r="K1155" t="s">
        <v>417</v>
      </c>
      <c r="L1155" t="s">
        <v>313</v>
      </c>
      <c r="M1155" t="s">
        <v>398</v>
      </c>
      <c r="N1155" t="s">
        <v>465</v>
      </c>
    </row>
    <row r="1156" spans="1:14" hidden="1" x14ac:dyDescent="0.25">
      <c r="A1156" t="s">
        <v>631</v>
      </c>
      <c r="B1156" t="s">
        <v>631</v>
      </c>
      <c r="C1156" t="s">
        <v>407</v>
      </c>
      <c r="D1156" s="3" t="s">
        <v>556</v>
      </c>
      <c r="E1156" s="3" t="s">
        <v>562</v>
      </c>
      <c r="F1156">
        <v>15</v>
      </c>
      <c r="G1156" s="3">
        <f t="shared" ref="G1156:G1219" si="57">(E1156-D1156)</f>
        <v>4.1666666666666685E-2</v>
      </c>
      <c r="H1156" s="3">
        <f t="shared" ref="H1156:H1219" si="58">G1156/F1156</f>
        <v>2.7777777777777792E-3</v>
      </c>
      <c r="I1156" s="1">
        <f t="shared" si="56"/>
        <v>4</v>
      </c>
      <c r="J1156" t="s">
        <v>499</v>
      </c>
      <c r="K1156" t="s">
        <v>397</v>
      </c>
      <c r="L1156" t="s">
        <v>117</v>
      </c>
      <c r="M1156" t="s">
        <v>398</v>
      </c>
      <c r="N1156" t="s">
        <v>500</v>
      </c>
    </row>
    <row r="1157" spans="1:14" hidden="1" x14ac:dyDescent="0.25">
      <c r="A1157" t="s">
        <v>631</v>
      </c>
      <c r="B1157" t="s">
        <v>631</v>
      </c>
      <c r="C1157" t="s">
        <v>401</v>
      </c>
      <c r="D1157" s="3" t="s">
        <v>655</v>
      </c>
      <c r="E1157" s="3" t="s">
        <v>655</v>
      </c>
      <c r="G1157" s="3">
        <f t="shared" si="57"/>
        <v>0</v>
      </c>
      <c r="H1157" s="3" t="e">
        <f t="shared" si="58"/>
        <v>#DIV/0!</v>
      </c>
      <c r="I1157" s="1" t="e">
        <f t="shared" si="56"/>
        <v>#DIV/0!</v>
      </c>
      <c r="J1157" t="s">
        <v>508</v>
      </c>
      <c r="L1157" t="s">
        <v>709</v>
      </c>
      <c r="M1157" t="s">
        <v>644</v>
      </c>
      <c r="N1157" t="s">
        <v>575</v>
      </c>
    </row>
    <row r="1158" spans="1:14" hidden="1" x14ac:dyDescent="0.25">
      <c r="A1158" t="s">
        <v>631</v>
      </c>
      <c r="B1158" t="s">
        <v>631</v>
      </c>
      <c r="C1158" t="s">
        <v>401</v>
      </c>
      <c r="D1158" s="3" t="s">
        <v>655</v>
      </c>
      <c r="E1158" s="3" t="s">
        <v>655</v>
      </c>
      <c r="F1158">
        <v>20</v>
      </c>
      <c r="G1158" s="3">
        <f t="shared" si="57"/>
        <v>0</v>
      </c>
      <c r="H1158" s="3">
        <f t="shared" si="58"/>
        <v>0</v>
      </c>
      <c r="I1158" s="1">
        <f t="shared" si="56"/>
        <v>0</v>
      </c>
      <c r="J1158" t="s">
        <v>541</v>
      </c>
      <c r="L1158" t="s">
        <v>381</v>
      </c>
      <c r="M1158" t="s">
        <v>644</v>
      </c>
      <c r="N1158" t="s">
        <v>465</v>
      </c>
    </row>
    <row r="1159" spans="1:14" hidden="1" x14ac:dyDescent="0.25">
      <c r="A1159" t="s">
        <v>631</v>
      </c>
      <c r="B1159" t="s">
        <v>631</v>
      </c>
      <c r="C1159" t="s">
        <v>401</v>
      </c>
      <c r="D1159" s="3" t="s">
        <v>655</v>
      </c>
      <c r="E1159" s="3" t="s">
        <v>655</v>
      </c>
      <c r="F1159">
        <v>10</v>
      </c>
      <c r="G1159" s="3">
        <f t="shared" si="57"/>
        <v>0</v>
      </c>
      <c r="H1159" s="3">
        <f t="shared" si="58"/>
        <v>0</v>
      </c>
      <c r="I1159" s="1">
        <f t="shared" si="56"/>
        <v>0</v>
      </c>
      <c r="J1159" t="s">
        <v>529</v>
      </c>
      <c r="L1159" t="s">
        <v>672</v>
      </c>
      <c r="M1159" t="s">
        <v>644</v>
      </c>
      <c r="N1159" t="s">
        <v>465</v>
      </c>
    </row>
    <row r="1160" spans="1:14" hidden="1" x14ac:dyDescent="0.25">
      <c r="A1160" t="s">
        <v>631</v>
      </c>
      <c r="B1160" t="s">
        <v>631</v>
      </c>
      <c r="C1160" t="s">
        <v>401</v>
      </c>
      <c r="D1160" s="3" t="s">
        <v>655</v>
      </c>
      <c r="E1160" s="3" t="s">
        <v>655</v>
      </c>
      <c r="F1160">
        <v>10</v>
      </c>
      <c r="G1160" s="3">
        <f t="shared" si="57"/>
        <v>0</v>
      </c>
      <c r="H1160" s="3">
        <f t="shared" si="58"/>
        <v>0</v>
      </c>
      <c r="I1160" s="1">
        <f t="shared" si="56"/>
        <v>0</v>
      </c>
      <c r="J1160" t="s">
        <v>541</v>
      </c>
      <c r="L1160" t="s">
        <v>672</v>
      </c>
      <c r="M1160" t="s">
        <v>644</v>
      </c>
      <c r="N1160" t="s">
        <v>465</v>
      </c>
    </row>
    <row r="1161" spans="1:14" hidden="1" x14ac:dyDescent="0.25">
      <c r="A1161" t="s">
        <v>631</v>
      </c>
      <c r="B1161" t="s">
        <v>631</v>
      </c>
      <c r="C1161" t="s">
        <v>401</v>
      </c>
      <c r="D1161" s="3" t="s">
        <v>655</v>
      </c>
      <c r="E1161" s="3" t="s">
        <v>655</v>
      </c>
      <c r="F1161">
        <v>10</v>
      </c>
      <c r="G1161" s="3">
        <f t="shared" si="57"/>
        <v>0</v>
      </c>
      <c r="H1161" s="3">
        <f t="shared" si="58"/>
        <v>0</v>
      </c>
      <c r="I1161" s="1">
        <f t="shared" si="56"/>
        <v>0</v>
      </c>
      <c r="J1161" t="s">
        <v>529</v>
      </c>
      <c r="L1161" t="s">
        <v>672</v>
      </c>
      <c r="M1161" t="s">
        <v>644</v>
      </c>
      <c r="N1161" t="s">
        <v>465</v>
      </c>
    </row>
    <row r="1162" spans="1:14" hidden="1" x14ac:dyDescent="0.25">
      <c r="A1162" t="s">
        <v>743</v>
      </c>
      <c r="B1162" t="s">
        <v>461</v>
      </c>
      <c r="C1162" t="s">
        <v>393</v>
      </c>
      <c r="D1162" s="3" t="s">
        <v>416</v>
      </c>
      <c r="E1162" s="3" t="s">
        <v>431</v>
      </c>
      <c r="F1162">
        <v>15</v>
      </c>
      <c r="G1162" s="3">
        <f t="shared" si="57"/>
        <v>0.14930555555555558</v>
      </c>
      <c r="H1162" s="3">
        <f t="shared" si="58"/>
        <v>9.9537037037037059E-3</v>
      </c>
      <c r="I1162" s="1">
        <f t="shared" si="56"/>
        <v>14</v>
      </c>
      <c r="J1162" t="s">
        <v>435</v>
      </c>
      <c r="K1162" t="s">
        <v>417</v>
      </c>
      <c r="L1162" t="s">
        <v>744</v>
      </c>
      <c r="M1162" t="s">
        <v>398</v>
      </c>
      <c r="N1162" t="s">
        <v>447</v>
      </c>
    </row>
    <row r="1163" spans="1:14" hidden="1" x14ac:dyDescent="0.25">
      <c r="A1163" t="s">
        <v>743</v>
      </c>
      <c r="B1163" t="s">
        <v>743</v>
      </c>
      <c r="C1163" t="s">
        <v>407</v>
      </c>
      <c r="D1163" s="3" t="s">
        <v>655</v>
      </c>
      <c r="E1163" s="3" t="s">
        <v>655</v>
      </c>
      <c r="G1163" s="3">
        <f t="shared" si="57"/>
        <v>0</v>
      </c>
      <c r="H1163" s="3" t="e">
        <f t="shared" si="58"/>
        <v>#DIV/0!</v>
      </c>
      <c r="I1163" s="1" t="e">
        <f t="shared" si="56"/>
        <v>#DIV/0!</v>
      </c>
      <c r="J1163" t="s">
        <v>508</v>
      </c>
      <c r="L1163" t="s">
        <v>709</v>
      </c>
      <c r="M1163" t="s">
        <v>644</v>
      </c>
      <c r="N1163" t="s">
        <v>575</v>
      </c>
    </row>
    <row r="1164" spans="1:14" hidden="1" x14ac:dyDescent="0.25">
      <c r="A1164" t="s">
        <v>743</v>
      </c>
      <c r="B1164" t="s">
        <v>743</v>
      </c>
      <c r="C1164" t="s">
        <v>407</v>
      </c>
      <c r="D1164" s="3" t="s">
        <v>655</v>
      </c>
      <c r="E1164" s="3" t="s">
        <v>655</v>
      </c>
      <c r="F1164">
        <v>20</v>
      </c>
      <c r="G1164" s="3">
        <f t="shared" si="57"/>
        <v>0</v>
      </c>
      <c r="H1164" s="3">
        <f t="shared" si="58"/>
        <v>0</v>
      </c>
      <c r="I1164" s="1">
        <f t="shared" si="56"/>
        <v>0</v>
      </c>
      <c r="J1164" t="s">
        <v>529</v>
      </c>
      <c r="L1164" t="s">
        <v>381</v>
      </c>
      <c r="M1164" t="s">
        <v>644</v>
      </c>
      <c r="N1164" t="s">
        <v>465</v>
      </c>
    </row>
    <row r="1165" spans="1:14" hidden="1" x14ac:dyDescent="0.25">
      <c r="A1165" t="s">
        <v>743</v>
      </c>
      <c r="B1165" t="s">
        <v>743</v>
      </c>
      <c r="C1165" t="s">
        <v>407</v>
      </c>
      <c r="D1165" s="3" t="s">
        <v>655</v>
      </c>
      <c r="E1165" s="3" t="s">
        <v>655</v>
      </c>
      <c r="F1165">
        <v>10</v>
      </c>
      <c r="G1165" s="3">
        <f t="shared" si="57"/>
        <v>0</v>
      </c>
      <c r="H1165" s="3">
        <f t="shared" si="58"/>
        <v>0</v>
      </c>
      <c r="I1165" s="1">
        <f t="shared" si="56"/>
        <v>0</v>
      </c>
      <c r="J1165" t="s">
        <v>541</v>
      </c>
      <c r="L1165" t="s">
        <v>672</v>
      </c>
      <c r="M1165" t="s">
        <v>644</v>
      </c>
      <c r="N1165" t="s">
        <v>465</v>
      </c>
    </row>
    <row r="1166" spans="1:14" hidden="1" x14ac:dyDescent="0.25">
      <c r="A1166" t="s">
        <v>743</v>
      </c>
      <c r="B1166" t="s">
        <v>743</v>
      </c>
      <c r="C1166" t="s">
        <v>407</v>
      </c>
      <c r="D1166" s="3" t="s">
        <v>655</v>
      </c>
      <c r="E1166" s="3" t="s">
        <v>655</v>
      </c>
      <c r="F1166">
        <v>60</v>
      </c>
      <c r="G1166" s="3">
        <f t="shared" si="57"/>
        <v>0</v>
      </c>
      <c r="H1166" s="3">
        <f t="shared" si="58"/>
        <v>0</v>
      </c>
      <c r="I1166" s="1">
        <f t="shared" si="56"/>
        <v>0</v>
      </c>
      <c r="J1166" t="s">
        <v>560</v>
      </c>
      <c r="L1166" t="s">
        <v>381</v>
      </c>
      <c r="M1166" t="s">
        <v>644</v>
      </c>
      <c r="N1166" t="s">
        <v>465</v>
      </c>
    </row>
    <row r="1167" spans="1:14" hidden="1" x14ac:dyDescent="0.25">
      <c r="A1167" t="s">
        <v>743</v>
      </c>
      <c r="B1167" t="s">
        <v>743</v>
      </c>
      <c r="C1167" t="s">
        <v>407</v>
      </c>
      <c r="D1167" s="3" t="s">
        <v>655</v>
      </c>
      <c r="E1167" s="3" t="s">
        <v>655</v>
      </c>
      <c r="F1167">
        <v>10</v>
      </c>
      <c r="G1167" s="3">
        <f t="shared" si="57"/>
        <v>0</v>
      </c>
      <c r="H1167" s="3">
        <f t="shared" si="58"/>
        <v>0</v>
      </c>
      <c r="I1167" s="1">
        <f t="shared" si="56"/>
        <v>0</v>
      </c>
      <c r="J1167" t="s">
        <v>529</v>
      </c>
      <c r="L1167" t="s">
        <v>672</v>
      </c>
      <c r="M1167" t="s">
        <v>644</v>
      </c>
      <c r="N1167" t="s">
        <v>465</v>
      </c>
    </row>
    <row r="1168" spans="1:14" hidden="1" x14ac:dyDescent="0.25">
      <c r="A1168" t="s">
        <v>633</v>
      </c>
      <c r="B1168" t="s">
        <v>633</v>
      </c>
      <c r="C1168" t="s">
        <v>406</v>
      </c>
      <c r="D1168" s="3" t="s">
        <v>445</v>
      </c>
      <c r="E1168" s="3" t="s">
        <v>745</v>
      </c>
      <c r="F1168">
        <v>15</v>
      </c>
      <c r="G1168" s="3">
        <f t="shared" si="57"/>
        <v>0.23958333333333337</v>
      </c>
      <c r="H1168" s="3">
        <f t="shared" si="58"/>
        <v>1.5972222222222224E-2</v>
      </c>
      <c r="I1168" s="1">
        <f t="shared" si="56"/>
        <v>23</v>
      </c>
      <c r="J1168" t="s">
        <v>435</v>
      </c>
      <c r="K1168" t="s">
        <v>417</v>
      </c>
      <c r="L1168" t="s">
        <v>314</v>
      </c>
      <c r="M1168" t="s">
        <v>398</v>
      </c>
      <c r="N1168" t="s">
        <v>405</v>
      </c>
    </row>
    <row r="1169" spans="1:14" hidden="1" x14ac:dyDescent="0.25">
      <c r="A1169" t="s">
        <v>633</v>
      </c>
      <c r="B1169" t="s">
        <v>633</v>
      </c>
      <c r="C1169" t="s">
        <v>406</v>
      </c>
      <c r="D1169" s="3" t="s">
        <v>445</v>
      </c>
      <c r="E1169" s="3" t="s">
        <v>485</v>
      </c>
      <c r="F1169">
        <v>5</v>
      </c>
      <c r="G1169" s="3">
        <f t="shared" si="57"/>
        <v>0.28819444444444453</v>
      </c>
      <c r="H1169" s="3">
        <f t="shared" si="58"/>
        <v>5.7638888888888906E-2</v>
      </c>
      <c r="I1169" s="1">
        <f t="shared" si="56"/>
        <v>23</v>
      </c>
      <c r="J1169" t="s">
        <v>468</v>
      </c>
      <c r="K1169" t="s">
        <v>417</v>
      </c>
      <c r="L1169" t="s">
        <v>367</v>
      </c>
      <c r="M1169" t="s">
        <v>398</v>
      </c>
      <c r="N1169" t="s">
        <v>465</v>
      </c>
    </row>
    <row r="1170" spans="1:14" hidden="1" x14ac:dyDescent="0.25">
      <c r="A1170" t="s">
        <v>633</v>
      </c>
      <c r="B1170" t="s">
        <v>633</v>
      </c>
      <c r="C1170" t="s">
        <v>393</v>
      </c>
      <c r="D1170" s="3" t="s">
        <v>655</v>
      </c>
      <c r="E1170" s="3" t="s">
        <v>655</v>
      </c>
      <c r="G1170" s="3">
        <f t="shared" si="57"/>
        <v>0</v>
      </c>
      <c r="H1170" s="3" t="e">
        <f t="shared" si="58"/>
        <v>#DIV/0!</v>
      </c>
      <c r="I1170" s="1" t="e">
        <f t="shared" si="56"/>
        <v>#DIV/0!</v>
      </c>
      <c r="J1170" t="s">
        <v>508</v>
      </c>
      <c r="L1170" t="s">
        <v>709</v>
      </c>
      <c r="M1170" t="s">
        <v>644</v>
      </c>
      <c r="N1170" t="s">
        <v>575</v>
      </c>
    </row>
    <row r="1171" spans="1:14" hidden="1" x14ac:dyDescent="0.25">
      <c r="A1171" t="s">
        <v>633</v>
      </c>
      <c r="B1171" t="s">
        <v>633</v>
      </c>
      <c r="C1171" t="s">
        <v>393</v>
      </c>
      <c r="D1171" s="3" t="s">
        <v>655</v>
      </c>
      <c r="E1171" s="3" t="s">
        <v>655</v>
      </c>
      <c r="F1171">
        <v>10</v>
      </c>
      <c r="G1171" s="3">
        <f t="shared" si="57"/>
        <v>0</v>
      </c>
      <c r="H1171" s="3">
        <f t="shared" si="58"/>
        <v>0</v>
      </c>
      <c r="I1171" s="1">
        <f t="shared" si="56"/>
        <v>0</v>
      </c>
      <c r="J1171" t="s">
        <v>541</v>
      </c>
      <c r="L1171" t="s">
        <v>672</v>
      </c>
      <c r="M1171" t="s">
        <v>644</v>
      </c>
      <c r="N1171" t="s">
        <v>465</v>
      </c>
    </row>
    <row r="1172" spans="1:14" hidden="1" x14ac:dyDescent="0.25">
      <c r="A1172" t="s">
        <v>632</v>
      </c>
      <c r="B1172" t="s">
        <v>632</v>
      </c>
      <c r="C1172" t="s">
        <v>406</v>
      </c>
      <c r="D1172" s="3" t="s">
        <v>403</v>
      </c>
      <c r="E1172" s="3" t="s">
        <v>441</v>
      </c>
      <c r="F1172">
        <v>5</v>
      </c>
      <c r="G1172" s="3">
        <f t="shared" si="57"/>
        <v>0.41319444444444448</v>
      </c>
      <c r="H1172" s="3">
        <f t="shared" si="58"/>
        <v>8.2638888888888901E-2</v>
      </c>
      <c r="I1172" s="1">
        <f t="shared" si="56"/>
        <v>59</v>
      </c>
      <c r="J1172" t="s">
        <v>409</v>
      </c>
      <c r="K1172" t="s">
        <v>397</v>
      </c>
      <c r="L1172" t="s">
        <v>367</v>
      </c>
      <c r="M1172" t="s">
        <v>644</v>
      </c>
      <c r="N1172" t="s">
        <v>575</v>
      </c>
    </row>
    <row r="1173" spans="1:14" hidden="1" x14ac:dyDescent="0.25">
      <c r="A1173" t="s">
        <v>632</v>
      </c>
      <c r="B1173" t="s">
        <v>632</v>
      </c>
      <c r="C1173" t="s">
        <v>406</v>
      </c>
      <c r="D1173" s="3" t="s">
        <v>655</v>
      </c>
      <c r="E1173" s="3" t="s">
        <v>655</v>
      </c>
      <c r="F1173">
        <v>10</v>
      </c>
      <c r="G1173" s="3">
        <f t="shared" si="57"/>
        <v>0</v>
      </c>
      <c r="H1173" s="3">
        <f t="shared" si="58"/>
        <v>0</v>
      </c>
      <c r="I1173" s="1">
        <f t="shared" si="56"/>
        <v>0</v>
      </c>
      <c r="J1173" t="s">
        <v>541</v>
      </c>
      <c r="L1173" t="s">
        <v>381</v>
      </c>
      <c r="M1173" t="s">
        <v>644</v>
      </c>
      <c r="N1173" t="s">
        <v>465</v>
      </c>
    </row>
    <row r="1174" spans="1:14" hidden="1" x14ac:dyDescent="0.25">
      <c r="A1174" t="s">
        <v>632</v>
      </c>
      <c r="B1174" t="s">
        <v>632</v>
      </c>
      <c r="C1174" t="s">
        <v>406</v>
      </c>
      <c r="D1174" s="3" t="s">
        <v>655</v>
      </c>
      <c r="E1174" s="3" t="s">
        <v>655</v>
      </c>
      <c r="G1174" s="3">
        <f t="shared" si="57"/>
        <v>0</v>
      </c>
      <c r="H1174" s="3" t="e">
        <f t="shared" si="58"/>
        <v>#DIV/0!</v>
      </c>
      <c r="I1174" s="1" t="e">
        <f t="shared" si="56"/>
        <v>#DIV/0!</v>
      </c>
      <c r="J1174" t="s">
        <v>508</v>
      </c>
      <c r="L1174" t="s">
        <v>709</v>
      </c>
      <c r="M1174" t="s">
        <v>644</v>
      </c>
      <c r="N1174" t="s">
        <v>575</v>
      </c>
    </row>
    <row r="1175" spans="1:14" hidden="1" x14ac:dyDescent="0.25">
      <c r="A1175" t="s">
        <v>746</v>
      </c>
      <c r="B1175" t="s">
        <v>746</v>
      </c>
      <c r="C1175" t="s">
        <v>422</v>
      </c>
      <c r="D1175" s="3" t="s">
        <v>403</v>
      </c>
      <c r="E1175" s="3" t="s">
        <v>441</v>
      </c>
      <c r="F1175">
        <v>5</v>
      </c>
      <c r="G1175" s="3">
        <f t="shared" si="57"/>
        <v>0.41319444444444448</v>
      </c>
      <c r="H1175" s="3">
        <f t="shared" si="58"/>
        <v>8.2638888888888901E-2</v>
      </c>
      <c r="I1175" s="1">
        <f t="shared" si="56"/>
        <v>59</v>
      </c>
      <c r="J1175" t="s">
        <v>463</v>
      </c>
      <c r="K1175" t="s">
        <v>397</v>
      </c>
      <c r="L1175" t="s">
        <v>98</v>
      </c>
      <c r="M1175" t="s">
        <v>398</v>
      </c>
      <c r="N1175" t="s">
        <v>465</v>
      </c>
    </row>
    <row r="1176" spans="1:14" hidden="1" x14ac:dyDescent="0.25">
      <c r="A1176" t="s">
        <v>746</v>
      </c>
      <c r="B1176" t="s">
        <v>746</v>
      </c>
      <c r="C1176" t="s">
        <v>422</v>
      </c>
      <c r="D1176" s="3" t="s">
        <v>403</v>
      </c>
      <c r="E1176" s="3" t="s">
        <v>441</v>
      </c>
      <c r="F1176">
        <v>5</v>
      </c>
      <c r="G1176" s="3">
        <f t="shared" si="57"/>
        <v>0.41319444444444448</v>
      </c>
      <c r="H1176" s="3">
        <f t="shared" si="58"/>
        <v>8.2638888888888901E-2</v>
      </c>
      <c r="I1176" s="1">
        <f t="shared" si="56"/>
        <v>59</v>
      </c>
      <c r="J1176" t="s">
        <v>480</v>
      </c>
      <c r="K1176" t="s">
        <v>397</v>
      </c>
      <c r="L1176" t="s">
        <v>367</v>
      </c>
      <c r="M1176" t="s">
        <v>398</v>
      </c>
      <c r="N1176" t="s">
        <v>465</v>
      </c>
    </row>
    <row r="1177" spans="1:14" hidden="1" x14ac:dyDescent="0.25">
      <c r="A1177" t="s">
        <v>747</v>
      </c>
      <c r="C1177" t="s">
        <v>401</v>
      </c>
      <c r="D1177" s="3" t="s">
        <v>403</v>
      </c>
      <c r="E1177" s="3" t="s">
        <v>442</v>
      </c>
      <c r="F1177">
        <v>5</v>
      </c>
      <c r="G1177" s="3">
        <f t="shared" si="57"/>
        <v>0.24652777777777773</v>
      </c>
      <c r="H1177" s="3">
        <f t="shared" si="58"/>
        <v>4.9305555555555547E-2</v>
      </c>
      <c r="I1177" s="1">
        <f t="shared" si="56"/>
        <v>11</v>
      </c>
      <c r="J1177" t="s">
        <v>480</v>
      </c>
      <c r="K1177" t="s">
        <v>397</v>
      </c>
      <c r="L1177" t="s">
        <v>108</v>
      </c>
      <c r="M1177" t="s">
        <v>398</v>
      </c>
      <c r="N1177" t="s">
        <v>465</v>
      </c>
    </row>
    <row r="1178" spans="1:14" hidden="1" x14ac:dyDescent="0.25">
      <c r="A1178" t="s">
        <v>747</v>
      </c>
      <c r="B1178" t="s">
        <v>747</v>
      </c>
      <c r="C1178" t="s">
        <v>401</v>
      </c>
      <c r="D1178" s="3" t="s">
        <v>486</v>
      </c>
      <c r="E1178" s="3" t="s">
        <v>721</v>
      </c>
      <c r="F1178">
        <v>15</v>
      </c>
      <c r="G1178" s="3">
        <f t="shared" si="57"/>
        <v>0.23958333333333331</v>
      </c>
      <c r="H1178" s="3">
        <f t="shared" si="58"/>
        <v>1.5972222222222221E-2</v>
      </c>
      <c r="I1178" s="1">
        <f t="shared" si="56"/>
        <v>23</v>
      </c>
      <c r="J1178" t="s">
        <v>455</v>
      </c>
      <c r="K1178" t="s">
        <v>397</v>
      </c>
      <c r="L1178" t="s">
        <v>314</v>
      </c>
      <c r="M1178" t="s">
        <v>398</v>
      </c>
      <c r="N1178" t="s">
        <v>405</v>
      </c>
    </row>
    <row r="1179" spans="1:14" hidden="1" x14ac:dyDescent="0.25">
      <c r="A1179" t="s">
        <v>634</v>
      </c>
      <c r="C1179" t="s">
        <v>407</v>
      </c>
      <c r="D1179" s="3" t="s">
        <v>403</v>
      </c>
      <c r="E1179" s="3" t="s">
        <v>443</v>
      </c>
      <c r="F1179">
        <v>5</v>
      </c>
      <c r="G1179" s="3">
        <f t="shared" si="57"/>
        <v>0.2048611111111111</v>
      </c>
      <c r="H1179" s="3">
        <f t="shared" si="58"/>
        <v>4.0972222222222222E-2</v>
      </c>
      <c r="I1179" s="1">
        <f t="shared" si="56"/>
        <v>59</v>
      </c>
      <c r="J1179" t="s">
        <v>474</v>
      </c>
      <c r="K1179" t="s">
        <v>397</v>
      </c>
      <c r="L1179" t="s">
        <v>108</v>
      </c>
      <c r="M1179" t="s">
        <v>398</v>
      </c>
      <c r="N1179" t="s">
        <v>465</v>
      </c>
    </row>
    <row r="1180" spans="1:14" hidden="1" x14ac:dyDescent="0.25">
      <c r="A1180" t="s">
        <v>634</v>
      </c>
      <c r="B1180" t="s">
        <v>634</v>
      </c>
      <c r="C1180" t="s">
        <v>407</v>
      </c>
      <c r="D1180" s="3" t="s">
        <v>504</v>
      </c>
      <c r="E1180" s="3" t="s">
        <v>592</v>
      </c>
      <c r="F1180">
        <v>10</v>
      </c>
      <c r="G1180" s="3">
        <f t="shared" si="57"/>
        <v>7.6388888888888951E-2</v>
      </c>
      <c r="H1180" s="3">
        <f t="shared" si="58"/>
        <v>7.6388888888888947E-3</v>
      </c>
      <c r="I1180" s="1">
        <f t="shared" si="56"/>
        <v>11</v>
      </c>
      <c r="J1180" t="s">
        <v>458</v>
      </c>
      <c r="K1180" t="s">
        <v>417</v>
      </c>
      <c r="L1180" t="s">
        <v>343</v>
      </c>
      <c r="M1180" t="s">
        <v>398</v>
      </c>
      <c r="N1180" t="s">
        <v>399</v>
      </c>
    </row>
    <row r="1181" spans="1:14" hidden="1" x14ac:dyDescent="0.25">
      <c r="A1181" t="s">
        <v>635</v>
      </c>
      <c r="C1181" t="s">
        <v>393</v>
      </c>
      <c r="D1181" s="3" t="s">
        <v>453</v>
      </c>
      <c r="E1181" s="3" t="s">
        <v>428</v>
      </c>
      <c r="F1181">
        <v>15</v>
      </c>
      <c r="G1181" s="3">
        <f t="shared" si="57"/>
        <v>0.14930555555555547</v>
      </c>
      <c r="H1181" s="3">
        <f t="shared" si="58"/>
        <v>9.9537037037036973E-3</v>
      </c>
      <c r="I1181" s="1">
        <f t="shared" si="56"/>
        <v>14</v>
      </c>
      <c r="J1181" t="s">
        <v>435</v>
      </c>
      <c r="K1181" t="s">
        <v>417</v>
      </c>
      <c r="L1181" t="s">
        <v>135</v>
      </c>
      <c r="M1181" t="s">
        <v>398</v>
      </c>
      <c r="N1181" t="s">
        <v>433</v>
      </c>
    </row>
    <row r="1182" spans="1:14" hidden="1" x14ac:dyDescent="0.25">
      <c r="A1182" t="s">
        <v>635</v>
      </c>
      <c r="B1182" t="s">
        <v>523</v>
      </c>
      <c r="C1182" t="s">
        <v>393</v>
      </c>
      <c r="D1182" s="3" t="s">
        <v>419</v>
      </c>
      <c r="E1182" s="3" t="s">
        <v>402</v>
      </c>
      <c r="F1182">
        <v>15</v>
      </c>
      <c r="G1182" s="3">
        <f t="shared" si="57"/>
        <v>0.1076388888888889</v>
      </c>
      <c r="H1182" s="3">
        <f t="shared" si="58"/>
        <v>7.1759259259259267E-3</v>
      </c>
      <c r="I1182" s="1">
        <f t="shared" si="56"/>
        <v>10</v>
      </c>
      <c r="J1182" t="s">
        <v>409</v>
      </c>
      <c r="K1182" t="s">
        <v>397</v>
      </c>
      <c r="L1182" t="s">
        <v>135</v>
      </c>
      <c r="M1182" t="s">
        <v>398</v>
      </c>
      <c r="N1182" t="s">
        <v>500</v>
      </c>
    </row>
    <row r="1183" spans="1:14" hidden="1" x14ac:dyDescent="0.25">
      <c r="A1183" t="s">
        <v>635</v>
      </c>
      <c r="B1183" t="s">
        <v>718</v>
      </c>
      <c r="C1183" t="s">
        <v>393</v>
      </c>
      <c r="D1183" s="3" t="s">
        <v>403</v>
      </c>
      <c r="E1183" s="3" t="s">
        <v>402</v>
      </c>
      <c r="F1183">
        <v>15</v>
      </c>
      <c r="G1183" s="3">
        <f t="shared" si="57"/>
        <v>0.14930555555555558</v>
      </c>
      <c r="H1183" s="3">
        <f t="shared" si="58"/>
        <v>9.9537037037037059E-3</v>
      </c>
      <c r="I1183" s="1">
        <f t="shared" si="56"/>
        <v>14</v>
      </c>
      <c r="J1183" t="s">
        <v>432</v>
      </c>
      <c r="K1183" t="s">
        <v>397</v>
      </c>
      <c r="L1183" t="s">
        <v>354</v>
      </c>
      <c r="M1183" t="s">
        <v>398</v>
      </c>
      <c r="N1183" t="s">
        <v>447</v>
      </c>
    </row>
    <row r="1184" spans="1:14" hidden="1" x14ac:dyDescent="0.25">
      <c r="A1184" t="s">
        <v>635</v>
      </c>
      <c r="B1184" t="s">
        <v>604</v>
      </c>
      <c r="C1184" t="s">
        <v>393</v>
      </c>
      <c r="D1184" s="3" t="s">
        <v>416</v>
      </c>
      <c r="E1184" s="3" t="s">
        <v>745</v>
      </c>
      <c r="F1184">
        <v>15</v>
      </c>
      <c r="G1184" s="3">
        <f t="shared" si="57"/>
        <v>0.19791666666666674</v>
      </c>
      <c r="H1184" s="3">
        <f t="shared" si="58"/>
        <v>1.319444444444445E-2</v>
      </c>
      <c r="I1184" s="1">
        <f t="shared" si="56"/>
        <v>19</v>
      </c>
      <c r="J1184" t="s">
        <v>517</v>
      </c>
      <c r="K1184" t="s">
        <v>417</v>
      </c>
      <c r="L1184" t="s">
        <v>372</v>
      </c>
      <c r="M1184" t="s">
        <v>398</v>
      </c>
      <c r="N1184" t="s">
        <v>433</v>
      </c>
    </row>
    <row r="1185" spans="1:14" hidden="1" x14ac:dyDescent="0.25">
      <c r="A1185" t="s">
        <v>635</v>
      </c>
      <c r="B1185" t="s">
        <v>622</v>
      </c>
      <c r="C1185" t="s">
        <v>393</v>
      </c>
      <c r="D1185" s="3" t="s">
        <v>416</v>
      </c>
      <c r="E1185" s="3" t="s">
        <v>745</v>
      </c>
      <c r="F1185">
        <v>15</v>
      </c>
      <c r="G1185" s="3">
        <f t="shared" si="57"/>
        <v>0.19791666666666674</v>
      </c>
      <c r="H1185" s="3">
        <f t="shared" si="58"/>
        <v>1.319444444444445E-2</v>
      </c>
      <c r="I1185" s="1">
        <f t="shared" si="56"/>
        <v>19</v>
      </c>
      <c r="J1185" t="s">
        <v>432</v>
      </c>
      <c r="K1185" t="s">
        <v>417</v>
      </c>
      <c r="L1185" t="s">
        <v>372</v>
      </c>
      <c r="M1185" t="s">
        <v>398</v>
      </c>
      <c r="N1185" t="s">
        <v>447</v>
      </c>
    </row>
    <row r="1186" spans="1:14" hidden="1" x14ac:dyDescent="0.25">
      <c r="A1186" t="s">
        <v>635</v>
      </c>
      <c r="B1186" t="s">
        <v>635</v>
      </c>
      <c r="C1186" t="s">
        <v>393</v>
      </c>
      <c r="D1186" s="3" t="s">
        <v>479</v>
      </c>
      <c r="E1186" s="3" t="s">
        <v>707</v>
      </c>
      <c r="F1186">
        <v>10</v>
      </c>
      <c r="G1186" s="3">
        <f t="shared" si="57"/>
        <v>0.10763888888888884</v>
      </c>
      <c r="H1186" s="3">
        <f t="shared" si="58"/>
        <v>1.0763888888888884E-2</v>
      </c>
      <c r="I1186" s="1">
        <f t="shared" si="56"/>
        <v>15</v>
      </c>
      <c r="J1186" t="s">
        <v>474</v>
      </c>
      <c r="K1186" t="s">
        <v>417</v>
      </c>
      <c r="L1186" t="s">
        <v>142</v>
      </c>
      <c r="M1186" t="s">
        <v>398</v>
      </c>
      <c r="N1186" t="s">
        <v>465</v>
      </c>
    </row>
    <row r="1187" spans="1:14" hidden="1" x14ac:dyDescent="0.25">
      <c r="A1187" t="s">
        <v>635</v>
      </c>
      <c r="B1187" t="s">
        <v>743</v>
      </c>
      <c r="C1187" t="s">
        <v>393</v>
      </c>
      <c r="D1187" s="3" t="s">
        <v>515</v>
      </c>
      <c r="E1187" s="3" t="s">
        <v>592</v>
      </c>
      <c r="F1187">
        <v>10</v>
      </c>
      <c r="G1187" s="3">
        <f t="shared" si="57"/>
        <v>3.4722222222222321E-2</v>
      </c>
      <c r="H1187" s="3">
        <f t="shared" si="58"/>
        <v>3.472222222222232E-3</v>
      </c>
      <c r="I1187" s="1">
        <f t="shared" si="56"/>
        <v>5</v>
      </c>
      <c r="J1187" t="s">
        <v>458</v>
      </c>
      <c r="K1187" t="s">
        <v>417</v>
      </c>
      <c r="L1187" t="s">
        <v>113</v>
      </c>
      <c r="M1187" t="s">
        <v>398</v>
      </c>
      <c r="N1187" t="s">
        <v>399</v>
      </c>
    </row>
    <row r="1188" spans="1:14" hidden="1" x14ac:dyDescent="0.25">
      <c r="A1188" t="s">
        <v>748</v>
      </c>
      <c r="B1188" t="s">
        <v>748</v>
      </c>
      <c r="C1188" t="s">
        <v>406</v>
      </c>
      <c r="D1188" s="3" t="s">
        <v>395</v>
      </c>
      <c r="E1188" s="3" t="s">
        <v>423</v>
      </c>
      <c r="F1188">
        <v>10</v>
      </c>
      <c r="G1188" s="3">
        <f t="shared" si="57"/>
        <v>0.1388888888888889</v>
      </c>
      <c r="H1188" s="3">
        <f t="shared" si="58"/>
        <v>1.388888888888889E-2</v>
      </c>
      <c r="I1188" s="1">
        <f t="shared" si="56"/>
        <v>20</v>
      </c>
      <c r="J1188" t="s">
        <v>517</v>
      </c>
      <c r="K1188" t="s">
        <v>397</v>
      </c>
      <c r="L1188" t="s">
        <v>88</v>
      </c>
      <c r="M1188" t="s">
        <v>398</v>
      </c>
      <c r="N1188" t="s">
        <v>399</v>
      </c>
    </row>
    <row r="1189" spans="1:14" hidden="1" x14ac:dyDescent="0.25">
      <c r="A1189" t="s">
        <v>749</v>
      </c>
      <c r="C1189" t="s">
        <v>400</v>
      </c>
      <c r="D1189" s="3" t="s">
        <v>403</v>
      </c>
      <c r="E1189" s="3" t="s">
        <v>431</v>
      </c>
      <c r="F1189">
        <v>15</v>
      </c>
      <c r="G1189" s="3">
        <f t="shared" si="57"/>
        <v>0.3576388888888889</v>
      </c>
      <c r="H1189" s="3">
        <f t="shared" si="58"/>
        <v>2.3842592592592592E-2</v>
      </c>
      <c r="I1189" s="1">
        <f t="shared" si="56"/>
        <v>34</v>
      </c>
      <c r="J1189" t="s">
        <v>499</v>
      </c>
      <c r="K1189" t="s">
        <v>397</v>
      </c>
      <c r="L1189" t="s">
        <v>90</v>
      </c>
      <c r="M1189" t="s">
        <v>398</v>
      </c>
      <c r="N1189" t="s">
        <v>500</v>
      </c>
    </row>
    <row r="1190" spans="1:14" hidden="1" x14ac:dyDescent="0.25">
      <c r="A1190" t="s">
        <v>749</v>
      </c>
      <c r="C1190" t="s">
        <v>400</v>
      </c>
      <c r="D1190" s="3" t="s">
        <v>449</v>
      </c>
      <c r="E1190" s="3" t="s">
        <v>542</v>
      </c>
      <c r="F1190">
        <v>10</v>
      </c>
      <c r="G1190" s="3">
        <f t="shared" si="57"/>
        <v>7.638888888888884E-2</v>
      </c>
      <c r="H1190" s="3">
        <f t="shared" si="58"/>
        <v>7.6388888888888843E-3</v>
      </c>
      <c r="I1190" s="1">
        <f t="shared" si="56"/>
        <v>11</v>
      </c>
      <c r="J1190" t="s">
        <v>593</v>
      </c>
      <c r="K1190" t="s">
        <v>417</v>
      </c>
      <c r="L1190" t="s">
        <v>113</v>
      </c>
      <c r="M1190" t="s">
        <v>398</v>
      </c>
      <c r="N1190" t="s">
        <v>399</v>
      </c>
    </row>
    <row r="1191" spans="1:14" hidden="1" x14ac:dyDescent="0.25">
      <c r="A1191" t="s">
        <v>750</v>
      </c>
      <c r="B1191" t="s">
        <v>750</v>
      </c>
      <c r="C1191" t="s">
        <v>422</v>
      </c>
      <c r="D1191" s="3" t="s">
        <v>403</v>
      </c>
      <c r="E1191" s="3" t="s">
        <v>442</v>
      </c>
      <c r="F1191">
        <v>5</v>
      </c>
      <c r="G1191" s="3">
        <f t="shared" si="57"/>
        <v>0.24652777777777773</v>
      </c>
      <c r="H1191" s="3">
        <f t="shared" si="58"/>
        <v>4.9305555555555547E-2</v>
      </c>
      <c r="I1191" s="1">
        <f t="shared" si="56"/>
        <v>11</v>
      </c>
      <c r="J1191" t="s">
        <v>409</v>
      </c>
      <c r="K1191" t="s">
        <v>397</v>
      </c>
      <c r="L1191" t="s">
        <v>367</v>
      </c>
      <c r="M1191" t="s">
        <v>398</v>
      </c>
      <c r="N1191" t="s">
        <v>575</v>
      </c>
    </row>
    <row r="1192" spans="1:14" hidden="1" x14ac:dyDescent="0.25">
      <c r="A1192" t="s">
        <v>750</v>
      </c>
      <c r="B1192" t="s">
        <v>750</v>
      </c>
      <c r="C1192" t="s">
        <v>422</v>
      </c>
      <c r="D1192" s="3" t="s">
        <v>403</v>
      </c>
      <c r="E1192" s="3" t="s">
        <v>638</v>
      </c>
      <c r="F1192">
        <v>15</v>
      </c>
      <c r="G1192" s="3">
        <f t="shared" si="57"/>
        <v>0.15625</v>
      </c>
      <c r="H1192" s="3">
        <f t="shared" si="58"/>
        <v>1.0416666666666666E-2</v>
      </c>
      <c r="I1192" s="1">
        <f t="shared" si="56"/>
        <v>15</v>
      </c>
      <c r="J1192" t="s">
        <v>432</v>
      </c>
      <c r="K1192" t="s">
        <v>397</v>
      </c>
      <c r="L1192" t="s">
        <v>119</v>
      </c>
      <c r="M1192" t="s">
        <v>398</v>
      </c>
      <c r="N1192" t="s">
        <v>433</v>
      </c>
    </row>
    <row r="1193" spans="1:14" hidden="1" x14ac:dyDescent="0.25">
      <c r="A1193" t="s">
        <v>751</v>
      </c>
      <c r="C1193" t="s">
        <v>401</v>
      </c>
      <c r="D1193" s="3" t="s">
        <v>453</v>
      </c>
      <c r="E1193" s="3" t="s">
        <v>431</v>
      </c>
      <c r="F1193">
        <v>15</v>
      </c>
      <c r="G1193" s="3">
        <f t="shared" si="57"/>
        <v>0.10763888888888884</v>
      </c>
      <c r="H1193" s="3">
        <f t="shared" si="58"/>
        <v>7.1759259259259224E-3</v>
      </c>
      <c r="I1193" s="1">
        <f t="shared" si="56"/>
        <v>10</v>
      </c>
      <c r="J1193" t="s">
        <v>427</v>
      </c>
      <c r="K1193" t="s">
        <v>417</v>
      </c>
      <c r="L1193" t="s">
        <v>349</v>
      </c>
      <c r="M1193" t="s">
        <v>398</v>
      </c>
      <c r="N1193" t="s">
        <v>405</v>
      </c>
    </row>
    <row r="1194" spans="1:14" hidden="1" x14ac:dyDescent="0.25">
      <c r="A1194" t="s">
        <v>751</v>
      </c>
      <c r="B1194" t="s">
        <v>751</v>
      </c>
      <c r="C1194" t="s">
        <v>401</v>
      </c>
      <c r="D1194" s="3" t="s">
        <v>403</v>
      </c>
      <c r="E1194" s="3" t="s">
        <v>441</v>
      </c>
      <c r="F1194">
        <v>5</v>
      </c>
      <c r="G1194" s="3">
        <f t="shared" si="57"/>
        <v>0.41319444444444448</v>
      </c>
      <c r="H1194" s="3">
        <f t="shared" si="58"/>
        <v>8.2638888888888901E-2</v>
      </c>
      <c r="I1194" s="1">
        <f t="shared" si="56"/>
        <v>59</v>
      </c>
      <c r="J1194" t="s">
        <v>409</v>
      </c>
      <c r="K1194" t="s">
        <v>397</v>
      </c>
      <c r="L1194" t="s">
        <v>111</v>
      </c>
      <c r="M1194" t="s">
        <v>398</v>
      </c>
      <c r="N1194" t="s">
        <v>575</v>
      </c>
    </row>
    <row r="1195" spans="1:14" hidden="1" x14ac:dyDescent="0.25">
      <c r="A1195" t="s">
        <v>751</v>
      </c>
      <c r="B1195" t="s">
        <v>751</v>
      </c>
      <c r="C1195" t="s">
        <v>401</v>
      </c>
      <c r="D1195" s="3" t="s">
        <v>403</v>
      </c>
      <c r="E1195" s="3" t="s">
        <v>441</v>
      </c>
      <c r="F1195">
        <v>5</v>
      </c>
      <c r="G1195" s="3">
        <f t="shared" si="57"/>
        <v>0.41319444444444448</v>
      </c>
      <c r="H1195" s="3">
        <f t="shared" si="58"/>
        <v>8.2638888888888901E-2</v>
      </c>
      <c r="I1195" s="1">
        <f t="shared" si="56"/>
        <v>59</v>
      </c>
      <c r="J1195" t="s">
        <v>409</v>
      </c>
      <c r="K1195" t="s">
        <v>397</v>
      </c>
      <c r="L1195" t="s">
        <v>362</v>
      </c>
      <c r="M1195" t="s">
        <v>398</v>
      </c>
      <c r="N1195" t="s">
        <v>575</v>
      </c>
    </row>
    <row r="1196" spans="1:14" hidden="1" x14ac:dyDescent="0.25">
      <c r="A1196" t="s">
        <v>752</v>
      </c>
      <c r="C1196" t="s">
        <v>407</v>
      </c>
      <c r="D1196" s="3" t="s">
        <v>419</v>
      </c>
      <c r="E1196" s="3" t="s">
        <v>536</v>
      </c>
      <c r="F1196">
        <v>15</v>
      </c>
      <c r="G1196" s="3">
        <f t="shared" si="57"/>
        <v>0.28472222222222221</v>
      </c>
      <c r="H1196" s="3">
        <f t="shared" si="58"/>
        <v>1.8981481481481481E-2</v>
      </c>
      <c r="I1196" s="1">
        <f t="shared" si="56"/>
        <v>27</v>
      </c>
      <c r="J1196" t="s">
        <v>404</v>
      </c>
      <c r="K1196" t="s">
        <v>397</v>
      </c>
      <c r="L1196" t="s">
        <v>324</v>
      </c>
      <c r="M1196" t="s">
        <v>398</v>
      </c>
      <c r="N1196" t="s">
        <v>447</v>
      </c>
    </row>
    <row r="1197" spans="1:14" hidden="1" x14ac:dyDescent="0.25">
      <c r="A1197" t="s">
        <v>752</v>
      </c>
      <c r="B1197" t="s">
        <v>473</v>
      </c>
      <c r="C1197" t="s">
        <v>407</v>
      </c>
      <c r="D1197" s="3" t="s">
        <v>403</v>
      </c>
      <c r="E1197" s="3" t="s">
        <v>514</v>
      </c>
      <c r="F1197">
        <v>10</v>
      </c>
      <c r="G1197" s="3">
        <f t="shared" si="57"/>
        <v>0.39583333333333331</v>
      </c>
      <c r="H1197" s="3">
        <f t="shared" si="58"/>
        <v>3.9583333333333331E-2</v>
      </c>
      <c r="I1197" s="1">
        <f t="shared" si="56"/>
        <v>57</v>
      </c>
      <c r="J1197" t="s">
        <v>455</v>
      </c>
      <c r="K1197" t="s">
        <v>397</v>
      </c>
      <c r="L1197" t="s">
        <v>331</v>
      </c>
      <c r="M1197" t="s">
        <v>398</v>
      </c>
      <c r="N1197" t="s">
        <v>500</v>
      </c>
    </row>
    <row r="1198" spans="1:14" hidden="1" x14ac:dyDescent="0.25">
      <c r="A1198" t="s">
        <v>752</v>
      </c>
      <c r="B1198" t="s">
        <v>626</v>
      </c>
      <c r="C1198" t="s">
        <v>407</v>
      </c>
      <c r="D1198" s="3" t="s">
        <v>419</v>
      </c>
      <c r="E1198" s="3" t="s">
        <v>536</v>
      </c>
      <c r="F1198">
        <v>15</v>
      </c>
      <c r="G1198" s="3">
        <f t="shared" si="57"/>
        <v>0.28472222222222221</v>
      </c>
      <c r="H1198" s="3">
        <f t="shared" si="58"/>
        <v>1.8981481481481481E-2</v>
      </c>
      <c r="I1198" s="1">
        <f t="shared" si="56"/>
        <v>27</v>
      </c>
      <c r="J1198" t="s">
        <v>404</v>
      </c>
      <c r="K1198" t="s">
        <v>397</v>
      </c>
      <c r="L1198" t="s">
        <v>324</v>
      </c>
      <c r="M1198" t="s">
        <v>398</v>
      </c>
      <c r="N1198" t="s">
        <v>447</v>
      </c>
    </row>
    <row r="1199" spans="1:14" hidden="1" x14ac:dyDescent="0.25">
      <c r="A1199" t="s">
        <v>752</v>
      </c>
      <c r="B1199" t="s">
        <v>752</v>
      </c>
      <c r="C1199" t="s">
        <v>407</v>
      </c>
      <c r="D1199" s="3" t="s">
        <v>487</v>
      </c>
      <c r="E1199" s="3" t="s">
        <v>741</v>
      </c>
      <c r="F1199">
        <v>5</v>
      </c>
      <c r="G1199" s="3">
        <f t="shared" si="57"/>
        <v>6.25E-2</v>
      </c>
      <c r="H1199" s="3">
        <f t="shared" si="58"/>
        <v>1.2500000000000001E-2</v>
      </c>
      <c r="I1199" s="1">
        <f t="shared" si="56"/>
        <v>18</v>
      </c>
      <c r="J1199" t="s">
        <v>458</v>
      </c>
      <c r="K1199" t="s">
        <v>417</v>
      </c>
      <c r="L1199" t="s">
        <v>343</v>
      </c>
      <c r="M1199" t="s">
        <v>398</v>
      </c>
      <c r="N1199" t="s">
        <v>399</v>
      </c>
    </row>
    <row r="1200" spans="1:14" hidden="1" x14ac:dyDescent="0.25">
      <c r="A1200" t="s">
        <v>753</v>
      </c>
      <c r="B1200" t="s">
        <v>753</v>
      </c>
      <c r="C1200" t="s">
        <v>406</v>
      </c>
      <c r="D1200" s="3" t="s">
        <v>469</v>
      </c>
      <c r="E1200" s="3" t="s">
        <v>727</v>
      </c>
      <c r="F1200">
        <v>5</v>
      </c>
      <c r="G1200" s="3">
        <f t="shared" si="57"/>
        <v>0.19097222222222227</v>
      </c>
      <c r="H1200" s="3">
        <f t="shared" si="58"/>
        <v>3.8194444444444454E-2</v>
      </c>
      <c r="I1200" s="1">
        <f t="shared" si="56"/>
        <v>55</v>
      </c>
      <c r="J1200" t="s">
        <v>396</v>
      </c>
      <c r="K1200" t="s">
        <v>397</v>
      </c>
      <c r="L1200" t="s">
        <v>731</v>
      </c>
      <c r="M1200" t="s">
        <v>398</v>
      </c>
      <c r="N1200" t="s">
        <v>500</v>
      </c>
    </row>
    <row r="1201" spans="1:14" hidden="1" x14ac:dyDescent="0.25">
      <c r="A1201" t="s">
        <v>753</v>
      </c>
      <c r="B1201" t="s">
        <v>753</v>
      </c>
      <c r="C1201" t="s">
        <v>406</v>
      </c>
      <c r="D1201" s="3" t="s">
        <v>486</v>
      </c>
      <c r="E1201" s="3" t="s">
        <v>592</v>
      </c>
      <c r="F1201">
        <v>40</v>
      </c>
      <c r="G1201" s="3">
        <f t="shared" si="57"/>
        <v>0.22222222222222227</v>
      </c>
      <c r="H1201" s="3">
        <f t="shared" si="58"/>
        <v>5.5555555555555566E-3</v>
      </c>
      <c r="I1201" s="1">
        <f t="shared" si="56"/>
        <v>8</v>
      </c>
      <c r="J1201" t="s">
        <v>432</v>
      </c>
      <c r="K1201" t="s">
        <v>397</v>
      </c>
      <c r="L1201" t="s">
        <v>128</v>
      </c>
      <c r="M1201" t="s">
        <v>398</v>
      </c>
      <c r="N1201" t="s">
        <v>433</v>
      </c>
    </row>
    <row r="1202" spans="1:14" hidden="1" x14ac:dyDescent="0.25">
      <c r="A1202" t="s">
        <v>754</v>
      </c>
      <c r="B1202" t="s">
        <v>628</v>
      </c>
      <c r="C1202" t="s">
        <v>400</v>
      </c>
      <c r="D1202" s="3" t="s">
        <v>411</v>
      </c>
      <c r="E1202" s="3" t="s">
        <v>467</v>
      </c>
      <c r="F1202">
        <v>5</v>
      </c>
      <c r="G1202" s="3">
        <f t="shared" si="57"/>
        <v>0.37152777777777773</v>
      </c>
      <c r="H1202" s="3">
        <f t="shared" si="58"/>
        <v>7.4305555555555541E-2</v>
      </c>
      <c r="I1202" s="1">
        <f t="shared" si="56"/>
        <v>47</v>
      </c>
      <c r="J1202" t="s">
        <v>476</v>
      </c>
      <c r="K1202" t="s">
        <v>397</v>
      </c>
      <c r="L1202" t="s">
        <v>367</v>
      </c>
      <c r="M1202" t="s">
        <v>398</v>
      </c>
      <c r="N1202" t="s">
        <v>465</v>
      </c>
    </row>
    <row r="1203" spans="1:14" hidden="1" x14ac:dyDescent="0.25">
      <c r="A1203" t="s">
        <v>755</v>
      </c>
      <c r="B1203" t="s">
        <v>755</v>
      </c>
      <c r="C1203" t="s">
        <v>491</v>
      </c>
      <c r="D1203" s="3" t="s">
        <v>416</v>
      </c>
      <c r="E1203" s="3" t="s">
        <v>534</v>
      </c>
      <c r="F1203">
        <v>10</v>
      </c>
      <c r="G1203" s="3">
        <f t="shared" si="57"/>
        <v>0.15972222222222221</v>
      </c>
      <c r="H1203" s="3">
        <f t="shared" si="58"/>
        <v>1.5972222222222221E-2</v>
      </c>
      <c r="I1203" s="1">
        <f t="shared" si="56"/>
        <v>23</v>
      </c>
      <c r="J1203" t="s">
        <v>471</v>
      </c>
      <c r="K1203" t="s">
        <v>417</v>
      </c>
      <c r="L1203" t="s">
        <v>113</v>
      </c>
      <c r="M1203" t="s">
        <v>398</v>
      </c>
      <c r="N1203" t="s">
        <v>465</v>
      </c>
    </row>
    <row r="1204" spans="1:14" hidden="1" x14ac:dyDescent="0.25">
      <c r="A1204" t="s">
        <v>756</v>
      </c>
      <c r="B1204" t="s">
        <v>756</v>
      </c>
      <c r="C1204" t="s">
        <v>393</v>
      </c>
      <c r="D1204" s="3" t="s">
        <v>486</v>
      </c>
      <c r="E1204" s="3" t="s">
        <v>592</v>
      </c>
      <c r="F1204">
        <v>40</v>
      </c>
      <c r="G1204" s="3">
        <f t="shared" si="57"/>
        <v>0.22222222222222227</v>
      </c>
      <c r="H1204" s="3">
        <f t="shared" si="58"/>
        <v>5.5555555555555566E-3</v>
      </c>
      <c r="I1204" s="1">
        <f t="shared" si="56"/>
        <v>8</v>
      </c>
      <c r="J1204" t="s">
        <v>435</v>
      </c>
      <c r="K1204" t="s">
        <v>397</v>
      </c>
      <c r="L1204" t="s">
        <v>128</v>
      </c>
      <c r="M1204" t="s">
        <v>398</v>
      </c>
      <c r="N1204" t="s">
        <v>433</v>
      </c>
    </row>
    <row r="1205" spans="1:14" hidden="1" x14ac:dyDescent="0.25">
      <c r="A1205" t="s">
        <v>757</v>
      </c>
      <c r="B1205" t="s">
        <v>757</v>
      </c>
      <c r="C1205" t="s">
        <v>406</v>
      </c>
      <c r="D1205" s="3" t="s">
        <v>403</v>
      </c>
      <c r="E1205" s="3" t="s">
        <v>460</v>
      </c>
      <c r="F1205">
        <v>40</v>
      </c>
      <c r="G1205" s="3">
        <f t="shared" si="57"/>
        <v>0.3888888888888889</v>
      </c>
      <c r="H1205" s="3">
        <f t="shared" si="58"/>
        <v>9.7222222222222224E-3</v>
      </c>
      <c r="I1205" s="1">
        <f t="shared" si="56"/>
        <v>14</v>
      </c>
      <c r="J1205" t="s">
        <v>404</v>
      </c>
      <c r="K1205" t="s">
        <v>397</v>
      </c>
      <c r="L1205" t="s">
        <v>128</v>
      </c>
      <c r="M1205" t="s">
        <v>398</v>
      </c>
      <c r="N1205" t="s">
        <v>447</v>
      </c>
    </row>
    <row r="1206" spans="1:14" hidden="1" x14ac:dyDescent="0.25">
      <c r="A1206" t="s">
        <v>758</v>
      </c>
      <c r="B1206" t="s">
        <v>632</v>
      </c>
      <c r="C1206" t="s">
        <v>400</v>
      </c>
      <c r="D1206" s="3" t="s">
        <v>453</v>
      </c>
      <c r="E1206" s="3" t="s">
        <v>759</v>
      </c>
      <c r="F1206">
        <v>5</v>
      </c>
      <c r="G1206" s="3">
        <f t="shared" si="57"/>
        <v>0.10069444444444442</v>
      </c>
      <c r="H1206" s="3">
        <f t="shared" si="58"/>
        <v>2.0138888888888883E-2</v>
      </c>
      <c r="I1206" s="1">
        <f t="shared" si="56"/>
        <v>29</v>
      </c>
      <c r="J1206" t="s">
        <v>420</v>
      </c>
      <c r="K1206" t="s">
        <v>417</v>
      </c>
      <c r="L1206" t="s">
        <v>114</v>
      </c>
      <c r="M1206" t="s">
        <v>398</v>
      </c>
      <c r="N1206" t="s">
        <v>405</v>
      </c>
    </row>
    <row r="1207" spans="1:14" hidden="1" x14ac:dyDescent="0.25">
      <c r="A1207" t="s">
        <v>760</v>
      </c>
      <c r="B1207" t="s">
        <v>760</v>
      </c>
      <c r="C1207" t="s">
        <v>393</v>
      </c>
      <c r="D1207" s="3" t="s">
        <v>403</v>
      </c>
      <c r="E1207" s="3" t="s">
        <v>732</v>
      </c>
      <c r="F1207">
        <v>40</v>
      </c>
      <c r="G1207" s="3">
        <f t="shared" si="57"/>
        <v>0.13888888888888895</v>
      </c>
      <c r="H1207" s="3">
        <f t="shared" si="58"/>
        <v>3.4722222222222238E-3</v>
      </c>
      <c r="I1207" s="1">
        <f t="shared" si="56"/>
        <v>5</v>
      </c>
      <c r="J1207" t="s">
        <v>396</v>
      </c>
      <c r="K1207" t="s">
        <v>397</v>
      </c>
      <c r="L1207" t="s">
        <v>128</v>
      </c>
      <c r="M1207" t="s">
        <v>398</v>
      </c>
      <c r="N1207" t="s">
        <v>447</v>
      </c>
    </row>
    <row r="1208" spans="1:14" hidden="1" x14ac:dyDescent="0.25">
      <c r="A1208" t="s">
        <v>639</v>
      </c>
      <c r="B1208" t="s">
        <v>639</v>
      </c>
      <c r="C1208" t="s">
        <v>393</v>
      </c>
      <c r="D1208" s="3" t="s">
        <v>403</v>
      </c>
      <c r="E1208" s="3" t="s">
        <v>527</v>
      </c>
      <c r="F1208">
        <v>15</v>
      </c>
      <c r="G1208" s="3">
        <f t="shared" si="57"/>
        <v>0.14583333333333337</v>
      </c>
      <c r="H1208" s="3">
        <f t="shared" si="58"/>
        <v>9.7222222222222241E-3</v>
      </c>
      <c r="I1208" s="1">
        <f t="shared" si="56"/>
        <v>14</v>
      </c>
      <c r="J1208" t="s">
        <v>459</v>
      </c>
      <c r="K1208" t="s">
        <v>397</v>
      </c>
      <c r="L1208" t="s">
        <v>119</v>
      </c>
      <c r="M1208" t="s">
        <v>644</v>
      </c>
      <c r="N1208" t="s">
        <v>465</v>
      </c>
    </row>
    <row r="1209" spans="1:14" hidden="1" x14ac:dyDescent="0.25">
      <c r="A1209" t="s">
        <v>639</v>
      </c>
      <c r="B1209" t="s">
        <v>639</v>
      </c>
      <c r="C1209" t="s">
        <v>393</v>
      </c>
      <c r="D1209" s="3" t="s">
        <v>403</v>
      </c>
      <c r="E1209" s="3" t="s">
        <v>441</v>
      </c>
      <c r="F1209">
        <v>5</v>
      </c>
      <c r="G1209" s="3">
        <f t="shared" si="57"/>
        <v>0.41319444444444448</v>
      </c>
      <c r="H1209" s="3">
        <f t="shared" si="58"/>
        <v>8.2638888888888901E-2</v>
      </c>
      <c r="I1209" s="1">
        <f t="shared" si="56"/>
        <v>59</v>
      </c>
      <c r="J1209" t="s">
        <v>432</v>
      </c>
      <c r="K1209" t="s">
        <v>397</v>
      </c>
      <c r="L1209" t="s">
        <v>102</v>
      </c>
      <c r="M1209" t="s">
        <v>644</v>
      </c>
      <c r="N1209" t="s">
        <v>465</v>
      </c>
    </row>
    <row r="1210" spans="1:14" hidden="1" x14ac:dyDescent="0.25">
      <c r="A1210" t="s">
        <v>639</v>
      </c>
      <c r="B1210" t="s">
        <v>639</v>
      </c>
      <c r="C1210" t="s">
        <v>393</v>
      </c>
      <c r="D1210" s="3" t="s">
        <v>403</v>
      </c>
      <c r="E1210" s="3" t="s">
        <v>638</v>
      </c>
      <c r="F1210">
        <v>15</v>
      </c>
      <c r="G1210" s="3">
        <f t="shared" si="57"/>
        <v>0.15625</v>
      </c>
      <c r="H1210" s="3">
        <f t="shared" si="58"/>
        <v>1.0416666666666666E-2</v>
      </c>
      <c r="I1210" s="1">
        <f t="shared" si="56"/>
        <v>15</v>
      </c>
      <c r="J1210" t="s">
        <v>476</v>
      </c>
      <c r="K1210" t="s">
        <v>397</v>
      </c>
      <c r="L1210" t="s">
        <v>338</v>
      </c>
      <c r="M1210" t="s">
        <v>644</v>
      </c>
      <c r="N1210" t="s">
        <v>465</v>
      </c>
    </row>
    <row r="1211" spans="1:14" hidden="1" x14ac:dyDescent="0.25">
      <c r="A1211" t="s">
        <v>639</v>
      </c>
      <c r="B1211" t="s">
        <v>639</v>
      </c>
      <c r="C1211" t="s">
        <v>393</v>
      </c>
      <c r="D1211" s="3" t="s">
        <v>395</v>
      </c>
      <c r="E1211" s="3" t="s">
        <v>423</v>
      </c>
      <c r="F1211">
        <v>10</v>
      </c>
      <c r="G1211" s="3">
        <f t="shared" si="57"/>
        <v>0.1388888888888889</v>
      </c>
      <c r="H1211" s="3">
        <f t="shared" si="58"/>
        <v>1.388888888888889E-2</v>
      </c>
      <c r="I1211" s="1">
        <f t="shared" si="56"/>
        <v>20</v>
      </c>
      <c r="J1211" t="s">
        <v>716</v>
      </c>
      <c r="K1211" t="s">
        <v>397</v>
      </c>
      <c r="L1211" t="s">
        <v>88</v>
      </c>
      <c r="M1211" t="s">
        <v>644</v>
      </c>
      <c r="N1211" t="s">
        <v>465</v>
      </c>
    </row>
    <row r="1212" spans="1:14" hidden="1" x14ac:dyDescent="0.25">
      <c r="A1212" t="s">
        <v>639</v>
      </c>
      <c r="B1212" t="s">
        <v>639</v>
      </c>
      <c r="C1212" t="s">
        <v>393</v>
      </c>
      <c r="D1212" s="3" t="s">
        <v>445</v>
      </c>
      <c r="E1212" s="3" t="s">
        <v>536</v>
      </c>
      <c r="F1212">
        <v>10</v>
      </c>
      <c r="G1212" s="3">
        <f t="shared" si="57"/>
        <v>0.15972222222222221</v>
      </c>
      <c r="H1212" s="3">
        <f t="shared" si="58"/>
        <v>1.5972222222222221E-2</v>
      </c>
      <c r="I1212" s="1">
        <f t="shared" si="56"/>
        <v>23</v>
      </c>
      <c r="J1212" t="s">
        <v>716</v>
      </c>
      <c r="K1212" t="s">
        <v>417</v>
      </c>
      <c r="L1212" t="s">
        <v>88</v>
      </c>
      <c r="M1212" t="s">
        <v>644</v>
      </c>
      <c r="N1212" t="s">
        <v>465</v>
      </c>
    </row>
    <row r="1213" spans="1:14" hidden="1" x14ac:dyDescent="0.25">
      <c r="A1213" t="s">
        <v>761</v>
      </c>
      <c r="B1213" t="s">
        <v>761</v>
      </c>
      <c r="C1213" t="s">
        <v>406</v>
      </c>
      <c r="D1213" s="3" t="s">
        <v>403</v>
      </c>
      <c r="E1213" s="3" t="s">
        <v>441</v>
      </c>
      <c r="F1213">
        <v>5</v>
      </c>
      <c r="G1213" s="3">
        <f t="shared" si="57"/>
        <v>0.41319444444444448</v>
      </c>
      <c r="H1213" s="3">
        <f t="shared" si="58"/>
        <v>8.2638888888888901E-2</v>
      </c>
      <c r="I1213" s="1">
        <f t="shared" si="56"/>
        <v>59</v>
      </c>
      <c r="J1213" t="s">
        <v>463</v>
      </c>
      <c r="K1213" t="s">
        <v>397</v>
      </c>
      <c r="L1213" t="s">
        <v>376</v>
      </c>
      <c r="M1213" t="s">
        <v>644</v>
      </c>
      <c r="N1213" t="s">
        <v>465</v>
      </c>
    </row>
    <row r="1214" spans="1:14" hidden="1" x14ac:dyDescent="0.25">
      <c r="A1214" t="s">
        <v>761</v>
      </c>
      <c r="B1214" t="s">
        <v>761</v>
      </c>
      <c r="C1214" t="s">
        <v>406</v>
      </c>
      <c r="D1214" s="3" t="s">
        <v>403</v>
      </c>
      <c r="E1214" s="3" t="s">
        <v>487</v>
      </c>
      <c r="F1214">
        <v>5</v>
      </c>
      <c r="G1214" s="3">
        <f t="shared" si="57"/>
        <v>0.21875000000000006</v>
      </c>
      <c r="H1214" s="3">
        <f t="shared" si="58"/>
        <v>4.3750000000000011E-2</v>
      </c>
      <c r="I1214" s="1">
        <f t="shared" si="56"/>
        <v>3</v>
      </c>
      <c r="J1214" t="s">
        <v>471</v>
      </c>
      <c r="K1214" t="s">
        <v>397</v>
      </c>
      <c r="L1214" t="s">
        <v>89</v>
      </c>
      <c r="M1214" t="s">
        <v>644</v>
      </c>
      <c r="N1214" t="s">
        <v>465</v>
      </c>
    </row>
    <row r="1215" spans="1:14" hidden="1" x14ac:dyDescent="0.25">
      <c r="A1215" t="s">
        <v>761</v>
      </c>
      <c r="B1215" t="s">
        <v>761</v>
      </c>
      <c r="C1215" t="s">
        <v>406</v>
      </c>
      <c r="D1215" s="3" t="s">
        <v>403</v>
      </c>
      <c r="E1215" s="3" t="s">
        <v>442</v>
      </c>
      <c r="F1215">
        <v>5</v>
      </c>
      <c r="G1215" s="3">
        <f t="shared" si="57"/>
        <v>0.24652777777777773</v>
      </c>
      <c r="H1215" s="3">
        <f t="shared" si="58"/>
        <v>4.9305555555555547E-2</v>
      </c>
      <c r="I1215" s="1">
        <f t="shared" si="56"/>
        <v>11</v>
      </c>
      <c r="J1215" t="s">
        <v>409</v>
      </c>
      <c r="K1215" t="s">
        <v>397</v>
      </c>
      <c r="L1215" t="s">
        <v>98</v>
      </c>
      <c r="M1215" t="s">
        <v>644</v>
      </c>
      <c r="N1215" t="s">
        <v>575</v>
      </c>
    </row>
    <row r="1216" spans="1:14" hidden="1" x14ac:dyDescent="0.25">
      <c r="A1216" t="s">
        <v>762</v>
      </c>
      <c r="B1216" t="s">
        <v>762</v>
      </c>
      <c r="C1216" t="s">
        <v>400</v>
      </c>
      <c r="D1216" s="3" t="s">
        <v>403</v>
      </c>
      <c r="E1216" s="3" t="s">
        <v>443</v>
      </c>
      <c r="F1216">
        <v>5</v>
      </c>
      <c r="G1216" s="3">
        <f t="shared" si="57"/>
        <v>0.2048611111111111</v>
      </c>
      <c r="H1216" s="3">
        <f t="shared" si="58"/>
        <v>4.0972222222222222E-2</v>
      </c>
      <c r="I1216" s="1">
        <f t="shared" si="56"/>
        <v>59</v>
      </c>
      <c r="J1216" t="s">
        <v>471</v>
      </c>
      <c r="K1216" t="s">
        <v>397</v>
      </c>
      <c r="L1216" t="s">
        <v>89</v>
      </c>
      <c r="M1216" t="s">
        <v>644</v>
      </c>
      <c r="N1216" t="s">
        <v>465</v>
      </c>
    </row>
    <row r="1217" spans="1:14" hidden="1" x14ac:dyDescent="0.25">
      <c r="A1217" t="s">
        <v>762</v>
      </c>
      <c r="B1217" t="s">
        <v>762</v>
      </c>
      <c r="C1217" t="s">
        <v>400</v>
      </c>
      <c r="D1217" s="3" t="s">
        <v>403</v>
      </c>
      <c r="E1217" s="3" t="s">
        <v>710</v>
      </c>
      <c r="F1217">
        <v>15</v>
      </c>
      <c r="G1217" s="3">
        <f t="shared" si="57"/>
        <v>0.19791666666666669</v>
      </c>
      <c r="H1217" s="3">
        <f t="shared" si="58"/>
        <v>1.3194444444444446E-2</v>
      </c>
      <c r="I1217" s="1">
        <f t="shared" si="56"/>
        <v>19</v>
      </c>
      <c r="J1217" t="s">
        <v>432</v>
      </c>
      <c r="K1217" t="s">
        <v>397</v>
      </c>
      <c r="L1217" t="s">
        <v>373</v>
      </c>
      <c r="M1217" t="s">
        <v>644</v>
      </c>
      <c r="N1217" t="s">
        <v>465</v>
      </c>
    </row>
    <row r="1218" spans="1:14" hidden="1" x14ac:dyDescent="0.25">
      <c r="A1218" t="s">
        <v>762</v>
      </c>
      <c r="B1218" t="s">
        <v>762</v>
      </c>
      <c r="C1218" t="s">
        <v>400</v>
      </c>
      <c r="D1218" s="3" t="s">
        <v>395</v>
      </c>
      <c r="E1218" s="3" t="s">
        <v>516</v>
      </c>
      <c r="F1218">
        <v>10</v>
      </c>
      <c r="G1218" s="3">
        <f t="shared" si="57"/>
        <v>0.18055555555555558</v>
      </c>
      <c r="H1218" s="3">
        <f t="shared" si="58"/>
        <v>1.8055555555555557E-2</v>
      </c>
      <c r="I1218" s="1">
        <f t="shared" si="56"/>
        <v>26</v>
      </c>
      <c r="J1218" t="s">
        <v>716</v>
      </c>
      <c r="K1218" t="s">
        <v>397</v>
      </c>
      <c r="L1218" t="s">
        <v>88</v>
      </c>
      <c r="M1218" t="s">
        <v>644</v>
      </c>
      <c r="N1218" t="s">
        <v>465</v>
      </c>
    </row>
    <row r="1219" spans="1:14" hidden="1" x14ac:dyDescent="0.25">
      <c r="A1219" t="s">
        <v>763</v>
      </c>
      <c r="B1219" t="s">
        <v>763</v>
      </c>
      <c r="C1219" t="s">
        <v>393</v>
      </c>
      <c r="D1219" s="3" t="s">
        <v>403</v>
      </c>
      <c r="E1219" s="3" t="s">
        <v>426</v>
      </c>
      <c r="F1219">
        <v>15</v>
      </c>
      <c r="G1219" s="3">
        <f t="shared" si="57"/>
        <v>0.19097222222222227</v>
      </c>
      <c r="H1219" s="3">
        <f t="shared" si="58"/>
        <v>1.2731481481481484E-2</v>
      </c>
      <c r="I1219" s="1">
        <f t="shared" ref="I1219:I1257" si="59">MINUTE(H1219)</f>
        <v>18</v>
      </c>
      <c r="J1219" t="s">
        <v>404</v>
      </c>
      <c r="K1219" t="s">
        <v>397</v>
      </c>
      <c r="L1219" t="s">
        <v>123</v>
      </c>
      <c r="M1219" t="s">
        <v>398</v>
      </c>
      <c r="N1219" t="s">
        <v>399</v>
      </c>
    </row>
    <row r="1220" spans="1:14" hidden="1" x14ac:dyDescent="0.25">
      <c r="A1220" t="s">
        <v>764</v>
      </c>
      <c r="B1220" t="s">
        <v>764</v>
      </c>
      <c r="C1220" t="s">
        <v>400</v>
      </c>
      <c r="D1220" s="3" t="s">
        <v>453</v>
      </c>
      <c r="E1220" s="3" t="s">
        <v>759</v>
      </c>
      <c r="F1220">
        <v>5</v>
      </c>
      <c r="G1220" s="3">
        <f t="shared" ref="G1220:G1257" si="60">(E1220-D1220)</f>
        <v>0.10069444444444442</v>
      </c>
      <c r="H1220" s="3">
        <f t="shared" ref="H1220:H1257" si="61">G1220/F1220</f>
        <v>2.0138888888888883E-2</v>
      </c>
      <c r="I1220" s="1">
        <f t="shared" si="59"/>
        <v>29</v>
      </c>
      <c r="J1220" t="s">
        <v>420</v>
      </c>
      <c r="K1220" t="s">
        <v>417</v>
      </c>
      <c r="L1220" t="s">
        <v>114</v>
      </c>
      <c r="M1220" t="s">
        <v>398</v>
      </c>
      <c r="N1220" t="s">
        <v>405</v>
      </c>
    </row>
    <row r="1221" spans="1:14" hidden="1" x14ac:dyDescent="0.25">
      <c r="A1221" t="s">
        <v>765</v>
      </c>
      <c r="B1221" t="s">
        <v>765</v>
      </c>
      <c r="C1221" t="s">
        <v>406</v>
      </c>
      <c r="D1221" s="3" t="s">
        <v>469</v>
      </c>
      <c r="E1221" s="3" t="s">
        <v>727</v>
      </c>
      <c r="F1221">
        <v>5</v>
      </c>
      <c r="G1221" s="3">
        <f t="shared" si="60"/>
        <v>0.19097222222222227</v>
      </c>
      <c r="H1221" s="3">
        <f t="shared" si="61"/>
        <v>3.8194444444444454E-2</v>
      </c>
      <c r="I1221" s="1">
        <f t="shared" si="59"/>
        <v>55</v>
      </c>
      <c r="J1221" t="s">
        <v>396</v>
      </c>
      <c r="K1221" t="s">
        <v>397</v>
      </c>
      <c r="L1221" t="s">
        <v>731</v>
      </c>
      <c r="M1221" t="s">
        <v>398</v>
      </c>
      <c r="N1221" t="s">
        <v>500</v>
      </c>
    </row>
    <row r="1222" spans="1:14" hidden="1" x14ac:dyDescent="0.25">
      <c r="A1222" t="s">
        <v>765</v>
      </c>
      <c r="B1222" t="s">
        <v>765</v>
      </c>
      <c r="C1222" t="s">
        <v>406</v>
      </c>
      <c r="D1222" s="3" t="s">
        <v>469</v>
      </c>
      <c r="E1222" s="3" t="s">
        <v>727</v>
      </c>
      <c r="F1222">
        <v>5</v>
      </c>
      <c r="G1222" s="3">
        <f t="shared" si="60"/>
        <v>0.19097222222222227</v>
      </c>
      <c r="H1222" s="3">
        <f t="shared" si="61"/>
        <v>3.8194444444444454E-2</v>
      </c>
      <c r="I1222" s="1">
        <f t="shared" si="59"/>
        <v>55</v>
      </c>
      <c r="J1222" t="s">
        <v>396</v>
      </c>
      <c r="K1222" t="s">
        <v>397</v>
      </c>
      <c r="L1222" t="s">
        <v>731</v>
      </c>
      <c r="M1222" t="s">
        <v>398</v>
      </c>
      <c r="N1222" t="s">
        <v>500</v>
      </c>
    </row>
    <row r="1223" spans="1:14" hidden="1" x14ac:dyDescent="0.25">
      <c r="A1223" t="s">
        <v>766</v>
      </c>
      <c r="B1223" t="s">
        <v>766</v>
      </c>
      <c r="C1223" t="s">
        <v>393</v>
      </c>
      <c r="D1223" s="3" t="s">
        <v>403</v>
      </c>
      <c r="E1223" s="3" t="s">
        <v>402</v>
      </c>
      <c r="F1223">
        <v>15</v>
      </c>
      <c r="G1223" s="3">
        <f t="shared" si="60"/>
        <v>0.14930555555555558</v>
      </c>
      <c r="H1223" s="3">
        <f t="shared" si="61"/>
        <v>9.9537037037037059E-3</v>
      </c>
      <c r="I1223" s="1">
        <f t="shared" si="59"/>
        <v>14</v>
      </c>
      <c r="J1223" t="s">
        <v>432</v>
      </c>
      <c r="K1223" t="s">
        <v>397</v>
      </c>
      <c r="L1223" t="s">
        <v>354</v>
      </c>
      <c r="M1223" t="s">
        <v>398</v>
      </c>
      <c r="N1223" t="s">
        <v>447</v>
      </c>
    </row>
    <row r="1224" spans="1:14" hidden="1" x14ac:dyDescent="0.25">
      <c r="A1224" t="s">
        <v>767</v>
      </c>
      <c r="B1224" t="s">
        <v>767</v>
      </c>
      <c r="C1224" t="s">
        <v>393</v>
      </c>
      <c r="D1224" s="3" t="s">
        <v>403</v>
      </c>
      <c r="E1224" s="3" t="s">
        <v>402</v>
      </c>
      <c r="F1224">
        <v>15</v>
      </c>
      <c r="G1224" s="3">
        <f t="shared" si="60"/>
        <v>0.14930555555555558</v>
      </c>
      <c r="H1224" s="3">
        <f t="shared" si="61"/>
        <v>9.9537037037037059E-3</v>
      </c>
      <c r="I1224" s="1">
        <f t="shared" si="59"/>
        <v>14</v>
      </c>
      <c r="J1224" t="s">
        <v>432</v>
      </c>
      <c r="K1224" t="s">
        <v>397</v>
      </c>
      <c r="L1224" t="s">
        <v>354</v>
      </c>
      <c r="M1224" t="s">
        <v>398</v>
      </c>
      <c r="N1224" t="s">
        <v>447</v>
      </c>
    </row>
    <row r="1225" spans="1:14" hidden="1" x14ac:dyDescent="0.25">
      <c r="A1225" t="s">
        <v>768</v>
      </c>
      <c r="B1225" t="s">
        <v>769</v>
      </c>
      <c r="C1225" t="s">
        <v>400</v>
      </c>
      <c r="D1225" s="3" t="s">
        <v>453</v>
      </c>
      <c r="E1225" s="3" t="s">
        <v>759</v>
      </c>
      <c r="F1225">
        <v>5</v>
      </c>
      <c r="G1225" s="3">
        <f t="shared" si="60"/>
        <v>0.10069444444444442</v>
      </c>
      <c r="H1225" s="3">
        <f t="shared" si="61"/>
        <v>2.0138888888888883E-2</v>
      </c>
      <c r="I1225" s="1">
        <f t="shared" si="59"/>
        <v>29</v>
      </c>
      <c r="J1225" t="s">
        <v>420</v>
      </c>
      <c r="K1225" t="s">
        <v>417</v>
      </c>
      <c r="L1225" t="s">
        <v>114</v>
      </c>
      <c r="M1225" t="s">
        <v>398</v>
      </c>
      <c r="N1225" t="s">
        <v>405</v>
      </c>
    </row>
    <row r="1226" spans="1:14" hidden="1" x14ac:dyDescent="0.25">
      <c r="A1226" t="s">
        <v>770</v>
      </c>
      <c r="B1226" t="s">
        <v>770</v>
      </c>
      <c r="C1226" t="s">
        <v>393</v>
      </c>
      <c r="D1226" s="3" t="s">
        <v>403</v>
      </c>
      <c r="E1226" s="3" t="s">
        <v>402</v>
      </c>
      <c r="F1226">
        <v>15</v>
      </c>
      <c r="G1226" s="3">
        <f t="shared" si="60"/>
        <v>0.14930555555555558</v>
      </c>
      <c r="H1226" s="3">
        <f t="shared" si="61"/>
        <v>9.9537037037037059E-3</v>
      </c>
      <c r="I1226" s="1">
        <f t="shared" si="59"/>
        <v>14</v>
      </c>
      <c r="J1226" t="s">
        <v>432</v>
      </c>
      <c r="K1226" t="s">
        <v>397</v>
      </c>
      <c r="L1226" t="s">
        <v>354</v>
      </c>
      <c r="M1226" t="s">
        <v>398</v>
      </c>
      <c r="N1226" t="s">
        <v>447</v>
      </c>
    </row>
    <row r="1227" spans="1:14" hidden="1" x14ac:dyDescent="0.25">
      <c r="A1227" t="s">
        <v>771</v>
      </c>
      <c r="B1227" t="s">
        <v>771</v>
      </c>
      <c r="C1227" t="s">
        <v>400</v>
      </c>
      <c r="D1227" s="3" t="s">
        <v>453</v>
      </c>
      <c r="E1227" s="3" t="s">
        <v>759</v>
      </c>
      <c r="F1227">
        <v>5</v>
      </c>
      <c r="G1227" s="3">
        <f t="shared" si="60"/>
        <v>0.10069444444444442</v>
      </c>
      <c r="H1227" s="3">
        <f t="shared" si="61"/>
        <v>2.0138888888888883E-2</v>
      </c>
      <c r="I1227" s="1">
        <f t="shared" si="59"/>
        <v>29</v>
      </c>
      <c r="J1227" t="s">
        <v>420</v>
      </c>
      <c r="K1227" t="s">
        <v>417</v>
      </c>
      <c r="L1227" t="s">
        <v>114</v>
      </c>
      <c r="M1227" t="s">
        <v>398</v>
      </c>
      <c r="N1227" t="s">
        <v>405</v>
      </c>
    </row>
    <row r="1228" spans="1:14" hidden="1" x14ac:dyDescent="0.25">
      <c r="A1228" t="s">
        <v>772</v>
      </c>
      <c r="B1228" t="s">
        <v>772</v>
      </c>
      <c r="C1228" t="s">
        <v>393</v>
      </c>
      <c r="D1228" s="3" t="s">
        <v>403</v>
      </c>
      <c r="E1228" s="3" t="s">
        <v>402</v>
      </c>
      <c r="F1228">
        <v>15</v>
      </c>
      <c r="G1228" s="3">
        <f t="shared" si="60"/>
        <v>0.14930555555555558</v>
      </c>
      <c r="H1228" s="3">
        <f t="shared" si="61"/>
        <v>9.9537037037037059E-3</v>
      </c>
      <c r="I1228" s="1">
        <f t="shared" si="59"/>
        <v>14</v>
      </c>
      <c r="J1228" t="s">
        <v>432</v>
      </c>
      <c r="K1228" t="s">
        <v>397</v>
      </c>
      <c r="L1228" t="s">
        <v>354</v>
      </c>
      <c r="M1228" t="s">
        <v>398</v>
      </c>
      <c r="N1228" t="s">
        <v>447</v>
      </c>
    </row>
    <row r="1229" spans="1:14" hidden="1" x14ac:dyDescent="0.25">
      <c r="A1229" t="s">
        <v>773</v>
      </c>
      <c r="B1229" t="s">
        <v>774</v>
      </c>
      <c r="C1229" t="s">
        <v>400</v>
      </c>
      <c r="D1229" s="3" t="s">
        <v>453</v>
      </c>
      <c r="E1229" s="3" t="s">
        <v>759</v>
      </c>
      <c r="F1229">
        <v>5</v>
      </c>
      <c r="G1229" s="3">
        <f t="shared" si="60"/>
        <v>0.10069444444444442</v>
      </c>
      <c r="H1229" s="3">
        <f t="shared" si="61"/>
        <v>2.0138888888888883E-2</v>
      </c>
      <c r="I1229" s="1">
        <f t="shared" si="59"/>
        <v>29</v>
      </c>
      <c r="J1229" t="s">
        <v>420</v>
      </c>
      <c r="K1229" t="s">
        <v>417</v>
      </c>
      <c r="L1229" t="s">
        <v>114</v>
      </c>
      <c r="M1229" t="s">
        <v>398</v>
      </c>
      <c r="N1229" t="s">
        <v>405</v>
      </c>
    </row>
    <row r="1230" spans="1:14" hidden="1" x14ac:dyDescent="0.25">
      <c r="A1230" t="s">
        <v>775</v>
      </c>
      <c r="B1230" t="s">
        <v>776</v>
      </c>
      <c r="C1230" t="s">
        <v>400</v>
      </c>
      <c r="D1230" s="3" t="s">
        <v>453</v>
      </c>
      <c r="E1230" s="3" t="s">
        <v>759</v>
      </c>
      <c r="F1230">
        <v>5</v>
      </c>
      <c r="G1230" s="3">
        <f t="shared" si="60"/>
        <v>0.10069444444444442</v>
      </c>
      <c r="H1230" s="3">
        <f t="shared" si="61"/>
        <v>2.0138888888888883E-2</v>
      </c>
      <c r="I1230" s="1">
        <f t="shared" si="59"/>
        <v>29</v>
      </c>
      <c r="J1230" t="s">
        <v>420</v>
      </c>
      <c r="K1230" t="s">
        <v>417</v>
      </c>
      <c r="L1230" t="s">
        <v>114</v>
      </c>
      <c r="M1230" t="s">
        <v>398</v>
      </c>
      <c r="N1230" t="s">
        <v>405</v>
      </c>
    </row>
    <row r="1231" spans="1:14" hidden="1" x14ac:dyDescent="0.25">
      <c r="A1231" t="s">
        <v>777</v>
      </c>
      <c r="B1231" t="s">
        <v>778</v>
      </c>
      <c r="C1231" t="s">
        <v>400</v>
      </c>
      <c r="D1231" s="3" t="s">
        <v>453</v>
      </c>
      <c r="E1231" s="3" t="s">
        <v>759</v>
      </c>
      <c r="F1231">
        <v>5</v>
      </c>
      <c r="G1231" s="3">
        <f t="shared" si="60"/>
        <v>0.10069444444444442</v>
      </c>
      <c r="H1231" s="3">
        <f t="shared" si="61"/>
        <v>2.0138888888888883E-2</v>
      </c>
      <c r="I1231" s="1">
        <f t="shared" si="59"/>
        <v>29</v>
      </c>
      <c r="J1231" t="s">
        <v>420</v>
      </c>
      <c r="K1231" t="s">
        <v>417</v>
      </c>
      <c r="L1231" t="s">
        <v>114</v>
      </c>
      <c r="M1231" t="s">
        <v>398</v>
      </c>
      <c r="N1231" t="s">
        <v>405</v>
      </c>
    </row>
    <row r="1232" spans="1:14" hidden="1" x14ac:dyDescent="0.25">
      <c r="A1232" t="s">
        <v>779</v>
      </c>
      <c r="B1232" t="s">
        <v>779</v>
      </c>
      <c r="C1232" t="s">
        <v>393</v>
      </c>
      <c r="D1232" s="3" t="s">
        <v>403</v>
      </c>
      <c r="E1232" s="3" t="s">
        <v>402</v>
      </c>
      <c r="F1232">
        <v>15</v>
      </c>
      <c r="G1232" s="3">
        <f t="shared" si="60"/>
        <v>0.14930555555555558</v>
      </c>
      <c r="H1232" s="3">
        <f t="shared" si="61"/>
        <v>9.9537037037037059E-3</v>
      </c>
      <c r="I1232" s="1">
        <f t="shared" si="59"/>
        <v>14</v>
      </c>
      <c r="J1232" t="s">
        <v>432</v>
      </c>
      <c r="K1232" t="s">
        <v>397</v>
      </c>
      <c r="L1232" t="s">
        <v>354</v>
      </c>
      <c r="M1232" t="s">
        <v>398</v>
      </c>
      <c r="N1232" t="s">
        <v>447</v>
      </c>
    </row>
    <row r="1233" spans="1:14" hidden="1" x14ac:dyDescent="0.25">
      <c r="A1233" t="s">
        <v>780</v>
      </c>
      <c r="B1233" t="s">
        <v>781</v>
      </c>
      <c r="C1233" t="s">
        <v>400</v>
      </c>
      <c r="D1233" s="3" t="s">
        <v>453</v>
      </c>
      <c r="E1233" s="3" t="s">
        <v>759</v>
      </c>
      <c r="F1233">
        <v>5</v>
      </c>
      <c r="G1233" s="3">
        <f t="shared" si="60"/>
        <v>0.10069444444444442</v>
      </c>
      <c r="H1233" s="3">
        <f t="shared" si="61"/>
        <v>2.0138888888888883E-2</v>
      </c>
      <c r="I1233" s="1">
        <f t="shared" si="59"/>
        <v>29</v>
      </c>
      <c r="J1233" t="s">
        <v>420</v>
      </c>
      <c r="K1233" t="s">
        <v>417</v>
      </c>
      <c r="L1233" t="s">
        <v>114</v>
      </c>
      <c r="M1233" t="s">
        <v>398</v>
      </c>
      <c r="N1233" t="s">
        <v>405</v>
      </c>
    </row>
    <row r="1234" spans="1:14" hidden="1" x14ac:dyDescent="0.25">
      <c r="A1234" t="s">
        <v>782</v>
      </c>
      <c r="B1234" t="s">
        <v>782</v>
      </c>
      <c r="C1234" t="s">
        <v>393</v>
      </c>
      <c r="D1234" s="3" t="s">
        <v>403</v>
      </c>
      <c r="E1234" s="3" t="s">
        <v>402</v>
      </c>
      <c r="F1234">
        <v>15</v>
      </c>
      <c r="G1234" s="3">
        <f t="shared" si="60"/>
        <v>0.14930555555555558</v>
      </c>
      <c r="H1234" s="3">
        <f t="shared" si="61"/>
        <v>9.9537037037037059E-3</v>
      </c>
      <c r="I1234" s="1">
        <f t="shared" si="59"/>
        <v>14</v>
      </c>
      <c r="J1234" t="s">
        <v>432</v>
      </c>
      <c r="K1234" t="s">
        <v>397</v>
      </c>
      <c r="L1234" t="s">
        <v>354</v>
      </c>
      <c r="M1234" t="s">
        <v>398</v>
      </c>
      <c r="N1234" t="s">
        <v>447</v>
      </c>
    </row>
    <row r="1235" spans="1:14" hidden="1" x14ac:dyDescent="0.25">
      <c r="A1235" t="s">
        <v>783</v>
      </c>
      <c r="B1235" t="s">
        <v>528</v>
      </c>
      <c r="C1235" t="s">
        <v>407</v>
      </c>
      <c r="D1235" s="3" t="s">
        <v>482</v>
      </c>
      <c r="E1235" s="3" t="s">
        <v>784</v>
      </c>
      <c r="F1235">
        <v>10</v>
      </c>
      <c r="G1235" s="3">
        <f t="shared" si="60"/>
        <v>5.555555555555558E-2</v>
      </c>
      <c r="H1235" s="3">
        <f t="shared" si="61"/>
        <v>5.5555555555555584E-3</v>
      </c>
      <c r="I1235" s="1">
        <f t="shared" si="59"/>
        <v>8</v>
      </c>
      <c r="J1235" t="s">
        <v>471</v>
      </c>
      <c r="K1235" t="s">
        <v>483</v>
      </c>
      <c r="L1235" t="s">
        <v>113</v>
      </c>
      <c r="M1235" t="s">
        <v>398</v>
      </c>
      <c r="N1235" t="s">
        <v>465</v>
      </c>
    </row>
    <row r="1236" spans="1:14" hidden="1" x14ac:dyDescent="0.25">
      <c r="A1236" t="s">
        <v>785</v>
      </c>
      <c r="B1236" t="s">
        <v>473</v>
      </c>
      <c r="C1236" t="s">
        <v>407</v>
      </c>
      <c r="D1236" s="3" t="s">
        <v>419</v>
      </c>
      <c r="E1236" s="3" t="s">
        <v>431</v>
      </c>
      <c r="F1236">
        <v>20</v>
      </c>
      <c r="G1236" s="3">
        <f t="shared" si="60"/>
        <v>0.31597222222222221</v>
      </c>
      <c r="H1236" s="3">
        <f t="shared" si="61"/>
        <v>1.579861111111111E-2</v>
      </c>
      <c r="I1236" s="1">
        <f t="shared" si="59"/>
        <v>22</v>
      </c>
      <c r="J1236" t="s">
        <v>499</v>
      </c>
      <c r="K1236" t="s">
        <v>397</v>
      </c>
      <c r="L1236" t="s">
        <v>116</v>
      </c>
      <c r="M1236" t="s">
        <v>398</v>
      </c>
      <c r="N1236" t="s">
        <v>500</v>
      </c>
    </row>
    <row r="1237" spans="1:14" hidden="1" x14ac:dyDescent="0.25">
      <c r="A1237" t="s">
        <v>786</v>
      </c>
      <c r="B1237" t="s">
        <v>690</v>
      </c>
      <c r="C1237" t="s">
        <v>401</v>
      </c>
      <c r="D1237" s="3" t="s">
        <v>505</v>
      </c>
      <c r="E1237" s="3" t="s">
        <v>492</v>
      </c>
      <c r="F1237">
        <v>15</v>
      </c>
      <c r="G1237" s="3">
        <f t="shared" si="60"/>
        <v>0.14930555555555547</v>
      </c>
      <c r="H1237" s="3">
        <f t="shared" si="61"/>
        <v>9.9537037037036973E-3</v>
      </c>
      <c r="I1237" s="1">
        <f t="shared" si="59"/>
        <v>14</v>
      </c>
      <c r="J1237" t="s">
        <v>435</v>
      </c>
      <c r="K1237" t="s">
        <v>417</v>
      </c>
      <c r="L1237" t="s">
        <v>319</v>
      </c>
      <c r="M1237" t="s">
        <v>398</v>
      </c>
      <c r="N1237" t="s">
        <v>500</v>
      </c>
    </row>
    <row r="1238" spans="1:14" hidden="1" x14ac:dyDescent="0.25">
      <c r="A1238" t="s">
        <v>786</v>
      </c>
      <c r="B1238" t="s">
        <v>734</v>
      </c>
      <c r="C1238" t="s">
        <v>401</v>
      </c>
      <c r="D1238" s="3" t="s">
        <v>411</v>
      </c>
      <c r="E1238" s="3" t="s">
        <v>410</v>
      </c>
      <c r="F1238">
        <v>10</v>
      </c>
      <c r="G1238" s="3">
        <f t="shared" si="60"/>
        <v>0.14930555555555558</v>
      </c>
      <c r="H1238" s="3">
        <f t="shared" si="61"/>
        <v>1.4930555555555558E-2</v>
      </c>
      <c r="I1238" s="1">
        <f t="shared" si="59"/>
        <v>21</v>
      </c>
      <c r="J1238" t="s">
        <v>429</v>
      </c>
      <c r="K1238" t="s">
        <v>397</v>
      </c>
      <c r="L1238" t="s">
        <v>103</v>
      </c>
      <c r="M1238" t="s">
        <v>398</v>
      </c>
      <c r="N1238" t="s">
        <v>433</v>
      </c>
    </row>
    <row r="1239" spans="1:14" hidden="1" x14ac:dyDescent="0.25">
      <c r="A1239" t="s">
        <v>787</v>
      </c>
      <c r="B1239" t="s">
        <v>675</v>
      </c>
      <c r="C1239" t="s">
        <v>400</v>
      </c>
      <c r="D1239" s="3" t="s">
        <v>453</v>
      </c>
      <c r="E1239" s="3" t="s">
        <v>431</v>
      </c>
      <c r="F1239">
        <v>15</v>
      </c>
      <c r="G1239" s="3">
        <f t="shared" si="60"/>
        <v>0.10763888888888884</v>
      </c>
      <c r="H1239" s="3">
        <f t="shared" si="61"/>
        <v>7.1759259259259224E-3</v>
      </c>
      <c r="I1239" s="1">
        <f t="shared" si="59"/>
        <v>10</v>
      </c>
      <c r="J1239" t="s">
        <v>474</v>
      </c>
      <c r="K1239" t="s">
        <v>417</v>
      </c>
      <c r="L1239" t="s">
        <v>319</v>
      </c>
      <c r="M1239" t="s">
        <v>398</v>
      </c>
      <c r="N1239" t="s">
        <v>465</v>
      </c>
    </row>
    <row r="1240" spans="1:14" hidden="1" x14ac:dyDescent="0.25">
      <c r="A1240" t="s">
        <v>787</v>
      </c>
      <c r="B1240" t="s">
        <v>473</v>
      </c>
      <c r="C1240" t="s">
        <v>407</v>
      </c>
      <c r="D1240" s="3" t="s">
        <v>419</v>
      </c>
      <c r="E1240" s="3" t="s">
        <v>418</v>
      </c>
      <c r="F1240">
        <v>15</v>
      </c>
      <c r="G1240" s="3">
        <f t="shared" si="60"/>
        <v>0.27430555555555558</v>
      </c>
      <c r="H1240" s="3">
        <f t="shared" si="61"/>
        <v>1.8287037037037039E-2</v>
      </c>
      <c r="I1240" s="1">
        <f t="shared" si="59"/>
        <v>26</v>
      </c>
      <c r="J1240" t="s">
        <v>409</v>
      </c>
      <c r="K1240" t="s">
        <v>397</v>
      </c>
      <c r="L1240" t="s">
        <v>133</v>
      </c>
      <c r="M1240" t="s">
        <v>398</v>
      </c>
      <c r="N1240" t="s">
        <v>500</v>
      </c>
    </row>
    <row r="1241" spans="1:14" hidden="1" x14ac:dyDescent="0.25">
      <c r="A1241" t="s">
        <v>787</v>
      </c>
      <c r="B1241" t="s">
        <v>473</v>
      </c>
      <c r="C1241" t="s">
        <v>407</v>
      </c>
      <c r="D1241" s="3" t="s">
        <v>403</v>
      </c>
      <c r="E1241" s="3" t="s">
        <v>431</v>
      </c>
      <c r="F1241">
        <v>15</v>
      </c>
      <c r="G1241" s="3">
        <f t="shared" si="60"/>
        <v>0.3576388888888889</v>
      </c>
      <c r="H1241" s="3">
        <f t="shared" si="61"/>
        <v>2.3842592592592592E-2</v>
      </c>
      <c r="I1241" s="1">
        <f t="shared" si="59"/>
        <v>34</v>
      </c>
      <c r="J1241" t="s">
        <v>427</v>
      </c>
      <c r="K1241" t="s">
        <v>397</v>
      </c>
      <c r="L1241" t="s">
        <v>130</v>
      </c>
      <c r="M1241" t="s">
        <v>398</v>
      </c>
      <c r="N1241" t="s">
        <v>500</v>
      </c>
    </row>
    <row r="1242" spans="1:14" hidden="1" x14ac:dyDescent="0.25">
      <c r="A1242" t="s">
        <v>787</v>
      </c>
      <c r="B1242" t="s">
        <v>473</v>
      </c>
      <c r="C1242" t="s">
        <v>407</v>
      </c>
      <c r="D1242" s="3" t="s">
        <v>416</v>
      </c>
      <c r="E1242" s="3" t="s">
        <v>494</v>
      </c>
      <c r="F1242">
        <v>20</v>
      </c>
      <c r="G1242" s="3">
        <f t="shared" si="60"/>
        <v>0.19444444444444453</v>
      </c>
      <c r="H1242" s="3">
        <f t="shared" si="61"/>
        <v>9.7222222222222258E-3</v>
      </c>
      <c r="I1242" s="1">
        <f t="shared" si="59"/>
        <v>14</v>
      </c>
      <c r="J1242" t="s">
        <v>435</v>
      </c>
      <c r="K1242" t="s">
        <v>417</v>
      </c>
      <c r="L1242" t="s">
        <v>147</v>
      </c>
      <c r="M1242" t="s">
        <v>398</v>
      </c>
      <c r="N1242" t="s">
        <v>500</v>
      </c>
    </row>
    <row r="1243" spans="1:14" hidden="1" x14ac:dyDescent="0.25">
      <c r="A1243" t="s">
        <v>787</v>
      </c>
      <c r="B1243" t="s">
        <v>473</v>
      </c>
      <c r="C1243" t="s">
        <v>407</v>
      </c>
      <c r="D1243" s="3" t="s">
        <v>416</v>
      </c>
      <c r="E1243" s="3" t="s">
        <v>492</v>
      </c>
      <c r="F1243">
        <v>15</v>
      </c>
      <c r="G1243" s="3">
        <f t="shared" si="60"/>
        <v>0.23263888888888884</v>
      </c>
      <c r="H1243" s="3">
        <f t="shared" si="61"/>
        <v>1.5509259259259256E-2</v>
      </c>
      <c r="I1243" s="1">
        <f t="shared" si="59"/>
        <v>22</v>
      </c>
      <c r="J1243" t="s">
        <v>396</v>
      </c>
      <c r="K1243" t="s">
        <v>417</v>
      </c>
      <c r="L1243" t="s">
        <v>378</v>
      </c>
      <c r="M1243" t="s">
        <v>398</v>
      </c>
      <c r="N1243" t="s">
        <v>500</v>
      </c>
    </row>
    <row r="1244" spans="1:14" hidden="1" x14ac:dyDescent="0.25">
      <c r="A1244" t="s">
        <v>787</v>
      </c>
      <c r="B1244" t="s">
        <v>633</v>
      </c>
      <c r="C1244" t="s">
        <v>406</v>
      </c>
      <c r="D1244" s="3" t="s">
        <v>450</v>
      </c>
      <c r="E1244" s="3" t="s">
        <v>496</v>
      </c>
      <c r="F1244">
        <v>10</v>
      </c>
      <c r="G1244" s="3">
        <f t="shared" si="60"/>
        <v>7.291666666666663E-2</v>
      </c>
      <c r="H1244" s="3">
        <f t="shared" si="61"/>
        <v>7.2916666666666633E-3</v>
      </c>
      <c r="I1244" s="1">
        <f t="shared" si="59"/>
        <v>10</v>
      </c>
      <c r="J1244" t="s">
        <v>432</v>
      </c>
      <c r="K1244" t="s">
        <v>417</v>
      </c>
      <c r="L1244" t="s">
        <v>333</v>
      </c>
      <c r="M1244" t="s">
        <v>398</v>
      </c>
      <c r="N1244" t="s">
        <v>405</v>
      </c>
    </row>
    <row r="1245" spans="1:14" hidden="1" x14ac:dyDescent="0.25">
      <c r="A1245" t="s">
        <v>787</v>
      </c>
      <c r="B1245" t="s">
        <v>576</v>
      </c>
      <c r="C1245" t="s">
        <v>407</v>
      </c>
      <c r="D1245" s="3" t="s">
        <v>403</v>
      </c>
      <c r="E1245" s="3" t="s">
        <v>538</v>
      </c>
      <c r="F1245">
        <v>10</v>
      </c>
      <c r="G1245" s="3">
        <f t="shared" si="60"/>
        <v>0.2013888888888889</v>
      </c>
      <c r="H1245" s="3">
        <f t="shared" si="61"/>
        <v>2.013888888888889E-2</v>
      </c>
      <c r="I1245" s="1">
        <f t="shared" si="59"/>
        <v>29</v>
      </c>
      <c r="J1245" t="s">
        <v>497</v>
      </c>
      <c r="K1245" t="s">
        <v>397</v>
      </c>
      <c r="L1245" t="s">
        <v>110</v>
      </c>
      <c r="M1245" t="s">
        <v>398</v>
      </c>
      <c r="N1245" t="s">
        <v>447</v>
      </c>
    </row>
    <row r="1246" spans="1:14" hidden="1" x14ac:dyDescent="0.25">
      <c r="A1246" t="s">
        <v>788</v>
      </c>
      <c r="B1246" t="s">
        <v>597</v>
      </c>
      <c r="C1246" t="s">
        <v>393</v>
      </c>
      <c r="D1246" s="3" t="s">
        <v>479</v>
      </c>
      <c r="E1246" s="3" t="s">
        <v>707</v>
      </c>
      <c r="F1246">
        <v>30</v>
      </c>
      <c r="G1246" s="3">
        <f t="shared" si="60"/>
        <v>0.10763888888888884</v>
      </c>
      <c r="H1246" s="3">
        <f t="shared" si="61"/>
        <v>3.5879629629629612E-3</v>
      </c>
      <c r="I1246" s="1">
        <f t="shared" si="59"/>
        <v>5</v>
      </c>
      <c r="J1246" t="s">
        <v>474</v>
      </c>
      <c r="K1246" t="s">
        <v>417</v>
      </c>
      <c r="L1246" t="s">
        <v>142</v>
      </c>
      <c r="M1246" t="s">
        <v>398</v>
      </c>
      <c r="N1246" t="s">
        <v>465</v>
      </c>
    </row>
    <row r="1247" spans="1:14" hidden="1" x14ac:dyDescent="0.25">
      <c r="A1247" t="s">
        <v>788</v>
      </c>
      <c r="B1247" t="s">
        <v>473</v>
      </c>
      <c r="C1247" t="s">
        <v>407</v>
      </c>
      <c r="D1247" s="3" t="s">
        <v>411</v>
      </c>
      <c r="E1247" s="3" t="s">
        <v>410</v>
      </c>
      <c r="F1247">
        <v>15</v>
      </c>
      <c r="G1247" s="3">
        <f t="shared" si="60"/>
        <v>0.14930555555555558</v>
      </c>
      <c r="H1247" s="3">
        <f t="shared" si="61"/>
        <v>9.9537037037037059E-3</v>
      </c>
      <c r="I1247" s="1">
        <f t="shared" si="59"/>
        <v>14</v>
      </c>
      <c r="J1247" t="s">
        <v>404</v>
      </c>
      <c r="K1247" t="s">
        <v>397</v>
      </c>
      <c r="L1247" t="s">
        <v>126</v>
      </c>
      <c r="M1247" t="s">
        <v>398</v>
      </c>
      <c r="N1247" t="s">
        <v>500</v>
      </c>
    </row>
    <row r="1248" spans="1:14" hidden="1" x14ac:dyDescent="0.25">
      <c r="A1248" t="s">
        <v>788</v>
      </c>
      <c r="B1248" t="s">
        <v>523</v>
      </c>
      <c r="C1248" t="s">
        <v>393</v>
      </c>
      <c r="D1248" s="3" t="s">
        <v>403</v>
      </c>
      <c r="E1248" s="3" t="s">
        <v>410</v>
      </c>
      <c r="F1248">
        <v>10</v>
      </c>
      <c r="G1248" s="3">
        <f t="shared" si="60"/>
        <v>0.10763888888888895</v>
      </c>
      <c r="H1248" s="3">
        <f t="shared" si="61"/>
        <v>1.0763888888888896E-2</v>
      </c>
      <c r="I1248" s="1">
        <f t="shared" si="59"/>
        <v>15</v>
      </c>
      <c r="J1248" t="s">
        <v>455</v>
      </c>
      <c r="K1248" t="s">
        <v>397</v>
      </c>
      <c r="L1248" t="s">
        <v>92</v>
      </c>
      <c r="M1248" t="s">
        <v>398</v>
      </c>
      <c r="N1248" t="s">
        <v>500</v>
      </c>
    </row>
    <row r="1249" spans="1:14" hidden="1" x14ac:dyDescent="0.25">
      <c r="A1249" t="s">
        <v>788</v>
      </c>
      <c r="B1249" t="s">
        <v>523</v>
      </c>
      <c r="C1249" t="s">
        <v>393</v>
      </c>
      <c r="D1249" s="3" t="s">
        <v>403</v>
      </c>
      <c r="E1249" s="3" t="s">
        <v>402</v>
      </c>
      <c r="F1249">
        <v>10</v>
      </c>
      <c r="G1249" s="3">
        <f t="shared" si="60"/>
        <v>0.14930555555555558</v>
      </c>
      <c r="H1249" s="3">
        <f t="shared" si="61"/>
        <v>1.4930555555555558E-2</v>
      </c>
      <c r="I1249" s="1">
        <f t="shared" si="59"/>
        <v>21</v>
      </c>
      <c r="J1249" t="s">
        <v>427</v>
      </c>
      <c r="K1249" t="s">
        <v>397</v>
      </c>
      <c r="L1249" t="s">
        <v>124</v>
      </c>
      <c r="M1249" t="s">
        <v>398</v>
      </c>
      <c r="N1249" t="s">
        <v>500</v>
      </c>
    </row>
    <row r="1250" spans="1:14" hidden="1" x14ac:dyDescent="0.25">
      <c r="A1250" t="s">
        <v>788</v>
      </c>
      <c r="B1250" t="s">
        <v>523</v>
      </c>
      <c r="C1250" t="s">
        <v>393</v>
      </c>
      <c r="D1250" s="3" t="s">
        <v>416</v>
      </c>
      <c r="E1250" s="3" t="s">
        <v>498</v>
      </c>
      <c r="F1250">
        <v>15</v>
      </c>
      <c r="G1250" s="3">
        <f t="shared" si="60"/>
        <v>0.14583333333333337</v>
      </c>
      <c r="H1250" s="3">
        <f t="shared" si="61"/>
        <v>9.7222222222222241E-3</v>
      </c>
      <c r="I1250" s="1">
        <f t="shared" si="59"/>
        <v>14</v>
      </c>
      <c r="J1250" t="s">
        <v>427</v>
      </c>
      <c r="K1250" t="s">
        <v>417</v>
      </c>
      <c r="L1250" t="s">
        <v>117</v>
      </c>
      <c r="M1250" t="s">
        <v>398</v>
      </c>
      <c r="N1250" t="s">
        <v>500</v>
      </c>
    </row>
    <row r="1251" spans="1:14" hidden="1" x14ac:dyDescent="0.25">
      <c r="A1251" t="s">
        <v>788</v>
      </c>
      <c r="B1251" t="s">
        <v>523</v>
      </c>
      <c r="C1251" t="s">
        <v>393</v>
      </c>
      <c r="D1251" s="3" t="s">
        <v>416</v>
      </c>
      <c r="E1251" s="3" t="s">
        <v>428</v>
      </c>
      <c r="F1251">
        <v>15</v>
      </c>
      <c r="G1251" s="3">
        <f t="shared" si="60"/>
        <v>0.19097222222222221</v>
      </c>
      <c r="H1251" s="3">
        <f t="shared" si="61"/>
        <v>1.2731481481481481E-2</v>
      </c>
      <c r="I1251" s="1">
        <f t="shared" si="59"/>
        <v>18</v>
      </c>
      <c r="J1251" t="s">
        <v>435</v>
      </c>
      <c r="K1251" t="s">
        <v>417</v>
      </c>
      <c r="L1251" t="s">
        <v>93</v>
      </c>
      <c r="M1251" t="s">
        <v>398</v>
      </c>
      <c r="N1251" t="s">
        <v>500</v>
      </c>
    </row>
    <row r="1252" spans="1:14" hidden="1" x14ac:dyDescent="0.25">
      <c r="A1252" t="s">
        <v>788</v>
      </c>
      <c r="B1252" t="s">
        <v>528</v>
      </c>
      <c r="C1252" t="s">
        <v>407</v>
      </c>
      <c r="D1252" s="3" t="s">
        <v>789</v>
      </c>
      <c r="E1252" s="3" t="s">
        <v>472</v>
      </c>
      <c r="F1252">
        <v>15</v>
      </c>
      <c r="G1252" s="3">
        <f t="shared" si="60"/>
        <v>4.513888888888884E-2</v>
      </c>
      <c r="H1252" s="3">
        <f t="shared" si="61"/>
        <v>3.0092592592592558E-3</v>
      </c>
      <c r="I1252" s="1">
        <f t="shared" si="59"/>
        <v>4</v>
      </c>
      <c r="J1252" t="s">
        <v>471</v>
      </c>
      <c r="K1252" t="s">
        <v>483</v>
      </c>
      <c r="L1252" t="s">
        <v>113</v>
      </c>
      <c r="M1252" t="s">
        <v>398</v>
      </c>
      <c r="N1252" t="s">
        <v>465</v>
      </c>
    </row>
    <row r="1253" spans="1:14" hidden="1" x14ac:dyDescent="0.25">
      <c r="A1253" t="s">
        <v>788</v>
      </c>
      <c r="B1253" t="s">
        <v>591</v>
      </c>
      <c r="C1253" t="s">
        <v>407</v>
      </c>
      <c r="D1253" s="3" t="s">
        <v>403</v>
      </c>
      <c r="E1253" s="3" t="s">
        <v>572</v>
      </c>
      <c r="F1253">
        <v>10</v>
      </c>
      <c r="G1253" s="3">
        <f t="shared" si="60"/>
        <v>6.5972222222222265E-2</v>
      </c>
      <c r="H1253" s="3">
        <f t="shared" si="61"/>
        <v>6.5972222222222265E-3</v>
      </c>
      <c r="I1253" s="1">
        <f t="shared" si="59"/>
        <v>9</v>
      </c>
      <c r="J1253" t="s">
        <v>429</v>
      </c>
      <c r="K1253" t="s">
        <v>397</v>
      </c>
      <c r="L1253" t="s">
        <v>136</v>
      </c>
      <c r="M1253" t="s">
        <v>398</v>
      </c>
      <c r="N1253" t="s">
        <v>500</v>
      </c>
    </row>
    <row r="1254" spans="1:14" hidden="1" x14ac:dyDescent="0.25">
      <c r="A1254" t="s">
        <v>790</v>
      </c>
      <c r="C1254" t="s">
        <v>406</v>
      </c>
      <c r="D1254" s="3" t="s">
        <v>416</v>
      </c>
      <c r="E1254" s="3" t="s">
        <v>428</v>
      </c>
      <c r="F1254">
        <v>15</v>
      </c>
      <c r="G1254" s="3">
        <f t="shared" si="60"/>
        <v>0.19097222222222221</v>
      </c>
      <c r="H1254" s="3">
        <f t="shared" si="61"/>
        <v>1.2731481481481481E-2</v>
      </c>
      <c r="I1254" s="1">
        <f t="shared" si="59"/>
        <v>18</v>
      </c>
      <c r="J1254" t="s">
        <v>435</v>
      </c>
      <c r="K1254" t="s">
        <v>417</v>
      </c>
      <c r="L1254" t="s">
        <v>121</v>
      </c>
      <c r="M1254" t="s">
        <v>398</v>
      </c>
      <c r="N1254" t="s">
        <v>399</v>
      </c>
    </row>
    <row r="1255" spans="1:14" hidden="1" x14ac:dyDescent="0.25">
      <c r="A1255" t="s">
        <v>790</v>
      </c>
      <c r="B1255" t="s">
        <v>573</v>
      </c>
      <c r="C1255" t="s">
        <v>406</v>
      </c>
      <c r="D1255" s="3" t="s">
        <v>416</v>
      </c>
      <c r="E1255" s="3" t="s">
        <v>431</v>
      </c>
      <c r="F1255">
        <v>15</v>
      </c>
      <c r="G1255" s="3">
        <f t="shared" si="60"/>
        <v>0.14930555555555558</v>
      </c>
      <c r="H1255" s="3">
        <f t="shared" si="61"/>
        <v>9.9537037037037059E-3</v>
      </c>
      <c r="I1255" s="1">
        <f t="shared" si="59"/>
        <v>14</v>
      </c>
      <c r="J1255" t="s">
        <v>404</v>
      </c>
      <c r="K1255" t="s">
        <v>417</v>
      </c>
      <c r="L1255" t="s">
        <v>318</v>
      </c>
      <c r="M1255" t="s">
        <v>398</v>
      </c>
      <c r="N1255" t="s">
        <v>399</v>
      </c>
    </row>
    <row r="1256" spans="1:14" hidden="1" x14ac:dyDescent="0.25">
      <c r="A1256" t="s">
        <v>791</v>
      </c>
      <c r="B1256" t="s">
        <v>685</v>
      </c>
      <c r="C1256" t="s">
        <v>400</v>
      </c>
      <c r="D1256" s="3" t="s">
        <v>453</v>
      </c>
      <c r="E1256" s="3" t="s">
        <v>431</v>
      </c>
      <c r="F1256">
        <v>15</v>
      </c>
      <c r="G1256" s="3">
        <f t="shared" si="60"/>
        <v>0.10763888888888884</v>
      </c>
      <c r="H1256" s="3">
        <f t="shared" si="61"/>
        <v>7.1759259259259224E-3</v>
      </c>
      <c r="I1256" s="1">
        <f t="shared" si="59"/>
        <v>10</v>
      </c>
      <c r="J1256" t="s">
        <v>435</v>
      </c>
      <c r="K1256" t="s">
        <v>417</v>
      </c>
      <c r="L1256" t="s">
        <v>319</v>
      </c>
      <c r="M1256" t="s">
        <v>398</v>
      </c>
      <c r="N1256" t="s">
        <v>500</v>
      </c>
    </row>
    <row r="1257" spans="1:14" hidden="1" x14ac:dyDescent="0.25">
      <c r="A1257" t="s">
        <v>791</v>
      </c>
      <c r="B1257" t="s">
        <v>758</v>
      </c>
      <c r="C1257" t="s">
        <v>400</v>
      </c>
      <c r="D1257" s="3" t="s">
        <v>403</v>
      </c>
      <c r="E1257" s="3" t="s">
        <v>441</v>
      </c>
      <c r="F1257">
        <v>5</v>
      </c>
      <c r="G1257" s="3">
        <f t="shared" si="60"/>
        <v>0.41319444444444448</v>
      </c>
      <c r="H1257" s="3">
        <f t="shared" si="61"/>
        <v>8.2638888888888901E-2</v>
      </c>
      <c r="I1257" s="1">
        <f t="shared" si="59"/>
        <v>59</v>
      </c>
      <c r="J1257" t="s">
        <v>432</v>
      </c>
      <c r="K1257" t="s">
        <v>397</v>
      </c>
      <c r="L1257" t="s">
        <v>367</v>
      </c>
      <c r="M1257" t="s">
        <v>398</v>
      </c>
      <c r="N1257" t="s">
        <v>447</v>
      </c>
    </row>
  </sheetData>
  <autoFilter ref="A1:N1257" xr:uid="{9A843DE8-6107-4A05-A197-5C056908E525}">
    <filterColumn colId="2">
      <filters>
        <filter val="Seg"/>
      </filters>
    </filterColumn>
    <filterColumn colId="11">
      <filters>
        <filter val="Adrian Andres Jara Benitez"/>
      </filters>
    </filterColumn>
    <filterColumn colId="12">
      <filters>
        <filter val="Fixa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97DC2-CDD7-40BF-A283-43BE083575AF}">
  <sheetPr codeName="Planilha2"/>
  <dimension ref="A1:H6906"/>
  <sheetViews>
    <sheetView workbookViewId="0">
      <selection activeCell="B7" sqref="B7"/>
    </sheetView>
  </sheetViews>
  <sheetFormatPr defaultRowHeight="15" x14ac:dyDescent="0.25"/>
  <cols>
    <col min="1" max="1" width="10.7109375" bestFit="1" customWidth="1"/>
    <col min="2" max="2" width="24.42578125" bestFit="1" customWidth="1"/>
    <col min="3" max="3" width="16.5703125" bestFit="1" customWidth="1"/>
    <col min="4" max="4" width="45.7109375" bestFit="1" customWidth="1"/>
    <col min="5" max="5" width="19.5703125" bestFit="1" customWidth="1"/>
    <col min="6" max="6" width="10.140625" bestFit="1" customWidth="1"/>
    <col min="7" max="7" width="14.140625" bestFit="1" customWidth="1"/>
    <col min="8" max="8" width="8.42578125" bestFit="1" customWidth="1"/>
  </cols>
  <sheetData>
    <row r="1" spans="1:8" x14ac:dyDescent="0.25">
      <c r="A1" t="s">
        <v>0</v>
      </c>
      <c r="B1" t="s">
        <v>164</v>
      </c>
      <c r="C1" t="s">
        <v>2</v>
      </c>
      <c r="D1" t="s">
        <v>165</v>
      </c>
      <c r="E1" t="s">
        <v>3</v>
      </c>
      <c r="F1" t="s">
        <v>1</v>
      </c>
      <c r="G1" t="s">
        <v>289</v>
      </c>
      <c r="H1" t="s">
        <v>162</v>
      </c>
    </row>
    <row r="2" spans="1:8" x14ac:dyDescent="0.25">
      <c r="A2" s="2">
        <v>44656</v>
      </c>
      <c r="B2" s="1"/>
      <c r="C2">
        <v>266</v>
      </c>
      <c r="D2" s="1" t="s">
        <v>201</v>
      </c>
      <c r="E2" s="1" t="s">
        <v>4</v>
      </c>
      <c r="F2">
        <v>42</v>
      </c>
      <c r="G2" s="1" t="str">
        <f>Ocupacao_DW[[#This Row],[data]]&amp;Ocupacao_DW[[#This Row],[profissional_id]]&amp;Ocupacao_DW[[#This Row],[local_id]]</f>
        <v>4465626642</v>
      </c>
      <c r="H2" s="1">
        <f>_xlfn.XLOOKUP(Ocupacao_DW[[#This Row],[Concat]],Vagas!$H:$H,Vagas!$D:$D,"",0)</f>
        <v>0</v>
      </c>
    </row>
    <row r="3" spans="1:8" x14ac:dyDescent="0.25">
      <c r="A3" s="2">
        <v>44639</v>
      </c>
      <c r="B3" s="1"/>
      <c r="C3">
        <v>4887</v>
      </c>
      <c r="D3" s="1" t="s">
        <v>168</v>
      </c>
      <c r="E3" s="1" t="s">
        <v>5</v>
      </c>
      <c r="F3">
        <v>18</v>
      </c>
      <c r="G3" s="1" t="str">
        <f>Ocupacao_DW[[#This Row],[data]]&amp;Ocupacao_DW[[#This Row],[profissional_id]]&amp;Ocupacao_DW[[#This Row],[local_id]]</f>
        <v>44639488718</v>
      </c>
      <c r="H3" s="1">
        <f>_xlfn.XLOOKUP(Ocupacao_DW[[#This Row],[Concat]],Vagas!$H:$H,Vagas!$D:$D,"",0)</f>
        <v>0</v>
      </c>
    </row>
    <row r="4" spans="1:8" x14ac:dyDescent="0.25">
      <c r="A4" s="2">
        <v>44636</v>
      </c>
      <c r="B4" s="1"/>
      <c r="C4">
        <v>1490</v>
      </c>
      <c r="D4" s="1" t="s">
        <v>174</v>
      </c>
      <c r="E4" s="1" t="s">
        <v>5</v>
      </c>
      <c r="F4">
        <v>13</v>
      </c>
      <c r="G4" s="1" t="str">
        <f>Ocupacao_DW[[#This Row],[data]]&amp;Ocupacao_DW[[#This Row],[profissional_id]]&amp;Ocupacao_DW[[#This Row],[local_id]]</f>
        <v>44636149013</v>
      </c>
      <c r="H4" s="1">
        <f>_xlfn.XLOOKUP(Ocupacao_DW[[#This Row],[Concat]],Vagas!$H:$H,Vagas!$D:$D,"",0)</f>
        <v>0</v>
      </c>
    </row>
    <row r="5" spans="1:8" x14ac:dyDescent="0.25">
      <c r="A5" s="2">
        <v>44651</v>
      </c>
      <c r="B5" s="1"/>
      <c r="C5">
        <v>1490</v>
      </c>
      <c r="D5" s="1" t="s">
        <v>174</v>
      </c>
      <c r="E5" s="1" t="s">
        <v>167</v>
      </c>
      <c r="F5">
        <v>344</v>
      </c>
      <c r="G5" s="1" t="str">
        <f>Ocupacao_DW[[#This Row],[data]]&amp;Ocupacao_DW[[#This Row],[profissional_id]]&amp;Ocupacao_DW[[#This Row],[local_id]]</f>
        <v>446511490344</v>
      </c>
      <c r="H5" s="1">
        <f>_xlfn.XLOOKUP(Ocupacao_DW[[#This Row],[Concat]],Vagas!$H:$H,Vagas!$D:$D,"",0)</f>
        <v>0</v>
      </c>
    </row>
    <row r="6" spans="1:8" x14ac:dyDescent="0.25">
      <c r="A6" s="2">
        <v>44638</v>
      </c>
      <c r="B6" s="1"/>
      <c r="C6">
        <v>2984</v>
      </c>
      <c r="D6" s="1" t="s">
        <v>185</v>
      </c>
      <c r="E6" s="1" t="s">
        <v>6</v>
      </c>
      <c r="F6">
        <v>7</v>
      </c>
      <c r="G6" s="1" t="str">
        <f>Ocupacao_DW[[#This Row],[data]]&amp;Ocupacao_DW[[#This Row],[profissional_id]]&amp;Ocupacao_DW[[#This Row],[local_id]]</f>
        <v>4463829847</v>
      </c>
      <c r="H6" s="1">
        <f>_xlfn.XLOOKUP(Ocupacao_DW[[#This Row],[Concat]],Vagas!$H:$H,Vagas!$D:$D,"",0)</f>
        <v>0</v>
      </c>
    </row>
    <row r="7" spans="1:8" x14ac:dyDescent="0.25">
      <c r="A7" s="2">
        <v>44655</v>
      </c>
      <c r="B7" s="1"/>
      <c r="C7">
        <v>81</v>
      </c>
      <c r="D7" s="1" t="s">
        <v>170</v>
      </c>
      <c r="E7" s="1" t="s">
        <v>4</v>
      </c>
      <c r="F7">
        <v>41</v>
      </c>
      <c r="G7" s="1" t="str">
        <f>Ocupacao_DW[[#This Row],[data]]&amp;Ocupacao_DW[[#This Row],[profissional_id]]&amp;Ocupacao_DW[[#This Row],[local_id]]</f>
        <v>446558141</v>
      </c>
      <c r="H7" s="1">
        <f>_xlfn.XLOOKUP(Ocupacao_DW[[#This Row],[Concat]],Vagas!$H:$H,Vagas!$D:$D,"",0)</f>
        <v>0</v>
      </c>
    </row>
    <row r="8" spans="1:8" x14ac:dyDescent="0.25">
      <c r="A8" s="2">
        <v>44644</v>
      </c>
      <c r="B8" s="1"/>
      <c r="C8">
        <v>8598</v>
      </c>
      <c r="D8" s="1" t="s">
        <v>228</v>
      </c>
      <c r="E8" s="1"/>
      <c r="F8">
        <v>0</v>
      </c>
      <c r="G8" s="1" t="str">
        <f>Ocupacao_DW[[#This Row],[data]]&amp;Ocupacao_DW[[#This Row],[profissional_id]]&amp;Ocupacao_DW[[#This Row],[local_id]]</f>
        <v>4464485980</v>
      </c>
      <c r="H8" s="1" t="str">
        <f>_xlfn.XLOOKUP(Ocupacao_DW[[#This Row],[Concat]],Vagas!$H:$H,Vagas!$D:$D,"",0)</f>
        <v/>
      </c>
    </row>
    <row r="9" spans="1:8" x14ac:dyDescent="0.25">
      <c r="A9" s="2">
        <v>44644</v>
      </c>
      <c r="B9" s="1" t="s">
        <v>70</v>
      </c>
      <c r="C9">
        <v>12519</v>
      </c>
      <c r="D9" s="1" t="s">
        <v>176</v>
      </c>
      <c r="E9" s="1" t="s">
        <v>4</v>
      </c>
      <c r="F9">
        <v>42</v>
      </c>
      <c r="G9" s="1" t="str">
        <f>Ocupacao_DW[[#This Row],[data]]&amp;Ocupacao_DW[[#This Row],[profissional_id]]&amp;Ocupacao_DW[[#This Row],[local_id]]</f>
        <v>446441251942</v>
      </c>
      <c r="H9" s="1">
        <f>_xlfn.XLOOKUP(Ocupacao_DW[[#This Row],[Concat]],Vagas!$H:$H,Vagas!$D:$D,"",0)</f>
        <v>0</v>
      </c>
    </row>
    <row r="10" spans="1:8" x14ac:dyDescent="0.25">
      <c r="A10" s="2">
        <v>44637</v>
      </c>
      <c r="B10" s="1"/>
      <c r="C10">
        <v>1490</v>
      </c>
      <c r="D10" s="1" t="s">
        <v>174</v>
      </c>
      <c r="E10" s="1" t="s">
        <v>5</v>
      </c>
      <c r="F10">
        <v>12</v>
      </c>
      <c r="G10" s="1" t="str">
        <f>Ocupacao_DW[[#This Row],[data]]&amp;Ocupacao_DW[[#This Row],[profissional_id]]&amp;Ocupacao_DW[[#This Row],[local_id]]</f>
        <v>44637149012</v>
      </c>
      <c r="H10" s="1">
        <f>_xlfn.XLOOKUP(Ocupacao_DW[[#This Row],[Concat]],Vagas!$H:$H,Vagas!$D:$D,"",0)</f>
        <v>0</v>
      </c>
    </row>
    <row r="11" spans="1:8" x14ac:dyDescent="0.25">
      <c r="A11" s="2">
        <v>44643</v>
      </c>
      <c r="B11" s="1"/>
      <c r="C11">
        <v>1490</v>
      </c>
      <c r="D11" s="1" t="s">
        <v>174</v>
      </c>
      <c r="E11" s="1" t="s">
        <v>5</v>
      </c>
      <c r="F11">
        <v>13</v>
      </c>
      <c r="G11" s="1" t="str">
        <f>Ocupacao_DW[[#This Row],[data]]&amp;Ocupacao_DW[[#This Row],[profissional_id]]&amp;Ocupacao_DW[[#This Row],[local_id]]</f>
        <v>44643149013</v>
      </c>
      <c r="H11" s="1">
        <f>_xlfn.XLOOKUP(Ocupacao_DW[[#This Row],[Concat]],Vagas!$H:$H,Vagas!$D:$D,"",0)</f>
        <v>0</v>
      </c>
    </row>
    <row r="12" spans="1:8" x14ac:dyDescent="0.25">
      <c r="A12" s="2">
        <v>44657</v>
      </c>
      <c r="B12" s="1"/>
      <c r="C12">
        <v>110</v>
      </c>
      <c r="D12" s="1" t="s">
        <v>193</v>
      </c>
      <c r="E12" s="1" t="s">
        <v>4</v>
      </c>
      <c r="F12">
        <v>334</v>
      </c>
      <c r="G12" s="1" t="str">
        <f>Ocupacao_DW[[#This Row],[data]]&amp;Ocupacao_DW[[#This Row],[profissional_id]]&amp;Ocupacao_DW[[#This Row],[local_id]]</f>
        <v>44657110334</v>
      </c>
      <c r="H12" s="1">
        <f>_xlfn.XLOOKUP(Ocupacao_DW[[#This Row],[Concat]],Vagas!$H:$H,Vagas!$D:$D,"",0)</f>
        <v>0</v>
      </c>
    </row>
    <row r="13" spans="1:8" x14ac:dyDescent="0.25">
      <c r="A13" s="2">
        <v>44653</v>
      </c>
      <c r="B13" s="1"/>
      <c r="C13">
        <v>70</v>
      </c>
      <c r="D13" s="1" t="s">
        <v>187</v>
      </c>
      <c r="E13" s="1" t="s">
        <v>5</v>
      </c>
      <c r="F13">
        <v>13</v>
      </c>
      <c r="G13" s="1" t="str">
        <f>Ocupacao_DW[[#This Row],[data]]&amp;Ocupacao_DW[[#This Row],[profissional_id]]&amp;Ocupacao_DW[[#This Row],[local_id]]</f>
        <v>446537013</v>
      </c>
      <c r="H13" s="1">
        <f>_xlfn.XLOOKUP(Ocupacao_DW[[#This Row],[Concat]],Vagas!$H:$H,Vagas!$D:$D,"",0)</f>
        <v>0</v>
      </c>
    </row>
    <row r="14" spans="1:8" x14ac:dyDescent="0.25">
      <c r="A14" s="2">
        <v>44644</v>
      </c>
      <c r="B14" s="1"/>
      <c r="C14">
        <v>1490</v>
      </c>
      <c r="D14" s="1" t="s">
        <v>174</v>
      </c>
      <c r="E14" s="1" t="s">
        <v>167</v>
      </c>
      <c r="F14">
        <v>344</v>
      </c>
      <c r="G14" s="1" t="str">
        <f>Ocupacao_DW[[#This Row],[data]]&amp;Ocupacao_DW[[#This Row],[profissional_id]]&amp;Ocupacao_DW[[#This Row],[local_id]]</f>
        <v>446441490344</v>
      </c>
      <c r="H14" s="1">
        <f>_xlfn.XLOOKUP(Ocupacao_DW[[#This Row],[Concat]],Vagas!$H:$H,Vagas!$D:$D,"",0)</f>
        <v>0</v>
      </c>
    </row>
    <row r="15" spans="1:8" x14ac:dyDescent="0.25">
      <c r="A15" s="2">
        <v>44639</v>
      </c>
      <c r="B15" s="1"/>
      <c r="C15">
        <v>4887</v>
      </c>
      <c r="D15" s="1" t="s">
        <v>168</v>
      </c>
      <c r="E15" s="1" t="s">
        <v>5</v>
      </c>
      <c r="F15">
        <v>18</v>
      </c>
      <c r="G15" s="1" t="str">
        <f>Ocupacao_DW[[#This Row],[data]]&amp;Ocupacao_DW[[#This Row],[profissional_id]]&amp;Ocupacao_DW[[#This Row],[local_id]]</f>
        <v>44639488718</v>
      </c>
      <c r="H15" s="1">
        <f>_xlfn.XLOOKUP(Ocupacao_DW[[#This Row],[Concat]],Vagas!$H:$H,Vagas!$D:$D,"",0)</f>
        <v>0</v>
      </c>
    </row>
    <row r="16" spans="1:8" x14ac:dyDescent="0.25">
      <c r="A16" s="2">
        <v>44635</v>
      </c>
      <c r="B16" s="1"/>
      <c r="C16">
        <v>12825</v>
      </c>
      <c r="D16" s="1" t="s">
        <v>177</v>
      </c>
      <c r="E16" s="1" t="s">
        <v>7</v>
      </c>
      <c r="F16">
        <v>63</v>
      </c>
      <c r="G16" s="1" t="str">
        <f>Ocupacao_DW[[#This Row],[data]]&amp;Ocupacao_DW[[#This Row],[profissional_id]]&amp;Ocupacao_DW[[#This Row],[local_id]]</f>
        <v>446351282563</v>
      </c>
      <c r="H16" s="1">
        <f>_xlfn.XLOOKUP(Ocupacao_DW[[#This Row],[Concat]],Vagas!$H:$H,Vagas!$D:$D,"",0)</f>
        <v>0</v>
      </c>
    </row>
    <row r="17" spans="1:8" x14ac:dyDescent="0.25">
      <c r="A17" s="2">
        <v>44641</v>
      </c>
      <c r="B17" s="1"/>
      <c r="C17">
        <v>6392</v>
      </c>
      <c r="D17" s="1" t="s">
        <v>173</v>
      </c>
      <c r="E17" s="1" t="s">
        <v>6</v>
      </c>
      <c r="F17">
        <v>5</v>
      </c>
      <c r="G17" s="1" t="str">
        <f>Ocupacao_DW[[#This Row],[data]]&amp;Ocupacao_DW[[#This Row],[profissional_id]]&amp;Ocupacao_DW[[#This Row],[local_id]]</f>
        <v>4464163925</v>
      </c>
      <c r="H17" s="1">
        <f>_xlfn.XLOOKUP(Ocupacao_DW[[#This Row],[Concat]],Vagas!$H:$H,Vagas!$D:$D,"",0)</f>
        <v>0</v>
      </c>
    </row>
    <row r="18" spans="1:8" x14ac:dyDescent="0.25">
      <c r="A18" s="2">
        <v>44636</v>
      </c>
      <c r="B18" s="1"/>
      <c r="C18">
        <v>74</v>
      </c>
      <c r="D18" s="1" t="s">
        <v>182</v>
      </c>
      <c r="E18" s="1" t="s">
        <v>6</v>
      </c>
      <c r="F18">
        <v>7</v>
      </c>
      <c r="G18" s="1" t="str">
        <f>Ocupacao_DW[[#This Row],[data]]&amp;Ocupacao_DW[[#This Row],[profissional_id]]&amp;Ocupacao_DW[[#This Row],[local_id]]</f>
        <v>44636747</v>
      </c>
      <c r="H18" s="1">
        <f>_xlfn.XLOOKUP(Ocupacao_DW[[#This Row],[Concat]],Vagas!$H:$H,Vagas!$D:$D,"",0)</f>
        <v>0</v>
      </c>
    </row>
    <row r="19" spans="1:8" x14ac:dyDescent="0.25">
      <c r="A19" s="2">
        <v>44651</v>
      </c>
      <c r="B19" s="1"/>
      <c r="C19">
        <v>1490</v>
      </c>
      <c r="D19" s="1" t="s">
        <v>174</v>
      </c>
      <c r="E19" s="1" t="s">
        <v>167</v>
      </c>
      <c r="F19">
        <v>344</v>
      </c>
      <c r="G19" s="1" t="str">
        <f>Ocupacao_DW[[#This Row],[data]]&amp;Ocupacao_DW[[#This Row],[profissional_id]]&amp;Ocupacao_DW[[#This Row],[local_id]]</f>
        <v>446511490344</v>
      </c>
      <c r="H19" s="1">
        <f>_xlfn.XLOOKUP(Ocupacao_DW[[#This Row],[Concat]],Vagas!$H:$H,Vagas!$D:$D,"",0)</f>
        <v>0</v>
      </c>
    </row>
    <row r="20" spans="1:8" x14ac:dyDescent="0.25">
      <c r="A20" s="2">
        <v>44643</v>
      </c>
      <c r="B20" s="1"/>
      <c r="C20">
        <v>67</v>
      </c>
      <c r="D20" s="1" t="s">
        <v>172</v>
      </c>
      <c r="E20" s="1" t="s">
        <v>6</v>
      </c>
      <c r="F20">
        <v>8</v>
      </c>
      <c r="G20" s="1" t="str">
        <f>Ocupacao_DW[[#This Row],[data]]&amp;Ocupacao_DW[[#This Row],[profissional_id]]&amp;Ocupacao_DW[[#This Row],[local_id]]</f>
        <v>44643678</v>
      </c>
      <c r="H20" s="1">
        <f>_xlfn.XLOOKUP(Ocupacao_DW[[#This Row],[Concat]],Vagas!$H:$H,Vagas!$D:$D,"",0)</f>
        <v>0</v>
      </c>
    </row>
    <row r="21" spans="1:8" x14ac:dyDescent="0.25">
      <c r="A21" s="2">
        <v>44643</v>
      </c>
      <c r="B21" s="1" t="s">
        <v>70</v>
      </c>
      <c r="C21">
        <v>12519</v>
      </c>
      <c r="D21" s="1" t="s">
        <v>176</v>
      </c>
      <c r="E21" s="1" t="s">
        <v>4</v>
      </c>
      <c r="F21">
        <v>48</v>
      </c>
      <c r="G21" s="1" t="str">
        <f>Ocupacao_DW[[#This Row],[data]]&amp;Ocupacao_DW[[#This Row],[profissional_id]]&amp;Ocupacao_DW[[#This Row],[local_id]]</f>
        <v>446431251948</v>
      </c>
      <c r="H21" s="1">
        <f>_xlfn.XLOOKUP(Ocupacao_DW[[#This Row],[Concat]],Vagas!$H:$H,Vagas!$D:$D,"",0)</f>
        <v>0</v>
      </c>
    </row>
    <row r="22" spans="1:8" x14ac:dyDescent="0.25">
      <c r="A22" s="2">
        <v>44644</v>
      </c>
      <c r="B22" s="1"/>
      <c r="C22">
        <v>1490</v>
      </c>
      <c r="D22" s="1" t="s">
        <v>174</v>
      </c>
      <c r="E22" s="1" t="s">
        <v>167</v>
      </c>
      <c r="F22">
        <v>344</v>
      </c>
      <c r="G22" s="1" t="str">
        <f>Ocupacao_DW[[#This Row],[data]]&amp;Ocupacao_DW[[#This Row],[profissional_id]]&amp;Ocupacao_DW[[#This Row],[local_id]]</f>
        <v>446441490344</v>
      </c>
      <c r="H22" s="1">
        <f>_xlfn.XLOOKUP(Ocupacao_DW[[#This Row],[Concat]],Vagas!$H:$H,Vagas!$D:$D,"",0)</f>
        <v>0</v>
      </c>
    </row>
    <row r="23" spans="1:8" x14ac:dyDescent="0.25">
      <c r="A23" s="2">
        <v>44645</v>
      </c>
      <c r="B23" s="1"/>
      <c r="C23">
        <v>67</v>
      </c>
      <c r="D23" s="1" t="s">
        <v>172</v>
      </c>
      <c r="E23" s="1"/>
      <c r="F23">
        <v>0</v>
      </c>
      <c r="G23" s="1" t="str">
        <f>Ocupacao_DW[[#This Row],[data]]&amp;Ocupacao_DW[[#This Row],[profissional_id]]&amp;Ocupacao_DW[[#This Row],[local_id]]</f>
        <v>44645670</v>
      </c>
      <c r="H23" s="1" t="str">
        <f>_xlfn.XLOOKUP(Ocupacao_DW[[#This Row],[Concat]],Vagas!$H:$H,Vagas!$D:$D,"",0)</f>
        <v/>
      </c>
    </row>
    <row r="24" spans="1:8" x14ac:dyDescent="0.25">
      <c r="A24" s="2">
        <v>44636</v>
      </c>
      <c r="B24" s="1" t="s">
        <v>70</v>
      </c>
      <c r="C24">
        <v>12519</v>
      </c>
      <c r="D24" s="1" t="s">
        <v>176</v>
      </c>
      <c r="E24" s="1" t="s">
        <v>4</v>
      </c>
      <c r="F24">
        <v>48</v>
      </c>
      <c r="G24" s="1" t="str">
        <f>Ocupacao_DW[[#This Row],[data]]&amp;Ocupacao_DW[[#This Row],[profissional_id]]&amp;Ocupacao_DW[[#This Row],[local_id]]</f>
        <v>446361251948</v>
      </c>
      <c r="H24" s="1">
        <f>_xlfn.XLOOKUP(Ocupacao_DW[[#This Row],[Concat]],Vagas!$H:$H,Vagas!$D:$D,"",0)</f>
        <v>0</v>
      </c>
    </row>
    <row r="25" spans="1:8" x14ac:dyDescent="0.25">
      <c r="A25" s="2">
        <v>44635</v>
      </c>
      <c r="B25" s="1"/>
      <c r="C25">
        <v>2984</v>
      </c>
      <c r="D25" s="1" t="s">
        <v>185</v>
      </c>
      <c r="E25" s="1"/>
      <c r="F25">
        <v>0</v>
      </c>
      <c r="G25" s="1" t="str">
        <f>Ocupacao_DW[[#This Row],[data]]&amp;Ocupacao_DW[[#This Row],[profissional_id]]&amp;Ocupacao_DW[[#This Row],[local_id]]</f>
        <v>4463529840</v>
      </c>
      <c r="H25" s="1" t="str">
        <f>_xlfn.XLOOKUP(Ocupacao_DW[[#This Row],[Concat]],Vagas!$H:$H,Vagas!$D:$D,"",0)</f>
        <v/>
      </c>
    </row>
    <row r="26" spans="1:8" x14ac:dyDescent="0.25">
      <c r="A26" s="2">
        <v>44636</v>
      </c>
      <c r="B26" s="1" t="s">
        <v>58</v>
      </c>
      <c r="C26">
        <v>5767</v>
      </c>
      <c r="D26" s="1" t="s">
        <v>239</v>
      </c>
      <c r="E26" s="1" t="s">
        <v>4</v>
      </c>
      <c r="F26">
        <v>43</v>
      </c>
      <c r="G26" s="1" t="str">
        <f>Ocupacao_DW[[#This Row],[data]]&amp;Ocupacao_DW[[#This Row],[profissional_id]]&amp;Ocupacao_DW[[#This Row],[local_id]]</f>
        <v>44636576743</v>
      </c>
      <c r="H26" s="1">
        <f>_xlfn.XLOOKUP(Ocupacao_DW[[#This Row],[Concat]],Vagas!$H:$H,Vagas!$D:$D,"",0)</f>
        <v>0</v>
      </c>
    </row>
    <row r="27" spans="1:8" x14ac:dyDescent="0.25">
      <c r="A27" s="2">
        <v>44646</v>
      </c>
      <c r="B27" s="1"/>
      <c r="C27">
        <v>531</v>
      </c>
      <c r="D27" s="1" t="s">
        <v>213</v>
      </c>
      <c r="E27" s="1" t="s">
        <v>5</v>
      </c>
      <c r="F27">
        <v>12</v>
      </c>
      <c r="G27" s="1" t="str">
        <f>Ocupacao_DW[[#This Row],[data]]&amp;Ocupacao_DW[[#This Row],[profissional_id]]&amp;Ocupacao_DW[[#This Row],[local_id]]</f>
        <v>4464653112</v>
      </c>
      <c r="H27" s="1">
        <f>_xlfn.XLOOKUP(Ocupacao_DW[[#This Row],[Concat]],Vagas!$H:$H,Vagas!$D:$D,"",0)</f>
        <v>0</v>
      </c>
    </row>
    <row r="28" spans="1:8" x14ac:dyDescent="0.25">
      <c r="A28" s="2">
        <v>44646</v>
      </c>
      <c r="B28" s="1"/>
      <c r="C28">
        <v>531</v>
      </c>
      <c r="D28" s="1" t="s">
        <v>213</v>
      </c>
      <c r="E28" s="1" t="s">
        <v>5</v>
      </c>
      <c r="F28">
        <v>12</v>
      </c>
      <c r="G28" s="1" t="str">
        <f>Ocupacao_DW[[#This Row],[data]]&amp;Ocupacao_DW[[#This Row],[profissional_id]]&amp;Ocupacao_DW[[#This Row],[local_id]]</f>
        <v>4464653112</v>
      </c>
      <c r="H28" s="1">
        <f>_xlfn.XLOOKUP(Ocupacao_DW[[#This Row],[Concat]],Vagas!$H:$H,Vagas!$D:$D,"",0)</f>
        <v>0</v>
      </c>
    </row>
    <row r="29" spans="1:8" x14ac:dyDescent="0.25">
      <c r="A29" s="2">
        <v>44646</v>
      </c>
      <c r="B29" s="1"/>
      <c r="C29">
        <v>531</v>
      </c>
      <c r="D29" s="1" t="s">
        <v>213</v>
      </c>
      <c r="E29" s="1" t="s">
        <v>5</v>
      </c>
      <c r="F29">
        <v>12</v>
      </c>
      <c r="G29" s="1" t="str">
        <f>Ocupacao_DW[[#This Row],[data]]&amp;Ocupacao_DW[[#This Row],[profissional_id]]&amp;Ocupacao_DW[[#This Row],[local_id]]</f>
        <v>4464653112</v>
      </c>
      <c r="H29" s="1">
        <f>_xlfn.XLOOKUP(Ocupacao_DW[[#This Row],[Concat]],Vagas!$H:$H,Vagas!$D:$D,"",0)</f>
        <v>0</v>
      </c>
    </row>
    <row r="30" spans="1:8" x14ac:dyDescent="0.25">
      <c r="A30" s="2">
        <v>44641</v>
      </c>
      <c r="B30" s="1"/>
      <c r="C30">
        <v>6392</v>
      </c>
      <c r="D30" s="1" t="s">
        <v>173</v>
      </c>
      <c r="E30" s="1" t="s">
        <v>6</v>
      </c>
      <c r="F30">
        <v>5</v>
      </c>
      <c r="G30" s="1" t="str">
        <f>Ocupacao_DW[[#This Row],[data]]&amp;Ocupacao_DW[[#This Row],[profissional_id]]&amp;Ocupacao_DW[[#This Row],[local_id]]</f>
        <v>4464163925</v>
      </c>
      <c r="H30" s="1">
        <f>_xlfn.XLOOKUP(Ocupacao_DW[[#This Row],[Concat]],Vagas!$H:$H,Vagas!$D:$D,"",0)</f>
        <v>0</v>
      </c>
    </row>
    <row r="31" spans="1:8" x14ac:dyDescent="0.25">
      <c r="A31" s="2">
        <v>44638</v>
      </c>
      <c r="B31" s="1"/>
      <c r="C31">
        <v>2984</v>
      </c>
      <c r="D31" s="1" t="s">
        <v>185</v>
      </c>
      <c r="E31" s="1" t="s">
        <v>6</v>
      </c>
      <c r="F31">
        <v>7</v>
      </c>
      <c r="G31" s="1" t="str">
        <f>Ocupacao_DW[[#This Row],[data]]&amp;Ocupacao_DW[[#This Row],[profissional_id]]&amp;Ocupacao_DW[[#This Row],[local_id]]</f>
        <v>4463829847</v>
      </c>
      <c r="H31" s="1">
        <f>_xlfn.XLOOKUP(Ocupacao_DW[[#This Row],[Concat]],Vagas!$H:$H,Vagas!$D:$D,"",0)</f>
        <v>0</v>
      </c>
    </row>
    <row r="32" spans="1:8" x14ac:dyDescent="0.25">
      <c r="A32" s="2">
        <v>44638</v>
      </c>
      <c r="B32" s="1"/>
      <c r="C32">
        <v>2984</v>
      </c>
      <c r="D32" s="1" t="s">
        <v>185</v>
      </c>
      <c r="E32" s="1" t="s">
        <v>6</v>
      </c>
      <c r="F32">
        <v>7</v>
      </c>
      <c r="G32" s="1" t="str">
        <f>Ocupacao_DW[[#This Row],[data]]&amp;Ocupacao_DW[[#This Row],[profissional_id]]&amp;Ocupacao_DW[[#This Row],[local_id]]</f>
        <v>4463829847</v>
      </c>
      <c r="H32" s="1">
        <f>_xlfn.XLOOKUP(Ocupacao_DW[[#This Row],[Concat]],Vagas!$H:$H,Vagas!$D:$D,"",0)</f>
        <v>0</v>
      </c>
    </row>
    <row r="33" spans="1:8" x14ac:dyDescent="0.25">
      <c r="A33" s="2">
        <v>44642</v>
      </c>
      <c r="B33" s="1"/>
      <c r="C33">
        <v>85</v>
      </c>
      <c r="D33" s="1" t="s">
        <v>211</v>
      </c>
      <c r="E33" s="1" t="s">
        <v>5</v>
      </c>
      <c r="F33">
        <v>349</v>
      </c>
      <c r="G33" s="1" t="str">
        <f>Ocupacao_DW[[#This Row],[data]]&amp;Ocupacao_DW[[#This Row],[profissional_id]]&amp;Ocupacao_DW[[#This Row],[local_id]]</f>
        <v>4464285349</v>
      </c>
      <c r="H33" s="1">
        <f>_xlfn.XLOOKUP(Ocupacao_DW[[#This Row],[Concat]],Vagas!$H:$H,Vagas!$D:$D,"",0)</f>
        <v>0</v>
      </c>
    </row>
    <row r="34" spans="1:8" x14ac:dyDescent="0.25">
      <c r="A34" s="2">
        <v>44650</v>
      </c>
      <c r="B34" s="1"/>
      <c r="C34">
        <v>67</v>
      </c>
      <c r="D34" s="1" t="s">
        <v>172</v>
      </c>
      <c r="E34" s="1" t="s">
        <v>6</v>
      </c>
      <c r="F34">
        <v>8</v>
      </c>
      <c r="G34" s="1" t="str">
        <f>Ocupacao_DW[[#This Row],[data]]&amp;Ocupacao_DW[[#This Row],[profissional_id]]&amp;Ocupacao_DW[[#This Row],[local_id]]</f>
        <v>44650678</v>
      </c>
      <c r="H34" s="1">
        <f>_xlfn.XLOOKUP(Ocupacao_DW[[#This Row],[Concat]],Vagas!$H:$H,Vagas!$D:$D,"",0)</f>
        <v>0</v>
      </c>
    </row>
    <row r="35" spans="1:8" x14ac:dyDescent="0.25">
      <c r="A35" s="2">
        <v>44656</v>
      </c>
      <c r="B35" s="1"/>
      <c r="C35">
        <v>12825</v>
      </c>
      <c r="D35" s="1" t="s">
        <v>177</v>
      </c>
      <c r="E35" s="1" t="s">
        <v>7</v>
      </c>
      <c r="F35">
        <v>63</v>
      </c>
      <c r="G35" s="1" t="str">
        <f>Ocupacao_DW[[#This Row],[data]]&amp;Ocupacao_DW[[#This Row],[profissional_id]]&amp;Ocupacao_DW[[#This Row],[local_id]]</f>
        <v>446561282563</v>
      </c>
      <c r="H35" s="1">
        <f>_xlfn.XLOOKUP(Ocupacao_DW[[#This Row],[Concat]],Vagas!$H:$H,Vagas!$D:$D,"",0)</f>
        <v>0</v>
      </c>
    </row>
    <row r="36" spans="1:8" x14ac:dyDescent="0.25">
      <c r="A36" s="2">
        <v>44642</v>
      </c>
      <c r="B36" s="1"/>
      <c r="C36">
        <v>85</v>
      </c>
      <c r="D36" s="1" t="s">
        <v>211</v>
      </c>
      <c r="E36" s="1" t="s">
        <v>5</v>
      </c>
      <c r="F36">
        <v>349</v>
      </c>
      <c r="G36" s="1" t="str">
        <f>Ocupacao_DW[[#This Row],[data]]&amp;Ocupacao_DW[[#This Row],[profissional_id]]&amp;Ocupacao_DW[[#This Row],[local_id]]</f>
        <v>4464285349</v>
      </c>
      <c r="H36" s="1">
        <f>_xlfn.XLOOKUP(Ocupacao_DW[[#This Row],[Concat]],Vagas!$H:$H,Vagas!$D:$D,"",0)</f>
        <v>0</v>
      </c>
    </row>
    <row r="37" spans="1:8" x14ac:dyDescent="0.25">
      <c r="A37" s="2">
        <v>44656</v>
      </c>
      <c r="B37" s="1"/>
      <c r="C37">
        <v>12623</v>
      </c>
      <c r="D37" s="1" t="s">
        <v>258</v>
      </c>
      <c r="E37" s="1" t="s">
        <v>5</v>
      </c>
      <c r="F37">
        <v>11</v>
      </c>
      <c r="G37" s="1" t="str">
        <f>Ocupacao_DW[[#This Row],[data]]&amp;Ocupacao_DW[[#This Row],[profissional_id]]&amp;Ocupacao_DW[[#This Row],[local_id]]</f>
        <v>446561262311</v>
      </c>
      <c r="H37" s="1">
        <f>_xlfn.XLOOKUP(Ocupacao_DW[[#This Row],[Concat]],Vagas!$H:$H,Vagas!$D:$D,"",0)</f>
        <v>0</v>
      </c>
    </row>
    <row r="38" spans="1:8" x14ac:dyDescent="0.25">
      <c r="A38" s="2">
        <v>44636</v>
      </c>
      <c r="B38" s="1"/>
      <c r="C38">
        <v>1490</v>
      </c>
      <c r="D38" s="1" t="s">
        <v>174</v>
      </c>
      <c r="E38" s="1" t="s">
        <v>5</v>
      </c>
      <c r="F38">
        <v>13</v>
      </c>
      <c r="G38" s="1" t="str">
        <f>Ocupacao_DW[[#This Row],[data]]&amp;Ocupacao_DW[[#This Row],[profissional_id]]&amp;Ocupacao_DW[[#This Row],[local_id]]</f>
        <v>44636149013</v>
      </c>
      <c r="H38" s="1">
        <f>_xlfn.XLOOKUP(Ocupacao_DW[[#This Row],[Concat]],Vagas!$H:$H,Vagas!$D:$D,"",0)</f>
        <v>0</v>
      </c>
    </row>
    <row r="39" spans="1:8" x14ac:dyDescent="0.25">
      <c r="A39" s="2">
        <v>44645</v>
      </c>
      <c r="B39" s="1"/>
      <c r="C39">
        <v>67</v>
      </c>
      <c r="D39" s="1" t="s">
        <v>172</v>
      </c>
      <c r="E39" s="1"/>
      <c r="F39">
        <v>0</v>
      </c>
      <c r="G39" s="1" t="str">
        <f>Ocupacao_DW[[#This Row],[data]]&amp;Ocupacao_DW[[#This Row],[profissional_id]]&amp;Ocupacao_DW[[#This Row],[local_id]]</f>
        <v>44645670</v>
      </c>
      <c r="H39" s="1" t="str">
        <f>_xlfn.XLOOKUP(Ocupacao_DW[[#This Row],[Concat]],Vagas!$H:$H,Vagas!$D:$D,"",0)</f>
        <v/>
      </c>
    </row>
    <row r="40" spans="1:8" x14ac:dyDescent="0.25">
      <c r="A40" s="2">
        <v>44635</v>
      </c>
      <c r="B40" s="1" t="s">
        <v>68</v>
      </c>
      <c r="C40">
        <v>8239</v>
      </c>
      <c r="D40" s="1" t="s">
        <v>257</v>
      </c>
      <c r="E40" s="1" t="s">
        <v>5</v>
      </c>
      <c r="F40">
        <v>14</v>
      </c>
      <c r="G40" s="1" t="str">
        <f>Ocupacao_DW[[#This Row],[data]]&amp;Ocupacao_DW[[#This Row],[profissional_id]]&amp;Ocupacao_DW[[#This Row],[local_id]]</f>
        <v>44635823914</v>
      </c>
      <c r="H40" s="1">
        <f>_xlfn.XLOOKUP(Ocupacao_DW[[#This Row],[Concat]],Vagas!$H:$H,Vagas!$D:$D,"",0)</f>
        <v>0</v>
      </c>
    </row>
    <row r="41" spans="1:8" x14ac:dyDescent="0.25">
      <c r="A41" s="2">
        <v>44642</v>
      </c>
      <c r="B41" s="1"/>
      <c r="C41">
        <v>13249</v>
      </c>
      <c r="D41" s="1" t="s">
        <v>178</v>
      </c>
      <c r="E41" s="1" t="s">
        <v>4</v>
      </c>
      <c r="F41">
        <v>45</v>
      </c>
      <c r="G41" s="1" t="str">
        <f>Ocupacao_DW[[#This Row],[data]]&amp;Ocupacao_DW[[#This Row],[profissional_id]]&amp;Ocupacao_DW[[#This Row],[local_id]]</f>
        <v>446421324945</v>
      </c>
      <c r="H41" s="1">
        <f>_xlfn.XLOOKUP(Ocupacao_DW[[#This Row],[Concat]],Vagas!$H:$H,Vagas!$D:$D,"",0)</f>
        <v>0</v>
      </c>
    </row>
    <row r="42" spans="1:8" x14ac:dyDescent="0.25">
      <c r="A42" s="2">
        <v>44636</v>
      </c>
      <c r="B42" s="1"/>
      <c r="C42">
        <v>1490</v>
      </c>
      <c r="D42" s="1" t="s">
        <v>174</v>
      </c>
      <c r="E42" s="1" t="s">
        <v>5</v>
      </c>
      <c r="F42">
        <v>13</v>
      </c>
      <c r="G42" s="1" t="str">
        <f>Ocupacao_DW[[#This Row],[data]]&amp;Ocupacao_DW[[#This Row],[profissional_id]]&amp;Ocupacao_DW[[#This Row],[local_id]]</f>
        <v>44636149013</v>
      </c>
      <c r="H42" s="1">
        <f>_xlfn.XLOOKUP(Ocupacao_DW[[#This Row],[Concat]],Vagas!$H:$H,Vagas!$D:$D,"",0)</f>
        <v>0</v>
      </c>
    </row>
    <row r="43" spans="1:8" x14ac:dyDescent="0.25">
      <c r="A43" s="2">
        <v>44636</v>
      </c>
      <c r="B43" s="1"/>
      <c r="C43">
        <v>1490</v>
      </c>
      <c r="D43" s="1" t="s">
        <v>174</v>
      </c>
      <c r="E43" s="1" t="s">
        <v>5</v>
      </c>
      <c r="F43">
        <v>13</v>
      </c>
      <c r="G43" s="1" t="str">
        <f>Ocupacao_DW[[#This Row],[data]]&amp;Ocupacao_DW[[#This Row],[profissional_id]]&amp;Ocupacao_DW[[#This Row],[local_id]]</f>
        <v>44636149013</v>
      </c>
      <c r="H43" s="1">
        <f>_xlfn.XLOOKUP(Ocupacao_DW[[#This Row],[Concat]],Vagas!$H:$H,Vagas!$D:$D,"",0)</f>
        <v>0</v>
      </c>
    </row>
    <row r="44" spans="1:8" x14ac:dyDescent="0.25">
      <c r="A44" s="2">
        <v>44646</v>
      </c>
      <c r="B44" s="1"/>
      <c r="C44">
        <v>4887</v>
      </c>
      <c r="D44" s="1" t="s">
        <v>168</v>
      </c>
      <c r="E44" s="1" t="s">
        <v>5</v>
      </c>
      <c r="F44">
        <v>18</v>
      </c>
      <c r="G44" s="1" t="str">
        <f>Ocupacao_DW[[#This Row],[data]]&amp;Ocupacao_DW[[#This Row],[profissional_id]]&amp;Ocupacao_DW[[#This Row],[local_id]]</f>
        <v>44646488718</v>
      </c>
      <c r="H44" s="1">
        <f>_xlfn.XLOOKUP(Ocupacao_DW[[#This Row],[Concat]],Vagas!$H:$H,Vagas!$D:$D,"",0)</f>
        <v>0</v>
      </c>
    </row>
    <row r="45" spans="1:8" x14ac:dyDescent="0.25">
      <c r="A45" s="2">
        <v>44636</v>
      </c>
      <c r="B45" s="1"/>
      <c r="C45">
        <v>1490</v>
      </c>
      <c r="D45" s="1" t="s">
        <v>174</v>
      </c>
      <c r="E45" s="1" t="s">
        <v>5</v>
      </c>
      <c r="F45">
        <v>13</v>
      </c>
      <c r="G45" s="1" t="str">
        <f>Ocupacao_DW[[#This Row],[data]]&amp;Ocupacao_DW[[#This Row],[profissional_id]]&amp;Ocupacao_DW[[#This Row],[local_id]]</f>
        <v>44636149013</v>
      </c>
      <c r="H45" s="1">
        <f>_xlfn.XLOOKUP(Ocupacao_DW[[#This Row],[Concat]],Vagas!$H:$H,Vagas!$D:$D,"",0)</f>
        <v>0</v>
      </c>
    </row>
    <row r="46" spans="1:8" x14ac:dyDescent="0.25">
      <c r="A46" s="2">
        <v>44636</v>
      </c>
      <c r="B46" s="1" t="s">
        <v>70</v>
      </c>
      <c r="C46">
        <v>12825</v>
      </c>
      <c r="D46" s="1" t="s">
        <v>177</v>
      </c>
      <c r="E46" s="1" t="s">
        <v>4</v>
      </c>
      <c r="F46">
        <v>45</v>
      </c>
      <c r="G46" s="1" t="str">
        <f>Ocupacao_DW[[#This Row],[data]]&amp;Ocupacao_DW[[#This Row],[profissional_id]]&amp;Ocupacao_DW[[#This Row],[local_id]]</f>
        <v>446361282545</v>
      </c>
      <c r="H46" s="1">
        <f>_xlfn.XLOOKUP(Ocupacao_DW[[#This Row],[Concat]],Vagas!$H:$H,Vagas!$D:$D,"",0)</f>
        <v>0</v>
      </c>
    </row>
    <row r="47" spans="1:8" x14ac:dyDescent="0.25">
      <c r="A47" s="2">
        <v>44643</v>
      </c>
      <c r="B47" s="1" t="s">
        <v>70</v>
      </c>
      <c r="C47">
        <v>12519</v>
      </c>
      <c r="D47" s="1" t="s">
        <v>176</v>
      </c>
      <c r="E47" s="1" t="s">
        <v>4</v>
      </c>
      <c r="F47">
        <v>48</v>
      </c>
      <c r="G47" s="1" t="str">
        <f>Ocupacao_DW[[#This Row],[data]]&amp;Ocupacao_DW[[#This Row],[profissional_id]]&amp;Ocupacao_DW[[#This Row],[local_id]]</f>
        <v>446431251948</v>
      </c>
      <c r="H47" s="1">
        <f>_xlfn.XLOOKUP(Ocupacao_DW[[#This Row],[Concat]],Vagas!$H:$H,Vagas!$D:$D,"",0)</f>
        <v>0</v>
      </c>
    </row>
    <row r="48" spans="1:8" x14ac:dyDescent="0.25">
      <c r="A48" s="2">
        <v>44658</v>
      </c>
      <c r="B48" s="1"/>
      <c r="C48">
        <v>17858</v>
      </c>
      <c r="D48" s="1" t="s">
        <v>291</v>
      </c>
      <c r="E48" s="1" t="s">
        <v>5</v>
      </c>
      <c r="F48">
        <v>13</v>
      </c>
      <c r="G48" s="1" t="str">
        <f>Ocupacao_DW[[#This Row],[data]]&amp;Ocupacao_DW[[#This Row],[profissional_id]]&amp;Ocupacao_DW[[#This Row],[local_id]]</f>
        <v>446581785813</v>
      </c>
      <c r="H48" s="1" t="str">
        <f>_xlfn.XLOOKUP(Ocupacao_DW[[#This Row],[Concat]],Vagas!$H:$H,Vagas!$D:$D,"",0)</f>
        <v/>
      </c>
    </row>
    <row r="49" spans="1:8" x14ac:dyDescent="0.25">
      <c r="A49" s="2">
        <v>44636</v>
      </c>
      <c r="B49" s="1"/>
      <c r="C49">
        <v>1490</v>
      </c>
      <c r="D49" s="1" t="s">
        <v>174</v>
      </c>
      <c r="E49" s="1" t="s">
        <v>5</v>
      </c>
      <c r="F49">
        <v>13</v>
      </c>
      <c r="G49" s="1" t="str">
        <f>Ocupacao_DW[[#This Row],[data]]&amp;Ocupacao_DW[[#This Row],[profissional_id]]&amp;Ocupacao_DW[[#This Row],[local_id]]</f>
        <v>44636149013</v>
      </c>
      <c r="H49" s="1">
        <f>_xlfn.XLOOKUP(Ocupacao_DW[[#This Row],[Concat]],Vagas!$H:$H,Vagas!$D:$D,"",0)</f>
        <v>0</v>
      </c>
    </row>
    <row r="50" spans="1:8" x14ac:dyDescent="0.25">
      <c r="A50" s="2">
        <v>44643</v>
      </c>
      <c r="B50" s="1"/>
      <c r="C50">
        <v>67</v>
      </c>
      <c r="D50" s="1" t="s">
        <v>172</v>
      </c>
      <c r="E50" s="1" t="s">
        <v>6</v>
      </c>
      <c r="F50">
        <v>8</v>
      </c>
      <c r="G50" s="1" t="str">
        <f>Ocupacao_DW[[#This Row],[data]]&amp;Ocupacao_DW[[#This Row],[profissional_id]]&amp;Ocupacao_DW[[#This Row],[local_id]]</f>
        <v>44643678</v>
      </c>
      <c r="H50" s="1">
        <f>_xlfn.XLOOKUP(Ocupacao_DW[[#This Row],[Concat]],Vagas!$H:$H,Vagas!$D:$D,"",0)</f>
        <v>0</v>
      </c>
    </row>
    <row r="51" spans="1:8" x14ac:dyDescent="0.25">
      <c r="A51" s="2">
        <v>44637</v>
      </c>
      <c r="B51" s="1"/>
      <c r="C51">
        <v>74</v>
      </c>
      <c r="D51" s="1" t="s">
        <v>182</v>
      </c>
      <c r="E51" s="1" t="s">
        <v>6</v>
      </c>
      <c r="F51">
        <v>7</v>
      </c>
      <c r="G51" s="1" t="str">
        <f>Ocupacao_DW[[#This Row],[data]]&amp;Ocupacao_DW[[#This Row],[profissional_id]]&amp;Ocupacao_DW[[#This Row],[local_id]]</f>
        <v>44637747</v>
      </c>
      <c r="H51" s="1">
        <f>_xlfn.XLOOKUP(Ocupacao_DW[[#This Row],[Concat]],Vagas!$H:$H,Vagas!$D:$D,"",0)</f>
        <v>0</v>
      </c>
    </row>
    <row r="52" spans="1:8" x14ac:dyDescent="0.25">
      <c r="A52" s="2">
        <v>44648</v>
      </c>
      <c r="B52" s="1"/>
      <c r="C52">
        <v>6392</v>
      </c>
      <c r="D52" s="1" t="s">
        <v>173</v>
      </c>
      <c r="E52" s="1" t="s">
        <v>167</v>
      </c>
      <c r="F52">
        <v>342</v>
      </c>
      <c r="G52" s="1" t="str">
        <f>Ocupacao_DW[[#This Row],[data]]&amp;Ocupacao_DW[[#This Row],[profissional_id]]&amp;Ocupacao_DW[[#This Row],[local_id]]</f>
        <v>446486392342</v>
      </c>
      <c r="H52" s="1">
        <f>_xlfn.XLOOKUP(Ocupacao_DW[[#This Row],[Concat]],Vagas!$H:$H,Vagas!$D:$D,"",0)</f>
        <v>8</v>
      </c>
    </row>
    <row r="53" spans="1:8" x14ac:dyDescent="0.25">
      <c r="A53" s="2">
        <v>44643</v>
      </c>
      <c r="B53" s="1"/>
      <c r="C53">
        <v>67</v>
      </c>
      <c r="D53" s="1" t="s">
        <v>172</v>
      </c>
      <c r="E53" s="1" t="s">
        <v>6</v>
      </c>
      <c r="F53">
        <v>8</v>
      </c>
      <c r="G53" s="1" t="str">
        <f>Ocupacao_DW[[#This Row],[data]]&amp;Ocupacao_DW[[#This Row],[profissional_id]]&amp;Ocupacao_DW[[#This Row],[local_id]]</f>
        <v>44643678</v>
      </c>
      <c r="H53" s="1">
        <f>_xlfn.XLOOKUP(Ocupacao_DW[[#This Row],[Concat]],Vagas!$H:$H,Vagas!$D:$D,"",0)</f>
        <v>0</v>
      </c>
    </row>
    <row r="54" spans="1:8" x14ac:dyDescent="0.25">
      <c r="A54" s="2">
        <v>44637</v>
      </c>
      <c r="B54" s="1"/>
      <c r="C54">
        <v>1490</v>
      </c>
      <c r="D54" s="1" t="s">
        <v>174</v>
      </c>
      <c r="E54" s="1" t="s">
        <v>5</v>
      </c>
      <c r="F54">
        <v>12</v>
      </c>
      <c r="G54" s="1" t="str">
        <f>Ocupacao_DW[[#This Row],[data]]&amp;Ocupacao_DW[[#This Row],[profissional_id]]&amp;Ocupacao_DW[[#This Row],[local_id]]</f>
        <v>44637149012</v>
      </c>
      <c r="H54" s="1">
        <f>_xlfn.XLOOKUP(Ocupacao_DW[[#This Row],[Concat]],Vagas!$H:$H,Vagas!$D:$D,"",0)</f>
        <v>0</v>
      </c>
    </row>
    <row r="55" spans="1:8" x14ac:dyDescent="0.25">
      <c r="A55" s="2">
        <v>44643</v>
      </c>
      <c r="B55" s="1"/>
      <c r="C55">
        <v>1490</v>
      </c>
      <c r="D55" s="1" t="s">
        <v>174</v>
      </c>
      <c r="E55" s="1" t="s">
        <v>5</v>
      </c>
      <c r="F55">
        <v>13</v>
      </c>
      <c r="G55" s="1" t="str">
        <f>Ocupacao_DW[[#This Row],[data]]&amp;Ocupacao_DW[[#This Row],[profissional_id]]&amp;Ocupacao_DW[[#This Row],[local_id]]</f>
        <v>44643149013</v>
      </c>
      <c r="H55" s="1">
        <f>_xlfn.XLOOKUP(Ocupacao_DW[[#This Row],[Concat]],Vagas!$H:$H,Vagas!$D:$D,"",0)</f>
        <v>0</v>
      </c>
    </row>
    <row r="56" spans="1:8" x14ac:dyDescent="0.25">
      <c r="A56" s="2">
        <v>44648</v>
      </c>
      <c r="B56" s="1"/>
      <c r="C56">
        <v>13249</v>
      </c>
      <c r="D56" s="1" t="s">
        <v>178</v>
      </c>
      <c r="E56" s="1" t="s">
        <v>4</v>
      </c>
      <c r="F56">
        <v>45</v>
      </c>
      <c r="G56" s="1" t="str">
        <f>Ocupacao_DW[[#This Row],[data]]&amp;Ocupacao_DW[[#This Row],[profissional_id]]&amp;Ocupacao_DW[[#This Row],[local_id]]</f>
        <v>446481324945</v>
      </c>
      <c r="H56" s="1">
        <f>_xlfn.XLOOKUP(Ocupacao_DW[[#This Row],[Concat]],Vagas!$H:$H,Vagas!$D:$D,"",0)</f>
        <v>0</v>
      </c>
    </row>
    <row r="57" spans="1:8" x14ac:dyDescent="0.25">
      <c r="A57" s="2">
        <v>44641</v>
      </c>
      <c r="B57" s="1"/>
      <c r="C57">
        <v>13249</v>
      </c>
      <c r="D57" s="1" t="s">
        <v>178</v>
      </c>
      <c r="E57" s="1" t="s">
        <v>4</v>
      </c>
      <c r="F57">
        <v>45</v>
      </c>
      <c r="G57" s="1" t="str">
        <f>Ocupacao_DW[[#This Row],[data]]&amp;Ocupacao_DW[[#This Row],[profissional_id]]&amp;Ocupacao_DW[[#This Row],[local_id]]</f>
        <v>446411324945</v>
      </c>
      <c r="H57" s="1">
        <f>_xlfn.XLOOKUP(Ocupacao_DW[[#This Row],[Concat]],Vagas!$H:$H,Vagas!$D:$D,"",0)</f>
        <v>0</v>
      </c>
    </row>
    <row r="58" spans="1:8" x14ac:dyDescent="0.25">
      <c r="A58" s="2">
        <v>44636</v>
      </c>
      <c r="B58" s="1"/>
      <c r="C58">
        <v>74</v>
      </c>
      <c r="D58" s="1" t="s">
        <v>182</v>
      </c>
      <c r="E58" s="1" t="s">
        <v>6</v>
      </c>
      <c r="F58">
        <v>7</v>
      </c>
      <c r="G58" s="1" t="str">
        <f>Ocupacao_DW[[#This Row],[data]]&amp;Ocupacao_DW[[#This Row],[profissional_id]]&amp;Ocupacao_DW[[#This Row],[local_id]]</f>
        <v>44636747</v>
      </c>
      <c r="H58" s="1">
        <f>_xlfn.XLOOKUP(Ocupacao_DW[[#This Row],[Concat]],Vagas!$H:$H,Vagas!$D:$D,"",0)</f>
        <v>0</v>
      </c>
    </row>
    <row r="59" spans="1:8" x14ac:dyDescent="0.25">
      <c r="A59" s="2">
        <v>44638</v>
      </c>
      <c r="B59" s="1"/>
      <c r="C59">
        <v>2984</v>
      </c>
      <c r="D59" s="1" t="s">
        <v>185</v>
      </c>
      <c r="E59" s="1" t="s">
        <v>6</v>
      </c>
      <c r="F59">
        <v>7</v>
      </c>
      <c r="G59" s="1" t="str">
        <f>Ocupacao_DW[[#This Row],[data]]&amp;Ocupacao_DW[[#This Row],[profissional_id]]&amp;Ocupacao_DW[[#This Row],[local_id]]</f>
        <v>4463829847</v>
      </c>
      <c r="H59" s="1">
        <f>_xlfn.XLOOKUP(Ocupacao_DW[[#This Row],[Concat]],Vagas!$H:$H,Vagas!$D:$D,"",0)</f>
        <v>0</v>
      </c>
    </row>
    <row r="60" spans="1:8" x14ac:dyDescent="0.25">
      <c r="A60" s="2">
        <v>44642</v>
      </c>
      <c r="B60" s="1"/>
      <c r="C60">
        <v>69</v>
      </c>
      <c r="D60" s="1" t="s">
        <v>238</v>
      </c>
      <c r="E60" s="1" t="s">
        <v>5</v>
      </c>
      <c r="F60">
        <v>13</v>
      </c>
      <c r="G60" s="1" t="str">
        <f>Ocupacao_DW[[#This Row],[data]]&amp;Ocupacao_DW[[#This Row],[profissional_id]]&amp;Ocupacao_DW[[#This Row],[local_id]]</f>
        <v>446426913</v>
      </c>
      <c r="H60" s="1">
        <f>_xlfn.XLOOKUP(Ocupacao_DW[[#This Row],[Concat]],Vagas!$H:$H,Vagas!$D:$D,"",0)</f>
        <v>0</v>
      </c>
    </row>
    <row r="61" spans="1:8" x14ac:dyDescent="0.25">
      <c r="A61" s="2">
        <v>44636</v>
      </c>
      <c r="B61" s="1"/>
      <c r="C61">
        <v>60</v>
      </c>
      <c r="D61" s="1" t="s">
        <v>217</v>
      </c>
      <c r="E61" s="1"/>
      <c r="F61">
        <v>0</v>
      </c>
      <c r="G61" s="1" t="str">
        <f>Ocupacao_DW[[#This Row],[data]]&amp;Ocupacao_DW[[#This Row],[profissional_id]]&amp;Ocupacao_DW[[#This Row],[local_id]]</f>
        <v>44636600</v>
      </c>
      <c r="H61" s="1" t="str">
        <f>_xlfn.XLOOKUP(Ocupacao_DW[[#This Row],[Concat]],Vagas!$H:$H,Vagas!$D:$D,"",0)</f>
        <v/>
      </c>
    </row>
    <row r="62" spans="1:8" x14ac:dyDescent="0.25">
      <c r="A62" s="2">
        <v>44657</v>
      </c>
      <c r="B62" s="1"/>
      <c r="C62">
        <v>67</v>
      </c>
      <c r="D62" s="1" t="s">
        <v>172</v>
      </c>
      <c r="E62" s="1" t="s">
        <v>6</v>
      </c>
      <c r="F62">
        <v>8</v>
      </c>
      <c r="G62" s="1" t="str">
        <f>Ocupacao_DW[[#This Row],[data]]&amp;Ocupacao_DW[[#This Row],[profissional_id]]&amp;Ocupacao_DW[[#This Row],[local_id]]</f>
        <v>44657678</v>
      </c>
      <c r="H62" s="1">
        <f>_xlfn.XLOOKUP(Ocupacao_DW[[#This Row],[Concat]],Vagas!$H:$H,Vagas!$D:$D,"",0)</f>
        <v>0</v>
      </c>
    </row>
    <row r="63" spans="1:8" x14ac:dyDescent="0.25">
      <c r="A63" s="2">
        <v>44643</v>
      </c>
      <c r="B63" s="1"/>
      <c r="C63">
        <v>1490</v>
      </c>
      <c r="D63" s="1" t="s">
        <v>174</v>
      </c>
      <c r="E63" s="1" t="s">
        <v>5</v>
      </c>
      <c r="F63">
        <v>13</v>
      </c>
      <c r="G63" s="1" t="str">
        <f>Ocupacao_DW[[#This Row],[data]]&amp;Ocupacao_DW[[#This Row],[profissional_id]]&amp;Ocupacao_DW[[#This Row],[local_id]]</f>
        <v>44643149013</v>
      </c>
      <c r="H63" s="1">
        <f>_xlfn.XLOOKUP(Ocupacao_DW[[#This Row],[Concat]],Vagas!$H:$H,Vagas!$D:$D,"",0)</f>
        <v>0</v>
      </c>
    </row>
    <row r="64" spans="1:8" x14ac:dyDescent="0.25">
      <c r="A64" s="2">
        <v>44636</v>
      </c>
      <c r="B64" s="1"/>
      <c r="C64">
        <v>80</v>
      </c>
      <c r="D64" s="1" t="s">
        <v>179</v>
      </c>
      <c r="E64" s="1" t="s">
        <v>167</v>
      </c>
      <c r="F64">
        <v>346</v>
      </c>
      <c r="G64" s="1" t="str">
        <f>Ocupacao_DW[[#This Row],[data]]&amp;Ocupacao_DW[[#This Row],[profissional_id]]&amp;Ocupacao_DW[[#This Row],[local_id]]</f>
        <v>4463680346</v>
      </c>
      <c r="H64" s="1">
        <f>_xlfn.XLOOKUP(Ocupacao_DW[[#This Row],[Concat]],Vagas!$H:$H,Vagas!$D:$D,"",0)</f>
        <v>0</v>
      </c>
    </row>
    <row r="65" spans="1:8" x14ac:dyDescent="0.25">
      <c r="A65" s="2">
        <v>44657</v>
      </c>
      <c r="B65" s="1"/>
      <c r="C65">
        <v>67</v>
      </c>
      <c r="D65" s="1" t="s">
        <v>172</v>
      </c>
      <c r="E65" s="1" t="s">
        <v>6</v>
      </c>
      <c r="F65">
        <v>8</v>
      </c>
      <c r="G65" s="1" t="str">
        <f>Ocupacao_DW[[#This Row],[data]]&amp;Ocupacao_DW[[#This Row],[profissional_id]]&amp;Ocupacao_DW[[#This Row],[local_id]]</f>
        <v>44657678</v>
      </c>
      <c r="H65" s="1">
        <f>_xlfn.XLOOKUP(Ocupacao_DW[[#This Row],[Concat]],Vagas!$H:$H,Vagas!$D:$D,"",0)</f>
        <v>0</v>
      </c>
    </row>
    <row r="66" spans="1:8" x14ac:dyDescent="0.25">
      <c r="A66" s="2">
        <v>44641</v>
      </c>
      <c r="B66" s="1"/>
      <c r="C66">
        <v>2984</v>
      </c>
      <c r="D66" s="1" t="s">
        <v>185</v>
      </c>
      <c r="E66" s="1" t="s">
        <v>6</v>
      </c>
      <c r="F66">
        <v>7</v>
      </c>
      <c r="G66" s="1" t="str">
        <f>Ocupacao_DW[[#This Row],[data]]&amp;Ocupacao_DW[[#This Row],[profissional_id]]&amp;Ocupacao_DW[[#This Row],[local_id]]</f>
        <v>4464129847</v>
      </c>
      <c r="H66" s="1">
        <f>_xlfn.XLOOKUP(Ocupacao_DW[[#This Row],[Concat]],Vagas!$H:$H,Vagas!$D:$D,"",0)</f>
        <v>0</v>
      </c>
    </row>
    <row r="67" spans="1:8" x14ac:dyDescent="0.25">
      <c r="A67" s="2">
        <v>44641</v>
      </c>
      <c r="B67" s="1"/>
      <c r="C67">
        <v>2567</v>
      </c>
      <c r="D67" s="1" t="s">
        <v>198</v>
      </c>
      <c r="E67" s="1" t="s">
        <v>5</v>
      </c>
      <c r="F67">
        <v>18</v>
      </c>
      <c r="G67" s="1" t="str">
        <f>Ocupacao_DW[[#This Row],[data]]&amp;Ocupacao_DW[[#This Row],[profissional_id]]&amp;Ocupacao_DW[[#This Row],[local_id]]</f>
        <v>44641256718</v>
      </c>
      <c r="H67" s="1">
        <f>_xlfn.XLOOKUP(Ocupacao_DW[[#This Row],[Concat]],Vagas!$H:$H,Vagas!$D:$D,"",0)</f>
        <v>0</v>
      </c>
    </row>
    <row r="68" spans="1:8" x14ac:dyDescent="0.25">
      <c r="A68" s="2">
        <v>44636</v>
      </c>
      <c r="B68" s="1" t="s">
        <v>72</v>
      </c>
      <c r="C68">
        <v>6046</v>
      </c>
      <c r="D68" s="1" t="s">
        <v>222</v>
      </c>
      <c r="E68" s="1" t="s">
        <v>167</v>
      </c>
      <c r="F68">
        <v>344</v>
      </c>
      <c r="G68" s="1" t="str">
        <f>Ocupacao_DW[[#This Row],[data]]&amp;Ocupacao_DW[[#This Row],[profissional_id]]&amp;Ocupacao_DW[[#This Row],[local_id]]</f>
        <v>446366046344</v>
      </c>
      <c r="H68" s="1">
        <f>_xlfn.XLOOKUP(Ocupacao_DW[[#This Row],[Concat]],Vagas!$H:$H,Vagas!$D:$D,"",0)</f>
        <v>0</v>
      </c>
    </row>
    <row r="69" spans="1:8" x14ac:dyDescent="0.25">
      <c r="A69" s="2">
        <v>44638</v>
      </c>
      <c r="B69" s="1"/>
      <c r="C69">
        <v>2984</v>
      </c>
      <c r="D69" s="1" t="s">
        <v>185</v>
      </c>
      <c r="E69" s="1" t="s">
        <v>6</v>
      </c>
      <c r="F69">
        <v>7</v>
      </c>
      <c r="G69" s="1" t="str">
        <f>Ocupacao_DW[[#This Row],[data]]&amp;Ocupacao_DW[[#This Row],[profissional_id]]&amp;Ocupacao_DW[[#This Row],[local_id]]</f>
        <v>4463829847</v>
      </c>
      <c r="H69" s="1">
        <f>_xlfn.XLOOKUP(Ocupacao_DW[[#This Row],[Concat]],Vagas!$H:$H,Vagas!$D:$D,"",0)</f>
        <v>0</v>
      </c>
    </row>
    <row r="70" spans="1:8" x14ac:dyDescent="0.25">
      <c r="A70" s="2">
        <v>44644</v>
      </c>
      <c r="B70" s="1"/>
      <c r="C70">
        <v>1490</v>
      </c>
      <c r="D70" s="1" t="s">
        <v>174</v>
      </c>
      <c r="E70" s="1" t="s">
        <v>5</v>
      </c>
      <c r="F70">
        <v>12</v>
      </c>
      <c r="G70" s="1" t="str">
        <f>Ocupacao_DW[[#This Row],[data]]&amp;Ocupacao_DW[[#This Row],[profissional_id]]&amp;Ocupacao_DW[[#This Row],[local_id]]</f>
        <v>44644149012</v>
      </c>
      <c r="H70" s="1">
        <f>_xlfn.XLOOKUP(Ocupacao_DW[[#This Row],[Concat]],Vagas!$H:$H,Vagas!$D:$D,"",0)</f>
        <v>0</v>
      </c>
    </row>
    <row r="71" spans="1:8" x14ac:dyDescent="0.25">
      <c r="A71" s="2">
        <v>44657</v>
      </c>
      <c r="B71" s="1"/>
      <c r="C71">
        <v>67</v>
      </c>
      <c r="D71" s="1" t="s">
        <v>172</v>
      </c>
      <c r="E71" s="1" t="s">
        <v>6</v>
      </c>
      <c r="F71">
        <v>8</v>
      </c>
      <c r="G71" s="1" t="str">
        <f>Ocupacao_DW[[#This Row],[data]]&amp;Ocupacao_DW[[#This Row],[profissional_id]]&amp;Ocupacao_DW[[#This Row],[local_id]]</f>
        <v>44657678</v>
      </c>
      <c r="H71" s="1">
        <f>_xlfn.XLOOKUP(Ocupacao_DW[[#This Row],[Concat]],Vagas!$H:$H,Vagas!$D:$D,"",0)</f>
        <v>0</v>
      </c>
    </row>
    <row r="72" spans="1:8" x14ac:dyDescent="0.25">
      <c r="A72" s="2">
        <v>44643</v>
      </c>
      <c r="B72" s="1"/>
      <c r="C72">
        <v>1490</v>
      </c>
      <c r="D72" s="1" t="s">
        <v>174</v>
      </c>
      <c r="E72" s="1" t="s">
        <v>5</v>
      </c>
      <c r="F72">
        <v>13</v>
      </c>
      <c r="G72" s="1" t="str">
        <f>Ocupacao_DW[[#This Row],[data]]&amp;Ocupacao_DW[[#This Row],[profissional_id]]&amp;Ocupacao_DW[[#This Row],[local_id]]</f>
        <v>44643149013</v>
      </c>
      <c r="H72" s="1">
        <f>_xlfn.XLOOKUP(Ocupacao_DW[[#This Row],[Concat]],Vagas!$H:$H,Vagas!$D:$D,"",0)</f>
        <v>0</v>
      </c>
    </row>
    <row r="73" spans="1:8" x14ac:dyDescent="0.25">
      <c r="A73" s="2">
        <v>44641</v>
      </c>
      <c r="B73" s="1"/>
      <c r="C73">
        <v>86</v>
      </c>
      <c r="D73" s="1" t="s">
        <v>175</v>
      </c>
      <c r="E73" s="1" t="s">
        <v>5</v>
      </c>
      <c r="F73">
        <v>349</v>
      </c>
      <c r="G73" s="1" t="str">
        <f>Ocupacao_DW[[#This Row],[data]]&amp;Ocupacao_DW[[#This Row],[profissional_id]]&amp;Ocupacao_DW[[#This Row],[local_id]]</f>
        <v>4464186349</v>
      </c>
      <c r="H73" s="1">
        <f>_xlfn.XLOOKUP(Ocupacao_DW[[#This Row],[Concat]],Vagas!$H:$H,Vagas!$D:$D,"",0)</f>
        <v>0</v>
      </c>
    </row>
    <row r="74" spans="1:8" x14ac:dyDescent="0.25">
      <c r="A74" s="2">
        <v>44644</v>
      </c>
      <c r="B74" s="1"/>
      <c r="C74">
        <v>1490</v>
      </c>
      <c r="D74" s="1" t="s">
        <v>174</v>
      </c>
      <c r="E74" s="1" t="s">
        <v>5</v>
      </c>
      <c r="F74">
        <v>12</v>
      </c>
      <c r="G74" s="1" t="str">
        <f>Ocupacao_DW[[#This Row],[data]]&amp;Ocupacao_DW[[#This Row],[profissional_id]]&amp;Ocupacao_DW[[#This Row],[local_id]]</f>
        <v>44644149012</v>
      </c>
      <c r="H74" s="1">
        <f>_xlfn.XLOOKUP(Ocupacao_DW[[#This Row],[Concat]],Vagas!$H:$H,Vagas!$D:$D,"",0)</f>
        <v>0</v>
      </c>
    </row>
    <row r="75" spans="1:8" x14ac:dyDescent="0.25">
      <c r="A75" s="2">
        <v>44644</v>
      </c>
      <c r="B75" s="1"/>
      <c r="C75">
        <v>1490</v>
      </c>
      <c r="D75" s="1" t="s">
        <v>174</v>
      </c>
      <c r="E75" s="1" t="s">
        <v>5</v>
      </c>
      <c r="F75">
        <v>12</v>
      </c>
      <c r="G75" s="1" t="str">
        <f>Ocupacao_DW[[#This Row],[data]]&amp;Ocupacao_DW[[#This Row],[profissional_id]]&amp;Ocupacao_DW[[#This Row],[local_id]]</f>
        <v>44644149012</v>
      </c>
      <c r="H75" s="1">
        <f>_xlfn.XLOOKUP(Ocupacao_DW[[#This Row],[Concat]],Vagas!$H:$H,Vagas!$D:$D,"",0)</f>
        <v>0</v>
      </c>
    </row>
    <row r="76" spans="1:8" x14ac:dyDescent="0.25">
      <c r="A76" s="2">
        <v>44635</v>
      </c>
      <c r="B76" s="1"/>
      <c r="C76">
        <v>69</v>
      </c>
      <c r="D76" s="1" t="s">
        <v>238</v>
      </c>
      <c r="E76" s="1" t="s">
        <v>5</v>
      </c>
      <c r="F76">
        <v>13</v>
      </c>
      <c r="G76" s="1" t="str">
        <f>Ocupacao_DW[[#This Row],[data]]&amp;Ocupacao_DW[[#This Row],[profissional_id]]&amp;Ocupacao_DW[[#This Row],[local_id]]</f>
        <v>446356913</v>
      </c>
      <c r="H76" s="1">
        <f>_xlfn.XLOOKUP(Ocupacao_DW[[#This Row],[Concat]],Vagas!$H:$H,Vagas!$D:$D,"",0)</f>
        <v>0</v>
      </c>
    </row>
    <row r="77" spans="1:8" x14ac:dyDescent="0.25">
      <c r="A77" s="2">
        <v>44644</v>
      </c>
      <c r="B77" s="1"/>
      <c r="C77">
        <v>1490</v>
      </c>
      <c r="D77" s="1" t="s">
        <v>174</v>
      </c>
      <c r="E77" s="1" t="s">
        <v>5</v>
      </c>
      <c r="F77">
        <v>12</v>
      </c>
      <c r="G77" s="1" t="str">
        <f>Ocupacao_DW[[#This Row],[data]]&amp;Ocupacao_DW[[#This Row],[profissional_id]]&amp;Ocupacao_DW[[#This Row],[local_id]]</f>
        <v>44644149012</v>
      </c>
      <c r="H77" s="1">
        <f>_xlfn.XLOOKUP(Ocupacao_DW[[#This Row],[Concat]],Vagas!$H:$H,Vagas!$D:$D,"",0)</f>
        <v>0</v>
      </c>
    </row>
    <row r="78" spans="1:8" x14ac:dyDescent="0.25">
      <c r="A78" s="2">
        <v>44636</v>
      </c>
      <c r="B78" s="1"/>
      <c r="C78">
        <v>67</v>
      </c>
      <c r="D78" s="1" t="s">
        <v>172</v>
      </c>
      <c r="E78" s="1" t="s">
        <v>6</v>
      </c>
      <c r="F78">
        <v>8</v>
      </c>
      <c r="G78" s="1" t="str">
        <f>Ocupacao_DW[[#This Row],[data]]&amp;Ocupacao_DW[[#This Row],[profissional_id]]&amp;Ocupacao_DW[[#This Row],[local_id]]</f>
        <v>44636678</v>
      </c>
      <c r="H78" s="1">
        <f>_xlfn.XLOOKUP(Ocupacao_DW[[#This Row],[Concat]],Vagas!$H:$H,Vagas!$D:$D,"",0)</f>
        <v>0</v>
      </c>
    </row>
    <row r="79" spans="1:8" x14ac:dyDescent="0.25">
      <c r="A79" s="2">
        <v>44636</v>
      </c>
      <c r="B79" s="1"/>
      <c r="C79">
        <v>12679</v>
      </c>
      <c r="D79" s="1" t="s">
        <v>192</v>
      </c>
      <c r="E79" s="1" t="s">
        <v>5</v>
      </c>
      <c r="F79">
        <v>11</v>
      </c>
      <c r="G79" s="1" t="str">
        <f>Ocupacao_DW[[#This Row],[data]]&amp;Ocupacao_DW[[#This Row],[profissional_id]]&amp;Ocupacao_DW[[#This Row],[local_id]]</f>
        <v>446361267911</v>
      </c>
      <c r="H79" s="1">
        <f>_xlfn.XLOOKUP(Ocupacao_DW[[#This Row],[Concat]],Vagas!$H:$H,Vagas!$D:$D,"",0)</f>
        <v>0</v>
      </c>
    </row>
    <row r="80" spans="1:8" x14ac:dyDescent="0.25">
      <c r="A80" s="2">
        <v>44636</v>
      </c>
      <c r="B80" s="1" t="s">
        <v>70</v>
      </c>
      <c r="C80">
        <v>12519</v>
      </c>
      <c r="D80" s="1" t="s">
        <v>176</v>
      </c>
      <c r="E80" s="1" t="s">
        <v>4</v>
      </c>
      <c r="F80">
        <v>48</v>
      </c>
      <c r="G80" s="1" t="str">
        <f>Ocupacao_DW[[#This Row],[data]]&amp;Ocupacao_DW[[#This Row],[profissional_id]]&amp;Ocupacao_DW[[#This Row],[local_id]]</f>
        <v>446361251948</v>
      </c>
      <c r="H80" s="1">
        <f>_xlfn.XLOOKUP(Ocupacao_DW[[#This Row],[Concat]],Vagas!$H:$H,Vagas!$D:$D,"",0)</f>
        <v>0</v>
      </c>
    </row>
    <row r="81" spans="1:8" x14ac:dyDescent="0.25">
      <c r="A81" s="2">
        <v>44644</v>
      </c>
      <c r="B81" s="1" t="s">
        <v>54</v>
      </c>
      <c r="C81">
        <v>1490</v>
      </c>
      <c r="D81" s="1" t="s">
        <v>174</v>
      </c>
      <c r="E81" s="1" t="s">
        <v>5</v>
      </c>
      <c r="F81">
        <v>12</v>
      </c>
      <c r="G81" s="1" t="str">
        <f>Ocupacao_DW[[#This Row],[data]]&amp;Ocupacao_DW[[#This Row],[profissional_id]]&amp;Ocupacao_DW[[#This Row],[local_id]]</f>
        <v>44644149012</v>
      </c>
      <c r="H81" s="1">
        <f>_xlfn.XLOOKUP(Ocupacao_DW[[#This Row],[Concat]],Vagas!$H:$H,Vagas!$D:$D,"",0)</f>
        <v>0</v>
      </c>
    </row>
    <row r="82" spans="1:8" x14ac:dyDescent="0.25">
      <c r="A82" s="2">
        <v>44657</v>
      </c>
      <c r="B82" s="1"/>
      <c r="C82">
        <v>1490</v>
      </c>
      <c r="D82" s="1" t="s">
        <v>174</v>
      </c>
      <c r="E82" s="1" t="s">
        <v>5</v>
      </c>
      <c r="F82">
        <v>13</v>
      </c>
      <c r="G82" s="1" t="str">
        <f>Ocupacao_DW[[#This Row],[data]]&amp;Ocupacao_DW[[#This Row],[profissional_id]]&amp;Ocupacao_DW[[#This Row],[local_id]]</f>
        <v>44657149013</v>
      </c>
      <c r="H82" s="1">
        <f>_xlfn.XLOOKUP(Ocupacao_DW[[#This Row],[Concat]],Vagas!$H:$H,Vagas!$D:$D,"",0)</f>
        <v>0</v>
      </c>
    </row>
    <row r="83" spans="1:8" x14ac:dyDescent="0.25">
      <c r="A83" s="2">
        <v>44645</v>
      </c>
      <c r="B83" s="1"/>
      <c r="C83">
        <v>1794</v>
      </c>
      <c r="D83" s="1" t="s">
        <v>235</v>
      </c>
      <c r="E83" s="1" t="s">
        <v>4</v>
      </c>
      <c r="F83">
        <v>46</v>
      </c>
      <c r="G83" s="1" t="str">
        <f>Ocupacao_DW[[#This Row],[data]]&amp;Ocupacao_DW[[#This Row],[profissional_id]]&amp;Ocupacao_DW[[#This Row],[local_id]]</f>
        <v>44645179446</v>
      </c>
      <c r="H83" s="1">
        <f>_xlfn.XLOOKUP(Ocupacao_DW[[#This Row],[Concat]],Vagas!$H:$H,Vagas!$D:$D,"",0)</f>
        <v>23</v>
      </c>
    </row>
    <row r="84" spans="1:8" x14ac:dyDescent="0.25">
      <c r="A84" s="2">
        <v>44638</v>
      </c>
      <c r="B84" s="1" t="s">
        <v>49</v>
      </c>
      <c r="C84">
        <v>6430</v>
      </c>
      <c r="D84" s="1" t="s">
        <v>188</v>
      </c>
      <c r="E84" s="1" t="s">
        <v>4</v>
      </c>
      <c r="F84">
        <v>42</v>
      </c>
      <c r="G84" s="1" t="str">
        <f>Ocupacao_DW[[#This Row],[data]]&amp;Ocupacao_DW[[#This Row],[profissional_id]]&amp;Ocupacao_DW[[#This Row],[local_id]]</f>
        <v>44638643042</v>
      </c>
      <c r="H84" s="1">
        <f>_xlfn.XLOOKUP(Ocupacao_DW[[#This Row],[Concat]],Vagas!$H:$H,Vagas!$D:$D,"",0)</f>
        <v>0</v>
      </c>
    </row>
    <row r="85" spans="1:8" x14ac:dyDescent="0.25">
      <c r="A85" s="2">
        <v>44650</v>
      </c>
      <c r="B85" s="1"/>
      <c r="C85">
        <v>1490</v>
      </c>
      <c r="D85" s="1" t="s">
        <v>174</v>
      </c>
      <c r="E85" s="1" t="s">
        <v>5</v>
      </c>
      <c r="F85">
        <v>13</v>
      </c>
      <c r="G85" s="1" t="str">
        <f>Ocupacao_DW[[#This Row],[data]]&amp;Ocupacao_DW[[#This Row],[profissional_id]]&amp;Ocupacao_DW[[#This Row],[local_id]]</f>
        <v>44650149013</v>
      </c>
      <c r="H85" s="1">
        <f>_xlfn.XLOOKUP(Ocupacao_DW[[#This Row],[Concat]],Vagas!$H:$H,Vagas!$D:$D,"",0)</f>
        <v>0</v>
      </c>
    </row>
    <row r="86" spans="1:8" x14ac:dyDescent="0.25">
      <c r="A86" s="2">
        <v>44638</v>
      </c>
      <c r="B86" s="1"/>
      <c r="C86">
        <v>2984</v>
      </c>
      <c r="D86" s="1" t="s">
        <v>185</v>
      </c>
      <c r="E86" s="1" t="s">
        <v>6</v>
      </c>
      <c r="F86">
        <v>7</v>
      </c>
      <c r="G86" s="1" t="str">
        <f>Ocupacao_DW[[#This Row],[data]]&amp;Ocupacao_DW[[#This Row],[profissional_id]]&amp;Ocupacao_DW[[#This Row],[local_id]]</f>
        <v>4463829847</v>
      </c>
      <c r="H86" s="1">
        <f>_xlfn.XLOOKUP(Ocupacao_DW[[#This Row],[Concat]],Vagas!$H:$H,Vagas!$D:$D,"",0)</f>
        <v>0</v>
      </c>
    </row>
    <row r="87" spans="1:8" x14ac:dyDescent="0.25">
      <c r="A87" s="2">
        <v>44651</v>
      </c>
      <c r="B87" s="1"/>
      <c r="C87">
        <v>1490</v>
      </c>
      <c r="D87" s="1" t="s">
        <v>174</v>
      </c>
      <c r="E87" s="1" t="s">
        <v>5</v>
      </c>
      <c r="F87">
        <v>12</v>
      </c>
      <c r="G87" s="1" t="str">
        <f>Ocupacao_DW[[#This Row],[data]]&amp;Ocupacao_DW[[#This Row],[profissional_id]]&amp;Ocupacao_DW[[#This Row],[local_id]]</f>
        <v>44651149012</v>
      </c>
      <c r="H87" s="1">
        <f>_xlfn.XLOOKUP(Ocupacao_DW[[#This Row],[Concat]],Vagas!$H:$H,Vagas!$D:$D,"",0)</f>
        <v>0</v>
      </c>
    </row>
    <row r="88" spans="1:8" x14ac:dyDescent="0.25">
      <c r="A88" s="2">
        <v>44657</v>
      </c>
      <c r="B88" s="1"/>
      <c r="C88">
        <v>12825</v>
      </c>
      <c r="D88" s="1" t="s">
        <v>177</v>
      </c>
      <c r="E88" s="1"/>
      <c r="F88">
        <v>0</v>
      </c>
      <c r="G88" s="1" t="str">
        <f>Ocupacao_DW[[#This Row],[data]]&amp;Ocupacao_DW[[#This Row],[profissional_id]]&amp;Ocupacao_DW[[#This Row],[local_id]]</f>
        <v>44657128250</v>
      </c>
      <c r="H88" s="1" t="str">
        <f>_xlfn.XLOOKUP(Ocupacao_DW[[#This Row],[Concat]],Vagas!$H:$H,Vagas!$D:$D,"",0)</f>
        <v/>
      </c>
    </row>
    <row r="89" spans="1:8" x14ac:dyDescent="0.25">
      <c r="A89" s="2">
        <v>44641</v>
      </c>
      <c r="B89" s="1"/>
      <c r="C89">
        <v>10691</v>
      </c>
      <c r="D89" s="1" t="s">
        <v>181</v>
      </c>
      <c r="E89" s="1"/>
      <c r="F89">
        <v>0</v>
      </c>
      <c r="G89" s="1" t="str">
        <f>Ocupacao_DW[[#This Row],[data]]&amp;Ocupacao_DW[[#This Row],[profissional_id]]&amp;Ocupacao_DW[[#This Row],[local_id]]</f>
        <v>44641106910</v>
      </c>
      <c r="H89" s="1" t="str">
        <f>_xlfn.XLOOKUP(Ocupacao_DW[[#This Row],[Concat]],Vagas!$H:$H,Vagas!$D:$D,"",0)</f>
        <v/>
      </c>
    </row>
    <row r="90" spans="1:8" x14ac:dyDescent="0.25">
      <c r="A90" s="2">
        <v>44637</v>
      </c>
      <c r="B90" s="1"/>
      <c r="C90">
        <v>69</v>
      </c>
      <c r="D90" s="1" t="s">
        <v>238</v>
      </c>
      <c r="E90" s="1" t="s">
        <v>200</v>
      </c>
      <c r="F90">
        <v>82</v>
      </c>
      <c r="G90" s="1" t="str">
        <f>Ocupacao_DW[[#This Row],[data]]&amp;Ocupacao_DW[[#This Row],[profissional_id]]&amp;Ocupacao_DW[[#This Row],[local_id]]</f>
        <v>446376982</v>
      </c>
      <c r="H90" s="1">
        <f>_xlfn.XLOOKUP(Ocupacao_DW[[#This Row],[Concat]],Vagas!$H:$H,Vagas!$D:$D,"",0)</f>
        <v>0</v>
      </c>
    </row>
    <row r="91" spans="1:8" x14ac:dyDescent="0.25">
      <c r="A91" s="2">
        <v>44638</v>
      </c>
      <c r="B91" s="1"/>
      <c r="C91">
        <v>1794</v>
      </c>
      <c r="D91" s="1" t="s">
        <v>235</v>
      </c>
      <c r="E91" s="1" t="s">
        <v>4</v>
      </c>
      <c r="F91">
        <v>46</v>
      </c>
      <c r="G91" s="1" t="str">
        <f>Ocupacao_DW[[#This Row],[data]]&amp;Ocupacao_DW[[#This Row],[profissional_id]]&amp;Ocupacao_DW[[#This Row],[local_id]]</f>
        <v>44638179446</v>
      </c>
      <c r="H91" s="1">
        <f>_xlfn.XLOOKUP(Ocupacao_DW[[#This Row],[Concat]],Vagas!$H:$H,Vagas!$D:$D,"",0)</f>
        <v>0</v>
      </c>
    </row>
    <row r="92" spans="1:8" x14ac:dyDescent="0.25">
      <c r="A92" s="2">
        <v>44636</v>
      </c>
      <c r="B92" s="1"/>
      <c r="C92">
        <v>57</v>
      </c>
      <c r="D92" s="1" t="s">
        <v>169</v>
      </c>
      <c r="E92" s="1" t="s">
        <v>6</v>
      </c>
      <c r="F92">
        <v>8</v>
      </c>
      <c r="G92" s="1" t="str">
        <f>Ocupacao_DW[[#This Row],[data]]&amp;Ocupacao_DW[[#This Row],[profissional_id]]&amp;Ocupacao_DW[[#This Row],[local_id]]</f>
        <v>44636578</v>
      </c>
      <c r="H92" s="1">
        <f>_xlfn.XLOOKUP(Ocupacao_DW[[#This Row],[Concat]],Vagas!$H:$H,Vagas!$D:$D,"",0)</f>
        <v>14</v>
      </c>
    </row>
    <row r="93" spans="1:8" x14ac:dyDescent="0.25">
      <c r="A93" s="2">
        <v>44649</v>
      </c>
      <c r="B93" s="1"/>
      <c r="C93">
        <v>13249</v>
      </c>
      <c r="D93" s="1" t="s">
        <v>178</v>
      </c>
      <c r="E93" s="1" t="s">
        <v>4</v>
      </c>
      <c r="F93">
        <v>45</v>
      </c>
      <c r="G93" s="1" t="str">
        <f>Ocupacao_DW[[#This Row],[data]]&amp;Ocupacao_DW[[#This Row],[profissional_id]]&amp;Ocupacao_DW[[#This Row],[local_id]]</f>
        <v>446491324945</v>
      </c>
      <c r="H93" s="1">
        <f>_xlfn.XLOOKUP(Ocupacao_DW[[#This Row],[Concat]],Vagas!$H:$H,Vagas!$D:$D,"",0)</f>
        <v>0</v>
      </c>
    </row>
    <row r="94" spans="1:8" x14ac:dyDescent="0.25">
      <c r="A94" s="2">
        <v>44643</v>
      </c>
      <c r="B94" s="1" t="s">
        <v>52</v>
      </c>
      <c r="C94">
        <v>57</v>
      </c>
      <c r="D94" s="1" t="s">
        <v>169</v>
      </c>
      <c r="E94" s="1" t="s">
        <v>6</v>
      </c>
      <c r="F94">
        <v>4</v>
      </c>
      <c r="G94" s="1" t="str">
        <f>Ocupacao_DW[[#This Row],[data]]&amp;Ocupacao_DW[[#This Row],[profissional_id]]&amp;Ocupacao_DW[[#This Row],[local_id]]</f>
        <v>44643574</v>
      </c>
      <c r="H94" s="1">
        <f>_xlfn.XLOOKUP(Ocupacao_DW[[#This Row],[Concat]],Vagas!$H:$H,Vagas!$D:$D,"",0)</f>
        <v>0</v>
      </c>
    </row>
    <row r="95" spans="1:8" x14ac:dyDescent="0.25">
      <c r="A95" s="2">
        <v>44638</v>
      </c>
      <c r="B95" s="1"/>
      <c r="C95">
        <v>2984</v>
      </c>
      <c r="D95" s="1" t="s">
        <v>185</v>
      </c>
      <c r="E95" s="1" t="s">
        <v>6</v>
      </c>
      <c r="F95">
        <v>7</v>
      </c>
      <c r="G95" s="1" t="str">
        <f>Ocupacao_DW[[#This Row],[data]]&amp;Ocupacao_DW[[#This Row],[profissional_id]]&amp;Ocupacao_DW[[#This Row],[local_id]]</f>
        <v>4463829847</v>
      </c>
      <c r="H95" s="1">
        <f>_xlfn.XLOOKUP(Ocupacao_DW[[#This Row],[Concat]],Vagas!$H:$H,Vagas!$D:$D,"",0)</f>
        <v>0</v>
      </c>
    </row>
    <row r="96" spans="1:8" x14ac:dyDescent="0.25">
      <c r="A96" s="2">
        <v>44635</v>
      </c>
      <c r="B96" s="1"/>
      <c r="C96">
        <v>73</v>
      </c>
      <c r="D96" s="1" t="s">
        <v>171</v>
      </c>
      <c r="E96" s="1" t="s">
        <v>6</v>
      </c>
      <c r="F96">
        <v>5</v>
      </c>
      <c r="G96" s="1" t="str">
        <f>Ocupacao_DW[[#This Row],[data]]&amp;Ocupacao_DW[[#This Row],[profissional_id]]&amp;Ocupacao_DW[[#This Row],[local_id]]</f>
        <v>44635735</v>
      </c>
      <c r="H96" s="1">
        <f>_xlfn.XLOOKUP(Ocupacao_DW[[#This Row],[Concat]],Vagas!$H:$H,Vagas!$D:$D,"",0)</f>
        <v>0</v>
      </c>
    </row>
    <row r="97" spans="1:8" x14ac:dyDescent="0.25">
      <c r="A97" s="2">
        <v>44635</v>
      </c>
      <c r="B97" s="1"/>
      <c r="C97">
        <v>73</v>
      </c>
      <c r="D97" s="1" t="s">
        <v>171</v>
      </c>
      <c r="E97" s="1" t="s">
        <v>6</v>
      </c>
      <c r="F97">
        <v>5</v>
      </c>
      <c r="G97" s="1" t="str">
        <f>Ocupacao_DW[[#This Row],[data]]&amp;Ocupacao_DW[[#This Row],[profissional_id]]&amp;Ocupacao_DW[[#This Row],[local_id]]</f>
        <v>44635735</v>
      </c>
      <c r="H97" s="1">
        <f>_xlfn.XLOOKUP(Ocupacao_DW[[#This Row],[Concat]],Vagas!$H:$H,Vagas!$D:$D,"",0)</f>
        <v>0</v>
      </c>
    </row>
    <row r="98" spans="1:8" x14ac:dyDescent="0.25">
      <c r="A98" s="2">
        <v>44635</v>
      </c>
      <c r="B98" s="1"/>
      <c r="C98">
        <v>110</v>
      </c>
      <c r="D98" s="1" t="s">
        <v>193</v>
      </c>
      <c r="E98" s="1" t="s">
        <v>4</v>
      </c>
      <c r="F98">
        <v>334</v>
      </c>
      <c r="G98" s="1" t="str">
        <f>Ocupacao_DW[[#This Row],[data]]&amp;Ocupacao_DW[[#This Row],[profissional_id]]&amp;Ocupacao_DW[[#This Row],[local_id]]</f>
        <v>44635110334</v>
      </c>
      <c r="H98" s="1">
        <f>_xlfn.XLOOKUP(Ocupacao_DW[[#This Row],[Concat]],Vagas!$H:$H,Vagas!$D:$D,"",0)</f>
        <v>0</v>
      </c>
    </row>
    <row r="99" spans="1:8" x14ac:dyDescent="0.25">
      <c r="A99" s="2">
        <v>44643</v>
      </c>
      <c r="B99" s="1"/>
      <c r="C99">
        <v>67</v>
      </c>
      <c r="D99" s="1" t="s">
        <v>172</v>
      </c>
      <c r="E99" s="1" t="s">
        <v>6</v>
      </c>
      <c r="F99">
        <v>8</v>
      </c>
      <c r="G99" s="1" t="str">
        <f>Ocupacao_DW[[#This Row],[data]]&amp;Ocupacao_DW[[#This Row],[profissional_id]]&amp;Ocupacao_DW[[#This Row],[local_id]]</f>
        <v>44643678</v>
      </c>
      <c r="H99" s="1">
        <f>_xlfn.XLOOKUP(Ocupacao_DW[[#This Row],[Concat]],Vagas!$H:$H,Vagas!$D:$D,"",0)</f>
        <v>0</v>
      </c>
    </row>
    <row r="100" spans="1:8" x14ac:dyDescent="0.25">
      <c r="A100" s="2">
        <v>44636</v>
      </c>
      <c r="B100" s="1" t="s">
        <v>51</v>
      </c>
      <c r="C100">
        <v>17859</v>
      </c>
      <c r="D100" s="1" t="s">
        <v>212</v>
      </c>
      <c r="E100" s="1" t="s">
        <v>6</v>
      </c>
      <c r="F100">
        <v>7</v>
      </c>
      <c r="G100" s="1" t="str">
        <f>Ocupacao_DW[[#This Row],[data]]&amp;Ocupacao_DW[[#This Row],[profissional_id]]&amp;Ocupacao_DW[[#This Row],[local_id]]</f>
        <v>44636178597</v>
      </c>
      <c r="H100" s="1">
        <f>_xlfn.XLOOKUP(Ocupacao_DW[[#This Row],[Concat]],Vagas!$H:$H,Vagas!$D:$D,"",0)</f>
        <v>0</v>
      </c>
    </row>
    <row r="101" spans="1:8" x14ac:dyDescent="0.25">
      <c r="A101" s="2">
        <v>44650</v>
      </c>
      <c r="B101" s="1"/>
      <c r="C101">
        <v>1490</v>
      </c>
      <c r="D101" s="1" t="s">
        <v>174</v>
      </c>
      <c r="E101" s="1" t="s">
        <v>5</v>
      </c>
      <c r="F101">
        <v>13</v>
      </c>
      <c r="G101" s="1" t="str">
        <f>Ocupacao_DW[[#This Row],[data]]&amp;Ocupacao_DW[[#This Row],[profissional_id]]&amp;Ocupacao_DW[[#This Row],[local_id]]</f>
        <v>44650149013</v>
      </c>
      <c r="H101" s="1">
        <f>_xlfn.XLOOKUP(Ocupacao_DW[[#This Row],[Concat]],Vagas!$H:$H,Vagas!$D:$D,"",0)</f>
        <v>0</v>
      </c>
    </row>
    <row r="102" spans="1:8" x14ac:dyDescent="0.25">
      <c r="A102" s="2">
        <v>44635</v>
      </c>
      <c r="B102" s="1"/>
      <c r="C102">
        <v>73</v>
      </c>
      <c r="D102" s="1" t="s">
        <v>171</v>
      </c>
      <c r="E102" s="1" t="s">
        <v>6</v>
      </c>
      <c r="F102">
        <v>5</v>
      </c>
      <c r="G102" s="1" t="str">
        <f>Ocupacao_DW[[#This Row],[data]]&amp;Ocupacao_DW[[#This Row],[profissional_id]]&amp;Ocupacao_DW[[#This Row],[local_id]]</f>
        <v>44635735</v>
      </c>
      <c r="H102" s="1">
        <f>_xlfn.XLOOKUP(Ocupacao_DW[[#This Row],[Concat]],Vagas!$H:$H,Vagas!$D:$D,"",0)</f>
        <v>0</v>
      </c>
    </row>
    <row r="103" spans="1:8" x14ac:dyDescent="0.25">
      <c r="A103" s="2">
        <v>44645</v>
      </c>
      <c r="B103" s="1"/>
      <c r="C103">
        <v>2984</v>
      </c>
      <c r="D103" s="1" t="s">
        <v>185</v>
      </c>
      <c r="E103" s="1" t="s">
        <v>6</v>
      </c>
      <c r="F103">
        <v>7</v>
      </c>
      <c r="G103" s="1" t="str">
        <f>Ocupacao_DW[[#This Row],[data]]&amp;Ocupacao_DW[[#This Row],[profissional_id]]&amp;Ocupacao_DW[[#This Row],[local_id]]</f>
        <v>4464529847</v>
      </c>
      <c r="H103" s="1">
        <f>_xlfn.XLOOKUP(Ocupacao_DW[[#This Row],[Concat]],Vagas!$H:$H,Vagas!$D:$D,"",0)</f>
        <v>0</v>
      </c>
    </row>
    <row r="104" spans="1:8" x14ac:dyDescent="0.25">
      <c r="A104" s="2">
        <v>44641</v>
      </c>
      <c r="B104" s="1"/>
      <c r="C104">
        <v>75</v>
      </c>
      <c r="D104" s="1" t="s">
        <v>208</v>
      </c>
      <c r="E104" s="1"/>
      <c r="F104">
        <v>0</v>
      </c>
      <c r="G104" s="1" t="str">
        <f>Ocupacao_DW[[#This Row],[data]]&amp;Ocupacao_DW[[#This Row],[profissional_id]]&amp;Ocupacao_DW[[#This Row],[local_id]]</f>
        <v>44641750</v>
      </c>
      <c r="H104" s="1" t="str">
        <f>_xlfn.XLOOKUP(Ocupacao_DW[[#This Row],[Concat]],Vagas!$H:$H,Vagas!$D:$D,"",0)</f>
        <v/>
      </c>
    </row>
    <row r="105" spans="1:8" x14ac:dyDescent="0.25">
      <c r="A105" s="2">
        <v>44638</v>
      </c>
      <c r="B105" s="1"/>
      <c r="C105">
        <v>86</v>
      </c>
      <c r="D105" s="1" t="s">
        <v>175</v>
      </c>
      <c r="E105" s="1" t="s">
        <v>5</v>
      </c>
      <c r="F105">
        <v>349</v>
      </c>
      <c r="G105" s="1" t="str">
        <f>Ocupacao_DW[[#This Row],[data]]&amp;Ocupacao_DW[[#This Row],[profissional_id]]&amp;Ocupacao_DW[[#This Row],[local_id]]</f>
        <v>4463886349</v>
      </c>
      <c r="H105" s="1">
        <f>_xlfn.XLOOKUP(Ocupacao_DW[[#This Row],[Concat]],Vagas!$H:$H,Vagas!$D:$D,"",0)</f>
        <v>0</v>
      </c>
    </row>
    <row r="106" spans="1:8" x14ac:dyDescent="0.25">
      <c r="A106" s="2">
        <v>44636</v>
      </c>
      <c r="B106" s="1"/>
      <c r="C106">
        <v>60</v>
      </c>
      <c r="D106" s="1" t="s">
        <v>217</v>
      </c>
      <c r="E106" s="1"/>
      <c r="F106">
        <v>0</v>
      </c>
      <c r="G106" s="1" t="str">
        <f>Ocupacao_DW[[#This Row],[data]]&amp;Ocupacao_DW[[#This Row],[profissional_id]]&amp;Ocupacao_DW[[#This Row],[local_id]]</f>
        <v>44636600</v>
      </c>
      <c r="H106" s="1" t="str">
        <f>_xlfn.XLOOKUP(Ocupacao_DW[[#This Row],[Concat]],Vagas!$H:$H,Vagas!$D:$D,"",0)</f>
        <v/>
      </c>
    </row>
    <row r="107" spans="1:8" x14ac:dyDescent="0.25">
      <c r="A107" s="2">
        <v>44636</v>
      </c>
      <c r="B107" s="1"/>
      <c r="C107">
        <v>67</v>
      </c>
      <c r="D107" s="1" t="s">
        <v>172</v>
      </c>
      <c r="E107" s="1" t="s">
        <v>6</v>
      </c>
      <c r="F107">
        <v>8</v>
      </c>
      <c r="G107" s="1" t="str">
        <f>Ocupacao_DW[[#This Row],[data]]&amp;Ocupacao_DW[[#This Row],[profissional_id]]&amp;Ocupacao_DW[[#This Row],[local_id]]</f>
        <v>44636678</v>
      </c>
      <c r="H107" s="1">
        <f>_xlfn.XLOOKUP(Ocupacao_DW[[#This Row],[Concat]],Vagas!$H:$H,Vagas!$D:$D,"",0)</f>
        <v>0</v>
      </c>
    </row>
    <row r="108" spans="1:8" x14ac:dyDescent="0.25">
      <c r="A108" s="2">
        <v>44651</v>
      </c>
      <c r="B108" s="1"/>
      <c r="C108">
        <v>1490</v>
      </c>
      <c r="D108" s="1" t="s">
        <v>174</v>
      </c>
      <c r="E108" s="1" t="s">
        <v>5</v>
      </c>
      <c r="F108">
        <v>12</v>
      </c>
      <c r="G108" s="1" t="str">
        <f>Ocupacao_DW[[#This Row],[data]]&amp;Ocupacao_DW[[#This Row],[profissional_id]]&amp;Ocupacao_DW[[#This Row],[local_id]]</f>
        <v>44651149012</v>
      </c>
      <c r="H108" s="1">
        <f>_xlfn.XLOOKUP(Ocupacao_DW[[#This Row],[Concat]],Vagas!$H:$H,Vagas!$D:$D,"",0)</f>
        <v>0</v>
      </c>
    </row>
    <row r="109" spans="1:8" x14ac:dyDescent="0.25">
      <c r="A109" s="2">
        <v>44636</v>
      </c>
      <c r="B109" s="1" t="s">
        <v>54</v>
      </c>
      <c r="C109">
        <v>1490</v>
      </c>
      <c r="D109" s="1" t="s">
        <v>174</v>
      </c>
      <c r="E109" s="1" t="s">
        <v>5</v>
      </c>
      <c r="F109">
        <v>13</v>
      </c>
      <c r="G109" s="1" t="str">
        <f>Ocupacao_DW[[#This Row],[data]]&amp;Ocupacao_DW[[#This Row],[profissional_id]]&amp;Ocupacao_DW[[#This Row],[local_id]]</f>
        <v>44636149013</v>
      </c>
      <c r="H109" s="1">
        <f>_xlfn.XLOOKUP(Ocupacao_DW[[#This Row],[Concat]],Vagas!$H:$H,Vagas!$D:$D,"",0)</f>
        <v>0</v>
      </c>
    </row>
    <row r="110" spans="1:8" x14ac:dyDescent="0.25">
      <c r="A110" s="2">
        <v>44641</v>
      </c>
      <c r="B110" s="1"/>
      <c r="C110">
        <v>117</v>
      </c>
      <c r="D110" s="1" t="s">
        <v>180</v>
      </c>
      <c r="E110" s="1" t="s">
        <v>4</v>
      </c>
      <c r="F110">
        <v>48</v>
      </c>
      <c r="G110" s="1" t="str">
        <f>Ocupacao_DW[[#This Row],[data]]&amp;Ocupacao_DW[[#This Row],[profissional_id]]&amp;Ocupacao_DW[[#This Row],[local_id]]</f>
        <v>4464111748</v>
      </c>
      <c r="H110" s="1">
        <f>_xlfn.XLOOKUP(Ocupacao_DW[[#This Row],[Concat]],Vagas!$H:$H,Vagas!$D:$D,"",0)</f>
        <v>0</v>
      </c>
    </row>
    <row r="111" spans="1:8" x14ac:dyDescent="0.25">
      <c r="A111" s="2">
        <v>44637</v>
      </c>
      <c r="B111" s="1"/>
      <c r="C111">
        <v>1490</v>
      </c>
      <c r="D111" s="1" t="s">
        <v>174</v>
      </c>
      <c r="E111" s="1" t="s">
        <v>167</v>
      </c>
      <c r="F111">
        <v>344</v>
      </c>
      <c r="G111" s="1" t="str">
        <f>Ocupacao_DW[[#This Row],[data]]&amp;Ocupacao_DW[[#This Row],[profissional_id]]&amp;Ocupacao_DW[[#This Row],[local_id]]</f>
        <v>446371490344</v>
      </c>
      <c r="H111" s="1">
        <f>_xlfn.XLOOKUP(Ocupacao_DW[[#This Row],[Concat]],Vagas!$H:$H,Vagas!$D:$D,"",0)</f>
        <v>0</v>
      </c>
    </row>
    <row r="112" spans="1:8" x14ac:dyDescent="0.25">
      <c r="A112" s="2">
        <v>44637</v>
      </c>
      <c r="B112" s="1"/>
      <c r="C112">
        <v>1490</v>
      </c>
      <c r="D112" s="1" t="s">
        <v>174</v>
      </c>
      <c r="E112" s="1" t="s">
        <v>167</v>
      </c>
      <c r="F112">
        <v>344</v>
      </c>
      <c r="G112" s="1" t="str">
        <f>Ocupacao_DW[[#This Row],[data]]&amp;Ocupacao_DW[[#This Row],[profissional_id]]&amp;Ocupacao_DW[[#This Row],[local_id]]</f>
        <v>446371490344</v>
      </c>
      <c r="H112" s="1">
        <f>_xlfn.XLOOKUP(Ocupacao_DW[[#This Row],[Concat]],Vagas!$H:$H,Vagas!$D:$D,"",0)</f>
        <v>0</v>
      </c>
    </row>
    <row r="113" spans="1:8" x14ac:dyDescent="0.25">
      <c r="A113" s="2">
        <v>44635</v>
      </c>
      <c r="B113" s="1" t="s">
        <v>55</v>
      </c>
      <c r="C113">
        <v>73</v>
      </c>
      <c r="D113" s="1" t="s">
        <v>171</v>
      </c>
      <c r="E113" s="1" t="s">
        <v>6</v>
      </c>
      <c r="F113">
        <v>5</v>
      </c>
      <c r="G113" s="1" t="str">
        <f>Ocupacao_DW[[#This Row],[data]]&amp;Ocupacao_DW[[#This Row],[profissional_id]]&amp;Ocupacao_DW[[#This Row],[local_id]]</f>
        <v>44635735</v>
      </c>
      <c r="H113" s="1">
        <f>_xlfn.XLOOKUP(Ocupacao_DW[[#This Row],[Concat]],Vagas!$H:$H,Vagas!$D:$D,"",0)</f>
        <v>0</v>
      </c>
    </row>
    <row r="114" spans="1:8" x14ac:dyDescent="0.25">
      <c r="A114" s="2">
        <v>44657</v>
      </c>
      <c r="B114" s="1"/>
      <c r="C114">
        <v>12519</v>
      </c>
      <c r="D114" s="1" t="s">
        <v>176</v>
      </c>
      <c r="E114" s="1" t="s">
        <v>4</v>
      </c>
      <c r="F114">
        <v>48</v>
      </c>
      <c r="G114" s="1" t="str">
        <f>Ocupacao_DW[[#This Row],[data]]&amp;Ocupacao_DW[[#This Row],[profissional_id]]&amp;Ocupacao_DW[[#This Row],[local_id]]</f>
        <v>446571251948</v>
      </c>
      <c r="H114" s="1">
        <f>_xlfn.XLOOKUP(Ocupacao_DW[[#This Row],[Concat]],Vagas!$H:$H,Vagas!$D:$D,"",0)</f>
        <v>0</v>
      </c>
    </row>
    <row r="115" spans="1:8" x14ac:dyDescent="0.25">
      <c r="A115" s="2">
        <v>44636</v>
      </c>
      <c r="B115" s="1"/>
      <c r="C115">
        <v>12519</v>
      </c>
      <c r="D115" s="1" t="s">
        <v>176</v>
      </c>
      <c r="E115" s="1" t="s">
        <v>4</v>
      </c>
      <c r="F115">
        <v>48</v>
      </c>
      <c r="G115" s="1" t="str">
        <f>Ocupacao_DW[[#This Row],[data]]&amp;Ocupacao_DW[[#This Row],[profissional_id]]&amp;Ocupacao_DW[[#This Row],[local_id]]</f>
        <v>446361251948</v>
      </c>
      <c r="H115" s="1">
        <f>_xlfn.XLOOKUP(Ocupacao_DW[[#This Row],[Concat]],Vagas!$H:$H,Vagas!$D:$D,"",0)</f>
        <v>0</v>
      </c>
    </row>
    <row r="116" spans="1:8" x14ac:dyDescent="0.25">
      <c r="A116" s="2">
        <v>44636</v>
      </c>
      <c r="B116" s="1"/>
      <c r="C116">
        <v>531</v>
      </c>
      <c r="D116" s="1" t="s">
        <v>213</v>
      </c>
      <c r="E116" s="1" t="s">
        <v>5</v>
      </c>
      <c r="F116">
        <v>12</v>
      </c>
      <c r="G116" s="1" t="str">
        <f>Ocupacao_DW[[#This Row],[data]]&amp;Ocupacao_DW[[#This Row],[profissional_id]]&amp;Ocupacao_DW[[#This Row],[local_id]]</f>
        <v>4463653112</v>
      </c>
      <c r="H116" s="1">
        <f>_xlfn.XLOOKUP(Ocupacao_DW[[#This Row],[Concat]],Vagas!$H:$H,Vagas!$D:$D,"",0)</f>
        <v>0</v>
      </c>
    </row>
    <row r="117" spans="1:8" x14ac:dyDescent="0.25">
      <c r="A117" s="2">
        <v>44636</v>
      </c>
      <c r="B117" s="1"/>
      <c r="C117">
        <v>74</v>
      </c>
      <c r="D117" s="1" t="s">
        <v>182</v>
      </c>
      <c r="E117" s="1" t="s">
        <v>6</v>
      </c>
      <c r="F117">
        <v>7</v>
      </c>
      <c r="G117" s="1" t="str">
        <f>Ocupacao_DW[[#This Row],[data]]&amp;Ocupacao_DW[[#This Row],[profissional_id]]&amp;Ocupacao_DW[[#This Row],[local_id]]</f>
        <v>44636747</v>
      </c>
      <c r="H117" s="1">
        <f>_xlfn.XLOOKUP(Ocupacao_DW[[#This Row],[Concat]],Vagas!$H:$H,Vagas!$D:$D,"",0)</f>
        <v>0</v>
      </c>
    </row>
    <row r="118" spans="1:8" x14ac:dyDescent="0.25">
      <c r="A118" s="2">
        <v>44636</v>
      </c>
      <c r="B118" s="1" t="s">
        <v>70</v>
      </c>
      <c r="C118">
        <v>12519</v>
      </c>
      <c r="D118" s="1" t="s">
        <v>176</v>
      </c>
      <c r="E118" s="1" t="s">
        <v>4</v>
      </c>
      <c r="F118">
        <v>48</v>
      </c>
      <c r="G118" s="1" t="str">
        <f>Ocupacao_DW[[#This Row],[data]]&amp;Ocupacao_DW[[#This Row],[profissional_id]]&amp;Ocupacao_DW[[#This Row],[local_id]]</f>
        <v>446361251948</v>
      </c>
      <c r="H118" s="1">
        <f>_xlfn.XLOOKUP(Ocupacao_DW[[#This Row],[Concat]],Vagas!$H:$H,Vagas!$D:$D,"",0)</f>
        <v>0</v>
      </c>
    </row>
    <row r="119" spans="1:8" x14ac:dyDescent="0.25">
      <c r="A119" s="2">
        <v>44658</v>
      </c>
      <c r="B119" s="1"/>
      <c r="C119">
        <v>1490</v>
      </c>
      <c r="D119" s="1" t="s">
        <v>174</v>
      </c>
      <c r="E119" s="1" t="s">
        <v>167</v>
      </c>
      <c r="F119">
        <v>344</v>
      </c>
      <c r="G119" s="1" t="str">
        <f>Ocupacao_DW[[#This Row],[data]]&amp;Ocupacao_DW[[#This Row],[profissional_id]]&amp;Ocupacao_DW[[#This Row],[local_id]]</f>
        <v>446581490344</v>
      </c>
      <c r="H119" s="1">
        <f>_xlfn.XLOOKUP(Ocupacao_DW[[#This Row],[Concat]],Vagas!$H:$H,Vagas!$D:$D,"",0)</f>
        <v>0</v>
      </c>
    </row>
    <row r="120" spans="1:8" x14ac:dyDescent="0.25">
      <c r="A120" s="2">
        <v>44638</v>
      </c>
      <c r="B120" s="1"/>
      <c r="C120">
        <v>60</v>
      </c>
      <c r="D120" s="1" t="s">
        <v>217</v>
      </c>
      <c r="E120" s="1"/>
      <c r="F120">
        <v>0</v>
      </c>
      <c r="G120" s="1" t="str">
        <f>Ocupacao_DW[[#This Row],[data]]&amp;Ocupacao_DW[[#This Row],[profissional_id]]&amp;Ocupacao_DW[[#This Row],[local_id]]</f>
        <v>44638600</v>
      </c>
      <c r="H120" s="1" t="str">
        <f>_xlfn.XLOOKUP(Ocupacao_DW[[#This Row],[Concat]],Vagas!$H:$H,Vagas!$D:$D,"",0)</f>
        <v/>
      </c>
    </row>
    <row r="121" spans="1:8" x14ac:dyDescent="0.25">
      <c r="A121" s="2">
        <v>44636</v>
      </c>
      <c r="B121" s="1" t="s">
        <v>70</v>
      </c>
      <c r="C121">
        <v>12519</v>
      </c>
      <c r="D121" s="1" t="s">
        <v>176</v>
      </c>
      <c r="E121" s="1" t="s">
        <v>4</v>
      </c>
      <c r="F121">
        <v>48</v>
      </c>
      <c r="G121" s="1" t="str">
        <f>Ocupacao_DW[[#This Row],[data]]&amp;Ocupacao_DW[[#This Row],[profissional_id]]&amp;Ocupacao_DW[[#This Row],[local_id]]</f>
        <v>446361251948</v>
      </c>
      <c r="H121" s="1">
        <f>_xlfn.XLOOKUP(Ocupacao_DW[[#This Row],[Concat]],Vagas!$H:$H,Vagas!$D:$D,"",0)</f>
        <v>0</v>
      </c>
    </row>
    <row r="122" spans="1:8" x14ac:dyDescent="0.25">
      <c r="A122" s="2">
        <v>44636</v>
      </c>
      <c r="B122" s="1"/>
      <c r="C122">
        <v>1490</v>
      </c>
      <c r="D122" s="1" t="s">
        <v>174</v>
      </c>
      <c r="E122" s="1" t="s">
        <v>5</v>
      </c>
      <c r="F122">
        <v>13</v>
      </c>
      <c r="G122" s="1" t="str">
        <f>Ocupacao_DW[[#This Row],[data]]&amp;Ocupacao_DW[[#This Row],[profissional_id]]&amp;Ocupacao_DW[[#This Row],[local_id]]</f>
        <v>44636149013</v>
      </c>
      <c r="H122" s="1">
        <f>_xlfn.XLOOKUP(Ocupacao_DW[[#This Row],[Concat]],Vagas!$H:$H,Vagas!$D:$D,"",0)</f>
        <v>0</v>
      </c>
    </row>
    <row r="123" spans="1:8" x14ac:dyDescent="0.25">
      <c r="A123" s="2">
        <v>44637</v>
      </c>
      <c r="B123" s="1" t="s">
        <v>64</v>
      </c>
      <c r="C123">
        <v>85</v>
      </c>
      <c r="D123" s="1" t="s">
        <v>211</v>
      </c>
      <c r="E123" s="1" t="s">
        <v>5</v>
      </c>
      <c r="F123">
        <v>349</v>
      </c>
      <c r="G123" s="1" t="str">
        <f>Ocupacao_DW[[#This Row],[data]]&amp;Ocupacao_DW[[#This Row],[profissional_id]]&amp;Ocupacao_DW[[#This Row],[local_id]]</f>
        <v>4463785349</v>
      </c>
      <c r="H123" s="1">
        <f>_xlfn.XLOOKUP(Ocupacao_DW[[#This Row],[Concat]],Vagas!$H:$H,Vagas!$D:$D,"",0)</f>
        <v>0</v>
      </c>
    </row>
    <row r="124" spans="1:8" x14ac:dyDescent="0.25">
      <c r="A124" s="2">
        <v>44658</v>
      </c>
      <c r="B124" s="1"/>
      <c r="C124">
        <v>1490</v>
      </c>
      <c r="D124" s="1" t="s">
        <v>174</v>
      </c>
      <c r="E124" s="1" t="s">
        <v>167</v>
      </c>
      <c r="F124">
        <v>344</v>
      </c>
      <c r="G124" s="1" t="str">
        <f>Ocupacao_DW[[#This Row],[data]]&amp;Ocupacao_DW[[#This Row],[profissional_id]]&amp;Ocupacao_DW[[#This Row],[local_id]]</f>
        <v>446581490344</v>
      </c>
      <c r="H124" s="1">
        <f>_xlfn.XLOOKUP(Ocupacao_DW[[#This Row],[Concat]],Vagas!$H:$H,Vagas!$D:$D,"",0)</f>
        <v>0</v>
      </c>
    </row>
    <row r="125" spans="1:8" x14ac:dyDescent="0.25">
      <c r="A125" s="2">
        <v>44658</v>
      </c>
      <c r="B125" s="1"/>
      <c r="C125">
        <v>1490</v>
      </c>
      <c r="D125" s="1" t="s">
        <v>174</v>
      </c>
      <c r="E125" s="1" t="s">
        <v>167</v>
      </c>
      <c r="F125">
        <v>344</v>
      </c>
      <c r="G125" s="1" t="str">
        <f>Ocupacao_DW[[#This Row],[data]]&amp;Ocupacao_DW[[#This Row],[profissional_id]]&amp;Ocupacao_DW[[#This Row],[local_id]]</f>
        <v>446581490344</v>
      </c>
      <c r="H125" s="1">
        <f>_xlfn.XLOOKUP(Ocupacao_DW[[#This Row],[Concat]],Vagas!$H:$H,Vagas!$D:$D,"",0)</f>
        <v>0</v>
      </c>
    </row>
    <row r="126" spans="1:8" x14ac:dyDescent="0.25">
      <c r="A126" s="2">
        <v>44641</v>
      </c>
      <c r="B126" s="1"/>
      <c r="C126">
        <v>13061</v>
      </c>
      <c r="D126" s="1" t="s">
        <v>232</v>
      </c>
      <c r="E126" s="1"/>
      <c r="F126">
        <v>0</v>
      </c>
      <c r="G126" s="1" t="str">
        <f>Ocupacao_DW[[#This Row],[data]]&amp;Ocupacao_DW[[#This Row],[profissional_id]]&amp;Ocupacao_DW[[#This Row],[local_id]]</f>
        <v>44641130610</v>
      </c>
      <c r="H126" s="1" t="str">
        <f>_xlfn.XLOOKUP(Ocupacao_DW[[#This Row],[Concat]],Vagas!$H:$H,Vagas!$D:$D,"",0)</f>
        <v/>
      </c>
    </row>
    <row r="127" spans="1:8" x14ac:dyDescent="0.25">
      <c r="A127" s="2">
        <v>44641</v>
      </c>
      <c r="B127" s="1" t="s">
        <v>69</v>
      </c>
      <c r="C127">
        <v>13249</v>
      </c>
      <c r="D127" s="1" t="s">
        <v>178</v>
      </c>
      <c r="E127" s="1" t="s">
        <v>4</v>
      </c>
      <c r="F127">
        <v>45</v>
      </c>
      <c r="G127" s="1" t="str">
        <f>Ocupacao_DW[[#This Row],[data]]&amp;Ocupacao_DW[[#This Row],[profissional_id]]&amp;Ocupacao_DW[[#This Row],[local_id]]</f>
        <v>446411324945</v>
      </c>
      <c r="H127" s="1">
        <f>_xlfn.XLOOKUP(Ocupacao_DW[[#This Row],[Concat]],Vagas!$H:$H,Vagas!$D:$D,"",0)</f>
        <v>0</v>
      </c>
    </row>
    <row r="128" spans="1:8" x14ac:dyDescent="0.25">
      <c r="A128" s="2">
        <v>44650</v>
      </c>
      <c r="B128" s="1"/>
      <c r="C128">
        <v>67</v>
      </c>
      <c r="D128" s="1" t="s">
        <v>172</v>
      </c>
      <c r="E128" s="1" t="s">
        <v>6</v>
      </c>
      <c r="F128">
        <v>8</v>
      </c>
      <c r="G128" s="1" t="str">
        <f>Ocupacao_DW[[#This Row],[data]]&amp;Ocupacao_DW[[#This Row],[profissional_id]]&amp;Ocupacao_DW[[#This Row],[local_id]]</f>
        <v>44650678</v>
      </c>
      <c r="H128" s="1">
        <f>_xlfn.XLOOKUP(Ocupacao_DW[[#This Row],[Concat]],Vagas!$H:$H,Vagas!$D:$D,"",0)</f>
        <v>0</v>
      </c>
    </row>
    <row r="129" spans="1:8" x14ac:dyDescent="0.25">
      <c r="A129" s="2">
        <v>44637</v>
      </c>
      <c r="B129" s="1"/>
      <c r="C129">
        <v>74</v>
      </c>
      <c r="D129" s="1" t="s">
        <v>182</v>
      </c>
      <c r="E129" s="1" t="s">
        <v>6</v>
      </c>
      <c r="F129">
        <v>7</v>
      </c>
      <c r="G129" s="1" t="str">
        <f>Ocupacao_DW[[#This Row],[data]]&amp;Ocupacao_DW[[#This Row],[profissional_id]]&amp;Ocupacao_DW[[#This Row],[local_id]]</f>
        <v>44637747</v>
      </c>
      <c r="H129" s="1">
        <f>_xlfn.XLOOKUP(Ocupacao_DW[[#This Row],[Concat]],Vagas!$H:$H,Vagas!$D:$D,"",0)</f>
        <v>0</v>
      </c>
    </row>
    <row r="130" spans="1:8" x14ac:dyDescent="0.25">
      <c r="A130" s="2">
        <v>44636</v>
      </c>
      <c r="B130" s="1"/>
      <c r="C130">
        <v>67</v>
      </c>
      <c r="D130" s="1" t="s">
        <v>172</v>
      </c>
      <c r="E130" s="1" t="s">
        <v>6</v>
      </c>
      <c r="F130">
        <v>8</v>
      </c>
      <c r="G130" s="1" t="str">
        <f>Ocupacao_DW[[#This Row],[data]]&amp;Ocupacao_DW[[#This Row],[profissional_id]]&amp;Ocupacao_DW[[#This Row],[local_id]]</f>
        <v>44636678</v>
      </c>
      <c r="H130" s="1">
        <f>_xlfn.XLOOKUP(Ocupacao_DW[[#This Row],[Concat]],Vagas!$H:$H,Vagas!$D:$D,"",0)</f>
        <v>0</v>
      </c>
    </row>
    <row r="131" spans="1:8" x14ac:dyDescent="0.25">
      <c r="A131" s="2">
        <v>44646</v>
      </c>
      <c r="B131" s="1"/>
      <c r="C131">
        <v>4887</v>
      </c>
      <c r="D131" s="1" t="s">
        <v>168</v>
      </c>
      <c r="E131" s="1" t="s">
        <v>5</v>
      </c>
      <c r="F131">
        <v>18</v>
      </c>
      <c r="G131" s="1" t="str">
        <f>Ocupacao_DW[[#This Row],[data]]&amp;Ocupacao_DW[[#This Row],[profissional_id]]&amp;Ocupacao_DW[[#This Row],[local_id]]</f>
        <v>44646488718</v>
      </c>
      <c r="H131" s="1">
        <f>_xlfn.XLOOKUP(Ocupacao_DW[[#This Row],[Concat]],Vagas!$H:$H,Vagas!$D:$D,"",0)</f>
        <v>0</v>
      </c>
    </row>
    <row r="132" spans="1:8" x14ac:dyDescent="0.25">
      <c r="A132" s="2">
        <v>44641</v>
      </c>
      <c r="B132" s="1"/>
      <c r="C132">
        <v>6392</v>
      </c>
      <c r="D132" s="1" t="s">
        <v>173</v>
      </c>
      <c r="E132" s="1" t="s">
        <v>167</v>
      </c>
      <c r="F132">
        <v>342</v>
      </c>
      <c r="G132" s="1" t="str">
        <f>Ocupacao_DW[[#This Row],[data]]&amp;Ocupacao_DW[[#This Row],[profissional_id]]&amp;Ocupacao_DW[[#This Row],[local_id]]</f>
        <v>446416392342</v>
      </c>
      <c r="H132" s="1">
        <f>_xlfn.XLOOKUP(Ocupacao_DW[[#This Row],[Concat]],Vagas!$H:$H,Vagas!$D:$D,"",0)</f>
        <v>8</v>
      </c>
    </row>
    <row r="133" spans="1:8" x14ac:dyDescent="0.25">
      <c r="A133" s="2">
        <v>44643</v>
      </c>
      <c r="B133" s="1"/>
      <c r="C133">
        <v>74</v>
      </c>
      <c r="D133" s="1" t="s">
        <v>182</v>
      </c>
      <c r="E133" s="1" t="s">
        <v>6</v>
      </c>
      <c r="F133">
        <v>7</v>
      </c>
      <c r="G133" s="1" t="str">
        <f>Ocupacao_DW[[#This Row],[data]]&amp;Ocupacao_DW[[#This Row],[profissional_id]]&amp;Ocupacao_DW[[#This Row],[local_id]]</f>
        <v>44643747</v>
      </c>
      <c r="H133" s="1">
        <f>_xlfn.XLOOKUP(Ocupacao_DW[[#This Row],[Concat]],Vagas!$H:$H,Vagas!$D:$D,"",0)</f>
        <v>0</v>
      </c>
    </row>
    <row r="134" spans="1:8" x14ac:dyDescent="0.25">
      <c r="A134" s="2">
        <v>44635</v>
      </c>
      <c r="B134" s="1"/>
      <c r="C134">
        <v>13249</v>
      </c>
      <c r="D134" s="1" t="s">
        <v>178</v>
      </c>
      <c r="E134" s="1" t="s">
        <v>4</v>
      </c>
      <c r="F134">
        <v>45</v>
      </c>
      <c r="G134" s="1" t="str">
        <f>Ocupacao_DW[[#This Row],[data]]&amp;Ocupacao_DW[[#This Row],[profissional_id]]&amp;Ocupacao_DW[[#This Row],[local_id]]</f>
        <v>446351324945</v>
      </c>
      <c r="H134" s="1">
        <f>_xlfn.XLOOKUP(Ocupacao_DW[[#This Row],[Concat]],Vagas!$H:$H,Vagas!$D:$D,"",0)</f>
        <v>0</v>
      </c>
    </row>
    <row r="135" spans="1:8" x14ac:dyDescent="0.25">
      <c r="A135" s="2">
        <v>44636</v>
      </c>
      <c r="B135" s="1"/>
      <c r="C135">
        <v>12679</v>
      </c>
      <c r="D135" s="1" t="s">
        <v>192</v>
      </c>
      <c r="E135" s="1" t="s">
        <v>5</v>
      </c>
      <c r="F135">
        <v>11</v>
      </c>
      <c r="G135" s="1" t="str">
        <f>Ocupacao_DW[[#This Row],[data]]&amp;Ocupacao_DW[[#This Row],[profissional_id]]&amp;Ocupacao_DW[[#This Row],[local_id]]</f>
        <v>446361267911</v>
      </c>
      <c r="H135" s="1">
        <f>_xlfn.XLOOKUP(Ocupacao_DW[[#This Row],[Concat]],Vagas!$H:$H,Vagas!$D:$D,"",0)</f>
        <v>0</v>
      </c>
    </row>
    <row r="136" spans="1:8" x14ac:dyDescent="0.25">
      <c r="A136" s="2">
        <v>44636</v>
      </c>
      <c r="B136" s="1"/>
      <c r="C136">
        <v>1490</v>
      </c>
      <c r="D136" s="1" t="s">
        <v>174</v>
      </c>
      <c r="E136" s="1" t="s">
        <v>5</v>
      </c>
      <c r="F136">
        <v>13</v>
      </c>
      <c r="G136" s="1" t="str">
        <f>Ocupacao_DW[[#This Row],[data]]&amp;Ocupacao_DW[[#This Row],[profissional_id]]&amp;Ocupacao_DW[[#This Row],[local_id]]</f>
        <v>44636149013</v>
      </c>
      <c r="H136" s="1">
        <f>_xlfn.XLOOKUP(Ocupacao_DW[[#This Row],[Concat]],Vagas!$H:$H,Vagas!$D:$D,"",0)</f>
        <v>0</v>
      </c>
    </row>
    <row r="137" spans="1:8" x14ac:dyDescent="0.25">
      <c r="A137" s="2">
        <v>44635</v>
      </c>
      <c r="B137" s="1"/>
      <c r="C137">
        <v>13249</v>
      </c>
      <c r="D137" s="1" t="s">
        <v>178</v>
      </c>
      <c r="E137" s="1" t="s">
        <v>4</v>
      </c>
      <c r="F137">
        <v>45</v>
      </c>
      <c r="G137" s="1" t="str">
        <f>Ocupacao_DW[[#This Row],[data]]&amp;Ocupacao_DW[[#This Row],[profissional_id]]&amp;Ocupacao_DW[[#This Row],[local_id]]</f>
        <v>446351324945</v>
      </c>
      <c r="H137" s="1">
        <f>_xlfn.XLOOKUP(Ocupacao_DW[[#This Row],[Concat]],Vagas!$H:$H,Vagas!$D:$D,"",0)</f>
        <v>0</v>
      </c>
    </row>
    <row r="138" spans="1:8" x14ac:dyDescent="0.25">
      <c r="A138" s="2">
        <v>44646</v>
      </c>
      <c r="B138" s="1"/>
      <c r="C138">
        <v>4887</v>
      </c>
      <c r="D138" s="1" t="s">
        <v>168</v>
      </c>
      <c r="E138" s="1" t="s">
        <v>5</v>
      </c>
      <c r="F138">
        <v>18</v>
      </c>
      <c r="G138" s="1" t="str">
        <f>Ocupacao_DW[[#This Row],[data]]&amp;Ocupacao_DW[[#This Row],[profissional_id]]&amp;Ocupacao_DW[[#This Row],[local_id]]</f>
        <v>44646488718</v>
      </c>
      <c r="H138" s="1">
        <f>_xlfn.XLOOKUP(Ocupacao_DW[[#This Row],[Concat]],Vagas!$H:$H,Vagas!$D:$D,"",0)</f>
        <v>0</v>
      </c>
    </row>
    <row r="139" spans="1:8" x14ac:dyDescent="0.25">
      <c r="A139" s="2">
        <v>44643</v>
      </c>
      <c r="B139" s="1"/>
      <c r="C139">
        <v>531</v>
      </c>
      <c r="D139" s="1" t="s">
        <v>213</v>
      </c>
      <c r="E139" s="1" t="s">
        <v>5</v>
      </c>
      <c r="F139">
        <v>12</v>
      </c>
      <c r="G139" s="1" t="str">
        <f>Ocupacao_DW[[#This Row],[data]]&amp;Ocupacao_DW[[#This Row],[profissional_id]]&amp;Ocupacao_DW[[#This Row],[local_id]]</f>
        <v>4464353112</v>
      </c>
      <c r="H139" s="1">
        <f>_xlfn.XLOOKUP(Ocupacao_DW[[#This Row],[Concat]],Vagas!$H:$H,Vagas!$D:$D,"",0)</f>
        <v>0</v>
      </c>
    </row>
    <row r="140" spans="1:8" x14ac:dyDescent="0.25">
      <c r="A140" s="2">
        <v>44636</v>
      </c>
      <c r="B140" s="1"/>
      <c r="C140">
        <v>1490</v>
      </c>
      <c r="D140" s="1" t="s">
        <v>174</v>
      </c>
      <c r="E140" s="1" t="s">
        <v>5</v>
      </c>
      <c r="F140">
        <v>13</v>
      </c>
      <c r="G140" s="1" t="str">
        <f>Ocupacao_DW[[#This Row],[data]]&amp;Ocupacao_DW[[#This Row],[profissional_id]]&amp;Ocupacao_DW[[#This Row],[local_id]]</f>
        <v>44636149013</v>
      </c>
      <c r="H140" s="1">
        <f>_xlfn.XLOOKUP(Ocupacao_DW[[#This Row],[Concat]],Vagas!$H:$H,Vagas!$D:$D,"",0)</f>
        <v>0</v>
      </c>
    </row>
    <row r="141" spans="1:8" x14ac:dyDescent="0.25">
      <c r="A141" s="2">
        <v>44636</v>
      </c>
      <c r="B141" s="1" t="s">
        <v>51</v>
      </c>
      <c r="C141">
        <v>12679</v>
      </c>
      <c r="D141" s="1" t="s">
        <v>192</v>
      </c>
      <c r="E141" s="1" t="s">
        <v>200</v>
      </c>
      <c r="F141">
        <v>82</v>
      </c>
      <c r="G141" s="1" t="str">
        <f>Ocupacao_DW[[#This Row],[data]]&amp;Ocupacao_DW[[#This Row],[profissional_id]]&amp;Ocupacao_DW[[#This Row],[local_id]]</f>
        <v>446361267982</v>
      </c>
      <c r="H141" s="1">
        <f>_xlfn.XLOOKUP(Ocupacao_DW[[#This Row],[Concat]],Vagas!$H:$H,Vagas!$D:$D,"",0)</f>
        <v>0</v>
      </c>
    </row>
    <row r="142" spans="1:8" x14ac:dyDescent="0.25">
      <c r="A142" s="2">
        <v>44657</v>
      </c>
      <c r="B142" s="1"/>
      <c r="C142">
        <v>12825</v>
      </c>
      <c r="D142" s="1" t="s">
        <v>177</v>
      </c>
      <c r="E142" s="1"/>
      <c r="F142">
        <v>0</v>
      </c>
      <c r="G142" s="1" t="str">
        <f>Ocupacao_DW[[#This Row],[data]]&amp;Ocupacao_DW[[#This Row],[profissional_id]]&amp;Ocupacao_DW[[#This Row],[local_id]]</f>
        <v>44657128250</v>
      </c>
      <c r="H142" s="1" t="str">
        <f>_xlfn.XLOOKUP(Ocupacao_DW[[#This Row],[Concat]],Vagas!$H:$H,Vagas!$D:$D,"",0)</f>
        <v/>
      </c>
    </row>
    <row r="143" spans="1:8" x14ac:dyDescent="0.25">
      <c r="A143" s="2">
        <v>44636</v>
      </c>
      <c r="B143" s="1"/>
      <c r="C143">
        <v>67</v>
      </c>
      <c r="D143" s="1" t="s">
        <v>172</v>
      </c>
      <c r="E143" s="1" t="s">
        <v>6</v>
      </c>
      <c r="F143">
        <v>8</v>
      </c>
      <c r="G143" s="1" t="str">
        <f>Ocupacao_DW[[#This Row],[data]]&amp;Ocupacao_DW[[#This Row],[profissional_id]]&amp;Ocupacao_DW[[#This Row],[local_id]]</f>
        <v>44636678</v>
      </c>
      <c r="H143" s="1">
        <f>_xlfn.XLOOKUP(Ocupacao_DW[[#This Row],[Concat]],Vagas!$H:$H,Vagas!$D:$D,"",0)</f>
        <v>0</v>
      </c>
    </row>
    <row r="144" spans="1:8" x14ac:dyDescent="0.25">
      <c r="A144" s="2">
        <v>44638</v>
      </c>
      <c r="B144" s="1"/>
      <c r="C144">
        <v>2984</v>
      </c>
      <c r="D144" s="1" t="s">
        <v>185</v>
      </c>
      <c r="E144" s="1" t="s">
        <v>6</v>
      </c>
      <c r="F144">
        <v>7</v>
      </c>
      <c r="G144" s="1" t="str">
        <f>Ocupacao_DW[[#This Row],[data]]&amp;Ocupacao_DW[[#This Row],[profissional_id]]&amp;Ocupacao_DW[[#This Row],[local_id]]</f>
        <v>4463829847</v>
      </c>
      <c r="H144" s="1">
        <f>_xlfn.XLOOKUP(Ocupacao_DW[[#This Row],[Concat]],Vagas!$H:$H,Vagas!$D:$D,"",0)</f>
        <v>0</v>
      </c>
    </row>
    <row r="145" spans="1:8" x14ac:dyDescent="0.25">
      <c r="A145" s="2">
        <v>44657</v>
      </c>
      <c r="B145" s="1"/>
      <c r="C145">
        <v>67</v>
      </c>
      <c r="D145" s="1" t="s">
        <v>172</v>
      </c>
      <c r="E145" s="1" t="s">
        <v>6</v>
      </c>
      <c r="F145">
        <v>8</v>
      </c>
      <c r="G145" s="1" t="str">
        <f>Ocupacao_DW[[#This Row],[data]]&amp;Ocupacao_DW[[#This Row],[profissional_id]]&amp;Ocupacao_DW[[#This Row],[local_id]]</f>
        <v>44657678</v>
      </c>
      <c r="H145" s="1">
        <f>_xlfn.XLOOKUP(Ocupacao_DW[[#This Row],[Concat]],Vagas!$H:$H,Vagas!$D:$D,"",0)</f>
        <v>0</v>
      </c>
    </row>
    <row r="146" spans="1:8" x14ac:dyDescent="0.25">
      <c r="A146" s="2">
        <v>44645</v>
      </c>
      <c r="B146" s="1"/>
      <c r="C146">
        <v>2984</v>
      </c>
      <c r="D146" s="1" t="s">
        <v>185</v>
      </c>
      <c r="E146" s="1" t="s">
        <v>6</v>
      </c>
      <c r="F146">
        <v>7</v>
      </c>
      <c r="G146" s="1" t="str">
        <f>Ocupacao_DW[[#This Row],[data]]&amp;Ocupacao_DW[[#This Row],[profissional_id]]&amp;Ocupacao_DW[[#This Row],[local_id]]</f>
        <v>4464529847</v>
      </c>
      <c r="H146" s="1">
        <f>_xlfn.XLOOKUP(Ocupacao_DW[[#This Row],[Concat]],Vagas!$H:$H,Vagas!$D:$D,"",0)</f>
        <v>0</v>
      </c>
    </row>
    <row r="147" spans="1:8" x14ac:dyDescent="0.25">
      <c r="A147" s="2">
        <v>44637</v>
      </c>
      <c r="B147" s="1"/>
      <c r="C147">
        <v>1490</v>
      </c>
      <c r="D147" s="1" t="s">
        <v>174</v>
      </c>
      <c r="E147" s="1" t="s">
        <v>5</v>
      </c>
      <c r="F147">
        <v>12</v>
      </c>
      <c r="G147" s="1" t="str">
        <f>Ocupacao_DW[[#This Row],[data]]&amp;Ocupacao_DW[[#This Row],[profissional_id]]&amp;Ocupacao_DW[[#This Row],[local_id]]</f>
        <v>44637149012</v>
      </c>
      <c r="H147" s="1">
        <f>_xlfn.XLOOKUP(Ocupacao_DW[[#This Row],[Concat]],Vagas!$H:$H,Vagas!$D:$D,"",0)</f>
        <v>0</v>
      </c>
    </row>
    <row r="148" spans="1:8" x14ac:dyDescent="0.25">
      <c r="A148" s="2">
        <v>44637</v>
      </c>
      <c r="B148" s="1"/>
      <c r="C148">
        <v>1490</v>
      </c>
      <c r="D148" s="1" t="s">
        <v>174</v>
      </c>
      <c r="E148" s="1" t="s">
        <v>5</v>
      </c>
      <c r="F148">
        <v>12</v>
      </c>
      <c r="G148" s="1" t="str">
        <f>Ocupacao_DW[[#This Row],[data]]&amp;Ocupacao_DW[[#This Row],[profissional_id]]&amp;Ocupacao_DW[[#This Row],[local_id]]</f>
        <v>44637149012</v>
      </c>
      <c r="H148" s="1">
        <f>_xlfn.XLOOKUP(Ocupacao_DW[[#This Row],[Concat]],Vagas!$H:$H,Vagas!$D:$D,"",0)</f>
        <v>0</v>
      </c>
    </row>
    <row r="149" spans="1:8" x14ac:dyDescent="0.25">
      <c r="A149" s="2">
        <v>44636</v>
      </c>
      <c r="B149" s="1"/>
      <c r="C149">
        <v>2396</v>
      </c>
      <c r="D149" s="1" t="s">
        <v>197</v>
      </c>
      <c r="E149" s="1"/>
      <c r="F149">
        <v>0</v>
      </c>
      <c r="G149" s="1" t="str">
        <f>Ocupacao_DW[[#This Row],[data]]&amp;Ocupacao_DW[[#This Row],[profissional_id]]&amp;Ocupacao_DW[[#This Row],[local_id]]</f>
        <v>4463623960</v>
      </c>
      <c r="H149" s="1" t="str">
        <f>_xlfn.XLOOKUP(Ocupacao_DW[[#This Row],[Concat]],Vagas!$H:$H,Vagas!$D:$D,"",0)</f>
        <v/>
      </c>
    </row>
    <row r="150" spans="1:8" x14ac:dyDescent="0.25">
      <c r="A150" s="2">
        <v>44641</v>
      </c>
      <c r="B150" s="1"/>
      <c r="C150">
        <v>2984</v>
      </c>
      <c r="D150" s="1" t="s">
        <v>185</v>
      </c>
      <c r="E150" s="1" t="s">
        <v>6</v>
      </c>
      <c r="F150">
        <v>7</v>
      </c>
      <c r="G150" s="1" t="str">
        <f>Ocupacao_DW[[#This Row],[data]]&amp;Ocupacao_DW[[#This Row],[profissional_id]]&amp;Ocupacao_DW[[#This Row],[local_id]]</f>
        <v>4464129847</v>
      </c>
      <c r="H150" s="1">
        <f>_xlfn.XLOOKUP(Ocupacao_DW[[#This Row],[Concat]],Vagas!$H:$H,Vagas!$D:$D,"",0)</f>
        <v>0</v>
      </c>
    </row>
    <row r="151" spans="1:8" x14ac:dyDescent="0.25">
      <c r="A151" s="2">
        <v>44643</v>
      </c>
      <c r="B151" s="1"/>
      <c r="C151">
        <v>1490</v>
      </c>
      <c r="D151" s="1" t="s">
        <v>174</v>
      </c>
      <c r="E151" s="1" t="s">
        <v>5</v>
      </c>
      <c r="F151">
        <v>13</v>
      </c>
      <c r="G151" s="1" t="str">
        <f>Ocupacao_DW[[#This Row],[data]]&amp;Ocupacao_DW[[#This Row],[profissional_id]]&amp;Ocupacao_DW[[#This Row],[local_id]]</f>
        <v>44643149013</v>
      </c>
      <c r="H151" s="1">
        <f>_xlfn.XLOOKUP(Ocupacao_DW[[#This Row],[Concat]],Vagas!$H:$H,Vagas!$D:$D,"",0)</f>
        <v>0</v>
      </c>
    </row>
    <row r="152" spans="1:8" x14ac:dyDescent="0.25">
      <c r="A152" s="2">
        <v>44643</v>
      </c>
      <c r="B152" s="1" t="s">
        <v>52</v>
      </c>
      <c r="C152">
        <v>67</v>
      </c>
      <c r="D152" s="1" t="s">
        <v>172</v>
      </c>
      <c r="E152" s="1" t="s">
        <v>6</v>
      </c>
      <c r="F152">
        <v>8</v>
      </c>
      <c r="G152" s="1" t="str">
        <f>Ocupacao_DW[[#This Row],[data]]&amp;Ocupacao_DW[[#This Row],[profissional_id]]&amp;Ocupacao_DW[[#This Row],[local_id]]</f>
        <v>44643678</v>
      </c>
      <c r="H152" s="1">
        <f>_xlfn.XLOOKUP(Ocupacao_DW[[#This Row],[Concat]],Vagas!$H:$H,Vagas!$D:$D,"",0)</f>
        <v>0</v>
      </c>
    </row>
    <row r="153" spans="1:8" x14ac:dyDescent="0.25">
      <c r="A153" s="2">
        <v>44641</v>
      </c>
      <c r="B153" s="1"/>
      <c r="C153">
        <v>6392</v>
      </c>
      <c r="D153" s="1" t="s">
        <v>173</v>
      </c>
      <c r="E153" s="1" t="s">
        <v>6</v>
      </c>
      <c r="F153">
        <v>5</v>
      </c>
      <c r="G153" s="1" t="str">
        <f>Ocupacao_DW[[#This Row],[data]]&amp;Ocupacao_DW[[#This Row],[profissional_id]]&amp;Ocupacao_DW[[#This Row],[local_id]]</f>
        <v>4464163925</v>
      </c>
      <c r="H153" s="1">
        <f>_xlfn.XLOOKUP(Ocupacao_DW[[#This Row],[Concat]],Vagas!$H:$H,Vagas!$D:$D,"",0)</f>
        <v>0</v>
      </c>
    </row>
    <row r="154" spans="1:8" x14ac:dyDescent="0.25">
      <c r="A154" s="2">
        <v>44636</v>
      </c>
      <c r="B154" s="1"/>
      <c r="C154">
        <v>67</v>
      </c>
      <c r="D154" s="1" t="s">
        <v>172</v>
      </c>
      <c r="E154" s="1" t="s">
        <v>6</v>
      </c>
      <c r="F154">
        <v>8</v>
      </c>
      <c r="G154" s="1" t="str">
        <f>Ocupacao_DW[[#This Row],[data]]&amp;Ocupacao_DW[[#This Row],[profissional_id]]&amp;Ocupacao_DW[[#This Row],[local_id]]</f>
        <v>44636678</v>
      </c>
      <c r="H154" s="1">
        <f>_xlfn.XLOOKUP(Ocupacao_DW[[#This Row],[Concat]],Vagas!$H:$H,Vagas!$D:$D,"",0)</f>
        <v>0</v>
      </c>
    </row>
    <row r="155" spans="1:8" x14ac:dyDescent="0.25">
      <c r="A155" s="2">
        <v>44643</v>
      </c>
      <c r="B155" s="1"/>
      <c r="C155">
        <v>67</v>
      </c>
      <c r="D155" s="1" t="s">
        <v>172</v>
      </c>
      <c r="E155" s="1" t="s">
        <v>6</v>
      </c>
      <c r="F155">
        <v>8</v>
      </c>
      <c r="G155" s="1" t="str">
        <f>Ocupacao_DW[[#This Row],[data]]&amp;Ocupacao_DW[[#This Row],[profissional_id]]&amp;Ocupacao_DW[[#This Row],[local_id]]</f>
        <v>44643678</v>
      </c>
      <c r="H155" s="1">
        <f>_xlfn.XLOOKUP(Ocupacao_DW[[#This Row],[Concat]],Vagas!$H:$H,Vagas!$D:$D,"",0)</f>
        <v>0</v>
      </c>
    </row>
    <row r="156" spans="1:8" x14ac:dyDescent="0.25">
      <c r="A156" s="2">
        <v>44641</v>
      </c>
      <c r="B156" s="1"/>
      <c r="C156">
        <v>6392</v>
      </c>
      <c r="D156" s="1" t="s">
        <v>173</v>
      </c>
      <c r="E156" s="1" t="s">
        <v>6</v>
      </c>
      <c r="F156">
        <v>5</v>
      </c>
      <c r="G156" s="1" t="str">
        <f>Ocupacao_DW[[#This Row],[data]]&amp;Ocupacao_DW[[#This Row],[profissional_id]]&amp;Ocupacao_DW[[#This Row],[local_id]]</f>
        <v>4464163925</v>
      </c>
      <c r="H156" s="1">
        <f>_xlfn.XLOOKUP(Ocupacao_DW[[#This Row],[Concat]],Vagas!$H:$H,Vagas!$D:$D,"",0)</f>
        <v>0</v>
      </c>
    </row>
    <row r="157" spans="1:8" x14ac:dyDescent="0.25">
      <c r="A157" s="2">
        <v>44642</v>
      </c>
      <c r="B157" s="1"/>
      <c r="C157">
        <v>73</v>
      </c>
      <c r="D157" s="1" t="s">
        <v>171</v>
      </c>
      <c r="E157" s="1" t="s">
        <v>6</v>
      </c>
      <c r="F157">
        <v>5</v>
      </c>
      <c r="G157" s="1" t="str">
        <f>Ocupacao_DW[[#This Row],[data]]&amp;Ocupacao_DW[[#This Row],[profissional_id]]&amp;Ocupacao_DW[[#This Row],[local_id]]</f>
        <v>44642735</v>
      </c>
      <c r="H157" s="1">
        <f>_xlfn.XLOOKUP(Ocupacao_DW[[#This Row],[Concat]],Vagas!$H:$H,Vagas!$D:$D,"",0)</f>
        <v>0</v>
      </c>
    </row>
    <row r="158" spans="1:8" x14ac:dyDescent="0.25">
      <c r="A158" s="2">
        <v>44642</v>
      </c>
      <c r="B158" s="1"/>
      <c r="C158">
        <v>73</v>
      </c>
      <c r="D158" s="1" t="s">
        <v>171</v>
      </c>
      <c r="E158" s="1" t="s">
        <v>6</v>
      </c>
      <c r="F158">
        <v>5</v>
      </c>
      <c r="G158" s="1" t="str">
        <f>Ocupacao_DW[[#This Row],[data]]&amp;Ocupacao_DW[[#This Row],[profissional_id]]&amp;Ocupacao_DW[[#This Row],[local_id]]</f>
        <v>44642735</v>
      </c>
      <c r="H158" s="1">
        <f>_xlfn.XLOOKUP(Ocupacao_DW[[#This Row],[Concat]],Vagas!$H:$H,Vagas!$D:$D,"",0)</f>
        <v>0</v>
      </c>
    </row>
    <row r="159" spans="1:8" x14ac:dyDescent="0.25">
      <c r="A159" s="2">
        <v>44636</v>
      </c>
      <c r="B159" s="1"/>
      <c r="C159">
        <v>5927</v>
      </c>
      <c r="D159" s="1" t="s">
        <v>226</v>
      </c>
      <c r="E159" s="1" t="s">
        <v>5</v>
      </c>
      <c r="F159">
        <v>17</v>
      </c>
      <c r="G159" s="1" t="str">
        <f>Ocupacao_DW[[#This Row],[data]]&amp;Ocupacao_DW[[#This Row],[profissional_id]]&amp;Ocupacao_DW[[#This Row],[local_id]]</f>
        <v>44636592717</v>
      </c>
      <c r="H159" s="1">
        <f>_xlfn.XLOOKUP(Ocupacao_DW[[#This Row],[Concat]],Vagas!$H:$H,Vagas!$D:$D,"",0)</f>
        <v>0</v>
      </c>
    </row>
    <row r="160" spans="1:8" x14ac:dyDescent="0.25">
      <c r="A160" s="2">
        <v>44636</v>
      </c>
      <c r="B160" s="1"/>
      <c r="C160">
        <v>12679</v>
      </c>
      <c r="D160" s="1" t="s">
        <v>192</v>
      </c>
      <c r="E160" s="1" t="s">
        <v>5</v>
      </c>
      <c r="F160">
        <v>11</v>
      </c>
      <c r="G160" s="1" t="str">
        <f>Ocupacao_DW[[#This Row],[data]]&amp;Ocupacao_DW[[#This Row],[profissional_id]]&amp;Ocupacao_DW[[#This Row],[local_id]]</f>
        <v>446361267911</v>
      </c>
      <c r="H160" s="1">
        <f>_xlfn.XLOOKUP(Ocupacao_DW[[#This Row],[Concat]],Vagas!$H:$H,Vagas!$D:$D,"",0)</f>
        <v>0</v>
      </c>
    </row>
    <row r="161" spans="1:8" x14ac:dyDescent="0.25">
      <c r="A161" s="2">
        <v>44643</v>
      </c>
      <c r="B161" s="1"/>
      <c r="C161">
        <v>1490</v>
      </c>
      <c r="D161" s="1" t="s">
        <v>174</v>
      </c>
      <c r="E161" s="1" t="s">
        <v>5</v>
      </c>
      <c r="F161">
        <v>13</v>
      </c>
      <c r="G161" s="1" t="str">
        <f>Ocupacao_DW[[#This Row],[data]]&amp;Ocupacao_DW[[#This Row],[profissional_id]]&amp;Ocupacao_DW[[#This Row],[local_id]]</f>
        <v>44643149013</v>
      </c>
      <c r="H161" s="1">
        <f>_xlfn.XLOOKUP(Ocupacao_DW[[#This Row],[Concat]],Vagas!$H:$H,Vagas!$D:$D,"",0)</f>
        <v>0</v>
      </c>
    </row>
    <row r="162" spans="1:8" x14ac:dyDescent="0.25">
      <c r="A162" s="2">
        <v>44636</v>
      </c>
      <c r="B162" s="1" t="s">
        <v>57</v>
      </c>
      <c r="C162">
        <v>80</v>
      </c>
      <c r="D162" s="1" t="s">
        <v>179</v>
      </c>
      <c r="E162" s="1" t="s">
        <v>167</v>
      </c>
      <c r="F162">
        <v>346</v>
      </c>
      <c r="G162" s="1" t="str">
        <f>Ocupacao_DW[[#This Row],[data]]&amp;Ocupacao_DW[[#This Row],[profissional_id]]&amp;Ocupacao_DW[[#This Row],[local_id]]</f>
        <v>4463680346</v>
      </c>
      <c r="H162" s="1">
        <f>_xlfn.XLOOKUP(Ocupacao_DW[[#This Row],[Concat]],Vagas!$H:$H,Vagas!$D:$D,"",0)</f>
        <v>0</v>
      </c>
    </row>
    <row r="163" spans="1:8" x14ac:dyDescent="0.25">
      <c r="A163" s="2">
        <v>44650</v>
      </c>
      <c r="B163" s="1"/>
      <c r="C163">
        <v>67</v>
      </c>
      <c r="D163" s="1" t="s">
        <v>172</v>
      </c>
      <c r="E163" s="1" t="s">
        <v>6</v>
      </c>
      <c r="F163">
        <v>8</v>
      </c>
      <c r="G163" s="1" t="str">
        <f>Ocupacao_DW[[#This Row],[data]]&amp;Ocupacao_DW[[#This Row],[profissional_id]]&amp;Ocupacao_DW[[#This Row],[local_id]]</f>
        <v>44650678</v>
      </c>
      <c r="H163" s="1">
        <f>_xlfn.XLOOKUP(Ocupacao_DW[[#This Row],[Concat]],Vagas!$H:$H,Vagas!$D:$D,"",0)</f>
        <v>0</v>
      </c>
    </row>
    <row r="164" spans="1:8" x14ac:dyDescent="0.25">
      <c r="A164" s="2">
        <v>44657</v>
      </c>
      <c r="B164" s="1"/>
      <c r="C164">
        <v>12825</v>
      </c>
      <c r="D164" s="1" t="s">
        <v>177</v>
      </c>
      <c r="E164" s="1"/>
      <c r="F164">
        <v>0</v>
      </c>
      <c r="G164" s="1" t="str">
        <f>Ocupacao_DW[[#This Row],[data]]&amp;Ocupacao_DW[[#This Row],[profissional_id]]&amp;Ocupacao_DW[[#This Row],[local_id]]</f>
        <v>44657128250</v>
      </c>
      <c r="H164" s="1" t="str">
        <f>_xlfn.XLOOKUP(Ocupacao_DW[[#This Row],[Concat]],Vagas!$H:$H,Vagas!$D:$D,"",0)</f>
        <v/>
      </c>
    </row>
    <row r="165" spans="1:8" x14ac:dyDescent="0.25">
      <c r="A165" s="2">
        <v>44643</v>
      </c>
      <c r="B165" s="1"/>
      <c r="C165">
        <v>74</v>
      </c>
      <c r="D165" s="1" t="s">
        <v>182</v>
      </c>
      <c r="E165" s="1" t="s">
        <v>6</v>
      </c>
      <c r="F165">
        <v>7</v>
      </c>
      <c r="G165" s="1" t="str">
        <f>Ocupacao_DW[[#This Row],[data]]&amp;Ocupacao_DW[[#This Row],[profissional_id]]&amp;Ocupacao_DW[[#This Row],[local_id]]</f>
        <v>44643747</v>
      </c>
      <c r="H165" s="1">
        <f>_xlfn.XLOOKUP(Ocupacao_DW[[#This Row],[Concat]],Vagas!$H:$H,Vagas!$D:$D,"",0)</f>
        <v>0</v>
      </c>
    </row>
    <row r="166" spans="1:8" x14ac:dyDescent="0.25">
      <c r="A166" s="2">
        <v>44643</v>
      </c>
      <c r="B166" s="1"/>
      <c r="C166">
        <v>5767</v>
      </c>
      <c r="D166" s="1" t="s">
        <v>239</v>
      </c>
      <c r="E166" s="1" t="s">
        <v>4</v>
      </c>
      <c r="F166">
        <v>43</v>
      </c>
      <c r="G166" s="1" t="str">
        <f>Ocupacao_DW[[#This Row],[data]]&amp;Ocupacao_DW[[#This Row],[profissional_id]]&amp;Ocupacao_DW[[#This Row],[local_id]]</f>
        <v>44643576743</v>
      </c>
      <c r="H166" s="1">
        <f>_xlfn.XLOOKUP(Ocupacao_DW[[#This Row],[Concat]],Vagas!$H:$H,Vagas!$D:$D,"",0)</f>
        <v>11</v>
      </c>
    </row>
    <row r="167" spans="1:8" x14ac:dyDescent="0.25">
      <c r="A167" s="2">
        <v>44645</v>
      </c>
      <c r="B167" s="1"/>
      <c r="C167">
        <v>67</v>
      </c>
      <c r="D167" s="1" t="s">
        <v>172</v>
      </c>
      <c r="E167" s="1"/>
      <c r="F167">
        <v>0</v>
      </c>
      <c r="G167" s="1" t="str">
        <f>Ocupacao_DW[[#This Row],[data]]&amp;Ocupacao_DW[[#This Row],[profissional_id]]&amp;Ocupacao_DW[[#This Row],[local_id]]</f>
        <v>44645670</v>
      </c>
      <c r="H167" s="1" t="str">
        <f>_xlfn.XLOOKUP(Ocupacao_DW[[#This Row],[Concat]],Vagas!$H:$H,Vagas!$D:$D,"",0)</f>
        <v/>
      </c>
    </row>
    <row r="168" spans="1:8" x14ac:dyDescent="0.25">
      <c r="A168" s="2">
        <v>44636</v>
      </c>
      <c r="B168" s="1"/>
      <c r="C168">
        <v>12679</v>
      </c>
      <c r="D168" s="1" t="s">
        <v>192</v>
      </c>
      <c r="E168" s="1" t="s">
        <v>5</v>
      </c>
      <c r="F168">
        <v>11</v>
      </c>
      <c r="G168" s="1" t="str">
        <f>Ocupacao_DW[[#This Row],[data]]&amp;Ocupacao_DW[[#This Row],[profissional_id]]&amp;Ocupacao_DW[[#This Row],[local_id]]</f>
        <v>446361267911</v>
      </c>
      <c r="H168" s="1">
        <f>_xlfn.XLOOKUP(Ocupacao_DW[[#This Row],[Concat]],Vagas!$H:$H,Vagas!$D:$D,"",0)</f>
        <v>0</v>
      </c>
    </row>
    <row r="169" spans="1:8" x14ac:dyDescent="0.25">
      <c r="A169" s="2">
        <v>44638</v>
      </c>
      <c r="B169" s="1"/>
      <c r="C169">
        <v>2984</v>
      </c>
      <c r="D169" s="1" t="s">
        <v>185</v>
      </c>
      <c r="E169" s="1" t="s">
        <v>6</v>
      </c>
      <c r="F169">
        <v>7</v>
      </c>
      <c r="G169" s="1" t="str">
        <f>Ocupacao_DW[[#This Row],[data]]&amp;Ocupacao_DW[[#This Row],[profissional_id]]&amp;Ocupacao_DW[[#This Row],[local_id]]</f>
        <v>4463829847</v>
      </c>
      <c r="H169" s="1">
        <f>_xlfn.XLOOKUP(Ocupacao_DW[[#This Row],[Concat]],Vagas!$H:$H,Vagas!$D:$D,"",0)</f>
        <v>0</v>
      </c>
    </row>
    <row r="170" spans="1:8" x14ac:dyDescent="0.25">
      <c r="A170" s="2">
        <v>44636</v>
      </c>
      <c r="B170" s="1" t="s">
        <v>70</v>
      </c>
      <c r="C170">
        <v>12519</v>
      </c>
      <c r="D170" s="1" t="s">
        <v>176</v>
      </c>
      <c r="E170" s="1" t="s">
        <v>4</v>
      </c>
      <c r="F170">
        <v>48</v>
      </c>
      <c r="G170" s="1" t="str">
        <f>Ocupacao_DW[[#This Row],[data]]&amp;Ocupacao_DW[[#This Row],[profissional_id]]&amp;Ocupacao_DW[[#This Row],[local_id]]</f>
        <v>446361251948</v>
      </c>
      <c r="H170" s="1">
        <f>_xlfn.XLOOKUP(Ocupacao_DW[[#This Row],[Concat]],Vagas!$H:$H,Vagas!$D:$D,"",0)</f>
        <v>0</v>
      </c>
    </row>
    <row r="171" spans="1:8" x14ac:dyDescent="0.25">
      <c r="A171" s="2">
        <v>44650</v>
      </c>
      <c r="B171" s="1"/>
      <c r="C171">
        <v>12825</v>
      </c>
      <c r="D171" s="1" t="s">
        <v>177</v>
      </c>
      <c r="E171" s="1"/>
      <c r="F171">
        <v>0</v>
      </c>
      <c r="G171" s="1" t="str">
        <f>Ocupacao_DW[[#This Row],[data]]&amp;Ocupacao_DW[[#This Row],[profissional_id]]&amp;Ocupacao_DW[[#This Row],[local_id]]</f>
        <v>44650128250</v>
      </c>
      <c r="H171" s="1" t="str">
        <f>_xlfn.XLOOKUP(Ocupacao_DW[[#This Row],[Concat]],Vagas!$H:$H,Vagas!$D:$D,"",0)</f>
        <v/>
      </c>
    </row>
    <row r="172" spans="1:8" x14ac:dyDescent="0.25">
      <c r="A172" s="2">
        <v>44644</v>
      </c>
      <c r="B172" s="1"/>
      <c r="C172">
        <v>1490</v>
      </c>
      <c r="D172" s="1" t="s">
        <v>174</v>
      </c>
      <c r="E172" s="1" t="s">
        <v>5</v>
      </c>
      <c r="F172">
        <v>12</v>
      </c>
      <c r="G172" s="1" t="str">
        <f>Ocupacao_DW[[#This Row],[data]]&amp;Ocupacao_DW[[#This Row],[profissional_id]]&amp;Ocupacao_DW[[#This Row],[local_id]]</f>
        <v>44644149012</v>
      </c>
      <c r="H172" s="1">
        <f>_xlfn.XLOOKUP(Ocupacao_DW[[#This Row],[Concat]],Vagas!$H:$H,Vagas!$D:$D,"",0)</f>
        <v>0</v>
      </c>
    </row>
    <row r="173" spans="1:8" x14ac:dyDescent="0.25">
      <c r="A173" s="2">
        <v>44645</v>
      </c>
      <c r="B173" s="1"/>
      <c r="C173">
        <v>6430</v>
      </c>
      <c r="D173" s="1" t="s">
        <v>188</v>
      </c>
      <c r="E173" s="1" t="s">
        <v>4</v>
      </c>
      <c r="F173">
        <v>42</v>
      </c>
      <c r="G173" s="1" t="str">
        <f>Ocupacao_DW[[#This Row],[data]]&amp;Ocupacao_DW[[#This Row],[profissional_id]]&amp;Ocupacao_DW[[#This Row],[local_id]]</f>
        <v>44645643042</v>
      </c>
      <c r="H173" s="1">
        <f>_xlfn.XLOOKUP(Ocupacao_DW[[#This Row],[Concat]],Vagas!$H:$H,Vagas!$D:$D,"",0)</f>
        <v>0</v>
      </c>
    </row>
    <row r="174" spans="1:8" x14ac:dyDescent="0.25">
      <c r="A174" s="2">
        <v>44658</v>
      </c>
      <c r="B174" s="1"/>
      <c r="C174">
        <v>1490</v>
      </c>
      <c r="D174" s="1" t="s">
        <v>174</v>
      </c>
      <c r="E174" s="1" t="s">
        <v>5</v>
      </c>
      <c r="F174">
        <v>12</v>
      </c>
      <c r="G174" s="1" t="str">
        <f>Ocupacao_DW[[#This Row],[data]]&amp;Ocupacao_DW[[#This Row],[profissional_id]]&amp;Ocupacao_DW[[#This Row],[local_id]]</f>
        <v>44658149012</v>
      </c>
      <c r="H174" s="1" t="str">
        <f>_xlfn.XLOOKUP(Ocupacao_DW[[#This Row],[Concat]],Vagas!$H:$H,Vagas!$D:$D,"",0)</f>
        <v/>
      </c>
    </row>
    <row r="175" spans="1:8" x14ac:dyDescent="0.25">
      <c r="A175" s="2">
        <v>44657</v>
      </c>
      <c r="B175" s="1"/>
      <c r="C175">
        <v>7551</v>
      </c>
      <c r="D175" s="1" t="s">
        <v>246</v>
      </c>
      <c r="E175" s="1" t="s">
        <v>5</v>
      </c>
      <c r="F175">
        <v>15</v>
      </c>
      <c r="G175" s="1" t="str">
        <f>Ocupacao_DW[[#This Row],[data]]&amp;Ocupacao_DW[[#This Row],[profissional_id]]&amp;Ocupacao_DW[[#This Row],[local_id]]</f>
        <v>44657755115</v>
      </c>
      <c r="H175" s="1">
        <f>_xlfn.XLOOKUP(Ocupacao_DW[[#This Row],[Concat]],Vagas!$H:$H,Vagas!$D:$D,"",0)</f>
        <v>0</v>
      </c>
    </row>
    <row r="176" spans="1:8" x14ac:dyDescent="0.25">
      <c r="A176" s="2">
        <v>44650</v>
      </c>
      <c r="B176" s="1"/>
      <c r="C176">
        <v>1490</v>
      </c>
      <c r="D176" s="1" t="s">
        <v>174</v>
      </c>
      <c r="E176" s="1" t="s">
        <v>5</v>
      </c>
      <c r="F176">
        <v>13</v>
      </c>
      <c r="G176" s="1" t="str">
        <f>Ocupacao_DW[[#This Row],[data]]&amp;Ocupacao_DW[[#This Row],[profissional_id]]&amp;Ocupacao_DW[[#This Row],[local_id]]</f>
        <v>44650149013</v>
      </c>
      <c r="H176" s="1">
        <f>_xlfn.XLOOKUP(Ocupacao_DW[[#This Row],[Concat]],Vagas!$H:$H,Vagas!$D:$D,"",0)</f>
        <v>0</v>
      </c>
    </row>
    <row r="177" spans="1:8" x14ac:dyDescent="0.25">
      <c r="A177" s="2">
        <v>44637</v>
      </c>
      <c r="B177" s="1" t="s">
        <v>55</v>
      </c>
      <c r="C177">
        <v>8598</v>
      </c>
      <c r="D177" s="1" t="s">
        <v>228</v>
      </c>
      <c r="E177" s="1" t="s">
        <v>6</v>
      </c>
      <c r="F177">
        <v>3</v>
      </c>
      <c r="G177" s="1" t="str">
        <f>Ocupacao_DW[[#This Row],[data]]&amp;Ocupacao_DW[[#This Row],[profissional_id]]&amp;Ocupacao_DW[[#This Row],[local_id]]</f>
        <v>4463785983</v>
      </c>
      <c r="H177" s="1">
        <f>_xlfn.XLOOKUP(Ocupacao_DW[[#This Row],[Concat]],Vagas!$H:$H,Vagas!$D:$D,"",0)</f>
        <v>0</v>
      </c>
    </row>
    <row r="178" spans="1:8" x14ac:dyDescent="0.25">
      <c r="A178" s="2">
        <v>44635</v>
      </c>
      <c r="B178" s="1"/>
      <c r="C178">
        <v>73</v>
      </c>
      <c r="D178" s="1" t="s">
        <v>171</v>
      </c>
      <c r="E178" s="1" t="s">
        <v>6</v>
      </c>
      <c r="F178">
        <v>5</v>
      </c>
      <c r="G178" s="1" t="str">
        <f>Ocupacao_DW[[#This Row],[data]]&amp;Ocupacao_DW[[#This Row],[profissional_id]]&amp;Ocupacao_DW[[#This Row],[local_id]]</f>
        <v>44635735</v>
      </c>
      <c r="H178" s="1">
        <f>_xlfn.XLOOKUP(Ocupacao_DW[[#This Row],[Concat]],Vagas!$H:$H,Vagas!$D:$D,"",0)</f>
        <v>0</v>
      </c>
    </row>
    <row r="179" spans="1:8" x14ac:dyDescent="0.25">
      <c r="A179" s="2">
        <v>44641</v>
      </c>
      <c r="B179" s="1"/>
      <c r="C179">
        <v>13249</v>
      </c>
      <c r="D179" s="1" t="s">
        <v>178</v>
      </c>
      <c r="E179" s="1" t="s">
        <v>4</v>
      </c>
      <c r="F179">
        <v>45</v>
      </c>
      <c r="G179" s="1" t="str">
        <f>Ocupacao_DW[[#This Row],[data]]&amp;Ocupacao_DW[[#This Row],[profissional_id]]&amp;Ocupacao_DW[[#This Row],[local_id]]</f>
        <v>446411324945</v>
      </c>
      <c r="H179" s="1">
        <f>_xlfn.XLOOKUP(Ocupacao_DW[[#This Row],[Concat]],Vagas!$H:$H,Vagas!$D:$D,"",0)</f>
        <v>0</v>
      </c>
    </row>
    <row r="180" spans="1:8" x14ac:dyDescent="0.25">
      <c r="A180" s="2">
        <v>44655</v>
      </c>
      <c r="B180" s="1"/>
      <c r="C180">
        <v>13249</v>
      </c>
      <c r="D180" s="1" t="s">
        <v>178</v>
      </c>
      <c r="E180" s="1" t="s">
        <v>4</v>
      </c>
      <c r="F180">
        <v>45</v>
      </c>
      <c r="G180" s="1" t="str">
        <f>Ocupacao_DW[[#This Row],[data]]&amp;Ocupacao_DW[[#This Row],[profissional_id]]&amp;Ocupacao_DW[[#This Row],[local_id]]</f>
        <v>446551324945</v>
      </c>
      <c r="H180" s="1" t="str">
        <f>_xlfn.XLOOKUP(Ocupacao_DW[[#This Row],[Concat]],Vagas!$H:$H,Vagas!$D:$D,"",0)</f>
        <v/>
      </c>
    </row>
    <row r="181" spans="1:8" x14ac:dyDescent="0.25">
      <c r="A181" s="2">
        <v>44635</v>
      </c>
      <c r="B181" s="1"/>
      <c r="C181">
        <v>73</v>
      </c>
      <c r="D181" s="1" t="s">
        <v>171</v>
      </c>
      <c r="E181" s="1" t="s">
        <v>6</v>
      </c>
      <c r="F181">
        <v>5</v>
      </c>
      <c r="G181" s="1" t="str">
        <f>Ocupacao_DW[[#This Row],[data]]&amp;Ocupacao_DW[[#This Row],[profissional_id]]&amp;Ocupacao_DW[[#This Row],[local_id]]</f>
        <v>44635735</v>
      </c>
      <c r="H181" s="1">
        <f>_xlfn.XLOOKUP(Ocupacao_DW[[#This Row],[Concat]],Vagas!$H:$H,Vagas!$D:$D,"",0)</f>
        <v>0</v>
      </c>
    </row>
    <row r="182" spans="1:8" x14ac:dyDescent="0.25">
      <c r="A182" s="2">
        <v>44636</v>
      </c>
      <c r="B182" s="1"/>
      <c r="C182">
        <v>74</v>
      </c>
      <c r="D182" s="1" t="s">
        <v>182</v>
      </c>
      <c r="E182" s="1" t="s">
        <v>6</v>
      </c>
      <c r="F182">
        <v>7</v>
      </c>
      <c r="G182" s="1" t="str">
        <f>Ocupacao_DW[[#This Row],[data]]&amp;Ocupacao_DW[[#This Row],[profissional_id]]&amp;Ocupacao_DW[[#This Row],[local_id]]</f>
        <v>44636747</v>
      </c>
      <c r="H182" s="1">
        <f>_xlfn.XLOOKUP(Ocupacao_DW[[#This Row],[Concat]],Vagas!$H:$H,Vagas!$D:$D,"",0)</f>
        <v>0</v>
      </c>
    </row>
    <row r="183" spans="1:8" x14ac:dyDescent="0.25">
      <c r="A183" s="2">
        <v>44635</v>
      </c>
      <c r="B183" s="1"/>
      <c r="C183">
        <v>73</v>
      </c>
      <c r="D183" s="1" t="s">
        <v>171</v>
      </c>
      <c r="E183" s="1" t="s">
        <v>6</v>
      </c>
      <c r="F183">
        <v>5</v>
      </c>
      <c r="G183" s="1" t="str">
        <f>Ocupacao_DW[[#This Row],[data]]&amp;Ocupacao_DW[[#This Row],[profissional_id]]&amp;Ocupacao_DW[[#This Row],[local_id]]</f>
        <v>44635735</v>
      </c>
      <c r="H183" s="1">
        <f>_xlfn.XLOOKUP(Ocupacao_DW[[#This Row],[Concat]],Vagas!$H:$H,Vagas!$D:$D,"",0)</f>
        <v>0</v>
      </c>
    </row>
    <row r="184" spans="1:8" x14ac:dyDescent="0.25">
      <c r="A184" s="2">
        <v>44650</v>
      </c>
      <c r="B184" s="1"/>
      <c r="C184">
        <v>1490</v>
      </c>
      <c r="D184" s="1" t="s">
        <v>174</v>
      </c>
      <c r="E184" s="1" t="s">
        <v>5</v>
      </c>
      <c r="F184">
        <v>13</v>
      </c>
      <c r="G184" s="1" t="str">
        <f>Ocupacao_DW[[#This Row],[data]]&amp;Ocupacao_DW[[#This Row],[profissional_id]]&amp;Ocupacao_DW[[#This Row],[local_id]]</f>
        <v>44650149013</v>
      </c>
      <c r="H184" s="1">
        <f>_xlfn.XLOOKUP(Ocupacao_DW[[#This Row],[Concat]],Vagas!$H:$H,Vagas!$D:$D,"",0)</f>
        <v>0</v>
      </c>
    </row>
    <row r="185" spans="1:8" x14ac:dyDescent="0.25">
      <c r="A185" s="2">
        <v>44635</v>
      </c>
      <c r="B185" s="1"/>
      <c r="C185">
        <v>57</v>
      </c>
      <c r="D185" s="1" t="s">
        <v>169</v>
      </c>
      <c r="E185" s="1"/>
      <c r="F185">
        <v>0</v>
      </c>
      <c r="G185" s="1" t="str">
        <f>Ocupacao_DW[[#This Row],[data]]&amp;Ocupacao_DW[[#This Row],[profissional_id]]&amp;Ocupacao_DW[[#This Row],[local_id]]</f>
        <v>44635570</v>
      </c>
      <c r="H185" s="1" t="str">
        <f>_xlfn.XLOOKUP(Ocupacao_DW[[#This Row],[Concat]],Vagas!$H:$H,Vagas!$D:$D,"",0)</f>
        <v/>
      </c>
    </row>
    <row r="186" spans="1:8" x14ac:dyDescent="0.25">
      <c r="A186" s="2">
        <v>44636</v>
      </c>
      <c r="B186" s="1"/>
      <c r="C186">
        <v>73</v>
      </c>
      <c r="D186" s="1" t="s">
        <v>171</v>
      </c>
      <c r="E186" s="1" t="s">
        <v>6</v>
      </c>
      <c r="F186">
        <v>5</v>
      </c>
      <c r="G186" s="1" t="str">
        <f>Ocupacao_DW[[#This Row],[data]]&amp;Ocupacao_DW[[#This Row],[profissional_id]]&amp;Ocupacao_DW[[#This Row],[local_id]]</f>
        <v>44636735</v>
      </c>
      <c r="H186" s="1">
        <f>_xlfn.XLOOKUP(Ocupacao_DW[[#This Row],[Concat]],Vagas!$H:$H,Vagas!$D:$D,"",0)</f>
        <v>0</v>
      </c>
    </row>
    <row r="187" spans="1:8" x14ac:dyDescent="0.25">
      <c r="A187" s="2">
        <v>44635</v>
      </c>
      <c r="B187" s="1"/>
      <c r="C187">
        <v>73</v>
      </c>
      <c r="D187" s="1" t="s">
        <v>171</v>
      </c>
      <c r="E187" s="1" t="s">
        <v>6</v>
      </c>
      <c r="F187">
        <v>5</v>
      </c>
      <c r="G187" s="1" t="str">
        <f>Ocupacao_DW[[#This Row],[data]]&amp;Ocupacao_DW[[#This Row],[profissional_id]]&amp;Ocupacao_DW[[#This Row],[local_id]]</f>
        <v>44635735</v>
      </c>
      <c r="H187" s="1">
        <f>_xlfn.XLOOKUP(Ocupacao_DW[[#This Row],[Concat]],Vagas!$H:$H,Vagas!$D:$D,"",0)</f>
        <v>0</v>
      </c>
    </row>
    <row r="188" spans="1:8" x14ac:dyDescent="0.25">
      <c r="A188" s="2">
        <v>44636</v>
      </c>
      <c r="B188" s="1"/>
      <c r="C188">
        <v>5767</v>
      </c>
      <c r="D188" s="1" t="s">
        <v>239</v>
      </c>
      <c r="E188" s="1" t="s">
        <v>4</v>
      </c>
      <c r="F188">
        <v>43</v>
      </c>
      <c r="G188" s="1" t="str">
        <f>Ocupacao_DW[[#This Row],[data]]&amp;Ocupacao_DW[[#This Row],[profissional_id]]&amp;Ocupacao_DW[[#This Row],[local_id]]</f>
        <v>44636576743</v>
      </c>
      <c r="H188" s="1">
        <f>_xlfn.XLOOKUP(Ocupacao_DW[[#This Row],[Concat]],Vagas!$H:$H,Vagas!$D:$D,"",0)</f>
        <v>0</v>
      </c>
    </row>
    <row r="189" spans="1:8" x14ac:dyDescent="0.25">
      <c r="A189" s="2">
        <v>44648</v>
      </c>
      <c r="B189" s="1"/>
      <c r="C189">
        <v>17878</v>
      </c>
      <c r="D189" s="1" t="s">
        <v>183</v>
      </c>
      <c r="E189" s="1" t="s">
        <v>4</v>
      </c>
      <c r="F189">
        <v>47</v>
      </c>
      <c r="G189" s="1" t="str">
        <f>Ocupacao_DW[[#This Row],[data]]&amp;Ocupacao_DW[[#This Row],[profissional_id]]&amp;Ocupacao_DW[[#This Row],[local_id]]</f>
        <v>446481787847</v>
      </c>
      <c r="H189" s="1">
        <f>_xlfn.XLOOKUP(Ocupacao_DW[[#This Row],[Concat]],Vagas!$H:$H,Vagas!$D:$D,"",0)</f>
        <v>2</v>
      </c>
    </row>
    <row r="190" spans="1:8" x14ac:dyDescent="0.25">
      <c r="A190" s="2">
        <v>44635</v>
      </c>
      <c r="B190" s="1"/>
      <c r="C190">
        <v>73</v>
      </c>
      <c r="D190" s="1" t="s">
        <v>171</v>
      </c>
      <c r="E190" s="1" t="s">
        <v>6</v>
      </c>
      <c r="F190">
        <v>5</v>
      </c>
      <c r="G190" s="1" t="str">
        <f>Ocupacao_DW[[#This Row],[data]]&amp;Ocupacao_DW[[#This Row],[profissional_id]]&amp;Ocupacao_DW[[#This Row],[local_id]]</f>
        <v>44635735</v>
      </c>
      <c r="H190" s="1">
        <f>_xlfn.XLOOKUP(Ocupacao_DW[[#This Row],[Concat]],Vagas!$H:$H,Vagas!$D:$D,"",0)</f>
        <v>0</v>
      </c>
    </row>
    <row r="191" spans="1:8" x14ac:dyDescent="0.25">
      <c r="A191" s="2">
        <v>44642</v>
      </c>
      <c r="B191" s="1"/>
      <c r="C191">
        <v>12752</v>
      </c>
      <c r="D191" s="1" t="s">
        <v>253</v>
      </c>
      <c r="E191" s="1" t="s">
        <v>7</v>
      </c>
      <c r="F191">
        <v>60</v>
      </c>
      <c r="G191" s="1" t="str">
        <f>Ocupacao_DW[[#This Row],[data]]&amp;Ocupacao_DW[[#This Row],[profissional_id]]&amp;Ocupacao_DW[[#This Row],[local_id]]</f>
        <v>446421275260</v>
      </c>
      <c r="H191" s="1">
        <f>_xlfn.XLOOKUP(Ocupacao_DW[[#This Row],[Concat]],Vagas!$H:$H,Vagas!$D:$D,"",0)</f>
        <v>0</v>
      </c>
    </row>
    <row r="192" spans="1:8" x14ac:dyDescent="0.25">
      <c r="A192" s="2">
        <v>44643</v>
      </c>
      <c r="B192" s="1"/>
      <c r="C192">
        <v>10600</v>
      </c>
      <c r="D192" s="1" t="s">
        <v>248</v>
      </c>
      <c r="E192" s="1" t="s">
        <v>7</v>
      </c>
      <c r="F192">
        <v>71</v>
      </c>
      <c r="G192" s="1" t="str">
        <f>Ocupacao_DW[[#This Row],[data]]&amp;Ocupacao_DW[[#This Row],[profissional_id]]&amp;Ocupacao_DW[[#This Row],[local_id]]</f>
        <v>446431060071</v>
      </c>
      <c r="H192" s="1">
        <f>_xlfn.XLOOKUP(Ocupacao_DW[[#This Row],[Concat]],Vagas!$H:$H,Vagas!$D:$D,"",0)</f>
        <v>0</v>
      </c>
    </row>
    <row r="193" spans="1:8" x14ac:dyDescent="0.25">
      <c r="A193" s="2">
        <v>44636</v>
      </c>
      <c r="B193" s="1"/>
      <c r="C193">
        <v>2396</v>
      </c>
      <c r="D193" s="1" t="s">
        <v>197</v>
      </c>
      <c r="E193" s="1"/>
      <c r="F193">
        <v>0</v>
      </c>
      <c r="G193" s="1" t="str">
        <f>Ocupacao_DW[[#This Row],[data]]&amp;Ocupacao_DW[[#This Row],[profissional_id]]&amp;Ocupacao_DW[[#This Row],[local_id]]</f>
        <v>4463623960</v>
      </c>
      <c r="H193" s="1" t="str">
        <f>_xlfn.XLOOKUP(Ocupacao_DW[[#This Row],[Concat]],Vagas!$H:$H,Vagas!$D:$D,"",0)</f>
        <v/>
      </c>
    </row>
    <row r="194" spans="1:8" x14ac:dyDescent="0.25">
      <c r="A194" s="2">
        <v>44635</v>
      </c>
      <c r="B194" s="1"/>
      <c r="C194">
        <v>73</v>
      </c>
      <c r="D194" s="1" t="s">
        <v>171</v>
      </c>
      <c r="E194" s="1" t="s">
        <v>6</v>
      </c>
      <c r="F194">
        <v>5</v>
      </c>
      <c r="G194" s="1" t="str">
        <f>Ocupacao_DW[[#This Row],[data]]&amp;Ocupacao_DW[[#This Row],[profissional_id]]&amp;Ocupacao_DW[[#This Row],[local_id]]</f>
        <v>44635735</v>
      </c>
      <c r="H194" s="1">
        <f>_xlfn.XLOOKUP(Ocupacao_DW[[#This Row],[Concat]],Vagas!$H:$H,Vagas!$D:$D,"",0)</f>
        <v>0</v>
      </c>
    </row>
    <row r="195" spans="1:8" x14ac:dyDescent="0.25">
      <c r="A195" s="2">
        <v>44642</v>
      </c>
      <c r="B195" s="1"/>
      <c r="C195">
        <v>266</v>
      </c>
      <c r="D195" s="1" t="s">
        <v>201</v>
      </c>
      <c r="E195" s="1" t="s">
        <v>4</v>
      </c>
      <c r="F195">
        <v>42</v>
      </c>
      <c r="G195" s="1" t="str">
        <f>Ocupacao_DW[[#This Row],[data]]&amp;Ocupacao_DW[[#This Row],[profissional_id]]&amp;Ocupacao_DW[[#This Row],[local_id]]</f>
        <v>4464226642</v>
      </c>
      <c r="H195" s="1">
        <f>_xlfn.XLOOKUP(Ocupacao_DW[[#This Row],[Concat]],Vagas!$H:$H,Vagas!$D:$D,"",0)</f>
        <v>0</v>
      </c>
    </row>
    <row r="196" spans="1:8" x14ac:dyDescent="0.25">
      <c r="A196" s="2">
        <v>44639</v>
      </c>
      <c r="B196" s="1"/>
      <c r="C196">
        <v>4887</v>
      </c>
      <c r="D196" s="1" t="s">
        <v>168</v>
      </c>
      <c r="E196" s="1" t="s">
        <v>5</v>
      </c>
      <c r="F196">
        <v>18</v>
      </c>
      <c r="G196" s="1" t="str">
        <f>Ocupacao_DW[[#This Row],[data]]&amp;Ocupacao_DW[[#This Row],[profissional_id]]&amp;Ocupacao_DW[[#This Row],[local_id]]</f>
        <v>44639488718</v>
      </c>
      <c r="H196" s="1">
        <f>_xlfn.XLOOKUP(Ocupacao_DW[[#This Row],[Concat]],Vagas!$H:$H,Vagas!$D:$D,"",0)</f>
        <v>0</v>
      </c>
    </row>
    <row r="197" spans="1:8" x14ac:dyDescent="0.25">
      <c r="A197" s="2">
        <v>44635</v>
      </c>
      <c r="B197" s="1"/>
      <c r="C197">
        <v>69</v>
      </c>
      <c r="D197" s="1" t="s">
        <v>238</v>
      </c>
      <c r="E197" s="1" t="s">
        <v>5</v>
      </c>
      <c r="F197">
        <v>13</v>
      </c>
      <c r="G197" s="1" t="str">
        <f>Ocupacao_DW[[#This Row],[data]]&amp;Ocupacao_DW[[#This Row],[profissional_id]]&amp;Ocupacao_DW[[#This Row],[local_id]]</f>
        <v>446356913</v>
      </c>
      <c r="H197" s="1">
        <f>_xlfn.XLOOKUP(Ocupacao_DW[[#This Row],[Concat]],Vagas!$H:$H,Vagas!$D:$D,"",0)</f>
        <v>0</v>
      </c>
    </row>
    <row r="198" spans="1:8" x14ac:dyDescent="0.25">
      <c r="A198" s="2">
        <v>44649</v>
      </c>
      <c r="B198" s="1"/>
      <c r="C198">
        <v>7290</v>
      </c>
      <c r="D198" s="1" t="s">
        <v>247</v>
      </c>
      <c r="E198" s="1" t="s">
        <v>5</v>
      </c>
      <c r="F198">
        <v>18</v>
      </c>
      <c r="G198" s="1" t="str">
        <f>Ocupacao_DW[[#This Row],[data]]&amp;Ocupacao_DW[[#This Row],[profissional_id]]&amp;Ocupacao_DW[[#This Row],[local_id]]</f>
        <v>44649729018</v>
      </c>
      <c r="H198" s="1">
        <f>_xlfn.XLOOKUP(Ocupacao_DW[[#This Row],[Concat]],Vagas!$H:$H,Vagas!$D:$D,"",0)</f>
        <v>0</v>
      </c>
    </row>
    <row r="199" spans="1:8" x14ac:dyDescent="0.25">
      <c r="A199" s="2">
        <v>44636</v>
      </c>
      <c r="B199" s="1"/>
      <c r="C199">
        <v>73</v>
      </c>
      <c r="D199" s="1" t="s">
        <v>171</v>
      </c>
      <c r="E199" s="1" t="s">
        <v>6</v>
      </c>
      <c r="F199">
        <v>5</v>
      </c>
      <c r="G199" s="1" t="str">
        <f>Ocupacao_DW[[#This Row],[data]]&amp;Ocupacao_DW[[#This Row],[profissional_id]]&amp;Ocupacao_DW[[#This Row],[local_id]]</f>
        <v>44636735</v>
      </c>
      <c r="H199" s="1">
        <f>_xlfn.XLOOKUP(Ocupacao_DW[[#This Row],[Concat]],Vagas!$H:$H,Vagas!$D:$D,"",0)</f>
        <v>0</v>
      </c>
    </row>
    <row r="200" spans="1:8" x14ac:dyDescent="0.25">
      <c r="A200" s="2">
        <v>44635</v>
      </c>
      <c r="B200" s="1"/>
      <c r="C200">
        <v>73</v>
      </c>
      <c r="D200" s="1" t="s">
        <v>171</v>
      </c>
      <c r="E200" s="1" t="s">
        <v>6</v>
      </c>
      <c r="F200">
        <v>5</v>
      </c>
      <c r="G200" s="1" t="str">
        <f>Ocupacao_DW[[#This Row],[data]]&amp;Ocupacao_DW[[#This Row],[profissional_id]]&amp;Ocupacao_DW[[#This Row],[local_id]]</f>
        <v>44635735</v>
      </c>
      <c r="H200" s="1">
        <f>_xlfn.XLOOKUP(Ocupacao_DW[[#This Row],[Concat]],Vagas!$H:$H,Vagas!$D:$D,"",0)</f>
        <v>0</v>
      </c>
    </row>
    <row r="201" spans="1:8" x14ac:dyDescent="0.25">
      <c r="A201" s="2">
        <v>44649</v>
      </c>
      <c r="B201" s="1"/>
      <c r="C201">
        <v>266</v>
      </c>
      <c r="D201" s="1" t="s">
        <v>201</v>
      </c>
      <c r="E201" s="1" t="s">
        <v>4</v>
      </c>
      <c r="F201">
        <v>42</v>
      </c>
      <c r="G201" s="1" t="str">
        <f>Ocupacao_DW[[#This Row],[data]]&amp;Ocupacao_DW[[#This Row],[profissional_id]]&amp;Ocupacao_DW[[#This Row],[local_id]]</f>
        <v>4464926642</v>
      </c>
      <c r="H201" s="1">
        <f>_xlfn.XLOOKUP(Ocupacao_DW[[#This Row],[Concat]],Vagas!$H:$H,Vagas!$D:$D,"",0)</f>
        <v>0</v>
      </c>
    </row>
    <row r="202" spans="1:8" x14ac:dyDescent="0.25">
      <c r="A202" s="2">
        <v>44639</v>
      </c>
      <c r="B202" s="1"/>
      <c r="C202">
        <v>4887</v>
      </c>
      <c r="D202" s="1" t="s">
        <v>168</v>
      </c>
      <c r="E202" s="1"/>
      <c r="F202">
        <v>0</v>
      </c>
      <c r="G202" s="1" t="str">
        <f>Ocupacao_DW[[#This Row],[data]]&amp;Ocupacao_DW[[#This Row],[profissional_id]]&amp;Ocupacao_DW[[#This Row],[local_id]]</f>
        <v>4463948870</v>
      </c>
      <c r="H202" s="1" t="str">
        <f>_xlfn.XLOOKUP(Ocupacao_DW[[#This Row],[Concat]],Vagas!$H:$H,Vagas!$D:$D,"",0)</f>
        <v/>
      </c>
    </row>
    <row r="203" spans="1:8" x14ac:dyDescent="0.25">
      <c r="A203" s="2">
        <v>44636</v>
      </c>
      <c r="B203" s="1"/>
      <c r="C203">
        <v>73</v>
      </c>
      <c r="D203" s="1" t="s">
        <v>171</v>
      </c>
      <c r="E203" s="1" t="s">
        <v>6</v>
      </c>
      <c r="F203">
        <v>5</v>
      </c>
      <c r="G203" s="1" t="str">
        <f>Ocupacao_DW[[#This Row],[data]]&amp;Ocupacao_DW[[#This Row],[profissional_id]]&amp;Ocupacao_DW[[#This Row],[local_id]]</f>
        <v>44636735</v>
      </c>
      <c r="H203" s="1">
        <f>_xlfn.XLOOKUP(Ocupacao_DW[[#This Row],[Concat]],Vagas!$H:$H,Vagas!$D:$D,"",0)</f>
        <v>0</v>
      </c>
    </row>
    <row r="204" spans="1:8" x14ac:dyDescent="0.25">
      <c r="A204" s="2">
        <v>44636</v>
      </c>
      <c r="B204" s="1" t="s">
        <v>70</v>
      </c>
      <c r="C204">
        <v>12519</v>
      </c>
      <c r="D204" s="1" t="s">
        <v>176</v>
      </c>
      <c r="E204" s="1" t="s">
        <v>4</v>
      </c>
      <c r="F204">
        <v>48</v>
      </c>
      <c r="G204" s="1" t="str">
        <f>Ocupacao_DW[[#This Row],[data]]&amp;Ocupacao_DW[[#This Row],[profissional_id]]&amp;Ocupacao_DW[[#This Row],[local_id]]</f>
        <v>446361251948</v>
      </c>
      <c r="H204" s="1">
        <f>_xlfn.XLOOKUP(Ocupacao_DW[[#This Row],[Concat]],Vagas!$H:$H,Vagas!$D:$D,"",0)</f>
        <v>0</v>
      </c>
    </row>
    <row r="205" spans="1:8" x14ac:dyDescent="0.25">
      <c r="A205" s="2">
        <v>44635</v>
      </c>
      <c r="B205" s="1"/>
      <c r="C205">
        <v>266</v>
      </c>
      <c r="D205" s="1" t="s">
        <v>201</v>
      </c>
      <c r="E205" s="1" t="s">
        <v>4</v>
      </c>
      <c r="F205">
        <v>42</v>
      </c>
      <c r="G205" s="1" t="str">
        <f>Ocupacao_DW[[#This Row],[data]]&amp;Ocupacao_DW[[#This Row],[profissional_id]]&amp;Ocupacao_DW[[#This Row],[local_id]]</f>
        <v>4463526642</v>
      </c>
      <c r="H205" s="1">
        <f>_xlfn.XLOOKUP(Ocupacao_DW[[#This Row],[Concat]],Vagas!$H:$H,Vagas!$D:$D,"",0)</f>
        <v>0</v>
      </c>
    </row>
    <row r="206" spans="1:8" x14ac:dyDescent="0.25">
      <c r="A206" s="2">
        <v>44638</v>
      </c>
      <c r="B206" s="1"/>
      <c r="C206">
        <v>1794</v>
      </c>
      <c r="D206" s="1" t="s">
        <v>235</v>
      </c>
      <c r="E206" s="1" t="s">
        <v>4</v>
      </c>
      <c r="F206">
        <v>46</v>
      </c>
      <c r="G206" s="1" t="str">
        <f>Ocupacao_DW[[#This Row],[data]]&amp;Ocupacao_DW[[#This Row],[profissional_id]]&amp;Ocupacao_DW[[#This Row],[local_id]]</f>
        <v>44638179446</v>
      </c>
      <c r="H206" s="1">
        <f>_xlfn.XLOOKUP(Ocupacao_DW[[#This Row],[Concat]],Vagas!$H:$H,Vagas!$D:$D,"",0)</f>
        <v>0</v>
      </c>
    </row>
    <row r="207" spans="1:8" x14ac:dyDescent="0.25">
      <c r="A207" s="2">
        <v>44635</v>
      </c>
      <c r="B207" s="1"/>
      <c r="C207">
        <v>12825</v>
      </c>
      <c r="D207" s="1" t="s">
        <v>177</v>
      </c>
      <c r="E207" s="1" t="s">
        <v>7</v>
      </c>
      <c r="F207">
        <v>63</v>
      </c>
      <c r="G207" s="1" t="str">
        <f>Ocupacao_DW[[#This Row],[data]]&amp;Ocupacao_DW[[#This Row],[profissional_id]]&amp;Ocupacao_DW[[#This Row],[local_id]]</f>
        <v>446351282563</v>
      </c>
      <c r="H207" s="1">
        <f>_xlfn.XLOOKUP(Ocupacao_DW[[#This Row],[Concat]],Vagas!$H:$H,Vagas!$D:$D,"",0)</f>
        <v>0</v>
      </c>
    </row>
    <row r="208" spans="1:8" x14ac:dyDescent="0.25">
      <c r="A208" s="2">
        <v>44641</v>
      </c>
      <c r="B208" s="1"/>
      <c r="C208">
        <v>13371</v>
      </c>
      <c r="D208" s="1" t="s">
        <v>205</v>
      </c>
      <c r="E208" s="1" t="s">
        <v>4</v>
      </c>
      <c r="F208">
        <v>335</v>
      </c>
      <c r="G208" s="1" t="str">
        <f>Ocupacao_DW[[#This Row],[data]]&amp;Ocupacao_DW[[#This Row],[profissional_id]]&amp;Ocupacao_DW[[#This Row],[local_id]]</f>
        <v>4464113371335</v>
      </c>
      <c r="H208" s="1" t="str">
        <f>_xlfn.XLOOKUP(Ocupacao_DW[[#This Row],[Concat]],Vagas!$H:$H,Vagas!$D:$D,"",0)</f>
        <v/>
      </c>
    </row>
    <row r="209" spans="1:8" x14ac:dyDescent="0.25">
      <c r="A209" s="2">
        <v>44636</v>
      </c>
      <c r="B209" s="1" t="s">
        <v>47</v>
      </c>
      <c r="C209">
        <v>111</v>
      </c>
      <c r="D209" s="1" t="s">
        <v>199</v>
      </c>
      <c r="E209" s="1" t="s">
        <v>4</v>
      </c>
      <c r="F209">
        <v>51</v>
      </c>
      <c r="G209" s="1" t="str">
        <f>Ocupacao_DW[[#This Row],[data]]&amp;Ocupacao_DW[[#This Row],[profissional_id]]&amp;Ocupacao_DW[[#This Row],[local_id]]</f>
        <v>4463611151</v>
      </c>
      <c r="H209" s="1">
        <f>_xlfn.XLOOKUP(Ocupacao_DW[[#This Row],[Concat]],Vagas!$H:$H,Vagas!$D:$D,"",0)</f>
        <v>1</v>
      </c>
    </row>
    <row r="210" spans="1:8" x14ac:dyDescent="0.25">
      <c r="A210" s="2">
        <v>44635</v>
      </c>
      <c r="B210" s="1"/>
      <c r="C210">
        <v>14237</v>
      </c>
      <c r="D210" s="1" t="s">
        <v>186</v>
      </c>
      <c r="E210" s="1" t="s">
        <v>4</v>
      </c>
      <c r="F210">
        <v>47</v>
      </c>
      <c r="G210" s="1" t="str">
        <f>Ocupacao_DW[[#This Row],[data]]&amp;Ocupacao_DW[[#This Row],[profissional_id]]&amp;Ocupacao_DW[[#This Row],[local_id]]</f>
        <v>446351423747</v>
      </c>
      <c r="H210" s="1">
        <f>_xlfn.XLOOKUP(Ocupacao_DW[[#This Row],[Concat]],Vagas!$H:$H,Vagas!$D:$D,"",0)</f>
        <v>0</v>
      </c>
    </row>
    <row r="211" spans="1:8" x14ac:dyDescent="0.25">
      <c r="A211" s="2">
        <v>44639</v>
      </c>
      <c r="B211" s="1"/>
      <c r="C211">
        <v>4887</v>
      </c>
      <c r="D211" s="1" t="s">
        <v>168</v>
      </c>
      <c r="E211" s="1" t="s">
        <v>5</v>
      </c>
      <c r="F211">
        <v>18</v>
      </c>
      <c r="G211" s="1" t="str">
        <f>Ocupacao_DW[[#This Row],[data]]&amp;Ocupacao_DW[[#This Row],[profissional_id]]&amp;Ocupacao_DW[[#This Row],[local_id]]</f>
        <v>44639488718</v>
      </c>
      <c r="H211" s="1">
        <f>_xlfn.XLOOKUP(Ocupacao_DW[[#This Row],[Concat]],Vagas!$H:$H,Vagas!$D:$D,"",0)</f>
        <v>0</v>
      </c>
    </row>
    <row r="212" spans="1:8" x14ac:dyDescent="0.25">
      <c r="A212" s="2">
        <v>44635</v>
      </c>
      <c r="B212" s="1"/>
      <c r="C212">
        <v>73</v>
      </c>
      <c r="D212" s="1" t="s">
        <v>171</v>
      </c>
      <c r="E212" s="1" t="s">
        <v>6</v>
      </c>
      <c r="F212">
        <v>5</v>
      </c>
      <c r="G212" s="1" t="str">
        <f>Ocupacao_DW[[#This Row],[data]]&amp;Ocupacao_DW[[#This Row],[profissional_id]]&amp;Ocupacao_DW[[#This Row],[local_id]]</f>
        <v>44635735</v>
      </c>
      <c r="H212" s="1">
        <f>_xlfn.XLOOKUP(Ocupacao_DW[[#This Row],[Concat]],Vagas!$H:$H,Vagas!$D:$D,"",0)</f>
        <v>0</v>
      </c>
    </row>
    <row r="213" spans="1:8" x14ac:dyDescent="0.25">
      <c r="A213" s="2">
        <v>44636</v>
      </c>
      <c r="B213" s="1"/>
      <c r="C213">
        <v>10691</v>
      </c>
      <c r="D213" s="1" t="s">
        <v>181</v>
      </c>
      <c r="E213" s="1"/>
      <c r="F213">
        <v>0</v>
      </c>
      <c r="G213" s="1" t="str">
        <f>Ocupacao_DW[[#This Row],[data]]&amp;Ocupacao_DW[[#This Row],[profissional_id]]&amp;Ocupacao_DW[[#This Row],[local_id]]</f>
        <v>44636106910</v>
      </c>
      <c r="H213" s="1" t="str">
        <f>_xlfn.XLOOKUP(Ocupacao_DW[[#This Row],[Concat]],Vagas!$H:$H,Vagas!$D:$D,"",0)</f>
        <v/>
      </c>
    </row>
    <row r="214" spans="1:8" x14ac:dyDescent="0.25">
      <c r="A214" s="2">
        <v>44645</v>
      </c>
      <c r="B214" s="1"/>
      <c r="C214">
        <v>67</v>
      </c>
      <c r="D214" s="1" t="s">
        <v>172</v>
      </c>
      <c r="E214" s="1"/>
      <c r="F214">
        <v>0</v>
      </c>
      <c r="G214" s="1" t="str">
        <f>Ocupacao_DW[[#This Row],[data]]&amp;Ocupacao_DW[[#This Row],[profissional_id]]&amp;Ocupacao_DW[[#This Row],[local_id]]</f>
        <v>44645670</v>
      </c>
      <c r="H214" s="1" t="str">
        <f>_xlfn.XLOOKUP(Ocupacao_DW[[#This Row],[Concat]],Vagas!$H:$H,Vagas!$D:$D,"",0)</f>
        <v/>
      </c>
    </row>
    <row r="215" spans="1:8" x14ac:dyDescent="0.25">
      <c r="A215" s="2">
        <v>44651</v>
      </c>
      <c r="B215" s="1"/>
      <c r="C215">
        <v>1490</v>
      </c>
      <c r="D215" s="1" t="s">
        <v>174</v>
      </c>
      <c r="E215" s="1" t="s">
        <v>5</v>
      </c>
      <c r="F215">
        <v>12</v>
      </c>
      <c r="G215" s="1" t="str">
        <f>Ocupacao_DW[[#This Row],[data]]&amp;Ocupacao_DW[[#This Row],[profissional_id]]&amp;Ocupacao_DW[[#This Row],[local_id]]</f>
        <v>44651149012</v>
      </c>
      <c r="H215" s="1">
        <f>_xlfn.XLOOKUP(Ocupacao_DW[[#This Row],[Concat]],Vagas!$H:$H,Vagas!$D:$D,"",0)</f>
        <v>0</v>
      </c>
    </row>
    <row r="216" spans="1:8" x14ac:dyDescent="0.25">
      <c r="A216" s="2">
        <v>44642</v>
      </c>
      <c r="B216" s="1"/>
      <c r="C216">
        <v>73</v>
      </c>
      <c r="D216" s="1" t="s">
        <v>171</v>
      </c>
      <c r="E216" s="1" t="s">
        <v>6</v>
      </c>
      <c r="F216">
        <v>5</v>
      </c>
      <c r="G216" s="1" t="str">
        <f>Ocupacao_DW[[#This Row],[data]]&amp;Ocupacao_DW[[#This Row],[profissional_id]]&amp;Ocupacao_DW[[#This Row],[local_id]]</f>
        <v>44642735</v>
      </c>
      <c r="H216" s="1">
        <f>_xlfn.XLOOKUP(Ocupacao_DW[[#This Row],[Concat]],Vagas!$H:$H,Vagas!$D:$D,"",0)</f>
        <v>0</v>
      </c>
    </row>
    <row r="217" spans="1:8" x14ac:dyDescent="0.25">
      <c r="A217" s="2">
        <v>44643</v>
      </c>
      <c r="B217" s="1"/>
      <c r="C217">
        <v>60</v>
      </c>
      <c r="D217" s="1" t="s">
        <v>217</v>
      </c>
      <c r="E217" s="1"/>
      <c r="F217">
        <v>0</v>
      </c>
      <c r="G217" s="1" t="str">
        <f>Ocupacao_DW[[#This Row],[data]]&amp;Ocupacao_DW[[#This Row],[profissional_id]]&amp;Ocupacao_DW[[#This Row],[local_id]]</f>
        <v>44643600</v>
      </c>
      <c r="H217" s="1" t="str">
        <f>_xlfn.XLOOKUP(Ocupacao_DW[[#This Row],[Concat]],Vagas!$H:$H,Vagas!$D:$D,"",0)</f>
        <v/>
      </c>
    </row>
    <row r="218" spans="1:8" x14ac:dyDescent="0.25">
      <c r="A218" s="2">
        <v>44638</v>
      </c>
      <c r="B218" s="1"/>
      <c r="C218">
        <v>86</v>
      </c>
      <c r="D218" s="1" t="s">
        <v>175</v>
      </c>
      <c r="E218" s="1" t="s">
        <v>5</v>
      </c>
      <c r="F218">
        <v>349</v>
      </c>
      <c r="G218" s="1" t="str">
        <f>Ocupacao_DW[[#This Row],[data]]&amp;Ocupacao_DW[[#This Row],[profissional_id]]&amp;Ocupacao_DW[[#This Row],[local_id]]</f>
        <v>4463886349</v>
      </c>
      <c r="H218" s="1">
        <f>_xlfn.XLOOKUP(Ocupacao_DW[[#This Row],[Concat]],Vagas!$H:$H,Vagas!$D:$D,"",0)</f>
        <v>0</v>
      </c>
    </row>
    <row r="219" spans="1:8" x14ac:dyDescent="0.25">
      <c r="A219" s="2">
        <v>44643</v>
      </c>
      <c r="B219" s="1" t="s">
        <v>70</v>
      </c>
      <c r="C219">
        <v>12519</v>
      </c>
      <c r="D219" s="1" t="s">
        <v>176</v>
      </c>
      <c r="E219" s="1" t="s">
        <v>4</v>
      </c>
      <c r="F219">
        <v>48</v>
      </c>
      <c r="G219" s="1" t="str">
        <f>Ocupacao_DW[[#This Row],[data]]&amp;Ocupacao_DW[[#This Row],[profissional_id]]&amp;Ocupacao_DW[[#This Row],[local_id]]</f>
        <v>446431251948</v>
      </c>
      <c r="H219" s="1">
        <f>_xlfn.XLOOKUP(Ocupacao_DW[[#This Row],[Concat]],Vagas!$H:$H,Vagas!$D:$D,"",0)</f>
        <v>0</v>
      </c>
    </row>
    <row r="220" spans="1:8" x14ac:dyDescent="0.25">
      <c r="A220" s="2">
        <v>44635</v>
      </c>
      <c r="B220" s="1"/>
      <c r="C220">
        <v>14237</v>
      </c>
      <c r="D220" s="1" t="s">
        <v>186</v>
      </c>
      <c r="E220" s="1" t="s">
        <v>4</v>
      </c>
      <c r="F220">
        <v>47</v>
      </c>
      <c r="G220" s="1" t="str">
        <f>Ocupacao_DW[[#This Row],[data]]&amp;Ocupacao_DW[[#This Row],[profissional_id]]&amp;Ocupacao_DW[[#This Row],[local_id]]</f>
        <v>446351423747</v>
      </c>
      <c r="H220" s="1">
        <f>_xlfn.XLOOKUP(Ocupacao_DW[[#This Row],[Concat]],Vagas!$H:$H,Vagas!$D:$D,"",0)</f>
        <v>0</v>
      </c>
    </row>
    <row r="221" spans="1:8" x14ac:dyDescent="0.25">
      <c r="A221" s="2">
        <v>44650</v>
      </c>
      <c r="B221" s="1"/>
      <c r="C221">
        <v>1490</v>
      </c>
      <c r="D221" s="1" t="s">
        <v>174</v>
      </c>
      <c r="E221" s="1" t="s">
        <v>5</v>
      </c>
      <c r="F221">
        <v>13</v>
      </c>
      <c r="G221" s="1" t="str">
        <f>Ocupacao_DW[[#This Row],[data]]&amp;Ocupacao_DW[[#This Row],[profissional_id]]&amp;Ocupacao_DW[[#This Row],[local_id]]</f>
        <v>44650149013</v>
      </c>
      <c r="H221" s="1">
        <f>_xlfn.XLOOKUP(Ocupacao_DW[[#This Row],[Concat]],Vagas!$H:$H,Vagas!$D:$D,"",0)</f>
        <v>0</v>
      </c>
    </row>
    <row r="222" spans="1:8" x14ac:dyDescent="0.25">
      <c r="A222" s="2">
        <v>44656</v>
      </c>
      <c r="B222" s="1"/>
      <c r="C222">
        <v>12623</v>
      </c>
      <c r="D222" s="1" t="s">
        <v>258</v>
      </c>
      <c r="E222" s="1" t="s">
        <v>5</v>
      </c>
      <c r="F222">
        <v>11</v>
      </c>
      <c r="G222" s="1" t="str">
        <f>Ocupacao_DW[[#This Row],[data]]&amp;Ocupacao_DW[[#This Row],[profissional_id]]&amp;Ocupacao_DW[[#This Row],[local_id]]</f>
        <v>446561262311</v>
      </c>
      <c r="H222" s="1">
        <f>_xlfn.XLOOKUP(Ocupacao_DW[[#This Row],[Concat]],Vagas!$H:$H,Vagas!$D:$D,"",0)</f>
        <v>0</v>
      </c>
    </row>
    <row r="223" spans="1:8" x14ac:dyDescent="0.25">
      <c r="A223" s="2">
        <v>44641</v>
      </c>
      <c r="B223" s="1"/>
      <c r="C223">
        <v>13371</v>
      </c>
      <c r="D223" s="1" t="s">
        <v>205</v>
      </c>
      <c r="E223" s="1" t="s">
        <v>4</v>
      </c>
      <c r="F223">
        <v>335</v>
      </c>
      <c r="G223" s="1" t="str">
        <f>Ocupacao_DW[[#This Row],[data]]&amp;Ocupacao_DW[[#This Row],[profissional_id]]&amp;Ocupacao_DW[[#This Row],[local_id]]</f>
        <v>4464113371335</v>
      </c>
      <c r="H223" s="1" t="str">
        <f>_xlfn.XLOOKUP(Ocupacao_DW[[#This Row],[Concat]],Vagas!$H:$H,Vagas!$D:$D,"",0)</f>
        <v/>
      </c>
    </row>
    <row r="224" spans="1:8" x14ac:dyDescent="0.25">
      <c r="A224" s="2">
        <v>44642</v>
      </c>
      <c r="B224" s="1"/>
      <c r="C224">
        <v>73</v>
      </c>
      <c r="D224" s="1" t="s">
        <v>171</v>
      </c>
      <c r="E224" s="1" t="s">
        <v>6</v>
      </c>
      <c r="F224">
        <v>5</v>
      </c>
      <c r="G224" s="1" t="str">
        <f>Ocupacao_DW[[#This Row],[data]]&amp;Ocupacao_DW[[#This Row],[profissional_id]]&amp;Ocupacao_DW[[#This Row],[local_id]]</f>
        <v>44642735</v>
      </c>
      <c r="H224" s="1">
        <f>_xlfn.XLOOKUP(Ocupacao_DW[[#This Row],[Concat]],Vagas!$H:$H,Vagas!$D:$D,"",0)</f>
        <v>0</v>
      </c>
    </row>
    <row r="225" spans="1:8" x14ac:dyDescent="0.25">
      <c r="A225" s="2">
        <v>44638</v>
      </c>
      <c r="B225" s="1"/>
      <c r="C225">
        <v>2984</v>
      </c>
      <c r="D225" s="1" t="s">
        <v>185</v>
      </c>
      <c r="E225" s="1" t="s">
        <v>6</v>
      </c>
      <c r="F225">
        <v>7</v>
      </c>
      <c r="G225" s="1" t="str">
        <f>Ocupacao_DW[[#This Row],[data]]&amp;Ocupacao_DW[[#This Row],[profissional_id]]&amp;Ocupacao_DW[[#This Row],[local_id]]</f>
        <v>4463829847</v>
      </c>
      <c r="H225" s="1">
        <f>_xlfn.XLOOKUP(Ocupacao_DW[[#This Row],[Concat]],Vagas!$H:$H,Vagas!$D:$D,"",0)</f>
        <v>0</v>
      </c>
    </row>
    <row r="226" spans="1:8" x14ac:dyDescent="0.25">
      <c r="A226" s="2">
        <v>44635</v>
      </c>
      <c r="B226" s="1"/>
      <c r="C226">
        <v>12825</v>
      </c>
      <c r="D226" s="1" t="s">
        <v>177</v>
      </c>
      <c r="E226" s="1" t="s">
        <v>7</v>
      </c>
      <c r="F226">
        <v>63</v>
      </c>
      <c r="G226" s="1" t="str">
        <f>Ocupacao_DW[[#This Row],[data]]&amp;Ocupacao_DW[[#This Row],[profissional_id]]&amp;Ocupacao_DW[[#This Row],[local_id]]</f>
        <v>446351282563</v>
      </c>
      <c r="H226" s="1">
        <f>_xlfn.XLOOKUP(Ocupacao_DW[[#This Row],[Concat]],Vagas!$H:$H,Vagas!$D:$D,"",0)</f>
        <v>0</v>
      </c>
    </row>
    <row r="227" spans="1:8" x14ac:dyDescent="0.25">
      <c r="A227" s="2">
        <v>44635</v>
      </c>
      <c r="B227" s="1"/>
      <c r="C227">
        <v>14237</v>
      </c>
      <c r="D227" s="1" t="s">
        <v>186</v>
      </c>
      <c r="E227" s="1" t="s">
        <v>4</v>
      </c>
      <c r="F227">
        <v>47</v>
      </c>
      <c r="G227" s="1" t="str">
        <f>Ocupacao_DW[[#This Row],[data]]&amp;Ocupacao_DW[[#This Row],[profissional_id]]&amp;Ocupacao_DW[[#This Row],[local_id]]</f>
        <v>446351423747</v>
      </c>
      <c r="H227" s="1">
        <f>_xlfn.XLOOKUP(Ocupacao_DW[[#This Row],[Concat]],Vagas!$H:$H,Vagas!$D:$D,"",0)</f>
        <v>0</v>
      </c>
    </row>
    <row r="228" spans="1:8" x14ac:dyDescent="0.25">
      <c r="A228" s="2">
        <v>44635</v>
      </c>
      <c r="B228" s="1"/>
      <c r="C228">
        <v>73</v>
      </c>
      <c r="D228" s="1" t="s">
        <v>171</v>
      </c>
      <c r="E228" s="1" t="s">
        <v>6</v>
      </c>
      <c r="F228">
        <v>5</v>
      </c>
      <c r="G228" s="1" t="str">
        <f>Ocupacao_DW[[#This Row],[data]]&amp;Ocupacao_DW[[#This Row],[profissional_id]]&amp;Ocupacao_DW[[#This Row],[local_id]]</f>
        <v>44635735</v>
      </c>
      <c r="H228" s="1">
        <f>_xlfn.XLOOKUP(Ocupacao_DW[[#This Row],[Concat]],Vagas!$H:$H,Vagas!$D:$D,"",0)</f>
        <v>0</v>
      </c>
    </row>
    <row r="229" spans="1:8" x14ac:dyDescent="0.25">
      <c r="A229" s="2">
        <v>44645</v>
      </c>
      <c r="B229" s="1"/>
      <c r="C229">
        <v>67</v>
      </c>
      <c r="D229" s="1" t="s">
        <v>172</v>
      </c>
      <c r="E229" s="1"/>
      <c r="F229">
        <v>0</v>
      </c>
      <c r="G229" s="1" t="str">
        <f>Ocupacao_DW[[#This Row],[data]]&amp;Ocupacao_DW[[#This Row],[profissional_id]]&amp;Ocupacao_DW[[#This Row],[local_id]]</f>
        <v>44645670</v>
      </c>
      <c r="H229" s="1" t="str">
        <f>_xlfn.XLOOKUP(Ocupacao_DW[[#This Row],[Concat]],Vagas!$H:$H,Vagas!$D:$D,"",0)</f>
        <v/>
      </c>
    </row>
    <row r="230" spans="1:8" x14ac:dyDescent="0.25">
      <c r="A230" s="2">
        <v>44635</v>
      </c>
      <c r="B230" s="1"/>
      <c r="C230">
        <v>73</v>
      </c>
      <c r="D230" s="1" t="s">
        <v>171</v>
      </c>
      <c r="E230" s="1" t="s">
        <v>6</v>
      </c>
      <c r="F230">
        <v>5</v>
      </c>
      <c r="G230" s="1" t="str">
        <f>Ocupacao_DW[[#This Row],[data]]&amp;Ocupacao_DW[[#This Row],[profissional_id]]&amp;Ocupacao_DW[[#This Row],[local_id]]</f>
        <v>44635735</v>
      </c>
      <c r="H230" s="1">
        <f>_xlfn.XLOOKUP(Ocupacao_DW[[#This Row],[Concat]],Vagas!$H:$H,Vagas!$D:$D,"",0)</f>
        <v>0</v>
      </c>
    </row>
    <row r="231" spans="1:8" x14ac:dyDescent="0.25">
      <c r="A231" s="2">
        <v>44638</v>
      </c>
      <c r="B231" s="1" t="s">
        <v>55</v>
      </c>
      <c r="C231">
        <v>2984</v>
      </c>
      <c r="D231" s="1" t="s">
        <v>185</v>
      </c>
      <c r="E231" s="1" t="s">
        <v>6</v>
      </c>
      <c r="F231">
        <v>7</v>
      </c>
      <c r="G231" s="1" t="str">
        <f>Ocupacao_DW[[#This Row],[data]]&amp;Ocupacao_DW[[#This Row],[profissional_id]]&amp;Ocupacao_DW[[#This Row],[local_id]]</f>
        <v>4463829847</v>
      </c>
      <c r="H231" s="1">
        <f>_xlfn.XLOOKUP(Ocupacao_DW[[#This Row],[Concat]],Vagas!$H:$H,Vagas!$D:$D,"",0)</f>
        <v>0</v>
      </c>
    </row>
    <row r="232" spans="1:8" x14ac:dyDescent="0.25">
      <c r="A232" s="2">
        <v>44635</v>
      </c>
      <c r="B232" s="1"/>
      <c r="C232">
        <v>73</v>
      </c>
      <c r="D232" s="1" t="s">
        <v>171</v>
      </c>
      <c r="E232" s="1" t="s">
        <v>6</v>
      </c>
      <c r="F232">
        <v>5</v>
      </c>
      <c r="G232" s="1" t="str">
        <f>Ocupacao_DW[[#This Row],[data]]&amp;Ocupacao_DW[[#This Row],[profissional_id]]&amp;Ocupacao_DW[[#This Row],[local_id]]</f>
        <v>44635735</v>
      </c>
      <c r="H232" s="1">
        <f>_xlfn.XLOOKUP(Ocupacao_DW[[#This Row],[Concat]],Vagas!$H:$H,Vagas!$D:$D,"",0)</f>
        <v>0</v>
      </c>
    </row>
    <row r="233" spans="1:8" x14ac:dyDescent="0.25">
      <c r="A233" s="2">
        <v>44643</v>
      </c>
      <c r="B233" s="1"/>
      <c r="C233">
        <v>67</v>
      </c>
      <c r="D233" s="1" t="s">
        <v>172</v>
      </c>
      <c r="E233" s="1" t="s">
        <v>6</v>
      </c>
      <c r="F233">
        <v>8</v>
      </c>
      <c r="G233" s="1" t="str">
        <f>Ocupacao_DW[[#This Row],[data]]&amp;Ocupacao_DW[[#This Row],[profissional_id]]&amp;Ocupacao_DW[[#This Row],[local_id]]</f>
        <v>44643678</v>
      </c>
      <c r="H233" s="1">
        <f>_xlfn.XLOOKUP(Ocupacao_DW[[#This Row],[Concat]],Vagas!$H:$H,Vagas!$D:$D,"",0)</f>
        <v>0</v>
      </c>
    </row>
    <row r="234" spans="1:8" x14ac:dyDescent="0.25">
      <c r="A234" s="2">
        <v>44635</v>
      </c>
      <c r="B234" s="1"/>
      <c r="C234">
        <v>73</v>
      </c>
      <c r="D234" s="1" t="s">
        <v>171</v>
      </c>
      <c r="E234" s="1" t="s">
        <v>6</v>
      </c>
      <c r="F234">
        <v>5</v>
      </c>
      <c r="G234" s="1" t="str">
        <f>Ocupacao_DW[[#This Row],[data]]&amp;Ocupacao_DW[[#This Row],[profissional_id]]&amp;Ocupacao_DW[[#This Row],[local_id]]</f>
        <v>44635735</v>
      </c>
      <c r="H234" s="1">
        <f>_xlfn.XLOOKUP(Ocupacao_DW[[#This Row],[Concat]],Vagas!$H:$H,Vagas!$D:$D,"",0)</f>
        <v>0</v>
      </c>
    </row>
    <row r="235" spans="1:8" x14ac:dyDescent="0.25">
      <c r="A235" s="2">
        <v>44642</v>
      </c>
      <c r="B235" s="1"/>
      <c r="C235">
        <v>7290</v>
      </c>
      <c r="D235" s="1" t="s">
        <v>247</v>
      </c>
      <c r="E235" s="1" t="s">
        <v>5</v>
      </c>
      <c r="F235">
        <v>18</v>
      </c>
      <c r="G235" s="1" t="str">
        <f>Ocupacao_DW[[#This Row],[data]]&amp;Ocupacao_DW[[#This Row],[profissional_id]]&amp;Ocupacao_DW[[#This Row],[local_id]]</f>
        <v>44642729018</v>
      </c>
      <c r="H235" s="1">
        <f>_xlfn.XLOOKUP(Ocupacao_DW[[#This Row],[Concat]],Vagas!$H:$H,Vagas!$D:$D,"",0)</f>
        <v>0</v>
      </c>
    </row>
    <row r="236" spans="1:8" x14ac:dyDescent="0.25">
      <c r="A236" s="2">
        <v>44645</v>
      </c>
      <c r="B236" s="1"/>
      <c r="C236">
        <v>10249</v>
      </c>
      <c r="D236" s="1" t="s">
        <v>231</v>
      </c>
      <c r="E236" s="1" t="s">
        <v>4</v>
      </c>
      <c r="F236">
        <v>44</v>
      </c>
      <c r="G236" s="1" t="str">
        <f>Ocupacao_DW[[#This Row],[data]]&amp;Ocupacao_DW[[#This Row],[profissional_id]]&amp;Ocupacao_DW[[#This Row],[local_id]]</f>
        <v>446451024944</v>
      </c>
      <c r="H236" s="1" t="str">
        <f>_xlfn.XLOOKUP(Ocupacao_DW[[#This Row],[Concat]],Vagas!$H:$H,Vagas!$D:$D,"",0)</f>
        <v/>
      </c>
    </row>
    <row r="237" spans="1:8" x14ac:dyDescent="0.25">
      <c r="A237" s="2">
        <v>44643</v>
      </c>
      <c r="B237" s="1"/>
      <c r="C237">
        <v>67</v>
      </c>
      <c r="D237" s="1" t="s">
        <v>172</v>
      </c>
      <c r="E237" s="1" t="s">
        <v>6</v>
      </c>
      <c r="F237">
        <v>8</v>
      </c>
      <c r="G237" s="1" t="str">
        <f>Ocupacao_DW[[#This Row],[data]]&amp;Ocupacao_DW[[#This Row],[profissional_id]]&amp;Ocupacao_DW[[#This Row],[local_id]]</f>
        <v>44643678</v>
      </c>
      <c r="H237" s="1">
        <f>_xlfn.XLOOKUP(Ocupacao_DW[[#This Row],[Concat]],Vagas!$H:$H,Vagas!$D:$D,"",0)</f>
        <v>0</v>
      </c>
    </row>
    <row r="238" spans="1:8" x14ac:dyDescent="0.25">
      <c r="A238" s="2">
        <v>44651</v>
      </c>
      <c r="B238" s="1"/>
      <c r="C238">
        <v>1490</v>
      </c>
      <c r="D238" s="1" t="s">
        <v>174</v>
      </c>
      <c r="E238" s="1" t="s">
        <v>5</v>
      </c>
      <c r="F238">
        <v>12</v>
      </c>
      <c r="G238" s="1" t="str">
        <f>Ocupacao_DW[[#This Row],[data]]&amp;Ocupacao_DW[[#This Row],[profissional_id]]&amp;Ocupacao_DW[[#This Row],[local_id]]</f>
        <v>44651149012</v>
      </c>
      <c r="H238" s="1">
        <f>_xlfn.XLOOKUP(Ocupacao_DW[[#This Row],[Concat]],Vagas!$H:$H,Vagas!$D:$D,"",0)</f>
        <v>0</v>
      </c>
    </row>
    <row r="239" spans="1:8" x14ac:dyDescent="0.25">
      <c r="A239" s="2">
        <v>44650</v>
      </c>
      <c r="B239" s="1"/>
      <c r="C239">
        <v>17878</v>
      </c>
      <c r="D239" s="1" t="s">
        <v>183</v>
      </c>
      <c r="E239" s="1" t="s">
        <v>7</v>
      </c>
      <c r="F239">
        <v>63</v>
      </c>
      <c r="G239" s="1" t="str">
        <f>Ocupacao_DW[[#This Row],[data]]&amp;Ocupacao_DW[[#This Row],[profissional_id]]&amp;Ocupacao_DW[[#This Row],[local_id]]</f>
        <v>446501787863</v>
      </c>
      <c r="H239" s="1">
        <f>_xlfn.XLOOKUP(Ocupacao_DW[[#This Row],[Concat]],Vagas!$H:$H,Vagas!$D:$D,"",0)</f>
        <v>0</v>
      </c>
    </row>
    <row r="240" spans="1:8" x14ac:dyDescent="0.25">
      <c r="A240" s="2">
        <v>44636</v>
      </c>
      <c r="B240" s="1" t="s">
        <v>55</v>
      </c>
      <c r="C240">
        <v>73</v>
      </c>
      <c r="D240" s="1" t="s">
        <v>171</v>
      </c>
      <c r="E240" s="1" t="s">
        <v>6</v>
      </c>
      <c r="F240">
        <v>5</v>
      </c>
      <c r="G240" s="1" t="str">
        <f>Ocupacao_DW[[#This Row],[data]]&amp;Ocupacao_DW[[#This Row],[profissional_id]]&amp;Ocupacao_DW[[#This Row],[local_id]]</f>
        <v>44636735</v>
      </c>
      <c r="H240" s="1">
        <f>_xlfn.XLOOKUP(Ocupacao_DW[[#This Row],[Concat]],Vagas!$H:$H,Vagas!$D:$D,"",0)</f>
        <v>0</v>
      </c>
    </row>
    <row r="241" spans="1:8" x14ac:dyDescent="0.25">
      <c r="A241" s="2">
        <v>44649</v>
      </c>
      <c r="B241" s="1"/>
      <c r="C241">
        <v>73</v>
      </c>
      <c r="D241" s="1" t="s">
        <v>171</v>
      </c>
      <c r="E241" s="1" t="s">
        <v>6</v>
      </c>
      <c r="F241">
        <v>5</v>
      </c>
      <c r="G241" s="1" t="str">
        <f>Ocupacao_DW[[#This Row],[data]]&amp;Ocupacao_DW[[#This Row],[profissional_id]]&amp;Ocupacao_DW[[#This Row],[local_id]]</f>
        <v>44649735</v>
      </c>
      <c r="H241" s="1">
        <f>_xlfn.XLOOKUP(Ocupacao_DW[[#This Row],[Concat]],Vagas!$H:$H,Vagas!$D:$D,"",0)</f>
        <v>0</v>
      </c>
    </row>
    <row r="242" spans="1:8" x14ac:dyDescent="0.25">
      <c r="A242" s="2">
        <v>44636</v>
      </c>
      <c r="B242" s="1"/>
      <c r="C242">
        <v>73</v>
      </c>
      <c r="D242" s="1" t="s">
        <v>171</v>
      </c>
      <c r="E242" s="1" t="s">
        <v>6</v>
      </c>
      <c r="F242">
        <v>5</v>
      </c>
      <c r="G242" s="1" t="str">
        <f>Ocupacao_DW[[#This Row],[data]]&amp;Ocupacao_DW[[#This Row],[profissional_id]]&amp;Ocupacao_DW[[#This Row],[local_id]]</f>
        <v>44636735</v>
      </c>
      <c r="H242" s="1">
        <f>_xlfn.XLOOKUP(Ocupacao_DW[[#This Row],[Concat]],Vagas!$H:$H,Vagas!$D:$D,"",0)</f>
        <v>0</v>
      </c>
    </row>
    <row r="243" spans="1:8" x14ac:dyDescent="0.25">
      <c r="A243" s="2">
        <v>44636</v>
      </c>
      <c r="B243" s="1"/>
      <c r="C243">
        <v>73</v>
      </c>
      <c r="D243" s="1" t="s">
        <v>171</v>
      </c>
      <c r="E243" s="1" t="s">
        <v>6</v>
      </c>
      <c r="F243">
        <v>5</v>
      </c>
      <c r="G243" s="1" t="str">
        <f>Ocupacao_DW[[#This Row],[data]]&amp;Ocupacao_DW[[#This Row],[profissional_id]]&amp;Ocupacao_DW[[#This Row],[local_id]]</f>
        <v>44636735</v>
      </c>
      <c r="H243" s="1">
        <f>_xlfn.XLOOKUP(Ocupacao_DW[[#This Row],[Concat]],Vagas!$H:$H,Vagas!$D:$D,"",0)</f>
        <v>0</v>
      </c>
    </row>
    <row r="244" spans="1:8" x14ac:dyDescent="0.25">
      <c r="A244" s="2">
        <v>44658</v>
      </c>
      <c r="B244" s="1"/>
      <c r="C244">
        <v>1490</v>
      </c>
      <c r="D244" s="1" t="s">
        <v>174</v>
      </c>
      <c r="E244" s="1" t="s">
        <v>5</v>
      </c>
      <c r="F244">
        <v>12</v>
      </c>
      <c r="G244" s="1" t="str">
        <f>Ocupacao_DW[[#This Row],[data]]&amp;Ocupacao_DW[[#This Row],[profissional_id]]&amp;Ocupacao_DW[[#This Row],[local_id]]</f>
        <v>44658149012</v>
      </c>
      <c r="H244" s="1" t="str">
        <f>_xlfn.XLOOKUP(Ocupacao_DW[[#This Row],[Concat]],Vagas!$H:$H,Vagas!$D:$D,"",0)</f>
        <v/>
      </c>
    </row>
    <row r="245" spans="1:8" x14ac:dyDescent="0.25">
      <c r="A245" s="2">
        <v>44636</v>
      </c>
      <c r="B245" s="1"/>
      <c r="C245">
        <v>17878</v>
      </c>
      <c r="D245" s="1" t="s">
        <v>183</v>
      </c>
      <c r="E245" s="1" t="s">
        <v>7</v>
      </c>
      <c r="F245">
        <v>63</v>
      </c>
      <c r="G245" s="1" t="str">
        <f>Ocupacao_DW[[#This Row],[data]]&amp;Ocupacao_DW[[#This Row],[profissional_id]]&amp;Ocupacao_DW[[#This Row],[local_id]]</f>
        <v>446361787863</v>
      </c>
      <c r="H245" s="1">
        <f>_xlfn.XLOOKUP(Ocupacao_DW[[#This Row],[Concat]],Vagas!$H:$H,Vagas!$D:$D,"",0)</f>
        <v>0</v>
      </c>
    </row>
    <row r="246" spans="1:8" x14ac:dyDescent="0.25">
      <c r="A246" s="2">
        <v>44650</v>
      </c>
      <c r="B246" s="1"/>
      <c r="C246">
        <v>17878</v>
      </c>
      <c r="D246" s="1" t="s">
        <v>183</v>
      </c>
      <c r="E246" s="1" t="s">
        <v>7</v>
      </c>
      <c r="F246">
        <v>63</v>
      </c>
      <c r="G246" s="1" t="str">
        <f>Ocupacao_DW[[#This Row],[data]]&amp;Ocupacao_DW[[#This Row],[profissional_id]]&amp;Ocupacao_DW[[#This Row],[local_id]]</f>
        <v>446501787863</v>
      </c>
      <c r="H246" s="1">
        <f>_xlfn.XLOOKUP(Ocupacao_DW[[#This Row],[Concat]],Vagas!$H:$H,Vagas!$D:$D,"",0)</f>
        <v>0</v>
      </c>
    </row>
    <row r="247" spans="1:8" x14ac:dyDescent="0.25">
      <c r="A247" s="2">
        <v>44657</v>
      </c>
      <c r="B247" s="1"/>
      <c r="C247">
        <v>1490</v>
      </c>
      <c r="D247" s="1" t="s">
        <v>174</v>
      </c>
      <c r="E247" s="1" t="s">
        <v>5</v>
      </c>
      <c r="F247">
        <v>13</v>
      </c>
      <c r="G247" s="1" t="str">
        <f>Ocupacao_DW[[#This Row],[data]]&amp;Ocupacao_DW[[#This Row],[profissional_id]]&amp;Ocupacao_DW[[#This Row],[local_id]]</f>
        <v>44657149013</v>
      </c>
      <c r="H247" s="1">
        <f>_xlfn.XLOOKUP(Ocupacao_DW[[#This Row],[Concat]],Vagas!$H:$H,Vagas!$D:$D,"",0)</f>
        <v>0</v>
      </c>
    </row>
    <row r="248" spans="1:8" x14ac:dyDescent="0.25">
      <c r="A248" s="2">
        <v>44635</v>
      </c>
      <c r="B248" s="1"/>
      <c r="C248">
        <v>266</v>
      </c>
      <c r="D248" s="1" t="s">
        <v>201</v>
      </c>
      <c r="E248" s="1"/>
      <c r="F248">
        <v>0</v>
      </c>
      <c r="G248" s="1" t="str">
        <f>Ocupacao_DW[[#This Row],[data]]&amp;Ocupacao_DW[[#This Row],[profissional_id]]&amp;Ocupacao_DW[[#This Row],[local_id]]</f>
        <v>446352660</v>
      </c>
      <c r="H248" s="1" t="str">
        <f>_xlfn.XLOOKUP(Ocupacao_DW[[#This Row],[Concat]],Vagas!$H:$H,Vagas!$D:$D,"",0)</f>
        <v/>
      </c>
    </row>
    <row r="249" spans="1:8" x14ac:dyDescent="0.25">
      <c r="A249" s="2">
        <v>44639</v>
      </c>
      <c r="B249" s="1" t="s">
        <v>49</v>
      </c>
      <c r="C249">
        <v>13756</v>
      </c>
      <c r="D249" s="1" t="s">
        <v>202</v>
      </c>
      <c r="E249" s="1" t="s">
        <v>4</v>
      </c>
      <c r="F249">
        <v>44</v>
      </c>
      <c r="G249" s="1" t="str">
        <f>Ocupacao_DW[[#This Row],[data]]&amp;Ocupacao_DW[[#This Row],[profissional_id]]&amp;Ocupacao_DW[[#This Row],[local_id]]</f>
        <v>446391375644</v>
      </c>
      <c r="H249" s="1">
        <f>_xlfn.XLOOKUP(Ocupacao_DW[[#This Row],[Concat]],Vagas!$H:$H,Vagas!$D:$D,"",0)</f>
        <v>0</v>
      </c>
    </row>
    <row r="250" spans="1:8" x14ac:dyDescent="0.25">
      <c r="A250" s="2">
        <v>44636</v>
      </c>
      <c r="B250" s="1"/>
      <c r="C250">
        <v>73</v>
      </c>
      <c r="D250" s="1" t="s">
        <v>171</v>
      </c>
      <c r="E250" s="1" t="s">
        <v>6</v>
      </c>
      <c r="F250">
        <v>5</v>
      </c>
      <c r="G250" s="1" t="str">
        <f>Ocupacao_DW[[#This Row],[data]]&amp;Ocupacao_DW[[#This Row],[profissional_id]]&amp;Ocupacao_DW[[#This Row],[local_id]]</f>
        <v>44636735</v>
      </c>
      <c r="H250" s="1">
        <f>_xlfn.XLOOKUP(Ocupacao_DW[[#This Row],[Concat]],Vagas!$H:$H,Vagas!$D:$D,"",0)</f>
        <v>0</v>
      </c>
    </row>
    <row r="251" spans="1:8" x14ac:dyDescent="0.25">
      <c r="A251" s="2">
        <v>44638</v>
      </c>
      <c r="B251" s="1"/>
      <c r="C251">
        <v>2984</v>
      </c>
      <c r="D251" s="1" t="s">
        <v>185</v>
      </c>
      <c r="E251" s="1" t="s">
        <v>6</v>
      </c>
      <c r="F251">
        <v>7</v>
      </c>
      <c r="G251" s="1" t="str">
        <f>Ocupacao_DW[[#This Row],[data]]&amp;Ocupacao_DW[[#This Row],[profissional_id]]&amp;Ocupacao_DW[[#This Row],[local_id]]</f>
        <v>4463829847</v>
      </c>
      <c r="H251" s="1">
        <f>_xlfn.XLOOKUP(Ocupacao_DW[[#This Row],[Concat]],Vagas!$H:$H,Vagas!$D:$D,"",0)</f>
        <v>0</v>
      </c>
    </row>
    <row r="252" spans="1:8" x14ac:dyDescent="0.25">
      <c r="A252" s="2">
        <v>44636</v>
      </c>
      <c r="B252" s="1" t="s">
        <v>70</v>
      </c>
      <c r="C252">
        <v>12519</v>
      </c>
      <c r="D252" s="1" t="s">
        <v>176</v>
      </c>
      <c r="E252" s="1" t="s">
        <v>4</v>
      </c>
      <c r="F252">
        <v>48</v>
      </c>
      <c r="G252" s="1" t="str">
        <f>Ocupacao_DW[[#This Row],[data]]&amp;Ocupacao_DW[[#This Row],[profissional_id]]&amp;Ocupacao_DW[[#This Row],[local_id]]</f>
        <v>446361251948</v>
      </c>
      <c r="H252" s="1">
        <f>_xlfn.XLOOKUP(Ocupacao_DW[[#This Row],[Concat]],Vagas!$H:$H,Vagas!$D:$D,"",0)</f>
        <v>0</v>
      </c>
    </row>
    <row r="253" spans="1:8" x14ac:dyDescent="0.25">
      <c r="A253" s="2">
        <v>44636</v>
      </c>
      <c r="B253" s="1" t="s">
        <v>70</v>
      </c>
      <c r="C253">
        <v>12519</v>
      </c>
      <c r="D253" s="1" t="s">
        <v>176</v>
      </c>
      <c r="E253" s="1" t="s">
        <v>4</v>
      </c>
      <c r="F253">
        <v>48</v>
      </c>
      <c r="G253" s="1" t="str">
        <f>Ocupacao_DW[[#This Row],[data]]&amp;Ocupacao_DW[[#This Row],[profissional_id]]&amp;Ocupacao_DW[[#This Row],[local_id]]</f>
        <v>446361251948</v>
      </c>
      <c r="H253" s="1">
        <f>_xlfn.XLOOKUP(Ocupacao_DW[[#This Row],[Concat]],Vagas!$H:$H,Vagas!$D:$D,"",0)</f>
        <v>0</v>
      </c>
    </row>
    <row r="254" spans="1:8" x14ac:dyDescent="0.25">
      <c r="A254" s="2">
        <v>44658</v>
      </c>
      <c r="B254" s="1"/>
      <c r="C254">
        <v>1490</v>
      </c>
      <c r="D254" s="1" t="s">
        <v>174</v>
      </c>
      <c r="E254" s="1" t="s">
        <v>5</v>
      </c>
      <c r="F254">
        <v>12</v>
      </c>
      <c r="G254" s="1" t="str">
        <f>Ocupacao_DW[[#This Row],[data]]&amp;Ocupacao_DW[[#This Row],[profissional_id]]&amp;Ocupacao_DW[[#This Row],[local_id]]</f>
        <v>44658149012</v>
      </c>
      <c r="H254" s="1" t="str">
        <f>_xlfn.XLOOKUP(Ocupacao_DW[[#This Row],[Concat]],Vagas!$H:$H,Vagas!$D:$D,"",0)</f>
        <v/>
      </c>
    </row>
    <row r="255" spans="1:8" x14ac:dyDescent="0.25">
      <c r="A255" s="2">
        <v>44637</v>
      </c>
      <c r="B255" s="1"/>
      <c r="C255">
        <v>1343</v>
      </c>
      <c r="D255" s="1" t="s">
        <v>263</v>
      </c>
      <c r="E255" s="1" t="s">
        <v>200</v>
      </c>
      <c r="F255">
        <v>80</v>
      </c>
      <c r="G255" s="1" t="str">
        <f>Ocupacao_DW[[#This Row],[data]]&amp;Ocupacao_DW[[#This Row],[profissional_id]]&amp;Ocupacao_DW[[#This Row],[local_id]]</f>
        <v>44637134380</v>
      </c>
      <c r="H255" s="1">
        <f>_xlfn.XLOOKUP(Ocupacao_DW[[#This Row],[Concat]],Vagas!$H:$H,Vagas!$D:$D,"",0)</f>
        <v>0</v>
      </c>
    </row>
    <row r="256" spans="1:8" x14ac:dyDescent="0.25">
      <c r="A256" s="2">
        <v>44636</v>
      </c>
      <c r="B256" s="1"/>
      <c r="C256">
        <v>73</v>
      </c>
      <c r="D256" s="1" t="s">
        <v>171</v>
      </c>
      <c r="E256" s="1" t="s">
        <v>6</v>
      </c>
      <c r="F256">
        <v>5</v>
      </c>
      <c r="G256" s="1" t="str">
        <f>Ocupacao_DW[[#This Row],[data]]&amp;Ocupacao_DW[[#This Row],[profissional_id]]&amp;Ocupacao_DW[[#This Row],[local_id]]</f>
        <v>44636735</v>
      </c>
      <c r="H256" s="1">
        <f>_xlfn.XLOOKUP(Ocupacao_DW[[#This Row],[Concat]],Vagas!$H:$H,Vagas!$D:$D,"",0)</f>
        <v>0</v>
      </c>
    </row>
    <row r="257" spans="1:8" x14ac:dyDescent="0.25">
      <c r="A257" s="2">
        <v>44642</v>
      </c>
      <c r="B257" s="1"/>
      <c r="C257">
        <v>13061</v>
      </c>
      <c r="D257" s="1" t="s">
        <v>232</v>
      </c>
      <c r="E257" s="1"/>
      <c r="F257">
        <v>0</v>
      </c>
      <c r="G257" s="1" t="str">
        <f>Ocupacao_DW[[#This Row],[data]]&amp;Ocupacao_DW[[#This Row],[profissional_id]]&amp;Ocupacao_DW[[#This Row],[local_id]]</f>
        <v>44642130610</v>
      </c>
      <c r="H257" s="1" t="str">
        <f>_xlfn.XLOOKUP(Ocupacao_DW[[#This Row],[Concat]],Vagas!$H:$H,Vagas!$D:$D,"",0)</f>
        <v/>
      </c>
    </row>
    <row r="258" spans="1:8" x14ac:dyDescent="0.25">
      <c r="A258" s="2">
        <v>44635</v>
      </c>
      <c r="B258" s="1" t="s">
        <v>47</v>
      </c>
      <c r="C258">
        <v>110</v>
      </c>
      <c r="D258" s="1" t="s">
        <v>193</v>
      </c>
      <c r="E258" s="1" t="s">
        <v>4</v>
      </c>
      <c r="F258">
        <v>334</v>
      </c>
      <c r="G258" s="1" t="str">
        <f>Ocupacao_DW[[#This Row],[data]]&amp;Ocupacao_DW[[#This Row],[profissional_id]]&amp;Ocupacao_DW[[#This Row],[local_id]]</f>
        <v>44635110334</v>
      </c>
      <c r="H258" s="1">
        <f>_xlfn.XLOOKUP(Ocupacao_DW[[#This Row],[Concat]],Vagas!$H:$H,Vagas!$D:$D,"",0)</f>
        <v>0</v>
      </c>
    </row>
    <row r="259" spans="1:8" x14ac:dyDescent="0.25">
      <c r="A259" s="2">
        <v>44637</v>
      </c>
      <c r="B259" s="1" t="s">
        <v>51</v>
      </c>
      <c r="C259">
        <v>12582</v>
      </c>
      <c r="D259" s="1" t="s">
        <v>190</v>
      </c>
      <c r="E259" s="1" t="s">
        <v>6</v>
      </c>
      <c r="F259">
        <v>6</v>
      </c>
      <c r="G259" s="1" t="str">
        <f>Ocupacao_DW[[#This Row],[data]]&amp;Ocupacao_DW[[#This Row],[profissional_id]]&amp;Ocupacao_DW[[#This Row],[local_id]]</f>
        <v>44637125826</v>
      </c>
      <c r="H259" s="1">
        <f>_xlfn.XLOOKUP(Ocupacao_DW[[#This Row],[Concat]],Vagas!$H:$H,Vagas!$D:$D,"",0)</f>
        <v>0</v>
      </c>
    </row>
    <row r="260" spans="1:8" x14ac:dyDescent="0.25">
      <c r="A260" s="2">
        <v>44636</v>
      </c>
      <c r="B260" s="1"/>
      <c r="C260">
        <v>73</v>
      </c>
      <c r="D260" s="1" t="s">
        <v>171</v>
      </c>
      <c r="E260" s="1" t="s">
        <v>6</v>
      </c>
      <c r="F260">
        <v>5</v>
      </c>
      <c r="G260" s="1" t="str">
        <f>Ocupacao_DW[[#This Row],[data]]&amp;Ocupacao_DW[[#This Row],[profissional_id]]&amp;Ocupacao_DW[[#This Row],[local_id]]</f>
        <v>44636735</v>
      </c>
      <c r="H260" s="1">
        <f>_xlfn.XLOOKUP(Ocupacao_DW[[#This Row],[Concat]],Vagas!$H:$H,Vagas!$D:$D,"",0)</f>
        <v>0</v>
      </c>
    </row>
    <row r="261" spans="1:8" x14ac:dyDescent="0.25">
      <c r="A261" s="2">
        <v>44637</v>
      </c>
      <c r="B261" s="1"/>
      <c r="C261">
        <v>12582</v>
      </c>
      <c r="D261" s="1" t="s">
        <v>190</v>
      </c>
      <c r="E261" s="1" t="s">
        <v>6</v>
      </c>
      <c r="F261">
        <v>6</v>
      </c>
      <c r="G261" s="1" t="str">
        <f>Ocupacao_DW[[#This Row],[data]]&amp;Ocupacao_DW[[#This Row],[profissional_id]]&amp;Ocupacao_DW[[#This Row],[local_id]]</f>
        <v>44637125826</v>
      </c>
      <c r="H261" s="1">
        <f>_xlfn.XLOOKUP(Ocupacao_DW[[#This Row],[Concat]],Vagas!$H:$H,Vagas!$D:$D,"",0)</f>
        <v>0</v>
      </c>
    </row>
    <row r="262" spans="1:8" x14ac:dyDescent="0.25">
      <c r="A262" s="2">
        <v>44636</v>
      </c>
      <c r="B262" s="1" t="s">
        <v>70</v>
      </c>
      <c r="C262">
        <v>12519</v>
      </c>
      <c r="D262" s="1" t="s">
        <v>176</v>
      </c>
      <c r="E262" s="1" t="s">
        <v>4</v>
      </c>
      <c r="F262">
        <v>48</v>
      </c>
      <c r="G262" s="1" t="str">
        <f>Ocupacao_DW[[#This Row],[data]]&amp;Ocupacao_DW[[#This Row],[profissional_id]]&amp;Ocupacao_DW[[#This Row],[local_id]]</f>
        <v>446361251948</v>
      </c>
      <c r="H262" s="1">
        <f>_xlfn.XLOOKUP(Ocupacao_DW[[#This Row],[Concat]],Vagas!$H:$H,Vagas!$D:$D,"",0)</f>
        <v>0</v>
      </c>
    </row>
    <row r="263" spans="1:8" x14ac:dyDescent="0.25">
      <c r="A263" s="2">
        <v>44645</v>
      </c>
      <c r="B263" s="1" t="s">
        <v>55</v>
      </c>
      <c r="C263">
        <v>13835</v>
      </c>
      <c r="D263" s="1" t="s">
        <v>225</v>
      </c>
      <c r="E263" s="1" t="s">
        <v>6</v>
      </c>
      <c r="F263">
        <v>4</v>
      </c>
      <c r="G263" s="1" t="str">
        <f>Ocupacao_DW[[#This Row],[data]]&amp;Ocupacao_DW[[#This Row],[profissional_id]]&amp;Ocupacao_DW[[#This Row],[local_id]]</f>
        <v>44645138354</v>
      </c>
      <c r="H263" s="1" t="str">
        <f>_xlfn.XLOOKUP(Ocupacao_DW[[#This Row],[Concat]],Vagas!$H:$H,Vagas!$D:$D,"",0)</f>
        <v/>
      </c>
    </row>
    <row r="264" spans="1:8" x14ac:dyDescent="0.25">
      <c r="A264" s="2">
        <v>44635</v>
      </c>
      <c r="B264" s="1" t="s">
        <v>55</v>
      </c>
      <c r="C264">
        <v>12669</v>
      </c>
      <c r="D264" s="1" t="s">
        <v>223</v>
      </c>
      <c r="E264" s="1" t="s">
        <v>6</v>
      </c>
      <c r="F264">
        <v>6</v>
      </c>
      <c r="G264" s="1" t="str">
        <f>Ocupacao_DW[[#This Row],[data]]&amp;Ocupacao_DW[[#This Row],[profissional_id]]&amp;Ocupacao_DW[[#This Row],[local_id]]</f>
        <v>44635126696</v>
      </c>
      <c r="H264" s="1">
        <f>_xlfn.XLOOKUP(Ocupacao_DW[[#This Row],[Concat]],Vagas!$H:$H,Vagas!$D:$D,"",0)</f>
        <v>0</v>
      </c>
    </row>
    <row r="265" spans="1:8" x14ac:dyDescent="0.25">
      <c r="A265" s="2">
        <v>44636</v>
      </c>
      <c r="B265" s="1"/>
      <c r="C265">
        <v>17859</v>
      </c>
      <c r="D265" s="1" t="s">
        <v>212</v>
      </c>
      <c r="E265" s="1" t="s">
        <v>6</v>
      </c>
      <c r="F265">
        <v>7</v>
      </c>
      <c r="G265" s="1" t="str">
        <f>Ocupacao_DW[[#This Row],[data]]&amp;Ocupacao_DW[[#This Row],[profissional_id]]&amp;Ocupacao_DW[[#This Row],[local_id]]</f>
        <v>44636178597</v>
      </c>
      <c r="H265" s="1">
        <f>_xlfn.XLOOKUP(Ocupacao_DW[[#This Row],[Concat]],Vagas!$H:$H,Vagas!$D:$D,"",0)</f>
        <v>0</v>
      </c>
    </row>
    <row r="266" spans="1:8" x14ac:dyDescent="0.25">
      <c r="A266" s="2">
        <v>44636</v>
      </c>
      <c r="B266" s="1" t="s">
        <v>55</v>
      </c>
      <c r="C266">
        <v>73</v>
      </c>
      <c r="D266" s="1" t="s">
        <v>171</v>
      </c>
      <c r="E266" s="1" t="s">
        <v>6</v>
      </c>
      <c r="F266">
        <v>5</v>
      </c>
      <c r="G266" s="1" t="str">
        <f>Ocupacao_DW[[#This Row],[data]]&amp;Ocupacao_DW[[#This Row],[profissional_id]]&amp;Ocupacao_DW[[#This Row],[local_id]]</f>
        <v>44636735</v>
      </c>
      <c r="H266" s="1">
        <f>_xlfn.XLOOKUP(Ocupacao_DW[[#This Row],[Concat]],Vagas!$H:$H,Vagas!$D:$D,"",0)</f>
        <v>0</v>
      </c>
    </row>
    <row r="267" spans="1:8" x14ac:dyDescent="0.25">
      <c r="A267" s="2">
        <v>44645</v>
      </c>
      <c r="B267" s="1"/>
      <c r="C267">
        <v>67</v>
      </c>
      <c r="D267" s="1" t="s">
        <v>172</v>
      </c>
      <c r="E267" s="1"/>
      <c r="F267">
        <v>0</v>
      </c>
      <c r="G267" s="1" t="str">
        <f>Ocupacao_DW[[#This Row],[data]]&amp;Ocupacao_DW[[#This Row],[profissional_id]]&amp;Ocupacao_DW[[#This Row],[local_id]]</f>
        <v>44645670</v>
      </c>
      <c r="H267" s="1" t="str">
        <f>_xlfn.XLOOKUP(Ocupacao_DW[[#This Row],[Concat]],Vagas!$H:$H,Vagas!$D:$D,"",0)</f>
        <v/>
      </c>
    </row>
    <row r="268" spans="1:8" x14ac:dyDescent="0.25">
      <c r="A268" s="2">
        <v>44636</v>
      </c>
      <c r="B268" s="1" t="s">
        <v>70</v>
      </c>
      <c r="C268">
        <v>12519</v>
      </c>
      <c r="D268" s="1" t="s">
        <v>176</v>
      </c>
      <c r="E268" s="1" t="s">
        <v>4</v>
      </c>
      <c r="F268">
        <v>48</v>
      </c>
      <c r="G268" s="1" t="str">
        <f>Ocupacao_DW[[#This Row],[data]]&amp;Ocupacao_DW[[#This Row],[profissional_id]]&amp;Ocupacao_DW[[#This Row],[local_id]]</f>
        <v>446361251948</v>
      </c>
      <c r="H268" s="1">
        <f>_xlfn.XLOOKUP(Ocupacao_DW[[#This Row],[Concat]],Vagas!$H:$H,Vagas!$D:$D,"",0)</f>
        <v>0</v>
      </c>
    </row>
    <row r="269" spans="1:8" x14ac:dyDescent="0.25">
      <c r="A269" s="2">
        <v>44638</v>
      </c>
      <c r="B269" s="1"/>
      <c r="C269">
        <v>86</v>
      </c>
      <c r="D269" s="1" t="s">
        <v>175</v>
      </c>
      <c r="E269" s="1" t="s">
        <v>5</v>
      </c>
      <c r="F269">
        <v>349</v>
      </c>
      <c r="G269" s="1" t="str">
        <f>Ocupacao_DW[[#This Row],[data]]&amp;Ocupacao_DW[[#This Row],[profissional_id]]&amp;Ocupacao_DW[[#This Row],[local_id]]</f>
        <v>4463886349</v>
      </c>
      <c r="H269" s="1">
        <f>_xlfn.XLOOKUP(Ocupacao_DW[[#This Row],[Concat]],Vagas!$H:$H,Vagas!$D:$D,"",0)</f>
        <v>0</v>
      </c>
    </row>
    <row r="270" spans="1:8" x14ac:dyDescent="0.25">
      <c r="A270" s="2">
        <v>44645</v>
      </c>
      <c r="B270" s="1"/>
      <c r="C270">
        <v>67</v>
      </c>
      <c r="D270" s="1" t="s">
        <v>172</v>
      </c>
      <c r="E270" s="1"/>
      <c r="F270">
        <v>0</v>
      </c>
      <c r="G270" s="1" t="str">
        <f>Ocupacao_DW[[#This Row],[data]]&amp;Ocupacao_DW[[#This Row],[profissional_id]]&amp;Ocupacao_DW[[#This Row],[local_id]]</f>
        <v>44645670</v>
      </c>
      <c r="H270" s="1" t="str">
        <f>_xlfn.XLOOKUP(Ocupacao_DW[[#This Row],[Concat]],Vagas!$H:$H,Vagas!$D:$D,"",0)</f>
        <v/>
      </c>
    </row>
    <row r="271" spans="1:8" x14ac:dyDescent="0.25">
      <c r="A271" s="2">
        <v>44643</v>
      </c>
      <c r="B271" s="1"/>
      <c r="C271">
        <v>67</v>
      </c>
      <c r="D271" s="1" t="s">
        <v>172</v>
      </c>
      <c r="E271" s="1" t="s">
        <v>6</v>
      </c>
      <c r="F271">
        <v>8</v>
      </c>
      <c r="G271" s="1" t="str">
        <f>Ocupacao_DW[[#This Row],[data]]&amp;Ocupacao_DW[[#This Row],[profissional_id]]&amp;Ocupacao_DW[[#This Row],[local_id]]</f>
        <v>44643678</v>
      </c>
      <c r="H271" s="1">
        <f>_xlfn.XLOOKUP(Ocupacao_DW[[#This Row],[Concat]],Vagas!$H:$H,Vagas!$D:$D,"",0)</f>
        <v>0</v>
      </c>
    </row>
    <row r="272" spans="1:8" x14ac:dyDescent="0.25">
      <c r="A272" s="2">
        <v>44636</v>
      </c>
      <c r="B272" s="1"/>
      <c r="C272">
        <v>74</v>
      </c>
      <c r="D272" s="1" t="s">
        <v>182</v>
      </c>
      <c r="E272" s="1" t="s">
        <v>6</v>
      </c>
      <c r="F272">
        <v>7</v>
      </c>
      <c r="G272" s="1" t="str">
        <f>Ocupacao_DW[[#This Row],[data]]&amp;Ocupacao_DW[[#This Row],[profissional_id]]&amp;Ocupacao_DW[[#This Row],[local_id]]</f>
        <v>44636747</v>
      </c>
      <c r="H272" s="1">
        <f>_xlfn.XLOOKUP(Ocupacao_DW[[#This Row],[Concat]],Vagas!$H:$H,Vagas!$D:$D,"",0)</f>
        <v>0</v>
      </c>
    </row>
    <row r="273" spans="1:8" x14ac:dyDescent="0.25">
      <c r="A273" s="2">
        <v>44636</v>
      </c>
      <c r="B273" s="1"/>
      <c r="C273">
        <v>74</v>
      </c>
      <c r="D273" s="1" t="s">
        <v>182</v>
      </c>
      <c r="E273" s="1" t="s">
        <v>6</v>
      </c>
      <c r="F273">
        <v>7</v>
      </c>
      <c r="G273" s="1" t="str">
        <f>Ocupacao_DW[[#This Row],[data]]&amp;Ocupacao_DW[[#This Row],[profissional_id]]&amp;Ocupacao_DW[[#This Row],[local_id]]</f>
        <v>44636747</v>
      </c>
      <c r="H273" s="1">
        <f>_xlfn.XLOOKUP(Ocupacao_DW[[#This Row],[Concat]],Vagas!$H:$H,Vagas!$D:$D,"",0)</f>
        <v>0</v>
      </c>
    </row>
    <row r="274" spans="1:8" x14ac:dyDescent="0.25">
      <c r="A274" s="2">
        <v>44641</v>
      </c>
      <c r="B274" s="1"/>
      <c r="C274">
        <v>2984</v>
      </c>
      <c r="D274" s="1" t="s">
        <v>185</v>
      </c>
      <c r="E274" s="1" t="s">
        <v>6</v>
      </c>
      <c r="F274">
        <v>7</v>
      </c>
      <c r="G274" s="1" t="str">
        <f>Ocupacao_DW[[#This Row],[data]]&amp;Ocupacao_DW[[#This Row],[profissional_id]]&amp;Ocupacao_DW[[#This Row],[local_id]]</f>
        <v>4464129847</v>
      </c>
      <c r="H274" s="1">
        <f>_xlfn.XLOOKUP(Ocupacao_DW[[#This Row],[Concat]],Vagas!$H:$H,Vagas!$D:$D,"",0)</f>
        <v>0</v>
      </c>
    </row>
    <row r="275" spans="1:8" x14ac:dyDescent="0.25">
      <c r="A275" s="2">
        <v>44642</v>
      </c>
      <c r="B275" s="1"/>
      <c r="C275">
        <v>73</v>
      </c>
      <c r="D275" s="1" t="s">
        <v>171</v>
      </c>
      <c r="E275" s="1" t="s">
        <v>6</v>
      </c>
      <c r="F275">
        <v>5</v>
      </c>
      <c r="G275" s="1" t="str">
        <f>Ocupacao_DW[[#This Row],[data]]&amp;Ocupacao_DW[[#This Row],[profissional_id]]&amp;Ocupacao_DW[[#This Row],[local_id]]</f>
        <v>44642735</v>
      </c>
      <c r="H275" s="1">
        <f>_xlfn.XLOOKUP(Ocupacao_DW[[#This Row],[Concat]],Vagas!$H:$H,Vagas!$D:$D,"",0)</f>
        <v>0</v>
      </c>
    </row>
    <row r="276" spans="1:8" x14ac:dyDescent="0.25">
      <c r="A276" s="2">
        <v>44637</v>
      </c>
      <c r="B276" s="1"/>
      <c r="C276">
        <v>12426</v>
      </c>
      <c r="D276" s="1" t="s">
        <v>215</v>
      </c>
      <c r="E276" s="1" t="s">
        <v>6</v>
      </c>
      <c r="F276">
        <v>5</v>
      </c>
      <c r="G276" s="1" t="str">
        <f>Ocupacao_DW[[#This Row],[data]]&amp;Ocupacao_DW[[#This Row],[profissional_id]]&amp;Ocupacao_DW[[#This Row],[local_id]]</f>
        <v>44637124265</v>
      </c>
      <c r="H276" s="1">
        <f>_xlfn.XLOOKUP(Ocupacao_DW[[#This Row],[Concat]],Vagas!$H:$H,Vagas!$D:$D,"",0)</f>
        <v>0</v>
      </c>
    </row>
    <row r="277" spans="1:8" x14ac:dyDescent="0.25">
      <c r="A277" s="2">
        <v>44641</v>
      </c>
      <c r="B277" s="1"/>
      <c r="C277">
        <v>86</v>
      </c>
      <c r="D277" s="1" t="s">
        <v>175</v>
      </c>
      <c r="E277" s="1" t="s">
        <v>5</v>
      </c>
      <c r="F277">
        <v>349</v>
      </c>
      <c r="G277" s="1" t="str">
        <f>Ocupacao_DW[[#This Row],[data]]&amp;Ocupacao_DW[[#This Row],[profissional_id]]&amp;Ocupacao_DW[[#This Row],[local_id]]</f>
        <v>4464186349</v>
      </c>
      <c r="H277" s="1">
        <f>_xlfn.XLOOKUP(Ocupacao_DW[[#This Row],[Concat]],Vagas!$H:$H,Vagas!$D:$D,"",0)</f>
        <v>0</v>
      </c>
    </row>
    <row r="278" spans="1:8" x14ac:dyDescent="0.25">
      <c r="A278" s="2">
        <v>44636</v>
      </c>
      <c r="B278" s="1"/>
      <c r="C278">
        <v>12825</v>
      </c>
      <c r="D278" s="1" t="s">
        <v>177</v>
      </c>
      <c r="E278" s="1"/>
      <c r="F278">
        <v>0</v>
      </c>
      <c r="G278" s="1" t="str">
        <f>Ocupacao_DW[[#This Row],[data]]&amp;Ocupacao_DW[[#This Row],[profissional_id]]&amp;Ocupacao_DW[[#This Row],[local_id]]</f>
        <v>44636128250</v>
      </c>
      <c r="H278" s="1" t="str">
        <f>_xlfn.XLOOKUP(Ocupacao_DW[[#This Row],[Concat]],Vagas!$H:$H,Vagas!$D:$D,"",0)</f>
        <v/>
      </c>
    </row>
    <row r="279" spans="1:8" x14ac:dyDescent="0.25">
      <c r="A279" s="2">
        <v>44642</v>
      </c>
      <c r="B279" s="1"/>
      <c r="C279">
        <v>73</v>
      </c>
      <c r="D279" s="1" t="s">
        <v>171</v>
      </c>
      <c r="E279" s="1" t="s">
        <v>6</v>
      </c>
      <c r="F279">
        <v>5</v>
      </c>
      <c r="G279" s="1" t="str">
        <f>Ocupacao_DW[[#This Row],[data]]&amp;Ocupacao_DW[[#This Row],[profissional_id]]&amp;Ocupacao_DW[[#This Row],[local_id]]</f>
        <v>44642735</v>
      </c>
      <c r="H279" s="1">
        <f>_xlfn.XLOOKUP(Ocupacao_DW[[#This Row],[Concat]],Vagas!$H:$H,Vagas!$D:$D,"",0)</f>
        <v>0</v>
      </c>
    </row>
    <row r="280" spans="1:8" x14ac:dyDescent="0.25">
      <c r="A280" s="2">
        <v>44635</v>
      </c>
      <c r="B280" s="1"/>
      <c r="C280">
        <v>14237</v>
      </c>
      <c r="D280" s="1" t="s">
        <v>186</v>
      </c>
      <c r="E280" s="1" t="s">
        <v>4</v>
      </c>
      <c r="F280">
        <v>47</v>
      </c>
      <c r="G280" s="1" t="str">
        <f>Ocupacao_DW[[#This Row],[data]]&amp;Ocupacao_DW[[#This Row],[profissional_id]]&amp;Ocupacao_DW[[#This Row],[local_id]]</f>
        <v>446351423747</v>
      </c>
      <c r="H280" s="1">
        <f>_xlfn.XLOOKUP(Ocupacao_DW[[#This Row],[Concat]],Vagas!$H:$H,Vagas!$D:$D,"",0)</f>
        <v>0</v>
      </c>
    </row>
    <row r="281" spans="1:8" x14ac:dyDescent="0.25">
      <c r="A281" s="2">
        <v>44637</v>
      </c>
      <c r="B281" s="1"/>
      <c r="C281">
        <v>74</v>
      </c>
      <c r="D281" s="1" t="s">
        <v>182</v>
      </c>
      <c r="E281" s="1" t="s">
        <v>6</v>
      </c>
      <c r="F281">
        <v>7</v>
      </c>
      <c r="G281" s="1" t="str">
        <f>Ocupacao_DW[[#This Row],[data]]&amp;Ocupacao_DW[[#This Row],[profissional_id]]&amp;Ocupacao_DW[[#This Row],[local_id]]</f>
        <v>44637747</v>
      </c>
      <c r="H281" s="1">
        <f>_xlfn.XLOOKUP(Ocupacao_DW[[#This Row],[Concat]],Vagas!$H:$H,Vagas!$D:$D,"",0)</f>
        <v>0</v>
      </c>
    </row>
    <row r="282" spans="1:8" x14ac:dyDescent="0.25">
      <c r="A282" s="2">
        <v>44650</v>
      </c>
      <c r="B282" s="1"/>
      <c r="C282">
        <v>67</v>
      </c>
      <c r="D282" s="1" t="s">
        <v>172</v>
      </c>
      <c r="E282" s="1" t="s">
        <v>6</v>
      </c>
      <c r="F282">
        <v>8</v>
      </c>
      <c r="G282" s="1" t="str">
        <f>Ocupacao_DW[[#This Row],[data]]&amp;Ocupacao_DW[[#This Row],[profissional_id]]&amp;Ocupacao_DW[[#This Row],[local_id]]</f>
        <v>44650678</v>
      </c>
      <c r="H282" s="1">
        <f>_xlfn.XLOOKUP(Ocupacao_DW[[#This Row],[Concat]],Vagas!$H:$H,Vagas!$D:$D,"",0)</f>
        <v>0</v>
      </c>
    </row>
    <row r="283" spans="1:8" x14ac:dyDescent="0.25">
      <c r="A283" s="2">
        <v>44657</v>
      </c>
      <c r="B283" s="1"/>
      <c r="C283">
        <v>1490</v>
      </c>
      <c r="D283" s="1" t="s">
        <v>174</v>
      </c>
      <c r="E283" s="1" t="s">
        <v>5</v>
      </c>
      <c r="F283">
        <v>13</v>
      </c>
      <c r="G283" s="1" t="str">
        <f>Ocupacao_DW[[#This Row],[data]]&amp;Ocupacao_DW[[#This Row],[profissional_id]]&amp;Ocupacao_DW[[#This Row],[local_id]]</f>
        <v>44657149013</v>
      </c>
      <c r="H283" s="1">
        <f>_xlfn.XLOOKUP(Ocupacao_DW[[#This Row],[Concat]],Vagas!$H:$H,Vagas!$D:$D,"",0)</f>
        <v>0</v>
      </c>
    </row>
    <row r="284" spans="1:8" x14ac:dyDescent="0.25">
      <c r="A284" s="2">
        <v>44636</v>
      </c>
      <c r="B284" s="1" t="s">
        <v>51</v>
      </c>
      <c r="C284">
        <v>12679</v>
      </c>
      <c r="D284" s="1" t="s">
        <v>192</v>
      </c>
      <c r="E284" s="1" t="s">
        <v>200</v>
      </c>
      <c r="F284">
        <v>82</v>
      </c>
      <c r="G284" s="1" t="str">
        <f>Ocupacao_DW[[#This Row],[data]]&amp;Ocupacao_DW[[#This Row],[profissional_id]]&amp;Ocupacao_DW[[#This Row],[local_id]]</f>
        <v>446361267982</v>
      </c>
      <c r="H284" s="1">
        <f>_xlfn.XLOOKUP(Ocupacao_DW[[#This Row],[Concat]],Vagas!$H:$H,Vagas!$D:$D,"",0)</f>
        <v>0</v>
      </c>
    </row>
    <row r="285" spans="1:8" x14ac:dyDescent="0.25">
      <c r="A285" s="2">
        <v>44636</v>
      </c>
      <c r="B285" s="1"/>
      <c r="C285">
        <v>12679</v>
      </c>
      <c r="D285" s="1" t="s">
        <v>192</v>
      </c>
      <c r="E285" s="1" t="s">
        <v>200</v>
      </c>
      <c r="F285">
        <v>82</v>
      </c>
      <c r="G285" s="1" t="str">
        <f>Ocupacao_DW[[#This Row],[data]]&amp;Ocupacao_DW[[#This Row],[profissional_id]]&amp;Ocupacao_DW[[#This Row],[local_id]]</f>
        <v>446361267982</v>
      </c>
      <c r="H285" s="1">
        <f>_xlfn.XLOOKUP(Ocupacao_DW[[#This Row],[Concat]],Vagas!$H:$H,Vagas!$D:$D,"",0)</f>
        <v>0</v>
      </c>
    </row>
    <row r="286" spans="1:8" x14ac:dyDescent="0.25">
      <c r="A286" s="2">
        <v>44642</v>
      </c>
      <c r="B286" s="1"/>
      <c r="C286">
        <v>11652</v>
      </c>
      <c r="D286" s="1" t="s">
        <v>242</v>
      </c>
      <c r="E286" s="1" t="s">
        <v>4</v>
      </c>
      <c r="F286">
        <v>47</v>
      </c>
      <c r="G286" s="1" t="str">
        <f>Ocupacao_DW[[#This Row],[data]]&amp;Ocupacao_DW[[#This Row],[profissional_id]]&amp;Ocupacao_DW[[#This Row],[local_id]]</f>
        <v>446421165247</v>
      </c>
      <c r="H286" s="1">
        <f>_xlfn.XLOOKUP(Ocupacao_DW[[#This Row],[Concat]],Vagas!$H:$H,Vagas!$D:$D,"",0)</f>
        <v>35</v>
      </c>
    </row>
    <row r="287" spans="1:8" x14ac:dyDescent="0.25">
      <c r="A287" s="2">
        <v>44641</v>
      </c>
      <c r="B287" s="1" t="s">
        <v>55</v>
      </c>
      <c r="C287">
        <v>60</v>
      </c>
      <c r="D287" s="1" t="s">
        <v>217</v>
      </c>
      <c r="E287" s="1" t="s">
        <v>167</v>
      </c>
      <c r="F287">
        <v>345</v>
      </c>
      <c r="G287" s="1" t="str">
        <f>Ocupacao_DW[[#This Row],[data]]&amp;Ocupacao_DW[[#This Row],[profissional_id]]&amp;Ocupacao_DW[[#This Row],[local_id]]</f>
        <v>4464160345</v>
      </c>
      <c r="H287" s="1">
        <f>_xlfn.XLOOKUP(Ocupacao_DW[[#This Row],[Concat]],Vagas!$H:$H,Vagas!$D:$D,"",0)</f>
        <v>0</v>
      </c>
    </row>
    <row r="288" spans="1:8" x14ac:dyDescent="0.25">
      <c r="A288" s="2">
        <v>44639</v>
      </c>
      <c r="B288" s="1"/>
      <c r="C288">
        <v>4887</v>
      </c>
      <c r="D288" s="1" t="s">
        <v>168</v>
      </c>
      <c r="E288" s="1" t="s">
        <v>5</v>
      </c>
      <c r="F288">
        <v>18</v>
      </c>
      <c r="G288" s="1" t="str">
        <f>Ocupacao_DW[[#This Row],[data]]&amp;Ocupacao_DW[[#This Row],[profissional_id]]&amp;Ocupacao_DW[[#This Row],[local_id]]</f>
        <v>44639488718</v>
      </c>
      <c r="H288" s="1">
        <f>_xlfn.XLOOKUP(Ocupacao_DW[[#This Row],[Concat]],Vagas!$H:$H,Vagas!$D:$D,"",0)</f>
        <v>0</v>
      </c>
    </row>
    <row r="289" spans="1:8" x14ac:dyDescent="0.25">
      <c r="A289" s="2">
        <v>44641</v>
      </c>
      <c r="B289" s="1"/>
      <c r="C289">
        <v>13371</v>
      </c>
      <c r="D289" s="1" t="s">
        <v>205</v>
      </c>
      <c r="E289" s="1" t="s">
        <v>4</v>
      </c>
      <c r="F289">
        <v>335</v>
      </c>
      <c r="G289" s="1" t="str">
        <f>Ocupacao_DW[[#This Row],[data]]&amp;Ocupacao_DW[[#This Row],[profissional_id]]&amp;Ocupacao_DW[[#This Row],[local_id]]</f>
        <v>4464113371335</v>
      </c>
      <c r="H289" s="1" t="str">
        <f>_xlfn.XLOOKUP(Ocupacao_DW[[#This Row],[Concat]],Vagas!$H:$H,Vagas!$D:$D,"",0)</f>
        <v/>
      </c>
    </row>
    <row r="290" spans="1:8" x14ac:dyDescent="0.25">
      <c r="A290" s="2">
        <v>44636</v>
      </c>
      <c r="B290" s="1"/>
      <c r="C290">
        <v>10946</v>
      </c>
      <c r="D290" s="1" t="s">
        <v>209</v>
      </c>
      <c r="E290" s="1"/>
      <c r="F290">
        <v>0</v>
      </c>
      <c r="G290" s="1" t="str">
        <f>Ocupacao_DW[[#This Row],[data]]&amp;Ocupacao_DW[[#This Row],[profissional_id]]&amp;Ocupacao_DW[[#This Row],[local_id]]</f>
        <v>44636109460</v>
      </c>
      <c r="H290" s="1" t="str">
        <f>_xlfn.XLOOKUP(Ocupacao_DW[[#This Row],[Concat]],Vagas!$H:$H,Vagas!$D:$D,"",0)</f>
        <v/>
      </c>
    </row>
    <row r="291" spans="1:8" x14ac:dyDescent="0.25">
      <c r="A291" s="2">
        <v>44636</v>
      </c>
      <c r="B291" s="1"/>
      <c r="C291">
        <v>2396</v>
      </c>
      <c r="D291" s="1" t="s">
        <v>197</v>
      </c>
      <c r="E291" s="1"/>
      <c r="F291">
        <v>0</v>
      </c>
      <c r="G291" s="1" t="str">
        <f>Ocupacao_DW[[#This Row],[data]]&amp;Ocupacao_DW[[#This Row],[profissional_id]]&amp;Ocupacao_DW[[#This Row],[local_id]]</f>
        <v>4463623960</v>
      </c>
      <c r="H291" s="1" t="str">
        <f>_xlfn.XLOOKUP(Ocupacao_DW[[#This Row],[Concat]],Vagas!$H:$H,Vagas!$D:$D,"",0)</f>
        <v/>
      </c>
    </row>
    <row r="292" spans="1:8" x14ac:dyDescent="0.25">
      <c r="A292" s="2">
        <v>44646</v>
      </c>
      <c r="B292" s="1" t="s">
        <v>60</v>
      </c>
      <c r="C292">
        <v>117</v>
      </c>
      <c r="D292" s="1" t="s">
        <v>180</v>
      </c>
      <c r="E292" s="1" t="s">
        <v>4</v>
      </c>
      <c r="F292">
        <v>48</v>
      </c>
      <c r="G292" s="1" t="str">
        <f>Ocupacao_DW[[#This Row],[data]]&amp;Ocupacao_DW[[#This Row],[profissional_id]]&amp;Ocupacao_DW[[#This Row],[local_id]]</f>
        <v>4464611748</v>
      </c>
      <c r="H292" s="1">
        <f>_xlfn.XLOOKUP(Ocupacao_DW[[#This Row],[Concat]],Vagas!$H:$H,Vagas!$D:$D,"",0)</f>
        <v>0</v>
      </c>
    </row>
    <row r="293" spans="1:8" x14ac:dyDescent="0.25">
      <c r="A293" s="2">
        <v>44641</v>
      </c>
      <c r="B293" s="1"/>
      <c r="C293">
        <v>10691</v>
      </c>
      <c r="D293" s="1" t="s">
        <v>181</v>
      </c>
      <c r="E293" s="1"/>
      <c r="F293">
        <v>0</v>
      </c>
      <c r="G293" s="1" t="str">
        <f>Ocupacao_DW[[#This Row],[data]]&amp;Ocupacao_DW[[#This Row],[profissional_id]]&amp;Ocupacao_DW[[#This Row],[local_id]]</f>
        <v>44641106910</v>
      </c>
      <c r="H293" s="1" t="str">
        <f>_xlfn.XLOOKUP(Ocupacao_DW[[#This Row],[Concat]],Vagas!$H:$H,Vagas!$D:$D,"",0)</f>
        <v/>
      </c>
    </row>
    <row r="294" spans="1:8" x14ac:dyDescent="0.25">
      <c r="A294" s="2">
        <v>44657</v>
      </c>
      <c r="B294" s="1"/>
      <c r="C294">
        <v>1490</v>
      </c>
      <c r="D294" s="1" t="s">
        <v>174</v>
      </c>
      <c r="E294" s="1" t="s">
        <v>5</v>
      </c>
      <c r="F294">
        <v>13</v>
      </c>
      <c r="G294" s="1" t="str">
        <f>Ocupacao_DW[[#This Row],[data]]&amp;Ocupacao_DW[[#This Row],[profissional_id]]&amp;Ocupacao_DW[[#This Row],[local_id]]</f>
        <v>44657149013</v>
      </c>
      <c r="H294" s="1">
        <f>_xlfn.XLOOKUP(Ocupacao_DW[[#This Row],[Concat]],Vagas!$H:$H,Vagas!$D:$D,"",0)</f>
        <v>0</v>
      </c>
    </row>
    <row r="295" spans="1:8" x14ac:dyDescent="0.25">
      <c r="A295" s="2">
        <v>44642</v>
      </c>
      <c r="B295" s="1"/>
      <c r="C295">
        <v>73</v>
      </c>
      <c r="D295" s="1" t="s">
        <v>171</v>
      </c>
      <c r="E295" s="1" t="s">
        <v>6</v>
      </c>
      <c r="F295">
        <v>5</v>
      </c>
      <c r="G295" s="1" t="str">
        <f>Ocupacao_DW[[#This Row],[data]]&amp;Ocupacao_DW[[#This Row],[profissional_id]]&amp;Ocupacao_DW[[#This Row],[local_id]]</f>
        <v>44642735</v>
      </c>
      <c r="H295" s="1">
        <f>_xlfn.XLOOKUP(Ocupacao_DW[[#This Row],[Concat]],Vagas!$H:$H,Vagas!$D:$D,"",0)</f>
        <v>0</v>
      </c>
    </row>
    <row r="296" spans="1:8" x14ac:dyDescent="0.25">
      <c r="A296" s="2">
        <v>44648</v>
      </c>
      <c r="B296" s="1"/>
      <c r="C296">
        <v>13249</v>
      </c>
      <c r="D296" s="1" t="s">
        <v>178</v>
      </c>
      <c r="E296" s="1" t="s">
        <v>4</v>
      </c>
      <c r="F296">
        <v>45</v>
      </c>
      <c r="G296" s="1" t="str">
        <f>Ocupacao_DW[[#This Row],[data]]&amp;Ocupacao_DW[[#This Row],[profissional_id]]&amp;Ocupacao_DW[[#This Row],[local_id]]</f>
        <v>446481324945</v>
      </c>
      <c r="H296" s="1">
        <f>_xlfn.XLOOKUP(Ocupacao_DW[[#This Row],[Concat]],Vagas!$H:$H,Vagas!$D:$D,"",0)</f>
        <v>0</v>
      </c>
    </row>
    <row r="297" spans="1:8" x14ac:dyDescent="0.25">
      <c r="A297" s="2">
        <v>44636</v>
      </c>
      <c r="B297" s="1"/>
      <c r="C297">
        <v>3502</v>
      </c>
      <c r="D297" s="1" t="s">
        <v>214</v>
      </c>
      <c r="E297" s="1" t="s">
        <v>5</v>
      </c>
      <c r="F297">
        <v>16</v>
      </c>
      <c r="G297" s="1" t="str">
        <f>Ocupacao_DW[[#This Row],[data]]&amp;Ocupacao_DW[[#This Row],[profissional_id]]&amp;Ocupacao_DW[[#This Row],[local_id]]</f>
        <v>44636350216</v>
      </c>
      <c r="H297" s="1">
        <f>_xlfn.XLOOKUP(Ocupacao_DW[[#This Row],[Concat]],Vagas!$H:$H,Vagas!$D:$D,"",0)</f>
        <v>0</v>
      </c>
    </row>
    <row r="298" spans="1:8" x14ac:dyDescent="0.25">
      <c r="A298" s="2">
        <v>44635</v>
      </c>
      <c r="B298" s="1"/>
      <c r="C298">
        <v>14237</v>
      </c>
      <c r="D298" s="1" t="s">
        <v>186</v>
      </c>
      <c r="E298" s="1" t="s">
        <v>4</v>
      </c>
      <c r="F298">
        <v>47</v>
      </c>
      <c r="G298" s="1" t="str">
        <f>Ocupacao_DW[[#This Row],[data]]&amp;Ocupacao_DW[[#This Row],[profissional_id]]&amp;Ocupacao_DW[[#This Row],[local_id]]</f>
        <v>446351423747</v>
      </c>
      <c r="H298" s="1">
        <f>_xlfn.XLOOKUP(Ocupacao_DW[[#This Row],[Concat]],Vagas!$H:$H,Vagas!$D:$D,"",0)</f>
        <v>0</v>
      </c>
    </row>
    <row r="299" spans="1:8" x14ac:dyDescent="0.25">
      <c r="A299" s="2">
        <v>44638</v>
      </c>
      <c r="B299" s="1"/>
      <c r="C299">
        <v>3502</v>
      </c>
      <c r="D299" s="1" t="s">
        <v>214</v>
      </c>
      <c r="E299" s="1" t="s">
        <v>7</v>
      </c>
      <c r="F299">
        <v>63</v>
      </c>
      <c r="G299" s="1" t="str">
        <f>Ocupacao_DW[[#This Row],[data]]&amp;Ocupacao_DW[[#This Row],[profissional_id]]&amp;Ocupacao_DW[[#This Row],[local_id]]</f>
        <v>44638350263</v>
      </c>
      <c r="H299" s="1" t="str">
        <f>_xlfn.XLOOKUP(Ocupacao_DW[[#This Row],[Concat]],Vagas!$H:$H,Vagas!$D:$D,"",0)</f>
        <v/>
      </c>
    </row>
    <row r="300" spans="1:8" x14ac:dyDescent="0.25">
      <c r="A300" s="2">
        <v>44636</v>
      </c>
      <c r="B300" s="1"/>
      <c r="C300">
        <v>74</v>
      </c>
      <c r="D300" s="1" t="s">
        <v>182</v>
      </c>
      <c r="E300" s="1" t="s">
        <v>6</v>
      </c>
      <c r="F300">
        <v>7</v>
      </c>
      <c r="G300" s="1" t="str">
        <f>Ocupacao_DW[[#This Row],[data]]&amp;Ocupacao_DW[[#This Row],[profissional_id]]&amp;Ocupacao_DW[[#This Row],[local_id]]</f>
        <v>44636747</v>
      </c>
      <c r="H300" s="1">
        <f>_xlfn.XLOOKUP(Ocupacao_DW[[#This Row],[Concat]],Vagas!$H:$H,Vagas!$D:$D,"",0)</f>
        <v>0</v>
      </c>
    </row>
    <row r="301" spans="1:8" x14ac:dyDescent="0.25">
      <c r="A301" s="2">
        <v>44636</v>
      </c>
      <c r="B301" s="1" t="s">
        <v>70</v>
      </c>
      <c r="C301">
        <v>12519</v>
      </c>
      <c r="D301" s="1" t="s">
        <v>176</v>
      </c>
      <c r="E301" s="1" t="s">
        <v>4</v>
      </c>
      <c r="F301">
        <v>48</v>
      </c>
      <c r="G301" s="1" t="str">
        <f>Ocupacao_DW[[#This Row],[data]]&amp;Ocupacao_DW[[#This Row],[profissional_id]]&amp;Ocupacao_DW[[#This Row],[local_id]]</f>
        <v>446361251948</v>
      </c>
      <c r="H301" s="1">
        <f>_xlfn.XLOOKUP(Ocupacao_DW[[#This Row],[Concat]],Vagas!$H:$H,Vagas!$D:$D,"",0)</f>
        <v>0</v>
      </c>
    </row>
    <row r="302" spans="1:8" x14ac:dyDescent="0.25">
      <c r="A302" s="2">
        <v>44635</v>
      </c>
      <c r="B302" s="1"/>
      <c r="C302">
        <v>10941</v>
      </c>
      <c r="D302" s="1" t="s">
        <v>224</v>
      </c>
      <c r="E302" s="1" t="s">
        <v>5</v>
      </c>
      <c r="F302">
        <v>13</v>
      </c>
      <c r="G302" s="1" t="str">
        <f>Ocupacao_DW[[#This Row],[data]]&amp;Ocupacao_DW[[#This Row],[profissional_id]]&amp;Ocupacao_DW[[#This Row],[local_id]]</f>
        <v>446351094113</v>
      </c>
      <c r="H302" s="1" t="str">
        <f>_xlfn.XLOOKUP(Ocupacao_DW[[#This Row],[Concat]],Vagas!$H:$H,Vagas!$D:$D,"",0)</f>
        <v/>
      </c>
    </row>
    <row r="303" spans="1:8" x14ac:dyDescent="0.25">
      <c r="A303" s="2">
        <v>44642</v>
      </c>
      <c r="B303" s="1"/>
      <c r="C303">
        <v>73</v>
      </c>
      <c r="D303" s="1" t="s">
        <v>171</v>
      </c>
      <c r="E303" s="1" t="s">
        <v>6</v>
      </c>
      <c r="F303">
        <v>5</v>
      </c>
      <c r="G303" s="1" t="str">
        <f>Ocupacao_DW[[#This Row],[data]]&amp;Ocupacao_DW[[#This Row],[profissional_id]]&amp;Ocupacao_DW[[#This Row],[local_id]]</f>
        <v>44642735</v>
      </c>
      <c r="H303" s="1">
        <f>_xlfn.XLOOKUP(Ocupacao_DW[[#This Row],[Concat]],Vagas!$H:$H,Vagas!$D:$D,"",0)</f>
        <v>0</v>
      </c>
    </row>
    <row r="304" spans="1:8" x14ac:dyDescent="0.25">
      <c r="A304" s="2">
        <v>44641</v>
      </c>
      <c r="B304" s="1"/>
      <c r="C304">
        <v>13249</v>
      </c>
      <c r="D304" s="1" t="s">
        <v>178</v>
      </c>
      <c r="E304" s="1" t="s">
        <v>4</v>
      </c>
      <c r="F304">
        <v>45</v>
      </c>
      <c r="G304" s="1" t="str">
        <f>Ocupacao_DW[[#This Row],[data]]&amp;Ocupacao_DW[[#This Row],[profissional_id]]&amp;Ocupacao_DW[[#This Row],[local_id]]</f>
        <v>446411324945</v>
      </c>
      <c r="H304" s="1">
        <f>_xlfn.XLOOKUP(Ocupacao_DW[[#This Row],[Concat]],Vagas!$H:$H,Vagas!$D:$D,"",0)</f>
        <v>0</v>
      </c>
    </row>
    <row r="305" spans="1:8" x14ac:dyDescent="0.25">
      <c r="A305" s="2">
        <v>44655</v>
      </c>
      <c r="B305" s="1"/>
      <c r="C305">
        <v>13249</v>
      </c>
      <c r="D305" s="1" t="s">
        <v>178</v>
      </c>
      <c r="E305" s="1" t="s">
        <v>4</v>
      </c>
      <c r="F305">
        <v>45</v>
      </c>
      <c r="G305" s="1" t="str">
        <f>Ocupacao_DW[[#This Row],[data]]&amp;Ocupacao_DW[[#This Row],[profissional_id]]&amp;Ocupacao_DW[[#This Row],[local_id]]</f>
        <v>446551324945</v>
      </c>
      <c r="H305" s="1" t="str">
        <f>_xlfn.XLOOKUP(Ocupacao_DW[[#This Row],[Concat]],Vagas!$H:$H,Vagas!$D:$D,"",0)</f>
        <v/>
      </c>
    </row>
    <row r="306" spans="1:8" x14ac:dyDescent="0.25">
      <c r="A306" s="2">
        <v>44643</v>
      </c>
      <c r="B306" s="1" t="s">
        <v>51</v>
      </c>
      <c r="C306">
        <v>12679</v>
      </c>
      <c r="D306" s="1" t="s">
        <v>192</v>
      </c>
      <c r="E306" s="1" t="s">
        <v>200</v>
      </c>
      <c r="F306">
        <v>82</v>
      </c>
      <c r="G306" s="1" t="str">
        <f>Ocupacao_DW[[#This Row],[data]]&amp;Ocupacao_DW[[#This Row],[profissional_id]]&amp;Ocupacao_DW[[#This Row],[local_id]]</f>
        <v>446431267982</v>
      </c>
      <c r="H306" s="1">
        <f>_xlfn.XLOOKUP(Ocupacao_DW[[#This Row],[Concat]],Vagas!$H:$H,Vagas!$D:$D,"",0)</f>
        <v>0</v>
      </c>
    </row>
    <row r="307" spans="1:8" x14ac:dyDescent="0.25">
      <c r="A307" s="2">
        <v>44658</v>
      </c>
      <c r="B307" s="1"/>
      <c r="C307">
        <v>1490</v>
      </c>
      <c r="D307" s="1" t="s">
        <v>174</v>
      </c>
      <c r="E307" s="1" t="s">
        <v>5</v>
      </c>
      <c r="F307">
        <v>12</v>
      </c>
      <c r="G307" s="1" t="str">
        <f>Ocupacao_DW[[#This Row],[data]]&amp;Ocupacao_DW[[#This Row],[profissional_id]]&amp;Ocupacao_DW[[#This Row],[local_id]]</f>
        <v>44658149012</v>
      </c>
      <c r="H307" s="1" t="str">
        <f>_xlfn.XLOOKUP(Ocupacao_DW[[#This Row],[Concat]],Vagas!$H:$H,Vagas!$D:$D,"",0)</f>
        <v/>
      </c>
    </row>
    <row r="308" spans="1:8" x14ac:dyDescent="0.25">
      <c r="A308" s="2">
        <v>44641</v>
      </c>
      <c r="B308" s="1"/>
      <c r="C308">
        <v>2984</v>
      </c>
      <c r="D308" s="1" t="s">
        <v>185</v>
      </c>
      <c r="E308" s="1" t="s">
        <v>6</v>
      </c>
      <c r="F308">
        <v>7</v>
      </c>
      <c r="G308" s="1" t="str">
        <f>Ocupacao_DW[[#This Row],[data]]&amp;Ocupacao_DW[[#This Row],[profissional_id]]&amp;Ocupacao_DW[[#This Row],[local_id]]</f>
        <v>4464129847</v>
      </c>
      <c r="H308" s="1">
        <f>_xlfn.XLOOKUP(Ocupacao_DW[[#This Row],[Concat]],Vagas!$H:$H,Vagas!$D:$D,"",0)</f>
        <v>0</v>
      </c>
    </row>
    <row r="309" spans="1:8" x14ac:dyDescent="0.25">
      <c r="A309" s="2">
        <v>44641</v>
      </c>
      <c r="B309" s="1"/>
      <c r="C309">
        <v>12369</v>
      </c>
      <c r="D309" s="1" t="s">
        <v>195</v>
      </c>
      <c r="E309" s="1"/>
      <c r="F309">
        <v>0</v>
      </c>
      <c r="G309" s="1" t="str">
        <f>Ocupacao_DW[[#This Row],[data]]&amp;Ocupacao_DW[[#This Row],[profissional_id]]&amp;Ocupacao_DW[[#This Row],[local_id]]</f>
        <v>44641123690</v>
      </c>
      <c r="H309" s="1" t="str">
        <f>_xlfn.XLOOKUP(Ocupacao_DW[[#This Row],[Concat]],Vagas!$H:$H,Vagas!$D:$D,"",0)</f>
        <v/>
      </c>
    </row>
    <row r="310" spans="1:8" x14ac:dyDescent="0.25">
      <c r="A310" s="2">
        <v>44650</v>
      </c>
      <c r="B310" s="1"/>
      <c r="C310">
        <v>80</v>
      </c>
      <c r="D310" s="1" t="s">
        <v>179</v>
      </c>
      <c r="E310" s="1" t="s">
        <v>167</v>
      </c>
      <c r="F310">
        <v>346</v>
      </c>
      <c r="G310" s="1" t="str">
        <f>Ocupacao_DW[[#This Row],[data]]&amp;Ocupacao_DW[[#This Row],[profissional_id]]&amp;Ocupacao_DW[[#This Row],[local_id]]</f>
        <v>4465080346</v>
      </c>
      <c r="H310" s="1">
        <f>_xlfn.XLOOKUP(Ocupacao_DW[[#This Row],[Concat]],Vagas!$H:$H,Vagas!$D:$D,"",0)</f>
        <v>0</v>
      </c>
    </row>
    <row r="311" spans="1:8" x14ac:dyDescent="0.25">
      <c r="A311" s="2">
        <v>44641</v>
      </c>
      <c r="B311" s="1"/>
      <c r="C311">
        <v>2984</v>
      </c>
      <c r="D311" s="1" t="s">
        <v>185</v>
      </c>
      <c r="E311" s="1" t="s">
        <v>6</v>
      </c>
      <c r="F311">
        <v>7</v>
      </c>
      <c r="G311" s="1" t="str">
        <f>Ocupacao_DW[[#This Row],[data]]&amp;Ocupacao_DW[[#This Row],[profissional_id]]&amp;Ocupacao_DW[[#This Row],[local_id]]</f>
        <v>4464129847</v>
      </c>
      <c r="H311" s="1">
        <f>_xlfn.XLOOKUP(Ocupacao_DW[[#This Row],[Concat]],Vagas!$H:$H,Vagas!$D:$D,"",0)</f>
        <v>0</v>
      </c>
    </row>
    <row r="312" spans="1:8" x14ac:dyDescent="0.25">
      <c r="A312" s="2">
        <v>44636</v>
      </c>
      <c r="B312" s="1"/>
      <c r="C312">
        <v>74</v>
      </c>
      <c r="D312" s="1" t="s">
        <v>182</v>
      </c>
      <c r="E312" s="1" t="s">
        <v>6</v>
      </c>
      <c r="F312">
        <v>7</v>
      </c>
      <c r="G312" s="1" t="str">
        <f>Ocupacao_DW[[#This Row],[data]]&amp;Ocupacao_DW[[#This Row],[profissional_id]]&amp;Ocupacao_DW[[#This Row],[local_id]]</f>
        <v>44636747</v>
      </c>
      <c r="H312" s="1">
        <f>_xlfn.XLOOKUP(Ocupacao_DW[[#This Row],[Concat]],Vagas!$H:$H,Vagas!$D:$D,"",0)</f>
        <v>0</v>
      </c>
    </row>
    <row r="313" spans="1:8" x14ac:dyDescent="0.25">
      <c r="A313" s="2">
        <v>44642</v>
      </c>
      <c r="B313" s="1"/>
      <c r="C313">
        <v>73</v>
      </c>
      <c r="D313" s="1" t="s">
        <v>171</v>
      </c>
      <c r="E313" s="1" t="s">
        <v>6</v>
      </c>
      <c r="F313">
        <v>5</v>
      </c>
      <c r="G313" s="1" t="str">
        <f>Ocupacao_DW[[#This Row],[data]]&amp;Ocupacao_DW[[#This Row],[profissional_id]]&amp;Ocupacao_DW[[#This Row],[local_id]]</f>
        <v>44642735</v>
      </c>
      <c r="H313" s="1">
        <f>_xlfn.XLOOKUP(Ocupacao_DW[[#This Row],[Concat]],Vagas!$H:$H,Vagas!$D:$D,"",0)</f>
        <v>0</v>
      </c>
    </row>
    <row r="314" spans="1:8" x14ac:dyDescent="0.25">
      <c r="A314" s="2">
        <v>44636</v>
      </c>
      <c r="B314" s="1"/>
      <c r="C314">
        <v>12825</v>
      </c>
      <c r="D314" s="1" t="s">
        <v>177</v>
      </c>
      <c r="E314" s="1"/>
      <c r="F314">
        <v>0</v>
      </c>
      <c r="G314" s="1" t="str">
        <f>Ocupacao_DW[[#This Row],[data]]&amp;Ocupacao_DW[[#This Row],[profissional_id]]&amp;Ocupacao_DW[[#This Row],[local_id]]</f>
        <v>44636128250</v>
      </c>
      <c r="H314" s="1" t="str">
        <f>_xlfn.XLOOKUP(Ocupacao_DW[[#This Row],[Concat]],Vagas!$H:$H,Vagas!$D:$D,"",0)</f>
        <v/>
      </c>
    </row>
    <row r="315" spans="1:8" x14ac:dyDescent="0.25">
      <c r="A315" s="2">
        <v>44642</v>
      </c>
      <c r="B315" s="1"/>
      <c r="C315">
        <v>1343</v>
      </c>
      <c r="D315" s="1" t="s">
        <v>263</v>
      </c>
      <c r="E315" s="1" t="s">
        <v>200</v>
      </c>
      <c r="F315">
        <v>80</v>
      </c>
      <c r="G315" s="1" t="str">
        <f>Ocupacao_DW[[#This Row],[data]]&amp;Ocupacao_DW[[#This Row],[profissional_id]]&amp;Ocupacao_DW[[#This Row],[local_id]]</f>
        <v>44642134380</v>
      </c>
      <c r="H315" s="1">
        <f>_xlfn.XLOOKUP(Ocupacao_DW[[#This Row],[Concat]],Vagas!$H:$H,Vagas!$D:$D,"",0)</f>
        <v>0</v>
      </c>
    </row>
    <row r="316" spans="1:8" x14ac:dyDescent="0.25">
      <c r="A316" s="2">
        <v>44649</v>
      </c>
      <c r="B316" s="1" t="s">
        <v>55</v>
      </c>
      <c r="C316">
        <v>73</v>
      </c>
      <c r="D316" s="1" t="s">
        <v>171</v>
      </c>
      <c r="E316" s="1" t="s">
        <v>6</v>
      </c>
      <c r="F316">
        <v>5</v>
      </c>
      <c r="G316" s="1" t="str">
        <f>Ocupacao_DW[[#This Row],[data]]&amp;Ocupacao_DW[[#This Row],[profissional_id]]&amp;Ocupacao_DW[[#This Row],[local_id]]</f>
        <v>44649735</v>
      </c>
      <c r="H316" s="1">
        <f>_xlfn.XLOOKUP(Ocupacao_DW[[#This Row],[Concat]],Vagas!$H:$H,Vagas!$D:$D,"",0)</f>
        <v>0</v>
      </c>
    </row>
    <row r="317" spans="1:8" x14ac:dyDescent="0.25">
      <c r="A317" s="2">
        <v>44643</v>
      </c>
      <c r="B317" s="1"/>
      <c r="C317">
        <v>2396</v>
      </c>
      <c r="D317" s="1" t="s">
        <v>197</v>
      </c>
      <c r="E317" s="1"/>
      <c r="F317">
        <v>0</v>
      </c>
      <c r="G317" s="1" t="str">
        <f>Ocupacao_DW[[#This Row],[data]]&amp;Ocupacao_DW[[#This Row],[profissional_id]]&amp;Ocupacao_DW[[#This Row],[local_id]]</f>
        <v>4464323960</v>
      </c>
      <c r="H317" s="1" t="str">
        <f>_xlfn.XLOOKUP(Ocupacao_DW[[#This Row],[Concat]],Vagas!$H:$H,Vagas!$D:$D,"",0)</f>
        <v/>
      </c>
    </row>
    <row r="318" spans="1:8" x14ac:dyDescent="0.25">
      <c r="A318" s="2">
        <v>44636</v>
      </c>
      <c r="B318" s="1"/>
      <c r="C318">
        <v>6430</v>
      </c>
      <c r="D318" s="1" t="s">
        <v>188</v>
      </c>
      <c r="E318" s="1" t="s">
        <v>4</v>
      </c>
      <c r="F318">
        <v>42</v>
      </c>
      <c r="G318" s="1" t="str">
        <f>Ocupacao_DW[[#This Row],[data]]&amp;Ocupacao_DW[[#This Row],[profissional_id]]&amp;Ocupacao_DW[[#This Row],[local_id]]</f>
        <v>44636643042</v>
      </c>
      <c r="H318" s="1">
        <f>_xlfn.XLOOKUP(Ocupacao_DW[[#This Row],[Concat]],Vagas!$H:$H,Vagas!$D:$D,"",0)</f>
        <v>0</v>
      </c>
    </row>
    <row r="319" spans="1:8" x14ac:dyDescent="0.25">
      <c r="A319" s="2">
        <v>44637</v>
      </c>
      <c r="B319" s="1"/>
      <c r="C319">
        <v>74</v>
      </c>
      <c r="D319" s="1" t="s">
        <v>182</v>
      </c>
      <c r="E319" s="1" t="s">
        <v>6</v>
      </c>
      <c r="F319">
        <v>7</v>
      </c>
      <c r="G319" s="1" t="str">
        <f>Ocupacao_DW[[#This Row],[data]]&amp;Ocupacao_DW[[#This Row],[profissional_id]]&amp;Ocupacao_DW[[#This Row],[local_id]]</f>
        <v>44637747</v>
      </c>
      <c r="H319" s="1">
        <f>_xlfn.XLOOKUP(Ocupacao_DW[[#This Row],[Concat]],Vagas!$H:$H,Vagas!$D:$D,"",0)</f>
        <v>0</v>
      </c>
    </row>
    <row r="320" spans="1:8" x14ac:dyDescent="0.25">
      <c r="A320" s="2">
        <v>44637</v>
      </c>
      <c r="B320" s="1"/>
      <c r="C320">
        <v>74</v>
      </c>
      <c r="D320" s="1" t="s">
        <v>182</v>
      </c>
      <c r="E320" s="1" t="s">
        <v>6</v>
      </c>
      <c r="F320">
        <v>7</v>
      </c>
      <c r="G320" s="1" t="str">
        <f>Ocupacao_DW[[#This Row],[data]]&amp;Ocupacao_DW[[#This Row],[profissional_id]]&amp;Ocupacao_DW[[#This Row],[local_id]]</f>
        <v>44637747</v>
      </c>
      <c r="H320" s="1">
        <f>_xlfn.XLOOKUP(Ocupacao_DW[[#This Row],[Concat]],Vagas!$H:$H,Vagas!$D:$D,"",0)</f>
        <v>0</v>
      </c>
    </row>
    <row r="321" spans="1:8" x14ac:dyDescent="0.25">
      <c r="A321" s="2">
        <v>44657</v>
      </c>
      <c r="B321" s="1"/>
      <c r="C321">
        <v>1490</v>
      </c>
      <c r="D321" s="1" t="s">
        <v>174</v>
      </c>
      <c r="E321" s="1" t="s">
        <v>5</v>
      </c>
      <c r="F321">
        <v>13</v>
      </c>
      <c r="G321" s="1" t="str">
        <f>Ocupacao_DW[[#This Row],[data]]&amp;Ocupacao_DW[[#This Row],[profissional_id]]&amp;Ocupacao_DW[[#This Row],[local_id]]</f>
        <v>44657149013</v>
      </c>
      <c r="H321" s="1">
        <f>_xlfn.XLOOKUP(Ocupacao_DW[[#This Row],[Concat]],Vagas!$H:$H,Vagas!$D:$D,"",0)</f>
        <v>0</v>
      </c>
    </row>
    <row r="322" spans="1:8" x14ac:dyDescent="0.25">
      <c r="A322" s="2">
        <v>44636</v>
      </c>
      <c r="B322" s="1" t="s">
        <v>52</v>
      </c>
      <c r="C322">
        <v>60</v>
      </c>
      <c r="D322" s="1" t="s">
        <v>217</v>
      </c>
      <c r="E322" s="1" t="s">
        <v>167</v>
      </c>
      <c r="F322">
        <v>340</v>
      </c>
      <c r="G322" s="1" t="str">
        <f>Ocupacao_DW[[#This Row],[data]]&amp;Ocupacao_DW[[#This Row],[profissional_id]]&amp;Ocupacao_DW[[#This Row],[local_id]]</f>
        <v>4463660340</v>
      </c>
      <c r="H322" s="1" t="str">
        <f>_xlfn.XLOOKUP(Ocupacao_DW[[#This Row],[Concat]],Vagas!$H:$H,Vagas!$D:$D,"",0)</f>
        <v/>
      </c>
    </row>
    <row r="323" spans="1:8" x14ac:dyDescent="0.25">
      <c r="A323" s="2">
        <v>44635</v>
      </c>
      <c r="B323" s="1" t="s">
        <v>70</v>
      </c>
      <c r="C323">
        <v>14237</v>
      </c>
      <c r="D323" s="1" t="s">
        <v>186</v>
      </c>
      <c r="E323" s="1" t="s">
        <v>4</v>
      </c>
      <c r="F323">
        <v>47</v>
      </c>
      <c r="G323" s="1" t="str">
        <f>Ocupacao_DW[[#This Row],[data]]&amp;Ocupacao_DW[[#This Row],[profissional_id]]&amp;Ocupacao_DW[[#This Row],[local_id]]</f>
        <v>446351423747</v>
      </c>
      <c r="H323" s="1">
        <f>_xlfn.XLOOKUP(Ocupacao_DW[[#This Row],[Concat]],Vagas!$H:$H,Vagas!$D:$D,"",0)</f>
        <v>0</v>
      </c>
    </row>
    <row r="324" spans="1:8" x14ac:dyDescent="0.25">
      <c r="A324" s="2">
        <v>44637</v>
      </c>
      <c r="B324" s="1"/>
      <c r="C324">
        <v>74</v>
      </c>
      <c r="D324" s="1" t="s">
        <v>182</v>
      </c>
      <c r="E324" s="1" t="s">
        <v>6</v>
      </c>
      <c r="F324">
        <v>7</v>
      </c>
      <c r="G324" s="1" t="str">
        <f>Ocupacao_DW[[#This Row],[data]]&amp;Ocupacao_DW[[#This Row],[profissional_id]]&amp;Ocupacao_DW[[#This Row],[local_id]]</f>
        <v>44637747</v>
      </c>
      <c r="H324" s="1">
        <f>_xlfn.XLOOKUP(Ocupacao_DW[[#This Row],[Concat]],Vagas!$H:$H,Vagas!$D:$D,"",0)</f>
        <v>0</v>
      </c>
    </row>
    <row r="325" spans="1:8" x14ac:dyDescent="0.25">
      <c r="A325" s="2">
        <v>44642</v>
      </c>
      <c r="B325" s="1"/>
      <c r="C325">
        <v>73</v>
      </c>
      <c r="D325" s="1" t="s">
        <v>171</v>
      </c>
      <c r="E325" s="1" t="s">
        <v>6</v>
      </c>
      <c r="F325">
        <v>5</v>
      </c>
      <c r="G325" s="1" t="str">
        <f>Ocupacao_DW[[#This Row],[data]]&amp;Ocupacao_DW[[#This Row],[profissional_id]]&amp;Ocupacao_DW[[#This Row],[local_id]]</f>
        <v>44642735</v>
      </c>
      <c r="H325" s="1">
        <f>_xlfn.XLOOKUP(Ocupacao_DW[[#This Row],[Concat]],Vagas!$H:$H,Vagas!$D:$D,"",0)</f>
        <v>0</v>
      </c>
    </row>
    <row r="326" spans="1:8" x14ac:dyDescent="0.25">
      <c r="A326" s="2">
        <v>44637</v>
      </c>
      <c r="B326" s="1"/>
      <c r="C326">
        <v>74</v>
      </c>
      <c r="D326" s="1" t="s">
        <v>182</v>
      </c>
      <c r="E326" s="1" t="s">
        <v>6</v>
      </c>
      <c r="F326">
        <v>7</v>
      </c>
      <c r="G326" s="1" t="str">
        <f>Ocupacao_DW[[#This Row],[data]]&amp;Ocupacao_DW[[#This Row],[profissional_id]]&amp;Ocupacao_DW[[#This Row],[local_id]]</f>
        <v>44637747</v>
      </c>
      <c r="H326" s="1">
        <f>_xlfn.XLOOKUP(Ocupacao_DW[[#This Row],[Concat]],Vagas!$H:$H,Vagas!$D:$D,"",0)</f>
        <v>0</v>
      </c>
    </row>
    <row r="327" spans="1:8" x14ac:dyDescent="0.25">
      <c r="A327" s="2">
        <v>44650</v>
      </c>
      <c r="B327" s="1"/>
      <c r="C327">
        <v>67</v>
      </c>
      <c r="D327" s="1" t="s">
        <v>172</v>
      </c>
      <c r="E327" s="1" t="s">
        <v>6</v>
      </c>
      <c r="F327">
        <v>8</v>
      </c>
      <c r="G327" s="1" t="str">
        <f>Ocupacao_DW[[#This Row],[data]]&amp;Ocupacao_DW[[#This Row],[profissional_id]]&amp;Ocupacao_DW[[#This Row],[local_id]]</f>
        <v>44650678</v>
      </c>
      <c r="H327" s="1">
        <f>_xlfn.XLOOKUP(Ocupacao_DW[[#This Row],[Concat]],Vagas!$H:$H,Vagas!$D:$D,"",0)</f>
        <v>0</v>
      </c>
    </row>
    <row r="328" spans="1:8" x14ac:dyDescent="0.25">
      <c r="A328" s="2">
        <v>44650</v>
      </c>
      <c r="B328" s="1"/>
      <c r="C328">
        <v>67</v>
      </c>
      <c r="D328" s="1" t="s">
        <v>172</v>
      </c>
      <c r="E328" s="1" t="s">
        <v>6</v>
      </c>
      <c r="F328">
        <v>8</v>
      </c>
      <c r="G328" s="1" t="str">
        <f>Ocupacao_DW[[#This Row],[data]]&amp;Ocupacao_DW[[#This Row],[profissional_id]]&amp;Ocupacao_DW[[#This Row],[local_id]]</f>
        <v>44650678</v>
      </c>
      <c r="H328" s="1">
        <f>_xlfn.XLOOKUP(Ocupacao_DW[[#This Row],[Concat]],Vagas!$H:$H,Vagas!$D:$D,"",0)</f>
        <v>0</v>
      </c>
    </row>
    <row r="329" spans="1:8" x14ac:dyDescent="0.25">
      <c r="A329" s="2">
        <v>44649</v>
      </c>
      <c r="B329" s="1" t="s">
        <v>69</v>
      </c>
      <c r="C329">
        <v>13249</v>
      </c>
      <c r="D329" s="1" t="s">
        <v>178</v>
      </c>
      <c r="E329" s="1" t="s">
        <v>4</v>
      </c>
      <c r="F329">
        <v>45</v>
      </c>
      <c r="G329" s="1" t="str">
        <f>Ocupacao_DW[[#This Row],[data]]&amp;Ocupacao_DW[[#This Row],[profissional_id]]&amp;Ocupacao_DW[[#This Row],[local_id]]</f>
        <v>446491324945</v>
      </c>
      <c r="H329" s="1">
        <f>_xlfn.XLOOKUP(Ocupacao_DW[[#This Row],[Concat]],Vagas!$H:$H,Vagas!$D:$D,"",0)</f>
        <v>0</v>
      </c>
    </row>
    <row r="330" spans="1:8" x14ac:dyDescent="0.25">
      <c r="A330" s="2">
        <v>44641</v>
      </c>
      <c r="B330" s="1"/>
      <c r="C330">
        <v>10691</v>
      </c>
      <c r="D330" s="1" t="s">
        <v>181</v>
      </c>
      <c r="E330" s="1"/>
      <c r="F330">
        <v>0</v>
      </c>
      <c r="G330" s="1" t="str">
        <f>Ocupacao_DW[[#This Row],[data]]&amp;Ocupacao_DW[[#This Row],[profissional_id]]&amp;Ocupacao_DW[[#This Row],[local_id]]</f>
        <v>44641106910</v>
      </c>
      <c r="H330" s="1" t="str">
        <f>_xlfn.XLOOKUP(Ocupacao_DW[[#This Row],[Concat]],Vagas!$H:$H,Vagas!$D:$D,"",0)</f>
        <v/>
      </c>
    </row>
    <row r="331" spans="1:8" x14ac:dyDescent="0.25">
      <c r="A331" s="2">
        <v>44642</v>
      </c>
      <c r="B331" s="1"/>
      <c r="C331">
        <v>14237</v>
      </c>
      <c r="D331" s="1" t="s">
        <v>186</v>
      </c>
      <c r="E331" s="1" t="s">
        <v>4</v>
      </c>
      <c r="F331">
        <v>47</v>
      </c>
      <c r="G331" s="1" t="str">
        <f>Ocupacao_DW[[#This Row],[data]]&amp;Ocupacao_DW[[#This Row],[profissional_id]]&amp;Ocupacao_DW[[#This Row],[local_id]]</f>
        <v>446421423747</v>
      </c>
      <c r="H331" s="1">
        <f>_xlfn.XLOOKUP(Ocupacao_DW[[#This Row],[Concat]],Vagas!$H:$H,Vagas!$D:$D,"",0)</f>
        <v>0</v>
      </c>
    </row>
    <row r="332" spans="1:8" x14ac:dyDescent="0.25">
      <c r="A332" s="2">
        <v>44641</v>
      </c>
      <c r="B332" s="1"/>
      <c r="C332">
        <v>13249</v>
      </c>
      <c r="D332" s="1" t="s">
        <v>178</v>
      </c>
      <c r="E332" s="1" t="s">
        <v>4</v>
      </c>
      <c r="F332">
        <v>45</v>
      </c>
      <c r="G332" s="1" t="str">
        <f>Ocupacao_DW[[#This Row],[data]]&amp;Ocupacao_DW[[#This Row],[profissional_id]]&amp;Ocupacao_DW[[#This Row],[local_id]]</f>
        <v>446411324945</v>
      </c>
      <c r="H332" s="1">
        <f>_xlfn.XLOOKUP(Ocupacao_DW[[#This Row],[Concat]],Vagas!$H:$H,Vagas!$D:$D,"",0)</f>
        <v>0</v>
      </c>
    </row>
    <row r="333" spans="1:8" x14ac:dyDescent="0.25">
      <c r="A333" s="2">
        <v>44635</v>
      </c>
      <c r="B333" s="1"/>
      <c r="C333">
        <v>10600</v>
      </c>
      <c r="D333" s="1" t="s">
        <v>248</v>
      </c>
      <c r="E333" s="1"/>
      <c r="F333">
        <v>0</v>
      </c>
      <c r="G333" s="1" t="str">
        <f>Ocupacao_DW[[#This Row],[data]]&amp;Ocupacao_DW[[#This Row],[profissional_id]]&amp;Ocupacao_DW[[#This Row],[local_id]]</f>
        <v>44635106000</v>
      </c>
      <c r="H333" s="1" t="str">
        <f>_xlfn.XLOOKUP(Ocupacao_DW[[#This Row],[Concat]],Vagas!$H:$H,Vagas!$D:$D,"",0)</f>
        <v/>
      </c>
    </row>
    <row r="334" spans="1:8" x14ac:dyDescent="0.25">
      <c r="A334" s="2">
        <v>44642</v>
      </c>
      <c r="B334" s="1"/>
      <c r="C334">
        <v>85</v>
      </c>
      <c r="D334" s="1" t="s">
        <v>211</v>
      </c>
      <c r="E334" s="1" t="s">
        <v>5</v>
      </c>
      <c r="F334">
        <v>349</v>
      </c>
      <c r="G334" s="1" t="str">
        <f>Ocupacao_DW[[#This Row],[data]]&amp;Ocupacao_DW[[#This Row],[profissional_id]]&amp;Ocupacao_DW[[#This Row],[local_id]]</f>
        <v>4464285349</v>
      </c>
      <c r="H334" s="1">
        <f>_xlfn.XLOOKUP(Ocupacao_DW[[#This Row],[Concat]],Vagas!$H:$H,Vagas!$D:$D,"",0)</f>
        <v>0</v>
      </c>
    </row>
    <row r="335" spans="1:8" x14ac:dyDescent="0.25">
      <c r="A335" s="2">
        <v>44635</v>
      </c>
      <c r="B335" s="1"/>
      <c r="C335">
        <v>9111</v>
      </c>
      <c r="D335" s="1" t="s">
        <v>206</v>
      </c>
      <c r="E335" s="1" t="s">
        <v>4</v>
      </c>
      <c r="F335">
        <v>335</v>
      </c>
      <c r="G335" s="1" t="str">
        <f>Ocupacao_DW[[#This Row],[data]]&amp;Ocupacao_DW[[#This Row],[profissional_id]]&amp;Ocupacao_DW[[#This Row],[local_id]]</f>
        <v>446359111335</v>
      </c>
      <c r="H335" s="1">
        <f>_xlfn.XLOOKUP(Ocupacao_DW[[#This Row],[Concat]],Vagas!$H:$H,Vagas!$D:$D,"",0)</f>
        <v>0</v>
      </c>
    </row>
    <row r="336" spans="1:8" x14ac:dyDescent="0.25">
      <c r="A336" s="2">
        <v>44641</v>
      </c>
      <c r="B336" s="1"/>
      <c r="C336">
        <v>6392</v>
      </c>
      <c r="D336" s="1" t="s">
        <v>173</v>
      </c>
      <c r="E336" s="1" t="s">
        <v>6</v>
      </c>
      <c r="F336">
        <v>5</v>
      </c>
      <c r="G336" s="1" t="str">
        <f>Ocupacao_DW[[#This Row],[data]]&amp;Ocupacao_DW[[#This Row],[profissional_id]]&amp;Ocupacao_DW[[#This Row],[local_id]]</f>
        <v>4464163925</v>
      </c>
      <c r="H336" s="1">
        <f>_xlfn.XLOOKUP(Ocupacao_DW[[#This Row],[Concat]],Vagas!$H:$H,Vagas!$D:$D,"",0)</f>
        <v>0</v>
      </c>
    </row>
    <row r="337" spans="1:8" x14ac:dyDescent="0.25">
      <c r="A337" s="2">
        <v>44643</v>
      </c>
      <c r="B337" s="1"/>
      <c r="C337">
        <v>73</v>
      </c>
      <c r="D337" s="1" t="s">
        <v>171</v>
      </c>
      <c r="E337" s="1" t="s">
        <v>6</v>
      </c>
      <c r="F337">
        <v>5</v>
      </c>
      <c r="G337" s="1" t="str">
        <f>Ocupacao_DW[[#This Row],[data]]&amp;Ocupacao_DW[[#This Row],[profissional_id]]&amp;Ocupacao_DW[[#This Row],[local_id]]</f>
        <v>44643735</v>
      </c>
      <c r="H337" s="1">
        <f>_xlfn.XLOOKUP(Ocupacao_DW[[#This Row],[Concat]],Vagas!$H:$H,Vagas!$D:$D,"",0)</f>
        <v>0</v>
      </c>
    </row>
    <row r="338" spans="1:8" x14ac:dyDescent="0.25">
      <c r="A338" s="2">
        <v>44642</v>
      </c>
      <c r="B338" s="1"/>
      <c r="C338">
        <v>12825</v>
      </c>
      <c r="D338" s="1" t="s">
        <v>177</v>
      </c>
      <c r="E338" s="1" t="s">
        <v>7</v>
      </c>
      <c r="F338">
        <v>63</v>
      </c>
      <c r="G338" s="1" t="str">
        <f>Ocupacao_DW[[#This Row],[data]]&amp;Ocupacao_DW[[#This Row],[profissional_id]]&amp;Ocupacao_DW[[#This Row],[local_id]]</f>
        <v>446421282563</v>
      </c>
      <c r="H338" s="1">
        <f>_xlfn.XLOOKUP(Ocupacao_DW[[#This Row],[Concat]],Vagas!$H:$H,Vagas!$D:$D,"",0)</f>
        <v>0</v>
      </c>
    </row>
    <row r="339" spans="1:8" x14ac:dyDescent="0.25">
      <c r="A339" s="2">
        <v>44641</v>
      </c>
      <c r="B339" s="1"/>
      <c r="C339">
        <v>2984</v>
      </c>
      <c r="D339" s="1" t="s">
        <v>185</v>
      </c>
      <c r="E339" s="1" t="s">
        <v>6</v>
      </c>
      <c r="F339">
        <v>7</v>
      </c>
      <c r="G339" s="1" t="str">
        <f>Ocupacao_DW[[#This Row],[data]]&amp;Ocupacao_DW[[#This Row],[profissional_id]]&amp;Ocupacao_DW[[#This Row],[local_id]]</f>
        <v>4464129847</v>
      </c>
      <c r="H339" s="1">
        <f>_xlfn.XLOOKUP(Ocupacao_DW[[#This Row],[Concat]],Vagas!$H:$H,Vagas!$D:$D,"",0)</f>
        <v>0</v>
      </c>
    </row>
    <row r="340" spans="1:8" x14ac:dyDescent="0.25">
      <c r="A340" s="2">
        <v>44636</v>
      </c>
      <c r="B340" s="1" t="s">
        <v>70</v>
      </c>
      <c r="C340">
        <v>12519</v>
      </c>
      <c r="D340" s="1" t="s">
        <v>176</v>
      </c>
      <c r="E340" s="1" t="s">
        <v>4</v>
      </c>
      <c r="F340">
        <v>48</v>
      </c>
      <c r="G340" s="1" t="str">
        <f>Ocupacao_DW[[#This Row],[data]]&amp;Ocupacao_DW[[#This Row],[profissional_id]]&amp;Ocupacao_DW[[#This Row],[local_id]]</f>
        <v>446361251948</v>
      </c>
      <c r="H340" s="1">
        <f>_xlfn.XLOOKUP(Ocupacao_DW[[#This Row],[Concat]],Vagas!$H:$H,Vagas!$D:$D,"",0)</f>
        <v>0</v>
      </c>
    </row>
    <row r="341" spans="1:8" x14ac:dyDescent="0.25">
      <c r="A341" s="2">
        <v>44636</v>
      </c>
      <c r="B341" s="1"/>
      <c r="C341">
        <v>12679</v>
      </c>
      <c r="D341" s="1" t="s">
        <v>192</v>
      </c>
      <c r="E341" s="1" t="s">
        <v>5</v>
      </c>
      <c r="F341">
        <v>11</v>
      </c>
      <c r="G341" s="1" t="str">
        <f>Ocupacao_DW[[#This Row],[data]]&amp;Ocupacao_DW[[#This Row],[profissional_id]]&amp;Ocupacao_DW[[#This Row],[local_id]]</f>
        <v>446361267911</v>
      </c>
      <c r="H341" s="1">
        <f>_xlfn.XLOOKUP(Ocupacao_DW[[#This Row],[Concat]],Vagas!$H:$H,Vagas!$D:$D,"",0)</f>
        <v>0</v>
      </c>
    </row>
    <row r="342" spans="1:8" x14ac:dyDescent="0.25">
      <c r="A342" s="2">
        <v>44638</v>
      </c>
      <c r="B342" s="1"/>
      <c r="C342">
        <v>10691</v>
      </c>
      <c r="D342" s="1" t="s">
        <v>181</v>
      </c>
      <c r="E342" s="1" t="s">
        <v>200</v>
      </c>
      <c r="F342">
        <v>78</v>
      </c>
      <c r="G342" s="1" t="str">
        <f>Ocupacao_DW[[#This Row],[data]]&amp;Ocupacao_DW[[#This Row],[profissional_id]]&amp;Ocupacao_DW[[#This Row],[local_id]]</f>
        <v>446381069178</v>
      </c>
      <c r="H342" s="1">
        <f>_xlfn.XLOOKUP(Ocupacao_DW[[#This Row],[Concat]],Vagas!$H:$H,Vagas!$D:$D,"",0)</f>
        <v>0</v>
      </c>
    </row>
    <row r="343" spans="1:8" x14ac:dyDescent="0.25">
      <c r="A343" s="2">
        <v>44649</v>
      </c>
      <c r="B343" s="1"/>
      <c r="C343">
        <v>85</v>
      </c>
      <c r="D343" s="1" t="s">
        <v>211</v>
      </c>
      <c r="E343" s="1" t="s">
        <v>5</v>
      </c>
      <c r="F343">
        <v>349</v>
      </c>
      <c r="G343" s="1" t="str">
        <f>Ocupacao_DW[[#This Row],[data]]&amp;Ocupacao_DW[[#This Row],[profissional_id]]&amp;Ocupacao_DW[[#This Row],[local_id]]</f>
        <v>4464985349</v>
      </c>
      <c r="H343" s="1">
        <f>_xlfn.XLOOKUP(Ocupacao_DW[[#This Row],[Concat]],Vagas!$H:$H,Vagas!$D:$D,"",0)</f>
        <v>0</v>
      </c>
    </row>
    <row r="344" spans="1:8" x14ac:dyDescent="0.25">
      <c r="A344" s="2">
        <v>44636</v>
      </c>
      <c r="B344" s="1" t="s">
        <v>64</v>
      </c>
      <c r="C344">
        <v>531</v>
      </c>
      <c r="D344" s="1" t="s">
        <v>213</v>
      </c>
      <c r="E344" s="1" t="s">
        <v>5</v>
      </c>
      <c r="F344">
        <v>12</v>
      </c>
      <c r="G344" s="1" t="str">
        <f>Ocupacao_DW[[#This Row],[data]]&amp;Ocupacao_DW[[#This Row],[profissional_id]]&amp;Ocupacao_DW[[#This Row],[local_id]]</f>
        <v>4463653112</v>
      </c>
      <c r="H344" s="1">
        <f>_xlfn.XLOOKUP(Ocupacao_DW[[#This Row],[Concat]],Vagas!$H:$H,Vagas!$D:$D,"",0)</f>
        <v>0</v>
      </c>
    </row>
    <row r="345" spans="1:8" x14ac:dyDescent="0.25">
      <c r="A345" s="2">
        <v>44658</v>
      </c>
      <c r="B345" s="1"/>
      <c r="C345">
        <v>1490</v>
      </c>
      <c r="D345" s="1" t="s">
        <v>174</v>
      </c>
      <c r="E345" s="1" t="s">
        <v>5</v>
      </c>
      <c r="F345">
        <v>12</v>
      </c>
      <c r="G345" s="1" t="str">
        <f>Ocupacao_DW[[#This Row],[data]]&amp;Ocupacao_DW[[#This Row],[profissional_id]]&amp;Ocupacao_DW[[#This Row],[local_id]]</f>
        <v>44658149012</v>
      </c>
      <c r="H345" s="1" t="str">
        <f>_xlfn.XLOOKUP(Ocupacao_DW[[#This Row],[Concat]],Vagas!$H:$H,Vagas!$D:$D,"",0)</f>
        <v/>
      </c>
    </row>
    <row r="346" spans="1:8" x14ac:dyDescent="0.25">
      <c r="A346" s="2">
        <v>44635</v>
      </c>
      <c r="B346" s="1" t="s">
        <v>55</v>
      </c>
      <c r="C346">
        <v>12669</v>
      </c>
      <c r="D346" s="1" t="s">
        <v>223</v>
      </c>
      <c r="E346" s="1" t="s">
        <v>6</v>
      </c>
      <c r="F346">
        <v>6</v>
      </c>
      <c r="G346" s="1" t="str">
        <f>Ocupacao_DW[[#This Row],[data]]&amp;Ocupacao_DW[[#This Row],[profissional_id]]&amp;Ocupacao_DW[[#This Row],[local_id]]</f>
        <v>44635126696</v>
      </c>
      <c r="H346" s="1">
        <f>_xlfn.XLOOKUP(Ocupacao_DW[[#This Row],[Concat]],Vagas!$H:$H,Vagas!$D:$D,"",0)</f>
        <v>0</v>
      </c>
    </row>
    <row r="347" spans="1:8" x14ac:dyDescent="0.25">
      <c r="A347" s="2">
        <v>44650</v>
      </c>
      <c r="B347" s="1"/>
      <c r="C347">
        <v>67</v>
      </c>
      <c r="D347" s="1" t="s">
        <v>172</v>
      </c>
      <c r="E347" s="1" t="s">
        <v>6</v>
      </c>
      <c r="F347">
        <v>8</v>
      </c>
      <c r="G347" s="1" t="str">
        <f>Ocupacao_DW[[#This Row],[data]]&amp;Ocupacao_DW[[#This Row],[profissional_id]]&amp;Ocupacao_DW[[#This Row],[local_id]]</f>
        <v>44650678</v>
      </c>
      <c r="H347" s="1">
        <f>_xlfn.XLOOKUP(Ocupacao_DW[[#This Row],[Concat]],Vagas!$H:$H,Vagas!$D:$D,"",0)</f>
        <v>0</v>
      </c>
    </row>
    <row r="348" spans="1:8" x14ac:dyDescent="0.25">
      <c r="A348" s="2">
        <v>44637</v>
      </c>
      <c r="B348" s="1"/>
      <c r="C348">
        <v>69</v>
      </c>
      <c r="D348" s="1" t="s">
        <v>238</v>
      </c>
      <c r="E348" s="1" t="s">
        <v>200</v>
      </c>
      <c r="F348">
        <v>82</v>
      </c>
      <c r="G348" s="1" t="str">
        <f>Ocupacao_DW[[#This Row],[data]]&amp;Ocupacao_DW[[#This Row],[profissional_id]]&amp;Ocupacao_DW[[#This Row],[local_id]]</f>
        <v>446376982</v>
      </c>
      <c r="H348" s="1">
        <f>_xlfn.XLOOKUP(Ocupacao_DW[[#This Row],[Concat]],Vagas!$H:$H,Vagas!$D:$D,"",0)</f>
        <v>0</v>
      </c>
    </row>
    <row r="349" spans="1:8" x14ac:dyDescent="0.25">
      <c r="A349" s="2">
        <v>44635</v>
      </c>
      <c r="B349" s="1"/>
      <c r="C349">
        <v>12913</v>
      </c>
      <c r="D349" s="1" t="s">
        <v>196</v>
      </c>
      <c r="E349" s="1"/>
      <c r="F349">
        <v>0</v>
      </c>
      <c r="G349" s="1" t="str">
        <f>Ocupacao_DW[[#This Row],[data]]&amp;Ocupacao_DW[[#This Row],[profissional_id]]&amp;Ocupacao_DW[[#This Row],[local_id]]</f>
        <v>44635129130</v>
      </c>
      <c r="H349" s="1" t="str">
        <f>_xlfn.XLOOKUP(Ocupacao_DW[[#This Row],[Concat]],Vagas!$H:$H,Vagas!$D:$D,"",0)</f>
        <v/>
      </c>
    </row>
    <row r="350" spans="1:8" x14ac:dyDescent="0.25">
      <c r="A350" s="2">
        <v>44635</v>
      </c>
      <c r="B350" s="1" t="s">
        <v>42</v>
      </c>
      <c r="C350">
        <v>282</v>
      </c>
      <c r="D350" s="1" t="s">
        <v>210</v>
      </c>
      <c r="E350" s="1" t="s">
        <v>4</v>
      </c>
      <c r="F350">
        <v>39</v>
      </c>
      <c r="G350" s="1" t="str">
        <f>Ocupacao_DW[[#This Row],[data]]&amp;Ocupacao_DW[[#This Row],[profissional_id]]&amp;Ocupacao_DW[[#This Row],[local_id]]</f>
        <v>4463528239</v>
      </c>
      <c r="H350" s="1">
        <f>_xlfn.XLOOKUP(Ocupacao_DW[[#This Row],[Concat]],Vagas!$H:$H,Vagas!$D:$D,"",0)</f>
        <v>50</v>
      </c>
    </row>
    <row r="351" spans="1:8" x14ac:dyDescent="0.25">
      <c r="A351" s="2">
        <v>44639</v>
      </c>
      <c r="B351" s="1"/>
      <c r="C351">
        <v>10249</v>
      </c>
      <c r="D351" s="1" t="s">
        <v>231</v>
      </c>
      <c r="E351" s="1"/>
      <c r="F351">
        <v>0</v>
      </c>
      <c r="G351" s="1" t="str">
        <f>Ocupacao_DW[[#This Row],[data]]&amp;Ocupacao_DW[[#This Row],[profissional_id]]&amp;Ocupacao_DW[[#This Row],[local_id]]</f>
        <v>44639102490</v>
      </c>
      <c r="H351" s="1" t="str">
        <f>_xlfn.XLOOKUP(Ocupacao_DW[[#This Row],[Concat]],Vagas!$H:$H,Vagas!$D:$D,"",0)</f>
        <v/>
      </c>
    </row>
    <row r="352" spans="1:8" x14ac:dyDescent="0.25">
      <c r="A352" s="2">
        <v>44643</v>
      </c>
      <c r="B352" s="1"/>
      <c r="C352">
        <v>12825</v>
      </c>
      <c r="D352" s="1" t="s">
        <v>177</v>
      </c>
      <c r="E352" s="1"/>
      <c r="F352">
        <v>0</v>
      </c>
      <c r="G352" s="1" t="str">
        <f>Ocupacao_DW[[#This Row],[data]]&amp;Ocupacao_DW[[#This Row],[profissional_id]]&amp;Ocupacao_DW[[#This Row],[local_id]]</f>
        <v>44643128250</v>
      </c>
      <c r="H352" s="1" t="str">
        <f>_xlfn.XLOOKUP(Ocupacao_DW[[#This Row],[Concat]],Vagas!$H:$H,Vagas!$D:$D,"",0)</f>
        <v/>
      </c>
    </row>
    <row r="353" spans="1:8" x14ac:dyDescent="0.25">
      <c r="A353" s="2">
        <v>44636</v>
      </c>
      <c r="B353" s="1"/>
      <c r="C353">
        <v>6430</v>
      </c>
      <c r="D353" s="1" t="s">
        <v>188</v>
      </c>
      <c r="E353" s="1" t="s">
        <v>4</v>
      </c>
      <c r="F353">
        <v>42</v>
      </c>
      <c r="G353" s="1" t="str">
        <f>Ocupacao_DW[[#This Row],[data]]&amp;Ocupacao_DW[[#This Row],[profissional_id]]&amp;Ocupacao_DW[[#This Row],[local_id]]</f>
        <v>44636643042</v>
      </c>
      <c r="H353" s="1">
        <f>_xlfn.XLOOKUP(Ocupacao_DW[[#This Row],[Concat]],Vagas!$H:$H,Vagas!$D:$D,"",0)</f>
        <v>0</v>
      </c>
    </row>
    <row r="354" spans="1:8" x14ac:dyDescent="0.25">
      <c r="A354" s="2">
        <v>44636</v>
      </c>
      <c r="B354" s="1"/>
      <c r="C354">
        <v>1794</v>
      </c>
      <c r="D354" s="1" t="s">
        <v>235</v>
      </c>
      <c r="E354" s="1" t="s">
        <v>4</v>
      </c>
      <c r="F354">
        <v>49</v>
      </c>
      <c r="G354" s="1" t="str">
        <f>Ocupacao_DW[[#This Row],[data]]&amp;Ocupacao_DW[[#This Row],[profissional_id]]&amp;Ocupacao_DW[[#This Row],[local_id]]</f>
        <v>44636179449</v>
      </c>
      <c r="H354" s="1">
        <f>_xlfn.XLOOKUP(Ocupacao_DW[[#This Row],[Concat]],Vagas!$H:$H,Vagas!$D:$D,"",0)</f>
        <v>0</v>
      </c>
    </row>
    <row r="355" spans="1:8" x14ac:dyDescent="0.25">
      <c r="A355" s="2">
        <v>44655</v>
      </c>
      <c r="B355" s="1"/>
      <c r="C355">
        <v>13479</v>
      </c>
      <c r="D355" s="1" t="s">
        <v>203</v>
      </c>
      <c r="E355" s="1" t="s">
        <v>4</v>
      </c>
      <c r="F355">
        <v>46</v>
      </c>
      <c r="G355" s="1" t="str">
        <f>Ocupacao_DW[[#This Row],[data]]&amp;Ocupacao_DW[[#This Row],[profissional_id]]&amp;Ocupacao_DW[[#This Row],[local_id]]</f>
        <v>446551347946</v>
      </c>
      <c r="H355" s="1">
        <f>_xlfn.XLOOKUP(Ocupacao_DW[[#This Row],[Concat]],Vagas!$H:$H,Vagas!$D:$D,"",0)</f>
        <v>0</v>
      </c>
    </row>
    <row r="356" spans="1:8" x14ac:dyDescent="0.25">
      <c r="A356" s="2">
        <v>44636</v>
      </c>
      <c r="B356" s="1"/>
      <c r="C356">
        <v>12679</v>
      </c>
      <c r="D356" s="1" t="s">
        <v>192</v>
      </c>
      <c r="E356" s="1" t="s">
        <v>5</v>
      </c>
      <c r="F356">
        <v>11</v>
      </c>
      <c r="G356" s="1" t="str">
        <f>Ocupacao_DW[[#This Row],[data]]&amp;Ocupacao_DW[[#This Row],[profissional_id]]&amp;Ocupacao_DW[[#This Row],[local_id]]</f>
        <v>446361267911</v>
      </c>
      <c r="H356" s="1">
        <f>_xlfn.XLOOKUP(Ocupacao_DW[[#This Row],[Concat]],Vagas!$H:$H,Vagas!$D:$D,"",0)</f>
        <v>0</v>
      </c>
    </row>
    <row r="357" spans="1:8" x14ac:dyDescent="0.25">
      <c r="A357" s="2">
        <v>44635</v>
      </c>
      <c r="B357" s="1" t="s">
        <v>68</v>
      </c>
      <c r="C357">
        <v>8239</v>
      </c>
      <c r="D357" s="1" t="s">
        <v>257</v>
      </c>
      <c r="E357" s="1" t="s">
        <v>167</v>
      </c>
      <c r="F357">
        <v>345</v>
      </c>
      <c r="G357" s="1" t="str">
        <f>Ocupacao_DW[[#This Row],[data]]&amp;Ocupacao_DW[[#This Row],[profissional_id]]&amp;Ocupacao_DW[[#This Row],[local_id]]</f>
        <v>446358239345</v>
      </c>
      <c r="H357" s="1">
        <f>_xlfn.XLOOKUP(Ocupacao_DW[[#This Row],[Concat]],Vagas!$H:$H,Vagas!$D:$D,"",0)</f>
        <v>0</v>
      </c>
    </row>
    <row r="358" spans="1:8" x14ac:dyDescent="0.25">
      <c r="A358" s="2">
        <v>44652</v>
      </c>
      <c r="B358" s="1"/>
      <c r="C358">
        <v>13249</v>
      </c>
      <c r="D358" s="1" t="s">
        <v>178</v>
      </c>
      <c r="E358" s="1" t="s">
        <v>7</v>
      </c>
      <c r="F358">
        <v>66</v>
      </c>
      <c r="G358" s="1" t="str">
        <f>Ocupacao_DW[[#This Row],[data]]&amp;Ocupacao_DW[[#This Row],[profissional_id]]&amp;Ocupacao_DW[[#This Row],[local_id]]</f>
        <v>446521324966</v>
      </c>
      <c r="H358" s="1" t="str">
        <f>_xlfn.XLOOKUP(Ocupacao_DW[[#This Row],[Concat]],Vagas!$H:$H,Vagas!$D:$D,"",0)</f>
        <v/>
      </c>
    </row>
    <row r="359" spans="1:8" x14ac:dyDescent="0.25">
      <c r="A359" s="2">
        <v>44645</v>
      </c>
      <c r="B359" s="1"/>
      <c r="C359">
        <v>13249</v>
      </c>
      <c r="D359" s="1" t="s">
        <v>178</v>
      </c>
      <c r="E359" s="1" t="s">
        <v>7</v>
      </c>
      <c r="F359">
        <v>66</v>
      </c>
      <c r="G359" s="1" t="str">
        <f>Ocupacao_DW[[#This Row],[data]]&amp;Ocupacao_DW[[#This Row],[profissional_id]]&amp;Ocupacao_DW[[#This Row],[local_id]]</f>
        <v>446451324966</v>
      </c>
      <c r="H359" s="1">
        <f>_xlfn.XLOOKUP(Ocupacao_DW[[#This Row],[Concat]],Vagas!$H:$H,Vagas!$D:$D,"",0)</f>
        <v>0</v>
      </c>
    </row>
    <row r="360" spans="1:8" x14ac:dyDescent="0.25">
      <c r="A360" s="2">
        <v>44636</v>
      </c>
      <c r="B360" s="1"/>
      <c r="C360">
        <v>2396</v>
      </c>
      <c r="D360" s="1" t="s">
        <v>197</v>
      </c>
      <c r="E360" s="1"/>
      <c r="F360">
        <v>0</v>
      </c>
      <c r="G360" s="1" t="str">
        <f>Ocupacao_DW[[#This Row],[data]]&amp;Ocupacao_DW[[#This Row],[profissional_id]]&amp;Ocupacao_DW[[#This Row],[local_id]]</f>
        <v>4463623960</v>
      </c>
      <c r="H360" s="1" t="str">
        <f>_xlfn.XLOOKUP(Ocupacao_DW[[#This Row],[Concat]],Vagas!$H:$H,Vagas!$D:$D,"",0)</f>
        <v/>
      </c>
    </row>
    <row r="361" spans="1:8" x14ac:dyDescent="0.25">
      <c r="A361" s="2">
        <v>44635</v>
      </c>
      <c r="B361" s="1"/>
      <c r="C361">
        <v>85</v>
      </c>
      <c r="D361" s="1" t="s">
        <v>211</v>
      </c>
      <c r="E361" s="1" t="s">
        <v>5</v>
      </c>
      <c r="F361">
        <v>349</v>
      </c>
      <c r="G361" s="1" t="str">
        <f>Ocupacao_DW[[#This Row],[data]]&amp;Ocupacao_DW[[#This Row],[profissional_id]]&amp;Ocupacao_DW[[#This Row],[local_id]]</f>
        <v>4463585349</v>
      </c>
      <c r="H361" s="1">
        <f>_xlfn.XLOOKUP(Ocupacao_DW[[#This Row],[Concat]],Vagas!$H:$H,Vagas!$D:$D,"",0)</f>
        <v>0</v>
      </c>
    </row>
    <row r="362" spans="1:8" x14ac:dyDescent="0.25">
      <c r="A362" s="2">
        <v>44636</v>
      </c>
      <c r="B362" s="1"/>
      <c r="C362">
        <v>2396</v>
      </c>
      <c r="D362" s="1" t="s">
        <v>197</v>
      </c>
      <c r="E362" s="1"/>
      <c r="F362">
        <v>0</v>
      </c>
      <c r="G362" s="1" t="str">
        <f>Ocupacao_DW[[#This Row],[data]]&amp;Ocupacao_DW[[#This Row],[profissional_id]]&amp;Ocupacao_DW[[#This Row],[local_id]]</f>
        <v>4463623960</v>
      </c>
      <c r="H362" s="1" t="str">
        <f>_xlfn.XLOOKUP(Ocupacao_DW[[#This Row],[Concat]],Vagas!$H:$H,Vagas!$D:$D,"",0)</f>
        <v/>
      </c>
    </row>
    <row r="363" spans="1:8" x14ac:dyDescent="0.25">
      <c r="A363" s="2">
        <v>44635</v>
      </c>
      <c r="B363" s="1"/>
      <c r="C363">
        <v>8239</v>
      </c>
      <c r="D363" s="1" t="s">
        <v>257</v>
      </c>
      <c r="E363" s="1" t="s">
        <v>5</v>
      </c>
      <c r="F363">
        <v>14</v>
      </c>
      <c r="G363" s="1" t="str">
        <f>Ocupacao_DW[[#This Row],[data]]&amp;Ocupacao_DW[[#This Row],[profissional_id]]&amp;Ocupacao_DW[[#This Row],[local_id]]</f>
        <v>44635823914</v>
      </c>
      <c r="H363" s="1">
        <f>_xlfn.XLOOKUP(Ocupacao_DW[[#This Row],[Concat]],Vagas!$H:$H,Vagas!$D:$D,"",0)</f>
        <v>0</v>
      </c>
    </row>
    <row r="364" spans="1:8" x14ac:dyDescent="0.25">
      <c r="A364" s="2">
        <v>44644</v>
      </c>
      <c r="B364" s="1"/>
      <c r="C364">
        <v>53</v>
      </c>
      <c r="D364" s="1" t="s">
        <v>254</v>
      </c>
      <c r="E364" s="1" t="s">
        <v>6</v>
      </c>
      <c r="F364">
        <v>5</v>
      </c>
      <c r="G364" s="1" t="str">
        <f>Ocupacao_DW[[#This Row],[data]]&amp;Ocupacao_DW[[#This Row],[profissional_id]]&amp;Ocupacao_DW[[#This Row],[local_id]]</f>
        <v>44644535</v>
      </c>
      <c r="H364" s="1">
        <f>_xlfn.XLOOKUP(Ocupacao_DW[[#This Row],[Concat]],Vagas!$H:$H,Vagas!$D:$D,"",0)</f>
        <v>0</v>
      </c>
    </row>
    <row r="365" spans="1:8" x14ac:dyDescent="0.25">
      <c r="A365" s="2">
        <v>44643</v>
      </c>
      <c r="B365" s="1"/>
      <c r="C365">
        <v>2396</v>
      </c>
      <c r="D365" s="1" t="s">
        <v>197</v>
      </c>
      <c r="E365" s="1"/>
      <c r="F365">
        <v>0</v>
      </c>
      <c r="G365" s="1" t="str">
        <f>Ocupacao_DW[[#This Row],[data]]&amp;Ocupacao_DW[[#This Row],[profissional_id]]&amp;Ocupacao_DW[[#This Row],[local_id]]</f>
        <v>4464323960</v>
      </c>
      <c r="H365" s="1" t="str">
        <f>_xlfn.XLOOKUP(Ocupacao_DW[[#This Row],[Concat]],Vagas!$H:$H,Vagas!$D:$D,"",0)</f>
        <v/>
      </c>
    </row>
    <row r="366" spans="1:8" x14ac:dyDescent="0.25">
      <c r="A366" s="2">
        <v>44643</v>
      </c>
      <c r="B366" s="1"/>
      <c r="C366">
        <v>13061</v>
      </c>
      <c r="D366" s="1" t="s">
        <v>232</v>
      </c>
      <c r="E366" s="1"/>
      <c r="F366">
        <v>0</v>
      </c>
      <c r="G366" s="1" t="str">
        <f>Ocupacao_DW[[#This Row],[data]]&amp;Ocupacao_DW[[#This Row],[profissional_id]]&amp;Ocupacao_DW[[#This Row],[local_id]]</f>
        <v>44643130610</v>
      </c>
      <c r="H366" s="1" t="str">
        <f>_xlfn.XLOOKUP(Ocupacao_DW[[#This Row],[Concat]],Vagas!$H:$H,Vagas!$D:$D,"",0)</f>
        <v/>
      </c>
    </row>
    <row r="367" spans="1:8" x14ac:dyDescent="0.25">
      <c r="A367" s="2">
        <v>44635</v>
      </c>
      <c r="B367" s="1"/>
      <c r="C367">
        <v>266</v>
      </c>
      <c r="D367" s="1" t="s">
        <v>201</v>
      </c>
      <c r="E367" s="1" t="s">
        <v>4</v>
      </c>
      <c r="F367">
        <v>42</v>
      </c>
      <c r="G367" s="1" t="str">
        <f>Ocupacao_DW[[#This Row],[data]]&amp;Ocupacao_DW[[#This Row],[profissional_id]]&amp;Ocupacao_DW[[#This Row],[local_id]]</f>
        <v>4463526642</v>
      </c>
      <c r="H367" s="1">
        <f>_xlfn.XLOOKUP(Ocupacao_DW[[#This Row],[Concat]],Vagas!$H:$H,Vagas!$D:$D,"",0)</f>
        <v>0</v>
      </c>
    </row>
    <row r="368" spans="1:8" x14ac:dyDescent="0.25">
      <c r="A368" s="2">
        <v>44635</v>
      </c>
      <c r="B368" s="1"/>
      <c r="C368">
        <v>14237</v>
      </c>
      <c r="D368" s="1" t="s">
        <v>186</v>
      </c>
      <c r="E368" s="1" t="s">
        <v>4</v>
      </c>
      <c r="F368">
        <v>47</v>
      </c>
      <c r="G368" s="1" t="str">
        <f>Ocupacao_DW[[#This Row],[data]]&amp;Ocupacao_DW[[#This Row],[profissional_id]]&amp;Ocupacao_DW[[#This Row],[local_id]]</f>
        <v>446351423747</v>
      </c>
      <c r="H368" s="1">
        <f>_xlfn.XLOOKUP(Ocupacao_DW[[#This Row],[Concat]],Vagas!$H:$H,Vagas!$D:$D,"",0)</f>
        <v>0</v>
      </c>
    </row>
    <row r="369" spans="1:8" x14ac:dyDescent="0.25">
      <c r="A369" s="2">
        <v>44646</v>
      </c>
      <c r="B369" s="1"/>
      <c r="C369">
        <v>4887</v>
      </c>
      <c r="D369" s="1" t="s">
        <v>168</v>
      </c>
      <c r="E369" s="1" t="s">
        <v>5</v>
      </c>
      <c r="F369">
        <v>18</v>
      </c>
      <c r="G369" s="1" t="str">
        <f>Ocupacao_DW[[#This Row],[data]]&amp;Ocupacao_DW[[#This Row],[profissional_id]]&amp;Ocupacao_DW[[#This Row],[local_id]]</f>
        <v>44646488718</v>
      </c>
      <c r="H369" s="1">
        <f>_xlfn.XLOOKUP(Ocupacao_DW[[#This Row],[Concat]],Vagas!$H:$H,Vagas!$D:$D,"",0)</f>
        <v>0</v>
      </c>
    </row>
    <row r="370" spans="1:8" x14ac:dyDescent="0.25">
      <c r="A370" s="2">
        <v>44643</v>
      </c>
      <c r="B370" s="1"/>
      <c r="C370">
        <v>60</v>
      </c>
      <c r="D370" s="1" t="s">
        <v>217</v>
      </c>
      <c r="E370" s="1"/>
      <c r="F370">
        <v>0</v>
      </c>
      <c r="G370" s="1" t="str">
        <f>Ocupacao_DW[[#This Row],[data]]&amp;Ocupacao_DW[[#This Row],[profissional_id]]&amp;Ocupacao_DW[[#This Row],[local_id]]</f>
        <v>44643600</v>
      </c>
      <c r="H370" s="1" t="str">
        <f>_xlfn.XLOOKUP(Ocupacao_DW[[#This Row],[Concat]],Vagas!$H:$H,Vagas!$D:$D,"",0)</f>
        <v/>
      </c>
    </row>
    <row r="371" spans="1:8" x14ac:dyDescent="0.25">
      <c r="A371" s="2">
        <v>44635</v>
      </c>
      <c r="B371" s="1"/>
      <c r="C371">
        <v>2984</v>
      </c>
      <c r="D371" s="1" t="s">
        <v>185</v>
      </c>
      <c r="E371" s="1"/>
      <c r="F371">
        <v>0</v>
      </c>
      <c r="G371" s="1" t="str">
        <f>Ocupacao_DW[[#This Row],[data]]&amp;Ocupacao_DW[[#This Row],[profissional_id]]&amp;Ocupacao_DW[[#This Row],[local_id]]</f>
        <v>4463529840</v>
      </c>
      <c r="H371" s="1" t="str">
        <f>_xlfn.XLOOKUP(Ocupacao_DW[[#This Row],[Concat]],Vagas!$H:$H,Vagas!$D:$D,"",0)</f>
        <v/>
      </c>
    </row>
    <row r="372" spans="1:8" x14ac:dyDescent="0.25">
      <c r="A372" s="2">
        <v>44635</v>
      </c>
      <c r="B372" s="1" t="s">
        <v>70</v>
      </c>
      <c r="C372">
        <v>14237</v>
      </c>
      <c r="D372" s="1" t="s">
        <v>186</v>
      </c>
      <c r="E372" s="1" t="s">
        <v>4</v>
      </c>
      <c r="F372">
        <v>47</v>
      </c>
      <c r="G372" s="1" t="str">
        <f>Ocupacao_DW[[#This Row],[data]]&amp;Ocupacao_DW[[#This Row],[profissional_id]]&amp;Ocupacao_DW[[#This Row],[local_id]]</f>
        <v>446351423747</v>
      </c>
      <c r="H372" s="1">
        <f>_xlfn.XLOOKUP(Ocupacao_DW[[#This Row],[Concat]],Vagas!$H:$H,Vagas!$D:$D,"",0)</f>
        <v>0</v>
      </c>
    </row>
    <row r="373" spans="1:8" x14ac:dyDescent="0.25">
      <c r="A373" s="2">
        <v>44641</v>
      </c>
      <c r="B373" s="1"/>
      <c r="C373">
        <v>10691</v>
      </c>
      <c r="D373" s="1" t="s">
        <v>181</v>
      </c>
      <c r="E373" s="1"/>
      <c r="F373">
        <v>0</v>
      </c>
      <c r="G373" s="1" t="str">
        <f>Ocupacao_DW[[#This Row],[data]]&amp;Ocupacao_DW[[#This Row],[profissional_id]]&amp;Ocupacao_DW[[#This Row],[local_id]]</f>
        <v>44641106910</v>
      </c>
      <c r="H373" s="1" t="str">
        <f>_xlfn.XLOOKUP(Ocupacao_DW[[#This Row],[Concat]],Vagas!$H:$H,Vagas!$D:$D,"",0)</f>
        <v/>
      </c>
    </row>
    <row r="374" spans="1:8" x14ac:dyDescent="0.25">
      <c r="A374" s="2">
        <v>44643</v>
      </c>
      <c r="B374" s="1" t="s">
        <v>70</v>
      </c>
      <c r="C374">
        <v>12519</v>
      </c>
      <c r="D374" s="1" t="s">
        <v>176</v>
      </c>
      <c r="E374" s="1" t="s">
        <v>4</v>
      </c>
      <c r="F374">
        <v>48</v>
      </c>
      <c r="G374" s="1" t="str">
        <f>Ocupacao_DW[[#This Row],[data]]&amp;Ocupacao_DW[[#This Row],[profissional_id]]&amp;Ocupacao_DW[[#This Row],[local_id]]</f>
        <v>446431251948</v>
      </c>
      <c r="H374" s="1">
        <f>_xlfn.XLOOKUP(Ocupacao_DW[[#This Row],[Concat]],Vagas!$H:$H,Vagas!$D:$D,"",0)</f>
        <v>0</v>
      </c>
    </row>
    <row r="375" spans="1:8" x14ac:dyDescent="0.25">
      <c r="A375" s="2">
        <v>44635</v>
      </c>
      <c r="B375" s="1"/>
      <c r="C375">
        <v>3502</v>
      </c>
      <c r="D375" s="1" t="s">
        <v>214</v>
      </c>
      <c r="E375" s="1"/>
      <c r="F375">
        <v>0</v>
      </c>
      <c r="G375" s="1" t="str">
        <f>Ocupacao_DW[[#This Row],[data]]&amp;Ocupacao_DW[[#This Row],[profissional_id]]&amp;Ocupacao_DW[[#This Row],[local_id]]</f>
        <v>4463535020</v>
      </c>
      <c r="H375" s="1" t="str">
        <f>_xlfn.XLOOKUP(Ocupacao_DW[[#This Row],[Concat]],Vagas!$H:$H,Vagas!$D:$D,"",0)</f>
        <v/>
      </c>
    </row>
    <row r="376" spans="1:8" x14ac:dyDescent="0.25">
      <c r="A376" s="2">
        <v>44649</v>
      </c>
      <c r="B376" s="1"/>
      <c r="C376">
        <v>73</v>
      </c>
      <c r="D376" s="1" t="s">
        <v>171</v>
      </c>
      <c r="E376" s="1" t="s">
        <v>6</v>
      </c>
      <c r="F376">
        <v>5</v>
      </c>
      <c r="G376" s="1" t="str">
        <f>Ocupacao_DW[[#This Row],[data]]&amp;Ocupacao_DW[[#This Row],[profissional_id]]&amp;Ocupacao_DW[[#This Row],[local_id]]</f>
        <v>44649735</v>
      </c>
      <c r="H376" s="1">
        <f>_xlfn.XLOOKUP(Ocupacao_DW[[#This Row],[Concat]],Vagas!$H:$H,Vagas!$D:$D,"",0)</f>
        <v>0</v>
      </c>
    </row>
    <row r="377" spans="1:8" x14ac:dyDescent="0.25">
      <c r="A377" s="2">
        <v>44641</v>
      </c>
      <c r="B377" s="1"/>
      <c r="C377">
        <v>6392</v>
      </c>
      <c r="D377" s="1" t="s">
        <v>173</v>
      </c>
      <c r="E377" s="1" t="s">
        <v>6</v>
      </c>
      <c r="F377">
        <v>5</v>
      </c>
      <c r="G377" s="1" t="str">
        <f>Ocupacao_DW[[#This Row],[data]]&amp;Ocupacao_DW[[#This Row],[profissional_id]]&amp;Ocupacao_DW[[#This Row],[local_id]]</f>
        <v>4464163925</v>
      </c>
      <c r="H377" s="1">
        <f>_xlfn.XLOOKUP(Ocupacao_DW[[#This Row],[Concat]],Vagas!$H:$H,Vagas!$D:$D,"",0)</f>
        <v>0</v>
      </c>
    </row>
    <row r="378" spans="1:8" x14ac:dyDescent="0.25">
      <c r="A378" s="2">
        <v>44636</v>
      </c>
      <c r="B378" s="1"/>
      <c r="C378">
        <v>110</v>
      </c>
      <c r="D378" s="1" t="s">
        <v>193</v>
      </c>
      <c r="E378" s="1" t="s">
        <v>4</v>
      </c>
      <c r="F378">
        <v>334</v>
      </c>
      <c r="G378" s="1" t="str">
        <f>Ocupacao_DW[[#This Row],[data]]&amp;Ocupacao_DW[[#This Row],[profissional_id]]&amp;Ocupacao_DW[[#This Row],[local_id]]</f>
        <v>44636110334</v>
      </c>
      <c r="H378" s="1">
        <f>_xlfn.XLOOKUP(Ocupacao_DW[[#This Row],[Concat]],Vagas!$H:$H,Vagas!$D:$D,"",0)</f>
        <v>0</v>
      </c>
    </row>
    <row r="379" spans="1:8" x14ac:dyDescent="0.25">
      <c r="A379" s="2">
        <v>44635</v>
      </c>
      <c r="B379" s="1"/>
      <c r="C379">
        <v>2984</v>
      </c>
      <c r="D379" s="1" t="s">
        <v>185</v>
      </c>
      <c r="E379" s="1"/>
      <c r="F379">
        <v>0</v>
      </c>
      <c r="G379" s="1" t="str">
        <f>Ocupacao_DW[[#This Row],[data]]&amp;Ocupacao_DW[[#This Row],[profissional_id]]&amp;Ocupacao_DW[[#This Row],[local_id]]</f>
        <v>4463529840</v>
      </c>
      <c r="H379" s="1" t="str">
        <f>_xlfn.XLOOKUP(Ocupacao_DW[[#This Row],[Concat]],Vagas!$H:$H,Vagas!$D:$D,"",0)</f>
        <v/>
      </c>
    </row>
    <row r="380" spans="1:8" x14ac:dyDescent="0.25">
      <c r="A380" s="2">
        <v>44636</v>
      </c>
      <c r="B380" s="1"/>
      <c r="C380">
        <v>12679</v>
      </c>
      <c r="D380" s="1" t="s">
        <v>192</v>
      </c>
      <c r="E380" s="1" t="s">
        <v>5</v>
      </c>
      <c r="F380">
        <v>11</v>
      </c>
      <c r="G380" s="1" t="str">
        <f>Ocupacao_DW[[#This Row],[data]]&amp;Ocupacao_DW[[#This Row],[profissional_id]]&amp;Ocupacao_DW[[#This Row],[local_id]]</f>
        <v>446361267911</v>
      </c>
      <c r="H380" s="1">
        <f>_xlfn.XLOOKUP(Ocupacao_DW[[#This Row],[Concat]],Vagas!$H:$H,Vagas!$D:$D,"",0)</f>
        <v>0</v>
      </c>
    </row>
    <row r="381" spans="1:8" x14ac:dyDescent="0.25">
      <c r="A381" s="2">
        <v>44637</v>
      </c>
      <c r="B381" s="1"/>
      <c r="C381">
        <v>8598</v>
      </c>
      <c r="D381" s="1" t="s">
        <v>228</v>
      </c>
      <c r="E381" s="1"/>
      <c r="F381">
        <v>0</v>
      </c>
      <c r="G381" s="1" t="str">
        <f>Ocupacao_DW[[#This Row],[data]]&amp;Ocupacao_DW[[#This Row],[profissional_id]]&amp;Ocupacao_DW[[#This Row],[local_id]]</f>
        <v>4463785980</v>
      </c>
      <c r="H381" s="1" t="str">
        <f>_xlfn.XLOOKUP(Ocupacao_DW[[#This Row],[Concat]],Vagas!$H:$H,Vagas!$D:$D,"",0)</f>
        <v/>
      </c>
    </row>
    <row r="382" spans="1:8" x14ac:dyDescent="0.25">
      <c r="A382" s="2">
        <v>44636</v>
      </c>
      <c r="B382" s="1"/>
      <c r="C382">
        <v>17859</v>
      </c>
      <c r="D382" s="1" t="s">
        <v>212</v>
      </c>
      <c r="E382" s="1" t="s">
        <v>6</v>
      </c>
      <c r="F382">
        <v>7</v>
      </c>
      <c r="G382" s="1" t="str">
        <f>Ocupacao_DW[[#This Row],[data]]&amp;Ocupacao_DW[[#This Row],[profissional_id]]&amp;Ocupacao_DW[[#This Row],[local_id]]</f>
        <v>44636178597</v>
      </c>
      <c r="H382" s="1">
        <f>_xlfn.XLOOKUP(Ocupacao_DW[[#This Row],[Concat]],Vagas!$H:$H,Vagas!$D:$D,"",0)</f>
        <v>0</v>
      </c>
    </row>
    <row r="383" spans="1:8" x14ac:dyDescent="0.25">
      <c r="A383" s="2">
        <v>44657</v>
      </c>
      <c r="B383" s="1"/>
      <c r="C383">
        <v>67</v>
      </c>
      <c r="D383" s="1" t="s">
        <v>172</v>
      </c>
      <c r="E383" s="1" t="s">
        <v>6</v>
      </c>
      <c r="F383">
        <v>8</v>
      </c>
      <c r="G383" s="1" t="str">
        <f>Ocupacao_DW[[#This Row],[data]]&amp;Ocupacao_DW[[#This Row],[profissional_id]]&amp;Ocupacao_DW[[#This Row],[local_id]]</f>
        <v>44657678</v>
      </c>
      <c r="H383" s="1">
        <f>_xlfn.XLOOKUP(Ocupacao_DW[[#This Row],[Concat]],Vagas!$H:$H,Vagas!$D:$D,"",0)</f>
        <v>0</v>
      </c>
    </row>
    <row r="384" spans="1:8" x14ac:dyDescent="0.25">
      <c r="A384" s="2">
        <v>44639</v>
      </c>
      <c r="B384" s="1"/>
      <c r="C384">
        <v>4887</v>
      </c>
      <c r="D384" s="1" t="s">
        <v>168</v>
      </c>
      <c r="E384" s="1" t="s">
        <v>5</v>
      </c>
      <c r="F384">
        <v>18</v>
      </c>
      <c r="G384" s="1" t="str">
        <f>Ocupacao_DW[[#This Row],[data]]&amp;Ocupacao_DW[[#This Row],[profissional_id]]&amp;Ocupacao_DW[[#This Row],[local_id]]</f>
        <v>44639488718</v>
      </c>
      <c r="H384" s="1">
        <f>_xlfn.XLOOKUP(Ocupacao_DW[[#This Row],[Concat]],Vagas!$H:$H,Vagas!$D:$D,"",0)</f>
        <v>0</v>
      </c>
    </row>
    <row r="385" spans="1:8" x14ac:dyDescent="0.25">
      <c r="A385" s="2">
        <v>44635</v>
      </c>
      <c r="B385" s="1" t="s">
        <v>55</v>
      </c>
      <c r="C385">
        <v>14452</v>
      </c>
      <c r="D385" s="1" t="s">
        <v>266</v>
      </c>
      <c r="E385" s="1" t="s">
        <v>200</v>
      </c>
      <c r="F385">
        <v>78</v>
      </c>
      <c r="G385" s="1" t="str">
        <f>Ocupacao_DW[[#This Row],[data]]&amp;Ocupacao_DW[[#This Row],[profissional_id]]&amp;Ocupacao_DW[[#This Row],[local_id]]</f>
        <v>446351445278</v>
      </c>
      <c r="H385" s="1">
        <f>_xlfn.XLOOKUP(Ocupacao_DW[[#This Row],[Concat]],Vagas!$H:$H,Vagas!$D:$D,"",0)</f>
        <v>0</v>
      </c>
    </row>
    <row r="386" spans="1:8" x14ac:dyDescent="0.25">
      <c r="A386" s="2">
        <v>44652</v>
      </c>
      <c r="B386" s="1"/>
      <c r="C386">
        <v>81</v>
      </c>
      <c r="D386" s="1" t="s">
        <v>170</v>
      </c>
      <c r="E386" s="1" t="s">
        <v>4</v>
      </c>
      <c r="F386">
        <v>41</v>
      </c>
      <c r="G386" s="1" t="str">
        <f>Ocupacao_DW[[#This Row],[data]]&amp;Ocupacao_DW[[#This Row],[profissional_id]]&amp;Ocupacao_DW[[#This Row],[local_id]]</f>
        <v>446528141</v>
      </c>
      <c r="H386" s="1">
        <f>_xlfn.XLOOKUP(Ocupacao_DW[[#This Row],[Concat]],Vagas!$H:$H,Vagas!$D:$D,"",0)</f>
        <v>0</v>
      </c>
    </row>
    <row r="387" spans="1:8" x14ac:dyDescent="0.25">
      <c r="A387" s="2">
        <v>44643</v>
      </c>
      <c r="B387" s="1" t="s">
        <v>70</v>
      </c>
      <c r="C387">
        <v>12519</v>
      </c>
      <c r="D387" s="1" t="s">
        <v>176</v>
      </c>
      <c r="E387" s="1" t="s">
        <v>4</v>
      </c>
      <c r="F387">
        <v>48</v>
      </c>
      <c r="G387" s="1" t="str">
        <f>Ocupacao_DW[[#This Row],[data]]&amp;Ocupacao_DW[[#This Row],[profissional_id]]&amp;Ocupacao_DW[[#This Row],[local_id]]</f>
        <v>446431251948</v>
      </c>
      <c r="H387" s="1">
        <f>_xlfn.XLOOKUP(Ocupacao_DW[[#This Row],[Concat]],Vagas!$H:$H,Vagas!$D:$D,"",0)</f>
        <v>0</v>
      </c>
    </row>
    <row r="388" spans="1:8" x14ac:dyDescent="0.25">
      <c r="A388" s="2">
        <v>44643</v>
      </c>
      <c r="B388" s="1"/>
      <c r="C388">
        <v>73</v>
      </c>
      <c r="D388" s="1" t="s">
        <v>171</v>
      </c>
      <c r="E388" s="1" t="s">
        <v>6</v>
      </c>
      <c r="F388">
        <v>5</v>
      </c>
      <c r="G388" s="1" t="str">
        <f>Ocupacao_DW[[#This Row],[data]]&amp;Ocupacao_DW[[#This Row],[profissional_id]]&amp;Ocupacao_DW[[#This Row],[local_id]]</f>
        <v>44643735</v>
      </c>
      <c r="H388" s="1">
        <f>_xlfn.XLOOKUP(Ocupacao_DW[[#This Row],[Concat]],Vagas!$H:$H,Vagas!$D:$D,"",0)</f>
        <v>0</v>
      </c>
    </row>
    <row r="389" spans="1:8" x14ac:dyDescent="0.25">
      <c r="A389" s="2">
        <v>44635</v>
      </c>
      <c r="B389" s="1" t="s">
        <v>64</v>
      </c>
      <c r="C389">
        <v>85</v>
      </c>
      <c r="D389" s="1" t="s">
        <v>211</v>
      </c>
      <c r="E389" s="1" t="s">
        <v>5</v>
      </c>
      <c r="F389">
        <v>349</v>
      </c>
      <c r="G389" s="1" t="str">
        <f>Ocupacao_DW[[#This Row],[data]]&amp;Ocupacao_DW[[#This Row],[profissional_id]]&amp;Ocupacao_DW[[#This Row],[local_id]]</f>
        <v>4463585349</v>
      </c>
      <c r="H389" s="1">
        <f>_xlfn.XLOOKUP(Ocupacao_DW[[#This Row],[Concat]],Vagas!$H:$H,Vagas!$D:$D,"",0)</f>
        <v>0</v>
      </c>
    </row>
    <row r="390" spans="1:8" x14ac:dyDescent="0.25">
      <c r="A390" s="2">
        <v>44636</v>
      </c>
      <c r="B390" s="1"/>
      <c r="C390">
        <v>5767</v>
      </c>
      <c r="D390" s="1" t="s">
        <v>239</v>
      </c>
      <c r="E390" s="1" t="s">
        <v>4</v>
      </c>
      <c r="F390">
        <v>43</v>
      </c>
      <c r="G390" s="1" t="str">
        <f>Ocupacao_DW[[#This Row],[data]]&amp;Ocupacao_DW[[#This Row],[profissional_id]]&amp;Ocupacao_DW[[#This Row],[local_id]]</f>
        <v>44636576743</v>
      </c>
      <c r="H390" s="1">
        <f>_xlfn.XLOOKUP(Ocupacao_DW[[#This Row],[Concat]],Vagas!$H:$H,Vagas!$D:$D,"",0)</f>
        <v>0</v>
      </c>
    </row>
    <row r="391" spans="1:8" x14ac:dyDescent="0.25">
      <c r="A391" s="2">
        <v>44644</v>
      </c>
      <c r="B391" s="1"/>
      <c r="C391">
        <v>74</v>
      </c>
      <c r="D391" s="1" t="s">
        <v>182</v>
      </c>
      <c r="E391" s="1" t="s">
        <v>6</v>
      </c>
      <c r="F391">
        <v>7</v>
      </c>
      <c r="G391" s="1" t="str">
        <f>Ocupacao_DW[[#This Row],[data]]&amp;Ocupacao_DW[[#This Row],[profissional_id]]&amp;Ocupacao_DW[[#This Row],[local_id]]</f>
        <v>44644747</v>
      </c>
      <c r="H391" s="1">
        <f>_xlfn.XLOOKUP(Ocupacao_DW[[#This Row],[Concat]],Vagas!$H:$H,Vagas!$D:$D,"",0)</f>
        <v>0</v>
      </c>
    </row>
    <row r="392" spans="1:8" x14ac:dyDescent="0.25">
      <c r="A392" s="2">
        <v>44642</v>
      </c>
      <c r="B392" s="1" t="s">
        <v>64</v>
      </c>
      <c r="C392">
        <v>12230</v>
      </c>
      <c r="D392" s="1" t="s">
        <v>269</v>
      </c>
      <c r="E392" s="1" t="s">
        <v>5</v>
      </c>
      <c r="F392">
        <v>17</v>
      </c>
      <c r="G392" s="1" t="str">
        <f>Ocupacao_DW[[#This Row],[data]]&amp;Ocupacao_DW[[#This Row],[profissional_id]]&amp;Ocupacao_DW[[#This Row],[local_id]]</f>
        <v>446421223017</v>
      </c>
      <c r="H392" s="1">
        <f>_xlfn.XLOOKUP(Ocupacao_DW[[#This Row],[Concat]],Vagas!$H:$H,Vagas!$D:$D,"",0)</f>
        <v>0</v>
      </c>
    </row>
    <row r="393" spans="1:8" x14ac:dyDescent="0.25">
      <c r="A393" s="2">
        <v>44641</v>
      </c>
      <c r="B393" s="1"/>
      <c r="C393">
        <v>117</v>
      </c>
      <c r="D393" s="1" t="s">
        <v>180</v>
      </c>
      <c r="E393" s="1" t="s">
        <v>4</v>
      </c>
      <c r="F393">
        <v>48</v>
      </c>
      <c r="G393" s="1" t="str">
        <f>Ocupacao_DW[[#This Row],[data]]&amp;Ocupacao_DW[[#This Row],[profissional_id]]&amp;Ocupacao_DW[[#This Row],[local_id]]</f>
        <v>4464111748</v>
      </c>
      <c r="H393" s="1">
        <f>_xlfn.XLOOKUP(Ocupacao_DW[[#This Row],[Concat]],Vagas!$H:$H,Vagas!$D:$D,"",0)</f>
        <v>0</v>
      </c>
    </row>
    <row r="394" spans="1:8" x14ac:dyDescent="0.25">
      <c r="A394" s="2">
        <v>44636</v>
      </c>
      <c r="B394" s="1"/>
      <c r="C394">
        <v>6430</v>
      </c>
      <c r="D394" s="1" t="s">
        <v>188</v>
      </c>
      <c r="E394" s="1" t="s">
        <v>4</v>
      </c>
      <c r="F394">
        <v>42</v>
      </c>
      <c r="G394" s="1" t="str">
        <f>Ocupacao_DW[[#This Row],[data]]&amp;Ocupacao_DW[[#This Row],[profissional_id]]&amp;Ocupacao_DW[[#This Row],[local_id]]</f>
        <v>44636643042</v>
      </c>
      <c r="H394" s="1">
        <f>_xlfn.XLOOKUP(Ocupacao_DW[[#This Row],[Concat]],Vagas!$H:$H,Vagas!$D:$D,"",0)</f>
        <v>0</v>
      </c>
    </row>
    <row r="395" spans="1:8" x14ac:dyDescent="0.25">
      <c r="A395" s="2">
        <v>44636</v>
      </c>
      <c r="B395" s="1"/>
      <c r="C395">
        <v>7551</v>
      </c>
      <c r="D395" s="1" t="s">
        <v>246</v>
      </c>
      <c r="E395" s="1" t="s">
        <v>5</v>
      </c>
      <c r="F395">
        <v>15</v>
      </c>
      <c r="G395" s="1" t="str">
        <f>Ocupacao_DW[[#This Row],[data]]&amp;Ocupacao_DW[[#This Row],[profissional_id]]&amp;Ocupacao_DW[[#This Row],[local_id]]</f>
        <v>44636755115</v>
      </c>
      <c r="H395" s="1">
        <f>_xlfn.XLOOKUP(Ocupacao_DW[[#This Row],[Concat]],Vagas!$H:$H,Vagas!$D:$D,"",0)</f>
        <v>0</v>
      </c>
    </row>
    <row r="396" spans="1:8" x14ac:dyDescent="0.25">
      <c r="A396" s="2">
        <v>44635</v>
      </c>
      <c r="B396" s="1"/>
      <c r="C396">
        <v>9111</v>
      </c>
      <c r="D396" s="1" t="s">
        <v>206</v>
      </c>
      <c r="E396" s="1" t="s">
        <v>4</v>
      </c>
      <c r="F396">
        <v>335</v>
      </c>
      <c r="G396" s="1" t="str">
        <f>Ocupacao_DW[[#This Row],[data]]&amp;Ocupacao_DW[[#This Row],[profissional_id]]&amp;Ocupacao_DW[[#This Row],[local_id]]</f>
        <v>446359111335</v>
      </c>
      <c r="H396" s="1">
        <f>_xlfn.XLOOKUP(Ocupacao_DW[[#This Row],[Concat]],Vagas!$H:$H,Vagas!$D:$D,"",0)</f>
        <v>0</v>
      </c>
    </row>
    <row r="397" spans="1:8" x14ac:dyDescent="0.25">
      <c r="A397" s="2">
        <v>44637</v>
      </c>
      <c r="B397" s="1"/>
      <c r="C397">
        <v>266</v>
      </c>
      <c r="D397" s="1" t="s">
        <v>201</v>
      </c>
      <c r="E397" s="1" t="s">
        <v>4</v>
      </c>
      <c r="F397">
        <v>42</v>
      </c>
      <c r="G397" s="1" t="str">
        <f>Ocupacao_DW[[#This Row],[data]]&amp;Ocupacao_DW[[#This Row],[profissional_id]]&amp;Ocupacao_DW[[#This Row],[local_id]]</f>
        <v>4463726642</v>
      </c>
      <c r="H397" s="1">
        <f>_xlfn.XLOOKUP(Ocupacao_DW[[#This Row],[Concat]],Vagas!$H:$H,Vagas!$D:$D,"",0)</f>
        <v>0</v>
      </c>
    </row>
    <row r="398" spans="1:8" x14ac:dyDescent="0.25">
      <c r="A398" s="2">
        <v>44643</v>
      </c>
      <c r="B398" s="1"/>
      <c r="C398">
        <v>12519</v>
      </c>
      <c r="D398" s="1" t="s">
        <v>176</v>
      </c>
      <c r="E398" s="1"/>
      <c r="F398">
        <v>0</v>
      </c>
      <c r="G398" s="1" t="str">
        <f>Ocupacao_DW[[#This Row],[data]]&amp;Ocupacao_DW[[#This Row],[profissional_id]]&amp;Ocupacao_DW[[#This Row],[local_id]]</f>
        <v>44643125190</v>
      </c>
      <c r="H398" s="1" t="str">
        <f>_xlfn.XLOOKUP(Ocupacao_DW[[#This Row],[Concat]],Vagas!$H:$H,Vagas!$D:$D,"",0)</f>
        <v/>
      </c>
    </row>
    <row r="399" spans="1:8" x14ac:dyDescent="0.25">
      <c r="A399" s="2">
        <v>44643</v>
      </c>
      <c r="B399" s="1"/>
      <c r="C399">
        <v>2396</v>
      </c>
      <c r="D399" s="1" t="s">
        <v>197</v>
      </c>
      <c r="E399" s="1"/>
      <c r="F399">
        <v>0</v>
      </c>
      <c r="G399" s="1" t="str">
        <f>Ocupacao_DW[[#This Row],[data]]&amp;Ocupacao_DW[[#This Row],[profissional_id]]&amp;Ocupacao_DW[[#This Row],[local_id]]</f>
        <v>4464323960</v>
      </c>
      <c r="H399" s="1" t="str">
        <f>_xlfn.XLOOKUP(Ocupacao_DW[[#This Row],[Concat]],Vagas!$H:$H,Vagas!$D:$D,"",0)</f>
        <v/>
      </c>
    </row>
    <row r="400" spans="1:8" x14ac:dyDescent="0.25">
      <c r="A400" s="2">
        <v>44643</v>
      </c>
      <c r="B400" s="1"/>
      <c r="C400">
        <v>2396</v>
      </c>
      <c r="D400" s="1" t="s">
        <v>197</v>
      </c>
      <c r="E400" s="1"/>
      <c r="F400">
        <v>0</v>
      </c>
      <c r="G400" s="1" t="str">
        <f>Ocupacao_DW[[#This Row],[data]]&amp;Ocupacao_DW[[#This Row],[profissional_id]]&amp;Ocupacao_DW[[#This Row],[local_id]]</f>
        <v>4464323960</v>
      </c>
      <c r="H400" s="1" t="str">
        <f>_xlfn.XLOOKUP(Ocupacao_DW[[#This Row],[Concat]],Vagas!$H:$H,Vagas!$D:$D,"",0)</f>
        <v/>
      </c>
    </row>
    <row r="401" spans="1:8" x14ac:dyDescent="0.25">
      <c r="A401" s="2">
        <v>44643</v>
      </c>
      <c r="B401" s="1"/>
      <c r="C401">
        <v>74</v>
      </c>
      <c r="D401" s="1" t="s">
        <v>182</v>
      </c>
      <c r="E401" s="1" t="s">
        <v>6</v>
      </c>
      <c r="F401">
        <v>7</v>
      </c>
      <c r="G401" s="1" t="str">
        <f>Ocupacao_DW[[#This Row],[data]]&amp;Ocupacao_DW[[#This Row],[profissional_id]]&amp;Ocupacao_DW[[#This Row],[local_id]]</f>
        <v>44643747</v>
      </c>
      <c r="H401" s="1">
        <f>_xlfn.XLOOKUP(Ocupacao_DW[[#This Row],[Concat]],Vagas!$H:$H,Vagas!$D:$D,"",0)</f>
        <v>0</v>
      </c>
    </row>
    <row r="402" spans="1:8" x14ac:dyDescent="0.25">
      <c r="A402" s="2">
        <v>44641</v>
      </c>
      <c r="B402" s="1"/>
      <c r="C402">
        <v>117</v>
      </c>
      <c r="D402" s="1" t="s">
        <v>180</v>
      </c>
      <c r="E402" s="1" t="s">
        <v>4</v>
      </c>
      <c r="F402">
        <v>48</v>
      </c>
      <c r="G402" s="1" t="str">
        <f>Ocupacao_DW[[#This Row],[data]]&amp;Ocupacao_DW[[#This Row],[profissional_id]]&amp;Ocupacao_DW[[#This Row],[local_id]]</f>
        <v>4464111748</v>
      </c>
      <c r="H402" s="1">
        <f>_xlfn.XLOOKUP(Ocupacao_DW[[#This Row],[Concat]],Vagas!$H:$H,Vagas!$D:$D,"",0)</f>
        <v>0</v>
      </c>
    </row>
    <row r="403" spans="1:8" x14ac:dyDescent="0.25">
      <c r="A403" s="2">
        <v>44636</v>
      </c>
      <c r="B403" s="1"/>
      <c r="C403">
        <v>80</v>
      </c>
      <c r="D403" s="1" t="s">
        <v>179</v>
      </c>
      <c r="E403" s="1" t="s">
        <v>167</v>
      </c>
      <c r="F403">
        <v>346</v>
      </c>
      <c r="G403" s="1" t="str">
        <f>Ocupacao_DW[[#This Row],[data]]&amp;Ocupacao_DW[[#This Row],[profissional_id]]&amp;Ocupacao_DW[[#This Row],[local_id]]</f>
        <v>4463680346</v>
      </c>
      <c r="H403" s="1">
        <f>_xlfn.XLOOKUP(Ocupacao_DW[[#This Row],[Concat]],Vagas!$H:$H,Vagas!$D:$D,"",0)</f>
        <v>0</v>
      </c>
    </row>
    <row r="404" spans="1:8" x14ac:dyDescent="0.25">
      <c r="A404" s="2">
        <v>44635</v>
      </c>
      <c r="B404" s="1" t="s">
        <v>70</v>
      </c>
      <c r="C404">
        <v>14237</v>
      </c>
      <c r="D404" s="1" t="s">
        <v>186</v>
      </c>
      <c r="E404" s="1" t="s">
        <v>4</v>
      </c>
      <c r="F404">
        <v>47</v>
      </c>
      <c r="G404" s="1" t="str">
        <f>Ocupacao_DW[[#This Row],[data]]&amp;Ocupacao_DW[[#This Row],[profissional_id]]&amp;Ocupacao_DW[[#This Row],[local_id]]</f>
        <v>446351423747</v>
      </c>
      <c r="H404" s="1">
        <f>_xlfn.XLOOKUP(Ocupacao_DW[[#This Row],[Concat]],Vagas!$H:$H,Vagas!$D:$D,"",0)</f>
        <v>0</v>
      </c>
    </row>
    <row r="405" spans="1:8" x14ac:dyDescent="0.25">
      <c r="A405" s="2">
        <v>44638</v>
      </c>
      <c r="B405" s="1" t="s">
        <v>43</v>
      </c>
      <c r="C405">
        <v>57</v>
      </c>
      <c r="D405" s="1" t="s">
        <v>169</v>
      </c>
      <c r="E405" s="1" t="s">
        <v>6</v>
      </c>
      <c r="F405">
        <v>8</v>
      </c>
      <c r="G405" s="1" t="str">
        <f>Ocupacao_DW[[#This Row],[data]]&amp;Ocupacao_DW[[#This Row],[profissional_id]]&amp;Ocupacao_DW[[#This Row],[local_id]]</f>
        <v>44638578</v>
      </c>
      <c r="H405" s="1">
        <f>_xlfn.XLOOKUP(Ocupacao_DW[[#This Row],[Concat]],Vagas!$H:$H,Vagas!$D:$D,"",0)</f>
        <v>0</v>
      </c>
    </row>
    <row r="406" spans="1:8" x14ac:dyDescent="0.25">
      <c r="A406" s="2">
        <v>44645</v>
      </c>
      <c r="B406" s="1"/>
      <c r="C406">
        <v>174</v>
      </c>
      <c r="D406" s="1" t="s">
        <v>230</v>
      </c>
      <c r="E406" s="1"/>
      <c r="F406">
        <v>0</v>
      </c>
      <c r="G406" s="1" t="str">
        <f>Ocupacao_DW[[#This Row],[data]]&amp;Ocupacao_DW[[#This Row],[profissional_id]]&amp;Ocupacao_DW[[#This Row],[local_id]]</f>
        <v>446451740</v>
      </c>
      <c r="H406" s="1" t="str">
        <f>_xlfn.XLOOKUP(Ocupacao_DW[[#This Row],[Concat]],Vagas!$H:$H,Vagas!$D:$D,"",0)</f>
        <v/>
      </c>
    </row>
    <row r="407" spans="1:8" x14ac:dyDescent="0.25">
      <c r="A407" s="2">
        <v>44637</v>
      </c>
      <c r="B407" s="1"/>
      <c r="C407">
        <v>12582</v>
      </c>
      <c r="D407" s="1" t="s">
        <v>190</v>
      </c>
      <c r="E407" s="1" t="s">
        <v>6</v>
      </c>
      <c r="F407">
        <v>6</v>
      </c>
      <c r="G407" s="1" t="str">
        <f>Ocupacao_DW[[#This Row],[data]]&amp;Ocupacao_DW[[#This Row],[profissional_id]]&amp;Ocupacao_DW[[#This Row],[local_id]]</f>
        <v>44637125826</v>
      </c>
      <c r="H407" s="1">
        <f>_xlfn.XLOOKUP(Ocupacao_DW[[#This Row],[Concat]],Vagas!$H:$H,Vagas!$D:$D,"",0)</f>
        <v>0</v>
      </c>
    </row>
    <row r="408" spans="1:8" x14ac:dyDescent="0.25">
      <c r="A408" s="2">
        <v>44636</v>
      </c>
      <c r="B408" s="1"/>
      <c r="C408">
        <v>6430</v>
      </c>
      <c r="D408" s="1" t="s">
        <v>188</v>
      </c>
      <c r="E408" s="1" t="s">
        <v>4</v>
      </c>
      <c r="F408">
        <v>42</v>
      </c>
      <c r="G408" s="1" t="str">
        <f>Ocupacao_DW[[#This Row],[data]]&amp;Ocupacao_DW[[#This Row],[profissional_id]]&amp;Ocupacao_DW[[#This Row],[local_id]]</f>
        <v>44636643042</v>
      </c>
      <c r="H408" s="1">
        <f>_xlfn.XLOOKUP(Ocupacao_DW[[#This Row],[Concat]],Vagas!$H:$H,Vagas!$D:$D,"",0)</f>
        <v>0</v>
      </c>
    </row>
    <row r="409" spans="1:8" x14ac:dyDescent="0.25">
      <c r="A409" s="2">
        <v>44635</v>
      </c>
      <c r="B409" s="1"/>
      <c r="C409">
        <v>14237</v>
      </c>
      <c r="D409" s="1" t="s">
        <v>186</v>
      </c>
      <c r="E409" s="1" t="s">
        <v>4</v>
      </c>
      <c r="F409">
        <v>47</v>
      </c>
      <c r="G409" s="1" t="str">
        <f>Ocupacao_DW[[#This Row],[data]]&amp;Ocupacao_DW[[#This Row],[profissional_id]]&amp;Ocupacao_DW[[#This Row],[local_id]]</f>
        <v>446351423747</v>
      </c>
      <c r="H409" s="1">
        <f>_xlfn.XLOOKUP(Ocupacao_DW[[#This Row],[Concat]],Vagas!$H:$H,Vagas!$D:$D,"",0)</f>
        <v>0</v>
      </c>
    </row>
    <row r="410" spans="1:8" x14ac:dyDescent="0.25">
      <c r="A410" s="2">
        <v>44635</v>
      </c>
      <c r="B410" s="1"/>
      <c r="C410">
        <v>12623</v>
      </c>
      <c r="D410" s="1" t="s">
        <v>258</v>
      </c>
      <c r="E410" s="1" t="s">
        <v>5</v>
      </c>
      <c r="F410">
        <v>11</v>
      </c>
      <c r="G410" s="1" t="str">
        <f>Ocupacao_DW[[#This Row],[data]]&amp;Ocupacao_DW[[#This Row],[profissional_id]]&amp;Ocupacao_DW[[#This Row],[local_id]]</f>
        <v>446351262311</v>
      </c>
      <c r="H410" s="1">
        <f>_xlfn.XLOOKUP(Ocupacao_DW[[#This Row],[Concat]],Vagas!$H:$H,Vagas!$D:$D,"",0)</f>
        <v>0</v>
      </c>
    </row>
    <row r="411" spans="1:8" x14ac:dyDescent="0.25">
      <c r="A411" s="2">
        <v>44635</v>
      </c>
      <c r="B411" s="1"/>
      <c r="C411">
        <v>14237</v>
      </c>
      <c r="D411" s="1" t="s">
        <v>186</v>
      </c>
      <c r="E411" s="1" t="s">
        <v>4</v>
      </c>
      <c r="F411">
        <v>47</v>
      </c>
      <c r="G411" s="1" t="str">
        <f>Ocupacao_DW[[#This Row],[data]]&amp;Ocupacao_DW[[#This Row],[profissional_id]]&amp;Ocupacao_DW[[#This Row],[local_id]]</f>
        <v>446351423747</v>
      </c>
      <c r="H411" s="1">
        <f>_xlfn.XLOOKUP(Ocupacao_DW[[#This Row],[Concat]],Vagas!$H:$H,Vagas!$D:$D,"",0)</f>
        <v>0</v>
      </c>
    </row>
    <row r="412" spans="1:8" x14ac:dyDescent="0.25">
      <c r="A412" s="2">
        <v>44641</v>
      </c>
      <c r="B412" s="1"/>
      <c r="C412">
        <v>6392</v>
      </c>
      <c r="D412" s="1" t="s">
        <v>173</v>
      </c>
      <c r="E412" s="1" t="s">
        <v>6</v>
      </c>
      <c r="F412">
        <v>5</v>
      </c>
      <c r="G412" s="1" t="str">
        <f>Ocupacao_DW[[#This Row],[data]]&amp;Ocupacao_DW[[#This Row],[profissional_id]]&amp;Ocupacao_DW[[#This Row],[local_id]]</f>
        <v>4464163925</v>
      </c>
      <c r="H412" s="1">
        <f>_xlfn.XLOOKUP(Ocupacao_DW[[#This Row],[Concat]],Vagas!$H:$H,Vagas!$D:$D,"",0)</f>
        <v>0</v>
      </c>
    </row>
    <row r="413" spans="1:8" x14ac:dyDescent="0.25">
      <c r="A413" s="2">
        <v>44646</v>
      </c>
      <c r="B413" s="1" t="s">
        <v>62</v>
      </c>
      <c r="C413">
        <v>4887</v>
      </c>
      <c r="D413" s="1" t="s">
        <v>168</v>
      </c>
      <c r="E413" s="1" t="s">
        <v>5</v>
      </c>
      <c r="F413">
        <v>18</v>
      </c>
      <c r="G413" s="1" t="str">
        <f>Ocupacao_DW[[#This Row],[data]]&amp;Ocupacao_DW[[#This Row],[profissional_id]]&amp;Ocupacao_DW[[#This Row],[local_id]]</f>
        <v>44646488718</v>
      </c>
      <c r="H413" s="1">
        <f>_xlfn.XLOOKUP(Ocupacao_DW[[#This Row],[Concat]],Vagas!$H:$H,Vagas!$D:$D,"",0)</f>
        <v>0</v>
      </c>
    </row>
    <row r="414" spans="1:8" x14ac:dyDescent="0.25">
      <c r="A414" s="2">
        <v>44636</v>
      </c>
      <c r="B414" s="1"/>
      <c r="C414">
        <v>12825</v>
      </c>
      <c r="D414" s="1" t="s">
        <v>177</v>
      </c>
      <c r="E414" s="1"/>
      <c r="F414">
        <v>0</v>
      </c>
      <c r="G414" s="1" t="str">
        <f>Ocupacao_DW[[#This Row],[data]]&amp;Ocupacao_DW[[#This Row],[profissional_id]]&amp;Ocupacao_DW[[#This Row],[local_id]]</f>
        <v>44636128250</v>
      </c>
      <c r="H414" s="1" t="str">
        <f>_xlfn.XLOOKUP(Ocupacao_DW[[#This Row],[Concat]],Vagas!$H:$H,Vagas!$D:$D,"",0)</f>
        <v/>
      </c>
    </row>
    <row r="415" spans="1:8" x14ac:dyDescent="0.25">
      <c r="A415" s="2">
        <v>44636</v>
      </c>
      <c r="B415" s="1"/>
      <c r="C415">
        <v>12679</v>
      </c>
      <c r="D415" s="1" t="s">
        <v>192</v>
      </c>
      <c r="E415" s="1" t="s">
        <v>5</v>
      </c>
      <c r="F415">
        <v>11</v>
      </c>
      <c r="G415" s="1" t="str">
        <f>Ocupacao_DW[[#This Row],[data]]&amp;Ocupacao_DW[[#This Row],[profissional_id]]&amp;Ocupacao_DW[[#This Row],[local_id]]</f>
        <v>446361267911</v>
      </c>
      <c r="H415" s="1">
        <f>_xlfn.XLOOKUP(Ocupacao_DW[[#This Row],[Concat]],Vagas!$H:$H,Vagas!$D:$D,"",0)</f>
        <v>0</v>
      </c>
    </row>
    <row r="416" spans="1:8" x14ac:dyDescent="0.25">
      <c r="A416" s="2">
        <v>44650</v>
      </c>
      <c r="B416" s="1"/>
      <c r="C416">
        <v>14326</v>
      </c>
      <c r="D416" s="1" t="s">
        <v>220</v>
      </c>
      <c r="E416" s="1"/>
      <c r="F416">
        <v>0</v>
      </c>
      <c r="G416" s="1" t="str">
        <f>Ocupacao_DW[[#This Row],[data]]&amp;Ocupacao_DW[[#This Row],[profissional_id]]&amp;Ocupacao_DW[[#This Row],[local_id]]</f>
        <v>44650143260</v>
      </c>
      <c r="H416" s="1" t="str">
        <f>_xlfn.XLOOKUP(Ocupacao_DW[[#This Row],[Concat]],Vagas!$H:$H,Vagas!$D:$D,"",0)</f>
        <v/>
      </c>
    </row>
    <row r="417" spans="1:8" x14ac:dyDescent="0.25">
      <c r="A417" s="2">
        <v>44635</v>
      </c>
      <c r="B417" s="1"/>
      <c r="C417">
        <v>7290</v>
      </c>
      <c r="D417" s="1" t="s">
        <v>247</v>
      </c>
      <c r="E417" s="1" t="s">
        <v>5</v>
      </c>
      <c r="F417">
        <v>18</v>
      </c>
      <c r="G417" s="1" t="str">
        <f>Ocupacao_DW[[#This Row],[data]]&amp;Ocupacao_DW[[#This Row],[profissional_id]]&amp;Ocupacao_DW[[#This Row],[local_id]]</f>
        <v>44635729018</v>
      </c>
      <c r="H417" s="1">
        <f>_xlfn.XLOOKUP(Ocupacao_DW[[#This Row],[Concat]],Vagas!$H:$H,Vagas!$D:$D,"",0)</f>
        <v>0</v>
      </c>
    </row>
    <row r="418" spans="1:8" x14ac:dyDescent="0.25">
      <c r="A418" s="2">
        <v>44636</v>
      </c>
      <c r="B418" s="1"/>
      <c r="C418">
        <v>57</v>
      </c>
      <c r="D418" s="1" t="s">
        <v>169</v>
      </c>
      <c r="E418" s="1" t="s">
        <v>6</v>
      </c>
      <c r="F418">
        <v>8</v>
      </c>
      <c r="G418" s="1" t="str">
        <f>Ocupacao_DW[[#This Row],[data]]&amp;Ocupacao_DW[[#This Row],[profissional_id]]&amp;Ocupacao_DW[[#This Row],[local_id]]</f>
        <v>44636578</v>
      </c>
      <c r="H418" s="1">
        <f>_xlfn.XLOOKUP(Ocupacao_DW[[#This Row],[Concat]],Vagas!$H:$H,Vagas!$D:$D,"",0)</f>
        <v>14</v>
      </c>
    </row>
    <row r="419" spans="1:8" x14ac:dyDescent="0.25">
      <c r="A419" s="2">
        <v>44643</v>
      </c>
      <c r="B419" s="1"/>
      <c r="C419">
        <v>73</v>
      </c>
      <c r="D419" s="1" t="s">
        <v>171</v>
      </c>
      <c r="E419" s="1" t="s">
        <v>6</v>
      </c>
      <c r="F419">
        <v>5</v>
      </c>
      <c r="G419" s="1" t="str">
        <f>Ocupacao_DW[[#This Row],[data]]&amp;Ocupacao_DW[[#This Row],[profissional_id]]&amp;Ocupacao_DW[[#This Row],[local_id]]</f>
        <v>44643735</v>
      </c>
      <c r="H419" s="1">
        <f>_xlfn.XLOOKUP(Ocupacao_DW[[#This Row],[Concat]],Vagas!$H:$H,Vagas!$D:$D,"",0)</f>
        <v>0</v>
      </c>
    </row>
    <row r="420" spans="1:8" x14ac:dyDescent="0.25">
      <c r="A420" s="2">
        <v>44635</v>
      </c>
      <c r="B420" s="1"/>
      <c r="C420">
        <v>8239</v>
      </c>
      <c r="D420" s="1" t="s">
        <v>257</v>
      </c>
      <c r="E420" s="1" t="s">
        <v>5</v>
      </c>
      <c r="F420">
        <v>14</v>
      </c>
      <c r="G420" s="1" t="str">
        <f>Ocupacao_DW[[#This Row],[data]]&amp;Ocupacao_DW[[#This Row],[profissional_id]]&amp;Ocupacao_DW[[#This Row],[local_id]]</f>
        <v>44635823914</v>
      </c>
      <c r="H420" s="1">
        <f>_xlfn.XLOOKUP(Ocupacao_DW[[#This Row],[Concat]],Vagas!$H:$H,Vagas!$D:$D,"",0)</f>
        <v>0</v>
      </c>
    </row>
    <row r="421" spans="1:8" x14ac:dyDescent="0.25">
      <c r="A421" s="2">
        <v>44648</v>
      </c>
      <c r="B421" s="1"/>
      <c r="C421">
        <v>6392</v>
      </c>
      <c r="D421" s="1" t="s">
        <v>173</v>
      </c>
      <c r="E421" s="1" t="s">
        <v>6</v>
      </c>
      <c r="F421">
        <v>5</v>
      </c>
      <c r="G421" s="1" t="str">
        <f>Ocupacao_DW[[#This Row],[data]]&amp;Ocupacao_DW[[#This Row],[profissional_id]]&amp;Ocupacao_DW[[#This Row],[local_id]]</f>
        <v>4464863925</v>
      </c>
      <c r="H421" s="1">
        <f>_xlfn.XLOOKUP(Ocupacao_DW[[#This Row],[Concat]],Vagas!$H:$H,Vagas!$D:$D,"",0)</f>
        <v>0</v>
      </c>
    </row>
    <row r="422" spans="1:8" x14ac:dyDescent="0.25">
      <c r="A422" s="2">
        <v>44636</v>
      </c>
      <c r="B422" s="1"/>
      <c r="C422">
        <v>12825</v>
      </c>
      <c r="D422" s="1" t="s">
        <v>177</v>
      </c>
      <c r="E422" s="1"/>
      <c r="F422">
        <v>0</v>
      </c>
      <c r="G422" s="1" t="str">
        <f>Ocupacao_DW[[#This Row],[data]]&amp;Ocupacao_DW[[#This Row],[profissional_id]]&amp;Ocupacao_DW[[#This Row],[local_id]]</f>
        <v>44636128250</v>
      </c>
      <c r="H422" s="1" t="str">
        <f>_xlfn.XLOOKUP(Ocupacao_DW[[#This Row],[Concat]],Vagas!$H:$H,Vagas!$D:$D,"",0)</f>
        <v/>
      </c>
    </row>
    <row r="423" spans="1:8" x14ac:dyDescent="0.25">
      <c r="A423" s="2">
        <v>44641</v>
      </c>
      <c r="B423" s="1"/>
      <c r="C423">
        <v>117</v>
      </c>
      <c r="D423" s="1" t="s">
        <v>180</v>
      </c>
      <c r="E423" s="1" t="s">
        <v>4</v>
      </c>
      <c r="F423">
        <v>48</v>
      </c>
      <c r="G423" s="1" t="str">
        <f>Ocupacao_DW[[#This Row],[data]]&amp;Ocupacao_DW[[#This Row],[profissional_id]]&amp;Ocupacao_DW[[#This Row],[local_id]]</f>
        <v>4464111748</v>
      </c>
      <c r="H423" s="1">
        <f>_xlfn.XLOOKUP(Ocupacao_DW[[#This Row],[Concat]],Vagas!$H:$H,Vagas!$D:$D,"",0)</f>
        <v>0</v>
      </c>
    </row>
    <row r="424" spans="1:8" x14ac:dyDescent="0.25">
      <c r="A424" s="2">
        <v>44635</v>
      </c>
      <c r="B424" s="1"/>
      <c r="C424">
        <v>110</v>
      </c>
      <c r="D424" s="1" t="s">
        <v>193</v>
      </c>
      <c r="E424" s="1" t="s">
        <v>4</v>
      </c>
      <c r="F424">
        <v>334</v>
      </c>
      <c r="G424" s="1" t="str">
        <f>Ocupacao_DW[[#This Row],[data]]&amp;Ocupacao_DW[[#This Row],[profissional_id]]&amp;Ocupacao_DW[[#This Row],[local_id]]</f>
        <v>44635110334</v>
      </c>
      <c r="H424" s="1">
        <f>_xlfn.XLOOKUP(Ocupacao_DW[[#This Row],[Concat]],Vagas!$H:$H,Vagas!$D:$D,"",0)</f>
        <v>0</v>
      </c>
    </row>
    <row r="425" spans="1:8" x14ac:dyDescent="0.25">
      <c r="A425" s="2">
        <v>44636</v>
      </c>
      <c r="B425" s="1"/>
      <c r="C425">
        <v>60</v>
      </c>
      <c r="D425" s="1" t="s">
        <v>217</v>
      </c>
      <c r="E425" s="1"/>
      <c r="F425">
        <v>0</v>
      </c>
      <c r="G425" s="1" t="str">
        <f>Ocupacao_DW[[#This Row],[data]]&amp;Ocupacao_DW[[#This Row],[profissional_id]]&amp;Ocupacao_DW[[#This Row],[local_id]]</f>
        <v>44636600</v>
      </c>
      <c r="H425" s="1" t="str">
        <f>_xlfn.XLOOKUP(Ocupacao_DW[[#This Row],[Concat]],Vagas!$H:$H,Vagas!$D:$D,"",0)</f>
        <v/>
      </c>
    </row>
    <row r="426" spans="1:8" x14ac:dyDescent="0.25">
      <c r="A426" s="2">
        <v>44637</v>
      </c>
      <c r="B426" s="1"/>
      <c r="C426">
        <v>8598</v>
      </c>
      <c r="D426" s="1" t="s">
        <v>228</v>
      </c>
      <c r="E426" s="1"/>
      <c r="F426">
        <v>0</v>
      </c>
      <c r="G426" s="1" t="str">
        <f>Ocupacao_DW[[#This Row],[data]]&amp;Ocupacao_DW[[#This Row],[profissional_id]]&amp;Ocupacao_DW[[#This Row],[local_id]]</f>
        <v>4463785980</v>
      </c>
      <c r="H426" s="1" t="str">
        <f>_xlfn.XLOOKUP(Ocupacao_DW[[#This Row],[Concat]],Vagas!$H:$H,Vagas!$D:$D,"",0)</f>
        <v/>
      </c>
    </row>
    <row r="427" spans="1:8" x14ac:dyDescent="0.25">
      <c r="A427" s="2">
        <v>44637</v>
      </c>
      <c r="B427" s="1" t="s">
        <v>52</v>
      </c>
      <c r="C427">
        <v>9217</v>
      </c>
      <c r="D427" s="1" t="s">
        <v>191</v>
      </c>
      <c r="E427" s="1" t="s">
        <v>6</v>
      </c>
      <c r="F427">
        <v>6</v>
      </c>
      <c r="G427" s="1" t="str">
        <f>Ocupacao_DW[[#This Row],[data]]&amp;Ocupacao_DW[[#This Row],[profissional_id]]&amp;Ocupacao_DW[[#This Row],[local_id]]</f>
        <v>4463792176</v>
      </c>
      <c r="H427" s="1">
        <f>_xlfn.XLOOKUP(Ocupacao_DW[[#This Row],[Concat]],Vagas!$H:$H,Vagas!$D:$D,"",0)</f>
        <v>0</v>
      </c>
    </row>
    <row r="428" spans="1:8" x14ac:dyDescent="0.25">
      <c r="A428" s="2">
        <v>44643</v>
      </c>
      <c r="B428" s="1"/>
      <c r="C428">
        <v>13061</v>
      </c>
      <c r="D428" s="1" t="s">
        <v>232</v>
      </c>
      <c r="E428" s="1"/>
      <c r="F428">
        <v>0</v>
      </c>
      <c r="G428" s="1" t="str">
        <f>Ocupacao_DW[[#This Row],[data]]&amp;Ocupacao_DW[[#This Row],[profissional_id]]&amp;Ocupacao_DW[[#This Row],[local_id]]</f>
        <v>44643130610</v>
      </c>
      <c r="H428" s="1" t="str">
        <f>_xlfn.XLOOKUP(Ocupacao_DW[[#This Row],[Concat]],Vagas!$H:$H,Vagas!$D:$D,"",0)</f>
        <v/>
      </c>
    </row>
    <row r="429" spans="1:8" x14ac:dyDescent="0.25">
      <c r="A429" s="2">
        <v>44644</v>
      </c>
      <c r="B429" s="1"/>
      <c r="C429">
        <v>74</v>
      </c>
      <c r="D429" s="1" t="s">
        <v>182</v>
      </c>
      <c r="E429" s="1" t="s">
        <v>6</v>
      </c>
      <c r="F429">
        <v>7</v>
      </c>
      <c r="G429" s="1" t="str">
        <f>Ocupacao_DW[[#This Row],[data]]&amp;Ocupacao_DW[[#This Row],[profissional_id]]&amp;Ocupacao_DW[[#This Row],[local_id]]</f>
        <v>44644747</v>
      </c>
      <c r="H429" s="1">
        <f>_xlfn.XLOOKUP(Ocupacao_DW[[#This Row],[Concat]],Vagas!$H:$H,Vagas!$D:$D,"",0)</f>
        <v>0</v>
      </c>
    </row>
    <row r="430" spans="1:8" x14ac:dyDescent="0.25">
      <c r="A430" s="2">
        <v>44646</v>
      </c>
      <c r="B430" s="1"/>
      <c r="C430">
        <v>4887</v>
      </c>
      <c r="D430" s="1" t="s">
        <v>168</v>
      </c>
      <c r="E430" s="1" t="s">
        <v>5</v>
      </c>
      <c r="F430">
        <v>18</v>
      </c>
      <c r="G430" s="1" t="str">
        <f>Ocupacao_DW[[#This Row],[data]]&amp;Ocupacao_DW[[#This Row],[profissional_id]]&amp;Ocupacao_DW[[#This Row],[local_id]]</f>
        <v>44646488718</v>
      </c>
      <c r="H430" s="1">
        <f>_xlfn.XLOOKUP(Ocupacao_DW[[#This Row],[Concat]],Vagas!$H:$H,Vagas!$D:$D,"",0)</f>
        <v>0</v>
      </c>
    </row>
    <row r="431" spans="1:8" x14ac:dyDescent="0.25">
      <c r="A431" s="2">
        <v>44638</v>
      </c>
      <c r="B431" s="1"/>
      <c r="C431">
        <v>13660</v>
      </c>
      <c r="D431" s="1" t="s">
        <v>250</v>
      </c>
      <c r="E431" s="1" t="s">
        <v>5</v>
      </c>
      <c r="F431">
        <v>17</v>
      </c>
      <c r="G431" s="1" t="str">
        <f>Ocupacao_DW[[#This Row],[data]]&amp;Ocupacao_DW[[#This Row],[profissional_id]]&amp;Ocupacao_DW[[#This Row],[local_id]]</f>
        <v>446381366017</v>
      </c>
      <c r="H431" s="1">
        <f>_xlfn.XLOOKUP(Ocupacao_DW[[#This Row],[Concat]],Vagas!$H:$H,Vagas!$D:$D,"",0)</f>
        <v>0</v>
      </c>
    </row>
    <row r="432" spans="1:8" x14ac:dyDescent="0.25">
      <c r="A432" s="2">
        <v>44637</v>
      </c>
      <c r="B432" s="1" t="s">
        <v>56</v>
      </c>
      <c r="C432">
        <v>5822</v>
      </c>
      <c r="D432" s="1" t="s">
        <v>194</v>
      </c>
      <c r="E432" s="1" t="s">
        <v>5</v>
      </c>
      <c r="F432">
        <v>11</v>
      </c>
      <c r="G432" s="1" t="str">
        <f>Ocupacao_DW[[#This Row],[data]]&amp;Ocupacao_DW[[#This Row],[profissional_id]]&amp;Ocupacao_DW[[#This Row],[local_id]]</f>
        <v>44637582211</v>
      </c>
      <c r="H432" s="1">
        <f>_xlfn.XLOOKUP(Ocupacao_DW[[#This Row],[Concat]],Vagas!$H:$H,Vagas!$D:$D,"",0)</f>
        <v>0</v>
      </c>
    </row>
    <row r="433" spans="1:8" x14ac:dyDescent="0.25">
      <c r="A433" s="2">
        <v>44635</v>
      </c>
      <c r="B433" s="1"/>
      <c r="C433">
        <v>14237</v>
      </c>
      <c r="D433" s="1" t="s">
        <v>186</v>
      </c>
      <c r="E433" s="1" t="s">
        <v>4</v>
      </c>
      <c r="F433">
        <v>47</v>
      </c>
      <c r="G433" s="1" t="str">
        <f>Ocupacao_DW[[#This Row],[data]]&amp;Ocupacao_DW[[#This Row],[profissional_id]]&amp;Ocupacao_DW[[#This Row],[local_id]]</f>
        <v>446351423747</v>
      </c>
      <c r="H433" s="1">
        <f>_xlfn.XLOOKUP(Ocupacao_DW[[#This Row],[Concat]],Vagas!$H:$H,Vagas!$D:$D,"",0)</f>
        <v>0</v>
      </c>
    </row>
    <row r="434" spans="1:8" x14ac:dyDescent="0.25">
      <c r="A434" s="2">
        <v>44642</v>
      </c>
      <c r="B434" s="1"/>
      <c r="C434">
        <v>12669</v>
      </c>
      <c r="D434" s="1" t="s">
        <v>223</v>
      </c>
      <c r="E434" s="1" t="s">
        <v>167</v>
      </c>
      <c r="F434">
        <v>342</v>
      </c>
      <c r="G434" s="1" t="str">
        <f>Ocupacao_DW[[#This Row],[data]]&amp;Ocupacao_DW[[#This Row],[profissional_id]]&amp;Ocupacao_DW[[#This Row],[local_id]]</f>
        <v>4464212669342</v>
      </c>
      <c r="H434" s="1" t="str">
        <f>_xlfn.XLOOKUP(Ocupacao_DW[[#This Row],[Concat]],Vagas!$H:$H,Vagas!$D:$D,"",0)</f>
        <v/>
      </c>
    </row>
    <row r="435" spans="1:8" x14ac:dyDescent="0.25">
      <c r="A435" s="2">
        <v>44638</v>
      </c>
      <c r="B435" s="1"/>
      <c r="C435">
        <v>57</v>
      </c>
      <c r="D435" s="1" t="s">
        <v>169</v>
      </c>
      <c r="E435" s="1" t="s">
        <v>6</v>
      </c>
      <c r="F435">
        <v>8</v>
      </c>
      <c r="G435" s="1" t="str">
        <f>Ocupacao_DW[[#This Row],[data]]&amp;Ocupacao_DW[[#This Row],[profissional_id]]&amp;Ocupacao_DW[[#This Row],[local_id]]</f>
        <v>44638578</v>
      </c>
      <c r="H435" s="1">
        <f>_xlfn.XLOOKUP(Ocupacao_DW[[#This Row],[Concat]],Vagas!$H:$H,Vagas!$D:$D,"",0)</f>
        <v>0</v>
      </c>
    </row>
    <row r="436" spans="1:8" x14ac:dyDescent="0.25">
      <c r="A436" s="2">
        <v>44648</v>
      </c>
      <c r="B436" s="1"/>
      <c r="C436">
        <v>6392</v>
      </c>
      <c r="D436" s="1" t="s">
        <v>173</v>
      </c>
      <c r="E436" s="1" t="s">
        <v>6</v>
      </c>
      <c r="F436">
        <v>5</v>
      </c>
      <c r="G436" s="1" t="str">
        <f>Ocupacao_DW[[#This Row],[data]]&amp;Ocupacao_DW[[#This Row],[profissional_id]]&amp;Ocupacao_DW[[#This Row],[local_id]]</f>
        <v>4464863925</v>
      </c>
      <c r="H436" s="1">
        <f>_xlfn.XLOOKUP(Ocupacao_DW[[#This Row],[Concat]],Vagas!$H:$H,Vagas!$D:$D,"",0)</f>
        <v>0</v>
      </c>
    </row>
    <row r="437" spans="1:8" x14ac:dyDescent="0.25">
      <c r="A437" s="2">
        <v>44638</v>
      </c>
      <c r="B437" s="1" t="s">
        <v>55</v>
      </c>
      <c r="C437">
        <v>13835</v>
      </c>
      <c r="D437" s="1" t="s">
        <v>225</v>
      </c>
      <c r="E437" s="1" t="s">
        <v>6</v>
      </c>
      <c r="F437">
        <v>3</v>
      </c>
      <c r="G437" s="1" t="str">
        <f>Ocupacao_DW[[#This Row],[data]]&amp;Ocupacao_DW[[#This Row],[profissional_id]]&amp;Ocupacao_DW[[#This Row],[local_id]]</f>
        <v>44638138353</v>
      </c>
      <c r="H437" s="1" t="str">
        <f>_xlfn.XLOOKUP(Ocupacao_DW[[#This Row],[Concat]],Vagas!$H:$H,Vagas!$D:$D,"",0)</f>
        <v/>
      </c>
    </row>
    <row r="438" spans="1:8" x14ac:dyDescent="0.25">
      <c r="A438" s="2">
        <v>44646</v>
      </c>
      <c r="B438" s="1"/>
      <c r="C438">
        <v>4887</v>
      </c>
      <c r="D438" s="1" t="s">
        <v>168</v>
      </c>
      <c r="E438" s="1" t="s">
        <v>5</v>
      </c>
      <c r="F438">
        <v>18</v>
      </c>
      <c r="G438" s="1" t="str">
        <f>Ocupacao_DW[[#This Row],[data]]&amp;Ocupacao_DW[[#This Row],[profissional_id]]&amp;Ocupacao_DW[[#This Row],[local_id]]</f>
        <v>44646488718</v>
      </c>
      <c r="H438" s="1">
        <f>_xlfn.XLOOKUP(Ocupacao_DW[[#This Row],[Concat]],Vagas!$H:$H,Vagas!$D:$D,"",0)</f>
        <v>0</v>
      </c>
    </row>
    <row r="439" spans="1:8" x14ac:dyDescent="0.25">
      <c r="A439" s="2">
        <v>44636</v>
      </c>
      <c r="B439" s="1"/>
      <c r="C439">
        <v>57</v>
      </c>
      <c r="D439" s="1" t="s">
        <v>169</v>
      </c>
      <c r="E439" s="1" t="s">
        <v>6</v>
      </c>
      <c r="F439">
        <v>8</v>
      </c>
      <c r="G439" s="1" t="str">
        <f>Ocupacao_DW[[#This Row],[data]]&amp;Ocupacao_DW[[#This Row],[profissional_id]]&amp;Ocupacao_DW[[#This Row],[local_id]]</f>
        <v>44636578</v>
      </c>
      <c r="H439" s="1">
        <f>_xlfn.XLOOKUP(Ocupacao_DW[[#This Row],[Concat]],Vagas!$H:$H,Vagas!$D:$D,"",0)</f>
        <v>14</v>
      </c>
    </row>
    <row r="440" spans="1:8" x14ac:dyDescent="0.25">
      <c r="A440" s="2">
        <v>44638</v>
      </c>
      <c r="B440" s="1"/>
      <c r="C440">
        <v>2984</v>
      </c>
      <c r="D440" s="1" t="s">
        <v>185</v>
      </c>
      <c r="E440" s="1" t="s">
        <v>6</v>
      </c>
      <c r="F440">
        <v>7</v>
      </c>
      <c r="G440" s="1" t="str">
        <f>Ocupacao_DW[[#This Row],[data]]&amp;Ocupacao_DW[[#This Row],[profissional_id]]&amp;Ocupacao_DW[[#This Row],[local_id]]</f>
        <v>4463829847</v>
      </c>
      <c r="H440" s="1">
        <f>_xlfn.XLOOKUP(Ocupacao_DW[[#This Row],[Concat]],Vagas!$H:$H,Vagas!$D:$D,"",0)</f>
        <v>0</v>
      </c>
    </row>
    <row r="441" spans="1:8" x14ac:dyDescent="0.25">
      <c r="A441" s="2">
        <v>44639</v>
      </c>
      <c r="B441" s="1"/>
      <c r="C441">
        <v>13756</v>
      </c>
      <c r="D441" s="1" t="s">
        <v>202</v>
      </c>
      <c r="E441" s="1" t="s">
        <v>4</v>
      </c>
      <c r="F441">
        <v>44</v>
      </c>
      <c r="G441" s="1" t="str">
        <f>Ocupacao_DW[[#This Row],[data]]&amp;Ocupacao_DW[[#This Row],[profissional_id]]&amp;Ocupacao_DW[[#This Row],[local_id]]</f>
        <v>446391375644</v>
      </c>
      <c r="H441" s="1">
        <f>_xlfn.XLOOKUP(Ocupacao_DW[[#This Row],[Concat]],Vagas!$H:$H,Vagas!$D:$D,"",0)</f>
        <v>0</v>
      </c>
    </row>
    <row r="442" spans="1:8" x14ac:dyDescent="0.25">
      <c r="A442" s="2">
        <v>44637</v>
      </c>
      <c r="B442" s="1"/>
      <c r="C442">
        <v>10691</v>
      </c>
      <c r="D442" s="1" t="s">
        <v>181</v>
      </c>
      <c r="E442" s="1"/>
      <c r="F442">
        <v>0</v>
      </c>
      <c r="G442" s="1" t="str">
        <f>Ocupacao_DW[[#This Row],[data]]&amp;Ocupacao_DW[[#This Row],[profissional_id]]&amp;Ocupacao_DW[[#This Row],[local_id]]</f>
        <v>44637106910</v>
      </c>
      <c r="H442" s="1" t="str">
        <f>_xlfn.XLOOKUP(Ocupacao_DW[[#This Row],[Concat]],Vagas!$H:$H,Vagas!$D:$D,"",0)</f>
        <v/>
      </c>
    </row>
    <row r="443" spans="1:8" x14ac:dyDescent="0.25">
      <c r="A443" s="2">
        <v>44638</v>
      </c>
      <c r="B443" s="1" t="s">
        <v>55</v>
      </c>
      <c r="C443">
        <v>13835</v>
      </c>
      <c r="D443" s="1" t="s">
        <v>225</v>
      </c>
      <c r="E443" s="1" t="s">
        <v>6</v>
      </c>
      <c r="F443">
        <v>3</v>
      </c>
      <c r="G443" s="1" t="str">
        <f>Ocupacao_DW[[#This Row],[data]]&amp;Ocupacao_DW[[#This Row],[profissional_id]]&amp;Ocupacao_DW[[#This Row],[local_id]]</f>
        <v>44638138353</v>
      </c>
      <c r="H443" s="1" t="str">
        <f>_xlfn.XLOOKUP(Ocupacao_DW[[#This Row],[Concat]],Vagas!$H:$H,Vagas!$D:$D,"",0)</f>
        <v/>
      </c>
    </row>
    <row r="444" spans="1:8" x14ac:dyDescent="0.25">
      <c r="A444" s="2">
        <v>44635</v>
      </c>
      <c r="B444" s="1"/>
      <c r="C444">
        <v>11237</v>
      </c>
      <c r="D444" s="1" t="s">
        <v>229</v>
      </c>
      <c r="E444" s="1" t="s">
        <v>4</v>
      </c>
      <c r="F444">
        <v>46</v>
      </c>
      <c r="G444" s="1" t="str">
        <f>Ocupacao_DW[[#This Row],[data]]&amp;Ocupacao_DW[[#This Row],[profissional_id]]&amp;Ocupacao_DW[[#This Row],[local_id]]</f>
        <v>446351123746</v>
      </c>
      <c r="H444" s="1">
        <f>_xlfn.XLOOKUP(Ocupacao_DW[[#This Row],[Concat]],Vagas!$H:$H,Vagas!$D:$D,"",0)</f>
        <v>0</v>
      </c>
    </row>
    <row r="445" spans="1:8" x14ac:dyDescent="0.25">
      <c r="A445" s="2">
        <v>44636</v>
      </c>
      <c r="B445" s="1"/>
      <c r="C445">
        <v>6430</v>
      </c>
      <c r="D445" s="1" t="s">
        <v>188</v>
      </c>
      <c r="E445" s="1" t="s">
        <v>4</v>
      </c>
      <c r="F445">
        <v>42</v>
      </c>
      <c r="G445" s="1" t="str">
        <f>Ocupacao_DW[[#This Row],[data]]&amp;Ocupacao_DW[[#This Row],[profissional_id]]&amp;Ocupacao_DW[[#This Row],[local_id]]</f>
        <v>44636643042</v>
      </c>
      <c r="H445" s="1">
        <f>_xlfn.XLOOKUP(Ocupacao_DW[[#This Row],[Concat]],Vagas!$H:$H,Vagas!$D:$D,"",0)</f>
        <v>0</v>
      </c>
    </row>
    <row r="446" spans="1:8" x14ac:dyDescent="0.25">
      <c r="A446" s="2">
        <v>44636</v>
      </c>
      <c r="B446" s="1"/>
      <c r="C446">
        <v>57</v>
      </c>
      <c r="D446" s="1" t="s">
        <v>169</v>
      </c>
      <c r="E446" s="1" t="s">
        <v>6</v>
      </c>
      <c r="F446">
        <v>8</v>
      </c>
      <c r="G446" s="1" t="str">
        <f>Ocupacao_DW[[#This Row],[data]]&amp;Ocupacao_DW[[#This Row],[profissional_id]]&amp;Ocupacao_DW[[#This Row],[local_id]]</f>
        <v>44636578</v>
      </c>
      <c r="H446" s="1">
        <f>_xlfn.XLOOKUP(Ocupacao_DW[[#This Row],[Concat]],Vagas!$H:$H,Vagas!$D:$D,"",0)</f>
        <v>14</v>
      </c>
    </row>
    <row r="447" spans="1:8" x14ac:dyDescent="0.25">
      <c r="A447" s="2">
        <v>44636</v>
      </c>
      <c r="B447" s="1"/>
      <c r="C447">
        <v>57</v>
      </c>
      <c r="D447" s="1" t="s">
        <v>169</v>
      </c>
      <c r="E447" s="1" t="s">
        <v>6</v>
      </c>
      <c r="F447">
        <v>8</v>
      </c>
      <c r="G447" s="1" t="str">
        <f>Ocupacao_DW[[#This Row],[data]]&amp;Ocupacao_DW[[#This Row],[profissional_id]]&amp;Ocupacao_DW[[#This Row],[local_id]]</f>
        <v>44636578</v>
      </c>
      <c r="H447" s="1">
        <f>_xlfn.XLOOKUP(Ocupacao_DW[[#This Row],[Concat]],Vagas!$H:$H,Vagas!$D:$D,"",0)</f>
        <v>14</v>
      </c>
    </row>
    <row r="448" spans="1:8" x14ac:dyDescent="0.25">
      <c r="A448" s="2">
        <v>44645</v>
      </c>
      <c r="B448" s="1"/>
      <c r="C448">
        <v>2984</v>
      </c>
      <c r="D448" s="1" t="s">
        <v>185</v>
      </c>
      <c r="E448" s="1" t="s">
        <v>6</v>
      </c>
      <c r="F448">
        <v>7</v>
      </c>
      <c r="G448" s="1" t="str">
        <f>Ocupacao_DW[[#This Row],[data]]&amp;Ocupacao_DW[[#This Row],[profissional_id]]&amp;Ocupacao_DW[[#This Row],[local_id]]</f>
        <v>4464529847</v>
      </c>
      <c r="H448" s="1">
        <f>_xlfn.XLOOKUP(Ocupacao_DW[[#This Row],[Concat]],Vagas!$H:$H,Vagas!$D:$D,"",0)</f>
        <v>0</v>
      </c>
    </row>
    <row r="449" spans="1:8" x14ac:dyDescent="0.25">
      <c r="A449" s="2">
        <v>44637</v>
      </c>
      <c r="B449" s="1"/>
      <c r="C449">
        <v>12426</v>
      </c>
      <c r="D449" s="1" t="s">
        <v>215</v>
      </c>
      <c r="E449" s="1" t="s">
        <v>6</v>
      </c>
      <c r="F449">
        <v>5</v>
      </c>
      <c r="G449" s="1" t="str">
        <f>Ocupacao_DW[[#This Row],[data]]&amp;Ocupacao_DW[[#This Row],[profissional_id]]&amp;Ocupacao_DW[[#This Row],[local_id]]</f>
        <v>44637124265</v>
      </c>
      <c r="H449" s="1">
        <f>_xlfn.XLOOKUP(Ocupacao_DW[[#This Row],[Concat]],Vagas!$H:$H,Vagas!$D:$D,"",0)</f>
        <v>0</v>
      </c>
    </row>
    <row r="450" spans="1:8" x14ac:dyDescent="0.25">
      <c r="A450" s="2">
        <v>44636</v>
      </c>
      <c r="B450" s="1"/>
      <c r="C450">
        <v>73</v>
      </c>
      <c r="D450" s="1" t="s">
        <v>171</v>
      </c>
      <c r="E450" s="1" t="s">
        <v>6</v>
      </c>
      <c r="F450">
        <v>5</v>
      </c>
      <c r="G450" s="1" t="str">
        <f>Ocupacao_DW[[#This Row],[data]]&amp;Ocupacao_DW[[#This Row],[profissional_id]]&amp;Ocupacao_DW[[#This Row],[local_id]]</f>
        <v>44636735</v>
      </c>
      <c r="H450" s="1">
        <f>_xlfn.XLOOKUP(Ocupacao_DW[[#This Row],[Concat]],Vagas!$H:$H,Vagas!$D:$D,"",0)</f>
        <v>0</v>
      </c>
    </row>
    <row r="451" spans="1:8" x14ac:dyDescent="0.25">
      <c r="A451" s="2">
        <v>44641</v>
      </c>
      <c r="B451" s="1" t="s">
        <v>56</v>
      </c>
      <c r="C451">
        <v>75</v>
      </c>
      <c r="D451" s="1" t="s">
        <v>208</v>
      </c>
      <c r="E451" s="1" t="s">
        <v>5</v>
      </c>
      <c r="F451">
        <v>15</v>
      </c>
      <c r="G451" s="1" t="str">
        <f>Ocupacao_DW[[#This Row],[data]]&amp;Ocupacao_DW[[#This Row],[profissional_id]]&amp;Ocupacao_DW[[#This Row],[local_id]]</f>
        <v>446417515</v>
      </c>
      <c r="H451" s="1">
        <f>_xlfn.XLOOKUP(Ocupacao_DW[[#This Row],[Concat]],Vagas!$H:$H,Vagas!$D:$D,"",0)</f>
        <v>0</v>
      </c>
    </row>
    <row r="452" spans="1:8" x14ac:dyDescent="0.25">
      <c r="A452" s="2">
        <v>44635</v>
      </c>
      <c r="B452" s="1" t="s">
        <v>53</v>
      </c>
      <c r="C452">
        <v>9138</v>
      </c>
      <c r="D452" s="1" t="s">
        <v>184</v>
      </c>
      <c r="E452" s="1" t="s">
        <v>167</v>
      </c>
      <c r="F452">
        <v>344</v>
      </c>
      <c r="G452" s="1" t="str">
        <f>Ocupacao_DW[[#This Row],[data]]&amp;Ocupacao_DW[[#This Row],[profissional_id]]&amp;Ocupacao_DW[[#This Row],[local_id]]</f>
        <v>446359138344</v>
      </c>
      <c r="H452" s="1">
        <f>_xlfn.XLOOKUP(Ocupacao_DW[[#This Row],[Concat]],Vagas!$H:$H,Vagas!$D:$D,"",0)</f>
        <v>0</v>
      </c>
    </row>
    <row r="453" spans="1:8" x14ac:dyDescent="0.25">
      <c r="A453" s="2">
        <v>44645</v>
      </c>
      <c r="B453" s="1" t="s">
        <v>49</v>
      </c>
      <c r="C453">
        <v>6430</v>
      </c>
      <c r="D453" s="1" t="s">
        <v>188</v>
      </c>
      <c r="E453" s="1" t="s">
        <v>4</v>
      </c>
      <c r="F453">
        <v>42</v>
      </c>
      <c r="G453" s="1" t="str">
        <f>Ocupacao_DW[[#This Row],[data]]&amp;Ocupacao_DW[[#This Row],[profissional_id]]&amp;Ocupacao_DW[[#This Row],[local_id]]</f>
        <v>44645643042</v>
      </c>
      <c r="H453" s="1">
        <f>_xlfn.XLOOKUP(Ocupacao_DW[[#This Row],[Concat]],Vagas!$H:$H,Vagas!$D:$D,"",0)</f>
        <v>0</v>
      </c>
    </row>
    <row r="454" spans="1:8" x14ac:dyDescent="0.25">
      <c r="A454" s="2">
        <v>44643</v>
      </c>
      <c r="B454" s="1" t="s">
        <v>70</v>
      </c>
      <c r="C454">
        <v>12519</v>
      </c>
      <c r="D454" s="1" t="s">
        <v>176</v>
      </c>
      <c r="E454" s="1" t="s">
        <v>4</v>
      </c>
      <c r="F454">
        <v>48</v>
      </c>
      <c r="G454" s="1" t="str">
        <f>Ocupacao_DW[[#This Row],[data]]&amp;Ocupacao_DW[[#This Row],[profissional_id]]&amp;Ocupacao_DW[[#This Row],[local_id]]</f>
        <v>446431251948</v>
      </c>
      <c r="H454" s="1">
        <f>_xlfn.XLOOKUP(Ocupacao_DW[[#This Row],[Concat]],Vagas!$H:$H,Vagas!$D:$D,"",0)</f>
        <v>0</v>
      </c>
    </row>
    <row r="455" spans="1:8" x14ac:dyDescent="0.25">
      <c r="A455" s="2">
        <v>44637</v>
      </c>
      <c r="B455" s="1" t="s">
        <v>67</v>
      </c>
      <c r="C455">
        <v>10717</v>
      </c>
      <c r="D455" s="1" t="s">
        <v>245</v>
      </c>
      <c r="E455" s="1" t="s">
        <v>200</v>
      </c>
      <c r="F455">
        <v>78</v>
      </c>
      <c r="G455" s="1" t="str">
        <f>Ocupacao_DW[[#This Row],[data]]&amp;Ocupacao_DW[[#This Row],[profissional_id]]&amp;Ocupacao_DW[[#This Row],[local_id]]</f>
        <v>446371071778</v>
      </c>
      <c r="H455" s="1">
        <f>_xlfn.XLOOKUP(Ocupacao_DW[[#This Row],[Concat]],Vagas!$H:$H,Vagas!$D:$D,"",0)</f>
        <v>0</v>
      </c>
    </row>
    <row r="456" spans="1:8" x14ac:dyDescent="0.25">
      <c r="A456" s="2">
        <v>44641</v>
      </c>
      <c r="B456" s="1" t="s">
        <v>49</v>
      </c>
      <c r="C456">
        <v>81</v>
      </c>
      <c r="D456" s="1" t="s">
        <v>170</v>
      </c>
      <c r="E456" s="1" t="s">
        <v>4</v>
      </c>
      <c r="F456">
        <v>41</v>
      </c>
      <c r="G456" s="1" t="str">
        <f>Ocupacao_DW[[#This Row],[data]]&amp;Ocupacao_DW[[#This Row],[profissional_id]]&amp;Ocupacao_DW[[#This Row],[local_id]]</f>
        <v>446418141</v>
      </c>
      <c r="H456" s="1">
        <f>_xlfn.XLOOKUP(Ocupacao_DW[[#This Row],[Concat]],Vagas!$H:$H,Vagas!$D:$D,"",0)</f>
        <v>0</v>
      </c>
    </row>
    <row r="457" spans="1:8" x14ac:dyDescent="0.25">
      <c r="A457" s="2">
        <v>44642</v>
      </c>
      <c r="B457" s="1" t="s">
        <v>70</v>
      </c>
      <c r="C457">
        <v>14237</v>
      </c>
      <c r="D457" s="1" t="s">
        <v>186</v>
      </c>
      <c r="E457" s="1" t="s">
        <v>4</v>
      </c>
      <c r="F457">
        <v>47</v>
      </c>
      <c r="G457" s="1" t="str">
        <f>Ocupacao_DW[[#This Row],[data]]&amp;Ocupacao_DW[[#This Row],[profissional_id]]&amp;Ocupacao_DW[[#This Row],[local_id]]</f>
        <v>446421423747</v>
      </c>
      <c r="H457" s="1">
        <f>_xlfn.XLOOKUP(Ocupacao_DW[[#This Row],[Concat]],Vagas!$H:$H,Vagas!$D:$D,"",0)</f>
        <v>0</v>
      </c>
    </row>
    <row r="458" spans="1:8" x14ac:dyDescent="0.25">
      <c r="A458" s="2">
        <v>44639</v>
      </c>
      <c r="B458" s="1"/>
      <c r="C458">
        <v>0</v>
      </c>
      <c r="D458" s="1"/>
      <c r="E458" s="1" t="s">
        <v>4</v>
      </c>
      <c r="F458">
        <v>51</v>
      </c>
      <c r="G458" s="1" t="str">
        <f>Ocupacao_DW[[#This Row],[data]]&amp;Ocupacao_DW[[#This Row],[profissional_id]]&amp;Ocupacao_DW[[#This Row],[local_id]]</f>
        <v>44639051</v>
      </c>
      <c r="H458" s="1" t="str">
        <f>_xlfn.XLOOKUP(Ocupacao_DW[[#This Row],[Concat]],Vagas!$H:$H,Vagas!$D:$D,"",0)</f>
        <v/>
      </c>
    </row>
    <row r="459" spans="1:8" x14ac:dyDescent="0.25">
      <c r="A459" s="2">
        <v>44650</v>
      </c>
      <c r="B459" s="1" t="s">
        <v>70</v>
      </c>
      <c r="C459">
        <v>12519</v>
      </c>
      <c r="D459" s="1" t="s">
        <v>176</v>
      </c>
      <c r="E459" s="1" t="s">
        <v>4</v>
      </c>
      <c r="F459">
        <v>48</v>
      </c>
      <c r="G459" s="1" t="str">
        <f>Ocupacao_DW[[#This Row],[data]]&amp;Ocupacao_DW[[#This Row],[profissional_id]]&amp;Ocupacao_DW[[#This Row],[local_id]]</f>
        <v>446501251948</v>
      </c>
      <c r="H459" s="1">
        <f>_xlfn.XLOOKUP(Ocupacao_DW[[#This Row],[Concat]],Vagas!$H:$H,Vagas!$D:$D,"",0)</f>
        <v>0</v>
      </c>
    </row>
    <row r="460" spans="1:8" x14ac:dyDescent="0.25">
      <c r="A460" s="2">
        <v>44635</v>
      </c>
      <c r="B460" s="1" t="s">
        <v>43</v>
      </c>
      <c r="C460">
        <v>57</v>
      </c>
      <c r="D460" s="1" t="s">
        <v>169</v>
      </c>
      <c r="E460" s="1" t="s">
        <v>6</v>
      </c>
      <c r="F460">
        <v>2</v>
      </c>
      <c r="G460" s="1" t="str">
        <f>Ocupacao_DW[[#This Row],[data]]&amp;Ocupacao_DW[[#This Row],[profissional_id]]&amp;Ocupacao_DW[[#This Row],[local_id]]</f>
        <v>44635572</v>
      </c>
      <c r="H460" s="1">
        <f>_xlfn.XLOOKUP(Ocupacao_DW[[#This Row],[Concat]],Vagas!$H:$H,Vagas!$D:$D,"",0)</f>
        <v>0</v>
      </c>
    </row>
    <row r="461" spans="1:8" x14ac:dyDescent="0.25">
      <c r="A461" s="2">
        <v>44643</v>
      </c>
      <c r="B461" s="1" t="s">
        <v>70</v>
      </c>
      <c r="C461">
        <v>12519</v>
      </c>
      <c r="D461" s="1" t="s">
        <v>176</v>
      </c>
      <c r="E461" s="1" t="s">
        <v>4</v>
      </c>
      <c r="F461">
        <v>48</v>
      </c>
      <c r="G461" s="1" t="str">
        <f>Ocupacao_DW[[#This Row],[data]]&amp;Ocupacao_DW[[#This Row],[profissional_id]]&amp;Ocupacao_DW[[#This Row],[local_id]]</f>
        <v>446431251948</v>
      </c>
      <c r="H461" s="1">
        <f>_xlfn.XLOOKUP(Ocupacao_DW[[#This Row],[Concat]],Vagas!$H:$H,Vagas!$D:$D,"",0)</f>
        <v>0</v>
      </c>
    </row>
    <row r="462" spans="1:8" x14ac:dyDescent="0.25">
      <c r="A462" s="2">
        <v>44635</v>
      </c>
      <c r="B462" s="1"/>
      <c r="C462">
        <v>0</v>
      </c>
      <c r="D462" s="1"/>
      <c r="E462" s="1" t="s">
        <v>7</v>
      </c>
      <c r="F462">
        <v>60</v>
      </c>
      <c r="G462" s="1" t="str">
        <f>Ocupacao_DW[[#This Row],[data]]&amp;Ocupacao_DW[[#This Row],[profissional_id]]&amp;Ocupacao_DW[[#This Row],[local_id]]</f>
        <v>44635060</v>
      </c>
      <c r="H462" s="1" t="str">
        <f>_xlfn.XLOOKUP(Ocupacao_DW[[#This Row],[Concat]],Vagas!$H:$H,Vagas!$D:$D,"",0)</f>
        <v/>
      </c>
    </row>
    <row r="463" spans="1:8" x14ac:dyDescent="0.25">
      <c r="A463" s="2">
        <v>44643</v>
      </c>
      <c r="B463" s="1" t="s">
        <v>70</v>
      </c>
      <c r="C463">
        <v>12519</v>
      </c>
      <c r="D463" s="1" t="s">
        <v>176</v>
      </c>
      <c r="E463" s="1" t="s">
        <v>4</v>
      </c>
      <c r="F463">
        <v>48</v>
      </c>
      <c r="G463" s="1" t="str">
        <f>Ocupacao_DW[[#This Row],[data]]&amp;Ocupacao_DW[[#This Row],[profissional_id]]&amp;Ocupacao_DW[[#This Row],[local_id]]</f>
        <v>446431251948</v>
      </c>
      <c r="H463" s="1">
        <f>_xlfn.XLOOKUP(Ocupacao_DW[[#This Row],[Concat]],Vagas!$H:$H,Vagas!$D:$D,"",0)</f>
        <v>0</v>
      </c>
    </row>
    <row r="464" spans="1:8" x14ac:dyDescent="0.25">
      <c r="A464" s="2">
        <v>44635</v>
      </c>
      <c r="B464" s="1" t="s">
        <v>55</v>
      </c>
      <c r="C464">
        <v>73</v>
      </c>
      <c r="D464" s="1" t="s">
        <v>171</v>
      </c>
      <c r="E464" s="1" t="s">
        <v>6</v>
      </c>
      <c r="F464">
        <v>5</v>
      </c>
      <c r="G464" s="1" t="str">
        <f>Ocupacao_DW[[#This Row],[data]]&amp;Ocupacao_DW[[#This Row],[profissional_id]]&amp;Ocupacao_DW[[#This Row],[local_id]]</f>
        <v>44635735</v>
      </c>
      <c r="H464" s="1">
        <f>_xlfn.XLOOKUP(Ocupacao_DW[[#This Row],[Concat]],Vagas!$H:$H,Vagas!$D:$D,"",0)</f>
        <v>0</v>
      </c>
    </row>
    <row r="465" spans="1:8" x14ac:dyDescent="0.25">
      <c r="A465" s="2">
        <v>44636</v>
      </c>
      <c r="B465" s="1" t="s">
        <v>62</v>
      </c>
      <c r="C465">
        <v>3502</v>
      </c>
      <c r="D465" s="1" t="s">
        <v>214</v>
      </c>
      <c r="E465" s="1" t="s">
        <v>5</v>
      </c>
      <c r="F465">
        <v>16</v>
      </c>
      <c r="G465" s="1" t="str">
        <f>Ocupacao_DW[[#This Row],[data]]&amp;Ocupacao_DW[[#This Row],[profissional_id]]&amp;Ocupacao_DW[[#This Row],[local_id]]</f>
        <v>44636350216</v>
      </c>
      <c r="H465" s="1">
        <f>_xlfn.XLOOKUP(Ocupacao_DW[[#This Row],[Concat]],Vagas!$H:$H,Vagas!$D:$D,"",0)</f>
        <v>0</v>
      </c>
    </row>
    <row r="466" spans="1:8" x14ac:dyDescent="0.25">
      <c r="A466" s="2">
        <v>44637</v>
      </c>
      <c r="B466" s="1" t="s">
        <v>55</v>
      </c>
      <c r="C466">
        <v>12426</v>
      </c>
      <c r="D466" s="1" t="s">
        <v>215</v>
      </c>
      <c r="E466" s="1" t="s">
        <v>6</v>
      </c>
      <c r="F466">
        <v>5</v>
      </c>
      <c r="G466" s="1" t="str">
        <f>Ocupacao_DW[[#This Row],[data]]&amp;Ocupacao_DW[[#This Row],[profissional_id]]&amp;Ocupacao_DW[[#This Row],[local_id]]</f>
        <v>44637124265</v>
      </c>
      <c r="H466" s="1">
        <f>_xlfn.XLOOKUP(Ocupacao_DW[[#This Row],[Concat]],Vagas!$H:$H,Vagas!$D:$D,"",0)</f>
        <v>0</v>
      </c>
    </row>
    <row r="467" spans="1:8" x14ac:dyDescent="0.25">
      <c r="A467" s="2">
        <v>44639</v>
      </c>
      <c r="B467" s="1" t="s">
        <v>52</v>
      </c>
      <c r="C467">
        <v>60</v>
      </c>
      <c r="D467" s="1" t="s">
        <v>217</v>
      </c>
      <c r="E467" s="1" t="s">
        <v>6</v>
      </c>
      <c r="F467">
        <v>8</v>
      </c>
      <c r="G467" s="1" t="str">
        <f>Ocupacao_DW[[#This Row],[data]]&amp;Ocupacao_DW[[#This Row],[profissional_id]]&amp;Ocupacao_DW[[#This Row],[local_id]]</f>
        <v>44639608</v>
      </c>
      <c r="H467" s="1">
        <f>_xlfn.XLOOKUP(Ocupacao_DW[[#This Row],[Concat]],Vagas!$H:$H,Vagas!$D:$D,"",0)</f>
        <v>0</v>
      </c>
    </row>
    <row r="468" spans="1:8" x14ac:dyDescent="0.25">
      <c r="A468" s="2">
        <v>44637</v>
      </c>
      <c r="B468" s="1" t="s">
        <v>71</v>
      </c>
      <c r="C468">
        <v>282</v>
      </c>
      <c r="D468" s="1" t="s">
        <v>210</v>
      </c>
      <c r="E468" s="1" t="s">
        <v>7</v>
      </c>
      <c r="F468">
        <v>68</v>
      </c>
      <c r="G468" s="1" t="str">
        <f>Ocupacao_DW[[#This Row],[data]]&amp;Ocupacao_DW[[#This Row],[profissional_id]]&amp;Ocupacao_DW[[#This Row],[local_id]]</f>
        <v>4463728268</v>
      </c>
      <c r="H468" s="1">
        <f>_xlfn.XLOOKUP(Ocupacao_DW[[#This Row],[Concat]],Vagas!$H:$H,Vagas!$D:$D,"",0)</f>
        <v>0</v>
      </c>
    </row>
    <row r="469" spans="1:8" x14ac:dyDescent="0.25">
      <c r="A469" s="2">
        <v>44636</v>
      </c>
      <c r="B469" s="1" t="s">
        <v>52</v>
      </c>
      <c r="C469">
        <v>57</v>
      </c>
      <c r="D469" s="1" t="s">
        <v>169</v>
      </c>
      <c r="E469" s="1" t="s">
        <v>6</v>
      </c>
      <c r="F469">
        <v>4</v>
      </c>
      <c r="G469" s="1" t="str">
        <f>Ocupacao_DW[[#This Row],[data]]&amp;Ocupacao_DW[[#This Row],[profissional_id]]&amp;Ocupacao_DW[[#This Row],[local_id]]</f>
        <v>44636574</v>
      </c>
      <c r="H469" s="1">
        <f>_xlfn.XLOOKUP(Ocupacao_DW[[#This Row],[Concat]],Vagas!$H:$H,Vagas!$D:$D,"",0)</f>
        <v>0</v>
      </c>
    </row>
    <row r="470" spans="1:8" x14ac:dyDescent="0.25">
      <c r="A470" s="2">
        <v>44657</v>
      </c>
      <c r="B470" s="1" t="s">
        <v>70</v>
      </c>
      <c r="C470">
        <v>12519</v>
      </c>
      <c r="D470" s="1" t="s">
        <v>176</v>
      </c>
      <c r="E470" s="1" t="s">
        <v>4</v>
      </c>
      <c r="F470">
        <v>48</v>
      </c>
      <c r="G470" s="1" t="str">
        <f>Ocupacao_DW[[#This Row],[data]]&amp;Ocupacao_DW[[#This Row],[profissional_id]]&amp;Ocupacao_DW[[#This Row],[local_id]]</f>
        <v>446571251948</v>
      </c>
      <c r="H470" s="1">
        <f>_xlfn.XLOOKUP(Ocupacao_DW[[#This Row],[Concat]],Vagas!$H:$H,Vagas!$D:$D,"",0)</f>
        <v>0</v>
      </c>
    </row>
    <row r="471" spans="1:8" x14ac:dyDescent="0.25">
      <c r="A471" s="2">
        <v>44635</v>
      </c>
      <c r="B471" s="1" t="s">
        <v>54</v>
      </c>
      <c r="C471">
        <v>10941</v>
      </c>
      <c r="D471" s="1" t="s">
        <v>224</v>
      </c>
      <c r="E471" s="1" t="s">
        <v>5</v>
      </c>
      <c r="F471">
        <v>11</v>
      </c>
      <c r="G471" s="1" t="str">
        <f>Ocupacao_DW[[#This Row],[data]]&amp;Ocupacao_DW[[#This Row],[profissional_id]]&amp;Ocupacao_DW[[#This Row],[local_id]]</f>
        <v>446351094111</v>
      </c>
      <c r="H471" s="1">
        <f>_xlfn.XLOOKUP(Ocupacao_DW[[#This Row],[Concat]],Vagas!$H:$H,Vagas!$D:$D,"",0)</f>
        <v>16</v>
      </c>
    </row>
    <row r="472" spans="1:8" x14ac:dyDescent="0.25">
      <c r="A472" s="2">
        <v>44641</v>
      </c>
      <c r="B472" s="1" t="s">
        <v>69</v>
      </c>
      <c r="C472">
        <v>17878</v>
      </c>
      <c r="D472" s="1" t="s">
        <v>183</v>
      </c>
      <c r="E472" s="1" t="s">
        <v>4</v>
      </c>
      <c r="F472">
        <v>47</v>
      </c>
      <c r="G472" s="1" t="str">
        <f>Ocupacao_DW[[#This Row],[data]]&amp;Ocupacao_DW[[#This Row],[profissional_id]]&amp;Ocupacao_DW[[#This Row],[local_id]]</f>
        <v>446411787847</v>
      </c>
      <c r="H472" s="1">
        <f>_xlfn.XLOOKUP(Ocupacao_DW[[#This Row],[Concat]],Vagas!$H:$H,Vagas!$D:$D,"",0)</f>
        <v>0</v>
      </c>
    </row>
    <row r="473" spans="1:8" x14ac:dyDescent="0.25">
      <c r="A473" s="2">
        <v>44643</v>
      </c>
      <c r="B473" s="1" t="s">
        <v>55</v>
      </c>
      <c r="C473">
        <v>74</v>
      </c>
      <c r="D473" s="1" t="s">
        <v>182</v>
      </c>
      <c r="E473" s="1" t="s">
        <v>6</v>
      </c>
      <c r="F473">
        <v>7</v>
      </c>
      <c r="G473" s="1" t="str">
        <f>Ocupacao_DW[[#This Row],[data]]&amp;Ocupacao_DW[[#This Row],[profissional_id]]&amp;Ocupacao_DW[[#This Row],[local_id]]</f>
        <v>44643747</v>
      </c>
      <c r="H473" s="1">
        <f>_xlfn.XLOOKUP(Ocupacao_DW[[#This Row],[Concat]],Vagas!$H:$H,Vagas!$D:$D,"",0)</f>
        <v>0</v>
      </c>
    </row>
    <row r="474" spans="1:8" x14ac:dyDescent="0.25">
      <c r="A474" s="2">
        <v>44643</v>
      </c>
      <c r="B474" s="1" t="s">
        <v>51</v>
      </c>
      <c r="C474">
        <v>12679</v>
      </c>
      <c r="D474" s="1" t="s">
        <v>192</v>
      </c>
      <c r="E474" s="1" t="s">
        <v>200</v>
      </c>
      <c r="F474">
        <v>82</v>
      </c>
      <c r="G474" s="1" t="str">
        <f>Ocupacao_DW[[#This Row],[data]]&amp;Ocupacao_DW[[#This Row],[profissional_id]]&amp;Ocupacao_DW[[#This Row],[local_id]]</f>
        <v>446431267982</v>
      </c>
      <c r="H474" s="1">
        <f>_xlfn.XLOOKUP(Ocupacao_DW[[#This Row],[Concat]],Vagas!$H:$H,Vagas!$D:$D,"",0)</f>
        <v>0</v>
      </c>
    </row>
    <row r="475" spans="1:8" x14ac:dyDescent="0.25">
      <c r="A475" s="2">
        <v>44635</v>
      </c>
      <c r="B475" s="1" t="s">
        <v>62</v>
      </c>
      <c r="C475">
        <v>3502</v>
      </c>
      <c r="D475" s="1" t="s">
        <v>214</v>
      </c>
      <c r="E475" s="1" t="s">
        <v>5</v>
      </c>
      <c r="F475">
        <v>16</v>
      </c>
      <c r="G475" s="1" t="str">
        <f>Ocupacao_DW[[#This Row],[data]]&amp;Ocupacao_DW[[#This Row],[profissional_id]]&amp;Ocupacao_DW[[#This Row],[local_id]]</f>
        <v>44635350216</v>
      </c>
      <c r="H475" s="1">
        <f>_xlfn.XLOOKUP(Ocupacao_DW[[#This Row],[Concat]],Vagas!$H:$H,Vagas!$D:$D,"",0)</f>
        <v>0</v>
      </c>
    </row>
    <row r="476" spans="1:8" x14ac:dyDescent="0.25">
      <c r="A476" s="2">
        <v>44648</v>
      </c>
      <c r="B476" s="1" t="s">
        <v>69</v>
      </c>
      <c r="C476">
        <v>13249</v>
      </c>
      <c r="D476" s="1" t="s">
        <v>178</v>
      </c>
      <c r="E476" s="1" t="s">
        <v>4</v>
      </c>
      <c r="F476">
        <v>45</v>
      </c>
      <c r="G476" s="1" t="str">
        <f>Ocupacao_DW[[#This Row],[data]]&amp;Ocupacao_DW[[#This Row],[profissional_id]]&amp;Ocupacao_DW[[#This Row],[local_id]]</f>
        <v>446481324945</v>
      </c>
      <c r="H476" s="1">
        <f>_xlfn.XLOOKUP(Ocupacao_DW[[#This Row],[Concat]],Vagas!$H:$H,Vagas!$D:$D,"",0)</f>
        <v>0</v>
      </c>
    </row>
    <row r="477" spans="1:8" x14ac:dyDescent="0.25">
      <c r="A477" s="2">
        <v>44643</v>
      </c>
      <c r="B477" s="1" t="s">
        <v>51</v>
      </c>
      <c r="C477">
        <v>17859</v>
      </c>
      <c r="D477" s="1" t="s">
        <v>212</v>
      </c>
      <c r="E477" s="1" t="s">
        <v>6</v>
      </c>
      <c r="F477">
        <v>7</v>
      </c>
      <c r="G477" s="1" t="str">
        <f>Ocupacao_DW[[#This Row],[data]]&amp;Ocupacao_DW[[#This Row],[profissional_id]]&amp;Ocupacao_DW[[#This Row],[local_id]]</f>
        <v>44643178597</v>
      </c>
      <c r="H477" s="1">
        <f>_xlfn.XLOOKUP(Ocupacao_DW[[#This Row],[Concat]],Vagas!$H:$H,Vagas!$D:$D,"",0)</f>
        <v>0</v>
      </c>
    </row>
    <row r="478" spans="1:8" x14ac:dyDescent="0.25">
      <c r="A478" s="2">
        <v>44642</v>
      </c>
      <c r="B478" s="1" t="s">
        <v>54</v>
      </c>
      <c r="C478">
        <v>10941</v>
      </c>
      <c r="D478" s="1" t="s">
        <v>224</v>
      </c>
      <c r="E478" s="1" t="s">
        <v>200</v>
      </c>
      <c r="F478">
        <v>83</v>
      </c>
      <c r="G478" s="1" t="str">
        <f>Ocupacao_DW[[#This Row],[data]]&amp;Ocupacao_DW[[#This Row],[profissional_id]]&amp;Ocupacao_DW[[#This Row],[local_id]]</f>
        <v>446421094183</v>
      </c>
      <c r="H478" s="1">
        <f>_xlfn.XLOOKUP(Ocupacao_DW[[#This Row],[Concat]],Vagas!$H:$H,Vagas!$D:$D,"",0)</f>
        <v>0</v>
      </c>
    </row>
    <row r="479" spans="1:8" x14ac:dyDescent="0.25">
      <c r="A479" s="2">
        <v>44636</v>
      </c>
      <c r="B479" s="1" t="s">
        <v>52</v>
      </c>
      <c r="C479">
        <v>57</v>
      </c>
      <c r="D479" s="1" t="s">
        <v>169</v>
      </c>
      <c r="E479" s="1" t="s">
        <v>6</v>
      </c>
      <c r="F479">
        <v>4</v>
      </c>
      <c r="G479" s="1" t="str">
        <f>Ocupacao_DW[[#This Row],[data]]&amp;Ocupacao_DW[[#This Row],[profissional_id]]&amp;Ocupacao_DW[[#This Row],[local_id]]</f>
        <v>44636574</v>
      </c>
      <c r="H479" s="1">
        <f>_xlfn.XLOOKUP(Ocupacao_DW[[#This Row],[Concat]],Vagas!$H:$H,Vagas!$D:$D,"",0)</f>
        <v>0</v>
      </c>
    </row>
    <row r="480" spans="1:8" x14ac:dyDescent="0.25">
      <c r="A480" s="2">
        <v>44635</v>
      </c>
      <c r="B480" s="1" t="s">
        <v>55</v>
      </c>
      <c r="C480">
        <v>12669</v>
      </c>
      <c r="D480" s="1" t="s">
        <v>223</v>
      </c>
      <c r="E480" s="1" t="s">
        <v>6</v>
      </c>
      <c r="F480">
        <v>6</v>
      </c>
      <c r="G480" s="1" t="str">
        <f>Ocupacao_DW[[#This Row],[data]]&amp;Ocupacao_DW[[#This Row],[profissional_id]]&amp;Ocupacao_DW[[#This Row],[local_id]]</f>
        <v>44635126696</v>
      </c>
      <c r="H480" s="1">
        <f>_xlfn.XLOOKUP(Ocupacao_DW[[#This Row],[Concat]],Vagas!$H:$H,Vagas!$D:$D,"",0)</f>
        <v>0</v>
      </c>
    </row>
    <row r="481" spans="1:8" x14ac:dyDescent="0.25">
      <c r="A481" s="2">
        <v>44639</v>
      </c>
      <c r="B481" s="1" t="s">
        <v>75</v>
      </c>
      <c r="C481">
        <v>12810</v>
      </c>
      <c r="D481" s="1" t="s">
        <v>259</v>
      </c>
      <c r="E481" s="1" t="s">
        <v>167</v>
      </c>
      <c r="F481">
        <v>339</v>
      </c>
      <c r="G481" s="1" t="str">
        <f>Ocupacao_DW[[#This Row],[data]]&amp;Ocupacao_DW[[#This Row],[profissional_id]]&amp;Ocupacao_DW[[#This Row],[local_id]]</f>
        <v>4463912810339</v>
      </c>
      <c r="H481" s="1">
        <f>_xlfn.XLOOKUP(Ocupacao_DW[[#This Row],[Concat]],Vagas!$H:$H,Vagas!$D:$D,"",0)</f>
        <v>0</v>
      </c>
    </row>
    <row r="482" spans="1:8" x14ac:dyDescent="0.25">
      <c r="A482" s="2">
        <v>44643</v>
      </c>
      <c r="B482" s="1" t="s">
        <v>55</v>
      </c>
      <c r="C482">
        <v>73</v>
      </c>
      <c r="D482" s="1" t="s">
        <v>171</v>
      </c>
      <c r="E482" s="1" t="s">
        <v>6</v>
      </c>
      <c r="F482">
        <v>5</v>
      </c>
      <c r="G482" s="1" t="str">
        <f>Ocupacao_DW[[#This Row],[data]]&amp;Ocupacao_DW[[#This Row],[profissional_id]]&amp;Ocupacao_DW[[#This Row],[local_id]]</f>
        <v>44643735</v>
      </c>
      <c r="H482" s="1">
        <f>_xlfn.XLOOKUP(Ocupacao_DW[[#This Row],[Concat]],Vagas!$H:$H,Vagas!$D:$D,"",0)</f>
        <v>0</v>
      </c>
    </row>
    <row r="483" spans="1:8" x14ac:dyDescent="0.25">
      <c r="A483" s="2">
        <v>44635</v>
      </c>
      <c r="B483" s="1" t="s">
        <v>62</v>
      </c>
      <c r="C483">
        <v>3502</v>
      </c>
      <c r="D483" s="1" t="s">
        <v>214</v>
      </c>
      <c r="E483" s="1" t="s">
        <v>5</v>
      </c>
      <c r="F483">
        <v>16</v>
      </c>
      <c r="G483" s="1" t="str">
        <f>Ocupacao_DW[[#This Row],[data]]&amp;Ocupacao_DW[[#This Row],[profissional_id]]&amp;Ocupacao_DW[[#This Row],[local_id]]</f>
        <v>44635350216</v>
      </c>
      <c r="H483" s="1">
        <f>_xlfn.XLOOKUP(Ocupacao_DW[[#This Row],[Concat]],Vagas!$H:$H,Vagas!$D:$D,"",0)</f>
        <v>0</v>
      </c>
    </row>
    <row r="484" spans="1:8" x14ac:dyDescent="0.25">
      <c r="A484" s="2">
        <v>44657</v>
      </c>
      <c r="B484" s="1" t="s">
        <v>70</v>
      </c>
      <c r="C484">
        <v>12519</v>
      </c>
      <c r="D484" s="1" t="s">
        <v>176</v>
      </c>
      <c r="E484" s="1" t="s">
        <v>4</v>
      </c>
      <c r="F484">
        <v>48</v>
      </c>
      <c r="G484" s="1" t="str">
        <f>Ocupacao_DW[[#This Row],[data]]&amp;Ocupacao_DW[[#This Row],[profissional_id]]&amp;Ocupacao_DW[[#This Row],[local_id]]</f>
        <v>446571251948</v>
      </c>
      <c r="H484" s="1">
        <f>_xlfn.XLOOKUP(Ocupacao_DW[[#This Row],[Concat]],Vagas!$H:$H,Vagas!$D:$D,"",0)</f>
        <v>0</v>
      </c>
    </row>
    <row r="485" spans="1:8" x14ac:dyDescent="0.25">
      <c r="A485" s="2">
        <v>44657</v>
      </c>
      <c r="B485" s="1" t="s">
        <v>70</v>
      </c>
      <c r="C485">
        <v>12825</v>
      </c>
      <c r="D485" s="1" t="s">
        <v>177</v>
      </c>
      <c r="E485" s="1" t="s">
        <v>4</v>
      </c>
      <c r="F485">
        <v>45</v>
      </c>
      <c r="G485" s="1" t="str">
        <f>Ocupacao_DW[[#This Row],[data]]&amp;Ocupacao_DW[[#This Row],[profissional_id]]&amp;Ocupacao_DW[[#This Row],[local_id]]</f>
        <v>446571282545</v>
      </c>
      <c r="H485" s="1">
        <f>_xlfn.XLOOKUP(Ocupacao_DW[[#This Row],[Concat]],Vagas!$H:$H,Vagas!$D:$D,"",0)</f>
        <v>0</v>
      </c>
    </row>
    <row r="486" spans="1:8" x14ac:dyDescent="0.25">
      <c r="A486" s="2">
        <v>44642</v>
      </c>
      <c r="B486" s="1" t="s">
        <v>70</v>
      </c>
      <c r="C486">
        <v>14237</v>
      </c>
      <c r="D486" s="1" t="s">
        <v>186</v>
      </c>
      <c r="E486" s="1" t="s">
        <v>4</v>
      </c>
      <c r="F486">
        <v>47</v>
      </c>
      <c r="G486" s="1" t="str">
        <f>Ocupacao_DW[[#This Row],[data]]&amp;Ocupacao_DW[[#This Row],[profissional_id]]&amp;Ocupacao_DW[[#This Row],[local_id]]</f>
        <v>446421423747</v>
      </c>
      <c r="H486" s="1">
        <f>_xlfn.XLOOKUP(Ocupacao_DW[[#This Row],[Concat]],Vagas!$H:$H,Vagas!$D:$D,"",0)</f>
        <v>0</v>
      </c>
    </row>
    <row r="487" spans="1:8" x14ac:dyDescent="0.25">
      <c r="A487" s="2">
        <v>44638</v>
      </c>
      <c r="B487" s="1" t="s">
        <v>52</v>
      </c>
      <c r="C487">
        <v>10691</v>
      </c>
      <c r="D487" s="1" t="s">
        <v>181</v>
      </c>
      <c r="E487" s="1" t="s">
        <v>200</v>
      </c>
      <c r="F487">
        <v>78</v>
      </c>
      <c r="G487" s="1" t="str">
        <f>Ocupacao_DW[[#This Row],[data]]&amp;Ocupacao_DW[[#This Row],[profissional_id]]&amp;Ocupacao_DW[[#This Row],[local_id]]</f>
        <v>446381069178</v>
      </c>
      <c r="H487" s="1">
        <f>_xlfn.XLOOKUP(Ocupacao_DW[[#This Row],[Concat]],Vagas!$H:$H,Vagas!$D:$D,"",0)</f>
        <v>0</v>
      </c>
    </row>
    <row r="488" spans="1:8" x14ac:dyDescent="0.25">
      <c r="A488" s="2">
        <v>44639</v>
      </c>
      <c r="B488" s="1" t="s">
        <v>47</v>
      </c>
      <c r="C488">
        <v>111</v>
      </c>
      <c r="D488" s="1" t="s">
        <v>199</v>
      </c>
      <c r="E488" s="1" t="s">
        <v>4</v>
      </c>
      <c r="F488">
        <v>51</v>
      </c>
      <c r="G488" s="1" t="str">
        <f>Ocupacao_DW[[#This Row],[data]]&amp;Ocupacao_DW[[#This Row],[profissional_id]]&amp;Ocupacao_DW[[#This Row],[local_id]]</f>
        <v>4463911151</v>
      </c>
      <c r="H488" s="1">
        <f>_xlfn.XLOOKUP(Ocupacao_DW[[#This Row],[Concat]],Vagas!$H:$H,Vagas!$D:$D,"",0)</f>
        <v>0</v>
      </c>
    </row>
    <row r="489" spans="1:8" x14ac:dyDescent="0.25">
      <c r="A489" s="2">
        <v>44636</v>
      </c>
      <c r="B489" s="1" t="s">
        <v>57</v>
      </c>
      <c r="C489">
        <v>80</v>
      </c>
      <c r="D489" s="1" t="s">
        <v>179</v>
      </c>
      <c r="E489" s="1" t="s">
        <v>167</v>
      </c>
      <c r="F489">
        <v>346</v>
      </c>
      <c r="G489" s="1" t="str">
        <f>Ocupacao_DW[[#This Row],[data]]&amp;Ocupacao_DW[[#This Row],[profissional_id]]&amp;Ocupacao_DW[[#This Row],[local_id]]</f>
        <v>4463680346</v>
      </c>
      <c r="H489" s="1">
        <f>_xlfn.XLOOKUP(Ocupacao_DW[[#This Row],[Concat]],Vagas!$H:$H,Vagas!$D:$D,"",0)</f>
        <v>0</v>
      </c>
    </row>
    <row r="490" spans="1:8" x14ac:dyDescent="0.25">
      <c r="A490" s="2">
        <v>44649</v>
      </c>
      <c r="B490" s="1" t="s">
        <v>49</v>
      </c>
      <c r="C490">
        <v>266</v>
      </c>
      <c r="D490" s="1" t="s">
        <v>201</v>
      </c>
      <c r="E490" s="1" t="s">
        <v>4</v>
      </c>
      <c r="F490">
        <v>42</v>
      </c>
      <c r="G490" s="1" t="str">
        <f>Ocupacao_DW[[#This Row],[data]]&amp;Ocupacao_DW[[#This Row],[profissional_id]]&amp;Ocupacao_DW[[#This Row],[local_id]]</f>
        <v>4464926642</v>
      </c>
      <c r="H490" s="1">
        <f>_xlfn.XLOOKUP(Ocupacao_DW[[#This Row],[Concat]],Vagas!$H:$H,Vagas!$D:$D,"",0)</f>
        <v>0</v>
      </c>
    </row>
    <row r="491" spans="1:8" x14ac:dyDescent="0.25">
      <c r="A491" s="2">
        <v>44635</v>
      </c>
      <c r="B491" s="1" t="s">
        <v>54</v>
      </c>
      <c r="C491">
        <v>10941</v>
      </c>
      <c r="D491" s="1" t="s">
        <v>224</v>
      </c>
      <c r="E491" s="1" t="s">
        <v>5</v>
      </c>
      <c r="F491">
        <v>12</v>
      </c>
      <c r="G491" s="1" t="str">
        <f>Ocupacao_DW[[#This Row],[data]]&amp;Ocupacao_DW[[#This Row],[profissional_id]]&amp;Ocupacao_DW[[#This Row],[local_id]]</f>
        <v>446351094112</v>
      </c>
      <c r="H491" s="1">
        <f>_xlfn.XLOOKUP(Ocupacao_DW[[#This Row],[Concat]],Vagas!$H:$H,Vagas!$D:$D,"",0)</f>
        <v>0</v>
      </c>
    </row>
    <row r="492" spans="1:8" x14ac:dyDescent="0.25">
      <c r="A492" s="2">
        <v>44636</v>
      </c>
      <c r="B492" s="1" t="s">
        <v>52</v>
      </c>
      <c r="C492">
        <v>60</v>
      </c>
      <c r="D492" s="1" t="s">
        <v>217</v>
      </c>
      <c r="E492" s="1" t="s">
        <v>6</v>
      </c>
      <c r="F492">
        <v>8</v>
      </c>
      <c r="G492" s="1" t="str">
        <f>Ocupacao_DW[[#This Row],[data]]&amp;Ocupacao_DW[[#This Row],[profissional_id]]&amp;Ocupacao_DW[[#This Row],[local_id]]</f>
        <v>44636608</v>
      </c>
      <c r="H492" s="1">
        <f>_xlfn.XLOOKUP(Ocupacao_DW[[#This Row],[Concat]],Vagas!$H:$H,Vagas!$D:$D,"",0)</f>
        <v>0</v>
      </c>
    </row>
    <row r="493" spans="1:8" x14ac:dyDescent="0.25">
      <c r="A493" s="2">
        <v>44643</v>
      </c>
      <c r="B493" s="1" t="s">
        <v>55</v>
      </c>
      <c r="C493">
        <v>73</v>
      </c>
      <c r="D493" s="1" t="s">
        <v>171</v>
      </c>
      <c r="E493" s="1" t="s">
        <v>6</v>
      </c>
      <c r="F493">
        <v>5</v>
      </c>
      <c r="G493" s="1" t="str">
        <f>Ocupacao_DW[[#This Row],[data]]&amp;Ocupacao_DW[[#This Row],[profissional_id]]&amp;Ocupacao_DW[[#This Row],[local_id]]</f>
        <v>44643735</v>
      </c>
      <c r="H493" s="1">
        <f>_xlfn.XLOOKUP(Ocupacao_DW[[#This Row],[Concat]],Vagas!$H:$H,Vagas!$D:$D,"",0)</f>
        <v>0</v>
      </c>
    </row>
    <row r="494" spans="1:8" x14ac:dyDescent="0.25">
      <c r="A494" s="2">
        <v>44645</v>
      </c>
      <c r="B494" s="1" t="s">
        <v>52</v>
      </c>
      <c r="C494">
        <v>67</v>
      </c>
      <c r="D494" s="1" t="s">
        <v>172</v>
      </c>
      <c r="E494" s="1" t="s">
        <v>6</v>
      </c>
      <c r="F494">
        <v>8</v>
      </c>
      <c r="G494" s="1" t="str">
        <f>Ocupacao_DW[[#This Row],[data]]&amp;Ocupacao_DW[[#This Row],[profissional_id]]&amp;Ocupacao_DW[[#This Row],[local_id]]</f>
        <v>44645678</v>
      </c>
      <c r="H494" s="1">
        <f>_xlfn.XLOOKUP(Ocupacao_DW[[#This Row],[Concat]],Vagas!$H:$H,Vagas!$D:$D,"",0)</f>
        <v>0</v>
      </c>
    </row>
    <row r="495" spans="1:8" x14ac:dyDescent="0.25">
      <c r="A495" s="2">
        <v>44638</v>
      </c>
      <c r="B495" s="1" t="s">
        <v>49</v>
      </c>
      <c r="C495">
        <v>6430</v>
      </c>
      <c r="D495" s="1" t="s">
        <v>188</v>
      </c>
      <c r="E495" s="1" t="s">
        <v>4</v>
      </c>
      <c r="F495">
        <v>42</v>
      </c>
      <c r="G495" s="1" t="str">
        <f>Ocupacao_DW[[#This Row],[data]]&amp;Ocupacao_DW[[#This Row],[profissional_id]]&amp;Ocupacao_DW[[#This Row],[local_id]]</f>
        <v>44638643042</v>
      </c>
      <c r="H495" s="1">
        <f>_xlfn.XLOOKUP(Ocupacao_DW[[#This Row],[Concat]],Vagas!$H:$H,Vagas!$D:$D,"",0)</f>
        <v>0</v>
      </c>
    </row>
    <row r="496" spans="1:8" x14ac:dyDescent="0.25">
      <c r="A496" s="2">
        <v>44636</v>
      </c>
      <c r="B496" s="1" t="s">
        <v>51</v>
      </c>
      <c r="C496">
        <v>12679</v>
      </c>
      <c r="D496" s="1" t="s">
        <v>192</v>
      </c>
      <c r="E496" s="1" t="s">
        <v>5</v>
      </c>
      <c r="F496">
        <v>11</v>
      </c>
      <c r="G496" s="1" t="str">
        <f>Ocupacao_DW[[#This Row],[data]]&amp;Ocupacao_DW[[#This Row],[profissional_id]]&amp;Ocupacao_DW[[#This Row],[local_id]]</f>
        <v>446361267911</v>
      </c>
      <c r="H496" s="1">
        <f>_xlfn.XLOOKUP(Ocupacao_DW[[#This Row],[Concat]],Vagas!$H:$H,Vagas!$D:$D,"",0)</f>
        <v>0</v>
      </c>
    </row>
    <row r="497" spans="1:8" x14ac:dyDescent="0.25">
      <c r="A497" s="2">
        <v>44636</v>
      </c>
      <c r="B497" s="1" t="s">
        <v>70</v>
      </c>
      <c r="C497">
        <v>12825</v>
      </c>
      <c r="D497" s="1" t="s">
        <v>177</v>
      </c>
      <c r="E497" s="1" t="s">
        <v>4</v>
      </c>
      <c r="F497">
        <v>45</v>
      </c>
      <c r="G497" s="1" t="str">
        <f>Ocupacao_DW[[#This Row],[data]]&amp;Ocupacao_DW[[#This Row],[profissional_id]]&amp;Ocupacao_DW[[#This Row],[local_id]]</f>
        <v>446361282545</v>
      </c>
      <c r="H497" s="1">
        <f>_xlfn.XLOOKUP(Ocupacao_DW[[#This Row],[Concat]],Vagas!$H:$H,Vagas!$D:$D,"",0)</f>
        <v>0</v>
      </c>
    </row>
    <row r="498" spans="1:8" x14ac:dyDescent="0.25">
      <c r="A498" s="2">
        <v>44636</v>
      </c>
      <c r="B498" s="1" t="s">
        <v>47</v>
      </c>
      <c r="C498">
        <v>110</v>
      </c>
      <c r="D498" s="1" t="s">
        <v>193</v>
      </c>
      <c r="E498" s="1" t="s">
        <v>4</v>
      </c>
      <c r="F498">
        <v>51</v>
      </c>
      <c r="G498" s="1" t="str">
        <f>Ocupacao_DW[[#This Row],[data]]&amp;Ocupacao_DW[[#This Row],[profissional_id]]&amp;Ocupacao_DW[[#This Row],[local_id]]</f>
        <v>4463611051</v>
      </c>
      <c r="H498" s="1" t="str">
        <f>_xlfn.XLOOKUP(Ocupacao_DW[[#This Row],[Concat]],Vagas!$H:$H,Vagas!$D:$D,"",0)</f>
        <v/>
      </c>
    </row>
    <row r="499" spans="1:8" x14ac:dyDescent="0.25">
      <c r="A499" s="2">
        <v>44637</v>
      </c>
      <c r="B499" s="1" t="s">
        <v>55</v>
      </c>
      <c r="C499">
        <v>12426</v>
      </c>
      <c r="D499" s="1" t="s">
        <v>215</v>
      </c>
      <c r="E499" s="1" t="s">
        <v>6</v>
      </c>
      <c r="F499">
        <v>5</v>
      </c>
      <c r="G499" s="1" t="str">
        <f>Ocupacao_DW[[#This Row],[data]]&amp;Ocupacao_DW[[#This Row],[profissional_id]]&amp;Ocupacao_DW[[#This Row],[local_id]]</f>
        <v>44637124265</v>
      </c>
      <c r="H499" s="1">
        <f>_xlfn.XLOOKUP(Ocupacao_DW[[#This Row],[Concat]],Vagas!$H:$H,Vagas!$D:$D,"",0)</f>
        <v>0</v>
      </c>
    </row>
    <row r="500" spans="1:8" x14ac:dyDescent="0.25">
      <c r="A500" s="2">
        <v>44636</v>
      </c>
      <c r="B500" s="1" t="s">
        <v>57</v>
      </c>
      <c r="C500">
        <v>80</v>
      </c>
      <c r="D500" s="1" t="s">
        <v>179</v>
      </c>
      <c r="E500" s="1" t="s">
        <v>167</v>
      </c>
      <c r="F500">
        <v>346</v>
      </c>
      <c r="G500" s="1" t="str">
        <f>Ocupacao_DW[[#This Row],[data]]&amp;Ocupacao_DW[[#This Row],[profissional_id]]&amp;Ocupacao_DW[[#This Row],[local_id]]</f>
        <v>4463680346</v>
      </c>
      <c r="H500" s="1">
        <f>_xlfn.XLOOKUP(Ocupacao_DW[[#This Row],[Concat]],Vagas!$H:$H,Vagas!$D:$D,"",0)</f>
        <v>0</v>
      </c>
    </row>
    <row r="501" spans="1:8" x14ac:dyDescent="0.25">
      <c r="A501" s="2">
        <v>44643</v>
      </c>
      <c r="B501" s="1" t="s">
        <v>70</v>
      </c>
      <c r="C501">
        <v>12519</v>
      </c>
      <c r="D501" s="1" t="s">
        <v>176</v>
      </c>
      <c r="E501" s="1" t="s">
        <v>4</v>
      </c>
      <c r="F501">
        <v>48</v>
      </c>
      <c r="G501" s="1" t="str">
        <f>Ocupacao_DW[[#This Row],[data]]&amp;Ocupacao_DW[[#This Row],[profissional_id]]&amp;Ocupacao_DW[[#This Row],[local_id]]</f>
        <v>446431251948</v>
      </c>
      <c r="H501" s="1">
        <f>_xlfn.XLOOKUP(Ocupacao_DW[[#This Row],[Concat]],Vagas!$H:$H,Vagas!$D:$D,"",0)</f>
        <v>0</v>
      </c>
    </row>
    <row r="502" spans="1:8" x14ac:dyDescent="0.25">
      <c r="A502" s="2">
        <v>44635</v>
      </c>
      <c r="B502" s="1" t="s">
        <v>65</v>
      </c>
      <c r="C502">
        <v>11237</v>
      </c>
      <c r="D502" s="1" t="s">
        <v>229</v>
      </c>
      <c r="E502" s="1" t="s">
        <v>4</v>
      </c>
      <c r="F502">
        <v>46</v>
      </c>
      <c r="G502" s="1" t="str">
        <f>Ocupacao_DW[[#This Row],[data]]&amp;Ocupacao_DW[[#This Row],[profissional_id]]&amp;Ocupacao_DW[[#This Row],[local_id]]</f>
        <v>446351123746</v>
      </c>
      <c r="H502" s="1">
        <f>_xlfn.XLOOKUP(Ocupacao_DW[[#This Row],[Concat]],Vagas!$H:$H,Vagas!$D:$D,"",0)</f>
        <v>0</v>
      </c>
    </row>
    <row r="503" spans="1:8" x14ac:dyDescent="0.25">
      <c r="A503" s="2">
        <v>44637</v>
      </c>
      <c r="B503" s="1" t="s">
        <v>52</v>
      </c>
      <c r="C503">
        <v>10691</v>
      </c>
      <c r="D503" s="1" t="s">
        <v>181</v>
      </c>
      <c r="E503" s="1" t="s">
        <v>6</v>
      </c>
      <c r="F503">
        <v>9</v>
      </c>
      <c r="G503" s="1" t="str">
        <f>Ocupacao_DW[[#This Row],[data]]&amp;Ocupacao_DW[[#This Row],[profissional_id]]&amp;Ocupacao_DW[[#This Row],[local_id]]</f>
        <v>44637106919</v>
      </c>
      <c r="H503" s="1">
        <f>_xlfn.XLOOKUP(Ocupacao_DW[[#This Row],[Concat]],Vagas!$H:$H,Vagas!$D:$D,"",0)</f>
        <v>0</v>
      </c>
    </row>
    <row r="504" spans="1:8" x14ac:dyDescent="0.25">
      <c r="A504" s="2">
        <v>44636</v>
      </c>
      <c r="B504" s="1" t="s">
        <v>57</v>
      </c>
      <c r="C504">
        <v>80</v>
      </c>
      <c r="D504" s="1" t="s">
        <v>179</v>
      </c>
      <c r="E504" s="1" t="s">
        <v>167</v>
      </c>
      <c r="F504">
        <v>346</v>
      </c>
      <c r="G504" s="1" t="str">
        <f>Ocupacao_DW[[#This Row],[data]]&amp;Ocupacao_DW[[#This Row],[profissional_id]]&amp;Ocupacao_DW[[#This Row],[local_id]]</f>
        <v>4463680346</v>
      </c>
      <c r="H504" s="1">
        <f>_xlfn.XLOOKUP(Ocupacao_DW[[#This Row],[Concat]],Vagas!$H:$H,Vagas!$D:$D,"",0)</f>
        <v>0</v>
      </c>
    </row>
    <row r="505" spans="1:8" x14ac:dyDescent="0.25">
      <c r="A505" s="2">
        <v>44635</v>
      </c>
      <c r="B505" s="1" t="s">
        <v>43</v>
      </c>
      <c r="C505">
        <v>57</v>
      </c>
      <c r="D505" s="1" t="s">
        <v>169</v>
      </c>
      <c r="E505" s="1" t="s">
        <v>6</v>
      </c>
      <c r="F505">
        <v>2</v>
      </c>
      <c r="G505" s="1" t="str">
        <f>Ocupacao_DW[[#This Row],[data]]&amp;Ocupacao_DW[[#This Row],[profissional_id]]&amp;Ocupacao_DW[[#This Row],[local_id]]</f>
        <v>44635572</v>
      </c>
      <c r="H505" s="1">
        <f>_xlfn.XLOOKUP(Ocupacao_DW[[#This Row],[Concat]],Vagas!$H:$H,Vagas!$D:$D,"",0)</f>
        <v>0</v>
      </c>
    </row>
    <row r="506" spans="1:8" x14ac:dyDescent="0.25">
      <c r="A506" s="2">
        <v>44641</v>
      </c>
      <c r="B506" s="1" t="s">
        <v>55</v>
      </c>
      <c r="C506">
        <v>60</v>
      </c>
      <c r="D506" s="1" t="s">
        <v>217</v>
      </c>
      <c r="E506" s="1" t="s">
        <v>167</v>
      </c>
      <c r="F506">
        <v>345</v>
      </c>
      <c r="G506" s="1" t="str">
        <f>Ocupacao_DW[[#This Row],[data]]&amp;Ocupacao_DW[[#This Row],[profissional_id]]&amp;Ocupacao_DW[[#This Row],[local_id]]</f>
        <v>4464160345</v>
      </c>
      <c r="H506" s="1">
        <f>_xlfn.XLOOKUP(Ocupacao_DW[[#This Row],[Concat]],Vagas!$H:$H,Vagas!$D:$D,"",0)</f>
        <v>0</v>
      </c>
    </row>
    <row r="507" spans="1:8" x14ac:dyDescent="0.25">
      <c r="A507" s="2">
        <v>44639</v>
      </c>
      <c r="B507" s="1" t="s">
        <v>72</v>
      </c>
      <c r="C507">
        <v>6046</v>
      </c>
      <c r="D507" s="1" t="s">
        <v>222</v>
      </c>
      <c r="E507" s="1" t="s">
        <v>4</v>
      </c>
      <c r="F507">
        <v>46</v>
      </c>
      <c r="G507" s="1" t="str">
        <f>Ocupacao_DW[[#This Row],[data]]&amp;Ocupacao_DW[[#This Row],[profissional_id]]&amp;Ocupacao_DW[[#This Row],[local_id]]</f>
        <v>44639604646</v>
      </c>
      <c r="H507" s="1">
        <f>_xlfn.XLOOKUP(Ocupacao_DW[[#This Row],[Concat]],Vagas!$H:$H,Vagas!$D:$D,"",0)</f>
        <v>0</v>
      </c>
    </row>
    <row r="508" spans="1:8" x14ac:dyDescent="0.25">
      <c r="A508" s="2">
        <v>44635</v>
      </c>
      <c r="B508" s="1" t="s">
        <v>47</v>
      </c>
      <c r="C508">
        <v>111</v>
      </c>
      <c r="D508" s="1" t="s">
        <v>199</v>
      </c>
      <c r="E508" s="1" t="s">
        <v>4</v>
      </c>
      <c r="F508">
        <v>51</v>
      </c>
      <c r="G508" s="1" t="str">
        <f>Ocupacao_DW[[#This Row],[data]]&amp;Ocupacao_DW[[#This Row],[profissional_id]]&amp;Ocupacao_DW[[#This Row],[local_id]]</f>
        <v>4463511151</v>
      </c>
      <c r="H508" s="1">
        <f>_xlfn.XLOOKUP(Ocupacao_DW[[#This Row],[Concat]],Vagas!$H:$H,Vagas!$D:$D,"",0)</f>
        <v>0</v>
      </c>
    </row>
    <row r="509" spans="1:8" x14ac:dyDescent="0.25">
      <c r="A509" s="2">
        <v>44636</v>
      </c>
      <c r="B509" s="1"/>
      <c r="C509">
        <v>0</v>
      </c>
      <c r="D509" s="1"/>
      <c r="E509" s="1" t="s">
        <v>6</v>
      </c>
      <c r="F509">
        <v>2</v>
      </c>
      <c r="G509" s="1" t="str">
        <f>Ocupacao_DW[[#This Row],[data]]&amp;Ocupacao_DW[[#This Row],[profissional_id]]&amp;Ocupacao_DW[[#This Row],[local_id]]</f>
        <v>4463602</v>
      </c>
      <c r="H509" s="1" t="str">
        <f>_xlfn.XLOOKUP(Ocupacao_DW[[#This Row],[Concat]],Vagas!$H:$H,Vagas!$D:$D,"",0)</f>
        <v/>
      </c>
    </row>
    <row r="510" spans="1:8" x14ac:dyDescent="0.25">
      <c r="A510" s="2">
        <v>44637</v>
      </c>
      <c r="B510" s="1" t="s">
        <v>62</v>
      </c>
      <c r="C510">
        <v>3502</v>
      </c>
      <c r="D510" s="1" t="s">
        <v>214</v>
      </c>
      <c r="E510" s="1" t="s">
        <v>5</v>
      </c>
      <c r="F510">
        <v>16</v>
      </c>
      <c r="G510" s="1" t="str">
        <f>Ocupacao_DW[[#This Row],[data]]&amp;Ocupacao_DW[[#This Row],[profissional_id]]&amp;Ocupacao_DW[[#This Row],[local_id]]</f>
        <v>44637350216</v>
      </c>
      <c r="H510" s="1">
        <f>_xlfn.XLOOKUP(Ocupacao_DW[[#This Row],[Concat]],Vagas!$H:$H,Vagas!$D:$D,"",0)</f>
        <v>0</v>
      </c>
    </row>
    <row r="511" spans="1:8" x14ac:dyDescent="0.25">
      <c r="A511" s="2">
        <v>44636</v>
      </c>
      <c r="B511" s="1"/>
      <c r="C511">
        <v>0</v>
      </c>
      <c r="D511" s="1"/>
      <c r="E511" s="1" t="s">
        <v>6</v>
      </c>
      <c r="F511">
        <v>2</v>
      </c>
      <c r="G511" s="1" t="str">
        <f>Ocupacao_DW[[#This Row],[data]]&amp;Ocupacao_DW[[#This Row],[profissional_id]]&amp;Ocupacao_DW[[#This Row],[local_id]]</f>
        <v>4463602</v>
      </c>
      <c r="H511" s="1" t="str">
        <f>_xlfn.XLOOKUP(Ocupacao_DW[[#This Row],[Concat]],Vagas!$H:$H,Vagas!$D:$D,"",0)</f>
        <v/>
      </c>
    </row>
    <row r="512" spans="1:8" x14ac:dyDescent="0.25">
      <c r="A512" s="2">
        <v>44638</v>
      </c>
      <c r="B512" s="1" t="s">
        <v>66</v>
      </c>
      <c r="C512">
        <v>1343</v>
      </c>
      <c r="D512" s="1" t="s">
        <v>263</v>
      </c>
      <c r="E512" s="1" t="s">
        <v>167</v>
      </c>
      <c r="F512">
        <v>342</v>
      </c>
      <c r="G512" s="1" t="str">
        <f>Ocupacao_DW[[#This Row],[data]]&amp;Ocupacao_DW[[#This Row],[profissional_id]]&amp;Ocupacao_DW[[#This Row],[local_id]]</f>
        <v>446381343342</v>
      </c>
      <c r="H512" s="1">
        <f>_xlfn.XLOOKUP(Ocupacao_DW[[#This Row],[Concat]],Vagas!$H:$H,Vagas!$D:$D,"",0)</f>
        <v>0</v>
      </c>
    </row>
    <row r="513" spans="1:8" x14ac:dyDescent="0.25">
      <c r="A513" s="2">
        <v>44636</v>
      </c>
      <c r="B513" s="1" t="s">
        <v>43</v>
      </c>
      <c r="C513">
        <v>2396</v>
      </c>
      <c r="D513" s="1" t="s">
        <v>197</v>
      </c>
      <c r="E513" s="1" t="s">
        <v>6</v>
      </c>
      <c r="F513">
        <v>2</v>
      </c>
      <c r="G513" s="1" t="str">
        <f>Ocupacao_DW[[#This Row],[data]]&amp;Ocupacao_DW[[#This Row],[profissional_id]]&amp;Ocupacao_DW[[#This Row],[local_id]]</f>
        <v>4463623962</v>
      </c>
      <c r="H513" s="1">
        <f>_xlfn.XLOOKUP(Ocupacao_DW[[#This Row],[Concat]],Vagas!$H:$H,Vagas!$D:$D,"",0)</f>
        <v>0</v>
      </c>
    </row>
    <row r="514" spans="1:8" x14ac:dyDescent="0.25">
      <c r="A514" s="2">
        <v>44636</v>
      </c>
      <c r="B514" s="1"/>
      <c r="C514">
        <v>0</v>
      </c>
      <c r="D514" s="1"/>
      <c r="E514" s="1" t="s">
        <v>6</v>
      </c>
      <c r="F514">
        <v>2</v>
      </c>
      <c r="G514" s="1" t="str">
        <f>Ocupacao_DW[[#This Row],[data]]&amp;Ocupacao_DW[[#This Row],[profissional_id]]&amp;Ocupacao_DW[[#This Row],[local_id]]</f>
        <v>4463602</v>
      </c>
      <c r="H514" s="1" t="str">
        <f>_xlfn.XLOOKUP(Ocupacao_DW[[#This Row],[Concat]],Vagas!$H:$H,Vagas!$D:$D,"",0)</f>
        <v/>
      </c>
    </row>
    <row r="515" spans="1:8" x14ac:dyDescent="0.25">
      <c r="A515" s="2">
        <v>44636</v>
      </c>
      <c r="B515" s="1" t="s">
        <v>43</v>
      </c>
      <c r="C515">
        <v>2396</v>
      </c>
      <c r="D515" s="1" t="s">
        <v>197</v>
      </c>
      <c r="E515" s="1" t="s">
        <v>6</v>
      </c>
      <c r="F515">
        <v>2</v>
      </c>
      <c r="G515" s="1" t="str">
        <f>Ocupacao_DW[[#This Row],[data]]&amp;Ocupacao_DW[[#This Row],[profissional_id]]&amp;Ocupacao_DW[[#This Row],[local_id]]</f>
        <v>4463623962</v>
      </c>
      <c r="H515" s="1">
        <f>_xlfn.XLOOKUP(Ocupacao_DW[[#This Row],[Concat]],Vagas!$H:$H,Vagas!$D:$D,"",0)</f>
        <v>0</v>
      </c>
    </row>
    <row r="516" spans="1:8" x14ac:dyDescent="0.25">
      <c r="A516" s="2">
        <v>44642</v>
      </c>
      <c r="B516" s="1" t="s">
        <v>43</v>
      </c>
      <c r="C516">
        <v>57</v>
      </c>
      <c r="D516" s="1" t="s">
        <v>169</v>
      </c>
      <c r="E516" s="1" t="s">
        <v>6</v>
      </c>
      <c r="F516">
        <v>2</v>
      </c>
      <c r="G516" s="1" t="str">
        <f>Ocupacao_DW[[#This Row],[data]]&amp;Ocupacao_DW[[#This Row],[profissional_id]]&amp;Ocupacao_DW[[#This Row],[local_id]]</f>
        <v>44642572</v>
      </c>
      <c r="H516" s="1">
        <f>_xlfn.XLOOKUP(Ocupacao_DW[[#This Row],[Concat]],Vagas!$H:$H,Vagas!$D:$D,"",0)</f>
        <v>19</v>
      </c>
    </row>
    <row r="517" spans="1:8" x14ac:dyDescent="0.25">
      <c r="A517" s="2">
        <v>44643</v>
      </c>
      <c r="B517" s="1"/>
      <c r="C517">
        <v>0</v>
      </c>
      <c r="D517" s="1"/>
      <c r="E517" s="1" t="s">
        <v>6</v>
      </c>
      <c r="F517">
        <v>2</v>
      </c>
      <c r="G517" s="1" t="str">
        <f>Ocupacao_DW[[#This Row],[data]]&amp;Ocupacao_DW[[#This Row],[profissional_id]]&amp;Ocupacao_DW[[#This Row],[local_id]]</f>
        <v>4464302</v>
      </c>
      <c r="H517" s="1" t="str">
        <f>_xlfn.XLOOKUP(Ocupacao_DW[[#This Row],[Concat]],Vagas!$H:$H,Vagas!$D:$D,"",0)</f>
        <v/>
      </c>
    </row>
    <row r="518" spans="1:8" x14ac:dyDescent="0.25">
      <c r="A518" s="2">
        <v>44643</v>
      </c>
      <c r="B518" s="1"/>
      <c r="C518">
        <v>2396</v>
      </c>
      <c r="D518" s="1" t="s">
        <v>197</v>
      </c>
      <c r="E518" s="1" t="s">
        <v>6</v>
      </c>
      <c r="F518">
        <v>2</v>
      </c>
      <c r="G518" s="1" t="str">
        <f>Ocupacao_DW[[#This Row],[data]]&amp;Ocupacao_DW[[#This Row],[profissional_id]]&amp;Ocupacao_DW[[#This Row],[local_id]]</f>
        <v>4464323962</v>
      </c>
      <c r="H518" s="1">
        <f>_xlfn.XLOOKUP(Ocupacao_DW[[#This Row],[Concat]],Vagas!$H:$H,Vagas!$D:$D,"",0)</f>
        <v>0</v>
      </c>
    </row>
    <row r="519" spans="1:8" x14ac:dyDescent="0.25">
      <c r="A519" s="2">
        <v>44635</v>
      </c>
      <c r="B519" s="1" t="s">
        <v>65</v>
      </c>
      <c r="C519">
        <v>11652</v>
      </c>
      <c r="D519" s="1" t="s">
        <v>242</v>
      </c>
      <c r="E519" s="1" t="s">
        <v>4</v>
      </c>
      <c r="F519">
        <v>47</v>
      </c>
      <c r="G519" s="1" t="str">
        <f>Ocupacao_DW[[#This Row],[data]]&amp;Ocupacao_DW[[#This Row],[profissional_id]]&amp;Ocupacao_DW[[#This Row],[local_id]]</f>
        <v>446351165247</v>
      </c>
      <c r="H519" s="1">
        <f>_xlfn.XLOOKUP(Ocupacao_DW[[#This Row],[Concat]],Vagas!$H:$H,Vagas!$D:$D,"",0)</f>
        <v>0</v>
      </c>
    </row>
    <row r="520" spans="1:8" x14ac:dyDescent="0.25">
      <c r="A520" s="2">
        <v>44643</v>
      </c>
      <c r="B520" s="1" t="s">
        <v>43</v>
      </c>
      <c r="C520">
        <v>2396</v>
      </c>
      <c r="D520" s="1" t="s">
        <v>197</v>
      </c>
      <c r="E520" s="1" t="s">
        <v>6</v>
      </c>
      <c r="F520">
        <v>2</v>
      </c>
      <c r="G520" s="1" t="str">
        <f>Ocupacao_DW[[#This Row],[data]]&amp;Ocupacao_DW[[#This Row],[profissional_id]]&amp;Ocupacao_DW[[#This Row],[local_id]]</f>
        <v>4464323962</v>
      </c>
      <c r="H520" s="1">
        <f>_xlfn.XLOOKUP(Ocupacao_DW[[#This Row],[Concat]],Vagas!$H:$H,Vagas!$D:$D,"",0)</f>
        <v>0</v>
      </c>
    </row>
    <row r="521" spans="1:8" x14ac:dyDescent="0.25">
      <c r="A521" s="2">
        <v>44643</v>
      </c>
      <c r="B521" s="1" t="s">
        <v>43</v>
      </c>
      <c r="C521">
        <v>2396</v>
      </c>
      <c r="D521" s="1" t="s">
        <v>197</v>
      </c>
      <c r="E521" s="1" t="s">
        <v>6</v>
      </c>
      <c r="F521">
        <v>2</v>
      </c>
      <c r="G521" s="1" t="str">
        <f>Ocupacao_DW[[#This Row],[data]]&amp;Ocupacao_DW[[#This Row],[profissional_id]]&amp;Ocupacao_DW[[#This Row],[local_id]]</f>
        <v>4464323962</v>
      </c>
      <c r="H521" s="1">
        <f>_xlfn.XLOOKUP(Ocupacao_DW[[#This Row],[Concat]],Vagas!$H:$H,Vagas!$D:$D,"",0)</f>
        <v>0</v>
      </c>
    </row>
    <row r="522" spans="1:8" x14ac:dyDescent="0.25">
      <c r="A522" s="2">
        <v>44643</v>
      </c>
      <c r="B522" s="1" t="s">
        <v>43</v>
      </c>
      <c r="C522">
        <v>2396</v>
      </c>
      <c r="D522" s="1" t="s">
        <v>197</v>
      </c>
      <c r="E522" s="1" t="s">
        <v>6</v>
      </c>
      <c r="F522">
        <v>2</v>
      </c>
      <c r="G522" s="1" t="str">
        <f>Ocupacao_DW[[#This Row],[data]]&amp;Ocupacao_DW[[#This Row],[profissional_id]]&amp;Ocupacao_DW[[#This Row],[local_id]]</f>
        <v>4464323962</v>
      </c>
      <c r="H522" s="1">
        <f>_xlfn.XLOOKUP(Ocupacao_DW[[#This Row],[Concat]],Vagas!$H:$H,Vagas!$D:$D,"",0)</f>
        <v>0</v>
      </c>
    </row>
    <row r="523" spans="1:8" x14ac:dyDescent="0.25">
      <c r="A523" s="2">
        <v>44643</v>
      </c>
      <c r="B523" s="1" t="s">
        <v>43</v>
      </c>
      <c r="C523">
        <v>57</v>
      </c>
      <c r="D523" s="1" t="s">
        <v>169</v>
      </c>
      <c r="E523" s="1" t="s">
        <v>6</v>
      </c>
      <c r="F523">
        <v>2</v>
      </c>
      <c r="G523" s="1" t="str">
        <f>Ocupacao_DW[[#This Row],[data]]&amp;Ocupacao_DW[[#This Row],[profissional_id]]&amp;Ocupacao_DW[[#This Row],[local_id]]</f>
        <v>44643572</v>
      </c>
      <c r="H523" s="1">
        <f>_xlfn.XLOOKUP(Ocupacao_DW[[#This Row],[Concat]],Vagas!$H:$H,Vagas!$D:$D,"",0)</f>
        <v>21</v>
      </c>
    </row>
    <row r="524" spans="1:8" x14ac:dyDescent="0.25">
      <c r="A524" s="2">
        <v>44649</v>
      </c>
      <c r="B524" s="1" t="s">
        <v>55</v>
      </c>
      <c r="C524">
        <v>73</v>
      </c>
      <c r="D524" s="1" t="s">
        <v>171</v>
      </c>
      <c r="E524" s="1" t="s">
        <v>6</v>
      </c>
      <c r="F524">
        <v>5</v>
      </c>
      <c r="G524" s="1" t="str">
        <f>Ocupacao_DW[[#This Row],[data]]&amp;Ocupacao_DW[[#This Row],[profissional_id]]&amp;Ocupacao_DW[[#This Row],[local_id]]</f>
        <v>44649735</v>
      </c>
      <c r="H524" s="1">
        <f>_xlfn.XLOOKUP(Ocupacao_DW[[#This Row],[Concat]],Vagas!$H:$H,Vagas!$D:$D,"",0)</f>
        <v>0</v>
      </c>
    </row>
    <row r="525" spans="1:8" x14ac:dyDescent="0.25">
      <c r="A525" s="2">
        <v>44635</v>
      </c>
      <c r="B525" s="1" t="s">
        <v>49</v>
      </c>
      <c r="C525">
        <v>81</v>
      </c>
      <c r="D525" s="1" t="s">
        <v>170</v>
      </c>
      <c r="E525" s="1" t="s">
        <v>7</v>
      </c>
      <c r="F525">
        <v>71</v>
      </c>
      <c r="G525" s="1" t="str">
        <f>Ocupacao_DW[[#This Row],[data]]&amp;Ocupacao_DW[[#This Row],[profissional_id]]&amp;Ocupacao_DW[[#This Row],[local_id]]</f>
        <v>446358171</v>
      </c>
      <c r="H525" s="1">
        <f>_xlfn.XLOOKUP(Ocupacao_DW[[#This Row],[Concat]],Vagas!$H:$H,Vagas!$D:$D,"",0)</f>
        <v>0</v>
      </c>
    </row>
    <row r="526" spans="1:8" x14ac:dyDescent="0.25">
      <c r="A526" s="2">
        <v>44643</v>
      </c>
      <c r="B526" s="1" t="s">
        <v>58</v>
      </c>
      <c r="C526">
        <v>5767</v>
      </c>
      <c r="D526" s="1" t="s">
        <v>239</v>
      </c>
      <c r="E526" s="1" t="s">
        <v>4</v>
      </c>
      <c r="F526">
        <v>43</v>
      </c>
      <c r="G526" s="1" t="str">
        <f>Ocupacao_DW[[#This Row],[data]]&amp;Ocupacao_DW[[#This Row],[profissional_id]]&amp;Ocupacao_DW[[#This Row],[local_id]]</f>
        <v>44643576743</v>
      </c>
      <c r="H526" s="1">
        <f>_xlfn.XLOOKUP(Ocupacao_DW[[#This Row],[Concat]],Vagas!$H:$H,Vagas!$D:$D,"",0)</f>
        <v>11</v>
      </c>
    </row>
    <row r="527" spans="1:8" x14ac:dyDescent="0.25">
      <c r="A527" s="2">
        <v>44638</v>
      </c>
      <c r="B527" s="1" t="s">
        <v>62</v>
      </c>
      <c r="C527">
        <v>3502</v>
      </c>
      <c r="D527" s="1" t="s">
        <v>214</v>
      </c>
      <c r="E527" s="1" t="s">
        <v>7</v>
      </c>
      <c r="F527">
        <v>69</v>
      </c>
      <c r="G527" s="1" t="str">
        <f>Ocupacao_DW[[#This Row],[data]]&amp;Ocupacao_DW[[#This Row],[profissional_id]]&amp;Ocupacao_DW[[#This Row],[local_id]]</f>
        <v>44638350269</v>
      </c>
      <c r="H527" s="1">
        <f>_xlfn.XLOOKUP(Ocupacao_DW[[#This Row],[Concat]],Vagas!$H:$H,Vagas!$D:$D,"",0)</f>
        <v>0</v>
      </c>
    </row>
    <row r="528" spans="1:8" x14ac:dyDescent="0.25">
      <c r="A528" s="2">
        <v>44636</v>
      </c>
      <c r="B528" s="1" t="s">
        <v>54</v>
      </c>
      <c r="C528">
        <v>1490</v>
      </c>
      <c r="D528" s="1" t="s">
        <v>174</v>
      </c>
      <c r="E528" s="1" t="s">
        <v>5</v>
      </c>
      <c r="F528">
        <v>13</v>
      </c>
      <c r="G528" s="1" t="str">
        <f>Ocupacao_DW[[#This Row],[data]]&amp;Ocupacao_DW[[#This Row],[profissional_id]]&amp;Ocupacao_DW[[#This Row],[local_id]]</f>
        <v>44636149013</v>
      </c>
      <c r="H528" s="1">
        <f>_xlfn.XLOOKUP(Ocupacao_DW[[#This Row],[Concat]],Vagas!$H:$H,Vagas!$D:$D,"",0)</f>
        <v>0</v>
      </c>
    </row>
    <row r="529" spans="1:8" x14ac:dyDescent="0.25">
      <c r="A529" s="2">
        <v>44635</v>
      </c>
      <c r="B529" s="1" t="s">
        <v>70</v>
      </c>
      <c r="C529">
        <v>12825</v>
      </c>
      <c r="D529" s="1" t="s">
        <v>177</v>
      </c>
      <c r="E529" s="1" t="s">
        <v>7</v>
      </c>
      <c r="F529">
        <v>63</v>
      </c>
      <c r="G529" s="1" t="str">
        <f>Ocupacao_DW[[#This Row],[data]]&amp;Ocupacao_DW[[#This Row],[profissional_id]]&amp;Ocupacao_DW[[#This Row],[local_id]]</f>
        <v>446351282563</v>
      </c>
      <c r="H529" s="1">
        <f>_xlfn.XLOOKUP(Ocupacao_DW[[#This Row],[Concat]],Vagas!$H:$H,Vagas!$D:$D,"",0)</f>
        <v>0</v>
      </c>
    </row>
    <row r="530" spans="1:8" x14ac:dyDescent="0.25">
      <c r="A530" s="2">
        <v>44637</v>
      </c>
      <c r="B530" s="1" t="s">
        <v>71</v>
      </c>
      <c r="C530">
        <v>282</v>
      </c>
      <c r="D530" s="1" t="s">
        <v>210</v>
      </c>
      <c r="E530" s="1" t="s">
        <v>7</v>
      </c>
      <c r="F530">
        <v>68</v>
      </c>
      <c r="G530" s="1" t="str">
        <f>Ocupacao_DW[[#This Row],[data]]&amp;Ocupacao_DW[[#This Row],[profissional_id]]&amp;Ocupacao_DW[[#This Row],[local_id]]</f>
        <v>4463728268</v>
      </c>
      <c r="H530" s="1">
        <f>_xlfn.XLOOKUP(Ocupacao_DW[[#This Row],[Concat]],Vagas!$H:$H,Vagas!$D:$D,"",0)</f>
        <v>0</v>
      </c>
    </row>
    <row r="531" spans="1:8" x14ac:dyDescent="0.25">
      <c r="A531" s="2">
        <v>44636</v>
      </c>
      <c r="B531" s="1" t="s">
        <v>52</v>
      </c>
      <c r="C531">
        <v>60</v>
      </c>
      <c r="D531" s="1" t="s">
        <v>217</v>
      </c>
      <c r="E531" s="1" t="s">
        <v>6</v>
      </c>
      <c r="F531">
        <v>8</v>
      </c>
      <c r="G531" s="1" t="str">
        <f>Ocupacao_DW[[#This Row],[data]]&amp;Ocupacao_DW[[#This Row],[profissional_id]]&amp;Ocupacao_DW[[#This Row],[local_id]]</f>
        <v>44636608</v>
      </c>
      <c r="H531" s="1">
        <f>_xlfn.XLOOKUP(Ocupacao_DW[[#This Row],[Concat]],Vagas!$H:$H,Vagas!$D:$D,"",0)</f>
        <v>0</v>
      </c>
    </row>
    <row r="532" spans="1:8" x14ac:dyDescent="0.25">
      <c r="A532" s="2">
        <v>44644</v>
      </c>
      <c r="B532" s="1" t="s">
        <v>64</v>
      </c>
      <c r="C532">
        <v>85</v>
      </c>
      <c r="D532" s="1" t="s">
        <v>211</v>
      </c>
      <c r="E532" s="1" t="s">
        <v>5</v>
      </c>
      <c r="F532">
        <v>349</v>
      </c>
      <c r="G532" s="1" t="str">
        <f>Ocupacao_DW[[#This Row],[data]]&amp;Ocupacao_DW[[#This Row],[profissional_id]]&amp;Ocupacao_DW[[#This Row],[local_id]]</f>
        <v>4464485349</v>
      </c>
      <c r="H532" s="1">
        <f>_xlfn.XLOOKUP(Ocupacao_DW[[#This Row],[Concat]],Vagas!$H:$H,Vagas!$D:$D,"",0)</f>
        <v>0</v>
      </c>
    </row>
    <row r="533" spans="1:8" x14ac:dyDescent="0.25">
      <c r="A533" s="2">
        <v>44643</v>
      </c>
      <c r="B533" s="1"/>
      <c r="C533">
        <v>2396</v>
      </c>
      <c r="D533" s="1" t="s">
        <v>197</v>
      </c>
      <c r="E533" s="1" t="s">
        <v>6</v>
      </c>
      <c r="F533">
        <v>2</v>
      </c>
      <c r="G533" s="1" t="str">
        <f>Ocupacao_DW[[#This Row],[data]]&amp;Ocupacao_DW[[#This Row],[profissional_id]]&amp;Ocupacao_DW[[#This Row],[local_id]]</f>
        <v>4464323962</v>
      </c>
      <c r="H533" s="1">
        <f>_xlfn.XLOOKUP(Ocupacao_DW[[#This Row],[Concat]],Vagas!$H:$H,Vagas!$D:$D,"",0)</f>
        <v>0</v>
      </c>
    </row>
    <row r="534" spans="1:8" x14ac:dyDescent="0.25">
      <c r="A534" s="2">
        <v>44635</v>
      </c>
      <c r="B534" s="1" t="s">
        <v>65</v>
      </c>
      <c r="C534">
        <v>11652</v>
      </c>
      <c r="D534" s="1" t="s">
        <v>242</v>
      </c>
      <c r="E534" s="1" t="s">
        <v>4</v>
      </c>
      <c r="F534">
        <v>47</v>
      </c>
      <c r="G534" s="1" t="str">
        <f>Ocupacao_DW[[#This Row],[data]]&amp;Ocupacao_DW[[#This Row],[profissional_id]]&amp;Ocupacao_DW[[#This Row],[local_id]]</f>
        <v>446351165247</v>
      </c>
      <c r="H534" s="1">
        <f>_xlfn.XLOOKUP(Ocupacao_DW[[#This Row],[Concat]],Vagas!$H:$H,Vagas!$D:$D,"",0)</f>
        <v>0</v>
      </c>
    </row>
    <row r="535" spans="1:8" x14ac:dyDescent="0.25">
      <c r="A535" s="2">
        <v>44643</v>
      </c>
      <c r="B535" s="1" t="s">
        <v>51</v>
      </c>
      <c r="C535">
        <v>12679</v>
      </c>
      <c r="D535" s="1" t="s">
        <v>192</v>
      </c>
      <c r="E535" s="1" t="s">
        <v>200</v>
      </c>
      <c r="F535">
        <v>82</v>
      </c>
      <c r="G535" s="1" t="str">
        <f>Ocupacao_DW[[#This Row],[data]]&amp;Ocupacao_DW[[#This Row],[profissional_id]]&amp;Ocupacao_DW[[#This Row],[local_id]]</f>
        <v>446431267982</v>
      </c>
      <c r="H535" s="1">
        <f>_xlfn.XLOOKUP(Ocupacao_DW[[#This Row],[Concat]],Vagas!$H:$H,Vagas!$D:$D,"",0)</f>
        <v>0</v>
      </c>
    </row>
    <row r="536" spans="1:8" x14ac:dyDescent="0.25">
      <c r="A536" s="2">
        <v>44636</v>
      </c>
      <c r="B536" s="1" t="s">
        <v>65</v>
      </c>
      <c r="C536">
        <v>13058</v>
      </c>
      <c r="D536" s="1" t="s">
        <v>256</v>
      </c>
      <c r="E536" s="1" t="s">
        <v>4</v>
      </c>
      <c r="F536">
        <v>47</v>
      </c>
      <c r="G536" s="1" t="str">
        <f>Ocupacao_DW[[#This Row],[data]]&amp;Ocupacao_DW[[#This Row],[profissional_id]]&amp;Ocupacao_DW[[#This Row],[local_id]]</f>
        <v>446361305847</v>
      </c>
      <c r="H536" s="1">
        <f>_xlfn.XLOOKUP(Ocupacao_DW[[#This Row],[Concat]],Vagas!$H:$H,Vagas!$D:$D,"",0)</f>
        <v>0</v>
      </c>
    </row>
    <row r="537" spans="1:8" x14ac:dyDescent="0.25">
      <c r="A537" s="2">
        <v>44635</v>
      </c>
      <c r="B537" s="1" t="s">
        <v>47</v>
      </c>
      <c r="C537">
        <v>12752</v>
      </c>
      <c r="D537" s="1" t="s">
        <v>253</v>
      </c>
      <c r="E537" s="1" t="s">
        <v>7</v>
      </c>
      <c r="F537">
        <v>60</v>
      </c>
      <c r="G537" s="1" t="str">
        <f>Ocupacao_DW[[#This Row],[data]]&amp;Ocupacao_DW[[#This Row],[profissional_id]]&amp;Ocupacao_DW[[#This Row],[local_id]]</f>
        <v>446351275260</v>
      </c>
      <c r="H537" s="1">
        <f>_xlfn.XLOOKUP(Ocupacao_DW[[#This Row],[Concat]],Vagas!$H:$H,Vagas!$D:$D,"",0)</f>
        <v>0</v>
      </c>
    </row>
    <row r="538" spans="1:8" x14ac:dyDescent="0.25">
      <c r="A538" s="2">
        <v>44657</v>
      </c>
      <c r="B538" s="1" t="s">
        <v>70</v>
      </c>
      <c r="C538">
        <v>12825</v>
      </c>
      <c r="D538" s="1" t="s">
        <v>177</v>
      </c>
      <c r="E538" s="1" t="s">
        <v>4</v>
      </c>
      <c r="F538">
        <v>45</v>
      </c>
      <c r="G538" s="1" t="str">
        <f>Ocupacao_DW[[#This Row],[data]]&amp;Ocupacao_DW[[#This Row],[profissional_id]]&amp;Ocupacao_DW[[#This Row],[local_id]]</f>
        <v>446571282545</v>
      </c>
      <c r="H538" s="1">
        <f>_xlfn.XLOOKUP(Ocupacao_DW[[#This Row],[Concat]],Vagas!$H:$H,Vagas!$D:$D,"",0)</f>
        <v>0</v>
      </c>
    </row>
    <row r="539" spans="1:8" x14ac:dyDescent="0.25">
      <c r="A539" s="2">
        <v>44635</v>
      </c>
      <c r="B539" s="1" t="s">
        <v>43</v>
      </c>
      <c r="C539">
        <v>57</v>
      </c>
      <c r="D539" s="1" t="s">
        <v>169</v>
      </c>
      <c r="E539" s="1" t="s">
        <v>6</v>
      </c>
      <c r="F539">
        <v>2</v>
      </c>
      <c r="G539" s="1" t="str">
        <f>Ocupacao_DW[[#This Row],[data]]&amp;Ocupacao_DW[[#This Row],[profissional_id]]&amp;Ocupacao_DW[[#This Row],[local_id]]</f>
        <v>44635572</v>
      </c>
      <c r="H539" s="1">
        <f>_xlfn.XLOOKUP(Ocupacao_DW[[#This Row],[Concat]],Vagas!$H:$H,Vagas!$D:$D,"",0)</f>
        <v>0</v>
      </c>
    </row>
    <row r="540" spans="1:8" x14ac:dyDescent="0.25">
      <c r="A540" s="2">
        <v>44644</v>
      </c>
      <c r="B540" s="1" t="s">
        <v>51</v>
      </c>
      <c r="C540">
        <v>53</v>
      </c>
      <c r="D540" s="1" t="s">
        <v>254</v>
      </c>
      <c r="E540" s="1" t="s">
        <v>5</v>
      </c>
      <c r="F540">
        <v>14</v>
      </c>
      <c r="G540" s="1" t="str">
        <f>Ocupacao_DW[[#This Row],[data]]&amp;Ocupacao_DW[[#This Row],[profissional_id]]&amp;Ocupacao_DW[[#This Row],[local_id]]</f>
        <v>446445314</v>
      </c>
      <c r="H540" s="1">
        <f>_xlfn.XLOOKUP(Ocupacao_DW[[#This Row],[Concat]],Vagas!$H:$H,Vagas!$D:$D,"",0)</f>
        <v>0</v>
      </c>
    </row>
    <row r="541" spans="1:8" x14ac:dyDescent="0.25">
      <c r="A541" s="2">
        <v>44649</v>
      </c>
      <c r="B541" s="1" t="s">
        <v>55</v>
      </c>
      <c r="C541">
        <v>73</v>
      </c>
      <c r="D541" s="1" t="s">
        <v>171</v>
      </c>
      <c r="E541" s="1" t="s">
        <v>6</v>
      </c>
      <c r="F541">
        <v>5</v>
      </c>
      <c r="G541" s="1" t="str">
        <f>Ocupacao_DW[[#This Row],[data]]&amp;Ocupacao_DW[[#This Row],[profissional_id]]&amp;Ocupacao_DW[[#This Row],[local_id]]</f>
        <v>44649735</v>
      </c>
      <c r="H541" s="1">
        <f>_xlfn.XLOOKUP(Ocupacao_DW[[#This Row],[Concat]],Vagas!$H:$H,Vagas!$D:$D,"",0)</f>
        <v>0</v>
      </c>
    </row>
    <row r="542" spans="1:8" x14ac:dyDescent="0.25">
      <c r="A542" s="2">
        <v>44651</v>
      </c>
      <c r="B542" s="1" t="s">
        <v>55</v>
      </c>
      <c r="C542">
        <v>12426</v>
      </c>
      <c r="D542" s="1" t="s">
        <v>215</v>
      </c>
      <c r="E542" s="1" t="s">
        <v>6</v>
      </c>
      <c r="F542">
        <v>5</v>
      </c>
      <c r="G542" s="1" t="str">
        <f>Ocupacao_DW[[#This Row],[data]]&amp;Ocupacao_DW[[#This Row],[profissional_id]]&amp;Ocupacao_DW[[#This Row],[local_id]]</f>
        <v>44651124265</v>
      </c>
      <c r="H542" s="1">
        <f>_xlfn.XLOOKUP(Ocupacao_DW[[#This Row],[Concat]],Vagas!$H:$H,Vagas!$D:$D,"",0)</f>
        <v>0</v>
      </c>
    </row>
    <row r="543" spans="1:8" x14ac:dyDescent="0.25">
      <c r="A543" s="2">
        <v>44643</v>
      </c>
      <c r="B543" s="1" t="s">
        <v>58</v>
      </c>
      <c r="C543">
        <v>5767</v>
      </c>
      <c r="D543" s="1" t="s">
        <v>239</v>
      </c>
      <c r="E543" s="1" t="s">
        <v>4</v>
      </c>
      <c r="F543">
        <v>43</v>
      </c>
      <c r="G543" s="1" t="str">
        <f>Ocupacao_DW[[#This Row],[data]]&amp;Ocupacao_DW[[#This Row],[profissional_id]]&amp;Ocupacao_DW[[#This Row],[local_id]]</f>
        <v>44643576743</v>
      </c>
      <c r="H543" s="1">
        <f>_xlfn.XLOOKUP(Ocupacao_DW[[#This Row],[Concat]],Vagas!$H:$H,Vagas!$D:$D,"",0)</f>
        <v>11</v>
      </c>
    </row>
    <row r="544" spans="1:8" x14ac:dyDescent="0.25">
      <c r="A544" s="2">
        <v>44637</v>
      </c>
      <c r="B544" s="1" t="s">
        <v>55</v>
      </c>
      <c r="C544">
        <v>8598</v>
      </c>
      <c r="D544" s="1" t="s">
        <v>228</v>
      </c>
      <c r="E544" s="1" t="s">
        <v>6</v>
      </c>
      <c r="F544">
        <v>3</v>
      </c>
      <c r="G544" s="1" t="str">
        <f>Ocupacao_DW[[#This Row],[data]]&amp;Ocupacao_DW[[#This Row],[profissional_id]]&amp;Ocupacao_DW[[#This Row],[local_id]]</f>
        <v>4463785983</v>
      </c>
      <c r="H544" s="1">
        <f>_xlfn.XLOOKUP(Ocupacao_DW[[#This Row],[Concat]],Vagas!$H:$H,Vagas!$D:$D,"",0)</f>
        <v>0</v>
      </c>
    </row>
    <row r="545" spans="1:8" x14ac:dyDescent="0.25">
      <c r="A545" s="2">
        <v>44635</v>
      </c>
      <c r="B545" s="1" t="s">
        <v>141</v>
      </c>
      <c r="C545">
        <v>17884</v>
      </c>
      <c r="D545" s="1" t="s">
        <v>278</v>
      </c>
      <c r="E545" s="1" t="s">
        <v>167</v>
      </c>
      <c r="F545">
        <v>22</v>
      </c>
      <c r="G545" s="1" t="str">
        <f>Ocupacao_DW[[#This Row],[data]]&amp;Ocupacao_DW[[#This Row],[profissional_id]]&amp;Ocupacao_DW[[#This Row],[local_id]]</f>
        <v>446351788422</v>
      </c>
      <c r="H545" s="1">
        <f>_xlfn.XLOOKUP(Ocupacao_DW[[#This Row],[Concat]],Vagas!$H:$H,Vagas!$D:$D,"",0)</f>
        <v>22</v>
      </c>
    </row>
    <row r="546" spans="1:8" x14ac:dyDescent="0.25">
      <c r="A546" s="2">
        <v>44636</v>
      </c>
      <c r="B546" s="1" t="s">
        <v>47</v>
      </c>
      <c r="C546">
        <v>111</v>
      </c>
      <c r="D546" s="1" t="s">
        <v>199</v>
      </c>
      <c r="E546" s="1" t="s">
        <v>4</v>
      </c>
      <c r="F546">
        <v>51</v>
      </c>
      <c r="G546" s="1" t="str">
        <f>Ocupacao_DW[[#This Row],[data]]&amp;Ocupacao_DW[[#This Row],[profissional_id]]&amp;Ocupacao_DW[[#This Row],[local_id]]</f>
        <v>4463611151</v>
      </c>
      <c r="H546" s="1">
        <f>_xlfn.XLOOKUP(Ocupacao_DW[[#This Row],[Concat]],Vagas!$H:$H,Vagas!$D:$D,"",0)</f>
        <v>1</v>
      </c>
    </row>
    <row r="547" spans="1:8" x14ac:dyDescent="0.25">
      <c r="A547" s="2">
        <v>44638</v>
      </c>
      <c r="B547" s="1" t="s">
        <v>52</v>
      </c>
      <c r="C547">
        <v>55</v>
      </c>
      <c r="D547" s="1" t="s">
        <v>244</v>
      </c>
      <c r="E547" s="1" t="s">
        <v>7</v>
      </c>
      <c r="F547">
        <v>68</v>
      </c>
      <c r="G547" s="1" t="str">
        <f>Ocupacao_DW[[#This Row],[data]]&amp;Ocupacao_DW[[#This Row],[profissional_id]]&amp;Ocupacao_DW[[#This Row],[local_id]]</f>
        <v>446385568</v>
      </c>
      <c r="H547" s="1">
        <f>_xlfn.XLOOKUP(Ocupacao_DW[[#This Row],[Concat]],Vagas!$H:$H,Vagas!$D:$D,"",0)</f>
        <v>0</v>
      </c>
    </row>
    <row r="548" spans="1:8" x14ac:dyDescent="0.25">
      <c r="A548" s="2">
        <v>44643</v>
      </c>
      <c r="B548" s="1" t="s">
        <v>57</v>
      </c>
      <c r="C548">
        <v>80</v>
      </c>
      <c r="D548" s="1" t="s">
        <v>179</v>
      </c>
      <c r="E548" s="1" t="s">
        <v>167</v>
      </c>
      <c r="F548">
        <v>346</v>
      </c>
      <c r="G548" s="1" t="str">
        <f>Ocupacao_DW[[#This Row],[data]]&amp;Ocupacao_DW[[#This Row],[profissional_id]]&amp;Ocupacao_DW[[#This Row],[local_id]]</f>
        <v>4464380346</v>
      </c>
      <c r="H548" s="1">
        <f>_xlfn.XLOOKUP(Ocupacao_DW[[#This Row],[Concat]],Vagas!$H:$H,Vagas!$D:$D,"",0)</f>
        <v>0</v>
      </c>
    </row>
    <row r="549" spans="1:8" x14ac:dyDescent="0.25">
      <c r="A549" s="2">
        <v>44650</v>
      </c>
      <c r="B549" s="1" t="s">
        <v>55</v>
      </c>
      <c r="C549">
        <v>73</v>
      </c>
      <c r="D549" s="1" t="s">
        <v>171</v>
      </c>
      <c r="E549" s="1" t="s">
        <v>6</v>
      </c>
      <c r="F549">
        <v>5</v>
      </c>
      <c r="G549" s="1" t="str">
        <f>Ocupacao_DW[[#This Row],[data]]&amp;Ocupacao_DW[[#This Row],[profissional_id]]&amp;Ocupacao_DW[[#This Row],[local_id]]</f>
        <v>44650735</v>
      </c>
      <c r="H549" s="1">
        <f>_xlfn.XLOOKUP(Ocupacao_DW[[#This Row],[Concat]],Vagas!$H:$H,Vagas!$D:$D,"",0)</f>
        <v>0</v>
      </c>
    </row>
    <row r="550" spans="1:8" x14ac:dyDescent="0.25">
      <c r="A550" s="2">
        <v>44650</v>
      </c>
      <c r="B550" s="1" t="s">
        <v>24</v>
      </c>
      <c r="C550">
        <v>13061</v>
      </c>
      <c r="D550" s="1" t="s">
        <v>232</v>
      </c>
      <c r="E550" s="1" t="s">
        <v>6</v>
      </c>
      <c r="F550">
        <v>3</v>
      </c>
      <c r="G550" s="1" t="str">
        <f>Ocupacao_DW[[#This Row],[data]]&amp;Ocupacao_DW[[#This Row],[profissional_id]]&amp;Ocupacao_DW[[#This Row],[local_id]]</f>
        <v>44650130613</v>
      </c>
      <c r="H550" s="1">
        <f>_xlfn.XLOOKUP(Ocupacao_DW[[#This Row],[Concat]],Vagas!$H:$H,Vagas!$D:$D,"",0)</f>
        <v>0</v>
      </c>
    </row>
    <row r="551" spans="1:8" x14ac:dyDescent="0.25">
      <c r="A551" s="2">
        <v>44641</v>
      </c>
      <c r="B551" s="1" t="s">
        <v>69</v>
      </c>
      <c r="C551">
        <v>17878</v>
      </c>
      <c r="D551" s="1" t="s">
        <v>183</v>
      </c>
      <c r="E551" s="1" t="s">
        <v>4</v>
      </c>
      <c r="F551">
        <v>47</v>
      </c>
      <c r="G551" s="1" t="str">
        <f>Ocupacao_DW[[#This Row],[data]]&amp;Ocupacao_DW[[#This Row],[profissional_id]]&amp;Ocupacao_DW[[#This Row],[local_id]]</f>
        <v>446411787847</v>
      </c>
      <c r="H551" s="1">
        <f>_xlfn.XLOOKUP(Ocupacao_DW[[#This Row],[Concat]],Vagas!$H:$H,Vagas!$D:$D,"",0)</f>
        <v>0</v>
      </c>
    </row>
    <row r="552" spans="1:8" x14ac:dyDescent="0.25">
      <c r="A552" s="2">
        <v>44637</v>
      </c>
      <c r="B552" s="1" t="s">
        <v>52</v>
      </c>
      <c r="C552">
        <v>10691</v>
      </c>
      <c r="D552" s="1" t="s">
        <v>181</v>
      </c>
      <c r="E552" s="1" t="s">
        <v>6</v>
      </c>
      <c r="F552">
        <v>9</v>
      </c>
      <c r="G552" s="1" t="str">
        <f>Ocupacao_DW[[#This Row],[data]]&amp;Ocupacao_DW[[#This Row],[profissional_id]]&amp;Ocupacao_DW[[#This Row],[local_id]]</f>
        <v>44637106919</v>
      </c>
      <c r="H552" s="1">
        <f>_xlfn.XLOOKUP(Ocupacao_DW[[#This Row],[Concat]],Vagas!$H:$H,Vagas!$D:$D,"",0)</f>
        <v>0</v>
      </c>
    </row>
    <row r="553" spans="1:8" x14ac:dyDescent="0.25">
      <c r="A553" s="2">
        <v>44635</v>
      </c>
      <c r="B553" s="1" t="s">
        <v>65</v>
      </c>
      <c r="C553">
        <v>11652</v>
      </c>
      <c r="D553" s="1" t="s">
        <v>242</v>
      </c>
      <c r="E553" s="1" t="s">
        <v>4</v>
      </c>
      <c r="F553">
        <v>47</v>
      </c>
      <c r="G553" s="1" t="str">
        <f>Ocupacao_DW[[#This Row],[data]]&amp;Ocupacao_DW[[#This Row],[profissional_id]]&amp;Ocupacao_DW[[#This Row],[local_id]]</f>
        <v>446351165247</v>
      </c>
      <c r="H553" s="1">
        <f>_xlfn.XLOOKUP(Ocupacao_DW[[#This Row],[Concat]],Vagas!$H:$H,Vagas!$D:$D,"",0)</f>
        <v>0</v>
      </c>
    </row>
    <row r="554" spans="1:8" x14ac:dyDescent="0.25">
      <c r="A554" s="2">
        <v>44635</v>
      </c>
      <c r="B554" s="1" t="s">
        <v>43</v>
      </c>
      <c r="C554">
        <v>57</v>
      </c>
      <c r="D554" s="1" t="s">
        <v>169</v>
      </c>
      <c r="E554" s="1" t="s">
        <v>6</v>
      </c>
      <c r="F554">
        <v>2</v>
      </c>
      <c r="G554" s="1" t="str">
        <f>Ocupacao_DW[[#This Row],[data]]&amp;Ocupacao_DW[[#This Row],[profissional_id]]&amp;Ocupacao_DW[[#This Row],[local_id]]</f>
        <v>44635572</v>
      </c>
      <c r="H554" s="1">
        <f>_xlfn.XLOOKUP(Ocupacao_DW[[#This Row],[Concat]],Vagas!$H:$H,Vagas!$D:$D,"",0)</f>
        <v>0</v>
      </c>
    </row>
    <row r="555" spans="1:8" x14ac:dyDescent="0.25">
      <c r="A555" s="2">
        <v>44635</v>
      </c>
      <c r="B555" s="1"/>
      <c r="C555">
        <v>0</v>
      </c>
      <c r="D555" s="1"/>
      <c r="E555" s="1" t="s">
        <v>7</v>
      </c>
      <c r="F555">
        <v>60</v>
      </c>
      <c r="G555" s="1" t="str">
        <f>Ocupacao_DW[[#This Row],[data]]&amp;Ocupacao_DW[[#This Row],[profissional_id]]&amp;Ocupacao_DW[[#This Row],[local_id]]</f>
        <v>44635060</v>
      </c>
      <c r="H555" s="1" t="str">
        <f>_xlfn.XLOOKUP(Ocupacao_DW[[#This Row],[Concat]],Vagas!$H:$H,Vagas!$D:$D,"",0)</f>
        <v/>
      </c>
    </row>
    <row r="556" spans="1:8" x14ac:dyDescent="0.25">
      <c r="A556" s="2">
        <v>44641</v>
      </c>
      <c r="B556" s="1" t="s">
        <v>52</v>
      </c>
      <c r="C556">
        <v>10691</v>
      </c>
      <c r="D556" s="1" t="s">
        <v>181</v>
      </c>
      <c r="E556" s="1" t="s">
        <v>6</v>
      </c>
      <c r="F556">
        <v>9</v>
      </c>
      <c r="G556" s="1" t="str">
        <f>Ocupacao_DW[[#This Row],[data]]&amp;Ocupacao_DW[[#This Row],[profissional_id]]&amp;Ocupacao_DW[[#This Row],[local_id]]</f>
        <v>44641106919</v>
      </c>
      <c r="H556" s="1">
        <f>_xlfn.XLOOKUP(Ocupacao_DW[[#This Row],[Concat]],Vagas!$H:$H,Vagas!$D:$D,"",0)</f>
        <v>0</v>
      </c>
    </row>
    <row r="557" spans="1:8" x14ac:dyDescent="0.25">
      <c r="A557" s="2">
        <v>44638</v>
      </c>
      <c r="B557" s="1" t="s">
        <v>52</v>
      </c>
      <c r="C557">
        <v>57</v>
      </c>
      <c r="D557" s="1" t="s">
        <v>169</v>
      </c>
      <c r="E557" s="1" t="s">
        <v>6</v>
      </c>
      <c r="F557">
        <v>8</v>
      </c>
      <c r="G557" s="1" t="str">
        <f>Ocupacao_DW[[#This Row],[data]]&amp;Ocupacao_DW[[#This Row],[profissional_id]]&amp;Ocupacao_DW[[#This Row],[local_id]]</f>
        <v>44638578</v>
      </c>
      <c r="H557" s="1">
        <f>_xlfn.XLOOKUP(Ocupacao_DW[[#This Row],[Concat]],Vagas!$H:$H,Vagas!$D:$D,"",0)</f>
        <v>0</v>
      </c>
    </row>
    <row r="558" spans="1:8" x14ac:dyDescent="0.25">
      <c r="A558" s="2">
        <v>44649</v>
      </c>
      <c r="B558" s="1" t="s">
        <v>55</v>
      </c>
      <c r="C558">
        <v>73</v>
      </c>
      <c r="D558" s="1" t="s">
        <v>171</v>
      </c>
      <c r="E558" s="1" t="s">
        <v>6</v>
      </c>
      <c r="F558">
        <v>5</v>
      </c>
      <c r="G558" s="1" t="str">
        <f>Ocupacao_DW[[#This Row],[data]]&amp;Ocupacao_DW[[#This Row],[profissional_id]]&amp;Ocupacao_DW[[#This Row],[local_id]]</f>
        <v>44649735</v>
      </c>
      <c r="H558" s="1">
        <f>_xlfn.XLOOKUP(Ocupacao_DW[[#This Row],[Concat]],Vagas!$H:$H,Vagas!$D:$D,"",0)</f>
        <v>0</v>
      </c>
    </row>
    <row r="559" spans="1:8" x14ac:dyDescent="0.25">
      <c r="A559" s="2">
        <v>44638</v>
      </c>
      <c r="B559" s="1" t="s">
        <v>43</v>
      </c>
      <c r="C559">
        <v>17864</v>
      </c>
      <c r="D559" s="1" t="s">
        <v>234</v>
      </c>
      <c r="E559" s="1" t="s">
        <v>7</v>
      </c>
      <c r="F559">
        <v>60</v>
      </c>
      <c r="G559" s="1" t="str">
        <f>Ocupacao_DW[[#This Row],[data]]&amp;Ocupacao_DW[[#This Row],[profissional_id]]&amp;Ocupacao_DW[[#This Row],[local_id]]</f>
        <v>446381786460</v>
      </c>
      <c r="H559" s="1">
        <f>_xlfn.XLOOKUP(Ocupacao_DW[[#This Row],[Concat]],Vagas!$H:$H,Vagas!$D:$D,"",0)</f>
        <v>0</v>
      </c>
    </row>
    <row r="560" spans="1:8" x14ac:dyDescent="0.25">
      <c r="A560" s="2">
        <v>44646</v>
      </c>
      <c r="B560" s="1"/>
      <c r="C560">
        <v>111</v>
      </c>
      <c r="D560" s="1" t="s">
        <v>199</v>
      </c>
      <c r="E560" s="1" t="s">
        <v>4</v>
      </c>
      <c r="F560">
        <v>51</v>
      </c>
      <c r="G560" s="1" t="str">
        <f>Ocupacao_DW[[#This Row],[data]]&amp;Ocupacao_DW[[#This Row],[profissional_id]]&amp;Ocupacao_DW[[#This Row],[local_id]]</f>
        <v>4464611151</v>
      </c>
      <c r="H560" s="1">
        <f>_xlfn.XLOOKUP(Ocupacao_DW[[#This Row],[Concat]],Vagas!$H:$H,Vagas!$D:$D,"",0)</f>
        <v>31</v>
      </c>
    </row>
    <row r="561" spans="1:8" x14ac:dyDescent="0.25">
      <c r="A561" s="2">
        <v>44646</v>
      </c>
      <c r="B561" s="1" t="s">
        <v>47</v>
      </c>
      <c r="C561">
        <v>111</v>
      </c>
      <c r="D561" s="1" t="s">
        <v>199</v>
      </c>
      <c r="E561" s="1" t="s">
        <v>4</v>
      </c>
      <c r="F561">
        <v>51</v>
      </c>
      <c r="G561" s="1" t="str">
        <f>Ocupacao_DW[[#This Row],[data]]&amp;Ocupacao_DW[[#This Row],[profissional_id]]&amp;Ocupacao_DW[[#This Row],[local_id]]</f>
        <v>4464611151</v>
      </c>
      <c r="H561" s="1">
        <f>_xlfn.XLOOKUP(Ocupacao_DW[[#This Row],[Concat]],Vagas!$H:$H,Vagas!$D:$D,"",0)</f>
        <v>31</v>
      </c>
    </row>
    <row r="562" spans="1:8" x14ac:dyDescent="0.25">
      <c r="A562" s="2">
        <v>44635</v>
      </c>
      <c r="B562" s="1" t="s">
        <v>55</v>
      </c>
      <c r="C562">
        <v>60</v>
      </c>
      <c r="D562" s="1" t="s">
        <v>217</v>
      </c>
      <c r="E562" s="1" t="s">
        <v>167</v>
      </c>
      <c r="F562">
        <v>345</v>
      </c>
      <c r="G562" s="1" t="str">
        <f>Ocupacao_DW[[#This Row],[data]]&amp;Ocupacao_DW[[#This Row],[profissional_id]]&amp;Ocupacao_DW[[#This Row],[local_id]]</f>
        <v>4463560345</v>
      </c>
      <c r="H562" s="1">
        <f>_xlfn.XLOOKUP(Ocupacao_DW[[#This Row],[Concat]],Vagas!$H:$H,Vagas!$D:$D,"",0)</f>
        <v>0</v>
      </c>
    </row>
    <row r="563" spans="1:8" x14ac:dyDescent="0.25">
      <c r="A563" s="2">
        <v>44641</v>
      </c>
      <c r="B563" s="1" t="s">
        <v>72</v>
      </c>
      <c r="C563">
        <v>6046</v>
      </c>
      <c r="D563" s="1" t="s">
        <v>222</v>
      </c>
      <c r="E563" s="1" t="s">
        <v>4</v>
      </c>
      <c r="F563">
        <v>46</v>
      </c>
      <c r="G563" s="1" t="str">
        <f>Ocupacao_DW[[#This Row],[data]]&amp;Ocupacao_DW[[#This Row],[profissional_id]]&amp;Ocupacao_DW[[#This Row],[local_id]]</f>
        <v>44641604646</v>
      </c>
      <c r="H563" s="1">
        <f>_xlfn.XLOOKUP(Ocupacao_DW[[#This Row],[Concat]],Vagas!$H:$H,Vagas!$D:$D,"",0)</f>
        <v>0</v>
      </c>
    </row>
    <row r="564" spans="1:8" x14ac:dyDescent="0.25">
      <c r="A564" s="2">
        <v>44644</v>
      </c>
      <c r="B564" s="1" t="s">
        <v>51</v>
      </c>
      <c r="C564">
        <v>53</v>
      </c>
      <c r="D564" s="1" t="s">
        <v>254</v>
      </c>
      <c r="E564" s="1" t="s">
        <v>5</v>
      </c>
      <c r="F564">
        <v>14</v>
      </c>
      <c r="G564" s="1" t="str">
        <f>Ocupacao_DW[[#This Row],[data]]&amp;Ocupacao_DW[[#This Row],[profissional_id]]&amp;Ocupacao_DW[[#This Row],[local_id]]</f>
        <v>446445314</v>
      </c>
      <c r="H564" s="1">
        <f>_xlfn.XLOOKUP(Ocupacao_DW[[#This Row],[Concat]],Vagas!$H:$H,Vagas!$D:$D,"",0)</f>
        <v>0</v>
      </c>
    </row>
    <row r="565" spans="1:8" x14ac:dyDescent="0.25">
      <c r="A565" s="2">
        <v>44636</v>
      </c>
      <c r="B565" s="1" t="s">
        <v>52</v>
      </c>
      <c r="C565">
        <v>10946</v>
      </c>
      <c r="D565" s="1" t="s">
        <v>209</v>
      </c>
      <c r="E565" s="1" t="s">
        <v>7</v>
      </c>
      <c r="F565">
        <v>60</v>
      </c>
      <c r="G565" s="1" t="str">
        <f>Ocupacao_DW[[#This Row],[data]]&amp;Ocupacao_DW[[#This Row],[profissional_id]]&amp;Ocupacao_DW[[#This Row],[local_id]]</f>
        <v>446361094660</v>
      </c>
      <c r="H565" s="1">
        <f>_xlfn.XLOOKUP(Ocupacao_DW[[#This Row],[Concat]],Vagas!$H:$H,Vagas!$D:$D,"",0)</f>
        <v>0</v>
      </c>
    </row>
    <row r="566" spans="1:8" x14ac:dyDescent="0.25">
      <c r="A566" s="2">
        <v>44655</v>
      </c>
      <c r="B566" s="1" t="s">
        <v>52</v>
      </c>
      <c r="C566">
        <v>10691</v>
      </c>
      <c r="D566" s="1" t="s">
        <v>181</v>
      </c>
      <c r="E566" s="1" t="s">
        <v>6</v>
      </c>
      <c r="F566">
        <v>9</v>
      </c>
      <c r="G566" s="1" t="str">
        <f>Ocupacao_DW[[#This Row],[data]]&amp;Ocupacao_DW[[#This Row],[profissional_id]]&amp;Ocupacao_DW[[#This Row],[local_id]]</f>
        <v>44655106919</v>
      </c>
      <c r="H566" s="1">
        <f>_xlfn.XLOOKUP(Ocupacao_DW[[#This Row],[Concat]],Vagas!$H:$H,Vagas!$D:$D,"",0)</f>
        <v>0</v>
      </c>
    </row>
    <row r="567" spans="1:8" x14ac:dyDescent="0.25">
      <c r="A567" s="2">
        <v>44639</v>
      </c>
      <c r="B567" s="1" t="s">
        <v>47</v>
      </c>
      <c r="C567">
        <v>111</v>
      </c>
      <c r="D567" s="1" t="s">
        <v>199</v>
      </c>
      <c r="E567" s="1" t="s">
        <v>4</v>
      </c>
      <c r="F567">
        <v>51</v>
      </c>
      <c r="G567" s="1" t="str">
        <f>Ocupacao_DW[[#This Row],[data]]&amp;Ocupacao_DW[[#This Row],[profissional_id]]&amp;Ocupacao_DW[[#This Row],[local_id]]</f>
        <v>4463911151</v>
      </c>
      <c r="H567" s="1">
        <f>_xlfn.XLOOKUP(Ocupacao_DW[[#This Row],[Concat]],Vagas!$H:$H,Vagas!$D:$D,"",0)</f>
        <v>0</v>
      </c>
    </row>
    <row r="568" spans="1:8" x14ac:dyDescent="0.25">
      <c r="A568" s="2">
        <v>44635</v>
      </c>
      <c r="B568" s="1" t="s">
        <v>54</v>
      </c>
      <c r="C568">
        <v>12623</v>
      </c>
      <c r="D568" s="1" t="s">
        <v>258</v>
      </c>
      <c r="E568" s="1" t="s">
        <v>5</v>
      </c>
      <c r="F568">
        <v>11</v>
      </c>
      <c r="G568" s="1" t="str">
        <f>Ocupacao_DW[[#This Row],[data]]&amp;Ocupacao_DW[[#This Row],[profissional_id]]&amp;Ocupacao_DW[[#This Row],[local_id]]</f>
        <v>446351262311</v>
      </c>
      <c r="H568" s="1">
        <f>_xlfn.XLOOKUP(Ocupacao_DW[[#This Row],[Concat]],Vagas!$H:$H,Vagas!$D:$D,"",0)</f>
        <v>0</v>
      </c>
    </row>
    <row r="569" spans="1:8" x14ac:dyDescent="0.25">
      <c r="A569" s="2">
        <v>44638</v>
      </c>
      <c r="B569" s="1" t="s">
        <v>52</v>
      </c>
      <c r="C569">
        <v>10691</v>
      </c>
      <c r="D569" s="1" t="s">
        <v>181</v>
      </c>
      <c r="E569" s="1" t="s">
        <v>200</v>
      </c>
      <c r="F569">
        <v>78</v>
      </c>
      <c r="G569" s="1" t="str">
        <f>Ocupacao_DW[[#This Row],[data]]&amp;Ocupacao_DW[[#This Row],[profissional_id]]&amp;Ocupacao_DW[[#This Row],[local_id]]</f>
        <v>446381069178</v>
      </c>
      <c r="H569" s="1">
        <f>_xlfn.XLOOKUP(Ocupacao_DW[[#This Row],[Concat]],Vagas!$H:$H,Vagas!$D:$D,"",0)</f>
        <v>0</v>
      </c>
    </row>
    <row r="570" spans="1:8" x14ac:dyDescent="0.25">
      <c r="A570" s="2">
        <v>44638</v>
      </c>
      <c r="B570" s="1" t="s">
        <v>62</v>
      </c>
      <c r="C570">
        <v>3502</v>
      </c>
      <c r="D570" s="1" t="s">
        <v>214</v>
      </c>
      <c r="E570" s="1" t="s">
        <v>7</v>
      </c>
      <c r="F570">
        <v>69</v>
      </c>
      <c r="G570" s="1" t="str">
        <f>Ocupacao_DW[[#This Row],[data]]&amp;Ocupacao_DW[[#This Row],[profissional_id]]&amp;Ocupacao_DW[[#This Row],[local_id]]</f>
        <v>44638350269</v>
      </c>
      <c r="H570" s="1">
        <f>_xlfn.XLOOKUP(Ocupacao_DW[[#This Row],[Concat]],Vagas!$H:$H,Vagas!$D:$D,"",0)</f>
        <v>0</v>
      </c>
    </row>
    <row r="571" spans="1:8" x14ac:dyDescent="0.25">
      <c r="A571" s="2">
        <v>44643</v>
      </c>
      <c r="B571" s="1" t="s">
        <v>55</v>
      </c>
      <c r="C571">
        <v>74</v>
      </c>
      <c r="D571" s="1" t="s">
        <v>182</v>
      </c>
      <c r="E571" s="1" t="s">
        <v>6</v>
      </c>
      <c r="F571">
        <v>7</v>
      </c>
      <c r="G571" s="1" t="str">
        <f>Ocupacao_DW[[#This Row],[data]]&amp;Ocupacao_DW[[#This Row],[profissional_id]]&amp;Ocupacao_DW[[#This Row],[local_id]]</f>
        <v>44643747</v>
      </c>
      <c r="H571" s="1">
        <f>_xlfn.XLOOKUP(Ocupacao_DW[[#This Row],[Concat]],Vagas!$H:$H,Vagas!$D:$D,"",0)</f>
        <v>0</v>
      </c>
    </row>
    <row r="572" spans="1:8" x14ac:dyDescent="0.25">
      <c r="A572" s="2">
        <v>44642</v>
      </c>
      <c r="B572" s="1" t="s">
        <v>70</v>
      </c>
      <c r="C572">
        <v>14237</v>
      </c>
      <c r="D572" s="1" t="s">
        <v>186</v>
      </c>
      <c r="E572" s="1" t="s">
        <v>4</v>
      </c>
      <c r="F572">
        <v>47</v>
      </c>
      <c r="G572" s="1" t="str">
        <f>Ocupacao_DW[[#This Row],[data]]&amp;Ocupacao_DW[[#This Row],[profissional_id]]&amp;Ocupacao_DW[[#This Row],[local_id]]</f>
        <v>446421423747</v>
      </c>
      <c r="H572" s="1">
        <f>_xlfn.XLOOKUP(Ocupacao_DW[[#This Row],[Concat]],Vagas!$H:$H,Vagas!$D:$D,"",0)</f>
        <v>0</v>
      </c>
    </row>
    <row r="573" spans="1:8" x14ac:dyDescent="0.25">
      <c r="A573" s="2">
        <v>44636</v>
      </c>
      <c r="B573" s="1" t="s">
        <v>47</v>
      </c>
      <c r="C573">
        <v>110</v>
      </c>
      <c r="D573" s="1" t="s">
        <v>193</v>
      </c>
      <c r="E573" s="1" t="s">
        <v>4</v>
      </c>
      <c r="F573">
        <v>334</v>
      </c>
      <c r="G573" s="1" t="str">
        <f>Ocupacao_DW[[#This Row],[data]]&amp;Ocupacao_DW[[#This Row],[profissional_id]]&amp;Ocupacao_DW[[#This Row],[local_id]]</f>
        <v>44636110334</v>
      </c>
      <c r="H573" s="1">
        <f>_xlfn.XLOOKUP(Ocupacao_DW[[#This Row],[Concat]],Vagas!$H:$H,Vagas!$D:$D,"",0)</f>
        <v>0</v>
      </c>
    </row>
    <row r="574" spans="1:8" x14ac:dyDescent="0.25">
      <c r="A574" s="2">
        <v>44641</v>
      </c>
      <c r="B574" s="1" t="s">
        <v>52</v>
      </c>
      <c r="C574">
        <v>10691</v>
      </c>
      <c r="D574" s="1" t="s">
        <v>181</v>
      </c>
      <c r="E574" s="1" t="s">
        <v>6</v>
      </c>
      <c r="F574">
        <v>9</v>
      </c>
      <c r="G574" s="1" t="str">
        <f>Ocupacao_DW[[#This Row],[data]]&amp;Ocupacao_DW[[#This Row],[profissional_id]]&amp;Ocupacao_DW[[#This Row],[local_id]]</f>
        <v>44641106919</v>
      </c>
      <c r="H574" s="1">
        <f>_xlfn.XLOOKUP(Ocupacao_DW[[#This Row],[Concat]],Vagas!$H:$H,Vagas!$D:$D,"",0)</f>
        <v>0</v>
      </c>
    </row>
    <row r="575" spans="1:8" x14ac:dyDescent="0.25">
      <c r="A575" s="2">
        <v>44645</v>
      </c>
      <c r="B575" s="1" t="s">
        <v>24</v>
      </c>
      <c r="C575">
        <v>60</v>
      </c>
      <c r="D575" s="1" t="s">
        <v>217</v>
      </c>
      <c r="E575" s="1" t="s">
        <v>6</v>
      </c>
      <c r="F575">
        <v>1</v>
      </c>
      <c r="G575" s="1" t="str">
        <f>Ocupacao_DW[[#This Row],[data]]&amp;Ocupacao_DW[[#This Row],[profissional_id]]&amp;Ocupacao_DW[[#This Row],[local_id]]</f>
        <v>44645601</v>
      </c>
      <c r="H575" s="1">
        <f>_xlfn.XLOOKUP(Ocupacao_DW[[#This Row],[Concat]],Vagas!$H:$H,Vagas!$D:$D,"",0)</f>
        <v>0</v>
      </c>
    </row>
    <row r="576" spans="1:8" x14ac:dyDescent="0.25">
      <c r="A576" s="2">
        <v>44649</v>
      </c>
      <c r="B576" s="1" t="s">
        <v>55</v>
      </c>
      <c r="C576">
        <v>73</v>
      </c>
      <c r="D576" s="1" t="s">
        <v>171</v>
      </c>
      <c r="E576" s="1" t="s">
        <v>6</v>
      </c>
      <c r="F576">
        <v>5</v>
      </c>
      <c r="G576" s="1" t="str">
        <f>Ocupacao_DW[[#This Row],[data]]&amp;Ocupacao_DW[[#This Row],[profissional_id]]&amp;Ocupacao_DW[[#This Row],[local_id]]</f>
        <v>44649735</v>
      </c>
      <c r="H576" s="1">
        <f>_xlfn.XLOOKUP(Ocupacao_DW[[#This Row],[Concat]],Vagas!$H:$H,Vagas!$D:$D,"",0)</f>
        <v>0</v>
      </c>
    </row>
    <row r="577" spans="1:8" x14ac:dyDescent="0.25">
      <c r="A577" s="2">
        <v>44646</v>
      </c>
      <c r="B577" s="1" t="s">
        <v>47</v>
      </c>
      <c r="C577">
        <v>111</v>
      </c>
      <c r="D577" s="1" t="s">
        <v>199</v>
      </c>
      <c r="E577" s="1" t="s">
        <v>4</v>
      </c>
      <c r="F577">
        <v>51</v>
      </c>
      <c r="G577" s="1" t="str">
        <f>Ocupacao_DW[[#This Row],[data]]&amp;Ocupacao_DW[[#This Row],[profissional_id]]&amp;Ocupacao_DW[[#This Row],[local_id]]</f>
        <v>4464611151</v>
      </c>
      <c r="H577" s="1">
        <f>_xlfn.XLOOKUP(Ocupacao_DW[[#This Row],[Concat]],Vagas!$H:$H,Vagas!$D:$D,"",0)</f>
        <v>31</v>
      </c>
    </row>
    <row r="578" spans="1:8" x14ac:dyDescent="0.25">
      <c r="A578" s="2">
        <v>44650</v>
      </c>
      <c r="B578" s="1" t="s">
        <v>55</v>
      </c>
      <c r="C578">
        <v>74</v>
      </c>
      <c r="D578" s="1" t="s">
        <v>182</v>
      </c>
      <c r="E578" s="1" t="s">
        <v>6</v>
      </c>
      <c r="F578">
        <v>7</v>
      </c>
      <c r="G578" s="1" t="str">
        <f>Ocupacao_DW[[#This Row],[data]]&amp;Ocupacao_DW[[#This Row],[profissional_id]]&amp;Ocupacao_DW[[#This Row],[local_id]]</f>
        <v>44650747</v>
      </c>
      <c r="H578" s="1">
        <f>_xlfn.XLOOKUP(Ocupacao_DW[[#This Row],[Concat]],Vagas!$H:$H,Vagas!$D:$D,"",0)</f>
        <v>0</v>
      </c>
    </row>
    <row r="579" spans="1:8" x14ac:dyDescent="0.25">
      <c r="A579" s="2">
        <v>44636</v>
      </c>
      <c r="B579" s="1" t="s">
        <v>70</v>
      </c>
      <c r="C579">
        <v>12825</v>
      </c>
      <c r="D579" s="1" t="s">
        <v>177</v>
      </c>
      <c r="E579" s="1" t="s">
        <v>4</v>
      </c>
      <c r="F579">
        <v>45</v>
      </c>
      <c r="G579" s="1" t="str">
        <f>Ocupacao_DW[[#This Row],[data]]&amp;Ocupacao_DW[[#This Row],[profissional_id]]&amp;Ocupacao_DW[[#This Row],[local_id]]</f>
        <v>446361282545</v>
      </c>
      <c r="H579" s="1">
        <f>_xlfn.XLOOKUP(Ocupacao_DW[[#This Row],[Concat]],Vagas!$H:$H,Vagas!$D:$D,"",0)</f>
        <v>0</v>
      </c>
    </row>
    <row r="580" spans="1:8" x14ac:dyDescent="0.25">
      <c r="A580" s="2">
        <v>44643</v>
      </c>
      <c r="B580" s="1" t="s">
        <v>56</v>
      </c>
      <c r="C580">
        <v>5927</v>
      </c>
      <c r="D580" s="1" t="s">
        <v>226</v>
      </c>
      <c r="E580" s="1" t="s">
        <v>5</v>
      </c>
      <c r="F580">
        <v>17</v>
      </c>
      <c r="G580" s="1" t="str">
        <f>Ocupacao_DW[[#This Row],[data]]&amp;Ocupacao_DW[[#This Row],[profissional_id]]&amp;Ocupacao_DW[[#This Row],[local_id]]</f>
        <v>44643592717</v>
      </c>
      <c r="H580" s="1">
        <f>_xlfn.XLOOKUP(Ocupacao_DW[[#This Row],[Concat]],Vagas!$H:$H,Vagas!$D:$D,"",0)</f>
        <v>0</v>
      </c>
    </row>
    <row r="581" spans="1:8" x14ac:dyDescent="0.25">
      <c r="A581" s="2">
        <v>44641</v>
      </c>
      <c r="B581" s="1" t="s">
        <v>60</v>
      </c>
      <c r="C581">
        <v>117</v>
      </c>
      <c r="D581" s="1" t="s">
        <v>180</v>
      </c>
      <c r="E581" s="1" t="s">
        <v>4</v>
      </c>
      <c r="F581">
        <v>48</v>
      </c>
      <c r="G581" s="1" t="str">
        <f>Ocupacao_DW[[#This Row],[data]]&amp;Ocupacao_DW[[#This Row],[profissional_id]]&amp;Ocupacao_DW[[#This Row],[local_id]]</f>
        <v>4464111748</v>
      </c>
      <c r="H581" s="1">
        <f>_xlfn.XLOOKUP(Ocupacao_DW[[#This Row],[Concat]],Vagas!$H:$H,Vagas!$D:$D,"",0)</f>
        <v>0</v>
      </c>
    </row>
    <row r="582" spans="1:8" x14ac:dyDescent="0.25">
      <c r="A582" s="2">
        <v>44636</v>
      </c>
      <c r="B582" s="1" t="s">
        <v>70</v>
      </c>
      <c r="C582">
        <v>12825</v>
      </c>
      <c r="D582" s="1" t="s">
        <v>177</v>
      </c>
      <c r="E582" s="1" t="s">
        <v>4</v>
      </c>
      <c r="F582">
        <v>45</v>
      </c>
      <c r="G582" s="1" t="str">
        <f>Ocupacao_DW[[#This Row],[data]]&amp;Ocupacao_DW[[#This Row],[profissional_id]]&amp;Ocupacao_DW[[#This Row],[local_id]]</f>
        <v>446361282545</v>
      </c>
      <c r="H582" s="1">
        <f>_xlfn.XLOOKUP(Ocupacao_DW[[#This Row],[Concat]],Vagas!$H:$H,Vagas!$D:$D,"",0)</f>
        <v>0</v>
      </c>
    </row>
    <row r="583" spans="1:8" x14ac:dyDescent="0.25">
      <c r="A583" s="2">
        <v>44636</v>
      </c>
      <c r="B583" s="1" t="s">
        <v>54</v>
      </c>
      <c r="C583">
        <v>70</v>
      </c>
      <c r="D583" s="1" t="s">
        <v>187</v>
      </c>
      <c r="E583" s="1" t="s">
        <v>5</v>
      </c>
      <c r="F583">
        <v>13</v>
      </c>
      <c r="G583" s="1" t="str">
        <f>Ocupacao_DW[[#This Row],[data]]&amp;Ocupacao_DW[[#This Row],[profissional_id]]&amp;Ocupacao_DW[[#This Row],[local_id]]</f>
        <v>446367013</v>
      </c>
      <c r="H583" s="1">
        <f>_xlfn.XLOOKUP(Ocupacao_DW[[#This Row],[Concat]],Vagas!$H:$H,Vagas!$D:$D,"",0)</f>
        <v>0</v>
      </c>
    </row>
    <row r="584" spans="1:8" x14ac:dyDescent="0.25">
      <c r="A584" s="2">
        <v>44643</v>
      </c>
      <c r="B584" s="1" t="s">
        <v>70</v>
      </c>
      <c r="C584">
        <v>12825</v>
      </c>
      <c r="D584" s="1" t="s">
        <v>177</v>
      </c>
      <c r="E584" s="1" t="s">
        <v>4</v>
      </c>
      <c r="F584">
        <v>45</v>
      </c>
      <c r="G584" s="1" t="str">
        <f>Ocupacao_DW[[#This Row],[data]]&amp;Ocupacao_DW[[#This Row],[profissional_id]]&amp;Ocupacao_DW[[#This Row],[local_id]]</f>
        <v>446431282545</v>
      </c>
      <c r="H584" s="1">
        <f>_xlfn.XLOOKUP(Ocupacao_DW[[#This Row],[Concat]],Vagas!$H:$H,Vagas!$D:$D,"",0)</f>
        <v>0</v>
      </c>
    </row>
    <row r="585" spans="1:8" x14ac:dyDescent="0.25">
      <c r="A585" s="2">
        <v>44638</v>
      </c>
      <c r="B585" s="1"/>
      <c r="C585">
        <v>0</v>
      </c>
      <c r="D585" s="1"/>
      <c r="E585" s="1" t="s">
        <v>167</v>
      </c>
      <c r="F585">
        <v>24</v>
      </c>
      <c r="G585" s="1" t="str">
        <f>Ocupacao_DW[[#This Row],[data]]&amp;Ocupacao_DW[[#This Row],[profissional_id]]&amp;Ocupacao_DW[[#This Row],[local_id]]</f>
        <v>44638024</v>
      </c>
      <c r="H585" s="1" t="str">
        <f>_xlfn.XLOOKUP(Ocupacao_DW[[#This Row],[Concat]],Vagas!$H:$H,Vagas!$D:$D,"",0)</f>
        <v/>
      </c>
    </row>
    <row r="586" spans="1:8" x14ac:dyDescent="0.25">
      <c r="A586" s="2">
        <v>44644</v>
      </c>
      <c r="B586" s="1" t="s">
        <v>55</v>
      </c>
      <c r="C586">
        <v>74</v>
      </c>
      <c r="D586" s="1" t="s">
        <v>182</v>
      </c>
      <c r="E586" s="1" t="s">
        <v>6</v>
      </c>
      <c r="F586">
        <v>7</v>
      </c>
      <c r="G586" s="1" t="str">
        <f>Ocupacao_DW[[#This Row],[data]]&amp;Ocupacao_DW[[#This Row],[profissional_id]]&amp;Ocupacao_DW[[#This Row],[local_id]]</f>
        <v>44644747</v>
      </c>
      <c r="H586" s="1">
        <f>_xlfn.XLOOKUP(Ocupacao_DW[[#This Row],[Concat]],Vagas!$H:$H,Vagas!$D:$D,"",0)</f>
        <v>0</v>
      </c>
    </row>
    <row r="587" spans="1:8" x14ac:dyDescent="0.25">
      <c r="A587" s="2">
        <v>44641</v>
      </c>
      <c r="B587" s="1" t="s">
        <v>72</v>
      </c>
      <c r="C587">
        <v>6046</v>
      </c>
      <c r="D587" s="1" t="s">
        <v>222</v>
      </c>
      <c r="E587" s="1" t="s">
        <v>7</v>
      </c>
      <c r="F587">
        <v>62</v>
      </c>
      <c r="G587" s="1" t="str">
        <f>Ocupacao_DW[[#This Row],[data]]&amp;Ocupacao_DW[[#This Row],[profissional_id]]&amp;Ocupacao_DW[[#This Row],[local_id]]</f>
        <v>44641604662</v>
      </c>
      <c r="H587" s="1">
        <f>_xlfn.XLOOKUP(Ocupacao_DW[[#This Row],[Concat]],Vagas!$H:$H,Vagas!$D:$D,"",0)</f>
        <v>0</v>
      </c>
    </row>
    <row r="588" spans="1:8" x14ac:dyDescent="0.25">
      <c r="A588" s="2">
        <v>44635</v>
      </c>
      <c r="B588" s="1" t="s">
        <v>47</v>
      </c>
      <c r="C588">
        <v>111</v>
      </c>
      <c r="D588" s="1" t="s">
        <v>199</v>
      </c>
      <c r="E588" s="1" t="s">
        <v>4</v>
      </c>
      <c r="F588">
        <v>51</v>
      </c>
      <c r="G588" s="1" t="str">
        <f>Ocupacao_DW[[#This Row],[data]]&amp;Ocupacao_DW[[#This Row],[profissional_id]]&amp;Ocupacao_DW[[#This Row],[local_id]]</f>
        <v>4463511151</v>
      </c>
      <c r="H588" s="1">
        <f>_xlfn.XLOOKUP(Ocupacao_DW[[#This Row],[Concat]],Vagas!$H:$H,Vagas!$D:$D,"",0)</f>
        <v>0</v>
      </c>
    </row>
    <row r="589" spans="1:8" x14ac:dyDescent="0.25">
      <c r="A589" s="2">
        <v>44636</v>
      </c>
      <c r="B589" s="1" t="s">
        <v>71</v>
      </c>
      <c r="C589">
        <v>282</v>
      </c>
      <c r="D589" s="1" t="s">
        <v>210</v>
      </c>
      <c r="E589" s="1" t="s">
        <v>4</v>
      </c>
      <c r="F589">
        <v>46</v>
      </c>
      <c r="G589" s="1" t="str">
        <f>Ocupacao_DW[[#This Row],[data]]&amp;Ocupacao_DW[[#This Row],[profissional_id]]&amp;Ocupacao_DW[[#This Row],[local_id]]</f>
        <v>4463628246</v>
      </c>
      <c r="H589" s="1">
        <f>_xlfn.XLOOKUP(Ocupacao_DW[[#This Row],[Concat]],Vagas!$H:$H,Vagas!$D:$D,"",0)</f>
        <v>0</v>
      </c>
    </row>
    <row r="590" spans="1:8" x14ac:dyDescent="0.25">
      <c r="A590" s="2">
        <v>44635</v>
      </c>
      <c r="B590" s="1" t="s">
        <v>68</v>
      </c>
      <c r="C590">
        <v>8239</v>
      </c>
      <c r="D590" s="1" t="s">
        <v>257</v>
      </c>
      <c r="E590" s="1" t="s">
        <v>5</v>
      </c>
      <c r="F590">
        <v>14</v>
      </c>
      <c r="G590" s="1" t="str">
        <f>Ocupacao_DW[[#This Row],[data]]&amp;Ocupacao_DW[[#This Row],[profissional_id]]&amp;Ocupacao_DW[[#This Row],[local_id]]</f>
        <v>44635823914</v>
      </c>
      <c r="H590" s="1">
        <f>_xlfn.XLOOKUP(Ocupacao_DW[[#This Row],[Concat]],Vagas!$H:$H,Vagas!$D:$D,"",0)</f>
        <v>0</v>
      </c>
    </row>
    <row r="591" spans="1:8" x14ac:dyDescent="0.25">
      <c r="A591" s="2">
        <v>44648</v>
      </c>
      <c r="B591" s="1" t="s">
        <v>55</v>
      </c>
      <c r="C591">
        <v>6392</v>
      </c>
      <c r="D591" s="1" t="s">
        <v>173</v>
      </c>
      <c r="E591" s="1" t="s">
        <v>6</v>
      </c>
      <c r="F591">
        <v>5</v>
      </c>
      <c r="G591" s="1" t="str">
        <f>Ocupacao_DW[[#This Row],[data]]&amp;Ocupacao_DW[[#This Row],[profissional_id]]&amp;Ocupacao_DW[[#This Row],[local_id]]</f>
        <v>4464863925</v>
      </c>
      <c r="H591" s="1">
        <f>_xlfn.XLOOKUP(Ocupacao_DW[[#This Row],[Concat]],Vagas!$H:$H,Vagas!$D:$D,"",0)</f>
        <v>0</v>
      </c>
    </row>
    <row r="592" spans="1:8" x14ac:dyDescent="0.25">
      <c r="A592" s="2">
        <v>44635</v>
      </c>
      <c r="B592" s="1" t="s">
        <v>51</v>
      </c>
      <c r="C592">
        <v>12582</v>
      </c>
      <c r="D592" s="1" t="s">
        <v>190</v>
      </c>
      <c r="E592" s="1" t="s">
        <v>7</v>
      </c>
      <c r="F592">
        <v>62</v>
      </c>
      <c r="G592" s="1" t="str">
        <f>Ocupacao_DW[[#This Row],[data]]&amp;Ocupacao_DW[[#This Row],[profissional_id]]&amp;Ocupacao_DW[[#This Row],[local_id]]</f>
        <v>446351258262</v>
      </c>
      <c r="H592" s="1">
        <f>_xlfn.XLOOKUP(Ocupacao_DW[[#This Row],[Concat]],Vagas!$H:$H,Vagas!$D:$D,"",0)</f>
        <v>0</v>
      </c>
    </row>
    <row r="593" spans="1:8" x14ac:dyDescent="0.25">
      <c r="A593" s="2">
        <v>44644</v>
      </c>
      <c r="B593" s="1" t="s">
        <v>55</v>
      </c>
      <c r="C593">
        <v>8598</v>
      </c>
      <c r="D593" s="1" t="s">
        <v>228</v>
      </c>
      <c r="E593" s="1" t="s">
        <v>6</v>
      </c>
      <c r="F593">
        <v>3</v>
      </c>
      <c r="G593" s="1" t="str">
        <f>Ocupacao_DW[[#This Row],[data]]&amp;Ocupacao_DW[[#This Row],[profissional_id]]&amp;Ocupacao_DW[[#This Row],[local_id]]</f>
        <v>4464485983</v>
      </c>
      <c r="H593" s="1">
        <f>_xlfn.XLOOKUP(Ocupacao_DW[[#This Row],[Concat]],Vagas!$H:$H,Vagas!$D:$D,"",0)</f>
        <v>0</v>
      </c>
    </row>
    <row r="594" spans="1:8" x14ac:dyDescent="0.25">
      <c r="A594" s="2">
        <v>44637</v>
      </c>
      <c r="B594" s="1" t="s">
        <v>52</v>
      </c>
      <c r="C594">
        <v>9217</v>
      </c>
      <c r="D594" s="1" t="s">
        <v>191</v>
      </c>
      <c r="E594" s="1" t="s">
        <v>6</v>
      </c>
      <c r="F594">
        <v>7</v>
      </c>
      <c r="G594" s="1" t="str">
        <f>Ocupacao_DW[[#This Row],[data]]&amp;Ocupacao_DW[[#This Row],[profissional_id]]&amp;Ocupacao_DW[[#This Row],[local_id]]</f>
        <v>4463792177</v>
      </c>
      <c r="H594" s="1">
        <f>_xlfn.XLOOKUP(Ocupacao_DW[[#This Row],[Concat]],Vagas!$H:$H,Vagas!$D:$D,"",0)</f>
        <v>0</v>
      </c>
    </row>
    <row r="595" spans="1:8" x14ac:dyDescent="0.25">
      <c r="A595" s="2">
        <v>44645</v>
      </c>
      <c r="B595" s="1" t="s">
        <v>55</v>
      </c>
      <c r="C595">
        <v>2984</v>
      </c>
      <c r="D595" s="1" t="s">
        <v>185</v>
      </c>
      <c r="E595" s="1" t="s">
        <v>6</v>
      </c>
      <c r="F595">
        <v>7</v>
      </c>
      <c r="G595" s="1" t="str">
        <f>Ocupacao_DW[[#This Row],[data]]&amp;Ocupacao_DW[[#This Row],[profissional_id]]&amp;Ocupacao_DW[[#This Row],[local_id]]</f>
        <v>4464529847</v>
      </c>
      <c r="H595" s="1">
        <f>_xlfn.XLOOKUP(Ocupacao_DW[[#This Row],[Concat]],Vagas!$H:$H,Vagas!$D:$D,"",0)</f>
        <v>0</v>
      </c>
    </row>
    <row r="596" spans="1:8" x14ac:dyDescent="0.25">
      <c r="A596" s="2">
        <v>44635</v>
      </c>
      <c r="B596" s="1" t="s">
        <v>62</v>
      </c>
      <c r="C596">
        <v>3502</v>
      </c>
      <c r="D596" s="1" t="s">
        <v>214</v>
      </c>
      <c r="E596" s="1" t="s">
        <v>5</v>
      </c>
      <c r="F596">
        <v>16</v>
      </c>
      <c r="G596" s="1" t="str">
        <f>Ocupacao_DW[[#This Row],[data]]&amp;Ocupacao_DW[[#This Row],[profissional_id]]&amp;Ocupacao_DW[[#This Row],[local_id]]</f>
        <v>44635350216</v>
      </c>
      <c r="H596" s="1">
        <f>_xlfn.XLOOKUP(Ocupacao_DW[[#This Row],[Concat]],Vagas!$H:$H,Vagas!$D:$D,"",0)</f>
        <v>0</v>
      </c>
    </row>
    <row r="597" spans="1:8" x14ac:dyDescent="0.25">
      <c r="A597" s="2">
        <v>44637</v>
      </c>
      <c r="B597" s="1" t="s">
        <v>54</v>
      </c>
      <c r="C597">
        <v>69</v>
      </c>
      <c r="D597" s="1" t="s">
        <v>238</v>
      </c>
      <c r="E597" s="1" t="s">
        <v>200</v>
      </c>
      <c r="F597">
        <v>82</v>
      </c>
      <c r="G597" s="1" t="str">
        <f>Ocupacao_DW[[#This Row],[data]]&amp;Ocupacao_DW[[#This Row],[profissional_id]]&amp;Ocupacao_DW[[#This Row],[local_id]]</f>
        <v>446376982</v>
      </c>
      <c r="H597" s="1">
        <f>_xlfn.XLOOKUP(Ocupacao_DW[[#This Row],[Concat]],Vagas!$H:$H,Vagas!$D:$D,"",0)</f>
        <v>0</v>
      </c>
    </row>
    <row r="598" spans="1:8" x14ac:dyDescent="0.25">
      <c r="A598" s="2">
        <v>44649</v>
      </c>
      <c r="B598" s="1" t="s">
        <v>55</v>
      </c>
      <c r="C598">
        <v>73</v>
      </c>
      <c r="D598" s="1" t="s">
        <v>171</v>
      </c>
      <c r="E598" s="1" t="s">
        <v>6</v>
      </c>
      <c r="F598">
        <v>5</v>
      </c>
      <c r="G598" s="1" t="str">
        <f>Ocupacao_DW[[#This Row],[data]]&amp;Ocupacao_DW[[#This Row],[profissional_id]]&amp;Ocupacao_DW[[#This Row],[local_id]]</f>
        <v>44649735</v>
      </c>
      <c r="H598" s="1">
        <f>_xlfn.XLOOKUP(Ocupacao_DW[[#This Row],[Concat]],Vagas!$H:$H,Vagas!$D:$D,"",0)</f>
        <v>0</v>
      </c>
    </row>
    <row r="599" spans="1:8" x14ac:dyDescent="0.25">
      <c r="A599" s="2">
        <v>44638</v>
      </c>
      <c r="B599" s="1" t="s">
        <v>62</v>
      </c>
      <c r="C599">
        <v>3502</v>
      </c>
      <c r="D599" s="1" t="s">
        <v>214</v>
      </c>
      <c r="E599" s="1" t="s">
        <v>7</v>
      </c>
      <c r="F599">
        <v>69</v>
      </c>
      <c r="G599" s="1" t="str">
        <f>Ocupacao_DW[[#This Row],[data]]&amp;Ocupacao_DW[[#This Row],[profissional_id]]&amp;Ocupacao_DW[[#This Row],[local_id]]</f>
        <v>44638350269</v>
      </c>
      <c r="H599" s="1">
        <f>_xlfn.XLOOKUP(Ocupacao_DW[[#This Row],[Concat]],Vagas!$H:$H,Vagas!$D:$D,"",0)</f>
        <v>0</v>
      </c>
    </row>
    <row r="600" spans="1:8" x14ac:dyDescent="0.25">
      <c r="A600" s="2">
        <v>44637</v>
      </c>
      <c r="B600" s="1" t="s">
        <v>51</v>
      </c>
      <c r="C600">
        <v>12582</v>
      </c>
      <c r="D600" s="1" t="s">
        <v>190</v>
      </c>
      <c r="E600" s="1" t="s">
        <v>5</v>
      </c>
      <c r="F600">
        <v>15</v>
      </c>
      <c r="G600" s="1" t="str">
        <f>Ocupacao_DW[[#This Row],[data]]&amp;Ocupacao_DW[[#This Row],[profissional_id]]&amp;Ocupacao_DW[[#This Row],[local_id]]</f>
        <v>446371258215</v>
      </c>
      <c r="H600" s="1">
        <f>_xlfn.XLOOKUP(Ocupacao_DW[[#This Row],[Concat]],Vagas!$H:$H,Vagas!$D:$D,"",0)</f>
        <v>0</v>
      </c>
    </row>
    <row r="601" spans="1:8" x14ac:dyDescent="0.25">
      <c r="A601" s="2">
        <v>44637</v>
      </c>
      <c r="B601" s="1" t="s">
        <v>54</v>
      </c>
      <c r="C601">
        <v>69</v>
      </c>
      <c r="D601" s="1" t="s">
        <v>238</v>
      </c>
      <c r="E601" s="1" t="s">
        <v>200</v>
      </c>
      <c r="F601">
        <v>82</v>
      </c>
      <c r="G601" s="1" t="str">
        <f>Ocupacao_DW[[#This Row],[data]]&amp;Ocupacao_DW[[#This Row],[profissional_id]]&amp;Ocupacao_DW[[#This Row],[local_id]]</f>
        <v>446376982</v>
      </c>
      <c r="H601" s="1">
        <f>_xlfn.XLOOKUP(Ocupacao_DW[[#This Row],[Concat]],Vagas!$H:$H,Vagas!$D:$D,"",0)</f>
        <v>0</v>
      </c>
    </row>
    <row r="602" spans="1:8" x14ac:dyDescent="0.25">
      <c r="A602" s="2">
        <v>44650</v>
      </c>
      <c r="B602" s="1" t="s">
        <v>70</v>
      </c>
      <c r="C602">
        <v>12519</v>
      </c>
      <c r="D602" s="1" t="s">
        <v>176</v>
      </c>
      <c r="E602" s="1" t="s">
        <v>4</v>
      </c>
      <c r="F602">
        <v>48</v>
      </c>
      <c r="G602" s="1" t="str">
        <f>Ocupacao_DW[[#This Row],[data]]&amp;Ocupacao_DW[[#This Row],[profissional_id]]&amp;Ocupacao_DW[[#This Row],[local_id]]</f>
        <v>446501251948</v>
      </c>
      <c r="H602" s="1">
        <f>_xlfn.XLOOKUP(Ocupacao_DW[[#This Row],[Concat]],Vagas!$H:$H,Vagas!$D:$D,"",0)</f>
        <v>0</v>
      </c>
    </row>
    <row r="603" spans="1:8" x14ac:dyDescent="0.25">
      <c r="A603" s="2">
        <v>44636</v>
      </c>
      <c r="B603" s="1" t="s">
        <v>43</v>
      </c>
      <c r="C603">
        <v>2396</v>
      </c>
      <c r="D603" s="1" t="s">
        <v>197</v>
      </c>
      <c r="E603" s="1" t="s">
        <v>6</v>
      </c>
      <c r="F603">
        <v>2</v>
      </c>
      <c r="G603" s="1" t="str">
        <f>Ocupacao_DW[[#This Row],[data]]&amp;Ocupacao_DW[[#This Row],[profissional_id]]&amp;Ocupacao_DW[[#This Row],[local_id]]</f>
        <v>4463623962</v>
      </c>
      <c r="H603" s="1">
        <f>_xlfn.XLOOKUP(Ocupacao_DW[[#This Row],[Concat]],Vagas!$H:$H,Vagas!$D:$D,"",0)</f>
        <v>0</v>
      </c>
    </row>
    <row r="604" spans="1:8" x14ac:dyDescent="0.25">
      <c r="A604" s="2">
        <v>44638</v>
      </c>
      <c r="B604" s="1" t="s">
        <v>43</v>
      </c>
      <c r="C604">
        <v>17864</v>
      </c>
      <c r="D604" s="1" t="s">
        <v>234</v>
      </c>
      <c r="E604" s="1" t="s">
        <v>7</v>
      </c>
      <c r="F604">
        <v>60</v>
      </c>
      <c r="G604" s="1" t="str">
        <f>Ocupacao_DW[[#This Row],[data]]&amp;Ocupacao_DW[[#This Row],[profissional_id]]&amp;Ocupacao_DW[[#This Row],[local_id]]</f>
        <v>446381786460</v>
      </c>
      <c r="H604" s="1">
        <f>_xlfn.XLOOKUP(Ocupacao_DW[[#This Row],[Concat]],Vagas!$H:$H,Vagas!$D:$D,"",0)</f>
        <v>0</v>
      </c>
    </row>
    <row r="605" spans="1:8" x14ac:dyDescent="0.25">
      <c r="A605" s="2">
        <v>44637</v>
      </c>
      <c r="B605" s="1" t="s">
        <v>51</v>
      </c>
      <c r="C605">
        <v>12582</v>
      </c>
      <c r="D605" s="1" t="s">
        <v>190</v>
      </c>
      <c r="E605" s="1" t="s">
        <v>5</v>
      </c>
      <c r="F605">
        <v>15</v>
      </c>
      <c r="G605" s="1" t="str">
        <f>Ocupacao_DW[[#This Row],[data]]&amp;Ocupacao_DW[[#This Row],[profissional_id]]&amp;Ocupacao_DW[[#This Row],[local_id]]</f>
        <v>446371258215</v>
      </c>
      <c r="H605" s="1">
        <f>_xlfn.XLOOKUP(Ocupacao_DW[[#This Row],[Concat]],Vagas!$H:$H,Vagas!$D:$D,"",0)</f>
        <v>0</v>
      </c>
    </row>
    <row r="606" spans="1:8" x14ac:dyDescent="0.25">
      <c r="A606" s="2">
        <v>44638</v>
      </c>
      <c r="B606" s="1" t="s">
        <v>52</v>
      </c>
      <c r="C606">
        <v>55</v>
      </c>
      <c r="D606" s="1" t="s">
        <v>244</v>
      </c>
      <c r="E606" s="1" t="s">
        <v>7</v>
      </c>
      <c r="F606">
        <v>68</v>
      </c>
      <c r="G606" s="1" t="str">
        <f>Ocupacao_DW[[#This Row],[data]]&amp;Ocupacao_DW[[#This Row],[profissional_id]]&amp;Ocupacao_DW[[#This Row],[local_id]]</f>
        <v>446385568</v>
      </c>
      <c r="H606" s="1">
        <f>_xlfn.XLOOKUP(Ocupacao_DW[[#This Row],[Concat]],Vagas!$H:$H,Vagas!$D:$D,"",0)</f>
        <v>0</v>
      </c>
    </row>
    <row r="607" spans="1:8" x14ac:dyDescent="0.25">
      <c r="A607" s="2">
        <v>44641</v>
      </c>
      <c r="B607" s="1" t="s">
        <v>52</v>
      </c>
      <c r="C607">
        <v>10595</v>
      </c>
      <c r="D607" s="1" t="s">
        <v>218</v>
      </c>
      <c r="E607" s="1" t="s">
        <v>200</v>
      </c>
      <c r="F607">
        <v>78</v>
      </c>
      <c r="G607" s="1" t="str">
        <f>Ocupacao_DW[[#This Row],[data]]&amp;Ocupacao_DW[[#This Row],[profissional_id]]&amp;Ocupacao_DW[[#This Row],[local_id]]</f>
        <v>446411059578</v>
      </c>
      <c r="H607" s="1">
        <f>_xlfn.XLOOKUP(Ocupacao_DW[[#This Row],[Concat]],Vagas!$H:$H,Vagas!$D:$D,"",0)</f>
        <v>0</v>
      </c>
    </row>
    <row r="608" spans="1:8" x14ac:dyDescent="0.25">
      <c r="A608" s="2">
        <v>44635</v>
      </c>
      <c r="B608" s="1" t="s">
        <v>54</v>
      </c>
      <c r="C608">
        <v>10941</v>
      </c>
      <c r="D608" s="1" t="s">
        <v>224</v>
      </c>
      <c r="E608" s="1" t="s">
        <v>5</v>
      </c>
      <c r="F608">
        <v>11</v>
      </c>
      <c r="G608" s="1" t="str">
        <f>Ocupacao_DW[[#This Row],[data]]&amp;Ocupacao_DW[[#This Row],[profissional_id]]&amp;Ocupacao_DW[[#This Row],[local_id]]</f>
        <v>446351094111</v>
      </c>
      <c r="H608" s="1">
        <f>_xlfn.XLOOKUP(Ocupacao_DW[[#This Row],[Concat]],Vagas!$H:$H,Vagas!$D:$D,"",0)</f>
        <v>16</v>
      </c>
    </row>
    <row r="609" spans="1:8" x14ac:dyDescent="0.25">
      <c r="A609" s="2">
        <v>44641</v>
      </c>
      <c r="B609" s="1" t="s">
        <v>72</v>
      </c>
      <c r="C609">
        <v>13479</v>
      </c>
      <c r="D609" s="1" t="s">
        <v>203</v>
      </c>
      <c r="E609" s="1" t="s">
        <v>4</v>
      </c>
      <c r="F609">
        <v>46</v>
      </c>
      <c r="G609" s="1" t="str">
        <f>Ocupacao_DW[[#This Row],[data]]&amp;Ocupacao_DW[[#This Row],[profissional_id]]&amp;Ocupacao_DW[[#This Row],[local_id]]</f>
        <v>446411347946</v>
      </c>
      <c r="H609" s="1">
        <f>_xlfn.XLOOKUP(Ocupacao_DW[[#This Row],[Concat]],Vagas!$H:$H,Vagas!$D:$D,"",0)</f>
        <v>0</v>
      </c>
    </row>
    <row r="610" spans="1:8" x14ac:dyDescent="0.25">
      <c r="A610" s="2">
        <v>44646</v>
      </c>
      <c r="B610" s="1" t="s">
        <v>62</v>
      </c>
      <c r="C610">
        <v>4887</v>
      </c>
      <c r="D610" s="1" t="s">
        <v>168</v>
      </c>
      <c r="E610" s="1" t="s">
        <v>5</v>
      </c>
      <c r="F610">
        <v>18</v>
      </c>
      <c r="G610" s="1" t="str">
        <f>Ocupacao_DW[[#This Row],[data]]&amp;Ocupacao_DW[[#This Row],[profissional_id]]&amp;Ocupacao_DW[[#This Row],[local_id]]</f>
        <v>44646488718</v>
      </c>
      <c r="H610" s="1">
        <f>_xlfn.XLOOKUP(Ocupacao_DW[[#This Row],[Concat]],Vagas!$H:$H,Vagas!$D:$D,"",0)</f>
        <v>0</v>
      </c>
    </row>
    <row r="611" spans="1:8" x14ac:dyDescent="0.25">
      <c r="A611" s="2">
        <v>44635</v>
      </c>
      <c r="B611" s="1" t="s">
        <v>62</v>
      </c>
      <c r="C611">
        <v>3502</v>
      </c>
      <c r="D611" s="1" t="s">
        <v>214</v>
      </c>
      <c r="E611" s="1" t="s">
        <v>5</v>
      </c>
      <c r="F611">
        <v>16</v>
      </c>
      <c r="G611" s="1" t="str">
        <f>Ocupacao_DW[[#This Row],[data]]&amp;Ocupacao_DW[[#This Row],[profissional_id]]&amp;Ocupacao_DW[[#This Row],[local_id]]</f>
        <v>44635350216</v>
      </c>
      <c r="H611" s="1">
        <f>_xlfn.XLOOKUP(Ocupacao_DW[[#This Row],[Concat]],Vagas!$H:$H,Vagas!$D:$D,"",0)</f>
        <v>0</v>
      </c>
    </row>
    <row r="612" spans="1:8" x14ac:dyDescent="0.25">
      <c r="A612" s="2">
        <v>44635</v>
      </c>
      <c r="B612" s="1" t="s">
        <v>67</v>
      </c>
      <c r="C612">
        <v>7290</v>
      </c>
      <c r="D612" s="1" t="s">
        <v>247</v>
      </c>
      <c r="E612" s="1" t="s">
        <v>5</v>
      </c>
      <c r="F612">
        <v>18</v>
      </c>
      <c r="G612" s="1" t="str">
        <f>Ocupacao_DW[[#This Row],[data]]&amp;Ocupacao_DW[[#This Row],[profissional_id]]&amp;Ocupacao_DW[[#This Row],[local_id]]</f>
        <v>44635729018</v>
      </c>
      <c r="H612" s="1">
        <f>_xlfn.XLOOKUP(Ocupacao_DW[[#This Row],[Concat]],Vagas!$H:$H,Vagas!$D:$D,"",0)</f>
        <v>0</v>
      </c>
    </row>
    <row r="613" spans="1:8" x14ac:dyDescent="0.25">
      <c r="A613" s="2">
        <v>44642</v>
      </c>
      <c r="B613" s="1" t="s">
        <v>53</v>
      </c>
      <c r="C613">
        <v>9138</v>
      </c>
      <c r="D613" s="1" t="s">
        <v>184</v>
      </c>
      <c r="E613" s="1" t="s">
        <v>167</v>
      </c>
      <c r="F613">
        <v>344</v>
      </c>
      <c r="G613" s="1" t="str">
        <f>Ocupacao_DW[[#This Row],[data]]&amp;Ocupacao_DW[[#This Row],[profissional_id]]&amp;Ocupacao_DW[[#This Row],[local_id]]</f>
        <v>446429138344</v>
      </c>
      <c r="H613" s="1">
        <f>_xlfn.XLOOKUP(Ocupacao_DW[[#This Row],[Concat]],Vagas!$H:$H,Vagas!$D:$D,"",0)</f>
        <v>0</v>
      </c>
    </row>
    <row r="614" spans="1:8" x14ac:dyDescent="0.25">
      <c r="A614" s="2">
        <v>44646</v>
      </c>
      <c r="B614" s="1" t="s">
        <v>62</v>
      </c>
      <c r="C614">
        <v>4887</v>
      </c>
      <c r="D614" s="1" t="s">
        <v>168</v>
      </c>
      <c r="E614" s="1" t="s">
        <v>5</v>
      </c>
      <c r="F614">
        <v>18</v>
      </c>
      <c r="G614" s="1" t="str">
        <f>Ocupacao_DW[[#This Row],[data]]&amp;Ocupacao_DW[[#This Row],[profissional_id]]&amp;Ocupacao_DW[[#This Row],[local_id]]</f>
        <v>44646488718</v>
      </c>
      <c r="H614" s="1">
        <f>_xlfn.XLOOKUP(Ocupacao_DW[[#This Row],[Concat]],Vagas!$H:$H,Vagas!$D:$D,"",0)</f>
        <v>0</v>
      </c>
    </row>
    <row r="615" spans="1:8" x14ac:dyDescent="0.25">
      <c r="A615" s="2">
        <v>44635</v>
      </c>
      <c r="B615" s="1" t="s">
        <v>65</v>
      </c>
      <c r="C615">
        <v>11652</v>
      </c>
      <c r="D615" s="1" t="s">
        <v>242</v>
      </c>
      <c r="E615" s="1" t="s">
        <v>4</v>
      </c>
      <c r="F615">
        <v>47</v>
      </c>
      <c r="G615" s="1" t="str">
        <f>Ocupacao_DW[[#This Row],[data]]&amp;Ocupacao_DW[[#This Row],[profissional_id]]&amp;Ocupacao_DW[[#This Row],[local_id]]</f>
        <v>446351165247</v>
      </c>
      <c r="H615" s="1">
        <f>_xlfn.XLOOKUP(Ocupacao_DW[[#This Row],[Concat]],Vagas!$H:$H,Vagas!$D:$D,"",0)</f>
        <v>0</v>
      </c>
    </row>
    <row r="616" spans="1:8" x14ac:dyDescent="0.25">
      <c r="A616" s="2">
        <v>44650</v>
      </c>
      <c r="B616" s="1" t="s">
        <v>52</v>
      </c>
      <c r="C616">
        <v>10691</v>
      </c>
      <c r="D616" s="1" t="s">
        <v>181</v>
      </c>
      <c r="E616" s="1" t="s">
        <v>6</v>
      </c>
      <c r="F616">
        <v>9</v>
      </c>
      <c r="G616" s="1" t="str">
        <f>Ocupacao_DW[[#This Row],[data]]&amp;Ocupacao_DW[[#This Row],[profissional_id]]&amp;Ocupacao_DW[[#This Row],[local_id]]</f>
        <v>44650106919</v>
      </c>
      <c r="H616" s="1">
        <f>_xlfn.XLOOKUP(Ocupacao_DW[[#This Row],[Concat]],Vagas!$H:$H,Vagas!$D:$D,"",0)</f>
        <v>0</v>
      </c>
    </row>
    <row r="617" spans="1:8" x14ac:dyDescent="0.25">
      <c r="A617" s="2">
        <v>44635</v>
      </c>
      <c r="B617" s="1" t="s">
        <v>62</v>
      </c>
      <c r="C617">
        <v>3502</v>
      </c>
      <c r="D617" s="1" t="s">
        <v>214</v>
      </c>
      <c r="E617" s="1" t="s">
        <v>5</v>
      </c>
      <c r="F617">
        <v>16</v>
      </c>
      <c r="G617" s="1" t="str">
        <f>Ocupacao_DW[[#This Row],[data]]&amp;Ocupacao_DW[[#This Row],[profissional_id]]&amp;Ocupacao_DW[[#This Row],[local_id]]</f>
        <v>44635350216</v>
      </c>
      <c r="H617" s="1">
        <f>_xlfn.XLOOKUP(Ocupacao_DW[[#This Row],[Concat]],Vagas!$H:$H,Vagas!$D:$D,"",0)</f>
        <v>0</v>
      </c>
    </row>
    <row r="618" spans="1:8" x14ac:dyDescent="0.25">
      <c r="A618" s="2">
        <v>44639</v>
      </c>
      <c r="B618" s="1" t="s">
        <v>43</v>
      </c>
      <c r="C618">
        <v>57</v>
      </c>
      <c r="D618" s="1" t="s">
        <v>169</v>
      </c>
      <c r="E618" s="1" t="s">
        <v>6</v>
      </c>
      <c r="F618">
        <v>2</v>
      </c>
      <c r="G618" s="1" t="str">
        <f>Ocupacao_DW[[#This Row],[data]]&amp;Ocupacao_DW[[#This Row],[profissional_id]]&amp;Ocupacao_DW[[#This Row],[local_id]]</f>
        <v>44639572</v>
      </c>
      <c r="H618" s="1">
        <f>_xlfn.XLOOKUP(Ocupacao_DW[[#This Row],[Concat]],Vagas!$H:$H,Vagas!$D:$D,"",0)</f>
        <v>0</v>
      </c>
    </row>
    <row r="619" spans="1:8" x14ac:dyDescent="0.25">
      <c r="A619" s="2">
        <v>44636</v>
      </c>
      <c r="B619" s="1" t="s">
        <v>72</v>
      </c>
      <c r="C619">
        <v>1794</v>
      </c>
      <c r="D619" s="1" t="s">
        <v>235</v>
      </c>
      <c r="E619" s="1" t="s">
        <v>4</v>
      </c>
      <c r="F619">
        <v>49</v>
      </c>
      <c r="G619" s="1" t="str">
        <f>Ocupacao_DW[[#This Row],[data]]&amp;Ocupacao_DW[[#This Row],[profissional_id]]&amp;Ocupacao_DW[[#This Row],[local_id]]</f>
        <v>44636179449</v>
      </c>
      <c r="H619" s="1">
        <f>_xlfn.XLOOKUP(Ocupacao_DW[[#This Row],[Concat]],Vagas!$H:$H,Vagas!$D:$D,"",0)</f>
        <v>0</v>
      </c>
    </row>
    <row r="620" spans="1:8" x14ac:dyDescent="0.25">
      <c r="A620" s="2">
        <v>44635</v>
      </c>
      <c r="B620" s="1" t="s">
        <v>65</v>
      </c>
      <c r="C620">
        <v>11652</v>
      </c>
      <c r="D620" s="1" t="s">
        <v>242</v>
      </c>
      <c r="E620" s="1" t="s">
        <v>4</v>
      </c>
      <c r="F620">
        <v>47</v>
      </c>
      <c r="G620" s="1" t="str">
        <f>Ocupacao_DW[[#This Row],[data]]&amp;Ocupacao_DW[[#This Row],[profissional_id]]&amp;Ocupacao_DW[[#This Row],[local_id]]</f>
        <v>446351165247</v>
      </c>
      <c r="H620" s="1">
        <f>_xlfn.XLOOKUP(Ocupacao_DW[[#This Row],[Concat]],Vagas!$H:$H,Vagas!$D:$D,"",0)</f>
        <v>0</v>
      </c>
    </row>
    <row r="621" spans="1:8" x14ac:dyDescent="0.25">
      <c r="A621" s="2">
        <v>44645</v>
      </c>
      <c r="B621" s="1" t="s">
        <v>55</v>
      </c>
      <c r="C621">
        <v>2984</v>
      </c>
      <c r="D621" s="1" t="s">
        <v>185</v>
      </c>
      <c r="E621" s="1" t="s">
        <v>6</v>
      </c>
      <c r="F621">
        <v>7</v>
      </c>
      <c r="G621" s="1" t="str">
        <f>Ocupacao_DW[[#This Row],[data]]&amp;Ocupacao_DW[[#This Row],[profissional_id]]&amp;Ocupacao_DW[[#This Row],[local_id]]</f>
        <v>4464529847</v>
      </c>
      <c r="H621" s="1">
        <f>_xlfn.XLOOKUP(Ocupacao_DW[[#This Row],[Concat]],Vagas!$H:$H,Vagas!$D:$D,"",0)</f>
        <v>0</v>
      </c>
    </row>
    <row r="622" spans="1:8" x14ac:dyDescent="0.25">
      <c r="A622" s="2">
        <v>44635</v>
      </c>
      <c r="B622" s="1" t="s">
        <v>55</v>
      </c>
      <c r="C622">
        <v>14452</v>
      </c>
      <c r="D622" s="1" t="s">
        <v>266</v>
      </c>
      <c r="E622" s="1" t="s">
        <v>200</v>
      </c>
      <c r="F622">
        <v>78</v>
      </c>
      <c r="G622" s="1" t="str">
        <f>Ocupacao_DW[[#This Row],[data]]&amp;Ocupacao_DW[[#This Row],[profissional_id]]&amp;Ocupacao_DW[[#This Row],[local_id]]</f>
        <v>446351445278</v>
      </c>
      <c r="H622" s="1">
        <f>_xlfn.XLOOKUP(Ocupacao_DW[[#This Row],[Concat]],Vagas!$H:$H,Vagas!$D:$D,"",0)</f>
        <v>0</v>
      </c>
    </row>
    <row r="623" spans="1:8" x14ac:dyDescent="0.25">
      <c r="A623" s="2">
        <v>44644</v>
      </c>
      <c r="B623" s="1" t="s">
        <v>47</v>
      </c>
      <c r="C623">
        <v>11312</v>
      </c>
      <c r="D623" s="1" t="s">
        <v>207</v>
      </c>
      <c r="E623" s="1" t="s">
        <v>4</v>
      </c>
      <c r="F623">
        <v>336</v>
      </c>
      <c r="G623" s="1" t="str">
        <f>Ocupacao_DW[[#This Row],[data]]&amp;Ocupacao_DW[[#This Row],[profissional_id]]&amp;Ocupacao_DW[[#This Row],[local_id]]</f>
        <v>4464411312336</v>
      </c>
      <c r="H623" s="1">
        <f>_xlfn.XLOOKUP(Ocupacao_DW[[#This Row],[Concat]],Vagas!$H:$H,Vagas!$D:$D,"",0)</f>
        <v>20</v>
      </c>
    </row>
    <row r="624" spans="1:8" x14ac:dyDescent="0.25">
      <c r="A624" s="2">
        <v>44636</v>
      </c>
      <c r="B624" s="1"/>
      <c r="C624">
        <v>73</v>
      </c>
      <c r="D624" s="1" t="s">
        <v>171</v>
      </c>
      <c r="E624" s="1" t="s">
        <v>6</v>
      </c>
      <c r="F624">
        <v>5</v>
      </c>
      <c r="G624" s="1" t="str">
        <f>Ocupacao_DW[[#This Row],[data]]&amp;Ocupacao_DW[[#This Row],[profissional_id]]&amp;Ocupacao_DW[[#This Row],[local_id]]</f>
        <v>44636735</v>
      </c>
      <c r="H624" s="1">
        <f>_xlfn.XLOOKUP(Ocupacao_DW[[#This Row],[Concat]],Vagas!$H:$H,Vagas!$D:$D,"",0)</f>
        <v>0</v>
      </c>
    </row>
    <row r="625" spans="1:8" x14ac:dyDescent="0.25">
      <c r="A625" s="2">
        <v>44636</v>
      </c>
      <c r="B625" s="1"/>
      <c r="C625">
        <v>73</v>
      </c>
      <c r="D625" s="1" t="s">
        <v>171</v>
      </c>
      <c r="E625" s="1" t="s">
        <v>6</v>
      </c>
      <c r="F625">
        <v>5</v>
      </c>
      <c r="G625" s="1" t="str">
        <f>Ocupacao_DW[[#This Row],[data]]&amp;Ocupacao_DW[[#This Row],[profissional_id]]&amp;Ocupacao_DW[[#This Row],[local_id]]</f>
        <v>44636735</v>
      </c>
      <c r="H625" s="1">
        <f>_xlfn.XLOOKUP(Ocupacao_DW[[#This Row],[Concat]],Vagas!$H:$H,Vagas!$D:$D,"",0)</f>
        <v>0</v>
      </c>
    </row>
    <row r="626" spans="1:8" x14ac:dyDescent="0.25">
      <c r="A626" s="2">
        <v>44636</v>
      </c>
      <c r="B626" s="1"/>
      <c r="C626">
        <v>12679</v>
      </c>
      <c r="D626" s="1" t="s">
        <v>192</v>
      </c>
      <c r="E626" s="1" t="s">
        <v>5</v>
      </c>
      <c r="F626">
        <v>11</v>
      </c>
      <c r="G626" s="1" t="str">
        <f>Ocupacao_DW[[#This Row],[data]]&amp;Ocupacao_DW[[#This Row],[profissional_id]]&amp;Ocupacao_DW[[#This Row],[local_id]]</f>
        <v>446361267911</v>
      </c>
      <c r="H626" s="1">
        <f>_xlfn.XLOOKUP(Ocupacao_DW[[#This Row],[Concat]],Vagas!$H:$H,Vagas!$D:$D,"",0)</f>
        <v>0</v>
      </c>
    </row>
    <row r="627" spans="1:8" x14ac:dyDescent="0.25">
      <c r="A627" s="2">
        <v>44643</v>
      </c>
      <c r="B627" s="1"/>
      <c r="C627">
        <v>17878</v>
      </c>
      <c r="D627" s="1" t="s">
        <v>183</v>
      </c>
      <c r="E627" s="1" t="s">
        <v>7</v>
      </c>
      <c r="F627">
        <v>63</v>
      </c>
      <c r="G627" s="1" t="str">
        <f>Ocupacao_DW[[#This Row],[data]]&amp;Ocupacao_DW[[#This Row],[profissional_id]]&amp;Ocupacao_DW[[#This Row],[local_id]]</f>
        <v>446431787863</v>
      </c>
      <c r="H627" s="1">
        <f>_xlfn.XLOOKUP(Ocupacao_DW[[#This Row],[Concat]],Vagas!$H:$H,Vagas!$D:$D,"",0)</f>
        <v>0</v>
      </c>
    </row>
    <row r="628" spans="1:8" x14ac:dyDescent="0.25">
      <c r="A628" s="2">
        <v>44636</v>
      </c>
      <c r="B628" s="1" t="s">
        <v>70</v>
      </c>
      <c r="C628">
        <v>12519</v>
      </c>
      <c r="D628" s="1" t="s">
        <v>176</v>
      </c>
      <c r="E628" s="1" t="s">
        <v>4</v>
      </c>
      <c r="F628">
        <v>48</v>
      </c>
      <c r="G628" s="1" t="str">
        <f>Ocupacao_DW[[#This Row],[data]]&amp;Ocupacao_DW[[#This Row],[profissional_id]]&amp;Ocupacao_DW[[#This Row],[local_id]]</f>
        <v>446361251948</v>
      </c>
      <c r="H628" s="1">
        <f>_xlfn.XLOOKUP(Ocupacao_DW[[#This Row],[Concat]],Vagas!$H:$H,Vagas!$D:$D,"",0)</f>
        <v>0</v>
      </c>
    </row>
    <row r="629" spans="1:8" x14ac:dyDescent="0.25">
      <c r="A629" s="2">
        <v>44657</v>
      </c>
      <c r="B629" s="1"/>
      <c r="C629">
        <v>74</v>
      </c>
      <c r="D629" s="1" t="s">
        <v>182</v>
      </c>
      <c r="E629" s="1" t="s">
        <v>6</v>
      </c>
      <c r="F629">
        <v>7</v>
      </c>
      <c r="G629" s="1" t="str">
        <f>Ocupacao_DW[[#This Row],[data]]&amp;Ocupacao_DW[[#This Row],[profissional_id]]&amp;Ocupacao_DW[[#This Row],[local_id]]</f>
        <v>44657747</v>
      </c>
      <c r="H629" s="1">
        <f>_xlfn.XLOOKUP(Ocupacao_DW[[#This Row],[Concat]],Vagas!$H:$H,Vagas!$D:$D,"",0)</f>
        <v>0</v>
      </c>
    </row>
    <row r="630" spans="1:8" x14ac:dyDescent="0.25">
      <c r="A630" s="2">
        <v>44636</v>
      </c>
      <c r="B630" s="1"/>
      <c r="C630">
        <v>57</v>
      </c>
      <c r="D630" s="1" t="s">
        <v>169</v>
      </c>
      <c r="E630" s="1" t="s">
        <v>6</v>
      </c>
      <c r="F630">
        <v>8</v>
      </c>
      <c r="G630" s="1" t="str">
        <f>Ocupacao_DW[[#This Row],[data]]&amp;Ocupacao_DW[[#This Row],[profissional_id]]&amp;Ocupacao_DW[[#This Row],[local_id]]</f>
        <v>44636578</v>
      </c>
      <c r="H630" s="1">
        <f>_xlfn.XLOOKUP(Ocupacao_DW[[#This Row],[Concat]],Vagas!$H:$H,Vagas!$D:$D,"",0)</f>
        <v>14</v>
      </c>
    </row>
    <row r="631" spans="1:8" x14ac:dyDescent="0.25">
      <c r="A631" s="2">
        <v>44636</v>
      </c>
      <c r="B631" s="1"/>
      <c r="C631">
        <v>10946</v>
      </c>
      <c r="D631" s="1" t="s">
        <v>209</v>
      </c>
      <c r="E631" s="1"/>
      <c r="F631">
        <v>0</v>
      </c>
      <c r="G631" s="1" t="str">
        <f>Ocupacao_DW[[#This Row],[data]]&amp;Ocupacao_DW[[#This Row],[profissional_id]]&amp;Ocupacao_DW[[#This Row],[local_id]]</f>
        <v>44636109460</v>
      </c>
      <c r="H631" s="1" t="str">
        <f>_xlfn.XLOOKUP(Ocupacao_DW[[#This Row],[Concat]],Vagas!$H:$H,Vagas!$D:$D,"",0)</f>
        <v/>
      </c>
    </row>
    <row r="632" spans="1:8" x14ac:dyDescent="0.25">
      <c r="A632" s="2">
        <v>44636</v>
      </c>
      <c r="B632" s="1"/>
      <c r="C632">
        <v>74</v>
      </c>
      <c r="D632" s="1" t="s">
        <v>182</v>
      </c>
      <c r="E632" s="1" t="s">
        <v>6</v>
      </c>
      <c r="F632">
        <v>7</v>
      </c>
      <c r="G632" s="1" t="str">
        <f>Ocupacao_DW[[#This Row],[data]]&amp;Ocupacao_DW[[#This Row],[profissional_id]]&amp;Ocupacao_DW[[#This Row],[local_id]]</f>
        <v>44636747</v>
      </c>
      <c r="H632" s="1">
        <f>_xlfn.XLOOKUP(Ocupacao_DW[[#This Row],[Concat]],Vagas!$H:$H,Vagas!$D:$D,"",0)</f>
        <v>0</v>
      </c>
    </row>
    <row r="633" spans="1:8" x14ac:dyDescent="0.25">
      <c r="A633" s="2">
        <v>44637</v>
      </c>
      <c r="B633" s="1"/>
      <c r="C633">
        <v>12426</v>
      </c>
      <c r="D633" s="1" t="s">
        <v>215</v>
      </c>
      <c r="E633" s="1" t="s">
        <v>6</v>
      </c>
      <c r="F633">
        <v>5</v>
      </c>
      <c r="G633" s="1" t="str">
        <f>Ocupacao_DW[[#This Row],[data]]&amp;Ocupacao_DW[[#This Row],[profissional_id]]&amp;Ocupacao_DW[[#This Row],[local_id]]</f>
        <v>44637124265</v>
      </c>
      <c r="H633" s="1">
        <f>_xlfn.XLOOKUP(Ocupacao_DW[[#This Row],[Concat]],Vagas!$H:$H,Vagas!$D:$D,"",0)</f>
        <v>0</v>
      </c>
    </row>
    <row r="634" spans="1:8" x14ac:dyDescent="0.25">
      <c r="A634" s="2">
        <v>44636</v>
      </c>
      <c r="B634" s="1" t="s">
        <v>70</v>
      </c>
      <c r="C634">
        <v>12519</v>
      </c>
      <c r="D634" s="1" t="s">
        <v>176</v>
      </c>
      <c r="E634" s="1" t="s">
        <v>4</v>
      </c>
      <c r="F634">
        <v>48</v>
      </c>
      <c r="G634" s="1" t="str">
        <f>Ocupacao_DW[[#This Row],[data]]&amp;Ocupacao_DW[[#This Row],[profissional_id]]&amp;Ocupacao_DW[[#This Row],[local_id]]</f>
        <v>446361251948</v>
      </c>
      <c r="H634" s="1">
        <f>_xlfn.XLOOKUP(Ocupacao_DW[[#This Row],[Concat]],Vagas!$H:$H,Vagas!$D:$D,"",0)</f>
        <v>0</v>
      </c>
    </row>
    <row r="635" spans="1:8" x14ac:dyDescent="0.25">
      <c r="A635" s="2">
        <v>44636</v>
      </c>
      <c r="B635" s="1" t="s">
        <v>70</v>
      </c>
      <c r="C635">
        <v>12519</v>
      </c>
      <c r="D635" s="1" t="s">
        <v>176</v>
      </c>
      <c r="E635" s="1" t="s">
        <v>4</v>
      </c>
      <c r="F635">
        <v>48</v>
      </c>
      <c r="G635" s="1" t="str">
        <f>Ocupacao_DW[[#This Row],[data]]&amp;Ocupacao_DW[[#This Row],[profissional_id]]&amp;Ocupacao_DW[[#This Row],[local_id]]</f>
        <v>446361251948</v>
      </c>
      <c r="H635" s="1">
        <f>_xlfn.XLOOKUP(Ocupacao_DW[[#This Row],[Concat]],Vagas!$H:$H,Vagas!$D:$D,"",0)</f>
        <v>0</v>
      </c>
    </row>
    <row r="636" spans="1:8" x14ac:dyDescent="0.25">
      <c r="A636" s="2">
        <v>44646</v>
      </c>
      <c r="B636" s="1" t="s">
        <v>72</v>
      </c>
      <c r="C636">
        <v>6046</v>
      </c>
      <c r="D636" s="1" t="s">
        <v>222</v>
      </c>
      <c r="E636" s="1" t="s">
        <v>4</v>
      </c>
      <c r="F636">
        <v>46</v>
      </c>
      <c r="G636" s="1" t="str">
        <f>Ocupacao_DW[[#This Row],[data]]&amp;Ocupacao_DW[[#This Row],[profissional_id]]&amp;Ocupacao_DW[[#This Row],[local_id]]</f>
        <v>44646604646</v>
      </c>
      <c r="H636" s="1">
        <f>_xlfn.XLOOKUP(Ocupacao_DW[[#This Row],[Concat]],Vagas!$H:$H,Vagas!$D:$D,"",0)</f>
        <v>0</v>
      </c>
    </row>
    <row r="637" spans="1:8" x14ac:dyDescent="0.25">
      <c r="A637" s="2">
        <v>44637</v>
      </c>
      <c r="B637" s="1"/>
      <c r="C637">
        <v>1490</v>
      </c>
      <c r="D637" s="1" t="s">
        <v>174</v>
      </c>
      <c r="E637" s="1" t="s">
        <v>5</v>
      </c>
      <c r="F637">
        <v>12</v>
      </c>
      <c r="G637" s="1" t="str">
        <f>Ocupacao_DW[[#This Row],[data]]&amp;Ocupacao_DW[[#This Row],[profissional_id]]&amp;Ocupacao_DW[[#This Row],[local_id]]</f>
        <v>44637149012</v>
      </c>
      <c r="H637" s="1">
        <f>_xlfn.XLOOKUP(Ocupacao_DW[[#This Row],[Concat]],Vagas!$H:$H,Vagas!$D:$D,"",0)</f>
        <v>0</v>
      </c>
    </row>
    <row r="638" spans="1:8" x14ac:dyDescent="0.25">
      <c r="A638" s="2">
        <v>44636</v>
      </c>
      <c r="B638" s="1"/>
      <c r="C638">
        <v>12825</v>
      </c>
      <c r="D638" s="1" t="s">
        <v>177</v>
      </c>
      <c r="E638" s="1"/>
      <c r="F638">
        <v>0</v>
      </c>
      <c r="G638" s="1" t="str">
        <f>Ocupacao_DW[[#This Row],[data]]&amp;Ocupacao_DW[[#This Row],[profissional_id]]&amp;Ocupacao_DW[[#This Row],[local_id]]</f>
        <v>44636128250</v>
      </c>
      <c r="H638" s="1" t="str">
        <f>_xlfn.XLOOKUP(Ocupacao_DW[[#This Row],[Concat]],Vagas!$H:$H,Vagas!$D:$D,"",0)</f>
        <v/>
      </c>
    </row>
    <row r="639" spans="1:8" x14ac:dyDescent="0.25">
      <c r="A639" s="2">
        <v>44643</v>
      </c>
      <c r="B639" s="1"/>
      <c r="C639">
        <v>74</v>
      </c>
      <c r="D639" s="1" t="s">
        <v>182</v>
      </c>
      <c r="E639" s="1" t="s">
        <v>6</v>
      </c>
      <c r="F639">
        <v>7</v>
      </c>
      <c r="G639" s="1" t="str">
        <f>Ocupacao_DW[[#This Row],[data]]&amp;Ocupacao_DW[[#This Row],[profissional_id]]&amp;Ocupacao_DW[[#This Row],[local_id]]</f>
        <v>44643747</v>
      </c>
      <c r="H639" s="1">
        <f>_xlfn.XLOOKUP(Ocupacao_DW[[#This Row],[Concat]],Vagas!$H:$H,Vagas!$D:$D,"",0)</f>
        <v>0</v>
      </c>
    </row>
    <row r="640" spans="1:8" x14ac:dyDescent="0.25">
      <c r="A640" s="2">
        <v>44636</v>
      </c>
      <c r="B640" s="1"/>
      <c r="C640">
        <v>60</v>
      </c>
      <c r="D640" s="1" t="s">
        <v>217</v>
      </c>
      <c r="E640" s="1"/>
      <c r="F640">
        <v>0</v>
      </c>
      <c r="G640" s="1" t="str">
        <f>Ocupacao_DW[[#This Row],[data]]&amp;Ocupacao_DW[[#This Row],[profissional_id]]&amp;Ocupacao_DW[[#This Row],[local_id]]</f>
        <v>44636600</v>
      </c>
      <c r="H640" s="1" t="str">
        <f>_xlfn.XLOOKUP(Ocupacao_DW[[#This Row],[Concat]],Vagas!$H:$H,Vagas!$D:$D,"",0)</f>
        <v/>
      </c>
    </row>
    <row r="641" spans="1:8" x14ac:dyDescent="0.25">
      <c r="A641" s="2">
        <v>44636</v>
      </c>
      <c r="B641" s="1"/>
      <c r="C641">
        <v>60</v>
      </c>
      <c r="D641" s="1" t="s">
        <v>217</v>
      </c>
      <c r="E641" s="1" t="s">
        <v>167</v>
      </c>
      <c r="F641">
        <v>346</v>
      </c>
      <c r="G641" s="1" t="str">
        <f>Ocupacao_DW[[#This Row],[data]]&amp;Ocupacao_DW[[#This Row],[profissional_id]]&amp;Ocupacao_DW[[#This Row],[local_id]]</f>
        <v>4463660346</v>
      </c>
      <c r="H641" s="1">
        <f>_xlfn.XLOOKUP(Ocupacao_DW[[#This Row],[Concat]],Vagas!$H:$H,Vagas!$D:$D,"",0)</f>
        <v>0</v>
      </c>
    </row>
    <row r="642" spans="1:8" x14ac:dyDescent="0.25">
      <c r="A642" s="2">
        <v>44636</v>
      </c>
      <c r="B642" s="1"/>
      <c r="C642">
        <v>10946</v>
      </c>
      <c r="D642" s="1" t="s">
        <v>209</v>
      </c>
      <c r="E642" s="1"/>
      <c r="F642">
        <v>0</v>
      </c>
      <c r="G642" s="1" t="str">
        <f>Ocupacao_DW[[#This Row],[data]]&amp;Ocupacao_DW[[#This Row],[profissional_id]]&amp;Ocupacao_DW[[#This Row],[local_id]]</f>
        <v>44636109460</v>
      </c>
      <c r="H642" s="1" t="str">
        <f>_xlfn.XLOOKUP(Ocupacao_DW[[#This Row],[Concat]],Vagas!$H:$H,Vagas!$D:$D,"",0)</f>
        <v/>
      </c>
    </row>
    <row r="643" spans="1:8" x14ac:dyDescent="0.25">
      <c r="A643" s="2">
        <v>44636</v>
      </c>
      <c r="B643" s="1" t="s">
        <v>70</v>
      </c>
      <c r="C643">
        <v>12519</v>
      </c>
      <c r="D643" s="1" t="s">
        <v>176</v>
      </c>
      <c r="E643" s="1" t="s">
        <v>4</v>
      </c>
      <c r="F643">
        <v>48</v>
      </c>
      <c r="G643" s="1" t="str">
        <f>Ocupacao_DW[[#This Row],[data]]&amp;Ocupacao_DW[[#This Row],[profissional_id]]&amp;Ocupacao_DW[[#This Row],[local_id]]</f>
        <v>446361251948</v>
      </c>
      <c r="H643" s="1">
        <f>_xlfn.XLOOKUP(Ocupacao_DW[[#This Row],[Concat]],Vagas!$H:$H,Vagas!$D:$D,"",0)</f>
        <v>0</v>
      </c>
    </row>
    <row r="644" spans="1:8" x14ac:dyDescent="0.25">
      <c r="A644" s="2">
        <v>44655</v>
      </c>
      <c r="B644" s="1"/>
      <c r="C644">
        <v>10595</v>
      </c>
      <c r="D644" s="1" t="s">
        <v>218</v>
      </c>
      <c r="E644" s="1" t="s">
        <v>200</v>
      </c>
      <c r="F644">
        <v>78</v>
      </c>
      <c r="G644" s="1" t="str">
        <f>Ocupacao_DW[[#This Row],[data]]&amp;Ocupacao_DW[[#This Row],[profissional_id]]&amp;Ocupacao_DW[[#This Row],[local_id]]</f>
        <v>446551059578</v>
      </c>
      <c r="H644" s="1">
        <f>_xlfn.XLOOKUP(Ocupacao_DW[[#This Row],[Concat]],Vagas!$H:$H,Vagas!$D:$D,"",0)</f>
        <v>0</v>
      </c>
    </row>
    <row r="645" spans="1:8" x14ac:dyDescent="0.25">
      <c r="A645" s="2">
        <v>44636</v>
      </c>
      <c r="B645" s="1"/>
      <c r="C645">
        <v>73</v>
      </c>
      <c r="D645" s="1" t="s">
        <v>171</v>
      </c>
      <c r="E645" s="1" t="s">
        <v>6</v>
      </c>
      <c r="F645">
        <v>5</v>
      </c>
      <c r="G645" s="1" t="str">
        <f>Ocupacao_DW[[#This Row],[data]]&amp;Ocupacao_DW[[#This Row],[profissional_id]]&amp;Ocupacao_DW[[#This Row],[local_id]]</f>
        <v>44636735</v>
      </c>
      <c r="H645" s="1">
        <f>_xlfn.XLOOKUP(Ocupacao_DW[[#This Row],[Concat]],Vagas!$H:$H,Vagas!$D:$D,"",0)</f>
        <v>0</v>
      </c>
    </row>
    <row r="646" spans="1:8" x14ac:dyDescent="0.25">
      <c r="A646" s="2">
        <v>44636</v>
      </c>
      <c r="B646" s="1"/>
      <c r="C646">
        <v>73</v>
      </c>
      <c r="D646" s="1" t="s">
        <v>171</v>
      </c>
      <c r="E646" s="1" t="s">
        <v>6</v>
      </c>
      <c r="F646">
        <v>5</v>
      </c>
      <c r="G646" s="1" t="str">
        <f>Ocupacao_DW[[#This Row],[data]]&amp;Ocupacao_DW[[#This Row],[profissional_id]]&amp;Ocupacao_DW[[#This Row],[local_id]]</f>
        <v>44636735</v>
      </c>
      <c r="H646" s="1">
        <f>_xlfn.XLOOKUP(Ocupacao_DW[[#This Row],[Concat]],Vagas!$H:$H,Vagas!$D:$D,"",0)</f>
        <v>0</v>
      </c>
    </row>
    <row r="647" spans="1:8" x14ac:dyDescent="0.25">
      <c r="A647" s="2">
        <v>44636</v>
      </c>
      <c r="B647" s="1"/>
      <c r="C647">
        <v>73</v>
      </c>
      <c r="D647" s="1" t="s">
        <v>171</v>
      </c>
      <c r="E647" s="1" t="s">
        <v>6</v>
      </c>
      <c r="F647">
        <v>5</v>
      </c>
      <c r="G647" s="1" t="str">
        <f>Ocupacao_DW[[#This Row],[data]]&amp;Ocupacao_DW[[#This Row],[profissional_id]]&amp;Ocupacao_DW[[#This Row],[local_id]]</f>
        <v>44636735</v>
      </c>
      <c r="H647" s="1">
        <f>_xlfn.XLOOKUP(Ocupacao_DW[[#This Row],[Concat]],Vagas!$H:$H,Vagas!$D:$D,"",0)</f>
        <v>0</v>
      </c>
    </row>
    <row r="648" spans="1:8" x14ac:dyDescent="0.25">
      <c r="A648" s="2">
        <v>44636</v>
      </c>
      <c r="B648" s="1"/>
      <c r="C648">
        <v>73</v>
      </c>
      <c r="D648" s="1" t="s">
        <v>171</v>
      </c>
      <c r="E648" s="1" t="s">
        <v>6</v>
      </c>
      <c r="F648">
        <v>5</v>
      </c>
      <c r="G648" s="1" t="str">
        <f>Ocupacao_DW[[#This Row],[data]]&amp;Ocupacao_DW[[#This Row],[profissional_id]]&amp;Ocupacao_DW[[#This Row],[local_id]]</f>
        <v>44636735</v>
      </c>
      <c r="H648" s="1">
        <f>_xlfn.XLOOKUP(Ocupacao_DW[[#This Row],[Concat]],Vagas!$H:$H,Vagas!$D:$D,"",0)</f>
        <v>0</v>
      </c>
    </row>
    <row r="649" spans="1:8" x14ac:dyDescent="0.25">
      <c r="A649" s="2">
        <v>44636</v>
      </c>
      <c r="B649" s="1"/>
      <c r="C649">
        <v>73</v>
      </c>
      <c r="D649" s="1" t="s">
        <v>171</v>
      </c>
      <c r="E649" s="1" t="s">
        <v>6</v>
      </c>
      <c r="F649">
        <v>5</v>
      </c>
      <c r="G649" s="1" t="str">
        <f>Ocupacao_DW[[#This Row],[data]]&amp;Ocupacao_DW[[#This Row],[profissional_id]]&amp;Ocupacao_DW[[#This Row],[local_id]]</f>
        <v>44636735</v>
      </c>
      <c r="H649" s="1">
        <f>_xlfn.XLOOKUP(Ocupacao_DW[[#This Row],[Concat]],Vagas!$H:$H,Vagas!$D:$D,"",0)</f>
        <v>0</v>
      </c>
    </row>
    <row r="650" spans="1:8" x14ac:dyDescent="0.25">
      <c r="A650" s="2">
        <v>44636</v>
      </c>
      <c r="B650" s="1"/>
      <c r="C650">
        <v>74</v>
      </c>
      <c r="D650" s="1" t="s">
        <v>182</v>
      </c>
      <c r="E650" s="1" t="s">
        <v>6</v>
      </c>
      <c r="F650">
        <v>7</v>
      </c>
      <c r="G650" s="1" t="str">
        <f>Ocupacao_DW[[#This Row],[data]]&amp;Ocupacao_DW[[#This Row],[profissional_id]]&amp;Ocupacao_DW[[#This Row],[local_id]]</f>
        <v>44636747</v>
      </c>
      <c r="H650" s="1">
        <f>_xlfn.XLOOKUP(Ocupacao_DW[[#This Row],[Concat]],Vagas!$H:$H,Vagas!$D:$D,"",0)</f>
        <v>0</v>
      </c>
    </row>
    <row r="651" spans="1:8" x14ac:dyDescent="0.25">
      <c r="A651" s="2">
        <v>44636</v>
      </c>
      <c r="B651" s="1"/>
      <c r="C651">
        <v>12679</v>
      </c>
      <c r="D651" s="1" t="s">
        <v>192</v>
      </c>
      <c r="E651" s="1" t="s">
        <v>200</v>
      </c>
      <c r="F651">
        <v>82</v>
      </c>
      <c r="G651" s="1" t="str">
        <f>Ocupacao_DW[[#This Row],[data]]&amp;Ocupacao_DW[[#This Row],[profissional_id]]&amp;Ocupacao_DW[[#This Row],[local_id]]</f>
        <v>446361267982</v>
      </c>
      <c r="H651" s="1">
        <f>_xlfn.XLOOKUP(Ocupacao_DW[[#This Row],[Concat]],Vagas!$H:$H,Vagas!$D:$D,"",0)</f>
        <v>0</v>
      </c>
    </row>
    <row r="652" spans="1:8" x14ac:dyDescent="0.25">
      <c r="A652" s="2">
        <v>44639</v>
      </c>
      <c r="B652" s="1"/>
      <c r="C652">
        <v>4887</v>
      </c>
      <c r="D652" s="1" t="s">
        <v>168</v>
      </c>
      <c r="E652" s="1"/>
      <c r="F652">
        <v>0</v>
      </c>
      <c r="G652" s="1" t="str">
        <f>Ocupacao_DW[[#This Row],[data]]&amp;Ocupacao_DW[[#This Row],[profissional_id]]&amp;Ocupacao_DW[[#This Row],[local_id]]</f>
        <v>4463948870</v>
      </c>
      <c r="H652" s="1" t="str">
        <f>_xlfn.XLOOKUP(Ocupacao_DW[[#This Row],[Concat]],Vagas!$H:$H,Vagas!$D:$D,"",0)</f>
        <v/>
      </c>
    </row>
    <row r="653" spans="1:8" x14ac:dyDescent="0.25">
      <c r="A653" s="2">
        <v>44635</v>
      </c>
      <c r="B653" s="1"/>
      <c r="C653">
        <v>266</v>
      </c>
      <c r="D653" s="1" t="s">
        <v>201</v>
      </c>
      <c r="E653" s="1" t="s">
        <v>4</v>
      </c>
      <c r="F653">
        <v>42</v>
      </c>
      <c r="G653" s="1" t="str">
        <f>Ocupacao_DW[[#This Row],[data]]&amp;Ocupacao_DW[[#This Row],[profissional_id]]&amp;Ocupacao_DW[[#This Row],[local_id]]</f>
        <v>4463526642</v>
      </c>
      <c r="H653" s="1">
        <f>_xlfn.XLOOKUP(Ocupacao_DW[[#This Row],[Concat]],Vagas!$H:$H,Vagas!$D:$D,"",0)</f>
        <v>0</v>
      </c>
    </row>
    <row r="654" spans="1:8" x14ac:dyDescent="0.25">
      <c r="A654" s="2">
        <v>44635</v>
      </c>
      <c r="B654" s="1"/>
      <c r="C654">
        <v>9111</v>
      </c>
      <c r="D654" s="1" t="s">
        <v>206</v>
      </c>
      <c r="E654" s="1" t="s">
        <v>4</v>
      </c>
      <c r="F654">
        <v>335</v>
      </c>
      <c r="G654" s="1" t="str">
        <f>Ocupacao_DW[[#This Row],[data]]&amp;Ocupacao_DW[[#This Row],[profissional_id]]&amp;Ocupacao_DW[[#This Row],[local_id]]</f>
        <v>446359111335</v>
      </c>
      <c r="H654" s="1">
        <f>_xlfn.XLOOKUP(Ocupacao_DW[[#This Row],[Concat]],Vagas!$H:$H,Vagas!$D:$D,"",0)</f>
        <v>0</v>
      </c>
    </row>
    <row r="655" spans="1:8" x14ac:dyDescent="0.25">
      <c r="A655" s="2">
        <v>44635</v>
      </c>
      <c r="B655" s="1"/>
      <c r="C655">
        <v>9111</v>
      </c>
      <c r="D655" s="1" t="s">
        <v>206</v>
      </c>
      <c r="E655" s="1" t="s">
        <v>4</v>
      </c>
      <c r="F655">
        <v>335</v>
      </c>
      <c r="G655" s="1" t="str">
        <f>Ocupacao_DW[[#This Row],[data]]&amp;Ocupacao_DW[[#This Row],[profissional_id]]&amp;Ocupacao_DW[[#This Row],[local_id]]</f>
        <v>446359111335</v>
      </c>
      <c r="H655" s="1">
        <f>_xlfn.XLOOKUP(Ocupacao_DW[[#This Row],[Concat]],Vagas!$H:$H,Vagas!$D:$D,"",0)</f>
        <v>0</v>
      </c>
    </row>
    <row r="656" spans="1:8" x14ac:dyDescent="0.25">
      <c r="A656" s="2">
        <v>44635</v>
      </c>
      <c r="B656" s="1"/>
      <c r="C656">
        <v>12913</v>
      </c>
      <c r="D656" s="1" t="s">
        <v>196</v>
      </c>
      <c r="E656" s="1"/>
      <c r="F656">
        <v>0</v>
      </c>
      <c r="G656" s="1" t="str">
        <f>Ocupacao_DW[[#This Row],[data]]&amp;Ocupacao_DW[[#This Row],[profissional_id]]&amp;Ocupacao_DW[[#This Row],[local_id]]</f>
        <v>44635129130</v>
      </c>
      <c r="H656" s="1" t="str">
        <f>_xlfn.XLOOKUP(Ocupacao_DW[[#This Row],[Concat]],Vagas!$H:$H,Vagas!$D:$D,"",0)</f>
        <v/>
      </c>
    </row>
    <row r="657" spans="1:8" x14ac:dyDescent="0.25">
      <c r="A657" s="2">
        <v>44635</v>
      </c>
      <c r="B657" s="1" t="s">
        <v>42</v>
      </c>
      <c r="C657">
        <v>282</v>
      </c>
      <c r="D657" s="1" t="s">
        <v>210</v>
      </c>
      <c r="E657" s="1" t="s">
        <v>4</v>
      </c>
      <c r="F657">
        <v>39</v>
      </c>
      <c r="G657" s="1" t="str">
        <f>Ocupacao_DW[[#This Row],[data]]&amp;Ocupacao_DW[[#This Row],[profissional_id]]&amp;Ocupacao_DW[[#This Row],[local_id]]</f>
        <v>4463528239</v>
      </c>
      <c r="H657" s="1">
        <f>_xlfn.XLOOKUP(Ocupacao_DW[[#This Row],[Concat]],Vagas!$H:$H,Vagas!$D:$D,"",0)</f>
        <v>50</v>
      </c>
    </row>
    <row r="658" spans="1:8" x14ac:dyDescent="0.25">
      <c r="A658" s="2">
        <v>44637</v>
      </c>
      <c r="B658" s="1" t="s">
        <v>47</v>
      </c>
      <c r="C658">
        <v>11312</v>
      </c>
      <c r="D658" s="1" t="s">
        <v>207</v>
      </c>
      <c r="E658" s="1" t="s">
        <v>4</v>
      </c>
      <c r="F658">
        <v>336</v>
      </c>
      <c r="G658" s="1" t="str">
        <f>Ocupacao_DW[[#This Row],[data]]&amp;Ocupacao_DW[[#This Row],[profissional_id]]&amp;Ocupacao_DW[[#This Row],[local_id]]</f>
        <v>4463711312336</v>
      </c>
      <c r="H658" s="1">
        <f>_xlfn.XLOOKUP(Ocupacao_DW[[#This Row],[Concat]],Vagas!$H:$H,Vagas!$D:$D,"",0)</f>
        <v>0</v>
      </c>
    </row>
    <row r="659" spans="1:8" x14ac:dyDescent="0.25">
      <c r="A659" s="2">
        <v>44636</v>
      </c>
      <c r="B659" s="1"/>
      <c r="C659">
        <v>73</v>
      </c>
      <c r="D659" s="1" t="s">
        <v>171</v>
      </c>
      <c r="E659" s="1" t="s">
        <v>6</v>
      </c>
      <c r="F659">
        <v>5</v>
      </c>
      <c r="G659" s="1" t="str">
        <f>Ocupacao_DW[[#This Row],[data]]&amp;Ocupacao_DW[[#This Row],[profissional_id]]&amp;Ocupacao_DW[[#This Row],[local_id]]</f>
        <v>44636735</v>
      </c>
      <c r="H659" s="1">
        <f>_xlfn.XLOOKUP(Ocupacao_DW[[#This Row],[Concat]],Vagas!$H:$H,Vagas!$D:$D,"",0)</f>
        <v>0</v>
      </c>
    </row>
    <row r="660" spans="1:8" x14ac:dyDescent="0.25">
      <c r="A660" s="2">
        <v>44658</v>
      </c>
      <c r="B660" s="1"/>
      <c r="C660">
        <v>1490</v>
      </c>
      <c r="D660" s="1" t="s">
        <v>174</v>
      </c>
      <c r="E660" s="1" t="s">
        <v>167</v>
      </c>
      <c r="F660">
        <v>344</v>
      </c>
      <c r="G660" s="1" t="str">
        <f>Ocupacao_DW[[#This Row],[data]]&amp;Ocupacao_DW[[#This Row],[profissional_id]]&amp;Ocupacao_DW[[#This Row],[local_id]]</f>
        <v>446581490344</v>
      </c>
      <c r="H660" s="1">
        <f>_xlfn.XLOOKUP(Ocupacao_DW[[#This Row],[Concat]],Vagas!$H:$H,Vagas!$D:$D,"",0)</f>
        <v>0</v>
      </c>
    </row>
    <row r="661" spans="1:8" x14ac:dyDescent="0.25">
      <c r="A661" s="2">
        <v>44636</v>
      </c>
      <c r="B661" s="1"/>
      <c r="C661">
        <v>12679</v>
      </c>
      <c r="D661" s="1" t="s">
        <v>192</v>
      </c>
      <c r="E661" s="1" t="s">
        <v>200</v>
      </c>
      <c r="F661">
        <v>82</v>
      </c>
      <c r="G661" s="1" t="str">
        <f>Ocupacao_DW[[#This Row],[data]]&amp;Ocupacao_DW[[#This Row],[profissional_id]]&amp;Ocupacao_DW[[#This Row],[local_id]]</f>
        <v>446361267982</v>
      </c>
      <c r="H661" s="1">
        <f>_xlfn.XLOOKUP(Ocupacao_DW[[#This Row],[Concat]],Vagas!$H:$H,Vagas!$D:$D,"",0)</f>
        <v>0</v>
      </c>
    </row>
    <row r="662" spans="1:8" x14ac:dyDescent="0.25">
      <c r="A662" s="2">
        <v>44637</v>
      </c>
      <c r="B662" s="1"/>
      <c r="C662">
        <v>74</v>
      </c>
      <c r="D662" s="1" t="s">
        <v>182</v>
      </c>
      <c r="E662" s="1" t="s">
        <v>6</v>
      </c>
      <c r="F662">
        <v>7</v>
      </c>
      <c r="G662" s="1" t="str">
        <f>Ocupacao_DW[[#This Row],[data]]&amp;Ocupacao_DW[[#This Row],[profissional_id]]&amp;Ocupacao_DW[[#This Row],[local_id]]</f>
        <v>44637747</v>
      </c>
      <c r="H662" s="1">
        <f>_xlfn.XLOOKUP(Ocupacao_DW[[#This Row],[Concat]],Vagas!$H:$H,Vagas!$D:$D,"",0)</f>
        <v>0</v>
      </c>
    </row>
    <row r="663" spans="1:8" x14ac:dyDescent="0.25">
      <c r="A663" s="2">
        <v>44636</v>
      </c>
      <c r="B663" s="1"/>
      <c r="C663">
        <v>73</v>
      </c>
      <c r="D663" s="1" t="s">
        <v>171</v>
      </c>
      <c r="E663" s="1" t="s">
        <v>6</v>
      </c>
      <c r="F663">
        <v>5</v>
      </c>
      <c r="G663" s="1" t="str">
        <f>Ocupacao_DW[[#This Row],[data]]&amp;Ocupacao_DW[[#This Row],[profissional_id]]&amp;Ocupacao_DW[[#This Row],[local_id]]</f>
        <v>44636735</v>
      </c>
      <c r="H663" s="1">
        <f>_xlfn.XLOOKUP(Ocupacao_DW[[#This Row],[Concat]],Vagas!$H:$H,Vagas!$D:$D,"",0)</f>
        <v>0</v>
      </c>
    </row>
    <row r="664" spans="1:8" x14ac:dyDescent="0.25">
      <c r="A664" s="2">
        <v>44645</v>
      </c>
      <c r="B664" s="1"/>
      <c r="C664">
        <v>67</v>
      </c>
      <c r="D664" s="1" t="s">
        <v>172</v>
      </c>
      <c r="E664" s="1"/>
      <c r="F664">
        <v>0</v>
      </c>
      <c r="G664" s="1" t="str">
        <f>Ocupacao_DW[[#This Row],[data]]&amp;Ocupacao_DW[[#This Row],[profissional_id]]&amp;Ocupacao_DW[[#This Row],[local_id]]</f>
        <v>44645670</v>
      </c>
      <c r="H664" s="1" t="str">
        <f>_xlfn.XLOOKUP(Ocupacao_DW[[#This Row],[Concat]],Vagas!$H:$H,Vagas!$D:$D,"",0)</f>
        <v/>
      </c>
    </row>
    <row r="665" spans="1:8" x14ac:dyDescent="0.25">
      <c r="A665" s="2">
        <v>44636</v>
      </c>
      <c r="B665" s="1"/>
      <c r="C665">
        <v>17859</v>
      </c>
      <c r="D665" s="1" t="s">
        <v>212</v>
      </c>
      <c r="E665" s="1" t="s">
        <v>6</v>
      </c>
      <c r="F665">
        <v>7</v>
      </c>
      <c r="G665" s="1" t="str">
        <f>Ocupacao_DW[[#This Row],[data]]&amp;Ocupacao_DW[[#This Row],[profissional_id]]&amp;Ocupacao_DW[[#This Row],[local_id]]</f>
        <v>44636178597</v>
      </c>
      <c r="H665" s="1">
        <f>_xlfn.XLOOKUP(Ocupacao_DW[[#This Row],[Concat]],Vagas!$H:$H,Vagas!$D:$D,"",0)</f>
        <v>0</v>
      </c>
    </row>
    <row r="666" spans="1:8" x14ac:dyDescent="0.25">
      <c r="A666" s="2">
        <v>44636</v>
      </c>
      <c r="B666" s="1"/>
      <c r="C666">
        <v>73</v>
      </c>
      <c r="D666" s="1" t="s">
        <v>171</v>
      </c>
      <c r="E666" s="1" t="s">
        <v>6</v>
      </c>
      <c r="F666">
        <v>5</v>
      </c>
      <c r="G666" s="1" t="str">
        <f>Ocupacao_DW[[#This Row],[data]]&amp;Ocupacao_DW[[#This Row],[profissional_id]]&amp;Ocupacao_DW[[#This Row],[local_id]]</f>
        <v>44636735</v>
      </c>
      <c r="H666" s="1">
        <f>_xlfn.XLOOKUP(Ocupacao_DW[[#This Row],[Concat]],Vagas!$H:$H,Vagas!$D:$D,"",0)</f>
        <v>0</v>
      </c>
    </row>
    <row r="667" spans="1:8" x14ac:dyDescent="0.25">
      <c r="A667" s="2">
        <v>44638</v>
      </c>
      <c r="B667" s="1"/>
      <c r="C667">
        <v>14237</v>
      </c>
      <c r="D667" s="1" t="s">
        <v>186</v>
      </c>
      <c r="E667" s="1"/>
      <c r="F667">
        <v>0</v>
      </c>
      <c r="G667" s="1" t="str">
        <f>Ocupacao_DW[[#This Row],[data]]&amp;Ocupacao_DW[[#This Row],[profissional_id]]&amp;Ocupacao_DW[[#This Row],[local_id]]</f>
        <v>44638142370</v>
      </c>
      <c r="H667" s="1" t="str">
        <f>_xlfn.XLOOKUP(Ocupacao_DW[[#This Row],[Concat]],Vagas!$H:$H,Vagas!$D:$D,"",0)</f>
        <v/>
      </c>
    </row>
    <row r="668" spans="1:8" x14ac:dyDescent="0.25">
      <c r="A668" s="2">
        <v>44645</v>
      </c>
      <c r="B668" s="1"/>
      <c r="C668">
        <v>86</v>
      </c>
      <c r="D668" s="1" t="s">
        <v>175</v>
      </c>
      <c r="E668" s="1" t="s">
        <v>5</v>
      </c>
      <c r="F668">
        <v>349</v>
      </c>
      <c r="G668" s="1" t="str">
        <f>Ocupacao_DW[[#This Row],[data]]&amp;Ocupacao_DW[[#This Row],[profissional_id]]&amp;Ocupacao_DW[[#This Row],[local_id]]</f>
        <v>4464586349</v>
      </c>
      <c r="H668" s="1">
        <f>_xlfn.XLOOKUP(Ocupacao_DW[[#This Row],[Concat]],Vagas!$H:$H,Vagas!$D:$D,"",0)</f>
        <v>0</v>
      </c>
    </row>
    <row r="669" spans="1:8" x14ac:dyDescent="0.25">
      <c r="A669" s="2">
        <v>44636</v>
      </c>
      <c r="B669" s="1"/>
      <c r="C669">
        <v>1343</v>
      </c>
      <c r="D669" s="1" t="s">
        <v>263</v>
      </c>
      <c r="E669" s="1" t="s">
        <v>167</v>
      </c>
      <c r="F669">
        <v>342</v>
      </c>
      <c r="G669" s="1" t="str">
        <f>Ocupacao_DW[[#This Row],[data]]&amp;Ocupacao_DW[[#This Row],[profissional_id]]&amp;Ocupacao_DW[[#This Row],[local_id]]</f>
        <v>446361343342</v>
      </c>
      <c r="H669" s="1">
        <f>_xlfn.XLOOKUP(Ocupacao_DW[[#This Row],[Concat]],Vagas!$H:$H,Vagas!$D:$D,"",0)</f>
        <v>0</v>
      </c>
    </row>
    <row r="670" spans="1:8" x14ac:dyDescent="0.25">
      <c r="A670" s="2">
        <v>44643</v>
      </c>
      <c r="B670" s="1" t="s">
        <v>70</v>
      </c>
      <c r="C670">
        <v>12519</v>
      </c>
      <c r="D670" s="1" t="s">
        <v>176</v>
      </c>
      <c r="E670" s="1" t="s">
        <v>4</v>
      </c>
      <c r="F670">
        <v>48</v>
      </c>
      <c r="G670" s="1" t="str">
        <f>Ocupacao_DW[[#This Row],[data]]&amp;Ocupacao_DW[[#This Row],[profissional_id]]&amp;Ocupacao_DW[[#This Row],[local_id]]</f>
        <v>446431251948</v>
      </c>
      <c r="H670" s="1">
        <f>_xlfn.XLOOKUP(Ocupacao_DW[[#This Row],[Concat]],Vagas!$H:$H,Vagas!$D:$D,"",0)</f>
        <v>0</v>
      </c>
    </row>
    <row r="671" spans="1:8" x14ac:dyDescent="0.25">
      <c r="A671" s="2">
        <v>44636</v>
      </c>
      <c r="B671" s="1"/>
      <c r="C671">
        <v>12679</v>
      </c>
      <c r="D671" s="1" t="s">
        <v>192</v>
      </c>
      <c r="E671" s="1" t="s">
        <v>200</v>
      </c>
      <c r="F671">
        <v>82</v>
      </c>
      <c r="G671" s="1" t="str">
        <f>Ocupacao_DW[[#This Row],[data]]&amp;Ocupacao_DW[[#This Row],[profissional_id]]&amp;Ocupacao_DW[[#This Row],[local_id]]</f>
        <v>446361267982</v>
      </c>
      <c r="H671" s="1">
        <f>_xlfn.XLOOKUP(Ocupacao_DW[[#This Row],[Concat]],Vagas!$H:$H,Vagas!$D:$D,"",0)</f>
        <v>0</v>
      </c>
    </row>
    <row r="672" spans="1:8" x14ac:dyDescent="0.25">
      <c r="A672" s="2">
        <v>44638</v>
      </c>
      <c r="B672" s="1"/>
      <c r="C672">
        <v>2984</v>
      </c>
      <c r="D672" s="1" t="s">
        <v>185</v>
      </c>
      <c r="E672" s="1" t="s">
        <v>6</v>
      </c>
      <c r="F672">
        <v>7</v>
      </c>
      <c r="G672" s="1" t="str">
        <f>Ocupacao_DW[[#This Row],[data]]&amp;Ocupacao_DW[[#This Row],[profissional_id]]&amp;Ocupacao_DW[[#This Row],[local_id]]</f>
        <v>4463829847</v>
      </c>
      <c r="H672" s="1">
        <f>_xlfn.XLOOKUP(Ocupacao_DW[[#This Row],[Concat]],Vagas!$H:$H,Vagas!$D:$D,"",0)</f>
        <v>0</v>
      </c>
    </row>
    <row r="673" spans="1:8" x14ac:dyDescent="0.25">
      <c r="A673" s="2">
        <v>44645</v>
      </c>
      <c r="B673" s="1" t="s">
        <v>52</v>
      </c>
      <c r="C673">
        <v>67</v>
      </c>
      <c r="D673" s="1" t="s">
        <v>172</v>
      </c>
      <c r="E673" s="1" t="s">
        <v>6</v>
      </c>
      <c r="F673">
        <v>3</v>
      </c>
      <c r="G673" s="1" t="str">
        <f>Ocupacao_DW[[#This Row],[data]]&amp;Ocupacao_DW[[#This Row],[profissional_id]]&amp;Ocupacao_DW[[#This Row],[local_id]]</f>
        <v>44645673</v>
      </c>
      <c r="H673" s="1" t="str">
        <f>_xlfn.XLOOKUP(Ocupacao_DW[[#This Row],[Concat]],Vagas!$H:$H,Vagas!$D:$D,"",0)</f>
        <v/>
      </c>
    </row>
    <row r="674" spans="1:8" x14ac:dyDescent="0.25">
      <c r="A674" s="2">
        <v>44635</v>
      </c>
      <c r="B674" s="1"/>
      <c r="C674">
        <v>14237</v>
      </c>
      <c r="D674" s="1" t="s">
        <v>186</v>
      </c>
      <c r="E674" s="1" t="s">
        <v>4</v>
      </c>
      <c r="F674">
        <v>47</v>
      </c>
      <c r="G674" s="1" t="str">
        <f>Ocupacao_DW[[#This Row],[data]]&amp;Ocupacao_DW[[#This Row],[profissional_id]]&amp;Ocupacao_DW[[#This Row],[local_id]]</f>
        <v>446351423747</v>
      </c>
      <c r="H674" s="1">
        <f>_xlfn.XLOOKUP(Ocupacao_DW[[#This Row],[Concat]],Vagas!$H:$H,Vagas!$D:$D,"",0)</f>
        <v>0</v>
      </c>
    </row>
    <row r="675" spans="1:8" x14ac:dyDescent="0.25">
      <c r="A675" s="2">
        <v>44636</v>
      </c>
      <c r="B675" s="1"/>
      <c r="C675">
        <v>73</v>
      </c>
      <c r="D675" s="1" t="s">
        <v>171</v>
      </c>
      <c r="E675" s="1" t="s">
        <v>6</v>
      </c>
      <c r="F675">
        <v>5</v>
      </c>
      <c r="G675" s="1" t="str">
        <f>Ocupacao_DW[[#This Row],[data]]&amp;Ocupacao_DW[[#This Row],[profissional_id]]&amp;Ocupacao_DW[[#This Row],[local_id]]</f>
        <v>44636735</v>
      </c>
      <c r="H675" s="1">
        <f>_xlfn.XLOOKUP(Ocupacao_DW[[#This Row],[Concat]],Vagas!$H:$H,Vagas!$D:$D,"",0)</f>
        <v>0</v>
      </c>
    </row>
    <row r="676" spans="1:8" x14ac:dyDescent="0.25">
      <c r="A676" s="2">
        <v>44635</v>
      </c>
      <c r="B676" s="1"/>
      <c r="C676">
        <v>14237</v>
      </c>
      <c r="D676" s="1" t="s">
        <v>186</v>
      </c>
      <c r="E676" s="1" t="s">
        <v>4</v>
      </c>
      <c r="F676">
        <v>47</v>
      </c>
      <c r="G676" s="1" t="str">
        <f>Ocupacao_DW[[#This Row],[data]]&amp;Ocupacao_DW[[#This Row],[profissional_id]]&amp;Ocupacao_DW[[#This Row],[local_id]]</f>
        <v>446351423747</v>
      </c>
      <c r="H676" s="1">
        <f>_xlfn.XLOOKUP(Ocupacao_DW[[#This Row],[Concat]],Vagas!$H:$H,Vagas!$D:$D,"",0)</f>
        <v>0</v>
      </c>
    </row>
    <row r="677" spans="1:8" x14ac:dyDescent="0.25">
      <c r="A677" s="2">
        <v>44636</v>
      </c>
      <c r="B677" s="1"/>
      <c r="C677">
        <v>74</v>
      </c>
      <c r="D677" s="1" t="s">
        <v>182</v>
      </c>
      <c r="E677" s="1" t="s">
        <v>6</v>
      </c>
      <c r="F677">
        <v>7</v>
      </c>
      <c r="G677" s="1" t="str">
        <f>Ocupacao_DW[[#This Row],[data]]&amp;Ocupacao_DW[[#This Row],[profissional_id]]&amp;Ocupacao_DW[[#This Row],[local_id]]</f>
        <v>44636747</v>
      </c>
      <c r="H677" s="1">
        <f>_xlfn.XLOOKUP(Ocupacao_DW[[#This Row],[Concat]],Vagas!$H:$H,Vagas!$D:$D,"",0)</f>
        <v>0</v>
      </c>
    </row>
    <row r="678" spans="1:8" x14ac:dyDescent="0.25">
      <c r="A678" s="2">
        <v>44636</v>
      </c>
      <c r="B678" s="1" t="s">
        <v>70</v>
      </c>
      <c r="C678">
        <v>12519</v>
      </c>
      <c r="D678" s="1" t="s">
        <v>176</v>
      </c>
      <c r="E678" s="1" t="s">
        <v>4</v>
      </c>
      <c r="F678">
        <v>48</v>
      </c>
      <c r="G678" s="1" t="str">
        <f>Ocupacao_DW[[#This Row],[data]]&amp;Ocupacao_DW[[#This Row],[profissional_id]]&amp;Ocupacao_DW[[#This Row],[local_id]]</f>
        <v>446361251948</v>
      </c>
      <c r="H678" s="1">
        <f>_xlfn.XLOOKUP(Ocupacao_DW[[#This Row],[Concat]],Vagas!$H:$H,Vagas!$D:$D,"",0)</f>
        <v>0</v>
      </c>
    </row>
    <row r="679" spans="1:8" x14ac:dyDescent="0.25">
      <c r="A679" s="2">
        <v>44642</v>
      </c>
      <c r="B679" s="1"/>
      <c r="C679">
        <v>73</v>
      </c>
      <c r="D679" s="1" t="s">
        <v>171</v>
      </c>
      <c r="E679" s="1" t="s">
        <v>6</v>
      </c>
      <c r="F679">
        <v>5</v>
      </c>
      <c r="G679" s="1" t="str">
        <f>Ocupacao_DW[[#This Row],[data]]&amp;Ocupacao_DW[[#This Row],[profissional_id]]&amp;Ocupacao_DW[[#This Row],[local_id]]</f>
        <v>44642735</v>
      </c>
      <c r="H679" s="1">
        <f>_xlfn.XLOOKUP(Ocupacao_DW[[#This Row],[Concat]],Vagas!$H:$H,Vagas!$D:$D,"",0)</f>
        <v>0</v>
      </c>
    </row>
    <row r="680" spans="1:8" x14ac:dyDescent="0.25">
      <c r="A680" s="2">
        <v>44636</v>
      </c>
      <c r="B680" s="1" t="s">
        <v>52</v>
      </c>
      <c r="C680">
        <v>13061</v>
      </c>
      <c r="D680" s="1" t="s">
        <v>232</v>
      </c>
      <c r="E680" s="1" t="s">
        <v>6</v>
      </c>
      <c r="F680">
        <v>1</v>
      </c>
      <c r="G680" s="1" t="str">
        <f>Ocupacao_DW[[#This Row],[data]]&amp;Ocupacao_DW[[#This Row],[profissional_id]]&amp;Ocupacao_DW[[#This Row],[local_id]]</f>
        <v>44636130611</v>
      </c>
      <c r="H680" s="1" t="str">
        <f>_xlfn.XLOOKUP(Ocupacao_DW[[#This Row],[Concat]],Vagas!$H:$H,Vagas!$D:$D,"",0)</f>
        <v/>
      </c>
    </row>
    <row r="681" spans="1:8" x14ac:dyDescent="0.25">
      <c r="A681" s="2">
        <v>44657</v>
      </c>
      <c r="B681" s="1"/>
      <c r="C681">
        <v>1490</v>
      </c>
      <c r="D681" s="1" t="s">
        <v>174</v>
      </c>
      <c r="E681" s="1" t="s">
        <v>5</v>
      </c>
      <c r="F681">
        <v>13</v>
      </c>
      <c r="G681" s="1" t="str">
        <f>Ocupacao_DW[[#This Row],[data]]&amp;Ocupacao_DW[[#This Row],[profissional_id]]&amp;Ocupacao_DW[[#This Row],[local_id]]</f>
        <v>44657149013</v>
      </c>
      <c r="H681" s="1">
        <f>_xlfn.XLOOKUP(Ocupacao_DW[[#This Row],[Concat]],Vagas!$H:$H,Vagas!$D:$D,"",0)</f>
        <v>0</v>
      </c>
    </row>
    <row r="682" spans="1:8" x14ac:dyDescent="0.25">
      <c r="A682" s="2">
        <v>44636</v>
      </c>
      <c r="B682" s="1"/>
      <c r="C682">
        <v>12679</v>
      </c>
      <c r="D682" s="1" t="s">
        <v>192</v>
      </c>
      <c r="E682" s="1" t="s">
        <v>200</v>
      </c>
      <c r="F682">
        <v>82</v>
      </c>
      <c r="G682" s="1" t="str">
        <f>Ocupacao_DW[[#This Row],[data]]&amp;Ocupacao_DW[[#This Row],[profissional_id]]&amp;Ocupacao_DW[[#This Row],[local_id]]</f>
        <v>446361267982</v>
      </c>
      <c r="H682" s="1">
        <f>_xlfn.XLOOKUP(Ocupacao_DW[[#This Row],[Concat]],Vagas!$H:$H,Vagas!$D:$D,"",0)</f>
        <v>0</v>
      </c>
    </row>
    <row r="683" spans="1:8" x14ac:dyDescent="0.25">
      <c r="A683" s="2">
        <v>44638</v>
      </c>
      <c r="B683" s="1"/>
      <c r="C683">
        <v>3502</v>
      </c>
      <c r="D683" s="1" t="s">
        <v>214</v>
      </c>
      <c r="E683" s="1" t="s">
        <v>7</v>
      </c>
      <c r="F683">
        <v>63</v>
      </c>
      <c r="G683" s="1" t="str">
        <f>Ocupacao_DW[[#This Row],[data]]&amp;Ocupacao_DW[[#This Row],[profissional_id]]&amp;Ocupacao_DW[[#This Row],[local_id]]</f>
        <v>44638350263</v>
      </c>
      <c r="H683" s="1" t="str">
        <f>_xlfn.XLOOKUP(Ocupacao_DW[[#This Row],[Concat]],Vagas!$H:$H,Vagas!$D:$D,"",0)</f>
        <v/>
      </c>
    </row>
    <row r="684" spans="1:8" x14ac:dyDescent="0.25">
      <c r="A684" s="2">
        <v>44657</v>
      </c>
      <c r="B684" s="1"/>
      <c r="C684">
        <v>1490</v>
      </c>
      <c r="D684" s="1" t="s">
        <v>174</v>
      </c>
      <c r="E684" s="1" t="s">
        <v>5</v>
      </c>
      <c r="F684">
        <v>13</v>
      </c>
      <c r="G684" s="1" t="str">
        <f>Ocupacao_DW[[#This Row],[data]]&amp;Ocupacao_DW[[#This Row],[profissional_id]]&amp;Ocupacao_DW[[#This Row],[local_id]]</f>
        <v>44657149013</v>
      </c>
      <c r="H684" s="1">
        <f>_xlfn.XLOOKUP(Ocupacao_DW[[#This Row],[Concat]],Vagas!$H:$H,Vagas!$D:$D,"",0)</f>
        <v>0</v>
      </c>
    </row>
    <row r="685" spans="1:8" x14ac:dyDescent="0.25">
      <c r="A685" s="2">
        <v>44642</v>
      </c>
      <c r="B685" s="1"/>
      <c r="C685">
        <v>73</v>
      </c>
      <c r="D685" s="1" t="s">
        <v>171</v>
      </c>
      <c r="E685" s="1" t="s">
        <v>6</v>
      </c>
      <c r="F685">
        <v>5</v>
      </c>
      <c r="G685" s="1" t="str">
        <f>Ocupacao_DW[[#This Row],[data]]&amp;Ocupacao_DW[[#This Row],[profissional_id]]&amp;Ocupacao_DW[[#This Row],[local_id]]</f>
        <v>44642735</v>
      </c>
      <c r="H685" s="1">
        <f>_xlfn.XLOOKUP(Ocupacao_DW[[#This Row],[Concat]],Vagas!$H:$H,Vagas!$D:$D,"",0)</f>
        <v>0</v>
      </c>
    </row>
    <row r="686" spans="1:8" x14ac:dyDescent="0.25">
      <c r="A686" s="2">
        <v>44643</v>
      </c>
      <c r="B686" s="1"/>
      <c r="C686">
        <v>74</v>
      </c>
      <c r="D686" s="1" t="s">
        <v>182</v>
      </c>
      <c r="E686" s="1" t="s">
        <v>6</v>
      </c>
      <c r="F686">
        <v>7</v>
      </c>
      <c r="G686" s="1" t="str">
        <f>Ocupacao_DW[[#This Row],[data]]&amp;Ocupacao_DW[[#This Row],[profissional_id]]&amp;Ocupacao_DW[[#This Row],[local_id]]</f>
        <v>44643747</v>
      </c>
      <c r="H686" s="1">
        <f>_xlfn.XLOOKUP(Ocupacao_DW[[#This Row],[Concat]],Vagas!$H:$H,Vagas!$D:$D,"",0)</f>
        <v>0</v>
      </c>
    </row>
    <row r="687" spans="1:8" x14ac:dyDescent="0.25">
      <c r="A687" s="2">
        <v>44638</v>
      </c>
      <c r="B687" s="1"/>
      <c r="C687">
        <v>3502</v>
      </c>
      <c r="D687" s="1" t="s">
        <v>214</v>
      </c>
      <c r="E687" s="1" t="s">
        <v>7</v>
      </c>
      <c r="F687">
        <v>63</v>
      </c>
      <c r="G687" s="1" t="str">
        <f>Ocupacao_DW[[#This Row],[data]]&amp;Ocupacao_DW[[#This Row],[profissional_id]]&amp;Ocupacao_DW[[#This Row],[local_id]]</f>
        <v>44638350263</v>
      </c>
      <c r="H687" s="1" t="str">
        <f>_xlfn.XLOOKUP(Ocupacao_DW[[#This Row],[Concat]],Vagas!$H:$H,Vagas!$D:$D,"",0)</f>
        <v/>
      </c>
    </row>
    <row r="688" spans="1:8" x14ac:dyDescent="0.25">
      <c r="A688" s="2">
        <v>44639</v>
      </c>
      <c r="B688" s="1"/>
      <c r="C688">
        <v>4887</v>
      </c>
      <c r="D688" s="1" t="s">
        <v>168</v>
      </c>
      <c r="E688" s="1" t="s">
        <v>5</v>
      </c>
      <c r="F688">
        <v>18</v>
      </c>
      <c r="G688" s="1" t="str">
        <f>Ocupacao_DW[[#This Row],[data]]&amp;Ocupacao_DW[[#This Row],[profissional_id]]&amp;Ocupacao_DW[[#This Row],[local_id]]</f>
        <v>44639488718</v>
      </c>
      <c r="H688" s="1">
        <f>_xlfn.XLOOKUP(Ocupacao_DW[[#This Row],[Concat]],Vagas!$H:$H,Vagas!$D:$D,"",0)</f>
        <v>0</v>
      </c>
    </row>
    <row r="689" spans="1:8" x14ac:dyDescent="0.25">
      <c r="A689" s="2">
        <v>44638</v>
      </c>
      <c r="B689" s="1"/>
      <c r="C689">
        <v>3502</v>
      </c>
      <c r="D689" s="1" t="s">
        <v>214</v>
      </c>
      <c r="E689" s="1" t="s">
        <v>7</v>
      </c>
      <c r="F689">
        <v>63</v>
      </c>
      <c r="G689" s="1" t="str">
        <f>Ocupacao_DW[[#This Row],[data]]&amp;Ocupacao_DW[[#This Row],[profissional_id]]&amp;Ocupacao_DW[[#This Row],[local_id]]</f>
        <v>44638350263</v>
      </c>
      <c r="H689" s="1" t="str">
        <f>_xlfn.XLOOKUP(Ocupacao_DW[[#This Row],[Concat]],Vagas!$H:$H,Vagas!$D:$D,"",0)</f>
        <v/>
      </c>
    </row>
    <row r="690" spans="1:8" x14ac:dyDescent="0.25">
      <c r="A690" s="2">
        <v>44642</v>
      </c>
      <c r="B690" s="1"/>
      <c r="C690">
        <v>73</v>
      </c>
      <c r="D690" s="1" t="s">
        <v>171</v>
      </c>
      <c r="E690" s="1" t="s">
        <v>6</v>
      </c>
      <c r="F690">
        <v>5</v>
      </c>
      <c r="G690" s="1" t="str">
        <f>Ocupacao_DW[[#This Row],[data]]&amp;Ocupacao_DW[[#This Row],[profissional_id]]&amp;Ocupacao_DW[[#This Row],[local_id]]</f>
        <v>44642735</v>
      </c>
      <c r="H690" s="1">
        <f>_xlfn.XLOOKUP(Ocupacao_DW[[#This Row],[Concat]],Vagas!$H:$H,Vagas!$D:$D,"",0)</f>
        <v>0</v>
      </c>
    </row>
    <row r="691" spans="1:8" x14ac:dyDescent="0.25">
      <c r="A691" s="2">
        <v>44636</v>
      </c>
      <c r="B691" s="1"/>
      <c r="C691">
        <v>2396</v>
      </c>
      <c r="D691" s="1" t="s">
        <v>197</v>
      </c>
      <c r="E691" s="1"/>
      <c r="F691">
        <v>0</v>
      </c>
      <c r="G691" s="1" t="str">
        <f>Ocupacao_DW[[#This Row],[data]]&amp;Ocupacao_DW[[#This Row],[profissional_id]]&amp;Ocupacao_DW[[#This Row],[local_id]]</f>
        <v>4463623960</v>
      </c>
      <c r="H691" s="1" t="str">
        <f>_xlfn.XLOOKUP(Ocupacao_DW[[#This Row],[Concat]],Vagas!$H:$H,Vagas!$D:$D,"",0)</f>
        <v/>
      </c>
    </row>
    <row r="692" spans="1:8" x14ac:dyDescent="0.25">
      <c r="A692" s="2">
        <v>44641</v>
      </c>
      <c r="B692" s="1"/>
      <c r="C692">
        <v>10691</v>
      </c>
      <c r="D692" s="1" t="s">
        <v>181</v>
      </c>
      <c r="E692" s="1"/>
      <c r="F692">
        <v>0</v>
      </c>
      <c r="G692" s="1" t="str">
        <f>Ocupacao_DW[[#This Row],[data]]&amp;Ocupacao_DW[[#This Row],[profissional_id]]&amp;Ocupacao_DW[[#This Row],[local_id]]</f>
        <v>44641106910</v>
      </c>
      <c r="H692" s="1" t="str">
        <f>_xlfn.XLOOKUP(Ocupacao_DW[[#This Row],[Concat]],Vagas!$H:$H,Vagas!$D:$D,"",0)</f>
        <v/>
      </c>
    </row>
    <row r="693" spans="1:8" x14ac:dyDescent="0.25">
      <c r="A693" s="2">
        <v>44655</v>
      </c>
      <c r="B693" s="1"/>
      <c r="C693">
        <v>13249</v>
      </c>
      <c r="D693" s="1" t="s">
        <v>178</v>
      </c>
      <c r="E693" s="1" t="s">
        <v>4</v>
      </c>
      <c r="F693">
        <v>45</v>
      </c>
      <c r="G693" s="1" t="str">
        <f>Ocupacao_DW[[#This Row],[data]]&amp;Ocupacao_DW[[#This Row],[profissional_id]]&amp;Ocupacao_DW[[#This Row],[local_id]]</f>
        <v>446551324945</v>
      </c>
      <c r="H693" s="1" t="str">
        <f>_xlfn.XLOOKUP(Ocupacao_DW[[#This Row],[Concat]],Vagas!$H:$H,Vagas!$D:$D,"",0)</f>
        <v/>
      </c>
    </row>
    <row r="694" spans="1:8" x14ac:dyDescent="0.25">
      <c r="A694" s="2">
        <v>44639</v>
      </c>
      <c r="B694" s="1"/>
      <c r="C694">
        <v>70</v>
      </c>
      <c r="D694" s="1" t="s">
        <v>187</v>
      </c>
      <c r="E694" s="1" t="s">
        <v>5</v>
      </c>
      <c r="F694">
        <v>13</v>
      </c>
      <c r="G694" s="1" t="str">
        <f>Ocupacao_DW[[#This Row],[data]]&amp;Ocupacao_DW[[#This Row],[profissional_id]]&amp;Ocupacao_DW[[#This Row],[local_id]]</f>
        <v>446397013</v>
      </c>
      <c r="H694" s="1">
        <f>_xlfn.XLOOKUP(Ocupacao_DW[[#This Row],[Concat]],Vagas!$H:$H,Vagas!$D:$D,"",0)</f>
        <v>0</v>
      </c>
    </row>
    <row r="695" spans="1:8" x14ac:dyDescent="0.25">
      <c r="A695" s="2">
        <v>44657</v>
      </c>
      <c r="B695" s="1"/>
      <c r="C695">
        <v>1490</v>
      </c>
      <c r="D695" s="1" t="s">
        <v>174</v>
      </c>
      <c r="E695" s="1"/>
      <c r="F695">
        <v>0</v>
      </c>
      <c r="G695" s="1" t="str">
        <f>Ocupacao_DW[[#This Row],[data]]&amp;Ocupacao_DW[[#This Row],[profissional_id]]&amp;Ocupacao_DW[[#This Row],[local_id]]</f>
        <v>4465714900</v>
      </c>
      <c r="H695" s="1" t="str">
        <f>_xlfn.XLOOKUP(Ocupacao_DW[[#This Row],[Concat]],Vagas!$H:$H,Vagas!$D:$D,"",0)</f>
        <v/>
      </c>
    </row>
    <row r="696" spans="1:8" x14ac:dyDescent="0.25">
      <c r="A696" s="2">
        <v>44638</v>
      </c>
      <c r="B696" s="1"/>
      <c r="C696">
        <v>86</v>
      </c>
      <c r="D696" s="1" t="s">
        <v>175</v>
      </c>
      <c r="E696" s="1" t="s">
        <v>5</v>
      </c>
      <c r="F696">
        <v>349</v>
      </c>
      <c r="G696" s="1" t="str">
        <f>Ocupacao_DW[[#This Row],[data]]&amp;Ocupacao_DW[[#This Row],[profissional_id]]&amp;Ocupacao_DW[[#This Row],[local_id]]</f>
        <v>4463886349</v>
      </c>
      <c r="H696" s="1">
        <f>_xlfn.XLOOKUP(Ocupacao_DW[[#This Row],[Concat]],Vagas!$H:$H,Vagas!$D:$D,"",0)</f>
        <v>0</v>
      </c>
    </row>
    <row r="697" spans="1:8" x14ac:dyDescent="0.25">
      <c r="A697" s="2">
        <v>44643</v>
      </c>
      <c r="B697" s="1"/>
      <c r="C697">
        <v>73</v>
      </c>
      <c r="D697" s="1" t="s">
        <v>171</v>
      </c>
      <c r="E697" s="1" t="s">
        <v>6</v>
      </c>
      <c r="F697">
        <v>5</v>
      </c>
      <c r="G697" s="1" t="str">
        <f>Ocupacao_DW[[#This Row],[data]]&amp;Ocupacao_DW[[#This Row],[profissional_id]]&amp;Ocupacao_DW[[#This Row],[local_id]]</f>
        <v>44643735</v>
      </c>
      <c r="H697" s="1">
        <f>_xlfn.XLOOKUP(Ocupacao_DW[[#This Row],[Concat]],Vagas!$H:$H,Vagas!$D:$D,"",0)</f>
        <v>0</v>
      </c>
    </row>
    <row r="698" spans="1:8" x14ac:dyDescent="0.25">
      <c r="A698" s="2">
        <v>44636</v>
      </c>
      <c r="B698" s="1"/>
      <c r="C698">
        <v>74</v>
      </c>
      <c r="D698" s="1" t="s">
        <v>182</v>
      </c>
      <c r="E698" s="1" t="s">
        <v>6</v>
      </c>
      <c r="F698">
        <v>7</v>
      </c>
      <c r="G698" s="1" t="str">
        <f>Ocupacao_DW[[#This Row],[data]]&amp;Ocupacao_DW[[#This Row],[profissional_id]]&amp;Ocupacao_DW[[#This Row],[local_id]]</f>
        <v>44636747</v>
      </c>
      <c r="H698" s="1">
        <f>_xlfn.XLOOKUP(Ocupacao_DW[[#This Row],[Concat]],Vagas!$H:$H,Vagas!$D:$D,"",0)</f>
        <v>0</v>
      </c>
    </row>
    <row r="699" spans="1:8" x14ac:dyDescent="0.25">
      <c r="A699" s="2">
        <v>44643</v>
      </c>
      <c r="B699" s="1"/>
      <c r="C699">
        <v>73</v>
      </c>
      <c r="D699" s="1" t="s">
        <v>171</v>
      </c>
      <c r="E699" s="1" t="s">
        <v>6</v>
      </c>
      <c r="F699">
        <v>5</v>
      </c>
      <c r="G699" s="1" t="str">
        <f>Ocupacao_DW[[#This Row],[data]]&amp;Ocupacao_DW[[#This Row],[profissional_id]]&amp;Ocupacao_DW[[#This Row],[local_id]]</f>
        <v>44643735</v>
      </c>
      <c r="H699" s="1">
        <f>_xlfn.XLOOKUP(Ocupacao_DW[[#This Row],[Concat]],Vagas!$H:$H,Vagas!$D:$D,"",0)</f>
        <v>0</v>
      </c>
    </row>
    <row r="700" spans="1:8" x14ac:dyDescent="0.25">
      <c r="A700" s="2">
        <v>44643</v>
      </c>
      <c r="B700" s="1" t="s">
        <v>52</v>
      </c>
      <c r="C700">
        <v>57</v>
      </c>
      <c r="D700" s="1" t="s">
        <v>169</v>
      </c>
      <c r="E700" s="1" t="s">
        <v>6</v>
      </c>
      <c r="F700">
        <v>4</v>
      </c>
      <c r="G700" s="1" t="str">
        <f>Ocupacao_DW[[#This Row],[data]]&amp;Ocupacao_DW[[#This Row],[profissional_id]]&amp;Ocupacao_DW[[#This Row],[local_id]]</f>
        <v>44643574</v>
      </c>
      <c r="H700" s="1">
        <f>_xlfn.XLOOKUP(Ocupacao_DW[[#This Row],[Concat]],Vagas!$H:$H,Vagas!$D:$D,"",0)</f>
        <v>0</v>
      </c>
    </row>
    <row r="701" spans="1:8" x14ac:dyDescent="0.25">
      <c r="A701" s="2">
        <v>44643</v>
      </c>
      <c r="B701" s="1"/>
      <c r="C701">
        <v>73</v>
      </c>
      <c r="D701" s="1" t="s">
        <v>171</v>
      </c>
      <c r="E701" s="1" t="s">
        <v>6</v>
      </c>
      <c r="F701">
        <v>5</v>
      </c>
      <c r="G701" s="1" t="str">
        <f>Ocupacao_DW[[#This Row],[data]]&amp;Ocupacao_DW[[#This Row],[profissional_id]]&amp;Ocupacao_DW[[#This Row],[local_id]]</f>
        <v>44643735</v>
      </c>
      <c r="H701" s="1">
        <f>_xlfn.XLOOKUP(Ocupacao_DW[[#This Row],[Concat]],Vagas!$H:$H,Vagas!$D:$D,"",0)</f>
        <v>0</v>
      </c>
    </row>
    <row r="702" spans="1:8" x14ac:dyDescent="0.25">
      <c r="A702" s="2">
        <v>44636</v>
      </c>
      <c r="B702" s="1"/>
      <c r="C702">
        <v>10691</v>
      </c>
      <c r="D702" s="1" t="s">
        <v>181</v>
      </c>
      <c r="E702" s="1"/>
      <c r="F702">
        <v>0</v>
      </c>
      <c r="G702" s="1" t="str">
        <f>Ocupacao_DW[[#This Row],[data]]&amp;Ocupacao_DW[[#This Row],[profissional_id]]&amp;Ocupacao_DW[[#This Row],[local_id]]</f>
        <v>44636106910</v>
      </c>
      <c r="H702" s="1" t="str">
        <f>_xlfn.XLOOKUP(Ocupacao_DW[[#This Row],[Concat]],Vagas!$H:$H,Vagas!$D:$D,"",0)</f>
        <v/>
      </c>
    </row>
    <row r="703" spans="1:8" x14ac:dyDescent="0.25">
      <c r="A703" s="2">
        <v>44637</v>
      </c>
      <c r="B703" s="1"/>
      <c r="C703">
        <v>74</v>
      </c>
      <c r="D703" s="1" t="s">
        <v>182</v>
      </c>
      <c r="E703" s="1" t="s">
        <v>6</v>
      </c>
      <c r="F703">
        <v>7</v>
      </c>
      <c r="G703" s="1" t="str">
        <f>Ocupacao_DW[[#This Row],[data]]&amp;Ocupacao_DW[[#This Row],[profissional_id]]&amp;Ocupacao_DW[[#This Row],[local_id]]</f>
        <v>44637747</v>
      </c>
      <c r="H703" s="1">
        <f>_xlfn.XLOOKUP(Ocupacao_DW[[#This Row],[Concat]],Vagas!$H:$H,Vagas!$D:$D,"",0)</f>
        <v>0</v>
      </c>
    </row>
    <row r="704" spans="1:8" x14ac:dyDescent="0.25">
      <c r="A704" s="2">
        <v>44636</v>
      </c>
      <c r="B704" s="1"/>
      <c r="C704">
        <v>5767</v>
      </c>
      <c r="D704" s="1" t="s">
        <v>239</v>
      </c>
      <c r="E704" s="1" t="s">
        <v>4</v>
      </c>
      <c r="F704">
        <v>43</v>
      </c>
      <c r="G704" s="1" t="str">
        <f>Ocupacao_DW[[#This Row],[data]]&amp;Ocupacao_DW[[#This Row],[profissional_id]]&amp;Ocupacao_DW[[#This Row],[local_id]]</f>
        <v>44636576743</v>
      </c>
      <c r="H704" s="1">
        <f>_xlfn.XLOOKUP(Ocupacao_DW[[#This Row],[Concat]],Vagas!$H:$H,Vagas!$D:$D,"",0)</f>
        <v>0</v>
      </c>
    </row>
    <row r="705" spans="1:8" x14ac:dyDescent="0.25">
      <c r="A705" s="2">
        <v>44641</v>
      </c>
      <c r="B705" s="1"/>
      <c r="C705">
        <v>2984</v>
      </c>
      <c r="D705" s="1" t="s">
        <v>185</v>
      </c>
      <c r="E705" s="1" t="s">
        <v>6</v>
      </c>
      <c r="F705">
        <v>7</v>
      </c>
      <c r="G705" s="1" t="str">
        <f>Ocupacao_DW[[#This Row],[data]]&amp;Ocupacao_DW[[#This Row],[profissional_id]]&amp;Ocupacao_DW[[#This Row],[local_id]]</f>
        <v>4464129847</v>
      </c>
      <c r="H705" s="1">
        <f>_xlfn.XLOOKUP(Ocupacao_DW[[#This Row],[Concat]],Vagas!$H:$H,Vagas!$D:$D,"",0)</f>
        <v>0</v>
      </c>
    </row>
    <row r="706" spans="1:8" x14ac:dyDescent="0.25">
      <c r="A706" s="2">
        <v>44635</v>
      </c>
      <c r="B706" s="1" t="s">
        <v>49</v>
      </c>
      <c r="C706">
        <v>266</v>
      </c>
      <c r="D706" s="1" t="s">
        <v>201</v>
      </c>
      <c r="E706" s="1" t="s">
        <v>4</v>
      </c>
      <c r="F706">
        <v>42</v>
      </c>
      <c r="G706" s="1" t="str">
        <f>Ocupacao_DW[[#This Row],[data]]&amp;Ocupacao_DW[[#This Row],[profissional_id]]&amp;Ocupacao_DW[[#This Row],[local_id]]</f>
        <v>4463526642</v>
      </c>
      <c r="H706" s="1">
        <f>_xlfn.XLOOKUP(Ocupacao_DW[[#This Row],[Concat]],Vagas!$H:$H,Vagas!$D:$D,"",0)</f>
        <v>0</v>
      </c>
    </row>
    <row r="707" spans="1:8" x14ac:dyDescent="0.25">
      <c r="A707" s="2">
        <v>44635</v>
      </c>
      <c r="B707" s="1"/>
      <c r="C707">
        <v>10941</v>
      </c>
      <c r="D707" s="1" t="s">
        <v>224</v>
      </c>
      <c r="E707" s="1" t="s">
        <v>5</v>
      </c>
      <c r="F707">
        <v>13</v>
      </c>
      <c r="G707" s="1" t="str">
        <f>Ocupacao_DW[[#This Row],[data]]&amp;Ocupacao_DW[[#This Row],[profissional_id]]&amp;Ocupacao_DW[[#This Row],[local_id]]</f>
        <v>446351094113</v>
      </c>
      <c r="H707" s="1" t="str">
        <f>_xlfn.XLOOKUP(Ocupacao_DW[[#This Row],[Concat]],Vagas!$H:$H,Vagas!$D:$D,"",0)</f>
        <v/>
      </c>
    </row>
    <row r="708" spans="1:8" x14ac:dyDescent="0.25">
      <c r="A708" s="2">
        <v>44641</v>
      </c>
      <c r="B708" s="1"/>
      <c r="C708">
        <v>17878</v>
      </c>
      <c r="D708" s="1" t="s">
        <v>183</v>
      </c>
      <c r="E708" s="1" t="s">
        <v>4</v>
      </c>
      <c r="F708">
        <v>47</v>
      </c>
      <c r="G708" s="1" t="str">
        <f>Ocupacao_DW[[#This Row],[data]]&amp;Ocupacao_DW[[#This Row],[profissional_id]]&amp;Ocupacao_DW[[#This Row],[local_id]]</f>
        <v>446411787847</v>
      </c>
      <c r="H708" s="1">
        <f>_xlfn.XLOOKUP(Ocupacao_DW[[#This Row],[Concat]],Vagas!$H:$H,Vagas!$D:$D,"",0)</f>
        <v>0</v>
      </c>
    </row>
    <row r="709" spans="1:8" x14ac:dyDescent="0.25">
      <c r="A709" s="2">
        <v>44655</v>
      </c>
      <c r="B709" s="1"/>
      <c r="C709">
        <v>17878</v>
      </c>
      <c r="D709" s="1" t="s">
        <v>183</v>
      </c>
      <c r="E709" s="1" t="s">
        <v>4</v>
      </c>
      <c r="F709">
        <v>47</v>
      </c>
      <c r="G709" s="1" t="str">
        <f>Ocupacao_DW[[#This Row],[data]]&amp;Ocupacao_DW[[#This Row],[profissional_id]]&amp;Ocupacao_DW[[#This Row],[local_id]]</f>
        <v>446551787847</v>
      </c>
      <c r="H709" s="1">
        <f>_xlfn.XLOOKUP(Ocupacao_DW[[#This Row],[Concat]],Vagas!$H:$H,Vagas!$D:$D,"",0)</f>
        <v>6</v>
      </c>
    </row>
    <row r="710" spans="1:8" x14ac:dyDescent="0.25">
      <c r="A710" s="2">
        <v>44635</v>
      </c>
      <c r="B710" s="1"/>
      <c r="C710">
        <v>266</v>
      </c>
      <c r="D710" s="1" t="s">
        <v>201</v>
      </c>
      <c r="E710" s="1" t="s">
        <v>4</v>
      </c>
      <c r="F710">
        <v>42</v>
      </c>
      <c r="G710" s="1" t="str">
        <f>Ocupacao_DW[[#This Row],[data]]&amp;Ocupacao_DW[[#This Row],[profissional_id]]&amp;Ocupacao_DW[[#This Row],[local_id]]</f>
        <v>4463526642</v>
      </c>
      <c r="H710" s="1">
        <f>_xlfn.XLOOKUP(Ocupacao_DW[[#This Row],[Concat]],Vagas!$H:$H,Vagas!$D:$D,"",0)</f>
        <v>0</v>
      </c>
    </row>
    <row r="711" spans="1:8" x14ac:dyDescent="0.25">
      <c r="A711" s="2">
        <v>44649</v>
      </c>
      <c r="B711" s="1"/>
      <c r="C711">
        <v>73</v>
      </c>
      <c r="D711" s="1" t="s">
        <v>171</v>
      </c>
      <c r="E711" s="1" t="s">
        <v>6</v>
      </c>
      <c r="F711">
        <v>5</v>
      </c>
      <c r="G711" s="1" t="str">
        <f>Ocupacao_DW[[#This Row],[data]]&amp;Ocupacao_DW[[#This Row],[profissional_id]]&amp;Ocupacao_DW[[#This Row],[local_id]]</f>
        <v>44649735</v>
      </c>
      <c r="H711" s="1">
        <f>_xlfn.XLOOKUP(Ocupacao_DW[[#This Row],[Concat]],Vagas!$H:$H,Vagas!$D:$D,"",0)</f>
        <v>0</v>
      </c>
    </row>
    <row r="712" spans="1:8" x14ac:dyDescent="0.25">
      <c r="A712" s="2">
        <v>44640</v>
      </c>
      <c r="B712" s="1" t="s">
        <v>62</v>
      </c>
      <c r="C712">
        <v>4887</v>
      </c>
      <c r="D712" s="1" t="s">
        <v>168</v>
      </c>
      <c r="E712" s="1" t="s">
        <v>167</v>
      </c>
      <c r="F712">
        <v>340</v>
      </c>
      <c r="G712" s="1" t="str">
        <f>Ocupacao_DW[[#This Row],[data]]&amp;Ocupacao_DW[[#This Row],[profissional_id]]&amp;Ocupacao_DW[[#This Row],[local_id]]</f>
        <v>446404887340</v>
      </c>
      <c r="H712" s="1">
        <f>_xlfn.XLOOKUP(Ocupacao_DW[[#This Row],[Concat]],Vagas!$H:$H,Vagas!$D:$D,"",0)</f>
        <v>0</v>
      </c>
    </row>
    <row r="713" spans="1:8" x14ac:dyDescent="0.25">
      <c r="A713" s="2">
        <v>44636</v>
      </c>
      <c r="B713" s="1" t="s">
        <v>55</v>
      </c>
      <c r="C713">
        <v>74</v>
      </c>
      <c r="D713" s="1" t="s">
        <v>182</v>
      </c>
      <c r="E713" s="1" t="s">
        <v>6</v>
      </c>
      <c r="F713">
        <v>7</v>
      </c>
      <c r="G713" s="1" t="str">
        <f>Ocupacao_DW[[#This Row],[data]]&amp;Ocupacao_DW[[#This Row],[profissional_id]]&amp;Ocupacao_DW[[#This Row],[local_id]]</f>
        <v>44636747</v>
      </c>
      <c r="H713" s="1">
        <f>_xlfn.XLOOKUP(Ocupacao_DW[[#This Row],[Concat]],Vagas!$H:$H,Vagas!$D:$D,"",0)</f>
        <v>0</v>
      </c>
    </row>
    <row r="714" spans="1:8" x14ac:dyDescent="0.25">
      <c r="A714" s="2">
        <v>44641</v>
      </c>
      <c r="B714" s="1"/>
      <c r="C714">
        <v>13371</v>
      </c>
      <c r="D714" s="1" t="s">
        <v>205</v>
      </c>
      <c r="E714" s="1" t="s">
        <v>4</v>
      </c>
      <c r="F714">
        <v>335</v>
      </c>
      <c r="G714" s="1" t="str">
        <f>Ocupacao_DW[[#This Row],[data]]&amp;Ocupacao_DW[[#This Row],[profissional_id]]&amp;Ocupacao_DW[[#This Row],[local_id]]</f>
        <v>4464113371335</v>
      </c>
      <c r="H714" s="1" t="str">
        <f>_xlfn.XLOOKUP(Ocupacao_DW[[#This Row],[Concat]],Vagas!$H:$H,Vagas!$D:$D,"",0)</f>
        <v/>
      </c>
    </row>
    <row r="715" spans="1:8" x14ac:dyDescent="0.25">
      <c r="A715" s="2">
        <v>44642</v>
      </c>
      <c r="B715" s="1"/>
      <c r="C715">
        <v>73</v>
      </c>
      <c r="D715" s="1" t="s">
        <v>171</v>
      </c>
      <c r="E715" s="1" t="s">
        <v>6</v>
      </c>
      <c r="F715">
        <v>5</v>
      </c>
      <c r="G715" s="1" t="str">
        <f>Ocupacao_DW[[#This Row],[data]]&amp;Ocupacao_DW[[#This Row],[profissional_id]]&amp;Ocupacao_DW[[#This Row],[local_id]]</f>
        <v>44642735</v>
      </c>
      <c r="H715" s="1">
        <f>_xlfn.XLOOKUP(Ocupacao_DW[[#This Row],[Concat]],Vagas!$H:$H,Vagas!$D:$D,"",0)</f>
        <v>0</v>
      </c>
    </row>
    <row r="716" spans="1:8" x14ac:dyDescent="0.25">
      <c r="A716" s="2">
        <v>44637</v>
      </c>
      <c r="B716" s="1"/>
      <c r="C716">
        <v>10691</v>
      </c>
      <c r="D716" s="1" t="s">
        <v>181</v>
      </c>
      <c r="E716" s="1"/>
      <c r="F716">
        <v>0</v>
      </c>
      <c r="G716" s="1" t="str">
        <f>Ocupacao_DW[[#This Row],[data]]&amp;Ocupacao_DW[[#This Row],[profissional_id]]&amp;Ocupacao_DW[[#This Row],[local_id]]</f>
        <v>44637106910</v>
      </c>
      <c r="H716" s="1" t="str">
        <f>_xlfn.XLOOKUP(Ocupacao_DW[[#This Row],[Concat]],Vagas!$H:$H,Vagas!$D:$D,"",0)</f>
        <v/>
      </c>
    </row>
    <row r="717" spans="1:8" x14ac:dyDescent="0.25">
      <c r="A717" s="2">
        <v>44637</v>
      </c>
      <c r="B717" s="1" t="s">
        <v>51</v>
      </c>
      <c r="C717">
        <v>12582</v>
      </c>
      <c r="D717" s="1" t="s">
        <v>190</v>
      </c>
      <c r="E717" s="1" t="s">
        <v>5</v>
      </c>
      <c r="F717">
        <v>15</v>
      </c>
      <c r="G717" s="1" t="str">
        <f>Ocupacao_DW[[#This Row],[data]]&amp;Ocupacao_DW[[#This Row],[profissional_id]]&amp;Ocupacao_DW[[#This Row],[local_id]]</f>
        <v>446371258215</v>
      </c>
      <c r="H717" s="1">
        <f>_xlfn.XLOOKUP(Ocupacao_DW[[#This Row],[Concat]],Vagas!$H:$H,Vagas!$D:$D,"",0)</f>
        <v>0</v>
      </c>
    </row>
    <row r="718" spans="1:8" x14ac:dyDescent="0.25">
      <c r="A718" s="2">
        <v>44641</v>
      </c>
      <c r="B718" s="1"/>
      <c r="C718">
        <v>6392</v>
      </c>
      <c r="D718" s="1" t="s">
        <v>173</v>
      </c>
      <c r="E718" s="1" t="s">
        <v>6</v>
      </c>
      <c r="F718">
        <v>5</v>
      </c>
      <c r="G718" s="1" t="str">
        <f>Ocupacao_DW[[#This Row],[data]]&amp;Ocupacao_DW[[#This Row],[profissional_id]]&amp;Ocupacao_DW[[#This Row],[local_id]]</f>
        <v>4464163925</v>
      </c>
      <c r="H718" s="1">
        <f>_xlfn.XLOOKUP(Ocupacao_DW[[#This Row],[Concat]],Vagas!$H:$H,Vagas!$D:$D,"",0)</f>
        <v>0</v>
      </c>
    </row>
    <row r="719" spans="1:8" x14ac:dyDescent="0.25">
      <c r="A719" s="2">
        <v>44637</v>
      </c>
      <c r="B719" s="1"/>
      <c r="C719">
        <v>266</v>
      </c>
      <c r="D719" s="1" t="s">
        <v>201</v>
      </c>
      <c r="E719" s="1" t="s">
        <v>4</v>
      </c>
      <c r="F719">
        <v>42</v>
      </c>
      <c r="G719" s="1" t="str">
        <f>Ocupacao_DW[[#This Row],[data]]&amp;Ocupacao_DW[[#This Row],[profissional_id]]&amp;Ocupacao_DW[[#This Row],[local_id]]</f>
        <v>4463726642</v>
      </c>
      <c r="H719" s="1">
        <f>_xlfn.XLOOKUP(Ocupacao_DW[[#This Row],[Concat]],Vagas!$H:$H,Vagas!$D:$D,"",0)</f>
        <v>0</v>
      </c>
    </row>
    <row r="720" spans="1:8" x14ac:dyDescent="0.25">
      <c r="A720" s="2">
        <v>44641</v>
      </c>
      <c r="B720" s="1" t="s">
        <v>60</v>
      </c>
      <c r="C720">
        <v>117</v>
      </c>
      <c r="D720" s="1" t="s">
        <v>180</v>
      </c>
      <c r="E720" s="1" t="s">
        <v>4</v>
      </c>
      <c r="F720">
        <v>48</v>
      </c>
      <c r="G720" s="1" t="str">
        <f>Ocupacao_DW[[#This Row],[data]]&amp;Ocupacao_DW[[#This Row],[profissional_id]]&amp;Ocupacao_DW[[#This Row],[local_id]]</f>
        <v>4464111748</v>
      </c>
      <c r="H720" s="1">
        <f>_xlfn.XLOOKUP(Ocupacao_DW[[#This Row],[Concat]],Vagas!$H:$H,Vagas!$D:$D,"",0)</f>
        <v>0</v>
      </c>
    </row>
    <row r="721" spans="1:8" x14ac:dyDescent="0.25">
      <c r="A721" s="2">
        <v>44635</v>
      </c>
      <c r="B721" s="1"/>
      <c r="C721">
        <v>8239</v>
      </c>
      <c r="D721" s="1" t="s">
        <v>257</v>
      </c>
      <c r="E721" s="1" t="s">
        <v>5</v>
      </c>
      <c r="F721">
        <v>14</v>
      </c>
      <c r="G721" s="1" t="str">
        <f>Ocupacao_DW[[#This Row],[data]]&amp;Ocupacao_DW[[#This Row],[profissional_id]]&amp;Ocupacao_DW[[#This Row],[local_id]]</f>
        <v>44635823914</v>
      </c>
      <c r="H721" s="1">
        <f>_xlfn.XLOOKUP(Ocupacao_DW[[#This Row],[Concat]],Vagas!$H:$H,Vagas!$D:$D,"",0)</f>
        <v>0</v>
      </c>
    </row>
    <row r="722" spans="1:8" x14ac:dyDescent="0.25">
      <c r="A722" s="2">
        <v>44635</v>
      </c>
      <c r="B722" s="1" t="s">
        <v>47</v>
      </c>
      <c r="C722">
        <v>12752</v>
      </c>
      <c r="D722" s="1" t="s">
        <v>253</v>
      </c>
      <c r="E722" s="1" t="s">
        <v>7</v>
      </c>
      <c r="F722">
        <v>60</v>
      </c>
      <c r="G722" s="1" t="str">
        <f>Ocupacao_DW[[#This Row],[data]]&amp;Ocupacao_DW[[#This Row],[profissional_id]]&amp;Ocupacao_DW[[#This Row],[local_id]]</f>
        <v>446351275260</v>
      </c>
      <c r="H722" s="1">
        <f>_xlfn.XLOOKUP(Ocupacao_DW[[#This Row],[Concat]],Vagas!$H:$H,Vagas!$D:$D,"",0)</f>
        <v>0</v>
      </c>
    </row>
    <row r="723" spans="1:8" x14ac:dyDescent="0.25">
      <c r="A723" s="2">
        <v>44651</v>
      </c>
      <c r="B723" s="1"/>
      <c r="C723">
        <v>9217</v>
      </c>
      <c r="D723" s="1" t="s">
        <v>191</v>
      </c>
      <c r="E723" s="1" t="s">
        <v>6</v>
      </c>
      <c r="F723">
        <v>6</v>
      </c>
      <c r="G723" s="1" t="str">
        <f>Ocupacao_DW[[#This Row],[data]]&amp;Ocupacao_DW[[#This Row],[profissional_id]]&amp;Ocupacao_DW[[#This Row],[local_id]]</f>
        <v>4465192176</v>
      </c>
      <c r="H723" s="1">
        <f>_xlfn.XLOOKUP(Ocupacao_DW[[#This Row],[Concat]],Vagas!$H:$H,Vagas!$D:$D,"",0)</f>
        <v>23</v>
      </c>
    </row>
    <row r="724" spans="1:8" x14ac:dyDescent="0.25">
      <c r="A724" s="2">
        <v>44643</v>
      </c>
      <c r="B724" s="1"/>
      <c r="C724">
        <v>2396</v>
      </c>
      <c r="D724" s="1" t="s">
        <v>197</v>
      </c>
      <c r="E724" s="1"/>
      <c r="F724">
        <v>0</v>
      </c>
      <c r="G724" s="1" t="str">
        <f>Ocupacao_DW[[#This Row],[data]]&amp;Ocupacao_DW[[#This Row],[profissional_id]]&amp;Ocupacao_DW[[#This Row],[local_id]]</f>
        <v>4464323960</v>
      </c>
      <c r="H724" s="1" t="str">
        <f>_xlfn.XLOOKUP(Ocupacao_DW[[#This Row],[Concat]],Vagas!$H:$H,Vagas!$D:$D,"",0)</f>
        <v/>
      </c>
    </row>
    <row r="725" spans="1:8" x14ac:dyDescent="0.25">
      <c r="A725" s="2">
        <v>44635</v>
      </c>
      <c r="B725" s="1" t="s">
        <v>51</v>
      </c>
      <c r="C725">
        <v>12582</v>
      </c>
      <c r="D725" s="1" t="s">
        <v>190</v>
      </c>
      <c r="E725" s="1" t="s">
        <v>7</v>
      </c>
      <c r="F725">
        <v>62</v>
      </c>
      <c r="G725" s="1" t="str">
        <f>Ocupacao_DW[[#This Row],[data]]&amp;Ocupacao_DW[[#This Row],[profissional_id]]&amp;Ocupacao_DW[[#This Row],[local_id]]</f>
        <v>446351258262</v>
      </c>
      <c r="H725" s="1">
        <f>_xlfn.XLOOKUP(Ocupacao_DW[[#This Row],[Concat]],Vagas!$H:$H,Vagas!$D:$D,"",0)</f>
        <v>0</v>
      </c>
    </row>
    <row r="726" spans="1:8" x14ac:dyDescent="0.25">
      <c r="A726" s="2">
        <v>44643</v>
      </c>
      <c r="B726" s="1" t="s">
        <v>52</v>
      </c>
      <c r="C726">
        <v>57</v>
      </c>
      <c r="D726" s="1" t="s">
        <v>169</v>
      </c>
      <c r="E726" s="1" t="s">
        <v>6</v>
      </c>
      <c r="F726">
        <v>4</v>
      </c>
      <c r="G726" s="1" t="str">
        <f>Ocupacao_DW[[#This Row],[data]]&amp;Ocupacao_DW[[#This Row],[profissional_id]]&amp;Ocupacao_DW[[#This Row],[local_id]]</f>
        <v>44643574</v>
      </c>
      <c r="H726" s="1">
        <f>_xlfn.XLOOKUP(Ocupacao_DW[[#This Row],[Concat]],Vagas!$H:$H,Vagas!$D:$D,"",0)</f>
        <v>0</v>
      </c>
    </row>
    <row r="727" spans="1:8" x14ac:dyDescent="0.25">
      <c r="A727" s="2">
        <v>44636</v>
      </c>
      <c r="B727" s="1"/>
      <c r="C727">
        <v>1490</v>
      </c>
      <c r="D727" s="1" t="s">
        <v>174</v>
      </c>
      <c r="E727" s="1" t="s">
        <v>5</v>
      </c>
      <c r="F727">
        <v>13</v>
      </c>
      <c r="G727" s="1" t="str">
        <f>Ocupacao_DW[[#This Row],[data]]&amp;Ocupacao_DW[[#This Row],[profissional_id]]&amp;Ocupacao_DW[[#This Row],[local_id]]</f>
        <v>44636149013</v>
      </c>
      <c r="H727" s="1">
        <f>_xlfn.XLOOKUP(Ocupacao_DW[[#This Row],[Concat]],Vagas!$H:$H,Vagas!$D:$D,"",0)</f>
        <v>0</v>
      </c>
    </row>
    <row r="728" spans="1:8" x14ac:dyDescent="0.25">
      <c r="A728" s="2">
        <v>44635</v>
      </c>
      <c r="B728" s="1"/>
      <c r="C728">
        <v>13249</v>
      </c>
      <c r="D728" s="1" t="s">
        <v>178</v>
      </c>
      <c r="E728" s="1" t="s">
        <v>4</v>
      </c>
      <c r="F728">
        <v>45</v>
      </c>
      <c r="G728" s="1" t="str">
        <f>Ocupacao_DW[[#This Row],[data]]&amp;Ocupacao_DW[[#This Row],[profissional_id]]&amp;Ocupacao_DW[[#This Row],[local_id]]</f>
        <v>446351324945</v>
      </c>
      <c r="H728" s="1">
        <f>_xlfn.XLOOKUP(Ocupacao_DW[[#This Row],[Concat]],Vagas!$H:$H,Vagas!$D:$D,"",0)</f>
        <v>0</v>
      </c>
    </row>
    <row r="729" spans="1:8" x14ac:dyDescent="0.25">
      <c r="A729" s="2">
        <v>44642</v>
      </c>
      <c r="B729" s="1"/>
      <c r="C729">
        <v>9111</v>
      </c>
      <c r="D729" s="1" t="s">
        <v>206</v>
      </c>
      <c r="E729" s="1" t="s">
        <v>4</v>
      </c>
      <c r="F729">
        <v>335</v>
      </c>
      <c r="G729" s="1" t="str">
        <f>Ocupacao_DW[[#This Row],[data]]&amp;Ocupacao_DW[[#This Row],[profissional_id]]&amp;Ocupacao_DW[[#This Row],[local_id]]</f>
        <v>446429111335</v>
      </c>
      <c r="H729" s="1">
        <f>_xlfn.XLOOKUP(Ocupacao_DW[[#This Row],[Concat]],Vagas!$H:$H,Vagas!$D:$D,"",0)</f>
        <v>0</v>
      </c>
    </row>
    <row r="730" spans="1:8" x14ac:dyDescent="0.25">
      <c r="A730" s="2">
        <v>44642</v>
      </c>
      <c r="B730" s="1"/>
      <c r="C730">
        <v>73</v>
      </c>
      <c r="D730" s="1" t="s">
        <v>171</v>
      </c>
      <c r="E730" s="1" t="s">
        <v>6</v>
      </c>
      <c r="F730">
        <v>5</v>
      </c>
      <c r="G730" s="1" t="str">
        <f>Ocupacao_DW[[#This Row],[data]]&amp;Ocupacao_DW[[#This Row],[profissional_id]]&amp;Ocupacao_DW[[#This Row],[local_id]]</f>
        <v>44642735</v>
      </c>
      <c r="H730" s="1">
        <f>_xlfn.XLOOKUP(Ocupacao_DW[[#This Row],[Concat]],Vagas!$H:$H,Vagas!$D:$D,"",0)</f>
        <v>0</v>
      </c>
    </row>
    <row r="731" spans="1:8" x14ac:dyDescent="0.25">
      <c r="A731" s="2">
        <v>44639</v>
      </c>
      <c r="B731" s="1"/>
      <c r="C731">
        <v>70</v>
      </c>
      <c r="D731" s="1" t="s">
        <v>187</v>
      </c>
      <c r="E731" s="1" t="s">
        <v>5</v>
      </c>
      <c r="F731">
        <v>13</v>
      </c>
      <c r="G731" s="1" t="str">
        <f>Ocupacao_DW[[#This Row],[data]]&amp;Ocupacao_DW[[#This Row],[profissional_id]]&amp;Ocupacao_DW[[#This Row],[local_id]]</f>
        <v>446397013</v>
      </c>
      <c r="H731" s="1">
        <f>_xlfn.XLOOKUP(Ocupacao_DW[[#This Row],[Concat]],Vagas!$H:$H,Vagas!$D:$D,"",0)</f>
        <v>0</v>
      </c>
    </row>
    <row r="732" spans="1:8" x14ac:dyDescent="0.25">
      <c r="A732" s="2">
        <v>44639</v>
      </c>
      <c r="B732" s="1"/>
      <c r="C732">
        <v>4887</v>
      </c>
      <c r="D732" s="1" t="s">
        <v>168</v>
      </c>
      <c r="E732" s="1" t="s">
        <v>5</v>
      </c>
      <c r="F732">
        <v>18</v>
      </c>
      <c r="G732" s="1" t="str">
        <f>Ocupacao_DW[[#This Row],[data]]&amp;Ocupacao_DW[[#This Row],[profissional_id]]&amp;Ocupacao_DW[[#This Row],[local_id]]</f>
        <v>44639488718</v>
      </c>
      <c r="H732" s="1">
        <f>_xlfn.XLOOKUP(Ocupacao_DW[[#This Row],[Concat]],Vagas!$H:$H,Vagas!$D:$D,"",0)</f>
        <v>0</v>
      </c>
    </row>
    <row r="733" spans="1:8" x14ac:dyDescent="0.25">
      <c r="A733" s="2">
        <v>44635</v>
      </c>
      <c r="B733" s="1" t="s">
        <v>62</v>
      </c>
      <c r="C733">
        <v>3502</v>
      </c>
      <c r="D733" s="1" t="s">
        <v>214</v>
      </c>
      <c r="E733" s="1" t="s">
        <v>5</v>
      </c>
      <c r="F733">
        <v>16</v>
      </c>
      <c r="G733" s="1" t="str">
        <f>Ocupacao_DW[[#This Row],[data]]&amp;Ocupacao_DW[[#This Row],[profissional_id]]&amp;Ocupacao_DW[[#This Row],[local_id]]</f>
        <v>44635350216</v>
      </c>
      <c r="H733" s="1">
        <f>_xlfn.XLOOKUP(Ocupacao_DW[[#This Row],[Concat]],Vagas!$H:$H,Vagas!$D:$D,"",0)</f>
        <v>0</v>
      </c>
    </row>
    <row r="734" spans="1:8" x14ac:dyDescent="0.25">
      <c r="A734" s="2">
        <v>44639</v>
      </c>
      <c r="B734" s="1" t="s">
        <v>49</v>
      </c>
      <c r="C734">
        <v>13756</v>
      </c>
      <c r="D734" s="1" t="s">
        <v>202</v>
      </c>
      <c r="E734" s="1" t="s">
        <v>4</v>
      </c>
      <c r="F734">
        <v>43</v>
      </c>
      <c r="G734" s="1" t="str">
        <f>Ocupacao_DW[[#This Row],[data]]&amp;Ocupacao_DW[[#This Row],[profissional_id]]&amp;Ocupacao_DW[[#This Row],[local_id]]</f>
        <v>446391375643</v>
      </c>
      <c r="H734" s="1">
        <f>_xlfn.XLOOKUP(Ocupacao_DW[[#This Row],[Concat]],Vagas!$H:$H,Vagas!$D:$D,"",0)</f>
        <v>0</v>
      </c>
    </row>
    <row r="735" spans="1:8" x14ac:dyDescent="0.25">
      <c r="A735" s="2">
        <v>44636</v>
      </c>
      <c r="B735" s="1" t="s">
        <v>54</v>
      </c>
      <c r="C735">
        <v>70</v>
      </c>
      <c r="D735" s="1" t="s">
        <v>187</v>
      </c>
      <c r="E735" s="1" t="s">
        <v>5</v>
      </c>
      <c r="F735">
        <v>13</v>
      </c>
      <c r="G735" s="1" t="str">
        <f>Ocupacao_DW[[#This Row],[data]]&amp;Ocupacao_DW[[#This Row],[profissional_id]]&amp;Ocupacao_DW[[#This Row],[local_id]]</f>
        <v>446367013</v>
      </c>
      <c r="H735" s="1">
        <f>_xlfn.XLOOKUP(Ocupacao_DW[[#This Row],[Concat]],Vagas!$H:$H,Vagas!$D:$D,"",0)</f>
        <v>0</v>
      </c>
    </row>
    <row r="736" spans="1:8" x14ac:dyDescent="0.25">
      <c r="A736" s="2">
        <v>44635</v>
      </c>
      <c r="B736" s="1" t="s">
        <v>43</v>
      </c>
      <c r="C736">
        <v>57</v>
      </c>
      <c r="D736" s="1" t="s">
        <v>169</v>
      </c>
      <c r="E736" s="1" t="s">
        <v>6</v>
      </c>
      <c r="F736">
        <v>2</v>
      </c>
      <c r="G736" s="1" t="str">
        <f>Ocupacao_DW[[#This Row],[data]]&amp;Ocupacao_DW[[#This Row],[profissional_id]]&amp;Ocupacao_DW[[#This Row],[local_id]]</f>
        <v>44635572</v>
      </c>
      <c r="H736" s="1">
        <f>_xlfn.XLOOKUP(Ocupacao_DW[[#This Row],[Concat]],Vagas!$H:$H,Vagas!$D:$D,"",0)</f>
        <v>0</v>
      </c>
    </row>
    <row r="737" spans="1:8" x14ac:dyDescent="0.25">
      <c r="A737" s="2">
        <v>44635</v>
      </c>
      <c r="B737" s="1" t="s">
        <v>51</v>
      </c>
      <c r="C737">
        <v>12582</v>
      </c>
      <c r="D737" s="1" t="s">
        <v>190</v>
      </c>
      <c r="E737" s="1" t="s">
        <v>7</v>
      </c>
      <c r="F737">
        <v>62</v>
      </c>
      <c r="G737" s="1" t="str">
        <f>Ocupacao_DW[[#This Row],[data]]&amp;Ocupacao_DW[[#This Row],[profissional_id]]&amp;Ocupacao_DW[[#This Row],[local_id]]</f>
        <v>446351258262</v>
      </c>
      <c r="H737" s="1">
        <f>_xlfn.XLOOKUP(Ocupacao_DW[[#This Row],[Concat]],Vagas!$H:$H,Vagas!$D:$D,"",0)</f>
        <v>0</v>
      </c>
    </row>
    <row r="738" spans="1:8" x14ac:dyDescent="0.25">
      <c r="A738" s="2">
        <v>44637</v>
      </c>
      <c r="B738" s="1" t="s">
        <v>49</v>
      </c>
      <c r="C738">
        <v>266</v>
      </c>
      <c r="D738" s="1" t="s">
        <v>201</v>
      </c>
      <c r="E738" s="1" t="s">
        <v>4</v>
      </c>
      <c r="F738">
        <v>42</v>
      </c>
      <c r="G738" s="1" t="str">
        <f>Ocupacao_DW[[#This Row],[data]]&amp;Ocupacao_DW[[#This Row],[profissional_id]]&amp;Ocupacao_DW[[#This Row],[local_id]]</f>
        <v>4463726642</v>
      </c>
      <c r="H738" s="1">
        <f>_xlfn.XLOOKUP(Ocupacao_DW[[#This Row],[Concat]],Vagas!$H:$H,Vagas!$D:$D,"",0)</f>
        <v>0</v>
      </c>
    </row>
    <row r="739" spans="1:8" x14ac:dyDescent="0.25">
      <c r="A739" s="2">
        <v>44635</v>
      </c>
      <c r="B739" s="1" t="s">
        <v>65</v>
      </c>
      <c r="C739">
        <v>11652</v>
      </c>
      <c r="D739" s="1" t="s">
        <v>242</v>
      </c>
      <c r="E739" s="1" t="s">
        <v>4</v>
      </c>
      <c r="F739">
        <v>47</v>
      </c>
      <c r="G739" s="1" t="str">
        <f>Ocupacao_DW[[#This Row],[data]]&amp;Ocupacao_DW[[#This Row],[profissional_id]]&amp;Ocupacao_DW[[#This Row],[local_id]]</f>
        <v>446351165247</v>
      </c>
      <c r="H739" s="1">
        <f>_xlfn.XLOOKUP(Ocupacao_DW[[#This Row],[Concat]],Vagas!$H:$H,Vagas!$D:$D,"",0)</f>
        <v>0</v>
      </c>
    </row>
    <row r="740" spans="1:8" x14ac:dyDescent="0.25">
      <c r="A740" s="2">
        <v>44635</v>
      </c>
      <c r="B740" s="1" t="s">
        <v>62</v>
      </c>
      <c r="C740">
        <v>3502</v>
      </c>
      <c r="D740" s="1" t="s">
        <v>214</v>
      </c>
      <c r="E740" s="1" t="s">
        <v>5</v>
      </c>
      <c r="F740">
        <v>16</v>
      </c>
      <c r="G740" s="1" t="str">
        <f>Ocupacao_DW[[#This Row],[data]]&amp;Ocupacao_DW[[#This Row],[profissional_id]]&amp;Ocupacao_DW[[#This Row],[local_id]]</f>
        <v>44635350216</v>
      </c>
      <c r="H740" s="1">
        <f>_xlfn.XLOOKUP(Ocupacao_DW[[#This Row],[Concat]],Vagas!$H:$H,Vagas!$D:$D,"",0)</f>
        <v>0</v>
      </c>
    </row>
    <row r="741" spans="1:8" x14ac:dyDescent="0.25">
      <c r="A741" s="2">
        <v>44642</v>
      </c>
      <c r="B741" s="1" t="s">
        <v>64</v>
      </c>
      <c r="C741">
        <v>85</v>
      </c>
      <c r="D741" s="1" t="s">
        <v>211</v>
      </c>
      <c r="E741" s="1" t="s">
        <v>5</v>
      </c>
      <c r="F741">
        <v>349</v>
      </c>
      <c r="G741" s="1" t="str">
        <f>Ocupacao_DW[[#This Row],[data]]&amp;Ocupacao_DW[[#This Row],[profissional_id]]&amp;Ocupacao_DW[[#This Row],[local_id]]</f>
        <v>4464285349</v>
      </c>
      <c r="H741" s="1">
        <f>_xlfn.XLOOKUP(Ocupacao_DW[[#This Row],[Concat]],Vagas!$H:$H,Vagas!$D:$D,"",0)</f>
        <v>0</v>
      </c>
    </row>
    <row r="742" spans="1:8" x14ac:dyDescent="0.25">
      <c r="A742" s="2">
        <v>44635</v>
      </c>
      <c r="B742" s="1" t="s">
        <v>65</v>
      </c>
      <c r="C742">
        <v>11652</v>
      </c>
      <c r="D742" s="1" t="s">
        <v>242</v>
      </c>
      <c r="E742" s="1" t="s">
        <v>4</v>
      </c>
      <c r="F742">
        <v>47</v>
      </c>
      <c r="G742" s="1" t="str">
        <f>Ocupacao_DW[[#This Row],[data]]&amp;Ocupacao_DW[[#This Row],[profissional_id]]&amp;Ocupacao_DW[[#This Row],[local_id]]</f>
        <v>446351165247</v>
      </c>
      <c r="H742" s="1">
        <f>_xlfn.XLOOKUP(Ocupacao_DW[[#This Row],[Concat]],Vagas!$H:$H,Vagas!$D:$D,"",0)</f>
        <v>0</v>
      </c>
    </row>
    <row r="743" spans="1:8" x14ac:dyDescent="0.25">
      <c r="A743" s="2">
        <v>44645</v>
      </c>
      <c r="B743" s="1" t="s">
        <v>52</v>
      </c>
      <c r="C743">
        <v>57</v>
      </c>
      <c r="D743" s="1" t="s">
        <v>169</v>
      </c>
      <c r="E743" s="1" t="s">
        <v>6</v>
      </c>
      <c r="F743">
        <v>8</v>
      </c>
      <c r="G743" s="1" t="str">
        <f>Ocupacao_DW[[#This Row],[data]]&amp;Ocupacao_DW[[#This Row],[profissional_id]]&amp;Ocupacao_DW[[#This Row],[local_id]]</f>
        <v>44645578</v>
      </c>
      <c r="H743" s="1">
        <f>_xlfn.XLOOKUP(Ocupacao_DW[[#This Row],[Concat]],Vagas!$H:$H,Vagas!$D:$D,"",0)</f>
        <v>0</v>
      </c>
    </row>
    <row r="744" spans="1:8" x14ac:dyDescent="0.25">
      <c r="A744" s="2">
        <v>44636</v>
      </c>
      <c r="B744" s="1" t="s">
        <v>70</v>
      </c>
      <c r="C744">
        <v>12825</v>
      </c>
      <c r="D744" s="1" t="s">
        <v>177</v>
      </c>
      <c r="E744" s="1" t="s">
        <v>4</v>
      </c>
      <c r="F744">
        <v>45</v>
      </c>
      <c r="G744" s="1" t="str">
        <f>Ocupacao_DW[[#This Row],[data]]&amp;Ocupacao_DW[[#This Row],[profissional_id]]&amp;Ocupacao_DW[[#This Row],[local_id]]</f>
        <v>446361282545</v>
      </c>
      <c r="H744" s="1">
        <f>_xlfn.XLOOKUP(Ocupacao_DW[[#This Row],[Concat]],Vagas!$H:$H,Vagas!$D:$D,"",0)</f>
        <v>0</v>
      </c>
    </row>
    <row r="745" spans="1:8" x14ac:dyDescent="0.25">
      <c r="A745" s="2">
        <v>44635</v>
      </c>
      <c r="B745" s="1" t="s">
        <v>62</v>
      </c>
      <c r="C745">
        <v>3502</v>
      </c>
      <c r="D745" s="1" t="s">
        <v>214</v>
      </c>
      <c r="E745" s="1" t="s">
        <v>5</v>
      </c>
      <c r="F745">
        <v>16</v>
      </c>
      <c r="G745" s="1" t="str">
        <f>Ocupacao_DW[[#This Row],[data]]&amp;Ocupacao_DW[[#This Row],[profissional_id]]&amp;Ocupacao_DW[[#This Row],[local_id]]</f>
        <v>44635350216</v>
      </c>
      <c r="H745" s="1">
        <f>_xlfn.XLOOKUP(Ocupacao_DW[[#This Row],[Concat]],Vagas!$H:$H,Vagas!$D:$D,"",0)</f>
        <v>0</v>
      </c>
    </row>
    <row r="746" spans="1:8" x14ac:dyDescent="0.25">
      <c r="A746" s="2">
        <v>44639</v>
      </c>
      <c r="B746" s="1" t="s">
        <v>72</v>
      </c>
      <c r="C746">
        <v>6046</v>
      </c>
      <c r="D746" s="1" t="s">
        <v>222</v>
      </c>
      <c r="E746" s="1" t="s">
        <v>4</v>
      </c>
      <c r="F746">
        <v>46</v>
      </c>
      <c r="G746" s="1" t="str">
        <f>Ocupacao_DW[[#This Row],[data]]&amp;Ocupacao_DW[[#This Row],[profissional_id]]&amp;Ocupacao_DW[[#This Row],[local_id]]</f>
        <v>44639604646</v>
      </c>
      <c r="H746" s="1">
        <f>_xlfn.XLOOKUP(Ocupacao_DW[[#This Row],[Concat]],Vagas!$H:$H,Vagas!$D:$D,"",0)</f>
        <v>0</v>
      </c>
    </row>
    <row r="747" spans="1:8" x14ac:dyDescent="0.25">
      <c r="A747" s="2">
        <v>44638</v>
      </c>
      <c r="B747" s="1" t="s">
        <v>52</v>
      </c>
      <c r="C747">
        <v>55</v>
      </c>
      <c r="D747" s="1" t="s">
        <v>244</v>
      </c>
      <c r="E747" s="1" t="s">
        <v>7</v>
      </c>
      <c r="F747">
        <v>68</v>
      </c>
      <c r="G747" s="1" t="str">
        <f>Ocupacao_DW[[#This Row],[data]]&amp;Ocupacao_DW[[#This Row],[profissional_id]]&amp;Ocupacao_DW[[#This Row],[local_id]]</f>
        <v>446385568</v>
      </c>
      <c r="H747" s="1">
        <f>_xlfn.XLOOKUP(Ocupacao_DW[[#This Row],[Concat]],Vagas!$H:$H,Vagas!$D:$D,"",0)</f>
        <v>0</v>
      </c>
    </row>
    <row r="748" spans="1:8" x14ac:dyDescent="0.25">
      <c r="A748" s="2">
        <v>44635</v>
      </c>
      <c r="B748" s="1" t="s">
        <v>49</v>
      </c>
      <c r="C748">
        <v>266</v>
      </c>
      <c r="D748" s="1" t="s">
        <v>201</v>
      </c>
      <c r="E748" s="1" t="s">
        <v>4</v>
      </c>
      <c r="F748">
        <v>42</v>
      </c>
      <c r="G748" s="1" t="str">
        <f>Ocupacao_DW[[#This Row],[data]]&amp;Ocupacao_DW[[#This Row],[profissional_id]]&amp;Ocupacao_DW[[#This Row],[local_id]]</f>
        <v>4463526642</v>
      </c>
      <c r="H748" s="1">
        <f>_xlfn.XLOOKUP(Ocupacao_DW[[#This Row],[Concat]],Vagas!$H:$H,Vagas!$D:$D,"",0)</f>
        <v>0</v>
      </c>
    </row>
    <row r="749" spans="1:8" x14ac:dyDescent="0.25">
      <c r="A749" s="2">
        <v>44636</v>
      </c>
      <c r="B749" s="1" t="s">
        <v>70</v>
      </c>
      <c r="C749">
        <v>12825</v>
      </c>
      <c r="D749" s="1" t="s">
        <v>177</v>
      </c>
      <c r="E749" s="1" t="s">
        <v>4</v>
      </c>
      <c r="F749">
        <v>45</v>
      </c>
      <c r="G749" s="1" t="str">
        <f>Ocupacao_DW[[#This Row],[data]]&amp;Ocupacao_DW[[#This Row],[profissional_id]]&amp;Ocupacao_DW[[#This Row],[local_id]]</f>
        <v>446361282545</v>
      </c>
      <c r="H749" s="1">
        <f>_xlfn.XLOOKUP(Ocupacao_DW[[#This Row],[Concat]],Vagas!$H:$H,Vagas!$D:$D,"",0)</f>
        <v>0</v>
      </c>
    </row>
    <row r="750" spans="1:8" x14ac:dyDescent="0.25">
      <c r="A750" s="2">
        <v>44638</v>
      </c>
      <c r="B750" s="1" t="s">
        <v>56</v>
      </c>
      <c r="C750">
        <v>5927</v>
      </c>
      <c r="D750" s="1" t="s">
        <v>226</v>
      </c>
      <c r="E750" s="1" t="s">
        <v>5</v>
      </c>
      <c r="F750">
        <v>17</v>
      </c>
      <c r="G750" s="1" t="str">
        <f>Ocupacao_DW[[#This Row],[data]]&amp;Ocupacao_DW[[#This Row],[profissional_id]]&amp;Ocupacao_DW[[#This Row],[local_id]]</f>
        <v>44638592717</v>
      </c>
      <c r="H750" s="1">
        <f>_xlfn.XLOOKUP(Ocupacao_DW[[#This Row],[Concat]],Vagas!$H:$H,Vagas!$D:$D,"",0)</f>
        <v>0</v>
      </c>
    </row>
    <row r="751" spans="1:8" x14ac:dyDescent="0.25">
      <c r="A751" s="2">
        <v>44635</v>
      </c>
      <c r="B751" s="1" t="s">
        <v>65</v>
      </c>
      <c r="C751">
        <v>11237</v>
      </c>
      <c r="D751" s="1" t="s">
        <v>229</v>
      </c>
      <c r="E751" s="1" t="s">
        <v>4</v>
      </c>
      <c r="F751">
        <v>46</v>
      </c>
      <c r="G751" s="1" t="str">
        <f>Ocupacao_DW[[#This Row],[data]]&amp;Ocupacao_DW[[#This Row],[profissional_id]]&amp;Ocupacao_DW[[#This Row],[local_id]]</f>
        <v>446351123746</v>
      </c>
      <c r="H751" s="1">
        <f>_xlfn.XLOOKUP(Ocupacao_DW[[#This Row],[Concat]],Vagas!$H:$H,Vagas!$D:$D,"",0)</f>
        <v>0</v>
      </c>
    </row>
    <row r="752" spans="1:8" x14ac:dyDescent="0.25">
      <c r="A752" s="2">
        <v>44636</v>
      </c>
      <c r="B752" s="1" t="s">
        <v>57</v>
      </c>
      <c r="C752">
        <v>80</v>
      </c>
      <c r="D752" s="1" t="s">
        <v>179</v>
      </c>
      <c r="E752" s="1" t="s">
        <v>167</v>
      </c>
      <c r="F752">
        <v>346</v>
      </c>
      <c r="G752" s="1" t="str">
        <f>Ocupacao_DW[[#This Row],[data]]&amp;Ocupacao_DW[[#This Row],[profissional_id]]&amp;Ocupacao_DW[[#This Row],[local_id]]</f>
        <v>4463680346</v>
      </c>
      <c r="H752" s="1">
        <f>_xlfn.XLOOKUP(Ocupacao_DW[[#This Row],[Concat]],Vagas!$H:$H,Vagas!$D:$D,"",0)</f>
        <v>0</v>
      </c>
    </row>
    <row r="753" spans="1:8" x14ac:dyDescent="0.25">
      <c r="A753" s="2">
        <v>44644</v>
      </c>
      <c r="B753" s="1" t="s">
        <v>55</v>
      </c>
      <c r="C753">
        <v>12426</v>
      </c>
      <c r="D753" s="1" t="s">
        <v>215</v>
      </c>
      <c r="E753" s="1" t="s">
        <v>6</v>
      </c>
      <c r="F753">
        <v>5</v>
      </c>
      <c r="G753" s="1" t="str">
        <f>Ocupacao_DW[[#This Row],[data]]&amp;Ocupacao_DW[[#This Row],[profissional_id]]&amp;Ocupacao_DW[[#This Row],[local_id]]</f>
        <v>44644124265</v>
      </c>
      <c r="H753" s="1">
        <f>_xlfn.XLOOKUP(Ocupacao_DW[[#This Row],[Concat]],Vagas!$H:$H,Vagas!$D:$D,"",0)</f>
        <v>0</v>
      </c>
    </row>
    <row r="754" spans="1:8" x14ac:dyDescent="0.25">
      <c r="A754" s="2">
        <v>44638</v>
      </c>
      <c r="B754" s="1" t="s">
        <v>47</v>
      </c>
      <c r="C754">
        <v>9111</v>
      </c>
      <c r="D754" s="1" t="s">
        <v>206</v>
      </c>
      <c r="E754" s="1" t="s">
        <v>4</v>
      </c>
      <c r="F754">
        <v>51</v>
      </c>
      <c r="G754" s="1" t="str">
        <f>Ocupacao_DW[[#This Row],[data]]&amp;Ocupacao_DW[[#This Row],[profissional_id]]&amp;Ocupacao_DW[[#This Row],[local_id]]</f>
        <v>44638911151</v>
      </c>
      <c r="H754" s="1">
        <f>_xlfn.XLOOKUP(Ocupacao_DW[[#This Row],[Concat]],Vagas!$H:$H,Vagas!$D:$D,"",0)</f>
        <v>0</v>
      </c>
    </row>
    <row r="755" spans="1:8" x14ac:dyDescent="0.25">
      <c r="A755" s="2">
        <v>44636</v>
      </c>
      <c r="B755" s="1" t="s">
        <v>51</v>
      </c>
      <c r="C755">
        <v>7551</v>
      </c>
      <c r="D755" s="1" t="s">
        <v>246</v>
      </c>
      <c r="E755" s="1" t="s">
        <v>5</v>
      </c>
      <c r="F755">
        <v>15</v>
      </c>
      <c r="G755" s="1" t="str">
        <f>Ocupacao_DW[[#This Row],[data]]&amp;Ocupacao_DW[[#This Row],[profissional_id]]&amp;Ocupacao_DW[[#This Row],[local_id]]</f>
        <v>44636755115</v>
      </c>
      <c r="H755" s="1">
        <f>_xlfn.XLOOKUP(Ocupacao_DW[[#This Row],[Concat]],Vagas!$H:$H,Vagas!$D:$D,"",0)</f>
        <v>0</v>
      </c>
    </row>
    <row r="756" spans="1:8" x14ac:dyDescent="0.25">
      <c r="A756" s="2">
        <v>44635</v>
      </c>
      <c r="B756" s="1" t="s">
        <v>65</v>
      </c>
      <c r="C756">
        <v>11237</v>
      </c>
      <c r="D756" s="1" t="s">
        <v>229</v>
      </c>
      <c r="E756" s="1" t="s">
        <v>4</v>
      </c>
      <c r="F756">
        <v>46</v>
      </c>
      <c r="G756" s="1" t="str">
        <f>Ocupacao_DW[[#This Row],[data]]&amp;Ocupacao_DW[[#This Row],[profissional_id]]&amp;Ocupacao_DW[[#This Row],[local_id]]</f>
        <v>446351123746</v>
      </c>
      <c r="H756" s="1">
        <f>_xlfn.XLOOKUP(Ocupacao_DW[[#This Row],[Concat]],Vagas!$H:$H,Vagas!$D:$D,"",0)</f>
        <v>0</v>
      </c>
    </row>
    <row r="757" spans="1:8" x14ac:dyDescent="0.25">
      <c r="A757" s="2">
        <v>44635</v>
      </c>
      <c r="B757" s="1" t="s">
        <v>62</v>
      </c>
      <c r="C757">
        <v>3502</v>
      </c>
      <c r="D757" s="1" t="s">
        <v>214</v>
      </c>
      <c r="E757" s="1" t="s">
        <v>5</v>
      </c>
      <c r="F757">
        <v>16</v>
      </c>
      <c r="G757" s="1" t="str">
        <f>Ocupacao_DW[[#This Row],[data]]&amp;Ocupacao_DW[[#This Row],[profissional_id]]&amp;Ocupacao_DW[[#This Row],[local_id]]</f>
        <v>44635350216</v>
      </c>
      <c r="H757" s="1">
        <f>_xlfn.XLOOKUP(Ocupacao_DW[[#This Row],[Concat]],Vagas!$H:$H,Vagas!$D:$D,"",0)</f>
        <v>0</v>
      </c>
    </row>
    <row r="758" spans="1:8" x14ac:dyDescent="0.25">
      <c r="A758" s="2">
        <v>44641</v>
      </c>
      <c r="B758" s="1" t="s">
        <v>52</v>
      </c>
      <c r="C758">
        <v>10691</v>
      </c>
      <c r="D758" s="1" t="s">
        <v>181</v>
      </c>
      <c r="E758" s="1" t="s">
        <v>6</v>
      </c>
      <c r="F758">
        <v>9</v>
      </c>
      <c r="G758" s="1" t="str">
        <f>Ocupacao_DW[[#This Row],[data]]&amp;Ocupacao_DW[[#This Row],[profissional_id]]&amp;Ocupacao_DW[[#This Row],[local_id]]</f>
        <v>44641106919</v>
      </c>
      <c r="H758" s="1">
        <f>_xlfn.XLOOKUP(Ocupacao_DW[[#This Row],[Concat]],Vagas!$H:$H,Vagas!$D:$D,"",0)</f>
        <v>0</v>
      </c>
    </row>
    <row r="759" spans="1:8" x14ac:dyDescent="0.25">
      <c r="A759" s="2">
        <v>44635</v>
      </c>
      <c r="B759" s="1" t="s">
        <v>70</v>
      </c>
      <c r="C759">
        <v>12825</v>
      </c>
      <c r="D759" s="1" t="s">
        <v>177</v>
      </c>
      <c r="E759" s="1" t="s">
        <v>7</v>
      </c>
      <c r="F759">
        <v>63</v>
      </c>
      <c r="G759" s="1" t="str">
        <f>Ocupacao_DW[[#This Row],[data]]&amp;Ocupacao_DW[[#This Row],[profissional_id]]&amp;Ocupacao_DW[[#This Row],[local_id]]</f>
        <v>446351282563</v>
      </c>
      <c r="H759" s="1">
        <f>_xlfn.XLOOKUP(Ocupacao_DW[[#This Row],[Concat]],Vagas!$H:$H,Vagas!$D:$D,"",0)</f>
        <v>0</v>
      </c>
    </row>
    <row r="760" spans="1:8" x14ac:dyDescent="0.25">
      <c r="A760" s="2">
        <v>44642</v>
      </c>
      <c r="B760" s="1" t="s">
        <v>49</v>
      </c>
      <c r="C760">
        <v>266</v>
      </c>
      <c r="D760" s="1" t="s">
        <v>201</v>
      </c>
      <c r="E760" s="1" t="s">
        <v>4</v>
      </c>
      <c r="F760">
        <v>42</v>
      </c>
      <c r="G760" s="1" t="str">
        <f>Ocupacao_DW[[#This Row],[data]]&amp;Ocupacao_DW[[#This Row],[profissional_id]]&amp;Ocupacao_DW[[#This Row],[local_id]]</f>
        <v>4464226642</v>
      </c>
      <c r="H760" s="1">
        <f>_xlfn.XLOOKUP(Ocupacao_DW[[#This Row],[Concat]],Vagas!$H:$H,Vagas!$D:$D,"",0)</f>
        <v>0</v>
      </c>
    </row>
    <row r="761" spans="1:8" x14ac:dyDescent="0.25">
      <c r="A761" s="2">
        <v>44635</v>
      </c>
      <c r="B761" s="1" t="s">
        <v>47</v>
      </c>
      <c r="C761">
        <v>111</v>
      </c>
      <c r="D761" s="1" t="s">
        <v>199</v>
      </c>
      <c r="E761" s="1" t="s">
        <v>4</v>
      </c>
      <c r="F761">
        <v>51</v>
      </c>
      <c r="G761" s="1" t="str">
        <f>Ocupacao_DW[[#This Row],[data]]&amp;Ocupacao_DW[[#This Row],[profissional_id]]&amp;Ocupacao_DW[[#This Row],[local_id]]</f>
        <v>4463511151</v>
      </c>
      <c r="H761" s="1">
        <f>_xlfn.XLOOKUP(Ocupacao_DW[[#This Row],[Concat]],Vagas!$H:$H,Vagas!$D:$D,"",0)</f>
        <v>0</v>
      </c>
    </row>
    <row r="762" spans="1:8" x14ac:dyDescent="0.25">
      <c r="A762" s="2">
        <v>44636</v>
      </c>
      <c r="B762" s="1" t="s">
        <v>60</v>
      </c>
      <c r="C762">
        <v>14326</v>
      </c>
      <c r="D762" s="1" t="s">
        <v>220</v>
      </c>
      <c r="E762" s="1" t="s">
        <v>4</v>
      </c>
      <c r="F762">
        <v>43</v>
      </c>
      <c r="G762" s="1" t="str">
        <f>Ocupacao_DW[[#This Row],[data]]&amp;Ocupacao_DW[[#This Row],[profissional_id]]&amp;Ocupacao_DW[[#This Row],[local_id]]</f>
        <v>446361432643</v>
      </c>
      <c r="H762" s="1">
        <f>_xlfn.XLOOKUP(Ocupacao_DW[[#This Row],[Concat]],Vagas!$H:$H,Vagas!$D:$D,"",0)</f>
        <v>0</v>
      </c>
    </row>
    <row r="763" spans="1:8" x14ac:dyDescent="0.25">
      <c r="A763" s="2">
        <v>44635</v>
      </c>
      <c r="B763" s="1" t="s">
        <v>62</v>
      </c>
      <c r="C763">
        <v>3502</v>
      </c>
      <c r="D763" s="1" t="s">
        <v>214</v>
      </c>
      <c r="E763" s="1" t="s">
        <v>5</v>
      </c>
      <c r="F763">
        <v>16</v>
      </c>
      <c r="G763" s="1" t="str">
        <f>Ocupacao_DW[[#This Row],[data]]&amp;Ocupacao_DW[[#This Row],[profissional_id]]&amp;Ocupacao_DW[[#This Row],[local_id]]</f>
        <v>44635350216</v>
      </c>
      <c r="H763" s="1">
        <f>_xlfn.XLOOKUP(Ocupacao_DW[[#This Row],[Concat]],Vagas!$H:$H,Vagas!$D:$D,"",0)</f>
        <v>0</v>
      </c>
    </row>
    <row r="764" spans="1:8" x14ac:dyDescent="0.25">
      <c r="A764" s="2">
        <v>44641</v>
      </c>
      <c r="B764" s="1" t="s">
        <v>60</v>
      </c>
      <c r="C764">
        <v>117</v>
      </c>
      <c r="D764" s="1" t="s">
        <v>180</v>
      </c>
      <c r="E764" s="1" t="s">
        <v>4</v>
      </c>
      <c r="F764">
        <v>48</v>
      </c>
      <c r="G764" s="1" t="str">
        <f>Ocupacao_DW[[#This Row],[data]]&amp;Ocupacao_DW[[#This Row],[profissional_id]]&amp;Ocupacao_DW[[#This Row],[local_id]]</f>
        <v>4464111748</v>
      </c>
      <c r="H764" s="1">
        <f>_xlfn.XLOOKUP(Ocupacao_DW[[#This Row],[Concat]],Vagas!$H:$H,Vagas!$D:$D,"",0)</f>
        <v>0</v>
      </c>
    </row>
    <row r="765" spans="1:8" x14ac:dyDescent="0.25">
      <c r="A765" s="2">
        <v>44635</v>
      </c>
      <c r="B765" s="1" t="s">
        <v>52</v>
      </c>
      <c r="C765">
        <v>13061</v>
      </c>
      <c r="D765" s="1" t="s">
        <v>232</v>
      </c>
      <c r="E765" s="1" t="s">
        <v>6</v>
      </c>
      <c r="F765">
        <v>9</v>
      </c>
      <c r="G765" s="1" t="str">
        <f>Ocupacao_DW[[#This Row],[data]]&amp;Ocupacao_DW[[#This Row],[profissional_id]]&amp;Ocupacao_DW[[#This Row],[local_id]]</f>
        <v>44635130619</v>
      </c>
      <c r="H765" s="1">
        <f>_xlfn.XLOOKUP(Ocupacao_DW[[#This Row],[Concat]],Vagas!$H:$H,Vagas!$D:$D,"",0)</f>
        <v>0</v>
      </c>
    </row>
    <row r="766" spans="1:8" x14ac:dyDescent="0.25">
      <c r="A766" s="2">
        <v>44635</v>
      </c>
      <c r="B766" s="1" t="s">
        <v>71</v>
      </c>
      <c r="C766">
        <v>282</v>
      </c>
      <c r="D766" s="1" t="s">
        <v>210</v>
      </c>
      <c r="E766" s="1" t="s">
        <v>4</v>
      </c>
      <c r="F766">
        <v>48</v>
      </c>
      <c r="G766" s="1" t="str">
        <f>Ocupacao_DW[[#This Row],[data]]&amp;Ocupacao_DW[[#This Row],[profissional_id]]&amp;Ocupacao_DW[[#This Row],[local_id]]</f>
        <v>4463528248</v>
      </c>
      <c r="H766" s="1">
        <f>_xlfn.XLOOKUP(Ocupacao_DW[[#This Row],[Concat]],Vagas!$H:$H,Vagas!$D:$D,"",0)</f>
        <v>0</v>
      </c>
    </row>
    <row r="767" spans="1:8" x14ac:dyDescent="0.25">
      <c r="A767" s="2">
        <v>44635</v>
      </c>
      <c r="B767" s="1" t="s">
        <v>52</v>
      </c>
      <c r="C767">
        <v>13061</v>
      </c>
      <c r="D767" s="1" t="s">
        <v>232</v>
      </c>
      <c r="E767" s="1" t="s">
        <v>6</v>
      </c>
      <c r="F767">
        <v>9</v>
      </c>
      <c r="G767" s="1" t="str">
        <f>Ocupacao_DW[[#This Row],[data]]&amp;Ocupacao_DW[[#This Row],[profissional_id]]&amp;Ocupacao_DW[[#This Row],[local_id]]</f>
        <v>44635130619</v>
      </c>
      <c r="H767" s="1">
        <f>_xlfn.XLOOKUP(Ocupacao_DW[[#This Row],[Concat]],Vagas!$H:$H,Vagas!$D:$D,"",0)</f>
        <v>0</v>
      </c>
    </row>
    <row r="768" spans="1:8" x14ac:dyDescent="0.25">
      <c r="A768" s="2">
        <v>44636</v>
      </c>
      <c r="B768" s="1" t="s">
        <v>72</v>
      </c>
      <c r="C768">
        <v>6046</v>
      </c>
      <c r="D768" s="1" t="s">
        <v>222</v>
      </c>
      <c r="E768" s="1" t="s">
        <v>167</v>
      </c>
      <c r="F768">
        <v>344</v>
      </c>
      <c r="G768" s="1" t="str">
        <f>Ocupacao_DW[[#This Row],[data]]&amp;Ocupacao_DW[[#This Row],[profissional_id]]&amp;Ocupacao_DW[[#This Row],[local_id]]</f>
        <v>446366046344</v>
      </c>
      <c r="H768" s="1">
        <f>_xlfn.XLOOKUP(Ocupacao_DW[[#This Row],[Concat]],Vagas!$H:$H,Vagas!$D:$D,"",0)</f>
        <v>0</v>
      </c>
    </row>
    <row r="769" spans="1:8" x14ac:dyDescent="0.25">
      <c r="A769" s="2">
        <v>44637</v>
      </c>
      <c r="B769" s="1" t="s">
        <v>73</v>
      </c>
      <c r="C769">
        <v>10691</v>
      </c>
      <c r="D769" s="1" t="s">
        <v>181</v>
      </c>
      <c r="E769" s="1" t="s">
        <v>167</v>
      </c>
      <c r="F769">
        <v>348</v>
      </c>
      <c r="G769" s="1" t="str">
        <f>Ocupacao_DW[[#This Row],[data]]&amp;Ocupacao_DW[[#This Row],[profissional_id]]&amp;Ocupacao_DW[[#This Row],[local_id]]</f>
        <v>4463710691348</v>
      </c>
      <c r="H769" s="1">
        <f>_xlfn.XLOOKUP(Ocupacao_DW[[#This Row],[Concat]],Vagas!$H:$H,Vagas!$D:$D,"",0)</f>
        <v>0</v>
      </c>
    </row>
    <row r="770" spans="1:8" x14ac:dyDescent="0.25">
      <c r="A770" s="2">
        <v>44635</v>
      </c>
      <c r="B770" s="1" t="s">
        <v>47</v>
      </c>
      <c r="C770">
        <v>9111</v>
      </c>
      <c r="D770" s="1" t="s">
        <v>206</v>
      </c>
      <c r="E770" s="1" t="s">
        <v>4</v>
      </c>
      <c r="F770">
        <v>335</v>
      </c>
      <c r="G770" s="1" t="str">
        <f>Ocupacao_DW[[#This Row],[data]]&amp;Ocupacao_DW[[#This Row],[profissional_id]]&amp;Ocupacao_DW[[#This Row],[local_id]]</f>
        <v>446359111335</v>
      </c>
      <c r="H770" s="1">
        <f>_xlfn.XLOOKUP(Ocupacao_DW[[#This Row],[Concat]],Vagas!$H:$H,Vagas!$D:$D,"",0)</f>
        <v>0</v>
      </c>
    </row>
    <row r="771" spans="1:8" x14ac:dyDescent="0.25">
      <c r="A771" s="2">
        <v>44649</v>
      </c>
      <c r="B771" s="1" t="s">
        <v>67</v>
      </c>
      <c r="C771">
        <v>7290</v>
      </c>
      <c r="D771" s="1" t="s">
        <v>247</v>
      </c>
      <c r="E771" s="1" t="s">
        <v>5</v>
      </c>
      <c r="F771">
        <v>18</v>
      </c>
      <c r="G771" s="1" t="str">
        <f>Ocupacao_DW[[#This Row],[data]]&amp;Ocupacao_DW[[#This Row],[profissional_id]]&amp;Ocupacao_DW[[#This Row],[local_id]]</f>
        <v>44649729018</v>
      </c>
      <c r="H771" s="1">
        <f>_xlfn.XLOOKUP(Ocupacao_DW[[#This Row],[Concat]],Vagas!$H:$H,Vagas!$D:$D,"",0)</f>
        <v>0</v>
      </c>
    </row>
    <row r="772" spans="1:8" x14ac:dyDescent="0.25">
      <c r="A772" s="2">
        <v>44636</v>
      </c>
      <c r="B772" s="1" t="s">
        <v>49</v>
      </c>
      <c r="C772">
        <v>6430</v>
      </c>
      <c r="D772" s="1" t="s">
        <v>188</v>
      </c>
      <c r="E772" s="1" t="s">
        <v>4</v>
      </c>
      <c r="F772">
        <v>42</v>
      </c>
      <c r="G772" s="1" t="str">
        <f>Ocupacao_DW[[#This Row],[data]]&amp;Ocupacao_DW[[#This Row],[profissional_id]]&amp;Ocupacao_DW[[#This Row],[local_id]]</f>
        <v>44636643042</v>
      </c>
      <c r="H772" s="1">
        <f>_xlfn.XLOOKUP(Ocupacao_DW[[#This Row],[Concat]],Vagas!$H:$H,Vagas!$D:$D,"",0)</f>
        <v>0</v>
      </c>
    </row>
    <row r="773" spans="1:8" x14ac:dyDescent="0.25">
      <c r="A773" s="2">
        <v>44635</v>
      </c>
      <c r="B773" s="1" t="s">
        <v>71</v>
      </c>
      <c r="C773">
        <v>282</v>
      </c>
      <c r="D773" s="1" t="s">
        <v>210</v>
      </c>
      <c r="E773" s="1" t="s">
        <v>4</v>
      </c>
      <c r="F773">
        <v>48</v>
      </c>
      <c r="G773" s="1" t="str">
        <f>Ocupacao_DW[[#This Row],[data]]&amp;Ocupacao_DW[[#This Row],[profissional_id]]&amp;Ocupacao_DW[[#This Row],[local_id]]</f>
        <v>4463528248</v>
      </c>
      <c r="H773" s="1">
        <f>_xlfn.XLOOKUP(Ocupacao_DW[[#This Row],[Concat]],Vagas!$H:$H,Vagas!$D:$D,"",0)</f>
        <v>0</v>
      </c>
    </row>
    <row r="774" spans="1:8" x14ac:dyDescent="0.25">
      <c r="A774" s="2">
        <v>44638</v>
      </c>
      <c r="B774" s="1" t="s">
        <v>64</v>
      </c>
      <c r="C774">
        <v>86</v>
      </c>
      <c r="D774" s="1" t="s">
        <v>175</v>
      </c>
      <c r="E774" s="1" t="s">
        <v>5</v>
      </c>
      <c r="F774">
        <v>349</v>
      </c>
      <c r="G774" s="1" t="str">
        <f>Ocupacao_DW[[#This Row],[data]]&amp;Ocupacao_DW[[#This Row],[profissional_id]]&amp;Ocupacao_DW[[#This Row],[local_id]]</f>
        <v>4463886349</v>
      </c>
      <c r="H774" s="1">
        <f>_xlfn.XLOOKUP(Ocupacao_DW[[#This Row],[Concat]],Vagas!$H:$H,Vagas!$D:$D,"",0)</f>
        <v>0</v>
      </c>
    </row>
    <row r="775" spans="1:8" x14ac:dyDescent="0.25">
      <c r="A775" s="2">
        <v>44639</v>
      </c>
      <c r="B775" s="1" t="s">
        <v>47</v>
      </c>
      <c r="C775">
        <v>111</v>
      </c>
      <c r="D775" s="1" t="s">
        <v>199</v>
      </c>
      <c r="E775" s="1" t="s">
        <v>4</v>
      </c>
      <c r="F775">
        <v>51</v>
      </c>
      <c r="G775" s="1" t="str">
        <f>Ocupacao_DW[[#This Row],[data]]&amp;Ocupacao_DW[[#This Row],[profissional_id]]&amp;Ocupacao_DW[[#This Row],[local_id]]</f>
        <v>4463911151</v>
      </c>
      <c r="H775" s="1">
        <f>_xlfn.XLOOKUP(Ocupacao_DW[[#This Row],[Concat]],Vagas!$H:$H,Vagas!$D:$D,"",0)</f>
        <v>0</v>
      </c>
    </row>
    <row r="776" spans="1:8" x14ac:dyDescent="0.25">
      <c r="A776" s="2">
        <v>44658</v>
      </c>
      <c r="B776" s="1" t="s">
        <v>52</v>
      </c>
      <c r="C776">
        <v>10691</v>
      </c>
      <c r="D776" s="1" t="s">
        <v>181</v>
      </c>
      <c r="E776" s="1" t="s">
        <v>6</v>
      </c>
      <c r="F776">
        <v>9</v>
      </c>
      <c r="G776" s="1" t="str">
        <f>Ocupacao_DW[[#This Row],[data]]&amp;Ocupacao_DW[[#This Row],[profissional_id]]&amp;Ocupacao_DW[[#This Row],[local_id]]</f>
        <v>44658106919</v>
      </c>
      <c r="H776" s="1">
        <f>_xlfn.XLOOKUP(Ocupacao_DW[[#This Row],[Concat]],Vagas!$H:$H,Vagas!$D:$D,"",0)</f>
        <v>0</v>
      </c>
    </row>
    <row r="777" spans="1:8" x14ac:dyDescent="0.25">
      <c r="A777" s="2">
        <v>44648</v>
      </c>
      <c r="B777" s="1" t="s">
        <v>56</v>
      </c>
      <c r="C777">
        <v>75</v>
      </c>
      <c r="D777" s="1" t="s">
        <v>208</v>
      </c>
      <c r="E777" s="1" t="s">
        <v>5</v>
      </c>
      <c r="F777">
        <v>15</v>
      </c>
      <c r="G777" s="1" t="str">
        <f>Ocupacao_DW[[#This Row],[data]]&amp;Ocupacao_DW[[#This Row],[profissional_id]]&amp;Ocupacao_DW[[#This Row],[local_id]]</f>
        <v>446487515</v>
      </c>
      <c r="H777" s="1">
        <f>_xlfn.XLOOKUP(Ocupacao_DW[[#This Row],[Concat]],Vagas!$H:$H,Vagas!$D:$D,"",0)</f>
        <v>0</v>
      </c>
    </row>
    <row r="778" spans="1:8" x14ac:dyDescent="0.25">
      <c r="A778" s="2">
        <v>44643</v>
      </c>
      <c r="B778" s="1" t="s">
        <v>43</v>
      </c>
      <c r="C778">
        <v>2396</v>
      </c>
      <c r="D778" s="1" t="s">
        <v>197</v>
      </c>
      <c r="E778" s="1" t="s">
        <v>6</v>
      </c>
      <c r="F778">
        <v>2</v>
      </c>
      <c r="G778" s="1" t="str">
        <f>Ocupacao_DW[[#This Row],[data]]&amp;Ocupacao_DW[[#This Row],[profissional_id]]&amp;Ocupacao_DW[[#This Row],[local_id]]</f>
        <v>4464323962</v>
      </c>
      <c r="H778" s="1">
        <f>_xlfn.XLOOKUP(Ocupacao_DW[[#This Row],[Concat]],Vagas!$H:$H,Vagas!$D:$D,"",0)</f>
        <v>0</v>
      </c>
    </row>
    <row r="779" spans="1:8" x14ac:dyDescent="0.25">
      <c r="A779" s="2">
        <v>44635</v>
      </c>
      <c r="B779" s="1" t="s">
        <v>47</v>
      </c>
      <c r="C779">
        <v>12752</v>
      </c>
      <c r="D779" s="1" t="s">
        <v>253</v>
      </c>
      <c r="E779" s="1" t="s">
        <v>7</v>
      </c>
      <c r="F779">
        <v>60</v>
      </c>
      <c r="G779" s="1" t="str">
        <f>Ocupacao_DW[[#This Row],[data]]&amp;Ocupacao_DW[[#This Row],[profissional_id]]&amp;Ocupacao_DW[[#This Row],[local_id]]</f>
        <v>446351275260</v>
      </c>
      <c r="H779" s="1">
        <f>_xlfn.XLOOKUP(Ocupacao_DW[[#This Row],[Concat]],Vagas!$H:$H,Vagas!$D:$D,"",0)</f>
        <v>0</v>
      </c>
    </row>
    <row r="780" spans="1:8" x14ac:dyDescent="0.25">
      <c r="A780" s="2">
        <v>44641</v>
      </c>
      <c r="B780" s="1" t="s">
        <v>62</v>
      </c>
      <c r="C780">
        <v>2567</v>
      </c>
      <c r="D780" s="1" t="s">
        <v>198</v>
      </c>
      <c r="E780" s="1" t="s">
        <v>5</v>
      </c>
      <c r="F780">
        <v>18</v>
      </c>
      <c r="G780" s="1" t="str">
        <f>Ocupacao_DW[[#This Row],[data]]&amp;Ocupacao_DW[[#This Row],[profissional_id]]&amp;Ocupacao_DW[[#This Row],[local_id]]</f>
        <v>44641256718</v>
      </c>
      <c r="H780" s="1">
        <f>_xlfn.XLOOKUP(Ocupacao_DW[[#This Row],[Concat]],Vagas!$H:$H,Vagas!$D:$D,"",0)</f>
        <v>0</v>
      </c>
    </row>
    <row r="781" spans="1:8" x14ac:dyDescent="0.25">
      <c r="A781" s="2">
        <v>44636</v>
      </c>
      <c r="B781" s="1" t="s">
        <v>56</v>
      </c>
      <c r="C781">
        <v>5927</v>
      </c>
      <c r="D781" s="1" t="s">
        <v>226</v>
      </c>
      <c r="E781" s="1" t="s">
        <v>5</v>
      </c>
      <c r="F781">
        <v>17</v>
      </c>
      <c r="G781" s="1" t="str">
        <f>Ocupacao_DW[[#This Row],[data]]&amp;Ocupacao_DW[[#This Row],[profissional_id]]&amp;Ocupacao_DW[[#This Row],[local_id]]</f>
        <v>44636592717</v>
      </c>
      <c r="H781" s="1">
        <f>_xlfn.XLOOKUP(Ocupacao_DW[[#This Row],[Concat]],Vagas!$H:$H,Vagas!$D:$D,"",0)</f>
        <v>0</v>
      </c>
    </row>
    <row r="782" spans="1:8" x14ac:dyDescent="0.25">
      <c r="A782" s="2">
        <v>44635</v>
      </c>
      <c r="B782" s="1" t="s">
        <v>49</v>
      </c>
      <c r="C782">
        <v>81</v>
      </c>
      <c r="D782" s="1" t="s">
        <v>170</v>
      </c>
      <c r="E782" s="1" t="s">
        <v>4</v>
      </c>
      <c r="F782">
        <v>41</v>
      </c>
      <c r="G782" s="1" t="str">
        <f>Ocupacao_DW[[#This Row],[data]]&amp;Ocupacao_DW[[#This Row],[profissional_id]]&amp;Ocupacao_DW[[#This Row],[local_id]]</f>
        <v>446358141</v>
      </c>
      <c r="H782" s="1">
        <f>_xlfn.XLOOKUP(Ocupacao_DW[[#This Row],[Concat]],Vagas!$H:$H,Vagas!$D:$D,"",0)</f>
        <v>0</v>
      </c>
    </row>
    <row r="783" spans="1:8" x14ac:dyDescent="0.25">
      <c r="A783" s="2">
        <v>44635</v>
      </c>
      <c r="B783" s="1" t="s">
        <v>47</v>
      </c>
      <c r="C783">
        <v>9111</v>
      </c>
      <c r="D783" s="1" t="s">
        <v>206</v>
      </c>
      <c r="E783" s="1" t="s">
        <v>4</v>
      </c>
      <c r="F783">
        <v>335</v>
      </c>
      <c r="G783" s="1" t="str">
        <f>Ocupacao_DW[[#This Row],[data]]&amp;Ocupacao_DW[[#This Row],[profissional_id]]&amp;Ocupacao_DW[[#This Row],[local_id]]</f>
        <v>446359111335</v>
      </c>
      <c r="H783" s="1">
        <f>_xlfn.XLOOKUP(Ocupacao_DW[[#This Row],[Concat]],Vagas!$H:$H,Vagas!$D:$D,"",0)</f>
        <v>0</v>
      </c>
    </row>
    <row r="784" spans="1:8" x14ac:dyDescent="0.25">
      <c r="A784" s="2">
        <v>44645</v>
      </c>
      <c r="B784" s="1" t="s">
        <v>55</v>
      </c>
      <c r="C784">
        <v>2984</v>
      </c>
      <c r="D784" s="1" t="s">
        <v>185</v>
      </c>
      <c r="E784" s="1" t="s">
        <v>6</v>
      </c>
      <c r="F784">
        <v>7</v>
      </c>
      <c r="G784" s="1" t="str">
        <f>Ocupacao_DW[[#This Row],[data]]&amp;Ocupacao_DW[[#This Row],[profissional_id]]&amp;Ocupacao_DW[[#This Row],[local_id]]</f>
        <v>4464529847</v>
      </c>
      <c r="H784" s="1">
        <f>_xlfn.XLOOKUP(Ocupacao_DW[[#This Row],[Concat]],Vagas!$H:$H,Vagas!$D:$D,"",0)</f>
        <v>0</v>
      </c>
    </row>
    <row r="785" spans="1:8" x14ac:dyDescent="0.25">
      <c r="A785" s="2">
        <v>44641</v>
      </c>
      <c r="B785" s="1" t="s">
        <v>52</v>
      </c>
      <c r="C785">
        <v>10595</v>
      </c>
      <c r="D785" s="1" t="s">
        <v>218</v>
      </c>
      <c r="E785" s="1" t="s">
        <v>200</v>
      </c>
      <c r="F785">
        <v>78</v>
      </c>
      <c r="G785" s="1" t="str">
        <f>Ocupacao_DW[[#This Row],[data]]&amp;Ocupacao_DW[[#This Row],[profissional_id]]&amp;Ocupacao_DW[[#This Row],[local_id]]</f>
        <v>446411059578</v>
      </c>
      <c r="H785" s="1">
        <f>_xlfn.XLOOKUP(Ocupacao_DW[[#This Row],[Concat]],Vagas!$H:$H,Vagas!$D:$D,"",0)</f>
        <v>0</v>
      </c>
    </row>
    <row r="786" spans="1:8" x14ac:dyDescent="0.25">
      <c r="A786" s="2">
        <v>44635</v>
      </c>
      <c r="B786" s="1" t="s">
        <v>65</v>
      </c>
      <c r="C786">
        <v>11237</v>
      </c>
      <c r="D786" s="1" t="s">
        <v>229</v>
      </c>
      <c r="E786" s="1" t="s">
        <v>4</v>
      </c>
      <c r="F786">
        <v>46</v>
      </c>
      <c r="G786" s="1" t="str">
        <f>Ocupacao_DW[[#This Row],[data]]&amp;Ocupacao_DW[[#This Row],[profissional_id]]&amp;Ocupacao_DW[[#This Row],[local_id]]</f>
        <v>446351123746</v>
      </c>
      <c r="H786" s="1">
        <f>_xlfn.XLOOKUP(Ocupacao_DW[[#This Row],[Concat]],Vagas!$H:$H,Vagas!$D:$D,"",0)</f>
        <v>0</v>
      </c>
    </row>
    <row r="787" spans="1:8" x14ac:dyDescent="0.25">
      <c r="A787" s="2">
        <v>44635</v>
      </c>
      <c r="B787" s="1" t="s">
        <v>62</v>
      </c>
      <c r="C787">
        <v>3502</v>
      </c>
      <c r="D787" s="1" t="s">
        <v>214</v>
      </c>
      <c r="E787" s="1" t="s">
        <v>5</v>
      </c>
      <c r="F787">
        <v>16</v>
      </c>
      <c r="G787" s="1" t="str">
        <f>Ocupacao_DW[[#This Row],[data]]&amp;Ocupacao_DW[[#This Row],[profissional_id]]&amp;Ocupacao_DW[[#This Row],[local_id]]</f>
        <v>44635350216</v>
      </c>
      <c r="H787" s="1">
        <f>_xlfn.XLOOKUP(Ocupacao_DW[[#This Row],[Concat]],Vagas!$H:$H,Vagas!$D:$D,"",0)</f>
        <v>0</v>
      </c>
    </row>
    <row r="788" spans="1:8" x14ac:dyDescent="0.25">
      <c r="A788" s="2">
        <v>44635</v>
      </c>
      <c r="B788" s="1" t="s">
        <v>65</v>
      </c>
      <c r="C788">
        <v>11237</v>
      </c>
      <c r="D788" s="1" t="s">
        <v>229</v>
      </c>
      <c r="E788" s="1" t="s">
        <v>4</v>
      </c>
      <c r="F788">
        <v>46</v>
      </c>
      <c r="G788" s="1" t="str">
        <f>Ocupacao_DW[[#This Row],[data]]&amp;Ocupacao_DW[[#This Row],[profissional_id]]&amp;Ocupacao_DW[[#This Row],[local_id]]</f>
        <v>446351123746</v>
      </c>
      <c r="H788" s="1">
        <f>_xlfn.XLOOKUP(Ocupacao_DW[[#This Row],[Concat]],Vagas!$H:$H,Vagas!$D:$D,"",0)</f>
        <v>0</v>
      </c>
    </row>
    <row r="789" spans="1:8" x14ac:dyDescent="0.25">
      <c r="A789" s="2">
        <v>44636</v>
      </c>
      <c r="B789" s="1" t="s">
        <v>24</v>
      </c>
      <c r="C789">
        <v>13061</v>
      </c>
      <c r="D789" s="1" t="s">
        <v>232</v>
      </c>
      <c r="E789" s="1" t="s">
        <v>6</v>
      </c>
      <c r="F789">
        <v>3</v>
      </c>
      <c r="G789" s="1" t="str">
        <f>Ocupacao_DW[[#This Row],[data]]&amp;Ocupacao_DW[[#This Row],[profissional_id]]&amp;Ocupacao_DW[[#This Row],[local_id]]</f>
        <v>44636130613</v>
      </c>
      <c r="H789" s="1">
        <f>_xlfn.XLOOKUP(Ocupacao_DW[[#This Row],[Concat]],Vagas!$H:$H,Vagas!$D:$D,"",0)</f>
        <v>0</v>
      </c>
    </row>
    <row r="790" spans="1:8" x14ac:dyDescent="0.25">
      <c r="A790" s="2">
        <v>44636</v>
      </c>
      <c r="B790" s="1" t="s">
        <v>72</v>
      </c>
      <c r="C790">
        <v>1794</v>
      </c>
      <c r="D790" s="1" t="s">
        <v>235</v>
      </c>
      <c r="E790" s="1" t="s">
        <v>4</v>
      </c>
      <c r="F790">
        <v>49</v>
      </c>
      <c r="G790" s="1" t="str">
        <f>Ocupacao_DW[[#This Row],[data]]&amp;Ocupacao_DW[[#This Row],[profissional_id]]&amp;Ocupacao_DW[[#This Row],[local_id]]</f>
        <v>44636179449</v>
      </c>
      <c r="H790" s="1">
        <f>_xlfn.XLOOKUP(Ocupacao_DW[[#This Row],[Concat]],Vagas!$H:$H,Vagas!$D:$D,"",0)</f>
        <v>0</v>
      </c>
    </row>
    <row r="791" spans="1:8" x14ac:dyDescent="0.25">
      <c r="A791" s="2">
        <v>44637</v>
      </c>
      <c r="B791" s="1" t="s">
        <v>64</v>
      </c>
      <c r="C791">
        <v>531</v>
      </c>
      <c r="D791" s="1" t="s">
        <v>213</v>
      </c>
      <c r="E791" s="1" t="s">
        <v>5</v>
      </c>
      <c r="F791">
        <v>12</v>
      </c>
      <c r="G791" s="1" t="str">
        <f>Ocupacao_DW[[#This Row],[data]]&amp;Ocupacao_DW[[#This Row],[profissional_id]]&amp;Ocupacao_DW[[#This Row],[local_id]]</f>
        <v>4463753112</v>
      </c>
      <c r="H791" s="1">
        <f>_xlfn.XLOOKUP(Ocupacao_DW[[#This Row],[Concat]],Vagas!$H:$H,Vagas!$D:$D,"",0)</f>
        <v>0</v>
      </c>
    </row>
    <row r="792" spans="1:8" x14ac:dyDescent="0.25">
      <c r="A792" s="2">
        <v>44641</v>
      </c>
      <c r="B792" s="1" t="s">
        <v>49</v>
      </c>
      <c r="C792">
        <v>81</v>
      </c>
      <c r="D792" s="1" t="s">
        <v>170</v>
      </c>
      <c r="E792" s="1" t="s">
        <v>4</v>
      </c>
      <c r="F792">
        <v>41</v>
      </c>
      <c r="G792" s="1" t="str">
        <f>Ocupacao_DW[[#This Row],[data]]&amp;Ocupacao_DW[[#This Row],[profissional_id]]&amp;Ocupacao_DW[[#This Row],[local_id]]</f>
        <v>446418141</v>
      </c>
      <c r="H792" s="1">
        <f>_xlfn.XLOOKUP(Ocupacao_DW[[#This Row],[Concat]],Vagas!$H:$H,Vagas!$D:$D,"",0)</f>
        <v>0</v>
      </c>
    </row>
    <row r="793" spans="1:8" x14ac:dyDescent="0.25">
      <c r="A793" s="2">
        <v>44636</v>
      </c>
      <c r="B793" s="1" t="s">
        <v>51</v>
      </c>
      <c r="C793">
        <v>12679</v>
      </c>
      <c r="D793" s="1" t="s">
        <v>192</v>
      </c>
      <c r="E793" s="1" t="s">
        <v>5</v>
      </c>
      <c r="F793">
        <v>11</v>
      </c>
      <c r="G793" s="1" t="str">
        <f>Ocupacao_DW[[#This Row],[data]]&amp;Ocupacao_DW[[#This Row],[profissional_id]]&amp;Ocupacao_DW[[#This Row],[local_id]]</f>
        <v>446361267911</v>
      </c>
      <c r="H793" s="1">
        <f>_xlfn.XLOOKUP(Ocupacao_DW[[#This Row],[Concat]],Vagas!$H:$H,Vagas!$D:$D,"",0)</f>
        <v>0</v>
      </c>
    </row>
    <row r="794" spans="1:8" x14ac:dyDescent="0.25">
      <c r="A794" s="2">
        <v>44638</v>
      </c>
      <c r="B794" s="1" t="s">
        <v>54</v>
      </c>
      <c r="C794">
        <v>69</v>
      </c>
      <c r="D794" s="1" t="s">
        <v>238</v>
      </c>
      <c r="E794" s="1" t="s">
        <v>5</v>
      </c>
      <c r="F794">
        <v>13</v>
      </c>
      <c r="G794" s="1" t="str">
        <f>Ocupacao_DW[[#This Row],[data]]&amp;Ocupacao_DW[[#This Row],[profissional_id]]&amp;Ocupacao_DW[[#This Row],[local_id]]</f>
        <v>446386913</v>
      </c>
      <c r="H794" s="1">
        <f>_xlfn.XLOOKUP(Ocupacao_DW[[#This Row],[Concat]],Vagas!$H:$H,Vagas!$D:$D,"",0)</f>
        <v>0</v>
      </c>
    </row>
    <row r="795" spans="1:8" x14ac:dyDescent="0.25">
      <c r="A795" s="2">
        <v>44636</v>
      </c>
      <c r="B795" s="1" t="s">
        <v>52</v>
      </c>
      <c r="C795">
        <v>10691</v>
      </c>
      <c r="D795" s="1" t="s">
        <v>181</v>
      </c>
      <c r="E795" s="1" t="s">
        <v>6</v>
      </c>
      <c r="F795">
        <v>9</v>
      </c>
      <c r="G795" s="1" t="str">
        <f>Ocupacao_DW[[#This Row],[data]]&amp;Ocupacao_DW[[#This Row],[profissional_id]]&amp;Ocupacao_DW[[#This Row],[local_id]]</f>
        <v>44636106919</v>
      </c>
      <c r="H795" s="1">
        <f>_xlfn.XLOOKUP(Ocupacao_DW[[#This Row],[Concat]],Vagas!$H:$H,Vagas!$D:$D,"",0)</f>
        <v>0</v>
      </c>
    </row>
    <row r="796" spans="1:8" x14ac:dyDescent="0.25">
      <c r="A796" s="2">
        <v>44643</v>
      </c>
      <c r="B796" s="1" t="s">
        <v>51</v>
      </c>
      <c r="C796">
        <v>12679</v>
      </c>
      <c r="D796" s="1" t="s">
        <v>192</v>
      </c>
      <c r="E796" s="1" t="s">
        <v>200</v>
      </c>
      <c r="F796">
        <v>82</v>
      </c>
      <c r="G796" s="1" t="str">
        <f>Ocupacao_DW[[#This Row],[data]]&amp;Ocupacao_DW[[#This Row],[profissional_id]]&amp;Ocupacao_DW[[#This Row],[local_id]]</f>
        <v>446431267982</v>
      </c>
      <c r="H796" s="1">
        <f>_xlfn.XLOOKUP(Ocupacao_DW[[#This Row],[Concat]],Vagas!$H:$H,Vagas!$D:$D,"",0)</f>
        <v>0</v>
      </c>
    </row>
    <row r="797" spans="1:8" x14ac:dyDescent="0.25">
      <c r="A797" s="2">
        <v>44635</v>
      </c>
      <c r="B797" s="1" t="s">
        <v>64</v>
      </c>
      <c r="C797">
        <v>86</v>
      </c>
      <c r="D797" s="1" t="s">
        <v>175</v>
      </c>
      <c r="E797" s="1" t="s">
        <v>200</v>
      </c>
      <c r="F797">
        <v>82</v>
      </c>
      <c r="G797" s="1" t="str">
        <f>Ocupacao_DW[[#This Row],[data]]&amp;Ocupacao_DW[[#This Row],[profissional_id]]&amp;Ocupacao_DW[[#This Row],[local_id]]</f>
        <v>446358682</v>
      </c>
      <c r="H797" s="1">
        <f>_xlfn.XLOOKUP(Ocupacao_DW[[#This Row],[Concat]],Vagas!$H:$H,Vagas!$D:$D,"",0)</f>
        <v>6</v>
      </c>
    </row>
    <row r="798" spans="1:8" x14ac:dyDescent="0.25">
      <c r="A798" s="2">
        <v>44643</v>
      </c>
      <c r="B798" s="1" t="s">
        <v>49</v>
      </c>
      <c r="C798">
        <v>10600</v>
      </c>
      <c r="D798" s="1" t="s">
        <v>248</v>
      </c>
      <c r="E798" s="1" t="s">
        <v>7</v>
      </c>
      <c r="F798">
        <v>71</v>
      </c>
      <c r="G798" s="1" t="str">
        <f>Ocupacao_DW[[#This Row],[data]]&amp;Ocupacao_DW[[#This Row],[profissional_id]]&amp;Ocupacao_DW[[#This Row],[local_id]]</f>
        <v>446431060071</v>
      </c>
      <c r="H798" s="1">
        <f>_xlfn.XLOOKUP(Ocupacao_DW[[#This Row],[Concat]],Vagas!$H:$H,Vagas!$D:$D,"",0)</f>
        <v>0</v>
      </c>
    </row>
    <row r="799" spans="1:8" x14ac:dyDescent="0.25">
      <c r="A799" s="2">
        <v>44635</v>
      </c>
      <c r="B799" s="1" t="s">
        <v>47</v>
      </c>
      <c r="C799">
        <v>110</v>
      </c>
      <c r="D799" s="1" t="s">
        <v>193</v>
      </c>
      <c r="E799" s="1" t="s">
        <v>4</v>
      </c>
      <c r="F799">
        <v>334</v>
      </c>
      <c r="G799" s="1" t="str">
        <f>Ocupacao_DW[[#This Row],[data]]&amp;Ocupacao_DW[[#This Row],[profissional_id]]&amp;Ocupacao_DW[[#This Row],[local_id]]</f>
        <v>44635110334</v>
      </c>
      <c r="H799" s="1">
        <f>_xlfn.XLOOKUP(Ocupacao_DW[[#This Row],[Concat]],Vagas!$H:$H,Vagas!$D:$D,"",0)</f>
        <v>0</v>
      </c>
    </row>
    <row r="800" spans="1:8" x14ac:dyDescent="0.25">
      <c r="A800" s="2">
        <v>44643</v>
      </c>
      <c r="B800" s="1" t="s">
        <v>49</v>
      </c>
      <c r="C800">
        <v>10600</v>
      </c>
      <c r="D800" s="1" t="s">
        <v>248</v>
      </c>
      <c r="E800" s="1" t="s">
        <v>7</v>
      </c>
      <c r="F800">
        <v>71</v>
      </c>
      <c r="G800" s="1" t="str">
        <f>Ocupacao_DW[[#This Row],[data]]&amp;Ocupacao_DW[[#This Row],[profissional_id]]&amp;Ocupacao_DW[[#This Row],[local_id]]</f>
        <v>446431060071</v>
      </c>
      <c r="H800" s="1">
        <f>_xlfn.XLOOKUP(Ocupacao_DW[[#This Row],[Concat]],Vagas!$H:$H,Vagas!$D:$D,"",0)</f>
        <v>0</v>
      </c>
    </row>
    <row r="801" spans="1:8" x14ac:dyDescent="0.25">
      <c r="A801" s="2">
        <v>44637</v>
      </c>
      <c r="B801" s="1" t="s">
        <v>52</v>
      </c>
      <c r="C801">
        <v>9217</v>
      </c>
      <c r="D801" s="1" t="s">
        <v>191</v>
      </c>
      <c r="E801" s="1" t="s">
        <v>6</v>
      </c>
      <c r="F801">
        <v>7</v>
      </c>
      <c r="G801" s="1" t="str">
        <f>Ocupacao_DW[[#This Row],[data]]&amp;Ocupacao_DW[[#This Row],[profissional_id]]&amp;Ocupacao_DW[[#This Row],[local_id]]</f>
        <v>4463792177</v>
      </c>
      <c r="H801" s="1">
        <f>_xlfn.XLOOKUP(Ocupacao_DW[[#This Row],[Concat]],Vagas!$H:$H,Vagas!$D:$D,"",0)</f>
        <v>0</v>
      </c>
    </row>
    <row r="802" spans="1:8" x14ac:dyDescent="0.25">
      <c r="A802" s="2">
        <v>44638</v>
      </c>
      <c r="B802" s="1" t="s">
        <v>56</v>
      </c>
      <c r="C802">
        <v>13660</v>
      </c>
      <c r="D802" s="1" t="s">
        <v>250</v>
      </c>
      <c r="E802" s="1" t="s">
        <v>5</v>
      </c>
      <c r="F802">
        <v>15</v>
      </c>
      <c r="G802" s="1" t="str">
        <f>Ocupacao_DW[[#This Row],[data]]&amp;Ocupacao_DW[[#This Row],[profissional_id]]&amp;Ocupacao_DW[[#This Row],[local_id]]</f>
        <v>446381366015</v>
      </c>
      <c r="H802" s="1">
        <f>_xlfn.XLOOKUP(Ocupacao_DW[[#This Row],[Concat]],Vagas!$H:$H,Vagas!$D:$D,"",0)</f>
        <v>0</v>
      </c>
    </row>
    <row r="803" spans="1:8" x14ac:dyDescent="0.25">
      <c r="A803" s="2">
        <v>44639</v>
      </c>
      <c r="B803" s="1" t="s">
        <v>47</v>
      </c>
      <c r="C803">
        <v>111</v>
      </c>
      <c r="D803" s="1" t="s">
        <v>199</v>
      </c>
      <c r="E803" s="1" t="s">
        <v>4</v>
      </c>
      <c r="F803">
        <v>51</v>
      </c>
      <c r="G803" s="1" t="str">
        <f>Ocupacao_DW[[#This Row],[data]]&amp;Ocupacao_DW[[#This Row],[profissional_id]]&amp;Ocupacao_DW[[#This Row],[local_id]]</f>
        <v>4463911151</v>
      </c>
      <c r="H803" s="1">
        <f>_xlfn.XLOOKUP(Ocupacao_DW[[#This Row],[Concat]],Vagas!$H:$H,Vagas!$D:$D,"",0)</f>
        <v>0</v>
      </c>
    </row>
    <row r="804" spans="1:8" x14ac:dyDescent="0.25">
      <c r="A804" s="2">
        <v>44638</v>
      </c>
      <c r="B804" s="1" t="s">
        <v>52</v>
      </c>
      <c r="C804">
        <v>55</v>
      </c>
      <c r="D804" s="1" t="s">
        <v>244</v>
      </c>
      <c r="E804" s="1" t="s">
        <v>7</v>
      </c>
      <c r="F804">
        <v>68</v>
      </c>
      <c r="G804" s="1" t="str">
        <f>Ocupacao_DW[[#This Row],[data]]&amp;Ocupacao_DW[[#This Row],[profissional_id]]&amp;Ocupacao_DW[[#This Row],[local_id]]</f>
        <v>446385568</v>
      </c>
      <c r="H804" s="1">
        <f>_xlfn.XLOOKUP(Ocupacao_DW[[#This Row],[Concat]],Vagas!$H:$H,Vagas!$D:$D,"",0)</f>
        <v>0</v>
      </c>
    </row>
    <row r="805" spans="1:8" x14ac:dyDescent="0.25">
      <c r="A805" s="2">
        <v>44641</v>
      </c>
      <c r="B805" s="1" t="s">
        <v>49</v>
      </c>
      <c r="C805">
        <v>81</v>
      </c>
      <c r="D805" s="1" t="s">
        <v>170</v>
      </c>
      <c r="E805" s="1" t="s">
        <v>4</v>
      </c>
      <c r="F805">
        <v>41</v>
      </c>
      <c r="G805" s="1" t="str">
        <f>Ocupacao_DW[[#This Row],[data]]&amp;Ocupacao_DW[[#This Row],[profissional_id]]&amp;Ocupacao_DW[[#This Row],[local_id]]</f>
        <v>446418141</v>
      </c>
      <c r="H805" s="1">
        <f>_xlfn.XLOOKUP(Ocupacao_DW[[#This Row],[Concat]],Vagas!$H:$H,Vagas!$D:$D,"",0)</f>
        <v>0</v>
      </c>
    </row>
    <row r="806" spans="1:8" x14ac:dyDescent="0.25">
      <c r="A806" s="2">
        <v>44637</v>
      </c>
      <c r="B806" s="1" t="s">
        <v>51</v>
      </c>
      <c r="C806">
        <v>12582</v>
      </c>
      <c r="D806" s="1" t="s">
        <v>190</v>
      </c>
      <c r="E806" s="1" t="s">
        <v>5</v>
      </c>
      <c r="F806">
        <v>15</v>
      </c>
      <c r="G806" s="1" t="str">
        <f>Ocupacao_DW[[#This Row],[data]]&amp;Ocupacao_DW[[#This Row],[profissional_id]]&amp;Ocupacao_DW[[#This Row],[local_id]]</f>
        <v>446371258215</v>
      </c>
      <c r="H806" s="1">
        <f>_xlfn.XLOOKUP(Ocupacao_DW[[#This Row],[Concat]],Vagas!$H:$H,Vagas!$D:$D,"",0)</f>
        <v>0</v>
      </c>
    </row>
    <row r="807" spans="1:8" x14ac:dyDescent="0.25">
      <c r="A807" s="2">
        <v>44636</v>
      </c>
      <c r="B807" s="1" t="s">
        <v>47</v>
      </c>
      <c r="C807">
        <v>110</v>
      </c>
      <c r="D807" s="1" t="s">
        <v>193</v>
      </c>
      <c r="E807" s="1" t="s">
        <v>4</v>
      </c>
      <c r="F807">
        <v>334</v>
      </c>
      <c r="G807" s="1" t="str">
        <f>Ocupacao_DW[[#This Row],[data]]&amp;Ocupacao_DW[[#This Row],[profissional_id]]&amp;Ocupacao_DW[[#This Row],[local_id]]</f>
        <v>44636110334</v>
      </c>
      <c r="H807" s="1">
        <f>_xlfn.XLOOKUP(Ocupacao_DW[[#This Row],[Concat]],Vagas!$H:$H,Vagas!$D:$D,"",0)</f>
        <v>0</v>
      </c>
    </row>
    <row r="808" spans="1:8" x14ac:dyDescent="0.25">
      <c r="A808" s="2">
        <v>44643</v>
      </c>
      <c r="B808" s="1" t="s">
        <v>49</v>
      </c>
      <c r="C808">
        <v>6430</v>
      </c>
      <c r="D808" s="1" t="s">
        <v>188</v>
      </c>
      <c r="E808" s="1" t="s">
        <v>4</v>
      </c>
      <c r="F808">
        <v>42</v>
      </c>
      <c r="G808" s="1" t="str">
        <f>Ocupacao_DW[[#This Row],[data]]&amp;Ocupacao_DW[[#This Row],[profissional_id]]&amp;Ocupacao_DW[[#This Row],[local_id]]</f>
        <v>44643643042</v>
      </c>
      <c r="H808" s="1">
        <f>_xlfn.XLOOKUP(Ocupacao_DW[[#This Row],[Concat]],Vagas!$H:$H,Vagas!$D:$D,"",0)</f>
        <v>0</v>
      </c>
    </row>
    <row r="809" spans="1:8" x14ac:dyDescent="0.25">
      <c r="A809" s="2">
        <v>44648</v>
      </c>
      <c r="B809" s="1" t="s">
        <v>69</v>
      </c>
      <c r="C809">
        <v>13249</v>
      </c>
      <c r="D809" s="1" t="s">
        <v>178</v>
      </c>
      <c r="E809" s="1" t="s">
        <v>4</v>
      </c>
      <c r="F809">
        <v>45</v>
      </c>
      <c r="G809" s="1" t="str">
        <f>Ocupacao_DW[[#This Row],[data]]&amp;Ocupacao_DW[[#This Row],[profissional_id]]&amp;Ocupacao_DW[[#This Row],[local_id]]</f>
        <v>446481324945</v>
      </c>
      <c r="H809" s="1">
        <f>_xlfn.XLOOKUP(Ocupacao_DW[[#This Row],[Concat]],Vagas!$H:$H,Vagas!$D:$D,"",0)</f>
        <v>0</v>
      </c>
    </row>
    <row r="810" spans="1:8" x14ac:dyDescent="0.25">
      <c r="A810" s="2">
        <v>44648</v>
      </c>
      <c r="B810" s="1" t="s">
        <v>55</v>
      </c>
      <c r="C810">
        <v>2984</v>
      </c>
      <c r="D810" s="1" t="s">
        <v>185</v>
      </c>
      <c r="E810" s="1" t="s">
        <v>6</v>
      </c>
      <c r="F810">
        <v>7</v>
      </c>
      <c r="G810" s="1" t="str">
        <f>Ocupacao_DW[[#This Row],[data]]&amp;Ocupacao_DW[[#This Row],[profissional_id]]&amp;Ocupacao_DW[[#This Row],[local_id]]</f>
        <v>4464829847</v>
      </c>
      <c r="H810" s="1">
        <f>_xlfn.XLOOKUP(Ocupacao_DW[[#This Row],[Concat]],Vagas!$H:$H,Vagas!$D:$D,"",0)</f>
        <v>0</v>
      </c>
    </row>
    <row r="811" spans="1:8" x14ac:dyDescent="0.25">
      <c r="A811" s="2">
        <v>44655</v>
      </c>
      <c r="B811" s="1" t="s">
        <v>69</v>
      </c>
      <c r="C811">
        <v>13249</v>
      </c>
      <c r="D811" s="1" t="s">
        <v>178</v>
      </c>
      <c r="E811" s="1" t="s">
        <v>4</v>
      </c>
      <c r="F811">
        <v>45</v>
      </c>
      <c r="G811" s="1" t="str">
        <f>Ocupacao_DW[[#This Row],[data]]&amp;Ocupacao_DW[[#This Row],[profissional_id]]&amp;Ocupacao_DW[[#This Row],[local_id]]</f>
        <v>446551324945</v>
      </c>
      <c r="H811" s="1" t="str">
        <f>_xlfn.XLOOKUP(Ocupacao_DW[[#This Row],[Concat]],Vagas!$H:$H,Vagas!$D:$D,"",0)</f>
        <v/>
      </c>
    </row>
    <row r="812" spans="1:8" x14ac:dyDescent="0.25">
      <c r="A812" s="2">
        <v>44644</v>
      </c>
      <c r="B812" s="1" t="s">
        <v>52</v>
      </c>
      <c r="C812">
        <v>10691</v>
      </c>
      <c r="D812" s="1" t="s">
        <v>181</v>
      </c>
      <c r="E812" s="1" t="s">
        <v>6</v>
      </c>
      <c r="F812">
        <v>9</v>
      </c>
      <c r="G812" s="1" t="str">
        <f>Ocupacao_DW[[#This Row],[data]]&amp;Ocupacao_DW[[#This Row],[profissional_id]]&amp;Ocupacao_DW[[#This Row],[local_id]]</f>
        <v>44644106919</v>
      </c>
      <c r="H812" s="1">
        <f>_xlfn.XLOOKUP(Ocupacao_DW[[#This Row],[Concat]],Vagas!$H:$H,Vagas!$D:$D,"",0)</f>
        <v>0</v>
      </c>
    </row>
    <row r="813" spans="1:8" x14ac:dyDescent="0.25">
      <c r="A813" s="2">
        <v>44636</v>
      </c>
      <c r="B813" s="1" t="s">
        <v>52</v>
      </c>
      <c r="C813">
        <v>10691</v>
      </c>
      <c r="D813" s="1" t="s">
        <v>181</v>
      </c>
      <c r="E813" s="1" t="s">
        <v>6</v>
      </c>
      <c r="F813">
        <v>9</v>
      </c>
      <c r="G813" s="1" t="str">
        <f>Ocupacao_DW[[#This Row],[data]]&amp;Ocupacao_DW[[#This Row],[profissional_id]]&amp;Ocupacao_DW[[#This Row],[local_id]]</f>
        <v>44636106919</v>
      </c>
      <c r="H813" s="1">
        <f>_xlfn.XLOOKUP(Ocupacao_DW[[#This Row],[Concat]],Vagas!$H:$H,Vagas!$D:$D,"",0)</f>
        <v>0</v>
      </c>
    </row>
    <row r="814" spans="1:8" x14ac:dyDescent="0.25">
      <c r="A814" s="2">
        <v>44638</v>
      </c>
      <c r="B814" s="1" t="s">
        <v>49</v>
      </c>
      <c r="C814">
        <v>12142</v>
      </c>
      <c r="D814" s="1" t="s">
        <v>219</v>
      </c>
      <c r="E814" s="1" t="s">
        <v>4</v>
      </c>
      <c r="F814">
        <v>44</v>
      </c>
      <c r="G814" s="1" t="str">
        <f>Ocupacao_DW[[#This Row],[data]]&amp;Ocupacao_DW[[#This Row],[profissional_id]]&amp;Ocupacao_DW[[#This Row],[local_id]]</f>
        <v>446381214244</v>
      </c>
      <c r="H814" s="1">
        <f>_xlfn.XLOOKUP(Ocupacao_DW[[#This Row],[Concat]],Vagas!$H:$H,Vagas!$D:$D,"",0)</f>
        <v>0</v>
      </c>
    </row>
    <row r="815" spans="1:8" x14ac:dyDescent="0.25">
      <c r="A815" s="2">
        <v>44636</v>
      </c>
      <c r="B815" s="1" t="s">
        <v>51</v>
      </c>
      <c r="C815">
        <v>7551</v>
      </c>
      <c r="D815" s="1" t="s">
        <v>246</v>
      </c>
      <c r="E815" s="1" t="s">
        <v>5</v>
      </c>
      <c r="F815">
        <v>15</v>
      </c>
      <c r="G815" s="1" t="str">
        <f>Ocupacao_DW[[#This Row],[data]]&amp;Ocupacao_DW[[#This Row],[profissional_id]]&amp;Ocupacao_DW[[#This Row],[local_id]]</f>
        <v>44636755115</v>
      </c>
      <c r="H815" s="1">
        <f>_xlfn.XLOOKUP(Ocupacao_DW[[#This Row],[Concat]],Vagas!$H:$H,Vagas!$D:$D,"",0)</f>
        <v>0</v>
      </c>
    </row>
    <row r="816" spans="1:8" x14ac:dyDescent="0.25">
      <c r="A816" s="2">
        <v>44639</v>
      </c>
      <c r="B816" s="1" t="s">
        <v>43</v>
      </c>
      <c r="C816">
        <v>57</v>
      </c>
      <c r="D816" s="1" t="s">
        <v>169</v>
      </c>
      <c r="E816" s="1" t="s">
        <v>6</v>
      </c>
      <c r="F816">
        <v>2</v>
      </c>
      <c r="G816" s="1" t="str">
        <f>Ocupacao_DW[[#This Row],[data]]&amp;Ocupacao_DW[[#This Row],[profissional_id]]&amp;Ocupacao_DW[[#This Row],[local_id]]</f>
        <v>44639572</v>
      </c>
      <c r="H816" s="1">
        <f>_xlfn.XLOOKUP(Ocupacao_DW[[#This Row],[Concat]],Vagas!$H:$H,Vagas!$D:$D,"",0)</f>
        <v>0</v>
      </c>
    </row>
    <row r="817" spans="1:8" x14ac:dyDescent="0.25">
      <c r="A817" s="2">
        <v>44636</v>
      </c>
      <c r="B817" s="1" t="s">
        <v>72</v>
      </c>
      <c r="C817">
        <v>6046</v>
      </c>
      <c r="D817" s="1" t="s">
        <v>222</v>
      </c>
      <c r="E817" s="1" t="s">
        <v>167</v>
      </c>
      <c r="F817">
        <v>344</v>
      </c>
      <c r="G817" s="1" t="str">
        <f>Ocupacao_DW[[#This Row],[data]]&amp;Ocupacao_DW[[#This Row],[profissional_id]]&amp;Ocupacao_DW[[#This Row],[local_id]]</f>
        <v>446366046344</v>
      </c>
      <c r="H817" s="1">
        <f>_xlfn.XLOOKUP(Ocupacao_DW[[#This Row],[Concat]],Vagas!$H:$H,Vagas!$D:$D,"",0)</f>
        <v>0</v>
      </c>
    </row>
    <row r="818" spans="1:8" x14ac:dyDescent="0.25">
      <c r="A818" s="2">
        <v>44639</v>
      </c>
      <c r="B818" s="1" t="s">
        <v>43</v>
      </c>
      <c r="C818">
        <v>57</v>
      </c>
      <c r="D818" s="1" t="s">
        <v>169</v>
      </c>
      <c r="E818" s="1" t="s">
        <v>6</v>
      </c>
      <c r="F818">
        <v>2</v>
      </c>
      <c r="G818" s="1" t="str">
        <f>Ocupacao_DW[[#This Row],[data]]&amp;Ocupacao_DW[[#This Row],[profissional_id]]&amp;Ocupacao_DW[[#This Row],[local_id]]</f>
        <v>44639572</v>
      </c>
      <c r="H818" s="1">
        <f>_xlfn.XLOOKUP(Ocupacao_DW[[#This Row],[Concat]],Vagas!$H:$H,Vagas!$D:$D,"",0)</f>
        <v>0</v>
      </c>
    </row>
    <row r="819" spans="1:8" x14ac:dyDescent="0.25">
      <c r="A819" s="2">
        <v>44635</v>
      </c>
      <c r="B819" s="1" t="s">
        <v>65</v>
      </c>
      <c r="C819">
        <v>11652</v>
      </c>
      <c r="D819" s="1" t="s">
        <v>242</v>
      </c>
      <c r="E819" s="1" t="s">
        <v>4</v>
      </c>
      <c r="F819">
        <v>47</v>
      </c>
      <c r="G819" s="1" t="str">
        <f>Ocupacao_DW[[#This Row],[data]]&amp;Ocupacao_DW[[#This Row],[profissional_id]]&amp;Ocupacao_DW[[#This Row],[local_id]]</f>
        <v>446351165247</v>
      </c>
      <c r="H819" s="1">
        <f>_xlfn.XLOOKUP(Ocupacao_DW[[#This Row],[Concat]],Vagas!$H:$H,Vagas!$D:$D,"",0)</f>
        <v>0</v>
      </c>
    </row>
    <row r="820" spans="1:8" x14ac:dyDescent="0.25">
      <c r="A820" s="2">
        <v>44637</v>
      </c>
      <c r="B820" s="1" t="s">
        <v>47</v>
      </c>
      <c r="C820">
        <v>9111</v>
      </c>
      <c r="D820" s="1" t="s">
        <v>206</v>
      </c>
      <c r="E820" s="1" t="s">
        <v>4</v>
      </c>
      <c r="F820">
        <v>334</v>
      </c>
      <c r="G820" s="1" t="str">
        <f>Ocupacao_DW[[#This Row],[data]]&amp;Ocupacao_DW[[#This Row],[profissional_id]]&amp;Ocupacao_DW[[#This Row],[local_id]]</f>
        <v>446379111334</v>
      </c>
      <c r="H820" s="1">
        <f>_xlfn.XLOOKUP(Ocupacao_DW[[#This Row],[Concat]],Vagas!$H:$H,Vagas!$D:$D,"",0)</f>
        <v>0</v>
      </c>
    </row>
    <row r="821" spans="1:8" x14ac:dyDescent="0.25">
      <c r="A821" s="2">
        <v>44635</v>
      </c>
      <c r="B821" s="1"/>
      <c r="C821">
        <v>0</v>
      </c>
      <c r="D821" s="1"/>
      <c r="E821" s="1" t="s">
        <v>4</v>
      </c>
      <c r="F821">
        <v>39</v>
      </c>
      <c r="G821" s="1" t="str">
        <f>Ocupacao_DW[[#This Row],[data]]&amp;Ocupacao_DW[[#This Row],[profissional_id]]&amp;Ocupacao_DW[[#This Row],[local_id]]</f>
        <v>44635039</v>
      </c>
      <c r="H821" s="1" t="str">
        <f>_xlfn.XLOOKUP(Ocupacao_DW[[#This Row],[Concat]],Vagas!$H:$H,Vagas!$D:$D,"",0)</f>
        <v/>
      </c>
    </row>
    <row r="822" spans="1:8" x14ac:dyDescent="0.25">
      <c r="A822" s="2">
        <v>44643</v>
      </c>
      <c r="B822" s="1" t="s">
        <v>52</v>
      </c>
      <c r="C822">
        <v>57</v>
      </c>
      <c r="D822" s="1" t="s">
        <v>169</v>
      </c>
      <c r="E822" s="1" t="s">
        <v>6</v>
      </c>
      <c r="F822">
        <v>4</v>
      </c>
      <c r="G822" s="1" t="str">
        <f>Ocupacao_DW[[#This Row],[data]]&amp;Ocupacao_DW[[#This Row],[profissional_id]]&amp;Ocupacao_DW[[#This Row],[local_id]]</f>
        <v>44643574</v>
      </c>
      <c r="H822" s="1">
        <f>_xlfn.XLOOKUP(Ocupacao_DW[[#This Row],[Concat]],Vagas!$H:$H,Vagas!$D:$D,"",0)</f>
        <v>0</v>
      </c>
    </row>
    <row r="823" spans="1:8" x14ac:dyDescent="0.25">
      <c r="A823" s="2">
        <v>44642</v>
      </c>
      <c r="B823" s="1" t="s">
        <v>68</v>
      </c>
      <c r="C823">
        <v>8239</v>
      </c>
      <c r="D823" s="1" t="s">
        <v>257</v>
      </c>
      <c r="E823" s="1" t="s">
        <v>5</v>
      </c>
      <c r="F823">
        <v>14</v>
      </c>
      <c r="G823" s="1" t="str">
        <f>Ocupacao_DW[[#This Row],[data]]&amp;Ocupacao_DW[[#This Row],[profissional_id]]&amp;Ocupacao_DW[[#This Row],[local_id]]</f>
        <v>44642823914</v>
      </c>
      <c r="H823" s="1">
        <f>_xlfn.XLOOKUP(Ocupacao_DW[[#This Row],[Concat]],Vagas!$H:$H,Vagas!$D:$D,"",0)</f>
        <v>0</v>
      </c>
    </row>
    <row r="824" spans="1:8" x14ac:dyDescent="0.25">
      <c r="A824" s="2">
        <v>44637</v>
      </c>
      <c r="B824" s="1" t="s">
        <v>47</v>
      </c>
      <c r="C824">
        <v>9111</v>
      </c>
      <c r="D824" s="1" t="s">
        <v>206</v>
      </c>
      <c r="E824" s="1" t="s">
        <v>4</v>
      </c>
      <c r="F824">
        <v>334</v>
      </c>
      <c r="G824" s="1" t="str">
        <f>Ocupacao_DW[[#This Row],[data]]&amp;Ocupacao_DW[[#This Row],[profissional_id]]&amp;Ocupacao_DW[[#This Row],[local_id]]</f>
        <v>446379111334</v>
      </c>
      <c r="H824" s="1">
        <f>_xlfn.XLOOKUP(Ocupacao_DW[[#This Row],[Concat]],Vagas!$H:$H,Vagas!$D:$D,"",0)</f>
        <v>0</v>
      </c>
    </row>
    <row r="825" spans="1:8" x14ac:dyDescent="0.25">
      <c r="A825" s="2">
        <v>44653</v>
      </c>
      <c r="B825" s="1" t="s">
        <v>62</v>
      </c>
      <c r="C825">
        <v>4887</v>
      </c>
      <c r="D825" s="1" t="s">
        <v>168</v>
      </c>
      <c r="E825" s="1" t="s">
        <v>5</v>
      </c>
      <c r="F825">
        <v>18</v>
      </c>
      <c r="G825" s="1" t="str">
        <f>Ocupacao_DW[[#This Row],[data]]&amp;Ocupacao_DW[[#This Row],[profissional_id]]&amp;Ocupacao_DW[[#This Row],[local_id]]</f>
        <v>44653488718</v>
      </c>
      <c r="H825" s="1">
        <f>_xlfn.XLOOKUP(Ocupacao_DW[[#This Row],[Concat]],Vagas!$H:$H,Vagas!$D:$D,"",0)</f>
        <v>0</v>
      </c>
    </row>
    <row r="826" spans="1:8" x14ac:dyDescent="0.25">
      <c r="A826" s="2">
        <v>44636</v>
      </c>
      <c r="B826" s="1" t="s">
        <v>52</v>
      </c>
      <c r="C826">
        <v>10946</v>
      </c>
      <c r="D826" s="1" t="s">
        <v>209</v>
      </c>
      <c r="E826" s="1" t="s">
        <v>7</v>
      </c>
      <c r="F826">
        <v>60</v>
      </c>
      <c r="G826" s="1" t="str">
        <f>Ocupacao_DW[[#This Row],[data]]&amp;Ocupacao_DW[[#This Row],[profissional_id]]&amp;Ocupacao_DW[[#This Row],[local_id]]</f>
        <v>446361094660</v>
      </c>
      <c r="H826" s="1">
        <f>_xlfn.XLOOKUP(Ocupacao_DW[[#This Row],[Concat]],Vagas!$H:$H,Vagas!$D:$D,"",0)</f>
        <v>0</v>
      </c>
    </row>
    <row r="827" spans="1:8" x14ac:dyDescent="0.25">
      <c r="A827" s="2">
        <v>44635</v>
      </c>
      <c r="B827" s="1" t="s">
        <v>67</v>
      </c>
      <c r="C827">
        <v>7290</v>
      </c>
      <c r="D827" s="1" t="s">
        <v>247</v>
      </c>
      <c r="E827" s="1" t="s">
        <v>5</v>
      </c>
      <c r="F827">
        <v>18</v>
      </c>
      <c r="G827" s="1" t="str">
        <f>Ocupacao_DW[[#This Row],[data]]&amp;Ocupacao_DW[[#This Row],[profissional_id]]&amp;Ocupacao_DW[[#This Row],[local_id]]</f>
        <v>44635729018</v>
      </c>
      <c r="H827" s="1">
        <f>_xlfn.XLOOKUP(Ocupacao_DW[[#This Row],[Concat]],Vagas!$H:$H,Vagas!$D:$D,"",0)</f>
        <v>0</v>
      </c>
    </row>
    <row r="828" spans="1:8" x14ac:dyDescent="0.25">
      <c r="A828" s="2">
        <v>44636</v>
      </c>
      <c r="B828" s="1" t="s">
        <v>49</v>
      </c>
      <c r="C828">
        <v>6430</v>
      </c>
      <c r="D828" s="1" t="s">
        <v>188</v>
      </c>
      <c r="E828" s="1" t="s">
        <v>4</v>
      </c>
      <c r="F828">
        <v>42</v>
      </c>
      <c r="G828" s="1" t="str">
        <f>Ocupacao_DW[[#This Row],[data]]&amp;Ocupacao_DW[[#This Row],[profissional_id]]&amp;Ocupacao_DW[[#This Row],[local_id]]</f>
        <v>44636643042</v>
      </c>
      <c r="H828" s="1">
        <f>_xlfn.XLOOKUP(Ocupacao_DW[[#This Row],[Concat]],Vagas!$H:$H,Vagas!$D:$D,"",0)</f>
        <v>0</v>
      </c>
    </row>
    <row r="829" spans="1:8" x14ac:dyDescent="0.25">
      <c r="A829" s="2">
        <v>44636</v>
      </c>
      <c r="B829" s="1" t="s">
        <v>47</v>
      </c>
      <c r="C829">
        <v>111</v>
      </c>
      <c r="D829" s="1" t="s">
        <v>199</v>
      </c>
      <c r="E829" s="1" t="s">
        <v>4</v>
      </c>
      <c r="F829">
        <v>51</v>
      </c>
      <c r="G829" s="1" t="str">
        <f>Ocupacao_DW[[#This Row],[data]]&amp;Ocupacao_DW[[#This Row],[profissional_id]]&amp;Ocupacao_DW[[#This Row],[local_id]]</f>
        <v>4463611151</v>
      </c>
      <c r="H829" s="1">
        <f>_xlfn.XLOOKUP(Ocupacao_DW[[#This Row],[Concat]],Vagas!$H:$H,Vagas!$D:$D,"",0)</f>
        <v>1</v>
      </c>
    </row>
    <row r="830" spans="1:8" x14ac:dyDescent="0.25">
      <c r="A830" s="2">
        <v>44636</v>
      </c>
      <c r="B830" s="1"/>
      <c r="C830">
        <v>0</v>
      </c>
      <c r="D830" s="1"/>
      <c r="E830" s="1" t="s">
        <v>4</v>
      </c>
      <c r="F830">
        <v>40</v>
      </c>
      <c r="G830" s="1" t="str">
        <f>Ocupacao_DW[[#This Row],[data]]&amp;Ocupacao_DW[[#This Row],[profissional_id]]&amp;Ocupacao_DW[[#This Row],[local_id]]</f>
        <v>44636040</v>
      </c>
      <c r="H830" s="1" t="str">
        <f>_xlfn.XLOOKUP(Ocupacao_DW[[#This Row],[Concat]],Vagas!$H:$H,Vagas!$D:$D,"",0)</f>
        <v/>
      </c>
    </row>
    <row r="831" spans="1:8" x14ac:dyDescent="0.25">
      <c r="A831" s="2">
        <v>44637</v>
      </c>
      <c r="B831" s="1" t="s">
        <v>51</v>
      </c>
      <c r="C831">
        <v>12582</v>
      </c>
      <c r="D831" s="1" t="s">
        <v>190</v>
      </c>
      <c r="E831" s="1" t="s">
        <v>5</v>
      </c>
      <c r="F831">
        <v>15</v>
      </c>
      <c r="G831" s="1" t="str">
        <f>Ocupacao_DW[[#This Row],[data]]&amp;Ocupacao_DW[[#This Row],[profissional_id]]&amp;Ocupacao_DW[[#This Row],[local_id]]</f>
        <v>446371258215</v>
      </c>
      <c r="H831" s="1">
        <f>_xlfn.XLOOKUP(Ocupacao_DW[[#This Row],[Concat]],Vagas!$H:$H,Vagas!$D:$D,"",0)</f>
        <v>0</v>
      </c>
    </row>
    <row r="832" spans="1:8" x14ac:dyDescent="0.25">
      <c r="A832" s="2">
        <v>44636</v>
      </c>
      <c r="B832" s="1" t="s">
        <v>52</v>
      </c>
      <c r="C832">
        <v>10691</v>
      </c>
      <c r="D832" s="1" t="s">
        <v>181</v>
      </c>
      <c r="E832" s="1" t="s">
        <v>6</v>
      </c>
      <c r="F832">
        <v>9</v>
      </c>
      <c r="G832" s="1" t="str">
        <f>Ocupacao_DW[[#This Row],[data]]&amp;Ocupacao_DW[[#This Row],[profissional_id]]&amp;Ocupacao_DW[[#This Row],[local_id]]</f>
        <v>44636106919</v>
      </c>
      <c r="H832" s="1">
        <f>_xlfn.XLOOKUP(Ocupacao_DW[[#This Row],[Concat]],Vagas!$H:$H,Vagas!$D:$D,"",0)</f>
        <v>0</v>
      </c>
    </row>
    <row r="833" spans="1:8" x14ac:dyDescent="0.25">
      <c r="A833" s="2">
        <v>44635</v>
      </c>
      <c r="B833" s="1" t="s">
        <v>66</v>
      </c>
      <c r="C833">
        <v>100</v>
      </c>
      <c r="D833" s="1" t="s">
        <v>166</v>
      </c>
      <c r="E833" s="1" t="s">
        <v>167</v>
      </c>
      <c r="F833">
        <v>342</v>
      </c>
      <c r="G833" s="1" t="str">
        <f>Ocupacao_DW[[#This Row],[data]]&amp;Ocupacao_DW[[#This Row],[profissional_id]]&amp;Ocupacao_DW[[#This Row],[local_id]]</f>
        <v>44635100342</v>
      </c>
      <c r="H833" s="1">
        <f>_xlfn.XLOOKUP(Ocupacao_DW[[#This Row],[Concat]],Vagas!$H:$H,Vagas!$D:$D,"",0)</f>
        <v>0</v>
      </c>
    </row>
    <row r="834" spans="1:8" x14ac:dyDescent="0.25">
      <c r="A834" s="2">
        <v>44636</v>
      </c>
      <c r="B834" s="1" t="s">
        <v>72</v>
      </c>
      <c r="C834">
        <v>6046</v>
      </c>
      <c r="D834" s="1" t="s">
        <v>222</v>
      </c>
      <c r="E834" s="1" t="s">
        <v>167</v>
      </c>
      <c r="F834">
        <v>344</v>
      </c>
      <c r="G834" s="1" t="str">
        <f>Ocupacao_DW[[#This Row],[data]]&amp;Ocupacao_DW[[#This Row],[profissional_id]]&amp;Ocupacao_DW[[#This Row],[local_id]]</f>
        <v>446366046344</v>
      </c>
      <c r="H834" s="1">
        <f>_xlfn.XLOOKUP(Ocupacao_DW[[#This Row],[Concat]],Vagas!$H:$H,Vagas!$D:$D,"",0)</f>
        <v>0</v>
      </c>
    </row>
    <row r="835" spans="1:8" x14ac:dyDescent="0.25">
      <c r="A835" s="2">
        <v>44635</v>
      </c>
      <c r="B835" s="1" t="s">
        <v>54</v>
      </c>
      <c r="C835">
        <v>69</v>
      </c>
      <c r="D835" s="1" t="s">
        <v>238</v>
      </c>
      <c r="E835" s="1" t="s">
        <v>5</v>
      </c>
      <c r="F835">
        <v>13</v>
      </c>
      <c r="G835" s="1" t="str">
        <f>Ocupacao_DW[[#This Row],[data]]&amp;Ocupacao_DW[[#This Row],[profissional_id]]&amp;Ocupacao_DW[[#This Row],[local_id]]</f>
        <v>446356913</v>
      </c>
      <c r="H835" s="1">
        <f>_xlfn.XLOOKUP(Ocupacao_DW[[#This Row],[Concat]],Vagas!$H:$H,Vagas!$D:$D,"",0)</f>
        <v>0</v>
      </c>
    </row>
    <row r="836" spans="1:8" x14ac:dyDescent="0.25">
      <c r="A836" s="2">
        <v>44635</v>
      </c>
      <c r="B836" s="1" t="s">
        <v>47</v>
      </c>
      <c r="C836">
        <v>9111</v>
      </c>
      <c r="D836" s="1" t="s">
        <v>206</v>
      </c>
      <c r="E836" s="1" t="s">
        <v>4</v>
      </c>
      <c r="F836">
        <v>335</v>
      </c>
      <c r="G836" s="1" t="str">
        <f>Ocupacao_DW[[#This Row],[data]]&amp;Ocupacao_DW[[#This Row],[profissional_id]]&amp;Ocupacao_DW[[#This Row],[local_id]]</f>
        <v>446359111335</v>
      </c>
      <c r="H836" s="1">
        <f>_xlfn.XLOOKUP(Ocupacao_DW[[#This Row],[Concat]],Vagas!$H:$H,Vagas!$D:$D,"",0)</f>
        <v>0</v>
      </c>
    </row>
    <row r="837" spans="1:8" x14ac:dyDescent="0.25">
      <c r="A837" s="2">
        <v>44635</v>
      </c>
      <c r="B837" s="1"/>
      <c r="C837">
        <v>0</v>
      </c>
      <c r="D837" s="1"/>
      <c r="E837" s="1" t="s">
        <v>4</v>
      </c>
      <c r="F837">
        <v>40</v>
      </c>
      <c r="G837" s="1" t="str">
        <f>Ocupacao_DW[[#This Row],[data]]&amp;Ocupacao_DW[[#This Row],[profissional_id]]&amp;Ocupacao_DW[[#This Row],[local_id]]</f>
        <v>44635040</v>
      </c>
      <c r="H837" s="1" t="str">
        <f>_xlfn.XLOOKUP(Ocupacao_DW[[#This Row],[Concat]],Vagas!$H:$H,Vagas!$D:$D,"",0)</f>
        <v/>
      </c>
    </row>
    <row r="838" spans="1:8" x14ac:dyDescent="0.25">
      <c r="A838" s="2">
        <v>44635</v>
      </c>
      <c r="B838" s="1" t="s">
        <v>47</v>
      </c>
      <c r="C838">
        <v>111</v>
      </c>
      <c r="D838" s="1" t="s">
        <v>199</v>
      </c>
      <c r="E838" s="1" t="s">
        <v>4</v>
      </c>
      <c r="F838">
        <v>51</v>
      </c>
      <c r="G838" s="1" t="str">
        <f>Ocupacao_DW[[#This Row],[data]]&amp;Ocupacao_DW[[#This Row],[profissional_id]]&amp;Ocupacao_DW[[#This Row],[local_id]]</f>
        <v>4463511151</v>
      </c>
      <c r="H838" s="1">
        <f>_xlfn.XLOOKUP(Ocupacao_DW[[#This Row],[Concat]],Vagas!$H:$H,Vagas!$D:$D,"",0)</f>
        <v>0</v>
      </c>
    </row>
    <row r="839" spans="1:8" x14ac:dyDescent="0.25">
      <c r="A839" s="2">
        <v>44635</v>
      </c>
      <c r="B839" s="1" t="s">
        <v>47</v>
      </c>
      <c r="C839">
        <v>9111</v>
      </c>
      <c r="D839" s="1" t="s">
        <v>206</v>
      </c>
      <c r="E839" s="1" t="s">
        <v>4</v>
      </c>
      <c r="F839">
        <v>335</v>
      </c>
      <c r="G839" s="1" t="str">
        <f>Ocupacao_DW[[#This Row],[data]]&amp;Ocupacao_DW[[#This Row],[profissional_id]]&amp;Ocupacao_DW[[#This Row],[local_id]]</f>
        <v>446359111335</v>
      </c>
      <c r="H839" s="1">
        <f>_xlfn.XLOOKUP(Ocupacao_DW[[#This Row],[Concat]],Vagas!$H:$H,Vagas!$D:$D,"",0)</f>
        <v>0</v>
      </c>
    </row>
    <row r="840" spans="1:8" x14ac:dyDescent="0.25">
      <c r="A840" s="2">
        <v>44641</v>
      </c>
      <c r="B840" s="1" t="s">
        <v>52</v>
      </c>
      <c r="C840">
        <v>10595</v>
      </c>
      <c r="D840" s="1" t="s">
        <v>218</v>
      </c>
      <c r="E840" s="1" t="s">
        <v>200</v>
      </c>
      <c r="F840">
        <v>78</v>
      </c>
      <c r="G840" s="1" t="str">
        <f>Ocupacao_DW[[#This Row],[data]]&amp;Ocupacao_DW[[#This Row],[profissional_id]]&amp;Ocupacao_DW[[#This Row],[local_id]]</f>
        <v>446411059578</v>
      </c>
      <c r="H840" s="1">
        <f>_xlfn.XLOOKUP(Ocupacao_DW[[#This Row],[Concat]],Vagas!$H:$H,Vagas!$D:$D,"",0)</f>
        <v>0</v>
      </c>
    </row>
    <row r="841" spans="1:8" x14ac:dyDescent="0.25">
      <c r="A841" s="2">
        <v>44638</v>
      </c>
      <c r="B841" s="1" t="s">
        <v>47</v>
      </c>
      <c r="C841">
        <v>9111</v>
      </c>
      <c r="D841" s="1" t="s">
        <v>206</v>
      </c>
      <c r="E841" s="1" t="s">
        <v>4</v>
      </c>
      <c r="F841">
        <v>334</v>
      </c>
      <c r="G841" s="1" t="str">
        <f>Ocupacao_DW[[#This Row],[data]]&amp;Ocupacao_DW[[#This Row],[profissional_id]]&amp;Ocupacao_DW[[#This Row],[local_id]]</f>
        <v>446389111334</v>
      </c>
      <c r="H841" s="1" t="str">
        <f>_xlfn.XLOOKUP(Ocupacao_DW[[#This Row],[Concat]],Vagas!$H:$H,Vagas!$D:$D,"",0)</f>
        <v/>
      </c>
    </row>
    <row r="842" spans="1:8" x14ac:dyDescent="0.25">
      <c r="A842" s="2">
        <v>44644</v>
      </c>
      <c r="B842" s="1" t="s">
        <v>49</v>
      </c>
      <c r="C842">
        <v>81</v>
      </c>
      <c r="D842" s="1" t="s">
        <v>170</v>
      </c>
      <c r="E842" s="1" t="s">
        <v>4</v>
      </c>
      <c r="F842">
        <v>41</v>
      </c>
      <c r="G842" s="1" t="str">
        <f>Ocupacao_DW[[#This Row],[data]]&amp;Ocupacao_DW[[#This Row],[profissional_id]]&amp;Ocupacao_DW[[#This Row],[local_id]]</f>
        <v>446448141</v>
      </c>
      <c r="H842" s="1">
        <f>_xlfn.XLOOKUP(Ocupacao_DW[[#This Row],[Concat]],Vagas!$H:$H,Vagas!$D:$D,"",0)</f>
        <v>0</v>
      </c>
    </row>
    <row r="843" spans="1:8" x14ac:dyDescent="0.25">
      <c r="A843" s="2">
        <v>44635</v>
      </c>
      <c r="B843" s="1" t="s">
        <v>67</v>
      </c>
      <c r="C843">
        <v>7290</v>
      </c>
      <c r="D843" s="1" t="s">
        <v>247</v>
      </c>
      <c r="E843" s="1" t="s">
        <v>5</v>
      </c>
      <c r="F843">
        <v>18</v>
      </c>
      <c r="G843" s="1" t="str">
        <f>Ocupacao_DW[[#This Row],[data]]&amp;Ocupacao_DW[[#This Row],[profissional_id]]&amp;Ocupacao_DW[[#This Row],[local_id]]</f>
        <v>44635729018</v>
      </c>
      <c r="H843" s="1">
        <f>_xlfn.XLOOKUP(Ocupacao_DW[[#This Row],[Concat]],Vagas!$H:$H,Vagas!$D:$D,"",0)</f>
        <v>0</v>
      </c>
    </row>
    <row r="844" spans="1:8" x14ac:dyDescent="0.25">
      <c r="A844" s="2">
        <v>44636</v>
      </c>
      <c r="B844" s="1" t="s">
        <v>51</v>
      </c>
      <c r="C844">
        <v>17859</v>
      </c>
      <c r="D844" s="1" t="s">
        <v>212</v>
      </c>
      <c r="E844" s="1" t="s">
        <v>6</v>
      </c>
      <c r="F844">
        <v>7</v>
      </c>
      <c r="G844" s="1" t="str">
        <f>Ocupacao_DW[[#This Row],[data]]&amp;Ocupacao_DW[[#This Row],[profissional_id]]&amp;Ocupacao_DW[[#This Row],[local_id]]</f>
        <v>44636178597</v>
      </c>
      <c r="H844" s="1">
        <f>_xlfn.XLOOKUP(Ocupacao_DW[[#This Row],[Concat]],Vagas!$H:$H,Vagas!$D:$D,"",0)</f>
        <v>0</v>
      </c>
    </row>
    <row r="845" spans="1:8" x14ac:dyDescent="0.25">
      <c r="A845" s="2">
        <v>44638</v>
      </c>
      <c r="B845" s="1" t="s">
        <v>47</v>
      </c>
      <c r="C845">
        <v>9111</v>
      </c>
      <c r="D845" s="1" t="s">
        <v>206</v>
      </c>
      <c r="E845" s="1" t="s">
        <v>4</v>
      </c>
      <c r="F845">
        <v>51</v>
      </c>
      <c r="G845" s="1" t="str">
        <f>Ocupacao_DW[[#This Row],[data]]&amp;Ocupacao_DW[[#This Row],[profissional_id]]&amp;Ocupacao_DW[[#This Row],[local_id]]</f>
        <v>44638911151</v>
      </c>
      <c r="H845" s="1">
        <f>_xlfn.XLOOKUP(Ocupacao_DW[[#This Row],[Concat]],Vagas!$H:$H,Vagas!$D:$D,"",0)</f>
        <v>0</v>
      </c>
    </row>
    <row r="846" spans="1:8" x14ac:dyDescent="0.25">
      <c r="A846" s="2">
        <v>44638</v>
      </c>
      <c r="B846" s="1" t="s">
        <v>47</v>
      </c>
      <c r="C846">
        <v>9111</v>
      </c>
      <c r="D846" s="1" t="s">
        <v>206</v>
      </c>
      <c r="E846" s="1" t="s">
        <v>4</v>
      </c>
      <c r="F846">
        <v>51</v>
      </c>
      <c r="G846" s="1" t="str">
        <f>Ocupacao_DW[[#This Row],[data]]&amp;Ocupacao_DW[[#This Row],[profissional_id]]&amp;Ocupacao_DW[[#This Row],[local_id]]</f>
        <v>44638911151</v>
      </c>
      <c r="H846" s="1">
        <f>_xlfn.XLOOKUP(Ocupacao_DW[[#This Row],[Concat]],Vagas!$H:$H,Vagas!$D:$D,"",0)</f>
        <v>0</v>
      </c>
    </row>
    <row r="847" spans="1:8" x14ac:dyDescent="0.25">
      <c r="A847" s="2">
        <v>44639</v>
      </c>
      <c r="B847" s="1" t="s">
        <v>47</v>
      </c>
      <c r="C847">
        <v>111</v>
      </c>
      <c r="D847" s="1" t="s">
        <v>199</v>
      </c>
      <c r="E847" s="1" t="s">
        <v>4</v>
      </c>
      <c r="F847">
        <v>51</v>
      </c>
      <c r="G847" s="1" t="str">
        <f>Ocupacao_DW[[#This Row],[data]]&amp;Ocupacao_DW[[#This Row],[profissional_id]]&amp;Ocupacao_DW[[#This Row],[local_id]]</f>
        <v>4463911151</v>
      </c>
      <c r="H847" s="1">
        <f>_xlfn.XLOOKUP(Ocupacao_DW[[#This Row],[Concat]],Vagas!$H:$H,Vagas!$D:$D,"",0)</f>
        <v>0</v>
      </c>
    </row>
    <row r="848" spans="1:8" x14ac:dyDescent="0.25">
      <c r="A848" s="2">
        <v>44638</v>
      </c>
      <c r="B848" s="1"/>
      <c r="C848">
        <v>0</v>
      </c>
      <c r="D848" s="1"/>
      <c r="E848" s="1" t="s">
        <v>4</v>
      </c>
      <c r="F848">
        <v>40</v>
      </c>
      <c r="G848" s="1" t="str">
        <f>Ocupacao_DW[[#This Row],[data]]&amp;Ocupacao_DW[[#This Row],[profissional_id]]&amp;Ocupacao_DW[[#This Row],[local_id]]</f>
        <v>44638040</v>
      </c>
      <c r="H848" s="1" t="str">
        <f>_xlfn.XLOOKUP(Ocupacao_DW[[#This Row],[Concat]],Vagas!$H:$H,Vagas!$D:$D,"",0)</f>
        <v/>
      </c>
    </row>
    <row r="849" spans="1:8" x14ac:dyDescent="0.25">
      <c r="A849" s="2">
        <v>44641</v>
      </c>
      <c r="B849" s="1" t="s">
        <v>49</v>
      </c>
      <c r="C849">
        <v>81</v>
      </c>
      <c r="D849" s="1" t="s">
        <v>170</v>
      </c>
      <c r="E849" s="1" t="s">
        <v>4</v>
      </c>
      <c r="F849">
        <v>41</v>
      </c>
      <c r="G849" s="1" t="str">
        <f>Ocupacao_DW[[#This Row],[data]]&amp;Ocupacao_DW[[#This Row],[profissional_id]]&amp;Ocupacao_DW[[#This Row],[local_id]]</f>
        <v>446418141</v>
      </c>
      <c r="H849" s="1">
        <f>_xlfn.XLOOKUP(Ocupacao_DW[[#This Row],[Concat]],Vagas!$H:$H,Vagas!$D:$D,"",0)</f>
        <v>0</v>
      </c>
    </row>
    <row r="850" spans="1:8" x14ac:dyDescent="0.25">
      <c r="A850" s="2">
        <v>44635</v>
      </c>
      <c r="B850" s="1" t="s">
        <v>64</v>
      </c>
      <c r="C850">
        <v>85</v>
      </c>
      <c r="D850" s="1" t="s">
        <v>211</v>
      </c>
      <c r="E850" s="1" t="s">
        <v>5</v>
      </c>
      <c r="F850">
        <v>349</v>
      </c>
      <c r="G850" s="1" t="str">
        <f>Ocupacao_DW[[#This Row],[data]]&amp;Ocupacao_DW[[#This Row],[profissional_id]]&amp;Ocupacao_DW[[#This Row],[local_id]]</f>
        <v>4463585349</v>
      </c>
      <c r="H850" s="1">
        <f>_xlfn.XLOOKUP(Ocupacao_DW[[#This Row],[Concat]],Vagas!$H:$H,Vagas!$D:$D,"",0)</f>
        <v>0</v>
      </c>
    </row>
    <row r="851" spans="1:8" x14ac:dyDescent="0.25">
      <c r="A851" s="2">
        <v>44636</v>
      </c>
      <c r="B851" s="1" t="s">
        <v>49</v>
      </c>
      <c r="C851">
        <v>6430</v>
      </c>
      <c r="D851" s="1" t="s">
        <v>188</v>
      </c>
      <c r="E851" s="1" t="s">
        <v>4</v>
      </c>
      <c r="F851">
        <v>42</v>
      </c>
      <c r="G851" s="1" t="str">
        <f>Ocupacao_DW[[#This Row],[data]]&amp;Ocupacao_DW[[#This Row],[profissional_id]]&amp;Ocupacao_DW[[#This Row],[local_id]]</f>
        <v>44636643042</v>
      </c>
      <c r="H851" s="1">
        <f>_xlfn.XLOOKUP(Ocupacao_DW[[#This Row],[Concat]],Vagas!$H:$H,Vagas!$D:$D,"",0)</f>
        <v>0</v>
      </c>
    </row>
    <row r="852" spans="1:8" x14ac:dyDescent="0.25">
      <c r="A852" s="2">
        <v>44635</v>
      </c>
      <c r="B852" s="1" t="s">
        <v>52</v>
      </c>
      <c r="C852">
        <v>13061</v>
      </c>
      <c r="D852" s="1" t="s">
        <v>232</v>
      </c>
      <c r="E852" s="1" t="s">
        <v>6</v>
      </c>
      <c r="F852">
        <v>9</v>
      </c>
      <c r="G852" s="1" t="str">
        <f>Ocupacao_DW[[#This Row],[data]]&amp;Ocupacao_DW[[#This Row],[profissional_id]]&amp;Ocupacao_DW[[#This Row],[local_id]]</f>
        <v>44635130619</v>
      </c>
      <c r="H852" s="1">
        <f>_xlfn.XLOOKUP(Ocupacao_DW[[#This Row],[Concat]],Vagas!$H:$H,Vagas!$D:$D,"",0)</f>
        <v>0</v>
      </c>
    </row>
    <row r="853" spans="1:8" x14ac:dyDescent="0.25">
      <c r="A853" s="2">
        <v>44636</v>
      </c>
      <c r="B853" s="1" t="s">
        <v>24</v>
      </c>
      <c r="C853">
        <v>13061</v>
      </c>
      <c r="D853" s="1" t="s">
        <v>232</v>
      </c>
      <c r="E853" s="1" t="s">
        <v>6</v>
      </c>
      <c r="F853">
        <v>3</v>
      </c>
      <c r="G853" s="1" t="str">
        <f>Ocupacao_DW[[#This Row],[data]]&amp;Ocupacao_DW[[#This Row],[profissional_id]]&amp;Ocupacao_DW[[#This Row],[local_id]]</f>
        <v>44636130613</v>
      </c>
      <c r="H853" s="1">
        <f>_xlfn.XLOOKUP(Ocupacao_DW[[#This Row],[Concat]],Vagas!$H:$H,Vagas!$D:$D,"",0)</f>
        <v>0</v>
      </c>
    </row>
    <row r="854" spans="1:8" x14ac:dyDescent="0.25">
      <c r="A854" s="2">
        <v>44643</v>
      </c>
      <c r="B854" s="1" t="s">
        <v>70</v>
      </c>
      <c r="C854">
        <v>12825</v>
      </c>
      <c r="D854" s="1" t="s">
        <v>177</v>
      </c>
      <c r="E854" s="1" t="s">
        <v>4</v>
      </c>
      <c r="F854">
        <v>45</v>
      </c>
      <c r="G854" s="1" t="str">
        <f>Ocupacao_DW[[#This Row],[data]]&amp;Ocupacao_DW[[#This Row],[profissional_id]]&amp;Ocupacao_DW[[#This Row],[local_id]]</f>
        <v>446431282545</v>
      </c>
      <c r="H854" s="1">
        <f>_xlfn.XLOOKUP(Ocupacao_DW[[#This Row],[Concat]],Vagas!$H:$H,Vagas!$D:$D,"",0)</f>
        <v>0</v>
      </c>
    </row>
    <row r="855" spans="1:8" x14ac:dyDescent="0.25">
      <c r="A855" s="2">
        <v>44650</v>
      </c>
      <c r="B855" s="1" t="s">
        <v>64</v>
      </c>
      <c r="C855">
        <v>531</v>
      </c>
      <c r="D855" s="1" t="s">
        <v>213</v>
      </c>
      <c r="E855" s="1" t="s">
        <v>5</v>
      </c>
      <c r="F855">
        <v>12</v>
      </c>
      <c r="G855" s="1" t="str">
        <f>Ocupacao_DW[[#This Row],[data]]&amp;Ocupacao_DW[[#This Row],[profissional_id]]&amp;Ocupacao_DW[[#This Row],[local_id]]</f>
        <v>4465053112</v>
      </c>
      <c r="H855" s="1" t="str">
        <f>_xlfn.XLOOKUP(Ocupacao_DW[[#This Row],[Concat]],Vagas!$H:$H,Vagas!$D:$D,"",0)</f>
        <v/>
      </c>
    </row>
    <row r="856" spans="1:8" x14ac:dyDescent="0.25">
      <c r="A856" s="2">
        <v>44642</v>
      </c>
      <c r="B856" s="1" t="s">
        <v>54</v>
      </c>
      <c r="C856">
        <v>10941</v>
      </c>
      <c r="D856" s="1" t="s">
        <v>224</v>
      </c>
      <c r="E856" s="1" t="s">
        <v>200</v>
      </c>
      <c r="F856">
        <v>83</v>
      </c>
      <c r="G856" s="1" t="str">
        <f>Ocupacao_DW[[#This Row],[data]]&amp;Ocupacao_DW[[#This Row],[profissional_id]]&amp;Ocupacao_DW[[#This Row],[local_id]]</f>
        <v>446421094183</v>
      </c>
      <c r="H856" s="1">
        <f>_xlfn.XLOOKUP(Ocupacao_DW[[#This Row],[Concat]],Vagas!$H:$H,Vagas!$D:$D,"",0)</f>
        <v>0</v>
      </c>
    </row>
    <row r="857" spans="1:8" x14ac:dyDescent="0.25">
      <c r="A857" s="2">
        <v>44645</v>
      </c>
      <c r="B857" s="1" t="s">
        <v>24</v>
      </c>
      <c r="C857">
        <v>60</v>
      </c>
      <c r="D857" s="1" t="s">
        <v>217</v>
      </c>
      <c r="E857" s="1" t="s">
        <v>6</v>
      </c>
      <c r="F857">
        <v>1</v>
      </c>
      <c r="G857" s="1" t="str">
        <f>Ocupacao_DW[[#This Row],[data]]&amp;Ocupacao_DW[[#This Row],[profissional_id]]&amp;Ocupacao_DW[[#This Row],[local_id]]</f>
        <v>44645601</v>
      </c>
      <c r="H857" s="1">
        <f>_xlfn.XLOOKUP(Ocupacao_DW[[#This Row],[Concat]],Vagas!$H:$H,Vagas!$D:$D,"",0)</f>
        <v>0</v>
      </c>
    </row>
    <row r="858" spans="1:8" x14ac:dyDescent="0.25">
      <c r="A858" s="2">
        <v>44657</v>
      </c>
      <c r="B858" s="1" t="s">
        <v>55</v>
      </c>
      <c r="C858">
        <v>74</v>
      </c>
      <c r="D858" s="1" t="s">
        <v>182</v>
      </c>
      <c r="E858" s="1" t="s">
        <v>6</v>
      </c>
      <c r="F858">
        <v>7</v>
      </c>
      <c r="G858" s="1" t="str">
        <f>Ocupacao_DW[[#This Row],[data]]&amp;Ocupacao_DW[[#This Row],[profissional_id]]&amp;Ocupacao_DW[[#This Row],[local_id]]</f>
        <v>44657747</v>
      </c>
      <c r="H858" s="1">
        <f>_xlfn.XLOOKUP(Ocupacao_DW[[#This Row],[Concat]],Vagas!$H:$H,Vagas!$D:$D,"",0)</f>
        <v>0</v>
      </c>
    </row>
    <row r="859" spans="1:8" x14ac:dyDescent="0.25">
      <c r="A859" s="2">
        <v>44635</v>
      </c>
      <c r="B859" s="1" t="s">
        <v>49</v>
      </c>
      <c r="C859">
        <v>81</v>
      </c>
      <c r="D859" s="1" t="s">
        <v>170</v>
      </c>
      <c r="E859" s="1" t="s">
        <v>4</v>
      </c>
      <c r="F859">
        <v>41</v>
      </c>
      <c r="G859" s="1" t="str">
        <f>Ocupacao_DW[[#This Row],[data]]&amp;Ocupacao_DW[[#This Row],[profissional_id]]&amp;Ocupacao_DW[[#This Row],[local_id]]</f>
        <v>446358141</v>
      </c>
      <c r="H859" s="1">
        <f>_xlfn.XLOOKUP(Ocupacao_DW[[#This Row],[Concat]],Vagas!$H:$H,Vagas!$D:$D,"",0)</f>
        <v>0</v>
      </c>
    </row>
    <row r="860" spans="1:8" x14ac:dyDescent="0.25">
      <c r="A860" s="2">
        <v>44657</v>
      </c>
      <c r="B860" s="1" t="s">
        <v>69</v>
      </c>
      <c r="C860">
        <v>17878</v>
      </c>
      <c r="D860" s="1" t="s">
        <v>183</v>
      </c>
      <c r="E860" s="1" t="s">
        <v>7</v>
      </c>
      <c r="F860">
        <v>63</v>
      </c>
      <c r="G860" s="1" t="str">
        <f>Ocupacao_DW[[#This Row],[data]]&amp;Ocupacao_DW[[#This Row],[profissional_id]]&amp;Ocupacao_DW[[#This Row],[local_id]]</f>
        <v>446571787863</v>
      </c>
      <c r="H860" s="1">
        <f>_xlfn.XLOOKUP(Ocupacao_DW[[#This Row],[Concat]],Vagas!$H:$H,Vagas!$D:$D,"",0)</f>
        <v>0</v>
      </c>
    </row>
    <row r="861" spans="1:8" x14ac:dyDescent="0.25">
      <c r="A861" s="2">
        <v>44637</v>
      </c>
      <c r="B861" s="1"/>
      <c r="C861">
        <v>0</v>
      </c>
      <c r="D861" s="1"/>
      <c r="E861" s="1" t="s">
        <v>6</v>
      </c>
      <c r="F861">
        <v>4</v>
      </c>
      <c r="G861" s="1" t="str">
        <f>Ocupacao_DW[[#This Row],[data]]&amp;Ocupacao_DW[[#This Row],[profissional_id]]&amp;Ocupacao_DW[[#This Row],[local_id]]</f>
        <v>4463704</v>
      </c>
      <c r="H861" s="1" t="str">
        <f>_xlfn.XLOOKUP(Ocupacao_DW[[#This Row],[Concat]],Vagas!$H:$H,Vagas!$D:$D,"",0)</f>
        <v/>
      </c>
    </row>
    <row r="862" spans="1:8" x14ac:dyDescent="0.25">
      <c r="A862" s="2">
        <v>44636</v>
      </c>
      <c r="B862" s="1" t="s">
        <v>70</v>
      </c>
      <c r="C862">
        <v>12825</v>
      </c>
      <c r="D862" s="1" t="s">
        <v>177</v>
      </c>
      <c r="E862" s="1" t="s">
        <v>4</v>
      </c>
      <c r="F862">
        <v>45</v>
      </c>
      <c r="G862" s="1" t="str">
        <f>Ocupacao_DW[[#This Row],[data]]&amp;Ocupacao_DW[[#This Row],[profissional_id]]&amp;Ocupacao_DW[[#This Row],[local_id]]</f>
        <v>446361282545</v>
      </c>
      <c r="H862" s="1">
        <f>_xlfn.XLOOKUP(Ocupacao_DW[[#This Row],[Concat]],Vagas!$H:$H,Vagas!$D:$D,"",0)</f>
        <v>0</v>
      </c>
    </row>
    <row r="863" spans="1:8" x14ac:dyDescent="0.25">
      <c r="A863" s="2">
        <v>44635</v>
      </c>
      <c r="B863" s="1" t="s">
        <v>49</v>
      </c>
      <c r="C863">
        <v>266</v>
      </c>
      <c r="D863" s="1" t="s">
        <v>201</v>
      </c>
      <c r="E863" s="1" t="s">
        <v>4</v>
      </c>
      <c r="F863">
        <v>42</v>
      </c>
      <c r="G863" s="1" t="str">
        <f>Ocupacao_DW[[#This Row],[data]]&amp;Ocupacao_DW[[#This Row],[profissional_id]]&amp;Ocupacao_DW[[#This Row],[local_id]]</f>
        <v>4463526642</v>
      </c>
      <c r="H863" s="1">
        <f>_xlfn.XLOOKUP(Ocupacao_DW[[#This Row],[Concat]],Vagas!$H:$H,Vagas!$D:$D,"",0)</f>
        <v>0</v>
      </c>
    </row>
    <row r="864" spans="1:8" x14ac:dyDescent="0.25">
      <c r="A864" s="2">
        <v>44639</v>
      </c>
      <c r="B864" s="1" t="s">
        <v>47</v>
      </c>
      <c r="C864">
        <v>111</v>
      </c>
      <c r="D864" s="1" t="s">
        <v>199</v>
      </c>
      <c r="E864" s="1" t="s">
        <v>4</v>
      </c>
      <c r="F864">
        <v>51</v>
      </c>
      <c r="G864" s="1" t="str">
        <f>Ocupacao_DW[[#This Row],[data]]&amp;Ocupacao_DW[[#This Row],[profissional_id]]&amp;Ocupacao_DW[[#This Row],[local_id]]</f>
        <v>4463911151</v>
      </c>
      <c r="H864" s="1">
        <f>_xlfn.XLOOKUP(Ocupacao_DW[[#This Row],[Concat]],Vagas!$H:$H,Vagas!$D:$D,"",0)</f>
        <v>0</v>
      </c>
    </row>
    <row r="865" spans="1:8" x14ac:dyDescent="0.25">
      <c r="A865" s="2">
        <v>44635</v>
      </c>
      <c r="B865" s="1" t="s">
        <v>54</v>
      </c>
      <c r="C865">
        <v>69</v>
      </c>
      <c r="D865" s="1" t="s">
        <v>238</v>
      </c>
      <c r="E865" s="1" t="s">
        <v>5</v>
      </c>
      <c r="F865">
        <v>13</v>
      </c>
      <c r="G865" s="1" t="str">
        <f>Ocupacao_DW[[#This Row],[data]]&amp;Ocupacao_DW[[#This Row],[profissional_id]]&amp;Ocupacao_DW[[#This Row],[local_id]]</f>
        <v>446356913</v>
      </c>
      <c r="H865" s="1">
        <f>_xlfn.XLOOKUP(Ocupacao_DW[[#This Row],[Concat]],Vagas!$H:$H,Vagas!$D:$D,"",0)</f>
        <v>0</v>
      </c>
    </row>
    <row r="866" spans="1:8" x14ac:dyDescent="0.25">
      <c r="A866" s="2">
        <v>44639</v>
      </c>
      <c r="B866" s="1" t="s">
        <v>47</v>
      </c>
      <c r="C866">
        <v>111</v>
      </c>
      <c r="D866" s="1" t="s">
        <v>199</v>
      </c>
      <c r="E866" s="1" t="s">
        <v>4</v>
      </c>
      <c r="F866">
        <v>51</v>
      </c>
      <c r="G866" s="1" t="str">
        <f>Ocupacao_DW[[#This Row],[data]]&amp;Ocupacao_DW[[#This Row],[profissional_id]]&amp;Ocupacao_DW[[#This Row],[local_id]]</f>
        <v>4463911151</v>
      </c>
      <c r="H866" s="1">
        <f>_xlfn.XLOOKUP(Ocupacao_DW[[#This Row],[Concat]],Vagas!$H:$H,Vagas!$D:$D,"",0)</f>
        <v>0</v>
      </c>
    </row>
    <row r="867" spans="1:8" x14ac:dyDescent="0.25">
      <c r="A867" s="2">
        <v>44646</v>
      </c>
      <c r="B867" s="1" t="s">
        <v>60</v>
      </c>
      <c r="C867">
        <v>117</v>
      </c>
      <c r="D867" s="1" t="s">
        <v>180</v>
      </c>
      <c r="E867" s="1" t="s">
        <v>4</v>
      </c>
      <c r="F867">
        <v>48</v>
      </c>
      <c r="G867" s="1" t="str">
        <f>Ocupacao_DW[[#This Row],[data]]&amp;Ocupacao_DW[[#This Row],[profissional_id]]&amp;Ocupacao_DW[[#This Row],[local_id]]</f>
        <v>4464611748</v>
      </c>
      <c r="H867" s="1">
        <f>_xlfn.XLOOKUP(Ocupacao_DW[[#This Row],[Concat]],Vagas!$H:$H,Vagas!$D:$D,"",0)</f>
        <v>0</v>
      </c>
    </row>
    <row r="868" spans="1:8" x14ac:dyDescent="0.25">
      <c r="A868" s="2">
        <v>44635</v>
      </c>
      <c r="B868" s="1" t="s">
        <v>54</v>
      </c>
      <c r="C868">
        <v>69</v>
      </c>
      <c r="D868" s="1" t="s">
        <v>238</v>
      </c>
      <c r="E868" s="1" t="s">
        <v>5</v>
      </c>
      <c r="F868">
        <v>13</v>
      </c>
      <c r="G868" s="1" t="str">
        <f>Ocupacao_DW[[#This Row],[data]]&amp;Ocupacao_DW[[#This Row],[profissional_id]]&amp;Ocupacao_DW[[#This Row],[local_id]]</f>
        <v>446356913</v>
      </c>
      <c r="H868" s="1">
        <f>_xlfn.XLOOKUP(Ocupacao_DW[[#This Row],[Concat]],Vagas!$H:$H,Vagas!$D:$D,"",0)</f>
        <v>0</v>
      </c>
    </row>
    <row r="869" spans="1:8" x14ac:dyDescent="0.25">
      <c r="A869" s="2">
        <v>44641</v>
      </c>
      <c r="B869" s="1" t="s">
        <v>55</v>
      </c>
      <c r="C869">
        <v>12669</v>
      </c>
      <c r="D869" s="1" t="s">
        <v>223</v>
      </c>
      <c r="E869" s="1" t="s">
        <v>6</v>
      </c>
      <c r="F869">
        <v>6</v>
      </c>
      <c r="G869" s="1" t="str">
        <f>Ocupacao_DW[[#This Row],[data]]&amp;Ocupacao_DW[[#This Row],[profissional_id]]&amp;Ocupacao_DW[[#This Row],[local_id]]</f>
        <v>44641126696</v>
      </c>
      <c r="H869" s="1">
        <f>_xlfn.XLOOKUP(Ocupacao_DW[[#This Row],[Concat]],Vagas!$H:$H,Vagas!$D:$D,"",0)</f>
        <v>0</v>
      </c>
    </row>
    <row r="870" spans="1:8" x14ac:dyDescent="0.25">
      <c r="A870" s="2">
        <v>44638</v>
      </c>
      <c r="B870" s="1" t="s">
        <v>52</v>
      </c>
      <c r="C870">
        <v>55</v>
      </c>
      <c r="D870" s="1" t="s">
        <v>244</v>
      </c>
      <c r="E870" s="1" t="s">
        <v>7</v>
      </c>
      <c r="F870">
        <v>68</v>
      </c>
      <c r="G870" s="1" t="str">
        <f>Ocupacao_DW[[#This Row],[data]]&amp;Ocupacao_DW[[#This Row],[profissional_id]]&amp;Ocupacao_DW[[#This Row],[local_id]]</f>
        <v>446385568</v>
      </c>
      <c r="H870" s="1">
        <f>_xlfn.XLOOKUP(Ocupacao_DW[[#This Row],[Concat]],Vagas!$H:$H,Vagas!$D:$D,"",0)</f>
        <v>0</v>
      </c>
    </row>
    <row r="871" spans="1:8" x14ac:dyDescent="0.25">
      <c r="A871" s="2">
        <v>44638</v>
      </c>
      <c r="B871" s="1" t="s">
        <v>24</v>
      </c>
      <c r="C871">
        <v>60</v>
      </c>
      <c r="D871" s="1" t="s">
        <v>217</v>
      </c>
      <c r="E871" s="1" t="s">
        <v>6</v>
      </c>
      <c r="F871">
        <v>1</v>
      </c>
      <c r="G871" s="1" t="str">
        <f>Ocupacao_DW[[#This Row],[data]]&amp;Ocupacao_DW[[#This Row],[profissional_id]]&amp;Ocupacao_DW[[#This Row],[local_id]]</f>
        <v>44638601</v>
      </c>
      <c r="H871" s="1">
        <f>_xlfn.XLOOKUP(Ocupacao_DW[[#This Row],[Concat]],Vagas!$H:$H,Vagas!$D:$D,"",0)</f>
        <v>0</v>
      </c>
    </row>
    <row r="872" spans="1:8" x14ac:dyDescent="0.25">
      <c r="A872" s="2">
        <v>44636</v>
      </c>
      <c r="B872" s="1" t="s">
        <v>56</v>
      </c>
      <c r="C872">
        <v>5927</v>
      </c>
      <c r="D872" s="1" t="s">
        <v>226</v>
      </c>
      <c r="E872" s="1" t="s">
        <v>5</v>
      </c>
      <c r="F872">
        <v>17</v>
      </c>
      <c r="G872" s="1" t="str">
        <f>Ocupacao_DW[[#This Row],[data]]&amp;Ocupacao_DW[[#This Row],[profissional_id]]&amp;Ocupacao_DW[[#This Row],[local_id]]</f>
        <v>44636592717</v>
      </c>
      <c r="H872" s="1">
        <f>_xlfn.XLOOKUP(Ocupacao_DW[[#This Row],[Concat]],Vagas!$H:$H,Vagas!$D:$D,"",0)</f>
        <v>0</v>
      </c>
    </row>
    <row r="873" spans="1:8" x14ac:dyDescent="0.25">
      <c r="A873" s="2">
        <v>44638</v>
      </c>
      <c r="B873" s="1" t="s">
        <v>64</v>
      </c>
      <c r="C873">
        <v>86</v>
      </c>
      <c r="D873" s="1" t="s">
        <v>175</v>
      </c>
      <c r="E873" s="1" t="s">
        <v>5</v>
      </c>
      <c r="F873">
        <v>349</v>
      </c>
      <c r="G873" s="1" t="str">
        <f>Ocupacao_DW[[#This Row],[data]]&amp;Ocupacao_DW[[#This Row],[profissional_id]]&amp;Ocupacao_DW[[#This Row],[local_id]]</f>
        <v>4463886349</v>
      </c>
      <c r="H873" s="1">
        <f>_xlfn.XLOOKUP(Ocupacao_DW[[#This Row],[Concat]],Vagas!$H:$H,Vagas!$D:$D,"",0)</f>
        <v>0</v>
      </c>
    </row>
    <row r="874" spans="1:8" x14ac:dyDescent="0.25">
      <c r="A874" s="2">
        <v>44635</v>
      </c>
      <c r="B874" s="1" t="s">
        <v>54</v>
      </c>
      <c r="C874">
        <v>69</v>
      </c>
      <c r="D874" s="1" t="s">
        <v>238</v>
      </c>
      <c r="E874" s="1" t="s">
        <v>5</v>
      </c>
      <c r="F874">
        <v>13</v>
      </c>
      <c r="G874" s="1" t="str">
        <f>Ocupacao_DW[[#This Row],[data]]&amp;Ocupacao_DW[[#This Row],[profissional_id]]&amp;Ocupacao_DW[[#This Row],[local_id]]</f>
        <v>446356913</v>
      </c>
      <c r="H874" s="1">
        <f>_xlfn.XLOOKUP(Ocupacao_DW[[#This Row],[Concat]],Vagas!$H:$H,Vagas!$D:$D,"",0)</f>
        <v>0</v>
      </c>
    </row>
    <row r="875" spans="1:8" x14ac:dyDescent="0.25">
      <c r="A875" s="2">
        <v>44636</v>
      </c>
      <c r="B875" s="1" t="s">
        <v>52</v>
      </c>
      <c r="C875">
        <v>10691</v>
      </c>
      <c r="D875" s="1" t="s">
        <v>181</v>
      </c>
      <c r="E875" s="1" t="s">
        <v>6</v>
      </c>
      <c r="F875">
        <v>9</v>
      </c>
      <c r="G875" s="1" t="str">
        <f>Ocupacao_DW[[#This Row],[data]]&amp;Ocupacao_DW[[#This Row],[profissional_id]]&amp;Ocupacao_DW[[#This Row],[local_id]]</f>
        <v>44636106919</v>
      </c>
      <c r="H875" s="1">
        <f>_xlfn.XLOOKUP(Ocupacao_DW[[#This Row],[Concat]],Vagas!$H:$H,Vagas!$D:$D,"",0)</f>
        <v>0</v>
      </c>
    </row>
    <row r="876" spans="1:8" x14ac:dyDescent="0.25">
      <c r="A876" s="2">
        <v>44643</v>
      </c>
      <c r="B876" s="1" t="s">
        <v>65</v>
      </c>
      <c r="C876">
        <v>11652</v>
      </c>
      <c r="D876" s="1" t="s">
        <v>242</v>
      </c>
      <c r="E876" s="1" t="s">
        <v>7</v>
      </c>
      <c r="F876">
        <v>69</v>
      </c>
      <c r="G876" s="1" t="str">
        <f>Ocupacao_DW[[#This Row],[data]]&amp;Ocupacao_DW[[#This Row],[profissional_id]]&amp;Ocupacao_DW[[#This Row],[local_id]]</f>
        <v>446431165269</v>
      </c>
      <c r="H876" s="1">
        <f>_xlfn.XLOOKUP(Ocupacao_DW[[#This Row],[Concat]],Vagas!$H:$H,Vagas!$D:$D,"",0)</f>
        <v>0</v>
      </c>
    </row>
    <row r="877" spans="1:8" x14ac:dyDescent="0.25">
      <c r="A877" s="2">
        <v>44638</v>
      </c>
      <c r="B877" s="1" t="s">
        <v>52</v>
      </c>
      <c r="C877">
        <v>60</v>
      </c>
      <c r="D877" s="1" t="s">
        <v>217</v>
      </c>
      <c r="E877" s="1" t="s">
        <v>167</v>
      </c>
      <c r="F877">
        <v>348</v>
      </c>
      <c r="G877" s="1" t="str">
        <f>Ocupacao_DW[[#This Row],[data]]&amp;Ocupacao_DW[[#This Row],[profissional_id]]&amp;Ocupacao_DW[[#This Row],[local_id]]</f>
        <v>4463860348</v>
      </c>
      <c r="H877" s="1">
        <f>_xlfn.XLOOKUP(Ocupacao_DW[[#This Row],[Concat]],Vagas!$H:$H,Vagas!$D:$D,"",0)</f>
        <v>0</v>
      </c>
    </row>
    <row r="878" spans="1:8" x14ac:dyDescent="0.25">
      <c r="A878" s="2">
        <v>44642</v>
      </c>
      <c r="B878" s="1"/>
      <c r="C878">
        <v>13249</v>
      </c>
      <c r="D878" s="1" t="s">
        <v>178</v>
      </c>
      <c r="E878" s="1" t="s">
        <v>4</v>
      </c>
      <c r="F878">
        <v>45</v>
      </c>
      <c r="G878" s="1" t="str">
        <f>Ocupacao_DW[[#This Row],[data]]&amp;Ocupacao_DW[[#This Row],[profissional_id]]&amp;Ocupacao_DW[[#This Row],[local_id]]</f>
        <v>446421324945</v>
      </c>
      <c r="H878" s="1">
        <f>_xlfn.XLOOKUP(Ocupacao_DW[[#This Row],[Concat]],Vagas!$H:$H,Vagas!$D:$D,"",0)</f>
        <v>0</v>
      </c>
    </row>
    <row r="879" spans="1:8" x14ac:dyDescent="0.25">
      <c r="A879" s="2">
        <v>44650</v>
      </c>
      <c r="B879" s="1" t="s">
        <v>55</v>
      </c>
      <c r="C879">
        <v>73</v>
      </c>
      <c r="D879" s="1" t="s">
        <v>171</v>
      </c>
      <c r="E879" s="1" t="s">
        <v>6</v>
      </c>
      <c r="F879">
        <v>5</v>
      </c>
      <c r="G879" s="1" t="str">
        <f>Ocupacao_DW[[#This Row],[data]]&amp;Ocupacao_DW[[#This Row],[profissional_id]]&amp;Ocupacao_DW[[#This Row],[local_id]]</f>
        <v>44650735</v>
      </c>
      <c r="H879" s="1">
        <f>_xlfn.XLOOKUP(Ocupacao_DW[[#This Row],[Concat]],Vagas!$H:$H,Vagas!$D:$D,"",0)</f>
        <v>0</v>
      </c>
    </row>
    <row r="880" spans="1:8" x14ac:dyDescent="0.25">
      <c r="A880" s="2">
        <v>44635</v>
      </c>
      <c r="B880" s="1" t="s">
        <v>49</v>
      </c>
      <c r="C880">
        <v>266</v>
      </c>
      <c r="D880" s="1" t="s">
        <v>201</v>
      </c>
      <c r="E880" s="1" t="s">
        <v>4</v>
      </c>
      <c r="F880">
        <v>42</v>
      </c>
      <c r="G880" s="1" t="str">
        <f>Ocupacao_DW[[#This Row],[data]]&amp;Ocupacao_DW[[#This Row],[profissional_id]]&amp;Ocupacao_DW[[#This Row],[local_id]]</f>
        <v>4463526642</v>
      </c>
      <c r="H880" s="1">
        <f>_xlfn.XLOOKUP(Ocupacao_DW[[#This Row],[Concat]],Vagas!$H:$H,Vagas!$D:$D,"",0)</f>
        <v>0</v>
      </c>
    </row>
    <row r="881" spans="1:8" x14ac:dyDescent="0.25">
      <c r="A881" s="2">
        <v>44635</v>
      </c>
      <c r="B881" s="1" t="s">
        <v>47</v>
      </c>
      <c r="C881">
        <v>110</v>
      </c>
      <c r="D881" s="1" t="s">
        <v>193</v>
      </c>
      <c r="E881" s="1" t="s">
        <v>4</v>
      </c>
      <c r="F881">
        <v>334</v>
      </c>
      <c r="G881" s="1" t="str">
        <f>Ocupacao_DW[[#This Row],[data]]&amp;Ocupacao_DW[[#This Row],[profissional_id]]&amp;Ocupacao_DW[[#This Row],[local_id]]</f>
        <v>44635110334</v>
      </c>
      <c r="H881" s="1">
        <f>_xlfn.XLOOKUP(Ocupacao_DW[[#This Row],[Concat]],Vagas!$H:$H,Vagas!$D:$D,"",0)</f>
        <v>0</v>
      </c>
    </row>
    <row r="882" spans="1:8" x14ac:dyDescent="0.25">
      <c r="A882" s="2">
        <v>44635</v>
      </c>
      <c r="B882" s="1" t="s">
        <v>71</v>
      </c>
      <c r="C882">
        <v>282</v>
      </c>
      <c r="D882" s="1" t="s">
        <v>210</v>
      </c>
      <c r="E882" s="1" t="s">
        <v>4</v>
      </c>
      <c r="F882">
        <v>48</v>
      </c>
      <c r="G882" s="1" t="str">
        <f>Ocupacao_DW[[#This Row],[data]]&amp;Ocupacao_DW[[#This Row],[profissional_id]]&amp;Ocupacao_DW[[#This Row],[local_id]]</f>
        <v>4463528248</v>
      </c>
      <c r="H882" s="1">
        <f>_xlfn.XLOOKUP(Ocupacao_DW[[#This Row],[Concat]],Vagas!$H:$H,Vagas!$D:$D,"",0)</f>
        <v>0</v>
      </c>
    </row>
    <row r="883" spans="1:8" x14ac:dyDescent="0.25">
      <c r="A883" s="2">
        <v>44656</v>
      </c>
      <c r="B883" s="1" t="s">
        <v>65</v>
      </c>
      <c r="C883">
        <v>11652</v>
      </c>
      <c r="D883" s="1" t="s">
        <v>242</v>
      </c>
      <c r="E883" s="1" t="s">
        <v>4</v>
      </c>
      <c r="F883">
        <v>47</v>
      </c>
      <c r="G883" s="1" t="str">
        <f>Ocupacao_DW[[#This Row],[data]]&amp;Ocupacao_DW[[#This Row],[profissional_id]]&amp;Ocupacao_DW[[#This Row],[local_id]]</f>
        <v>446561165247</v>
      </c>
      <c r="H883" s="1">
        <f>_xlfn.XLOOKUP(Ocupacao_DW[[#This Row],[Concat]],Vagas!$H:$H,Vagas!$D:$D,"",0)</f>
        <v>48</v>
      </c>
    </row>
    <row r="884" spans="1:8" x14ac:dyDescent="0.25">
      <c r="A884" s="2">
        <v>44644</v>
      </c>
      <c r="B884" s="1" t="s">
        <v>70</v>
      </c>
      <c r="C884">
        <v>12519</v>
      </c>
      <c r="D884" s="1" t="s">
        <v>176</v>
      </c>
      <c r="E884" s="1" t="s">
        <v>4</v>
      </c>
      <c r="F884">
        <v>42</v>
      </c>
      <c r="G884" s="1" t="str">
        <f>Ocupacao_DW[[#This Row],[data]]&amp;Ocupacao_DW[[#This Row],[profissional_id]]&amp;Ocupacao_DW[[#This Row],[local_id]]</f>
        <v>446441251942</v>
      </c>
      <c r="H884" s="1">
        <f>_xlfn.XLOOKUP(Ocupacao_DW[[#This Row],[Concat]],Vagas!$H:$H,Vagas!$D:$D,"",0)</f>
        <v>0</v>
      </c>
    </row>
    <row r="885" spans="1:8" x14ac:dyDescent="0.25">
      <c r="A885" s="2">
        <v>44635</v>
      </c>
      <c r="B885" s="1" t="s">
        <v>54</v>
      </c>
      <c r="C885">
        <v>10941</v>
      </c>
      <c r="D885" s="1" t="s">
        <v>224</v>
      </c>
      <c r="E885" s="1" t="s">
        <v>5</v>
      </c>
      <c r="F885">
        <v>12</v>
      </c>
      <c r="G885" s="1" t="str">
        <f>Ocupacao_DW[[#This Row],[data]]&amp;Ocupacao_DW[[#This Row],[profissional_id]]&amp;Ocupacao_DW[[#This Row],[local_id]]</f>
        <v>446351094112</v>
      </c>
      <c r="H885" s="1">
        <f>_xlfn.XLOOKUP(Ocupacao_DW[[#This Row],[Concat]],Vagas!$H:$H,Vagas!$D:$D,"",0)</f>
        <v>0</v>
      </c>
    </row>
    <row r="886" spans="1:8" x14ac:dyDescent="0.25">
      <c r="A886" s="2">
        <v>44635</v>
      </c>
      <c r="B886" s="1" t="s">
        <v>54</v>
      </c>
      <c r="C886">
        <v>10941</v>
      </c>
      <c r="D886" s="1" t="s">
        <v>224</v>
      </c>
      <c r="E886" s="1" t="s">
        <v>5</v>
      </c>
      <c r="F886">
        <v>12</v>
      </c>
      <c r="G886" s="1" t="str">
        <f>Ocupacao_DW[[#This Row],[data]]&amp;Ocupacao_DW[[#This Row],[profissional_id]]&amp;Ocupacao_DW[[#This Row],[local_id]]</f>
        <v>446351094112</v>
      </c>
      <c r="H886" s="1">
        <f>_xlfn.XLOOKUP(Ocupacao_DW[[#This Row],[Concat]],Vagas!$H:$H,Vagas!$D:$D,"",0)</f>
        <v>0</v>
      </c>
    </row>
    <row r="887" spans="1:8" x14ac:dyDescent="0.25">
      <c r="A887" s="2">
        <v>44635</v>
      </c>
      <c r="B887" s="1" t="s">
        <v>47</v>
      </c>
      <c r="C887">
        <v>111</v>
      </c>
      <c r="D887" s="1" t="s">
        <v>199</v>
      </c>
      <c r="E887" s="1" t="s">
        <v>4</v>
      </c>
      <c r="F887">
        <v>51</v>
      </c>
      <c r="G887" s="1" t="str">
        <f>Ocupacao_DW[[#This Row],[data]]&amp;Ocupacao_DW[[#This Row],[profissional_id]]&amp;Ocupacao_DW[[#This Row],[local_id]]</f>
        <v>4463511151</v>
      </c>
      <c r="H887" s="1">
        <f>_xlfn.XLOOKUP(Ocupacao_DW[[#This Row],[Concat]],Vagas!$H:$H,Vagas!$D:$D,"",0)</f>
        <v>0</v>
      </c>
    </row>
    <row r="888" spans="1:8" x14ac:dyDescent="0.25">
      <c r="A888" s="2">
        <v>44635</v>
      </c>
      <c r="B888" s="1" t="s">
        <v>49</v>
      </c>
      <c r="C888">
        <v>81</v>
      </c>
      <c r="D888" s="1" t="s">
        <v>170</v>
      </c>
      <c r="E888" s="1" t="s">
        <v>4</v>
      </c>
      <c r="F888">
        <v>41</v>
      </c>
      <c r="G888" s="1" t="str">
        <f>Ocupacao_DW[[#This Row],[data]]&amp;Ocupacao_DW[[#This Row],[profissional_id]]&amp;Ocupacao_DW[[#This Row],[local_id]]</f>
        <v>446358141</v>
      </c>
      <c r="H888" s="1">
        <f>_xlfn.XLOOKUP(Ocupacao_DW[[#This Row],[Concat]],Vagas!$H:$H,Vagas!$D:$D,"",0)</f>
        <v>0</v>
      </c>
    </row>
    <row r="889" spans="1:8" x14ac:dyDescent="0.25">
      <c r="A889" s="2">
        <v>44645</v>
      </c>
      <c r="B889" s="1" t="s">
        <v>55</v>
      </c>
      <c r="C889">
        <v>2984</v>
      </c>
      <c r="D889" s="1" t="s">
        <v>185</v>
      </c>
      <c r="E889" s="1" t="s">
        <v>6</v>
      </c>
      <c r="F889">
        <v>7</v>
      </c>
      <c r="G889" s="1" t="str">
        <f>Ocupacao_DW[[#This Row],[data]]&amp;Ocupacao_DW[[#This Row],[profissional_id]]&amp;Ocupacao_DW[[#This Row],[local_id]]</f>
        <v>4464529847</v>
      </c>
      <c r="H889" s="1">
        <f>_xlfn.XLOOKUP(Ocupacao_DW[[#This Row],[Concat]],Vagas!$H:$H,Vagas!$D:$D,"",0)</f>
        <v>0</v>
      </c>
    </row>
    <row r="890" spans="1:8" x14ac:dyDescent="0.25">
      <c r="A890" s="2">
        <v>44638</v>
      </c>
      <c r="B890" s="1" t="s">
        <v>49</v>
      </c>
      <c r="C890">
        <v>81</v>
      </c>
      <c r="D890" s="1" t="s">
        <v>170</v>
      </c>
      <c r="E890" s="1" t="s">
        <v>4</v>
      </c>
      <c r="F890">
        <v>41</v>
      </c>
      <c r="G890" s="1" t="str">
        <f>Ocupacao_DW[[#This Row],[data]]&amp;Ocupacao_DW[[#This Row],[profissional_id]]&amp;Ocupacao_DW[[#This Row],[local_id]]</f>
        <v>446388141</v>
      </c>
      <c r="H890" s="1">
        <f>_xlfn.XLOOKUP(Ocupacao_DW[[#This Row],[Concat]],Vagas!$H:$H,Vagas!$D:$D,"",0)</f>
        <v>0</v>
      </c>
    </row>
    <row r="891" spans="1:8" x14ac:dyDescent="0.25">
      <c r="A891" s="2">
        <v>44650</v>
      </c>
      <c r="B891" s="1" t="s">
        <v>55</v>
      </c>
      <c r="C891">
        <v>73</v>
      </c>
      <c r="D891" s="1" t="s">
        <v>171</v>
      </c>
      <c r="E891" s="1" t="s">
        <v>6</v>
      </c>
      <c r="F891">
        <v>5</v>
      </c>
      <c r="G891" s="1" t="str">
        <f>Ocupacao_DW[[#This Row],[data]]&amp;Ocupacao_DW[[#This Row],[profissional_id]]&amp;Ocupacao_DW[[#This Row],[local_id]]</f>
        <v>44650735</v>
      </c>
      <c r="H891" s="1">
        <f>_xlfn.XLOOKUP(Ocupacao_DW[[#This Row],[Concat]],Vagas!$H:$H,Vagas!$D:$D,"",0)</f>
        <v>0</v>
      </c>
    </row>
    <row r="892" spans="1:8" x14ac:dyDescent="0.25">
      <c r="A892" s="2">
        <v>44638</v>
      </c>
      <c r="B892" s="1" t="s">
        <v>56</v>
      </c>
      <c r="C892">
        <v>13660</v>
      </c>
      <c r="D892" s="1" t="s">
        <v>250</v>
      </c>
      <c r="E892" s="1" t="s">
        <v>5</v>
      </c>
      <c r="F892">
        <v>15</v>
      </c>
      <c r="G892" s="1" t="str">
        <f>Ocupacao_DW[[#This Row],[data]]&amp;Ocupacao_DW[[#This Row],[profissional_id]]&amp;Ocupacao_DW[[#This Row],[local_id]]</f>
        <v>446381366015</v>
      </c>
      <c r="H892" s="1">
        <f>_xlfn.XLOOKUP(Ocupacao_DW[[#This Row],[Concat]],Vagas!$H:$H,Vagas!$D:$D,"",0)</f>
        <v>0</v>
      </c>
    </row>
    <row r="893" spans="1:8" x14ac:dyDescent="0.25">
      <c r="A893" s="2">
        <v>44635</v>
      </c>
      <c r="B893" s="1" t="s">
        <v>47</v>
      </c>
      <c r="C893">
        <v>110</v>
      </c>
      <c r="D893" s="1" t="s">
        <v>193</v>
      </c>
      <c r="E893" s="1" t="s">
        <v>4</v>
      </c>
      <c r="F893">
        <v>334</v>
      </c>
      <c r="G893" s="1" t="str">
        <f>Ocupacao_DW[[#This Row],[data]]&amp;Ocupacao_DW[[#This Row],[profissional_id]]&amp;Ocupacao_DW[[#This Row],[local_id]]</f>
        <v>44635110334</v>
      </c>
      <c r="H893" s="1">
        <f>_xlfn.XLOOKUP(Ocupacao_DW[[#This Row],[Concat]],Vagas!$H:$H,Vagas!$D:$D,"",0)</f>
        <v>0</v>
      </c>
    </row>
    <row r="894" spans="1:8" x14ac:dyDescent="0.25">
      <c r="A894" s="2">
        <v>44635</v>
      </c>
      <c r="B894" s="1" t="s">
        <v>47</v>
      </c>
      <c r="C894">
        <v>110</v>
      </c>
      <c r="D894" s="1" t="s">
        <v>193</v>
      </c>
      <c r="E894" s="1" t="s">
        <v>4</v>
      </c>
      <c r="F894">
        <v>334</v>
      </c>
      <c r="G894" s="1" t="str">
        <f>Ocupacao_DW[[#This Row],[data]]&amp;Ocupacao_DW[[#This Row],[profissional_id]]&amp;Ocupacao_DW[[#This Row],[local_id]]</f>
        <v>44635110334</v>
      </c>
      <c r="H894" s="1">
        <f>_xlfn.XLOOKUP(Ocupacao_DW[[#This Row],[Concat]],Vagas!$H:$H,Vagas!$D:$D,"",0)</f>
        <v>0</v>
      </c>
    </row>
    <row r="895" spans="1:8" x14ac:dyDescent="0.25">
      <c r="A895" s="2">
        <v>44650</v>
      </c>
      <c r="B895" s="1" t="s">
        <v>55</v>
      </c>
      <c r="C895">
        <v>73</v>
      </c>
      <c r="D895" s="1" t="s">
        <v>171</v>
      </c>
      <c r="E895" s="1" t="s">
        <v>6</v>
      </c>
      <c r="F895">
        <v>5</v>
      </c>
      <c r="G895" s="1" t="str">
        <f>Ocupacao_DW[[#This Row],[data]]&amp;Ocupacao_DW[[#This Row],[profissional_id]]&amp;Ocupacao_DW[[#This Row],[local_id]]</f>
        <v>44650735</v>
      </c>
      <c r="H895" s="1">
        <f>_xlfn.XLOOKUP(Ocupacao_DW[[#This Row],[Concat]],Vagas!$H:$H,Vagas!$D:$D,"",0)</f>
        <v>0</v>
      </c>
    </row>
    <row r="896" spans="1:8" x14ac:dyDescent="0.25">
      <c r="A896" s="2">
        <v>44635</v>
      </c>
      <c r="B896" s="1" t="s">
        <v>54</v>
      </c>
      <c r="C896">
        <v>10941</v>
      </c>
      <c r="D896" s="1" t="s">
        <v>224</v>
      </c>
      <c r="E896" s="1" t="s">
        <v>5</v>
      </c>
      <c r="F896">
        <v>12</v>
      </c>
      <c r="G896" s="1" t="str">
        <f>Ocupacao_DW[[#This Row],[data]]&amp;Ocupacao_DW[[#This Row],[profissional_id]]&amp;Ocupacao_DW[[#This Row],[local_id]]</f>
        <v>446351094112</v>
      </c>
      <c r="H896" s="1">
        <f>_xlfn.XLOOKUP(Ocupacao_DW[[#This Row],[Concat]],Vagas!$H:$H,Vagas!$D:$D,"",0)</f>
        <v>0</v>
      </c>
    </row>
    <row r="897" spans="1:8" x14ac:dyDescent="0.25">
      <c r="A897" s="2">
        <v>44643</v>
      </c>
      <c r="B897" s="1" t="s">
        <v>49</v>
      </c>
      <c r="C897">
        <v>6430</v>
      </c>
      <c r="D897" s="1" t="s">
        <v>188</v>
      </c>
      <c r="E897" s="1" t="s">
        <v>4</v>
      </c>
      <c r="F897">
        <v>42</v>
      </c>
      <c r="G897" s="1" t="str">
        <f>Ocupacao_DW[[#This Row],[data]]&amp;Ocupacao_DW[[#This Row],[profissional_id]]&amp;Ocupacao_DW[[#This Row],[local_id]]</f>
        <v>44643643042</v>
      </c>
      <c r="H897" s="1">
        <f>_xlfn.XLOOKUP(Ocupacao_DW[[#This Row],[Concat]],Vagas!$H:$H,Vagas!$D:$D,"",0)</f>
        <v>0</v>
      </c>
    </row>
    <row r="898" spans="1:8" x14ac:dyDescent="0.25">
      <c r="A898" s="2">
        <v>44637</v>
      </c>
      <c r="B898" s="1" t="s">
        <v>49</v>
      </c>
      <c r="C898">
        <v>3092</v>
      </c>
      <c r="D898" s="1" t="s">
        <v>262</v>
      </c>
      <c r="E898" s="1" t="s">
        <v>4</v>
      </c>
      <c r="F898">
        <v>43</v>
      </c>
      <c r="G898" s="1" t="str">
        <f>Ocupacao_DW[[#This Row],[data]]&amp;Ocupacao_DW[[#This Row],[profissional_id]]&amp;Ocupacao_DW[[#This Row],[local_id]]</f>
        <v>44637309243</v>
      </c>
      <c r="H898" s="1">
        <f>_xlfn.XLOOKUP(Ocupacao_DW[[#This Row],[Concat]],Vagas!$H:$H,Vagas!$D:$D,"",0)</f>
        <v>0</v>
      </c>
    </row>
    <row r="899" spans="1:8" x14ac:dyDescent="0.25">
      <c r="A899" s="2">
        <v>44643</v>
      </c>
      <c r="B899" s="1" t="s">
        <v>58</v>
      </c>
      <c r="C899">
        <v>5767</v>
      </c>
      <c r="D899" s="1" t="s">
        <v>239</v>
      </c>
      <c r="E899" s="1" t="s">
        <v>4</v>
      </c>
      <c r="F899">
        <v>44</v>
      </c>
      <c r="G899" s="1" t="str">
        <f>Ocupacao_DW[[#This Row],[data]]&amp;Ocupacao_DW[[#This Row],[profissional_id]]&amp;Ocupacao_DW[[#This Row],[local_id]]</f>
        <v>44643576744</v>
      </c>
      <c r="H899" s="1">
        <f>_xlfn.XLOOKUP(Ocupacao_DW[[#This Row],[Concat]],Vagas!$H:$H,Vagas!$D:$D,"",0)</f>
        <v>0</v>
      </c>
    </row>
    <row r="900" spans="1:8" x14ac:dyDescent="0.25">
      <c r="A900" s="2">
        <v>44635</v>
      </c>
      <c r="B900" s="1" t="s">
        <v>62</v>
      </c>
      <c r="C900">
        <v>3502</v>
      </c>
      <c r="D900" s="1" t="s">
        <v>214</v>
      </c>
      <c r="E900" s="1" t="s">
        <v>5</v>
      </c>
      <c r="F900">
        <v>16</v>
      </c>
      <c r="G900" s="1" t="str">
        <f>Ocupacao_DW[[#This Row],[data]]&amp;Ocupacao_DW[[#This Row],[profissional_id]]&amp;Ocupacao_DW[[#This Row],[local_id]]</f>
        <v>44635350216</v>
      </c>
      <c r="H900" s="1">
        <f>_xlfn.XLOOKUP(Ocupacao_DW[[#This Row],[Concat]],Vagas!$H:$H,Vagas!$D:$D,"",0)</f>
        <v>0</v>
      </c>
    </row>
    <row r="901" spans="1:8" x14ac:dyDescent="0.25">
      <c r="A901" s="2">
        <v>44637</v>
      </c>
      <c r="B901" s="1" t="s">
        <v>62</v>
      </c>
      <c r="C901">
        <v>3502</v>
      </c>
      <c r="D901" s="1" t="s">
        <v>214</v>
      </c>
      <c r="E901" s="1" t="s">
        <v>5</v>
      </c>
      <c r="F901">
        <v>16</v>
      </c>
      <c r="G901" s="1" t="str">
        <f>Ocupacao_DW[[#This Row],[data]]&amp;Ocupacao_DW[[#This Row],[profissional_id]]&amp;Ocupacao_DW[[#This Row],[local_id]]</f>
        <v>44637350216</v>
      </c>
      <c r="H901" s="1">
        <f>_xlfn.XLOOKUP(Ocupacao_DW[[#This Row],[Concat]],Vagas!$H:$H,Vagas!$D:$D,"",0)</f>
        <v>0</v>
      </c>
    </row>
    <row r="902" spans="1:8" x14ac:dyDescent="0.25">
      <c r="A902" s="2">
        <v>44635</v>
      </c>
      <c r="B902" s="1" t="s">
        <v>49</v>
      </c>
      <c r="C902">
        <v>81</v>
      </c>
      <c r="D902" s="1" t="s">
        <v>170</v>
      </c>
      <c r="E902" s="1" t="s">
        <v>7</v>
      </c>
      <c r="F902">
        <v>71</v>
      </c>
      <c r="G902" s="1" t="str">
        <f>Ocupacao_DW[[#This Row],[data]]&amp;Ocupacao_DW[[#This Row],[profissional_id]]&amp;Ocupacao_DW[[#This Row],[local_id]]</f>
        <v>446358171</v>
      </c>
      <c r="H902" s="1">
        <f>_xlfn.XLOOKUP(Ocupacao_DW[[#This Row],[Concat]],Vagas!$H:$H,Vagas!$D:$D,"",0)</f>
        <v>0</v>
      </c>
    </row>
    <row r="903" spans="1:8" x14ac:dyDescent="0.25">
      <c r="A903" s="2">
        <v>44635</v>
      </c>
      <c r="B903" s="1" t="s">
        <v>49</v>
      </c>
      <c r="C903">
        <v>266</v>
      </c>
      <c r="D903" s="1" t="s">
        <v>201</v>
      </c>
      <c r="E903" s="1" t="s">
        <v>4</v>
      </c>
      <c r="F903">
        <v>42</v>
      </c>
      <c r="G903" s="1" t="str">
        <f>Ocupacao_DW[[#This Row],[data]]&amp;Ocupacao_DW[[#This Row],[profissional_id]]&amp;Ocupacao_DW[[#This Row],[local_id]]</f>
        <v>4463526642</v>
      </c>
      <c r="H903" s="1">
        <f>_xlfn.XLOOKUP(Ocupacao_DW[[#This Row],[Concat]],Vagas!$H:$H,Vagas!$D:$D,"",0)</f>
        <v>0</v>
      </c>
    </row>
    <row r="904" spans="1:8" x14ac:dyDescent="0.25">
      <c r="A904" s="2">
        <v>44636</v>
      </c>
      <c r="B904" s="1" t="s">
        <v>57</v>
      </c>
      <c r="C904">
        <v>80</v>
      </c>
      <c r="D904" s="1" t="s">
        <v>179</v>
      </c>
      <c r="E904" s="1" t="s">
        <v>167</v>
      </c>
      <c r="F904">
        <v>346</v>
      </c>
      <c r="G904" s="1" t="str">
        <f>Ocupacao_DW[[#This Row],[data]]&amp;Ocupacao_DW[[#This Row],[profissional_id]]&amp;Ocupacao_DW[[#This Row],[local_id]]</f>
        <v>4463680346</v>
      </c>
      <c r="H904" s="1">
        <f>_xlfn.XLOOKUP(Ocupacao_DW[[#This Row],[Concat]],Vagas!$H:$H,Vagas!$D:$D,"",0)</f>
        <v>0</v>
      </c>
    </row>
    <row r="905" spans="1:8" x14ac:dyDescent="0.25">
      <c r="A905" s="2">
        <v>44642</v>
      </c>
      <c r="B905" s="1" t="s">
        <v>64</v>
      </c>
      <c r="C905">
        <v>85</v>
      </c>
      <c r="D905" s="1" t="s">
        <v>211</v>
      </c>
      <c r="E905" s="1" t="s">
        <v>5</v>
      </c>
      <c r="F905">
        <v>349</v>
      </c>
      <c r="G905" s="1" t="str">
        <f>Ocupacao_DW[[#This Row],[data]]&amp;Ocupacao_DW[[#This Row],[profissional_id]]&amp;Ocupacao_DW[[#This Row],[local_id]]</f>
        <v>4464285349</v>
      </c>
      <c r="H905" s="1">
        <f>_xlfn.XLOOKUP(Ocupacao_DW[[#This Row],[Concat]],Vagas!$H:$H,Vagas!$D:$D,"",0)</f>
        <v>0</v>
      </c>
    </row>
    <row r="906" spans="1:8" x14ac:dyDescent="0.25">
      <c r="A906" s="2">
        <v>44635</v>
      </c>
      <c r="B906" s="1" t="s">
        <v>47</v>
      </c>
      <c r="C906">
        <v>9111</v>
      </c>
      <c r="D906" s="1" t="s">
        <v>206</v>
      </c>
      <c r="E906" s="1" t="s">
        <v>4</v>
      </c>
      <c r="F906">
        <v>335</v>
      </c>
      <c r="G906" s="1" t="str">
        <f>Ocupacao_DW[[#This Row],[data]]&amp;Ocupacao_DW[[#This Row],[profissional_id]]&amp;Ocupacao_DW[[#This Row],[local_id]]</f>
        <v>446359111335</v>
      </c>
      <c r="H906" s="1">
        <f>_xlfn.XLOOKUP(Ocupacao_DW[[#This Row],[Concat]],Vagas!$H:$H,Vagas!$D:$D,"",0)</f>
        <v>0</v>
      </c>
    </row>
    <row r="907" spans="1:8" x14ac:dyDescent="0.25">
      <c r="A907" s="2">
        <v>44635</v>
      </c>
      <c r="B907" s="1" t="s">
        <v>65</v>
      </c>
      <c r="C907">
        <v>11652</v>
      </c>
      <c r="D907" s="1" t="s">
        <v>242</v>
      </c>
      <c r="E907" s="1" t="s">
        <v>4</v>
      </c>
      <c r="F907">
        <v>47</v>
      </c>
      <c r="G907" s="1" t="str">
        <f>Ocupacao_DW[[#This Row],[data]]&amp;Ocupacao_DW[[#This Row],[profissional_id]]&amp;Ocupacao_DW[[#This Row],[local_id]]</f>
        <v>446351165247</v>
      </c>
      <c r="H907" s="1">
        <f>_xlfn.XLOOKUP(Ocupacao_DW[[#This Row],[Concat]],Vagas!$H:$H,Vagas!$D:$D,"",0)</f>
        <v>0</v>
      </c>
    </row>
    <row r="908" spans="1:8" x14ac:dyDescent="0.25">
      <c r="A908" s="2">
        <v>44637</v>
      </c>
      <c r="B908" s="1" t="s">
        <v>57</v>
      </c>
      <c r="C908">
        <v>80</v>
      </c>
      <c r="D908" s="1" t="s">
        <v>179</v>
      </c>
      <c r="E908" s="1" t="s">
        <v>167</v>
      </c>
      <c r="F908">
        <v>348</v>
      </c>
      <c r="G908" s="1" t="str">
        <f>Ocupacao_DW[[#This Row],[data]]&amp;Ocupacao_DW[[#This Row],[profissional_id]]&amp;Ocupacao_DW[[#This Row],[local_id]]</f>
        <v>4463780348</v>
      </c>
      <c r="H908" s="1">
        <f>_xlfn.XLOOKUP(Ocupacao_DW[[#This Row],[Concat]],Vagas!$H:$H,Vagas!$D:$D,"",0)</f>
        <v>0</v>
      </c>
    </row>
    <row r="909" spans="1:8" x14ac:dyDescent="0.25">
      <c r="A909" s="2">
        <v>44636</v>
      </c>
      <c r="B909" s="1" t="s">
        <v>70</v>
      </c>
      <c r="C909">
        <v>12825</v>
      </c>
      <c r="D909" s="1" t="s">
        <v>177</v>
      </c>
      <c r="E909" s="1" t="s">
        <v>4</v>
      </c>
      <c r="F909">
        <v>45</v>
      </c>
      <c r="G909" s="1" t="str">
        <f>Ocupacao_DW[[#This Row],[data]]&amp;Ocupacao_DW[[#This Row],[profissional_id]]&amp;Ocupacao_DW[[#This Row],[local_id]]</f>
        <v>446361282545</v>
      </c>
      <c r="H909" s="1">
        <f>_xlfn.XLOOKUP(Ocupacao_DW[[#This Row],[Concat]],Vagas!$H:$H,Vagas!$D:$D,"",0)</f>
        <v>0</v>
      </c>
    </row>
    <row r="910" spans="1:8" x14ac:dyDescent="0.25">
      <c r="A910" s="2">
        <v>44635</v>
      </c>
      <c r="B910" s="1" t="s">
        <v>47</v>
      </c>
      <c r="C910">
        <v>111</v>
      </c>
      <c r="D910" s="1" t="s">
        <v>199</v>
      </c>
      <c r="E910" s="1" t="s">
        <v>4</v>
      </c>
      <c r="F910">
        <v>51</v>
      </c>
      <c r="G910" s="1" t="str">
        <f>Ocupacao_DW[[#This Row],[data]]&amp;Ocupacao_DW[[#This Row],[profissional_id]]&amp;Ocupacao_DW[[#This Row],[local_id]]</f>
        <v>4463511151</v>
      </c>
      <c r="H910" s="1">
        <f>_xlfn.XLOOKUP(Ocupacao_DW[[#This Row],[Concat]],Vagas!$H:$H,Vagas!$D:$D,"",0)</f>
        <v>0</v>
      </c>
    </row>
    <row r="911" spans="1:8" x14ac:dyDescent="0.25">
      <c r="A911" s="2">
        <v>44641</v>
      </c>
      <c r="B911" s="1" t="s">
        <v>55</v>
      </c>
      <c r="C911">
        <v>60</v>
      </c>
      <c r="D911" s="1" t="s">
        <v>217</v>
      </c>
      <c r="E911" s="1" t="s">
        <v>167</v>
      </c>
      <c r="F911">
        <v>345</v>
      </c>
      <c r="G911" s="1" t="str">
        <f>Ocupacao_DW[[#This Row],[data]]&amp;Ocupacao_DW[[#This Row],[profissional_id]]&amp;Ocupacao_DW[[#This Row],[local_id]]</f>
        <v>4464160345</v>
      </c>
      <c r="H911" s="1">
        <f>_xlfn.XLOOKUP(Ocupacao_DW[[#This Row],[Concat]],Vagas!$H:$H,Vagas!$D:$D,"",0)</f>
        <v>0</v>
      </c>
    </row>
    <row r="912" spans="1:8" x14ac:dyDescent="0.25">
      <c r="A912" s="2">
        <v>44635</v>
      </c>
      <c r="B912" s="1" t="s">
        <v>54</v>
      </c>
      <c r="C912">
        <v>12623</v>
      </c>
      <c r="D912" s="1" t="s">
        <v>258</v>
      </c>
      <c r="E912" s="1" t="s">
        <v>5</v>
      </c>
      <c r="F912">
        <v>11</v>
      </c>
      <c r="G912" s="1" t="str">
        <f>Ocupacao_DW[[#This Row],[data]]&amp;Ocupacao_DW[[#This Row],[profissional_id]]&amp;Ocupacao_DW[[#This Row],[local_id]]</f>
        <v>446351262311</v>
      </c>
      <c r="H912" s="1">
        <f>_xlfn.XLOOKUP(Ocupacao_DW[[#This Row],[Concat]],Vagas!$H:$H,Vagas!$D:$D,"",0)</f>
        <v>0</v>
      </c>
    </row>
    <row r="913" spans="1:8" x14ac:dyDescent="0.25">
      <c r="A913" s="2">
        <v>44650</v>
      </c>
      <c r="B913" s="1" t="s">
        <v>43</v>
      </c>
      <c r="C913">
        <v>2396</v>
      </c>
      <c r="D913" s="1" t="s">
        <v>197</v>
      </c>
      <c r="E913" s="1" t="s">
        <v>6</v>
      </c>
      <c r="F913">
        <v>2</v>
      </c>
      <c r="G913" s="1" t="str">
        <f>Ocupacao_DW[[#This Row],[data]]&amp;Ocupacao_DW[[#This Row],[profissional_id]]&amp;Ocupacao_DW[[#This Row],[local_id]]</f>
        <v>4465023962</v>
      </c>
      <c r="H913" s="1">
        <f>_xlfn.XLOOKUP(Ocupacao_DW[[#This Row],[Concat]],Vagas!$H:$H,Vagas!$D:$D,"",0)</f>
        <v>0</v>
      </c>
    </row>
    <row r="914" spans="1:8" x14ac:dyDescent="0.25">
      <c r="A914" s="2">
        <v>44635</v>
      </c>
      <c r="B914" s="1"/>
      <c r="C914">
        <v>17888</v>
      </c>
      <c r="D914" s="1" t="s">
        <v>255</v>
      </c>
      <c r="E914" s="1" t="s">
        <v>4</v>
      </c>
      <c r="F914">
        <v>40</v>
      </c>
      <c r="G914" s="1" t="str">
        <f>Ocupacao_DW[[#This Row],[data]]&amp;Ocupacao_DW[[#This Row],[profissional_id]]&amp;Ocupacao_DW[[#This Row],[local_id]]</f>
        <v>446351788840</v>
      </c>
      <c r="H914" s="1">
        <f>_xlfn.XLOOKUP(Ocupacao_DW[[#This Row],[Concat]],Vagas!$H:$H,Vagas!$D:$D,"",0)</f>
        <v>11</v>
      </c>
    </row>
    <row r="915" spans="1:8" x14ac:dyDescent="0.25">
      <c r="A915" s="2">
        <v>44649</v>
      </c>
      <c r="B915" s="1" t="s">
        <v>65</v>
      </c>
      <c r="C915">
        <v>11652</v>
      </c>
      <c r="D915" s="1" t="s">
        <v>242</v>
      </c>
      <c r="E915" s="1" t="s">
        <v>4</v>
      </c>
      <c r="F915">
        <v>47</v>
      </c>
      <c r="G915" s="1" t="str">
        <f>Ocupacao_DW[[#This Row],[data]]&amp;Ocupacao_DW[[#This Row],[profissional_id]]&amp;Ocupacao_DW[[#This Row],[local_id]]</f>
        <v>446491165247</v>
      </c>
      <c r="H915" s="1">
        <f>_xlfn.XLOOKUP(Ocupacao_DW[[#This Row],[Concat]],Vagas!$H:$H,Vagas!$D:$D,"",0)</f>
        <v>46</v>
      </c>
    </row>
    <row r="916" spans="1:8" x14ac:dyDescent="0.25">
      <c r="A916" s="2">
        <v>44642</v>
      </c>
      <c r="B916" s="1" t="s">
        <v>54</v>
      </c>
      <c r="C916">
        <v>10941</v>
      </c>
      <c r="D916" s="1" t="s">
        <v>224</v>
      </c>
      <c r="E916" s="1" t="s">
        <v>5</v>
      </c>
      <c r="F916">
        <v>13</v>
      </c>
      <c r="G916" s="1" t="str">
        <f>Ocupacao_DW[[#This Row],[data]]&amp;Ocupacao_DW[[#This Row],[profissional_id]]&amp;Ocupacao_DW[[#This Row],[local_id]]</f>
        <v>446421094113</v>
      </c>
      <c r="H916" s="1">
        <f>_xlfn.XLOOKUP(Ocupacao_DW[[#This Row],[Concat]],Vagas!$H:$H,Vagas!$D:$D,"",0)</f>
        <v>0</v>
      </c>
    </row>
    <row r="917" spans="1:8" x14ac:dyDescent="0.25">
      <c r="A917" s="2">
        <v>44635</v>
      </c>
      <c r="B917" s="1" t="s">
        <v>65</v>
      </c>
      <c r="C917">
        <v>11237</v>
      </c>
      <c r="D917" s="1" t="s">
        <v>229</v>
      </c>
      <c r="E917" s="1" t="s">
        <v>4</v>
      </c>
      <c r="F917">
        <v>46</v>
      </c>
      <c r="G917" s="1" t="str">
        <f>Ocupacao_DW[[#This Row],[data]]&amp;Ocupacao_DW[[#This Row],[profissional_id]]&amp;Ocupacao_DW[[#This Row],[local_id]]</f>
        <v>446351123746</v>
      </c>
      <c r="H917" s="1">
        <f>_xlfn.XLOOKUP(Ocupacao_DW[[#This Row],[Concat]],Vagas!$H:$H,Vagas!$D:$D,"",0)</f>
        <v>0</v>
      </c>
    </row>
    <row r="918" spans="1:8" x14ac:dyDescent="0.25">
      <c r="A918" s="2">
        <v>44638</v>
      </c>
      <c r="B918" s="1" t="s">
        <v>47</v>
      </c>
      <c r="C918">
        <v>9111</v>
      </c>
      <c r="D918" s="1" t="s">
        <v>206</v>
      </c>
      <c r="E918" s="1" t="s">
        <v>4</v>
      </c>
      <c r="F918">
        <v>51</v>
      </c>
      <c r="G918" s="1" t="str">
        <f>Ocupacao_DW[[#This Row],[data]]&amp;Ocupacao_DW[[#This Row],[profissional_id]]&amp;Ocupacao_DW[[#This Row],[local_id]]</f>
        <v>44638911151</v>
      </c>
      <c r="H918" s="1">
        <f>_xlfn.XLOOKUP(Ocupacao_DW[[#This Row],[Concat]],Vagas!$H:$H,Vagas!$D:$D,"",0)</f>
        <v>0</v>
      </c>
    </row>
    <row r="919" spans="1:8" x14ac:dyDescent="0.25">
      <c r="A919" s="2">
        <v>44635</v>
      </c>
      <c r="B919" s="1" t="s">
        <v>55</v>
      </c>
      <c r="C919">
        <v>60</v>
      </c>
      <c r="D919" s="1" t="s">
        <v>217</v>
      </c>
      <c r="E919" s="1" t="s">
        <v>167</v>
      </c>
      <c r="F919">
        <v>345</v>
      </c>
      <c r="G919" s="1" t="str">
        <f>Ocupacao_DW[[#This Row],[data]]&amp;Ocupacao_DW[[#This Row],[profissional_id]]&amp;Ocupacao_DW[[#This Row],[local_id]]</f>
        <v>4463560345</v>
      </c>
      <c r="H919" s="1">
        <f>_xlfn.XLOOKUP(Ocupacao_DW[[#This Row],[Concat]],Vagas!$H:$H,Vagas!$D:$D,"",0)</f>
        <v>0</v>
      </c>
    </row>
    <row r="920" spans="1:8" x14ac:dyDescent="0.25">
      <c r="A920" s="2">
        <v>44645</v>
      </c>
      <c r="B920" s="1" t="s">
        <v>55</v>
      </c>
      <c r="C920">
        <v>2984</v>
      </c>
      <c r="D920" s="1" t="s">
        <v>185</v>
      </c>
      <c r="E920" s="1" t="s">
        <v>6</v>
      </c>
      <c r="F920">
        <v>7</v>
      </c>
      <c r="G920" s="1" t="str">
        <f>Ocupacao_DW[[#This Row],[data]]&amp;Ocupacao_DW[[#This Row],[profissional_id]]&amp;Ocupacao_DW[[#This Row],[local_id]]</f>
        <v>4464529847</v>
      </c>
      <c r="H920" s="1">
        <f>_xlfn.XLOOKUP(Ocupacao_DW[[#This Row],[Concat]],Vagas!$H:$H,Vagas!$D:$D,"",0)</f>
        <v>0</v>
      </c>
    </row>
    <row r="921" spans="1:8" x14ac:dyDescent="0.25">
      <c r="A921" s="2">
        <v>44652</v>
      </c>
      <c r="B921" s="1" t="s">
        <v>24</v>
      </c>
      <c r="C921">
        <v>60</v>
      </c>
      <c r="D921" s="1" t="s">
        <v>217</v>
      </c>
      <c r="E921" s="1" t="s">
        <v>6</v>
      </c>
      <c r="F921">
        <v>1</v>
      </c>
      <c r="G921" s="1" t="str">
        <f>Ocupacao_DW[[#This Row],[data]]&amp;Ocupacao_DW[[#This Row],[profissional_id]]&amp;Ocupacao_DW[[#This Row],[local_id]]</f>
        <v>44652601</v>
      </c>
      <c r="H921" s="1">
        <f>_xlfn.XLOOKUP(Ocupacao_DW[[#This Row],[Concat]],Vagas!$H:$H,Vagas!$D:$D,"",0)</f>
        <v>0</v>
      </c>
    </row>
    <row r="922" spans="1:8" x14ac:dyDescent="0.25">
      <c r="A922" s="2">
        <v>44635</v>
      </c>
      <c r="B922" s="1" t="s">
        <v>54</v>
      </c>
      <c r="C922">
        <v>10941</v>
      </c>
      <c r="D922" s="1" t="s">
        <v>224</v>
      </c>
      <c r="E922" s="1" t="s">
        <v>5</v>
      </c>
      <c r="F922">
        <v>12</v>
      </c>
      <c r="G922" s="1" t="str">
        <f>Ocupacao_DW[[#This Row],[data]]&amp;Ocupacao_DW[[#This Row],[profissional_id]]&amp;Ocupacao_DW[[#This Row],[local_id]]</f>
        <v>446351094112</v>
      </c>
      <c r="H922" s="1">
        <f>_xlfn.XLOOKUP(Ocupacao_DW[[#This Row],[Concat]],Vagas!$H:$H,Vagas!$D:$D,"",0)</f>
        <v>0</v>
      </c>
    </row>
    <row r="923" spans="1:8" x14ac:dyDescent="0.25">
      <c r="A923" s="2">
        <v>44643</v>
      </c>
      <c r="B923" s="1" t="s">
        <v>52</v>
      </c>
      <c r="C923">
        <v>57</v>
      </c>
      <c r="D923" s="1" t="s">
        <v>169</v>
      </c>
      <c r="E923" s="1" t="s">
        <v>6</v>
      </c>
      <c r="F923">
        <v>4</v>
      </c>
      <c r="G923" s="1" t="str">
        <f>Ocupacao_DW[[#This Row],[data]]&amp;Ocupacao_DW[[#This Row],[profissional_id]]&amp;Ocupacao_DW[[#This Row],[local_id]]</f>
        <v>44643574</v>
      </c>
      <c r="H923" s="1">
        <f>_xlfn.XLOOKUP(Ocupacao_DW[[#This Row],[Concat]],Vagas!$H:$H,Vagas!$D:$D,"",0)</f>
        <v>0</v>
      </c>
    </row>
    <row r="924" spans="1:8" x14ac:dyDescent="0.25">
      <c r="A924" s="2">
        <v>44638</v>
      </c>
      <c r="B924" s="1" t="s">
        <v>43</v>
      </c>
      <c r="C924">
        <v>17864</v>
      </c>
      <c r="D924" s="1" t="s">
        <v>234</v>
      </c>
      <c r="E924" s="1" t="s">
        <v>7</v>
      </c>
      <c r="F924">
        <v>60</v>
      </c>
      <c r="G924" s="1" t="str">
        <f>Ocupacao_DW[[#This Row],[data]]&amp;Ocupacao_DW[[#This Row],[profissional_id]]&amp;Ocupacao_DW[[#This Row],[local_id]]</f>
        <v>446381786460</v>
      </c>
      <c r="H924" s="1">
        <f>_xlfn.XLOOKUP(Ocupacao_DW[[#This Row],[Concat]],Vagas!$H:$H,Vagas!$D:$D,"",0)</f>
        <v>0</v>
      </c>
    </row>
    <row r="925" spans="1:8" x14ac:dyDescent="0.25">
      <c r="A925" s="2">
        <v>44635</v>
      </c>
      <c r="B925" s="1" t="s">
        <v>66</v>
      </c>
      <c r="C925">
        <v>1343</v>
      </c>
      <c r="D925" s="1" t="s">
        <v>263</v>
      </c>
      <c r="E925" s="1" t="s">
        <v>200</v>
      </c>
      <c r="F925">
        <v>80</v>
      </c>
      <c r="G925" s="1" t="str">
        <f>Ocupacao_DW[[#This Row],[data]]&amp;Ocupacao_DW[[#This Row],[profissional_id]]&amp;Ocupacao_DW[[#This Row],[local_id]]</f>
        <v>44635134380</v>
      </c>
      <c r="H925" s="1">
        <f>_xlfn.XLOOKUP(Ocupacao_DW[[#This Row],[Concat]],Vagas!$H:$H,Vagas!$D:$D,"",0)</f>
        <v>0</v>
      </c>
    </row>
    <row r="926" spans="1:8" x14ac:dyDescent="0.25">
      <c r="A926" s="2">
        <v>44642</v>
      </c>
      <c r="B926" s="1" t="s">
        <v>54</v>
      </c>
      <c r="C926">
        <v>12623</v>
      </c>
      <c r="D926" s="1" t="s">
        <v>258</v>
      </c>
      <c r="E926" s="1" t="s">
        <v>5</v>
      </c>
      <c r="F926">
        <v>11</v>
      </c>
      <c r="G926" s="1" t="str">
        <f>Ocupacao_DW[[#This Row],[data]]&amp;Ocupacao_DW[[#This Row],[profissional_id]]&amp;Ocupacao_DW[[#This Row],[local_id]]</f>
        <v>446421262311</v>
      </c>
      <c r="H926" s="1">
        <f>_xlfn.XLOOKUP(Ocupacao_DW[[#This Row],[Concat]],Vagas!$H:$H,Vagas!$D:$D,"",0)</f>
        <v>0</v>
      </c>
    </row>
    <row r="927" spans="1:8" x14ac:dyDescent="0.25">
      <c r="A927" s="2">
        <v>44638</v>
      </c>
      <c r="B927" s="1" t="s">
        <v>49</v>
      </c>
      <c r="C927">
        <v>12142</v>
      </c>
      <c r="D927" s="1" t="s">
        <v>219</v>
      </c>
      <c r="E927" s="1" t="s">
        <v>4</v>
      </c>
      <c r="F927">
        <v>44</v>
      </c>
      <c r="G927" s="1" t="str">
        <f>Ocupacao_DW[[#This Row],[data]]&amp;Ocupacao_DW[[#This Row],[profissional_id]]&amp;Ocupacao_DW[[#This Row],[local_id]]</f>
        <v>446381214244</v>
      </c>
      <c r="H927" s="1">
        <f>_xlfn.XLOOKUP(Ocupacao_DW[[#This Row],[Concat]],Vagas!$H:$H,Vagas!$D:$D,"",0)</f>
        <v>0</v>
      </c>
    </row>
    <row r="928" spans="1:8" x14ac:dyDescent="0.25">
      <c r="A928" s="2">
        <v>44648</v>
      </c>
      <c r="B928" s="1" t="s">
        <v>55</v>
      </c>
      <c r="C928">
        <v>6392</v>
      </c>
      <c r="D928" s="1" t="s">
        <v>173</v>
      </c>
      <c r="E928" s="1" t="s">
        <v>6</v>
      </c>
      <c r="F928">
        <v>5</v>
      </c>
      <c r="G928" s="1" t="str">
        <f>Ocupacao_DW[[#This Row],[data]]&amp;Ocupacao_DW[[#This Row],[profissional_id]]&amp;Ocupacao_DW[[#This Row],[local_id]]</f>
        <v>4464863925</v>
      </c>
      <c r="H928" s="1">
        <f>_xlfn.XLOOKUP(Ocupacao_DW[[#This Row],[Concat]],Vagas!$H:$H,Vagas!$D:$D,"",0)</f>
        <v>0</v>
      </c>
    </row>
    <row r="929" spans="1:8" x14ac:dyDescent="0.25">
      <c r="A929" s="2">
        <v>44650</v>
      </c>
      <c r="B929" s="1" t="s">
        <v>55</v>
      </c>
      <c r="C929">
        <v>74</v>
      </c>
      <c r="D929" s="1" t="s">
        <v>182</v>
      </c>
      <c r="E929" s="1" t="s">
        <v>6</v>
      </c>
      <c r="F929">
        <v>7</v>
      </c>
      <c r="G929" s="1" t="str">
        <f>Ocupacao_DW[[#This Row],[data]]&amp;Ocupacao_DW[[#This Row],[profissional_id]]&amp;Ocupacao_DW[[#This Row],[local_id]]</f>
        <v>44650747</v>
      </c>
      <c r="H929" s="1">
        <f>_xlfn.XLOOKUP(Ocupacao_DW[[#This Row],[Concat]],Vagas!$H:$H,Vagas!$D:$D,"",0)</f>
        <v>0</v>
      </c>
    </row>
    <row r="930" spans="1:8" x14ac:dyDescent="0.25">
      <c r="A930" s="2">
        <v>44636</v>
      </c>
      <c r="B930" s="1" t="s">
        <v>56</v>
      </c>
      <c r="C930">
        <v>5927</v>
      </c>
      <c r="D930" s="1" t="s">
        <v>226</v>
      </c>
      <c r="E930" s="1" t="s">
        <v>5</v>
      </c>
      <c r="F930">
        <v>17</v>
      </c>
      <c r="G930" s="1" t="str">
        <f>Ocupacao_DW[[#This Row],[data]]&amp;Ocupacao_DW[[#This Row],[profissional_id]]&amp;Ocupacao_DW[[#This Row],[local_id]]</f>
        <v>44636592717</v>
      </c>
      <c r="H930" s="1">
        <f>_xlfn.XLOOKUP(Ocupacao_DW[[#This Row],[Concat]],Vagas!$H:$H,Vagas!$D:$D,"",0)</f>
        <v>0</v>
      </c>
    </row>
    <row r="931" spans="1:8" x14ac:dyDescent="0.25">
      <c r="A931" s="2">
        <v>44636</v>
      </c>
      <c r="B931" s="1" t="s">
        <v>47</v>
      </c>
      <c r="C931">
        <v>110</v>
      </c>
      <c r="D931" s="1" t="s">
        <v>193</v>
      </c>
      <c r="E931" s="1" t="s">
        <v>4</v>
      </c>
      <c r="F931">
        <v>334</v>
      </c>
      <c r="G931" s="1" t="str">
        <f>Ocupacao_DW[[#This Row],[data]]&amp;Ocupacao_DW[[#This Row],[profissional_id]]&amp;Ocupacao_DW[[#This Row],[local_id]]</f>
        <v>44636110334</v>
      </c>
      <c r="H931" s="1">
        <f>_xlfn.XLOOKUP(Ocupacao_DW[[#This Row],[Concat]],Vagas!$H:$H,Vagas!$D:$D,"",0)</f>
        <v>0</v>
      </c>
    </row>
    <row r="932" spans="1:8" x14ac:dyDescent="0.25">
      <c r="A932" s="2">
        <v>44649</v>
      </c>
      <c r="B932" s="1" t="s">
        <v>21</v>
      </c>
      <c r="C932">
        <v>17890</v>
      </c>
      <c r="D932" s="1" t="s">
        <v>270</v>
      </c>
      <c r="E932" s="1" t="s">
        <v>6</v>
      </c>
      <c r="F932">
        <v>4</v>
      </c>
      <c r="G932" s="1" t="str">
        <f>Ocupacao_DW[[#This Row],[data]]&amp;Ocupacao_DW[[#This Row],[profissional_id]]&amp;Ocupacao_DW[[#This Row],[local_id]]</f>
        <v>44649178904</v>
      </c>
      <c r="H932" s="1" t="str">
        <f>_xlfn.XLOOKUP(Ocupacao_DW[[#This Row],[Concat]],Vagas!$H:$H,Vagas!$D:$D,"",0)</f>
        <v/>
      </c>
    </row>
    <row r="933" spans="1:8" x14ac:dyDescent="0.25">
      <c r="A933" s="2">
        <v>44657</v>
      </c>
      <c r="B933" s="1" t="s">
        <v>52</v>
      </c>
      <c r="C933">
        <v>10691</v>
      </c>
      <c r="D933" s="1" t="s">
        <v>181</v>
      </c>
      <c r="E933" s="1" t="s">
        <v>6</v>
      </c>
      <c r="F933">
        <v>9</v>
      </c>
      <c r="G933" s="1" t="str">
        <f>Ocupacao_DW[[#This Row],[data]]&amp;Ocupacao_DW[[#This Row],[profissional_id]]&amp;Ocupacao_DW[[#This Row],[local_id]]</f>
        <v>44657106919</v>
      </c>
      <c r="H933" s="1">
        <f>_xlfn.XLOOKUP(Ocupacao_DW[[#This Row],[Concat]],Vagas!$H:$H,Vagas!$D:$D,"",0)</f>
        <v>0</v>
      </c>
    </row>
    <row r="934" spans="1:8" x14ac:dyDescent="0.25">
      <c r="A934" s="2">
        <v>44635</v>
      </c>
      <c r="B934" s="1" t="s">
        <v>65</v>
      </c>
      <c r="C934">
        <v>11652</v>
      </c>
      <c r="D934" s="1" t="s">
        <v>242</v>
      </c>
      <c r="E934" s="1" t="s">
        <v>4</v>
      </c>
      <c r="F934">
        <v>47</v>
      </c>
      <c r="G934" s="1" t="str">
        <f>Ocupacao_DW[[#This Row],[data]]&amp;Ocupacao_DW[[#This Row],[profissional_id]]&amp;Ocupacao_DW[[#This Row],[local_id]]</f>
        <v>446351165247</v>
      </c>
      <c r="H934" s="1">
        <f>_xlfn.XLOOKUP(Ocupacao_DW[[#This Row],[Concat]],Vagas!$H:$H,Vagas!$D:$D,"",0)</f>
        <v>0</v>
      </c>
    </row>
    <row r="935" spans="1:8" x14ac:dyDescent="0.25">
      <c r="A935" s="2">
        <v>44635</v>
      </c>
      <c r="B935" s="1" t="s">
        <v>67</v>
      </c>
      <c r="C935">
        <v>7290</v>
      </c>
      <c r="D935" s="1" t="s">
        <v>247</v>
      </c>
      <c r="E935" s="1" t="s">
        <v>5</v>
      </c>
      <c r="F935">
        <v>18</v>
      </c>
      <c r="G935" s="1" t="str">
        <f>Ocupacao_DW[[#This Row],[data]]&amp;Ocupacao_DW[[#This Row],[profissional_id]]&amp;Ocupacao_DW[[#This Row],[local_id]]</f>
        <v>44635729018</v>
      </c>
      <c r="H935" s="1">
        <f>_xlfn.XLOOKUP(Ocupacao_DW[[#This Row],[Concat]],Vagas!$H:$H,Vagas!$D:$D,"",0)</f>
        <v>0</v>
      </c>
    </row>
    <row r="936" spans="1:8" x14ac:dyDescent="0.25">
      <c r="A936" s="2">
        <v>44635</v>
      </c>
      <c r="B936" s="1" t="s">
        <v>49</v>
      </c>
      <c r="C936">
        <v>266</v>
      </c>
      <c r="D936" s="1" t="s">
        <v>201</v>
      </c>
      <c r="E936" s="1" t="s">
        <v>4</v>
      </c>
      <c r="F936">
        <v>42</v>
      </c>
      <c r="G936" s="1" t="str">
        <f>Ocupacao_DW[[#This Row],[data]]&amp;Ocupacao_DW[[#This Row],[profissional_id]]&amp;Ocupacao_DW[[#This Row],[local_id]]</f>
        <v>4463526642</v>
      </c>
      <c r="H936" s="1">
        <f>_xlfn.XLOOKUP(Ocupacao_DW[[#This Row],[Concat]],Vagas!$H:$H,Vagas!$D:$D,"",0)</f>
        <v>0</v>
      </c>
    </row>
    <row r="937" spans="1:8" x14ac:dyDescent="0.25">
      <c r="A937" s="2">
        <v>44635</v>
      </c>
      <c r="B937" s="1" t="s">
        <v>70</v>
      </c>
      <c r="C937">
        <v>12825</v>
      </c>
      <c r="D937" s="1" t="s">
        <v>177</v>
      </c>
      <c r="E937" s="1" t="s">
        <v>7</v>
      </c>
      <c r="F937">
        <v>63</v>
      </c>
      <c r="G937" s="1" t="str">
        <f>Ocupacao_DW[[#This Row],[data]]&amp;Ocupacao_DW[[#This Row],[profissional_id]]&amp;Ocupacao_DW[[#This Row],[local_id]]</f>
        <v>446351282563</v>
      </c>
      <c r="H937" s="1">
        <f>_xlfn.XLOOKUP(Ocupacao_DW[[#This Row],[Concat]],Vagas!$H:$H,Vagas!$D:$D,"",0)</f>
        <v>0</v>
      </c>
    </row>
    <row r="938" spans="1:8" x14ac:dyDescent="0.25">
      <c r="A938" s="2">
        <v>44636</v>
      </c>
      <c r="B938" s="1" t="s">
        <v>47</v>
      </c>
      <c r="C938">
        <v>110</v>
      </c>
      <c r="D938" s="1" t="s">
        <v>193</v>
      </c>
      <c r="E938" s="1" t="s">
        <v>4</v>
      </c>
      <c r="F938">
        <v>334</v>
      </c>
      <c r="G938" s="1" t="str">
        <f>Ocupacao_DW[[#This Row],[data]]&amp;Ocupacao_DW[[#This Row],[profissional_id]]&amp;Ocupacao_DW[[#This Row],[local_id]]</f>
        <v>44636110334</v>
      </c>
      <c r="H938" s="1">
        <f>_xlfn.XLOOKUP(Ocupacao_DW[[#This Row],[Concat]],Vagas!$H:$H,Vagas!$D:$D,"",0)</f>
        <v>0</v>
      </c>
    </row>
    <row r="939" spans="1:8" x14ac:dyDescent="0.25">
      <c r="A939" s="2">
        <v>44643</v>
      </c>
      <c r="B939" s="1" t="s">
        <v>51</v>
      </c>
      <c r="C939">
        <v>12679</v>
      </c>
      <c r="D939" s="1" t="s">
        <v>192</v>
      </c>
      <c r="E939" s="1" t="s">
        <v>200</v>
      </c>
      <c r="F939">
        <v>82</v>
      </c>
      <c r="G939" s="1" t="str">
        <f>Ocupacao_DW[[#This Row],[data]]&amp;Ocupacao_DW[[#This Row],[profissional_id]]&amp;Ocupacao_DW[[#This Row],[local_id]]</f>
        <v>446431267982</v>
      </c>
      <c r="H939" s="1">
        <f>_xlfn.XLOOKUP(Ocupacao_DW[[#This Row],[Concat]],Vagas!$H:$H,Vagas!$D:$D,"",0)</f>
        <v>0</v>
      </c>
    </row>
    <row r="940" spans="1:8" x14ac:dyDescent="0.25">
      <c r="A940" s="2">
        <v>44636</v>
      </c>
      <c r="B940" s="1" t="s">
        <v>66</v>
      </c>
      <c r="C940">
        <v>1343</v>
      </c>
      <c r="D940" s="1" t="s">
        <v>263</v>
      </c>
      <c r="E940" s="1" t="s">
        <v>167</v>
      </c>
      <c r="F940">
        <v>342</v>
      </c>
      <c r="G940" s="1" t="str">
        <f>Ocupacao_DW[[#This Row],[data]]&amp;Ocupacao_DW[[#This Row],[profissional_id]]&amp;Ocupacao_DW[[#This Row],[local_id]]</f>
        <v>446361343342</v>
      </c>
      <c r="H940" s="1">
        <f>_xlfn.XLOOKUP(Ocupacao_DW[[#This Row],[Concat]],Vagas!$H:$H,Vagas!$D:$D,"",0)</f>
        <v>0</v>
      </c>
    </row>
    <row r="941" spans="1:8" x14ac:dyDescent="0.25">
      <c r="A941" s="2">
        <v>44636</v>
      </c>
      <c r="B941" s="1" t="s">
        <v>52</v>
      </c>
      <c r="C941">
        <v>60</v>
      </c>
      <c r="D941" s="1" t="s">
        <v>217</v>
      </c>
      <c r="E941" s="1" t="s">
        <v>6</v>
      </c>
      <c r="F941">
        <v>8</v>
      </c>
      <c r="G941" s="1" t="str">
        <f>Ocupacao_DW[[#This Row],[data]]&amp;Ocupacao_DW[[#This Row],[profissional_id]]&amp;Ocupacao_DW[[#This Row],[local_id]]</f>
        <v>44636608</v>
      </c>
      <c r="H941" s="1">
        <f>_xlfn.XLOOKUP(Ocupacao_DW[[#This Row],[Concat]],Vagas!$H:$H,Vagas!$D:$D,"",0)</f>
        <v>0</v>
      </c>
    </row>
    <row r="942" spans="1:8" x14ac:dyDescent="0.25">
      <c r="A942" s="2">
        <v>44636</v>
      </c>
      <c r="B942" s="1" t="s">
        <v>52</v>
      </c>
      <c r="C942">
        <v>60</v>
      </c>
      <c r="D942" s="1" t="s">
        <v>217</v>
      </c>
      <c r="E942" s="1" t="s">
        <v>6</v>
      </c>
      <c r="F942">
        <v>8</v>
      </c>
      <c r="G942" s="1" t="str">
        <f>Ocupacao_DW[[#This Row],[data]]&amp;Ocupacao_DW[[#This Row],[profissional_id]]&amp;Ocupacao_DW[[#This Row],[local_id]]</f>
        <v>44636608</v>
      </c>
      <c r="H942" s="1">
        <f>_xlfn.XLOOKUP(Ocupacao_DW[[#This Row],[Concat]],Vagas!$H:$H,Vagas!$D:$D,"",0)</f>
        <v>0</v>
      </c>
    </row>
    <row r="943" spans="1:8" x14ac:dyDescent="0.25">
      <c r="A943" s="2">
        <v>44635</v>
      </c>
      <c r="B943" s="1" t="s">
        <v>54</v>
      </c>
      <c r="C943">
        <v>12623</v>
      </c>
      <c r="D943" s="1" t="s">
        <v>258</v>
      </c>
      <c r="E943" s="1" t="s">
        <v>5</v>
      </c>
      <c r="F943">
        <v>11</v>
      </c>
      <c r="G943" s="1" t="str">
        <f>Ocupacao_DW[[#This Row],[data]]&amp;Ocupacao_DW[[#This Row],[profissional_id]]&amp;Ocupacao_DW[[#This Row],[local_id]]</f>
        <v>446351262311</v>
      </c>
      <c r="H943" s="1">
        <f>_xlfn.XLOOKUP(Ocupacao_DW[[#This Row],[Concat]],Vagas!$H:$H,Vagas!$D:$D,"",0)</f>
        <v>0</v>
      </c>
    </row>
    <row r="944" spans="1:8" x14ac:dyDescent="0.25">
      <c r="A944" s="2">
        <v>44646</v>
      </c>
      <c r="B944" s="1" t="s">
        <v>55</v>
      </c>
      <c r="C944">
        <v>17879</v>
      </c>
      <c r="D944" s="1" t="s">
        <v>233</v>
      </c>
      <c r="E944" s="1" t="s">
        <v>6</v>
      </c>
      <c r="F944">
        <v>3</v>
      </c>
      <c r="G944" s="1" t="str">
        <f>Ocupacao_DW[[#This Row],[data]]&amp;Ocupacao_DW[[#This Row],[profissional_id]]&amp;Ocupacao_DW[[#This Row],[local_id]]</f>
        <v>44646178793</v>
      </c>
      <c r="H944" s="1">
        <f>_xlfn.XLOOKUP(Ocupacao_DW[[#This Row],[Concat]],Vagas!$H:$H,Vagas!$D:$D,"",0)</f>
        <v>0</v>
      </c>
    </row>
    <row r="945" spans="1:8" x14ac:dyDescent="0.25">
      <c r="A945" s="2">
        <v>44636</v>
      </c>
      <c r="B945" s="1"/>
      <c r="C945">
        <v>0</v>
      </c>
      <c r="D945" s="1"/>
      <c r="E945" s="1" t="s">
        <v>167</v>
      </c>
      <c r="F945">
        <v>24</v>
      </c>
      <c r="G945" s="1" t="str">
        <f>Ocupacao_DW[[#This Row],[data]]&amp;Ocupacao_DW[[#This Row],[profissional_id]]&amp;Ocupacao_DW[[#This Row],[local_id]]</f>
        <v>44636024</v>
      </c>
      <c r="H945" s="1" t="str">
        <f>_xlfn.XLOOKUP(Ocupacao_DW[[#This Row],[Concat]],Vagas!$H:$H,Vagas!$D:$D,"",0)</f>
        <v/>
      </c>
    </row>
    <row r="946" spans="1:8" x14ac:dyDescent="0.25">
      <c r="A946" s="2">
        <v>44643</v>
      </c>
      <c r="B946" s="1" t="s">
        <v>70</v>
      </c>
      <c r="C946">
        <v>12825</v>
      </c>
      <c r="D946" s="1" t="s">
        <v>177</v>
      </c>
      <c r="E946" s="1" t="s">
        <v>4</v>
      </c>
      <c r="F946">
        <v>45</v>
      </c>
      <c r="G946" s="1" t="str">
        <f>Ocupacao_DW[[#This Row],[data]]&amp;Ocupacao_DW[[#This Row],[profissional_id]]&amp;Ocupacao_DW[[#This Row],[local_id]]</f>
        <v>446431282545</v>
      </c>
      <c r="H946" s="1">
        <f>_xlfn.XLOOKUP(Ocupacao_DW[[#This Row],[Concat]],Vagas!$H:$H,Vagas!$D:$D,"",0)</f>
        <v>0</v>
      </c>
    </row>
    <row r="947" spans="1:8" x14ac:dyDescent="0.25">
      <c r="A947" s="2">
        <v>44642</v>
      </c>
      <c r="B947" s="1" t="s">
        <v>54</v>
      </c>
      <c r="C947">
        <v>69</v>
      </c>
      <c r="D947" s="1" t="s">
        <v>238</v>
      </c>
      <c r="E947" s="1" t="s">
        <v>5</v>
      </c>
      <c r="F947">
        <v>13</v>
      </c>
      <c r="G947" s="1" t="str">
        <f>Ocupacao_DW[[#This Row],[data]]&amp;Ocupacao_DW[[#This Row],[profissional_id]]&amp;Ocupacao_DW[[#This Row],[local_id]]</f>
        <v>446426913</v>
      </c>
      <c r="H947" s="1">
        <f>_xlfn.XLOOKUP(Ocupacao_DW[[#This Row],[Concat]],Vagas!$H:$H,Vagas!$D:$D,"",0)</f>
        <v>0</v>
      </c>
    </row>
    <row r="948" spans="1:8" x14ac:dyDescent="0.25">
      <c r="A948" s="2">
        <v>44636</v>
      </c>
      <c r="B948" s="1" t="s">
        <v>49</v>
      </c>
      <c r="C948">
        <v>6430</v>
      </c>
      <c r="D948" s="1" t="s">
        <v>188</v>
      </c>
      <c r="E948" s="1" t="s">
        <v>4</v>
      </c>
      <c r="F948">
        <v>42</v>
      </c>
      <c r="G948" s="1" t="str">
        <f>Ocupacao_DW[[#This Row],[data]]&amp;Ocupacao_DW[[#This Row],[profissional_id]]&amp;Ocupacao_DW[[#This Row],[local_id]]</f>
        <v>44636643042</v>
      </c>
      <c r="H948" s="1">
        <f>_xlfn.XLOOKUP(Ocupacao_DW[[#This Row],[Concat]],Vagas!$H:$H,Vagas!$D:$D,"",0)</f>
        <v>0</v>
      </c>
    </row>
    <row r="949" spans="1:8" x14ac:dyDescent="0.25">
      <c r="A949" s="2">
        <v>44648</v>
      </c>
      <c r="B949" s="1" t="s">
        <v>60</v>
      </c>
      <c r="C949">
        <v>117</v>
      </c>
      <c r="D949" s="1" t="s">
        <v>180</v>
      </c>
      <c r="E949" s="1" t="s">
        <v>4</v>
      </c>
      <c r="F949">
        <v>48</v>
      </c>
      <c r="G949" s="1" t="str">
        <f>Ocupacao_DW[[#This Row],[data]]&amp;Ocupacao_DW[[#This Row],[profissional_id]]&amp;Ocupacao_DW[[#This Row],[local_id]]</f>
        <v>4464811748</v>
      </c>
      <c r="H949" s="1">
        <f>_xlfn.XLOOKUP(Ocupacao_DW[[#This Row],[Concat]],Vagas!$H:$H,Vagas!$D:$D,"",0)</f>
        <v>0</v>
      </c>
    </row>
    <row r="950" spans="1:8" x14ac:dyDescent="0.25">
      <c r="A950" s="2">
        <v>44655</v>
      </c>
      <c r="B950" s="1" t="s">
        <v>55</v>
      </c>
      <c r="C950">
        <v>6392</v>
      </c>
      <c r="D950" s="1" t="s">
        <v>173</v>
      </c>
      <c r="E950" s="1" t="s">
        <v>6</v>
      </c>
      <c r="F950">
        <v>5</v>
      </c>
      <c r="G950" s="1" t="str">
        <f>Ocupacao_DW[[#This Row],[data]]&amp;Ocupacao_DW[[#This Row],[profissional_id]]&amp;Ocupacao_DW[[#This Row],[local_id]]</f>
        <v>4465563925</v>
      </c>
      <c r="H950" s="1">
        <f>_xlfn.XLOOKUP(Ocupacao_DW[[#This Row],[Concat]],Vagas!$H:$H,Vagas!$D:$D,"",0)</f>
        <v>0</v>
      </c>
    </row>
    <row r="951" spans="1:8" x14ac:dyDescent="0.25">
      <c r="A951" s="2">
        <v>44635</v>
      </c>
      <c r="B951" s="1" t="s">
        <v>49</v>
      </c>
      <c r="C951">
        <v>81</v>
      </c>
      <c r="D951" s="1" t="s">
        <v>170</v>
      </c>
      <c r="E951" s="1" t="s">
        <v>4</v>
      </c>
      <c r="F951">
        <v>41</v>
      </c>
      <c r="G951" s="1" t="str">
        <f>Ocupacao_DW[[#This Row],[data]]&amp;Ocupacao_DW[[#This Row],[profissional_id]]&amp;Ocupacao_DW[[#This Row],[local_id]]</f>
        <v>446358141</v>
      </c>
      <c r="H951" s="1">
        <f>_xlfn.XLOOKUP(Ocupacao_DW[[#This Row],[Concat]],Vagas!$H:$H,Vagas!$D:$D,"",0)</f>
        <v>0</v>
      </c>
    </row>
    <row r="952" spans="1:8" x14ac:dyDescent="0.25">
      <c r="A952" s="2">
        <v>44638</v>
      </c>
      <c r="B952" s="1" t="s">
        <v>54</v>
      </c>
      <c r="C952">
        <v>69</v>
      </c>
      <c r="D952" s="1" t="s">
        <v>238</v>
      </c>
      <c r="E952" s="1" t="s">
        <v>5</v>
      </c>
      <c r="F952">
        <v>13</v>
      </c>
      <c r="G952" s="1" t="str">
        <f>Ocupacao_DW[[#This Row],[data]]&amp;Ocupacao_DW[[#This Row],[profissional_id]]&amp;Ocupacao_DW[[#This Row],[local_id]]</f>
        <v>446386913</v>
      </c>
      <c r="H952" s="1">
        <f>_xlfn.XLOOKUP(Ocupacao_DW[[#This Row],[Concat]],Vagas!$H:$H,Vagas!$D:$D,"",0)</f>
        <v>0</v>
      </c>
    </row>
    <row r="953" spans="1:8" x14ac:dyDescent="0.25">
      <c r="A953" s="2">
        <v>44636</v>
      </c>
      <c r="B953" s="1" t="s">
        <v>52</v>
      </c>
      <c r="C953">
        <v>10691</v>
      </c>
      <c r="D953" s="1" t="s">
        <v>181</v>
      </c>
      <c r="E953" s="1" t="s">
        <v>6</v>
      </c>
      <c r="F953">
        <v>9</v>
      </c>
      <c r="G953" s="1" t="str">
        <f>Ocupacao_DW[[#This Row],[data]]&amp;Ocupacao_DW[[#This Row],[profissional_id]]&amp;Ocupacao_DW[[#This Row],[local_id]]</f>
        <v>44636106919</v>
      </c>
      <c r="H953" s="1">
        <f>_xlfn.XLOOKUP(Ocupacao_DW[[#This Row],[Concat]],Vagas!$H:$H,Vagas!$D:$D,"",0)</f>
        <v>0</v>
      </c>
    </row>
    <row r="954" spans="1:8" x14ac:dyDescent="0.25">
      <c r="A954" s="2">
        <v>44637</v>
      </c>
      <c r="B954" s="1" t="s">
        <v>66</v>
      </c>
      <c r="C954">
        <v>100</v>
      </c>
      <c r="D954" s="1" t="s">
        <v>166</v>
      </c>
      <c r="E954" s="1" t="s">
        <v>167</v>
      </c>
      <c r="F954">
        <v>342</v>
      </c>
      <c r="G954" s="1" t="str">
        <f>Ocupacao_DW[[#This Row],[data]]&amp;Ocupacao_DW[[#This Row],[profissional_id]]&amp;Ocupacao_DW[[#This Row],[local_id]]</f>
        <v>44637100342</v>
      </c>
      <c r="H954" s="1">
        <f>_xlfn.XLOOKUP(Ocupacao_DW[[#This Row],[Concat]],Vagas!$H:$H,Vagas!$D:$D,"",0)</f>
        <v>0</v>
      </c>
    </row>
    <row r="955" spans="1:8" x14ac:dyDescent="0.25">
      <c r="A955" s="2">
        <v>44652</v>
      </c>
      <c r="B955" s="1" t="s">
        <v>64</v>
      </c>
      <c r="C955">
        <v>86</v>
      </c>
      <c r="D955" s="1" t="s">
        <v>175</v>
      </c>
      <c r="E955" s="1" t="s">
        <v>5</v>
      </c>
      <c r="F955">
        <v>349</v>
      </c>
      <c r="G955" s="1" t="str">
        <f>Ocupacao_DW[[#This Row],[data]]&amp;Ocupacao_DW[[#This Row],[profissional_id]]&amp;Ocupacao_DW[[#This Row],[local_id]]</f>
        <v>4465286349</v>
      </c>
      <c r="H955" s="1">
        <f>_xlfn.XLOOKUP(Ocupacao_DW[[#This Row],[Concat]],Vagas!$H:$H,Vagas!$D:$D,"",0)</f>
        <v>0</v>
      </c>
    </row>
    <row r="956" spans="1:8" x14ac:dyDescent="0.25">
      <c r="A956" s="2">
        <v>44636</v>
      </c>
      <c r="B956" s="1" t="s">
        <v>52</v>
      </c>
      <c r="C956">
        <v>10691</v>
      </c>
      <c r="D956" s="1" t="s">
        <v>181</v>
      </c>
      <c r="E956" s="1" t="s">
        <v>6</v>
      </c>
      <c r="F956">
        <v>9</v>
      </c>
      <c r="G956" s="1" t="str">
        <f>Ocupacao_DW[[#This Row],[data]]&amp;Ocupacao_DW[[#This Row],[profissional_id]]&amp;Ocupacao_DW[[#This Row],[local_id]]</f>
        <v>44636106919</v>
      </c>
      <c r="H956" s="1">
        <f>_xlfn.XLOOKUP(Ocupacao_DW[[#This Row],[Concat]],Vagas!$H:$H,Vagas!$D:$D,"",0)</f>
        <v>0</v>
      </c>
    </row>
    <row r="957" spans="1:8" x14ac:dyDescent="0.25">
      <c r="A957" s="2">
        <v>44636</v>
      </c>
      <c r="B957" s="1" t="s">
        <v>52</v>
      </c>
      <c r="C957">
        <v>10691</v>
      </c>
      <c r="D957" s="1" t="s">
        <v>181</v>
      </c>
      <c r="E957" s="1" t="s">
        <v>6</v>
      </c>
      <c r="F957">
        <v>9</v>
      </c>
      <c r="G957" s="1" t="str">
        <f>Ocupacao_DW[[#This Row],[data]]&amp;Ocupacao_DW[[#This Row],[profissional_id]]&amp;Ocupacao_DW[[#This Row],[local_id]]</f>
        <v>44636106919</v>
      </c>
      <c r="H957" s="1">
        <f>_xlfn.XLOOKUP(Ocupacao_DW[[#This Row],[Concat]],Vagas!$H:$H,Vagas!$D:$D,"",0)</f>
        <v>0</v>
      </c>
    </row>
    <row r="958" spans="1:8" x14ac:dyDescent="0.25">
      <c r="A958" s="2">
        <v>44642</v>
      </c>
      <c r="B958" s="1" t="s">
        <v>67</v>
      </c>
      <c r="C958">
        <v>7290</v>
      </c>
      <c r="D958" s="1" t="s">
        <v>247</v>
      </c>
      <c r="E958" s="1" t="s">
        <v>5</v>
      </c>
      <c r="F958">
        <v>18</v>
      </c>
      <c r="G958" s="1" t="str">
        <f>Ocupacao_DW[[#This Row],[data]]&amp;Ocupacao_DW[[#This Row],[profissional_id]]&amp;Ocupacao_DW[[#This Row],[local_id]]</f>
        <v>44642729018</v>
      </c>
      <c r="H958" s="1">
        <f>_xlfn.XLOOKUP(Ocupacao_DW[[#This Row],[Concat]],Vagas!$H:$H,Vagas!$D:$D,"",0)</f>
        <v>0</v>
      </c>
    </row>
    <row r="959" spans="1:8" x14ac:dyDescent="0.25">
      <c r="A959" s="2">
        <v>44641</v>
      </c>
      <c r="B959" s="1" t="s">
        <v>66</v>
      </c>
      <c r="C959">
        <v>100</v>
      </c>
      <c r="D959" s="1" t="s">
        <v>166</v>
      </c>
      <c r="E959" s="1" t="s">
        <v>167</v>
      </c>
      <c r="F959">
        <v>342</v>
      </c>
      <c r="G959" s="1" t="str">
        <f>Ocupacao_DW[[#This Row],[data]]&amp;Ocupacao_DW[[#This Row],[profissional_id]]&amp;Ocupacao_DW[[#This Row],[local_id]]</f>
        <v>44641100342</v>
      </c>
      <c r="H959" s="1">
        <f>_xlfn.XLOOKUP(Ocupacao_DW[[#This Row],[Concat]],Vagas!$H:$H,Vagas!$D:$D,"",0)</f>
        <v>0</v>
      </c>
    </row>
    <row r="960" spans="1:8" x14ac:dyDescent="0.25">
      <c r="A960" s="2">
        <v>44638</v>
      </c>
      <c r="B960" s="1" t="s">
        <v>52</v>
      </c>
      <c r="C960">
        <v>60</v>
      </c>
      <c r="D960" s="1" t="s">
        <v>217</v>
      </c>
      <c r="E960" s="1" t="s">
        <v>167</v>
      </c>
      <c r="F960">
        <v>348</v>
      </c>
      <c r="G960" s="1" t="str">
        <f>Ocupacao_DW[[#This Row],[data]]&amp;Ocupacao_DW[[#This Row],[profissional_id]]&amp;Ocupacao_DW[[#This Row],[local_id]]</f>
        <v>4463860348</v>
      </c>
      <c r="H960" s="1">
        <f>_xlfn.XLOOKUP(Ocupacao_DW[[#This Row],[Concat]],Vagas!$H:$H,Vagas!$D:$D,"",0)</f>
        <v>0</v>
      </c>
    </row>
    <row r="961" spans="1:8" x14ac:dyDescent="0.25">
      <c r="A961" s="2">
        <v>44635</v>
      </c>
      <c r="B961" s="1" t="s">
        <v>54</v>
      </c>
      <c r="C961">
        <v>12623</v>
      </c>
      <c r="D961" s="1" t="s">
        <v>258</v>
      </c>
      <c r="E961" s="1" t="s">
        <v>5</v>
      </c>
      <c r="F961">
        <v>11</v>
      </c>
      <c r="G961" s="1" t="str">
        <f>Ocupacao_DW[[#This Row],[data]]&amp;Ocupacao_DW[[#This Row],[profissional_id]]&amp;Ocupacao_DW[[#This Row],[local_id]]</f>
        <v>446351262311</v>
      </c>
      <c r="H961" s="1">
        <f>_xlfn.XLOOKUP(Ocupacao_DW[[#This Row],[Concat]],Vagas!$H:$H,Vagas!$D:$D,"",0)</f>
        <v>0</v>
      </c>
    </row>
    <row r="962" spans="1:8" x14ac:dyDescent="0.25">
      <c r="A962" s="2">
        <v>44644</v>
      </c>
      <c r="B962" s="1" t="s">
        <v>55</v>
      </c>
      <c r="C962">
        <v>12426</v>
      </c>
      <c r="D962" s="1" t="s">
        <v>215</v>
      </c>
      <c r="E962" s="1" t="s">
        <v>6</v>
      </c>
      <c r="F962">
        <v>5</v>
      </c>
      <c r="G962" s="1" t="str">
        <f>Ocupacao_DW[[#This Row],[data]]&amp;Ocupacao_DW[[#This Row],[profissional_id]]&amp;Ocupacao_DW[[#This Row],[local_id]]</f>
        <v>44644124265</v>
      </c>
      <c r="H962" s="1">
        <f>_xlfn.XLOOKUP(Ocupacao_DW[[#This Row],[Concat]],Vagas!$H:$H,Vagas!$D:$D,"",0)</f>
        <v>0</v>
      </c>
    </row>
    <row r="963" spans="1:8" x14ac:dyDescent="0.25">
      <c r="A963" s="2">
        <v>44656</v>
      </c>
      <c r="B963" s="1" t="s">
        <v>49</v>
      </c>
      <c r="C963">
        <v>10600</v>
      </c>
      <c r="D963" s="1" t="s">
        <v>248</v>
      </c>
      <c r="E963" s="1" t="s">
        <v>200</v>
      </c>
      <c r="F963">
        <v>86</v>
      </c>
      <c r="G963" s="1" t="str">
        <f>Ocupacao_DW[[#This Row],[data]]&amp;Ocupacao_DW[[#This Row],[profissional_id]]&amp;Ocupacao_DW[[#This Row],[local_id]]</f>
        <v>446561060086</v>
      </c>
      <c r="H963" s="1">
        <f>_xlfn.XLOOKUP(Ocupacao_DW[[#This Row],[Concat]],Vagas!$H:$H,Vagas!$D:$D,"",0)</f>
        <v>0</v>
      </c>
    </row>
    <row r="964" spans="1:8" x14ac:dyDescent="0.25">
      <c r="A964" s="2">
        <v>44636</v>
      </c>
      <c r="B964" s="1" t="s">
        <v>49</v>
      </c>
      <c r="C964">
        <v>6430</v>
      </c>
      <c r="D964" s="1" t="s">
        <v>188</v>
      </c>
      <c r="E964" s="1" t="s">
        <v>4</v>
      </c>
      <c r="F964">
        <v>42</v>
      </c>
      <c r="G964" s="1" t="str">
        <f>Ocupacao_DW[[#This Row],[data]]&amp;Ocupacao_DW[[#This Row],[profissional_id]]&amp;Ocupacao_DW[[#This Row],[local_id]]</f>
        <v>44636643042</v>
      </c>
      <c r="H964" s="1">
        <f>_xlfn.XLOOKUP(Ocupacao_DW[[#This Row],[Concat]],Vagas!$H:$H,Vagas!$D:$D,"",0)</f>
        <v>0</v>
      </c>
    </row>
    <row r="965" spans="1:8" x14ac:dyDescent="0.25">
      <c r="A965" s="2">
        <v>44651</v>
      </c>
      <c r="B965" s="1" t="s">
        <v>55</v>
      </c>
      <c r="C965">
        <v>8598</v>
      </c>
      <c r="D965" s="1" t="s">
        <v>228</v>
      </c>
      <c r="E965" s="1" t="s">
        <v>6</v>
      </c>
      <c r="F965">
        <v>3</v>
      </c>
      <c r="G965" s="1" t="str">
        <f>Ocupacao_DW[[#This Row],[data]]&amp;Ocupacao_DW[[#This Row],[profissional_id]]&amp;Ocupacao_DW[[#This Row],[local_id]]</f>
        <v>4465185983</v>
      </c>
      <c r="H965" s="1">
        <f>_xlfn.XLOOKUP(Ocupacao_DW[[#This Row],[Concat]],Vagas!$H:$H,Vagas!$D:$D,"",0)</f>
        <v>0</v>
      </c>
    </row>
    <row r="966" spans="1:8" x14ac:dyDescent="0.25">
      <c r="A966" s="2">
        <v>44635</v>
      </c>
      <c r="B966" s="1" t="s">
        <v>47</v>
      </c>
      <c r="C966">
        <v>111</v>
      </c>
      <c r="D966" s="1" t="s">
        <v>199</v>
      </c>
      <c r="E966" s="1" t="s">
        <v>4</v>
      </c>
      <c r="F966">
        <v>51</v>
      </c>
      <c r="G966" s="1" t="str">
        <f>Ocupacao_DW[[#This Row],[data]]&amp;Ocupacao_DW[[#This Row],[profissional_id]]&amp;Ocupacao_DW[[#This Row],[local_id]]</f>
        <v>4463511151</v>
      </c>
      <c r="H966" s="1">
        <f>_xlfn.XLOOKUP(Ocupacao_DW[[#This Row],[Concat]],Vagas!$H:$H,Vagas!$D:$D,"",0)</f>
        <v>0</v>
      </c>
    </row>
    <row r="967" spans="1:8" x14ac:dyDescent="0.25">
      <c r="A967" s="2">
        <v>44635</v>
      </c>
      <c r="B967" s="1" t="s">
        <v>55</v>
      </c>
      <c r="C967">
        <v>2984</v>
      </c>
      <c r="D967" s="1" t="s">
        <v>185</v>
      </c>
      <c r="E967" s="1" t="s">
        <v>6</v>
      </c>
      <c r="F967">
        <v>7</v>
      </c>
      <c r="G967" s="1" t="str">
        <f>Ocupacao_DW[[#This Row],[data]]&amp;Ocupacao_DW[[#This Row],[profissional_id]]&amp;Ocupacao_DW[[#This Row],[local_id]]</f>
        <v>4463529847</v>
      </c>
      <c r="H967" s="1">
        <f>_xlfn.XLOOKUP(Ocupacao_DW[[#This Row],[Concat]],Vagas!$H:$H,Vagas!$D:$D,"",0)</f>
        <v>0</v>
      </c>
    </row>
    <row r="968" spans="1:8" x14ac:dyDescent="0.25">
      <c r="A968" s="2">
        <v>44642</v>
      </c>
      <c r="B968" s="1" t="s">
        <v>50</v>
      </c>
      <c r="C968">
        <v>4814</v>
      </c>
      <c r="D968" s="1" t="s">
        <v>189</v>
      </c>
      <c r="E968" s="1" t="s">
        <v>5</v>
      </c>
      <c r="F968">
        <v>17</v>
      </c>
      <c r="G968" s="1" t="str">
        <f>Ocupacao_DW[[#This Row],[data]]&amp;Ocupacao_DW[[#This Row],[profissional_id]]&amp;Ocupacao_DW[[#This Row],[local_id]]</f>
        <v>44642481417</v>
      </c>
      <c r="H968" s="1">
        <f>_xlfn.XLOOKUP(Ocupacao_DW[[#This Row],[Concat]],Vagas!$H:$H,Vagas!$D:$D,"",0)</f>
        <v>0</v>
      </c>
    </row>
    <row r="969" spans="1:8" x14ac:dyDescent="0.25">
      <c r="A969" s="2">
        <v>44635</v>
      </c>
      <c r="B969" s="1" t="s">
        <v>52</v>
      </c>
      <c r="C969">
        <v>13061</v>
      </c>
      <c r="D969" s="1" t="s">
        <v>232</v>
      </c>
      <c r="E969" s="1" t="s">
        <v>6</v>
      </c>
      <c r="F969">
        <v>9</v>
      </c>
      <c r="G969" s="1" t="str">
        <f>Ocupacao_DW[[#This Row],[data]]&amp;Ocupacao_DW[[#This Row],[profissional_id]]&amp;Ocupacao_DW[[#This Row],[local_id]]</f>
        <v>44635130619</v>
      </c>
      <c r="H969" s="1">
        <f>_xlfn.XLOOKUP(Ocupacao_DW[[#This Row],[Concat]],Vagas!$H:$H,Vagas!$D:$D,"",0)</f>
        <v>0</v>
      </c>
    </row>
    <row r="970" spans="1:8" x14ac:dyDescent="0.25">
      <c r="A970" s="2">
        <v>44641</v>
      </c>
      <c r="B970" s="1" t="s">
        <v>69</v>
      </c>
      <c r="C970">
        <v>13249</v>
      </c>
      <c r="D970" s="1" t="s">
        <v>178</v>
      </c>
      <c r="E970" s="1" t="s">
        <v>4</v>
      </c>
      <c r="F970">
        <v>45</v>
      </c>
      <c r="G970" s="1" t="str">
        <f>Ocupacao_DW[[#This Row],[data]]&amp;Ocupacao_DW[[#This Row],[profissional_id]]&amp;Ocupacao_DW[[#This Row],[local_id]]</f>
        <v>446411324945</v>
      </c>
      <c r="H970" s="1">
        <f>_xlfn.XLOOKUP(Ocupacao_DW[[#This Row],[Concat]],Vagas!$H:$H,Vagas!$D:$D,"",0)</f>
        <v>0</v>
      </c>
    </row>
    <row r="971" spans="1:8" x14ac:dyDescent="0.25">
      <c r="A971" s="2">
        <v>44636</v>
      </c>
      <c r="B971" s="1" t="s">
        <v>24</v>
      </c>
      <c r="C971">
        <v>13061</v>
      </c>
      <c r="D971" s="1" t="s">
        <v>232</v>
      </c>
      <c r="E971" s="1" t="s">
        <v>6</v>
      </c>
      <c r="F971">
        <v>3</v>
      </c>
      <c r="G971" s="1" t="str">
        <f>Ocupacao_DW[[#This Row],[data]]&amp;Ocupacao_DW[[#This Row],[profissional_id]]&amp;Ocupacao_DW[[#This Row],[local_id]]</f>
        <v>44636130613</v>
      </c>
      <c r="H971" s="1">
        <f>_xlfn.XLOOKUP(Ocupacao_DW[[#This Row],[Concat]],Vagas!$H:$H,Vagas!$D:$D,"",0)</f>
        <v>0</v>
      </c>
    </row>
    <row r="972" spans="1:8" x14ac:dyDescent="0.25">
      <c r="A972" s="2">
        <v>44650</v>
      </c>
      <c r="B972" s="1" t="s">
        <v>70</v>
      </c>
      <c r="C972">
        <v>12519</v>
      </c>
      <c r="D972" s="1" t="s">
        <v>176</v>
      </c>
      <c r="E972" s="1" t="s">
        <v>4</v>
      </c>
      <c r="F972">
        <v>48</v>
      </c>
      <c r="G972" s="1" t="str">
        <f>Ocupacao_DW[[#This Row],[data]]&amp;Ocupacao_DW[[#This Row],[profissional_id]]&amp;Ocupacao_DW[[#This Row],[local_id]]</f>
        <v>446501251948</v>
      </c>
      <c r="H972" s="1">
        <f>_xlfn.XLOOKUP(Ocupacao_DW[[#This Row],[Concat]],Vagas!$H:$H,Vagas!$D:$D,"",0)</f>
        <v>0</v>
      </c>
    </row>
    <row r="973" spans="1:8" x14ac:dyDescent="0.25">
      <c r="A973" s="2">
        <v>44636</v>
      </c>
      <c r="B973" s="1" t="s">
        <v>24</v>
      </c>
      <c r="C973">
        <v>13061</v>
      </c>
      <c r="D973" s="1" t="s">
        <v>232</v>
      </c>
      <c r="E973" s="1" t="s">
        <v>6</v>
      </c>
      <c r="F973">
        <v>3</v>
      </c>
      <c r="G973" s="1" t="str">
        <f>Ocupacao_DW[[#This Row],[data]]&amp;Ocupacao_DW[[#This Row],[profissional_id]]&amp;Ocupacao_DW[[#This Row],[local_id]]</f>
        <v>44636130613</v>
      </c>
      <c r="H973" s="1">
        <f>_xlfn.XLOOKUP(Ocupacao_DW[[#This Row],[Concat]],Vagas!$H:$H,Vagas!$D:$D,"",0)</f>
        <v>0</v>
      </c>
    </row>
    <row r="974" spans="1:8" x14ac:dyDescent="0.25">
      <c r="A974" s="2">
        <v>44642</v>
      </c>
      <c r="B974" s="1" t="s">
        <v>69</v>
      </c>
      <c r="C974">
        <v>13249</v>
      </c>
      <c r="D974" s="1" t="s">
        <v>178</v>
      </c>
      <c r="E974" s="1" t="s">
        <v>4</v>
      </c>
      <c r="F974">
        <v>45</v>
      </c>
      <c r="G974" s="1" t="str">
        <f>Ocupacao_DW[[#This Row],[data]]&amp;Ocupacao_DW[[#This Row],[profissional_id]]&amp;Ocupacao_DW[[#This Row],[local_id]]</f>
        <v>446421324945</v>
      </c>
      <c r="H974" s="1">
        <f>_xlfn.XLOOKUP(Ocupacao_DW[[#This Row],[Concat]],Vagas!$H:$H,Vagas!$D:$D,"",0)</f>
        <v>0</v>
      </c>
    </row>
    <row r="975" spans="1:8" x14ac:dyDescent="0.25">
      <c r="A975" s="2">
        <v>44643</v>
      </c>
      <c r="B975" s="1" t="s">
        <v>52</v>
      </c>
      <c r="C975">
        <v>57</v>
      </c>
      <c r="D975" s="1" t="s">
        <v>169</v>
      </c>
      <c r="E975" s="1" t="s">
        <v>6</v>
      </c>
      <c r="F975">
        <v>4</v>
      </c>
      <c r="G975" s="1" t="str">
        <f>Ocupacao_DW[[#This Row],[data]]&amp;Ocupacao_DW[[#This Row],[profissional_id]]&amp;Ocupacao_DW[[#This Row],[local_id]]</f>
        <v>44643574</v>
      </c>
      <c r="H975" s="1">
        <f>_xlfn.XLOOKUP(Ocupacao_DW[[#This Row],[Concat]],Vagas!$H:$H,Vagas!$D:$D,"",0)</f>
        <v>0</v>
      </c>
    </row>
    <row r="976" spans="1:8" x14ac:dyDescent="0.25">
      <c r="A976" s="2">
        <v>44635</v>
      </c>
      <c r="B976" s="1" t="s">
        <v>47</v>
      </c>
      <c r="C976">
        <v>12752</v>
      </c>
      <c r="D976" s="1" t="s">
        <v>253</v>
      </c>
      <c r="E976" s="1" t="s">
        <v>7</v>
      </c>
      <c r="F976">
        <v>60</v>
      </c>
      <c r="G976" s="1" t="str">
        <f>Ocupacao_DW[[#This Row],[data]]&amp;Ocupacao_DW[[#This Row],[profissional_id]]&amp;Ocupacao_DW[[#This Row],[local_id]]</f>
        <v>446351275260</v>
      </c>
      <c r="H976" s="1">
        <f>_xlfn.XLOOKUP(Ocupacao_DW[[#This Row],[Concat]],Vagas!$H:$H,Vagas!$D:$D,"",0)</f>
        <v>0</v>
      </c>
    </row>
    <row r="977" spans="1:8" x14ac:dyDescent="0.25">
      <c r="A977" s="2">
        <v>44652</v>
      </c>
      <c r="B977" s="1" t="s">
        <v>24</v>
      </c>
      <c r="C977">
        <v>60</v>
      </c>
      <c r="D977" s="1" t="s">
        <v>217</v>
      </c>
      <c r="E977" s="1" t="s">
        <v>6</v>
      </c>
      <c r="F977">
        <v>1</v>
      </c>
      <c r="G977" s="1" t="str">
        <f>Ocupacao_DW[[#This Row],[data]]&amp;Ocupacao_DW[[#This Row],[profissional_id]]&amp;Ocupacao_DW[[#This Row],[local_id]]</f>
        <v>44652601</v>
      </c>
      <c r="H977" s="1">
        <f>_xlfn.XLOOKUP(Ocupacao_DW[[#This Row],[Concat]],Vagas!$H:$H,Vagas!$D:$D,"",0)</f>
        <v>0</v>
      </c>
    </row>
    <row r="978" spans="1:8" x14ac:dyDescent="0.25">
      <c r="A978" s="2">
        <v>44637</v>
      </c>
      <c r="B978" s="1" t="s">
        <v>52</v>
      </c>
      <c r="C978">
        <v>10691</v>
      </c>
      <c r="D978" s="1" t="s">
        <v>181</v>
      </c>
      <c r="E978" s="1" t="s">
        <v>6</v>
      </c>
      <c r="F978">
        <v>9</v>
      </c>
      <c r="G978" s="1" t="str">
        <f>Ocupacao_DW[[#This Row],[data]]&amp;Ocupacao_DW[[#This Row],[profissional_id]]&amp;Ocupacao_DW[[#This Row],[local_id]]</f>
        <v>44637106919</v>
      </c>
      <c r="H978" s="1">
        <f>_xlfn.XLOOKUP(Ocupacao_DW[[#This Row],[Concat]],Vagas!$H:$H,Vagas!$D:$D,"",0)</f>
        <v>0</v>
      </c>
    </row>
    <row r="979" spans="1:8" x14ac:dyDescent="0.25">
      <c r="A979" s="2">
        <v>44635</v>
      </c>
      <c r="B979" s="1" t="s">
        <v>49</v>
      </c>
      <c r="C979">
        <v>266</v>
      </c>
      <c r="D979" s="1" t="s">
        <v>201</v>
      </c>
      <c r="E979" s="1" t="s">
        <v>4</v>
      </c>
      <c r="F979">
        <v>42</v>
      </c>
      <c r="G979" s="1" t="str">
        <f>Ocupacao_DW[[#This Row],[data]]&amp;Ocupacao_DW[[#This Row],[profissional_id]]&amp;Ocupacao_DW[[#This Row],[local_id]]</f>
        <v>4463526642</v>
      </c>
      <c r="H979" s="1">
        <f>_xlfn.XLOOKUP(Ocupacao_DW[[#This Row],[Concat]],Vagas!$H:$H,Vagas!$D:$D,"",0)</f>
        <v>0</v>
      </c>
    </row>
    <row r="980" spans="1:8" x14ac:dyDescent="0.25">
      <c r="A980" s="2">
        <v>44650</v>
      </c>
      <c r="B980" s="1" t="s">
        <v>55</v>
      </c>
      <c r="C980">
        <v>73</v>
      </c>
      <c r="D980" s="1" t="s">
        <v>171</v>
      </c>
      <c r="E980" s="1" t="s">
        <v>6</v>
      </c>
      <c r="F980">
        <v>5</v>
      </c>
      <c r="G980" s="1" t="str">
        <f>Ocupacao_DW[[#This Row],[data]]&amp;Ocupacao_DW[[#This Row],[profissional_id]]&amp;Ocupacao_DW[[#This Row],[local_id]]</f>
        <v>44650735</v>
      </c>
      <c r="H980" s="1">
        <f>_xlfn.XLOOKUP(Ocupacao_DW[[#This Row],[Concat]],Vagas!$H:$H,Vagas!$D:$D,"",0)</f>
        <v>0</v>
      </c>
    </row>
    <row r="981" spans="1:8" x14ac:dyDescent="0.25">
      <c r="A981" s="2">
        <v>44636</v>
      </c>
      <c r="B981" s="1" t="s">
        <v>52</v>
      </c>
      <c r="C981">
        <v>10691</v>
      </c>
      <c r="D981" s="1" t="s">
        <v>181</v>
      </c>
      <c r="E981" s="1" t="s">
        <v>6</v>
      </c>
      <c r="F981">
        <v>9</v>
      </c>
      <c r="G981" s="1" t="str">
        <f>Ocupacao_DW[[#This Row],[data]]&amp;Ocupacao_DW[[#This Row],[profissional_id]]&amp;Ocupacao_DW[[#This Row],[local_id]]</f>
        <v>44636106919</v>
      </c>
      <c r="H981" s="1">
        <f>_xlfn.XLOOKUP(Ocupacao_DW[[#This Row],[Concat]],Vagas!$H:$H,Vagas!$D:$D,"",0)</f>
        <v>0</v>
      </c>
    </row>
    <row r="982" spans="1:8" x14ac:dyDescent="0.25">
      <c r="A982" s="2">
        <v>44635</v>
      </c>
      <c r="B982" s="1" t="s">
        <v>47</v>
      </c>
      <c r="C982">
        <v>11207</v>
      </c>
      <c r="D982" s="1" t="s">
        <v>251</v>
      </c>
      <c r="E982" s="1" t="s">
        <v>4</v>
      </c>
      <c r="F982">
        <v>51</v>
      </c>
      <c r="G982" s="1" t="str">
        <f>Ocupacao_DW[[#This Row],[data]]&amp;Ocupacao_DW[[#This Row],[profissional_id]]&amp;Ocupacao_DW[[#This Row],[local_id]]</f>
        <v>446351120751</v>
      </c>
      <c r="H982" s="1">
        <f>_xlfn.XLOOKUP(Ocupacao_DW[[#This Row],[Concat]],Vagas!$H:$H,Vagas!$D:$D,"",0)</f>
        <v>0</v>
      </c>
    </row>
    <row r="983" spans="1:8" x14ac:dyDescent="0.25">
      <c r="A983" s="2">
        <v>44638</v>
      </c>
      <c r="B983" s="1" t="s">
        <v>56</v>
      </c>
      <c r="C983">
        <v>5927</v>
      </c>
      <c r="D983" s="1" t="s">
        <v>226</v>
      </c>
      <c r="E983" s="1" t="s">
        <v>5</v>
      </c>
      <c r="F983">
        <v>17</v>
      </c>
      <c r="G983" s="1" t="str">
        <f>Ocupacao_DW[[#This Row],[data]]&amp;Ocupacao_DW[[#This Row],[profissional_id]]&amp;Ocupacao_DW[[#This Row],[local_id]]</f>
        <v>44638592717</v>
      </c>
      <c r="H983" s="1">
        <f>_xlfn.XLOOKUP(Ocupacao_DW[[#This Row],[Concat]],Vagas!$H:$H,Vagas!$D:$D,"",0)</f>
        <v>0</v>
      </c>
    </row>
    <row r="984" spans="1:8" x14ac:dyDescent="0.25">
      <c r="A984" s="2">
        <v>44642</v>
      </c>
      <c r="B984" s="1" t="s">
        <v>49</v>
      </c>
      <c r="C984">
        <v>10600</v>
      </c>
      <c r="D984" s="1" t="s">
        <v>248</v>
      </c>
      <c r="E984" s="1" t="s">
        <v>200</v>
      </c>
      <c r="F984">
        <v>86</v>
      </c>
      <c r="G984" s="1" t="str">
        <f>Ocupacao_DW[[#This Row],[data]]&amp;Ocupacao_DW[[#This Row],[profissional_id]]&amp;Ocupacao_DW[[#This Row],[local_id]]</f>
        <v>446421060086</v>
      </c>
      <c r="H984" s="1">
        <f>_xlfn.XLOOKUP(Ocupacao_DW[[#This Row],[Concat]],Vagas!$H:$H,Vagas!$D:$D,"",0)</f>
        <v>0</v>
      </c>
    </row>
    <row r="985" spans="1:8" x14ac:dyDescent="0.25">
      <c r="A985" s="2">
        <v>44636</v>
      </c>
      <c r="B985" s="1" t="s">
        <v>65</v>
      </c>
      <c r="C985">
        <v>13058</v>
      </c>
      <c r="D985" s="1" t="s">
        <v>256</v>
      </c>
      <c r="E985" s="1" t="s">
        <v>4</v>
      </c>
      <c r="F985">
        <v>47</v>
      </c>
      <c r="G985" s="1" t="str">
        <f>Ocupacao_DW[[#This Row],[data]]&amp;Ocupacao_DW[[#This Row],[profissional_id]]&amp;Ocupacao_DW[[#This Row],[local_id]]</f>
        <v>446361305847</v>
      </c>
      <c r="H985" s="1">
        <f>_xlfn.XLOOKUP(Ocupacao_DW[[#This Row],[Concat]],Vagas!$H:$H,Vagas!$D:$D,"",0)</f>
        <v>0</v>
      </c>
    </row>
    <row r="986" spans="1:8" x14ac:dyDescent="0.25">
      <c r="A986" s="2">
        <v>44636</v>
      </c>
      <c r="B986" s="1" t="s">
        <v>70</v>
      </c>
      <c r="C986">
        <v>12825</v>
      </c>
      <c r="D986" s="1" t="s">
        <v>177</v>
      </c>
      <c r="E986" s="1" t="s">
        <v>4</v>
      </c>
      <c r="F986">
        <v>45</v>
      </c>
      <c r="G986" s="1" t="str">
        <f>Ocupacao_DW[[#This Row],[data]]&amp;Ocupacao_DW[[#This Row],[profissional_id]]&amp;Ocupacao_DW[[#This Row],[local_id]]</f>
        <v>446361282545</v>
      </c>
      <c r="H986" s="1">
        <f>_xlfn.XLOOKUP(Ocupacao_DW[[#This Row],[Concat]],Vagas!$H:$H,Vagas!$D:$D,"",0)</f>
        <v>0</v>
      </c>
    </row>
    <row r="987" spans="1:8" x14ac:dyDescent="0.25">
      <c r="A987" s="2">
        <v>44650</v>
      </c>
      <c r="B987" s="1" t="s">
        <v>55</v>
      </c>
      <c r="C987">
        <v>74</v>
      </c>
      <c r="D987" s="1" t="s">
        <v>182</v>
      </c>
      <c r="E987" s="1" t="s">
        <v>6</v>
      </c>
      <c r="F987">
        <v>7</v>
      </c>
      <c r="G987" s="1" t="str">
        <f>Ocupacao_DW[[#This Row],[data]]&amp;Ocupacao_DW[[#This Row],[profissional_id]]&amp;Ocupacao_DW[[#This Row],[local_id]]</f>
        <v>44650747</v>
      </c>
      <c r="H987" s="1">
        <f>_xlfn.XLOOKUP(Ocupacao_DW[[#This Row],[Concat]],Vagas!$H:$H,Vagas!$D:$D,"",0)</f>
        <v>0</v>
      </c>
    </row>
    <row r="988" spans="1:8" x14ac:dyDescent="0.25">
      <c r="A988" s="2">
        <v>44649</v>
      </c>
      <c r="B988" s="1" t="s">
        <v>70</v>
      </c>
      <c r="C988">
        <v>14237</v>
      </c>
      <c r="D988" s="1" t="s">
        <v>186</v>
      </c>
      <c r="E988" s="1" t="s">
        <v>4</v>
      </c>
      <c r="F988">
        <v>47</v>
      </c>
      <c r="G988" s="1" t="str">
        <f>Ocupacao_DW[[#This Row],[data]]&amp;Ocupacao_DW[[#This Row],[profissional_id]]&amp;Ocupacao_DW[[#This Row],[local_id]]</f>
        <v>446491423747</v>
      </c>
      <c r="H988" s="1">
        <f>_xlfn.XLOOKUP(Ocupacao_DW[[#This Row],[Concat]],Vagas!$H:$H,Vagas!$D:$D,"",0)</f>
        <v>0</v>
      </c>
    </row>
    <row r="989" spans="1:8" x14ac:dyDescent="0.25">
      <c r="A989" s="2">
        <v>44658</v>
      </c>
      <c r="B989" s="1" t="s">
        <v>55</v>
      </c>
      <c r="C989">
        <v>12426</v>
      </c>
      <c r="D989" s="1" t="s">
        <v>215</v>
      </c>
      <c r="E989" s="1" t="s">
        <v>6</v>
      </c>
      <c r="F989">
        <v>5</v>
      </c>
      <c r="G989" s="1" t="str">
        <f>Ocupacao_DW[[#This Row],[data]]&amp;Ocupacao_DW[[#This Row],[profissional_id]]&amp;Ocupacao_DW[[#This Row],[local_id]]</f>
        <v>44658124265</v>
      </c>
      <c r="H989" s="1">
        <f>_xlfn.XLOOKUP(Ocupacao_DW[[#This Row],[Concat]],Vagas!$H:$H,Vagas!$D:$D,"",0)</f>
        <v>0</v>
      </c>
    </row>
    <row r="990" spans="1:8" x14ac:dyDescent="0.25">
      <c r="A990" s="2">
        <v>44646</v>
      </c>
      <c r="B990" s="1" t="s">
        <v>62</v>
      </c>
      <c r="C990">
        <v>4887</v>
      </c>
      <c r="D990" s="1" t="s">
        <v>168</v>
      </c>
      <c r="E990" s="1" t="s">
        <v>5</v>
      </c>
      <c r="F990">
        <v>18</v>
      </c>
      <c r="G990" s="1" t="str">
        <f>Ocupacao_DW[[#This Row],[data]]&amp;Ocupacao_DW[[#This Row],[profissional_id]]&amp;Ocupacao_DW[[#This Row],[local_id]]</f>
        <v>44646488718</v>
      </c>
      <c r="H990" s="1">
        <f>_xlfn.XLOOKUP(Ocupacao_DW[[#This Row],[Concat]],Vagas!$H:$H,Vagas!$D:$D,"",0)</f>
        <v>0</v>
      </c>
    </row>
    <row r="991" spans="1:8" x14ac:dyDescent="0.25">
      <c r="A991" s="2">
        <v>44637</v>
      </c>
      <c r="B991" s="1" t="s">
        <v>59</v>
      </c>
      <c r="C991">
        <v>10249</v>
      </c>
      <c r="D991" s="1" t="s">
        <v>231</v>
      </c>
      <c r="E991" s="1" t="s">
        <v>4</v>
      </c>
      <c r="F991">
        <v>44</v>
      </c>
      <c r="G991" s="1" t="str">
        <f>Ocupacao_DW[[#This Row],[data]]&amp;Ocupacao_DW[[#This Row],[profissional_id]]&amp;Ocupacao_DW[[#This Row],[local_id]]</f>
        <v>446371024944</v>
      </c>
      <c r="H991" s="1">
        <f>_xlfn.XLOOKUP(Ocupacao_DW[[#This Row],[Concat]],Vagas!$H:$H,Vagas!$D:$D,"",0)</f>
        <v>0</v>
      </c>
    </row>
    <row r="992" spans="1:8" x14ac:dyDescent="0.25">
      <c r="A992" s="2">
        <v>44636</v>
      </c>
      <c r="B992" s="1" t="s">
        <v>24</v>
      </c>
      <c r="C992">
        <v>13061</v>
      </c>
      <c r="D992" s="1" t="s">
        <v>232</v>
      </c>
      <c r="E992" s="1" t="s">
        <v>6</v>
      </c>
      <c r="F992">
        <v>3</v>
      </c>
      <c r="G992" s="1" t="str">
        <f>Ocupacao_DW[[#This Row],[data]]&amp;Ocupacao_DW[[#This Row],[profissional_id]]&amp;Ocupacao_DW[[#This Row],[local_id]]</f>
        <v>44636130613</v>
      </c>
      <c r="H992" s="1">
        <f>_xlfn.XLOOKUP(Ocupacao_DW[[#This Row],[Concat]],Vagas!$H:$H,Vagas!$D:$D,"",0)</f>
        <v>0</v>
      </c>
    </row>
    <row r="993" spans="1:8" x14ac:dyDescent="0.25">
      <c r="A993" s="2">
        <v>44637</v>
      </c>
      <c r="B993" s="1" t="s">
        <v>47</v>
      </c>
      <c r="C993">
        <v>9111</v>
      </c>
      <c r="D993" s="1" t="s">
        <v>206</v>
      </c>
      <c r="E993" s="1" t="s">
        <v>4</v>
      </c>
      <c r="F993">
        <v>334</v>
      </c>
      <c r="G993" s="1" t="str">
        <f>Ocupacao_DW[[#This Row],[data]]&amp;Ocupacao_DW[[#This Row],[profissional_id]]&amp;Ocupacao_DW[[#This Row],[local_id]]</f>
        <v>446379111334</v>
      </c>
      <c r="H993" s="1">
        <f>_xlfn.XLOOKUP(Ocupacao_DW[[#This Row],[Concat]],Vagas!$H:$H,Vagas!$D:$D,"",0)</f>
        <v>0</v>
      </c>
    </row>
    <row r="994" spans="1:8" x14ac:dyDescent="0.25">
      <c r="A994" s="2">
        <v>44649</v>
      </c>
      <c r="B994" s="1" t="s">
        <v>49</v>
      </c>
      <c r="C994">
        <v>266</v>
      </c>
      <c r="D994" s="1" t="s">
        <v>201</v>
      </c>
      <c r="E994" s="1" t="s">
        <v>4</v>
      </c>
      <c r="F994">
        <v>42</v>
      </c>
      <c r="G994" s="1" t="str">
        <f>Ocupacao_DW[[#This Row],[data]]&amp;Ocupacao_DW[[#This Row],[profissional_id]]&amp;Ocupacao_DW[[#This Row],[local_id]]</f>
        <v>4464926642</v>
      </c>
      <c r="H994" s="1">
        <f>_xlfn.XLOOKUP(Ocupacao_DW[[#This Row],[Concat]],Vagas!$H:$H,Vagas!$D:$D,"",0)</f>
        <v>0</v>
      </c>
    </row>
    <row r="995" spans="1:8" x14ac:dyDescent="0.25">
      <c r="A995" s="2">
        <v>44638</v>
      </c>
      <c r="B995" s="1" t="s">
        <v>69</v>
      </c>
      <c r="C995">
        <v>13249</v>
      </c>
      <c r="D995" s="1" t="s">
        <v>178</v>
      </c>
      <c r="E995" s="1" t="s">
        <v>7</v>
      </c>
      <c r="F995">
        <v>66</v>
      </c>
      <c r="G995" s="1" t="str">
        <f>Ocupacao_DW[[#This Row],[data]]&amp;Ocupacao_DW[[#This Row],[profissional_id]]&amp;Ocupacao_DW[[#This Row],[local_id]]</f>
        <v>446381324966</v>
      </c>
      <c r="H995" s="1">
        <f>_xlfn.XLOOKUP(Ocupacao_DW[[#This Row],[Concat]],Vagas!$H:$H,Vagas!$D:$D,"",0)</f>
        <v>0</v>
      </c>
    </row>
    <row r="996" spans="1:8" x14ac:dyDescent="0.25">
      <c r="A996" s="2">
        <v>44657</v>
      </c>
      <c r="B996" s="1" t="s">
        <v>47</v>
      </c>
      <c r="C996">
        <v>110</v>
      </c>
      <c r="D996" s="1" t="s">
        <v>193</v>
      </c>
      <c r="E996" s="1" t="s">
        <v>4</v>
      </c>
      <c r="F996">
        <v>334</v>
      </c>
      <c r="G996" s="1" t="str">
        <f>Ocupacao_DW[[#This Row],[data]]&amp;Ocupacao_DW[[#This Row],[profissional_id]]&amp;Ocupacao_DW[[#This Row],[local_id]]</f>
        <v>44657110334</v>
      </c>
      <c r="H996" s="1">
        <f>_xlfn.XLOOKUP(Ocupacao_DW[[#This Row],[Concat]],Vagas!$H:$H,Vagas!$D:$D,"",0)</f>
        <v>0</v>
      </c>
    </row>
    <row r="997" spans="1:8" x14ac:dyDescent="0.25">
      <c r="A997" s="2">
        <v>44638</v>
      </c>
      <c r="B997" s="1" t="s">
        <v>52</v>
      </c>
      <c r="C997">
        <v>55</v>
      </c>
      <c r="D997" s="1" t="s">
        <v>244</v>
      </c>
      <c r="E997" s="1" t="s">
        <v>7</v>
      </c>
      <c r="F997">
        <v>68</v>
      </c>
      <c r="G997" s="1" t="str">
        <f>Ocupacao_DW[[#This Row],[data]]&amp;Ocupacao_DW[[#This Row],[profissional_id]]&amp;Ocupacao_DW[[#This Row],[local_id]]</f>
        <v>446385568</v>
      </c>
      <c r="H997" s="1">
        <f>_xlfn.XLOOKUP(Ocupacao_DW[[#This Row],[Concat]],Vagas!$H:$H,Vagas!$D:$D,"",0)</f>
        <v>0</v>
      </c>
    </row>
    <row r="998" spans="1:8" x14ac:dyDescent="0.25">
      <c r="A998" s="2">
        <v>44635</v>
      </c>
      <c r="B998" s="1" t="s">
        <v>47</v>
      </c>
      <c r="C998">
        <v>9111</v>
      </c>
      <c r="D998" s="1" t="s">
        <v>206</v>
      </c>
      <c r="E998" s="1" t="s">
        <v>4</v>
      </c>
      <c r="F998">
        <v>335</v>
      </c>
      <c r="G998" s="1" t="str">
        <f>Ocupacao_DW[[#This Row],[data]]&amp;Ocupacao_DW[[#This Row],[profissional_id]]&amp;Ocupacao_DW[[#This Row],[local_id]]</f>
        <v>446359111335</v>
      </c>
      <c r="H998" s="1">
        <f>_xlfn.XLOOKUP(Ocupacao_DW[[#This Row],[Concat]],Vagas!$H:$H,Vagas!$D:$D,"",0)</f>
        <v>0</v>
      </c>
    </row>
    <row r="999" spans="1:8" x14ac:dyDescent="0.25">
      <c r="A999" s="2">
        <v>44636</v>
      </c>
      <c r="B999" s="1" t="s">
        <v>51</v>
      </c>
      <c r="C999">
        <v>12679</v>
      </c>
      <c r="D999" s="1" t="s">
        <v>192</v>
      </c>
      <c r="E999" s="1" t="s">
        <v>5</v>
      </c>
      <c r="F999">
        <v>11</v>
      </c>
      <c r="G999" s="1" t="str">
        <f>Ocupacao_DW[[#This Row],[data]]&amp;Ocupacao_DW[[#This Row],[profissional_id]]&amp;Ocupacao_DW[[#This Row],[local_id]]</f>
        <v>446361267911</v>
      </c>
      <c r="H999" s="1">
        <f>_xlfn.XLOOKUP(Ocupacao_DW[[#This Row],[Concat]],Vagas!$H:$H,Vagas!$D:$D,"",0)</f>
        <v>0</v>
      </c>
    </row>
    <row r="1000" spans="1:8" x14ac:dyDescent="0.25">
      <c r="A1000" s="2">
        <v>44643</v>
      </c>
      <c r="B1000" s="1" t="s">
        <v>64</v>
      </c>
      <c r="C1000">
        <v>531</v>
      </c>
      <c r="D1000" s="1" t="s">
        <v>213</v>
      </c>
      <c r="E1000" s="1" t="s">
        <v>5</v>
      </c>
      <c r="F1000">
        <v>12</v>
      </c>
      <c r="G1000" s="1" t="str">
        <f>Ocupacao_DW[[#This Row],[data]]&amp;Ocupacao_DW[[#This Row],[profissional_id]]&amp;Ocupacao_DW[[#This Row],[local_id]]</f>
        <v>4464353112</v>
      </c>
      <c r="H1000" s="1">
        <f>_xlfn.XLOOKUP(Ocupacao_DW[[#This Row],[Concat]],Vagas!$H:$H,Vagas!$D:$D,"",0)</f>
        <v>0</v>
      </c>
    </row>
    <row r="1001" spans="1:8" x14ac:dyDescent="0.25">
      <c r="A1001" s="2">
        <v>44643</v>
      </c>
      <c r="B1001" s="1" t="s">
        <v>43</v>
      </c>
      <c r="C1001">
        <v>57</v>
      </c>
      <c r="D1001" s="1" t="s">
        <v>169</v>
      </c>
      <c r="E1001" s="1" t="s">
        <v>6</v>
      </c>
      <c r="F1001">
        <v>4</v>
      </c>
      <c r="G1001" s="1" t="str">
        <f>Ocupacao_DW[[#This Row],[data]]&amp;Ocupacao_DW[[#This Row],[profissional_id]]&amp;Ocupacao_DW[[#This Row],[local_id]]</f>
        <v>44643574</v>
      </c>
      <c r="H1001" s="1">
        <f>_xlfn.XLOOKUP(Ocupacao_DW[[#This Row],[Concat]],Vagas!$H:$H,Vagas!$D:$D,"",0)</f>
        <v>0</v>
      </c>
    </row>
    <row r="1002" spans="1:8" x14ac:dyDescent="0.25">
      <c r="A1002" s="2">
        <v>44646</v>
      </c>
      <c r="B1002" s="1" t="s">
        <v>66</v>
      </c>
      <c r="C1002">
        <v>12810</v>
      </c>
      <c r="D1002" s="1" t="s">
        <v>259</v>
      </c>
      <c r="E1002" s="1" t="s">
        <v>167</v>
      </c>
      <c r="F1002">
        <v>339</v>
      </c>
      <c r="G1002" s="1" t="str">
        <f>Ocupacao_DW[[#This Row],[data]]&amp;Ocupacao_DW[[#This Row],[profissional_id]]&amp;Ocupacao_DW[[#This Row],[local_id]]</f>
        <v>4464612810339</v>
      </c>
      <c r="H1002" s="1">
        <f>_xlfn.XLOOKUP(Ocupacao_DW[[#This Row],[Concat]],Vagas!$H:$H,Vagas!$D:$D,"",0)</f>
        <v>0</v>
      </c>
    </row>
    <row r="1003" spans="1:8" x14ac:dyDescent="0.25">
      <c r="A1003" s="2">
        <v>44637</v>
      </c>
      <c r="B1003" s="1" t="s">
        <v>47</v>
      </c>
      <c r="C1003">
        <v>2334</v>
      </c>
      <c r="D1003" s="1" t="s">
        <v>279</v>
      </c>
      <c r="E1003" s="1" t="s">
        <v>4</v>
      </c>
      <c r="F1003">
        <v>335</v>
      </c>
      <c r="G1003" s="1" t="str">
        <f>Ocupacao_DW[[#This Row],[data]]&amp;Ocupacao_DW[[#This Row],[profissional_id]]&amp;Ocupacao_DW[[#This Row],[local_id]]</f>
        <v>446372334335</v>
      </c>
      <c r="H1003" s="1">
        <f>_xlfn.XLOOKUP(Ocupacao_DW[[#This Row],[Concat]],Vagas!$H:$H,Vagas!$D:$D,"",0)</f>
        <v>0</v>
      </c>
    </row>
    <row r="1004" spans="1:8" x14ac:dyDescent="0.25">
      <c r="A1004" s="2">
        <v>44637</v>
      </c>
      <c r="B1004" s="1" t="s">
        <v>47</v>
      </c>
      <c r="C1004">
        <v>2334</v>
      </c>
      <c r="D1004" s="1" t="s">
        <v>279</v>
      </c>
      <c r="E1004" s="1" t="s">
        <v>4</v>
      </c>
      <c r="F1004">
        <v>335</v>
      </c>
      <c r="G1004" s="1" t="str">
        <f>Ocupacao_DW[[#This Row],[data]]&amp;Ocupacao_DW[[#This Row],[profissional_id]]&amp;Ocupacao_DW[[#This Row],[local_id]]</f>
        <v>446372334335</v>
      </c>
      <c r="H1004" s="1">
        <f>_xlfn.XLOOKUP(Ocupacao_DW[[#This Row],[Concat]],Vagas!$H:$H,Vagas!$D:$D,"",0)</f>
        <v>0</v>
      </c>
    </row>
    <row r="1005" spans="1:8" x14ac:dyDescent="0.25">
      <c r="A1005" s="2">
        <v>44635</v>
      </c>
      <c r="B1005" s="1" t="s">
        <v>47</v>
      </c>
      <c r="C1005">
        <v>12752</v>
      </c>
      <c r="D1005" s="1" t="s">
        <v>253</v>
      </c>
      <c r="E1005" s="1" t="s">
        <v>7</v>
      </c>
      <c r="F1005">
        <v>60</v>
      </c>
      <c r="G1005" s="1" t="str">
        <f>Ocupacao_DW[[#This Row],[data]]&amp;Ocupacao_DW[[#This Row],[profissional_id]]&amp;Ocupacao_DW[[#This Row],[local_id]]</f>
        <v>446351275260</v>
      </c>
      <c r="H1005" s="1">
        <f>_xlfn.XLOOKUP(Ocupacao_DW[[#This Row],[Concat]],Vagas!$H:$H,Vagas!$D:$D,"",0)</f>
        <v>0</v>
      </c>
    </row>
    <row r="1006" spans="1:8" x14ac:dyDescent="0.25">
      <c r="A1006" s="2">
        <v>44656</v>
      </c>
      <c r="B1006" s="1" t="s">
        <v>55</v>
      </c>
      <c r="C1006">
        <v>14452</v>
      </c>
      <c r="D1006" s="1" t="s">
        <v>266</v>
      </c>
      <c r="E1006" s="1" t="s">
        <v>200</v>
      </c>
      <c r="F1006">
        <v>78</v>
      </c>
      <c r="G1006" s="1" t="str">
        <f>Ocupacao_DW[[#This Row],[data]]&amp;Ocupacao_DW[[#This Row],[profissional_id]]&amp;Ocupacao_DW[[#This Row],[local_id]]</f>
        <v>446561445278</v>
      </c>
      <c r="H1006" s="1">
        <f>_xlfn.XLOOKUP(Ocupacao_DW[[#This Row],[Concat]],Vagas!$H:$H,Vagas!$D:$D,"",0)</f>
        <v>0</v>
      </c>
    </row>
    <row r="1007" spans="1:8" x14ac:dyDescent="0.25">
      <c r="A1007" s="2">
        <v>44641</v>
      </c>
      <c r="B1007" s="1" t="s">
        <v>49</v>
      </c>
      <c r="C1007">
        <v>3092</v>
      </c>
      <c r="D1007" s="1" t="s">
        <v>262</v>
      </c>
      <c r="E1007" s="1" t="s">
        <v>4</v>
      </c>
      <c r="F1007">
        <v>44</v>
      </c>
      <c r="G1007" s="1" t="str">
        <f>Ocupacao_DW[[#This Row],[data]]&amp;Ocupacao_DW[[#This Row],[profissional_id]]&amp;Ocupacao_DW[[#This Row],[local_id]]</f>
        <v>44641309244</v>
      </c>
      <c r="H1007" s="1">
        <f>_xlfn.XLOOKUP(Ocupacao_DW[[#This Row],[Concat]],Vagas!$H:$H,Vagas!$D:$D,"",0)</f>
        <v>0</v>
      </c>
    </row>
    <row r="1008" spans="1:8" x14ac:dyDescent="0.25">
      <c r="A1008" s="2">
        <v>44648</v>
      </c>
      <c r="B1008" s="1" t="s">
        <v>55</v>
      </c>
      <c r="C1008">
        <v>2984</v>
      </c>
      <c r="D1008" s="1" t="s">
        <v>185</v>
      </c>
      <c r="E1008" s="1" t="s">
        <v>6</v>
      </c>
      <c r="F1008">
        <v>7</v>
      </c>
      <c r="G1008" s="1" t="str">
        <f>Ocupacao_DW[[#This Row],[data]]&amp;Ocupacao_DW[[#This Row],[profissional_id]]&amp;Ocupacao_DW[[#This Row],[local_id]]</f>
        <v>4464829847</v>
      </c>
      <c r="H1008" s="1">
        <f>_xlfn.XLOOKUP(Ocupacao_DW[[#This Row],[Concat]],Vagas!$H:$H,Vagas!$D:$D,"",0)</f>
        <v>0</v>
      </c>
    </row>
    <row r="1009" spans="1:8" x14ac:dyDescent="0.25">
      <c r="A1009" s="2">
        <v>44638</v>
      </c>
      <c r="B1009" s="1" t="s">
        <v>54</v>
      </c>
      <c r="C1009">
        <v>69</v>
      </c>
      <c r="D1009" s="1" t="s">
        <v>238</v>
      </c>
      <c r="E1009" s="1" t="s">
        <v>5</v>
      </c>
      <c r="F1009">
        <v>11</v>
      </c>
      <c r="G1009" s="1" t="str">
        <f>Ocupacao_DW[[#This Row],[data]]&amp;Ocupacao_DW[[#This Row],[profissional_id]]&amp;Ocupacao_DW[[#This Row],[local_id]]</f>
        <v>446386911</v>
      </c>
      <c r="H1009" s="1" t="str">
        <f>_xlfn.XLOOKUP(Ocupacao_DW[[#This Row],[Concat]],Vagas!$H:$H,Vagas!$D:$D,"",0)</f>
        <v/>
      </c>
    </row>
    <row r="1010" spans="1:8" x14ac:dyDescent="0.25">
      <c r="A1010" s="2">
        <v>44635</v>
      </c>
      <c r="B1010" s="1" t="s">
        <v>52</v>
      </c>
      <c r="C1010">
        <v>13061</v>
      </c>
      <c r="D1010" s="1" t="s">
        <v>232</v>
      </c>
      <c r="E1010" s="1" t="s">
        <v>6</v>
      </c>
      <c r="F1010">
        <v>9</v>
      </c>
      <c r="G1010" s="1" t="str">
        <f>Ocupacao_DW[[#This Row],[data]]&amp;Ocupacao_DW[[#This Row],[profissional_id]]&amp;Ocupacao_DW[[#This Row],[local_id]]</f>
        <v>44635130619</v>
      </c>
      <c r="H1010" s="1">
        <f>_xlfn.XLOOKUP(Ocupacao_DW[[#This Row],[Concat]],Vagas!$H:$H,Vagas!$D:$D,"",0)</f>
        <v>0</v>
      </c>
    </row>
    <row r="1011" spans="1:8" x14ac:dyDescent="0.25">
      <c r="A1011" s="2">
        <v>44638</v>
      </c>
      <c r="B1011" s="1" t="s">
        <v>62</v>
      </c>
      <c r="C1011">
        <v>3502</v>
      </c>
      <c r="D1011" s="1" t="s">
        <v>214</v>
      </c>
      <c r="E1011" s="1" t="s">
        <v>7</v>
      </c>
      <c r="F1011">
        <v>69</v>
      </c>
      <c r="G1011" s="1" t="str">
        <f>Ocupacao_DW[[#This Row],[data]]&amp;Ocupacao_DW[[#This Row],[profissional_id]]&amp;Ocupacao_DW[[#This Row],[local_id]]</f>
        <v>44638350269</v>
      </c>
      <c r="H1011" s="1">
        <f>_xlfn.XLOOKUP(Ocupacao_DW[[#This Row],[Concat]],Vagas!$H:$H,Vagas!$D:$D,"",0)</f>
        <v>0</v>
      </c>
    </row>
    <row r="1012" spans="1:8" x14ac:dyDescent="0.25">
      <c r="A1012" s="2">
        <v>44635</v>
      </c>
      <c r="B1012" s="1"/>
      <c r="C1012">
        <v>1343</v>
      </c>
      <c r="D1012" s="1" t="s">
        <v>263</v>
      </c>
      <c r="E1012" s="1" t="s">
        <v>200</v>
      </c>
      <c r="F1012">
        <v>80</v>
      </c>
      <c r="G1012" s="1" t="str">
        <f>Ocupacao_DW[[#This Row],[data]]&amp;Ocupacao_DW[[#This Row],[profissional_id]]&amp;Ocupacao_DW[[#This Row],[local_id]]</f>
        <v>44635134380</v>
      </c>
      <c r="H1012" s="1">
        <f>_xlfn.XLOOKUP(Ocupacao_DW[[#This Row],[Concat]],Vagas!$H:$H,Vagas!$D:$D,"",0)</f>
        <v>0</v>
      </c>
    </row>
    <row r="1013" spans="1:8" x14ac:dyDescent="0.25">
      <c r="A1013" s="2">
        <v>44642</v>
      </c>
      <c r="B1013" s="1"/>
      <c r="C1013">
        <v>12669</v>
      </c>
      <c r="D1013" s="1" t="s">
        <v>223</v>
      </c>
      <c r="E1013" s="1" t="s">
        <v>6</v>
      </c>
      <c r="F1013">
        <v>6</v>
      </c>
      <c r="G1013" s="1" t="str">
        <f>Ocupacao_DW[[#This Row],[data]]&amp;Ocupacao_DW[[#This Row],[profissional_id]]&amp;Ocupacao_DW[[#This Row],[local_id]]</f>
        <v>44642126696</v>
      </c>
      <c r="H1013" s="1">
        <f>_xlfn.XLOOKUP(Ocupacao_DW[[#This Row],[Concat]],Vagas!$H:$H,Vagas!$D:$D,"",0)</f>
        <v>0</v>
      </c>
    </row>
    <row r="1014" spans="1:8" x14ac:dyDescent="0.25">
      <c r="A1014" s="2">
        <v>44635</v>
      </c>
      <c r="B1014" s="1"/>
      <c r="C1014">
        <v>13249</v>
      </c>
      <c r="D1014" s="1" t="s">
        <v>178</v>
      </c>
      <c r="E1014" s="1" t="s">
        <v>4</v>
      </c>
      <c r="F1014">
        <v>45</v>
      </c>
      <c r="G1014" s="1" t="str">
        <f>Ocupacao_DW[[#This Row],[data]]&amp;Ocupacao_DW[[#This Row],[profissional_id]]&amp;Ocupacao_DW[[#This Row],[local_id]]</f>
        <v>446351324945</v>
      </c>
      <c r="H1014" s="1">
        <f>_xlfn.XLOOKUP(Ocupacao_DW[[#This Row],[Concat]],Vagas!$H:$H,Vagas!$D:$D,"",0)</f>
        <v>0</v>
      </c>
    </row>
    <row r="1015" spans="1:8" x14ac:dyDescent="0.25">
      <c r="A1015" s="2">
        <v>44637</v>
      </c>
      <c r="B1015" s="1"/>
      <c r="C1015">
        <v>74</v>
      </c>
      <c r="D1015" s="1" t="s">
        <v>182</v>
      </c>
      <c r="E1015" s="1" t="s">
        <v>6</v>
      </c>
      <c r="F1015">
        <v>7</v>
      </c>
      <c r="G1015" s="1" t="str">
        <f>Ocupacao_DW[[#This Row],[data]]&amp;Ocupacao_DW[[#This Row],[profissional_id]]&amp;Ocupacao_DW[[#This Row],[local_id]]</f>
        <v>44637747</v>
      </c>
      <c r="H1015" s="1">
        <f>_xlfn.XLOOKUP(Ocupacao_DW[[#This Row],[Concat]],Vagas!$H:$H,Vagas!$D:$D,"",0)</f>
        <v>0</v>
      </c>
    </row>
    <row r="1016" spans="1:8" x14ac:dyDescent="0.25">
      <c r="A1016" s="2">
        <v>44643</v>
      </c>
      <c r="B1016" s="1" t="s">
        <v>52</v>
      </c>
      <c r="C1016">
        <v>60</v>
      </c>
      <c r="D1016" s="1" t="s">
        <v>217</v>
      </c>
      <c r="E1016" s="1" t="s">
        <v>6</v>
      </c>
      <c r="F1016">
        <v>8</v>
      </c>
      <c r="G1016" s="1" t="str">
        <f>Ocupacao_DW[[#This Row],[data]]&amp;Ocupacao_DW[[#This Row],[profissional_id]]&amp;Ocupacao_DW[[#This Row],[local_id]]</f>
        <v>44643608</v>
      </c>
      <c r="H1016" s="1">
        <f>_xlfn.XLOOKUP(Ocupacao_DW[[#This Row],[Concat]],Vagas!$H:$H,Vagas!$D:$D,"",0)</f>
        <v>0</v>
      </c>
    </row>
    <row r="1017" spans="1:8" x14ac:dyDescent="0.25">
      <c r="A1017" s="2">
        <v>44658</v>
      </c>
      <c r="B1017" s="1"/>
      <c r="C1017">
        <v>1490</v>
      </c>
      <c r="D1017" s="1" t="s">
        <v>174</v>
      </c>
      <c r="E1017" s="1" t="s">
        <v>5</v>
      </c>
      <c r="F1017">
        <v>12</v>
      </c>
      <c r="G1017" s="1" t="str">
        <f>Ocupacao_DW[[#This Row],[data]]&amp;Ocupacao_DW[[#This Row],[profissional_id]]&amp;Ocupacao_DW[[#This Row],[local_id]]</f>
        <v>44658149012</v>
      </c>
      <c r="H1017" s="1" t="str">
        <f>_xlfn.XLOOKUP(Ocupacao_DW[[#This Row],[Concat]],Vagas!$H:$H,Vagas!$D:$D,"",0)</f>
        <v/>
      </c>
    </row>
    <row r="1018" spans="1:8" x14ac:dyDescent="0.25">
      <c r="A1018" s="2">
        <v>44642</v>
      </c>
      <c r="B1018" s="1" t="s">
        <v>69</v>
      </c>
      <c r="C1018">
        <v>13249</v>
      </c>
      <c r="D1018" s="1" t="s">
        <v>178</v>
      </c>
      <c r="E1018" s="1" t="s">
        <v>4</v>
      </c>
      <c r="F1018">
        <v>45</v>
      </c>
      <c r="G1018" s="1" t="str">
        <f>Ocupacao_DW[[#This Row],[data]]&amp;Ocupacao_DW[[#This Row],[profissional_id]]&amp;Ocupacao_DW[[#This Row],[local_id]]</f>
        <v>446421324945</v>
      </c>
      <c r="H1018" s="1">
        <f>_xlfn.XLOOKUP(Ocupacao_DW[[#This Row],[Concat]],Vagas!$H:$H,Vagas!$D:$D,"",0)</f>
        <v>0</v>
      </c>
    </row>
    <row r="1019" spans="1:8" x14ac:dyDescent="0.25">
      <c r="A1019" s="2">
        <v>44656</v>
      </c>
      <c r="B1019" s="1" t="s">
        <v>69</v>
      </c>
      <c r="C1019">
        <v>13249</v>
      </c>
      <c r="D1019" s="1" t="s">
        <v>178</v>
      </c>
      <c r="E1019" s="1" t="s">
        <v>4</v>
      </c>
      <c r="F1019">
        <v>45</v>
      </c>
      <c r="G1019" s="1" t="str">
        <f>Ocupacao_DW[[#This Row],[data]]&amp;Ocupacao_DW[[#This Row],[profissional_id]]&amp;Ocupacao_DW[[#This Row],[local_id]]</f>
        <v>446561324945</v>
      </c>
      <c r="H1019" s="1" t="str">
        <f>_xlfn.XLOOKUP(Ocupacao_DW[[#This Row],[Concat]],Vagas!$H:$H,Vagas!$D:$D,"",0)</f>
        <v/>
      </c>
    </row>
    <row r="1020" spans="1:8" x14ac:dyDescent="0.25">
      <c r="A1020" s="2">
        <v>44635</v>
      </c>
      <c r="B1020" s="1"/>
      <c r="C1020">
        <v>13249</v>
      </c>
      <c r="D1020" s="1" t="s">
        <v>178</v>
      </c>
      <c r="E1020" s="1" t="s">
        <v>4</v>
      </c>
      <c r="F1020">
        <v>45</v>
      </c>
      <c r="G1020" s="1" t="str">
        <f>Ocupacao_DW[[#This Row],[data]]&amp;Ocupacao_DW[[#This Row],[profissional_id]]&amp;Ocupacao_DW[[#This Row],[local_id]]</f>
        <v>446351324945</v>
      </c>
      <c r="H1020" s="1">
        <f>_xlfn.XLOOKUP(Ocupacao_DW[[#This Row],[Concat]],Vagas!$H:$H,Vagas!$D:$D,"",0)</f>
        <v>0</v>
      </c>
    </row>
    <row r="1021" spans="1:8" x14ac:dyDescent="0.25">
      <c r="A1021" s="2">
        <v>44648</v>
      </c>
      <c r="B1021" s="1"/>
      <c r="C1021">
        <v>13249</v>
      </c>
      <c r="D1021" s="1" t="s">
        <v>178</v>
      </c>
      <c r="E1021" s="1" t="s">
        <v>4</v>
      </c>
      <c r="F1021">
        <v>45</v>
      </c>
      <c r="G1021" s="1" t="str">
        <f>Ocupacao_DW[[#This Row],[data]]&amp;Ocupacao_DW[[#This Row],[profissional_id]]&amp;Ocupacao_DW[[#This Row],[local_id]]</f>
        <v>446481324945</v>
      </c>
      <c r="H1021" s="1">
        <f>_xlfn.XLOOKUP(Ocupacao_DW[[#This Row],[Concat]],Vagas!$H:$H,Vagas!$D:$D,"",0)</f>
        <v>0</v>
      </c>
    </row>
    <row r="1022" spans="1:8" x14ac:dyDescent="0.25">
      <c r="A1022" s="2">
        <v>44643</v>
      </c>
      <c r="B1022" s="1"/>
      <c r="C1022">
        <v>74</v>
      </c>
      <c r="D1022" s="1" t="s">
        <v>182</v>
      </c>
      <c r="E1022" s="1" t="s">
        <v>6</v>
      </c>
      <c r="F1022">
        <v>7</v>
      </c>
      <c r="G1022" s="1" t="str">
        <f>Ocupacao_DW[[#This Row],[data]]&amp;Ocupacao_DW[[#This Row],[profissional_id]]&amp;Ocupacao_DW[[#This Row],[local_id]]</f>
        <v>44643747</v>
      </c>
      <c r="H1022" s="1">
        <f>_xlfn.XLOOKUP(Ocupacao_DW[[#This Row],[Concat]],Vagas!$H:$H,Vagas!$D:$D,"",0)</f>
        <v>0</v>
      </c>
    </row>
    <row r="1023" spans="1:8" x14ac:dyDescent="0.25">
      <c r="A1023" s="2">
        <v>44645</v>
      </c>
      <c r="B1023" s="1" t="s">
        <v>52</v>
      </c>
      <c r="C1023">
        <v>67</v>
      </c>
      <c r="D1023" s="1" t="s">
        <v>172</v>
      </c>
      <c r="E1023" s="1" t="s">
        <v>6</v>
      </c>
      <c r="F1023">
        <v>4</v>
      </c>
      <c r="G1023" s="1" t="str">
        <f>Ocupacao_DW[[#This Row],[data]]&amp;Ocupacao_DW[[#This Row],[profissional_id]]&amp;Ocupacao_DW[[#This Row],[local_id]]</f>
        <v>44645674</v>
      </c>
      <c r="H1023" s="1" t="str">
        <f>_xlfn.XLOOKUP(Ocupacao_DW[[#This Row],[Concat]],Vagas!$H:$H,Vagas!$D:$D,"",0)</f>
        <v/>
      </c>
    </row>
    <row r="1024" spans="1:8" x14ac:dyDescent="0.25">
      <c r="A1024" s="2">
        <v>44635</v>
      </c>
      <c r="B1024" s="1" t="s">
        <v>55</v>
      </c>
      <c r="C1024">
        <v>12669</v>
      </c>
      <c r="D1024" s="1" t="s">
        <v>223</v>
      </c>
      <c r="E1024" s="1" t="s">
        <v>6</v>
      </c>
      <c r="F1024">
        <v>6</v>
      </c>
      <c r="G1024" s="1" t="str">
        <f>Ocupacao_DW[[#This Row],[data]]&amp;Ocupacao_DW[[#This Row],[profissional_id]]&amp;Ocupacao_DW[[#This Row],[local_id]]</f>
        <v>44635126696</v>
      </c>
      <c r="H1024" s="1">
        <f>_xlfn.XLOOKUP(Ocupacao_DW[[#This Row],[Concat]],Vagas!$H:$H,Vagas!$D:$D,"",0)</f>
        <v>0</v>
      </c>
    </row>
    <row r="1025" spans="1:8" x14ac:dyDescent="0.25">
      <c r="A1025" s="2">
        <v>44635</v>
      </c>
      <c r="B1025" s="1"/>
      <c r="C1025">
        <v>14237</v>
      </c>
      <c r="D1025" s="1" t="s">
        <v>186</v>
      </c>
      <c r="E1025" s="1" t="s">
        <v>4</v>
      </c>
      <c r="F1025">
        <v>47</v>
      </c>
      <c r="G1025" s="1" t="str">
        <f>Ocupacao_DW[[#This Row],[data]]&amp;Ocupacao_DW[[#This Row],[profissional_id]]&amp;Ocupacao_DW[[#This Row],[local_id]]</f>
        <v>446351423747</v>
      </c>
      <c r="H1025" s="1">
        <f>_xlfn.XLOOKUP(Ocupacao_DW[[#This Row],[Concat]],Vagas!$H:$H,Vagas!$D:$D,"",0)</f>
        <v>0</v>
      </c>
    </row>
    <row r="1026" spans="1:8" x14ac:dyDescent="0.25">
      <c r="A1026" s="2">
        <v>44641</v>
      </c>
      <c r="B1026" s="1"/>
      <c r="C1026">
        <v>6392</v>
      </c>
      <c r="D1026" s="1" t="s">
        <v>173</v>
      </c>
      <c r="E1026" s="1" t="s">
        <v>6</v>
      </c>
      <c r="F1026">
        <v>5</v>
      </c>
      <c r="G1026" s="1" t="str">
        <f>Ocupacao_DW[[#This Row],[data]]&amp;Ocupacao_DW[[#This Row],[profissional_id]]&amp;Ocupacao_DW[[#This Row],[local_id]]</f>
        <v>4464163925</v>
      </c>
      <c r="H1026" s="1">
        <f>_xlfn.XLOOKUP(Ocupacao_DW[[#This Row],[Concat]],Vagas!$H:$H,Vagas!$D:$D,"",0)</f>
        <v>0</v>
      </c>
    </row>
    <row r="1027" spans="1:8" x14ac:dyDescent="0.25">
      <c r="A1027" s="2">
        <v>44636</v>
      </c>
      <c r="B1027" s="1" t="s">
        <v>49</v>
      </c>
      <c r="C1027">
        <v>6430</v>
      </c>
      <c r="D1027" s="1" t="s">
        <v>188</v>
      </c>
      <c r="E1027" s="1" t="s">
        <v>4</v>
      </c>
      <c r="F1027">
        <v>42</v>
      </c>
      <c r="G1027" s="1" t="str">
        <f>Ocupacao_DW[[#This Row],[data]]&amp;Ocupacao_DW[[#This Row],[profissional_id]]&amp;Ocupacao_DW[[#This Row],[local_id]]</f>
        <v>44636643042</v>
      </c>
      <c r="H1027" s="1">
        <f>_xlfn.XLOOKUP(Ocupacao_DW[[#This Row],[Concat]],Vagas!$H:$H,Vagas!$D:$D,"",0)</f>
        <v>0</v>
      </c>
    </row>
    <row r="1028" spans="1:8" x14ac:dyDescent="0.25">
      <c r="A1028" s="2">
        <v>44637</v>
      </c>
      <c r="B1028" s="1"/>
      <c r="C1028">
        <v>12426</v>
      </c>
      <c r="D1028" s="1" t="s">
        <v>215</v>
      </c>
      <c r="E1028" s="1" t="s">
        <v>6</v>
      </c>
      <c r="F1028">
        <v>5</v>
      </c>
      <c r="G1028" s="1" t="str">
        <f>Ocupacao_DW[[#This Row],[data]]&amp;Ocupacao_DW[[#This Row],[profissional_id]]&amp;Ocupacao_DW[[#This Row],[local_id]]</f>
        <v>44637124265</v>
      </c>
      <c r="H1028" s="1">
        <f>_xlfn.XLOOKUP(Ocupacao_DW[[#This Row],[Concat]],Vagas!$H:$H,Vagas!$D:$D,"",0)</f>
        <v>0</v>
      </c>
    </row>
    <row r="1029" spans="1:8" x14ac:dyDescent="0.25">
      <c r="A1029" s="2">
        <v>44642</v>
      </c>
      <c r="B1029" s="1" t="s">
        <v>55</v>
      </c>
      <c r="C1029">
        <v>73</v>
      </c>
      <c r="D1029" s="1" t="s">
        <v>171</v>
      </c>
      <c r="E1029" s="1" t="s">
        <v>6</v>
      </c>
      <c r="F1029">
        <v>5</v>
      </c>
      <c r="G1029" s="1" t="str">
        <f>Ocupacao_DW[[#This Row],[data]]&amp;Ocupacao_DW[[#This Row],[profissional_id]]&amp;Ocupacao_DW[[#This Row],[local_id]]</f>
        <v>44642735</v>
      </c>
      <c r="H1029" s="1">
        <f>_xlfn.XLOOKUP(Ocupacao_DW[[#This Row],[Concat]],Vagas!$H:$H,Vagas!$D:$D,"",0)</f>
        <v>0</v>
      </c>
    </row>
    <row r="1030" spans="1:8" x14ac:dyDescent="0.25">
      <c r="A1030" s="2">
        <v>44643</v>
      </c>
      <c r="B1030" s="1"/>
      <c r="C1030">
        <v>73</v>
      </c>
      <c r="D1030" s="1" t="s">
        <v>171</v>
      </c>
      <c r="E1030" s="1" t="s">
        <v>6</v>
      </c>
      <c r="F1030">
        <v>5</v>
      </c>
      <c r="G1030" s="1" t="str">
        <f>Ocupacao_DW[[#This Row],[data]]&amp;Ocupacao_DW[[#This Row],[profissional_id]]&amp;Ocupacao_DW[[#This Row],[local_id]]</f>
        <v>44643735</v>
      </c>
      <c r="H1030" s="1">
        <f>_xlfn.XLOOKUP(Ocupacao_DW[[#This Row],[Concat]],Vagas!$H:$H,Vagas!$D:$D,"",0)</f>
        <v>0</v>
      </c>
    </row>
    <row r="1031" spans="1:8" x14ac:dyDescent="0.25">
      <c r="A1031" s="2">
        <v>44643</v>
      </c>
      <c r="B1031" s="1"/>
      <c r="C1031">
        <v>74</v>
      </c>
      <c r="D1031" s="1" t="s">
        <v>182</v>
      </c>
      <c r="E1031" s="1" t="s">
        <v>6</v>
      </c>
      <c r="F1031">
        <v>7</v>
      </c>
      <c r="G1031" s="1" t="str">
        <f>Ocupacao_DW[[#This Row],[data]]&amp;Ocupacao_DW[[#This Row],[profissional_id]]&amp;Ocupacao_DW[[#This Row],[local_id]]</f>
        <v>44643747</v>
      </c>
      <c r="H1031" s="1">
        <f>_xlfn.XLOOKUP(Ocupacao_DW[[#This Row],[Concat]],Vagas!$H:$H,Vagas!$D:$D,"",0)</f>
        <v>0</v>
      </c>
    </row>
    <row r="1032" spans="1:8" x14ac:dyDescent="0.25">
      <c r="A1032" s="2">
        <v>44642</v>
      </c>
      <c r="B1032" s="1"/>
      <c r="C1032">
        <v>14237</v>
      </c>
      <c r="D1032" s="1" t="s">
        <v>186</v>
      </c>
      <c r="E1032" s="1" t="s">
        <v>4</v>
      </c>
      <c r="F1032">
        <v>47</v>
      </c>
      <c r="G1032" s="1" t="str">
        <f>Ocupacao_DW[[#This Row],[data]]&amp;Ocupacao_DW[[#This Row],[profissional_id]]&amp;Ocupacao_DW[[#This Row],[local_id]]</f>
        <v>446421423747</v>
      </c>
      <c r="H1032" s="1">
        <f>_xlfn.XLOOKUP(Ocupacao_DW[[#This Row],[Concat]],Vagas!$H:$H,Vagas!$D:$D,"",0)</f>
        <v>0</v>
      </c>
    </row>
    <row r="1033" spans="1:8" x14ac:dyDescent="0.25">
      <c r="A1033" s="2">
        <v>44643</v>
      </c>
      <c r="B1033" s="1"/>
      <c r="C1033">
        <v>10691</v>
      </c>
      <c r="D1033" s="1" t="s">
        <v>181</v>
      </c>
      <c r="E1033" s="1"/>
      <c r="F1033">
        <v>0</v>
      </c>
      <c r="G1033" s="1" t="str">
        <f>Ocupacao_DW[[#This Row],[data]]&amp;Ocupacao_DW[[#This Row],[profissional_id]]&amp;Ocupacao_DW[[#This Row],[local_id]]</f>
        <v>44643106910</v>
      </c>
      <c r="H1033" s="1" t="str">
        <f>_xlfn.XLOOKUP(Ocupacao_DW[[#This Row],[Concat]],Vagas!$H:$H,Vagas!$D:$D,"",0)</f>
        <v/>
      </c>
    </row>
    <row r="1034" spans="1:8" x14ac:dyDescent="0.25">
      <c r="A1034" s="2">
        <v>44639</v>
      </c>
      <c r="B1034" s="1"/>
      <c r="C1034">
        <v>4887</v>
      </c>
      <c r="D1034" s="1" t="s">
        <v>168</v>
      </c>
      <c r="E1034" s="1" t="s">
        <v>5</v>
      </c>
      <c r="F1034">
        <v>18</v>
      </c>
      <c r="G1034" s="1" t="str">
        <f>Ocupacao_DW[[#This Row],[data]]&amp;Ocupacao_DW[[#This Row],[profissional_id]]&amp;Ocupacao_DW[[#This Row],[local_id]]</f>
        <v>44639488718</v>
      </c>
      <c r="H1034" s="1">
        <f>_xlfn.XLOOKUP(Ocupacao_DW[[#This Row],[Concat]],Vagas!$H:$H,Vagas!$D:$D,"",0)</f>
        <v>0</v>
      </c>
    </row>
    <row r="1035" spans="1:8" x14ac:dyDescent="0.25">
      <c r="A1035" s="2">
        <v>44643</v>
      </c>
      <c r="B1035" s="1"/>
      <c r="C1035">
        <v>10691</v>
      </c>
      <c r="D1035" s="1" t="s">
        <v>181</v>
      </c>
      <c r="E1035" s="1"/>
      <c r="F1035">
        <v>0</v>
      </c>
      <c r="G1035" s="1" t="str">
        <f>Ocupacao_DW[[#This Row],[data]]&amp;Ocupacao_DW[[#This Row],[profissional_id]]&amp;Ocupacao_DW[[#This Row],[local_id]]</f>
        <v>44643106910</v>
      </c>
      <c r="H1035" s="1" t="str">
        <f>_xlfn.XLOOKUP(Ocupacao_DW[[#This Row],[Concat]],Vagas!$H:$H,Vagas!$D:$D,"",0)</f>
        <v/>
      </c>
    </row>
    <row r="1036" spans="1:8" x14ac:dyDescent="0.25">
      <c r="A1036" s="2">
        <v>44643</v>
      </c>
      <c r="B1036" s="1"/>
      <c r="C1036">
        <v>2567</v>
      </c>
      <c r="D1036" s="1" t="s">
        <v>198</v>
      </c>
      <c r="E1036" s="1" t="s">
        <v>5</v>
      </c>
      <c r="F1036">
        <v>349</v>
      </c>
      <c r="G1036" s="1" t="str">
        <f>Ocupacao_DW[[#This Row],[data]]&amp;Ocupacao_DW[[#This Row],[profissional_id]]&amp;Ocupacao_DW[[#This Row],[local_id]]</f>
        <v>446432567349</v>
      </c>
      <c r="H1036" s="1">
        <f>_xlfn.XLOOKUP(Ocupacao_DW[[#This Row],[Concat]],Vagas!$H:$H,Vagas!$D:$D,"",0)</f>
        <v>0</v>
      </c>
    </row>
    <row r="1037" spans="1:8" x14ac:dyDescent="0.25">
      <c r="A1037" s="2">
        <v>44636</v>
      </c>
      <c r="B1037" s="1"/>
      <c r="C1037">
        <v>6430</v>
      </c>
      <c r="D1037" s="1" t="s">
        <v>188</v>
      </c>
      <c r="E1037" s="1" t="s">
        <v>4</v>
      </c>
      <c r="F1037">
        <v>42</v>
      </c>
      <c r="G1037" s="1" t="str">
        <f>Ocupacao_DW[[#This Row],[data]]&amp;Ocupacao_DW[[#This Row],[profissional_id]]&amp;Ocupacao_DW[[#This Row],[local_id]]</f>
        <v>44636643042</v>
      </c>
      <c r="H1037" s="1">
        <f>_xlfn.XLOOKUP(Ocupacao_DW[[#This Row],[Concat]],Vagas!$H:$H,Vagas!$D:$D,"",0)</f>
        <v>0</v>
      </c>
    </row>
    <row r="1038" spans="1:8" x14ac:dyDescent="0.25">
      <c r="A1038" s="2">
        <v>44636</v>
      </c>
      <c r="B1038" s="1"/>
      <c r="C1038">
        <v>6430</v>
      </c>
      <c r="D1038" s="1" t="s">
        <v>188</v>
      </c>
      <c r="E1038" s="1" t="s">
        <v>4</v>
      </c>
      <c r="F1038">
        <v>42</v>
      </c>
      <c r="G1038" s="1" t="str">
        <f>Ocupacao_DW[[#This Row],[data]]&amp;Ocupacao_DW[[#This Row],[profissional_id]]&amp;Ocupacao_DW[[#This Row],[local_id]]</f>
        <v>44636643042</v>
      </c>
      <c r="H1038" s="1">
        <f>_xlfn.XLOOKUP(Ocupacao_DW[[#This Row],[Concat]],Vagas!$H:$H,Vagas!$D:$D,"",0)</f>
        <v>0</v>
      </c>
    </row>
    <row r="1039" spans="1:8" x14ac:dyDescent="0.25">
      <c r="A1039" s="2">
        <v>44635</v>
      </c>
      <c r="B1039" s="1"/>
      <c r="C1039">
        <v>11207</v>
      </c>
      <c r="D1039" s="1" t="s">
        <v>251</v>
      </c>
      <c r="E1039" s="1" t="s">
        <v>4</v>
      </c>
      <c r="F1039">
        <v>51</v>
      </c>
      <c r="G1039" s="1" t="str">
        <f>Ocupacao_DW[[#This Row],[data]]&amp;Ocupacao_DW[[#This Row],[profissional_id]]&amp;Ocupacao_DW[[#This Row],[local_id]]</f>
        <v>446351120751</v>
      </c>
      <c r="H1039" s="1">
        <f>_xlfn.XLOOKUP(Ocupacao_DW[[#This Row],[Concat]],Vagas!$H:$H,Vagas!$D:$D,"",0)</f>
        <v>0</v>
      </c>
    </row>
    <row r="1040" spans="1:8" x14ac:dyDescent="0.25">
      <c r="A1040" s="2">
        <v>44643</v>
      </c>
      <c r="B1040" s="1"/>
      <c r="C1040">
        <v>74</v>
      </c>
      <c r="D1040" s="1" t="s">
        <v>182</v>
      </c>
      <c r="E1040" s="1" t="s">
        <v>6</v>
      </c>
      <c r="F1040">
        <v>7</v>
      </c>
      <c r="G1040" s="1" t="str">
        <f>Ocupacao_DW[[#This Row],[data]]&amp;Ocupacao_DW[[#This Row],[profissional_id]]&amp;Ocupacao_DW[[#This Row],[local_id]]</f>
        <v>44643747</v>
      </c>
      <c r="H1040" s="1">
        <f>_xlfn.XLOOKUP(Ocupacao_DW[[#This Row],[Concat]],Vagas!$H:$H,Vagas!$D:$D,"",0)</f>
        <v>0</v>
      </c>
    </row>
    <row r="1041" spans="1:8" x14ac:dyDescent="0.25">
      <c r="A1041" s="2">
        <v>44636</v>
      </c>
      <c r="B1041" s="1"/>
      <c r="C1041">
        <v>57</v>
      </c>
      <c r="D1041" s="1" t="s">
        <v>169</v>
      </c>
      <c r="E1041" s="1" t="s">
        <v>6</v>
      </c>
      <c r="F1041">
        <v>8</v>
      </c>
      <c r="G1041" s="1" t="str">
        <f>Ocupacao_DW[[#This Row],[data]]&amp;Ocupacao_DW[[#This Row],[profissional_id]]&amp;Ocupacao_DW[[#This Row],[local_id]]</f>
        <v>44636578</v>
      </c>
      <c r="H1041" s="1">
        <f>_xlfn.XLOOKUP(Ocupacao_DW[[#This Row],[Concat]],Vagas!$H:$H,Vagas!$D:$D,"",0)</f>
        <v>14</v>
      </c>
    </row>
    <row r="1042" spans="1:8" x14ac:dyDescent="0.25">
      <c r="A1042" s="2">
        <v>44643</v>
      </c>
      <c r="B1042" s="1"/>
      <c r="C1042">
        <v>74</v>
      </c>
      <c r="D1042" s="1" t="s">
        <v>182</v>
      </c>
      <c r="E1042" s="1" t="s">
        <v>6</v>
      </c>
      <c r="F1042">
        <v>7</v>
      </c>
      <c r="G1042" s="1" t="str">
        <f>Ocupacao_DW[[#This Row],[data]]&amp;Ocupacao_DW[[#This Row],[profissional_id]]&amp;Ocupacao_DW[[#This Row],[local_id]]</f>
        <v>44643747</v>
      </c>
      <c r="H1042" s="1">
        <f>_xlfn.XLOOKUP(Ocupacao_DW[[#This Row],[Concat]],Vagas!$H:$H,Vagas!$D:$D,"",0)</f>
        <v>0</v>
      </c>
    </row>
    <row r="1043" spans="1:8" x14ac:dyDescent="0.25">
      <c r="A1043" s="2">
        <v>44635</v>
      </c>
      <c r="B1043" s="1"/>
      <c r="C1043">
        <v>73</v>
      </c>
      <c r="D1043" s="1" t="s">
        <v>171</v>
      </c>
      <c r="E1043" s="1" t="s">
        <v>6</v>
      </c>
      <c r="F1043">
        <v>5</v>
      </c>
      <c r="G1043" s="1" t="str">
        <f>Ocupacao_DW[[#This Row],[data]]&amp;Ocupacao_DW[[#This Row],[profissional_id]]&amp;Ocupacao_DW[[#This Row],[local_id]]</f>
        <v>44635735</v>
      </c>
      <c r="H1043" s="1">
        <f>_xlfn.XLOOKUP(Ocupacao_DW[[#This Row],[Concat]],Vagas!$H:$H,Vagas!$D:$D,"",0)</f>
        <v>0</v>
      </c>
    </row>
    <row r="1044" spans="1:8" x14ac:dyDescent="0.25">
      <c r="A1044" s="2">
        <v>44636</v>
      </c>
      <c r="B1044" s="1"/>
      <c r="C1044">
        <v>531</v>
      </c>
      <c r="D1044" s="1" t="s">
        <v>213</v>
      </c>
      <c r="E1044" s="1" t="s">
        <v>5</v>
      </c>
      <c r="F1044">
        <v>12</v>
      </c>
      <c r="G1044" s="1" t="str">
        <f>Ocupacao_DW[[#This Row],[data]]&amp;Ocupacao_DW[[#This Row],[profissional_id]]&amp;Ocupacao_DW[[#This Row],[local_id]]</f>
        <v>4463653112</v>
      </c>
      <c r="H1044" s="1">
        <f>_xlfn.XLOOKUP(Ocupacao_DW[[#This Row],[Concat]],Vagas!$H:$H,Vagas!$D:$D,"",0)</f>
        <v>0</v>
      </c>
    </row>
    <row r="1045" spans="1:8" x14ac:dyDescent="0.25">
      <c r="A1045" s="2">
        <v>44636</v>
      </c>
      <c r="B1045" s="1"/>
      <c r="C1045">
        <v>2396</v>
      </c>
      <c r="D1045" s="1" t="s">
        <v>197</v>
      </c>
      <c r="E1045" s="1"/>
      <c r="F1045">
        <v>0</v>
      </c>
      <c r="G1045" s="1" t="str">
        <f>Ocupacao_DW[[#This Row],[data]]&amp;Ocupacao_DW[[#This Row],[profissional_id]]&amp;Ocupacao_DW[[#This Row],[local_id]]</f>
        <v>4463623960</v>
      </c>
      <c r="H1045" s="1" t="str">
        <f>_xlfn.XLOOKUP(Ocupacao_DW[[#This Row],[Concat]],Vagas!$H:$H,Vagas!$D:$D,"",0)</f>
        <v/>
      </c>
    </row>
    <row r="1046" spans="1:8" x14ac:dyDescent="0.25">
      <c r="A1046" s="2">
        <v>44636</v>
      </c>
      <c r="B1046" s="1"/>
      <c r="C1046">
        <v>13061</v>
      </c>
      <c r="D1046" s="1" t="s">
        <v>232</v>
      </c>
      <c r="E1046" s="1"/>
      <c r="F1046">
        <v>0</v>
      </c>
      <c r="G1046" s="1" t="str">
        <f>Ocupacao_DW[[#This Row],[data]]&amp;Ocupacao_DW[[#This Row],[profissional_id]]&amp;Ocupacao_DW[[#This Row],[local_id]]</f>
        <v>44636130610</v>
      </c>
      <c r="H1046" s="1" t="str">
        <f>_xlfn.XLOOKUP(Ocupacao_DW[[#This Row],[Concat]],Vagas!$H:$H,Vagas!$D:$D,"",0)</f>
        <v/>
      </c>
    </row>
    <row r="1047" spans="1:8" x14ac:dyDescent="0.25">
      <c r="A1047" s="2">
        <v>44635</v>
      </c>
      <c r="B1047" s="1"/>
      <c r="C1047">
        <v>282</v>
      </c>
      <c r="D1047" s="1" t="s">
        <v>210</v>
      </c>
      <c r="E1047" s="1" t="s">
        <v>4</v>
      </c>
      <c r="F1047">
        <v>39</v>
      </c>
      <c r="G1047" s="1" t="str">
        <f>Ocupacao_DW[[#This Row],[data]]&amp;Ocupacao_DW[[#This Row],[profissional_id]]&amp;Ocupacao_DW[[#This Row],[local_id]]</f>
        <v>4463528239</v>
      </c>
      <c r="H1047" s="1">
        <f>_xlfn.XLOOKUP(Ocupacao_DW[[#This Row],[Concat]],Vagas!$H:$H,Vagas!$D:$D,"",0)</f>
        <v>50</v>
      </c>
    </row>
    <row r="1048" spans="1:8" x14ac:dyDescent="0.25">
      <c r="A1048" s="2">
        <v>44636</v>
      </c>
      <c r="B1048" s="1"/>
      <c r="C1048">
        <v>10785</v>
      </c>
      <c r="D1048" s="1" t="s">
        <v>237</v>
      </c>
      <c r="E1048" s="1" t="s">
        <v>5</v>
      </c>
      <c r="F1048">
        <v>14</v>
      </c>
      <c r="G1048" s="1" t="str">
        <f>Ocupacao_DW[[#This Row],[data]]&amp;Ocupacao_DW[[#This Row],[profissional_id]]&amp;Ocupacao_DW[[#This Row],[local_id]]</f>
        <v>446361078514</v>
      </c>
      <c r="H1048" s="1">
        <f>_xlfn.XLOOKUP(Ocupacao_DW[[#This Row],[Concat]],Vagas!$H:$H,Vagas!$D:$D,"",0)</f>
        <v>8</v>
      </c>
    </row>
    <row r="1049" spans="1:8" x14ac:dyDescent="0.25">
      <c r="A1049" s="2">
        <v>44638</v>
      </c>
      <c r="B1049" s="1"/>
      <c r="C1049">
        <v>10691</v>
      </c>
      <c r="D1049" s="1" t="s">
        <v>181</v>
      </c>
      <c r="E1049" s="1" t="s">
        <v>200</v>
      </c>
      <c r="F1049">
        <v>78</v>
      </c>
      <c r="G1049" s="1" t="str">
        <f>Ocupacao_DW[[#This Row],[data]]&amp;Ocupacao_DW[[#This Row],[profissional_id]]&amp;Ocupacao_DW[[#This Row],[local_id]]</f>
        <v>446381069178</v>
      </c>
      <c r="H1049" s="1">
        <f>_xlfn.XLOOKUP(Ocupacao_DW[[#This Row],[Concat]],Vagas!$H:$H,Vagas!$D:$D,"",0)</f>
        <v>0</v>
      </c>
    </row>
    <row r="1050" spans="1:8" x14ac:dyDescent="0.25">
      <c r="A1050" s="2">
        <v>44635</v>
      </c>
      <c r="B1050" s="1"/>
      <c r="C1050">
        <v>12669</v>
      </c>
      <c r="D1050" s="1" t="s">
        <v>223</v>
      </c>
      <c r="E1050" s="1" t="s">
        <v>6</v>
      </c>
      <c r="F1050">
        <v>6</v>
      </c>
      <c r="G1050" s="1" t="str">
        <f>Ocupacao_DW[[#This Row],[data]]&amp;Ocupacao_DW[[#This Row],[profissional_id]]&amp;Ocupacao_DW[[#This Row],[local_id]]</f>
        <v>44635126696</v>
      </c>
      <c r="H1050" s="1">
        <f>_xlfn.XLOOKUP(Ocupacao_DW[[#This Row],[Concat]],Vagas!$H:$H,Vagas!$D:$D,"",0)</f>
        <v>0</v>
      </c>
    </row>
    <row r="1051" spans="1:8" x14ac:dyDescent="0.25">
      <c r="A1051" s="2">
        <v>44636</v>
      </c>
      <c r="B1051" s="1"/>
      <c r="C1051">
        <v>6430</v>
      </c>
      <c r="D1051" s="1" t="s">
        <v>188</v>
      </c>
      <c r="E1051" s="1" t="s">
        <v>4</v>
      </c>
      <c r="F1051">
        <v>42</v>
      </c>
      <c r="G1051" s="1" t="str">
        <f>Ocupacao_DW[[#This Row],[data]]&amp;Ocupacao_DW[[#This Row],[profissional_id]]&amp;Ocupacao_DW[[#This Row],[local_id]]</f>
        <v>44636643042</v>
      </c>
      <c r="H1051" s="1">
        <f>_xlfn.XLOOKUP(Ocupacao_DW[[#This Row],[Concat]],Vagas!$H:$H,Vagas!$D:$D,"",0)</f>
        <v>0</v>
      </c>
    </row>
    <row r="1052" spans="1:8" x14ac:dyDescent="0.25">
      <c r="A1052" s="2">
        <v>44639</v>
      </c>
      <c r="B1052" s="1"/>
      <c r="C1052">
        <v>4887</v>
      </c>
      <c r="D1052" s="1" t="s">
        <v>168</v>
      </c>
      <c r="E1052" s="1" t="s">
        <v>5</v>
      </c>
      <c r="F1052">
        <v>18</v>
      </c>
      <c r="G1052" s="1" t="str">
        <f>Ocupacao_DW[[#This Row],[data]]&amp;Ocupacao_DW[[#This Row],[profissional_id]]&amp;Ocupacao_DW[[#This Row],[local_id]]</f>
        <v>44639488718</v>
      </c>
      <c r="H1052" s="1">
        <f>_xlfn.XLOOKUP(Ocupacao_DW[[#This Row],[Concat]],Vagas!$H:$H,Vagas!$D:$D,"",0)</f>
        <v>0</v>
      </c>
    </row>
    <row r="1053" spans="1:8" x14ac:dyDescent="0.25">
      <c r="A1053" s="2">
        <v>44636</v>
      </c>
      <c r="B1053" s="1"/>
      <c r="C1053">
        <v>60</v>
      </c>
      <c r="D1053" s="1" t="s">
        <v>217</v>
      </c>
      <c r="E1053" s="1"/>
      <c r="F1053">
        <v>0</v>
      </c>
      <c r="G1053" s="1" t="str">
        <f>Ocupacao_DW[[#This Row],[data]]&amp;Ocupacao_DW[[#This Row],[profissional_id]]&amp;Ocupacao_DW[[#This Row],[local_id]]</f>
        <v>44636600</v>
      </c>
      <c r="H1053" s="1" t="str">
        <f>_xlfn.XLOOKUP(Ocupacao_DW[[#This Row],[Concat]],Vagas!$H:$H,Vagas!$D:$D,"",0)</f>
        <v/>
      </c>
    </row>
    <row r="1054" spans="1:8" x14ac:dyDescent="0.25">
      <c r="A1054" s="2">
        <v>44636</v>
      </c>
      <c r="B1054" s="1"/>
      <c r="C1054">
        <v>2396</v>
      </c>
      <c r="D1054" s="1" t="s">
        <v>197</v>
      </c>
      <c r="E1054" s="1"/>
      <c r="F1054">
        <v>0</v>
      </c>
      <c r="G1054" s="1" t="str">
        <f>Ocupacao_DW[[#This Row],[data]]&amp;Ocupacao_DW[[#This Row],[profissional_id]]&amp;Ocupacao_DW[[#This Row],[local_id]]</f>
        <v>4463623960</v>
      </c>
      <c r="H1054" s="1" t="str">
        <f>_xlfn.XLOOKUP(Ocupacao_DW[[#This Row],[Concat]],Vagas!$H:$H,Vagas!$D:$D,"",0)</f>
        <v/>
      </c>
    </row>
    <row r="1055" spans="1:8" x14ac:dyDescent="0.25">
      <c r="A1055" s="2">
        <v>44635</v>
      </c>
      <c r="B1055" s="1"/>
      <c r="C1055">
        <v>2984</v>
      </c>
      <c r="D1055" s="1" t="s">
        <v>185</v>
      </c>
      <c r="E1055" s="1"/>
      <c r="F1055">
        <v>0</v>
      </c>
      <c r="G1055" s="1" t="str">
        <f>Ocupacao_DW[[#This Row],[data]]&amp;Ocupacao_DW[[#This Row],[profissional_id]]&amp;Ocupacao_DW[[#This Row],[local_id]]</f>
        <v>4463529840</v>
      </c>
      <c r="H1055" s="1" t="str">
        <f>_xlfn.XLOOKUP(Ocupacao_DW[[#This Row],[Concat]],Vagas!$H:$H,Vagas!$D:$D,"",0)</f>
        <v/>
      </c>
    </row>
    <row r="1056" spans="1:8" x14ac:dyDescent="0.25">
      <c r="A1056" s="2">
        <v>44638</v>
      </c>
      <c r="B1056" s="1"/>
      <c r="C1056">
        <v>10691</v>
      </c>
      <c r="D1056" s="1" t="s">
        <v>181</v>
      </c>
      <c r="E1056" s="1" t="s">
        <v>200</v>
      </c>
      <c r="F1056">
        <v>78</v>
      </c>
      <c r="G1056" s="1" t="str">
        <f>Ocupacao_DW[[#This Row],[data]]&amp;Ocupacao_DW[[#This Row],[profissional_id]]&amp;Ocupacao_DW[[#This Row],[local_id]]</f>
        <v>446381069178</v>
      </c>
      <c r="H1056" s="1">
        <f>_xlfn.XLOOKUP(Ocupacao_DW[[#This Row],[Concat]],Vagas!$H:$H,Vagas!$D:$D,"",0)</f>
        <v>0</v>
      </c>
    </row>
    <row r="1057" spans="1:8" x14ac:dyDescent="0.25">
      <c r="A1057" s="2">
        <v>44643</v>
      </c>
      <c r="B1057" s="1"/>
      <c r="C1057">
        <v>73</v>
      </c>
      <c r="D1057" s="1" t="s">
        <v>171</v>
      </c>
      <c r="E1057" s="1" t="s">
        <v>6</v>
      </c>
      <c r="F1057">
        <v>5</v>
      </c>
      <c r="G1057" s="1" t="str">
        <f>Ocupacao_DW[[#This Row],[data]]&amp;Ocupacao_DW[[#This Row],[profissional_id]]&amp;Ocupacao_DW[[#This Row],[local_id]]</f>
        <v>44643735</v>
      </c>
      <c r="H1057" s="1">
        <f>_xlfn.XLOOKUP(Ocupacao_DW[[#This Row],[Concat]],Vagas!$H:$H,Vagas!$D:$D,"",0)</f>
        <v>0</v>
      </c>
    </row>
    <row r="1058" spans="1:8" x14ac:dyDescent="0.25">
      <c r="A1058" s="2">
        <v>44635</v>
      </c>
      <c r="B1058" s="1"/>
      <c r="C1058">
        <v>2984</v>
      </c>
      <c r="D1058" s="1" t="s">
        <v>185</v>
      </c>
      <c r="E1058" s="1"/>
      <c r="F1058">
        <v>0</v>
      </c>
      <c r="G1058" s="1" t="str">
        <f>Ocupacao_DW[[#This Row],[data]]&amp;Ocupacao_DW[[#This Row],[profissional_id]]&amp;Ocupacao_DW[[#This Row],[local_id]]</f>
        <v>4463529840</v>
      </c>
      <c r="H1058" s="1" t="str">
        <f>_xlfn.XLOOKUP(Ocupacao_DW[[#This Row],[Concat]],Vagas!$H:$H,Vagas!$D:$D,"",0)</f>
        <v/>
      </c>
    </row>
    <row r="1059" spans="1:8" x14ac:dyDescent="0.25">
      <c r="A1059" s="2">
        <v>44635</v>
      </c>
      <c r="B1059" s="1"/>
      <c r="C1059">
        <v>2984</v>
      </c>
      <c r="D1059" s="1" t="s">
        <v>185</v>
      </c>
      <c r="E1059" s="1"/>
      <c r="F1059">
        <v>0</v>
      </c>
      <c r="G1059" s="1" t="str">
        <f>Ocupacao_DW[[#This Row],[data]]&amp;Ocupacao_DW[[#This Row],[profissional_id]]&amp;Ocupacao_DW[[#This Row],[local_id]]</f>
        <v>4463529840</v>
      </c>
      <c r="H1059" s="1" t="str">
        <f>_xlfn.XLOOKUP(Ocupacao_DW[[#This Row],[Concat]],Vagas!$H:$H,Vagas!$D:$D,"",0)</f>
        <v/>
      </c>
    </row>
    <row r="1060" spans="1:8" x14ac:dyDescent="0.25">
      <c r="A1060" s="2">
        <v>44650</v>
      </c>
      <c r="B1060" s="1"/>
      <c r="C1060">
        <v>86</v>
      </c>
      <c r="D1060" s="1" t="s">
        <v>175</v>
      </c>
      <c r="E1060" s="1" t="s">
        <v>7</v>
      </c>
      <c r="F1060">
        <v>66</v>
      </c>
      <c r="G1060" s="1" t="str">
        <f>Ocupacao_DW[[#This Row],[data]]&amp;Ocupacao_DW[[#This Row],[profissional_id]]&amp;Ocupacao_DW[[#This Row],[local_id]]</f>
        <v>446508666</v>
      </c>
      <c r="H1060" s="1">
        <f>_xlfn.XLOOKUP(Ocupacao_DW[[#This Row],[Concat]],Vagas!$H:$H,Vagas!$D:$D,"",0)</f>
        <v>0</v>
      </c>
    </row>
    <row r="1061" spans="1:8" x14ac:dyDescent="0.25">
      <c r="A1061" s="2">
        <v>44643</v>
      </c>
      <c r="B1061" s="1"/>
      <c r="C1061">
        <v>6430</v>
      </c>
      <c r="D1061" s="1" t="s">
        <v>188</v>
      </c>
      <c r="E1061" s="1" t="s">
        <v>4</v>
      </c>
      <c r="F1061">
        <v>42</v>
      </c>
      <c r="G1061" s="1" t="str">
        <f>Ocupacao_DW[[#This Row],[data]]&amp;Ocupacao_DW[[#This Row],[profissional_id]]&amp;Ocupacao_DW[[#This Row],[local_id]]</f>
        <v>44643643042</v>
      </c>
      <c r="H1061" s="1">
        <f>_xlfn.XLOOKUP(Ocupacao_DW[[#This Row],[Concat]],Vagas!$H:$H,Vagas!$D:$D,"",0)</f>
        <v>0</v>
      </c>
    </row>
    <row r="1062" spans="1:8" x14ac:dyDescent="0.25">
      <c r="A1062" s="2">
        <v>44635</v>
      </c>
      <c r="B1062" s="1"/>
      <c r="C1062">
        <v>14237</v>
      </c>
      <c r="D1062" s="1" t="s">
        <v>186</v>
      </c>
      <c r="E1062" s="1" t="s">
        <v>4</v>
      </c>
      <c r="F1062">
        <v>47</v>
      </c>
      <c r="G1062" s="1" t="str">
        <f>Ocupacao_DW[[#This Row],[data]]&amp;Ocupacao_DW[[#This Row],[profissional_id]]&amp;Ocupacao_DW[[#This Row],[local_id]]</f>
        <v>446351423747</v>
      </c>
      <c r="H1062" s="1">
        <f>_xlfn.XLOOKUP(Ocupacao_DW[[#This Row],[Concat]],Vagas!$H:$H,Vagas!$D:$D,"",0)</f>
        <v>0</v>
      </c>
    </row>
    <row r="1063" spans="1:8" x14ac:dyDescent="0.25">
      <c r="A1063" s="2">
        <v>44643</v>
      </c>
      <c r="B1063" s="1"/>
      <c r="C1063">
        <v>17859</v>
      </c>
      <c r="D1063" s="1" t="s">
        <v>212</v>
      </c>
      <c r="E1063" s="1" t="s">
        <v>6</v>
      </c>
      <c r="F1063">
        <v>7</v>
      </c>
      <c r="G1063" s="1" t="str">
        <f>Ocupacao_DW[[#This Row],[data]]&amp;Ocupacao_DW[[#This Row],[profissional_id]]&amp;Ocupacao_DW[[#This Row],[local_id]]</f>
        <v>44643178597</v>
      </c>
      <c r="H1063" s="1">
        <f>_xlfn.XLOOKUP(Ocupacao_DW[[#This Row],[Concat]],Vagas!$H:$H,Vagas!$D:$D,"",0)</f>
        <v>0</v>
      </c>
    </row>
    <row r="1064" spans="1:8" x14ac:dyDescent="0.25">
      <c r="A1064" s="2">
        <v>44643</v>
      </c>
      <c r="B1064" s="1"/>
      <c r="C1064">
        <v>5927</v>
      </c>
      <c r="D1064" s="1" t="s">
        <v>226</v>
      </c>
      <c r="E1064" s="1" t="s">
        <v>5</v>
      </c>
      <c r="F1064">
        <v>17</v>
      </c>
      <c r="G1064" s="1" t="str">
        <f>Ocupacao_DW[[#This Row],[data]]&amp;Ocupacao_DW[[#This Row],[profissional_id]]&amp;Ocupacao_DW[[#This Row],[local_id]]</f>
        <v>44643592717</v>
      </c>
      <c r="H1064" s="1">
        <f>_xlfn.XLOOKUP(Ocupacao_DW[[#This Row],[Concat]],Vagas!$H:$H,Vagas!$D:$D,"",0)</f>
        <v>0</v>
      </c>
    </row>
    <row r="1065" spans="1:8" x14ac:dyDescent="0.25">
      <c r="A1065" s="2">
        <v>44641</v>
      </c>
      <c r="B1065" s="1"/>
      <c r="C1065">
        <v>10595</v>
      </c>
      <c r="D1065" s="1" t="s">
        <v>218</v>
      </c>
      <c r="E1065" s="1" t="s">
        <v>200</v>
      </c>
      <c r="F1065">
        <v>78</v>
      </c>
      <c r="G1065" s="1" t="str">
        <f>Ocupacao_DW[[#This Row],[data]]&amp;Ocupacao_DW[[#This Row],[profissional_id]]&amp;Ocupacao_DW[[#This Row],[local_id]]</f>
        <v>446411059578</v>
      </c>
      <c r="H1065" s="1">
        <f>_xlfn.XLOOKUP(Ocupacao_DW[[#This Row],[Concat]],Vagas!$H:$H,Vagas!$D:$D,"",0)</f>
        <v>0</v>
      </c>
    </row>
    <row r="1066" spans="1:8" x14ac:dyDescent="0.25">
      <c r="A1066" s="2">
        <v>44635</v>
      </c>
      <c r="B1066" s="1"/>
      <c r="C1066">
        <v>14452</v>
      </c>
      <c r="D1066" s="1" t="s">
        <v>266</v>
      </c>
      <c r="E1066" s="1"/>
      <c r="F1066">
        <v>0</v>
      </c>
      <c r="G1066" s="1" t="str">
        <f>Ocupacao_DW[[#This Row],[data]]&amp;Ocupacao_DW[[#This Row],[profissional_id]]&amp;Ocupacao_DW[[#This Row],[local_id]]</f>
        <v>44635144520</v>
      </c>
      <c r="H1066" s="1" t="str">
        <f>_xlfn.XLOOKUP(Ocupacao_DW[[#This Row],[Concat]],Vagas!$H:$H,Vagas!$D:$D,"",0)</f>
        <v/>
      </c>
    </row>
    <row r="1067" spans="1:8" x14ac:dyDescent="0.25">
      <c r="A1067" s="2">
        <v>44646</v>
      </c>
      <c r="B1067" s="1"/>
      <c r="C1067">
        <v>117</v>
      </c>
      <c r="D1067" s="1" t="s">
        <v>180</v>
      </c>
      <c r="E1067" s="1"/>
      <c r="F1067">
        <v>0</v>
      </c>
      <c r="G1067" s="1" t="str">
        <f>Ocupacao_DW[[#This Row],[data]]&amp;Ocupacao_DW[[#This Row],[profissional_id]]&amp;Ocupacao_DW[[#This Row],[local_id]]</f>
        <v>446461170</v>
      </c>
      <c r="H1067" s="1" t="str">
        <f>_xlfn.XLOOKUP(Ocupacao_DW[[#This Row],[Concat]],Vagas!$H:$H,Vagas!$D:$D,"",0)</f>
        <v/>
      </c>
    </row>
    <row r="1068" spans="1:8" x14ac:dyDescent="0.25">
      <c r="A1068" s="2">
        <v>44657</v>
      </c>
      <c r="B1068" s="1"/>
      <c r="C1068">
        <v>67</v>
      </c>
      <c r="D1068" s="1" t="s">
        <v>172</v>
      </c>
      <c r="E1068" s="1" t="s">
        <v>6</v>
      </c>
      <c r="F1068">
        <v>8</v>
      </c>
      <c r="G1068" s="1" t="str">
        <f>Ocupacao_DW[[#This Row],[data]]&amp;Ocupacao_DW[[#This Row],[profissional_id]]&amp;Ocupacao_DW[[#This Row],[local_id]]</f>
        <v>44657678</v>
      </c>
      <c r="H1068" s="1">
        <f>_xlfn.XLOOKUP(Ocupacao_DW[[#This Row],[Concat]],Vagas!$H:$H,Vagas!$D:$D,"",0)</f>
        <v>0</v>
      </c>
    </row>
    <row r="1069" spans="1:8" x14ac:dyDescent="0.25">
      <c r="A1069" s="2">
        <v>44643</v>
      </c>
      <c r="B1069" s="1"/>
      <c r="C1069">
        <v>12825</v>
      </c>
      <c r="D1069" s="1" t="s">
        <v>177</v>
      </c>
      <c r="E1069" s="1"/>
      <c r="F1069">
        <v>0</v>
      </c>
      <c r="G1069" s="1" t="str">
        <f>Ocupacao_DW[[#This Row],[data]]&amp;Ocupacao_DW[[#This Row],[profissional_id]]&amp;Ocupacao_DW[[#This Row],[local_id]]</f>
        <v>44643128250</v>
      </c>
      <c r="H1069" s="1" t="str">
        <f>_xlfn.XLOOKUP(Ocupacao_DW[[#This Row],[Concat]],Vagas!$H:$H,Vagas!$D:$D,"",0)</f>
        <v/>
      </c>
    </row>
    <row r="1070" spans="1:8" x14ac:dyDescent="0.25">
      <c r="A1070" s="2">
        <v>44641</v>
      </c>
      <c r="B1070" s="1" t="s">
        <v>55</v>
      </c>
      <c r="C1070">
        <v>12669</v>
      </c>
      <c r="D1070" s="1" t="s">
        <v>223</v>
      </c>
      <c r="E1070" s="1" t="s">
        <v>6</v>
      </c>
      <c r="F1070">
        <v>6</v>
      </c>
      <c r="G1070" s="1" t="str">
        <f>Ocupacao_DW[[#This Row],[data]]&amp;Ocupacao_DW[[#This Row],[profissional_id]]&amp;Ocupacao_DW[[#This Row],[local_id]]</f>
        <v>44641126696</v>
      </c>
      <c r="H1070" s="1">
        <f>_xlfn.XLOOKUP(Ocupacao_DW[[#This Row],[Concat]],Vagas!$H:$H,Vagas!$D:$D,"",0)</f>
        <v>0</v>
      </c>
    </row>
    <row r="1071" spans="1:8" x14ac:dyDescent="0.25">
      <c r="A1071" s="2">
        <v>44636</v>
      </c>
      <c r="B1071" s="1"/>
      <c r="C1071">
        <v>1343</v>
      </c>
      <c r="D1071" s="1" t="s">
        <v>263</v>
      </c>
      <c r="E1071" s="1" t="s">
        <v>167</v>
      </c>
      <c r="F1071">
        <v>342</v>
      </c>
      <c r="G1071" s="1" t="str">
        <f>Ocupacao_DW[[#This Row],[data]]&amp;Ocupacao_DW[[#This Row],[profissional_id]]&amp;Ocupacao_DW[[#This Row],[local_id]]</f>
        <v>446361343342</v>
      </c>
      <c r="H1071" s="1">
        <f>_xlfn.XLOOKUP(Ocupacao_DW[[#This Row],[Concat]],Vagas!$H:$H,Vagas!$D:$D,"",0)</f>
        <v>0</v>
      </c>
    </row>
    <row r="1072" spans="1:8" x14ac:dyDescent="0.25">
      <c r="A1072" s="2">
        <v>44643</v>
      </c>
      <c r="B1072" s="1"/>
      <c r="C1072">
        <v>74</v>
      </c>
      <c r="D1072" s="1" t="s">
        <v>182</v>
      </c>
      <c r="E1072" s="1" t="s">
        <v>6</v>
      </c>
      <c r="F1072">
        <v>7</v>
      </c>
      <c r="G1072" s="1" t="str">
        <f>Ocupacao_DW[[#This Row],[data]]&amp;Ocupacao_DW[[#This Row],[profissional_id]]&amp;Ocupacao_DW[[#This Row],[local_id]]</f>
        <v>44643747</v>
      </c>
      <c r="H1072" s="1">
        <f>_xlfn.XLOOKUP(Ocupacao_DW[[#This Row],[Concat]],Vagas!$H:$H,Vagas!$D:$D,"",0)</f>
        <v>0</v>
      </c>
    </row>
    <row r="1073" spans="1:8" x14ac:dyDescent="0.25">
      <c r="A1073" s="2">
        <v>44636</v>
      </c>
      <c r="B1073" s="1"/>
      <c r="C1073">
        <v>12679</v>
      </c>
      <c r="D1073" s="1" t="s">
        <v>192</v>
      </c>
      <c r="E1073" s="1" t="s">
        <v>200</v>
      </c>
      <c r="F1073">
        <v>82</v>
      </c>
      <c r="G1073" s="1" t="str">
        <f>Ocupacao_DW[[#This Row],[data]]&amp;Ocupacao_DW[[#This Row],[profissional_id]]&amp;Ocupacao_DW[[#This Row],[local_id]]</f>
        <v>446361267982</v>
      </c>
      <c r="H1073" s="1">
        <f>_xlfn.XLOOKUP(Ocupacao_DW[[#This Row],[Concat]],Vagas!$H:$H,Vagas!$D:$D,"",0)</f>
        <v>0</v>
      </c>
    </row>
    <row r="1074" spans="1:8" x14ac:dyDescent="0.25">
      <c r="A1074" s="2">
        <v>44636</v>
      </c>
      <c r="B1074" s="1"/>
      <c r="C1074">
        <v>7551</v>
      </c>
      <c r="D1074" s="1" t="s">
        <v>246</v>
      </c>
      <c r="E1074" s="1" t="s">
        <v>5</v>
      </c>
      <c r="F1074">
        <v>15</v>
      </c>
      <c r="G1074" s="1" t="str">
        <f>Ocupacao_DW[[#This Row],[data]]&amp;Ocupacao_DW[[#This Row],[profissional_id]]&amp;Ocupacao_DW[[#This Row],[local_id]]</f>
        <v>44636755115</v>
      </c>
      <c r="H1074" s="1">
        <f>_xlfn.XLOOKUP(Ocupacao_DW[[#This Row],[Concat]],Vagas!$H:$H,Vagas!$D:$D,"",0)</f>
        <v>0</v>
      </c>
    </row>
    <row r="1075" spans="1:8" x14ac:dyDescent="0.25">
      <c r="A1075" s="2">
        <v>44636</v>
      </c>
      <c r="B1075" s="1"/>
      <c r="C1075">
        <v>2396</v>
      </c>
      <c r="D1075" s="1" t="s">
        <v>197</v>
      </c>
      <c r="E1075" s="1"/>
      <c r="F1075">
        <v>0</v>
      </c>
      <c r="G1075" s="1" t="str">
        <f>Ocupacao_DW[[#This Row],[data]]&amp;Ocupacao_DW[[#This Row],[profissional_id]]&amp;Ocupacao_DW[[#This Row],[local_id]]</f>
        <v>4463623960</v>
      </c>
      <c r="H1075" s="1" t="str">
        <f>_xlfn.XLOOKUP(Ocupacao_DW[[#This Row],[Concat]],Vagas!$H:$H,Vagas!$D:$D,"",0)</f>
        <v/>
      </c>
    </row>
    <row r="1076" spans="1:8" x14ac:dyDescent="0.25">
      <c r="A1076" s="2">
        <v>44635</v>
      </c>
      <c r="B1076" s="1"/>
      <c r="C1076">
        <v>2984</v>
      </c>
      <c r="D1076" s="1" t="s">
        <v>185</v>
      </c>
      <c r="E1076" s="1"/>
      <c r="F1076">
        <v>0</v>
      </c>
      <c r="G1076" s="1" t="str">
        <f>Ocupacao_DW[[#This Row],[data]]&amp;Ocupacao_DW[[#This Row],[profissional_id]]&amp;Ocupacao_DW[[#This Row],[local_id]]</f>
        <v>4463529840</v>
      </c>
      <c r="H1076" s="1" t="str">
        <f>_xlfn.XLOOKUP(Ocupacao_DW[[#This Row],[Concat]],Vagas!$H:$H,Vagas!$D:$D,"",0)</f>
        <v/>
      </c>
    </row>
    <row r="1077" spans="1:8" x14ac:dyDescent="0.25">
      <c r="A1077" s="2">
        <v>44643</v>
      </c>
      <c r="B1077" s="1"/>
      <c r="C1077">
        <v>73</v>
      </c>
      <c r="D1077" s="1" t="s">
        <v>171</v>
      </c>
      <c r="E1077" s="1" t="s">
        <v>6</v>
      </c>
      <c r="F1077">
        <v>5</v>
      </c>
      <c r="G1077" s="1" t="str">
        <f>Ocupacao_DW[[#This Row],[data]]&amp;Ocupacao_DW[[#This Row],[profissional_id]]&amp;Ocupacao_DW[[#This Row],[local_id]]</f>
        <v>44643735</v>
      </c>
      <c r="H1077" s="1">
        <f>_xlfn.XLOOKUP(Ocupacao_DW[[#This Row],[Concat]],Vagas!$H:$H,Vagas!$D:$D,"",0)</f>
        <v>0</v>
      </c>
    </row>
    <row r="1078" spans="1:8" x14ac:dyDescent="0.25">
      <c r="A1078" s="2">
        <v>44639</v>
      </c>
      <c r="B1078" s="1"/>
      <c r="C1078">
        <v>111</v>
      </c>
      <c r="D1078" s="1" t="s">
        <v>199</v>
      </c>
      <c r="E1078" s="1" t="s">
        <v>4</v>
      </c>
      <c r="F1078">
        <v>51</v>
      </c>
      <c r="G1078" s="1" t="str">
        <f>Ocupacao_DW[[#This Row],[data]]&amp;Ocupacao_DW[[#This Row],[profissional_id]]&amp;Ocupacao_DW[[#This Row],[local_id]]</f>
        <v>4463911151</v>
      </c>
      <c r="H1078" s="1">
        <f>_xlfn.XLOOKUP(Ocupacao_DW[[#This Row],[Concat]],Vagas!$H:$H,Vagas!$D:$D,"",0)</f>
        <v>0</v>
      </c>
    </row>
    <row r="1079" spans="1:8" x14ac:dyDescent="0.25">
      <c r="A1079" s="2">
        <v>44644</v>
      </c>
      <c r="B1079" s="1"/>
      <c r="C1079">
        <v>12426</v>
      </c>
      <c r="D1079" s="1" t="s">
        <v>215</v>
      </c>
      <c r="E1079" s="1" t="s">
        <v>6</v>
      </c>
      <c r="F1079">
        <v>5</v>
      </c>
      <c r="G1079" s="1" t="str">
        <f>Ocupacao_DW[[#This Row],[data]]&amp;Ocupacao_DW[[#This Row],[profissional_id]]&amp;Ocupacao_DW[[#This Row],[local_id]]</f>
        <v>44644124265</v>
      </c>
      <c r="H1079" s="1">
        <f>_xlfn.XLOOKUP(Ocupacao_DW[[#This Row],[Concat]],Vagas!$H:$H,Vagas!$D:$D,"",0)</f>
        <v>0</v>
      </c>
    </row>
    <row r="1080" spans="1:8" x14ac:dyDescent="0.25">
      <c r="A1080" s="2">
        <v>44641</v>
      </c>
      <c r="B1080" s="1" t="s">
        <v>55</v>
      </c>
      <c r="C1080">
        <v>6392</v>
      </c>
      <c r="D1080" s="1" t="s">
        <v>173</v>
      </c>
      <c r="E1080" s="1" t="s">
        <v>6</v>
      </c>
      <c r="F1080">
        <v>5</v>
      </c>
      <c r="G1080" s="1" t="str">
        <f>Ocupacao_DW[[#This Row],[data]]&amp;Ocupacao_DW[[#This Row],[profissional_id]]&amp;Ocupacao_DW[[#This Row],[local_id]]</f>
        <v>4464163925</v>
      </c>
      <c r="H1080" s="1">
        <f>_xlfn.XLOOKUP(Ocupacao_DW[[#This Row],[Concat]],Vagas!$H:$H,Vagas!$D:$D,"",0)</f>
        <v>0</v>
      </c>
    </row>
    <row r="1081" spans="1:8" x14ac:dyDescent="0.25">
      <c r="A1081" s="2">
        <v>44643</v>
      </c>
      <c r="B1081" s="1"/>
      <c r="C1081">
        <v>2396</v>
      </c>
      <c r="D1081" s="1" t="s">
        <v>197</v>
      </c>
      <c r="E1081" s="1"/>
      <c r="F1081">
        <v>0</v>
      </c>
      <c r="G1081" s="1" t="str">
        <f>Ocupacao_DW[[#This Row],[data]]&amp;Ocupacao_DW[[#This Row],[profissional_id]]&amp;Ocupacao_DW[[#This Row],[local_id]]</f>
        <v>4464323960</v>
      </c>
      <c r="H1081" s="1" t="str">
        <f>_xlfn.XLOOKUP(Ocupacao_DW[[#This Row],[Concat]],Vagas!$H:$H,Vagas!$D:$D,"",0)</f>
        <v/>
      </c>
    </row>
    <row r="1082" spans="1:8" x14ac:dyDescent="0.25">
      <c r="A1082" s="2">
        <v>44635</v>
      </c>
      <c r="B1082" s="1"/>
      <c r="C1082">
        <v>9111</v>
      </c>
      <c r="D1082" s="1" t="s">
        <v>206</v>
      </c>
      <c r="E1082" s="1" t="s">
        <v>4</v>
      </c>
      <c r="F1082">
        <v>335</v>
      </c>
      <c r="G1082" s="1" t="str">
        <f>Ocupacao_DW[[#This Row],[data]]&amp;Ocupacao_DW[[#This Row],[profissional_id]]&amp;Ocupacao_DW[[#This Row],[local_id]]</f>
        <v>446359111335</v>
      </c>
      <c r="H1082" s="1">
        <f>_xlfn.XLOOKUP(Ocupacao_DW[[#This Row],[Concat]],Vagas!$H:$H,Vagas!$D:$D,"",0)</f>
        <v>0</v>
      </c>
    </row>
    <row r="1083" spans="1:8" x14ac:dyDescent="0.25">
      <c r="A1083" s="2">
        <v>44635</v>
      </c>
      <c r="B1083" s="1" t="s">
        <v>68</v>
      </c>
      <c r="C1083">
        <v>8239</v>
      </c>
      <c r="D1083" s="1" t="s">
        <v>257</v>
      </c>
      <c r="E1083" s="1" t="s">
        <v>5</v>
      </c>
      <c r="F1083">
        <v>14</v>
      </c>
      <c r="G1083" s="1" t="str">
        <f>Ocupacao_DW[[#This Row],[data]]&amp;Ocupacao_DW[[#This Row],[profissional_id]]&amp;Ocupacao_DW[[#This Row],[local_id]]</f>
        <v>44635823914</v>
      </c>
      <c r="H1083" s="1">
        <f>_xlfn.XLOOKUP(Ocupacao_DW[[#This Row],[Concat]],Vagas!$H:$H,Vagas!$D:$D,"",0)</f>
        <v>0</v>
      </c>
    </row>
    <row r="1084" spans="1:8" x14ac:dyDescent="0.25">
      <c r="A1084" s="2">
        <v>44635</v>
      </c>
      <c r="B1084" s="1"/>
      <c r="C1084">
        <v>3502</v>
      </c>
      <c r="D1084" s="1" t="s">
        <v>214</v>
      </c>
      <c r="E1084" s="1"/>
      <c r="F1084">
        <v>0</v>
      </c>
      <c r="G1084" s="1" t="str">
        <f>Ocupacao_DW[[#This Row],[data]]&amp;Ocupacao_DW[[#This Row],[profissional_id]]&amp;Ocupacao_DW[[#This Row],[local_id]]</f>
        <v>4463535020</v>
      </c>
      <c r="H1084" s="1" t="str">
        <f>_xlfn.XLOOKUP(Ocupacao_DW[[#This Row],[Concat]],Vagas!$H:$H,Vagas!$D:$D,"",0)</f>
        <v/>
      </c>
    </row>
    <row r="1085" spans="1:8" x14ac:dyDescent="0.25">
      <c r="A1085" s="2">
        <v>44643</v>
      </c>
      <c r="B1085" s="1"/>
      <c r="C1085">
        <v>2396</v>
      </c>
      <c r="D1085" s="1" t="s">
        <v>197</v>
      </c>
      <c r="E1085" s="1"/>
      <c r="F1085">
        <v>0</v>
      </c>
      <c r="G1085" s="1" t="str">
        <f>Ocupacao_DW[[#This Row],[data]]&amp;Ocupacao_DW[[#This Row],[profissional_id]]&amp;Ocupacao_DW[[#This Row],[local_id]]</f>
        <v>4464323960</v>
      </c>
      <c r="H1085" s="1" t="str">
        <f>_xlfn.XLOOKUP(Ocupacao_DW[[#This Row],[Concat]],Vagas!$H:$H,Vagas!$D:$D,"",0)</f>
        <v/>
      </c>
    </row>
    <row r="1086" spans="1:8" x14ac:dyDescent="0.25">
      <c r="A1086" s="2">
        <v>44636</v>
      </c>
      <c r="B1086" s="1"/>
      <c r="C1086">
        <v>12679</v>
      </c>
      <c r="D1086" s="1" t="s">
        <v>192</v>
      </c>
      <c r="E1086" s="1" t="s">
        <v>5</v>
      </c>
      <c r="F1086">
        <v>11</v>
      </c>
      <c r="G1086" s="1" t="str">
        <f>Ocupacao_DW[[#This Row],[data]]&amp;Ocupacao_DW[[#This Row],[profissional_id]]&amp;Ocupacao_DW[[#This Row],[local_id]]</f>
        <v>446361267911</v>
      </c>
      <c r="H1086" s="1">
        <f>_xlfn.XLOOKUP(Ocupacao_DW[[#This Row],[Concat]],Vagas!$H:$H,Vagas!$D:$D,"",0)</f>
        <v>0</v>
      </c>
    </row>
    <row r="1087" spans="1:8" x14ac:dyDescent="0.25">
      <c r="A1087" s="2">
        <v>44637</v>
      </c>
      <c r="B1087" s="1"/>
      <c r="C1087">
        <v>9217</v>
      </c>
      <c r="D1087" s="1" t="s">
        <v>191</v>
      </c>
      <c r="E1087" s="1" t="s">
        <v>6</v>
      </c>
      <c r="F1087">
        <v>6</v>
      </c>
      <c r="G1087" s="1" t="str">
        <f>Ocupacao_DW[[#This Row],[data]]&amp;Ocupacao_DW[[#This Row],[profissional_id]]&amp;Ocupacao_DW[[#This Row],[local_id]]</f>
        <v>4463792176</v>
      </c>
      <c r="H1087" s="1">
        <f>_xlfn.XLOOKUP(Ocupacao_DW[[#This Row],[Concat]],Vagas!$H:$H,Vagas!$D:$D,"",0)</f>
        <v>0</v>
      </c>
    </row>
    <row r="1088" spans="1:8" x14ac:dyDescent="0.25">
      <c r="A1088" s="2">
        <v>44643</v>
      </c>
      <c r="B1088" s="1"/>
      <c r="C1088">
        <v>73</v>
      </c>
      <c r="D1088" s="1" t="s">
        <v>171</v>
      </c>
      <c r="E1088" s="1" t="s">
        <v>6</v>
      </c>
      <c r="F1088">
        <v>5</v>
      </c>
      <c r="G1088" s="1" t="str">
        <f>Ocupacao_DW[[#This Row],[data]]&amp;Ocupacao_DW[[#This Row],[profissional_id]]&amp;Ocupacao_DW[[#This Row],[local_id]]</f>
        <v>44643735</v>
      </c>
      <c r="H1088" s="1">
        <f>_xlfn.XLOOKUP(Ocupacao_DW[[#This Row],[Concat]],Vagas!$H:$H,Vagas!$D:$D,"",0)</f>
        <v>0</v>
      </c>
    </row>
    <row r="1089" spans="1:8" x14ac:dyDescent="0.25">
      <c r="A1089" s="2">
        <v>44636</v>
      </c>
      <c r="B1089" s="1"/>
      <c r="C1089">
        <v>80</v>
      </c>
      <c r="D1089" s="1" t="s">
        <v>179</v>
      </c>
      <c r="E1089" s="1" t="s">
        <v>167</v>
      </c>
      <c r="F1089">
        <v>346</v>
      </c>
      <c r="G1089" s="1" t="str">
        <f>Ocupacao_DW[[#This Row],[data]]&amp;Ocupacao_DW[[#This Row],[profissional_id]]&amp;Ocupacao_DW[[#This Row],[local_id]]</f>
        <v>4463680346</v>
      </c>
      <c r="H1089" s="1">
        <f>_xlfn.XLOOKUP(Ocupacao_DW[[#This Row],[Concat]],Vagas!$H:$H,Vagas!$D:$D,"",0)</f>
        <v>0</v>
      </c>
    </row>
    <row r="1090" spans="1:8" x14ac:dyDescent="0.25">
      <c r="A1090" s="2">
        <v>44635</v>
      </c>
      <c r="B1090" s="1" t="s">
        <v>43</v>
      </c>
      <c r="C1090">
        <v>57</v>
      </c>
      <c r="D1090" s="1" t="s">
        <v>169</v>
      </c>
      <c r="E1090" s="1" t="s">
        <v>4</v>
      </c>
      <c r="F1090">
        <v>359</v>
      </c>
      <c r="G1090" s="1" t="str">
        <f>Ocupacao_DW[[#This Row],[data]]&amp;Ocupacao_DW[[#This Row],[profissional_id]]&amp;Ocupacao_DW[[#This Row],[local_id]]</f>
        <v>4463557359</v>
      </c>
      <c r="H1090" s="1" t="str">
        <f>_xlfn.XLOOKUP(Ocupacao_DW[[#This Row],[Concat]],Vagas!$H:$H,Vagas!$D:$D,"",0)</f>
        <v/>
      </c>
    </row>
    <row r="1091" spans="1:8" x14ac:dyDescent="0.25">
      <c r="A1091" s="2">
        <v>44641</v>
      </c>
      <c r="B1091" s="1"/>
      <c r="C1091">
        <v>10691</v>
      </c>
      <c r="D1091" s="1" t="s">
        <v>181</v>
      </c>
      <c r="E1091" s="1"/>
      <c r="F1091">
        <v>0</v>
      </c>
      <c r="G1091" s="1" t="str">
        <f>Ocupacao_DW[[#This Row],[data]]&amp;Ocupacao_DW[[#This Row],[profissional_id]]&amp;Ocupacao_DW[[#This Row],[local_id]]</f>
        <v>44641106910</v>
      </c>
      <c r="H1091" s="1" t="str">
        <f>_xlfn.XLOOKUP(Ocupacao_DW[[#This Row],[Concat]],Vagas!$H:$H,Vagas!$D:$D,"",0)</f>
        <v/>
      </c>
    </row>
    <row r="1092" spans="1:8" x14ac:dyDescent="0.25">
      <c r="A1092" s="2">
        <v>44635</v>
      </c>
      <c r="B1092" s="1" t="s">
        <v>55</v>
      </c>
      <c r="C1092">
        <v>60</v>
      </c>
      <c r="D1092" s="1" t="s">
        <v>217</v>
      </c>
      <c r="E1092" s="1" t="s">
        <v>167</v>
      </c>
      <c r="F1092">
        <v>345</v>
      </c>
      <c r="G1092" s="1" t="str">
        <f>Ocupacao_DW[[#This Row],[data]]&amp;Ocupacao_DW[[#This Row],[profissional_id]]&amp;Ocupacao_DW[[#This Row],[local_id]]</f>
        <v>4463560345</v>
      </c>
      <c r="H1092" s="1">
        <f>_xlfn.XLOOKUP(Ocupacao_DW[[#This Row],[Concat]],Vagas!$H:$H,Vagas!$D:$D,"",0)</f>
        <v>0</v>
      </c>
    </row>
    <row r="1093" spans="1:8" x14ac:dyDescent="0.25">
      <c r="A1093" s="2">
        <v>44637</v>
      </c>
      <c r="B1093" s="1"/>
      <c r="C1093">
        <v>3502</v>
      </c>
      <c r="D1093" s="1" t="s">
        <v>214</v>
      </c>
      <c r="E1093" s="1"/>
      <c r="F1093">
        <v>0</v>
      </c>
      <c r="G1093" s="1" t="str">
        <f>Ocupacao_DW[[#This Row],[data]]&amp;Ocupacao_DW[[#This Row],[profissional_id]]&amp;Ocupacao_DW[[#This Row],[local_id]]</f>
        <v>4463735020</v>
      </c>
      <c r="H1093" s="1" t="str">
        <f>_xlfn.XLOOKUP(Ocupacao_DW[[#This Row],[Concat]],Vagas!$H:$H,Vagas!$D:$D,"",0)</f>
        <v/>
      </c>
    </row>
    <row r="1094" spans="1:8" x14ac:dyDescent="0.25">
      <c r="A1094" s="2">
        <v>44650</v>
      </c>
      <c r="B1094" s="1" t="s">
        <v>52</v>
      </c>
      <c r="C1094">
        <v>57</v>
      </c>
      <c r="D1094" s="1" t="s">
        <v>169</v>
      </c>
      <c r="E1094" s="1" t="s">
        <v>6</v>
      </c>
      <c r="F1094">
        <v>4</v>
      </c>
      <c r="G1094" s="1" t="str">
        <f>Ocupacao_DW[[#This Row],[data]]&amp;Ocupacao_DW[[#This Row],[profissional_id]]&amp;Ocupacao_DW[[#This Row],[local_id]]</f>
        <v>44650574</v>
      </c>
      <c r="H1094" s="1">
        <f>_xlfn.XLOOKUP(Ocupacao_DW[[#This Row],[Concat]],Vagas!$H:$H,Vagas!$D:$D,"",0)</f>
        <v>0</v>
      </c>
    </row>
    <row r="1095" spans="1:8" x14ac:dyDescent="0.25">
      <c r="A1095" s="2">
        <v>44641</v>
      </c>
      <c r="B1095" s="1"/>
      <c r="C1095">
        <v>10691</v>
      </c>
      <c r="D1095" s="1" t="s">
        <v>181</v>
      </c>
      <c r="E1095" s="1"/>
      <c r="F1095">
        <v>0</v>
      </c>
      <c r="G1095" s="1" t="str">
        <f>Ocupacao_DW[[#This Row],[data]]&amp;Ocupacao_DW[[#This Row],[profissional_id]]&amp;Ocupacao_DW[[#This Row],[local_id]]</f>
        <v>44641106910</v>
      </c>
      <c r="H1095" s="1" t="str">
        <f>_xlfn.XLOOKUP(Ocupacao_DW[[#This Row],[Concat]],Vagas!$H:$H,Vagas!$D:$D,"",0)</f>
        <v/>
      </c>
    </row>
    <row r="1096" spans="1:8" x14ac:dyDescent="0.25">
      <c r="A1096" s="2">
        <v>44636</v>
      </c>
      <c r="B1096" s="1"/>
      <c r="C1096">
        <v>57</v>
      </c>
      <c r="D1096" s="1" t="s">
        <v>169</v>
      </c>
      <c r="E1096" s="1" t="s">
        <v>6</v>
      </c>
      <c r="F1096">
        <v>8</v>
      </c>
      <c r="G1096" s="1" t="str">
        <f>Ocupacao_DW[[#This Row],[data]]&amp;Ocupacao_DW[[#This Row],[profissional_id]]&amp;Ocupacao_DW[[#This Row],[local_id]]</f>
        <v>44636578</v>
      </c>
      <c r="H1096" s="1">
        <f>_xlfn.XLOOKUP(Ocupacao_DW[[#This Row],[Concat]],Vagas!$H:$H,Vagas!$D:$D,"",0)</f>
        <v>14</v>
      </c>
    </row>
    <row r="1097" spans="1:8" x14ac:dyDescent="0.25">
      <c r="A1097" s="2">
        <v>44636</v>
      </c>
      <c r="B1097" s="1"/>
      <c r="C1097">
        <v>6430</v>
      </c>
      <c r="D1097" s="1" t="s">
        <v>188</v>
      </c>
      <c r="E1097" s="1" t="s">
        <v>4</v>
      </c>
      <c r="F1097">
        <v>42</v>
      </c>
      <c r="G1097" s="1" t="str">
        <f>Ocupacao_DW[[#This Row],[data]]&amp;Ocupacao_DW[[#This Row],[profissional_id]]&amp;Ocupacao_DW[[#This Row],[local_id]]</f>
        <v>44636643042</v>
      </c>
      <c r="H1097" s="1">
        <f>_xlfn.XLOOKUP(Ocupacao_DW[[#This Row],[Concat]],Vagas!$H:$H,Vagas!$D:$D,"",0)</f>
        <v>0</v>
      </c>
    </row>
    <row r="1098" spans="1:8" x14ac:dyDescent="0.25">
      <c r="A1098" s="2">
        <v>44643</v>
      </c>
      <c r="B1098" s="1"/>
      <c r="C1098">
        <v>74</v>
      </c>
      <c r="D1098" s="1" t="s">
        <v>182</v>
      </c>
      <c r="E1098" s="1" t="s">
        <v>6</v>
      </c>
      <c r="F1098">
        <v>7</v>
      </c>
      <c r="G1098" s="1" t="str">
        <f>Ocupacao_DW[[#This Row],[data]]&amp;Ocupacao_DW[[#This Row],[profissional_id]]&amp;Ocupacao_DW[[#This Row],[local_id]]</f>
        <v>44643747</v>
      </c>
      <c r="H1098" s="1">
        <f>_xlfn.XLOOKUP(Ocupacao_DW[[#This Row],[Concat]],Vagas!$H:$H,Vagas!$D:$D,"",0)</f>
        <v>0</v>
      </c>
    </row>
    <row r="1099" spans="1:8" x14ac:dyDescent="0.25">
      <c r="A1099" s="2">
        <v>44639</v>
      </c>
      <c r="B1099" s="1"/>
      <c r="C1099">
        <v>111</v>
      </c>
      <c r="D1099" s="1" t="s">
        <v>199</v>
      </c>
      <c r="E1099" s="1" t="s">
        <v>4</v>
      </c>
      <c r="F1099">
        <v>51</v>
      </c>
      <c r="G1099" s="1" t="str">
        <f>Ocupacao_DW[[#This Row],[data]]&amp;Ocupacao_DW[[#This Row],[profissional_id]]&amp;Ocupacao_DW[[#This Row],[local_id]]</f>
        <v>4463911151</v>
      </c>
      <c r="H1099" s="1">
        <f>_xlfn.XLOOKUP(Ocupacao_DW[[#This Row],[Concat]],Vagas!$H:$H,Vagas!$D:$D,"",0)</f>
        <v>0</v>
      </c>
    </row>
    <row r="1100" spans="1:8" x14ac:dyDescent="0.25">
      <c r="A1100" s="2">
        <v>44645</v>
      </c>
      <c r="B1100" s="1"/>
      <c r="C1100">
        <v>10593</v>
      </c>
      <c r="D1100" s="1" t="s">
        <v>241</v>
      </c>
      <c r="E1100" s="1" t="s">
        <v>7</v>
      </c>
      <c r="F1100">
        <v>64</v>
      </c>
      <c r="G1100" s="1" t="str">
        <f>Ocupacao_DW[[#This Row],[data]]&amp;Ocupacao_DW[[#This Row],[profissional_id]]&amp;Ocupacao_DW[[#This Row],[local_id]]</f>
        <v>446451059364</v>
      </c>
      <c r="H1100" s="1" t="str">
        <f>_xlfn.XLOOKUP(Ocupacao_DW[[#This Row],[Concat]],Vagas!$H:$H,Vagas!$D:$D,"",0)</f>
        <v/>
      </c>
    </row>
    <row r="1101" spans="1:8" x14ac:dyDescent="0.25">
      <c r="A1101" s="2">
        <v>44635</v>
      </c>
      <c r="B1101" s="1" t="s">
        <v>47</v>
      </c>
      <c r="C1101">
        <v>11207</v>
      </c>
      <c r="D1101" s="1" t="s">
        <v>251</v>
      </c>
      <c r="E1101" s="1" t="s">
        <v>4</v>
      </c>
      <c r="F1101">
        <v>51</v>
      </c>
      <c r="G1101" s="1" t="str">
        <f>Ocupacao_DW[[#This Row],[data]]&amp;Ocupacao_DW[[#This Row],[profissional_id]]&amp;Ocupacao_DW[[#This Row],[local_id]]</f>
        <v>446351120751</v>
      </c>
      <c r="H1101" s="1">
        <f>_xlfn.XLOOKUP(Ocupacao_DW[[#This Row],[Concat]],Vagas!$H:$H,Vagas!$D:$D,"",0)</f>
        <v>0</v>
      </c>
    </row>
    <row r="1102" spans="1:8" x14ac:dyDescent="0.25">
      <c r="A1102" s="2">
        <v>44644</v>
      </c>
      <c r="B1102" s="1"/>
      <c r="C1102">
        <v>2567</v>
      </c>
      <c r="D1102" s="1" t="s">
        <v>198</v>
      </c>
      <c r="E1102" s="1" t="s">
        <v>5</v>
      </c>
      <c r="F1102">
        <v>18</v>
      </c>
      <c r="G1102" s="1" t="str">
        <f>Ocupacao_DW[[#This Row],[data]]&amp;Ocupacao_DW[[#This Row],[profissional_id]]&amp;Ocupacao_DW[[#This Row],[local_id]]</f>
        <v>44644256718</v>
      </c>
      <c r="H1102" s="1">
        <f>_xlfn.XLOOKUP(Ocupacao_DW[[#This Row],[Concat]],Vagas!$H:$H,Vagas!$D:$D,"",0)</f>
        <v>0</v>
      </c>
    </row>
    <row r="1103" spans="1:8" x14ac:dyDescent="0.25">
      <c r="A1103" s="2">
        <v>44635</v>
      </c>
      <c r="B1103" s="1"/>
      <c r="C1103">
        <v>11652</v>
      </c>
      <c r="D1103" s="1" t="s">
        <v>242</v>
      </c>
      <c r="E1103" s="1" t="s">
        <v>4</v>
      </c>
      <c r="F1103">
        <v>47</v>
      </c>
      <c r="G1103" s="1" t="str">
        <f>Ocupacao_DW[[#This Row],[data]]&amp;Ocupacao_DW[[#This Row],[profissional_id]]&amp;Ocupacao_DW[[#This Row],[local_id]]</f>
        <v>446351165247</v>
      </c>
      <c r="H1103" s="1">
        <f>_xlfn.XLOOKUP(Ocupacao_DW[[#This Row],[Concat]],Vagas!$H:$H,Vagas!$D:$D,"",0)</f>
        <v>0</v>
      </c>
    </row>
    <row r="1104" spans="1:8" x14ac:dyDescent="0.25">
      <c r="A1104" s="2">
        <v>44639</v>
      </c>
      <c r="B1104" s="1"/>
      <c r="C1104">
        <v>12913</v>
      </c>
      <c r="D1104" s="1" t="s">
        <v>196</v>
      </c>
      <c r="E1104" s="1"/>
      <c r="F1104">
        <v>0</v>
      </c>
      <c r="G1104" s="1" t="str">
        <f>Ocupacao_DW[[#This Row],[data]]&amp;Ocupacao_DW[[#This Row],[profissional_id]]&amp;Ocupacao_DW[[#This Row],[local_id]]</f>
        <v>44639129130</v>
      </c>
      <c r="H1104" s="1" t="str">
        <f>_xlfn.XLOOKUP(Ocupacao_DW[[#This Row],[Concat]],Vagas!$H:$H,Vagas!$D:$D,"",0)</f>
        <v/>
      </c>
    </row>
    <row r="1105" spans="1:8" x14ac:dyDescent="0.25">
      <c r="A1105" s="2">
        <v>44637</v>
      </c>
      <c r="B1105" s="1" t="s">
        <v>56</v>
      </c>
      <c r="C1105">
        <v>5822</v>
      </c>
      <c r="D1105" s="1" t="s">
        <v>194</v>
      </c>
      <c r="E1105" s="1" t="s">
        <v>5</v>
      </c>
      <c r="F1105">
        <v>11</v>
      </c>
      <c r="G1105" s="1" t="str">
        <f>Ocupacao_DW[[#This Row],[data]]&amp;Ocupacao_DW[[#This Row],[profissional_id]]&amp;Ocupacao_DW[[#This Row],[local_id]]</f>
        <v>44637582211</v>
      </c>
      <c r="H1105" s="1">
        <f>_xlfn.XLOOKUP(Ocupacao_DW[[#This Row],[Concat]],Vagas!$H:$H,Vagas!$D:$D,"",0)</f>
        <v>0</v>
      </c>
    </row>
    <row r="1106" spans="1:8" x14ac:dyDescent="0.25">
      <c r="A1106" s="2">
        <v>44643</v>
      </c>
      <c r="B1106" s="1"/>
      <c r="C1106">
        <v>12519</v>
      </c>
      <c r="D1106" s="1" t="s">
        <v>176</v>
      </c>
      <c r="E1106" s="1" t="s">
        <v>4</v>
      </c>
      <c r="F1106">
        <v>48</v>
      </c>
      <c r="G1106" s="1" t="str">
        <f>Ocupacao_DW[[#This Row],[data]]&amp;Ocupacao_DW[[#This Row],[profissional_id]]&amp;Ocupacao_DW[[#This Row],[local_id]]</f>
        <v>446431251948</v>
      </c>
      <c r="H1106" s="1">
        <f>_xlfn.XLOOKUP(Ocupacao_DW[[#This Row],[Concat]],Vagas!$H:$H,Vagas!$D:$D,"",0)</f>
        <v>0</v>
      </c>
    </row>
    <row r="1107" spans="1:8" x14ac:dyDescent="0.25">
      <c r="A1107" s="2">
        <v>44645</v>
      </c>
      <c r="B1107" s="1"/>
      <c r="C1107">
        <v>2984</v>
      </c>
      <c r="D1107" s="1" t="s">
        <v>185</v>
      </c>
      <c r="E1107" s="1" t="s">
        <v>6</v>
      </c>
      <c r="F1107">
        <v>7</v>
      </c>
      <c r="G1107" s="1" t="str">
        <f>Ocupacao_DW[[#This Row],[data]]&amp;Ocupacao_DW[[#This Row],[profissional_id]]&amp;Ocupacao_DW[[#This Row],[local_id]]</f>
        <v>4464529847</v>
      </c>
      <c r="H1107" s="1">
        <f>_xlfn.XLOOKUP(Ocupacao_DW[[#This Row],[Concat]],Vagas!$H:$H,Vagas!$D:$D,"",0)</f>
        <v>0</v>
      </c>
    </row>
    <row r="1108" spans="1:8" x14ac:dyDescent="0.25">
      <c r="A1108" s="2">
        <v>44638</v>
      </c>
      <c r="B1108" s="1" t="s">
        <v>55</v>
      </c>
      <c r="C1108">
        <v>13835</v>
      </c>
      <c r="D1108" s="1" t="s">
        <v>225</v>
      </c>
      <c r="E1108" s="1" t="s">
        <v>6</v>
      </c>
      <c r="F1108">
        <v>3</v>
      </c>
      <c r="G1108" s="1" t="str">
        <f>Ocupacao_DW[[#This Row],[data]]&amp;Ocupacao_DW[[#This Row],[profissional_id]]&amp;Ocupacao_DW[[#This Row],[local_id]]</f>
        <v>44638138353</v>
      </c>
      <c r="H1108" s="1" t="str">
        <f>_xlfn.XLOOKUP(Ocupacao_DW[[#This Row],[Concat]],Vagas!$H:$H,Vagas!$D:$D,"",0)</f>
        <v/>
      </c>
    </row>
    <row r="1109" spans="1:8" x14ac:dyDescent="0.25">
      <c r="A1109" s="2">
        <v>44635</v>
      </c>
      <c r="B1109" s="1"/>
      <c r="C1109">
        <v>14237</v>
      </c>
      <c r="D1109" s="1" t="s">
        <v>186</v>
      </c>
      <c r="E1109" s="1" t="s">
        <v>4</v>
      </c>
      <c r="F1109">
        <v>47</v>
      </c>
      <c r="G1109" s="1" t="str">
        <f>Ocupacao_DW[[#This Row],[data]]&amp;Ocupacao_DW[[#This Row],[profissional_id]]&amp;Ocupacao_DW[[#This Row],[local_id]]</f>
        <v>446351423747</v>
      </c>
      <c r="H1109" s="1">
        <f>_xlfn.XLOOKUP(Ocupacao_DW[[#This Row],[Concat]],Vagas!$H:$H,Vagas!$D:$D,"",0)</f>
        <v>0</v>
      </c>
    </row>
    <row r="1110" spans="1:8" x14ac:dyDescent="0.25">
      <c r="A1110" s="2">
        <v>44649</v>
      </c>
      <c r="B1110" s="1"/>
      <c r="C1110">
        <v>73</v>
      </c>
      <c r="D1110" s="1" t="s">
        <v>171</v>
      </c>
      <c r="E1110" s="1" t="s">
        <v>6</v>
      </c>
      <c r="F1110">
        <v>5</v>
      </c>
      <c r="G1110" s="1" t="str">
        <f>Ocupacao_DW[[#This Row],[data]]&amp;Ocupacao_DW[[#This Row],[profissional_id]]&amp;Ocupacao_DW[[#This Row],[local_id]]</f>
        <v>44649735</v>
      </c>
      <c r="H1110" s="1">
        <f>_xlfn.XLOOKUP(Ocupacao_DW[[#This Row],[Concat]],Vagas!$H:$H,Vagas!$D:$D,"",0)</f>
        <v>0</v>
      </c>
    </row>
    <row r="1111" spans="1:8" x14ac:dyDescent="0.25">
      <c r="A1111" s="2">
        <v>44637</v>
      </c>
      <c r="B1111" s="1"/>
      <c r="C1111">
        <v>12426</v>
      </c>
      <c r="D1111" s="1" t="s">
        <v>215</v>
      </c>
      <c r="E1111" s="1" t="s">
        <v>6</v>
      </c>
      <c r="F1111">
        <v>5</v>
      </c>
      <c r="G1111" s="1" t="str">
        <f>Ocupacao_DW[[#This Row],[data]]&amp;Ocupacao_DW[[#This Row],[profissional_id]]&amp;Ocupacao_DW[[#This Row],[local_id]]</f>
        <v>44637124265</v>
      </c>
      <c r="H1111" s="1">
        <f>_xlfn.XLOOKUP(Ocupacao_DW[[#This Row],[Concat]],Vagas!$H:$H,Vagas!$D:$D,"",0)</f>
        <v>0</v>
      </c>
    </row>
    <row r="1112" spans="1:8" x14ac:dyDescent="0.25">
      <c r="A1112" s="2">
        <v>44637</v>
      </c>
      <c r="B1112" s="1" t="s">
        <v>52</v>
      </c>
      <c r="C1112">
        <v>10691</v>
      </c>
      <c r="D1112" s="1" t="s">
        <v>181</v>
      </c>
      <c r="E1112" s="1" t="s">
        <v>6</v>
      </c>
      <c r="F1112">
        <v>9</v>
      </c>
      <c r="G1112" s="1" t="str">
        <f>Ocupacao_DW[[#This Row],[data]]&amp;Ocupacao_DW[[#This Row],[profissional_id]]&amp;Ocupacao_DW[[#This Row],[local_id]]</f>
        <v>44637106919</v>
      </c>
      <c r="H1112" s="1">
        <f>_xlfn.XLOOKUP(Ocupacao_DW[[#This Row],[Concat]],Vagas!$H:$H,Vagas!$D:$D,"",0)</f>
        <v>0</v>
      </c>
    </row>
    <row r="1113" spans="1:8" x14ac:dyDescent="0.25">
      <c r="A1113" s="2">
        <v>44642</v>
      </c>
      <c r="B1113" s="1"/>
      <c r="C1113">
        <v>13249</v>
      </c>
      <c r="D1113" s="1" t="s">
        <v>178</v>
      </c>
      <c r="E1113" s="1" t="s">
        <v>4</v>
      </c>
      <c r="F1113">
        <v>45</v>
      </c>
      <c r="G1113" s="1" t="str">
        <f>Ocupacao_DW[[#This Row],[data]]&amp;Ocupacao_DW[[#This Row],[profissional_id]]&amp;Ocupacao_DW[[#This Row],[local_id]]</f>
        <v>446421324945</v>
      </c>
      <c r="H1113" s="1">
        <f>_xlfn.XLOOKUP(Ocupacao_DW[[#This Row],[Concat]],Vagas!$H:$H,Vagas!$D:$D,"",0)</f>
        <v>0</v>
      </c>
    </row>
    <row r="1114" spans="1:8" x14ac:dyDescent="0.25">
      <c r="A1114" s="2">
        <v>44635</v>
      </c>
      <c r="B1114" s="1"/>
      <c r="C1114">
        <v>2984</v>
      </c>
      <c r="D1114" s="1" t="s">
        <v>185</v>
      </c>
      <c r="E1114" s="1"/>
      <c r="F1114">
        <v>0</v>
      </c>
      <c r="G1114" s="1" t="str">
        <f>Ocupacao_DW[[#This Row],[data]]&amp;Ocupacao_DW[[#This Row],[profissional_id]]&amp;Ocupacao_DW[[#This Row],[local_id]]</f>
        <v>4463529840</v>
      </c>
      <c r="H1114" s="1" t="str">
        <f>_xlfn.XLOOKUP(Ocupacao_DW[[#This Row],[Concat]],Vagas!$H:$H,Vagas!$D:$D,"",0)</f>
        <v/>
      </c>
    </row>
    <row r="1115" spans="1:8" x14ac:dyDescent="0.25">
      <c r="A1115" s="2">
        <v>44650</v>
      </c>
      <c r="B1115" s="1"/>
      <c r="C1115">
        <v>73</v>
      </c>
      <c r="D1115" s="1" t="s">
        <v>171</v>
      </c>
      <c r="E1115" s="1" t="s">
        <v>6</v>
      </c>
      <c r="F1115">
        <v>5</v>
      </c>
      <c r="G1115" s="1" t="str">
        <f>Ocupacao_DW[[#This Row],[data]]&amp;Ocupacao_DW[[#This Row],[profissional_id]]&amp;Ocupacao_DW[[#This Row],[local_id]]</f>
        <v>44650735</v>
      </c>
      <c r="H1115" s="1">
        <f>_xlfn.XLOOKUP(Ocupacao_DW[[#This Row],[Concat]],Vagas!$H:$H,Vagas!$D:$D,"",0)</f>
        <v>0</v>
      </c>
    </row>
    <row r="1116" spans="1:8" x14ac:dyDescent="0.25">
      <c r="A1116" s="2">
        <v>44638</v>
      </c>
      <c r="B1116" s="1" t="s">
        <v>49</v>
      </c>
      <c r="C1116">
        <v>12142</v>
      </c>
      <c r="D1116" s="1" t="s">
        <v>219</v>
      </c>
      <c r="E1116" s="1" t="s">
        <v>4</v>
      </c>
      <c r="F1116">
        <v>44</v>
      </c>
      <c r="G1116" s="1" t="str">
        <f>Ocupacao_DW[[#This Row],[data]]&amp;Ocupacao_DW[[#This Row],[profissional_id]]&amp;Ocupacao_DW[[#This Row],[local_id]]</f>
        <v>446381214244</v>
      </c>
      <c r="H1116" s="1">
        <f>_xlfn.XLOOKUP(Ocupacao_DW[[#This Row],[Concat]],Vagas!$H:$H,Vagas!$D:$D,"",0)</f>
        <v>0</v>
      </c>
    </row>
    <row r="1117" spans="1:8" x14ac:dyDescent="0.25">
      <c r="A1117" s="2">
        <v>44638</v>
      </c>
      <c r="B1117" s="1"/>
      <c r="C1117">
        <v>3502</v>
      </c>
      <c r="D1117" s="1" t="s">
        <v>214</v>
      </c>
      <c r="E1117" s="1" t="s">
        <v>7</v>
      </c>
      <c r="F1117">
        <v>63</v>
      </c>
      <c r="G1117" s="1" t="str">
        <f>Ocupacao_DW[[#This Row],[data]]&amp;Ocupacao_DW[[#This Row],[profissional_id]]&amp;Ocupacao_DW[[#This Row],[local_id]]</f>
        <v>44638350263</v>
      </c>
      <c r="H1117" s="1" t="str">
        <f>_xlfn.XLOOKUP(Ocupacao_DW[[#This Row],[Concat]],Vagas!$H:$H,Vagas!$D:$D,"",0)</f>
        <v/>
      </c>
    </row>
    <row r="1118" spans="1:8" x14ac:dyDescent="0.25">
      <c r="A1118" s="2">
        <v>44635</v>
      </c>
      <c r="B1118" s="1"/>
      <c r="C1118">
        <v>111</v>
      </c>
      <c r="D1118" s="1" t="s">
        <v>199</v>
      </c>
      <c r="E1118" s="1" t="s">
        <v>4</v>
      </c>
      <c r="F1118">
        <v>51</v>
      </c>
      <c r="G1118" s="1" t="str">
        <f>Ocupacao_DW[[#This Row],[data]]&amp;Ocupacao_DW[[#This Row],[profissional_id]]&amp;Ocupacao_DW[[#This Row],[local_id]]</f>
        <v>4463511151</v>
      </c>
      <c r="H1118" s="1">
        <f>_xlfn.XLOOKUP(Ocupacao_DW[[#This Row],[Concat]],Vagas!$H:$H,Vagas!$D:$D,"",0)</f>
        <v>0</v>
      </c>
    </row>
    <row r="1119" spans="1:8" x14ac:dyDescent="0.25">
      <c r="A1119" s="2">
        <v>44651</v>
      </c>
      <c r="B1119" s="1" t="s">
        <v>47</v>
      </c>
      <c r="C1119">
        <v>11312</v>
      </c>
      <c r="D1119" s="1" t="s">
        <v>207</v>
      </c>
      <c r="E1119" s="1" t="s">
        <v>4</v>
      </c>
      <c r="F1119">
        <v>336</v>
      </c>
      <c r="G1119" s="1" t="str">
        <f>Ocupacao_DW[[#This Row],[data]]&amp;Ocupacao_DW[[#This Row],[profissional_id]]&amp;Ocupacao_DW[[#This Row],[local_id]]</f>
        <v>4465111312336</v>
      </c>
      <c r="H1119" s="1">
        <f>_xlfn.XLOOKUP(Ocupacao_DW[[#This Row],[Concat]],Vagas!$H:$H,Vagas!$D:$D,"",0)</f>
        <v>28</v>
      </c>
    </row>
    <row r="1120" spans="1:8" x14ac:dyDescent="0.25">
      <c r="A1120" s="2">
        <v>44650</v>
      </c>
      <c r="B1120" s="1" t="s">
        <v>60</v>
      </c>
      <c r="C1120">
        <v>14326</v>
      </c>
      <c r="D1120" s="1" t="s">
        <v>220</v>
      </c>
      <c r="E1120" s="1" t="s">
        <v>4</v>
      </c>
      <c r="F1120">
        <v>43</v>
      </c>
      <c r="G1120" s="1" t="str">
        <f>Ocupacao_DW[[#This Row],[data]]&amp;Ocupacao_DW[[#This Row],[profissional_id]]&amp;Ocupacao_DW[[#This Row],[local_id]]</f>
        <v>446501432643</v>
      </c>
      <c r="H1120" s="1">
        <f>_xlfn.XLOOKUP(Ocupacao_DW[[#This Row],[Concat]],Vagas!$H:$H,Vagas!$D:$D,"",0)</f>
        <v>0</v>
      </c>
    </row>
    <row r="1121" spans="1:8" x14ac:dyDescent="0.25">
      <c r="A1121" s="2">
        <v>44635</v>
      </c>
      <c r="B1121" s="1" t="s">
        <v>43</v>
      </c>
      <c r="C1121">
        <v>57</v>
      </c>
      <c r="D1121" s="1" t="s">
        <v>169</v>
      </c>
      <c r="E1121" s="1" t="s">
        <v>6</v>
      </c>
      <c r="F1121">
        <v>2</v>
      </c>
      <c r="G1121" s="1" t="str">
        <f>Ocupacao_DW[[#This Row],[data]]&amp;Ocupacao_DW[[#This Row],[profissional_id]]&amp;Ocupacao_DW[[#This Row],[local_id]]</f>
        <v>44635572</v>
      </c>
      <c r="H1121" s="1">
        <f>_xlfn.XLOOKUP(Ocupacao_DW[[#This Row],[Concat]],Vagas!$H:$H,Vagas!$D:$D,"",0)</f>
        <v>0</v>
      </c>
    </row>
    <row r="1122" spans="1:8" x14ac:dyDescent="0.25">
      <c r="A1122" s="2">
        <v>44635</v>
      </c>
      <c r="B1122" s="1" t="s">
        <v>64</v>
      </c>
      <c r="C1122">
        <v>85</v>
      </c>
      <c r="D1122" s="1" t="s">
        <v>211</v>
      </c>
      <c r="E1122" s="1" t="s">
        <v>5</v>
      </c>
      <c r="F1122">
        <v>349</v>
      </c>
      <c r="G1122" s="1" t="str">
        <f>Ocupacao_DW[[#This Row],[data]]&amp;Ocupacao_DW[[#This Row],[profissional_id]]&amp;Ocupacao_DW[[#This Row],[local_id]]</f>
        <v>4463585349</v>
      </c>
      <c r="H1122" s="1">
        <f>_xlfn.XLOOKUP(Ocupacao_DW[[#This Row],[Concat]],Vagas!$H:$H,Vagas!$D:$D,"",0)</f>
        <v>0</v>
      </c>
    </row>
    <row r="1123" spans="1:8" x14ac:dyDescent="0.25">
      <c r="A1123" s="2">
        <v>44638</v>
      </c>
      <c r="B1123" s="1" t="s">
        <v>24</v>
      </c>
      <c r="C1123">
        <v>60</v>
      </c>
      <c r="D1123" s="1" t="s">
        <v>217</v>
      </c>
      <c r="E1123" s="1" t="s">
        <v>6</v>
      </c>
      <c r="F1123">
        <v>1</v>
      </c>
      <c r="G1123" s="1" t="str">
        <f>Ocupacao_DW[[#This Row],[data]]&amp;Ocupacao_DW[[#This Row],[profissional_id]]&amp;Ocupacao_DW[[#This Row],[local_id]]</f>
        <v>44638601</v>
      </c>
      <c r="H1123" s="1">
        <f>_xlfn.XLOOKUP(Ocupacao_DW[[#This Row],[Concat]],Vagas!$H:$H,Vagas!$D:$D,"",0)</f>
        <v>0</v>
      </c>
    </row>
    <row r="1124" spans="1:8" x14ac:dyDescent="0.25">
      <c r="A1124" s="2">
        <v>44657</v>
      </c>
      <c r="B1124" s="1" t="s">
        <v>70</v>
      </c>
      <c r="C1124">
        <v>12519</v>
      </c>
      <c r="D1124" s="1" t="s">
        <v>176</v>
      </c>
      <c r="E1124" s="1" t="s">
        <v>4</v>
      </c>
      <c r="F1124">
        <v>48</v>
      </c>
      <c r="G1124" s="1" t="str">
        <f>Ocupacao_DW[[#This Row],[data]]&amp;Ocupacao_DW[[#This Row],[profissional_id]]&amp;Ocupacao_DW[[#This Row],[local_id]]</f>
        <v>446571251948</v>
      </c>
      <c r="H1124" s="1">
        <f>_xlfn.XLOOKUP(Ocupacao_DW[[#This Row],[Concat]],Vagas!$H:$H,Vagas!$D:$D,"",0)</f>
        <v>0</v>
      </c>
    </row>
    <row r="1125" spans="1:8" x14ac:dyDescent="0.25">
      <c r="A1125" s="2">
        <v>44636</v>
      </c>
      <c r="B1125" s="1" t="s">
        <v>47</v>
      </c>
      <c r="C1125">
        <v>111</v>
      </c>
      <c r="D1125" s="1" t="s">
        <v>199</v>
      </c>
      <c r="E1125" s="1" t="s">
        <v>4</v>
      </c>
      <c r="F1125">
        <v>51</v>
      </c>
      <c r="G1125" s="1" t="str">
        <f>Ocupacao_DW[[#This Row],[data]]&amp;Ocupacao_DW[[#This Row],[profissional_id]]&amp;Ocupacao_DW[[#This Row],[local_id]]</f>
        <v>4463611151</v>
      </c>
      <c r="H1125" s="1">
        <f>_xlfn.XLOOKUP(Ocupacao_DW[[#This Row],[Concat]],Vagas!$H:$H,Vagas!$D:$D,"",0)</f>
        <v>1</v>
      </c>
    </row>
    <row r="1126" spans="1:8" x14ac:dyDescent="0.25">
      <c r="A1126" s="2">
        <v>44637</v>
      </c>
      <c r="B1126" s="1" t="s">
        <v>73</v>
      </c>
      <c r="C1126">
        <v>10691</v>
      </c>
      <c r="D1126" s="1" t="s">
        <v>181</v>
      </c>
      <c r="E1126" s="1" t="s">
        <v>167</v>
      </c>
      <c r="F1126">
        <v>348</v>
      </c>
      <c r="G1126" s="1" t="str">
        <f>Ocupacao_DW[[#This Row],[data]]&amp;Ocupacao_DW[[#This Row],[profissional_id]]&amp;Ocupacao_DW[[#This Row],[local_id]]</f>
        <v>4463710691348</v>
      </c>
      <c r="H1126" s="1">
        <f>_xlfn.XLOOKUP(Ocupacao_DW[[#This Row],[Concat]],Vagas!$H:$H,Vagas!$D:$D,"",0)</f>
        <v>0</v>
      </c>
    </row>
    <row r="1127" spans="1:8" x14ac:dyDescent="0.25">
      <c r="A1127" s="2">
        <v>44638</v>
      </c>
      <c r="B1127" s="1" t="s">
        <v>52</v>
      </c>
      <c r="C1127">
        <v>55</v>
      </c>
      <c r="D1127" s="1" t="s">
        <v>244</v>
      </c>
      <c r="E1127" s="1" t="s">
        <v>7</v>
      </c>
      <c r="F1127">
        <v>68</v>
      </c>
      <c r="G1127" s="1" t="str">
        <f>Ocupacao_DW[[#This Row],[data]]&amp;Ocupacao_DW[[#This Row],[profissional_id]]&amp;Ocupacao_DW[[#This Row],[local_id]]</f>
        <v>446385568</v>
      </c>
      <c r="H1127" s="1">
        <f>_xlfn.XLOOKUP(Ocupacao_DW[[#This Row],[Concat]],Vagas!$H:$H,Vagas!$D:$D,"",0)</f>
        <v>0</v>
      </c>
    </row>
    <row r="1128" spans="1:8" x14ac:dyDescent="0.25">
      <c r="A1128" s="2">
        <v>44635</v>
      </c>
      <c r="B1128" s="1" t="s">
        <v>47</v>
      </c>
      <c r="C1128">
        <v>111</v>
      </c>
      <c r="D1128" s="1" t="s">
        <v>199</v>
      </c>
      <c r="E1128" s="1" t="s">
        <v>4</v>
      </c>
      <c r="F1128">
        <v>51</v>
      </c>
      <c r="G1128" s="1" t="str">
        <f>Ocupacao_DW[[#This Row],[data]]&amp;Ocupacao_DW[[#This Row],[profissional_id]]&amp;Ocupacao_DW[[#This Row],[local_id]]</f>
        <v>4463511151</v>
      </c>
      <c r="H1128" s="1">
        <f>_xlfn.XLOOKUP(Ocupacao_DW[[#This Row],[Concat]],Vagas!$H:$H,Vagas!$D:$D,"",0)</f>
        <v>0</v>
      </c>
    </row>
    <row r="1129" spans="1:8" x14ac:dyDescent="0.25">
      <c r="A1129" s="2">
        <v>44645</v>
      </c>
      <c r="B1129" s="1" t="s">
        <v>24</v>
      </c>
      <c r="C1129">
        <v>60</v>
      </c>
      <c r="D1129" s="1" t="s">
        <v>217</v>
      </c>
      <c r="E1129" s="1" t="s">
        <v>6</v>
      </c>
      <c r="F1129">
        <v>1</v>
      </c>
      <c r="G1129" s="1" t="str">
        <f>Ocupacao_DW[[#This Row],[data]]&amp;Ocupacao_DW[[#This Row],[profissional_id]]&amp;Ocupacao_DW[[#This Row],[local_id]]</f>
        <v>44645601</v>
      </c>
      <c r="H1129" s="1">
        <f>_xlfn.XLOOKUP(Ocupacao_DW[[#This Row],[Concat]],Vagas!$H:$H,Vagas!$D:$D,"",0)</f>
        <v>0</v>
      </c>
    </row>
    <row r="1130" spans="1:8" x14ac:dyDescent="0.25">
      <c r="A1130" s="2">
        <v>44657</v>
      </c>
      <c r="B1130" s="1" t="s">
        <v>54</v>
      </c>
      <c r="C1130">
        <v>1490</v>
      </c>
      <c r="D1130" s="1" t="s">
        <v>174</v>
      </c>
      <c r="E1130" s="1" t="s">
        <v>5</v>
      </c>
      <c r="F1130">
        <v>13</v>
      </c>
      <c r="G1130" s="1" t="str">
        <f>Ocupacao_DW[[#This Row],[data]]&amp;Ocupacao_DW[[#This Row],[profissional_id]]&amp;Ocupacao_DW[[#This Row],[local_id]]</f>
        <v>44657149013</v>
      </c>
      <c r="H1130" s="1">
        <f>_xlfn.XLOOKUP(Ocupacao_DW[[#This Row],[Concat]],Vagas!$H:$H,Vagas!$D:$D,"",0)</f>
        <v>0</v>
      </c>
    </row>
    <row r="1131" spans="1:8" x14ac:dyDescent="0.25">
      <c r="A1131" s="2">
        <v>44638</v>
      </c>
      <c r="B1131" s="1" t="s">
        <v>49</v>
      </c>
      <c r="C1131">
        <v>6430</v>
      </c>
      <c r="D1131" s="1" t="s">
        <v>188</v>
      </c>
      <c r="E1131" s="1" t="s">
        <v>4</v>
      </c>
      <c r="F1131">
        <v>42</v>
      </c>
      <c r="G1131" s="1" t="str">
        <f>Ocupacao_DW[[#This Row],[data]]&amp;Ocupacao_DW[[#This Row],[profissional_id]]&amp;Ocupacao_DW[[#This Row],[local_id]]</f>
        <v>44638643042</v>
      </c>
      <c r="H1131" s="1">
        <f>_xlfn.XLOOKUP(Ocupacao_DW[[#This Row],[Concat]],Vagas!$H:$H,Vagas!$D:$D,"",0)</f>
        <v>0</v>
      </c>
    </row>
    <row r="1132" spans="1:8" x14ac:dyDescent="0.25">
      <c r="A1132" s="2">
        <v>44635</v>
      </c>
      <c r="B1132" s="1" t="s">
        <v>47</v>
      </c>
      <c r="C1132">
        <v>12752</v>
      </c>
      <c r="D1132" s="1" t="s">
        <v>253</v>
      </c>
      <c r="E1132" s="1" t="s">
        <v>7</v>
      </c>
      <c r="F1132">
        <v>60</v>
      </c>
      <c r="G1132" s="1" t="str">
        <f>Ocupacao_DW[[#This Row],[data]]&amp;Ocupacao_DW[[#This Row],[profissional_id]]&amp;Ocupacao_DW[[#This Row],[local_id]]</f>
        <v>446351275260</v>
      </c>
      <c r="H1132" s="1">
        <f>_xlfn.XLOOKUP(Ocupacao_DW[[#This Row],[Concat]],Vagas!$H:$H,Vagas!$D:$D,"",0)</f>
        <v>0</v>
      </c>
    </row>
    <row r="1133" spans="1:8" x14ac:dyDescent="0.25">
      <c r="A1133" s="2">
        <v>44636</v>
      </c>
      <c r="B1133" s="1"/>
      <c r="C1133">
        <v>0</v>
      </c>
      <c r="D1133" s="1"/>
      <c r="E1133" s="1" t="s">
        <v>4</v>
      </c>
      <c r="F1133">
        <v>40</v>
      </c>
      <c r="G1133" s="1" t="str">
        <f>Ocupacao_DW[[#This Row],[data]]&amp;Ocupacao_DW[[#This Row],[profissional_id]]&amp;Ocupacao_DW[[#This Row],[local_id]]</f>
        <v>44636040</v>
      </c>
      <c r="H1133" s="1" t="str">
        <f>_xlfn.XLOOKUP(Ocupacao_DW[[#This Row],[Concat]],Vagas!$H:$H,Vagas!$D:$D,"",0)</f>
        <v/>
      </c>
    </row>
    <row r="1134" spans="1:8" x14ac:dyDescent="0.25">
      <c r="A1134" s="2">
        <v>44643</v>
      </c>
      <c r="B1134" s="1" t="s">
        <v>70</v>
      </c>
      <c r="C1134">
        <v>12825</v>
      </c>
      <c r="D1134" s="1" t="s">
        <v>177</v>
      </c>
      <c r="E1134" s="1" t="s">
        <v>4</v>
      </c>
      <c r="F1134">
        <v>45</v>
      </c>
      <c r="G1134" s="1" t="str">
        <f>Ocupacao_DW[[#This Row],[data]]&amp;Ocupacao_DW[[#This Row],[profissional_id]]&amp;Ocupacao_DW[[#This Row],[local_id]]</f>
        <v>446431282545</v>
      </c>
      <c r="H1134" s="1">
        <f>_xlfn.XLOOKUP(Ocupacao_DW[[#This Row],[Concat]],Vagas!$H:$H,Vagas!$D:$D,"",0)</f>
        <v>0</v>
      </c>
    </row>
    <row r="1135" spans="1:8" x14ac:dyDescent="0.25">
      <c r="A1135" s="2">
        <v>44635</v>
      </c>
      <c r="B1135" s="1" t="s">
        <v>64</v>
      </c>
      <c r="C1135">
        <v>85</v>
      </c>
      <c r="D1135" s="1" t="s">
        <v>211</v>
      </c>
      <c r="E1135" s="1" t="s">
        <v>5</v>
      </c>
      <c r="F1135">
        <v>349</v>
      </c>
      <c r="G1135" s="1" t="str">
        <f>Ocupacao_DW[[#This Row],[data]]&amp;Ocupacao_DW[[#This Row],[profissional_id]]&amp;Ocupacao_DW[[#This Row],[local_id]]</f>
        <v>4463585349</v>
      </c>
      <c r="H1135" s="1">
        <f>_xlfn.XLOOKUP(Ocupacao_DW[[#This Row],[Concat]],Vagas!$H:$H,Vagas!$D:$D,"",0)</f>
        <v>0</v>
      </c>
    </row>
    <row r="1136" spans="1:8" x14ac:dyDescent="0.25">
      <c r="A1136" s="2">
        <v>44650</v>
      </c>
      <c r="B1136" s="1" t="s">
        <v>70</v>
      </c>
      <c r="C1136">
        <v>12519</v>
      </c>
      <c r="D1136" s="1" t="s">
        <v>176</v>
      </c>
      <c r="E1136" s="1" t="s">
        <v>4</v>
      </c>
      <c r="F1136">
        <v>48</v>
      </c>
      <c r="G1136" s="1" t="str">
        <f>Ocupacao_DW[[#This Row],[data]]&amp;Ocupacao_DW[[#This Row],[profissional_id]]&amp;Ocupacao_DW[[#This Row],[local_id]]</f>
        <v>446501251948</v>
      </c>
      <c r="H1136" s="1">
        <f>_xlfn.XLOOKUP(Ocupacao_DW[[#This Row],[Concat]],Vagas!$H:$H,Vagas!$D:$D,"",0)</f>
        <v>0</v>
      </c>
    </row>
    <row r="1137" spans="1:8" x14ac:dyDescent="0.25">
      <c r="A1137" s="2">
        <v>44641</v>
      </c>
      <c r="B1137" s="1" t="s">
        <v>52</v>
      </c>
      <c r="C1137">
        <v>10691</v>
      </c>
      <c r="D1137" s="1" t="s">
        <v>181</v>
      </c>
      <c r="E1137" s="1" t="s">
        <v>6</v>
      </c>
      <c r="F1137">
        <v>9</v>
      </c>
      <c r="G1137" s="1" t="str">
        <f>Ocupacao_DW[[#This Row],[data]]&amp;Ocupacao_DW[[#This Row],[profissional_id]]&amp;Ocupacao_DW[[#This Row],[local_id]]</f>
        <v>44641106919</v>
      </c>
      <c r="H1137" s="1">
        <f>_xlfn.XLOOKUP(Ocupacao_DW[[#This Row],[Concat]],Vagas!$H:$H,Vagas!$D:$D,"",0)</f>
        <v>0</v>
      </c>
    </row>
    <row r="1138" spans="1:8" x14ac:dyDescent="0.25">
      <c r="A1138" s="2">
        <v>44636</v>
      </c>
      <c r="B1138" s="1" t="s">
        <v>54</v>
      </c>
      <c r="C1138">
        <v>70</v>
      </c>
      <c r="D1138" s="1" t="s">
        <v>187</v>
      </c>
      <c r="E1138" s="1" t="s">
        <v>5</v>
      </c>
      <c r="F1138">
        <v>13</v>
      </c>
      <c r="G1138" s="1" t="str">
        <f>Ocupacao_DW[[#This Row],[data]]&amp;Ocupacao_DW[[#This Row],[profissional_id]]&amp;Ocupacao_DW[[#This Row],[local_id]]</f>
        <v>446367013</v>
      </c>
      <c r="H1138" s="1">
        <f>_xlfn.XLOOKUP(Ocupacao_DW[[#This Row],[Concat]],Vagas!$H:$H,Vagas!$D:$D,"",0)</f>
        <v>0</v>
      </c>
    </row>
    <row r="1139" spans="1:8" x14ac:dyDescent="0.25">
      <c r="A1139" s="2">
        <v>44635</v>
      </c>
      <c r="B1139" s="1" t="s">
        <v>49</v>
      </c>
      <c r="C1139">
        <v>266</v>
      </c>
      <c r="D1139" s="1" t="s">
        <v>201</v>
      </c>
      <c r="E1139" s="1" t="s">
        <v>4</v>
      </c>
      <c r="F1139">
        <v>42</v>
      </c>
      <c r="G1139" s="1" t="str">
        <f>Ocupacao_DW[[#This Row],[data]]&amp;Ocupacao_DW[[#This Row],[profissional_id]]&amp;Ocupacao_DW[[#This Row],[local_id]]</f>
        <v>4463526642</v>
      </c>
      <c r="H1139" s="1">
        <f>_xlfn.XLOOKUP(Ocupacao_DW[[#This Row],[Concat]],Vagas!$H:$H,Vagas!$D:$D,"",0)</f>
        <v>0</v>
      </c>
    </row>
    <row r="1140" spans="1:8" x14ac:dyDescent="0.25">
      <c r="A1140" s="2">
        <v>44636</v>
      </c>
      <c r="B1140" s="1" t="s">
        <v>72</v>
      </c>
      <c r="C1140">
        <v>6046</v>
      </c>
      <c r="D1140" s="1" t="s">
        <v>222</v>
      </c>
      <c r="E1140" s="1" t="s">
        <v>167</v>
      </c>
      <c r="F1140">
        <v>344</v>
      </c>
      <c r="G1140" s="1" t="str">
        <f>Ocupacao_DW[[#This Row],[data]]&amp;Ocupacao_DW[[#This Row],[profissional_id]]&amp;Ocupacao_DW[[#This Row],[local_id]]</f>
        <v>446366046344</v>
      </c>
      <c r="H1140" s="1">
        <f>_xlfn.XLOOKUP(Ocupacao_DW[[#This Row],[Concat]],Vagas!$H:$H,Vagas!$D:$D,"",0)</f>
        <v>0</v>
      </c>
    </row>
    <row r="1141" spans="1:8" x14ac:dyDescent="0.25">
      <c r="A1141" s="2">
        <v>44636</v>
      </c>
      <c r="B1141" s="1" t="s">
        <v>52</v>
      </c>
      <c r="C1141">
        <v>10946</v>
      </c>
      <c r="D1141" s="1" t="s">
        <v>209</v>
      </c>
      <c r="E1141" s="1" t="s">
        <v>7</v>
      </c>
      <c r="F1141">
        <v>60</v>
      </c>
      <c r="G1141" s="1" t="str">
        <f>Ocupacao_DW[[#This Row],[data]]&amp;Ocupacao_DW[[#This Row],[profissional_id]]&amp;Ocupacao_DW[[#This Row],[local_id]]</f>
        <v>446361094660</v>
      </c>
      <c r="H1141" s="1">
        <f>_xlfn.XLOOKUP(Ocupacao_DW[[#This Row],[Concat]],Vagas!$H:$H,Vagas!$D:$D,"",0)</f>
        <v>0</v>
      </c>
    </row>
    <row r="1142" spans="1:8" x14ac:dyDescent="0.25">
      <c r="A1142" s="2">
        <v>44635</v>
      </c>
      <c r="B1142" s="1" t="s">
        <v>47</v>
      </c>
      <c r="C1142">
        <v>111</v>
      </c>
      <c r="D1142" s="1" t="s">
        <v>199</v>
      </c>
      <c r="E1142" s="1" t="s">
        <v>4</v>
      </c>
      <c r="F1142">
        <v>51</v>
      </c>
      <c r="G1142" s="1" t="str">
        <f>Ocupacao_DW[[#This Row],[data]]&amp;Ocupacao_DW[[#This Row],[profissional_id]]&amp;Ocupacao_DW[[#This Row],[local_id]]</f>
        <v>4463511151</v>
      </c>
      <c r="H1142" s="1">
        <f>_xlfn.XLOOKUP(Ocupacao_DW[[#This Row],[Concat]],Vagas!$H:$H,Vagas!$D:$D,"",0)</f>
        <v>0</v>
      </c>
    </row>
    <row r="1143" spans="1:8" x14ac:dyDescent="0.25">
      <c r="A1143" s="2">
        <v>44636</v>
      </c>
      <c r="B1143" s="1" t="s">
        <v>51</v>
      </c>
      <c r="C1143">
        <v>7551</v>
      </c>
      <c r="D1143" s="1" t="s">
        <v>246</v>
      </c>
      <c r="E1143" s="1" t="s">
        <v>5</v>
      </c>
      <c r="F1143">
        <v>15</v>
      </c>
      <c r="G1143" s="1" t="str">
        <f>Ocupacao_DW[[#This Row],[data]]&amp;Ocupacao_DW[[#This Row],[profissional_id]]&amp;Ocupacao_DW[[#This Row],[local_id]]</f>
        <v>44636755115</v>
      </c>
      <c r="H1143" s="1">
        <f>_xlfn.XLOOKUP(Ocupacao_DW[[#This Row],[Concat]],Vagas!$H:$H,Vagas!$D:$D,"",0)</f>
        <v>0</v>
      </c>
    </row>
    <row r="1144" spans="1:8" x14ac:dyDescent="0.25">
      <c r="A1144" s="2">
        <v>44637</v>
      </c>
      <c r="B1144" s="1" t="s">
        <v>71</v>
      </c>
      <c r="C1144">
        <v>282</v>
      </c>
      <c r="D1144" s="1" t="s">
        <v>210</v>
      </c>
      <c r="E1144" s="1" t="s">
        <v>7</v>
      </c>
      <c r="F1144">
        <v>68</v>
      </c>
      <c r="G1144" s="1" t="str">
        <f>Ocupacao_DW[[#This Row],[data]]&amp;Ocupacao_DW[[#This Row],[profissional_id]]&amp;Ocupacao_DW[[#This Row],[local_id]]</f>
        <v>4463728268</v>
      </c>
      <c r="H1144" s="1">
        <f>_xlfn.XLOOKUP(Ocupacao_DW[[#This Row],[Concat]],Vagas!$H:$H,Vagas!$D:$D,"",0)</f>
        <v>0</v>
      </c>
    </row>
    <row r="1145" spans="1:8" x14ac:dyDescent="0.25">
      <c r="A1145" s="2">
        <v>44651</v>
      </c>
      <c r="B1145" s="1" t="s">
        <v>47</v>
      </c>
      <c r="C1145">
        <v>9111</v>
      </c>
      <c r="D1145" s="1" t="s">
        <v>206</v>
      </c>
      <c r="E1145" s="1" t="s">
        <v>4</v>
      </c>
      <c r="F1145">
        <v>334</v>
      </c>
      <c r="G1145" s="1" t="str">
        <f>Ocupacao_DW[[#This Row],[data]]&amp;Ocupacao_DW[[#This Row],[profissional_id]]&amp;Ocupacao_DW[[#This Row],[local_id]]</f>
        <v>446519111334</v>
      </c>
      <c r="H1145" s="1">
        <f>_xlfn.XLOOKUP(Ocupacao_DW[[#This Row],[Concat]],Vagas!$H:$H,Vagas!$D:$D,"",0)</f>
        <v>0</v>
      </c>
    </row>
    <row r="1146" spans="1:8" x14ac:dyDescent="0.25">
      <c r="A1146" s="2">
        <v>44635</v>
      </c>
      <c r="B1146" s="1" t="s">
        <v>55</v>
      </c>
      <c r="C1146">
        <v>60</v>
      </c>
      <c r="D1146" s="1" t="s">
        <v>217</v>
      </c>
      <c r="E1146" s="1" t="s">
        <v>167</v>
      </c>
      <c r="F1146">
        <v>345</v>
      </c>
      <c r="G1146" s="1" t="str">
        <f>Ocupacao_DW[[#This Row],[data]]&amp;Ocupacao_DW[[#This Row],[profissional_id]]&amp;Ocupacao_DW[[#This Row],[local_id]]</f>
        <v>4463560345</v>
      </c>
      <c r="H1146" s="1">
        <f>_xlfn.XLOOKUP(Ocupacao_DW[[#This Row],[Concat]],Vagas!$H:$H,Vagas!$D:$D,"",0)</f>
        <v>0</v>
      </c>
    </row>
    <row r="1147" spans="1:8" x14ac:dyDescent="0.25">
      <c r="A1147" s="2">
        <v>44635</v>
      </c>
      <c r="B1147" s="1" t="s">
        <v>50</v>
      </c>
      <c r="C1147">
        <v>4814</v>
      </c>
      <c r="D1147" s="1" t="s">
        <v>189</v>
      </c>
      <c r="E1147" s="1" t="s">
        <v>5</v>
      </c>
      <c r="F1147">
        <v>17</v>
      </c>
      <c r="G1147" s="1" t="str">
        <f>Ocupacao_DW[[#This Row],[data]]&amp;Ocupacao_DW[[#This Row],[profissional_id]]&amp;Ocupacao_DW[[#This Row],[local_id]]</f>
        <v>44635481417</v>
      </c>
      <c r="H1147" s="1">
        <f>_xlfn.XLOOKUP(Ocupacao_DW[[#This Row],[Concat]],Vagas!$H:$H,Vagas!$D:$D,"",0)</f>
        <v>0</v>
      </c>
    </row>
    <row r="1148" spans="1:8" x14ac:dyDescent="0.25">
      <c r="A1148" s="2">
        <v>44637</v>
      </c>
      <c r="B1148" s="1" t="s">
        <v>56</v>
      </c>
      <c r="C1148">
        <v>5822</v>
      </c>
      <c r="D1148" s="1" t="s">
        <v>194</v>
      </c>
      <c r="E1148" s="1" t="s">
        <v>5</v>
      </c>
      <c r="F1148">
        <v>11</v>
      </c>
      <c r="G1148" s="1" t="str">
        <f>Ocupacao_DW[[#This Row],[data]]&amp;Ocupacao_DW[[#This Row],[profissional_id]]&amp;Ocupacao_DW[[#This Row],[local_id]]</f>
        <v>44637582211</v>
      </c>
      <c r="H1148" s="1">
        <f>_xlfn.XLOOKUP(Ocupacao_DW[[#This Row],[Concat]],Vagas!$H:$H,Vagas!$D:$D,"",0)</f>
        <v>0</v>
      </c>
    </row>
    <row r="1149" spans="1:8" x14ac:dyDescent="0.25">
      <c r="A1149" s="2">
        <v>44643</v>
      </c>
      <c r="B1149" s="1" t="s">
        <v>49</v>
      </c>
      <c r="C1149">
        <v>10600</v>
      </c>
      <c r="D1149" s="1" t="s">
        <v>248</v>
      </c>
      <c r="E1149" s="1" t="s">
        <v>7</v>
      </c>
      <c r="F1149">
        <v>71</v>
      </c>
      <c r="G1149" s="1" t="str">
        <f>Ocupacao_DW[[#This Row],[data]]&amp;Ocupacao_DW[[#This Row],[profissional_id]]&amp;Ocupacao_DW[[#This Row],[local_id]]</f>
        <v>446431060071</v>
      </c>
      <c r="H1149" s="1">
        <f>_xlfn.XLOOKUP(Ocupacao_DW[[#This Row],[Concat]],Vagas!$H:$H,Vagas!$D:$D,"",0)</f>
        <v>0</v>
      </c>
    </row>
    <row r="1150" spans="1:8" x14ac:dyDescent="0.25">
      <c r="A1150" s="2">
        <v>44636</v>
      </c>
      <c r="B1150" s="1" t="s">
        <v>49</v>
      </c>
      <c r="C1150">
        <v>6430</v>
      </c>
      <c r="D1150" s="1" t="s">
        <v>188</v>
      </c>
      <c r="E1150" s="1" t="s">
        <v>4</v>
      </c>
      <c r="F1150">
        <v>42</v>
      </c>
      <c r="G1150" s="1" t="str">
        <f>Ocupacao_DW[[#This Row],[data]]&amp;Ocupacao_DW[[#This Row],[profissional_id]]&amp;Ocupacao_DW[[#This Row],[local_id]]</f>
        <v>44636643042</v>
      </c>
      <c r="H1150" s="1">
        <f>_xlfn.XLOOKUP(Ocupacao_DW[[#This Row],[Concat]],Vagas!$H:$H,Vagas!$D:$D,"",0)</f>
        <v>0</v>
      </c>
    </row>
    <row r="1151" spans="1:8" x14ac:dyDescent="0.25">
      <c r="A1151" s="2">
        <v>44638</v>
      </c>
      <c r="B1151" s="1" t="s">
        <v>49</v>
      </c>
      <c r="C1151">
        <v>6430</v>
      </c>
      <c r="D1151" s="1" t="s">
        <v>188</v>
      </c>
      <c r="E1151" s="1" t="s">
        <v>4</v>
      </c>
      <c r="F1151">
        <v>42</v>
      </c>
      <c r="G1151" s="1" t="str">
        <f>Ocupacao_DW[[#This Row],[data]]&amp;Ocupacao_DW[[#This Row],[profissional_id]]&amp;Ocupacao_DW[[#This Row],[local_id]]</f>
        <v>44638643042</v>
      </c>
      <c r="H1151" s="1">
        <f>_xlfn.XLOOKUP(Ocupacao_DW[[#This Row],[Concat]],Vagas!$H:$H,Vagas!$D:$D,"",0)</f>
        <v>0</v>
      </c>
    </row>
    <row r="1152" spans="1:8" x14ac:dyDescent="0.25">
      <c r="A1152" s="2">
        <v>44643</v>
      </c>
      <c r="B1152" s="1" t="s">
        <v>24</v>
      </c>
      <c r="C1152">
        <v>13061</v>
      </c>
      <c r="D1152" s="1" t="s">
        <v>232</v>
      </c>
      <c r="E1152" s="1" t="s">
        <v>6</v>
      </c>
      <c r="F1152">
        <v>3</v>
      </c>
      <c r="G1152" s="1" t="str">
        <f>Ocupacao_DW[[#This Row],[data]]&amp;Ocupacao_DW[[#This Row],[profissional_id]]&amp;Ocupacao_DW[[#This Row],[local_id]]</f>
        <v>44643130613</v>
      </c>
      <c r="H1152" s="1">
        <f>_xlfn.XLOOKUP(Ocupacao_DW[[#This Row],[Concat]],Vagas!$H:$H,Vagas!$D:$D,"",0)</f>
        <v>0</v>
      </c>
    </row>
    <row r="1153" spans="1:8" x14ac:dyDescent="0.25">
      <c r="A1153" s="2">
        <v>44635</v>
      </c>
      <c r="B1153" s="1" t="s">
        <v>71</v>
      </c>
      <c r="C1153">
        <v>282</v>
      </c>
      <c r="D1153" s="1" t="s">
        <v>210</v>
      </c>
      <c r="E1153" s="1" t="s">
        <v>4</v>
      </c>
      <c r="F1153">
        <v>48</v>
      </c>
      <c r="G1153" s="1" t="str">
        <f>Ocupacao_DW[[#This Row],[data]]&amp;Ocupacao_DW[[#This Row],[profissional_id]]&amp;Ocupacao_DW[[#This Row],[local_id]]</f>
        <v>4463528248</v>
      </c>
      <c r="H1153" s="1">
        <f>_xlfn.XLOOKUP(Ocupacao_DW[[#This Row],[Concat]],Vagas!$H:$H,Vagas!$D:$D,"",0)</f>
        <v>0</v>
      </c>
    </row>
    <row r="1154" spans="1:8" x14ac:dyDescent="0.25">
      <c r="A1154" s="2">
        <v>44650</v>
      </c>
      <c r="B1154" s="1" t="s">
        <v>49</v>
      </c>
      <c r="C1154">
        <v>17918</v>
      </c>
      <c r="D1154" s="1" t="s">
        <v>265</v>
      </c>
      <c r="E1154" s="1" t="s">
        <v>4</v>
      </c>
      <c r="F1154">
        <v>42</v>
      </c>
      <c r="G1154" s="1" t="str">
        <f>Ocupacao_DW[[#This Row],[data]]&amp;Ocupacao_DW[[#This Row],[profissional_id]]&amp;Ocupacao_DW[[#This Row],[local_id]]</f>
        <v>446501791842</v>
      </c>
      <c r="H1154" s="1">
        <f>_xlfn.XLOOKUP(Ocupacao_DW[[#This Row],[Concat]],Vagas!$H:$H,Vagas!$D:$D,"",0)</f>
        <v>0</v>
      </c>
    </row>
    <row r="1155" spans="1:8" x14ac:dyDescent="0.25">
      <c r="A1155" s="2">
        <v>44639</v>
      </c>
      <c r="B1155" s="1" t="s">
        <v>49</v>
      </c>
      <c r="C1155">
        <v>13756</v>
      </c>
      <c r="D1155" s="1" t="s">
        <v>202</v>
      </c>
      <c r="E1155" s="1" t="s">
        <v>4</v>
      </c>
      <c r="F1155">
        <v>43</v>
      </c>
      <c r="G1155" s="1" t="str">
        <f>Ocupacao_DW[[#This Row],[data]]&amp;Ocupacao_DW[[#This Row],[profissional_id]]&amp;Ocupacao_DW[[#This Row],[local_id]]</f>
        <v>446391375643</v>
      </c>
      <c r="H1155" s="1">
        <f>_xlfn.XLOOKUP(Ocupacao_DW[[#This Row],[Concat]],Vagas!$H:$H,Vagas!$D:$D,"",0)</f>
        <v>0</v>
      </c>
    </row>
    <row r="1156" spans="1:8" x14ac:dyDescent="0.25">
      <c r="A1156" s="2">
        <v>44636</v>
      </c>
      <c r="B1156" s="1" t="s">
        <v>49</v>
      </c>
      <c r="C1156">
        <v>6430</v>
      </c>
      <c r="D1156" s="1" t="s">
        <v>188</v>
      </c>
      <c r="E1156" s="1" t="s">
        <v>4</v>
      </c>
      <c r="F1156">
        <v>42</v>
      </c>
      <c r="G1156" s="1" t="str">
        <f>Ocupacao_DW[[#This Row],[data]]&amp;Ocupacao_DW[[#This Row],[profissional_id]]&amp;Ocupacao_DW[[#This Row],[local_id]]</f>
        <v>44636643042</v>
      </c>
      <c r="H1156" s="1">
        <f>_xlfn.XLOOKUP(Ocupacao_DW[[#This Row],[Concat]],Vagas!$H:$H,Vagas!$D:$D,"",0)</f>
        <v>0</v>
      </c>
    </row>
    <row r="1157" spans="1:8" x14ac:dyDescent="0.25">
      <c r="A1157" s="2">
        <v>44638</v>
      </c>
      <c r="B1157" s="1" t="s">
        <v>49</v>
      </c>
      <c r="C1157">
        <v>12142</v>
      </c>
      <c r="D1157" s="1" t="s">
        <v>219</v>
      </c>
      <c r="E1157" s="1" t="s">
        <v>4</v>
      </c>
      <c r="F1157">
        <v>44</v>
      </c>
      <c r="G1157" s="1" t="str">
        <f>Ocupacao_DW[[#This Row],[data]]&amp;Ocupacao_DW[[#This Row],[profissional_id]]&amp;Ocupacao_DW[[#This Row],[local_id]]</f>
        <v>446381214244</v>
      </c>
      <c r="H1157" s="1">
        <f>_xlfn.XLOOKUP(Ocupacao_DW[[#This Row],[Concat]],Vagas!$H:$H,Vagas!$D:$D,"",0)</f>
        <v>0</v>
      </c>
    </row>
    <row r="1158" spans="1:8" x14ac:dyDescent="0.25">
      <c r="A1158" s="2">
        <v>44637</v>
      </c>
      <c r="B1158" s="1" t="s">
        <v>51</v>
      </c>
      <c r="C1158">
        <v>12582</v>
      </c>
      <c r="D1158" s="1" t="s">
        <v>190</v>
      </c>
      <c r="E1158" s="1" t="s">
        <v>5</v>
      </c>
      <c r="F1158">
        <v>15</v>
      </c>
      <c r="G1158" s="1" t="str">
        <f>Ocupacao_DW[[#This Row],[data]]&amp;Ocupacao_DW[[#This Row],[profissional_id]]&amp;Ocupacao_DW[[#This Row],[local_id]]</f>
        <v>446371258215</v>
      </c>
      <c r="H1158" s="1">
        <f>_xlfn.XLOOKUP(Ocupacao_DW[[#This Row],[Concat]],Vagas!$H:$H,Vagas!$D:$D,"",0)</f>
        <v>0</v>
      </c>
    </row>
    <row r="1159" spans="1:8" x14ac:dyDescent="0.25">
      <c r="A1159" s="2">
        <v>44636</v>
      </c>
      <c r="B1159" s="1" t="s">
        <v>47</v>
      </c>
      <c r="C1159">
        <v>17859</v>
      </c>
      <c r="D1159" s="1" t="s">
        <v>212</v>
      </c>
      <c r="E1159" s="1" t="s">
        <v>4</v>
      </c>
      <c r="F1159">
        <v>336</v>
      </c>
      <c r="G1159" s="1" t="str">
        <f>Ocupacao_DW[[#This Row],[data]]&amp;Ocupacao_DW[[#This Row],[profissional_id]]&amp;Ocupacao_DW[[#This Row],[local_id]]</f>
        <v>4463617859336</v>
      </c>
      <c r="H1159" s="1">
        <f>_xlfn.XLOOKUP(Ocupacao_DW[[#This Row],[Concat]],Vagas!$H:$H,Vagas!$D:$D,"",0)</f>
        <v>0</v>
      </c>
    </row>
    <row r="1160" spans="1:8" x14ac:dyDescent="0.25">
      <c r="A1160" s="2">
        <v>44648</v>
      </c>
      <c r="B1160" s="1" t="s">
        <v>52</v>
      </c>
      <c r="C1160">
        <v>10691</v>
      </c>
      <c r="D1160" s="1" t="s">
        <v>181</v>
      </c>
      <c r="E1160" s="1" t="s">
        <v>6</v>
      </c>
      <c r="F1160">
        <v>9</v>
      </c>
      <c r="G1160" s="1" t="str">
        <f>Ocupacao_DW[[#This Row],[data]]&amp;Ocupacao_DW[[#This Row],[profissional_id]]&amp;Ocupacao_DW[[#This Row],[local_id]]</f>
        <v>44648106919</v>
      </c>
      <c r="H1160" s="1">
        <f>_xlfn.XLOOKUP(Ocupacao_DW[[#This Row],[Concat]],Vagas!$H:$H,Vagas!$D:$D,"",0)</f>
        <v>0</v>
      </c>
    </row>
    <row r="1161" spans="1:8" x14ac:dyDescent="0.25">
      <c r="A1161" s="2">
        <v>44636</v>
      </c>
      <c r="B1161" s="1" t="s">
        <v>49</v>
      </c>
      <c r="C1161">
        <v>6430</v>
      </c>
      <c r="D1161" s="1" t="s">
        <v>188</v>
      </c>
      <c r="E1161" s="1" t="s">
        <v>4</v>
      </c>
      <c r="F1161">
        <v>42</v>
      </c>
      <c r="G1161" s="1" t="str">
        <f>Ocupacao_DW[[#This Row],[data]]&amp;Ocupacao_DW[[#This Row],[profissional_id]]&amp;Ocupacao_DW[[#This Row],[local_id]]</f>
        <v>44636643042</v>
      </c>
      <c r="H1161" s="1">
        <f>_xlfn.XLOOKUP(Ocupacao_DW[[#This Row],[Concat]],Vagas!$H:$H,Vagas!$D:$D,"",0)</f>
        <v>0</v>
      </c>
    </row>
    <row r="1162" spans="1:8" x14ac:dyDescent="0.25">
      <c r="A1162" s="2">
        <v>44636</v>
      </c>
      <c r="B1162" s="1" t="s">
        <v>72</v>
      </c>
      <c r="C1162">
        <v>6046</v>
      </c>
      <c r="D1162" s="1" t="s">
        <v>222</v>
      </c>
      <c r="E1162" s="1" t="s">
        <v>167</v>
      </c>
      <c r="F1162">
        <v>344</v>
      </c>
      <c r="G1162" s="1" t="str">
        <f>Ocupacao_DW[[#This Row],[data]]&amp;Ocupacao_DW[[#This Row],[profissional_id]]&amp;Ocupacao_DW[[#This Row],[local_id]]</f>
        <v>446366046344</v>
      </c>
      <c r="H1162" s="1">
        <f>_xlfn.XLOOKUP(Ocupacao_DW[[#This Row],[Concat]],Vagas!$H:$H,Vagas!$D:$D,"",0)</f>
        <v>0</v>
      </c>
    </row>
    <row r="1163" spans="1:8" x14ac:dyDescent="0.25">
      <c r="A1163" s="2">
        <v>44642</v>
      </c>
      <c r="B1163" s="1"/>
      <c r="C1163">
        <v>0</v>
      </c>
      <c r="D1163" s="1"/>
      <c r="E1163" s="1" t="s">
        <v>7</v>
      </c>
      <c r="F1163">
        <v>59</v>
      </c>
      <c r="G1163" s="1" t="str">
        <f>Ocupacao_DW[[#This Row],[data]]&amp;Ocupacao_DW[[#This Row],[profissional_id]]&amp;Ocupacao_DW[[#This Row],[local_id]]</f>
        <v>44642059</v>
      </c>
      <c r="H1163" s="1" t="str">
        <f>_xlfn.XLOOKUP(Ocupacao_DW[[#This Row],[Concat]],Vagas!$H:$H,Vagas!$D:$D,"",0)</f>
        <v/>
      </c>
    </row>
    <row r="1164" spans="1:8" x14ac:dyDescent="0.25">
      <c r="A1164" s="2">
        <v>44636</v>
      </c>
      <c r="B1164" s="1" t="s">
        <v>51</v>
      </c>
      <c r="C1164">
        <v>17859</v>
      </c>
      <c r="D1164" s="1" t="s">
        <v>212</v>
      </c>
      <c r="E1164" s="1" t="s">
        <v>6</v>
      </c>
      <c r="F1164">
        <v>7</v>
      </c>
      <c r="G1164" s="1" t="str">
        <f>Ocupacao_DW[[#This Row],[data]]&amp;Ocupacao_DW[[#This Row],[profissional_id]]&amp;Ocupacao_DW[[#This Row],[local_id]]</f>
        <v>44636178597</v>
      </c>
      <c r="H1164" s="1">
        <f>_xlfn.XLOOKUP(Ocupacao_DW[[#This Row],[Concat]],Vagas!$H:$H,Vagas!$D:$D,"",0)</f>
        <v>0</v>
      </c>
    </row>
    <row r="1165" spans="1:8" x14ac:dyDescent="0.25">
      <c r="A1165" s="2">
        <v>44635</v>
      </c>
      <c r="B1165" s="1" t="s">
        <v>65</v>
      </c>
      <c r="C1165">
        <v>11237</v>
      </c>
      <c r="D1165" s="1" t="s">
        <v>229</v>
      </c>
      <c r="E1165" s="1" t="s">
        <v>4</v>
      </c>
      <c r="F1165">
        <v>46</v>
      </c>
      <c r="G1165" s="1" t="str">
        <f>Ocupacao_DW[[#This Row],[data]]&amp;Ocupacao_DW[[#This Row],[profissional_id]]&amp;Ocupacao_DW[[#This Row],[local_id]]</f>
        <v>446351123746</v>
      </c>
      <c r="H1165" s="1">
        <f>_xlfn.XLOOKUP(Ocupacao_DW[[#This Row],[Concat]],Vagas!$H:$H,Vagas!$D:$D,"",0)</f>
        <v>0</v>
      </c>
    </row>
    <row r="1166" spans="1:8" x14ac:dyDescent="0.25">
      <c r="A1166" s="2">
        <v>44635</v>
      </c>
      <c r="B1166" s="1"/>
      <c r="C1166">
        <v>17889</v>
      </c>
      <c r="D1166" s="1" t="s">
        <v>280</v>
      </c>
      <c r="E1166" s="1" t="s">
        <v>7</v>
      </c>
      <c r="F1166">
        <v>59</v>
      </c>
      <c r="G1166" s="1" t="str">
        <f>Ocupacao_DW[[#This Row],[data]]&amp;Ocupacao_DW[[#This Row],[profissional_id]]&amp;Ocupacao_DW[[#This Row],[local_id]]</f>
        <v>446351788959</v>
      </c>
      <c r="H1166" s="1">
        <f>_xlfn.XLOOKUP(Ocupacao_DW[[#This Row],[Concat]],Vagas!$H:$H,Vagas!$D:$D,"",0)</f>
        <v>29</v>
      </c>
    </row>
    <row r="1167" spans="1:8" x14ac:dyDescent="0.25">
      <c r="A1167" s="2">
        <v>44636</v>
      </c>
      <c r="B1167" s="1" t="s">
        <v>62</v>
      </c>
      <c r="C1167">
        <v>10799</v>
      </c>
      <c r="D1167" s="1" t="s">
        <v>204</v>
      </c>
      <c r="E1167" s="1" t="s">
        <v>5</v>
      </c>
      <c r="F1167">
        <v>18</v>
      </c>
      <c r="G1167" s="1" t="str">
        <f>Ocupacao_DW[[#This Row],[data]]&amp;Ocupacao_DW[[#This Row],[profissional_id]]&amp;Ocupacao_DW[[#This Row],[local_id]]</f>
        <v>446361079918</v>
      </c>
      <c r="H1167" s="1">
        <f>_xlfn.XLOOKUP(Ocupacao_DW[[#This Row],[Concat]],Vagas!$H:$H,Vagas!$D:$D,"",0)</f>
        <v>0</v>
      </c>
    </row>
    <row r="1168" spans="1:8" x14ac:dyDescent="0.25">
      <c r="A1168" s="2">
        <v>44643</v>
      </c>
      <c r="B1168" s="1" t="s">
        <v>51</v>
      </c>
      <c r="C1168">
        <v>17859</v>
      </c>
      <c r="D1168" s="1" t="s">
        <v>212</v>
      </c>
      <c r="E1168" s="1" t="s">
        <v>6</v>
      </c>
      <c r="F1168">
        <v>7</v>
      </c>
      <c r="G1168" s="1" t="str">
        <f>Ocupacao_DW[[#This Row],[data]]&amp;Ocupacao_DW[[#This Row],[profissional_id]]&amp;Ocupacao_DW[[#This Row],[local_id]]</f>
        <v>44643178597</v>
      </c>
      <c r="H1168" s="1">
        <f>_xlfn.XLOOKUP(Ocupacao_DW[[#This Row],[Concat]],Vagas!$H:$H,Vagas!$D:$D,"",0)</f>
        <v>0</v>
      </c>
    </row>
    <row r="1169" spans="1:8" x14ac:dyDescent="0.25">
      <c r="A1169" s="2">
        <v>44644</v>
      </c>
      <c r="B1169" s="1" t="s">
        <v>55</v>
      </c>
      <c r="C1169">
        <v>8598</v>
      </c>
      <c r="D1169" s="1" t="s">
        <v>228</v>
      </c>
      <c r="E1169" s="1" t="s">
        <v>6</v>
      </c>
      <c r="F1169">
        <v>3</v>
      </c>
      <c r="G1169" s="1" t="str">
        <f>Ocupacao_DW[[#This Row],[data]]&amp;Ocupacao_DW[[#This Row],[profissional_id]]&amp;Ocupacao_DW[[#This Row],[local_id]]</f>
        <v>4464485983</v>
      </c>
      <c r="H1169" s="1">
        <f>_xlfn.XLOOKUP(Ocupacao_DW[[#This Row],[Concat]],Vagas!$H:$H,Vagas!$D:$D,"",0)</f>
        <v>0</v>
      </c>
    </row>
    <row r="1170" spans="1:8" x14ac:dyDescent="0.25">
      <c r="A1170" s="2">
        <v>44657</v>
      </c>
      <c r="B1170" s="1"/>
      <c r="C1170">
        <v>0</v>
      </c>
      <c r="D1170" s="1"/>
      <c r="E1170" s="1" t="s">
        <v>4</v>
      </c>
      <c r="F1170">
        <v>334</v>
      </c>
      <c r="G1170" s="1" t="str">
        <f>Ocupacao_DW[[#This Row],[data]]&amp;Ocupacao_DW[[#This Row],[profissional_id]]&amp;Ocupacao_DW[[#This Row],[local_id]]</f>
        <v>446570334</v>
      </c>
      <c r="H1170" s="1" t="str">
        <f>_xlfn.XLOOKUP(Ocupacao_DW[[#This Row],[Concat]],Vagas!$H:$H,Vagas!$D:$D,"",0)</f>
        <v/>
      </c>
    </row>
    <row r="1171" spans="1:8" x14ac:dyDescent="0.25">
      <c r="A1171" s="2">
        <v>44650</v>
      </c>
      <c r="B1171" s="1" t="s">
        <v>55</v>
      </c>
      <c r="C1171">
        <v>74</v>
      </c>
      <c r="D1171" s="1" t="s">
        <v>182</v>
      </c>
      <c r="E1171" s="1" t="s">
        <v>6</v>
      </c>
      <c r="F1171">
        <v>7</v>
      </c>
      <c r="G1171" s="1" t="str">
        <f>Ocupacao_DW[[#This Row],[data]]&amp;Ocupacao_DW[[#This Row],[profissional_id]]&amp;Ocupacao_DW[[#This Row],[local_id]]</f>
        <v>44650747</v>
      </c>
      <c r="H1171" s="1">
        <f>_xlfn.XLOOKUP(Ocupacao_DW[[#This Row],[Concat]],Vagas!$H:$H,Vagas!$D:$D,"",0)</f>
        <v>0</v>
      </c>
    </row>
    <row r="1172" spans="1:8" x14ac:dyDescent="0.25">
      <c r="A1172" s="2">
        <v>44657</v>
      </c>
      <c r="B1172" s="1" t="s">
        <v>70</v>
      </c>
      <c r="C1172">
        <v>12519</v>
      </c>
      <c r="D1172" s="1" t="s">
        <v>176</v>
      </c>
      <c r="E1172" s="1" t="s">
        <v>4</v>
      </c>
      <c r="F1172">
        <v>48</v>
      </c>
      <c r="G1172" s="1" t="str">
        <f>Ocupacao_DW[[#This Row],[data]]&amp;Ocupacao_DW[[#This Row],[profissional_id]]&amp;Ocupacao_DW[[#This Row],[local_id]]</f>
        <v>446571251948</v>
      </c>
      <c r="H1172" s="1">
        <f>_xlfn.XLOOKUP(Ocupacao_DW[[#This Row],[Concat]],Vagas!$H:$H,Vagas!$D:$D,"",0)</f>
        <v>0</v>
      </c>
    </row>
    <row r="1173" spans="1:8" x14ac:dyDescent="0.25">
      <c r="A1173" s="2">
        <v>44643</v>
      </c>
      <c r="B1173" s="1" t="s">
        <v>52</v>
      </c>
      <c r="C1173">
        <v>60</v>
      </c>
      <c r="D1173" s="1" t="s">
        <v>217</v>
      </c>
      <c r="E1173" s="1" t="s">
        <v>6</v>
      </c>
      <c r="F1173">
        <v>8</v>
      </c>
      <c r="G1173" s="1" t="str">
        <f>Ocupacao_DW[[#This Row],[data]]&amp;Ocupacao_DW[[#This Row],[profissional_id]]&amp;Ocupacao_DW[[#This Row],[local_id]]</f>
        <v>44643608</v>
      </c>
      <c r="H1173" s="1">
        <f>_xlfn.XLOOKUP(Ocupacao_DW[[#This Row],[Concat]],Vagas!$H:$H,Vagas!$D:$D,"",0)</f>
        <v>0</v>
      </c>
    </row>
    <row r="1174" spans="1:8" x14ac:dyDescent="0.25">
      <c r="A1174" s="2">
        <v>44643</v>
      </c>
      <c r="B1174" s="1" t="s">
        <v>51</v>
      </c>
      <c r="C1174">
        <v>17859</v>
      </c>
      <c r="D1174" s="1" t="s">
        <v>212</v>
      </c>
      <c r="E1174" s="1" t="s">
        <v>6</v>
      </c>
      <c r="F1174">
        <v>7</v>
      </c>
      <c r="G1174" s="1" t="str">
        <f>Ocupacao_DW[[#This Row],[data]]&amp;Ocupacao_DW[[#This Row],[profissional_id]]&amp;Ocupacao_DW[[#This Row],[local_id]]</f>
        <v>44643178597</v>
      </c>
      <c r="H1174" s="1">
        <f>_xlfn.XLOOKUP(Ocupacao_DW[[#This Row],[Concat]],Vagas!$H:$H,Vagas!$D:$D,"",0)</f>
        <v>0</v>
      </c>
    </row>
    <row r="1175" spans="1:8" x14ac:dyDescent="0.25">
      <c r="A1175" s="2">
        <v>44636</v>
      </c>
      <c r="B1175" s="1" t="s">
        <v>72</v>
      </c>
      <c r="C1175">
        <v>6046</v>
      </c>
      <c r="D1175" s="1" t="s">
        <v>222</v>
      </c>
      <c r="E1175" s="1" t="s">
        <v>167</v>
      </c>
      <c r="F1175">
        <v>344</v>
      </c>
      <c r="G1175" s="1" t="str">
        <f>Ocupacao_DW[[#This Row],[data]]&amp;Ocupacao_DW[[#This Row],[profissional_id]]&amp;Ocupacao_DW[[#This Row],[local_id]]</f>
        <v>446366046344</v>
      </c>
      <c r="H1175" s="1">
        <f>_xlfn.XLOOKUP(Ocupacao_DW[[#This Row],[Concat]],Vagas!$H:$H,Vagas!$D:$D,"",0)</f>
        <v>0</v>
      </c>
    </row>
    <row r="1176" spans="1:8" x14ac:dyDescent="0.25">
      <c r="A1176" s="2">
        <v>44635</v>
      </c>
      <c r="B1176" s="1" t="s">
        <v>54</v>
      </c>
      <c r="C1176">
        <v>12623</v>
      </c>
      <c r="D1176" s="1" t="s">
        <v>258</v>
      </c>
      <c r="E1176" s="1" t="s">
        <v>5</v>
      </c>
      <c r="F1176">
        <v>11</v>
      </c>
      <c r="G1176" s="1" t="str">
        <f>Ocupacao_DW[[#This Row],[data]]&amp;Ocupacao_DW[[#This Row],[profissional_id]]&amp;Ocupacao_DW[[#This Row],[local_id]]</f>
        <v>446351262311</v>
      </c>
      <c r="H1176" s="1">
        <f>_xlfn.XLOOKUP(Ocupacao_DW[[#This Row],[Concat]],Vagas!$H:$H,Vagas!$D:$D,"",0)</f>
        <v>0</v>
      </c>
    </row>
    <row r="1177" spans="1:8" x14ac:dyDescent="0.25">
      <c r="A1177" s="2">
        <v>44638</v>
      </c>
      <c r="B1177" s="1" t="s">
        <v>49</v>
      </c>
      <c r="C1177">
        <v>6430</v>
      </c>
      <c r="D1177" s="1" t="s">
        <v>188</v>
      </c>
      <c r="E1177" s="1" t="s">
        <v>4</v>
      </c>
      <c r="F1177">
        <v>42</v>
      </c>
      <c r="G1177" s="1" t="str">
        <f>Ocupacao_DW[[#This Row],[data]]&amp;Ocupacao_DW[[#This Row],[profissional_id]]&amp;Ocupacao_DW[[#This Row],[local_id]]</f>
        <v>44638643042</v>
      </c>
      <c r="H1177" s="1">
        <f>_xlfn.XLOOKUP(Ocupacao_DW[[#This Row],[Concat]],Vagas!$H:$H,Vagas!$D:$D,"",0)</f>
        <v>0</v>
      </c>
    </row>
    <row r="1178" spans="1:8" x14ac:dyDescent="0.25">
      <c r="A1178" s="2">
        <v>44636</v>
      </c>
      <c r="B1178" s="1" t="s">
        <v>49</v>
      </c>
      <c r="C1178">
        <v>6430</v>
      </c>
      <c r="D1178" s="1" t="s">
        <v>188</v>
      </c>
      <c r="E1178" s="1" t="s">
        <v>4</v>
      </c>
      <c r="F1178">
        <v>42</v>
      </c>
      <c r="G1178" s="1" t="str">
        <f>Ocupacao_DW[[#This Row],[data]]&amp;Ocupacao_DW[[#This Row],[profissional_id]]&amp;Ocupacao_DW[[#This Row],[local_id]]</f>
        <v>44636643042</v>
      </c>
      <c r="H1178" s="1">
        <f>_xlfn.XLOOKUP(Ocupacao_DW[[#This Row],[Concat]],Vagas!$H:$H,Vagas!$D:$D,"",0)</f>
        <v>0</v>
      </c>
    </row>
    <row r="1179" spans="1:8" x14ac:dyDescent="0.25">
      <c r="A1179" s="2">
        <v>44641</v>
      </c>
      <c r="B1179" s="1" t="s">
        <v>52</v>
      </c>
      <c r="C1179">
        <v>10691</v>
      </c>
      <c r="D1179" s="1" t="s">
        <v>181</v>
      </c>
      <c r="E1179" s="1" t="s">
        <v>6</v>
      </c>
      <c r="F1179">
        <v>9</v>
      </c>
      <c r="G1179" s="1" t="str">
        <f>Ocupacao_DW[[#This Row],[data]]&amp;Ocupacao_DW[[#This Row],[profissional_id]]&amp;Ocupacao_DW[[#This Row],[local_id]]</f>
        <v>44641106919</v>
      </c>
      <c r="H1179" s="1">
        <f>_xlfn.XLOOKUP(Ocupacao_DW[[#This Row],[Concat]],Vagas!$H:$H,Vagas!$D:$D,"",0)</f>
        <v>0</v>
      </c>
    </row>
    <row r="1180" spans="1:8" x14ac:dyDescent="0.25">
      <c r="A1180" s="2">
        <v>44636</v>
      </c>
      <c r="B1180" s="1" t="s">
        <v>72</v>
      </c>
      <c r="C1180">
        <v>1794</v>
      </c>
      <c r="D1180" s="1" t="s">
        <v>235</v>
      </c>
      <c r="E1180" s="1" t="s">
        <v>4</v>
      </c>
      <c r="F1180">
        <v>49</v>
      </c>
      <c r="G1180" s="1" t="str">
        <f>Ocupacao_DW[[#This Row],[data]]&amp;Ocupacao_DW[[#This Row],[profissional_id]]&amp;Ocupacao_DW[[#This Row],[local_id]]</f>
        <v>44636179449</v>
      </c>
      <c r="H1180" s="1">
        <f>_xlfn.XLOOKUP(Ocupacao_DW[[#This Row],[Concat]],Vagas!$H:$H,Vagas!$D:$D,"",0)</f>
        <v>0</v>
      </c>
    </row>
    <row r="1181" spans="1:8" x14ac:dyDescent="0.25">
      <c r="A1181" s="2">
        <v>44653</v>
      </c>
      <c r="B1181" s="1" t="s">
        <v>62</v>
      </c>
      <c r="C1181">
        <v>4887</v>
      </c>
      <c r="D1181" s="1" t="s">
        <v>168</v>
      </c>
      <c r="E1181" s="1" t="s">
        <v>5</v>
      </c>
      <c r="F1181">
        <v>18</v>
      </c>
      <c r="G1181" s="1" t="str">
        <f>Ocupacao_DW[[#This Row],[data]]&amp;Ocupacao_DW[[#This Row],[profissional_id]]&amp;Ocupacao_DW[[#This Row],[local_id]]</f>
        <v>44653488718</v>
      </c>
      <c r="H1181" s="1">
        <f>_xlfn.XLOOKUP(Ocupacao_DW[[#This Row],[Concat]],Vagas!$H:$H,Vagas!$D:$D,"",0)</f>
        <v>0</v>
      </c>
    </row>
    <row r="1182" spans="1:8" x14ac:dyDescent="0.25">
      <c r="A1182" s="2">
        <v>44635</v>
      </c>
      <c r="B1182" s="1" t="s">
        <v>70</v>
      </c>
      <c r="C1182">
        <v>14237</v>
      </c>
      <c r="D1182" s="1" t="s">
        <v>186</v>
      </c>
      <c r="E1182" s="1" t="s">
        <v>4</v>
      </c>
      <c r="F1182">
        <v>47</v>
      </c>
      <c r="G1182" s="1" t="str">
        <f>Ocupacao_DW[[#This Row],[data]]&amp;Ocupacao_DW[[#This Row],[profissional_id]]&amp;Ocupacao_DW[[#This Row],[local_id]]</f>
        <v>446351423747</v>
      </c>
      <c r="H1182" s="1">
        <f>_xlfn.XLOOKUP(Ocupacao_DW[[#This Row],[Concat]],Vagas!$H:$H,Vagas!$D:$D,"",0)</f>
        <v>0</v>
      </c>
    </row>
    <row r="1183" spans="1:8" x14ac:dyDescent="0.25">
      <c r="A1183" s="2">
        <v>44636</v>
      </c>
      <c r="B1183" s="1" t="s">
        <v>49</v>
      </c>
      <c r="C1183">
        <v>6430</v>
      </c>
      <c r="D1183" s="1" t="s">
        <v>188</v>
      </c>
      <c r="E1183" s="1" t="s">
        <v>4</v>
      </c>
      <c r="F1183">
        <v>42</v>
      </c>
      <c r="G1183" s="1" t="str">
        <f>Ocupacao_DW[[#This Row],[data]]&amp;Ocupacao_DW[[#This Row],[profissional_id]]&amp;Ocupacao_DW[[#This Row],[local_id]]</f>
        <v>44636643042</v>
      </c>
      <c r="H1183" s="1">
        <f>_xlfn.XLOOKUP(Ocupacao_DW[[#This Row],[Concat]],Vagas!$H:$H,Vagas!$D:$D,"",0)</f>
        <v>0</v>
      </c>
    </row>
    <row r="1184" spans="1:8" x14ac:dyDescent="0.25">
      <c r="A1184" s="2">
        <v>44635</v>
      </c>
      <c r="B1184" s="1" t="s">
        <v>49</v>
      </c>
      <c r="C1184">
        <v>81</v>
      </c>
      <c r="D1184" s="1" t="s">
        <v>170</v>
      </c>
      <c r="E1184" s="1" t="s">
        <v>4</v>
      </c>
      <c r="F1184">
        <v>41</v>
      </c>
      <c r="G1184" s="1" t="str">
        <f>Ocupacao_DW[[#This Row],[data]]&amp;Ocupacao_DW[[#This Row],[profissional_id]]&amp;Ocupacao_DW[[#This Row],[local_id]]</f>
        <v>446358141</v>
      </c>
      <c r="H1184" s="1">
        <f>_xlfn.XLOOKUP(Ocupacao_DW[[#This Row],[Concat]],Vagas!$H:$H,Vagas!$D:$D,"",0)</f>
        <v>0</v>
      </c>
    </row>
    <row r="1185" spans="1:8" x14ac:dyDescent="0.25">
      <c r="A1185" s="2">
        <v>44636</v>
      </c>
      <c r="B1185" s="1" t="s">
        <v>57</v>
      </c>
      <c r="C1185">
        <v>80</v>
      </c>
      <c r="D1185" s="1" t="s">
        <v>179</v>
      </c>
      <c r="E1185" s="1" t="s">
        <v>167</v>
      </c>
      <c r="F1185">
        <v>346</v>
      </c>
      <c r="G1185" s="1" t="str">
        <f>Ocupacao_DW[[#This Row],[data]]&amp;Ocupacao_DW[[#This Row],[profissional_id]]&amp;Ocupacao_DW[[#This Row],[local_id]]</f>
        <v>4463680346</v>
      </c>
      <c r="H1185" s="1">
        <f>_xlfn.XLOOKUP(Ocupacao_DW[[#This Row],[Concat]],Vagas!$H:$H,Vagas!$D:$D,"",0)</f>
        <v>0</v>
      </c>
    </row>
    <row r="1186" spans="1:8" x14ac:dyDescent="0.25">
      <c r="A1186" s="2">
        <v>44644</v>
      </c>
      <c r="B1186" s="1" t="s">
        <v>55</v>
      </c>
      <c r="C1186">
        <v>8598</v>
      </c>
      <c r="D1186" s="1" t="s">
        <v>228</v>
      </c>
      <c r="E1186" s="1" t="s">
        <v>6</v>
      </c>
      <c r="F1186">
        <v>3</v>
      </c>
      <c r="G1186" s="1" t="str">
        <f>Ocupacao_DW[[#This Row],[data]]&amp;Ocupacao_DW[[#This Row],[profissional_id]]&amp;Ocupacao_DW[[#This Row],[local_id]]</f>
        <v>4464485983</v>
      </c>
      <c r="H1186" s="1">
        <f>_xlfn.XLOOKUP(Ocupacao_DW[[#This Row],[Concat]],Vagas!$H:$H,Vagas!$D:$D,"",0)</f>
        <v>0</v>
      </c>
    </row>
    <row r="1187" spans="1:8" x14ac:dyDescent="0.25">
      <c r="A1187" s="2">
        <v>44642</v>
      </c>
      <c r="B1187" s="1" t="s">
        <v>47</v>
      </c>
      <c r="C1187">
        <v>110</v>
      </c>
      <c r="D1187" s="1" t="s">
        <v>193</v>
      </c>
      <c r="E1187" s="1" t="s">
        <v>4</v>
      </c>
      <c r="F1187">
        <v>334</v>
      </c>
      <c r="G1187" s="1" t="str">
        <f>Ocupacao_DW[[#This Row],[data]]&amp;Ocupacao_DW[[#This Row],[profissional_id]]&amp;Ocupacao_DW[[#This Row],[local_id]]</f>
        <v>44642110334</v>
      </c>
      <c r="H1187" s="1">
        <f>_xlfn.XLOOKUP(Ocupacao_DW[[#This Row],[Concat]],Vagas!$H:$H,Vagas!$D:$D,"",0)</f>
        <v>0</v>
      </c>
    </row>
    <row r="1188" spans="1:8" x14ac:dyDescent="0.25">
      <c r="A1188" s="2">
        <v>44649</v>
      </c>
      <c r="B1188" s="1" t="s">
        <v>71</v>
      </c>
      <c r="C1188">
        <v>282</v>
      </c>
      <c r="D1188" s="1" t="s">
        <v>210</v>
      </c>
      <c r="E1188" s="1" t="s">
        <v>4</v>
      </c>
      <c r="F1188">
        <v>48</v>
      </c>
      <c r="G1188" s="1" t="str">
        <f>Ocupacao_DW[[#This Row],[data]]&amp;Ocupacao_DW[[#This Row],[profissional_id]]&amp;Ocupacao_DW[[#This Row],[local_id]]</f>
        <v>4464928248</v>
      </c>
      <c r="H1188" s="1">
        <f>_xlfn.XLOOKUP(Ocupacao_DW[[#This Row],[Concat]],Vagas!$H:$H,Vagas!$D:$D,"",0)</f>
        <v>0</v>
      </c>
    </row>
    <row r="1189" spans="1:8" x14ac:dyDescent="0.25">
      <c r="A1189" s="2">
        <v>44643</v>
      </c>
      <c r="B1189" s="1" t="s">
        <v>52</v>
      </c>
      <c r="C1189">
        <v>57</v>
      </c>
      <c r="D1189" s="1" t="s">
        <v>169</v>
      </c>
      <c r="E1189" s="1" t="s">
        <v>6</v>
      </c>
      <c r="F1189">
        <v>4</v>
      </c>
      <c r="G1189" s="1" t="str">
        <f>Ocupacao_DW[[#This Row],[data]]&amp;Ocupacao_DW[[#This Row],[profissional_id]]&amp;Ocupacao_DW[[#This Row],[local_id]]</f>
        <v>44643574</v>
      </c>
      <c r="H1189" s="1">
        <f>_xlfn.XLOOKUP(Ocupacao_DW[[#This Row],[Concat]],Vagas!$H:$H,Vagas!$D:$D,"",0)</f>
        <v>0</v>
      </c>
    </row>
    <row r="1190" spans="1:8" x14ac:dyDescent="0.25">
      <c r="A1190" s="2">
        <v>44635</v>
      </c>
      <c r="B1190" s="1" t="s">
        <v>49</v>
      </c>
      <c r="C1190">
        <v>10600</v>
      </c>
      <c r="D1190" s="1" t="s">
        <v>248</v>
      </c>
      <c r="E1190" s="1" t="s">
        <v>200</v>
      </c>
      <c r="F1190">
        <v>86</v>
      </c>
      <c r="G1190" s="1" t="str">
        <f>Ocupacao_DW[[#This Row],[data]]&amp;Ocupacao_DW[[#This Row],[profissional_id]]&amp;Ocupacao_DW[[#This Row],[local_id]]</f>
        <v>446351060086</v>
      </c>
      <c r="H1190" s="1">
        <f>_xlfn.XLOOKUP(Ocupacao_DW[[#This Row],[Concat]],Vagas!$H:$H,Vagas!$D:$D,"",0)</f>
        <v>0</v>
      </c>
    </row>
    <row r="1191" spans="1:8" x14ac:dyDescent="0.25">
      <c r="A1191" s="2">
        <v>44635</v>
      </c>
      <c r="B1191" s="1" t="s">
        <v>67</v>
      </c>
      <c r="C1191">
        <v>7290</v>
      </c>
      <c r="D1191" s="1" t="s">
        <v>247</v>
      </c>
      <c r="E1191" s="1" t="s">
        <v>5</v>
      </c>
      <c r="F1191">
        <v>18</v>
      </c>
      <c r="G1191" s="1" t="str">
        <f>Ocupacao_DW[[#This Row],[data]]&amp;Ocupacao_DW[[#This Row],[profissional_id]]&amp;Ocupacao_DW[[#This Row],[local_id]]</f>
        <v>44635729018</v>
      </c>
      <c r="H1191" s="1">
        <f>_xlfn.XLOOKUP(Ocupacao_DW[[#This Row],[Concat]],Vagas!$H:$H,Vagas!$D:$D,"",0)</f>
        <v>0</v>
      </c>
    </row>
    <row r="1192" spans="1:8" x14ac:dyDescent="0.25">
      <c r="A1192" s="2">
        <v>44636</v>
      </c>
      <c r="B1192" s="1" t="s">
        <v>43</v>
      </c>
      <c r="C1192">
        <v>57</v>
      </c>
      <c r="D1192" s="1" t="s">
        <v>169</v>
      </c>
      <c r="E1192" s="1" t="s">
        <v>6</v>
      </c>
      <c r="F1192">
        <v>2</v>
      </c>
      <c r="G1192" s="1" t="str">
        <f>Ocupacao_DW[[#This Row],[data]]&amp;Ocupacao_DW[[#This Row],[profissional_id]]&amp;Ocupacao_DW[[#This Row],[local_id]]</f>
        <v>44636572</v>
      </c>
      <c r="H1192" s="1">
        <f>_xlfn.XLOOKUP(Ocupacao_DW[[#This Row],[Concat]],Vagas!$H:$H,Vagas!$D:$D,"",0)</f>
        <v>2</v>
      </c>
    </row>
    <row r="1193" spans="1:8" x14ac:dyDescent="0.25">
      <c r="A1193" s="2">
        <v>44635</v>
      </c>
      <c r="B1193" s="1" t="s">
        <v>49</v>
      </c>
      <c r="C1193">
        <v>81</v>
      </c>
      <c r="D1193" s="1" t="s">
        <v>170</v>
      </c>
      <c r="E1193" s="1" t="s">
        <v>4</v>
      </c>
      <c r="F1193">
        <v>41</v>
      </c>
      <c r="G1193" s="1" t="str">
        <f>Ocupacao_DW[[#This Row],[data]]&amp;Ocupacao_DW[[#This Row],[profissional_id]]&amp;Ocupacao_DW[[#This Row],[local_id]]</f>
        <v>446358141</v>
      </c>
      <c r="H1193" s="1">
        <f>_xlfn.XLOOKUP(Ocupacao_DW[[#This Row],[Concat]],Vagas!$H:$H,Vagas!$D:$D,"",0)</f>
        <v>0</v>
      </c>
    </row>
    <row r="1194" spans="1:8" x14ac:dyDescent="0.25">
      <c r="A1194" s="2">
        <v>44650</v>
      </c>
      <c r="B1194" s="1" t="s">
        <v>43</v>
      </c>
      <c r="C1194">
        <v>2396</v>
      </c>
      <c r="D1194" s="1" t="s">
        <v>197</v>
      </c>
      <c r="E1194" s="1" t="s">
        <v>6</v>
      </c>
      <c r="F1194">
        <v>2</v>
      </c>
      <c r="G1194" s="1" t="str">
        <f>Ocupacao_DW[[#This Row],[data]]&amp;Ocupacao_DW[[#This Row],[profissional_id]]&amp;Ocupacao_DW[[#This Row],[local_id]]</f>
        <v>4465023962</v>
      </c>
      <c r="H1194" s="1">
        <f>_xlfn.XLOOKUP(Ocupacao_DW[[#This Row],[Concat]],Vagas!$H:$H,Vagas!$D:$D,"",0)</f>
        <v>0</v>
      </c>
    </row>
    <row r="1195" spans="1:8" x14ac:dyDescent="0.25">
      <c r="A1195" s="2">
        <v>44643</v>
      </c>
      <c r="B1195" s="1" t="s">
        <v>57</v>
      </c>
      <c r="C1195">
        <v>80</v>
      </c>
      <c r="D1195" s="1" t="s">
        <v>179</v>
      </c>
      <c r="E1195" s="1" t="s">
        <v>167</v>
      </c>
      <c r="F1195">
        <v>346</v>
      </c>
      <c r="G1195" s="1" t="str">
        <f>Ocupacao_DW[[#This Row],[data]]&amp;Ocupacao_DW[[#This Row],[profissional_id]]&amp;Ocupacao_DW[[#This Row],[local_id]]</f>
        <v>4464380346</v>
      </c>
      <c r="H1195" s="1">
        <f>_xlfn.XLOOKUP(Ocupacao_DW[[#This Row],[Concat]],Vagas!$H:$H,Vagas!$D:$D,"",0)</f>
        <v>0</v>
      </c>
    </row>
    <row r="1196" spans="1:8" x14ac:dyDescent="0.25">
      <c r="A1196" s="2">
        <v>44637</v>
      </c>
      <c r="B1196" s="1" t="s">
        <v>54</v>
      </c>
      <c r="C1196">
        <v>69</v>
      </c>
      <c r="D1196" s="1" t="s">
        <v>238</v>
      </c>
      <c r="E1196" s="1" t="s">
        <v>200</v>
      </c>
      <c r="F1196">
        <v>82</v>
      </c>
      <c r="G1196" s="1" t="str">
        <f>Ocupacao_DW[[#This Row],[data]]&amp;Ocupacao_DW[[#This Row],[profissional_id]]&amp;Ocupacao_DW[[#This Row],[local_id]]</f>
        <v>446376982</v>
      </c>
      <c r="H1196" s="1">
        <f>_xlfn.XLOOKUP(Ocupacao_DW[[#This Row],[Concat]],Vagas!$H:$H,Vagas!$D:$D,"",0)</f>
        <v>0</v>
      </c>
    </row>
    <row r="1197" spans="1:8" x14ac:dyDescent="0.25">
      <c r="A1197" s="2">
        <v>44636</v>
      </c>
      <c r="B1197" s="1" t="s">
        <v>65</v>
      </c>
      <c r="C1197">
        <v>13058</v>
      </c>
      <c r="D1197" s="1" t="s">
        <v>256</v>
      </c>
      <c r="E1197" s="1" t="s">
        <v>4</v>
      </c>
      <c r="F1197">
        <v>47</v>
      </c>
      <c r="G1197" s="1" t="str">
        <f>Ocupacao_DW[[#This Row],[data]]&amp;Ocupacao_DW[[#This Row],[profissional_id]]&amp;Ocupacao_DW[[#This Row],[local_id]]</f>
        <v>446361305847</v>
      </c>
      <c r="H1197" s="1">
        <f>_xlfn.XLOOKUP(Ocupacao_DW[[#This Row],[Concat]],Vagas!$H:$H,Vagas!$D:$D,"",0)</f>
        <v>0</v>
      </c>
    </row>
    <row r="1198" spans="1:8" x14ac:dyDescent="0.25">
      <c r="A1198" s="2">
        <v>44642</v>
      </c>
      <c r="B1198" s="1" t="s">
        <v>70</v>
      </c>
      <c r="C1198">
        <v>14237</v>
      </c>
      <c r="D1198" s="1" t="s">
        <v>186</v>
      </c>
      <c r="E1198" s="1" t="s">
        <v>4</v>
      </c>
      <c r="F1198">
        <v>47</v>
      </c>
      <c r="G1198" s="1" t="str">
        <f>Ocupacao_DW[[#This Row],[data]]&amp;Ocupacao_DW[[#This Row],[profissional_id]]&amp;Ocupacao_DW[[#This Row],[local_id]]</f>
        <v>446421423747</v>
      </c>
      <c r="H1198" s="1">
        <f>_xlfn.XLOOKUP(Ocupacao_DW[[#This Row],[Concat]],Vagas!$H:$H,Vagas!$D:$D,"",0)</f>
        <v>0</v>
      </c>
    </row>
    <row r="1199" spans="1:8" x14ac:dyDescent="0.25">
      <c r="A1199" s="2">
        <v>44635</v>
      </c>
      <c r="B1199" s="1" t="s">
        <v>47</v>
      </c>
      <c r="C1199">
        <v>9111</v>
      </c>
      <c r="D1199" s="1" t="s">
        <v>206</v>
      </c>
      <c r="E1199" s="1" t="s">
        <v>4</v>
      </c>
      <c r="F1199">
        <v>335</v>
      </c>
      <c r="G1199" s="1" t="str">
        <f>Ocupacao_DW[[#This Row],[data]]&amp;Ocupacao_DW[[#This Row],[profissional_id]]&amp;Ocupacao_DW[[#This Row],[local_id]]</f>
        <v>446359111335</v>
      </c>
      <c r="H1199" s="1">
        <f>_xlfn.XLOOKUP(Ocupacao_DW[[#This Row],[Concat]],Vagas!$H:$H,Vagas!$D:$D,"",0)</f>
        <v>0</v>
      </c>
    </row>
    <row r="1200" spans="1:8" x14ac:dyDescent="0.25">
      <c r="A1200" s="2">
        <v>44650</v>
      </c>
      <c r="B1200" s="1" t="s">
        <v>55</v>
      </c>
      <c r="C1200">
        <v>74</v>
      </c>
      <c r="D1200" s="1" t="s">
        <v>182</v>
      </c>
      <c r="E1200" s="1" t="s">
        <v>6</v>
      </c>
      <c r="F1200">
        <v>7</v>
      </c>
      <c r="G1200" s="1" t="str">
        <f>Ocupacao_DW[[#This Row],[data]]&amp;Ocupacao_DW[[#This Row],[profissional_id]]&amp;Ocupacao_DW[[#This Row],[local_id]]</f>
        <v>44650747</v>
      </c>
      <c r="H1200" s="1">
        <f>_xlfn.XLOOKUP(Ocupacao_DW[[#This Row],[Concat]],Vagas!$H:$H,Vagas!$D:$D,"",0)</f>
        <v>0</v>
      </c>
    </row>
    <row r="1201" spans="1:8" x14ac:dyDescent="0.25">
      <c r="A1201" s="2">
        <v>44638</v>
      </c>
      <c r="B1201" s="1" t="s">
        <v>72</v>
      </c>
      <c r="C1201">
        <v>1794</v>
      </c>
      <c r="D1201" s="1" t="s">
        <v>235</v>
      </c>
      <c r="E1201" s="1" t="s">
        <v>4</v>
      </c>
      <c r="F1201">
        <v>46</v>
      </c>
      <c r="G1201" s="1" t="str">
        <f>Ocupacao_DW[[#This Row],[data]]&amp;Ocupacao_DW[[#This Row],[profissional_id]]&amp;Ocupacao_DW[[#This Row],[local_id]]</f>
        <v>44638179446</v>
      </c>
      <c r="H1201" s="1">
        <f>_xlfn.XLOOKUP(Ocupacao_DW[[#This Row],[Concat]],Vagas!$H:$H,Vagas!$D:$D,"",0)</f>
        <v>0</v>
      </c>
    </row>
    <row r="1202" spans="1:8" x14ac:dyDescent="0.25">
      <c r="A1202" s="2">
        <v>44641</v>
      </c>
      <c r="B1202" s="1" t="s">
        <v>72</v>
      </c>
      <c r="C1202">
        <v>13479</v>
      </c>
      <c r="D1202" s="1" t="s">
        <v>203</v>
      </c>
      <c r="E1202" s="1" t="s">
        <v>4</v>
      </c>
      <c r="F1202">
        <v>46</v>
      </c>
      <c r="G1202" s="1" t="str">
        <f>Ocupacao_DW[[#This Row],[data]]&amp;Ocupacao_DW[[#This Row],[profissional_id]]&amp;Ocupacao_DW[[#This Row],[local_id]]</f>
        <v>446411347946</v>
      </c>
      <c r="H1202" s="1">
        <f>_xlfn.XLOOKUP(Ocupacao_DW[[#This Row],[Concat]],Vagas!$H:$H,Vagas!$D:$D,"",0)</f>
        <v>0</v>
      </c>
    </row>
    <row r="1203" spans="1:8" x14ac:dyDescent="0.25">
      <c r="A1203" s="2">
        <v>44650</v>
      </c>
      <c r="B1203" s="1" t="s">
        <v>55</v>
      </c>
      <c r="C1203">
        <v>74</v>
      </c>
      <c r="D1203" s="1" t="s">
        <v>182</v>
      </c>
      <c r="E1203" s="1" t="s">
        <v>6</v>
      </c>
      <c r="F1203">
        <v>7</v>
      </c>
      <c r="G1203" s="1" t="str">
        <f>Ocupacao_DW[[#This Row],[data]]&amp;Ocupacao_DW[[#This Row],[profissional_id]]&amp;Ocupacao_DW[[#This Row],[local_id]]</f>
        <v>44650747</v>
      </c>
      <c r="H1203" s="1">
        <f>_xlfn.XLOOKUP(Ocupacao_DW[[#This Row],[Concat]],Vagas!$H:$H,Vagas!$D:$D,"",0)</f>
        <v>0</v>
      </c>
    </row>
    <row r="1204" spans="1:8" x14ac:dyDescent="0.25">
      <c r="A1204" s="2">
        <v>44643</v>
      </c>
      <c r="B1204" s="1" t="s">
        <v>70</v>
      </c>
      <c r="C1204">
        <v>12825</v>
      </c>
      <c r="D1204" s="1" t="s">
        <v>177</v>
      </c>
      <c r="E1204" s="1" t="s">
        <v>4</v>
      </c>
      <c r="F1204">
        <v>45</v>
      </c>
      <c r="G1204" s="1" t="str">
        <f>Ocupacao_DW[[#This Row],[data]]&amp;Ocupacao_DW[[#This Row],[profissional_id]]&amp;Ocupacao_DW[[#This Row],[local_id]]</f>
        <v>446431282545</v>
      </c>
      <c r="H1204" s="1">
        <f>_xlfn.XLOOKUP(Ocupacao_DW[[#This Row],[Concat]],Vagas!$H:$H,Vagas!$D:$D,"",0)</f>
        <v>0</v>
      </c>
    </row>
    <row r="1205" spans="1:8" x14ac:dyDescent="0.25">
      <c r="A1205" s="2">
        <v>44636</v>
      </c>
      <c r="B1205" s="1" t="s">
        <v>66</v>
      </c>
      <c r="C1205">
        <v>1343</v>
      </c>
      <c r="D1205" s="1" t="s">
        <v>263</v>
      </c>
      <c r="E1205" s="1" t="s">
        <v>167</v>
      </c>
      <c r="F1205">
        <v>342</v>
      </c>
      <c r="G1205" s="1" t="str">
        <f>Ocupacao_DW[[#This Row],[data]]&amp;Ocupacao_DW[[#This Row],[profissional_id]]&amp;Ocupacao_DW[[#This Row],[local_id]]</f>
        <v>446361343342</v>
      </c>
      <c r="H1205" s="1">
        <f>_xlfn.XLOOKUP(Ocupacao_DW[[#This Row],[Concat]],Vagas!$H:$H,Vagas!$D:$D,"",0)</f>
        <v>0</v>
      </c>
    </row>
    <row r="1206" spans="1:8" x14ac:dyDescent="0.25">
      <c r="A1206" s="2">
        <v>44635</v>
      </c>
      <c r="B1206" s="1" t="s">
        <v>47</v>
      </c>
      <c r="C1206">
        <v>9111</v>
      </c>
      <c r="D1206" s="1" t="s">
        <v>206</v>
      </c>
      <c r="E1206" s="1" t="s">
        <v>4</v>
      </c>
      <c r="F1206">
        <v>335</v>
      </c>
      <c r="G1206" s="1" t="str">
        <f>Ocupacao_DW[[#This Row],[data]]&amp;Ocupacao_DW[[#This Row],[profissional_id]]&amp;Ocupacao_DW[[#This Row],[local_id]]</f>
        <v>446359111335</v>
      </c>
      <c r="H1206" s="1">
        <f>_xlfn.XLOOKUP(Ocupacao_DW[[#This Row],[Concat]],Vagas!$H:$H,Vagas!$D:$D,"",0)</f>
        <v>0</v>
      </c>
    </row>
    <row r="1207" spans="1:8" x14ac:dyDescent="0.25">
      <c r="A1207" s="2">
        <v>44635</v>
      </c>
      <c r="B1207" s="1" t="s">
        <v>43</v>
      </c>
      <c r="C1207">
        <v>57</v>
      </c>
      <c r="D1207" s="1" t="s">
        <v>169</v>
      </c>
      <c r="E1207" s="1" t="s">
        <v>6</v>
      </c>
      <c r="F1207">
        <v>2</v>
      </c>
      <c r="G1207" s="1" t="str">
        <f>Ocupacao_DW[[#This Row],[data]]&amp;Ocupacao_DW[[#This Row],[profissional_id]]&amp;Ocupacao_DW[[#This Row],[local_id]]</f>
        <v>44635572</v>
      </c>
      <c r="H1207" s="1">
        <f>_xlfn.XLOOKUP(Ocupacao_DW[[#This Row],[Concat]],Vagas!$H:$H,Vagas!$D:$D,"",0)</f>
        <v>0</v>
      </c>
    </row>
    <row r="1208" spans="1:8" x14ac:dyDescent="0.25">
      <c r="A1208" s="2">
        <v>44643</v>
      </c>
      <c r="B1208" s="1" t="s">
        <v>51</v>
      </c>
      <c r="C1208">
        <v>7551</v>
      </c>
      <c r="D1208" s="1" t="s">
        <v>246</v>
      </c>
      <c r="E1208" s="1" t="s">
        <v>5</v>
      </c>
      <c r="F1208">
        <v>15</v>
      </c>
      <c r="G1208" s="1" t="str">
        <f>Ocupacao_DW[[#This Row],[data]]&amp;Ocupacao_DW[[#This Row],[profissional_id]]&amp;Ocupacao_DW[[#This Row],[local_id]]</f>
        <v>44643755115</v>
      </c>
      <c r="H1208" s="1">
        <f>_xlfn.XLOOKUP(Ocupacao_DW[[#This Row],[Concat]],Vagas!$H:$H,Vagas!$D:$D,"",0)</f>
        <v>0</v>
      </c>
    </row>
    <row r="1209" spans="1:8" x14ac:dyDescent="0.25">
      <c r="A1209" s="2">
        <v>44651</v>
      </c>
      <c r="B1209" s="1" t="s">
        <v>55</v>
      </c>
      <c r="C1209">
        <v>74</v>
      </c>
      <c r="D1209" s="1" t="s">
        <v>182</v>
      </c>
      <c r="E1209" s="1" t="s">
        <v>6</v>
      </c>
      <c r="F1209">
        <v>7</v>
      </c>
      <c r="G1209" s="1" t="str">
        <f>Ocupacao_DW[[#This Row],[data]]&amp;Ocupacao_DW[[#This Row],[profissional_id]]&amp;Ocupacao_DW[[#This Row],[local_id]]</f>
        <v>44651747</v>
      </c>
      <c r="H1209" s="1">
        <f>_xlfn.XLOOKUP(Ocupacao_DW[[#This Row],[Concat]],Vagas!$H:$H,Vagas!$D:$D,"",0)</f>
        <v>0</v>
      </c>
    </row>
    <row r="1210" spans="1:8" x14ac:dyDescent="0.25">
      <c r="A1210" s="2">
        <v>44636</v>
      </c>
      <c r="B1210" s="1" t="s">
        <v>57</v>
      </c>
      <c r="C1210">
        <v>80</v>
      </c>
      <c r="D1210" s="1" t="s">
        <v>179</v>
      </c>
      <c r="E1210" s="1" t="s">
        <v>167</v>
      </c>
      <c r="F1210">
        <v>346</v>
      </c>
      <c r="G1210" s="1" t="str">
        <f>Ocupacao_DW[[#This Row],[data]]&amp;Ocupacao_DW[[#This Row],[profissional_id]]&amp;Ocupacao_DW[[#This Row],[local_id]]</f>
        <v>4463680346</v>
      </c>
      <c r="H1210" s="1">
        <f>_xlfn.XLOOKUP(Ocupacao_DW[[#This Row],[Concat]],Vagas!$H:$H,Vagas!$D:$D,"",0)</f>
        <v>0</v>
      </c>
    </row>
    <row r="1211" spans="1:8" x14ac:dyDescent="0.25">
      <c r="A1211" s="2">
        <v>44635</v>
      </c>
      <c r="B1211" s="1" t="s">
        <v>47</v>
      </c>
      <c r="C1211">
        <v>111</v>
      </c>
      <c r="D1211" s="1" t="s">
        <v>199</v>
      </c>
      <c r="E1211" s="1" t="s">
        <v>4</v>
      </c>
      <c r="F1211">
        <v>51</v>
      </c>
      <c r="G1211" s="1" t="str">
        <f>Ocupacao_DW[[#This Row],[data]]&amp;Ocupacao_DW[[#This Row],[profissional_id]]&amp;Ocupacao_DW[[#This Row],[local_id]]</f>
        <v>4463511151</v>
      </c>
      <c r="H1211" s="1">
        <f>_xlfn.XLOOKUP(Ocupacao_DW[[#This Row],[Concat]],Vagas!$H:$H,Vagas!$D:$D,"",0)</f>
        <v>0</v>
      </c>
    </row>
    <row r="1212" spans="1:8" x14ac:dyDescent="0.25">
      <c r="A1212" s="2">
        <v>44635</v>
      </c>
      <c r="B1212" s="1" t="s">
        <v>53</v>
      </c>
      <c r="C1212">
        <v>9138</v>
      </c>
      <c r="D1212" s="1" t="s">
        <v>184</v>
      </c>
      <c r="E1212" s="1" t="s">
        <v>167</v>
      </c>
      <c r="F1212">
        <v>344</v>
      </c>
      <c r="G1212" s="1" t="str">
        <f>Ocupacao_DW[[#This Row],[data]]&amp;Ocupacao_DW[[#This Row],[profissional_id]]&amp;Ocupacao_DW[[#This Row],[local_id]]</f>
        <v>446359138344</v>
      </c>
      <c r="H1212" s="1">
        <f>_xlfn.XLOOKUP(Ocupacao_DW[[#This Row],[Concat]],Vagas!$H:$H,Vagas!$D:$D,"",0)</f>
        <v>0</v>
      </c>
    </row>
    <row r="1213" spans="1:8" x14ac:dyDescent="0.25">
      <c r="A1213" s="2">
        <v>44635</v>
      </c>
      <c r="B1213" s="1" t="s">
        <v>54</v>
      </c>
      <c r="C1213">
        <v>12623</v>
      </c>
      <c r="D1213" s="1" t="s">
        <v>258</v>
      </c>
      <c r="E1213" s="1" t="s">
        <v>5</v>
      </c>
      <c r="F1213">
        <v>11</v>
      </c>
      <c r="G1213" s="1" t="str">
        <f>Ocupacao_DW[[#This Row],[data]]&amp;Ocupacao_DW[[#This Row],[profissional_id]]&amp;Ocupacao_DW[[#This Row],[local_id]]</f>
        <v>446351262311</v>
      </c>
      <c r="H1213" s="1">
        <f>_xlfn.XLOOKUP(Ocupacao_DW[[#This Row],[Concat]],Vagas!$H:$H,Vagas!$D:$D,"",0)</f>
        <v>0</v>
      </c>
    </row>
    <row r="1214" spans="1:8" x14ac:dyDescent="0.25">
      <c r="A1214" s="2">
        <v>44642</v>
      </c>
      <c r="B1214" s="1" t="s">
        <v>49</v>
      </c>
      <c r="C1214">
        <v>10600</v>
      </c>
      <c r="D1214" s="1" t="s">
        <v>248</v>
      </c>
      <c r="E1214" s="1" t="s">
        <v>200</v>
      </c>
      <c r="F1214">
        <v>86</v>
      </c>
      <c r="G1214" s="1" t="str">
        <f>Ocupacao_DW[[#This Row],[data]]&amp;Ocupacao_DW[[#This Row],[profissional_id]]&amp;Ocupacao_DW[[#This Row],[local_id]]</f>
        <v>446421060086</v>
      </c>
      <c r="H1214" s="1">
        <f>_xlfn.XLOOKUP(Ocupacao_DW[[#This Row],[Concat]],Vagas!$H:$H,Vagas!$D:$D,"",0)</f>
        <v>0</v>
      </c>
    </row>
    <row r="1215" spans="1:8" x14ac:dyDescent="0.25">
      <c r="A1215" s="2">
        <v>44637</v>
      </c>
      <c r="B1215" s="1" t="s">
        <v>52</v>
      </c>
      <c r="C1215">
        <v>60</v>
      </c>
      <c r="D1215" s="1" t="s">
        <v>217</v>
      </c>
      <c r="E1215" s="1" t="s">
        <v>167</v>
      </c>
      <c r="F1215">
        <v>346</v>
      </c>
      <c r="G1215" s="1" t="str">
        <f>Ocupacao_DW[[#This Row],[data]]&amp;Ocupacao_DW[[#This Row],[profissional_id]]&amp;Ocupacao_DW[[#This Row],[local_id]]</f>
        <v>4463760346</v>
      </c>
      <c r="H1215" s="1">
        <f>_xlfn.XLOOKUP(Ocupacao_DW[[#This Row],[Concat]],Vagas!$H:$H,Vagas!$D:$D,"",0)</f>
        <v>0</v>
      </c>
    </row>
    <row r="1216" spans="1:8" x14ac:dyDescent="0.25">
      <c r="A1216" s="2">
        <v>44638</v>
      </c>
      <c r="B1216" s="1"/>
      <c r="C1216">
        <v>9111</v>
      </c>
      <c r="D1216" s="1" t="s">
        <v>206</v>
      </c>
      <c r="E1216" s="1" t="s">
        <v>4</v>
      </c>
      <c r="F1216">
        <v>51</v>
      </c>
      <c r="G1216" s="1" t="str">
        <f>Ocupacao_DW[[#This Row],[data]]&amp;Ocupacao_DW[[#This Row],[profissional_id]]&amp;Ocupacao_DW[[#This Row],[local_id]]</f>
        <v>44638911151</v>
      </c>
      <c r="H1216" s="1">
        <f>_xlfn.XLOOKUP(Ocupacao_DW[[#This Row],[Concat]],Vagas!$H:$H,Vagas!$D:$D,"",0)</f>
        <v>0</v>
      </c>
    </row>
    <row r="1217" spans="1:8" x14ac:dyDescent="0.25">
      <c r="A1217" s="2">
        <v>44637</v>
      </c>
      <c r="B1217" s="1" t="s">
        <v>66</v>
      </c>
      <c r="C1217">
        <v>100</v>
      </c>
      <c r="D1217" s="1" t="s">
        <v>166</v>
      </c>
      <c r="E1217" s="1" t="s">
        <v>167</v>
      </c>
      <c r="F1217">
        <v>342</v>
      </c>
      <c r="G1217" s="1" t="str">
        <f>Ocupacao_DW[[#This Row],[data]]&amp;Ocupacao_DW[[#This Row],[profissional_id]]&amp;Ocupacao_DW[[#This Row],[local_id]]</f>
        <v>44637100342</v>
      </c>
      <c r="H1217" s="1">
        <f>_xlfn.XLOOKUP(Ocupacao_DW[[#This Row],[Concat]],Vagas!$H:$H,Vagas!$D:$D,"",0)</f>
        <v>0</v>
      </c>
    </row>
    <row r="1218" spans="1:8" x14ac:dyDescent="0.25">
      <c r="A1218" s="2">
        <v>44636</v>
      </c>
      <c r="B1218" s="1" t="s">
        <v>60</v>
      </c>
      <c r="C1218">
        <v>14326</v>
      </c>
      <c r="D1218" s="1" t="s">
        <v>220</v>
      </c>
      <c r="E1218" s="1" t="s">
        <v>4</v>
      </c>
      <c r="F1218">
        <v>43</v>
      </c>
      <c r="G1218" s="1" t="str">
        <f>Ocupacao_DW[[#This Row],[data]]&amp;Ocupacao_DW[[#This Row],[profissional_id]]&amp;Ocupacao_DW[[#This Row],[local_id]]</f>
        <v>446361432643</v>
      </c>
      <c r="H1218" s="1">
        <f>_xlfn.XLOOKUP(Ocupacao_DW[[#This Row],[Concat]],Vagas!$H:$H,Vagas!$D:$D,"",0)</f>
        <v>0</v>
      </c>
    </row>
    <row r="1219" spans="1:8" x14ac:dyDescent="0.25">
      <c r="A1219" s="2">
        <v>44638</v>
      </c>
      <c r="B1219" s="1" t="s">
        <v>62</v>
      </c>
      <c r="C1219">
        <v>3502</v>
      </c>
      <c r="D1219" s="1" t="s">
        <v>214</v>
      </c>
      <c r="E1219" s="1" t="s">
        <v>7</v>
      </c>
      <c r="F1219">
        <v>69</v>
      </c>
      <c r="G1219" s="1" t="str">
        <f>Ocupacao_DW[[#This Row],[data]]&amp;Ocupacao_DW[[#This Row],[profissional_id]]&amp;Ocupacao_DW[[#This Row],[local_id]]</f>
        <v>44638350269</v>
      </c>
      <c r="H1219" s="1">
        <f>_xlfn.XLOOKUP(Ocupacao_DW[[#This Row],[Concat]],Vagas!$H:$H,Vagas!$D:$D,"",0)</f>
        <v>0</v>
      </c>
    </row>
    <row r="1220" spans="1:8" x14ac:dyDescent="0.25">
      <c r="A1220" s="2">
        <v>44635</v>
      </c>
      <c r="B1220" s="1" t="s">
        <v>49</v>
      </c>
      <c r="C1220">
        <v>10600</v>
      </c>
      <c r="D1220" s="1" t="s">
        <v>248</v>
      </c>
      <c r="E1220" s="1" t="s">
        <v>200</v>
      </c>
      <c r="F1220">
        <v>86</v>
      </c>
      <c r="G1220" s="1" t="str">
        <f>Ocupacao_DW[[#This Row],[data]]&amp;Ocupacao_DW[[#This Row],[profissional_id]]&amp;Ocupacao_DW[[#This Row],[local_id]]</f>
        <v>446351060086</v>
      </c>
      <c r="H1220" s="1">
        <f>_xlfn.XLOOKUP(Ocupacao_DW[[#This Row],[Concat]],Vagas!$H:$H,Vagas!$D:$D,"",0)</f>
        <v>0</v>
      </c>
    </row>
    <row r="1221" spans="1:8" x14ac:dyDescent="0.25">
      <c r="A1221" s="2">
        <v>44635</v>
      </c>
      <c r="B1221" s="1" t="s">
        <v>51</v>
      </c>
      <c r="C1221">
        <v>12582</v>
      </c>
      <c r="D1221" s="1" t="s">
        <v>190</v>
      </c>
      <c r="E1221" s="1" t="s">
        <v>7</v>
      </c>
      <c r="F1221">
        <v>62</v>
      </c>
      <c r="G1221" s="1" t="str">
        <f>Ocupacao_DW[[#This Row],[data]]&amp;Ocupacao_DW[[#This Row],[profissional_id]]&amp;Ocupacao_DW[[#This Row],[local_id]]</f>
        <v>446351258262</v>
      </c>
      <c r="H1221" s="1">
        <f>_xlfn.XLOOKUP(Ocupacao_DW[[#This Row],[Concat]],Vagas!$H:$H,Vagas!$D:$D,"",0)</f>
        <v>0</v>
      </c>
    </row>
    <row r="1222" spans="1:8" x14ac:dyDescent="0.25">
      <c r="A1222" s="2">
        <v>44636</v>
      </c>
      <c r="B1222" s="1" t="s">
        <v>49</v>
      </c>
      <c r="C1222">
        <v>81</v>
      </c>
      <c r="D1222" s="1" t="s">
        <v>170</v>
      </c>
      <c r="E1222" s="1" t="s">
        <v>4</v>
      </c>
      <c r="F1222">
        <v>41</v>
      </c>
      <c r="G1222" s="1" t="str">
        <f>Ocupacao_DW[[#This Row],[data]]&amp;Ocupacao_DW[[#This Row],[profissional_id]]&amp;Ocupacao_DW[[#This Row],[local_id]]</f>
        <v>446368141</v>
      </c>
      <c r="H1222" s="1">
        <f>_xlfn.XLOOKUP(Ocupacao_DW[[#This Row],[Concat]],Vagas!$H:$H,Vagas!$D:$D,"",0)</f>
        <v>0</v>
      </c>
    </row>
    <row r="1223" spans="1:8" x14ac:dyDescent="0.25">
      <c r="A1223" s="2">
        <v>44645</v>
      </c>
      <c r="B1223" s="1" t="s">
        <v>52</v>
      </c>
      <c r="C1223">
        <v>57</v>
      </c>
      <c r="D1223" s="1" t="s">
        <v>169</v>
      </c>
      <c r="E1223" s="1" t="s">
        <v>6</v>
      </c>
      <c r="F1223">
        <v>8</v>
      </c>
      <c r="G1223" s="1" t="str">
        <f>Ocupacao_DW[[#This Row],[data]]&amp;Ocupacao_DW[[#This Row],[profissional_id]]&amp;Ocupacao_DW[[#This Row],[local_id]]</f>
        <v>44645578</v>
      </c>
      <c r="H1223" s="1">
        <f>_xlfn.XLOOKUP(Ocupacao_DW[[#This Row],[Concat]],Vagas!$H:$H,Vagas!$D:$D,"",0)</f>
        <v>0</v>
      </c>
    </row>
    <row r="1224" spans="1:8" x14ac:dyDescent="0.25">
      <c r="A1224" s="2">
        <v>44637</v>
      </c>
      <c r="B1224" s="1" t="s">
        <v>49</v>
      </c>
      <c r="C1224">
        <v>3092</v>
      </c>
      <c r="D1224" s="1" t="s">
        <v>262</v>
      </c>
      <c r="E1224" s="1" t="s">
        <v>4</v>
      </c>
      <c r="F1224">
        <v>43</v>
      </c>
      <c r="G1224" s="1" t="str">
        <f>Ocupacao_DW[[#This Row],[data]]&amp;Ocupacao_DW[[#This Row],[profissional_id]]&amp;Ocupacao_DW[[#This Row],[local_id]]</f>
        <v>44637309243</v>
      </c>
      <c r="H1224" s="1">
        <f>_xlfn.XLOOKUP(Ocupacao_DW[[#This Row],[Concat]],Vagas!$H:$H,Vagas!$D:$D,"",0)</f>
        <v>0</v>
      </c>
    </row>
    <row r="1225" spans="1:8" x14ac:dyDescent="0.25">
      <c r="A1225" s="2">
        <v>44644</v>
      </c>
      <c r="B1225" s="1" t="s">
        <v>70</v>
      </c>
      <c r="C1225">
        <v>12519</v>
      </c>
      <c r="D1225" s="1" t="s">
        <v>176</v>
      </c>
      <c r="E1225" s="1" t="s">
        <v>4</v>
      </c>
      <c r="F1225">
        <v>42</v>
      </c>
      <c r="G1225" s="1" t="str">
        <f>Ocupacao_DW[[#This Row],[data]]&amp;Ocupacao_DW[[#This Row],[profissional_id]]&amp;Ocupacao_DW[[#This Row],[local_id]]</f>
        <v>446441251942</v>
      </c>
      <c r="H1225" s="1">
        <f>_xlfn.XLOOKUP(Ocupacao_DW[[#This Row],[Concat]],Vagas!$H:$H,Vagas!$D:$D,"",0)</f>
        <v>0</v>
      </c>
    </row>
    <row r="1226" spans="1:8" x14ac:dyDescent="0.25">
      <c r="A1226" s="2">
        <v>44650</v>
      </c>
      <c r="B1226" s="1" t="s">
        <v>52</v>
      </c>
      <c r="C1226">
        <v>57</v>
      </c>
      <c r="D1226" s="1" t="s">
        <v>169</v>
      </c>
      <c r="E1226" s="1" t="s">
        <v>6</v>
      </c>
      <c r="F1226">
        <v>4</v>
      </c>
      <c r="G1226" s="1" t="str">
        <f>Ocupacao_DW[[#This Row],[data]]&amp;Ocupacao_DW[[#This Row],[profissional_id]]&amp;Ocupacao_DW[[#This Row],[local_id]]</f>
        <v>44650574</v>
      </c>
      <c r="H1226" s="1">
        <f>_xlfn.XLOOKUP(Ocupacao_DW[[#This Row],[Concat]],Vagas!$H:$H,Vagas!$D:$D,"",0)</f>
        <v>0</v>
      </c>
    </row>
    <row r="1227" spans="1:8" x14ac:dyDescent="0.25">
      <c r="A1227" s="2">
        <v>44650</v>
      </c>
      <c r="B1227" s="1" t="s">
        <v>55</v>
      </c>
      <c r="C1227">
        <v>73</v>
      </c>
      <c r="D1227" s="1" t="s">
        <v>171</v>
      </c>
      <c r="E1227" s="1" t="s">
        <v>6</v>
      </c>
      <c r="F1227">
        <v>5</v>
      </c>
      <c r="G1227" s="1" t="str">
        <f>Ocupacao_DW[[#This Row],[data]]&amp;Ocupacao_DW[[#This Row],[profissional_id]]&amp;Ocupacao_DW[[#This Row],[local_id]]</f>
        <v>44650735</v>
      </c>
      <c r="H1227" s="1">
        <f>_xlfn.XLOOKUP(Ocupacao_DW[[#This Row],[Concat]],Vagas!$H:$H,Vagas!$D:$D,"",0)</f>
        <v>0</v>
      </c>
    </row>
    <row r="1228" spans="1:8" x14ac:dyDescent="0.25">
      <c r="A1228" s="2">
        <v>44641</v>
      </c>
      <c r="B1228" s="1" t="s">
        <v>72</v>
      </c>
      <c r="C1228">
        <v>13479</v>
      </c>
      <c r="D1228" s="1" t="s">
        <v>203</v>
      </c>
      <c r="E1228" s="1" t="s">
        <v>4</v>
      </c>
      <c r="F1228">
        <v>46</v>
      </c>
      <c r="G1228" s="1" t="str">
        <f>Ocupacao_DW[[#This Row],[data]]&amp;Ocupacao_DW[[#This Row],[profissional_id]]&amp;Ocupacao_DW[[#This Row],[local_id]]</f>
        <v>446411347946</v>
      </c>
      <c r="H1228" s="1">
        <f>_xlfn.XLOOKUP(Ocupacao_DW[[#This Row],[Concat]],Vagas!$H:$H,Vagas!$D:$D,"",0)</f>
        <v>0</v>
      </c>
    </row>
    <row r="1229" spans="1:8" x14ac:dyDescent="0.25">
      <c r="A1229" s="2">
        <v>44637</v>
      </c>
      <c r="B1229" s="1" t="s">
        <v>52</v>
      </c>
      <c r="C1229">
        <v>10691</v>
      </c>
      <c r="D1229" s="1" t="s">
        <v>181</v>
      </c>
      <c r="E1229" s="1" t="s">
        <v>6</v>
      </c>
      <c r="F1229">
        <v>9</v>
      </c>
      <c r="G1229" s="1" t="str">
        <f>Ocupacao_DW[[#This Row],[data]]&amp;Ocupacao_DW[[#This Row],[profissional_id]]&amp;Ocupacao_DW[[#This Row],[local_id]]</f>
        <v>44637106919</v>
      </c>
      <c r="H1229" s="1">
        <f>_xlfn.XLOOKUP(Ocupacao_DW[[#This Row],[Concat]],Vagas!$H:$H,Vagas!$D:$D,"",0)</f>
        <v>0</v>
      </c>
    </row>
    <row r="1230" spans="1:8" x14ac:dyDescent="0.25">
      <c r="A1230" s="2">
        <v>44635</v>
      </c>
      <c r="B1230" s="1" t="s">
        <v>49</v>
      </c>
      <c r="C1230">
        <v>81</v>
      </c>
      <c r="D1230" s="1" t="s">
        <v>170</v>
      </c>
      <c r="E1230" s="1" t="s">
        <v>7</v>
      </c>
      <c r="F1230">
        <v>71</v>
      </c>
      <c r="G1230" s="1" t="str">
        <f>Ocupacao_DW[[#This Row],[data]]&amp;Ocupacao_DW[[#This Row],[profissional_id]]&amp;Ocupacao_DW[[#This Row],[local_id]]</f>
        <v>446358171</v>
      </c>
      <c r="H1230" s="1">
        <f>_xlfn.XLOOKUP(Ocupacao_DW[[#This Row],[Concat]],Vagas!$H:$H,Vagas!$D:$D,"",0)</f>
        <v>0</v>
      </c>
    </row>
    <row r="1231" spans="1:8" x14ac:dyDescent="0.25">
      <c r="A1231" s="2">
        <v>44639</v>
      </c>
      <c r="B1231" s="1" t="s">
        <v>47</v>
      </c>
      <c r="C1231">
        <v>111</v>
      </c>
      <c r="D1231" s="1" t="s">
        <v>199</v>
      </c>
      <c r="E1231" s="1" t="s">
        <v>4</v>
      </c>
      <c r="F1231">
        <v>51</v>
      </c>
      <c r="G1231" s="1" t="str">
        <f>Ocupacao_DW[[#This Row],[data]]&amp;Ocupacao_DW[[#This Row],[profissional_id]]&amp;Ocupacao_DW[[#This Row],[local_id]]</f>
        <v>4463911151</v>
      </c>
      <c r="H1231" s="1">
        <f>_xlfn.XLOOKUP(Ocupacao_DW[[#This Row],[Concat]],Vagas!$H:$H,Vagas!$D:$D,"",0)</f>
        <v>0</v>
      </c>
    </row>
    <row r="1232" spans="1:8" x14ac:dyDescent="0.25">
      <c r="A1232" s="2">
        <v>44643</v>
      </c>
      <c r="B1232" s="1" t="s">
        <v>70</v>
      </c>
      <c r="C1232">
        <v>12825</v>
      </c>
      <c r="D1232" s="1" t="s">
        <v>177</v>
      </c>
      <c r="E1232" s="1" t="s">
        <v>4</v>
      </c>
      <c r="F1232">
        <v>45</v>
      </c>
      <c r="G1232" s="1" t="str">
        <f>Ocupacao_DW[[#This Row],[data]]&amp;Ocupacao_DW[[#This Row],[profissional_id]]&amp;Ocupacao_DW[[#This Row],[local_id]]</f>
        <v>446431282545</v>
      </c>
      <c r="H1232" s="1">
        <f>_xlfn.XLOOKUP(Ocupacao_DW[[#This Row],[Concat]],Vagas!$H:$H,Vagas!$D:$D,"",0)</f>
        <v>0</v>
      </c>
    </row>
    <row r="1233" spans="1:8" x14ac:dyDescent="0.25">
      <c r="A1233" s="2">
        <v>44638</v>
      </c>
      <c r="B1233" s="1" t="s">
        <v>52</v>
      </c>
      <c r="C1233">
        <v>10691</v>
      </c>
      <c r="D1233" s="1" t="s">
        <v>181</v>
      </c>
      <c r="E1233" s="1" t="s">
        <v>200</v>
      </c>
      <c r="F1233">
        <v>78</v>
      </c>
      <c r="G1233" s="1" t="str">
        <f>Ocupacao_DW[[#This Row],[data]]&amp;Ocupacao_DW[[#This Row],[profissional_id]]&amp;Ocupacao_DW[[#This Row],[local_id]]</f>
        <v>446381069178</v>
      </c>
      <c r="H1233" s="1">
        <f>_xlfn.XLOOKUP(Ocupacao_DW[[#This Row],[Concat]],Vagas!$H:$H,Vagas!$D:$D,"",0)</f>
        <v>0</v>
      </c>
    </row>
    <row r="1234" spans="1:8" x14ac:dyDescent="0.25">
      <c r="A1234" s="2">
        <v>44645</v>
      </c>
      <c r="B1234" s="1" t="s">
        <v>49</v>
      </c>
      <c r="C1234">
        <v>12142</v>
      </c>
      <c r="D1234" s="1" t="s">
        <v>219</v>
      </c>
      <c r="E1234" s="1" t="s">
        <v>4</v>
      </c>
      <c r="F1234">
        <v>44</v>
      </c>
      <c r="G1234" s="1" t="str">
        <f>Ocupacao_DW[[#This Row],[data]]&amp;Ocupacao_DW[[#This Row],[profissional_id]]&amp;Ocupacao_DW[[#This Row],[local_id]]</f>
        <v>446451214244</v>
      </c>
      <c r="H1234" s="1">
        <f>_xlfn.XLOOKUP(Ocupacao_DW[[#This Row],[Concat]],Vagas!$H:$H,Vagas!$D:$D,"",0)</f>
        <v>0</v>
      </c>
    </row>
    <row r="1235" spans="1:8" x14ac:dyDescent="0.25">
      <c r="A1235" s="2">
        <v>44635</v>
      </c>
      <c r="B1235" s="1" t="s">
        <v>65</v>
      </c>
      <c r="C1235">
        <v>11652</v>
      </c>
      <c r="D1235" s="1" t="s">
        <v>242</v>
      </c>
      <c r="E1235" s="1" t="s">
        <v>4</v>
      </c>
      <c r="F1235">
        <v>47</v>
      </c>
      <c r="G1235" s="1" t="str">
        <f>Ocupacao_DW[[#This Row],[data]]&amp;Ocupacao_DW[[#This Row],[profissional_id]]&amp;Ocupacao_DW[[#This Row],[local_id]]</f>
        <v>446351165247</v>
      </c>
      <c r="H1235" s="1">
        <f>_xlfn.XLOOKUP(Ocupacao_DW[[#This Row],[Concat]],Vagas!$H:$H,Vagas!$D:$D,"",0)</f>
        <v>0</v>
      </c>
    </row>
    <row r="1236" spans="1:8" x14ac:dyDescent="0.25">
      <c r="A1236" s="2">
        <v>44637</v>
      </c>
      <c r="B1236" s="1" t="s">
        <v>62</v>
      </c>
      <c r="C1236">
        <v>3502</v>
      </c>
      <c r="D1236" s="1" t="s">
        <v>214</v>
      </c>
      <c r="E1236" s="1" t="s">
        <v>5</v>
      </c>
      <c r="F1236">
        <v>16</v>
      </c>
      <c r="G1236" s="1" t="str">
        <f>Ocupacao_DW[[#This Row],[data]]&amp;Ocupacao_DW[[#This Row],[profissional_id]]&amp;Ocupacao_DW[[#This Row],[local_id]]</f>
        <v>44637350216</v>
      </c>
      <c r="H1236" s="1">
        <f>_xlfn.XLOOKUP(Ocupacao_DW[[#This Row],[Concat]],Vagas!$H:$H,Vagas!$D:$D,"",0)</f>
        <v>0</v>
      </c>
    </row>
    <row r="1237" spans="1:8" x14ac:dyDescent="0.25">
      <c r="A1237" s="2">
        <v>44643</v>
      </c>
      <c r="B1237" s="1" t="s">
        <v>55</v>
      </c>
      <c r="C1237">
        <v>74</v>
      </c>
      <c r="D1237" s="1" t="s">
        <v>182</v>
      </c>
      <c r="E1237" s="1" t="s">
        <v>6</v>
      </c>
      <c r="F1237">
        <v>7</v>
      </c>
      <c r="G1237" s="1" t="str">
        <f>Ocupacao_DW[[#This Row],[data]]&amp;Ocupacao_DW[[#This Row],[profissional_id]]&amp;Ocupacao_DW[[#This Row],[local_id]]</f>
        <v>44643747</v>
      </c>
      <c r="H1237" s="1">
        <f>_xlfn.XLOOKUP(Ocupacao_DW[[#This Row],[Concat]],Vagas!$H:$H,Vagas!$D:$D,"",0)</f>
        <v>0</v>
      </c>
    </row>
    <row r="1238" spans="1:8" x14ac:dyDescent="0.25">
      <c r="A1238" s="2">
        <v>44643</v>
      </c>
      <c r="B1238" s="1" t="s">
        <v>49</v>
      </c>
      <c r="C1238">
        <v>6430</v>
      </c>
      <c r="D1238" s="1" t="s">
        <v>188</v>
      </c>
      <c r="E1238" s="1" t="s">
        <v>4</v>
      </c>
      <c r="F1238">
        <v>42</v>
      </c>
      <c r="G1238" s="1" t="str">
        <f>Ocupacao_DW[[#This Row],[data]]&amp;Ocupacao_DW[[#This Row],[profissional_id]]&amp;Ocupacao_DW[[#This Row],[local_id]]</f>
        <v>44643643042</v>
      </c>
      <c r="H1238" s="1">
        <f>_xlfn.XLOOKUP(Ocupacao_DW[[#This Row],[Concat]],Vagas!$H:$H,Vagas!$D:$D,"",0)</f>
        <v>0</v>
      </c>
    </row>
    <row r="1239" spans="1:8" x14ac:dyDescent="0.25">
      <c r="A1239" s="2">
        <v>44639</v>
      </c>
      <c r="B1239" s="1" t="s">
        <v>47</v>
      </c>
      <c r="C1239">
        <v>111</v>
      </c>
      <c r="D1239" s="1" t="s">
        <v>199</v>
      </c>
      <c r="E1239" s="1" t="s">
        <v>4</v>
      </c>
      <c r="F1239">
        <v>51</v>
      </c>
      <c r="G1239" s="1" t="str">
        <f>Ocupacao_DW[[#This Row],[data]]&amp;Ocupacao_DW[[#This Row],[profissional_id]]&amp;Ocupacao_DW[[#This Row],[local_id]]</f>
        <v>4463911151</v>
      </c>
      <c r="H1239" s="1">
        <f>_xlfn.XLOOKUP(Ocupacao_DW[[#This Row],[Concat]],Vagas!$H:$H,Vagas!$D:$D,"",0)</f>
        <v>0</v>
      </c>
    </row>
    <row r="1240" spans="1:8" x14ac:dyDescent="0.25">
      <c r="A1240" s="2">
        <v>44635</v>
      </c>
      <c r="B1240" s="1" t="s">
        <v>49</v>
      </c>
      <c r="C1240">
        <v>266</v>
      </c>
      <c r="D1240" s="1" t="s">
        <v>201</v>
      </c>
      <c r="E1240" s="1" t="s">
        <v>4</v>
      </c>
      <c r="F1240">
        <v>42</v>
      </c>
      <c r="G1240" s="1" t="str">
        <f>Ocupacao_DW[[#This Row],[data]]&amp;Ocupacao_DW[[#This Row],[profissional_id]]&amp;Ocupacao_DW[[#This Row],[local_id]]</f>
        <v>4463526642</v>
      </c>
      <c r="H1240" s="1">
        <f>_xlfn.XLOOKUP(Ocupacao_DW[[#This Row],[Concat]],Vagas!$H:$H,Vagas!$D:$D,"",0)</f>
        <v>0</v>
      </c>
    </row>
    <row r="1241" spans="1:8" x14ac:dyDescent="0.25">
      <c r="A1241" s="2">
        <v>44643</v>
      </c>
      <c r="B1241" s="1" t="s">
        <v>51</v>
      </c>
      <c r="C1241">
        <v>7551</v>
      </c>
      <c r="D1241" s="1" t="s">
        <v>246</v>
      </c>
      <c r="E1241" s="1" t="s">
        <v>5</v>
      </c>
      <c r="F1241">
        <v>15</v>
      </c>
      <c r="G1241" s="1" t="str">
        <f>Ocupacao_DW[[#This Row],[data]]&amp;Ocupacao_DW[[#This Row],[profissional_id]]&amp;Ocupacao_DW[[#This Row],[local_id]]</f>
        <v>44643755115</v>
      </c>
      <c r="H1241" s="1">
        <f>_xlfn.XLOOKUP(Ocupacao_DW[[#This Row],[Concat]],Vagas!$H:$H,Vagas!$D:$D,"",0)</f>
        <v>0</v>
      </c>
    </row>
    <row r="1242" spans="1:8" x14ac:dyDescent="0.25">
      <c r="A1242" s="2">
        <v>44635</v>
      </c>
      <c r="B1242" s="1" t="s">
        <v>49</v>
      </c>
      <c r="C1242">
        <v>266</v>
      </c>
      <c r="D1242" s="1" t="s">
        <v>201</v>
      </c>
      <c r="E1242" s="1" t="s">
        <v>4</v>
      </c>
      <c r="F1242">
        <v>42</v>
      </c>
      <c r="G1242" s="1" t="str">
        <f>Ocupacao_DW[[#This Row],[data]]&amp;Ocupacao_DW[[#This Row],[profissional_id]]&amp;Ocupacao_DW[[#This Row],[local_id]]</f>
        <v>4463526642</v>
      </c>
      <c r="H1242" s="1">
        <f>_xlfn.XLOOKUP(Ocupacao_DW[[#This Row],[Concat]],Vagas!$H:$H,Vagas!$D:$D,"",0)</f>
        <v>0</v>
      </c>
    </row>
    <row r="1243" spans="1:8" x14ac:dyDescent="0.25">
      <c r="A1243" s="2">
        <v>44643</v>
      </c>
      <c r="B1243" s="1"/>
      <c r="C1243">
        <v>14326</v>
      </c>
      <c r="D1243" s="1" t="s">
        <v>220</v>
      </c>
      <c r="E1243" s="1" t="s">
        <v>4</v>
      </c>
      <c r="F1243">
        <v>43</v>
      </c>
      <c r="G1243" s="1" t="str">
        <f>Ocupacao_DW[[#This Row],[data]]&amp;Ocupacao_DW[[#This Row],[profissional_id]]&amp;Ocupacao_DW[[#This Row],[local_id]]</f>
        <v>446431432643</v>
      </c>
      <c r="H1243" s="1">
        <f>_xlfn.XLOOKUP(Ocupacao_DW[[#This Row],[Concat]],Vagas!$H:$H,Vagas!$D:$D,"",0)</f>
        <v>0</v>
      </c>
    </row>
    <row r="1244" spans="1:8" x14ac:dyDescent="0.25">
      <c r="A1244" s="2">
        <v>44657</v>
      </c>
      <c r="B1244" s="1" t="s">
        <v>66</v>
      </c>
      <c r="C1244">
        <v>1343</v>
      </c>
      <c r="D1244" s="1" t="s">
        <v>263</v>
      </c>
      <c r="E1244" s="1" t="s">
        <v>167</v>
      </c>
      <c r="F1244">
        <v>342</v>
      </c>
      <c r="G1244" s="1" t="str">
        <f>Ocupacao_DW[[#This Row],[data]]&amp;Ocupacao_DW[[#This Row],[profissional_id]]&amp;Ocupacao_DW[[#This Row],[local_id]]</f>
        <v>446571343342</v>
      </c>
      <c r="H1244" s="1">
        <f>_xlfn.XLOOKUP(Ocupacao_DW[[#This Row],[Concat]],Vagas!$H:$H,Vagas!$D:$D,"",0)</f>
        <v>0</v>
      </c>
    </row>
    <row r="1245" spans="1:8" x14ac:dyDescent="0.25">
      <c r="A1245" s="2">
        <v>44652</v>
      </c>
      <c r="B1245" s="1"/>
      <c r="C1245">
        <v>0</v>
      </c>
      <c r="D1245" s="1"/>
      <c r="E1245" s="1" t="s">
        <v>4</v>
      </c>
      <c r="F1245">
        <v>51</v>
      </c>
      <c r="G1245" s="1" t="str">
        <f>Ocupacao_DW[[#This Row],[data]]&amp;Ocupacao_DW[[#This Row],[profissional_id]]&amp;Ocupacao_DW[[#This Row],[local_id]]</f>
        <v>44652051</v>
      </c>
      <c r="H1245" s="1" t="str">
        <f>_xlfn.XLOOKUP(Ocupacao_DW[[#This Row],[Concat]],Vagas!$H:$H,Vagas!$D:$D,"",0)</f>
        <v/>
      </c>
    </row>
    <row r="1246" spans="1:8" x14ac:dyDescent="0.25">
      <c r="A1246" s="2">
        <v>44648</v>
      </c>
      <c r="B1246" s="1" t="s">
        <v>55</v>
      </c>
      <c r="C1246">
        <v>6392</v>
      </c>
      <c r="D1246" s="1" t="s">
        <v>173</v>
      </c>
      <c r="E1246" s="1" t="s">
        <v>6</v>
      </c>
      <c r="F1246">
        <v>5</v>
      </c>
      <c r="G1246" s="1" t="str">
        <f>Ocupacao_DW[[#This Row],[data]]&amp;Ocupacao_DW[[#This Row],[profissional_id]]&amp;Ocupacao_DW[[#This Row],[local_id]]</f>
        <v>4464863925</v>
      </c>
      <c r="H1246" s="1">
        <f>_xlfn.XLOOKUP(Ocupacao_DW[[#This Row],[Concat]],Vagas!$H:$H,Vagas!$D:$D,"",0)</f>
        <v>0</v>
      </c>
    </row>
    <row r="1247" spans="1:8" x14ac:dyDescent="0.25">
      <c r="A1247" s="2">
        <v>44637</v>
      </c>
      <c r="B1247" s="1" t="s">
        <v>72</v>
      </c>
      <c r="C1247">
        <v>6046</v>
      </c>
      <c r="D1247" s="1" t="s">
        <v>222</v>
      </c>
      <c r="E1247" s="1" t="s">
        <v>4</v>
      </c>
      <c r="F1247">
        <v>46</v>
      </c>
      <c r="G1247" s="1" t="str">
        <f>Ocupacao_DW[[#This Row],[data]]&amp;Ocupacao_DW[[#This Row],[profissional_id]]&amp;Ocupacao_DW[[#This Row],[local_id]]</f>
        <v>44637604646</v>
      </c>
      <c r="H1247" s="1">
        <f>_xlfn.XLOOKUP(Ocupacao_DW[[#This Row],[Concat]],Vagas!$H:$H,Vagas!$D:$D,"",0)</f>
        <v>0</v>
      </c>
    </row>
    <row r="1248" spans="1:8" x14ac:dyDescent="0.25">
      <c r="A1248" s="2">
        <v>44639</v>
      </c>
      <c r="B1248" s="1" t="s">
        <v>52</v>
      </c>
      <c r="C1248">
        <v>60</v>
      </c>
      <c r="D1248" s="1" t="s">
        <v>217</v>
      </c>
      <c r="E1248" s="1" t="s">
        <v>6</v>
      </c>
      <c r="F1248">
        <v>8</v>
      </c>
      <c r="G1248" s="1" t="str">
        <f>Ocupacao_DW[[#This Row],[data]]&amp;Ocupacao_DW[[#This Row],[profissional_id]]&amp;Ocupacao_DW[[#This Row],[local_id]]</f>
        <v>44639608</v>
      </c>
      <c r="H1248" s="1">
        <f>_xlfn.XLOOKUP(Ocupacao_DW[[#This Row],[Concat]],Vagas!$H:$H,Vagas!$D:$D,"",0)</f>
        <v>0</v>
      </c>
    </row>
    <row r="1249" spans="1:8" x14ac:dyDescent="0.25">
      <c r="A1249" s="2">
        <v>44635</v>
      </c>
      <c r="B1249" s="1" t="s">
        <v>65</v>
      </c>
      <c r="C1249">
        <v>11237</v>
      </c>
      <c r="D1249" s="1" t="s">
        <v>229</v>
      </c>
      <c r="E1249" s="1" t="s">
        <v>4</v>
      </c>
      <c r="F1249">
        <v>46</v>
      </c>
      <c r="G1249" s="1" t="str">
        <f>Ocupacao_DW[[#This Row],[data]]&amp;Ocupacao_DW[[#This Row],[profissional_id]]&amp;Ocupacao_DW[[#This Row],[local_id]]</f>
        <v>446351123746</v>
      </c>
      <c r="H1249" s="1">
        <f>_xlfn.XLOOKUP(Ocupacao_DW[[#This Row],[Concat]],Vagas!$H:$H,Vagas!$D:$D,"",0)</f>
        <v>0</v>
      </c>
    </row>
    <row r="1250" spans="1:8" x14ac:dyDescent="0.25">
      <c r="A1250" s="2">
        <v>44635</v>
      </c>
      <c r="B1250" s="1" t="s">
        <v>49</v>
      </c>
      <c r="C1250">
        <v>81</v>
      </c>
      <c r="D1250" s="1" t="s">
        <v>170</v>
      </c>
      <c r="E1250" s="1" t="s">
        <v>7</v>
      </c>
      <c r="F1250">
        <v>71</v>
      </c>
      <c r="G1250" s="1" t="str">
        <f>Ocupacao_DW[[#This Row],[data]]&amp;Ocupacao_DW[[#This Row],[profissional_id]]&amp;Ocupacao_DW[[#This Row],[local_id]]</f>
        <v>446358171</v>
      </c>
      <c r="H1250" s="1">
        <f>_xlfn.XLOOKUP(Ocupacao_DW[[#This Row],[Concat]],Vagas!$H:$H,Vagas!$D:$D,"",0)</f>
        <v>0</v>
      </c>
    </row>
    <row r="1251" spans="1:8" x14ac:dyDescent="0.25">
      <c r="A1251" s="2">
        <v>44638</v>
      </c>
      <c r="B1251" s="1" t="s">
        <v>47</v>
      </c>
      <c r="C1251">
        <v>12684</v>
      </c>
      <c r="D1251" s="1" t="s">
        <v>236</v>
      </c>
      <c r="E1251" s="1" t="s">
        <v>200</v>
      </c>
      <c r="F1251">
        <v>85</v>
      </c>
      <c r="G1251" s="1" t="str">
        <f>Ocupacao_DW[[#This Row],[data]]&amp;Ocupacao_DW[[#This Row],[profissional_id]]&amp;Ocupacao_DW[[#This Row],[local_id]]</f>
        <v>446381268485</v>
      </c>
      <c r="H1251" s="1">
        <f>_xlfn.XLOOKUP(Ocupacao_DW[[#This Row],[Concat]],Vagas!$H:$H,Vagas!$D:$D,"",0)</f>
        <v>0</v>
      </c>
    </row>
    <row r="1252" spans="1:8" x14ac:dyDescent="0.25">
      <c r="A1252" s="2">
        <v>44641</v>
      </c>
      <c r="B1252" s="1" t="s">
        <v>54</v>
      </c>
      <c r="C1252">
        <v>10941</v>
      </c>
      <c r="D1252" s="1" t="s">
        <v>224</v>
      </c>
      <c r="E1252" s="1" t="s">
        <v>5</v>
      </c>
      <c r="F1252">
        <v>11</v>
      </c>
      <c r="G1252" s="1" t="str">
        <f>Ocupacao_DW[[#This Row],[data]]&amp;Ocupacao_DW[[#This Row],[profissional_id]]&amp;Ocupacao_DW[[#This Row],[local_id]]</f>
        <v>446411094111</v>
      </c>
      <c r="H1252" s="1">
        <f>_xlfn.XLOOKUP(Ocupacao_DW[[#This Row],[Concat]],Vagas!$H:$H,Vagas!$D:$D,"",0)</f>
        <v>0</v>
      </c>
    </row>
    <row r="1253" spans="1:8" x14ac:dyDescent="0.25">
      <c r="A1253" s="2">
        <v>44638</v>
      </c>
      <c r="B1253" s="1" t="s">
        <v>47</v>
      </c>
      <c r="C1253">
        <v>12684</v>
      </c>
      <c r="D1253" s="1" t="s">
        <v>236</v>
      </c>
      <c r="E1253" s="1" t="s">
        <v>200</v>
      </c>
      <c r="F1253">
        <v>85</v>
      </c>
      <c r="G1253" s="1" t="str">
        <f>Ocupacao_DW[[#This Row],[data]]&amp;Ocupacao_DW[[#This Row],[profissional_id]]&amp;Ocupacao_DW[[#This Row],[local_id]]</f>
        <v>446381268485</v>
      </c>
      <c r="H1253" s="1">
        <f>_xlfn.XLOOKUP(Ocupacao_DW[[#This Row],[Concat]],Vagas!$H:$H,Vagas!$D:$D,"",0)</f>
        <v>0</v>
      </c>
    </row>
    <row r="1254" spans="1:8" x14ac:dyDescent="0.25">
      <c r="A1254" s="2">
        <v>44638</v>
      </c>
      <c r="B1254" s="1" t="s">
        <v>54</v>
      </c>
      <c r="C1254">
        <v>69</v>
      </c>
      <c r="D1254" s="1" t="s">
        <v>238</v>
      </c>
      <c r="E1254" s="1" t="s">
        <v>5</v>
      </c>
      <c r="F1254">
        <v>13</v>
      </c>
      <c r="G1254" s="1" t="str">
        <f>Ocupacao_DW[[#This Row],[data]]&amp;Ocupacao_DW[[#This Row],[profissional_id]]&amp;Ocupacao_DW[[#This Row],[local_id]]</f>
        <v>446386913</v>
      </c>
      <c r="H1254" s="1">
        <f>_xlfn.XLOOKUP(Ocupacao_DW[[#This Row],[Concat]],Vagas!$H:$H,Vagas!$D:$D,"",0)</f>
        <v>0</v>
      </c>
    </row>
    <row r="1255" spans="1:8" x14ac:dyDescent="0.25">
      <c r="A1255" s="2">
        <v>44642</v>
      </c>
      <c r="B1255" s="1" t="s">
        <v>49</v>
      </c>
      <c r="C1255">
        <v>10600</v>
      </c>
      <c r="D1255" s="1" t="s">
        <v>248</v>
      </c>
      <c r="E1255" s="1" t="s">
        <v>200</v>
      </c>
      <c r="F1255">
        <v>86</v>
      </c>
      <c r="G1255" s="1" t="str">
        <f>Ocupacao_DW[[#This Row],[data]]&amp;Ocupacao_DW[[#This Row],[profissional_id]]&amp;Ocupacao_DW[[#This Row],[local_id]]</f>
        <v>446421060086</v>
      </c>
      <c r="H1255" s="1">
        <f>_xlfn.XLOOKUP(Ocupacao_DW[[#This Row],[Concat]],Vagas!$H:$H,Vagas!$D:$D,"",0)</f>
        <v>0</v>
      </c>
    </row>
    <row r="1256" spans="1:8" x14ac:dyDescent="0.25">
      <c r="A1256" s="2">
        <v>44637</v>
      </c>
      <c r="B1256" s="1" t="s">
        <v>52</v>
      </c>
      <c r="C1256">
        <v>10691</v>
      </c>
      <c r="D1256" s="1" t="s">
        <v>181</v>
      </c>
      <c r="E1256" s="1" t="s">
        <v>6</v>
      </c>
      <c r="F1256">
        <v>9</v>
      </c>
      <c r="G1256" s="1" t="str">
        <f>Ocupacao_DW[[#This Row],[data]]&amp;Ocupacao_DW[[#This Row],[profissional_id]]&amp;Ocupacao_DW[[#This Row],[local_id]]</f>
        <v>44637106919</v>
      </c>
      <c r="H1256" s="1">
        <f>_xlfn.XLOOKUP(Ocupacao_DW[[#This Row],[Concat]],Vagas!$H:$H,Vagas!$D:$D,"",0)</f>
        <v>0</v>
      </c>
    </row>
    <row r="1257" spans="1:8" x14ac:dyDescent="0.25">
      <c r="A1257" s="2">
        <v>44635</v>
      </c>
      <c r="B1257" s="1" t="s">
        <v>62</v>
      </c>
      <c r="C1257">
        <v>3502</v>
      </c>
      <c r="D1257" s="1" t="s">
        <v>214</v>
      </c>
      <c r="E1257" s="1" t="s">
        <v>5</v>
      </c>
      <c r="F1257">
        <v>16</v>
      </c>
      <c r="G1257" s="1" t="str">
        <f>Ocupacao_DW[[#This Row],[data]]&amp;Ocupacao_DW[[#This Row],[profissional_id]]&amp;Ocupacao_DW[[#This Row],[local_id]]</f>
        <v>44635350216</v>
      </c>
      <c r="H1257" s="1">
        <f>_xlfn.XLOOKUP(Ocupacao_DW[[#This Row],[Concat]],Vagas!$H:$H,Vagas!$D:$D,"",0)</f>
        <v>0</v>
      </c>
    </row>
    <row r="1258" spans="1:8" x14ac:dyDescent="0.25">
      <c r="A1258" s="2">
        <v>44636</v>
      </c>
      <c r="B1258" s="1" t="s">
        <v>47</v>
      </c>
      <c r="C1258">
        <v>111</v>
      </c>
      <c r="D1258" s="1" t="s">
        <v>199</v>
      </c>
      <c r="E1258" s="1" t="s">
        <v>4</v>
      </c>
      <c r="F1258">
        <v>51</v>
      </c>
      <c r="G1258" s="1" t="str">
        <f>Ocupacao_DW[[#This Row],[data]]&amp;Ocupacao_DW[[#This Row],[profissional_id]]&amp;Ocupacao_DW[[#This Row],[local_id]]</f>
        <v>4463611151</v>
      </c>
      <c r="H1258" s="1">
        <f>_xlfn.XLOOKUP(Ocupacao_DW[[#This Row],[Concat]],Vagas!$H:$H,Vagas!$D:$D,"",0)</f>
        <v>1</v>
      </c>
    </row>
    <row r="1259" spans="1:8" x14ac:dyDescent="0.25">
      <c r="A1259" s="2">
        <v>44641</v>
      </c>
      <c r="B1259" s="1" t="s">
        <v>49</v>
      </c>
      <c r="C1259">
        <v>81</v>
      </c>
      <c r="D1259" s="1" t="s">
        <v>170</v>
      </c>
      <c r="E1259" s="1" t="s">
        <v>4</v>
      </c>
      <c r="F1259">
        <v>41</v>
      </c>
      <c r="G1259" s="1" t="str">
        <f>Ocupacao_DW[[#This Row],[data]]&amp;Ocupacao_DW[[#This Row],[profissional_id]]&amp;Ocupacao_DW[[#This Row],[local_id]]</f>
        <v>446418141</v>
      </c>
      <c r="H1259" s="1">
        <f>_xlfn.XLOOKUP(Ocupacao_DW[[#This Row],[Concat]],Vagas!$H:$H,Vagas!$D:$D,"",0)</f>
        <v>0</v>
      </c>
    </row>
    <row r="1260" spans="1:8" x14ac:dyDescent="0.25">
      <c r="A1260" s="2">
        <v>44644</v>
      </c>
      <c r="B1260" s="1" t="s">
        <v>52</v>
      </c>
      <c r="C1260">
        <v>10691</v>
      </c>
      <c r="D1260" s="1" t="s">
        <v>181</v>
      </c>
      <c r="E1260" s="1" t="s">
        <v>6</v>
      </c>
      <c r="F1260">
        <v>9</v>
      </c>
      <c r="G1260" s="1" t="str">
        <f>Ocupacao_DW[[#This Row],[data]]&amp;Ocupacao_DW[[#This Row],[profissional_id]]&amp;Ocupacao_DW[[#This Row],[local_id]]</f>
        <v>44644106919</v>
      </c>
      <c r="H1260" s="1">
        <f>_xlfn.XLOOKUP(Ocupacao_DW[[#This Row],[Concat]],Vagas!$H:$H,Vagas!$D:$D,"",0)</f>
        <v>0</v>
      </c>
    </row>
    <row r="1261" spans="1:8" x14ac:dyDescent="0.25">
      <c r="A1261" s="2">
        <v>44636</v>
      </c>
      <c r="B1261" s="1" t="s">
        <v>62</v>
      </c>
      <c r="C1261">
        <v>3502</v>
      </c>
      <c r="D1261" s="1" t="s">
        <v>214</v>
      </c>
      <c r="E1261" s="1" t="s">
        <v>5</v>
      </c>
      <c r="F1261">
        <v>16</v>
      </c>
      <c r="G1261" s="1" t="str">
        <f>Ocupacao_DW[[#This Row],[data]]&amp;Ocupacao_DW[[#This Row],[profissional_id]]&amp;Ocupacao_DW[[#This Row],[local_id]]</f>
        <v>44636350216</v>
      </c>
      <c r="H1261" s="1">
        <f>_xlfn.XLOOKUP(Ocupacao_DW[[#This Row],[Concat]],Vagas!$H:$H,Vagas!$D:$D,"",0)</f>
        <v>0</v>
      </c>
    </row>
    <row r="1262" spans="1:8" x14ac:dyDescent="0.25">
      <c r="A1262" s="2">
        <v>44638</v>
      </c>
      <c r="B1262" s="1" t="s">
        <v>49</v>
      </c>
      <c r="C1262">
        <v>6430</v>
      </c>
      <c r="D1262" s="1" t="s">
        <v>188</v>
      </c>
      <c r="E1262" s="1" t="s">
        <v>4</v>
      </c>
      <c r="F1262">
        <v>42</v>
      </c>
      <c r="G1262" s="1" t="str">
        <f>Ocupacao_DW[[#This Row],[data]]&amp;Ocupacao_DW[[#This Row],[profissional_id]]&amp;Ocupacao_DW[[#This Row],[local_id]]</f>
        <v>44638643042</v>
      </c>
      <c r="H1262" s="1">
        <f>_xlfn.XLOOKUP(Ocupacao_DW[[#This Row],[Concat]],Vagas!$H:$H,Vagas!$D:$D,"",0)</f>
        <v>0</v>
      </c>
    </row>
    <row r="1263" spans="1:8" x14ac:dyDescent="0.25">
      <c r="A1263" s="2">
        <v>44635</v>
      </c>
      <c r="B1263" s="1" t="s">
        <v>65</v>
      </c>
      <c r="C1263">
        <v>11652</v>
      </c>
      <c r="D1263" s="1" t="s">
        <v>242</v>
      </c>
      <c r="E1263" s="1" t="s">
        <v>4</v>
      </c>
      <c r="F1263">
        <v>47</v>
      </c>
      <c r="G1263" s="1" t="str">
        <f>Ocupacao_DW[[#This Row],[data]]&amp;Ocupacao_DW[[#This Row],[profissional_id]]&amp;Ocupacao_DW[[#This Row],[local_id]]</f>
        <v>446351165247</v>
      </c>
      <c r="H1263" s="1">
        <f>_xlfn.XLOOKUP(Ocupacao_DW[[#This Row],[Concat]],Vagas!$H:$H,Vagas!$D:$D,"",0)</f>
        <v>0</v>
      </c>
    </row>
    <row r="1264" spans="1:8" x14ac:dyDescent="0.25">
      <c r="A1264" s="2">
        <v>44636</v>
      </c>
      <c r="B1264" s="1" t="s">
        <v>66</v>
      </c>
      <c r="C1264">
        <v>1343</v>
      </c>
      <c r="D1264" s="1" t="s">
        <v>263</v>
      </c>
      <c r="E1264" s="1" t="s">
        <v>167</v>
      </c>
      <c r="F1264">
        <v>342</v>
      </c>
      <c r="G1264" s="1" t="str">
        <f>Ocupacao_DW[[#This Row],[data]]&amp;Ocupacao_DW[[#This Row],[profissional_id]]&amp;Ocupacao_DW[[#This Row],[local_id]]</f>
        <v>446361343342</v>
      </c>
      <c r="H1264" s="1">
        <f>_xlfn.XLOOKUP(Ocupacao_DW[[#This Row],[Concat]],Vagas!$H:$H,Vagas!$D:$D,"",0)</f>
        <v>0</v>
      </c>
    </row>
    <row r="1265" spans="1:8" x14ac:dyDescent="0.25">
      <c r="A1265" s="2">
        <v>44644</v>
      </c>
      <c r="B1265" s="1" t="s">
        <v>59</v>
      </c>
      <c r="C1265">
        <v>10249</v>
      </c>
      <c r="D1265" s="1" t="s">
        <v>231</v>
      </c>
      <c r="E1265" s="1" t="s">
        <v>4</v>
      </c>
      <c r="F1265">
        <v>44</v>
      </c>
      <c r="G1265" s="1" t="str">
        <f>Ocupacao_DW[[#This Row],[data]]&amp;Ocupacao_DW[[#This Row],[profissional_id]]&amp;Ocupacao_DW[[#This Row],[local_id]]</f>
        <v>446441024944</v>
      </c>
      <c r="H1265" s="1">
        <f>_xlfn.XLOOKUP(Ocupacao_DW[[#This Row],[Concat]],Vagas!$H:$H,Vagas!$D:$D,"",0)</f>
        <v>0</v>
      </c>
    </row>
    <row r="1266" spans="1:8" x14ac:dyDescent="0.25">
      <c r="A1266" s="2">
        <v>44635</v>
      </c>
      <c r="B1266" s="1" t="s">
        <v>65</v>
      </c>
      <c r="C1266">
        <v>11237</v>
      </c>
      <c r="D1266" s="1" t="s">
        <v>229</v>
      </c>
      <c r="E1266" s="1" t="s">
        <v>4</v>
      </c>
      <c r="F1266">
        <v>46</v>
      </c>
      <c r="G1266" s="1" t="str">
        <f>Ocupacao_DW[[#This Row],[data]]&amp;Ocupacao_DW[[#This Row],[profissional_id]]&amp;Ocupacao_DW[[#This Row],[local_id]]</f>
        <v>446351123746</v>
      </c>
      <c r="H1266" s="1">
        <f>_xlfn.XLOOKUP(Ocupacao_DW[[#This Row],[Concat]],Vagas!$H:$H,Vagas!$D:$D,"",0)</f>
        <v>0</v>
      </c>
    </row>
    <row r="1267" spans="1:8" x14ac:dyDescent="0.25">
      <c r="A1267" s="2">
        <v>44638</v>
      </c>
      <c r="B1267" s="1" t="s">
        <v>47</v>
      </c>
      <c r="C1267">
        <v>9111</v>
      </c>
      <c r="D1267" s="1" t="s">
        <v>206</v>
      </c>
      <c r="E1267" s="1" t="s">
        <v>4</v>
      </c>
      <c r="F1267">
        <v>51</v>
      </c>
      <c r="G1267" s="1" t="str">
        <f>Ocupacao_DW[[#This Row],[data]]&amp;Ocupacao_DW[[#This Row],[profissional_id]]&amp;Ocupacao_DW[[#This Row],[local_id]]</f>
        <v>44638911151</v>
      </c>
      <c r="H1267" s="1">
        <f>_xlfn.XLOOKUP(Ocupacao_DW[[#This Row],[Concat]],Vagas!$H:$H,Vagas!$D:$D,"",0)</f>
        <v>0</v>
      </c>
    </row>
    <row r="1268" spans="1:8" x14ac:dyDescent="0.25">
      <c r="A1268" s="2">
        <v>44636</v>
      </c>
      <c r="B1268" s="1" t="s">
        <v>52</v>
      </c>
      <c r="C1268">
        <v>10691</v>
      </c>
      <c r="D1268" s="1" t="s">
        <v>181</v>
      </c>
      <c r="E1268" s="1" t="s">
        <v>6</v>
      </c>
      <c r="F1268">
        <v>9</v>
      </c>
      <c r="G1268" s="1" t="str">
        <f>Ocupacao_DW[[#This Row],[data]]&amp;Ocupacao_DW[[#This Row],[profissional_id]]&amp;Ocupacao_DW[[#This Row],[local_id]]</f>
        <v>44636106919</v>
      </c>
      <c r="H1268" s="1">
        <f>_xlfn.XLOOKUP(Ocupacao_DW[[#This Row],[Concat]],Vagas!$H:$H,Vagas!$D:$D,"",0)</f>
        <v>0</v>
      </c>
    </row>
    <row r="1269" spans="1:8" x14ac:dyDescent="0.25">
      <c r="A1269" s="2">
        <v>44636</v>
      </c>
      <c r="B1269" s="1"/>
      <c r="C1269">
        <v>0</v>
      </c>
      <c r="D1269" s="1"/>
      <c r="E1269" s="1" t="s">
        <v>167</v>
      </c>
      <c r="F1269">
        <v>24</v>
      </c>
      <c r="G1269" s="1" t="str">
        <f>Ocupacao_DW[[#This Row],[data]]&amp;Ocupacao_DW[[#This Row],[profissional_id]]&amp;Ocupacao_DW[[#This Row],[local_id]]</f>
        <v>44636024</v>
      </c>
      <c r="H1269" s="1" t="str">
        <f>_xlfn.XLOOKUP(Ocupacao_DW[[#This Row],[Concat]],Vagas!$H:$H,Vagas!$D:$D,"",0)</f>
        <v/>
      </c>
    </row>
    <row r="1270" spans="1:8" x14ac:dyDescent="0.25">
      <c r="A1270" s="2">
        <v>44636</v>
      </c>
      <c r="B1270" s="1" t="s">
        <v>56</v>
      </c>
      <c r="C1270">
        <v>5927</v>
      </c>
      <c r="D1270" s="1" t="s">
        <v>226</v>
      </c>
      <c r="E1270" s="1" t="s">
        <v>5</v>
      </c>
      <c r="F1270">
        <v>17</v>
      </c>
      <c r="G1270" s="1" t="str">
        <f>Ocupacao_DW[[#This Row],[data]]&amp;Ocupacao_DW[[#This Row],[profissional_id]]&amp;Ocupacao_DW[[#This Row],[local_id]]</f>
        <v>44636592717</v>
      </c>
      <c r="H1270" s="1">
        <f>_xlfn.XLOOKUP(Ocupacao_DW[[#This Row],[Concat]],Vagas!$H:$H,Vagas!$D:$D,"",0)</f>
        <v>0</v>
      </c>
    </row>
    <row r="1271" spans="1:8" x14ac:dyDescent="0.25">
      <c r="A1271" s="2">
        <v>44641</v>
      </c>
      <c r="B1271" s="1" t="s">
        <v>72</v>
      </c>
      <c r="C1271">
        <v>13479</v>
      </c>
      <c r="D1271" s="1" t="s">
        <v>203</v>
      </c>
      <c r="E1271" s="1" t="s">
        <v>4</v>
      </c>
      <c r="F1271">
        <v>46</v>
      </c>
      <c r="G1271" s="1" t="str">
        <f>Ocupacao_DW[[#This Row],[data]]&amp;Ocupacao_DW[[#This Row],[profissional_id]]&amp;Ocupacao_DW[[#This Row],[local_id]]</f>
        <v>446411347946</v>
      </c>
      <c r="H1271" s="1">
        <f>_xlfn.XLOOKUP(Ocupacao_DW[[#This Row],[Concat]],Vagas!$H:$H,Vagas!$D:$D,"",0)</f>
        <v>0</v>
      </c>
    </row>
    <row r="1272" spans="1:8" x14ac:dyDescent="0.25">
      <c r="A1272" s="2">
        <v>44644</v>
      </c>
      <c r="B1272" s="1" t="s">
        <v>55</v>
      </c>
      <c r="C1272">
        <v>8598</v>
      </c>
      <c r="D1272" s="1" t="s">
        <v>228</v>
      </c>
      <c r="E1272" s="1" t="s">
        <v>6</v>
      </c>
      <c r="F1272">
        <v>3</v>
      </c>
      <c r="G1272" s="1" t="str">
        <f>Ocupacao_DW[[#This Row],[data]]&amp;Ocupacao_DW[[#This Row],[profissional_id]]&amp;Ocupacao_DW[[#This Row],[local_id]]</f>
        <v>4464485983</v>
      </c>
      <c r="H1272" s="1">
        <f>_xlfn.XLOOKUP(Ocupacao_DW[[#This Row],[Concat]],Vagas!$H:$H,Vagas!$D:$D,"",0)</f>
        <v>0</v>
      </c>
    </row>
    <row r="1273" spans="1:8" x14ac:dyDescent="0.25">
      <c r="A1273" s="2">
        <v>44635</v>
      </c>
      <c r="B1273" s="1" t="s">
        <v>67</v>
      </c>
      <c r="C1273">
        <v>7290</v>
      </c>
      <c r="D1273" s="1" t="s">
        <v>247</v>
      </c>
      <c r="E1273" s="1" t="s">
        <v>5</v>
      </c>
      <c r="F1273">
        <v>18</v>
      </c>
      <c r="G1273" s="1" t="str">
        <f>Ocupacao_DW[[#This Row],[data]]&amp;Ocupacao_DW[[#This Row],[profissional_id]]&amp;Ocupacao_DW[[#This Row],[local_id]]</f>
        <v>44635729018</v>
      </c>
      <c r="H1273" s="1">
        <f>_xlfn.XLOOKUP(Ocupacao_DW[[#This Row],[Concat]],Vagas!$H:$H,Vagas!$D:$D,"",0)</f>
        <v>0</v>
      </c>
    </row>
    <row r="1274" spans="1:8" x14ac:dyDescent="0.25">
      <c r="A1274" s="2">
        <v>44657</v>
      </c>
      <c r="B1274" s="1" t="s">
        <v>58</v>
      </c>
      <c r="C1274">
        <v>5767</v>
      </c>
      <c r="D1274" s="1" t="s">
        <v>239</v>
      </c>
      <c r="E1274" s="1" t="s">
        <v>4</v>
      </c>
      <c r="F1274">
        <v>44</v>
      </c>
      <c r="G1274" s="1" t="str">
        <f>Ocupacao_DW[[#This Row],[data]]&amp;Ocupacao_DW[[#This Row],[profissional_id]]&amp;Ocupacao_DW[[#This Row],[local_id]]</f>
        <v>44657576744</v>
      </c>
      <c r="H1274" s="1">
        <f>_xlfn.XLOOKUP(Ocupacao_DW[[#This Row],[Concat]],Vagas!$H:$H,Vagas!$D:$D,"",0)</f>
        <v>13</v>
      </c>
    </row>
    <row r="1275" spans="1:8" x14ac:dyDescent="0.25">
      <c r="A1275" s="2">
        <v>44643</v>
      </c>
      <c r="B1275" s="1" t="s">
        <v>52</v>
      </c>
      <c r="C1275">
        <v>60</v>
      </c>
      <c r="D1275" s="1" t="s">
        <v>217</v>
      </c>
      <c r="E1275" s="1" t="s">
        <v>6</v>
      </c>
      <c r="F1275">
        <v>8</v>
      </c>
      <c r="G1275" s="1" t="str">
        <f>Ocupacao_DW[[#This Row],[data]]&amp;Ocupacao_DW[[#This Row],[profissional_id]]&amp;Ocupacao_DW[[#This Row],[local_id]]</f>
        <v>44643608</v>
      </c>
      <c r="H1275" s="1">
        <f>_xlfn.XLOOKUP(Ocupacao_DW[[#This Row],[Concat]],Vagas!$H:$H,Vagas!$D:$D,"",0)</f>
        <v>0</v>
      </c>
    </row>
    <row r="1276" spans="1:8" x14ac:dyDescent="0.25">
      <c r="A1276" s="2">
        <v>44643</v>
      </c>
      <c r="B1276" s="1" t="s">
        <v>57</v>
      </c>
      <c r="C1276">
        <v>80</v>
      </c>
      <c r="D1276" s="1" t="s">
        <v>179</v>
      </c>
      <c r="E1276" s="1" t="s">
        <v>167</v>
      </c>
      <c r="F1276">
        <v>346</v>
      </c>
      <c r="G1276" s="1" t="str">
        <f>Ocupacao_DW[[#This Row],[data]]&amp;Ocupacao_DW[[#This Row],[profissional_id]]&amp;Ocupacao_DW[[#This Row],[local_id]]</f>
        <v>4464380346</v>
      </c>
      <c r="H1276" s="1">
        <f>_xlfn.XLOOKUP(Ocupacao_DW[[#This Row],[Concat]],Vagas!$H:$H,Vagas!$D:$D,"",0)</f>
        <v>0</v>
      </c>
    </row>
    <row r="1277" spans="1:8" x14ac:dyDescent="0.25">
      <c r="A1277" s="2">
        <v>44637</v>
      </c>
      <c r="B1277" s="1" t="s">
        <v>73</v>
      </c>
      <c r="C1277">
        <v>10691</v>
      </c>
      <c r="D1277" s="1" t="s">
        <v>181</v>
      </c>
      <c r="E1277" s="1" t="s">
        <v>167</v>
      </c>
      <c r="F1277">
        <v>348</v>
      </c>
      <c r="G1277" s="1" t="str">
        <f>Ocupacao_DW[[#This Row],[data]]&amp;Ocupacao_DW[[#This Row],[profissional_id]]&amp;Ocupacao_DW[[#This Row],[local_id]]</f>
        <v>4463710691348</v>
      </c>
      <c r="H1277" s="1">
        <f>_xlfn.XLOOKUP(Ocupacao_DW[[#This Row],[Concat]],Vagas!$H:$H,Vagas!$D:$D,"",0)</f>
        <v>0</v>
      </c>
    </row>
    <row r="1278" spans="1:8" x14ac:dyDescent="0.25">
      <c r="A1278" s="2">
        <v>44636</v>
      </c>
      <c r="B1278" s="1" t="s">
        <v>72</v>
      </c>
      <c r="C1278">
        <v>1794</v>
      </c>
      <c r="D1278" s="1" t="s">
        <v>235</v>
      </c>
      <c r="E1278" s="1" t="s">
        <v>4</v>
      </c>
      <c r="F1278">
        <v>49</v>
      </c>
      <c r="G1278" s="1" t="str">
        <f>Ocupacao_DW[[#This Row],[data]]&amp;Ocupacao_DW[[#This Row],[profissional_id]]&amp;Ocupacao_DW[[#This Row],[local_id]]</f>
        <v>44636179449</v>
      </c>
      <c r="H1278" s="1">
        <f>_xlfn.XLOOKUP(Ocupacao_DW[[#This Row],[Concat]],Vagas!$H:$H,Vagas!$D:$D,"",0)</f>
        <v>0</v>
      </c>
    </row>
    <row r="1279" spans="1:8" x14ac:dyDescent="0.25">
      <c r="A1279" s="2">
        <v>44637</v>
      </c>
      <c r="B1279" s="1" t="s">
        <v>49</v>
      </c>
      <c r="C1279">
        <v>3092</v>
      </c>
      <c r="D1279" s="1" t="s">
        <v>262</v>
      </c>
      <c r="E1279" s="1" t="s">
        <v>4</v>
      </c>
      <c r="F1279">
        <v>43</v>
      </c>
      <c r="G1279" s="1" t="str">
        <f>Ocupacao_DW[[#This Row],[data]]&amp;Ocupacao_DW[[#This Row],[profissional_id]]&amp;Ocupacao_DW[[#This Row],[local_id]]</f>
        <v>44637309243</v>
      </c>
      <c r="H1279" s="1">
        <f>_xlfn.XLOOKUP(Ocupacao_DW[[#This Row],[Concat]],Vagas!$H:$H,Vagas!$D:$D,"",0)</f>
        <v>0</v>
      </c>
    </row>
    <row r="1280" spans="1:8" x14ac:dyDescent="0.25">
      <c r="A1280" s="2">
        <v>44643</v>
      </c>
      <c r="B1280" s="1" t="s">
        <v>51</v>
      </c>
      <c r="C1280">
        <v>7551</v>
      </c>
      <c r="D1280" s="1" t="s">
        <v>246</v>
      </c>
      <c r="E1280" s="1" t="s">
        <v>5</v>
      </c>
      <c r="F1280">
        <v>15</v>
      </c>
      <c r="G1280" s="1" t="str">
        <f>Ocupacao_DW[[#This Row],[data]]&amp;Ocupacao_DW[[#This Row],[profissional_id]]&amp;Ocupacao_DW[[#This Row],[local_id]]</f>
        <v>44643755115</v>
      </c>
      <c r="H1280" s="1">
        <f>_xlfn.XLOOKUP(Ocupacao_DW[[#This Row],[Concat]],Vagas!$H:$H,Vagas!$D:$D,"",0)</f>
        <v>0</v>
      </c>
    </row>
    <row r="1281" spans="1:8" x14ac:dyDescent="0.25">
      <c r="A1281" s="2">
        <v>44635</v>
      </c>
      <c r="B1281" s="1" t="s">
        <v>54</v>
      </c>
      <c r="C1281">
        <v>12623</v>
      </c>
      <c r="D1281" s="1" t="s">
        <v>258</v>
      </c>
      <c r="E1281" s="1" t="s">
        <v>5</v>
      </c>
      <c r="F1281">
        <v>11</v>
      </c>
      <c r="G1281" s="1" t="str">
        <f>Ocupacao_DW[[#This Row],[data]]&amp;Ocupacao_DW[[#This Row],[profissional_id]]&amp;Ocupacao_DW[[#This Row],[local_id]]</f>
        <v>446351262311</v>
      </c>
      <c r="H1281" s="1">
        <f>_xlfn.XLOOKUP(Ocupacao_DW[[#This Row],[Concat]],Vagas!$H:$H,Vagas!$D:$D,"",0)</f>
        <v>0</v>
      </c>
    </row>
    <row r="1282" spans="1:8" x14ac:dyDescent="0.25">
      <c r="A1282" s="2">
        <v>44642</v>
      </c>
      <c r="B1282" s="1" t="s">
        <v>49</v>
      </c>
      <c r="C1282">
        <v>266</v>
      </c>
      <c r="D1282" s="1" t="s">
        <v>201</v>
      </c>
      <c r="E1282" s="1" t="s">
        <v>4</v>
      </c>
      <c r="F1282">
        <v>42</v>
      </c>
      <c r="G1282" s="1" t="str">
        <f>Ocupacao_DW[[#This Row],[data]]&amp;Ocupacao_DW[[#This Row],[profissional_id]]&amp;Ocupacao_DW[[#This Row],[local_id]]</f>
        <v>4464226642</v>
      </c>
      <c r="H1282" s="1">
        <f>_xlfn.XLOOKUP(Ocupacao_DW[[#This Row],[Concat]],Vagas!$H:$H,Vagas!$D:$D,"",0)</f>
        <v>0</v>
      </c>
    </row>
    <row r="1283" spans="1:8" x14ac:dyDescent="0.25">
      <c r="A1283" s="2">
        <v>44641</v>
      </c>
      <c r="B1283" s="1" t="s">
        <v>52</v>
      </c>
      <c r="C1283">
        <v>10691</v>
      </c>
      <c r="D1283" s="1" t="s">
        <v>181</v>
      </c>
      <c r="E1283" s="1" t="s">
        <v>6</v>
      </c>
      <c r="F1283">
        <v>9</v>
      </c>
      <c r="G1283" s="1" t="str">
        <f>Ocupacao_DW[[#This Row],[data]]&amp;Ocupacao_DW[[#This Row],[profissional_id]]&amp;Ocupacao_DW[[#This Row],[local_id]]</f>
        <v>44641106919</v>
      </c>
      <c r="H1283" s="1">
        <f>_xlfn.XLOOKUP(Ocupacao_DW[[#This Row],[Concat]],Vagas!$H:$H,Vagas!$D:$D,"",0)</f>
        <v>0</v>
      </c>
    </row>
    <row r="1284" spans="1:8" x14ac:dyDescent="0.25">
      <c r="A1284" s="2">
        <v>44638</v>
      </c>
      <c r="B1284" s="1" t="s">
        <v>24</v>
      </c>
      <c r="C1284">
        <v>60</v>
      </c>
      <c r="D1284" s="1" t="s">
        <v>217</v>
      </c>
      <c r="E1284" s="1" t="s">
        <v>6</v>
      </c>
      <c r="F1284">
        <v>1</v>
      </c>
      <c r="G1284" s="1" t="str">
        <f>Ocupacao_DW[[#This Row],[data]]&amp;Ocupacao_DW[[#This Row],[profissional_id]]&amp;Ocupacao_DW[[#This Row],[local_id]]</f>
        <v>44638601</v>
      </c>
      <c r="H1284" s="1">
        <f>_xlfn.XLOOKUP(Ocupacao_DW[[#This Row],[Concat]],Vagas!$H:$H,Vagas!$D:$D,"",0)</f>
        <v>0</v>
      </c>
    </row>
    <row r="1285" spans="1:8" x14ac:dyDescent="0.25">
      <c r="A1285" s="2">
        <v>44657</v>
      </c>
      <c r="B1285" s="1" t="s">
        <v>70</v>
      </c>
      <c r="C1285">
        <v>12825</v>
      </c>
      <c r="D1285" s="1" t="s">
        <v>177</v>
      </c>
      <c r="E1285" s="1" t="s">
        <v>4</v>
      </c>
      <c r="F1285">
        <v>45</v>
      </c>
      <c r="G1285" s="1" t="str">
        <f>Ocupacao_DW[[#This Row],[data]]&amp;Ocupacao_DW[[#This Row],[profissional_id]]&amp;Ocupacao_DW[[#This Row],[local_id]]</f>
        <v>446571282545</v>
      </c>
      <c r="H1285" s="1">
        <f>_xlfn.XLOOKUP(Ocupacao_DW[[#This Row],[Concat]],Vagas!$H:$H,Vagas!$D:$D,"",0)</f>
        <v>0</v>
      </c>
    </row>
    <row r="1286" spans="1:8" x14ac:dyDescent="0.25">
      <c r="A1286" s="2">
        <v>44648</v>
      </c>
      <c r="B1286" s="1" t="s">
        <v>52</v>
      </c>
      <c r="C1286">
        <v>10691</v>
      </c>
      <c r="D1286" s="1" t="s">
        <v>181</v>
      </c>
      <c r="E1286" s="1" t="s">
        <v>6</v>
      </c>
      <c r="F1286">
        <v>9</v>
      </c>
      <c r="G1286" s="1" t="str">
        <f>Ocupacao_DW[[#This Row],[data]]&amp;Ocupacao_DW[[#This Row],[profissional_id]]&amp;Ocupacao_DW[[#This Row],[local_id]]</f>
        <v>44648106919</v>
      </c>
      <c r="H1286" s="1">
        <f>_xlfn.XLOOKUP(Ocupacao_DW[[#This Row],[Concat]],Vagas!$H:$H,Vagas!$D:$D,"",0)</f>
        <v>0</v>
      </c>
    </row>
    <row r="1287" spans="1:8" x14ac:dyDescent="0.25">
      <c r="A1287" s="2">
        <v>44641</v>
      </c>
      <c r="B1287" s="1" t="s">
        <v>54</v>
      </c>
      <c r="C1287">
        <v>10941</v>
      </c>
      <c r="D1287" s="1" t="s">
        <v>224</v>
      </c>
      <c r="E1287" s="1" t="s">
        <v>5</v>
      </c>
      <c r="F1287">
        <v>11</v>
      </c>
      <c r="G1287" s="1" t="str">
        <f>Ocupacao_DW[[#This Row],[data]]&amp;Ocupacao_DW[[#This Row],[profissional_id]]&amp;Ocupacao_DW[[#This Row],[local_id]]</f>
        <v>446411094111</v>
      </c>
      <c r="H1287" s="1">
        <f>_xlfn.XLOOKUP(Ocupacao_DW[[#This Row],[Concat]],Vagas!$H:$H,Vagas!$D:$D,"",0)</f>
        <v>0</v>
      </c>
    </row>
    <row r="1288" spans="1:8" x14ac:dyDescent="0.25">
      <c r="A1288" s="2">
        <v>44642</v>
      </c>
      <c r="B1288" s="1" t="s">
        <v>68</v>
      </c>
      <c r="C1288">
        <v>8239</v>
      </c>
      <c r="D1288" s="1" t="s">
        <v>257</v>
      </c>
      <c r="E1288" s="1" t="s">
        <v>5</v>
      </c>
      <c r="F1288">
        <v>14</v>
      </c>
      <c r="G1288" s="1" t="str">
        <f>Ocupacao_DW[[#This Row],[data]]&amp;Ocupacao_DW[[#This Row],[profissional_id]]&amp;Ocupacao_DW[[#This Row],[local_id]]</f>
        <v>44642823914</v>
      </c>
      <c r="H1288" s="1">
        <f>_xlfn.XLOOKUP(Ocupacao_DW[[#This Row],[Concat]],Vagas!$H:$H,Vagas!$D:$D,"",0)</f>
        <v>0</v>
      </c>
    </row>
    <row r="1289" spans="1:8" x14ac:dyDescent="0.25">
      <c r="A1289" s="2">
        <v>44636</v>
      </c>
      <c r="B1289" s="1" t="s">
        <v>47</v>
      </c>
      <c r="C1289">
        <v>110</v>
      </c>
      <c r="D1289" s="1" t="s">
        <v>193</v>
      </c>
      <c r="E1289" s="1" t="s">
        <v>4</v>
      </c>
      <c r="F1289">
        <v>334</v>
      </c>
      <c r="G1289" s="1" t="str">
        <f>Ocupacao_DW[[#This Row],[data]]&amp;Ocupacao_DW[[#This Row],[profissional_id]]&amp;Ocupacao_DW[[#This Row],[local_id]]</f>
        <v>44636110334</v>
      </c>
      <c r="H1289" s="1">
        <f>_xlfn.XLOOKUP(Ocupacao_DW[[#This Row],[Concat]],Vagas!$H:$H,Vagas!$D:$D,"",0)</f>
        <v>0</v>
      </c>
    </row>
    <row r="1290" spans="1:8" x14ac:dyDescent="0.25">
      <c r="A1290" s="2">
        <v>44635</v>
      </c>
      <c r="B1290" s="1" t="s">
        <v>55</v>
      </c>
      <c r="C1290">
        <v>14452</v>
      </c>
      <c r="D1290" s="1" t="s">
        <v>266</v>
      </c>
      <c r="E1290" s="1" t="s">
        <v>200</v>
      </c>
      <c r="F1290">
        <v>78</v>
      </c>
      <c r="G1290" s="1" t="str">
        <f>Ocupacao_DW[[#This Row],[data]]&amp;Ocupacao_DW[[#This Row],[profissional_id]]&amp;Ocupacao_DW[[#This Row],[local_id]]</f>
        <v>446351445278</v>
      </c>
      <c r="H1290" s="1">
        <f>_xlfn.XLOOKUP(Ocupacao_DW[[#This Row],[Concat]],Vagas!$H:$H,Vagas!$D:$D,"",0)</f>
        <v>0</v>
      </c>
    </row>
    <row r="1291" spans="1:8" x14ac:dyDescent="0.25">
      <c r="A1291" s="2">
        <v>44656</v>
      </c>
      <c r="B1291" s="1" t="s">
        <v>54</v>
      </c>
      <c r="C1291">
        <v>10941</v>
      </c>
      <c r="D1291" s="1" t="s">
        <v>224</v>
      </c>
      <c r="E1291" s="1" t="s">
        <v>5</v>
      </c>
      <c r="F1291">
        <v>13</v>
      </c>
      <c r="G1291" s="1" t="str">
        <f>Ocupacao_DW[[#This Row],[data]]&amp;Ocupacao_DW[[#This Row],[profissional_id]]&amp;Ocupacao_DW[[#This Row],[local_id]]</f>
        <v>446561094113</v>
      </c>
      <c r="H1291" s="1">
        <f>_xlfn.XLOOKUP(Ocupacao_DW[[#This Row],[Concat]],Vagas!$H:$H,Vagas!$D:$D,"",0)</f>
        <v>0</v>
      </c>
    </row>
    <row r="1292" spans="1:8" x14ac:dyDescent="0.25">
      <c r="A1292" s="2">
        <v>44635</v>
      </c>
      <c r="B1292" s="1" t="s">
        <v>49</v>
      </c>
      <c r="C1292">
        <v>266</v>
      </c>
      <c r="D1292" s="1" t="s">
        <v>201</v>
      </c>
      <c r="E1292" s="1" t="s">
        <v>4</v>
      </c>
      <c r="F1292">
        <v>42</v>
      </c>
      <c r="G1292" s="1" t="str">
        <f>Ocupacao_DW[[#This Row],[data]]&amp;Ocupacao_DW[[#This Row],[profissional_id]]&amp;Ocupacao_DW[[#This Row],[local_id]]</f>
        <v>4463526642</v>
      </c>
      <c r="H1292" s="1">
        <f>_xlfn.XLOOKUP(Ocupacao_DW[[#This Row],[Concat]],Vagas!$H:$H,Vagas!$D:$D,"",0)</f>
        <v>0</v>
      </c>
    </row>
    <row r="1293" spans="1:8" x14ac:dyDescent="0.25">
      <c r="A1293" s="2">
        <v>44650</v>
      </c>
      <c r="B1293" s="1" t="s">
        <v>57</v>
      </c>
      <c r="C1293">
        <v>80</v>
      </c>
      <c r="D1293" s="1" t="s">
        <v>179</v>
      </c>
      <c r="E1293" s="1" t="s">
        <v>167</v>
      </c>
      <c r="F1293">
        <v>346</v>
      </c>
      <c r="G1293" s="1" t="str">
        <f>Ocupacao_DW[[#This Row],[data]]&amp;Ocupacao_DW[[#This Row],[profissional_id]]&amp;Ocupacao_DW[[#This Row],[local_id]]</f>
        <v>4465080346</v>
      </c>
      <c r="H1293" s="1">
        <f>_xlfn.XLOOKUP(Ocupacao_DW[[#This Row],[Concat]],Vagas!$H:$H,Vagas!$D:$D,"",0)</f>
        <v>0</v>
      </c>
    </row>
    <row r="1294" spans="1:8" x14ac:dyDescent="0.25">
      <c r="A1294" s="2">
        <v>44636</v>
      </c>
      <c r="B1294" s="1" t="s">
        <v>69</v>
      </c>
      <c r="C1294">
        <v>17878</v>
      </c>
      <c r="D1294" s="1" t="s">
        <v>183</v>
      </c>
      <c r="E1294" s="1" t="s">
        <v>7</v>
      </c>
      <c r="F1294">
        <v>63</v>
      </c>
      <c r="G1294" s="1" t="str">
        <f>Ocupacao_DW[[#This Row],[data]]&amp;Ocupacao_DW[[#This Row],[profissional_id]]&amp;Ocupacao_DW[[#This Row],[local_id]]</f>
        <v>446361787863</v>
      </c>
      <c r="H1294" s="1">
        <f>_xlfn.XLOOKUP(Ocupacao_DW[[#This Row],[Concat]],Vagas!$H:$H,Vagas!$D:$D,"",0)</f>
        <v>0</v>
      </c>
    </row>
    <row r="1295" spans="1:8" x14ac:dyDescent="0.25">
      <c r="A1295" s="2">
        <v>44637</v>
      </c>
      <c r="B1295" s="1" t="s">
        <v>52</v>
      </c>
      <c r="C1295">
        <v>9217</v>
      </c>
      <c r="D1295" s="1" t="s">
        <v>191</v>
      </c>
      <c r="E1295" s="1" t="s">
        <v>6</v>
      </c>
      <c r="F1295">
        <v>7</v>
      </c>
      <c r="G1295" s="1" t="str">
        <f>Ocupacao_DW[[#This Row],[data]]&amp;Ocupacao_DW[[#This Row],[profissional_id]]&amp;Ocupacao_DW[[#This Row],[local_id]]</f>
        <v>4463792177</v>
      </c>
      <c r="H1295" s="1">
        <f>_xlfn.XLOOKUP(Ocupacao_DW[[#This Row],[Concat]],Vagas!$H:$H,Vagas!$D:$D,"",0)</f>
        <v>0</v>
      </c>
    </row>
    <row r="1296" spans="1:8" x14ac:dyDescent="0.25">
      <c r="A1296" s="2">
        <v>44635</v>
      </c>
      <c r="B1296" s="1" t="s">
        <v>50</v>
      </c>
      <c r="C1296">
        <v>4814</v>
      </c>
      <c r="D1296" s="1" t="s">
        <v>189</v>
      </c>
      <c r="E1296" s="1" t="s">
        <v>5</v>
      </c>
      <c r="F1296">
        <v>17</v>
      </c>
      <c r="G1296" s="1" t="str">
        <f>Ocupacao_DW[[#This Row],[data]]&amp;Ocupacao_DW[[#This Row],[profissional_id]]&amp;Ocupacao_DW[[#This Row],[local_id]]</f>
        <v>44635481417</v>
      </c>
      <c r="H1296" s="1">
        <f>_xlfn.XLOOKUP(Ocupacao_DW[[#This Row],[Concat]],Vagas!$H:$H,Vagas!$D:$D,"",0)</f>
        <v>0</v>
      </c>
    </row>
    <row r="1297" spans="1:8" x14ac:dyDescent="0.25">
      <c r="A1297" s="2">
        <v>44644</v>
      </c>
      <c r="B1297" s="1" t="s">
        <v>55</v>
      </c>
      <c r="C1297">
        <v>12426</v>
      </c>
      <c r="D1297" s="1" t="s">
        <v>215</v>
      </c>
      <c r="E1297" s="1" t="s">
        <v>6</v>
      </c>
      <c r="F1297">
        <v>5</v>
      </c>
      <c r="G1297" s="1" t="str">
        <f>Ocupacao_DW[[#This Row],[data]]&amp;Ocupacao_DW[[#This Row],[profissional_id]]&amp;Ocupacao_DW[[#This Row],[local_id]]</f>
        <v>44644124265</v>
      </c>
      <c r="H1297" s="1">
        <f>_xlfn.XLOOKUP(Ocupacao_DW[[#This Row],[Concat]],Vagas!$H:$H,Vagas!$D:$D,"",0)</f>
        <v>0</v>
      </c>
    </row>
    <row r="1298" spans="1:8" x14ac:dyDescent="0.25">
      <c r="A1298" s="2">
        <v>44636</v>
      </c>
      <c r="B1298" s="1" t="s">
        <v>49</v>
      </c>
      <c r="C1298">
        <v>81</v>
      </c>
      <c r="D1298" s="1" t="s">
        <v>170</v>
      </c>
      <c r="E1298" s="1" t="s">
        <v>4</v>
      </c>
      <c r="F1298">
        <v>41</v>
      </c>
      <c r="G1298" s="1" t="str">
        <f>Ocupacao_DW[[#This Row],[data]]&amp;Ocupacao_DW[[#This Row],[profissional_id]]&amp;Ocupacao_DW[[#This Row],[local_id]]</f>
        <v>446368141</v>
      </c>
      <c r="H1298" s="1">
        <f>_xlfn.XLOOKUP(Ocupacao_DW[[#This Row],[Concat]],Vagas!$H:$H,Vagas!$D:$D,"",0)</f>
        <v>0</v>
      </c>
    </row>
    <row r="1299" spans="1:8" x14ac:dyDescent="0.25">
      <c r="A1299" s="2">
        <v>44635</v>
      </c>
      <c r="B1299" s="1" t="s">
        <v>47</v>
      </c>
      <c r="C1299">
        <v>111</v>
      </c>
      <c r="D1299" s="1" t="s">
        <v>199</v>
      </c>
      <c r="E1299" s="1" t="s">
        <v>4</v>
      </c>
      <c r="F1299">
        <v>51</v>
      </c>
      <c r="G1299" s="1" t="str">
        <f>Ocupacao_DW[[#This Row],[data]]&amp;Ocupacao_DW[[#This Row],[profissional_id]]&amp;Ocupacao_DW[[#This Row],[local_id]]</f>
        <v>4463511151</v>
      </c>
      <c r="H1299" s="1">
        <f>_xlfn.XLOOKUP(Ocupacao_DW[[#This Row],[Concat]],Vagas!$H:$H,Vagas!$D:$D,"",0)</f>
        <v>0</v>
      </c>
    </row>
    <row r="1300" spans="1:8" x14ac:dyDescent="0.25">
      <c r="A1300" s="2">
        <v>44651</v>
      </c>
      <c r="B1300" s="1" t="s">
        <v>55</v>
      </c>
      <c r="C1300">
        <v>74</v>
      </c>
      <c r="D1300" s="1" t="s">
        <v>182</v>
      </c>
      <c r="E1300" s="1" t="s">
        <v>6</v>
      </c>
      <c r="F1300">
        <v>7</v>
      </c>
      <c r="G1300" s="1" t="str">
        <f>Ocupacao_DW[[#This Row],[data]]&amp;Ocupacao_DW[[#This Row],[profissional_id]]&amp;Ocupacao_DW[[#This Row],[local_id]]</f>
        <v>44651747</v>
      </c>
      <c r="H1300" s="1">
        <f>_xlfn.XLOOKUP(Ocupacao_DW[[#This Row],[Concat]],Vagas!$H:$H,Vagas!$D:$D,"",0)</f>
        <v>0</v>
      </c>
    </row>
    <row r="1301" spans="1:8" x14ac:dyDescent="0.25">
      <c r="A1301" s="2">
        <v>44636</v>
      </c>
      <c r="B1301" s="1" t="s">
        <v>62</v>
      </c>
      <c r="C1301">
        <v>2567</v>
      </c>
      <c r="D1301" s="1" t="s">
        <v>198</v>
      </c>
      <c r="E1301" s="1" t="s">
        <v>5</v>
      </c>
      <c r="F1301">
        <v>349</v>
      </c>
      <c r="G1301" s="1" t="str">
        <f>Ocupacao_DW[[#This Row],[data]]&amp;Ocupacao_DW[[#This Row],[profissional_id]]&amp;Ocupacao_DW[[#This Row],[local_id]]</f>
        <v>446362567349</v>
      </c>
      <c r="H1301" s="1">
        <f>_xlfn.XLOOKUP(Ocupacao_DW[[#This Row],[Concat]],Vagas!$H:$H,Vagas!$D:$D,"",0)</f>
        <v>0</v>
      </c>
    </row>
    <row r="1302" spans="1:8" x14ac:dyDescent="0.25">
      <c r="A1302" s="2">
        <v>44651</v>
      </c>
      <c r="B1302" s="1" t="s">
        <v>55</v>
      </c>
      <c r="C1302">
        <v>74</v>
      </c>
      <c r="D1302" s="1" t="s">
        <v>182</v>
      </c>
      <c r="E1302" s="1" t="s">
        <v>6</v>
      </c>
      <c r="F1302">
        <v>7</v>
      </c>
      <c r="G1302" s="1" t="str">
        <f>Ocupacao_DW[[#This Row],[data]]&amp;Ocupacao_DW[[#This Row],[profissional_id]]&amp;Ocupacao_DW[[#This Row],[local_id]]</f>
        <v>44651747</v>
      </c>
      <c r="H1302" s="1">
        <f>_xlfn.XLOOKUP(Ocupacao_DW[[#This Row],[Concat]],Vagas!$H:$H,Vagas!$D:$D,"",0)</f>
        <v>0</v>
      </c>
    </row>
    <row r="1303" spans="1:8" x14ac:dyDescent="0.25">
      <c r="A1303" s="2">
        <v>44639</v>
      </c>
      <c r="B1303" s="1" t="s">
        <v>59</v>
      </c>
      <c r="C1303">
        <v>10249</v>
      </c>
      <c r="D1303" s="1" t="s">
        <v>231</v>
      </c>
      <c r="E1303" s="1" t="s">
        <v>4</v>
      </c>
      <c r="F1303">
        <v>44</v>
      </c>
      <c r="G1303" s="1" t="str">
        <f>Ocupacao_DW[[#This Row],[data]]&amp;Ocupacao_DW[[#This Row],[profissional_id]]&amp;Ocupacao_DW[[#This Row],[local_id]]</f>
        <v>446391024944</v>
      </c>
      <c r="H1303" s="1">
        <f>_xlfn.XLOOKUP(Ocupacao_DW[[#This Row],[Concat]],Vagas!$H:$H,Vagas!$D:$D,"",0)</f>
        <v>0</v>
      </c>
    </row>
    <row r="1304" spans="1:8" x14ac:dyDescent="0.25">
      <c r="A1304" s="2">
        <v>44648</v>
      </c>
      <c r="B1304" s="1" t="s">
        <v>55</v>
      </c>
      <c r="C1304">
        <v>2984</v>
      </c>
      <c r="D1304" s="1" t="s">
        <v>185</v>
      </c>
      <c r="E1304" s="1" t="s">
        <v>6</v>
      </c>
      <c r="F1304">
        <v>7</v>
      </c>
      <c r="G1304" s="1" t="str">
        <f>Ocupacao_DW[[#This Row],[data]]&amp;Ocupacao_DW[[#This Row],[profissional_id]]&amp;Ocupacao_DW[[#This Row],[local_id]]</f>
        <v>4464829847</v>
      </c>
      <c r="H1304" s="1">
        <f>_xlfn.XLOOKUP(Ocupacao_DW[[#This Row],[Concat]],Vagas!$H:$H,Vagas!$D:$D,"",0)</f>
        <v>0</v>
      </c>
    </row>
    <row r="1305" spans="1:8" x14ac:dyDescent="0.25">
      <c r="A1305" s="2">
        <v>44639</v>
      </c>
      <c r="B1305" s="1" t="s">
        <v>52</v>
      </c>
      <c r="C1305">
        <v>60</v>
      </c>
      <c r="D1305" s="1" t="s">
        <v>217</v>
      </c>
      <c r="E1305" s="1" t="s">
        <v>6</v>
      </c>
      <c r="F1305">
        <v>8</v>
      </c>
      <c r="G1305" s="1" t="str">
        <f>Ocupacao_DW[[#This Row],[data]]&amp;Ocupacao_DW[[#This Row],[profissional_id]]&amp;Ocupacao_DW[[#This Row],[local_id]]</f>
        <v>44639608</v>
      </c>
      <c r="H1305" s="1">
        <f>_xlfn.XLOOKUP(Ocupacao_DW[[#This Row],[Concat]],Vagas!$H:$H,Vagas!$D:$D,"",0)</f>
        <v>0</v>
      </c>
    </row>
    <row r="1306" spans="1:8" x14ac:dyDescent="0.25">
      <c r="A1306" s="2">
        <v>44642</v>
      </c>
      <c r="B1306" s="1" t="s">
        <v>49</v>
      </c>
      <c r="C1306">
        <v>266</v>
      </c>
      <c r="D1306" s="1" t="s">
        <v>201</v>
      </c>
      <c r="E1306" s="1" t="s">
        <v>4</v>
      </c>
      <c r="F1306">
        <v>42</v>
      </c>
      <c r="G1306" s="1" t="str">
        <f>Ocupacao_DW[[#This Row],[data]]&amp;Ocupacao_DW[[#This Row],[profissional_id]]&amp;Ocupacao_DW[[#This Row],[local_id]]</f>
        <v>4464226642</v>
      </c>
      <c r="H1306" s="1">
        <f>_xlfn.XLOOKUP(Ocupacao_DW[[#This Row],[Concat]],Vagas!$H:$H,Vagas!$D:$D,"",0)</f>
        <v>0</v>
      </c>
    </row>
    <row r="1307" spans="1:8" x14ac:dyDescent="0.25">
      <c r="A1307" s="2">
        <v>44635</v>
      </c>
      <c r="B1307" s="1" t="s">
        <v>50</v>
      </c>
      <c r="C1307">
        <v>4814</v>
      </c>
      <c r="D1307" s="1" t="s">
        <v>189</v>
      </c>
      <c r="E1307" s="1" t="s">
        <v>5</v>
      </c>
      <c r="F1307">
        <v>17</v>
      </c>
      <c r="G1307" s="1" t="str">
        <f>Ocupacao_DW[[#This Row],[data]]&amp;Ocupacao_DW[[#This Row],[profissional_id]]&amp;Ocupacao_DW[[#This Row],[local_id]]</f>
        <v>44635481417</v>
      </c>
      <c r="H1307" s="1">
        <f>_xlfn.XLOOKUP(Ocupacao_DW[[#This Row],[Concat]],Vagas!$H:$H,Vagas!$D:$D,"",0)</f>
        <v>0</v>
      </c>
    </row>
    <row r="1308" spans="1:8" x14ac:dyDescent="0.25">
      <c r="A1308" s="2">
        <v>44637</v>
      </c>
      <c r="B1308" s="1" t="s">
        <v>49</v>
      </c>
      <c r="C1308">
        <v>266</v>
      </c>
      <c r="D1308" s="1" t="s">
        <v>201</v>
      </c>
      <c r="E1308" s="1" t="s">
        <v>4</v>
      </c>
      <c r="F1308">
        <v>42</v>
      </c>
      <c r="G1308" s="1" t="str">
        <f>Ocupacao_DW[[#This Row],[data]]&amp;Ocupacao_DW[[#This Row],[profissional_id]]&amp;Ocupacao_DW[[#This Row],[local_id]]</f>
        <v>4463726642</v>
      </c>
      <c r="H1308" s="1">
        <f>_xlfn.XLOOKUP(Ocupacao_DW[[#This Row],[Concat]],Vagas!$H:$H,Vagas!$D:$D,"",0)</f>
        <v>0</v>
      </c>
    </row>
    <row r="1309" spans="1:8" x14ac:dyDescent="0.25">
      <c r="A1309" s="2">
        <v>44636</v>
      </c>
      <c r="B1309" s="1" t="s">
        <v>47</v>
      </c>
      <c r="C1309">
        <v>111</v>
      </c>
      <c r="D1309" s="1" t="s">
        <v>199</v>
      </c>
      <c r="E1309" s="1" t="s">
        <v>4</v>
      </c>
      <c r="F1309">
        <v>51</v>
      </c>
      <c r="G1309" s="1" t="str">
        <f>Ocupacao_DW[[#This Row],[data]]&amp;Ocupacao_DW[[#This Row],[profissional_id]]&amp;Ocupacao_DW[[#This Row],[local_id]]</f>
        <v>4463611151</v>
      </c>
      <c r="H1309" s="1">
        <f>_xlfn.XLOOKUP(Ocupacao_DW[[#This Row],[Concat]],Vagas!$H:$H,Vagas!$D:$D,"",0)</f>
        <v>1</v>
      </c>
    </row>
    <row r="1310" spans="1:8" x14ac:dyDescent="0.25">
      <c r="A1310" s="2">
        <v>44641</v>
      </c>
      <c r="B1310" s="1" t="s">
        <v>49</v>
      </c>
      <c r="C1310">
        <v>3092</v>
      </c>
      <c r="D1310" s="1" t="s">
        <v>262</v>
      </c>
      <c r="E1310" s="1" t="s">
        <v>4</v>
      </c>
      <c r="F1310">
        <v>44</v>
      </c>
      <c r="G1310" s="1" t="str">
        <f>Ocupacao_DW[[#This Row],[data]]&amp;Ocupacao_DW[[#This Row],[profissional_id]]&amp;Ocupacao_DW[[#This Row],[local_id]]</f>
        <v>44641309244</v>
      </c>
      <c r="H1310" s="1">
        <f>_xlfn.XLOOKUP(Ocupacao_DW[[#This Row],[Concat]],Vagas!$H:$H,Vagas!$D:$D,"",0)</f>
        <v>0</v>
      </c>
    </row>
    <row r="1311" spans="1:8" x14ac:dyDescent="0.25">
      <c r="A1311" s="2">
        <v>44653</v>
      </c>
      <c r="B1311" s="1" t="s">
        <v>62</v>
      </c>
      <c r="C1311">
        <v>4887</v>
      </c>
      <c r="D1311" s="1" t="s">
        <v>168</v>
      </c>
      <c r="E1311" s="1" t="s">
        <v>5</v>
      </c>
      <c r="F1311">
        <v>18</v>
      </c>
      <c r="G1311" s="1" t="str">
        <f>Ocupacao_DW[[#This Row],[data]]&amp;Ocupacao_DW[[#This Row],[profissional_id]]&amp;Ocupacao_DW[[#This Row],[local_id]]</f>
        <v>44653488718</v>
      </c>
      <c r="H1311" s="1">
        <f>_xlfn.XLOOKUP(Ocupacao_DW[[#This Row],[Concat]],Vagas!$H:$H,Vagas!$D:$D,"",0)</f>
        <v>0</v>
      </c>
    </row>
    <row r="1312" spans="1:8" x14ac:dyDescent="0.25">
      <c r="A1312" s="2">
        <v>44638</v>
      </c>
      <c r="B1312" s="1" t="s">
        <v>56</v>
      </c>
      <c r="C1312">
        <v>5927</v>
      </c>
      <c r="D1312" s="1" t="s">
        <v>226</v>
      </c>
      <c r="E1312" s="1" t="s">
        <v>5</v>
      </c>
      <c r="F1312">
        <v>17</v>
      </c>
      <c r="G1312" s="1" t="str">
        <f>Ocupacao_DW[[#This Row],[data]]&amp;Ocupacao_DW[[#This Row],[profissional_id]]&amp;Ocupacao_DW[[#This Row],[local_id]]</f>
        <v>44638592717</v>
      </c>
      <c r="H1312" s="1">
        <f>_xlfn.XLOOKUP(Ocupacao_DW[[#This Row],[Concat]],Vagas!$H:$H,Vagas!$D:$D,"",0)</f>
        <v>0</v>
      </c>
    </row>
    <row r="1313" spans="1:8" x14ac:dyDescent="0.25">
      <c r="A1313" s="2">
        <v>44636</v>
      </c>
      <c r="B1313" s="1" t="s">
        <v>72</v>
      </c>
      <c r="C1313">
        <v>1794</v>
      </c>
      <c r="D1313" s="1" t="s">
        <v>235</v>
      </c>
      <c r="E1313" s="1" t="s">
        <v>4</v>
      </c>
      <c r="F1313">
        <v>49</v>
      </c>
      <c r="G1313" s="1" t="str">
        <f>Ocupacao_DW[[#This Row],[data]]&amp;Ocupacao_DW[[#This Row],[profissional_id]]&amp;Ocupacao_DW[[#This Row],[local_id]]</f>
        <v>44636179449</v>
      </c>
      <c r="H1313" s="1">
        <f>_xlfn.XLOOKUP(Ocupacao_DW[[#This Row],[Concat]],Vagas!$H:$H,Vagas!$D:$D,"",0)</f>
        <v>0</v>
      </c>
    </row>
    <row r="1314" spans="1:8" x14ac:dyDescent="0.25">
      <c r="A1314" s="2">
        <v>44644</v>
      </c>
      <c r="B1314" s="1" t="s">
        <v>57</v>
      </c>
      <c r="C1314">
        <v>80</v>
      </c>
      <c r="D1314" s="1" t="s">
        <v>179</v>
      </c>
      <c r="E1314" s="1" t="s">
        <v>167</v>
      </c>
      <c r="F1314">
        <v>348</v>
      </c>
      <c r="G1314" s="1" t="str">
        <f>Ocupacao_DW[[#This Row],[data]]&amp;Ocupacao_DW[[#This Row],[profissional_id]]&amp;Ocupacao_DW[[#This Row],[local_id]]</f>
        <v>4464480348</v>
      </c>
      <c r="H1314" s="1">
        <f>_xlfn.XLOOKUP(Ocupacao_DW[[#This Row],[Concat]],Vagas!$H:$H,Vagas!$D:$D,"",0)</f>
        <v>0</v>
      </c>
    </row>
    <row r="1315" spans="1:8" x14ac:dyDescent="0.25">
      <c r="A1315" s="2">
        <v>44636</v>
      </c>
      <c r="B1315" s="1" t="s">
        <v>52</v>
      </c>
      <c r="C1315">
        <v>60</v>
      </c>
      <c r="D1315" s="1" t="s">
        <v>217</v>
      </c>
      <c r="E1315" s="1" t="s">
        <v>167</v>
      </c>
      <c r="F1315">
        <v>346</v>
      </c>
      <c r="G1315" s="1" t="str">
        <f>Ocupacao_DW[[#This Row],[data]]&amp;Ocupacao_DW[[#This Row],[profissional_id]]&amp;Ocupacao_DW[[#This Row],[local_id]]</f>
        <v>4463660346</v>
      </c>
      <c r="H1315" s="1">
        <f>_xlfn.XLOOKUP(Ocupacao_DW[[#This Row],[Concat]],Vagas!$H:$H,Vagas!$D:$D,"",0)</f>
        <v>0</v>
      </c>
    </row>
    <row r="1316" spans="1:8" x14ac:dyDescent="0.25">
      <c r="A1316" s="2">
        <v>44635</v>
      </c>
      <c r="B1316" s="1" t="s">
        <v>47</v>
      </c>
      <c r="C1316">
        <v>9111</v>
      </c>
      <c r="D1316" s="1" t="s">
        <v>206</v>
      </c>
      <c r="E1316" s="1" t="s">
        <v>4</v>
      </c>
      <c r="F1316">
        <v>335</v>
      </c>
      <c r="G1316" s="1" t="str">
        <f>Ocupacao_DW[[#This Row],[data]]&amp;Ocupacao_DW[[#This Row],[profissional_id]]&amp;Ocupacao_DW[[#This Row],[local_id]]</f>
        <v>446359111335</v>
      </c>
      <c r="H1316" s="1">
        <f>_xlfn.XLOOKUP(Ocupacao_DW[[#This Row],[Concat]],Vagas!$H:$H,Vagas!$D:$D,"",0)</f>
        <v>0</v>
      </c>
    </row>
    <row r="1317" spans="1:8" x14ac:dyDescent="0.25">
      <c r="A1317" s="2">
        <v>44635</v>
      </c>
      <c r="B1317" s="1"/>
      <c r="C1317">
        <v>17888</v>
      </c>
      <c r="D1317" s="1" t="s">
        <v>255</v>
      </c>
      <c r="E1317" s="1" t="s">
        <v>4</v>
      </c>
      <c r="F1317">
        <v>40</v>
      </c>
      <c r="G1317" s="1" t="str">
        <f>Ocupacao_DW[[#This Row],[data]]&amp;Ocupacao_DW[[#This Row],[profissional_id]]&amp;Ocupacao_DW[[#This Row],[local_id]]</f>
        <v>446351788840</v>
      </c>
      <c r="H1317" s="1">
        <f>_xlfn.XLOOKUP(Ocupacao_DW[[#This Row],[Concat]],Vagas!$H:$H,Vagas!$D:$D,"",0)</f>
        <v>11</v>
      </c>
    </row>
    <row r="1318" spans="1:8" x14ac:dyDescent="0.25">
      <c r="A1318" s="2">
        <v>44644</v>
      </c>
      <c r="B1318" s="1" t="s">
        <v>51</v>
      </c>
      <c r="C1318">
        <v>12582</v>
      </c>
      <c r="D1318" s="1" t="s">
        <v>190</v>
      </c>
      <c r="E1318" s="1" t="s">
        <v>5</v>
      </c>
      <c r="F1318">
        <v>15</v>
      </c>
      <c r="G1318" s="1" t="str">
        <f>Ocupacao_DW[[#This Row],[data]]&amp;Ocupacao_DW[[#This Row],[profissional_id]]&amp;Ocupacao_DW[[#This Row],[local_id]]</f>
        <v>446441258215</v>
      </c>
      <c r="H1318" s="1">
        <f>_xlfn.XLOOKUP(Ocupacao_DW[[#This Row],[Concat]],Vagas!$H:$H,Vagas!$D:$D,"",0)</f>
        <v>0</v>
      </c>
    </row>
    <row r="1319" spans="1:8" x14ac:dyDescent="0.25">
      <c r="A1319" s="2">
        <v>44635</v>
      </c>
      <c r="B1319" s="1" t="s">
        <v>55</v>
      </c>
      <c r="C1319">
        <v>60</v>
      </c>
      <c r="D1319" s="1" t="s">
        <v>217</v>
      </c>
      <c r="E1319" s="1" t="s">
        <v>167</v>
      </c>
      <c r="F1319">
        <v>345</v>
      </c>
      <c r="G1319" s="1" t="str">
        <f>Ocupacao_DW[[#This Row],[data]]&amp;Ocupacao_DW[[#This Row],[profissional_id]]&amp;Ocupacao_DW[[#This Row],[local_id]]</f>
        <v>4463560345</v>
      </c>
      <c r="H1319" s="1">
        <f>_xlfn.XLOOKUP(Ocupacao_DW[[#This Row],[Concat]],Vagas!$H:$H,Vagas!$D:$D,"",0)</f>
        <v>0</v>
      </c>
    </row>
    <row r="1320" spans="1:8" x14ac:dyDescent="0.25">
      <c r="A1320" s="2">
        <v>44648</v>
      </c>
      <c r="B1320" s="1" t="s">
        <v>55</v>
      </c>
      <c r="C1320">
        <v>2984</v>
      </c>
      <c r="D1320" s="1" t="s">
        <v>185</v>
      </c>
      <c r="E1320" s="1" t="s">
        <v>6</v>
      </c>
      <c r="F1320">
        <v>7</v>
      </c>
      <c r="G1320" s="1" t="str">
        <f>Ocupacao_DW[[#This Row],[data]]&amp;Ocupacao_DW[[#This Row],[profissional_id]]&amp;Ocupacao_DW[[#This Row],[local_id]]</f>
        <v>4464829847</v>
      </c>
      <c r="H1320" s="1">
        <f>_xlfn.XLOOKUP(Ocupacao_DW[[#This Row],[Concat]],Vagas!$H:$H,Vagas!$D:$D,"",0)</f>
        <v>0</v>
      </c>
    </row>
    <row r="1321" spans="1:8" x14ac:dyDescent="0.25">
      <c r="A1321" s="2">
        <v>44641</v>
      </c>
      <c r="B1321" s="1" t="s">
        <v>54</v>
      </c>
      <c r="C1321">
        <v>10941</v>
      </c>
      <c r="D1321" s="1" t="s">
        <v>224</v>
      </c>
      <c r="E1321" s="1" t="s">
        <v>5</v>
      </c>
      <c r="F1321">
        <v>11</v>
      </c>
      <c r="G1321" s="1" t="str">
        <f>Ocupacao_DW[[#This Row],[data]]&amp;Ocupacao_DW[[#This Row],[profissional_id]]&amp;Ocupacao_DW[[#This Row],[local_id]]</f>
        <v>446411094111</v>
      </c>
      <c r="H1321" s="1">
        <f>_xlfn.XLOOKUP(Ocupacao_DW[[#This Row],[Concat]],Vagas!$H:$H,Vagas!$D:$D,"",0)</f>
        <v>0</v>
      </c>
    </row>
    <row r="1322" spans="1:8" x14ac:dyDescent="0.25">
      <c r="A1322" s="2">
        <v>44635</v>
      </c>
      <c r="B1322" s="1" t="s">
        <v>52</v>
      </c>
      <c r="C1322">
        <v>60</v>
      </c>
      <c r="D1322" s="1" t="s">
        <v>217</v>
      </c>
      <c r="E1322" s="1" t="s">
        <v>167</v>
      </c>
      <c r="F1322">
        <v>345</v>
      </c>
      <c r="G1322" s="1" t="str">
        <f>Ocupacao_DW[[#This Row],[data]]&amp;Ocupacao_DW[[#This Row],[profissional_id]]&amp;Ocupacao_DW[[#This Row],[local_id]]</f>
        <v>4463560345</v>
      </c>
      <c r="H1322" s="1">
        <f>_xlfn.XLOOKUP(Ocupacao_DW[[#This Row],[Concat]],Vagas!$H:$H,Vagas!$D:$D,"",0)</f>
        <v>0</v>
      </c>
    </row>
    <row r="1323" spans="1:8" x14ac:dyDescent="0.25">
      <c r="A1323" s="2">
        <v>44641</v>
      </c>
      <c r="B1323" s="1" t="s">
        <v>66</v>
      </c>
      <c r="C1323">
        <v>100</v>
      </c>
      <c r="D1323" s="1" t="s">
        <v>166</v>
      </c>
      <c r="E1323" s="1" t="s">
        <v>167</v>
      </c>
      <c r="F1323">
        <v>342</v>
      </c>
      <c r="G1323" s="1" t="str">
        <f>Ocupacao_DW[[#This Row],[data]]&amp;Ocupacao_DW[[#This Row],[profissional_id]]&amp;Ocupacao_DW[[#This Row],[local_id]]</f>
        <v>44641100342</v>
      </c>
      <c r="H1323" s="1">
        <f>_xlfn.XLOOKUP(Ocupacao_DW[[#This Row],[Concat]],Vagas!$H:$H,Vagas!$D:$D,"",0)</f>
        <v>0</v>
      </c>
    </row>
    <row r="1324" spans="1:8" x14ac:dyDescent="0.25">
      <c r="A1324" s="2">
        <v>44639</v>
      </c>
      <c r="B1324" s="1" t="s">
        <v>47</v>
      </c>
      <c r="C1324">
        <v>111</v>
      </c>
      <c r="D1324" s="1" t="s">
        <v>199</v>
      </c>
      <c r="E1324" s="1" t="s">
        <v>4</v>
      </c>
      <c r="F1324">
        <v>51</v>
      </c>
      <c r="G1324" s="1" t="str">
        <f>Ocupacao_DW[[#This Row],[data]]&amp;Ocupacao_DW[[#This Row],[profissional_id]]&amp;Ocupacao_DW[[#This Row],[local_id]]</f>
        <v>4463911151</v>
      </c>
      <c r="H1324" s="1">
        <f>_xlfn.XLOOKUP(Ocupacao_DW[[#This Row],[Concat]],Vagas!$H:$H,Vagas!$D:$D,"",0)</f>
        <v>0</v>
      </c>
    </row>
    <row r="1325" spans="1:8" x14ac:dyDescent="0.25">
      <c r="A1325" s="2">
        <v>44638</v>
      </c>
      <c r="B1325" s="1" t="s">
        <v>62</v>
      </c>
      <c r="C1325">
        <v>3502</v>
      </c>
      <c r="D1325" s="1" t="s">
        <v>214</v>
      </c>
      <c r="E1325" s="1" t="s">
        <v>7</v>
      </c>
      <c r="F1325">
        <v>69</v>
      </c>
      <c r="G1325" s="1" t="str">
        <f>Ocupacao_DW[[#This Row],[data]]&amp;Ocupacao_DW[[#This Row],[profissional_id]]&amp;Ocupacao_DW[[#This Row],[local_id]]</f>
        <v>44638350269</v>
      </c>
      <c r="H1325" s="1">
        <f>_xlfn.XLOOKUP(Ocupacao_DW[[#This Row],[Concat]],Vagas!$H:$H,Vagas!$D:$D,"",0)</f>
        <v>0</v>
      </c>
    </row>
    <row r="1326" spans="1:8" x14ac:dyDescent="0.25">
      <c r="A1326" s="2">
        <v>44650</v>
      </c>
      <c r="B1326" s="1" t="s">
        <v>65</v>
      </c>
      <c r="C1326">
        <v>13058</v>
      </c>
      <c r="D1326" s="1" t="s">
        <v>256</v>
      </c>
      <c r="E1326" s="1" t="s">
        <v>4</v>
      </c>
      <c r="F1326">
        <v>47</v>
      </c>
      <c r="G1326" s="1" t="str">
        <f>Ocupacao_DW[[#This Row],[data]]&amp;Ocupacao_DW[[#This Row],[profissional_id]]&amp;Ocupacao_DW[[#This Row],[local_id]]</f>
        <v>446501305847</v>
      </c>
      <c r="H1326" s="1">
        <f>_xlfn.XLOOKUP(Ocupacao_DW[[#This Row],[Concat]],Vagas!$H:$H,Vagas!$D:$D,"",0)</f>
        <v>0</v>
      </c>
    </row>
    <row r="1327" spans="1:8" x14ac:dyDescent="0.25">
      <c r="A1327" s="2">
        <v>44635</v>
      </c>
      <c r="B1327" s="1" t="s">
        <v>51</v>
      </c>
      <c r="C1327">
        <v>12582</v>
      </c>
      <c r="D1327" s="1" t="s">
        <v>190</v>
      </c>
      <c r="E1327" s="1" t="s">
        <v>7</v>
      </c>
      <c r="F1327">
        <v>62</v>
      </c>
      <c r="G1327" s="1" t="str">
        <f>Ocupacao_DW[[#This Row],[data]]&amp;Ocupacao_DW[[#This Row],[profissional_id]]&amp;Ocupacao_DW[[#This Row],[local_id]]</f>
        <v>446351258262</v>
      </c>
      <c r="H1327" s="1">
        <f>_xlfn.XLOOKUP(Ocupacao_DW[[#This Row],[Concat]],Vagas!$H:$H,Vagas!$D:$D,"",0)</f>
        <v>0</v>
      </c>
    </row>
    <row r="1328" spans="1:8" x14ac:dyDescent="0.25">
      <c r="A1328" s="2">
        <v>44657</v>
      </c>
      <c r="B1328" s="1" t="s">
        <v>55</v>
      </c>
      <c r="C1328">
        <v>74</v>
      </c>
      <c r="D1328" s="1" t="s">
        <v>182</v>
      </c>
      <c r="E1328" s="1" t="s">
        <v>6</v>
      </c>
      <c r="F1328">
        <v>7</v>
      </c>
      <c r="G1328" s="1" t="str">
        <f>Ocupacao_DW[[#This Row],[data]]&amp;Ocupacao_DW[[#This Row],[profissional_id]]&amp;Ocupacao_DW[[#This Row],[local_id]]</f>
        <v>44657747</v>
      </c>
      <c r="H1328" s="1">
        <f>_xlfn.XLOOKUP(Ocupacao_DW[[#This Row],[Concat]],Vagas!$H:$H,Vagas!$D:$D,"",0)</f>
        <v>0</v>
      </c>
    </row>
    <row r="1329" spans="1:8" x14ac:dyDescent="0.25">
      <c r="A1329" s="2">
        <v>44641</v>
      </c>
      <c r="B1329" s="1" t="s">
        <v>72</v>
      </c>
      <c r="C1329">
        <v>6046</v>
      </c>
      <c r="D1329" s="1" t="s">
        <v>222</v>
      </c>
      <c r="E1329" s="1" t="s">
        <v>4</v>
      </c>
      <c r="F1329">
        <v>46</v>
      </c>
      <c r="G1329" s="1" t="str">
        <f>Ocupacao_DW[[#This Row],[data]]&amp;Ocupacao_DW[[#This Row],[profissional_id]]&amp;Ocupacao_DW[[#This Row],[local_id]]</f>
        <v>44641604646</v>
      </c>
      <c r="H1329" s="1">
        <f>_xlfn.XLOOKUP(Ocupacao_DW[[#This Row],[Concat]],Vagas!$H:$H,Vagas!$D:$D,"",0)</f>
        <v>0</v>
      </c>
    </row>
    <row r="1330" spans="1:8" x14ac:dyDescent="0.25">
      <c r="A1330" s="2">
        <v>44636</v>
      </c>
      <c r="B1330" s="1" t="s">
        <v>56</v>
      </c>
      <c r="C1330">
        <v>5927</v>
      </c>
      <c r="D1330" s="1" t="s">
        <v>226</v>
      </c>
      <c r="E1330" s="1" t="s">
        <v>5</v>
      </c>
      <c r="F1330">
        <v>17</v>
      </c>
      <c r="G1330" s="1" t="str">
        <f>Ocupacao_DW[[#This Row],[data]]&amp;Ocupacao_DW[[#This Row],[profissional_id]]&amp;Ocupacao_DW[[#This Row],[local_id]]</f>
        <v>44636592717</v>
      </c>
      <c r="H1330" s="1">
        <f>_xlfn.XLOOKUP(Ocupacao_DW[[#This Row],[Concat]],Vagas!$H:$H,Vagas!$D:$D,"",0)</f>
        <v>0</v>
      </c>
    </row>
    <row r="1331" spans="1:8" x14ac:dyDescent="0.25">
      <c r="A1331" s="2">
        <v>44639</v>
      </c>
      <c r="B1331" s="1" t="s">
        <v>52</v>
      </c>
      <c r="C1331">
        <v>60</v>
      </c>
      <c r="D1331" s="1" t="s">
        <v>217</v>
      </c>
      <c r="E1331" s="1" t="s">
        <v>6</v>
      </c>
      <c r="F1331">
        <v>8</v>
      </c>
      <c r="G1331" s="1" t="str">
        <f>Ocupacao_DW[[#This Row],[data]]&amp;Ocupacao_DW[[#This Row],[profissional_id]]&amp;Ocupacao_DW[[#This Row],[local_id]]</f>
        <v>44639608</v>
      </c>
      <c r="H1331" s="1">
        <f>_xlfn.XLOOKUP(Ocupacao_DW[[#This Row],[Concat]],Vagas!$H:$H,Vagas!$D:$D,"",0)</f>
        <v>0</v>
      </c>
    </row>
    <row r="1332" spans="1:8" x14ac:dyDescent="0.25">
      <c r="A1332" s="2">
        <v>44644</v>
      </c>
      <c r="B1332" s="1" t="s">
        <v>52</v>
      </c>
      <c r="C1332">
        <v>9217</v>
      </c>
      <c r="D1332" s="1" t="s">
        <v>191</v>
      </c>
      <c r="E1332" s="1" t="s">
        <v>6</v>
      </c>
      <c r="F1332">
        <v>7</v>
      </c>
      <c r="G1332" s="1" t="str">
        <f>Ocupacao_DW[[#This Row],[data]]&amp;Ocupacao_DW[[#This Row],[profissional_id]]&amp;Ocupacao_DW[[#This Row],[local_id]]</f>
        <v>4464492177</v>
      </c>
      <c r="H1332" s="1">
        <f>_xlfn.XLOOKUP(Ocupacao_DW[[#This Row],[Concat]],Vagas!$H:$H,Vagas!$D:$D,"",0)</f>
        <v>0</v>
      </c>
    </row>
    <row r="1333" spans="1:8" x14ac:dyDescent="0.25">
      <c r="A1333" s="2">
        <v>44648</v>
      </c>
      <c r="B1333" s="1" t="s">
        <v>55</v>
      </c>
      <c r="C1333">
        <v>60</v>
      </c>
      <c r="D1333" s="1" t="s">
        <v>217</v>
      </c>
      <c r="E1333" s="1" t="s">
        <v>7</v>
      </c>
      <c r="F1333">
        <v>66</v>
      </c>
      <c r="G1333" s="1" t="str">
        <f>Ocupacao_DW[[#This Row],[data]]&amp;Ocupacao_DW[[#This Row],[profissional_id]]&amp;Ocupacao_DW[[#This Row],[local_id]]</f>
        <v>446486066</v>
      </c>
      <c r="H1333" s="1">
        <f>_xlfn.XLOOKUP(Ocupacao_DW[[#This Row],[Concat]],Vagas!$H:$H,Vagas!$D:$D,"",0)</f>
        <v>0</v>
      </c>
    </row>
    <row r="1334" spans="1:8" x14ac:dyDescent="0.25">
      <c r="A1334" s="2">
        <v>44648</v>
      </c>
      <c r="B1334" s="1" t="s">
        <v>62</v>
      </c>
      <c r="C1334">
        <v>2567</v>
      </c>
      <c r="D1334" s="1" t="s">
        <v>198</v>
      </c>
      <c r="E1334" s="1" t="s">
        <v>5</v>
      </c>
      <c r="F1334">
        <v>18</v>
      </c>
      <c r="G1334" s="1" t="str">
        <f>Ocupacao_DW[[#This Row],[data]]&amp;Ocupacao_DW[[#This Row],[profissional_id]]&amp;Ocupacao_DW[[#This Row],[local_id]]</f>
        <v>44648256718</v>
      </c>
      <c r="H1334" s="1">
        <f>_xlfn.XLOOKUP(Ocupacao_DW[[#This Row],[Concat]],Vagas!$H:$H,Vagas!$D:$D,"",0)</f>
        <v>0</v>
      </c>
    </row>
    <row r="1335" spans="1:8" x14ac:dyDescent="0.25">
      <c r="A1335" s="2">
        <v>44655</v>
      </c>
      <c r="B1335" s="1" t="s">
        <v>60</v>
      </c>
      <c r="C1335">
        <v>117</v>
      </c>
      <c r="D1335" s="1" t="s">
        <v>180</v>
      </c>
      <c r="E1335" s="1" t="s">
        <v>4</v>
      </c>
      <c r="F1335">
        <v>48</v>
      </c>
      <c r="G1335" s="1" t="str">
        <f>Ocupacao_DW[[#This Row],[data]]&amp;Ocupacao_DW[[#This Row],[profissional_id]]&amp;Ocupacao_DW[[#This Row],[local_id]]</f>
        <v>4465511748</v>
      </c>
      <c r="H1335" s="1">
        <f>_xlfn.XLOOKUP(Ocupacao_DW[[#This Row],[Concat]],Vagas!$H:$H,Vagas!$D:$D,"",0)</f>
        <v>0</v>
      </c>
    </row>
    <row r="1336" spans="1:8" x14ac:dyDescent="0.25">
      <c r="A1336" s="2">
        <v>44635</v>
      </c>
      <c r="B1336" s="1" t="s">
        <v>70</v>
      </c>
      <c r="C1336">
        <v>12825</v>
      </c>
      <c r="D1336" s="1" t="s">
        <v>177</v>
      </c>
      <c r="E1336" s="1" t="s">
        <v>7</v>
      </c>
      <c r="F1336">
        <v>63</v>
      </c>
      <c r="G1336" s="1" t="str">
        <f>Ocupacao_DW[[#This Row],[data]]&amp;Ocupacao_DW[[#This Row],[profissional_id]]&amp;Ocupacao_DW[[#This Row],[local_id]]</f>
        <v>446351282563</v>
      </c>
      <c r="H1336" s="1">
        <f>_xlfn.XLOOKUP(Ocupacao_DW[[#This Row],[Concat]],Vagas!$H:$H,Vagas!$D:$D,"",0)</f>
        <v>0</v>
      </c>
    </row>
    <row r="1337" spans="1:8" x14ac:dyDescent="0.25">
      <c r="A1337" s="2">
        <v>44637</v>
      </c>
      <c r="B1337" s="1" t="s">
        <v>73</v>
      </c>
      <c r="C1337">
        <v>10691</v>
      </c>
      <c r="D1337" s="1" t="s">
        <v>181</v>
      </c>
      <c r="E1337" s="1" t="s">
        <v>167</v>
      </c>
      <c r="F1337">
        <v>348</v>
      </c>
      <c r="G1337" s="1" t="str">
        <f>Ocupacao_DW[[#This Row],[data]]&amp;Ocupacao_DW[[#This Row],[profissional_id]]&amp;Ocupacao_DW[[#This Row],[local_id]]</f>
        <v>4463710691348</v>
      </c>
      <c r="H1337" s="1">
        <f>_xlfn.XLOOKUP(Ocupacao_DW[[#This Row],[Concat]],Vagas!$H:$H,Vagas!$D:$D,"",0)</f>
        <v>0</v>
      </c>
    </row>
    <row r="1338" spans="1:8" x14ac:dyDescent="0.25">
      <c r="A1338" s="2">
        <v>44642</v>
      </c>
      <c r="B1338" s="1" t="s">
        <v>47</v>
      </c>
      <c r="C1338">
        <v>9111</v>
      </c>
      <c r="D1338" s="1" t="s">
        <v>206</v>
      </c>
      <c r="E1338" s="1" t="s">
        <v>4</v>
      </c>
      <c r="F1338">
        <v>335</v>
      </c>
      <c r="G1338" s="1" t="str">
        <f>Ocupacao_DW[[#This Row],[data]]&amp;Ocupacao_DW[[#This Row],[profissional_id]]&amp;Ocupacao_DW[[#This Row],[local_id]]</f>
        <v>446429111335</v>
      </c>
      <c r="H1338" s="1">
        <f>_xlfn.XLOOKUP(Ocupacao_DW[[#This Row],[Concat]],Vagas!$H:$H,Vagas!$D:$D,"",0)</f>
        <v>0</v>
      </c>
    </row>
    <row r="1339" spans="1:8" x14ac:dyDescent="0.25">
      <c r="A1339" s="2">
        <v>44635</v>
      </c>
      <c r="B1339" s="1" t="s">
        <v>65</v>
      </c>
      <c r="C1339">
        <v>11237</v>
      </c>
      <c r="D1339" s="1" t="s">
        <v>229</v>
      </c>
      <c r="E1339" s="1" t="s">
        <v>4</v>
      </c>
      <c r="F1339">
        <v>46</v>
      </c>
      <c r="G1339" s="1" t="str">
        <f>Ocupacao_DW[[#This Row],[data]]&amp;Ocupacao_DW[[#This Row],[profissional_id]]&amp;Ocupacao_DW[[#This Row],[local_id]]</f>
        <v>446351123746</v>
      </c>
      <c r="H1339" s="1">
        <f>_xlfn.XLOOKUP(Ocupacao_DW[[#This Row],[Concat]],Vagas!$H:$H,Vagas!$D:$D,"",0)</f>
        <v>0</v>
      </c>
    </row>
    <row r="1340" spans="1:8" x14ac:dyDescent="0.25">
      <c r="A1340" s="2">
        <v>44638</v>
      </c>
      <c r="B1340" s="1" t="s">
        <v>52</v>
      </c>
      <c r="C1340">
        <v>60</v>
      </c>
      <c r="D1340" s="1" t="s">
        <v>217</v>
      </c>
      <c r="E1340" s="1" t="s">
        <v>167</v>
      </c>
      <c r="F1340">
        <v>348</v>
      </c>
      <c r="G1340" s="1" t="str">
        <f>Ocupacao_DW[[#This Row],[data]]&amp;Ocupacao_DW[[#This Row],[profissional_id]]&amp;Ocupacao_DW[[#This Row],[local_id]]</f>
        <v>4463860348</v>
      </c>
      <c r="H1340" s="1">
        <f>_xlfn.XLOOKUP(Ocupacao_DW[[#This Row],[Concat]],Vagas!$H:$H,Vagas!$D:$D,"",0)</f>
        <v>0</v>
      </c>
    </row>
    <row r="1341" spans="1:8" x14ac:dyDescent="0.25">
      <c r="A1341" s="2">
        <v>44636</v>
      </c>
      <c r="B1341" s="1" t="s">
        <v>47</v>
      </c>
      <c r="C1341">
        <v>110</v>
      </c>
      <c r="D1341" s="1" t="s">
        <v>193</v>
      </c>
      <c r="E1341" s="1" t="s">
        <v>4</v>
      </c>
      <c r="F1341">
        <v>334</v>
      </c>
      <c r="G1341" s="1" t="str">
        <f>Ocupacao_DW[[#This Row],[data]]&amp;Ocupacao_DW[[#This Row],[profissional_id]]&amp;Ocupacao_DW[[#This Row],[local_id]]</f>
        <v>44636110334</v>
      </c>
      <c r="H1341" s="1">
        <f>_xlfn.XLOOKUP(Ocupacao_DW[[#This Row],[Concat]],Vagas!$H:$H,Vagas!$D:$D,"",0)</f>
        <v>0</v>
      </c>
    </row>
    <row r="1342" spans="1:8" x14ac:dyDescent="0.25">
      <c r="A1342" s="2">
        <v>44648</v>
      </c>
      <c r="B1342" s="1" t="s">
        <v>52</v>
      </c>
      <c r="C1342">
        <v>10691</v>
      </c>
      <c r="D1342" s="1" t="s">
        <v>181</v>
      </c>
      <c r="E1342" s="1" t="s">
        <v>6</v>
      </c>
      <c r="F1342">
        <v>9</v>
      </c>
      <c r="G1342" s="1" t="str">
        <f>Ocupacao_DW[[#This Row],[data]]&amp;Ocupacao_DW[[#This Row],[profissional_id]]&amp;Ocupacao_DW[[#This Row],[local_id]]</f>
        <v>44648106919</v>
      </c>
      <c r="H1342" s="1">
        <f>_xlfn.XLOOKUP(Ocupacao_DW[[#This Row],[Concat]],Vagas!$H:$H,Vagas!$D:$D,"",0)</f>
        <v>0</v>
      </c>
    </row>
    <row r="1343" spans="1:8" x14ac:dyDescent="0.25">
      <c r="A1343" s="2">
        <v>44642</v>
      </c>
      <c r="B1343" s="1" t="s">
        <v>47</v>
      </c>
      <c r="C1343">
        <v>9111</v>
      </c>
      <c r="D1343" s="1" t="s">
        <v>206</v>
      </c>
      <c r="E1343" s="1" t="s">
        <v>4</v>
      </c>
      <c r="F1343">
        <v>335</v>
      </c>
      <c r="G1343" s="1" t="str">
        <f>Ocupacao_DW[[#This Row],[data]]&amp;Ocupacao_DW[[#This Row],[profissional_id]]&amp;Ocupacao_DW[[#This Row],[local_id]]</f>
        <v>446429111335</v>
      </c>
      <c r="H1343" s="1">
        <f>_xlfn.XLOOKUP(Ocupacao_DW[[#This Row],[Concat]],Vagas!$H:$H,Vagas!$D:$D,"",0)</f>
        <v>0</v>
      </c>
    </row>
    <row r="1344" spans="1:8" x14ac:dyDescent="0.25">
      <c r="A1344" s="2">
        <v>44636</v>
      </c>
      <c r="B1344" s="1" t="s">
        <v>64</v>
      </c>
      <c r="C1344">
        <v>86</v>
      </c>
      <c r="D1344" s="1" t="s">
        <v>175</v>
      </c>
      <c r="E1344" s="1" t="s">
        <v>7</v>
      </c>
      <c r="F1344">
        <v>66</v>
      </c>
      <c r="G1344" s="1" t="str">
        <f>Ocupacao_DW[[#This Row],[data]]&amp;Ocupacao_DW[[#This Row],[profissional_id]]&amp;Ocupacao_DW[[#This Row],[local_id]]</f>
        <v>446368666</v>
      </c>
      <c r="H1344" s="1">
        <f>_xlfn.XLOOKUP(Ocupacao_DW[[#This Row],[Concat]],Vagas!$H:$H,Vagas!$D:$D,"",0)</f>
        <v>0</v>
      </c>
    </row>
    <row r="1345" spans="1:8" x14ac:dyDescent="0.25">
      <c r="A1345" s="2">
        <v>44636</v>
      </c>
      <c r="B1345" s="1" t="s">
        <v>47</v>
      </c>
      <c r="C1345">
        <v>110</v>
      </c>
      <c r="D1345" s="1" t="s">
        <v>193</v>
      </c>
      <c r="E1345" s="1" t="s">
        <v>4</v>
      </c>
      <c r="F1345">
        <v>334</v>
      </c>
      <c r="G1345" s="1" t="str">
        <f>Ocupacao_DW[[#This Row],[data]]&amp;Ocupacao_DW[[#This Row],[profissional_id]]&amp;Ocupacao_DW[[#This Row],[local_id]]</f>
        <v>44636110334</v>
      </c>
      <c r="H1345" s="1">
        <f>_xlfn.XLOOKUP(Ocupacao_DW[[#This Row],[Concat]],Vagas!$H:$H,Vagas!$D:$D,"",0)</f>
        <v>0</v>
      </c>
    </row>
    <row r="1346" spans="1:8" x14ac:dyDescent="0.25">
      <c r="A1346" s="2">
        <v>44635</v>
      </c>
      <c r="B1346" s="1" t="s">
        <v>20</v>
      </c>
      <c r="C1346">
        <v>174</v>
      </c>
      <c r="D1346" s="1" t="s">
        <v>230</v>
      </c>
      <c r="E1346" s="1" t="s">
        <v>167</v>
      </c>
      <c r="F1346">
        <v>24</v>
      </c>
      <c r="G1346" s="1" t="str">
        <f>Ocupacao_DW[[#This Row],[data]]&amp;Ocupacao_DW[[#This Row],[profissional_id]]&amp;Ocupacao_DW[[#This Row],[local_id]]</f>
        <v>4463517424</v>
      </c>
      <c r="H1346" s="1">
        <f>_xlfn.XLOOKUP(Ocupacao_DW[[#This Row],[Concat]],Vagas!$H:$H,Vagas!$D:$D,"",0)</f>
        <v>66</v>
      </c>
    </row>
    <row r="1347" spans="1:8" x14ac:dyDescent="0.25">
      <c r="A1347" s="2">
        <v>44637</v>
      </c>
      <c r="B1347" s="1"/>
      <c r="C1347">
        <v>0</v>
      </c>
      <c r="D1347" s="1"/>
      <c r="E1347" s="1" t="s">
        <v>4</v>
      </c>
      <c r="F1347">
        <v>39</v>
      </c>
      <c r="G1347" s="1" t="str">
        <f>Ocupacao_DW[[#This Row],[data]]&amp;Ocupacao_DW[[#This Row],[profissional_id]]&amp;Ocupacao_DW[[#This Row],[local_id]]</f>
        <v>44637039</v>
      </c>
      <c r="H1347" s="1" t="str">
        <f>_xlfn.XLOOKUP(Ocupacao_DW[[#This Row],[Concat]],Vagas!$H:$H,Vagas!$D:$D,"",0)</f>
        <v/>
      </c>
    </row>
    <row r="1348" spans="1:8" x14ac:dyDescent="0.25">
      <c r="A1348" s="2">
        <v>44643</v>
      </c>
      <c r="B1348" s="1" t="s">
        <v>49</v>
      </c>
      <c r="C1348">
        <v>6430</v>
      </c>
      <c r="D1348" s="1" t="s">
        <v>188</v>
      </c>
      <c r="E1348" s="1" t="s">
        <v>4</v>
      </c>
      <c r="F1348">
        <v>42</v>
      </c>
      <c r="G1348" s="1" t="str">
        <f>Ocupacao_DW[[#This Row],[data]]&amp;Ocupacao_DW[[#This Row],[profissional_id]]&amp;Ocupacao_DW[[#This Row],[local_id]]</f>
        <v>44643643042</v>
      </c>
      <c r="H1348" s="1">
        <f>_xlfn.XLOOKUP(Ocupacao_DW[[#This Row],[Concat]],Vagas!$H:$H,Vagas!$D:$D,"",0)</f>
        <v>0</v>
      </c>
    </row>
    <row r="1349" spans="1:8" x14ac:dyDescent="0.25">
      <c r="A1349" s="2">
        <v>44635</v>
      </c>
      <c r="B1349" s="1" t="s">
        <v>71</v>
      </c>
      <c r="C1349">
        <v>282</v>
      </c>
      <c r="D1349" s="1" t="s">
        <v>210</v>
      </c>
      <c r="E1349" s="1" t="s">
        <v>4</v>
      </c>
      <c r="F1349">
        <v>48</v>
      </c>
      <c r="G1349" s="1" t="str">
        <f>Ocupacao_DW[[#This Row],[data]]&amp;Ocupacao_DW[[#This Row],[profissional_id]]&amp;Ocupacao_DW[[#This Row],[local_id]]</f>
        <v>4463528248</v>
      </c>
      <c r="H1349" s="1">
        <f>_xlfn.XLOOKUP(Ocupacao_DW[[#This Row],[Concat]],Vagas!$H:$H,Vagas!$D:$D,"",0)</f>
        <v>0</v>
      </c>
    </row>
    <row r="1350" spans="1:8" x14ac:dyDescent="0.25">
      <c r="A1350" s="2">
        <v>44658</v>
      </c>
      <c r="B1350" s="1" t="s">
        <v>64</v>
      </c>
      <c r="C1350">
        <v>531</v>
      </c>
      <c r="D1350" s="1" t="s">
        <v>213</v>
      </c>
      <c r="E1350" s="1" t="s">
        <v>5</v>
      </c>
      <c r="F1350">
        <v>12</v>
      </c>
      <c r="G1350" s="1" t="str">
        <f>Ocupacao_DW[[#This Row],[data]]&amp;Ocupacao_DW[[#This Row],[profissional_id]]&amp;Ocupacao_DW[[#This Row],[local_id]]</f>
        <v>4465853112</v>
      </c>
      <c r="H1350" s="1">
        <f>_xlfn.XLOOKUP(Ocupacao_DW[[#This Row],[Concat]],Vagas!$H:$H,Vagas!$D:$D,"",0)</f>
        <v>0</v>
      </c>
    </row>
    <row r="1351" spans="1:8" x14ac:dyDescent="0.25">
      <c r="A1351" s="2">
        <v>44656</v>
      </c>
      <c r="B1351" s="1" t="s">
        <v>66</v>
      </c>
      <c r="C1351">
        <v>1343</v>
      </c>
      <c r="D1351" s="1" t="s">
        <v>263</v>
      </c>
      <c r="E1351" s="1" t="s">
        <v>200</v>
      </c>
      <c r="F1351">
        <v>80</v>
      </c>
      <c r="G1351" s="1" t="str">
        <f>Ocupacao_DW[[#This Row],[data]]&amp;Ocupacao_DW[[#This Row],[profissional_id]]&amp;Ocupacao_DW[[#This Row],[local_id]]</f>
        <v>44656134380</v>
      </c>
      <c r="H1351" s="1">
        <f>_xlfn.XLOOKUP(Ocupacao_DW[[#This Row],[Concat]],Vagas!$H:$H,Vagas!$D:$D,"",0)</f>
        <v>0</v>
      </c>
    </row>
    <row r="1352" spans="1:8" x14ac:dyDescent="0.25">
      <c r="A1352" s="2">
        <v>44635</v>
      </c>
      <c r="B1352" s="1" t="s">
        <v>49</v>
      </c>
      <c r="C1352">
        <v>81</v>
      </c>
      <c r="D1352" s="1" t="s">
        <v>170</v>
      </c>
      <c r="E1352" s="1" t="s">
        <v>4</v>
      </c>
      <c r="F1352">
        <v>41</v>
      </c>
      <c r="G1352" s="1" t="str">
        <f>Ocupacao_DW[[#This Row],[data]]&amp;Ocupacao_DW[[#This Row],[profissional_id]]&amp;Ocupacao_DW[[#This Row],[local_id]]</f>
        <v>446358141</v>
      </c>
      <c r="H1352" s="1">
        <f>_xlfn.XLOOKUP(Ocupacao_DW[[#This Row],[Concat]],Vagas!$H:$H,Vagas!$D:$D,"",0)</f>
        <v>0</v>
      </c>
    </row>
    <row r="1353" spans="1:8" x14ac:dyDescent="0.25">
      <c r="A1353" s="2">
        <v>44643</v>
      </c>
      <c r="B1353" s="1" t="s">
        <v>49</v>
      </c>
      <c r="C1353">
        <v>10600</v>
      </c>
      <c r="D1353" s="1" t="s">
        <v>248</v>
      </c>
      <c r="E1353" s="1" t="s">
        <v>7</v>
      </c>
      <c r="F1353">
        <v>71</v>
      </c>
      <c r="G1353" s="1" t="str">
        <f>Ocupacao_DW[[#This Row],[data]]&amp;Ocupacao_DW[[#This Row],[profissional_id]]&amp;Ocupacao_DW[[#This Row],[local_id]]</f>
        <v>446431060071</v>
      </c>
      <c r="H1353" s="1">
        <f>_xlfn.XLOOKUP(Ocupacao_DW[[#This Row],[Concat]],Vagas!$H:$H,Vagas!$D:$D,"",0)</f>
        <v>0</v>
      </c>
    </row>
    <row r="1354" spans="1:8" x14ac:dyDescent="0.25">
      <c r="A1354" s="2">
        <v>44636</v>
      </c>
      <c r="B1354" s="1" t="s">
        <v>62</v>
      </c>
      <c r="C1354">
        <v>10799</v>
      </c>
      <c r="D1354" s="1" t="s">
        <v>204</v>
      </c>
      <c r="E1354" s="1" t="s">
        <v>5</v>
      </c>
      <c r="F1354">
        <v>18</v>
      </c>
      <c r="G1354" s="1" t="str">
        <f>Ocupacao_DW[[#This Row],[data]]&amp;Ocupacao_DW[[#This Row],[profissional_id]]&amp;Ocupacao_DW[[#This Row],[local_id]]</f>
        <v>446361079918</v>
      </c>
      <c r="H1354" s="1">
        <f>_xlfn.XLOOKUP(Ocupacao_DW[[#This Row],[Concat]],Vagas!$H:$H,Vagas!$D:$D,"",0)</f>
        <v>0</v>
      </c>
    </row>
    <row r="1355" spans="1:8" x14ac:dyDescent="0.25">
      <c r="A1355" s="2">
        <v>44635</v>
      </c>
      <c r="B1355" s="1" t="s">
        <v>65</v>
      </c>
      <c r="C1355">
        <v>11652</v>
      </c>
      <c r="D1355" s="1" t="s">
        <v>242</v>
      </c>
      <c r="E1355" s="1" t="s">
        <v>4</v>
      </c>
      <c r="F1355">
        <v>47</v>
      </c>
      <c r="G1355" s="1" t="str">
        <f>Ocupacao_DW[[#This Row],[data]]&amp;Ocupacao_DW[[#This Row],[profissional_id]]&amp;Ocupacao_DW[[#This Row],[local_id]]</f>
        <v>446351165247</v>
      </c>
      <c r="H1355" s="1">
        <f>_xlfn.XLOOKUP(Ocupacao_DW[[#This Row],[Concat]],Vagas!$H:$H,Vagas!$D:$D,"",0)</f>
        <v>0</v>
      </c>
    </row>
    <row r="1356" spans="1:8" x14ac:dyDescent="0.25">
      <c r="A1356" s="2">
        <v>44643</v>
      </c>
      <c r="B1356" s="1" t="s">
        <v>49</v>
      </c>
      <c r="C1356">
        <v>6430</v>
      </c>
      <c r="D1356" s="1" t="s">
        <v>188</v>
      </c>
      <c r="E1356" s="1" t="s">
        <v>4</v>
      </c>
      <c r="F1356">
        <v>42</v>
      </c>
      <c r="G1356" s="1" t="str">
        <f>Ocupacao_DW[[#This Row],[data]]&amp;Ocupacao_DW[[#This Row],[profissional_id]]&amp;Ocupacao_DW[[#This Row],[local_id]]</f>
        <v>44643643042</v>
      </c>
      <c r="H1356" s="1">
        <f>_xlfn.XLOOKUP(Ocupacao_DW[[#This Row],[Concat]],Vagas!$H:$H,Vagas!$D:$D,"",0)</f>
        <v>0</v>
      </c>
    </row>
    <row r="1357" spans="1:8" x14ac:dyDescent="0.25">
      <c r="A1357" s="2">
        <v>44637</v>
      </c>
      <c r="B1357" s="1" t="s">
        <v>50</v>
      </c>
      <c r="C1357">
        <v>4814</v>
      </c>
      <c r="D1357" s="1" t="s">
        <v>189</v>
      </c>
      <c r="E1357" s="1" t="s">
        <v>5</v>
      </c>
      <c r="F1357">
        <v>14</v>
      </c>
      <c r="G1357" s="1" t="str">
        <f>Ocupacao_DW[[#This Row],[data]]&amp;Ocupacao_DW[[#This Row],[profissional_id]]&amp;Ocupacao_DW[[#This Row],[local_id]]</f>
        <v>44637481414</v>
      </c>
      <c r="H1357" s="1">
        <f>_xlfn.XLOOKUP(Ocupacao_DW[[#This Row],[Concat]],Vagas!$H:$H,Vagas!$D:$D,"",0)</f>
        <v>0</v>
      </c>
    </row>
    <row r="1358" spans="1:8" x14ac:dyDescent="0.25">
      <c r="A1358" s="2">
        <v>44644</v>
      </c>
      <c r="B1358" s="1" t="s">
        <v>51</v>
      </c>
      <c r="C1358">
        <v>12582</v>
      </c>
      <c r="D1358" s="1" t="s">
        <v>190</v>
      </c>
      <c r="E1358" s="1" t="s">
        <v>5</v>
      </c>
      <c r="F1358">
        <v>15</v>
      </c>
      <c r="G1358" s="1" t="str">
        <f>Ocupacao_DW[[#This Row],[data]]&amp;Ocupacao_DW[[#This Row],[profissional_id]]&amp;Ocupacao_DW[[#This Row],[local_id]]</f>
        <v>446441258215</v>
      </c>
      <c r="H1358" s="1">
        <f>_xlfn.XLOOKUP(Ocupacao_DW[[#This Row],[Concat]],Vagas!$H:$H,Vagas!$D:$D,"",0)</f>
        <v>0</v>
      </c>
    </row>
    <row r="1359" spans="1:8" x14ac:dyDescent="0.25">
      <c r="A1359" s="2">
        <v>44649</v>
      </c>
      <c r="B1359" s="1" t="s">
        <v>47</v>
      </c>
      <c r="C1359">
        <v>110</v>
      </c>
      <c r="D1359" s="1" t="s">
        <v>193</v>
      </c>
      <c r="E1359" s="1" t="s">
        <v>4</v>
      </c>
      <c r="F1359">
        <v>334</v>
      </c>
      <c r="G1359" s="1" t="str">
        <f>Ocupacao_DW[[#This Row],[data]]&amp;Ocupacao_DW[[#This Row],[profissional_id]]&amp;Ocupacao_DW[[#This Row],[local_id]]</f>
        <v>44649110334</v>
      </c>
      <c r="H1359" s="1">
        <f>_xlfn.XLOOKUP(Ocupacao_DW[[#This Row],[Concat]],Vagas!$H:$H,Vagas!$D:$D,"",0)</f>
        <v>0</v>
      </c>
    </row>
    <row r="1360" spans="1:8" x14ac:dyDescent="0.25">
      <c r="A1360" s="2">
        <v>44637</v>
      </c>
      <c r="B1360" s="1" t="s">
        <v>51</v>
      </c>
      <c r="C1360">
        <v>12582</v>
      </c>
      <c r="D1360" s="1" t="s">
        <v>190</v>
      </c>
      <c r="E1360" s="1" t="s">
        <v>5</v>
      </c>
      <c r="F1360">
        <v>15</v>
      </c>
      <c r="G1360" s="1" t="str">
        <f>Ocupacao_DW[[#This Row],[data]]&amp;Ocupacao_DW[[#This Row],[profissional_id]]&amp;Ocupacao_DW[[#This Row],[local_id]]</f>
        <v>446371258215</v>
      </c>
      <c r="H1360" s="1">
        <f>_xlfn.XLOOKUP(Ocupacao_DW[[#This Row],[Concat]],Vagas!$H:$H,Vagas!$D:$D,"",0)</f>
        <v>0</v>
      </c>
    </row>
    <row r="1361" spans="1:8" x14ac:dyDescent="0.25">
      <c r="A1361" s="2">
        <v>44635</v>
      </c>
      <c r="B1361" s="1" t="s">
        <v>70</v>
      </c>
      <c r="C1361">
        <v>12825</v>
      </c>
      <c r="D1361" s="1" t="s">
        <v>177</v>
      </c>
      <c r="E1361" s="1" t="s">
        <v>7</v>
      </c>
      <c r="F1361">
        <v>63</v>
      </c>
      <c r="G1361" s="1" t="str">
        <f>Ocupacao_DW[[#This Row],[data]]&amp;Ocupacao_DW[[#This Row],[profissional_id]]&amp;Ocupacao_DW[[#This Row],[local_id]]</f>
        <v>446351282563</v>
      </c>
      <c r="H1361" s="1">
        <f>_xlfn.XLOOKUP(Ocupacao_DW[[#This Row],[Concat]],Vagas!$H:$H,Vagas!$D:$D,"",0)</f>
        <v>0</v>
      </c>
    </row>
    <row r="1362" spans="1:8" x14ac:dyDescent="0.25">
      <c r="A1362" s="2">
        <v>44643</v>
      </c>
      <c r="B1362" s="1" t="s">
        <v>57</v>
      </c>
      <c r="C1362">
        <v>80</v>
      </c>
      <c r="D1362" s="1" t="s">
        <v>179</v>
      </c>
      <c r="E1362" s="1" t="s">
        <v>167</v>
      </c>
      <c r="F1362">
        <v>346</v>
      </c>
      <c r="G1362" s="1" t="str">
        <f>Ocupacao_DW[[#This Row],[data]]&amp;Ocupacao_DW[[#This Row],[profissional_id]]&amp;Ocupacao_DW[[#This Row],[local_id]]</f>
        <v>4464380346</v>
      </c>
      <c r="H1362" s="1">
        <f>_xlfn.XLOOKUP(Ocupacao_DW[[#This Row],[Concat]],Vagas!$H:$H,Vagas!$D:$D,"",0)</f>
        <v>0</v>
      </c>
    </row>
    <row r="1363" spans="1:8" x14ac:dyDescent="0.25">
      <c r="A1363" s="2">
        <v>44649</v>
      </c>
      <c r="B1363" s="1" t="s">
        <v>70</v>
      </c>
      <c r="C1363">
        <v>14237</v>
      </c>
      <c r="D1363" s="1" t="s">
        <v>186</v>
      </c>
      <c r="E1363" s="1" t="s">
        <v>4</v>
      </c>
      <c r="F1363">
        <v>47</v>
      </c>
      <c r="G1363" s="1" t="str">
        <f>Ocupacao_DW[[#This Row],[data]]&amp;Ocupacao_DW[[#This Row],[profissional_id]]&amp;Ocupacao_DW[[#This Row],[local_id]]</f>
        <v>446491423747</v>
      </c>
      <c r="H1363" s="1">
        <f>_xlfn.XLOOKUP(Ocupacao_DW[[#This Row],[Concat]],Vagas!$H:$H,Vagas!$D:$D,"",0)</f>
        <v>0</v>
      </c>
    </row>
    <row r="1364" spans="1:8" x14ac:dyDescent="0.25">
      <c r="A1364" s="2">
        <v>44641</v>
      </c>
      <c r="B1364" s="1" t="s">
        <v>56</v>
      </c>
      <c r="C1364">
        <v>5927</v>
      </c>
      <c r="D1364" s="1" t="s">
        <v>226</v>
      </c>
      <c r="E1364" s="1" t="s">
        <v>5</v>
      </c>
      <c r="F1364">
        <v>17</v>
      </c>
      <c r="G1364" s="1" t="str">
        <f>Ocupacao_DW[[#This Row],[data]]&amp;Ocupacao_DW[[#This Row],[profissional_id]]&amp;Ocupacao_DW[[#This Row],[local_id]]</f>
        <v>44641592717</v>
      </c>
      <c r="H1364" s="1">
        <f>_xlfn.XLOOKUP(Ocupacao_DW[[#This Row],[Concat]],Vagas!$H:$H,Vagas!$D:$D,"",0)</f>
        <v>0</v>
      </c>
    </row>
    <row r="1365" spans="1:8" x14ac:dyDescent="0.25">
      <c r="A1365" s="2">
        <v>44636</v>
      </c>
      <c r="B1365" s="1" t="s">
        <v>50</v>
      </c>
      <c r="C1365">
        <v>10785</v>
      </c>
      <c r="D1365" s="1" t="s">
        <v>237</v>
      </c>
      <c r="E1365" s="1" t="s">
        <v>5</v>
      </c>
      <c r="F1365">
        <v>14</v>
      </c>
      <c r="G1365" s="1" t="str">
        <f>Ocupacao_DW[[#This Row],[data]]&amp;Ocupacao_DW[[#This Row],[profissional_id]]&amp;Ocupacao_DW[[#This Row],[local_id]]</f>
        <v>446361078514</v>
      </c>
      <c r="H1365" s="1">
        <f>_xlfn.XLOOKUP(Ocupacao_DW[[#This Row],[Concat]],Vagas!$H:$H,Vagas!$D:$D,"",0)</f>
        <v>8</v>
      </c>
    </row>
    <row r="1366" spans="1:8" x14ac:dyDescent="0.25">
      <c r="A1366" s="2">
        <v>44635</v>
      </c>
      <c r="B1366" s="1" t="s">
        <v>62</v>
      </c>
      <c r="C1366">
        <v>3502</v>
      </c>
      <c r="D1366" s="1" t="s">
        <v>214</v>
      </c>
      <c r="E1366" s="1" t="s">
        <v>5</v>
      </c>
      <c r="F1366">
        <v>16</v>
      </c>
      <c r="G1366" s="1" t="str">
        <f>Ocupacao_DW[[#This Row],[data]]&amp;Ocupacao_DW[[#This Row],[profissional_id]]&amp;Ocupacao_DW[[#This Row],[local_id]]</f>
        <v>44635350216</v>
      </c>
      <c r="H1366" s="1">
        <f>_xlfn.XLOOKUP(Ocupacao_DW[[#This Row],[Concat]],Vagas!$H:$H,Vagas!$D:$D,"",0)</f>
        <v>0</v>
      </c>
    </row>
    <row r="1367" spans="1:8" x14ac:dyDescent="0.25">
      <c r="A1367" s="2">
        <v>44636</v>
      </c>
      <c r="B1367" s="1" t="s">
        <v>47</v>
      </c>
      <c r="C1367">
        <v>111</v>
      </c>
      <c r="D1367" s="1" t="s">
        <v>199</v>
      </c>
      <c r="E1367" s="1" t="s">
        <v>4</v>
      </c>
      <c r="F1367">
        <v>51</v>
      </c>
      <c r="G1367" s="1" t="str">
        <f>Ocupacao_DW[[#This Row],[data]]&amp;Ocupacao_DW[[#This Row],[profissional_id]]&amp;Ocupacao_DW[[#This Row],[local_id]]</f>
        <v>4463611151</v>
      </c>
      <c r="H1367" s="1">
        <f>_xlfn.XLOOKUP(Ocupacao_DW[[#This Row],[Concat]],Vagas!$H:$H,Vagas!$D:$D,"",0)</f>
        <v>1</v>
      </c>
    </row>
    <row r="1368" spans="1:8" x14ac:dyDescent="0.25">
      <c r="A1368" s="2">
        <v>44636</v>
      </c>
      <c r="B1368" s="1" t="s">
        <v>47</v>
      </c>
      <c r="C1368">
        <v>111</v>
      </c>
      <c r="D1368" s="1" t="s">
        <v>199</v>
      </c>
      <c r="E1368" s="1" t="s">
        <v>4</v>
      </c>
      <c r="F1368">
        <v>51</v>
      </c>
      <c r="G1368" s="1" t="str">
        <f>Ocupacao_DW[[#This Row],[data]]&amp;Ocupacao_DW[[#This Row],[profissional_id]]&amp;Ocupacao_DW[[#This Row],[local_id]]</f>
        <v>4463611151</v>
      </c>
      <c r="H1368" s="1">
        <f>_xlfn.XLOOKUP(Ocupacao_DW[[#This Row],[Concat]],Vagas!$H:$H,Vagas!$D:$D,"",0)</f>
        <v>1</v>
      </c>
    </row>
    <row r="1369" spans="1:8" x14ac:dyDescent="0.25">
      <c r="A1369" s="2">
        <v>44636</v>
      </c>
      <c r="B1369" s="1" t="s">
        <v>60</v>
      </c>
      <c r="C1369">
        <v>14326</v>
      </c>
      <c r="D1369" s="1" t="s">
        <v>220</v>
      </c>
      <c r="E1369" s="1" t="s">
        <v>4</v>
      </c>
      <c r="F1369">
        <v>43</v>
      </c>
      <c r="G1369" s="1" t="str">
        <f>Ocupacao_DW[[#This Row],[data]]&amp;Ocupacao_DW[[#This Row],[profissional_id]]&amp;Ocupacao_DW[[#This Row],[local_id]]</f>
        <v>446361432643</v>
      </c>
      <c r="H1369" s="1">
        <f>_xlfn.XLOOKUP(Ocupacao_DW[[#This Row],[Concat]],Vagas!$H:$H,Vagas!$D:$D,"",0)</f>
        <v>0</v>
      </c>
    </row>
    <row r="1370" spans="1:8" x14ac:dyDescent="0.25">
      <c r="A1370" s="2">
        <v>44635</v>
      </c>
      <c r="B1370" s="1" t="s">
        <v>67</v>
      </c>
      <c r="C1370">
        <v>7290</v>
      </c>
      <c r="D1370" s="1" t="s">
        <v>247</v>
      </c>
      <c r="E1370" s="1" t="s">
        <v>5</v>
      </c>
      <c r="F1370">
        <v>18</v>
      </c>
      <c r="G1370" s="1" t="str">
        <f>Ocupacao_DW[[#This Row],[data]]&amp;Ocupacao_DW[[#This Row],[profissional_id]]&amp;Ocupacao_DW[[#This Row],[local_id]]</f>
        <v>44635729018</v>
      </c>
      <c r="H1370" s="1">
        <f>_xlfn.XLOOKUP(Ocupacao_DW[[#This Row],[Concat]],Vagas!$H:$H,Vagas!$D:$D,"",0)</f>
        <v>0</v>
      </c>
    </row>
    <row r="1371" spans="1:8" x14ac:dyDescent="0.25">
      <c r="A1371" s="2">
        <v>44635</v>
      </c>
      <c r="B1371" s="1" t="s">
        <v>49</v>
      </c>
      <c r="C1371">
        <v>81</v>
      </c>
      <c r="D1371" s="1" t="s">
        <v>170</v>
      </c>
      <c r="E1371" s="1" t="s">
        <v>7</v>
      </c>
      <c r="F1371">
        <v>71</v>
      </c>
      <c r="G1371" s="1" t="str">
        <f>Ocupacao_DW[[#This Row],[data]]&amp;Ocupacao_DW[[#This Row],[profissional_id]]&amp;Ocupacao_DW[[#This Row],[local_id]]</f>
        <v>446358171</v>
      </c>
      <c r="H1371" s="1">
        <f>_xlfn.XLOOKUP(Ocupacao_DW[[#This Row],[Concat]],Vagas!$H:$H,Vagas!$D:$D,"",0)</f>
        <v>0</v>
      </c>
    </row>
    <row r="1372" spans="1:8" x14ac:dyDescent="0.25">
      <c r="A1372" s="2">
        <v>44636</v>
      </c>
      <c r="B1372" s="1" t="s">
        <v>64</v>
      </c>
      <c r="C1372">
        <v>531</v>
      </c>
      <c r="D1372" s="1" t="s">
        <v>213</v>
      </c>
      <c r="E1372" s="1" t="s">
        <v>5</v>
      </c>
      <c r="F1372">
        <v>12</v>
      </c>
      <c r="G1372" s="1" t="str">
        <f>Ocupacao_DW[[#This Row],[data]]&amp;Ocupacao_DW[[#This Row],[profissional_id]]&amp;Ocupacao_DW[[#This Row],[local_id]]</f>
        <v>4463653112</v>
      </c>
      <c r="H1372" s="1">
        <f>_xlfn.XLOOKUP(Ocupacao_DW[[#This Row],[Concat]],Vagas!$H:$H,Vagas!$D:$D,"",0)</f>
        <v>0</v>
      </c>
    </row>
    <row r="1373" spans="1:8" x14ac:dyDescent="0.25">
      <c r="A1373" s="2">
        <v>44642</v>
      </c>
      <c r="B1373" s="1" t="s">
        <v>54</v>
      </c>
      <c r="C1373">
        <v>10941</v>
      </c>
      <c r="D1373" s="1" t="s">
        <v>224</v>
      </c>
      <c r="E1373" s="1" t="s">
        <v>200</v>
      </c>
      <c r="F1373">
        <v>83</v>
      </c>
      <c r="G1373" s="1" t="str">
        <f>Ocupacao_DW[[#This Row],[data]]&amp;Ocupacao_DW[[#This Row],[profissional_id]]&amp;Ocupacao_DW[[#This Row],[local_id]]</f>
        <v>446421094183</v>
      </c>
      <c r="H1373" s="1">
        <f>_xlfn.XLOOKUP(Ocupacao_DW[[#This Row],[Concat]],Vagas!$H:$H,Vagas!$D:$D,"",0)</f>
        <v>0</v>
      </c>
    </row>
    <row r="1374" spans="1:8" x14ac:dyDescent="0.25">
      <c r="A1374" s="2">
        <v>44644</v>
      </c>
      <c r="B1374" s="1" t="s">
        <v>55</v>
      </c>
      <c r="C1374">
        <v>8598</v>
      </c>
      <c r="D1374" s="1" t="s">
        <v>228</v>
      </c>
      <c r="E1374" s="1" t="s">
        <v>6</v>
      </c>
      <c r="F1374">
        <v>3</v>
      </c>
      <c r="G1374" s="1" t="str">
        <f>Ocupacao_DW[[#This Row],[data]]&amp;Ocupacao_DW[[#This Row],[profissional_id]]&amp;Ocupacao_DW[[#This Row],[local_id]]</f>
        <v>4464485983</v>
      </c>
      <c r="H1374" s="1">
        <f>_xlfn.XLOOKUP(Ocupacao_DW[[#This Row],[Concat]],Vagas!$H:$H,Vagas!$D:$D,"",0)</f>
        <v>0</v>
      </c>
    </row>
    <row r="1375" spans="1:8" x14ac:dyDescent="0.25">
      <c r="A1375" s="2">
        <v>44650</v>
      </c>
      <c r="B1375" s="1" t="s">
        <v>52</v>
      </c>
      <c r="C1375">
        <v>10691</v>
      </c>
      <c r="D1375" s="1" t="s">
        <v>181</v>
      </c>
      <c r="E1375" s="1" t="s">
        <v>6</v>
      </c>
      <c r="F1375">
        <v>9</v>
      </c>
      <c r="G1375" s="1" t="str">
        <f>Ocupacao_DW[[#This Row],[data]]&amp;Ocupacao_DW[[#This Row],[profissional_id]]&amp;Ocupacao_DW[[#This Row],[local_id]]</f>
        <v>44650106919</v>
      </c>
      <c r="H1375" s="1">
        <f>_xlfn.XLOOKUP(Ocupacao_DW[[#This Row],[Concat]],Vagas!$H:$H,Vagas!$D:$D,"",0)</f>
        <v>0</v>
      </c>
    </row>
    <row r="1376" spans="1:8" x14ac:dyDescent="0.25">
      <c r="A1376" s="2">
        <v>44637</v>
      </c>
      <c r="B1376" s="1" t="s">
        <v>51</v>
      </c>
      <c r="C1376">
        <v>12582</v>
      </c>
      <c r="D1376" s="1" t="s">
        <v>190</v>
      </c>
      <c r="E1376" s="1" t="s">
        <v>5</v>
      </c>
      <c r="F1376">
        <v>15</v>
      </c>
      <c r="G1376" s="1" t="str">
        <f>Ocupacao_DW[[#This Row],[data]]&amp;Ocupacao_DW[[#This Row],[profissional_id]]&amp;Ocupacao_DW[[#This Row],[local_id]]</f>
        <v>446371258215</v>
      </c>
      <c r="H1376" s="1">
        <f>_xlfn.XLOOKUP(Ocupacao_DW[[#This Row],[Concat]],Vagas!$H:$H,Vagas!$D:$D,"",0)</f>
        <v>0</v>
      </c>
    </row>
    <row r="1377" spans="1:8" x14ac:dyDescent="0.25">
      <c r="A1377" s="2">
        <v>44637</v>
      </c>
      <c r="B1377" s="1" t="s">
        <v>56</v>
      </c>
      <c r="C1377">
        <v>5822</v>
      </c>
      <c r="D1377" s="1" t="s">
        <v>194</v>
      </c>
      <c r="E1377" s="1" t="s">
        <v>5</v>
      </c>
      <c r="F1377">
        <v>11</v>
      </c>
      <c r="G1377" s="1" t="str">
        <f>Ocupacao_DW[[#This Row],[data]]&amp;Ocupacao_DW[[#This Row],[profissional_id]]&amp;Ocupacao_DW[[#This Row],[local_id]]</f>
        <v>44637582211</v>
      </c>
      <c r="H1377" s="1">
        <f>_xlfn.XLOOKUP(Ocupacao_DW[[#This Row],[Concat]],Vagas!$H:$H,Vagas!$D:$D,"",0)</f>
        <v>0</v>
      </c>
    </row>
    <row r="1378" spans="1:8" x14ac:dyDescent="0.25">
      <c r="A1378" s="2">
        <v>44643</v>
      </c>
      <c r="B1378" s="1" t="s">
        <v>58</v>
      </c>
      <c r="C1378">
        <v>5767</v>
      </c>
      <c r="D1378" s="1" t="s">
        <v>239</v>
      </c>
      <c r="E1378" s="1" t="s">
        <v>4</v>
      </c>
      <c r="F1378">
        <v>44</v>
      </c>
      <c r="G1378" s="1" t="str">
        <f>Ocupacao_DW[[#This Row],[data]]&amp;Ocupacao_DW[[#This Row],[profissional_id]]&amp;Ocupacao_DW[[#This Row],[local_id]]</f>
        <v>44643576744</v>
      </c>
      <c r="H1378" s="1">
        <f>_xlfn.XLOOKUP(Ocupacao_DW[[#This Row],[Concat]],Vagas!$H:$H,Vagas!$D:$D,"",0)</f>
        <v>0</v>
      </c>
    </row>
    <row r="1379" spans="1:8" x14ac:dyDescent="0.25">
      <c r="A1379" s="2">
        <v>44635</v>
      </c>
      <c r="B1379" s="1" t="s">
        <v>62</v>
      </c>
      <c r="C1379">
        <v>3502</v>
      </c>
      <c r="D1379" s="1" t="s">
        <v>214</v>
      </c>
      <c r="E1379" s="1" t="s">
        <v>5</v>
      </c>
      <c r="F1379">
        <v>16</v>
      </c>
      <c r="G1379" s="1" t="str">
        <f>Ocupacao_DW[[#This Row],[data]]&amp;Ocupacao_DW[[#This Row],[profissional_id]]&amp;Ocupacao_DW[[#This Row],[local_id]]</f>
        <v>44635350216</v>
      </c>
      <c r="H1379" s="1">
        <f>_xlfn.XLOOKUP(Ocupacao_DW[[#This Row],[Concat]],Vagas!$H:$H,Vagas!$D:$D,"",0)</f>
        <v>0</v>
      </c>
    </row>
    <row r="1380" spans="1:8" x14ac:dyDescent="0.25">
      <c r="A1380" s="2">
        <v>44637</v>
      </c>
      <c r="B1380" s="1" t="s">
        <v>51</v>
      </c>
      <c r="C1380">
        <v>12582</v>
      </c>
      <c r="D1380" s="1" t="s">
        <v>190</v>
      </c>
      <c r="E1380" s="1" t="s">
        <v>5</v>
      </c>
      <c r="F1380">
        <v>15</v>
      </c>
      <c r="G1380" s="1" t="str">
        <f>Ocupacao_DW[[#This Row],[data]]&amp;Ocupacao_DW[[#This Row],[profissional_id]]&amp;Ocupacao_DW[[#This Row],[local_id]]</f>
        <v>446371258215</v>
      </c>
      <c r="H1380" s="1">
        <f>_xlfn.XLOOKUP(Ocupacao_DW[[#This Row],[Concat]],Vagas!$H:$H,Vagas!$D:$D,"",0)</f>
        <v>0</v>
      </c>
    </row>
    <row r="1381" spans="1:8" x14ac:dyDescent="0.25">
      <c r="A1381" s="2">
        <v>44636</v>
      </c>
      <c r="B1381" s="1" t="s">
        <v>49</v>
      </c>
      <c r="C1381">
        <v>81</v>
      </c>
      <c r="D1381" s="1" t="s">
        <v>170</v>
      </c>
      <c r="E1381" s="1" t="s">
        <v>4</v>
      </c>
      <c r="F1381">
        <v>41</v>
      </c>
      <c r="G1381" s="1" t="str">
        <f>Ocupacao_DW[[#This Row],[data]]&amp;Ocupacao_DW[[#This Row],[profissional_id]]&amp;Ocupacao_DW[[#This Row],[local_id]]</f>
        <v>446368141</v>
      </c>
      <c r="H1381" s="1">
        <f>_xlfn.XLOOKUP(Ocupacao_DW[[#This Row],[Concat]],Vagas!$H:$H,Vagas!$D:$D,"",0)</f>
        <v>0</v>
      </c>
    </row>
    <row r="1382" spans="1:8" x14ac:dyDescent="0.25">
      <c r="A1382" s="2">
        <v>44637</v>
      </c>
      <c r="B1382" s="1" t="s">
        <v>47</v>
      </c>
      <c r="C1382">
        <v>17928</v>
      </c>
      <c r="D1382" s="1" t="s">
        <v>268</v>
      </c>
      <c r="E1382" s="1" t="s">
        <v>4</v>
      </c>
      <c r="F1382">
        <v>51</v>
      </c>
      <c r="G1382" s="1" t="str">
        <f>Ocupacao_DW[[#This Row],[data]]&amp;Ocupacao_DW[[#This Row],[profissional_id]]&amp;Ocupacao_DW[[#This Row],[local_id]]</f>
        <v>446371792851</v>
      </c>
      <c r="H1382" s="1">
        <f>_xlfn.XLOOKUP(Ocupacao_DW[[#This Row],[Concat]],Vagas!$H:$H,Vagas!$D:$D,"",0)</f>
        <v>13</v>
      </c>
    </row>
    <row r="1383" spans="1:8" x14ac:dyDescent="0.25">
      <c r="A1383" s="2">
        <v>44637</v>
      </c>
      <c r="B1383" s="1" t="s">
        <v>47</v>
      </c>
      <c r="C1383">
        <v>9111</v>
      </c>
      <c r="D1383" s="1" t="s">
        <v>206</v>
      </c>
      <c r="E1383" s="1" t="s">
        <v>4</v>
      </c>
      <c r="F1383">
        <v>334</v>
      </c>
      <c r="G1383" s="1" t="str">
        <f>Ocupacao_DW[[#This Row],[data]]&amp;Ocupacao_DW[[#This Row],[profissional_id]]&amp;Ocupacao_DW[[#This Row],[local_id]]</f>
        <v>446379111334</v>
      </c>
      <c r="H1383" s="1">
        <f>_xlfn.XLOOKUP(Ocupacao_DW[[#This Row],[Concat]],Vagas!$H:$H,Vagas!$D:$D,"",0)</f>
        <v>0</v>
      </c>
    </row>
    <row r="1384" spans="1:8" x14ac:dyDescent="0.25">
      <c r="A1384" s="2">
        <v>44637</v>
      </c>
      <c r="B1384" s="1" t="s">
        <v>52</v>
      </c>
      <c r="C1384">
        <v>60</v>
      </c>
      <c r="D1384" s="1" t="s">
        <v>217</v>
      </c>
      <c r="E1384" s="1" t="s">
        <v>167</v>
      </c>
      <c r="F1384">
        <v>346</v>
      </c>
      <c r="G1384" s="1" t="str">
        <f>Ocupacao_DW[[#This Row],[data]]&amp;Ocupacao_DW[[#This Row],[profissional_id]]&amp;Ocupacao_DW[[#This Row],[local_id]]</f>
        <v>4463760346</v>
      </c>
      <c r="H1384" s="1">
        <f>_xlfn.XLOOKUP(Ocupacao_DW[[#This Row],[Concat]],Vagas!$H:$H,Vagas!$D:$D,"",0)</f>
        <v>0</v>
      </c>
    </row>
    <row r="1385" spans="1:8" x14ac:dyDescent="0.25">
      <c r="A1385" s="2">
        <v>44636</v>
      </c>
      <c r="B1385" s="1" t="s">
        <v>70</v>
      </c>
      <c r="C1385">
        <v>12825</v>
      </c>
      <c r="D1385" s="1" t="s">
        <v>177</v>
      </c>
      <c r="E1385" s="1" t="s">
        <v>4</v>
      </c>
      <c r="F1385">
        <v>45</v>
      </c>
      <c r="G1385" s="1" t="str">
        <f>Ocupacao_DW[[#This Row],[data]]&amp;Ocupacao_DW[[#This Row],[profissional_id]]&amp;Ocupacao_DW[[#This Row],[local_id]]</f>
        <v>446361282545</v>
      </c>
      <c r="H1385" s="1">
        <f>_xlfn.XLOOKUP(Ocupacao_DW[[#This Row],[Concat]],Vagas!$H:$H,Vagas!$D:$D,"",0)</f>
        <v>0</v>
      </c>
    </row>
    <row r="1386" spans="1:8" x14ac:dyDescent="0.25">
      <c r="A1386" s="2">
        <v>44638</v>
      </c>
      <c r="B1386" s="1" t="s">
        <v>52</v>
      </c>
      <c r="C1386">
        <v>10691</v>
      </c>
      <c r="D1386" s="1" t="s">
        <v>181</v>
      </c>
      <c r="E1386" s="1" t="s">
        <v>200</v>
      </c>
      <c r="F1386">
        <v>78</v>
      </c>
      <c r="G1386" s="1" t="str">
        <f>Ocupacao_DW[[#This Row],[data]]&amp;Ocupacao_DW[[#This Row],[profissional_id]]&amp;Ocupacao_DW[[#This Row],[local_id]]</f>
        <v>446381069178</v>
      </c>
      <c r="H1386" s="1">
        <f>_xlfn.XLOOKUP(Ocupacao_DW[[#This Row],[Concat]],Vagas!$H:$H,Vagas!$D:$D,"",0)</f>
        <v>0</v>
      </c>
    </row>
    <row r="1387" spans="1:8" x14ac:dyDescent="0.25">
      <c r="A1387" s="2">
        <v>44643</v>
      </c>
      <c r="B1387" s="1" t="s">
        <v>47</v>
      </c>
      <c r="C1387">
        <v>12684</v>
      </c>
      <c r="D1387" s="1" t="s">
        <v>236</v>
      </c>
      <c r="E1387" s="1" t="s">
        <v>4</v>
      </c>
      <c r="F1387">
        <v>51</v>
      </c>
      <c r="G1387" s="1" t="str">
        <f>Ocupacao_DW[[#This Row],[data]]&amp;Ocupacao_DW[[#This Row],[profissional_id]]&amp;Ocupacao_DW[[#This Row],[local_id]]</f>
        <v>446431268451</v>
      </c>
      <c r="H1387" s="1">
        <f>_xlfn.XLOOKUP(Ocupacao_DW[[#This Row],[Concat]],Vagas!$H:$H,Vagas!$D:$D,"",0)</f>
        <v>0</v>
      </c>
    </row>
    <row r="1388" spans="1:8" x14ac:dyDescent="0.25">
      <c r="A1388" s="2">
        <v>44642</v>
      </c>
      <c r="B1388" s="1" t="s">
        <v>47</v>
      </c>
      <c r="C1388">
        <v>9111</v>
      </c>
      <c r="D1388" s="1" t="s">
        <v>206</v>
      </c>
      <c r="E1388" s="1" t="s">
        <v>4</v>
      </c>
      <c r="F1388">
        <v>335</v>
      </c>
      <c r="G1388" s="1" t="str">
        <f>Ocupacao_DW[[#This Row],[data]]&amp;Ocupacao_DW[[#This Row],[profissional_id]]&amp;Ocupacao_DW[[#This Row],[local_id]]</f>
        <v>446429111335</v>
      </c>
      <c r="H1388" s="1">
        <f>_xlfn.XLOOKUP(Ocupacao_DW[[#This Row],[Concat]],Vagas!$H:$H,Vagas!$D:$D,"",0)</f>
        <v>0</v>
      </c>
    </row>
    <row r="1389" spans="1:8" x14ac:dyDescent="0.25">
      <c r="A1389" s="2">
        <v>44642</v>
      </c>
      <c r="B1389" s="1" t="s">
        <v>64</v>
      </c>
      <c r="C1389">
        <v>85</v>
      </c>
      <c r="D1389" s="1" t="s">
        <v>211</v>
      </c>
      <c r="E1389" s="1" t="s">
        <v>5</v>
      </c>
      <c r="F1389">
        <v>349</v>
      </c>
      <c r="G1389" s="1" t="str">
        <f>Ocupacao_DW[[#This Row],[data]]&amp;Ocupacao_DW[[#This Row],[profissional_id]]&amp;Ocupacao_DW[[#This Row],[local_id]]</f>
        <v>4464285349</v>
      </c>
      <c r="H1389" s="1">
        <f>_xlfn.XLOOKUP(Ocupacao_DW[[#This Row],[Concat]],Vagas!$H:$H,Vagas!$D:$D,"",0)</f>
        <v>0</v>
      </c>
    </row>
    <row r="1390" spans="1:8" x14ac:dyDescent="0.25">
      <c r="A1390" s="2">
        <v>44636</v>
      </c>
      <c r="B1390" s="1" t="s">
        <v>62</v>
      </c>
      <c r="C1390">
        <v>3502</v>
      </c>
      <c r="D1390" s="1" t="s">
        <v>214</v>
      </c>
      <c r="E1390" s="1" t="s">
        <v>5</v>
      </c>
      <c r="F1390">
        <v>16</v>
      </c>
      <c r="G1390" s="1" t="str">
        <f>Ocupacao_DW[[#This Row],[data]]&amp;Ocupacao_DW[[#This Row],[profissional_id]]&amp;Ocupacao_DW[[#This Row],[local_id]]</f>
        <v>44636350216</v>
      </c>
      <c r="H1390" s="1">
        <f>_xlfn.XLOOKUP(Ocupacao_DW[[#This Row],[Concat]],Vagas!$H:$H,Vagas!$D:$D,"",0)</f>
        <v>0</v>
      </c>
    </row>
    <row r="1391" spans="1:8" x14ac:dyDescent="0.25">
      <c r="A1391" s="2">
        <v>44636</v>
      </c>
      <c r="B1391" s="1" t="s">
        <v>62</v>
      </c>
      <c r="C1391">
        <v>3502</v>
      </c>
      <c r="D1391" s="1" t="s">
        <v>214</v>
      </c>
      <c r="E1391" s="1" t="s">
        <v>5</v>
      </c>
      <c r="F1391">
        <v>16</v>
      </c>
      <c r="G1391" s="1" t="str">
        <f>Ocupacao_DW[[#This Row],[data]]&amp;Ocupacao_DW[[#This Row],[profissional_id]]&amp;Ocupacao_DW[[#This Row],[local_id]]</f>
        <v>44636350216</v>
      </c>
      <c r="H1391" s="1">
        <f>_xlfn.XLOOKUP(Ocupacao_DW[[#This Row],[Concat]],Vagas!$H:$H,Vagas!$D:$D,"",0)</f>
        <v>0</v>
      </c>
    </row>
    <row r="1392" spans="1:8" x14ac:dyDescent="0.25">
      <c r="A1392" s="2">
        <v>44637</v>
      </c>
      <c r="B1392" s="1" t="s">
        <v>71</v>
      </c>
      <c r="C1392">
        <v>76</v>
      </c>
      <c r="D1392" s="1" t="s">
        <v>227</v>
      </c>
      <c r="E1392" s="1" t="s">
        <v>4</v>
      </c>
      <c r="F1392">
        <v>48</v>
      </c>
      <c r="G1392" s="1" t="str">
        <f>Ocupacao_DW[[#This Row],[data]]&amp;Ocupacao_DW[[#This Row],[profissional_id]]&amp;Ocupacao_DW[[#This Row],[local_id]]</f>
        <v>446377648</v>
      </c>
      <c r="H1392" s="1">
        <f>_xlfn.XLOOKUP(Ocupacao_DW[[#This Row],[Concat]],Vagas!$H:$H,Vagas!$D:$D,"",0)</f>
        <v>0</v>
      </c>
    </row>
    <row r="1393" spans="1:8" x14ac:dyDescent="0.25">
      <c r="A1393" s="2">
        <v>44637</v>
      </c>
      <c r="B1393" s="1" t="s">
        <v>72</v>
      </c>
      <c r="C1393">
        <v>6046</v>
      </c>
      <c r="D1393" s="1" t="s">
        <v>222</v>
      </c>
      <c r="E1393" s="1" t="s">
        <v>4</v>
      </c>
      <c r="F1393">
        <v>46</v>
      </c>
      <c r="G1393" s="1" t="str">
        <f>Ocupacao_DW[[#This Row],[data]]&amp;Ocupacao_DW[[#This Row],[profissional_id]]&amp;Ocupacao_DW[[#This Row],[local_id]]</f>
        <v>44637604646</v>
      </c>
      <c r="H1393" s="1">
        <f>_xlfn.XLOOKUP(Ocupacao_DW[[#This Row],[Concat]],Vagas!$H:$H,Vagas!$D:$D,"",0)</f>
        <v>0</v>
      </c>
    </row>
    <row r="1394" spans="1:8" x14ac:dyDescent="0.25">
      <c r="A1394" s="2">
        <v>44637</v>
      </c>
      <c r="B1394" s="1" t="s">
        <v>55</v>
      </c>
      <c r="C1394">
        <v>8598</v>
      </c>
      <c r="D1394" s="1" t="s">
        <v>228</v>
      </c>
      <c r="E1394" s="1" t="s">
        <v>6</v>
      </c>
      <c r="F1394">
        <v>3</v>
      </c>
      <c r="G1394" s="1" t="str">
        <f>Ocupacao_DW[[#This Row],[data]]&amp;Ocupacao_DW[[#This Row],[profissional_id]]&amp;Ocupacao_DW[[#This Row],[local_id]]</f>
        <v>4463785983</v>
      </c>
      <c r="H1394" s="1">
        <f>_xlfn.XLOOKUP(Ocupacao_DW[[#This Row],[Concat]],Vagas!$H:$H,Vagas!$D:$D,"",0)</f>
        <v>0</v>
      </c>
    </row>
    <row r="1395" spans="1:8" x14ac:dyDescent="0.25">
      <c r="A1395" s="2">
        <v>44635</v>
      </c>
      <c r="B1395" s="1" t="s">
        <v>47</v>
      </c>
      <c r="C1395">
        <v>12752</v>
      </c>
      <c r="D1395" s="1" t="s">
        <v>253</v>
      </c>
      <c r="E1395" s="1" t="s">
        <v>7</v>
      </c>
      <c r="F1395">
        <v>60</v>
      </c>
      <c r="G1395" s="1" t="str">
        <f>Ocupacao_DW[[#This Row],[data]]&amp;Ocupacao_DW[[#This Row],[profissional_id]]&amp;Ocupacao_DW[[#This Row],[local_id]]</f>
        <v>446351275260</v>
      </c>
      <c r="H1395" s="1">
        <f>_xlfn.XLOOKUP(Ocupacao_DW[[#This Row],[Concat]],Vagas!$H:$H,Vagas!$D:$D,"",0)</f>
        <v>0</v>
      </c>
    </row>
    <row r="1396" spans="1:8" x14ac:dyDescent="0.25">
      <c r="A1396" s="2">
        <v>44635</v>
      </c>
      <c r="B1396" s="1" t="s">
        <v>65</v>
      </c>
      <c r="C1396">
        <v>11237</v>
      </c>
      <c r="D1396" s="1" t="s">
        <v>229</v>
      </c>
      <c r="E1396" s="1" t="s">
        <v>4</v>
      </c>
      <c r="F1396">
        <v>46</v>
      </c>
      <c r="G1396" s="1" t="str">
        <f>Ocupacao_DW[[#This Row],[data]]&amp;Ocupacao_DW[[#This Row],[profissional_id]]&amp;Ocupacao_DW[[#This Row],[local_id]]</f>
        <v>446351123746</v>
      </c>
      <c r="H1396" s="1">
        <f>_xlfn.XLOOKUP(Ocupacao_DW[[#This Row],[Concat]],Vagas!$H:$H,Vagas!$D:$D,"",0)</f>
        <v>0</v>
      </c>
    </row>
    <row r="1397" spans="1:8" x14ac:dyDescent="0.25">
      <c r="A1397" s="2">
        <v>44638</v>
      </c>
      <c r="B1397" s="1" t="s">
        <v>62</v>
      </c>
      <c r="C1397">
        <v>3502</v>
      </c>
      <c r="D1397" s="1" t="s">
        <v>214</v>
      </c>
      <c r="E1397" s="1" t="s">
        <v>7</v>
      </c>
      <c r="F1397">
        <v>63</v>
      </c>
      <c r="G1397" s="1" t="str">
        <f>Ocupacao_DW[[#This Row],[data]]&amp;Ocupacao_DW[[#This Row],[profissional_id]]&amp;Ocupacao_DW[[#This Row],[local_id]]</f>
        <v>44638350263</v>
      </c>
      <c r="H1397" s="1" t="str">
        <f>_xlfn.XLOOKUP(Ocupacao_DW[[#This Row],[Concat]],Vagas!$H:$H,Vagas!$D:$D,"",0)</f>
        <v/>
      </c>
    </row>
    <row r="1398" spans="1:8" x14ac:dyDescent="0.25">
      <c r="A1398" s="2">
        <v>44644</v>
      </c>
      <c r="B1398" s="1" t="s">
        <v>47</v>
      </c>
      <c r="C1398">
        <v>9111</v>
      </c>
      <c r="D1398" s="1" t="s">
        <v>206</v>
      </c>
      <c r="E1398" s="1" t="s">
        <v>4</v>
      </c>
      <c r="F1398">
        <v>334</v>
      </c>
      <c r="G1398" s="1" t="str">
        <f>Ocupacao_DW[[#This Row],[data]]&amp;Ocupacao_DW[[#This Row],[profissional_id]]&amp;Ocupacao_DW[[#This Row],[local_id]]</f>
        <v>446449111334</v>
      </c>
      <c r="H1398" s="1">
        <f>_xlfn.XLOOKUP(Ocupacao_DW[[#This Row],[Concat]],Vagas!$H:$H,Vagas!$D:$D,"",0)</f>
        <v>0</v>
      </c>
    </row>
    <row r="1399" spans="1:8" x14ac:dyDescent="0.25">
      <c r="A1399" s="2">
        <v>44644</v>
      </c>
      <c r="B1399" s="1" t="s">
        <v>49</v>
      </c>
      <c r="C1399">
        <v>3092</v>
      </c>
      <c r="D1399" s="1" t="s">
        <v>262</v>
      </c>
      <c r="E1399" s="1" t="s">
        <v>4</v>
      </c>
      <c r="F1399">
        <v>43</v>
      </c>
      <c r="G1399" s="1" t="str">
        <f>Ocupacao_DW[[#This Row],[data]]&amp;Ocupacao_DW[[#This Row],[profissional_id]]&amp;Ocupacao_DW[[#This Row],[local_id]]</f>
        <v>44644309243</v>
      </c>
      <c r="H1399" s="1">
        <f>_xlfn.XLOOKUP(Ocupacao_DW[[#This Row],[Concat]],Vagas!$H:$H,Vagas!$D:$D,"",0)</f>
        <v>0</v>
      </c>
    </row>
    <row r="1400" spans="1:8" x14ac:dyDescent="0.25">
      <c r="A1400" s="2">
        <v>44637</v>
      </c>
      <c r="B1400" s="1" t="s">
        <v>49</v>
      </c>
      <c r="C1400">
        <v>81</v>
      </c>
      <c r="D1400" s="1" t="s">
        <v>170</v>
      </c>
      <c r="E1400" s="1" t="s">
        <v>4</v>
      </c>
      <c r="F1400">
        <v>41</v>
      </c>
      <c r="G1400" s="1" t="str">
        <f>Ocupacao_DW[[#This Row],[data]]&amp;Ocupacao_DW[[#This Row],[profissional_id]]&amp;Ocupacao_DW[[#This Row],[local_id]]</f>
        <v>446378141</v>
      </c>
      <c r="H1400" s="1">
        <f>_xlfn.XLOOKUP(Ocupacao_DW[[#This Row],[Concat]],Vagas!$H:$H,Vagas!$D:$D,"",0)</f>
        <v>0</v>
      </c>
    </row>
    <row r="1401" spans="1:8" x14ac:dyDescent="0.25">
      <c r="A1401" s="2">
        <v>44636</v>
      </c>
      <c r="B1401" s="1" t="s">
        <v>72</v>
      </c>
      <c r="C1401">
        <v>6046</v>
      </c>
      <c r="D1401" s="1" t="s">
        <v>222</v>
      </c>
      <c r="E1401" s="1" t="s">
        <v>167</v>
      </c>
      <c r="F1401">
        <v>344</v>
      </c>
      <c r="G1401" s="1" t="str">
        <f>Ocupacao_DW[[#This Row],[data]]&amp;Ocupacao_DW[[#This Row],[profissional_id]]&amp;Ocupacao_DW[[#This Row],[local_id]]</f>
        <v>446366046344</v>
      </c>
      <c r="H1401" s="1">
        <f>_xlfn.XLOOKUP(Ocupacao_DW[[#This Row],[Concat]],Vagas!$H:$H,Vagas!$D:$D,"",0)</f>
        <v>0</v>
      </c>
    </row>
    <row r="1402" spans="1:8" x14ac:dyDescent="0.25">
      <c r="A1402" s="2">
        <v>44636</v>
      </c>
      <c r="B1402" s="1" t="s">
        <v>47</v>
      </c>
      <c r="C1402">
        <v>17859</v>
      </c>
      <c r="D1402" s="1" t="s">
        <v>212</v>
      </c>
      <c r="E1402" s="1" t="s">
        <v>4</v>
      </c>
      <c r="F1402">
        <v>336</v>
      </c>
      <c r="G1402" s="1" t="str">
        <f>Ocupacao_DW[[#This Row],[data]]&amp;Ocupacao_DW[[#This Row],[profissional_id]]&amp;Ocupacao_DW[[#This Row],[local_id]]</f>
        <v>4463617859336</v>
      </c>
      <c r="H1402" s="1">
        <f>_xlfn.XLOOKUP(Ocupacao_DW[[#This Row],[Concat]],Vagas!$H:$H,Vagas!$D:$D,"",0)</f>
        <v>0</v>
      </c>
    </row>
    <row r="1403" spans="1:8" x14ac:dyDescent="0.25">
      <c r="A1403" s="2">
        <v>44650</v>
      </c>
      <c r="B1403" s="1" t="s">
        <v>56</v>
      </c>
      <c r="C1403">
        <v>5927</v>
      </c>
      <c r="D1403" s="1" t="s">
        <v>226</v>
      </c>
      <c r="E1403" s="1" t="s">
        <v>5</v>
      </c>
      <c r="F1403">
        <v>17</v>
      </c>
      <c r="G1403" s="1" t="str">
        <f>Ocupacao_DW[[#This Row],[data]]&amp;Ocupacao_DW[[#This Row],[profissional_id]]&amp;Ocupacao_DW[[#This Row],[local_id]]</f>
        <v>44650592717</v>
      </c>
      <c r="H1403" s="1">
        <f>_xlfn.XLOOKUP(Ocupacao_DW[[#This Row],[Concat]],Vagas!$H:$H,Vagas!$D:$D,"",0)</f>
        <v>0</v>
      </c>
    </row>
    <row r="1404" spans="1:8" x14ac:dyDescent="0.25">
      <c r="A1404" s="2">
        <v>44638</v>
      </c>
      <c r="B1404" s="1" t="s">
        <v>72</v>
      </c>
      <c r="C1404">
        <v>1794</v>
      </c>
      <c r="D1404" s="1" t="s">
        <v>235</v>
      </c>
      <c r="E1404" s="1" t="s">
        <v>4</v>
      </c>
      <c r="F1404">
        <v>46</v>
      </c>
      <c r="G1404" s="1" t="str">
        <f>Ocupacao_DW[[#This Row],[data]]&amp;Ocupacao_DW[[#This Row],[profissional_id]]&amp;Ocupacao_DW[[#This Row],[local_id]]</f>
        <v>44638179446</v>
      </c>
      <c r="H1404" s="1">
        <f>_xlfn.XLOOKUP(Ocupacao_DW[[#This Row],[Concat]],Vagas!$H:$H,Vagas!$D:$D,"",0)</f>
        <v>0</v>
      </c>
    </row>
    <row r="1405" spans="1:8" x14ac:dyDescent="0.25">
      <c r="A1405" s="2">
        <v>44641</v>
      </c>
      <c r="B1405" s="1" t="s">
        <v>55</v>
      </c>
      <c r="C1405">
        <v>12669</v>
      </c>
      <c r="D1405" s="1" t="s">
        <v>223</v>
      </c>
      <c r="E1405" s="1" t="s">
        <v>6</v>
      </c>
      <c r="F1405">
        <v>6</v>
      </c>
      <c r="G1405" s="1" t="str">
        <f>Ocupacao_DW[[#This Row],[data]]&amp;Ocupacao_DW[[#This Row],[profissional_id]]&amp;Ocupacao_DW[[#This Row],[local_id]]</f>
        <v>44641126696</v>
      </c>
      <c r="H1405" s="1">
        <f>_xlfn.XLOOKUP(Ocupacao_DW[[#This Row],[Concat]],Vagas!$H:$H,Vagas!$D:$D,"",0)</f>
        <v>0</v>
      </c>
    </row>
    <row r="1406" spans="1:8" x14ac:dyDescent="0.25">
      <c r="A1406" s="2">
        <v>44641</v>
      </c>
      <c r="B1406" s="1" t="s">
        <v>49</v>
      </c>
      <c r="C1406">
        <v>6430</v>
      </c>
      <c r="D1406" s="1" t="s">
        <v>188</v>
      </c>
      <c r="E1406" s="1" t="s">
        <v>200</v>
      </c>
      <c r="F1406">
        <v>86</v>
      </c>
      <c r="G1406" s="1" t="str">
        <f>Ocupacao_DW[[#This Row],[data]]&amp;Ocupacao_DW[[#This Row],[profissional_id]]&amp;Ocupacao_DW[[#This Row],[local_id]]</f>
        <v>44641643086</v>
      </c>
      <c r="H1406" s="1">
        <f>_xlfn.XLOOKUP(Ocupacao_DW[[#This Row],[Concat]],Vagas!$H:$H,Vagas!$D:$D,"",0)</f>
        <v>0</v>
      </c>
    </row>
    <row r="1407" spans="1:8" x14ac:dyDescent="0.25">
      <c r="A1407" s="2">
        <v>44636</v>
      </c>
      <c r="B1407" s="1" t="s">
        <v>54</v>
      </c>
      <c r="C1407">
        <v>70</v>
      </c>
      <c r="D1407" s="1" t="s">
        <v>187</v>
      </c>
      <c r="E1407" s="1" t="s">
        <v>5</v>
      </c>
      <c r="F1407">
        <v>13</v>
      </c>
      <c r="G1407" s="1" t="str">
        <f>Ocupacao_DW[[#This Row],[data]]&amp;Ocupacao_DW[[#This Row],[profissional_id]]&amp;Ocupacao_DW[[#This Row],[local_id]]</f>
        <v>446367013</v>
      </c>
      <c r="H1407" s="1">
        <f>_xlfn.XLOOKUP(Ocupacao_DW[[#This Row],[Concat]],Vagas!$H:$H,Vagas!$D:$D,"",0)</f>
        <v>0</v>
      </c>
    </row>
    <row r="1408" spans="1:8" x14ac:dyDescent="0.25">
      <c r="A1408" s="2">
        <v>44644</v>
      </c>
      <c r="B1408" s="1" t="s">
        <v>70</v>
      </c>
      <c r="C1408">
        <v>12519</v>
      </c>
      <c r="D1408" s="1" t="s">
        <v>176</v>
      </c>
      <c r="E1408" s="1" t="s">
        <v>4</v>
      </c>
      <c r="F1408">
        <v>42</v>
      </c>
      <c r="G1408" s="1" t="str">
        <f>Ocupacao_DW[[#This Row],[data]]&amp;Ocupacao_DW[[#This Row],[profissional_id]]&amp;Ocupacao_DW[[#This Row],[local_id]]</f>
        <v>446441251942</v>
      </c>
      <c r="H1408" s="1">
        <f>_xlfn.XLOOKUP(Ocupacao_DW[[#This Row],[Concat]],Vagas!$H:$H,Vagas!$D:$D,"",0)</f>
        <v>0</v>
      </c>
    </row>
    <row r="1409" spans="1:8" x14ac:dyDescent="0.25">
      <c r="A1409" s="2">
        <v>44651</v>
      </c>
      <c r="B1409" s="1" t="s">
        <v>55</v>
      </c>
      <c r="C1409">
        <v>74</v>
      </c>
      <c r="D1409" s="1" t="s">
        <v>182</v>
      </c>
      <c r="E1409" s="1" t="s">
        <v>6</v>
      </c>
      <c r="F1409">
        <v>7</v>
      </c>
      <c r="G1409" s="1" t="str">
        <f>Ocupacao_DW[[#This Row],[data]]&amp;Ocupacao_DW[[#This Row],[profissional_id]]&amp;Ocupacao_DW[[#This Row],[local_id]]</f>
        <v>44651747</v>
      </c>
      <c r="H1409" s="1">
        <f>_xlfn.XLOOKUP(Ocupacao_DW[[#This Row],[Concat]],Vagas!$H:$H,Vagas!$D:$D,"",0)</f>
        <v>0</v>
      </c>
    </row>
    <row r="1410" spans="1:8" x14ac:dyDescent="0.25">
      <c r="A1410" s="2">
        <v>44636</v>
      </c>
      <c r="B1410" s="1" t="s">
        <v>57</v>
      </c>
      <c r="C1410">
        <v>80</v>
      </c>
      <c r="D1410" s="1" t="s">
        <v>179</v>
      </c>
      <c r="E1410" s="1" t="s">
        <v>167</v>
      </c>
      <c r="F1410">
        <v>346</v>
      </c>
      <c r="G1410" s="1" t="str">
        <f>Ocupacao_DW[[#This Row],[data]]&amp;Ocupacao_DW[[#This Row],[profissional_id]]&amp;Ocupacao_DW[[#This Row],[local_id]]</f>
        <v>4463680346</v>
      </c>
      <c r="H1410" s="1">
        <f>_xlfn.XLOOKUP(Ocupacao_DW[[#This Row],[Concat]],Vagas!$H:$H,Vagas!$D:$D,"",0)</f>
        <v>0</v>
      </c>
    </row>
    <row r="1411" spans="1:8" x14ac:dyDescent="0.25">
      <c r="A1411" s="2">
        <v>44648</v>
      </c>
      <c r="B1411" s="1" t="s">
        <v>47</v>
      </c>
      <c r="C1411">
        <v>13371</v>
      </c>
      <c r="D1411" s="1" t="s">
        <v>205</v>
      </c>
      <c r="E1411" s="1" t="s">
        <v>4</v>
      </c>
      <c r="F1411">
        <v>335</v>
      </c>
      <c r="G1411" s="1" t="str">
        <f>Ocupacao_DW[[#This Row],[data]]&amp;Ocupacao_DW[[#This Row],[profissional_id]]&amp;Ocupacao_DW[[#This Row],[local_id]]</f>
        <v>4464813371335</v>
      </c>
      <c r="H1411" s="1" t="str">
        <f>_xlfn.XLOOKUP(Ocupacao_DW[[#This Row],[Concat]],Vagas!$H:$H,Vagas!$D:$D,"",0)</f>
        <v/>
      </c>
    </row>
    <row r="1412" spans="1:8" x14ac:dyDescent="0.25">
      <c r="A1412" s="2">
        <v>44643</v>
      </c>
      <c r="B1412" s="1" t="s">
        <v>60</v>
      </c>
      <c r="C1412">
        <v>14326</v>
      </c>
      <c r="D1412" s="1" t="s">
        <v>220</v>
      </c>
      <c r="E1412" s="1" t="s">
        <v>4</v>
      </c>
      <c r="F1412">
        <v>43</v>
      </c>
      <c r="G1412" s="1" t="str">
        <f>Ocupacao_DW[[#This Row],[data]]&amp;Ocupacao_DW[[#This Row],[profissional_id]]&amp;Ocupacao_DW[[#This Row],[local_id]]</f>
        <v>446431432643</v>
      </c>
      <c r="H1412" s="1">
        <f>_xlfn.XLOOKUP(Ocupacao_DW[[#This Row],[Concat]],Vagas!$H:$H,Vagas!$D:$D,"",0)</f>
        <v>0</v>
      </c>
    </row>
    <row r="1413" spans="1:8" x14ac:dyDescent="0.25">
      <c r="A1413" s="2">
        <v>44645</v>
      </c>
      <c r="B1413" s="1" t="s">
        <v>49</v>
      </c>
      <c r="C1413">
        <v>81</v>
      </c>
      <c r="D1413" s="1" t="s">
        <v>170</v>
      </c>
      <c r="E1413" s="1" t="s">
        <v>4</v>
      </c>
      <c r="F1413">
        <v>41</v>
      </c>
      <c r="G1413" s="1" t="str">
        <f>Ocupacao_DW[[#This Row],[data]]&amp;Ocupacao_DW[[#This Row],[profissional_id]]&amp;Ocupacao_DW[[#This Row],[local_id]]</f>
        <v>446458141</v>
      </c>
      <c r="H1413" s="1">
        <f>_xlfn.XLOOKUP(Ocupacao_DW[[#This Row],[Concat]],Vagas!$H:$H,Vagas!$D:$D,"",0)</f>
        <v>0</v>
      </c>
    </row>
    <row r="1414" spans="1:8" x14ac:dyDescent="0.25">
      <c r="A1414" s="2">
        <v>44644</v>
      </c>
      <c r="B1414" s="1"/>
      <c r="C1414">
        <v>12519</v>
      </c>
      <c r="D1414" s="1" t="s">
        <v>176</v>
      </c>
      <c r="E1414" s="1" t="s">
        <v>4</v>
      </c>
      <c r="F1414">
        <v>42</v>
      </c>
      <c r="G1414" s="1" t="str">
        <f>Ocupacao_DW[[#This Row],[data]]&amp;Ocupacao_DW[[#This Row],[profissional_id]]&amp;Ocupacao_DW[[#This Row],[local_id]]</f>
        <v>446441251942</v>
      </c>
      <c r="H1414" s="1">
        <f>_xlfn.XLOOKUP(Ocupacao_DW[[#This Row],[Concat]],Vagas!$H:$H,Vagas!$D:$D,"",0)</f>
        <v>0</v>
      </c>
    </row>
    <row r="1415" spans="1:8" x14ac:dyDescent="0.25">
      <c r="A1415" s="2">
        <v>44636</v>
      </c>
      <c r="B1415" s="1" t="s">
        <v>62</v>
      </c>
      <c r="C1415">
        <v>3502</v>
      </c>
      <c r="D1415" s="1" t="s">
        <v>214</v>
      </c>
      <c r="E1415" s="1" t="s">
        <v>5</v>
      </c>
      <c r="F1415">
        <v>16</v>
      </c>
      <c r="G1415" s="1" t="str">
        <f>Ocupacao_DW[[#This Row],[data]]&amp;Ocupacao_DW[[#This Row],[profissional_id]]&amp;Ocupacao_DW[[#This Row],[local_id]]</f>
        <v>44636350216</v>
      </c>
      <c r="H1415" s="1">
        <f>_xlfn.XLOOKUP(Ocupacao_DW[[#This Row],[Concat]],Vagas!$H:$H,Vagas!$D:$D,"",0)</f>
        <v>0</v>
      </c>
    </row>
    <row r="1416" spans="1:8" x14ac:dyDescent="0.25">
      <c r="A1416" s="2">
        <v>44635</v>
      </c>
      <c r="B1416" s="1" t="s">
        <v>65</v>
      </c>
      <c r="C1416">
        <v>11237</v>
      </c>
      <c r="D1416" s="1" t="s">
        <v>229</v>
      </c>
      <c r="E1416" s="1" t="s">
        <v>4</v>
      </c>
      <c r="F1416">
        <v>46</v>
      </c>
      <c r="G1416" s="1" t="str">
        <f>Ocupacao_DW[[#This Row],[data]]&amp;Ocupacao_DW[[#This Row],[profissional_id]]&amp;Ocupacao_DW[[#This Row],[local_id]]</f>
        <v>446351123746</v>
      </c>
      <c r="H1416" s="1">
        <f>_xlfn.XLOOKUP(Ocupacao_DW[[#This Row],[Concat]],Vagas!$H:$H,Vagas!$D:$D,"",0)</f>
        <v>0</v>
      </c>
    </row>
    <row r="1417" spans="1:8" x14ac:dyDescent="0.25">
      <c r="A1417" s="2">
        <v>44641</v>
      </c>
      <c r="B1417" s="1" t="s">
        <v>49</v>
      </c>
      <c r="C1417">
        <v>81</v>
      </c>
      <c r="D1417" s="1" t="s">
        <v>170</v>
      </c>
      <c r="E1417" s="1" t="s">
        <v>4</v>
      </c>
      <c r="F1417">
        <v>41</v>
      </c>
      <c r="G1417" s="1" t="str">
        <f>Ocupacao_DW[[#This Row],[data]]&amp;Ocupacao_DW[[#This Row],[profissional_id]]&amp;Ocupacao_DW[[#This Row],[local_id]]</f>
        <v>446418141</v>
      </c>
      <c r="H1417" s="1">
        <f>_xlfn.XLOOKUP(Ocupacao_DW[[#This Row],[Concat]],Vagas!$H:$H,Vagas!$D:$D,"",0)</f>
        <v>0</v>
      </c>
    </row>
    <row r="1418" spans="1:8" x14ac:dyDescent="0.25">
      <c r="A1418" s="2">
        <v>44644</v>
      </c>
      <c r="B1418" s="1" t="s">
        <v>70</v>
      </c>
      <c r="C1418">
        <v>12519</v>
      </c>
      <c r="D1418" s="1" t="s">
        <v>176</v>
      </c>
      <c r="E1418" s="1" t="s">
        <v>4</v>
      </c>
      <c r="F1418">
        <v>42</v>
      </c>
      <c r="G1418" s="1" t="str">
        <f>Ocupacao_DW[[#This Row],[data]]&amp;Ocupacao_DW[[#This Row],[profissional_id]]&amp;Ocupacao_DW[[#This Row],[local_id]]</f>
        <v>446441251942</v>
      </c>
      <c r="H1418" s="1">
        <f>_xlfn.XLOOKUP(Ocupacao_DW[[#This Row],[Concat]],Vagas!$H:$H,Vagas!$D:$D,"",0)</f>
        <v>0</v>
      </c>
    </row>
    <row r="1419" spans="1:8" x14ac:dyDescent="0.25">
      <c r="A1419" s="2">
        <v>44636</v>
      </c>
      <c r="B1419" s="1" t="s">
        <v>72</v>
      </c>
      <c r="C1419">
        <v>1794</v>
      </c>
      <c r="D1419" s="1" t="s">
        <v>235</v>
      </c>
      <c r="E1419" s="1" t="s">
        <v>4</v>
      </c>
      <c r="F1419">
        <v>49</v>
      </c>
      <c r="G1419" s="1" t="str">
        <f>Ocupacao_DW[[#This Row],[data]]&amp;Ocupacao_DW[[#This Row],[profissional_id]]&amp;Ocupacao_DW[[#This Row],[local_id]]</f>
        <v>44636179449</v>
      </c>
      <c r="H1419" s="1">
        <f>_xlfn.XLOOKUP(Ocupacao_DW[[#This Row],[Concat]],Vagas!$H:$H,Vagas!$D:$D,"",0)</f>
        <v>0</v>
      </c>
    </row>
    <row r="1420" spans="1:8" x14ac:dyDescent="0.25">
      <c r="A1420" s="2">
        <v>44635</v>
      </c>
      <c r="B1420" s="1" t="s">
        <v>54</v>
      </c>
      <c r="C1420">
        <v>69</v>
      </c>
      <c r="D1420" s="1" t="s">
        <v>238</v>
      </c>
      <c r="E1420" s="1" t="s">
        <v>5</v>
      </c>
      <c r="F1420">
        <v>13</v>
      </c>
      <c r="G1420" s="1" t="str">
        <f>Ocupacao_DW[[#This Row],[data]]&amp;Ocupacao_DW[[#This Row],[profissional_id]]&amp;Ocupacao_DW[[#This Row],[local_id]]</f>
        <v>446356913</v>
      </c>
      <c r="H1420" s="1">
        <f>_xlfn.XLOOKUP(Ocupacao_DW[[#This Row],[Concat]],Vagas!$H:$H,Vagas!$D:$D,"",0)</f>
        <v>0</v>
      </c>
    </row>
    <row r="1421" spans="1:8" x14ac:dyDescent="0.25">
      <c r="A1421" s="2">
        <v>44643</v>
      </c>
      <c r="B1421" s="1" t="s">
        <v>51</v>
      </c>
      <c r="C1421">
        <v>12679</v>
      </c>
      <c r="D1421" s="1" t="s">
        <v>192</v>
      </c>
      <c r="E1421" s="1" t="s">
        <v>200</v>
      </c>
      <c r="F1421">
        <v>82</v>
      </c>
      <c r="G1421" s="1" t="str">
        <f>Ocupacao_DW[[#This Row],[data]]&amp;Ocupacao_DW[[#This Row],[profissional_id]]&amp;Ocupacao_DW[[#This Row],[local_id]]</f>
        <v>446431267982</v>
      </c>
      <c r="H1421" s="1">
        <f>_xlfn.XLOOKUP(Ocupacao_DW[[#This Row],[Concat]],Vagas!$H:$H,Vagas!$D:$D,"",0)</f>
        <v>0</v>
      </c>
    </row>
    <row r="1422" spans="1:8" x14ac:dyDescent="0.25">
      <c r="A1422" s="2">
        <v>44635</v>
      </c>
      <c r="B1422" s="1" t="s">
        <v>52</v>
      </c>
      <c r="C1422">
        <v>60</v>
      </c>
      <c r="D1422" s="1" t="s">
        <v>217</v>
      </c>
      <c r="E1422" s="1" t="s">
        <v>167</v>
      </c>
      <c r="F1422">
        <v>345</v>
      </c>
      <c r="G1422" s="1" t="str">
        <f>Ocupacao_DW[[#This Row],[data]]&amp;Ocupacao_DW[[#This Row],[profissional_id]]&amp;Ocupacao_DW[[#This Row],[local_id]]</f>
        <v>4463560345</v>
      </c>
      <c r="H1422" s="1">
        <f>_xlfn.XLOOKUP(Ocupacao_DW[[#This Row],[Concat]],Vagas!$H:$H,Vagas!$D:$D,"",0)</f>
        <v>0</v>
      </c>
    </row>
    <row r="1423" spans="1:8" x14ac:dyDescent="0.25">
      <c r="A1423" s="2">
        <v>44643</v>
      </c>
      <c r="B1423" s="1" t="s">
        <v>52</v>
      </c>
      <c r="C1423">
        <v>60</v>
      </c>
      <c r="D1423" s="1" t="s">
        <v>217</v>
      </c>
      <c r="E1423" s="1" t="s">
        <v>6</v>
      </c>
      <c r="F1423">
        <v>8</v>
      </c>
      <c r="G1423" s="1" t="str">
        <f>Ocupacao_DW[[#This Row],[data]]&amp;Ocupacao_DW[[#This Row],[profissional_id]]&amp;Ocupacao_DW[[#This Row],[local_id]]</f>
        <v>44643608</v>
      </c>
      <c r="H1423" s="1">
        <f>_xlfn.XLOOKUP(Ocupacao_DW[[#This Row],[Concat]],Vagas!$H:$H,Vagas!$D:$D,"",0)</f>
        <v>0</v>
      </c>
    </row>
    <row r="1424" spans="1:8" x14ac:dyDescent="0.25">
      <c r="A1424" s="2">
        <v>44641</v>
      </c>
      <c r="B1424" s="1" t="s">
        <v>55</v>
      </c>
      <c r="C1424">
        <v>12669</v>
      </c>
      <c r="D1424" s="1" t="s">
        <v>223</v>
      </c>
      <c r="E1424" s="1" t="s">
        <v>6</v>
      </c>
      <c r="F1424">
        <v>6</v>
      </c>
      <c r="G1424" s="1" t="str">
        <f>Ocupacao_DW[[#This Row],[data]]&amp;Ocupacao_DW[[#This Row],[profissional_id]]&amp;Ocupacao_DW[[#This Row],[local_id]]</f>
        <v>44641126696</v>
      </c>
      <c r="H1424" s="1">
        <f>_xlfn.XLOOKUP(Ocupacao_DW[[#This Row],[Concat]],Vagas!$H:$H,Vagas!$D:$D,"",0)</f>
        <v>0</v>
      </c>
    </row>
    <row r="1425" spans="1:8" x14ac:dyDescent="0.25">
      <c r="A1425" s="2">
        <v>44641</v>
      </c>
      <c r="B1425" s="1" t="s">
        <v>55</v>
      </c>
      <c r="C1425">
        <v>12669</v>
      </c>
      <c r="D1425" s="1" t="s">
        <v>223</v>
      </c>
      <c r="E1425" s="1" t="s">
        <v>6</v>
      </c>
      <c r="F1425">
        <v>6</v>
      </c>
      <c r="G1425" s="1" t="str">
        <f>Ocupacao_DW[[#This Row],[data]]&amp;Ocupacao_DW[[#This Row],[profissional_id]]&amp;Ocupacao_DW[[#This Row],[local_id]]</f>
        <v>44641126696</v>
      </c>
      <c r="H1425" s="1">
        <f>_xlfn.XLOOKUP(Ocupacao_DW[[#This Row],[Concat]],Vagas!$H:$H,Vagas!$D:$D,"",0)</f>
        <v>0</v>
      </c>
    </row>
    <row r="1426" spans="1:8" x14ac:dyDescent="0.25">
      <c r="A1426" s="2">
        <v>44636</v>
      </c>
      <c r="B1426" s="1" t="s">
        <v>47</v>
      </c>
      <c r="C1426">
        <v>111</v>
      </c>
      <c r="D1426" s="1" t="s">
        <v>199</v>
      </c>
      <c r="E1426" s="1" t="s">
        <v>4</v>
      </c>
      <c r="F1426">
        <v>51</v>
      </c>
      <c r="G1426" s="1" t="str">
        <f>Ocupacao_DW[[#This Row],[data]]&amp;Ocupacao_DW[[#This Row],[profissional_id]]&amp;Ocupacao_DW[[#This Row],[local_id]]</f>
        <v>4463611151</v>
      </c>
      <c r="H1426" s="1">
        <f>_xlfn.XLOOKUP(Ocupacao_DW[[#This Row],[Concat]],Vagas!$H:$H,Vagas!$D:$D,"",0)</f>
        <v>1</v>
      </c>
    </row>
    <row r="1427" spans="1:8" x14ac:dyDescent="0.25">
      <c r="A1427" s="2">
        <v>44643</v>
      </c>
      <c r="B1427" s="1" t="s">
        <v>70</v>
      </c>
      <c r="C1427">
        <v>12825</v>
      </c>
      <c r="D1427" s="1" t="s">
        <v>177</v>
      </c>
      <c r="E1427" s="1" t="s">
        <v>4</v>
      </c>
      <c r="F1427">
        <v>45</v>
      </c>
      <c r="G1427" s="1" t="str">
        <f>Ocupacao_DW[[#This Row],[data]]&amp;Ocupacao_DW[[#This Row],[profissional_id]]&amp;Ocupacao_DW[[#This Row],[local_id]]</f>
        <v>446431282545</v>
      </c>
      <c r="H1427" s="1">
        <f>_xlfn.XLOOKUP(Ocupacao_DW[[#This Row],[Concat]],Vagas!$H:$H,Vagas!$D:$D,"",0)</f>
        <v>0</v>
      </c>
    </row>
    <row r="1428" spans="1:8" x14ac:dyDescent="0.25">
      <c r="A1428" s="2">
        <v>44639</v>
      </c>
      <c r="B1428" s="1" t="s">
        <v>52</v>
      </c>
      <c r="C1428">
        <v>60</v>
      </c>
      <c r="D1428" s="1" t="s">
        <v>217</v>
      </c>
      <c r="E1428" s="1" t="s">
        <v>6</v>
      </c>
      <c r="F1428">
        <v>8</v>
      </c>
      <c r="G1428" s="1" t="str">
        <f>Ocupacao_DW[[#This Row],[data]]&amp;Ocupacao_DW[[#This Row],[profissional_id]]&amp;Ocupacao_DW[[#This Row],[local_id]]</f>
        <v>44639608</v>
      </c>
      <c r="H1428" s="1">
        <f>_xlfn.XLOOKUP(Ocupacao_DW[[#This Row],[Concat]],Vagas!$H:$H,Vagas!$D:$D,"",0)</f>
        <v>0</v>
      </c>
    </row>
    <row r="1429" spans="1:8" x14ac:dyDescent="0.25">
      <c r="A1429" s="2">
        <v>44641</v>
      </c>
      <c r="B1429" s="1" t="s">
        <v>52</v>
      </c>
      <c r="C1429">
        <v>10946</v>
      </c>
      <c r="D1429" s="1" t="s">
        <v>209</v>
      </c>
      <c r="E1429" s="1" t="s">
        <v>6</v>
      </c>
      <c r="F1429">
        <v>3</v>
      </c>
      <c r="G1429" s="1" t="str">
        <f>Ocupacao_DW[[#This Row],[data]]&amp;Ocupacao_DW[[#This Row],[profissional_id]]&amp;Ocupacao_DW[[#This Row],[local_id]]</f>
        <v>44641109463</v>
      </c>
      <c r="H1429" s="1">
        <f>_xlfn.XLOOKUP(Ocupacao_DW[[#This Row],[Concat]],Vagas!$H:$H,Vagas!$D:$D,"",0)</f>
        <v>0</v>
      </c>
    </row>
    <row r="1430" spans="1:8" x14ac:dyDescent="0.25">
      <c r="A1430" s="2">
        <v>44635</v>
      </c>
      <c r="B1430" s="1" t="s">
        <v>65</v>
      </c>
      <c r="C1430">
        <v>11237</v>
      </c>
      <c r="D1430" s="1" t="s">
        <v>229</v>
      </c>
      <c r="E1430" s="1" t="s">
        <v>4</v>
      </c>
      <c r="F1430">
        <v>46</v>
      </c>
      <c r="G1430" s="1" t="str">
        <f>Ocupacao_DW[[#This Row],[data]]&amp;Ocupacao_DW[[#This Row],[profissional_id]]&amp;Ocupacao_DW[[#This Row],[local_id]]</f>
        <v>446351123746</v>
      </c>
      <c r="H1430" s="1">
        <f>_xlfn.XLOOKUP(Ocupacao_DW[[#This Row],[Concat]],Vagas!$H:$H,Vagas!$D:$D,"",0)</f>
        <v>0</v>
      </c>
    </row>
    <row r="1431" spans="1:8" x14ac:dyDescent="0.25">
      <c r="A1431" s="2">
        <v>44657</v>
      </c>
      <c r="B1431" s="1" t="s">
        <v>55</v>
      </c>
      <c r="C1431">
        <v>73</v>
      </c>
      <c r="D1431" s="1" t="s">
        <v>171</v>
      </c>
      <c r="E1431" s="1" t="s">
        <v>6</v>
      </c>
      <c r="F1431">
        <v>5</v>
      </c>
      <c r="G1431" s="1" t="str">
        <f>Ocupacao_DW[[#This Row],[data]]&amp;Ocupacao_DW[[#This Row],[profissional_id]]&amp;Ocupacao_DW[[#This Row],[local_id]]</f>
        <v>44657735</v>
      </c>
      <c r="H1431" s="1">
        <f>_xlfn.XLOOKUP(Ocupacao_DW[[#This Row],[Concat]],Vagas!$H:$H,Vagas!$D:$D,"",0)</f>
        <v>0</v>
      </c>
    </row>
    <row r="1432" spans="1:8" x14ac:dyDescent="0.25">
      <c r="A1432" s="2">
        <v>44656</v>
      </c>
      <c r="B1432" s="1" t="s">
        <v>55</v>
      </c>
      <c r="C1432">
        <v>73</v>
      </c>
      <c r="D1432" s="1" t="s">
        <v>171</v>
      </c>
      <c r="E1432" s="1" t="s">
        <v>6</v>
      </c>
      <c r="F1432">
        <v>5</v>
      </c>
      <c r="G1432" s="1" t="str">
        <f>Ocupacao_DW[[#This Row],[data]]&amp;Ocupacao_DW[[#This Row],[profissional_id]]&amp;Ocupacao_DW[[#This Row],[local_id]]</f>
        <v>44656735</v>
      </c>
      <c r="H1432" s="1">
        <f>_xlfn.XLOOKUP(Ocupacao_DW[[#This Row],[Concat]],Vagas!$H:$H,Vagas!$D:$D,"",0)</f>
        <v>0</v>
      </c>
    </row>
    <row r="1433" spans="1:8" x14ac:dyDescent="0.25">
      <c r="A1433" s="2">
        <v>44645</v>
      </c>
      <c r="B1433" s="1" t="s">
        <v>49</v>
      </c>
      <c r="C1433">
        <v>6430</v>
      </c>
      <c r="D1433" s="1" t="s">
        <v>188</v>
      </c>
      <c r="E1433" s="1" t="s">
        <v>4</v>
      </c>
      <c r="F1433">
        <v>42</v>
      </c>
      <c r="G1433" s="1" t="str">
        <f>Ocupacao_DW[[#This Row],[data]]&amp;Ocupacao_DW[[#This Row],[profissional_id]]&amp;Ocupacao_DW[[#This Row],[local_id]]</f>
        <v>44645643042</v>
      </c>
      <c r="H1433" s="1">
        <f>_xlfn.XLOOKUP(Ocupacao_DW[[#This Row],[Concat]],Vagas!$H:$H,Vagas!$D:$D,"",0)</f>
        <v>0</v>
      </c>
    </row>
    <row r="1434" spans="1:8" x14ac:dyDescent="0.25">
      <c r="A1434" s="2">
        <v>44641</v>
      </c>
      <c r="B1434" s="1" t="s">
        <v>52</v>
      </c>
      <c r="C1434">
        <v>10946</v>
      </c>
      <c r="D1434" s="1" t="s">
        <v>209</v>
      </c>
      <c r="E1434" s="1" t="s">
        <v>6</v>
      </c>
      <c r="F1434">
        <v>3</v>
      </c>
      <c r="G1434" s="1" t="str">
        <f>Ocupacao_DW[[#This Row],[data]]&amp;Ocupacao_DW[[#This Row],[profissional_id]]&amp;Ocupacao_DW[[#This Row],[local_id]]</f>
        <v>44641109463</v>
      </c>
      <c r="H1434" s="1">
        <f>_xlfn.XLOOKUP(Ocupacao_DW[[#This Row],[Concat]],Vagas!$H:$H,Vagas!$D:$D,"",0)</f>
        <v>0</v>
      </c>
    </row>
    <row r="1435" spans="1:8" x14ac:dyDescent="0.25">
      <c r="A1435" s="2">
        <v>44641</v>
      </c>
      <c r="B1435" s="1" t="s">
        <v>62</v>
      </c>
      <c r="C1435">
        <v>2567</v>
      </c>
      <c r="D1435" s="1" t="s">
        <v>198</v>
      </c>
      <c r="E1435" s="1" t="s">
        <v>5</v>
      </c>
      <c r="F1435">
        <v>18</v>
      </c>
      <c r="G1435" s="1" t="str">
        <f>Ocupacao_DW[[#This Row],[data]]&amp;Ocupacao_DW[[#This Row],[profissional_id]]&amp;Ocupacao_DW[[#This Row],[local_id]]</f>
        <v>44641256718</v>
      </c>
      <c r="H1435" s="1">
        <f>_xlfn.XLOOKUP(Ocupacao_DW[[#This Row],[Concat]],Vagas!$H:$H,Vagas!$D:$D,"",0)</f>
        <v>0</v>
      </c>
    </row>
    <row r="1436" spans="1:8" x14ac:dyDescent="0.25">
      <c r="A1436" s="2">
        <v>44643</v>
      </c>
      <c r="B1436" s="1" t="s">
        <v>52</v>
      </c>
      <c r="C1436">
        <v>57</v>
      </c>
      <c r="D1436" s="1" t="s">
        <v>169</v>
      </c>
      <c r="E1436" s="1" t="s">
        <v>6</v>
      </c>
      <c r="F1436">
        <v>4</v>
      </c>
      <c r="G1436" s="1" t="str">
        <f>Ocupacao_DW[[#This Row],[data]]&amp;Ocupacao_DW[[#This Row],[profissional_id]]&amp;Ocupacao_DW[[#This Row],[local_id]]</f>
        <v>44643574</v>
      </c>
      <c r="H1436" s="1">
        <f>_xlfn.XLOOKUP(Ocupacao_DW[[#This Row],[Concat]],Vagas!$H:$H,Vagas!$D:$D,"",0)</f>
        <v>0</v>
      </c>
    </row>
    <row r="1437" spans="1:8" x14ac:dyDescent="0.25">
      <c r="A1437" s="2">
        <v>44636</v>
      </c>
      <c r="B1437" s="1" t="s">
        <v>66</v>
      </c>
      <c r="C1437">
        <v>1343</v>
      </c>
      <c r="D1437" s="1" t="s">
        <v>263</v>
      </c>
      <c r="E1437" s="1" t="s">
        <v>7</v>
      </c>
      <c r="F1437">
        <v>64</v>
      </c>
      <c r="G1437" s="1" t="str">
        <f>Ocupacao_DW[[#This Row],[data]]&amp;Ocupacao_DW[[#This Row],[profissional_id]]&amp;Ocupacao_DW[[#This Row],[local_id]]</f>
        <v>44636134364</v>
      </c>
      <c r="H1437" s="1">
        <f>_xlfn.XLOOKUP(Ocupacao_DW[[#This Row],[Concat]],Vagas!$H:$H,Vagas!$D:$D,"",0)</f>
        <v>0</v>
      </c>
    </row>
    <row r="1438" spans="1:8" x14ac:dyDescent="0.25">
      <c r="A1438" s="2">
        <v>44642</v>
      </c>
      <c r="B1438" s="1" t="s">
        <v>49</v>
      </c>
      <c r="C1438">
        <v>81</v>
      </c>
      <c r="D1438" s="1" t="s">
        <v>170</v>
      </c>
      <c r="E1438" s="1" t="s">
        <v>7</v>
      </c>
      <c r="F1438">
        <v>71</v>
      </c>
      <c r="G1438" s="1" t="str">
        <f>Ocupacao_DW[[#This Row],[data]]&amp;Ocupacao_DW[[#This Row],[profissional_id]]&amp;Ocupacao_DW[[#This Row],[local_id]]</f>
        <v>446428171</v>
      </c>
      <c r="H1438" s="1">
        <f>_xlfn.XLOOKUP(Ocupacao_DW[[#This Row],[Concat]],Vagas!$H:$H,Vagas!$D:$D,"",0)</f>
        <v>0</v>
      </c>
    </row>
    <row r="1439" spans="1:8" x14ac:dyDescent="0.25">
      <c r="A1439" s="2">
        <v>44638</v>
      </c>
      <c r="B1439" s="1" t="s">
        <v>49</v>
      </c>
      <c r="C1439">
        <v>12142</v>
      </c>
      <c r="D1439" s="1" t="s">
        <v>219</v>
      </c>
      <c r="E1439" s="1" t="s">
        <v>4</v>
      </c>
      <c r="F1439">
        <v>44</v>
      </c>
      <c r="G1439" s="1" t="str">
        <f>Ocupacao_DW[[#This Row],[data]]&amp;Ocupacao_DW[[#This Row],[profissional_id]]&amp;Ocupacao_DW[[#This Row],[local_id]]</f>
        <v>446381214244</v>
      </c>
      <c r="H1439" s="1">
        <f>_xlfn.XLOOKUP(Ocupacao_DW[[#This Row],[Concat]],Vagas!$H:$H,Vagas!$D:$D,"",0)</f>
        <v>0</v>
      </c>
    </row>
    <row r="1440" spans="1:8" x14ac:dyDescent="0.25">
      <c r="A1440" s="2">
        <v>44635</v>
      </c>
      <c r="B1440" s="1" t="s">
        <v>71</v>
      </c>
      <c r="C1440">
        <v>282</v>
      </c>
      <c r="D1440" s="1" t="s">
        <v>210</v>
      </c>
      <c r="E1440" s="1" t="s">
        <v>4</v>
      </c>
      <c r="F1440">
        <v>48</v>
      </c>
      <c r="G1440" s="1" t="str">
        <f>Ocupacao_DW[[#This Row],[data]]&amp;Ocupacao_DW[[#This Row],[profissional_id]]&amp;Ocupacao_DW[[#This Row],[local_id]]</f>
        <v>4463528248</v>
      </c>
      <c r="H1440" s="1">
        <f>_xlfn.XLOOKUP(Ocupacao_DW[[#This Row],[Concat]],Vagas!$H:$H,Vagas!$D:$D,"",0)</f>
        <v>0</v>
      </c>
    </row>
    <row r="1441" spans="1:8" x14ac:dyDescent="0.25">
      <c r="A1441" s="2">
        <v>44637</v>
      </c>
      <c r="B1441" s="1" t="s">
        <v>40</v>
      </c>
      <c r="C1441">
        <v>54</v>
      </c>
      <c r="D1441" s="1" t="s">
        <v>216</v>
      </c>
      <c r="E1441" s="1" t="s">
        <v>4</v>
      </c>
      <c r="F1441">
        <v>50</v>
      </c>
      <c r="G1441" s="1" t="str">
        <f>Ocupacao_DW[[#This Row],[data]]&amp;Ocupacao_DW[[#This Row],[profissional_id]]&amp;Ocupacao_DW[[#This Row],[local_id]]</f>
        <v>446375450</v>
      </c>
      <c r="H1441" s="1">
        <f>_xlfn.XLOOKUP(Ocupacao_DW[[#This Row],[Concat]],Vagas!$H:$H,Vagas!$D:$D,"",0)</f>
        <v>16</v>
      </c>
    </row>
    <row r="1442" spans="1:8" x14ac:dyDescent="0.25">
      <c r="A1442" s="2">
        <v>44643</v>
      </c>
      <c r="B1442" s="1" t="s">
        <v>52</v>
      </c>
      <c r="C1442">
        <v>10691</v>
      </c>
      <c r="D1442" s="1" t="s">
        <v>181</v>
      </c>
      <c r="E1442" s="1" t="s">
        <v>6</v>
      </c>
      <c r="F1442">
        <v>9</v>
      </c>
      <c r="G1442" s="1" t="str">
        <f>Ocupacao_DW[[#This Row],[data]]&amp;Ocupacao_DW[[#This Row],[profissional_id]]&amp;Ocupacao_DW[[#This Row],[local_id]]</f>
        <v>44643106919</v>
      </c>
      <c r="H1442" s="1">
        <f>_xlfn.XLOOKUP(Ocupacao_DW[[#This Row],[Concat]],Vagas!$H:$H,Vagas!$D:$D,"",0)</f>
        <v>0</v>
      </c>
    </row>
    <row r="1443" spans="1:8" x14ac:dyDescent="0.25">
      <c r="A1443" s="2">
        <v>44638</v>
      </c>
      <c r="B1443" s="1" t="s">
        <v>47</v>
      </c>
      <c r="C1443">
        <v>12679</v>
      </c>
      <c r="D1443" s="1" t="s">
        <v>192</v>
      </c>
      <c r="E1443" s="1" t="s">
        <v>4</v>
      </c>
      <c r="F1443">
        <v>336</v>
      </c>
      <c r="G1443" s="1" t="str">
        <f>Ocupacao_DW[[#This Row],[data]]&amp;Ocupacao_DW[[#This Row],[profissional_id]]&amp;Ocupacao_DW[[#This Row],[local_id]]</f>
        <v>4463812679336</v>
      </c>
      <c r="H1443" s="1">
        <f>_xlfn.XLOOKUP(Ocupacao_DW[[#This Row],[Concat]],Vagas!$H:$H,Vagas!$D:$D,"",0)</f>
        <v>0</v>
      </c>
    </row>
    <row r="1444" spans="1:8" x14ac:dyDescent="0.25">
      <c r="A1444" s="2">
        <v>44656</v>
      </c>
      <c r="B1444" s="1" t="s">
        <v>55</v>
      </c>
      <c r="C1444">
        <v>73</v>
      </c>
      <c r="D1444" s="1" t="s">
        <v>171</v>
      </c>
      <c r="E1444" s="1" t="s">
        <v>6</v>
      </c>
      <c r="F1444">
        <v>5</v>
      </c>
      <c r="G1444" s="1" t="str">
        <f>Ocupacao_DW[[#This Row],[data]]&amp;Ocupacao_DW[[#This Row],[profissional_id]]&amp;Ocupacao_DW[[#This Row],[local_id]]</f>
        <v>44656735</v>
      </c>
      <c r="H1444" s="1">
        <f>_xlfn.XLOOKUP(Ocupacao_DW[[#This Row],[Concat]],Vagas!$H:$H,Vagas!$D:$D,"",0)</f>
        <v>0</v>
      </c>
    </row>
    <row r="1445" spans="1:8" x14ac:dyDescent="0.25">
      <c r="A1445" s="2">
        <v>44651</v>
      </c>
      <c r="B1445" s="1" t="s">
        <v>54</v>
      </c>
      <c r="C1445">
        <v>69</v>
      </c>
      <c r="D1445" s="1" t="s">
        <v>238</v>
      </c>
      <c r="E1445" s="1" t="s">
        <v>200</v>
      </c>
      <c r="F1445">
        <v>82</v>
      </c>
      <c r="G1445" s="1" t="str">
        <f>Ocupacao_DW[[#This Row],[data]]&amp;Ocupacao_DW[[#This Row],[profissional_id]]&amp;Ocupacao_DW[[#This Row],[local_id]]</f>
        <v>446516982</v>
      </c>
      <c r="H1445" s="1">
        <f>_xlfn.XLOOKUP(Ocupacao_DW[[#This Row],[Concat]],Vagas!$H:$H,Vagas!$D:$D,"",0)</f>
        <v>0</v>
      </c>
    </row>
    <row r="1446" spans="1:8" x14ac:dyDescent="0.25">
      <c r="A1446" s="2">
        <v>44636</v>
      </c>
      <c r="B1446" s="1" t="s">
        <v>62</v>
      </c>
      <c r="C1446">
        <v>3502</v>
      </c>
      <c r="D1446" s="1" t="s">
        <v>214</v>
      </c>
      <c r="E1446" s="1" t="s">
        <v>5</v>
      </c>
      <c r="F1446">
        <v>16</v>
      </c>
      <c r="G1446" s="1" t="str">
        <f>Ocupacao_DW[[#This Row],[data]]&amp;Ocupacao_DW[[#This Row],[profissional_id]]&amp;Ocupacao_DW[[#This Row],[local_id]]</f>
        <v>44636350216</v>
      </c>
      <c r="H1446" s="1">
        <f>_xlfn.XLOOKUP(Ocupacao_DW[[#This Row],[Concat]],Vagas!$H:$H,Vagas!$D:$D,"",0)</f>
        <v>0</v>
      </c>
    </row>
    <row r="1447" spans="1:8" x14ac:dyDescent="0.25">
      <c r="A1447" s="2">
        <v>44635</v>
      </c>
      <c r="B1447" s="1" t="s">
        <v>65</v>
      </c>
      <c r="C1447">
        <v>11652</v>
      </c>
      <c r="D1447" s="1" t="s">
        <v>242</v>
      </c>
      <c r="E1447" s="1" t="s">
        <v>4</v>
      </c>
      <c r="F1447">
        <v>47</v>
      </c>
      <c r="G1447" s="1" t="str">
        <f>Ocupacao_DW[[#This Row],[data]]&amp;Ocupacao_DW[[#This Row],[profissional_id]]&amp;Ocupacao_DW[[#This Row],[local_id]]</f>
        <v>446351165247</v>
      </c>
      <c r="H1447" s="1">
        <f>_xlfn.XLOOKUP(Ocupacao_DW[[#This Row],[Concat]],Vagas!$H:$H,Vagas!$D:$D,"",0)</f>
        <v>0</v>
      </c>
    </row>
    <row r="1448" spans="1:8" x14ac:dyDescent="0.25">
      <c r="A1448" s="2">
        <v>44635</v>
      </c>
      <c r="B1448" s="1"/>
      <c r="C1448">
        <v>0</v>
      </c>
      <c r="D1448" s="1"/>
      <c r="E1448" s="1" t="s">
        <v>4</v>
      </c>
      <c r="F1448">
        <v>39</v>
      </c>
      <c r="G1448" s="1" t="str">
        <f>Ocupacao_DW[[#This Row],[data]]&amp;Ocupacao_DW[[#This Row],[profissional_id]]&amp;Ocupacao_DW[[#This Row],[local_id]]</f>
        <v>44635039</v>
      </c>
      <c r="H1448" s="1" t="str">
        <f>_xlfn.XLOOKUP(Ocupacao_DW[[#This Row],[Concat]],Vagas!$H:$H,Vagas!$D:$D,"",0)</f>
        <v/>
      </c>
    </row>
    <row r="1449" spans="1:8" x14ac:dyDescent="0.25">
      <c r="A1449" s="2">
        <v>44635</v>
      </c>
      <c r="B1449" s="1" t="s">
        <v>49</v>
      </c>
      <c r="C1449">
        <v>81</v>
      </c>
      <c r="D1449" s="1" t="s">
        <v>170</v>
      </c>
      <c r="E1449" s="1" t="s">
        <v>4</v>
      </c>
      <c r="F1449">
        <v>41</v>
      </c>
      <c r="G1449" s="1" t="str">
        <f>Ocupacao_DW[[#This Row],[data]]&amp;Ocupacao_DW[[#This Row],[profissional_id]]&amp;Ocupacao_DW[[#This Row],[local_id]]</f>
        <v>446358141</v>
      </c>
      <c r="H1449" s="1">
        <f>_xlfn.XLOOKUP(Ocupacao_DW[[#This Row],[Concat]],Vagas!$H:$H,Vagas!$D:$D,"",0)</f>
        <v>0</v>
      </c>
    </row>
    <row r="1450" spans="1:8" x14ac:dyDescent="0.25">
      <c r="A1450" s="2">
        <v>44651</v>
      </c>
      <c r="B1450" s="1" t="s">
        <v>66</v>
      </c>
      <c r="C1450">
        <v>100</v>
      </c>
      <c r="D1450" s="1" t="s">
        <v>166</v>
      </c>
      <c r="E1450" s="1" t="s">
        <v>167</v>
      </c>
      <c r="F1450">
        <v>342</v>
      </c>
      <c r="G1450" s="1" t="str">
        <f>Ocupacao_DW[[#This Row],[data]]&amp;Ocupacao_DW[[#This Row],[profissional_id]]&amp;Ocupacao_DW[[#This Row],[local_id]]</f>
        <v>44651100342</v>
      </c>
      <c r="H1450" s="1">
        <f>_xlfn.XLOOKUP(Ocupacao_DW[[#This Row],[Concat]],Vagas!$H:$H,Vagas!$D:$D,"",0)</f>
        <v>0</v>
      </c>
    </row>
    <row r="1451" spans="1:8" x14ac:dyDescent="0.25">
      <c r="A1451" s="2">
        <v>44636</v>
      </c>
      <c r="B1451" s="1" t="s">
        <v>62</v>
      </c>
      <c r="C1451">
        <v>3502</v>
      </c>
      <c r="D1451" s="1" t="s">
        <v>214</v>
      </c>
      <c r="E1451" s="1" t="s">
        <v>5</v>
      </c>
      <c r="F1451">
        <v>16</v>
      </c>
      <c r="G1451" s="1" t="str">
        <f>Ocupacao_DW[[#This Row],[data]]&amp;Ocupacao_DW[[#This Row],[profissional_id]]&amp;Ocupacao_DW[[#This Row],[local_id]]</f>
        <v>44636350216</v>
      </c>
      <c r="H1451" s="1">
        <f>_xlfn.XLOOKUP(Ocupacao_DW[[#This Row],[Concat]],Vagas!$H:$H,Vagas!$D:$D,"",0)</f>
        <v>0</v>
      </c>
    </row>
    <row r="1452" spans="1:8" x14ac:dyDescent="0.25">
      <c r="A1452" s="2">
        <v>44643</v>
      </c>
      <c r="B1452" s="1" t="s">
        <v>49</v>
      </c>
      <c r="C1452">
        <v>6430</v>
      </c>
      <c r="D1452" s="1" t="s">
        <v>188</v>
      </c>
      <c r="E1452" s="1" t="s">
        <v>4</v>
      </c>
      <c r="F1452">
        <v>42</v>
      </c>
      <c r="G1452" s="1" t="str">
        <f>Ocupacao_DW[[#This Row],[data]]&amp;Ocupacao_DW[[#This Row],[profissional_id]]&amp;Ocupacao_DW[[#This Row],[local_id]]</f>
        <v>44643643042</v>
      </c>
      <c r="H1452" s="1">
        <f>_xlfn.XLOOKUP(Ocupacao_DW[[#This Row],[Concat]],Vagas!$H:$H,Vagas!$D:$D,"",0)</f>
        <v>0</v>
      </c>
    </row>
    <row r="1453" spans="1:8" x14ac:dyDescent="0.25">
      <c r="A1453" s="2">
        <v>44636</v>
      </c>
      <c r="B1453" s="1" t="s">
        <v>62</v>
      </c>
      <c r="C1453">
        <v>3502</v>
      </c>
      <c r="D1453" s="1" t="s">
        <v>214</v>
      </c>
      <c r="E1453" s="1" t="s">
        <v>5</v>
      </c>
      <c r="F1453">
        <v>16</v>
      </c>
      <c r="G1453" s="1" t="str">
        <f>Ocupacao_DW[[#This Row],[data]]&amp;Ocupacao_DW[[#This Row],[profissional_id]]&amp;Ocupacao_DW[[#This Row],[local_id]]</f>
        <v>44636350216</v>
      </c>
      <c r="H1453" s="1">
        <f>_xlfn.XLOOKUP(Ocupacao_DW[[#This Row],[Concat]],Vagas!$H:$H,Vagas!$D:$D,"",0)</f>
        <v>0</v>
      </c>
    </row>
    <row r="1454" spans="1:8" x14ac:dyDescent="0.25">
      <c r="A1454" s="2">
        <v>44641</v>
      </c>
      <c r="B1454" s="1" t="s">
        <v>52</v>
      </c>
      <c r="C1454">
        <v>10691</v>
      </c>
      <c r="D1454" s="1" t="s">
        <v>181</v>
      </c>
      <c r="E1454" s="1" t="s">
        <v>6</v>
      </c>
      <c r="F1454">
        <v>9</v>
      </c>
      <c r="G1454" s="1" t="str">
        <f>Ocupacao_DW[[#This Row],[data]]&amp;Ocupacao_DW[[#This Row],[profissional_id]]&amp;Ocupacao_DW[[#This Row],[local_id]]</f>
        <v>44641106919</v>
      </c>
      <c r="H1454" s="1">
        <f>_xlfn.XLOOKUP(Ocupacao_DW[[#This Row],[Concat]],Vagas!$H:$H,Vagas!$D:$D,"",0)</f>
        <v>0</v>
      </c>
    </row>
    <row r="1455" spans="1:8" x14ac:dyDescent="0.25">
      <c r="A1455" s="2">
        <v>44643</v>
      </c>
      <c r="B1455" s="1" t="s">
        <v>51</v>
      </c>
      <c r="C1455">
        <v>7551</v>
      </c>
      <c r="D1455" s="1" t="s">
        <v>246</v>
      </c>
      <c r="E1455" s="1" t="s">
        <v>5</v>
      </c>
      <c r="F1455">
        <v>15</v>
      </c>
      <c r="G1455" s="1" t="str">
        <f>Ocupacao_DW[[#This Row],[data]]&amp;Ocupacao_DW[[#This Row],[profissional_id]]&amp;Ocupacao_DW[[#This Row],[local_id]]</f>
        <v>44643755115</v>
      </c>
      <c r="H1455" s="1">
        <f>_xlfn.XLOOKUP(Ocupacao_DW[[#This Row],[Concat]],Vagas!$H:$H,Vagas!$D:$D,"",0)</f>
        <v>0</v>
      </c>
    </row>
    <row r="1456" spans="1:8" x14ac:dyDescent="0.25">
      <c r="A1456" s="2">
        <v>44639</v>
      </c>
      <c r="B1456" s="1"/>
      <c r="C1456">
        <v>531</v>
      </c>
      <c r="D1456" s="1" t="s">
        <v>213</v>
      </c>
      <c r="E1456" s="1" t="s">
        <v>200</v>
      </c>
      <c r="F1456">
        <v>78</v>
      </c>
      <c r="G1456" s="1" t="str">
        <f>Ocupacao_DW[[#This Row],[data]]&amp;Ocupacao_DW[[#This Row],[profissional_id]]&amp;Ocupacao_DW[[#This Row],[local_id]]</f>
        <v>4463953178</v>
      </c>
      <c r="H1456" s="1">
        <f>_xlfn.XLOOKUP(Ocupacao_DW[[#This Row],[Concat]],Vagas!$H:$H,Vagas!$D:$D,"",0)</f>
        <v>0</v>
      </c>
    </row>
    <row r="1457" spans="1:8" x14ac:dyDescent="0.25">
      <c r="A1457" s="2">
        <v>44636</v>
      </c>
      <c r="B1457" s="1" t="s">
        <v>54</v>
      </c>
      <c r="C1457">
        <v>70</v>
      </c>
      <c r="D1457" s="1" t="s">
        <v>187</v>
      </c>
      <c r="E1457" s="1" t="s">
        <v>5</v>
      </c>
      <c r="F1457">
        <v>13</v>
      </c>
      <c r="G1457" s="1" t="str">
        <f>Ocupacao_DW[[#This Row],[data]]&amp;Ocupacao_DW[[#This Row],[profissional_id]]&amp;Ocupacao_DW[[#This Row],[local_id]]</f>
        <v>446367013</v>
      </c>
      <c r="H1457" s="1">
        <f>_xlfn.XLOOKUP(Ocupacao_DW[[#This Row],[Concat]],Vagas!$H:$H,Vagas!$D:$D,"",0)</f>
        <v>0</v>
      </c>
    </row>
    <row r="1458" spans="1:8" x14ac:dyDescent="0.25">
      <c r="A1458" s="2">
        <v>44657</v>
      </c>
      <c r="B1458" s="1" t="s">
        <v>64</v>
      </c>
      <c r="C1458">
        <v>531</v>
      </c>
      <c r="D1458" s="1" t="s">
        <v>213</v>
      </c>
      <c r="E1458" s="1" t="s">
        <v>5</v>
      </c>
      <c r="F1458">
        <v>12</v>
      </c>
      <c r="G1458" s="1" t="str">
        <f>Ocupacao_DW[[#This Row],[data]]&amp;Ocupacao_DW[[#This Row],[profissional_id]]&amp;Ocupacao_DW[[#This Row],[local_id]]</f>
        <v>4465753112</v>
      </c>
      <c r="H1458" s="1" t="str">
        <f>_xlfn.XLOOKUP(Ocupacao_DW[[#This Row],[Concat]],Vagas!$H:$H,Vagas!$D:$D,"",0)</f>
        <v/>
      </c>
    </row>
    <row r="1459" spans="1:8" x14ac:dyDescent="0.25">
      <c r="A1459" s="2">
        <v>44636</v>
      </c>
      <c r="B1459" s="1" t="s">
        <v>57</v>
      </c>
      <c r="C1459">
        <v>80</v>
      </c>
      <c r="D1459" s="1" t="s">
        <v>179</v>
      </c>
      <c r="E1459" s="1" t="s">
        <v>167</v>
      </c>
      <c r="F1459">
        <v>346</v>
      </c>
      <c r="G1459" s="1" t="str">
        <f>Ocupacao_DW[[#This Row],[data]]&amp;Ocupacao_DW[[#This Row],[profissional_id]]&amp;Ocupacao_DW[[#This Row],[local_id]]</f>
        <v>4463680346</v>
      </c>
      <c r="H1459" s="1">
        <f>_xlfn.XLOOKUP(Ocupacao_DW[[#This Row],[Concat]],Vagas!$H:$H,Vagas!$D:$D,"",0)</f>
        <v>0</v>
      </c>
    </row>
    <row r="1460" spans="1:8" x14ac:dyDescent="0.25">
      <c r="A1460" s="2">
        <v>44636</v>
      </c>
      <c r="B1460" s="1" t="s">
        <v>52</v>
      </c>
      <c r="C1460">
        <v>60</v>
      </c>
      <c r="D1460" s="1" t="s">
        <v>217</v>
      </c>
      <c r="E1460" s="1" t="s">
        <v>167</v>
      </c>
      <c r="F1460">
        <v>346</v>
      </c>
      <c r="G1460" s="1" t="str">
        <f>Ocupacao_DW[[#This Row],[data]]&amp;Ocupacao_DW[[#This Row],[profissional_id]]&amp;Ocupacao_DW[[#This Row],[local_id]]</f>
        <v>4463660346</v>
      </c>
      <c r="H1460" s="1">
        <f>_xlfn.XLOOKUP(Ocupacao_DW[[#This Row],[Concat]],Vagas!$H:$H,Vagas!$D:$D,"",0)</f>
        <v>0</v>
      </c>
    </row>
    <row r="1461" spans="1:8" x14ac:dyDescent="0.25">
      <c r="A1461" s="2">
        <v>44637</v>
      </c>
      <c r="B1461" s="1" t="s">
        <v>67</v>
      </c>
      <c r="C1461">
        <v>10717</v>
      </c>
      <c r="D1461" s="1" t="s">
        <v>245</v>
      </c>
      <c r="E1461" s="1" t="s">
        <v>200</v>
      </c>
      <c r="F1461">
        <v>78</v>
      </c>
      <c r="G1461" s="1" t="str">
        <f>Ocupacao_DW[[#This Row],[data]]&amp;Ocupacao_DW[[#This Row],[profissional_id]]&amp;Ocupacao_DW[[#This Row],[local_id]]</f>
        <v>446371071778</v>
      </c>
      <c r="H1461" s="1">
        <f>_xlfn.XLOOKUP(Ocupacao_DW[[#This Row],[Concat]],Vagas!$H:$H,Vagas!$D:$D,"",0)</f>
        <v>0</v>
      </c>
    </row>
    <row r="1462" spans="1:8" x14ac:dyDescent="0.25">
      <c r="A1462" s="2">
        <v>44653</v>
      </c>
      <c r="B1462" s="1" t="s">
        <v>62</v>
      </c>
      <c r="C1462">
        <v>4887</v>
      </c>
      <c r="D1462" s="1" t="s">
        <v>168</v>
      </c>
      <c r="E1462" s="1" t="s">
        <v>5</v>
      </c>
      <c r="F1462">
        <v>18</v>
      </c>
      <c r="G1462" s="1" t="str">
        <f>Ocupacao_DW[[#This Row],[data]]&amp;Ocupacao_DW[[#This Row],[profissional_id]]&amp;Ocupacao_DW[[#This Row],[local_id]]</f>
        <v>44653488718</v>
      </c>
      <c r="H1462" s="1">
        <f>_xlfn.XLOOKUP(Ocupacao_DW[[#This Row],[Concat]],Vagas!$H:$H,Vagas!$D:$D,"",0)</f>
        <v>0</v>
      </c>
    </row>
    <row r="1463" spans="1:8" x14ac:dyDescent="0.25">
      <c r="A1463" s="2">
        <v>44636</v>
      </c>
      <c r="B1463" s="1" t="s">
        <v>50</v>
      </c>
      <c r="C1463">
        <v>10785</v>
      </c>
      <c r="D1463" s="1" t="s">
        <v>237</v>
      </c>
      <c r="E1463" s="1" t="s">
        <v>5</v>
      </c>
      <c r="F1463">
        <v>14</v>
      </c>
      <c r="G1463" s="1" t="str">
        <f>Ocupacao_DW[[#This Row],[data]]&amp;Ocupacao_DW[[#This Row],[profissional_id]]&amp;Ocupacao_DW[[#This Row],[local_id]]</f>
        <v>446361078514</v>
      </c>
      <c r="H1463" s="1">
        <f>_xlfn.XLOOKUP(Ocupacao_DW[[#This Row],[Concat]],Vagas!$H:$H,Vagas!$D:$D,"",0)</f>
        <v>8</v>
      </c>
    </row>
    <row r="1464" spans="1:8" x14ac:dyDescent="0.25">
      <c r="A1464" s="2">
        <v>44648</v>
      </c>
      <c r="B1464" s="1" t="s">
        <v>49</v>
      </c>
      <c r="C1464">
        <v>6430</v>
      </c>
      <c r="D1464" s="1" t="s">
        <v>188</v>
      </c>
      <c r="E1464" s="1" t="s">
        <v>200</v>
      </c>
      <c r="F1464">
        <v>86</v>
      </c>
      <c r="G1464" s="1" t="str">
        <f>Ocupacao_DW[[#This Row],[data]]&amp;Ocupacao_DW[[#This Row],[profissional_id]]&amp;Ocupacao_DW[[#This Row],[local_id]]</f>
        <v>44648643086</v>
      </c>
      <c r="H1464" s="1">
        <f>_xlfn.XLOOKUP(Ocupacao_DW[[#This Row],[Concat]],Vagas!$H:$H,Vagas!$D:$D,"",0)</f>
        <v>0</v>
      </c>
    </row>
    <row r="1465" spans="1:8" x14ac:dyDescent="0.25">
      <c r="A1465" s="2">
        <v>44643</v>
      </c>
      <c r="B1465" s="1" t="s">
        <v>24</v>
      </c>
      <c r="C1465">
        <v>13061</v>
      </c>
      <c r="D1465" s="1" t="s">
        <v>232</v>
      </c>
      <c r="E1465" s="1" t="s">
        <v>6</v>
      </c>
      <c r="F1465">
        <v>3</v>
      </c>
      <c r="G1465" s="1" t="str">
        <f>Ocupacao_DW[[#This Row],[data]]&amp;Ocupacao_DW[[#This Row],[profissional_id]]&amp;Ocupacao_DW[[#This Row],[local_id]]</f>
        <v>44643130613</v>
      </c>
      <c r="H1465" s="1">
        <f>_xlfn.XLOOKUP(Ocupacao_DW[[#This Row],[Concat]],Vagas!$H:$H,Vagas!$D:$D,"",0)</f>
        <v>0</v>
      </c>
    </row>
    <row r="1466" spans="1:8" x14ac:dyDescent="0.25">
      <c r="A1466" s="2">
        <v>44639</v>
      </c>
      <c r="B1466" s="1" t="s">
        <v>43</v>
      </c>
      <c r="C1466">
        <v>57</v>
      </c>
      <c r="D1466" s="1" t="s">
        <v>169</v>
      </c>
      <c r="E1466" s="1" t="s">
        <v>6</v>
      </c>
      <c r="F1466">
        <v>2</v>
      </c>
      <c r="G1466" s="1" t="str">
        <f>Ocupacao_DW[[#This Row],[data]]&amp;Ocupacao_DW[[#This Row],[profissional_id]]&amp;Ocupacao_DW[[#This Row],[local_id]]</f>
        <v>44639572</v>
      </c>
      <c r="H1466" s="1">
        <f>_xlfn.XLOOKUP(Ocupacao_DW[[#This Row],[Concat]],Vagas!$H:$H,Vagas!$D:$D,"",0)</f>
        <v>0</v>
      </c>
    </row>
    <row r="1467" spans="1:8" x14ac:dyDescent="0.25">
      <c r="A1467" s="2">
        <v>44637</v>
      </c>
      <c r="B1467" s="1" t="s">
        <v>72</v>
      </c>
      <c r="C1467">
        <v>6046</v>
      </c>
      <c r="D1467" s="1" t="s">
        <v>222</v>
      </c>
      <c r="E1467" s="1" t="s">
        <v>4</v>
      </c>
      <c r="F1467">
        <v>46</v>
      </c>
      <c r="G1467" s="1" t="str">
        <f>Ocupacao_DW[[#This Row],[data]]&amp;Ocupacao_DW[[#This Row],[profissional_id]]&amp;Ocupacao_DW[[#This Row],[local_id]]</f>
        <v>44637604646</v>
      </c>
      <c r="H1467" s="1">
        <f>_xlfn.XLOOKUP(Ocupacao_DW[[#This Row],[Concat]],Vagas!$H:$H,Vagas!$D:$D,"",0)</f>
        <v>0</v>
      </c>
    </row>
    <row r="1468" spans="1:8" x14ac:dyDescent="0.25">
      <c r="A1468" s="2">
        <v>44639</v>
      </c>
      <c r="B1468" s="1"/>
      <c r="C1468">
        <v>0</v>
      </c>
      <c r="D1468" s="1"/>
      <c r="E1468" s="1" t="s">
        <v>4</v>
      </c>
      <c r="F1468">
        <v>39</v>
      </c>
      <c r="G1468" s="1" t="str">
        <f>Ocupacao_DW[[#This Row],[data]]&amp;Ocupacao_DW[[#This Row],[profissional_id]]&amp;Ocupacao_DW[[#This Row],[local_id]]</f>
        <v>44639039</v>
      </c>
      <c r="H1468" s="1" t="str">
        <f>_xlfn.XLOOKUP(Ocupacao_DW[[#This Row],[Concat]],Vagas!$H:$H,Vagas!$D:$D,"",0)</f>
        <v/>
      </c>
    </row>
    <row r="1469" spans="1:8" x14ac:dyDescent="0.25">
      <c r="A1469" s="2">
        <v>44636</v>
      </c>
      <c r="B1469" s="1" t="s">
        <v>47</v>
      </c>
      <c r="C1469">
        <v>111</v>
      </c>
      <c r="D1469" s="1" t="s">
        <v>199</v>
      </c>
      <c r="E1469" s="1" t="s">
        <v>4</v>
      </c>
      <c r="F1469">
        <v>51</v>
      </c>
      <c r="G1469" s="1" t="str">
        <f>Ocupacao_DW[[#This Row],[data]]&amp;Ocupacao_DW[[#This Row],[profissional_id]]&amp;Ocupacao_DW[[#This Row],[local_id]]</f>
        <v>4463611151</v>
      </c>
      <c r="H1469" s="1">
        <f>_xlfn.XLOOKUP(Ocupacao_DW[[#This Row],[Concat]],Vagas!$H:$H,Vagas!$D:$D,"",0)</f>
        <v>1</v>
      </c>
    </row>
    <row r="1470" spans="1:8" x14ac:dyDescent="0.25">
      <c r="A1470" s="2">
        <v>44637</v>
      </c>
      <c r="B1470" s="1" t="s">
        <v>52</v>
      </c>
      <c r="C1470">
        <v>60</v>
      </c>
      <c r="D1470" s="1" t="s">
        <v>217</v>
      </c>
      <c r="E1470" s="1" t="s">
        <v>167</v>
      </c>
      <c r="F1470">
        <v>346</v>
      </c>
      <c r="G1470" s="1" t="str">
        <f>Ocupacao_DW[[#This Row],[data]]&amp;Ocupacao_DW[[#This Row],[profissional_id]]&amp;Ocupacao_DW[[#This Row],[local_id]]</f>
        <v>4463760346</v>
      </c>
      <c r="H1470" s="1">
        <f>_xlfn.XLOOKUP(Ocupacao_DW[[#This Row],[Concat]],Vagas!$H:$H,Vagas!$D:$D,"",0)</f>
        <v>0</v>
      </c>
    </row>
    <row r="1471" spans="1:8" x14ac:dyDescent="0.25">
      <c r="A1471" s="2">
        <v>44635</v>
      </c>
      <c r="B1471" s="1" t="s">
        <v>64</v>
      </c>
      <c r="C1471">
        <v>85</v>
      </c>
      <c r="D1471" s="1" t="s">
        <v>211</v>
      </c>
      <c r="E1471" s="1" t="s">
        <v>5</v>
      </c>
      <c r="F1471">
        <v>349</v>
      </c>
      <c r="G1471" s="1" t="str">
        <f>Ocupacao_DW[[#This Row],[data]]&amp;Ocupacao_DW[[#This Row],[profissional_id]]&amp;Ocupacao_DW[[#This Row],[local_id]]</f>
        <v>4463585349</v>
      </c>
      <c r="H1471" s="1">
        <f>_xlfn.XLOOKUP(Ocupacao_DW[[#This Row],[Concat]],Vagas!$H:$H,Vagas!$D:$D,"",0)</f>
        <v>0</v>
      </c>
    </row>
    <row r="1472" spans="1:8" x14ac:dyDescent="0.25">
      <c r="A1472" s="2">
        <v>44645</v>
      </c>
      <c r="B1472" s="1" t="s">
        <v>52</v>
      </c>
      <c r="C1472">
        <v>10691</v>
      </c>
      <c r="D1472" s="1" t="s">
        <v>181</v>
      </c>
      <c r="E1472" s="1" t="s">
        <v>6</v>
      </c>
      <c r="F1472">
        <v>6</v>
      </c>
      <c r="G1472" s="1" t="str">
        <f>Ocupacao_DW[[#This Row],[data]]&amp;Ocupacao_DW[[#This Row],[profissional_id]]&amp;Ocupacao_DW[[#This Row],[local_id]]</f>
        <v>44645106916</v>
      </c>
      <c r="H1472" s="1">
        <f>_xlfn.XLOOKUP(Ocupacao_DW[[#This Row],[Concat]],Vagas!$H:$H,Vagas!$D:$D,"",0)</f>
        <v>8</v>
      </c>
    </row>
    <row r="1473" spans="1:8" x14ac:dyDescent="0.25">
      <c r="A1473" s="2">
        <v>44645</v>
      </c>
      <c r="B1473" s="1" t="s">
        <v>49</v>
      </c>
      <c r="C1473">
        <v>6430</v>
      </c>
      <c r="D1473" s="1" t="s">
        <v>188</v>
      </c>
      <c r="E1473" s="1" t="s">
        <v>4</v>
      </c>
      <c r="F1473">
        <v>42</v>
      </c>
      <c r="G1473" s="1" t="str">
        <f>Ocupacao_DW[[#This Row],[data]]&amp;Ocupacao_DW[[#This Row],[profissional_id]]&amp;Ocupacao_DW[[#This Row],[local_id]]</f>
        <v>44645643042</v>
      </c>
      <c r="H1473" s="1">
        <f>_xlfn.XLOOKUP(Ocupacao_DW[[#This Row],[Concat]],Vagas!$H:$H,Vagas!$D:$D,"",0)</f>
        <v>0</v>
      </c>
    </row>
    <row r="1474" spans="1:8" x14ac:dyDescent="0.25">
      <c r="A1474" s="2">
        <v>44657</v>
      </c>
      <c r="B1474" s="1" t="s">
        <v>55</v>
      </c>
      <c r="C1474">
        <v>74</v>
      </c>
      <c r="D1474" s="1" t="s">
        <v>182</v>
      </c>
      <c r="E1474" s="1" t="s">
        <v>6</v>
      </c>
      <c r="F1474">
        <v>7</v>
      </c>
      <c r="G1474" s="1" t="str">
        <f>Ocupacao_DW[[#This Row],[data]]&amp;Ocupacao_DW[[#This Row],[profissional_id]]&amp;Ocupacao_DW[[#This Row],[local_id]]</f>
        <v>44657747</v>
      </c>
      <c r="H1474" s="1">
        <f>_xlfn.XLOOKUP(Ocupacao_DW[[#This Row],[Concat]],Vagas!$H:$H,Vagas!$D:$D,"",0)</f>
        <v>0</v>
      </c>
    </row>
    <row r="1475" spans="1:8" x14ac:dyDescent="0.25">
      <c r="A1475" s="2">
        <v>44641</v>
      </c>
      <c r="B1475" s="1" t="s">
        <v>55</v>
      </c>
      <c r="C1475">
        <v>12669</v>
      </c>
      <c r="D1475" s="1" t="s">
        <v>223</v>
      </c>
      <c r="E1475" s="1" t="s">
        <v>6</v>
      </c>
      <c r="F1475">
        <v>6</v>
      </c>
      <c r="G1475" s="1" t="str">
        <f>Ocupacao_DW[[#This Row],[data]]&amp;Ocupacao_DW[[#This Row],[profissional_id]]&amp;Ocupacao_DW[[#This Row],[local_id]]</f>
        <v>44641126696</v>
      </c>
      <c r="H1475" s="1">
        <f>_xlfn.XLOOKUP(Ocupacao_DW[[#This Row],[Concat]],Vagas!$H:$H,Vagas!$D:$D,"",0)</f>
        <v>0</v>
      </c>
    </row>
    <row r="1476" spans="1:8" x14ac:dyDescent="0.25">
      <c r="A1476" s="2">
        <v>44642</v>
      </c>
      <c r="B1476" s="1" t="s">
        <v>49</v>
      </c>
      <c r="C1476">
        <v>266</v>
      </c>
      <c r="D1476" s="1" t="s">
        <v>201</v>
      </c>
      <c r="E1476" s="1" t="s">
        <v>4</v>
      </c>
      <c r="F1476">
        <v>42</v>
      </c>
      <c r="G1476" s="1" t="str">
        <f>Ocupacao_DW[[#This Row],[data]]&amp;Ocupacao_DW[[#This Row],[profissional_id]]&amp;Ocupacao_DW[[#This Row],[local_id]]</f>
        <v>4464226642</v>
      </c>
      <c r="H1476" s="1">
        <f>_xlfn.XLOOKUP(Ocupacao_DW[[#This Row],[Concat]],Vagas!$H:$H,Vagas!$D:$D,"",0)</f>
        <v>0</v>
      </c>
    </row>
    <row r="1477" spans="1:8" x14ac:dyDescent="0.25">
      <c r="A1477" s="2">
        <v>44636</v>
      </c>
      <c r="B1477" s="1" t="s">
        <v>62</v>
      </c>
      <c r="C1477">
        <v>3502</v>
      </c>
      <c r="D1477" s="1" t="s">
        <v>214</v>
      </c>
      <c r="E1477" s="1" t="s">
        <v>5</v>
      </c>
      <c r="F1477">
        <v>16</v>
      </c>
      <c r="G1477" s="1" t="str">
        <f>Ocupacao_DW[[#This Row],[data]]&amp;Ocupacao_DW[[#This Row],[profissional_id]]&amp;Ocupacao_DW[[#This Row],[local_id]]</f>
        <v>44636350216</v>
      </c>
      <c r="H1477" s="1">
        <f>_xlfn.XLOOKUP(Ocupacao_DW[[#This Row],[Concat]],Vagas!$H:$H,Vagas!$D:$D,"",0)</f>
        <v>0</v>
      </c>
    </row>
    <row r="1478" spans="1:8" x14ac:dyDescent="0.25">
      <c r="A1478" s="2">
        <v>44636</v>
      </c>
      <c r="B1478" s="1" t="s">
        <v>49</v>
      </c>
      <c r="C1478">
        <v>81</v>
      </c>
      <c r="D1478" s="1" t="s">
        <v>170</v>
      </c>
      <c r="E1478" s="1" t="s">
        <v>4</v>
      </c>
      <c r="F1478">
        <v>41</v>
      </c>
      <c r="G1478" s="1" t="str">
        <f>Ocupacao_DW[[#This Row],[data]]&amp;Ocupacao_DW[[#This Row],[profissional_id]]&amp;Ocupacao_DW[[#This Row],[local_id]]</f>
        <v>446368141</v>
      </c>
      <c r="H1478" s="1">
        <f>_xlfn.XLOOKUP(Ocupacao_DW[[#This Row],[Concat]],Vagas!$H:$H,Vagas!$D:$D,"",0)</f>
        <v>0</v>
      </c>
    </row>
    <row r="1479" spans="1:8" x14ac:dyDescent="0.25">
      <c r="A1479" s="2">
        <v>44641</v>
      </c>
      <c r="B1479" s="1" t="s">
        <v>72</v>
      </c>
      <c r="C1479">
        <v>13479</v>
      </c>
      <c r="D1479" s="1" t="s">
        <v>203</v>
      </c>
      <c r="E1479" s="1" t="s">
        <v>4</v>
      </c>
      <c r="F1479">
        <v>46</v>
      </c>
      <c r="G1479" s="1" t="str">
        <f>Ocupacao_DW[[#This Row],[data]]&amp;Ocupacao_DW[[#This Row],[profissional_id]]&amp;Ocupacao_DW[[#This Row],[local_id]]</f>
        <v>446411347946</v>
      </c>
      <c r="H1479" s="1">
        <f>_xlfn.XLOOKUP(Ocupacao_DW[[#This Row],[Concat]],Vagas!$H:$H,Vagas!$D:$D,"",0)</f>
        <v>0</v>
      </c>
    </row>
    <row r="1480" spans="1:8" x14ac:dyDescent="0.25">
      <c r="A1480" s="2">
        <v>44641</v>
      </c>
      <c r="B1480" s="1" t="s">
        <v>55</v>
      </c>
      <c r="C1480">
        <v>12669</v>
      </c>
      <c r="D1480" s="1" t="s">
        <v>223</v>
      </c>
      <c r="E1480" s="1" t="s">
        <v>6</v>
      </c>
      <c r="F1480">
        <v>6</v>
      </c>
      <c r="G1480" s="1" t="str">
        <f>Ocupacao_DW[[#This Row],[data]]&amp;Ocupacao_DW[[#This Row],[profissional_id]]&amp;Ocupacao_DW[[#This Row],[local_id]]</f>
        <v>44641126696</v>
      </c>
      <c r="H1480" s="1">
        <f>_xlfn.XLOOKUP(Ocupacao_DW[[#This Row],[Concat]],Vagas!$H:$H,Vagas!$D:$D,"",0)</f>
        <v>0</v>
      </c>
    </row>
    <row r="1481" spans="1:8" x14ac:dyDescent="0.25">
      <c r="A1481" s="2">
        <v>44636</v>
      </c>
      <c r="B1481" s="1" t="s">
        <v>52</v>
      </c>
      <c r="C1481">
        <v>60</v>
      </c>
      <c r="D1481" s="1" t="s">
        <v>217</v>
      </c>
      <c r="E1481" s="1" t="s">
        <v>167</v>
      </c>
      <c r="F1481">
        <v>346</v>
      </c>
      <c r="G1481" s="1" t="str">
        <f>Ocupacao_DW[[#This Row],[data]]&amp;Ocupacao_DW[[#This Row],[profissional_id]]&amp;Ocupacao_DW[[#This Row],[local_id]]</f>
        <v>4463660346</v>
      </c>
      <c r="H1481" s="1">
        <f>_xlfn.XLOOKUP(Ocupacao_DW[[#This Row],[Concat]],Vagas!$H:$H,Vagas!$D:$D,"",0)</f>
        <v>0</v>
      </c>
    </row>
    <row r="1482" spans="1:8" x14ac:dyDescent="0.25">
      <c r="A1482" s="2">
        <v>44642</v>
      </c>
      <c r="B1482" s="1" t="s">
        <v>69</v>
      </c>
      <c r="C1482">
        <v>13249</v>
      </c>
      <c r="D1482" s="1" t="s">
        <v>178</v>
      </c>
      <c r="E1482" s="1" t="s">
        <v>4</v>
      </c>
      <c r="F1482">
        <v>45</v>
      </c>
      <c r="G1482" s="1" t="str">
        <f>Ocupacao_DW[[#This Row],[data]]&amp;Ocupacao_DW[[#This Row],[profissional_id]]&amp;Ocupacao_DW[[#This Row],[local_id]]</f>
        <v>446421324945</v>
      </c>
      <c r="H1482" s="1">
        <f>_xlfn.XLOOKUP(Ocupacao_DW[[#This Row],[Concat]],Vagas!$H:$H,Vagas!$D:$D,"",0)</f>
        <v>0</v>
      </c>
    </row>
    <row r="1483" spans="1:8" x14ac:dyDescent="0.25">
      <c r="A1483" s="2">
        <v>44641</v>
      </c>
      <c r="B1483" s="1" t="s">
        <v>52</v>
      </c>
      <c r="C1483">
        <v>10595</v>
      </c>
      <c r="D1483" s="1" t="s">
        <v>218</v>
      </c>
      <c r="E1483" s="1" t="s">
        <v>200</v>
      </c>
      <c r="F1483">
        <v>78</v>
      </c>
      <c r="G1483" s="1" t="str">
        <f>Ocupacao_DW[[#This Row],[data]]&amp;Ocupacao_DW[[#This Row],[profissional_id]]&amp;Ocupacao_DW[[#This Row],[local_id]]</f>
        <v>446411059578</v>
      </c>
      <c r="H1483" s="1">
        <f>_xlfn.XLOOKUP(Ocupacao_DW[[#This Row],[Concat]],Vagas!$H:$H,Vagas!$D:$D,"",0)</f>
        <v>0</v>
      </c>
    </row>
    <row r="1484" spans="1:8" x14ac:dyDescent="0.25">
      <c r="A1484" s="2">
        <v>44636</v>
      </c>
      <c r="B1484" s="1" t="s">
        <v>57</v>
      </c>
      <c r="C1484">
        <v>80</v>
      </c>
      <c r="D1484" s="1" t="s">
        <v>179</v>
      </c>
      <c r="E1484" s="1" t="s">
        <v>167</v>
      </c>
      <c r="F1484">
        <v>346</v>
      </c>
      <c r="G1484" s="1" t="str">
        <f>Ocupacao_DW[[#This Row],[data]]&amp;Ocupacao_DW[[#This Row],[profissional_id]]&amp;Ocupacao_DW[[#This Row],[local_id]]</f>
        <v>4463680346</v>
      </c>
      <c r="H1484" s="1">
        <f>_xlfn.XLOOKUP(Ocupacao_DW[[#This Row],[Concat]],Vagas!$H:$H,Vagas!$D:$D,"",0)</f>
        <v>0</v>
      </c>
    </row>
    <row r="1485" spans="1:8" x14ac:dyDescent="0.25">
      <c r="A1485" s="2">
        <v>44636</v>
      </c>
      <c r="B1485" s="1" t="s">
        <v>47</v>
      </c>
      <c r="C1485">
        <v>111</v>
      </c>
      <c r="D1485" s="1" t="s">
        <v>199</v>
      </c>
      <c r="E1485" s="1" t="s">
        <v>4</v>
      </c>
      <c r="F1485">
        <v>51</v>
      </c>
      <c r="G1485" s="1" t="str">
        <f>Ocupacao_DW[[#This Row],[data]]&amp;Ocupacao_DW[[#This Row],[profissional_id]]&amp;Ocupacao_DW[[#This Row],[local_id]]</f>
        <v>4463611151</v>
      </c>
      <c r="H1485" s="1">
        <f>_xlfn.XLOOKUP(Ocupacao_DW[[#This Row],[Concat]],Vagas!$H:$H,Vagas!$D:$D,"",0)</f>
        <v>1</v>
      </c>
    </row>
    <row r="1486" spans="1:8" x14ac:dyDescent="0.25">
      <c r="A1486" s="2">
        <v>44636</v>
      </c>
      <c r="B1486" s="1" t="s">
        <v>47</v>
      </c>
      <c r="C1486">
        <v>111</v>
      </c>
      <c r="D1486" s="1" t="s">
        <v>199</v>
      </c>
      <c r="E1486" s="1" t="s">
        <v>4</v>
      </c>
      <c r="F1486">
        <v>51</v>
      </c>
      <c r="G1486" s="1" t="str">
        <f>Ocupacao_DW[[#This Row],[data]]&amp;Ocupacao_DW[[#This Row],[profissional_id]]&amp;Ocupacao_DW[[#This Row],[local_id]]</f>
        <v>4463611151</v>
      </c>
      <c r="H1486" s="1">
        <f>_xlfn.XLOOKUP(Ocupacao_DW[[#This Row],[Concat]],Vagas!$H:$H,Vagas!$D:$D,"",0)</f>
        <v>1</v>
      </c>
    </row>
    <row r="1487" spans="1:8" x14ac:dyDescent="0.25">
      <c r="A1487" s="2">
        <v>44637</v>
      </c>
      <c r="B1487" s="1" t="s">
        <v>72</v>
      </c>
      <c r="C1487">
        <v>6046</v>
      </c>
      <c r="D1487" s="1" t="s">
        <v>222</v>
      </c>
      <c r="E1487" s="1" t="s">
        <v>4</v>
      </c>
      <c r="F1487">
        <v>46</v>
      </c>
      <c r="G1487" s="1" t="str">
        <f>Ocupacao_DW[[#This Row],[data]]&amp;Ocupacao_DW[[#This Row],[profissional_id]]&amp;Ocupacao_DW[[#This Row],[local_id]]</f>
        <v>44637604646</v>
      </c>
      <c r="H1487" s="1">
        <f>_xlfn.XLOOKUP(Ocupacao_DW[[#This Row],[Concat]],Vagas!$H:$H,Vagas!$D:$D,"",0)</f>
        <v>0</v>
      </c>
    </row>
    <row r="1488" spans="1:8" x14ac:dyDescent="0.25">
      <c r="A1488" s="2">
        <v>44639</v>
      </c>
      <c r="B1488" s="1" t="s">
        <v>54</v>
      </c>
      <c r="C1488">
        <v>70</v>
      </c>
      <c r="D1488" s="1" t="s">
        <v>187</v>
      </c>
      <c r="E1488" s="1" t="s">
        <v>5</v>
      </c>
      <c r="F1488">
        <v>13</v>
      </c>
      <c r="G1488" s="1" t="str">
        <f>Ocupacao_DW[[#This Row],[data]]&amp;Ocupacao_DW[[#This Row],[profissional_id]]&amp;Ocupacao_DW[[#This Row],[local_id]]</f>
        <v>446397013</v>
      </c>
      <c r="H1488" s="1">
        <f>_xlfn.XLOOKUP(Ocupacao_DW[[#This Row],[Concat]],Vagas!$H:$H,Vagas!$D:$D,"",0)</f>
        <v>0</v>
      </c>
    </row>
    <row r="1489" spans="1:8" x14ac:dyDescent="0.25">
      <c r="A1489" s="2">
        <v>44648</v>
      </c>
      <c r="B1489" s="1" t="s">
        <v>55</v>
      </c>
      <c r="C1489">
        <v>60</v>
      </c>
      <c r="D1489" s="1" t="s">
        <v>217</v>
      </c>
      <c r="E1489" s="1" t="s">
        <v>167</v>
      </c>
      <c r="F1489">
        <v>345</v>
      </c>
      <c r="G1489" s="1" t="str">
        <f>Ocupacao_DW[[#This Row],[data]]&amp;Ocupacao_DW[[#This Row],[profissional_id]]&amp;Ocupacao_DW[[#This Row],[local_id]]</f>
        <v>4464860345</v>
      </c>
      <c r="H1489" s="1">
        <f>_xlfn.XLOOKUP(Ocupacao_DW[[#This Row],[Concat]],Vagas!$H:$H,Vagas!$D:$D,"",0)</f>
        <v>0</v>
      </c>
    </row>
    <row r="1490" spans="1:8" x14ac:dyDescent="0.25">
      <c r="A1490" s="2">
        <v>44645</v>
      </c>
      <c r="B1490" s="1" t="s">
        <v>52</v>
      </c>
      <c r="C1490">
        <v>55</v>
      </c>
      <c r="D1490" s="1" t="s">
        <v>244</v>
      </c>
      <c r="E1490" s="1" t="s">
        <v>7</v>
      </c>
      <c r="F1490">
        <v>68</v>
      </c>
      <c r="G1490" s="1" t="str">
        <f>Ocupacao_DW[[#This Row],[data]]&amp;Ocupacao_DW[[#This Row],[profissional_id]]&amp;Ocupacao_DW[[#This Row],[local_id]]</f>
        <v>446455568</v>
      </c>
      <c r="H1490" s="1">
        <f>_xlfn.XLOOKUP(Ocupacao_DW[[#This Row],[Concat]],Vagas!$H:$H,Vagas!$D:$D,"",0)</f>
        <v>0</v>
      </c>
    </row>
    <row r="1491" spans="1:8" x14ac:dyDescent="0.25">
      <c r="A1491" s="2">
        <v>44642</v>
      </c>
      <c r="B1491" s="1" t="s">
        <v>49</v>
      </c>
      <c r="C1491">
        <v>266</v>
      </c>
      <c r="D1491" s="1" t="s">
        <v>201</v>
      </c>
      <c r="E1491" s="1" t="s">
        <v>4</v>
      </c>
      <c r="F1491">
        <v>42</v>
      </c>
      <c r="G1491" s="1" t="str">
        <f>Ocupacao_DW[[#This Row],[data]]&amp;Ocupacao_DW[[#This Row],[profissional_id]]&amp;Ocupacao_DW[[#This Row],[local_id]]</f>
        <v>4464226642</v>
      </c>
      <c r="H1491" s="1">
        <f>_xlfn.XLOOKUP(Ocupacao_DW[[#This Row],[Concat]],Vagas!$H:$H,Vagas!$D:$D,"",0)</f>
        <v>0</v>
      </c>
    </row>
    <row r="1492" spans="1:8" x14ac:dyDescent="0.25">
      <c r="A1492" s="2">
        <v>44636</v>
      </c>
      <c r="B1492" s="1" t="s">
        <v>62</v>
      </c>
      <c r="C1492">
        <v>2567</v>
      </c>
      <c r="D1492" s="1" t="s">
        <v>198</v>
      </c>
      <c r="E1492" s="1" t="s">
        <v>5</v>
      </c>
      <c r="F1492">
        <v>349</v>
      </c>
      <c r="G1492" s="1" t="str">
        <f>Ocupacao_DW[[#This Row],[data]]&amp;Ocupacao_DW[[#This Row],[profissional_id]]&amp;Ocupacao_DW[[#This Row],[local_id]]</f>
        <v>446362567349</v>
      </c>
      <c r="H1492" s="1">
        <f>_xlfn.XLOOKUP(Ocupacao_DW[[#This Row],[Concat]],Vagas!$H:$H,Vagas!$D:$D,"",0)</f>
        <v>0</v>
      </c>
    </row>
    <row r="1493" spans="1:8" x14ac:dyDescent="0.25">
      <c r="A1493" s="2">
        <v>44645</v>
      </c>
      <c r="B1493" s="1"/>
      <c r="C1493">
        <v>2567</v>
      </c>
      <c r="D1493" s="1" t="s">
        <v>198</v>
      </c>
      <c r="E1493" s="1" t="s">
        <v>5</v>
      </c>
      <c r="F1493">
        <v>18</v>
      </c>
      <c r="G1493" s="1" t="str">
        <f>Ocupacao_DW[[#This Row],[data]]&amp;Ocupacao_DW[[#This Row],[profissional_id]]&amp;Ocupacao_DW[[#This Row],[local_id]]</f>
        <v>44645256718</v>
      </c>
      <c r="H1493" s="1">
        <f>_xlfn.XLOOKUP(Ocupacao_DW[[#This Row],[Concat]],Vagas!$H:$H,Vagas!$D:$D,"",0)</f>
        <v>0</v>
      </c>
    </row>
    <row r="1494" spans="1:8" x14ac:dyDescent="0.25">
      <c r="A1494" s="2">
        <v>44643</v>
      </c>
      <c r="B1494" s="1" t="s">
        <v>52</v>
      </c>
      <c r="C1494">
        <v>10691</v>
      </c>
      <c r="D1494" s="1" t="s">
        <v>181</v>
      </c>
      <c r="E1494" s="1" t="s">
        <v>6</v>
      </c>
      <c r="F1494">
        <v>9</v>
      </c>
      <c r="G1494" s="1" t="str">
        <f>Ocupacao_DW[[#This Row],[data]]&amp;Ocupacao_DW[[#This Row],[profissional_id]]&amp;Ocupacao_DW[[#This Row],[local_id]]</f>
        <v>44643106919</v>
      </c>
      <c r="H1494" s="1">
        <f>_xlfn.XLOOKUP(Ocupacao_DW[[#This Row],[Concat]],Vagas!$H:$H,Vagas!$D:$D,"",0)</f>
        <v>0</v>
      </c>
    </row>
    <row r="1495" spans="1:8" x14ac:dyDescent="0.25">
      <c r="A1495" s="2">
        <v>44638</v>
      </c>
      <c r="B1495" s="1"/>
      <c r="C1495">
        <v>3502</v>
      </c>
      <c r="D1495" s="1" t="s">
        <v>214</v>
      </c>
      <c r="E1495" s="1" t="s">
        <v>7</v>
      </c>
      <c r="F1495">
        <v>63</v>
      </c>
      <c r="G1495" s="1" t="str">
        <f>Ocupacao_DW[[#This Row],[data]]&amp;Ocupacao_DW[[#This Row],[profissional_id]]&amp;Ocupacao_DW[[#This Row],[local_id]]</f>
        <v>44638350263</v>
      </c>
      <c r="H1495" s="1" t="str">
        <f>_xlfn.XLOOKUP(Ocupacao_DW[[#This Row],[Concat]],Vagas!$H:$H,Vagas!$D:$D,"",0)</f>
        <v/>
      </c>
    </row>
    <row r="1496" spans="1:8" x14ac:dyDescent="0.25">
      <c r="A1496" s="2">
        <v>44637</v>
      </c>
      <c r="B1496" s="1"/>
      <c r="C1496">
        <v>12426</v>
      </c>
      <c r="D1496" s="1" t="s">
        <v>215</v>
      </c>
      <c r="E1496" s="1" t="s">
        <v>6</v>
      </c>
      <c r="F1496">
        <v>5</v>
      </c>
      <c r="G1496" s="1" t="str">
        <f>Ocupacao_DW[[#This Row],[data]]&amp;Ocupacao_DW[[#This Row],[profissional_id]]&amp;Ocupacao_DW[[#This Row],[local_id]]</f>
        <v>44637124265</v>
      </c>
      <c r="H1496" s="1">
        <f>_xlfn.XLOOKUP(Ocupacao_DW[[#This Row],[Concat]],Vagas!$H:$H,Vagas!$D:$D,"",0)</f>
        <v>0</v>
      </c>
    </row>
    <row r="1497" spans="1:8" x14ac:dyDescent="0.25">
      <c r="A1497" s="2">
        <v>44643</v>
      </c>
      <c r="B1497" s="1"/>
      <c r="C1497">
        <v>73</v>
      </c>
      <c r="D1497" s="1" t="s">
        <v>171</v>
      </c>
      <c r="E1497" s="1" t="s">
        <v>6</v>
      </c>
      <c r="F1497">
        <v>5</v>
      </c>
      <c r="G1497" s="1" t="str">
        <f>Ocupacao_DW[[#This Row],[data]]&amp;Ocupacao_DW[[#This Row],[profissional_id]]&amp;Ocupacao_DW[[#This Row],[local_id]]</f>
        <v>44643735</v>
      </c>
      <c r="H1497" s="1">
        <f>_xlfn.XLOOKUP(Ocupacao_DW[[#This Row],[Concat]],Vagas!$H:$H,Vagas!$D:$D,"",0)</f>
        <v>0</v>
      </c>
    </row>
    <row r="1498" spans="1:8" x14ac:dyDescent="0.25">
      <c r="A1498" s="2">
        <v>44643</v>
      </c>
      <c r="B1498" s="1" t="s">
        <v>55</v>
      </c>
      <c r="C1498">
        <v>73</v>
      </c>
      <c r="D1498" s="1" t="s">
        <v>171</v>
      </c>
      <c r="E1498" s="1" t="s">
        <v>6</v>
      </c>
      <c r="F1498">
        <v>5</v>
      </c>
      <c r="G1498" s="1" t="str">
        <f>Ocupacao_DW[[#This Row],[data]]&amp;Ocupacao_DW[[#This Row],[profissional_id]]&amp;Ocupacao_DW[[#This Row],[local_id]]</f>
        <v>44643735</v>
      </c>
      <c r="H1498" s="1">
        <f>_xlfn.XLOOKUP(Ocupacao_DW[[#This Row],[Concat]],Vagas!$H:$H,Vagas!$D:$D,"",0)</f>
        <v>0</v>
      </c>
    </row>
    <row r="1499" spans="1:8" x14ac:dyDescent="0.25">
      <c r="A1499" s="2">
        <v>44638</v>
      </c>
      <c r="B1499" s="1"/>
      <c r="C1499">
        <v>3502</v>
      </c>
      <c r="D1499" s="1" t="s">
        <v>214</v>
      </c>
      <c r="E1499" s="1" t="s">
        <v>7</v>
      </c>
      <c r="F1499">
        <v>63</v>
      </c>
      <c r="G1499" s="1" t="str">
        <f>Ocupacao_DW[[#This Row],[data]]&amp;Ocupacao_DW[[#This Row],[profissional_id]]&amp;Ocupacao_DW[[#This Row],[local_id]]</f>
        <v>44638350263</v>
      </c>
      <c r="H1499" s="1" t="str">
        <f>_xlfn.XLOOKUP(Ocupacao_DW[[#This Row],[Concat]],Vagas!$H:$H,Vagas!$D:$D,"",0)</f>
        <v/>
      </c>
    </row>
    <row r="1500" spans="1:8" x14ac:dyDescent="0.25">
      <c r="A1500" s="2">
        <v>44646</v>
      </c>
      <c r="B1500" s="1"/>
      <c r="C1500">
        <v>4887</v>
      </c>
      <c r="D1500" s="1" t="s">
        <v>168</v>
      </c>
      <c r="E1500" s="1" t="s">
        <v>5</v>
      </c>
      <c r="F1500">
        <v>18</v>
      </c>
      <c r="G1500" s="1" t="str">
        <f>Ocupacao_DW[[#This Row],[data]]&amp;Ocupacao_DW[[#This Row],[profissional_id]]&amp;Ocupacao_DW[[#This Row],[local_id]]</f>
        <v>44646488718</v>
      </c>
      <c r="H1500" s="1">
        <f>_xlfn.XLOOKUP(Ocupacao_DW[[#This Row],[Concat]],Vagas!$H:$H,Vagas!$D:$D,"",0)</f>
        <v>0</v>
      </c>
    </row>
    <row r="1501" spans="1:8" x14ac:dyDescent="0.25">
      <c r="A1501" s="2">
        <v>44641</v>
      </c>
      <c r="B1501" s="1"/>
      <c r="C1501">
        <v>6392</v>
      </c>
      <c r="D1501" s="1" t="s">
        <v>173</v>
      </c>
      <c r="E1501" s="1" t="s">
        <v>6</v>
      </c>
      <c r="F1501">
        <v>5</v>
      </c>
      <c r="G1501" s="1" t="str">
        <f>Ocupacao_DW[[#This Row],[data]]&amp;Ocupacao_DW[[#This Row],[profissional_id]]&amp;Ocupacao_DW[[#This Row],[local_id]]</f>
        <v>4464163925</v>
      </c>
      <c r="H1501" s="1">
        <f>_xlfn.XLOOKUP(Ocupacao_DW[[#This Row],[Concat]],Vagas!$H:$H,Vagas!$D:$D,"",0)</f>
        <v>0</v>
      </c>
    </row>
    <row r="1502" spans="1:8" x14ac:dyDescent="0.25">
      <c r="A1502" s="2">
        <v>44635</v>
      </c>
      <c r="B1502" s="1"/>
      <c r="C1502">
        <v>110</v>
      </c>
      <c r="D1502" s="1" t="s">
        <v>193</v>
      </c>
      <c r="E1502" s="1" t="s">
        <v>4</v>
      </c>
      <c r="F1502">
        <v>334</v>
      </c>
      <c r="G1502" s="1" t="str">
        <f>Ocupacao_DW[[#This Row],[data]]&amp;Ocupacao_DW[[#This Row],[profissional_id]]&amp;Ocupacao_DW[[#This Row],[local_id]]</f>
        <v>44635110334</v>
      </c>
      <c r="H1502" s="1">
        <f>_xlfn.XLOOKUP(Ocupacao_DW[[#This Row],[Concat]],Vagas!$H:$H,Vagas!$D:$D,"",0)</f>
        <v>0</v>
      </c>
    </row>
    <row r="1503" spans="1:8" x14ac:dyDescent="0.25">
      <c r="A1503" s="2">
        <v>44641</v>
      </c>
      <c r="B1503" s="1"/>
      <c r="C1503">
        <v>6392</v>
      </c>
      <c r="D1503" s="1" t="s">
        <v>173</v>
      </c>
      <c r="E1503" s="1" t="s">
        <v>167</v>
      </c>
      <c r="F1503">
        <v>342</v>
      </c>
      <c r="G1503" s="1" t="str">
        <f>Ocupacao_DW[[#This Row],[data]]&amp;Ocupacao_DW[[#This Row],[profissional_id]]&amp;Ocupacao_DW[[#This Row],[local_id]]</f>
        <v>446416392342</v>
      </c>
      <c r="H1503" s="1">
        <f>_xlfn.XLOOKUP(Ocupacao_DW[[#This Row],[Concat]],Vagas!$H:$H,Vagas!$D:$D,"",0)</f>
        <v>8</v>
      </c>
    </row>
    <row r="1504" spans="1:8" x14ac:dyDescent="0.25">
      <c r="A1504" s="2">
        <v>44637</v>
      </c>
      <c r="B1504" s="1" t="s">
        <v>55</v>
      </c>
      <c r="C1504">
        <v>12426</v>
      </c>
      <c r="D1504" s="1" t="s">
        <v>215</v>
      </c>
      <c r="E1504" s="1" t="s">
        <v>6</v>
      </c>
      <c r="F1504">
        <v>5</v>
      </c>
      <c r="G1504" s="1" t="str">
        <f>Ocupacao_DW[[#This Row],[data]]&amp;Ocupacao_DW[[#This Row],[profissional_id]]&amp;Ocupacao_DW[[#This Row],[local_id]]</f>
        <v>44637124265</v>
      </c>
      <c r="H1504" s="1">
        <f>_xlfn.XLOOKUP(Ocupacao_DW[[#This Row],[Concat]],Vagas!$H:$H,Vagas!$D:$D,"",0)</f>
        <v>0</v>
      </c>
    </row>
    <row r="1505" spans="1:8" x14ac:dyDescent="0.25">
      <c r="A1505" s="2">
        <v>44646</v>
      </c>
      <c r="B1505" s="1"/>
      <c r="C1505">
        <v>531</v>
      </c>
      <c r="D1505" s="1" t="s">
        <v>213</v>
      </c>
      <c r="E1505" s="1" t="s">
        <v>5</v>
      </c>
      <c r="F1505">
        <v>12</v>
      </c>
      <c r="G1505" s="1" t="str">
        <f>Ocupacao_DW[[#This Row],[data]]&amp;Ocupacao_DW[[#This Row],[profissional_id]]&amp;Ocupacao_DW[[#This Row],[local_id]]</f>
        <v>4464653112</v>
      </c>
      <c r="H1505" s="1">
        <f>_xlfn.XLOOKUP(Ocupacao_DW[[#This Row],[Concat]],Vagas!$H:$H,Vagas!$D:$D,"",0)</f>
        <v>0</v>
      </c>
    </row>
    <row r="1506" spans="1:8" x14ac:dyDescent="0.25">
      <c r="A1506" s="2">
        <v>44639</v>
      </c>
      <c r="B1506" s="1"/>
      <c r="C1506">
        <v>111</v>
      </c>
      <c r="D1506" s="1" t="s">
        <v>199</v>
      </c>
      <c r="E1506" s="1" t="s">
        <v>4</v>
      </c>
      <c r="F1506">
        <v>51</v>
      </c>
      <c r="G1506" s="1" t="str">
        <f>Ocupacao_DW[[#This Row],[data]]&amp;Ocupacao_DW[[#This Row],[profissional_id]]&amp;Ocupacao_DW[[#This Row],[local_id]]</f>
        <v>4463911151</v>
      </c>
      <c r="H1506" s="1">
        <f>_xlfn.XLOOKUP(Ocupacao_DW[[#This Row],[Concat]],Vagas!$H:$H,Vagas!$D:$D,"",0)</f>
        <v>0</v>
      </c>
    </row>
    <row r="1507" spans="1:8" x14ac:dyDescent="0.25">
      <c r="A1507" s="2">
        <v>44636</v>
      </c>
      <c r="B1507" s="1"/>
      <c r="C1507">
        <v>12679</v>
      </c>
      <c r="D1507" s="1" t="s">
        <v>192</v>
      </c>
      <c r="E1507" s="1" t="s">
        <v>5</v>
      </c>
      <c r="F1507">
        <v>11</v>
      </c>
      <c r="G1507" s="1" t="str">
        <f>Ocupacao_DW[[#This Row],[data]]&amp;Ocupacao_DW[[#This Row],[profissional_id]]&amp;Ocupacao_DW[[#This Row],[local_id]]</f>
        <v>446361267911</v>
      </c>
      <c r="H1507" s="1">
        <f>_xlfn.XLOOKUP(Ocupacao_DW[[#This Row],[Concat]],Vagas!$H:$H,Vagas!$D:$D,"",0)</f>
        <v>0</v>
      </c>
    </row>
    <row r="1508" spans="1:8" x14ac:dyDescent="0.25">
      <c r="A1508" s="2">
        <v>44642</v>
      </c>
      <c r="B1508" s="1"/>
      <c r="C1508">
        <v>13249</v>
      </c>
      <c r="D1508" s="1" t="s">
        <v>178</v>
      </c>
      <c r="E1508" s="1" t="s">
        <v>4</v>
      </c>
      <c r="F1508">
        <v>45</v>
      </c>
      <c r="G1508" s="1" t="str">
        <f>Ocupacao_DW[[#This Row],[data]]&amp;Ocupacao_DW[[#This Row],[profissional_id]]&amp;Ocupacao_DW[[#This Row],[local_id]]</f>
        <v>446421324945</v>
      </c>
      <c r="H1508" s="1">
        <f>_xlfn.XLOOKUP(Ocupacao_DW[[#This Row],[Concat]],Vagas!$H:$H,Vagas!$D:$D,"",0)</f>
        <v>0</v>
      </c>
    </row>
    <row r="1509" spans="1:8" x14ac:dyDescent="0.25">
      <c r="A1509" s="2">
        <v>44635</v>
      </c>
      <c r="B1509" s="1"/>
      <c r="C1509">
        <v>57</v>
      </c>
      <c r="D1509" s="1" t="s">
        <v>169</v>
      </c>
      <c r="E1509" s="1"/>
      <c r="F1509">
        <v>0</v>
      </c>
      <c r="G1509" s="1" t="str">
        <f>Ocupacao_DW[[#This Row],[data]]&amp;Ocupacao_DW[[#This Row],[profissional_id]]&amp;Ocupacao_DW[[#This Row],[local_id]]</f>
        <v>44635570</v>
      </c>
      <c r="H1509" s="1" t="str">
        <f>_xlfn.XLOOKUP(Ocupacao_DW[[#This Row],[Concat]],Vagas!$H:$H,Vagas!$D:$D,"",0)</f>
        <v/>
      </c>
    </row>
    <row r="1510" spans="1:8" x14ac:dyDescent="0.25">
      <c r="A1510" s="2">
        <v>44648</v>
      </c>
      <c r="B1510" s="1"/>
      <c r="C1510">
        <v>10595</v>
      </c>
      <c r="D1510" s="1" t="s">
        <v>218</v>
      </c>
      <c r="E1510" s="1" t="s">
        <v>200</v>
      </c>
      <c r="F1510">
        <v>78</v>
      </c>
      <c r="G1510" s="1" t="str">
        <f>Ocupacao_DW[[#This Row],[data]]&amp;Ocupacao_DW[[#This Row],[profissional_id]]&amp;Ocupacao_DW[[#This Row],[local_id]]</f>
        <v>446481059578</v>
      </c>
      <c r="H1510" s="1">
        <f>_xlfn.XLOOKUP(Ocupacao_DW[[#This Row],[Concat]],Vagas!$H:$H,Vagas!$D:$D,"",0)</f>
        <v>0</v>
      </c>
    </row>
    <row r="1511" spans="1:8" x14ac:dyDescent="0.25">
      <c r="A1511" s="2">
        <v>44641</v>
      </c>
      <c r="B1511" s="1"/>
      <c r="C1511">
        <v>6392</v>
      </c>
      <c r="D1511" s="1" t="s">
        <v>173</v>
      </c>
      <c r="E1511" s="1" t="s">
        <v>167</v>
      </c>
      <c r="F1511">
        <v>342</v>
      </c>
      <c r="G1511" s="1" t="str">
        <f>Ocupacao_DW[[#This Row],[data]]&amp;Ocupacao_DW[[#This Row],[profissional_id]]&amp;Ocupacao_DW[[#This Row],[local_id]]</f>
        <v>446416392342</v>
      </c>
      <c r="H1511" s="1">
        <f>_xlfn.XLOOKUP(Ocupacao_DW[[#This Row],[Concat]],Vagas!$H:$H,Vagas!$D:$D,"",0)</f>
        <v>8</v>
      </c>
    </row>
    <row r="1512" spans="1:8" x14ac:dyDescent="0.25">
      <c r="A1512" s="2">
        <v>44646</v>
      </c>
      <c r="B1512" s="1"/>
      <c r="C1512">
        <v>4887</v>
      </c>
      <c r="D1512" s="1" t="s">
        <v>168</v>
      </c>
      <c r="E1512" s="1" t="s">
        <v>5</v>
      </c>
      <c r="F1512">
        <v>18</v>
      </c>
      <c r="G1512" s="1" t="str">
        <f>Ocupacao_DW[[#This Row],[data]]&amp;Ocupacao_DW[[#This Row],[profissional_id]]&amp;Ocupacao_DW[[#This Row],[local_id]]</f>
        <v>44646488718</v>
      </c>
      <c r="H1512" s="1">
        <f>_xlfn.XLOOKUP(Ocupacao_DW[[#This Row],[Concat]],Vagas!$H:$H,Vagas!$D:$D,"",0)</f>
        <v>0</v>
      </c>
    </row>
    <row r="1513" spans="1:8" x14ac:dyDescent="0.25">
      <c r="A1513" s="2">
        <v>44637</v>
      </c>
      <c r="B1513" s="1"/>
      <c r="C1513">
        <v>60</v>
      </c>
      <c r="D1513" s="1" t="s">
        <v>217</v>
      </c>
      <c r="E1513" s="1" t="s">
        <v>167</v>
      </c>
      <c r="F1513">
        <v>346</v>
      </c>
      <c r="G1513" s="1" t="str">
        <f>Ocupacao_DW[[#This Row],[data]]&amp;Ocupacao_DW[[#This Row],[profissional_id]]&amp;Ocupacao_DW[[#This Row],[local_id]]</f>
        <v>4463760346</v>
      </c>
      <c r="H1513" s="1">
        <f>_xlfn.XLOOKUP(Ocupacao_DW[[#This Row],[Concat]],Vagas!$H:$H,Vagas!$D:$D,"",0)</f>
        <v>0</v>
      </c>
    </row>
    <row r="1514" spans="1:8" x14ac:dyDescent="0.25">
      <c r="A1514" s="2">
        <v>44648</v>
      </c>
      <c r="B1514" s="1"/>
      <c r="C1514">
        <v>6392</v>
      </c>
      <c r="D1514" s="1" t="s">
        <v>173</v>
      </c>
      <c r="E1514" s="1" t="s">
        <v>6</v>
      </c>
      <c r="F1514">
        <v>5</v>
      </c>
      <c r="G1514" s="1" t="str">
        <f>Ocupacao_DW[[#This Row],[data]]&amp;Ocupacao_DW[[#This Row],[profissional_id]]&amp;Ocupacao_DW[[#This Row],[local_id]]</f>
        <v>4464863925</v>
      </c>
      <c r="H1514" s="1">
        <f>_xlfn.XLOOKUP(Ocupacao_DW[[#This Row],[Concat]],Vagas!$H:$H,Vagas!$D:$D,"",0)</f>
        <v>0</v>
      </c>
    </row>
    <row r="1515" spans="1:8" x14ac:dyDescent="0.25">
      <c r="A1515" s="2">
        <v>44645</v>
      </c>
      <c r="B1515" s="1"/>
      <c r="C1515">
        <v>86</v>
      </c>
      <c r="D1515" s="1" t="s">
        <v>175</v>
      </c>
      <c r="E1515" s="1" t="s">
        <v>5</v>
      </c>
      <c r="F1515">
        <v>349</v>
      </c>
      <c r="G1515" s="1" t="str">
        <f>Ocupacao_DW[[#This Row],[data]]&amp;Ocupacao_DW[[#This Row],[profissional_id]]&amp;Ocupacao_DW[[#This Row],[local_id]]</f>
        <v>4464586349</v>
      </c>
      <c r="H1515" s="1">
        <f>_xlfn.XLOOKUP(Ocupacao_DW[[#This Row],[Concat]],Vagas!$H:$H,Vagas!$D:$D,"",0)</f>
        <v>0</v>
      </c>
    </row>
    <row r="1516" spans="1:8" x14ac:dyDescent="0.25">
      <c r="A1516" s="2">
        <v>44641</v>
      </c>
      <c r="B1516" s="1"/>
      <c r="C1516">
        <v>13249</v>
      </c>
      <c r="D1516" s="1" t="s">
        <v>178</v>
      </c>
      <c r="E1516" s="1" t="s">
        <v>4</v>
      </c>
      <c r="F1516">
        <v>45</v>
      </c>
      <c r="G1516" s="1" t="str">
        <f>Ocupacao_DW[[#This Row],[data]]&amp;Ocupacao_DW[[#This Row],[profissional_id]]&amp;Ocupacao_DW[[#This Row],[local_id]]</f>
        <v>446411324945</v>
      </c>
      <c r="H1516" s="1">
        <f>_xlfn.XLOOKUP(Ocupacao_DW[[#This Row],[Concat]],Vagas!$H:$H,Vagas!$D:$D,"",0)</f>
        <v>0</v>
      </c>
    </row>
    <row r="1517" spans="1:8" x14ac:dyDescent="0.25">
      <c r="A1517" s="2">
        <v>44636</v>
      </c>
      <c r="B1517" s="1"/>
      <c r="C1517">
        <v>57</v>
      </c>
      <c r="D1517" s="1" t="s">
        <v>169</v>
      </c>
      <c r="E1517" s="1" t="s">
        <v>6</v>
      </c>
      <c r="F1517">
        <v>8</v>
      </c>
      <c r="G1517" s="1" t="str">
        <f>Ocupacao_DW[[#This Row],[data]]&amp;Ocupacao_DW[[#This Row],[profissional_id]]&amp;Ocupacao_DW[[#This Row],[local_id]]</f>
        <v>44636578</v>
      </c>
      <c r="H1517" s="1">
        <f>_xlfn.XLOOKUP(Ocupacao_DW[[#This Row],[Concat]],Vagas!$H:$H,Vagas!$D:$D,"",0)</f>
        <v>14</v>
      </c>
    </row>
    <row r="1518" spans="1:8" x14ac:dyDescent="0.25">
      <c r="A1518" s="2">
        <v>44641</v>
      </c>
      <c r="B1518" s="1"/>
      <c r="C1518">
        <v>10595</v>
      </c>
      <c r="D1518" s="1" t="s">
        <v>218</v>
      </c>
      <c r="E1518" s="1" t="s">
        <v>200</v>
      </c>
      <c r="F1518">
        <v>78</v>
      </c>
      <c r="G1518" s="1" t="str">
        <f>Ocupacao_DW[[#This Row],[data]]&amp;Ocupacao_DW[[#This Row],[profissional_id]]&amp;Ocupacao_DW[[#This Row],[local_id]]</f>
        <v>446411059578</v>
      </c>
      <c r="H1518" s="1">
        <f>_xlfn.XLOOKUP(Ocupacao_DW[[#This Row],[Concat]],Vagas!$H:$H,Vagas!$D:$D,"",0)</f>
        <v>0</v>
      </c>
    </row>
    <row r="1519" spans="1:8" x14ac:dyDescent="0.25">
      <c r="A1519" s="2">
        <v>44635</v>
      </c>
      <c r="B1519" s="1" t="s">
        <v>55</v>
      </c>
      <c r="C1519">
        <v>60</v>
      </c>
      <c r="D1519" s="1" t="s">
        <v>217</v>
      </c>
      <c r="E1519" s="1" t="s">
        <v>167</v>
      </c>
      <c r="F1519">
        <v>345</v>
      </c>
      <c r="G1519" s="1" t="str">
        <f>Ocupacao_DW[[#This Row],[data]]&amp;Ocupacao_DW[[#This Row],[profissional_id]]&amp;Ocupacao_DW[[#This Row],[local_id]]</f>
        <v>4463560345</v>
      </c>
      <c r="H1519" s="1">
        <f>_xlfn.XLOOKUP(Ocupacao_DW[[#This Row],[Concat]],Vagas!$H:$H,Vagas!$D:$D,"",0)</f>
        <v>0</v>
      </c>
    </row>
    <row r="1520" spans="1:8" x14ac:dyDescent="0.25">
      <c r="A1520" s="2">
        <v>44639</v>
      </c>
      <c r="B1520" s="1"/>
      <c r="C1520">
        <v>111</v>
      </c>
      <c r="D1520" s="1" t="s">
        <v>199</v>
      </c>
      <c r="E1520" s="1" t="s">
        <v>4</v>
      </c>
      <c r="F1520">
        <v>51</v>
      </c>
      <c r="G1520" s="1" t="str">
        <f>Ocupacao_DW[[#This Row],[data]]&amp;Ocupacao_DW[[#This Row],[profissional_id]]&amp;Ocupacao_DW[[#This Row],[local_id]]</f>
        <v>4463911151</v>
      </c>
      <c r="H1520" s="1">
        <f>_xlfn.XLOOKUP(Ocupacao_DW[[#This Row],[Concat]],Vagas!$H:$H,Vagas!$D:$D,"",0)</f>
        <v>0</v>
      </c>
    </row>
    <row r="1521" spans="1:8" x14ac:dyDescent="0.25">
      <c r="A1521" s="2">
        <v>44635</v>
      </c>
      <c r="B1521" s="1"/>
      <c r="C1521">
        <v>282</v>
      </c>
      <c r="D1521" s="1" t="s">
        <v>210</v>
      </c>
      <c r="E1521" s="1" t="s">
        <v>4</v>
      </c>
      <c r="F1521">
        <v>39</v>
      </c>
      <c r="G1521" s="1" t="str">
        <f>Ocupacao_DW[[#This Row],[data]]&amp;Ocupacao_DW[[#This Row],[profissional_id]]&amp;Ocupacao_DW[[#This Row],[local_id]]</f>
        <v>4463528239</v>
      </c>
      <c r="H1521" s="1">
        <f>_xlfn.XLOOKUP(Ocupacao_DW[[#This Row],[Concat]],Vagas!$H:$H,Vagas!$D:$D,"",0)</f>
        <v>50</v>
      </c>
    </row>
    <row r="1522" spans="1:8" x14ac:dyDescent="0.25">
      <c r="A1522" s="2">
        <v>44651</v>
      </c>
      <c r="B1522" s="1" t="s">
        <v>55</v>
      </c>
      <c r="C1522">
        <v>8598</v>
      </c>
      <c r="D1522" s="1" t="s">
        <v>228</v>
      </c>
      <c r="E1522" s="1" t="s">
        <v>6</v>
      </c>
      <c r="F1522">
        <v>3</v>
      </c>
      <c r="G1522" s="1" t="str">
        <f>Ocupacao_DW[[#This Row],[data]]&amp;Ocupacao_DW[[#This Row],[profissional_id]]&amp;Ocupacao_DW[[#This Row],[local_id]]</f>
        <v>4465185983</v>
      </c>
      <c r="H1522" s="1">
        <f>_xlfn.XLOOKUP(Ocupacao_DW[[#This Row],[Concat]],Vagas!$H:$H,Vagas!$D:$D,"",0)</f>
        <v>0</v>
      </c>
    </row>
    <row r="1523" spans="1:8" x14ac:dyDescent="0.25">
      <c r="A1523" s="2">
        <v>44637</v>
      </c>
      <c r="B1523" s="1"/>
      <c r="C1523">
        <v>12426</v>
      </c>
      <c r="D1523" s="1" t="s">
        <v>215</v>
      </c>
      <c r="E1523" s="1" t="s">
        <v>6</v>
      </c>
      <c r="F1523">
        <v>5</v>
      </c>
      <c r="G1523" s="1" t="str">
        <f>Ocupacao_DW[[#This Row],[data]]&amp;Ocupacao_DW[[#This Row],[profissional_id]]&amp;Ocupacao_DW[[#This Row],[local_id]]</f>
        <v>44637124265</v>
      </c>
      <c r="H1523" s="1">
        <f>_xlfn.XLOOKUP(Ocupacao_DW[[#This Row],[Concat]],Vagas!$H:$H,Vagas!$D:$D,"",0)</f>
        <v>0</v>
      </c>
    </row>
    <row r="1524" spans="1:8" x14ac:dyDescent="0.25">
      <c r="A1524" s="2">
        <v>44636</v>
      </c>
      <c r="B1524" s="1"/>
      <c r="C1524">
        <v>57</v>
      </c>
      <c r="D1524" s="1" t="s">
        <v>169</v>
      </c>
      <c r="E1524" s="1" t="s">
        <v>6</v>
      </c>
      <c r="F1524">
        <v>8</v>
      </c>
      <c r="G1524" s="1" t="str">
        <f>Ocupacao_DW[[#This Row],[data]]&amp;Ocupacao_DW[[#This Row],[profissional_id]]&amp;Ocupacao_DW[[#This Row],[local_id]]</f>
        <v>44636578</v>
      </c>
      <c r="H1524" s="1">
        <f>_xlfn.XLOOKUP(Ocupacao_DW[[#This Row],[Concat]],Vagas!$H:$H,Vagas!$D:$D,"",0)</f>
        <v>14</v>
      </c>
    </row>
    <row r="1525" spans="1:8" x14ac:dyDescent="0.25">
      <c r="A1525" s="2">
        <v>44644</v>
      </c>
      <c r="B1525" s="1"/>
      <c r="C1525">
        <v>53</v>
      </c>
      <c r="D1525" s="1" t="s">
        <v>254</v>
      </c>
      <c r="E1525" s="1" t="s">
        <v>6</v>
      </c>
      <c r="F1525">
        <v>5</v>
      </c>
      <c r="G1525" s="1" t="str">
        <f>Ocupacao_DW[[#This Row],[data]]&amp;Ocupacao_DW[[#This Row],[profissional_id]]&amp;Ocupacao_DW[[#This Row],[local_id]]</f>
        <v>44644535</v>
      </c>
      <c r="H1525" s="1">
        <f>_xlfn.XLOOKUP(Ocupacao_DW[[#This Row],[Concat]],Vagas!$H:$H,Vagas!$D:$D,"",0)</f>
        <v>0</v>
      </c>
    </row>
    <row r="1526" spans="1:8" x14ac:dyDescent="0.25">
      <c r="A1526" s="2">
        <v>44641</v>
      </c>
      <c r="B1526" s="1"/>
      <c r="C1526">
        <v>13249</v>
      </c>
      <c r="D1526" s="1" t="s">
        <v>178</v>
      </c>
      <c r="E1526" s="1" t="s">
        <v>4</v>
      </c>
      <c r="F1526">
        <v>45</v>
      </c>
      <c r="G1526" s="1" t="str">
        <f>Ocupacao_DW[[#This Row],[data]]&amp;Ocupacao_DW[[#This Row],[profissional_id]]&amp;Ocupacao_DW[[#This Row],[local_id]]</f>
        <v>446411324945</v>
      </c>
      <c r="H1526" s="1">
        <f>_xlfn.XLOOKUP(Ocupacao_DW[[#This Row],[Concat]],Vagas!$H:$H,Vagas!$D:$D,"",0)</f>
        <v>0</v>
      </c>
    </row>
    <row r="1527" spans="1:8" x14ac:dyDescent="0.25">
      <c r="A1527" s="2">
        <v>44637</v>
      </c>
      <c r="B1527" s="1"/>
      <c r="C1527">
        <v>9111</v>
      </c>
      <c r="D1527" s="1" t="s">
        <v>206</v>
      </c>
      <c r="E1527" s="1" t="s">
        <v>4</v>
      </c>
      <c r="F1527">
        <v>334</v>
      </c>
      <c r="G1527" s="1" t="str">
        <f>Ocupacao_DW[[#This Row],[data]]&amp;Ocupacao_DW[[#This Row],[profissional_id]]&amp;Ocupacao_DW[[#This Row],[local_id]]</f>
        <v>446379111334</v>
      </c>
      <c r="H1527" s="1">
        <f>_xlfn.XLOOKUP(Ocupacao_DW[[#This Row],[Concat]],Vagas!$H:$H,Vagas!$D:$D,"",0)</f>
        <v>0</v>
      </c>
    </row>
    <row r="1528" spans="1:8" x14ac:dyDescent="0.25">
      <c r="A1528" s="2">
        <v>44648</v>
      </c>
      <c r="B1528" s="1" t="s">
        <v>60</v>
      </c>
      <c r="C1528">
        <v>117</v>
      </c>
      <c r="D1528" s="1" t="s">
        <v>180</v>
      </c>
      <c r="E1528" s="1" t="s">
        <v>4</v>
      </c>
      <c r="F1528">
        <v>48</v>
      </c>
      <c r="G1528" s="1" t="str">
        <f>Ocupacao_DW[[#This Row],[data]]&amp;Ocupacao_DW[[#This Row],[profissional_id]]&amp;Ocupacao_DW[[#This Row],[local_id]]</f>
        <v>4464811748</v>
      </c>
      <c r="H1528" s="1">
        <f>_xlfn.XLOOKUP(Ocupacao_DW[[#This Row],[Concat]],Vagas!$H:$H,Vagas!$D:$D,"",0)</f>
        <v>0</v>
      </c>
    </row>
    <row r="1529" spans="1:8" x14ac:dyDescent="0.25">
      <c r="A1529" s="2">
        <v>44656</v>
      </c>
      <c r="B1529" s="1" t="s">
        <v>70</v>
      </c>
      <c r="C1529">
        <v>14237</v>
      </c>
      <c r="D1529" s="1" t="s">
        <v>186</v>
      </c>
      <c r="E1529" s="1" t="s">
        <v>4</v>
      </c>
      <c r="F1529">
        <v>47</v>
      </c>
      <c r="G1529" s="1" t="str">
        <f>Ocupacao_DW[[#This Row],[data]]&amp;Ocupacao_DW[[#This Row],[profissional_id]]&amp;Ocupacao_DW[[#This Row],[local_id]]</f>
        <v>446561423747</v>
      </c>
      <c r="H1529" s="1">
        <f>_xlfn.XLOOKUP(Ocupacao_DW[[#This Row],[Concat]],Vagas!$H:$H,Vagas!$D:$D,"",0)</f>
        <v>0</v>
      </c>
    </row>
    <row r="1530" spans="1:8" x14ac:dyDescent="0.25">
      <c r="A1530" s="2">
        <v>44636</v>
      </c>
      <c r="B1530" s="1" t="s">
        <v>52</v>
      </c>
      <c r="C1530">
        <v>10946</v>
      </c>
      <c r="D1530" s="1" t="s">
        <v>209</v>
      </c>
      <c r="E1530" s="1" t="s">
        <v>7</v>
      </c>
      <c r="F1530">
        <v>60</v>
      </c>
      <c r="G1530" s="1" t="str">
        <f>Ocupacao_DW[[#This Row],[data]]&amp;Ocupacao_DW[[#This Row],[profissional_id]]&amp;Ocupacao_DW[[#This Row],[local_id]]</f>
        <v>446361094660</v>
      </c>
      <c r="H1530" s="1">
        <f>_xlfn.XLOOKUP(Ocupacao_DW[[#This Row],[Concat]],Vagas!$H:$H,Vagas!$D:$D,"",0)</f>
        <v>0</v>
      </c>
    </row>
    <row r="1531" spans="1:8" x14ac:dyDescent="0.25">
      <c r="A1531" s="2">
        <v>44643</v>
      </c>
      <c r="B1531" s="1" t="s">
        <v>70</v>
      </c>
      <c r="C1531">
        <v>12519</v>
      </c>
      <c r="D1531" s="1" t="s">
        <v>176</v>
      </c>
      <c r="E1531" s="1" t="s">
        <v>4</v>
      </c>
      <c r="F1531">
        <v>48</v>
      </c>
      <c r="G1531" s="1" t="str">
        <f>Ocupacao_DW[[#This Row],[data]]&amp;Ocupacao_DW[[#This Row],[profissional_id]]&amp;Ocupacao_DW[[#This Row],[local_id]]</f>
        <v>446431251948</v>
      </c>
      <c r="H1531" s="1">
        <f>_xlfn.XLOOKUP(Ocupacao_DW[[#This Row],[Concat]],Vagas!$H:$H,Vagas!$D:$D,"",0)</f>
        <v>0</v>
      </c>
    </row>
    <row r="1532" spans="1:8" x14ac:dyDescent="0.25">
      <c r="A1532" s="2">
        <v>44651</v>
      </c>
      <c r="B1532" s="1" t="s">
        <v>52</v>
      </c>
      <c r="C1532">
        <v>60</v>
      </c>
      <c r="D1532" s="1" t="s">
        <v>217</v>
      </c>
      <c r="E1532" s="1" t="s">
        <v>167</v>
      </c>
      <c r="F1532">
        <v>346</v>
      </c>
      <c r="G1532" s="1" t="str">
        <f>Ocupacao_DW[[#This Row],[data]]&amp;Ocupacao_DW[[#This Row],[profissional_id]]&amp;Ocupacao_DW[[#This Row],[local_id]]</f>
        <v>4465160346</v>
      </c>
      <c r="H1532" s="1">
        <f>_xlfn.XLOOKUP(Ocupacao_DW[[#This Row],[Concat]],Vagas!$H:$H,Vagas!$D:$D,"",0)</f>
        <v>0</v>
      </c>
    </row>
    <row r="1533" spans="1:8" x14ac:dyDescent="0.25">
      <c r="A1533" s="2">
        <v>44644</v>
      </c>
      <c r="B1533" s="1" t="s">
        <v>70</v>
      </c>
      <c r="C1533">
        <v>12519</v>
      </c>
      <c r="D1533" s="1" t="s">
        <v>176</v>
      </c>
      <c r="E1533" s="1" t="s">
        <v>4</v>
      </c>
      <c r="F1533">
        <v>42</v>
      </c>
      <c r="G1533" s="1" t="str">
        <f>Ocupacao_DW[[#This Row],[data]]&amp;Ocupacao_DW[[#This Row],[profissional_id]]&amp;Ocupacao_DW[[#This Row],[local_id]]</f>
        <v>446441251942</v>
      </c>
      <c r="H1533" s="1">
        <f>_xlfn.XLOOKUP(Ocupacao_DW[[#This Row],[Concat]],Vagas!$H:$H,Vagas!$D:$D,"",0)</f>
        <v>0</v>
      </c>
    </row>
    <row r="1534" spans="1:8" x14ac:dyDescent="0.25">
      <c r="A1534" s="2">
        <v>44643</v>
      </c>
      <c r="B1534" s="1"/>
      <c r="C1534">
        <v>12519</v>
      </c>
      <c r="D1534" s="1" t="s">
        <v>176</v>
      </c>
      <c r="E1534" s="1" t="s">
        <v>4</v>
      </c>
      <c r="F1534">
        <v>48</v>
      </c>
      <c r="G1534" s="1" t="str">
        <f>Ocupacao_DW[[#This Row],[data]]&amp;Ocupacao_DW[[#This Row],[profissional_id]]&amp;Ocupacao_DW[[#This Row],[local_id]]</f>
        <v>446431251948</v>
      </c>
      <c r="H1534" s="1">
        <f>_xlfn.XLOOKUP(Ocupacao_DW[[#This Row],[Concat]],Vagas!$H:$H,Vagas!$D:$D,"",0)</f>
        <v>0</v>
      </c>
    </row>
    <row r="1535" spans="1:8" x14ac:dyDescent="0.25">
      <c r="A1535" s="2">
        <v>44644</v>
      </c>
      <c r="B1535" s="1" t="s">
        <v>70</v>
      </c>
      <c r="C1535">
        <v>12519</v>
      </c>
      <c r="D1535" s="1" t="s">
        <v>176</v>
      </c>
      <c r="E1535" s="1" t="s">
        <v>4</v>
      </c>
      <c r="F1535">
        <v>42</v>
      </c>
      <c r="G1535" s="1" t="str">
        <f>Ocupacao_DW[[#This Row],[data]]&amp;Ocupacao_DW[[#This Row],[profissional_id]]&amp;Ocupacao_DW[[#This Row],[local_id]]</f>
        <v>446441251942</v>
      </c>
      <c r="H1535" s="1">
        <f>_xlfn.XLOOKUP(Ocupacao_DW[[#This Row],[Concat]],Vagas!$H:$H,Vagas!$D:$D,"",0)</f>
        <v>0</v>
      </c>
    </row>
    <row r="1536" spans="1:8" x14ac:dyDescent="0.25">
      <c r="A1536" s="2">
        <v>44635</v>
      </c>
      <c r="B1536" s="1" t="s">
        <v>47</v>
      </c>
      <c r="C1536">
        <v>110</v>
      </c>
      <c r="D1536" s="1" t="s">
        <v>193</v>
      </c>
      <c r="E1536" s="1" t="s">
        <v>4</v>
      </c>
      <c r="F1536">
        <v>334</v>
      </c>
      <c r="G1536" s="1" t="str">
        <f>Ocupacao_DW[[#This Row],[data]]&amp;Ocupacao_DW[[#This Row],[profissional_id]]&amp;Ocupacao_DW[[#This Row],[local_id]]</f>
        <v>44635110334</v>
      </c>
      <c r="H1536" s="1">
        <f>_xlfn.XLOOKUP(Ocupacao_DW[[#This Row],[Concat]],Vagas!$H:$H,Vagas!$D:$D,"",0)</f>
        <v>0</v>
      </c>
    </row>
    <row r="1537" spans="1:8" x14ac:dyDescent="0.25">
      <c r="A1537" s="2">
        <v>44635</v>
      </c>
      <c r="B1537" s="1" t="s">
        <v>62</v>
      </c>
      <c r="C1537">
        <v>3502</v>
      </c>
      <c r="D1537" s="1" t="s">
        <v>214</v>
      </c>
      <c r="E1537" s="1" t="s">
        <v>5</v>
      </c>
      <c r="F1537">
        <v>16</v>
      </c>
      <c r="G1537" s="1" t="str">
        <f>Ocupacao_DW[[#This Row],[data]]&amp;Ocupacao_DW[[#This Row],[profissional_id]]&amp;Ocupacao_DW[[#This Row],[local_id]]</f>
        <v>44635350216</v>
      </c>
      <c r="H1537" s="1">
        <f>_xlfn.XLOOKUP(Ocupacao_DW[[#This Row],[Concat]],Vagas!$H:$H,Vagas!$D:$D,"",0)</f>
        <v>0</v>
      </c>
    </row>
    <row r="1538" spans="1:8" x14ac:dyDescent="0.25">
      <c r="A1538" s="2">
        <v>44636</v>
      </c>
      <c r="B1538" s="1" t="s">
        <v>54</v>
      </c>
      <c r="C1538">
        <v>70</v>
      </c>
      <c r="D1538" s="1" t="s">
        <v>187</v>
      </c>
      <c r="E1538" s="1" t="s">
        <v>5</v>
      </c>
      <c r="F1538">
        <v>13</v>
      </c>
      <c r="G1538" s="1" t="str">
        <f>Ocupacao_DW[[#This Row],[data]]&amp;Ocupacao_DW[[#This Row],[profissional_id]]&amp;Ocupacao_DW[[#This Row],[local_id]]</f>
        <v>446367013</v>
      </c>
      <c r="H1538" s="1">
        <f>_xlfn.XLOOKUP(Ocupacao_DW[[#This Row],[Concat]],Vagas!$H:$H,Vagas!$D:$D,"",0)</f>
        <v>0</v>
      </c>
    </row>
    <row r="1539" spans="1:8" x14ac:dyDescent="0.25">
      <c r="A1539" s="2">
        <v>44636</v>
      </c>
      <c r="B1539" s="1" t="s">
        <v>55</v>
      </c>
      <c r="C1539">
        <v>73</v>
      </c>
      <c r="D1539" s="1" t="s">
        <v>171</v>
      </c>
      <c r="E1539" s="1" t="s">
        <v>6</v>
      </c>
      <c r="F1539">
        <v>5</v>
      </c>
      <c r="G1539" s="1" t="str">
        <f>Ocupacao_DW[[#This Row],[data]]&amp;Ocupacao_DW[[#This Row],[profissional_id]]&amp;Ocupacao_DW[[#This Row],[local_id]]</f>
        <v>44636735</v>
      </c>
      <c r="H1539" s="1">
        <f>_xlfn.XLOOKUP(Ocupacao_DW[[#This Row],[Concat]],Vagas!$H:$H,Vagas!$D:$D,"",0)</f>
        <v>0</v>
      </c>
    </row>
    <row r="1540" spans="1:8" x14ac:dyDescent="0.25">
      <c r="A1540" s="2">
        <v>44652</v>
      </c>
      <c r="B1540" s="1" t="s">
        <v>62</v>
      </c>
      <c r="C1540">
        <v>2567</v>
      </c>
      <c r="D1540" s="1" t="s">
        <v>198</v>
      </c>
      <c r="E1540" s="1" t="s">
        <v>5</v>
      </c>
      <c r="F1540">
        <v>18</v>
      </c>
      <c r="G1540" s="1" t="str">
        <f>Ocupacao_DW[[#This Row],[data]]&amp;Ocupacao_DW[[#This Row],[profissional_id]]&amp;Ocupacao_DW[[#This Row],[local_id]]</f>
        <v>44652256718</v>
      </c>
      <c r="H1540" s="1">
        <f>_xlfn.XLOOKUP(Ocupacao_DW[[#This Row],[Concat]],Vagas!$H:$H,Vagas!$D:$D,"",0)</f>
        <v>0</v>
      </c>
    </row>
    <row r="1541" spans="1:8" x14ac:dyDescent="0.25">
      <c r="A1541" s="2">
        <v>44636</v>
      </c>
      <c r="B1541" s="1" t="s">
        <v>70</v>
      </c>
      <c r="C1541">
        <v>12825</v>
      </c>
      <c r="D1541" s="1" t="s">
        <v>177</v>
      </c>
      <c r="E1541" s="1" t="s">
        <v>4</v>
      </c>
      <c r="F1541">
        <v>45</v>
      </c>
      <c r="G1541" s="1" t="str">
        <f>Ocupacao_DW[[#This Row],[data]]&amp;Ocupacao_DW[[#This Row],[profissional_id]]&amp;Ocupacao_DW[[#This Row],[local_id]]</f>
        <v>446361282545</v>
      </c>
      <c r="H1541" s="1">
        <f>_xlfn.XLOOKUP(Ocupacao_DW[[#This Row],[Concat]],Vagas!$H:$H,Vagas!$D:$D,"",0)</f>
        <v>0</v>
      </c>
    </row>
    <row r="1542" spans="1:8" x14ac:dyDescent="0.25">
      <c r="A1542" s="2">
        <v>44635</v>
      </c>
      <c r="B1542" s="1" t="s">
        <v>40</v>
      </c>
      <c r="C1542">
        <v>54</v>
      </c>
      <c r="D1542" s="1" t="s">
        <v>216</v>
      </c>
      <c r="E1542" s="1" t="s">
        <v>4</v>
      </c>
      <c r="F1542">
        <v>50</v>
      </c>
      <c r="G1542" s="1" t="str">
        <f>Ocupacao_DW[[#This Row],[data]]&amp;Ocupacao_DW[[#This Row],[profissional_id]]&amp;Ocupacao_DW[[#This Row],[local_id]]</f>
        <v>446355450</v>
      </c>
      <c r="H1542" s="1">
        <f>_xlfn.XLOOKUP(Ocupacao_DW[[#This Row],[Concat]],Vagas!$H:$H,Vagas!$D:$D,"",0)</f>
        <v>19</v>
      </c>
    </row>
    <row r="1543" spans="1:8" x14ac:dyDescent="0.25">
      <c r="A1543" s="2">
        <v>44636</v>
      </c>
      <c r="B1543" s="1" t="s">
        <v>55</v>
      </c>
      <c r="C1543">
        <v>73</v>
      </c>
      <c r="D1543" s="1" t="s">
        <v>171</v>
      </c>
      <c r="E1543" s="1" t="s">
        <v>6</v>
      </c>
      <c r="F1543">
        <v>5</v>
      </c>
      <c r="G1543" s="1" t="str">
        <f>Ocupacao_DW[[#This Row],[data]]&amp;Ocupacao_DW[[#This Row],[profissional_id]]&amp;Ocupacao_DW[[#This Row],[local_id]]</f>
        <v>44636735</v>
      </c>
      <c r="H1543" s="1">
        <f>_xlfn.XLOOKUP(Ocupacao_DW[[#This Row],[Concat]],Vagas!$H:$H,Vagas!$D:$D,"",0)</f>
        <v>0</v>
      </c>
    </row>
    <row r="1544" spans="1:8" x14ac:dyDescent="0.25">
      <c r="A1544" s="2">
        <v>44635</v>
      </c>
      <c r="B1544" s="1" t="s">
        <v>70</v>
      </c>
      <c r="C1544">
        <v>14237</v>
      </c>
      <c r="D1544" s="1" t="s">
        <v>186</v>
      </c>
      <c r="E1544" s="1" t="s">
        <v>4</v>
      </c>
      <c r="F1544">
        <v>47</v>
      </c>
      <c r="G1544" s="1" t="str">
        <f>Ocupacao_DW[[#This Row],[data]]&amp;Ocupacao_DW[[#This Row],[profissional_id]]&amp;Ocupacao_DW[[#This Row],[local_id]]</f>
        <v>446351423747</v>
      </c>
      <c r="H1544" s="1">
        <f>_xlfn.XLOOKUP(Ocupacao_DW[[#This Row],[Concat]],Vagas!$H:$H,Vagas!$D:$D,"",0)</f>
        <v>0</v>
      </c>
    </row>
    <row r="1545" spans="1:8" x14ac:dyDescent="0.25">
      <c r="A1545" s="2">
        <v>44642</v>
      </c>
      <c r="B1545" s="1" t="s">
        <v>71</v>
      </c>
      <c r="C1545">
        <v>282</v>
      </c>
      <c r="D1545" s="1" t="s">
        <v>210</v>
      </c>
      <c r="E1545" s="1" t="s">
        <v>4</v>
      </c>
      <c r="F1545">
        <v>48</v>
      </c>
      <c r="G1545" s="1" t="str">
        <f>Ocupacao_DW[[#This Row],[data]]&amp;Ocupacao_DW[[#This Row],[profissional_id]]&amp;Ocupacao_DW[[#This Row],[local_id]]</f>
        <v>4464228248</v>
      </c>
      <c r="H1545" s="1">
        <f>_xlfn.XLOOKUP(Ocupacao_DW[[#This Row],[Concat]],Vagas!$H:$H,Vagas!$D:$D,"",0)</f>
        <v>0</v>
      </c>
    </row>
    <row r="1546" spans="1:8" x14ac:dyDescent="0.25">
      <c r="A1546" s="2">
        <v>44641</v>
      </c>
      <c r="B1546" s="1" t="s">
        <v>52</v>
      </c>
      <c r="C1546">
        <v>10946</v>
      </c>
      <c r="D1546" s="1" t="s">
        <v>209</v>
      </c>
      <c r="E1546" s="1" t="s">
        <v>6</v>
      </c>
      <c r="F1546">
        <v>3</v>
      </c>
      <c r="G1546" s="1" t="str">
        <f>Ocupacao_DW[[#This Row],[data]]&amp;Ocupacao_DW[[#This Row],[profissional_id]]&amp;Ocupacao_DW[[#This Row],[local_id]]</f>
        <v>44641109463</v>
      </c>
      <c r="H1546" s="1">
        <f>_xlfn.XLOOKUP(Ocupacao_DW[[#This Row],[Concat]],Vagas!$H:$H,Vagas!$D:$D,"",0)</f>
        <v>0</v>
      </c>
    </row>
    <row r="1547" spans="1:8" x14ac:dyDescent="0.25">
      <c r="A1547" s="2">
        <v>44636</v>
      </c>
      <c r="B1547" s="1" t="s">
        <v>52</v>
      </c>
      <c r="C1547">
        <v>10691</v>
      </c>
      <c r="D1547" s="1" t="s">
        <v>181</v>
      </c>
      <c r="E1547" s="1" t="s">
        <v>6</v>
      </c>
      <c r="F1547">
        <v>9</v>
      </c>
      <c r="G1547" s="1" t="str">
        <f>Ocupacao_DW[[#This Row],[data]]&amp;Ocupacao_DW[[#This Row],[profissional_id]]&amp;Ocupacao_DW[[#This Row],[local_id]]</f>
        <v>44636106919</v>
      </c>
      <c r="H1547" s="1">
        <f>_xlfn.XLOOKUP(Ocupacao_DW[[#This Row],[Concat]],Vagas!$H:$H,Vagas!$D:$D,"",0)</f>
        <v>0</v>
      </c>
    </row>
    <row r="1548" spans="1:8" x14ac:dyDescent="0.25">
      <c r="A1548" s="2">
        <v>44636</v>
      </c>
      <c r="B1548" s="1" t="s">
        <v>49</v>
      </c>
      <c r="C1548">
        <v>81</v>
      </c>
      <c r="D1548" s="1" t="s">
        <v>170</v>
      </c>
      <c r="E1548" s="1" t="s">
        <v>4</v>
      </c>
      <c r="F1548">
        <v>41</v>
      </c>
      <c r="G1548" s="1" t="str">
        <f>Ocupacao_DW[[#This Row],[data]]&amp;Ocupacao_DW[[#This Row],[profissional_id]]&amp;Ocupacao_DW[[#This Row],[local_id]]</f>
        <v>446368141</v>
      </c>
      <c r="H1548" s="1">
        <f>_xlfn.XLOOKUP(Ocupacao_DW[[#This Row],[Concat]],Vagas!$H:$H,Vagas!$D:$D,"",0)</f>
        <v>0</v>
      </c>
    </row>
    <row r="1549" spans="1:8" x14ac:dyDescent="0.25">
      <c r="A1549" s="2">
        <v>44636</v>
      </c>
      <c r="B1549" s="1" t="s">
        <v>70</v>
      </c>
      <c r="C1549">
        <v>12825</v>
      </c>
      <c r="D1549" s="1" t="s">
        <v>177</v>
      </c>
      <c r="E1549" s="1" t="s">
        <v>4</v>
      </c>
      <c r="F1549">
        <v>45</v>
      </c>
      <c r="G1549" s="1" t="str">
        <f>Ocupacao_DW[[#This Row],[data]]&amp;Ocupacao_DW[[#This Row],[profissional_id]]&amp;Ocupacao_DW[[#This Row],[local_id]]</f>
        <v>446361282545</v>
      </c>
      <c r="H1549" s="1">
        <f>_xlfn.XLOOKUP(Ocupacao_DW[[#This Row],[Concat]],Vagas!$H:$H,Vagas!$D:$D,"",0)</f>
        <v>0</v>
      </c>
    </row>
    <row r="1550" spans="1:8" x14ac:dyDescent="0.25">
      <c r="A1550" s="2">
        <v>44636</v>
      </c>
      <c r="B1550" s="1" t="s">
        <v>70</v>
      </c>
      <c r="C1550">
        <v>12519</v>
      </c>
      <c r="D1550" s="1" t="s">
        <v>176</v>
      </c>
      <c r="E1550" s="1" t="s">
        <v>4</v>
      </c>
      <c r="F1550">
        <v>48</v>
      </c>
      <c r="G1550" s="1" t="str">
        <f>Ocupacao_DW[[#This Row],[data]]&amp;Ocupacao_DW[[#This Row],[profissional_id]]&amp;Ocupacao_DW[[#This Row],[local_id]]</f>
        <v>446361251948</v>
      </c>
      <c r="H1550" s="1">
        <f>_xlfn.XLOOKUP(Ocupacao_DW[[#This Row],[Concat]],Vagas!$H:$H,Vagas!$D:$D,"",0)</f>
        <v>0</v>
      </c>
    </row>
    <row r="1551" spans="1:8" x14ac:dyDescent="0.25">
      <c r="A1551" s="2">
        <v>44643</v>
      </c>
      <c r="B1551" s="1" t="s">
        <v>55</v>
      </c>
      <c r="C1551">
        <v>73</v>
      </c>
      <c r="D1551" s="1" t="s">
        <v>171</v>
      </c>
      <c r="E1551" s="1" t="s">
        <v>6</v>
      </c>
      <c r="F1551">
        <v>5</v>
      </c>
      <c r="G1551" s="1" t="str">
        <f>Ocupacao_DW[[#This Row],[data]]&amp;Ocupacao_DW[[#This Row],[profissional_id]]&amp;Ocupacao_DW[[#This Row],[local_id]]</f>
        <v>44643735</v>
      </c>
      <c r="H1551" s="1">
        <f>_xlfn.XLOOKUP(Ocupacao_DW[[#This Row],[Concat]],Vagas!$H:$H,Vagas!$D:$D,"",0)</f>
        <v>0</v>
      </c>
    </row>
    <row r="1552" spans="1:8" x14ac:dyDescent="0.25">
      <c r="A1552" s="2">
        <v>44638</v>
      </c>
      <c r="B1552" s="1" t="s">
        <v>52</v>
      </c>
      <c r="C1552">
        <v>55</v>
      </c>
      <c r="D1552" s="1" t="s">
        <v>244</v>
      </c>
      <c r="E1552" s="1" t="s">
        <v>7</v>
      </c>
      <c r="F1552">
        <v>68</v>
      </c>
      <c r="G1552" s="1" t="str">
        <f>Ocupacao_DW[[#This Row],[data]]&amp;Ocupacao_DW[[#This Row],[profissional_id]]&amp;Ocupacao_DW[[#This Row],[local_id]]</f>
        <v>446385568</v>
      </c>
      <c r="H1552" s="1">
        <f>_xlfn.XLOOKUP(Ocupacao_DW[[#This Row],[Concat]],Vagas!$H:$H,Vagas!$D:$D,"",0)</f>
        <v>0</v>
      </c>
    </row>
    <row r="1553" spans="1:8" x14ac:dyDescent="0.25">
      <c r="A1553" s="2">
        <v>44635</v>
      </c>
      <c r="B1553" s="1" t="s">
        <v>55</v>
      </c>
      <c r="C1553">
        <v>14452</v>
      </c>
      <c r="D1553" s="1" t="s">
        <v>266</v>
      </c>
      <c r="E1553" s="1" t="s">
        <v>200</v>
      </c>
      <c r="F1553">
        <v>78</v>
      </c>
      <c r="G1553" s="1" t="str">
        <f>Ocupacao_DW[[#This Row],[data]]&amp;Ocupacao_DW[[#This Row],[profissional_id]]&amp;Ocupacao_DW[[#This Row],[local_id]]</f>
        <v>446351445278</v>
      </c>
      <c r="H1553" s="1">
        <f>_xlfn.XLOOKUP(Ocupacao_DW[[#This Row],[Concat]],Vagas!$H:$H,Vagas!$D:$D,"",0)</f>
        <v>0</v>
      </c>
    </row>
    <row r="1554" spans="1:8" x14ac:dyDescent="0.25">
      <c r="A1554" s="2">
        <v>44655</v>
      </c>
      <c r="B1554" s="1" t="s">
        <v>56</v>
      </c>
      <c r="C1554">
        <v>5927</v>
      </c>
      <c r="D1554" s="1" t="s">
        <v>226</v>
      </c>
      <c r="E1554" s="1" t="s">
        <v>5</v>
      </c>
      <c r="F1554">
        <v>17</v>
      </c>
      <c r="G1554" s="1" t="str">
        <f>Ocupacao_DW[[#This Row],[data]]&amp;Ocupacao_DW[[#This Row],[profissional_id]]&amp;Ocupacao_DW[[#This Row],[local_id]]</f>
        <v>44655592717</v>
      </c>
      <c r="H1554" s="1">
        <f>_xlfn.XLOOKUP(Ocupacao_DW[[#This Row],[Concat]],Vagas!$H:$H,Vagas!$D:$D,"",0)</f>
        <v>0</v>
      </c>
    </row>
    <row r="1555" spans="1:8" x14ac:dyDescent="0.25">
      <c r="A1555" s="2">
        <v>44645</v>
      </c>
      <c r="B1555" s="1" t="s">
        <v>52</v>
      </c>
      <c r="C1555">
        <v>67</v>
      </c>
      <c r="D1555" s="1" t="s">
        <v>172</v>
      </c>
      <c r="E1555" s="1" t="s">
        <v>6</v>
      </c>
      <c r="F1555">
        <v>8</v>
      </c>
      <c r="G1555" s="1" t="str">
        <f>Ocupacao_DW[[#This Row],[data]]&amp;Ocupacao_DW[[#This Row],[profissional_id]]&amp;Ocupacao_DW[[#This Row],[local_id]]</f>
        <v>44645678</v>
      </c>
      <c r="H1555" s="1">
        <f>_xlfn.XLOOKUP(Ocupacao_DW[[#This Row],[Concat]],Vagas!$H:$H,Vagas!$D:$D,"",0)</f>
        <v>0</v>
      </c>
    </row>
    <row r="1556" spans="1:8" x14ac:dyDescent="0.25">
      <c r="A1556" s="2">
        <v>44635</v>
      </c>
      <c r="B1556" s="1" t="s">
        <v>62</v>
      </c>
      <c r="C1556">
        <v>3502</v>
      </c>
      <c r="D1556" s="1" t="s">
        <v>214</v>
      </c>
      <c r="E1556" s="1" t="s">
        <v>5</v>
      </c>
      <c r="F1556">
        <v>16</v>
      </c>
      <c r="G1556" s="1" t="str">
        <f>Ocupacao_DW[[#This Row],[data]]&amp;Ocupacao_DW[[#This Row],[profissional_id]]&amp;Ocupacao_DW[[#This Row],[local_id]]</f>
        <v>44635350216</v>
      </c>
      <c r="H1556" s="1">
        <f>_xlfn.XLOOKUP(Ocupacao_DW[[#This Row],[Concat]],Vagas!$H:$H,Vagas!$D:$D,"",0)</f>
        <v>0</v>
      </c>
    </row>
    <row r="1557" spans="1:8" x14ac:dyDescent="0.25">
      <c r="A1557" s="2">
        <v>44643</v>
      </c>
      <c r="B1557" s="1" t="s">
        <v>70</v>
      </c>
      <c r="C1557">
        <v>12519</v>
      </c>
      <c r="D1557" s="1" t="s">
        <v>176</v>
      </c>
      <c r="E1557" s="1" t="s">
        <v>4</v>
      </c>
      <c r="F1557">
        <v>48</v>
      </c>
      <c r="G1557" s="1" t="str">
        <f>Ocupacao_DW[[#This Row],[data]]&amp;Ocupacao_DW[[#This Row],[profissional_id]]&amp;Ocupacao_DW[[#This Row],[local_id]]</f>
        <v>446431251948</v>
      </c>
      <c r="H1557" s="1">
        <f>_xlfn.XLOOKUP(Ocupacao_DW[[#This Row],[Concat]],Vagas!$H:$H,Vagas!$D:$D,"",0)</f>
        <v>0</v>
      </c>
    </row>
    <row r="1558" spans="1:8" x14ac:dyDescent="0.25">
      <c r="A1558" s="2">
        <v>44644</v>
      </c>
      <c r="B1558" s="1" t="s">
        <v>51</v>
      </c>
      <c r="C1558">
        <v>53</v>
      </c>
      <c r="D1558" s="1" t="s">
        <v>254</v>
      </c>
      <c r="E1558" s="1" t="s">
        <v>6</v>
      </c>
      <c r="F1558">
        <v>5</v>
      </c>
      <c r="G1558" s="1" t="str">
        <f>Ocupacao_DW[[#This Row],[data]]&amp;Ocupacao_DW[[#This Row],[profissional_id]]&amp;Ocupacao_DW[[#This Row],[local_id]]</f>
        <v>44644535</v>
      </c>
      <c r="H1558" s="1">
        <f>_xlfn.XLOOKUP(Ocupacao_DW[[#This Row],[Concat]],Vagas!$H:$H,Vagas!$D:$D,"",0)</f>
        <v>0</v>
      </c>
    </row>
    <row r="1559" spans="1:8" x14ac:dyDescent="0.25">
      <c r="A1559" s="2">
        <v>44639</v>
      </c>
      <c r="B1559" s="1"/>
      <c r="C1559">
        <v>0</v>
      </c>
      <c r="D1559" s="1"/>
      <c r="E1559" s="1" t="s">
        <v>4</v>
      </c>
      <c r="F1559">
        <v>50</v>
      </c>
      <c r="G1559" s="1" t="str">
        <f>Ocupacao_DW[[#This Row],[data]]&amp;Ocupacao_DW[[#This Row],[profissional_id]]&amp;Ocupacao_DW[[#This Row],[local_id]]</f>
        <v>44639050</v>
      </c>
      <c r="H1559" s="1" t="str">
        <f>_xlfn.XLOOKUP(Ocupacao_DW[[#This Row],[Concat]],Vagas!$H:$H,Vagas!$D:$D,"",0)</f>
        <v/>
      </c>
    </row>
    <row r="1560" spans="1:8" x14ac:dyDescent="0.25">
      <c r="A1560" s="2">
        <v>44636</v>
      </c>
      <c r="B1560" s="1" t="s">
        <v>72</v>
      </c>
      <c r="C1560">
        <v>6046</v>
      </c>
      <c r="D1560" s="1" t="s">
        <v>222</v>
      </c>
      <c r="E1560" s="1" t="s">
        <v>167</v>
      </c>
      <c r="F1560">
        <v>344</v>
      </c>
      <c r="G1560" s="1" t="str">
        <f>Ocupacao_DW[[#This Row],[data]]&amp;Ocupacao_DW[[#This Row],[profissional_id]]&amp;Ocupacao_DW[[#This Row],[local_id]]</f>
        <v>446366046344</v>
      </c>
      <c r="H1560" s="1">
        <f>_xlfn.XLOOKUP(Ocupacao_DW[[#This Row],[Concat]],Vagas!$H:$H,Vagas!$D:$D,"",0)</f>
        <v>0</v>
      </c>
    </row>
    <row r="1561" spans="1:8" x14ac:dyDescent="0.25">
      <c r="A1561" s="2">
        <v>44641</v>
      </c>
      <c r="B1561" s="1" t="s">
        <v>62</v>
      </c>
      <c r="C1561">
        <v>2567</v>
      </c>
      <c r="D1561" s="1" t="s">
        <v>198</v>
      </c>
      <c r="E1561" s="1" t="s">
        <v>5</v>
      </c>
      <c r="F1561">
        <v>18</v>
      </c>
      <c r="G1561" s="1" t="str">
        <f>Ocupacao_DW[[#This Row],[data]]&amp;Ocupacao_DW[[#This Row],[profissional_id]]&amp;Ocupacao_DW[[#This Row],[local_id]]</f>
        <v>44641256718</v>
      </c>
      <c r="H1561" s="1">
        <f>_xlfn.XLOOKUP(Ocupacao_DW[[#This Row],[Concat]],Vagas!$H:$H,Vagas!$D:$D,"",0)</f>
        <v>0</v>
      </c>
    </row>
    <row r="1562" spans="1:8" x14ac:dyDescent="0.25">
      <c r="A1562" s="2">
        <v>44646</v>
      </c>
      <c r="B1562" s="1" t="s">
        <v>49</v>
      </c>
      <c r="C1562">
        <v>13756</v>
      </c>
      <c r="D1562" s="1" t="s">
        <v>202</v>
      </c>
      <c r="E1562" s="1" t="s">
        <v>4</v>
      </c>
      <c r="F1562">
        <v>44</v>
      </c>
      <c r="G1562" s="1" t="str">
        <f>Ocupacao_DW[[#This Row],[data]]&amp;Ocupacao_DW[[#This Row],[profissional_id]]&amp;Ocupacao_DW[[#This Row],[local_id]]</f>
        <v>446461375644</v>
      </c>
      <c r="H1562" s="1">
        <f>_xlfn.XLOOKUP(Ocupacao_DW[[#This Row],[Concat]],Vagas!$H:$H,Vagas!$D:$D,"",0)</f>
        <v>0</v>
      </c>
    </row>
    <row r="1563" spans="1:8" x14ac:dyDescent="0.25">
      <c r="A1563" s="2">
        <v>44657</v>
      </c>
      <c r="B1563" s="1" t="s">
        <v>64</v>
      </c>
      <c r="C1563">
        <v>531</v>
      </c>
      <c r="D1563" s="1" t="s">
        <v>213</v>
      </c>
      <c r="E1563" s="1" t="s">
        <v>5</v>
      </c>
      <c r="F1563">
        <v>12</v>
      </c>
      <c r="G1563" s="1" t="str">
        <f>Ocupacao_DW[[#This Row],[data]]&amp;Ocupacao_DW[[#This Row],[profissional_id]]&amp;Ocupacao_DW[[#This Row],[local_id]]</f>
        <v>4465753112</v>
      </c>
      <c r="H1563" s="1" t="str">
        <f>_xlfn.XLOOKUP(Ocupacao_DW[[#This Row],[Concat]],Vagas!$H:$H,Vagas!$D:$D,"",0)</f>
        <v/>
      </c>
    </row>
    <row r="1564" spans="1:8" x14ac:dyDescent="0.25">
      <c r="A1564" s="2">
        <v>44637</v>
      </c>
      <c r="B1564" s="1" t="s">
        <v>47</v>
      </c>
      <c r="C1564">
        <v>11312</v>
      </c>
      <c r="D1564" s="1" t="s">
        <v>207</v>
      </c>
      <c r="E1564" s="1" t="s">
        <v>4</v>
      </c>
      <c r="F1564">
        <v>336</v>
      </c>
      <c r="G1564" s="1" t="str">
        <f>Ocupacao_DW[[#This Row],[data]]&amp;Ocupacao_DW[[#This Row],[profissional_id]]&amp;Ocupacao_DW[[#This Row],[local_id]]</f>
        <v>4463711312336</v>
      </c>
      <c r="H1564" s="1">
        <f>_xlfn.XLOOKUP(Ocupacao_DW[[#This Row],[Concat]],Vagas!$H:$H,Vagas!$D:$D,"",0)</f>
        <v>0</v>
      </c>
    </row>
    <row r="1565" spans="1:8" x14ac:dyDescent="0.25">
      <c r="A1565" s="2">
        <v>44636</v>
      </c>
      <c r="B1565" s="1" t="s">
        <v>47</v>
      </c>
      <c r="C1565">
        <v>111</v>
      </c>
      <c r="D1565" s="1" t="s">
        <v>199</v>
      </c>
      <c r="E1565" s="1" t="s">
        <v>4</v>
      </c>
      <c r="F1565">
        <v>51</v>
      </c>
      <c r="G1565" s="1" t="str">
        <f>Ocupacao_DW[[#This Row],[data]]&amp;Ocupacao_DW[[#This Row],[profissional_id]]&amp;Ocupacao_DW[[#This Row],[local_id]]</f>
        <v>4463611151</v>
      </c>
      <c r="H1565" s="1">
        <f>_xlfn.XLOOKUP(Ocupacao_DW[[#This Row],[Concat]],Vagas!$H:$H,Vagas!$D:$D,"",0)</f>
        <v>1</v>
      </c>
    </row>
    <row r="1566" spans="1:8" x14ac:dyDescent="0.25">
      <c r="A1566" s="2">
        <v>44641</v>
      </c>
      <c r="B1566" s="1" t="s">
        <v>69</v>
      </c>
      <c r="C1566">
        <v>17878</v>
      </c>
      <c r="D1566" s="1" t="s">
        <v>183</v>
      </c>
      <c r="E1566" s="1" t="s">
        <v>4</v>
      </c>
      <c r="F1566">
        <v>47</v>
      </c>
      <c r="G1566" s="1" t="str">
        <f>Ocupacao_DW[[#This Row],[data]]&amp;Ocupacao_DW[[#This Row],[profissional_id]]&amp;Ocupacao_DW[[#This Row],[local_id]]</f>
        <v>446411787847</v>
      </c>
      <c r="H1566" s="1">
        <f>_xlfn.XLOOKUP(Ocupacao_DW[[#This Row],[Concat]],Vagas!$H:$H,Vagas!$D:$D,"",0)</f>
        <v>0</v>
      </c>
    </row>
    <row r="1567" spans="1:8" x14ac:dyDescent="0.25">
      <c r="A1567" s="2">
        <v>44636</v>
      </c>
      <c r="B1567" s="1" t="s">
        <v>51</v>
      </c>
      <c r="C1567">
        <v>17859</v>
      </c>
      <c r="D1567" s="1" t="s">
        <v>212</v>
      </c>
      <c r="E1567" s="1" t="s">
        <v>6</v>
      </c>
      <c r="F1567">
        <v>7</v>
      </c>
      <c r="G1567" s="1" t="str">
        <f>Ocupacao_DW[[#This Row],[data]]&amp;Ocupacao_DW[[#This Row],[profissional_id]]&amp;Ocupacao_DW[[#This Row],[local_id]]</f>
        <v>44636178597</v>
      </c>
      <c r="H1567" s="1">
        <f>_xlfn.XLOOKUP(Ocupacao_DW[[#This Row],[Concat]],Vagas!$H:$H,Vagas!$D:$D,"",0)</f>
        <v>0</v>
      </c>
    </row>
    <row r="1568" spans="1:8" x14ac:dyDescent="0.25">
      <c r="A1568" s="2">
        <v>44636</v>
      </c>
      <c r="B1568" s="1" t="s">
        <v>51</v>
      </c>
      <c r="C1568">
        <v>12679</v>
      </c>
      <c r="D1568" s="1" t="s">
        <v>192</v>
      </c>
      <c r="E1568" s="1" t="s">
        <v>200</v>
      </c>
      <c r="F1568">
        <v>82</v>
      </c>
      <c r="G1568" s="1" t="str">
        <f>Ocupacao_DW[[#This Row],[data]]&amp;Ocupacao_DW[[#This Row],[profissional_id]]&amp;Ocupacao_DW[[#This Row],[local_id]]</f>
        <v>446361267982</v>
      </c>
      <c r="H1568" s="1">
        <f>_xlfn.XLOOKUP(Ocupacao_DW[[#This Row],[Concat]],Vagas!$H:$H,Vagas!$D:$D,"",0)</f>
        <v>0</v>
      </c>
    </row>
    <row r="1569" spans="1:8" x14ac:dyDescent="0.25">
      <c r="A1569" s="2">
        <v>44635</v>
      </c>
      <c r="B1569" s="1" t="s">
        <v>70</v>
      </c>
      <c r="C1569">
        <v>12825</v>
      </c>
      <c r="D1569" s="1" t="s">
        <v>177</v>
      </c>
      <c r="E1569" s="1" t="s">
        <v>7</v>
      </c>
      <c r="F1569">
        <v>63</v>
      </c>
      <c r="G1569" s="1" t="str">
        <f>Ocupacao_DW[[#This Row],[data]]&amp;Ocupacao_DW[[#This Row],[profissional_id]]&amp;Ocupacao_DW[[#This Row],[local_id]]</f>
        <v>446351282563</v>
      </c>
      <c r="H1569" s="1">
        <f>_xlfn.XLOOKUP(Ocupacao_DW[[#This Row],[Concat]],Vagas!$H:$H,Vagas!$D:$D,"",0)</f>
        <v>0</v>
      </c>
    </row>
    <row r="1570" spans="1:8" x14ac:dyDescent="0.25">
      <c r="A1570" s="2">
        <v>44638</v>
      </c>
      <c r="B1570" s="1" t="s">
        <v>62</v>
      </c>
      <c r="C1570">
        <v>3502</v>
      </c>
      <c r="D1570" s="1" t="s">
        <v>214</v>
      </c>
      <c r="E1570" s="1" t="s">
        <v>7</v>
      </c>
      <c r="F1570">
        <v>69</v>
      </c>
      <c r="G1570" s="1" t="str">
        <f>Ocupacao_DW[[#This Row],[data]]&amp;Ocupacao_DW[[#This Row],[profissional_id]]&amp;Ocupacao_DW[[#This Row],[local_id]]</f>
        <v>44638350269</v>
      </c>
      <c r="H1570" s="1">
        <f>_xlfn.XLOOKUP(Ocupacao_DW[[#This Row],[Concat]],Vagas!$H:$H,Vagas!$D:$D,"",0)</f>
        <v>0</v>
      </c>
    </row>
    <row r="1571" spans="1:8" x14ac:dyDescent="0.25">
      <c r="A1571" s="2">
        <v>44635</v>
      </c>
      <c r="B1571" s="1"/>
      <c r="C1571">
        <v>0</v>
      </c>
      <c r="D1571" s="1"/>
      <c r="E1571" s="1" t="s">
        <v>6</v>
      </c>
      <c r="F1571">
        <v>2</v>
      </c>
      <c r="G1571" s="1" t="str">
        <f>Ocupacao_DW[[#This Row],[data]]&amp;Ocupacao_DW[[#This Row],[profissional_id]]&amp;Ocupacao_DW[[#This Row],[local_id]]</f>
        <v>4463502</v>
      </c>
      <c r="H1571" s="1" t="str">
        <f>_xlfn.XLOOKUP(Ocupacao_DW[[#This Row],[Concat]],Vagas!$H:$H,Vagas!$D:$D,"",0)</f>
        <v/>
      </c>
    </row>
    <row r="1572" spans="1:8" x14ac:dyDescent="0.25">
      <c r="A1572" s="2">
        <v>44635</v>
      </c>
      <c r="B1572" s="1" t="s">
        <v>43</v>
      </c>
      <c r="C1572">
        <v>57</v>
      </c>
      <c r="D1572" s="1" t="s">
        <v>169</v>
      </c>
      <c r="E1572" s="1" t="s">
        <v>6</v>
      </c>
      <c r="F1572">
        <v>2</v>
      </c>
      <c r="G1572" s="1" t="str">
        <f>Ocupacao_DW[[#This Row],[data]]&amp;Ocupacao_DW[[#This Row],[profissional_id]]&amp;Ocupacao_DW[[#This Row],[local_id]]</f>
        <v>44635572</v>
      </c>
      <c r="H1572" s="1">
        <f>_xlfn.XLOOKUP(Ocupacao_DW[[#This Row],[Concat]],Vagas!$H:$H,Vagas!$D:$D,"",0)</f>
        <v>0</v>
      </c>
    </row>
    <row r="1573" spans="1:8" x14ac:dyDescent="0.25">
      <c r="A1573" s="2">
        <v>44636</v>
      </c>
      <c r="B1573" s="1"/>
      <c r="C1573">
        <v>2396</v>
      </c>
      <c r="D1573" s="1" t="s">
        <v>197</v>
      </c>
      <c r="E1573" s="1" t="s">
        <v>6</v>
      </c>
      <c r="F1573">
        <v>2</v>
      </c>
      <c r="G1573" s="1" t="str">
        <f>Ocupacao_DW[[#This Row],[data]]&amp;Ocupacao_DW[[#This Row],[profissional_id]]&amp;Ocupacao_DW[[#This Row],[local_id]]</f>
        <v>4463623962</v>
      </c>
      <c r="H1573" s="1">
        <f>_xlfn.XLOOKUP(Ocupacao_DW[[#This Row],[Concat]],Vagas!$H:$H,Vagas!$D:$D,"",0)</f>
        <v>0</v>
      </c>
    </row>
    <row r="1574" spans="1:8" x14ac:dyDescent="0.25">
      <c r="A1574" s="2">
        <v>44636</v>
      </c>
      <c r="B1574" s="1" t="s">
        <v>43</v>
      </c>
      <c r="C1574">
        <v>2396</v>
      </c>
      <c r="D1574" s="1" t="s">
        <v>197</v>
      </c>
      <c r="E1574" s="1" t="s">
        <v>6</v>
      </c>
      <c r="F1574">
        <v>2</v>
      </c>
      <c r="G1574" s="1" t="str">
        <f>Ocupacao_DW[[#This Row],[data]]&amp;Ocupacao_DW[[#This Row],[profissional_id]]&amp;Ocupacao_DW[[#This Row],[local_id]]</f>
        <v>4463623962</v>
      </c>
      <c r="H1574" s="1">
        <f>_xlfn.XLOOKUP(Ocupacao_DW[[#This Row],[Concat]],Vagas!$H:$H,Vagas!$D:$D,"",0)</f>
        <v>0</v>
      </c>
    </row>
    <row r="1575" spans="1:8" x14ac:dyDescent="0.25">
      <c r="A1575" s="2">
        <v>44636</v>
      </c>
      <c r="B1575" s="1" t="s">
        <v>43</v>
      </c>
      <c r="C1575">
        <v>2396</v>
      </c>
      <c r="D1575" s="1" t="s">
        <v>197</v>
      </c>
      <c r="E1575" s="1" t="s">
        <v>6</v>
      </c>
      <c r="F1575">
        <v>2</v>
      </c>
      <c r="G1575" s="1" t="str">
        <f>Ocupacao_DW[[#This Row],[data]]&amp;Ocupacao_DW[[#This Row],[profissional_id]]&amp;Ocupacao_DW[[#This Row],[local_id]]</f>
        <v>4463623962</v>
      </c>
      <c r="H1575" s="1">
        <f>_xlfn.XLOOKUP(Ocupacao_DW[[#This Row],[Concat]],Vagas!$H:$H,Vagas!$D:$D,"",0)</f>
        <v>0</v>
      </c>
    </row>
    <row r="1576" spans="1:8" x14ac:dyDescent="0.25">
      <c r="A1576" s="2">
        <v>44658</v>
      </c>
      <c r="B1576" s="1" t="s">
        <v>66</v>
      </c>
      <c r="C1576">
        <v>1343</v>
      </c>
      <c r="D1576" s="1" t="s">
        <v>263</v>
      </c>
      <c r="E1576" s="1" t="s">
        <v>200</v>
      </c>
      <c r="F1576">
        <v>80</v>
      </c>
      <c r="G1576" s="1" t="str">
        <f>Ocupacao_DW[[#This Row],[data]]&amp;Ocupacao_DW[[#This Row],[profissional_id]]&amp;Ocupacao_DW[[#This Row],[local_id]]</f>
        <v>44658134380</v>
      </c>
      <c r="H1576" s="1">
        <f>_xlfn.XLOOKUP(Ocupacao_DW[[#This Row],[Concat]],Vagas!$H:$H,Vagas!$D:$D,"",0)</f>
        <v>0</v>
      </c>
    </row>
    <row r="1577" spans="1:8" x14ac:dyDescent="0.25">
      <c r="A1577" s="2">
        <v>44636</v>
      </c>
      <c r="B1577" s="1" t="s">
        <v>43</v>
      </c>
      <c r="C1577">
        <v>2396</v>
      </c>
      <c r="D1577" s="1" t="s">
        <v>197</v>
      </c>
      <c r="E1577" s="1" t="s">
        <v>6</v>
      </c>
      <c r="F1577">
        <v>2</v>
      </c>
      <c r="G1577" s="1" t="str">
        <f>Ocupacao_DW[[#This Row],[data]]&amp;Ocupacao_DW[[#This Row],[profissional_id]]&amp;Ocupacao_DW[[#This Row],[local_id]]</f>
        <v>4463623962</v>
      </c>
      <c r="H1577" s="1">
        <f>_xlfn.XLOOKUP(Ocupacao_DW[[#This Row],[Concat]],Vagas!$H:$H,Vagas!$D:$D,"",0)</f>
        <v>0</v>
      </c>
    </row>
    <row r="1578" spans="1:8" x14ac:dyDescent="0.25">
      <c r="A1578" s="2">
        <v>44636</v>
      </c>
      <c r="B1578" s="1" t="s">
        <v>43</v>
      </c>
      <c r="C1578">
        <v>2396</v>
      </c>
      <c r="D1578" s="1" t="s">
        <v>197</v>
      </c>
      <c r="E1578" s="1" t="s">
        <v>6</v>
      </c>
      <c r="F1578">
        <v>2</v>
      </c>
      <c r="G1578" s="1" t="str">
        <f>Ocupacao_DW[[#This Row],[data]]&amp;Ocupacao_DW[[#This Row],[profissional_id]]&amp;Ocupacao_DW[[#This Row],[local_id]]</f>
        <v>4463623962</v>
      </c>
      <c r="H1578" s="1">
        <f>_xlfn.XLOOKUP(Ocupacao_DW[[#This Row],[Concat]],Vagas!$H:$H,Vagas!$D:$D,"",0)</f>
        <v>0</v>
      </c>
    </row>
    <row r="1579" spans="1:8" x14ac:dyDescent="0.25">
      <c r="A1579" s="2">
        <v>44636</v>
      </c>
      <c r="B1579" s="1"/>
      <c r="C1579">
        <v>2396</v>
      </c>
      <c r="D1579" s="1" t="s">
        <v>197</v>
      </c>
      <c r="E1579" s="1" t="s">
        <v>6</v>
      </c>
      <c r="F1579">
        <v>2</v>
      </c>
      <c r="G1579" s="1" t="str">
        <f>Ocupacao_DW[[#This Row],[data]]&amp;Ocupacao_DW[[#This Row],[profissional_id]]&amp;Ocupacao_DW[[#This Row],[local_id]]</f>
        <v>4463623962</v>
      </c>
      <c r="H1579" s="1">
        <f>_xlfn.XLOOKUP(Ocupacao_DW[[#This Row],[Concat]],Vagas!$H:$H,Vagas!$D:$D,"",0)</f>
        <v>0</v>
      </c>
    </row>
    <row r="1580" spans="1:8" x14ac:dyDescent="0.25">
      <c r="A1580" s="2">
        <v>44636</v>
      </c>
      <c r="B1580" s="1"/>
      <c r="C1580">
        <v>0</v>
      </c>
      <c r="D1580" s="1"/>
      <c r="E1580" s="1" t="s">
        <v>6</v>
      </c>
      <c r="F1580">
        <v>2</v>
      </c>
      <c r="G1580" s="1" t="str">
        <f>Ocupacao_DW[[#This Row],[data]]&amp;Ocupacao_DW[[#This Row],[profissional_id]]&amp;Ocupacao_DW[[#This Row],[local_id]]</f>
        <v>4463602</v>
      </c>
      <c r="H1580" s="1" t="str">
        <f>_xlfn.XLOOKUP(Ocupacao_DW[[#This Row],[Concat]],Vagas!$H:$H,Vagas!$D:$D,"",0)</f>
        <v/>
      </c>
    </row>
    <row r="1581" spans="1:8" x14ac:dyDescent="0.25">
      <c r="A1581" s="2">
        <v>44636</v>
      </c>
      <c r="B1581" s="1" t="s">
        <v>43</v>
      </c>
      <c r="C1581">
        <v>2396</v>
      </c>
      <c r="D1581" s="1" t="s">
        <v>197</v>
      </c>
      <c r="E1581" s="1" t="s">
        <v>6</v>
      </c>
      <c r="F1581">
        <v>2</v>
      </c>
      <c r="G1581" s="1" t="str">
        <f>Ocupacao_DW[[#This Row],[data]]&amp;Ocupacao_DW[[#This Row],[profissional_id]]&amp;Ocupacao_DW[[#This Row],[local_id]]</f>
        <v>4463623962</v>
      </c>
      <c r="H1581" s="1">
        <f>_xlfn.XLOOKUP(Ocupacao_DW[[#This Row],[Concat]],Vagas!$H:$H,Vagas!$D:$D,"",0)</f>
        <v>0</v>
      </c>
    </row>
    <row r="1582" spans="1:8" x14ac:dyDescent="0.25">
      <c r="A1582" s="2">
        <v>44636</v>
      </c>
      <c r="B1582" s="1" t="s">
        <v>43</v>
      </c>
      <c r="C1582">
        <v>57</v>
      </c>
      <c r="D1582" s="1" t="s">
        <v>169</v>
      </c>
      <c r="E1582" s="1" t="s">
        <v>6</v>
      </c>
      <c r="F1582">
        <v>2</v>
      </c>
      <c r="G1582" s="1" t="str">
        <f>Ocupacao_DW[[#This Row],[data]]&amp;Ocupacao_DW[[#This Row],[profissional_id]]&amp;Ocupacao_DW[[#This Row],[local_id]]</f>
        <v>44636572</v>
      </c>
      <c r="H1582" s="1">
        <f>_xlfn.XLOOKUP(Ocupacao_DW[[#This Row],[Concat]],Vagas!$H:$H,Vagas!$D:$D,"",0)</f>
        <v>2</v>
      </c>
    </row>
    <row r="1583" spans="1:8" x14ac:dyDescent="0.25">
      <c r="A1583" s="2">
        <v>44636</v>
      </c>
      <c r="B1583" s="1" t="s">
        <v>43</v>
      </c>
      <c r="C1583">
        <v>57</v>
      </c>
      <c r="D1583" s="1" t="s">
        <v>169</v>
      </c>
      <c r="E1583" s="1" t="s">
        <v>6</v>
      </c>
      <c r="F1583">
        <v>2</v>
      </c>
      <c r="G1583" s="1" t="str">
        <f>Ocupacao_DW[[#This Row],[data]]&amp;Ocupacao_DW[[#This Row],[profissional_id]]&amp;Ocupacao_DW[[#This Row],[local_id]]</f>
        <v>44636572</v>
      </c>
      <c r="H1583" s="1">
        <f>_xlfn.XLOOKUP(Ocupacao_DW[[#This Row],[Concat]],Vagas!$H:$H,Vagas!$D:$D,"",0)</f>
        <v>2</v>
      </c>
    </row>
    <row r="1584" spans="1:8" x14ac:dyDescent="0.25">
      <c r="A1584" s="2">
        <v>44643</v>
      </c>
      <c r="B1584" s="1" t="s">
        <v>43</v>
      </c>
      <c r="C1584">
        <v>2396</v>
      </c>
      <c r="D1584" s="1" t="s">
        <v>197</v>
      </c>
      <c r="E1584" s="1" t="s">
        <v>6</v>
      </c>
      <c r="F1584">
        <v>2</v>
      </c>
      <c r="G1584" s="1" t="str">
        <f>Ocupacao_DW[[#This Row],[data]]&amp;Ocupacao_DW[[#This Row],[profissional_id]]&amp;Ocupacao_DW[[#This Row],[local_id]]</f>
        <v>4464323962</v>
      </c>
      <c r="H1584" s="1">
        <f>_xlfn.XLOOKUP(Ocupacao_DW[[#This Row],[Concat]],Vagas!$H:$H,Vagas!$D:$D,"",0)</f>
        <v>0</v>
      </c>
    </row>
    <row r="1585" spans="1:8" x14ac:dyDescent="0.25">
      <c r="A1585" s="2">
        <v>44643</v>
      </c>
      <c r="B1585" s="1"/>
      <c r="C1585">
        <v>2396</v>
      </c>
      <c r="D1585" s="1" t="s">
        <v>197</v>
      </c>
      <c r="E1585" s="1" t="s">
        <v>6</v>
      </c>
      <c r="F1585">
        <v>2</v>
      </c>
      <c r="G1585" s="1" t="str">
        <f>Ocupacao_DW[[#This Row],[data]]&amp;Ocupacao_DW[[#This Row],[profissional_id]]&amp;Ocupacao_DW[[#This Row],[local_id]]</f>
        <v>4464323962</v>
      </c>
      <c r="H1585" s="1">
        <f>_xlfn.XLOOKUP(Ocupacao_DW[[#This Row],[Concat]],Vagas!$H:$H,Vagas!$D:$D,"",0)</f>
        <v>0</v>
      </c>
    </row>
    <row r="1586" spans="1:8" x14ac:dyDescent="0.25">
      <c r="A1586" s="2">
        <v>44645</v>
      </c>
      <c r="B1586" s="1" t="s">
        <v>52</v>
      </c>
      <c r="C1586">
        <v>57</v>
      </c>
      <c r="D1586" s="1" t="s">
        <v>169</v>
      </c>
      <c r="E1586" s="1" t="s">
        <v>6</v>
      </c>
      <c r="F1586">
        <v>8</v>
      </c>
      <c r="G1586" s="1" t="str">
        <f>Ocupacao_DW[[#This Row],[data]]&amp;Ocupacao_DW[[#This Row],[profissional_id]]&amp;Ocupacao_DW[[#This Row],[local_id]]</f>
        <v>44645578</v>
      </c>
      <c r="H1586" s="1">
        <f>_xlfn.XLOOKUP(Ocupacao_DW[[#This Row],[Concat]],Vagas!$H:$H,Vagas!$D:$D,"",0)</f>
        <v>0</v>
      </c>
    </row>
    <row r="1587" spans="1:8" x14ac:dyDescent="0.25">
      <c r="A1587" s="2">
        <v>44643</v>
      </c>
      <c r="B1587" s="1"/>
      <c r="C1587">
        <v>0</v>
      </c>
      <c r="D1587" s="1"/>
      <c r="E1587" s="1" t="s">
        <v>6</v>
      </c>
      <c r="F1587">
        <v>2</v>
      </c>
      <c r="G1587" s="1" t="str">
        <f>Ocupacao_DW[[#This Row],[data]]&amp;Ocupacao_DW[[#This Row],[profissional_id]]&amp;Ocupacao_DW[[#This Row],[local_id]]</f>
        <v>4464302</v>
      </c>
      <c r="H1587" s="1" t="str">
        <f>_xlfn.XLOOKUP(Ocupacao_DW[[#This Row],[Concat]],Vagas!$H:$H,Vagas!$D:$D,"",0)</f>
        <v/>
      </c>
    </row>
    <row r="1588" spans="1:8" x14ac:dyDescent="0.25">
      <c r="A1588" s="2">
        <v>44643</v>
      </c>
      <c r="B1588" s="1"/>
      <c r="C1588">
        <v>2396</v>
      </c>
      <c r="D1588" s="1" t="s">
        <v>197</v>
      </c>
      <c r="E1588" s="1" t="s">
        <v>6</v>
      </c>
      <c r="F1588">
        <v>2</v>
      </c>
      <c r="G1588" s="1" t="str">
        <f>Ocupacao_DW[[#This Row],[data]]&amp;Ocupacao_DW[[#This Row],[profissional_id]]&amp;Ocupacao_DW[[#This Row],[local_id]]</f>
        <v>4464323962</v>
      </c>
      <c r="H1588" s="1">
        <f>_xlfn.XLOOKUP(Ocupacao_DW[[#This Row],[Concat]],Vagas!$H:$H,Vagas!$D:$D,"",0)</f>
        <v>0</v>
      </c>
    </row>
    <row r="1589" spans="1:8" x14ac:dyDescent="0.25">
      <c r="A1589" s="2">
        <v>44643</v>
      </c>
      <c r="B1589" s="1" t="s">
        <v>70</v>
      </c>
      <c r="C1589">
        <v>12519</v>
      </c>
      <c r="D1589" s="1" t="s">
        <v>176</v>
      </c>
      <c r="E1589" s="1" t="s">
        <v>4</v>
      </c>
      <c r="F1589">
        <v>48</v>
      </c>
      <c r="G1589" s="1" t="str">
        <f>Ocupacao_DW[[#This Row],[data]]&amp;Ocupacao_DW[[#This Row],[profissional_id]]&amp;Ocupacao_DW[[#This Row],[local_id]]</f>
        <v>446431251948</v>
      </c>
      <c r="H1589" s="1">
        <f>_xlfn.XLOOKUP(Ocupacao_DW[[#This Row],[Concat]],Vagas!$H:$H,Vagas!$D:$D,"",0)</f>
        <v>0</v>
      </c>
    </row>
    <row r="1590" spans="1:8" x14ac:dyDescent="0.25">
      <c r="A1590" s="2">
        <v>44649</v>
      </c>
      <c r="B1590" s="1" t="s">
        <v>55</v>
      </c>
      <c r="C1590">
        <v>73</v>
      </c>
      <c r="D1590" s="1" t="s">
        <v>171</v>
      </c>
      <c r="E1590" s="1" t="s">
        <v>6</v>
      </c>
      <c r="F1590">
        <v>5</v>
      </c>
      <c r="G1590" s="1" t="str">
        <f>Ocupacao_DW[[#This Row],[data]]&amp;Ocupacao_DW[[#This Row],[profissional_id]]&amp;Ocupacao_DW[[#This Row],[local_id]]</f>
        <v>44649735</v>
      </c>
      <c r="H1590" s="1">
        <f>_xlfn.XLOOKUP(Ocupacao_DW[[#This Row],[Concat]],Vagas!$H:$H,Vagas!$D:$D,"",0)</f>
        <v>0</v>
      </c>
    </row>
    <row r="1591" spans="1:8" x14ac:dyDescent="0.25">
      <c r="A1591" s="2">
        <v>44643</v>
      </c>
      <c r="B1591" s="1" t="s">
        <v>43</v>
      </c>
      <c r="C1591">
        <v>2396</v>
      </c>
      <c r="D1591" s="1" t="s">
        <v>197</v>
      </c>
      <c r="E1591" s="1" t="s">
        <v>6</v>
      </c>
      <c r="F1591">
        <v>2</v>
      </c>
      <c r="G1591" s="1" t="str">
        <f>Ocupacao_DW[[#This Row],[data]]&amp;Ocupacao_DW[[#This Row],[profissional_id]]&amp;Ocupacao_DW[[#This Row],[local_id]]</f>
        <v>4464323962</v>
      </c>
      <c r="H1591" s="1">
        <f>_xlfn.XLOOKUP(Ocupacao_DW[[#This Row],[Concat]],Vagas!$H:$H,Vagas!$D:$D,"",0)</f>
        <v>0</v>
      </c>
    </row>
    <row r="1592" spans="1:8" x14ac:dyDescent="0.25">
      <c r="A1592" s="2">
        <v>44639</v>
      </c>
      <c r="B1592" s="1" t="s">
        <v>47</v>
      </c>
      <c r="C1592">
        <v>111</v>
      </c>
      <c r="D1592" s="1" t="s">
        <v>199</v>
      </c>
      <c r="E1592" s="1" t="s">
        <v>4</v>
      </c>
      <c r="F1592">
        <v>51</v>
      </c>
      <c r="G1592" s="1" t="str">
        <f>Ocupacao_DW[[#This Row],[data]]&amp;Ocupacao_DW[[#This Row],[profissional_id]]&amp;Ocupacao_DW[[#This Row],[local_id]]</f>
        <v>4463911151</v>
      </c>
      <c r="H1592" s="1">
        <f>_xlfn.XLOOKUP(Ocupacao_DW[[#This Row],[Concat]],Vagas!$H:$H,Vagas!$D:$D,"",0)</f>
        <v>0</v>
      </c>
    </row>
    <row r="1593" spans="1:8" x14ac:dyDescent="0.25">
      <c r="A1593" s="2">
        <v>44639</v>
      </c>
      <c r="B1593" s="1"/>
      <c r="C1593">
        <v>17888</v>
      </c>
      <c r="D1593" s="1" t="s">
        <v>255</v>
      </c>
      <c r="E1593" s="1" t="s">
        <v>4</v>
      </c>
      <c r="F1593">
        <v>40</v>
      </c>
      <c r="G1593" s="1" t="str">
        <f>Ocupacao_DW[[#This Row],[data]]&amp;Ocupacao_DW[[#This Row],[profissional_id]]&amp;Ocupacao_DW[[#This Row],[local_id]]</f>
        <v>446391788840</v>
      </c>
      <c r="H1593" s="1">
        <f>_xlfn.XLOOKUP(Ocupacao_DW[[#This Row],[Concat]],Vagas!$H:$H,Vagas!$D:$D,"",0)</f>
        <v>10</v>
      </c>
    </row>
    <row r="1594" spans="1:8" x14ac:dyDescent="0.25">
      <c r="A1594" s="2">
        <v>44650</v>
      </c>
      <c r="B1594" s="1" t="s">
        <v>43</v>
      </c>
      <c r="C1594">
        <v>2396</v>
      </c>
      <c r="D1594" s="1" t="s">
        <v>197</v>
      </c>
      <c r="E1594" s="1" t="s">
        <v>6</v>
      </c>
      <c r="F1594">
        <v>2</v>
      </c>
      <c r="G1594" s="1" t="str">
        <f>Ocupacao_DW[[#This Row],[data]]&amp;Ocupacao_DW[[#This Row],[profissional_id]]&amp;Ocupacao_DW[[#This Row],[local_id]]</f>
        <v>4465023962</v>
      </c>
      <c r="H1594" s="1">
        <f>_xlfn.XLOOKUP(Ocupacao_DW[[#This Row],[Concat]],Vagas!$H:$H,Vagas!$D:$D,"",0)</f>
        <v>0</v>
      </c>
    </row>
    <row r="1595" spans="1:8" x14ac:dyDescent="0.25">
      <c r="A1595" s="2">
        <v>44636</v>
      </c>
      <c r="B1595" s="1" t="s">
        <v>52</v>
      </c>
      <c r="C1595">
        <v>60</v>
      </c>
      <c r="D1595" s="1" t="s">
        <v>217</v>
      </c>
      <c r="E1595" s="1" t="s">
        <v>6</v>
      </c>
      <c r="F1595">
        <v>8</v>
      </c>
      <c r="G1595" s="1" t="str">
        <f>Ocupacao_DW[[#This Row],[data]]&amp;Ocupacao_DW[[#This Row],[profissional_id]]&amp;Ocupacao_DW[[#This Row],[local_id]]</f>
        <v>44636608</v>
      </c>
      <c r="H1595" s="1">
        <f>_xlfn.XLOOKUP(Ocupacao_DW[[#This Row],[Concat]],Vagas!$H:$H,Vagas!$D:$D,"",0)</f>
        <v>0</v>
      </c>
    </row>
    <row r="1596" spans="1:8" x14ac:dyDescent="0.25">
      <c r="A1596" s="2">
        <v>44638</v>
      </c>
      <c r="B1596" s="1" t="s">
        <v>49</v>
      </c>
      <c r="C1596">
        <v>6430</v>
      </c>
      <c r="D1596" s="1" t="s">
        <v>188</v>
      </c>
      <c r="E1596" s="1" t="s">
        <v>4</v>
      </c>
      <c r="F1596">
        <v>42</v>
      </c>
      <c r="G1596" s="1" t="str">
        <f>Ocupacao_DW[[#This Row],[data]]&amp;Ocupacao_DW[[#This Row],[profissional_id]]&amp;Ocupacao_DW[[#This Row],[local_id]]</f>
        <v>44638643042</v>
      </c>
      <c r="H1596" s="1">
        <f>_xlfn.XLOOKUP(Ocupacao_DW[[#This Row],[Concat]],Vagas!$H:$H,Vagas!$D:$D,"",0)</f>
        <v>0</v>
      </c>
    </row>
    <row r="1597" spans="1:8" x14ac:dyDescent="0.25">
      <c r="A1597" s="2">
        <v>44635</v>
      </c>
      <c r="B1597" s="1" t="s">
        <v>50</v>
      </c>
      <c r="C1597">
        <v>4814</v>
      </c>
      <c r="D1597" s="1" t="s">
        <v>189</v>
      </c>
      <c r="E1597" s="1" t="s">
        <v>5</v>
      </c>
      <c r="F1597">
        <v>17</v>
      </c>
      <c r="G1597" s="1" t="str">
        <f>Ocupacao_DW[[#This Row],[data]]&amp;Ocupacao_DW[[#This Row],[profissional_id]]&amp;Ocupacao_DW[[#This Row],[local_id]]</f>
        <v>44635481417</v>
      </c>
      <c r="H1597" s="1">
        <f>_xlfn.XLOOKUP(Ocupacao_DW[[#This Row],[Concat]],Vagas!$H:$H,Vagas!$D:$D,"",0)</f>
        <v>0</v>
      </c>
    </row>
    <row r="1598" spans="1:8" x14ac:dyDescent="0.25">
      <c r="A1598" s="2">
        <v>44650</v>
      </c>
      <c r="B1598" s="1" t="s">
        <v>70</v>
      </c>
      <c r="C1598">
        <v>12825</v>
      </c>
      <c r="D1598" s="1" t="s">
        <v>177</v>
      </c>
      <c r="E1598" s="1" t="s">
        <v>4</v>
      </c>
      <c r="F1598">
        <v>45</v>
      </c>
      <c r="G1598" s="1" t="str">
        <f>Ocupacao_DW[[#This Row],[data]]&amp;Ocupacao_DW[[#This Row],[profissional_id]]&amp;Ocupacao_DW[[#This Row],[local_id]]</f>
        <v>446501282545</v>
      </c>
      <c r="H1598" s="1">
        <f>_xlfn.XLOOKUP(Ocupacao_DW[[#This Row],[Concat]],Vagas!$H:$H,Vagas!$D:$D,"",0)</f>
        <v>0</v>
      </c>
    </row>
    <row r="1599" spans="1:8" x14ac:dyDescent="0.25">
      <c r="A1599" s="2">
        <v>44636</v>
      </c>
      <c r="B1599" s="1" t="s">
        <v>66</v>
      </c>
      <c r="C1599">
        <v>1343</v>
      </c>
      <c r="D1599" s="1" t="s">
        <v>263</v>
      </c>
      <c r="E1599" s="1" t="s">
        <v>167</v>
      </c>
      <c r="F1599">
        <v>342</v>
      </c>
      <c r="G1599" s="1" t="str">
        <f>Ocupacao_DW[[#This Row],[data]]&amp;Ocupacao_DW[[#This Row],[profissional_id]]&amp;Ocupacao_DW[[#This Row],[local_id]]</f>
        <v>446361343342</v>
      </c>
      <c r="H1599" s="1">
        <f>_xlfn.XLOOKUP(Ocupacao_DW[[#This Row],[Concat]],Vagas!$H:$H,Vagas!$D:$D,"",0)</f>
        <v>0</v>
      </c>
    </row>
    <row r="1600" spans="1:8" x14ac:dyDescent="0.25">
      <c r="A1600" s="2">
        <v>44638</v>
      </c>
      <c r="B1600" s="1" t="s">
        <v>49</v>
      </c>
      <c r="C1600">
        <v>12142</v>
      </c>
      <c r="D1600" s="1" t="s">
        <v>219</v>
      </c>
      <c r="E1600" s="1" t="s">
        <v>4</v>
      </c>
      <c r="F1600">
        <v>44</v>
      </c>
      <c r="G1600" s="1" t="str">
        <f>Ocupacao_DW[[#This Row],[data]]&amp;Ocupacao_DW[[#This Row],[profissional_id]]&amp;Ocupacao_DW[[#This Row],[local_id]]</f>
        <v>446381214244</v>
      </c>
      <c r="H1600" s="1">
        <f>_xlfn.XLOOKUP(Ocupacao_DW[[#This Row],[Concat]],Vagas!$H:$H,Vagas!$D:$D,"",0)</f>
        <v>0</v>
      </c>
    </row>
    <row r="1601" spans="1:8" x14ac:dyDescent="0.25">
      <c r="A1601" s="2">
        <v>44645</v>
      </c>
      <c r="B1601" s="1" t="s">
        <v>54</v>
      </c>
      <c r="C1601">
        <v>69</v>
      </c>
      <c r="D1601" s="1" t="s">
        <v>238</v>
      </c>
      <c r="E1601" s="1" t="s">
        <v>5</v>
      </c>
      <c r="F1601">
        <v>13</v>
      </c>
      <c r="G1601" s="1" t="str">
        <f>Ocupacao_DW[[#This Row],[data]]&amp;Ocupacao_DW[[#This Row],[profissional_id]]&amp;Ocupacao_DW[[#This Row],[local_id]]</f>
        <v>446456913</v>
      </c>
      <c r="H1601" s="1">
        <f>_xlfn.XLOOKUP(Ocupacao_DW[[#This Row],[Concat]],Vagas!$H:$H,Vagas!$D:$D,"",0)</f>
        <v>0</v>
      </c>
    </row>
    <row r="1602" spans="1:8" x14ac:dyDescent="0.25">
      <c r="A1602" s="2">
        <v>44638</v>
      </c>
      <c r="B1602" s="1" t="s">
        <v>52</v>
      </c>
      <c r="C1602">
        <v>55</v>
      </c>
      <c r="D1602" s="1" t="s">
        <v>244</v>
      </c>
      <c r="E1602" s="1" t="s">
        <v>7</v>
      </c>
      <c r="F1602">
        <v>68</v>
      </c>
      <c r="G1602" s="1" t="str">
        <f>Ocupacao_DW[[#This Row],[data]]&amp;Ocupacao_DW[[#This Row],[profissional_id]]&amp;Ocupacao_DW[[#This Row],[local_id]]</f>
        <v>446385568</v>
      </c>
      <c r="H1602" s="1">
        <f>_xlfn.XLOOKUP(Ocupacao_DW[[#This Row],[Concat]],Vagas!$H:$H,Vagas!$D:$D,"",0)</f>
        <v>0</v>
      </c>
    </row>
    <row r="1603" spans="1:8" x14ac:dyDescent="0.25">
      <c r="A1603" s="2">
        <v>44635</v>
      </c>
      <c r="B1603" s="1" t="s">
        <v>54</v>
      </c>
      <c r="C1603">
        <v>69</v>
      </c>
      <c r="D1603" s="1" t="s">
        <v>238</v>
      </c>
      <c r="E1603" s="1" t="s">
        <v>5</v>
      </c>
      <c r="F1603">
        <v>13</v>
      </c>
      <c r="G1603" s="1" t="str">
        <f>Ocupacao_DW[[#This Row],[data]]&amp;Ocupacao_DW[[#This Row],[profissional_id]]&amp;Ocupacao_DW[[#This Row],[local_id]]</f>
        <v>446356913</v>
      </c>
      <c r="H1603" s="1">
        <f>_xlfn.XLOOKUP(Ocupacao_DW[[#This Row],[Concat]],Vagas!$H:$H,Vagas!$D:$D,"",0)</f>
        <v>0</v>
      </c>
    </row>
    <row r="1604" spans="1:8" x14ac:dyDescent="0.25">
      <c r="A1604" s="2">
        <v>44638</v>
      </c>
      <c r="B1604" s="1" t="s">
        <v>49</v>
      </c>
      <c r="C1604">
        <v>6430</v>
      </c>
      <c r="D1604" s="1" t="s">
        <v>188</v>
      </c>
      <c r="E1604" s="1" t="s">
        <v>4</v>
      </c>
      <c r="F1604">
        <v>42</v>
      </c>
      <c r="G1604" s="1" t="str">
        <f>Ocupacao_DW[[#This Row],[data]]&amp;Ocupacao_DW[[#This Row],[profissional_id]]&amp;Ocupacao_DW[[#This Row],[local_id]]</f>
        <v>44638643042</v>
      </c>
      <c r="H1604" s="1">
        <f>_xlfn.XLOOKUP(Ocupacao_DW[[#This Row],[Concat]],Vagas!$H:$H,Vagas!$D:$D,"",0)</f>
        <v>0</v>
      </c>
    </row>
    <row r="1605" spans="1:8" x14ac:dyDescent="0.25">
      <c r="A1605" s="2">
        <v>44637</v>
      </c>
      <c r="B1605" s="1" t="s">
        <v>72</v>
      </c>
      <c r="C1605">
        <v>6046</v>
      </c>
      <c r="D1605" s="1" t="s">
        <v>222</v>
      </c>
      <c r="E1605" s="1" t="s">
        <v>4</v>
      </c>
      <c r="F1605">
        <v>46</v>
      </c>
      <c r="G1605" s="1" t="str">
        <f>Ocupacao_DW[[#This Row],[data]]&amp;Ocupacao_DW[[#This Row],[profissional_id]]&amp;Ocupacao_DW[[#This Row],[local_id]]</f>
        <v>44637604646</v>
      </c>
      <c r="H1605" s="1">
        <f>_xlfn.XLOOKUP(Ocupacao_DW[[#This Row],[Concat]],Vagas!$H:$H,Vagas!$D:$D,"",0)</f>
        <v>0</v>
      </c>
    </row>
    <row r="1606" spans="1:8" x14ac:dyDescent="0.25">
      <c r="A1606" s="2">
        <v>44636</v>
      </c>
      <c r="B1606" s="1" t="s">
        <v>52</v>
      </c>
      <c r="C1606">
        <v>10946</v>
      </c>
      <c r="D1606" s="1" t="s">
        <v>209</v>
      </c>
      <c r="E1606" s="1" t="s">
        <v>7</v>
      </c>
      <c r="F1606">
        <v>68</v>
      </c>
      <c r="G1606" s="1" t="str">
        <f>Ocupacao_DW[[#This Row],[data]]&amp;Ocupacao_DW[[#This Row],[profissional_id]]&amp;Ocupacao_DW[[#This Row],[local_id]]</f>
        <v>446361094668</v>
      </c>
      <c r="H1606" s="1" t="str">
        <f>_xlfn.XLOOKUP(Ocupacao_DW[[#This Row],[Concat]],Vagas!$H:$H,Vagas!$D:$D,"",0)</f>
        <v/>
      </c>
    </row>
    <row r="1607" spans="1:8" x14ac:dyDescent="0.25">
      <c r="A1607" s="2">
        <v>44636</v>
      </c>
      <c r="B1607" s="1" t="s">
        <v>62</v>
      </c>
      <c r="C1607">
        <v>2567</v>
      </c>
      <c r="D1607" s="1" t="s">
        <v>198</v>
      </c>
      <c r="E1607" s="1" t="s">
        <v>5</v>
      </c>
      <c r="F1607">
        <v>349</v>
      </c>
      <c r="G1607" s="1" t="str">
        <f>Ocupacao_DW[[#This Row],[data]]&amp;Ocupacao_DW[[#This Row],[profissional_id]]&amp;Ocupacao_DW[[#This Row],[local_id]]</f>
        <v>446362567349</v>
      </c>
      <c r="H1607" s="1">
        <f>_xlfn.XLOOKUP(Ocupacao_DW[[#This Row],[Concat]],Vagas!$H:$H,Vagas!$D:$D,"",0)</f>
        <v>0</v>
      </c>
    </row>
    <row r="1608" spans="1:8" x14ac:dyDescent="0.25">
      <c r="A1608" s="2">
        <v>44637</v>
      </c>
      <c r="B1608" s="1" t="s">
        <v>47</v>
      </c>
      <c r="C1608">
        <v>17928</v>
      </c>
      <c r="D1608" s="1" t="s">
        <v>268</v>
      </c>
      <c r="E1608" s="1" t="s">
        <v>4</v>
      </c>
      <c r="F1608">
        <v>51</v>
      </c>
      <c r="G1608" s="1" t="str">
        <f>Ocupacao_DW[[#This Row],[data]]&amp;Ocupacao_DW[[#This Row],[profissional_id]]&amp;Ocupacao_DW[[#This Row],[local_id]]</f>
        <v>446371792851</v>
      </c>
      <c r="H1608" s="1">
        <f>_xlfn.XLOOKUP(Ocupacao_DW[[#This Row],[Concat]],Vagas!$H:$H,Vagas!$D:$D,"",0)</f>
        <v>13</v>
      </c>
    </row>
    <row r="1609" spans="1:8" x14ac:dyDescent="0.25">
      <c r="A1609" s="2">
        <v>44636</v>
      </c>
      <c r="B1609" s="1" t="s">
        <v>47</v>
      </c>
      <c r="C1609">
        <v>110</v>
      </c>
      <c r="D1609" s="1" t="s">
        <v>193</v>
      </c>
      <c r="E1609" s="1" t="s">
        <v>4</v>
      </c>
      <c r="F1609">
        <v>334</v>
      </c>
      <c r="G1609" s="1" t="str">
        <f>Ocupacao_DW[[#This Row],[data]]&amp;Ocupacao_DW[[#This Row],[profissional_id]]&amp;Ocupacao_DW[[#This Row],[local_id]]</f>
        <v>44636110334</v>
      </c>
      <c r="H1609" s="1">
        <f>_xlfn.XLOOKUP(Ocupacao_DW[[#This Row],[Concat]],Vagas!$H:$H,Vagas!$D:$D,"",0)</f>
        <v>0</v>
      </c>
    </row>
    <row r="1610" spans="1:8" x14ac:dyDescent="0.25">
      <c r="A1610" s="2">
        <v>44651</v>
      </c>
      <c r="B1610" s="1" t="s">
        <v>55</v>
      </c>
      <c r="C1610">
        <v>12426</v>
      </c>
      <c r="D1610" s="1" t="s">
        <v>215</v>
      </c>
      <c r="E1610" s="1" t="s">
        <v>6</v>
      </c>
      <c r="F1610">
        <v>5</v>
      </c>
      <c r="G1610" s="1" t="str">
        <f>Ocupacao_DW[[#This Row],[data]]&amp;Ocupacao_DW[[#This Row],[profissional_id]]&amp;Ocupacao_DW[[#This Row],[local_id]]</f>
        <v>44651124265</v>
      </c>
      <c r="H1610" s="1">
        <f>_xlfn.XLOOKUP(Ocupacao_DW[[#This Row],[Concat]],Vagas!$H:$H,Vagas!$D:$D,"",0)</f>
        <v>0</v>
      </c>
    </row>
    <row r="1611" spans="1:8" x14ac:dyDescent="0.25">
      <c r="A1611" s="2">
        <v>44641</v>
      </c>
      <c r="B1611" s="1" t="s">
        <v>52</v>
      </c>
      <c r="C1611">
        <v>10595</v>
      </c>
      <c r="D1611" s="1" t="s">
        <v>218</v>
      </c>
      <c r="E1611" s="1" t="s">
        <v>200</v>
      </c>
      <c r="F1611">
        <v>78</v>
      </c>
      <c r="G1611" s="1" t="str">
        <f>Ocupacao_DW[[#This Row],[data]]&amp;Ocupacao_DW[[#This Row],[profissional_id]]&amp;Ocupacao_DW[[#This Row],[local_id]]</f>
        <v>446411059578</v>
      </c>
      <c r="H1611" s="1">
        <f>_xlfn.XLOOKUP(Ocupacao_DW[[#This Row],[Concat]],Vagas!$H:$H,Vagas!$D:$D,"",0)</f>
        <v>0</v>
      </c>
    </row>
    <row r="1612" spans="1:8" x14ac:dyDescent="0.25">
      <c r="A1612" s="2">
        <v>44643</v>
      </c>
      <c r="B1612" s="1" t="s">
        <v>49</v>
      </c>
      <c r="C1612">
        <v>6430</v>
      </c>
      <c r="D1612" s="1" t="s">
        <v>188</v>
      </c>
      <c r="E1612" s="1" t="s">
        <v>4</v>
      </c>
      <c r="F1612">
        <v>42</v>
      </c>
      <c r="G1612" s="1" t="str">
        <f>Ocupacao_DW[[#This Row],[data]]&amp;Ocupacao_DW[[#This Row],[profissional_id]]&amp;Ocupacao_DW[[#This Row],[local_id]]</f>
        <v>44643643042</v>
      </c>
      <c r="H1612" s="1">
        <f>_xlfn.XLOOKUP(Ocupacao_DW[[#This Row],[Concat]],Vagas!$H:$H,Vagas!$D:$D,"",0)</f>
        <v>0</v>
      </c>
    </row>
    <row r="1613" spans="1:8" x14ac:dyDescent="0.25">
      <c r="A1613" s="2">
        <v>44636</v>
      </c>
      <c r="B1613" s="1" t="s">
        <v>47</v>
      </c>
      <c r="C1613">
        <v>110</v>
      </c>
      <c r="D1613" s="1" t="s">
        <v>193</v>
      </c>
      <c r="E1613" s="1" t="s">
        <v>4</v>
      </c>
      <c r="F1613">
        <v>334</v>
      </c>
      <c r="G1613" s="1" t="str">
        <f>Ocupacao_DW[[#This Row],[data]]&amp;Ocupacao_DW[[#This Row],[profissional_id]]&amp;Ocupacao_DW[[#This Row],[local_id]]</f>
        <v>44636110334</v>
      </c>
      <c r="H1613" s="1">
        <f>_xlfn.XLOOKUP(Ocupacao_DW[[#This Row],[Concat]],Vagas!$H:$H,Vagas!$D:$D,"",0)</f>
        <v>0</v>
      </c>
    </row>
    <row r="1614" spans="1:8" x14ac:dyDescent="0.25">
      <c r="A1614" s="2">
        <v>44638</v>
      </c>
      <c r="B1614" s="1" t="s">
        <v>72</v>
      </c>
      <c r="C1614">
        <v>1794</v>
      </c>
      <c r="D1614" s="1" t="s">
        <v>235</v>
      </c>
      <c r="E1614" s="1" t="s">
        <v>4</v>
      </c>
      <c r="F1614">
        <v>46</v>
      </c>
      <c r="G1614" s="1" t="str">
        <f>Ocupacao_DW[[#This Row],[data]]&amp;Ocupacao_DW[[#This Row],[profissional_id]]&amp;Ocupacao_DW[[#This Row],[local_id]]</f>
        <v>44638179446</v>
      </c>
      <c r="H1614" s="1">
        <f>_xlfn.XLOOKUP(Ocupacao_DW[[#This Row],[Concat]],Vagas!$H:$H,Vagas!$D:$D,"",0)</f>
        <v>0</v>
      </c>
    </row>
    <row r="1615" spans="1:8" x14ac:dyDescent="0.25">
      <c r="A1615" s="2">
        <v>44642</v>
      </c>
      <c r="B1615" s="1" t="s">
        <v>47</v>
      </c>
      <c r="C1615">
        <v>111</v>
      </c>
      <c r="D1615" s="1" t="s">
        <v>199</v>
      </c>
      <c r="E1615" s="1" t="s">
        <v>4</v>
      </c>
      <c r="F1615">
        <v>51</v>
      </c>
      <c r="G1615" s="1" t="str">
        <f>Ocupacao_DW[[#This Row],[data]]&amp;Ocupacao_DW[[#This Row],[profissional_id]]&amp;Ocupacao_DW[[#This Row],[local_id]]</f>
        <v>4464211151</v>
      </c>
      <c r="H1615" s="1">
        <f>_xlfn.XLOOKUP(Ocupacao_DW[[#This Row],[Concat]],Vagas!$H:$H,Vagas!$D:$D,"",0)</f>
        <v>25</v>
      </c>
    </row>
    <row r="1616" spans="1:8" x14ac:dyDescent="0.25">
      <c r="A1616" s="2">
        <v>44641</v>
      </c>
      <c r="B1616" s="1" t="s">
        <v>52</v>
      </c>
      <c r="C1616">
        <v>10691</v>
      </c>
      <c r="D1616" s="1" t="s">
        <v>181</v>
      </c>
      <c r="E1616" s="1" t="s">
        <v>6</v>
      </c>
      <c r="F1616">
        <v>9</v>
      </c>
      <c r="G1616" s="1" t="str">
        <f>Ocupacao_DW[[#This Row],[data]]&amp;Ocupacao_DW[[#This Row],[profissional_id]]&amp;Ocupacao_DW[[#This Row],[local_id]]</f>
        <v>44641106919</v>
      </c>
      <c r="H1616" s="1">
        <f>_xlfn.XLOOKUP(Ocupacao_DW[[#This Row],[Concat]],Vagas!$H:$H,Vagas!$D:$D,"",0)</f>
        <v>0</v>
      </c>
    </row>
    <row r="1617" spans="1:8" x14ac:dyDescent="0.25">
      <c r="A1617" s="2">
        <v>44656</v>
      </c>
      <c r="B1617" s="1" t="s">
        <v>70</v>
      </c>
      <c r="C1617">
        <v>12825</v>
      </c>
      <c r="D1617" s="1" t="s">
        <v>177</v>
      </c>
      <c r="E1617" s="1" t="s">
        <v>7</v>
      </c>
      <c r="F1617">
        <v>63</v>
      </c>
      <c r="G1617" s="1" t="str">
        <f>Ocupacao_DW[[#This Row],[data]]&amp;Ocupacao_DW[[#This Row],[profissional_id]]&amp;Ocupacao_DW[[#This Row],[local_id]]</f>
        <v>446561282563</v>
      </c>
      <c r="H1617" s="1">
        <f>_xlfn.XLOOKUP(Ocupacao_DW[[#This Row],[Concat]],Vagas!$H:$H,Vagas!$D:$D,"",0)</f>
        <v>0</v>
      </c>
    </row>
    <row r="1618" spans="1:8" x14ac:dyDescent="0.25">
      <c r="A1618" s="2">
        <v>44638</v>
      </c>
      <c r="B1618" s="1" t="s">
        <v>47</v>
      </c>
      <c r="C1618">
        <v>13371</v>
      </c>
      <c r="D1618" s="1" t="s">
        <v>205</v>
      </c>
      <c r="E1618" s="1" t="s">
        <v>4</v>
      </c>
      <c r="F1618">
        <v>336</v>
      </c>
      <c r="G1618" s="1" t="str">
        <f>Ocupacao_DW[[#This Row],[data]]&amp;Ocupacao_DW[[#This Row],[profissional_id]]&amp;Ocupacao_DW[[#This Row],[local_id]]</f>
        <v>4463813371336</v>
      </c>
      <c r="H1618" s="1" t="str">
        <f>_xlfn.XLOOKUP(Ocupacao_DW[[#This Row],[Concat]],Vagas!$H:$H,Vagas!$D:$D,"",0)</f>
        <v/>
      </c>
    </row>
    <row r="1619" spans="1:8" x14ac:dyDescent="0.25">
      <c r="A1619" s="2">
        <v>44642</v>
      </c>
      <c r="B1619" s="1" t="s">
        <v>42</v>
      </c>
      <c r="C1619">
        <v>17902</v>
      </c>
      <c r="D1619" s="1" t="s">
        <v>264</v>
      </c>
      <c r="E1619" s="1" t="s">
        <v>4</v>
      </c>
      <c r="F1619">
        <v>39</v>
      </c>
      <c r="G1619" s="1" t="str">
        <f>Ocupacao_DW[[#This Row],[data]]&amp;Ocupacao_DW[[#This Row],[profissional_id]]&amp;Ocupacao_DW[[#This Row],[local_id]]</f>
        <v>446421790239</v>
      </c>
      <c r="H1619" s="1">
        <f>_xlfn.XLOOKUP(Ocupacao_DW[[#This Row],[Concat]],Vagas!$H:$H,Vagas!$D:$D,"",0)</f>
        <v>50</v>
      </c>
    </row>
    <row r="1620" spans="1:8" x14ac:dyDescent="0.25">
      <c r="A1620" s="2">
        <v>44638</v>
      </c>
      <c r="B1620" s="1"/>
      <c r="C1620">
        <v>17888</v>
      </c>
      <c r="D1620" s="1" t="s">
        <v>255</v>
      </c>
      <c r="E1620" s="1" t="s">
        <v>4</v>
      </c>
      <c r="F1620">
        <v>40</v>
      </c>
      <c r="G1620" s="1" t="str">
        <f>Ocupacao_DW[[#This Row],[data]]&amp;Ocupacao_DW[[#This Row],[profissional_id]]&amp;Ocupacao_DW[[#This Row],[local_id]]</f>
        <v>446381788840</v>
      </c>
      <c r="H1620" s="1">
        <f>_xlfn.XLOOKUP(Ocupacao_DW[[#This Row],[Concat]],Vagas!$H:$H,Vagas!$D:$D,"",0)</f>
        <v>21</v>
      </c>
    </row>
    <row r="1621" spans="1:8" x14ac:dyDescent="0.25">
      <c r="A1621" s="2">
        <v>44635</v>
      </c>
      <c r="B1621" s="1" t="s">
        <v>66</v>
      </c>
      <c r="C1621">
        <v>100</v>
      </c>
      <c r="D1621" s="1" t="s">
        <v>166</v>
      </c>
      <c r="E1621" s="1" t="s">
        <v>167</v>
      </c>
      <c r="F1621">
        <v>342</v>
      </c>
      <c r="G1621" s="1" t="str">
        <f>Ocupacao_DW[[#This Row],[data]]&amp;Ocupacao_DW[[#This Row],[profissional_id]]&amp;Ocupacao_DW[[#This Row],[local_id]]</f>
        <v>44635100342</v>
      </c>
      <c r="H1621" s="1">
        <f>_xlfn.XLOOKUP(Ocupacao_DW[[#This Row],[Concat]],Vagas!$H:$H,Vagas!$D:$D,"",0)</f>
        <v>0</v>
      </c>
    </row>
    <row r="1622" spans="1:8" x14ac:dyDescent="0.25">
      <c r="A1622" s="2">
        <v>44635</v>
      </c>
      <c r="B1622" s="1" t="s">
        <v>64</v>
      </c>
      <c r="C1622">
        <v>86</v>
      </c>
      <c r="D1622" s="1" t="s">
        <v>175</v>
      </c>
      <c r="E1622" s="1" t="s">
        <v>200</v>
      </c>
      <c r="F1622">
        <v>82</v>
      </c>
      <c r="G1622" s="1" t="str">
        <f>Ocupacao_DW[[#This Row],[data]]&amp;Ocupacao_DW[[#This Row],[profissional_id]]&amp;Ocupacao_DW[[#This Row],[local_id]]</f>
        <v>446358682</v>
      </c>
      <c r="H1622" s="1">
        <f>_xlfn.XLOOKUP(Ocupacao_DW[[#This Row],[Concat]],Vagas!$H:$H,Vagas!$D:$D,"",0)</f>
        <v>6</v>
      </c>
    </row>
    <row r="1623" spans="1:8" x14ac:dyDescent="0.25">
      <c r="A1623" s="2">
        <v>44648</v>
      </c>
      <c r="B1623" s="1" t="s">
        <v>55</v>
      </c>
      <c r="C1623">
        <v>60</v>
      </c>
      <c r="D1623" s="1" t="s">
        <v>217</v>
      </c>
      <c r="E1623" s="1" t="s">
        <v>7</v>
      </c>
      <c r="F1623">
        <v>66</v>
      </c>
      <c r="G1623" s="1" t="str">
        <f>Ocupacao_DW[[#This Row],[data]]&amp;Ocupacao_DW[[#This Row],[profissional_id]]&amp;Ocupacao_DW[[#This Row],[local_id]]</f>
        <v>446486066</v>
      </c>
      <c r="H1623" s="1">
        <f>_xlfn.XLOOKUP(Ocupacao_DW[[#This Row],[Concat]],Vagas!$H:$H,Vagas!$D:$D,"",0)</f>
        <v>0</v>
      </c>
    </row>
    <row r="1624" spans="1:8" x14ac:dyDescent="0.25">
      <c r="A1624" s="2">
        <v>44646</v>
      </c>
      <c r="B1624" s="1" t="s">
        <v>55</v>
      </c>
      <c r="C1624">
        <v>17879</v>
      </c>
      <c r="D1624" s="1" t="s">
        <v>233</v>
      </c>
      <c r="E1624" s="1" t="s">
        <v>6</v>
      </c>
      <c r="F1624">
        <v>3</v>
      </c>
      <c r="G1624" s="1" t="str">
        <f>Ocupacao_DW[[#This Row],[data]]&amp;Ocupacao_DW[[#This Row],[profissional_id]]&amp;Ocupacao_DW[[#This Row],[local_id]]</f>
        <v>44646178793</v>
      </c>
      <c r="H1624" s="1">
        <f>_xlfn.XLOOKUP(Ocupacao_DW[[#This Row],[Concat]],Vagas!$H:$H,Vagas!$D:$D,"",0)</f>
        <v>0</v>
      </c>
    </row>
    <row r="1625" spans="1:8" x14ac:dyDescent="0.25">
      <c r="A1625" s="2">
        <v>44656</v>
      </c>
      <c r="B1625" s="1" t="s">
        <v>55</v>
      </c>
      <c r="C1625">
        <v>73</v>
      </c>
      <c r="D1625" s="1" t="s">
        <v>171</v>
      </c>
      <c r="E1625" s="1" t="s">
        <v>6</v>
      </c>
      <c r="F1625">
        <v>5</v>
      </c>
      <c r="G1625" s="1" t="str">
        <f>Ocupacao_DW[[#This Row],[data]]&amp;Ocupacao_DW[[#This Row],[profissional_id]]&amp;Ocupacao_DW[[#This Row],[local_id]]</f>
        <v>44656735</v>
      </c>
      <c r="H1625" s="1">
        <f>_xlfn.XLOOKUP(Ocupacao_DW[[#This Row],[Concat]],Vagas!$H:$H,Vagas!$D:$D,"",0)</f>
        <v>0</v>
      </c>
    </row>
    <row r="1626" spans="1:8" x14ac:dyDescent="0.25">
      <c r="A1626" s="2">
        <v>44637</v>
      </c>
      <c r="B1626" s="1"/>
      <c r="C1626">
        <v>9111</v>
      </c>
      <c r="D1626" s="1" t="s">
        <v>206</v>
      </c>
      <c r="E1626" s="1" t="s">
        <v>4</v>
      </c>
      <c r="F1626">
        <v>334</v>
      </c>
      <c r="G1626" s="1" t="str">
        <f>Ocupacao_DW[[#This Row],[data]]&amp;Ocupacao_DW[[#This Row],[profissional_id]]&amp;Ocupacao_DW[[#This Row],[local_id]]</f>
        <v>446379111334</v>
      </c>
      <c r="H1626" s="1">
        <f>_xlfn.XLOOKUP(Ocupacao_DW[[#This Row],[Concat]],Vagas!$H:$H,Vagas!$D:$D,"",0)</f>
        <v>0</v>
      </c>
    </row>
    <row r="1627" spans="1:8" x14ac:dyDescent="0.25">
      <c r="A1627" s="2">
        <v>44637</v>
      </c>
      <c r="B1627" s="1" t="s">
        <v>52</v>
      </c>
      <c r="C1627">
        <v>60</v>
      </c>
      <c r="D1627" s="1" t="s">
        <v>217</v>
      </c>
      <c r="E1627" s="1" t="s">
        <v>167</v>
      </c>
      <c r="F1627">
        <v>346</v>
      </c>
      <c r="G1627" s="1" t="str">
        <f>Ocupacao_DW[[#This Row],[data]]&amp;Ocupacao_DW[[#This Row],[profissional_id]]&amp;Ocupacao_DW[[#This Row],[local_id]]</f>
        <v>4463760346</v>
      </c>
      <c r="H1627" s="1">
        <f>_xlfn.XLOOKUP(Ocupacao_DW[[#This Row],[Concat]],Vagas!$H:$H,Vagas!$D:$D,"",0)</f>
        <v>0</v>
      </c>
    </row>
    <row r="1628" spans="1:8" x14ac:dyDescent="0.25">
      <c r="A1628" s="2">
        <v>44642</v>
      </c>
      <c r="B1628" s="1" t="s">
        <v>49</v>
      </c>
      <c r="C1628">
        <v>266</v>
      </c>
      <c r="D1628" s="1" t="s">
        <v>201</v>
      </c>
      <c r="E1628" s="1" t="s">
        <v>4</v>
      </c>
      <c r="F1628">
        <v>42</v>
      </c>
      <c r="G1628" s="1" t="str">
        <f>Ocupacao_DW[[#This Row],[data]]&amp;Ocupacao_DW[[#This Row],[profissional_id]]&amp;Ocupacao_DW[[#This Row],[local_id]]</f>
        <v>4464226642</v>
      </c>
      <c r="H1628" s="1">
        <f>_xlfn.XLOOKUP(Ocupacao_DW[[#This Row],[Concat]],Vagas!$H:$H,Vagas!$D:$D,"",0)</f>
        <v>0</v>
      </c>
    </row>
    <row r="1629" spans="1:8" x14ac:dyDescent="0.25">
      <c r="A1629" s="2">
        <v>44640</v>
      </c>
      <c r="B1629" s="1" t="s">
        <v>62</v>
      </c>
      <c r="C1629">
        <v>4887</v>
      </c>
      <c r="D1629" s="1" t="s">
        <v>168</v>
      </c>
      <c r="E1629" s="1" t="s">
        <v>167</v>
      </c>
      <c r="F1629">
        <v>340</v>
      </c>
      <c r="G1629" s="1" t="str">
        <f>Ocupacao_DW[[#This Row],[data]]&amp;Ocupacao_DW[[#This Row],[profissional_id]]&amp;Ocupacao_DW[[#This Row],[local_id]]</f>
        <v>446404887340</v>
      </c>
      <c r="H1629" s="1">
        <f>_xlfn.XLOOKUP(Ocupacao_DW[[#This Row],[Concat]],Vagas!$H:$H,Vagas!$D:$D,"",0)</f>
        <v>0</v>
      </c>
    </row>
    <row r="1630" spans="1:8" x14ac:dyDescent="0.25">
      <c r="A1630" s="2">
        <v>44636</v>
      </c>
      <c r="B1630" s="1" t="s">
        <v>62</v>
      </c>
      <c r="C1630">
        <v>3502</v>
      </c>
      <c r="D1630" s="1" t="s">
        <v>214</v>
      </c>
      <c r="E1630" s="1" t="s">
        <v>5</v>
      </c>
      <c r="F1630">
        <v>16</v>
      </c>
      <c r="G1630" s="1" t="str">
        <f>Ocupacao_DW[[#This Row],[data]]&amp;Ocupacao_DW[[#This Row],[profissional_id]]&amp;Ocupacao_DW[[#This Row],[local_id]]</f>
        <v>44636350216</v>
      </c>
      <c r="H1630" s="1">
        <f>_xlfn.XLOOKUP(Ocupacao_DW[[#This Row],[Concat]],Vagas!$H:$H,Vagas!$D:$D,"",0)</f>
        <v>0</v>
      </c>
    </row>
    <row r="1631" spans="1:8" x14ac:dyDescent="0.25">
      <c r="A1631" s="2">
        <v>44638</v>
      </c>
      <c r="B1631" s="1" t="s">
        <v>72</v>
      </c>
      <c r="C1631">
        <v>13479</v>
      </c>
      <c r="D1631" s="1" t="s">
        <v>203</v>
      </c>
      <c r="E1631" s="1" t="s">
        <v>200</v>
      </c>
      <c r="F1631">
        <v>83</v>
      </c>
      <c r="G1631" s="1" t="str">
        <f>Ocupacao_DW[[#This Row],[data]]&amp;Ocupacao_DW[[#This Row],[profissional_id]]&amp;Ocupacao_DW[[#This Row],[local_id]]</f>
        <v>446381347983</v>
      </c>
      <c r="H1631" s="1">
        <f>_xlfn.XLOOKUP(Ocupacao_DW[[#This Row],[Concat]],Vagas!$H:$H,Vagas!$D:$D,"",0)</f>
        <v>0</v>
      </c>
    </row>
    <row r="1632" spans="1:8" x14ac:dyDescent="0.25">
      <c r="A1632" s="2">
        <v>44635</v>
      </c>
      <c r="B1632" s="1" t="s">
        <v>43</v>
      </c>
      <c r="C1632">
        <v>72</v>
      </c>
      <c r="D1632" s="1" t="s">
        <v>271</v>
      </c>
      <c r="E1632" s="1" t="s">
        <v>4</v>
      </c>
      <c r="F1632">
        <v>334</v>
      </c>
      <c r="G1632" s="1" t="str">
        <f>Ocupacao_DW[[#This Row],[data]]&amp;Ocupacao_DW[[#This Row],[profissional_id]]&amp;Ocupacao_DW[[#This Row],[local_id]]</f>
        <v>4463572334</v>
      </c>
      <c r="H1632" s="1">
        <f>_xlfn.XLOOKUP(Ocupacao_DW[[#This Row],[Concat]],Vagas!$H:$H,Vagas!$D:$D,"",0)</f>
        <v>1</v>
      </c>
    </row>
    <row r="1633" spans="1:8" x14ac:dyDescent="0.25">
      <c r="A1633" s="2">
        <v>44641</v>
      </c>
      <c r="B1633" s="1" t="s">
        <v>49</v>
      </c>
      <c r="C1633">
        <v>12369</v>
      </c>
      <c r="D1633" s="1" t="s">
        <v>195</v>
      </c>
      <c r="E1633" s="1" t="s">
        <v>4</v>
      </c>
      <c r="F1633">
        <v>43</v>
      </c>
      <c r="G1633" s="1" t="str">
        <f>Ocupacao_DW[[#This Row],[data]]&amp;Ocupacao_DW[[#This Row],[profissional_id]]&amp;Ocupacao_DW[[#This Row],[local_id]]</f>
        <v>446411236943</v>
      </c>
      <c r="H1633" s="1">
        <f>_xlfn.XLOOKUP(Ocupacao_DW[[#This Row],[Concat]],Vagas!$H:$H,Vagas!$D:$D,"",0)</f>
        <v>0</v>
      </c>
    </row>
    <row r="1634" spans="1:8" x14ac:dyDescent="0.25">
      <c r="A1634" s="2">
        <v>44644</v>
      </c>
      <c r="B1634" s="1" t="s">
        <v>47</v>
      </c>
      <c r="C1634">
        <v>11312</v>
      </c>
      <c r="D1634" s="1" t="s">
        <v>207</v>
      </c>
      <c r="E1634" s="1" t="s">
        <v>4</v>
      </c>
      <c r="F1634">
        <v>336</v>
      </c>
      <c r="G1634" s="1" t="str">
        <f>Ocupacao_DW[[#This Row],[data]]&amp;Ocupacao_DW[[#This Row],[profissional_id]]&amp;Ocupacao_DW[[#This Row],[local_id]]</f>
        <v>4464411312336</v>
      </c>
      <c r="H1634" s="1">
        <f>_xlfn.XLOOKUP(Ocupacao_DW[[#This Row],[Concat]],Vagas!$H:$H,Vagas!$D:$D,"",0)</f>
        <v>20</v>
      </c>
    </row>
    <row r="1635" spans="1:8" x14ac:dyDescent="0.25">
      <c r="A1635" s="2">
        <v>44638</v>
      </c>
      <c r="B1635" s="1" t="s">
        <v>64</v>
      </c>
      <c r="C1635">
        <v>86</v>
      </c>
      <c r="D1635" s="1" t="s">
        <v>175</v>
      </c>
      <c r="E1635" s="1" t="s">
        <v>5</v>
      </c>
      <c r="F1635">
        <v>349</v>
      </c>
      <c r="G1635" s="1" t="str">
        <f>Ocupacao_DW[[#This Row],[data]]&amp;Ocupacao_DW[[#This Row],[profissional_id]]&amp;Ocupacao_DW[[#This Row],[local_id]]</f>
        <v>4463886349</v>
      </c>
      <c r="H1635" s="1">
        <f>_xlfn.XLOOKUP(Ocupacao_DW[[#This Row],[Concat]],Vagas!$H:$H,Vagas!$D:$D,"",0)</f>
        <v>0</v>
      </c>
    </row>
    <row r="1636" spans="1:8" x14ac:dyDescent="0.25">
      <c r="A1636" s="2">
        <v>44642</v>
      </c>
      <c r="B1636" s="1" t="s">
        <v>49</v>
      </c>
      <c r="C1636">
        <v>266</v>
      </c>
      <c r="D1636" s="1" t="s">
        <v>201</v>
      </c>
      <c r="E1636" s="1" t="s">
        <v>4</v>
      </c>
      <c r="F1636">
        <v>42</v>
      </c>
      <c r="G1636" s="1" t="str">
        <f>Ocupacao_DW[[#This Row],[data]]&amp;Ocupacao_DW[[#This Row],[profissional_id]]&amp;Ocupacao_DW[[#This Row],[local_id]]</f>
        <v>4464226642</v>
      </c>
      <c r="H1636" s="1">
        <f>_xlfn.XLOOKUP(Ocupacao_DW[[#This Row],[Concat]],Vagas!$H:$H,Vagas!$D:$D,"",0)</f>
        <v>0</v>
      </c>
    </row>
    <row r="1637" spans="1:8" x14ac:dyDescent="0.25">
      <c r="A1637" s="2">
        <v>44644</v>
      </c>
      <c r="B1637" s="1" t="s">
        <v>52</v>
      </c>
      <c r="C1637">
        <v>9217</v>
      </c>
      <c r="D1637" s="1" t="s">
        <v>191</v>
      </c>
      <c r="E1637" s="1" t="s">
        <v>6</v>
      </c>
      <c r="F1637">
        <v>7</v>
      </c>
      <c r="G1637" s="1" t="str">
        <f>Ocupacao_DW[[#This Row],[data]]&amp;Ocupacao_DW[[#This Row],[profissional_id]]&amp;Ocupacao_DW[[#This Row],[local_id]]</f>
        <v>4464492177</v>
      </c>
      <c r="H1637" s="1">
        <f>_xlfn.XLOOKUP(Ocupacao_DW[[#This Row],[Concat]],Vagas!$H:$H,Vagas!$D:$D,"",0)</f>
        <v>0</v>
      </c>
    </row>
    <row r="1638" spans="1:8" x14ac:dyDescent="0.25">
      <c r="A1638" s="2">
        <v>44638</v>
      </c>
      <c r="B1638" s="1" t="s">
        <v>47</v>
      </c>
      <c r="C1638">
        <v>13371</v>
      </c>
      <c r="D1638" s="1" t="s">
        <v>205</v>
      </c>
      <c r="E1638" s="1" t="s">
        <v>4</v>
      </c>
      <c r="F1638">
        <v>336</v>
      </c>
      <c r="G1638" s="1" t="str">
        <f>Ocupacao_DW[[#This Row],[data]]&amp;Ocupacao_DW[[#This Row],[profissional_id]]&amp;Ocupacao_DW[[#This Row],[local_id]]</f>
        <v>4463813371336</v>
      </c>
      <c r="H1638" s="1" t="str">
        <f>_xlfn.XLOOKUP(Ocupacao_DW[[#This Row],[Concat]],Vagas!$H:$H,Vagas!$D:$D,"",0)</f>
        <v/>
      </c>
    </row>
    <row r="1639" spans="1:8" x14ac:dyDescent="0.25">
      <c r="A1639" s="2">
        <v>44636</v>
      </c>
      <c r="B1639" s="1" t="s">
        <v>70</v>
      </c>
      <c r="C1639">
        <v>12825</v>
      </c>
      <c r="D1639" s="1" t="s">
        <v>177</v>
      </c>
      <c r="E1639" s="1" t="s">
        <v>4</v>
      </c>
      <c r="F1639">
        <v>45</v>
      </c>
      <c r="G1639" s="1" t="str">
        <f>Ocupacao_DW[[#This Row],[data]]&amp;Ocupacao_DW[[#This Row],[profissional_id]]&amp;Ocupacao_DW[[#This Row],[local_id]]</f>
        <v>446361282545</v>
      </c>
      <c r="H1639" s="1">
        <f>_xlfn.XLOOKUP(Ocupacao_DW[[#This Row],[Concat]],Vagas!$H:$H,Vagas!$D:$D,"",0)</f>
        <v>0</v>
      </c>
    </row>
    <row r="1640" spans="1:8" x14ac:dyDescent="0.25">
      <c r="A1640" s="2">
        <v>44641</v>
      </c>
      <c r="B1640" s="1" t="s">
        <v>52</v>
      </c>
      <c r="C1640">
        <v>10691</v>
      </c>
      <c r="D1640" s="1" t="s">
        <v>181</v>
      </c>
      <c r="E1640" s="1" t="s">
        <v>6</v>
      </c>
      <c r="F1640">
        <v>9</v>
      </c>
      <c r="G1640" s="1" t="str">
        <f>Ocupacao_DW[[#This Row],[data]]&amp;Ocupacao_DW[[#This Row],[profissional_id]]&amp;Ocupacao_DW[[#This Row],[local_id]]</f>
        <v>44641106919</v>
      </c>
      <c r="H1640" s="1">
        <f>_xlfn.XLOOKUP(Ocupacao_DW[[#This Row],[Concat]],Vagas!$H:$H,Vagas!$D:$D,"",0)</f>
        <v>0</v>
      </c>
    </row>
    <row r="1641" spans="1:8" x14ac:dyDescent="0.25">
      <c r="A1641" s="2">
        <v>44651</v>
      </c>
      <c r="B1641" s="1" t="s">
        <v>55</v>
      </c>
      <c r="C1641">
        <v>8598</v>
      </c>
      <c r="D1641" s="1" t="s">
        <v>228</v>
      </c>
      <c r="E1641" s="1" t="s">
        <v>6</v>
      </c>
      <c r="F1641">
        <v>3</v>
      </c>
      <c r="G1641" s="1" t="str">
        <f>Ocupacao_DW[[#This Row],[data]]&amp;Ocupacao_DW[[#This Row],[profissional_id]]&amp;Ocupacao_DW[[#This Row],[local_id]]</f>
        <v>4465185983</v>
      </c>
      <c r="H1641" s="1">
        <f>_xlfn.XLOOKUP(Ocupacao_DW[[#This Row],[Concat]],Vagas!$H:$H,Vagas!$D:$D,"",0)</f>
        <v>0</v>
      </c>
    </row>
    <row r="1642" spans="1:8" x14ac:dyDescent="0.25">
      <c r="A1642" s="2">
        <v>44635</v>
      </c>
      <c r="B1642" s="1" t="s">
        <v>71</v>
      </c>
      <c r="C1642">
        <v>282</v>
      </c>
      <c r="D1642" s="1" t="s">
        <v>210</v>
      </c>
      <c r="E1642" s="1" t="s">
        <v>4</v>
      </c>
      <c r="F1642">
        <v>48</v>
      </c>
      <c r="G1642" s="1" t="str">
        <f>Ocupacao_DW[[#This Row],[data]]&amp;Ocupacao_DW[[#This Row],[profissional_id]]&amp;Ocupacao_DW[[#This Row],[local_id]]</f>
        <v>4463528248</v>
      </c>
      <c r="H1642" s="1">
        <f>_xlfn.XLOOKUP(Ocupacao_DW[[#This Row],[Concat]],Vagas!$H:$H,Vagas!$D:$D,"",0)</f>
        <v>0</v>
      </c>
    </row>
    <row r="1643" spans="1:8" x14ac:dyDescent="0.25">
      <c r="A1643" s="2">
        <v>44640</v>
      </c>
      <c r="B1643" s="1" t="s">
        <v>66</v>
      </c>
      <c r="C1643">
        <v>97</v>
      </c>
      <c r="D1643" s="1" t="s">
        <v>243</v>
      </c>
      <c r="E1643" s="1" t="s">
        <v>167</v>
      </c>
      <c r="F1643">
        <v>342</v>
      </c>
      <c r="G1643" s="1" t="str">
        <f>Ocupacao_DW[[#This Row],[data]]&amp;Ocupacao_DW[[#This Row],[profissional_id]]&amp;Ocupacao_DW[[#This Row],[local_id]]</f>
        <v>4464097342</v>
      </c>
      <c r="H1643" s="1">
        <f>_xlfn.XLOOKUP(Ocupacao_DW[[#This Row],[Concat]],Vagas!$H:$H,Vagas!$D:$D,"",0)</f>
        <v>0</v>
      </c>
    </row>
    <row r="1644" spans="1:8" x14ac:dyDescent="0.25">
      <c r="A1644" s="2">
        <v>44637</v>
      </c>
      <c r="B1644" s="1" t="s">
        <v>49</v>
      </c>
      <c r="C1644">
        <v>266</v>
      </c>
      <c r="D1644" s="1" t="s">
        <v>201</v>
      </c>
      <c r="E1644" s="1" t="s">
        <v>4</v>
      </c>
      <c r="F1644">
        <v>42</v>
      </c>
      <c r="G1644" s="1" t="str">
        <f>Ocupacao_DW[[#This Row],[data]]&amp;Ocupacao_DW[[#This Row],[profissional_id]]&amp;Ocupacao_DW[[#This Row],[local_id]]</f>
        <v>4463726642</v>
      </c>
      <c r="H1644" s="1">
        <f>_xlfn.XLOOKUP(Ocupacao_DW[[#This Row],[Concat]],Vagas!$H:$H,Vagas!$D:$D,"",0)</f>
        <v>0</v>
      </c>
    </row>
    <row r="1645" spans="1:8" x14ac:dyDescent="0.25">
      <c r="A1645" s="2">
        <v>44638</v>
      </c>
      <c r="B1645" s="1"/>
      <c r="C1645">
        <v>17883</v>
      </c>
      <c r="D1645" s="1" t="s">
        <v>277</v>
      </c>
      <c r="E1645" s="1" t="s">
        <v>4</v>
      </c>
      <c r="F1645">
        <v>351</v>
      </c>
      <c r="G1645" s="1" t="str">
        <f>Ocupacao_DW[[#This Row],[data]]&amp;Ocupacao_DW[[#This Row],[profissional_id]]&amp;Ocupacao_DW[[#This Row],[local_id]]</f>
        <v>4463817883351</v>
      </c>
      <c r="H1645" s="1">
        <f>_xlfn.XLOOKUP(Ocupacao_DW[[#This Row],[Concat]],Vagas!$H:$H,Vagas!$D:$D,"",0)</f>
        <v>0</v>
      </c>
    </row>
    <row r="1646" spans="1:8" x14ac:dyDescent="0.25">
      <c r="A1646" s="2">
        <v>44637</v>
      </c>
      <c r="B1646" s="1" t="s">
        <v>47</v>
      </c>
      <c r="C1646">
        <v>9111</v>
      </c>
      <c r="D1646" s="1" t="s">
        <v>206</v>
      </c>
      <c r="E1646" s="1" t="s">
        <v>4</v>
      </c>
      <c r="F1646">
        <v>334</v>
      </c>
      <c r="G1646" s="1" t="str">
        <f>Ocupacao_DW[[#This Row],[data]]&amp;Ocupacao_DW[[#This Row],[profissional_id]]&amp;Ocupacao_DW[[#This Row],[local_id]]</f>
        <v>446379111334</v>
      </c>
      <c r="H1646" s="1">
        <f>_xlfn.XLOOKUP(Ocupacao_DW[[#This Row],[Concat]],Vagas!$H:$H,Vagas!$D:$D,"",0)</f>
        <v>0</v>
      </c>
    </row>
    <row r="1647" spans="1:8" x14ac:dyDescent="0.25">
      <c r="A1647" s="2">
        <v>44637</v>
      </c>
      <c r="B1647" s="1" t="s">
        <v>47</v>
      </c>
      <c r="C1647">
        <v>9111</v>
      </c>
      <c r="D1647" s="1" t="s">
        <v>206</v>
      </c>
      <c r="E1647" s="1" t="s">
        <v>4</v>
      </c>
      <c r="F1647">
        <v>334</v>
      </c>
      <c r="G1647" s="1" t="str">
        <f>Ocupacao_DW[[#This Row],[data]]&amp;Ocupacao_DW[[#This Row],[profissional_id]]&amp;Ocupacao_DW[[#This Row],[local_id]]</f>
        <v>446379111334</v>
      </c>
      <c r="H1647" s="1">
        <f>_xlfn.XLOOKUP(Ocupacao_DW[[#This Row],[Concat]],Vagas!$H:$H,Vagas!$D:$D,"",0)</f>
        <v>0</v>
      </c>
    </row>
    <row r="1648" spans="1:8" x14ac:dyDescent="0.25">
      <c r="A1648" s="2">
        <v>44637</v>
      </c>
      <c r="B1648" s="1" t="s">
        <v>49</v>
      </c>
      <c r="C1648">
        <v>266</v>
      </c>
      <c r="D1648" s="1" t="s">
        <v>201</v>
      </c>
      <c r="E1648" s="1" t="s">
        <v>4</v>
      </c>
      <c r="F1648">
        <v>42</v>
      </c>
      <c r="G1648" s="1" t="str">
        <f>Ocupacao_DW[[#This Row],[data]]&amp;Ocupacao_DW[[#This Row],[profissional_id]]&amp;Ocupacao_DW[[#This Row],[local_id]]</f>
        <v>4463726642</v>
      </c>
      <c r="H1648" s="1">
        <f>_xlfn.XLOOKUP(Ocupacao_DW[[#This Row],[Concat]],Vagas!$H:$H,Vagas!$D:$D,"",0)</f>
        <v>0</v>
      </c>
    </row>
    <row r="1649" spans="1:8" x14ac:dyDescent="0.25">
      <c r="A1649" s="2">
        <v>44638</v>
      </c>
      <c r="B1649" s="1" t="s">
        <v>47</v>
      </c>
      <c r="C1649">
        <v>9111</v>
      </c>
      <c r="D1649" s="1" t="s">
        <v>206</v>
      </c>
      <c r="E1649" s="1" t="s">
        <v>4</v>
      </c>
      <c r="F1649">
        <v>51</v>
      </c>
      <c r="G1649" s="1" t="str">
        <f>Ocupacao_DW[[#This Row],[data]]&amp;Ocupacao_DW[[#This Row],[profissional_id]]&amp;Ocupacao_DW[[#This Row],[local_id]]</f>
        <v>44638911151</v>
      </c>
      <c r="H1649" s="1">
        <f>_xlfn.XLOOKUP(Ocupacao_DW[[#This Row],[Concat]],Vagas!$H:$H,Vagas!$D:$D,"",0)</f>
        <v>0</v>
      </c>
    </row>
    <row r="1650" spans="1:8" x14ac:dyDescent="0.25">
      <c r="A1650" s="2">
        <v>44650</v>
      </c>
      <c r="B1650" s="1" t="s">
        <v>49</v>
      </c>
      <c r="C1650">
        <v>6430</v>
      </c>
      <c r="D1650" s="1" t="s">
        <v>188</v>
      </c>
      <c r="E1650" s="1" t="s">
        <v>4</v>
      </c>
      <c r="F1650">
        <v>42</v>
      </c>
      <c r="G1650" s="1" t="str">
        <f>Ocupacao_DW[[#This Row],[data]]&amp;Ocupacao_DW[[#This Row],[profissional_id]]&amp;Ocupacao_DW[[#This Row],[local_id]]</f>
        <v>44650643042</v>
      </c>
      <c r="H1650" s="1">
        <f>_xlfn.XLOOKUP(Ocupacao_DW[[#This Row],[Concat]],Vagas!$H:$H,Vagas!$D:$D,"",0)</f>
        <v>0</v>
      </c>
    </row>
    <row r="1651" spans="1:8" x14ac:dyDescent="0.25">
      <c r="A1651" s="2">
        <v>44636</v>
      </c>
      <c r="B1651" s="1"/>
      <c r="C1651">
        <v>0</v>
      </c>
      <c r="D1651" s="1"/>
      <c r="E1651" s="1" t="s">
        <v>167</v>
      </c>
      <c r="F1651">
        <v>24</v>
      </c>
      <c r="G1651" s="1" t="str">
        <f>Ocupacao_DW[[#This Row],[data]]&amp;Ocupacao_DW[[#This Row],[profissional_id]]&amp;Ocupacao_DW[[#This Row],[local_id]]</f>
        <v>44636024</v>
      </c>
      <c r="H1651" s="1" t="str">
        <f>_xlfn.XLOOKUP(Ocupacao_DW[[#This Row],[Concat]],Vagas!$H:$H,Vagas!$D:$D,"",0)</f>
        <v/>
      </c>
    </row>
    <row r="1652" spans="1:8" x14ac:dyDescent="0.25">
      <c r="A1652" s="2">
        <v>44643</v>
      </c>
      <c r="B1652" s="1" t="s">
        <v>52</v>
      </c>
      <c r="C1652">
        <v>10691</v>
      </c>
      <c r="D1652" s="1" t="s">
        <v>181</v>
      </c>
      <c r="E1652" s="1" t="s">
        <v>6</v>
      </c>
      <c r="F1652">
        <v>9</v>
      </c>
      <c r="G1652" s="1" t="str">
        <f>Ocupacao_DW[[#This Row],[data]]&amp;Ocupacao_DW[[#This Row],[profissional_id]]&amp;Ocupacao_DW[[#This Row],[local_id]]</f>
        <v>44643106919</v>
      </c>
      <c r="H1652" s="1">
        <f>_xlfn.XLOOKUP(Ocupacao_DW[[#This Row],[Concat]],Vagas!$H:$H,Vagas!$D:$D,"",0)</f>
        <v>0</v>
      </c>
    </row>
    <row r="1653" spans="1:8" x14ac:dyDescent="0.25">
      <c r="A1653" s="2">
        <v>44648</v>
      </c>
      <c r="B1653" s="1" t="s">
        <v>55</v>
      </c>
      <c r="C1653">
        <v>2984</v>
      </c>
      <c r="D1653" s="1" t="s">
        <v>185</v>
      </c>
      <c r="E1653" s="1" t="s">
        <v>6</v>
      </c>
      <c r="F1653">
        <v>7</v>
      </c>
      <c r="G1653" s="1" t="str">
        <f>Ocupacao_DW[[#This Row],[data]]&amp;Ocupacao_DW[[#This Row],[profissional_id]]&amp;Ocupacao_DW[[#This Row],[local_id]]</f>
        <v>4464829847</v>
      </c>
      <c r="H1653" s="1">
        <f>_xlfn.XLOOKUP(Ocupacao_DW[[#This Row],[Concat]],Vagas!$H:$H,Vagas!$D:$D,"",0)</f>
        <v>0</v>
      </c>
    </row>
    <row r="1654" spans="1:8" x14ac:dyDescent="0.25">
      <c r="A1654" s="2">
        <v>44643</v>
      </c>
      <c r="B1654" s="1" t="s">
        <v>51</v>
      </c>
      <c r="C1654">
        <v>12679</v>
      </c>
      <c r="D1654" s="1" t="s">
        <v>192</v>
      </c>
      <c r="E1654" s="1" t="s">
        <v>5</v>
      </c>
      <c r="F1654">
        <v>11</v>
      </c>
      <c r="G1654" s="1" t="str">
        <f>Ocupacao_DW[[#This Row],[data]]&amp;Ocupacao_DW[[#This Row],[profissional_id]]&amp;Ocupacao_DW[[#This Row],[local_id]]</f>
        <v>446431267911</v>
      </c>
      <c r="H1654" s="1">
        <f>_xlfn.XLOOKUP(Ocupacao_DW[[#This Row],[Concat]],Vagas!$H:$H,Vagas!$D:$D,"",0)</f>
        <v>0</v>
      </c>
    </row>
    <row r="1655" spans="1:8" x14ac:dyDescent="0.25">
      <c r="A1655" s="2">
        <v>44637</v>
      </c>
      <c r="B1655" s="1" t="s">
        <v>59</v>
      </c>
      <c r="C1655">
        <v>10249</v>
      </c>
      <c r="D1655" s="1" t="s">
        <v>231</v>
      </c>
      <c r="E1655" s="1" t="s">
        <v>4</v>
      </c>
      <c r="F1655">
        <v>44</v>
      </c>
      <c r="G1655" s="1" t="str">
        <f>Ocupacao_DW[[#This Row],[data]]&amp;Ocupacao_DW[[#This Row],[profissional_id]]&amp;Ocupacao_DW[[#This Row],[local_id]]</f>
        <v>446371024944</v>
      </c>
      <c r="H1655" s="1">
        <f>_xlfn.XLOOKUP(Ocupacao_DW[[#This Row],[Concat]],Vagas!$H:$H,Vagas!$D:$D,"",0)</f>
        <v>0</v>
      </c>
    </row>
    <row r="1656" spans="1:8" x14ac:dyDescent="0.25">
      <c r="A1656" s="2">
        <v>44636</v>
      </c>
      <c r="B1656" s="1" t="s">
        <v>65</v>
      </c>
      <c r="C1656">
        <v>13058</v>
      </c>
      <c r="D1656" s="1" t="s">
        <v>256</v>
      </c>
      <c r="E1656" s="1" t="s">
        <v>4</v>
      </c>
      <c r="F1656">
        <v>47</v>
      </c>
      <c r="G1656" s="1" t="str">
        <f>Ocupacao_DW[[#This Row],[data]]&amp;Ocupacao_DW[[#This Row],[profissional_id]]&amp;Ocupacao_DW[[#This Row],[local_id]]</f>
        <v>446361305847</v>
      </c>
      <c r="H1656" s="1">
        <f>_xlfn.XLOOKUP(Ocupacao_DW[[#This Row],[Concat]],Vagas!$H:$H,Vagas!$D:$D,"",0)</f>
        <v>0</v>
      </c>
    </row>
    <row r="1657" spans="1:8" x14ac:dyDescent="0.25">
      <c r="A1657" s="2">
        <v>44636</v>
      </c>
      <c r="B1657" s="1"/>
      <c r="C1657">
        <v>0</v>
      </c>
      <c r="D1657" s="1"/>
      <c r="E1657" s="1" t="s">
        <v>4</v>
      </c>
      <c r="F1657">
        <v>334</v>
      </c>
      <c r="G1657" s="1" t="str">
        <f>Ocupacao_DW[[#This Row],[data]]&amp;Ocupacao_DW[[#This Row],[profissional_id]]&amp;Ocupacao_DW[[#This Row],[local_id]]</f>
        <v>446360334</v>
      </c>
      <c r="H1657" s="1" t="str">
        <f>_xlfn.XLOOKUP(Ocupacao_DW[[#This Row],[Concat]],Vagas!$H:$H,Vagas!$D:$D,"",0)</f>
        <v/>
      </c>
    </row>
    <row r="1658" spans="1:8" x14ac:dyDescent="0.25">
      <c r="A1658" s="2">
        <v>44651</v>
      </c>
      <c r="B1658" s="1" t="s">
        <v>70</v>
      </c>
      <c r="C1658">
        <v>12519</v>
      </c>
      <c r="D1658" s="1" t="s">
        <v>176</v>
      </c>
      <c r="E1658" s="1" t="s">
        <v>4</v>
      </c>
      <c r="F1658">
        <v>42</v>
      </c>
      <c r="G1658" s="1" t="str">
        <f>Ocupacao_DW[[#This Row],[data]]&amp;Ocupacao_DW[[#This Row],[profissional_id]]&amp;Ocupacao_DW[[#This Row],[local_id]]</f>
        <v>446511251942</v>
      </c>
      <c r="H1658" s="1">
        <f>_xlfn.XLOOKUP(Ocupacao_DW[[#This Row],[Concat]],Vagas!$H:$H,Vagas!$D:$D,"",0)</f>
        <v>0</v>
      </c>
    </row>
    <row r="1659" spans="1:8" x14ac:dyDescent="0.25">
      <c r="A1659" s="2">
        <v>44636</v>
      </c>
      <c r="B1659" s="1" t="s">
        <v>43</v>
      </c>
      <c r="C1659">
        <v>57</v>
      </c>
      <c r="D1659" s="1" t="s">
        <v>169</v>
      </c>
      <c r="E1659" s="1" t="s">
        <v>6</v>
      </c>
      <c r="F1659">
        <v>2</v>
      </c>
      <c r="G1659" s="1" t="str">
        <f>Ocupacao_DW[[#This Row],[data]]&amp;Ocupacao_DW[[#This Row],[profissional_id]]&amp;Ocupacao_DW[[#This Row],[local_id]]</f>
        <v>44636572</v>
      </c>
      <c r="H1659" s="1">
        <f>_xlfn.XLOOKUP(Ocupacao_DW[[#This Row],[Concat]],Vagas!$H:$H,Vagas!$D:$D,"",0)</f>
        <v>2</v>
      </c>
    </row>
    <row r="1660" spans="1:8" x14ac:dyDescent="0.25">
      <c r="A1660" s="2">
        <v>44656</v>
      </c>
      <c r="B1660" s="1" t="s">
        <v>55</v>
      </c>
      <c r="C1660">
        <v>73</v>
      </c>
      <c r="D1660" s="1" t="s">
        <v>171</v>
      </c>
      <c r="E1660" s="1" t="s">
        <v>6</v>
      </c>
      <c r="F1660">
        <v>5</v>
      </c>
      <c r="G1660" s="1" t="str">
        <f>Ocupacao_DW[[#This Row],[data]]&amp;Ocupacao_DW[[#This Row],[profissional_id]]&amp;Ocupacao_DW[[#This Row],[local_id]]</f>
        <v>44656735</v>
      </c>
      <c r="H1660" s="1">
        <f>_xlfn.XLOOKUP(Ocupacao_DW[[#This Row],[Concat]],Vagas!$H:$H,Vagas!$D:$D,"",0)</f>
        <v>0</v>
      </c>
    </row>
    <row r="1661" spans="1:8" x14ac:dyDescent="0.25">
      <c r="A1661" s="2">
        <v>44642</v>
      </c>
      <c r="B1661" s="1" t="s">
        <v>70</v>
      </c>
      <c r="C1661">
        <v>12825</v>
      </c>
      <c r="D1661" s="1" t="s">
        <v>177</v>
      </c>
      <c r="E1661" s="1" t="s">
        <v>7</v>
      </c>
      <c r="F1661">
        <v>63</v>
      </c>
      <c r="G1661" s="1" t="str">
        <f>Ocupacao_DW[[#This Row],[data]]&amp;Ocupacao_DW[[#This Row],[profissional_id]]&amp;Ocupacao_DW[[#This Row],[local_id]]</f>
        <v>446421282563</v>
      </c>
      <c r="H1661" s="1">
        <f>_xlfn.XLOOKUP(Ocupacao_DW[[#This Row],[Concat]],Vagas!$H:$H,Vagas!$D:$D,"",0)</f>
        <v>0</v>
      </c>
    </row>
    <row r="1662" spans="1:8" x14ac:dyDescent="0.25">
      <c r="A1662" s="2">
        <v>44642</v>
      </c>
      <c r="B1662" s="1" t="s">
        <v>67</v>
      </c>
      <c r="C1662">
        <v>7290</v>
      </c>
      <c r="D1662" s="1" t="s">
        <v>247</v>
      </c>
      <c r="E1662" s="1" t="s">
        <v>5</v>
      </c>
      <c r="F1662">
        <v>18</v>
      </c>
      <c r="G1662" s="1" t="str">
        <f>Ocupacao_DW[[#This Row],[data]]&amp;Ocupacao_DW[[#This Row],[profissional_id]]&amp;Ocupacao_DW[[#This Row],[local_id]]</f>
        <v>44642729018</v>
      </c>
      <c r="H1662" s="1">
        <f>_xlfn.XLOOKUP(Ocupacao_DW[[#This Row],[Concat]],Vagas!$H:$H,Vagas!$D:$D,"",0)</f>
        <v>0</v>
      </c>
    </row>
    <row r="1663" spans="1:8" x14ac:dyDescent="0.25">
      <c r="A1663" s="2">
        <v>44636</v>
      </c>
      <c r="B1663" s="1" t="s">
        <v>72</v>
      </c>
      <c r="C1663">
        <v>1794</v>
      </c>
      <c r="D1663" s="1" t="s">
        <v>235</v>
      </c>
      <c r="E1663" s="1" t="s">
        <v>4</v>
      </c>
      <c r="F1663">
        <v>49</v>
      </c>
      <c r="G1663" s="1" t="str">
        <f>Ocupacao_DW[[#This Row],[data]]&amp;Ocupacao_DW[[#This Row],[profissional_id]]&amp;Ocupacao_DW[[#This Row],[local_id]]</f>
        <v>44636179449</v>
      </c>
      <c r="H1663" s="1">
        <f>_xlfn.XLOOKUP(Ocupacao_DW[[#This Row],[Concat]],Vagas!$H:$H,Vagas!$D:$D,"",0)</f>
        <v>0</v>
      </c>
    </row>
    <row r="1664" spans="1:8" x14ac:dyDescent="0.25">
      <c r="A1664" s="2">
        <v>44646</v>
      </c>
      <c r="B1664" s="1" t="s">
        <v>52</v>
      </c>
      <c r="C1664">
        <v>60</v>
      </c>
      <c r="D1664" s="1" t="s">
        <v>217</v>
      </c>
      <c r="E1664" s="1" t="s">
        <v>6</v>
      </c>
      <c r="F1664">
        <v>8</v>
      </c>
      <c r="G1664" s="1" t="str">
        <f>Ocupacao_DW[[#This Row],[data]]&amp;Ocupacao_DW[[#This Row],[profissional_id]]&amp;Ocupacao_DW[[#This Row],[local_id]]</f>
        <v>44646608</v>
      </c>
      <c r="H1664" s="1" t="str">
        <f>_xlfn.XLOOKUP(Ocupacao_DW[[#This Row],[Concat]],Vagas!$H:$H,Vagas!$D:$D,"",0)</f>
        <v/>
      </c>
    </row>
    <row r="1665" spans="1:8" x14ac:dyDescent="0.25">
      <c r="A1665" s="2">
        <v>44635</v>
      </c>
      <c r="B1665" s="1" t="s">
        <v>53</v>
      </c>
      <c r="C1665">
        <v>9138</v>
      </c>
      <c r="D1665" s="1" t="s">
        <v>184</v>
      </c>
      <c r="E1665" s="1" t="s">
        <v>167</v>
      </c>
      <c r="F1665">
        <v>344</v>
      </c>
      <c r="G1665" s="1" t="str">
        <f>Ocupacao_DW[[#This Row],[data]]&amp;Ocupacao_DW[[#This Row],[profissional_id]]&amp;Ocupacao_DW[[#This Row],[local_id]]</f>
        <v>446359138344</v>
      </c>
      <c r="H1665" s="1">
        <f>_xlfn.XLOOKUP(Ocupacao_DW[[#This Row],[Concat]],Vagas!$H:$H,Vagas!$D:$D,"",0)</f>
        <v>0</v>
      </c>
    </row>
    <row r="1666" spans="1:8" x14ac:dyDescent="0.25">
      <c r="A1666" s="2">
        <v>44638</v>
      </c>
      <c r="B1666" s="1" t="s">
        <v>47</v>
      </c>
      <c r="C1666">
        <v>13371</v>
      </c>
      <c r="D1666" s="1" t="s">
        <v>205</v>
      </c>
      <c r="E1666" s="1" t="s">
        <v>4</v>
      </c>
      <c r="F1666">
        <v>336</v>
      </c>
      <c r="G1666" s="1" t="str">
        <f>Ocupacao_DW[[#This Row],[data]]&amp;Ocupacao_DW[[#This Row],[profissional_id]]&amp;Ocupacao_DW[[#This Row],[local_id]]</f>
        <v>4463813371336</v>
      </c>
      <c r="H1666" s="1" t="str">
        <f>_xlfn.XLOOKUP(Ocupacao_DW[[#This Row],[Concat]],Vagas!$H:$H,Vagas!$D:$D,"",0)</f>
        <v/>
      </c>
    </row>
    <row r="1667" spans="1:8" x14ac:dyDescent="0.25">
      <c r="A1667" s="2">
        <v>44641</v>
      </c>
      <c r="B1667" s="1" t="s">
        <v>72</v>
      </c>
      <c r="C1667">
        <v>6046</v>
      </c>
      <c r="D1667" s="1" t="s">
        <v>222</v>
      </c>
      <c r="E1667" s="1" t="s">
        <v>7</v>
      </c>
      <c r="F1667">
        <v>62</v>
      </c>
      <c r="G1667" s="1" t="str">
        <f>Ocupacao_DW[[#This Row],[data]]&amp;Ocupacao_DW[[#This Row],[profissional_id]]&amp;Ocupacao_DW[[#This Row],[local_id]]</f>
        <v>44641604662</v>
      </c>
      <c r="H1667" s="1">
        <f>_xlfn.XLOOKUP(Ocupacao_DW[[#This Row],[Concat]],Vagas!$H:$H,Vagas!$D:$D,"",0)</f>
        <v>0</v>
      </c>
    </row>
    <row r="1668" spans="1:8" x14ac:dyDescent="0.25">
      <c r="A1668" s="2">
        <v>44645</v>
      </c>
      <c r="B1668" s="1" t="s">
        <v>64</v>
      </c>
      <c r="C1668">
        <v>531</v>
      </c>
      <c r="D1668" s="1" t="s">
        <v>213</v>
      </c>
      <c r="E1668" s="1" t="s">
        <v>200</v>
      </c>
      <c r="F1668">
        <v>78</v>
      </c>
      <c r="G1668" s="1" t="str">
        <f>Ocupacao_DW[[#This Row],[data]]&amp;Ocupacao_DW[[#This Row],[profissional_id]]&amp;Ocupacao_DW[[#This Row],[local_id]]</f>
        <v>4464553178</v>
      </c>
      <c r="H1668" s="1">
        <f>_xlfn.XLOOKUP(Ocupacao_DW[[#This Row],[Concat]],Vagas!$H:$H,Vagas!$D:$D,"",0)</f>
        <v>0</v>
      </c>
    </row>
    <row r="1669" spans="1:8" x14ac:dyDescent="0.25">
      <c r="A1669" s="2">
        <v>44635</v>
      </c>
      <c r="B1669" s="1" t="s">
        <v>70</v>
      </c>
      <c r="C1669">
        <v>12825</v>
      </c>
      <c r="D1669" s="1" t="s">
        <v>177</v>
      </c>
      <c r="E1669" s="1" t="s">
        <v>7</v>
      </c>
      <c r="F1669">
        <v>63</v>
      </c>
      <c r="G1669" s="1" t="str">
        <f>Ocupacao_DW[[#This Row],[data]]&amp;Ocupacao_DW[[#This Row],[profissional_id]]&amp;Ocupacao_DW[[#This Row],[local_id]]</f>
        <v>446351282563</v>
      </c>
      <c r="H1669" s="1">
        <f>_xlfn.XLOOKUP(Ocupacao_DW[[#This Row],[Concat]],Vagas!$H:$H,Vagas!$D:$D,"",0)</f>
        <v>0</v>
      </c>
    </row>
    <row r="1670" spans="1:8" x14ac:dyDescent="0.25">
      <c r="A1670" s="2">
        <v>44643</v>
      </c>
      <c r="B1670" s="1" t="s">
        <v>52</v>
      </c>
      <c r="C1670">
        <v>10691</v>
      </c>
      <c r="D1670" s="1" t="s">
        <v>181</v>
      </c>
      <c r="E1670" s="1" t="s">
        <v>6</v>
      </c>
      <c r="F1670">
        <v>9</v>
      </c>
      <c r="G1670" s="1" t="str">
        <f>Ocupacao_DW[[#This Row],[data]]&amp;Ocupacao_DW[[#This Row],[profissional_id]]&amp;Ocupacao_DW[[#This Row],[local_id]]</f>
        <v>44643106919</v>
      </c>
      <c r="H1670" s="1">
        <f>_xlfn.XLOOKUP(Ocupacao_DW[[#This Row],[Concat]],Vagas!$H:$H,Vagas!$D:$D,"",0)</f>
        <v>0</v>
      </c>
    </row>
    <row r="1671" spans="1:8" x14ac:dyDescent="0.25">
      <c r="A1671" s="2">
        <v>44637</v>
      </c>
      <c r="B1671" s="1" t="s">
        <v>66</v>
      </c>
      <c r="C1671">
        <v>100</v>
      </c>
      <c r="D1671" s="1" t="s">
        <v>166</v>
      </c>
      <c r="E1671" s="1" t="s">
        <v>167</v>
      </c>
      <c r="F1671">
        <v>342</v>
      </c>
      <c r="G1671" s="1" t="str">
        <f>Ocupacao_DW[[#This Row],[data]]&amp;Ocupacao_DW[[#This Row],[profissional_id]]&amp;Ocupacao_DW[[#This Row],[local_id]]</f>
        <v>44637100342</v>
      </c>
      <c r="H1671" s="1">
        <f>_xlfn.XLOOKUP(Ocupacao_DW[[#This Row],[Concat]],Vagas!$H:$H,Vagas!$D:$D,"",0)</f>
        <v>0</v>
      </c>
    </row>
    <row r="1672" spans="1:8" x14ac:dyDescent="0.25">
      <c r="A1672" s="2">
        <v>44646</v>
      </c>
      <c r="B1672" s="1" t="s">
        <v>64</v>
      </c>
      <c r="C1672">
        <v>531</v>
      </c>
      <c r="D1672" s="1" t="s">
        <v>213</v>
      </c>
      <c r="E1672" s="1" t="s">
        <v>5</v>
      </c>
      <c r="F1672">
        <v>12</v>
      </c>
      <c r="G1672" s="1" t="str">
        <f>Ocupacao_DW[[#This Row],[data]]&amp;Ocupacao_DW[[#This Row],[profissional_id]]&amp;Ocupacao_DW[[#This Row],[local_id]]</f>
        <v>4464653112</v>
      </c>
      <c r="H1672" s="1">
        <f>_xlfn.XLOOKUP(Ocupacao_DW[[#This Row],[Concat]],Vagas!$H:$H,Vagas!$D:$D,"",0)</f>
        <v>0</v>
      </c>
    </row>
    <row r="1673" spans="1:8" x14ac:dyDescent="0.25">
      <c r="A1673" s="2">
        <v>44638</v>
      </c>
      <c r="B1673" s="1" t="s">
        <v>64</v>
      </c>
      <c r="C1673">
        <v>86</v>
      </c>
      <c r="D1673" s="1" t="s">
        <v>175</v>
      </c>
      <c r="E1673" s="1" t="s">
        <v>5</v>
      </c>
      <c r="F1673">
        <v>349</v>
      </c>
      <c r="G1673" s="1" t="str">
        <f>Ocupacao_DW[[#This Row],[data]]&amp;Ocupacao_DW[[#This Row],[profissional_id]]&amp;Ocupacao_DW[[#This Row],[local_id]]</f>
        <v>4463886349</v>
      </c>
      <c r="H1673" s="1">
        <f>_xlfn.XLOOKUP(Ocupacao_DW[[#This Row],[Concat]],Vagas!$H:$H,Vagas!$D:$D,"",0)</f>
        <v>0</v>
      </c>
    </row>
    <row r="1674" spans="1:8" x14ac:dyDescent="0.25">
      <c r="A1674" s="2">
        <v>44648</v>
      </c>
      <c r="B1674" s="1" t="s">
        <v>60</v>
      </c>
      <c r="C1674">
        <v>117</v>
      </c>
      <c r="D1674" s="1" t="s">
        <v>180</v>
      </c>
      <c r="E1674" s="1" t="s">
        <v>4</v>
      </c>
      <c r="F1674">
        <v>48</v>
      </c>
      <c r="G1674" s="1" t="str">
        <f>Ocupacao_DW[[#This Row],[data]]&amp;Ocupacao_DW[[#This Row],[profissional_id]]&amp;Ocupacao_DW[[#This Row],[local_id]]</f>
        <v>4464811748</v>
      </c>
      <c r="H1674" s="1">
        <f>_xlfn.XLOOKUP(Ocupacao_DW[[#This Row],[Concat]],Vagas!$H:$H,Vagas!$D:$D,"",0)</f>
        <v>0</v>
      </c>
    </row>
    <row r="1675" spans="1:8" x14ac:dyDescent="0.25">
      <c r="A1675" s="2">
        <v>44636</v>
      </c>
      <c r="B1675" s="1" t="s">
        <v>40</v>
      </c>
      <c r="C1675">
        <v>54</v>
      </c>
      <c r="D1675" s="1" t="s">
        <v>216</v>
      </c>
      <c r="E1675" s="1" t="s">
        <v>4</v>
      </c>
      <c r="F1675">
        <v>50</v>
      </c>
      <c r="G1675" s="1" t="str">
        <f>Ocupacao_DW[[#This Row],[data]]&amp;Ocupacao_DW[[#This Row],[profissional_id]]&amp;Ocupacao_DW[[#This Row],[local_id]]</f>
        <v>446365450</v>
      </c>
      <c r="H1675" s="1">
        <f>_xlfn.XLOOKUP(Ocupacao_DW[[#This Row],[Concat]],Vagas!$H:$H,Vagas!$D:$D,"",0)</f>
        <v>8</v>
      </c>
    </row>
    <row r="1676" spans="1:8" x14ac:dyDescent="0.25">
      <c r="A1676" s="2">
        <v>44643</v>
      </c>
      <c r="B1676" s="1" t="s">
        <v>24</v>
      </c>
      <c r="C1676">
        <v>13061</v>
      </c>
      <c r="D1676" s="1" t="s">
        <v>232</v>
      </c>
      <c r="E1676" s="1" t="s">
        <v>6</v>
      </c>
      <c r="F1676">
        <v>3</v>
      </c>
      <c r="G1676" s="1" t="str">
        <f>Ocupacao_DW[[#This Row],[data]]&amp;Ocupacao_DW[[#This Row],[profissional_id]]&amp;Ocupacao_DW[[#This Row],[local_id]]</f>
        <v>44643130613</v>
      </c>
      <c r="H1676" s="1">
        <f>_xlfn.XLOOKUP(Ocupacao_DW[[#This Row],[Concat]],Vagas!$H:$H,Vagas!$D:$D,"",0)</f>
        <v>0</v>
      </c>
    </row>
    <row r="1677" spans="1:8" x14ac:dyDescent="0.25">
      <c r="A1677" s="2">
        <v>44649</v>
      </c>
      <c r="B1677" s="1" t="s">
        <v>52</v>
      </c>
      <c r="C1677">
        <v>60</v>
      </c>
      <c r="D1677" s="1" t="s">
        <v>217</v>
      </c>
      <c r="E1677" s="1" t="s">
        <v>167</v>
      </c>
      <c r="F1677">
        <v>345</v>
      </c>
      <c r="G1677" s="1" t="str">
        <f>Ocupacao_DW[[#This Row],[data]]&amp;Ocupacao_DW[[#This Row],[profissional_id]]&amp;Ocupacao_DW[[#This Row],[local_id]]</f>
        <v>4464960345</v>
      </c>
      <c r="H1677" s="1">
        <f>_xlfn.XLOOKUP(Ocupacao_DW[[#This Row],[Concat]],Vagas!$H:$H,Vagas!$D:$D,"",0)</f>
        <v>0</v>
      </c>
    </row>
    <row r="1678" spans="1:8" x14ac:dyDescent="0.25">
      <c r="A1678" s="2">
        <v>44635</v>
      </c>
      <c r="B1678" s="1" t="s">
        <v>51</v>
      </c>
      <c r="C1678">
        <v>12582</v>
      </c>
      <c r="D1678" s="1" t="s">
        <v>190</v>
      </c>
      <c r="E1678" s="1" t="s">
        <v>7</v>
      </c>
      <c r="F1678">
        <v>62</v>
      </c>
      <c r="G1678" s="1" t="str">
        <f>Ocupacao_DW[[#This Row],[data]]&amp;Ocupacao_DW[[#This Row],[profissional_id]]&amp;Ocupacao_DW[[#This Row],[local_id]]</f>
        <v>446351258262</v>
      </c>
      <c r="H1678" s="1">
        <f>_xlfn.XLOOKUP(Ocupacao_DW[[#This Row],[Concat]],Vagas!$H:$H,Vagas!$D:$D,"",0)</f>
        <v>0</v>
      </c>
    </row>
    <row r="1679" spans="1:8" x14ac:dyDescent="0.25">
      <c r="A1679" s="2">
        <v>44643</v>
      </c>
      <c r="B1679" s="1" t="s">
        <v>60</v>
      </c>
      <c r="C1679">
        <v>14326</v>
      </c>
      <c r="D1679" s="1" t="s">
        <v>220</v>
      </c>
      <c r="E1679" s="1" t="s">
        <v>4</v>
      </c>
      <c r="F1679">
        <v>43</v>
      </c>
      <c r="G1679" s="1" t="str">
        <f>Ocupacao_DW[[#This Row],[data]]&amp;Ocupacao_DW[[#This Row],[profissional_id]]&amp;Ocupacao_DW[[#This Row],[local_id]]</f>
        <v>446431432643</v>
      </c>
      <c r="H1679" s="1">
        <f>_xlfn.XLOOKUP(Ocupacao_DW[[#This Row],[Concat]],Vagas!$H:$H,Vagas!$D:$D,"",0)</f>
        <v>0</v>
      </c>
    </row>
    <row r="1680" spans="1:8" x14ac:dyDescent="0.25">
      <c r="A1680" s="2">
        <v>44635</v>
      </c>
      <c r="B1680" s="1" t="s">
        <v>66</v>
      </c>
      <c r="C1680">
        <v>100</v>
      </c>
      <c r="D1680" s="1" t="s">
        <v>166</v>
      </c>
      <c r="E1680" s="1" t="s">
        <v>167</v>
      </c>
      <c r="F1680">
        <v>342</v>
      </c>
      <c r="G1680" s="1" t="str">
        <f>Ocupacao_DW[[#This Row],[data]]&amp;Ocupacao_DW[[#This Row],[profissional_id]]&amp;Ocupacao_DW[[#This Row],[local_id]]</f>
        <v>44635100342</v>
      </c>
      <c r="H1680" s="1">
        <f>_xlfn.XLOOKUP(Ocupacao_DW[[#This Row],[Concat]],Vagas!$H:$H,Vagas!$D:$D,"",0)</f>
        <v>0</v>
      </c>
    </row>
    <row r="1681" spans="1:8" x14ac:dyDescent="0.25">
      <c r="A1681" s="2">
        <v>44637</v>
      </c>
      <c r="B1681" s="1" t="s">
        <v>64</v>
      </c>
      <c r="C1681">
        <v>85</v>
      </c>
      <c r="D1681" s="1" t="s">
        <v>211</v>
      </c>
      <c r="E1681" s="1" t="s">
        <v>5</v>
      </c>
      <c r="F1681">
        <v>349</v>
      </c>
      <c r="G1681" s="1" t="str">
        <f>Ocupacao_DW[[#This Row],[data]]&amp;Ocupacao_DW[[#This Row],[profissional_id]]&amp;Ocupacao_DW[[#This Row],[local_id]]</f>
        <v>4463785349</v>
      </c>
      <c r="H1681" s="1">
        <f>_xlfn.XLOOKUP(Ocupacao_DW[[#This Row],[Concat]],Vagas!$H:$H,Vagas!$D:$D,"",0)</f>
        <v>0</v>
      </c>
    </row>
    <row r="1682" spans="1:8" x14ac:dyDescent="0.25">
      <c r="A1682" s="2">
        <v>44637</v>
      </c>
      <c r="B1682" s="1" t="s">
        <v>47</v>
      </c>
      <c r="C1682">
        <v>9111</v>
      </c>
      <c r="D1682" s="1" t="s">
        <v>206</v>
      </c>
      <c r="E1682" s="1" t="s">
        <v>4</v>
      </c>
      <c r="F1682">
        <v>334</v>
      </c>
      <c r="G1682" s="1" t="str">
        <f>Ocupacao_DW[[#This Row],[data]]&amp;Ocupacao_DW[[#This Row],[profissional_id]]&amp;Ocupacao_DW[[#This Row],[local_id]]</f>
        <v>446379111334</v>
      </c>
      <c r="H1682" s="1">
        <f>_xlfn.XLOOKUP(Ocupacao_DW[[#This Row],[Concat]],Vagas!$H:$H,Vagas!$D:$D,"",0)</f>
        <v>0</v>
      </c>
    </row>
    <row r="1683" spans="1:8" x14ac:dyDescent="0.25">
      <c r="A1683" s="2">
        <v>44650</v>
      </c>
      <c r="B1683" s="1" t="s">
        <v>57</v>
      </c>
      <c r="C1683">
        <v>80</v>
      </c>
      <c r="D1683" s="1" t="s">
        <v>179</v>
      </c>
      <c r="E1683" s="1" t="s">
        <v>167</v>
      </c>
      <c r="F1683">
        <v>346</v>
      </c>
      <c r="G1683" s="1" t="str">
        <f>Ocupacao_DW[[#This Row],[data]]&amp;Ocupacao_DW[[#This Row],[profissional_id]]&amp;Ocupacao_DW[[#This Row],[local_id]]</f>
        <v>4465080346</v>
      </c>
      <c r="H1683" s="1">
        <f>_xlfn.XLOOKUP(Ocupacao_DW[[#This Row],[Concat]],Vagas!$H:$H,Vagas!$D:$D,"",0)</f>
        <v>0</v>
      </c>
    </row>
    <row r="1684" spans="1:8" x14ac:dyDescent="0.25">
      <c r="A1684" s="2">
        <v>44657</v>
      </c>
      <c r="B1684" s="1" t="s">
        <v>55</v>
      </c>
      <c r="C1684">
        <v>74</v>
      </c>
      <c r="D1684" s="1" t="s">
        <v>182</v>
      </c>
      <c r="E1684" s="1" t="s">
        <v>6</v>
      </c>
      <c r="F1684">
        <v>7</v>
      </c>
      <c r="G1684" s="1" t="str">
        <f>Ocupacao_DW[[#This Row],[data]]&amp;Ocupacao_DW[[#This Row],[profissional_id]]&amp;Ocupacao_DW[[#This Row],[local_id]]</f>
        <v>44657747</v>
      </c>
      <c r="H1684" s="1">
        <f>_xlfn.XLOOKUP(Ocupacao_DW[[#This Row],[Concat]],Vagas!$H:$H,Vagas!$D:$D,"",0)</f>
        <v>0</v>
      </c>
    </row>
    <row r="1685" spans="1:8" x14ac:dyDescent="0.25">
      <c r="A1685" s="2">
        <v>44636</v>
      </c>
      <c r="B1685" s="1" t="s">
        <v>54</v>
      </c>
      <c r="C1685">
        <v>70</v>
      </c>
      <c r="D1685" s="1" t="s">
        <v>187</v>
      </c>
      <c r="E1685" s="1" t="s">
        <v>5</v>
      </c>
      <c r="F1685">
        <v>13</v>
      </c>
      <c r="G1685" s="1" t="str">
        <f>Ocupacao_DW[[#This Row],[data]]&amp;Ocupacao_DW[[#This Row],[profissional_id]]&amp;Ocupacao_DW[[#This Row],[local_id]]</f>
        <v>446367013</v>
      </c>
      <c r="H1685" s="1">
        <f>_xlfn.XLOOKUP(Ocupacao_DW[[#This Row],[Concat]],Vagas!$H:$H,Vagas!$D:$D,"",0)</f>
        <v>0</v>
      </c>
    </row>
    <row r="1686" spans="1:8" x14ac:dyDescent="0.25">
      <c r="A1686" s="2">
        <v>44637</v>
      </c>
      <c r="B1686" s="1" t="s">
        <v>67</v>
      </c>
      <c r="C1686">
        <v>10717</v>
      </c>
      <c r="D1686" s="1" t="s">
        <v>245</v>
      </c>
      <c r="E1686" s="1" t="s">
        <v>200</v>
      </c>
      <c r="F1686">
        <v>78</v>
      </c>
      <c r="G1686" s="1" t="str">
        <f>Ocupacao_DW[[#This Row],[data]]&amp;Ocupacao_DW[[#This Row],[profissional_id]]&amp;Ocupacao_DW[[#This Row],[local_id]]</f>
        <v>446371071778</v>
      </c>
      <c r="H1686" s="1">
        <f>_xlfn.XLOOKUP(Ocupacao_DW[[#This Row],[Concat]],Vagas!$H:$H,Vagas!$D:$D,"",0)</f>
        <v>0</v>
      </c>
    </row>
    <row r="1687" spans="1:8" x14ac:dyDescent="0.25">
      <c r="A1687" s="2">
        <v>44635</v>
      </c>
      <c r="B1687" s="1" t="s">
        <v>66</v>
      </c>
      <c r="C1687">
        <v>100</v>
      </c>
      <c r="D1687" s="1" t="s">
        <v>166</v>
      </c>
      <c r="E1687" s="1" t="s">
        <v>167</v>
      </c>
      <c r="F1687">
        <v>342</v>
      </c>
      <c r="G1687" s="1" t="str">
        <f>Ocupacao_DW[[#This Row],[data]]&amp;Ocupacao_DW[[#This Row],[profissional_id]]&amp;Ocupacao_DW[[#This Row],[local_id]]</f>
        <v>44635100342</v>
      </c>
      <c r="H1687" s="1">
        <f>_xlfn.XLOOKUP(Ocupacao_DW[[#This Row],[Concat]],Vagas!$H:$H,Vagas!$D:$D,"",0)</f>
        <v>0</v>
      </c>
    </row>
    <row r="1688" spans="1:8" x14ac:dyDescent="0.25">
      <c r="A1688" s="2">
        <v>44642</v>
      </c>
      <c r="B1688" s="1" t="s">
        <v>68</v>
      </c>
      <c r="C1688">
        <v>8239</v>
      </c>
      <c r="D1688" s="1" t="s">
        <v>257</v>
      </c>
      <c r="E1688" s="1" t="s">
        <v>5</v>
      </c>
      <c r="F1688">
        <v>14</v>
      </c>
      <c r="G1688" s="1" t="str">
        <f>Ocupacao_DW[[#This Row],[data]]&amp;Ocupacao_DW[[#This Row],[profissional_id]]&amp;Ocupacao_DW[[#This Row],[local_id]]</f>
        <v>44642823914</v>
      </c>
      <c r="H1688" s="1">
        <f>_xlfn.XLOOKUP(Ocupacao_DW[[#This Row],[Concat]],Vagas!$H:$H,Vagas!$D:$D,"",0)</f>
        <v>0</v>
      </c>
    </row>
    <row r="1689" spans="1:8" x14ac:dyDescent="0.25">
      <c r="A1689" s="2">
        <v>44636</v>
      </c>
      <c r="B1689" s="1" t="s">
        <v>47</v>
      </c>
      <c r="C1689">
        <v>110</v>
      </c>
      <c r="D1689" s="1" t="s">
        <v>193</v>
      </c>
      <c r="E1689" s="1" t="s">
        <v>4</v>
      </c>
      <c r="F1689">
        <v>334</v>
      </c>
      <c r="G1689" s="1" t="str">
        <f>Ocupacao_DW[[#This Row],[data]]&amp;Ocupacao_DW[[#This Row],[profissional_id]]&amp;Ocupacao_DW[[#This Row],[local_id]]</f>
        <v>44636110334</v>
      </c>
      <c r="H1689" s="1">
        <f>_xlfn.XLOOKUP(Ocupacao_DW[[#This Row],[Concat]],Vagas!$H:$H,Vagas!$D:$D,"",0)</f>
        <v>0</v>
      </c>
    </row>
    <row r="1690" spans="1:8" x14ac:dyDescent="0.25">
      <c r="A1690" s="2">
        <v>44637</v>
      </c>
      <c r="B1690" s="1" t="s">
        <v>49</v>
      </c>
      <c r="C1690">
        <v>81</v>
      </c>
      <c r="D1690" s="1" t="s">
        <v>170</v>
      </c>
      <c r="E1690" s="1" t="s">
        <v>4</v>
      </c>
      <c r="F1690">
        <v>41</v>
      </c>
      <c r="G1690" s="1" t="str">
        <f>Ocupacao_DW[[#This Row],[data]]&amp;Ocupacao_DW[[#This Row],[profissional_id]]&amp;Ocupacao_DW[[#This Row],[local_id]]</f>
        <v>446378141</v>
      </c>
      <c r="H1690" s="1">
        <f>_xlfn.XLOOKUP(Ocupacao_DW[[#This Row],[Concat]],Vagas!$H:$H,Vagas!$D:$D,"",0)</f>
        <v>0</v>
      </c>
    </row>
    <row r="1691" spans="1:8" x14ac:dyDescent="0.25">
      <c r="A1691" s="2">
        <v>44637</v>
      </c>
      <c r="B1691" s="1" t="s">
        <v>49</v>
      </c>
      <c r="C1691">
        <v>81</v>
      </c>
      <c r="D1691" s="1" t="s">
        <v>170</v>
      </c>
      <c r="E1691" s="1" t="s">
        <v>4</v>
      </c>
      <c r="F1691">
        <v>41</v>
      </c>
      <c r="G1691" s="1" t="str">
        <f>Ocupacao_DW[[#This Row],[data]]&amp;Ocupacao_DW[[#This Row],[profissional_id]]&amp;Ocupacao_DW[[#This Row],[local_id]]</f>
        <v>446378141</v>
      </c>
      <c r="H1691" s="1">
        <f>_xlfn.XLOOKUP(Ocupacao_DW[[#This Row],[Concat]],Vagas!$H:$H,Vagas!$D:$D,"",0)</f>
        <v>0</v>
      </c>
    </row>
    <row r="1692" spans="1:8" x14ac:dyDescent="0.25">
      <c r="A1692" s="2">
        <v>44648</v>
      </c>
      <c r="B1692" s="1" t="s">
        <v>60</v>
      </c>
      <c r="C1692">
        <v>117</v>
      </c>
      <c r="D1692" s="1" t="s">
        <v>180</v>
      </c>
      <c r="E1692" s="1" t="s">
        <v>4</v>
      </c>
      <c r="F1692">
        <v>48</v>
      </c>
      <c r="G1692" s="1" t="str">
        <f>Ocupacao_DW[[#This Row],[data]]&amp;Ocupacao_DW[[#This Row],[profissional_id]]&amp;Ocupacao_DW[[#This Row],[local_id]]</f>
        <v>4464811748</v>
      </c>
      <c r="H1692" s="1">
        <f>_xlfn.XLOOKUP(Ocupacao_DW[[#This Row],[Concat]],Vagas!$H:$H,Vagas!$D:$D,"",0)</f>
        <v>0</v>
      </c>
    </row>
    <row r="1693" spans="1:8" x14ac:dyDescent="0.25">
      <c r="A1693" s="2">
        <v>44637</v>
      </c>
      <c r="B1693" s="1" t="s">
        <v>49</v>
      </c>
      <c r="C1693">
        <v>81</v>
      </c>
      <c r="D1693" s="1" t="s">
        <v>170</v>
      </c>
      <c r="E1693" s="1" t="s">
        <v>4</v>
      </c>
      <c r="F1693">
        <v>41</v>
      </c>
      <c r="G1693" s="1" t="str">
        <f>Ocupacao_DW[[#This Row],[data]]&amp;Ocupacao_DW[[#This Row],[profissional_id]]&amp;Ocupacao_DW[[#This Row],[local_id]]</f>
        <v>446378141</v>
      </c>
      <c r="H1693" s="1">
        <f>_xlfn.XLOOKUP(Ocupacao_DW[[#This Row],[Concat]],Vagas!$H:$H,Vagas!$D:$D,"",0)</f>
        <v>0</v>
      </c>
    </row>
    <row r="1694" spans="1:8" x14ac:dyDescent="0.25">
      <c r="A1694" s="2">
        <v>44637</v>
      </c>
      <c r="B1694" s="1" t="s">
        <v>49</v>
      </c>
      <c r="C1694">
        <v>81</v>
      </c>
      <c r="D1694" s="1" t="s">
        <v>170</v>
      </c>
      <c r="E1694" s="1" t="s">
        <v>4</v>
      </c>
      <c r="F1694">
        <v>41</v>
      </c>
      <c r="G1694" s="1" t="str">
        <f>Ocupacao_DW[[#This Row],[data]]&amp;Ocupacao_DW[[#This Row],[profissional_id]]&amp;Ocupacao_DW[[#This Row],[local_id]]</f>
        <v>446378141</v>
      </c>
      <c r="H1694" s="1">
        <f>_xlfn.XLOOKUP(Ocupacao_DW[[#This Row],[Concat]],Vagas!$H:$H,Vagas!$D:$D,"",0)</f>
        <v>0</v>
      </c>
    </row>
    <row r="1695" spans="1:8" x14ac:dyDescent="0.25">
      <c r="A1695" s="2">
        <v>44642</v>
      </c>
      <c r="B1695" s="1" t="s">
        <v>54</v>
      </c>
      <c r="C1695">
        <v>69</v>
      </c>
      <c r="D1695" s="1" t="s">
        <v>238</v>
      </c>
      <c r="E1695" s="1" t="s">
        <v>5</v>
      </c>
      <c r="F1695">
        <v>13</v>
      </c>
      <c r="G1695" s="1" t="str">
        <f>Ocupacao_DW[[#This Row],[data]]&amp;Ocupacao_DW[[#This Row],[profissional_id]]&amp;Ocupacao_DW[[#This Row],[local_id]]</f>
        <v>446426913</v>
      </c>
      <c r="H1695" s="1">
        <f>_xlfn.XLOOKUP(Ocupacao_DW[[#This Row],[Concat]],Vagas!$H:$H,Vagas!$D:$D,"",0)</f>
        <v>0</v>
      </c>
    </row>
    <row r="1696" spans="1:8" x14ac:dyDescent="0.25">
      <c r="A1696" s="2">
        <v>44641</v>
      </c>
      <c r="B1696" s="1" t="s">
        <v>52</v>
      </c>
      <c r="C1696">
        <v>10595</v>
      </c>
      <c r="D1696" s="1" t="s">
        <v>218</v>
      </c>
      <c r="E1696" s="1" t="s">
        <v>200</v>
      </c>
      <c r="F1696">
        <v>78</v>
      </c>
      <c r="G1696" s="1" t="str">
        <f>Ocupacao_DW[[#This Row],[data]]&amp;Ocupacao_DW[[#This Row],[profissional_id]]&amp;Ocupacao_DW[[#This Row],[local_id]]</f>
        <v>446411059578</v>
      </c>
      <c r="H1696" s="1">
        <f>_xlfn.XLOOKUP(Ocupacao_DW[[#This Row],[Concat]],Vagas!$H:$H,Vagas!$D:$D,"",0)</f>
        <v>0</v>
      </c>
    </row>
    <row r="1697" spans="1:8" x14ac:dyDescent="0.25">
      <c r="A1697" s="2">
        <v>44636</v>
      </c>
      <c r="B1697" s="1" t="s">
        <v>65</v>
      </c>
      <c r="C1697">
        <v>13058</v>
      </c>
      <c r="D1697" s="1" t="s">
        <v>256</v>
      </c>
      <c r="E1697" s="1" t="s">
        <v>4</v>
      </c>
      <c r="F1697">
        <v>47</v>
      </c>
      <c r="G1697" s="1" t="str">
        <f>Ocupacao_DW[[#This Row],[data]]&amp;Ocupacao_DW[[#This Row],[profissional_id]]&amp;Ocupacao_DW[[#This Row],[local_id]]</f>
        <v>446361305847</v>
      </c>
      <c r="H1697" s="1">
        <f>_xlfn.XLOOKUP(Ocupacao_DW[[#This Row],[Concat]],Vagas!$H:$H,Vagas!$D:$D,"",0)</f>
        <v>0</v>
      </c>
    </row>
    <row r="1698" spans="1:8" x14ac:dyDescent="0.25">
      <c r="A1698" s="2">
        <v>44639</v>
      </c>
      <c r="B1698" s="1" t="s">
        <v>52</v>
      </c>
      <c r="C1698">
        <v>60</v>
      </c>
      <c r="D1698" s="1" t="s">
        <v>217</v>
      </c>
      <c r="E1698" s="1" t="s">
        <v>6</v>
      </c>
      <c r="F1698">
        <v>8</v>
      </c>
      <c r="G1698" s="1" t="str">
        <f>Ocupacao_DW[[#This Row],[data]]&amp;Ocupacao_DW[[#This Row],[profissional_id]]&amp;Ocupacao_DW[[#This Row],[local_id]]</f>
        <v>44639608</v>
      </c>
      <c r="H1698" s="1">
        <f>_xlfn.XLOOKUP(Ocupacao_DW[[#This Row],[Concat]],Vagas!$H:$H,Vagas!$D:$D,"",0)</f>
        <v>0</v>
      </c>
    </row>
    <row r="1699" spans="1:8" x14ac:dyDescent="0.25">
      <c r="A1699" s="2">
        <v>44641</v>
      </c>
      <c r="B1699" s="1" t="s">
        <v>49</v>
      </c>
      <c r="C1699">
        <v>81</v>
      </c>
      <c r="D1699" s="1" t="s">
        <v>170</v>
      </c>
      <c r="E1699" s="1" t="s">
        <v>4</v>
      </c>
      <c r="F1699">
        <v>41</v>
      </c>
      <c r="G1699" s="1" t="str">
        <f>Ocupacao_DW[[#This Row],[data]]&amp;Ocupacao_DW[[#This Row],[profissional_id]]&amp;Ocupacao_DW[[#This Row],[local_id]]</f>
        <v>446418141</v>
      </c>
      <c r="H1699" s="1">
        <f>_xlfn.XLOOKUP(Ocupacao_DW[[#This Row],[Concat]],Vagas!$H:$H,Vagas!$D:$D,"",0)</f>
        <v>0</v>
      </c>
    </row>
    <row r="1700" spans="1:8" x14ac:dyDescent="0.25">
      <c r="A1700" s="2">
        <v>44635</v>
      </c>
      <c r="B1700" s="1" t="s">
        <v>62</v>
      </c>
      <c r="C1700">
        <v>3502</v>
      </c>
      <c r="D1700" s="1" t="s">
        <v>214</v>
      </c>
      <c r="E1700" s="1" t="s">
        <v>5</v>
      </c>
      <c r="F1700">
        <v>16</v>
      </c>
      <c r="G1700" s="1" t="str">
        <f>Ocupacao_DW[[#This Row],[data]]&amp;Ocupacao_DW[[#This Row],[profissional_id]]&amp;Ocupacao_DW[[#This Row],[local_id]]</f>
        <v>44635350216</v>
      </c>
      <c r="H1700" s="1">
        <f>_xlfn.XLOOKUP(Ocupacao_DW[[#This Row],[Concat]],Vagas!$H:$H,Vagas!$D:$D,"",0)</f>
        <v>0</v>
      </c>
    </row>
    <row r="1701" spans="1:8" x14ac:dyDescent="0.25">
      <c r="A1701" s="2">
        <v>44641</v>
      </c>
      <c r="B1701" s="1" t="s">
        <v>72</v>
      </c>
      <c r="C1701">
        <v>6046</v>
      </c>
      <c r="D1701" s="1" t="s">
        <v>222</v>
      </c>
      <c r="E1701" s="1" t="s">
        <v>7</v>
      </c>
      <c r="F1701">
        <v>62</v>
      </c>
      <c r="G1701" s="1" t="str">
        <f>Ocupacao_DW[[#This Row],[data]]&amp;Ocupacao_DW[[#This Row],[profissional_id]]&amp;Ocupacao_DW[[#This Row],[local_id]]</f>
        <v>44641604662</v>
      </c>
      <c r="H1701" s="1">
        <f>_xlfn.XLOOKUP(Ocupacao_DW[[#This Row],[Concat]],Vagas!$H:$H,Vagas!$D:$D,"",0)</f>
        <v>0</v>
      </c>
    </row>
    <row r="1702" spans="1:8" x14ac:dyDescent="0.25">
      <c r="A1702" s="2">
        <v>44643</v>
      </c>
      <c r="B1702" s="1" t="s">
        <v>64</v>
      </c>
      <c r="C1702">
        <v>531</v>
      </c>
      <c r="D1702" s="1" t="s">
        <v>213</v>
      </c>
      <c r="E1702" s="1" t="s">
        <v>5</v>
      </c>
      <c r="F1702">
        <v>12</v>
      </c>
      <c r="G1702" s="1" t="str">
        <f>Ocupacao_DW[[#This Row],[data]]&amp;Ocupacao_DW[[#This Row],[profissional_id]]&amp;Ocupacao_DW[[#This Row],[local_id]]</f>
        <v>4464353112</v>
      </c>
      <c r="H1702" s="1">
        <f>_xlfn.XLOOKUP(Ocupacao_DW[[#This Row],[Concat]],Vagas!$H:$H,Vagas!$D:$D,"",0)</f>
        <v>0</v>
      </c>
    </row>
    <row r="1703" spans="1:8" x14ac:dyDescent="0.25">
      <c r="A1703" s="2">
        <v>44639</v>
      </c>
      <c r="B1703" s="1" t="s">
        <v>43</v>
      </c>
      <c r="C1703">
        <v>57</v>
      </c>
      <c r="D1703" s="1" t="s">
        <v>169</v>
      </c>
      <c r="E1703" s="1" t="s">
        <v>6</v>
      </c>
      <c r="F1703">
        <v>2</v>
      </c>
      <c r="G1703" s="1" t="str">
        <f>Ocupacao_DW[[#This Row],[data]]&amp;Ocupacao_DW[[#This Row],[profissional_id]]&amp;Ocupacao_DW[[#This Row],[local_id]]</f>
        <v>44639572</v>
      </c>
      <c r="H1703" s="1">
        <f>_xlfn.XLOOKUP(Ocupacao_DW[[#This Row],[Concat]],Vagas!$H:$H,Vagas!$D:$D,"",0)</f>
        <v>0</v>
      </c>
    </row>
    <row r="1704" spans="1:8" x14ac:dyDescent="0.25">
      <c r="A1704" s="2">
        <v>44642</v>
      </c>
      <c r="B1704" s="1" t="s">
        <v>49</v>
      </c>
      <c r="C1704">
        <v>266</v>
      </c>
      <c r="D1704" s="1" t="s">
        <v>201</v>
      </c>
      <c r="E1704" s="1" t="s">
        <v>4</v>
      </c>
      <c r="F1704">
        <v>42</v>
      </c>
      <c r="G1704" s="1" t="str">
        <f>Ocupacao_DW[[#This Row],[data]]&amp;Ocupacao_DW[[#This Row],[profissional_id]]&amp;Ocupacao_DW[[#This Row],[local_id]]</f>
        <v>4464226642</v>
      </c>
      <c r="H1704" s="1">
        <f>_xlfn.XLOOKUP(Ocupacao_DW[[#This Row],[Concat]],Vagas!$H:$H,Vagas!$D:$D,"",0)</f>
        <v>0</v>
      </c>
    </row>
    <row r="1705" spans="1:8" x14ac:dyDescent="0.25">
      <c r="A1705" s="2">
        <v>44645</v>
      </c>
      <c r="B1705" s="1" t="s">
        <v>24</v>
      </c>
      <c r="C1705">
        <v>60</v>
      </c>
      <c r="D1705" s="1" t="s">
        <v>217</v>
      </c>
      <c r="E1705" s="1" t="s">
        <v>6</v>
      </c>
      <c r="F1705">
        <v>1</v>
      </c>
      <c r="G1705" s="1" t="str">
        <f>Ocupacao_DW[[#This Row],[data]]&amp;Ocupacao_DW[[#This Row],[profissional_id]]&amp;Ocupacao_DW[[#This Row],[local_id]]</f>
        <v>44645601</v>
      </c>
      <c r="H1705" s="1">
        <f>_xlfn.XLOOKUP(Ocupacao_DW[[#This Row],[Concat]],Vagas!$H:$H,Vagas!$D:$D,"",0)</f>
        <v>0</v>
      </c>
    </row>
    <row r="1706" spans="1:8" x14ac:dyDescent="0.25">
      <c r="A1706" s="2">
        <v>44648</v>
      </c>
      <c r="B1706" s="1" t="s">
        <v>64</v>
      </c>
      <c r="C1706">
        <v>86</v>
      </c>
      <c r="D1706" s="1" t="s">
        <v>175</v>
      </c>
      <c r="E1706" s="1" t="s">
        <v>5</v>
      </c>
      <c r="F1706">
        <v>349</v>
      </c>
      <c r="G1706" s="1" t="str">
        <f>Ocupacao_DW[[#This Row],[data]]&amp;Ocupacao_DW[[#This Row],[profissional_id]]&amp;Ocupacao_DW[[#This Row],[local_id]]</f>
        <v>4464886349</v>
      </c>
      <c r="H1706" s="1">
        <f>_xlfn.XLOOKUP(Ocupacao_DW[[#This Row],[Concat]],Vagas!$H:$H,Vagas!$D:$D,"",0)</f>
        <v>0</v>
      </c>
    </row>
    <row r="1707" spans="1:8" x14ac:dyDescent="0.25">
      <c r="A1707" s="2">
        <v>44638</v>
      </c>
      <c r="B1707" s="1" t="s">
        <v>47</v>
      </c>
      <c r="C1707">
        <v>9111</v>
      </c>
      <c r="D1707" s="1" t="s">
        <v>206</v>
      </c>
      <c r="E1707" s="1" t="s">
        <v>4</v>
      </c>
      <c r="F1707">
        <v>51</v>
      </c>
      <c r="G1707" s="1" t="str">
        <f>Ocupacao_DW[[#This Row],[data]]&amp;Ocupacao_DW[[#This Row],[profissional_id]]&amp;Ocupacao_DW[[#This Row],[local_id]]</f>
        <v>44638911151</v>
      </c>
      <c r="H1707" s="1">
        <f>_xlfn.XLOOKUP(Ocupacao_DW[[#This Row],[Concat]],Vagas!$H:$H,Vagas!$D:$D,"",0)</f>
        <v>0</v>
      </c>
    </row>
    <row r="1708" spans="1:8" x14ac:dyDescent="0.25">
      <c r="A1708" s="2">
        <v>44658</v>
      </c>
      <c r="B1708" s="1" t="s">
        <v>55</v>
      </c>
      <c r="C1708">
        <v>74</v>
      </c>
      <c r="D1708" s="1" t="s">
        <v>182</v>
      </c>
      <c r="E1708" s="1" t="s">
        <v>6</v>
      </c>
      <c r="F1708">
        <v>7</v>
      </c>
      <c r="G1708" s="1" t="str">
        <f>Ocupacao_DW[[#This Row],[data]]&amp;Ocupacao_DW[[#This Row],[profissional_id]]&amp;Ocupacao_DW[[#This Row],[local_id]]</f>
        <v>44658747</v>
      </c>
      <c r="H1708" s="1">
        <f>_xlfn.XLOOKUP(Ocupacao_DW[[#This Row],[Concat]],Vagas!$H:$H,Vagas!$D:$D,"",0)</f>
        <v>7</v>
      </c>
    </row>
    <row r="1709" spans="1:8" x14ac:dyDescent="0.25">
      <c r="A1709" s="2">
        <v>44636</v>
      </c>
      <c r="B1709" s="1" t="s">
        <v>71</v>
      </c>
      <c r="C1709">
        <v>282</v>
      </c>
      <c r="D1709" s="1" t="s">
        <v>210</v>
      </c>
      <c r="E1709" s="1" t="s">
        <v>4</v>
      </c>
      <c r="F1709">
        <v>46</v>
      </c>
      <c r="G1709" s="1" t="str">
        <f>Ocupacao_DW[[#This Row],[data]]&amp;Ocupacao_DW[[#This Row],[profissional_id]]&amp;Ocupacao_DW[[#This Row],[local_id]]</f>
        <v>4463628246</v>
      </c>
      <c r="H1709" s="1">
        <f>_xlfn.XLOOKUP(Ocupacao_DW[[#This Row],[Concat]],Vagas!$H:$H,Vagas!$D:$D,"",0)</f>
        <v>0</v>
      </c>
    </row>
    <row r="1710" spans="1:8" x14ac:dyDescent="0.25">
      <c r="A1710" s="2">
        <v>44638</v>
      </c>
      <c r="B1710" s="1" t="s">
        <v>47</v>
      </c>
      <c r="C1710">
        <v>9111</v>
      </c>
      <c r="D1710" s="1" t="s">
        <v>206</v>
      </c>
      <c r="E1710" s="1" t="s">
        <v>4</v>
      </c>
      <c r="F1710">
        <v>51</v>
      </c>
      <c r="G1710" s="1" t="str">
        <f>Ocupacao_DW[[#This Row],[data]]&amp;Ocupacao_DW[[#This Row],[profissional_id]]&amp;Ocupacao_DW[[#This Row],[local_id]]</f>
        <v>44638911151</v>
      </c>
      <c r="H1710" s="1">
        <f>_xlfn.XLOOKUP(Ocupacao_DW[[#This Row],[Concat]],Vagas!$H:$H,Vagas!$D:$D,"",0)</f>
        <v>0</v>
      </c>
    </row>
    <row r="1711" spans="1:8" x14ac:dyDescent="0.25">
      <c r="A1711" s="2">
        <v>44643</v>
      </c>
      <c r="B1711" s="1" t="s">
        <v>49</v>
      </c>
      <c r="C1711">
        <v>6430</v>
      </c>
      <c r="D1711" s="1" t="s">
        <v>188</v>
      </c>
      <c r="E1711" s="1" t="s">
        <v>4</v>
      </c>
      <c r="F1711">
        <v>42</v>
      </c>
      <c r="G1711" s="1" t="str">
        <f>Ocupacao_DW[[#This Row],[data]]&amp;Ocupacao_DW[[#This Row],[profissional_id]]&amp;Ocupacao_DW[[#This Row],[local_id]]</f>
        <v>44643643042</v>
      </c>
      <c r="H1711" s="1">
        <f>_xlfn.XLOOKUP(Ocupacao_DW[[#This Row],[Concat]],Vagas!$H:$H,Vagas!$D:$D,"",0)</f>
        <v>0</v>
      </c>
    </row>
    <row r="1712" spans="1:8" x14ac:dyDescent="0.25">
      <c r="A1712" s="2">
        <v>44638</v>
      </c>
      <c r="B1712" s="1" t="s">
        <v>47</v>
      </c>
      <c r="C1712">
        <v>13371</v>
      </c>
      <c r="D1712" s="1" t="s">
        <v>205</v>
      </c>
      <c r="E1712" s="1" t="s">
        <v>4</v>
      </c>
      <c r="F1712">
        <v>336</v>
      </c>
      <c r="G1712" s="1" t="str">
        <f>Ocupacao_DW[[#This Row],[data]]&amp;Ocupacao_DW[[#This Row],[profissional_id]]&amp;Ocupacao_DW[[#This Row],[local_id]]</f>
        <v>4463813371336</v>
      </c>
      <c r="H1712" s="1" t="str">
        <f>_xlfn.XLOOKUP(Ocupacao_DW[[#This Row],[Concat]],Vagas!$H:$H,Vagas!$D:$D,"",0)</f>
        <v/>
      </c>
    </row>
    <row r="1713" spans="1:8" x14ac:dyDescent="0.25">
      <c r="A1713" s="2">
        <v>44637</v>
      </c>
      <c r="B1713" s="1" t="s">
        <v>64</v>
      </c>
      <c r="C1713">
        <v>85</v>
      </c>
      <c r="D1713" s="1" t="s">
        <v>211</v>
      </c>
      <c r="E1713" s="1" t="s">
        <v>5</v>
      </c>
      <c r="F1713">
        <v>349</v>
      </c>
      <c r="G1713" s="1" t="str">
        <f>Ocupacao_DW[[#This Row],[data]]&amp;Ocupacao_DW[[#This Row],[profissional_id]]&amp;Ocupacao_DW[[#This Row],[local_id]]</f>
        <v>4463785349</v>
      </c>
      <c r="H1713" s="1">
        <f>_xlfn.XLOOKUP(Ocupacao_DW[[#This Row],[Concat]],Vagas!$H:$H,Vagas!$D:$D,"",0)</f>
        <v>0</v>
      </c>
    </row>
    <row r="1714" spans="1:8" x14ac:dyDescent="0.25">
      <c r="A1714" s="2">
        <v>44645</v>
      </c>
      <c r="B1714" s="1" t="s">
        <v>49</v>
      </c>
      <c r="C1714">
        <v>6430</v>
      </c>
      <c r="D1714" s="1" t="s">
        <v>188</v>
      </c>
      <c r="E1714" s="1" t="s">
        <v>4</v>
      </c>
      <c r="F1714">
        <v>42</v>
      </c>
      <c r="G1714" s="1" t="str">
        <f>Ocupacao_DW[[#This Row],[data]]&amp;Ocupacao_DW[[#This Row],[profissional_id]]&amp;Ocupacao_DW[[#This Row],[local_id]]</f>
        <v>44645643042</v>
      </c>
      <c r="H1714" s="1">
        <f>_xlfn.XLOOKUP(Ocupacao_DW[[#This Row],[Concat]],Vagas!$H:$H,Vagas!$D:$D,"",0)</f>
        <v>0</v>
      </c>
    </row>
    <row r="1715" spans="1:8" x14ac:dyDescent="0.25">
      <c r="A1715" s="2">
        <v>44635</v>
      </c>
      <c r="B1715" s="1" t="s">
        <v>49</v>
      </c>
      <c r="C1715">
        <v>81</v>
      </c>
      <c r="D1715" s="1" t="s">
        <v>170</v>
      </c>
      <c r="E1715" s="1" t="s">
        <v>7</v>
      </c>
      <c r="F1715">
        <v>71</v>
      </c>
      <c r="G1715" s="1" t="str">
        <f>Ocupacao_DW[[#This Row],[data]]&amp;Ocupacao_DW[[#This Row],[profissional_id]]&amp;Ocupacao_DW[[#This Row],[local_id]]</f>
        <v>446358171</v>
      </c>
      <c r="H1715" s="1">
        <f>_xlfn.XLOOKUP(Ocupacao_DW[[#This Row],[Concat]],Vagas!$H:$H,Vagas!$D:$D,"",0)</f>
        <v>0</v>
      </c>
    </row>
    <row r="1716" spans="1:8" x14ac:dyDescent="0.25">
      <c r="A1716" s="2">
        <v>44638</v>
      </c>
      <c r="B1716" s="1" t="s">
        <v>47</v>
      </c>
      <c r="C1716">
        <v>9111</v>
      </c>
      <c r="D1716" s="1" t="s">
        <v>206</v>
      </c>
      <c r="E1716" s="1" t="s">
        <v>4</v>
      </c>
      <c r="F1716">
        <v>51</v>
      </c>
      <c r="G1716" s="1" t="str">
        <f>Ocupacao_DW[[#This Row],[data]]&amp;Ocupacao_DW[[#This Row],[profissional_id]]&amp;Ocupacao_DW[[#This Row],[local_id]]</f>
        <v>44638911151</v>
      </c>
      <c r="H1716" s="1">
        <f>_xlfn.XLOOKUP(Ocupacao_DW[[#This Row],[Concat]],Vagas!$H:$H,Vagas!$D:$D,"",0)</f>
        <v>0</v>
      </c>
    </row>
    <row r="1717" spans="1:8" x14ac:dyDescent="0.25">
      <c r="A1717" s="2">
        <v>44638</v>
      </c>
      <c r="B1717" s="1" t="s">
        <v>49</v>
      </c>
      <c r="C1717">
        <v>6430</v>
      </c>
      <c r="D1717" s="1" t="s">
        <v>188</v>
      </c>
      <c r="E1717" s="1" t="s">
        <v>4</v>
      </c>
      <c r="F1717">
        <v>42</v>
      </c>
      <c r="G1717" s="1" t="str">
        <f>Ocupacao_DW[[#This Row],[data]]&amp;Ocupacao_DW[[#This Row],[profissional_id]]&amp;Ocupacao_DW[[#This Row],[local_id]]</f>
        <v>44638643042</v>
      </c>
      <c r="H1717" s="1">
        <f>_xlfn.XLOOKUP(Ocupacao_DW[[#This Row],[Concat]],Vagas!$H:$H,Vagas!$D:$D,"",0)</f>
        <v>0</v>
      </c>
    </row>
    <row r="1718" spans="1:8" x14ac:dyDescent="0.25">
      <c r="A1718" s="2">
        <v>44638</v>
      </c>
      <c r="B1718" s="1" t="s">
        <v>72</v>
      </c>
      <c r="C1718">
        <v>1794</v>
      </c>
      <c r="D1718" s="1" t="s">
        <v>235</v>
      </c>
      <c r="E1718" s="1" t="s">
        <v>4</v>
      </c>
      <c r="F1718">
        <v>46</v>
      </c>
      <c r="G1718" s="1" t="str">
        <f>Ocupacao_DW[[#This Row],[data]]&amp;Ocupacao_DW[[#This Row],[profissional_id]]&amp;Ocupacao_DW[[#This Row],[local_id]]</f>
        <v>44638179446</v>
      </c>
      <c r="H1718" s="1">
        <f>_xlfn.XLOOKUP(Ocupacao_DW[[#This Row],[Concat]],Vagas!$H:$H,Vagas!$D:$D,"",0)</f>
        <v>0</v>
      </c>
    </row>
    <row r="1719" spans="1:8" x14ac:dyDescent="0.25">
      <c r="A1719" s="2">
        <v>44649</v>
      </c>
      <c r="B1719" s="1" t="s">
        <v>65</v>
      </c>
      <c r="C1719">
        <v>11237</v>
      </c>
      <c r="D1719" s="1" t="s">
        <v>229</v>
      </c>
      <c r="E1719" s="1" t="s">
        <v>4</v>
      </c>
      <c r="F1719">
        <v>46</v>
      </c>
      <c r="G1719" s="1" t="str">
        <f>Ocupacao_DW[[#This Row],[data]]&amp;Ocupacao_DW[[#This Row],[profissional_id]]&amp;Ocupacao_DW[[#This Row],[local_id]]</f>
        <v>446491123746</v>
      </c>
      <c r="H1719" s="1">
        <f>_xlfn.XLOOKUP(Ocupacao_DW[[#This Row],[Concat]],Vagas!$H:$H,Vagas!$D:$D,"",0)</f>
        <v>0</v>
      </c>
    </row>
    <row r="1720" spans="1:8" x14ac:dyDescent="0.25">
      <c r="A1720" s="2">
        <v>44637</v>
      </c>
      <c r="B1720" s="1" t="s">
        <v>49</v>
      </c>
      <c r="C1720">
        <v>266</v>
      </c>
      <c r="D1720" s="1" t="s">
        <v>201</v>
      </c>
      <c r="E1720" s="1" t="s">
        <v>4</v>
      </c>
      <c r="F1720">
        <v>42</v>
      </c>
      <c r="G1720" s="1" t="str">
        <f>Ocupacao_DW[[#This Row],[data]]&amp;Ocupacao_DW[[#This Row],[profissional_id]]&amp;Ocupacao_DW[[#This Row],[local_id]]</f>
        <v>4463726642</v>
      </c>
      <c r="H1720" s="1">
        <f>_xlfn.XLOOKUP(Ocupacao_DW[[#This Row],[Concat]],Vagas!$H:$H,Vagas!$D:$D,"",0)</f>
        <v>0</v>
      </c>
    </row>
    <row r="1721" spans="1:8" x14ac:dyDescent="0.25">
      <c r="A1721" s="2">
        <v>44638</v>
      </c>
      <c r="B1721" s="1" t="s">
        <v>64</v>
      </c>
      <c r="C1721">
        <v>86</v>
      </c>
      <c r="D1721" s="1" t="s">
        <v>175</v>
      </c>
      <c r="E1721" s="1" t="s">
        <v>5</v>
      </c>
      <c r="F1721">
        <v>349</v>
      </c>
      <c r="G1721" s="1" t="str">
        <f>Ocupacao_DW[[#This Row],[data]]&amp;Ocupacao_DW[[#This Row],[profissional_id]]&amp;Ocupacao_DW[[#This Row],[local_id]]</f>
        <v>4463886349</v>
      </c>
      <c r="H1721" s="1">
        <f>_xlfn.XLOOKUP(Ocupacao_DW[[#This Row],[Concat]],Vagas!$H:$H,Vagas!$D:$D,"",0)</f>
        <v>0</v>
      </c>
    </row>
    <row r="1722" spans="1:8" x14ac:dyDescent="0.25">
      <c r="A1722" s="2">
        <v>44639</v>
      </c>
      <c r="B1722" s="1" t="s">
        <v>49</v>
      </c>
      <c r="C1722">
        <v>13756</v>
      </c>
      <c r="D1722" s="1" t="s">
        <v>202</v>
      </c>
      <c r="E1722" s="1" t="s">
        <v>4</v>
      </c>
      <c r="F1722">
        <v>43</v>
      </c>
      <c r="G1722" s="1" t="str">
        <f>Ocupacao_DW[[#This Row],[data]]&amp;Ocupacao_DW[[#This Row],[profissional_id]]&amp;Ocupacao_DW[[#This Row],[local_id]]</f>
        <v>446391375643</v>
      </c>
      <c r="H1722" s="1">
        <f>_xlfn.XLOOKUP(Ocupacao_DW[[#This Row],[Concat]],Vagas!$H:$H,Vagas!$D:$D,"",0)</f>
        <v>0</v>
      </c>
    </row>
    <row r="1723" spans="1:8" x14ac:dyDescent="0.25">
      <c r="A1723" s="2">
        <v>44638</v>
      </c>
      <c r="B1723" s="1" t="s">
        <v>47</v>
      </c>
      <c r="C1723">
        <v>9111</v>
      </c>
      <c r="D1723" s="1" t="s">
        <v>206</v>
      </c>
      <c r="E1723" s="1" t="s">
        <v>4</v>
      </c>
      <c r="F1723">
        <v>51</v>
      </c>
      <c r="G1723" s="1" t="str">
        <f>Ocupacao_DW[[#This Row],[data]]&amp;Ocupacao_DW[[#This Row],[profissional_id]]&amp;Ocupacao_DW[[#This Row],[local_id]]</f>
        <v>44638911151</v>
      </c>
      <c r="H1723" s="1">
        <f>_xlfn.XLOOKUP(Ocupacao_DW[[#This Row],[Concat]],Vagas!$H:$H,Vagas!$D:$D,"",0)</f>
        <v>0</v>
      </c>
    </row>
    <row r="1724" spans="1:8" x14ac:dyDescent="0.25">
      <c r="A1724" s="2">
        <v>44645</v>
      </c>
      <c r="B1724" s="1" t="s">
        <v>49</v>
      </c>
      <c r="C1724">
        <v>81</v>
      </c>
      <c r="D1724" s="1" t="s">
        <v>170</v>
      </c>
      <c r="E1724" s="1" t="s">
        <v>4</v>
      </c>
      <c r="F1724">
        <v>41</v>
      </c>
      <c r="G1724" s="1" t="str">
        <f>Ocupacao_DW[[#This Row],[data]]&amp;Ocupacao_DW[[#This Row],[profissional_id]]&amp;Ocupacao_DW[[#This Row],[local_id]]</f>
        <v>446458141</v>
      </c>
      <c r="H1724" s="1">
        <f>_xlfn.XLOOKUP(Ocupacao_DW[[#This Row],[Concat]],Vagas!$H:$H,Vagas!$D:$D,"",0)</f>
        <v>0</v>
      </c>
    </row>
    <row r="1725" spans="1:8" x14ac:dyDescent="0.25">
      <c r="A1725" s="2">
        <v>44642</v>
      </c>
      <c r="B1725" s="1" t="s">
        <v>65</v>
      </c>
      <c r="C1725">
        <v>11237</v>
      </c>
      <c r="D1725" s="1" t="s">
        <v>229</v>
      </c>
      <c r="E1725" s="1" t="s">
        <v>4</v>
      </c>
      <c r="F1725">
        <v>46</v>
      </c>
      <c r="G1725" s="1" t="str">
        <f>Ocupacao_DW[[#This Row],[data]]&amp;Ocupacao_DW[[#This Row],[profissional_id]]&amp;Ocupacao_DW[[#This Row],[local_id]]</f>
        <v>446421123746</v>
      </c>
      <c r="H1725" s="1">
        <f>_xlfn.XLOOKUP(Ocupacao_DW[[#This Row],[Concat]],Vagas!$H:$H,Vagas!$D:$D,"",0)</f>
        <v>0</v>
      </c>
    </row>
    <row r="1726" spans="1:8" x14ac:dyDescent="0.25">
      <c r="A1726" s="2">
        <v>44636</v>
      </c>
      <c r="B1726" s="1" t="s">
        <v>57</v>
      </c>
      <c r="C1726">
        <v>80</v>
      </c>
      <c r="D1726" s="1" t="s">
        <v>179</v>
      </c>
      <c r="E1726" s="1" t="s">
        <v>167</v>
      </c>
      <c r="F1726">
        <v>346</v>
      </c>
      <c r="G1726" s="1" t="str">
        <f>Ocupacao_DW[[#This Row],[data]]&amp;Ocupacao_DW[[#This Row],[profissional_id]]&amp;Ocupacao_DW[[#This Row],[local_id]]</f>
        <v>4463680346</v>
      </c>
      <c r="H1726" s="1">
        <f>_xlfn.XLOOKUP(Ocupacao_DW[[#This Row],[Concat]],Vagas!$H:$H,Vagas!$D:$D,"",0)</f>
        <v>0</v>
      </c>
    </row>
    <row r="1727" spans="1:8" x14ac:dyDescent="0.25">
      <c r="A1727" s="2">
        <v>44651</v>
      </c>
      <c r="B1727" s="1" t="s">
        <v>47</v>
      </c>
      <c r="C1727">
        <v>9111</v>
      </c>
      <c r="D1727" s="1" t="s">
        <v>206</v>
      </c>
      <c r="E1727" s="1" t="s">
        <v>4</v>
      </c>
      <c r="F1727">
        <v>334</v>
      </c>
      <c r="G1727" s="1" t="str">
        <f>Ocupacao_DW[[#This Row],[data]]&amp;Ocupacao_DW[[#This Row],[profissional_id]]&amp;Ocupacao_DW[[#This Row],[local_id]]</f>
        <v>446519111334</v>
      </c>
      <c r="H1727" s="1">
        <f>_xlfn.XLOOKUP(Ocupacao_DW[[#This Row],[Concat]],Vagas!$H:$H,Vagas!$D:$D,"",0)</f>
        <v>0</v>
      </c>
    </row>
    <row r="1728" spans="1:8" x14ac:dyDescent="0.25">
      <c r="A1728" s="2">
        <v>44635</v>
      </c>
      <c r="B1728" s="1" t="s">
        <v>70</v>
      </c>
      <c r="C1728">
        <v>12825</v>
      </c>
      <c r="D1728" s="1" t="s">
        <v>177</v>
      </c>
      <c r="E1728" s="1" t="s">
        <v>7</v>
      </c>
      <c r="F1728">
        <v>63</v>
      </c>
      <c r="G1728" s="1" t="str">
        <f>Ocupacao_DW[[#This Row],[data]]&amp;Ocupacao_DW[[#This Row],[profissional_id]]&amp;Ocupacao_DW[[#This Row],[local_id]]</f>
        <v>446351282563</v>
      </c>
      <c r="H1728" s="1">
        <f>_xlfn.XLOOKUP(Ocupacao_DW[[#This Row],[Concat]],Vagas!$H:$H,Vagas!$D:$D,"",0)</f>
        <v>0</v>
      </c>
    </row>
    <row r="1729" spans="1:8" x14ac:dyDescent="0.25">
      <c r="A1729" s="2">
        <v>44638</v>
      </c>
      <c r="B1729" s="1" t="s">
        <v>59</v>
      </c>
      <c r="C1729">
        <v>10249</v>
      </c>
      <c r="D1729" s="1" t="s">
        <v>231</v>
      </c>
      <c r="E1729" s="1" t="s">
        <v>4</v>
      </c>
      <c r="F1729">
        <v>43</v>
      </c>
      <c r="G1729" s="1" t="str">
        <f>Ocupacao_DW[[#This Row],[data]]&amp;Ocupacao_DW[[#This Row],[profissional_id]]&amp;Ocupacao_DW[[#This Row],[local_id]]</f>
        <v>446381024943</v>
      </c>
      <c r="H1729" s="1">
        <f>_xlfn.XLOOKUP(Ocupacao_DW[[#This Row],[Concat]],Vagas!$H:$H,Vagas!$D:$D,"",0)</f>
        <v>0</v>
      </c>
    </row>
    <row r="1730" spans="1:8" x14ac:dyDescent="0.25">
      <c r="A1730" s="2">
        <v>44636</v>
      </c>
      <c r="B1730" s="1"/>
      <c r="C1730">
        <v>0</v>
      </c>
      <c r="D1730" s="1"/>
      <c r="E1730" s="1" t="s">
        <v>4</v>
      </c>
      <c r="F1730">
        <v>39</v>
      </c>
      <c r="G1730" s="1" t="str">
        <f>Ocupacao_DW[[#This Row],[data]]&amp;Ocupacao_DW[[#This Row],[profissional_id]]&amp;Ocupacao_DW[[#This Row],[local_id]]</f>
        <v>44636039</v>
      </c>
      <c r="H1730" s="1" t="str">
        <f>_xlfn.XLOOKUP(Ocupacao_DW[[#This Row],[Concat]],Vagas!$H:$H,Vagas!$D:$D,"",0)</f>
        <v/>
      </c>
    </row>
    <row r="1731" spans="1:8" x14ac:dyDescent="0.25">
      <c r="A1731" s="2">
        <v>44636</v>
      </c>
      <c r="B1731" s="1" t="s">
        <v>62</v>
      </c>
      <c r="C1731">
        <v>2567</v>
      </c>
      <c r="D1731" s="1" t="s">
        <v>198</v>
      </c>
      <c r="E1731" s="1" t="s">
        <v>5</v>
      </c>
      <c r="F1731">
        <v>349</v>
      </c>
      <c r="G1731" s="1" t="str">
        <f>Ocupacao_DW[[#This Row],[data]]&amp;Ocupacao_DW[[#This Row],[profissional_id]]&amp;Ocupacao_DW[[#This Row],[local_id]]</f>
        <v>446362567349</v>
      </c>
      <c r="H1731" s="1">
        <f>_xlfn.XLOOKUP(Ocupacao_DW[[#This Row],[Concat]],Vagas!$H:$H,Vagas!$D:$D,"",0)</f>
        <v>0</v>
      </c>
    </row>
    <row r="1732" spans="1:8" x14ac:dyDescent="0.25">
      <c r="A1732" s="2">
        <v>44635</v>
      </c>
      <c r="B1732" s="1" t="s">
        <v>55</v>
      </c>
      <c r="C1732">
        <v>14452</v>
      </c>
      <c r="D1732" s="1" t="s">
        <v>266</v>
      </c>
      <c r="E1732" s="1" t="s">
        <v>200</v>
      </c>
      <c r="F1732">
        <v>78</v>
      </c>
      <c r="G1732" s="1" t="str">
        <f>Ocupacao_DW[[#This Row],[data]]&amp;Ocupacao_DW[[#This Row],[profissional_id]]&amp;Ocupacao_DW[[#This Row],[local_id]]</f>
        <v>446351445278</v>
      </c>
      <c r="H1732" s="1">
        <f>_xlfn.XLOOKUP(Ocupacao_DW[[#This Row],[Concat]],Vagas!$H:$H,Vagas!$D:$D,"",0)</f>
        <v>0</v>
      </c>
    </row>
    <row r="1733" spans="1:8" x14ac:dyDescent="0.25">
      <c r="A1733" s="2">
        <v>44638</v>
      </c>
      <c r="B1733" s="1" t="s">
        <v>64</v>
      </c>
      <c r="C1733">
        <v>86</v>
      </c>
      <c r="D1733" s="1" t="s">
        <v>175</v>
      </c>
      <c r="E1733" s="1" t="s">
        <v>5</v>
      </c>
      <c r="F1733">
        <v>349</v>
      </c>
      <c r="G1733" s="1" t="str">
        <f>Ocupacao_DW[[#This Row],[data]]&amp;Ocupacao_DW[[#This Row],[profissional_id]]&amp;Ocupacao_DW[[#This Row],[local_id]]</f>
        <v>4463886349</v>
      </c>
      <c r="H1733" s="1">
        <f>_xlfn.XLOOKUP(Ocupacao_DW[[#This Row],[Concat]],Vagas!$H:$H,Vagas!$D:$D,"",0)</f>
        <v>0</v>
      </c>
    </row>
    <row r="1734" spans="1:8" x14ac:dyDescent="0.25">
      <c r="A1734" s="2">
        <v>44635</v>
      </c>
      <c r="B1734" s="1" t="s">
        <v>51</v>
      </c>
      <c r="C1734">
        <v>12582</v>
      </c>
      <c r="D1734" s="1" t="s">
        <v>190</v>
      </c>
      <c r="E1734" s="1" t="s">
        <v>7</v>
      </c>
      <c r="F1734">
        <v>62</v>
      </c>
      <c r="G1734" s="1" t="str">
        <f>Ocupacao_DW[[#This Row],[data]]&amp;Ocupacao_DW[[#This Row],[profissional_id]]&amp;Ocupacao_DW[[#This Row],[local_id]]</f>
        <v>446351258262</v>
      </c>
      <c r="H1734" s="1">
        <f>_xlfn.XLOOKUP(Ocupacao_DW[[#This Row],[Concat]],Vagas!$H:$H,Vagas!$D:$D,"",0)</f>
        <v>0</v>
      </c>
    </row>
    <row r="1735" spans="1:8" x14ac:dyDescent="0.25">
      <c r="A1735" s="2">
        <v>44635</v>
      </c>
      <c r="B1735" s="1" t="s">
        <v>67</v>
      </c>
      <c r="C1735">
        <v>7290</v>
      </c>
      <c r="D1735" s="1" t="s">
        <v>247</v>
      </c>
      <c r="E1735" s="1" t="s">
        <v>5</v>
      </c>
      <c r="F1735">
        <v>18</v>
      </c>
      <c r="G1735" s="1" t="str">
        <f>Ocupacao_DW[[#This Row],[data]]&amp;Ocupacao_DW[[#This Row],[profissional_id]]&amp;Ocupacao_DW[[#This Row],[local_id]]</f>
        <v>44635729018</v>
      </c>
      <c r="H1735" s="1">
        <f>_xlfn.XLOOKUP(Ocupacao_DW[[#This Row],[Concat]],Vagas!$H:$H,Vagas!$D:$D,"",0)</f>
        <v>0</v>
      </c>
    </row>
    <row r="1736" spans="1:8" x14ac:dyDescent="0.25">
      <c r="A1736" s="2">
        <v>44646</v>
      </c>
      <c r="B1736" s="1" t="s">
        <v>60</v>
      </c>
      <c r="C1736">
        <v>117</v>
      </c>
      <c r="D1736" s="1" t="s">
        <v>180</v>
      </c>
      <c r="E1736" s="1" t="s">
        <v>4</v>
      </c>
      <c r="F1736">
        <v>48</v>
      </c>
      <c r="G1736" s="1" t="str">
        <f>Ocupacao_DW[[#This Row],[data]]&amp;Ocupacao_DW[[#This Row],[profissional_id]]&amp;Ocupacao_DW[[#This Row],[local_id]]</f>
        <v>4464611748</v>
      </c>
      <c r="H1736" s="1">
        <f>_xlfn.XLOOKUP(Ocupacao_DW[[#This Row],[Concat]],Vagas!$H:$H,Vagas!$D:$D,"",0)</f>
        <v>0</v>
      </c>
    </row>
    <row r="1737" spans="1:8" x14ac:dyDescent="0.25">
      <c r="A1737" s="2">
        <v>44649</v>
      </c>
      <c r="B1737" s="1" t="s">
        <v>70</v>
      </c>
      <c r="C1737">
        <v>14237</v>
      </c>
      <c r="D1737" s="1" t="s">
        <v>186</v>
      </c>
      <c r="E1737" s="1" t="s">
        <v>4</v>
      </c>
      <c r="F1737">
        <v>47</v>
      </c>
      <c r="G1737" s="1" t="str">
        <f>Ocupacao_DW[[#This Row],[data]]&amp;Ocupacao_DW[[#This Row],[profissional_id]]&amp;Ocupacao_DW[[#This Row],[local_id]]</f>
        <v>446491423747</v>
      </c>
      <c r="H1737" s="1">
        <f>_xlfn.XLOOKUP(Ocupacao_DW[[#This Row],[Concat]],Vagas!$H:$H,Vagas!$D:$D,"",0)</f>
        <v>0</v>
      </c>
    </row>
    <row r="1738" spans="1:8" x14ac:dyDescent="0.25">
      <c r="A1738" s="2">
        <v>44639</v>
      </c>
      <c r="B1738" s="1" t="s">
        <v>52</v>
      </c>
      <c r="C1738">
        <v>60</v>
      </c>
      <c r="D1738" s="1" t="s">
        <v>217</v>
      </c>
      <c r="E1738" s="1" t="s">
        <v>6</v>
      </c>
      <c r="F1738">
        <v>8</v>
      </c>
      <c r="G1738" s="1" t="str">
        <f>Ocupacao_DW[[#This Row],[data]]&amp;Ocupacao_DW[[#This Row],[profissional_id]]&amp;Ocupacao_DW[[#This Row],[local_id]]</f>
        <v>44639608</v>
      </c>
      <c r="H1738" s="1">
        <f>_xlfn.XLOOKUP(Ocupacao_DW[[#This Row],[Concat]],Vagas!$H:$H,Vagas!$D:$D,"",0)</f>
        <v>0</v>
      </c>
    </row>
    <row r="1739" spans="1:8" x14ac:dyDescent="0.25">
      <c r="A1739" s="2">
        <v>44635</v>
      </c>
      <c r="B1739" s="1" t="s">
        <v>67</v>
      </c>
      <c r="C1739">
        <v>7290</v>
      </c>
      <c r="D1739" s="1" t="s">
        <v>247</v>
      </c>
      <c r="E1739" s="1" t="s">
        <v>5</v>
      </c>
      <c r="F1739">
        <v>18</v>
      </c>
      <c r="G1739" s="1" t="str">
        <f>Ocupacao_DW[[#This Row],[data]]&amp;Ocupacao_DW[[#This Row],[profissional_id]]&amp;Ocupacao_DW[[#This Row],[local_id]]</f>
        <v>44635729018</v>
      </c>
      <c r="H1739" s="1">
        <f>_xlfn.XLOOKUP(Ocupacao_DW[[#This Row],[Concat]],Vagas!$H:$H,Vagas!$D:$D,"",0)</f>
        <v>0</v>
      </c>
    </row>
    <row r="1740" spans="1:8" x14ac:dyDescent="0.25">
      <c r="A1740" s="2">
        <v>44638</v>
      </c>
      <c r="B1740" s="1" t="s">
        <v>49</v>
      </c>
      <c r="C1740">
        <v>12142</v>
      </c>
      <c r="D1740" s="1" t="s">
        <v>219</v>
      </c>
      <c r="E1740" s="1" t="s">
        <v>4</v>
      </c>
      <c r="F1740">
        <v>44</v>
      </c>
      <c r="G1740" s="1" t="str">
        <f>Ocupacao_DW[[#This Row],[data]]&amp;Ocupacao_DW[[#This Row],[profissional_id]]&amp;Ocupacao_DW[[#This Row],[local_id]]</f>
        <v>446381214244</v>
      </c>
      <c r="H1740" s="1">
        <f>_xlfn.XLOOKUP(Ocupacao_DW[[#This Row],[Concat]],Vagas!$H:$H,Vagas!$D:$D,"",0)</f>
        <v>0</v>
      </c>
    </row>
    <row r="1741" spans="1:8" x14ac:dyDescent="0.25">
      <c r="A1741" s="2">
        <v>44638</v>
      </c>
      <c r="B1741" s="1" t="s">
        <v>47</v>
      </c>
      <c r="C1741">
        <v>12684</v>
      </c>
      <c r="D1741" s="1" t="s">
        <v>236</v>
      </c>
      <c r="E1741" s="1" t="s">
        <v>200</v>
      </c>
      <c r="F1741">
        <v>85</v>
      </c>
      <c r="G1741" s="1" t="str">
        <f>Ocupacao_DW[[#This Row],[data]]&amp;Ocupacao_DW[[#This Row],[profissional_id]]&amp;Ocupacao_DW[[#This Row],[local_id]]</f>
        <v>446381268485</v>
      </c>
      <c r="H1741" s="1">
        <f>_xlfn.XLOOKUP(Ocupacao_DW[[#This Row],[Concat]],Vagas!$H:$H,Vagas!$D:$D,"",0)</f>
        <v>0</v>
      </c>
    </row>
    <row r="1742" spans="1:8" x14ac:dyDescent="0.25">
      <c r="A1742" s="2">
        <v>44639</v>
      </c>
      <c r="B1742" s="1" t="s">
        <v>52</v>
      </c>
      <c r="C1742">
        <v>60</v>
      </c>
      <c r="D1742" s="1" t="s">
        <v>217</v>
      </c>
      <c r="E1742" s="1" t="s">
        <v>6</v>
      </c>
      <c r="F1742">
        <v>8</v>
      </c>
      <c r="G1742" s="1" t="str">
        <f>Ocupacao_DW[[#This Row],[data]]&amp;Ocupacao_DW[[#This Row],[profissional_id]]&amp;Ocupacao_DW[[#This Row],[local_id]]</f>
        <v>44639608</v>
      </c>
      <c r="H1742" s="1">
        <f>_xlfn.XLOOKUP(Ocupacao_DW[[#This Row],[Concat]],Vagas!$H:$H,Vagas!$D:$D,"",0)</f>
        <v>0</v>
      </c>
    </row>
    <row r="1743" spans="1:8" x14ac:dyDescent="0.25">
      <c r="A1743" s="2">
        <v>44643</v>
      </c>
      <c r="B1743" s="1" t="s">
        <v>51</v>
      </c>
      <c r="C1743">
        <v>7551</v>
      </c>
      <c r="D1743" s="1" t="s">
        <v>246</v>
      </c>
      <c r="E1743" s="1" t="s">
        <v>5</v>
      </c>
      <c r="F1743">
        <v>15</v>
      </c>
      <c r="G1743" s="1" t="str">
        <f>Ocupacao_DW[[#This Row],[data]]&amp;Ocupacao_DW[[#This Row],[profissional_id]]&amp;Ocupacao_DW[[#This Row],[local_id]]</f>
        <v>44643755115</v>
      </c>
      <c r="H1743" s="1">
        <f>_xlfn.XLOOKUP(Ocupacao_DW[[#This Row],[Concat]],Vagas!$H:$H,Vagas!$D:$D,"",0)</f>
        <v>0</v>
      </c>
    </row>
    <row r="1744" spans="1:8" x14ac:dyDescent="0.25">
      <c r="A1744" s="2">
        <v>44642</v>
      </c>
      <c r="B1744" s="1" t="s">
        <v>47</v>
      </c>
      <c r="C1744">
        <v>110</v>
      </c>
      <c r="D1744" s="1" t="s">
        <v>193</v>
      </c>
      <c r="E1744" s="1" t="s">
        <v>4</v>
      </c>
      <c r="F1744">
        <v>334</v>
      </c>
      <c r="G1744" s="1" t="str">
        <f>Ocupacao_DW[[#This Row],[data]]&amp;Ocupacao_DW[[#This Row],[profissional_id]]&amp;Ocupacao_DW[[#This Row],[local_id]]</f>
        <v>44642110334</v>
      </c>
      <c r="H1744" s="1">
        <f>_xlfn.XLOOKUP(Ocupacao_DW[[#This Row],[Concat]],Vagas!$H:$H,Vagas!$D:$D,"",0)</f>
        <v>0</v>
      </c>
    </row>
    <row r="1745" spans="1:8" x14ac:dyDescent="0.25">
      <c r="A1745" s="2">
        <v>44636</v>
      </c>
      <c r="B1745" s="1" t="s">
        <v>64</v>
      </c>
      <c r="C1745">
        <v>86</v>
      </c>
      <c r="D1745" s="1" t="s">
        <v>175</v>
      </c>
      <c r="E1745" s="1" t="s">
        <v>7</v>
      </c>
      <c r="F1745">
        <v>66</v>
      </c>
      <c r="G1745" s="1" t="str">
        <f>Ocupacao_DW[[#This Row],[data]]&amp;Ocupacao_DW[[#This Row],[profissional_id]]&amp;Ocupacao_DW[[#This Row],[local_id]]</f>
        <v>446368666</v>
      </c>
      <c r="H1745" s="1">
        <f>_xlfn.XLOOKUP(Ocupacao_DW[[#This Row],[Concat]],Vagas!$H:$H,Vagas!$D:$D,"",0)</f>
        <v>0</v>
      </c>
    </row>
    <row r="1746" spans="1:8" x14ac:dyDescent="0.25">
      <c r="A1746" s="2">
        <v>44641</v>
      </c>
      <c r="B1746" s="1" t="s">
        <v>54</v>
      </c>
      <c r="C1746">
        <v>10941</v>
      </c>
      <c r="D1746" s="1" t="s">
        <v>224</v>
      </c>
      <c r="E1746" s="1" t="s">
        <v>5</v>
      </c>
      <c r="F1746">
        <v>11</v>
      </c>
      <c r="G1746" s="1" t="str">
        <f>Ocupacao_DW[[#This Row],[data]]&amp;Ocupacao_DW[[#This Row],[profissional_id]]&amp;Ocupacao_DW[[#This Row],[local_id]]</f>
        <v>446411094111</v>
      </c>
      <c r="H1746" s="1">
        <f>_xlfn.XLOOKUP(Ocupacao_DW[[#This Row],[Concat]],Vagas!$H:$H,Vagas!$D:$D,"",0)</f>
        <v>0</v>
      </c>
    </row>
    <row r="1747" spans="1:8" x14ac:dyDescent="0.25">
      <c r="A1747" s="2">
        <v>44638</v>
      </c>
      <c r="B1747" s="1" t="s">
        <v>69</v>
      </c>
      <c r="C1747">
        <v>13249</v>
      </c>
      <c r="D1747" s="1" t="s">
        <v>178</v>
      </c>
      <c r="E1747" s="1" t="s">
        <v>7</v>
      </c>
      <c r="F1747">
        <v>66</v>
      </c>
      <c r="G1747" s="1" t="str">
        <f>Ocupacao_DW[[#This Row],[data]]&amp;Ocupacao_DW[[#This Row],[profissional_id]]&amp;Ocupacao_DW[[#This Row],[local_id]]</f>
        <v>446381324966</v>
      </c>
      <c r="H1747" s="1">
        <f>_xlfn.XLOOKUP(Ocupacao_DW[[#This Row],[Concat]],Vagas!$H:$H,Vagas!$D:$D,"",0)</f>
        <v>0</v>
      </c>
    </row>
    <row r="1748" spans="1:8" x14ac:dyDescent="0.25">
      <c r="A1748" s="2">
        <v>44638</v>
      </c>
      <c r="B1748" s="1" t="s">
        <v>56</v>
      </c>
      <c r="C1748">
        <v>13660</v>
      </c>
      <c r="D1748" s="1" t="s">
        <v>250</v>
      </c>
      <c r="E1748" s="1" t="s">
        <v>5</v>
      </c>
      <c r="F1748">
        <v>15</v>
      </c>
      <c r="G1748" s="1" t="str">
        <f>Ocupacao_DW[[#This Row],[data]]&amp;Ocupacao_DW[[#This Row],[profissional_id]]&amp;Ocupacao_DW[[#This Row],[local_id]]</f>
        <v>446381366015</v>
      </c>
      <c r="H1748" s="1">
        <f>_xlfn.XLOOKUP(Ocupacao_DW[[#This Row],[Concat]],Vagas!$H:$H,Vagas!$D:$D,"",0)</f>
        <v>0</v>
      </c>
    </row>
    <row r="1749" spans="1:8" x14ac:dyDescent="0.25">
      <c r="A1749" s="2">
        <v>44643</v>
      </c>
      <c r="B1749" s="1" t="s">
        <v>60</v>
      </c>
      <c r="C1749">
        <v>14326</v>
      </c>
      <c r="D1749" s="1" t="s">
        <v>220</v>
      </c>
      <c r="E1749" s="1" t="s">
        <v>4</v>
      </c>
      <c r="F1749">
        <v>43</v>
      </c>
      <c r="G1749" s="1" t="str">
        <f>Ocupacao_DW[[#This Row],[data]]&amp;Ocupacao_DW[[#This Row],[profissional_id]]&amp;Ocupacao_DW[[#This Row],[local_id]]</f>
        <v>446431432643</v>
      </c>
      <c r="H1749" s="1">
        <f>_xlfn.XLOOKUP(Ocupacao_DW[[#This Row],[Concat]],Vagas!$H:$H,Vagas!$D:$D,"",0)</f>
        <v>0</v>
      </c>
    </row>
    <row r="1750" spans="1:8" x14ac:dyDescent="0.25">
      <c r="A1750" s="2">
        <v>44637</v>
      </c>
      <c r="B1750" s="1" t="s">
        <v>49</v>
      </c>
      <c r="C1750">
        <v>81</v>
      </c>
      <c r="D1750" s="1" t="s">
        <v>170</v>
      </c>
      <c r="E1750" s="1" t="s">
        <v>4</v>
      </c>
      <c r="F1750">
        <v>41</v>
      </c>
      <c r="G1750" s="1" t="str">
        <f>Ocupacao_DW[[#This Row],[data]]&amp;Ocupacao_DW[[#This Row],[profissional_id]]&amp;Ocupacao_DW[[#This Row],[local_id]]</f>
        <v>446378141</v>
      </c>
      <c r="H1750" s="1">
        <f>_xlfn.XLOOKUP(Ocupacao_DW[[#This Row],[Concat]],Vagas!$H:$H,Vagas!$D:$D,"",0)</f>
        <v>0</v>
      </c>
    </row>
    <row r="1751" spans="1:8" x14ac:dyDescent="0.25">
      <c r="A1751" s="2">
        <v>44638</v>
      </c>
      <c r="B1751" s="1" t="s">
        <v>64</v>
      </c>
      <c r="C1751">
        <v>86</v>
      </c>
      <c r="D1751" s="1" t="s">
        <v>175</v>
      </c>
      <c r="E1751" s="1" t="s">
        <v>5</v>
      </c>
      <c r="F1751">
        <v>349</v>
      </c>
      <c r="G1751" s="1" t="str">
        <f>Ocupacao_DW[[#This Row],[data]]&amp;Ocupacao_DW[[#This Row],[profissional_id]]&amp;Ocupacao_DW[[#This Row],[local_id]]</f>
        <v>4463886349</v>
      </c>
      <c r="H1751" s="1">
        <f>_xlfn.XLOOKUP(Ocupacao_DW[[#This Row],[Concat]],Vagas!$H:$H,Vagas!$D:$D,"",0)</f>
        <v>0</v>
      </c>
    </row>
    <row r="1752" spans="1:8" x14ac:dyDescent="0.25">
      <c r="A1752" s="2">
        <v>44637</v>
      </c>
      <c r="B1752" s="1" t="s">
        <v>47</v>
      </c>
      <c r="C1752">
        <v>9111</v>
      </c>
      <c r="D1752" s="1" t="s">
        <v>206</v>
      </c>
      <c r="E1752" s="1" t="s">
        <v>4</v>
      </c>
      <c r="F1752">
        <v>334</v>
      </c>
      <c r="G1752" s="1" t="str">
        <f>Ocupacao_DW[[#This Row],[data]]&amp;Ocupacao_DW[[#This Row],[profissional_id]]&amp;Ocupacao_DW[[#This Row],[local_id]]</f>
        <v>446379111334</v>
      </c>
      <c r="H1752" s="1">
        <f>_xlfn.XLOOKUP(Ocupacao_DW[[#This Row],[Concat]],Vagas!$H:$H,Vagas!$D:$D,"",0)</f>
        <v>0</v>
      </c>
    </row>
    <row r="1753" spans="1:8" x14ac:dyDescent="0.25">
      <c r="A1753" s="2">
        <v>44638</v>
      </c>
      <c r="B1753" s="1" t="s">
        <v>62</v>
      </c>
      <c r="C1753">
        <v>3502</v>
      </c>
      <c r="D1753" s="1" t="s">
        <v>214</v>
      </c>
      <c r="E1753" s="1" t="s">
        <v>7</v>
      </c>
      <c r="F1753">
        <v>69</v>
      </c>
      <c r="G1753" s="1" t="str">
        <f>Ocupacao_DW[[#This Row],[data]]&amp;Ocupacao_DW[[#This Row],[profissional_id]]&amp;Ocupacao_DW[[#This Row],[local_id]]</f>
        <v>44638350269</v>
      </c>
      <c r="H1753" s="1">
        <f>_xlfn.XLOOKUP(Ocupacao_DW[[#This Row],[Concat]],Vagas!$H:$H,Vagas!$D:$D,"",0)</f>
        <v>0</v>
      </c>
    </row>
    <row r="1754" spans="1:8" x14ac:dyDescent="0.25">
      <c r="A1754" s="2">
        <v>44638</v>
      </c>
      <c r="B1754" s="1" t="s">
        <v>64</v>
      </c>
      <c r="C1754">
        <v>86</v>
      </c>
      <c r="D1754" s="1" t="s">
        <v>175</v>
      </c>
      <c r="E1754" s="1" t="s">
        <v>5</v>
      </c>
      <c r="F1754">
        <v>349</v>
      </c>
      <c r="G1754" s="1" t="str">
        <f>Ocupacao_DW[[#This Row],[data]]&amp;Ocupacao_DW[[#This Row],[profissional_id]]&amp;Ocupacao_DW[[#This Row],[local_id]]</f>
        <v>4463886349</v>
      </c>
      <c r="H1754" s="1">
        <f>_xlfn.XLOOKUP(Ocupacao_DW[[#This Row],[Concat]],Vagas!$H:$H,Vagas!$D:$D,"",0)</f>
        <v>0</v>
      </c>
    </row>
    <row r="1755" spans="1:8" x14ac:dyDescent="0.25">
      <c r="A1755" s="2">
        <v>44635</v>
      </c>
      <c r="B1755" s="1" t="s">
        <v>51</v>
      </c>
      <c r="C1755">
        <v>12582</v>
      </c>
      <c r="D1755" s="1" t="s">
        <v>190</v>
      </c>
      <c r="E1755" s="1" t="s">
        <v>7</v>
      </c>
      <c r="F1755">
        <v>62</v>
      </c>
      <c r="G1755" s="1" t="str">
        <f>Ocupacao_DW[[#This Row],[data]]&amp;Ocupacao_DW[[#This Row],[profissional_id]]&amp;Ocupacao_DW[[#This Row],[local_id]]</f>
        <v>446351258262</v>
      </c>
      <c r="H1755" s="1">
        <f>_xlfn.XLOOKUP(Ocupacao_DW[[#This Row],[Concat]],Vagas!$H:$H,Vagas!$D:$D,"",0)</f>
        <v>0</v>
      </c>
    </row>
    <row r="1756" spans="1:8" x14ac:dyDescent="0.25">
      <c r="A1756" s="2">
        <v>44640</v>
      </c>
      <c r="B1756" s="1" t="s">
        <v>62</v>
      </c>
      <c r="C1756">
        <v>4887</v>
      </c>
      <c r="D1756" s="1" t="s">
        <v>168</v>
      </c>
      <c r="E1756" s="1" t="s">
        <v>167</v>
      </c>
      <c r="F1756">
        <v>340</v>
      </c>
      <c r="G1756" s="1" t="str">
        <f>Ocupacao_DW[[#This Row],[data]]&amp;Ocupacao_DW[[#This Row],[profissional_id]]&amp;Ocupacao_DW[[#This Row],[local_id]]</f>
        <v>446404887340</v>
      </c>
      <c r="H1756" s="1">
        <f>_xlfn.XLOOKUP(Ocupacao_DW[[#This Row],[Concat]],Vagas!$H:$H,Vagas!$D:$D,"",0)</f>
        <v>0</v>
      </c>
    </row>
    <row r="1757" spans="1:8" x14ac:dyDescent="0.25">
      <c r="A1757" s="2">
        <v>44640</v>
      </c>
      <c r="B1757" s="1" t="s">
        <v>62</v>
      </c>
      <c r="C1757">
        <v>4887</v>
      </c>
      <c r="D1757" s="1" t="s">
        <v>168</v>
      </c>
      <c r="E1757" s="1" t="s">
        <v>167</v>
      </c>
      <c r="F1757">
        <v>340</v>
      </c>
      <c r="G1757" s="1" t="str">
        <f>Ocupacao_DW[[#This Row],[data]]&amp;Ocupacao_DW[[#This Row],[profissional_id]]&amp;Ocupacao_DW[[#This Row],[local_id]]</f>
        <v>446404887340</v>
      </c>
      <c r="H1757" s="1">
        <f>_xlfn.XLOOKUP(Ocupacao_DW[[#This Row],[Concat]],Vagas!$H:$H,Vagas!$D:$D,"",0)</f>
        <v>0</v>
      </c>
    </row>
    <row r="1758" spans="1:8" x14ac:dyDescent="0.25">
      <c r="A1758" s="2">
        <v>44640</v>
      </c>
      <c r="B1758" s="1" t="s">
        <v>62</v>
      </c>
      <c r="C1758">
        <v>4887</v>
      </c>
      <c r="D1758" s="1" t="s">
        <v>168</v>
      </c>
      <c r="E1758" s="1" t="s">
        <v>167</v>
      </c>
      <c r="F1758">
        <v>340</v>
      </c>
      <c r="G1758" s="1" t="str">
        <f>Ocupacao_DW[[#This Row],[data]]&amp;Ocupacao_DW[[#This Row],[profissional_id]]&amp;Ocupacao_DW[[#This Row],[local_id]]</f>
        <v>446404887340</v>
      </c>
      <c r="H1758" s="1">
        <f>_xlfn.XLOOKUP(Ocupacao_DW[[#This Row],[Concat]],Vagas!$H:$H,Vagas!$D:$D,"",0)</f>
        <v>0</v>
      </c>
    </row>
    <row r="1759" spans="1:8" x14ac:dyDescent="0.25">
      <c r="A1759" s="2">
        <v>44641</v>
      </c>
      <c r="B1759" s="1" t="s">
        <v>49</v>
      </c>
      <c r="C1759">
        <v>3092</v>
      </c>
      <c r="D1759" s="1" t="s">
        <v>262</v>
      </c>
      <c r="E1759" s="1" t="s">
        <v>4</v>
      </c>
      <c r="F1759">
        <v>44</v>
      </c>
      <c r="G1759" s="1" t="str">
        <f>Ocupacao_DW[[#This Row],[data]]&amp;Ocupacao_DW[[#This Row],[profissional_id]]&amp;Ocupacao_DW[[#This Row],[local_id]]</f>
        <v>44641309244</v>
      </c>
      <c r="H1759" s="1">
        <f>_xlfn.XLOOKUP(Ocupacao_DW[[#This Row],[Concat]],Vagas!$H:$H,Vagas!$D:$D,"",0)</f>
        <v>0</v>
      </c>
    </row>
    <row r="1760" spans="1:8" x14ac:dyDescent="0.25">
      <c r="A1760" s="2">
        <v>44637</v>
      </c>
      <c r="B1760" s="1" t="s">
        <v>66</v>
      </c>
      <c r="C1760">
        <v>100</v>
      </c>
      <c r="D1760" s="1" t="s">
        <v>166</v>
      </c>
      <c r="E1760" s="1" t="s">
        <v>167</v>
      </c>
      <c r="F1760">
        <v>342</v>
      </c>
      <c r="G1760" s="1" t="str">
        <f>Ocupacao_DW[[#This Row],[data]]&amp;Ocupacao_DW[[#This Row],[profissional_id]]&amp;Ocupacao_DW[[#This Row],[local_id]]</f>
        <v>44637100342</v>
      </c>
      <c r="H1760" s="1">
        <f>_xlfn.XLOOKUP(Ocupacao_DW[[#This Row],[Concat]],Vagas!$H:$H,Vagas!$D:$D,"",0)</f>
        <v>0</v>
      </c>
    </row>
    <row r="1761" spans="1:8" x14ac:dyDescent="0.25">
      <c r="A1761" s="2">
        <v>44636</v>
      </c>
      <c r="B1761" s="1" t="s">
        <v>65</v>
      </c>
      <c r="C1761">
        <v>13058</v>
      </c>
      <c r="D1761" s="1" t="s">
        <v>256</v>
      </c>
      <c r="E1761" s="1" t="s">
        <v>4</v>
      </c>
      <c r="F1761">
        <v>47</v>
      </c>
      <c r="G1761" s="1" t="str">
        <f>Ocupacao_DW[[#This Row],[data]]&amp;Ocupacao_DW[[#This Row],[profissional_id]]&amp;Ocupacao_DW[[#This Row],[local_id]]</f>
        <v>446361305847</v>
      </c>
      <c r="H1761" s="1">
        <f>_xlfn.XLOOKUP(Ocupacao_DW[[#This Row],[Concat]],Vagas!$H:$H,Vagas!$D:$D,"",0)</f>
        <v>0</v>
      </c>
    </row>
    <row r="1762" spans="1:8" x14ac:dyDescent="0.25">
      <c r="A1762" s="2">
        <v>44635</v>
      </c>
      <c r="B1762" s="1" t="s">
        <v>47</v>
      </c>
      <c r="C1762">
        <v>12752</v>
      </c>
      <c r="D1762" s="1" t="s">
        <v>253</v>
      </c>
      <c r="E1762" s="1" t="s">
        <v>7</v>
      </c>
      <c r="F1762">
        <v>60</v>
      </c>
      <c r="G1762" s="1" t="str">
        <f>Ocupacao_DW[[#This Row],[data]]&amp;Ocupacao_DW[[#This Row],[profissional_id]]&amp;Ocupacao_DW[[#This Row],[local_id]]</f>
        <v>446351275260</v>
      </c>
      <c r="H1762" s="1">
        <f>_xlfn.XLOOKUP(Ocupacao_DW[[#This Row],[Concat]],Vagas!$H:$H,Vagas!$D:$D,"",0)</f>
        <v>0</v>
      </c>
    </row>
    <row r="1763" spans="1:8" x14ac:dyDescent="0.25">
      <c r="A1763" s="2">
        <v>44642</v>
      </c>
      <c r="B1763" s="1" t="s">
        <v>65</v>
      </c>
      <c r="C1763">
        <v>11237</v>
      </c>
      <c r="D1763" s="1" t="s">
        <v>229</v>
      </c>
      <c r="E1763" s="1" t="s">
        <v>4</v>
      </c>
      <c r="F1763">
        <v>46</v>
      </c>
      <c r="G1763" s="1" t="str">
        <f>Ocupacao_DW[[#This Row],[data]]&amp;Ocupacao_DW[[#This Row],[profissional_id]]&amp;Ocupacao_DW[[#This Row],[local_id]]</f>
        <v>446421123746</v>
      </c>
      <c r="H1763" s="1">
        <f>_xlfn.XLOOKUP(Ocupacao_DW[[#This Row],[Concat]],Vagas!$H:$H,Vagas!$D:$D,"",0)</f>
        <v>0</v>
      </c>
    </row>
    <row r="1764" spans="1:8" x14ac:dyDescent="0.25">
      <c r="A1764" s="2">
        <v>44645</v>
      </c>
      <c r="B1764" s="1" t="s">
        <v>52</v>
      </c>
      <c r="C1764">
        <v>60</v>
      </c>
      <c r="D1764" s="1" t="s">
        <v>217</v>
      </c>
      <c r="E1764" s="1" t="s">
        <v>167</v>
      </c>
      <c r="F1764">
        <v>348</v>
      </c>
      <c r="G1764" s="1" t="str">
        <f>Ocupacao_DW[[#This Row],[data]]&amp;Ocupacao_DW[[#This Row],[profissional_id]]&amp;Ocupacao_DW[[#This Row],[local_id]]</f>
        <v>4464560348</v>
      </c>
      <c r="H1764" s="1">
        <f>_xlfn.XLOOKUP(Ocupacao_DW[[#This Row],[Concat]],Vagas!$H:$H,Vagas!$D:$D,"",0)</f>
        <v>0</v>
      </c>
    </row>
    <row r="1765" spans="1:8" x14ac:dyDescent="0.25">
      <c r="A1765" s="2">
        <v>44643</v>
      </c>
      <c r="B1765" s="1" t="s">
        <v>60</v>
      </c>
      <c r="C1765">
        <v>14326</v>
      </c>
      <c r="D1765" s="1" t="s">
        <v>220</v>
      </c>
      <c r="E1765" s="1" t="s">
        <v>4</v>
      </c>
      <c r="F1765">
        <v>43</v>
      </c>
      <c r="G1765" s="1" t="str">
        <f>Ocupacao_DW[[#This Row],[data]]&amp;Ocupacao_DW[[#This Row],[profissional_id]]&amp;Ocupacao_DW[[#This Row],[local_id]]</f>
        <v>446431432643</v>
      </c>
      <c r="H1765" s="1">
        <f>_xlfn.XLOOKUP(Ocupacao_DW[[#This Row],[Concat]],Vagas!$H:$H,Vagas!$D:$D,"",0)</f>
        <v>0</v>
      </c>
    </row>
    <row r="1766" spans="1:8" x14ac:dyDescent="0.25">
      <c r="A1766" s="2">
        <v>44636</v>
      </c>
      <c r="B1766" s="1" t="s">
        <v>64</v>
      </c>
      <c r="C1766">
        <v>531</v>
      </c>
      <c r="D1766" s="1" t="s">
        <v>213</v>
      </c>
      <c r="E1766" s="1" t="s">
        <v>5</v>
      </c>
      <c r="F1766">
        <v>12</v>
      </c>
      <c r="G1766" s="1" t="str">
        <f>Ocupacao_DW[[#This Row],[data]]&amp;Ocupacao_DW[[#This Row],[profissional_id]]&amp;Ocupacao_DW[[#This Row],[local_id]]</f>
        <v>4463653112</v>
      </c>
      <c r="H1766" s="1">
        <f>_xlfn.XLOOKUP(Ocupacao_DW[[#This Row],[Concat]],Vagas!$H:$H,Vagas!$D:$D,"",0)</f>
        <v>0</v>
      </c>
    </row>
    <row r="1767" spans="1:8" x14ac:dyDescent="0.25">
      <c r="A1767" s="2">
        <v>44643</v>
      </c>
      <c r="B1767" s="1" t="s">
        <v>51</v>
      </c>
      <c r="C1767">
        <v>17931</v>
      </c>
      <c r="D1767" s="1" t="s">
        <v>286</v>
      </c>
      <c r="E1767" s="1" t="s">
        <v>5</v>
      </c>
      <c r="F1767">
        <v>11</v>
      </c>
      <c r="G1767" s="1" t="str">
        <f>Ocupacao_DW[[#This Row],[data]]&amp;Ocupacao_DW[[#This Row],[profissional_id]]&amp;Ocupacao_DW[[#This Row],[local_id]]</f>
        <v>446431793111</v>
      </c>
      <c r="H1767" s="1">
        <f>_xlfn.XLOOKUP(Ocupacao_DW[[#This Row],[Concat]],Vagas!$H:$H,Vagas!$D:$D,"",0)</f>
        <v>0</v>
      </c>
    </row>
    <row r="1768" spans="1:8" x14ac:dyDescent="0.25">
      <c r="A1768" s="2">
        <v>44657</v>
      </c>
      <c r="B1768" s="1" t="s">
        <v>55</v>
      </c>
      <c r="C1768">
        <v>73</v>
      </c>
      <c r="D1768" s="1" t="s">
        <v>171</v>
      </c>
      <c r="E1768" s="1" t="s">
        <v>6</v>
      </c>
      <c r="F1768">
        <v>5</v>
      </c>
      <c r="G1768" s="1" t="str">
        <f>Ocupacao_DW[[#This Row],[data]]&amp;Ocupacao_DW[[#This Row],[profissional_id]]&amp;Ocupacao_DW[[#This Row],[local_id]]</f>
        <v>44657735</v>
      </c>
      <c r="H1768" s="1">
        <f>_xlfn.XLOOKUP(Ocupacao_DW[[#This Row],[Concat]],Vagas!$H:$H,Vagas!$D:$D,"",0)</f>
        <v>0</v>
      </c>
    </row>
    <row r="1769" spans="1:8" x14ac:dyDescent="0.25">
      <c r="A1769" s="2">
        <v>44645</v>
      </c>
      <c r="B1769" s="1" t="s">
        <v>52</v>
      </c>
      <c r="C1769">
        <v>57</v>
      </c>
      <c r="D1769" s="1" t="s">
        <v>169</v>
      </c>
      <c r="E1769" s="1" t="s">
        <v>6</v>
      </c>
      <c r="F1769">
        <v>8</v>
      </c>
      <c r="G1769" s="1" t="str">
        <f>Ocupacao_DW[[#This Row],[data]]&amp;Ocupacao_DW[[#This Row],[profissional_id]]&amp;Ocupacao_DW[[#This Row],[local_id]]</f>
        <v>44645578</v>
      </c>
      <c r="H1769" s="1">
        <f>_xlfn.XLOOKUP(Ocupacao_DW[[#This Row],[Concat]],Vagas!$H:$H,Vagas!$D:$D,"",0)</f>
        <v>0</v>
      </c>
    </row>
    <row r="1770" spans="1:8" x14ac:dyDescent="0.25">
      <c r="A1770" s="2">
        <v>44638</v>
      </c>
      <c r="B1770" s="1" t="s">
        <v>72</v>
      </c>
      <c r="C1770">
        <v>1794</v>
      </c>
      <c r="D1770" s="1" t="s">
        <v>235</v>
      </c>
      <c r="E1770" s="1" t="s">
        <v>4</v>
      </c>
      <c r="F1770">
        <v>46</v>
      </c>
      <c r="G1770" s="1" t="str">
        <f>Ocupacao_DW[[#This Row],[data]]&amp;Ocupacao_DW[[#This Row],[profissional_id]]&amp;Ocupacao_DW[[#This Row],[local_id]]</f>
        <v>44638179446</v>
      </c>
      <c r="H1770" s="1">
        <f>_xlfn.XLOOKUP(Ocupacao_DW[[#This Row],[Concat]],Vagas!$H:$H,Vagas!$D:$D,"",0)</f>
        <v>0</v>
      </c>
    </row>
    <row r="1771" spans="1:8" x14ac:dyDescent="0.25">
      <c r="A1771" s="2">
        <v>44639</v>
      </c>
      <c r="B1771" s="1" t="s">
        <v>49</v>
      </c>
      <c r="C1771">
        <v>13756</v>
      </c>
      <c r="D1771" s="1" t="s">
        <v>202</v>
      </c>
      <c r="E1771" s="1" t="s">
        <v>4</v>
      </c>
      <c r="F1771">
        <v>43</v>
      </c>
      <c r="G1771" s="1" t="str">
        <f>Ocupacao_DW[[#This Row],[data]]&amp;Ocupacao_DW[[#This Row],[profissional_id]]&amp;Ocupacao_DW[[#This Row],[local_id]]</f>
        <v>446391375643</v>
      </c>
      <c r="H1771" s="1">
        <f>_xlfn.XLOOKUP(Ocupacao_DW[[#This Row],[Concat]],Vagas!$H:$H,Vagas!$D:$D,"",0)</f>
        <v>0</v>
      </c>
    </row>
    <row r="1772" spans="1:8" x14ac:dyDescent="0.25">
      <c r="A1772" s="2">
        <v>44635</v>
      </c>
      <c r="B1772" s="1" t="s">
        <v>68</v>
      </c>
      <c r="C1772">
        <v>8239</v>
      </c>
      <c r="D1772" s="1" t="s">
        <v>257</v>
      </c>
      <c r="E1772" s="1" t="s">
        <v>167</v>
      </c>
      <c r="F1772">
        <v>345</v>
      </c>
      <c r="G1772" s="1" t="str">
        <f>Ocupacao_DW[[#This Row],[data]]&amp;Ocupacao_DW[[#This Row],[profissional_id]]&amp;Ocupacao_DW[[#This Row],[local_id]]</f>
        <v>446358239345</v>
      </c>
      <c r="H1772" s="1">
        <f>_xlfn.XLOOKUP(Ocupacao_DW[[#This Row],[Concat]],Vagas!$H:$H,Vagas!$D:$D,"",0)</f>
        <v>0</v>
      </c>
    </row>
    <row r="1773" spans="1:8" x14ac:dyDescent="0.25">
      <c r="A1773" s="2">
        <v>44645</v>
      </c>
      <c r="B1773" s="1" t="s">
        <v>52</v>
      </c>
      <c r="C1773">
        <v>57</v>
      </c>
      <c r="D1773" s="1" t="s">
        <v>169</v>
      </c>
      <c r="E1773" s="1" t="s">
        <v>6</v>
      </c>
      <c r="F1773">
        <v>8</v>
      </c>
      <c r="G1773" s="1" t="str">
        <f>Ocupacao_DW[[#This Row],[data]]&amp;Ocupacao_DW[[#This Row],[profissional_id]]&amp;Ocupacao_DW[[#This Row],[local_id]]</f>
        <v>44645578</v>
      </c>
      <c r="H1773" s="1">
        <f>_xlfn.XLOOKUP(Ocupacao_DW[[#This Row],[Concat]],Vagas!$H:$H,Vagas!$D:$D,"",0)</f>
        <v>0</v>
      </c>
    </row>
    <row r="1774" spans="1:8" x14ac:dyDescent="0.25">
      <c r="A1774" s="2">
        <v>44645</v>
      </c>
      <c r="B1774" s="1" t="s">
        <v>72</v>
      </c>
      <c r="C1774">
        <v>13479</v>
      </c>
      <c r="D1774" s="1" t="s">
        <v>203</v>
      </c>
      <c r="E1774" s="1" t="s">
        <v>200</v>
      </c>
      <c r="F1774">
        <v>83</v>
      </c>
      <c r="G1774" s="1" t="str">
        <f>Ocupacao_DW[[#This Row],[data]]&amp;Ocupacao_DW[[#This Row],[profissional_id]]&amp;Ocupacao_DW[[#This Row],[local_id]]</f>
        <v>446451347983</v>
      </c>
      <c r="H1774" s="1">
        <f>_xlfn.XLOOKUP(Ocupacao_DW[[#This Row],[Concat]],Vagas!$H:$H,Vagas!$D:$D,"",0)</f>
        <v>0</v>
      </c>
    </row>
    <row r="1775" spans="1:8" x14ac:dyDescent="0.25">
      <c r="A1775" s="2">
        <v>44646</v>
      </c>
      <c r="B1775" s="1" t="s">
        <v>60</v>
      </c>
      <c r="C1775">
        <v>117</v>
      </c>
      <c r="D1775" s="1" t="s">
        <v>180</v>
      </c>
      <c r="E1775" s="1" t="s">
        <v>4</v>
      </c>
      <c r="F1775">
        <v>48</v>
      </c>
      <c r="G1775" s="1" t="str">
        <f>Ocupacao_DW[[#This Row],[data]]&amp;Ocupacao_DW[[#This Row],[profissional_id]]&amp;Ocupacao_DW[[#This Row],[local_id]]</f>
        <v>4464611748</v>
      </c>
      <c r="H1775" s="1">
        <f>_xlfn.XLOOKUP(Ocupacao_DW[[#This Row],[Concat]],Vagas!$H:$H,Vagas!$D:$D,"",0)</f>
        <v>0</v>
      </c>
    </row>
    <row r="1776" spans="1:8" x14ac:dyDescent="0.25">
      <c r="A1776" s="2">
        <v>44635</v>
      </c>
      <c r="B1776" s="1" t="s">
        <v>70</v>
      </c>
      <c r="C1776">
        <v>12825</v>
      </c>
      <c r="D1776" s="1" t="s">
        <v>177</v>
      </c>
      <c r="E1776" s="1" t="s">
        <v>7</v>
      </c>
      <c r="F1776">
        <v>63</v>
      </c>
      <c r="G1776" s="1" t="str">
        <f>Ocupacao_DW[[#This Row],[data]]&amp;Ocupacao_DW[[#This Row],[profissional_id]]&amp;Ocupacao_DW[[#This Row],[local_id]]</f>
        <v>446351282563</v>
      </c>
      <c r="H1776" s="1">
        <f>_xlfn.XLOOKUP(Ocupacao_DW[[#This Row],[Concat]],Vagas!$H:$H,Vagas!$D:$D,"",0)</f>
        <v>0</v>
      </c>
    </row>
    <row r="1777" spans="1:8" x14ac:dyDescent="0.25">
      <c r="A1777" s="2">
        <v>44636</v>
      </c>
      <c r="B1777" s="1" t="s">
        <v>47</v>
      </c>
      <c r="C1777">
        <v>110</v>
      </c>
      <c r="D1777" s="1" t="s">
        <v>193</v>
      </c>
      <c r="E1777" s="1" t="s">
        <v>4</v>
      </c>
      <c r="F1777">
        <v>334</v>
      </c>
      <c r="G1777" s="1" t="str">
        <f>Ocupacao_DW[[#This Row],[data]]&amp;Ocupacao_DW[[#This Row],[profissional_id]]&amp;Ocupacao_DW[[#This Row],[local_id]]</f>
        <v>44636110334</v>
      </c>
      <c r="H1777" s="1">
        <f>_xlfn.XLOOKUP(Ocupacao_DW[[#This Row],[Concat]],Vagas!$H:$H,Vagas!$D:$D,"",0)</f>
        <v>0</v>
      </c>
    </row>
    <row r="1778" spans="1:8" x14ac:dyDescent="0.25">
      <c r="A1778" s="2">
        <v>44638</v>
      </c>
      <c r="B1778" s="1" t="s">
        <v>72</v>
      </c>
      <c r="C1778">
        <v>1794</v>
      </c>
      <c r="D1778" s="1" t="s">
        <v>235</v>
      </c>
      <c r="E1778" s="1" t="s">
        <v>4</v>
      </c>
      <c r="F1778">
        <v>46</v>
      </c>
      <c r="G1778" s="1" t="str">
        <f>Ocupacao_DW[[#This Row],[data]]&amp;Ocupacao_DW[[#This Row],[profissional_id]]&amp;Ocupacao_DW[[#This Row],[local_id]]</f>
        <v>44638179446</v>
      </c>
      <c r="H1778" s="1">
        <f>_xlfn.XLOOKUP(Ocupacao_DW[[#This Row],[Concat]],Vagas!$H:$H,Vagas!$D:$D,"",0)</f>
        <v>0</v>
      </c>
    </row>
    <row r="1779" spans="1:8" x14ac:dyDescent="0.25">
      <c r="A1779" s="2">
        <v>44638</v>
      </c>
      <c r="B1779" s="1" t="s">
        <v>53</v>
      </c>
      <c r="C1779">
        <v>9138</v>
      </c>
      <c r="D1779" s="1" t="s">
        <v>184</v>
      </c>
      <c r="E1779" s="1" t="s">
        <v>167</v>
      </c>
      <c r="F1779">
        <v>344</v>
      </c>
      <c r="G1779" s="1" t="str">
        <f>Ocupacao_DW[[#This Row],[data]]&amp;Ocupacao_DW[[#This Row],[profissional_id]]&amp;Ocupacao_DW[[#This Row],[local_id]]</f>
        <v>446389138344</v>
      </c>
      <c r="H1779" s="1">
        <f>_xlfn.XLOOKUP(Ocupacao_DW[[#This Row],[Concat]],Vagas!$H:$H,Vagas!$D:$D,"",0)</f>
        <v>0</v>
      </c>
    </row>
    <row r="1780" spans="1:8" x14ac:dyDescent="0.25">
      <c r="A1780" s="2">
        <v>44639</v>
      </c>
      <c r="B1780" s="1" t="s">
        <v>72</v>
      </c>
      <c r="C1780">
        <v>6046</v>
      </c>
      <c r="D1780" s="1" t="s">
        <v>222</v>
      </c>
      <c r="E1780" s="1" t="s">
        <v>4</v>
      </c>
      <c r="F1780">
        <v>46</v>
      </c>
      <c r="G1780" s="1" t="str">
        <f>Ocupacao_DW[[#This Row],[data]]&amp;Ocupacao_DW[[#This Row],[profissional_id]]&amp;Ocupacao_DW[[#This Row],[local_id]]</f>
        <v>44639604646</v>
      </c>
      <c r="H1780" s="1">
        <f>_xlfn.XLOOKUP(Ocupacao_DW[[#This Row],[Concat]],Vagas!$H:$H,Vagas!$D:$D,"",0)</f>
        <v>0</v>
      </c>
    </row>
    <row r="1781" spans="1:8" x14ac:dyDescent="0.25">
      <c r="A1781" s="2">
        <v>44648</v>
      </c>
      <c r="B1781" s="1" t="s">
        <v>69</v>
      </c>
      <c r="C1781">
        <v>13249</v>
      </c>
      <c r="D1781" s="1" t="s">
        <v>178</v>
      </c>
      <c r="E1781" s="1" t="s">
        <v>4</v>
      </c>
      <c r="F1781">
        <v>45</v>
      </c>
      <c r="G1781" s="1" t="str">
        <f>Ocupacao_DW[[#This Row],[data]]&amp;Ocupacao_DW[[#This Row],[profissional_id]]&amp;Ocupacao_DW[[#This Row],[local_id]]</f>
        <v>446481324945</v>
      </c>
      <c r="H1781" s="1">
        <f>_xlfn.XLOOKUP(Ocupacao_DW[[#This Row],[Concat]],Vagas!$H:$H,Vagas!$D:$D,"",0)</f>
        <v>0</v>
      </c>
    </row>
    <row r="1782" spans="1:8" x14ac:dyDescent="0.25">
      <c r="A1782" s="2">
        <v>44638</v>
      </c>
      <c r="B1782" s="1" t="s">
        <v>52</v>
      </c>
      <c r="C1782">
        <v>60</v>
      </c>
      <c r="D1782" s="1" t="s">
        <v>217</v>
      </c>
      <c r="E1782" s="1" t="s">
        <v>167</v>
      </c>
      <c r="F1782">
        <v>348</v>
      </c>
      <c r="G1782" s="1" t="str">
        <f>Ocupacao_DW[[#This Row],[data]]&amp;Ocupacao_DW[[#This Row],[profissional_id]]&amp;Ocupacao_DW[[#This Row],[local_id]]</f>
        <v>4463860348</v>
      </c>
      <c r="H1782" s="1">
        <f>_xlfn.XLOOKUP(Ocupacao_DW[[#This Row],[Concat]],Vagas!$H:$H,Vagas!$D:$D,"",0)</f>
        <v>0</v>
      </c>
    </row>
    <row r="1783" spans="1:8" x14ac:dyDescent="0.25">
      <c r="A1783" s="2">
        <v>44636</v>
      </c>
      <c r="B1783" s="1" t="s">
        <v>20</v>
      </c>
      <c r="C1783">
        <v>174</v>
      </c>
      <c r="D1783" s="1" t="s">
        <v>230</v>
      </c>
      <c r="E1783" s="1" t="s">
        <v>167</v>
      </c>
      <c r="F1783">
        <v>24</v>
      </c>
      <c r="G1783" s="1" t="str">
        <f>Ocupacao_DW[[#This Row],[data]]&amp;Ocupacao_DW[[#This Row],[profissional_id]]&amp;Ocupacao_DW[[#This Row],[local_id]]</f>
        <v>4463617424</v>
      </c>
      <c r="H1783" s="1">
        <f>_xlfn.XLOOKUP(Ocupacao_DW[[#This Row],[Concat]],Vagas!$H:$H,Vagas!$D:$D,"",0)</f>
        <v>74</v>
      </c>
    </row>
    <row r="1784" spans="1:8" x14ac:dyDescent="0.25">
      <c r="A1784" s="2">
        <v>44638</v>
      </c>
      <c r="B1784" s="1" t="s">
        <v>54</v>
      </c>
      <c r="C1784">
        <v>69</v>
      </c>
      <c r="D1784" s="1" t="s">
        <v>238</v>
      </c>
      <c r="E1784" s="1" t="s">
        <v>5</v>
      </c>
      <c r="F1784">
        <v>13</v>
      </c>
      <c r="G1784" s="1" t="str">
        <f>Ocupacao_DW[[#This Row],[data]]&amp;Ocupacao_DW[[#This Row],[profissional_id]]&amp;Ocupacao_DW[[#This Row],[local_id]]</f>
        <v>446386913</v>
      </c>
      <c r="H1784" s="1">
        <f>_xlfn.XLOOKUP(Ocupacao_DW[[#This Row],[Concat]],Vagas!$H:$H,Vagas!$D:$D,"",0)</f>
        <v>0</v>
      </c>
    </row>
    <row r="1785" spans="1:8" x14ac:dyDescent="0.25">
      <c r="A1785" s="2">
        <v>44642</v>
      </c>
      <c r="B1785" s="1" t="s">
        <v>65</v>
      </c>
      <c r="C1785">
        <v>11237</v>
      </c>
      <c r="D1785" s="1" t="s">
        <v>229</v>
      </c>
      <c r="E1785" s="1" t="s">
        <v>4</v>
      </c>
      <c r="F1785">
        <v>46</v>
      </c>
      <c r="G1785" s="1" t="str">
        <f>Ocupacao_DW[[#This Row],[data]]&amp;Ocupacao_DW[[#This Row],[profissional_id]]&amp;Ocupacao_DW[[#This Row],[local_id]]</f>
        <v>446421123746</v>
      </c>
      <c r="H1785" s="1">
        <f>_xlfn.XLOOKUP(Ocupacao_DW[[#This Row],[Concat]],Vagas!$H:$H,Vagas!$D:$D,"",0)</f>
        <v>0</v>
      </c>
    </row>
    <row r="1786" spans="1:8" x14ac:dyDescent="0.25">
      <c r="A1786" s="2">
        <v>44638</v>
      </c>
      <c r="B1786" s="1" t="s">
        <v>59</v>
      </c>
      <c r="C1786">
        <v>10249</v>
      </c>
      <c r="D1786" s="1" t="s">
        <v>231</v>
      </c>
      <c r="E1786" s="1" t="s">
        <v>4</v>
      </c>
      <c r="F1786">
        <v>43</v>
      </c>
      <c r="G1786" s="1" t="str">
        <f>Ocupacao_DW[[#This Row],[data]]&amp;Ocupacao_DW[[#This Row],[profissional_id]]&amp;Ocupacao_DW[[#This Row],[local_id]]</f>
        <v>446381024943</v>
      </c>
      <c r="H1786" s="1">
        <f>_xlfn.XLOOKUP(Ocupacao_DW[[#This Row],[Concat]],Vagas!$H:$H,Vagas!$D:$D,"",0)</f>
        <v>0</v>
      </c>
    </row>
    <row r="1787" spans="1:8" x14ac:dyDescent="0.25">
      <c r="A1787" s="2">
        <v>44635</v>
      </c>
      <c r="B1787" s="1" t="s">
        <v>44</v>
      </c>
      <c r="C1787">
        <v>17908</v>
      </c>
      <c r="D1787" s="1" t="s">
        <v>296</v>
      </c>
      <c r="E1787" s="1" t="s">
        <v>167</v>
      </c>
      <c r="F1787">
        <v>25</v>
      </c>
      <c r="G1787" s="1" t="str">
        <f>Ocupacao_DW[[#This Row],[data]]&amp;Ocupacao_DW[[#This Row],[profissional_id]]&amp;Ocupacao_DW[[#This Row],[local_id]]</f>
        <v>446351790825</v>
      </c>
      <c r="H1787" s="1">
        <f>_xlfn.XLOOKUP(Ocupacao_DW[[#This Row],[Concat]],Vagas!$H:$H,Vagas!$D:$D,"",0)</f>
        <v>8</v>
      </c>
    </row>
    <row r="1788" spans="1:8" x14ac:dyDescent="0.25">
      <c r="A1788" s="2">
        <v>44644</v>
      </c>
      <c r="B1788" s="1" t="s">
        <v>67</v>
      </c>
      <c r="C1788">
        <v>10717</v>
      </c>
      <c r="D1788" s="1" t="s">
        <v>245</v>
      </c>
      <c r="E1788" s="1" t="s">
        <v>7</v>
      </c>
      <c r="F1788">
        <v>69</v>
      </c>
      <c r="G1788" s="1" t="str">
        <f>Ocupacao_DW[[#This Row],[data]]&amp;Ocupacao_DW[[#This Row],[profissional_id]]&amp;Ocupacao_DW[[#This Row],[local_id]]</f>
        <v>446441071769</v>
      </c>
      <c r="H1788" s="1">
        <f>_xlfn.XLOOKUP(Ocupacao_DW[[#This Row],[Concat]],Vagas!$H:$H,Vagas!$D:$D,"",0)</f>
        <v>0</v>
      </c>
    </row>
    <row r="1789" spans="1:8" x14ac:dyDescent="0.25">
      <c r="A1789" s="2">
        <v>44643</v>
      </c>
      <c r="B1789" s="1" t="s">
        <v>20</v>
      </c>
      <c r="C1789">
        <v>174</v>
      </c>
      <c r="D1789" s="1" t="s">
        <v>230</v>
      </c>
      <c r="E1789" s="1" t="s">
        <v>167</v>
      </c>
      <c r="F1789">
        <v>24</v>
      </c>
      <c r="G1789" s="1" t="str">
        <f>Ocupacao_DW[[#This Row],[data]]&amp;Ocupacao_DW[[#This Row],[profissional_id]]&amp;Ocupacao_DW[[#This Row],[local_id]]</f>
        <v>4464317424</v>
      </c>
      <c r="H1789" s="1">
        <f>_xlfn.XLOOKUP(Ocupacao_DW[[#This Row],[Concat]],Vagas!$H:$H,Vagas!$D:$D,"",0)</f>
        <v>81</v>
      </c>
    </row>
    <row r="1790" spans="1:8" x14ac:dyDescent="0.25">
      <c r="A1790" s="2">
        <v>44636</v>
      </c>
      <c r="B1790" s="1" t="s">
        <v>46</v>
      </c>
      <c r="C1790">
        <v>17888</v>
      </c>
      <c r="D1790" s="1" t="s">
        <v>255</v>
      </c>
      <c r="E1790" s="1" t="s">
        <v>4</v>
      </c>
      <c r="F1790">
        <v>40</v>
      </c>
      <c r="G1790" s="1" t="str">
        <f>Ocupacao_DW[[#This Row],[data]]&amp;Ocupacao_DW[[#This Row],[profissional_id]]&amp;Ocupacao_DW[[#This Row],[local_id]]</f>
        <v>446361788840</v>
      </c>
      <c r="H1790" s="1">
        <f>_xlfn.XLOOKUP(Ocupacao_DW[[#This Row],[Concat]],Vagas!$H:$H,Vagas!$D:$D,"",0)</f>
        <v>17</v>
      </c>
    </row>
    <row r="1791" spans="1:8" x14ac:dyDescent="0.25">
      <c r="A1791" s="2">
        <v>44639</v>
      </c>
      <c r="B1791" s="1" t="s">
        <v>54</v>
      </c>
      <c r="C1791">
        <v>70</v>
      </c>
      <c r="D1791" s="1" t="s">
        <v>187</v>
      </c>
      <c r="E1791" s="1" t="s">
        <v>5</v>
      </c>
      <c r="F1791">
        <v>13</v>
      </c>
      <c r="G1791" s="1" t="str">
        <f>Ocupacao_DW[[#This Row],[data]]&amp;Ocupacao_DW[[#This Row],[profissional_id]]&amp;Ocupacao_DW[[#This Row],[local_id]]</f>
        <v>446397013</v>
      </c>
      <c r="H1791" s="1">
        <f>_xlfn.XLOOKUP(Ocupacao_DW[[#This Row],[Concat]],Vagas!$H:$H,Vagas!$D:$D,"",0)</f>
        <v>0</v>
      </c>
    </row>
    <row r="1792" spans="1:8" x14ac:dyDescent="0.25">
      <c r="A1792" s="2">
        <v>44638</v>
      </c>
      <c r="B1792" s="1" t="s">
        <v>47</v>
      </c>
      <c r="C1792">
        <v>9111</v>
      </c>
      <c r="D1792" s="1" t="s">
        <v>206</v>
      </c>
      <c r="E1792" s="1" t="s">
        <v>4</v>
      </c>
      <c r="F1792">
        <v>51</v>
      </c>
      <c r="G1792" s="1" t="str">
        <f>Ocupacao_DW[[#This Row],[data]]&amp;Ocupacao_DW[[#This Row],[profissional_id]]&amp;Ocupacao_DW[[#This Row],[local_id]]</f>
        <v>44638911151</v>
      </c>
      <c r="H1792" s="1">
        <f>_xlfn.XLOOKUP(Ocupacao_DW[[#This Row],[Concat]],Vagas!$H:$H,Vagas!$D:$D,"",0)</f>
        <v>0</v>
      </c>
    </row>
    <row r="1793" spans="1:8" x14ac:dyDescent="0.25">
      <c r="A1793" s="2">
        <v>44646</v>
      </c>
      <c r="B1793" s="1" t="s">
        <v>47</v>
      </c>
      <c r="C1793">
        <v>111</v>
      </c>
      <c r="D1793" s="1" t="s">
        <v>199</v>
      </c>
      <c r="E1793" s="1" t="s">
        <v>4</v>
      </c>
      <c r="F1793">
        <v>51</v>
      </c>
      <c r="G1793" s="1" t="str">
        <f>Ocupacao_DW[[#This Row],[data]]&amp;Ocupacao_DW[[#This Row],[profissional_id]]&amp;Ocupacao_DW[[#This Row],[local_id]]</f>
        <v>4464611151</v>
      </c>
      <c r="H1793" s="1">
        <f>_xlfn.XLOOKUP(Ocupacao_DW[[#This Row],[Concat]],Vagas!$H:$H,Vagas!$D:$D,"",0)</f>
        <v>31</v>
      </c>
    </row>
    <row r="1794" spans="1:8" x14ac:dyDescent="0.25">
      <c r="A1794" s="2">
        <v>44643</v>
      </c>
      <c r="B1794" s="1" t="s">
        <v>60</v>
      </c>
      <c r="C1794">
        <v>14326</v>
      </c>
      <c r="D1794" s="1" t="s">
        <v>220</v>
      </c>
      <c r="E1794" s="1" t="s">
        <v>4</v>
      </c>
      <c r="F1794">
        <v>43</v>
      </c>
      <c r="G1794" s="1" t="str">
        <f>Ocupacao_DW[[#This Row],[data]]&amp;Ocupacao_DW[[#This Row],[profissional_id]]&amp;Ocupacao_DW[[#This Row],[local_id]]</f>
        <v>446431432643</v>
      </c>
      <c r="H1794" s="1">
        <f>_xlfn.XLOOKUP(Ocupacao_DW[[#This Row],[Concat]],Vagas!$H:$H,Vagas!$D:$D,"",0)</f>
        <v>0</v>
      </c>
    </row>
    <row r="1795" spans="1:8" x14ac:dyDescent="0.25">
      <c r="A1795" s="2">
        <v>44637</v>
      </c>
      <c r="B1795" s="1" t="s">
        <v>64</v>
      </c>
      <c r="C1795">
        <v>85</v>
      </c>
      <c r="D1795" s="1" t="s">
        <v>211</v>
      </c>
      <c r="E1795" s="1" t="s">
        <v>5</v>
      </c>
      <c r="F1795">
        <v>349</v>
      </c>
      <c r="G1795" s="1" t="str">
        <f>Ocupacao_DW[[#This Row],[data]]&amp;Ocupacao_DW[[#This Row],[profissional_id]]&amp;Ocupacao_DW[[#This Row],[local_id]]</f>
        <v>4463785349</v>
      </c>
      <c r="H1795" s="1">
        <f>_xlfn.XLOOKUP(Ocupacao_DW[[#This Row],[Concat]],Vagas!$H:$H,Vagas!$D:$D,"",0)</f>
        <v>0</v>
      </c>
    </row>
    <row r="1796" spans="1:8" x14ac:dyDescent="0.25">
      <c r="A1796" s="2">
        <v>44641</v>
      </c>
      <c r="B1796" s="1" t="s">
        <v>56</v>
      </c>
      <c r="C1796">
        <v>75</v>
      </c>
      <c r="D1796" s="1" t="s">
        <v>208</v>
      </c>
      <c r="E1796" s="1" t="s">
        <v>6</v>
      </c>
      <c r="F1796">
        <v>6</v>
      </c>
      <c r="G1796" s="1" t="str">
        <f>Ocupacao_DW[[#This Row],[data]]&amp;Ocupacao_DW[[#This Row],[profissional_id]]&amp;Ocupacao_DW[[#This Row],[local_id]]</f>
        <v>44641756</v>
      </c>
      <c r="H1796" s="1">
        <f>_xlfn.XLOOKUP(Ocupacao_DW[[#This Row],[Concat]],Vagas!$H:$H,Vagas!$D:$D,"",0)</f>
        <v>0</v>
      </c>
    </row>
    <row r="1797" spans="1:8" x14ac:dyDescent="0.25">
      <c r="A1797" s="2">
        <v>44641</v>
      </c>
      <c r="B1797" s="1" t="s">
        <v>56</v>
      </c>
      <c r="C1797">
        <v>75</v>
      </c>
      <c r="D1797" s="1" t="s">
        <v>208</v>
      </c>
      <c r="E1797" s="1" t="s">
        <v>6</v>
      </c>
      <c r="F1797">
        <v>6</v>
      </c>
      <c r="G1797" s="1" t="str">
        <f>Ocupacao_DW[[#This Row],[data]]&amp;Ocupacao_DW[[#This Row],[profissional_id]]&amp;Ocupacao_DW[[#This Row],[local_id]]</f>
        <v>44641756</v>
      </c>
      <c r="H1797" s="1">
        <f>_xlfn.XLOOKUP(Ocupacao_DW[[#This Row],[Concat]],Vagas!$H:$H,Vagas!$D:$D,"",0)</f>
        <v>0</v>
      </c>
    </row>
    <row r="1798" spans="1:8" x14ac:dyDescent="0.25">
      <c r="A1798" s="2">
        <v>44649</v>
      </c>
      <c r="B1798" s="1" t="s">
        <v>52</v>
      </c>
      <c r="C1798">
        <v>60</v>
      </c>
      <c r="D1798" s="1" t="s">
        <v>217</v>
      </c>
      <c r="E1798" s="1" t="s">
        <v>167</v>
      </c>
      <c r="F1798">
        <v>345</v>
      </c>
      <c r="G1798" s="1" t="str">
        <f>Ocupacao_DW[[#This Row],[data]]&amp;Ocupacao_DW[[#This Row],[profissional_id]]&amp;Ocupacao_DW[[#This Row],[local_id]]</f>
        <v>4464960345</v>
      </c>
      <c r="H1798" s="1">
        <f>_xlfn.XLOOKUP(Ocupacao_DW[[#This Row],[Concat]],Vagas!$H:$H,Vagas!$D:$D,"",0)</f>
        <v>0</v>
      </c>
    </row>
    <row r="1799" spans="1:8" x14ac:dyDescent="0.25">
      <c r="A1799" s="2">
        <v>44638</v>
      </c>
      <c r="B1799" s="1" t="s">
        <v>49</v>
      </c>
      <c r="C1799">
        <v>6430</v>
      </c>
      <c r="D1799" s="1" t="s">
        <v>188</v>
      </c>
      <c r="E1799" s="1" t="s">
        <v>4</v>
      </c>
      <c r="F1799">
        <v>42</v>
      </c>
      <c r="G1799" s="1" t="str">
        <f>Ocupacao_DW[[#This Row],[data]]&amp;Ocupacao_DW[[#This Row],[profissional_id]]&amp;Ocupacao_DW[[#This Row],[local_id]]</f>
        <v>44638643042</v>
      </c>
      <c r="H1799" s="1">
        <f>_xlfn.XLOOKUP(Ocupacao_DW[[#This Row],[Concat]],Vagas!$H:$H,Vagas!$D:$D,"",0)</f>
        <v>0</v>
      </c>
    </row>
    <row r="1800" spans="1:8" x14ac:dyDescent="0.25">
      <c r="A1800" s="2">
        <v>44637</v>
      </c>
      <c r="B1800" s="1" t="s">
        <v>57</v>
      </c>
      <c r="C1800">
        <v>80</v>
      </c>
      <c r="D1800" s="1" t="s">
        <v>179</v>
      </c>
      <c r="E1800" s="1" t="s">
        <v>167</v>
      </c>
      <c r="F1800">
        <v>348</v>
      </c>
      <c r="G1800" s="1" t="str">
        <f>Ocupacao_DW[[#This Row],[data]]&amp;Ocupacao_DW[[#This Row],[profissional_id]]&amp;Ocupacao_DW[[#This Row],[local_id]]</f>
        <v>4463780348</v>
      </c>
      <c r="H1800" s="1">
        <f>_xlfn.XLOOKUP(Ocupacao_DW[[#This Row],[Concat]],Vagas!$H:$H,Vagas!$D:$D,"",0)</f>
        <v>0</v>
      </c>
    </row>
    <row r="1801" spans="1:8" x14ac:dyDescent="0.25">
      <c r="A1801" s="2">
        <v>44636</v>
      </c>
      <c r="B1801" s="1" t="s">
        <v>22</v>
      </c>
      <c r="C1801">
        <v>17893</v>
      </c>
      <c r="D1801" s="1" t="s">
        <v>275</v>
      </c>
      <c r="E1801" s="1" t="s">
        <v>6</v>
      </c>
      <c r="F1801">
        <v>4</v>
      </c>
      <c r="G1801" s="1" t="str">
        <f>Ocupacao_DW[[#This Row],[data]]&amp;Ocupacao_DW[[#This Row],[profissional_id]]&amp;Ocupacao_DW[[#This Row],[local_id]]</f>
        <v>44636178934</v>
      </c>
      <c r="H1801" s="1">
        <f>_xlfn.XLOOKUP(Ocupacao_DW[[#This Row],[Concat]],Vagas!$H:$H,Vagas!$D:$D,"",0)</f>
        <v>4</v>
      </c>
    </row>
    <row r="1802" spans="1:8" x14ac:dyDescent="0.25">
      <c r="A1802" s="2">
        <v>44638</v>
      </c>
      <c r="B1802" s="1" t="s">
        <v>54</v>
      </c>
      <c r="C1802">
        <v>69</v>
      </c>
      <c r="D1802" s="1" t="s">
        <v>238</v>
      </c>
      <c r="E1802" s="1" t="s">
        <v>5</v>
      </c>
      <c r="F1802">
        <v>13</v>
      </c>
      <c r="G1802" s="1" t="str">
        <f>Ocupacao_DW[[#This Row],[data]]&amp;Ocupacao_DW[[#This Row],[profissional_id]]&amp;Ocupacao_DW[[#This Row],[local_id]]</f>
        <v>446386913</v>
      </c>
      <c r="H1802" s="1">
        <f>_xlfn.XLOOKUP(Ocupacao_DW[[#This Row],[Concat]],Vagas!$H:$H,Vagas!$D:$D,"",0)</f>
        <v>0</v>
      </c>
    </row>
    <row r="1803" spans="1:8" x14ac:dyDescent="0.25">
      <c r="A1803" s="2">
        <v>44636</v>
      </c>
      <c r="B1803" s="1" t="s">
        <v>52</v>
      </c>
      <c r="C1803">
        <v>60</v>
      </c>
      <c r="D1803" s="1" t="s">
        <v>217</v>
      </c>
      <c r="E1803" s="1" t="s">
        <v>6</v>
      </c>
      <c r="F1803">
        <v>8</v>
      </c>
      <c r="G1803" s="1" t="str">
        <f>Ocupacao_DW[[#This Row],[data]]&amp;Ocupacao_DW[[#This Row],[profissional_id]]&amp;Ocupacao_DW[[#This Row],[local_id]]</f>
        <v>44636608</v>
      </c>
      <c r="H1803" s="1">
        <f>_xlfn.XLOOKUP(Ocupacao_DW[[#This Row],[Concat]],Vagas!$H:$H,Vagas!$D:$D,"",0)</f>
        <v>0</v>
      </c>
    </row>
    <row r="1804" spans="1:8" x14ac:dyDescent="0.25">
      <c r="A1804" s="2">
        <v>44645</v>
      </c>
      <c r="B1804" s="1" t="s">
        <v>52</v>
      </c>
      <c r="C1804">
        <v>57</v>
      </c>
      <c r="D1804" s="1" t="s">
        <v>169</v>
      </c>
      <c r="E1804" s="1" t="s">
        <v>6</v>
      </c>
      <c r="F1804">
        <v>8</v>
      </c>
      <c r="G1804" s="1" t="str">
        <f>Ocupacao_DW[[#This Row],[data]]&amp;Ocupacao_DW[[#This Row],[profissional_id]]&amp;Ocupacao_DW[[#This Row],[local_id]]</f>
        <v>44645578</v>
      </c>
      <c r="H1804" s="1">
        <f>_xlfn.XLOOKUP(Ocupacao_DW[[#This Row],[Concat]],Vagas!$H:$H,Vagas!$D:$D,"",0)</f>
        <v>0</v>
      </c>
    </row>
    <row r="1805" spans="1:8" x14ac:dyDescent="0.25">
      <c r="A1805" s="2">
        <v>44636</v>
      </c>
      <c r="B1805" s="1" t="s">
        <v>46</v>
      </c>
      <c r="C1805">
        <v>17888</v>
      </c>
      <c r="D1805" s="1" t="s">
        <v>255</v>
      </c>
      <c r="E1805" s="1" t="s">
        <v>4</v>
      </c>
      <c r="F1805">
        <v>40</v>
      </c>
      <c r="G1805" s="1" t="str">
        <f>Ocupacao_DW[[#This Row],[data]]&amp;Ocupacao_DW[[#This Row],[profissional_id]]&amp;Ocupacao_DW[[#This Row],[local_id]]</f>
        <v>446361788840</v>
      </c>
      <c r="H1805" s="1">
        <f>_xlfn.XLOOKUP(Ocupacao_DW[[#This Row],[Concat]],Vagas!$H:$H,Vagas!$D:$D,"",0)</f>
        <v>17</v>
      </c>
    </row>
    <row r="1806" spans="1:8" x14ac:dyDescent="0.25">
      <c r="A1806" s="2">
        <v>44656</v>
      </c>
      <c r="B1806" s="1" t="s">
        <v>55</v>
      </c>
      <c r="C1806">
        <v>73</v>
      </c>
      <c r="D1806" s="1" t="s">
        <v>171</v>
      </c>
      <c r="E1806" s="1" t="s">
        <v>6</v>
      </c>
      <c r="F1806">
        <v>5</v>
      </c>
      <c r="G1806" s="1" t="str">
        <f>Ocupacao_DW[[#This Row],[data]]&amp;Ocupacao_DW[[#This Row],[profissional_id]]&amp;Ocupacao_DW[[#This Row],[local_id]]</f>
        <v>44656735</v>
      </c>
      <c r="H1806" s="1">
        <f>_xlfn.XLOOKUP(Ocupacao_DW[[#This Row],[Concat]],Vagas!$H:$H,Vagas!$D:$D,"",0)</f>
        <v>0</v>
      </c>
    </row>
    <row r="1807" spans="1:8" x14ac:dyDescent="0.25">
      <c r="A1807" s="2">
        <v>44646</v>
      </c>
      <c r="B1807" s="1" t="s">
        <v>46</v>
      </c>
      <c r="C1807">
        <v>17888</v>
      </c>
      <c r="D1807" s="1" t="s">
        <v>255</v>
      </c>
      <c r="E1807" s="1" t="s">
        <v>4</v>
      </c>
      <c r="F1807">
        <v>40</v>
      </c>
      <c r="G1807" s="1" t="str">
        <f>Ocupacao_DW[[#This Row],[data]]&amp;Ocupacao_DW[[#This Row],[profissional_id]]&amp;Ocupacao_DW[[#This Row],[local_id]]</f>
        <v>446461788840</v>
      </c>
      <c r="H1807" s="1">
        <f>_xlfn.XLOOKUP(Ocupacao_DW[[#This Row],[Concat]],Vagas!$H:$H,Vagas!$D:$D,"",0)</f>
        <v>6</v>
      </c>
    </row>
    <row r="1808" spans="1:8" x14ac:dyDescent="0.25">
      <c r="A1808" s="2">
        <v>44637</v>
      </c>
      <c r="B1808" s="1" t="s">
        <v>47</v>
      </c>
      <c r="C1808">
        <v>17928</v>
      </c>
      <c r="D1808" s="1" t="s">
        <v>268</v>
      </c>
      <c r="E1808" s="1" t="s">
        <v>4</v>
      </c>
      <c r="F1808">
        <v>51</v>
      </c>
      <c r="G1808" s="1" t="str">
        <f>Ocupacao_DW[[#This Row],[data]]&amp;Ocupacao_DW[[#This Row],[profissional_id]]&amp;Ocupacao_DW[[#This Row],[local_id]]</f>
        <v>446371792851</v>
      </c>
      <c r="H1808" s="1">
        <f>_xlfn.XLOOKUP(Ocupacao_DW[[#This Row],[Concat]],Vagas!$H:$H,Vagas!$D:$D,"",0)</f>
        <v>13</v>
      </c>
    </row>
    <row r="1809" spans="1:8" x14ac:dyDescent="0.25">
      <c r="A1809" s="2">
        <v>44635</v>
      </c>
      <c r="B1809" s="1" t="s">
        <v>46</v>
      </c>
      <c r="C1809">
        <v>17888</v>
      </c>
      <c r="D1809" s="1" t="s">
        <v>255</v>
      </c>
      <c r="E1809" s="1" t="s">
        <v>4</v>
      </c>
      <c r="F1809">
        <v>40</v>
      </c>
      <c r="G1809" s="1" t="str">
        <f>Ocupacao_DW[[#This Row],[data]]&amp;Ocupacao_DW[[#This Row],[profissional_id]]&amp;Ocupacao_DW[[#This Row],[local_id]]</f>
        <v>446351788840</v>
      </c>
      <c r="H1809" s="1">
        <f>_xlfn.XLOOKUP(Ocupacao_DW[[#This Row],[Concat]],Vagas!$H:$H,Vagas!$D:$D,"",0)</f>
        <v>11</v>
      </c>
    </row>
    <row r="1810" spans="1:8" x14ac:dyDescent="0.25">
      <c r="A1810" s="2">
        <v>44650</v>
      </c>
      <c r="B1810" s="1" t="s">
        <v>43</v>
      </c>
      <c r="C1810">
        <v>2396</v>
      </c>
      <c r="D1810" s="1" t="s">
        <v>197</v>
      </c>
      <c r="E1810" s="1" t="s">
        <v>6</v>
      </c>
      <c r="F1810">
        <v>2</v>
      </c>
      <c r="G1810" s="1" t="str">
        <f>Ocupacao_DW[[#This Row],[data]]&amp;Ocupacao_DW[[#This Row],[profissional_id]]&amp;Ocupacao_DW[[#This Row],[local_id]]</f>
        <v>4465023962</v>
      </c>
      <c r="H1810" s="1">
        <f>_xlfn.XLOOKUP(Ocupacao_DW[[#This Row],[Concat]],Vagas!$H:$H,Vagas!$D:$D,"",0)</f>
        <v>0</v>
      </c>
    </row>
    <row r="1811" spans="1:8" x14ac:dyDescent="0.25">
      <c r="A1811" s="2">
        <v>44637</v>
      </c>
      <c r="B1811" s="1" t="s">
        <v>73</v>
      </c>
      <c r="C1811">
        <v>10691</v>
      </c>
      <c r="D1811" s="1" t="s">
        <v>181</v>
      </c>
      <c r="E1811" s="1" t="s">
        <v>167</v>
      </c>
      <c r="F1811">
        <v>348</v>
      </c>
      <c r="G1811" s="1" t="str">
        <f>Ocupacao_DW[[#This Row],[data]]&amp;Ocupacao_DW[[#This Row],[profissional_id]]&amp;Ocupacao_DW[[#This Row],[local_id]]</f>
        <v>4463710691348</v>
      </c>
      <c r="H1811" s="1">
        <f>_xlfn.XLOOKUP(Ocupacao_DW[[#This Row],[Concat]],Vagas!$H:$H,Vagas!$D:$D,"",0)</f>
        <v>0</v>
      </c>
    </row>
    <row r="1812" spans="1:8" x14ac:dyDescent="0.25">
      <c r="A1812" s="2">
        <v>44642</v>
      </c>
      <c r="B1812" s="1" t="s">
        <v>47</v>
      </c>
      <c r="C1812">
        <v>111</v>
      </c>
      <c r="D1812" s="1" t="s">
        <v>199</v>
      </c>
      <c r="E1812" s="1" t="s">
        <v>4</v>
      </c>
      <c r="F1812">
        <v>51</v>
      </c>
      <c r="G1812" s="1" t="str">
        <f>Ocupacao_DW[[#This Row],[data]]&amp;Ocupacao_DW[[#This Row],[profissional_id]]&amp;Ocupacao_DW[[#This Row],[local_id]]</f>
        <v>4464211151</v>
      </c>
      <c r="H1812" s="1">
        <f>_xlfn.XLOOKUP(Ocupacao_DW[[#This Row],[Concat]],Vagas!$H:$H,Vagas!$D:$D,"",0)</f>
        <v>25</v>
      </c>
    </row>
    <row r="1813" spans="1:8" x14ac:dyDescent="0.25">
      <c r="A1813" s="2">
        <v>44649</v>
      </c>
      <c r="B1813" s="1" t="s">
        <v>46</v>
      </c>
      <c r="C1813">
        <v>17888</v>
      </c>
      <c r="D1813" s="1" t="s">
        <v>255</v>
      </c>
      <c r="E1813" s="1" t="s">
        <v>4</v>
      </c>
      <c r="F1813">
        <v>40</v>
      </c>
      <c r="G1813" s="1" t="str">
        <f>Ocupacao_DW[[#This Row],[data]]&amp;Ocupacao_DW[[#This Row],[profissional_id]]&amp;Ocupacao_DW[[#This Row],[local_id]]</f>
        <v>446491788840</v>
      </c>
      <c r="H1813" s="1">
        <f>_xlfn.XLOOKUP(Ocupacao_DW[[#This Row],[Concat]],Vagas!$H:$H,Vagas!$D:$D,"",0)</f>
        <v>27</v>
      </c>
    </row>
    <row r="1814" spans="1:8" x14ac:dyDescent="0.25">
      <c r="A1814" s="2">
        <v>44644</v>
      </c>
      <c r="B1814" s="1" t="s">
        <v>52</v>
      </c>
      <c r="C1814">
        <v>10691</v>
      </c>
      <c r="D1814" s="1" t="s">
        <v>181</v>
      </c>
      <c r="E1814" s="1" t="s">
        <v>6</v>
      </c>
      <c r="F1814">
        <v>9</v>
      </c>
      <c r="G1814" s="1" t="str">
        <f>Ocupacao_DW[[#This Row],[data]]&amp;Ocupacao_DW[[#This Row],[profissional_id]]&amp;Ocupacao_DW[[#This Row],[local_id]]</f>
        <v>44644106919</v>
      </c>
      <c r="H1814" s="1">
        <f>_xlfn.XLOOKUP(Ocupacao_DW[[#This Row],[Concat]],Vagas!$H:$H,Vagas!$D:$D,"",0)</f>
        <v>0</v>
      </c>
    </row>
    <row r="1815" spans="1:8" x14ac:dyDescent="0.25">
      <c r="A1815" s="2">
        <v>44637</v>
      </c>
      <c r="B1815" s="1" t="s">
        <v>62</v>
      </c>
      <c r="C1815">
        <v>3502</v>
      </c>
      <c r="D1815" s="1" t="s">
        <v>214</v>
      </c>
      <c r="E1815" s="1" t="s">
        <v>5</v>
      </c>
      <c r="F1815">
        <v>16</v>
      </c>
      <c r="G1815" s="1" t="str">
        <f>Ocupacao_DW[[#This Row],[data]]&amp;Ocupacao_DW[[#This Row],[profissional_id]]&amp;Ocupacao_DW[[#This Row],[local_id]]</f>
        <v>44637350216</v>
      </c>
      <c r="H1815" s="1">
        <f>_xlfn.XLOOKUP(Ocupacao_DW[[#This Row],[Concat]],Vagas!$H:$H,Vagas!$D:$D,"",0)</f>
        <v>0</v>
      </c>
    </row>
    <row r="1816" spans="1:8" x14ac:dyDescent="0.25">
      <c r="A1816" s="2">
        <v>44638</v>
      </c>
      <c r="B1816" s="1" t="s">
        <v>46</v>
      </c>
      <c r="C1816">
        <v>17888</v>
      </c>
      <c r="D1816" s="1" t="s">
        <v>255</v>
      </c>
      <c r="E1816" s="1" t="s">
        <v>4</v>
      </c>
      <c r="F1816">
        <v>40</v>
      </c>
      <c r="G1816" s="1" t="str">
        <f>Ocupacao_DW[[#This Row],[data]]&amp;Ocupacao_DW[[#This Row],[profissional_id]]&amp;Ocupacao_DW[[#This Row],[local_id]]</f>
        <v>446381788840</v>
      </c>
      <c r="H1816" s="1">
        <f>_xlfn.XLOOKUP(Ocupacao_DW[[#This Row],[Concat]],Vagas!$H:$H,Vagas!$D:$D,"",0)</f>
        <v>21</v>
      </c>
    </row>
    <row r="1817" spans="1:8" x14ac:dyDescent="0.25">
      <c r="A1817" s="2">
        <v>44637</v>
      </c>
      <c r="B1817" s="1" t="s">
        <v>55</v>
      </c>
      <c r="C1817">
        <v>8598</v>
      </c>
      <c r="D1817" s="1" t="s">
        <v>228</v>
      </c>
      <c r="E1817" s="1" t="s">
        <v>6</v>
      </c>
      <c r="F1817">
        <v>3</v>
      </c>
      <c r="G1817" s="1" t="str">
        <f>Ocupacao_DW[[#This Row],[data]]&amp;Ocupacao_DW[[#This Row],[profissional_id]]&amp;Ocupacao_DW[[#This Row],[local_id]]</f>
        <v>4463785983</v>
      </c>
      <c r="H1817" s="1">
        <f>_xlfn.XLOOKUP(Ocupacao_DW[[#This Row],[Concat]],Vagas!$H:$H,Vagas!$D:$D,"",0)</f>
        <v>0</v>
      </c>
    </row>
    <row r="1818" spans="1:8" x14ac:dyDescent="0.25">
      <c r="A1818" s="2">
        <v>44637</v>
      </c>
      <c r="B1818" s="1" t="s">
        <v>52</v>
      </c>
      <c r="C1818">
        <v>10691</v>
      </c>
      <c r="D1818" s="1" t="s">
        <v>181</v>
      </c>
      <c r="E1818" s="1" t="s">
        <v>6</v>
      </c>
      <c r="F1818">
        <v>9</v>
      </c>
      <c r="G1818" s="1" t="str">
        <f>Ocupacao_DW[[#This Row],[data]]&amp;Ocupacao_DW[[#This Row],[profissional_id]]&amp;Ocupacao_DW[[#This Row],[local_id]]</f>
        <v>44637106919</v>
      </c>
      <c r="H1818" s="1">
        <f>_xlfn.XLOOKUP(Ocupacao_DW[[#This Row],[Concat]],Vagas!$H:$H,Vagas!$D:$D,"",0)</f>
        <v>0</v>
      </c>
    </row>
    <row r="1819" spans="1:8" x14ac:dyDescent="0.25">
      <c r="A1819" s="2">
        <v>44635</v>
      </c>
      <c r="B1819" s="1" t="s">
        <v>66</v>
      </c>
      <c r="C1819">
        <v>1343</v>
      </c>
      <c r="D1819" s="1" t="s">
        <v>263</v>
      </c>
      <c r="E1819" s="1" t="s">
        <v>200</v>
      </c>
      <c r="F1819">
        <v>80</v>
      </c>
      <c r="G1819" s="1" t="str">
        <f>Ocupacao_DW[[#This Row],[data]]&amp;Ocupacao_DW[[#This Row],[profissional_id]]&amp;Ocupacao_DW[[#This Row],[local_id]]</f>
        <v>44635134380</v>
      </c>
      <c r="H1819" s="1">
        <f>_xlfn.XLOOKUP(Ocupacao_DW[[#This Row],[Concat]],Vagas!$H:$H,Vagas!$D:$D,"",0)</f>
        <v>0</v>
      </c>
    </row>
    <row r="1820" spans="1:8" x14ac:dyDescent="0.25">
      <c r="A1820" s="2">
        <v>44636</v>
      </c>
      <c r="B1820" s="1" t="s">
        <v>46</v>
      </c>
      <c r="C1820">
        <v>17888</v>
      </c>
      <c r="D1820" s="1" t="s">
        <v>255</v>
      </c>
      <c r="E1820" s="1" t="s">
        <v>4</v>
      </c>
      <c r="F1820">
        <v>40</v>
      </c>
      <c r="G1820" s="1" t="str">
        <f>Ocupacao_DW[[#This Row],[data]]&amp;Ocupacao_DW[[#This Row],[profissional_id]]&amp;Ocupacao_DW[[#This Row],[local_id]]</f>
        <v>446361788840</v>
      </c>
      <c r="H1820" s="1">
        <f>_xlfn.XLOOKUP(Ocupacao_DW[[#This Row],[Concat]],Vagas!$H:$H,Vagas!$D:$D,"",0)</f>
        <v>17</v>
      </c>
    </row>
    <row r="1821" spans="1:8" x14ac:dyDescent="0.25">
      <c r="A1821" s="2">
        <v>44643</v>
      </c>
      <c r="B1821" s="1" t="s">
        <v>52</v>
      </c>
      <c r="C1821">
        <v>10691</v>
      </c>
      <c r="D1821" s="1" t="s">
        <v>181</v>
      </c>
      <c r="E1821" s="1" t="s">
        <v>6</v>
      </c>
      <c r="F1821">
        <v>9</v>
      </c>
      <c r="G1821" s="1" t="str">
        <f>Ocupacao_DW[[#This Row],[data]]&amp;Ocupacao_DW[[#This Row],[profissional_id]]&amp;Ocupacao_DW[[#This Row],[local_id]]</f>
        <v>44643106919</v>
      </c>
      <c r="H1821" s="1">
        <f>_xlfn.XLOOKUP(Ocupacao_DW[[#This Row],[Concat]],Vagas!$H:$H,Vagas!$D:$D,"",0)</f>
        <v>0</v>
      </c>
    </row>
    <row r="1822" spans="1:8" x14ac:dyDescent="0.25">
      <c r="A1822" s="2">
        <v>44635</v>
      </c>
      <c r="B1822" s="1" t="s">
        <v>55</v>
      </c>
      <c r="C1822">
        <v>14452</v>
      </c>
      <c r="D1822" s="1" t="s">
        <v>266</v>
      </c>
      <c r="E1822" s="1" t="s">
        <v>200</v>
      </c>
      <c r="F1822">
        <v>78</v>
      </c>
      <c r="G1822" s="1" t="str">
        <f>Ocupacao_DW[[#This Row],[data]]&amp;Ocupacao_DW[[#This Row],[profissional_id]]&amp;Ocupacao_DW[[#This Row],[local_id]]</f>
        <v>446351445278</v>
      </c>
      <c r="H1822" s="1">
        <f>_xlfn.XLOOKUP(Ocupacao_DW[[#This Row],[Concat]],Vagas!$H:$H,Vagas!$D:$D,"",0)</f>
        <v>0</v>
      </c>
    </row>
    <row r="1823" spans="1:8" x14ac:dyDescent="0.25">
      <c r="A1823" s="2">
        <v>44638</v>
      </c>
      <c r="B1823" s="1" t="s">
        <v>62</v>
      </c>
      <c r="C1823">
        <v>3502</v>
      </c>
      <c r="D1823" s="1" t="s">
        <v>214</v>
      </c>
      <c r="E1823" s="1" t="s">
        <v>7</v>
      </c>
      <c r="F1823">
        <v>69</v>
      </c>
      <c r="G1823" s="1" t="str">
        <f>Ocupacao_DW[[#This Row],[data]]&amp;Ocupacao_DW[[#This Row],[profissional_id]]&amp;Ocupacao_DW[[#This Row],[local_id]]</f>
        <v>44638350269</v>
      </c>
      <c r="H1823" s="1">
        <f>_xlfn.XLOOKUP(Ocupacao_DW[[#This Row],[Concat]],Vagas!$H:$H,Vagas!$D:$D,"",0)</f>
        <v>0</v>
      </c>
    </row>
    <row r="1824" spans="1:8" x14ac:dyDescent="0.25">
      <c r="A1824" s="2">
        <v>44635</v>
      </c>
      <c r="B1824" s="1" t="s">
        <v>67</v>
      </c>
      <c r="C1824">
        <v>7290</v>
      </c>
      <c r="D1824" s="1" t="s">
        <v>247</v>
      </c>
      <c r="E1824" s="1" t="s">
        <v>5</v>
      </c>
      <c r="F1824">
        <v>18</v>
      </c>
      <c r="G1824" s="1" t="str">
        <f>Ocupacao_DW[[#This Row],[data]]&amp;Ocupacao_DW[[#This Row],[profissional_id]]&amp;Ocupacao_DW[[#This Row],[local_id]]</f>
        <v>44635729018</v>
      </c>
      <c r="H1824" s="1">
        <f>_xlfn.XLOOKUP(Ocupacao_DW[[#This Row],[Concat]],Vagas!$H:$H,Vagas!$D:$D,"",0)</f>
        <v>0</v>
      </c>
    </row>
    <row r="1825" spans="1:8" x14ac:dyDescent="0.25">
      <c r="A1825" s="2">
        <v>44636</v>
      </c>
      <c r="B1825" s="1" t="s">
        <v>46</v>
      </c>
      <c r="C1825">
        <v>17888</v>
      </c>
      <c r="D1825" s="1" t="s">
        <v>255</v>
      </c>
      <c r="E1825" s="1" t="s">
        <v>4</v>
      </c>
      <c r="F1825">
        <v>40</v>
      </c>
      <c r="G1825" s="1" t="str">
        <f>Ocupacao_DW[[#This Row],[data]]&amp;Ocupacao_DW[[#This Row],[profissional_id]]&amp;Ocupacao_DW[[#This Row],[local_id]]</f>
        <v>446361788840</v>
      </c>
      <c r="H1825" s="1">
        <f>_xlfn.XLOOKUP(Ocupacao_DW[[#This Row],[Concat]],Vagas!$H:$H,Vagas!$D:$D,"",0)</f>
        <v>17</v>
      </c>
    </row>
    <row r="1826" spans="1:8" x14ac:dyDescent="0.25">
      <c r="A1826" s="2">
        <v>44636</v>
      </c>
      <c r="B1826" s="1" t="s">
        <v>62</v>
      </c>
      <c r="C1826">
        <v>10799</v>
      </c>
      <c r="D1826" s="1" t="s">
        <v>204</v>
      </c>
      <c r="E1826" s="1" t="s">
        <v>5</v>
      </c>
      <c r="F1826">
        <v>18</v>
      </c>
      <c r="G1826" s="1" t="str">
        <f>Ocupacao_DW[[#This Row],[data]]&amp;Ocupacao_DW[[#This Row],[profissional_id]]&amp;Ocupacao_DW[[#This Row],[local_id]]</f>
        <v>446361079918</v>
      </c>
      <c r="H1826" s="1">
        <f>_xlfn.XLOOKUP(Ocupacao_DW[[#This Row],[Concat]],Vagas!$H:$H,Vagas!$D:$D,"",0)</f>
        <v>0</v>
      </c>
    </row>
    <row r="1827" spans="1:8" x14ac:dyDescent="0.25">
      <c r="A1827" s="2">
        <v>44635</v>
      </c>
      <c r="B1827" s="1" t="s">
        <v>43</v>
      </c>
      <c r="C1827">
        <v>57</v>
      </c>
      <c r="D1827" s="1" t="s">
        <v>169</v>
      </c>
      <c r="E1827" s="1" t="s">
        <v>6</v>
      </c>
      <c r="F1827">
        <v>2</v>
      </c>
      <c r="G1827" s="1" t="str">
        <f>Ocupacao_DW[[#This Row],[data]]&amp;Ocupacao_DW[[#This Row],[profissional_id]]&amp;Ocupacao_DW[[#This Row],[local_id]]</f>
        <v>44635572</v>
      </c>
      <c r="H1827" s="1">
        <f>_xlfn.XLOOKUP(Ocupacao_DW[[#This Row],[Concat]],Vagas!$H:$H,Vagas!$D:$D,"",0)</f>
        <v>0</v>
      </c>
    </row>
    <row r="1828" spans="1:8" x14ac:dyDescent="0.25">
      <c r="A1828" s="2">
        <v>44635</v>
      </c>
      <c r="B1828" s="1" t="s">
        <v>20</v>
      </c>
      <c r="C1828">
        <v>174</v>
      </c>
      <c r="D1828" s="1" t="s">
        <v>230</v>
      </c>
      <c r="E1828" s="1" t="s">
        <v>167</v>
      </c>
      <c r="F1828">
        <v>24</v>
      </c>
      <c r="G1828" s="1" t="str">
        <f>Ocupacao_DW[[#This Row],[data]]&amp;Ocupacao_DW[[#This Row],[profissional_id]]&amp;Ocupacao_DW[[#This Row],[local_id]]</f>
        <v>4463517424</v>
      </c>
      <c r="H1828" s="1">
        <f>_xlfn.XLOOKUP(Ocupacao_DW[[#This Row],[Concat]],Vagas!$H:$H,Vagas!$D:$D,"",0)</f>
        <v>66</v>
      </c>
    </row>
    <row r="1829" spans="1:8" x14ac:dyDescent="0.25">
      <c r="A1829" s="2">
        <v>44637</v>
      </c>
      <c r="B1829" s="1" t="s">
        <v>57</v>
      </c>
      <c r="C1829">
        <v>80</v>
      </c>
      <c r="D1829" s="1" t="s">
        <v>179</v>
      </c>
      <c r="E1829" s="1" t="s">
        <v>167</v>
      </c>
      <c r="F1829">
        <v>348</v>
      </c>
      <c r="G1829" s="1" t="str">
        <f>Ocupacao_DW[[#This Row],[data]]&amp;Ocupacao_DW[[#This Row],[profissional_id]]&amp;Ocupacao_DW[[#This Row],[local_id]]</f>
        <v>4463780348</v>
      </c>
      <c r="H1829" s="1">
        <f>_xlfn.XLOOKUP(Ocupacao_DW[[#This Row],[Concat]],Vagas!$H:$H,Vagas!$D:$D,"",0)</f>
        <v>0</v>
      </c>
    </row>
    <row r="1830" spans="1:8" x14ac:dyDescent="0.25">
      <c r="A1830" s="2">
        <v>44635</v>
      </c>
      <c r="B1830" s="1" t="s">
        <v>46</v>
      </c>
      <c r="C1830">
        <v>17888</v>
      </c>
      <c r="D1830" s="1" t="s">
        <v>255</v>
      </c>
      <c r="E1830" s="1" t="s">
        <v>4</v>
      </c>
      <c r="F1830">
        <v>40</v>
      </c>
      <c r="G1830" s="1" t="str">
        <f>Ocupacao_DW[[#This Row],[data]]&amp;Ocupacao_DW[[#This Row],[profissional_id]]&amp;Ocupacao_DW[[#This Row],[local_id]]</f>
        <v>446351788840</v>
      </c>
      <c r="H1830" s="1">
        <f>_xlfn.XLOOKUP(Ocupacao_DW[[#This Row],[Concat]],Vagas!$H:$H,Vagas!$D:$D,"",0)</f>
        <v>11</v>
      </c>
    </row>
    <row r="1831" spans="1:8" x14ac:dyDescent="0.25">
      <c r="A1831" s="2">
        <v>44635</v>
      </c>
      <c r="B1831" s="1" t="s">
        <v>46</v>
      </c>
      <c r="C1831">
        <v>17888</v>
      </c>
      <c r="D1831" s="1" t="s">
        <v>255</v>
      </c>
      <c r="E1831" s="1" t="s">
        <v>4</v>
      </c>
      <c r="F1831">
        <v>40</v>
      </c>
      <c r="G1831" s="1" t="str">
        <f>Ocupacao_DW[[#This Row],[data]]&amp;Ocupacao_DW[[#This Row],[profissional_id]]&amp;Ocupacao_DW[[#This Row],[local_id]]</f>
        <v>446351788840</v>
      </c>
      <c r="H1831" s="1">
        <f>_xlfn.XLOOKUP(Ocupacao_DW[[#This Row],[Concat]],Vagas!$H:$H,Vagas!$D:$D,"",0)</f>
        <v>11</v>
      </c>
    </row>
    <row r="1832" spans="1:8" x14ac:dyDescent="0.25">
      <c r="A1832" s="2">
        <v>44636</v>
      </c>
      <c r="B1832" s="1" t="s">
        <v>62</v>
      </c>
      <c r="C1832">
        <v>3502</v>
      </c>
      <c r="D1832" s="1" t="s">
        <v>214</v>
      </c>
      <c r="E1832" s="1" t="s">
        <v>5</v>
      </c>
      <c r="F1832">
        <v>16</v>
      </c>
      <c r="G1832" s="1" t="str">
        <f>Ocupacao_DW[[#This Row],[data]]&amp;Ocupacao_DW[[#This Row],[profissional_id]]&amp;Ocupacao_DW[[#This Row],[local_id]]</f>
        <v>44636350216</v>
      </c>
      <c r="H1832" s="1">
        <f>_xlfn.XLOOKUP(Ocupacao_DW[[#This Row],[Concat]],Vagas!$H:$H,Vagas!$D:$D,"",0)</f>
        <v>0</v>
      </c>
    </row>
    <row r="1833" spans="1:8" x14ac:dyDescent="0.25">
      <c r="A1833" s="2">
        <v>44636</v>
      </c>
      <c r="B1833" s="1" t="s">
        <v>58</v>
      </c>
      <c r="C1833">
        <v>5767</v>
      </c>
      <c r="D1833" s="1" t="s">
        <v>239</v>
      </c>
      <c r="E1833" s="1" t="s">
        <v>4</v>
      </c>
      <c r="F1833">
        <v>44</v>
      </c>
      <c r="G1833" s="1" t="str">
        <f>Ocupacao_DW[[#This Row],[data]]&amp;Ocupacao_DW[[#This Row],[profissional_id]]&amp;Ocupacao_DW[[#This Row],[local_id]]</f>
        <v>44636576744</v>
      </c>
      <c r="H1833" s="1">
        <f>_xlfn.XLOOKUP(Ocupacao_DW[[#This Row],[Concat]],Vagas!$H:$H,Vagas!$D:$D,"",0)</f>
        <v>0</v>
      </c>
    </row>
    <row r="1834" spans="1:8" x14ac:dyDescent="0.25">
      <c r="A1834" s="2">
        <v>44635</v>
      </c>
      <c r="B1834" s="1" t="s">
        <v>46</v>
      </c>
      <c r="C1834">
        <v>17888</v>
      </c>
      <c r="D1834" s="1" t="s">
        <v>255</v>
      </c>
      <c r="E1834" s="1" t="s">
        <v>4</v>
      </c>
      <c r="F1834">
        <v>40</v>
      </c>
      <c r="G1834" s="1" t="str">
        <f>Ocupacao_DW[[#This Row],[data]]&amp;Ocupacao_DW[[#This Row],[profissional_id]]&amp;Ocupacao_DW[[#This Row],[local_id]]</f>
        <v>446351788840</v>
      </c>
      <c r="H1834" s="1">
        <f>_xlfn.XLOOKUP(Ocupacao_DW[[#This Row],[Concat]],Vagas!$H:$H,Vagas!$D:$D,"",0)</f>
        <v>11</v>
      </c>
    </row>
    <row r="1835" spans="1:8" x14ac:dyDescent="0.25">
      <c r="A1835" s="2">
        <v>44636</v>
      </c>
      <c r="B1835" s="1" t="s">
        <v>20</v>
      </c>
      <c r="C1835">
        <v>174</v>
      </c>
      <c r="D1835" s="1" t="s">
        <v>230</v>
      </c>
      <c r="E1835" s="1" t="s">
        <v>167</v>
      </c>
      <c r="F1835">
        <v>24</v>
      </c>
      <c r="G1835" s="1" t="str">
        <f>Ocupacao_DW[[#This Row],[data]]&amp;Ocupacao_DW[[#This Row],[profissional_id]]&amp;Ocupacao_DW[[#This Row],[local_id]]</f>
        <v>4463617424</v>
      </c>
      <c r="H1835" s="1">
        <f>_xlfn.XLOOKUP(Ocupacao_DW[[#This Row],[Concat]],Vagas!$H:$H,Vagas!$D:$D,"",0)</f>
        <v>74</v>
      </c>
    </row>
    <row r="1836" spans="1:8" x14ac:dyDescent="0.25">
      <c r="A1836" s="2">
        <v>44635</v>
      </c>
      <c r="B1836" s="1" t="s">
        <v>42</v>
      </c>
      <c r="C1836">
        <v>17902</v>
      </c>
      <c r="D1836" s="1" t="s">
        <v>264</v>
      </c>
      <c r="E1836" s="1" t="s">
        <v>4</v>
      </c>
      <c r="F1836">
        <v>39</v>
      </c>
      <c r="G1836" s="1" t="str">
        <f>Ocupacao_DW[[#This Row],[data]]&amp;Ocupacao_DW[[#This Row],[profissional_id]]&amp;Ocupacao_DW[[#This Row],[local_id]]</f>
        <v>446351790239</v>
      </c>
      <c r="H1836" s="1">
        <f>_xlfn.XLOOKUP(Ocupacao_DW[[#This Row],[Concat]],Vagas!$H:$H,Vagas!$D:$D,"",0)</f>
        <v>39</v>
      </c>
    </row>
    <row r="1837" spans="1:8" x14ac:dyDescent="0.25">
      <c r="A1837" s="2">
        <v>44637</v>
      </c>
      <c r="B1837" s="1" t="s">
        <v>20</v>
      </c>
      <c r="C1837">
        <v>174</v>
      </c>
      <c r="D1837" s="1" t="s">
        <v>230</v>
      </c>
      <c r="E1837" s="1" t="s">
        <v>167</v>
      </c>
      <c r="F1837">
        <v>24</v>
      </c>
      <c r="G1837" s="1" t="str">
        <f>Ocupacao_DW[[#This Row],[data]]&amp;Ocupacao_DW[[#This Row],[profissional_id]]&amp;Ocupacao_DW[[#This Row],[local_id]]</f>
        <v>4463717424</v>
      </c>
      <c r="H1837" s="1">
        <f>_xlfn.XLOOKUP(Ocupacao_DW[[#This Row],[Concat]],Vagas!$H:$H,Vagas!$D:$D,"",0)</f>
        <v>80</v>
      </c>
    </row>
    <row r="1838" spans="1:8" x14ac:dyDescent="0.25">
      <c r="A1838" s="2">
        <v>44638</v>
      </c>
      <c r="B1838" s="1" t="s">
        <v>20</v>
      </c>
      <c r="C1838">
        <v>174</v>
      </c>
      <c r="D1838" s="1" t="s">
        <v>230</v>
      </c>
      <c r="E1838" s="1" t="s">
        <v>167</v>
      </c>
      <c r="F1838">
        <v>24</v>
      </c>
      <c r="G1838" s="1" t="str">
        <f>Ocupacao_DW[[#This Row],[data]]&amp;Ocupacao_DW[[#This Row],[profissional_id]]&amp;Ocupacao_DW[[#This Row],[local_id]]</f>
        <v>4463817424</v>
      </c>
      <c r="H1838" s="1">
        <f>_xlfn.XLOOKUP(Ocupacao_DW[[#This Row],[Concat]],Vagas!$H:$H,Vagas!$D:$D,"",0)</f>
        <v>80</v>
      </c>
    </row>
    <row r="1839" spans="1:8" x14ac:dyDescent="0.25">
      <c r="A1839" s="2">
        <v>44639</v>
      </c>
      <c r="B1839" s="1" t="s">
        <v>42</v>
      </c>
      <c r="C1839">
        <v>17902</v>
      </c>
      <c r="D1839" s="1" t="s">
        <v>264</v>
      </c>
      <c r="E1839" s="1" t="s">
        <v>4</v>
      </c>
      <c r="F1839">
        <v>39</v>
      </c>
      <c r="G1839" s="1" t="str">
        <f>Ocupacao_DW[[#This Row],[data]]&amp;Ocupacao_DW[[#This Row],[profissional_id]]&amp;Ocupacao_DW[[#This Row],[local_id]]</f>
        <v>446391790239</v>
      </c>
      <c r="H1839" s="1" t="str">
        <f>_xlfn.XLOOKUP(Ocupacao_DW[[#This Row],[Concat]],Vagas!$H:$H,Vagas!$D:$D,"",0)</f>
        <v/>
      </c>
    </row>
    <row r="1840" spans="1:8" x14ac:dyDescent="0.25">
      <c r="A1840" s="2">
        <v>44649</v>
      </c>
      <c r="B1840" s="1" t="s">
        <v>70</v>
      </c>
      <c r="C1840">
        <v>14237</v>
      </c>
      <c r="D1840" s="1" t="s">
        <v>186</v>
      </c>
      <c r="E1840" s="1" t="s">
        <v>4</v>
      </c>
      <c r="F1840">
        <v>47</v>
      </c>
      <c r="G1840" s="1" t="str">
        <f>Ocupacao_DW[[#This Row],[data]]&amp;Ocupacao_DW[[#This Row],[profissional_id]]&amp;Ocupacao_DW[[#This Row],[local_id]]</f>
        <v>446491423747</v>
      </c>
      <c r="H1840" s="1">
        <f>_xlfn.XLOOKUP(Ocupacao_DW[[#This Row],[Concat]],Vagas!$H:$H,Vagas!$D:$D,"",0)</f>
        <v>0</v>
      </c>
    </row>
    <row r="1841" spans="1:8" x14ac:dyDescent="0.25">
      <c r="A1841" s="2">
        <v>44642</v>
      </c>
      <c r="B1841" s="1" t="s">
        <v>68</v>
      </c>
      <c r="C1841">
        <v>8239</v>
      </c>
      <c r="D1841" s="1" t="s">
        <v>257</v>
      </c>
      <c r="E1841" s="1" t="s">
        <v>167</v>
      </c>
      <c r="F1841">
        <v>345</v>
      </c>
      <c r="G1841" s="1" t="str">
        <f>Ocupacao_DW[[#This Row],[data]]&amp;Ocupacao_DW[[#This Row],[profissional_id]]&amp;Ocupacao_DW[[#This Row],[local_id]]</f>
        <v>446428239345</v>
      </c>
      <c r="H1841" s="1">
        <f>_xlfn.XLOOKUP(Ocupacao_DW[[#This Row],[Concat]],Vagas!$H:$H,Vagas!$D:$D,"",0)</f>
        <v>0</v>
      </c>
    </row>
    <row r="1842" spans="1:8" x14ac:dyDescent="0.25">
      <c r="A1842" s="2">
        <v>44637</v>
      </c>
      <c r="B1842" s="1" t="s">
        <v>42</v>
      </c>
      <c r="C1842">
        <v>17902</v>
      </c>
      <c r="D1842" s="1" t="s">
        <v>264</v>
      </c>
      <c r="E1842" s="1" t="s">
        <v>4</v>
      </c>
      <c r="F1842">
        <v>39</v>
      </c>
      <c r="G1842" s="1" t="str">
        <f>Ocupacao_DW[[#This Row],[data]]&amp;Ocupacao_DW[[#This Row],[profissional_id]]&amp;Ocupacao_DW[[#This Row],[local_id]]</f>
        <v>446371790239</v>
      </c>
      <c r="H1842" s="1">
        <f>_xlfn.XLOOKUP(Ocupacao_DW[[#This Row],[Concat]],Vagas!$H:$H,Vagas!$D:$D,"",0)</f>
        <v>47</v>
      </c>
    </row>
    <row r="1843" spans="1:8" x14ac:dyDescent="0.25">
      <c r="A1843" s="2">
        <v>44643</v>
      </c>
      <c r="B1843" s="1" t="s">
        <v>47</v>
      </c>
      <c r="C1843">
        <v>110</v>
      </c>
      <c r="D1843" s="1" t="s">
        <v>193</v>
      </c>
      <c r="E1843" s="1" t="s">
        <v>4</v>
      </c>
      <c r="F1843">
        <v>334</v>
      </c>
      <c r="G1843" s="1" t="str">
        <f>Ocupacao_DW[[#This Row],[data]]&amp;Ocupacao_DW[[#This Row],[profissional_id]]&amp;Ocupacao_DW[[#This Row],[local_id]]</f>
        <v>44643110334</v>
      </c>
      <c r="H1843" s="1">
        <f>_xlfn.XLOOKUP(Ocupacao_DW[[#This Row],[Concat]],Vagas!$H:$H,Vagas!$D:$D,"",0)</f>
        <v>0</v>
      </c>
    </row>
    <row r="1844" spans="1:8" x14ac:dyDescent="0.25">
      <c r="A1844" s="2">
        <v>44636</v>
      </c>
      <c r="B1844" s="1" t="s">
        <v>52</v>
      </c>
      <c r="C1844">
        <v>10691</v>
      </c>
      <c r="D1844" s="1" t="s">
        <v>181</v>
      </c>
      <c r="E1844" s="1" t="s">
        <v>6</v>
      </c>
      <c r="F1844">
        <v>9</v>
      </c>
      <c r="G1844" s="1" t="str">
        <f>Ocupacao_DW[[#This Row],[data]]&amp;Ocupacao_DW[[#This Row],[profissional_id]]&amp;Ocupacao_DW[[#This Row],[local_id]]</f>
        <v>44636106919</v>
      </c>
      <c r="H1844" s="1">
        <f>_xlfn.XLOOKUP(Ocupacao_DW[[#This Row],[Concat]],Vagas!$H:$H,Vagas!$D:$D,"",0)</f>
        <v>0</v>
      </c>
    </row>
    <row r="1845" spans="1:8" x14ac:dyDescent="0.25">
      <c r="A1845" s="2">
        <v>44636</v>
      </c>
      <c r="B1845" s="1" t="s">
        <v>42</v>
      </c>
      <c r="C1845">
        <v>17902</v>
      </c>
      <c r="D1845" s="1" t="s">
        <v>264</v>
      </c>
      <c r="E1845" s="1" t="s">
        <v>4</v>
      </c>
      <c r="F1845">
        <v>39</v>
      </c>
      <c r="G1845" s="1" t="str">
        <f>Ocupacao_DW[[#This Row],[data]]&amp;Ocupacao_DW[[#This Row],[profissional_id]]&amp;Ocupacao_DW[[#This Row],[local_id]]</f>
        <v>446361790239</v>
      </c>
      <c r="H1845" s="1">
        <f>_xlfn.XLOOKUP(Ocupacao_DW[[#This Row],[Concat]],Vagas!$H:$H,Vagas!$D:$D,"",0)</f>
        <v>47</v>
      </c>
    </row>
    <row r="1846" spans="1:8" x14ac:dyDescent="0.25">
      <c r="A1846" s="2">
        <v>44638</v>
      </c>
      <c r="B1846" s="1" t="s">
        <v>62</v>
      </c>
      <c r="C1846">
        <v>3502</v>
      </c>
      <c r="D1846" s="1" t="s">
        <v>214</v>
      </c>
      <c r="E1846" s="1" t="s">
        <v>7</v>
      </c>
      <c r="F1846">
        <v>69</v>
      </c>
      <c r="G1846" s="1" t="str">
        <f>Ocupacao_DW[[#This Row],[data]]&amp;Ocupacao_DW[[#This Row],[profissional_id]]&amp;Ocupacao_DW[[#This Row],[local_id]]</f>
        <v>44638350269</v>
      </c>
      <c r="H1846" s="1">
        <f>_xlfn.XLOOKUP(Ocupacao_DW[[#This Row],[Concat]],Vagas!$H:$H,Vagas!$D:$D,"",0)</f>
        <v>0</v>
      </c>
    </row>
    <row r="1847" spans="1:8" x14ac:dyDescent="0.25">
      <c r="A1847" s="2">
        <v>44656</v>
      </c>
      <c r="B1847" s="1" t="s">
        <v>55</v>
      </c>
      <c r="C1847">
        <v>73</v>
      </c>
      <c r="D1847" s="1" t="s">
        <v>171</v>
      </c>
      <c r="E1847" s="1" t="s">
        <v>6</v>
      </c>
      <c r="F1847">
        <v>5</v>
      </c>
      <c r="G1847" s="1" t="str">
        <f>Ocupacao_DW[[#This Row],[data]]&amp;Ocupacao_DW[[#This Row],[profissional_id]]&amp;Ocupacao_DW[[#This Row],[local_id]]</f>
        <v>44656735</v>
      </c>
      <c r="H1847" s="1">
        <f>_xlfn.XLOOKUP(Ocupacao_DW[[#This Row],[Concat]],Vagas!$H:$H,Vagas!$D:$D,"",0)</f>
        <v>0</v>
      </c>
    </row>
    <row r="1848" spans="1:8" x14ac:dyDescent="0.25">
      <c r="A1848" s="2">
        <v>44635</v>
      </c>
      <c r="B1848" s="1" t="s">
        <v>42</v>
      </c>
      <c r="C1848">
        <v>17902</v>
      </c>
      <c r="D1848" s="1" t="s">
        <v>264</v>
      </c>
      <c r="E1848" s="1" t="s">
        <v>4</v>
      </c>
      <c r="F1848">
        <v>39</v>
      </c>
      <c r="G1848" s="1" t="str">
        <f>Ocupacao_DW[[#This Row],[data]]&amp;Ocupacao_DW[[#This Row],[profissional_id]]&amp;Ocupacao_DW[[#This Row],[local_id]]</f>
        <v>446351790239</v>
      </c>
      <c r="H1848" s="1">
        <f>_xlfn.XLOOKUP(Ocupacao_DW[[#This Row],[Concat]],Vagas!$H:$H,Vagas!$D:$D,"",0)</f>
        <v>39</v>
      </c>
    </row>
    <row r="1849" spans="1:8" x14ac:dyDescent="0.25">
      <c r="A1849" s="2">
        <v>44638</v>
      </c>
      <c r="B1849" s="1" t="s">
        <v>47</v>
      </c>
      <c r="C1849">
        <v>13371</v>
      </c>
      <c r="D1849" s="1" t="s">
        <v>205</v>
      </c>
      <c r="E1849" s="1" t="s">
        <v>4</v>
      </c>
      <c r="F1849">
        <v>336</v>
      </c>
      <c r="G1849" s="1" t="str">
        <f>Ocupacao_DW[[#This Row],[data]]&amp;Ocupacao_DW[[#This Row],[profissional_id]]&amp;Ocupacao_DW[[#This Row],[local_id]]</f>
        <v>4463813371336</v>
      </c>
      <c r="H1849" s="1" t="str">
        <f>_xlfn.XLOOKUP(Ocupacao_DW[[#This Row],[Concat]],Vagas!$H:$H,Vagas!$D:$D,"",0)</f>
        <v/>
      </c>
    </row>
    <row r="1850" spans="1:8" x14ac:dyDescent="0.25">
      <c r="A1850" s="2">
        <v>44643</v>
      </c>
      <c r="B1850" s="1" t="s">
        <v>52</v>
      </c>
      <c r="C1850">
        <v>10691</v>
      </c>
      <c r="D1850" s="1" t="s">
        <v>181</v>
      </c>
      <c r="E1850" s="1" t="s">
        <v>6</v>
      </c>
      <c r="F1850">
        <v>9</v>
      </c>
      <c r="G1850" s="1" t="str">
        <f>Ocupacao_DW[[#This Row],[data]]&amp;Ocupacao_DW[[#This Row],[profissional_id]]&amp;Ocupacao_DW[[#This Row],[local_id]]</f>
        <v>44643106919</v>
      </c>
      <c r="H1850" s="1">
        <f>_xlfn.XLOOKUP(Ocupacao_DW[[#This Row],[Concat]],Vagas!$H:$H,Vagas!$D:$D,"",0)</f>
        <v>0</v>
      </c>
    </row>
    <row r="1851" spans="1:8" x14ac:dyDescent="0.25">
      <c r="A1851" s="2">
        <v>44646</v>
      </c>
      <c r="B1851" s="1" t="s">
        <v>52</v>
      </c>
      <c r="C1851">
        <v>60</v>
      </c>
      <c r="D1851" s="1" t="s">
        <v>217</v>
      </c>
      <c r="E1851" s="1" t="s">
        <v>6</v>
      </c>
      <c r="F1851">
        <v>6</v>
      </c>
      <c r="G1851" s="1" t="str">
        <f>Ocupacao_DW[[#This Row],[data]]&amp;Ocupacao_DW[[#This Row],[profissional_id]]&amp;Ocupacao_DW[[#This Row],[local_id]]</f>
        <v>44646606</v>
      </c>
      <c r="H1851" s="1">
        <f>_xlfn.XLOOKUP(Ocupacao_DW[[#This Row],[Concat]],Vagas!$H:$H,Vagas!$D:$D,"",0)</f>
        <v>0</v>
      </c>
    </row>
    <row r="1852" spans="1:8" x14ac:dyDescent="0.25">
      <c r="A1852" s="2">
        <v>44635</v>
      </c>
      <c r="B1852" s="1" t="s">
        <v>56</v>
      </c>
      <c r="C1852">
        <v>1586</v>
      </c>
      <c r="D1852" s="1" t="s">
        <v>261</v>
      </c>
      <c r="E1852" s="1" t="s">
        <v>7</v>
      </c>
      <c r="F1852">
        <v>67</v>
      </c>
      <c r="G1852" s="1" t="str">
        <f>Ocupacao_DW[[#This Row],[data]]&amp;Ocupacao_DW[[#This Row],[profissional_id]]&amp;Ocupacao_DW[[#This Row],[local_id]]</f>
        <v>44635158667</v>
      </c>
      <c r="H1852" s="1">
        <f>_xlfn.XLOOKUP(Ocupacao_DW[[#This Row],[Concat]],Vagas!$H:$H,Vagas!$D:$D,"",0)</f>
        <v>0</v>
      </c>
    </row>
    <row r="1853" spans="1:8" x14ac:dyDescent="0.25">
      <c r="A1853" s="2">
        <v>44643</v>
      </c>
      <c r="B1853" s="1" t="s">
        <v>60</v>
      </c>
      <c r="C1853">
        <v>14326</v>
      </c>
      <c r="D1853" s="1" t="s">
        <v>220</v>
      </c>
      <c r="E1853" s="1" t="s">
        <v>4</v>
      </c>
      <c r="F1853">
        <v>43</v>
      </c>
      <c r="G1853" s="1" t="str">
        <f>Ocupacao_DW[[#This Row],[data]]&amp;Ocupacao_DW[[#This Row],[profissional_id]]&amp;Ocupacao_DW[[#This Row],[local_id]]</f>
        <v>446431432643</v>
      </c>
      <c r="H1853" s="1">
        <f>_xlfn.XLOOKUP(Ocupacao_DW[[#This Row],[Concat]],Vagas!$H:$H,Vagas!$D:$D,"",0)</f>
        <v>0</v>
      </c>
    </row>
    <row r="1854" spans="1:8" x14ac:dyDescent="0.25">
      <c r="A1854" s="2">
        <v>44636</v>
      </c>
      <c r="B1854" s="1" t="s">
        <v>46</v>
      </c>
      <c r="C1854">
        <v>17889</v>
      </c>
      <c r="D1854" s="1" t="s">
        <v>280</v>
      </c>
      <c r="E1854" s="1" t="s">
        <v>7</v>
      </c>
      <c r="F1854">
        <v>59</v>
      </c>
      <c r="G1854" s="1" t="str">
        <f>Ocupacao_DW[[#This Row],[data]]&amp;Ocupacao_DW[[#This Row],[profissional_id]]&amp;Ocupacao_DW[[#This Row],[local_id]]</f>
        <v>446361788959</v>
      </c>
      <c r="H1854" s="1">
        <f>_xlfn.XLOOKUP(Ocupacao_DW[[#This Row],[Concat]],Vagas!$H:$H,Vagas!$D:$D,"",0)</f>
        <v>23</v>
      </c>
    </row>
    <row r="1855" spans="1:8" x14ac:dyDescent="0.25">
      <c r="A1855" s="2">
        <v>44636</v>
      </c>
      <c r="B1855" s="1" t="s">
        <v>43</v>
      </c>
      <c r="C1855">
        <v>57</v>
      </c>
      <c r="D1855" s="1" t="s">
        <v>169</v>
      </c>
      <c r="E1855" s="1" t="s">
        <v>6</v>
      </c>
      <c r="F1855">
        <v>2</v>
      </c>
      <c r="G1855" s="1" t="str">
        <f>Ocupacao_DW[[#This Row],[data]]&amp;Ocupacao_DW[[#This Row],[profissional_id]]&amp;Ocupacao_DW[[#This Row],[local_id]]</f>
        <v>44636572</v>
      </c>
      <c r="H1855" s="1">
        <f>_xlfn.XLOOKUP(Ocupacao_DW[[#This Row],[Concat]],Vagas!$H:$H,Vagas!$D:$D,"",0)</f>
        <v>2</v>
      </c>
    </row>
    <row r="1856" spans="1:8" x14ac:dyDescent="0.25">
      <c r="A1856" s="2">
        <v>44636</v>
      </c>
      <c r="B1856" s="1" t="s">
        <v>65</v>
      </c>
      <c r="C1856">
        <v>13058</v>
      </c>
      <c r="D1856" s="1" t="s">
        <v>256</v>
      </c>
      <c r="E1856" s="1" t="s">
        <v>4</v>
      </c>
      <c r="F1856">
        <v>47</v>
      </c>
      <c r="G1856" s="1" t="str">
        <f>Ocupacao_DW[[#This Row],[data]]&amp;Ocupacao_DW[[#This Row],[profissional_id]]&amp;Ocupacao_DW[[#This Row],[local_id]]</f>
        <v>446361305847</v>
      </c>
      <c r="H1856" s="1">
        <f>_xlfn.XLOOKUP(Ocupacao_DW[[#This Row],[Concat]],Vagas!$H:$H,Vagas!$D:$D,"",0)</f>
        <v>0</v>
      </c>
    </row>
    <row r="1857" spans="1:8" x14ac:dyDescent="0.25">
      <c r="A1857" s="2">
        <v>44639</v>
      </c>
      <c r="B1857" s="1" t="s">
        <v>47</v>
      </c>
      <c r="C1857">
        <v>111</v>
      </c>
      <c r="D1857" s="1" t="s">
        <v>199</v>
      </c>
      <c r="E1857" s="1" t="s">
        <v>4</v>
      </c>
      <c r="F1857">
        <v>51</v>
      </c>
      <c r="G1857" s="1" t="str">
        <f>Ocupacao_DW[[#This Row],[data]]&amp;Ocupacao_DW[[#This Row],[profissional_id]]&amp;Ocupacao_DW[[#This Row],[local_id]]</f>
        <v>4463911151</v>
      </c>
      <c r="H1857" s="1">
        <f>_xlfn.XLOOKUP(Ocupacao_DW[[#This Row],[Concat]],Vagas!$H:$H,Vagas!$D:$D,"",0)</f>
        <v>0</v>
      </c>
    </row>
    <row r="1858" spans="1:8" x14ac:dyDescent="0.25">
      <c r="A1858" s="2">
        <v>44645</v>
      </c>
      <c r="B1858" s="1" t="s">
        <v>24</v>
      </c>
      <c r="C1858">
        <v>60</v>
      </c>
      <c r="D1858" s="1" t="s">
        <v>217</v>
      </c>
      <c r="E1858" s="1" t="s">
        <v>6</v>
      </c>
      <c r="F1858">
        <v>1</v>
      </c>
      <c r="G1858" s="1" t="str">
        <f>Ocupacao_DW[[#This Row],[data]]&amp;Ocupacao_DW[[#This Row],[profissional_id]]&amp;Ocupacao_DW[[#This Row],[local_id]]</f>
        <v>44645601</v>
      </c>
      <c r="H1858" s="1">
        <f>_xlfn.XLOOKUP(Ocupacao_DW[[#This Row],[Concat]],Vagas!$H:$H,Vagas!$D:$D,"",0)</f>
        <v>0</v>
      </c>
    </row>
    <row r="1859" spans="1:8" x14ac:dyDescent="0.25">
      <c r="A1859" s="2">
        <v>44655</v>
      </c>
      <c r="B1859" s="1" t="s">
        <v>44</v>
      </c>
      <c r="C1859">
        <v>17908</v>
      </c>
      <c r="D1859" s="1" t="s">
        <v>296</v>
      </c>
      <c r="E1859" s="1" t="s">
        <v>167</v>
      </c>
      <c r="F1859">
        <v>25</v>
      </c>
      <c r="G1859" s="1" t="str">
        <f>Ocupacao_DW[[#This Row],[data]]&amp;Ocupacao_DW[[#This Row],[profissional_id]]&amp;Ocupacao_DW[[#This Row],[local_id]]</f>
        <v>446551790825</v>
      </c>
      <c r="H1859" s="1" t="str">
        <f>_xlfn.XLOOKUP(Ocupacao_DW[[#This Row],[Concat]],Vagas!$H:$H,Vagas!$D:$D,"",0)</f>
        <v/>
      </c>
    </row>
    <row r="1860" spans="1:8" x14ac:dyDescent="0.25">
      <c r="A1860" s="2">
        <v>44641</v>
      </c>
      <c r="B1860" s="1" t="s">
        <v>54</v>
      </c>
      <c r="C1860">
        <v>10941</v>
      </c>
      <c r="D1860" s="1" t="s">
        <v>224</v>
      </c>
      <c r="E1860" s="1" t="s">
        <v>7</v>
      </c>
      <c r="F1860">
        <v>67</v>
      </c>
      <c r="G1860" s="1" t="str">
        <f>Ocupacao_DW[[#This Row],[data]]&amp;Ocupacao_DW[[#This Row],[profissional_id]]&amp;Ocupacao_DW[[#This Row],[local_id]]</f>
        <v>446411094167</v>
      </c>
      <c r="H1860" s="1">
        <f>_xlfn.XLOOKUP(Ocupacao_DW[[#This Row],[Concat]],Vagas!$H:$H,Vagas!$D:$D,"",0)</f>
        <v>0</v>
      </c>
    </row>
    <row r="1861" spans="1:8" x14ac:dyDescent="0.25">
      <c r="A1861" s="2">
        <v>44637</v>
      </c>
      <c r="B1861" s="1" t="s">
        <v>49</v>
      </c>
      <c r="C1861">
        <v>266</v>
      </c>
      <c r="D1861" s="1" t="s">
        <v>201</v>
      </c>
      <c r="E1861" s="1" t="s">
        <v>4</v>
      </c>
      <c r="F1861">
        <v>42</v>
      </c>
      <c r="G1861" s="1" t="str">
        <f>Ocupacao_DW[[#This Row],[data]]&amp;Ocupacao_DW[[#This Row],[profissional_id]]&amp;Ocupacao_DW[[#This Row],[local_id]]</f>
        <v>4463726642</v>
      </c>
      <c r="H1861" s="1">
        <f>_xlfn.XLOOKUP(Ocupacao_DW[[#This Row],[Concat]],Vagas!$H:$H,Vagas!$D:$D,"",0)</f>
        <v>0</v>
      </c>
    </row>
    <row r="1862" spans="1:8" x14ac:dyDescent="0.25">
      <c r="A1862" s="2">
        <v>44643</v>
      </c>
      <c r="B1862" s="1" t="s">
        <v>51</v>
      </c>
      <c r="C1862">
        <v>7551</v>
      </c>
      <c r="D1862" s="1" t="s">
        <v>246</v>
      </c>
      <c r="E1862" s="1" t="s">
        <v>5</v>
      </c>
      <c r="F1862">
        <v>15</v>
      </c>
      <c r="G1862" s="1" t="str">
        <f>Ocupacao_DW[[#This Row],[data]]&amp;Ocupacao_DW[[#This Row],[profissional_id]]&amp;Ocupacao_DW[[#This Row],[local_id]]</f>
        <v>44643755115</v>
      </c>
      <c r="H1862" s="1">
        <f>_xlfn.XLOOKUP(Ocupacao_DW[[#This Row],[Concat]],Vagas!$H:$H,Vagas!$D:$D,"",0)</f>
        <v>0</v>
      </c>
    </row>
    <row r="1863" spans="1:8" x14ac:dyDescent="0.25">
      <c r="A1863" s="2">
        <v>44649</v>
      </c>
      <c r="B1863" s="1" t="s">
        <v>70</v>
      </c>
      <c r="C1863">
        <v>14237</v>
      </c>
      <c r="D1863" s="1" t="s">
        <v>186</v>
      </c>
      <c r="E1863" s="1" t="s">
        <v>4</v>
      </c>
      <c r="F1863">
        <v>47</v>
      </c>
      <c r="G1863" s="1" t="str">
        <f>Ocupacao_DW[[#This Row],[data]]&amp;Ocupacao_DW[[#This Row],[profissional_id]]&amp;Ocupacao_DW[[#This Row],[local_id]]</f>
        <v>446491423747</v>
      </c>
      <c r="H1863" s="1">
        <f>_xlfn.XLOOKUP(Ocupacao_DW[[#This Row],[Concat]],Vagas!$H:$H,Vagas!$D:$D,"",0)</f>
        <v>0</v>
      </c>
    </row>
    <row r="1864" spans="1:8" x14ac:dyDescent="0.25">
      <c r="A1864" s="2">
        <v>44635</v>
      </c>
      <c r="B1864" s="1" t="s">
        <v>47</v>
      </c>
      <c r="C1864">
        <v>12752</v>
      </c>
      <c r="D1864" s="1" t="s">
        <v>253</v>
      </c>
      <c r="E1864" s="1" t="s">
        <v>7</v>
      </c>
      <c r="F1864">
        <v>60</v>
      </c>
      <c r="G1864" s="1" t="str">
        <f>Ocupacao_DW[[#This Row],[data]]&amp;Ocupacao_DW[[#This Row],[profissional_id]]&amp;Ocupacao_DW[[#This Row],[local_id]]</f>
        <v>446351275260</v>
      </c>
      <c r="H1864" s="1">
        <f>_xlfn.XLOOKUP(Ocupacao_DW[[#This Row],[Concat]],Vagas!$H:$H,Vagas!$D:$D,"",0)</f>
        <v>0</v>
      </c>
    </row>
    <row r="1865" spans="1:8" x14ac:dyDescent="0.25">
      <c r="A1865" s="2">
        <v>44638</v>
      </c>
      <c r="B1865" s="1" t="s">
        <v>72</v>
      </c>
      <c r="C1865">
        <v>1794</v>
      </c>
      <c r="D1865" s="1" t="s">
        <v>235</v>
      </c>
      <c r="E1865" s="1" t="s">
        <v>4</v>
      </c>
      <c r="F1865">
        <v>46</v>
      </c>
      <c r="G1865" s="1" t="str">
        <f>Ocupacao_DW[[#This Row],[data]]&amp;Ocupacao_DW[[#This Row],[profissional_id]]&amp;Ocupacao_DW[[#This Row],[local_id]]</f>
        <v>44638179446</v>
      </c>
      <c r="H1865" s="1">
        <f>_xlfn.XLOOKUP(Ocupacao_DW[[#This Row],[Concat]],Vagas!$H:$H,Vagas!$D:$D,"",0)</f>
        <v>0</v>
      </c>
    </row>
    <row r="1866" spans="1:8" x14ac:dyDescent="0.25">
      <c r="A1866" s="2">
        <v>44640</v>
      </c>
      <c r="B1866" s="1" t="s">
        <v>66</v>
      </c>
      <c r="C1866">
        <v>97</v>
      </c>
      <c r="D1866" s="1" t="s">
        <v>243</v>
      </c>
      <c r="E1866" s="1" t="s">
        <v>167</v>
      </c>
      <c r="F1866">
        <v>342</v>
      </c>
      <c r="G1866" s="1" t="str">
        <f>Ocupacao_DW[[#This Row],[data]]&amp;Ocupacao_DW[[#This Row],[profissional_id]]&amp;Ocupacao_DW[[#This Row],[local_id]]</f>
        <v>4464097342</v>
      </c>
      <c r="H1866" s="1">
        <f>_xlfn.XLOOKUP(Ocupacao_DW[[#This Row],[Concat]],Vagas!$H:$H,Vagas!$D:$D,"",0)</f>
        <v>0</v>
      </c>
    </row>
    <row r="1867" spans="1:8" x14ac:dyDescent="0.25">
      <c r="A1867" s="2">
        <v>44637</v>
      </c>
      <c r="B1867" s="1" t="s">
        <v>49</v>
      </c>
      <c r="C1867">
        <v>266</v>
      </c>
      <c r="D1867" s="1" t="s">
        <v>201</v>
      </c>
      <c r="E1867" s="1" t="s">
        <v>4</v>
      </c>
      <c r="F1867">
        <v>42</v>
      </c>
      <c r="G1867" s="1" t="str">
        <f>Ocupacao_DW[[#This Row],[data]]&amp;Ocupacao_DW[[#This Row],[profissional_id]]&amp;Ocupacao_DW[[#This Row],[local_id]]</f>
        <v>4463726642</v>
      </c>
      <c r="H1867" s="1">
        <f>_xlfn.XLOOKUP(Ocupacao_DW[[#This Row],[Concat]],Vagas!$H:$H,Vagas!$D:$D,"",0)</f>
        <v>0</v>
      </c>
    </row>
    <row r="1868" spans="1:8" x14ac:dyDescent="0.25">
      <c r="A1868" s="2">
        <v>44639</v>
      </c>
      <c r="B1868" s="1" t="s">
        <v>43</v>
      </c>
      <c r="C1868">
        <v>57</v>
      </c>
      <c r="D1868" s="1" t="s">
        <v>169</v>
      </c>
      <c r="E1868" s="1" t="s">
        <v>6</v>
      </c>
      <c r="F1868">
        <v>2</v>
      </c>
      <c r="G1868" s="1" t="str">
        <f>Ocupacao_DW[[#This Row],[data]]&amp;Ocupacao_DW[[#This Row],[profissional_id]]&amp;Ocupacao_DW[[#This Row],[local_id]]</f>
        <v>44639572</v>
      </c>
      <c r="H1868" s="1">
        <f>_xlfn.XLOOKUP(Ocupacao_DW[[#This Row],[Concat]],Vagas!$H:$H,Vagas!$D:$D,"",0)</f>
        <v>0</v>
      </c>
    </row>
    <row r="1869" spans="1:8" x14ac:dyDescent="0.25">
      <c r="A1869" s="2">
        <v>44638</v>
      </c>
      <c r="B1869" s="1" t="s">
        <v>49</v>
      </c>
      <c r="C1869">
        <v>81</v>
      </c>
      <c r="D1869" s="1" t="s">
        <v>170</v>
      </c>
      <c r="E1869" s="1" t="s">
        <v>4</v>
      </c>
      <c r="F1869">
        <v>41</v>
      </c>
      <c r="G1869" s="1" t="str">
        <f>Ocupacao_DW[[#This Row],[data]]&amp;Ocupacao_DW[[#This Row],[profissional_id]]&amp;Ocupacao_DW[[#This Row],[local_id]]</f>
        <v>446388141</v>
      </c>
      <c r="H1869" s="1">
        <f>_xlfn.XLOOKUP(Ocupacao_DW[[#This Row],[Concat]],Vagas!$H:$H,Vagas!$D:$D,"",0)</f>
        <v>0</v>
      </c>
    </row>
    <row r="1870" spans="1:8" x14ac:dyDescent="0.25">
      <c r="A1870" s="2">
        <v>44635</v>
      </c>
      <c r="B1870" s="1" t="s">
        <v>56</v>
      </c>
      <c r="C1870">
        <v>1586</v>
      </c>
      <c r="D1870" s="1" t="s">
        <v>261</v>
      </c>
      <c r="E1870" s="1" t="s">
        <v>7</v>
      </c>
      <c r="F1870">
        <v>67</v>
      </c>
      <c r="G1870" s="1" t="str">
        <f>Ocupacao_DW[[#This Row],[data]]&amp;Ocupacao_DW[[#This Row],[profissional_id]]&amp;Ocupacao_DW[[#This Row],[local_id]]</f>
        <v>44635158667</v>
      </c>
      <c r="H1870" s="1">
        <f>_xlfn.XLOOKUP(Ocupacao_DW[[#This Row],[Concat]],Vagas!$H:$H,Vagas!$D:$D,"",0)</f>
        <v>0</v>
      </c>
    </row>
    <row r="1871" spans="1:8" x14ac:dyDescent="0.25">
      <c r="A1871" s="2">
        <v>44637</v>
      </c>
      <c r="B1871" s="1" t="s">
        <v>47</v>
      </c>
      <c r="C1871">
        <v>9111</v>
      </c>
      <c r="D1871" s="1" t="s">
        <v>206</v>
      </c>
      <c r="E1871" s="1" t="s">
        <v>4</v>
      </c>
      <c r="F1871">
        <v>334</v>
      </c>
      <c r="G1871" s="1" t="str">
        <f>Ocupacao_DW[[#This Row],[data]]&amp;Ocupacao_DW[[#This Row],[profissional_id]]&amp;Ocupacao_DW[[#This Row],[local_id]]</f>
        <v>446379111334</v>
      </c>
      <c r="H1871" s="1">
        <f>_xlfn.XLOOKUP(Ocupacao_DW[[#This Row],[Concat]],Vagas!$H:$H,Vagas!$D:$D,"",0)</f>
        <v>0</v>
      </c>
    </row>
    <row r="1872" spans="1:8" x14ac:dyDescent="0.25">
      <c r="A1872" s="2">
        <v>44637</v>
      </c>
      <c r="B1872" s="1" t="s">
        <v>49</v>
      </c>
      <c r="C1872">
        <v>81</v>
      </c>
      <c r="D1872" s="1" t="s">
        <v>170</v>
      </c>
      <c r="E1872" s="1" t="s">
        <v>4</v>
      </c>
      <c r="F1872">
        <v>41</v>
      </c>
      <c r="G1872" s="1" t="str">
        <f>Ocupacao_DW[[#This Row],[data]]&amp;Ocupacao_DW[[#This Row],[profissional_id]]&amp;Ocupacao_DW[[#This Row],[local_id]]</f>
        <v>446378141</v>
      </c>
      <c r="H1872" s="1">
        <f>_xlfn.XLOOKUP(Ocupacao_DW[[#This Row],[Concat]],Vagas!$H:$H,Vagas!$D:$D,"",0)</f>
        <v>0</v>
      </c>
    </row>
    <row r="1873" spans="1:8" x14ac:dyDescent="0.25">
      <c r="A1873" s="2">
        <v>44643</v>
      </c>
      <c r="B1873" s="1" t="s">
        <v>51</v>
      </c>
      <c r="C1873">
        <v>7551</v>
      </c>
      <c r="D1873" s="1" t="s">
        <v>246</v>
      </c>
      <c r="E1873" s="1" t="s">
        <v>5</v>
      </c>
      <c r="F1873">
        <v>15</v>
      </c>
      <c r="G1873" s="1" t="str">
        <f>Ocupacao_DW[[#This Row],[data]]&amp;Ocupacao_DW[[#This Row],[profissional_id]]&amp;Ocupacao_DW[[#This Row],[local_id]]</f>
        <v>44643755115</v>
      </c>
      <c r="H1873" s="1">
        <f>_xlfn.XLOOKUP(Ocupacao_DW[[#This Row],[Concat]],Vagas!$H:$H,Vagas!$D:$D,"",0)</f>
        <v>0</v>
      </c>
    </row>
    <row r="1874" spans="1:8" x14ac:dyDescent="0.25">
      <c r="A1874" s="2">
        <v>44642</v>
      </c>
      <c r="B1874" s="1" t="s">
        <v>50</v>
      </c>
      <c r="C1874">
        <v>4814</v>
      </c>
      <c r="D1874" s="1" t="s">
        <v>189</v>
      </c>
      <c r="E1874" s="1" t="s">
        <v>5</v>
      </c>
      <c r="F1874">
        <v>17</v>
      </c>
      <c r="G1874" s="1" t="str">
        <f>Ocupacao_DW[[#This Row],[data]]&amp;Ocupacao_DW[[#This Row],[profissional_id]]&amp;Ocupacao_DW[[#This Row],[local_id]]</f>
        <v>44642481417</v>
      </c>
      <c r="H1874" s="1">
        <f>_xlfn.XLOOKUP(Ocupacao_DW[[#This Row],[Concat]],Vagas!$H:$H,Vagas!$D:$D,"",0)</f>
        <v>0</v>
      </c>
    </row>
    <row r="1875" spans="1:8" x14ac:dyDescent="0.25">
      <c r="A1875" s="2">
        <v>44645</v>
      </c>
      <c r="B1875" s="1" t="s">
        <v>49</v>
      </c>
      <c r="C1875">
        <v>81</v>
      </c>
      <c r="D1875" s="1" t="s">
        <v>170</v>
      </c>
      <c r="E1875" s="1" t="s">
        <v>4</v>
      </c>
      <c r="F1875">
        <v>41</v>
      </c>
      <c r="G1875" s="1" t="str">
        <f>Ocupacao_DW[[#This Row],[data]]&amp;Ocupacao_DW[[#This Row],[profissional_id]]&amp;Ocupacao_DW[[#This Row],[local_id]]</f>
        <v>446458141</v>
      </c>
      <c r="H1875" s="1">
        <f>_xlfn.XLOOKUP(Ocupacao_DW[[#This Row],[Concat]],Vagas!$H:$H,Vagas!$D:$D,"",0)</f>
        <v>0</v>
      </c>
    </row>
    <row r="1876" spans="1:8" x14ac:dyDescent="0.25">
      <c r="A1876" s="2">
        <v>44635</v>
      </c>
      <c r="B1876" s="1" t="s">
        <v>71</v>
      </c>
      <c r="C1876">
        <v>282</v>
      </c>
      <c r="D1876" s="1" t="s">
        <v>210</v>
      </c>
      <c r="E1876" s="1" t="s">
        <v>4</v>
      </c>
      <c r="F1876">
        <v>48</v>
      </c>
      <c r="G1876" s="1" t="str">
        <f>Ocupacao_DW[[#This Row],[data]]&amp;Ocupacao_DW[[#This Row],[profissional_id]]&amp;Ocupacao_DW[[#This Row],[local_id]]</f>
        <v>4463528248</v>
      </c>
      <c r="H1876" s="1">
        <f>_xlfn.XLOOKUP(Ocupacao_DW[[#This Row],[Concat]],Vagas!$H:$H,Vagas!$D:$D,"",0)</f>
        <v>0</v>
      </c>
    </row>
    <row r="1877" spans="1:8" x14ac:dyDescent="0.25">
      <c r="A1877" s="2">
        <v>44636</v>
      </c>
      <c r="B1877" s="1" t="s">
        <v>43</v>
      </c>
      <c r="C1877">
        <v>57</v>
      </c>
      <c r="D1877" s="1" t="s">
        <v>169</v>
      </c>
      <c r="E1877" s="1" t="s">
        <v>6</v>
      </c>
      <c r="F1877">
        <v>2</v>
      </c>
      <c r="G1877" s="1" t="str">
        <f>Ocupacao_DW[[#This Row],[data]]&amp;Ocupacao_DW[[#This Row],[profissional_id]]&amp;Ocupacao_DW[[#This Row],[local_id]]</f>
        <v>44636572</v>
      </c>
      <c r="H1877" s="1">
        <f>_xlfn.XLOOKUP(Ocupacao_DW[[#This Row],[Concat]],Vagas!$H:$H,Vagas!$D:$D,"",0)</f>
        <v>2</v>
      </c>
    </row>
    <row r="1878" spans="1:8" x14ac:dyDescent="0.25">
      <c r="A1878" s="2">
        <v>44646</v>
      </c>
      <c r="B1878" s="1" t="s">
        <v>55</v>
      </c>
      <c r="C1878">
        <v>17879</v>
      </c>
      <c r="D1878" s="1" t="s">
        <v>233</v>
      </c>
      <c r="E1878" s="1" t="s">
        <v>6</v>
      </c>
      <c r="F1878">
        <v>3</v>
      </c>
      <c r="G1878" s="1" t="str">
        <f>Ocupacao_DW[[#This Row],[data]]&amp;Ocupacao_DW[[#This Row],[profissional_id]]&amp;Ocupacao_DW[[#This Row],[local_id]]</f>
        <v>44646178793</v>
      </c>
      <c r="H1878" s="1">
        <f>_xlfn.XLOOKUP(Ocupacao_DW[[#This Row],[Concat]],Vagas!$H:$H,Vagas!$D:$D,"",0)</f>
        <v>0</v>
      </c>
    </row>
    <row r="1879" spans="1:8" x14ac:dyDescent="0.25">
      <c r="A1879" s="2">
        <v>44638</v>
      </c>
      <c r="B1879" s="1" t="s">
        <v>56</v>
      </c>
      <c r="C1879">
        <v>5927</v>
      </c>
      <c r="D1879" s="1" t="s">
        <v>226</v>
      </c>
      <c r="E1879" s="1" t="s">
        <v>5</v>
      </c>
      <c r="F1879">
        <v>17</v>
      </c>
      <c r="G1879" s="1" t="str">
        <f>Ocupacao_DW[[#This Row],[data]]&amp;Ocupacao_DW[[#This Row],[profissional_id]]&amp;Ocupacao_DW[[#This Row],[local_id]]</f>
        <v>44638592717</v>
      </c>
      <c r="H1879" s="1">
        <f>_xlfn.XLOOKUP(Ocupacao_DW[[#This Row],[Concat]],Vagas!$H:$H,Vagas!$D:$D,"",0)</f>
        <v>0</v>
      </c>
    </row>
    <row r="1880" spans="1:8" x14ac:dyDescent="0.25">
      <c r="A1880" s="2">
        <v>44637</v>
      </c>
      <c r="B1880" s="1" t="s">
        <v>21</v>
      </c>
      <c r="C1880">
        <v>17890</v>
      </c>
      <c r="D1880" s="1" t="s">
        <v>270</v>
      </c>
      <c r="E1880" s="1" t="s">
        <v>6</v>
      </c>
      <c r="F1880">
        <v>4</v>
      </c>
      <c r="G1880" s="1" t="str">
        <f>Ocupacao_DW[[#This Row],[data]]&amp;Ocupacao_DW[[#This Row],[profissional_id]]&amp;Ocupacao_DW[[#This Row],[local_id]]</f>
        <v>44637178904</v>
      </c>
      <c r="H1880" s="1">
        <f>_xlfn.XLOOKUP(Ocupacao_DW[[#This Row],[Concat]],Vagas!$H:$H,Vagas!$D:$D,"",0)</f>
        <v>5</v>
      </c>
    </row>
    <row r="1881" spans="1:8" x14ac:dyDescent="0.25">
      <c r="A1881" s="2">
        <v>44635</v>
      </c>
      <c r="B1881" s="1" t="s">
        <v>73</v>
      </c>
      <c r="C1881">
        <v>17863</v>
      </c>
      <c r="D1881" s="1" t="s">
        <v>285</v>
      </c>
      <c r="E1881" s="1" t="s">
        <v>7</v>
      </c>
      <c r="F1881">
        <v>60</v>
      </c>
      <c r="G1881" s="1" t="str">
        <f>Ocupacao_DW[[#This Row],[data]]&amp;Ocupacao_DW[[#This Row],[profissional_id]]&amp;Ocupacao_DW[[#This Row],[local_id]]</f>
        <v>446351786360</v>
      </c>
      <c r="H1881" s="1">
        <f>_xlfn.XLOOKUP(Ocupacao_DW[[#This Row],[Concat]],Vagas!$H:$H,Vagas!$D:$D,"",0)</f>
        <v>57</v>
      </c>
    </row>
    <row r="1882" spans="1:8" x14ac:dyDescent="0.25">
      <c r="A1882" s="2">
        <v>44635</v>
      </c>
      <c r="B1882" s="1" t="s">
        <v>21</v>
      </c>
      <c r="C1882">
        <v>17891</v>
      </c>
      <c r="D1882" s="1" t="s">
        <v>274</v>
      </c>
      <c r="E1882" s="1" t="s">
        <v>200</v>
      </c>
      <c r="F1882">
        <v>76</v>
      </c>
      <c r="G1882" s="1" t="str">
        <f>Ocupacao_DW[[#This Row],[data]]&amp;Ocupacao_DW[[#This Row],[profissional_id]]&amp;Ocupacao_DW[[#This Row],[local_id]]</f>
        <v>446351789176</v>
      </c>
      <c r="H1882" s="1">
        <f>_xlfn.XLOOKUP(Ocupacao_DW[[#This Row],[Concat]],Vagas!$H:$H,Vagas!$D:$D,"",0)</f>
        <v>0</v>
      </c>
    </row>
    <row r="1883" spans="1:8" x14ac:dyDescent="0.25">
      <c r="A1883" s="2">
        <v>44642</v>
      </c>
      <c r="B1883" s="1" t="s">
        <v>47</v>
      </c>
      <c r="C1883">
        <v>111</v>
      </c>
      <c r="D1883" s="1" t="s">
        <v>199</v>
      </c>
      <c r="E1883" s="1" t="s">
        <v>4</v>
      </c>
      <c r="F1883">
        <v>51</v>
      </c>
      <c r="G1883" s="1" t="str">
        <f>Ocupacao_DW[[#This Row],[data]]&amp;Ocupacao_DW[[#This Row],[profissional_id]]&amp;Ocupacao_DW[[#This Row],[local_id]]</f>
        <v>4464211151</v>
      </c>
      <c r="H1883" s="1">
        <f>_xlfn.XLOOKUP(Ocupacao_DW[[#This Row],[Concat]],Vagas!$H:$H,Vagas!$D:$D,"",0)</f>
        <v>25</v>
      </c>
    </row>
    <row r="1884" spans="1:8" x14ac:dyDescent="0.25">
      <c r="A1884" s="2">
        <v>44635</v>
      </c>
      <c r="B1884" s="1" t="s">
        <v>64</v>
      </c>
      <c r="C1884">
        <v>85</v>
      </c>
      <c r="D1884" s="1" t="s">
        <v>211</v>
      </c>
      <c r="E1884" s="1" t="s">
        <v>5</v>
      </c>
      <c r="F1884">
        <v>349</v>
      </c>
      <c r="G1884" s="1" t="str">
        <f>Ocupacao_DW[[#This Row],[data]]&amp;Ocupacao_DW[[#This Row],[profissional_id]]&amp;Ocupacao_DW[[#This Row],[local_id]]</f>
        <v>4463585349</v>
      </c>
      <c r="H1884" s="1">
        <f>_xlfn.XLOOKUP(Ocupacao_DW[[#This Row],[Concat]],Vagas!$H:$H,Vagas!$D:$D,"",0)</f>
        <v>0</v>
      </c>
    </row>
    <row r="1885" spans="1:8" x14ac:dyDescent="0.25">
      <c r="A1885" s="2">
        <v>44641</v>
      </c>
      <c r="B1885" s="1" t="s">
        <v>52</v>
      </c>
      <c r="C1885">
        <v>10595</v>
      </c>
      <c r="D1885" s="1" t="s">
        <v>218</v>
      </c>
      <c r="E1885" s="1" t="s">
        <v>200</v>
      </c>
      <c r="F1885">
        <v>78</v>
      </c>
      <c r="G1885" s="1" t="str">
        <f>Ocupacao_DW[[#This Row],[data]]&amp;Ocupacao_DW[[#This Row],[profissional_id]]&amp;Ocupacao_DW[[#This Row],[local_id]]</f>
        <v>446411059578</v>
      </c>
      <c r="H1885" s="1">
        <f>_xlfn.XLOOKUP(Ocupacao_DW[[#This Row],[Concat]],Vagas!$H:$H,Vagas!$D:$D,"",0)</f>
        <v>0</v>
      </c>
    </row>
    <row r="1886" spans="1:8" x14ac:dyDescent="0.25">
      <c r="A1886" s="2">
        <v>44637</v>
      </c>
      <c r="B1886" s="1" t="s">
        <v>62</v>
      </c>
      <c r="C1886">
        <v>3502</v>
      </c>
      <c r="D1886" s="1" t="s">
        <v>214</v>
      </c>
      <c r="E1886" s="1" t="s">
        <v>5</v>
      </c>
      <c r="F1886">
        <v>16</v>
      </c>
      <c r="G1886" s="1" t="str">
        <f>Ocupacao_DW[[#This Row],[data]]&amp;Ocupacao_DW[[#This Row],[profissional_id]]&amp;Ocupacao_DW[[#This Row],[local_id]]</f>
        <v>44637350216</v>
      </c>
      <c r="H1886" s="1">
        <f>_xlfn.XLOOKUP(Ocupacao_DW[[#This Row],[Concat]],Vagas!$H:$H,Vagas!$D:$D,"",0)</f>
        <v>0</v>
      </c>
    </row>
    <row r="1887" spans="1:8" x14ac:dyDescent="0.25">
      <c r="A1887" s="2">
        <v>44655</v>
      </c>
      <c r="B1887" s="1" t="s">
        <v>55</v>
      </c>
      <c r="C1887">
        <v>2984</v>
      </c>
      <c r="D1887" s="1" t="s">
        <v>185</v>
      </c>
      <c r="E1887" s="1" t="s">
        <v>6</v>
      </c>
      <c r="F1887">
        <v>7</v>
      </c>
      <c r="G1887" s="1" t="str">
        <f>Ocupacao_DW[[#This Row],[data]]&amp;Ocupacao_DW[[#This Row],[profissional_id]]&amp;Ocupacao_DW[[#This Row],[local_id]]</f>
        <v>4465529847</v>
      </c>
      <c r="H1887" s="1">
        <f>_xlfn.XLOOKUP(Ocupacao_DW[[#This Row],[Concat]],Vagas!$H:$H,Vagas!$D:$D,"",0)</f>
        <v>0</v>
      </c>
    </row>
    <row r="1888" spans="1:8" x14ac:dyDescent="0.25">
      <c r="A1888" s="2">
        <v>44636</v>
      </c>
      <c r="B1888" s="1" t="s">
        <v>65</v>
      </c>
      <c r="C1888">
        <v>13058</v>
      </c>
      <c r="D1888" s="1" t="s">
        <v>256</v>
      </c>
      <c r="E1888" s="1" t="s">
        <v>4</v>
      </c>
      <c r="F1888">
        <v>47</v>
      </c>
      <c r="G1888" s="1" t="str">
        <f>Ocupacao_DW[[#This Row],[data]]&amp;Ocupacao_DW[[#This Row],[profissional_id]]&amp;Ocupacao_DW[[#This Row],[local_id]]</f>
        <v>446361305847</v>
      </c>
      <c r="H1888" s="1">
        <f>_xlfn.XLOOKUP(Ocupacao_DW[[#This Row],[Concat]],Vagas!$H:$H,Vagas!$D:$D,"",0)</f>
        <v>0</v>
      </c>
    </row>
    <row r="1889" spans="1:8" x14ac:dyDescent="0.25">
      <c r="A1889" s="2">
        <v>44638</v>
      </c>
      <c r="B1889" s="1" t="s">
        <v>56</v>
      </c>
      <c r="C1889">
        <v>13660</v>
      </c>
      <c r="D1889" s="1" t="s">
        <v>250</v>
      </c>
      <c r="E1889" s="1" t="s">
        <v>5</v>
      </c>
      <c r="F1889">
        <v>15</v>
      </c>
      <c r="G1889" s="1" t="str">
        <f>Ocupacao_DW[[#This Row],[data]]&amp;Ocupacao_DW[[#This Row],[profissional_id]]&amp;Ocupacao_DW[[#This Row],[local_id]]</f>
        <v>446381366015</v>
      </c>
      <c r="H1889" s="1">
        <f>_xlfn.XLOOKUP(Ocupacao_DW[[#This Row],[Concat]],Vagas!$H:$H,Vagas!$D:$D,"",0)</f>
        <v>0</v>
      </c>
    </row>
    <row r="1890" spans="1:8" x14ac:dyDescent="0.25">
      <c r="A1890" s="2">
        <v>44635</v>
      </c>
      <c r="B1890" s="1" t="s">
        <v>44</v>
      </c>
      <c r="C1890">
        <v>17907</v>
      </c>
      <c r="D1890" s="1" t="s">
        <v>295</v>
      </c>
      <c r="E1890" s="1" t="s">
        <v>7</v>
      </c>
      <c r="F1890">
        <v>55</v>
      </c>
      <c r="G1890" s="1" t="str">
        <f>Ocupacao_DW[[#This Row],[data]]&amp;Ocupacao_DW[[#This Row],[profissional_id]]&amp;Ocupacao_DW[[#This Row],[local_id]]</f>
        <v>446351790755</v>
      </c>
      <c r="H1890" s="1">
        <f>_xlfn.XLOOKUP(Ocupacao_DW[[#This Row],[Concat]],Vagas!$H:$H,Vagas!$D:$D,"",0)</f>
        <v>13</v>
      </c>
    </row>
    <row r="1891" spans="1:8" x14ac:dyDescent="0.25">
      <c r="A1891" s="2">
        <v>44636</v>
      </c>
      <c r="B1891" s="1" t="s">
        <v>50</v>
      </c>
      <c r="C1891">
        <v>10785</v>
      </c>
      <c r="D1891" s="1" t="s">
        <v>237</v>
      </c>
      <c r="E1891" s="1" t="s">
        <v>5</v>
      </c>
      <c r="F1891">
        <v>14</v>
      </c>
      <c r="G1891" s="1" t="str">
        <f>Ocupacao_DW[[#This Row],[data]]&amp;Ocupacao_DW[[#This Row],[profissional_id]]&amp;Ocupacao_DW[[#This Row],[local_id]]</f>
        <v>446361078514</v>
      </c>
      <c r="H1891" s="1">
        <f>_xlfn.XLOOKUP(Ocupacao_DW[[#This Row],[Concat]],Vagas!$H:$H,Vagas!$D:$D,"",0)</f>
        <v>8</v>
      </c>
    </row>
    <row r="1892" spans="1:8" x14ac:dyDescent="0.25">
      <c r="A1892" s="2">
        <v>44636</v>
      </c>
      <c r="B1892" s="1" t="s">
        <v>52</v>
      </c>
      <c r="C1892">
        <v>10691</v>
      </c>
      <c r="D1892" s="1" t="s">
        <v>181</v>
      </c>
      <c r="E1892" s="1" t="s">
        <v>6</v>
      </c>
      <c r="F1892">
        <v>9</v>
      </c>
      <c r="G1892" s="1" t="str">
        <f>Ocupacao_DW[[#This Row],[data]]&amp;Ocupacao_DW[[#This Row],[profissional_id]]&amp;Ocupacao_DW[[#This Row],[local_id]]</f>
        <v>44636106919</v>
      </c>
      <c r="H1892" s="1">
        <f>_xlfn.XLOOKUP(Ocupacao_DW[[#This Row],[Concat]],Vagas!$H:$H,Vagas!$D:$D,"",0)</f>
        <v>0</v>
      </c>
    </row>
    <row r="1893" spans="1:8" x14ac:dyDescent="0.25">
      <c r="A1893" s="2">
        <v>44637</v>
      </c>
      <c r="B1893" s="1" t="s">
        <v>67</v>
      </c>
      <c r="C1893">
        <v>10717</v>
      </c>
      <c r="D1893" s="1" t="s">
        <v>245</v>
      </c>
      <c r="E1893" s="1" t="s">
        <v>200</v>
      </c>
      <c r="F1893">
        <v>78</v>
      </c>
      <c r="G1893" s="1" t="str">
        <f>Ocupacao_DW[[#This Row],[data]]&amp;Ocupacao_DW[[#This Row],[profissional_id]]&amp;Ocupacao_DW[[#This Row],[local_id]]</f>
        <v>446371071778</v>
      </c>
      <c r="H1893" s="1">
        <f>_xlfn.XLOOKUP(Ocupacao_DW[[#This Row],[Concat]],Vagas!$H:$H,Vagas!$D:$D,"",0)</f>
        <v>0</v>
      </c>
    </row>
    <row r="1894" spans="1:8" x14ac:dyDescent="0.25">
      <c r="A1894" s="2">
        <v>44635</v>
      </c>
      <c r="B1894" s="1" t="s">
        <v>40</v>
      </c>
      <c r="C1894">
        <v>54</v>
      </c>
      <c r="D1894" s="1" t="s">
        <v>216</v>
      </c>
      <c r="E1894" s="1" t="s">
        <v>4</v>
      </c>
      <c r="F1894">
        <v>50</v>
      </c>
      <c r="G1894" s="1" t="str">
        <f>Ocupacao_DW[[#This Row],[data]]&amp;Ocupacao_DW[[#This Row],[profissional_id]]&amp;Ocupacao_DW[[#This Row],[local_id]]</f>
        <v>446355450</v>
      </c>
      <c r="H1894" s="1">
        <f>_xlfn.XLOOKUP(Ocupacao_DW[[#This Row],[Concat]],Vagas!$H:$H,Vagas!$D:$D,"",0)</f>
        <v>19</v>
      </c>
    </row>
    <row r="1895" spans="1:8" x14ac:dyDescent="0.25">
      <c r="A1895" s="2">
        <v>44642</v>
      </c>
      <c r="B1895" s="1" t="s">
        <v>47</v>
      </c>
      <c r="C1895">
        <v>9111</v>
      </c>
      <c r="D1895" s="1" t="s">
        <v>206</v>
      </c>
      <c r="E1895" s="1" t="s">
        <v>4</v>
      </c>
      <c r="F1895">
        <v>335</v>
      </c>
      <c r="G1895" s="1" t="str">
        <f>Ocupacao_DW[[#This Row],[data]]&amp;Ocupacao_DW[[#This Row],[profissional_id]]&amp;Ocupacao_DW[[#This Row],[local_id]]</f>
        <v>446429111335</v>
      </c>
      <c r="H1895" s="1">
        <f>_xlfn.XLOOKUP(Ocupacao_DW[[#This Row],[Concat]],Vagas!$H:$H,Vagas!$D:$D,"",0)</f>
        <v>0</v>
      </c>
    </row>
    <row r="1896" spans="1:8" x14ac:dyDescent="0.25">
      <c r="A1896" s="2">
        <v>44635</v>
      </c>
      <c r="B1896" s="1" t="s">
        <v>71</v>
      </c>
      <c r="C1896">
        <v>282</v>
      </c>
      <c r="D1896" s="1" t="s">
        <v>210</v>
      </c>
      <c r="E1896" s="1" t="s">
        <v>4</v>
      </c>
      <c r="F1896">
        <v>48</v>
      </c>
      <c r="G1896" s="1" t="str">
        <f>Ocupacao_DW[[#This Row],[data]]&amp;Ocupacao_DW[[#This Row],[profissional_id]]&amp;Ocupacao_DW[[#This Row],[local_id]]</f>
        <v>4463528248</v>
      </c>
      <c r="H1896" s="1">
        <f>_xlfn.XLOOKUP(Ocupacao_DW[[#This Row],[Concat]],Vagas!$H:$H,Vagas!$D:$D,"",0)</f>
        <v>0</v>
      </c>
    </row>
    <row r="1897" spans="1:8" x14ac:dyDescent="0.25">
      <c r="A1897" s="2">
        <v>44643</v>
      </c>
      <c r="B1897" s="1" t="s">
        <v>70</v>
      </c>
      <c r="C1897">
        <v>12825</v>
      </c>
      <c r="D1897" s="1" t="s">
        <v>177</v>
      </c>
      <c r="E1897" s="1" t="s">
        <v>4</v>
      </c>
      <c r="F1897">
        <v>45</v>
      </c>
      <c r="G1897" s="1" t="str">
        <f>Ocupacao_DW[[#This Row],[data]]&amp;Ocupacao_DW[[#This Row],[profissional_id]]&amp;Ocupacao_DW[[#This Row],[local_id]]</f>
        <v>446431282545</v>
      </c>
      <c r="H1897" s="1">
        <f>_xlfn.XLOOKUP(Ocupacao_DW[[#This Row],[Concat]],Vagas!$H:$H,Vagas!$D:$D,"",0)</f>
        <v>0</v>
      </c>
    </row>
    <row r="1898" spans="1:8" x14ac:dyDescent="0.25">
      <c r="A1898" s="2">
        <v>44655</v>
      </c>
      <c r="B1898" s="1" t="s">
        <v>54</v>
      </c>
      <c r="C1898">
        <v>70</v>
      </c>
      <c r="D1898" s="1" t="s">
        <v>187</v>
      </c>
      <c r="E1898" s="1" t="s">
        <v>5</v>
      </c>
      <c r="F1898">
        <v>13</v>
      </c>
      <c r="G1898" s="1" t="str">
        <f>Ocupacao_DW[[#This Row],[data]]&amp;Ocupacao_DW[[#This Row],[profissional_id]]&amp;Ocupacao_DW[[#This Row],[local_id]]</f>
        <v>446557013</v>
      </c>
      <c r="H1898" s="1">
        <f>_xlfn.XLOOKUP(Ocupacao_DW[[#This Row],[Concat]],Vagas!$H:$H,Vagas!$D:$D,"",0)</f>
        <v>0</v>
      </c>
    </row>
    <row r="1899" spans="1:8" x14ac:dyDescent="0.25">
      <c r="A1899" s="2">
        <v>44637</v>
      </c>
      <c r="B1899" s="1" t="s">
        <v>64</v>
      </c>
      <c r="C1899">
        <v>85</v>
      </c>
      <c r="D1899" s="1" t="s">
        <v>211</v>
      </c>
      <c r="E1899" s="1" t="s">
        <v>5</v>
      </c>
      <c r="F1899">
        <v>349</v>
      </c>
      <c r="G1899" s="1" t="str">
        <f>Ocupacao_DW[[#This Row],[data]]&amp;Ocupacao_DW[[#This Row],[profissional_id]]&amp;Ocupacao_DW[[#This Row],[local_id]]</f>
        <v>4463785349</v>
      </c>
      <c r="H1899" s="1">
        <f>_xlfn.XLOOKUP(Ocupacao_DW[[#This Row],[Concat]],Vagas!$H:$H,Vagas!$D:$D,"",0)</f>
        <v>0</v>
      </c>
    </row>
    <row r="1900" spans="1:8" x14ac:dyDescent="0.25">
      <c r="A1900" s="2">
        <v>44646</v>
      </c>
      <c r="B1900" s="1" t="s">
        <v>55</v>
      </c>
      <c r="C1900">
        <v>17879</v>
      </c>
      <c r="D1900" s="1" t="s">
        <v>233</v>
      </c>
      <c r="E1900" s="1" t="s">
        <v>6</v>
      </c>
      <c r="F1900">
        <v>3</v>
      </c>
      <c r="G1900" s="1" t="str">
        <f>Ocupacao_DW[[#This Row],[data]]&amp;Ocupacao_DW[[#This Row],[profissional_id]]&amp;Ocupacao_DW[[#This Row],[local_id]]</f>
        <v>44646178793</v>
      </c>
      <c r="H1900" s="1">
        <f>_xlfn.XLOOKUP(Ocupacao_DW[[#This Row],[Concat]],Vagas!$H:$H,Vagas!$D:$D,"",0)</f>
        <v>0</v>
      </c>
    </row>
    <row r="1901" spans="1:8" x14ac:dyDescent="0.25">
      <c r="A1901" s="2">
        <v>44635</v>
      </c>
      <c r="B1901" s="1" t="s">
        <v>66</v>
      </c>
      <c r="C1901">
        <v>1343</v>
      </c>
      <c r="D1901" s="1" t="s">
        <v>263</v>
      </c>
      <c r="E1901" s="1" t="s">
        <v>200</v>
      </c>
      <c r="F1901">
        <v>80</v>
      </c>
      <c r="G1901" s="1" t="str">
        <f>Ocupacao_DW[[#This Row],[data]]&amp;Ocupacao_DW[[#This Row],[profissional_id]]&amp;Ocupacao_DW[[#This Row],[local_id]]</f>
        <v>44635134380</v>
      </c>
      <c r="H1901" s="1">
        <f>_xlfn.XLOOKUP(Ocupacao_DW[[#This Row],[Concat]],Vagas!$H:$H,Vagas!$D:$D,"",0)</f>
        <v>0</v>
      </c>
    </row>
    <row r="1902" spans="1:8" x14ac:dyDescent="0.25">
      <c r="A1902" s="2">
        <v>44645</v>
      </c>
      <c r="B1902" s="1" t="s">
        <v>68</v>
      </c>
      <c r="C1902">
        <v>9138</v>
      </c>
      <c r="D1902" s="1" t="s">
        <v>184</v>
      </c>
      <c r="E1902" s="1" t="s">
        <v>5</v>
      </c>
      <c r="F1902">
        <v>14</v>
      </c>
      <c r="G1902" s="1" t="str">
        <f>Ocupacao_DW[[#This Row],[data]]&amp;Ocupacao_DW[[#This Row],[profissional_id]]&amp;Ocupacao_DW[[#This Row],[local_id]]</f>
        <v>44645913814</v>
      </c>
      <c r="H1902" s="1">
        <f>_xlfn.XLOOKUP(Ocupacao_DW[[#This Row],[Concat]],Vagas!$H:$H,Vagas!$D:$D,"",0)</f>
        <v>0</v>
      </c>
    </row>
    <row r="1903" spans="1:8" x14ac:dyDescent="0.25">
      <c r="A1903" s="2">
        <v>44635</v>
      </c>
      <c r="B1903" s="1" t="s">
        <v>66</v>
      </c>
      <c r="C1903">
        <v>100</v>
      </c>
      <c r="D1903" s="1" t="s">
        <v>166</v>
      </c>
      <c r="E1903" s="1" t="s">
        <v>167</v>
      </c>
      <c r="F1903">
        <v>342</v>
      </c>
      <c r="G1903" s="1" t="str">
        <f>Ocupacao_DW[[#This Row],[data]]&amp;Ocupacao_DW[[#This Row],[profissional_id]]&amp;Ocupacao_DW[[#This Row],[local_id]]</f>
        <v>44635100342</v>
      </c>
      <c r="H1903" s="1">
        <f>_xlfn.XLOOKUP(Ocupacao_DW[[#This Row],[Concat]],Vagas!$H:$H,Vagas!$D:$D,"",0)</f>
        <v>0</v>
      </c>
    </row>
    <row r="1904" spans="1:8" x14ac:dyDescent="0.25">
      <c r="A1904" s="2">
        <v>44636</v>
      </c>
      <c r="B1904" s="1" t="s">
        <v>62</v>
      </c>
      <c r="C1904">
        <v>3502</v>
      </c>
      <c r="D1904" s="1" t="s">
        <v>214</v>
      </c>
      <c r="E1904" s="1" t="s">
        <v>5</v>
      </c>
      <c r="F1904">
        <v>16</v>
      </c>
      <c r="G1904" s="1" t="str">
        <f>Ocupacao_DW[[#This Row],[data]]&amp;Ocupacao_DW[[#This Row],[profissional_id]]&amp;Ocupacao_DW[[#This Row],[local_id]]</f>
        <v>44636350216</v>
      </c>
      <c r="H1904" s="1">
        <f>_xlfn.XLOOKUP(Ocupacao_DW[[#This Row],[Concat]],Vagas!$H:$H,Vagas!$D:$D,"",0)</f>
        <v>0</v>
      </c>
    </row>
    <row r="1905" spans="1:8" x14ac:dyDescent="0.25">
      <c r="A1905" s="2">
        <v>44638</v>
      </c>
      <c r="B1905" s="1" t="s">
        <v>47</v>
      </c>
      <c r="C1905">
        <v>12684</v>
      </c>
      <c r="D1905" s="1" t="s">
        <v>236</v>
      </c>
      <c r="E1905" s="1" t="s">
        <v>200</v>
      </c>
      <c r="F1905">
        <v>85</v>
      </c>
      <c r="G1905" s="1" t="str">
        <f>Ocupacao_DW[[#This Row],[data]]&amp;Ocupacao_DW[[#This Row],[profissional_id]]&amp;Ocupacao_DW[[#This Row],[local_id]]</f>
        <v>446381268485</v>
      </c>
      <c r="H1905" s="1">
        <f>_xlfn.XLOOKUP(Ocupacao_DW[[#This Row],[Concat]],Vagas!$H:$H,Vagas!$D:$D,"",0)</f>
        <v>0</v>
      </c>
    </row>
    <row r="1906" spans="1:8" x14ac:dyDescent="0.25">
      <c r="A1906" s="2">
        <v>44635</v>
      </c>
      <c r="B1906" s="1" t="s">
        <v>70</v>
      </c>
      <c r="C1906">
        <v>12825</v>
      </c>
      <c r="D1906" s="1" t="s">
        <v>177</v>
      </c>
      <c r="E1906" s="1" t="s">
        <v>7</v>
      </c>
      <c r="F1906">
        <v>63</v>
      </c>
      <c r="G1906" s="1" t="str">
        <f>Ocupacao_DW[[#This Row],[data]]&amp;Ocupacao_DW[[#This Row],[profissional_id]]&amp;Ocupacao_DW[[#This Row],[local_id]]</f>
        <v>446351282563</v>
      </c>
      <c r="H1906" s="1">
        <f>_xlfn.XLOOKUP(Ocupacao_DW[[#This Row],[Concat]],Vagas!$H:$H,Vagas!$D:$D,"",0)</f>
        <v>0</v>
      </c>
    </row>
    <row r="1907" spans="1:8" x14ac:dyDescent="0.25">
      <c r="A1907" s="2">
        <v>44638</v>
      </c>
      <c r="B1907" s="1" t="s">
        <v>49</v>
      </c>
      <c r="C1907">
        <v>81</v>
      </c>
      <c r="D1907" s="1" t="s">
        <v>170</v>
      </c>
      <c r="E1907" s="1" t="s">
        <v>4</v>
      </c>
      <c r="F1907">
        <v>41</v>
      </c>
      <c r="G1907" s="1" t="str">
        <f>Ocupacao_DW[[#This Row],[data]]&amp;Ocupacao_DW[[#This Row],[profissional_id]]&amp;Ocupacao_DW[[#This Row],[local_id]]</f>
        <v>446388141</v>
      </c>
      <c r="H1907" s="1">
        <f>_xlfn.XLOOKUP(Ocupacao_DW[[#This Row],[Concat]],Vagas!$H:$H,Vagas!$D:$D,"",0)</f>
        <v>0</v>
      </c>
    </row>
    <row r="1908" spans="1:8" x14ac:dyDescent="0.25">
      <c r="A1908" s="2">
        <v>44658</v>
      </c>
      <c r="B1908" s="1" t="s">
        <v>55</v>
      </c>
      <c r="C1908">
        <v>74</v>
      </c>
      <c r="D1908" s="1" t="s">
        <v>182</v>
      </c>
      <c r="E1908" s="1" t="s">
        <v>6</v>
      </c>
      <c r="F1908">
        <v>7</v>
      </c>
      <c r="G1908" s="1" t="str">
        <f>Ocupacao_DW[[#This Row],[data]]&amp;Ocupacao_DW[[#This Row],[profissional_id]]&amp;Ocupacao_DW[[#This Row],[local_id]]</f>
        <v>44658747</v>
      </c>
      <c r="H1908" s="1">
        <f>_xlfn.XLOOKUP(Ocupacao_DW[[#This Row],[Concat]],Vagas!$H:$H,Vagas!$D:$D,"",0)</f>
        <v>7</v>
      </c>
    </row>
    <row r="1909" spans="1:8" x14ac:dyDescent="0.25">
      <c r="A1909" s="2">
        <v>44636</v>
      </c>
      <c r="B1909" s="1" t="s">
        <v>20</v>
      </c>
      <c r="C1909">
        <v>174</v>
      </c>
      <c r="D1909" s="1" t="s">
        <v>230</v>
      </c>
      <c r="E1909" s="1" t="s">
        <v>167</v>
      </c>
      <c r="F1909">
        <v>24</v>
      </c>
      <c r="G1909" s="1" t="str">
        <f>Ocupacao_DW[[#This Row],[data]]&amp;Ocupacao_DW[[#This Row],[profissional_id]]&amp;Ocupacao_DW[[#This Row],[local_id]]</f>
        <v>4463617424</v>
      </c>
      <c r="H1909" s="1">
        <f>_xlfn.XLOOKUP(Ocupacao_DW[[#This Row],[Concat]],Vagas!$H:$H,Vagas!$D:$D,"",0)</f>
        <v>74</v>
      </c>
    </row>
    <row r="1910" spans="1:8" x14ac:dyDescent="0.25">
      <c r="A1910" s="2">
        <v>44644</v>
      </c>
      <c r="B1910" s="1" t="s">
        <v>73</v>
      </c>
      <c r="C1910">
        <v>10691</v>
      </c>
      <c r="D1910" s="1" t="s">
        <v>181</v>
      </c>
      <c r="E1910" s="1" t="s">
        <v>167</v>
      </c>
      <c r="F1910">
        <v>348</v>
      </c>
      <c r="G1910" s="1" t="str">
        <f>Ocupacao_DW[[#This Row],[data]]&amp;Ocupacao_DW[[#This Row],[profissional_id]]&amp;Ocupacao_DW[[#This Row],[local_id]]</f>
        <v>4464410691348</v>
      </c>
      <c r="H1910" s="1">
        <f>_xlfn.XLOOKUP(Ocupacao_DW[[#This Row],[Concat]],Vagas!$H:$H,Vagas!$D:$D,"",0)</f>
        <v>0</v>
      </c>
    </row>
    <row r="1911" spans="1:8" x14ac:dyDescent="0.25">
      <c r="A1911" s="2">
        <v>44638</v>
      </c>
      <c r="B1911" s="1" t="s">
        <v>47</v>
      </c>
      <c r="C1911">
        <v>13371</v>
      </c>
      <c r="D1911" s="1" t="s">
        <v>205</v>
      </c>
      <c r="E1911" s="1" t="s">
        <v>4</v>
      </c>
      <c r="F1911">
        <v>336</v>
      </c>
      <c r="G1911" s="1" t="str">
        <f>Ocupacao_DW[[#This Row],[data]]&amp;Ocupacao_DW[[#This Row],[profissional_id]]&amp;Ocupacao_DW[[#This Row],[local_id]]</f>
        <v>4463813371336</v>
      </c>
      <c r="H1911" s="1" t="str">
        <f>_xlfn.XLOOKUP(Ocupacao_DW[[#This Row],[Concat]],Vagas!$H:$H,Vagas!$D:$D,"",0)</f>
        <v/>
      </c>
    </row>
    <row r="1912" spans="1:8" x14ac:dyDescent="0.25">
      <c r="A1912" s="2">
        <v>44636</v>
      </c>
      <c r="B1912" s="1" t="s">
        <v>54</v>
      </c>
      <c r="C1912">
        <v>70</v>
      </c>
      <c r="D1912" s="1" t="s">
        <v>187</v>
      </c>
      <c r="E1912" s="1" t="s">
        <v>5</v>
      </c>
      <c r="F1912">
        <v>13</v>
      </c>
      <c r="G1912" s="1" t="str">
        <f>Ocupacao_DW[[#This Row],[data]]&amp;Ocupacao_DW[[#This Row],[profissional_id]]&amp;Ocupacao_DW[[#This Row],[local_id]]</f>
        <v>446367013</v>
      </c>
      <c r="H1912" s="1">
        <f>_xlfn.XLOOKUP(Ocupacao_DW[[#This Row],[Concat]],Vagas!$H:$H,Vagas!$D:$D,"",0)</f>
        <v>0</v>
      </c>
    </row>
    <row r="1913" spans="1:8" x14ac:dyDescent="0.25">
      <c r="A1913" s="2">
        <v>44656</v>
      </c>
      <c r="B1913" s="1" t="s">
        <v>55</v>
      </c>
      <c r="C1913">
        <v>73</v>
      </c>
      <c r="D1913" s="1" t="s">
        <v>171</v>
      </c>
      <c r="E1913" s="1" t="s">
        <v>6</v>
      </c>
      <c r="F1913">
        <v>5</v>
      </c>
      <c r="G1913" s="1" t="str">
        <f>Ocupacao_DW[[#This Row],[data]]&amp;Ocupacao_DW[[#This Row],[profissional_id]]&amp;Ocupacao_DW[[#This Row],[local_id]]</f>
        <v>44656735</v>
      </c>
      <c r="H1913" s="1">
        <f>_xlfn.XLOOKUP(Ocupacao_DW[[#This Row],[Concat]],Vagas!$H:$H,Vagas!$D:$D,"",0)</f>
        <v>0</v>
      </c>
    </row>
    <row r="1914" spans="1:8" x14ac:dyDescent="0.25">
      <c r="A1914" s="2">
        <v>44635</v>
      </c>
      <c r="B1914" s="1" t="s">
        <v>46</v>
      </c>
      <c r="C1914">
        <v>17888</v>
      </c>
      <c r="D1914" s="1" t="s">
        <v>255</v>
      </c>
      <c r="E1914" s="1" t="s">
        <v>4</v>
      </c>
      <c r="F1914">
        <v>40</v>
      </c>
      <c r="G1914" s="1" t="str">
        <f>Ocupacao_DW[[#This Row],[data]]&amp;Ocupacao_DW[[#This Row],[profissional_id]]&amp;Ocupacao_DW[[#This Row],[local_id]]</f>
        <v>446351788840</v>
      </c>
      <c r="H1914" s="1">
        <f>_xlfn.XLOOKUP(Ocupacao_DW[[#This Row],[Concat]],Vagas!$H:$H,Vagas!$D:$D,"",0)</f>
        <v>11</v>
      </c>
    </row>
    <row r="1915" spans="1:8" x14ac:dyDescent="0.25">
      <c r="A1915" s="2">
        <v>44636</v>
      </c>
      <c r="B1915" s="1" t="s">
        <v>51</v>
      </c>
      <c r="C1915">
        <v>7551</v>
      </c>
      <c r="D1915" s="1" t="s">
        <v>246</v>
      </c>
      <c r="E1915" s="1" t="s">
        <v>5</v>
      </c>
      <c r="F1915">
        <v>15</v>
      </c>
      <c r="G1915" s="1" t="str">
        <f>Ocupacao_DW[[#This Row],[data]]&amp;Ocupacao_DW[[#This Row],[profissional_id]]&amp;Ocupacao_DW[[#This Row],[local_id]]</f>
        <v>44636755115</v>
      </c>
      <c r="H1915" s="1">
        <f>_xlfn.XLOOKUP(Ocupacao_DW[[#This Row],[Concat]],Vagas!$H:$H,Vagas!$D:$D,"",0)</f>
        <v>0</v>
      </c>
    </row>
    <row r="1916" spans="1:8" x14ac:dyDescent="0.25">
      <c r="A1916" s="2">
        <v>44636</v>
      </c>
      <c r="B1916" s="1" t="s">
        <v>62</v>
      </c>
      <c r="C1916">
        <v>3502</v>
      </c>
      <c r="D1916" s="1" t="s">
        <v>214</v>
      </c>
      <c r="E1916" s="1" t="s">
        <v>5</v>
      </c>
      <c r="F1916">
        <v>16</v>
      </c>
      <c r="G1916" s="1" t="str">
        <f>Ocupacao_DW[[#This Row],[data]]&amp;Ocupacao_DW[[#This Row],[profissional_id]]&amp;Ocupacao_DW[[#This Row],[local_id]]</f>
        <v>44636350216</v>
      </c>
      <c r="H1916" s="1">
        <f>_xlfn.XLOOKUP(Ocupacao_DW[[#This Row],[Concat]],Vagas!$H:$H,Vagas!$D:$D,"",0)</f>
        <v>0</v>
      </c>
    </row>
    <row r="1917" spans="1:8" x14ac:dyDescent="0.25">
      <c r="A1917" s="2">
        <v>44641</v>
      </c>
      <c r="B1917" s="1" t="s">
        <v>56</v>
      </c>
      <c r="C1917">
        <v>75</v>
      </c>
      <c r="D1917" s="1" t="s">
        <v>208</v>
      </c>
      <c r="E1917" s="1" t="s">
        <v>5</v>
      </c>
      <c r="F1917">
        <v>15</v>
      </c>
      <c r="G1917" s="1" t="str">
        <f>Ocupacao_DW[[#This Row],[data]]&amp;Ocupacao_DW[[#This Row],[profissional_id]]&amp;Ocupacao_DW[[#This Row],[local_id]]</f>
        <v>446417515</v>
      </c>
      <c r="H1917" s="1">
        <f>_xlfn.XLOOKUP(Ocupacao_DW[[#This Row],[Concat]],Vagas!$H:$H,Vagas!$D:$D,"",0)</f>
        <v>0</v>
      </c>
    </row>
    <row r="1918" spans="1:8" x14ac:dyDescent="0.25">
      <c r="A1918" s="2">
        <v>44638</v>
      </c>
      <c r="B1918" s="1" t="s">
        <v>52</v>
      </c>
      <c r="C1918">
        <v>55</v>
      </c>
      <c r="D1918" s="1" t="s">
        <v>244</v>
      </c>
      <c r="E1918" s="1" t="s">
        <v>7</v>
      </c>
      <c r="F1918">
        <v>68</v>
      </c>
      <c r="G1918" s="1" t="str">
        <f>Ocupacao_DW[[#This Row],[data]]&amp;Ocupacao_DW[[#This Row],[profissional_id]]&amp;Ocupacao_DW[[#This Row],[local_id]]</f>
        <v>446385568</v>
      </c>
      <c r="H1918" s="1">
        <f>_xlfn.XLOOKUP(Ocupacao_DW[[#This Row],[Concat]],Vagas!$H:$H,Vagas!$D:$D,"",0)</f>
        <v>0</v>
      </c>
    </row>
    <row r="1919" spans="1:8" x14ac:dyDescent="0.25">
      <c r="A1919" s="2">
        <v>44635</v>
      </c>
      <c r="B1919" s="1" t="s">
        <v>40</v>
      </c>
      <c r="C1919">
        <v>54</v>
      </c>
      <c r="D1919" s="1" t="s">
        <v>216</v>
      </c>
      <c r="E1919" s="1" t="s">
        <v>4</v>
      </c>
      <c r="F1919">
        <v>50</v>
      </c>
      <c r="G1919" s="1" t="str">
        <f>Ocupacao_DW[[#This Row],[data]]&amp;Ocupacao_DW[[#This Row],[profissional_id]]&amp;Ocupacao_DW[[#This Row],[local_id]]</f>
        <v>446355450</v>
      </c>
      <c r="H1919" s="1">
        <f>_xlfn.XLOOKUP(Ocupacao_DW[[#This Row],[Concat]],Vagas!$H:$H,Vagas!$D:$D,"",0)</f>
        <v>19</v>
      </c>
    </row>
    <row r="1920" spans="1:8" x14ac:dyDescent="0.25">
      <c r="A1920" s="2">
        <v>44650</v>
      </c>
      <c r="B1920" s="1" t="s">
        <v>72</v>
      </c>
      <c r="C1920">
        <v>6046</v>
      </c>
      <c r="D1920" s="1" t="s">
        <v>222</v>
      </c>
      <c r="E1920" s="1" t="s">
        <v>167</v>
      </c>
      <c r="F1920">
        <v>344</v>
      </c>
      <c r="G1920" s="1" t="str">
        <f>Ocupacao_DW[[#This Row],[data]]&amp;Ocupacao_DW[[#This Row],[profissional_id]]&amp;Ocupacao_DW[[#This Row],[local_id]]</f>
        <v>446506046344</v>
      </c>
      <c r="H1920" s="1">
        <f>_xlfn.XLOOKUP(Ocupacao_DW[[#This Row],[Concat]],Vagas!$H:$H,Vagas!$D:$D,"",0)</f>
        <v>0</v>
      </c>
    </row>
    <row r="1921" spans="1:8" x14ac:dyDescent="0.25">
      <c r="A1921" s="2">
        <v>44655</v>
      </c>
      <c r="B1921" s="1" t="s">
        <v>55</v>
      </c>
      <c r="C1921">
        <v>6392</v>
      </c>
      <c r="D1921" s="1" t="s">
        <v>173</v>
      </c>
      <c r="E1921" s="1" t="s">
        <v>6</v>
      </c>
      <c r="F1921">
        <v>5</v>
      </c>
      <c r="G1921" s="1" t="str">
        <f>Ocupacao_DW[[#This Row],[data]]&amp;Ocupacao_DW[[#This Row],[profissional_id]]&amp;Ocupacao_DW[[#This Row],[local_id]]</f>
        <v>4465563925</v>
      </c>
      <c r="H1921" s="1">
        <f>_xlfn.XLOOKUP(Ocupacao_DW[[#This Row],[Concat]],Vagas!$H:$H,Vagas!$D:$D,"",0)</f>
        <v>0</v>
      </c>
    </row>
    <row r="1922" spans="1:8" x14ac:dyDescent="0.25">
      <c r="A1922" s="2">
        <v>44637</v>
      </c>
      <c r="B1922" s="1" t="s">
        <v>49</v>
      </c>
      <c r="C1922">
        <v>266</v>
      </c>
      <c r="D1922" s="1" t="s">
        <v>201</v>
      </c>
      <c r="E1922" s="1" t="s">
        <v>4</v>
      </c>
      <c r="F1922">
        <v>42</v>
      </c>
      <c r="G1922" s="1" t="str">
        <f>Ocupacao_DW[[#This Row],[data]]&amp;Ocupacao_DW[[#This Row],[profissional_id]]&amp;Ocupacao_DW[[#This Row],[local_id]]</f>
        <v>4463726642</v>
      </c>
      <c r="H1922" s="1">
        <f>_xlfn.XLOOKUP(Ocupacao_DW[[#This Row],[Concat]],Vagas!$H:$H,Vagas!$D:$D,"",0)</f>
        <v>0</v>
      </c>
    </row>
    <row r="1923" spans="1:8" x14ac:dyDescent="0.25">
      <c r="A1923" s="2">
        <v>44642</v>
      </c>
      <c r="B1923" s="1" t="s">
        <v>50</v>
      </c>
      <c r="C1923">
        <v>4814</v>
      </c>
      <c r="D1923" s="1" t="s">
        <v>189</v>
      </c>
      <c r="E1923" s="1" t="s">
        <v>5</v>
      </c>
      <c r="F1923">
        <v>17</v>
      </c>
      <c r="G1923" s="1" t="str">
        <f>Ocupacao_DW[[#This Row],[data]]&amp;Ocupacao_DW[[#This Row],[profissional_id]]&amp;Ocupacao_DW[[#This Row],[local_id]]</f>
        <v>44642481417</v>
      </c>
      <c r="H1923" s="1">
        <f>_xlfn.XLOOKUP(Ocupacao_DW[[#This Row],[Concat]],Vagas!$H:$H,Vagas!$D:$D,"",0)</f>
        <v>0</v>
      </c>
    </row>
    <row r="1924" spans="1:8" x14ac:dyDescent="0.25">
      <c r="A1924" s="2">
        <v>44642</v>
      </c>
      <c r="B1924" s="1" t="s">
        <v>47</v>
      </c>
      <c r="C1924">
        <v>9111</v>
      </c>
      <c r="D1924" s="1" t="s">
        <v>206</v>
      </c>
      <c r="E1924" s="1" t="s">
        <v>4</v>
      </c>
      <c r="F1924">
        <v>335</v>
      </c>
      <c r="G1924" s="1" t="str">
        <f>Ocupacao_DW[[#This Row],[data]]&amp;Ocupacao_DW[[#This Row],[profissional_id]]&amp;Ocupacao_DW[[#This Row],[local_id]]</f>
        <v>446429111335</v>
      </c>
      <c r="H1924" s="1">
        <f>_xlfn.XLOOKUP(Ocupacao_DW[[#This Row],[Concat]],Vagas!$H:$H,Vagas!$D:$D,"",0)</f>
        <v>0</v>
      </c>
    </row>
    <row r="1925" spans="1:8" x14ac:dyDescent="0.25">
      <c r="A1925" s="2">
        <v>44645</v>
      </c>
      <c r="B1925" s="1" t="s">
        <v>62</v>
      </c>
      <c r="C1925">
        <v>2567</v>
      </c>
      <c r="D1925" s="1" t="s">
        <v>198</v>
      </c>
      <c r="E1925" s="1" t="s">
        <v>5</v>
      </c>
      <c r="F1925">
        <v>18</v>
      </c>
      <c r="G1925" s="1" t="str">
        <f>Ocupacao_DW[[#This Row],[data]]&amp;Ocupacao_DW[[#This Row],[profissional_id]]&amp;Ocupacao_DW[[#This Row],[local_id]]</f>
        <v>44645256718</v>
      </c>
      <c r="H1925" s="1">
        <f>_xlfn.XLOOKUP(Ocupacao_DW[[#This Row],[Concat]],Vagas!$H:$H,Vagas!$D:$D,"",0)</f>
        <v>0</v>
      </c>
    </row>
    <row r="1926" spans="1:8" x14ac:dyDescent="0.25">
      <c r="A1926" s="2">
        <v>44646</v>
      </c>
      <c r="B1926" s="1" t="s">
        <v>55</v>
      </c>
      <c r="C1926">
        <v>17879</v>
      </c>
      <c r="D1926" s="1" t="s">
        <v>233</v>
      </c>
      <c r="E1926" s="1" t="s">
        <v>6</v>
      </c>
      <c r="F1926">
        <v>3</v>
      </c>
      <c r="G1926" s="1" t="str">
        <f>Ocupacao_DW[[#This Row],[data]]&amp;Ocupacao_DW[[#This Row],[profissional_id]]&amp;Ocupacao_DW[[#This Row],[local_id]]</f>
        <v>44646178793</v>
      </c>
      <c r="H1926" s="1">
        <f>_xlfn.XLOOKUP(Ocupacao_DW[[#This Row],[Concat]],Vagas!$H:$H,Vagas!$D:$D,"",0)</f>
        <v>0</v>
      </c>
    </row>
    <row r="1927" spans="1:8" x14ac:dyDescent="0.25">
      <c r="A1927" s="2">
        <v>44638</v>
      </c>
      <c r="B1927" s="1" t="s">
        <v>54</v>
      </c>
      <c r="C1927">
        <v>69</v>
      </c>
      <c r="D1927" s="1" t="s">
        <v>238</v>
      </c>
      <c r="E1927" s="1" t="s">
        <v>5</v>
      </c>
      <c r="F1927">
        <v>13</v>
      </c>
      <c r="G1927" s="1" t="str">
        <f>Ocupacao_DW[[#This Row],[data]]&amp;Ocupacao_DW[[#This Row],[profissional_id]]&amp;Ocupacao_DW[[#This Row],[local_id]]</f>
        <v>446386913</v>
      </c>
      <c r="H1927" s="1">
        <f>_xlfn.XLOOKUP(Ocupacao_DW[[#This Row],[Concat]],Vagas!$H:$H,Vagas!$D:$D,"",0)</f>
        <v>0</v>
      </c>
    </row>
    <row r="1928" spans="1:8" x14ac:dyDescent="0.25">
      <c r="A1928" s="2">
        <v>44641</v>
      </c>
      <c r="B1928" s="1" t="s">
        <v>52</v>
      </c>
      <c r="C1928">
        <v>10595</v>
      </c>
      <c r="D1928" s="1" t="s">
        <v>218</v>
      </c>
      <c r="E1928" s="1" t="s">
        <v>200</v>
      </c>
      <c r="F1928">
        <v>78</v>
      </c>
      <c r="G1928" s="1" t="str">
        <f>Ocupacao_DW[[#This Row],[data]]&amp;Ocupacao_DW[[#This Row],[profissional_id]]&amp;Ocupacao_DW[[#This Row],[local_id]]</f>
        <v>446411059578</v>
      </c>
      <c r="H1928" s="1">
        <f>_xlfn.XLOOKUP(Ocupacao_DW[[#This Row],[Concat]],Vagas!$H:$H,Vagas!$D:$D,"",0)</f>
        <v>0</v>
      </c>
    </row>
    <row r="1929" spans="1:8" x14ac:dyDescent="0.25">
      <c r="A1929" s="2">
        <v>44643</v>
      </c>
      <c r="B1929" s="1" t="s">
        <v>52</v>
      </c>
      <c r="C1929">
        <v>10691</v>
      </c>
      <c r="D1929" s="1" t="s">
        <v>181</v>
      </c>
      <c r="E1929" s="1" t="s">
        <v>6</v>
      </c>
      <c r="F1929">
        <v>9</v>
      </c>
      <c r="G1929" s="1" t="str">
        <f>Ocupacao_DW[[#This Row],[data]]&amp;Ocupacao_DW[[#This Row],[profissional_id]]&amp;Ocupacao_DW[[#This Row],[local_id]]</f>
        <v>44643106919</v>
      </c>
      <c r="H1929" s="1">
        <f>_xlfn.XLOOKUP(Ocupacao_DW[[#This Row],[Concat]],Vagas!$H:$H,Vagas!$D:$D,"",0)</f>
        <v>0</v>
      </c>
    </row>
    <row r="1930" spans="1:8" x14ac:dyDescent="0.25">
      <c r="A1930" s="2">
        <v>44642</v>
      </c>
      <c r="B1930" s="1" t="s">
        <v>42</v>
      </c>
      <c r="C1930">
        <v>17902</v>
      </c>
      <c r="D1930" s="1" t="s">
        <v>264</v>
      </c>
      <c r="E1930" s="1" t="s">
        <v>4</v>
      </c>
      <c r="F1930">
        <v>39</v>
      </c>
      <c r="G1930" s="1" t="str">
        <f>Ocupacao_DW[[#This Row],[data]]&amp;Ocupacao_DW[[#This Row],[profissional_id]]&amp;Ocupacao_DW[[#This Row],[local_id]]</f>
        <v>446421790239</v>
      </c>
      <c r="H1930" s="1">
        <f>_xlfn.XLOOKUP(Ocupacao_DW[[#This Row],[Concat]],Vagas!$H:$H,Vagas!$D:$D,"",0)</f>
        <v>50</v>
      </c>
    </row>
    <row r="1931" spans="1:8" x14ac:dyDescent="0.25">
      <c r="A1931" s="2">
        <v>44643</v>
      </c>
      <c r="B1931" s="1" t="s">
        <v>58</v>
      </c>
      <c r="C1931">
        <v>5767</v>
      </c>
      <c r="D1931" s="1" t="s">
        <v>239</v>
      </c>
      <c r="E1931" s="1" t="s">
        <v>4</v>
      </c>
      <c r="F1931">
        <v>44</v>
      </c>
      <c r="G1931" s="1" t="str">
        <f>Ocupacao_DW[[#This Row],[data]]&amp;Ocupacao_DW[[#This Row],[profissional_id]]&amp;Ocupacao_DW[[#This Row],[local_id]]</f>
        <v>44643576744</v>
      </c>
      <c r="H1931" s="1">
        <f>_xlfn.XLOOKUP(Ocupacao_DW[[#This Row],[Concat]],Vagas!$H:$H,Vagas!$D:$D,"",0)</f>
        <v>0</v>
      </c>
    </row>
    <row r="1932" spans="1:8" x14ac:dyDescent="0.25">
      <c r="A1932" s="2">
        <v>44655</v>
      </c>
      <c r="B1932" s="1" t="s">
        <v>55</v>
      </c>
      <c r="C1932">
        <v>6392</v>
      </c>
      <c r="D1932" s="1" t="s">
        <v>173</v>
      </c>
      <c r="E1932" s="1" t="s">
        <v>6</v>
      </c>
      <c r="F1932">
        <v>5</v>
      </c>
      <c r="G1932" s="1" t="str">
        <f>Ocupacao_DW[[#This Row],[data]]&amp;Ocupacao_DW[[#This Row],[profissional_id]]&amp;Ocupacao_DW[[#This Row],[local_id]]</f>
        <v>4465563925</v>
      </c>
      <c r="H1932" s="1">
        <f>_xlfn.XLOOKUP(Ocupacao_DW[[#This Row],[Concat]],Vagas!$H:$H,Vagas!$D:$D,"",0)</f>
        <v>0</v>
      </c>
    </row>
    <row r="1933" spans="1:8" x14ac:dyDescent="0.25">
      <c r="A1933" s="2">
        <v>44643</v>
      </c>
      <c r="B1933" s="1" t="s">
        <v>60</v>
      </c>
      <c r="C1933">
        <v>14326</v>
      </c>
      <c r="D1933" s="1" t="s">
        <v>220</v>
      </c>
      <c r="E1933" s="1" t="s">
        <v>4</v>
      </c>
      <c r="F1933">
        <v>43</v>
      </c>
      <c r="G1933" s="1" t="str">
        <f>Ocupacao_DW[[#This Row],[data]]&amp;Ocupacao_DW[[#This Row],[profissional_id]]&amp;Ocupacao_DW[[#This Row],[local_id]]</f>
        <v>446431432643</v>
      </c>
      <c r="H1933" s="1">
        <f>_xlfn.XLOOKUP(Ocupacao_DW[[#This Row],[Concat]],Vagas!$H:$H,Vagas!$D:$D,"",0)</f>
        <v>0</v>
      </c>
    </row>
    <row r="1934" spans="1:8" x14ac:dyDescent="0.25">
      <c r="A1934" s="2">
        <v>44635</v>
      </c>
      <c r="B1934" s="1" t="s">
        <v>70</v>
      </c>
      <c r="C1934">
        <v>12825</v>
      </c>
      <c r="D1934" s="1" t="s">
        <v>177</v>
      </c>
      <c r="E1934" s="1" t="s">
        <v>7</v>
      </c>
      <c r="F1934">
        <v>63</v>
      </c>
      <c r="G1934" s="1" t="str">
        <f>Ocupacao_DW[[#This Row],[data]]&amp;Ocupacao_DW[[#This Row],[profissional_id]]&amp;Ocupacao_DW[[#This Row],[local_id]]</f>
        <v>446351282563</v>
      </c>
      <c r="H1934" s="1">
        <f>_xlfn.XLOOKUP(Ocupacao_DW[[#This Row],[Concat]],Vagas!$H:$H,Vagas!$D:$D,"",0)</f>
        <v>0</v>
      </c>
    </row>
    <row r="1935" spans="1:8" x14ac:dyDescent="0.25">
      <c r="A1935" s="2">
        <v>44638</v>
      </c>
      <c r="B1935" s="1" t="s">
        <v>46</v>
      </c>
      <c r="C1935">
        <v>17888</v>
      </c>
      <c r="D1935" s="1" t="s">
        <v>255</v>
      </c>
      <c r="E1935" s="1" t="s">
        <v>4</v>
      </c>
      <c r="F1935">
        <v>40</v>
      </c>
      <c r="G1935" s="1" t="str">
        <f>Ocupacao_DW[[#This Row],[data]]&amp;Ocupacao_DW[[#This Row],[profissional_id]]&amp;Ocupacao_DW[[#This Row],[local_id]]</f>
        <v>446381788840</v>
      </c>
      <c r="H1935" s="1">
        <f>_xlfn.XLOOKUP(Ocupacao_DW[[#This Row],[Concat]],Vagas!$H:$H,Vagas!$D:$D,"",0)</f>
        <v>21</v>
      </c>
    </row>
    <row r="1936" spans="1:8" x14ac:dyDescent="0.25">
      <c r="A1936" s="2">
        <v>44638</v>
      </c>
      <c r="B1936" s="1" t="s">
        <v>52</v>
      </c>
      <c r="C1936">
        <v>60</v>
      </c>
      <c r="D1936" s="1" t="s">
        <v>217</v>
      </c>
      <c r="E1936" s="1" t="s">
        <v>167</v>
      </c>
      <c r="F1936">
        <v>348</v>
      </c>
      <c r="G1936" s="1" t="str">
        <f>Ocupacao_DW[[#This Row],[data]]&amp;Ocupacao_DW[[#This Row],[profissional_id]]&amp;Ocupacao_DW[[#This Row],[local_id]]</f>
        <v>4463860348</v>
      </c>
      <c r="H1936" s="1">
        <f>_xlfn.XLOOKUP(Ocupacao_DW[[#This Row],[Concat]],Vagas!$H:$H,Vagas!$D:$D,"",0)</f>
        <v>0</v>
      </c>
    </row>
    <row r="1937" spans="1:8" x14ac:dyDescent="0.25">
      <c r="A1937" s="2">
        <v>44635</v>
      </c>
      <c r="B1937" s="1" t="s">
        <v>70</v>
      </c>
      <c r="C1937">
        <v>12825</v>
      </c>
      <c r="D1937" s="1" t="s">
        <v>177</v>
      </c>
      <c r="E1937" s="1" t="s">
        <v>7</v>
      </c>
      <c r="F1937">
        <v>63</v>
      </c>
      <c r="G1937" s="1" t="str">
        <f>Ocupacao_DW[[#This Row],[data]]&amp;Ocupacao_DW[[#This Row],[profissional_id]]&amp;Ocupacao_DW[[#This Row],[local_id]]</f>
        <v>446351282563</v>
      </c>
      <c r="H1937" s="1">
        <f>_xlfn.XLOOKUP(Ocupacao_DW[[#This Row],[Concat]],Vagas!$H:$H,Vagas!$D:$D,"",0)</f>
        <v>0</v>
      </c>
    </row>
    <row r="1938" spans="1:8" x14ac:dyDescent="0.25">
      <c r="A1938" s="2">
        <v>44641</v>
      </c>
      <c r="B1938" s="1" t="s">
        <v>47</v>
      </c>
      <c r="C1938">
        <v>13371</v>
      </c>
      <c r="D1938" s="1" t="s">
        <v>205</v>
      </c>
      <c r="E1938" s="1" t="s">
        <v>4</v>
      </c>
      <c r="F1938">
        <v>335</v>
      </c>
      <c r="G1938" s="1" t="str">
        <f>Ocupacao_DW[[#This Row],[data]]&amp;Ocupacao_DW[[#This Row],[profissional_id]]&amp;Ocupacao_DW[[#This Row],[local_id]]</f>
        <v>4464113371335</v>
      </c>
      <c r="H1938" s="1" t="str">
        <f>_xlfn.XLOOKUP(Ocupacao_DW[[#This Row],[Concat]],Vagas!$H:$H,Vagas!$D:$D,"",0)</f>
        <v/>
      </c>
    </row>
    <row r="1939" spans="1:8" x14ac:dyDescent="0.25">
      <c r="A1939" s="2">
        <v>44638</v>
      </c>
      <c r="B1939" s="1" t="s">
        <v>56</v>
      </c>
      <c r="C1939">
        <v>13660</v>
      </c>
      <c r="D1939" s="1" t="s">
        <v>250</v>
      </c>
      <c r="E1939" s="1" t="s">
        <v>5</v>
      </c>
      <c r="F1939">
        <v>15</v>
      </c>
      <c r="G1939" s="1" t="str">
        <f>Ocupacao_DW[[#This Row],[data]]&amp;Ocupacao_DW[[#This Row],[profissional_id]]&amp;Ocupacao_DW[[#This Row],[local_id]]</f>
        <v>446381366015</v>
      </c>
      <c r="H1939" s="1">
        <f>_xlfn.XLOOKUP(Ocupacao_DW[[#This Row],[Concat]],Vagas!$H:$H,Vagas!$D:$D,"",0)</f>
        <v>0</v>
      </c>
    </row>
    <row r="1940" spans="1:8" x14ac:dyDescent="0.25">
      <c r="A1940" s="2">
        <v>44638</v>
      </c>
      <c r="B1940" s="1" t="s">
        <v>47</v>
      </c>
      <c r="C1940">
        <v>9111</v>
      </c>
      <c r="D1940" s="1" t="s">
        <v>206</v>
      </c>
      <c r="E1940" s="1" t="s">
        <v>4</v>
      </c>
      <c r="F1940">
        <v>51</v>
      </c>
      <c r="G1940" s="1" t="str">
        <f>Ocupacao_DW[[#This Row],[data]]&amp;Ocupacao_DW[[#This Row],[profissional_id]]&amp;Ocupacao_DW[[#This Row],[local_id]]</f>
        <v>44638911151</v>
      </c>
      <c r="H1940" s="1">
        <f>_xlfn.XLOOKUP(Ocupacao_DW[[#This Row],[Concat]],Vagas!$H:$H,Vagas!$D:$D,"",0)</f>
        <v>0</v>
      </c>
    </row>
    <row r="1941" spans="1:8" x14ac:dyDescent="0.25">
      <c r="A1941" s="2">
        <v>44644</v>
      </c>
      <c r="B1941" s="1" t="s">
        <v>52</v>
      </c>
      <c r="C1941">
        <v>10691</v>
      </c>
      <c r="D1941" s="1" t="s">
        <v>181</v>
      </c>
      <c r="E1941" s="1" t="s">
        <v>6</v>
      </c>
      <c r="F1941">
        <v>9</v>
      </c>
      <c r="G1941" s="1" t="str">
        <f>Ocupacao_DW[[#This Row],[data]]&amp;Ocupacao_DW[[#This Row],[profissional_id]]&amp;Ocupacao_DW[[#This Row],[local_id]]</f>
        <v>44644106919</v>
      </c>
      <c r="H1941" s="1">
        <f>_xlfn.XLOOKUP(Ocupacao_DW[[#This Row],[Concat]],Vagas!$H:$H,Vagas!$D:$D,"",0)</f>
        <v>0</v>
      </c>
    </row>
    <row r="1942" spans="1:8" x14ac:dyDescent="0.25">
      <c r="A1942" s="2">
        <v>44637</v>
      </c>
      <c r="B1942" s="1" t="s">
        <v>64</v>
      </c>
      <c r="C1942">
        <v>85</v>
      </c>
      <c r="D1942" s="1" t="s">
        <v>211</v>
      </c>
      <c r="E1942" s="1" t="s">
        <v>5</v>
      </c>
      <c r="F1942">
        <v>349</v>
      </c>
      <c r="G1942" s="1" t="str">
        <f>Ocupacao_DW[[#This Row],[data]]&amp;Ocupacao_DW[[#This Row],[profissional_id]]&amp;Ocupacao_DW[[#This Row],[local_id]]</f>
        <v>4463785349</v>
      </c>
      <c r="H1942" s="1">
        <f>_xlfn.XLOOKUP(Ocupacao_DW[[#This Row],[Concat]],Vagas!$H:$H,Vagas!$D:$D,"",0)</f>
        <v>0</v>
      </c>
    </row>
    <row r="1943" spans="1:8" x14ac:dyDescent="0.25">
      <c r="A1943" s="2">
        <v>44638</v>
      </c>
      <c r="B1943" s="1" t="s">
        <v>49</v>
      </c>
      <c r="C1943">
        <v>81</v>
      </c>
      <c r="D1943" s="1" t="s">
        <v>170</v>
      </c>
      <c r="E1943" s="1" t="s">
        <v>4</v>
      </c>
      <c r="F1943">
        <v>41</v>
      </c>
      <c r="G1943" s="1" t="str">
        <f>Ocupacao_DW[[#This Row],[data]]&amp;Ocupacao_DW[[#This Row],[profissional_id]]&amp;Ocupacao_DW[[#This Row],[local_id]]</f>
        <v>446388141</v>
      </c>
      <c r="H1943" s="1">
        <f>_xlfn.XLOOKUP(Ocupacao_DW[[#This Row],[Concat]],Vagas!$H:$H,Vagas!$D:$D,"",0)</f>
        <v>0</v>
      </c>
    </row>
    <row r="1944" spans="1:8" x14ac:dyDescent="0.25">
      <c r="A1944" s="2">
        <v>44642</v>
      </c>
      <c r="B1944" s="1" t="s">
        <v>65</v>
      </c>
      <c r="C1944">
        <v>11652</v>
      </c>
      <c r="D1944" s="1" t="s">
        <v>242</v>
      </c>
      <c r="E1944" s="1" t="s">
        <v>4</v>
      </c>
      <c r="F1944">
        <v>47</v>
      </c>
      <c r="G1944" s="1" t="str">
        <f>Ocupacao_DW[[#This Row],[data]]&amp;Ocupacao_DW[[#This Row],[profissional_id]]&amp;Ocupacao_DW[[#This Row],[local_id]]</f>
        <v>446421165247</v>
      </c>
      <c r="H1944" s="1">
        <f>_xlfn.XLOOKUP(Ocupacao_DW[[#This Row],[Concat]],Vagas!$H:$H,Vagas!$D:$D,"",0)</f>
        <v>35</v>
      </c>
    </row>
    <row r="1945" spans="1:8" x14ac:dyDescent="0.25">
      <c r="A1945" s="2">
        <v>44635</v>
      </c>
      <c r="B1945" s="1" t="s">
        <v>47</v>
      </c>
      <c r="C1945">
        <v>111</v>
      </c>
      <c r="D1945" s="1" t="s">
        <v>199</v>
      </c>
      <c r="E1945" s="1" t="s">
        <v>4</v>
      </c>
      <c r="F1945">
        <v>51</v>
      </c>
      <c r="G1945" s="1" t="str">
        <f>Ocupacao_DW[[#This Row],[data]]&amp;Ocupacao_DW[[#This Row],[profissional_id]]&amp;Ocupacao_DW[[#This Row],[local_id]]</f>
        <v>4463511151</v>
      </c>
      <c r="H1945" s="1">
        <f>_xlfn.XLOOKUP(Ocupacao_DW[[#This Row],[Concat]],Vagas!$H:$H,Vagas!$D:$D,"",0)</f>
        <v>0</v>
      </c>
    </row>
    <row r="1946" spans="1:8" x14ac:dyDescent="0.25">
      <c r="A1946" s="2">
        <v>44656</v>
      </c>
      <c r="B1946" s="1" t="s">
        <v>55</v>
      </c>
      <c r="C1946">
        <v>73</v>
      </c>
      <c r="D1946" s="1" t="s">
        <v>171</v>
      </c>
      <c r="E1946" s="1" t="s">
        <v>6</v>
      </c>
      <c r="F1946">
        <v>5</v>
      </c>
      <c r="G1946" s="1" t="str">
        <f>Ocupacao_DW[[#This Row],[data]]&amp;Ocupacao_DW[[#This Row],[profissional_id]]&amp;Ocupacao_DW[[#This Row],[local_id]]</f>
        <v>44656735</v>
      </c>
      <c r="H1946" s="1">
        <f>_xlfn.XLOOKUP(Ocupacao_DW[[#This Row],[Concat]],Vagas!$H:$H,Vagas!$D:$D,"",0)</f>
        <v>0</v>
      </c>
    </row>
    <row r="1947" spans="1:8" x14ac:dyDescent="0.25">
      <c r="A1947" s="2">
        <v>44641</v>
      </c>
      <c r="B1947" s="1" t="s">
        <v>72</v>
      </c>
      <c r="C1947">
        <v>13479</v>
      </c>
      <c r="D1947" s="1" t="s">
        <v>203</v>
      </c>
      <c r="E1947" s="1" t="s">
        <v>4</v>
      </c>
      <c r="F1947">
        <v>46</v>
      </c>
      <c r="G1947" s="1" t="str">
        <f>Ocupacao_DW[[#This Row],[data]]&amp;Ocupacao_DW[[#This Row],[profissional_id]]&amp;Ocupacao_DW[[#This Row],[local_id]]</f>
        <v>446411347946</v>
      </c>
      <c r="H1947" s="1">
        <f>_xlfn.XLOOKUP(Ocupacao_DW[[#This Row],[Concat]],Vagas!$H:$H,Vagas!$D:$D,"",0)</f>
        <v>0</v>
      </c>
    </row>
    <row r="1948" spans="1:8" x14ac:dyDescent="0.25">
      <c r="A1948" s="2">
        <v>44635</v>
      </c>
      <c r="B1948" s="1" t="s">
        <v>71</v>
      </c>
      <c r="C1948">
        <v>282</v>
      </c>
      <c r="D1948" s="1" t="s">
        <v>210</v>
      </c>
      <c r="E1948" s="1" t="s">
        <v>4</v>
      </c>
      <c r="F1948">
        <v>48</v>
      </c>
      <c r="G1948" s="1" t="str">
        <f>Ocupacao_DW[[#This Row],[data]]&amp;Ocupacao_DW[[#This Row],[profissional_id]]&amp;Ocupacao_DW[[#This Row],[local_id]]</f>
        <v>4463528248</v>
      </c>
      <c r="H1948" s="1">
        <f>_xlfn.XLOOKUP(Ocupacao_DW[[#This Row],[Concat]],Vagas!$H:$H,Vagas!$D:$D,"",0)</f>
        <v>0</v>
      </c>
    </row>
    <row r="1949" spans="1:8" x14ac:dyDescent="0.25">
      <c r="A1949" s="2">
        <v>44642</v>
      </c>
      <c r="B1949" s="1" t="s">
        <v>55</v>
      </c>
      <c r="C1949">
        <v>14452</v>
      </c>
      <c r="D1949" s="1" t="s">
        <v>266</v>
      </c>
      <c r="E1949" s="1" t="s">
        <v>200</v>
      </c>
      <c r="F1949">
        <v>78</v>
      </c>
      <c r="G1949" s="1" t="str">
        <f>Ocupacao_DW[[#This Row],[data]]&amp;Ocupacao_DW[[#This Row],[profissional_id]]&amp;Ocupacao_DW[[#This Row],[local_id]]</f>
        <v>446421445278</v>
      </c>
      <c r="H1949" s="1">
        <f>_xlfn.XLOOKUP(Ocupacao_DW[[#This Row],[Concat]],Vagas!$H:$H,Vagas!$D:$D,"",0)</f>
        <v>0</v>
      </c>
    </row>
    <row r="1950" spans="1:8" x14ac:dyDescent="0.25">
      <c r="A1950" s="2">
        <v>44636</v>
      </c>
      <c r="B1950" s="1" t="s">
        <v>47</v>
      </c>
      <c r="C1950">
        <v>110</v>
      </c>
      <c r="D1950" s="1" t="s">
        <v>193</v>
      </c>
      <c r="E1950" s="1" t="s">
        <v>4</v>
      </c>
      <c r="F1950">
        <v>334</v>
      </c>
      <c r="G1950" s="1" t="str">
        <f>Ocupacao_DW[[#This Row],[data]]&amp;Ocupacao_DW[[#This Row],[profissional_id]]&amp;Ocupacao_DW[[#This Row],[local_id]]</f>
        <v>44636110334</v>
      </c>
      <c r="H1950" s="1">
        <f>_xlfn.XLOOKUP(Ocupacao_DW[[#This Row],[Concat]],Vagas!$H:$H,Vagas!$D:$D,"",0)</f>
        <v>0</v>
      </c>
    </row>
    <row r="1951" spans="1:8" x14ac:dyDescent="0.25">
      <c r="A1951" s="2">
        <v>44641</v>
      </c>
      <c r="B1951" s="1" t="s">
        <v>44</v>
      </c>
      <c r="C1951">
        <v>17908</v>
      </c>
      <c r="D1951" s="1" t="s">
        <v>296</v>
      </c>
      <c r="E1951" s="1" t="s">
        <v>167</v>
      </c>
      <c r="F1951">
        <v>25</v>
      </c>
      <c r="G1951" s="1" t="str">
        <f>Ocupacao_DW[[#This Row],[data]]&amp;Ocupacao_DW[[#This Row],[profissional_id]]&amp;Ocupacao_DW[[#This Row],[local_id]]</f>
        <v>446411790825</v>
      </c>
      <c r="H1951" s="1">
        <f>_xlfn.XLOOKUP(Ocupacao_DW[[#This Row],[Concat]],Vagas!$H:$H,Vagas!$D:$D,"",0)</f>
        <v>12</v>
      </c>
    </row>
    <row r="1952" spans="1:8" x14ac:dyDescent="0.25">
      <c r="A1952" s="2">
        <v>44641</v>
      </c>
      <c r="B1952" s="1" t="s">
        <v>64</v>
      </c>
      <c r="C1952">
        <v>86</v>
      </c>
      <c r="D1952" s="1" t="s">
        <v>175</v>
      </c>
      <c r="E1952" s="1" t="s">
        <v>5</v>
      </c>
      <c r="F1952">
        <v>349</v>
      </c>
      <c r="G1952" s="1" t="str">
        <f>Ocupacao_DW[[#This Row],[data]]&amp;Ocupacao_DW[[#This Row],[profissional_id]]&amp;Ocupacao_DW[[#This Row],[local_id]]</f>
        <v>4464186349</v>
      </c>
      <c r="H1952" s="1">
        <f>_xlfn.XLOOKUP(Ocupacao_DW[[#This Row],[Concat]],Vagas!$H:$H,Vagas!$D:$D,"",0)</f>
        <v>0</v>
      </c>
    </row>
    <row r="1953" spans="1:8" x14ac:dyDescent="0.25">
      <c r="A1953" s="2">
        <v>44656</v>
      </c>
      <c r="B1953" s="1" t="s">
        <v>55</v>
      </c>
      <c r="C1953">
        <v>73</v>
      </c>
      <c r="D1953" s="1" t="s">
        <v>171</v>
      </c>
      <c r="E1953" s="1" t="s">
        <v>6</v>
      </c>
      <c r="F1953">
        <v>5</v>
      </c>
      <c r="G1953" s="1" t="str">
        <f>Ocupacao_DW[[#This Row],[data]]&amp;Ocupacao_DW[[#This Row],[profissional_id]]&amp;Ocupacao_DW[[#This Row],[local_id]]</f>
        <v>44656735</v>
      </c>
      <c r="H1953" s="1">
        <f>_xlfn.XLOOKUP(Ocupacao_DW[[#This Row],[Concat]],Vagas!$H:$H,Vagas!$D:$D,"",0)</f>
        <v>0</v>
      </c>
    </row>
    <row r="1954" spans="1:8" x14ac:dyDescent="0.25">
      <c r="A1954" s="2">
        <v>44635</v>
      </c>
      <c r="B1954" s="1"/>
      <c r="C1954">
        <v>0</v>
      </c>
      <c r="D1954" s="1"/>
      <c r="E1954" s="1" t="s">
        <v>6</v>
      </c>
      <c r="F1954">
        <v>4</v>
      </c>
      <c r="G1954" s="1" t="str">
        <f>Ocupacao_DW[[#This Row],[data]]&amp;Ocupacao_DW[[#This Row],[profissional_id]]&amp;Ocupacao_DW[[#This Row],[local_id]]</f>
        <v>4463504</v>
      </c>
      <c r="H1954" s="1" t="str">
        <f>_xlfn.XLOOKUP(Ocupacao_DW[[#This Row],[Concat]],Vagas!$H:$H,Vagas!$D:$D,"",0)</f>
        <v/>
      </c>
    </row>
    <row r="1955" spans="1:8" x14ac:dyDescent="0.25">
      <c r="A1955" s="2">
        <v>44636</v>
      </c>
      <c r="B1955" s="1" t="s">
        <v>66</v>
      </c>
      <c r="C1955">
        <v>1343</v>
      </c>
      <c r="D1955" s="1" t="s">
        <v>263</v>
      </c>
      <c r="E1955" s="1" t="s">
        <v>7</v>
      </c>
      <c r="F1955">
        <v>64</v>
      </c>
      <c r="G1955" s="1" t="str">
        <f>Ocupacao_DW[[#This Row],[data]]&amp;Ocupacao_DW[[#This Row],[profissional_id]]&amp;Ocupacao_DW[[#This Row],[local_id]]</f>
        <v>44636134364</v>
      </c>
      <c r="H1955" s="1">
        <f>_xlfn.XLOOKUP(Ocupacao_DW[[#This Row],[Concat]],Vagas!$H:$H,Vagas!$D:$D,"",0)</f>
        <v>0</v>
      </c>
    </row>
    <row r="1956" spans="1:8" x14ac:dyDescent="0.25">
      <c r="A1956" s="2">
        <v>44641</v>
      </c>
      <c r="B1956" s="1" t="s">
        <v>54</v>
      </c>
      <c r="C1956">
        <v>70</v>
      </c>
      <c r="D1956" s="1" t="s">
        <v>187</v>
      </c>
      <c r="E1956" s="1" t="s">
        <v>5</v>
      </c>
      <c r="F1956">
        <v>13</v>
      </c>
      <c r="G1956" s="1" t="str">
        <f>Ocupacao_DW[[#This Row],[data]]&amp;Ocupacao_DW[[#This Row],[profissional_id]]&amp;Ocupacao_DW[[#This Row],[local_id]]</f>
        <v>446417013</v>
      </c>
      <c r="H1956" s="1">
        <f>_xlfn.XLOOKUP(Ocupacao_DW[[#This Row],[Concat]],Vagas!$H:$H,Vagas!$D:$D,"",0)</f>
        <v>0</v>
      </c>
    </row>
    <row r="1957" spans="1:8" x14ac:dyDescent="0.25">
      <c r="A1957" s="2">
        <v>44644</v>
      </c>
      <c r="B1957" s="1" t="s">
        <v>49</v>
      </c>
      <c r="C1957">
        <v>81</v>
      </c>
      <c r="D1957" s="1" t="s">
        <v>170</v>
      </c>
      <c r="E1957" s="1" t="s">
        <v>4</v>
      </c>
      <c r="F1957">
        <v>41</v>
      </c>
      <c r="G1957" s="1" t="str">
        <f>Ocupacao_DW[[#This Row],[data]]&amp;Ocupacao_DW[[#This Row],[profissional_id]]&amp;Ocupacao_DW[[#This Row],[local_id]]</f>
        <v>446448141</v>
      </c>
      <c r="H1957" s="1">
        <f>_xlfn.XLOOKUP(Ocupacao_DW[[#This Row],[Concat]],Vagas!$H:$H,Vagas!$D:$D,"",0)</f>
        <v>0</v>
      </c>
    </row>
    <row r="1958" spans="1:8" x14ac:dyDescent="0.25">
      <c r="A1958" s="2">
        <v>44641</v>
      </c>
      <c r="B1958" s="1" t="s">
        <v>72</v>
      </c>
      <c r="C1958">
        <v>6046</v>
      </c>
      <c r="D1958" s="1" t="s">
        <v>222</v>
      </c>
      <c r="E1958" s="1" t="s">
        <v>4</v>
      </c>
      <c r="F1958">
        <v>46</v>
      </c>
      <c r="G1958" s="1" t="str">
        <f>Ocupacao_DW[[#This Row],[data]]&amp;Ocupacao_DW[[#This Row],[profissional_id]]&amp;Ocupacao_DW[[#This Row],[local_id]]</f>
        <v>44641604646</v>
      </c>
      <c r="H1958" s="1">
        <f>_xlfn.XLOOKUP(Ocupacao_DW[[#This Row],[Concat]],Vagas!$H:$H,Vagas!$D:$D,"",0)</f>
        <v>0</v>
      </c>
    </row>
    <row r="1959" spans="1:8" x14ac:dyDescent="0.25">
      <c r="A1959" s="2">
        <v>44644</v>
      </c>
      <c r="B1959" s="1" t="s">
        <v>51</v>
      </c>
      <c r="C1959">
        <v>12582</v>
      </c>
      <c r="D1959" s="1" t="s">
        <v>190</v>
      </c>
      <c r="E1959" s="1" t="s">
        <v>5</v>
      </c>
      <c r="F1959">
        <v>15</v>
      </c>
      <c r="G1959" s="1" t="str">
        <f>Ocupacao_DW[[#This Row],[data]]&amp;Ocupacao_DW[[#This Row],[profissional_id]]&amp;Ocupacao_DW[[#This Row],[local_id]]</f>
        <v>446441258215</v>
      </c>
      <c r="H1959" s="1">
        <f>_xlfn.XLOOKUP(Ocupacao_DW[[#This Row],[Concat]],Vagas!$H:$H,Vagas!$D:$D,"",0)</f>
        <v>0</v>
      </c>
    </row>
    <row r="1960" spans="1:8" x14ac:dyDescent="0.25">
      <c r="A1960" s="2">
        <v>44641</v>
      </c>
      <c r="B1960" s="1" t="s">
        <v>55</v>
      </c>
      <c r="C1960">
        <v>6392</v>
      </c>
      <c r="D1960" s="1" t="s">
        <v>173</v>
      </c>
      <c r="E1960" s="1" t="s">
        <v>6</v>
      </c>
      <c r="F1960">
        <v>5</v>
      </c>
      <c r="G1960" s="1" t="str">
        <f>Ocupacao_DW[[#This Row],[data]]&amp;Ocupacao_DW[[#This Row],[profissional_id]]&amp;Ocupacao_DW[[#This Row],[local_id]]</f>
        <v>4464163925</v>
      </c>
      <c r="H1960" s="1">
        <f>_xlfn.XLOOKUP(Ocupacao_DW[[#This Row],[Concat]],Vagas!$H:$H,Vagas!$D:$D,"",0)</f>
        <v>0</v>
      </c>
    </row>
    <row r="1961" spans="1:8" x14ac:dyDescent="0.25">
      <c r="A1961" s="2">
        <v>44636</v>
      </c>
      <c r="B1961" s="1" t="s">
        <v>62</v>
      </c>
      <c r="C1961">
        <v>3502</v>
      </c>
      <c r="D1961" s="1" t="s">
        <v>214</v>
      </c>
      <c r="E1961" s="1" t="s">
        <v>5</v>
      </c>
      <c r="F1961">
        <v>16</v>
      </c>
      <c r="G1961" s="1" t="str">
        <f>Ocupacao_DW[[#This Row],[data]]&amp;Ocupacao_DW[[#This Row],[profissional_id]]&amp;Ocupacao_DW[[#This Row],[local_id]]</f>
        <v>44636350216</v>
      </c>
      <c r="H1961" s="1">
        <f>_xlfn.XLOOKUP(Ocupacao_DW[[#This Row],[Concat]],Vagas!$H:$H,Vagas!$D:$D,"",0)</f>
        <v>0</v>
      </c>
    </row>
    <row r="1962" spans="1:8" x14ac:dyDescent="0.25">
      <c r="A1962" s="2">
        <v>44635</v>
      </c>
      <c r="B1962" s="1" t="s">
        <v>50</v>
      </c>
      <c r="C1962">
        <v>4814</v>
      </c>
      <c r="D1962" s="1" t="s">
        <v>189</v>
      </c>
      <c r="E1962" s="1" t="s">
        <v>5</v>
      </c>
      <c r="F1962">
        <v>17</v>
      </c>
      <c r="G1962" s="1" t="str">
        <f>Ocupacao_DW[[#This Row],[data]]&amp;Ocupacao_DW[[#This Row],[profissional_id]]&amp;Ocupacao_DW[[#This Row],[local_id]]</f>
        <v>44635481417</v>
      </c>
      <c r="H1962" s="1">
        <f>_xlfn.XLOOKUP(Ocupacao_DW[[#This Row],[Concat]],Vagas!$H:$H,Vagas!$D:$D,"",0)</f>
        <v>0</v>
      </c>
    </row>
    <row r="1963" spans="1:8" x14ac:dyDescent="0.25">
      <c r="A1963" s="2">
        <v>44641</v>
      </c>
      <c r="B1963" s="1" t="s">
        <v>72</v>
      </c>
      <c r="C1963">
        <v>6046</v>
      </c>
      <c r="D1963" s="1" t="s">
        <v>222</v>
      </c>
      <c r="E1963" s="1" t="s">
        <v>7</v>
      </c>
      <c r="F1963">
        <v>62</v>
      </c>
      <c r="G1963" s="1" t="str">
        <f>Ocupacao_DW[[#This Row],[data]]&amp;Ocupacao_DW[[#This Row],[profissional_id]]&amp;Ocupacao_DW[[#This Row],[local_id]]</f>
        <v>44641604662</v>
      </c>
      <c r="H1963" s="1">
        <f>_xlfn.XLOOKUP(Ocupacao_DW[[#This Row],[Concat]],Vagas!$H:$H,Vagas!$D:$D,"",0)</f>
        <v>0</v>
      </c>
    </row>
    <row r="1964" spans="1:8" x14ac:dyDescent="0.25">
      <c r="A1964" s="2">
        <v>44636</v>
      </c>
      <c r="B1964" s="1" t="s">
        <v>62</v>
      </c>
      <c r="C1964">
        <v>2567</v>
      </c>
      <c r="D1964" s="1" t="s">
        <v>198</v>
      </c>
      <c r="E1964" s="1" t="s">
        <v>5</v>
      </c>
      <c r="F1964">
        <v>349</v>
      </c>
      <c r="G1964" s="1" t="str">
        <f>Ocupacao_DW[[#This Row],[data]]&amp;Ocupacao_DW[[#This Row],[profissional_id]]&amp;Ocupacao_DW[[#This Row],[local_id]]</f>
        <v>446362567349</v>
      </c>
      <c r="H1964" s="1">
        <f>_xlfn.XLOOKUP(Ocupacao_DW[[#This Row],[Concat]],Vagas!$H:$H,Vagas!$D:$D,"",0)</f>
        <v>0</v>
      </c>
    </row>
    <row r="1965" spans="1:8" x14ac:dyDescent="0.25">
      <c r="A1965" s="2">
        <v>44657</v>
      </c>
      <c r="B1965" s="1" t="s">
        <v>43</v>
      </c>
      <c r="C1965">
        <v>2396</v>
      </c>
      <c r="D1965" s="1" t="s">
        <v>197</v>
      </c>
      <c r="E1965" s="1" t="s">
        <v>6</v>
      </c>
      <c r="F1965">
        <v>2</v>
      </c>
      <c r="G1965" s="1" t="str">
        <f>Ocupacao_DW[[#This Row],[data]]&amp;Ocupacao_DW[[#This Row],[profissional_id]]&amp;Ocupacao_DW[[#This Row],[local_id]]</f>
        <v>4465723962</v>
      </c>
      <c r="H1965" s="1">
        <f>_xlfn.XLOOKUP(Ocupacao_DW[[#This Row],[Concat]],Vagas!$H:$H,Vagas!$D:$D,"",0)</f>
        <v>0</v>
      </c>
    </row>
    <row r="1966" spans="1:8" x14ac:dyDescent="0.25">
      <c r="A1966" s="2">
        <v>44638</v>
      </c>
      <c r="B1966" s="1" t="s">
        <v>54</v>
      </c>
      <c r="C1966">
        <v>69</v>
      </c>
      <c r="D1966" s="1" t="s">
        <v>238</v>
      </c>
      <c r="E1966" s="1" t="s">
        <v>5</v>
      </c>
      <c r="F1966">
        <v>13</v>
      </c>
      <c r="G1966" s="1" t="str">
        <f>Ocupacao_DW[[#This Row],[data]]&amp;Ocupacao_DW[[#This Row],[profissional_id]]&amp;Ocupacao_DW[[#This Row],[local_id]]</f>
        <v>446386913</v>
      </c>
      <c r="H1966" s="1">
        <f>_xlfn.XLOOKUP(Ocupacao_DW[[#This Row],[Concat]],Vagas!$H:$H,Vagas!$D:$D,"",0)</f>
        <v>0</v>
      </c>
    </row>
    <row r="1967" spans="1:8" x14ac:dyDescent="0.25">
      <c r="A1967" s="2">
        <v>44636</v>
      </c>
      <c r="B1967" s="1" t="s">
        <v>62</v>
      </c>
      <c r="C1967">
        <v>3502</v>
      </c>
      <c r="D1967" s="1" t="s">
        <v>214</v>
      </c>
      <c r="E1967" s="1" t="s">
        <v>5</v>
      </c>
      <c r="F1967">
        <v>16</v>
      </c>
      <c r="G1967" s="1" t="str">
        <f>Ocupacao_DW[[#This Row],[data]]&amp;Ocupacao_DW[[#This Row],[profissional_id]]&amp;Ocupacao_DW[[#This Row],[local_id]]</f>
        <v>44636350216</v>
      </c>
      <c r="H1967" s="1">
        <f>_xlfn.XLOOKUP(Ocupacao_DW[[#This Row],[Concat]],Vagas!$H:$H,Vagas!$D:$D,"",0)</f>
        <v>0</v>
      </c>
    </row>
    <row r="1968" spans="1:8" x14ac:dyDescent="0.25">
      <c r="A1968" s="2">
        <v>44637</v>
      </c>
      <c r="B1968" s="1" t="s">
        <v>50</v>
      </c>
      <c r="C1968">
        <v>4814</v>
      </c>
      <c r="D1968" s="1" t="s">
        <v>189</v>
      </c>
      <c r="E1968" s="1" t="s">
        <v>5</v>
      </c>
      <c r="F1968">
        <v>14</v>
      </c>
      <c r="G1968" s="1" t="str">
        <f>Ocupacao_DW[[#This Row],[data]]&amp;Ocupacao_DW[[#This Row],[profissional_id]]&amp;Ocupacao_DW[[#This Row],[local_id]]</f>
        <v>44637481414</v>
      </c>
      <c r="H1968" s="1">
        <f>_xlfn.XLOOKUP(Ocupacao_DW[[#This Row],[Concat]],Vagas!$H:$H,Vagas!$D:$D,"",0)</f>
        <v>0</v>
      </c>
    </row>
    <row r="1969" spans="1:8" x14ac:dyDescent="0.25">
      <c r="A1969" s="2">
        <v>44638</v>
      </c>
      <c r="B1969" s="1" t="s">
        <v>42</v>
      </c>
      <c r="C1969">
        <v>17902</v>
      </c>
      <c r="D1969" s="1" t="s">
        <v>264</v>
      </c>
      <c r="E1969" s="1" t="s">
        <v>4</v>
      </c>
      <c r="F1969">
        <v>39</v>
      </c>
      <c r="G1969" s="1" t="str">
        <f>Ocupacao_DW[[#This Row],[data]]&amp;Ocupacao_DW[[#This Row],[profissional_id]]&amp;Ocupacao_DW[[#This Row],[local_id]]</f>
        <v>446381790239</v>
      </c>
      <c r="H1969" s="1">
        <f>_xlfn.XLOOKUP(Ocupacao_DW[[#This Row],[Concat]],Vagas!$H:$H,Vagas!$D:$D,"",0)</f>
        <v>51</v>
      </c>
    </row>
    <row r="1970" spans="1:8" x14ac:dyDescent="0.25">
      <c r="A1970" s="2">
        <v>44642</v>
      </c>
      <c r="B1970" s="1" t="s">
        <v>49</v>
      </c>
      <c r="C1970">
        <v>10600</v>
      </c>
      <c r="D1970" s="1" t="s">
        <v>248</v>
      </c>
      <c r="E1970" s="1" t="s">
        <v>200</v>
      </c>
      <c r="F1970">
        <v>86</v>
      </c>
      <c r="G1970" s="1" t="str">
        <f>Ocupacao_DW[[#This Row],[data]]&amp;Ocupacao_DW[[#This Row],[profissional_id]]&amp;Ocupacao_DW[[#This Row],[local_id]]</f>
        <v>446421060086</v>
      </c>
      <c r="H1970" s="1">
        <f>_xlfn.XLOOKUP(Ocupacao_DW[[#This Row],[Concat]],Vagas!$H:$H,Vagas!$D:$D,"",0)</f>
        <v>0</v>
      </c>
    </row>
    <row r="1971" spans="1:8" x14ac:dyDescent="0.25">
      <c r="A1971" s="2">
        <v>44635</v>
      </c>
      <c r="B1971" s="1" t="s">
        <v>67</v>
      </c>
      <c r="C1971">
        <v>7290</v>
      </c>
      <c r="D1971" s="1" t="s">
        <v>247</v>
      </c>
      <c r="E1971" s="1" t="s">
        <v>5</v>
      </c>
      <c r="F1971">
        <v>18</v>
      </c>
      <c r="G1971" s="1" t="str">
        <f>Ocupacao_DW[[#This Row],[data]]&amp;Ocupacao_DW[[#This Row],[profissional_id]]&amp;Ocupacao_DW[[#This Row],[local_id]]</f>
        <v>44635729018</v>
      </c>
      <c r="H1971" s="1">
        <f>_xlfn.XLOOKUP(Ocupacao_DW[[#This Row],[Concat]],Vagas!$H:$H,Vagas!$D:$D,"",0)</f>
        <v>0</v>
      </c>
    </row>
    <row r="1972" spans="1:8" x14ac:dyDescent="0.25">
      <c r="A1972" s="2">
        <v>44645</v>
      </c>
      <c r="B1972" s="1" t="s">
        <v>52</v>
      </c>
      <c r="C1972">
        <v>57</v>
      </c>
      <c r="D1972" s="1" t="s">
        <v>169</v>
      </c>
      <c r="E1972" s="1" t="s">
        <v>6</v>
      </c>
      <c r="F1972">
        <v>8</v>
      </c>
      <c r="G1972" s="1" t="str">
        <f>Ocupacao_DW[[#This Row],[data]]&amp;Ocupacao_DW[[#This Row],[profissional_id]]&amp;Ocupacao_DW[[#This Row],[local_id]]</f>
        <v>44645578</v>
      </c>
      <c r="H1972" s="1">
        <f>_xlfn.XLOOKUP(Ocupacao_DW[[#This Row],[Concat]],Vagas!$H:$H,Vagas!$D:$D,"",0)</f>
        <v>0</v>
      </c>
    </row>
    <row r="1973" spans="1:8" x14ac:dyDescent="0.25">
      <c r="A1973" s="2">
        <v>44652</v>
      </c>
      <c r="B1973" s="1" t="s">
        <v>24</v>
      </c>
      <c r="C1973">
        <v>60</v>
      </c>
      <c r="D1973" s="1" t="s">
        <v>217</v>
      </c>
      <c r="E1973" s="1" t="s">
        <v>6</v>
      </c>
      <c r="F1973">
        <v>1</v>
      </c>
      <c r="G1973" s="1" t="str">
        <f>Ocupacao_DW[[#This Row],[data]]&amp;Ocupacao_DW[[#This Row],[profissional_id]]&amp;Ocupacao_DW[[#This Row],[local_id]]</f>
        <v>44652601</v>
      </c>
      <c r="H1973" s="1">
        <f>_xlfn.XLOOKUP(Ocupacao_DW[[#This Row],[Concat]],Vagas!$H:$H,Vagas!$D:$D,"",0)</f>
        <v>0</v>
      </c>
    </row>
    <row r="1974" spans="1:8" x14ac:dyDescent="0.25">
      <c r="A1974" s="2">
        <v>44641</v>
      </c>
      <c r="B1974" s="1" t="s">
        <v>52</v>
      </c>
      <c r="C1974">
        <v>10595</v>
      </c>
      <c r="D1974" s="1" t="s">
        <v>218</v>
      </c>
      <c r="E1974" s="1" t="s">
        <v>200</v>
      </c>
      <c r="F1974">
        <v>78</v>
      </c>
      <c r="G1974" s="1" t="str">
        <f>Ocupacao_DW[[#This Row],[data]]&amp;Ocupacao_DW[[#This Row],[profissional_id]]&amp;Ocupacao_DW[[#This Row],[local_id]]</f>
        <v>446411059578</v>
      </c>
      <c r="H1974" s="1">
        <f>_xlfn.XLOOKUP(Ocupacao_DW[[#This Row],[Concat]],Vagas!$H:$H,Vagas!$D:$D,"",0)</f>
        <v>0</v>
      </c>
    </row>
    <row r="1975" spans="1:8" x14ac:dyDescent="0.25">
      <c r="A1975" s="2">
        <v>44643</v>
      </c>
      <c r="B1975" s="1" t="s">
        <v>70</v>
      </c>
      <c r="C1975">
        <v>12825</v>
      </c>
      <c r="D1975" s="1" t="s">
        <v>177</v>
      </c>
      <c r="E1975" s="1" t="s">
        <v>4</v>
      </c>
      <c r="F1975">
        <v>45</v>
      </c>
      <c r="G1975" s="1" t="str">
        <f>Ocupacao_DW[[#This Row],[data]]&amp;Ocupacao_DW[[#This Row],[profissional_id]]&amp;Ocupacao_DW[[#This Row],[local_id]]</f>
        <v>446431282545</v>
      </c>
      <c r="H1975" s="1">
        <f>_xlfn.XLOOKUP(Ocupacao_DW[[#This Row],[Concat]],Vagas!$H:$H,Vagas!$D:$D,"",0)</f>
        <v>0</v>
      </c>
    </row>
    <row r="1976" spans="1:8" x14ac:dyDescent="0.25">
      <c r="A1976" s="2">
        <v>44641</v>
      </c>
      <c r="B1976" s="1"/>
      <c r="C1976">
        <v>0</v>
      </c>
      <c r="D1976" s="1"/>
      <c r="E1976" s="1" t="s">
        <v>4</v>
      </c>
      <c r="F1976">
        <v>40</v>
      </c>
      <c r="G1976" s="1" t="str">
        <f>Ocupacao_DW[[#This Row],[data]]&amp;Ocupacao_DW[[#This Row],[profissional_id]]&amp;Ocupacao_DW[[#This Row],[local_id]]</f>
        <v>44641040</v>
      </c>
      <c r="H1976" s="1" t="str">
        <f>_xlfn.XLOOKUP(Ocupacao_DW[[#This Row],[Concat]],Vagas!$H:$H,Vagas!$D:$D,"",0)</f>
        <v/>
      </c>
    </row>
    <row r="1977" spans="1:8" x14ac:dyDescent="0.25">
      <c r="A1977" s="2">
        <v>44638</v>
      </c>
      <c r="B1977" s="1" t="s">
        <v>47</v>
      </c>
      <c r="C1977">
        <v>12684</v>
      </c>
      <c r="D1977" s="1" t="s">
        <v>236</v>
      </c>
      <c r="E1977" s="1" t="s">
        <v>200</v>
      </c>
      <c r="F1977">
        <v>85</v>
      </c>
      <c r="G1977" s="1" t="str">
        <f>Ocupacao_DW[[#This Row],[data]]&amp;Ocupacao_DW[[#This Row],[profissional_id]]&amp;Ocupacao_DW[[#This Row],[local_id]]</f>
        <v>446381268485</v>
      </c>
      <c r="H1977" s="1">
        <f>_xlfn.XLOOKUP(Ocupacao_DW[[#This Row],[Concat]],Vagas!$H:$H,Vagas!$D:$D,"",0)</f>
        <v>0</v>
      </c>
    </row>
    <row r="1978" spans="1:8" x14ac:dyDescent="0.25">
      <c r="A1978" s="2">
        <v>44642</v>
      </c>
      <c r="B1978" s="1" t="s">
        <v>64</v>
      </c>
      <c r="C1978">
        <v>12230</v>
      </c>
      <c r="D1978" s="1" t="s">
        <v>269</v>
      </c>
      <c r="E1978" s="1" t="s">
        <v>5</v>
      </c>
      <c r="F1978">
        <v>17</v>
      </c>
      <c r="G1978" s="1" t="str">
        <f>Ocupacao_DW[[#This Row],[data]]&amp;Ocupacao_DW[[#This Row],[profissional_id]]&amp;Ocupacao_DW[[#This Row],[local_id]]</f>
        <v>446421223017</v>
      </c>
      <c r="H1978" s="1">
        <f>_xlfn.XLOOKUP(Ocupacao_DW[[#This Row],[Concat]],Vagas!$H:$H,Vagas!$D:$D,"",0)</f>
        <v>0</v>
      </c>
    </row>
    <row r="1979" spans="1:8" x14ac:dyDescent="0.25">
      <c r="A1979" s="2">
        <v>44648</v>
      </c>
      <c r="B1979" s="1" t="s">
        <v>69</v>
      </c>
      <c r="C1979">
        <v>13249</v>
      </c>
      <c r="D1979" s="1" t="s">
        <v>178</v>
      </c>
      <c r="E1979" s="1" t="s">
        <v>4</v>
      </c>
      <c r="F1979">
        <v>45</v>
      </c>
      <c r="G1979" s="1" t="str">
        <f>Ocupacao_DW[[#This Row],[data]]&amp;Ocupacao_DW[[#This Row],[profissional_id]]&amp;Ocupacao_DW[[#This Row],[local_id]]</f>
        <v>446481324945</v>
      </c>
      <c r="H1979" s="1">
        <f>_xlfn.XLOOKUP(Ocupacao_DW[[#This Row],[Concat]],Vagas!$H:$H,Vagas!$D:$D,"",0)</f>
        <v>0</v>
      </c>
    </row>
    <row r="1980" spans="1:8" x14ac:dyDescent="0.25">
      <c r="A1980" s="2">
        <v>44642</v>
      </c>
      <c r="B1980" s="1" t="s">
        <v>47</v>
      </c>
      <c r="C1980">
        <v>111</v>
      </c>
      <c r="D1980" s="1" t="s">
        <v>199</v>
      </c>
      <c r="E1980" s="1" t="s">
        <v>4</v>
      </c>
      <c r="F1980">
        <v>51</v>
      </c>
      <c r="G1980" s="1" t="str">
        <f>Ocupacao_DW[[#This Row],[data]]&amp;Ocupacao_DW[[#This Row],[profissional_id]]&amp;Ocupacao_DW[[#This Row],[local_id]]</f>
        <v>4464211151</v>
      </c>
      <c r="H1980" s="1">
        <f>_xlfn.XLOOKUP(Ocupacao_DW[[#This Row],[Concat]],Vagas!$H:$H,Vagas!$D:$D,"",0)</f>
        <v>25</v>
      </c>
    </row>
    <row r="1981" spans="1:8" x14ac:dyDescent="0.25">
      <c r="A1981" s="2">
        <v>44636</v>
      </c>
      <c r="B1981" s="1" t="s">
        <v>66</v>
      </c>
      <c r="C1981">
        <v>1343</v>
      </c>
      <c r="D1981" s="1" t="s">
        <v>263</v>
      </c>
      <c r="E1981" s="1" t="s">
        <v>167</v>
      </c>
      <c r="F1981">
        <v>342</v>
      </c>
      <c r="G1981" s="1" t="str">
        <f>Ocupacao_DW[[#This Row],[data]]&amp;Ocupacao_DW[[#This Row],[profissional_id]]&amp;Ocupacao_DW[[#This Row],[local_id]]</f>
        <v>446361343342</v>
      </c>
      <c r="H1981" s="1">
        <f>_xlfn.XLOOKUP(Ocupacao_DW[[#This Row],[Concat]],Vagas!$H:$H,Vagas!$D:$D,"",0)</f>
        <v>0</v>
      </c>
    </row>
    <row r="1982" spans="1:8" x14ac:dyDescent="0.25">
      <c r="A1982" s="2">
        <v>44650</v>
      </c>
      <c r="B1982" s="1" t="s">
        <v>72</v>
      </c>
      <c r="C1982">
        <v>6046</v>
      </c>
      <c r="D1982" s="1" t="s">
        <v>222</v>
      </c>
      <c r="E1982" s="1" t="s">
        <v>167</v>
      </c>
      <c r="F1982">
        <v>344</v>
      </c>
      <c r="G1982" s="1" t="str">
        <f>Ocupacao_DW[[#This Row],[data]]&amp;Ocupacao_DW[[#This Row],[profissional_id]]&amp;Ocupacao_DW[[#This Row],[local_id]]</f>
        <v>446506046344</v>
      </c>
      <c r="H1982" s="1">
        <f>_xlfn.XLOOKUP(Ocupacao_DW[[#This Row],[Concat]],Vagas!$H:$H,Vagas!$D:$D,"",0)</f>
        <v>0</v>
      </c>
    </row>
    <row r="1983" spans="1:8" x14ac:dyDescent="0.25">
      <c r="A1983" s="2">
        <v>44638</v>
      </c>
      <c r="B1983" s="1" t="s">
        <v>43</v>
      </c>
      <c r="C1983">
        <v>57</v>
      </c>
      <c r="D1983" s="1" t="s">
        <v>169</v>
      </c>
      <c r="E1983" s="1" t="s">
        <v>6</v>
      </c>
      <c r="F1983">
        <v>2</v>
      </c>
      <c r="G1983" s="1" t="str">
        <f>Ocupacao_DW[[#This Row],[data]]&amp;Ocupacao_DW[[#This Row],[profissional_id]]&amp;Ocupacao_DW[[#This Row],[local_id]]</f>
        <v>44638572</v>
      </c>
      <c r="H1983" s="1">
        <f>_xlfn.XLOOKUP(Ocupacao_DW[[#This Row],[Concat]],Vagas!$H:$H,Vagas!$D:$D,"",0)</f>
        <v>15</v>
      </c>
    </row>
    <row r="1984" spans="1:8" x14ac:dyDescent="0.25">
      <c r="A1984" s="2">
        <v>44636</v>
      </c>
      <c r="B1984" s="1" t="s">
        <v>62</v>
      </c>
      <c r="C1984">
        <v>3502</v>
      </c>
      <c r="D1984" s="1" t="s">
        <v>214</v>
      </c>
      <c r="E1984" s="1" t="s">
        <v>5</v>
      </c>
      <c r="F1984">
        <v>16</v>
      </c>
      <c r="G1984" s="1" t="str">
        <f>Ocupacao_DW[[#This Row],[data]]&amp;Ocupacao_DW[[#This Row],[profissional_id]]&amp;Ocupacao_DW[[#This Row],[local_id]]</f>
        <v>44636350216</v>
      </c>
      <c r="H1984" s="1">
        <f>_xlfn.XLOOKUP(Ocupacao_DW[[#This Row],[Concat]],Vagas!$H:$H,Vagas!$D:$D,"",0)</f>
        <v>0</v>
      </c>
    </row>
    <row r="1985" spans="1:8" x14ac:dyDescent="0.25">
      <c r="A1985" s="2">
        <v>44636</v>
      </c>
      <c r="B1985" s="1" t="s">
        <v>51</v>
      </c>
      <c r="C1985">
        <v>12679</v>
      </c>
      <c r="D1985" s="1" t="s">
        <v>192</v>
      </c>
      <c r="E1985" s="1" t="s">
        <v>200</v>
      </c>
      <c r="F1985">
        <v>82</v>
      </c>
      <c r="G1985" s="1" t="str">
        <f>Ocupacao_DW[[#This Row],[data]]&amp;Ocupacao_DW[[#This Row],[profissional_id]]&amp;Ocupacao_DW[[#This Row],[local_id]]</f>
        <v>446361267982</v>
      </c>
      <c r="H1985" s="1">
        <f>_xlfn.XLOOKUP(Ocupacao_DW[[#This Row],[Concat]],Vagas!$H:$H,Vagas!$D:$D,"",0)</f>
        <v>0</v>
      </c>
    </row>
    <row r="1986" spans="1:8" x14ac:dyDescent="0.25">
      <c r="A1986" s="2">
        <v>44639</v>
      </c>
      <c r="B1986" s="1" t="s">
        <v>54</v>
      </c>
      <c r="C1986">
        <v>70</v>
      </c>
      <c r="D1986" s="1" t="s">
        <v>187</v>
      </c>
      <c r="E1986" s="1" t="s">
        <v>5</v>
      </c>
      <c r="F1986">
        <v>13</v>
      </c>
      <c r="G1986" s="1" t="str">
        <f>Ocupacao_DW[[#This Row],[data]]&amp;Ocupacao_DW[[#This Row],[profissional_id]]&amp;Ocupacao_DW[[#This Row],[local_id]]</f>
        <v>446397013</v>
      </c>
      <c r="H1986" s="1">
        <f>_xlfn.XLOOKUP(Ocupacao_DW[[#This Row],[Concat]],Vagas!$H:$H,Vagas!$D:$D,"",0)</f>
        <v>0</v>
      </c>
    </row>
    <row r="1987" spans="1:8" x14ac:dyDescent="0.25">
      <c r="A1987" s="2">
        <v>44638</v>
      </c>
      <c r="B1987" s="1" t="s">
        <v>49</v>
      </c>
      <c r="C1987">
        <v>6430</v>
      </c>
      <c r="D1987" s="1" t="s">
        <v>188</v>
      </c>
      <c r="E1987" s="1" t="s">
        <v>4</v>
      </c>
      <c r="F1987">
        <v>42</v>
      </c>
      <c r="G1987" s="1" t="str">
        <f>Ocupacao_DW[[#This Row],[data]]&amp;Ocupacao_DW[[#This Row],[profissional_id]]&amp;Ocupacao_DW[[#This Row],[local_id]]</f>
        <v>44638643042</v>
      </c>
      <c r="H1987" s="1">
        <f>_xlfn.XLOOKUP(Ocupacao_DW[[#This Row],[Concat]],Vagas!$H:$H,Vagas!$D:$D,"",0)</f>
        <v>0</v>
      </c>
    </row>
    <row r="1988" spans="1:8" x14ac:dyDescent="0.25">
      <c r="A1988" s="2">
        <v>44655</v>
      </c>
      <c r="B1988" s="1" t="s">
        <v>55</v>
      </c>
      <c r="C1988">
        <v>2984</v>
      </c>
      <c r="D1988" s="1" t="s">
        <v>185</v>
      </c>
      <c r="E1988" s="1" t="s">
        <v>6</v>
      </c>
      <c r="F1988">
        <v>7</v>
      </c>
      <c r="G1988" s="1" t="str">
        <f>Ocupacao_DW[[#This Row],[data]]&amp;Ocupacao_DW[[#This Row],[profissional_id]]&amp;Ocupacao_DW[[#This Row],[local_id]]</f>
        <v>4465529847</v>
      </c>
      <c r="H1988" s="1">
        <f>_xlfn.XLOOKUP(Ocupacao_DW[[#This Row],[Concat]],Vagas!$H:$H,Vagas!$D:$D,"",0)</f>
        <v>0</v>
      </c>
    </row>
    <row r="1989" spans="1:8" x14ac:dyDescent="0.25">
      <c r="A1989" s="2">
        <v>44637</v>
      </c>
      <c r="B1989" s="1" t="s">
        <v>66</v>
      </c>
      <c r="C1989">
        <v>100</v>
      </c>
      <c r="D1989" s="1" t="s">
        <v>166</v>
      </c>
      <c r="E1989" s="1" t="s">
        <v>167</v>
      </c>
      <c r="F1989">
        <v>342</v>
      </c>
      <c r="G1989" s="1" t="str">
        <f>Ocupacao_DW[[#This Row],[data]]&amp;Ocupacao_DW[[#This Row],[profissional_id]]&amp;Ocupacao_DW[[#This Row],[local_id]]</f>
        <v>44637100342</v>
      </c>
      <c r="H1989" s="1">
        <f>_xlfn.XLOOKUP(Ocupacao_DW[[#This Row],[Concat]],Vagas!$H:$H,Vagas!$D:$D,"",0)</f>
        <v>0</v>
      </c>
    </row>
    <row r="1990" spans="1:8" x14ac:dyDescent="0.25">
      <c r="A1990" s="2">
        <v>44638</v>
      </c>
      <c r="B1990" s="1" t="s">
        <v>56</v>
      </c>
      <c r="C1990">
        <v>5927</v>
      </c>
      <c r="D1990" s="1" t="s">
        <v>226</v>
      </c>
      <c r="E1990" s="1" t="s">
        <v>5</v>
      </c>
      <c r="F1990">
        <v>17</v>
      </c>
      <c r="G1990" s="1" t="str">
        <f>Ocupacao_DW[[#This Row],[data]]&amp;Ocupacao_DW[[#This Row],[profissional_id]]&amp;Ocupacao_DW[[#This Row],[local_id]]</f>
        <v>44638592717</v>
      </c>
      <c r="H1990" s="1">
        <f>_xlfn.XLOOKUP(Ocupacao_DW[[#This Row],[Concat]],Vagas!$H:$H,Vagas!$D:$D,"",0)</f>
        <v>0</v>
      </c>
    </row>
    <row r="1991" spans="1:8" x14ac:dyDescent="0.25">
      <c r="A1991" s="2">
        <v>44642</v>
      </c>
      <c r="B1991" s="1" t="s">
        <v>66</v>
      </c>
      <c r="C1991">
        <v>1343</v>
      </c>
      <c r="D1991" s="1" t="s">
        <v>263</v>
      </c>
      <c r="E1991" s="1" t="s">
        <v>200</v>
      </c>
      <c r="F1991">
        <v>80</v>
      </c>
      <c r="G1991" s="1" t="str">
        <f>Ocupacao_DW[[#This Row],[data]]&amp;Ocupacao_DW[[#This Row],[profissional_id]]&amp;Ocupacao_DW[[#This Row],[local_id]]</f>
        <v>44642134380</v>
      </c>
      <c r="H1991" s="1">
        <f>_xlfn.XLOOKUP(Ocupacao_DW[[#This Row],[Concat]],Vagas!$H:$H,Vagas!$D:$D,"",0)</f>
        <v>0</v>
      </c>
    </row>
    <row r="1992" spans="1:8" x14ac:dyDescent="0.25">
      <c r="A1992" s="2">
        <v>44637</v>
      </c>
      <c r="B1992" s="1" t="s">
        <v>66</v>
      </c>
      <c r="C1992">
        <v>1343</v>
      </c>
      <c r="D1992" s="1" t="s">
        <v>263</v>
      </c>
      <c r="E1992" s="1" t="s">
        <v>200</v>
      </c>
      <c r="F1992">
        <v>80</v>
      </c>
      <c r="G1992" s="1" t="str">
        <f>Ocupacao_DW[[#This Row],[data]]&amp;Ocupacao_DW[[#This Row],[profissional_id]]&amp;Ocupacao_DW[[#This Row],[local_id]]</f>
        <v>44637134380</v>
      </c>
      <c r="H1992" s="1">
        <f>_xlfn.XLOOKUP(Ocupacao_DW[[#This Row],[Concat]],Vagas!$H:$H,Vagas!$D:$D,"",0)</f>
        <v>0</v>
      </c>
    </row>
    <row r="1993" spans="1:8" x14ac:dyDescent="0.25">
      <c r="A1993" s="2">
        <v>44635</v>
      </c>
      <c r="B1993" s="1" t="s">
        <v>47</v>
      </c>
      <c r="C1993">
        <v>9111</v>
      </c>
      <c r="D1993" s="1" t="s">
        <v>206</v>
      </c>
      <c r="E1993" s="1" t="s">
        <v>4</v>
      </c>
      <c r="F1993">
        <v>335</v>
      </c>
      <c r="G1993" s="1" t="str">
        <f>Ocupacao_DW[[#This Row],[data]]&amp;Ocupacao_DW[[#This Row],[profissional_id]]&amp;Ocupacao_DW[[#This Row],[local_id]]</f>
        <v>446359111335</v>
      </c>
      <c r="H1993" s="1">
        <f>_xlfn.XLOOKUP(Ocupacao_DW[[#This Row],[Concat]],Vagas!$H:$H,Vagas!$D:$D,"",0)</f>
        <v>0</v>
      </c>
    </row>
    <row r="1994" spans="1:8" x14ac:dyDescent="0.25">
      <c r="A1994" s="2">
        <v>44657</v>
      </c>
      <c r="B1994" s="1" t="s">
        <v>55</v>
      </c>
      <c r="C1994">
        <v>73</v>
      </c>
      <c r="D1994" s="1" t="s">
        <v>171</v>
      </c>
      <c r="E1994" s="1" t="s">
        <v>6</v>
      </c>
      <c r="F1994">
        <v>5</v>
      </c>
      <c r="G1994" s="1" t="str">
        <f>Ocupacao_DW[[#This Row],[data]]&amp;Ocupacao_DW[[#This Row],[profissional_id]]&amp;Ocupacao_DW[[#This Row],[local_id]]</f>
        <v>44657735</v>
      </c>
      <c r="H1994" s="1">
        <f>_xlfn.XLOOKUP(Ocupacao_DW[[#This Row],[Concat]],Vagas!$H:$H,Vagas!$D:$D,"",0)</f>
        <v>0</v>
      </c>
    </row>
    <row r="1995" spans="1:8" x14ac:dyDescent="0.25">
      <c r="A1995" s="2">
        <v>44650</v>
      </c>
      <c r="B1995" s="1" t="s">
        <v>43</v>
      </c>
      <c r="C1995">
        <v>2396</v>
      </c>
      <c r="D1995" s="1" t="s">
        <v>197</v>
      </c>
      <c r="E1995" s="1" t="s">
        <v>6</v>
      </c>
      <c r="F1995">
        <v>2</v>
      </c>
      <c r="G1995" s="1" t="str">
        <f>Ocupacao_DW[[#This Row],[data]]&amp;Ocupacao_DW[[#This Row],[profissional_id]]&amp;Ocupacao_DW[[#This Row],[local_id]]</f>
        <v>4465023962</v>
      </c>
      <c r="H1995" s="1">
        <f>_xlfn.XLOOKUP(Ocupacao_DW[[#This Row],[Concat]],Vagas!$H:$H,Vagas!$D:$D,"",0)</f>
        <v>0</v>
      </c>
    </row>
    <row r="1996" spans="1:8" x14ac:dyDescent="0.25">
      <c r="A1996" s="2">
        <v>44638</v>
      </c>
      <c r="B1996" s="1" t="s">
        <v>49</v>
      </c>
      <c r="C1996">
        <v>6430</v>
      </c>
      <c r="D1996" s="1" t="s">
        <v>188</v>
      </c>
      <c r="E1996" s="1" t="s">
        <v>4</v>
      </c>
      <c r="F1996">
        <v>42</v>
      </c>
      <c r="G1996" s="1" t="str">
        <f>Ocupacao_DW[[#This Row],[data]]&amp;Ocupacao_DW[[#This Row],[profissional_id]]&amp;Ocupacao_DW[[#This Row],[local_id]]</f>
        <v>44638643042</v>
      </c>
      <c r="H1996" s="1">
        <f>_xlfn.XLOOKUP(Ocupacao_DW[[#This Row],[Concat]],Vagas!$H:$H,Vagas!$D:$D,"",0)</f>
        <v>0</v>
      </c>
    </row>
    <row r="1997" spans="1:8" x14ac:dyDescent="0.25">
      <c r="A1997" s="2">
        <v>44636</v>
      </c>
      <c r="B1997" s="1" t="s">
        <v>62</v>
      </c>
      <c r="C1997">
        <v>3502</v>
      </c>
      <c r="D1997" s="1" t="s">
        <v>214</v>
      </c>
      <c r="E1997" s="1" t="s">
        <v>5</v>
      </c>
      <c r="F1997">
        <v>16</v>
      </c>
      <c r="G1997" s="1" t="str">
        <f>Ocupacao_DW[[#This Row],[data]]&amp;Ocupacao_DW[[#This Row],[profissional_id]]&amp;Ocupacao_DW[[#This Row],[local_id]]</f>
        <v>44636350216</v>
      </c>
      <c r="H1997" s="1">
        <f>_xlfn.XLOOKUP(Ocupacao_DW[[#This Row],[Concat]],Vagas!$H:$H,Vagas!$D:$D,"",0)</f>
        <v>0</v>
      </c>
    </row>
    <row r="1998" spans="1:8" x14ac:dyDescent="0.25">
      <c r="A1998" s="2">
        <v>44636</v>
      </c>
      <c r="B1998" s="1" t="s">
        <v>50</v>
      </c>
      <c r="C1998">
        <v>10785</v>
      </c>
      <c r="D1998" s="1" t="s">
        <v>237</v>
      </c>
      <c r="E1998" s="1" t="s">
        <v>5</v>
      </c>
      <c r="F1998">
        <v>14</v>
      </c>
      <c r="G1998" s="1" t="str">
        <f>Ocupacao_DW[[#This Row],[data]]&amp;Ocupacao_DW[[#This Row],[profissional_id]]&amp;Ocupacao_DW[[#This Row],[local_id]]</f>
        <v>446361078514</v>
      </c>
      <c r="H1998" s="1">
        <f>_xlfn.XLOOKUP(Ocupacao_DW[[#This Row],[Concat]],Vagas!$H:$H,Vagas!$D:$D,"",0)</f>
        <v>8</v>
      </c>
    </row>
    <row r="1999" spans="1:8" x14ac:dyDescent="0.25">
      <c r="A1999" s="2">
        <v>44636</v>
      </c>
      <c r="B1999" s="1" t="s">
        <v>62</v>
      </c>
      <c r="C1999">
        <v>3502</v>
      </c>
      <c r="D1999" s="1" t="s">
        <v>214</v>
      </c>
      <c r="E1999" s="1" t="s">
        <v>5</v>
      </c>
      <c r="F1999">
        <v>16</v>
      </c>
      <c r="G1999" s="1" t="str">
        <f>Ocupacao_DW[[#This Row],[data]]&amp;Ocupacao_DW[[#This Row],[profissional_id]]&amp;Ocupacao_DW[[#This Row],[local_id]]</f>
        <v>44636350216</v>
      </c>
      <c r="H1999" s="1">
        <f>_xlfn.XLOOKUP(Ocupacao_DW[[#This Row],[Concat]],Vagas!$H:$H,Vagas!$D:$D,"",0)</f>
        <v>0</v>
      </c>
    </row>
    <row r="2000" spans="1:8" x14ac:dyDescent="0.25">
      <c r="A2000" s="2">
        <v>44641</v>
      </c>
      <c r="B2000" s="1" t="s">
        <v>47</v>
      </c>
      <c r="C2000">
        <v>11241</v>
      </c>
      <c r="D2000" s="1" t="s">
        <v>252</v>
      </c>
      <c r="E2000" s="1" t="s">
        <v>4</v>
      </c>
      <c r="F2000">
        <v>51</v>
      </c>
      <c r="G2000" s="1" t="str">
        <f>Ocupacao_DW[[#This Row],[data]]&amp;Ocupacao_DW[[#This Row],[profissional_id]]&amp;Ocupacao_DW[[#This Row],[local_id]]</f>
        <v>446411124151</v>
      </c>
      <c r="H2000" s="1">
        <f>_xlfn.XLOOKUP(Ocupacao_DW[[#This Row],[Concat]],Vagas!$H:$H,Vagas!$D:$D,"",0)</f>
        <v>0</v>
      </c>
    </row>
    <row r="2001" spans="1:8" x14ac:dyDescent="0.25">
      <c r="A2001" s="2">
        <v>44636</v>
      </c>
      <c r="B2001" s="1" t="s">
        <v>70</v>
      </c>
      <c r="C2001">
        <v>12825</v>
      </c>
      <c r="D2001" s="1" t="s">
        <v>177</v>
      </c>
      <c r="E2001" s="1" t="s">
        <v>4</v>
      </c>
      <c r="F2001">
        <v>45</v>
      </c>
      <c r="G2001" s="1" t="str">
        <f>Ocupacao_DW[[#This Row],[data]]&amp;Ocupacao_DW[[#This Row],[profissional_id]]&amp;Ocupacao_DW[[#This Row],[local_id]]</f>
        <v>446361282545</v>
      </c>
      <c r="H2001" s="1">
        <f>_xlfn.XLOOKUP(Ocupacao_DW[[#This Row],[Concat]],Vagas!$H:$H,Vagas!$D:$D,"",0)</f>
        <v>0</v>
      </c>
    </row>
    <row r="2002" spans="1:8" x14ac:dyDescent="0.25">
      <c r="A2002" s="2">
        <v>44656</v>
      </c>
      <c r="B2002" s="1" t="s">
        <v>55</v>
      </c>
      <c r="C2002">
        <v>12669</v>
      </c>
      <c r="D2002" s="1" t="s">
        <v>223</v>
      </c>
      <c r="E2002" s="1" t="s">
        <v>6</v>
      </c>
      <c r="F2002">
        <v>6</v>
      </c>
      <c r="G2002" s="1" t="str">
        <f>Ocupacao_DW[[#This Row],[data]]&amp;Ocupacao_DW[[#This Row],[profissional_id]]&amp;Ocupacao_DW[[#This Row],[local_id]]</f>
        <v>44656126696</v>
      </c>
      <c r="H2002" s="1">
        <f>_xlfn.XLOOKUP(Ocupacao_DW[[#This Row],[Concat]],Vagas!$H:$H,Vagas!$D:$D,"",0)</f>
        <v>0</v>
      </c>
    </row>
    <row r="2003" spans="1:8" x14ac:dyDescent="0.25">
      <c r="A2003" s="2">
        <v>44641</v>
      </c>
      <c r="B2003" s="1" t="s">
        <v>21</v>
      </c>
      <c r="C2003">
        <v>17890</v>
      </c>
      <c r="D2003" s="1" t="s">
        <v>270</v>
      </c>
      <c r="E2003" s="1" t="s">
        <v>6</v>
      </c>
      <c r="F2003">
        <v>4</v>
      </c>
      <c r="G2003" s="1" t="str">
        <f>Ocupacao_DW[[#This Row],[data]]&amp;Ocupacao_DW[[#This Row],[profissional_id]]&amp;Ocupacao_DW[[#This Row],[local_id]]</f>
        <v>44641178904</v>
      </c>
      <c r="H2003" s="1">
        <f>_xlfn.XLOOKUP(Ocupacao_DW[[#This Row],[Concat]],Vagas!$H:$H,Vagas!$D:$D,"",0)</f>
        <v>6</v>
      </c>
    </row>
    <row r="2004" spans="1:8" x14ac:dyDescent="0.25">
      <c r="A2004" s="2">
        <v>44641</v>
      </c>
      <c r="B2004" s="1" t="s">
        <v>47</v>
      </c>
      <c r="C2004">
        <v>13371</v>
      </c>
      <c r="D2004" s="1" t="s">
        <v>205</v>
      </c>
      <c r="E2004" s="1" t="s">
        <v>4</v>
      </c>
      <c r="F2004">
        <v>335</v>
      </c>
      <c r="G2004" s="1" t="str">
        <f>Ocupacao_DW[[#This Row],[data]]&amp;Ocupacao_DW[[#This Row],[profissional_id]]&amp;Ocupacao_DW[[#This Row],[local_id]]</f>
        <v>4464113371335</v>
      </c>
      <c r="H2004" s="1" t="str">
        <f>_xlfn.XLOOKUP(Ocupacao_DW[[#This Row],[Concat]],Vagas!$H:$H,Vagas!$D:$D,"",0)</f>
        <v/>
      </c>
    </row>
    <row r="2005" spans="1:8" x14ac:dyDescent="0.25">
      <c r="A2005" s="2">
        <v>44645</v>
      </c>
      <c r="B2005" s="1" t="s">
        <v>52</v>
      </c>
      <c r="C2005">
        <v>10691</v>
      </c>
      <c r="D2005" s="1" t="s">
        <v>181</v>
      </c>
      <c r="E2005" s="1" t="s">
        <v>6</v>
      </c>
      <c r="F2005">
        <v>6</v>
      </c>
      <c r="G2005" s="1" t="str">
        <f>Ocupacao_DW[[#This Row],[data]]&amp;Ocupacao_DW[[#This Row],[profissional_id]]&amp;Ocupacao_DW[[#This Row],[local_id]]</f>
        <v>44645106916</v>
      </c>
      <c r="H2005" s="1">
        <f>_xlfn.XLOOKUP(Ocupacao_DW[[#This Row],[Concat]],Vagas!$H:$H,Vagas!$D:$D,"",0)</f>
        <v>8</v>
      </c>
    </row>
    <row r="2006" spans="1:8" x14ac:dyDescent="0.25">
      <c r="A2006" s="2">
        <v>44638</v>
      </c>
      <c r="B2006" s="1" t="s">
        <v>56</v>
      </c>
      <c r="C2006">
        <v>13660</v>
      </c>
      <c r="D2006" s="1" t="s">
        <v>250</v>
      </c>
      <c r="E2006" s="1" t="s">
        <v>5</v>
      </c>
      <c r="F2006">
        <v>15</v>
      </c>
      <c r="G2006" s="1" t="str">
        <f>Ocupacao_DW[[#This Row],[data]]&amp;Ocupacao_DW[[#This Row],[profissional_id]]&amp;Ocupacao_DW[[#This Row],[local_id]]</f>
        <v>446381366015</v>
      </c>
      <c r="H2006" s="1">
        <f>_xlfn.XLOOKUP(Ocupacao_DW[[#This Row],[Concat]],Vagas!$H:$H,Vagas!$D:$D,"",0)</f>
        <v>0</v>
      </c>
    </row>
    <row r="2007" spans="1:8" x14ac:dyDescent="0.25">
      <c r="A2007" s="2">
        <v>44651</v>
      </c>
      <c r="B2007" s="1" t="s">
        <v>55</v>
      </c>
      <c r="C2007">
        <v>12426</v>
      </c>
      <c r="D2007" s="1" t="s">
        <v>215</v>
      </c>
      <c r="E2007" s="1" t="s">
        <v>6</v>
      </c>
      <c r="F2007">
        <v>5</v>
      </c>
      <c r="G2007" s="1" t="str">
        <f>Ocupacao_DW[[#This Row],[data]]&amp;Ocupacao_DW[[#This Row],[profissional_id]]&amp;Ocupacao_DW[[#This Row],[local_id]]</f>
        <v>44651124265</v>
      </c>
      <c r="H2007" s="1">
        <f>_xlfn.XLOOKUP(Ocupacao_DW[[#This Row],[Concat]],Vagas!$H:$H,Vagas!$D:$D,"",0)</f>
        <v>0</v>
      </c>
    </row>
    <row r="2008" spans="1:8" x14ac:dyDescent="0.25">
      <c r="A2008" s="2">
        <v>44648</v>
      </c>
      <c r="B2008" s="1" t="s">
        <v>52</v>
      </c>
      <c r="C2008">
        <v>10691</v>
      </c>
      <c r="D2008" s="1" t="s">
        <v>181</v>
      </c>
      <c r="E2008" s="1" t="s">
        <v>6</v>
      </c>
      <c r="F2008">
        <v>9</v>
      </c>
      <c r="G2008" s="1" t="str">
        <f>Ocupacao_DW[[#This Row],[data]]&amp;Ocupacao_DW[[#This Row],[profissional_id]]&amp;Ocupacao_DW[[#This Row],[local_id]]</f>
        <v>44648106919</v>
      </c>
      <c r="H2008" s="1">
        <f>_xlfn.XLOOKUP(Ocupacao_DW[[#This Row],[Concat]],Vagas!$H:$H,Vagas!$D:$D,"",0)</f>
        <v>0</v>
      </c>
    </row>
    <row r="2009" spans="1:8" x14ac:dyDescent="0.25">
      <c r="A2009" s="2">
        <v>44636</v>
      </c>
      <c r="B2009" s="1" t="s">
        <v>72</v>
      </c>
      <c r="C2009">
        <v>1794</v>
      </c>
      <c r="D2009" s="1" t="s">
        <v>235</v>
      </c>
      <c r="E2009" s="1" t="s">
        <v>4</v>
      </c>
      <c r="F2009">
        <v>49</v>
      </c>
      <c r="G2009" s="1" t="str">
        <f>Ocupacao_DW[[#This Row],[data]]&amp;Ocupacao_DW[[#This Row],[profissional_id]]&amp;Ocupacao_DW[[#This Row],[local_id]]</f>
        <v>44636179449</v>
      </c>
      <c r="H2009" s="1">
        <f>_xlfn.XLOOKUP(Ocupacao_DW[[#This Row],[Concat]],Vagas!$H:$H,Vagas!$D:$D,"",0)</f>
        <v>0</v>
      </c>
    </row>
    <row r="2010" spans="1:8" x14ac:dyDescent="0.25">
      <c r="A2010" s="2">
        <v>44638</v>
      </c>
      <c r="B2010" s="1" t="s">
        <v>49</v>
      </c>
      <c r="C2010">
        <v>81</v>
      </c>
      <c r="D2010" s="1" t="s">
        <v>170</v>
      </c>
      <c r="E2010" s="1" t="s">
        <v>4</v>
      </c>
      <c r="F2010">
        <v>41</v>
      </c>
      <c r="G2010" s="1" t="str">
        <f>Ocupacao_DW[[#This Row],[data]]&amp;Ocupacao_DW[[#This Row],[profissional_id]]&amp;Ocupacao_DW[[#This Row],[local_id]]</f>
        <v>446388141</v>
      </c>
      <c r="H2010" s="1">
        <f>_xlfn.XLOOKUP(Ocupacao_DW[[#This Row],[Concat]],Vagas!$H:$H,Vagas!$D:$D,"",0)</f>
        <v>0</v>
      </c>
    </row>
    <row r="2011" spans="1:8" x14ac:dyDescent="0.25">
      <c r="A2011" s="2">
        <v>44637</v>
      </c>
      <c r="B2011" s="1" t="s">
        <v>66</v>
      </c>
      <c r="C2011">
        <v>1343</v>
      </c>
      <c r="D2011" s="1" t="s">
        <v>263</v>
      </c>
      <c r="E2011" s="1" t="s">
        <v>200</v>
      </c>
      <c r="F2011">
        <v>80</v>
      </c>
      <c r="G2011" s="1" t="str">
        <f>Ocupacao_DW[[#This Row],[data]]&amp;Ocupacao_DW[[#This Row],[profissional_id]]&amp;Ocupacao_DW[[#This Row],[local_id]]</f>
        <v>44637134380</v>
      </c>
      <c r="H2011" s="1">
        <f>_xlfn.XLOOKUP(Ocupacao_DW[[#This Row],[Concat]],Vagas!$H:$H,Vagas!$D:$D,"",0)</f>
        <v>0</v>
      </c>
    </row>
    <row r="2012" spans="1:8" x14ac:dyDescent="0.25">
      <c r="A2012" s="2">
        <v>44636</v>
      </c>
      <c r="B2012" s="1" t="s">
        <v>51</v>
      </c>
      <c r="C2012">
        <v>12679</v>
      </c>
      <c r="D2012" s="1" t="s">
        <v>192</v>
      </c>
      <c r="E2012" s="1" t="s">
        <v>200</v>
      </c>
      <c r="F2012">
        <v>82</v>
      </c>
      <c r="G2012" s="1" t="str">
        <f>Ocupacao_DW[[#This Row],[data]]&amp;Ocupacao_DW[[#This Row],[profissional_id]]&amp;Ocupacao_DW[[#This Row],[local_id]]</f>
        <v>446361267982</v>
      </c>
      <c r="H2012" s="1">
        <f>_xlfn.XLOOKUP(Ocupacao_DW[[#This Row],[Concat]],Vagas!$H:$H,Vagas!$D:$D,"",0)</f>
        <v>0</v>
      </c>
    </row>
    <row r="2013" spans="1:8" x14ac:dyDescent="0.25">
      <c r="A2013" s="2">
        <v>44648</v>
      </c>
      <c r="B2013" s="1" t="s">
        <v>56</v>
      </c>
      <c r="C2013">
        <v>75</v>
      </c>
      <c r="D2013" s="1" t="s">
        <v>208</v>
      </c>
      <c r="E2013" s="1" t="s">
        <v>5</v>
      </c>
      <c r="F2013">
        <v>15</v>
      </c>
      <c r="G2013" s="1" t="str">
        <f>Ocupacao_DW[[#This Row],[data]]&amp;Ocupacao_DW[[#This Row],[profissional_id]]&amp;Ocupacao_DW[[#This Row],[local_id]]</f>
        <v>446487515</v>
      </c>
      <c r="H2013" s="1">
        <f>_xlfn.XLOOKUP(Ocupacao_DW[[#This Row],[Concat]],Vagas!$H:$H,Vagas!$D:$D,"",0)</f>
        <v>0</v>
      </c>
    </row>
    <row r="2014" spans="1:8" x14ac:dyDescent="0.25">
      <c r="A2014" s="2">
        <v>44649</v>
      </c>
      <c r="B2014" s="1" t="s">
        <v>70</v>
      </c>
      <c r="C2014">
        <v>14237</v>
      </c>
      <c r="D2014" s="1" t="s">
        <v>186</v>
      </c>
      <c r="E2014" s="1" t="s">
        <v>4</v>
      </c>
      <c r="F2014">
        <v>47</v>
      </c>
      <c r="G2014" s="1" t="str">
        <f>Ocupacao_DW[[#This Row],[data]]&amp;Ocupacao_DW[[#This Row],[profissional_id]]&amp;Ocupacao_DW[[#This Row],[local_id]]</f>
        <v>446491423747</v>
      </c>
      <c r="H2014" s="1">
        <f>_xlfn.XLOOKUP(Ocupacao_DW[[#This Row],[Concat]],Vagas!$H:$H,Vagas!$D:$D,"",0)</f>
        <v>0</v>
      </c>
    </row>
    <row r="2015" spans="1:8" x14ac:dyDescent="0.25">
      <c r="A2015" s="2">
        <v>44639</v>
      </c>
      <c r="B2015" s="1" t="s">
        <v>54</v>
      </c>
      <c r="C2015">
        <v>70</v>
      </c>
      <c r="D2015" s="1" t="s">
        <v>187</v>
      </c>
      <c r="E2015" s="1" t="s">
        <v>5</v>
      </c>
      <c r="F2015">
        <v>13</v>
      </c>
      <c r="G2015" s="1" t="str">
        <f>Ocupacao_DW[[#This Row],[data]]&amp;Ocupacao_DW[[#This Row],[profissional_id]]&amp;Ocupacao_DW[[#This Row],[local_id]]</f>
        <v>446397013</v>
      </c>
      <c r="H2015" s="1">
        <f>_xlfn.XLOOKUP(Ocupacao_DW[[#This Row],[Concat]],Vagas!$H:$H,Vagas!$D:$D,"",0)</f>
        <v>0</v>
      </c>
    </row>
    <row r="2016" spans="1:8" x14ac:dyDescent="0.25">
      <c r="A2016" s="2">
        <v>44644</v>
      </c>
      <c r="B2016" s="1" t="s">
        <v>52</v>
      </c>
      <c r="C2016">
        <v>10691</v>
      </c>
      <c r="D2016" s="1" t="s">
        <v>181</v>
      </c>
      <c r="E2016" s="1" t="s">
        <v>6</v>
      </c>
      <c r="F2016">
        <v>9</v>
      </c>
      <c r="G2016" s="1" t="str">
        <f>Ocupacao_DW[[#This Row],[data]]&amp;Ocupacao_DW[[#This Row],[profissional_id]]&amp;Ocupacao_DW[[#This Row],[local_id]]</f>
        <v>44644106919</v>
      </c>
      <c r="H2016" s="1">
        <f>_xlfn.XLOOKUP(Ocupacao_DW[[#This Row],[Concat]],Vagas!$H:$H,Vagas!$D:$D,"",0)</f>
        <v>0</v>
      </c>
    </row>
    <row r="2017" spans="1:8" x14ac:dyDescent="0.25">
      <c r="A2017" s="2">
        <v>44646</v>
      </c>
      <c r="B2017" s="1" t="s">
        <v>60</v>
      </c>
      <c r="C2017">
        <v>117</v>
      </c>
      <c r="D2017" s="1" t="s">
        <v>180</v>
      </c>
      <c r="E2017" s="1" t="s">
        <v>4</v>
      </c>
      <c r="F2017">
        <v>48</v>
      </c>
      <c r="G2017" s="1" t="str">
        <f>Ocupacao_DW[[#This Row],[data]]&amp;Ocupacao_DW[[#This Row],[profissional_id]]&amp;Ocupacao_DW[[#This Row],[local_id]]</f>
        <v>4464611748</v>
      </c>
      <c r="H2017" s="1">
        <f>_xlfn.XLOOKUP(Ocupacao_DW[[#This Row],[Concat]],Vagas!$H:$H,Vagas!$D:$D,"",0)</f>
        <v>0</v>
      </c>
    </row>
    <row r="2018" spans="1:8" x14ac:dyDescent="0.25">
      <c r="A2018" s="2">
        <v>44643</v>
      </c>
      <c r="B2018" s="1" t="s">
        <v>51</v>
      </c>
      <c r="C2018">
        <v>7551</v>
      </c>
      <c r="D2018" s="1" t="s">
        <v>246</v>
      </c>
      <c r="E2018" s="1" t="s">
        <v>5</v>
      </c>
      <c r="F2018">
        <v>15</v>
      </c>
      <c r="G2018" s="1" t="str">
        <f>Ocupacao_DW[[#This Row],[data]]&amp;Ocupacao_DW[[#This Row],[profissional_id]]&amp;Ocupacao_DW[[#This Row],[local_id]]</f>
        <v>44643755115</v>
      </c>
      <c r="H2018" s="1">
        <f>_xlfn.XLOOKUP(Ocupacao_DW[[#This Row],[Concat]],Vagas!$H:$H,Vagas!$D:$D,"",0)</f>
        <v>0</v>
      </c>
    </row>
    <row r="2019" spans="1:8" x14ac:dyDescent="0.25">
      <c r="A2019" s="2">
        <v>44636</v>
      </c>
      <c r="B2019" s="1" t="s">
        <v>21</v>
      </c>
      <c r="C2019">
        <v>17890</v>
      </c>
      <c r="D2019" s="1" t="s">
        <v>270</v>
      </c>
      <c r="E2019" s="1" t="s">
        <v>6</v>
      </c>
      <c r="F2019">
        <v>4</v>
      </c>
      <c r="G2019" s="1" t="str">
        <f>Ocupacao_DW[[#This Row],[data]]&amp;Ocupacao_DW[[#This Row],[profissional_id]]&amp;Ocupacao_DW[[#This Row],[local_id]]</f>
        <v>44636178904</v>
      </c>
      <c r="H2019" s="1">
        <f>_xlfn.XLOOKUP(Ocupacao_DW[[#This Row],[Concat]],Vagas!$H:$H,Vagas!$D:$D,"",0)</f>
        <v>5</v>
      </c>
    </row>
    <row r="2020" spans="1:8" x14ac:dyDescent="0.25">
      <c r="A2020" s="2">
        <v>44640</v>
      </c>
      <c r="B2020" s="1" t="s">
        <v>62</v>
      </c>
      <c r="C2020">
        <v>4887</v>
      </c>
      <c r="D2020" s="1" t="s">
        <v>168</v>
      </c>
      <c r="E2020" s="1" t="s">
        <v>167</v>
      </c>
      <c r="F2020">
        <v>340</v>
      </c>
      <c r="G2020" s="1" t="str">
        <f>Ocupacao_DW[[#This Row],[data]]&amp;Ocupacao_DW[[#This Row],[profissional_id]]&amp;Ocupacao_DW[[#This Row],[local_id]]</f>
        <v>446404887340</v>
      </c>
      <c r="H2020" s="1">
        <f>_xlfn.XLOOKUP(Ocupacao_DW[[#This Row],[Concat]],Vagas!$H:$H,Vagas!$D:$D,"",0)</f>
        <v>0</v>
      </c>
    </row>
    <row r="2021" spans="1:8" x14ac:dyDescent="0.25">
      <c r="A2021" s="2">
        <v>44641</v>
      </c>
      <c r="B2021" s="1" t="s">
        <v>47</v>
      </c>
      <c r="C2021">
        <v>11241</v>
      </c>
      <c r="D2021" s="1" t="s">
        <v>252</v>
      </c>
      <c r="E2021" s="1" t="s">
        <v>4</v>
      </c>
      <c r="F2021">
        <v>51</v>
      </c>
      <c r="G2021" s="1" t="str">
        <f>Ocupacao_DW[[#This Row],[data]]&amp;Ocupacao_DW[[#This Row],[profissional_id]]&amp;Ocupacao_DW[[#This Row],[local_id]]</f>
        <v>446411124151</v>
      </c>
      <c r="H2021" s="1">
        <f>_xlfn.XLOOKUP(Ocupacao_DW[[#This Row],[Concat]],Vagas!$H:$H,Vagas!$D:$D,"",0)</f>
        <v>0</v>
      </c>
    </row>
    <row r="2022" spans="1:8" x14ac:dyDescent="0.25">
      <c r="A2022" s="2">
        <v>44638</v>
      </c>
      <c r="B2022" s="1" t="s">
        <v>72</v>
      </c>
      <c r="C2022">
        <v>1794</v>
      </c>
      <c r="D2022" s="1" t="s">
        <v>235</v>
      </c>
      <c r="E2022" s="1" t="s">
        <v>4</v>
      </c>
      <c r="F2022">
        <v>46</v>
      </c>
      <c r="G2022" s="1" t="str">
        <f>Ocupacao_DW[[#This Row],[data]]&amp;Ocupacao_DW[[#This Row],[profissional_id]]&amp;Ocupacao_DW[[#This Row],[local_id]]</f>
        <v>44638179446</v>
      </c>
      <c r="H2022" s="1">
        <f>_xlfn.XLOOKUP(Ocupacao_DW[[#This Row],[Concat]],Vagas!$H:$H,Vagas!$D:$D,"",0)</f>
        <v>0</v>
      </c>
    </row>
    <row r="2023" spans="1:8" x14ac:dyDescent="0.25">
      <c r="A2023" s="2">
        <v>44638</v>
      </c>
      <c r="B2023" s="1" t="s">
        <v>55</v>
      </c>
      <c r="C2023">
        <v>2984</v>
      </c>
      <c r="D2023" s="1" t="s">
        <v>185</v>
      </c>
      <c r="E2023" s="1" t="s">
        <v>6</v>
      </c>
      <c r="F2023">
        <v>7</v>
      </c>
      <c r="G2023" s="1" t="str">
        <f>Ocupacao_DW[[#This Row],[data]]&amp;Ocupacao_DW[[#This Row],[profissional_id]]&amp;Ocupacao_DW[[#This Row],[local_id]]</f>
        <v>4463829847</v>
      </c>
      <c r="H2023" s="1">
        <f>_xlfn.XLOOKUP(Ocupacao_DW[[#This Row],[Concat]],Vagas!$H:$H,Vagas!$D:$D,"",0)</f>
        <v>0</v>
      </c>
    </row>
    <row r="2024" spans="1:8" x14ac:dyDescent="0.25">
      <c r="A2024" s="2">
        <v>44642</v>
      </c>
      <c r="B2024" s="1" t="s">
        <v>47</v>
      </c>
      <c r="C2024">
        <v>110</v>
      </c>
      <c r="D2024" s="1" t="s">
        <v>193</v>
      </c>
      <c r="E2024" s="1" t="s">
        <v>4</v>
      </c>
      <c r="F2024">
        <v>334</v>
      </c>
      <c r="G2024" s="1" t="str">
        <f>Ocupacao_DW[[#This Row],[data]]&amp;Ocupacao_DW[[#This Row],[profissional_id]]&amp;Ocupacao_DW[[#This Row],[local_id]]</f>
        <v>44642110334</v>
      </c>
      <c r="H2024" s="1">
        <f>_xlfn.XLOOKUP(Ocupacao_DW[[#This Row],[Concat]],Vagas!$H:$H,Vagas!$D:$D,"",0)</f>
        <v>0</v>
      </c>
    </row>
    <row r="2025" spans="1:8" x14ac:dyDescent="0.25">
      <c r="A2025" s="2">
        <v>44642</v>
      </c>
      <c r="B2025" s="1" t="s">
        <v>54</v>
      </c>
      <c r="C2025">
        <v>69</v>
      </c>
      <c r="D2025" s="1" t="s">
        <v>238</v>
      </c>
      <c r="E2025" s="1" t="s">
        <v>5</v>
      </c>
      <c r="F2025">
        <v>13</v>
      </c>
      <c r="G2025" s="1" t="str">
        <f>Ocupacao_DW[[#This Row],[data]]&amp;Ocupacao_DW[[#This Row],[profissional_id]]&amp;Ocupacao_DW[[#This Row],[local_id]]</f>
        <v>446426913</v>
      </c>
      <c r="H2025" s="1">
        <f>_xlfn.XLOOKUP(Ocupacao_DW[[#This Row],[Concat]],Vagas!$H:$H,Vagas!$D:$D,"",0)</f>
        <v>0</v>
      </c>
    </row>
    <row r="2026" spans="1:8" x14ac:dyDescent="0.25">
      <c r="A2026" s="2">
        <v>44641</v>
      </c>
      <c r="B2026" s="1" t="s">
        <v>49</v>
      </c>
      <c r="C2026">
        <v>3092</v>
      </c>
      <c r="D2026" s="1" t="s">
        <v>262</v>
      </c>
      <c r="E2026" s="1" t="s">
        <v>4</v>
      </c>
      <c r="F2026">
        <v>43</v>
      </c>
      <c r="G2026" s="1" t="str">
        <f>Ocupacao_DW[[#This Row],[data]]&amp;Ocupacao_DW[[#This Row],[profissional_id]]&amp;Ocupacao_DW[[#This Row],[local_id]]</f>
        <v>44641309243</v>
      </c>
      <c r="H2026" s="1">
        <f>_xlfn.XLOOKUP(Ocupacao_DW[[#This Row],[Concat]],Vagas!$H:$H,Vagas!$D:$D,"",0)</f>
        <v>0</v>
      </c>
    </row>
    <row r="2027" spans="1:8" x14ac:dyDescent="0.25">
      <c r="A2027" s="2">
        <v>44637</v>
      </c>
      <c r="B2027" s="1" t="s">
        <v>66</v>
      </c>
      <c r="C2027">
        <v>1343</v>
      </c>
      <c r="D2027" s="1" t="s">
        <v>263</v>
      </c>
      <c r="E2027" s="1" t="s">
        <v>200</v>
      </c>
      <c r="F2027">
        <v>80</v>
      </c>
      <c r="G2027" s="1" t="str">
        <f>Ocupacao_DW[[#This Row],[data]]&amp;Ocupacao_DW[[#This Row],[profissional_id]]&amp;Ocupacao_DW[[#This Row],[local_id]]</f>
        <v>44637134380</v>
      </c>
      <c r="H2027" s="1">
        <f>_xlfn.XLOOKUP(Ocupacao_DW[[#This Row],[Concat]],Vagas!$H:$H,Vagas!$D:$D,"",0)</f>
        <v>0</v>
      </c>
    </row>
    <row r="2028" spans="1:8" x14ac:dyDescent="0.25">
      <c r="A2028" s="2">
        <v>44635</v>
      </c>
      <c r="B2028" s="1" t="s">
        <v>20</v>
      </c>
      <c r="C2028">
        <v>174</v>
      </c>
      <c r="D2028" s="1" t="s">
        <v>230</v>
      </c>
      <c r="E2028" s="1" t="s">
        <v>167</v>
      </c>
      <c r="F2028">
        <v>24</v>
      </c>
      <c r="G2028" s="1" t="str">
        <f>Ocupacao_DW[[#This Row],[data]]&amp;Ocupacao_DW[[#This Row],[profissional_id]]&amp;Ocupacao_DW[[#This Row],[local_id]]</f>
        <v>4463517424</v>
      </c>
      <c r="H2028" s="1">
        <f>_xlfn.XLOOKUP(Ocupacao_DW[[#This Row],[Concat]],Vagas!$H:$H,Vagas!$D:$D,"",0)</f>
        <v>66</v>
      </c>
    </row>
    <row r="2029" spans="1:8" x14ac:dyDescent="0.25">
      <c r="A2029" s="2">
        <v>44637</v>
      </c>
      <c r="B2029" s="1" t="s">
        <v>20</v>
      </c>
      <c r="C2029">
        <v>174</v>
      </c>
      <c r="D2029" s="1" t="s">
        <v>230</v>
      </c>
      <c r="E2029" s="1" t="s">
        <v>167</v>
      </c>
      <c r="F2029">
        <v>24</v>
      </c>
      <c r="G2029" s="1" t="str">
        <f>Ocupacao_DW[[#This Row],[data]]&amp;Ocupacao_DW[[#This Row],[profissional_id]]&amp;Ocupacao_DW[[#This Row],[local_id]]</f>
        <v>4463717424</v>
      </c>
      <c r="H2029" s="1">
        <f>_xlfn.XLOOKUP(Ocupacao_DW[[#This Row],[Concat]],Vagas!$H:$H,Vagas!$D:$D,"",0)</f>
        <v>80</v>
      </c>
    </row>
    <row r="2030" spans="1:8" x14ac:dyDescent="0.25">
      <c r="A2030" s="2">
        <v>44635</v>
      </c>
      <c r="B2030" s="1" t="s">
        <v>49</v>
      </c>
      <c r="C2030">
        <v>10600</v>
      </c>
      <c r="D2030" s="1" t="s">
        <v>248</v>
      </c>
      <c r="E2030" s="1" t="s">
        <v>200</v>
      </c>
      <c r="F2030">
        <v>86</v>
      </c>
      <c r="G2030" s="1" t="str">
        <f>Ocupacao_DW[[#This Row],[data]]&amp;Ocupacao_DW[[#This Row],[profissional_id]]&amp;Ocupacao_DW[[#This Row],[local_id]]</f>
        <v>446351060086</v>
      </c>
      <c r="H2030" s="1">
        <f>_xlfn.XLOOKUP(Ocupacao_DW[[#This Row],[Concat]],Vagas!$H:$H,Vagas!$D:$D,"",0)</f>
        <v>0</v>
      </c>
    </row>
    <row r="2031" spans="1:8" x14ac:dyDescent="0.25">
      <c r="A2031" s="2">
        <v>44635</v>
      </c>
      <c r="B2031" s="1" t="s">
        <v>47</v>
      </c>
      <c r="C2031">
        <v>11207</v>
      </c>
      <c r="D2031" s="1" t="s">
        <v>251</v>
      </c>
      <c r="E2031" s="1" t="s">
        <v>4</v>
      </c>
      <c r="F2031">
        <v>51</v>
      </c>
      <c r="G2031" s="1" t="str">
        <f>Ocupacao_DW[[#This Row],[data]]&amp;Ocupacao_DW[[#This Row],[profissional_id]]&amp;Ocupacao_DW[[#This Row],[local_id]]</f>
        <v>446351120751</v>
      </c>
      <c r="H2031" s="1">
        <f>_xlfn.XLOOKUP(Ocupacao_DW[[#This Row],[Concat]],Vagas!$H:$H,Vagas!$D:$D,"",0)</f>
        <v>0</v>
      </c>
    </row>
    <row r="2032" spans="1:8" x14ac:dyDescent="0.25">
      <c r="A2032" s="2">
        <v>44636</v>
      </c>
      <c r="B2032" s="1" t="s">
        <v>20</v>
      </c>
      <c r="C2032">
        <v>174</v>
      </c>
      <c r="D2032" s="1" t="s">
        <v>230</v>
      </c>
      <c r="E2032" s="1" t="s">
        <v>167</v>
      </c>
      <c r="F2032">
        <v>24</v>
      </c>
      <c r="G2032" s="1" t="str">
        <f>Ocupacao_DW[[#This Row],[data]]&amp;Ocupacao_DW[[#This Row],[profissional_id]]&amp;Ocupacao_DW[[#This Row],[local_id]]</f>
        <v>4463617424</v>
      </c>
      <c r="H2032" s="1">
        <f>_xlfn.XLOOKUP(Ocupacao_DW[[#This Row],[Concat]],Vagas!$H:$H,Vagas!$D:$D,"",0)</f>
        <v>74</v>
      </c>
    </row>
    <row r="2033" spans="1:8" x14ac:dyDescent="0.25">
      <c r="A2033" s="2">
        <v>44643</v>
      </c>
      <c r="B2033" s="1" t="s">
        <v>51</v>
      </c>
      <c r="C2033">
        <v>17859</v>
      </c>
      <c r="D2033" s="1" t="s">
        <v>212</v>
      </c>
      <c r="E2033" s="1" t="s">
        <v>6</v>
      </c>
      <c r="F2033">
        <v>7</v>
      </c>
      <c r="G2033" s="1" t="str">
        <f>Ocupacao_DW[[#This Row],[data]]&amp;Ocupacao_DW[[#This Row],[profissional_id]]&amp;Ocupacao_DW[[#This Row],[local_id]]</f>
        <v>44643178597</v>
      </c>
      <c r="H2033" s="1">
        <f>_xlfn.XLOOKUP(Ocupacao_DW[[#This Row],[Concat]],Vagas!$H:$H,Vagas!$D:$D,"",0)</f>
        <v>0</v>
      </c>
    </row>
    <row r="2034" spans="1:8" x14ac:dyDescent="0.25">
      <c r="A2034" s="2">
        <v>44650</v>
      </c>
      <c r="B2034" s="1" t="s">
        <v>70</v>
      </c>
      <c r="C2034">
        <v>12825</v>
      </c>
      <c r="D2034" s="1" t="s">
        <v>177</v>
      </c>
      <c r="E2034" s="1" t="s">
        <v>4</v>
      </c>
      <c r="F2034">
        <v>45</v>
      </c>
      <c r="G2034" s="1" t="str">
        <f>Ocupacao_DW[[#This Row],[data]]&amp;Ocupacao_DW[[#This Row],[profissional_id]]&amp;Ocupacao_DW[[#This Row],[local_id]]</f>
        <v>446501282545</v>
      </c>
      <c r="H2034" s="1">
        <f>_xlfn.XLOOKUP(Ocupacao_DW[[#This Row],[Concat]],Vagas!$H:$H,Vagas!$D:$D,"",0)</f>
        <v>0</v>
      </c>
    </row>
    <row r="2035" spans="1:8" x14ac:dyDescent="0.25">
      <c r="A2035" s="2">
        <v>44638</v>
      </c>
      <c r="B2035" s="1" t="s">
        <v>49</v>
      </c>
      <c r="C2035">
        <v>12142</v>
      </c>
      <c r="D2035" s="1" t="s">
        <v>219</v>
      </c>
      <c r="E2035" s="1" t="s">
        <v>4</v>
      </c>
      <c r="F2035">
        <v>44</v>
      </c>
      <c r="G2035" s="1" t="str">
        <f>Ocupacao_DW[[#This Row],[data]]&amp;Ocupacao_DW[[#This Row],[profissional_id]]&amp;Ocupacao_DW[[#This Row],[local_id]]</f>
        <v>446381214244</v>
      </c>
      <c r="H2035" s="1">
        <f>_xlfn.XLOOKUP(Ocupacao_DW[[#This Row],[Concat]],Vagas!$H:$H,Vagas!$D:$D,"",0)</f>
        <v>0</v>
      </c>
    </row>
    <row r="2036" spans="1:8" x14ac:dyDescent="0.25">
      <c r="A2036" s="2">
        <v>44658</v>
      </c>
      <c r="B2036" s="1" t="s">
        <v>55</v>
      </c>
      <c r="C2036">
        <v>74</v>
      </c>
      <c r="D2036" s="1" t="s">
        <v>182</v>
      </c>
      <c r="E2036" s="1" t="s">
        <v>6</v>
      </c>
      <c r="F2036">
        <v>7</v>
      </c>
      <c r="G2036" s="1" t="str">
        <f>Ocupacao_DW[[#This Row],[data]]&amp;Ocupacao_DW[[#This Row],[profissional_id]]&amp;Ocupacao_DW[[#This Row],[local_id]]</f>
        <v>44658747</v>
      </c>
      <c r="H2036" s="1">
        <f>_xlfn.XLOOKUP(Ocupacao_DW[[#This Row],[Concat]],Vagas!$H:$H,Vagas!$D:$D,"",0)</f>
        <v>7</v>
      </c>
    </row>
    <row r="2037" spans="1:8" x14ac:dyDescent="0.25">
      <c r="A2037" s="2">
        <v>44636</v>
      </c>
      <c r="B2037" s="1" t="s">
        <v>60</v>
      </c>
      <c r="C2037">
        <v>14326</v>
      </c>
      <c r="D2037" s="1" t="s">
        <v>220</v>
      </c>
      <c r="E2037" s="1" t="s">
        <v>4</v>
      </c>
      <c r="F2037">
        <v>43</v>
      </c>
      <c r="G2037" s="1" t="str">
        <f>Ocupacao_DW[[#This Row],[data]]&amp;Ocupacao_DW[[#This Row],[profissional_id]]&amp;Ocupacao_DW[[#This Row],[local_id]]</f>
        <v>446361432643</v>
      </c>
      <c r="H2037" s="1">
        <f>_xlfn.XLOOKUP(Ocupacao_DW[[#This Row],[Concat]],Vagas!$H:$H,Vagas!$D:$D,"",0)</f>
        <v>0</v>
      </c>
    </row>
    <row r="2038" spans="1:8" x14ac:dyDescent="0.25">
      <c r="A2038" s="2">
        <v>44640</v>
      </c>
      <c r="B2038" s="1" t="s">
        <v>62</v>
      </c>
      <c r="C2038">
        <v>4887</v>
      </c>
      <c r="D2038" s="1" t="s">
        <v>168</v>
      </c>
      <c r="E2038" s="1" t="s">
        <v>167</v>
      </c>
      <c r="F2038">
        <v>340</v>
      </c>
      <c r="G2038" s="1" t="str">
        <f>Ocupacao_DW[[#This Row],[data]]&amp;Ocupacao_DW[[#This Row],[profissional_id]]&amp;Ocupacao_DW[[#This Row],[local_id]]</f>
        <v>446404887340</v>
      </c>
      <c r="H2038" s="1">
        <f>_xlfn.XLOOKUP(Ocupacao_DW[[#This Row],[Concat]],Vagas!$H:$H,Vagas!$D:$D,"",0)</f>
        <v>0</v>
      </c>
    </row>
    <row r="2039" spans="1:8" x14ac:dyDescent="0.25">
      <c r="A2039" s="2">
        <v>44635</v>
      </c>
      <c r="B2039" s="1" t="s">
        <v>47</v>
      </c>
      <c r="C2039">
        <v>12752</v>
      </c>
      <c r="D2039" s="1" t="s">
        <v>253</v>
      </c>
      <c r="E2039" s="1" t="s">
        <v>7</v>
      </c>
      <c r="F2039">
        <v>60</v>
      </c>
      <c r="G2039" s="1" t="str">
        <f>Ocupacao_DW[[#This Row],[data]]&amp;Ocupacao_DW[[#This Row],[profissional_id]]&amp;Ocupacao_DW[[#This Row],[local_id]]</f>
        <v>446351275260</v>
      </c>
      <c r="H2039" s="1">
        <f>_xlfn.XLOOKUP(Ocupacao_DW[[#This Row],[Concat]],Vagas!$H:$H,Vagas!$D:$D,"",0)</f>
        <v>0</v>
      </c>
    </row>
    <row r="2040" spans="1:8" x14ac:dyDescent="0.25">
      <c r="A2040" s="2">
        <v>44639</v>
      </c>
      <c r="B2040" s="1" t="s">
        <v>54</v>
      </c>
      <c r="C2040">
        <v>70</v>
      </c>
      <c r="D2040" s="1" t="s">
        <v>187</v>
      </c>
      <c r="E2040" s="1" t="s">
        <v>5</v>
      </c>
      <c r="F2040">
        <v>13</v>
      </c>
      <c r="G2040" s="1" t="str">
        <f>Ocupacao_DW[[#This Row],[data]]&amp;Ocupacao_DW[[#This Row],[profissional_id]]&amp;Ocupacao_DW[[#This Row],[local_id]]</f>
        <v>446397013</v>
      </c>
      <c r="H2040" s="1">
        <f>_xlfn.XLOOKUP(Ocupacao_DW[[#This Row],[Concat]],Vagas!$H:$H,Vagas!$D:$D,"",0)</f>
        <v>0</v>
      </c>
    </row>
    <row r="2041" spans="1:8" x14ac:dyDescent="0.25">
      <c r="A2041" s="2">
        <v>44641</v>
      </c>
      <c r="B2041" s="1" t="s">
        <v>49</v>
      </c>
      <c r="C2041">
        <v>12369</v>
      </c>
      <c r="D2041" s="1" t="s">
        <v>195</v>
      </c>
      <c r="E2041" s="1" t="s">
        <v>4</v>
      </c>
      <c r="F2041">
        <v>44</v>
      </c>
      <c r="G2041" s="1" t="str">
        <f>Ocupacao_DW[[#This Row],[data]]&amp;Ocupacao_DW[[#This Row],[profissional_id]]&amp;Ocupacao_DW[[#This Row],[local_id]]</f>
        <v>446411236944</v>
      </c>
      <c r="H2041" s="1">
        <f>_xlfn.XLOOKUP(Ocupacao_DW[[#This Row],[Concat]],Vagas!$H:$H,Vagas!$D:$D,"",0)</f>
        <v>0</v>
      </c>
    </row>
    <row r="2042" spans="1:8" x14ac:dyDescent="0.25">
      <c r="A2042" s="2">
        <v>44638</v>
      </c>
      <c r="B2042" s="1" t="s">
        <v>49</v>
      </c>
      <c r="C2042">
        <v>6430</v>
      </c>
      <c r="D2042" s="1" t="s">
        <v>188</v>
      </c>
      <c r="E2042" s="1" t="s">
        <v>4</v>
      </c>
      <c r="F2042">
        <v>42</v>
      </c>
      <c r="G2042" s="1" t="str">
        <f>Ocupacao_DW[[#This Row],[data]]&amp;Ocupacao_DW[[#This Row],[profissional_id]]&amp;Ocupacao_DW[[#This Row],[local_id]]</f>
        <v>44638643042</v>
      </c>
      <c r="H2042" s="1">
        <f>_xlfn.XLOOKUP(Ocupacao_DW[[#This Row],[Concat]],Vagas!$H:$H,Vagas!$D:$D,"",0)</f>
        <v>0</v>
      </c>
    </row>
    <row r="2043" spans="1:8" x14ac:dyDescent="0.25">
      <c r="A2043" s="2">
        <v>44643</v>
      </c>
      <c r="B2043" s="1" t="s">
        <v>60</v>
      </c>
      <c r="C2043">
        <v>14326</v>
      </c>
      <c r="D2043" s="1" t="s">
        <v>220</v>
      </c>
      <c r="E2043" s="1" t="s">
        <v>4</v>
      </c>
      <c r="F2043">
        <v>43</v>
      </c>
      <c r="G2043" s="1" t="str">
        <f>Ocupacao_DW[[#This Row],[data]]&amp;Ocupacao_DW[[#This Row],[profissional_id]]&amp;Ocupacao_DW[[#This Row],[local_id]]</f>
        <v>446431432643</v>
      </c>
      <c r="H2043" s="1">
        <f>_xlfn.XLOOKUP(Ocupacao_DW[[#This Row],[Concat]],Vagas!$H:$H,Vagas!$D:$D,"",0)</f>
        <v>0</v>
      </c>
    </row>
    <row r="2044" spans="1:8" x14ac:dyDescent="0.25">
      <c r="A2044" s="2">
        <v>44655</v>
      </c>
      <c r="B2044" s="1" t="s">
        <v>55</v>
      </c>
      <c r="C2044">
        <v>6392</v>
      </c>
      <c r="D2044" s="1" t="s">
        <v>173</v>
      </c>
      <c r="E2044" s="1" t="s">
        <v>6</v>
      </c>
      <c r="F2044">
        <v>5</v>
      </c>
      <c r="G2044" s="1" t="str">
        <f>Ocupacao_DW[[#This Row],[data]]&amp;Ocupacao_DW[[#This Row],[profissional_id]]&amp;Ocupacao_DW[[#This Row],[local_id]]</f>
        <v>4465563925</v>
      </c>
      <c r="H2044" s="1">
        <f>_xlfn.XLOOKUP(Ocupacao_DW[[#This Row],[Concat]],Vagas!$H:$H,Vagas!$D:$D,"",0)</f>
        <v>0</v>
      </c>
    </row>
    <row r="2045" spans="1:8" x14ac:dyDescent="0.25">
      <c r="A2045" s="2">
        <v>44637</v>
      </c>
      <c r="B2045" s="1" t="s">
        <v>57</v>
      </c>
      <c r="C2045">
        <v>80</v>
      </c>
      <c r="D2045" s="1" t="s">
        <v>179</v>
      </c>
      <c r="E2045" s="1" t="s">
        <v>167</v>
      </c>
      <c r="F2045">
        <v>348</v>
      </c>
      <c r="G2045" s="1" t="str">
        <f>Ocupacao_DW[[#This Row],[data]]&amp;Ocupacao_DW[[#This Row],[profissional_id]]&amp;Ocupacao_DW[[#This Row],[local_id]]</f>
        <v>4463780348</v>
      </c>
      <c r="H2045" s="1">
        <f>_xlfn.XLOOKUP(Ocupacao_DW[[#This Row],[Concat]],Vagas!$H:$H,Vagas!$D:$D,"",0)</f>
        <v>0</v>
      </c>
    </row>
    <row r="2046" spans="1:8" x14ac:dyDescent="0.25">
      <c r="A2046" s="2">
        <v>44643</v>
      </c>
      <c r="B2046" s="1" t="s">
        <v>69</v>
      </c>
      <c r="C2046">
        <v>17878</v>
      </c>
      <c r="D2046" s="1" t="s">
        <v>183</v>
      </c>
      <c r="E2046" s="1" t="s">
        <v>7</v>
      </c>
      <c r="F2046">
        <v>63</v>
      </c>
      <c r="G2046" s="1" t="str">
        <f>Ocupacao_DW[[#This Row],[data]]&amp;Ocupacao_DW[[#This Row],[profissional_id]]&amp;Ocupacao_DW[[#This Row],[local_id]]</f>
        <v>446431787863</v>
      </c>
      <c r="H2046" s="1">
        <f>_xlfn.XLOOKUP(Ocupacao_DW[[#This Row],[Concat]],Vagas!$H:$H,Vagas!$D:$D,"",0)</f>
        <v>0</v>
      </c>
    </row>
    <row r="2047" spans="1:8" x14ac:dyDescent="0.25">
      <c r="A2047" s="2">
        <v>44641</v>
      </c>
      <c r="B2047" s="1" t="s">
        <v>47</v>
      </c>
      <c r="C2047">
        <v>13371</v>
      </c>
      <c r="D2047" s="1" t="s">
        <v>205</v>
      </c>
      <c r="E2047" s="1" t="s">
        <v>4</v>
      </c>
      <c r="F2047">
        <v>335</v>
      </c>
      <c r="G2047" s="1" t="str">
        <f>Ocupacao_DW[[#This Row],[data]]&amp;Ocupacao_DW[[#This Row],[profissional_id]]&amp;Ocupacao_DW[[#This Row],[local_id]]</f>
        <v>4464113371335</v>
      </c>
      <c r="H2047" s="1" t="str">
        <f>_xlfn.XLOOKUP(Ocupacao_DW[[#This Row],[Concat]],Vagas!$H:$H,Vagas!$D:$D,"",0)</f>
        <v/>
      </c>
    </row>
    <row r="2048" spans="1:8" x14ac:dyDescent="0.25">
      <c r="A2048" s="2">
        <v>44636</v>
      </c>
      <c r="B2048" s="1" t="s">
        <v>49</v>
      </c>
      <c r="C2048">
        <v>6430</v>
      </c>
      <c r="D2048" s="1" t="s">
        <v>188</v>
      </c>
      <c r="E2048" s="1" t="s">
        <v>4</v>
      </c>
      <c r="F2048">
        <v>42</v>
      </c>
      <c r="G2048" s="1" t="str">
        <f>Ocupacao_DW[[#This Row],[data]]&amp;Ocupacao_DW[[#This Row],[profissional_id]]&amp;Ocupacao_DW[[#This Row],[local_id]]</f>
        <v>44636643042</v>
      </c>
      <c r="H2048" s="1">
        <f>_xlfn.XLOOKUP(Ocupacao_DW[[#This Row],[Concat]],Vagas!$H:$H,Vagas!$D:$D,"",0)</f>
        <v>0</v>
      </c>
    </row>
    <row r="2049" spans="1:8" x14ac:dyDescent="0.25">
      <c r="A2049" s="2">
        <v>44638</v>
      </c>
      <c r="B2049" s="1" t="s">
        <v>49</v>
      </c>
      <c r="C2049">
        <v>81</v>
      </c>
      <c r="D2049" s="1" t="s">
        <v>170</v>
      </c>
      <c r="E2049" s="1" t="s">
        <v>4</v>
      </c>
      <c r="F2049">
        <v>41</v>
      </c>
      <c r="G2049" s="1" t="str">
        <f>Ocupacao_DW[[#This Row],[data]]&amp;Ocupacao_DW[[#This Row],[profissional_id]]&amp;Ocupacao_DW[[#This Row],[local_id]]</f>
        <v>446388141</v>
      </c>
      <c r="H2049" s="1">
        <f>_xlfn.XLOOKUP(Ocupacao_DW[[#This Row],[Concat]],Vagas!$H:$H,Vagas!$D:$D,"",0)</f>
        <v>0</v>
      </c>
    </row>
    <row r="2050" spans="1:8" x14ac:dyDescent="0.25">
      <c r="A2050" s="2">
        <v>44644</v>
      </c>
      <c r="B2050" s="1" t="s">
        <v>52</v>
      </c>
      <c r="C2050">
        <v>9217</v>
      </c>
      <c r="D2050" s="1" t="s">
        <v>191</v>
      </c>
      <c r="E2050" s="1" t="s">
        <v>6</v>
      </c>
      <c r="F2050">
        <v>7</v>
      </c>
      <c r="G2050" s="1" t="str">
        <f>Ocupacao_DW[[#This Row],[data]]&amp;Ocupacao_DW[[#This Row],[profissional_id]]&amp;Ocupacao_DW[[#This Row],[local_id]]</f>
        <v>4464492177</v>
      </c>
      <c r="H2050" s="1">
        <f>_xlfn.XLOOKUP(Ocupacao_DW[[#This Row],[Concat]],Vagas!$H:$H,Vagas!$D:$D,"",0)</f>
        <v>0</v>
      </c>
    </row>
    <row r="2051" spans="1:8" x14ac:dyDescent="0.25">
      <c r="A2051" s="2">
        <v>44638</v>
      </c>
      <c r="B2051" s="1" t="s">
        <v>47</v>
      </c>
      <c r="C2051">
        <v>9111</v>
      </c>
      <c r="D2051" s="1" t="s">
        <v>206</v>
      </c>
      <c r="E2051" s="1" t="s">
        <v>4</v>
      </c>
      <c r="F2051">
        <v>51</v>
      </c>
      <c r="G2051" s="1" t="str">
        <f>Ocupacao_DW[[#This Row],[data]]&amp;Ocupacao_DW[[#This Row],[profissional_id]]&amp;Ocupacao_DW[[#This Row],[local_id]]</f>
        <v>44638911151</v>
      </c>
      <c r="H2051" s="1">
        <f>_xlfn.XLOOKUP(Ocupacao_DW[[#This Row],[Concat]],Vagas!$H:$H,Vagas!$D:$D,"",0)</f>
        <v>0</v>
      </c>
    </row>
    <row r="2052" spans="1:8" x14ac:dyDescent="0.25">
      <c r="A2052" s="2">
        <v>44649</v>
      </c>
      <c r="B2052" s="1" t="s">
        <v>54</v>
      </c>
      <c r="C2052">
        <v>69</v>
      </c>
      <c r="D2052" s="1" t="s">
        <v>238</v>
      </c>
      <c r="E2052" s="1" t="s">
        <v>5</v>
      </c>
      <c r="F2052">
        <v>13</v>
      </c>
      <c r="G2052" s="1" t="str">
        <f>Ocupacao_DW[[#This Row],[data]]&amp;Ocupacao_DW[[#This Row],[profissional_id]]&amp;Ocupacao_DW[[#This Row],[local_id]]</f>
        <v>446496913</v>
      </c>
      <c r="H2052" s="1">
        <f>_xlfn.XLOOKUP(Ocupacao_DW[[#This Row],[Concat]],Vagas!$H:$H,Vagas!$D:$D,"",0)</f>
        <v>0</v>
      </c>
    </row>
    <row r="2053" spans="1:8" x14ac:dyDescent="0.25">
      <c r="A2053" s="2">
        <v>44636</v>
      </c>
      <c r="B2053" s="1" t="s">
        <v>66</v>
      </c>
      <c r="C2053">
        <v>1343</v>
      </c>
      <c r="D2053" s="1" t="s">
        <v>263</v>
      </c>
      <c r="E2053" s="1" t="s">
        <v>7</v>
      </c>
      <c r="F2053">
        <v>64</v>
      </c>
      <c r="G2053" s="1" t="str">
        <f>Ocupacao_DW[[#This Row],[data]]&amp;Ocupacao_DW[[#This Row],[profissional_id]]&amp;Ocupacao_DW[[#This Row],[local_id]]</f>
        <v>44636134364</v>
      </c>
      <c r="H2053" s="1">
        <f>_xlfn.XLOOKUP(Ocupacao_DW[[#This Row],[Concat]],Vagas!$H:$H,Vagas!$D:$D,"",0)</f>
        <v>0</v>
      </c>
    </row>
    <row r="2054" spans="1:8" x14ac:dyDescent="0.25">
      <c r="A2054" s="2">
        <v>44638</v>
      </c>
      <c r="B2054" s="1" t="s">
        <v>56</v>
      </c>
      <c r="C2054">
        <v>13660</v>
      </c>
      <c r="D2054" s="1" t="s">
        <v>250</v>
      </c>
      <c r="E2054" s="1" t="s">
        <v>5</v>
      </c>
      <c r="F2054">
        <v>15</v>
      </c>
      <c r="G2054" s="1" t="str">
        <f>Ocupacao_DW[[#This Row],[data]]&amp;Ocupacao_DW[[#This Row],[profissional_id]]&amp;Ocupacao_DW[[#This Row],[local_id]]</f>
        <v>446381366015</v>
      </c>
      <c r="H2054" s="1">
        <f>_xlfn.XLOOKUP(Ocupacao_DW[[#This Row],[Concat]],Vagas!$H:$H,Vagas!$D:$D,"",0)</f>
        <v>0</v>
      </c>
    </row>
    <row r="2055" spans="1:8" x14ac:dyDescent="0.25">
      <c r="A2055" s="2">
        <v>44643</v>
      </c>
      <c r="B2055" s="1" t="s">
        <v>51</v>
      </c>
      <c r="C2055">
        <v>17859</v>
      </c>
      <c r="D2055" s="1" t="s">
        <v>212</v>
      </c>
      <c r="E2055" s="1" t="s">
        <v>6</v>
      </c>
      <c r="F2055">
        <v>7</v>
      </c>
      <c r="G2055" s="1" t="str">
        <f>Ocupacao_DW[[#This Row],[data]]&amp;Ocupacao_DW[[#This Row],[profissional_id]]&amp;Ocupacao_DW[[#This Row],[local_id]]</f>
        <v>44643178597</v>
      </c>
      <c r="H2055" s="1">
        <f>_xlfn.XLOOKUP(Ocupacao_DW[[#This Row],[Concat]],Vagas!$H:$H,Vagas!$D:$D,"",0)</f>
        <v>0</v>
      </c>
    </row>
    <row r="2056" spans="1:8" x14ac:dyDescent="0.25">
      <c r="A2056" s="2">
        <v>44636</v>
      </c>
      <c r="B2056" s="1" t="s">
        <v>70</v>
      </c>
      <c r="C2056">
        <v>12825</v>
      </c>
      <c r="D2056" s="1" t="s">
        <v>177</v>
      </c>
      <c r="E2056" s="1" t="s">
        <v>4</v>
      </c>
      <c r="F2056">
        <v>45</v>
      </c>
      <c r="G2056" s="1" t="str">
        <f>Ocupacao_DW[[#This Row],[data]]&amp;Ocupacao_DW[[#This Row],[profissional_id]]&amp;Ocupacao_DW[[#This Row],[local_id]]</f>
        <v>446361282545</v>
      </c>
      <c r="H2056" s="1">
        <f>_xlfn.XLOOKUP(Ocupacao_DW[[#This Row],[Concat]],Vagas!$H:$H,Vagas!$D:$D,"",0)</f>
        <v>0</v>
      </c>
    </row>
    <row r="2057" spans="1:8" x14ac:dyDescent="0.25">
      <c r="A2057" s="2">
        <v>44636</v>
      </c>
      <c r="B2057" s="1" t="s">
        <v>276</v>
      </c>
      <c r="C2057">
        <v>17937</v>
      </c>
      <c r="D2057" s="1" t="s">
        <v>297</v>
      </c>
      <c r="E2057" s="1" t="s">
        <v>4</v>
      </c>
      <c r="F2057">
        <v>351</v>
      </c>
      <c r="G2057" s="1" t="str">
        <f>Ocupacao_DW[[#This Row],[data]]&amp;Ocupacao_DW[[#This Row],[profissional_id]]&amp;Ocupacao_DW[[#This Row],[local_id]]</f>
        <v>4463617937351</v>
      </c>
      <c r="H2057" s="1">
        <f>_xlfn.XLOOKUP(Ocupacao_DW[[#This Row],[Concat]],Vagas!$H:$H,Vagas!$D:$D,"",0)</f>
        <v>11</v>
      </c>
    </row>
    <row r="2058" spans="1:8" x14ac:dyDescent="0.25">
      <c r="A2058" s="2">
        <v>44638</v>
      </c>
      <c r="B2058" s="1" t="s">
        <v>47</v>
      </c>
      <c r="C2058">
        <v>12684</v>
      </c>
      <c r="D2058" s="1" t="s">
        <v>236</v>
      </c>
      <c r="E2058" s="1" t="s">
        <v>200</v>
      </c>
      <c r="F2058">
        <v>85</v>
      </c>
      <c r="G2058" s="1" t="str">
        <f>Ocupacao_DW[[#This Row],[data]]&amp;Ocupacao_DW[[#This Row],[profissional_id]]&amp;Ocupacao_DW[[#This Row],[local_id]]</f>
        <v>446381268485</v>
      </c>
      <c r="H2058" s="1">
        <f>_xlfn.XLOOKUP(Ocupacao_DW[[#This Row],[Concat]],Vagas!$H:$H,Vagas!$D:$D,"",0)</f>
        <v>0</v>
      </c>
    </row>
    <row r="2059" spans="1:8" x14ac:dyDescent="0.25">
      <c r="A2059" s="2">
        <v>44637</v>
      </c>
      <c r="B2059" s="1" t="s">
        <v>47</v>
      </c>
      <c r="C2059">
        <v>17928</v>
      </c>
      <c r="D2059" s="1" t="s">
        <v>268</v>
      </c>
      <c r="E2059" s="1" t="s">
        <v>4</v>
      </c>
      <c r="F2059">
        <v>51</v>
      </c>
      <c r="G2059" s="1" t="str">
        <f>Ocupacao_DW[[#This Row],[data]]&amp;Ocupacao_DW[[#This Row],[profissional_id]]&amp;Ocupacao_DW[[#This Row],[local_id]]</f>
        <v>446371792851</v>
      </c>
      <c r="H2059" s="1">
        <f>_xlfn.XLOOKUP(Ocupacao_DW[[#This Row],[Concat]],Vagas!$H:$H,Vagas!$D:$D,"",0)</f>
        <v>13</v>
      </c>
    </row>
    <row r="2060" spans="1:8" x14ac:dyDescent="0.25">
      <c r="A2060" s="2">
        <v>44642</v>
      </c>
      <c r="B2060" s="1" t="s">
        <v>47</v>
      </c>
      <c r="C2060">
        <v>110</v>
      </c>
      <c r="D2060" s="1" t="s">
        <v>193</v>
      </c>
      <c r="E2060" s="1" t="s">
        <v>4</v>
      </c>
      <c r="F2060">
        <v>334</v>
      </c>
      <c r="G2060" s="1" t="str">
        <f>Ocupacao_DW[[#This Row],[data]]&amp;Ocupacao_DW[[#This Row],[profissional_id]]&amp;Ocupacao_DW[[#This Row],[local_id]]</f>
        <v>44642110334</v>
      </c>
      <c r="H2060" s="1">
        <f>_xlfn.XLOOKUP(Ocupacao_DW[[#This Row],[Concat]],Vagas!$H:$H,Vagas!$D:$D,"",0)</f>
        <v>0</v>
      </c>
    </row>
    <row r="2061" spans="1:8" x14ac:dyDescent="0.25">
      <c r="A2061" s="2">
        <v>44638</v>
      </c>
      <c r="B2061" s="1" t="s">
        <v>20</v>
      </c>
      <c r="C2061">
        <v>174</v>
      </c>
      <c r="D2061" s="1" t="s">
        <v>230</v>
      </c>
      <c r="E2061" s="1" t="s">
        <v>167</v>
      </c>
      <c r="F2061">
        <v>24</v>
      </c>
      <c r="G2061" s="1" t="str">
        <f>Ocupacao_DW[[#This Row],[data]]&amp;Ocupacao_DW[[#This Row],[profissional_id]]&amp;Ocupacao_DW[[#This Row],[local_id]]</f>
        <v>4463817424</v>
      </c>
      <c r="H2061" s="1">
        <f>_xlfn.XLOOKUP(Ocupacao_DW[[#This Row],[Concat]],Vagas!$H:$H,Vagas!$D:$D,"",0)</f>
        <v>80</v>
      </c>
    </row>
    <row r="2062" spans="1:8" x14ac:dyDescent="0.25">
      <c r="A2062" s="2">
        <v>44644</v>
      </c>
      <c r="B2062" s="1" t="s">
        <v>47</v>
      </c>
      <c r="C2062">
        <v>9111</v>
      </c>
      <c r="D2062" s="1" t="s">
        <v>206</v>
      </c>
      <c r="E2062" s="1" t="s">
        <v>4</v>
      </c>
      <c r="F2062">
        <v>334</v>
      </c>
      <c r="G2062" s="1" t="str">
        <f>Ocupacao_DW[[#This Row],[data]]&amp;Ocupacao_DW[[#This Row],[profissional_id]]&amp;Ocupacao_DW[[#This Row],[local_id]]</f>
        <v>446449111334</v>
      </c>
      <c r="H2062" s="1">
        <f>_xlfn.XLOOKUP(Ocupacao_DW[[#This Row],[Concat]],Vagas!$H:$H,Vagas!$D:$D,"",0)</f>
        <v>0</v>
      </c>
    </row>
    <row r="2063" spans="1:8" x14ac:dyDescent="0.25">
      <c r="A2063" s="2">
        <v>44636</v>
      </c>
      <c r="B2063" s="1" t="s">
        <v>62</v>
      </c>
      <c r="C2063">
        <v>3502</v>
      </c>
      <c r="D2063" s="1" t="s">
        <v>214</v>
      </c>
      <c r="E2063" s="1" t="s">
        <v>5</v>
      </c>
      <c r="F2063">
        <v>16</v>
      </c>
      <c r="G2063" s="1" t="str">
        <f>Ocupacao_DW[[#This Row],[data]]&amp;Ocupacao_DW[[#This Row],[profissional_id]]&amp;Ocupacao_DW[[#This Row],[local_id]]</f>
        <v>44636350216</v>
      </c>
      <c r="H2063" s="1">
        <f>_xlfn.XLOOKUP(Ocupacao_DW[[#This Row],[Concat]],Vagas!$H:$H,Vagas!$D:$D,"",0)</f>
        <v>0</v>
      </c>
    </row>
    <row r="2064" spans="1:8" x14ac:dyDescent="0.25">
      <c r="A2064" s="2">
        <v>44642</v>
      </c>
      <c r="B2064" s="1" t="s">
        <v>54</v>
      </c>
      <c r="C2064">
        <v>10941</v>
      </c>
      <c r="D2064" s="1" t="s">
        <v>224</v>
      </c>
      <c r="E2064" s="1" t="s">
        <v>200</v>
      </c>
      <c r="F2064">
        <v>83</v>
      </c>
      <c r="G2064" s="1" t="str">
        <f>Ocupacao_DW[[#This Row],[data]]&amp;Ocupacao_DW[[#This Row],[profissional_id]]&amp;Ocupacao_DW[[#This Row],[local_id]]</f>
        <v>446421094183</v>
      </c>
      <c r="H2064" s="1">
        <f>_xlfn.XLOOKUP(Ocupacao_DW[[#This Row],[Concat]],Vagas!$H:$H,Vagas!$D:$D,"",0)</f>
        <v>0</v>
      </c>
    </row>
    <row r="2065" spans="1:8" x14ac:dyDescent="0.25">
      <c r="A2065" s="2">
        <v>44642</v>
      </c>
      <c r="B2065" s="1" t="s">
        <v>47</v>
      </c>
      <c r="C2065">
        <v>9111</v>
      </c>
      <c r="D2065" s="1" t="s">
        <v>206</v>
      </c>
      <c r="E2065" s="1" t="s">
        <v>4</v>
      </c>
      <c r="F2065">
        <v>335</v>
      </c>
      <c r="G2065" s="1" t="str">
        <f>Ocupacao_DW[[#This Row],[data]]&amp;Ocupacao_DW[[#This Row],[profissional_id]]&amp;Ocupacao_DW[[#This Row],[local_id]]</f>
        <v>446429111335</v>
      </c>
      <c r="H2065" s="1">
        <f>_xlfn.XLOOKUP(Ocupacao_DW[[#This Row],[Concat]],Vagas!$H:$H,Vagas!$D:$D,"",0)</f>
        <v>0</v>
      </c>
    </row>
    <row r="2066" spans="1:8" x14ac:dyDescent="0.25">
      <c r="A2066" s="2">
        <v>44650</v>
      </c>
      <c r="B2066" s="1" t="s">
        <v>52</v>
      </c>
      <c r="C2066">
        <v>57</v>
      </c>
      <c r="D2066" s="1" t="s">
        <v>169</v>
      </c>
      <c r="E2066" s="1" t="s">
        <v>6</v>
      </c>
      <c r="F2066">
        <v>4</v>
      </c>
      <c r="G2066" s="1" t="str">
        <f>Ocupacao_DW[[#This Row],[data]]&amp;Ocupacao_DW[[#This Row],[profissional_id]]&amp;Ocupacao_DW[[#This Row],[local_id]]</f>
        <v>44650574</v>
      </c>
      <c r="H2066" s="1">
        <f>_xlfn.XLOOKUP(Ocupacao_DW[[#This Row],[Concat]],Vagas!$H:$H,Vagas!$D:$D,"",0)</f>
        <v>0</v>
      </c>
    </row>
    <row r="2067" spans="1:8" x14ac:dyDescent="0.25">
      <c r="A2067" s="2">
        <v>44644</v>
      </c>
      <c r="B2067" s="1" t="s">
        <v>52</v>
      </c>
      <c r="C2067">
        <v>9217</v>
      </c>
      <c r="D2067" s="1" t="s">
        <v>191</v>
      </c>
      <c r="E2067" s="1" t="s">
        <v>6</v>
      </c>
      <c r="F2067">
        <v>7</v>
      </c>
      <c r="G2067" s="1" t="str">
        <f>Ocupacao_DW[[#This Row],[data]]&amp;Ocupacao_DW[[#This Row],[profissional_id]]&amp;Ocupacao_DW[[#This Row],[local_id]]</f>
        <v>4464492177</v>
      </c>
      <c r="H2067" s="1">
        <f>_xlfn.XLOOKUP(Ocupacao_DW[[#This Row],[Concat]],Vagas!$H:$H,Vagas!$D:$D,"",0)</f>
        <v>0</v>
      </c>
    </row>
    <row r="2068" spans="1:8" x14ac:dyDescent="0.25">
      <c r="A2068" s="2">
        <v>44644</v>
      </c>
      <c r="B2068" s="1" t="s">
        <v>51</v>
      </c>
      <c r="C2068">
        <v>12582</v>
      </c>
      <c r="D2068" s="1" t="s">
        <v>190</v>
      </c>
      <c r="E2068" s="1" t="s">
        <v>5</v>
      </c>
      <c r="F2068">
        <v>15</v>
      </c>
      <c r="G2068" s="1" t="str">
        <f>Ocupacao_DW[[#This Row],[data]]&amp;Ocupacao_DW[[#This Row],[profissional_id]]&amp;Ocupacao_DW[[#This Row],[local_id]]</f>
        <v>446441258215</v>
      </c>
      <c r="H2068" s="1">
        <f>_xlfn.XLOOKUP(Ocupacao_DW[[#This Row],[Concat]],Vagas!$H:$H,Vagas!$D:$D,"",0)</f>
        <v>0</v>
      </c>
    </row>
    <row r="2069" spans="1:8" x14ac:dyDescent="0.25">
      <c r="A2069" s="2">
        <v>44636</v>
      </c>
      <c r="B2069" s="1" t="s">
        <v>49</v>
      </c>
      <c r="C2069">
        <v>17918</v>
      </c>
      <c r="D2069" s="1" t="s">
        <v>265</v>
      </c>
      <c r="E2069" s="1" t="s">
        <v>4</v>
      </c>
      <c r="F2069">
        <v>42</v>
      </c>
      <c r="G2069" s="1" t="str">
        <f>Ocupacao_DW[[#This Row],[data]]&amp;Ocupacao_DW[[#This Row],[profissional_id]]&amp;Ocupacao_DW[[#This Row],[local_id]]</f>
        <v>446361791842</v>
      </c>
      <c r="H2069" s="1">
        <f>_xlfn.XLOOKUP(Ocupacao_DW[[#This Row],[Concat]],Vagas!$H:$H,Vagas!$D:$D,"",0)</f>
        <v>0</v>
      </c>
    </row>
    <row r="2070" spans="1:8" x14ac:dyDescent="0.25">
      <c r="A2070" s="2">
        <v>44643</v>
      </c>
      <c r="B2070" s="1" t="s">
        <v>62</v>
      </c>
      <c r="C2070">
        <v>2567</v>
      </c>
      <c r="D2070" s="1" t="s">
        <v>198</v>
      </c>
      <c r="E2070" s="1" t="s">
        <v>5</v>
      </c>
      <c r="F2070">
        <v>349</v>
      </c>
      <c r="G2070" s="1" t="str">
        <f>Ocupacao_DW[[#This Row],[data]]&amp;Ocupacao_DW[[#This Row],[profissional_id]]&amp;Ocupacao_DW[[#This Row],[local_id]]</f>
        <v>446432567349</v>
      </c>
      <c r="H2070" s="1">
        <f>_xlfn.XLOOKUP(Ocupacao_DW[[#This Row],[Concat]],Vagas!$H:$H,Vagas!$D:$D,"",0)</f>
        <v>0</v>
      </c>
    </row>
    <row r="2071" spans="1:8" x14ac:dyDescent="0.25">
      <c r="A2071" s="2">
        <v>44642</v>
      </c>
      <c r="B2071" s="1" t="s">
        <v>47</v>
      </c>
      <c r="C2071">
        <v>110</v>
      </c>
      <c r="D2071" s="1" t="s">
        <v>193</v>
      </c>
      <c r="E2071" s="1" t="s">
        <v>4</v>
      </c>
      <c r="F2071">
        <v>334</v>
      </c>
      <c r="G2071" s="1" t="str">
        <f>Ocupacao_DW[[#This Row],[data]]&amp;Ocupacao_DW[[#This Row],[profissional_id]]&amp;Ocupacao_DW[[#This Row],[local_id]]</f>
        <v>44642110334</v>
      </c>
      <c r="H2071" s="1">
        <f>_xlfn.XLOOKUP(Ocupacao_DW[[#This Row],[Concat]],Vagas!$H:$H,Vagas!$D:$D,"",0)</f>
        <v>0</v>
      </c>
    </row>
    <row r="2072" spans="1:8" x14ac:dyDescent="0.25">
      <c r="A2072" s="2">
        <v>44651</v>
      </c>
      <c r="B2072" s="1" t="s">
        <v>55</v>
      </c>
      <c r="C2072">
        <v>12426</v>
      </c>
      <c r="D2072" s="1" t="s">
        <v>215</v>
      </c>
      <c r="E2072" s="1" t="s">
        <v>6</v>
      </c>
      <c r="F2072">
        <v>5</v>
      </c>
      <c r="G2072" s="1" t="str">
        <f>Ocupacao_DW[[#This Row],[data]]&amp;Ocupacao_DW[[#This Row],[profissional_id]]&amp;Ocupacao_DW[[#This Row],[local_id]]</f>
        <v>44651124265</v>
      </c>
      <c r="H2072" s="1">
        <f>_xlfn.XLOOKUP(Ocupacao_DW[[#This Row],[Concat]],Vagas!$H:$H,Vagas!$D:$D,"",0)</f>
        <v>0</v>
      </c>
    </row>
    <row r="2073" spans="1:8" x14ac:dyDescent="0.25">
      <c r="A2073" s="2">
        <v>44641</v>
      </c>
      <c r="B2073" s="1" t="s">
        <v>56</v>
      </c>
      <c r="C2073">
        <v>75</v>
      </c>
      <c r="D2073" s="1" t="s">
        <v>208</v>
      </c>
      <c r="E2073" s="1" t="s">
        <v>5</v>
      </c>
      <c r="F2073">
        <v>15</v>
      </c>
      <c r="G2073" s="1" t="str">
        <f>Ocupacao_DW[[#This Row],[data]]&amp;Ocupacao_DW[[#This Row],[profissional_id]]&amp;Ocupacao_DW[[#This Row],[local_id]]</f>
        <v>446417515</v>
      </c>
      <c r="H2073" s="1">
        <f>_xlfn.XLOOKUP(Ocupacao_DW[[#This Row],[Concat]],Vagas!$H:$H,Vagas!$D:$D,"",0)</f>
        <v>0</v>
      </c>
    </row>
    <row r="2074" spans="1:8" x14ac:dyDescent="0.25">
      <c r="A2074" s="2">
        <v>44636</v>
      </c>
      <c r="B2074" s="1" t="s">
        <v>43</v>
      </c>
      <c r="C2074">
        <v>57</v>
      </c>
      <c r="D2074" s="1" t="s">
        <v>169</v>
      </c>
      <c r="E2074" s="1" t="s">
        <v>6</v>
      </c>
      <c r="F2074">
        <v>2</v>
      </c>
      <c r="G2074" s="1" t="str">
        <f>Ocupacao_DW[[#This Row],[data]]&amp;Ocupacao_DW[[#This Row],[profissional_id]]&amp;Ocupacao_DW[[#This Row],[local_id]]</f>
        <v>44636572</v>
      </c>
      <c r="H2074" s="1">
        <f>_xlfn.XLOOKUP(Ocupacao_DW[[#This Row],[Concat]],Vagas!$H:$H,Vagas!$D:$D,"",0)</f>
        <v>2</v>
      </c>
    </row>
    <row r="2075" spans="1:8" x14ac:dyDescent="0.25">
      <c r="A2075" s="2">
        <v>44639</v>
      </c>
      <c r="B2075" s="1" t="s">
        <v>49</v>
      </c>
      <c r="C2075">
        <v>13756</v>
      </c>
      <c r="D2075" s="1" t="s">
        <v>202</v>
      </c>
      <c r="E2075" s="1" t="s">
        <v>4</v>
      </c>
      <c r="F2075">
        <v>43</v>
      </c>
      <c r="G2075" s="1" t="str">
        <f>Ocupacao_DW[[#This Row],[data]]&amp;Ocupacao_DW[[#This Row],[profissional_id]]&amp;Ocupacao_DW[[#This Row],[local_id]]</f>
        <v>446391375643</v>
      </c>
      <c r="H2075" s="1">
        <f>_xlfn.XLOOKUP(Ocupacao_DW[[#This Row],[Concat]],Vagas!$H:$H,Vagas!$D:$D,"",0)</f>
        <v>0</v>
      </c>
    </row>
    <row r="2076" spans="1:8" x14ac:dyDescent="0.25">
      <c r="A2076" s="2">
        <v>44641</v>
      </c>
      <c r="B2076" s="1" t="s">
        <v>54</v>
      </c>
      <c r="C2076">
        <v>70</v>
      </c>
      <c r="D2076" s="1" t="s">
        <v>187</v>
      </c>
      <c r="E2076" s="1" t="s">
        <v>5</v>
      </c>
      <c r="F2076">
        <v>13</v>
      </c>
      <c r="G2076" s="1" t="str">
        <f>Ocupacao_DW[[#This Row],[data]]&amp;Ocupacao_DW[[#This Row],[profissional_id]]&amp;Ocupacao_DW[[#This Row],[local_id]]</f>
        <v>446417013</v>
      </c>
      <c r="H2076" s="1">
        <f>_xlfn.XLOOKUP(Ocupacao_DW[[#This Row],[Concat]],Vagas!$H:$H,Vagas!$D:$D,"",0)</f>
        <v>0</v>
      </c>
    </row>
    <row r="2077" spans="1:8" x14ac:dyDescent="0.25">
      <c r="A2077" s="2">
        <v>44642</v>
      </c>
      <c r="B2077" s="1" t="s">
        <v>65</v>
      </c>
      <c r="C2077">
        <v>11237</v>
      </c>
      <c r="D2077" s="1" t="s">
        <v>229</v>
      </c>
      <c r="E2077" s="1" t="s">
        <v>4</v>
      </c>
      <c r="F2077">
        <v>46</v>
      </c>
      <c r="G2077" s="1" t="str">
        <f>Ocupacao_DW[[#This Row],[data]]&amp;Ocupacao_DW[[#This Row],[profissional_id]]&amp;Ocupacao_DW[[#This Row],[local_id]]</f>
        <v>446421123746</v>
      </c>
      <c r="H2077" s="1">
        <f>_xlfn.XLOOKUP(Ocupacao_DW[[#This Row],[Concat]],Vagas!$H:$H,Vagas!$D:$D,"",0)</f>
        <v>0</v>
      </c>
    </row>
    <row r="2078" spans="1:8" x14ac:dyDescent="0.25">
      <c r="A2078" s="2">
        <v>44635</v>
      </c>
      <c r="B2078" s="1" t="s">
        <v>56</v>
      </c>
      <c r="C2078">
        <v>1586</v>
      </c>
      <c r="D2078" s="1" t="s">
        <v>261</v>
      </c>
      <c r="E2078" s="1" t="s">
        <v>7</v>
      </c>
      <c r="F2078">
        <v>67</v>
      </c>
      <c r="G2078" s="1" t="str">
        <f>Ocupacao_DW[[#This Row],[data]]&amp;Ocupacao_DW[[#This Row],[profissional_id]]&amp;Ocupacao_DW[[#This Row],[local_id]]</f>
        <v>44635158667</v>
      </c>
      <c r="H2078" s="1">
        <f>_xlfn.XLOOKUP(Ocupacao_DW[[#This Row],[Concat]],Vagas!$H:$H,Vagas!$D:$D,"",0)</f>
        <v>0</v>
      </c>
    </row>
    <row r="2079" spans="1:8" x14ac:dyDescent="0.25">
      <c r="A2079" s="2">
        <v>44642</v>
      </c>
      <c r="B2079" s="1" t="s">
        <v>47</v>
      </c>
      <c r="C2079">
        <v>110</v>
      </c>
      <c r="D2079" s="1" t="s">
        <v>193</v>
      </c>
      <c r="E2079" s="1" t="s">
        <v>4</v>
      </c>
      <c r="F2079">
        <v>334</v>
      </c>
      <c r="G2079" s="1" t="str">
        <f>Ocupacao_DW[[#This Row],[data]]&amp;Ocupacao_DW[[#This Row],[profissional_id]]&amp;Ocupacao_DW[[#This Row],[local_id]]</f>
        <v>44642110334</v>
      </c>
      <c r="H2079" s="1">
        <f>_xlfn.XLOOKUP(Ocupacao_DW[[#This Row],[Concat]],Vagas!$H:$H,Vagas!$D:$D,"",0)</f>
        <v>0</v>
      </c>
    </row>
    <row r="2080" spans="1:8" x14ac:dyDescent="0.25">
      <c r="A2080" s="2">
        <v>44635</v>
      </c>
      <c r="B2080" s="1" t="s">
        <v>69</v>
      </c>
      <c r="C2080">
        <v>13249</v>
      </c>
      <c r="D2080" s="1" t="s">
        <v>178</v>
      </c>
      <c r="E2080" s="1" t="s">
        <v>4</v>
      </c>
      <c r="F2080">
        <v>45</v>
      </c>
      <c r="G2080" s="1" t="str">
        <f>Ocupacao_DW[[#This Row],[data]]&amp;Ocupacao_DW[[#This Row],[profissional_id]]&amp;Ocupacao_DW[[#This Row],[local_id]]</f>
        <v>446351324945</v>
      </c>
      <c r="H2080" s="1">
        <f>_xlfn.XLOOKUP(Ocupacao_DW[[#This Row],[Concat]],Vagas!$H:$H,Vagas!$D:$D,"",0)</f>
        <v>0</v>
      </c>
    </row>
    <row r="2081" spans="1:8" x14ac:dyDescent="0.25">
      <c r="A2081" s="2">
        <v>44641</v>
      </c>
      <c r="B2081" s="1" t="s">
        <v>64</v>
      </c>
      <c r="C2081">
        <v>86</v>
      </c>
      <c r="D2081" s="1" t="s">
        <v>175</v>
      </c>
      <c r="E2081" s="1" t="s">
        <v>5</v>
      </c>
      <c r="F2081">
        <v>349</v>
      </c>
      <c r="G2081" s="1" t="str">
        <f>Ocupacao_DW[[#This Row],[data]]&amp;Ocupacao_DW[[#This Row],[profissional_id]]&amp;Ocupacao_DW[[#This Row],[local_id]]</f>
        <v>4464186349</v>
      </c>
      <c r="H2081" s="1">
        <f>_xlfn.XLOOKUP(Ocupacao_DW[[#This Row],[Concat]],Vagas!$H:$H,Vagas!$D:$D,"",0)</f>
        <v>0</v>
      </c>
    </row>
    <row r="2082" spans="1:8" x14ac:dyDescent="0.25">
      <c r="A2082" s="2">
        <v>44643</v>
      </c>
      <c r="B2082" s="1" t="s">
        <v>72</v>
      </c>
      <c r="C2082">
        <v>1794</v>
      </c>
      <c r="D2082" s="1" t="s">
        <v>235</v>
      </c>
      <c r="E2082" s="1" t="s">
        <v>4</v>
      </c>
      <c r="F2082">
        <v>49</v>
      </c>
      <c r="G2082" s="1" t="str">
        <f>Ocupacao_DW[[#This Row],[data]]&amp;Ocupacao_DW[[#This Row],[profissional_id]]&amp;Ocupacao_DW[[#This Row],[local_id]]</f>
        <v>44643179449</v>
      </c>
      <c r="H2082" s="1">
        <f>_xlfn.XLOOKUP(Ocupacao_DW[[#This Row],[Concat]],Vagas!$H:$H,Vagas!$D:$D,"",0)</f>
        <v>0</v>
      </c>
    </row>
    <row r="2083" spans="1:8" x14ac:dyDescent="0.25">
      <c r="A2083" s="2">
        <v>44641</v>
      </c>
      <c r="B2083" s="1" t="s">
        <v>64</v>
      </c>
      <c r="C2083">
        <v>86</v>
      </c>
      <c r="D2083" s="1" t="s">
        <v>175</v>
      </c>
      <c r="E2083" s="1" t="s">
        <v>5</v>
      </c>
      <c r="F2083">
        <v>349</v>
      </c>
      <c r="G2083" s="1" t="str">
        <f>Ocupacao_DW[[#This Row],[data]]&amp;Ocupacao_DW[[#This Row],[profissional_id]]&amp;Ocupacao_DW[[#This Row],[local_id]]</f>
        <v>4464186349</v>
      </c>
      <c r="H2083" s="1">
        <f>_xlfn.XLOOKUP(Ocupacao_DW[[#This Row],[Concat]],Vagas!$H:$H,Vagas!$D:$D,"",0)</f>
        <v>0</v>
      </c>
    </row>
    <row r="2084" spans="1:8" x14ac:dyDescent="0.25">
      <c r="A2084" s="2">
        <v>44637</v>
      </c>
      <c r="B2084" s="1" t="s">
        <v>57</v>
      </c>
      <c r="C2084">
        <v>80</v>
      </c>
      <c r="D2084" s="1" t="s">
        <v>179</v>
      </c>
      <c r="E2084" s="1" t="s">
        <v>167</v>
      </c>
      <c r="F2084">
        <v>348</v>
      </c>
      <c r="G2084" s="1" t="str">
        <f>Ocupacao_DW[[#This Row],[data]]&amp;Ocupacao_DW[[#This Row],[profissional_id]]&amp;Ocupacao_DW[[#This Row],[local_id]]</f>
        <v>4463780348</v>
      </c>
      <c r="H2084" s="1">
        <f>_xlfn.XLOOKUP(Ocupacao_DW[[#This Row],[Concat]],Vagas!$H:$H,Vagas!$D:$D,"",0)</f>
        <v>0</v>
      </c>
    </row>
    <row r="2085" spans="1:8" x14ac:dyDescent="0.25">
      <c r="A2085" s="2">
        <v>44641</v>
      </c>
      <c r="B2085" s="1" t="s">
        <v>49</v>
      </c>
      <c r="C2085">
        <v>6430</v>
      </c>
      <c r="D2085" s="1" t="s">
        <v>188</v>
      </c>
      <c r="E2085" s="1" t="s">
        <v>200</v>
      </c>
      <c r="F2085">
        <v>86</v>
      </c>
      <c r="G2085" s="1" t="str">
        <f>Ocupacao_DW[[#This Row],[data]]&amp;Ocupacao_DW[[#This Row],[profissional_id]]&amp;Ocupacao_DW[[#This Row],[local_id]]</f>
        <v>44641643086</v>
      </c>
      <c r="H2085" s="1">
        <f>_xlfn.XLOOKUP(Ocupacao_DW[[#This Row],[Concat]],Vagas!$H:$H,Vagas!$D:$D,"",0)</f>
        <v>0</v>
      </c>
    </row>
    <row r="2086" spans="1:8" x14ac:dyDescent="0.25">
      <c r="A2086" s="2">
        <v>44643</v>
      </c>
      <c r="B2086" s="1" t="s">
        <v>64</v>
      </c>
      <c r="C2086">
        <v>531</v>
      </c>
      <c r="D2086" s="1" t="s">
        <v>213</v>
      </c>
      <c r="E2086" s="1" t="s">
        <v>5</v>
      </c>
      <c r="F2086">
        <v>12</v>
      </c>
      <c r="G2086" s="1" t="str">
        <f>Ocupacao_DW[[#This Row],[data]]&amp;Ocupacao_DW[[#This Row],[profissional_id]]&amp;Ocupacao_DW[[#This Row],[local_id]]</f>
        <v>4464353112</v>
      </c>
      <c r="H2086" s="1">
        <f>_xlfn.XLOOKUP(Ocupacao_DW[[#This Row],[Concat]],Vagas!$H:$H,Vagas!$D:$D,"",0)</f>
        <v>0</v>
      </c>
    </row>
    <row r="2087" spans="1:8" x14ac:dyDescent="0.25">
      <c r="A2087" s="2">
        <v>44637</v>
      </c>
      <c r="B2087" s="1" t="s">
        <v>59</v>
      </c>
      <c r="C2087">
        <v>10249</v>
      </c>
      <c r="D2087" s="1" t="s">
        <v>231</v>
      </c>
      <c r="E2087" s="1" t="s">
        <v>4</v>
      </c>
      <c r="F2087">
        <v>44</v>
      </c>
      <c r="G2087" s="1" t="str">
        <f>Ocupacao_DW[[#This Row],[data]]&amp;Ocupacao_DW[[#This Row],[profissional_id]]&amp;Ocupacao_DW[[#This Row],[local_id]]</f>
        <v>446371024944</v>
      </c>
      <c r="H2087" s="1">
        <f>_xlfn.XLOOKUP(Ocupacao_DW[[#This Row],[Concat]],Vagas!$H:$H,Vagas!$D:$D,"",0)</f>
        <v>0</v>
      </c>
    </row>
    <row r="2088" spans="1:8" x14ac:dyDescent="0.25">
      <c r="A2088" s="2">
        <v>44649</v>
      </c>
      <c r="B2088" s="1" t="s">
        <v>49</v>
      </c>
      <c r="C2088">
        <v>17918</v>
      </c>
      <c r="D2088" s="1" t="s">
        <v>265</v>
      </c>
      <c r="E2088" s="1" t="s">
        <v>288</v>
      </c>
      <c r="F2088">
        <v>378</v>
      </c>
      <c r="G2088" s="1" t="str">
        <f>Ocupacao_DW[[#This Row],[data]]&amp;Ocupacao_DW[[#This Row],[profissional_id]]&amp;Ocupacao_DW[[#This Row],[local_id]]</f>
        <v>4464917918378</v>
      </c>
      <c r="H2088" s="1">
        <f>_xlfn.XLOOKUP(Ocupacao_DW[[#This Row],[Concat]],Vagas!$H:$H,Vagas!$D:$D,"",0)</f>
        <v>0</v>
      </c>
    </row>
    <row r="2089" spans="1:8" x14ac:dyDescent="0.25">
      <c r="A2089" s="2">
        <v>44636</v>
      </c>
      <c r="B2089" s="1" t="s">
        <v>40</v>
      </c>
      <c r="C2089">
        <v>54</v>
      </c>
      <c r="D2089" s="1" t="s">
        <v>216</v>
      </c>
      <c r="E2089" s="1" t="s">
        <v>4</v>
      </c>
      <c r="F2089">
        <v>50</v>
      </c>
      <c r="G2089" s="1" t="str">
        <f>Ocupacao_DW[[#This Row],[data]]&amp;Ocupacao_DW[[#This Row],[profissional_id]]&amp;Ocupacao_DW[[#This Row],[local_id]]</f>
        <v>446365450</v>
      </c>
      <c r="H2089" s="1">
        <f>_xlfn.XLOOKUP(Ocupacao_DW[[#This Row],[Concat]],Vagas!$H:$H,Vagas!$D:$D,"",0)</f>
        <v>8</v>
      </c>
    </row>
    <row r="2090" spans="1:8" x14ac:dyDescent="0.25">
      <c r="A2090" s="2">
        <v>44643</v>
      </c>
      <c r="B2090" s="1" t="s">
        <v>57</v>
      </c>
      <c r="C2090">
        <v>80</v>
      </c>
      <c r="D2090" s="1" t="s">
        <v>179</v>
      </c>
      <c r="E2090" s="1" t="s">
        <v>167</v>
      </c>
      <c r="F2090">
        <v>346</v>
      </c>
      <c r="G2090" s="1" t="str">
        <f>Ocupacao_DW[[#This Row],[data]]&amp;Ocupacao_DW[[#This Row],[profissional_id]]&amp;Ocupacao_DW[[#This Row],[local_id]]</f>
        <v>4464380346</v>
      </c>
      <c r="H2090" s="1">
        <f>_xlfn.XLOOKUP(Ocupacao_DW[[#This Row],[Concat]],Vagas!$H:$H,Vagas!$D:$D,"",0)</f>
        <v>0</v>
      </c>
    </row>
    <row r="2091" spans="1:8" x14ac:dyDescent="0.25">
      <c r="A2091" s="2">
        <v>44644</v>
      </c>
      <c r="B2091" s="1" t="s">
        <v>52</v>
      </c>
      <c r="C2091">
        <v>60</v>
      </c>
      <c r="D2091" s="1" t="s">
        <v>217</v>
      </c>
      <c r="E2091" s="1" t="s">
        <v>167</v>
      </c>
      <c r="F2091">
        <v>346</v>
      </c>
      <c r="G2091" s="1" t="str">
        <f>Ocupacao_DW[[#This Row],[data]]&amp;Ocupacao_DW[[#This Row],[profissional_id]]&amp;Ocupacao_DW[[#This Row],[local_id]]</f>
        <v>4464460346</v>
      </c>
      <c r="H2091" s="1">
        <f>_xlfn.XLOOKUP(Ocupacao_DW[[#This Row],[Concat]],Vagas!$H:$H,Vagas!$D:$D,"",0)</f>
        <v>0</v>
      </c>
    </row>
    <row r="2092" spans="1:8" x14ac:dyDescent="0.25">
      <c r="A2092" s="2">
        <v>44645</v>
      </c>
      <c r="B2092" s="1" t="s">
        <v>59</v>
      </c>
      <c r="C2092">
        <v>10249</v>
      </c>
      <c r="D2092" s="1" t="s">
        <v>231</v>
      </c>
      <c r="E2092" s="1" t="s">
        <v>4</v>
      </c>
      <c r="F2092">
        <v>43</v>
      </c>
      <c r="G2092" s="1" t="str">
        <f>Ocupacao_DW[[#This Row],[data]]&amp;Ocupacao_DW[[#This Row],[profissional_id]]&amp;Ocupacao_DW[[#This Row],[local_id]]</f>
        <v>446451024943</v>
      </c>
      <c r="H2092" s="1">
        <f>_xlfn.XLOOKUP(Ocupacao_DW[[#This Row],[Concat]],Vagas!$H:$H,Vagas!$D:$D,"",0)</f>
        <v>0</v>
      </c>
    </row>
    <row r="2093" spans="1:8" x14ac:dyDescent="0.25">
      <c r="A2093" s="2">
        <v>44643</v>
      </c>
      <c r="B2093" s="1" t="s">
        <v>52</v>
      </c>
      <c r="C2093">
        <v>60</v>
      </c>
      <c r="D2093" s="1" t="s">
        <v>217</v>
      </c>
      <c r="E2093" s="1" t="s">
        <v>167</v>
      </c>
      <c r="F2093">
        <v>346</v>
      </c>
      <c r="G2093" s="1" t="str">
        <f>Ocupacao_DW[[#This Row],[data]]&amp;Ocupacao_DW[[#This Row],[profissional_id]]&amp;Ocupacao_DW[[#This Row],[local_id]]</f>
        <v>4464360346</v>
      </c>
      <c r="H2093" s="1">
        <f>_xlfn.XLOOKUP(Ocupacao_DW[[#This Row],[Concat]],Vagas!$H:$H,Vagas!$D:$D,"",0)</f>
        <v>0</v>
      </c>
    </row>
    <row r="2094" spans="1:8" x14ac:dyDescent="0.25">
      <c r="A2094" s="2">
        <v>44637</v>
      </c>
      <c r="B2094" s="1" t="s">
        <v>62</v>
      </c>
      <c r="C2094">
        <v>2567</v>
      </c>
      <c r="D2094" s="1" t="s">
        <v>198</v>
      </c>
      <c r="E2094" s="1" t="s">
        <v>5</v>
      </c>
      <c r="F2094">
        <v>18</v>
      </c>
      <c r="G2094" s="1" t="str">
        <f>Ocupacao_DW[[#This Row],[data]]&amp;Ocupacao_DW[[#This Row],[profissional_id]]&amp;Ocupacao_DW[[#This Row],[local_id]]</f>
        <v>44637256718</v>
      </c>
      <c r="H2094" s="1">
        <f>_xlfn.XLOOKUP(Ocupacao_DW[[#This Row],[Concat]],Vagas!$H:$H,Vagas!$D:$D,"",0)</f>
        <v>0</v>
      </c>
    </row>
    <row r="2095" spans="1:8" x14ac:dyDescent="0.25">
      <c r="A2095" s="2">
        <v>44644</v>
      </c>
      <c r="B2095" s="1" t="s">
        <v>71</v>
      </c>
      <c r="C2095">
        <v>76</v>
      </c>
      <c r="D2095" s="1" t="s">
        <v>227</v>
      </c>
      <c r="E2095" s="1" t="s">
        <v>4</v>
      </c>
      <c r="F2095">
        <v>48</v>
      </c>
      <c r="G2095" s="1" t="str">
        <f>Ocupacao_DW[[#This Row],[data]]&amp;Ocupacao_DW[[#This Row],[profissional_id]]&amp;Ocupacao_DW[[#This Row],[local_id]]</f>
        <v>446447648</v>
      </c>
      <c r="H2095" s="1">
        <f>_xlfn.XLOOKUP(Ocupacao_DW[[#This Row],[Concat]],Vagas!$H:$H,Vagas!$D:$D,"",0)</f>
        <v>0</v>
      </c>
    </row>
    <row r="2096" spans="1:8" x14ac:dyDescent="0.25">
      <c r="A2096" s="2">
        <v>44642</v>
      </c>
      <c r="B2096" s="1" t="s">
        <v>54</v>
      </c>
      <c r="C2096">
        <v>69</v>
      </c>
      <c r="D2096" s="1" t="s">
        <v>238</v>
      </c>
      <c r="E2096" s="1" t="s">
        <v>5</v>
      </c>
      <c r="F2096">
        <v>13</v>
      </c>
      <c r="G2096" s="1" t="str">
        <f>Ocupacao_DW[[#This Row],[data]]&amp;Ocupacao_DW[[#This Row],[profissional_id]]&amp;Ocupacao_DW[[#This Row],[local_id]]</f>
        <v>446426913</v>
      </c>
      <c r="H2096" s="1">
        <f>_xlfn.XLOOKUP(Ocupacao_DW[[#This Row],[Concat]],Vagas!$H:$H,Vagas!$D:$D,"",0)</f>
        <v>0</v>
      </c>
    </row>
    <row r="2097" spans="1:8" x14ac:dyDescent="0.25">
      <c r="A2097" s="2">
        <v>44641</v>
      </c>
      <c r="B2097" s="1" t="s">
        <v>52</v>
      </c>
      <c r="C2097">
        <v>10595</v>
      </c>
      <c r="D2097" s="1" t="s">
        <v>218</v>
      </c>
      <c r="E2097" s="1" t="s">
        <v>200</v>
      </c>
      <c r="F2097">
        <v>78</v>
      </c>
      <c r="G2097" s="1" t="str">
        <f>Ocupacao_DW[[#This Row],[data]]&amp;Ocupacao_DW[[#This Row],[profissional_id]]&amp;Ocupacao_DW[[#This Row],[local_id]]</f>
        <v>446411059578</v>
      </c>
      <c r="H2097" s="1">
        <f>_xlfn.XLOOKUP(Ocupacao_DW[[#This Row],[Concat]],Vagas!$H:$H,Vagas!$D:$D,"",0)</f>
        <v>0</v>
      </c>
    </row>
    <row r="2098" spans="1:8" x14ac:dyDescent="0.25">
      <c r="A2098" s="2">
        <v>44637</v>
      </c>
      <c r="B2098" s="1" t="s">
        <v>59</v>
      </c>
      <c r="C2098">
        <v>10249</v>
      </c>
      <c r="D2098" s="1" t="s">
        <v>231</v>
      </c>
      <c r="E2098" s="1" t="s">
        <v>4</v>
      </c>
      <c r="F2098">
        <v>44</v>
      </c>
      <c r="G2098" s="1" t="str">
        <f>Ocupacao_DW[[#This Row],[data]]&amp;Ocupacao_DW[[#This Row],[profissional_id]]&amp;Ocupacao_DW[[#This Row],[local_id]]</f>
        <v>446371024944</v>
      </c>
      <c r="H2098" s="1">
        <f>_xlfn.XLOOKUP(Ocupacao_DW[[#This Row],[Concat]],Vagas!$H:$H,Vagas!$D:$D,"",0)</f>
        <v>0</v>
      </c>
    </row>
    <row r="2099" spans="1:8" x14ac:dyDescent="0.25">
      <c r="A2099" s="2">
        <v>44636</v>
      </c>
      <c r="B2099" s="1" t="s">
        <v>43</v>
      </c>
      <c r="C2099">
        <v>57</v>
      </c>
      <c r="D2099" s="1" t="s">
        <v>169</v>
      </c>
      <c r="E2099" s="1" t="s">
        <v>6</v>
      </c>
      <c r="F2099">
        <v>2</v>
      </c>
      <c r="G2099" s="1" t="str">
        <f>Ocupacao_DW[[#This Row],[data]]&amp;Ocupacao_DW[[#This Row],[profissional_id]]&amp;Ocupacao_DW[[#This Row],[local_id]]</f>
        <v>44636572</v>
      </c>
      <c r="H2099" s="1">
        <f>_xlfn.XLOOKUP(Ocupacao_DW[[#This Row],[Concat]],Vagas!$H:$H,Vagas!$D:$D,"",0)</f>
        <v>2</v>
      </c>
    </row>
    <row r="2100" spans="1:8" x14ac:dyDescent="0.25">
      <c r="A2100" s="2">
        <v>44641</v>
      </c>
      <c r="B2100" s="1" t="s">
        <v>49</v>
      </c>
      <c r="C2100">
        <v>81</v>
      </c>
      <c r="D2100" s="1" t="s">
        <v>170</v>
      </c>
      <c r="E2100" s="1" t="s">
        <v>4</v>
      </c>
      <c r="F2100">
        <v>41</v>
      </c>
      <c r="G2100" s="1" t="str">
        <f>Ocupacao_DW[[#This Row],[data]]&amp;Ocupacao_DW[[#This Row],[profissional_id]]&amp;Ocupacao_DW[[#This Row],[local_id]]</f>
        <v>446418141</v>
      </c>
      <c r="H2100" s="1">
        <f>_xlfn.XLOOKUP(Ocupacao_DW[[#This Row],[Concat]],Vagas!$H:$H,Vagas!$D:$D,"",0)</f>
        <v>0</v>
      </c>
    </row>
    <row r="2101" spans="1:8" x14ac:dyDescent="0.25">
      <c r="A2101" s="2">
        <v>44645</v>
      </c>
      <c r="B2101" s="1"/>
      <c r="C2101">
        <v>0</v>
      </c>
      <c r="D2101" s="1"/>
      <c r="E2101" s="1" t="s">
        <v>4</v>
      </c>
      <c r="F2101">
        <v>40</v>
      </c>
      <c r="G2101" s="1" t="str">
        <f>Ocupacao_DW[[#This Row],[data]]&amp;Ocupacao_DW[[#This Row],[profissional_id]]&amp;Ocupacao_DW[[#This Row],[local_id]]</f>
        <v>44645040</v>
      </c>
      <c r="H2101" s="1" t="str">
        <f>_xlfn.XLOOKUP(Ocupacao_DW[[#This Row],[Concat]],Vagas!$H:$H,Vagas!$D:$D,"",0)</f>
        <v/>
      </c>
    </row>
    <row r="2102" spans="1:8" x14ac:dyDescent="0.25">
      <c r="A2102" s="2">
        <v>44645</v>
      </c>
      <c r="B2102" s="1" t="s">
        <v>72</v>
      </c>
      <c r="C2102">
        <v>1794</v>
      </c>
      <c r="D2102" s="1" t="s">
        <v>235</v>
      </c>
      <c r="E2102" s="1" t="s">
        <v>4</v>
      </c>
      <c r="F2102">
        <v>46</v>
      </c>
      <c r="G2102" s="1" t="str">
        <f>Ocupacao_DW[[#This Row],[data]]&amp;Ocupacao_DW[[#This Row],[profissional_id]]&amp;Ocupacao_DW[[#This Row],[local_id]]</f>
        <v>44645179446</v>
      </c>
      <c r="H2102" s="1">
        <f>_xlfn.XLOOKUP(Ocupacao_DW[[#This Row],[Concat]],Vagas!$H:$H,Vagas!$D:$D,"",0)</f>
        <v>23</v>
      </c>
    </row>
    <row r="2103" spans="1:8" x14ac:dyDescent="0.25">
      <c r="A2103" s="2">
        <v>44637</v>
      </c>
      <c r="B2103" s="1" t="s">
        <v>66</v>
      </c>
      <c r="C2103">
        <v>1343</v>
      </c>
      <c r="D2103" s="1" t="s">
        <v>263</v>
      </c>
      <c r="E2103" s="1" t="s">
        <v>200</v>
      </c>
      <c r="F2103">
        <v>80</v>
      </c>
      <c r="G2103" s="1" t="str">
        <f>Ocupacao_DW[[#This Row],[data]]&amp;Ocupacao_DW[[#This Row],[profissional_id]]&amp;Ocupacao_DW[[#This Row],[local_id]]</f>
        <v>44637134380</v>
      </c>
      <c r="H2103" s="1">
        <f>_xlfn.XLOOKUP(Ocupacao_DW[[#This Row],[Concat]],Vagas!$H:$H,Vagas!$D:$D,"",0)</f>
        <v>0</v>
      </c>
    </row>
    <row r="2104" spans="1:8" x14ac:dyDescent="0.25">
      <c r="A2104" s="2">
        <v>44638</v>
      </c>
      <c r="B2104" s="1" t="s">
        <v>49</v>
      </c>
      <c r="C2104">
        <v>81</v>
      </c>
      <c r="D2104" s="1" t="s">
        <v>170</v>
      </c>
      <c r="E2104" s="1" t="s">
        <v>4</v>
      </c>
      <c r="F2104">
        <v>41</v>
      </c>
      <c r="G2104" s="1" t="str">
        <f>Ocupacao_DW[[#This Row],[data]]&amp;Ocupacao_DW[[#This Row],[profissional_id]]&amp;Ocupacao_DW[[#This Row],[local_id]]</f>
        <v>446388141</v>
      </c>
      <c r="H2104" s="1">
        <f>_xlfn.XLOOKUP(Ocupacao_DW[[#This Row],[Concat]],Vagas!$H:$H,Vagas!$D:$D,"",0)</f>
        <v>0</v>
      </c>
    </row>
    <row r="2105" spans="1:8" x14ac:dyDescent="0.25">
      <c r="A2105" s="2">
        <v>44637</v>
      </c>
      <c r="B2105" s="1" t="s">
        <v>66</v>
      </c>
      <c r="C2105">
        <v>1343</v>
      </c>
      <c r="D2105" s="1" t="s">
        <v>263</v>
      </c>
      <c r="E2105" s="1" t="s">
        <v>200</v>
      </c>
      <c r="F2105">
        <v>80</v>
      </c>
      <c r="G2105" s="1" t="str">
        <f>Ocupacao_DW[[#This Row],[data]]&amp;Ocupacao_DW[[#This Row],[profissional_id]]&amp;Ocupacao_DW[[#This Row],[local_id]]</f>
        <v>44637134380</v>
      </c>
      <c r="H2105" s="1">
        <f>_xlfn.XLOOKUP(Ocupacao_DW[[#This Row],[Concat]],Vagas!$H:$H,Vagas!$D:$D,"",0)</f>
        <v>0</v>
      </c>
    </row>
    <row r="2106" spans="1:8" x14ac:dyDescent="0.25">
      <c r="A2106" s="2">
        <v>44635</v>
      </c>
      <c r="B2106" s="1" t="s">
        <v>44</v>
      </c>
      <c r="C2106">
        <v>17908</v>
      </c>
      <c r="D2106" s="1" t="s">
        <v>296</v>
      </c>
      <c r="E2106" s="1" t="s">
        <v>167</v>
      </c>
      <c r="F2106">
        <v>25</v>
      </c>
      <c r="G2106" s="1" t="str">
        <f>Ocupacao_DW[[#This Row],[data]]&amp;Ocupacao_DW[[#This Row],[profissional_id]]&amp;Ocupacao_DW[[#This Row],[local_id]]</f>
        <v>446351790825</v>
      </c>
      <c r="H2106" s="1">
        <f>_xlfn.XLOOKUP(Ocupacao_DW[[#This Row],[Concat]],Vagas!$H:$H,Vagas!$D:$D,"",0)</f>
        <v>8</v>
      </c>
    </row>
    <row r="2107" spans="1:8" x14ac:dyDescent="0.25">
      <c r="A2107" s="2">
        <v>44644</v>
      </c>
      <c r="B2107" s="1" t="s">
        <v>52</v>
      </c>
      <c r="C2107">
        <v>9217</v>
      </c>
      <c r="D2107" s="1" t="s">
        <v>191</v>
      </c>
      <c r="E2107" s="1" t="s">
        <v>6</v>
      </c>
      <c r="F2107">
        <v>7</v>
      </c>
      <c r="G2107" s="1" t="str">
        <f>Ocupacao_DW[[#This Row],[data]]&amp;Ocupacao_DW[[#This Row],[profissional_id]]&amp;Ocupacao_DW[[#This Row],[local_id]]</f>
        <v>4464492177</v>
      </c>
      <c r="H2107" s="1">
        <f>_xlfn.XLOOKUP(Ocupacao_DW[[#This Row],[Concat]],Vagas!$H:$H,Vagas!$D:$D,"",0)</f>
        <v>0</v>
      </c>
    </row>
    <row r="2108" spans="1:8" x14ac:dyDescent="0.25">
      <c r="A2108" s="2">
        <v>44637</v>
      </c>
      <c r="B2108" s="1" t="s">
        <v>62</v>
      </c>
      <c r="C2108">
        <v>2567</v>
      </c>
      <c r="D2108" s="1" t="s">
        <v>198</v>
      </c>
      <c r="E2108" s="1" t="s">
        <v>5</v>
      </c>
      <c r="F2108">
        <v>18</v>
      </c>
      <c r="G2108" s="1" t="str">
        <f>Ocupacao_DW[[#This Row],[data]]&amp;Ocupacao_DW[[#This Row],[profissional_id]]&amp;Ocupacao_DW[[#This Row],[local_id]]</f>
        <v>44637256718</v>
      </c>
      <c r="H2108" s="1">
        <f>_xlfn.XLOOKUP(Ocupacao_DW[[#This Row],[Concat]],Vagas!$H:$H,Vagas!$D:$D,"",0)</f>
        <v>0</v>
      </c>
    </row>
    <row r="2109" spans="1:8" x14ac:dyDescent="0.25">
      <c r="A2109" s="2">
        <v>44641</v>
      </c>
      <c r="B2109" s="1" t="s">
        <v>76</v>
      </c>
      <c r="C2109">
        <v>4422</v>
      </c>
      <c r="D2109" s="1" t="s">
        <v>290</v>
      </c>
      <c r="E2109" s="1" t="s">
        <v>200</v>
      </c>
      <c r="F2109">
        <v>81</v>
      </c>
      <c r="G2109" s="1" t="str">
        <f>Ocupacao_DW[[#This Row],[data]]&amp;Ocupacao_DW[[#This Row],[profissional_id]]&amp;Ocupacao_DW[[#This Row],[local_id]]</f>
        <v>44641442281</v>
      </c>
      <c r="H2109" s="1">
        <f>_xlfn.XLOOKUP(Ocupacao_DW[[#This Row],[Concat]],Vagas!$H:$H,Vagas!$D:$D,"",0)</f>
        <v>48</v>
      </c>
    </row>
    <row r="2110" spans="1:8" x14ac:dyDescent="0.25">
      <c r="A2110" s="2">
        <v>44655</v>
      </c>
      <c r="B2110" s="1" t="s">
        <v>55</v>
      </c>
      <c r="C2110">
        <v>2984</v>
      </c>
      <c r="D2110" s="1" t="s">
        <v>185</v>
      </c>
      <c r="E2110" s="1" t="s">
        <v>6</v>
      </c>
      <c r="F2110">
        <v>7</v>
      </c>
      <c r="G2110" s="1" t="str">
        <f>Ocupacao_DW[[#This Row],[data]]&amp;Ocupacao_DW[[#This Row],[profissional_id]]&amp;Ocupacao_DW[[#This Row],[local_id]]</f>
        <v>4465529847</v>
      </c>
      <c r="H2110" s="1">
        <f>_xlfn.XLOOKUP(Ocupacao_DW[[#This Row],[Concat]],Vagas!$H:$H,Vagas!$D:$D,"",0)</f>
        <v>0</v>
      </c>
    </row>
    <row r="2111" spans="1:8" x14ac:dyDescent="0.25">
      <c r="A2111" s="2">
        <v>44642</v>
      </c>
      <c r="B2111" s="1" t="s">
        <v>55</v>
      </c>
      <c r="C2111">
        <v>60</v>
      </c>
      <c r="D2111" s="1" t="s">
        <v>217</v>
      </c>
      <c r="E2111" s="1" t="s">
        <v>167</v>
      </c>
      <c r="F2111">
        <v>345</v>
      </c>
      <c r="G2111" s="1" t="str">
        <f>Ocupacao_DW[[#This Row],[data]]&amp;Ocupacao_DW[[#This Row],[profissional_id]]&amp;Ocupacao_DW[[#This Row],[local_id]]</f>
        <v>4464260345</v>
      </c>
      <c r="H2111" s="1">
        <f>_xlfn.XLOOKUP(Ocupacao_DW[[#This Row],[Concat]],Vagas!$H:$H,Vagas!$D:$D,"",0)</f>
        <v>0</v>
      </c>
    </row>
    <row r="2112" spans="1:8" x14ac:dyDescent="0.25">
      <c r="A2112" s="2">
        <v>44637</v>
      </c>
      <c r="B2112" s="1" t="s">
        <v>47</v>
      </c>
      <c r="C2112">
        <v>11207</v>
      </c>
      <c r="D2112" s="1" t="s">
        <v>251</v>
      </c>
      <c r="E2112" s="1" t="s">
        <v>4</v>
      </c>
      <c r="F2112">
        <v>51</v>
      </c>
      <c r="G2112" s="1" t="str">
        <f>Ocupacao_DW[[#This Row],[data]]&amp;Ocupacao_DW[[#This Row],[profissional_id]]&amp;Ocupacao_DW[[#This Row],[local_id]]</f>
        <v>446371120751</v>
      </c>
      <c r="H2112" s="1">
        <f>_xlfn.XLOOKUP(Ocupacao_DW[[#This Row],[Concat]],Vagas!$H:$H,Vagas!$D:$D,"",0)</f>
        <v>0</v>
      </c>
    </row>
    <row r="2113" spans="1:8" x14ac:dyDescent="0.25">
      <c r="A2113" s="2">
        <v>44641</v>
      </c>
      <c r="B2113" s="1" t="s">
        <v>52</v>
      </c>
      <c r="C2113">
        <v>10595</v>
      </c>
      <c r="D2113" s="1" t="s">
        <v>218</v>
      </c>
      <c r="E2113" s="1" t="s">
        <v>200</v>
      </c>
      <c r="F2113">
        <v>78</v>
      </c>
      <c r="G2113" s="1" t="str">
        <f>Ocupacao_DW[[#This Row],[data]]&amp;Ocupacao_DW[[#This Row],[profissional_id]]&amp;Ocupacao_DW[[#This Row],[local_id]]</f>
        <v>446411059578</v>
      </c>
      <c r="H2113" s="1">
        <f>_xlfn.XLOOKUP(Ocupacao_DW[[#This Row],[Concat]],Vagas!$H:$H,Vagas!$D:$D,"",0)</f>
        <v>0</v>
      </c>
    </row>
    <row r="2114" spans="1:8" x14ac:dyDescent="0.25">
      <c r="A2114" s="2">
        <v>44636</v>
      </c>
      <c r="B2114" s="1" t="s">
        <v>44</v>
      </c>
      <c r="C2114">
        <v>17908</v>
      </c>
      <c r="D2114" s="1" t="s">
        <v>296</v>
      </c>
      <c r="E2114" s="1" t="s">
        <v>167</v>
      </c>
      <c r="F2114">
        <v>25</v>
      </c>
      <c r="G2114" s="1" t="str">
        <f>Ocupacao_DW[[#This Row],[data]]&amp;Ocupacao_DW[[#This Row],[profissional_id]]&amp;Ocupacao_DW[[#This Row],[local_id]]</f>
        <v>446361790825</v>
      </c>
      <c r="H2114" s="1">
        <f>_xlfn.XLOOKUP(Ocupacao_DW[[#This Row],[Concat]],Vagas!$H:$H,Vagas!$D:$D,"",0)</f>
        <v>12</v>
      </c>
    </row>
    <row r="2115" spans="1:8" x14ac:dyDescent="0.25">
      <c r="A2115" s="2">
        <v>44644</v>
      </c>
      <c r="B2115" s="1" t="s">
        <v>47</v>
      </c>
      <c r="C2115">
        <v>9111</v>
      </c>
      <c r="D2115" s="1" t="s">
        <v>206</v>
      </c>
      <c r="E2115" s="1" t="s">
        <v>4</v>
      </c>
      <c r="F2115">
        <v>334</v>
      </c>
      <c r="G2115" s="1" t="str">
        <f>Ocupacao_DW[[#This Row],[data]]&amp;Ocupacao_DW[[#This Row],[profissional_id]]&amp;Ocupacao_DW[[#This Row],[local_id]]</f>
        <v>446449111334</v>
      </c>
      <c r="H2115" s="1">
        <f>_xlfn.XLOOKUP(Ocupacao_DW[[#This Row],[Concat]],Vagas!$H:$H,Vagas!$D:$D,"",0)</f>
        <v>0</v>
      </c>
    </row>
    <row r="2116" spans="1:8" x14ac:dyDescent="0.25">
      <c r="A2116" s="2">
        <v>44645</v>
      </c>
      <c r="B2116" s="1" t="s">
        <v>52</v>
      </c>
      <c r="C2116">
        <v>10691</v>
      </c>
      <c r="D2116" s="1" t="s">
        <v>181</v>
      </c>
      <c r="E2116" s="1" t="s">
        <v>6</v>
      </c>
      <c r="F2116">
        <v>6</v>
      </c>
      <c r="G2116" s="1" t="str">
        <f>Ocupacao_DW[[#This Row],[data]]&amp;Ocupacao_DW[[#This Row],[profissional_id]]&amp;Ocupacao_DW[[#This Row],[local_id]]</f>
        <v>44645106916</v>
      </c>
      <c r="H2116" s="1">
        <f>_xlfn.XLOOKUP(Ocupacao_DW[[#This Row],[Concat]],Vagas!$H:$H,Vagas!$D:$D,"",0)</f>
        <v>8</v>
      </c>
    </row>
    <row r="2117" spans="1:8" x14ac:dyDescent="0.25">
      <c r="A2117" s="2">
        <v>44641</v>
      </c>
      <c r="B2117" s="1" t="s">
        <v>54</v>
      </c>
      <c r="C2117">
        <v>70</v>
      </c>
      <c r="D2117" s="1" t="s">
        <v>187</v>
      </c>
      <c r="E2117" s="1" t="s">
        <v>5</v>
      </c>
      <c r="F2117">
        <v>13</v>
      </c>
      <c r="G2117" s="1" t="str">
        <f>Ocupacao_DW[[#This Row],[data]]&amp;Ocupacao_DW[[#This Row],[profissional_id]]&amp;Ocupacao_DW[[#This Row],[local_id]]</f>
        <v>446417013</v>
      </c>
      <c r="H2117" s="1">
        <f>_xlfn.XLOOKUP(Ocupacao_DW[[#This Row],[Concat]],Vagas!$H:$H,Vagas!$D:$D,"",0)</f>
        <v>0</v>
      </c>
    </row>
    <row r="2118" spans="1:8" x14ac:dyDescent="0.25">
      <c r="A2118" s="2">
        <v>44638</v>
      </c>
      <c r="B2118" s="1" t="s">
        <v>53</v>
      </c>
      <c r="C2118">
        <v>9138</v>
      </c>
      <c r="D2118" s="1" t="s">
        <v>184</v>
      </c>
      <c r="E2118" s="1" t="s">
        <v>167</v>
      </c>
      <c r="F2118">
        <v>344</v>
      </c>
      <c r="G2118" s="1" t="str">
        <f>Ocupacao_DW[[#This Row],[data]]&amp;Ocupacao_DW[[#This Row],[profissional_id]]&amp;Ocupacao_DW[[#This Row],[local_id]]</f>
        <v>446389138344</v>
      </c>
      <c r="H2118" s="1">
        <f>_xlfn.XLOOKUP(Ocupacao_DW[[#This Row],[Concat]],Vagas!$H:$H,Vagas!$D:$D,"",0)</f>
        <v>0</v>
      </c>
    </row>
    <row r="2119" spans="1:8" x14ac:dyDescent="0.25">
      <c r="A2119" s="2">
        <v>44640</v>
      </c>
      <c r="B2119" s="1" t="s">
        <v>62</v>
      </c>
      <c r="C2119">
        <v>4887</v>
      </c>
      <c r="D2119" s="1" t="s">
        <v>168</v>
      </c>
      <c r="E2119" s="1" t="s">
        <v>167</v>
      </c>
      <c r="F2119">
        <v>340</v>
      </c>
      <c r="G2119" s="1" t="str">
        <f>Ocupacao_DW[[#This Row],[data]]&amp;Ocupacao_DW[[#This Row],[profissional_id]]&amp;Ocupacao_DW[[#This Row],[local_id]]</f>
        <v>446404887340</v>
      </c>
      <c r="H2119" s="1">
        <f>_xlfn.XLOOKUP(Ocupacao_DW[[#This Row],[Concat]],Vagas!$H:$H,Vagas!$D:$D,"",0)</f>
        <v>0</v>
      </c>
    </row>
    <row r="2120" spans="1:8" x14ac:dyDescent="0.25">
      <c r="A2120" s="2">
        <v>44642</v>
      </c>
      <c r="B2120" s="1" t="s">
        <v>68</v>
      </c>
      <c r="C2120">
        <v>8239</v>
      </c>
      <c r="D2120" s="1" t="s">
        <v>257</v>
      </c>
      <c r="E2120" s="1" t="s">
        <v>167</v>
      </c>
      <c r="F2120">
        <v>345</v>
      </c>
      <c r="G2120" s="1" t="str">
        <f>Ocupacao_DW[[#This Row],[data]]&amp;Ocupacao_DW[[#This Row],[profissional_id]]&amp;Ocupacao_DW[[#This Row],[local_id]]</f>
        <v>446428239345</v>
      </c>
      <c r="H2120" s="1">
        <f>_xlfn.XLOOKUP(Ocupacao_DW[[#This Row],[Concat]],Vagas!$H:$H,Vagas!$D:$D,"",0)</f>
        <v>0</v>
      </c>
    </row>
    <row r="2121" spans="1:8" x14ac:dyDescent="0.25">
      <c r="A2121" s="2">
        <v>44638</v>
      </c>
      <c r="B2121" s="1" t="s">
        <v>47</v>
      </c>
      <c r="C2121">
        <v>13371</v>
      </c>
      <c r="D2121" s="1" t="s">
        <v>205</v>
      </c>
      <c r="E2121" s="1" t="s">
        <v>4</v>
      </c>
      <c r="F2121">
        <v>336</v>
      </c>
      <c r="G2121" s="1" t="str">
        <f>Ocupacao_DW[[#This Row],[data]]&amp;Ocupacao_DW[[#This Row],[profissional_id]]&amp;Ocupacao_DW[[#This Row],[local_id]]</f>
        <v>4463813371336</v>
      </c>
      <c r="H2121" s="1" t="str">
        <f>_xlfn.XLOOKUP(Ocupacao_DW[[#This Row],[Concat]],Vagas!$H:$H,Vagas!$D:$D,"",0)</f>
        <v/>
      </c>
    </row>
    <row r="2122" spans="1:8" x14ac:dyDescent="0.25">
      <c r="A2122" s="2">
        <v>44638</v>
      </c>
      <c r="B2122" s="1" t="s">
        <v>46</v>
      </c>
      <c r="C2122">
        <v>17888</v>
      </c>
      <c r="D2122" s="1" t="s">
        <v>255</v>
      </c>
      <c r="E2122" s="1" t="s">
        <v>4</v>
      </c>
      <c r="F2122">
        <v>40</v>
      </c>
      <c r="G2122" s="1" t="str">
        <f>Ocupacao_DW[[#This Row],[data]]&amp;Ocupacao_DW[[#This Row],[profissional_id]]&amp;Ocupacao_DW[[#This Row],[local_id]]</f>
        <v>446381788840</v>
      </c>
      <c r="H2122" s="1">
        <f>_xlfn.XLOOKUP(Ocupacao_DW[[#This Row],[Concat]],Vagas!$H:$H,Vagas!$D:$D,"",0)</f>
        <v>21</v>
      </c>
    </row>
    <row r="2123" spans="1:8" x14ac:dyDescent="0.25">
      <c r="A2123" s="2">
        <v>44641</v>
      </c>
      <c r="B2123" s="1" t="s">
        <v>62</v>
      </c>
      <c r="C2123">
        <v>2567</v>
      </c>
      <c r="D2123" s="1" t="s">
        <v>198</v>
      </c>
      <c r="E2123" s="1" t="s">
        <v>5</v>
      </c>
      <c r="F2123">
        <v>18</v>
      </c>
      <c r="G2123" s="1" t="str">
        <f>Ocupacao_DW[[#This Row],[data]]&amp;Ocupacao_DW[[#This Row],[profissional_id]]&amp;Ocupacao_DW[[#This Row],[local_id]]</f>
        <v>44641256718</v>
      </c>
      <c r="H2123" s="1">
        <f>_xlfn.XLOOKUP(Ocupacao_DW[[#This Row],[Concat]],Vagas!$H:$H,Vagas!$D:$D,"",0)</f>
        <v>0</v>
      </c>
    </row>
    <row r="2124" spans="1:8" x14ac:dyDescent="0.25">
      <c r="A2124" s="2">
        <v>44657</v>
      </c>
      <c r="B2124" s="1" t="s">
        <v>52</v>
      </c>
      <c r="C2124">
        <v>60</v>
      </c>
      <c r="D2124" s="1" t="s">
        <v>217</v>
      </c>
      <c r="E2124" s="1" t="s">
        <v>167</v>
      </c>
      <c r="F2124">
        <v>346</v>
      </c>
      <c r="G2124" s="1" t="str">
        <f>Ocupacao_DW[[#This Row],[data]]&amp;Ocupacao_DW[[#This Row],[profissional_id]]&amp;Ocupacao_DW[[#This Row],[local_id]]</f>
        <v>4465760346</v>
      </c>
      <c r="H2124" s="1">
        <f>_xlfn.XLOOKUP(Ocupacao_DW[[#This Row],[Concat]],Vagas!$H:$H,Vagas!$D:$D,"",0)</f>
        <v>0</v>
      </c>
    </row>
    <row r="2125" spans="1:8" x14ac:dyDescent="0.25">
      <c r="A2125" s="2">
        <v>44650</v>
      </c>
      <c r="B2125" s="1" t="s">
        <v>52</v>
      </c>
      <c r="C2125">
        <v>57</v>
      </c>
      <c r="D2125" s="1" t="s">
        <v>169</v>
      </c>
      <c r="E2125" s="1" t="s">
        <v>6</v>
      </c>
      <c r="F2125">
        <v>4</v>
      </c>
      <c r="G2125" s="1" t="str">
        <f>Ocupacao_DW[[#This Row],[data]]&amp;Ocupacao_DW[[#This Row],[profissional_id]]&amp;Ocupacao_DW[[#This Row],[local_id]]</f>
        <v>44650574</v>
      </c>
      <c r="H2125" s="1">
        <f>_xlfn.XLOOKUP(Ocupacao_DW[[#This Row],[Concat]],Vagas!$H:$H,Vagas!$D:$D,"",0)</f>
        <v>0</v>
      </c>
    </row>
    <row r="2126" spans="1:8" x14ac:dyDescent="0.25">
      <c r="A2126" s="2">
        <v>44644</v>
      </c>
      <c r="B2126" s="1" t="s">
        <v>52</v>
      </c>
      <c r="C2126">
        <v>10691</v>
      </c>
      <c r="D2126" s="1" t="s">
        <v>181</v>
      </c>
      <c r="E2126" s="1" t="s">
        <v>6</v>
      </c>
      <c r="F2126">
        <v>9</v>
      </c>
      <c r="G2126" s="1" t="str">
        <f>Ocupacao_DW[[#This Row],[data]]&amp;Ocupacao_DW[[#This Row],[profissional_id]]&amp;Ocupacao_DW[[#This Row],[local_id]]</f>
        <v>44644106919</v>
      </c>
      <c r="H2126" s="1">
        <f>_xlfn.XLOOKUP(Ocupacao_DW[[#This Row],[Concat]],Vagas!$H:$H,Vagas!$D:$D,"",0)</f>
        <v>0</v>
      </c>
    </row>
    <row r="2127" spans="1:8" x14ac:dyDescent="0.25">
      <c r="A2127" s="2">
        <v>44637</v>
      </c>
      <c r="B2127" s="1" t="s">
        <v>66</v>
      </c>
      <c r="C2127">
        <v>100</v>
      </c>
      <c r="D2127" s="1" t="s">
        <v>166</v>
      </c>
      <c r="E2127" s="1" t="s">
        <v>167</v>
      </c>
      <c r="F2127">
        <v>342</v>
      </c>
      <c r="G2127" s="1" t="str">
        <f>Ocupacao_DW[[#This Row],[data]]&amp;Ocupacao_DW[[#This Row],[profissional_id]]&amp;Ocupacao_DW[[#This Row],[local_id]]</f>
        <v>44637100342</v>
      </c>
      <c r="H2127" s="1">
        <f>_xlfn.XLOOKUP(Ocupacao_DW[[#This Row],[Concat]],Vagas!$H:$H,Vagas!$D:$D,"",0)</f>
        <v>0</v>
      </c>
    </row>
    <row r="2128" spans="1:8" x14ac:dyDescent="0.25">
      <c r="A2128" s="2">
        <v>44637</v>
      </c>
      <c r="B2128" s="1" t="s">
        <v>71</v>
      </c>
      <c r="C2128">
        <v>76</v>
      </c>
      <c r="D2128" s="1" t="s">
        <v>227</v>
      </c>
      <c r="E2128" s="1" t="s">
        <v>4</v>
      </c>
      <c r="F2128">
        <v>48</v>
      </c>
      <c r="G2128" s="1" t="str">
        <f>Ocupacao_DW[[#This Row],[data]]&amp;Ocupacao_DW[[#This Row],[profissional_id]]&amp;Ocupacao_DW[[#This Row],[local_id]]</f>
        <v>446377648</v>
      </c>
      <c r="H2128" s="1">
        <f>_xlfn.XLOOKUP(Ocupacao_DW[[#This Row],[Concat]],Vagas!$H:$H,Vagas!$D:$D,"",0)</f>
        <v>0</v>
      </c>
    </row>
    <row r="2129" spans="1:8" x14ac:dyDescent="0.25">
      <c r="A2129" s="2">
        <v>44643</v>
      </c>
      <c r="B2129" s="1" t="s">
        <v>64</v>
      </c>
      <c r="C2129">
        <v>531</v>
      </c>
      <c r="D2129" s="1" t="s">
        <v>213</v>
      </c>
      <c r="E2129" s="1" t="s">
        <v>5</v>
      </c>
      <c r="F2129">
        <v>12</v>
      </c>
      <c r="G2129" s="1" t="str">
        <f>Ocupacao_DW[[#This Row],[data]]&amp;Ocupacao_DW[[#This Row],[profissional_id]]&amp;Ocupacao_DW[[#This Row],[local_id]]</f>
        <v>4464353112</v>
      </c>
      <c r="H2129" s="1">
        <f>_xlfn.XLOOKUP(Ocupacao_DW[[#This Row],[Concat]],Vagas!$H:$H,Vagas!$D:$D,"",0)</f>
        <v>0</v>
      </c>
    </row>
    <row r="2130" spans="1:8" x14ac:dyDescent="0.25">
      <c r="A2130" s="2">
        <v>44639</v>
      </c>
      <c r="B2130" s="1" t="s">
        <v>49</v>
      </c>
      <c r="C2130">
        <v>13756</v>
      </c>
      <c r="D2130" s="1" t="s">
        <v>202</v>
      </c>
      <c r="E2130" s="1" t="s">
        <v>4</v>
      </c>
      <c r="F2130">
        <v>43</v>
      </c>
      <c r="G2130" s="1" t="str">
        <f>Ocupacao_DW[[#This Row],[data]]&amp;Ocupacao_DW[[#This Row],[profissional_id]]&amp;Ocupacao_DW[[#This Row],[local_id]]</f>
        <v>446391375643</v>
      </c>
      <c r="H2130" s="1">
        <f>_xlfn.XLOOKUP(Ocupacao_DW[[#This Row],[Concat]],Vagas!$H:$H,Vagas!$D:$D,"",0)</f>
        <v>0</v>
      </c>
    </row>
    <row r="2131" spans="1:8" x14ac:dyDescent="0.25">
      <c r="A2131" s="2">
        <v>44643</v>
      </c>
      <c r="B2131" s="1" t="s">
        <v>60</v>
      </c>
      <c r="C2131">
        <v>14326</v>
      </c>
      <c r="D2131" s="1" t="s">
        <v>220</v>
      </c>
      <c r="E2131" s="1" t="s">
        <v>4</v>
      </c>
      <c r="F2131">
        <v>43</v>
      </c>
      <c r="G2131" s="1" t="str">
        <f>Ocupacao_DW[[#This Row],[data]]&amp;Ocupacao_DW[[#This Row],[profissional_id]]&amp;Ocupacao_DW[[#This Row],[local_id]]</f>
        <v>446431432643</v>
      </c>
      <c r="H2131" s="1">
        <f>_xlfn.XLOOKUP(Ocupacao_DW[[#This Row],[Concat]],Vagas!$H:$H,Vagas!$D:$D,"",0)</f>
        <v>0</v>
      </c>
    </row>
    <row r="2132" spans="1:8" x14ac:dyDescent="0.25">
      <c r="A2132" s="2">
        <v>44646</v>
      </c>
      <c r="B2132" s="1" t="s">
        <v>60</v>
      </c>
      <c r="C2132">
        <v>117</v>
      </c>
      <c r="D2132" s="1" t="s">
        <v>180</v>
      </c>
      <c r="E2132" s="1" t="s">
        <v>4</v>
      </c>
      <c r="F2132">
        <v>48</v>
      </c>
      <c r="G2132" s="1" t="str">
        <f>Ocupacao_DW[[#This Row],[data]]&amp;Ocupacao_DW[[#This Row],[profissional_id]]&amp;Ocupacao_DW[[#This Row],[local_id]]</f>
        <v>4464611748</v>
      </c>
      <c r="H2132" s="1">
        <f>_xlfn.XLOOKUP(Ocupacao_DW[[#This Row],[Concat]],Vagas!$H:$H,Vagas!$D:$D,"",0)</f>
        <v>0</v>
      </c>
    </row>
    <row r="2133" spans="1:8" x14ac:dyDescent="0.25">
      <c r="A2133" s="2">
        <v>44639</v>
      </c>
      <c r="B2133" s="1" t="s">
        <v>49</v>
      </c>
      <c r="C2133">
        <v>13756</v>
      </c>
      <c r="D2133" s="1" t="s">
        <v>202</v>
      </c>
      <c r="E2133" s="1" t="s">
        <v>4</v>
      </c>
      <c r="F2133">
        <v>43</v>
      </c>
      <c r="G2133" s="1" t="str">
        <f>Ocupacao_DW[[#This Row],[data]]&amp;Ocupacao_DW[[#This Row],[profissional_id]]&amp;Ocupacao_DW[[#This Row],[local_id]]</f>
        <v>446391375643</v>
      </c>
      <c r="H2133" s="1">
        <f>_xlfn.XLOOKUP(Ocupacao_DW[[#This Row],[Concat]],Vagas!$H:$H,Vagas!$D:$D,"",0)</f>
        <v>0</v>
      </c>
    </row>
    <row r="2134" spans="1:8" x14ac:dyDescent="0.25">
      <c r="A2134" s="2">
        <v>44638</v>
      </c>
      <c r="B2134" s="1" t="s">
        <v>66</v>
      </c>
      <c r="C2134">
        <v>10593</v>
      </c>
      <c r="D2134" s="1" t="s">
        <v>241</v>
      </c>
      <c r="E2134" s="1" t="s">
        <v>7</v>
      </c>
      <c r="F2134">
        <v>64</v>
      </c>
      <c r="G2134" s="1" t="str">
        <f>Ocupacao_DW[[#This Row],[data]]&amp;Ocupacao_DW[[#This Row],[profissional_id]]&amp;Ocupacao_DW[[#This Row],[local_id]]</f>
        <v>446381059364</v>
      </c>
      <c r="H2134" s="1">
        <f>_xlfn.XLOOKUP(Ocupacao_DW[[#This Row],[Concat]],Vagas!$H:$H,Vagas!$D:$D,"",0)</f>
        <v>0</v>
      </c>
    </row>
    <row r="2135" spans="1:8" x14ac:dyDescent="0.25">
      <c r="A2135" s="2">
        <v>44641</v>
      </c>
      <c r="B2135" s="1" t="s">
        <v>56</v>
      </c>
      <c r="C2135">
        <v>5927</v>
      </c>
      <c r="D2135" s="1" t="s">
        <v>226</v>
      </c>
      <c r="E2135" s="1" t="s">
        <v>5</v>
      </c>
      <c r="F2135">
        <v>17</v>
      </c>
      <c r="G2135" s="1" t="str">
        <f>Ocupacao_DW[[#This Row],[data]]&amp;Ocupacao_DW[[#This Row],[profissional_id]]&amp;Ocupacao_DW[[#This Row],[local_id]]</f>
        <v>44641592717</v>
      </c>
      <c r="H2135" s="1">
        <f>_xlfn.XLOOKUP(Ocupacao_DW[[#This Row],[Concat]],Vagas!$H:$H,Vagas!$D:$D,"",0)</f>
        <v>0</v>
      </c>
    </row>
    <row r="2136" spans="1:8" x14ac:dyDescent="0.25">
      <c r="A2136" s="2">
        <v>44655</v>
      </c>
      <c r="B2136" s="1" t="s">
        <v>55</v>
      </c>
      <c r="C2136">
        <v>6392</v>
      </c>
      <c r="D2136" s="1" t="s">
        <v>173</v>
      </c>
      <c r="E2136" s="1" t="s">
        <v>6</v>
      </c>
      <c r="F2136">
        <v>5</v>
      </c>
      <c r="G2136" s="1" t="str">
        <f>Ocupacao_DW[[#This Row],[data]]&amp;Ocupacao_DW[[#This Row],[profissional_id]]&amp;Ocupacao_DW[[#This Row],[local_id]]</f>
        <v>4465563925</v>
      </c>
      <c r="H2136" s="1">
        <f>_xlfn.XLOOKUP(Ocupacao_DW[[#This Row],[Concat]],Vagas!$H:$H,Vagas!$D:$D,"",0)</f>
        <v>0</v>
      </c>
    </row>
    <row r="2137" spans="1:8" x14ac:dyDescent="0.25">
      <c r="A2137" s="2">
        <v>44646</v>
      </c>
      <c r="B2137" s="1" t="s">
        <v>49</v>
      </c>
      <c r="C2137">
        <v>81</v>
      </c>
      <c r="D2137" s="1" t="s">
        <v>170</v>
      </c>
      <c r="E2137" s="1" t="s">
        <v>4</v>
      </c>
      <c r="F2137">
        <v>41</v>
      </c>
      <c r="G2137" s="1" t="str">
        <f>Ocupacao_DW[[#This Row],[data]]&amp;Ocupacao_DW[[#This Row],[profissional_id]]&amp;Ocupacao_DW[[#This Row],[local_id]]</f>
        <v>446468141</v>
      </c>
      <c r="H2137" s="1">
        <f>_xlfn.XLOOKUP(Ocupacao_DW[[#This Row],[Concat]],Vagas!$H:$H,Vagas!$D:$D,"",0)</f>
        <v>0</v>
      </c>
    </row>
    <row r="2138" spans="1:8" x14ac:dyDescent="0.25">
      <c r="A2138" s="2">
        <v>44642</v>
      </c>
      <c r="B2138" s="1" t="s">
        <v>54</v>
      </c>
      <c r="C2138">
        <v>10941</v>
      </c>
      <c r="D2138" s="1" t="s">
        <v>224</v>
      </c>
      <c r="E2138" s="1" t="s">
        <v>5</v>
      </c>
      <c r="F2138">
        <v>13</v>
      </c>
      <c r="G2138" s="1" t="str">
        <f>Ocupacao_DW[[#This Row],[data]]&amp;Ocupacao_DW[[#This Row],[profissional_id]]&amp;Ocupacao_DW[[#This Row],[local_id]]</f>
        <v>446421094113</v>
      </c>
      <c r="H2138" s="1">
        <f>_xlfn.XLOOKUP(Ocupacao_DW[[#This Row],[Concat]],Vagas!$H:$H,Vagas!$D:$D,"",0)</f>
        <v>0</v>
      </c>
    </row>
    <row r="2139" spans="1:8" x14ac:dyDescent="0.25">
      <c r="A2139" s="2">
        <v>44643</v>
      </c>
      <c r="B2139" s="1" t="s">
        <v>51</v>
      </c>
      <c r="C2139">
        <v>12679</v>
      </c>
      <c r="D2139" s="1" t="s">
        <v>192</v>
      </c>
      <c r="E2139" s="1" t="s">
        <v>5</v>
      </c>
      <c r="F2139">
        <v>11</v>
      </c>
      <c r="G2139" s="1" t="str">
        <f>Ocupacao_DW[[#This Row],[data]]&amp;Ocupacao_DW[[#This Row],[profissional_id]]&amp;Ocupacao_DW[[#This Row],[local_id]]</f>
        <v>446431267911</v>
      </c>
      <c r="H2139" s="1">
        <f>_xlfn.XLOOKUP(Ocupacao_DW[[#This Row],[Concat]],Vagas!$H:$H,Vagas!$D:$D,"",0)</f>
        <v>0</v>
      </c>
    </row>
    <row r="2140" spans="1:8" x14ac:dyDescent="0.25">
      <c r="A2140" s="2">
        <v>44636</v>
      </c>
      <c r="B2140" s="1" t="s">
        <v>52</v>
      </c>
      <c r="C2140">
        <v>60</v>
      </c>
      <c r="D2140" s="1" t="s">
        <v>217</v>
      </c>
      <c r="E2140" s="1" t="s">
        <v>6</v>
      </c>
      <c r="F2140">
        <v>8</v>
      </c>
      <c r="G2140" s="1" t="str">
        <f>Ocupacao_DW[[#This Row],[data]]&amp;Ocupacao_DW[[#This Row],[profissional_id]]&amp;Ocupacao_DW[[#This Row],[local_id]]</f>
        <v>44636608</v>
      </c>
      <c r="H2140" s="1">
        <f>_xlfn.XLOOKUP(Ocupacao_DW[[#This Row],[Concat]],Vagas!$H:$H,Vagas!$D:$D,"",0)</f>
        <v>0</v>
      </c>
    </row>
    <row r="2141" spans="1:8" x14ac:dyDescent="0.25">
      <c r="A2141" s="2">
        <v>44641</v>
      </c>
      <c r="B2141" s="1" t="s">
        <v>56</v>
      </c>
      <c r="C2141">
        <v>5927</v>
      </c>
      <c r="D2141" s="1" t="s">
        <v>226</v>
      </c>
      <c r="E2141" s="1" t="s">
        <v>5</v>
      </c>
      <c r="F2141">
        <v>17</v>
      </c>
      <c r="G2141" s="1" t="str">
        <f>Ocupacao_DW[[#This Row],[data]]&amp;Ocupacao_DW[[#This Row],[profissional_id]]&amp;Ocupacao_DW[[#This Row],[local_id]]</f>
        <v>44641592717</v>
      </c>
      <c r="H2141" s="1">
        <f>_xlfn.XLOOKUP(Ocupacao_DW[[#This Row],[Concat]],Vagas!$H:$H,Vagas!$D:$D,"",0)</f>
        <v>0</v>
      </c>
    </row>
    <row r="2142" spans="1:8" x14ac:dyDescent="0.25">
      <c r="A2142" s="2">
        <v>44648</v>
      </c>
      <c r="B2142" s="1" t="s">
        <v>49</v>
      </c>
      <c r="C2142">
        <v>6430</v>
      </c>
      <c r="D2142" s="1" t="s">
        <v>188</v>
      </c>
      <c r="E2142" s="1" t="s">
        <v>200</v>
      </c>
      <c r="F2142">
        <v>86</v>
      </c>
      <c r="G2142" s="1" t="str">
        <f>Ocupacao_DW[[#This Row],[data]]&amp;Ocupacao_DW[[#This Row],[profissional_id]]&amp;Ocupacao_DW[[#This Row],[local_id]]</f>
        <v>44648643086</v>
      </c>
      <c r="H2142" s="1">
        <f>_xlfn.XLOOKUP(Ocupacao_DW[[#This Row],[Concat]],Vagas!$H:$H,Vagas!$D:$D,"",0)</f>
        <v>0</v>
      </c>
    </row>
    <row r="2143" spans="1:8" x14ac:dyDescent="0.25">
      <c r="A2143" s="2">
        <v>44648</v>
      </c>
      <c r="B2143" s="1" t="s">
        <v>55</v>
      </c>
      <c r="C2143">
        <v>6392</v>
      </c>
      <c r="D2143" s="1" t="s">
        <v>173</v>
      </c>
      <c r="E2143" s="1" t="s">
        <v>6</v>
      </c>
      <c r="F2143">
        <v>5</v>
      </c>
      <c r="G2143" s="1" t="str">
        <f>Ocupacao_DW[[#This Row],[data]]&amp;Ocupacao_DW[[#This Row],[profissional_id]]&amp;Ocupacao_DW[[#This Row],[local_id]]</f>
        <v>4464863925</v>
      </c>
      <c r="H2143" s="1">
        <f>_xlfn.XLOOKUP(Ocupacao_DW[[#This Row],[Concat]],Vagas!$H:$H,Vagas!$D:$D,"",0)</f>
        <v>0</v>
      </c>
    </row>
    <row r="2144" spans="1:8" x14ac:dyDescent="0.25">
      <c r="A2144" s="2">
        <v>44641</v>
      </c>
      <c r="B2144" s="1" t="s">
        <v>55</v>
      </c>
      <c r="C2144">
        <v>60</v>
      </c>
      <c r="D2144" s="1" t="s">
        <v>217</v>
      </c>
      <c r="E2144" s="1" t="s">
        <v>7</v>
      </c>
      <c r="F2144">
        <v>66</v>
      </c>
      <c r="G2144" s="1" t="str">
        <f>Ocupacao_DW[[#This Row],[data]]&amp;Ocupacao_DW[[#This Row],[profissional_id]]&amp;Ocupacao_DW[[#This Row],[local_id]]</f>
        <v>446416066</v>
      </c>
      <c r="H2144" s="1">
        <f>_xlfn.XLOOKUP(Ocupacao_DW[[#This Row],[Concat]],Vagas!$H:$H,Vagas!$D:$D,"",0)</f>
        <v>0</v>
      </c>
    </row>
    <row r="2145" spans="1:8" x14ac:dyDescent="0.25">
      <c r="A2145" s="2">
        <v>44644</v>
      </c>
      <c r="B2145" s="1" t="s">
        <v>51</v>
      </c>
      <c r="C2145">
        <v>53</v>
      </c>
      <c r="D2145" s="1" t="s">
        <v>254</v>
      </c>
      <c r="E2145" s="1" t="s">
        <v>5</v>
      </c>
      <c r="F2145">
        <v>14</v>
      </c>
      <c r="G2145" s="1" t="str">
        <f>Ocupacao_DW[[#This Row],[data]]&amp;Ocupacao_DW[[#This Row],[profissional_id]]&amp;Ocupacao_DW[[#This Row],[local_id]]</f>
        <v>446445314</v>
      </c>
      <c r="H2145" s="1">
        <f>_xlfn.XLOOKUP(Ocupacao_DW[[#This Row],[Concat]],Vagas!$H:$H,Vagas!$D:$D,"",0)</f>
        <v>0</v>
      </c>
    </row>
    <row r="2146" spans="1:8" x14ac:dyDescent="0.25">
      <c r="A2146" s="2">
        <v>44636</v>
      </c>
      <c r="B2146" s="1" t="s">
        <v>60</v>
      </c>
      <c r="C2146">
        <v>14326</v>
      </c>
      <c r="D2146" s="1" t="s">
        <v>220</v>
      </c>
      <c r="E2146" s="1" t="s">
        <v>4</v>
      </c>
      <c r="F2146">
        <v>41</v>
      </c>
      <c r="G2146" s="1" t="str">
        <f>Ocupacao_DW[[#This Row],[data]]&amp;Ocupacao_DW[[#This Row],[profissional_id]]&amp;Ocupacao_DW[[#This Row],[local_id]]</f>
        <v>446361432641</v>
      </c>
      <c r="H2146" s="1">
        <f>_xlfn.XLOOKUP(Ocupacao_DW[[#This Row],[Concat]],Vagas!$H:$H,Vagas!$D:$D,"",0)</f>
        <v>0</v>
      </c>
    </row>
    <row r="2147" spans="1:8" x14ac:dyDescent="0.25">
      <c r="A2147" s="2">
        <v>44636</v>
      </c>
      <c r="B2147" s="1" t="s">
        <v>56</v>
      </c>
      <c r="C2147">
        <v>5927</v>
      </c>
      <c r="D2147" s="1" t="s">
        <v>226</v>
      </c>
      <c r="E2147" s="1" t="s">
        <v>5</v>
      </c>
      <c r="F2147">
        <v>17</v>
      </c>
      <c r="G2147" s="1" t="str">
        <f>Ocupacao_DW[[#This Row],[data]]&amp;Ocupacao_DW[[#This Row],[profissional_id]]&amp;Ocupacao_DW[[#This Row],[local_id]]</f>
        <v>44636592717</v>
      </c>
      <c r="H2147" s="1">
        <f>_xlfn.XLOOKUP(Ocupacao_DW[[#This Row],[Concat]],Vagas!$H:$H,Vagas!$D:$D,"",0)</f>
        <v>0</v>
      </c>
    </row>
    <row r="2148" spans="1:8" x14ac:dyDescent="0.25">
      <c r="A2148" s="2">
        <v>44637</v>
      </c>
      <c r="B2148" s="1" t="s">
        <v>52</v>
      </c>
      <c r="C2148">
        <v>9217</v>
      </c>
      <c r="D2148" s="1" t="s">
        <v>191</v>
      </c>
      <c r="E2148" s="1" t="s">
        <v>6</v>
      </c>
      <c r="F2148">
        <v>7</v>
      </c>
      <c r="G2148" s="1" t="str">
        <f>Ocupacao_DW[[#This Row],[data]]&amp;Ocupacao_DW[[#This Row],[profissional_id]]&amp;Ocupacao_DW[[#This Row],[local_id]]</f>
        <v>4463792177</v>
      </c>
      <c r="H2148" s="1">
        <f>_xlfn.XLOOKUP(Ocupacao_DW[[#This Row],[Concat]],Vagas!$H:$H,Vagas!$D:$D,"",0)</f>
        <v>0</v>
      </c>
    </row>
    <row r="2149" spans="1:8" x14ac:dyDescent="0.25">
      <c r="A2149" s="2">
        <v>44635</v>
      </c>
      <c r="B2149" s="1" t="s">
        <v>67</v>
      </c>
      <c r="C2149">
        <v>7290</v>
      </c>
      <c r="D2149" s="1" t="s">
        <v>247</v>
      </c>
      <c r="E2149" s="1" t="s">
        <v>5</v>
      </c>
      <c r="F2149">
        <v>18</v>
      </c>
      <c r="G2149" s="1" t="str">
        <f>Ocupacao_DW[[#This Row],[data]]&amp;Ocupacao_DW[[#This Row],[profissional_id]]&amp;Ocupacao_DW[[#This Row],[local_id]]</f>
        <v>44635729018</v>
      </c>
      <c r="H2149" s="1">
        <f>_xlfn.XLOOKUP(Ocupacao_DW[[#This Row],[Concat]],Vagas!$H:$H,Vagas!$D:$D,"",0)</f>
        <v>0</v>
      </c>
    </row>
    <row r="2150" spans="1:8" x14ac:dyDescent="0.25">
      <c r="A2150" s="2">
        <v>44643</v>
      </c>
      <c r="B2150" s="1" t="s">
        <v>70</v>
      </c>
      <c r="C2150">
        <v>12825</v>
      </c>
      <c r="D2150" s="1" t="s">
        <v>177</v>
      </c>
      <c r="E2150" s="1" t="s">
        <v>4</v>
      </c>
      <c r="F2150">
        <v>45</v>
      </c>
      <c r="G2150" s="1" t="str">
        <f>Ocupacao_DW[[#This Row],[data]]&amp;Ocupacao_DW[[#This Row],[profissional_id]]&amp;Ocupacao_DW[[#This Row],[local_id]]</f>
        <v>446431282545</v>
      </c>
      <c r="H2150" s="1">
        <f>_xlfn.XLOOKUP(Ocupacao_DW[[#This Row],[Concat]],Vagas!$H:$H,Vagas!$D:$D,"",0)</f>
        <v>0</v>
      </c>
    </row>
    <row r="2151" spans="1:8" x14ac:dyDescent="0.25">
      <c r="A2151" s="2">
        <v>44637</v>
      </c>
      <c r="B2151" s="1" t="s">
        <v>51</v>
      </c>
      <c r="C2151">
        <v>12582</v>
      </c>
      <c r="D2151" s="1" t="s">
        <v>190</v>
      </c>
      <c r="E2151" s="1" t="s">
        <v>5</v>
      </c>
      <c r="F2151">
        <v>15</v>
      </c>
      <c r="G2151" s="1" t="str">
        <f>Ocupacao_DW[[#This Row],[data]]&amp;Ocupacao_DW[[#This Row],[profissional_id]]&amp;Ocupacao_DW[[#This Row],[local_id]]</f>
        <v>446371258215</v>
      </c>
      <c r="H2151" s="1">
        <f>_xlfn.XLOOKUP(Ocupacao_DW[[#This Row],[Concat]],Vagas!$H:$H,Vagas!$D:$D,"",0)</f>
        <v>0</v>
      </c>
    </row>
    <row r="2152" spans="1:8" x14ac:dyDescent="0.25">
      <c r="A2152" s="2">
        <v>44635</v>
      </c>
      <c r="B2152" s="1" t="s">
        <v>70</v>
      </c>
      <c r="C2152">
        <v>12825</v>
      </c>
      <c r="D2152" s="1" t="s">
        <v>177</v>
      </c>
      <c r="E2152" s="1" t="s">
        <v>7</v>
      </c>
      <c r="F2152">
        <v>63</v>
      </c>
      <c r="G2152" s="1" t="str">
        <f>Ocupacao_DW[[#This Row],[data]]&amp;Ocupacao_DW[[#This Row],[profissional_id]]&amp;Ocupacao_DW[[#This Row],[local_id]]</f>
        <v>446351282563</v>
      </c>
      <c r="H2152" s="1">
        <f>_xlfn.XLOOKUP(Ocupacao_DW[[#This Row],[Concat]],Vagas!$H:$H,Vagas!$D:$D,"",0)</f>
        <v>0</v>
      </c>
    </row>
    <row r="2153" spans="1:8" x14ac:dyDescent="0.25">
      <c r="A2153" s="2">
        <v>44635</v>
      </c>
      <c r="B2153" s="1" t="s">
        <v>70</v>
      </c>
      <c r="C2153">
        <v>14237</v>
      </c>
      <c r="D2153" s="1" t="s">
        <v>186</v>
      </c>
      <c r="E2153" s="1" t="s">
        <v>4</v>
      </c>
      <c r="F2153">
        <v>47</v>
      </c>
      <c r="G2153" s="1" t="str">
        <f>Ocupacao_DW[[#This Row],[data]]&amp;Ocupacao_DW[[#This Row],[profissional_id]]&amp;Ocupacao_DW[[#This Row],[local_id]]</f>
        <v>446351423747</v>
      </c>
      <c r="H2153" s="1">
        <f>_xlfn.XLOOKUP(Ocupacao_DW[[#This Row],[Concat]],Vagas!$H:$H,Vagas!$D:$D,"",0)</f>
        <v>0</v>
      </c>
    </row>
    <row r="2154" spans="1:8" x14ac:dyDescent="0.25">
      <c r="A2154" s="2">
        <v>44636</v>
      </c>
      <c r="B2154" s="1" t="s">
        <v>55</v>
      </c>
      <c r="C2154">
        <v>73</v>
      </c>
      <c r="D2154" s="1" t="s">
        <v>171</v>
      </c>
      <c r="E2154" s="1" t="s">
        <v>6</v>
      </c>
      <c r="F2154">
        <v>5</v>
      </c>
      <c r="G2154" s="1" t="str">
        <f>Ocupacao_DW[[#This Row],[data]]&amp;Ocupacao_DW[[#This Row],[profissional_id]]&amp;Ocupacao_DW[[#This Row],[local_id]]</f>
        <v>44636735</v>
      </c>
      <c r="H2154" s="1">
        <f>_xlfn.XLOOKUP(Ocupacao_DW[[#This Row],[Concat]],Vagas!$H:$H,Vagas!$D:$D,"",0)</f>
        <v>0</v>
      </c>
    </row>
    <row r="2155" spans="1:8" x14ac:dyDescent="0.25">
      <c r="A2155" s="2">
        <v>44643</v>
      </c>
      <c r="B2155" s="1" t="s">
        <v>24</v>
      </c>
      <c r="C2155">
        <v>13061</v>
      </c>
      <c r="D2155" s="1" t="s">
        <v>232</v>
      </c>
      <c r="E2155" s="1" t="s">
        <v>6</v>
      </c>
      <c r="F2155">
        <v>3</v>
      </c>
      <c r="G2155" s="1" t="str">
        <f>Ocupacao_DW[[#This Row],[data]]&amp;Ocupacao_DW[[#This Row],[profissional_id]]&amp;Ocupacao_DW[[#This Row],[local_id]]</f>
        <v>44643130613</v>
      </c>
      <c r="H2155" s="1">
        <f>_xlfn.XLOOKUP(Ocupacao_DW[[#This Row],[Concat]],Vagas!$H:$H,Vagas!$D:$D,"",0)</f>
        <v>0</v>
      </c>
    </row>
    <row r="2156" spans="1:8" x14ac:dyDescent="0.25">
      <c r="A2156" s="2">
        <v>44657</v>
      </c>
      <c r="B2156" s="1" t="s">
        <v>70</v>
      </c>
      <c r="C2156">
        <v>12825</v>
      </c>
      <c r="D2156" s="1" t="s">
        <v>177</v>
      </c>
      <c r="E2156" s="1" t="s">
        <v>4</v>
      </c>
      <c r="F2156">
        <v>45</v>
      </c>
      <c r="G2156" s="1" t="str">
        <f>Ocupacao_DW[[#This Row],[data]]&amp;Ocupacao_DW[[#This Row],[profissional_id]]&amp;Ocupacao_DW[[#This Row],[local_id]]</f>
        <v>446571282545</v>
      </c>
      <c r="H2156" s="1">
        <f>_xlfn.XLOOKUP(Ocupacao_DW[[#This Row],[Concat]],Vagas!$H:$H,Vagas!$D:$D,"",0)</f>
        <v>0</v>
      </c>
    </row>
    <row r="2157" spans="1:8" x14ac:dyDescent="0.25">
      <c r="A2157" s="2">
        <v>44641</v>
      </c>
      <c r="B2157" s="1" t="s">
        <v>52</v>
      </c>
      <c r="C2157">
        <v>10691</v>
      </c>
      <c r="D2157" s="1" t="s">
        <v>181</v>
      </c>
      <c r="E2157" s="1" t="s">
        <v>6</v>
      </c>
      <c r="F2157">
        <v>9</v>
      </c>
      <c r="G2157" s="1" t="str">
        <f>Ocupacao_DW[[#This Row],[data]]&amp;Ocupacao_DW[[#This Row],[profissional_id]]&amp;Ocupacao_DW[[#This Row],[local_id]]</f>
        <v>44641106919</v>
      </c>
      <c r="H2157" s="1">
        <f>_xlfn.XLOOKUP(Ocupacao_DW[[#This Row],[Concat]],Vagas!$H:$H,Vagas!$D:$D,"",0)</f>
        <v>0</v>
      </c>
    </row>
    <row r="2158" spans="1:8" x14ac:dyDescent="0.25">
      <c r="A2158" s="2">
        <v>44638</v>
      </c>
      <c r="B2158" s="1" t="s">
        <v>69</v>
      </c>
      <c r="C2158">
        <v>13249</v>
      </c>
      <c r="D2158" s="1" t="s">
        <v>178</v>
      </c>
      <c r="E2158" s="1" t="s">
        <v>7</v>
      </c>
      <c r="F2158">
        <v>66</v>
      </c>
      <c r="G2158" s="1" t="str">
        <f>Ocupacao_DW[[#This Row],[data]]&amp;Ocupacao_DW[[#This Row],[profissional_id]]&amp;Ocupacao_DW[[#This Row],[local_id]]</f>
        <v>446381324966</v>
      </c>
      <c r="H2158" s="1">
        <f>_xlfn.XLOOKUP(Ocupacao_DW[[#This Row],[Concat]],Vagas!$H:$H,Vagas!$D:$D,"",0)</f>
        <v>0</v>
      </c>
    </row>
    <row r="2159" spans="1:8" x14ac:dyDescent="0.25">
      <c r="A2159" s="2">
        <v>44635</v>
      </c>
      <c r="B2159" s="1" t="s">
        <v>55</v>
      </c>
      <c r="C2159">
        <v>2984</v>
      </c>
      <c r="D2159" s="1" t="s">
        <v>185</v>
      </c>
      <c r="E2159" s="1" t="s">
        <v>6</v>
      </c>
      <c r="F2159">
        <v>7</v>
      </c>
      <c r="G2159" s="1" t="str">
        <f>Ocupacao_DW[[#This Row],[data]]&amp;Ocupacao_DW[[#This Row],[profissional_id]]&amp;Ocupacao_DW[[#This Row],[local_id]]</f>
        <v>4463529847</v>
      </c>
      <c r="H2159" s="1">
        <f>_xlfn.XLOOKUP(Ocupacao_DW[[#This Row],[Concat]],Vagas!$H:$H,Vagas!$D:$D,"",0)</f>
        <v>0</v>
      </c>
    </row>
    <row r="2160" spans="1:8" x14ac:dyDescent="0.25">
      <c r="A2160" s="2">
        <v>44635</v>
      </c>
      <c r="B2160" s="1"/>
      <c r="C2160">
        <v>0</v>
      </c>
      <c r="D2160" s="1"/>
      <c r="E2160" s="1" t="s">
        <v>6</v>
      </c>
      <c r="F2160">
        <v>3</v>
      </c>
      <c r="G2160" s="1" t="str">
        <f>Ocupacao_DW[[#This Row],[data]]&amp;Ocupacao_DW[[#This Row],[profissional_id]]&amp;Ocupacao_DW[[#This Row],[local_id]]</f>
        <v>4463503</v>
      </c>
      <c r="H2160" s="1" t="str">
        <f>_xlfn.XLOOKUP(Ocupacao_DW[[#This Row],[Concat]],Vagas!$H:$H,Vagas!$D:$D,"",0)</f>
        <v/>
      </c>
    </row>
    <row r="2161" spans="1:8" x14ac:dyDescent="0.25">
      <c r="A2161" s="2">
        <v>44635</v>
      </c>
      <c r="B2161" s="1" t="s">
        <v>62</v>
      </c>
      <c r="C2161">
        <v>3502</v>
      </c>
      <c r="D2161" s="1" t="s">
        <v>214</v>
      </c>
      <c r="E2161" s="1" t="s">
        <v>5</v>
      </c>
      <c r="F2161">
        <v>16</v>
      </c>
      <c r="G2161" s="1" t="str">
        <f>Ocupacao_DW[[#This Row],[data]]&amp;Ocupacao_DW[[#This Row],[profissional_id]]&amp;Ocupacao_DW[[#This Row],[local_id]]</f>
        <v>44635350216</v>
      </c>
      <c r="H2161" s="1">
        <f>_xlfn.XLOOKUP(Ocupacao_DW[[#This Row],[Concat]],Vagas!$H:$H,Vagas!$D:$D,"",0)</f>
        <v>0</v>
      </c>
    </row>
    <row r="2162" spans="1:8" x14ac:dyDescent="0.25">
      <c r="A2162" s="2">
        <v>44636</v>
      </c>
      <c r="B2162" s="1" t="s">
        <v>70</v>
      </c>
      <c r="C2162">
        <v>12825</v>
      </c>
      <c r="D2162" s="1" t="s">
        <v>177</v>
      </c>
      <c r="E2162" s="1" t="s">
        <v>4</v>
      </c>
      <c r="F2162">
        <v>45</v>
      </c>
      <c r="G2162" s="1" t="str">
        <f>Ocupacao_DW[[#This Row],[data]]&amp;Ocupacao_DW[[#This Row],[profissional_id]]&amp;Ocupacao_DW[[#This Row],[local_id]]</f>
        <v>446361282545</v>
      </c>
      <c r="H2162" s="1">
        <f>_xlfn.XLOOKUP(Ocupacao_DW[[#This Row],[Concat]],Vagas!$H:$H,Vagas!$D:$D,"",0)</f>
        <v>0</v>
      </c>
    </row>
    <row r="2163" spans="1:8" x14ac:dyDescent="0.25">
      <c r="A2163" s="2">
        <v>44642</v>
      </c>
      <c r="B2163" s="1" t="s">
        <v>70</v>
      </c>
      <c r="C2163">
        <v>14237</v>
      </c>
      <c r="D2163" s="1" t="s">
        <v>186</v>
      </c>
      <c r="E2163" s="1" t="s">
        <v>4</v>
      </c>
      <c r="F2163">
        <v>47</v>
      </c>
      <c r="G2163" s="1" t="str">
        <f>Ocupacao_DW[[#This Row],[data]]&amp;Ocupacao_DW[[#This Row],[profissional_id]]&amp;Ocupacao_DW[[#This Row],[local_id]]</f>
        <v>446421423747</v>
      </c>
      <c r="H2163" s="1">
        <f>_xlfn.XLOOKUP(Ocupacao_DW[[#This Row],[Concat]],Vagas!$H:$H,Vagas!$D:$D,"",0)</f>
        <v>0</v>
      </c>
    </row>
    <row r="2164" spans="1:8" x14ac:dyDescent="0.25">
      <c r="A2164" s="2">
        <v>44649</v>
      </c>
      <c r="B2164" s="1" t="s">
        <v>55</v>
      </c>
      <c r="C2164">
        <v>73</v>
      </c>
      <c r="D2164" s="1" t="s">
        <v>171</v>
      </c>
      <c r="E2164" s="1" t="s">
        <v>6</v>
      </c>
      <c r="F2164">
        <v>5</v>
      </c>
      <c r="G2164" s="1" t="str">
        <f>Ocupacao_DW[[#This Row],[data]]&amp;Ocupacao_DW[[#This Row],[profissional_id]]&amp;Ocupacao_DW[[#This Row],[local_id]]</f>
        <v>44649735</v>
      </c>
      <c r="H2164" s="1">
        <f>_xlfn.XLOOKUP(Ocupacao_DW[[#This Row],[Concat]],Vagas!$H:$H,Vagas!$D:$D,"",0)</f>
        <v>0</v>
      </c>
    </row>
    <row r="2165" spans="1:8" x14ac:dyDescent="0.25">
      <c r="A2165" s="2">
        <v>44646</v>
      </c>
      <c r="B2165" s="1"/>
      <c r="C2165">
        <v>17888</v>
      </c>
      <c r="D2165" s="1" t="s">
        <v>255</v>
      </c>
      <c r="E2165" s="1" t="s">
        <v>4</v>
      </c>
      <c r="F2165">
        <v>40</v>
      </c>
      <c r="G2165" s="1" t="str">
        <f>Ocupacao_DW[[#This Row],[data]]&amp;Ocupacao_DW[[#This Row],[profissional_id]]&amp;Ocupacao_DW[[#This Row],[local_id]]</f>
        <v>446461788840</v>
      </c>
      <c r="H2165" s="1">
        <f>_xlfn.XLOOKUP(Ocupacao_DW[[#This Row],[Concat]],Vagas!$H:$H,Vagas!$D:$D,"",0)</f>
        <v>6</v>
      </c>
    </row>
    <row r="2166" spans="1:8" x14ac:dyDescent="0.25">
      <c r="A2166" s="2">
        <v>44635</v>
      </c>
      <c r="B2166" s="1" t="s">
        <v>62</v>
      </c>
      <c r="C2166">
        <v>3502</v>
      </c>
      <c r="D2166" s="1" t="s">
        <v>214</v>
      </c>
      <c r="E2166" s="1" t="s">
        <v>5</v>
      </c>
      <c r="F2166">
        <v>16</v>
      </c>
      <c r="G2166" s="1" t="str">
        <f>Ocupacao_DW[[#This Row],[data]]&amp;Ocupacao_DW[[#This Row],[profissional_id]]&amp;Ocupacao_DW[[#This Row],[local_id]]</f>
        <v>44635350216</v>
      </c>
      <c r="H2166" s="1">
        <f>_xlfn.XLOOKUP(Ocupacao_DW[[#This Row],[Concat]],Vagas!$H:$H,Vagas!$D:$D,"",0)</f>
        <v>0</v>
      </c>
    </row>
    <row r="2167" spans="1:8" x14ac:dyDescent="0.25">
      <c r="A2167" s="2">
        <v>44641</v>
      </c>
      <c r="B2167" s="1" t="s">
        <v>52</v>
      </c>
      <c r="C2167">
        <v>10946</v>
      </c>
      <c r="D2167" s="1" t="s">
        <v>209</v>
      </c>
      <c r="E2167" s="1" t="s">
        <v>6</v>
      </c>
      <c r="F2167">
        <v>3</v>
      </c>
      <c r="G2167" s="1" t="str">
        <f>Ocupacao_DW[[#This Row],[data]]&amp;Ocupacao_DW[[#This Row],[profissional_id]]&amp;Ocupacao_DW[[#This Row],[local_id]]</f>
        <v>44641109463</v>
      </c>
      <c r="H2167" s="1">
        <f>_xlfn.XLOOKUP(Ocupacao_DW[[#This Row],[Concat]],Vagas!$H:$H,Vagas!$D:$D,"",0)</f>
        <v>0</v>
      </c>
    </row>
    <row r="2168" spans="1:8" x14ac:dyDescent="0.25">
      <c r="A2168" s="2">
        <v>44643</v>
      </c>
      <c r="B2168" s="1" t="s">
        <v>58</v>
      </c>
      <c r="C2168">
        <v>5767</v>
      </c>
      <c r="D2168" s="1" t="s">
        <v>239</v>
      </c>
      <c r="E2168" s="1" t="s">
        <v>4</v>
      </c>
      <c r="F2168">
        <v>44</v>
      </c>
      <c r="G2168" s="1" t="str">
        <f>Ocupacao_DW[[#This Row],[data]]&amp;Ocupacao_DW[[#This Row],[profissional_id]]&amp;Ocupacao_DW[[#This Row],[local_id]]</f>
        <v>44643576744</v>
      </c>
      <c r="H2168" s="1">
        <f>_xlfn.XLOOKUP(Ocupacao_DW[[#This Row],[Concat]],Vagas!$H:$H,Vagas!$D:$D,"",0)</f>
        <v>0</v>
      </c>
    </row>
    <row r="2169" spans="1:8" x14ac:dyDescent="0.25">
      <c r="A2169" s="2">
        <v>44636</v>
      </c>
      <c r="B2169" s="1" t="s">
        <v>52</v>
      </c>
      <c r="C2169">
        <v>57</v>
      </c>
      <c r="D2169" s="1" t="s">
        <v>169</v>
      </c>
      <c r="E2169" s="1" t="s">
        <v>6</v>
      </c>
      <c r="F2169">
        <v>4</v>
      </c>
      <c r="G2169" s="1" t="str">
        <f>Ocupacao_DW[[#This Row],[data]]&amp;Ocupacao_DW[[#This Row],[profissional_id]]&amp;Ocupacao_DW[[#This Row],[local_id]]</f>
        <v>44636574</v>
      </c>
      <c r="H2169" s="1">
        <f>_xlfn.XLOOKUP(Ocupacao_DW[[#This Row],[Concat]],Vagas!$H:$H,Vagas!$D:$D,"",0)</f>
        <v>0</v>
      </c>
    </row>
    <row r="2170" spans="1:8" x14ac:dyDescent="0.25">
      <c r="A2170" s="2">
        <v>44637</v>
      </c>
      <c r="B2170" s="1" t="s">
        <v>47</v>
      </c>
      <c r="C2170">
        <v>9111</v>
      </c>
      <c r="D2170" s="1" t="s">
        <v>206</v>
      </c>
      <c r="E2170" s="1" t="s">
        <v>4</v>
      </c>
      <c r="F2170">
        <v>334</v>
      </c>
      <c r="G2170" s="1" t="str">
        <f>Ocupacao_DW[[#This Row],[data]]&amp;Ocupacao_DW[[#This Row],[profissional_id]]&amp;Ocupacao_DW[[#This Row],[local_id]]</f>
        <v>446379111334</v>
      </c>
      <c r="H2170" s="1">
        <f>_xlfn.XLOOKUP(Ocupacao_DW[[#This Row],[Concat]],Vagas!$H:$H,Vagas!$D:$D,"",0)</f>
        <v>0</v>
      </c>
    </row>
    <row r="2171" spans="1:8" x14ac:dyDescent="0.25">
      <c r="A2171" s="2">
        <v>44641</v>
      </c>
      <c r="B2171" s="1" t="s">
        <v>49</v>
      </c>
      <c r="C2171">
        <v>3092</v>
      </c>
      <c r="D2171" s="1" t="s">
        <v>262</v>
      </c>
      <c r="E2171" s="1" t="s">
        <v>4</v>
      </c>
      <c r="F2171">
        <v>44</v>
      </c>
      <c r="G2171" s="1" t="str">
        <f>Ocupacao_DW[[#This Row],[data]]&amp;Ocupacao_DW[[#This Row],[profissional_id]]&amp;Ocupacao_DW[[#This Row],[local_id]]</f>
        <v>44641309244</v>
      </c>
      <c r="H2171" s="1">
        <f>_xlfn.XLOOKUP(Ocupacao_DW[[#This Row],[Concat]],Vagas!$H:$H,Vagas!$D:$D,"",0)</f>
        <v>0</v>
      </c>
    </row>
    <row r="2172" spans="1:8" x14ac:dyDescent="0.25">
      <c r="A2172" s="2">
        <v>44635</v>
      </c>
      <c r="B2172" s="1" t="s">
        <v>49</v>
      </c>
      <c r="C2172">
        <v>81</v>
      </c>
      <c r="D2172" s="1" t="s">
        <v>170</v>
      </c>
      <c r="E2172" s="1" t="s">
        <v>4</v>
      </c>
      <c r="F2172">
        <v>41</v>
      </c>
      <c r="G2172" s="1" t="str">
        <f>Ocupacao_DW[[#This Row],[data]]&amp;Ocupacao_DW[[#This Row],[profissional_id]]&amp;Ocupacao_DW[[#This Row],[local_id]]</f>
        <v>446358141</v>
      </c>
      <c r="H2172" s="1">
        <f>_xlfn.XLOOKUP(Ocupacao_DW[[#This Row],[Concat]],Vagas!$H:$H,Vagas!$D:$D,"",0)</f>
        <v>0</v>
      </c>
    </row>
    <row r="2173" spans="1:8" x14ac:dyDescent="0.25">
      <c r="A2173" s="2">
        <v>44636</v>
      </c>
      <c r="B2173" s="1" t="s">
        <v>54</v>
      </c>
      <c r="C2173">
        <v>1490</v>
      </c>
      <c r="D2173" s="1" t="s">
        <v>174</v>
      </c>
      <c r="E2173" s="1" t="s">
        <v>5</v>
      </c>
      <c r="F2173">
        <v>13</v>
      </c>
      <c r="G2173" s="1" t="str">
        <f>Ocupacao_DW[[#This Row],[data]]&amp;Ocupacao_DW[[#This Row],[profissional_id]]&amp;Ocupacao_DW[[#This Row],[local_id]]</f>
        <v>44636149013</v>
      </c>
      <c r="H2173" s="1">
        <f>_xlfn.XLOOKUP(Ocupacao_DW[[#This Row],[Concat]],Vagas!$H:$H,Vagas!$D:$D,"",0)</f>
        <v>0</v>
      </c>
    </row>
    <row r="2174" spans="1:8" x14ac:dyDescent="0.25">
      <c r="A2174" s="2">
        <v>44635</v>
      </c>
      <c r="B2174" s="1" t="s">
        <v>65</v>
      </c>
      <c r="C2174">
        <v>11237</v>
      </c>
      <c r="D2174" s="1" t="s">
        <v>229</v>
      </c>
      <c r="E2174" s="1" t="s">
        <v>4</v>
      </c>
      <c r="F2174">
        <v>46</v>
      </c>
      <c r="G2174" s="1" t="str">
        <f>Ocupacao_DW[[#This Row],[data]]&amp;Ocupacao_DW[[#This Row],[profissional_id]]&amp;Ocupacao_DW[[#This Row],[local_id]]</f>
        <v>446351123746</v>
      </c>
      <c r="H2174" s="1">
        <f>_xlfn.XLOOKUP(Ocupacao_DW[[#This Row],[Concat]],Vagas!$H:$H,Vagas!$D:$D,"",0)</f>
        <v>0</v>
      </c>
    </row>
    <row r="2175" spans="1:8" x14ac:dyDescent="0.25">
      <c r="A2175" s="2">
        <v>44639</v>
      </c>
      <c r="B2175" s="1" t="s">
        <v>54</v>
      </c>
      <c r="C2175">
        <v>70</v>
      </c>
      <c r="D2175" s="1" t="s">
        <v>187</v>
      </c>
      <c r="E2175" s="1" t="s">
        <v>5</v>
      </c>
      <c r="F2175">
        <v>13</v>
      </c>
      <c r="G2175" s="1" t="str">
        <f>Ocupacao_DW[[#This Row],[data]]&amp;Ocupacao_DW[[#This Row],[profissional_id]]&amp;Ocupacao_DW[[#This Row],[local_id]]</f>
        <v>446397013</v>
      </c>
      <c r="H2175" s="1">
        <f>_xlfn.XLOOKUP(Ocupacao_DW[[#This Row],[Concat]],Vagas!$H:$H,Vagas!$D:$D,"",0)</f>
        <v>0</v>
      </c>
    </row>
    <row r="2176" spans="1:8" x14ac:dyDescent="0.25">
      <c r="A2176" s="2">
        <v>44639</v>
      </c>
      <c r="B2176" s="1" t="s">
        <v>49</v>
      </c>
      <c r="C2176">
        <v>13756</v>
      </c>
      <c r="D2176" s="1" t="s">
        <v>202</v>
      </c>
      <c r="E2176" s="1" t="s">
        <v>4</v>
      </c>
      <c r="F2176">
        <v>44</v>
      </c>
      <c r="G2176" s="1" t="str">
        <f>Ocupacao_DW[[#This Row],[data]]&amp;Ocupacao_DW[[#This Row],[profissional_id]]&amp;Ocupacao_DW[[#This Row],[local_id]]</f>
        <v>446391375644</v>
      </c>
      <c r="H2176" s="1">
        <f>_xlfn.XLOOKUP(Ocupacao_DW[[#This Row],[Concat]],Vagas!$H:$H,Vagas!$D:$D,"",0)</f>
        <v>0</v>
      </c>
    </row>
    <row r="2177" spans="1:8" x14ac:dyDescent="0.25">
      <c r="A2177" s="2">
        <v>44636</v>
      </c>
      <c r="B2177" s="1" t="s">
        <v>49</v>
      </c>
      <c r="C2177">
        <v>81</v>
      </c>
      <c r="D2177" s="1" t="s">
        <v>170</v>
      </c>
      <c r="E2177" s="1" t="s">
        <v>4</v>
      </c>
      <c r="F2177">
        <v>41</v>
      </c>
      <c r="G2177" s="1" t="str">
        <f>Ocupacao_DW[[#This Row],[data]]&amp;Ocupacao_DW[[#This Row],[profissional_id]]&amp;Ocupacao_DW[[#This Row],[local_id]]</f>
        <v>446368141</v>
      </c>
      <c r="H2177" s="1">
        <f>_xlfn.XLOOKUP(Ocupacao_DW[[#This Row],[Concat]],Vagas!$H:$H,Vagas!$D:$D,"",0)</f>
        <v>0</v>
      </c>
    </row>
    <row r="2178" spans="1:8" x14ac:dyDescent="0.25">
      <c r="A2178" s="2">
        <v>44643</v>
      </c>
      <c r="B2178" s="1" t="s">
        <v>51</v>
      </c>
      <c r="C2178">
        <v>12679</v>
      </c>
      <c r="D2178" s="1" t="s">
        <v>192</v>
      </c>
      <c r="E2178" s="1" t="s">
        <v>200</v>
      </c>
      <c r="F2178">
        <v>82</v>
      </c>
      <c r="G2178" s="1" t="str">
        <f>Ocupacao_DW[[#This Row],[data]]&amp;Ocupacao_DW[[#This Row],[profissional_id]]&amp;Ocupacao_DW[[#This Row],[local_id]]</f>
        <v>446431267982</v>
      </c>
      <c r="H2178" s="1">
        <f>_xlfn.XLOOKUP(Ocupacao_DW[[#This Row],[Concat]],Vagas!$H:$H,Vagas!$D:$D,"",0)</f>
        <v>0</v>
      </c>
    </row>
    <row r="2179" spans="1:8" x14ac:dyDescent="0.25">
      <c r="A2179" s="2">
        <v>44641</v>
      </c>
      <c r="B2179" s="1" t="s">
        <v>55</v>
      </c>
      <c r="C2179">
        <v>2984</v>
      </c>
      <c r="D2179" s="1" t="s">
        <v>185</v>
      </c>
      <c r="E2179" s="1" t="s">
        <v>6</v>
      </c>
      <c r="F2179">
        <v>7</v>
      </c>
      <c r="G2179" s="1" t="str">
        <f>Ocupacao_DW[[#This Row],[data]]&amp;Ocupacao_DW[[#This Row],[profissional_id]]&amp;Ocupacao_DW[[#This Row],[local_id]]</f>
        <v>4464129847</v>
      </c>
      <c r="H2179" s="1">
        <f>_xlfn.XLOOKUP(Ocupacao_DW[[#This Row],[Concat]],Vagas!$H:$H,Vagas!$D:$D,"",0)</f>
        <v>0</v>
      </c>
    </row>
    <row r="2180" spans="1:8" x14ac:dyDescent="0.25">
      <c r="A2180" s="2">
        <v>44637</v>
      </c>
      <c r="B2180" s="1" t="s">
        <v>55</v>
      </c>
      <c r="C2180">
        <v>8598</v>
      </c>
      <c r="D2180" s="1" t="s">
        <v>228</v>
      </c>
      <c r="E2180" s="1" t="s">
        <v>6</v>
      </c>
      <c r="F2180">
        <v>3</v>
      </c>
      <c r="G2180" s="1" t="str">
        <f>Ocupacao_DW[[#This Row],[data]]&amp;Ocupacao_DW[[#This Row],[profissional_id]]&amp;Ocupacao_DW[[#This Row],[local_id]]</f>
        <v>4463785983</v>
      </c>
      <c r="H2180" s="1">
        <f>_xlfn.XLOOKUP(Ocupacao_DW[[#This Row],[Concat]],Vagas!$H:$H,Vagas!$D:$D,"",0)</f>
        <v>0</v>
      </c>
    </row>
    <row r="2181" spans="1:8" x14ac:dyDescent="0.25">
      <c r="A2181" s="2">
        <v>44652</v>
      </c>
      <c r="B2181" s="1" t="s">
        <v>52</v>
      </c>
      <c r="C2181">
        <v>55</v>
      </c>
      <c r="D2181" s="1" t="s">
        <v>244</v>
      </c>
      <c r="E2181" s="1" t="s">
        <v>7</v>
      </c>
      <c r="F2181">
        <v>68</v>
      </c>
      <c r="G2181" s="1" t="str">
        <f>Ocupacao_DW[[#This Row],[data]]&amp;Ocupacao_DW[[#This Row],[profissional_id]]&amp;Ocupacao_DW[[#This Row],[local_id]]</f>
        <v>446525568</v>
      </c>
      <c r="H2181" s="1">
        <f>_xlfn.XLOOKUP(Ocupacao_DW[[#This Row],[Concat]],Vagas!$H:$H,Vagas!$D:$D,"",0)</f>
        <v>0</v>
      </c>
    </row>
    <row r="2182" spans="1:8" x14ac:dyDescent="0.25">
      <c r="A2182" s="2">
        <v>44638</v>
      </c>
      <c r="B2182" s="1" t="s">
        <v>52</v>
      </c>
      <c r="C2182">
        <v>57</v>
      </c>
      <c r="D2182" s="1" t="s">
        <v>169</v>
      </c>
      <c r="E2182" s="1" t="s">
        <v>6</v>
      </c>
      <c r="F2182">
        <v>8</v>
      </c>
      <c r="G2182" s="1" t="str">
        <f>Ocupacao_DW[[#This Row],[data]]&amp;Ocupacao_DW[[#This Row],[profissional_id]]&amp;Ocupacao_DW[[#This Row],[local_id]]</f>
        <v>44638578</v>
      </c>
      <c r="H2182" s="1">
        <f>_xlfn.XLOOKUP(Ocupacao_DW[[#This Row],[Concat]],Vagas!$H:$H,Vagas!$D:$D,"",0)</f>
        <v>0</v>
      </c>
    </row>
    <row r="2183" spans="1:8" x14ac:dyDescent="0.25">
      <c r="A2183" s="2">
        <v>44637</v>
      </c>
      <c r="B2183" s="1" t="s">
        <v>66</v>
      </c>
      <c r="C2183">
        <v>100</v>
      </c>
      <c r="D2183" s="1" t="s">
        <v>166</v>
      </c>
      <c r="E2183" s="1" t="s">
        <v>167</v>
      </c>
      <c r="F2183">
        <v>342</v>
      </c>
      <c r="G2183" s="1" t="str">
        <f>Ocupacao_DW[[#This Row],[data]]&amp;Ocupacao_DW[[#This Row],[profissional_id]]&amp;Ocupacao_DW[[#This Row],[local_id]]</f>
        <v>44637100342</v>
      </c>
      <c r="H2183" s="1">
        <f>_xlfn.XLOOKUP(Ocupacao_DW[[#This Row],[Concat]],Vagas!$H:$H,Vagas!$D:$D,"",0)</f>
        <v>0</v>
      </c>
    </row>
    <row r="2184" spans="1:8" x14ac:dyDescent="0.25">
      <c r="A2184" s="2">
        <v>44638</v>
      </c>
      <c r="B2184" s="1" t="s">
        <v>52</v>
      </c>
      <c r="C2184">
        <v>10691</v>
      </c>
      <c r="D2184" s="1" t="s">
        <v>181</v>
      </c>
      <c r="E2184" s="1" t="s">
        <v>200</v>
      </c>
      <c r="F2184">
        <v>78</v>
      </c>
      <c r="G2184" s="1" t="str">
        <f>Ocupacao_DW[[#This Row],[data]]&amp;Ocupacao_DW[[#This Row],[profissional_id]]&amp;Ocupacao_DW[[#This Row],[local_id]]</f>
        <v>446381069178</v>
      </c>
      <c r="H2184" s="1">
        <f>_xlfn.XLOOKUP(Ocupacao_DW[[#This Row],[Concat]],Vagas!$H:$H,Vagas!$D:$D,"",0)</f>
        <v>0</v>
      </c>
    </row>
    <row r="2185" spans="1:8" x14ac:dyDescent="0.25">
      <c r="A2185" s="2">
        <v>44637</v>
      </c>
      <c r="B2185" s="1" t="s">
        <v>64</v>
      </c>
      <c r="C2185">
        <v>85</v>
      </c>
      <c r="D2185" s="1" t="s">
        <v>211</v>
      </c>
      <c r="E2185" s="1" t="s">
        <v>5</v>
      </c>
      <c r="F2185">
        <v>349</v>
      </c>
      <c r="G2185" s="1" t="str">
        <f>Ocupacao_DW[[#This Row],[data]]&amp;Ocupacao_DW[[#This Row],[profissional_id]]&amp;Ocupacao_DW[[#This Row],[local_id]]</f>
        <v>4463785349</v>
      </c>
      <c r="H2185" s="1">
        <f>_xlfn.XLOOKUP(Ocupacao_DW[[#This Row],[Concat]],Vagas!$H:$H,Vagas!$D:$D,"",0)</f>
        <v>0</v>
      </c>
    </row>
    <row r="2186" spans="1:8" x14ac:dyDescent="0.25">
      <c r="A2186" s="2">
        <v>44635</v>
      </c>
      <c r="B2186" s="1" t="s">
        <v>68</v>
      </c>
      <c r="C2186">
        <v>8239</v>
      </c>
      <c r="D2186" s="1" t="s">
        <v>257</v>
      </c>
      <c r="E2186" s="1" t="s">
        <v>5</v>
      </c>
      <c r="F2186">
        <v>14</v>
      </c>
      <c r="G2186" s="1" t="str">
        <f>Ocupacao_DW[[#This Row],[data]]&amp;Ocupacao_DW[[#This Row],[profissional_id]]&amp;Ocupacao_DW[[#This Row],[local_id]]</f>
        <v>44635823914</v>
      </c>
      <c r="H2186" s="1">
        <f>_xlfn.XLOOKUP(Ocupacao_DW[[#This Row],[Concat]],Vagas!$H:$H,Vagas!$D:$D,"",0)</f>
        <v>0</v>
      </c>
    </row>
    <row r="2187" spans="1:8" x14ac:dyDescent="0.25">
      <c r="A2187" s="2">
        <v>44645</v>
      </c>
      <c r="B2187" s="1" t="s">
        <v>52</v>
      </c>
      <c r="C2187">
        <v>57</v>
      </c>
      <c r="D2187" s="1" t="s">
        <v>169</v>
      </c>
      <c r="E2187" s="1" t="s">
        <v>6</v>
      </c>
      <c r="F2187">
        <v>8</v>
      </c>
      <c r="G2187" s="1" t="str">
        <f>Ocupacao_DW[[#This Row],[data]]&amp;Ocupacao_DW[[#This Row],[profissional_id]]&amp;Ocupacao_DW[[#This Row],[local_id]]</f>
        <v>44645578</v>
      </c>
      <c r="H2187" s="1">
        <f>_xlfn.XLOOKUP(Ocupacao_DW[[#This Row],[Concat]],Vagas!$H:$H,Vagas!$D:$D,"",0)</f>
        <v>0</v>
      </c>
    </row>
    <row r="2188" spans="1:8" x14ac:dyDescent="0.25">
      <c r="A2188" s="2">
        <v>44635</v>
      </c>
      <c r="B2188" s="1" t="s">
        <v>65</v>
      </c>
      <c r="C2188">
        <v>11652</v>
      </c>
      <c r="D2188" s="1" t="s">
        <v>242</v>
      </c>
      <c r="E2188" s="1" t="s">
        <v>4</v>
      </c>
      <c r="F2188">
        <v>47</v>
      </c>
      <c r="G2188" s="1" t="str">
        <f>Ocupacao_DW[[#This Row],[data]]&amp;Ocupacao_DW[[#This Row],[profissional_id]]&amp;Ocupacao_DW[[#This Row],[local_id]]</f>
        <v>446351165247</v>
      </c>
      <c r="H2188" s="1">
        <f>_xlfn.XLOOKUP(Ocupacao_DW[[#This Row],[Concat]],Vagas!$H:$H,Vagas!$D:$D,"",0)</f>
        <v>0</v>
      </c>
    </row>
    <row r="2189" spans="1:8" x14ac:dyDescent="0.25">
      <c r="A2189" s="2">
        <v>44635</v>
      </c>
      <c r="B2189" s="1"/>
      <c r="C2189">
        <v>72</v>
      </c>
      <c r="D2189" s="1" t="s">
        <v>271</v>
      </c>
      <c r="E2189" s="1" t="s">
        <v>4</v>
      </c>
      <c r="F2189">
        <v>359</v>
      </c>
      <c r="G2189" s="1" t="str">
        <f>Ocupacao_DW[[#This Row],[data]]&amp;Ocupacao_DW[[#This Row],[profissional_id]]&amp;Ocupacao_DW[[#This Row],[local_id]]</f>
        <v>4463572359</v>
      </c>
      <c r="H2189" s="1" t="str">
        <f>_xlfn.XLOOKUP(Ocupacao_DW[[#This Row],[Concat]],Vagas!$H:$H,Vagas!$D:$D,"",0)</f>
        <v/>
      </c>
    </row>
    <row r="2190" spans="1:8" x14ac:dyDescent="0.25">
      <c r="A2190" s="2">
        <v>44636</v>
      </c>
      <c r="B2190" s="1" t="s">
        <v>70</v>
      </c>
      <c r="C2190">
        <v>12825</v>
      </c>
      <c r="D2190" s="1" t="s">
        <v>177</v>
      </c>
      <c r="E2190" s="1" t="s">
        <v>4</v>
      </c>
      <c r="F2190">
        <v>45</v>
      </c>
      <c r="G2190" s="1" t="str">
        <f>Ocupacao_DW[[#This Row],[data]]&amp;Ocupacao_DW[[#This Row],[profissional_id]]&amp;Ocupacao_DW[[#This Row],[local_id]]</f>
        <v>446361282545</v>
      </c>
      <c r="H2190" s="1">
        <f>_xlfn.XLOOKUP(Ocupacao_DW[[#This Row],[Concat]],Vagas!$H:$H,Vagas!$D:$D,"",0)</f>
        <v>0</v>
      </c>
    </row>
    <row r="2191" spans="1:8" x14ac:dyDescent="0.25">
      <c r="A2191" s="2">
        <v>44644</v>
      </c>
      <c r="B2191" s="1" t="s">
        <v>67</v>
      </c>
      <c r="C2191">
        <v>10717</v>
      </c>
      <c r="D2191" s="1" t="s">
        <v>245</v>
      </c>
      <c r="E2191" s="1" t="s">
        <v>7</v>
      </c>
      <c r="F2191">
        <v>69</v>
      </c>
      <c r="G2191" s="1" t="str">
        <f>Ocupacao_DW[[#This Row],[data]]&amp;Ocupacao_DW[[#This Row],[profissional_id]]&amp;Ocupacao_DW[[#This Row],[local_id]]</f>
        <v>446441071769</v>
      </c>
      <c r="H2191" s="1">
        <f>_xlfn.XLOOKUP(Ocupacao_DW[[#This Row],[Concat]],Vagas!$H:$H,Vagas!$D:$D,"",0)</f>
        <v>0</v>
      </c>
    </row>
    <row r="2192" spans="1:8" x14ac:dyDescent="0.25">
      <c r="A2192" s="2">
        <v>44635</v>
      </c>
      <c r="B2192" s="1" t="s">
        <v>54</v>
      </c>
      <c r="C2192">
        <v>12623</v>
      </c>
      <c r="D2192" s="1" t="s">
        <v>258</v>
      </c>
      <c r="E2192" s="1" t="s">
        <v>5</v>
      </c>
      <c r="F2192">
        <v>11</v>
      </c>
      <c r="G2192" s="1" t="str">
        <f>Ocupacao_DW[[#This Row],[data]]&amp;Ocupacao_DW[[#This Row],[profissional_id]]&amp;Ocupacao_DW[[#This Row],[local_id]]</f>
        <v>446351262311</v>
      </c>
      <c r="H2192" s="1">
        <f>_xlfn.XLOOKUP(Ocupacao_DW[[#This Row],[Concat]],Vagas!$H:$H,Vagas!$D:$D,"",0)</f>
        <v>0</v>
      </c>
    </row>
    <row r="2193" spans="1:8" x14ac:dyDescent="0.25">
      <c r="A2193" s="2">
        <v>44648</v>
      </c>
      <c r="B2193" s="1" t="s">
        <v>49</v>
      </c>
      <c r="C2193">
        <v>81</v>
      </c>
      <c r="D2193" s="1" t="s">
        <v>170</v>
      </c>
      <c r="E2193" s="1" t="s">
        <v>4</v>
      </c>
      <c r="F2193">
        <v>41</v>
      </c>
      <c r="G2193" s="1" t="str">
        <f>Ocupacao_DW[[#This Row],[data]]&amp;Ocupacao_DW[[#This Row],[profissional_id]]&amp;Ocupacao_DW[[#This Row],[local_id]]</f>
        <v>446488141</v>
      </c>
      <c r="H2193" s="1">
        <f>_xlfn.XLOOKUP(Ocupacao_DW[[#This Row],[Concat]],Vagas!$H:$H,Vagas!$D:$D,"",0)</f>
        <v>0</v>
      </c>
    </row>
    <row r="2194" spans="1:8" x14ac:dyDescent="0.25">
      <c r="A2194" s="2">
        <v>44635</v>
      </c>
      <c r="B2194" s="1" t="s">
        <v>65</v>
      </c>
      <c r="C2194">
        <v>11652</v>
      </c>
      <c r="D2194" s="1" t="s">
        <v>242</v>
      </c>
      <c r="E2194" s="1" t="s">
        <v>4</v>
      </c>
      <c r="F2194">
        <v>47</v>
      </c>
      <c r="G2194" s="1" t="str">
        <f>Ocupacao_DW[[#This Row],[data]]&amp;Ocupacao_DW[[#This Row],[profissional_id]]&amp;Ocupacao_DW[[#This Row],[local_id]]</f>
        <v>446351165247</v>
      </c>
      <c r="H2194" s="1">
        <f>_xlfn.XLOOKUP(Ocupacao_DW[[#This Row],[Concat]],Vagas!$H:$H,Vagas!$D:$D,"",0)</f>
        <v>0</v>
      </c>
    </row>
    <row r="2195" spans="1:8" x14ac:dyDescent="0.25">
      <c r="A2195" s="2">
        <v>44637</v>
      </c>
      <c r="B2195" s="1"/>
      <c r="C2195">
        <v>17937</v>
      </c>
      <c r="D2195" s="1" t="s">
        <v>297</v>
      </c>
      <c r="E2195" s="1" t="s">
        <v>4</v>
      </c>
      <c r="F2195">
        <v>351</v>
      </c>
      <c r="G2195" s="1" t="str">
        <f>Ocupacao_DW[[#This Row],[data]]&amp;Ocupacao_DW[[#This Row],[profissional_id]]&amp;Ocupacao_DW[[#This Row],[local_id]]</f>
        <v>4463717937351</v>
      </c>
      <c r="H2195" s="1" t="str">
        <f>_xlfn.XLOOKUP(Ocupacao_DW[[#This Row],[Concat]],Vagas!$H:$H,Vagas!$D:$D,"",0)</f>
        <v/>
      </c>
    </row>
    <row r="2196" spans="1:8" x14ac:dyDescent="0.25">
      <c r="A2196" s="2">
        <v>44637</v>
      </c>
      <c r="B2196" s="1"/>
      <c r="C2196">
        <v>17937</v>
      </c>
      <c r="D2196" s="1" t="s">
        <v>297</v>
      </c>
      <c r="E2196" s="1" t="s">
        <v>4</v>
      </c>
      <c r="F2196">
        <v>351</v>
      </c>
      <c r="G2196" s="1" t="str">
        <f>Ocupacao_DW[[#This Row],[data]]&amp;Ocupacao_DW[[#This Row],[profissional_id]]&amp;Ocupacao_DW[[#This Row],[local_id]]</f>
        <v>4463717937351</v>
      </c>
      <c r="H2196" s="1" t="str">
        <f>_xlfn.XLOOKUP(Ocupacao_DW[[#This Row],[Concat]],Vagas!$H:$H,Vagas!$D:$D,"",0)</f>
        <v/>
      </c>
    </row>
    <row r="2197" spans="1:8" x14ac:dyDescent="0.25">
      <c r="A2197" s="2">
        <v>44639</v>
      </c>
      <c r="B2197" s="1" t="s">
        <v>62</v>
      </c>
      <c r="C2197">
        <v>4887</v>
      </c>
      <c r="D2197" s="1" t="s">
        <v>168</v>
      </c>
      <c r="E2197" s="1" t="s">
        <v>5</v>
      </c>
      <c r="F2197">
        <v>18</v>
      </c>
      <c r="G2197" s="1" t="str">
        <f>Ocupacao_DW[[#This Row],[data]]&amp;Ocupacao_DW[[#This Row],[profissional_id]]&amp;Ocupacao_DW[[#This Row],[local_id]]</f>
        <v>44639488718</v>
      </c>
      <c r="H2197" s="1">
        <f>_xlfn.XLOOKUP(Ocupacao_DW[[#This Row],[Concat]],Vagas!$H:$H,Vagas!$D:$D,"",0)</f>
        <v>0</v>
      </c>
    </row>
    <row r="2198" spans="1:8" x14ac:dyDescent="0.25">
      <c r="A2198" s="2">
        <v>44635</v>
      </c>
      <c r="B2198" s="1" t="s">
        <v>47</v>
      </c>
      <c r="C2198">
        <v>111</v>
      </c>
      <c r="D2198" s="1" t="s">
        <v>199</v>
      </c>
      <c r="E2198" s="1" t="s">
        <v>4</v>
      </c>
      <c r="F2198">
        <v>51</v>
      </c>
      <c r="G2198" s="1" t="str">
        <f>Ocupacao_DW[[#This Row],[data]]&amp;Ocupacao_DW[[#This Row],[profissional_id]]&amp;Ocupacao_DW[[#This Row],[local_id]]</f>
        <v>4463511151</v>
      </c>
      <c r="H2198" s="1">
        <f>_xlfn.XLOOKUP(Ocupacao_DW[[#This Row],[Concat]],Vagas!$H:$H,Vagas!$D:$D,"",0)</f>
        <v>0</v>
      </c>
    </row>
    <row r="2199" spans="1:8" x14ac:dyDescent="0.25">
      <c r="A2199" s="2">
        <v>44645</v>
      </c>
      <c r="B2199" s="1" t="s">
        <v>55</v>
      </c>
      <c r="C2199">
        <v>2984</v>
      </c>
      <c r="D2199" s="1" t="s">
        <v>185</v>
      </c>
      <c r="E2199" s="1" t="s">
        <v>6</v>
      </c>
      <c r="F2199">
        <v>7</v>
      </c>
      <c r="G2199" s="1" t="str">
        <f>Ocupacao_DW[[#This Row],[data]]&amp;Ocupacao_DW[[#This Row],[profissional_id]]&amp;Ocupacao_DW[[#This Row],[local_id]]</f>
        <v>4464529847</v>
      </c>
      <c r="H2199" s="1">
        <f>_xlfn.XLOOKUP(Ocupacao_DW[[#This Row],[Concat]],Vagas!$H:$H,Vagas!$D:$D,"",0)</f>
        <v>0</v>
      </c>
    </row>
    <row r="2200" spans="1:8" x14ac:dyDescent="0.25">
      <c r="A2200" s="2">
        <v>44637</v>
      </c>
      <c r="B2200" s="1" t="s">
        <v>52</v>
      </c>
      <c r="C2200">
        <v>9217</v>
      </c>
      <c r="D2200" s="1" t="s">
        <v>191</v>
      </c>
      <c r="E2200" s="1" t="s">
        <v>6</v>
      </c>
      <c r="F2200">
        <v>7</v>
      </c>
      <c r="G2200" s="1" t="str">
        <f>Ocupacao_DW[[#This Row],[data]]&amp;Ocupacao_DW[[#This Row],[profissional_id]]&amp;Ocupacao_DW[[#This Row],[local_id]]</f>
        <v>4463792177</v>
      </c>
      <c r="H2200" s="1">
        <f>_xlfn.XLOOKUP(Ocupacao_DW[[#This Row],[Concat]],Vagas!$H:$H,Vagas!$D:$D,"",0)</f>
        <v>0</v>
      </c>
    </row>
    <row r="2201" spans="1:8" x14ac:dyDescent="0.25">
      <c r="A2201" s="2">
        <v>44637</v>
      </c>
      <c r="B2201" s="1" t="s">
        <v>55</v>
      </c>
      <c r="C2201">
        <v>8598</v>
      </c>
      <c r="D2201" s="1" t="s">
        <v>228</v>
      </c>
      <c r="E2201" s="1" t="s">
        <v>6</v>
      </c>
      <c r="F2201">
        <v>3</v>
      </c>
      <c r="G2201" s="1" t="str">
        <f>Ocupacao_DW[[#This Row],[data]]&amp;Ocupacao_DW[[#This Row],[profissional_id]]&amp;Ocupacao_DW[[#This Row],[local_id]]</f>
        <v>4463785983</v>
      </c>
      <c r="H2201" s="1">
        <f>_xlfn.XLOOKUP(Ocupacao_DW[[#This Row],[Concat]],Vagas!$H:$H,Vagas!$D:$D,"",0)</f>
        <v>0</v>
      </c>
    </row>
    <row r="2202" spans="1:8" x14ac:dyDescent="0.25">
      <c r="A2202" s="2">
        <v>44649</v>
      </c>
      <c r="B2202" s="1" t="s">
        <v>52</v>
      </c>
      <c r="C2202">
        <v>13061</v>
      </c>
      <c r="D2202" s="1" t="s">
        <v>232</v>
      </c>
      <c r="E2202" s="1" t="s">
        <v>6</v>
      </c>
      <c r="F2202">
        <v>9</v>
      </c>
      <c r="G2202" s="1" t="str">
        <f>Ocupacao_DW[[#This Row],[data]]&amp;Ocupacao_DW[[#This Row],[profissional_id]]&amp;Ocupacao_DW[[#This Row],[local_id]]</f>
        <v>44649130619</v>
      </c>
      <c r="H2202" s="1">
        <f>_xlfn.XLOOKUP(Ocupacao_DW[[#This Row],[Concat]],Vagas!$H:$H,Vagas!$D:$D,"",0)</f>
        <v>0</v>
      </c>
    </row>
    <row r="2203" spans="1:8" x14ac:dyDescent="0.25">
      <c r="A2203" s="2">
        <v>44638</v>
      </c>
      <c r="B2203" s="1" t="s">
        <v>43</v>
      </c>
      <c r="C2203">
        <v>17864</v>
      </c>
      <c r="D2203" s="1" t="s">
        <v>234</v>
      </c>
      <c r="E2203" s="1" t="s">
        <v>7</v>
      </c>
      <c r="F2203">
        <v>72</v>
      </c>
      <c r="G2203" s="1" t="str">
        <f>Ocupacao_DW[[#This Row],[data]]&amp;Ocupacao_DW[[#This Row],[profissional_id]]&amp;Ocupacao_DW[[#This Row],[local_id]]</f>
        <v>446381786472</v>
      </c>
      <c r="H2203" s="1" t="str">
        <f>_xlfn.XLOOKUP(Ocupacao_DW[[#This Row],[Concat]],Vagas!$H:$H,Vagas!$D:$D,"",0)</f>
        <v/>
      </c>
    </row>
    <row r="2204" spans="1:8" x14ac:dyDescent="0.25">
      <c r="A2204" s="2">
        <v>44657</v>
      </c>
      <c r="B2204" s="1" t="s">
        <v>52</v>
      </c>
      <c r="C2204">
        <v>67</v>
      </c>
      <c r="D2204" s="1" t="s">
        <v>172</v>
      </c>
      <c r="E2204" s="1" t="s">
        <v>6</v>
      </c>
      <c r="F2204">
        <v>8</v>
      </c>
      <c r="G2204" s="1" t="str">
        <f>Ocupacao_DW[[#This Row],[data]]&amp;Ocupacao_DW[[#This Row],[profissional_id]]&amp;Ocupacao_DW[[#This Row],[local_id]]</f>
        <v>44657678</v>
      </c>
      <c r="H2204" s="1">
        <f>_xlfn.XLOOKUP(Ocupacao_DW[[#This Row],[Concat]],Vagas!$H:$H,Vagas!$D:$D,"",0)</f>
        <v>0</v>
      </c>
    </row>
    <row r="2205" spans="1:8" x14ac:dyDescent="0.25">
      <c r="A2205" s="2">
        <v>44639</v>
      </c>
      <c r="B2205" s="1" t="s">
        <v>47</v>
      </c>
      <c r="C2205">
        <v>111</v>
      </c>
      <c r="D2205" s="1" t="s">
        <v>199</v>
      </c>
      <c r="E2205" s="1" t="s">
        <v>4</v>
      </c>
      <c r="F2205">
        <v>51</v>
      </c>
      <c r="G2205" s="1" t="str">
        <f>Ocupacao_DW[[#This Row],[data]]&amp;Ocupacao_DW[[#This Row],[profissional_id]]&amp;Ocupacao_DW[[#This Row],[local_id]]</f>
        <v>4463911151</v>
      </c>
      <c r="H2205" s="1">
        <f>_xlfn.XLOOKUP(Ocupacao_DW[[#This Row],[Concat]],Vagas!$H:$H,Vagas!$D:$D,"",0)</f>
        <v>0</v>
      </c>
    </row>
    <row r="2206" spans="1:8" x14ac:dyDescent="0.25">
      <c r="A2206" s="2">
        <v>44636</v>
      </c>
      <c r="B2206" s="1" t="s">
        <v>66</v>
      </c>
      <c r="C2206">
        <v>1343</v>
      </c>
      <c r="D2206" s="1" t="s">
        <v>263</v>
      </c>
      <c r="E2206" s="1" t="s">
        <v>167</v>
      </c>
      <c r="F2206">
        <v>342</v>
      </c>
      <c r="G2206" s="1" t="str">
        <f>Ocupacao_DW[[#This Row],[data]]&amp;Ocupacao_DW[[#This Row],[profissional_id]]&amp;Ocupacao_DW[[#This Row],[local_id]]</f>
        <v>446361343342</v>
      </c>
      <c r="H2206" s="1">
        <f>_xlfn.XLOOKUP(Ocupacao_DW[[#This Row],[Concat]],Vagas!$H:$H,Vagas!$D:$D,"",0)</f>
        <v>0</v>
      </c>
    </row>
    <row r="2207" spans="1:8" x14ac:dyDescent="0.25">
      <c r="A2207" s="2">
        <v>44639</v>
      </c>
      <c r="B2207" s="1" t="s">
        <v>62</v>
      </c>
      <c r="C2207">
        <v>4887</v>
      </c>
      <c r="D2207" s="1" t="s">
        <v>168</v>
      </c>
      <c r="E2207" s="1" t="s">
        <v>5</v>
      </c>
      <c r="F2207">
        <v>18</v>
      </c>
      <c r="G2207" s="1" t="str">
        <f>Ocupacao_DW[[#This Row],[data]]&amp;Ocupacao_DW[[#This Row],[profissional_id]]&amp;Ocupacao_DW[[#This Row],[local_id]]</f>
        <v>44639488718</v>
      </c>
      <c r="H2207" s="1">
        <f>_xlfn.XLOOKUP(Ocupacao_DW[[#This Row],[Concat]],Vagas!$H:$H,Vagas!$D:$D,"",0)</f>
        <v>0</v>
      </c>
    </row>
    <row r="2208" spans="1:8" x14ac:dyDescent="0.25">
      <c r="A2208" s="2">
        <v>44638</v>
      </c>
      <c r="B2208" s="1" t="s">
        <v>47</v>
      </c>
      <c r="C2208">
        <v>9111</v>
      </c>
      <c r="D2208" s="1" t="s">
        <v>206</v>
      </c>
      <c r="E2208" s="1" t="s">
        <v>4</v>
      </c>
      <c r="F2208">
        <v>51</v>
      </c>
      <c r="G2208" s="1" t="str">
        <f>Ocupacao_DW[[#This Row],[data]]&amp;Ocupacao_DW[[#This Row],[profissional_id]]&amp;Ocupacao_DW[[#This Row],[local_id]]</f>
        <v>44638911151</v>
      </c>
      <c r="H2208" s="1">
        <f>_xlfn.XLOOKUP(Ocupacao_DW[[#This Row],[Concat]],Vagas!$H:$H,Vagas!$D:$D,"",0)</f>
        <v>0</v>
      </c>
    </row>
    <row r="2209" spans="1:8" x14ac:dyDescent="0.25">
      <c r="A2209" s="2">
        <v>44637</v>
      </c>
      <c r="B2209" s="1" t="s">
        <v>71</v>
      </c>
      <c r="C2209">
        <v>282</v>
      </c>
      <c r="D2209" s="1" t="s">
        <v>210</v>
      </c>
      <c r="E2209" s="1" t="s">
        <v>7</v>
      </c>
      <c r="F2209">
        <v>68</v>
      </c>
      <c r="G2209" s="1" t="str">
        <f>Ocupacao_DW[[#This Row],[data]]&amp;Ocupacao_DW[[#This Row],[profissional_id]]&amp;Ocupacao_DW[[#This Row],[local_id]]</f>
        <v>4463728268</v>
      </c>
      <c r="H2209" s="1">
        <f>_xlfn.XLOOKUP(Ocupacao_DW[[#This Row],[Concat]],Vagas!$H:$H,Vagas!$D:$D,"",0)</f>
        <v>0</v>
      </c>
    </row>
    <row r="2210" spans="1:8" x14ac:dyDescent="0.25">
      <c r="A2210" s="2">
        <v>44636</v>
      </c>
      <c r="B2210" s="1" t="s">
        <v>43</v>
      </c>
      <c r="C2210">
        <v>2396</v>
      </c>
      <c r="D2210" s="1" t="s">
        <v>197</v>
      </c>
      <c r="E2210" s="1" t="s">
        <v>6</v>
      </c>
      <c r="F2210">
        <v>2</v>
      </c>
      <c r="G2210" s="1" t="str">
        <f>Ocupacao_DW[[#This Row],[data]]&amp;Ocupacao_DW[[#This Row],[profissional_id]]&amp;Ocupacao_DW[[#This Row],[local_id]]</f>
        <v>4463623962</v>
      </c>
      <c r="H2210" s="1">
        <f>_xlfn.XLOOKUP(Ocupacao_DW[[#This Row],[Concat]],Vagas!$H:$H,Vagas!$D:$D,"",0)</f>
        <v>0</v>
      </c>
    </row>
    <row r="2211" spans="1:8" x14ac:dyDescent="0.25">
      <c r="A2211" s="2">
        <v>44638</v>
      </c>
      <c r="B2211" s="1" t="s">
        <v>50</v>
      </c>
      <c r="C2211">
        <v>10785</v>
      </c>
      <c r="D2211" s="1" t="s">
        <v>237</v>
      </c>
      <c r="E2211" s="1" t="s">
        <v>5</v>
      </c>
      <c r="F2211">
        <v>15</v>
      </c>
      <c r="G2211" s="1" t="str">
        <f>Ocupacao_DW[[#This Row],[data]]&amp;Ocupacao_DW[[#This Row],[profissional_id]]&amp;Ocupacao_DW[[#This Row],[local_id]]</f>
        <v>446381078515</v>
      </c>
      <c r="H2211" s="1">
        <f>_xlfn.XLOOKUP(Ocupacao_DW[[#This Row],[Concat]],Vagas!$H:$H,Vagas!$D:$D,"",0)</f>
        <v>0</v>
      </c>
    </row>
    <row r="2212" spans="1:8" x14ac:dyDescent="0.25">
      <c r="A2212" s="2">
        <v>44636</v>
      </c>
      <c r="B2212" s="1" t="s">
        <v>60</v>
      </c>
      <c r="C2212">
        <v>14326</v>
      </c>
      <c r="D2212" s="1" t="s">
        <v>220</v>
      </c>
      <c r="E2212" s="1" t="s">
        <v>4</v>
      </c>
      <c r="F2212">
        <v>43</v>
      </c>
      <c r="G2212" s="1" t="str">
        <f>Ocupacao_DW[[#This Row],[data]]&amp;Ocupacao_DW[[#This Row],[profissional_id]]&amp;Ocupacao_DW[[#This Row],[local_id]]</f>
        <v>446361432643</v>
      </c>
      <c r="H2212" s="1">
        <f>_xlfn.XLOOKUP(Ocupacao_DW[[#This Row],[Concat]],Vagas!$H:$H,Vagas!$D:$D,"",0)</f>
        <v>0</v>
      </c>
    </row>
    <row r="2213" spans="1:8" x14ac:dyDescent="0.25">
      <c r="A2213" s="2">
        <v>44644</v>
      </c>
      <c r="B2213" s="1" t="s">
        <v>55</v>
      </c>
      <c r="C2213">
        <v>74</v>
      </c>
      <c r="D2213" s="1" t="s">
        <v>182</v>
      </c>
      <c r="E2213" s="1" t="s">
        <v>6</v>
      </c>
      <c r="F2213">
        <v>7</v>
      </c>
      <c r="G2213" s="1" t="str">
        <f>Ocupacao_DW[[#This Row],[data]]&amp;Ocupacao_DW[[#This Row],[profissional_id]]&amp;Ocupacao_DW[[#This Row],[local_id]]</f>
        <v>44644747</v>
      </c>
      <c r="H2213" s="1">
        <f>_xlfn.XLOOKUP(Ocupacao_DW[[#This Row],[Concat]],Vagas!$H:$H,Vagas!$D:$D,"",0)</f>
        <v>0</v>
      </c>
    </row>
    <row r="2214" spans="1:8" x14ac:dyDescent="0.25">
      <c r="A2214" s="2">
        <v>44643</v>
      </c>
      <c r="B2214" s="1" t="s">
        <v>52</v>
      </c>
      <c r="C2214">
        <v>10691</v>
      </c>
      <c r="D2214" s="1" t="s">
        <v>181</v>
      </c>
      <c r="E2214" s="1" t="s">
        <v>6</v>
      </c>
      <c r="F2214">
        <v>9</v>
      </c>
      <c r="G2214" s="1" t="str">
        <f>Ocupacao_DW[[#This Row],[data]]&amp;Ocupacao_DW[[#This Row],[profissional_id]]&amp;Ocupacao_DW[[#This Row],[local_id]]</f>
        <v>44643106919</v>
      </c>
      <c r="H2214" s="1">
        <f>_xlfn.XLOOKUP(Ocupacao_DW[[#This Row],[Concat]],Vagas!$H:$H,Vagas!$D:$D,"",0)</f>
        <v>0</v>
      </c>
    </row>
    <row r="2215" spans="1:8" x14ac:dyDescent="0.25">
      <c r="A2215" s="2">
        <v>44635</v>
      </c>
      <c r="B2215" s="1" t="s">
        <v>49</v>
      </c>
      <c r="C2215">
        <v>81</v>
      </c>
      <c r="D2215" s="1" t="s">
        <v>170</v>
      </c>
      <c r="E2215" s="1" t="s">
        <v>7</v>
      </c>
      <c r="F2215">
        <v>71</v>
      </c>
      <c r="G2215" s="1" t="str">
        <f>Ocupacao_DW[[#This Row],[data]]&amp;Ocupacao_DW[[#This Row],[profissional_id]]&amp;Ocupacao_DW[[#This Row],[local_id]]</f>
        <v>446358171</v>
      </c>
      <c r="H2215" s="1">
        <f>_xlfn.XLOOKUP(Ocupacao_DW[[#This Row],[Concat]],Vagas!$H:$H,Vagas!$D:$D,"",0)</f>
        <v>0</v>
      </c>
    </row>
    <row r="2216" spans="1:8" x14ac:dyDescent="0.25">
      <c r="A2216" s="2">
        <v>44635</v>
      </c>
      <c r="B2216" s="1" t="s">
        <v>62</v>
      </c>
      <c r="C2216">
        <v>3502</v>
      </c>
      <c r="D2216" s="1" t="s">
        <v>214</v>
      </c>
      <c r="E2216" s="1" t="s">
        <v>5</v>
      </c>
      <c r="F2216">
        <v>16</v>
      </c>
      <c r="G2216" s="1" t="str">
        <f>Ocupacao_DW[[#This Row],[data]]&amp;Ocupacao_DW[[#This Row],[profissional_id]]&amp;Ocupacao_DW[[#This Row],[local_id]]</f>
        <v>44635350216</v>
      </c>
      <c r="H2216" s="1">
        <f>_xlfn.XLOOKUP(Ocupacao_DW[[#This Row],[Concat]],Vagas!$H:$H,Vagas!$D:$D,"",0)</f>
        <v>0</v>
      </c>
    </row>
    <row r="2217" spans="1:8" x14ac:dyDescent="0.25">
      <c r="A2217" s="2">
        <v>44635</v>
      </c>
      <c r="B2217" s="1"/>
      <c r="C2217">
        <v>0</v>
      </c>
      <c r="D2217" s="1"/>
      <c r="E2217" s="1" t="s">
        <v>4</v>
      </c>
      <c r="F2217">
        <v>39</v>
      </c>
      <c r="G2217" s="1" t="str">
        <f>Ocupacao_DW[[#This Row],[data]]&amp;Ocupacao_DW[[#This Row],[profissional_id]]&amp;Ocupacao_DW[[#This Row],[local_id]]</f>
        <v>44635039</v>
      </c>
      <c r="H2217" s="1" t="str">
        <f>_xlfn.XLOOKUP(Ocupacao_DW[[#This Row],[Concat]],Vagas!$H:$H,Vagas!$D:$D,"",0)</f>
        <v/>
      </c>
    </row>
    <row r="2218" spans="1:8" x14ac:dyDescent="0.25">
      <c r="A2218" s="2">
        <v>44644</v>
      </c>
      <c r="B2218" s="1" t="s">
        <v>55</v>
      </c>
      <c r="C2218">
        <v>8598</v>
      </c>
      <c r="D2218" s="1" t="s">
        <v>228</v>
      </c>
      <c r="E2218" s="1" t="s">
        <v>6</v>
      </c>
      <c r="F2218">
        <v>3</v>
      </c>
      <c r="G2218" s="1" t="str">
        <f>Ocupacao_DW[[#This Row],[data]]&amp;Ocupacao_DW[[#This Row],[profissional_id]]&amp;Ocupacao_DW[[#This Row],[local_id]]</f>
        <v>4464485983</v>
      </c>
      <c r="H2218" s="1">
        <f>_xlfn.XLOOKUP(Ocupacao_DW[[#This Row],[Concat]],Vagas!$H:$H,Vagas!$D:$D,"",0)</f>
        <v>0</v>
      </c>
    </row>
    <row r="2219" spans="1:8" x14ac:dyDescent="0.25">
      <c r="A2219" s="2">
        <v>44637</v>
      </c>
      <c r="B2219" s="1" t="s">
        <v>47</v>
      </c>
      <c r="C2219">
        <v>11312</v>
      </c>
      <c r="D2219" s="1" t="s">
        <v>207</v>
      </c>
      <c r="E2219" s="1" t="s">
        <v>4</v>
      </c>
      <c r="F2219">
        <v>336</v>
      </c>
      <c r="G2219" s="1" t="str">
        <f>Ocupacao_DW[[#This Row],[data]]&amp;Ocupacao_DW[[#This Row],[profissional_id]]&amp;Ocupacao_DW[[#This Row],[local_id]]</f>
        <v>4463711312336</v>
      </c>
      <c r="H2219" s="1">
        <f>_xlfn.XLOOKUP(Ocupacao_DW[[#This Row],[Concat]],Vagas!$H:$H,Vagas!$D:$D,"",0)</f>
        <v>0</v>
      </c>
    </row>
    <row r="2220" spans="1:8" x14ac:dyDescent="0.25">
      <c r="A2220" s="2">
        <v>44635</v>
      </c>
      <c r="B2220" s="1" t="s">
        <v>49</v>
      </c>
      <c r="C2220">
        <v>81</v>
      </c>
      <c r="D2220" s="1" t="s">
        <v>170</v>
      </c>
      <c r="E2220" s="1" t="s">
        <v>4</v>
      </c>
      <c r="F2220">
        <v>41</v>
      </c>
      <c r="G2220" s="1" t="str">
        <f>Ocupacao_DW[[#This Row],[data]]&amp;Ocupacao_DW[[#This Row],[profissional_id]]&amp;Ocupacao_DW[[#This Row],[local_id]]</f>
        <v>446358141</v>
      </c>
      <c r="H2220" s="1">
        <f>_xlfn.XLOOKUP(Ocupacao_DW[[#This Row],[Concat]],Vagas!$H:$H,Vagas!$D:$D,"",0)</f>
        <v>0</v>
      </c>
    </row>
    <row r="2221" spans="1:8" x14ac:dyDescent="0.25">
      <c r="A2221" s="2">
        <v>44636</v>
      </c>
      <c r="B2221" s="1" t="s">
        <v>70</v>
      </c>
      <c r="C2221">
        <v>12825</v>
      </c>
      <c r="D2221" s="1" t="s">
        <v>177</v>
      </c>
      <c r="E2221" s="1" t="s">
        <v>4</v>
      </c>
      <c r="F2221">
        <v>45</v>
      </c>
      <c r="G2221" s="1" t="str">
        <f>Ocupacao_DW[[#This Row],[data]]&amp;Ocupacao_DW[[#This Row],[profissional_id]]&amp;Ocupacao_DW[[#This Row],[local_id]]</f>
        <v>446361282545</v>
      </c>
      <c r="H2221" s="1">
        <f>_xlfn.XLOOKUP(Ocupacao_DW[[#This Row],[Concat]],Vagas!$H:$H,Vagas!$D:$D,"",0)</f>
        <v>0</v>
      </c>
    </row>
    <row r="2222" spans="1:8" x14ac:dyDescent="0.25">
      <c r="A2222" s="2">
        <v>44635</v>
      </c>
      <c r="B2222" s="1" t="s">
        <v>49</v>
      </c>
      <c r="C2222">
        <v>81</v>
      </c>
      <c r="D2222" s="1" t="s">
        <v>170</v>
      </c>
      <c r="E2222" s="1" t="s">
        <v>7</v>
      </c>
      <c r="F2222">
        <v>71</v>
      </c>
      <c r="G2222" s="1" t="str">
        <f>Ocupacao_DW[[#This Row],[data]]&amp;Ocupacao_DW[[#This Row],[profissional_id]]&amp;Ocupacao_DW[[#This Row],[local_id]]</f>
        <v>446358171</v>
      </c>
      <c r="H2222" s="1">
        <f>_xlfn.XLOOKUP(Ocupacao_DW[[#This Row],[Concat]],Vagas!$H:$H,Vagas!$D:$D,"",0)</f>
        <v>0</v>
      </c>
    </row>
    <row r="2223" spans="1:8" x14ac:dyDescent="0.25">
      <c r="A2223" s="2">
        <v>44638</v>
      </c>
      <c r="B2223" s="1" t="s">
        <v>49</v>
      </c>
      <c r="C2223">
        <v>6430</v>
      </c>
      <c r="D2223" s="1" t="s">
        <v>188</v>
      </c>
      <c r="E2223" s="1" t="s">
        <v>4</v>
      </c>
      <c r="F2223">
        <v>42</v>
      </c>
      <c r="G2223" s="1" t="str">
        <f>Ocupacao_DW[[#This Row],[data]]&amp;Ocupacao_DW[[#This Row],[profissional_id]]&amp;Ocupacao_DW[[#This Row],[local_id]]</f>
        <v>44638643042</v>
      </c>
      <c r="H2223" s="1">
        <f>_xlfn.XLOOKUP(Ocupacao_DW[[#This Row],[Concat]],Vagas!$H:$H,Vagas!$D:$D,"",0)</f>
        <v>0</v>
      </c>
    </row>
    <row r="2224" spans="1:8" x14ac:dyDescent="0.25">
      <c r="A2224" s="2">
        <v>44637</v>
      </c>
      <c r="B2224" s="1" t="s">
        <v>47</v>
      </c>
      <c r="C2224">
        <v>9111</v>
      </c>
      <c r="D2224" s="1" t="s">
        <v>206</v>
      </c>
      <c r="E2224" s="1" t="s">
        <v>4</v>
      </c>
      <c r="F2224">
        <v>334</v>
      </c>
      <c r="G2224" s="1" t="str">
        <f>Ocupacao_DW[[#This Row],[data]]&amp;Ocupacao_DW[[#This Row],[profissional_id]]&amp;Ocupacao_DW[[#This Row],[local_id]]</f>
        <v>446379111334</v>
      </c>
      <c r="H2224" s="1">
        <f>_xlfn.XLOOKUP(Ocupacao_DW[[#This Row],[Concat]],Vagas!$H:$H,Vagas!$D:$D,"",0)</f>
        <v>0</v>
      </c>
    </row>
    <row r="2225" spans="1:8" x14ac:dyDescent="0.25">
      <c r="A2225" s="2">
        <v>44649</v>
      </c>
      <c r="B2225" s="1" t="s">
        <v>55</v>
      </c>
      <c r="C2225">
        <v>73</v>
      </c>
      <c r="D2225" s="1" t="s">
        <v>171</v>
      </c>
      <c r="E2225" s="1" t="s">
        <v>6</v>
      </c>
      <c r="F2225">
        <v>5</v>
      </c>
      <c r="G2225" s="1" t="str">
        <f>Ocupacao_DW[[#This Row],[data]]&amp;Ocupacao_DW[[#This Row],[profissional_id]]&amp;Ocupacao_DW[[#This Row],[local_id]]</f>
        <v>44649735</v>
      </c>
      <c r="H2225" s="1">
        <f>_xlfn.XLOOKUP(Ocupacao_DW[[#This Row],[Concat]],Vagas!$H:$H,Vagas!$D:$D,"",0)</f>
        <v>0</v>
      </c>
    </row>
    <row r="2226" spans="1:8" x14ac:dyDescent="0.25">
      <c r="A2226" s="2">
        <v>44639</v>
      </c>
      <c r="B2226" s="1" t="s">
        <v>47</v>
      </c>
      <c r="C2226">
        <v>111</v>
      </c>
      <c r="D2226" s="1" t="s">
        <v>199</v>
      </c>
      <c r="E2226" s="1" t="s">
        <v>4</v>
      </c>
      <c r="F2226">
        <v>51</v>
      </c>
      <c r="G2226" s="1" t="str">
        <f>Ocupacao_DW[[#This Row],[data]]&amp;Ocupacao_DW[[#This Row],[profissional_id]]&amp;Ocupacao_DW[[#This Row],[local_id]]</f>
        <v>4463911151</v>
      </c>
      <c r="H2226" s="1">
        <f>_xlfn.XLOOKUP(Ocupacao_DW[[#This Row],[Concat]],Vagas!$H:$H,Vagas!$D:$D,"",0)</f>
        <v>0</v>
      </c>
    </row>
    <row r="2227" spans="1:8" x14ac:dyDescent="0.25">
      <c r="A2227" s="2">
        <v>44637</v>
      </c>
      <c r="B2227" s="1" t="s">
        <v>51</v>
      </c>
      <c r="C2227">
        <v>12582</v>
      </c>
      <c r="D2227" s="1" t="s">
        <v>190</v>
      </c>
      <c r="E2227" s="1" t="s">
        <v>5</v>
      </c>
      <c r="F2227">
        <v>15</v>
      </c>
      <c r="G2227" s="1" t="str">
        <f>Ocupacao_DW[[#This Row],[data]]&amp;Ocupacao_DW[[#This Row],[profissional_id]]&amp;Ocupacao_DW[[#This Row],[local_id]]</f>
        <v>446371258215</v>
      </c>
      <c r="H2227" s="1">
        <f>_xlfn.XLOOKUP(Ocupacao_DW[[#This Row],[Concat]],Vagas!$H:$H,Vagas!$D:$D,"",0)</f>
        <v>0</v>
      </c>
    </row>
    <row r="2228" spans="1:8" x14ac:dyDescent="0.25">
      <c r="A2228" s="2">
        <v>44641</v>
      </c>
      <c r="B2228" s="1" t="s">
        <v>72</v>
      </c>
      <c r="C2228">
        <v>6046</v>
      </c>
      <c r="D2228" s="1" t="s">
        <v>222</v>
      </c>
      <c r="E2228" s="1" t="s">
        <v>4</v>
      </c>
      <c r="F2228">
        <v>46</v>
      </c>
      <c r="G2228" s="1" t="str">
        <f>Ocupacao_DW[[#This Row],[data]]&amp;Ocupacao_DW[[#This Row],[profissional_id]]&amp;Ocupacao_DW[[#This Row],[local_id]]</f>
        <v>44641604646</v>
      </c>
      <c r="H2228" s="1">
        <f>_xlfn.XLOOKUP(Ocupacao_DW[[#This Row],[Concat]],Vagas!$H:$H,Vagas!$D:$D,"",0)</f>
        <v>0</v>
      </c>
    </row>
    <row r="2229" spans="1:8" x14ac:dyDescent="0.25">
      <c r="A2229" s="2">
        <v>44635</v>
      </c>
      <c r="B2229" s="1" t="s">
        <v>62</v>
      </c>
      <c r="C2229">
        <v>3502</v>
      </c>
      <c r="D2229" s="1" t="s">
        <v>214</v>
      </c>
      <c r="E2229" s="1" t="s">
        <v>5</v>
      </c>
      <c r="F2229">
        <v>16</v>
      </c>
      <c r="G2229" s="1" t="str">
        <f>Ocupacao_DW[[#This Row],[data]]&amp;Ocupacao_DW[[#This Row],[profissional_id]]&amp;Ocupacao_DW[[#This Row],[local_id]]</f>
        <v>44635350216</v>
      </c>
      <c r="H2229" s="1">
        <f>_xlfn.XLOOKUP(Ocupacao_DW[[#This Row],[Concat]],Vagas!$H:$H,Vagas!$D:$D,"",0)</f>
        <v>0</v>
      </c>
    </row>
    <row r="2230" spans="1:8" x14ac:dyDescent="0.25">
      <c r="A2230" s="2">
        <v>44637</v>
      </c>
      <c r="B2230" s="1" t="s">
        <v>49</v>
      </c>
      <c r="C2230">
        <v>81</v>
      </c>
      <c r="D2230" s="1" t="s">
        <v>170</v>
      </c>
      <c r="E2230" s="1" t="s">
        <v>4</v>
      </c>
      <c r="F2230">
        <v>41</v>
      </c>
      <c r="G2230" s="1" t="str">
        <f>Ocupacao_DW[[#This Row],[data]]&amp;Ocupacao_DW[[#This Row],[profissional_id]]&amp;Ocupacao_DW[[#This Row],[local_id]]</f>
        <v>446378141</v>
      </c>
      <c r="H2230" s="1">
        <f>_xlfn.XLOOKUP(Ocupacao_DW[[#This Row],[Concat]],Vagas!$H:$H,Vagas!$D:$D,"",0)</f>
        <v>0</v>
      </c>
    </row>
    <row r="2231" spans="1:8" x14ac:dyDescent="0.25">
      <c r="A2231" s="2">
        <v>44646</v>
      </c>
      <c r="B2231" s="1" t="s">
        <v>47</v>
      </c>
      <c r="C2231">
        <v>111</v>
      </c>
      <c r="D2231" s="1" t="s">
        <v>199</v>
      </c>
      <c r="E2231" s="1" t="s">
        <v>4</v>
      </c>
      <c r="F2231">
        <v>51</v>
      </c>
      <c r="G2231" s="1" t="str">
        <f>Ocupacao_DW[[#This Row],[data]]&amp;Ocupacao_DW[[#This Row],[profissional_id]]&amp;Ocupacao_DW[[#This Row],[local_id]]</f>
        <v>4464611151</v>
      </c>
      <c r="H2231" s="1">
        <f>_xlfn.XLOOKUP(Ocupacao_DW[[#This Row],[Concat]],Vagas!$H:$H,Vagas!$D:$D,"",0)</f>
        <v>31</v>
      </c>
    </row>
    <row r="2232" spans="1:8" x14ac:dyDescent="0.25">
      <c r="A2232" s="2">
        <v>44643</v>
      </c>
      <c r="B2232" s="1" t="s">
        <v>58</v>
      </c>
      <c r="C2232">
        <v>5767</v>
      </c>
      <c r="D2232" s="1" t="s">
        <v>239</v>
      </c>
      <c r="E2232" s="1" t="s">
        <v>4</v>
      </c>
      <c r="F2232">
        <v>44</v>
      </c>
      <c r="G2232" s="1" t="str">
        <f>Ocupacao_DW[[#This Row],[data]]&amp;Ocupacao_DW[[#This Row],[profissional_id]]&amp;Ocupacao_DW[[#This Row],[local_id]]</f>
        <v>44643576744</v>
      </c>
      <c r="H2232" s="1">
        <f>_xlfn.XLOOKUP(Ocupacao_DW[[#This Row],[Concat]],Vagas!$H:$H,Vagas!$D:$D,"",0)</f>
        <v>0</v>
      </c>
    </row>
    <row r="2233" spans="1:8" x14ac:dyDescent="0.25">
      <c r="A2233" s="2">
        <v>44657</v>
      </c>
      <c r="B2233" s="1"/>
      <c r="C2233">
        <v>1490</v>
      </c>
      <c r="D2233" s="1" t="s">
        <v>174</v>
      </c>
      <c r="E2233" s="1" t="s">
        <v>5</v>
      </c>
      <c r="F2233">
        <v>13</v>
      </c>
      <c r="G2233" s="1" t="str">
        <f>Ocupacao_DW[[#This Row],[data]]&amp;Ocupacao_DW[[#This Row],[profissional_id]]&amp;Ocupacao_DW[[#This Row],[local_id]]</f>
        <v>44657149013</v>
      </c>
      <c r="H2233" s="1">
        <f>_xlfn.XLOOKUP(Ocupacao_DW[[#This Row],[Concat]],Vagas!$H:$H,Vagas!$D:$D,"",0)</f>
        <v>0</v>
      </c>
    </row>
    <row r="2234" spans="1:8" x14ac:dyDescent="0.25">
      <c r="A2234" s="2">
        <v>44636</v>
      </c>
      <c r="B2234" s="1"/>
      <c r="C2234">
        <v>1490</v>
      </c>
      <c r="D2234" s="1" t="s">
        <v>174</v>
      </c>
      <c r="E2234" s="1" t="s">
        <v>5</v>
      </c>
      <c r="F2234">
        <v>13</v>
      </c>
      <c r="G2234" s="1" t="str">
        <f>Ocupacao_DW[[#This Row],[data]]&amp;Ocupacao_DW[[#This Row],[profissional_id]]&amp;Ocupacao_DW[[#This Row],[local_id]]</f>
        <v>44636149013</v>
      </c>
      <c r="H2234" s="1">
        <f>_xlfn.XLOOKUP(Ocupacao_DW[[#This Row],[Concat]],Vagas!$H:$H,Vagas!$D:$D,"",0)</f>
        <v>0</v>
      </c>
    </row>
    <row r="2235" spans="1:8" x14ac:dyDescent="0.25">
      <c r="A2235" s="2">
        <v>44650</v>
      </c>
      <c r="B2235" s="1"/>
      <c r="C2235">
        <v>1490</v>
      </c>
      <c r="D2235" s="1" t="s">
        <v>174</v>
      </c>
      <c r="E2235" s="1"/>
      <c r="F2235">
        <v>0</v>
      </c>
      <c r="G2235" s="1" t="str">
        <f>Ocupacao_DW[[#This Row],[data]]&amp;Ocupacao_DW[[#This Row],[profissional_id]]&amp;Ocupacao_DW[[#This Row],[local_id]]</f>
        <v>4465014900</v>
      </c>
      <c r="H2235" s="1" t="str">
        <f>_xlfn.XLOOKUP(Ocupacao_DW[[#This Row],[Concat]],Vagas!$H:$H,Vagas!$D:$D,"",0)</f>
        <v/>
      </c>
    </row>
    <row r="2236" spans="1:8" x14ac:dyDescent="0.25">
      <c r="A2236" s="2">
        <v>44636</v>
      </c>
      <c r="B2236" s="1"/>
      <c r="C2236">
        <v>7551</v>
      </c>
      <c r="D2236" s="1" t="s">
        <v>246</v>
      </c>
      <c r="E2236" s="1" t="s">
        <v>5</v>
      </c>
      <c r="F2236">
        <v>15</v>
      </c>
      <c r="G2236" s="1" t="str">
        <f>Ocupacao_DW[[#This Row],[data]]&amp;Ocupacao_DW[[#This Row],[profissional_id]]&amp;Ocupacao_DW[[#This Row],[local_id]]</f>
        <v>44636755115</v>
      </c>
      <c r="H2236" s="1">
        <f>_xlfn.XLOOKUP(Ocupacao_DW[[#This Row],[Concat]],Vagas!$H:$H,Vagas!$D:$D,"",0)</f>
        <v>0</v>
      </c>
    </row>
    <row r="2237" spans="1:8" x14ac:dyDescent="0.25">
      <c r="A2237" s="2">
        <v>44637</v>
      </c>
      <c r="B2237" s="1"/>
      <c r="C2237">
        <v>8598</v>
      </c>
      <c r="D2237" s="1" t="s">
        <v>228</v>
      </c>
      <c r="E2237" s="1"/>
      <c r="F2237">
        <v>0</v>
      </c>
      <c r="G2237" s="1" t="str">
        <f>Ocupacao_DW[[#This Row],[data]]&amp;Ocupacao_DW[[#This Row],[profissional_id]]&amp;Ocupacao_DW[[#This Row],[local_id]]</f>
        <v>4463785980</v>
      </c>
      <c r="H2237" s="1" t="str">
        <f>_xlfn.XLOOKUP(Ocupacao_DW[[#This Row],[Concat]],Vagas!$H:$H,Vagas!$D:$D,"",0)</f>
        <v/>
      </c>
    </row>
    <row r="2238" spans="1:8" x14ac:dyDescent="0.25">
      <c r="A2238" s="2">
        <v>44638</v>
      </c>
      <c r="B2238" s="1"/>
      <c r="C2238">
        <v>13249</v>
      </c>
      <c r="D2238" s="1" t="s">
        <v>178</v>
      </c>
      <c r="E2238" s="1" t="s">
        <v>7</v>
      </c>
      <c r="F2238">
        <v>66</v>
      </c>
      <c r="G2238" s="1" t="str">
        <f>Ocupacao_DW[[#This Row],[data]]&amp;Ocupacao_DW[[#This Row],[profissional_id]]&amp;Ocupacao_DW[[#This Row],[local_id]]</f>
        <v>446381324966</v>
      </c>
      <c r="H2238" s="1">
        <f>_xlfn.XLOOKUP(Ocupacao_DW[[#This Row],[Concat]],Vagas!$H:$H,Vagas!$D:$D,"",0)</f>
        <v>0</v>
      </c>
    </row>
    <row r="2239" spans="1:8" x14ac:dyDescent="0.25">
      <c r="A2239" s="2">
        <v>44643</v>
      </c>
      <c r="B2239" s="1"/>
      <c r="C2239">
        <v>12519</v>
      </c>
      <c r="D2239" s="1" t="s">
        <v>176</v>
      </c>
      <c r="E2239" s="1" t="s">
        <v>4</v>
      </c>
      <c r="F2239">
        <v>48</v>
      </c>
      <c r="G2239" s="1" t="str">
        <f>Ocupacao_DW[[#This Row],[data]]&amp;Ocupacao_DW[[#This Row],[profissional_id]]&amp;Ocupacao_DW[[#This Row],[local_id]]</f>
        <v>446431251948</v>
      </c>
      <c r="H2239" s="1">
        <f>_xlfn.XLOOKUP(Ocupacao_DW[[#This Row],[Concat]],Vagas!$H:$H,Vagas!$D:$D,"",0)</f>
        <v>0</v>
      </c>
    </row>
    <row r="2240" spans="1:8" x14ac:dyDescent="0.25">
      <c r="A2240" s="2">
        <v>44637</v>
      </c>
      <c r="B2240" s="1"/>
      <c r="C2240">
        <v>1490</v>
      </c>
      <c r="D2240" s="1" t="s">
        <v>174</v>
      </c>
      <c r="E2240" s="1" t="s">
        <v>167</v>
      </c>
      <c r="F2240">
        <v>344</v>
      </c>
      <c r="G2240" s="1" t="str">
        <f>Ocupacao_DW[[#This Row],[data]]&amp;Ocupacao_DW[[#This Row],[profissional_id]]&amp;Ocupacao_DW[[#This Row],[local_id]]</f>
        <v>446371490344</v>
      </c>
      <c r="H2240" s="1">
        <f>_xlfn.XLOOKUP(Ocupacao_DW[[#This Row],[Concat]],Vagas!$H:$H,Vagas!$D:$D,"",0)</f>
        <v>0</v>
      </c>
    </row>
    <row r="2241" spans="1:8" x14ac:dyDescent="0.25">
      <c r="A2241" s="2">
        <v>44635</v>
      </c>
      <c r="B2241" s="1"/>
      <c r="C2241">
        <v>4814</v>
      </c>
      <c r="D2241" s="1" t="s">
        <v>189</v>
      </c>
      <c r="E2241" s="1" t="s">
        <v>5</v>
      </c>
      <c r="F2241">
        <v>17</v>
      </c>
      <c r="G2241" s="1" t="str">
        <f>Ocupacao_DW[[#This Row],[data]]&amp;Ocupacao_DW[[#This Row],[profissional_id]]&amp;Ocupacao_DW[[#This Row],[local_id]]</f>
        <v>44635481417</v>
      </c>
      <c r="H2241" s="1">
        <f>_xlfn.XLOOKUP(Ocupacao_DW[[#This Row],[Concat]],Vagas!$H:$H,Vagas!$D:$D,"",0)</f>
        <v>0</v>
      </c>
    </row>
    <row r="2242" spans="1:8" x14ac:dyDescent="0.25">
      <c r="A2242" s="2">
        <v>44644</v>
      </c>
      <c r="B2242" s="1"/>
      <c r="C2242">
        <v>1490</v>
      </c>
      <c r="D2242" s="1" t="s">
        <v>174</v>
      </c>
      <c r="E2242" s="1" t="s">
        <v>167</v>
      </c>
      <c r="F2242">
        <v>344</v>
      </c>
      <c r="G2242" s="1" t="str">
        <f>Ocupacao_DW[[#This Row],[data]]&amp;Ocupacao_DW[[#This Row],[profissional_id]]&amp;Ocupacao_DW[[#This Row],[local_id]]</f>
        <v>446441490344</v>
      </c>
      <c r="H2242" s="1">
        <f>_xlfn.XLOOKUP(Ocupacao_DW[[#This Row],[Concat]],Vagas!$H:$H,Vagas!$D:$D,"",0)</f>
        <v>0</v>
      </c>
    </row>
    <row r="2243" spans="1:8" x14ac:dyDescent="0.25">
      <c r="A2243" s="2">
        <v>44635</v>
      </c>
      <c r="B2243" s="1" t="s">
        <v>55</v>
      </c>
      <c r="C2243">
        <v>12669</v>
      </c>
      <c r="D2243" s="1" t="s">
        <v>223</v>
      </c>
      <c r="E2243" s="1" t="s">
        <v>167</v>
      </c>
      <c r="F2243">
        <v>342</v>
      </c>
      <c r="G2243" s="1" t="str">
        <f>Ocupacao_DW[[#This Row],[data]]&amp;Ocupacao_DW[[#This Row],[profissional_id]]&amp;Ocupacao_DW[[#This Row],[local_id]]</f>
        <v>4463512669342</v>
      </c>
      <c r="H2243" s="1" t="str">
        <f>_xlfn.XLOOKUP(Ocupacao_DW[[#This Row],[Concat]],Vagas!$H:$H,Vagas!$D:$D,"",0)</f>
        <v/>
      </c>
    </row>
    <row r="2244" spans="1:8" x14ac:dyDescent="0.25">
      <c r="A2244" s="2">
        <v>44644</v>
      </c>
      <c r="B2244" s="1"/>
      <c r="C2244">
        <v>1490</v>
      </c>
      <c r="D2244" s="1" t="s">
        <v>174</v>
      </c>
      <c r="E2244" s="1" t="s">
        <v>167</v>
      </c>
      <c r="F2244">
        <v>344</v>
      </c>
      <c r="G2244" s="1" t="str">
        <f>Ocupacao_DW[[#This Row],[data]]&amp;Ocupacao_DW[[#This Row],[profissional_id]]&amp;Ocupacao_DW[[#This Row],[local_id]]</f>
        <v>446441490344</v>
      </c>
      <c r="H2244" s="1">
        <f>_xlfn.XLOOKUP(Ocupacao_DW[[#This Row],[Concat]],Vagas!$H:$H,Vagas!$D:$D,"",0)</f>
        <v>0</v>
      </c>
    </row>
    <row r="2245" spans="1:8" x14ac:dyDescent="0.25">
      <c r="A2245" s="2">
        <v>44643</v>
      </c>
      <c r="B2245" s="1" t="s">
        <v>70</v>
      </c>
      <c r="C2245">
        <v>12519</v>
      </c>
      <c r="D2245" s="1" t="s">
        <v>176</v>
      </c>
      <c r="E2245" s="1" t="s">
        <v>4</v>
      </c>
      <c r="F2245">
        <v>48</v>
      </c>
      <c r="G2245" s="1" t="str">
        <f>Ocupacao_DW[[#This Row],[data]]&amp;Ocupacao_DW[[#This Row],[profissional_id]]&amp;Ocupacao_DW[[#This Row],[local_id]]</f>
        <v>446431251948</v>
      </c>
      <c r="H2245" s="1">
        <f>_xlfn.XLOOKUP(Ocupacao_DW[[#This Row],[Concat]],Vagas!$H:$H,Vagas!$D:$D,"",0)</f>
        <v>0</v>
      </c>
    </row>
    <row r="2246" spans="1:8" x14ac:dyDescent="0.25">
      <c r="A2246" s="2">
        <v>44657</v>
      </c>
      <c r="B2246" s="1"/>
      <c r="C2246">
        <v>6430</v>
      </c>
      <c r="D2246" s="1" t="s">
        <v>188</v>
      </c>
      <c r="E2246" s="1" t="s">
        <v>4</v>
      </c>
      <c r="F2246">
        <v>42</v>
      </c>
      <c r="G2246" s="1" t="str">
        <f>Ocupacao_DW[[#This Row],[data]]&amp;Ocupacao_DW[[#This Row],[profissional_id]]&amp;Ocupacao_DW[[#This Row],[local_id]]</f>
        <v>44657643042</v>
      </c>
      <c r="H2246" s="1">
        <f>_xlfn.XLOOKUP(Ocupacao_DW[[#This Row],[Concat]],Vagas!$H:$H,Vagas!$D:$D,"",0)</f>
        <v>0</v>
      </c>
    </row>
    <row r="2247" spans="1:8" x14ac:dyDescent="0.25">
      <c r="A2247" s="2">
        <v>44658</v>
      </c>
      <c r="B2247" s="1" t="s">
        <v>55</v>
      </c>
      <c r="C2247">
        <v>74</v>
      </c>
      <c r="D2247" s="1" t="s">
        <v>182</v>
      </c>
      <c r="E2247" s="1" t="s">
        <v>6</v>
      </c>
      <c r="F2247">
        <v>7</v>
      </c>
      <c r="G2247" s="1" t="str">
        <f>Ocupacao_DW[[#This Row],[data]]&amp;Ocupacao_DW[[#This Row],[profissional_id]]&amp;Ocupacao_DW[[#This Row],[local_id]]</f>
        <v>44658747</v>
      </c>
      <c r="H2247" s="1">
        <f>_xlfn.XLOOKUP(Ocupacao_DW[[#This Row],[Concat]],Vagas!$H:$H,Vagas!$D:$D,"",0)</f>
        <v>7</v>
      </c>
    </row>
    <row r="2248" spans="1:8" x14ac:dyDescent="0.25">
      <c r="A2248" s="2">
        <v>44657</v>
      </c>
      <c r="B2248" s="1" t="s">
        <v>70</v>
      </c>
      <c r="C2248">
        <v>12519</v>
      </c>
      <c r="D2248" s="1" t="s">
        <v>176</v>
      </c>
      <c r="E2248" s="1" t="s">
        <v>4</v>
      </c>
      <c r="F2248">
        <v>48</v>
      </c>
      <c r="G2248" s="1" t="str">
        <f>Ocupacao_DW[[#This Row],[data]]&amp;Ocupacao_DW[[#This Row],[profissional_id]]&amp;Ocupacao_DW[[#This Row],[local_id]]</f>
        <v>446571251948</v>
      </c>
      <c r="H2248" s="1">
        <f>_xlfn.XLOOKUP(Ocupacao_DW[[#This Row],[Concat]],Vagas!$H:$H,Vagas!$D:$D,"",0)</f>
        <v>0</v>
      </c>
    </row>
    <row r="2249" spans="1:8" x14ac:dyDescent="0.25">
      <c r="A2249" s="2">
        <v>44635</v>
      </c>
      <c r="B2249" s="1"/>
      <c r="C2249">
        <v>13249</v>
      </c>
      <c r="D2249" s="1" t="s">
        <v>178</v>
      </c>
      <c r="E2249" s="1" t="s">
        <v>4</v>
      </c>
      <c r="F2249">
        <v>45</v>
      </c>
      <c r="G2249" s="1" t="str">
        <f>Ocupacao_DW[[#This Row],[data]]&amp;Ocupacao_DW[[#This Row],[profissional_id]]&amp;Ocupacao_DW[[#This Row],[local_id]]</f>
        <v>446351324945</v>
      </c>
      <c r="H2249" s="1">
        <f>_xlfn.XLOOKUP(Ocupacao_DW[[#This Row],[Concat]],Vagas!$H:$H,Vagas!$D:$D,"",0)</f>
        <v>0</v>
      </c>
    </row>
    <row r="2250" spans="1:8" x14ac:dyDescent="0.25">
      <c r="A2250" s="2">
        <v>44641</v>
      </c>
      <c r="B2250" s="1"/>
      <c r="C2250">
        <v>117</v>
      </c>
      <c r="D2250" s="1" t="s">
        <v>180</v>
      </c>
      <c r="E2250" s="1" t="s">
        <v>4</v>
      </c>
      <c r="F2250">
        <v>48</v>
      </c>
      <c r="G2250" s="1" t="str">
        <f>Ocupacao_DW[[#This Row],[data]]&amp;Ocupacao_DW[[#This Row],[profissional_id]]&amp;Ocupacao_DW[[#This Row],[local_id]]</f>
        <v>4464111748</v>
      </c>
      <c r="H2250" s="1">
        <f>_xlfn.XLOOKUP(Ocupacao_DW[[#This Row],[Concat]],Vagas!$H:$H,Vagas!$D:$D,"",0)</f>
        <v>0</v>
      </c>
    </row>
    <row r="2251" spans="1:8" x14ac:dyDescent="0.25">
      <c r="A2251" s="2">
        <v>44655</v>
      </c>
      <c r="B2251" s="1"/>
      <c r="C2251">
        <v>10691</v>
      </c>
      <c r="D2251" s="1" t="s">
        <v>181</v>
      </c>
      <c r="E2251" s="1"/>
      <c r="F2251">
        <v>0</v>
      </c>
      <c r="G2251" s="1" t="str">
        <f>Ocupacao_DW[[#This Row],[data]]&amp;Ocupacao_DW[[#This Row],[profissional_id]]&amp;Ocupacao_DW[[#This Row],[local_id]]</f>
        <v>44655106910</v>
      </c>
      <c r="H2251" s="1" t="str">
        <f>_xlfn.XLOOKUP(Ocupacao_DW[[#This Row],[Concat]],Vagas!$H:$H,Vagas!$D:$D,"",0)</f>
        <v/>
      </c>
    </row>
    <row r="2252" spans="1:8" x14ac:dyDescent="0.25">
      <c r="A2252" s="2">
        <v>44641</v>
      </c>
      <c r="B2252" s="1"/>
      <c r="C2252">
        <v>6392</v>
      </c>
      <c r="D2252" s="1" t="s">
        <v>173</v>
      </c>
      <c r="E2252" s="1" t="s">
        <v>167</v>
      </c>
      <c r="F2252">
        <v>342</v>
      </c>
      <c r="G2252" s="1" t="str">
        <f>Ocupacao_DW[[#This Row],[data]]&amp;Ocupacao_DW[[#This Row],[profissional_id]]&amp;Ocupacao_DW[[#This Row],[local_id]]</f>
        <v>446416392342</v>
      </c>
      <c r="H2252" s="1">
        <f>_xlfn.XLOOKUP(Ocupacao_DW[[#This Row],[Concat]],Vagas!$H:$H,Vagas!$D:$D,"",0)</f>
        <v>8</v>
      </c>
    </row>
    <row r="2253" spans="1:8" x14ac:dyDescent="0.25">
      <c r="A2253" s="2">
        <v>44658</v>
      </c>
      <c r="B2253" s="1"/>
      <c r="C2253">
        <v>1490</v>
      </c>
      <c r="D2253" s="1" t="s">
        <v>174</v>
      </c>
      <c r="E2253" s="1" t="s">
        <v>167</v>
      </c>
      <c r="F2253">
        <v>344</v>
      </c>
      <c r="G2253" s="1" t="str">
        <f>Ocupacao_DW[[#This Row],[data]]&amp;Ocupacao_DW[[#This Row],[profissional_id]]&amp;Ocupacao_DW[[#This Row],[local_id]]</f>
        <v>446581490344</v>
      </c>
      <c r="H2253" s="1">
        <f>_xlfn.XLOOKUP(Ocupacao_DW[[#This Row],[Concat]],Vagas!$H:$H,Vagas!$D:$D,"",0)</f>
        <v>0</v>
      </c>
    </row>
    <row r="2254" spans="1:8" x14ac:dyDescent="0.25">
      <c r="A2254" s="2">
        <v>44635</v>
      </c>
      <c r="B2254" s="1"/>
      <c r="C2254">
        <v>13249</v>
      </c>
      <c r="D2254" s="1" t="s">
        <v>178</v>
      </c>
      <c r="E2254" s="1" t="s">
        <v>4</v>
      </c>
      <c r="F2254">
        <v>45</v>
      </c>
      <c r="G2254" s="1" t="str">
        <f>Ocupacao_DW[[#This Row],[data]]&amp;Ocupacao_DW[[#This Row],[profissional_id]]&amp;Ocupacao_DW[[#This Row],[local_id]]</f>
        <v>446351324945</v>
      </c>
      <c r="H2254" s="1">
        <f>_xlfn.XLOOKUP(Ocupacao_DW[[#This Row],[Concat]],Vagas!$H:$H,Vagas!$D:$D,"",0)</f>
        <v>0</v>
      </c>
    </row>
    <row r="2255" spans="1:8" x14ac:dyDescent="0.25">
      <c r="A2255" s="2">
        <v>44635</v>
      </c>
      <c r="B2255" s="1" t="s">
        <v>49</v>
      </c>
      <c r="C2255">
        <v>266</v>
      </c>
      <c r="D2255" s="1" t="s">
        <v>201</v>
      </c>
      <c r="E2255" s="1" t="s">
        <v>4</v>
      </c>
      <c r="F2255">
        <v>42</v>
      </c>
      <c r="G2255" s="1" t="str">
        <f>Ocupacao_DW[[#This Row],[data]]&amp;Ocupacao_DW[[#This Row],[profissional_id]]&amp;Ocupacao_DW[[#This Row],[local_id]]</f>
        <v>4463526642</v>
      </c>
      <c r="H2255" s="1">
        <f>_xlfn.XLOOKUP(Ocupacao_DW[[#This Row],[Concat]],Vagas!$H:$H,Vagas!$D:$D,"",0)</f>
        <v>0</v>
      </c>
    </row>
    <row r="2256" spans="1:8" x14ac:dyDescent="0.25">
      <c r="A2256" s="2">
        <v>44636</v>
      </c>
      <c r="B2256" s="1" t="s">
        <v>70</v>
      </c>
      <c r="C2256">
        <v>12519</v>
      </c>
      <c r="D2256" s="1" t="s">
        <v>176</v>
      </c>
      <c r="E2256" s="1" t="s">
        <v>4</v>
      </c>
      <c r="F2256">
        <v>48</v>
      </c>
      <c r="G2256" s="1" t="str">
        <f>Ocupacao_DW[[#This Row],[data]]&amp;Ocupacao_DW[[#This Row],[profissional_id]]&amp;Ocupacao_DW[[#This Row],[local_id]]</f>
        <v>446361251948</v>
      </c>
      <c r="H2256" s="1">
        <f>_xlfn.XLOOKUP(Ocupacao_DW[[#This Row],[Concat]],Vagas!$H:$H,Vagas!$D:$D,"",0)</f>
        <v>0</v>
      </c>
    </row>
    <row r="2257" spans="1:8" x14ac:dyDescent="0.25">
      <c r="A2257" s="2">
        <v>44646</v>
      </c>
      <c r="B2257" s="1"/>
      <c r="C2257">
        <v>4887</v>
      </c>
      <c r="D2257" s="1" t="s">
        <v>168</v>
      </c>
      <c r="E2257" s="1" t="s">
        <v>5</v>
      </c>
      <c r="F2257">
        <v>18</v>
      </c>
      <c r="G2257" s="1" t="str">
        <f>Ocupacao_DW[[#This Row],[data]]&amp;Ocupacao_DW[[#This Row],[profissional_id]]&amp;Ocupacao_DW[[#This Row],[local_id]]</f>
        <v>44646488718</v>
      </c>
      <c r="H2257" s="1">
        <f>_xlfn.XLOOKUP(Ocupacao_DW[[#This Row],[Concat]],Vagas!$H:$H,Vagas!$D:$D,"",0)</f>
        <v>0</v>
      </c>
    </row>
    <row r="2258" spans="1:8" x14ac:dyDescent="0.25">
      <c r="A2258" s="2">
        <v>44636</v>
      </c>
      <c r="B2258" s="1" t="s">
        <v>52</v>
      </c>
      <c r="C2258">
        <v>10691</v>
      </c>
      <c r="D2258" s="1" t="s">
        <v>181</v>
      </c>
      <c r="E2258" s="1" t="s">
        <v>6</v>
      </c>
      <c r="F2258">
        <v>9</v>
      </c>
      <c r="G2258" s="1" t="str">
        <f>Ocupacao_DW[[#This Row],[data]]&amp;Ocupacao_DW[[#This Row],[profissional_id]]&amp;Ocupacao_DW[[#This Row],[local_id]]</f>
        <v>44636106919</v>
      </c>
      <c r="H2258" s="1">
        <f>_xlfn.XLOOKUP(Ocupacao_DW[[#This Row],[Concat]],Vagas!$H:$H,Vagas!$D:$D,"",0)</f>
        <v>0</v>
      </c>
    </row>
    <row r="2259" spans="1:8" x14ac:dyDescent="0.25">
      <c r="A2259" s="2">
        <v>44639</v>
      </c>
      <c r="B2259" s="1"/>
      <c r="C2259">
        <v>4887</v>
      </c>
      <c r="D2259" s="1" t="s">
        <v>168</v>
      </c>
      <c r="E2259" s="1" t="s">
        <v>5</v>
      </c>
      <c r="F2259">
        <v>18</v>
      </c>
      <c r="G2259" s="1" t="str">
        <f>Ocupacao_DW[[#This Row],[data]]&amp;Ocupacao_DW[[#This Row],[profissional_id]]&amp;Ocupacao_DW[[#This Row],[local_id]]</f>
        <v>44639488718</v>
      </c>
      <c r="H2259" s="1">
        <f>_xlfn.XLOOKUP(Ocupacao_DW[[#This Row],[Concat]],Vagas!$H:$H,Vagas!$D:$D,"",0)</f>
        <v>0</v>
      </c>
    </row>
    <row r="2260" spans="1:8" x14ac:dyDescent="0.25">
      <c r="A2260" s="2">
        <v>44646</v>
      </c>
      <c r="B2260" s="1"/>
      <c r="C2260">
        <v>4887</v>
      </c>
      <c r="D2260" s="1" t="s">
        <v>168</v>
      </c>
      <c r="E2260" s="1" t="s">
        <v>5</v>
      </c>
      <c r="F2260">
        <v>18</v>
      </c>
      <c r="G2260" s="1" t="str">
        <f>Ocupacao_DW[[#This Row],[data]]&amp;Ocupacao_DW[[#This Row],[profissional_id]]&amp;Ocupacao_DW[[#This Row],[local_id]]</f>
        <v>44646488718</v>
      </c>
      <c r="H2260" s="1">
        <f>_xlfn.XLOOKUP(Ocupacao_DW[[#This Row],[Concat]],Vagas!$H:$H,Vagas!$D:$D,"",0)</f>
        <v>0</v>
      </c>
    </row>
    <row r="2261" spans="1:8" x14ac:dyDescent="0.25">
      <c r="A2261" s="2">
        <v>44642</v>
      </c>
      <c r="B2261" s="1"/>
      <c r="C2261">
        <v>73</v>
      </c>
      <c r="D2261" s="1" t="s">
        <v>171</v>
      </c>
      <c r="E2261" s="1" t="s">
        <v>6</v>
      </c>
      <c r="F2261">
        <v>5</v>
      </c>
      <c r="G2261" s="1" t="str">
        <f>Ocupacao_DW[[#This Row],[data]]&amp;Ocupacao_DW[[#This Row],[profissional_id]]&amp;Ocupacao_DW[[#This Row],[local_id]]</f>
        <v>44642735</v>
      </c>
      <c r="H2261" s="1">
        <f>_xlfn.XLOOKUP(Ocupacao_DW[[#This Row],[Concat]],Vagas!$H:$H,Vagas!$D:$D,"",0)</f>
        <v>0</v>
      </c>
    </row>
    <row r="2262" spans="1:8" x14ac:dyDescent="0.25">
      <c r="A2262" s="2">
        <v>44644</v>
      </c>
      <c r="B2262" s="1" t="s">
        <v>51</v>
      </c>
      <c r="C2262">
        <v>53</v>
      </c>
      <c r="D2262" s="1" t="s">
        <v>254</v>
      </c>
      <c r="E2262" s="1" t="s">
        <v>5</v>
      </c>
      <c r="F2262">
        <v>14</v>
      </c>
      <c r="G2262" s="1" t="str">
        <f>Ocupacao_DW[[#This Row],[data]]&amp;Ocupacao_DW[[#This Row],[profissional_id]]&amp;Ocupacao_DW[[#This Row],[local_id]]</f>
        <v>446445314</v>
      </c>
      <c r="H2262" s="1">
        <f>_xlfn.XLOOKUP(Ocupacao_DW[[#This Row],[Concat]],Vagas!$H:$H,Vagas!$D:$D,"",0)</f>
        <v>0</v>
      </c>
    </row>
    <row r="2263" spans="1:8" x14ac:dyDescent="0.25">
      <c r="A2263" s="2">
        <v>44636</v>
      </c>
      <c r="B2263" s="1"/>
      <c r="C2263">
        <v>74</v>
      </c>
      <c r="D2263" s="1" t="s">
        <v>182</v>
      </c>
      <c r="E2263" s="1" t="s">
        <v>6</v>
      </c>
      <c r="F2263">
        <v>7</v>
      </c>
      <c r="G2263" s="1" t="str">
        <f>Ocupacao_DW[[#This Row],[data]]&amp;Ocupacao_DW[[#This Row],[profissional_id]]&amp;Ocupacao_DW[[#This Row],[local_id]]</f>
        <v>44636747</v>
      </c>
      <c r="H2263" s="1">
        <f>_xlfn.XLOOKUP(Ocupacao_DW[[#This Row],[Concat]],Vagas!$H:$H,Vagas!$D:$D,"",0)</f>
        <v>0</v>
      </c>
    </row>
    <row r="2264" spans="1:8" x14ac:dyDescent="0.25">
      <c r="A2264" s="2">
        <v>44642</v>
      </c>
      <c r="B2264" s="1"/>
      <c r="C2264">
        <v>9138</v>
      </c>
      <c r="D2264" s="1" t="s">
        <v>184</v>
      </c>
      <c r="E2264" s="1" t="s">
        <v>167</v>
      </c>
      <c r="F2264">
        <v>344</v>
      </c>
      <c r="G2264" s="1" t="str">
        <f>Ocupacao_DW[[#This Row],[data]]&amp;Ocupacao_DW[[#This Row],[profissional_id]]&amp;Ocupacao_DW[[#This Row],[local_id]]</f>
        <v>446429138344</v>
      </c>
      <c r="H2264" s="1">
        <f>_xlfn.XLOOKUP(Ocupacao_DW[[#This Row],[Concat]],Vagas!$H:$H,Vagas!$D:$D,"",0)</f>
        <v>0</v>
      </c>
    </row>
    <row r="2265" spans="1:8" x14ac:dyDescent="0.25">
      <c r="A2265" s="2">
        <v>44636</v>
      </c>
      <c r="B2265" s="1"/>
      <c r="C2265">
        <v>67</v>
      </c>
      <c r="D2265" s="1" t="s">
        <v>172</v>
      </c>
      <c r="E2265" s="1" t="s">
        <v>6</v>
      </c>
      <c r="F2265">
        <v>8</v>
      </c>
      <c r="G2265" s="1" t="str">
        <f>Ocupacao_DW[[#This Row],[data]]&amp;Ocupacao_DW[[#This Row],[profissional_id]]&amp;Ocupacao_DW[[#This Row],[local_id]]</f>
        <v>44636678</v>
      </c>
      <c r="H2265" s="1">
        <f>_xlfn.XLOOKUP(Ocupacao_DW[[#This Row],[Concat]],Vagas!$H:$H,Vagas!$D:$D,"",0)</f>
        <v>0</v>
      </c>
    </row>
    <row r="2266" spans="1:8" x14ac:dyDescent="0.25">
      <c r="A2266" s="2">
        <v>44635</v>
      </c>
      <c r="B2266" s="1"/>
      <c r="C2266">
        <v>7290</v>
      </c>
      <c r="D2266" s="1" t="s">
        <v>247</v>
      </c>
      <c r="E2266" s="1" t="s">
        <v>5</v>
      </c>
      <c r="F2266">
        <v>18</v>
      </c>
      <c r="G2266" s="1" t="str">
        <f>Ocupacao_DW[[#This Row],[data]]&amp;Ocupacao_DW[[#This Row],[profissional_id]]&amp;Ocupacao_DW[[#This Row],[local_id]]</f>
        <v>44635729018</v>
      </c>
      <c r="H2266" s="1">
        <f>_xlfn.XLOOKUP(Ocupacao_DW[[#This Row],[Concat]],Vagas!$H:$H,Vagas!$D:$D,"",0)</f>
        <v>0</v>
      </c>
    </row>
    <row r="2267" spans="1:8" x14ac:dyDescent="0.25">
      <c r="A2267" s="2">
        <v>44656</v>
      </c>
      <c r="B2267" s="1" t="s">
        <v>70</v>
      </c>
      <c r="C2267">
        <v>12825</v>
      </c>
      <c r="D2267" s="1" t="s">
        <v>177</v>
      </c>
      <c r="E2267" s="1" t="s">
        <v>7</v>
      </c>
      <c r="F2267">
        <v>63</v>
      </c>
      <c r="G2267" s="1" t="str">
        <f>Ocupacao_DW[[#This Row],[data]]&amp;Ocupacao_DW[[#This Row],[profissional_id]]&amp;Ocupacao_DW[[#This Row],[local_id]]</f>
        <v>446561282563</v>
      </c>
      <c r="H2267" s="1">
        <f>_xlfn.XLOOKUP(Ocupacao_DW[[#This Row],[Concat]],Vagas!$H:$H,Vagas!$D:$D,"",0)</f>
        <v>0</v>
      </c>
    </row>
    <row r="2268" spans="1:8" x14ac:dyDescent="0.25">
      <c r="A2268" s="2">
        <v>44636</v>
      </c>
      <c r="B2268" s="1"/>
      <c r="C2268">
        <v>1490</v>
      </c>
      <c r="D2268" s="1" t="s">
        <v>174</v>
      </c>
      <c r="E2268" s="1" t="s">
        <v>5</v>
      </c>
      <c r="F2268">
        <v>13</v>
      </c>
      <c r="G2268" s="1" t="str">
        <f>Ocupacao_DW[[#This Row],[data]]&amp;Ocupacao_DW[[#This Row],[profissional_id]]&amp;Ocupacao_DW[[#This Row],[local_id]]</f>
        <v>44636149013</v>
      </c>
      <c r="H2268" s="1">
        <f>_xlfn.XLOOKUP(Ocupacao_DW[[#This Row],[Concat]],Vagas!$H:$H,Vagas!$D:$D,"",0)</f>
        <v>0</v>
      </c>
    </row>
    <row r="2269" spans="1:8" x14ac:dyDescent="0.25">
      <c r="A2269" s="2">
        <v>44643</v>
      </c>
      <c r="B2269" s="1" t="s">
        <v>51</v>
      </c>
      <c r="C2269">
        <v>17859</v>
      </c>
      <c r="D2269" s="1" t="s">
        <v>212</v>
      </c>
      <c r="E2269" s="1" t="s">
        <v>6</v>
      </c>
      <c r="F2269">
        <v>7</v>
      </c>
      <c r="G2269" s="1" t="str">
        <f>Ocupacao_DW[[#This Row],[data]]&amp;Ocupacao_DW[[#This Row],[profissional_id]]&amp;Ocupacao_DW[[#This Row],[local_id]]</f>
        <v>44643178597</v>
      </c>
      <c r="H2269" s="1">
        <f>_xlfn.XLOOKUP(Ocupacao_DW[[#This Row],[Concat]],Vagas!$H:$H,Vagas!$D:$D,"",0)</f>
        <v>0</v>
      </c>
    </row>
    <row r="2270" spans="1:8" x14ac:dyDescent="0.25">
      <c r="A2270" s="2">
        <v>44643</v>
      </c>
      <c r="B2270" s="1"/>
      <c r="C2270">
        <v>67</v>
      </c>
      <c r="D2270" s="1" t="s">
        <v>172</v>
      </c>
      <c r="E2270" s="1" t="s">
        <v>6</v>
      </c>
      <c r="F2270">
        <v>8</v>
      </c>
      <c r="G2270" s="1" t="str">
        <f>Ocupacao_DW[[#This Row],[data]]&amp;Ocupacao_DW[[#This Row],[profissional_id]]&amp;Ocupacao_DW[[#This Row],[local_id]]</f>
        <v>44643678</v>
      </c>
      <c r="H2270" s="1">
        <f>_xlfn.XLOOKUP(Ocupacao_DW[[#This Row],[Concat]],Vagas!$H:$H,Vagas!$D:$D,"",0)</f>
        <v>0</v>
      </c>
    </row>
    <row r="2271" spans="1:8" x14ac:dyDescent="0.25">
      <c r="A2271" s="2">
        <v>44636</v>
      </c>
      <c r="B2271" s="1"/>
      <c r="C2271">
        <v>7551</v>
      </c>
      <c r="D2271" s="1" t="s">
        <v>246</v>
      </c>
      <c r="E2271" s="1" t="s">
        <v>5</v>
      </c>
      <c r="F2271">
        <v>15</v>
      </c>
      <c r="G2271" s="1" t="str">
        <f>Ocupacao_DW[[#This Row],[data]]&amp;Ocupacao_DW[[#This Row],[profissional_id]]&amp;Ocupacao_DW[[#This Row],[local_id]]</f>
        <v>44636755115</v>
      </c>
      <c r="H2271" s="1">
        <f>_xlfn.XLOOKUP(Ocupacao_DW[[#This Row],[Concat]],Vagas!$H:$H,Vagas!$D:$D,"",0)</f>
        <v>0</v>
      </c>
    </row>
    <row r="2272" spans="1:8" x14ac:dyDescent="0.25">
      <c r="A2272" s="2">
        <v>44636</v>
      </c>
      <c r="B2272" s="1"/>
      <c r="C2272">
        <v>12679</v>
      </c>
      <c r="D2272" s="1" t="s">
        <v>192</v>
      </c>
      <c r="E2272" s="1" t="s">
        <v>5</v>
      </c>
      <c r="F2272">
        <v>11</v>
      </c>
      <c r="G2272" s="1" t="str">
        <f>Ocupacao_DW[[#This Row],[data]]&amp;Ocupacao_DW[[#This Row],[profissional_id]]&amp;Ocupacao_DW[[#This Row],[local_id]]</f>
        <v>446361267911</v>
      </c>
      <c r="H2272" s="1">
        <f>_xlfn.XLOOKUP(Ocupacao_DW[[#This Row],[Concat]],Vagas!$H:$H,Vagas!$D:$D,"",0)</f>
        <v>0</v>
      </c>
    </row>
    <row r="2273" spans="1:8" x14ac:dyDescent="0.25">
      <c r="A2273" s="2">
        <v>44650</v>
      </c>
      <c r="B2273" s="1"/>
      <c r="C2273">
        <v>12519</v>
      </c>
      <c r="D2273" s="1" t="s">
        <v>176</v>
      </c>
      <c r="E2273" s="1" t="s">
        <v>4</v>
      </c>
      <c r="F2273">
        <v>48</v>
      </c>
      <c r="G2273" s="1" t="str">
        <f>Ocupacao_DW[[#This Row],[data]]&amp;Ocupacao_DW[[#This Row],[profissional_id]]&amp;Ocupacao_DW[[#This Row],[local_id]]</f>
        <v>446501251948</v>
      </c>
      <c r="H2273" s="1">
        <f>_xlfn.XLOOKUP(Ocupacao_DW[[#This Row],[Concat]],Vagas!$H:$H,Vagas!$D:$D,"",0)</f>
        <v>0</v>
      </c>
    </row>
    <row r="2274" spans="1:8" x14ac:dyDescent="0.25">
      <c r="A2274" s="2">
        <v>44643</v>
      </c>
      <c r="B2274" s="1"/>
      <c r="C2274">
        <v>531</v>
      </c>
      <c r="D2274" s="1" t="s">
        <v>213</v>
      </c>
      <c r="E2274" s="1" t="s">
        <v>5</v>
      </c>
      <c r="F2274">
        <v>12</v>
      </c>
      <c r="G2274" s="1" t="str">
        <f>Ocupacao_DW[[#This Row],[data]]&amp;Ocupacao_DW[[#This Row],[profissional_id]]&amp;Ocupacao_DW[[#This Row],[local_id]]</f>
        <v>4464353112</v>
      </c>
      <c r="H2274" s="1">
        <f>_xlfn.XLOOKUP(Ocupacao_DW[[#This Row],[Concat]],Vagas!$H:$H,Vagas!$D:$D,"",0)</f>
        <v>0</v>
      </c>
    </row>
    <row r="2275" spans="1:8" x14ac:dyDescent="0.25">
      <c r="A2275" s="2">
        <v>44637</v>
      </c>
      <c r="B2275" s="1"/>
      <c r="C2275">
        <v>8598</v>
      </c>
      <c r="D2275" s="1" t="s">
        <v>228</v>
      </c>
      <c r="E2275" s="1"/>
      <c r="F2275">
        <v>0</v>
      </c>
      <c r="G2275" s="1" t="str">
        <f>Ocupacao_DW[[#This Row],[data]]&amp;Ocupacao_DW[[#This Row],[profissional_id]]&amp;Ocupacao_DW[[#This Row],[local_id]]</f>
        <v>4463785980</v>
      </c>
      <c r="H2275" s="1" t="str">
        <f>_xlfn.XLOOKUP(Ocupacao_DW[[#This Row],[Concat]],Vagas!$H:$H,Vagas!$D:$D,"",0)</f>
        <v/>
      </c>
    </row>
    <row r="2276" spans="1:8" x14ac:dyDescent="0.25">
      <c r="A2276" s="2">
        <v>44636</v>
      </c>
      <c r="B2276" s="1" t="s">
        <v>70</v>
      </c>
      <c r="C2276">
        <v>12519</v>
      </c>
      <c r="D2276" s="1" t="s">
        <v>176</v>
      </c>
      <c r="E2276" s="1" t="s">
        <v>4</v>
      </c>
      <c r="F2276">
        <v>48</v>
      </c>
      <c r="G2276" s="1" t="str">
        <f>Ocupacao_DW[[#This Row],[data]]&amp;Ocupacao_DW[[#This Row],[profissional_id]]&amp;Ocupacao_DW[[#This Row],[local_id]]</f>
        <v>446361251948</v>
      </c>
      <c r="H2276" s="1">
        <f>_xlfn.XLOOKUP(Ocupacao_DW[[#This Row],[Concat]],Vagas!$H:$H,Vagas!$D:$D,"",0)</f>
        <v>0</v>
      </c>
    </row>
    <row r="2277" spans="1:8" x14ac:dyDescent="0.25">
      <c r="A2277" s="2">
        <v>44643</v>
      </c>
      <c r="B2277" s="1"/>
      <c r="C2277">
        <v>74</v>
      </c>
      <c r="D2277" s="1" t="s">
        <v>182</v>
      </c>
      <c r="E2277" s="1" t="s">
        <v>6</v>
      </c>
      <c r="F2277">
        <v>7</v>
      </c>
      <c r="G2277" s="1" t="str">
        <f>Ocupacao_DW[[#This Row],[data]]&amp;Ocupacao_DW[[#This Row],[profissional_id]]&amp;Ocupacao_DW[[#This Row],[local_id]]</f>
        <v>44643747</v>
      </c>
      <c r="H2277" s="1">
        <f>_xlfn.XLOOKUP(Ocupacao_DW[[#This Row],[Concat]],Vagas!$H:$H,Vagas!$D:$D,"",0)</f>
        <v>0</v>
      </c>
    </row>
    <row r="2278" spans="1:8" x14ac:dyDescent="0.25">
      <c r="A2278" s="2">
        <v>44657</v>
      </c>
      <c r="B2278" s="1" t="s">
        <v>70</v>
      </c>
      <c r="C2278">
        <v>12519</v>
      </c>
      <c r="D2278" s="1" t="s">
        <v>176</v>
      </c>
      <c r="E2278" s="1" t="s">
        <v>4</v>
      </c>
      <c r="F2278">
        <v>48</v>
      </c>
      <c r="G2278" s="1" t="str">
        <f>Ocupacao_DW[[#This Row],[data]]&amp;Ocupacao_DW[[#This Row],[profissional_id]]&amp;Ocupacao_DW[[#This Row],[local_id]]</f>
        <v>446571251948</v>
      </c>
      <c r="H2278" s="1">
        <f>_xlfn.XLOOKUP(Ocupacao_DW[[#This Row],[Concat]],Vagas!$H:$H,Vagas!$D:$D,"",0)</f>
        <v>0</v>
      </c>
    </row>
    <row r="2279" spans="1:8" x14ac:dyDescent="0.25">
      <c r="A2279" s="2">
        <v>44658</v>
      </c>
      <c r="B2279" s="1"/>
      <c r="C2279">
        <v>12825</v>
      </c>
      <c r="D2279" s="1" t="s">
        <v>177</v>
      </c>
      <c r="E2279" s="1" t="s">
        <v>4</v>
      </c>
      <c r="F2279">
        <v>45</v>
      </c>
      <c r="G2279" s="1" t="str">
        <f>Ocupacao_DW[[#This Row],[data]]&amp;Ocupacao_DW[[#This Row],[profissional_id]]&amp;Ocupacao_DW[[#This Row],[local_id]]</f>
        <v>446581282545</v>
      </c>
      <c r="H2279" s="1" t="str">
        <f>_xlfn.XLOOKUP(Ocupacao_DW[[#This Row],[Concat]],Vagas!$H:$H,Vagas!$D:$D,"",0)</f>
        <v/>
      </c>
    </row>
    <row r="2280" spans="1:8" x14ac:dyDescent="0.25">
      <c r="A2280" s="2">
        <v>44636</v>
      </c>
      <c r="B2280" s="1" t="s">
        <v>54</v>
      </c>
      <c r="C2280">
        <v>1490</v>
      </c>
      <c r="D2280" s="1" t="s">
        <v>174</v>
      </c>
      <c r="E2280" s="1" t="s">
        <v>5</v>
      </c>
      <c r="F2280">
        <v>13</v>
      </c>
      <c r="G2280" s="1" t="str">
        <f>Ocupacao_DW[[#This Row],[data]]&amp;Ocupacao_DW[[#This Row],[profissional_id]]&amp;Ocupacao_DW[[#This Row],[local_id]]</f>
        <v>44636149013</v>
      </c>
      <c r="H2280" s="1">
        <f>_xlfn.XLOOKUP(Ocupacao_DW[[#This Row],[Concat]],Vagas!$H:$H,Vagas!$D:$D,"",0)</f>
        <v>0</v>
      </c>
    </row>
    <row r="2281" spans="1:8" x14ac:dyDescent="0.25">
      <c r="A2281" s="2">
        <v>44649</v>
      </c>
      <c r="B2281" s="1"/>
      <c r="C2281">
        <v>73</v>
      </c>
      <c r="D2281" s="1" t="s">
        <v>171</v>
      </c>
      <c r="E2281" s="1" t="s">
        <v>6</v>
      </c>
      <c r="F2281">
        <v>5</v>
      </c>
      <c r="G2281" s="1" t="str">
        <f>Ocupacao_DW[[#This Row],[data]]&amp;Ocupacao_DW[[#This Row],[profissional_id]]&amp;Ocupacao_DW[[#This Row],[local_id]]</f>
        <v>44649735</v>
      </c>
      <c r="H2281" s="1">
        <f>_xlfn.XLOOKUP(Ocupacao_DW[[#This Row],[Concat]],Vagas!$H:$H,Vagas!$D:$D,"",0)</f>
        <v>0</v>
      </c>
    </row>
    <row r="2282" spans="1:8" x14ac:dyDescent="0.25">
      <c r="A2282" s="2">
        <v>44637</v>
      </c>
      <c r="B2282" s="1"/>
      <c r="C2282">
        <v>1490</v>
      </c>
      <c r="D2282" s="1" t="s">
        <v>174</v>
      </c>
      <c r="E2282" s="1" t="s">
        <v>5</v>
      </c>
      <c r="F2282">
        <v>12</v>
      </c>
      <c r="G2282" s="1" t="str">
        <f>Ocupacao_DW[[#This Row],[data]]&amp;Ocupacao_DW[[#This Row],[profissional_id]]&amp;Ocupacao_DW[[#This Row],[local_id]]</f>
        <v>44637149012</v>
      </c>
      <c r="H2282" s="1">
        <f>_xlfn.XLOOKUP(Ocupacao_DW[[#This Row],[Concat]],Vagas!$H:$H,Vagas!$D:$D,"",0)</f>
        <v>0</v>
      </c>
    </row>
    <row r="2283" spans="1:8" x14ac:dyDescent="0.25">
      <c r="A2283" s="2">
        <v>44637</v>
      </c>
      <c r="B2283" s="1"/>
      <c r="C2283">
        <v>1490</v>
      </c>
      <c r="D2283" s="1" t="s">
        <v>174</v>
      </c>
      <c r="E2283" s="1" t="s">
        <v>5</v>
      </c>
      <c r="F2283">
        <v>12</v>
      </c>
      <c r="G2283" s="1" t="str">
        <f>Ocupacao_DW[[#This Row],[data]]&amp;Ocupacao_DW[[#This Row],[profissional_id]]&amp;Ocupacao_DW[[#This Row],[local_id]]</f>
        <v>44637149012</v>
      </c>
      <c r="H2283" s="1">
        <f>_xlfn.XLOOKUP(Ocupacao_DW[[#This Row],[Concat]],Vagas!$H:$H,Vagas!$D:$D,"",0)</f>
        <v>0</v>
      </c>
    </row>
    <row r="2284" spans="1:8" x14ac:dyDescent="0.25">
      <c r="A2284" s="2">
        <v>44643</v>
      </c>
      <c r="B2284" s="1"/>
      <c r="C2284">
        <v>74</v>
      </c>
      <c r="D2284" s="1" t="s">
        <v>182</v>
      </c>
      <c r="E2284" s="1" t="s">
        <v>6</v>
      </c>
      <c r="F2284">
        <v>7</v>
      </c>
      <c r="G2284" s="1" t="str">
        <f>Ocupacao_DW[[#This Row],[data]]&amp;Ocupacao_DW[[#This Row],[profissional_id]]&amp;Ocupacao_DW[[#This Row],[local_id]]</f>
        <v>44643747</v>
      </c>
      <c r="H2284" s="1">
        <f>_xlfn.XLOOKUP(Ocupacao_DW[[#This Row],[Concat]],Vagas!$H:$H,Vagas!$D:$D,"",0)</f>
        <v>0</v>
      </c>
    </row>
    <row r="2285" spans="1:8" x14ac:dyDescent="0.25">
      <c r="A2285" s="2">
        <v>44643</v>
      </c>
      <c r="B2285" s="1"/>
      <c r="C2285">
        <v>1490</v>
      </c>
      <c r="D2285" s="1" t="s">
        <v>174</v>
      </c>
      <c r="E2285" s="1" t="s">
        <v>5</v>
      </c>
      <c r="F2285">
        <v>13</v>
      </c>
      <c r="G2285" s="1" t="str">
        <f>Ocupacao_DW[[#This Row],[data]]&amp;Ocupacao_DW[[#This Row],[profissional_id]]&amp;Ocupacao_DW[[#This Row],[local_id]]</f>
        <v>44643149013</v>
      </c>
      <c r="H2285" s="1">
        <f>_xlfn.XLOOKUP(Ocupacao_DW[[#This Row],[Concat]],Vagas!$H:$H,Vagas!$D:$D,"",0)</f>
        <v>0</v>
      </c>
    </row>
    <row r="2286" spans="1:8" x14ac:dyDescent="0.25">
      <c r="A2286" s="2">
        <v>44636</v>
      </c>
      <c r="B2286" s="1"/>
      <c r="C2286">
        <v>2396</v>
      </c>
      <c r="D2286" s="1" t="s">
        <v>197</v>
      </c>
      <c r="E2286" s="1"/>
      <c r="F2286">
        <v>0</v>
      </c>
      <c r="G2286" s="1" t="str">
        <f>Ocupacao_DW[[#This Row],[data]]&amp;Ocupacao_DW[[#This Row],[profissional_id]]&amp;Ocupacao_DW[[#This Row],[local_id]]</f>
        <v>4463623960</v>
      </c>
      <c r="H2286" s="1" t="str">
        <f>_xlfn.XLOOKUP(Ocupacao_DW[[#This Row],[Concat]],Vagas!$H:$H,Vagas!$D:$D,"",0)</f>
        <v/>
      </c>
    </row>
    <row r="2287" spans="1:8" x14ac:dyDescent="0.25">
      <c r="A2287" s="2">
        <v>44636</v>
      </c>
      <c r="B2287" s="1"/>
      <c r="C2287">
        <v>10691</v>
      </c>
      <c r="D2287" s="1" t="s">
        <v>181</v>
      </c>
      <c r="E2287" s="1"/>
      <c r="F2287">
        <v>0</v>
      </c>
      <c r="G2287" s="1" t="str">
        <f>Ocupacao_DW[[#This Row],[data]]&amp;Ocupacao_DW[[#This Row],[profissional_id]]&amp;Ocupacao_DW[[#This Row],[local_id]]</f>
        <v>44636106910</v>
      </c>
      <c r="H2287" s="1" t="str">
        <f>_xlfn.XLOOKUP(Ocupacao_DW[[#This Row],[Concat]],Vagas!$H:$H,Vagas!$D:$D,"",0)</f>
        <v/>
      </c>
    </row>
    <row r="2288" spans="1:8" x14ac:dyDescent="0.25">
      <c r="A2288" s="2">
        <v>44643</v>
      </c>
      <c r="B2288" s="1"/>
      <c r="C2288">
        <v>1490</v>
      </c>
      <c r="D2288" s="1" t="s">
        <v>174</v>
      </c>
      <c r="E2288" s="1"/>
      <c r="F2288">
        <v>0</v>
      </c>
      <c r="G2288" s="1" t="str">
        <f>Ocupacao_DW[[#This Row],[data]]&amp;Ocupacao_DW[[#This Row],[profissional_id]]&amp;Ocupacao_DW[[#This Row],[local_id]]</f>
        <v>4464314900</v>
      </c>
      <c r="H2288" s="1" t="str">
        <f>_xlfn.XLOOKUP(Ocupacao_DW[[#This Row],[Concat]],Vagas!$H:$H,Vagas!$D:$D,"",0)</f>
        <v/>
      </c>
    </row>
    <row r="2289" spans="1:8" x14ac:dyDescent="0.25">
      <c r="A2289" s="2">
        <v>44643</v>
      </c>
      <c r="B2289" s="1"/>
      <c r="C2289">
        <v>1490</v>
      </c>
      <c r="D2289" s="1" t="s">
        <v>174</v>
      </c>
      <c r="E2289" s="1" t="s">
        <v>5</v>
      </c>
      <c r="F2289">
        <v>13</v>
      </c>
      <c r="G2289" s="1" t="str">
        <f>Ocupacao_DW[[#This Row],[data]]&amp;Ocupacao_DW[[#This Row],[profissional_id]]&amp;Ocupacao_DW[[#This Row],[local_id]]</f>
        <v>44643149013</v>
      </c>
      <c r="H2289" s="1">
        <f>_xlfn.XLOOKUP(Ocupacao_DW[[#This Row],[Concat]],Vagas!$H:$H,Vagas!$D:$D,"",0)</f>
        <v>0</v>
      </c>
    </row>
    <row r="2290" spans="1:8" x14ac:dyDescent="0.25">
      <c r="A2290" s="2">
        <v>44635</v>
      </c>
      <c r="B2290" s="1"/>
      <c r="C2290">
        <v>73</v>
      </c>
      <c r="D2290" s="1" t="s">
        <v>171</v>
      </c>
      <c r="E2290" s="1" t="s">
        <v>6</v>
      </c>
      <c r="F2290">
        <v>5</v>
      </c>
      <c r="G2290" s="1" t="str">
        <f>Ocupacao_DW[[#This Row],[data]]&amp;Ocupacao_DW[[#This Row],[profissional_id]]&amp;Ocupacao_DW[[#This Row],[local_id]]</f>
        <v>44635735</v>
      </c>
      <c r="H2290" s="1">
        <f>_xlfn.XLOOKUP(Ocupacao_DW[[#This Row],[Concat]],Vagas!$H:$H,Vagas!$D:$D,"",0)</f>
        <v>0</v>
      </c>
    </row>
    <row r="2291" spans="1:8" x14ac:dyDescent="0.25">
      <c r="A2291" s="2">
        <v>44643</v>
      </c>
      <c r="B2291" s="1"/>
      <c r="C2291">
        <v>1490</v>
      </c>
      <c r="D2291" s="1" t="s">
        <v>174</v>
      </c>
      <c r="E2291" s="1" t="s">
        <v>5</v>
      </c>
      <c r="F2291">
        <v>13</v>
      </c>
      <c r="G2291" s="1" t="str">
        <f>Ocupacao_DW[[#This Row],[data]]&amp;Ocupacao_DW[[#This Row],[profissional_id]]&amp;Ocupacao_DW[[#This Row],[local_id]]</f>
        <v>44643149013</v>
      </c>
      <c r="H2291" s="1">
        <f>_xlfn.XLOOKUP(Ocupacao_DW[[#This Row],[Concat]],Vagas!$H:$H,Vagas!$D:$D,"",0)</f>
        <v>0</v>
      </c>
    </row>
    <row r="2292" spans="1:8" x14ac:dyDescent="0.25">
      <c r="A2292" s="2">
        <v>44643</v>
      </c>
      <c r="B2292" s="1"/>
      <c r="C2292">
        <v>1490</v>
      </c>
      <c r="D2292" s="1" t="s">
        <v>174</v>
      </c>
      <c r="E2292" s="1" t="s">
        <v>5</v>
      </c>
      <c r="F2292">
        <v>13</v>
      </c>
      <c r="G2292" s="1" t="str">
        <f>Ocupacao_DW[[#This Row],[data]]&amp;Ocupacao_DW[[#This Row],[profissional_id]]&amp;Ocupacao_DW[[#This Row],[local_id]]</f>
        <v>44643149013</v>
      </c>
      <c r="H2292" s="1">
        <f>_xlfn.XLOOKUP(Ocupacao_DW[[#This Row],[Concat]],Vagas!$H:$H,Vagas!$D:$D,"",0)</f>
        <v>0</v>
      </c>
    </row>
    <row r="2293" spans="1:8" x14ac:dyDescent="0.25">
      <c r="A2293" s="2">
        <v>44657</v>
      </c>
      <c r="B2293" s="1"/>
      <c r="C2293">
        <v>67</v>
      </c>
      <c r="D2293" s="1" t="s">
        <v>172</v>
      </c>
      <c r="E2293" s="1" t="s">
        <v>6</v>
      </c>
      <c r="F2293">
        <v>8</v>
      </c>
      <c r="G2293" s="1" t="str">
        <f>Ocupacao_DW[[#This Row],[data]]&amp;Ocupacao_DW[[#This Row],[profissional_id]]&amp;Ocupacao_DW[[#This Row],[local_id]]</f>
        <v>44657678</v>
      </c>
      <c r="H2293" s="1">
        <f>_xlfn.XLOOKUP(Ocupacao_DW[[#This Row],[Concat]],Vagas!$H:$H,Vagas!$D:$D,"",0)</f>
        <v>0</v>
      </c>
    </row>
    <row r="2294" spans="1:8" x14ac:dyDescent="0.25">
      <c r="A2294" s="2">
        <v>44643</v>
      </c>
      <c r="B2294" s="1"/>
      <c r="C2294">
        <v>1490</v>
      </c>
      <c r="D2294" s="1" t="s">
        <v>174</v>
      </c>
      <c r="E2294" s="1" t="s">
        <v>5</v>
      </c>
      <c r="F2294">
        <v>13</v>
      </c>
      <c r="G2294" s="1" t="str">
        <f>Ocupacao_DW[[#This Row],[data]]&amp;Ocupacao_DW[[#This Row],[profissional_id]]&amp;Ocupacao_DW[[#This Row],[local_id]]</f>
        <v>44643149013</v>
      </c>
      <c r="H2294" s="1">
        <f>_xlfn.XLOOKUP(Ocupacao_DW[[#This Row],[Concat]],Vagas!$H:$H,Vagas!$D:$D,"",0)</f>
        <v>0</v>
      </c>
    </row>
    <row r="2295" spans="1:8" x14ac:dyDescent="0.25">
      <c r="A2295" s="2">
        <v>44643</v>
      </c>
      <c r="B2295" s="1"/>
      <c r="C2295">
        <v>6430</v>
      </c>
      <c r="D2295" s="1" t="s">
        <v>188</v>
      </c>
      <c r="E2295" s="1" t="s">
        <v>4</v>
      </c>
      <c r="F2295">
        <v>42</v>
      </c>
      <c r="G2295" s="1" t="str">
        <f>Ocupacao_DW[[#This Row],[data]]&amp;Ocupacao_DW[[#This Row],[profissional_id]]&amp;Ocupacao_DW[[#This Row],[local_id]]</f>
        <v>44643643042</v>
      </c>
      <c r="H2295" s="1">
        <f>_xlfn.XLOOKUP(Ocupacao_DW[[#This Row],[Concat]],Vagas!$H:$H,Vagas!$D:$D,"",0)</f>
        <v>0</v>
      </c>
    </row>
    <row r="2296" spans="1:8" x14ac:dyDescent="0.25">
      <c r="A2296" s="2">
        <v>44641</v>
      </c>
      <c r="B2296" s="1"/>
      <c r="C2296">
        <v>13249</v>
      </c>
      <c r="D2296" s="1" t="s">
        <v>178</v>
      </c>
      <c r="E2296" s="1" t="s">
        <v>4</v>
      </c>
      <c r="F2296">
        <v>45</v>
      </c>
      <c r="G2296" s="1" t="str">
        <f>Ocupacao_DW[[#This Row],[data]]&amp;Ocupacao_DW[[#This Row],[profissional_id]]&amp;Ocupacao_DW[[#This Row],[local_id]]</f>
        <v>446411324945</v>
      </c>
      <c r="H2296" s="1">
        <f>_xlfn.XLOOKUP(Ocupacao_DW[[#This Row],[Concat]],Vagas!$H:$H,Vagas!$D:$D,"",0)</f>
        <v>0</v>
      </c>
    </row>
    <row r="2297" spans="1:8" x14ac:dyDescent="0.25">
      <c r="A2297" s="2">
        <v>44651</v>
      </c>
      <c r="B2297" s="1"/>
      <c r="C2297">
        <v>1490</v>
      </c>
      <c r="D2297" s="1" t="s">
        <v>174</v>
      </c>
      <c r="E2297" s="1" t="s">
        <v>5</v>
      </c>
      <c r="F2297">
        <v>12</v>
      </c>
      <c r="G2297" s="1" t="str">
        <f>Ocupacao_DW[[#This Row],[data]]&amp;Ocupacao_DW[[#This Row],[profissional_id]]&amp;Ocupacao_DW[[#This Row],[local_id]]</f>
        <v>44651149012</v>
      </c>
      <c r="H2297" s="1">
        <f>_xlfn.XLOOKUP(Ocupacao_DW[[#This Row],[Concat]],Vagas!$H:$H,Vagas!$D:$D,"",0)</f>
        <v>0</v>
      </c>
    </row>
    <row r="2298" spans="1:8" x14ac:dyDescent="0.25">
      <c r="A2298" s="2">
        <v>44636</v>
      </c>
      <c r="B2298" s="1"/>
      <c r="C2298">
        <v>67</v>
      </c>
      <c r="D2298" s="1" t="s">
        <v>172</v>
      </c>
      <c r="E2298" s="1" t="s">
        <v>6</v>
      </c>
      <c r="F2298">
        <v>8</v>
      </c>
      <c r="G2298" s="1" t="str">
        <f>Ocupacao_DW[[#This Row],[data]]&amp;Ocupacao_DW[[#This Row],[profissional_id]]&amp;Ocupacao_DW[[#This Row],[local_id]]</f>
        <v>44636678</v>
      </c>
      <c r="H2298" s="1">
        <f>_xlfn.XLOOKUP(Ocupacao_DW[[#This Row],[Concat]],Vagas!$H:$H,Vagas!$D:$D,"",0)</f>
        <v>0</v>
      </c>
    </row>
    <row r="2299" spans="1:8" x14ac:dyDescent="0.25">
      <c r="A2299" s="2">
        <v>44639</v>
      </c>
      <c r="B2299" s="1" t="s">
        <v>52</v>
      </c>
      <c r="C2299">
        <v>60</v>
      </c>
      <c r="D2299" s="1" t="s">
        <v>217</v>
      </c>
      <c r="E2299" s="1" t="s">
        <v>6</v>
      </c>
      <c r="F2299">
        <v>8</v>
      </c>
      <c r="G2299" s="1" t="str">
        <f>Ocupacao_DW[[#This Row],[data]]&amp;Ocupacao_DW[[#This Row],[profissional_id]]&amp;Ocupacao_DW[[#This Row],[local_id]]</f>
        <v>44639608</v>
      </c>
      <c r="H2299" s="1">
        <f>_xlfn.XLOOKUP(Ocupacao_DW[[#This Row],[Concat]],Vagas!$H:$H,Vagas!$D:$D,"",0)</f>
        <v>0</v>
      </c>
    </row>
    <row r="2300" spans="1:8" x14ac:dyDescent="0.25">
      <c r="A2300" s="2">
        <v>44635</v>
      </c>
      <c r="B2300" s="1" t="s">
        <v>55</v>
      </c>
      <c r="C2300">
        <v>12669</v>
      </c>
      <c r="D2300" s="1" t="s">
        <v>223</v>
      </c>
      <c r="E2300" s="1" t="s">
        <v>6</v>
      </c>
      <c r="F2300">
        <v>6</v>
      </c>
      <c r="G2300" s="1" t="str">
        <f>Ocupacao_DW[[#This Row],[data]]&amp;Ocupacao_DW[[#This Row],[profissional_id]]&amp;Ocupacao_DW[[#This Row],[local_id]]</f>
        <v>44635126696</v>
      </c>
      <c r="H2300" s="1">
        <f>_xlfn.XLOOKUP(Ocupacao_DW[[#This Row],[Concat]],Vagas!$H:$H,Vagas!$D:$D,"",0)</f>
        <v>0</v>
      </c>
    </row>
    <row r="2301" spans="1:8" x14ac:dyDescent="0.25">
      <c r="A2301" s="2">
        <v>44643</v>
      </c>
      <c r="B2301" s="1"/>
      <c r="C2301">
        <v>74</v>
      </c>
      <c r="D2301" s="1" t="s">
        <v>182</v>
      </c>
      <c r="E2301" s="1" t="s">
        <v>6</v>
      </c>
      <c r="F2301">
        <v>7</v>
      </c>
      <c r="G2301" s="1" t="str">
        <f>Ocupacao_DW[[#This Row],[data]]&amp;Ocupacao_DW[[#This Row],[profissional_id]]&amp;Ocupacao_DW[[#This Row],[local_id]]</f>
        <v>44643747</v>
      </c>
      <c r="H2301" s="1">
        <f>_xlfn.XLOOKUP(Ocupacao_DW[[#This Row],[Concat]],Vagas!$H:$H,Vagas!$D:$D,"",0)</f>
        <v>0</v>
      </c>
    </row>
    <row r="2302" spans="1:8" x14ac:dyDescent="0.25">
      <c r="A2302" s="2">
        <v>44648</v>
      </c>
      <c r="B2302" s="1"/>
      <c r="C2302">
        <v>6392</v>
      </c>
      <c r="D2302" s="1" t="s">
        <v>173</v>
      </c>
      <c r="E2302" s="1" t="s">
        <v>6</v>
      </c>
      <c r="F2302">
        <v>5</v>
      </c>
      <c r="G2302" s="1" t="str">
        <f>Ocupacao_DW[[#This Row],[data]]&amp;Ocupacao_DW[[#This Row],[profissional_id]]&amp;Ocupacao_DW[[#This Row],[local_id]]</f>
        <v>4464863925</v>
      </c>
      <c r="H2302" s="1">
        <f>_xlfn.XLOOKUP(Ocupacao_DW[[#This Row],[Concat]],Vagas!$H:$H,Vagas!$D:$D,"",0)</f>
        <v>0</v>
      </c>
    </row>
    <row r="2303" spans="1:8" x14ac:dyDescent="0.25">
      <c r="A2303" s="2">
        <v>44636</v>
      </c>
      <c r="B2303" s="1"/>
      <c r="C2303">
        <v>80</v>
      </c>
      <c r="D2303" s="1" t="s">
        <v>179</v>
      </c>
      <c r="E2303" s="1" t="s">
        <v>167</v>
      </c>
      <c r="F2303">
        <v>346</v>
      </c>
      <c r="G2303" s="1" t="str">
        <f>Ocupacao_DW[[#This Row],[data]]&amp;Ocupacao_DW[[#This Row],[profissional_id]]&amp;Ocupacao_DW[[#This Row],[local_id]]</f>
        <v>4463680346</v>
      </c>
      <c r="H2303" s="1">
        <f>_xlfn.XLOOKUP(Ocupacao_DW[[#This Row],[Concat]],Vagas!$H:$H,Vagas!$D:$D,"",0)</f>
        <v>0</v>
      </c>
    </row>
    <row r="2304" spans="1:8" x14ac:dyDescent="0.25">
      <c r="A2304" s="2">
        <v>44643</v>
      </c>
      <c r="B2304" s="1"/>
      <c r="C2304">
        <v>1490</v>
      </c>
      <c r="D2304" s="1" t="s">
        <v>174</v>
      </c>
      <c r="E2304" s="1" t="s">
        <v>5</v>
      </c>
      <c r="F2304">
        <v>13</v>
      </c>
      <c r="G2304" s="1" t="str">
        <f>Ocupacao_DW[[#This Row],[data]]&amp;Ocupacao_DW[[#This Row],[profissional_id]]&amp;Ocupacao_DW[[#This Row],[local_id]]</f>
        <v>44643149013</v>
      </c>
      <c r="H2304" s="1">
        <f>_xlfn.XLOOKUP(Ocupacao_DW[[#This Row],[Concat]],Vagas!$H:$H,Vagas!$D:$D,"",0)</f>
        <v>0</v>
      </c>
    </row>
    <row r="2305" spans="1:8" x14ac:dyDescent="0.25">
      <c r="A2305" s="2">
        <v>44642</v>
      </c>
      <c r="B2305" s="1"/>
      <c r="C2305">
        <v>69</v>
      </c>
      <c r="D2305" s="1" t="s">
        <v>238</v>
      </c>
      <c r="E2305" s="1" t="s">
        <v>5</v>
      </c>
      <c r="F2305">
        <v>13</v>
      </c>
      <c r="G2305" s="1" t="str">
        <f>Ocupacao_DW[[#This Row],[data]]&amp;Ocupacao_DW[[#This Row],[profissional_id]]&amp;Ocupacao_DW[[#This Row],[local_id]]</f>
        <v>446426913</v>
      </c>
      <c r="H2305" s="1">
        <f>_xlfn.XLOOKUP(Ocupacao_DW[[#This Row],[Concat]],Vagas!$H:$H,Vagas!$D:$D,"",0)</f>
        <v>0</v>
      </c>
    </row>
    <row r="2306" spans="1:8" x14ac:dyDescent="0.25">
      <c r="A2306" s="2">
        <v>44644</v>
      </c>
      <c r="B2306" s="1"/>
      <c r="C2306">
        <v>1490</v>
      </c>
      <c r="D2306" s="1" t="s">
        <v>174</v>
      </c>
      <c r="E2306" s="1" t="s">
        <v>5</v>
      </c>
      <c r="F2306">
        <v>12</v>
      </c>
      <c r="G2306" s="1" t="str">
        <f>Ocupacao_DW[[#This Row],[data]]&amp;Ocupacao_DW[[#This Row],[profissional_id]]&amp;Ocupacao_DW[[#This Row],[local_id]]</f>
        <v>44644149012</v>
      </c>
      <c r="H2306" s="1">
        <f>_xlfn.XLOOKUP(Ocupacao_DW[[#This Row],[Concat]],Vagas!$H:$H,Vagas!$D:$D,"",0)</f>
        <v>0</v>
      </c>
    </row>
    <row r="2307" spans="1:8" x14ac:dyDescent="0.25">
      <c r="A2307" s="2">
        <v>44642</v>
      </c>
      <c r="B2307" s="1"/>
      <c r="C2307">
        <v>57</v>
      </c>
      <c r="D2307" s="1" t="s">
        <v>169</v>
      </c>
      <c r="E2307" s="1"/>
      <c r="F2307">
        <v>0</v>
      </c>
      <c r="G2307" s="1" t="str">
        <f>Ocupacao_DW[[#This Row],[data]]&amp;Ocupacao_DW[[#This Row],[profissional_id]]&amp;Ocupacao_DW[[#This Row],[local_id]]</f>
        <v>44642570</v>
      </c>
      <c r="H2307" s="1" t="str">
        <f>_xlfn.XLOOKUP(Ocupacao_DW[[#This Row],[Concat]],Vagas!$H:$H,Vagas!$D:$D,"",0)</f>
        <v/>
      </c>
    </row>
    <row r="2308" spans="1:8" x14ac:dyDescent="0.25">
      <c r="A2308" s="2">
        <v>44657</v>
      </c>
      <c r="B2308" s="1"/>
      <c r="C2308">
        <v>67</v>
      </c>
      <c r="D2308" s="1" t="s">
        <v>172</v>
      </c>
      <c r="E2308" s="1" t="s">
        <v>6</v>
      </c>
      <c r="F2308">
        <v>8</v>
      </c>
      <c r="G2308" s="1" t="str">
        <f>Ocupacao_DW[[#This Row],[data]]&amp;Ocupacao_DW[[#This Row],[profissional_id]]&amp;Ocupacao_DW[[#This Row],[local_id]]</f>
        <v>44657678</v>
      </c>
      <c r="H2308" s="1">
        <f>_xlfn.XLOOKUP(Ocupacao_DW[[#This Row],[Concat]],Vagas!$H:$H,Vagas!$D:$D,"",0)</f>
        <v>0</v>
      </c>
    </row>
    <row r="2309" spans="1:8" x14ac:dyDescent="0.25">
      <c r="A2309" s="2">
        <v>44643</v>
      </c>
      <c r="B2309" s="1"/>
      <c r="C2309">
        <v>74</v>
      </c>
      <c r="D2309" s="1" t="s">
        <v>182</v>
      </c>
      <c r="E2309" s="1" t="s">
        <v>6</v>
      </c>
      <c r="F2309">
        <v>7</v>
      </c>
      <c r="G2309" s="1" t="str">
        <f>Ocupacao_DW[[#This Row],[data]]&amp;Ocupacao_DW[[#This Row],[profissional_id]]&amp;Ocupacao_DW[[#This Row],[local_id]]</f>
        <v>44643747</v>
      </c>
      <c r="H2309" s="1">
        <f>_xlfn.XLOOKUP(Ocupacao_DW[[#This Row],[Concat]],Vagas!$H:$H,Vagas!$D:$D,"",0)</f>
        <v>0</v>
      </c>
    </row>
    <row r="2310" spans="1:8" x14ac:dyDescent="0.25">
      <c r="A2310" s="2">
        <v>44644</v>
      </c>
      <c r="B2310" s="1"/>
      <c r="C2310">
        <v>80</v>
      </c>
      <c r="D2310" s="1" t="s">
        <v>179</v>
      </c>
      <c r="E2310" s="1" t="s">
        <v>167</v>
      </c>
      <c r="F2310">
        <v>348</v>
      </c>
      <c r="G2310" s="1" t="str">
        <f>Ocupacao_DW[[#This Row],[data]]&amp;Ocupacao_DW[[#This Row],[profissional_id]]&amp;Ocupacao_DW[[#This Row],[local_id]]</f>
        <v>4464480348</v>
      </c>
      <c r="H2310" s="1">
        <f>_xlfn.XLOOKUP(Ocupacao_DW[[#This Row],[Concat]],Vagas!$H:$H,Vagas!$D:$D,"",0)</f>
        <v>0</v>
      </c>
    </row>
    <row r="2311" spans="1:8" x14ac:dyDescent="0.25">
      <c r="A2311" s="2">
        <v>44651</v>
      </c>
      <c r="B2311" s="1"/>
      <c r="C2311">
        <v>1490</v>
      </c>
      <c r="D2311" s="1" t="s">
        <v>174</v>
      </c>
      <c r="E2311" s="1" t="s">
        <v>167</v>
      </c>
      <c r="F2311">
        <v>344</v>
      </c>
      <c r="G2311" s="1" t="str">
        <f>Ocupacao_DW[[#This Row],[data]]&amp;Ocupacao_DW[[#This Row],[profissional_id]]&amp;Ocupacao_DW[[#This Row],[local_id]]</f>
        <v>446511490344</v>
      </c>
      <c r="H2311" s="1">
        <f>_xlfn.XLOOKUP(Ocupacao_DW[[#This Row],[Concat]],Vagas!$H:$H,Vagas!$D:$D,"",0)</f>
        <v>0</v>
      </c>
    </row>
    <row r="2312" spans="1:8" x14ac:dyDescent="0.25">
      <c r="A2312" s="2">
        <v>44638</v>
      </c>
      <c r="B2312" s="1"/>
      <c r="C2312">
        <v>2984</v>
      </c>
      <c r="D2312" s="1" t="s">
        <v>185</v>
      </c>
      <c r="E2312" s="1" t="s">
        <v>6</v>
      </c>
      <c r="F2312">
        <v>7</v>
      </c>
      <c r="G2312" s="1" t="str">
        <f>Ocupacao_DW[[#This Row],[data]]&amp;Ocupacao_DW[[#This Row],[profissional_id]]&amp;Ocupacao_DW[[#This Row],[local_id]]</f>
        <v>4463829847</v>
      </c>
      <c r="H2312" s="1">
        <f>_xlfn.XLOOKUP(Ocupacao_DW[[#This Row],[Concat]],Vagas!$H:$H,Vagas!$D:$D,"",0)</f>
        <v>0</v>
      </c>
    </row>
    <row r="2313" spans="1:8" x14ac:dyDescent="0.25">
      <c r="A2313" s="2">
        <v>44641</v>
      </c>
      <c r="B2313" s="1"/>
      <c r="C2313">
        <v>6046</v>
      </c>
      <c r="D2313" s="1" t="s">
        <v>222</v>
      </c>
      <c r="E2313" s="1" t="s">
        <v>4</v>
      </c>
      <c r="F2313">
        <v>46</v>
      </c>
      <c r="G2313" s="1" t="str">
        <f>Ocupacao_DW[[#This Row],[data]]&amp;Ocupacao_DW[[#This Row],[profissional_id]]&amp;Ocupacao_DW[[#This Row],[local_id]]</f>
        <v>44641604646</v>
      </c>
      <c r="H2313" s="1">
        <f>_xlfn.XLOOKUP(Ocupacao_DW[[#This Row],[Concat]],Vagas!$H:$H,Vagas!$D:$D,"",0)</f>
        <v>0</v>
      </c>
    </row>
    <row r="2314" spans="1:8" x14ac:dyDescent="0.25">
      <c r="A2314" s="2">
        <v>44635</v>
      </c>
      <c r="B2314" s="1"/>
      <c r="C2314">
        <v>73</v>
      </c>
      <c r="D2314" s="1" t="s">
        <v>171</v>
      </c>
      <c r="E2314" s="1" t="s">
        <v>6</v>
      </c>
      <c r="F2314">
        <v>5</v>
      </c>
      <c r="G2314" s="1" t="str">
        <f>Ocupacao_DW[[#This Row],[data]]&amp;Ocupacao_DW[[#This Row],[profissional_id]]&amp;Ocupacao_DW[[#This Row],[local_id]]</f>
        <v>44635735</v>
      </c>
      <c r="H2314" s="1">
        <f>_xlfn.XLOOKUP(Ocupacao_DW[[#This Row],[Concat]],Vagas!$H:$H,Vagas!$D:$D,"",0)</f>
        <v>0</v>
      </c>
    </row>
    <row r="2315" spans="1:8" x14ac:dyDescent="0.25">
      <c r="A2315" s="2">
        <v>44637</v>
      </c>
      <c r="B2315" s="1"/>
      <c r="C2315">
        <v>12582</v>
      </c>
      <c r="D2315" s="1" t="s">
        <v>190</v>
      </c>
      <c r="E2315" s="1" t="s">
        <v>6</v>
      </c>
      <c r="F2315">
        <v>6</v>
      </c>
      <c r="G2315" s="1" t="str">
        <f>Ocupacao_DW[[#This Row],[data]]&amp;Ocupacao_DW[[#This Row],[profissional_id]]&amp;Ocupacao_DW[[#This Row],[local_id]]</f>
        <v>44637125826</v>
      </c>
      <c r="H2315" s="1">
        <f>_xlfn.XLOOKUP(Ocupacao_DW[[#This Row],[Concat]],Vagas!$H:$H,Vagas!$D:$D,"",0)</f>
        <v>0</v>
      </c>
    </row>
    <row r="2316" spans="1:8" x14ac:dyDescent="0.25">
      <c r="A2316" s="2">
        <v>44656</v>
      </c>
      <c r="B2316" s="1"/>
      <c r="C2316">
        <v>67</v>
      </c>
      <c r="D2316" s="1" t="s">
        <v>172</v>
      </c>
      <c r="E2316" s="1" t="s">
        <v>6</v>
      </c>
      <c r="F2316">
        <v>8</v>
      </c>
      <c r="G2316" s="1" t="str">
        <f>Ocupacao_DW[[#This Row],[data]]&amp;Ocupacao_DW[[#This Row],[profissional_id]]&amp;Ocupacao_DW[[#This Row],[local_id]]</f>
        <v>44656678</v>
      </c>
      <c r="H2316" s="1">
        <f>_xlfn.XLOOKUP(Ocupacao_DW[[#This Row],[Concat]],Vagas!$H:$H,Vagas!$D:$D,"",0)</f>
        <v>0</v>
      </c>
    </row>
    <row r="2317" spans="1:8" x14ac:dyDescent="0.25">
      <c r="A2317" s="2">
        <v>44650</v>
      </c>
      <c r="B2317" s="1" t="s">
        <v>62</v>
      </c>
      <c r="C2317">
        <v>2567</v>
      </c>
      <c r="D2317" s="1" t="s">
        <v>198</v>
      </c>
      <c r="E2317" s="1" t="s">
        <v>5</v>
      </c>
      <c r="F2317">
        <v>349</v>
      </c>
      <c r="G2317" s="1" t="str">
        <f>Ocupacao_DW[[#This Row],[data]]&amp;Ocupacao_DW[[#This Row],[profissional_id]]&amp;Ocupacao_DW[[#This Row],[local_id]]</f>
        <v>446502567349</v>
      </c>
      <c r="H2317" s="1">
        <f>_xlfn.XLOOKUP(Ocupacao_DW[[#This Row],[Concat]],Vagas!$H:$H,Vagas!$D:$D,"",0)</f>
        <v>0</v>
      </c>
    </row>
    <row r="2318" spans="1:8" x14ac:dyDescent="0.25">
      <c r="A2318" s="2">
        <v>44645</v>
      </c>
      <c r="B2318" s="1" t="s">
        <v>49</v>
      </c>
      <c r="C2318">
        <v>6430</v>
      </c>
      <c r="D2318" s="1" t="s">
        <v>188</v>
      </c>
      <c r="E2318" s="1" t="s">
        <v>4</v>
      </c>
      <c r="F2318">
        <v>42</v>
      </c>
      <c r="G2318" s="1" t="str">
        <f>Ocupacao_DW[[#This Row],[data]]&amp;Ocupacao_DW[[#This Row],[profissional_id]]&amp;Ocupacao_DW[[#This Row],[local_id]]</f>
        <v>44645643042</v>
      </c>
      <c r="H2318" s="1">
        <f>_xlfn.XLOOKUP(Ocupacao_DW[[#This Row],[Concat]],Vagas!$H:$H,Vagas!$D:$D,"",0)</f>
        <v>0</v>
      </c>
    </row>
    <row r="2319" spans="1:8" x14ac:dyDescent="0.25">
      <c r="A2319" s="2">
        <v>44642</v>
      </c>
      <c r="B2319" s="1"/>
      <c r="C2319">
        <v>14237</v>
      </c>
      <c r="D2319" s="1" t="s">
        <v>186</v>
      </c>
      <c r="E2319" s="1" t="s">
        <v>4</v>
      </c>
      <c r="F2319">
        <v>47</v>
      </c>
      <c r="G2319" s="1" t="str">
        <f>Ocupacao_DW[[#This Row],[data]]&amp;Ocupacao_DW[[#This Row],[profissional_id]]&amp;Ocupacao_DW[[#This Row],[local_id]]</f>
        <v>446421423747</v>
      </c>
      <c r="H2319" s="1">
        <f>_xlfn.XLOOKUP(Ocupacao_DW[[#This Row],[Concat]],Vagas!$H:$H,Vagas!$D:$D,"",0)</f>
        <v>0</v>
      </c>
    </row>
    <row r="2320" spans="1:8" x14ac:dyDescent="0.25">
      <c r="A2320" s="2">
        <v>44635</v>
      </c>
      <c r="B2320" s="1" t="s">
        <v>49</v>
      </c>
      <c r="C2320">
        <v>81</v>
      </c>
      <c r="D2320" s="1" t="s">
        <v>170</v>
      </c>
      <c r="E2320" s="1" t="s">
        <v>4</v>
      </c>
      <c r="F2320">
        <v>41</v>
      </c>
      <c r="G2320" s="1" t="str">
        <f>Ocupacao_DW[[#This Row],[data]]&amp;Ocupacao_DW[[#This Row],[profissional_id]]&amp;Ocupacao_DW[[#This Row],[local_id]]</f>
        <v>446358141</v>
      </c>
      <c r="H2320" s="1">
        <f>_xlfn.XLOOKUP(Ocupacao_DW[[#This Row],[Concat]],Vagas!$H:$H,Vagas!$D:$D,"",0)</f>
        <v>0</v>
      </c>
    </row>
    <row r="2321" spans="1:8" x14ac:dyDescent="0.25">
      <c r="A2321" s="2">
        <v>44635</v>
      </c>
      <c r="B2321" s="1"/>
      <c r="C2321">
        <v>13249</v>
      </c>
      <c r="D2321" s="1" t="s">
        <v>178</v>
      </c>
      <c r="E2321" s="1" t="s">
        <v>4</v>
      </c>
      <c r="F2321">
        <v>45</v>
      </c>
      <c r="G2321" s="1" t="str">
        <f>Ocupacao_DW[[#This Row],[data]]&amp;Ocupacao_DW[[#This Row],[profissional_id]]&amp;Ocupacao_DW[[#This Row],[local_id]]</f>
        <v>446351324945</v>
      </c>
      <c r="H2321" s="1">
        <f>_xlfn.XLOOKUP(Ocupacao_DW[[#This Row],[Concat]],Vagas!$H:$H,Vagas!$D:$D,"",0)</f>
        <v>0</v>
      </c>
    </row>
    <row r="2322" spans="1:8" x14ac:dyDescent="0.25">
      <c r="A2322" s="2">
        <v>44642</v>
      </c>
      <c r="B2322" s="1"/>
      <c r="C2322">
        <v>13249</v>
      </c>
      <c r="D2322" s="1" t="s">
        <v>178</v>
      </c>
      <c r="E2322" s="1" t="s">
        <v>4</v>
      </c>
      <c r="F2322">
        <v>45</v>
      </c>
      <c r="G2322" s="1" t="str">
        <f>Ocupacao_DW[[#This Row],[data]]&amp;Ocupacao_DW[[#This Row],[profissional_id]]&amp;Ocupacao_DW[[#This Row],[local_id]]</f>
        <v>446421324945</v>
      </c>
      <c r="H2322" s="1">
        <f>_xlfn.XLOOKUP(Ocupacao_DW[[#This Row],[Concat]],Vagas!$H:$H,Vagas!$D:$D,"",0)</f>
        <v>0</v>
      </c>
    </row>
    <row r="2323" spans="1:8" x14ac:dyDescent="0.25">
      <c r="A2323" s="2">
        <v>44642</v>
      </c>
      <c r="B2323" s="1"/>
      <c r="C2323">
        <v>13249</v>
      </c>
      <c r="D2323" s="1" t="s">
        <v>178</v>
      </c>
      <c r="E2323" s="1" t="s">
        <v>4</v>
      </c>
      <c r="F2323">
        <v>45</v>
      </c>
      <c r="G2323" s="1" t="str">
        <f>Ocupacao_DW[[#This Row],[data]]&amp;Ocupacao_DW[[#This Row],[profissional_id]]&amp;Ocupacao_DW[[#This Row],[local_id]]</f>
        <v>446421324945</v>
      </c>
      <c r="H2323" s="1">
        <f>_xlfn.XLOOKUP(Ocupacao_DW[[#This Row],[Concat]],Vagas!$H:$H,Vagas!$D:$D,"",0)</f>
        <v>0</v>
      </c>
    </row>
    <row r="2324" spans="1:8" x14ac:dyDescent="0.25">
      <c r="A2324" s="2">
        <v>44656</v>
      </c>
      <c r="B2324" s="1"/>
      <c r="C2324">
        <v>13249</v>
      </c>
      <c r="D2324" s="1" t="s">
        <v>178</v>
      </c>
      <c r="E2324" s="1" t="s">
        <v>4</v>
      </c>
      <c r="F2324">
        <v>45</v>
      </c>
      <c r="G2324" s="1" t="str">
        <f>Ocupacao_DW[[#This Row],[data]]&amp;Ocupacao_DW[[#This Row],[profissional_id]]&amp;Ocupacao_DW[[#This Row],[local_id]]</f>
        <v>446561324945</v>
      </c>
      <c r="H2324" s="1" t="str">
        <f>_xlfn.XLOOKUP(Ocupacao_DW[[#This Row],[Concat]],Vagas!$H:$H,Vagas!$D:$D,"",0)</f>
        <v/>
      </c>
    </row>
    <row r="2325" spans="1:8" x14ac:dyDescent="0.25">
      <c r="A2325" s="2">
        <v>44635</v>
      </c>
      <c r="B2325" s="1"/>
      <c r="C2325">
        <v>73</v>
      </c>
      <c r="D2325" s="1" t="s">
        <v>171</v>
      </c>
      <c r="E2325" s="1" t="s">
        <v>6</v>
      </c>
      <c r="F2325">
        <v>5</v>
      </c>
      <c r="G2325" s="1" t="str">
        <f>Ocupacao_DW[[#This Row],[data]]&amp;Ocupacao_DW[[#This Row],[profissional_id]]&amp;Ocupacao_DW[[#This Row],[local_id]]</f>
        <v>44635735</v>
      </c>
      <c r="H2325" s="1">
        <f>_xlfn.XLOOKUP(Ocupacao_DW[[#This Row],[Concat]],Vagas!$H:$H,Vagas!$D:$D,"",0)</f>
        <v>0</v>
      </c>
    </row>
    <row r="2326" spans="1:8" x14ac:dyDescent="0.25">
      <c r="A2326" s="2">
        <v>44635</v>
      </c>
      <c r="B2326" s="1"/>
      <c r="C2326">
        <v>73</v>
      </c>
      <c r="D2326" s="1" t="s">
        <v>171</v>
      </c>
      <c r="E2326" s="1" t="s">
        <v>6</v>
      </c>
      <c r="F2326">
        <v>5</v>
      </c>
      <c r="G2326" s="1" t="str">
        <f>Ocupacao_DW[[#This Row],[data]]&amp;Ocupacao_DW[[#This Row],[profissional_id]]&amp;Ocupacao_DW[[#This Row],[local_id]]</f>
        <v>44635735</v>
      </c>
      <c r="H2326" s="1">
        <f>_xlfn.XLOOKUP(Ocupacao_DW[[#This Row],[Concat]],Vagas!$H:$H,Vagas!$D:$D,"",0)</f>
        <v>0</v>
      </c>
    </row>
    <row r="2327" spans="1:8" x14ac:dyDescent="0.25">
      <c r="A2327" s="2">
        <v>44636</v>
      </c>
      <c r="B2327" s="1"/>
      <c r="C2327">
        <v>12519</v>
      </c>
      <c r="D2327" s="1" t="s">
        <v>176</v>
      </c>
      <c r="E2327" s="1" t="s">
        <v>4</v>
      </c>
      <c r="F2327">
        <v>48</v>
      </c>
      <c r="G2327" s="1" t="str">
        <f>Ocupacao_DW[[#This Row],[data]]&amp;Ocupacao_DW[[#This Row],[profissional_id]]&amp;Ocupacao_DW[[#This Row],[local_id]]</f>
        <v>446361251948</v>
      </c>
      <c r="H2327" s="1">
        <f>_xlfn.XLOOKUP(Ocupacao_DW[[#This Row],[Concat]],Vagas!$H:$H,Vagas!$D:$D,"",0)</f>
        <v>0</v>
      </c>
    </row>
    <row r="2328" spans="1:8" x14ac:dyDescent="0.25">
      <c r="A2328" s="2">
        <v>44639</v>
      </c>
      <c r="B2328" s="1"/>
      <c r="C2328">
        <v>10249</v>
      </c>
      <c r="D2328" s="1" t="s">
        <v>231</v>
      </c>
      <c r="E2328" s="1" t="s">
        <v>4</v>
      </c>
      <c r="F2328">
        <v>44</v>
      </c>
      <c r="G2328" s="1" t="str">
        <f>Ocupacao_DW[[#This Row],[data]]&amp;Ocupacao_DW[[#This Row],[profissional_id]]&amp;Ocupacao_DW[[#This Row],[local_id]]</f>
        <v>446391024944</v>
      </c>
      <c r="H2328" s="1">
        <f>_xlfn.XLOOKUP(Ocupacao_DW[[#This Row],[Concat]],Vagas!$H:$H,Vagas!$D:$D,"",0)</f>
        <v>0</v>
      </c>
    </row>
    <row r="2329" spans="1:8" x14ac:dyDescent="0.25">
      <c r="A2329" s="2">
        <v>44635</v>
      </c>
      <c r="B2329" s="1"/>
      <c r="C2329">
        <v>73</v>
      </c>
      <c r="D2329" s="1" t="s">
        <v>171</v>
      </c>
      <c r="E2329" s="1" t="s">
        <v>6</v>
      </c>
      <c r="F2329">
        <v>5</v>
      </c>
      <c r="G2329" s="1" t="str">
        <f>Ocupacao_DW[[#This Row],[data]]&amp;Ocupacao_DW[[#This Row],[profissional_id]]&amp;Ocupacao_DW[[#This Row],[local_id]]</f>
        <v>44635735</v>
      </c>
      <c r="H2329" s="1">
        <f>_xlfn.XLOOKUP(Ocupacao_DW[[#This Row],[Concat]],Vagas!$H:$H,Vagas!$D:$D,"",0)</f>
        <v>0</v>
      </c>
    </row>
    <row r="2330" spans="1:8" x14ac:dyDescent="0.25">
      <c r="A2330" s="2">
        <v>44635</v>
      </c>
      <c r="B2330" s="1"/>
      <c r="C2330">
        <v>110</v>
      </c>
      <c r="D2330" s="1" t="s">
        <v>193</v>
      </c>
      <c r="E2330" s="1" t="s">
        <v>4</v>
      </c>
      <c r="F2330">
        <v>334</v>
      </c>
      <c r="G2330" s="1" t="str">
        <f>Ocupacao_DW[[#This Row],[data]]&amp;Ocupacao_DW[[#This Row],[profissional_id]]&amp;Ocupacao_DW[[#This Row],[local_id]]</f>
        <v>44635110334</v>
      </c>
      <c r="H2330" s="1">
        <f>_xlfn.XLOOKUP(Ocupacao_DW[[#This Row],[Concat]],Vagas!$H:$H,Vagas!$D:$D,"",0)</f>
        <v>0</v>
      </c>
    </row>
    <row r="2331" spans="1:8" x14ac:dyDescent="0.25">
      <c r="A2331" s="2">
        <v>44641</v>
      </c>
      <c r="B2331" s="1"/>
      <c r="C2331">
        <v>60</v>
      </c>
      <c r="D2331" s="1" t="s">
        <v>217</v>
      </c>
      <c r="E2331" s="1" t="s">
        <v>7</v>
      </c>
      <c r="F2331">
        <v>66</v>
      </c>
      <c r="G2331" s="1" t="str">
        <f>Ocupacao_DW[[#This Row],[data]]&amp;Ocupacao_DW[[#This Row],[profissional_id]]&amp;Ocupacao_DW[[#This Row],[local_id]]</f>
        <v>446416066</v>
      </c>
      <c r="H2331" s="1">
        <f>_xlfn.XLOOKUP(Ocupacao_DW[[#This Row],[Concat]],Vagas!$H:$H,Vagas!$D:$D,"",0)</f>
        <v>0</v>
      </c>
    </row>
    <row r="2332" spans="1:8" x14ac:dyDescent="0.25">
      <c r="A2332" s="2">
        <v>44638</v>
      </c>
      <c r="B2332" s="1"/>
      <c r="C2332">
        <v>2984</v>
      </c>
      <c r="D2332" s="1" t="s">
        <v>185</v>
      </c>
      <c r="E2332" s="1" t="s">
        <v>6</v>
      </c>
      <c r="F2332">
        <v>7</v>
      </c>
      <c r="G2332" s="1" t="str">
        <f>Ocupacao_DW[[#This Row],[data]]&amp;Ocupacao_DW[[#This Row],[profissional_id]]&amp;Ocupacao_DW[[#This Row],[local_id]]</f>
        <v>4463829847</v>
      </c>
      <c r="H2332" s="1">
        <f>_xlfn.XLOOKUP(Ocupacao_DW[[#This Row],[Concat]],Vagas!$H:$H,Vagas!$D:$D,"",0)</f>
        <v>0</v>
      </c>
    </row>
    <row r="2333" spans="1:8" x14ac:dyDescent="0.25">
      <c r="A2333" s="2">
        <v>44638</v>
      </c>
      <c r="B2333" s="1"/>
      <c r="C2333">
        <v>2984</v>
      </c>
      <c r="D2333" s="1" t="s">
        <v>185</v>
      </c>
      <c r="E2333" s="1" t="s">
        <v>6</v>
      </c>
      <c r="F2333">
        <v>7</v>
      </c>
      <c r="G2333" s="1" t="str">
        <f>Ocupacao_DW[[#This Row],[data]]&amp;Ocupacao_DW[[#This Row],[profissional_id]]&amp;Ocupacao_DW[[#This Row],[local_id]]</f>
        <v>4463829847</v>
      </c>
      <c r="H2333" s="1">
        <f>_xlfn.XLOOKUP(Ocupacao_DW[[#This Row],[Concat]],Vagas!$H:$H,Vagas!$D:$D,"",0)</f>
        <v>0</v>
      </c>
    </row>
    <row r="2334" spans="1:8" x14ac:dyDescent="0.25">
      <c r="A2334" s="2">
        <v>44638</v>
      </c>
      <c r="B2334" s="1"/>
      <c r="C2334">
        <v>2984</v>
      </c>
      <c r="D2334" s="1" t="s">
        <v>185</v>
      </c>
      <c r="E2334" s="1" t="s">
        <v>6</v>
      </c>
      <c r="F2334">
        <v>7</v>
      </c>
      <c r="G2334" s="1" t="str">
        <f>Ocupacao_DW[[#This Row],[data]]&amp;Ocupacao_DW[[#This Row],[profissional_id]]&amp;Ocupacao_DW[[#This Row],[local_id]]</f>
        <v>4463829847</v>
      </c>
      <c r="H2334" s="1">
        <f>_xlfn.XLOOKUP(Ocupacao_DW[[#This Row],[Concat]],Vagas!$H:$H,Vagas!$D:$D,"",0)</f>
        <v>0</v>
      </c>
    </row>
    <row r="2335" spans="1:8" x14ac:dyDescent="0.25">
      <c r="A2335" s="2">
        <v>44638</v>
      </c>
      <c r="B2335" s="1"/>
      <c r="C2335">
        <v>2984</v>
      </c>
      <c r="D2335" s="1" t="s">
        <v>185</v>
      </c>
      <c r="E2335" s="1" t="s">
        <v>6</v>
      </c>
      <c r="F2335">
        <v>7</v>
      </c>
      <c r="G2335" s="1" t="str">
        <f>Ocupacao_DW[[#This Row],[data]]&amp;Ocupacao_DW[[#This Row],[profissional_id]]&amp;Ocupacao_DW[[#This Row],[local_id]]</f>
        <v>4463829847</v>
      </c>
      <c r="H2335" s="1">
        <f>_xlfn.XLOOKUP(Ocupacao_DW[[#This Row],[Concat]],Vagas!$H:$H,Vagas!$D:$D,"",0)</f>
        <v>0</v>
      </c>
    </row>
    <row r="2336" spans="1:8" x14ac:dyDescent="0.25">
      <c r="A2336" s="2">
        <v>44650</v>
      </c>
      <c r="B2336" s="1"/>
      <c r="C2336">
        <v>1490</v>
      </c>
      <c r="D2336" s="1" t="s">
        <v>174</v>
      </c>
      <c r="E2336" s="1" t="s">
        <v>5</v>
      </c>
      <c r="F2336">
        <v>13</v>
      </c>
      <c r="G2336" s="1" t="str">
        <f>Ocupacao_DW[[#This Row],[data]]&amp;Ocupacao_DW[[#This Row],[profissional_id]]&amp;Ocupacao_DW[[#This Row],[local_id]]</f>
        <v>44650149013</v>
      </c>
      <c r="H2336" s="1">
        <f>_xlfn.XLOOKUP(Ocupacao_DW[[#This Row],[Concat]],Vagas!$H:$H,Vagas!$D:$D,"",0)</f>
        <v>0</v>
      </c>
    </row>
    <row r="2337" spans="1:8" x14ac:dyDescent="0.25">
      <c r="A2337" s="2">
        <v>44636</v>
      </c>
      <c r="B2337" s="1"/>
      <c r="C2337">
        <v>74</v>
      </c>
      <c r="D2337" s="1" t="s">
        <v>182</v>
      </c>
      <c r="E2337" s="1" t="s">
        <v>6</v>
      </c>
      <c r="F2337">
        <v>7</v>
      </c>
      <c r="G2337" s="1" t="str">
        <f>Ocupacao_DW[[#This Row],[data]]&amp;Ocupacao_DW[[#This Row],[profissional_id]]&amp;Ocupacao_DW[[#This Row],[local_id]]</f>
        <v>44636747</v>
      </c>
      <c r="H2337" s="1">
        <f>_xlfn.XLOOKUP(Ocupacao_DW[[#This Row],[Concat]],Vagas!$H:$H,Vagas!$D:$D,"",0)</f>
        <v>0</v>
      </c>
    </row>
    <row r="2338" spans="1:8" x14ac:dyDescent="0.25">
      <c r="A2338" s="2">
        <v>44641</v>
      </c>
      <c r="B2338" s="1"/>
      <c r="C2338">
        <v>13249</v>
      </c>
      <c r="D2338" s="1" t="s">
        <v>178</v>
      </c>
      <c r="E2338" s="1" t="s">
        <v>4</v>
      </c>
      <c r="F2338">
        <v>45</v>
      </c>
      <c r="G2338" s="1" t="str">
        <f>Ocupacao_DW[[#This Row],[data]]&amp;Ocupacao_DW[[#This Row],[profissional_id]]&amp;Ocupacao_DW[[#This Row],[local_id]]</f>
        <v>446411324945</v>
      </c>
      <c r="H2338" s="1">
        <f>_xlfn.XLOOKUP(Ocupacao_DW[[#This Row],[Concat]],Vagas!$H:$H,Vagas!$D:$D,"",0)</f>
        <v>0</v>
      </c>
    </row>
    <row r="2339" spans="1:8" x14ac:dyDescent="0.25">
      <c r="A2339" s="2">
        <v>44648</v>
      </c>
      <c r="B2339" s="1"/>
      <c r="C2339">
        <v>13249</v>
      </c>
      <c r="D2339" s="1" t="s">
        <v>178</v>
      </c>
      <c r="E2339" s="1" t="s">
        <v>4</v>
      </c>
      <c r="F2339">
        <v>45</v>
      </c>
      <c r="G2339" s="1" t="str">
        <f>Ocupacao_DW[[#This Row],[data]]&amp;Ocupacao_DW[[#This Row],[profissional_id]]&amp;Ocupacao_DW[[#This Row],[local_id]]</f>
        <v>446481324945</v>
      </c>
      <c r="H2339" s="1">
        <f>_xlfn.XLOOKUP(Ocupacao_DW[[#This Row],[Concat]],Vagas!$H:$H,Vagas!$D:$D,"",0)</f>
        <v>0</v>
      </c>
    </row>
    <row r="2340" spans="1:8" x14ac:dyDescent="0.25">
      <c r="A2340" s="2">
        <v>44636</v>
      </c>
      <c r="B2340" s="1"/>
      <c r="C2340">
        <v>74</v>
      </c>
      <c r="D2340" s="1" t="s">
        <v>182</v>
      </c>
      <c r="E2340" s="1" t="s">
        <v>6</v>
      </c>
      <c r="F2340">
        <v>7</v>
      </c>
      <c r="G2340" s="1" t="str">
        <f>Ocupacao_DW[[#This Row],[data]]&amp;Ocupacao_DW[[#This Row],[profissional_id]]&amp;Ocupacao_DW[[#This Row],[local_id]]</f>
        <v>44636747</v>
      </c>
      <c r="H2340" s="1">
        <f>_xlfn.XLOOKUP(Ocupacao_DW[[#This Row],[Concat]],Vagas!$H:$H,Vagas!$D:$D,"",0)</f>
        <v>0</v>
      </c>
    </row>
    <row r="2341" spans="1:8" x14ac:dyDescent="0.25">
      <c r="A2341" s="2">
        <v>44637</v>
      </c>
      <c r="B2341" s="1"/>
      <c r="C2341">
        <v>8598</v>
      </c>
      <c r="D2341" s="1" t="s">
        <v>228</v>
      </c>
      <c r="E2341" s="1"/>
      <c r="F2341">
        <v>0</v>
      </c>
      <c r="G2341" s="1" t="str">
        <f>Ocupacao_DW[[#This Row],[data]]&amp;Ocupacao_DW[[#This Row],[profissional_id]]&amp;Ocupacao_DW[[#This Row],[local_id]]</f>
        <v>4463785980</v>
      </c>
      <c r="H2341" s="1" t="str">
        <f>_xlfn.XLOOKUP(Ocupacao_DW[[#This Row],[Concat]],Vagas!$H:$H,Vagas!$D:$D,"",0)</f>
        <v/>
      </c>
    </row>
    <row r="2342" spans="1:8" x14ac:dyDescent="0.25">
      <c r="A2342" s="2">
        <v>44650</v>
      </c>
      <c r="B2342" s="1"/>
      <c r="C2342">
        <v>1490</v>
      </c>
      <c r="D2342" s="1" t="s">
        <v>174</v>
      </c>
      <c r="E2342" s="1" t="s">
        <v>5</v>
      </c>
      <c r="F2342">
        <v>13</v>
      </c>
      <c r="G2342" s="1" t="str">
        <f>Ocupacao_DW[[#This Row],[data]]&amp;Ocupacao_DW[[#This Row],[profissional_id]]&amp;Ocupacao_DW[[#This Row],[local_id]]</f>
        <v>44650149013</v>
      </c>
      <c r="H2342" s="1">
        <f>_xlfn.XLOOKUP(Ocupacao_DW[[#This Row],[Concat]],Vagas!$H:$H,Vagas!$D:$D,"",0)</f>
        <v>0</v>
      </c>
    </row>
    <row r="2343" spans="1:8" x14ac:dyDescent="0.25">
      <c r="A2343" s="2">
        <v>44650</v>
      </c>
      <c r="B2343" s="1"/>
      <c r="C2343">
        <v>1490</v>
      </c>
      <c r="D2343" s="1" t="s">
        <v>174</v>
      </c>
      <c r="E2343" s="1" t="s">
        <v>5</v>
      </c>
      <c r="F2343">
        <v>13</v>
      </c>
      <c r="G2343" s="1" t="str">
        <f>Ocupacao_DW[[#This Row],[data]]&amp;Ocupacao_DW[[#This Row],[profissional_id]]&amp;Ocupacao_DW[[#This Row],[local_id]]</f>
        <v>44650149013</v>
      </c>
      <c r="H2343" s="1">
        <f>_xlfn.XLOOKUP(Ocupacao_DW[[#This Row],[Concat]],Vagas!$H:$H,Vagas!$D:$D,"",0)</f>
        <v>0</v>
      </c>
    </row>
    <row r="2344" spans="1:8" x14ac:dyDescent="0.25">
      <c r="A2344" s="2">
        <v>44643</v>
      </c>
      <c r="B2344" s="1" t="s">
        <v>52</v>
      </c>
      <c r="C2344">
        <v>60</v>
      </c>
      <c r="D2344" s="1" t="s">
        <v>217</v>
      </c>
      <c r="E2344" s="1" t="s">
        <v>6</v>
      </c>
      <c r="F2344">
        <v>8</v>
      </c>
      <c r="G2344" s="1" t="str">
        <f>Ocupacao_DW[[#This Row],[data]]&amp;Ocupacao_DW[[#This Row],[profissional_id]]&amp;Ocupacao_DW[[#This Row],[local_id]]</f>
        <v>44643608</v>
      </c>
      <c r="H2344" s="1">
        <f>_xlfn.XLOOKUP(Ocupacao_DW[[#This Row],[Concat]],Vagas!$H:$H,Vagas!$D:$D,"",0)</f>
        <v>0</v>
      </c>
    </row>
    <row r="2345" spans="1:8" x14ac:dyDescent="0.25">
      <c r="A2345" s="2">
        <v>44656</v>
      </c>
      <c r="B2345" s="1"/>
      <c r="C2345">
        <v>73</v>
      </c>
      <c r="D2345" s="1" t="s">
        <v>171</v>
      </c>
      <c r="E2345" s="1" t="s">
        <v>6</v>
      </c>
      <c r="F2345">
        <v>5</v>
      </c>
      <c r="G2345" s="1" t="str">
        <f>Ocupacao_DW[[#This Row],[data]]&amp;Ocupacao_DW[[#This Row],[profissional_id]]&amp;Ocupacao_DW[[#This Row],[local_id]]</f>
        <v>44656735</v>
      </c>
      <c r="H2345" s="1">
        <f>_xlfn.XLOOKUP(Ocupacao_DW[[#This Row],[Concat]],Vagas!$H:$H,Vagas!$D:$D,"",0)</f>
        <v>0</v>
      </c>
    </row>
    <row r="2346" spans="1:8" x14ac:dyDescent="0.25">
      <c r="A2346" s="2">
        <v>44636</v>
      </c>
      <c r="B2346" s="1"/>
      <c r="C2346">
        <v>67</v>
      </c>
      <c r="D2346" s="1" t="s">
        <v>172</v>
      </c>
      <c r="E2346" s="1" t="s">
        <v>6</v>
      </c>
      <c r="F2346">
        <v>8</v>
      </c>
      <c r="G2346" s="1" t="str">
        <f>Ocupacao_DW[[#This Row],[data]]&amp;Ocupacao_DW[[#This Row],[profissional_id]]&amp;Ocupacao_DW[[#This Row],[local_id]]</f>
        <v>44636678</v>
      </c>
      <c r="H2346" s="1">
        <f>_xlfn.XLOOKUP(Ocupacao_DW[[#This Row],[Concat]],Vagas!$H:$H,Vagas!$D:$D,"",0)</f>
        <v>0</v>
      </c>
    </row>
    <row r="2347" spans="1:8" x14ac:dyDescent="0.25">
      <c r="A2347" s="2">
        <v>44636</v>
      </c>
      <c r="B2347" s="1"/>
      <c r="C2347">
        <v>80</v>
      </c>
      <c r="D2347" s="1" t="s">
        <v>179</v>
      </c>
      <c r="E2347" s="1" t="s">
        <v>167</v>
      </c>
      <c r="F2347">
        <v>346</v>
      </c>
      <c r="G2347" s="1" t="str">
        <f>Ocupacao_DW[[#This Row],[data]]&amp;Ocupacao_DW[[#This Row],[profissional_id]]&amp;Ocupacao_DW[[#This Row],[local_id]]</f>
        <v>4463680346</v>
      </c>
      <c r="H2347" s="1">
        <f>_xlfn.XLOOKUP(Ocupacao_DW[[#This Row],[Concat]],Vagas!$H:$H,Vagas!$D:$D,"",0)</f>
        <v>0</v>
      </c>
    </row>
    <row r="2348" spans="1:8" x14ac:dyDescent="0.25">
      <c r="A2348" s="2">
        <v>44636</v>
      </c>
      <c r="B2348" s="1"/>
      <c r="C2348">
        <v>74</v>
      </c>
      <c r="D2348" s="1" t="s">
        <v>182</v>
      </c>
      <c r="E2348" s="1" t="s">
        <v>6</v>
      </c>
      <c r="F2348">
        <v>7</v>
      </c>
      <c r="G2348" s="1" t="str">
        <f>Ocupacao_DW[[#This Row],[data]]&amp;Ocupacao_DW[[#This Row],[profissional_id]]&amp;Ocupacao_DW[[#This Row],[local_id]]</f>
        <v>44636747</v>
      </c>
      <c r="H2348" s="1">
        <f>_xlfn.XLOOKUP(Ocupacao_DW[[#This Row],[Concat]],Vagas!$H:$H,Vagas!$D:$D,"",0)</f>
        <v>0</v>
      </c>
    </row>
    <row r="2349" spans="1:8" x14ac:dyDescent="0.25">
      <c r="A2349" s="2">
        <v>44642</v>
      </c>
      <c r="B2349" s="1"/>
      <c r="C2349">
        <v>10941</v>
      </c>
      <c r="D2349" s="1" t="s">
        <v>224</v>
      </c>
      <c r="E2349" s="1" t="s">
        <v>5</v>
      </c>
      <c r="F2349">
        <v>13</v>
      </c>
      <c r="G2349" s="1" t="str">
        <f>Ocupacao_DW[[#This Row],[data]]&amp;Ocupacao_DW[[#This Row],[profissional_id]]&amp;Ocupacao_DW[[#This Row],[local_id]]</f>
        <v>446421094113</v>
      </c>
      <c r="H2349" s="1">
        <f>_xlfn.XLOOKUP(Ocupacao_DW[[#This Row],[Concat]],Vagas!$H:$H,Vagas!$D:$D,"",0)</f>
        <v>0</v>
      </c>
    </row>
    <row r="2350" spans="1:8" x14ac:dyDescent="0.25">
      <c r="A2350" s="2">
        <v>44639</v>
      </c>
      <c r="B2350" s="1"/>
      <c r="C2350">
        <v>4887</v>
      </c>
      <c r="D2350" s="1" t="s">
        <v>168</v>
      </c>
      <c r="E2350" s="1" t="s">
        <v>5</v>
      </c>
      <c r="F2350">
        <v>18</v>
      </c>
      <c r="G2350" s="1" t="str">
        <f>Ocupacao_DW[[#This Row],[data]]&amp;Ocupacao_DW[[#This Row],[profissional_id]]&amp;Ocupacao_DW[[#This Row],[local_id]]</f>
        <v>44639488718</v>
      </c>
      <c r="H2350" s="1">
        <f>_xlfn.XLOOKUP(Ocupacao_DW[[#This Row],[Concat]],Vagas!$H:$H,Vagas!$D:$D,"",0)</f>
        <v>0</v>
      </c>
    </row>
    <row r="2351" spans="1:8" x14ac:dyDescent="0.25">
      <c r="A2351" s="2">
        <v>44635</v>
      </c>
      <c r="B2351" s="1"/>
      <c r="C2351">
        <v>73</v>
      </c>
      <c r="D2351" s="1" t="s">
        <v>171</v>
      </c>
      <c r="E2351" s="1" t="s">
        <v>6</v>
      </c>
      <c r="F2351">
        <v>5</v>
      </c>
      <c r="G2351" s="1" t="str">
        <f>Ocupacao_DW[[#This Row],[data]]&amp;Ocupacao_DW[[#This Row],[profissional_id]]&amp;Ocupacao_DW[[#This Row],[local_id]]</f>
        <v>44635735</v>
      </c>
      <c r="H2351" s="1">
        <f>_xlfn.XLOOKUP(Ocupacao_DW[[#This Row],[Concat]],Vagas!$H:$H,Vagas!$D:$D,"",0)</f>
        <v>0</v>
      </c>
    </row>
    <row r="2352" spans="1:8" x14ac:dyDescent="0.25">
      <c r="A2352" s="2">
        <v>44635</v>
      </c>
      <c r="B2352" s="1"/>
      <c r="C2352">
        <v>86</v>
      </c>
      <c r="D2352" s="1" t="s">
        <v>175</v>
      </c>
      <c r="E2352" s="1" t="s">
        <v>200</v>
      </c>
      <c r="F2352">
        <v>82</v>
      </c>
      <c r="G2352" s="1" t="str">
        <f>Ocupacao_DW[[#This Row],[data]]&amp;Ocupacao_DW[[#This Row],[profissional_id]]&amp;Ocupacao_DW[[#This Row],[local_id]]</f>
        <v>446358682</v>
      </c>
      <c r="H2352" s="1">
        <f>_xlfn.XLOOKUP(Ocupacao_DW[[#This Row],[Concat]],Vagas!$H:$H,Vagas!$D:$D,"",0)</f>
        <v>6</v>
      </c>
    </row>
    <row r="2353" spans="1:8" x14ac:dyDescent="0.25">
      <c r="A2353" s="2">
        <v>44635</v>
      </c>
      <c r="B2353" s="1"/>
      <c r="C2353">
        <v>73</v>
      </c>
      <c r="D2353" s="1" t="s">
        <v>171</v>
      </c>
      <c r="E2353" s="1" t="s">
        <v>6</v>
      </c>
      <c r="F2353">
        <v>5</v>
      </c>
      <c r="G2353" s="1" t="str">
        <f>Ocupacao_DW[[#This Row],[data]]&amp;Ocupacao_DW[[#This Row],[profissional_id]]&amp;Ocupacao_DW[[#This Row],[local_id]]</f>
        <v>44635735</v>
      </c>
      <c r="H2353" s="1">
        <f>_xlfn.XLOOKUP(Ocupacao_DW[[#This Row],[Concat]],Vagas!$H:$H,Vagas!$D:$D,"",0)</f>
        <v>0</v>
      </c>
    </row>
    <row r="2354" spans="1:8" x14ac:dyDescent="0.25">
      <c r="A2354" s="2">
        <v>44635</v>
      </c>
      <c r="B2354" s="1"/>
      <c r="C2354">
        <v>69</v>
      </c>
      <c r="D2354" s="1" t="s">
        <v>238</v>
      </c>
      <c r="E2354" s="1" t="s">
        <v>5</v>
      </c>
      <c r="F2354">
        <v>13</v>
      </c>
      <c r="G2354" s="1" t="str">
        <f>Ocupacao_DW[[#This Row],[data]]&amp;Ocupacao_DW[[#This Row],[profissional_id]]&amp;Ocupacao_DW[[#This Row],[local_id]]</f>
        <v>446356913</v>
      </c>
      <c r="H2354" s="1">
        <f>_xlfn.XLOOKUP(Ocupacao_DW[[#This Row],[Concat]],Vagas!$H:$H,Vagas!$D:$D,"",0)</f>
        <v>0</v>
      </c>
    </row>
    <row r="2355" spans="1:8" x14ac:dyDescent="0.25">
      <c r="A2355" s="2">
        <v>44650</v>
      </c>
      <c r="B2355" s="1"/>
      <c r="C2355">
        <v>1490</v>
      </c>
      <c r="D2355" s="1" t="s">
        <v>174</v>
      </c>
      <c r="E2355" s="1" t="s">
        <v>5</v>
      </c>
      <c r="F2355">
        <v>13</v>
      </c>
      <c r="G2355" s="1" t="str">
        <f>Ocupacao_DW[[#This Row],[data]]&amp;Ocupacao_DW[[#This Row],[profissional_id]]&amp;Ocupacao_DW[[#This Row],[local_id]]</f>
        <v>44650149013</v>
      </c>
      <c r="H2355" s="1">
        <f>_xlfn.XLOOKUP(Ocupacao_DW[[#This Row],[Concat]],Vagas!$H:$H,Vagas!$D:$D,"",0)</f>
        <v>0</v>
      </c>
    </row>
    <row r="2356" spans="1:8" x14ac:dyDescent="0.25">
      <c r="A2356" s="2">
        <v>44635</v>
      </c>
      <c r="B2356" s="1" t="s">
        <v>49</v>
      </c>
      <c r="C2356">
        <v>266</v>
      </c>
      <c r="D2356" s="1" t="s">
        <v>201</v>
      </c>
      <c r="E2356" s="1" t="s">
        <v>4</v>
      </c>
      <c r="F2356">
        <v>42</v>
      </c>
      <c r="G2356" s="1" t="str">
        <f>Ocupacao_DW[[#This Row],[data]]&amp;Ocupacao_DW[[#This Row],[profissional_id]]&amp;Ocupacao_DW[[#This Row],[local_id]]</f>
        <v>4463526642</v>
      </c>
      <c r="H2356" s="1">
        <f>_xlfn.XLOOKUP(Ocupacao_DW[[#This Row],[Concat]],Vagas!$H:$H,Vagas!$D:$D,"",0)</f>
        <v>0</v>
      </c>
    </row>
    <row r="2357" spans="1:8" x14ac:dyDescent="0.25">
      <c r="A2357" s="2">
        <v>44636</v>
      </c>
      <c r="B2357" s="1"/>
      <c r="C2357">
        <v>73</v>
      </c>
      <c r="D2357" s="1" t="s">
        <v>171</v>
      </c>
      <c r="E2357" s="1" t="s">
        <v>6</v>
      </c>
      <c r="F2357">
        <v>5</v>
      </c>
      <c r="G2357" s="1" t="str">
        <f>Ocupacao_DW[[#This Row],[data]]&amp;Ocupacao_DW[[#This Row],[profissional_id]]&amp;Ocupacao_DW[[#This Row],[local_id]]</f>
        <v>44636735</v>
      </c>
      <c r="H2357" s="1">
        <f>_xlfn.XLOOKUP(Ocupacao_DW[[#This Row],[Concat]],Vagas!$H:$H,Vagas!$D:$D,"",0)</f>
        <v>0</v>
      </c>
    </row>
    <row r="2358" spans="1:8" x14ac:dyDescent="0.25">
      <c r="A2358" s="2">
        <v>44641</v>
      </c>
      <c r="B2358" s="1" t="s">
        <v>55</v>
      </c>
      <c r="C2358">
        <v>2984</v>
      </c>
      <c r="D2358" s="1" t="s">
        <v>185</v>
      </c>
      <c r="E2358" s="1" t="s">
        <v>6</v>
      </c>
      <c r="F2358">
        <v>7</v>
      </c>
      <c r="G2358" s="1" t="str">
        <f>Ocupacao_DW[[#This Row],[data]]&amp;Ocupacao_DW[[#This Row],[profissional_id]]&amp;Ocupacao_DW[[#This Row],[local_id]]</f>
        <v>4464129847</v>
      </c>
      <c r="H2358" s="1">
        <f>_xlfn.XLOOKUP(Ocupacao_DW[[#This Row],[Concat]],Vagas!$H:$H,Vagas!$D:$D,"",0)</f>
        <v>0</v>
      </c>
    </row>
    <row r="2359" spans="1:8" x14ac:dyDescent="0.25">
      <c r="A2359" s="2">
        <v>44651</v>
      </c>
      <c r="B2359" s="1"/>
      <c r="C2359">
        <v>1490</v>
      </c>
      <c r="D2359" s="1" t="s">
        <v>174</v>
      </c>
      <c r="E2359" s="1" t="s">
        <v>5</v>
      </c>
      <c r="F2359">
        <v>12</v>
      </c>
      <c r="G2359" s="1" t="str">
        <f>Ocupacao_DW[[#This Row],[data]]&amp;Ocupacao_DW[[#This Row],[profissional_id]]&amp;Ocupacao_DW[[#This Row],[local_id]]</f>
        <v>44651149012</v>
      </c>
      <c r="H2359" s="1">
        <f>_xlfn.XLOOKUP(Ocupacao_DW[[#This Row],[Concat]],Vagas!$H:$H,Vagas!$D:$D,"",0)</f>
        <v>0</v>
      </c>
    </row>
    <row r="2360" spans="1:8" x14ac:dyDescent="0.25">
      <c r="A2360" s="2">
        <v>44636</v>
      </c>
      <c r="B2360" s="1"/>
      <c r="C2360">
        <v>73</v>
      </c>
      <c r="D2360" s="1" t="s">
        <v>171</v>
      </c>
      <c r="E2360" s="1" t="s">
        <v>6</v>
      </c>
      <c r="F2360">
        <v>5</v>
      </c>
      <c r="G2360" s="1" t="str">
        <f>Ocupacao_DW[[#This Row],[data]]&amp;Ocupacao_DW[[#This Row],[profissional_id]]&amp;Ocupacao_DW[[#This Row],[local_id]]</f>
        <v>44636735</v>
      </c>
      <c r="H2360" s="1">
        <f>_xlfn.XLOOKUP(Ocupacao_DW[[#This Row],[Concat]],Vagas!$H:$H,Vagas!$D:$D,"",0)</f>
        <v>0</v>
      </c>
    </row>
    <row r="2361" spans="1:8" x14ac:dyDescent="0.25">
      <c r="A2361" s="2">
        <v>44635</v>
      </c>
      <c r="B2361" s="1"/>
      <c r="C2361">
        <v>14237</v>
      </c>
      <c r="D2361" s="1" t="s">
        <v>186</v>
      </c>
      <c r="E2361" s="1" t="s">
        <v>4</v>
      </c>
      <c r="F2361">
        <v>47</v>
      </c>
      <c r="G2361" s="1" t="str">
        <f>Ocupacao_DW[[#This Row],[data]]&amp;Ocupacao_DW[[#This Row],[profissional_id]]&amp;Ocupacao_DW[[#This Row],[local_id]]</f>
        <v>446351423747</v>
      </c>
      <c r="H2361" s="1">
        <f>_xlfn.XLOOKUP(Ocupacao_DW[[#This Row],[Concat]],Vagas!$H:$H,Vagas!$D:$D,"",0)</f>
        <v>0</v>
      </c>
    </row>
    <row r="2362" spans="1:8" x14ac:dyDescent="0.25">
      <c r="A2362" s="2">
        <v>44635</v>
      </c>
      <c r="B2362" s="1"/>
      <c r="C2362">
        <v>7290</v>
      </c>
      <c r="D2362" s="1" t="s">
        <v>247</v>
      </c>
      <c r="E2362" s="1" t="s">
        <v>5</v>
      </c>
      <c r="F2362">
        <v>18</v>
      </c>
      <c r="G2362" s="1" t="str">
        <f>Ocupacao_DW[[#This Row],[data]]&amp;Ocupacao_DW[[#This Row],[profissional_id]]&amp;Ocupacao_DW[[#This Row],[local_id]]</f>
        <v>44635729018</v>
      </c>
      <c r="H2362" s="1">
        <f>_xlfn.XLOOKUP(Ocupacao_DW[[#This Row],[Concat]],Vagas!$H:$H,Vagas!$D:$D,"",0)</f>
        <v>0</v>
      </c>
    </row>
    <row r="2363" spans="1:8" x14ac:dyDescent="0.25">
      <c r="A2363" s="2">
        <v>44638</v>
      </c>
      <c r="B2363" s="1" t="s">
        <v>55</v>
      </c>
      <c r="C2363">
        <v>2984</v>
      </c>
      <c r="D2363" s="1" t="s">
        <v>185</v>
      </c>
      <c r="E2363" s="1" t="s">
        <v>6</v>
      </c>
      <c r="F2363">
        <v>7</v>
      </c>
      <c r="G2363" s="1" t="str">
        <f>Ocupacao_DW[[#This Row],[data]]&amp;Ocupacao_DW[[#This Row],[profissional_id]]&amp;Ocupacao_DW[[#This Row],[local_id]]</f>
        <v>4463829847</v>
      </c>
      <c r="H2363" s="1">
        <f>_xlfn.XLOOKUP(Ocupacao_DW[[#This Row],[Concat]],Vagas!$H:$H,Vagas!$D:$D,"",0)</f>
        <v>0</v>
      </c>
    </row>
    <row r="2364" spans="1:8" x14ac:dyDescent="0.25">
      <c r="A2364" s="2">
        <v>44650</v>
      </c>
      <c r="B2364" s="1"/>
      <c r="C2364">
        <v>1490</v>
      </c>
      <c r="D2364" s="1" t="s">
        <v>174</v>
      </c>
      <c r="E2364" s="1" t="s">
        <v>5</v>
      </c>
      <c r="F2364">
        <v>13</v>
      </c>
      <c r="G2364" s="1" t="str">
        <f>Ocupacao_DW[[#This Row],[data]]&amp;Ocupacao_DW[[#This Row],[profissional_id]]&amp;Ocupacao_DW[[#This Row],[local_id]]</f>
        <v>44650149013</v>
      </c>
      <c r="H2364" s="1">
        <f>_xlfn.XLOOKUP(Ocupacao_DW[[#This Row],[Concat]],Vagas!$H:$H,Vagas!$D:$D,"",0)</f>
        <v>0</v>
      </c>
    </row>
    <row r="2365" spans="1:8" x14ac:dyDescent="0.25">
      <c r="A2365" s="2">
        <v>44635</v>
      </c>
      <c r="B2365" s="1"/>
      <c r="C2365">
        <v>73</v>
      </c>
      <c r="D2365" s="1" t="s">
        <v>171</v>
      </c>
      <c r="E2365" s="1" t="s">
        <v>6</v>
      </c>
      <c r="F2365">
        <v>5</v>
      </c>
      <c r="G2365" s="1" t="str">
        <f>Ocupacao_DW[[#This Row],[data]]&amp;Ocupacao_DW[[#This Row],[profissional_id]]&amp;Ocupacao_DW[[#This Row],[local_id]]</f>
        <v>44635735</v>
      </c>
      <c r="H2365" s="1">
        <f>_xlfn.XLOOKUP(Ocupacao_DW[[#This Row],[Concat]],Vagas!$H:$H,Vagas!$D:$D,"",0)</f>
        <v>0</v>
      </c>
    </row>
    <row r="2366" spans="1:8" x14ac:dyDescent="0.25">
      <c r="A2366" s="2">
        <v>44635</v>
      </c>
      <c r="B2366" s="1"/>
      <c r="C2366">
        <v>73</v>
      </c>
      <c r="D2366" s="1" t="s">
        <v>171</v>
      </c>
      <c r="E2366" s="1" t="s">
        <v>6</v>
      </c>
      <c r="F2366">
        <v>5</v>
      </c>
      <c r="G2366" s="1" t="str">
        <f>Ocupacao_DW[[#This Row],[data]]&amp;Ocupacao_DW[[#This Row],[profissional_id]]&amp;Ocupacao_DW[[#This Row],[local_id]]</f>
        <v>44635735</v>
      </c>
      <c r="H2366" s="1">
        <f>_xlfn.XLOOKUP(Ocupacao_DW[[#This Row],[Concat]],Vagas!$H:$H,Vagas!$D:$D,"",0)</f>
        <v>0</v>
      </c>
    </row>
    <row r="2367" spans="1:8" x14ac:dyDescent="0.25">
      <c r="A2367" s="2">
        <v>44637</v>
      </c>
      <c r="B2367" s="1"/>
      <c r="C2367">
        <v>531</v>
      </c>
      <c r="D2367" s="1" t="s">
        <v>213</v>
      </c>
      <c r="E2367" s="1" t="s">
        <v>5</v>
      </c>
      <c r="F2367">
        <v>12</v>
      </c>
      <c r="G2367" s="1" t="str">
        <f>Ocupacao_DW[[#This Row],[data]]&amp;Ocupacao_DW[[#This Row],[profissional_id]]&amp;Ocupacao_DW[[#This Row],[local_id]]</f>
        <v>4463753112</v>
      </c>
      <c r="H2367" s="1">
        <f>_xlfn.XLOOKUP(Ocupacao_DW[[#This Row],[Concat]],Vagas!$H:$H,Vagas!$D:$D,"",0)</f>
        <v>0</v>
      </c>
    </row>
    <row r="2368" spans="1:8" x14ac:dyDescent="0.25">
      <c r="A2368" s="2">
        <v>44643</v>
      </c>
      <c r="B2368" s="1"/>
      <c r="C2368">
        <v>2396</v>
      </c>
      <c r="D2368" s="1" t="s">
        <v>197</v>
      </c>
      <c r="E2368" s="1"/>
      <c r="F2368">
        <v>0</v>
      </c>
      <c r="G2368" s="1" t="str">
        <f>Ocupacao_DW[[#This Row],[data]]&amp;Ocupacao_DW[[#This Row],[profissional_id]]&amp;Ocupacao_DW[[#This Row],[local_id]]</f>
        <v>4464323960</v>
      </c>
      <c r="H2368" s="1" t="str">
        <f>_xlfn.XLOOKUP(Ocupacao_DW[[#This Row],[Concat]],Vagas!$H:$H,Vagas!$D:$D,"",0)</f>
        <v/>
      </c>
    </row>
    <row r="2369" spans="1:8" x14ac:dyDescent="0.25">
      <c r="A2369" s="2">
        <v>44649</v>
      </c>
      <c r="B2369" s="1"/>
      <c r="C2369">
        <v>73</v>
      </c>
      <c r="D2369" s="1" t="s">
        <v>171</v>
      </c>
      <c r="E2369" s="1" t="s">
        <v>6</v>
      </c>
      <c r="F2369">
        <v>5</v>
      </c>
      <c r="G2369" s="1" t="str">
        <f>Ocupacao_DW[[#This Row],[data]]&amp;Ocupacao_DW[[#This Row],[profissional_id]]&amp;Ocupacao_DW[[#This Row],[local_id]]</f>
        <v>44649735</v>
      </c>
      <c r="H2369" s="1">
        <f>_xlfn.XLOOKUP(Ocupacao_DW[[#This Row],[Concat]],Vagas!$H:$H,Vagas!$D:$D,"",0)</f>
        <v>0</v>
      </c>
    </row>
    <row r="2370" spans="1:8" x14ac:dyDescent="0.25">
      <c r="A2370" s="2">
        <v>44643</v>
      </c>
      <c r="B2370" s="1" t="s">
        <v>70</v>
      </c>
      <c r="C2370">
        <v>12519</v>
      </c>
      <c r="D2370" s="1" t="s">
        <v>176</v>
      </c>
      <c r="E2370" s="1" t="s">
        <v>4</v>
      </c>
      <c r="F2370">
        <v>48</v>
      </c>
      <c r="G2370" s="1" t="str">
        <f>Ocupacao_DW[[#This Row],[data]]&amp;Ocupacao_DW[[#This Row],[profissional_id]]&amp;Ocupacao_DW[[#This Row],[local_id]]</f>
        <v>446431251948</v>
      </c>
      <c r="H2370" s="1">
        <f>_xlfn.XLOOKUP(Ocupacao_DW[[#This Row],[Concat]],Vagas!$H:$H,Vagas!$D:$D,"",0)</f>
        <v>0</v>
      </c>
    </row>
    <row r="2371" spans="1:8" x14ac:dyDescent="0.25">
      <c r="A2371" s="2">
        <v>44636</v>
      </c>
      <c r="B2371" s="1"/>
      <c r="C2371">
        <v>10946</v>
      </c>
      <c r="D2371" s="1" t="s">
        <v>209</v>
      </c>
      <c r="E2371" s="1"/>
      <c r="F2371">
        <v>0</v>
      </c>
      <c r="G2371" s="1" t="str">
        <f>Ocupacao_DW[[#This Row],[data]]&amp;Ocupacao_DW[[#This Row],[profissional_id]]&amp;Ocupacao_DW[[#This Row],[local_id]]</f>
        <v>44636109460</v>
      </c>
      <c r="H2371" s="1" t="str">
        <f>_xlfn.XLOOKUP(Ocupacao_DW[[#This Row],[Concat]],Vagas!$H:$H,Vagas!$D:$D,"",0)</f>
        <v/>
      </c>
    </row>
    <row r="2372" spans="1:8" x14ac:dyDescent="0.25">
      <c r="A2372" s="2">
        <v>44636</v>
      </c>
      <c r="B2372" s="1"/>
      <c r="C2372">
        <v>86</v>
      </c>
      <c r="D2372" s="1" t="s">
        <v>175</v>
      </c>
      <c r="E2372" s="1" t="s">
        <v>7</v>
      </c>
      <c r="F2372">
        <v>66</v>
      </c>
      <c r="G2372" s="1" t="str">
        <f>Ocupacao_DW[[#This Row],[data]]&amp;Ocupacao_DW[[#This Row],[profissional_id]]&amp;Ocupacao_DW[[#This Row],[local_id]]</f>
        <v>446368666</v>
      </c>
      <c r="H2372" s="1">
        <f>_xlfn.XLOOKUP(Ocupacao_DW[[#This Row],[Concat]],Vagas!$H:$H,Vagas!$D:$D,"",0)</f>
        <v>0</v>
      </c>
    </row>
    <row r="2373" spans="1:8" x14ac:dyDescent="0.25">
      <c r="A2373" s="2">
        <v>44636</v>
      </c>
      <c r="B2373" s="1"/>
      <c r="C2373">
        <v>73</v>
      </c>
      <c r="D2373" s="1" t="s">
        <v>171</v>
      </c>
      <c r="E2373" s="1" t="s">
        <v>6</v>
      </c>
      <c r="F2373">
        <v>5</v>
      </c>
      <c r="G2373" s="1" t="str">
        <f>Ocupacao_DW[[#This Row],[data]]&amp;Ocupacao_DW[[#This Row],[profissional_id]]&amp;Ocupacao_DW[[#This Row],[local_id]]</f>
        <v>44636735</v>
      </c>
      <c r="H2373" s="1">
        <f>_xlfn.XLOOKUP(Ocupacao_DW[[#This Row],[Concat]],Vagas!$H:$H,Vagas!$D:$D,"",0)</f>
        <v>0</v>
      </c>
    </row>
    <row r="2374" spans="1:8" x14ac:dyDescent="0.25">
      <c r="A2374" s="2">
        <v>44643</v>
      </c>
      <c r="B2374" s="1"/>
      <c r="C2374">
        <v>67</v>
      </c>
      <c r="D2374" s="1" t="s">
        <v>172</v>
      </c>
      <c r="E2374" s="1" t="s">
        <v>6</v>
      </c>
      <c r="F2374">
        <v>8</v>
      </c>
      <c r="G2374" s="1" t="str">
        <f>Ocupacao_DW[[#This Row],[data]]&amp;Ocupacao_DW[[#This Row],[profissional_id]]&amp;Ocupacao_DW[[#This Row],[local_id]]</f>
        <v>44643678</v>
      </c>
      <c r="H2374" s="1">
        <f>_xlfn.XLOOKUP(Ocupacao_DW[[#This Row],[Concat]],Vagas!$H:$H,Vagas!$D:$D,"",0)</f>
        <v>0</v>
      </c>
    </row>
    <row r="2375" spans="1:8" x14ac:dyDescent="0.25">
      <c r="A2375" s="2">
        <v>44643</v>
      </c>
      <c r="B2375" s="1"/>
      <c r="C2375">
        <v>67</v>
      </c>
      <c r="D2375" s="1" t="s">
        <v>172</v>
      </c>
      <c r="E2375" s="1" t="s">
        <v>6</v>
      </c>
      <c r="F2375">
        <v>8</v>
      </c>
      <c r="G2375" s="1" t="str">
        <f>Ocupacao_DW[[#This Row],[data]]&amp;Ocupacao_DW[[#This Row],[profissional_id]]&amp;Ocupacao_DW[[#This Row],[local_id]]</f>
        <v>44643678</v>
      </c>
      <c r="H2375" s="1">
        <f>_xlfn.XLOOKUP(Ocupacao_DW[[#This Row],[Concat]],Vagas!$H:$H,Vagas!$D:$D,"",0)</f>
        <v>0</v>
      </c>
    </row>
    <row r="2376" spans="1:8" x14ac:dyDescent="0.25">
      <c r="A2376" s="2">
        <v>44636</v>
      </c>
      <c r="B2376" s="1"/>
      <c r="C2376">
        <v>73</v>
      </c>
      <c r="D2376" s="1" t="s">
        <v>171</v>
      </c>
      <c r="E2376" s="1" t="s">
        <v>6</v>
      </c>
      <c r="F2376">
        <v>5</v>
      </c>
      <c r="G2376" s="1" t="str">
        <f>Ocupacao_DW[[#This Row],[data]]&amp;Ocupacao_DW[[#This Row],[profissional_id]]&amp;Ocupacao_DW[[#This Row],[local_id]]</f>
        <v>44636735</v>
      </c>
      <c r="H2376" s="1">
        <f>_xlfn.XLOOKUP(Ocupacao_DW[[#This Row],[Concat]],Vagas!$H:$H,Vagas!$D:$D,"",0)</f>
        <v>0</v>
      </c>
    </row>
    <row r="2377" spans="1:8" x14ac:dyDescent="0.25">
      <c r="A2377" s="2">
        <v>44636</v>
      </c>
      <c r="B2377" s="1"/>
      <c r="C2377">
        <v>12825</v>
      </c>
      <c r="D2377" s="1" t="s">
        <v>177</v>
      </c>
      <c r="E2377" s="1"/>
      <c r="F2377">
        <v>0</v>
      </c>
      <c r="G2377" s="1" t="str">
        <f>Ocupacao_DW[[#This Row],[data]]&amp;Ocupacao_DW[[#This Row],[profissional_id]]&amp;Ocupacao_DW[[#This Row],[local_id]]</f>
        <v>44636128250</v>
      </c>
      <c r="H2377" s="1" t="str">
        <f>_xlfn.XLOOKUP(Ocupacao_DW[[#This Row],[Concat]],Vagas!$H:$H,Vagas!$D:$D,"",0)</f>
        <v/>
      </c>
    </row>
    <row r="2378" spans="1:8" x14ac:dyDescent="0.25">
      <c r="A2378" s="2">
        <v>44643</v>
      </c>
      <c r="B2378" s="1"/>
      <c r="C2378">
        <v>67</v>
      </c>
      <c r="D2378" s="1" t="s">
        <v>172</v>
      </c>
      <c r="E2378" s="1" t="s">
        <v>6</v>
      </c>
      <c r="F2378">
        <v>8</v>
      </c>
      <c r="G2378" s="1" t="str">
        <f>Ocupacao_DW[[#This Row],[data]]&amp;Ocupacao_DW[[#This Row],[profissional_id]]&amp;Ocupacao_DW[[#This Row],[local_id]]</f>
        <v>44643678</v>
      </c>
      <c r="H2378" s="1">
        <f>_xlfn.XLOOKUP(Ocupacao_DW[[#This Row],[Concat]],Vagas!$H:$H,Vagas!$D:$D,"",0)</f>
        <v>0</v>
      </c>
    </row>
    <row r="2379" spans="1:8" x14ac:dyDescent="0.25">
      <c r="A2379" s="2">
        <v>44636</v>
      </c>
      <c r="B2379" s="1"/>
      <c r="C2379">
        <v>12679</v>
      </c>
      <c r="D2379" s="1" t="s">
        <v>192</v>
      </c>
      <c r="E2379" s="1" t="s">
        <v>200</v>
      </c>
      <c r="F2379">
        <v>82</v>
      </c>
      <c r="G2379" s="1" t="str">
        <f>Ocupacao_DW[[#This Row],[data]]&amp;Ocupacao_DW[[#This Row],[profissional_id]]&amp;Ocupacao_DW[[#This Row],[local_id]]</f>
        <v>446361267982</v>
      </c>
      <c r="H2379" s="1">
        <f>_xlfn.XLOOKUP(Ocupacao_DW[[#This Row],[Concat]],Vagas!$H:$H,Vagas!$D:$D,"",0)</f>
        <v>0</v>
      </c>
    </row>
    <row r="2380" spans="1:8" x14ac:dyDescent="0.25">
      <c r="A2380" s="2">
        <v>44636</v>
      </c>
      <c r="B2380" s="1"/>
      <c r="C2380">
        <v>74</v>
      </c>
      <c r="D2380" s="1" t="s">
        <v>182</v>
      </c>
      <c r="E2380" s="1" t="s">
        <v>6</v>
      </c>
      <c r="F2380">
        <v>7</v>
      </c>
      <c r="G2380" s="1" t="str">
        <f>Ocupacao_DW[[#This Row],[data]]&amp;Ocupacao_DW[[#This Row],[profissional_id]]&amp;Ocupacao_DW[[#This Row],[local_id]]</f>
        <v>44636747</v>
      </c>
      <c r="H2380" s="1">
        <f>_xlfn.XLOOKUP(Ocupacao_DW[[#This Row],[Concat]],Vagas!$H:$H,Vagas!$D:$D,"",0)</f>
        <v>0</v>
      </c>
    </row>
    <row r="2381" spans="1:8" x14ac:dyDescent="0.25">
      <c r="A2381" s="2">
        <v>44636</v>
      </c>
      <c r="B2381" s="1"/>
      <c r="C2381">
        <v>73</v>
      </c>
      <c r="D2381" s="1" t="s">
        <v>171</v>
      </c>
      <c r="E2381" s="1" t="s">
        <v>6</v>
      </c>
      <c r="F2381">
        <v>5</v>
      </c>
      <c r="G2381" s="1" t="str">
        <f>Ocupacao_DW[[#This Row],[data]]&amp;Ocupacao_DW[[#This Row],[profissional_id]]&amp;Ocupacao_DW[[#This Row],[local_id]]</f>
        <v>44636735</v>
      </c>
      <c r="H2381" s="1">
        <f>_xlfn.XLOOKUP(Ocupacao_DW[[#This Row],[Concat]],Vagas!$H:$H,Vagas!$D:$D,"",0)</f>
        <v>0</v>
      </c>
    </row>
    <row r="2382" spans="1:8" x14ac:dyDescent="0.25">
      <c r="A2382" s="2">
        <v>44636</v>
      </c>
      <c r="B2382" s="1"/>
      <c r="C2382">
        <v>73</v>
      </c>
      <c r="D2382" s="1" t="s">
        <v>171</v>
      </c>
      <c r="E2382" s="1" t="s">
        <v>6</v>
      </c>
      <c r="F2382">
        <v>5</v>
      </c>
      <c r="G2382" s="1" t="str">
        <f>Ocupacao_DW[[#This Row],[data]]&amp;Ocupacao_DW[[#This Row],[profissional_id]]&amp;Ocupacao_DW[[#This Row],[local_id]]</f>
        <v>44636735</v>
      </c>
      <c r="H2382" s="1">
        <f>_xlfn.XLOOKUP(Ocupacao_DW[[#This Row],[Concat]],Vagas!$H:$H,Vagas!$D:$D,"",0)</f>
        <v>0</v>
      </c>
    </row>
    <row r="2383" spans="1:8" x14ac:dyDescent="0.25">
      <c r="A2383" s="2">
        <v>44638</v>
      </c>
      <c r="B2383" s="1"/>
      <c r="C2383">
        <v>2984</v>
      </c>
      <c r="D2383" s="1" t="s">
        <v>185</v>
      </c>
      <c r="E2383" s="1" t="s">
        <v>6</v>
      </c>
      <c r="F2383">
        <v>7</v>
      </c>
      <c r="G2383" s="1" t="str">
        <f>Ocupacao_DW[[#This Row],[data]]&amp;Ocupacao_DW[[#This Row],[profissional_id]]&amp;Ocupacao_DW[[#This Row],[local_id]]</f>
        <v>4463829847</v>
      </c>
      <c r="H2383" s="1">
        <f>_xlfn.XLOOKUP(Ocupacao_DW[[#This Row],[Concat]],Vagas!$H:$H,Vagas!$D:$D,"",0)</f>
        <v>0</v>
      </c>
    </row>
    <row r="2384" spans="1:8" x14ac:dyDescent="0.25">
      <c r="A2384" s="2">
        <v>44636</v>
      </c>
      <c r="B2384" s="1"/>
      <c r="C2384">
        <v>6430</v>
      </c>
      <c r="D2384" s="1" t="s">
        <v>188</v>
      </c>
      <c r="E2384" s="1" t="s">
        <v>4</v>
      </c>
      <c r="F2384">
        <v>42</v>
      </c>
      <c r="G2384" s="1" t="str">
        <f>Ocupacao_DW[[#This Row],[data]]&amp;Ocupacao_DW[[#This Row],[profissional_id]]&amp;Ocupacao_DW[[#This Row],[local_id]]</f>
        <v>44636643042</v>
      </c>
      <c r="H2384" s="1">
        <f>_xlfn.XLOOKUP(Ocupacao_DW[[#This Row],[Concat]],Vagas!$H:$H,Vagas!$D:$D,"",0)</f>
        <v>0</v>
      </c>
    </row>
    <row r="2385" spans="1:8" x14ac:dyDescent="0.25">
      <c r="A2385" s="2">
        <v>44637</v>
      </c>
      <c r="B2385" s="1"/>
      <c r="C2385">
        <v>69</v>
      </c>
      <c r="D2385" s="1" t="s">
        <v>238</v>
      </c>
      <c r="E2385" s="1" t="s">
        <v>200</v>
      </c>
      <c r="F2385">
        <v>82</v>
      </c>
      <c r="G2385" s="1" t="str">
        <f>Ocupacao_DW[[#This Row],[data]]&amp;Ocupacao_DW[[#This Row],[profissional_id]]&amp;Ocupacao_DW[[#This Row],[local_id]]</f>
        <v>446376982</v>
      </c>
      <c r="H2385" s="1">
        <f>_xlfn.XLOOKUP(Ocupacao_DW[[#This Row],[Concat]],Vagas!$H:$H,Vagas!$D:$D,"",0)</f>
        <v>0</v>
      </c>
    </row>
    <row r="2386" spans="1:8" x14ac:dyDescent="0.25">
      <c r="A2386" s="2">
        <v>44639</v>
      </c>
      <c r="B2386" s="1"/>
      <c r="C2386">
        <v>11312</v>
      </c>
      <c r="D2386" s="1" t="s">
        <v>207</v>
      </c>
      <c r="E2386" s="1" t="s">
        <v>4</v>
      </c>
      <c r="F2386">
        <v>336</v>
      </c>
      <c r="G2386" s="1" t="str">
        <f>Ocupacao_DW[[#This Row],[data]]&amp;Ocupacao_DW[[#This Row],[profissional_id]]&amp;Ocupacao_DW[[#This Row],[local_id]]</f>
        <v>4463911312336</v>
      </c>
      <c r="H2386" s="1">
        <f>_xlfn.XLOOKUP(Ocupacao_DW[[#This Row],[Concat]],Vagas!$H:$H,Vagas!$D:$D,"",0)</f>
        <v>22</v>
      </c>
    </row>
    <row r="2387" spans="1:8" x14ac:dyDescent="0.25">
      <c r="A2387" s="2">
        <v>44645</v>
      </c>
      <c r="B2387" s="1"/>
      <c r="C2387">
        <v>67</v>
      </c>
      <c r="D2387" s="1" t="s">
        <v>172</v>
      </c>
      <c r="E2387" s="1"/>
      <c r="F2387">
        <v>0</v>
      </c>
      <c r="G2387" s="1" t="str">
        <f>Ocupacao_DW[[#This Row],[data]]&amp;Ocupacao_DW[[#This Row],[profissional_id]]&amp;Ocupacao_DW[[#This Row],[local_id]]</f>
        <v>44645670</v>
      </c>
      <c r="H2387" s="1" t="str">
        <f>_xlfn.XLOOKUP(Ocupacao_DW[[#This Row],[Concat]],Vagas!$H:$H,Vagas!$D:$D,"",0)</f>
        <v/>
      </c>
    </row>
    <row r="2388" spans="1:8" x14ac:dyDescent="0.25">
      <c r="A2388" s="2">
        <v>44636</v>
      </c>
      <c r="B2388" s="1"/>
      <c r="C2388">
        <v>73</v>
      </c>
      <c r="D2388" s="1" t="s">
        <v>171</v>
      </c>
      <c r="E2388" s="1" t="s">
        <v>6</v>
      </c>
      <c r="F2388">
        <v>5</v>
      </c>
      <c r="G2388" s="1" t="str">
        <f>Ocupacao_DW[[#This Row],[data]]&amp;Ocupacao_DW[[#This Row],[profissional_id]]&amp;Ocupacao_DW[[#This Row],[local_id]]</f>
        <v>44636735</v>
      </c>
      <c r="H2388" s="1">
        <f>_xlfn.XLOOKUP(Ocupacao_DW[[#This Row],[Concat]],Vagas!$H:$H,Vagas!$D:$D,"",0)</f>
        <v>0</v>
      </c>
    </row>
    <row r="2389" spans="1:8" x14ac:dyDescent="0.25">
      <c r="A2389" s="2">
        <v>44645</v>
      </c>
      <c r="B2389" s="1" t="s">
        <v>52</v>
      </c>
      <c r="C2389">
        <v>67</v>
      </c>
      <c r="D2389" s="1" t="s">
        <v>172</v>
      </c>
      <c r="E2389" s="1" t="s">
        <v>167</v>
      </c>
      <c r="F2389">
        <v>339</v>
      </c>
      <c r="G2389" s="1" t="str">
        <f>Ocupacao_DW[[#This Row],[data]]&amp;Ocupacao_DW[[#This Row],[profissional_id]]&amp;Ocupacao_DW[[#This Row],[local_id]]</f>
        <v>4464567339</v>
      </c>
      <c r="H2389" s="1" t="str">
        <f>_xlfn.XLOOKUP(Ocupacao_DW[[#This Row],[Concat]],Vagas!$H:$H,Vagas!$D:$D,"",0)</f>
        <v/>
      </c>
    </row>
    <row r="2390" spans="1:8" x14ac:dyDescent="0.25">
      <c r="A2390" s="2">
        <v>44645</v>
      </c>
      <c r="B2390" s="1"/>
      <c r="C2390">
        <v>67</v>
      </c>
      <c r="D2390" s="1" t="s">
        <v>172</v>
      </c>
      <c r="E2390" s="1"/>
      <c r="F2390">
        <v>0</v>
      </c>
      <c r="G2390" s="1" t="str">
        <f>Ocupacao_DW[[#This Row],[data]]&amp;Ocupacao_DW[[#This Row],[profissional_id]]&amp;Ocupacao_DW[[#This Row],[local_id]]</f>
        <v>44645670</v>
      </c>
      <c r="H2390" s="1" t="str">
        <f>_xlfn.XLOOKUP(Ocupacao_DW[[#This Row],[Concat]],Vagas!$H:$H,Vagas!$D:$D,"",0)</f>
        <v/>
      </c>
    </row>
    <row r="2391" spans="1:8" x14ac:dyDescent="0.25">
      <c r="A2391" s="2">
        <v>44637</v>
      </c>
      <c r="B2391" s="1"/>
      <c r="C2391">
        <v>74</v>
      </c>
      <c r="D2391" s="1" t="s">
        <v>182</v>
      </c>
      <c r="E2391" s="1" t="s">
        <v>6</v>
      </c>
      <c r="F2391">
        <v>7</v>
      </c>
      <c r="G2391" s="1" t="str">
        <f>Ocupacao_DW[[#This Row],[data]]&amp;Ocupacao_DW[[#This Row],[profissional_id]]&amp;Ocupacao_DW[[#This Row],[local_id]]</f>
        <v>44637747</v>
      </c>
      <c r="H2391" s="1">
        <f>_xlfn.XLOOKUP(Ocupacao_DW[[#This Row],[Concat]],Vagas!$H:$H,Vagas!$D:$D,"",0)</f>
        <v>0</v>
      </c>
    </row>
    <row r="2392" spans="1:8" x14ac:dyDescent="0.25">
      <c r="A2392" s="2">
        <v>44636</v>
      </c>
      <c r="B2392" s="1"/>
      <c r="C2392">
        <v>73</v>
      </c>
      <c r="D2392" s="1" t="s">
        <v>171</v>
      </c>
      <c r="E2392" s="1" t="s">
        <v>6</v>
      </c>
      <c r="F2392">
        <v>5</v>
      </c>
      <c r="G2392" s="1" t="str">
        <f>Ocupacao_DW[[#This Row],[data]]&amp;Ocupacao_DW[[#This Row],[profissional_id]]&amp;Ocupacao_DW[[#This Row],[local_id]]</f>
        <v>44636735</v>
      </c>
      <c r="H2392" s="1">
        <f>_xlfn.XLOOKUP(Ocupacao_DW[[#This Row],[Concat]],Vagas!$H:$H,Vagas!$D:$D,"",0)</f>
        <v>0</v>
      </c>
    </row>
    <row r="2393" spans="1:8" x14ac:dyDescent="0.25">
      <c r="A2393" s="2">
        <v>44636</v>
      </c>
      <c r="B2393" s="1"/>
      <c r="C2393">
        <v>73</v>
      </c>
      <c r="D2393" s="1" t="s">
        <v>171</v>
      </c>
      <c r="E2393" s="1" t="s">
        <v>6</v>
      </c>
      <c r="F2393">
        <v>5</v>
      </c>
      <c r="G2393" s="1" t="str">
        <f>Ocupacao_DW[[#This Row],[data]]&amp;Ocupacao_DW[[#This Row],[profissional_id]]&amp;Ocupacao_DW[[#This Row],[local_id]]</f>
        <v>44636735</v>
      </c>
      <c r="H2393" s="1">
        <f>_xlfn.XLOOKUP(Ocupacao_DW[[#This Row],[Concat]],Vagas!$H:$H,Vagas!$D:$D,"",0)</f>
        <v>0</v>
      </c>
    </row>
    <row r="2394" spans="1:8" x14ac:dyDescent="0.25">
      <c r="A2394" s="2">
        <v>44639</v>
      </c>
      <c r="B2394" s="1"/>
      <c r="C2394">
        <v>4887</v>
      </c>
      <c r="D2394" s="1" t="s">
        <v>168</v>
      </c>
      <c r="E2394" s="1" t="s">
        <v>5</v>
      </c>
      <c r="F2394">
        <v>18</v>
      </c>
      <c r="G2394" s="1" t="str">
        <f>Ocupacao_DW[[#This Row],[data]]&amp;Ocupacao_DW[[#This Row],[profissional_id]]&amp;Ocupacao_DW[[#This Row],[local_id]]</f>
        <v>44639488718</v>
      </c>
      <c r="H2394" s="1">
        <f>_xlfn.XLOOKUP(Ocupacao_DW[[#This Row],[Concat]],Vagas!$H:$H,Vagas!$D:$D,"",0)</f>
        <v>0</v>
      </c>
    </row>
    <row r="2395" spans="1:8" x14ac:dyDescent="0.25">
      <c r="A2395" s="2">
        <v>44637</v>
      </c>
      <c r="B2395" s="1"/>
      <c r="C2395">
        <v>9217</v>
      </c>
      <c r="D2395" s="1" t="s">
        <v>191</v>
      </c>
      <c r="E2395" s="1" t="s">
        <v>6</v>
      </c>
      <c r="F2395">
        <v>6</v>
      </c>
      <c r="G2395" s="1" t="str">
        <f>Ocupacao_DW[[#This Row],[data]]&amp;Ocupacao_DW[[#This Row],[profissional_id]]&amp;Ocupacao_DW[[#This Row],[local_id]]</f>
        <v>4463792176</v>
      </c>
      <c r="H2395" s="1">
        <f>_xlfn.XLOOKUP(Ocupacao_DW[[#This Row],[Concat]],Vagas!$H:$H,Vagas!$D:$D,"",0)</f>
        <v>0</v>
      </c>
    </row>
    <row r="2396" spans="1:8" x14ac:dyDescent="0.25">
      <c r="A2396" s="2">
        <v>44639</v>
      </c>
      <c r="B2396" s="1"/>
      <c r="C2396">
        <v>4887</v>
      </c>
      <c r="D2396" s="1" t="s">
        <v>168</v>
      </c>
      <c r="E2396" s="1" t="s">
        <v>5</v>
      </c>
      <c r="F2396">
        <v>18</v>
      </c>
      <c r="G2396" s="1" t="str">
        <f>Ocupacao_DW[[#This Row],[data]]&amp;Ocupacao_DW[[#This Row],[profissional_id]]&amp;Ocupacao_DW[[#This Row],[local_id]]</f>
        <v>44639488718</v>
      </c>
      <c r="H2396" s="1">
        <f>_xlfn.XLOOKUP(Ocupacao_DW[[#This Row],[Concat]],Vagas!$H:$H,Vagas!$D:$D,"",0)</f>
        <v>0</v>
      </c>
    </row>
    <row r="2397" spans="1:8" x14ac:dyDescent="0.25">
      <c r="A2397" s="2">
        <v>44637</v>
      </c>
      <c r="B2397" s="1"/>
      <c r="C2397">
        <v>2567</v>
      </c>
      <c r="D2397" s="1" t="s">
        <v>198</v>
      </c>
      <c r="E2397" s="1" t="s">
        <v>5</v>
      </c>
      <c r="F2397">
        <v>18</v>
      </c>
      <c r="G2397" s="1" t="str">
        <f>Ocupacao_DW[[#This Row],[data]]&amp;Ocupacao_DW[[#This Row],[profissional_id]]&amp;Ocupacao_DW[[#This Row],[local_id]]</f>
        <v>44637256718</v>
      </c>
      <c r="H2397" s="1">
        <f>_xlfn.XLOOKUP(Ocupacao_DW[[#This Row],[Concat]],Vagas!$H:$H,Vagas!$D:$D,"",0)</f>
        <v>0</v>
      </c>
    </row>
    <row r="2398" spans="1:8" x14ac:dyDescent="0.25">
      <c r="A2398" s="2">
        <v>44642</v>
      </c>
      <c r="B2398" s="1"/>
      <c r="C2398">
        <v>73</v>
      </c>
      <c r="D2398" s="1" t="s">
        <v>171</v>
      </c>
      <c r="E2398" s="1" t="s">
        <v>6</v>
      </c>
      <c r="F2398">
        <v>5</v>
      </c>
      <c r="G2398" s="1" t="str">
        <f>Ocupacao_DW[[#This Row],[data]]&amp;Ocupacao_DW[[#This Row],[profissional_id]]&amp;Ocupacao_DW[[#This Row],[local_id]]</f>
        <v>44642735</v>
      </c>
      <c r="H2398" s="1">
        <f>_xlfn.XLOOKUP(Ocupacao_DW[[#This Row],[Concat]],Vagas!$H:$H,Vagas!$D:$D,"",0)</f>
        <v>0</v>
      </c>
    </row>
    <row r="2399" spans="1:8" x14ac:dyDescent="0.25">
      <c r="A2399" s="2">
        <v>44645</v>
      </c>
      <c r="B2399" s="1" t="s">
        <v>52</v>
      </c>
      <c r="C2399">
        <v>67</v>
      </c>
      <c r="D2399" s="1" t="s">
        <v>172</v>
      </c>
      <c r="E2399" s="1" t="s">
        <v>6</v>
      </c>
      <c r="F2399">
        <v>3</v>
      </c>
      <c r="G2399" s="1" t="str">
        <f>Ocupacao_DW[[#This Row],[data]]&amp;Ocupacao_DW[[#This Row],[profissional_id]]&amp;Ocupacao_DW[[#This Row],[local_id]]</f>
        <v>44645673</v>
      </c>
      <c r="H2399" s="1" t="str">
        <f>_xlfn.XLOOKUP(Ocupacao_DW[[#This Row],[Concat]],Vagas!$H:$H,Vagas!$D:$D,"",0)</f>
        <v/>
      </c>
    </row>
    <row r="2400" spans="1:8" x14ac:dyDescent="0.25">
      <c r="A2400" s="2">
        <v>44638</v>
      </c>
      <c r="B2400" s="1"/>
      <c r="C2400">
        <v>10691</v>
      </c>
      <c r="D2400" s="1" t="s">
        <v>181</v>
      </c>
      <c r="E2400" s="1" t="s">
        <v>200</v>
      </c>
      <c r="F2400">
        <v>78</v>
      </c>
      <c r="G2400" s="1" t="str">
        <f>Ocupacao_DW[[#This Row],[data]]&amp;Ocupacao_DW[[#This Row],[profissional_id]]&amp;Ocupacao_DW[[#This Row],[local_id]]</f>
        <v>446381069178</v>
      </c>
      <c r="H2400" s="1">
        <f>_xlfn.XLOOKUP(Ocupacao_DW[[#This Row],[Concat]],Vagas!$H:$H,Vagas!$D:$D,"",0)</f>
        <v>0</v>
      </c>
    </row>
    <row r="2401" spans="1:8" x14ac:dyDescent="0.25">
      <c r="A2401" s="2">
        <v>44636</v>
      </c>
      <c r="B2401" s="1"/>
      <c r="C2401">
        <v>74</v>
      </c>
      <c r="D2401" s="1" t="s">
        <v>182</v>
      </c>
      <c r="E2401" s="1" t="s">
        <v>6</v>
      </c>
      <c r="F2401">
        <v>7</v>
      </c>
      <c r="G2401" s="1" t="str">
        <f>Ocupacao_DW[[#This Row],[data]]&amp;Ocupacao_DW[[#This Row],[profissional_id]]&amp;Ocupacao_DW[[#This Row],[local_id]]</f>
        <v>44636747</v>
      </c>
      <c r="H2401" s="1">
        <f>_xlfn.XLOOKUP(Ocupacao_DW[[#This Row],[Concat]],Vagas!$H:$H,Vagas!$D:$D,"",0)</f>
        <v>0</v>
      </c>
    </row>
    <row r="2402" spans="1:8" x14ac:dyDescent="0.25">
      <c r="A2402" s="2">
        <v>44658</v>
      </c>
      <c r="B2402" s="1"/>
      <c r="C2402">
        <v>1490</v>
      </c>
      <c r="D2402" s="1" t="s">
        <v>174</v>
      </c>
      <c r="E2402" s="1" t="s">
        <v>5</v>
      </c>
      <c r="F2402">
        <v>12</v>
      </c>
      <c r="G2402" s="1" t="str">
        <f>Ocupacao_DW[[#This Row],[data]]&amp;Ocupacao_DW[[#This Row],[profissional_id]]&amp;Ocupacao_DW[[#This Row],[local_id]]</f>
        <v>44658149012</v>
      </c>
      <c r="H2402" s="1" t="str">
        <f>_xlfn.XLOOKUP(Ocupacao_DW[[#This Row],[Concat]],Vagas!$H:$H,Vagas!$D:$D,"",0)</f>
        <v/>
      </c>
    </row>
    <row r="2403" spans="1:8" x14ac:dyDescent="0.25">
      <c r="A2403" s="2">
        <v>44641</v>
      </c>
      <c r="B2403" s="1"/>
      <c r="C2403">
        <v>2984</v>
      </c>
      <c r="D2403" s="1" t="s">
        <v>185</v>
      </c>
      <c r="E2403" s="1" t="s">
        <v>6</v>
      </c>
      <c r="F2403">
        <v>7</v>
      </c>
      <c r="G2403" s="1" t="str">
        <f>Ocupacao_DW[[#This Row],[data]]&amp;Ocupacao_DW[[#This Row],[profissional_id]]&amp;Ocupacao_DW[[#This Row],[local_id]]</f>
        <v>4464129847</v>
      </c>
      <c r="H2403" s="1">
        <f>_xlfn.XLOOKUP(Ocupacao_DW[[#This Row],[Concat]],Vagas!$H:$H,Vagas!$D:$D,"",0)</f>
        <v>0</v>
      </c>
    </row>
    <row r="2404" spans="1:8" x14ac:dyDescent="0.25">
      <c r="A2404" s="2">
        <v>44642</v>
      </c>
      <c r="B2404" s="1" t="s">
        <v>55</v>
      </c>
      <c r="C2404">
        <v>12669</v>
      </c>
      <c r="D2404" s="1" t="s">
        <v>223</v>
      </c>
      <c r="E2404" s="1" t="s">
        <v>6</v>
      </c>
      <c r="F2404">
        <v>6</v>
      </c>
      <c r="G2404" s="1" t="str">
        <f>Ocupacao_DW[[#This Row],[data]]&amp;Ocupacao_DW[[#This Row],[profissional_id]]&amp;Ocupacao_DW[[#This Row],[local_id]]</f>
        <v>44642126696</v>
      </c>
      <c r="H2404" s="1">
        <f>_xlfn.XLOOKUP(Ocupacao_DW[[#This Row],[Concat]],Vagas!$H:$H,Vagas!$D:$D,"",0)</f>
        <v>0</v>
      </c>
    </row>
    <row r="2405" spans="1:8" x14ac:dyDescent="0.25">
      <c r="A2405" s="2">
        <v>44637</v>
      </c>
      <c r="B2405" s="1"/>
      <c r="C2405">
        <v>74</v>
      </c>
      <c r="D2405" s="1" t="s">
        <v>182</v>
      </c>
      <c r="E2405" s="1" t="s">
        <v>6</v>
      </c>
      <c r="F2405">
        <v>7</v>
      </c>
      <c r="G2405" s="1" t="str">
        <f>Ocupacao_DW[[#This Row],[data]]&amp;Ocupacao_DW[[#This Row],[profissional_id]]&amp;Ocupacao_DW[[#This Row],[local_id]]</f>
        <v>44637747</v>
      </c>
      <c r="H2405" s="1">
        <f>_xlfn.XLOOKUP(Ocupacao_DW[[#This Row],[Concat]],Vagas!$H:$H,Vagas!$D:$D,"",0)</f>
        <v>0</v>
      </c>
    </row>
    <row r="2406" spans="1:8" x14ac:dyDescent="0.25">
      <c r="A2406" s="2">
        <v>44646</v>
      </c>
      <c r="B2406" s="1"/>
      <c r="C2406">
        <v>4887</v>
      </c>
      <c r="D2406" s="1" t="s">
        <v>168</v>
      </c>
      <c r="E2406" s="1" t="s">
        <v>5</v>
      </c>
      <c r="F2406">
        <v>18</v>
      </c>
      <c r="G2406" s="1" t="str">
        <f>Ocupacao_DW[[#This Row],[data]]&amp;Ocupacao_DW[[#This Row],[profissional_id]]&amp;Ocupacao_DW[[#This Row],[local_id]]</f>
        <v>44646488718</v>
      </c>
      <c r="H2406" s="1">
        <f>_xlfn.XLOOKUP(Ocupacao_DW[[#This Row],[Concat]],Vagas!$H:$H,Vagas!$D:$D,"",0)</f>
        <v>0</v>
      </c>
    </row>
    <row r="2407" spans="1:8" x14ac:dyDescent="0.25">
      <c r="A2407" s="2">
        <v>44636</v>
      </c>
      <c r="B2407" s="1"/>
      <c r="C2407">
        <v>60</v>
      </c>
      <c r="D2407" s="1" t="s">
        <v>217</v>
      </c>
      <c r="E2407" s="1"/>
      <c r="F2407">
        <v>0</v>
      </c>
      <c r="G2407" s="1" t="str">
        <f>Ocupacao_DW[[#This Row],[data]]&amp;Ocupacao_DW[[#This Row],[profissional_id]]&amp;Ocupacao_DW[[#This Row],[local_id]]</f>
        <v>44636600</v>
      </c>
      <c r="H2407" s="1" t="str">
        <f>_xlfn.XLOOKUP(Ocupacao_DW[[#This Row],[Concat]],Vagas!$H:$H,Vagas!$D:$D,"",0)</f>
        <v/>
      </c>
    </row>
    <row r="2408" spans="1:8" x14ac:dyDescent="0.25">
      <c r="A2408" s="2">
        <v>44638</v>
      </c>
      <c r="B2408" s="1" t="s">
        <v>70</v>
      </c>
      <c r="C2408">
        <v>14237</v>
      </c>
      <c r="D2408" s="1" t="s">
        <v>186</v>
      </c>
      <c r="E2408" s="1" t="s">
        <v>4</v>
      </c>
      <c r="F2408">
        <v>47</v>
      </c>
      <c r="G2408" s="1" t="str">
        <f>Ocupacao_DW[[#This Row],[data]]&amp;Ocupacao_DW[[#This Row],[profissional_id]]&amp;Ocupacao_DW[[#This Row],[local_id]]</f>
        <v>446381423747</v>
      </c>
      <c r="H2408" s="1" t="str">
        <f>_xlfn.XLOOKUP(Ocupacao_DW[[#This Row],[Concat]],Vagas!$H:$H,Vagas!$D:$D,"",0)</f>
        <v/>
      </c>
    </row>
    <row r="2409" spans="1:8" x14ac:dyDescent="0.25">
      <c r="A2409" s="2">
        <v>44636</v>
      </c>
      <c r="B2409" s="1" t="s">
        <v>70</v>
      </c>
      <c r="C2409">
        <v>12519</v>
      </c>
      <c r="D2409" s="1" t="s">
        <v>176</v>
      </c>
      <c r="E2409" s="1" t="s">
        <v>4</v>
      </c>
      <c r="F2409">
        <v>48</v>
      </c>
      <c r="G2409" s="1" t="str">
        <f>Ocupacao_DW[[#This Row],[data]]&amp;Ocupacao_DW[[#This Row],[profissional_id]]&amp;Ocupacao_DW[[#This Row],[local_id]]</f>
        <v>446361251948</v>
      </c>
      <c r="H2409" s="1">
        <f>_xlfn.XLOOKUP(Ocupacao_DW[[#This Row],[Concat]],Vagas!$H:$H,Vagas!$D:$D,"",0)</f>
        <v>0</v>
      </c>
    </row>
    <row r="2410" spans="1:8" x14ac:dyDescent="0.25">
      <c r="A2410" s="2">
        <v>44645</v>
      </c>
      <c r="B2410" s="1"/>
      <c r="C2410">
        <v>67</v>
      </c>
      <c r="D2410" s="1" t="s">
        <v>172</v>
      </c>
      <c r="E2410" s="1"/>
      <c r="F2410">
        <v>0</v>
      </c>
      <c r="G2410" s="1" t="str">
        <f>Ocupacao_DW[[#This Row],[data]]&amp;Ocupacao_DW[[#This Row],[profissional_id]]&amp;Ocupacao_DW[[#This Row],[local_id]]</f>
        <v>44645670</v>
      </c>
      <c r="H2410" s="1" t="str">
        <f>_xlfn.XLOOKUP(Ocupacao_DW[[#This Row],[Concat]],Vagas!$H:$H,Vagas!$D:$D,"",0)</f>
        <v/>
      </c>
    </row>
    <row r="2411" spans="1:8" x14ac:dyDescent="0.25">
      <c r="A2411" s="2">
        <v>44657</v>
      </c>
      <c r="B2411" s="1" t="s">
        <v>54</v>
      </c>
      <c r="C2411">
        <v>1490</v>
      </c>
      <c r="D2411" s="1" t="s">
        <v>174</v>
      </c>
      <c r="E2411" s="1" t="s">
        <v>5</v>
      </c>
      <c r="F2411">
        <v>13</v>
      </c>
      <c r="G2411" s="1" t="str">
        <f>Ocupacao_DW[[#This Row],[data]]&amp;Ocupacao_DW[[#This Row],[profissional_id]]&amp;Ocupacao_DW[[#This Row],[local_id]]</f>
        <v>44657149013</v>
      </c>
      <c r="H2411" s="1">
        <f>_xlfn.XLOOKUP(Ocupacao_DW[[#This Row],[Concat]],Vagas!$H:$H,Vagas!$D:$D,"",0)</f>
        <v>0</v>
      </c>
    </row>
    <row r="2412" spans="1:8" x14ac:dyDescent="0.25">
      <c r="A2412" s="2">
        <v>44636</v>
      </c>
      <c r="B2412" s="1"/>
      <c r="C2412">
        <v>74</v>
      </c>
      <c r="D2412" s="1" t="s">
        <v>182</v>
      </c>
      <c r="E2412" s="1" t="s">
        <v>6</v>
      </c>
      <c r="F2412">
        <v>7</v>
      </c>
      <c r="G2412" s="1" t="str">
        <f>Ocupacao_DW[[#This Row],[data]]&amp;Ocupacao_DW[[#This Row],[profissional_id]]&amp;Ocupacao_DW[[#This Row],[local_id]]</f>
        <v>44636747</v>
      </c>
      <c r="H2412" s="1">
        <f>_xlfn.XLOOKUP(Ocupacao_DW[[#This Row],[Concat]],Vagas!$H:$H,Vagas!$D:$D,"",0)</f>
        <v>0</v>
      </c>
    </row>
    <row r="2413" spans="1:8" x14ac:dyDescent="0.25">
      <c r="A2413" s="2">
        <v>44636</v>
      </c>
      <c r="B2413" s="1"/>
      <c r="C2413">
        <v>74</v>
      </c>
      <c r="D2413" s="1" t="s">
        <v>182</v>
      </c>
      <c r="E2413" s="1" t="s">
        <v>6</v>
      </c>
      <c r="F2413">
        <v>7</v>
      </c>
      <c r="G2413" s="1" t="str">
        <f>Ocupacao_DW[[#This Row],[data]]&amp;Ocupacao_DW[[#This Row],[profissional_id]]&amp;Ocupacao_DW[[#This Row],[local_id]]</f>
        <v>44636747</v>
      </c>
      <c r="H2413" s="1">
        <f>_xlfn.XLOOKUP(Ocupacao_DW[[#This Row],[Concat]],Vagas!$H:$H,Vagas!$D:$D,"",0)</f>
        <v>0</v>
      </c>
    </row>
    <row r="2414" spans="1:8" x14ac:dyDescent="0.25">
      <c r="A2414" s="2">
        <v>44636</v>
      </c>
      <c r="B2414" s="1"/>
      <c r="C2414">
        <v>2396</v>
      </c>
      <c r="D2414" s="1" t="s">
        <v>197</v>
      </c>
      <c r="E2414" s="1"/>
      <c r="F2414">
        <v>0</v>
      </c>
      <c r="G2414" s="1" t="str">
        <f>Ocupacao_DW[[#This Row],[data]]&amp;Ocupacao_DW[[#This Row],[profissional_id]]&amp;Ocupacao_DW[[#This Row],[local_id]]</f>
        <v>4463623960</v>
      </c>
      <c r="H2414" s="1" t="str">
        <f>_xlfn.XLOOKUP(Ocupacao_DW[[#This Row],[Concat]],Vagas!$H:$H,Vagas!$D:$D,"",0)</f>
        <v/>
      </c>
    </row>
    <row r="2415" spans="1:8" x14ac:dyDescent="0.25">
      <c r="A2415" s="2">
        <v>44635</v>
      </c>
      <c r="B2415" s="1"/>
      <c r="C2415">
        <v>3502</v>
      </c>
      <c r="D2415" s="1" t="s">
        <v>214</v>
      </c>
      <c r="E2415" s="1"/>
      <c r="F2415">
        <v>0</v>
      </c>
      <c r="G2415" s="1" t="str">
        <f>Ocupacao_DW[[#This Row],[data]]&amp;Ocupacao_DW[[#This Row],[profissional_id]]&amp;Ocupacao_DW[[#This Row],[local_id]]</f>
        <v>4463535020</v>
      </c>
      <c r="H2415" s="1" t="str">
        <f>_xlfn.XLOOKUP(Ocupacao_DW[[#This Row],[Concat]],Vagas!$H:$H,Vagas!$D:$D,"",0)</f>
        <v/>
      </c>
    </row>
    <row r="2416" spans="1:8" x14ac:dyDescent="0.25">
      <c r="A2416" s="2">
        <v>44636</v>
      </c>
      <c r="B2416" s="1"/>
      <c r="C2416">
        <v>12519</v>
      </c>
      <c r="D2416" s="1" t="s">
        <v>176</v>
      </c>
      <c r="E2416" s="1" t="s">
        <v>4</v>
      </c>
      <c r="F2416">
        <v>48</v>
      </c>
      <c r="G2416" s="1" t="str">
        <f>Ocupacao_DW[[#This Row],[data]]&amp;Ocupacao_DW[[#This Row],[profissional_id]]&amp;Ocupacao_DW[[#This Row],[local_id]]</f>
        <v>446361251948</v>
      </c>
      <c r="H2416" s="1">
        <f>_xlfn.XLOOKUP(Ocupacao_DW[[#This Row],[Concat]],Vagas!$H:$H,Vagas!$D:$D,"",0)</f>
        <v>0</v>
      </c>
    </row>
    <row r="2417" spans="1:8" x14ac:dyDescent="0.25">
      <c r="A2417" s="2">
        <v>44641</v>
      </c>
      <c r="B2417" s="1"/>
      <c r="C2417">
        <v>86</v>
      </c>
      <c r="D2417" s="1" t="s">
        <v>175</v>
      </c>
      <c r="E2417" s="1" t="s">
        <v>5</v>
      </c>
      <c r="F2417">
        <v>349</v>
      </c>
      <c r="G2417" s="1" t="str">
        <f>Ocupacao_DW[[#This Row],[data]]&amp;Ocupacao_DW[[#This Row],[profissional_id]]&amp;Ocupacao_DW[[#This Row],[local_id]]</f>
        <v>4464186349</v>
      </c>
      <c r="H2417" s="1">
        <f>_xlfn.XLOOKUP(Ocupacao_DW[[#This Row],[Concat]],Vagas!$H:$H,Vagas!$D:$D,"",0)</f>
        <v>0</v>
      </c>
    </row>
    <row r="2418" spans="1:8" x14ac:dyDescent="0.25">
      <c r="A2418" s="2">
        <v>44636</v>
      </c>
      <c r="B2418" s="1" t="s">
        <v>70</v>
      </c>
      <c r="C2418">
        <v>12519</v>
      </c>
      <c r="D2418" s="1" t="s">
        <v>176</v>
      </c>
      <c r="E2418" s="1" t="s">
        <v>4</v>
      </c>
      <c r="F2418">
        <v>48</v>
      </c>
      <c r="G2418" s="1" t="str">
        <f>Ocupacao_DW[[#This Row],[data]]&amp;Ocupacao_DW[[#This Row],[profissional_id]]&amp;Ocupacao_DW[[#This Row],[local_id]]</f>
        <v>446361251948</v>
      </c>
      <c r="H2418" s="1">
        <f>_xlfn.XLOOKUP(Ocupacao_DW[[#This Row],[Concat]],Vagas!$H:$H,Vagas!$D:$D,"",0)</f>
        <v>0</v>
      </c>
    </row>
    <row r="2419" spans="1:8" x14ac:dyDescent="0.25">
      <c r="A2419" s="2">
        <v>44636</v>
      </c>
      <c r="B2419" s="1"/>
      <c r="C2419">
        <v>12825</v>
      </c>
      <c r="D2419" s="1" t="s">
        <v>177</v>
      </c>
      <c r="E2419" s="1"/>
      <c r="F2419">
        <v>0</v>
      </c>
      <c r="G2419" s="1" t="str">
        <f>Ocupacao_DW[[#This Row],[data]]&amp;Ocupacao_DW[[#This Row],[profissional_id]]&amp;Ocupacao_DW[[#This Row],[local_id]]</f>
        <v>44636128250</v>
      </c>
      <c r="H2419" s="1" t="str">
        <f>_xlfn.XLOOKUP(Ocupacao_DW[[#This Row],[Concat]],Vagas!$H:$H,Vagas!$D:$D,"",0)</f>
        <v/>
      </c>
    </row>
    <row r="2420" spans="1:8" x14ac:dyDescent="0.25">
      <c r="A2420" s="2">
        <v>44636</v>
      </c>
      <c r="B2420" s="1"/>
      <c r="C2420">
        <v>74</v>
      </c>
      <c r="D2420" s="1" t="s">
        <v>182</v>
      </c>
      <c r="E2420" s="1" t="s">
        <v>6</v>
      </c>
      <c r="F2420">
        <v>7</v>
      </c>
      <c r="G2420" s="1" t="str">
        <f>Ocupacao_DW[[#This Row],[data]]&amp;Ocupacao_DW[[#This Row],[profissional_id]]&amp;Ocupacao_DW[[#This Row],[local_id]]</f>
        <v>44636747</v>
      </c>
      <c r="H2420" s="1">
        <f>_xlfn.XLOOKUP(Ocupacao_DW[[#This Row],[Concat]],Vagas!$H:$H,Vagas!$D:$D,"",0)</f>
        <v>0</v>
      </c>
    </row>
    <row r="2421" spans="1:8" x14ac:dyDescent="0.25">
      <c r="A2421" s="2">
        <v>44642</v>
      </c>
      <c r="B2421" s="1"/>
      <c r="C2421">
        <v>73</v>
      </c>
      <c r="D2421" s="1" t="s">
        <v>171</v>
      </c>
      <c r="E2421" s="1" t="s">
        <v>6</v>
      </c>
      <c r="F2421">
        <v>5</v>
      </c>
      <c r="G2421" s="1" t="str">
        <f>Ocupacao_DW[[#This Row],[data]]&amp;Ocupacao_DW[[#This Row],[profissional_id]]&amp;Ocupacao_DW[[#This Row],[local_id]]</f>
        <v>44642735</v>
      </c>
      <c r="H2421" s="1">
        <f>_xlfn.XLOOKUP(Ocupacao_DW[[#This Row],[Concat]],Vagas!$H:$H,Vagas!$D:$D,"",0)</f>
        <v>0</v>
      </c>
    </row>
    <row r="2422" spans="1:8" x14ac:dyDescent="0.25">
      <c r="A2422" s="2">
        <v>44643</v>
      </c>
      <c r="B2422" s="1"/>
      <c r="C2422">
        <v>73</v>
      </c>
      <c r="D2422" s="1" t="s">
        <v>171</v>
      </c>
      <c r="E2422" s="1" t="s">
        <v>6</v>
      </c>
      <c r="F2422">
        <v>5</v>
      </c>
      <c r="G2422" s="1" t="str">
        <f>Ocupacao_DW[[#This Row],[data]]&amp;Ocupacao_DW[[#This Row],[profissional_id]]&amp;Ocupacao_DW[[#This Row],[local_id]]</f>
        <v>44643735</v>
      </c>
      <c r="H2422" s="1">
        <f>_xlfn.XLOOKUP(Ocupacao_DW[[#This Row],[Concat]],Vagas!$H:$H,Vagas!$D:$D,"",0)</f>
        <v>0</v>
      </c>
    </row>
    <row r="2423" spans="1:8" x14ac:dyDescent="0.25">
      <c r="A2423" s="2">
        <v>44650</v>
      </c>
      <c r="B2423" s="1"/>
      <c r="C2423">
        <v>67</v>
      </c>
      <c r="D2423" s="1" t="s">
        <v>172</v>
      </c>
      <c r="E2423" s="1" t="s">
        <v>6</v>
      </c>
      <c r="F2423">
        <v>8</v>
      </c>
      <c r="G2423" s="1" t="str">
        <f>Ocupacao_DW[[#This Row],[data]]&amp;Ocupacao_DW[[#This Row],[profissional_id]]&amp;Ocupacao_DW[[#This Row],[local_id]]</f>
        <v>44650678</v>
      </c>
      <c r="H2423" s="1">
        <f>_xlfn.XLOOKUP(Ocupacao_DW[[#This Row],[Concat]],Vagas!$H:$H,Vagas!$D:$D,"",0)</f>
        <v>0</v>
      </c>
    </row>
    <row r="2424" spans="1:8" x14ac:dyDescent="0.25">
      <c r="A2424" s="2">
        <v>44657</v>
      </c>
      <c r="B2424" s="1"/>
      <c r="C2424">
        <v>1490</v>
      </c>
      <c r="D2424" s="1" t="s">
        <v>174</v>
      </c>
      <c r="E2424" s="1" t="s">
        <v>5</v>
      </c>
      <c r="F2424">
        <v>13</v>
      </c>
      <c r="G2424" s="1" t="str">
        <f>Ocupacao_DW[[#This Row],[data]]&amp;Ocupacao_DW[[#This Row],[profissional_id]]&amp;Ocupacao_DW[[#This Row],[local_id]]</f>
        <v>44657149013</v>
      </c>
      <c r="H2424" s="1">
        <f>_xlfn.XLOOKUP(Ocupacao_DW[[#This Row],[Concat]],Vagas!$H:$H,Vagas!$D:$D,"",0)</f>
        <v>0</v>
      </c>
    </row>
    <row r="2425" spans="1:8" x14ac:dyDescent="0.25">
      <c r="A2425" s="2">
        <v>44635</v>
      </c>
      <c r="B2425" s="1" t="s">
        <v>55</v>
      </c>
      <c r="C2425">
        <v>12669</v>
      </c>
      <c r="D2425" s="1" t="s">
        <v>223</v>
      </c>
      <c r="E2425" s="1" t="s">
        <v>6</v>
      </c>
      <c r="F2425">
        <v>6</v>
      </c>
      <c r="G2425" s="1" t="str">
        <f>Ocupacao_DW[[#This Row],[data]]&amp;Ocupacao_DW[[#This Row],[profissional_id]]&amp;Ocupacao_DW[[#This Row],[local_id]]</f>
        <v>44635126696</v>
      </c>
      <c r="H2425" s="1">
        <f>_xlfn.XLOOKUP(Ocupacao_DW[[#This Row],[Concat]],Vagas!$H:$H,Vagas!$D:$D,"",0)</f>
        <v>0</v>
      </c>
    </row>
    <row r="2426" spans="1:8" x14ac:dyDescent="0.25">
      <c r="A2426" s="2">
        <v>44643</v>
      </c>
      <c r="B2426" s="1"/>
      <c r="C2426">
        <v>73</v>
      </c>
      <c r="D2426" s="1" t="s">
        <v>171</v>
      </c>
      <c r="E2426" s="1" t="s">
        <v>6</v>
      </c>
      <c r="F2426">
        <v>5</v>
      </c>
      <c r="G2426" s="1" t="str">
        <f>Ocupacao_DW[[#This Row],[data]]&amp;Ocupacao_DW[[#This Row],[profissional_id]]&amp;Ocupacao_DW[[#This Row],[local_id]]</f>
        <v>44643735</v>
      </c>
      <c r="H2426" s="1">
        <f>_xlfn.XLOOKUP(Ocupacao_DW[[#This Row],[Concat]],Vagas!$H:$H,Vagas!$D:$D,"",0)</f>
        <v>0</v>
      </c>
    </row>
    <row r="2427" spans="1:8" x14ac:dyDescent="0.25">
      <c r="A2427" s="2">
        <v>44643</v>
      </c>
      <c r="B2427" s="1"/>
      <c r="C2427">
        <v>174</v>
      </c>
      <c r="D2427" s="1" t="s">
        <v>230</v>
      </c>
      <c r="E2427" s="1"/>
      <c r="F2427">
        <v>0</v>
      </c>
      <c r="G2427" s="1" t="str">
        <f>Ocupacao_DW[[#This Row],[data]]&amp;Ocupacao_DW[[#This Row],[profissional_id]]&amp;Ocupacao_DW[[#This Row],[local_id]]</f>
        <v>446431740</v>
      </c>
      <c r="H2427" s="1" t="str">
        <f>_xlfn.XLOOKUP(Ocupacao_DW[[#This Row],[Concat]],Vagas!$H:$H,Vagas!$D:$D,"",0)</f>
        <v/>
      </c>
    </row>
    <row r="2428" spans="1:8" x14ac:dyDescent="0.25">
      <c r="A2428" s="2">
        <v>44636</v>
      </c>
      <c r="B2428" s="1"/>
      <c r="C2428">
        <v>74</v>
      </c>
      <c r="D2428" s="1" t="s">
        <v>182</v>
      </c>
      <c r="E2428" s="1" t="s">
        <v>6</v>
      </c>
      <c r="F2428">
        <v>7</v>
      </c>
      <c r="G2428" s="1" t="str">
        <f>Ocupacao_DW[[#This Row],[data]]&amp;Ocupacao_DW[[#This Row],[profissional_id]]&amp;Ocupacao_DW[[#This Row],[local_id]]</f>
        <v>44636747</v>
      </c>
      <c r="H2428" s="1">
        <f>_xlfn.XLOOKUP(Ocupacao_DW[[#This Row],[Concat]],Vagas!$H:$H,Vagas!$D:$D,"",0)</f>
        <v>0</v>
      </c>
    </row>
    <row r="2429" spans="1:8" x14ac:dyDescent="0.25">
      <c r="A2429" s="2">
        <v>44636</v>
      </c>
      <c r="B2429" s="1"/>
      <c r="C2429">
        <v>80</v>
      </c>
      <c r="D2429" s="1" t="s">
        <v>179</v>
      </c>
      <c r="E2429" s="1" t="s">
        <v>167</v>
      </c>
      <c r="F2429">
        <v>346</v>
      </c>
      <c r="G2429" s="1" t="str">
        <f>Ocupacao_DW[[#This Row],[data]]&amp;Ocupacao_DW[[#This Row],[profissional_id]]&amp;Ocupacao_DW[[#This Row],[local_id]]</f>
        <v>4463680346</v>
      </c>
      <c r="H2429" s="1">
        <f>_xlfn.XLOOKUP(Ocupacao_DW[[#This Row],[Concat]],Vagas!$H:$H,Vagas!$D:$D,"",0)</f>
        <v>0</v>
      </c>
    </row>
    <row r="2430" spans="1:8" x14ac:dyDescent="0.25">
      <c r="A2430" s="2">
        <v>44641</v>
      </c>
      <c r="B2430" s="1"/>
      <c r="C2430">
        <v>2984</v>
      </c>
      <c r="D2430" s="1" t="s">
        <v>185</v>
      </c>
      <c r="E2430" s="1" t="s">
        <v>6</v>
      </c>
      <c r="F2430">
        <v>7</v>
      </c>
      <c r="G2430" s="1" t="str">
        <f>Ocupacao_DW[[#This Row],[data]]&amp;Ocupacao_DW[[#This Row],[profissional_id]]&amp;Ocupacao_DW[[#This Row],[local_id]]</f>
        <v>4464129847</v>
      </c>
      <c r="H2430" s="1">
        <f>_xlfn.XLOOKUP(Ocupacao_DW[[#This Row],[Concat]],Vagas!$H:$H,Vagas!$D:$D,"",0)</f>
        <v>0</v>
      </c>
    </row>
    <row r="2431" spans="1:8" x14ac:dyDescent="0.25">
      <c r="A2431" s="2">
        <v>44648</v>
      </c>
      <c r="B2431" s="1"/>
      <c r="C2431">
        <v>17878</v>
      </c>
      <c r="D2431" s="1" t="s">
        <v>183</v>
      </c>
      <c r="E2431" s="1" t="s">
        <v>4</v>
      </c>
      <c r="F2431">
        <v>47</v>
      </c>
      <c r="G2431" s="1" t="str">
        <f>Ocupacao_DW[[#This Row],[data]]&amp;Ocupacao_DW[[#This Row],[profissional_id]]&amp;Ocupacao_DW[[#This Row],[local_id]]</f>
        <v>446481787847</v>
      </c>
      <c r="H2431" s="1">
        <f>_xlfn.XLOOKUP(Ocupacao_DW[[#This Row],[Concat]],Vagas!$H:$H,Vagas!$D:$D,"",0)</f>
        <v>2</v>
      </c>
    </row>
    <row r="2432" spans="1:8" x14ac:dyDescent="0.25">
      <c r="A2432" s="2">
        <v>44637</v>
      </c>
      <c r="B2432" s="1" t="s">
        <v>51</v>
      </c>
      <c r="C2432">
        <v>12582</v>
      </c>
      <c r="D2432" s="1" t="s">
        <v>190</v>
      </c>
      <c r="E2432" s="1" t="s">
        <v>5</v>
      </c>
      <c r="F2432">
        <v>15</v>
      </c>
      <c r="G2432" s="1" t="str">
        <f>Ocupacao_DW[[#This Row],[data]]&amp;Ocupacao_DW[[#This Row],[profissional_id]]&amp;Ocupacao_DW[[#This Row],[local_id]]</f>
        <v>446371258215</v>
      </c>
      <c r="H2432" s="1">
        <f>_xlfn.XLOOKUP(Ocupacao_DW[[#This Row],[Concat]],Vagas!$H:$H,Vagas!$D:$D,"",0)</f>
        <v>0</v>
      </c>
    </row>
    <row r="2433" spans="1:8" x14ac:dyDescent="0.25">
      <c r="A2433" s="2">
        <v>44643</v>
      </c>
      <c r="B2433" s="1"/>
      <c r="C2433">
        <v>73</v>
      </c>
      <c r="D2433" s="1" t="s">
        <v>171</v>
      </c>
      <c r="E2433" s="1" t="s">
        <v>6</v>
      </c>
      <c r="F2433">
        <v>5</v>
      </c>
      <c r="G2433" s="1" t="str">
        <f>Ocupacao_DW[[#This Row],[data]]&amp;Ocupacao_DW[[#This Row],[profissional_id]]&amp;Ocupacao_DW[[#This Row],[local_id]]</f>
        <v>44643735</v>
      </c>
      <c r="H2433" s="1">
        <f>_xlfn.XLOOKUP(Ocupacao_DW[[#This Row],[Concat]],Vagas!$H:$H,Vagas!$D:$D,"",0)</f>
        <v>0</v>
      </c>
    </row>
    <row r="2434" spans="1:8" x14ac:dyDescent="0.25">
      <c r="A2434" s="2">
        <v>44643</v>
      </c>
      <c r="B2434" s="1"/>
      <c r="C2434">
        <v>10691</v>
      </c>
      <c r="D2434" s="1" t="s">
        <v>181</v>
      </c>
      <c r="E2434" s="1"/>
      <c r="F2434">
        <v>0</v>
      </c>
      <c r="G2434" s="1" t="str">
        <f>Ocupacao_DW[[#This Row],[data]]&amp;Ocupacao_DW[[#This Row],[profissional_id]]&amp;Ocupacao_DW[[#This Row],[local_id]]</f>
        <v>44643106910</v>
      </c>
      <c r="H2434" s="1" t="str">
        <f>_xlfn.XLOOKUP(Ocupacao_DW[[#This Row],[Concat]],Vagas!$H:$H,Vagas!$D:$D,"",0)</f>
        <v/>
      </c>
    </row>
    <row r="2435" spans="1:8" x14ac:dyDescent="0.25">
      <c r="A2435" s="2">
        <v>44641</v>
      </c>
      <c r="B2435" s="1"/>
      <c r="C2435">
        <v>17878</v>
      </c>
      <c r="D2435" s="1" t="s">
        <v>183</v>
      </c>
      <c r="E2435" s="1" t="s">
        <v>4</v>
      </c>
      <c r="F2435">
        <v>47</v>
      </c>
      <c r="G2435" s="1" t="str">
        <f>Ocupacao_DW[[#This Row],[data]]&amp;Ocupacao_DW[[#This Row],[profissional_id]]&amp;Ocupacao_DW[[#This Row],[local_id]]</f>
        <v>446411787847</v>
      </c>
      <c r="H2435" s="1">
        <f>_xlfn.XLOOKUP(Ocupacao_DW[[#This Row],[Concat]],Vagas!$H:$H,Vagas!$D:$D,"",0)</f>
        <v>0</v>
      </c>
    </row>
    <row r="2436" spans="1:8" x14ac:dyDescent="0.25">
      <c r="A2436" s="2">
        <v>44648</v>
      </c>
      <c r="B2436" s="1"/>
      <c r="C2436">
        <v>17878</v>
      </c>
      <c r="D2436" s="1" t="s">
        <v>183</v>
      </c>
      <c r="E2436" s="1" t="s">
        <v>4</v>
      </c>
      <c r="F2436">
        <v>47</v>
      </c>
      <c r="G2436" s="1" t="str">
        <f>Ocupacao_DW[[#This Row],[data]]&amp;Ocupacao_DW[[#This Row],[profissional_id]]&amp;Ocupacao_DW[[#This Row],[local_id]]</f>
        <v>446481787847</v>
      </c>
      <c r="H2436" s="1">
        <f>_xlfn.XLOOKUP(Ocupacao_DW[[#This Row],[Concat]],Vagas!$H:$H,Vagas!$D:$D,"",0)</f>
        <v>2</v>
      </c>
    </row>
    <row r="2437" spans="1:8" x14ac:dyDescent="0.25">
      <c r="A2437" s="2">
        <v>44642</v>
      </c>
      <c r="B2437" s="1"/>
      <c r="C2437">
        <v>111</v>
      </c>
      <c r="D2437" s="1" t="s">
        <v>199</v>
      </c>
      <c r="E2437" s="1" t="s">
        <v>4</v>
      </c>
      <c r="F2437">
        <v>51</v>
      </c>
      <c r="G2437" s="1" t="str">
        <f>Ocupacao_DW[[#This Row],[data]]&amp;Ocupacao_DW[[#This Row],[profissional_id]]&amp;Ocupacao_DW[[#This Row],[local_id]]</f>
        <v>4464211151</v>
      </c>
      <c r="H2437" s="1">
        <f>_xlfn.XLOOKUP(Ocupacao_DW[[#This Row],[Concat]],Vagas!$H:$H,Vagas!$D:$D,"",0)</f>
        <v>25</v>
      </c>
    </row>
    <row r="2438" spans="1:8" x14ac:dyDescent="0.25">
      <c r="A2438" s="2">
        <v>44641</v>
      </c>
      <c r="B2438" s="1"/>
      <c r="C2438">
        <v>6392</v>
      </c>
      <c r="D2438" s="1" t="s">
        <v>173</v>
      </c>
      <c r="E2438" s="1" t="s">
        <v>6</v>
      </c>
      <c r="F2438">
        <v>5</v>
      </c>
      <c r="G2438" s="1" t="str">
        <f>Ocupacao_DW[[#This Row],[data]]&amp;Ocupacao_DW[[#This Row],[profissional_id]]&amp;Ocupacao_DW[[#This Row],[local_id]]</f>
        <v>4464163925</v>
      </c>
      <c r="H2438" s="1">
        <f>_xlfn.XLOOKUP(Ocupacao_DW[[#This Row],[Concat]],Vagas!$H:$H,Vagas!$D:$D,"",0)</f>
        <v>0</v>
      </c>
    </row>
    <row r="2439" spans="1:8" x14ac:dyDescent="0.25">
      <c r="A2439" s="2">
        <v>44657</v>
      </c>
      <c r="B2439" s="1"/>
      <c r="C2439">
        <v>1490</v>
      </c>
      <c r="D2439" s="1" t="s">
        <v>174</v>
      </c>
      <c r="E2439" s="1" t="s">
        <v>5</v>
      </c>
      <c r="F2439">
        <v>13</v>
      </c>
      <c r="G2439" s="1" t="str">
        <f>Ocupacao_DW[[#This Row],[data]]&amp;Ocupacao_DW[[#This Row],[profissional_id]]&amp;Ocupacao_DW[[#This Row],[local_id]]</f>
        <v>44657149013</v>
      </c>
      <c r="H2439" s="1">
        <f>_xlfn.XLOOKUP(Ocupacao_DW[[#This Row],[Concat]],Vagas!$H:$H,Vagas!$D:$D,"",0)</f>
        <v>0</v>
      </c>
    </row>
    <row r="2440" spans="1:8" x14ac:dyDescent="0.25">
      <c r="A2440" s="2">
        <v>44642</v>
      </c>
      <c r="B2440" s="1"/>
      <c r="C2440">
        <v>73</v>
      </c>
      <c r="D2440" s="1" t="s">
        <v>171</v>
      </c>
      <c r="E2440" s="1" t="s">
        <v>6</v>
      </c>
      <c r="F2440">
        <v>5</v>
      </c>
      <c r="G2440" s="1" t="str">
        <f>Ocupacao_DW[[#This Row],[data]]&amp;Ocupacao_DW[[#This Row],[profissional_id]]&amp;Ocupacao_DW[[#This Row],[local_id]]</f>
        <v>44642735</v>
      </c>
      <c r="H2440" s="1">
        <f>_xlfn.XLOOKUP(Ocupacao_DW[[#This Row],[Concat]],Vagas!$H:$H,Vagas!$D:$D,"",0)</f>
        <v>0</v>
      </c>
    </row>
    <row r="2441" spans="1:8" x14ac:dyDescent="0.25">
      <c r="A2441" s="2">
        <v>44650</v>
      </c>
      <c r="B2441" s="1"/>
      <c r="C2441">
        <v>12519</v>
      </c>
      <c r="D2441" s="1" t="s">
        <v>176</v>
      </c>
      <c r="E2441" s="1" t="s">
        <v>4</v>
      </c>
      <c r="F2441">
        <v>48</v>
      </c>
      <c r="G2441" s="1" t="str">
        <f>Ocupacao_DW[[#This Row],[data]]&amp;Ocupacao_DW[[#This Row],[profissional_id]]&amp;Ocupacao_DW[[#This Row],[local_id]]</f>
        <v>446501251948</v>
      </c>
      <c r="H2441" s="1">
        <f>_xlfn.XLOOKUP(Ocupacao_DW[[#This Row],[Concat]],Vagas!$H:$H,Vagas!$D:$D,"",0)</f>
        <v>0</v>
      </c>
    </row>
    <row r="2442" spans="1:8" x14ac:dyDescent="0.25">
      <c r="A2442" s="2">
        <v>44643</v>
      </c>
      <c r="B2442" s="1"/>
      <c r="C2442">
        <v>74</v>
      </c>
      <c r="D2442" s="1" t="s">
        <v>182</v>
      </c>
      <c r="E2442" s="1" t="s">
        <v>6</v>
      </c>
      <c r="F2442">
        <v>7</v>
      </c>
      <c r="G2442" s="1" t="str">
        <f>Ocupacao_DW[[#This Row],[data]]&amp;Ocupacao_DW[[#This Row],[profissional_id]]&amp;Ocupacao_DW[[#This Row],[local_id]]</f>
        <v>44643747</v>
      </c>
      <c r="H2442" s="1">
        <f>_xlfn.XLOOKUP(Ocupacao_DW[[#This Row],[Concat]],Vagas!$H:$H,Vagas!$D:$D,"",0)</f>
        <v>0</v>
      </c>
    </row>
    <row r="2443" spans="1:8" x14ac:dyDescent="0.25">
      <c r="A2443" s="2">
        <v>44643</v>
      </c>
      <c r="B2443" s="1"/>
      <c r="C2443">
        <v>70</v>
      </c>
      <c r="D2443" s="1" t="s">
        <v>187</v>
      </c>
      <c r="E2443" s="1" t="s">
        <v>5</v>
      </c>
      <c r="F2443">
        <v>13</v>
      </c>
      <c r="G2443" s="1" t="str">
        <f>Ocupacao_DW[[#This Row],[data]]&amp;Ocupacao_DW[[#This Row],[profissional_id]]&amp;Ocupacao_DW[[#This Row],[local_id]]</f>
        <v>446437013</v>
      </c>
      <c r="H2443" s="1">
        <f>_xlfn.XLOOKUP(Ocupacao_DW[[#This Row],[Concat]],Vagas!$H:$H,Vagas!$D:$D,"",0)</f>
        <v>0</v>
      </c>
    </row>
    <row r="2444" spans="1:8" x14ac:dyDescent="0.25">
      <c r="A2444" s="2">
        <v>44636</v>
      </c>
      <c r="B2444" s="1"/>
      <c r="C2444">
        <v>74</v>
      </c>
      <c r="D2444" s="1" t="s">
        <v>182</v>
      </c>
      <c r="E2444" s="1" t="s">
        <v>6</v>
      </c>
      <c r="F2444">
        <v>7</v>
      </c>
      <c r="G2444" s="1" t="str">
        <f>Ocupacao_DW[[#This Row],[data]]&amp;Ocupacao_DW[[#This Row],[profissional_id]]&amp;Ocupacao_DW[[#This Row],[local_id]]</f>
        <v>44636747</v>
      </c>
      <c r="H2444" s="1">
        <f>_xlfn.XLOOKUP(Ocupacao_DW[[#This Row],[Concat]],Vagas!$H:$H,Vagas!$D:$D,"",0)</f>
        <v>0</v>
      </c>
    </row>
    <row r="2445" spans="1:8" x14ac:dyDescent="0.25">
      <c r="A2445" s="2">
        <v>44650</v>
      </c>
      <c r="B2445" s="1"/>
      <c r="C2445">
        <v>67</v>
      </c>
      <c r="D2445" s="1" t="s">
        <v>172</v>
      </c>
      <c r="E2445" s="1" t="s">
        <v>6</v>
      </c>
      <c r="F2445">
        <v>8</v>
      </c>
      <c r="G2445" s="1" t="str">
        <f>Ocupacao_DW[[#This Row],[data]]&amp;Ocupacao_DW[[#This Row],[profissional_id]]&amp;Ocupacao_DW[[#This Row],[local_id]]</f>
        <v>44650678</v>
      </c>
      <c r="H2445" s="1">
        <f>_xlfn.XLOOKUP(Ocupacao_DW[[#This Row],[Concat]],Vagas!$H:$H,Vagas!$D:$D,"",0)</f>
        <v>0</v>
      </c>
    </row>
    <row r="2446" spans="1:8" x14ac:dyDescent="0.25">
      <c r="A2446" s="2">
        <v>44650</v>
      </c>
      <c r="B2446" s="1"/>
      <c r="C2446">
        <v>67</v>
      </c>
      <c r="D2446" s="1" t="s">
        <v>172</v>
      </c>
      <c r="E2446" s="1" t="s">
        <v>6</v>
      </c>
      <c r="F2446">
        <v>8</v>
      </c>
      <c r="G2446" s="1" t="str">
        <f>Ocupacao_DW[[#This Row],[data]]&amp;Ocupacao_DW[[#This Row],[profissional_id]]&amp;Ocupacao_DW[[#This Row],[local_id]]</f>
        <v>44650678</v>
      </c>
      <c r="H2446" s="1">
        <f>_xlfn.XLOOKUP(Ocupacao_DW[[#This Row],[Concat]],Vagas!$H:$H,Vagas!$D:$D,"",0)</f>
        <v>0</v>
      </c>
    </row>
    <row r="2447" spans="1:8" x14ac:dyDescent="0.25">
      <c r="A2447" s="2">
        <v>44641</v>
      </c>
      <c r="B2447" s="1"/>
      <c r="C2447">
        <v>6392</v>
      </c>
      <c r="D2447" s="1" t="s">
        <v>173</v>
      </c>
      <c r="E2447" s="1" t="s">
        <v>6</v>
      </c>
      <c r="F2447">
        <v>5</v>
      </c>
      <c r="G2447" s="1" t="str">
        <f>Ocupacao_DW[[#This Row],[data]]&amp;Ocupacao_DW[[#This Row],[profissional_id]]&amp;Ocupacao_DW[[#This Row],[local_id]]</f>
        <v>4464163925</v>
      </c>
      <c r="H2447" s="1">
        <f>_xlfn.XLOOKUP(Ocupacao_DW[[#This Row],[Concat]],Vagas!$H:$H,Vagas!$D:$D,"",0)</f>
        <v>0</v>
      </c>
    </row>
    <row r="2448" spans="1:8" x14ac:dyDescent="0.25">
      <c r="A2448" s="2">
        <v>44636</v>
      </c>
      <c r="B2448" s="1" t="s">
        <v>70</v>
      </c>
      <c r="C2448">
        <v>12519</v>
      </c>
      <c r="D2448" s="1" t="s">
        <v>176</v>
      </c>
      <c r="E2448" s="1" t="s">
        <v>4</v>
      </c>
      <c r="F2448">
        <v>48</v>
      </c>
      <c r="G2448" s="1" t="str">
        <f>Ocupacao_DW[[#This Row],[data]]&amp;Ocupacao_DW[[#This Row],[profissional_id]]&amp;Ocupacao_DW[[#This Row],[local_id]]</f>
        <v>446361251948</v>
      </c>
      <c r="H2448" s="1">
        <f>_xlfn.XLOOKUP(Ocupacao_DW[[#This Row],[Concat]],Vagas!$H:$H,Vagas!$D:$D,"",0)</f>
        <v>0</v>
      </c>
    </row>
    <row r="2449" spans="1:8" x14ac:dyDescent="0.25">
      <c r="A2449" s="2">
        <v>44636</v>
      </c>
      <c r="B2449" s="1" t="s">
        <v>49</v>
      </c>
      <c r="C2449">
        <v>6430</v>
      </c>
      <c r="D2449" s="1" t="s">
        <v>188</v>
      </c>
      <c r="E2449" s="1" t="s">
        <v>4</v>
      </c>
      <c r="F2449">
        <v>42</v>
      </c>
      <c r="G2449" s="1" t="str">
        <f>Ocupacao_DW[[#This Row],[data]]&amp;Ocupacao_DW[[#This Row],[profissional_id]]&amp;Ocupacao_DW[[#This Row],[local_id]]</f>
        <v>44636643042</v>
      </c>
      <c r="H2449" s="1">
        <f>_xlfn.XLOOKUP(Ocupacao_DW[[#This Row],[Concat]],Vagas!$H:$H,Vagas!$D:$D,"",0)</f>
        <v>0</v>
      </c>
    </row>
    <row r="2450" spans="1:8" x14ac:dyDescent="0.25">
      <c r="A2450" s="2">
        <v>44642</v>
      </c>
      <c r="B2450" s="1"/>
      <c r="C2450">
        <v>10941</v>
      </c>
      <c r="D2450" s="1" t="s">
        <v>224</v>
      </c>
      <c r="E2450" s="1" t="s">
        <v>5</v>
      </c>
      <c r="F2450">
        <v>13</v>
      </c>
      <c r="G2450" s="1" t="str">
        <f>Ocupacao_DW[[#This Row],[data]]&amp;Ocupacao_DW[[#This Row],[profissional_id]]&amp;Ocupacao_DW[[#This Row],[local_id]]</f>
        <v>446421094113</v>
      </c>
      <c r="H2450" s="1">
        <f>_xlfn.XLOOKUP(Ocupacao_DW[[#This Row],[Concat]],Vagas!$H:$H,Vagas!$D:$D,"",0)</f>
        <v>0</v>
      </c>
    </row>
    <row r="2451" spans="1:8" x14ac:dyDescent="0.25">
      <c r="A2451" s="2">
        <v>44637</v>
      </c>
      <c r="B2451" s="1"/>
      <c r="C2451">
        <v>11207</v>
      </c>
      <c r="D2451" s="1" t="s">
        <v>251</v>
      </c>
      <c r="E2451" s="1" t="s">
        <v>4</v>
      </c>
      <c r="F2451">
        <v>51</v>
      </c>
      <c r="G2451" s="1" t="str">
        <f>Ocupacao_DW[[#This Row],[data]]&amp;Ocupacao_DW[[#This Row],[profissional_id]]&amp;Ocupacao_DW[[#This Row],[local_id]]</f>
        <v>446371120751</v>
      </c>
      <c r="H2451" s="1">
        <f>_xlfn.XLOOKUP(Ocupacao_DW[[#This Row],[Concat]],Vagas!$H:$H,Vagas!$D:$D,"",0)</f>
        <v>0</v>
      </c>
    </row>
    <row r="2452" spans="1:8" x14ac:dyDescent="0.25">
      <c r="A2452" s="2">
        <v>44635</v>
      </c>
      <c r="B2452" s="1" t="s">
        <v>70</v>
      </c>
      <c r="C2452">
        <v>14237</v>
      </c>
      <c r="D2452" s="1" t="s">
        <v>186</v>
      </c>
      <c r="E2452" s="1" t="s">
        <v>4</v>
      </c>
      <c r="F2452">
        <v>47</v>
      </c>
      <c r="G2452" s="1" t="str">
        <f>Ocupacao_DW[[#This Row],[data]]&amp;Ocupacao_DW[[#This Row],[profissional_id]]&amp;Ocupacao_DW[[#This Row],[local_id]]</f>
        <v>446351423747</v>
      </c>
      <c r="H2452" s="1">
        <f>_xlfn.XLOOKUP(Ocupacao_DW[[#This Row],[Concat]],Vagas!$H:$H,Vagas!$D:$D,"",0)</f>
        <v>0</v>
      </c>
    </row>
    <row r="2453" spans="1:8" x14ac:dyDescent="0.25">
      <c r="A2453" s="2">
        <v>44637</v>
      </c>
      <c r="B2453" s="1"/>
      <c r="C2453">
        <v>81</v>
      </c>
      <c r="D2453" s="1" t="s">
        <v>170</v>
      </c>
      <c r="E2453" s="1"/>
      <c r="F2453">
        <v>0</v>
      </c>
      <c r="G2453" s="1" t="str">
        <f>Ocupacao_DW[[#This Row],[data]]&amp;Ocupacao_DW[[#This Row],[profissional_id]]&amp;Ocupacao_DW[[#This Row],[local_id]]</f>
        <v>44637810</v>
      </c>
      <c r="H2453" s="1" t="str">
        <f>_xlfn.XLOOKUP(Ocupacao_DW[[#This Row],[Concat]],Vagas!$H:$H,Vagas!$D:$D,"",0)</f>
        <v/>
      </c>
    </row>
    <row r="2454" spans="1:8" x14ac:dyDescent="0.25">
      <c r="A2454" s="2">
        <v>44635</v>
      </c>
      <c r="B2454" s="1"/>
      <c r="C2454">
        <v>81</v>
      </c>
      <c r="D2454" s="1" t="s">
        <v>170</v>
      </c>
      <c r="E2454" s="1" t="s">
        <v>7</v>
      </c>
      <c r="F2454">
        <v>71</v>
      </c>
      <c r="G2454" s="1" t="str">
        <f>Ocupacao_DW[[#This Row],[data]]&amp;Ocupacao_DW[[#This Row],[profissional_id]]&amp;Ocupacao_DW[[#This Row],[local_id]]</f>
        <v>446358171</v>
      </c>
      <c r="H2454" s="1">
        <f>_xlfn.XLOOKUP(Ocupacao_DW[[#This Row],[Concat]],Vagas!$H:$H,Vagas!$D:$D,"",0)</f>
        <v>0</v>
      </c>
    </row>
    <row r="2455" spans="1:8" x14ac:dyDescent="0.25">
      <c r="A2455" s="2">
        <v>44636</v>
      </c>
      <c r="B2455" s="1"/>
      <c r="C2455">
        <v>1490</v>
      </c>
      <c r="D2455" s="1" t="s">
        <v>174</v>
      </c>
      <c r="E2455" s="1" t="s">
        <v>5</v>
      </c>
      <c r="F2455">
        <v>13</v>
      </c>
      <c r="G2455" s="1" t="str">
        <f>Ocupacao_DW[[#This Row],[data]]&amp;Ocupacao_DW[[#This Row],[profissional_id]]&amp;Ocupacao_DW[[#This Row],[local_id]]</f>
        <v>44636149013</v>
      </c>
      <c r="H2455" s="1">
        <f>_xlfn.XLOOKUP(Ocupacao_DW[[#This Row],[Concat]],Vagas!$H:$H,Vagas!$D:$D,"",0)</f>
        <v>0</v>
      </c>
    </row>
    <row r="2456" spans="1:8" x14ac:dyDescent="0.25">
      <c r="A2456" s="2">
        <v>44642</v>
      </c>
      <c r="B2456" s="1"/>
      <c r="C2456">
        <v>73</v>
      </c>
      <c r="D2456" s="1" t="s">
        <v>171</v>
      </c>
      <c r="E2456" s="1" t="s">
        <v>6</v>
      </c>
      <c r="F2456">
        <v>5</v>
      </c>
      <c r="G2456" s="1" t="str">
        <f>Ocupacao_DW[[#This Row],[data]]&amp;Ocupacao_DW[[#This Row],[profissional_id]]&amp;Ocupacao_DW[[#This Row],[local_id]]</f>
        <v>44642735</v>
      </c>
      <c r="H2456" s="1">
        <f>_xlfn.XLOOKUP(Ocupacao_DW[[#This Row],[Concat]],Vagas!$H:$H,Vagas!$D:$D,"",0)</f>
        <v>0</v>
      </c>
    </row>
    <row r="2457" spans="1:8" x14ac:dyDescent="0.25">
      <c r="A2457" s="2">
        <v>44642</v>
      </c>
      <c r="B2457" s="1"/>
      <c r="C2457">
        <v>73</v>
      </c>
      <c r="D2457" s="1" t="s">
        <v>171</v>
      </c>
      <c r="E2457" s="1" t="s">
        <v>6</v>
      </c>
      <c r="F2457">
        <v>5</v>
      </c>
      <c r="G2457" s="1" t="str">
        <f>Ocupacao_DW[[#This Row],[data]]&amp;Ocupacao_DW[[#This Row],[profissional_id]]&amp;Ocupacao_DW[[#This Row],[local_id]]</f>
        <v>44642735</v>
      </c>
      <c r="H2457" s="1">
        <f>_xlfn.XLOOKUP(Ocupacao_DW[[#This Row],[Concat]],Vagas!$H:$H,Vagas!$D:$D,"",0)</f>
        <v>0</v>
      </c>
    </row>
    <row r="2458" spans="1:8" x14ac:dyDescent="0.25">
      <c r="A2458" s="2">
        <v>44637</v>
      </c>
      <c r="B2458" s="1"/>
      <c r="C2458">
        <v>74</v>
      </c>
      <c r="D2458" s="1" t="s">
        <v>182</v>
      </c>
      <c r="E2458" s="1" t="s">
        <v>6</v>
      </c>
      <c r="F2458">
        <v>7</v>
      </c>
      <c r="G2458" s="1" t="str">
        <f>Ocupacao_DW[[#This Row],[data]]&amp;Ocupacao_DW[[#This Row],[profissional_id]]&amp;Ocupacao_DW[[#This Row],[local_id]]</f>
        <v>44637747</v>
      </c>
      <c r="H2458" s="1">
        <f>_xlfn.XLOOKUP(Ocupacao_DW[[#This Row],[Concat]],Vagas!$H:$H,Vagas!$D:$D,"",0)</f>
        <v>0</v>
      </c>
    </row>
    <row r="2459" spans="1:8" x14ac:dyDescent="0.25">
      <c r="A2459" s="2">
        <v>44637</v>
      </c>
      <c r="B2459" s="1"/>
      <c r="C2459">
        <v>74</v>
      </c>
      <c r="D2459" s="1" t="s">
        <v>182</v>
      </c>
      <c r="E2459" s="1" t="s">
        <v>6</v>
      </c>
      <c r="F2459">
        <v>7</v>
      </c>
      <c r="G2459" s="1" t="str">
        <f>Ocupacao_DW[[#This Row],[data]]&amp;Ocupacao_DW[[#This Row],[profissional_id]]&amp;Ocupacao_DW[[#This Row],[local_id]]</f>
        <v>44637747</v>
      </c>
      <c r="H2459" s="1">
        <f>_xlfn.XLOOKUP(Ocupacao_DW[[#This Row],[Concat]],Vagas!$H:$H,Vagas!$D:$D,"",0)</f>
        <v>0</v>
      </c>
    </row>
    <row r="2460" spans="1:8" x14ac:dyDescent="0.25">
      <c r="A2460" s="2">
        <v>44635</v>
      </c>
      <c r="B2460" s="1"/>
      <c r="C2460">
        <v>266</v>
      </c>
      <c r="D2460" s="1" t="s">
        <v>201</v>
      </c>
      <c r="E2460" s="1" t="s">
        <v>4</v>
      </c>
      <c r="F2460">
        <v>42</v>
      </c>
      <c r="G2460" s="1" t="str">
        <f>Ocupacao_DW[[#This Row],[data]]&amp;Ocupacao_DW[[#This Row],[profissional_id]]&amp;Ocupacao_DW[[#This Row],[local_id]]</f>
        <v>4463526642</v>
      </c>
      <c r="H2460" s="1">
        <f>_xlfn.XLOOKUP(Ocupacao_DW[[#This Row],[Concat]],Vagas!$H:$H,Vagas!$D:$D,"",0)</f>
        <v>0</v>
      </c>
    </row>
    <row r="2461" spans="1:8" x14ac:dyDescent="0.25">
      <c r="A2461" s="2">
        <v>44635</v>
      </c>
      <c r="B2461" s="1" t="s">
        <v>69</v>
      </c>
      <c r="C2461">
        <v>13249</v>
      </c>
      <c r="D2461" s="1" t="s">
        <v>178</v>
      </c>
      <c r="E2461" s="1" t="s">
        <v>4</v>
      </c>
      <c r="F2461">
        <v>45</v>
      </c>
      <c r="G2461" s="1" t="str">
        <f>Ocupacao_DW[[#This Row],[data]]&amp;Ocupacao_DW[[#This Row],[profissional_id]]&amp;Ocupacao_DW[[#This Row],[local_id]]</f>
        <v>446351324945</v>
      </c>
      <c r="H2461" s="1">
        <f>_xlfn.XLOOKUP(Ocupacao_DW[[#This Row],[Concat]],Vagas!$H:$H,Vagas!$D:$D,"",0)</f>
        <v>0</v>
      </c>
    </row>
    <row r="2462" spans="1:8" x14ac:dyDescent="0.25">
      <c r="A2462" s="2">
        <v>44642</v>
      </c>
      <c r="B2462" s="1"/>
      <c r="C2462">
        <v>12825</v>
      </c>
      <c r="D2462" s="1" t="s">
        <v>177</v>
      </c>
      <c r="E2462" s="1" t="s">
        <v>7</v>
      </c>
      <c r="F2462">
        <v>63</v>
      </c>
      <c r="G2462" s="1" t="str">
        <f>Ocupacao_DW[[#This Row],[data]]&amp;Ocupacao_DW[[#This Row],[profissional_id]]&amp;Ocupacao_DW[[#This Row],[local_id]]</f>
        <v>446421282563</v>
      </c>
      <c r="H2462" s="1">
        <f>_xlfn.XLOOKUP(Ocupacao_DW[[#This Row],[Concat]],Vagas!$H:$H,Vagas!$D:$D,"",0)</f>
        <v>0</v>
      </c>
    </row>
    <row r="2463" spans="1:8" x14ac:dyDescent="0.25">
      <c r="A2463" s="2">
        <v>44638</v>
      </c>
      <c r="B2463" s="1"/>
      <c r="C2463">
        <v>3502</v>
      </c>
      <c r="D2463" s="1" t="s">
        <v>214</v>
      </c>
      <c r="E2463" s="1" t="s">
        <v>7</v>
      </c>
      <c r="F2463">
        <v>63</v>
      </c>
      <c r="G2463" s="1" t="str">
        <f>Ocupacao_DW[[#This Row],[data]]&amp;Ocupacao_DW[[#This Row],[profissional_id]]&amp;Ocupacao_DW[[#This Row],[local_id]]</f>
        <v>44638350263</v>
      </c>
      <c r="H2463" s="1" t="str">
        <f>_xlfn.XLOOKUP(Ocupacao_DW[[#This Row],[Concat]],Vagas!$H:$H,Vagas!$D:$D,"",0)</f>
        <v/>
      </c>
    </row>
    <row r="2464" spans="1:8" x14ac:dyDescent="0.25">
      <c r="A2464" s="2">
        <v>44638</v>
      </c>
      <c r="B2464" s="1"/>
      <c r="C2464">
        <v>3502</v>
      </c>
      <c r="D2464" s="1" t="s">
        <v>214</v>
      </c>
      <c r="E2464" s="1" t="s">
        <v>7</v>
      </c>
      <c r="F2464">
        <v>63</v>
      </c>
      <c r="G2464" s="1" t="str">
        <f>Ocupacao_DW[[#This Row],[data]]&amp;Ocupacao_DW[[#This Row],[profissional_id]]&amp;Ocupacao_DW[[#This Row],[local_id]]</f>
        <v>44638350263</v>
      </c>
      <c r="H2464" s="1" t="str">
        <f>_xlfn.XLOOKUP(Ocupacao_DW[[#This Row],[Concat]],Vagas!$H:$H,Vagas!$D:$D,"",0)</f>
        <v/>
      </c>
    </row>
    <row r="2465" spans="1:8" x14ac:dyDescent="0.25">
      <c r="A2465" s="2">
        <v>44641</v>
      </c>
      <c r="B2465" s="1"/>
      <c r="C2465">
        <v>13249</v>
      </c>
      <c r="D2465" s="1" t="s">
        <v>178</v>
      </c>
      <c r="E2465" s="1" t="s">
        <v>4</v>
      </c>
      <c r="F2465">
        <v>45</v>
      </c>
      <c r="G2465" s="1" t="str">
        <f>Ocupacao_DW[[#This Row],[data]]&amp;Ocupacao_DW[[#This Row],[profissional_id]]&amp;Ocupacao_DW[[#This Row],[local_id]]</f>
        <v>446411324945</v>
      </c>
      <c r="H2465" s="1">
        <f>_xlfn.XLOOKUP(Ocupacao_DW[[#This Row],[Concat]],Vagas!$H:$H,Vagas!$D:$D,"",0)</f>
        <v>0</v>
      </c>
    </row>
    <row r="2466" spans="1:8" x14ac:dyDescent="0.25">
      <c r="A2466" s="2">
        <v>44635</v>
      </c>
      <c r="B2466" s="1"/>
      <c r="C2466">
        <v>10600</v>
      </c>
      <c r="D2466" s="1" t="s">
        <v>248</v>
      </c>
      <c r="E2466" s="1"/>
      <c r="F2466">
        <v>0</v>
      </c>
      <c r="G2466" s="1" t="str">
        <f>Ocupacao_DW[[#This Row],[data]]&amp;Ocupacao_DW[[#This Row],[profissional_id]]&amp;Ocupacao_DW[[#This Row],[local_id]]</f>
        <v>44635106000</v>
      </c>
      <c r="H2466" s="1" t="str">
        <f>_xlfn.XLOOKUP(Ocupacao_DW[[#This Row],[Concat]],Vagas!$H:$H,Vagas!$D:$D,"",0)</f>
        <v/>
      </c>
    </row>
    <row r="2467" spans="1:8" x14ac:dyDescent="0.25">
      <c r="A2467" s="2">
        <v>44635</v>
      </c>
      <c r="B2467" s="1"/>
      <c r="C2467">
        <v>13249</v>
      </c>
      <c r="D2467" s="1" t="s">
        <v>178</v>
      </c>
      <c r="E2467" s="1" t="s">
        <v>4</v>
      </c>
      <c r="F2467">
        <v>45</v>
      </c>
      <c r="G2467" s="1" t="str">
        <f>Ocupacao_DW[[#This Row],[data]]&amp;Ocupacao_DW[[#This Row],[profissional_id]]&amp;Ocupacao_DW[[#This Row],[local_id]]</f>
        <v>446351324945</v>
      </c>
      <c r="H2467" s="1">
        <f>_xlfn.XLOOKUP(Ocupacao_DW[[#This Row],[Concat]],Vagas!$H:$H,Vagas!$D:$D,"",0)</f>
        <v>0</v>
      </c>
    </row>
    <row r="2468" spans="1:8" x14ac:dyDescent="0.25">
      <c r="A2468" s="2">
        <v>44641</v>
      </c>
      <c r="B2468" s="1"/>
      <c r="C2468">
        <v>6392</v>
      </c>
      <c r="D2468" s="1" t="s">
        <v>173</v>
      </c>
      <c r="E2468" s="1" t="s">
        <v>6</v>
      </c>
      <c r="F2468">
        <v>5</v>
      </c>
      <c r="G2468" s="1" t="str">
        <f>Ocupacao_DW[[#This Row],[data]]&amp;Ocupacao_DW[[#This Row],[profissional_id]]&amp;Ocupacao_DW[[#This Row],[local_id]]</f>
        <v>4464163925</v>
      </c>
      <c r="H2468" s="1">
        <f>_xlfn.XLOOKUP(Ocupacao_DW[[#This Row],[Concat]],Vagas!$H:$H,Vagas!$D:$D,"",0)</f>
        <v>0</v>
      </c>
    </row>
    <row r="2469" spans="1:8" x14ac:dyDescent="0.25">
      <c r="A2469" s="2">
        <v>44641</v>
      </c>
      <c r="B2469" s="1"/>
      <c r="C2469">
        <v>12369</v>
      </c>
      <c r="D2469" s="1" t="s">
        <v>195</v>
      </c>
      <c r="E2469" s="1" t="s">
        <v>4</v>
      </c>
      <c r="F2469">
        <v>43</v>
      </c>
      <c r="G2469" s="1" t="str">
        <f>Ocupacao_DW[[#This Row],[data]]&amp;Ocupacao_DW[[#This Row],[profissional_id]]&amp;Ocupacao_DW[[#This Row],[local_id]]</f>
        <v>446411236943</v>
      </c>
      <c r="H2469" s="1">
        <f>_xlfn.XLOOKUP(Ocupacao_DW[[#This Row],[Concat]],Vagas!$H:$H,Vagas!$D:$D,"",0)</f>
        <v>0</v>
      </c>
    </row>
    <row r="2470" spans="1:8" x14ac:dyDescent="0.25">
      <c r="A2470" s="2">
        <v>44642</v>
      </c>
      <c r="B2470" s="1"/>
      <c r="C2470">
        <v>14237</v>
      </c>
      <c r="D2470" s="1" t="s">
        <v>186</v>
      </c>
      <c r="E2470" s="1" t="s">
        <v>4</v>
      </c>
      <c r="F2470">
        <v>47</v>
      </c>
      <c r="G2470" s="1" t="str">
        <f>Ocupacao_DW[[#This Row],[data]]&amp;Ocupacao_DW[[#This Row],[profissional_id]]&amp;Ocupacao_DW[[#This Row],[local_id]]</f>
        <v>446421423747</v>
      </c>
      <c r="H2470" s="1">
        <f>_xlfn.XLOOKUP(Ocupacao_DW[[#This Row],[Concat]],Vagas!$H:$H,Vagas!$D:$D,"",0)</f>
        <v>0</v>
      </c>
    </row>
    <row r="2471" spans="1:8" x14ac:dyDescent="0.25">
      <c r="A2471" s="2">
        <v>44642</v>
      </c>
      <c r="B2471" s="1"/>
      <c r="C2471">
        <v>14237</v>
      </c>
      <c r="D2471" s="1" t="s">
        <v>186</v>
      </c>
      <c r="E2471" s="1" t="s">
        <v>4</v>
      </c>
      <c r="F2471">
        <v>47</v>
      </c>
      <c r="G2471" s="1" t="str">
        <f>Ocupacao_DW[[#This Row],[data]]&amp;Ocupacao_DW[[#This Row],[profissional_id]]&amp;Ocupacao_DW[[#This Row],[local_id]]</f>
        <v>446421423747</v>
      </c>
      <c r="H2471" s="1">
        <f>_xlfn.XLOOKUP(Ocupacao_DW[[#This Row],[Concat]],Vagas!$H:$H,Vagas!$D:$D,"",0)</f>
        <v>0</v>
      </c>
    </row>
    <row r="2472" spans="1:8" x14ac:dyDescent="0.25">
      <c r="A2472" s="2">
        <v>44639</v>
      </c>
      <c r="B2472" s="1"/>
      <c r="C2472">
        <v>4887</v>
      </c>
      <c r="D2472" s="1" t="s">
        <v>168</v>
      </c>
      <c r="E2472" s="1" t="s">
        <v>5</v>
      </c>
      <c r="F2472">
        <v>18</v>
      </c>
      <c r="G2472" s="1" t="str">
        <f>Ocupacao_DW[[#This Row],[data]]&amp;Ocupacao_DW[[#This Row],[profissional_id]]&amp;Ocupacao_DW[[#This Row],[local_id]]</f>
        <v>44639488718</v>
      </c>
      <c r="H2472" s="1">
        <f>_xlfn.XLOOKUP(Ocupacao_DW[[#This Row],[Concat]],Vagas!$H:$H,Vagas!$D:$D,"",0)</f>
        <v>0</v>
      </c>
    </row>
    <row r="2473" spans="1:8" x14ac:dyDescent="0.25">
      <c r="A2473" s="2">
        <v>44636</v>
      </c>
      <c r="B2473" s="1"/>
      <c r="C2473">
        <v>17859</v>
      </c>
      <c r="D2473" s="1" t="s">
        <v>212</v>
      </c>
      <c r="E2473" s="1" t="s">
        <v>6</v>
      </c>
      <c r="F2473">
        <v>7</v>
      </c>
      <c r="G2473" s="1" t="str">
        <f>Ocupacao_DW[[#This Row],[data]]&amp;Ocupacao_DW[[#This Row],[profissional_id]]&amp;Ocupacao_DW[[#This Row],[local_id]]</f>
        <v>44636178597</v>
      </c>
      <c r="H2473" s="1">
        <f>_xlfn.XLOOKUP(Ocupacao_DW[[#This Row],[Concat]],Vagas!$H:$H,Vagas!$D:$D,"",0)</f>
        <v>0</v>
      </c>
    </row>
    <row r="2474" spans="1:8" x14ac:dyDescent="0.25">
      <c r="A2474" s="2">
        <v>44642</v>
      </c>
      <c r="B2474" s="1"/>
      <c r="C2474">
        <v>73</v>
      </c>
      <c r="D2474" s="1" t="s">
        <v>171</v>
      </c>
      <c r="E2474" s="1" t="s">
        <v>6</v>
      </c>
      <c r="F2474">
        <v>5</v>
      </c>
      <c r="G2474" s="1" t="str">
        <f>Ocupacao_DW[[#This Row],[data]]&amp;Ocupacao_DW[[#This Row],[profissional_id]]&amp;Ocupacao_DW[[#This Row],[local_id]]</f>
        <v>44642735</v>
      </c>
      <c r="H2474" s="1">
        <f>_xlfn.XLOOKUP(Ocupacao_DW[[#This Row],[Concat]],Vagas!$H:$H,Vagas!$D:$D,"",0)</f>
        <v>0</v>
      </c>
    </row>
    <row r="2475" spans="1:8" x14ac:dyDescent="0.25">
      <c r="A2475" s="2">
        <v>44643</v>
      </c>
      <c r="B2475" s="1" t="s">
        <v>55</v>
      </c>
      <c r="C2475">
        <v>73</v>
      </c>
      <c r="D2475" s="1" t="s">
        <v>171</v>
      </c>
      <c r="E2475" s="1" t="s">
        <v>6</v>
      </c>
      <c r="F2475">
        <v>5</v>
      </c>
      <c r="G2475" s="1" t="str">
        <f>Ocupacao_DW[[#This Row],[data]]&amp;Ocupacao_DW[[#This Row],[profissional_id]]&amp;Ocupacao_DW[[#This Row],[local_id]]</f>
        <v>44643735</v>
      </c>
      <c r="H2475" s="1">
        <f>_xlfn.XLOOKUP(Ocupacao_DW[[#This Row],[Concat]],Vagas!$H:$H,Vagas!$D:$D,"",0)</f>
        <v>0</v>
      </c>
    </row>
    <row r="2476" spans="1:8" x14ac:dyDescent="0.25">
      <c r="A2476" s="2">
        <v>44643</v>
      </c>
      <c r="B2476" s="1"/>
      <c r="C2476">
        <v>74</v>
      </c>
      <c r="D2476" s="1" t="s">
        <v>182</v>
      </c>
      <c r="E2476" s="1" t="s">
        <v>6</v>
      </c>
      <c r="F2476">
        <v>7</v>
      </c>
      <c r="G2476" s="1" t="str">
        <f>Ocupacao_DW[[#This Row],[data]]&amp;Ocupacao_DW[[#This Row],[profissional_id]]&amp;Ocupacao_DW[[#This Row],[local_id]]</f>
        <v>44643747</v>
      </c>
      <c r="H2476" s="1">
        <f>_xlfn.XLOOKUP(Ocupacao_DW[[#This Row],[Concat]],Vagas!$H:$H,Vagas!$D:$D,"",0)</f>
        <v>0</v>
      </c>
    </row>
    <row r="2477" spans="1:8" x14ac:dyDescent="0.25">
      <c r="A2477" s="2">
        <v>44641</v>
      </c>
      <c r="B2477" s="1"/>
      <c r="C2477">
        <v>2984</v>
      </c>
      <c r="D2477" s="1" t="s">
        <v>185</v>
      </c>
      <c r="E2477" s="1" t="s">
        <v>6</v>
      </c>
      <c r="F2477">
        <v>7</v>
      </c>
      <c r="G2477" s="1" t="str">
        <f>Ocupacao_DW[[#This Row],[data]]&amp;Ocupacao_DW[[#This Row],[profissional_id]]&amp;Ocupacao_DW[[#This Row],[local_id]]</f>
        <v>4464129847</v>
      </c>
      <c r="H2477" s="1">
        <f>_xlfn.XLOOKUP(Ocupacao_DW[[#This Row],[Concat]],Vagas!$H:$H,Vagas!$D:$D,"",0)</f>
        <v>0</v>
      </c>
    </row>
    <row r="2478" spans="1:8" x14ac:dyDescent="0.25">
      <c r="A2478" s="2">
        <v>44639</v>
      </c>
      <c r="B2478" s="1"/>
      <c r="C2478">
        <v>6046</v>
      </c>
      <c r="D2478" s="1" t="s">
        <v>222</v>
      </c>
      <c r="E2478" s="1" t="s">
        <v>4</v>
      </c>
      <c r="F2478">
        <v>46</v>
      </c>
      <c r="G2478" s="1" t="str">
        <f>Ocupacao_DW[[#This Row],[data]]&amp;Ocupacao_DW[[#This Row],[profissional_id]]&amp;Ocupacao_DW[[#This Row],[local_id]]</f>
        <v>44639604646</v>
      </c>
      <c r="H2478" s="1">
        <f>_xlfn.XLOOKUP(Ocupacao_DW[[#This Row],[Concat]],Vagas!$H:$H,Vagas!$D:$D,"",0)</f>
        <v>0</v>
      </c>
    </row>
    <row r="2479" spans="1:8" x14ac:dyDescent="0.25">
      <c r="A2479" s="2">
        <v>44643</v>
      </c>
      <c r="B2479" s="1"/>
      <c r="C2479">
        <v>73</v>
      </c>
      <c r="D2479" s="1" t="s">
        <v>171</v>
      </c>
      <c r="E2479" s="1" t="s">
        <v>6</v>
      </c>
      <c r="F2479">
        <v>5</v>
      </c>
      <c r="G2479" s="1" t="str">
        <f>Ocupacao_DW[[#This Row],[data]]&amp;Ocupacao_DW[[#This Row],[profissional_id]]&amp;Ocupacao_DW[[#This Row],[local_id]]</f>
        <v>44643735</v>
      </c>
      <c r="H2479" s="1">
        <f>_xlfn.XLOOKUP(Ocupacao_DW[[#This Row],[Concat]],Vagas!$H:$H,Vagas!$D:$D,"",0)</f>
        <v>0</v>
      </c>
    </row>
    <row r="2480" spans="1:8" x14ac:dyDescent="0.25">
      <c r="A2480" s="2">
        <v>44637</v>
      </c>
      <c r="B2480" s="1"/>
      <c r="C2480">
        <v>12426</v>
      </c>
      <c r="D2480" s="1" t="s">
        <v>215</v>
      </c>
      <c r="E2480" s="1" t="s">
        <v>6</v>
      </c>
      <c r="F2480">
        <v>5</v>
      </c>
      <c r="G2480" s="1" t="str">
        <f>Ocupacao_DW[[#This Row],[data]]&amp;Ocupacao_DW[[#This Row],[profissional_id]]&amp;Ocupacao_DW[[#This Row],[local_id]]</f>
        <v>44637124265</v>
      </c>
      <c r="H2480" s="1">
        <f>_xlfn.XLOOKUP(Ocupacao_DW[[#This Row],[Concat]],Vagas!$H:$H,Vagas!$D:$D,"",0)</f>
        <v>0</v>
      </c>
    </row>
    <row r="2481" spans="1:8" x14ac:dyDescent="0.25">
      <c r="A2481" s="2">
        <v>44643</v>
      </c>
      <c r="B2481" s="1"/>
      <c r="C2481">
        <v>74</v>
      </c>
      <c r="D2481" s="1" t="s">
        <v>182</v>
      </c>
      <c r="E2481" s="1" t="s">
        <v>6</v>
      </c>
      <c r="F2481">
        <v>7</v>
      </c>
      <c r="G2481" s="1" t="str">
        <f>Ocupacao_DW[[#This Row],[data]]&amp;Ocupacao_DW[[#This Row],[profissional_id]]&amp;Ocupacao_DW[[#This Row],[local_id]]</f>
        <v>44643747</v>
      </c>
      <c r="H2481" s="1">
        <f>_xlfn.XLOOKUP(Ocupacao_DW[[#This Row],[Concat]],Vagas!$H:$H,Vagas!$D:$D,"",0)</f>
        <v>0</v>
      </c>
    </row>
    <row r="2482" spans="1:8" x14ac:dyDescent="0.25">
      <c r="A2482" s="2">
        <v>44635</v>
      </c>
      <c r="B2482" s="1"/>
      <c r="C2482">
        <v>110</v>
      </c>
      <c r="D2482" s="1" t="s">
        <v>193</v>
      </c>
      <c r="E2482" s="1" t="s">
        <v>4</v>
      </c>
      <c r="F2482">
        <v>334</v>
      </c>
      <c r="G2482" s="1" t="str">
        <f>Ocupacao_DW[[#This Row],[data]]&amp;Ocupacao_DW[[#This Row],[profissional_id]]&amp;Ocupacao_DW[[#This Row],[local_id]]</f>
        <v>44635110334</v>
      </c>
      <c r="H2482" s="1">
        <f>_xlfn.XLOOKUP(Ocupacao_DW[[#This Row],[Concat]],Vagas!$H:$H,Vagas!$D:$D,"",0)</f>
        <v>0</v>
      </c>
    </row>
    <row r="2483" spans="1:8" x14ac:dyDescent="0.25">
      <c r="A2483" s="2">
        <v>44636</v>
      </c>
      <c r="B2483" s="1"/>
      <c r="C2483">
        <v>57</v>
      </c>
      <c r="D2483" s="1" t="s">
        <v>169</v>
      </c>
      <c r="E2483" s="1"/>
      <c r="F2483">
        <v>0</v>
      </c>
      <c r="G2483" s="1" t="str">
        <f>Ocupacao_DW[[#This Row],[data]]&amp;Ocupacao_DW[[#This Row],[profissional_id]]&amp;Ocupacao_DW[[#This Row],[local_id]]</f>
        <v>44636570</v>
      </c>
      <c r="H2483" s="1" t="str">
        <f>_xlfn.XLOOKUP(Ocupacao_DW[[#This Row],[Concat]],Vagas!$H:$H,Vagas!$D:$D,"",0)</f>
        <v/>
      </c>
    </row>
    <row r="2484" spans="1:8" x14ac:dyDescent="0.25">
      <c r="A2484" s="2">
        <v>44635</v>
      </c>
      <c r="B2484" s="1" t="s">
        <v>47</v>
      </c>
      <c r="C2484">
        <v>9111</v>
      </c>
      <c r="D2484" s="1" t="s">
        <v>206</v>
      </c>
      <c r="E2484" s="1" t="s">
        <v>4</v>
      </c>
      <c r="F2484">
        <v>335</v>
      </c>
      <c r="G2484" s="1" t="str">
        <f>Ocupacao_DW[[#This Row],[data]]&amp;Ocupacao_DW[[#This Row],[profissional_id]]&amp;Ocupacao_DW[[#This Row],[local_id]]</f>
        <v>446359111335</v>
      </c>
      <c r="H2484" s="1">
        <f>_xlfn.XLOOKUP(Ocupacao_DW[[#This Row],[Concat]],Vagas!$H:$H,Vagas!$D:$D,"",0)</f>
        <v>0</v>
      </c>
    </row>
    <row r="2485" spans="1:8" x14ac:dyDescent="0.25">
      <c r="A2485" s="2">
        <v>44650</v>
      </c>
      <c r="B2485" s="1"/>
      <c r="C2485">
        <v>67</v>
      </c>
      <c r="D2485" s="1" t="s">
        <v>172</v>
      </c>
      <c r="E2485" s="1" t="s">
        <v>6</v>
      </c>
      <c r="F2485">
        <v>8</v>
      </c>
      <c r="G2485" s="1" t="str">
        <f>Ocupacao_DW[[#This Row],[data]]&amp;Ocupacao_DW[[#This Row],[profissional_id]]&amp;Ocupacao_DW[[#This Row],[local_id]]</f>
        <v>44650678</v>
      </c>
      <c r="H2485" s="1">
        <f>_xlfn.XLOOKUP(Ocupacao_DW[[#This Row],[Concat]],Vagas!$H:$H,Vagas!$D:$D,"",0)</f>
        <v>0</v>
      </c>
    </row>
    <row r="2486" spans="1:8" x14ac:dyDescent="0.25">
      <c r="A2486" s="2">
        <v>44643</v>
      </c>
      <c r="B2486" s="1"/>
      <c r="C2486">
        <v>74</v>
      </c>
      <c r="D2486" s="1" t="s">
        <v>182</v>
      </c>
      <c r="E2486" s="1" t="s">
        <v>6</v>
      </c>
      <c r="F2486">
        <v>7</v>
      </c>
      <c r="G2486" s="1" t="str">
        <f>Ocupacao_DW[[#This Row],[data]]&amp;Ocupacao_DW[[#This Row],[profissional_id]]&amp;Ocupacao_DW[[#This Row],[local_id]]</f>
        <v>44643747</v>
      </c>
      <c r="H2486" s="1">
        <f>_xlfn.XLOOKUP(Ocupacao_DW[[#This Row],[Concat]],Vagas!$H:$H,Vagas!$D:$D,"",0)</f>
        <v>0</v>
      </c>
    </row>
    <row r="2487" spans="1:8" x14ac:dyDescent="0.25">
      <c r="A2487" s="2">
        <v>44636</v>
      </c>
      <c r="B2487" s="1"/>
      <c r="C2487">
        <v>2396</v>
      </c>
      <c r="D2487" s="1" t="s">
        <v>197</v>
      </c>
      <c r="E2487" s="1"/>
      <c r="F2487">
        <v>0</v>
      </c>
      <c r="G2487" s="1" t="str">
        <f>Ocupacao_DW[[#This Row],[data]]&amp;Ocupacao_DW[[#This Row],[profissional_id]]&amp;Ocupacao_DW[[#This Row],[local_id]]</f>
        <v>4463623960</v>
      </c>
      <c r="H2487" s="1" t="str">
        <f>_xlfn.XLOOKUP(Ocupacao_DW[[#This Row],[Concat]],Vagas!$H:$H,Vagas!$D:$D,"",0)</f>
        <v/>
      </c>
    </row>
    <row r="2488" spans="1:8" x14ac:dyDescent="0.25">
      <c r="A2488" s="2">
        <v>44635</v>
      </c>
      <c r="B2488" s="1"/>
      <c r="C2488">
        <v>13249</v>
      </c>
      <c r="D2488" s="1" t="s">
        <v>178</v>
      </c>
      <c r="E2488" s="1" t="s">
        <v>4</v>
      </c>
      <c r="F2488">
        <v>45</v>
      </c>
      <c r="G2488" s="1" t="str">
        <f>Ocupacao_DW[[#This Row],[data]]&amp;Ocupacao_DW[[#This Row],[profissional_id]]&amp;Ocupacao_DW[[#This Row],[local_id]]</f>
        <v>446351324945</v>
      </c>
      <c r="H2488" s="1">
        <f>_xlfn.XLOOKUP(Ocupacao_DW[[#This Row],[Concat]],Vagas!$H:$H,Vagas!$D:$D,"",0)</f>
        <v>0</v>
      </c>
    </row>
    <row r="2489" spans="1:8" x14ac:dyDescent="0.25">
      <c r="A2489" s="2">
        <v>44635</v>
      </c>
      <c r="B2489" s="1" t="s">
        <v>52</v>
      </c>
      <c r="C2489">
        <v>13061</v>
      </c>
      <c r="D2489" s="1" t="s">
        <v>232</v>
      </c>
      <c r="E2489" s="1" t="s">
        <v>6</v>
      </c>
      <c r="F2489">
        <v>9</v>
      </c>
      <c r="G2489" s="1" t="str">
        <f>Ocupacao_DW[[#This Row],[data]]&amp;Ocupacao_DW[[#This Row],[profissional_id]]&amp;Ocupacao_DW[[#This Row],[local_id]]</f>
        <v>44635130619</v>
      </c>
      <c r="H2489" s="1">
        <f>_xlfn.XLOOKUP(Ocupacao_DW[[#This Row],[Concat]],Vagas!$H:$H,Vagas!$D:$D,"",0)</f>
        <v>0</v>
      </c>
    </row>
    <row r="2490" spans="1:8" x14ac:dyDescent="0.25">
      <c r="A2490" s="2">
        <v>44637</v>
      </c>
      <c r="B2490" s="1"/>
      <c r="C2490">
        <v>8598</v>
      </c>
      <c r="D2490" s="1" t="s">
        <v>228</v>
      </c>
      <c r="E2490" s="1"/>
      <c r="F2490">
        <v>0</v>
      </c>
      <c r="G2490" s="1" t="str">
        <f>Ocupacao_DW[[#This Row],[data]]&amp;Ocupacao_DW[[#This Row],[profissional_id]]&amp;Ocupacao_DW[[#This Row],[local_id]]</f>
        <v>4463785980</v>
      </c>
      <c r="H2490" s="1" t="str">
        <f>_xlfn.XLOOKUP(Ocupacao_DW[[#This Row],[Concat]],Vagas!$H:$H,Vagas!$D:$D,"",0)</f>
        <v/>
      </c>
    </row>
    <row r="2491" spans="1:8" x14ac:dyDescent="0.25">
      <c r="A2491" s="2">
        <v>44639</v>
      </c>
      <c r="B2491" s="1"/>
      <c r="C2491">
        <v>4887</v>
      </c>
      <c r="D2491" s="1" t="s">
        <v>168</v>
      </c>
      <c r="E2491" s="1" t="s">
        <v>5</v>
      </c>
      <c r="F2491">
        <v>18</v>
      </c>
      <c r="G2491" s="1" t="str">
        <f>Ocupacao_DW[[#This Row],[data]]&amp;Ocupacao_DW[[#This Row],[profissional_id]]&amp;Ocupacao_DW[[#This Row],[local_id]]</f>
        <v>44639488718</v>
      </c>
      <c r="H2491" s="1">
        <f>_xlfn.XLOOKUP(Ocupacao_DW[[#This Row],[Concat]],Vagas!$H:$H,Vagas!$D:$D,"",0)</f>
        <v>0</v>
      </c>
    </row>
    <row r="2492" spans="1:8" x14ac:dyDescent="0.25">
      <c r="A2492" s="2">
        <v>44636</v>
      </c>
      <c r="B2492" s="1"/>
      <c r="C2492">
        <v>5767</v>
      </c>
      <c r="D2492" s="1" t="s">
        <v>239</v>
      </c>
      <c r="E2492" s="1" t="s">
        <v>4</v>
      </c>
      <c r="F2492">
        <v>43</v>
      </c>
      <c r="G2492" s="1" t="str">
        <f>Ocupacao_DW[[#This Row],[data]]&amp;Ocupacao_DW[[#This Row],[profissional_id]]&amp;Ocupacao_DW[[#This Row],[local_id]]</f>
        <v>44636576743</v>
      </c>
      <c r="H2492" s="1">
        <f>_xlfn.XLOOKUP(Ocupacao_DW[[#This Row],[Concat]],Vagas!$H:$H,Vagas!$D:$D,"",0)</f>
        <v>0</v>
      </c>
    </row>
    <row r="2493" spans="1:8" x14ac:dyDescent="0.25">
      <c r="A2493" s="2">
        <v>44636</v>
      </c>
      <c r="B2493" s="1"/>
      <c r="C2493">
        <v>1794</v>
      </c>
      <c r="D2493" s="1" t="s">
        <v>235</v>
      </c>
      <c r="E2493" s="1" t="s">
        <v>4</v>
      </c>
      <c r="F2493">
        <v>49</v>
      </c>
      <c r="G2493" s="1" t="str">
        <f>Ocupacao_DW[[#This Row],[data]]&amp;Ocupacao_DW[[#This Row],[profissional_id]]&amp;Ocupacao_DW[[#This Row],[local_id]]</f>
        <v>44636179449</v>
      </c>
      <c r="H2493" s="1">
        <f>_xlfn.XLOOKUP(Ocupacao_DW[[#This Row],[Concat]],Vagas!$H:$H,Vagas!$D:$D,"",0)</f>
        <v>0</v>
      </c>
    </row>
    <row r="2494" spans="1:8" x14ac:dyDescent="0.25">
      <c r="A2494" s="2">
        <v>44637</v>
      </c>
      <c r="B2494" s="1"/>
      <c r="C2494">
        <v>266</v>
      </c>
      <c r="D2494" s="1" t="s">
        <v>201</v>
      </c>
      <c r="E2494" s="1" t="s">
        <v>4</v>
      </c>
      <c r="F2494">
        <v>42</v>
      </c>
      <c r="G2494" s="1" t="str">
        <f>Ocupacao_DW[[#This Row],[data]]&amp;Ocupacao_DW[[#This Row],[profissional_id]]&amp;Ocupacao_DW[[#This Row],[local_id]]</f>
        <v>4463726642</v>
      </c>
      <c r="H2494" s="1">
        <f>_xlfn.XLOOKUP(Ocupacao_DW[[#This Row],[Concat]],Vagas!$H:$H,Vagas!$D:$D,"",0)</f>
        <v>0</v>
      </c>
    </row>
    <row r="2495" spans="1:8" x14ac:dyDescent="0.25">
      <c r="A2495" s="2">
        <v>44637</v>
      </c>
      <c r="B2495" s="1"/>
      <c r="C2495">
        <v>10691</v>
      </c>
      <c r="D2495" s="1" t="s">
        <v>181</v>
      </c>
      <c r="E2495" s="1"/>
      <c r="F2495">
        <v>0</v>
      </c>
      <c r="G2495" s="1" t="str">
        <f>Ocupacao_DW[[#This Row],[data]]&amp;Ocupacao_DW[[#This Row],[profissional_id]]&amp;Ocupacao_DW[[#This Row],[local_id]]</f>
        <v>44637106910</v>
      </c>
      <c r="H2495" s="1" t="str">
        <f>_xlfn.XLOOKUP(Ocupacao_DW[[#This Row],[Concat]],Vagas!$H:$H,Vagas!$D:$D,"",0)</f>
        <v/>
      </c>
    </row>
    <row r="2496" spans="1:8" x14ac:dyDescent="0.25">
      <c r="A2496" s="2">
        <v>44636</v>
      </c>
      <c r="B2496" s="1" t="s">
        <v>52</v>
      </c>
      <c r="C2496">
        <v>13061</v>
      </c>
      <c r="D2496" s="1" t="s">
        <v>232</v>
      </c>
      <c r="E2496" s="1" t="s">
        <v>6</v>
      </c>
      <c r="F2496">
        <v>1</v>
      </c>
      <c r="G2496" s="1" t="str">
        <f>Ocupacao_DW[[#This Row],[data]]&amp;Ocupacao_DW[[#This Row],[profissional_id]]&amp;Ocupacao_DW[[#This Row],[local_id]]</f>
        <v>44636130611</v>
      </c>
      <c r="H2496" s="1" t="str">
        <f>_xlfn.XLOOKUP(Ocupacao_DW[[#This Row],[Concat]],Vagas!$H:$H,Vagas!$D:$D,"",0)</f>
        <v/>
      </c>
    </row>
    <row r="2497" spans="1:8" x14ac:dyDescent="0.25">
      <c r="A2497" s="2">
        <v>44635</v>
      </c>
      <c r="B2497" s="1"/>
      <c r="C2497">
        <v>111</v>
      </c>
      <c r="D2497" s="1" t="s">
        <v>199</v>
      </c>
      <c r="E2497" s="1" t="s">
        <v>4</v>
      </c>
      <c r="F2497">
        <v>51</v>
      </c>
      <c r="G2497" s="1" t="str">
        <f>Ocupacao_DW[[#This Row],[data]]&amp;Ocupacao_DW[[#This Row],[profissional_id]]&amp;Ocupacao_DW[[#This Row],[local_id]]</f>
        <v>4463511151</v>
      </c>
      <c r="H2497" s="1">
        <f>_xlfn.XLOOKUP(Ocupacao_DW[[#This Row],[Concat]],Vagas!$H:$H,Vagas!$D:$D,"",0)</f>
        <v>0</v>
      </c>
    </row>
    <row r="2498" spans="1:8" x14ac:dyDescent="0.25">
      <c r="A2498" s="2">
        <v>44636</v>
      </c>
      <c r="B2498" s="1"/>
      <c r="C2498">
        <v>5767</v>
      </c>
      <c r="D2498" s="1" t="s">
        <v>239</v>
      </c>
      <c r="E2498" s="1" t="s">
        <v>4</v>
      </c>
      <c r="F2498">
        <v>43</v>
      </c>
      <c r="G2498" s="1" t="str">
        <f>Ocupacao_DW[[#This Row],[data]]&amp;Ocupacao_DW[[#This Row],[profissional_id]]&amp;Ocupacao_DW[[#This Row],[local_id]]</f>
        <v>44636576743</v>
      </c>
      <c r="H2498" s="1">
        <f>_xlfn.XLOOKUP(Ocupacao_DW[[#This Row],[Concat]],Vagas!$H:$H,Vagas!$D:$D,"",0)</f>
        <v>0</v>
      </c>
    </row>
    <row r="2499" spans="1:8" x14ac:dyDescent="0.25">
      <c r="A2499" s="2">
        <v>44635</v>
      </c>
      <c r="B2499" s="1" t="s">
        <v>55</v>
      </c>
      <c r="C2499">
        <v>12669</v>
      </c>
      <c r="D2499" s="1" t="s">
        <v>223</v>
      </c>
      <c r="E2499" s="1" t="s">
        <v>167</v>
      </c>
      <c r="F2499">
        <v>342</v>
      </c>
      <c r="G2499" s="1" t="str">
        <f>Ocupacao_DW[[#This Row],[data]]&amp;Ocupacao_DW[[#This Row],[profissional_id]]&amp;Ocupacao_DW[[#This Row],[local_id]]</f>
        <v>4463512669342</v>
      </c>
      <c r="H2499" s="1" t="str">
        <f>_xlfn.XLOOKUP(Ocupacao_DW[[#This Row],[Concat]],Vagas!$H:$H,Vagas!$D:$D,"",0)</f>
        <v/>
      </c>
    </row>
    <row r="2500" spans="1:8" x14ac:dyDescent="0.25">
      <c r="A2500" s="2">
        <v>44641</v>
      </c>
      <c r="B2500" s="1"/>
      <c r="C2500">
        <v>6392</v>
      </c>
      <c r="D2500" s="1" t="s">
        <v>173</v>
      </c>
      <c r="E2500" s="1" t="s">
        <v>6</v>
      </c>
      <c r="F2500">
        <v>5</v>
      </c>
      <c r="G2500" s="1" t="str">
        <f>Ocupacao_DW[[#This Row],[data]]&amp;Ocupacao_DW[[#This Row],[profissional_id]]&amp;Ocupacao_DW[[#This Row],[local_id]]</f>
        <v>4464163925</v>
      </c>
      <c r="H2500" s="1">
        <f>_xlfn.XLOOKUP(Ocupacao_DW[[#This Row],[Concat]],Vagas!$H:$H,Vagas!$D:$D,"",0)</f>
        <v>0</v>
      </c>
    </row>
    <row r="2501" spans="1:8" x14ac:dyDescent="0.25">
      <c r="A2501" s="2">
        <v>44643</v>
      </c>
      <c r="B2501" s="1"/>
      <c r="C2501">
        <v>73</v>
      </c>
      <c r="D2501" s="1" t="s">
        <v>171</v>
      </c>
      <c r="E2501" s="1" t="s">
        <v>6</v>
      </c>
      <c r="F2501">
        <v>5</v>
      </c>
      <c r="G2501" s="1" t="str">
        <f>Ocupacao_DW[[#This Row],[data]]&amp;Ocupacao_DW[[#This Row],[profissional_id]]&amp;Ocupacao_DW[[#This Row],[local_id]]</f>
        <v>44643735</v>
      </c>
      <c r="H2501" s="1">
        <f>_xlfn.XLOOKUP(Ocupacao_DW[[#This Row],[Concat]],Vagas!$H:$H,Vagas!$D:$D,"",0)</f>
        <v>0</v>
      </c>
    </row>
    <row r="2502" spans="1:8" x14ac:dyDescent="0.25">
      <c r="A2502" s="2">
        <v>44635</v>
      </c>
      <c r="B2502" s="1"/>
      <c r="C2502">
        <v>13249</v>
      </c>
      <c r="D2502" s="1" t="s">
        <v>178</v>
      </c>
      <c r="E2502" s="1" t="s">
        <v>4</v>
      </c>
      <c r="F2502">
        <v>45</v>
      </c>
      <c r="G2502" s="1" t="str">
        <f>Ocupacao_DW[[#This Row],[data]]&amp;Ocupacao_DW[[#This Row],[profissional_id]]&amp;Ocupacao_DW[[#This Row],[local_id]]</f>
        <v>446351324945</v>
      </c>
      <c r="H2502" s="1">
        <f>_xlfn.XLOOKUP(Ocupacao_DW[[#This Row],[Concat]],Vagas!$H:$H,Vagas!$D:$D,"",0)</f>
        <v>0</v>
      </c>
    </row>
    <row r="2503" spans="1:8" x14ac:dyDescent="0.25">
      <c r="A2503" s="2">
        <v>44639</v>
      </c>
      <c r="B2503" s="1"/>
      <c r="C2503">
        <v>4887</v>
      </c>
      <c r="D2503" s="1" t="s">
        <v>168</v>
      </c>
      <c r="E2503" s="1" t="s">
        <v>5</v>
      </c>
      <c r="F2503">
        <v>18</v>
      </c>
      <c r="G2503" s="1" t="str">
        <f>Ocupacao_DW[[#This Row],[data]]&amp;Ocupacao_DW[[#This Row],[profissional_id]]&amp;Ocupacao_DW[[#This Row],[local_id]]</f>
        <v>44639488718</v>
      </c>
      <c r="H2503" s="1">
        <f>_xlfn.XLOOKUP(Ocupacao_DW[[#This Row],[Concat]],Vagas!$H:$H,Vagas!$D:$D,"",0)</f>
        <v>0</v>
      </c>
    </row>
    <row r="2504" spans="1:8" x14ac:dyDescent="0.25">
      <c r="A2504" s="2">
        <v>44643</v>
      </c>
      <c r="B2504" s="1"/>
      <c r="C2504">
        <v>74</v>
      </c>
      <c r="D2504" s="1" t="s">
        <v>182</v>
      </c>
      <c r="E2504" s="1" t="s">
        <v>6</v>
      </c>
      <c r="F2504">
        <v>7</v>
      </c>
      <c r="G2504" s="1" t="str">
        <f>Ocupacao_DW[[#This Row],[data]]&amp;Ocupacao_DW[[#This Row],[profissional_id]]&amp;Ocupacao_DW[[#This Row],[local_id]]</f>
        <v>44643747</v>
      </c>
      <c r="H2504" s="1">
        <f>_xlfn.XLOOKUP(Ocupacao_DW[[#This Row],[Concat]],Vagas!$H:$H,Vagas!$D:$D,"",0)</f>
        <v>0</v>
      </c>
    </row>
    <row r="2505" spans="1:8" x14ac:dyDescent="0.25">
      <c r="A2505" s="2">
        <v>44636</v>
      </c>
      <c r="B2505" s="1"/>
      <c r="C2505">
        <v>14326</v>
      </c>
      <c r="D2505" s="1" t="s">
        <v>220</v>
      </c>
      <c r="E2505" s="1"/>
      <c r="F2505">
        <v>0</v>
      </c>
      <c r="G2505" s="1" t="str">
        <f>Ocupacao_DW[[#This Row],[data]]&amp;Ocupacao_DW[[#This Row],[profissional_id]]&amp;Ocupacao_DW[[#This Row],[local_id]]</f>
        <v>44636143260</v>
      </c>
      <c r="H2505" s="1" t="str">
        <f>_xlfn.XLOOKUP(Ocupacao_DW[[#This Row],[Concat]],Vagas!$H:$H,Vagas!$D:$D,"",0)</f>
        <v/>
      </c>
    </row>
    <row r="2506" spans="1:8" x14ac:dyDescent="0.25">
      <c r="A2506" s="2">
        <v>44636</v>
      </c>
      <c r="B2506" s="1" t="s">
        <v>70</v>
      </c>
      <c r="C2506">
        <v>12519</v>
      </c>
      <c r="D2506" s="1" t="s">
        <v>176</v>
      </c>
      <c r="E2506" s="1" t="s">
        <v>4</v>
      </c>
      <c r="F2506">
        <v>41</v>
      </c>
      <c r="G2506" s="1" t="str">
        <f>Ocupacao_DW[[#This Row],[data]]&amp;Ocupacao_DW[[#This Row],[profissional_id]]&amp;Ocupacao_DW[[#This Row],[local_id]]</f>
        <v>446361251941</v>
      </c>
      <c r="H2506" s="1" t="str">
        <f>_xlfn.XLOOKUP(Ocupacao_DW[[#This Row],[Concat]],Vagas!$H:$H,Vagas!$D:$D,"",0)</f>
        <v/>
      </c>
    </row>
    <row r="2507" spans="1:8" x14ac:dyDescent="0.25">
      <c r="A2507" s="2">
        <v>44636</v>
      </c>
      <c r="B2507" s="1"/>
      <c r="C2507">
        <v>5767</v>
      </c>
      <c r="D2507" s="1" t="s">
        <v>239</v>
      </c>
      <c r="E2507" s="1" t="s">
        <v>4</v>
      </c>
      <c r="F2507">
        <v>43</v>
      </c>
      <c r="G2507" s="1" t="str">
        <f>Ocupacao_DW[[#This Row],[data]]&amp;Ocupacao_DW[[#This Row],[profissional_id]]&amp;Ocupacao_DW[[#This Row],[local_id]]</f>
        <v>44636576743</v>
      </c>
      <c r="H2507" s="1">
        <f>_xlfn.XLOOKUP(Ocupacao_DW[[#This Row],[Concat]],Vagas!$H:$H,Vagas!$D:$D,"",0)</f>
        <v>0</v>
      </c>
    </row>
    <row r="2508" spans="1:8" x14ac:dyDescent="0.25">
      <c r="A2508" s="2">
        <v>44635</v>
      </c>
      <c r="B2508" s="1"/>
      <c r="C2508">
        <v>2984</v>
      </c>
      <c r="D2508" s="1" t="s">
        <v>185</v>
      </c>
      <c r="E2508" s="1"/>
      <c r="F2508">
        <v>0</v>
      </c>
      <c r="G2508" s="1" t="str">
        <f>Ocupacao_DW[[#This Row],[data]]&amp;Ocupacao_DW[[#This Row],[profissional_id]]&amp;Ocupacao_DW[[#This Row],[local_id]]</f>
        <v>4463529840</v>
      </c>
      <c r="H2508" s="1" t="str">
        <f>_xlfn.XLOOKUP(Ocupacao_DW[[#This Row],[Concat]],Vagas!$H:$H,Vagas!$D:$D,"",0)</f>
        <v/>
      </c>
    </row>
    <row r="2509" spans="1:8" x14ac:dyDescent="0.25">
      <c r="A2509" s="2">
        <v>44637</v>
      </c>
      <c r="B2509" s="1"/>
      <c r="C2509">
        <v>3502</v>
      </c>
      <c r="D2509" s="1" t="s">
        <v>214</v>
      </c>
      <c r="E2509" s="1"/>
      <c r="F2509">
        <v>0</v>
      </c>
      <c r="G2509" s="1" t="str">
        <f>Ocupacao_DW[[#This Row],[data]]&amp;Ocupacao_DW[[#This Row],[profissional_id]]&amp;Ocupacao_DW[[#This Row],[local_id]]</f>
        <v>4463735020</v>
      </c>
      <c r="H2509" s="1" t="str">
        <f>_xlfn.XLOOKUP(Ocupacao_DW[[#This Row],[Concat]],Vagas!$H:$H,Vagas!$D:$D,"",0)</f>
        <v/>
      </c>
    </row>
    <row r="2510" spans="1:8" x14ac:dyDescent="0.25">
      <c r="A2510" s="2">
        <v>44643</v>
      </c>
      <c r="B2510" s="1"/>
      <c r="C2510">
        <v>6430</v>
      </c>
      <c r="D2510" s="1" t="s">
        <v>188</v>
      </c>
      <c r="E2510" s="1" t="s">
        <v>4</v>
      </c>
      <c r="F2510">
        <v>42</v>
      </c>
      <c r="G2510" s="1" t="str">
        <f>Ocupacao_DW[[#This Row],[data]]&amp;Ocupacao_DW[[#This Row],[profissional_id]]&amp;Ocupacao_DW[[#This Row],[local_id]]</f>
        <v>44643643042</v>
      </c>
      <c r="H2510" s="1">
        <f>_xlfn.XLOOKUP(Ocupacao_DW[[#This Row],[Concat]],Vagas!$H:$H,Vagas!$D:$D,"",0)</f>
        <v>0</v>
      </c>
    </row>
    <row r="2511" spans="1:8" x14ac:dyDescent="0.25">
      <c r="A2511" s="2">
        <v>44643</v>
      </c>
      <c r="B2511" s="1"/>
      <c r="C2511">
        <v>10691</v>
      </c>
      <c r="D2511" s="1" t="s">
        <v>181</v>
      </c>
      <c r="E2511" s="1"/>
      <c r="F2511">
        <v>0</v>
      </c>
      <c r="G2511" s="1" t="str">
        <f>Ocupacao_DW[[#This Row],[data]]&amp;Ocupacao_DW[[#This Row],[profissional_id]]&amp;Ocupacao_DW[[#This Row],[local_id]]</f>
        <v>44643106910</v>
      </c>
      <c r="H2511" s="1" t="str">
        <f>_xlfn.XLOOKUP(Ocupacao_DW[[#This Row],[Concat]],Vagas!$H:$H,Vagas!$D:$D,"",0)</f>
        <v/>
      </c>
    </row>
    <row r="2512" spans="1:8" x14ac:dyDescent="0.25">
      <c r="A2512" s="2">
        <v>44657</v>
      </c>
      <c r="B2512" s="1"/>
      <c r="C2512">
        <v>67</v>
      </c>
      <c r="D2512" s="1" t="s">
        <v>172</v>
      </c>
      <c r="E2512" s="1" t="s">
        <v>6</v>
      </c>
      <c r="F2512">
        <v>8</v>
      </c>
      <c r="G2512" s="1" t="str">
        <f>Ocupacao_DW[[#This Row],[data]]&amp;Ocupacao_DW[[#This Row],[profissional_id]]&amp;Ocupacao_DW[[#This Row],[local_id]]</f>
        <v>44657678</v>
      </c>
      <c r="H2512" s="1">
        <f>_xlfn.XLOOKUP(Ocupacao_DW[[#This Row],[Concat]],Vagas!$H:$H,Vagas!$D:$D,"",0)</f>
        <v>0</v>
      </c>
    </row>
    <row r="2513" spans="1:8" x14ac:dyDescent="0.25">
      <c r="A2513" s="2">
        <v>44637</v>
      </c>
      <c r="B2513" s="1"/>
      <c r="C2513">
        <v>8598</v>
      </c>
      <c r="D2513" s="1" t="s">
        <v>228</v>
      </c>
      <c r="E2513" s="1"/>
      <c r="F2513">
        <v>0</v>
      </c>
      <c r="G2513" s="1" t="str">
        <f>Ocupacao_DW[[#This Row],[data]]&amp;Ocupacao_DW[[#This Row],[profissional_id]]&amp;Ocupacao_DW[[#This Row],[local_id]]</f>
        <v>4463785980</v>
      </c>
      <c r="H2513" s="1" t="str">
        <f>_xlfn.XLOOKUP(Ocupacao_DW[[#This Row],[Concat]],Vagas!$H:$H,Vagas!$D:$D,"",0)</f>
        <v/>
      </c>
    </row>
    <row r="2514" spans="1:8" x14ac:dyDescent="0.25">
      <c r="A2514" s="2">
        <v>44635</v>
      </c>
      <c r="B2514" s="1" t="s">
        <v>68</v>
      </c>
      <c r="C2514">
        <v>8239</v>
      </c>
      <c r="D2514" s="1" t="s">
        <v>257</v>
      </c>
      <c r="E2514" s="1" t="s">
        <v>5</v>
      </c>
      <c r="F2514">
        <v>14</v>
      </c>
      <c r="G2514" s="1" t="str">
        <f>Ocupacao_DW[[#This Row],[data]]&amp;Ocupacao_DW[[#This Row],[profissional_id]]&amp;Ocupacao_DW[[#This Row],[local_id]]</f>
        <v>44635823914</v>
      </c>
      <c r="H2514" s="1">
        <f>_xlfn.XLOOKUP(Ocupacao_DW[[#This Row],[Concat]],Vagas!$H:$H,Vagas!$D:$D,"",0)</f>
        <v>0</v>
      </c>
    </row>
    <row r="2515" spans="1:8" x14ac:dyDescent="0.25">
      <c r="A2515" s="2">
        <v>44643</v>
      </c>
      <c r="B2515" s="1" t="s">
        <v>55</v>
      </c>
      <c r="C2515">
        <v>74</v>
      </c>
      <c r="D2515" s="1" t="s">
        <v>182</v>
      </c>
      <c r="E2515" s="1" t="s">
        <v>6</v>
      </c>
      <c r="F2515">
        <v>7</v>
      </c>
      <c r="G2515" s="1" t="str">
        <f>Ocupacao_DW[[#This Row],[data]]&amp;Ocupacao_DW[[#This Row],[profissional_id]]&amp;Ocupacao_DW[[#This Row],[local_id]]</f>
        <v>44643747</v>
      </c>
      <c r="H2515" s="1">
        <f>_xlfn.XLOOKUP(Ocupacao_DW[[#This Row],[Concat]],Vagas!$H:$H,Vagas!$D:$D,"",0)</f>
        <v>0</v>
      </c>
    </row>
    <row r="2516" spans="1:8" x14ac:dyDescent="0.25">
      <c r="A2516" s="2">
        <v>44635</v>
      </c>
      <c r="B2516" s="1" t="s">
        <v>56</v>
      </c>
      <c r="C2516">
        <v>1586</v>
      </c>
      <c r="D2516" s="1" t="s">
        <v>261</v>
      </c>
      <c r="E2516" s="1" t="s">
        <v>7</v>
      </c>
      <c r="F2516">
        <v>67</v>
      </c>
      <c r="G2516" s="1" t="str">
        <f>Ocupacao_DW[[#This Row],[data]]&amp;Ocupacao_DW[[#This Row],[profissional_id]]&amp;Ocupacao_DW[[#This Row],[local_id]]</f>
        <v>44635158667</v>
      </c>
      <c r="H2516" s="1">
        <f>_xlfn.XLOOKUP(Ocupacao_DW[[#This Row],[Concat]],Vagas!$H:$H,Vagas!$D:$D,"",0)</f>
        <v>0</v>
      </c>
    </row>
    <row r="2517" spans="1:8" x14ac:dyDescent="0.25">
      <c r="A2517" s="2">
        <v>44636</v>
      </c>
      <c r="B2517" s="1"/>
      <c r="C2517">
        <v>12679</v>
      </c>
      <c r="D2517" s="1" t="s">
        <v>192</v>
      </c>
      <c r="E2517" s="1" t="s">
        <v>200</v>
      </c>
      <c r="F2517">
        <v>82</v>
      </c>
      <c r="G2517" s="1" t="str">
        <f>Ocupacao_DW[[#This Row],[data]]&amp;Ocupacao_DW[[#This Row],[profissional_id]]&amp;Ocupacao_DW[[#This Row],[local_id]]</f>
        <v>446361267982</v>
      </c>
      <c r="H2517" s="1">
        <f>_xlfn.XLOOKUP(Ocupacao_DW[[#This Row],[Concat]],Vagas!$H:$H,Vagas!$D:$D,"",0)</f>
        <v>0</v>
      </c>
    </row>
    <row r="2518" spans="1:8" x14ac:dyDescent="0.25">
      <c r="A2518" s="2">
        <v>44641</v>
      </c>
      <c r="B2518" s="1" t="s">
        <v>55</v>
      </c>
      <c r="C2518">
        <v>6392</v>
      </c>
      <c r="D2518" s="1" t="s">
        <v>173</v>
      </c>
      <c r="E2518" s="1" t="s">
        <v>6</v>
      </c>
      <c r="F2518">
        <v>5</v>
      </c>
      <c r="G2518" s="1" t="str">
        <f>Ocupacao_DW[[#This Row],[data]]&amp;Ocupacao_DW[[#This Row],[profissional_id]]&amp;Ocupacao_DW[[#This Row],[local_id]]</f>
        <v>4464163925</v>
      </c>
      <c r="H2518" s="1">
        <f>_xlfn.XLOOKUP(Ocupacao_DW[[#This Row],[Concat]],Vagas!$H:$H,Vagas!$D:$D,"",0)</f>
        <v>0</v>
      </c>
    </row>
    <row r="2519" spans="1:8" x14ac:dyDescent="0.25">
      <c r="A2519" s="2">
        <v>44636</v>
      </c>
      <c r="B2519" s="1"/>
      <c r="C2519">
        <v>60</v>
      </c>
      <c r="D2519" s="1" t="s">
        <v>217</v>
      </c>
      <c r="E2519" s="1" t="s">
        <v>167</v>
      </c>
      <c r="F2519">
        <v>346</v>
      </c>
      <c r="G2519" s="1" t="str">
        <f>Ocupacao_DW[[#This Row],[data]]&amp;Ocupacao_DW[[#This Row],[profissional_id]]&amp;Ocupacao_DW[[#This Row],[local_id]]</f>
        <v>4463660346</v>
      </c>
      <c r="H2519" s="1">
        <f>_xlfn.XLOOKUP(Ocupacao_DW[[#This Row],[Concat]],Vagas!$H:$H,Vagas!$D:$D,"",0)</f>
        <v>0</v>
      </c>
    </row>
    <row r="2520" spans="1:8" x14ac:dyDescent="0.25">
      <c r="A2520" s="2">
        <v>44636</v>
      </c>
      <c r="B2520" s="1"/>
      <c r="C2520">
        <v>70</v>
      </c>
      <c r="D2520" s="1" t="s">
        <v>187</v>
      </c>
      <c r="E2520" s="1" t="s">
        <v>5</v>
      </c>
      <c r="F2520">
        <v>13</v>
      </c>
      <c r="G2520" s="1" t="str">
        <f>Ocupacao_DW[[#This Row],[data]]&amp;Ocupacao_DW[[#This Row],[profissional_id]]&amp;Ocupacao_DW[[#This Row],[local_id]]</f>
        <v>446367013</v>
      </c>
      <c r="H2520" s="1">
        <f>_xlfn.XLOOKUP(Ocupacao_DW[[#This Row],[Concat]],Vagas!$H:$H,Vagas!$D:$D,"",0)</f>
        <v>0</v>
      </c>
    </row>
    <row r="2521" spans="1:8" x14ac:dyDescent="0.25">
      <c r="A2521" s="2">
        <v>44635</v>
      </c>
      <c r="B2521" s="1"/>
      <c r="C2521">
        <v>2984</v>
      </c>
      <c r="D2521" s="1" t="s">
        <v>185</v>
      </c>
      <c r="E2521" s="1"/>
      <c r="F2521">
        <v>0</v>
      </c>
      <c r="G2521" s="1" t="str">
        <f>Ocupacao_DW[[#This Row],[data]]&amp;Ocupacao_DW[[#This Row],[profissional_id]]&amp;Ocupacao_DW[[#This Row],[local_id]]</f>
        <v>4463529840</v>
      </c>
      <c r="H2521" s="1" t="str">
        <f>_xlfn.XLOOKUP(Ocupacao_DW[[#This Row],[Concat]],Vagas!$H:$H,Vagas!$D:$D,"",0)</f>
        <v/>
      </c>
    </row>
    <row r="2522" spans="1:8" x14ac:dyDescent="0.25">
      <c r="A2522" s="2">
        <v>44656</v>
      </c>
      <c r="B2522" s="1"/>
      <c r="C2522">
        <v>73</v>
      </c>
      <c r="D2522" s="1" t="s">
        <v>171</v>
      </c>
      <c r="E2522" s="1" t="s">
        <v>6</v>
      </c>
      <c r="F2522">
        <v>5</v>
      </c>
      <c r="G2522" s="1" t="str">
        <f>Ocupacao_DW[[#This Row],[data]]&amp;Ocupacao_DW[[#This Row],[profissional_id]]&amp;Ocupacao_DW[[#This Row],[local_id]]</f>
        <v>44656735</v>
      </c>
      <c r="H2522" s="1">
        <f>_xlfn.XLOOKUP(Ocupacao_DW[[#This Row],[Concat]],Vagas!$H:$H,Vagas!$D:$D,"",0)</f>
        <v>0</v>
      </c>
    </row>
    <row r="2523" spans="1:8" x14ac:dyDescent="0.25">
      <c r="A2523" s="2">
        <v>44641</v>
      </c>
      <c r="B2523" s="1"/>
      <c r="C2523">
        <v>12369</v>
      </c>
      <c r="D2523" s="1" t="s">
        <v>195</v>
      </c>
      <c r="E2523" s="1" t="s">
        <v>4</v>
      </c>
      <c r="F2523">
        <v>43</v>
      </c>
      <c r="G2523" s="1" t="str">
        <f>Ocupacao_DW[[#This Row],[data]]&amp;Ocupacao_DW[[#This Row],[profissional_id]]&amp;Ocupacao_DW[[#This Row],[local_id]]</f>
        <v>446411236943</v>
      </c>
      <c r="H2523" s="1">
        <f>_xlfn.XLOOKUP(Ocupacao_DW[[#This Row],[Concat]],Vagas!$H:$H,Vagas!$D:$D,"",0)</f>
        <v>0</v>
      </c>
    </row>
    <row r="2524" spans="1:8" x14ac:dyDescent="0.25">
      <c r="A2524" s="2">
        <v>44636</v>
      </c>
      <c r="B2524" s="1"/>
      <c r="C2524">
        <v>12679</v>
      </c>
      <c r="D2524" s="1" t="s">
        <v>192</v>
      </c>
      <c r="E2524" s="1" t="s">
        <v>200</v>
      </c>
      <c r="F2524">
        <v>82</v>
      </c>
      <c r="G2524" s="1" t="str">
        <f>Ocupacao_DW[[#This Row],[data]]&amp;Ocupacao_DW[[#This Row],[profissional_id]]&amp;Ocupacao_DW[[#This Row],[local_id]]</f>
        <v>446361267982</v>
      </c>
      <c r="H2524" s="1">
        <f>_xlfn.XLOOKUP(Ocupacao_DW[[#This Row],[Concat]],Vagas!$H:$H,Vagas!$D:$D,"",0)</f>
        <v>0</v>
      </c>
    </row>
    <row r="2525" spans="1:8" x14ac:dyDescent="0.25">
      <c r="A2525" s="2">
        <v>44639</v>
      </c>
      <c r="B2525" s="1"/>
      <c r="C2525">
        <v>111</v>
      </c>
      <c r="D2525" s="1" t="s">
        <v>199</v>
      </c>
      <c r="E2525" s="1" t="s">
        <v>4</v>
      </c>
      <c r="F2525">
        <v>51</v>
      </c>
      <c r="G2525" s="1" t="str">
        <f>Ocupacao_DW[[#This Row],[data]]&amp;Ocupacao_DW[[#This Row],[profissional_id]]&amp;Ocupacao_DW[[#This Row],[local_id]]</f>
        <v>4463911151</v>
      </c>
      <c r="H2525" s="1">
        <f>_xlfn.XLOOKUP(Ocupacao_DW[[#This Row],[Concat]],Vagas!$H:$H,Vagas!$D:$D,"",0)</f>
        <v>0</v>
      </c>
    </row>
    <row r="2526" spans="1:8" x14ac:dyDescent="0.25">
      <c r="A2526" s="2">
        <v>44639</v>
      </c>
      <c r="B2526" s="1"/>
      <c r="C2526">
        <v>12913</v>
      </c>
      <c r="D2526" s="1" t="s">
        <v>196</v>
      </c>
      <c r="E2526" s="1"/>
      <c r="F2526">
        <v>0</v>
      </c>
      <c r="G2526" s="1" t="str">
        <f>Ocupacao_DW[[#This Row],[data]]&amp;Ocupacao_DW[[#This Row],[profissional_id]]&amp;Ocupacao_DW[[#This Row],[local_id]]</f>
        <v>44639129130</v>
      </c>
      <c r="H2526" s="1" t="str">
        <f>_xlfn.XLOOKUP(Ocupacao_DW[[#This Row],[Concat]],Vagas!$H:$H,Vagas!$D:$D,"",0)</f>
        <v/>
      </c>
    </row>
    <row r="2527" spans="1:8" x14ac:dyDescent="0.25">
      <c r="A2527" s="2">
        <v>44638</v>
      </c>
      <c r="B2527" s="1"/>
      <c r="C2527">
        <v>10691</v>
      </c>
      <c r="D2527" s="1" t="s">
        <v>181</v>
      </c>
      <c r="E2527" s="1" t="s">
        <v>200</v>
      </c>
      <c r="F2527">
        <v>78</v>
      </c>
      <c r="G2527" s="1" t="str">
        <f>Ocupacao_DW[[#This Row],[data]]&amp;Ocupacao_DW[[#This Row],[profissional_id]]&amp;Ocupacao_DW[[#This Row],[local_id]]</f>
        <v>446381069178</v>
      </c>
      <c r="H2527" s="1">
        <f>_xlfn.XLOOKUP(Ocupacao_DW[[#This Row],[Concat]],Vagas!$H:$H,Vagas!$D:$D,"",0)</f>
        <v>0</v>
      </c>
    </row>
    <row r="2528" spans="1:8" x14ac:dyDescent="0.25">
      <c r="A2528" s="2">
        <v>44646</v>
      </c>
      <c r="B2528" s="1"/>
      <c r="C2528">
        <v>4887</v>
      </c>
      <c r="D2528" s="1" t="s">
        <v>168</v>
      </c>
      <c r="E2528" s="1" t="s">
        <v>5</v>
      </c>
      <c r="F2528">
        <v>18</v>
      </c>
      <c r="G2528" s="1" t="str">
        <f>Ocupacao_DW[[#This Row],[data]]&amp;Ocupacao_DW[[#This Row],[profissional_id]]&amp;Ocupacao_DW[[#This Row],[local_id]]</f>
        <v>44646488718</v>
      </c>
      <c r="H2528" s="1">
        <f>_xlfn.XLOOKUP(Ocupacao_DW[[#This Row],[Concat]],Vagas!$H:$H,Vagas!$D:$D,"",0)</f>
        <v>0</v>
      </c>
    </row>
    <row r="2529" spans="1:8" x14ac:dyDescent="0.25">
      <c r="A2529" s="2">
        <v>44642</v>
      </c>
      <c r="B2529" s="1"/>
      <c r="C2529">
        <v>10600</v>
      </c>
      <c r="D2529" s="1" t="s">
        <v>248</v>
      </c>
      <c r="E2529" s="1"/>
      <c r="F2529">
        <v>0</v>
      </c>
      <c r="G2529" s="1" t="str">
        <f>Ocupacao_DW[[#This Row],[data]]&amp;Ocupacao_DW[[#This Row],[profissional_id]]&amp;Ocupacao_DW[[#This Row],[local_id]]</f>
        <v>44642106000</v>
      </c>
      <c r="H2529" s="1" t="str">
        <f>_xlfn.XLOOKUP(Ocupacao_DW[[#This Row],[Concat]],Vagas!$H:$H,Vagas!$D:$D,"",0)</f>
        <v/>
      </c>
    </row>
    <row r="2530" spans="1:8" x14ac:dyDescent="0.25">
      <c r="A2530" s="2">
        <v>44635</v>
      </c>
      <c r="B2530" s="1"/>
      <c r="C2530">
        <v>13249</v>
      </c>
      <c r="D2530" s="1" t="s">
        <v>178</v>
      </c>
      <c r="E2530" s="1" t="s">
        <v>4</v>
      </c>
      <c r="F2530">
        <v>45</v>
      </c>
      <c r="G2530" s="1" t="str">
        <f>Ocupacao_DW[[#This Row],[data]]&amp;Ocupacao_DW[[#This Row],[profissional_id]]&amp;Ocupacao_DW[[#This Row],[local_id]]</f>
        <v>446351324945</v>
      </c>
      <c r="H2530" s="1">
        <f>_xlfn.XLOOKUP(Ocupacao_DW[[#This Row],[Concat]],Vagas!$H:$H,Vagas!$D:$D,"",0)</f>
        <v>0</v>
      </c>
    </row>
    <row r="2531" spans="1:8" x14ac:dyDescent="0.25">
      <c r="A2531" s="2">
        <v>44635</v>
      </c>
      <c r="B2531" s="1" t="s">
        <v>55</v>
      </c>
      <c r="C2531">
        <v>12669</v>
      </c>
      <c r="D2531" s="1" t="s">
        <v>223</v>
      </c>
      <c r="E2531" s="1" t="s">
        <v>167</v>
      </c>
      <c r="F2531">
        <v>342</v>
      </c>
      <c r="G2531" s="1" t="str">
        <f>Ocupacao_DW[[#This Row],[data]]&amp;Ocupacao_DW[[#This Row],[profissional_id]]&amp;Ocupacao_DW[[#This Row],[local_id]]</f>
        <v>4463512669342</v>
      </c>
      <c r="H2531" s="1" t="str">
        <f>_xlfn.XLOOKUP(Ocupacao_DW[[#This Row],[Concat]],Vagas!$H:$H,Vagas!$D:$D,"",0)</f>
        <v/>
      </c>
    </row>
    <row r="2532" spans="1:8" x14ac:dyDescent="0.25">
      <c r="A2532" s="2">
        <v>44637</v>
      </c>
      <c r="B2532" s="1"/>
      <c r="C2532">
        <v>12426</v>
      </c>
      <c r="D2532" s="1" t="s">
        <v>215</v>
      </c>
      <c r="E2532" s="1" t="s">
        <v>6</v>
      </c>
      <c r="F2532">
        <v>5</v>
      </c>
      <c r="G2532" s="1" t="str">
        <f>Ocupacao_DW[[#This Row],[data]]&amp;Ocupacao_DW[[#This Row],[profissional_id]]&amp;Ocupacao_DW[[#This Row],[local_id]]</f>
        <v>44637124265</v>
      </c>
      <c r="H2532" s="1">
        <f>_xlfn.XLOOKUP(Ocupacao_DW[[#This Row],[Concat]],Vagas!$H:$H,Vagas!$D:$D,"",0)</f>
        <v>0</v>
      </c>
    </row>
    <row r="2533" spans="1:8" x14ac:dyDescent="0.25">
      <c r="A2533" s="2">
        <v>44641</v>
      </c>
      <c r="B2533" s="1"/>
      <c r="C2533">
        <v>6392</v>
      </c>
      <c r="D2533" s="1" t="s">
        <v>173</v>
      </c>
      <c r="E2533" s="1" t="s">
        <v>6</v>
      </c>
      <c r="F2533">
        <v>5</v>
      </c>
      <c r="G2533" s="1" t="str">
        <f>Ocupacao_DW[[#This Row],[data]]&amp;Ocupacao_DW[[#This Row],[profissional_id]]&amp;Ocupacao_DW[[#This Row],[local_id]]</f>
        <v>4464163925</v>
      </c>
      <c r="H2533" s="1">
        <f>_xlfn.XLOOKUP(Ocupacao_DW[[#This Row],[Concat]],Vagas!$H:$H,Vagas!$D:$D,"",0)</f>
        <v>0</v>
      </c>
    </row>
    <row r="2534" spans="1:8" x14ac:dyDescent="0.25">
      <c r="A2534" s="2">
        <v>44637</v>
      </c>
      <c r="B2534" s="1"/>
      <c r="C2534">
        <v>12426</v>
      </c>
      <c r="D2534" s="1" t="s">
        <v>215</v>
      </c>
      <c r="E2534" s="1" t="s">
        <v>6</v>
      </c>
      <c r="F2534">
        <v>5</v>
      </c>
      <c r="G2534" s="1" t="str">
        <f>Ocupacao_DW[[#This Row],[data]]&amp;Ocupacao_DW[[#This Row],[profissional_id]]&amp;Ocupacao_DW[[#This Row],[local_id]]</f>
        <v>44637124265</v>
      </c>
      <c r="H2534" s="1">
        <f>_xlfn.XLOOKUP(Ocupacao_DW[[#This Row],[Concat]],Vagas!$H:$H,Vagas!$D:$D,"",0)</f>
        <v>0</v>
      </c>
    </row>
    <row r="2535" spans="1:8" x14ac:dyDescent="0.25">
      <c r="A2535" s="2">
        <v>44639</v>
      </c>
      <c r="B2535" s="1"/>
      <c r="C2535">
        <v>111</v>
      </c>
      <c r="D2535" s="1" t="s">
        <v>199</v>
      </c>
      <c r="E2535" s="1" t="s">
        <v>4</v>
      </c>
      <c r="F2535">
        <v>51</v>
      </c>
      <c r="G2535" s="1" t="str">
        <f>Ocupacao_DW[[#This Row],[data]]&amp;Ocupacao_DW[[#This Row],[profissional_id]]&amp;Ocupacao_DW[[#This Row],[local_id]]</f>
        <v>4463911151</v>
      </c>
      <c r="H2535" s="1">
        <f>_xlfn.XLOOKUP(Ocupacao_DW[[#This Row],[Concat]],Vagas!$H:$H,Vagas!$D:$D,"",0)</f>
        <v>0</v>
      </c>
    </row>
    <row r="2536" spans="1:8" x14ac:dyDescent="0.25">
      <c r="A2536" s="2">
        <v>44639</v>
      </c>
      <c r="B2536" s="1"/>
      <c r="C2536">
        <v>111</v>
      </c>
      <c r="D2536" s="1" t="s">
        <v>199</v>
      </c>
      <c r="E2536" s="1" t="s">
        <v>4</v>
      </c>
      <c r="F2536">
        <v>51</v>
      </c>
      <c r="G2536" s="1" t="str">
        <f>Ocupacao_DW[[#This Row],[data]]&amp;Ocupacao_DW[[#This Row],[profissional_id]]&amp;Ocupacao_DW[[#This Row],[local_id]]</f>
        <v>4463911151</v>
      </c>
      <c r="H2536" s="1">
        <f>_xlfn.XLOOKUP(Ocupacao_DW[[#This Row],[Concat]],Vagas!$H:$H,Vagas!$D:$D,"",0)</f>
        <v>0</v>
      </c>
    </row>
    <row r="2537" spans="1:8" x14ac:dyDescent="0.25">
      <c r="A2537" s="2">
        <v>44635</v>
      </c>
      <c r="B2537" s="1"/>
      <c r="C2537">
        <v>12913</v>
      </c>
      <c r="D2537" s="1" t="s">
        <v>196</v>
      </c>
      <c r="E2537" s="1"/>
      <c r="F2537">
        <v>0</v>
      </c>
      <c r="G2537" s="1" t="str">
        <f>Ocupacao_DW[[#This Row],[data]]&amp;Ocupacao_DW[[#This Row],[profissional_id]]&amp;Ocupacao_DW[[#This Row],[local_id]]</f>
        <v>44635129130</v>
      </c>
      <c r="H2537" s="1" t="str">
        <f>_xlfn.XLOOKUP(Ocupacao_DW[[#This Row],[Concat]],Vagas!$H:$H,Vagas!$D:$D,"",0)</f>
        <v/>
      </c>
    </row>
    <row r="2538" spans="1:8" x14ac:dyDescent="0.25">
      <c r="A2538" s="2">
        <v>44635</v>
      </c>
      <c r="B2538" s="1"/>
      <c r="C2538">
        <v>11237</v>
      </c>
      <c r="D2538" s="1" t="s">
        <v>229</v>
      </c>
      <c r="E2538" s="1" t="s">
        <v>4</v>
      </c>
      <c r="F2538">
        <v>46</v>
      </c>
      <c r="G2538" s="1" t="str">
        <f>Ocupacao_DW[[#This Row],[data]]&amp;Ocupacao_DW[[#This Row],[profissional_id]]&amp;Ocupacao_DW[[#This Row],[local_id]]</f>
        <v>446351123746</v>
      </c>
      <c r="H2538" s="1">
        <f>_xlfn.XLOOKUP(Ocupacao_DW[[#This Row],[Concat]],Vagas!$H:$H,Vagas!$D:$D,"",0)</f>
        <v>0</v>
      </c>
    </row>
    <row r="2539" spans="1:8" x14ac:dyDescent="0.25">
      <c r="A2539" s="2">
        <v>44636</v>
      </c>
      <c r="B2539" s="1"/>
      <c r="C2539">
        <v>57</v>
      </c>
      <c r="D2539" s="1" t="s">
        <v>169</v>
      </c>
      <c r="E2539" s="1"/>
      <c r="F2539">
        <v>0</v>
      </c>
      <c r="G2539" s="1" t="str">
        <f>Ocupacao_DW[[#This Row],[data]]&amp;Ocupacao_DW[[#This Row],[profissional_id]]&amp;Ocupacao_DW[[#This Row],[local_id]]</f>
        <v>44636570</v>
      </c>
      <c r="H2539" s="1" t="str">
        <f>_xlfn.XLOOKUP(Ocupacao_DW[[#This Row],[Concat]],Vagas!$H:$H,Vagas!$D:$D,"",0)</f>
        <v/>
      </c>
    </row>
    <row r="2540" spans="1:8" x14ac:dyDescent="0.25">
      <c r="A2540" s="2">
        <v>44644</v>
      </c>
      <c r="B2540" s="1" t="s">
        <v>55</v>
      </c>
      <c r="C2540">
        <v>12426</v>
      </c>
      <c r="D2540" s="1" t="s">
        <v>215</v>
      </c>
      <c r="E2540" s="1" t="s">
        <v>6</v>
      </c>
      <c r="F2540">
        <v>5</v>
      </c>
      <c r="G2540" s="1" t="str">
        <f>Ocupacao_DW[[#This Row],[data]]&amp;Ocupacao_DW[[#This Row],[profissional_id]]&amp;Ocupacao_DW[[#This Row],[local_id]]</f>
        <v>44644124265</v>
      </c>
      <c r="H2540" s="1">
        <f>_xlfn.XLOOKUP(Ocupacao_DW[[#This Row],[Concat]],Vagas!$H:$H,Vagas!$D:$D,"",0)</f>
        <v>0</v>
      </c>
    </row>
    <row r="2541" spans="1:8" x14ac:dyDescent="0.25">
      <c r="A2541" s="2">
        <v>44637</v>
      </c>
      <c r="B2541" s="1"/>
      <c r="C2541">
        <v>8598</v>
      </c>
      <c r="D2541" s="1" t="s">
        <v>228</v>
      </c>
      <c r="E2541" s="1"/>
      <c r="F2541">
        <v>0</v>
      </c>
      <c r="G2541" s="1" t="str">
        <f>Ocupacao_DW[[#This Row],[data]]&amp;Ocupacao_DW[[#This Row],[profissional_id]]&amp;Ocupacao_DW[[#This Row],[local_id]]</f>
        <v>4463785980</v>
      </c>
      <c r="H2541" s="1" t="str">
        <f>_xlfn.XLOOKUP(Ocupacao_DW[[#This Row],[Concat]],Vagas!$H:$H,Vagas!$D:$D,"",0)</f>
        <v/>
      </c>
    </row>
    <row r="2542" spans="1:8" x14ac:dyDescent="0.25">
      <c r="A2542" s="2">
        <v>44635</v>
      </c>
      <c r="B2542" s="1"/>
      <c r="C2542">
        <v>14237</v>
      </c>
      <c r="D2542" s="1" t="s">
        <v>186</v>
      </c>
      <c r="E2542" s="1" t="s">
        <v>4</v>
      </c>
      <c r="F2542">
        <v>47</v>
      </c>
      <c r="G2542" s="1" t="str">
        <f>Ocupacao_DW[[#This Row],[data]]&amp;Ocupacao_DW[[#This Row],[profissional_id]]&amp;Ocupacao_DW[[#This Row],[local_id]]</f>
        <v>446351423747</v>
      </c>
      <c r="H2542" s="1">
        <f>_xlfn.XLOOKUP(Ocupacao_DW[[#This Row],[Concat]],Vagas!$H:$H,Vagas!$D:$D,"",0)</f>
        <v>0</v>
      </c>
    </row>
    <row r="2543" spans="1:8" x14ac:dyDescent="0.25">
      <c r="A2543" s="2">
        <v>44643</v>
      </c>
      <c r="B2543" s="1"/>
      <c r="C2543">
        <v>174</v>
      </c>
      <c r="D2543" s="1" t="s">
        <v>230</v>
      </c>
      <c r="E2543" s="1"/>
      <c r="F2543">
        <v>0</v>
      </c>
      <c r="G2543" s="1" t="str">
        <f>Ocupacao_DW[[#This Row],[data]]&amp;Ocupacao_DW[[#This Row],[profissional_id]]&amp;Ocupacao_DW[[#This Row],[local_id]]</f>
        <v>446431740</v>
      </c>
      <c r="H2543" s="1" t="str">
        <f>_xlfn.XLOOKUP(Ocupacao_DW[[#This Row],[Concat]],Vagas!$H:$H,Vagas!$D:$D,"",0)</f>
        <v/>
      </c>
    </row>
    <row r="2544" spans="1:8" x14ac:dyDescent="0.25">
      <c r="A2544" s="2">
        <v>44643</v>
      </c>
      <c r="B2544" s="1"/>
      <c r="C2544">
        <v>2396</v>
      </c>
      <c r="D2544" s="1" t="s">
        <v>197</v>
      </c>
      <c r="E2544" s="1"/>
      <c r="F2544">
        <v>0</v>
      </c>
      <c r="G2544" s="1" t="str">
        <f>Ocupacao_DW[[#This Row],[data]]&amp;Ocupacao_DW[[#This Row],[profissional_id]]&amp;Ocupacao_DW[[#This Row],[local_id]]</f>
        <v>4464323960</v>
      </c>
      <c r="H2544" s="1" t="str">
        <f>_xlfn.XLOOKUP(Ocupacao_DW[[#This Row],[Concat]],Vagas!$H:$H,Vagas!$D:$D,"",0)</f>
        <v/>
      </c>
    </row>
    <row r="2545" spans="1:8" x14ac:dyDescent="0.25">
      <c r="A2545" s="2">
        <v>44643</v>
      </c>
      <c r="B2545" s="1"/>
      <c r="C2545">
        <v>2396</v>
      </c>
      <c r="D2545" s="1" t="s">
        <v>197</v>
      </c>
      <c r="E2545" s="1"/>
      <c r="F2545">
        <v>0</v>
      </c>
      <c r="G2545" s="1" t="str">
        <f>Ocupacao_DW[[#This Row],[data]]&amp;Ocupacao_DW[[#This Row],[profissional_id]]&amp;Ocupacao_DW[[#This Row],[local_id]]</f>
        <v>4464323960</v>
      </c>
      <c r="H2545" s="1" t="str">
        <f>_xlfn.XLOOKUP(Ocupacao_DW[[#This Row],[Concat]],Vagas!$H:$H,Vagas!$D:$D,"",0)</f>
        <v/>
      </c>
    </row>
    <row r="2546" spans="1:8" x14ac:dyDescent="0.25">
      <c r="A2546" s="2">
        <v>44643</v>
      </c>
      <c r="B2546" s="1"/>
      <c r="C2546">
        <v>2396</v>
      </c>
      <c r="D2546" s="1" t="s">
        <v>197</v>
      </c>
      <c r="E2546" s="1"/>
      <c r="F2546">
        <v>0</v>
      </c>
      <c r="G2546" s="1" t="str">
        <f>Ocupacao_DW[[#This Row],[data]]&amp;Ocupacao_DW[[#This Row],[profissional_id]]&amp;Ocupacao_DW[[#This Row],[local_id]]</f>
        <v>4464323960</v>
      </c>
      <c r="H2546" s="1" t="str">
        <f>_xlfn.XLOOKUP(Ocupacao_DW[[#This Row],[Concat]],Vagas!$H:$H,Vagas!$D:$D,"",0)</f>
        <v/>
      </c>
    </row>
    <row r="2547" spans="1:8" x14ac:dyDescent="0.25">
      <c r="A2547" s="2">
        <v>44641</v>
      </c>
      <c r="B2547" s="1"/>
      <c r="C2547">
        <v>6392</v>
      </c>
      <c r="D2547" s="1" t="s">
        <v>173</v>
      </c>
      <c r="E2547" s="1" t="s">
        <v>6</v>
      </c>
      <c r="F2547">
        <v>5</v>
      </c>
      <c r="G2547" s="1" t="str">
        <f>Ocupacao_DW[[#This Row],[data]]&amp;Ocupacao_DW[[#This Row],[profissional_id]]&amp;Ocupacao_DW[[#This Row],[local_id]]</f>
        <v>4464163925</v>
      </c>
      <c r="H2547" s="1">
        <f>_xlfn.XLOOKUP(Ocupacao_DW[[#This Row],[Concat]],Vagas!$H:$H,Vagas!$D:$D,"",0)</f>
        <v>0</v>
      </c>
    </row>
    <row r="2548" spans="1:8" x14ac:dyDescent="0.25">
      <c r="A2548" s="2">
        <v>44637</v>
      </c>
      <c r="B2548" s="1" t="s">
        <v>55</v>
      </c>
      <c r="C2548">
        <v>12426</v>
      </c>
      <c r="D2548" s="1" t="s">
        <v>215</v>
      </c>
      <c r="E2548" s="1" t="s">
        <v>6</v>
      </c>
      <c r="F2548">
        <v>5</v>
      </c>
      <c r="G2548" s="1" t="str">
        <f>Ocupacao_DW[[#This Row],[data]]&amp;Ocupacao_DW[[#This Row],[profissional_id]]&amp;Ocupacao_DW[[#This Row],[local_id]]</f>
        <v>44637124265</v>
      </c>
      <c r="H2548" s="1">
        <f>_xlfn.XLOOKUP(Ocupacao_DW[[#This Row],[Concat]],Vagas!$H:$H,Vagas!$D:$D,"",0)</f>
        <v>0</v>
      </c>
    </row>
    <row r="2549" spans="1:8" x14ac:dyDescent="0.25">
      <c r="A2549" s="2">
        <v>44657</v>
      </c>
      <c r="B2549" s="1"/>
      <c r="C2549">
        <v>2396</v>
      </c>
      <c r="D2549" s="1" t="s">
        <v>197</v>
      </c>
      <c r="E2549" s="1"/>
      <c r="F2549">
        <v>0</v>
      </c>
      <c r="G2549" s="1" t="str">
        <f>Ocupacao_DW[[#This Row],[data]]&amp;Ocupacao_DW[[#This Row],[profissional_id]]&amp;Ocupacao_DW[[#This Row],[local_id]]</f>
        <v>4465723960</v>
      </c>
      <c r="H2549" s="1" t="str">
        <f>_xlfn.XLOOKUP(Ocupacao_DW[[#This Row],[Concat]],Vagas!$H:$H,Vagas!$D:$D,"",0)</f>
        <v/>
      </c>
    </row>
    <row r="2550" spans="1:8" x14ac:dyDescent="0.25">
      <c r="A2550" s="2">
        <v>44636</v>
      </c>
      <c r="B2550" s="1"/>
      <c r="C2550">
        <v>12679</v>
      </c>
      <c r="D2550" s="1" t="s">
        <v>192</v>
      </c>
      <c r="E2550" s="1" t="s">
        <v>5</v>
      </c>
      <c r="F2550">
        <v>11</v>
      </c>
      <c r="G2550" s="1" t="str">
        <f>Ocupacao_DW[[#This Row],[data]]&amp;Ocupacao_DW[[#This Row],[profissional_id]]&amp;Ocupacao_DW[[#This Row],[local_id]]</f>
        <v>446361267911</v>
      </c>
      <c r="H2550" s="1">
        <f>_xlfn.XLOOKUP(Ocupacao_DW[[#This Row],[Concat]],Vagas!$H:$H,Vagas!$D:$D,"",0)</f>
        <v>0</v>
      </c>
    </row>
    <row r="2551" spans="1:8" x14ac:dyDescent="0.25">
      <c r="A2551" s="2">
        <v>44636</v>
      </c>
      <c r="B2551" s="1"/>
      <c r="C2551">
        <v>5767</v>
      </c>
      <c r="D2551" s="1" t="s">
        <v>239</v>
      </c>
      <c r="E2551" s="1" t="s">
        <v>4</v>
      </c>
      <c r="F2551">
        <v>43</v>
      </c>
      <c r="G2551" s="1" t="str">
        <f>Ocupacao_DW[[#This Row],[data]]&amp;Ocupacao_DW[[#This Row],[profissional_id]]&amp;Ocupacao_DW[[#This Row],[local_id]]</f>
        <v>44636576743</v>
      </c>
      <c r="H2551" s="1">
        <f>_xlfn.XLOOKUP(Ocupacao_DW[[#This Row],[Concat]],Vagas!$H:$H,Vagas!$D:$D,"",0)</f>
        <v>0</v>
      </c>
    </row>
    <row r="2552" spans="1:8" x14ac:dyDescent="0.25">
      <c r="A2552" s="2">
        <v>44636</v>
      </c>
      <c r="B2552" s="1"/>
      <c r="C2552">
        <v>5767</v>
      </c>
      <c r="D2552" s="1" t="s">
        <v>239</v>
      </c>
      <c r="E2552" s="1" t="s">
        <v>4</v>
      </c>
      <c r="F2552">
        <v>43</v>
      </c>
      <c r="G2552" s="1" t="str">
        <f>Ocupacao_DW[[#This Row],[data]]&amp;Ocupacao_DW[[#This Row],[profissional_id]]&amp;Ocupacao_DW[[#This Row],[local_id]]</f>
        <v>44636576743</v>
      </c>
      <c r="H2552" s="1">
        <f>_xlfn.XLOOKUP(Ocupacao_DW[[#This Row],[Concat]],Vagas!$H:$H,Vagas!$D:$D,"",0)</f>
        <v>0</v>
      </c>
    </row>
    <row r="2553" spans="1:8" x14ac:dyDescent="0.25">
      <c r="A2553" s="2">
        <v>44643</v>
      </c>
      <c r="B2553" s="1"/>
      <c r="C2553">
        <v>12519</v>
      </c>
      <c r="D2553" s="1" t="s">
        <v>176</v>
      </c>
      <c r="E2553" s="1" t="s">
        <v>4</v>
      </c>
      <c r="F2553">
        <v>48</v>
      </c>
      <c r="G2553" s="1" t="str">
        <f>Ocupacao_DW[[#This Row],[data]]&amp;Ocupacao_DW[[#This Row],[profissional_id]]&amp;Ocupacao_DW[[#This Row],[local_id]]</f>
        <v>446431251948</v>
      </c>
      <c r="H2553" s="1">
        <f>_xlfn.XLOOKUP(Ocupacao_DW[[#This Row],[Concat]],Vagas!$H:$H,Vagas!$D:$D,"",0)</f>
        <v>0</v>
      </c>
    </row>
    <row r="2554" spans="1:8" x14ac:dyDescent="0.25">
      <c r="A2554" s="2">
        <v>44635</v>
      </c>
      <c r="B2554" s="1"/>
      <c r="C2554">
        <v>3502</v>
      </c>
      <c r="D2554" s="1" t="s">
        <v>214</v>
      </c>
      <c r="E2554" s="1"/>
      <c r="F2554">
        <v>0</v>
      </c>
      <c r="G2554" s="1" t="str">
        <f>Ocupacao_DW[[#This Row],[data]]&amp;Ocupacao_DW[[#This Row],[profissional_id]]&amp;Ocupacao_DW[[#This Row],[local_id]]</f>
        <v>4463535020</v>
      </c>
      <c r="H2554" s="1" t="str">
        <f>_xlfn.XLOOKUP(Ocupacao_DW[[#This Row],[Concat]],Vagas!$H:$H,Vagas!$D:$D,"",0)</f>
        <v/>
      </c>
    </row>
    <row r="2555" spans="1:8" x14ac:dyDescent="0.25">
      <c r="A2555" s="2">
        <v>44642</v>
      </c>
      <c r="B2555" s="1"/>
      <c r="C2555">
        <v>85</v>
      </c>
      <c r="D2555" s="1" t="s">
        <v>211</v>
      </c>
      <c r="E2555" s="1" t="s">
        <v>5</v>
      </c>
      <c r="F2555">
        <v>349</v>
      </c>
      <c r="G2555" s="1" t="str">
        <f>Ocupacao_DW[[#This Row],[data]]&amp;Ocupacao_DW[[#This Row],[profissional_id]]&amp;Ocupacao_DW[[#This Row],[local_id]]</f>
        <v>4464285349</v>
      </c>
      <c r="H2555" s="1">
        <f>_xlfn.XLOOKUP(Ocupacao_DW[[#This Row],[Concat]],Vagas!$H:$H,Vagas!$D:$D,"",0)</f>
        <v>0</v>
      </c>
    </row>
    <row r="2556" spans="1:8" x14ac:dyDescent="0.25">
      <c r="A2556" s="2">
        <v>44639</v>
      </c>
      <c r="B2556" s="1"/>
      <c r="C2556">
        <v>111</v>
      </c>
      <c r="D2556" s="1" t="s">
        <v>199</v>
      </c>
      <c r="E2556" s="1" t="s">
        <v>4</v>
      </c>
      <c r="F2556">
        <v>51</v>
      </c>
      <c r="G2556" s="1" t="str">
        <f>Ocupacao_DW[[#This Row],[data]]&amp;Ocupacao_DW[[#This Row],[profissional_id]]&amp;Ocupacao_DW[[#This Row],[local_id]]</f>
        <v>4463911151</v>
      </c>
      <c r="H2556" s="1">
        <f>_xlfn.XLOOKUP(Ocupacao_DW[[#This Row],[Concat]],Vagas!$H:$H,Vagas!$D:$D,"",0)</f>
        <v>0</v>
      </c>
    </row>
    <row r="2557" spans="1:8" x14ac:dyDescent="0.25">
      <c r="A2557" s="2">
        <v>44636</v>
      </c>
      <c r="B2557" s="1"/>
      <c r="C2557">
        <v>12825</v>
      </c>
      <c r="D2557" s="1" t="s">
        <v>177</v>
      </c>
      <c r="E2557" s="1"/>
      <c r="F2557">
        <v>0</v>
      </c>
      <c r="G2557" s="1" t="str">
        <f>Ocupacao_DW[[#This Row],[data]]&amp;Ocupacao_DW[[#This Row],[profissional_id]]&amp;Ocupacao_DW[[#This Row],[local_id]]</f>
        <v>44636128250</v>
      </c>
      <c r="H2557" s="1" t="str">
        <f>_xlfn.XLOOKUP(Ocupacao_DW[[#This Row],[Concat]],Vagas!$H:$H,Vagas!$D:$D,"",0)</f>
        <v/>
      </c>
    </row>
    <row r="2558" spans="1:8" x14ac:dyDescent="0.25">
      <c r="A2558" s="2">
        <v>44643</v>
      </c>
      <c r="B2558" s="1"/>
      <c r="C2558">
        <v>73</v>
      </c>
      <c r="D2558" s="1" t="s">
        <v>171</v>
      </c>
      <c r="E2558" s="1" t="s">
        <v>6</v>
      </c>
      <c r="F2558">
        <v>5</v>
      </c>
      <c r="G2558" s="1" t="str">
        <f>Ocupacao_DW[[#This Row],[data]]&amp;Ocupacao_DW[[#This Row],[profissional_id]]&amp;Ocupacao_DW[[#This Row],[local_id]]</f>
        <v>44643735</v>
      </c>
      <c r="H2558" s="1">
        <f>_xlfn.XLOOKUP(Ocupacao_DW[[#This Row],[Concat]],Vagas!$H:$H,Vagas!$D:$D,"",0)</f>
        <v>0</v>
      </c>
    </row>
    <row r="2559" spans="1:8" x14ac:dyDescent="0.25">
      <c r="A2559" s="2">
        <v>44636</v>
      </c>
      <c r="B2559" s="1"/>
      <c r="C2559">
        <v>12679</v>
      </c>
      <c r="D2559" s="1" t="s">
        <v>192</v>
      </c>
      <c r="E2559" s="1" t="s">
        <v>200</v>
      </c>
      <c r="F2559">
        <v>82</v>
      </c>
      <c r="G2559" s="1" t="str">
        <f>Ocupacao_DW[[#This Row],[data]]&amp;Ocupacao_DW[[#This Row],[profissional_id]]&amp;Ocupacao_DW[[#This Row],[local_id]]</f>
        <v>446361267982</v>
      </c>
      <c r="H2559" s="1">
        <f>_xlfn.XLOOKUP(Ocupacao_DW[[#This Row],[Concat]],Vagas!$H:$H,Vagas!$D:$D,"",0)</f>
        <v>0</v>
      </c>
    </row>
    <row r="2560" spans="1:8" x14ac:dyDescent="0.25">
      <c r="A2560" s="2">
        <v>44635</v>
      </c>
      <c r="B2560" s="1"/>
      <c r="C2560">
        <v>3502</v>
      </c>
      <c r="D2560" s="1" t="s">
        <v>214</v>
      </c>
      <c r="E2560" s="1"/>
      <c r="F2560">
        <v>0</v>
      </c>
      <c r="G2560" s="1" t="str">
        <f>Ocupacao_DW[[#This Row],[data]]&amp;Ocupacao_DW[[#This Row],[profissional_id]]&amp;Ocupacao_DW[[#This Row],[local_id]]</f>
        <v>4463535020</v>
      </c>
      <c r="H2560" s="1" t="str">
        <f>_xlfn.XLOOKUP(Ocupacao_DW[[#This Row],[Concat]],Vagas!$H:$H,Vagas!$D:$D,"",0)</f>
        <v/>
      </c>
    </row>
    <row r="2561" spans="1:8" x14ac:dyDescent="0.25">
      <c r="A2561" s="2">
        <v>44637</v>
      </c>
      <c r="B2561" s="1"/>
      <c r="C2561">
        <v>12426</v>
      </c>
      <c r="D2561" s="1" t="s">
        <v>215</v>
      </c>
      <c r="E2561" s="1" t="s">
        <v>6</v>
      </c>
      <c r="F2561">
        <v>5</v>
      </c>
      <c r="G2561" s="1" t="str">
        <f>Ocupacao_DW[[#This Row],[data]]&amp;Ocupacao_DW[[#This Row],[profissional_id]]&amp;Ocupacao_DW[[#This Row],[local_id]]</f>
        <v>44637124265</v>
      </c>
      <c r="H2561" s="1">
        <f>_xlfn.XLOOKUP(Ocupacao_DW[[#This Row],[Concat]],Vagas!$H:$H,Vagas!$D:$D,"",0)</f>
        <v>0</v>
      </c>
    </row>
    <row r="2562" spans="1:8" x14ac:dyDescent="0.25">
      <c r="A2562" s="2">
        <v>44635</v>
      </c>
      <c r="B2562" s="1" t="s">
        <v>65</v>
      </c>
      <c r="C2562">
        <v>11237</v>
      </c>
      <c r="D2562" s="1" t="s">
        <v>229</v>
      </c>
      <c r="E2562" s="1" t="s">
        <v>4</v>
      </c>
      <c r="F2562">
        <v>46</v>
      </c>
      <c r="G2562" s="1" t="str">
        <f>Ocupacao_DW[[#This Row],[data]]&amp;Ocupacao_DW[[#This Row],[profissional_id]]&amp;Ocupacao_DW[[#This Row],[local_id]]</f>
        <v>446351123746</v>
      </c>
      <c r="H2562" s="1">
        <f>_xlfn.XLOOKUP(Ocupacao_DW[[#This Row],[Concat]],Vagas!$H:$H,Vagas!$D:$D,"",0)</f>
        <v>0</v>
      </c>
    </row>
    <row r="2563" spans="1:8" x14ac:dyDescent="0.25">
      <c r="A2563" s="2">
        <v>44636</v>
      </c>
      <c r="B2563" s="1"/>
      <c r="C2563">
        <v>5767</v>
      </c>
      <c r="D2563" s="1" t="s">
        <v>239</v>
      </c>
      <c r="E2563" s="1" t="s">
        <v>4</v>
      </c>
      <c r="F2563">
        <v>43</v>
      </c>
      <c r="G2563" s="1" t="str">
        <f>Ocupacao_DW[[#This Row],[data]]&amp;Ocupacao_DW[[#This Row],[profissional_id]]&amp;Ocupacao_DW[[#This Row],[local_id]]</f>
        <v>44636576743</v>
      </c>
      <c r="H2563" s="1">
        <f>_xlfn.XLOOKUP(Ocupacao_DW[[#This Row],[Concat]],Vagas!$H:$H,Vagas!$D:$D,"",0)</f>
        <v>0</v>
      </c>
    </row>
    <row r="2564" spans="1:8" x14ac:dyDescent="0.25">
      <c r="A2564" s="2">
        <v>44636</v>
      </c>
      <c r="B2564" s="1"/>
      <c r="C2564">
        <v>6430</v>
      </c>
      <c r="D2564" s="1" t="s">
        <v>188</v>
      </c>
      <c r="E2564" s="1" t="s">
        <v>4</v>
      </c>
      <c r="F2564">
        <v>42</v>
      </c>
      <c r="G2564" s="1" t="str">
        <f>Ocupacao_DW[[#This Row],[data]]&amp;Ocupacao_DW[[#This Row],[profissional_id]]&amp;Ocupacao_DW[[#This Row],[local_id]]</f>
        <v>44636643042</v>
      </c>
      <c r="H2564" s="1">
        <f>_xlfn.XLOOKUP(Ocupacao_DW[[#This Row],[Concat]],Vagas!$H:$H,Vagas!$D:$D,"",0)</f>
        <v>0</v>
      </c>
    </row>
    <row r="2565" spans="1:8" x14ac:dyDescent="0.25">
      <c r="A2565" s="2">
        <v>44650</v>
      </c>
      <c r="B2565" s="1"/>
      <c r="C2565">
        <v>73</v>
      </c>
      <c r="D2565" s="1" t="s">
        <v>171</v>
      </c>
      <c r="E2565" s="1" t="s">
        <v>6</v>
      </c>
      <c r="F2565">
        <v>5</v>
      </c>
      <c r="G2565" s="1" t="str">
        <f>Ocupacao_DW[[#This Row],[data]]&amp;Ocupacao_DW[[#This Row],[profissional_id]]&amp;Ocupacao_DW[[#This Row],[local_id]]</f>
        <v>44650735</v>
      </c>
      <c r="H2565" s="1">
        <f>_xlfn.XLOOKUP(Ocupacao_DW[[#This Row],[Concat]],Vagas!$H:$H,Vagas!$D:$D,"",0)</f>
        <v>0</v>
      </c>
    </row>
    <row r="2566" spans="1:8" x14ac:dyDescent="0.25">
      <c r="A2566" s="2">
        <v>44637</v>
      </c>
      <c r="B2566" s="1" t="s">
        <v>55</v>
      </c>
      <c r="C2566">
        <v>8598</v>
      </c>
      <c r="D2566" s="1" t="s">
        <v>228</v>
      </c>
      <c r="E2566" s="1" t="s">
        <v>5</v>
      </c>
      <c r="F2566">
        <v>13</v>
      </c>
      <c r="G2566" s="1" t="str">
        <f>Ocupacao_DW[[#This Row],[data]]&amp;Ocupacao_DW[[#This Row],[profissional_id]]&amp;Ocupacao_DW[[#This Row],[local_id]]</f>
        <v>44637859813</v>
      </c>
      <c r="H2566" s="1" t="str">
        <f>_xlfn.XLOOKUP(Ocupacao_DW[[#This Row],[Concat]],Vagas!$H:$H,Vagas!$D:$D,"",0)</f>
        <v/>
      </c>
    </row>
    <row r="2567" spans="1:8" x14ac:dyDescent="0.25">
      <c r="A2567" s="2">
        <v>44643</v>
      </c>
      <c r="B2567" s="1"/>
      <c r="C2567">
        <v>73</v>
      </c>
      <c r="D2567" s="1" t="s">
        <v>171</v>
      </c>
      <c r="E2567" s="1" t="s">
        <v>6</v>
      </c>
      <c r="F2567">
        <v>5</v>
      </c>
      <c r="G2567" s="1" t="str">
        <f>Ocupacao_DW[[#This Row],[data]]&amp;Ocupacao_DW[[#This Row],[profissional_id]]&amp;Ocupacao_DW[[#This Row],[local_id]]</f>
        <v>44643735</v>
      </c>
      <c r="H2567" s="1">
        <f>_xlfn.XLOOKUP(Ocupacao_DW[[#This Row],[Concat]],Vagas!$H:$H,Vagas!$D:$D,"",0)</f>
        <v>0</v>
      </c>
    </row>
    <row r="2568" spans="1:8" x14ac:dyDescent="0.25">
      <c r="A2568" s="2">
        <v>44636</v>
      </c>
      <c r="B2568" s="1" t="s">
        <v>47</v>
      </c>
      <c r="C2568">
        <v>111</v>
      </c>
      <c r="D2568" s="1" t="s">
        <v>199</v>
      </c>
      <c r="E2568" s="1" t="s">
        <v>4</v>
      </c>
      <c r="F2568">
        <v>51</v>
      </c>
      <c r="G2568" s="1" t="str">
        <f>Ocupacao_DW[[#This Row],[data]]&amp;Ocupacao_DW[[#This Row],[profissional_id]]&amp;Ocupacao_DW[[#This Row],[local_id]]</f>
        <v>4463611151</v>
      </c>
      <c r="H2568" s="1">
        <f>_xlfn.XLOOKUP(Ocupacao_DW[[#This Row],[Concat]],Vagas!$H:$H,Vagas!$D:$D,"",0)</f>
        <v>1</v>
      </c>
    </row>
    <row r="2569" spans="1:8" x14ac:dyDescent="0.25">
      <c r="A2569" s="2">
        <v>44641</v>
      </c>
      <c r="B2569" s="1"/>
      <c r="C2569">
        <v>60</v>
      </c>
      <c r="D2569" s="1" t="s">
        <v>217</v>
      </c>
      <c r="E2569" s="1"/>
      <c r="F2569">
        <v>0</v>
      </c>
      <c r="G2569" s="1" t="str">
        <f>Ocupacao_DW[[#This Row],[data]]&amp;Ocupacao_DW[[#This Row],[profissional_id]]&amp;Ocupacao_DW[[#This Row],[local_id]]</f>
        <v>44641600</v>
      </c>
      <c r="H2569" s="1" t="str">
        <f>_xlfn.XLOOKUP(Ocupacao_DW[[#This Row],[Concat]],Vagas!$H:$H,Vagas!$D:$D,"",0)</f>
        <v/>
      </c>
    </row>
    <row r="2570" spans="1:8" x14ac:dyDescent="0.25">
      <c r="A2570" s="2">
        <v>44643</v>
      </c>
      <c r="B2570" s="1"/>
      <c r="C2570">
        <v>6430</v>
      </c>
      <c r="D2570" s="1" t="s">
        <v>188</v>
      </c>
      <c r="E2570" s="1" t="s">
        <v>4</v>
      </c>
      <c r="F2570">
        <v>42</v>
      </c>
      <c r="G2570" s="1" t="str">
        <f>Ocupacao_DW[[#This Row],[data]]&amp;Ocupacao_DW[[#This Row],[profissional_id]]&amp;Ocupacao_DW[[#This Row],[local_id]]</f>
        <v>44643643042</v>
      </c>
      <c r="H2570" s="1">
        <f>_xlfn.XLOOKUP(Ocupacao_DW[[#This Row],[Concat]],Vagas!$H:$H,Vagas!$D:$D,"",0)</f>
        <v>0</v>
      </c>
    </row>
    <row r="2571" spans="1:8" x14ac:dyDescent="0.25">
      <c r="A2571" s="2">
        <v>44635</v>
      </c>
      <c r="B2571" s="1" t="s">
        <v>52</v>
      </c>
      <c r="C2571">
        <v>13061</v>
      </c>
      <c r="D2571" s="1" t="s">
        <v>232</v>
      </c>
      <c r="E2571" s="1" t="s">
        <v>6</v>
      </c>
      <c r="F2571">
        <v>9</v>
      </c>
      <c r="G2571" s="1" t="str">
        <f>Ocupacao_DW[[#This Row],[data]]&amp;Ocupacao_DW[[#This Row],[profissional_id]]&amp;Ocupacao_DW[[#This Row],[local_id]]</f>
        <v>44635130619</v>
      </c>
      <c r="H2571" s="1">
        <f>_xlfn.XLOOKUP(Ocupacao_DW[[#This Row],[Concat]],Vagas!$H:$H,Vagas!$D:$D,"",0)</f>
        <v>0</v>
      </c>
    </row>
    <row r="2572" spans="1:8" x14ac:dyDescent="0.25">
      <c r="A2572" s="2">
        <v>44636</v>
      </c>
      <c r="B2572" s="1"/>
      <c r="C2572">
        <v>6430</v>
      </c>
      <c r="D2572" s="1" t="s">
        <v>188</v>
      </c>
      <c r="E2572" s="1" t="s">
        <v>4</v>
      </c>
      <c r="F2572">
        <v>42</v>
      </c>
      <c r="G2572" s="1" t="str">
        <f>Ocupacao_DW[[#This Row],[data]]&amp;Ocupacao_DW[[#This Row],[profissional_id]]&amp;Ocupacao_DW[[#This Row],[local_id]]</f>
        <v>44636643042</v>
      </c>
      <c r="H2572" s="1">
        <f>_xlfn.XLOOKUP(Ocupacao_DW[[#This Row],[Concat]],Vagas!$H:$H,Vagas!$D:$D,"",0)</f>
        <v>0</v>
      </c>
    </row>
    <row r="2573" spans="1:8" x14ac:dyDescent="0.25">
      <c r="A2573" s="2">
        <v>44636</v>
      </c>
      <c r="B2573" s="1"/>
      <c r="C2573">
        <v>5767</v>
      </c>
      <c r="D2573" s="1" t="s">
        <v>239</v>
      </c>
      <c r="E2573" s="1" t="s">
        <v>4</v>
      </c>
      <c r="F2573">
        <v>43</v>
      </c>
      <c r="G2573" s="1" t="str">
        <f>Ocupacao_DW[[#This Row],[data]]&amp;Ocupacao_DW[[#This Row],[profissional_id]]&amp;Ocupacao_DW[[#This Row],[local_id]]</f>
        <v>44636576743</v>
      </c>
      <c r="H2573" s="1">
        <f>_xlfn.XLOOKUP(Ocupacao_DW[[#This Row],[Concat]],Vagas!$H:$H,Vagas!$D:$D,"",0)</f>
        <v>0</v>
      </c>
    </row>
    <row r="2574" spans="1:8" x14ac:dyDescent="0.25">
      <c r="A2574" s="2">
        <v>44636</v>
      </c>
      <c r="B2574" s="1"/>
      <c r="C2574">
        <v>12679</v>
      </c>
      <c r="D2574" s="1" t="s">
        <v>192</v>
      </c>
      <c r="E2574" s="1" t="s">
        <v>5</v>
      </c>
      <c r="F2574">
        <v>11</v>
      </c>
      <c r="G2574" s="1" t="str">
        <f>Ocupacao_DW[[#This Row],[data]]&amp;Ocupacao_DW[[#This Row],[profissional_id]]&amp;Ocupacao_DW[[#This Row],[local_id]]</f>
        <v>446361267911</v>
      </c>
      <c r="H2574" s="1">
        <f>_xlfn.XLOOKUP(Ocupacao_DW[[#This Row],[Concat]],Vagas!$H:$H,Vagas!$D:$D,"",0)</f>
        <v>0</v>
      </c>
    </row>
    <row r="2575" spans="1:8" x14ac:dyDescent="0.25">
      <c r="A2575" s="2">
        <v>44635</v>
      </c>
      <c r="B2575" s="1" t="s">
        <v>42</v>
      </c>
      <c r="C2575">
        <v>282</v>
      </c>
      <c r="D2575" s="1" t="s">
        <v>210</v>
      </c>
      <c r="E2575" s="1" t="s">
        <v>4</v>
      </c>
      <c r="F2575">
        <v>39</v>
      </c>
      <c r="G2575" s="1" t="str">
        <f>Ocupacao_DW[[#This Row],[data]]&amp;Ocupacao_DW[[#This Row],[profissional_id]]&amp;Ocupacao_DW[[#This Row],[local_id]]</f>
        <v>4463528239</v>
      </c>
      <c r="H2575" s="1">
        <f>_xlfn.XLOOKUP(Ocupacao_DW[[#This Row],[Concat]],Vagas!$H:$H,Vagas!$D:$D,"",0)</f>
        <v>50</v>
      </c>
    </row>
    <row r="2576" spans="1:8" x14ac:dyDescent="0.25">
      <c r="A2576" s="2">
        <v>44636</v>
      </c>
      <c r="B2576" s="1"/>
      <c r="C2576">
        <v>6430</v>
      </c>
      <c r="D2576" s="1" t="s">
        <v>188</v>
      </c>
      <c r="E2576" s="1" t="s">
        <v>4</v>
      </c>
      <c r="F2576">
        <v>42</v>
      </c>
      <c r="G2576" s="1" t="str">
        <f>Ocupacao_DW[[#This Row],[data]]&amp;Ocupacao_DW[[#This Row],[profissional_id]]&amp;Ocupacao_DW[[#This Row],[local_id]]</f>
        <v>44636643042</v>
      </c>
      <c r="H2576" s="1">
        <f>_xlfn.XLOOKUP(Ocupacao_DW[[#This Row],[Concat]],Vagas!$H:$H,Vagas!$D:$D,"",0)</f>
        <v>0</v>
      </c>
    </row>
    <row r="2577" spans="1:8" x14ac:dyDescent="0.25">
      <c r="A2577" s="2">
        <v>44637</v>
      </c>
      <c r="B2577" s="1"/>
      <c r="C2577">
        <v>9217</v>
      </c>
      <c r="D2577" s="1" t="s">
        <v>191</v>
      </c>
      <c r="E2577" s="1" t="s">
        <v>6</v>
      </c>
      <c r="F2577">
        <v>6</v>
      </c>
      <c r="G2577" s="1" t="str">
        <f>Ocupacao_DW[[#This Row],[data]]&amp;Ocupacao_DW[[#This Row],[profissional_id]]&amp;Ocupacao_DW[[#This Row],[local_id]]</f>
        <v>4463792176</v>
      </c>
      <c r="H2577" s="1">
        <f>_xlfn.XLOOKUP(Ocupacao_DW[[#This Row],[Concat]],Vagas!$H:$H,Vagas!$D:$D,"",0)</f>
        <v>0</v>
      </c>
    </row>
    <row r="2578" spans="1:8" x14ac:dyDescent="0.25">
      <c r="A2578" s="2">
        <v>44635</v>
      </c>
      <c r="B2578" s="1"/>
      <c r="C2578">
        <v>8239</v>
      </c>
      <c r="D2578" s="1" t="s">
        <v>257</v>
      </c>
      <c r="E2578" s="1" t="s">
        <v>5</v>
      </c>
      <c r="F2578">
        <v>14</v>
      </c>
      <c r="G2578" s="1" t="str">
        <f>Ocupacao_DW[[#This Row],[data]]&amp;Ocupacao_DW[[#This Row],[profissional_id]]&amp;Ocupacao_DW[[#This Row],[local_id]]</f>
        <v>44635823914</v>
      </c>
      <c r="H2578" s="1">
        <f>_xlfn.XLOOKUP(Ocupacao_DW[[#This Row],[Concat]],Vagas!$H:$H,Vagas!$D:$D,"",0)</f>
        <v>0</v>
      </c>
    </row>
    <row r="2579" spans="1:8" x14ac:dyDescent="0.25">
      <c r="A2579" s="2">
        <v>44638</v>
      </c>
      <c r="B2579" s="1" t="s">
        <v>52</v>
      </c>
      <c r="C2579">
        <v>57</v>
      </c>
      <c r="D2579" s="1" t="s">
        <v>169</v>
      </c>
      <c r="E2579" s="1" t="s">
        <v>6</v>
      </c>
      <c r="F2579">
        <v>8</v>
      </c>
      <c r="G2579" s="1" t="str">
        <f>Ocupacao_DW[[#This Row],[data]]&amp;Ocupacao_DW[[#This Row],[profissional_id]]&amp;Ocupacao_DW[[#This Row],[local_id]]</f>
        <v>44638578</v>
      </c>
      <c r="H2579" s="1">
        <f>_xlfn.XLOOKUP(Ocupacao_DW[[#This Row],[Concat]],Vagas!$H:$H,Vagas!$D:$D,"",0)</f>
        <v>0</v>
      </c>
    </row>
    <row r="2580" spans="1:8" x14ac:dyDescent="0.25">
      <c r="A2580" s="2">
        <v>44646</v>
      </c>
      <c r="B2580" s="1"/>
      <c r="C2580">
        <v>4887</v>
      </c>
      <c r="D2580" s="1" t="s">
        <v>168</v>
      </c>
      <c r="E2580" s="1" t="s">
        <v>5</v>
      </c>
      <c r="F2580">
        <v>18</v>
      </c>
      <c r="G2580" s="1" t="str">
        <f>Ocupacao_DW[[#This Row],[data]]&amp;Ocupacao_DW[[#This Row],[profissional_id]]&amp;Ocupacao_DW[[#This Row],[local_id]]</f>
        <v>44646488718</v>
      </c>
      <c r="H2580" s="1">
        <f>_xlfn.XLOOKUP(Ocupacao_DW[[#This Row],[Concat]],Vagas!$H:$H,Vagas!$D:$D,"",0)</f>
        <v>0</v>
      </c>
    </row>
    <row r="2581" spans="1:8" x14ac:dyDescent="0.25">
      <c r="A2581" s="2">
        <v>44643</v>
      </c>
      <c r="B2581" s="1"/>
      <c r="C2581">
        <v>74</v>
      </c>
      <c r="D2581" s="1" t="s">
        <v>182</v>
      </c>
      <c r="E2581" s="1" t="s">
        <v>6</v>
      </c>
      <c r="F2581">
        <v>7</v>
      </c>
      <c r="G2581" s="1" t="str">
        <f>Ocupacao_DW[[#This Row],[data]]&amp;Ocupacao_DW[[#This Row],[profissional_id]]&amp;Ocupacao_DW[[#This Row],[local_id]]</f>
        <v>44643747</v>
      </c>
      <c r="H2581" s="1">
        <f>_xlfn.XLOOKUP(Ocupacao_DW[[#This Row],[Concat]],Vagas!$H:$H,Vagas!$D:$D,"",0)</f>
        <v>0</v>
      </c>
    </row>
    <row r="2582" spans="1:8" x14ac:dyDescent="0.25">
      <c r="A2582" s="2">
        <v>44648</v>
      </c>
      <c r="B2582" s="1"/>
      <c r="C2582">
        <v>117</v>
      </c>
      <c r="D2582" s="1" t="s">
        <v>180</v>
      </c>
      <c r="E2582" s="1" t="s">
        <v>4</v>
      </c>
      <c r="F2582">
        <v>48</v>
      </c>
      <c r="G2582" s="1" t="str">
        <f>Ocupacao_DW[[#This Row],[data]]&amp;Ocupacao_DW[[#This Row],[profissional_id]]&amp;Ocupacao_DW[[#This Row],[local_id]]</f>
        <v>4464811748</v>
      </c>
      <c r="H2582" s="1">
        <f>_xlfn.XLOOKUP(Ocupacao_DW[[#This Row],[Concat]],Vagas!$H:$H,Vagas!$D:$D,"",0)</f>
        <v>0</v>
      </c>
    </row>
    <row r="2583" spans="1:8" x14ac:dyDescent="0.25">
      <c r="A2583" s="2">
        <v>44643</v>
      </c>
      <c r="B2583" s="1"/>
      <c r="C2583">
        <v>74</v>
      </c>
      <c r="D2583" s="1" t="s">
        <v>182</v>
      </c>
      <c r="E2583" s="1" t="s">
        <v>6</v>
      </c>
      <c r="F2583">
        <v>7</v>
      </c>
      <c r="G2583" s="1" t="str">
        <f>Ocupacao_DW[[#This Row],[data]]&amp;Ocupacao_DW[[#This Row],[profissional_id]]&amp;Ocupacao_DW[[#This Row],[local_id]]</f>
        <v>44643747</v>
      </c>
      <c r="H2583" s="1">
        <f>_xlfn.XLOOKUP(Ocupacao_DW[[#This Row],[Concat]],Vagas!$H:$H,Vagas!$D:$D,"",0)</f>
        <v>0</v>
      </c>
    </row>
    <row r="2584" spans="1:8" x14ac:dyDescent="0.25">
      <c r="A2584" s="2">
        <v>44635</v>
      </c>
      <c r="B2584" s="1"/>
      <c r="C2584">
        <v>8239</v>
      </c>
      <c r="D2584" s="1" t="s">
        <v>257</v>
      </c>
      <c r="E2584" s="1" t="s">
        <v>5</v>
      </c>
      <c r="F2584">
        <v>14</v>
      </c>
      <c r="G2584" s="1" t="str">
        <f>Ocupacao_DW[[#This Row],[data]]&amp;Ocupacao_DW[[#This Row],[profissional_id]]&amp;Ocupacao_DW[[#This Row],[local_id]]</f>
        <v>44635823914</v>
      </c>
      <c r="H2584" s="1">
        <f>_xlfn.XLOOKUP(Ocupacao_DW[[#This Row],[Concat]],Vagas!$H:$H,Vagas!$D:$D,"",0)</f>
        <v>0</v>
      </c>
    </row>
    <row r="2585" spans="1:8" x14ac:dyDescent="0.25">
      <c r="A2585" s="2">
        <v>44636</v>
      </c>
      <c r="B2585" s="1"/>
      <c r="C2585">
        <v>7551</v>
      </c>
      <c r="D2585" s="1" t="s">
        <v>246</v>
      </c>
      <c r="E2585" s="1" t="s">
        <v>5</v>
      </c>
      <c r="F2585">
        <v>15</v>
      </c>
      <c r="G2585" s="1" t="str">
        <f>Ocupacao_DW[[#This Row],[data]]&amp;Ocupacao_DW[[#This Row],[profissional_id]]&amp;Ocupacao_DW[[#This Row],[local_id]]</f>
        <v>44636755115</v>
      </c>
      <c r="H2585" s="1">
        <f>_xlfn.XLOOKUP(Ocupacao_DW[[#This Row],[Concat]],Vagas!$H:$H,Vagas!$D:$D,"",0)</f>
        <v>0</v>
      </c>
    </row>
    <row r="2586" spans="1:8" x14ac:dyDescent="0.25">
      <c r="A2586" s="2">
        <v>44636</v>
      </c>
      <c r="B2586" s="1"/>
      <c r="C2586">
        <v>57</v>
      </c>
      <c r="D2586" s="1" t="s">
        <v>169</v>
      </c>
      <c r="E2586" s="1" t="s">
        <v>6</v>
      </c>
      <c r="F2586">
        <v>8</v>
      </c>
      <c r="G2586" s="1" t="str">
        <f>Ocupacao_DW[[#This Row],[data]]&amp;Ocupacao_DW[[#This Row],[profissional_id]]&amp;Ocupacao_DW[[#This Row],[local_id]]</f>
        <v>44636578</v>
      </c>
      <c r="H2586" s="1">
        <f>_xlfn.XLOOKUP(Ocupacao_DW[[#This Row],[Concat]],Vagas!$H:$H,Vagas!$D:$D,"",0)</f>
        <v>14</v>
      </c>
    </row>
    <row r="2587" spans="1:8" x14ac:dyDescent="0.25">
      <c r="A2587" s="2">
        <v>44638</v>
      </c>
      <c r="B2587" s="1" t="s">
        <v>49</v>
      </c>
      <c r="C2587">
        <v>81</v>
      </c>
      <c r="D2587" s="1" t="s">
        <v>170</v>
      </c>
      <c r="E2587" s="1" t="s">
        <v>4</v>
      </c>
      <c r="F2587">
        <v>41</v>
      </c>
      <c r="G2587" s="1" t="str">
        <f>Ocupacao_DW[[#This Row],[data]]&amp;Ocupacao_DW[[#This Row],[profissional_id]]&amp;Ocupacao_DW[[#This Row],[local_id]]</f>
        <v>446388141</v>
      </c>
      <c r="H2587" s="1">
        <f>_xlfn.XLOOKUP(Ocupacao_DW[[#This Row],[Concat]],Vagas!$H:$H,Vagas!$D:$D,"",0)</f>
        <v>0</v>
      </c>
    </row>
    <row r="2588" spans="1:8" x14ac:dyDescent="0.25">
      <c r="A2588" s="2">
        <v>44645</v>
      </c>
      <c r="B2588" s="1"/>
      <c r="C2588">
        <v>2984</v>
      </c>
      <c r="D2588" s="1" t="s">
        <v>185</v>
      </c>
      <c r="E2588" s="1" t="s">
        <v>6</v>
      </c>
      <c r="F2588">
        <v>7</v>
      </c>
      <c r="G2588" s="1" t="str">
        <f>Ocupacao_DW[[#This Row],[data]]&amp;Ocupacao_DW[[#This Row],[profissional_id]]&amp;Ocupacao_DW[[#This Row],[local_id]]</f>
        <v>4464529847</v>
      </c>
      <c r="H2588" s="1">
        <f>_xlfn.XLOOKUP(Ocupacao_DW[[#This Row],[Concat]],Vagas!$H:$H,Vagas!$D:$D,"",0)</f>
        <v>0</v>
      </c>
    </row>
    <row r="2589" spans="1:8" x14ac:dyDescent="0.25">
      <c r="A2589" s="2">
        <v>44635</v>
      </c>
      <c r="B2589" s="1"/>
      <c r="C2589">
        <v>110</v>
      </c>
      <c r="D2589" s="1" t="s">
        <v>193</v>
      </c>
      <c r="E2589" s="1" t="s">
        <v>4</v>
      </c>
      <c r="F2589">
        <v>334</v>
      </c>
      <c r="G2589" s="1" t="str">
        <f>Ocupacao_DW[[#This Row],[data]]&amp;Ocupacao_DW[[#This Row],[profissional_id]]&amp;Ocupacao_DW[[#This Row],[local_id]]</f>
        <v>44635110334</v>
      </c>
      <c r="H2589" s="1">
        <f>_xlfn.XLOOKUP(Ocupacao_DW[[#This Row],[Concat]],Vagas!$H:$H,Vagas!$D:$D,"",0)</f>
        <v>0</v>
      </c>
    </row>
    <row r="2590" spans="1:8" x14ac:dyDescent="0.25">
      <c r="A2590" s="2">
        <v>44635</v>
      </c>
      <c r="B2590" s="1" t="s">
        <v>65</v>
      </c>
      <c r="C2590">
        <v>11652</v>
      </c>
      <c r="D2590" s="1" t="s">
        <v>242</v>
      </c>
      <c r="E2590" s="1" t="s">
        <v>4</v>
      </c>
      <c r="F2590">
        <v>47</v>
      </c>
      <c r="G2590" s="1" t="str">
        <f>Ocupacao_DW[[#This Row],[data]]&amp;Ocupacao_DW[[#This Row],[profissional_id]]&amp;Ocupacao_DW[[#This Row],[local_id]]</f>
        <v>446351165247</v>
      </c>
      <c r="H2590" s="1">
        <f>_xlfn.XLOOKUP(Ocupacao_DW[[#This Row],[Concat]],Vagas!$H:$H,Vagas!$D:$D,"",0)</f>
        <v>0</v>
      </c>
    </row>
    <row r="2591" spans="1:8" x14ac:dyDescent="0.25">
      <c r="A2591" s="2">
        <v>44636</v>
      </c>
      <c r="B2591" s="1"/>
      <c r="C2591">
        <v>60</v>
      </c>
      <c r="D2591" s="1" t="s">
        <v>217</v>
      </c>
      <c r="E2591" s="1"/>
      <c r="F2591">
        <v>0</v>
      </c>
      <c r="G2591" s="1" t="str">
        <f>Ocupacao_DW[[#This Row],[data]]&amp;Ocupacao_DW[[#This Row],[profissional_id]]&amp;Ocupacao_DW[[#This Row],[local_id]]</f>
        <v>44636600</v>
      </c>
      <c r="H2591" s="1" t="str">
        <f>_xlfn.XLOOKUP(Ocupacao_DW[[#This Row],[Concat]],Vagas!$H:$H,Vagas!$D:$D,"",0)</f>
        <v/>
      </c>
    </row>
    <row r="2592" spans="1:8" x14ac:dyDescent="0.25">
      <c r="A2592" s="2">
        <v>44643</v>
      </c>
      <c r="B2592" s="1"/>
      <c r="C2592">
        <v>73</v>
      </c>
      <c r="D2592" s="1" t="s">
        <v>171</v>
      </c>
      <c r="E2592" s="1" t="s">
        <v>6</v>
      </c>
      <c r="F2592">
        <v>5</v>
      </c>
      <c r="G2592" s="1" t="str">
        <f>Ocupacao_DW[[#This Row],[data]]&amp;Ocupacao_DW[[#This Row],[profissional_id]]&amp;Ocupacao_DW[[#This Row],[local_id]]</f>
        <v>44643735</v>
      </c>
      <c r="H2592" s="1">
        <f>_xlfn.XLOOKUP(Ocupacao_DW[[#This Row],[Concat]],Vagas!$H:$H,Vagas!$D:$D,"",0)</f>
        <v>0</v>
      </c>
    </row>
    <row r="2593" spans="1:8" x14ac:dyDescent="0.25">
      <c r="A2593" s="2">
        <v>44638</v>
      </c>
      <c r="B2593" s="1" t="s">
        <v>49</v>
      </c>
      <c r="C2593">
        <v>6430</v>
      </c>
      <c r="D2593" s="1" t="s">
        <v>188</v>
      </c>
      <c r="E2593" s="1" t="s">
        <v>4</v>
      </c>
      <c r="F2593">
        <v>42</v>
      </c>
      <c r="G2593" s="1" t="str">
        <f>Ocupacao_DW[[#This Row],[data]]&amp;Ocupacao_DW[[#This Row],[profissional_id]]&amp;Ocupacao_DW[[#This Row],[local_id]]</f>
        <v>44638643042</v>
      </c>
      <c r="H2593" s="1">
        <f>_xlfn.XLOOKUP(Ocupacao_DW[[#This Row],[Concat]],Vagas!$H:$H,Vagas!$D:$D,"",0)</f>
        <v>0</v>
      </c>
    </row>
    <row r="2594" spans="1:8" x14ac:dyDescent="0.25">
      <c r="A2594" s="2">
        <v>44636</v>
      </c>
      <c r="B2594" s="1"/>
      <c r="C2594">
        <v>5767</v>
      </c>
      <c r="D2594" s="1" t="s">
        <v>239</v>
      </c>
      <c r="E2594" s="1" t="s">
        <v>4</v>
      </c>
      <c r="F2594">
        <v>43</v>
      </c>
      <c r="G2594" s="1" t="str">
        <f>Ocupacao_DW[[#This Row],[data]]&amp;Ocupacao_DW[[#This Row],[profissional_id]]&amp;Ocupacao_DW[[#This Row],[local_id]]</f>
        <v>44636576743</v>
      </c>
      <c r="H2594" s="1">
        <f>_xlfn.XLOOKUP(Ocupacao_DW[[#This Row],[Concat]],Vagas!$H:$H,Vagas!$D:$D,"",0)</f>
        <v>0</v>
      </c>
    </row>
    <row r="2595" spans="1:8" x14ac:dyDescent="0.25">
      <c r="A2595" s="2">
        <v>44637</v>
      </c>
      <c r="B2595" s="1"/>
      <c r="C2595">
        <v>12582</v>
      </c>
      <c r="D2595" s="1" t="s">
        <v>190</v>
      </c>
      <c r="E2595" s="1" t="s">
        <v>6</v>
      </c>
      <c r="F2595">
        <v>6</v>
      </c>
      <c r="G2595" s="1" t="str">
        <f>Ocupacao_DW[[#This Row],[data]]&amp;Ocupacao_DW[[#This Row],[profissional_id]]&amp;Ocupacao_DW[[#This Row],[local_id]]</f>
        <v>44637125826</v>
      </c>
      <c r="H2595" s="1">
        <f>_xlfn.XLOOKUP(Ocupacao_DW[[#This Row],[Concat]],Vagas!$H:$H,Vagas!$D:$D,"",0)</f>
        <v>0</v>
      </c>
    </row>
    <row r="2596" spans="1:8" x14ac:dyDescent="0.25">
      <c r="A2596" s="2">
        <v>44637</v>
      </c>
      <c r="B2596" s="1"/>
      <c r="C2596">
        <v>12582</v>
      </c>
      <c r="D2596" s="1" t="s">
        <v>190</v>
      </c>
      <c r="E2596" s="1" t="s">
        <v>6</v>
      </c>
      <c r="F2596">
        <v>6</v>
      </c>
      <c r="G2596" s="1" t="str">
        <f>Ocupacao_DW[[#This Row],[data]]&amp;Ocupacao_DW[[#This Row],[profissional_id]]&amp;Ocupacao_DW[[#This Row],[local_id]]</f>
        <v>44637125826</v>
      </c>
      <c r="H2596" s="1">
        <f>_xlfn.XLOOKUP(Ocupacao_DW[[#This Row],[Concat]],Vagas!$H:$H,Vagas!$D:$D,"",0)</f>
        <v>0</v>
      </c>
    </row>
    <row r="2597" spans="1:8" x14ac:dyDescent="0.25">
      <c r="A2597" s="2">
        <v>44636</v>
      </c>
      <c r="B2597" s="1" t="s">
        <v>62</v>
      </c>
      <c r="C2597">
        <v>2567</v>
      </c>
      <c r="D2597" s="1" t="s">
        <v>198</v>
      </c>
      <c r="E2597" s="1" t="s">
        <v>5</v>
      </c>
      <c r="F2597">
        <v>349</v>
      </c>
      <c r="G2597" s="1" t="str">
        <f>Ocupacao_DW[[#This Row],[data]]&amp;Ocupacao_DW[[#This Row],[profissional_id]]&amp;Ocupacao_DW[[#This Row],[local_id]]</f>
        <v>446362567349</v>
      </c>
      <c r="H2597" s="1">
        <f>_xlfn.XLOOKUP(Ocupacao_DW[[#This Row],[Concat]],Vagas!$H:$H,Vagas!$D:$D,"",0)</f>
        <v>0</v>
      </c>
    </row>
    <row r="2598" spans="1:8" x14ac:dyDescent="0.25">
      <c r="A2598" s="2">
        <v>44636</v>
      </c>
      <c r="B2598" s="1"/>
      <c r="C2598">
        <v>12825</v>
      </c>
      <c r="D2598" s="1" t="s">
        <v>177</v>
      </c>
      <c r="E2598" s="1"/>
      <c r="F2598">
        <v>0</v>
      </c>
      <c r="G2598" s="1" t="str">
        <f>Ocupacao_DW[[#This Row],[data]]&amp;Ocupacao_DW[[#This Row],[profissional_id]]&amp;Ocupacao_DW[[#This Row],[local_id]]</f>
        <v>44636128250</v>
      </c>
      <c r="H2598" s="1" t="str">
        <f>_xlfn.XLOOKUP(Ocupacao_DW[[#This Row],[Concat]],Vagas!$H:$H,Vagas!$D:$D,"",0)</f>
        <v/>
      </c>
    </row>
    <row r="2599" spans="1:8" x14ac:dyDescent="0.25">
      <c r="A2599" s="2">
        <v>44639</v>
      </c>
      <c r="B2599" s="1" t="s">
        <v>62</v>
      </c>
      <c r="C2599">
        <v>4887</v>
      </c>
      <c r="D2599" s="1" t="s">
        <v>168</v>
      </c>
      <c r="E2599" s="1" t="s">
        <v>5</v>
      </c>
      <c r="F2599">
        <v>18</v>
      </c>
      <c r="G2599" s="1" t="str">
        <f>Ocupacao_DW[[#This Row],[data]]&amp;Ocupacao_DW[[#This Row],[profissional_id]]&amp;Ocupacao_DW[[#This Row],[local_id]]</f>
        <v>44639488718</v>
      </c>
      <c r="H2599" s="1">
        <f>_xlfn.XLOOKUP(Ocupacao_DW[[#This Row],[Concat]],Vagas!$H:$H,Vagas!$D:$D,"",0)</f>
        <v>0</v>
      </c>
    </row>
    <row r="2600" spans="1:8" x14ac:dyDescent="0.25">
      <c r="A2600" s="2">
        <v>44636</v>
      </c>
      <c r="B2600" s="1"/>
      <c r="C2600">
        <v>7551</v>
      </c>
      <c r="D2600" s="1" t="s">
        <v>246</v>
      </c>
      <c r="E2600" s="1" t="s">
        <v>5</v>
      </c>
      <c r="F2600">
        <v>15</v>
      </c>
      <c r="G2600" s="1" t="str">
        <f>Ocupacao_DW[[#This Row],[data]]&amp;Ocupacao_DW[[#This Row],[profissional_id]]&amp;Ocupacao_DW[[#This Row],[local_id]]</f>
        <v>44636755115</v>
      </c>
      <c r="H2600" s="1">
        <f>_xlfn.XLOOKUP(Ocupacao_DW[[#This Row],[Concat]],Vagas!$H:$H,Vagas!$D:$D,"",0)</f>
        <v>0</v>
      </c>
    </row>
    <row r="2601" spans="1:8" x14ac:dyDescent="0.25">
      <c r="A2601" s="2">
        <v>44637</v>
      </c>
      <c r="B2601" s="1"/>
      <c r="C2601">
        <v>12426</v>
      </c>
      <c r="D2601" s="1" t="s">
        <v>215</v>
      </c>
      <c r="E2601" s="1" t="s">
        <v>6</v>
      </c>
      <c r="F2601">
        <v>5</v>
      </c>
      <c r="G2601" s="1" t="str">
        <f>Ocupacao_DW[[#This Row],[data]]&amp;Ocupacao_DW[[#This Row],[profissional_id]]&amp;Ocupacao_DW[[#This Row],[local_id]]</f>
        <v>44637124265</v>
      </c>
      <c r="H2601" s="1">
        <f>_xlfn.XLOOKUP(Ocupacao_DW[[#This Row],[Concat]],Vagas!$H:$H,Vagas!$D:$D,"",0)</f>
        <v>0</v>
      </c>
    </row>
    <row r="2602" spans="1:8" x14ac:dyDescent="0.25">
      <c r="A2602" s="2">
        <v>44637</v>
      </c>
      <c r="B2602" s="1"/>
      <c r="C2602">
        <v>12582</v>
      </c>
      <c r="D2602" s="1" t="s">
        <v>190</v>
      </c>
      <c r="E2602" s="1" t="s">
        <v>6</v>
      </c>
      <c r="F2602">
        <v>6</v>
      </c>
      <c r="G2602" s="1" t="str">
        <f>Ocupacao_DW[[#This Row],[data]]&amp;Ocupacao_DW[[#This Row],[profissional_id]]&amp;Ocupacao_DW[[#This Row],[local_id]]</f>
        <v>44637125826</v>
      </c>
      <c r="H2602" s="1">
        <f>_xlfn.XLOOKUP(Ocupacao_DW[[#This Row],[Concat]],Vagas!$H:$H,Vagas!$D:$D,"",0)</f>
        <v>0</v>
      </c>
    </row>
    <row r="2603" spans="1:8" x14ac:dyDescent="0.25">
      <c r="A2603" s="2">
        <v>44636</v>
      </c>
      <c r="B2603" s="1"/>
      <c r="C2603">
        <v>13058</v>
      </c>
      <c r="D2603" s="1" t="s">
        <v>256</v>
      </c>
      <c r="E2603" s="1" t="s">
        <v>4</v>
      </c>
      <c r="F2603">
        <v>47</v>
      </c>
      <c r="G2603" s="1" t="str">
        <f>Ocupacao_DW[[#This Row],[data]]&amp;Ocupacao_DW[[#This Row],[profissional_id]]&amp;Ocupacao_DW[[#This Row],[local_id]]</f>
        <v>446361305847</v>
      </c>
      <c r="H2603" s="1">
        <f>_xlfn.XLOOKUP(Ocupacao_DW[[#This Row],[Concat]],Vagas!$H:$H,Vagas!$D:$D,"",0)</f>
        <v>0</v>
      </c>
    </row>
    <row r="2604" spans="1:8" x14ac:dyDescent="0.25">
      <c r="A2604" s="2">
        <v>44635</v>
      </c>
      <c r="B2604" s="1" t="s">
        <v>68</v>
      </c>
      <c r="C2604">
        <v>8239</v>
      </c>
      <c r="D2604" s="1" t="s">
        <v>257</v>
      </c>
      <c r="E2604" s="1" t="s">
        <v>5</v>
      </c>
      <c r="F2604">
        <v>14</v>
      </c>
      <c r="G2604" s="1" t="str">
        <f>Ocupacao_DW[[#This Row],[data]]&amp;Ocupacao_DW[[#This Row],[profissional_id]]&amp;Ocupacao_DW[[#This Row],[local_id]]</f>
        <v>44635823914</v>
      </c>
      <c r="H2604" s="1">
        <f>_xlfn.XLOOKUP(Ocupacao_DW[[#This Row],[Concat]],Vagas!$H:$H,Vagas!$D:$D,"",0)</f>
        <v>0</v>
      </c>
    </row>
    <row r="2605" spans="1:8" x14ac:dyDescent="0.25">
      <c r="A2605" s="2">
        <v>44635</v>
      </c>
      <c r="B2605" s="1"/>
      <c r="C2605">
        <v>14237</v>
      </c>
      <c r="D2605" s="1" t="s">
        <v>186</v>
      </c>
      <c r="E2605" s="1" t="s">
        <v>4</v>
      </c>
      <c r="F2605">
        <v>47</v>
      </c>
      <c r="G2605" s="1" t="str">
        <f>Ocupacao_DW[[#This Row],[data]]&amp;Ocupacao_DW[[#This Row],[profissional_id]]&amp;Ocupacao_DW[[#This Row],[local_id]]</f>
        <v>446351423747</v>
      </c>
      <c r="H2605" s="1">
        <f>_xlfn.XLOOKUP(Ocupacao_DW[[#This Row],[Concat]],Vagas!$H:$H,Vagas!$D:$D,"",0)</f>
        <v>0</v>
      </c>
    </row>
    <row r="2606" spans="1:8" x14ac:dyDescent="0.25">
      <c r="A2606" s="2">
        <v>44649</v>
      </c>
      <c r="B2606" s="1" t="s">
        <v>70</v>
      </c>
      <c r="C2606">
        <v>14237</v>
      </c>
      <c r="D2606" s="1" t="s">
        <v>186</v>
      </c>
      <c r="E2606" s="1" t="s">
        <v>4</v>
      </c>
      <c r="F2606">
        <v>47</v>
      </c>
      <c r="G2606" s="1" t="str">
        <f>Ocupacao_DW[[#This Row],[data]]&amp;Ocupacao_DW[[#This Row],[profissional_id]]&amp;Ocupacao_DW[[#This Row],[local_id]]</f>
        <v>446491423747</v>
      </c>
      <c r="H2606" s="1">
        <f>_xlfn.XLOOKUP(Ocupacao_DW[[#This Row],[Concat]],Vagas!$H:$H,Vagas!$D:$D,"",0)</f>
        <v>0</v>
      </c>
    </row>
    <row r="2607" spans="1:8" x14ac:dyDescent="0.25">
      <c r="A2607" s="2">
        <v>44649</v>
      </c>
      <c r="B2607" s="1" t="s">
        <v>70</v>
      </c>
      <c r="C2607">
        <v>14237</v>
      </c>
      <c r="D2607" s="1" t="s">
        <v>186</v>
      </c>
      <c r="E2607" s="1" t="s">
        <v>4</v>
      </c>
      <c r="F2607">
        <v>47</v>
      </c>
      <c r="G2607" s="1" t="str">
        <f>Ocupacao_DW[[#This Row],[data]]&amp;Ocupacao_DW[[#This Row],[profissional_id]]&amp;Ocupacao_DW[[#This Row],[local_id]]</f>
        <v>446491423747</v>
      </c>
      <c r="H2607" s="1">
        <f>_xlfn.XLOOKUP(Ocupacao_DW[[#This Row],[Concat]],Vagas!$H:$H,Vagas!$D:$D,"",0)</f>
        <v>0</v>
      </c>
    </row>
    <row r="2608" spans="1:8" x14ac:dyDescent="0.25">
      <c r="A2608" s="2">
        <v>44641</v>
      </c>
      <c r="B2608" s="1" t="s">
        <v>55</v>
      </c>
      <c r="C2608">
        <v>60</v>
      </c>
      <c r="D2608" s="1" t="s">
        <v>217</v>
      </c>
      <c r="E2608" s="1" t="s">
        <v>7</v>
      </c>
      <c r="F2608">
        <v>66</v>
      </c>
      <c r="G2608" s="1" t="str">
        <f>Ocupacao_DW[[#This Row],[data]]&amp;Ocupacao_DW[[#This Row],[profissional_id]]&amp;Ocupacao_DW[[#This Row],[local_id]]</f>
        <v>446416066</v>
      </c>
      <c r="H2608" s="1">
        <f>_xlfn.XLOOKUP(Ocupacao_DW[[#This Row],[Concat]],Vagas!$H:$H,Vagas!$D:$D,"",0)</f>
        <v>0</v>
      </c>
    </row>
    <row r="2609" spans="1:8" x14ac:dyDescent="0.25">
      <c r="A2609" s="2">
        <v>44641</v>
      </c>
      <c r="B2609" s="1" t="s">
        <v>49</v>
      </c>
      <c r="C2609">
        <v>81</v>
      </c>
      <c r="D2609" s="1" t="s">
        <v>170</v>
      </c>
      <c r="E2609" s="1" t="s">
        <v>4</v>
      </c>
      <c r="F2609">
        <v>41</v>
      </c>
      <c r="G2609" s="1" t="str">
        <f>Ocupacao_DW[[#This Row],[data]]&amp;Ocupacao_DW[[#This Row],[profissional_id]]&amp;Ocupacao_DW[[#This Row],[local_id]]</f>
        <v>446418141</v>
      </c>
      <c r="H2609" s="1">
        <f>_xlfn.XLOOKUP(Ocupacao_DW[[#This Row],[Concat]],Vagas!$H:$H,Vagas!$D:$D,"",0)</f>
        <v>0</v>
      </c>
    </row>
    <row r="2610" spans="1:8" x14ac:dyDescent="0.25">
      <c r="A2610" s="2">
        <v>44639</v>
      </c>
      <c r="B2610" s="1" t="s">
        <v>47</v>
      </c>
      <c r="C2610">
        <v>111</v>
      </c>
      <c r="D2610" s="1" t="s">
        <v>199</v>
      </c>
      <c r="E2610" s="1" t="s">
        <v>4</v>
      </c>
      <c r="F2610">
        <v>51</v>
      </c>
      <c r="G2610" s="1" t="str">
        <f>Ocupacao_DW[[#This Row],[data]]&amp;Ocupacao_DW[[#This Row],[profissional_id]]&amp;Ocupacao_DW[[#This Row],[local_id]]</f>
        <v>4463911151</v>
      </c>
      <c r="H2610" s="1">
        <f>_xlfn.XLOOKUP(Ocupacao_DW[[#This Row],[Concat]],Vagas!$H:$H,Vagas!$D:$D,"",0)</f>
        <v>0</v>
      </c>
    </row>
    <row r="2611" spans="1:8" x14ac:dyDescent="0.25">
      <c r="A2611" s="2">
        <v>44651</v>
      </c>
      <c r="B2611" s="1" t="s">
        <v>52</v>
      </c>
      <c r="C2611">
        <v>60</v>
      </c>
      <c r="D2611" s="1" t="s">
        <v>217</v>
      </c>
      <c r="E2611" s="1" t="s">
        <v>167</v>
      </c>
      <c r="F2611">
        <v>346</v>
      </c>
      <c r="G2611" s="1" t="str">
        <f>Ocupacao_DW[[#This Row],[data]]&amp;Ocupacao_DW[[#This Row],[profissional_id]]&amp;Ocupacao_DW[[#This Row],[local_id]]</f>
        <v>4465160346</v>
      </c>
      <c r="H2611" s="1">
        <f>_xlfn.XLOOKUP(Ocupacao_DW[[#This Row],[Concat]],Vagas!$H:$H,Vagas!$D:$D,"",0)</f>
        <v>0</v>
      </c>
    </row>
    <row r="2612" spans="1:8" x14ac:dyDescent="0.25">
      <c r="A2612" s="2">
        <v>44636</v>
      </c>
      <c r="B2612" s="1" t="s">
        <v>70</v>
      </c>
      <c r="C2612">
        <v>12519</v>
      </c>
      <c r="D2612" s="1" t="s">
        <v>176</v>
      </c>
      <c r="E2612" s="1" t="s">
        <v>4</v>
      </c>
      <c r="F2612">
        <v>48</v>
      </c>
      <c r="G2612" s="1" t="str">
        <f>Ocupacao_DW[[#This Row],[data]]&amp;Ocupacao_DW[[#This Row],[profissional_id]]&amp;Ocupacao_DW[[#This Row],[local_id]]</f>
        <v>446361251948</v>
      </c>
      <c r="H2612" s="1">
        <f>_xlfn.XLOOKUP(Ocupacao_DW[[#This Row],[Concat]],Vagas!$H:$H,Vagas!$D:$D,"",0)</f>
        <v>0</v>
      </c>
    </row>
    <row r="2613" spans="1:8" x14ac:dyDescent="0.25">
      <c r="A2613" s="2">
        <v>44641</v>
      </c>
      <c r="B2613" s="1" t="s">
        <v>54</v>
      </c>
      <c r="C2613">
        <v>10941</v>
      </c>
      <c r="D2613" s="1" t="s">
        <v>224</v>
      </c>
      <c r="E2613" s="1" t="s">
        <v>7</v>
      </c>
      <c r="F2613">
        <v>67</v>
      </c>
      <c r="G2613" s="1" t="str">
        <f>Ocupacao_DW[[#This Row],[data]]&amp;Ocupacao_DW[[#This Row],[profissional_id]]&amp;Ocupacao_DW[[#This Row],[local_id]]</f>
        <v>446411094167</v>
      </c>
      <c r="H2613" s="1">
        <f>_xlfn.XLOOKUP(Ocupacao_DW[[#This Row],[Concat]],Vagas!$H:$H,Vagas!$D:$D,"",0)</f>
        <v>0</v>
      </c>
    </row>
    <row r="2614" spans="1:8" x14ac:dyDescent="0.25">
      <c r="A2614" s="2">
        <v>44643</v>
      </c>
      <c r="B2614" s="1"/>
      <c r="C2614">
        <v>12519</v>
      </c>
      <c r="D2614" s="1" t="s">
        <v>176</v>
      </c>
      <c r="E2614" s="1" t="s">
        <v>4</v>
      </c>
      <c r="F2614">
        <v>48</v>
      </c>
      <c r="G2614" s="1" t="str">
        <f>Ocupacao_DW[[#This Row],[data]]&amp;Ocupacao_DW[[#This Row],[profissional_id]]&amp;Ocupacao_DW[[#This Row],[local_id]]</f>
        <v>446431251948</v>
      </c>
      <c r="H2614" s="1">
        <f>_xlfn.XLOOKUP(Ocupacao_DW[[#This Row],[Concat]],Vagas!$H:$H,Vagas!$D:$D,"",0)</f>
        <v>0</v>
      </c>
    </row>
    <row r="2615" spans="1:8" x14ac:dyDescent="0.25">
      <c r="A2615" s="2">
        <v>44643</v>
      </c>
      <c r="B2615" s="1" t="s">
        <v>70</v>
      </c>
      <c r="C2615">
        <v>12519</v>
      </c>
      <c r="D2615" s="1" t="s">
        <v>176</v>
      </c>
      <c r="E2615" s="1" t="s">
        <v>4</v>
      </c>
      <c r="F2615">
        <v>48</v>
      </c>
      <c r="G2615" s="1" t="str">
        <f>Ocupacao_DW[[#This Row],[data]]&amp;Ocupacao_DW[[#This Row],[profissional_id]]&amp;Ocupacao_DW[[#This Row],[local_id]]</f>
        <v>446431251948</v>
      </c>
      <c r="H2615" s="1">
        <f>_xlfn.XLOOKUP(Ocupacao_DW[[#This Row],[Concat]],Vagas!$H:$H,Vagas!$D:$D,"",0)</f>
        <v>0</v>
      </c>
    </row>
    <row r="2616" spans="1:8" x14ac:dyDescent="0.25">
      <c r="A2616" s="2">
        <v>44641</v>
      </c>
      <c r="B2616" s="1" t="s">
        <v>55</v>
      </c>
      <c r="C2616">
        <v>6392</v>
      </c>
      <c r="D2616" s="1" t="s">
        <v>173</v>
      </c>
      <c r="E2616" s="1" t="s">
        <v>6</v>
      </c>
      <c r="F2616">
        <v>5</v>
      </c>
      <c r="G2616" s="1" t="str">
        <f>Ocupacao_DW[[#This Row],[data]]&amp;Ocupacao_DW[[#This Row],[profissional_id]]&amp;Ocupacao_DW[[#This Row],[local_id]]</f>
        <v>4464163925</v>
      </c>
      <c r="H2616" s="1">
        <f>_xlfn.XLOOKUP(Ocupacao_DW[[#This Row],[Concat]],Vagas!$H:$H,Vagas!$D:$D,"",0)</f>
        <v>0</v>
      </c>
    </row>
    <row r="2617" spans="1:8" x14ac:dyDescent="0.25">
      <c r="A2617" s="2">
        <v>44636</v>
      </c>
      <c r="B2617" s="1" t="s">
        <v>62</v>
      </c>
      <c r="C2617">
        <v>3502</v>
      </c>
      <c r="D2617" s="1" t="s">
        <v>214</v>
      </c>
      <c r="E2617" s="1" t="s">
        <v>5</v>
      </c>
      <c r="F2617">
        <v>16</v>
      </c>
      <c r="G2617" s="1" t="str">
        <f>Ocupacao_DW[[#This Row],[data]]&amp;Ocupacao_DW[[#This Row],[profissional_id]]&amp;Ocupacao_DW[[#This Row],[local_id]]</f>
        <v>44636350216</v>
      </c>
      <c r="H2617" s="1">
        <f>_xlfn.XLOOKUP(Ocupacao_DW[[#This Row],[Concat]],Vagas!$H:$H,Vagas!$D:$D,"",0)</f>
        <v>0</v>
      </c>
    </row>
    <row r="2618" spans="1:8" x14ac:dyDescent="0.25">
      <c r="A2618" s="2">
        <v>44635</v>
      </c>
      <c r="B2618" s="1" t="s">
        <v>55</v>
      </c>
      <c r="C2618">
        <v>73</v>
      </c>
      <c r="D2618" s="1" t="s">
        <v>171</v>
      </c>
      <c r="E2618" s="1" t="s">
        <v>6</v>
      </c>
      <c r="F2618">
        <v>5</v>
      </c>
      <c r="G2618" s="1" t="str">
        <f>Ocupacao_DW[[#This Row],[data]]&amp;Ocupacao_DW[[#This Row],[profissional_id]]&amp;Ocupacao_DW[[#This Row],[local_id]]</f>
        <v>44635735</v>
      </c>
      <c r="H2618" s="1">
        <f>_xlfn.XLOOKUP(Ocupacao_DW[[#This Row],[Concat]],Vagas!$H:$H,Vagas!$D:$D,"",0)</f>
        <v>0</v>
      </c>
    </row>
    <row r="2619" spans="1:8" x14ac:dyDescent="0.25">
      <c r="A2619" s="2">
        <v>44642</v>
      </c>
      <c r="B2619" s="1" t="s">
        <v>56</v>
      </c>
      <c r="C2619">
        <v>1586</v>
      </c>
      <c r="D2619" s="1" t="s">
        <v>261</v>
      </c>
      <c r="E2619" s="1" t="s">
        <v>7</v>
      </c>
      <c r="F2619">
        <v>67</v>
      </c>
      <c r="G2619" s="1" t="str">
        <f>Ocupacao_DW[[#This Row],[data]]&amp;Ocupacao_DW[[#This Row],[profissional_id]]&amp;Ocupacao_DW[[#This Row],[local_id]]</f>
        <v>44642158667</v>
      </c>
      <c r="H2619" s="1">
        <f>_xlfn.XLOOKUP(Ocupacao_DW[[#This Row],[Concat]],Vagas!$H:$H,Vagas!$D:$D,"",0)</f>
        <v>0</v>
      </c>
    </row>
    <row r="2620" spans="1:8" x14ac:dyDescent="0.25">
      <c r="A2620" s="2">
        <v>44652</v>
      </c>
      <c r="B2620" s="1" t="s">
        <v>52</v>
      </c>
      <c r="C2620">
        <v>57</v>
      </c>
      <c r="D2620" s="1" t="s">
        <v>169</v>
      </c>
      <c r="E2620" s="1" t="s">
        <v>6</v>
      </c>
      <c r="F2620">
        <v>8</v>
      </c>
      <c r="G2620" s="1" t="str">
        <f>Ocupacao_DW[[#This Row],[data]]&amp;Ocupacao_DW[[#This Row],[profissional_id]]&amp;Ocupacao_DW[[#This Row],[local_id]]</f>
        <v>44652578</v>
      </c>
      <c r="H2620" s="1">
        <f>_xlfn.XLOOKUP(Ocupacao_DW[[#This Row],[Concat]],Vagas!$H:$H,Vagas!$D:$D,"",0)</f>
        <v>0</v>
      </c>
    </row>
    <row r="2621" spans="1:8" x14ac:dyDescent="0.25">
      <c r="A2621" s="2">
        <v>44637</v>
      </c>
      <c r="B2621" s="1" t="s">
        <v>49</v>
      </c>
      <c r="C2621">
        <v>3092</v>
      </c>
      <c r="D2621" s="1" t="s">
        <v>262</v>
      </c>
      <c r="E2621" s="1" t="s">
        <v>4</v>
      </c>
      <c r="F2621">
        <v>43</v>
      </c>
      <c r="G2621" s="1" t="str">
        <f>Ocupacao_DW[[#This Row],[data]]&amp;Ocupacao_DW[[#This Row],[profissional_id]]&amp;Ocupacao_DW[[#This Row],[local_id]]</f>
        <v>44637309243</v>
      </c>
      <c r="H2621" s="1">
        <f>_xlfn.XLOOKUP(Ocupacao_DW[[#This Row],[Concat]],Vagas!$H:$H,Vagas!$D:$D,"",0)</f>
        <v>0</v>
      </c>
    </row>
    <row r="2622" spans="1:8" x14ac:dyDescent="0.25">
      <c r="A2622" s="2">
        <v>44641</v>
      </c>
      <c r="B2622" s="1" t="s">
        <v>55</v>
      </c>
      <c r="C2622">
        <v>6392</v>
      </c>
      <c r="D2622" s="1" t="s">
        <v>173</v>
      </c>
      <c r="E2622" s="1" t="s">
        <v>6</v>
      </c>
      <c r="F2622">
        <v>5</v>
      </c>
      <c r="G2622" s="1" t="str">
        <f>Ocupacao_DW[[#This Row],[data]]&amp;Ocupacao_DW[[#This Row],[profissional_id]]&amp;Ocupacao_DW[[#This Row],[local_id]]</f>
        <v>4464163925</v>
      </c>
      <c r="H2622" s="1">
        <f>_xlfn.XLOOKUP(Ocupacao_DW[[#This Row],[Concat]],Vagas!$H:$H,Vagas!$D:$D,"",0)</f>
        <v>0</v>
      </c>
    </row>
    <row r="2623" spans="1:8" x14ac:dyDescent="0.25">
      <c r="A2623" s="2">
        <v>44635</v>
      </c>
      <c r="B2623" s="1" t="s">
        <v>70</v>
      </c>
      <c r="C2623">
        <v>14237</v>
      </c>
      <c r="D2623" s="1" t="s">
        <v>186</v>
      </c>
      <c r="E2623" s="1" t="s">
        <v>4</v>
      </c>
      <c r="F2623">
        <v>47</v>
      </c>
      <c r="G2623" s="1" t="str">
        <f>Ocupacao_DW[[#This Row],[data]]&amp;Ocupacao_DW[[#This Row],[profissional_id]]&amp;Ocupacao_DW[[#This Row],[local_id]]</f>
        <v>446351423747</v>
      </c>
      <c r="H2623" s="1">
        <f>_xlfn.XLOOKUP(Ocupacao_DW[[#This Row],[Concat]],Vagas!$H:$H,Vagas!$D:$D,"",0)</f>
        <v>0</v>
      </c>
    </row>
    <row r="2624" spans="1:8" x14ac:dyDescent="0.25">
      <c r="A2624" s="2">
        <v>44643</v>
      </c>
      <c r="B2624" s="1" t="s">
        <v>69</v>
      </c>
      <c r="C2624">
        <v>17878</v>
      </c>
      <c r="D2624" s="1" t="s">
        <v>183</v>
      </c>
      <c r="E2624" s="1" t="s">
        <v>7</v>
      </c>
      <c r="F2624">
        <v>63</v>
      </c>
      <c r="G2624" s="1" t="str">
        <f>Ocupacao_DW[[#This Row],[data]]&amp;Ocupacao_DW[[#This Row],[profissional_id]]&amp;Ocupacao_DW[[#This Row],[local_id]]</f>
        <v>446431787863</v>
      </c>
      <c r="H2624" s="1">
        <f>_xlfn.XLOOKUP(Ocupacao_DW[[#This Row],[Concat]],Vagas!$H:$H,Vagas!$D:$D,"",0)</f>
        <v>0</v>
      </c>
    </row>
    <row r="2625" spans="1:8" x14ac:dyDescent="0.25">
      <c r="A2625" s="2">
        <v>44641</v>
      </c>
      <c r="B2625" s="1" t="s">
        <v>64</v>
      </c>
      <c r="C2625">
        <v>86</v>
      </c>
      <c r="D2625" s="1" t="s">
        <v>175</v>
      </c>
      <c r="E2625" s="1" t="s">
        <v>5</v>
      </c>
      <c r="F2625">
        <v>349</v>
      </c>
      <c r="G2625" s="1" t="str">
        <f>Ocupacao_DW[[#This Row],[data]]&amp;Ocupacao_DW[[#This Row],[profissional_id]]&amp;Ocupacao_DW[[#This Row],[local_id]]</f>
        <v>4464186349</v>
      </c>
      <c r="H2625" s="1">
        <f>_xlfn.XLOOKUP(Ocupacao_DW[[#This Row],[Concat]],Vagas!$H:$H,Vagas!$D:$D,"",0)</f>
        <v>0</v>
      </c>
    </row>
    <row r="2626" spans="1:8" x14ac:dyDescent="0.25">
      <c r="A2626" s="2">
        <v>44643</v>
      </c>
      <c r="B2626" s="1" t="s">
        <v>52</v>
      </c>
      <c r="C2626">
        <v>57</v>
      </c>
      <c r="D2626" s="1" t="s">
        <v>169</v>
      </c>
      <c r="E2626" s="1" t="s">
        <v>6</v>
      </c>
      <c r="F2626">
        <v>4</v>
      </c>
      <c r="G2626" s="1" t="str">
        <f>Ocupacao_DW[[#This Row],[data]]&amp;Ocupacao_DW[[#This Row],[profissional_id]]&amp;Ocupacao_DW[[#This Row],[local_id]]</f>
        <v>44643574</v>
      </c>
      <c r="H2626" s="1">
        <f>_xlfn.XLOOKUP(Ocupacao_DW[[#This Row],[Concat]],Vagas!$H:$H,Vagas!$D:$D,"",0)</f>
        <v>0</v>
      </c>
    </row>
    <row r="2627" spans="1:8" x14ac:dyDescent="0.25">
      <c r="A2627" s="2">
        <v>44636</v>
      </c>
      <c r="B2627" s="1" t="s">
        <v>52</v>
      </c>
      <c r="C2627">
        <v>60</v>
      </c>
      <c r="D2627" s="1" t="s">
        <v>217</v>
      </c>
      <c r="E2627" s="1" t="s">
        <v>6</v>
      </c>
      <c r="F2627">
        <v>8</v>
      </c>
      <c r="G2627" s="1" t="str">
        <f>Ocupacao_DW[[#This Row],[data]]&amp;Ocupacao_DW[[#This Row],[profissional_id]]&amp;Ocupacao_DW[[#This Row],[local_id]]</f>
        <v>44636608</v>
      </c>
      <c r="H2627" s="1">
        <f>_xlfn.XLOOKUP(Ocupacao_DW[[#This Row],[Concat]],Vagas!$H:$H,Vagas!$D:$D,"",0)</f>
        <v>0</v>
      </c>
    </row>
    <row r="2628" spans="1:8" x14ac:dyDescent="0.25">
      <c r="A2628" s="2">
        <v>44635</v>
      </c>
      <c r="B2628" s="1" t="s">
        <v>70</v>
      </c>
      <c r="C2628">
        <v>12825</v>
      </c>
      <c r="D2628" s="1" t="s">
        <v>177</v>
      </c>
      <c r="E2628" s="1" t="s">
        <v>7</v>
      </c>
      <c r="F2628">
        <v>63</v>
      </c>
      <c r="G2628" s="1" t="str">
        <f>Ocupacao_DW[[#This Row],[data]]&amp;Ocupacao_DW[[#This Row],[profissional_id]]&amp;Ocupacao_DW[[#This Row],[local_id]]</f>
        <v>446351282563</v>
      </c>
      <c r="H2628" s="1">
        <f>_xlfn.XLOOKUP(Ocupacao_DW[[#This Row],[Concat]],Vagas!$H:$H,Vagas!$D:$D,"",0)</f>
        <v>0</v>
      </c>
    </row>
    <row r="2629" spans="1:8" x14ac:dyDescent="0.25">
      <c r="A2629" s="2">
        <v>44636</v>
      </c>
      <c r="B2629" s="1" t="s">
        <v>52</v>
      </c>
      <c r="C2629">
        <v>60</v>
      </c>
      <c r="D2629" s="1" t="s">
        <v>217</v>
      </c>
      <c r="E2629" s="1" t="s">
        <v>6</v>
      </c>
      <c r="F2629">
        <v>8</v>
      </c>
      <c r="G2629" s="1" t="str">
        <f>Ocupacao_DW[[#This Row],[data]]&amp;Ocupacao_DW[[#This Row],[profissional_id]]&amp;Ocupacao_DW[[#This Row],[local_id]]</f>
        <v>44636608</v>
      </c>
      <c r="H2629" s="1">
        <f>_xlfn.XLOOKUP(Ocupacao_DW[[#This Row],[Concat]],Vagas!$H:$H,Vagas!$D:$D,"",0)</f>
        <v>0</v>
      </c>
    </row>
    <row r="2630" spans="1:8" x14ac:dyDescent="0.25">
      <c r="A2630" s="2">
        <v>44643</v>
      </c>
      <c r="B2630" s="1" t="s">
        <v>58</v>
      </c>
      <c r="C2630">
        <v>5767</v>
      </c>
      <c r="D2630" s="1" t="s">
        <v>239</v>
      </c>
      <c r="E2630" s="1" t="s">
        <v>4</v>
      </c>
      <c r="F2630">
        <v>43</v>
      </c>
      <c r="G2630" s="1" t="str">
        <f>Ocupacao_DW[[#This Row],[data]]&amp;Ocupacao_DW[[#This Row],[profissional_id]]&amp;Ocupacao_DW[[#This Row],[local_id]]</f>
        <v>44643576743</v>
      </c>
      <c r="H2630" s="1">
        <f>_xlfn.XLOOKUP(Ocupacao_DW[[#This Row],[Concat]],Vagas!$H:$H,Vagas!$D:$D,"",0)</f>
        <v>11</v>
      </c>
    </row>
    <row r="2631" spans="1:8" x14ac:dyDescent="0.25">
      <c r="A2631" s="2">
        <v>44642</v>
      </c>
      <c r="B2631" s="1" t="s">
        <v>70</v>
      </c>
      <c r="C2631">
        <v>14237</v>
      </c>
      <c r="D2631" s="1" t="s">
        <v>186</v>
      </c>
      <c r="E2631" s="1" t="s">
        <v>4</v>
      </c>
      <c r="F2631">
        <v>47</v>
      </c>
      <c r="G2631" s="1" t="str">
        <f>Ocupacao_DW[[#This Row],[data]]&amp;Ocupacao_DW[[#This Row],[profissional_id]]&amp;Ocupacao_DW[[#This Row],[local_id]]</f>
        <v>446421423747</v>
      </c>
      <c r="H2631" s="1">
        <f>_xlfn.XLOOKUP(Ocupacao_DW[[#This Row],[Concat]],Vagas!$H:$H,Vagas!$D:$D,"",0)</f>
        <v>0</v>
      </c>
    </row>
    <row r="2632" spans="1:8" x14ac:dyDescent="0.25">
      <c r="A2632" s="2">
        <v>44637</v>
      </c>
      <c r="B2632" s="1" t="s">
        <v>55</v>
      </c>
      <c r="C2632">
        <v>12426</v>
      </c>
      <c r="D2632" s="1" t="s">
        <v>215</v>
      </c>
      <c r="E2632" s="1" t="s">
        <v>6</v>
      </c>
      <c r="F2632">
        <v>5</v>
      </c>
      <c r="G2632" s="1" t="str">
        <f>Ocupacao_DW[[#This Row],[data]]&amp;Ocupacao_DW[[#This Row],[profissional_id]]&amp;Ocupacao_DW[[#This Row],[local_id]]</f>
        <v>44637124265</v>
      </c>
      <c r="H2632" s="1">
        <f>_xlfn.XLOOKUP(Ocupacao_DW[[#This Row],[Concat]],Vagas!$H:$H,Vagas!$D:$D,"",0)</f>
        <v>0</v>
      </c>
    </row>
    <row r="2633" spans="1:8" x14ac:dyDescent="0.25">
      <c r="A2633" s="2">
        <v>44642</v>
      </c>
      <c r="B2633" s="1" t="s">
        <v>70</v>
      </c>
      <c r="C2633">
        <v>14237</v>
      </c>
      <c r="D2633" s="1" t="s">
        <v>186</v>
      </c>
      <c r="E2633" s="1" t="s">
        <v>4</v>
      </c>
      <c r="F2633">
        <v>47</v>
      </c>
      <c r="G2633" s="1" t="str">
        <f>Ocupacao_DW[[#This Row],[data]]&amp;Ocupacao_DW[[#This Row],[profissional_id]]&amp;Ocupacao_DW[[#This Row],[local_id]]</f>
        <v>446421423747</v>
      </c>
      <c r="H2633" s="1">
        <f>_xlfn.XLOOKUP(Ocupacao_DW[[#This Row],[Concat]],Vagas!$H:$H,Vagas!$D:$D,"",0)</f>
        <v>0</v>
      </c>
    </row>
    <row r="2634" spans="1:8" x14ac:dyDescent="0.25">
      <c r="A2634" s="2">
        <v>44635</v>
      </c>
      <c r="B2634" s="1" t="s">
        <v>55</v>
      </c>
      <c r="C2634">
        <v>73</v>
      </c>
      <c r="D2634" s="1" t="s">
        <v>171</v>
      </c>
      <c r="E2634" s="1" t="s">
        <v>6</v>
      </c>
      <c r="F2634">
        <v>5</v>
      </c>
      <c r="G2634" s="1" t="str">
        <f>Ocupacao_DW[[#This Row],[data]]&amp;Ocupacao_DW[[#This Row],[profissional_id]]&amp;Ocupacao_DW[[#This Row],[local_id]]</f>
        <v>44635735</v>
      </c>
      <c r="H2634" s="1">
        <f>_xlfn.XLOOKUP(Ocupacao_DW[[#This Row],[Concat]],Vagas!$H:$H,Vagas!$D:$D,"",0)</f>
        <v>0</v>
      </c>
    </row>
    <row r="2635" spans="1:8" x14ac:dyDescent="0.25">
      <c r="A2635" s="2">
        <v>44636</v>
      </c>
      <c r="B2635" s="1" t="s">
        <v>64</v>
      </c>
      <c r="C2635">
        <v>531</v>
      </c>
      <c r="D2635" s="1" t="s">
        <v>213</v>
      </c>
      <c r="E2635" s="1" t="s">
        <v>5</v>
      </c>
      <c r="F2635">
        <v>12</v>
      </c>
      <c r="G2635" s="1" t="str">
        <f>Ocupacao_DW[[#This Row],[data]]&amp;Ocupacao_DW[[#This Row],[profissional_id]]&amp;Ocupacao_DW[[#This Row],[local_id]]</f>
        <v>4463653112</v>
      </c>
      <c r="H2635" s="1">
        <f>_xlfn.XLOOKUP(Ocupacao_DW[[#This Row],[Concat]],Vagas!$H:$H,Vagas!$D:$D,"",0)</f>
        <v>0</v>
      </c>
    </row>
    <row r="2636" spans="1:8" x14ac:dyDescent="0.25">
      <c r="A2636" s="2">
        <v>44641</v>
      </c>
      <c r="B2636" s="1" t="s">
        <v>55</v>
      </c>
      <c r="C2636">
        <v>60</v>
      </c>
      <c r="D2636" s="1" t="s">
        <v>217</v>
      </c>
      <c r="E2636" s="1" t="s">
        <v>7</v>
      </c>
      <c r="F2636">
        <v>66</v>
      </c>
      <c r="G2636" s="1" t="str">
        <f>Ocupacao_DW[[#This Row],[data]]&amp;Ocupacao_DW[[#This Row],[profissional_id]]&amp;Ocupacao_DW[[#This Row],[local_id]]</f>
        <v>446416066</v>
      </c>
      <c r="H2636" s="1">
        <f>_xlfn.XLOOKUP(Ocupacao_DW[[#This Row],[Concat]],Vagas!$H:$H,Vagas!$D:$D,"",0)</f>
        <v>0</v>
      </c>
    </row>
    <row r="2637" spans="1:8" x14ac:dyDescent="0.25">
      <c r="A2637" s="2">
        <v>44635</v>
      </c>
      <c r="B2637" s="1" t="s">
        <v>65</v>
      </c>
      <c r="C2637">
        <v>11237</v>
      </c>
      <c r="D2637" s="1" t="s">
        <v>229</v>
      </c>
      <c r="E2637" s="1" t="s">
        <v>4</v>
      </c>
      <c r="F2637">
        <v>46</v>
      </c>
      <c r="G2637" s="1" t="str">
        <f>Ocupacao_DW[[#This Row],[data]]&amp;Ocupacao_DW[[#This Row],[profissional_id]]&amp;Ocupacao_DW[[#This Row],[local_id]]</f>
        <v>446351123746</v>
      </c>
      <c r="H2637" s="1">
        <f>_xlfn.XLOOKUP(Ocupacao_DW[[#This Row],[Concat]],Vagas!$H:$H,Vagas!$D:$D,"",0)</f>
        <v>0</v>
      </c>
    </row>
    <row r="2638" spans="1:8" x14ac:dyDescent="0.25">
      <c r="A2638" s="2">
        <v>44638</v>
      </c>
      <c r="B2638" s="1" t="s">
        <v>24</v>
      </c>
      <c r="C2638">
        <v>60</v>
      </c>
      <c r="D2638" s="1" t="s">
        <v>217</v>
      </c>
      <c r="E2638" s="1" t="s">
        <v>6</v>
      </c>
      <c r="F2638">
        <v>1</v>
      </c>
      <c r="G2638" s="1" t="str">
        <f>Ocupacao_DW[[#This Row],[data]]&amp;Ocupacao_DW[[#This Row],[profissional_id]]&amp;Ocupacao_DW[[#This Row],[local_id]]</f>
        <v>44638601</v>
      </c>
      <c r="H2638" s="1">
        <f>_xlfn.XLOOKUP(Ocupacao_DW[[#This Row],[Concat]],Vagas!$H:$H,Vagas!$D:$D,"",0)</f>
        <v>0</v>
      </c>
    </row>
    <row r="2639" spans="1:8" x14ac:dyDescent="0.25">
      <c r="A2639" s="2">
        <v>44637</v>
      </c>
      <c r="B2639" s="1" t="s">
        <v>67</v>
      </c>
      <c r="C2639">
        <v>10717</v>
      </c>
      <c r="D2639" s="1" t="s">
        <v>245</v>
      </c>
      <c r="E2639" s="1" t="s">
        <v>200</v>
      </c>
      <c r="F2639">
        <v>78</v>
      </c>
      <c r="G2639" s="1" t="str">
        <f>Ocupacao_DW[[#This Row],[data]]&amp;Ocupacao_DW[[#This Row],[profissional_id]]&amp;Ocupacao_DW[[#This Row],[local_id]]</f>
        <v>446371071778</v>
      </c>
      <c r="H2639" s="1">
        <f>_xlfn.XLOOKUP(Ocupacao_DW[[#This Row],[Concat]],Vagas!$H:$H,Vagas!$D:$D,"",0)</f>
        <v>0</v>
      </c>
    </row>
    <row r="2640" spans="1:8" x14ac:dyDescent="0.25">
      <c r="A2640" s="2">
        <v>44638</v>
      </c>
      <c r="B2640" s="1" t="s">
        <v>62</v>
      </c>
      <c r="C2640">
        <v>3502</v>
      </c>
      <c r="D2640" s="1" t="s">
        <v>214</v>
      </c>
      <c r="E2640" s="1" t="s">
        <v>7</v>
      </c>
      <c r="F2640">
        <v>69</v>
      </c>
      <c r="G2640" s="1" t="str">
        <f>Ocupacao_DW[[#This Row],[data]]&amp;Ocupacao_DW[[#This Row],[profissional_id]]&amp;Ocupacao_DW[[#This Row],[local_id]]</f>
        <v>44638350269</v>
      </c>
      <c r="H2640" s="1">
        <f>_xlfn.XLOOKUP(Ocupacao_DW[[#This Row],[Concat]],Vagas!$H:$H,Vagas!$D:$D,"",0)</f>
        <v>0</v>
      </c>
    </row>
    <row r="2641" spans="1:8" x14ac:dyDescent="0.25">
      <c r="A2641" s="2">
        <v>44635</v>
      </c>
      <c r="B2641" s="1" t="s">
        <v>47</v>
      </c>
      <c r="C2641">
        <v>9111</v>
      </c>
      <c r="D2641" s="1" t="s">
        <v>206</v>
      </c>
      <c r="E2641" s="1" t="s">
        <v>4</v>
      </c>
      <c r="F2641">
        <v>335</v>
      </c>
      <c r="G2641" s="1" t="str">
        <f>Ocupacao_DW[[#This Row],[data]]&amp;Ocupacao_DW[[#This Row],[profissional_id]]&amp;Ocupacao_DW[[#This Row],[local_id]]</f>
        <v>446359111335</v>
      </c>
      <c r="H2641" s="1">
        <f>_xlfn.XLOOKUP(Ocupacao_DW[[#This Row],[Concat]],Vagas!$H:$H,Vagas!$D:$D,"",0)</f>
        <v>0</v>
      </c>
    </row>
    <row r="2642" spans="1:8" x14ac:dyDescent="0.25">
      <c r="A2642" s="2">
        <v>44635</v>
      </c>
      <c r="B2642" s="1" t="s">
        <v>51</v>
      </c>
      <c r="C2642">
        <v>12582</v>
      </c>
      <c r="D2642" s="1" t="s">
        <v>190</v>
      </c>
      <c r="E2642" s="1" t="s">
        <v>7</v>
      </c>
      <c r="F2642">
        <v>62</v>
      </c>
      <c r="G2642" s="1" t="str">
        <f>Ocupacao_DW[[#This Row],[data]]&amp;Ocupacao_DW[[#This Row],[profissional_id]]&amp;Ocupacao_DW[[#This Row],[local_id]]</f>
        <v>446351258262</v>
      </c>
      <c r="H2642" s="1">
        <f>_xlfn.XLOOKUP(Ocupacao_DW[[#This Row],[Concat]],Vagas!$H:$H,Vagas!$D:$D,"",0)</f>
        <v>0</v>
      </c>
    </row>
    <row r="2643" spans="1:8" x14ac:dyDescent="0.25">
      <c r="A2643" s="2">
        <v>44635</v>
      </c>
      <c r="B2643" s="1" t="s">
        <v>47</v>
      </c>
      <c r="C2643">
        <v>9111</v>
      </c>
      <c r="D2643" s="1" t="s">
        <v>206</v>
      </c>
      <c r="E2643" s="1" t="s">
        <v>4</v>
      </c>
      <c r="F2643">
        <v>335</v>
      </c>
      <c r="G2643" s="1" t="str">
        <f>Ocupacao_DW[[#This Row],[data]]&amp;Ocupacao_DW[[#This Row],[profissional_id]]&amp;Ocupacao_DW[[#This Row],[local_id]]</f>
        <v>446359111335</v>
      </c>
      <c r="H2643" s="1">
        <f>_xlfn.XLOOKUP(Ocupacao_DW[[#This Row],[Concat]],Vagas!$H:$H,Vagas!$D:$D,"",0)</f>
        <v>0</v>
      </c>
    </row>
    <row r="2644" spans="1:8" x14ac:dyDescent="0.25">
      <c r="A2644" s="2">
        <v>44636</v>
      </c>
      <c r="B2644" s="1" t="s">
        <v>66</v>
      </c>
      <c r="C2644">
        <v>1343</v>
      </c>
      <c r="D2644" s="1" t="s">
        <v>263</v>
      </c>
      <c r="E2644" s="1" t="s">
        <v>7</v>
      </c>
      <c r="F2644">
        <v>64</v>
      </c>
      <c r="G2644" s="1" t="str">
        <f>Ocupacao_DW[[#This Row],[data]]&amp;Ocupacao_DW[[#This Row],[profissional_id]]&amp;Ocupacao_DW[[#This Row],[local_id]]</f>
        <v>44636134364</v>
      </c>
      <c r="H2644" s="1">
        <f>_xlfn.XLOOKUP(Ocupacao_DW[[#This Row],[Concat]],Vagas!$H:$H,Vagas!$D:$D,"",0)</f>
        <v>0</v>
      </c>
    </row>
    <row r="2645" spans="1:8" x14ac:dyDescent="0.25">
      <c r="A2645" s="2">
        <v>44636</v>
      </c>
      <c r="B2645" s="1" t="s">
        <v>62</v>
      </c>
      <c r="C2645">
        <v>3502</v>
      </c>
      <c r="D2645" s="1" t="s">
        <v>214</v>
      </c>
      <c r="E2645" s="1" t="s">
        <v>5</v>
      </c>
      <c r="F2645">
        <v>16</v>
      </c>
      <c r="G2645" s="1" t="str">
        <f>Ocupacao_DW[[#This Row],[data]]&amp;Ocupacao_DW[[#This Row],[profissional_id]]&amp;Ocupacao_DW[[#This Row],[local_id]]</f>
        <v>44636350216</v>
      </c>
      <c r="H2645" s="1">
        <f>_xlfn.XLOOKUP(Ocupacao_DW[[#This Row],[Concat]],Vagas!$H:$H,Vagas!$D:$D,"",0)</f>
        <v>0</v>
      </c>
    </row>
    <row r="2646" spans="1:8" x14ac:dyDescent="0.25">
      <c r="A2646" s="2">
        <v>44642</v>
      </c>
      <c r="B2646" s="1" t="s">
        <v>70</v>
      </c>
      <c r="C2646">
        <v>14237</v>
      </c>
      <c r="D2646" s="1" t="s">
        <v>186</v>
      </c>
      <c r="E2646" s="1" t="s">
        <v>4</v>
      </c>
      <c r="F2646">
        <v>47</v>
      </c>
      <c r="G2646" s="1" t="str">
        <f>Ocupacao_DW[[#This Row],[data]]&amp;Ocupacao_DW[[#This Row],[profissional_id]]&amp;Ocupacao_DW[[#This Row],[local_id]]</f>
        <v>446421423747</v>
      </c>
      <c r="H2646" s="1">
        <f>_xlfn.XLOOKUP(Ocupacao_DW[[#This Row],[Concat]],Vagas!$H:$H,Vagas!$D:$D,"",0)</f>
        <v>0</v>
      </c>
    </row>
    <row r="2647" spans="1:8" x14ac:dyDescent="0.25">
      <c r="A2647" s="2">
        <v>44651</v>
      </c>
      <c r="B2647" s="1" t="s">
        <v>47</v>
      </c>
      <c r="C2647">
        <v>11207</v>
      </c>
      <c r="D2647" s="1" t="s">
        <v>251</v>
      </c>
      <c r="E2647" s="1" t="s">
        <v>4</v>
      </c>
      <c r="F2647">
        <v>51</v>
      </c>
      <c r="G2647" s="1" t="str">
        <f>Ocupacao_DW[[#This Row],[data]]&amp;Ocupacao_DW[[#This Row],[profissional_id]]&amp;Ocupacao_DW[[#This Row],[local_id]]</f>
        <v>446511120751</v>
      </c>
      <c r="H2647" s="1">
        <f>_xlfn.XLOOKUP(Ocupacao_DW[[#This Row],[Concat]],Vagas!$H:$H,Vagas!$D:$D,"",0)</f>
        <v>0</v>
      </c>
    </row>
    <row r="2648" spans="1:8" x14ac:dyDescent="0.25">
      <c r="A2648" s="2">
        <v>44643</v>
      </c>
      <c r="B2648" s="1" t="s">
        <v>43</v>
      </c>
      <c r="C2648">
        <v>17904</v>
      </c>
      <c r="D2648" s="1" t="s">
        <v>294</v>
      </c>
      <c r="E2648" s="1" t="s">
        <v>6</v>
      </c>
      <c r="F2648">
        <v>2</v>
      </c>
      <c r="G2648" s="1" t="str">
        <f>Ocupacao_DW[[#This Row],[data]]&amp;Ocupacao_DW[[#This Row],[profissional_id]]&amp;Ocupacao_DW[[#This Row],[local_id]]</f>
        <v>44643179042</v>
      </c>
      <c r="H2648" s="1" t="str">
        <f>_xlfn.XLOOKUP(Ocupacao_DW[[#This Row],[Concat]],Vagas!$H:$H,Vagas!$D:$D,"",0)</f>
        <v/>
      </c>
    </row>
    <row r="2649" spans="1:8" x14ac:dyDescent="0.25">
      <c r="A2649" s="2">
        <v>44638</v>
      </c>
      <c r="B2649" s="1" t="s">
        <v>55</v>
      </c>
      <c r="C2649">
        <v>2984</v>
      </c>
      <c r="D2649" s="1" t="s">
        <v>185</v>
      </c>
      <c r="E2649" s="1" t="s">
        <v>6</v>
      </c>
      <c r="F2649">
        <v>7</v>
      </c>
      <c r="G2649" s="1" t="str">
        <f>Ocupacao_DW[[#This Row],[data]]&amp;Ocupacao_DW[[#This Row],[profissional_id]]&amp;Ocupacao_DW[[#This Row],[local_id]]</f>
        <v>4463829847</v>
      </c>
      <c r="H2649" s="1">
        <f>_xlfn.XLOOKUP(Ocupacao_DW[[#This Row],[Concat]],Vagas!$H:$H,Vagas!$D:$D,"",0)</f>
        <v>0</v>
      </c>
    </row>
    <row r="2650" spans="1:8" x14ac:dyDescent="0.25">
      <c r="A2650" s="2">
        <v>44641</v>
      </c>
      <c r="B2650" s="1" t="s">
        <v>62</v>
      </c>
      <c r="C2650">
        <v>2567</v>
      </c>
      <c r="D2650" s="1" t="s">
        <v>198</v>
      </c>
      <c r="E2650" s="1" t="s">
        <v>5</v>
      </c>
      <c r="F2650">
        <v>18</v>
      </c>
      <c r="G2650" s="1" t="str">
        <f>Ocupacao_DW[[#This Row],[data]]&amp;Ocupacao_DW[[#This Row],[profissional_id]]&amp;Ocupacao_DW[[#This Row],[local_id]]</f>
        <v>44641256718</v>
      </c>
      <c r="H2650" s="1">
        <f>_xlfn.XLOOKUP(Ocupacao_DW[[#This Row],[Concat]],Vagas!$H:$H,Vagas!$D:$D,"",0)</f>
        <v>0</v>
      </c>
    </row>
    <row r="2651" spans="1:8" x14ac:dyDescent="0.25">
      <c r="A2651" s="2">
        <v>44636</v>
      </c>
      <c r="B2651" s="1"/>
      <c r="C2651">
        <v>12712</v>
      </c>
      <c r="D2651" s="1" t="s">
        <v>240</v>
      </c>
      <c r="E2651" s="1" t="s">
        <v>6</v>
      </c>
      <c r="F2651">
        <v>4</v>
      </c>
      <c r="G2651" s="1" t="str">
        <f>Ocupacao_DW[[#This Row],[data]]&amp;Ocupacao_DW[[#This Row],[profissional_id]]&amp;Ocupacao_DW[[#This Row],[local_id]]</f>
        <v>44636127124</v>
      </c>
      <c r="H2651" s="1" t="str">
        <f>_xlfn.XLOOKUP(Ocupacao_DW[[#This Row],[Concat]],Vagas!$H:$H,Vagas!$D:$D,"",0)</f>
        <v/>
      </c>
    </row>
    <row r="2652" spans="1:8" x14ac:dyDescent="0.25">
      <c r="A2652" s="2">
        <v>44638</v>
      </c>
      <c r="B2652" s="1" t="s">
        <v>52</v>
      </c>
      <c r="C2652">
        <v>10691</v>
      </c>
      <c r="D2652" s="1" t="s">
        <v>181</v>
      </c>
      <c r="E2652" s="1" t="s">
        <v>200</v>
      </c>
      <c r="F2652">
        <v>78</v>
      </c>
      <c r="G2652" s="1" t="str">
        <f>Ocupacao_DW[[#This Row],[data]]&amp;Ocupacao_DW[[#This Row],[profissional_id]]&amp;Ocupacao_DW[[#This Row],[local_id]]</f>
        <v>446381069178</v>
      </c>
      <c r="H2652" s="1">
        <f>_xlfn.XLOOKUP(Ocupacao_DW[[#This Row],[Concat]],Vagas!$H:$H,Vagas!$D:$D,"",0)</f>
        <v>0</v>
      </c>
    </row>
    <row r="2653" spans="1:8" x14ac:dyDescent="0.25">
      <c r="A2653" s="2">
        <v>44637</v>
      </c>
      <c r="B2653" s="1" t="s">
        <v>55</v>
      </c>
      <c r="C2653">
        <v>8598</v>
      </c>
      <c r="D2653" s="1" t="s">
        <v>228</v>
      </c>
      <c r="E2653" s="1" t="s">
        <v>6</v>
      </c>
      <c r="F2653">
        <v>3</v>
      </c>
      <c r="G2653" s="1" t="str">
        <f>Ocupacao_DW[[#This Row],[data]]&amp;Ocupacao_DW[[#This Row],[profissional_id]]&amp;Ocupacao_DW[[#This Row],[local_id]]</f>
        <v>4463785983</v>
      </c>
      <c r="H2653" s="1">
        <f>_xlfn.XLOOKUP(Ocupacao_DW[[#This Row],[Concat]],Vagas!$H:$H,Vagas!$D:$D,"",0)</f>
        <v>0</v>
      </c>
    </row>
    <row r="2654" spans="1:8" x14ac:dyDescent="0.25">
      <c r="A2654" s="2">
        <v>44635</v>
      </c>
      <c r="B2654" s="1" t="s">
        <v>62</v>
      </c>
      <c r="C2654">
        <v>3502</v>
      </c>
      <c r="D2654" s="1" t="s">
        <v>214</v>
      </c>
      <c r="E2654" s="1" t="s">
        <v>5</v>
      </c>
      <c r="F2654">
        <v>16</v>
      </c>
      <c r="G2654" s="1" t="str">
        <f>Ocupacao_DW[[#This Row],[data]]&amp;Ocupacao_DW[[#This Row],[profissional_id]]&amp;Ocupacao_DW[[#This Row],[local_id]]</f>
        <v>44635350216</v>
      </c>
      <c r="H2654" s="1">
        <f>_xlfn.XLOOKUP(Ocupacao_DW[[#This Row],[Concat]],Vagas!$H:$H,Vagas!$D:$D,"",0)</f>
        <v>0</v>
      </c>
    </row>
    <row r="2655" spans="1:8" x14ac:dyDescent="0.25">
      <c r="A2655" s="2">
        <v>44636</v>
      </c>
      <c r="B2655" s="1" t="s">
        <v>52</v>
      </c>
      <c r="C2655">
        <v>67</v>
      </c>
      <c r="D2655" s="1" t="s">
        <v>172</v>
      </c>
      <c r="E2655" s="1" t="s">
        <v>6</v>
      </c>
      <c r="F2655">
        <v>8</v>
      </c>
      <c r="G2655" s="1" t="str">
        <f>Ocupacao_DW[[#This Row],[data]]&amp;Ocupacao_DW[[#This Row],[profissional_id]]&amp;Ocupacao_DW[[#This Row],[local_id]]</f>
        <v>44636678</v>
      </c>
      <c r="H2655" s="1">
        <f>_xlfn.XLOOKUP(Ocupacao_DW[[#This Row],[Concat]],Vagas!$H:$H,Vagas!$D:$D,"",0)</f>
        <v>0</v>
      </c>
    </row>
    <row r="2656" spans="1:8" x14ac:dyDescent="0.25">
      <c r="A2656" s="2">
        <v>44636</v>
      </c>
      <c r="B2656" s="1" t="s">
        <v>70</v>
      </c>
      <c r="C2656">
        <v>12825</v>
      </c>
      <c r="D2656" s="1" t="s">
        <v>177</v>
      </c>
      <c r="E2656" s="1" t="s">
        <v>4</v>
      </c>
      <c r="F2656">
        <v>45</v>
      </c>
      <c r="G2656" s="1" t="str">
        <f>Ocupacao_DW[[#This Row],[data]]&amp;Ocupacao_DW[[#This Row],[profissional_id]]&amp;Ocupacao_DW[[#This Row],[local_id]]</f>
        <v>446361282545</v>
      </c>
      <c r="H2656" s="1">
        <f>_xlfn.XLOOKUP(Ocupacao_DW[[#This Row],[Concat]],Vagas!$H:$H,Vagas!$D:$D,"",0)</f>
        <v>0</v>
      </c>
    </row>
    <row r="2657" spans="1:8" x14ac:dyDescent="0.25">
      <c r="A2657" s="2">
        <v>44636</v>
      </c>
      <c r="B2657" s="1" t="s">
        <v>65</v>
      </c>
      <c r="C2657">
        <v>13058</v>
      </c>
      <c r="D2657" s="1" t="s">
        <v>256</v>
      </c>
      <c r="E2657" s="1" t="s">
        <v>4</v>
      </c>
      <c r="F2657">
        <v>47</v>
      </c>
      <c r="G2657" s="1" t="str">
        <f>Ocupacao_DW[[#This Row],[data]]&amp;Ocupacao_DW[[#This Row],[profissional_id]]&amp;Ocupacao_DW[[#This Row],[local_id]]</f>
        <v>446361305847</v>
      </c>
      <c r="H2657" s="1">
        <f>_xlfn.XLOOKUP(Ocupacao_DW[[#This Row],[Concat]],Vagas!$H:$H,Vagas!$D:$D,"",0)</f>
        <v>0</v>
      </c>
    </row>
    <row r="2658" spans="1:8" x14ac:dyDescent="0.25">
      <c r="A2658" s="2">
        <v>44650</v>
      </c>
      <c r="B2658" s="1" t="s">
        <v>55</v>
      </c>
      <c r="C2658">
        <v>73</v>
      </c>
      <c r="D2658" s="1" t="s">
        <v>171</v>
      </c>
      <c r="E2658" s="1" t="s">
        <v>6</v>
      </c>
      <c r="F2658">
        <v>5</v>
      </c>
      <c r="G2658" s="1" t="str">
        <f>Ocupacao_DW[[#This Row],[data]]&amp;Ocupacao_DW[[#This Row],[profissional_id]]&amp;Ocupacao_DW[[#This Row],[local_id]]</f>
        <v>44650735</v>
      </c>
      <c r="H2658" s="1">
        <f>_xlfn.XLOOKUP(Ocupacao_DW[[#This Row],[Concat]],Vagas!$H:$H,Vagas!$D:$D,"",0)</f>
        <v>0</v>
      </c>
    </row>
    <row r="2659" spans="1:8" x14ac:dyDescent="0.25">
      <c r="A2659" s="2">
        <v>44636</v>
      </c>
      <c r="B2659" s="1" t="s">
        <v>60</v>
      </c>
      <c r="C2659">
        <v>14326</v>
      </c>
      <c r="D2659" s="1" t="s">
        <v>220</v>
      </c>
      <c r="E2659" s="1" t="s">
        <v>4</v>
      </c>
      <c r="F2659">
        <v>41</v>
      </c>
      <c r="G2659" s="1" t="str">
        <f>Ocupacao_DW[[#This Row],[data]]&amp;Ocupacao_DW[[#This Row],[profissional_id]]&amp;Ocupacao_DW[[#This Row],[local_id]]</f>
        <v>446361432641</v>
      </c>
      <c r="H2659" s="1">
        <f>_xlfn.XLOOKUP(Ocupacao_DW[[#This Row],[Concat]],Vagas!$H:$H,Vagas!$D:$D,"",0)</f>
        <v>0</v>
      </c>
    </row>
    <row r="2660" spans="1:8" x14ac:dyDescent="0.25">
      <c r="A2660" s="2">
        <v>44635</v>
      </c>
      <c r="B2660" s="1" t="s">
        <v>65</v>
      </c>
      <c r="C2660">
        <v>11652</v>
      </c>
      <c r="D2660" s="1" t="s">
        <v>242</v>
      </c>
      <c r="E2660" s="1" t="s">
        <v>4</v>
      </c>
      <c r="F2660">
        <v>47</v>
      </c>
      <c r="G2660" s="1" t="str">
        <f>Ocupacao_DW[[#This Row],[data]]&amp;Ocupacao_DW[[#This Row],[profissional_id]]&amp;Ocupacao_DW[[#This Row],[local_id]]</f>
        <v>446351165247</v>
      </c>
      <c r="H2660" s="1">
        <f>_xlfn.XLOOKUP(Ocupacao_DW[[#This Row],[Concat]],Vagas!$H:$H,Vagas!$D:$D,"",0)</f>
        <v>0</v>
      </c>
    </row>
    <row r="2661" spans="1:8" x14ac:dyDescent="0.25">
      <c r="A2661" s="2">
        <v>44644</v>
      </c>
      <c r="B2661" s="1" t="s">
        <v>55</v>
      </c>
      <c r="C2661">
        <v>74</v>
      </c>
      <c r="D2661" s="1" t="s">
        <v>182</v>
      </c>
      <c r="E2661" s="1" t="s">
        <v>6</v>
      </c>
      <c r="F2661">
        <v>7</v>
      </c>
      <c r="G2661" s="1" t="str">
        <f>Ocupacao_DW[[#This Row],[data]]&amp;Ocupacao_DW[[#This Row],[profissional_id]]&amp;Ocupacao_DW[[#This Row],[local_id]]</f>
        <v>44644747</v>
      </c>
      <c r="H2661" s="1">
        <f>_xlfn.XLOOKUP(Ocupacao_DW[[#This Row],[Concat]],Vagas!$H:$H,Vagas!$D:$D,"",0)</f>
        <v>0</v>
      </c>
    </row>
    <row r="2662" spans="1:8" x14ac:dyDescent="0.25">
      <c r="A2662" s="2">
        <v>44641</v>
      </c>
      <c r="B2662" s="1" t="s">
        <v>56</v>
      </c>
      <c r="C2662">
        <v>5927</v>
      </c>
      <c r="D2662" s="1" t="s">
        <v>226</v>
      </c>
      <c r="E2662" s="1" t="s">
        <v>5</v>
      </c>
      <c r="F2662">
        <v>17</v>
      </c>
      <c r="G2662" s="1" t="str">
        <f>Ocupacao_DW[[#This Row],[data]]&amp;Ocupacao_DW[[#This Row],[profissional_id]]&amp;Ocupacao_DW[[#This Row],[local_id]]</f>
        <v>44641592717</v>
      </c>
      <c r="H2662" s="1">
        <f>_xlfn.XLOOKUP(Ocupacao_DW[[#This Row],[Concat]],Vagas!$H:$H,Vagas!$D:$D,"",0)</f>
        <v>0</v>
      </c>
    </row>
    <row r="2663" spans="1:8" x14ac:dyDescent="0.25">
      <c r="A2663" s="2">
        <v>44636</v>
      </c>
      <c r="B2663" s="1" t="s">
        <v>60</v>
      </c>
      <c r="C2663">
        <v>14326</v>
      </c>
      <c r="D2663" s="1" t="s">
        <v>220</v>
      </c>
      <c r="E2663" s="1" t="s">
        <v>4</v>
      </c>
      <c r="F2663">
        <v>41</v>
      </c>
      <c r="G2663" s="1" t="str">
        <f>Ocupacao_DW[[#This Row],[data]]&amp;Ocupacao_DW[[#This Row],[profissional_id]]&amp;Ocupacao_DW[[#This Row],[local_id]]</f>
        <v>446361432641</v>
      </c>
      <c r="H2663" s="1">
        <f>_xlfn.XLOOKUP(Ocupacao_DW[[#This Row],[Concat]],Vagas!$H:$H,Vagas!$D:$D,"",0)</f>
        <v>0</v>
      </c>
    </row>
    <row r="2664" spans="1:8" x14ac:dyDescent="0.25">
      <c r="A2664" s="2">
        <v>44637</v>
      </c>
      <c r="B2664" s="1" t="s">
        <v>66</v>
      </c>
      <c r="C2664">
        <v>1343</v>
      </c>
      <c r="D2664" s="1" t="s">
        <v>263</v>
      </c>
      <c r="E2664" s="1" t="s">
        <v>200</v>
      </c>
      <c r="F2664">
        <v>80</v>
      </c>
      <c r="G2664" s="1" t="str">
        <f>Ocupacao_DW[[#This Row],[data]]&amp;Ocupacao_DW[[#This Row],[profissional_id]]&amp;Ocupacao_DW[[#This Row],[local_id]]</f>
        <v>44637134380</v>
      </c>
      <c r="H2664" s="1">
        <f>_xlfn.XLOOKUP(Ocupacao_DW[[#This Row],[Concat]],Vagas!$H:$H,Vagas!$D:$D,"",0)</f>
        <v>0</v>
      </c>
    </row>
    <row r="2665" spans="1:8" x14ac:dyDescent="0.25">
      <c r="A2665" s="2">
        <v>44637</v>
      </c>
      <c r="B2665" s="1" t="s">
        <v>54</v>
      </c>
      <c r="C2665">
        <v>69</v>
      </c>
      <c r="D2665" s="1" t="s">
        <v>238</v>
      </c>
      <c r="E2665" s="1" t="s">
        <v>200</v>
      </c>
      <c r="F2665">
        <v>82</v>
      </c>
      <c r="G2665" s="1" t="str">
        <f>Ocupacao_DW[[#This Row],[data]]&amp;Ocupacao_DW[[#This Row],[profissional_id]]&amp;Ocupacao_DW[[#This Row],[local_id]]</f>
        <v>446376982</v>
      </c>
      <c r="H2665" s="1">
        <f>_xlfn.XLOOKUP(Ocupacao_DW[[#This Row],[Concat]],Vagas!$H:$H,Vagas!$D:$D,"",0)</f>
        <v>0</v>
      </c>
    </row>
    <row r="2666" spans="1:8" x14ac:dyDescent="0.25">
      <c r="A2666" s="2">
        <v>44636</v>
      </c>
      <c r="B2666" s="1" t="s">
        <v>52</v>
      </c>
      <c r="C2666">
        <v>57</v>
      </c>
      <c r="D2666" s="1" t="s">
        <v>169</v>
      </c>
      <c r="E2666" s="1" t="s">
        <v>6</v>
      </c>
      <c r="F2666">
        <v>8</v>
      </c>
      <c r="G2666" s="1" t="str">
        <f>Ocupacao_DW[[#This Row],[data]]&amp;Ocupacao_DW[[#This Row],[profissional_id]]&amp;Ocupacao_DW[[#This Row],[local_id]]</f>
        <v>44636578</v>
      </c>
      <c r="H2666" s="1">
        <f>_xlfn.XLOOKUP(Ocupacao_DW[[#This Row],[Concat]],Vagas!$H:$H,Vagas!$D:$D,"",0)</f>
        <v>14</v>
      </c>
    </row>
    <row r="2667" spans="1:8" x14ac:dyDescent="0.25">
      <c r="A2667" s="2">
        <v>44638</v>
      </c>
      <c r="B2667" s="1" t="s">
        <v>62</v>
      </c>
      <c r="C2667">
        <v>3502</v>
      </c>
      <c r="D2667" s="1" t="s">
        <v>214</v>
      </c>
      <c r="E2667" s="1" t="s">
        <v>7</v>
      </c>
      <c r="F2667">
        <v>69</v>
      </c>
      <c r="G2667" s="1" t="str">
        <f>Ocupacao_DW[[#This Row],[data]]&amp;Ocupacao_DW[[#This Row],[profissional_id]]&amp;Ocupacao_DW[[#This Row],[local_id]]</f>
        <v>44638350269</v>
      </c>
      <c r="H2667" s="1">
        <f>_xlfn.XLOOKUP(Ocupacao_DW[[#This Row],[Concat]],Vagas!$H:$H,Vagas!$D:$D,"",0)</f>
        <v>0</v>
      </c>
    </row>
    <row r="2668" spans="1:8" x14ac:dyDescent="0.25">
      <c r="A2668" s="2">
        <v>44637</v>
      </c>
      <c r="B2668" s="1" t="s">
        <v>64</v>
      </c>
      <c r="C2668">
        <v>85</v>
      </c>
      <c r="D2668" s="1" t="s">
        <v>211</v>
      </c>
      <c r="E2668" s="1" t="s">
        <v>5</v>
      </c>
      <c r="F2668">
        <v>349</v>
      </c>
      <c r="G2668" s="1" t="str">
        <f>Ocupacao_DW[[#This Row],[data]]&amp;Ocupacao_DW[[#This Row],[profissional_id]]&amp;Ocupacao_DW[[#This Row],[local_id]]</f>
        <v>4463785349</v>
      </c>
      <c r="H2668" s="1">
        <f>_xlfn.XLOOKUP(Ocupacao_DW[[#This Row],[Concat]],Vagas!$H:$H,Vagas!$D:$D,"",0)</f>
        <v>0</v>
      </c>
    </row>
    <row r="2669" spans="1:8" x14ac:dyDescent="0.25">
      <c r="A2669" s="2">
        <v>44637</v>
      </c>
      <c r="B2669" s="1" t="s">
        <v>52</v>
      </c>
      <c r="C2669">
        <v>10691</v>
      </c>
      <c r="D2669" s="1" t="s">
        <v>181</v>
      </c>
      <c r="E2669" s="1" t="s">
        <v>6</v>
      </c>
      <c r="F2669">
        <v>9</v>
      </c>
      <c r="G2669" s="1" t="str">
        <f>Ocupacao_DW[[#This Row],[data]]&amp;Ocupacao_DW[[#This Row],[profissional_id]]&amp;Ocupacao_DW[[#This Row],[local_id]]</f>
        <v>44637106919</v>
      </c>
      <c r="H2669" s="1">
        <f>_xlfn.XLOOKUP(Ocupacao_DW[[#This Row],[Concat]],Vagas!$H:$H,Vagas!$D:$D,"",0)</f>
        <v>0</v>
      </c>
    </row>
    <row r="2670" spans="1:8" x14ac:dyDescent="0.25">
      <c r="A2670" s="2">
        <v>44635</v>
      </c>
      <c r="B2670" s="1" t="s">
        <v>43</v>
      </c>
      <c r="C2670">
        <v>57</v>
      </c>
      <c r="D2670" s="1" t="s">
        <v>169</v>
      </c>
      <c r="E2670" s="1" t="s">
        <v>6</v>
      </c>
      <c r="F2670">
        <v>2</v>
      </c>
      <c r="G2670" s="1" t="str">
        <f>Ocupacao_DW[[#This Row],[data]]&amp;Ocupacao_DW[[#This Row],[profissional_id]]&amp;Ocupacao_DW[[#This Row],[local_id]]</f>
        <v>44635572</v>
      </c>
      <c r="H2670" s="1">
        <f>_xlfn.XLOOKUP(Ocupacao_DW[[#This Row],[Concat]],Vagas!$H:$H,Vagas!$D:$D,"",0)</f>
        <v>0</v>
      </c>
    </row>
    <row r="2671" spans="1:8" x14ac:dyDescent="0.25">
      <c r="A2671" s="2">
        <v>44652</v>
      </c>
      <c r="B2671" s="1" t="s">
        <v>52</v>
      </c>
      <c r="C2671">
        <v>60</v>
      </c>
      <c r="D2671" s="1" t="s">
        <v>217</v>
      </c>
      <c r="E2671" s="1" t="s">
        <v>167</v>
      </c>
      <c r="F2671">
        <v>348</v>
      </c>
      <c r="G2671" s="1" t="str">
        <f>Ocupacao_DW[[#This Row],[data]]&amp;Ocupacao_DW[[#This Row],[profissional_id]]&amp;Ocupacao_DW[[#This Row],[local_id]]</f>
        <v>4465260348</v>
      </c>
      <c r="H2671" s="1">
        <f>_xlfn.XLOOKUP(Ocupacao_DW[[#This Row],[Concat]],Vagas!$H:$H,Vagas!$D:$D,"",0)</f>
        <v>0</v>
      </c>
    </row>
    <row r="2672" spans="1:8" x14ac:dyDescent="0.25">
      <c r="A2672" s="2">
        <v>44639</v>
      </c>
      <c r="B2672" s="1" t="s">
        <v>43</v>
      </c>
      <c r="C2672">
        <v>57</v>
      </c>
      <c r="D2672" s="1" t="s">
        <v>169</v>
      </c>
      <c r="E2672" s="1" t="s">
        <v>6</v>
      </c>
      <c r="F2672">
        <v>2</v>
      </c>
      <c r="G2672" s="1" t="str">
        <f>Ocupacao_DW[[#This Row],[data]]&amp;Ocupacao_DW[[#This Row],[profissional_id]]&amp;Ocupacao_DW[[#This Row],[local_id]]</f>
        <v>44639572</v>
      </c>
      <c r="H2672" s="1">
        <f>_xlfn.XLOOKUP(Ocupacao_DW[[#This Row],[Concat]],Vagas!$H:$H,Vagas!$D:$D,"",0)</f>
        <v>0</v>
      </c>
    </row>
    <row r="2673" spans="1:8" x14ac:dyDescent="0.25">
      <c r="A2673" s="2">
        <v>44636</v>
      </c>
      <c r="B2673" s="1" t="s">
        <v>43</v>
      </c>
      <c r="C2673">
        <v>2396</v>
      </c>
      <c r="D2673" s="1" t="s">
        <v>197</v>
      </c>
      <c r="E2673" s="1" t="s">
        <v>6</v>
      </c>
      <c r="F2673">
        <v>2</v>
      </c>
      <c r="G2673" s="1" t="str">
        <f>Ocupacao_DW[[#This Row],[data]]&amp;Ocupacao_DW[[#This Row],[profissional_id]]&amp;Ocupacao_DW[[#This Row],[local_id]]</f>
        <v>4463623962</v>
      </c>
      <c r="H2673" s="1">
        <f>_xlfn.XLOOKUP(Ocupacao_DW[[#This Row],[Concat]],Vagas!$H:$H,Vagas!$D:$D,"",0)</f>
        <v>0</v>
      </c>
    </row>
    <row r="2674" spans="1:8" x14ac:dyDescent="0.25">
      <c r="A2674" s="2">
        <v>44637</v>
      </c>
      <c r="B2674" s="1" t="s">
        <v>71</v>
      </c>
      <c r="C2674">
        <v>76</v>
      </c>
      <c r="D2674" s="1" t="s">
        <v>227</v>
      </c>
      <c r="E2674" s="1" t="s">
        <v>4</v>
      </c>
      <c r="F2674">
        <v>48</v>
      </c>
      <c r="G2674" s="1" t="str">
        <f>Ocupacao_DW[[#This Row],[data]]&amp;Ocupacao_DW[[#This Row],[profissional_id]]&amp;Ocupacao_DW[[#This Row],[local_id]]</f>
        <v>446377648</v>
      </c>
      <c r="H2674" s="1">
        <f>_xlfn.XLOOKUP(Ocupacao_DW[[#This Row],[Concat]],Vagas!$H:$H,Vagas!$D:$D,"",0)</f>
        <v>0</v>
      </c>
    </row>
    <row r="2675" spans="1:8" x14ac:dyDescent="0.25">
      <c r="A2675" s="2">
        <v>44636</v>
      </c>
      <c r="B2675" s="1" t="s">
        <v>43</v>
      </c>
      <c r="C2675">
        <v>2396</v>
      </c>
      <c r="D2675" s="1" t="s">
        <v>197</v>
      </c>
      <c r="E2675" s="1" t="s">
        <v>6</v>
      </c>
      <c r="F2675">
        <v>2</v>
      </c>
      <c r="G2675" s="1" t="str">
        <f>Ocupacao_DW[[#This Row],[data]]&amp;Ocupacao_DW[[#This Row],[profissional_id]]&amp;Ocupacao_DW[[#This Row],[local_id]]</f>
        <v>4463623962</v>
      </c>
      <c r="H2675" s="1">
        <f>_xlfn.XLOOKUP(Ocupacao_DW[[#This Row],[Concat]],Vagas!$H:$H,Vagas!$D:$D,"",0)</f>
        <v>0</v>
      </c>
    </row>
    <row r="2676" spans="1:8" x14ac:dyDescent="0.25">
      <c r="A2676" s="2">
        <v>44636</v>
      </c>
      <c r="B2676" s="1" t="s">
        <v>43</v>
      </c>
      <c r="C2676">
        <v>2396</v>
      </c>
      <c r="D2676" s="1" t="s">
        <v>197</v>
      </c>
      <c r="E2676" s="1" t="s">
        <v>6</v>
      </c>
      <c r="F2676">
        <v>2</v>
      </c>
      <c r="G2676" s="1" t="str">
        <f>Ocupacao_DW[[#This Row],[data]]&amp;Ocupacao_DW[[#This Row],[profissional_id]]&amp;Ocupacao_DW[[#This Row],[local_id]]</f>
        <v>4463623962</v>
      </c>
      <c r="H2676" s="1">
        <f>_xlfn.XLOOKUP(Ocupacao_DW[[#This Row],[Concat]],Vagas!$H:$H,Vagas!$D:$D,"",0)</f>
        <v>0</v>
      </c>
    </row>
    <row r="2677" spans="1:8" x14ac:dyDescent="0.25">
      <c r="A2677" s="2">
        <v>44636</v>
      </c>
      <c r="B2677" s="1"/>
      <c r="C2677">
        <v>0</v>
      </c>
      <c r="D2677" s="1"/>
      <c r="E2677" s="1" t="s">
        <v>6</v>
      </c>
      <c r="F2677">
        <v>2</v>
      </c>
      <c r="G2677" s="1" t="str">
        <f>Ocupacao_DW[[#This Row],[data]]&amp;Ocupacao_DW[[#This Row],[profissional_id]]&amp;Ocupacao_DW[[#This Row],[local_id]]</f>
        <v>4463602</v>
      </c>
      <c r="H2677" s="1" t="str">
        <f>_xlfn.XLOOKUP(Ocupacao_DW[[#This Row],[Concat]],Vagas!$H:$H,Vagas!$D:$D,"",0)</f>
        <v/>
      </c>
    </row>
    <row r="2678" spans="1:8" x14ac:dyDescent="0.25">
      <c r="A2678" s="2">
        <v>44636</v>
      </c>
      <c r="B2678" s="1" t="s">
        <v>43</v>
      </c>
      <c r="C2678">
        <v>2396</v>
      </c>
      <c r="D2678" s="1" t="s">
        <v>197</v>
      </c>
      <c r="E2678" s="1" t="s">
        <v>6</v>
      </c>
      <c r="F2678">
        <v>2</v>
      </c>
      <c r="G2678" s="1" t="str">
        <f>Ocupacao_DW[[#This Row],[data]]&amp;Ocupacao_DW[[#This Row],[profissional_id]]&amp;Ocupacao_DW[[#This Row],[local_id]]</f>
        <v>4463623962</v>
      </c>
      <c r="H2678" s="1">
        <f>_xlfn.XLOOKUP(Ocupacao_DW[[#This Row],[Concat]],Vagas!$H:$H,Vagas!$D:$D,"",0)</f>
        <v>0</v>
      </c>
    </row>
    <row r="2679" spans="1:8" x14ac:dyDescent="0.25">
      <c r="A2679" s="2">
        <v>44643</v>
      </c>
      <c r="B2679" s="1" t="s">
        <v>43</v>
      </c>
      <c r="C2679">
        <v>2396</v>
      </c>
      <c r="D2679" s="1" t="s">
        <v>197</v>
      </c>
      <c r="E2679" s="1" t="s">
        <v>6</v>
      </c>
      <c r="F2679">
        <v>2</v>
      </c>
      <c r="G2679" s="1" t="str">
        <f>Ocupacao_DW[[#This Row],[data]]&amp;Ocupacao_DW[[#This Row],[profissional_id]]&amp;Ocupacao_DW[[#This Row],[local_id]]</f>
        <v>4464323962</v>
      </c>
      <c r="H2679" s="1">
        <f>_xlfn.XLOOKUP(Ocupacao_DW[[#This Row],[Concat]],Vagas!$H:$H,Vagas!$D:$D,"",0)</f>
        <v>0</v>
      </c>
    </row>
    <row r="2680" spans="1:8" x14ac:dyDescent="0.25">
      <c r="A2680" s="2">
        <v>44637</v>
      </c>
      <c r="B2680" s="1" t="s">
        <v>49</v>
      </c>
      <c r="C2680">
        <v>266</v>
      </c>
      <c r="D2680" s="1" t="s">
        <v>201</v>
      </c>
      <c r="E2680" s="1" t="s">
        <v>4</v>
      </c>
      <c r="F2680">
        <v>42</v>
      </c>
      <c r="G2680" s="1" t="str">
        <f>Ocupacao_DW[[#This Row],[data]]&amp;Ocupacao_DW[[#This Row],[profissional_id]]&amp;Ocupacao_DW[[#This Row],[local_id]]</f>
        <v>4463726642</v>
      </c>
      <c r="H2680" s="1">
        <f>_xlfn.XLOOKUP(Ocupacao_DW[[#This Row],[Concat]],Vagas!$H:$H,Vagas!$D:$D,"",0)</f>
        <v>0</v>
      </c>
    </row>
    <row r="2681" spans="1:8" x14ac:dyDescent="0.25">
      <c r="A2681" s="2">
        <v>44643</v>
      </c>
      <c r="B2681" s="1" t="s">
        <v>43</v>
      </c>
      <c r="C2681">
        <v>2396</v>
      </c>
      <c r="D2681" s="1" t="s">
        <v>197</v>
      </c>
      <c r="E2681" s="1" t="s">
        <v>6</v>
      </c>
      <c r="F2681">
        <v>2</v>
      </c>
      <c r="G2681" s="1" t="str">
        <f>Ocupacao_DW[[#This Row],[data]]&amp;Ocupacao_DW[[#This Row],[profissional_id]]&amp;Ocupacao_DW[[#This Row],[local_id]]</f>
        <v>4464323962</v>
      </c>
      <c r="H2681" s="1">
        <f>_xlfn.XLOOKUP(Ocupacao_DW[[#This Row],[Concat]],Vagas!$H:$H,Vagas!$D:$D,"",0)</f>
        <v>0</v>
      </c>
    </row>
    <row r="2682" spans="1:8" x14ac:dyDescent="0.25">
      <c r="A2682" s="2">
        <v>44644</v>
      </c>
      <c r="B2682" s="1" t="s">
        <v>67</v>
      </c>
      <c r="C2682">
        <v>10717</v>
      </c>
      <c r="D2682" s="1" t="s">
        <v>245</v>
      </c>
      <c r="E2682" s="1" t="s">
        <v>7</v>
      </c>
      <c r="F2682">
        <v>69</v>
      </c>
      <c r="G2682" s="1" t="str">
        <f>Ocupacao_DW[[#This Row],[data]]&amp;Ocupacao_DW[[#This Row],[profissional_id]]&amp;Ocupacao_DW[[#This Row],[local_id]]</f>
        <v>446441071769</v>
      </c>
      <c r="H2682" s="1">
        <f>_xlfn.XLOOKUP(Ocupacao_DW[[#This Row],[Concat]],Vagas!$H:$H,Vagas!$D:$D,"",0)</f>
        <v>0</v>
      </c>
    </row>
    <row r="2683" spans="1:8" x14ac:dyDescent="0.25">
      <c r="A2683" s="2">
        <v>44643</v>
      </c>
      <c r="B2683" s="1" t="s">
        <v>43</v>
      </c>
      <c r="C2683">
        <v>2396</v>
      </c>
      <c r="D2683" s="1" t="s">
        <v>197</v>
      </c>
      <c r="E2683" s="1" t="s">
        <v>6</v>
      </c>
      <c r="F2683">
        <v>2</v>
      </c>
      <c r="G2683" s="1" t="str">
        <f>Ocupacao_DW[[#This Row],[data]]&amp;Ocupacao_DW[[#This Row],[profissional_id]]&amp;Ocupacao_DW[[#This Row],[local_id]]</f>
        <v>4464323962</v>
      </c>
      <c r="H2683" s="1">
        <f>_xlfn.XLOOKUP(Ocupacao_DW[[#This Row],[Concat]],Vagas!$H:$H,Vagas!$D:$D,"",0)</f>
        <v>0</v>
      </c>
    </row>
    <row r="2684" spans="1:8" x14ac:dyDescent="0.25">
      <c r="A2684" s="2">
        <v>44645</v>
      </c>
      <c r="B2684" s="1" t="s">
        <v>43</v>
      </c>
      <c r="C2684">
        <v>57</v>
      </c>
      <c r="D2684" s="1" t="s">
        <v>169</v>
      </c>
      <c r="E2684" s="1" t="s">
        <v>6</v>
      </c>
      <c r="F2684">
        <v>2</v>
      </c>
      <c r="G2684" s="1" t="str">
        <f>Ocupacao_DW[[#This Row],[data]]&amp;Ocupacao_DW[[#This Row],[profissional_id]]&amp;Ocupacao_DW[[#This Row],[local_id]]</f>
        <v>44645572</v>
      </c>
      <c r="H2684" s="1">
        <f>_xlfn.XLOOKUP(Ocupacao_DW[[#This Row],[Concat]],Vagas!$H:$H,Vagas!$D:$D,"",0)</f>
        <v>21</v>
      </c>
    </row>
    <row r="2685" spans="1:8" x14ac:dyDescent="0.25">
      <c r="A2685" s="2">
        <v>44636</v>
      </c>
      <c r="B2685" s="1" t="s">
        <v>70</v>
      </c>
      <c r="C2685">
        <v>12825</v>
      </c>
      <c r="D2685" s="1" t="s">
        <v>177</v>
      </c>
      <c r="E2685" s="1" t="s">
        <v>4</v>
      </c>
      <c r="F2685">
        <v>45</v>
      </c>
      <c r="G2685" s="1" t="str">
        <f>Ocupacao_DW[[#This Row],[data]]&amp;Ocupacao_DW[[#This Row],[profissional_id]]&amp;Ocupacao_DW[[#This Row],[local_id]]</f>
        <v>446361282545</v>
      </c>
      <c r="H2685" s="1">
        <f>_xlfn.XLOOKUP(Ocupacao_DW[[#This Row],[Concat]],Vagas!$H:$H,Vagas!$D:$D,"",0)</f>
        <v>0</v>
      </c>
    </row>
    <row r="2686" spans="1:8" x14ac:dyDescent="0.25">
      <c r="A2686" s="2">
        <v>44643</v>
      </c>
      <c r="B2686" s="1" t="s">
        <v>49</v>
      </c>
      <c r="C2686">
        <v>6430</v>
      </c>
      <c r="D2686" s="1" t="s">
        <v>188</v>
      </c>
      <c r="E2686" s="1" t="s">
        <v>4</v>
      </c>
      <c r="F2686">
        <v>42</v>
      </c>
      <c r="G2686" s="1" t="str">
        <f>Ocupacao_DW[[#This Row],[data]]&amp;Ocupacao_DW[[#This Row],[profissional_id]]&amp;Ocupacao_DW[[#This Row],[local_id]]</f>
        <v>44643643042</v>
      </c>
      <c r="H2686" s="1">
        <f>_xlfn.XLOOKUP(Ocupacao_DW[[#This Row],[Concat]],Vagas!$H:$H,Vagas!$D:$D,"",0)</f>
        <v>0</v>
      </c>
    </row>
    <row r="2687" spans="1:8" x14ac:dyDescent="0.25">
      <c r="A2687" s="2">
        <v>44644</v>
      </c>
      <c r="B2687" s="1" t="s">
        <v>55</v>
      </c>
      <c r="C2687">
        <v>74</v>
      </c>
      <c r="D2687" s="1" t="s">
        <v>182</v>
      </c>
      <c r="E2687" s="1" t="s">
        <v>6</v>
      </c>
      <c r="F2687">
        <v>7</v>
      </c>
      <c r="G2687" s="1" t="str">
        <f>Ocupacao_DW[[#This Row],[data]]&amp;Ocupacao_DW[[#This Row],[profissional_id]]&amp;Ocupacao_DW[[#This Row],[local_id]]</f>
        <v>44644747</v>
      </c>
      <c r="H2687" s="1">
        <f>_xlfn.XLOOKUP(Ocupacao_DW[[#This Row],[Concat]],Vagas!$H:$H,Vagas!$D:$D,"",0)</f>
        <v>0</v>
      </c>
    </row>
    <row r="2688" spans="1:8" x14ac:dyDescent="0.25">
      <c r="A2688" s="2">
        <v>44635</v>
      </c>
      <c r="B2688" s="1" t="s">
        <v>65</v>
      </c>
      <c r="C2688">
        <v>11652</v>
      </c>
      <c r="D2688" s="1" t="s">
        <v>242</v>
      </c>
      <c r="E2688" s="1" t="s">
        <v>4</v>
      </c>
      <c r="F2688">
        <v>47</v>
      </c>
      <c r="G2688" s="1" t="str">
        <f>Ocupacao_DW[[#This Row],[data]]&amp;Ocupacao_DW[[#This Row],[profissional_id]]&amp;Ocupacao_DW[[#This Row],[local_id]]</f>
        <v>446351165247</v>
      </c>
      <c r="H2688" s="1">
        <f>_xlfn.XLOOKUP(Ocupacao_DW[[#This Row],[Concat]],Vagas!$H:$H,Vagas!$D:$D,"",0)</f>
        <v>0</v>
      </c>
    </row>
    <row r="2689" spans="1:8" x14ac:dyDescent="0.25">
      <c r="A2689" s="2">
        <v>44648</v>
      </c>
      <c r="B2689" s="1" t="s">
        <v>52</v>
      </c>
      <c r="C2689">
        <v>10691</v>
      </c>
      <c r="D2689" s="1" t="s">
        <v>181</v>
      </c>
      <c r="E2689" s="1" t="s">
        <v>6</v>
      </c>
      <c r="F2689">
        <v>9</v>
      </c>
      <c r="G2689" s="1" t="str">
        <f>Ocupacao_DW[[#This Row],[data]]&amp;Ocupacao_DW[[#This Row],[profissional_id]]&amp;Ocupacao_DW[[#This Row],[local_id]]</f>
        <v>44648106919</v>
      </c>
      <c r="H2689" s="1">
        <f>_xlfn.XLOOKUP(Ocupacao_DW[[#This Row],[Concat]],Vagas!$H:$H,Vagas!$D:$D,"",0)</f>
        <v>0</v>
      </c>
    </row>
    <row r="2690" spans="1:8" x14ac:dyDescent="0.25">
      <c r="A2690" s="2">
        <v>44635</v>
      </c>
      <c r="B2690" s="1" t="s">
        <v>65</v>
      </c>
      <c r="C2690">
        <v>11652</v>
      </c>
      <c r="D2690" s="1" t="s">
        <v>242</v>
      </c>
      <c r="E2690" s="1" t="s">
        <v>4</v>
      </c>
      <c r="F2690">
        <v>47</v>
      </c>
      <c r="G2690" s="1" t="str">
        <f>Ocupacao_DW[[#This Row],[data]]&amp;Ocupacao_DW[[#This Row],[profissional_id]]&amp;Ocupacao_DW[[#This Row],[local_id]]</f>
        <v>446351165247</v>
      </c>
      <c r="H2690" s="1">
        <f>_xlfn.XLOOKUP(Ocupacao_DW[[#This Row],[Concat]],Vagas!$H:$H,Vagas!$D:$D,"",0)</f>
        <v>0</v>
      </c>
    </row>
    <row r="2691" spans="1:8" x14ac:dyDescent="0.25">
      <c r="A2691" s="2">
        <v>44635</v>
      </c>
      <c r="B2691" s="1" t="s">
        <v>65</v>
      </c>
      <c r="C2691">
        <v>11237</v>
      </c>
      <c r="D2691" s="1" t="s">
        <v>229</v>
      </c>
      <c r="E2691" s="1" t="s">
        <v>4</v>
      </c>
      <c r="F2691">
        <v>46</v>
      </c>
      <c r="G2691" s="1" t="str">
        <f>Ocupacao_DW[[#This Row],[data]]&amp;Ocupacao_DW[[#This Row],[profissional_id]]&amp;Ocupacao_DW[[#This Row],[local_id]]</f>
        <v>446351123746</v>
      </c>
      <c r="H2691" s="1">
        <f>_xlfn.XLOOKUP(Ocupacao_DW[[#This Row],[Concat]],Vagas!$H:$H,Vagas!$D:$D,"",0)</f>
        <v>0</v>
      </c>
    </row>
    <row r="2692" spans="1:8" x14ac:dyDescent="0.25">
      <c r="A2692" s="2">
        <v>44635</v>
      </c>
      <c r="B2692" s="1" t="s">
        <v>47</v>
      </c>
      <c r="C2692">
        <v>12752</v>
      </c>
      <c r="D2692" s="1" t="s">
        <v>253</v>
      </c>
      <c r="E2692" s="1" t="s">
        <v>7</v>
      </c>
      <c r="F2692">
        <v>60</v>
      </c>
      <c r="G2692" s="1" t="str">
        <f>Ocupacao_DW[[#This Row],[data]]&amp;Ocupacao_DW[[#This Row],[profissional_id]]&amp;Ocupacao_DW[[#This Row],[local_id]]</f>
        <v>446351275260</v>
      </c>
      <c r="H2692" s="1">
        <f>_xlfn.XLOOKUP(Ocupacao_DW[[#This Row],[Concat]],Vagas!$H:$H,Vagas!$D:$D,"",0)</f>
        <v>0</v>
      </c>
    </row>
    <row r="2693" spans="1:8" x14ac:dyDescent="0.25">
      <c r="A2693" s="2">
        <v>44636</v>
      </c>
      <c r="B2693" s="1" t="s">
        <v>54</v>
      </c>
      <c r="C2693">
        <v>1490</v>
      </c>
      <c r="D2693" s="1" t="s">
        <v>174</v>
      </c>
      <c r="E2693" s="1" t="s">
        <v>5</v>
      </c>
      <c r="F2693">
        <v>13</v>
      </c>
      <c r="G2693" s="1" t="str">
        <f>Ocupacao_DW[[#This Row],[data]]&amp;Ocupacao_DW[[#This Row],[profissional_id]]&amp;Ocupacao_DW[[#This Row],[local_id]]</f>
        <v>44636149013</v>
      </c>
      <c r="H2693" s="1">
        <f>_xlfn.XLOOKUP(Ocupacao_DW[[#This Row],[Concat]],Vagas!$H:$H,Vagas!$D:$D,"",0)</f>
        <v>0</v>
      </c>
    </row>
    <row r="2694" spans="1:8" x14ac:dyDescent="0.25">
      <c r="A2694" s="2">
        <v>44643</v>
      </c>
      <c r="B2694" s="1" t="s">
        <v>52</v>
      </c>
      <c r="C2694">
        <v>10691</v>
      </c>
      <c r="D2694" s="1" t="s">
        <v>181</v>
      </c>
      <c r="E2694" s="1" t="s">
        <v>6</v>
      </c>
      <c r="F2694">
        <v>9</v>
      </c>
      <c r="G2694" s="1" t="str">
        <f>Ocupacao_DW[[#This Row],[data]]&amp;Ocupacao_DW[[#This Row],[profissional_id]]&amp;Ocupacao_DW[[#This Row],[local_id]]</f>
        <v>44643106919</v>
      </c>
      <c r="H2694" s="1">
        <f>_xlfn.XLOOKUP(Ocupacao_DW[[#This Row],[Concat]],Vagas!$H:$H,Vagas!$D:$D,"",0)</f>
        <v>0</v>
      </c>
    </row>
    <row r="2695" spans="1:8" x14ac:dyDescent="0.25">
      <c r="A2695" s="2">
        <v>44636</v>
      </c>
      <c r="B2695" s="1" t="s">
        <v>51</v>
      </c>
      <c r="C2695">
        <v>17859</v>
      </c>
      <c r="D2695" s="1" t="s">
        <v>212</v>
      </c>
      <c r="E2695" s="1" t="s">
        <v>6</v>
      </c>
      <c r="F2695">
        <v>7</v>
      </c>
      <c r="G2695" s="1" t="str">
        <f>Ocupacao_DW[[#This Row],[data]]&amp;Ocupacao_DW[[#This Row],[profissional_id]]&amp;Ocupacao_DW[[#This Row],[local_id]]</f>
        <v>44636178597</v>
      </c>
      <c r="H2695" s="1">
        <f>_xlfn.XLOOKUP(Ocupacao_DW[[#This Row],[Concat]],Vagas!$H:$H,Vagas!$D:$D,"",0)</f>
        <v>0</v>
      </c>
    </row>
    <row r="2696" spans="1:8" x14ac:dyDescent="0.25">
      <c r="A2696" s="2">
        <v>44644</v>
      </c>
      <c r="B2696" s="1" t="s">
        <v>51</v>
      </c>
      <c r="C2696">
        <v>53</v>
      </c>
      <c r="D2696" s="1" t="s">
        <v>254</v>
      </c>
      <c r="E2696" s="1" t="s">
        <v>5</v>
      </c>
      <c r="F2696">
        <v>14</v>
      </c>
      <c r="G2696" s="1" t="str">
        <f>Ocupacao_DW[[#This Row],[data]]&amp;Ocupacao_DW[[#This Row],[profissional_id]]&amp;Ocupacao_DW[[#This Row],[local_id]]</f>
        <v>446445314</v>
      </c>
      <c r="H2696" s="1">
        <f>_xlfn.XLOOKUP(Ocupacao_DW[[#This Row],[Concat]],Vagas!$H:$H,Vagas!$D:$D,"",0)</f>
        <v>0</v>
      </c>
    </row>
    <row r="2697" spans="1:8" x14ac:dyDescent="0.25">
      <c r="A2697" s="2">
        <v>44644</v>
      </c>
      <c r="B2697" s="1" t="s">
        <v>51</v>
      </c>
      <c r="C2697">
        <v>53</v>
      </c>
      <c r="D2697" s="1" t="s">
        <v>254</v>
      </c>
      <c r="E2697" s="1" t="s">
        <v>5</v>
      </c>
      <c r="F2697">
        <v>14</v>
      </c>
      <c r="G2697" s="1" t="str">
        <f>Ocupacao_DW[[#This Row],[data]]&amp;Ocupacao_DW[[#This Row],[profissional_id]]&amp;Ocupacao_DW[[#This Row],[local_id]]</f>
        <v>446445314</v>
      </c>
      <c r="H2697" s="1">
        <f>_xlfn.XLOOKUP(Ocupacao_DW[[#This Row],[Concat]],Vagas!$H:$H,Vagas!$D:$D,"",0)</f>
        <v>0</v>
      </c>
    </row>
    <row r="2698" spans="1:8" x14ac:dyDescent="0.25">
      <c r="A2698" s="2">
        <v>44636</v>
      </c>
      <c r="B2698" s="1" t="s">
        <v>51</v>
      </c>
      <c r="C2698">
        <v>17859</v>
      </c>
      <c r="D2698" s="1" t="s">
        <v>212</v>
      </c>
      <c r="E2698" s="1" t="s">
        <v>6</v>
      </c>
      <c r="F2698">
        <v>7</v>
      </c>
      <c r="G2698" s="1" t="str">
        <f>Ocupacao_DW[[#This Row],[data]]&amp;Ocupacao_DW[[#This Row],[profissional_id]]&amp;Ocupacao_DW[[#This Row],[local_id]]</f>
        <v>44636178597</v>
      </c>
      <c r="H2698" s="1">
        <f>_xlfn.XLOOKUP(Ocupacao_DW[[#This Row],[Concat]],Vagas!$H:$H,Vagas!$D:$D,"",0)</f>
        <v>0</v>
      </c>
    </row>
    <row r="2699" spans="1:8" x14ac:dyDescent="0.25">
      <c r="A2699" s="2">
        <v>44644</v>
      </c>
      <c r="B2699" s="1" t="s">
        <v>51</v>
      </c>
      <c r="C2699">
        <v>53</v>
      </c>
      <c r="D2699" s="1" t="s">
        <v>254</v>
      </c>
      <c r="E2699" s="1" t="s">
        <v>5</v>
      </c>
      <c r="F2699">
        <v>14</v>
      </c>
      <c r="G2699" s="1" t="str">
        <f>Ocupacao_DW[[#This Row],[data]]&amp;Ocupacao_DW[[#This Row],[profissional_id]]&amp;Ocupacao_DW[[#This Row],[local_id]]</f>
        <v>446445314</v>
      </c>
      <c r="H2699" s="1">
        <f>_xlfn.XLOOKUP(Ocupacao_DW[[#This Row],[Concat]],Vagas!$H:$H,Vagas!$D:$D,"",0)</f>
        <v>0</v>
      </c>
    </row>
    <row r="2700" spans="1:8" x14ac:dyDescent="0.25">
      <c r="A2700" s="2">
        <v>44643</v>
      </c>
      <c r="B2700" s="1" t="s">
        <v>52</v>
      </c>
      <c r="C2700">
        <v>67</v>
      </c>
      <c r="D2700" s="1" t="s">
        <v>172</v>
      </c>
      <c r="E2700" s="1" t="s">
        <v>6</v>
      </c>
      <c r="F2700">
        <v>8</v>
      </c>
      <c r="G2700" s="1" t="str">
        <f>Ocupacao_DW[[#This Row],[data]]&amp;Ocupacao_DW[[#This Row],[profissional_id]]&amp;Ocupacao_DW[[#This Row],[local_id]]</f>
        <v>44643678</v>
      </c>
      <c r="H2700" s="1">
        <f>_xlfn.XLOOKUP(Ocupacao_DW[[#This Row],[Concat]],Vagas!$H:$H,Vagas!$D:$D,"",0)</f>
        <v>0</v>
      </c>
    </row>
    <row r="2701" spans="1:8" x14ac:dyDescent="0.25">
      <c r="A2701" s="2">
        <v>44636</v>
      </c>
      <c r="B2701" s="1" t="s">
        <v>51</v>
      </c>
      <c r="C2701">
        <v>12679</v>
      </c>
      <c r="D2701" s="1" t="s">
        <v>192</v>
      </c>
      <c r="E2701" s="1" t="s">
        <v>5</v>
      </c>
      <c r="F2701">
        <v>11</v>
      </c>
      <c r="G2701" s="1" t="str">
        <f>Ocupacao_DW[[#This Row],[data]]&amp;Ocupacao_DW[[#This Row],[profissional_id]]&amp;Ocupacao_DW[[#This Row],[local_id]]</f>
        <v>446361267911</v>
      </c>
      <c r="H2701" s="1">
        <f>_xlfn.XLOOKUP(Ocupacao_DW[[#This Row],[Concat]],Vagas!$H:$H,Vagas!$D:$D,"",0)</f>
        <v>0</v>
      </c>
    </row>
    <row r="2702" spans="1:8" x14ac:dyDescent="0.25">
      <c r="A2702" s="2">
        <v>44636</v>
      </c>
      <c r="B2702" s="1" t="s">
        <v>60</v>
      </c>
      <c r="C2702">
        <v>14326</v>
      </c>
      <c r="D2702" s="1" t="s">
        <v>220</v>
      </c>
      <c r="E2702" s="1" t="s">
        <v>4</v>
      </c>
      <c r="F2702">
        <v>41</v>
      </c>
      <c r="G2702" s="1" t="str">
        <f>Ocupacao_DW[[#This Row],[data]]&amp;Ocupacao_DW[[#This Row],[profissional_id]]&amp;Ocupacao_DW[[#This Row],[local_id]]</f>
        <v>446361432641</v>
      </c>
      <c r="H2702" s="1">
        <f>_xlfn.XLOOKUP(Ocupacao_DW[[#This Row],[Concat]],Vagas!$H:$H,Vagas!$D:$D,"",0)</f>
        <v>0</v>
      </c>
    </row>
    <row r="2703" spans="1:8" x14ac:dyDescent="0.25">
      <c r="A2703" s="2">
        <v>44637</v>
      </c>
      <c r="B2703" s="1" t="s">
        <v>55</v>
      </c>
      <c r="C2703">
        <v>8598</v>
      </c>
      <c r="D2703" s="1" t="s">
        <v>228</v>
      </c>
      <c r="E2703" s="1" t="s">
        <v>6</v>
      </c>
      <c r="F2703">
        <v>3</v>
      </c>
      <c r="G2703" s="1" t="str">
        <f>Ocupacao_DW[[#This Row],[data]]&amp;Ocupacao_DW[[#This Row],[profissional_id]]&amp;Ocupacao_DW[[#This Row],[local_id]]</f>
        <v>4463785983</v>
      </c>
      <c r="H2703" s="1">
        <f>_xlfn.XLOOKUP(Ocupacao_DW[[#This Row],[Concat]],Vagas!$H:$H,Vagas!$D:$D,"",0)</f>
        <v>0</v>
      </c>
    </row>
    <row r="2704" spans="1:8" x14ac:dyDescent="0.25">
      <c r="A2704" s="2">
        <v>44643</v>
      </c>
      <c r="B2704" s="1" t="s">
        <v>24</v>
      </c>
      <c r="C2704">
        <v>13061</v>
      </c>
      <c r="D2704" s="1" t="s">
        <v>232</v>
      </c>
      <c r="E2704" s="1" t="s">
        <v>6</v>
      </c>
      <c r="F2704">
        <v>3</v>
      </c>
      <c r="G2704" s="1" t="str">
        <f>Ocupacao_DW[[#This Row],[data]]&amp;Ocupacao_DW[[#This Row],[profissional_id]]&amp;Ocupacao_DW[[#This Row],[local_id]]</f>
        <v>44643130613</v>
      </c>
      <c r="H2704" s="1">
        <f>_xlfn.XLOOKUP(Ocupacao_DW[[#This Row],[Concat]],Vagas!$H:$H,Vagas!$D:$D,"",0)</f>
        <v>0</v>
      </c>
    </row>
    <row r="2705" spans="1:8" x14ac:dyDescent="0.25">
      <c r="A2705" s="2">
        <v>44637</v>
      </c>
      <c r="B2705" s="1" t="s">
        <v>64</v>
      </c>
      <c r="C2705">
        <v>85</v>
      </c>
      <c r="D2705" s="1" t="s">
        <v>211</v>
      </c>
      <c r="E2705" s="1" t="s">
        <v>5</v>
      </c>
      <c r="F2705">
        <v>349</v>
      </c>
      <c r="G2705" s="1" t="str">
        <f>Ocupacao_DW[[#This Row],[data]]&amp;Ocupacao_DW[[#This Row],[profissional_id]]&amp;Ocupacao_DW[[#This Row],[local_id]]</f>
        <v>4463785349</v>
      </c>
      <c r="H2705" s="1">
        <f>_xlfn.XLOOKUP(Ocupacao_DW[[#This Row],[Concat]],Vagas!$H:$H,Vagas!$D:$D,"",0)</f>
        <v>0</v>
      </c>
    </row>
    <row r="2706" spans="1:8" x14ac:dyDescent="0.25">
      <c r="A2706" s="2">
        <v>44643</v>
      </c>
      <c r="B2706" s="1" t="s">
        <v>58</v>
      </c>
      <c r="C2706">
        <v>5767</v>
      </c>
      <c r="D2706" s="1" t="s">
        <v>239</v>
      </c>
      <c r="E2706" s="1" t="s">
        <v>4</v>
      </c>
      <c r="F2706">
        <v>43</v>
      </c>
      <c r="G2706" s="1" t="str">
        <f>Ocupacao_DW[[#This Row],[data]]&amp;Ocupacao_DW[[#This Row],[profissional_id]]&amp;Ocupacao_DW[[#This Row],[local_id]]</f>
        <v>44643576743</v>
      </c>
      <c r="H2706" s="1">
        <f>_xlfn.XLOOKUP(Ocupacao_DW[[#This Row],[Concat]],Vagas!$H:$H,Vagas!$D:$D,"",0)</f>
        <v>11</v>
      </c>
    </row>
    <row r="2707" spans="1:8" x14ac:dyDescent="0.25">
      <c r="A2707" s="2">
        <v>44636</v>
      </c>
      <c r="B2707" s="1" t="s">
        <v>51</v>
      </c>
      <c r="C2707">
        <v>17859</v>
      </c>
      <c r="D2707" s="1" t="s">
        <v>212</v>
      </c>
      <c r="E2707" s="1" t="s">
        <v>6</v>
      </c>
      <c r="F2707">
        <v>7</v>
      </c>
      <c r="G2707" s="1" t="str">
        <f>Ocupacao_DW[[#This Row],[data]]&amp;Ocupacao_DW[[#This Row],[profissional_id]]&amp;Ocupacao_DW[[#This Row],[local_id]]</f>
        <v>44636178597</v>
      </c>
      <c r="H2707" s="1">
        <f>_xlfn.XLOOKUP(Ocupacao_DW[[#This Row],[Concat]],Vagas!$H:$H,Vagas!$D:$D,"",0)</f>
        <v>0</v>
      </c>
    </row>
    <row r="2708" spans="1:8" x14ac:dyDescent="0.25">
      <c r="A2708" s="2">
        <v>44642</v>
      </c>
      <c r="B2708" s="1" t="s">
        <v>54</v>
      </c>
      <c r="C2708">
        <v>69</v>
      </c>
      <c r="D2708" s="1" t="s">
        <v>238</v>
      </c>
      <c r="E2708" s="1" t="s">
        <v>5</v>
      </c>
      <c r="F2708">
        <v>13</v>
      </c>
      <c r="G2708" s="1" t="str">
        <f>Ocupacao_DW[[#This Row],[data]]&amp;Ocupacao_DW[[#This Row],[profissional_id]]&amp;Ocupacao_DW[[#This Row],[local_id]]</f>
        <v>446426913</v>
      </c>
      <c r="H2708" s="1">
        <f>_xlfn.XLOOKUP(Ocupacao_DW[[#This Row],[Concat]],Vagas!$H:$H,Vagas!$D:$D,"",0)</f>
        <v>0</v>
      </c>
    </row>
    <row r="2709" spans="1:8" x14ac:dyDescent="0.25">
      <c r="A2709" s="2">
        <v>44650</v>
      </c>
      <c r="B2709" s="1"/>
      <c r="C2709">
        <v>17896</v>
      </c>
      <c r="D2709" s="1" t="s">
        <v>272</v>
      </c>
      <c r="E2709" s="1" t="s">
        <v>6</v>
      </c>
      <c r="F2709">
        <v>3</v>
      </c>
      <c r="G2709" s="1" t="str">
        <f>Ocupacao_DW[[#This Row],[data]]&amp;Ocupacao_DW[[#This Row],[profissional_id]]&amp;Ocupacao_DW[[#This Row],[local_id]]</f>
        <v>44650178963</v>
      </c>
      <c r="H2709" s="1" t="str">
        <f>_xlfn.XLOOKUP(Ocupacao_DW[[#This Row],[Concat]],Vagas!$H:$H,Vagas!$D:$D,"",0)</f>
        <v/>
      </c>
    </row>
    <row r="2710" spans="1:8" x14ac:dyDescent="0.25">
      <c r="A2710" s="2">
        <v>44635</v>
      </c>
      <c r="B2710" s="1" t="s">
        <v>68</v>
      </c>
      <c r="C2710">
        <v>8239</v>
      </c>
      <c r="D2710" s="1" t="s">
        <v>257</v>
      </c>
      <c r="E2710" s="1" t="s">
        <v>5</v>
      </c>
      <c r="F2710">
        <v>14</v>
      </c>
      <c r="G2710" s="1" t="str">
        <f>Ocupacao_DW[[#This Row],[data]]&amp;Ocupacao_DW[[#This Row],[profissional_id]]&amp;Ocupacao_DW[[#This Row],[local_id]]</f>
        <v>44635823914</v>
      </c>
      <c r="H2710" s="1">
        <f>_xlfn.XLOOKUP(Ocupacao_DW[[#This Row],[Concat]],Vagas!$H:$H,Vagas!$D:$D,"",0)</f>
        <v>0</v>
      </c>
    </row>
    <row r="2711" spans="1:8" x14ac:dyDescent="0.25">
      <c r="A2711" s="2">
        <v>44641</v>
      </c>
      <c r="B2711" s="1" t="s">
        <v>49</v>
      </c>
      <c r="C2711">
        <v>12369</v>
      </c>
      <c r="D2711" s="1" t="s">
        <v>195</v>
      </c>
      <c r="E2711" s="1" t="s">
        <v>4</v>
      </c>
      <c r="F2711">
        <v>43</v>
      </c>
      <c r="G2711" s="1" t="str">
        <f>Ocupacao_DW[[#This Row],[data]]&amp;Ocupacao_DW[[#This Row],[profissional_id]]&amp;Ocupacao_DW[[#This Row],[local_id]]</f>
        <v>446411236943</v>
      </c>
      <c r="H2711" s="1">
        <f>_xlfn.XLOOKUP(Ocupacao_DW[[#This Row],[Concat]],Vagas!$H:$H,Vagas!$D:$D,"",0)</f>
        <v>0</v>
      </c>
    </row>
    <row r="2712" spans="1:8" x14ac:dyDescent="0.25">
      <c r="A2712" s="2">
        <v>44645</v>
      </c>
      <c r="B2712" s="1" t="s">
        <v>62</v>
      </c>
      <c r="C2712">
        <v>2567</v>
      </c>
      <c r="D2712" s="1" t="s">
        <v>198</v>
      </c>
      <c r="E2712" s="1" t="s">
        <v>5</v>
      </c>
      <c r="F2712">
        <v>18</v>
      </c>
      <c r="G2712" s="1" t="str">
        <f>Ocupacao_DW[[#This Row],[data]]&amp;Ocupacao_DW[[#This Row],[profissional_id]]&amp;Ocupacao_DW[[#This Row],[local_id]]</f>
        <v>44645256718</v>
      </c>
      <c r="H2712" s="1">
        <f>_xlfn.XLOOKUP(Ocupacao_DW[[#This Row],[Concat]],Vagas!$H:$H,Vagas!$D:$D,"",0)</f>
        <v>0</v>
      </c>
    </row>
    <row r="2713" spans="1:8" x14ac:dyDescent="0.25">
      <c r="A2713" s="2">
        <v>44637</v>
      </c>
      <c r="B2713" s="1" t="s">
        <v>49</v>
      </c>
      <c r="C2713">
        <v>266</v>
      </c>
      <c r="D2713" s="1" t="s">
        <v>201</v>
      </c>
      <c r="E2713" s="1" t="s">
        <v>4</v>
      </c>
      <c r="F2713">
        <v>42</v>
      </c>
      <c r="G2713" s="1" t="str">
        <f>Ocupacao_DW[[#This Row],[data]]&amp;Ocupacao_DW[[#This Row],[profissional_id]]&amp;Ocupacao_DW[[#This Row],[local_id]]</f>
        <v>4463726642</v>
      </c>
      <c r="H2713" s="1">
        <f>_xlfn.XLOOKUP(Ocupacao_DW[[#This Row],[Concat]],Vagas!$H:$H,Vagas!$D:$D,"",0)</f>
        <v>0</v>
      </c>
    </row>
    <row r="2714" spans="1:8" x14ac:dyDescent="0.25">
      <c r="A2714" s="2">
        <v>44635</v>
      </c>
      <c r="B2714" s="1" t="s">
        <v>65</v>
      </c>
      <c r="C2714">
        <v>11237</v>
      </c>
      <c r="D2714" s="1" t="s">
        <v>229</v>
      </c>
      <c r="E2714" s="1" t="s">
        <v>4</v>
      </c>
      <c r="F2714">
        <v>46</v>
      </c>
      <c r="G2714" s="1" t="str">
        <f>Ocupacao_DW[[#This Row],[data]]&amp;Ocupacao_DW[[#This Row],[profissional_id]]&amp;Ocupacao_DW[[#This Row],[local_id]]</f>
        <v>446351123746</v>
      </c>
      <c r="H2714" s="1">
        <f>_xlfn.XLOOKUP(Ocupacao_DW[[#This Row],[Concat]],Vagas!$H:$H,Vagas!$D:$D,"",0)</f>
        <v>0</v>
      </c>
    </row>
    <row r="2715" spans="1:8" x14ac:dyDescent="0.25">
      <c r="A2715" s="2">
        <v>44649</v>
      </c>
      <c r="B2715" s="1" t="s">
        <v>55</v>
      </c>
      <c r="C2715">
        <v>73</v>
      </c>
      <c r="D2715" s="1" t="s">
        <v>171</v>
      </c>
      <c r="E2715" s="1" t="s">
        <v>6</v>
      </c>
      <c r="F2715">
        <v>5</v>
      </c>
      <c r="G2715" s="1" t="str">
        <f>Ocupacao_DW[[#This Row],[data]]&amp;Ocupacao_DW[[#This Row],[profissional_id]]&amp;Ocupacao_DW[[#This Row],[local_id]]</f>
        <v>44649735</v>
      </c>
      <c r="H2715" s="1">
        <f>_xlfn.XLOOKUP(Ocupacao_DW[[#This Row],[Concat]],Vagas!$H:$H,Vagas!$D:$D,"",0)</f>
        <v>0</v>
      </c>
    </row>
    <row r="2716" spans="1:8" x14ac:dyDescent="0.25">
      <c r="A2716" s="2">
        <v>44635</v>
      </c>
      <c r="B2716" s="1" t="s">
        <v>52</v>
      </c>
      <c r="C2716">
        <v>13061</v>
      </c>
      <c r="D2716" s="1" t="s">
        <v>232</v>
      </c>
      <c r="E2716" s="1" t="s">
        <v>6</v>
      </c>
      <c r="F2716">
        <v>9</v>
      </c>
      <c r="G2716" s="1" t="str">
        <f>Ocupacao_DW[[#This Row],[data]]&amp;Ocupacao_DW[[#This Row],[profissional_id]]&amp;Ocupacao_DW[[#This Row],[local_id]]</f>
        <v>44635130619</v>
      </c>
      <c r="H2716" s="1">
        <f>_xlfn.XLOOKUP(Ocupacao_DW[[#This Row],[Concat]],Vagas!$H:$H,Vagas!$D:$D,"",0)</f>
        <v>0</v>
      </c>
    </row>
    <row r="2717" spans="1:8" x14ac:dyDescent="0.25">
      <c r="A2717" s="2">
        <v>44641</v>
      </c>
      <c r="B2717" s="1" t="s">
        <v>55</v>
      </c>
      <c r="C2717">
        <v>2984</v>
      </c>
      <c r="D2717" s="1" t="s">
        <v>185</v>
      </c>
      <c r="E2717" s="1" t="s">
        <v>6</v>
      </c>
      <c r="F2717">
        <v>7</v>
      </c>
      <c r="G2717" s="1" t="str">
        <f>Ocupacao_DW[[#This Row],[data]]&amp;Ocupacao_DW[[#This Row],[profissional_id]]&amp;Ocupacao_DW[[#This Row],[local_id]]</f>
        <v>4464129847</v>
      </c>
      <c r="H2717" s="1">
        <f>_xlfn.XLOOKUP(Ocupacao_DW[[#This Row],[Concat]],Vagas!$H:$H,Vagas!$D:$D,"",0)</f>
        <v>0</v>
      </c>
    </row>
    <row r="2718" spans="1:8" x14ac:dyDescent="0.25">
      <c r="A2718" s="2">
        <v>44636</v>
      </c>
      <c r="B2718" s="1" t="s">
        <v>52</v>
      </c>
      <c r="C2718">
        <v>57</v>
      </c>
      <c r="D2718" s="1" t="s">
        <v>169</v>
      </c>
      <c r="E2718" s="1" t="s">
        <v>6</v>
      </c>
      <c r="F2718">
        <v>4</v>
      </c>
      <c r="G2718" s="1" t="str">
        <f>Ocupacao_DW[[#This Row],[data]]&amp;Ocupacao_DW[[#This Row],[profissional_id]]&amp;Ocupacao_DW[[#This Row],[local_id]]</f>
        <v>44636574</v>
      </c>
      <c r="H2718" s="1">
        <f>_xlfn.XLOOKUP(Ocupacao_DW[[#This Row],[Concat]],Vagas!$H:$H,Vagas!$D:$D,"",0)</f>
        <v>0</v>
      </c>
    </row>
    <row r="2719" spans="1:8" x14ac:dyDescent="0.25">
      <c r="A2719" s="2">
        <v>44646</v>
      </c>
      <c r="B2719" s="1"/>
      <c r="C2719">
        <v>0</v>
      </c>
      <c r="D2719" s="1"/>
      <c r="E2719" s="1" t="s">
        <v>4</v>
      </c>
      <c r="F2719">
        <v>51</v>
      </c>
      <c r="G2719" s="1" t="str">
        <f>Ocupacao_DW[[#This Row],[data]]&amp;Ocupacao_DW[[#This Row],[profissional_id]]&amp;Ocupacao_DW[[#This Row],[local_id]]</f>
        <v>44646051</v>
      </c>
      <c r="H2719" s="1" t="str">
        <f>_xlfn.XLOOKUP(Ocupacao_DW[[#This Row],[Concat]],Vagas!$H:$H,Vagas!$D:$D,"",0)</f>
        <v/>
      </c>
    </row>
    <row r="2720" spans="1:8" x14ac:dyDescent="0.25">
      <c r="A2720" s="2">
        <v>44636</v>
      </c>
      <c r="B2720" s="1" t="s">
        <v>70</v>
      </c>
      <c r="C2720">
        <v>12825</v>
      </c>
      <c r="D2720" s="1" t="s">
        <v>177</v>
      </c>
      <c r="E2720" s="1" t="s">
        <v>4</v>
      </c>
      <c r="F2720">
        <v>45</v>
      </c>
      <c r="G2720" s="1" t="str">
        <f>Ocupacao_DW[[#This Row],[data]]&amp;Ocupacao_DW[[#This Row],[profissional_id]]&amp;Ocupacao_DW[[#This Row],[local_id]]</f>
        <v>446361282545</v>
      </c>
      <c r="H2720" s="1">
        <f>_xlfn.XLOOKUP(Ocupacao_DW[[#This Row],[Concat]],Vagas!$H:$H,Vagas!$D:$D,"",0)</f>
        <v>0</v>
      </c>
    </row>
    <row r="2721" spans="1:8" x14ac:dyDescent="0.25">
      <c r="A2721" s="2">
        <v>44644</v>
      </c>
      <c r="B2721" s="1" t="s">
        <v>70</v>
      </c>
      <c r="C2721">
        <v>12519</v>
      </c>
      <c r="D2721" s="1" t="s">
        <v>176</v>
      </c>
      <c r="E2721" s="1" t="s">
        <v>4</v>
      </c>
      <c r="F2721">
        <v>42</v>
      </c>
      <c r="G2721" s="1" t="str">
        <f>Ocupacao_DW[[#This Row],[data]]&amp;Ocupacao_DW[[#This Row],[profissional_id]]&amp;Ocupacao_DW[[#This Row],[local_id]]</f>
        <v>446441251942</v>
      </c>
      <c r="H2721" s="1">
        <f>_xlfn.XLOOKUP(Ocupacao_DW[[#This Row],[Concat]],Vagas!$H:$H,Vagas!$D:$D,"",0)</f>
        <v>0</v>
      </c>
    </row>
    <row r="2722" spans="1:8" x14ac:dyDescent="0.25">
      <c r="A2722" s="2">
        <v>44636</v>
      </c>
      <c r="B2722" s="1" t="s">
        <v>52</v>
      </c>
      <c r="C2722">
        <v>10946</v>
      </c>
      <c r="D2722" s="1" t="s">
        <v>209</v>
      </c>
      <c r="E2722" s="1" t="s">
        <v>7</v>
      </c>
      <c r="F2722">
        <v>60</v>
      </c>
      <c r="G2722" s="1" t="str">
        <f>Ocupacao_DW[[#This Row],[data]]&amp;Ocupacao_DW[[#This Row],[profissional_id]]&amp;Ocupacao_DW[[#This Row],[local_id]]</f>
        <v>446361094660</v>
      </c>
      <c r="H2722" s="1">
        <f>_xlfn.XLOOKUP(Ocupacao_DW[[#This Row],[Concat]],Vagas!$H:$H,Vagas!$D:$D,"",0)</f>
        <v>0</v>
      </c>
    </row>
    <row r="2723" spans="1:8" x14ac:dyDescent="0.25">
      <c r="A2723" s="2">
        <v>44642</v>
      </c>
      <c r="B2723" s="1" t="s">
        <v>70</v>
      </c>
      <c r="C2723">
        <v>14237</v>
      </c>
      <c r="D2723" s="1" t="s">
        <v>186</v>
      </c>
      <c r="E2723" s="1" t="s">
        <v>4</v>
      </c>
      <c r="F2723">
        <v>47</v>
      </c>
      <c r="G2723" s="1" t="str">
        <f>Ocupacao_DW[[#This Row],[data]]&amp;Ocupacao_DW[[#This Row],[profissional_id]]&amp;Ocupacao_DW[[#This Row],[local_id]]</f>
        <v>446421423747</v>
      </c>
      <c r="H2723" s="1">
        <f>_xlfn.XLOOKUP(Ocupacao_DW[[#This Row],[Concat]],Vagas!$H:$H,Vagas!$D:$D,"",0)</f>
        <v>0</v>
      </c>
    </row>
    <row r="2724" spans="1:8" x14ac:dyDescent="0.25">
      <c r="A2724" s="2">
        <v>44637</v>
      </c>
      <c r="B2724" s="1" t="s">
        <v>71</v>
      </c>
      <c r="C2724">
        <v>282</v>
      </c>
      <c r="D2724" s="1" t="s">
        <v>210</v>
      </c>
      <c r="E2724" s="1" t="s">
        <v>7</v>
      </c>
      <c r="F2724">
        <v>68</v>
      </c>
      <c r="G2724" s="1" t="str">
        <f>Ocupacao_DW[[#This Row],[data]]&amp;Ocupacao_DW[[#This Row],[profissional_id]]&amp;Ocupacao_DW[[#This Row],[local_id]]</f>
        <v>4463728268</v>
      </c>
      <c r="H2724" s="1">
        <f>_xlfn.XLOOKUP(Ocupacao_DW[[#This Row],[Concat]],Vagas!$H:$H,Vagas!$D:$D,"",0)</f>
        <v>0</v>
      </c>
    </row>
    <row r="2725" spans="1:8" x14ac:dyDescent="0.25">
      <c r="A2725" s="2">
        <v>44641</v>
      </c>
      <c r="B2725" s="1" t="s">
        <v>62</v>
      </c>
      <c r="C2725">
        <v>2567</v>
      </c>
      <c r="D2725" s="1" t="s">
        <v>198</v>
      </c>
      <c r="E2725" s="1" t="s">
        <v>5</v>
      </c>
      <c r="F2725">
        <v>18</v>
      </c>
      <c r="G2725" s="1" t="str">
        <f>Ocupacao_DW[[#This Row],[data]]&amp;Ocupacao_DW[[#This Row],[profissional_id]]&amp;Ocupacao_DW[[#This Row],[local_id]]</f>
        <v>44641256718</v>
      </c>
      <c r="H2725" s="1">
        <f>_xlfn.XLOOKUP(Ocupacao_DW[[#This Row],[Concat]],Vagas!$H:$H,Vagas!$D:$D,"",0)</f>
        <v>0</v>
      </c>
    </row>
    <row r="2726" spans="1:8" x14ac:dyDescent="0.25">
      <c r="A2726" s="2">
        <v>44644</v>
      </c>
      <c r="B2726" s="1" t="s">
        <v>55</v>
      </c>
      <c r="C2726">
        <v>74</v>
      </c>
      <c r="D2726" s="1" t="s">
        <v>182</v>
      </c>
      <c r="E2726" s="1" t="s">
        <v>6</v>
      </c>
      <c r="F2726">
        <v>7</v>
      </c>
      <c r="G2726" s="1" t="str">
        <f>Ocupacao_DW[[#This Row],[data]]&amp;Ocupacao_DW[[#This Row],[profissional_id]]&amp;Ocupacao_DW[[#This Row],[local_id]]</f>
        <v>44644747</v>
      </c>
      <c r="H2726" s="1">
        <f>_xlfn.XLOOKUP(Ocupacao_DW[[#This Row],[Concat]],Vagas!$H:$H,Vagas!$D:$D,"",0)</f>
        <v>0</v>
      </c>
    </row>
    <row r="2727" spans="1:8" x14ac:dyDescent="0.25">
      <c r="A2727" s="2">
        <v>44650</v>
      </c>
      <c r="B2727" s="1" t="s">
        <v>55</v>
      </c>
      <c r="C2727">
        <v>73</v>
      </c>
      <c r="D2727" s="1" t="s">
        <v>171</v>
      </c>
      <c r="E2727" s="1" t="s">
        <v>6</v>
      </c>
      <c r="F2727">
        <v>5</v>
      </c>
      <c r="G2727" s="1" t="str">
        <f>Ocupacao_DW[[#This Row],[data]]&amp;Ocupacao_DW[[#This Row],[profissional_id]]&amp;Ocupacao_DW[[#This Row],[local_id]]</f>
        <v>44650735</v>
      </c>
      <c r="H2727" s="1">
        <f>_xlfn.XLOOKUP(Ocupacao_DW[[#This Row],[Concat]],Vagas!$H:$H,Vagas!$D:$D,"",0)</f>
        <v>0</v>
      </c>
    </row>
    <row r="2728" spans="1:8" x14ac:dyDescent="0.25">
      <c r="A2728" s="2">
        <v>44650</v>
      </c>
      <c r="B2728" s="1" t="s">
        <v>57</v>
      </c>
      <c r="C2728">
        <v>80</v>
      </c>
      <c r="D2728" s="1" t="s">
        <v>179</v>
      </c>
      <c r="E2728" s="1" t="s">
        <v>167</v>
      </c>
      <c r="F2728">
        <v>346</v>
      </c>
      <c r="G2728" s="1" t="str">
        <f>Ocupacao_DW[[#This Row],[data]]&amp;Ocupacao_DW[[#This Row],[profissional_id]]&amp;Ocupacao_DW[[#This Row],[local_id]]</f>
        <v>4465080346</v>
      </c>
      <c r="H2728" s="1">
        <f>_xlfn.XLOOKUP(Ocupacao_DW[[#This Row],[Concat]],Vagas!$H:$H,Vagas!$D:$D,"",0)</f>
        <v>0</v>
      </c>
    </row>
    <row r="2729" spans="1:8" x14ac:dyDescent="0.25">
      <c r="A2729" s="2">
        <v>44639</v>
      </c>
      <c r="B2729" s="1" t="s">
        <v>62</v>
      </c>
      <c r="C2729">
        <v>4887</v>
      </c>
      <c r="D2729" s="1" t="s">
        <v>168</v>
      </c>
      <c r="E2729" s="1" t="s">
        <v>5</v>
      </c>
      <c r="F2729">
        <v>18</v>
      </c>
      <c r="G2729" s="1" t="str">
        <f>Ocupacao_DW[[#This Row],[data]]&amp;Ocupacao_DW[[#This Row],[profissional_id]]&amp;Ocupacao_DW[[#This Row],[local_id]]</f>
        <v>44639488718</v>
      </c>
      <c r="H2729" s="1">
        <f>_xlfn.XLOOKUP(Ocupacao_DW[[#This Row],[Concat]],Vagas!$H:$H,Vagas!$D:$D,"",0)</f>
        <v>0</v>
      </c>
    </row>
    <row r="2730" spans="1:8" x14ac:dyDescent="0.25">
      <c r="A2730" s="2">
        <v>44641</v>
      </c>
      <c r="B2730" s="1" t="s">
        <v>55</v>
      </c>
      <c r="C2730">
        <v>6392</v>
      </c>
      <c r="D2730" s="1" t="s">
        <v>173</v>
      </c>
      <c r="E2730" s="1" t="s">
        <v>6</v>
      </c>
      <c r="F2730">
        <v>5</v>
      </c>
      <c r="G2730" s="1" t="str">
        <f>Ocupacao_DW[[#This Row],[data]]&amp;Ocupacao_DW[[#This Row],[profissional_id]]&amp;Ocupacao_DW[[#This Row],[local_id]]</f>
        <v>4464163925</v>
      </c>
      <c r="H2730" s="1">
        <f>_xlfn.XLOOKUP(Ocupacao_DW[[#This Row],[Concat]],Vagas!$H:$H,Vagas!$D:$D,"",0)</f>
        <v>0</v>
      </c>
    </row>
    <row r="2731" spans="1:8" x14ac:dyDescent="0.25">
      <c r="A2731" s="2">
        <v>44639</v>
      </c>
      <c r="B2731" s="1"/>
      <c r="C2731">
        <v>0</v>
      </c>
      <c r="D2731" s="1"/>
      <c r="E2731" s="1" t="s">
        <v>4</v>
      </c>
      <c r="F2731">
        <v>40</v>
      </c>
      <c r="G2731" s="1" t="str">
        <f>Ocupacao_DW[[#This Row],[data]]&amp;Ocupacao_DW[[#This Row],[profissional_id]]&amp;Ocupacao_DW[[#This Row],[local_id]]</f>
        <v>44639040</v>
      </c>
      <c r="H2731" s="1" t="str">
        <f>_xlfn.XLOOKUP(Ocupacao_DW[[#This Row],[Concat]],Vagas!$H:$H,Vagas!$D:$D,"",0)</f>
        <v/>
      </c>
    </row>
    <row r="2732" spans="1:8" x14ac:dyDescent="0.25">
      <c r="A2732" s="2">
        <v>44637</v>
      </c>
      <c r="B2732" s="1" t="s">
        <v>54</v>
      </c>
      <c r="C2732">
        <v>69</v>
      </c>
      <c r="D2732" s="1" t="s">
        <v>238</v>
      </c>
      <c r="E2732" s="1" t="s">
        <v>200</v>
      </c>
      <c r="F2732">
        <v>82</v>
      </c>
      <c r="G2732" s="1" t="str">
        <f>Ocupacao_DW[[#This Row],[data]]&amp;Ocupacao_DW[[#This Row],[profissional_id]]&amp;Ocupacao_DW[[#This Row],[local_id]]</f>
        <v>446376982</v>
      </c>
      <c r="H2732" s="1">
        <f>_xlfn.XLOOKUP(Ocupacao_DW[[#This Row],[Concat]],Vagas!$H:$H,Vagas!$D:$D,"",0)</f>
        <v>0</v>
      </c>
    </row>
    <row r="2733" spans="1:8" x14ac:dyDescent="0.25">
      <c r="A2733" s="2">
        <v>44656</v>
      </c>
      <c r="B2733" s="1" t="s">
        <v>69</v>
      </c>
      <c r="C2733">
        <v>13249</v>
      </c>
      <c r="D2733" s="1" t="s">
        <v>178</v>
      </c>
      <c r="E2733" s="1" t="s">
        <v>4</v>
      </c>
      <c r="F2733">
        <v>45</v>
      </c>
      <c r="G2733" s="1" t="str">
        <f>Ocupacao_DW[[#This Row],[data]]&amp;Ocupacao_DW[[#This Row],[profissional_id]]&amp;Ocupacao_DW[[#This Row],[local_id]]</f>
        <v>446561324945</v>
      </c>
      <c r="H2733" s="1" t="str">
        <f>_xlfn.XLOOKUP(Ocupacao_DW[[#This Row],[Concat]],Vagas!$H:$H,Vagas!$D:$D,"",0)</f>
        <v/>
      </c>
    </row>
    <row r="2734" spans="1:8" x14ac:dyDescent="0.25">
      <c r="A2734" s="2">
        <v>44641</v>
      </c>
      <c r="B2734" s="1" t="s">
        <v>55</v>
      </c>
      <c r="C2734">
        <v>6392</v>
      </c>
      <c r="D2734" s="1" t="s">
        <v>173</v>
      </c>
      <c r="E2734" s="1" t="s">
        <v>6</v>
      </c>
      <c r="F2734">
        <v>5</v>
      </c>
      <c r="G2734" s="1" t="str">
        <f>Ocupacao_DW[[#This Row],[data]]&amp;Ocupacao_DW[[#This Row],[profissional_id]]&amp;Ocupacao_DW[[#This Row],[local_id]]</f>
        <v>4464163925</v>
      </c>
      <c r="H2734" s="1">
        <f>_xlfn.XLOOKUP(Ocupacao_DW[[#This Row],[Concat]],Vagas!$H:$H,Vagas!$D:$D,"",0)</f>
        <v>0</v>
      </c>
    </row>
    <row r="2735" spans="1:8" x14ac:dyDescent="0.25">
      <c r="A2735" s="2">
        <v>44636</v>
      </c>
      <c r="B2735" s="1" t="s">
        <v>52</v>
      </c>
      <c r="C2735">
        <v>57</v>
      </c>
      <c r="D2735" s="1" t="s">
        <v>169</v>
      </c>
      <c r="E2735" s="1" t="s">
        <v>6</v>
      </c>
      <c r="F2735">
        <v>4</v>
      </c>
      <c r="G2735" s="1" t="str">
        <f>Ocupacao_DW[[#This Row],[data]]&amp;Ocupacao_DW[[#This Row],[profissional_id]]&amp;Ocupacao_DW[[#This Row],[local_id]]</f>
        <v>44636574</v>
      </c>
      <c r="H2735" s="1">
        <f>_xlfn.XLOOKUP(Ocupacao_DW[[#This Row],[Concat]],Vagas!$H:$H,Vagas!$D:$D,"",0)</f>
        <v>0</v>
      </c>
    </row>
    <row r="2736" spans="1:8" x14ac:dyDescent="0.25">
      <c r="A2736" s="2">
        <v>44649</v>
      </c>
      <c r="B2736" s="1" t="s">
        <v>55</v>
      </c>
      <c r="C2736">
        <v>73</v>
      </c>
      <c r="D2736" s="1" t="s">
        <v>171</v>
      </c>
      <c r="E2736" s="1" t="s">
        <v>6</v>
      </c>
      <c r="F2736">
        <v>5</v>
      </c>
      <c r="G2736" s="1" t="str">
        <f>Ocupacao_DW[[#This Row],[data]]&amp;Ocupacao_DW[[#This Row],[profissional_id]]&amp;Ocupacao_DW[[#This Row],[local_id]]</f>
        <v>44649735</v>
      </c>
      <c r="H2736" s="1">
        <f>_xlfn.XLOOKUP(Ocupacao_DW[[#This Row],[Concat]],Vagas!$H:$H,Vagas!$D:$D,"",0)</f>
        <v>0</v>
      </c>
    </row>
    <row r="2737" spans="1:8" x14ac:dyDescent="0.25">
      <c r="A2737" s="2">
        <v>44638</v>
      </c>
      <c r="B2737" s="1" t="s">
        <v>52</v>
      </c>
      <c r="C2737">
        <v>57</v>
      </c>
      <c r="D2737" s="1" t="s">
        <v>169</v>
      </c>
      <c r="E2737" s="1" t="s">
        <v>6</v>
      </c>
      <c r="F2737">
        <v>8</v>
      </c>
      <c r="G2737" s="1" t="str">
        <f>Ocupacao_DW[[#This Row],[data]]&amp;Ocupacao_DW[[#This Row],[profissional_id]]&amp;Ocupacao_DW[[#This Row],[local_id]]</f>
        <v>44638578</v>
      </c>
      <c r="H2737" s="1">
        <f>_xlfn.XLOOKUP(Ocupacao_DW[[#This Row],[Concat]],Vagas!$H:$H,Vagas!$D:$D,"",0)</f>
        <v>0</v>
      </c>
    </row>
    <row r="2738" spans="1:8" x14ac:dyDescent="0.25">
      <c r="A2738" s="2">
        <v>44638</v>
      </c>
      <c r="B2738" s="1" t="s">
        <v>52</v>
      </c>
      <c r="C2738">
        <v>10691</v>
      </c>
      <c r="D2738" s="1" t="s">
        <v>181</v>
      </c>
      <c r="E2738" s="1" t="s">
        <v>200</v>
      </c>
      <c r="F2738">
        <v>78</v>
      </c>
      <c r="G2738" s="1" t="str">
        <f>Ocupacao_DW[[#This Row],[data]]&amp;Ocupacao_DW[[#This Row],[profissional_id]]&amp;Ocupacao_DW[[#This Row],[local_id]]</f>
        <v>446381069178</v>
      </c>
      <c r="H2738" s="1">
        <f>_xlfn.XLOOKUP(Ocupacao_DW[[#This Row],[Concat]],Vagas!$H:$H,Vagas!$D:$D,"",0)</f>
        <v>0</v>
      </c>
    </row>
    <row r="2739" spans="1:8" x14ac:dyDescent="0.25">
      <c r="A2739" s="2">
        <v>44642</v>
      </c>
      <c r="B2739" s="1" t="s">
        <v>70</v>
      </c>
      <c r="C2739">
        <v>14237</v>
      </c>
      <c r="D2739" s="1" t="s">
        <v>186</v>
      </c>
      <c r="E2739" s="1" t="s">
        <v>4</v>
      </c>
      <c r="F2739">
        <v>47</v>
      </c>
      <c r="G2739" s="1" t="str">
        <f>Ocupacao_DW[[#This Row],[data]]&amp;Ocupacao_DW[[#This Row],[profissional_id]]&amp;Ocupacao_DW[[#This Row],[local_id]]</f>
        <v>446421423747</v>
      </c>
      <c r="H2739" s="1">
        <f>_xlfn.XLOOKUP(Ocupacao_DW[[#This Row],[Concat]],Vagas!$H:$H,Vagas!$D:$D,"",0)</f>
        <v>0</v>
      </c>
    </row>
    <row r="2740" spans="1:8" x14ac:dyDescent="0.25">
      <c r="A2740" s="2">
        <v>44644</v>
      </c>
      <c r="B2740" s="1" t="s">
        <v>70</v>
      </c>
      <c r="C2740">
        <v>12519</v>
      </c>
      <c r="D2740" s="1" t="s">
        <v>176</v>
      </c>
      <c r="E2740" s="1" t="s">
        <v>4</v>
      </c>
      <c r="F2740">
        <v>42</v>
      </c>
      <c r="G2740" s="1" t="str">
        <f>Ocupacao_DW[[#This Row],[data]]&amp;Ocupacao_DW[[#This Row],[profissional_id]]&amp;Ocupacao_DW[[#This Row],[local_id]]</f>
        <v>446441251942</v>
      </c>
      <c r="H2740" s="1">
        <f>_xlfn.XLOOKUP(Ocupacao_DW[[#This Row],[Concat]],Vagas!$H:$H,Vagas!$D:$D,"",0)</f>
        <v>0</v>
      </c>
    </row>
    <row r="2741" spans="1:8" x14ac:dyDescent="0.25">
      <c r="A2741" s="2">
        <v>44649</v>
      </c>
      <c r="B2741" s="1" t="s">
        <v>55</v>
      </c>
      <c r="C2741">
        <v>73</v>
      </c>
      <c r="D2741" s="1" t="s">
        <v>171</v>
      </c>
      <c r="E2741" s="1" t="s">
        <v>6</v>
      </c>
      <c r="F2741">
        <v>5</v>
      </c>
      <c r="G2741" s="1" t="str">
        <f>Ocupacao_DW[[#This Row],[data]]&amp;Ocupacao_DW[[#This Row],[profissional_id]]&amp;Ocupacao_DW[[#This Row],[local_id]]</f>
        <v>44649735</v>
      </c>
      <c r="H2741" s="1">
        <f>_xlfn.XLOOKUP(Ocupacao_DW[[#This Row],[Concat]],Vagas!$H:$H,Vagas!$D:$D,"",0)</f>
        <v>0</v>
      </c>
    </row>
    <row r="2742" spans="1:8" x14ac:dyDescent="0.25">
      <c r="A2742" s="2">
        <v>44636</v>
      </c>
      <c r="B2742" s="1" t="s">
        <v>49</v>
      </c>
      <c r="C2742">
        <v>6430</v>
      </c>
      <c r="D2742" s="1" t="s">
        <v>188</v>
      </c>
      <c r="E2742" s="1" t="s">
        <v>4</v>
      </c>
      <c r="F2742">
        <v>42</v>
      </c>
      <c r="G2742" s="1" t="str">
        <f>Ocupacao_DW[[#This Row],[data]]&amp;Ocupacao_DW[[#This Row],[profissional_id]]&amp;Ocupacao_DW[[#This Row],[local_id]]</f>
        <v>44636643042</v>
      </c>
      <c r="H2742" s="1">
        <f>_xlfn.XLOOKUP(Ocupacao_DW[[#This Row],[Concat]],Vagas!$H:$H,Vagas!$D:$D,"",0)</f>
        <v>0</v>
      </c>
    </row>
    <row r="2743" spans="1:8" x14ac:dyDescent="0.25">
      <c r="A2743" s="2">
        <v>44636</v>
      </c>
      <c r="B2743" s="1" t="s">
        <v>70</v>
      </c>
      <c r="C2743">
        <v>12825</v>
      </c>
      <c r="D2743" s="1" t="s">
        <v>177</v>
      </c>
      <c r="E2743" s="1" t="s">
        <v>4</v>
      </c>
      <c r="F2743">
        <v>45</v>
      </c>
      <c r="G2743" s="1" t="str">
        <f>Ocupacao_DW[[#This Row],[data]]&amp;Ocupacao_DW[[#This Row],[profissional_id]]&amp;Ocupacao_DW[[#This Row],[local_id]]</f>
        <v>446361282545</v>
      </c>
      <c r="H2743" s="1">
        <f>_xlfn.XLOOKUP(Ocupacao_DW[[#This Row],[Concat]],Vagas!$H:$H,Vagas!$D:$D,"",0)</f>
        <v>0</v>
      </c>
    </row>
    <row r="2744" spans="1:8" x14ac:dyDescent="0.25">
      <c r="A2744" s="2">
        <v>44636</v>
      </c>
      <c r="B2744" s="1" t="s">
        <v>49</v>
      </c>
      <c r="C2744">
        <v>6430</v>
      </c>
      <c r="D2744" s="1" t="s">
        <v>188</v>
      </c>
      <c r="E2744" s="1" t="s">
        <v>4</v>
      </c>
      <c r="F2744">
        <v>42</v>
      </c>
      <c r="G2744" s="1" t="str">
        <f>Ocupacao_DW[[#This Row],[data]]&amp;Ocupacao_DW[[#This Row],[profissional_id]]&amp;Ocupacao_DW[[#This Row],[local_id]]</f>
        <v>44636643042</v>
      </c>
      <c r="H2744" s="1">
        <f>_xlfn.XLOOKUP(Ocupacao_DW[[#This Row],[Concat]],Vagas!$H:$H,Vagas!$D:$D,"",0)</f>
        <v>0</v>
      </c>
    </row>
    <row r="2745" spans="1:8" x14ac:dyDescent="0.25">
      <c r="A2745" s="2">
        <v>44645</v>
      </c>
      <c r="B2745" s="1" t="s">
        <v>52</v>
      </c>
      <c r="C2745">
        <v>57</v>
      </c>
      <c r="D2745" s="1" t="s">
        <v>169</v>
      </c>
      <c r="E2745" s="1" t="s">
        <v>6</v>
      </c>
      <c r="F2745">
        <v>8</v>
      </c>
      <c r="G2745" s="1" t="str">
        <f>Ocupacao_DW[[#This Row],[data]]&amp;Ocupacao_DW[[#This Row],[profissional_id]]&amp;Ocupacao_DW[[#This Row],[local_id]]</f>
        <v>44645578</v>
      </c>
      <c r="H2745" s="1">
        <f>_xlfn.XLOOKUP(Ocupacao_DW[[#This Row],[Concat]],Vagas!$H:$H,Vagas!$D:$D,"",0)</f>
        <v>0</v>
      </c>
    </row>
    <row r="2746" spans="1:8" x14ac:dyDescent="0.25">
      <c r="A2746" s="2">
        <v>44635</v>
      </c>
      <c r="B2746" s="1" t="s">
        <v>49</v>
      </c>
      <c r="C2746">
        <v>81</v>
      </c>
      <c r="D2746" s="1" t="s">
        <v>170</v>
      </c>
      <c r="E2746" s="1" t="s">
        <v>7</v>
      </c>
      <c r="F2746">
        <v>71</v>
      </c>
      <c r="G2746" s="1" t="str">
        <f>Ocupacao_DW[[#This Row],[data]]&amp;Ocupacao_DW[[#This Row],[profissional_id]]&amp;Ocupacao_DW[[#This Row],[local_id]]</f>
        <v>446358171</v>
      </c>
      <c r="H2746" s="1">
        <f>_xlfn.XLOOKUP(Ocupacao_DW[[#This Row],[Concat]],Vagas!$H:$H,Vagas!$D:$D,"",0)</f>
        <v>0</v>
      </c>
    </row>
    <row r="2747" spans="1:8" x14ac:dyDescent="0.25">
      <c r="A2747" s="2">
        <v>44641</v>
      </c>
      <c r="B2747" s="1" t="s">
        <v>55</v>
      </c>
      <c r="C2747">
        <v>60</v>
      </c>
      <c r="D2747" s="1" t="s">
        <v>217</v>
      </c>
      <c r="E2747" s="1" t="s">
        <v>7</v>
      </c>
      <c r="F2747">
        <v>66</v>
      </c>
      <c r="G2747" s="1" t="str">
        <f>Ocupacao_DW[[#This Row],[data]]&amp;Ocupacao_DW[[#This Row],[profissional_id]]&amp;Ocupacao_DW[[#This Row],[local_id]]</f>
        <v>446416066</v>
      </c>
      <c r="H2747" s="1">
        <f>_xlfn.XLOOKUP(Ocupacao_DW[[#This Row],[Concat]],Vagas!$H:$H,Vagas!$D:$D,"",0)</f>
        <v>0</v>
      </c>
    </row>
    <row r="2748" spans="1:8" x14ac:dyDescent="0.25">
      <c r="A2748" s="2">
        <v>44645</v>
      </c>
      <c r="B2748" s="1" t="s">
        <v>55</v>
      </c>
      <c r="C2748">
        <v>2984</v>
      </c>
      <c r="D2748" s="1" t="s">
        <v>185</v>
      </c>
      <c r="E2748" s="1" t="s">
        <v>6</v>
      </c>
      <c r="F2748">
        <v>7</v>
      </c>
      <c r="G2748" s="1" t="str">
        <f>Ocupacao_DW[[#This Row],[data]]&amp;Ocupacao_DW[[#This Row],[profissional_id]]&amp;Ocupacao_DW[[#This Row],[local_id]]</f>
        <v>4464529847</v>
      </c>
      <c r="H2748" s="1">
        <f>_xlfn.XLOOKUP(Ocupacao_DW[[#This Row],[Concat]],Vagas!$H:$H,Vagas!$D:$D,"",0)</f>
        <v>0</v>
      </c>
    </row>
    <row r="2749" spans="1:8" x14ac:dyDescent="0.25">
      <c r="A2749" s="2">
        <v>44644</v>
      </c>
      <c r="B2749" s="1" t="s">
        <v>54</v>
      </c>
      <c r="C2749">
        <v>1490</v>
      </c>
      <c r="D2749" s="1" t="s">
        <v>174</v>
      </c>
      <c r="E2749" s="1" t="s">
        <v>5</v>
      </c>
      <c r="F2749">
        <v>13</v>
      </c>
      <c r="G2749" s="1" t="str">
        <f>Ocupacao_DW[[#This Row],[data]]&amp;Ocupacao_DW[[#This Row],[profissional_id]]&amp;Ocupacao_DW[[#This Row],[local_id]]</f>
        <v>44644149013</v>
      </c>
      <c r="H2749" s="1">
        <f>_xlfn.XLOOKUP(Ocupacao_DW[[#This Row],[Concat]],Vagas!$H:$H,Vagas!$D:$D,"",0)</f>
        <v>0</v>
      </c>
    </row>
    <row r="2750" spans="1:8" x14ac:dyDescent="0.25">
      <c r="A2750" s="2">
        <v>44635</v>
      </c>
      <c r="B2750" s="1" t="s">
        <v>62</v>
      </c>
      <c r="C2750">
        <v>3502</v>
      </c>
      <c r="D2750" s="1" t="s">
        <v>214</v>
      </c>
      <c r="E2750" s="1" t="s">
        <v>5</v>
      </c>
      <c r="F2750">
        <v>16</v>
      </c>
      <c r="G2750" s="1" t="str">
        <f>Ocupacao_DW[[#This Row],[data]]&amp;Ocupacao_DW[[#This Row],[profissional_id]]&amp;Ocupacao_DW[[#This Row],[local_id]]</f>
        <v>44635350216</v>
      </c>
      <c r="H2750" s="1">
        <f>_xlfn.XLOOKUP(Ocupacao_DW[[#This Row],[Concat]],Vagas!$H:$H,Vagas!$D:$D,"",0)</f>
        <v>0</v>
      </c>
    </row>
    <row r="2751" spans="1:8" x14ac:dyDescent="0.25">
      <c r="A2751" s="2">
        <v>44636</v>
      </c>
      <c r="B2751" s="1" t="s">
        <v>52</v>
      </c>
      <c r="C2751">
        <v>57</v>
      </c>
      <c r="D2751" s="1" t="s">
        <v>169</v>
      </c>
      <c r="E2751" s="1" t="s">
        <v>6</v>
      </c>
      <c r="F2751">
        <v>4</v>
      </c>
      <c r="G2751" s="1" t="str">
        <f>Ocupacao_DW[[#This Row],[data]]&amp;Ocupacao_DW[[#This Row],[profissional_id]]&amp;Ocupacao_DW[[#This Row],[local_id]]</f>
        <v>44636574</v>
      </c>
      <c r="H2751" s="1">
        <f>_xlfn.XLOOKUP(Ocupacao_DW[[#This Row],[Concat]],Vagas!$H:$H,Vagas!$D:$D,"",0)</f>
        <v>0</v>
      </c>
    </row>
    <row r="2752" spans="1:8" x14ac:dyDescent="0.25">
      <c r="A2752" s="2">
        <v>44637</v>
      </c>
      <c r="B2752" s="1" t="s">
        <v>52</v>
      </c>
      <c r="C2752">
        <v>9217</v>
      </c>
      <c r="D2752" s="1" t="s">
        <v>191</v>
      </c>
      <c r="E2752" s="1" t="s">
        <v>6</v>
      </c>
      <c r="F2752">
        <v>7</v>
      </c>
      <c r="G2752" s="1" t="str">
        <f>Ocupacao_DW[[#This Row],[data]]&amp;Ocupacao_DW[[#This Row],[profissional_id]]&amp;Ocupacao_DW[[#This Row],[local_id]]</f>
        <v>4463792177</v>
      </c>
      <c r="H2752" s="1">
        <f>_xlfn.XLOOKUP(Ocupacao_DW[[#This Row],[Concat]],Vagas!$H:$H,Vagas!$D:$D,"",0)</f>
        <v>0</v>
      </c>
    </row>
    <row r="2753" spans="1:8" x14ac:dyDescent="0.25">
      <c r="A2753" s="2">
        <v>44638</v>
      </c>
      <c r="B2753" s="1" t="s">
        <v>49</v>
      </c>
      <c r="C2753">
        <v>6430</v>
      </c>
      <c r="D2753" s="1" t="s">
        <v>188</v>
      </c>
      <c r="E2753" s="1" t="s">
        <v>4</v>
      </c>
      <c r="F2753">
        <v>42</v>
      </c>
      <c r="G2753" s="1" t="str">
        <f>Ocupacao_DW[[#This Row],[data]]&amp;Ocupacao_DW[[#This Row],[profissional_id]]&amp;Ocupacao_DW[[#This Row],[local_id]]</f>
        <v>44638643042</v>
      </c>
      <c r="H2753" s="1">
        <f>_xlfn.XLOOKUP(Ocupacao_DW[[#This Row],[Concat]],Vagas!$H:$H,Vagas!$D:$D,"",0)</f>
        <v>0</v>
      </c>
    </row>
    <row r="2754" spans="1:8" x14ac:dyDescent="0.25">
      <c r="A2754" s="2">
        <v>44637</v>
      </c>
      <c r="B2754" s="1" t="s">
        <v>55</v>
      </c>
      <c r="C2754">
        <v>12426</v>
      </c>
      <c r="D2754" s="1" t="s">
        <v>215</v>
      </c>
      <c r="E2754" s="1" t="s">
        <v>6</v>
      </c>
      <c r="F2754">
        <v>5</v>
      </c>
      <c r="G2754" s="1" t="str">
        <f>Ocupacao_DW[[#This Row],[data]]&amp;Ocupacao_DW[[#This Row],[profissional_id]]&amp;Ocupacao_DW[[#This Row],[local_id]]</f>
        <v>44637124265</v>
      </c>
      <c r="H2754" s="1">
        <f>_xlfn.XLOOKUP(Ocupacao_DW[[#This Row],[Concat]],Vagas!$H:$H,Vagas!$D:$D,"",0)</f>
        <v>0</v>
      </c>
    </row>
    <row r="2755" spans="1:8" x14ac:dyDescent="0.25">
      <c r="A2755" s="2">
        <v>44648</v>
      </c>
      <c r="B2755" s="1" t="s">
        <v>55</v>
      </c>
      <c r="C2755">
        <v>6392</v>
      </c>
      <c r="D2755" s="1" t="s">
        <v>173</v>
      </c>
      <c r="E2755" s="1" t="s">
        <v>6</v>
      </c>
      <c r="F2755">
        <v>5</v>
      </c>
      <c r="G2755" s="1" t="str">
        <f>Ocupacao_DW[[#This Row],[data]]&amp;Ocupacao_DW[[#This Row],[profissional_id]]&amp;Ocupacao_DW[[#This Row],[local_id]]</f>
        <v>4464863925</v>
      </c>
      <c r="H2755" s="1">
        <f>_xlfn.XLOOKUP(Ocupacao_DW[[#This Row],[Concat]],Vagas!$H:$H,Vagas!$D:$D,"",0)</f>
        <v>0</v>
      </c>
    </row>
    <row r="2756" spans="1:8" x14ac:dyDescent="0.25">
      <c r="A2756" s="2">
        <v>44641</v>
      </c>
      <c r="B2756" s="1" t="s">
        <v>54</v>
      </c>
      <c r="C2756">
        <v>10941</v>
      </c>
      <c r="D2756" s="1" t="s">
        <v>224</v>
      </c>
      <c r="E2756" s="1" t="s">
        <v>7</v>
      </c>
      <c r="F2756">
        <v>67</v>
      </c>
      <c r="G2756" s="1" t="str">
        <f>Ocupacao_DW[[#This Row],[data]]&amp;Ocupacao_DW[[#This Row],[profissional_id]]&amp;Ocupacao_DW[[#This Row],[local_id]]</f>
        <v>446411094167</v>
      </c>
      <c r="H2756" s="1">
        <f>_xlfn.XLOOKUP(Ocupacao_DW[[#This Row],[Concat]],Vagas!$H:$H,Vagas!$D:$D,"",0)</f>
        <v>0</v>
      </c>
    </row>
    <row r="2757" spans="1:8" x14ac:dyDescent="0.25">
      <c r="A2757" s="2">
        <v>44637</v>
      </c>
      <c r="B2757" s="1" t="s">
        <v>55</v>
      </c>
      <c r="C2757">
        <v>8598</v>
      </c>
      <c r="D2757" s="1" t="s">
        <v>228</v>
      </c>
      <c r="E2757" s="1" t="s">
        <v>6</v>
      </c>
      <c r="F2757">
        <v>3</v>
      </c>
      <c r="G2757" s="1" t="str">
        <f>Ocupacao_DW[[#This Row],[data]]&amp;Ocupacao_DW[[#This Row],[profissional_id]]&amp;Ocupacao_DW[[#This Row],[local_id]]</f>
        <v>4463785983</v>
      </c>
      <c r="H2757" s="1">
        <f>_xlfn.XLOOKUP(Ocupacao_DW[[#This Row],[Concat]],Vagas!$H:$H,Vagas!$D:$D,"",0)</f>
        <v>0</v>
      </c>
    </row>
    <row r="2758" spans="1:8" x14ac:dyDescent="0.25">
      <c r="A2758" s="2">
        <v>44635</v>
      </c>
      <c r="B2758" s="1" t="s">
        <v>49</v>
      </c>
      <c r="C2758">
        <v>81</v>
      </c>
      <c r="D2758" s="1" t="s">
        <v>170</v>
      </c>
      <c r="E2758" s="1" t="s">
        <v>7</v>
      </c>
      <c r="F2758">
        <v>71</v>
      </c>
      <c r="G2758" s="1" t="str">
        <f>Ocupacao_DW[[#This Row],[data]]&amp;Ocupacao_DW[[#This Row],[profissional_id]]&amp;Ocupacao_DW[[#This Row],[local_id]]</f>
        <v>446358171</v>
      </c>
      <c r="H2758" s="1">
        <f>_xlfn.XLOOKUP(Ocupacao_DW[[#This Row],[Concat]],Vagas!$H:$H,Vagas!$D:$D,"",0)</f>
        <v>0</v>
      </c>
    </row>
    <row r="2759" spans="1:8" x14ac:dyDescent="0.25">
      <c r="A2759" s="2">
        <v>44644</v>
      </c>
      <c r="B2759" s="1" t="s">
        <v>51</v>
      </c>
      <c r="C2759">
        <v>53</v>
      </c>
      <c r="D2759" s="1" t="s">
        <v>254</v>
      </c>
      <c r="E2759" s="1" t="s">
        <v>5</v>
      </c>
      <c r="F2759">
        <v>14</v>
      </c>
      <c r="G2759" s="1" t="str">
        <f>Ocupacao_DW[[#This Row],[data]]&amp;Ocupacao_DW[[#This Row],[profissional_id]]&amp;Ocupacao_DW[[#This Row],[local_id]]</f>
        <v>446445314</v>
      </c>
      <c r="H2759" s="1">
        <f>_xlfn.XLOOKUP(Ocupacao_DW[[#This Row],[Concat]],Vagas!$H:$H,Vagas!$D:$D,"",0)</f>
        <v>0</v>
      </c>
    </row>
    <row r="2760" spans="1:8" x14ac:dyDescent="0.25">
      <c r="A2760" s="2">
        <v>44638</v>
      </c>
      <c r="B2760" s="1" t="s">
        <v>49</v>
      </c>
      <c r="C2760">
        <v>6430</v>
      </c>
      <c r="D2760" s="1" t="s">
        <v>188</v>
      </c>
      <c r="E2760" s="1" t="s">
        <v>4</v>
      </c>
      <c r="F2760">
        <v>42</v>
      </c>
      <c r="G2760" s="1" t="str">
        <f>Ocupacao_DW[[#This Row],[data]]&amp;Ocupacao_DW[[#This Row],[profissional_id]]&amp;Ocupacao_DW[[#This Row],[local_id]]</f>
        <v>44638643042</v>
      </c>
      <c r="H2760" s="1">
        <f>_xlfn.XLOOKUP(Ocupacao_DW[[#This Row],[Concat]],Vagas!$H:$H,Vagas!$D:$D,"",0)</f>
        <v>0</v>
      </c>
    </row>
    <row r="2761" spans="1:8" x14ac:dyDescent="0.25">
      <c r="A2761" s="2">
        <v>44636</v>
      </c>
      <c r="B2761" s="1" t="s">
        <v>24</v>
      </c>
      <c r="C2761">
        <v>13061</v>
      </c>
      <c r="D2761" s="1" t="s">
        <v>232</v>
      </c>
      <c r="E2761" s="1" t="s">
        <v>6</v>
      </c>
      <c r="F2761">
        <v>3</v>
      </c>
      <c r="G2761" s="1" t="str">
        <f>Ocupacao_DW[[#This Row],[data]]&amp;Ocupacao_DW[[#This Row],[profissional_id]]&amp;Ocupacao_DW[[#This Row],[local_id]]</f>
        <v>44636130613</v>
      </c>
      <c r="H2761" s="1">
        <f>_xlfn.XLOOKUP(Ocupacao_DW[[#This Row],[Concat]],Vagas!$H:$H,Vagas!$D:$D,"",0)</f>
        <v>0</v>
      </c>
    </row>
    <row r="2762" spans="1:8" x14ac:dyDescent="0.25">
      <c r="A2762" s="2">
        <v>44635</v>
      </c>
      <c r="B2762" s="1" t="s">
        <v>49</v>
      </c>
      <c r="C2762">
        <v>266</v>
      </c>
      <c r="D2762" s="1" t="s">
        <v>201</v>
      </c>
      <c r="E2762" s="1" t="s">
        <v>4</v>
      </c>
      <c r="F2762">
        <v>42</v>
      </c>
      <c r="G2762" s="1" t="str">
        <f>Ocupacao_DW[[#This Row],[data]]&amp;Ocupacao_DW[[#This Row],[profissional_id]]&amp;Ocupacao_DW[[#This Row],[local_id]]</f>
        <v>4463526642</v>
      </c>
      <c r="H2762" s="1">
        <f>_xlfn.XLOOKUP(Ocupacao_DW[[#This Row],[Concat]],Vagas!$H:$H,Vagas!$D:$D,"",0)</f>
        <v>0</v>
      </c>
    </row>
    <row r="2763" spans="1:8" x14ac:dyDescent="0.25">
      <c r="A2763" s="2">
        <v>44642</v>
      </c>
      <c r="B2763" s="1" t="s">
        <v>55</v>
      </c>
      <c r="C2763">
        <v>12669</v>
      </c>
      <c r="D2763" s="1" t="s">
        <v>223</v>
      </c>
      <c r="E2763" s="1" t="s">
        <v>6</v>
      </c>
      <c r="F2763">
        <v>6</v>
      </c>
      <c r="G2763" s="1" t="str">
        <f>Ocupacao_DW[[#This Row],[data]]&amp;Ocupacao_DW[[#This Row],[profissional_id]]&amp;Ocupacao_DW[[#This Row],[local_id]]</f>
        <v>44642126696</v>
      </c>
      <c r="H2763" s="1">
        <f>_xlfn.XLOOKUP(Ocupacao_DW[[#This Row],[Concat]],Vagas!$H:$H,Vagas!$D:$D,"",0)</f>
        <v>0</v>
      </c>
    </row>
    <row r="2764" spans="1:8" x14ac:dyDescent="0.25">
      <c r="A2764" s="2">
        <v>44636</v>
      </c>
      <c r="B2764" s="1" t="s">
        <v>43</v>
      </c>
      <c r="C2764">
        <v>2396</v>
      </c>
      <c r="D2764" s="1" t="s">
        <v>197</v>
      </c>
      <c r="E2764" s="1" t="s">
        <v>6</v>
      </c>
      <c r="F2764">
        <v>2</v>
      </c>
      <c r="G2764" s="1" t="str">
        <f>Ocupacao_DW[[#This Row],[data]]&amp;Ocupacao_DW[[#This Row],[profissional_id]]&amp;Ocupacao_DW[[#This Row],[local_id]]</f>
        <v>4463623962</v>
      </c>
      <c r="H2764" s="1">
        <f>_xlfn.XLOOKUP(Ocupacao_DW[[#This Row],[Concat]],Vagas!$H:$H,Vagas!$D:$D,"",0)</f>
        <v>0</v>
      </c>
    </row>
    <row r="2765" spans="1:8" x14ac:dyDescent="0.25">
      <c r="A2765" s="2">
        <v>44653</v>
      </c>
      <c r="B2765" s="1" t="s">
        <v>47</v>
      </c>
      <c r="C2765">
        <v>111</v>
      </c>
      <c r="D2765" s="1" t="s">
        <v>199</v>
      </c>
      <c r="E2765" s="1" t="s">
        <v>4</v>
      </c>
      <c r="F2765">
        <v>51</v>
      </c>
      <c r="G2765" s="1" t="str">
        <f>Ocupacao_DW[[#This Row],[data]]&amp;Ocupacao_DW[[#This Row],[profissional_id]]&amp;Ocupacao_DW[[#This Row],[local_id]]</f>
        <v>4465311151</v>
      </c>
      <c r="H2765" s="1">
        <f>_xlfn.XLOOKUP(Ocupacao_DW[[#This Row],[Concat]],Vagas!$H:$H,Vagas!$D:$D,"",0)</f>
        <v>48</v>
      </c>
    </row>
    <row r="2766" spans="1:8" x14ac:dyDescent="0.25">
      <c r="A2766" s="2">
        <v>44637</v>
      </c>
      <c r="B2766" s="1" t="s">
        <v>54</v>
      </c>
      <c r="C2766">
        <v>1490</v>
      </c>
      <c r="D2766" s="1" t="s">
        <v>174</v>
      </c>
      <c r="E2766" s="1" t="s">
        <v>5</v>
      </c>
      <c r="F2766">
        <v>13</v>
      </c>
      <c r="G2766" s="1" t="str">
        <f>Ocupacao_DW[[#This Row],[data]]&amp;Ocupacao_DW[[#This Row],[profissional_id]]&amp;Ocupacao_DW[[#This Row],[local_id]]</f>
        <v>44637149013</v>
      </c>
      <c r="H2766" s="1">
        <f>_xlfn.XLOOKUP(Ocupacao_DW[[#This Row],[Concat]],Vagas!$H:$H,Vagas!$D:$D,"",0)</f>
        <v>0</v>
      </c>
    </row>
    <row r="2767" spans="1:8" x14ac:dyDescent="0.25">
      <c r="A2767" s="2">
        <v>44646</v>
      </c>
      <c r="B2767" s="1" t="s">
        <v>62</v>
      </c>
      <c r="C2767">
        <v>4887</v>
      </c>
      <c r="D2767" s="1" t="s">
        <v>168</v>
      </c>
      <c r="E2767" s="1" t="s">
        <v>5</v>
      </c>
      <c r="F2767">
        <v>18</v>
      </c>
      <c r="G2767" s="1" t="str">
        <f>Ocupacao_DW[[#This Row],[data]]&amp;Ocupacao_DW[[#This Row],[profissional_id]]&amp;Ocupacao_DW[[#This Row],[local_id]]</f>
        <v>44646488718</v>
      </c>
      <c r="H2767" s="1">
        <f>_xlfn.XLOOKUP(Ocupacao_DW[[#This Row],[Concat]],Vagas!$H:$H,Vagas!$D:$D,"",0)</f>
        <v>0</v>
      </c>
    </row>
    <row r="2768" spans="1:8" x14ac:dyDescent="0.25">
      <c r="A2768" s="2">
        <v>44644</v>
      </c>
      <c r="B2768" s="1" t="s">
        <v>55</v>
      </c>
      <c r="C2768">
        <v>74</v>
      </c>
      <c r="D2768" s="1" t="s">
        <v>182</v>
      </c>
      <c r="E2768" s="1" t="s">
        <v>6</v>
      </c>
      <c r="F2768">
        <v>7</v>
      </c>
      <c r="G2768" s="1" t="str">
        <f>Ocupacao_DW[[#This Row],[data]]&amp;Ocupacao_DW[[#This Row],[profissional_id]]&amp;Ocupacao_DW[[#This Row],[local_id]]</f>
        <v>44644747</v>
      </c>
      <c r="H2768" s="1">
        <f>_xlfn.XLOOKUP(Ocupacao_DW[[#This Row],[Concat]],Vagas!$H:$H,Vagas!$D:$D,"",0)</f>
        <v>0</v>
      </c>
    </row>
    <row r="2769" spans="1:8" x14ac:dyDescent="0.25">
      <c r="A2769" s="2">
        <v>44644</v>
      </c>
      <c r="B2769" s="1" t="s">
        <v>55</v>
      </c>
      <c r="C2769">
        <v>8598</v>
      </c>
      <c r="D2769" s="1" t="s">
        <v>228</v>
      </c>
      <c r="E2769" s="1" t="s">
        <v>6</v>
      </c>
      <c r="F2769">
        <v>3</v>
      </c>
      <c r="G2769" s="1" t="str">
        <f>Ocupacao_DW[[#This Row],[data]]&amp;Ocupacao_DW[[#This Row],[profissional_id]]&amp;Ocupacao_DW[[#This Row],[local_id]]</f>
        <v>4464485983</v>
      </c>
      <c r="H2769" s="1">
        <f>_xlfn.XLOOKUP(Ocupacao_DW[[#This Row],[Concat]],Vagas!$H:$H,Vagas!$D:$D,"",0)</f>
        <v>0</v>
      </c>
    </row>
    <row r="2770" spans="1:8" x14ac:dyDescent="0.25">
      <c r="A2770" s="2">
        <v>44641</v>
      </c>
      <c r="B2770" s="1" t="s">
        <v>69</v>
      </c>
      <c r="C2770">
        <v>13249</v>
      </c>
      <c r="D2770" s="1" t="s">
        <v>178</v>
      </c>
      <c r="E2770" s="1" t="s">
        <v>4</v>
      </c>
      <c r="F2770">
        <v>45</v>
      </c>
      <c r="G2770" s="1" t="str">
        <f>Ocupacao_DW[[#This Row],[data]]&amp;Ocupacao_DW[[#This Row],[profissional_id]]&amp;Ocupacao_DW[[#This Row],[local_id]]</f>
        <v>446411324945</v>
      </c>
      <c r="H2770" s="1">
        <f>_xlfn.XLOOKUP(Ocupacao_DW[[#This Row],[Concat]],Vagas!$H:$H,Vagas!$D:$D,"",0)</f>
        <v>0</v>
      </c>
    </row>
    <row r="2771" spans="1:8" x14ac:dyDescent="0.25">
      <c r="A2771" s="2">
        <v>44639</v>
      </c>
      <c r="B2771" s="1" t="s">
        <v>62</v>
      </c>
      <c r="C2771">
        <v>4887</v>
      </c>
      <c r="D2771" s="1" t="s">
        <v>168</v>
      </c>
      <c r="E2771" s="1" t="s">
        <v>5</v>
      </c>
      <c r="F2771">
        <v>18</v>
      </c>
      <c r="G2771" s="1" t="str">
        <f>Ocupacao_DW[[#This Row],[data]]&amp;Ocupacao_DW[[#This Row],[profissional_id]]&amp;Ocupacao_DW[[#This Row],[local_id]]</f>
        <v>44639488718</v>
      </c>
      <c r="H2771" s="1">
        <f>_xlfn.XLOOKUP(Ocupacao_DW[[#This Row],[Concat]],Vagas!$H:$H,Vagas!$D:$D,"",0)</f>
        <v>0</v>
      </c>
    </row>
    <row r="2772" spans="1:8" x14ac:dyDescent="0.25">
      <c r="A2772" s="2">
        <v>44635</v>
      </c>
      <c r="B2772" s="1" t="s">
        <v>47</v>
      </c>
      <c r="C2772">
        <v>9111</v>
      </c>
      <c r="D2772" s="1" t="s">
        <v>206</v>
      </c>
      <c r="E2772" s="1" t="s">
        <v>4</v>
      </c>
      <c r="F2772">
        <v>335</v>
      </c>
      <c r="G2772" s="1" t="str">
        <f>Ocupacao_DW[[#This Row],[data]]&amp;Ocupacao_DW[[#This Row],[profissional_id]]&amp;Ocupacao_DW[[#This Row],[local_id]]</f>
        <v>446359111335</v>
      </c>
      <c r="H2772" s="1">
        <f>_xlfn.XLOOKUP(Ocupacao_DW[[#This Row],[Concat]],Vagas!$H:$H,Vagas!$D:$D,"",0)</f>
        <v>0</v>
      </c>
    </row>
    <row r="2773" spans="1:8" x14ac:dyDescent="0.25">
      <c r="A2773" s="2">
        <v>44643</v>
      </c>
      <c r="B2773" s="1" t="s">
        <v>51</v>
      </c>
      <c r="C2773">
        <v>12679</v>
      </c>
      <c r="D2773" s="1" t="s">
        <v>192</v>
      </c>
      <c r="E2773" s="1" t="s">
        <v>200</v>
      </c>
      <c r="F2773">
        <v>82</v>
      </c>
      <c r="G2773" s="1" t="str">
        <f>Ocupacao_DW[[#This Row],[data]]&amp;Ocupacao_DW[[#This Row],[profissional_id]]&amp;Ocupacao_DW[[#This Row],[local_id]]</f>
        <v>446431267982</v>
      </c>
      <c r="H2773" s="1">
        <f>_xlfn.XLOOKUP(Ocupacao_DW[[#This Row],[Concat]],Vagas!$H:$H,Vagas!$D:$D,"",0)</f>
        <v>0</v>
      </c>
    </row>
    <row r="2774" spans="1:8" x14ac:dyDescent="0.25">
      <c r="A2774" s="2">
        <v>44636</v>
      </c>
      <c r="B2774" s="1" t="s">
        <v>52</v>
      </c>
      <c r="C2774">
        <v>60</v>
      </c>
      <c r="D2774" s="1" t="s">
        <v>217</v>
      </c>
      <c r="E2774" s="1" t="s">
        <v>6</v>
      </c>
      <c r="F2774">
        <v>8</v>
      </c>
      <c r="G2774" s="1" t="str">
        <f>Ocupacao_DW[[#This Row],[data]]&amp;Ocupacao_DW[[#This Row],[profissional_id]]&amp;Ocupacao_DW[[#This Row],[local_id]]</f>
        <v>44636608</v>
      </c>
      <c r="H2774" s="1">
        <f>_xlfn.XLOOKUP(Ocupacao_DW[[#This Row],[Concat]],Vagas!$H:$H,Vagas!$D:$D,"",0)</f>
        <v>0</v>
      </c>
    </row>
    <row r="2775" spans="1:8" x14ac:dyDescent="0.25">
      <c r="A2775" s="2">
        <v>44636</v>
      </c>
      <c r="B2775" s="1" t="s">
        <v>24</v>
      </c>
      <c r="C2775">
        <v>13061</v>
      </c>
      <c r="D2775" s="1" t="s">
        <v>232</v>
      </c>
      <c r="E2775" s="1" t="s">
        <v>6</v>
      </c>
      <c r="F2775">
        <v>3</v>
      </c>
      <c r="G2775" s="1" t="str">
        <f>Ocupacao_DW[[#This Row],[data]]&amp;Ocupacao_DW[[#This Row],[profissional_id]]&amp;Ocupacao_DW[[#This Row],[local_id]]</f>
        <v>44636130613</v>
      </c>
      <c r="H2775" s="1">
        <f>_xlfn.XLOOKUP(Ocupacao_DW[[#This Row],[Concat]],Vagas!$H:$H,Vagas!$D:$D,"",0)</f>
        <v>0</v>
      </c>
    </row>
    <row r="2776" spans="1:8" x14ac:dyDescent="0.25">
      <c r="A2776" s="2">
        <v>44635</v>
      </c>
      <c r="B2776" s="1" t="s">
        <v>43</v>
      </c>
      <c r="C2776">
        <v>57</v>
      </c>
      <c r="D2776" s="1" t="s">
        <v>169</v>
      </c>
      <c r="E2776" s="1" t="s">
        <v>6</v>
      </c>
      <c r="F2776">
        <v>2</v>
      </c>
      <c r="G2776" s="1" t="str">
        <f>Ocupacao_DW[[#This Row],[data]]&amp;Ocupacao_DW[[#This Row],[profissional_id]]&amp;Ocupacao_DW[[#This Row],[local_id]]</f>
        <v>44635572</v>
      </c>
      <c r="H2776" s="1">
        <f>_xlfn.XLOOKUP(Ocupacao_DW[[#This Row],[Concat]],Vagas!$H:$H,Vagas!$D:$D,"",0)</f>
        <v>0</v>
      </c>
    </row>
    <row r="2777" spans="1:8" x14ac:dyDescent="0.25">
      <c r="A2777" s="2">
        <v>44636</v>
      </c>
      <c r="B2777" s="1" t="s">
        <v>60</v>
      </c>
      <c r="C2777">
        <v>14326</v>
      </c>
      <c r="D2777" s="1" t="s">
        <v>220</v>
      </c>
      <c r="E2777" s="1" t="s">
        <v>4</v>
      </c>
      <c r="F2777">
        <v>43</v>
      </c>
      <c r="G2777" s="1" t="str">
        <f>Ocupacao_DW[[#This Row],[data]]&amp;Ocupacao_DW[[#This Row],[profissional_id]]&amp;Ocupacao_DW[[#This Row],[local_id]]</f>
        <v>446361432643</v>
      </c>
      <c r="H2777" s="1">
        <f>_xlfn.XLOOKUP(Ocupacao_DW[[#This Row],[Concat]],Vagas!$H:$H,Vagas!$D:$D,"",0)</f>
        <v>0</v>
      </c>
    </row>
    <row r="2778" spans="1:8" x14ac:dyDescent="0.25">
      <c r="A2778" s="2">
        <v>44652</v>
      </c>
      <c r="B2778" s="1" t="s">
        <v>52</v>
      </c>
      <c r="C2778">
        <v>10691</v>
      </c>
      <c r="D2778" s="1" t="s">
        <v>181</v>
      </c>
      <c r="E2778" s="1" t="s">
        <v>200</v>
      </c>
      <c r="F2778">
        <v>78</v>
      </c>
      <c r="G2778" s="1" t="str">
        <f>Ocupacao_DW[[#This Row],[data]]&amp;Ocupacao_DW[[#This Row],[profissional_id]]&amp;Ocupacao_DW[[#This Row],[local_id]]</f>
        <v>446521069178</v>
      </c>
      <c r="H2778" s="1">
        <f>_xlfn.XLOOKUP(Ocupacao_DW[[#This Row],[Concat]],Vagas!$H:$H,Vagas!$D:$D,"",0)</f>
        <v>0</v>
      </c>
    </row>
    <row r="2779" spans="1:8" x14ac:dyDescent="0.25">
      <c r="A2779" s="2">
        <v>44642</v>
      </c>
      <c r="B2779" s="1" t="s">
        <v>49</v>
      </c>
      <c r="C2779">
        <v>81</v>
      </c>
      <c r="D2779" s="1" t="s">
        <v>170</v>
      </c>
      <c r="E2779" s="1" t="s">
        <v>4</v>
      </c>
      <c r="F2779">
        <v>41</v>
      </c>
      <c r="G2779" s="1" t="str">
        <f>Ocupacao_DW[[#This Row],[data]]&amp;Ocupacao_DW[[#This Row],[profissional_id]]&amp;Ocupacao_DW[[#This Row],[local_id]]</f>
        <v>446428141</v>
      </c>
      <c r="H2779" s="1">
        <f>_xlfn.XLOOKUP(Ocupacao_DW[[#This Row],[Concat]],Vagas!$H:$H,Vagas!$D:$D,"",0)</f>
        <v>0</v>
      </c>
    </row>
    <row r="2780" spans="1:8" x14ac:dyDescent="0.25">
      <c r="A2780" s="2">
        <v>44649</v>
      </c>
      <c r="B2780" s="1" t="s">
        <v>55</v>
      </c>
      <c r="C2780">
        <v>73</v>
      </c>
      <c r="D2780" s="1" t="s">
        <v>171</v>
      </c>
      <c r="E2780" s="1" t="s">
        <v>6</v>
      </c>
      <c r="F2780">
        <v>5</v>
      </c>
      <c r="G2780" s="1" t="str">
        <f>Ocupacao_DW[[#This Row],[data]]&amp;Ocupacao_DW[[#This Row],[profissional_id]]&amp;Ocupacao_DW[[#This Row],[local_id]]</f>
        <v>44649735</v>
      </c>
      <c r="H2780" s="1">
        <f>_xlfn.XLOOKUP(Ocupacao_DW[[#This Row],[Concat]],Vagas!$H:$H,Vagas!$D:$D,"",0)</f>
        <v>0</v>
      </c>
    </row>
    <row r="2781" spans="1:8" x14ac:dyDescent="0.25">
      <c r="A2781" s="2">
        <v>44644</v>
      </c>
      <c r="B2781" s="1" t="s">
        <v>55</v>
      </c>
      <c r="C2781">
        <v>8598</v>
      </c>
      <c r="D2781" s="1" t="s">
        <v>228</v>
      </c>
      <c r="E2781" s="1" t="s">
        <v>6</v>
      </c>
      <c r="F2781">
        <v>3</v>
      </c>
      <c r="G2781" s="1" t="str">
        <f>Ocupacao_DW[[#This Row],[data]]&amp;Ocupacao_DW[[#This Row],[profissional_id]]&amp;Ocupacao_DW[[#This Row],[local_id]]</f>
        <v>4464485983</v>
      </c>
      <c r="H2781" s="1">
        <f>_xlfn.XLOOKUP(Ocupacao_DW[[#This Row],[Concat]],Vagas!$H:$H,Vagas!$D:$D,"",0)</f>
        <v>0</v>
      </c>
    </row>
    <row r="2782" spans="1:8" x14ac:dyDescent="0.25">
      <c r="A2782" s="2">
        <v>44635</v>
      </c>
      <c r="B2782" s="1" t="s">
        <v>68</v>
      </c>
      <c r="C2782">
        <v>14371</v>
      </c>
      <c r="D2782" s="1" t="s">
        <v>273</v>
      </c>
      <c r="E2782" s="1" t="s">
        <v>7</v>
      </c>
      <c r="F2782">
        <v>60</v>
      </c>
      <c r="G2782" s="1" t="str">
        <f>Ocupacao_DW[[#This Row],[data]]&amp;Ocupacao_DW[[#This Row],[profissional_id]]&amp;Ocupacao_DW[[#This Row],[local_id]]</f>
        <v>446351437160</v>
      </c>
      <c r="H2782" s="1">
        <f>_xlfn.XLOOKUP(Ocupacao_DW[[#This Row],[Concat]],Vagas!$H:$H,Vagas!$D:$D,"",0)</f>
        <v>19</v>
      </c>
    </row>
    <row r="2783" spans="1:8" x14ac:dyDescent="0.25">
      <c r="A2783" s="2">
        <v>44636</v>
      </c>
      <c r="B2783" s="1" t="s">
        <v>72</v>
      </c>
      <c r="C2783">
        <v>6046</v>
      </c>
      <c r="D2783" s="1" t="s">
        <v>222</v>
      </c>
      <c r="E2783" s="1" t="s">
        <v>167</v>
      </c>
      <c r="F2783">
        <v>344</v>
      </c>
      <c r="G2783" s="1" t="str">
        <f>Ocupacao_DW[[#This Row],[data]]&amp;Ocupacao_DW[[#This Row],[profissional_id]]&amp;Ocupacao_DW[[#This Row],[local_id]]</f>
        <v>446366046344</v>
      </c>
      <c r="H2783" s="1">
        <f>_xlfn.XLOOKUP(Ocupacao_DW[[#This Row],[Concat]],Vagas!$H:$H,Vagas!$D:$D,"",0)</f>
        <v>0</v>
      </c>
    </row>
    <row r="2784" spans="1:8" x14ac:dyDescent="0.25">
      <c r="A2784" s="2">
        <v>44636</v>
      </c>
      <c r="B2784" s="1" t="s">
        <v>65</v>
      </c>
      <c r="C2784">
        <v>13058</v>
      </c>
      <c r="D2784" s="1" t="s">
        <v>256</v>
      </c>
      <c r="E2784" s="1" t="s">
        <v>4</v>
      </c>
      <c r="F2784">
        <v>47</v>
      </c>
      <c r="G2784" s="1" t="str">
        <f>Ocupacao_DW[[#This Row],[data]]&amp;Ocupacao_DW[[#This Row],[profissional_id]]&amp;Ocupacao_DW[[#This Row],[local_id]]</f>
        <v>446361305847</v>
      </c>
      <c r="H2784" s="1">
        <f>_xlfn.XLOOKUP(Ocupacao_DW[[#This Row],[Concat]],Vagas!$H:$H,Vagas!$D:$D,"",0)</f>
        <v>0</v>
      </c>
    </row>
    <row r="2785" spans="1:8" x14ac:dyDescent="0.25">
      <c r="A2785" s="2">
        <v>44638</v>
      </c>
      <c r="B2785" s="1" t="s">
        <v>52</v>
      </c>
      <c r="C2785">
        <v>57</v>
      </c>
      <c r="D2785" s="1" t="s">
        <v>169</v>
      </c>
      <c r="E2785" s="1" t="s">
        <v>6</v>
      </c>
      <c r="F2785">
        <v>8</v>
      </c>
      <c r="G2785" s="1" t="str">
        <f>Ocupacao_DW[[#This Row],[data]]&amp;Ocupacao_DW[[#This Row],[profissional_id]]&amp;Ocupacao_DW[[#This Row],[local_id]]</f>
        <v>44638578</v>
      </c>
      <c r="H2785" s="1">
        <f>_xlfn.XLOOKUP(Ocupacao_DW[[#This Row],[Concat]],Vagas!$H:$H,Vagas!$D:$D,"",0)</f>
        <v>0</v>
      </c>
    </row>
    <row r="2786" spans="1:8" x14ac:dyDescent="0.25">
      <c r="A2786" s="2">
        <v>44637</v>
      </c>
      <c r="B2786" s="1" t="s">
        <v>52</v>
      </c>
      <c r="C2786">
        <v>9217</v>
      </c>
      <c r="D2786" s="1" t="s">
        <v>191</v>
      </c>
      <c r="E2786" s="1" t="s">
        <v>6</v>
      </c>
      <c r="F2786">
        <v>7</v>
      </c>
      <c r="G2786" s="1" t="str">
        <f>Ocupacao_DW[[#This Row],[data]]&amp;Ocupacao_DW[[#This Row],[profissional_id]]&amp;Ocupacao_DW[[#This Row],[local_id]]</f>
        <v>4463792177</v>
      </c>
      <c r="H2786" s="1">
        <f>_xlfn.XLOOKUP(Ocupacao_DW[[#This Row],[Concat]],Vagas!$H:$H,Vagas!$D:$D,"",0)</f>
        <v>0</v>
      </c>
    </row>
    <row r="2787" spans="1:8" x14ac:dyDescent="0.25">
      <c r="A2787" s="2">
        <v>44637</v>
      </c>
      <c r="B2787" s="1"/>
      <c r="C2787">
        <v>9111</v>
      </c>
      <c r="D2787" s="1" t="s">
        <v>206</v>
      </c>
      <c r="E2787" s="1" t="s">
        <v>4</v>
      </c>
      <c r="F2787">
        <v>334</v>
      </c>
      <c r="G2787" s="1" t="str">
        <f>Ocupacao_DW[[#This Row],[data]]&amp;Ocupacao_DW[[#This Row],[profissional_id]]&amp;Ocupacao_DW[[#This Row],[local_id]]</f>
        <v>446379111334</v>
      </c>
      <c r="H2787" s="1">
        <f>_xlfn.XLOOKUP(Ocupacao_DW[[#This Row],[Concat]],Vagas!$H:$H,Vagas!$D:$D,"",0)</f>
        <v>0</v>
      </c>
    </row>
    <row r="2788" spans="1:8" x14ac:dyDescent="0.25">
      <c r="A2788" s="2">
        <v>44638</v>
      </c>
      <c r="B2788" s="1" t="s">
        <v>43</v>
      </c>
      <c r="C2788">
        <v>17864</v>
      </c>
      <c r="D2788" s="1" t="s">
        <v>234</v>
      </c>
      <c r="E2788" s="1" t="s">
        <v>7</v>
      </c>
      <c r="F2788">
        <v>60</v>
      </c>
      <c r="G2788" s="1" t="str">
        <f>Ocupacao_DW[[#This Row],[data]]&amp;Ocupacao_DW[[#This Row],[profissional_id]]&amp;Ocupacao_DW[[#This Row],[local_id]]</f>
        <v>446381786460</v>
      </c>
      <c r="H2788" s="1">
        <f>_xlfn.XLOOKUP(Ocupacao_DW[[#This Row],[Concat]],Vagas!$H:$H,Vagas!$D:$D,"",0)</f>
        <v>0</v>
      </c>
    </row>
    <row r="2789" spans="1:8" x14ac:dyDescent="0.25">
      <c r="A2789" s="2">
        <v>44636</v>
      </c>
      <c r="B2789" s="1" t="s">
        <v>47</v>
      </c>
      <c r="C2789">
        <v>110</v>
      </c>
      <c r="D2789" s="1" t="s">
        <v>193</v>
      </c>
      <c r="E2789" s="1" t="s">
        <v>4</v>
      </c>
      <c r="F2789">
        <v>334</v>
      </c>
      <c r="G2789" s="1" t="str">
        <f>Ocupacao_DW[[#This Row],[data]]&amp;Ocupacao_DW[[#This Row],[profissional_id]]&amp;Ocupacao_DW[[#This Row],[local_id]]</f>
        <v>44636110334</v>
      </c>
      <c r="H2789" s="1">
        <f>_xlfn.XLOOKUP(Ocupacao_DW[[#This Row],[Concat]],Vagas!$H:$H,Vagas!$D:$D,"",0)</f>
        <v>0</v>
      </c>
    </row>
    <row r="2790" spans="1:8" x14ac:dyDescent="0.25">
      <c r="A2790" s="2">
        <v>44635</v>
      </c>
      <c r="B2790" s="1" t="s">
        <v>62</v>
      </c>
      <c r="C2790">
        <v>3502</v>
      </c>
      <c r="D2790" s="1" t="s">
        <v>214</v>
      </c>
      <c r="E2790" s="1" t="s">
        <v>5</v>
      </c>
      <c r="F2790">
        <v>16</v>
      </c>
      <c r="G2790" s="1" t="str">
        <f>Ocupacao_DW[[#This Row],[data]]&amp;Ocupacao_DW[[#This Row],[profissional_id]]&amp;Ocupacao_DW[[#This Row],[local_id]]</f>
        <v>44635350216</v>
      </c>
      <c r="H2790" s="1">
        <f>_xlfn.XLOOKUP(Ocupacao_DW[[#This Row],[Concat]],Vagas!$H:$H,Vagas!$D:$D,"",0)</f>
        <v>0</v>
      </c>
    </row>
    <row r="2791" spans="1:8" x14ac:dyDescent="0.25">
      <c r="A2791" s="2">
        <v>44635</v>
      </c>
      <c r="B2791" s="1" t="s">
        <v>62</v>
      </c>
      <c r="C2791">
        <v>3502</v>
      </c>
      <c r="D2791" s="1" t="s">
        <v>214</v>
      </c>
      <c r="E2791" s="1" t="s">
        <v>5</v>
      </c>
      <c r="F2791">
        <v>16</v>
      </c>
      <c r="G2791" s="1" t="str">
        <f>Ocupacao_DW[[#This Row],[data]]&amp;Ocupacao_DW[[#This Row],[profissional_id]]&amp;Ocupacao_DW[[#This Row],[local_id]]</f>
        <v>44635350216</v>
      </c>
      <c r="H2791" s="1">
        <f>_xlfn.XLOOKUP(Ocupacao_DW[[#This Row],[Concat]],Vagas!$H:$H,Vagas!$D:$D,"",0)</f>
        <v>0</v>
      </c>
    </row>
    <row r="2792" spans="1:8" x14ac:dyDescent="0.25">
      <c r="A2792" s="2">
        <v>44639</v>
      </c>
      <c r="B2792" s="1" t="s">
        <v>47</v>
      </c>
      <c r="C2792">
        <v>111</v>
      </c>
      <c r="D2792" s="1" t="s">
        <v>199</v>
      </c>
      <c r="E2792" s="1" t="s">
        <v>4</v>
      </c>
      <c r="F2792">
        <v>51</v>
      </c>
      <c r="G2792" s="1" t="str">
        <f>Ocupacao_DW[[#This Row],[data]]&amp;Ocupacao_DW[[#This Row],[profissional_id]]&amp;Ocupacao_DW[[#This Row],[local_id]]</f>
        <v>4463911151</v>
      </c>
      <c r="H2792" s="1">
        <f>_xlfn.XLOOKUP(Ocupacao_DW[[#This Row],[Concat]],Vagas!$H:$H,Vagas!$D:$D,"",0)</f>
        <v>0</v>
      </c>
    </row>
    <row r="2793" spans="1:8" x14ac:dyDescent="0.25">
      <c r="A2793" s="2">
        <v>44639</v>
      </c>
      <c r="B2793" s="1" t="s">
        <v>72</v>
      </c>
      <c r="C2793">
        <v>6046</v>
      </c>
      <c r="D2793" s="1" t="s">
        <v>222</v>
      </c>
      <c r="E2793" s="1" t="s">
        <v>4</v>
      </c>
      <c r="F2793">
        <v>46</v>
      </c>
      <c r="G2793" s="1" t="str">
        <f>Ocupacao_DW[[#This Row],[data]]&amp;Ocupacao_DW[[#This Row],[profissional_id]]&amp;Ocupacao_DW[[#This Row],[local_id]]</f>
        <v>44639604646</v>
      </c>
      <c r="H2793" s="1">
        <f>_xlfn.XLOOKUP(Ocupacao_DW[[#This Row],[Concat]],Vagas!$H:$H,Vagas!$D:$D,"",0)</f>
        <v>0</v>
      </c>
    </row>
    <row r="2794" spans="1:8" x14ac:dyDescent="0.25">
      <c r="A2794" s="2">
        <v>44639</v>
      </c>
      <c r="B2794" s="1" t="s">
        <v>47</v>
      </c>
      <c r="C2794">
        <v>111</v>
      </c>
      <c r="D2794" s="1" t="s">
        <v>199</v>
      </c>
      <c r="E2794" s="1" t="s">
        <v>4</v>
      </c>
      <c r="F2794">
        <v>336</v>
      </c>
      <c r="G2794" s="1" t="str">
        <f>Ocupacao_DW[[#This Row],[data]]&amp;Ocupacao_DW[[#This Row],[profissional_id]]&amp;Ocupacao_DW[[#This Row],[local_id]]</f>
        <v>44639111336</v>
      </c>
      <c r="H2794" s="1" t="str">
        <f>_xlfn.XLOOKUP(Ocupacao_DW[[#This Row],[Concat]],Vagas!$H:$H,Vagas!$D:$D,"",0)</f>
        <v/>
      </c>
    </row>
    <row r="2795" spans="1:8" x14ac:dyDescent="0.25">
      <c r="A2795" s="2">
        <v>44639</v>
      </c>
      <c r="B2795" s="1" t="s">
        <v>43</v>
      </c>
      <c r="C2795">
        <v>57</v>
      </c>
      <c r="D2795" s="1" t="s">
        <v>169</v>
      </c>
      <c r="E2795" s="1" t="s">
        <v>6</v>
      </c>
      <c r="F2795">
        <v>2</v>
      </c>
      <c r="G2795" s="1" t="str">
        <f>Ocupacao_DW[[#This Row],[data]]&amp;Ocupacao_DW[[#This Row],[profissional_id]]&amp;Ocupacao_DW[[#This Row],[local_id]]</f>
        <v>44639572</v>
      </c>
      <c r="H2795" s="1">
        <f>_xlfn.XLOOKUP(Ocupacao_DW[[#This Row],[Concat]],Vagas!$H:$H,Vagas!$D:$D,"",0)</f>
        <v>0</v>
      </c>
    </row>
    <row r="2796" spans="1:8" x14ac:dyDescent="0.25">
      <c r="A2796" s="2">
        <v>44642</v>
      </c>
      <c r="B2796" s="1" t="s">
        <v>55</v>
      </c>
      <c r="C2796">
        <v>12669</v>
      </c>
      <c r="D2796" s="1" t="s">
        <v>223</v>
      </c>
      <c r="E2796" s="1" t="s">
        <v>6</v>
      </c>
      <c r="F2796">
        <v>6</v>
      </c>
      <c r="G2796" s="1" t="str">
        <f>Ocupacao_DW[[#This Row],[data]]&amp;Ocupacao_DW[[#This Row],[profissional_id]]&amp;Ocupacao_DW[[#This Row],[local_id]]</f>
        <v>44642126696</v>
      </c>
      <c r="H2796" s="1">
        <f>_xlfn.XLOOKUP(Ocupacao_DW[[#This Row],[Concat]],Vagas!$H:$H,Vagas!$D:$D,"",0)</f>
        <v>0</v>
      </c>
    </row>
    <row r="2797" spans="1:8" x14ac:dyDescent="0.25">
      <c r="A2797" s="2">
        <v>44636</v>
      </c>
      <c r="B2797" s="1" t="s">
        <v>62</v>
      </c>
      <c r="C2797">
        <v>3502</v>
      </c>
      <c r="D2797" s="1" t="s">
        <v>214</v>
      </c>
      <c r="E2797" s="1" t="s">
        <v>5</v>
      </c>
      <c r="F2797">
        <v>16</v>
      </c>
      <c r="G2797" s="1" t="str">
        <f>Ocupacao_DW[[#This Row],[data]]&amp;Ocupacao_DW[[#This Row],[profissional_id]]&amp;Ocupacao_DW[[#This Row],[local_id]]</f>
        <v>44636350216</v>
      </c>
      <c r="H2797" s="1">
        <f>_xlfn.XLOOKUP(Ocupacao_DW[[#This Row],[Concat]],Vagas!$H:$H,Vagas!$D:$D,"",0)</f>
        <v>0</v>
      </c>
    </row>
    <row r="2798" spans="1:8" x14ac:dyDescent="0.25">
      <c r="A2798" s="2">
        <v>44657</v>
      </c>
      <c r="B2798" s="1" t="s">
        <v>52</v>
      </c>
      <c r="C2798">
        <v>67</v>
      </c>
      <c r="D2798" s="1" t="s">
        <v>172</v>
      </c>
      <c r="E2798" s="1" t="s">
        <v>6</v>
      </c>
      <c r="F2798">
        <v>8</v>
      </c>
      <c r="G2798" s="1" t="str">
        <f>Ocupacao_DW[[#This Row],[data]]&amp;Ocupacao_DW[[#This Row],[profissional_id]]&amp;Ocupacao_DW[[#This Row],[local_id]]</f>
        <v>44657678</v>
      </c>
      <c r="H2798" s="1">
        <f>_xlfn.XLOOKUP(Ocupacao_DW[[#This Row],[Concat]],Vagas!$H:$H,Vagas!$D:$D,"",0)</f>
        <v>0</v>
      </c>
    </row>
    <row r="2799" spans="1:8" x14ac:dyDescent="0.25">
      <c r="A2799" s="2">
        <v>44636</v>
      </c>
      <c r="B2799" s="1" t="s">
        <v>51</v>
      </c>
      <c r="C2799">
        <v>17859</v>
      </c>
      <c r="D2799" s="1" t="s">
        <v>212</v>
      </c>
      <c r="E2799" s="1" t="s">
        <v>6</v>
      </c>
      <c r="F2799">
        <v>7</v>
      </c>
      <c r="G2799" s="1" t="str">
        <f>Ocupacao_DW[[#This Row],[data]]&amp;Ocupacao_DW[[#This Row],[profissional_id]]&amp;Ocupacao_DW[[#This Row],[local_id]]</f>
        <v>44636178597</v>
      </c>
      <c r="H2799" s="1">
        <f>_xlfn.XLOOKUP(Ocupacao_DW[[#This Row],[Concat]],Vagas!$H:$H,Vagas!$D:$D,"",0)</f>
        <v>0</v>
      </c>
    </row>
    <row r="2800" spans="1:8" x14ac:dyDescent="0.25">
      <c r="A2800" s="2">
        <v>44638</v>
      </c>
      <c r="B2800" s="1" t="s">
        <v>52</v>
      </c>
      <c r="C2800">
        <v>57</v>
      </c>
      <c r="D2800" s="1" t="s">
        <v>169</v>
      </c>
      <c r="E2800" s="1" t="s">
        <v>6</v>
      </c>
      <c r="F2800">
        <v>8</v>
      </c>
      <c r="G2800" s="1" t="str">
        <f>Ocupacao_DW[[#This Row],[data]]&amp;Ocupacao_DW[[#This Row],[profissional_id]]&amp;Ocupacao_DW[[#This Row],[local_id]]</f>
        <v>44638578</v>
      </c>
      <c r="H2800" s="1">
        <f>_xlfn.XLOOKUP(Ocupacao_DW[[#This Row],[Concat]],Vagas!$H:$H,Vagas!$D:$D,"",0)</f>
        <v>0</v>
      </c>
    </row>
    <row r="2801" spans="1:8" x14ac:dyDescent="0.25">
      <c r="A2801" s="2">
        <v>44639</v>
      </c>
      <c r="B2801" s="1" t="s">
        <v>54</v>
      </c>
      <c r="C2801">
        <v>70</v>
      </c>
      <c r="D2801" s="1" t="s">
        <v>187</v>
      </c>
      <c r="E2801" s="1" t="s">
        <v>5</v>
      </c>
      <c r="F2801">
        <v>13</v>
      </c>
      <c r="G2801" s="1" t="str">
        <f>Ocupacao_DW[[#This Row],[data]]&amp;Ocupacao_DW[[#This Row],[profissional_id]]&amp;Ocupacao_DW[[#This Row],[local_id]]</f>
        <v>446397013</v>
      </c>
      <c r="H2801" s="1">
        <f>_xlfn.XLOOKUP(Ocupacao_DW[[#This Row],[Concat]],Vagas!$H:$H,Vagas!$D:$D,"",0)</f>
        <v>0</v>
      </c>
    </row>
    <row r="2802" spans="1:8" x14ac:dyDescent="0.25">
      <c r="A2802" s="2">
        <v>44637</v>
      </c>
      <c r="B2802" s="1" t="s">
        <v>51</v>
      </c>
      <c r="C2802">
        <v>12582</v>
      </c>
      <c r="D2802" s="1" t="s">
        <v>190</v>
      </c>
      <c r="E2802" s="1" t="s">
        <v>5</v>
      </c>
      <c r="F2802">
        <v>15</v>
      </c>
      <c r="G2802" s="1" t="str">
        <f>Ocupacao_DW[[#This Row],[data]]&amp;Ocupacao_DW[[#This Row],[profissional_id]]&amp;Ocupacao_DW[[#This Row],[local_id]]</f>
        <v>446371258215</v>
      </c>
      <c r="H2802" s="1">
        <f>_xlfn.XLOOKUP(Ocupacao_DW[[#This Row],[Concat]],Vagas!$H:$H,Vagas!$D:$D,"",0)</f>
        <v>0</v>
      </c>
    </row>
    <row r="2803" spans="1:8" x14ac:dyDescent="0.25">
      <c r="A2803" s="2">
        <v>44635</v>
      </c>
      <c r="B2803" s="1" t="s">
        <v>54</v>
      </c>
      <c r="C2803">
        <v>10941</v>
      </c>
      <c r="D2803" s="1" t="s">
        <v>224</v>
      </c>
      <c r="E2803" s="1" t="s">
        <v>5</v>
      </c>
      <c r="F2803">
        <v>11</v>
      </c>
      <c r="G2803" s="1" t="str">
        <f>Ocupacao_DW[[#This Row],[data]]&amp;Ocupacao_DW[[#This Row],[profissional_id]]&amp;Ocupacao_DW[[#This Row],[local_id]]</f>
        <v>446351094111</v>
      </c>
      <c r="H2803" s="1">
        <f>_xlfn.XLOOKUP(Ocupacao_DW[[#This Row],[Concat]],Vagas!$H:$H,Vagas!$D:$D,"",0)</f>
        <v>16</v>
      </c>
    </row>
    <row r="2804" spans="1:8" x14ac:dyDescent="0.25">
      <c r="A2804" s="2">
        <v>44636</v>
      </c>
      <c r="B2804" s="1" t="s">
        <v>62</v>
      </c>
      <c r="C2804">
        <v>2567</v>
      </c>
      <c r="D2804" s="1" t="s">
        <v>198</v>
      </c>
      <c r="E2804" s="1" t="s">
        <v>5</v>
      </c>
      <c r="F2804">
        <v>349</v>
      </c>
      <c r="G2804" s="1" t="str">
        <f>Ocupacao_DW[[#This Row],[data]]&amp;Ocupacao_DW[[#This Row],[profissional_id]]&amp;Ocupacao_DW[[#This Row],[local_id]]</f>
        <v>446362567349</v>
      </c>
      <c r="H2804" s="1">
        <f>_xlfn.XLOOKUP(Ocupacao_DW[[#This Row],[Concat]],Vagas!$H:$H,Vagas!$D:$D,"",0)</f>
        <v>0</v>
      </c>
    </row>
    <row r="2805" spans="1:8" x14ac:dyDescent="0.25">
      <c r="A2805" s="2">
        <v>44635</v>
      </c>
      <c r="B2805" s="1" t="s">
        <v>65</v>
      </c>
      <c r="C2805">
        <v>11237</v>
      </c>
      <c r="D2805" s="1" t="s">
        <v>229</v>
      </c>
      <c r="E2805" s="1" t="s">
        <v>4</v>
      </c>
      <c r="F2805">
        <v>46</v>
      </c>
      <c r="G2805" s="1" t="str">
        <f>Ocupacao_DW[[#This Row],[data]]&amp;Ocupacao_DW[[#This Row],[profissional_id]]&amp;Ocupacao_DW[[#This Row],[local_id]]</f>
        <v>446351123746</v>
      </c>
      <c r="H2805" s="1">
        <f>_xlfn.XLOOKUP(Ocupacao_DW[[#This Row],[Concat]],Vagas!$H:$H,Vagas!$D:$D,"",0)</f>
        <v>0</v>
      </c>
    </row>
    <row r="2806" spans="1:8" x14ac:dyDescent="0.25">
      <c r="A2806" s="2">
        <v>44648</v>
      </c>
      <c r="B2806" s="1" t="s">
        <v>52</v>
      </c>
      <c r="C2806">
        <v>10691</v>
      </c>
      <c r="D2806" s="1" t="s">
        <v>181</v>
      </c>
      <c r="E2806" s="1" t="s">
        <v>6</v>
      </c>
      <c r="F2806">
        <v>9</v>
      </c>
      <c r="G2806" s="1" t="str">
        <f>Ocupacao_DW[[#This Row],[data]]&amp;Ocupacao_DW[[#This Row],[profissional_id]]&amp;Ocupacao_DW[[#This Row],[local_id]]</f>
        <v>44648106919</v>
      </c>
      <c r="H2806" s="1">
        <f>_xlfn.XLOOKUP(Ocupacao_DW[[#This Row],[Concat]],Vagas!$H:$H,Vagas!$D:$D,"",0)</f>
        <v>0</v>
      </c>
    </row>
    <row r="2807" spans="1:8" x14ac:dyDescent="0.25">
      <c r="A2807" s="2">
        <v>44648</v>
      </c>
      <c r="B2807" s="1" t="s">
        <v>64</v>
      </c>
      <c r="C2807">
        <v>86</v>
      </c>
      <c r="D2807" s="1" t="s">
        <v>175</v>
      </c>
      <c r="E2807" s="1" t="s">
        <v>5</v>
      </c>
      <c r="F2807">
        <v>349</v>
      </c>
      <c r="G2807" s="1" t="str">
        <f>Ocupacao_DW[[#This Row],[data]]&amp;Ocupacao_DW[[#This Row],[profissional_id]]&amp;Ocupacao_DW[[#This Row],[local_id]]</f>
        <v>4464886349</v>
      </c>
      <c r="H2807" s="1">
        <f>_xlfn.XLOOKUP(Ocupacao_DW[[#This Row],[Concat]],Vagas!$H:$H,Vagas!$D:$D,"",0)</f>
        <v>0</v>
      </c>
    </row>
    <row r="2808" spans="1:8" x14ac:dyDescent="0.25">
      <c r="A2808" s="2">
        <v>44635</v>
      </c>
      <c r="B2808" s="1" t="s">
        <v>47</v>
      </c>
      <c r="C2808">
        <v>111</v>
      </c>
      <c r="D2808" s="1" t="s">
        <v>199</v>
      </c>
      <c r="E2808" s="1" t="s">
        <v>4</v>
      </c>
      <c r="F2808">
        <v>51</v>
      </c>
      <c r="G2808" s="1" t="str">
        <f>Ocupacao_DW[[#This Row],[data]]&amp;Ocupacao_DW[[#This Row],[profissional_id]]&amp;Ocupacao_DW[[#This Row],[local_id]]</f>
        <v>4463511151</v>
      </c>
      <c r="H2808" s="1">
        <f>_xlfn.XLOOKUP(Ocupacao_DW[[#This Row],[Concat]],Vagas!$H:$H,Vagas!$D:$D,"",0)</f>
        <v>0</v>
      </c>
    </row>
    <row r="2809" spans="1:8" x14ac:dyDescent="0.25">
      <c r="A2809" s="2">
        <v>44636</v>
      </c>
      <c r="B2809" s="1" t="s">
        <v>72</v>
      </c>
      <c r="C2809">
        <v>1794</v>
      </c>
      <c r="D2809" s="1" t="s">
        <v>235</v>
      </c>
      <c r="E2809" s="1" t="s">
        <v>4</v>
      </c>
      <c r="F2809">
        <v>49</v>
      </c>
      <c r="G2809" s="1" t="str">
        <f>Ocupacao_DW[[#This Row],[data]]&amp;Ocupacao_DW[[#This Row],[profissional_id]]&amp;Ocupacao_DW[[#This Row],[local_id]]</f>
        <v>44636179449</v>
      </c>
      <c r="H2809" s="1">
        <f>_xlfn.XLOOKUP(Ocupacao_DW[[#This Row],[Concat]],Vagas!$H:$H,Vagas!$D:$D,"",0)</f>
        <v>0</v>
      </c>
    </row>
    <row r="2810" spans="1:8" x14ac:dyDescent="0.25">
      <c r="A2810" s="2">
        <v>44635</v>
      </c>
      <c r="B2810" s="1" t="s">
        <v>54</v>
      </c>
      <c r="C2810">
        <v>12623</v>
      </c>
      <c r="D2810" s="1" t="s">
        <v>258</v>
      </c>
      <c r="E2810" s="1" t="s">
        <v>5</v>
      </c>
      <c r="F2810">
        <v>11</v>
      </c>
      <c r="G2810" s="1" t="str">
        <f>Ocupacao_DW[[#This Row],[data]]&amp;Ocupacao_DW[[#This Row],[profissional_id]]&amp;Ocupacao_DW[[#This Row],[local_id]]</f>
        <v>446351262311</v>
      </c>
      <c r="H2810" s="1">
        <f>_xlfn.XLOOKUP(Ocupacao_DW[[#This Row],[Concat]],Vagas!$H:$H,Vagas!$D:$D,"",0)</f>
        <v>0</v>
      </c>
    </row>
    <row r="2811" spans="1:8" x14ac:dyDescent="0.25">
      <c r="A2811" s="2">
        <v>44639</v>
      </c>
      <c r="B2811" s="1" t="s">
        <v>75</v>
      </c>
      <c r="C2811">
        <v>12810</v>
      </c>
      <c r="D2811" s="1" t="s">
        <v>259</v>
      </c>
      <c r="E2811" s="1" t="s">
        <v>167</v>
      </c>
      <c r="F2811">
        <v>339</v>
      </c>
      <c r="G2811" s="1" t="str">
        <f>Ocupacao_DW[[#This Row],[data]]&amp;Ocupacao_DW[[#This Row],[profissional_id]]&amp;Ocupacao_DW[[#This Row],[local_id]]</f>
        <v>4463912810339</v>
      </c>
      <c r="H2811" s="1">
        <f>_xlfn.XLOOKUP(Ocupacao_DW[[#This Row],[Concat]],Vagas!$H:$H,Vagas!$D:$D,"",0)</f>
        <v>0</v>
      </c>
    </row>
    <row r="2812" spans="1:8" x14ac:dyDescent="0.25">
      <c r="A2812" s="2">
        <v>44638</v>
      </c>
      <c r="B2812" s="1" t="s">
        <v>47</v>
      </c>
      <c r="C2812">
        <v>9111</v>
      </c>
      <c r="D2812" s="1" t="s">
        <v>206</v>
      </c>
      <c r="E2812" s="1" t="s">
        <v>4</v>
      </c>
      <c r="F2812">
        <v>51</v>
      </c>
      <c r="G2812" s="1" t="str">
        <f>Ocupacao_DW[[#This Row],[data]]&amp;Ocupacao_DW[[#This Row],[profissional_id]]&amp;Ocupacao_DW[[#This Row],[local_id]]</f>
        <v>44638911151</v>
      </c>
      <c r="H2812" s="1">
        <f>_xlfn.XLOOKUP(Ocupacao_DW[[#This Row],[Concat]],Vagas!$H:$H,Vagas!$D:$D,"",0)</f>
        <v>0</v>
      </c>
    </row>
    <row r="2813" spans="1:8" x14ac:dyDescent="0.25">
      <c r="A2813" s="2">
        <v>44635</v>
      </c>
      <c r="B2813" s="1" t="s">
        <v>55</v>
      </c>
      <c r="C2813">
        <v>60</v>
      </c>
      <c r="D2813" s="1" t="s">
        <v>217</v>
      </c>
      <c r="E2813" s="1" t="s">
        <v>167</v>
      </c>
      <c r="F2813">
        <v>345</v>
      </c>
      <c r="G2813" s="1" t="str">
        <f>Ocupacao_DW[[#This Row],[data]]&amp;Ocupacao_DW[[#This Row],[profissional_id]]&amp;Ocupacao_DW[[#This Row],[local_id]]</f>
        <v>4463560345</v>
      </c>
      <c r="H2813" s="1">
        <f>_xlfn.XLOOKUP(Ocupacao_DW[[#This Row],[Concat]],Vagas!$H:$H,Vagas!$D:$D,"",0)</f>
        <v>0</v>
      </c>
    </row>
    <row r="2814" spans="1:8" x14ac:dyDescent="0.25">
      <c r="A2814" s="2">
        <v>44635</v>
      </c>
      <c r="B2814" s="1" t="s">
        <v>54</v>
      </c>
      <c r="C2814">
        <v>10941</v>
      </c>
      <c r="D2814" s="1" t="s">
        <v>224</v>
      </c>
      <c r="E2814" s="1" t="s">
        <v>5</v>
      </c>
      <c r="F2814">
        <v>11</v>
      </c>
      <c r="G2814" s="1" t="str">
        <f>Ocupacao_DW[[#This Row],[data]]&amp;Ocupacao_DW[[#This Row],[profissional_id]]&amp;Ocupacao_DW[[#This Row],[local_id]]</f>
        <v>446351094111</v>
      </c>
      <c r="H2814" s="1">
        <f>_xlfn.XLOOKUP(Ocupacao_DW[[#This Row],[Concat]],Vagas!$H:$H,Vagas!$D:$D,"",0)</f>
        <v>16</v>
      </c>
    </row>
    <row r="2815" spans="1:8" x14ac:dyDescent="0.25">
      <c r="A2815" s="2">
        <v>44645</v>
      </c>
      <c r="B2815" s="1" t="s">
        <v>64</v>
      </c>
      <c r="C2815">
        <v>86</v>
      </c>
      <c r="D2815" s="1" t="s">
        <v>175</v>
      </c>
      <c r="E2815" s="1" t="s">
        <v>5</v>
      </c>
      <c r="F2815">
        <v>349</v>
      </c>
      <c r="G2815" s="1" t="str">
        <f>Ocupacao_DW[[#This Row],[data]]&amp;Ocupacao_DW[[#This Row],[profissional_id]]&amp;Ocupacao_DW[[#This Row],[local_id]]</f>
        <v>4464586349</v>
      </c>
      <c r="H2815" s="1">
        <f>_xlfn.XLOOKUP(Ocupacao_DW[[#This Row],[Concat]],Vagas!$H:$H,Vagas!$D:$D,"",0)</f>
        <v>0</v>
      </c>
    </row>
    <row r="2816" spans="1:8" x14ac:dyDescent="0.25">
      <c r="A2816" s="2">
        <v>44641</v>
      </c>
      <c r="B2816" s="1" t="s">
        <v>49</v>
      </c>
      <c r="C2816">
        <v>81</v>
      </c>
      <c r="D2816" s="1" t="s">
        <v>170</v>
      </c>
      <c r="E2816" s="1" t="s">
        <v>4</v>
      </c>
      <c r="F2816">
        <v>41</v>
      </c>
      <c r="G2816" s="1" t="str">
        <f>Ocupacao_DW[[#This Row],[data]]&amp;Ocupacao_DW[[#This Row],[profissional_id]]&amp;Ocupacao_DW[[#This Row],[local_id]]</f>
        <v>446418141</v>
      </c>
      <c r="H2816" s="1">
        <f>_xlfn.XLOOKUP(Ocupacao_DW[[#This Row],[Concat]],Vagas!$H:$H,Vagas!$D:$D,"",0)</f>
        <v>0</v>
      </c>
    </row>
    <row r="2817" spans="1:8" x14ac:dyDescent="0.25">
      <c r="A2817" s="2">
        <v>44649</v>
      </c>
      <c r="B2817" s="1" t="s">
        <v>55</v>
      </c>
      <c r="C2817">
        <v>73</v>
      </c>
      <c r="D2817" s="1" t="s">
        <v>171</v>
      </c>
      <c r="E2817" s="1" t="s">
        <v>6</v>
      </c>
      <c r="F2817">
        <v>5</v>
      </c>
      <c r="G2817" s="1" t="str">
        <f>Ocupacao_DW[[#This Row],[data]]&amp;Ocupacao_DW[[#This Row],[profissional_id]]&amp;Ocupacao_DW[[#This Row],[local_id]]</f>
        <v>44649735</v>
      </c>
      <c r="H2817" s="1">
        <f>_xlfn.XLOOKUP(Ocupacao_DW[[#This Row],[Concat]],Vagas!$H:$H,Vagas!$D:$D,"",0)</f>
        <v>0</v>
      </c>
    </row>
    <row r="2818" spans="1:8" x14ac:dyDescent="0.25">
      <c r="A2818" s="2">
        <v>44635</v>
      </c>
      <c r="B2818" s="1" t="s">
        <v>47</v>
      </c>
      <c r="C2818">
        <v>110</v>
      </c>
      <c r="D2818" s="1" t="s">
        <v>193</v>
      </c>
      <c r="E2818" s="1" t="s">
        <v>4</v>
      </c>
      <c r="F2818">
        <v>334</v>
      </c>
      <c r="G2818" s="1" t="str">
        <f>Ocupacao_DW[[#This Row],[data]]&amp;Ocupacao_DW[[#This Row],[profissional_id]]&amp;Ocupacao_DW[[#This Row],[local_id]]</f>
        <v>44635110334</v>
      </c>
      <c r="H2818" s="1">
        <f>_xlfn.XLOOKUP(Ocupacao_DW[[#This Row],[Concat]],Vagas!$H:$H,Vagas!$D:$D,"",0)</f>
        <v>0</v>
      </c>
    </row>
    <row r="2819" spans="1:8" x14ac:dyDescent="0.25">
      <c r="A2819" s="2">
        <v>44635</v>
      </c>
      <c r="B2819" s="1" t="s">
        <v>47</v>
      </c>
      <c r="C2819">
        <v>111</v>
      </c>
      <c r="D2819" s="1" t="s">
        <v>199</v>
      </c>
      <c r="E2819" s="1" t="s">
        <v>4</v>
      </c>
      <c r="F2819">
        <v>51</v>
      </c>
      <c r="G2819" s="1" t="str">
        <f>Ocupacao_DW[[#This Row],[data]]&amp;Ocupacao_DW[[#This Row],[profissional_id]]&amp;Ocupacao_DW[[#This Row],[local_id]]</f>
        <v>4463511151</v>
      </c>
      <c r="H2819" s="1">
        <f>_xlfn.XLOOKUP(Ocupacao_DW[[#This Row],[Concat]],Vagas!$H:$H,Vagas!$D:$D,"",0)</f>
        <v>0</v>
      </c>
    </row>
    <row r="2820" spans="1:8" x14ac:dyDescent="0.25">
      <c r="A2820" s="2">
        <v>44641</v>
      </c>
      <c r="B2820" s="1" t="s">
        <v>60</v>
      </c>
      <c r="C2820">
        <v>117</v>
      </c>
      <c r="D2820" s="1" t="s">
        <v>180</v>
      </c>
      <c r="E2820" s="1" t="s">
        <v>4</v>
      </c>
      <c r="F2820">
        <v>48</v>
      </c>
      <c r="G2820" s="1" t="str">
        <f>Ocupacao_DW[[#This Row],[data]]&amp;Ocupacao_DW[[#This Row],[profissional_id]]&amp;Ocupacao_DW[[#This Row],[local_id]]</f>
        <v>4464111748</v>
      </c>
      <c r="H2820" s="1">
        <f>_xlfn.XLOOKUP(Ocupacao_DW[[#This Row],[Concat]],Vagas!$H:$H,Vagas!$D:$D,"",0)</f>
        <v>0</v>
      </c>
    </row>
    <row r="2821" spans="1:8" x14ac:dyDescent="0.25">
      <c r="A2821" s="2">
        <v>44638</v>
      </c>
      <c r="B2821" s="1" t="s">
        <v>52</v>
      </c>
      <c r="C2821">
        <v>57</v>
      </c>
      <c r="D2821" s="1" t="s">
        <v>169</v>
      </c>
      <c r="E2821" s="1" t="s">
        <v>6</v>
      </c>
      <c r="F2821">
        <v>8</v>
      </c>
      <c r="G2821" s="1" t="str">
        <f>Ocupacao_DW[[#This Row],[data]]&amp;Ocupacao_DW[[#This Row],[profissional_id]]&amp;Ocupacao_DW[[#This Row],[local_id]]</f>
        <v>44638578</v>
      </c>
      <c r="H2821" s="1">
        <f>_xlfn.XLOOKUP(Ocupacao_DW[[#This Row],[Concat]],Vagas!$H:$H,Vagas!$D:$D,"",0)</f>
        <v>0</v>
      </c>
    </row>
    <row r="2822" spans="1:8" x14ac:dyDescent="0.25">
      <c r="A2822" s="2">
        <v>44649</v>
      </c>
      <c r="B2822" s="1" t="s">
        <v>47</v>
      </c>
      <c r="C2822">
        <v>9111</v>
      </c>
      <c r="D2822" s="1" t="s">
        <v>206</v>
      </c>
      <c r="E2822" s="1" t="s">
        <v>4</v>
      </c>
      <c r="F2822">
        <v>335</v>
      </c>
      <c r="G2822" s="1" t="str">
        <f>Ocupacao_DW[[#This Row],[data]]&amp;Ocupacao_DW[[#This Row],[profissional_id]]&amp;Ocupacao_DW[[#This Row],[local_id]]</f>
        <v>446499111335</v>
      </c>
      <c r="H2822" s="1">
        <f>_xlfn.XLOOKUP(Ocupacao_DW[[#This Row],[Concat]],Vagas!$H:$H,Vagas!$D:$D,"",0)</f>
        <v>0</v>
      </c>
    </row>
    <row r="2823" spans="1:8" x14ac:dyDescent="0.25">
      <c r="A2823" s="2">
        <v>44636</v>
      </c>
      <c r="B2823" s="1" t="s">
        <v>72</v>
      </c>
      <c r="C2823">
        <v>6046</v>
      </c>
      <c r="D2823" s="1" t="s">
        <v>222</v>
      </c>
      <c r="E2823" s="1" t="s">
        <v>167</v>
      </c>
      <c r="F2823">
        <v>344</v>
      </c>
      <c r="G2823" s="1" t="str">
        <f>Ocupacao_DW[[#This Row],[data]]&amp;Ocupacao_DW[[#This Row],[profissional_id]]&amp;Ocupacao_DW[[#This Row],[local_id]]</f>
        <v>446366046344</v>
      </c>
      <c r="H2823" s="1">
        <f>_xlfn.XLOOKUP(Ocupacao_DW[[#This Row],[Concat]],Vagas!$H:$H,Vagas!$D:$D,"",0)</f>
        <v>0</v>
      </c>
    </row>
    <row r="2824" spans="1:8" x14ac:dyDescent="0.25">
      <c r="A2824" s="2">
        <v>44637</v>
      </c>
      <c r="B2824" s="1" t="s">
        <v>72</v>
      </c>
      <c r="C2824">
        <v>6046</v>
      </c>
      <c r="D2824" s="1" t="s">
        <v>222</v>
      </c>
      <c r="E2824" s="1" t="s">
        <v>4</v>
      </c>
      <c r="F2824">
        <v>46</v>
      </c>
      <c r="G2824" s="1" t="str">
        <f>Ocupacao_DW[[#This Row],[data]]&amp;Ocupacao_DW[[#This Row],[profissional_id]]&amp;Ocupacao_DW[[#This Row],[local_id]]</f>
        <v>44637604646</v>
      </c>
      <c r="H2824" s="1">
        <f>_xlfn.XLOOKUP(Ocupacao_DW[[#This Row],[Concat]],Vagas!$H:$H,Vagas!$D:$D,"",0)</f>
        <v>0</v>
      </c>
    </row>
    <row r="2825" spans="1:8" x14ac:dyDescent="0.25">
      <c r="A2825" s="2">
        <v>44643</v>
      </c>
      <c r="B2825" s="1" t="s">
        <v>51</v>
      </c>
      <c r="C2825">
        <v>17859</v>
      </c>
      <c r="D2825" s="1" t="s">
        <v>212</v>
      </c>
      <c r="E2825" s="1" t="s">
        <v>6</v>
      </c>
      <c r="F2825">
        <v>7</v>
      </c>
      <c r="G2825" s="1" t="str">
        <f>Ocupacao_DW[[#This Row],[data]]&amp;Ocupacao_DW[[#This Row],[profissional_id]]&amp;Ocupacao_DW[[#This Row],[local_id]]</f>
        <v>44643178597</v>
      </c>
      <c r="H2825" s="1">
        <f>_xlfn.XLOOKUP(Ocupacao_DW[[#This Row],[Concat]],Vagas!$H:$H,Vagas!$D:$D,"",0)</f>
        <v>0</v>
      </c>
    </row>
    <row r="2826" spans="1:8" x14ac:dyDescent="0.25">
      <c r="A2826" s="2">
        <v>44635</v>
      </c>
      <c r="B2826" s="1" t="s">
        <v>54</v>
      </c>
      <c r="C2826">
        <v>69</v>
      </c>
      <c r="D2826" s="1" t="s">
        <v>238</v>
      </c>
      <c r="E2826" s="1" t="s">
        <v>5</v>
      </c>
      <c r="F2826">
        <v>13</v>
      </c>
      <c r="G2826" s="1" t="str">
        <f>Ocupacao_DW[[#This Row],[data]]&amp;Ocupacao_DW[[#This Row],[profissional_id]]&amp;Ocupacao_DW[[#This Row],[local_id]]</f>
        <v>446356913</v>
      </c>
      <c r="H2826" s="1">
        <f>_xlfn.XLOOKUP(Ocupacao_DW[[#This Row],[Concat]],Vagas!$H:$H,Vagas!$D:$D,"",0)</f>
        <v>0</v>
      </c>
    </row>
    <row r="2827" spans="1:8" x14ac:dyDescent="0.25">
      <c r="A2827" s="2">
        <v>44641</v>
      </c>
      <c r="B2827" s="1" t="s">
        <v>55</v>
      </c>
      <c r="C2827">
        <v>60</v>
      </c>
      <c r="D2827" s="1" t="s">
        <v>217</v>
      </c>
      <c r="E2827" s="1" t="s">
        <v>7</v>
      </c>
      <c r="F2827">
        <v>66</v>
      </c>
      <c r="G2827" s="1" t="str">
        <f>Ocupacao_DW[[#This Row],[data]]&amp;Ocupacao_DW[[#This Row],[profissional_id]]&amp;Ocupacao_DW[[#This Row],[local_id]]</f>
        <v>446416066</v>
      </c>
      <c r="H2827" s="1">
        <f>_xlfn.XLOOKUP(Ocupacao_DW[[#This Row],[Concat]],Vagas!$H:$H,Vagas!$D:$D,"",0)</f>
        <v>0</v>
      </c>
    </row>
    <row r="2828" spans="1:8" x14ac:dyDescent="0.25">
      <c r="A2828" s="2">
        <v>44637</v>
      </c>
      <c r="B2828" s="1" t="s">
        <v>49</v>
      </c>
      <c r="C2828">
        <v>3092</v>
      </c>
      <c r="D2828" s="1" t="s">
        <v>262</v>
      </c>
      <c r="E2828" s="1" t="s">
        <v>4</v>
      </c>
      <c r="F2828">
        <v>43</v>
      </c>
      <c r="G2828" s="1" t="str">
        <f>Ocupacao_DW[[#This Row],[data]]&amp;Ocupacao_DW[[#This Row],[profissional_id]]&amp;Ocupacao_DW[[#This Row],[local_id]]</f>
        <v>44637309243</v>
      </c>
      <c r="H2828" s="1">
        <f>_xlfn.XLOOKUP(Ocupacao_DW[[#This Row],[Concat]],Vagas!$H:$H,Vagas!$D:$D,"",0)</f>
        <v>0</v>
      </c>
    </row>
    <row r="2829" spans="1:8" x14ac:dyDescent="0.25">
      <c r="A2829" s="2">
        <v>44635</v>
      </c>
      <c r="B2829" s="1" t="s">
        <v>62</v>
      </c>
      <c r="C2829">
        <v>3502</v>
      </c>
      <c r="D2829" s="1" t="s">
        <v>214</v>
      </c>
      <c r="E2829" s="1" t="s">
        <v>5</v>
      </c>
      <c r="F2829">
        <v>16</v>
      </c>
      <c r="G2829" s="1" t="str">
        <f>Ocupacao_DW[[#This Row],[data]]&amp;Ocupacao_DW[[#This Row],[profissional_id]]&amp;Ocupacao_DW[[#This Row],[local_id]]</f>
        <v>44635350216</v>
      </c>
      <c r="H2829" s="1">
        <f>_xlfn.XLOOKUP(Ocupacao_DW[[#This Row],[Concat]],Vagas!$H:$H,Vagas!$D:$D,"",0)</f>
        <v>0</v>
      </c>
    </row>
    <row r="2830" spans="1:8" x14ac:dyDescent="0.25">
      <c r="A2830" s="2">
        <v>44642</v>
      </c>
      <c r="B2830" s="1" t="s">
        <v>70</v>
      </c>
      <c r="C2830">
        <v>14237</v>
      </c>
      <c r="D2830" s="1" t="s">
        <v>186</v>
      </c>
      <c r="E2830" s="1" t="s">
        <v>4</v>
      </c>
      <c r="F2830">
        <v>47</v>
      </c>
      <c r="G2830" s="1" t="str">
        <f>Ocupacao_DW[[#This Row],[data]]&amp;Ocupacao_DW[[#This Row],[profissional_id]]&amp;Ocupacao_DW[[#This Row],[local_id]]</f>
        <v>446421423747</v>
      </c>
      <c r="H2830" s="1">
        <f>_xlfn.XLOOKUP(Ocupacao_DW[[#This Row],[Concat]],Vagas!$H:$H,Vagas!$D:$D,"",0)</f>
        <v>0</v>
      </c>
    </row>
    <row r="2831" spans="1:8" x14ac:dyDescent="0.25">
      <c r="A2831" s="2">
        <v>44636</v>
      </c>
      <c r="B2831" s="1" t="s">
        <v>72</v>
      </c>
      <c r="C2831">
        <v>6046</v>
      </c>
      <c r="D2831" s="1" t="s">
        <v>222</v>
      </c>
      <c r="E2831" s="1" t="s">
        <v>167</v>
      </c>
      <c r="F2831">
        <v>344</v>
      </c>
      <c r="G2831" s="1" t="str">
        <f>Ocupacao_DW[[#This Row],[data]]&amp;Ocupacao_DW[[#This Row],[profissional_id]]&amp;Ocupacao_DW[[#This Row],[local_id]]</f>
        <v>446366046344</v>
      </c>
      <c r="H2831" s="1">
        <f>_xlfn.XLOOKUP(Ocupacao_DW[[#This Row],[Concat]],Vagas!$H:$H,Vagas!$D:$D,"",0)</f>
        <v>0</v>
      </c>
    </row>
    <row r="2832" spans="1:8" x14ac:dyDescent="0.25">
      <c r="A2832" s="2">
        <v>44649</v>
      </c>
      <c r="B2832" s="1" t="s">
        <v>55</v>
      </c>
      <c r="C2832">
        <v>73</v>
      </c>
      <c r="D2832" s="1" t="s">
        <v>171</v>
      </c>
      <c r="E2832" s="1" t="s">
        <v>6</v>
      </c>
      <c r="F2832">
        <v>5</v>
      </c>
      <c r="G2832" s="1" t="str">
        <f>Ocupacao_DW[[#This Row],[data]]&amp;Ocupacao_DW[[#This Row],[profissional_id]]&amp;Ocupacao_DW[[#This Row],[local_id]]</f>
        <v>44649735</v>
      </c>
      <c r="H2832" s="1">
        <f>_xlfn.XLOOKUP(Ocupacao_DW[[#This Row],[Concat]],Vagas!$H:$H,Vagas!$D:$D,"",0)</f>
        <v>0</v>
      </c>
    </row>
    <row r="2833" spans="1:8" x14ac:dyDescent="0.25">
      <c r="A2833" s="2">
        <v>44635</v>
      </c>
      <c r="B2833" s="1" t="s">
        <v>68</v>
      </c>
      <c r="C2833">
        <v>8239</v>
      </c>
      <c r="D2833" s="1" t="s">
        <v>257</v>
      </c>
      <c r="E2833" s="1" t="s">
        <v>5</v>
      </c>
      <c r="F2833">
        <v>14</v>
      </c>
      <c r="G2833" s="1" t="str">
        <f>Ocupacao_DW[[#This Row],[data]]&amp;Ocupacao_DW[[#This Row],[profissional_id]]&amp;Ocupacao_DW[[#This Row],[local_id]]</f>
        <v>44635823914</v>
      </c>
      <c r="H2833" s="1">
        <f>_xlfn.XLOOKUP(Ocupacao_DW[[#This Row],[Concat]],Vagas!$H:$H,Vagas!$D:$D,"",0)</f>
        <v>0</v>
      </c>
    </row>
    <row r="2834" spans="1:8" x14ac:dyDescent="0.25">
      <c r="A2834" s="2">
        <v>44635</v>
      </c>
      <c r="B2834" s="1" t="s">
        <v>62</v>
      </c>
      <c r="C2834">
        <v>3502</v>
      </c>
      <c r="D2834" s="1" t="s">
        <v>214</v>
      </c>
      <c r="E2834" s="1" t="s">
        <v>5</v>
      </c>
      <c r="F2834">
        <v>16</v>
      </c>
      <c r="G2834" s="1" t="str">
        <f>Ocupacao_DW[[#This Row],[data]]&amp;Ocupacao_DW[[#This Row],[profissional_id]]&amp;Ocupacao_DW[[#This Row],[local_id]]</f>
        <v>44635350216</v>
      </c>
      <c r="H2834" s="1">
        <f>_xlfn.XLOOKUP(Ocupacao_DW[[#This Row],[Concat]],Vagas!$H:$H,Vagas!$D:$D,"",0)</f>
        <v>0</v>
      </c>
    </row>
    <row r="2835" spans="1:8" x14ac:dyDescent="0.25">
      <c r="A2835" s="2">
        <v>44636</v>
      </c>
      <c r="B2835" s="1" t="s">
        <v>51</v>
      </c>
      <c r="C2835">
        <v>7551</v>
      </c>
      <c r="D2835" s="1" t="s">
        <v>246</v>
      </c>
      <c r="E2835" s="1" t="s">
        <v>5</v>
      </c>
      <c r="F2835">
        <v>15</v>
      </c>
      <c r="G2835" s="1" t="str">
        <f>Ocupacao_DW[[#This Row],[data]]&amp;Ocupacao_DW[[#This Row],[profissional_id]]&amp;Ocupacao_DW[[#This Row],[local_id]]</f>
        <v>44636755115</v>
      </c>
      <c r="H2835" s="1">
        <f>_xlfn.XLOOKUP(Ocupacao_DW[[#This Row],[Concat]],Vagas!$H:$H,Vagas!$D:$D,"",0)</f>
        <v>0</v>
      </c>
    </row>
    <row r="2836" spans="1:8" x14ac:dyDescent="0.25">
      <c r="A2836" s="2">
        <v>44636</v>
      </c>
      <c r="B2836" s="1" t="s">
        <v>47</v>
      </c>
      <c r="C2836">
        <v>110</v>
      </c>
      <c r="D2836" s="1" t="s">
        <v>193</v>
      </c>
      <c r="E2836" s="1" t="s">
        <v>4</v>
      </c>
      <c r="F2836">
        <v>334</v>
      </c>
      <c r="G2836" s="1" t="str">
        <f>Ocupacao_DW[[#This Row],[data]]&amp;Ocupacao_DW[[#This Row],[profissional_id]]&amp;Ocupacao_DW[[#This Row],[local_id]]</f>
        <v>44636110334</v>
      </c>
      <c r="H2836" s="1">
        <f>_xlfn.XLOOKUP(Ocupacao_DW[[#This Row],[Concat]],Vagas!$H:$H,Vagas!$D:$D,"",0)</f>
        <v>0</v>
      </c>
    </row>
    <row r="2837" spans="1:8" x14ac:dyDescent="0.25">
      <c r="A2837" s="2">
        <v>44638</v>
      </c>
      <c r="B2837" s="1" t="s">
        <v>52</v>
      </c>
      <c r="C2837">
        <v>57</v>
      </c>
      <c r="D2837" s="1" t="s">
        <v>169</v>
      </c>
      <c r="E2837" s="1" t="s">
        <v>6</v>
      </c>
      <c r="F2837">
        <v>8</v>
      </c>
      <c r="G2837" s="1" t="str">
        <f>Ocupacao_DW[[#This Row],[data]]&amp;Ocupacao_DW[[#This Row],[profissional_id]]&amp;Ocupacao_DW[[#This Row],[local_id]]</f>
        <v>44638578</v>
      </c>
      <c r="H2837" s="1">
        <f>_xlfn.XLOOKUP(Ocupacao_DW[[#This Row],[Concat]],Vagas!$H:$H,Vagas!$D:$D,"",0)</f>
        <v>0</v>
      </c>
    </row>
    <row r="2838" spans="1:8" x14ac:dyDescent="0.25">
      <c r="A2838" s="2">
        <v>44648</v>
      </c>
      <c r="B2838" s="1" t="s">
        <v>43</v>
      </c>
      <c r="C2838">
        <v>10728</v>
      </c>
      <c r="D2838" s="1" t="s">
        <v>260</v>
      </c>
      <c r="E2838" s="1" t="s">
        <v>200</v>
      </c>
      <c r="F2838">
        <v>360</v>
      </c>
      <c r="G2838" s="1" t="str">
        <f>Ocupacao_DW[[#This Row],[data]]&amp;Ocupacao_DW[[#This Row],[profissional_id]]&amp;Ocupacao_DW[[#This Row],[local_id]]</f>
        <v>4464810728360</v>
      </c>
      <c r="H2838" s="1">
        <f>_xlfn.XLOOKUP(Ocupacao_DW[[#This Row],[Concat]],Vagas!$H:$H,Vagas!$D:$D,"",0)</f>
        <v>0</v>
      </c>
    </row>
    <row r="2839" spans="1:8" x14ac:dyDescent="0.25">
      <c r="A2839" s="2">
        <v>44636</v>
      </c>
      <c r="B2839" s="1" t="s">
        <v>51</v>
      </c>
      <c r="C2839">
        <v>12679</v>
      </c>
      <c r="D2839" s="1" t="s">
        <v>192</v>
      </c>
      <c r="E2839" s="1" t="s">
        <v>5</v>
      </c>
      <c r="F2839">
        <v>11</v>
      </c>
      <c r="G2839" s="1" t="str">
        <f>Ocupacao_DW[[#This Row],[data]]&amp;Ocupacao_DW[[#This Row],[profissional_id]]&amp;Ocupacao_DW[[#This Row],[local_id]]</f>
        <v>446361267911</v>
      </c>
      <c r="H2839" s="1">
        <f>_xlfn.XLOOKUP(Ocupacao_DW[[#This Row],[Concat]],Vagas!$H:$H,Vagas!$D:$D,"",0)</f>
        <v>0</v>
      </c>
    </row>
    <row r="2840" spans="1:8" x14ac:dyDescent="0.25">
      <c r="A2840" s="2">
        <v>44649</v>
      </c>
      <c r="B2840" s="1" t="s">
        <v>55</v>
      </c>
      <c r="C2840">
        <v>73</v>
      </c>
      <c r="D2840" s="1" t="s">
        <v>171</v>
      </c>
      <c r="E2840" s="1" t="s">
        <v>6</v>
      </c>
      <c r="F2840">
        <v>5</v>
      </c>
      <c r="G2840" s="1" t="str">
        <f>Ocupacao_DW[[#This Row],[data]]&amp;Ocupacao_DW[[#This Row],[profissional_id]]&amp;Ocupacao_DW[[#This Row],[local_id]]</f>
        <v>44649735</v>
      </c>
      <c r="H2840" s="1">
        <f>_xlfn.XLOOKUP(Ocupacao_DW[[#This Row],[Concat]],Vagas!$H:$H,Vagas!$D:$D,"",0)</f>
        <v>0</v>
      </c>
    </row>
    <row r="2841" spans="1:8" x14ac:dyDescent="0.25">
      <c r="A2841" s="2">
        <v>44636</v>
      </c>
      <c r="B2841" s="1" t="s">
        <v>60</v>
      </c>
      <c r="C2841">
        <v>14326</v>
      </c>
      <c r="D2841" s="1" t="s">
        <v>220</v>
      </c>
      <c r="E2841" s="1" t="s">
        <v>4</v>
      </c>
      <c r="F2841">
        <v>43</v>
      </c>
      <c r="G2841" s="1" t="str">
        <f>Ocupacao_DW[[#This Row],[data]]&amp;Ocupacao_DW[[#This Row],[profissional_id]]&amp;Ocupacao_DW[[#This Row],[local_id]]</f>
        <v>446361432643</v>
      </c>
      <c r="H2841" s="1">
        <f>_xlfn.XLOOKUP(Ocupacao_DW[[#This Row],[Concat]],Vagas!$H:$H,Vagas!$D:$D,"",0)</f>
        <v>0</v>
      </c>
    </row>
    <row r="2842" spans="1:8" x14ac:dyDescent="0.25">
      <c r="A2842" s="2">
        <v>44639</v>
      </c>
      <c r="B2842" s="1" t="s">
        <v>47</v>
      </c>
      <c r="C2842">
        <v>111</v>
      </c>
      <c r="D2842" s="1" t="s">
        <v>199</v>
      </c>
      <c r="E2842" s="1" t="s">
        <v>4</v>
      </c>
      <c r="F2842">
        <v>51</v>
      </c>
      <c r="G2842" s="1" t="str">
        <f>Ocupacao_DW[[#This Row],[data]]&amp;Ocupacao_DW[[#This Row],[profissional_id]]&amp;Ocupacao_DW[[#This Row],[local_id]]</f>
        <v>4463911151</v>
      </c>
      <c r="H2842" s="1">
        <f>_xlfn.XLOOKUP(Ocupacao_DW[[#This Row],[Concat]],Vagas!$H:$H,Vagas!$D:$D,"",0)</f>
        <v>0</v>
      </c>
    </row>
    <row r="2843" spans="1:8" x14ac:dyDescent="0.25">
      <c r="A2843" s="2">
        <v>44635</v>
      </c>
      <c r="B2843" s="1" t="s">
        <v>62</v>
      </c>
      <c r="C2843">
        <v>3502</v>
      </c>
      <c r="D2843" s="1" t="s">
        <v>214</v>
      </c>
      <c r="E2843" s="1" t="s">
        <v>5</v>
      </c>
      <c r="F2843">
        <v>16</v>
      </c>
      <c r="G2843" s="1" t="str">
        <f>Ocupacao_DW[[#This Row],[data]]&amp;Ocupacao_DW[[#This Row],[profissional_id]]&amp;Ocupacao_DW[[#This Row],[local_id]]</f>
        <v>44635350216</v>
      </c>
      <c r="H2843" s="1">
        <f>_xlfn.XLOOKUP(Ocupacao_DW[[#This Row],[Concat]],Vagas!$H:$H,Vagas!$D:$D,"",0)</f>
        <v>0</v>
      </c>
    </row>
    <row r="2844" spans="1:8" x14ac:dyDescent="0.25">
      <c r="A2844" s="2">
        <v>44635</v>
      </c>
      <c r="B2844" s="1" t="s">
        <v>54</v>
      </c>
      <c r="C2844">
        <v>69</v>
      </c>
      <c r="D2844" s="1" t="s">
        <v>238</v>
      </c>
      <c r="E2844" s="1" t="s">
        <v>5</v>
      </c>
      <c r="F2844">
        <v>13</v>
      </c>
      <c r="G2844" s="1" t="str">
        <f>Ocupacao_DW[[#This Row],[data]]&amp;Ocupacao_DW[[#This Row],[profissional_id]]&amp;Ocupacao_DW[[#This Row],[local_id]]</f>
        <v>446356913</v>
      </c>
      <c r="H2844" s="1">
        <f>_xlfn.XLOOKUP(Ocupacao_DW[[#This Row],[Concat]],Vagas!$H:$H,Vagas!$D:$D,"",0)</f>
        <v>0</v>
      </c>
    </row>
    <row r="2845" spans="1:8" x14ac:dyDescent="0.25">
      <c r="A2845" s="2">
        <v>44638</v>
      </c>
      <c r="B2845" s="1" t="s">
        <v>52</v>
      </c>
      <c r="C2845">
        <v>57</v>
      </c>
      <c r="D2845" s="1" t="s">
        <v>169</v>
      </c>
      <c r="E2845" s="1" t="s">
        <v>6</v>
      </c>
      <c r="F2845">
        <v>8</v>
      </c>
      <c r="G2845" s="1" t="str">
        <f>Ocupacao_DW[[#This Row],[data]]&amp;Ocupacao_DW[[#This Row],[profissional_id]]&amp;Ocupacao_DW[[#This Row],[local_id]]</f>
        <v>44638578</v>
      </c>
      <c r="H2845" s="1">
        <f>_xlfn.XLOOKUP(Ocupacao_DW[[#This Row],[Concat]],Vagas!$H:$H,Vagas!$D:$D,"",0)</f>
        <v>0</v>
      </c>
    </row>
    <row r="2846" spans="1:8" x14ac:dyDescent="0.25">
      <c r="A2846" s="2">
        <v>44635</v>
      </c>
      <c r="B2846" s="1" t="s">
        <v>54</v>
      </c>
      <c r="C2846">
        <v>10941</v>
      </c>
      <c r="D2846" s="1" t="s">
        <v>224</v>
      </c>
      <c r="E2846" s="1" t="s">
        <v>5</v>
      </c>
      <c r="F2846">
        <v>11</v>
      </c>
      <c r="G2846" s="1" t="str">
        <f>Ocupacao_DW[[#This Row],[data]]&amp;Ocupacao_DW[[#This Row],[profissional_id]]&amp;Ocupacao_DW[[#This Row],[local_id]]</f>
        <v>446351094111</v>
      </c>
      <c r="H2846" s="1">
        <f>_xlfn.XLOOKUP(Ocupacao_DW[[#This Row],[Concat]],Vagas!$H:$H,Vagas!$D:$D,"",0)</f>
        <v>16</v>
      </c>
    </row>
    <row r="2847" spans="1:8" x14ac:dyDescent="0.25">
      <c r="A2847" s="2">
        <v>44635</v>
      </c>
      <c r="B2847" s="1" t="s">
        <v>43</v>
      </c>
      <c r="C2847">
        <v>57</v>
      </c>
      <c r="D2847" s="1" t="s">
        <v>169</v>
      </c>
      <c r="E2847" s="1" t="s">
        <v>6</v>
      </c>
      <c r="F2847">
        <v>2</v>
      </c>
      <c r="G2847" s="1" t="str">
        <f>Ocupacao_DW[[#This Row],[data]]&amp;Ocupacao_DW[[#This Row],[profissional_id]]&amp;Ocupacao_DW[[#This Row],[local_id]]</f>
        <v>44635572</v>
      </c>
      <c r="H2847" s="1">
        <f>_xlfn.XLOOKUP(Ocupacao_DW[[#This Row],[Concat]],Vagas!$H:$H,Vagas!$D:$D,"",0)</f>
        <v>0</v>
      </c>
    </row>
    <row r="2848" spans="1:8" x14ac:dyDescent="0.25">
      <c r="A2848" s="2">
        <v>44636</v>
      </c>
      <c r="B2848" s="1" t="s">
        <v>24</v>
      </c>
      <c r="C2848">
        <v>13061</v>
      </c>
      <c r="D2848" s="1" t="s">
        <v>232</v>
      </c>
      <c r="E2848" s="1" t="s">
        <v>6</v>
      </c>
      <c r="F2848">
        <v>3</v>
      </c>
      <c r="G2848" s="1" t="str">
        <f>Ocupacao_DW[[#This Row],[data]]&amp;Ocupacao_DW[[#This Row],[profissional_id]]&amp;Ocupacao_DW[[#This Row],[local_id]]</f>
        <v>44636130613</v>
      </c>
      <c r="H2848" s="1">
        <f>_xlfn.XLOOKUP(Ocupacao_DW[[#This Row],[Concat]],Vagas!$H:$H,Vagas!$D:$D,"",0)</f>
        <v>0</v>
      </c>
    </row>
    <row r="2849" spans="1:8" x14ac:dyDescent="0.25">
      <c r="A2849" s="2">
        <v>44635</v>
      </c>
      <c r="B2849" s="1" t="s">
        <v>65</v>
      </c>
      <c r="C2849">
        <v>11237</v>
      </c>
      <c r="D2849" s="1" t="s">
        <v>229</v>
      </c>
      <c r="E2849" s="1" t="s">
        <v>4</v>
      </c>
      <c r="F2849">
        <v>46</v>
      </c>
      <c r="G2849" s="1" t="str">
        <f>Ocupacao_DW[[#This Row],[data]]&amp;Ocupacao_DW[[#This Row],[profissional_id]]&amp;Ocupacao_DW[[#This Row],[local_id]]</f>
        <v>446351123746</v>
      </c>
      <c r="H2849" s="1">
        <f>_xlfn.XLOOKUP(Ocupacao_DW[[#This Row],[Concat]],Vagas!$H:$H,Vagas!$D:$D,"",0)</f>
        <v>0</v>
      </c>
    </row>
    <row r="2850" spans="1:8" x14ac:dyDescent="0.25">
      <c r="A2850" s="2">
        <v>44644</v>
      </c>
      <c r="B2850" s="1" t="s">
        <v>55</v>
      </c>
      <c r="C2850">
        <v>8598</v>
      </c>
      <c r="D2850" s="1" t="s">
        <v>228</v>
      </c>
      <c r="E2850" s="1" t="s">
        <v>6</v>
      </c>
      <c r="F2850">
        <v>3</v>
      </c>
      <c r="G2850" s="1" t="str">
        <f>Ocupacao_DW[[#This Row],[data]]&amp;Ocupacao_DW[[#This Row],[profissional_id]]&amp;Ocupacao_DW[[#This Row],[local_id]]</f>
        <v>4464485983</v>
      </c>
      <c r="H2850" s="1">
        <f>_xlfn.XLOOKUP(Ocupacao_DW[[#This Row],[Concat]],Vagas!$H:$H,Vagas!$D:$D,"",0)</f>
        <v>0</v>
      </c>
    </row>
    <row r="2851" spans="1:8" x14ac:dyDescent="0.25">
      <c r="A2851" s="2">
        <v>44635</v>
      </c>
      <c r="B2851" s="1" t="s">
        <v>47</v>
      </c>
      <c r="C2851">
        <v>111</v>
      </c>
      <c r="D2851" s="1" t="s">
        <v>199</v>
      </c>
      <c r="E2851" s="1" t="s">
        <v>4</v>
      </c>
      <c r="F2851">
        <v>51</v>
      </c>
      <c r="G2851" s="1" t="str">
        <f>Ocupacao_DW[[#This Row],[data]]&amp;Ocupacao_DW[[#This Row],[profissional_id]]&amp;Ocupacao_DW[[#This Row],[local_id]]</f>
        <v>4463511151</v>
      </c>
      <c r="H2851" s="1">
        <f>_xlfn.XLOOKUP(Ocupacao_DW[[#This Row],[Concat]],Vagas!$H:$H,Vagas!$D:$D,"",0)</f>
        <v>0</v>
      </c>
    </row>
    <row r="2852" spans="1:8" x14ac:dyDescent="0.25">
      <c r="A2852" s="2">
        <v>44637</v>
      </c>
      <c r="B2852" s="1"/>
      <c r="C2852">
        <v>9111</v>
      </c>
      <c r="D2852" s="1" t="s">
        <v>206</v>
      </c>
      <c r="E2852" s="1" t="s">
        <v>4</v>
      </c>
      <c r="F2852">
        <v>334</v>
      </c>
      <c r="G2852" s="1" t="str">
        <f>Ocupacao_DW[[#This Row],[data]]&amp;Ocupacao_DW[[#This Row],[profissional_id]]&amp;Ocupacao_DW[[#This Row],[local_id]]</f>
        <v>446379111334</v>
      </c>
      <c r="H2852" s="1">
        <f>_xlfn.XLOOKUP(Ocupacao_DW[[#This Row],[Concat]],Vagas!$H:$H,Vagas!$D:$D,"",0)</f>
        <v>0</v>
      </c>
    </row>
    <row r="2853" spans="1:8" x14ac:dyDescent="0.25">
      <c r="A2853" s="2">
        <v>44636</v>
      </c>
      <c r="B2853" s="1" t="s">
        <v>60</v>
      </c>
      <c r="C2853">
        <v>14326</v>
      </c>
      <c r="D2853" s="1" t="s">
        <v>220</v>
      </c>
      <c r="E2853" s="1" t="s">
        <v>4</v>
      </c>
      <c r="F2853">
        <v>43</v>
      </c>
      <c r="G2853" s="1" t="str">
        <f>Ocupacao_DW[[#This Row],[data]]&amp;Ocupacao_DW[[#This Row],[profissional_id]]&amp;Ocupacao_DW[[#This Row],[local_id]]</f>
        <v>446361432643</v>
      </c>
      <c r="H2853" s="1">
        <f>_xlfn.XLOOKUP(Ocupacao_DW[[#This Row],[Concat]],Vagas!$H:$H,Vagas!$D:$D,"",0)</f>
        <v>0</v>
      </c>
    </row>
    <row r="2854" spans="1:8" x14ac:dyDescent="0.25">
      <c r="A2854" s="2">
        <v>44637</v>
      </c>
      <c r="B2854" s="1" t="s">
        <v>54</v>
      </c>
      <c r="C2854">
        <v>69</v>
      </c>
      <c r="D2854" s="1" t="s">
        <v>238</v>
      </c>
      <c r="E2854" s="1" t="s">
        <v>200</v>
      </c>
      <c r="F2854">
        <v>82</v>
      </c>
      <c r="G2854" s="1" t="str">
        <f>Ocupacao_DW[[#This Row],[data]]&amp;Ocupacao_DW[[#This Row],[profissional_id]]&amp;Ocupacao_DW[[#This Row],[local_id]]</f>
        <v>446376982</v>
      </c>
      <c r="H2854" s="1">
        <f>_xlfn.XLOOKUP(Ocupacao_DW[[#This Row],[Concat]],Vagas!$H:$H,Vagas!$D:$D,"",0)</f>
        <v>0</v>
      </c>
    </row>
    <row r="2855" spans="1:8" x14ac:dyDescent="0.25">
      <c r="A2855" s="2">
        <v>44635</v>
      </c>
      <c r="B2855" s="1" t="s">
        <v>65</v>
      </c>
      <c r="C2855">
        <v>11237</v>
      </c>
      <c r="D2855" s="1" t="s">
        <v>229</v>
      </c>
      <c r="E2855" s="1" t="s">
        <v>4</v>
      </c>
      <c r="F2855">
        <v>46</v>
      </c>
      <c r="G2855" s="1" t="str">
        <f>Ocupacao_DW[[#This Row],[data]]&amp;Ocupacao_DW[[#This Row],[profissional_id]]&amp;Ocupacao_DW[[#This Row],[local_id]]</f>
        <v>446351123746</v>
      </c>
      <c r="H2855" s="1">
        <f>_xlfn.XLOOKUP(Ocupacao_DW[[#This Row],[Concat]],Vagas!$H:$H,Vagas!$D:$D,"",0)</f>
        <v>0</v>
      </c>
    </row>
    <row r="2856" spans="1:8" x14ac:dyDescent="0.25">
      <c r="A2856" s="2">
        <v>44635</v>
      </c>
      <c r="B2856" s="1" t="s">
        <v>55</v>
      </c>
      <c r="C2856">
        <v>2984</v>
      </c>
      <c r="D2856" s="1" t="s">
        <v>185</v>
      </c>
      <c r="E2856" s="1" t="s">
        <v>6</v>
      </c>
      <c r="F2856">
        <v>7</v>
      </c>
      <c r="G2856" s="1" t="str">
        <f>Ocupacao_DW[[#This Row],[data]]&amp;Ocupacao_DW[[#This Row],[profissional_id]]&amp;Ocupacao_DW[[#This Row],[local_id]]</f>
        <v>4463529847</v>
      </c>
      <c r="H2856" s="1">
        <f>_xlfn.XLOOKUP(Ocupacao_DW[[#This Row],[Concat]],Vagas!$H:$H,Vagas!$D:$D,"",0)</f>
        <v>0</v>
      </c>
    </row>
    <row r="2857" spans="1:8" x14ac:dyDescent="0.25">
      <c r="A2857" s="2">
        <v>44635</v>
      </c>
      <c r="B2857" s="1" t="s">
        <v>49</v>
      </c>
      <c r="C2857">
        <v>81</v>
      </c>
      <c r="D2857" s="1" t="s">
        <v>170</v>
      </c>
      <c r="E2857" s="1" t="s">
        <v>4</v>
      </c>
      <c r="F2857">
        <v>41</v>
      </c>
      <c r="G2857" s="1" t="str">
        <f>Ocupacao_DW[[#This Row],[data]]&amp;Ocupacao_DW[[#This Row],[profissional_id]]&amp;Ocupacao_DW[[#This Row],[local_id]]</f>
        <v>446358141</v>
      </c>
      <c r="H2857" s="1">
        <f>_xlfn.XLOOKUP(Ocupacao_DW[[#This Row],[Concat]],Vagas!$H:$H,Vagas!$D:$D,"",0)</f>
        <v>0</v>
      </c>
    </row>
    <row r="2858" spans="1:8" x14ac:dyDescent="0.25">
      <c r="A2858" s="2">
        <v>44636</v>
      </c>
      <c r="B2858" s="1" t="s">
        <v>62</v>
      </c>
      <c r="C2858">
        <v>3502</v>
      </c>
      <c r="D2858" s="1" t="s">
        <v>214</v>
      </c>
      <c r="E2858" s="1" t="s">
        <v>5</v>
      </c>
      <c r="F2858">
        <v>16</v>
      </c>
      <c r="G2858" s="1" t="str">
        <f>Ocupacao_DW[[#This Row],[data]]&amp;Ocupacao_DW[[#This Row],[profissional_id]]&amp;Ocupacao_DW[[#This Row],[local_id]]</f>
        <v>44636350216</v>
      </c>
      <c r="H2858" s="1">
        <f>_xlfn.XLOOKUP(Ocupacao_DW[[#This Row],[Concat]],Vagas!$H:$H,Vagas!$D:$D,"",0)</f>
        <v>0</v>
      </c>
    </row>
    <row r="2859" spans="1:8" x14ac:dyDescent="0.25">
      <c r="A2859" s="2">
        <v>44638</v>
      </c>
      <c r="B2859" s="1" t="s">
        <v>72</v>
      </c>
      <c r="C2859">
        <v>13479</v>
      </c>
      <c r="D2859" s="1" t="s">
        <v>203</v>
      </c>
      <c r="E2859" s="1" t="s">
        <v>200</v>
      </c>
      <c r="F2859">
        <v>83</v>
      </c>
      <c r="G2859" s="1" t="str">
        <f>Ocupacao_DW[[#This Row],[data]]&amp;Ocupacao_DW[[#This Row],[profissional_id]]&amp;Ocupacao_DW[[#This Row],[local_id]]</f>
        <v>446381347983</v>
      </c>
      <c r="H2859" s="1">
        <f>_xlfn.XLOOKUP(Ocupacao_DW[[#This Row],[Concat]],Vagas!$H:$H,Vagas!$D:$D,"",0)</f>
        <v>0</v>
      </c>
    </row>
    <row r="2860" spans="1:8" x14ac:dyDescent="0.25">
      <c r="A2860" s="2">
        <v>44650</v>
      </c>
      <c r="B2860" s="1" t="s">
        <v>24</v>
      </c>
      <c r="C2860">
        <v>13061</v>
      </c>
      <c r="D2860" s="1" t="s">
        <v>232</v>
      </c>
      <c r="E2860" s="1" t="s">
        <v>6</v>
      </c>
      <c r="F2860">
        <v>3</v>
      </c>
      <c r="G2860" s="1" t="str">
        <f>Ocupacao_DW[[#This Row],[data]]&amp;Ocupacao_DW[[#This Row],[profissional_id]]&amp;Ocupacao_DW[[#This Row],[local_id]]</f>
        <v>44650130613</v>
      </c>
      <c r="H2860" s="1">
        <f>_xlfn.XLOOKUP(Ocupacao_DW[[#This Row],[Concat]],Vagas!$H:$H,Vagas!$D:$D,"",0)</f>
        <v>0</v>
      </c>
    </row>
    <row r="2861" spans="1:8" x14ac:dyDescent="0.25">
      <c r="A2861" s="2">
        <v>44649</v>
      </c>
      <c r="B2861" s="1" t="s">
        <v>55</v>
      </c>
      <c r="C2861">
        <v>73</v>
      </c>
      <c r="D2861" s="1" t="s">
        <v>171</v>
      </c>
      <c r="E2861" s="1" t="s">
        <v>6</v>
      </c>
      <c r="F2861">
        <v>5</v>
      </c>
      <c r="G2861" s="1" t="str">
        <f>Ocupacao_DW[[#This Row],[data]]&amp;Ocupacao_DW[[#This Row],[profissional_id]]&amp;Ocupacao_DW[[#This Row],[local_id]]</f>
        <v>44649735</v>
      </c>
      <c r="H2861" s="1">
        <f>_xlfn.XLOOKUP(Ocupacao_DW[[#This Row],[Concat]],Vagas!$H:$H,Vagas!$D:$D,"",0)</f>
        <v>0</v>
      </c>
    </row>
    <row r="2862" spans="1:8" x14ac:dyDescent="0.25">
      <c r="A2862" s="2">
        <v>44636</v>
      </c>
      <c r="B2862" s="1" t="s">
        <v>47</v>
      </c>
      <c r="C2862">
        <v>110</v>
      </c>
      <c r="D2862" s="1" t="s">
        <v>193</v>
      </c>
      <c r="E2862" s="1" t="s">
        <v>4</v>
      </c>
      <c r="F2862">
        <v>51</v>
      </c>
      <c r="G2862" s="1" t="str">
        <f>Ocupacao_DW[[#This Row],[data]]&amp;Ocupacao_DW[[#This Row],[profissional_id]]&amp;Ocupacao_DW[[#This Row],[local_id]]</f>
        <v>4463611051</v>
      </c>
      <c r="H2862" s="1" t="str">
        <f>_xlfn.XLOOKUP(Ocupacao_DW[[#This Row],[Concat]],Vagas!$H:$H,Vagas!$D:$D,"",0)</f>
        <v/>
      </c>
    </row>
    <row r="2863" spans="1:8" x14ac:dyDescent="0.25">
      <c r="A2863" s="2">
        <v>44638</v>
      </c>
      <c r="B2863" s="1" t="s">
        <v>52</v>
      </c>
      <c r="C2863">
        <v>10691</v>
      </c>
      <c r="D2863" s="1" t="s">
        <v>181</v>
      </c>
      <c r="E2863" s="1" t="s">
        <v>200</v>
      </c>
      <c r="F2863">
        <v>78</v>
      </c>
      <c r="G2863" s="1" t="str">
        <f>Ocupacao_DW[[#This Row],[data]]&amp;Ocupacao_DW[[#This Row],[profissional_id]]&amp;Ocupacao_DW[[#This Row],[local_id]]</f>
        <v>446381069178</v>
      </c>
      <c r="H2863" s="1">
        <f>_xlfn.XLOOKUP(Ocupacao_DW[[#This Row],[Concat]],Vagas!$H:$H,Vagas!$D:$D,"",0)</f>
        <v>0</v>
      </c>
    </row>
    <row r="2864" spans="1:8" x14ac:dyDescent="0.25">
      <c r="A2864" s="2">
        <v>44635</v>
      </c>
      <c r="B2864" s="1" t="s">
        <v>47</v>
      </c>
      <c r="C2864">
        <v>9111</v>
      </c>
      <c r="D2864" s="1" t="s">
        <v>206</v>
      </c>
      <c r="E2864" s="1" t="s">
        <v>4</v>
      </c>
      <c r="F2864">
        <v>335</v>
      </c>
      <c r="G2864" s="1" t="str">
        <f>Ocupacao_DW[[#This Row],[data]]&amp;Ocupacao_DW[[#This Row],[profissional_id]]&amp;Ocupacao_DW[[#This Row],[local_id]]</f>
        <v>446359111335</v>
      </c>
      <c r="H2864" s="1">
        <f>_xlfn.XLOOKUP(Ocupacao_DW[[#This Row],[Concat]],Vagas!$H:$H,Vagas!$D:$D,"",0)</f>
        <v>0</v>
      </c>
    </row>
    <row r="2865" spans="1:8" x14ac:dyDescent="0.25">
      <c r="A2865" s="2">
        <v>44635</v>
      </c>
      <c r="B2865" s="1" t="s">
        <v>62</v>
      </c>
      <c r="C2865">
        <v>3502</v>
      </c>
      <c r="D2865" s="1" t="s">
        <v>214</v>
      </c>
      <c r="E2865" s="1" t="s">
        <v>5</v>
      </c>
      <c r="F2865">
        <v>16</v>
      </c>
      <c r="G2865" s="1" t="str">
        <f>Ocupacao_DW[[#This Row],[data]]&amp;Ocupacao_DW[[#This Row],[profissional_id]]&amp;Ocupacao_DW[[#This Row],[local_id]]</f>
        <v>44635350216</v>
      </c>
      <c r="H2865" s="1">
        <f>_xlfn.XLOOKUP(Ocupacao_DW[[#This Row],[Concat]],Vagas!$H:$H,Vagas!$D:$D,"",0)</f>
        <v>0</v>
      </c>
    </row>
    <row r="2866" spans="1:8" x14ac:dyDescent="0.25">
      <c r="A2866" s="2">
        <v>44650</v>
      </c>
      <c r="B2866" s="1" t="s">
        <v>55</v>
      </c>
      <c r="C2866">
        <v>74</v>
      </c>
      <c r="D2866" s="1" t="s">
        <v>182</v>
      </c>
      <c r="E2866" s="1" t="s">
        <v>6</v>
      </c>
      <c r="F2866">
        <v>7</v>
      </c>
      <c r="G2866" s="1" t="str">
        <f>Ocupacao_DW[[#This Row],[data]]&amp;Ocupacao_DW[[#This Row],[profissional_id]]&amp;Ocupacao_DW[[#This Row],[local_id]]</f>
        <v>44650747</v>
      </c>
      <c r="H2866" s="1">
        <f>_xlfn.XLOOKUP(Ocupacao_DW[[#This Row],[Concat]],Vagas!$H:$H,Vagas!$D:$D,"",0)</f>
        <v>0</v>
      </c>
    </row>
    <row r="2867" spans="1:8" x14ac:dyDescent="0.25">
      <c r="A2867" s="2">
        <v>44635</v>
      </c>
      <c r="B2867" s="1" t="s">
        <v>55</v>
      </c>
      <c r="C2867">
        <v>60</v>
      </c>
      <c r="D2867" s="1" t="s">
        <v>217</v>
      </c>
      <c r="E2867" s="1" t="s">
        <v>167</v>
      </c>
      <c r="F2867">
        <v>345</v>
      </c>
      <c r="G2867" s="1" t="str">
        <f>Ocupacao_DW[[#This Row],[data]]&amp;Ocupacao_DW[[#This Row],[profissional_id]]&amp;Ocupacao_DW[[#This Row],[local_id]]</f>
        <v>4463560345</v>
      </c>
      <c r="H2867" s="1">
        <f>_xlfn.XLOOKUP(Ocupacao_DW[[#This Row],[Concat]],Vagas!$H:$H,Vagas!$D:$D,"",0)</f>
        <v>0</v>
      </c>
    </row>
    <row r="2868" spans="1:8" x14ac:dyDescent="0.25">
      <c r="A2868" s="2">
        <v>44637</v>
      </c>
      <c r="B2868" s="1" t="s">
        <v>52</v>
      </c>
      <c r="C2868">
        <v>60</v>
      </c>
      <c r="D2868" s="1" t="s">
        <v>217</v>
      </c>
      <c r="E2868" s="1" t="s">
        <v>167</v>
      </c>
      <c r="F2868">
        <v>346</v>
      </c>
      <c r="G2868" s="1" t="str">
        <f>Ocupacao_DW[[#This Row],[data]]&amp;Ocupacao_DW[[#This Row],[profissional_id]]&amp;Ocupacao_DW[[#This Row],[local_id]]</f>
        <v>4463760346</v>
      </c>
      <c r="H2868" s="1">
        <f>_xlfn.XLOOKUP(Ocupacao_DW[[#This Row],[Concat]],Vagas!$H:$H,Vagas!$D:$D,"",0)</f>
        <v>0</v>
      </c>
    </row>
    <row r="2869" spans="1:8" x14ac:dyDescent="0.25">
      <c r="A2869" s="2">
        <v>44635</v>
      </c>
      <c r="B2869" s="1"/>
      <c r="C2869">
        <v>0</v>
      </c>
      <c r="D2869" s="1"/>
      <c r="E2869" s="1" t="s">
        <v>4</v>
      </c>
      <c r="F2869">
        <v>40</v>
      </c>
      <c r="G2869" s="1" t="str">
        <f>Ocupacao_DW[[#This Row],[data]]&amp;Ocupacao_DW[[#This Row],[profissional_id]]&amp;Ocupacao_DW[[#This Row],[local_id]]</f>
        <v>44635040</v>
      </c>
      <c r="H2869" s="1" t="str">
        <f>_xlfn.XLOOKUP(Ocupacao_DW[[#This Row],[Concat]],Vagas!$H:$H,Vagas!$D:$D,"",0)</f>
        <v/>
      </c>
    </row>
    <row r="2870" spans="1:8" x14ac:dyDescent="0.25">
      <c r="A2870" s="2">
        <v>44635</v>
      </c>
      <c r="B2870" s="1" t="s">
        <v>47</v>
      </c>
      <c r="C2870">
        <v>110</v>
      </c>
      <c r="D2870" s="1" t="s">
        <v>193</v>
      </c>
      <c r="E2870" s="1" t="s">
        <v>4</v>
      </c>
      <c r="F2870">
        <v>334</v>
      </c>
      <c r="G2870" s="1" t="str">
        <f>Ocupacao_DW[[#This Row],[data]]&amp;Ocupacao_DW[[#This Row],[profissional_id]]&amp;Ocupacao_DW[[#This Row],[local_id]]</f>
        <v>44635110334</v>
      </c>
      <c r="H2870" s="1">
        <f>_xlfn.XLOOKUP(Ocupacao_DW[[#This Row],[Concat]],Vagas!$H:$H,Vagas!$D:$D,"",0)</f>
        <v>0</v>
      </c>
    </row>
    <row r="2871" spans="1:8" x14ac:dyDescent="0.25">
      <c r="A2871" s="2">
        <v>44635</v>
      </c>
      <c r="B2871" s="1" t="s">
        <v>47</v>
      </c>
      <c r="C2871">
        <v>110</v>
      </c>
      <c r="D2871" s="1" t="s">
        <v>193</v>
      </c>
      <c r="E2871" s="1" t="s">
        <v>4</v>
      </c>
      <c r="F2871">
        <v>334</v>
      </c>
      <c r="G2871" s="1" t="str">
        <f>Ocupacao_DW[[#This Row],[data]]&amp;Ocupacao_DW[[#This Row],[profissional_id]]&amp;Ocupacao_DW[[#This Row],[local_id]]</f>
        <v>44635110334</v>
      </c>
      <c r="H2871" s="1">
        <f>_xlfn.XLOOKUP(Ocupacao_DW[[#This Row],[Concat]],Vagas!$H:$H,Vagas!$D:$D,"",0)</f>
        <v>0</v>
      </c>
    </row>
    <row r="2872" spans="1:8" x14ac:dyDescent="0.25">
      <c r="A2872" s="2">
        <v>44635</v>
      </c>
      <c r="B2872" s="1"/>
      <c r="C2872">
        <v>0</v>
      </c>
      <c r="D2872" s="1"/>
      <c r="E2872" s="1" t="s">
        <v>4</v>
      </c>
      <c r="F2872">
        <v>39</v>
      </c>
      <c r="G2872" s="1" t="str">
        <f>Ocupacao_DW[[#This Row],[data]]&amp;Ocupacao_DW[[#This Row],[profissional_id]]&amp;Ocupacao_DW[[#This Row],[local_id]]</f>
        <v>44635039</v>
      </c>
      <c r="H2872" s="1" t="str">
        <f>_xlfn.XLOOKUP(Ocupacao_DW[[#This Row],[Concat]],Vagas!$H:$H,Vagas!$D:$D,"",0)</f>
        <v/>
      </c>
    </row>
    <row r="2873" spans="1:8" x14ac:dyDescent="0.25">
      <c r="A2873" s="2">
        <v>44636</v>
      </c>
      <c r="B2873" s="1" t="s">
        <v>70</v>
      </c>
      <c r="C2873">
        <v>12825</v>
      </c>
      <c r="D2873" s="1" t="s">
        <v>177</v>
      </c>
      <c r="E2873" s="1" t="s">
        <v>4</v>
      </c>
      <c r="F2873">
        <v>45</v>
      </c>
      <c r="G2873" s="1" t="str">
        <f>Ocupacao_DW[[#This Row],[data]]&amp;Ocupacao_DW[[#This Row],[profissional_id]]&amp;Ocupacao_DW[[#This Row],[local_id]]</f>
        <v>446361282545</v>
      </c>
      <c r="H2873" s="1">
        <f>_xlfn.XLOOKUP(Ocupacao_DW[[#This Row],[Concat]],Vagas!$H:$H,Vagas!$D:$D,"",0)</f>
        <v>0</v>
      </c>
    </row>
    <row r="2874" spans="1:8" x14ac:dyDescent="0.25">
      <c r="A2874" s="2">
        <v>44636</v>
      </c>
      <c r="B2874" s="1" t="s">
        <v>60</v>
      </c>
      <c r="C2874">
        <v>14326</v>
      </c>
      <c r="D2874" s="1" t="s">
        <v>220</v>
      </c>
      <c r="E2874" s="1" t="s">
        <v>4</v>
      </c>
      <c r="F2874">
        <v>43</v>
      </c>
      <c r="G2874" s="1" t="str">
        <f>Ocupacao_DW[[#This Row],[data]]&amp;Ocupacao_DW[[#This Row],[profissional_id]]&amp;Ocupacao_DW[[#This Row],[local_id]]</f>
        <v>446361432643</v>
      </c>
      <c r="H2874" s="1">
        <f>_xlfn.XLOOKUP(Ocupacao_DW[[#This Row],[Concat]],Vagas!$H:$H,Vagas!$D:$D,"",0)</f>
        <v>0</v>
      </c>
    </row>
    <row r="2875" spans="1:8" x14ac:dyDescent="0.25">
      <c r="A2875" s="2">
        <v>44635</v>
      </c>
      <c r="B2875" s="1" t="s">
        <v>52</v>
      </c>
      <c r="C2875">
        <v>13061</v>
      </c>
      <c r="D2875" s="1" t="s">
        <v>232</v>
      </c>
      <c r="E2875" s="1" t="s">
        <v>6</v>
      </c>
      <c r="F2875">
        <v>9</v>
      </c>
      <c r="G2875" s="1" t="str">
        <f>Ocupacao_DW[[#This Row],[data]]&amp;Ocupacao_DW[[#This Row],[profissional_id]]&amp;Ocupacao_DW[[#This Row],[local_id]]</f>
        <v>44635130619</v>
      </c>
      <c r="H2875" s="1">
        <f>_xlfn.XLOOKUP(Ocupacao_DW[[#This Row],[Concat]],Vagas!$H:$H,Vagas!$D:$D,"",0)</f>
        <v>0</v>
      </c>
    </row>
    <row r="2876" spans="1:8" x14ac:dyDescent="0.25">
      <c r="A2876" s="2">
        <v>44636</v>
      </c>
      <c r="B2876" s="1" t="s">
        <v>52</v>
      </c>
      <c r="C2876">
        <v>10691</v>
      </c>
      <c r="D2876" s="1" t="s">
        <v>181</v>
      </c>
      <c r="E2876" s="1" t="s">
        <v>6</v>
      </c>
      <c r="F2876">
        <v>9</v>
      </c>
      <c r="G2876" s="1" t="str">
        <f>Ocupacao_DW[[#This Row],[data]]&amp;Ocupacao_DW[[#This Row],[profissional_id]]&amp;Ocupacao_DW[[#This Row],[local_id]]</f>
        <v>44636106919</v>
      </c>
      <c r="H2876" s="1">
        <f>_xlfn.XLOOKUP(Ocupacao_DW[[#This Row],[Concat]],Vagas!$H:$H,Vagas!$D:$D,"",0)</f>
        <v>0</v>
      </c>
    </row>
    <row r="2877" spans="1:8" x14ac:dyDescent="0.25">
      <c r="A2877" s="2">
        <v>44641</v>
      </c>
      <c r="B2877" s="1" t="s">
        <v>47</v>
      </c>
      <c r="C2877">
        <v>12679</v>
      </c>
      <c r="D2877" s="1" t="s">
        <v>192</v>
      </c>
      <c r="E2877" s="1" t="s">
        <v>4</v>
      </c>
      <c r="F2877">
        <v>334</v>
      </c>
      <c r="G2877" s="1" t="str">
        <f>Ocupacao_DW[[#This Row],[data]]&amp;Ocupacao_DW[[#This Row],[profissional_id]]&amp;Ocupacao_DW[[#This Row],[local_id]]</f>
        <v>4464112679334</v>
      </c>
      <c r="H2877" s="1">
        <f>_xlfn.XLOOKUP(Ocupacao_DW[[#This Row],[Concat]],Vagas!$H:$H,Vagas!$D:$D,"",0)</f>
        <v>0</v>
      </c>
    </row>
    <row r="2878" spans="1:8" x14ac:dyDescent="0.25">
      <c r="A2878" s="2">
        <v>44639</v>
      </c>
      <c r="B2878" s="1" t="s">
        <v>52</v>
      </c>
      <c r="C2878">
        <v>60</v>
      </c>
      <c r="D2878" s="1" t="s">
        <v>217</v>
      </c>
      <c r="E2878" s="1" t="s">
        <v>6</v>
      </c>
      <c r="F2878">
        <v>8</v>
      </c>
      <c r="G2878" s="1" t="str">
        <f>Ocupacao_DW[[#This Row],[data]]&amp;Ocupacao_DW[[#This Row],[profissional_id]]&amp;Ocupacao_DW[[#This Row],[local_id]]</f>
        <v>44639608</v>
      </c>
      <c r="H2878" s="1">
        <f>_xlfn.XLOOKUP(Ocupacao_DW[[#This Row],[Concat]],Vagas!$H:$H,Vagas!$D:$D,"",0)</f>
        <v>0</v>
      </c>
    </row>
    <row r="2879" spans="1:8" x14ac:dyDescent="0.25">
      <c r="A2879" s="2">
        <v>44636</v>
      </c>
      <c r="B2879" s="1" t="s">
        <v>64</v>
      </c>
      <c r="C2879">
        <v>531</v>
      </c>
      <c r="D2879" s="1" t="s">
        <v>213</v>
      </c>
      <c r="E2879" s="1" t="s">
        <v>5</v>
      </c>
      <c r="F2879">
        <v>12</v>
      </c>
      <c r="G2879" s="1" t="str">
        <f>Ocupacao_DW[[#This Row],[data]]&amp;Ocupacao_DW[[#This Row],[profissional_id]]&amp;Ocupacao_DW[[#This Row],[local_id]]</f>
        <v>4463653112</v>
      </c>
      <c r="H2879" s="1">
        <f>_xlfn.XLOOKUP(Ocupacao_DW[[#This Row],[Concat]],Vagas!$H:$H,Vagas!$D:$D,"",0)</f>
        <v>0</v>
      </c>
    </row>
    <row r="2880" spans="1:8" x14ac:dyDescent="0.25">
      <c r="A2880" s="2">
        <v>44638</v>
      </c>
      <c r="B2880" s="1" t="s">
        <v>49</v>
      </c>
      <c r="C2880">
        <v>81</v>
      </c>
      <c r="D2880" s="1" t="s">
        <v>170</v>
      </c>
      <c r="E2880" s="1" t="s">
        <v>4</v>
      </c>
      <c r="F2880">
        <v>41</v>
      </c>
      <c r="G2880" s="1" t="str">
        <f>Ocupacao_DW[[#This Row],[data]]&amp;Ocupacao_DW[[#This Row],[profissional_id]]&amp;Ocupacao_DW[[#This Row],[local_id]]</f>
        <v>446388141</v>
      </c>
      <c r="H2880" s="1">
        <f>_xlfn.XLOOKUP(Ocupacao_DW[[#This Row],[Concat]],Vagas!$H:$H,Vagas!$D:$D,"",0)</f>
        <v>0</v>
      </c>
    </row>
    <row r="2881" spans="1:8" x14ac:dyDescent="0.25">
      <c r="A2881" s="2">
        <v>44656</v>
      </c>
      <c r="B2881" s="1" t="s">
        <v>71</v>
      </c>
      <c r="C2881">
        <v>282</v>
      </c>
      <c r="D2881" s="1" t="s">
        <v>210</v>
      </c>
      <c r="E2881" s="1" t="s">
        <v>4</v>
      </c>
      <c r="F2881">
        <v>48</v>
      </c>
      <c r="G2881" s="1" t="str">
        <f>Ocupacao_DW[[#This Row],[data]]&amp;Ocupacao_DW[[#This Row],[profissional_id]]&amp;Ocupacao_DW[[#This Row],[local_id]]</f>
        <v>4465628248</v>
      </c>
      <c r="H2881" s="1">
        <f>_xlfn.XLOOKUP(Ocupacao_DW[[#This Row],[Concat]],Vagas!$H:$H,Vagas!$D:$D,"",0)</f>
        <v>0</v>
      </c>
    </row>
    <row r="2882" spans="1:8" x14ac:dyDescent="0.25">
      <c r="A2882" s="2">
        <v>44637</v>
      </c>
      <c r="B2882" s="1" t="s">
        <v>55</v>
      </c>
      <c r="C2882">
        <v>12426</v>
      </c>
      <c r="D2882" s="1" t="s">
        <v>215</v>
      </c>
      <c r="E2882" s="1" t="s">
        <v>6</v>
      </c>
      <c r="F2882">
        <v>5</v>
      </c>
      <c r="G2882" s="1" t="str">
        <f>Ocupacao_DW[[#This Row],[data]]&amp;Ocupacao_DW[[#This Row],[profissional_id]]&amp;Ocupacao_DW[[#This Row],[local_id]]</f>
        <v>44637124265</v>
      </c>
      <c r="H2882" s="1">
        <f>_xlfn.XLOOKUP(Ocupacao_DW[[#This Row],[Concat]],Vagas!$H:$H,Vagas!$D:$D,"",0)</f>
        <v>0</v>
      </c>
    </row>
    <row r="2883" spans="1:8" x14ac:dyDescent="0.25">
      <c r="A2883" s="2">
        <v>44650</v>
      </c>
      <c r="B2883" s="1" t="s">
        <v>55</v>
      </c>
      <c r="C2883">
        <v>73</v>
      </c>
      <c r="D2883" s="1" t="s">
        <v>171</v>
      </c>
      <c r="E2883" s="1" t="s">
        <v>6</v>
      </c>
      <c r="F2883">
        <v>5</v>
      </c>
      <c r="G2883" s="1" t="str">
        <f>Ocupacao_DW[[#This Row],[data]]&amp;Ocupacao_DW[[#This Row],[profissional_id]]&amp;Ocupacao_DW[[#This Row],[local_id]]</f>
        <v>44650735</v>
      </c>
      <c r="H2883" s="1">
        <f>_xlfn.XLOOKUP(Ocupacao_DW[[#This Row],[Concat]],Vagas!$H:$H,Vagas!$D:$D,"",0)</f>
        <v>0</v>
      </c>
    </row>
    <row r="2884" spans="1:8" x14ac:dyDescent="0.25">
      <c r="A2884" s="2">
        <v>44636</v>
      </c>
      <c r="B2884" s="1" t="s">
        <v>52</v>
      </c>
      <c r="C2884">
        <v>60</v>
      </c>
      <c r="D2884" s="1" t="s">
        <v>217</v>
      </c>
      <c r="E2884" s="1" t="s">
        <v>167</v>
      </c>
      <c r="F2884">
        <v>346</v>
      </c>
      <c r="G2884" s="1" t="str">
        <f>Ocupacao_DW[[#This Row],[data]]&amp;Ocupacao_DW[[#This Row],[profissional_id]]&amp;Ocupacao_DW[[#This Row],[local_id]]</f>
        <v>4463660346</v>
      </c>
      <c r="H2884" s="1">
        <f>_xlfn.XLOOKUP(Ocupacao_DW[[#This Row],[Concat]],Vagas!$H:$H,Vagas!$D:$D,"",0)</f>
        <v>0</v>
      </c>
    </row>
    <row r="2885" spans="1:8" x14ac:dyDescent="0.25">
      <c r="A2885" s="2">
        <v>44648</v>
      </c>
      <c r="B2885" s="1" t="s">
        <v>69</v>
      </c>
      <c r="C2885">
        <v>13249</v>
      </c>
      <c r="D2885" s="1" t="s">
        <v>178</v>
      </c>
      <c r="E2885" s="1" t="s">
        <v>4</v>
      </c>
      <c r="F2885">
        <v>45</v>
      </c>
      <c r="G2885" s="1" t="str">
        <f>Ocupacao_DW[[#This Row],[data]]&amp;Ocupacao_DW[[#This Row],[profissional_id]]&amp;Ocupacao_DW[[#This Row],[local_id]]</f>
        <v>446481324945</v>
      </c>
      <c r="H2885" s="1">
        <f>_xlfn.XLOOKUP(Ocupacao_DW[[#This Row],[Concat]],Vagas!$H:$H,Vagas!$D:$D,"",0)</f>
        <v>0</v>
      </c>
    </row>
    <row r="2886" spans="1:8" x14ac:dyDescent="0.25">
      <c r="A2886" s="2">
        <v>44636</v>
      </c>
      <c r="B2886" s="1" t="s">
        <v>72</v>
      </c>
      <c r="C2886">
        <v>1794</v>
      </c>
      <c r="D2886" s="1" t="s">
        <v>235</v>
      </c>
      <c r="E2886" s="1" t="s">
        <v>4</v>
      </c>
      <c r="F2886">
        <v>49</v>
      </c>
      <c r="G2886" s="1" t="str">
        <f>Ocupacao_DW[[#This Row],[data]]&amp;Ocupacao_DW[[#This Row],[profissional_id]]&amp;Ocupacao_DW[[#This Row],[local_id]]</f>
        <v>44636179449</v>
      </c>
      <c r="H2886" s="1">
        <f>_xlfn.XLOOKUP(Ocupacao_DW[[#This Row],[Concat]],Vagas!$H:$H,Vagas!$D:$D,"",0)</f>
        <v>0</v>
      </c>
    </row>
    <row r="2887" spans="1:8" x14ac:dyDescent="0.25">
      <c r="A2887" s="2">
        <v>44655</v>
      </c>
      <c r="B2887" s="1" t="s">
        <v>52</v>
      </c>
      <c r="C2887">
        <v>10691</v>
      </c>
      <c r="D2887" s="1" t="s">
        <v>181</v>
      </c>
      <c r="E2887" s="1" t="s">
        <v>6</v>
      </c>
      <c r="F2887">
        <v>9</v>
      </c>
      <c r="G2887" s="1" t="str">
        <f>Ocupacao_DW[[#This Row],[data]]&amp;Ocupacao_DW[[#This Row],[profissional_id]]&amp;Ocupacao_DW[[#This Row],[local_id]]</f>
        <v>44655106919</v>
      </c>
      <c r="H2887" s="1">
        <f>_xlfn.XLOOKUP(Ocupacao_DW[[#This Row],[Concat]],Vagas!$H:$H,Vagas!$D:$D,"",0)</f>
        <v>0</v>
      </c>
    </row>
    <row r="2888" spans="1:8" x14ac:dyDescent="0.25">
      <c r="A2888" s="2">
        <v>44636</v>
      </c>
      <c r="B2888" s="1" t="s">
        <v>52</v>
      </c>
      <c r="C2888">
        <v>10691</v>
      </c>
      <c r="D2888" s="1" t="s">
        <v>181</v>
      </c>
      <c r="E2888" s="1" t="s">
        <v>6</v>
      </c>
      <c r="F2888">
        <v>9</v>
      </c>
      <c r="G2888" s="1" t="str">
        <f>Ocupacao_DW[[#This Row],[data]]&amp;Ocupacao_DW[[#This Row],[profissional_id]]&amp;Ocupacao_DW[[#This Row],[local_id]]</f>
        <v>44636106919</v>
      </c>
      <c r="H2888" s="1">
        <f>_xlfn.XLOOKUP(Ocupacao_DW[[#This Row],[Concat]],Vagas!$H:$H,Vagas!$D:$D,"",0)</f>
        <v>0</v>
      </c>
    </row>
    <row r="2889" spans="1:8" x14ac:dyDescent="0.25">
      <c r="A2889" s="2">
        <v>44657</v>
      </c>
      <c r="B2889" s="1" t="s">
        <v>62</v>
      </c>
      <c r="C2889">
        <v>2567</v>
      </c>
      <c r="D2889" s="1" t="s">
        <v>198</v>
      </c>
      <c r="E2889" s="1" t="s">
        <v>5</v>
      </c>
      <c r="F2889">
        <v>349</v>
      </c>
      <c r="G2889" s="1" t="str">
        <f>Ocupacao_DW[[#This Row],[data]]&amp;Ocupacao_DW[[#This Row],[profissional_id]]&amp;Ocupacao_DW[[#This Row],[local_id]]</f>
        <v>446572567349</v>
      </c>
      <c r="H2889" s="1">
        <f>_xlfn.XLOOKUP(Ocupacao_DW[[#This Row],[Concat]],Vagas!$H:$H,Vagas!$D:$D,"",0)</f>
        <v>0</v>
      </c>
    </row>
    <row r="2890" spans="1:8" x14ac:dyDescent="0.25">
      <c r="A2890" s="2">
        <v>44636</v>
      </c>
      <c r="B2890" s="1" t="s">
        <v>56</v>
      </c>
      <c r="C2890">
        <v>5927</v>
      </c>
      <c r="D2890" s="1" t="s">
        <v>226</v>
      </c>
      <c r="E2890" s="1" t="s">
        <v>5</v>
      </c>
      <c r="F2890">
        <v>17</v>
      </c>
      <c r="G2890" s="1" t="str">
        <f>Ocupacao_DW[[#This Row],[data]]&amp;Ocupacao_DW[[#This Row],[profissional_id]]&amp;Ocupacao_DW[[#This Row],[local_id]]</f>
        <v>44636592717</v>
      </c>
      <c r="H2890" s="1">
        <f>_xlfn.XLOOKUP(Ocupacao_DW[[#This Row],[Concat]],Vagas!$H:$H,Vagas!$D:$D,"",0)</f>
        <v>0</v>
      </c>
    </row>
    <row r="2891" spans="1:8" x14ac:dyDescent="0.25">
      <c r="A2891" s="2">
        <v>44635</v>
      </c>
      <c r="B2891" s="1" t="s">
        <v>49</v>
      </c>
      <c r="C2891">
        <v>266</v>
      </c>
      <c r="D2891" s="1" t="s">
        <v>201</v>
      </c>
      <c r="E2891" s="1" t="s">
        <v>4</v>
      </c>
      <c r="F2891">
        <v>42</v>
      </c>
      <c r="G2891" s="1" t="str">
        <f>Ocupacao_DW[[#This Row],[data]]&amp;Ocupacao_DW[[#This Row],[profissional_id]]&amp;Ocupacao_DW[[#This Row],[local_id]]</f>
        <v>4463526642</v>
      </c>
      <c r="H2891" s="1">
        <f>_xlfn.XLOOKUP(Ocupacao_DW[[#This Row],[Concat]],Vagas!$H:$H,Vagas!$D:$D,"",0)</f>
        <v>0</v>
      </c>
    </row>
    <row r="2892" spans="1:8" x14ac:dyDescent="0.25">
      <c r="A2892" s="2">
        <v>44635</v>
      </c>
      <c r="B2892" s="1" t="s">
        <v>67</v>
      </c>
      <c r="C2892">
        <v>7290</v>
      </c>
      <c r="D2892" s="1" t="s">
        <v>247</v>
      </c>
      <c r="E2892" s="1" t="s">
        <v>5</v>
      </c>
      <c r="F2892">
        <v>18</v>
      </c>
      <c r="G2892" s="1" t="str">
        <f>Ocupacao_DW[[#This Row],[data]]&amp;Ocupacao_DW[[#This Row],[profissional_id]]&amp;Ocupacao_DW[[#This Row],[local_id]]</f>
        <v>44635729018</v>
      </c>
      <c r="H2892" s="1">
        <f>_xlfn.XLOOKUP(Ocupacao_DW[[#This Row],[Concat]],Vagas!$H:$H,Vagas!$D:$D,"",0)</f>
        <v>0</v>
      </c>
    </row>
    <row r="2893" spans="1:8" x14ac:dyDescent="0.25">
      <c r="A2893" s="2">
        <v>44635</v>
      </c>
      <c r="B2893" s="1" t="s">
        <v>49</v>
      </c>
      <c r="C2893">
        <v>81</v>
      </c>
      <c r="D2893" s="1" t="s">
        <v>170</v>
      </c>
      <c r="E2893" s="1" t="s">
        <v>4</v>
      </c>
      <c r="F2893">
        <v>41</v>
      </c>
      <c r="G2893" s="1" t="str">
        <f>Ocupacao_DW[[#This Row],[data]]&amp;Ocupacao_DW[[#This Row],[profissional_id]]&amp;Ocupacao_DW[[#This Row],[local_id]]</f>
        <v>446358141</v>
      </c>
      <c r="H2893" s="1">
        <f>_xlfn.XLOOKUP(Ocupacao_DW[[#This Row],[Concat]],Vagas!$H:$H,Vagas!$D:$D,"",0)</f>
        <v>0</v>
      </c>
    </row>
    <row r="2894" spans="1:8" x14ac:dyDescent="0.25">
      <c r="A2894" s="2">
        <v>44644</v>
      </c>
      <c r="B2894" s="1" t="s">
        <v>55</v>
      </c>
      <c r="C2894">
        <v>8598</v>
      </c>
      <c r="D2894" s="1" t="s">
        <v>228</v>
      </c>
      <c r="E2894" s="1" t="s">
        <v>6</v>
      </c>
      <c r="F2894">
        <v>3</v>
      </c>
      <c r="G2894" s="1" t="str">
        <f>Ocupacao_DW[[#This Row],[data]]&amp;Ocupacao_DW[[#This Row],[profissional_id]]&amp;Ocupacao_DW[[#This Row],[local_id]]</f>
        <v>4464485983</v>
      </c>
      <c r="H2894" s="1">
        <f>_xlfn.XLOOKUP(Ocupacao_DW[[#This Row],[Concat]],Vagas!$H:$H,Vagas!$D:$D,"",0)</f>
        <v>0</v>
      </c>
    </row>
    <row r="2895" spans="1:8" x14ac:dyDescent="0.25">
      <c r="A2895" s="2">
        <v>44644</v>
      </c>
      <c r="B2895" s="1" t="s">
        <v>55</v>
      </c>
      <c r="C2895">
        <v>12426</v>
      </c>
      <c r="D2895" s="1" t="s">
        <v>215</v>
      </c>
      <c r="E2895" s="1" t="s">
        <v>6</v>
      </c>
      <c r="F2895">
        <v>5</v>
      </c>
      <c r="G2895" s="1" t="str">
        <f>Ocupacao_DW[[#This Row],[data]]&amp;Ocupacao_DW[[#This Row],[profissional_id]]&amp;Ocupacao_DW[[#This Row],[local_id]]</f>
        <v>44644124265</v>
      </c>
      <c r="H2895" s="1">
        <f>_xlfn.XLOOKUP(Ocupacao_DW[[#This Row],[Concat]],Vagas!$H:$H,Vagas!$D:$D,"",0)</f>
        <v>0</v>
      </c>
    </row>
    <row r="2896" spans="1:8" x14ac:dyDescent="0.25">
      <c r="A2896" s="2">
        <v>44655</v>
      </c>
      <c r="B2896" s="1" t="s">
        <v>56</v>
      </c>
      <c r="C2896">
        <v>5927</v>
      </c>
      <c r="D2896" s="1" t="s">
        <v>226</v>
      </c>
      <c r="E2896" s="1" t="s">
        <v>5</v>
      </c>
      <c r="F2896">
        <v>17</v>
      </c>
      <c r="G2896" s="1" t="str">
        <f>Ocupacao_DW[[#This Row],[data]]&amp;Ocupacao_DW[[#This Row],[profissional_id]]&amp;Ocupacao_DW[[#This Row],[local_id]]</f>
        <v>44655592717</v>
      </c>
      <c r="H2896" s="1">
        <f>_xlfn.XLOOKUP(Ocupacao_DW[[#This Row],[Concat]],Vagas!$H:$H,Vagas!$D:$D,"",0)</f>
        <v>0</v>
      </c>
    </row>
    <row r="2897" spans="1:8" x14ac:dyDescent="0.25">
      <c r="A2897" s="2">
        <v>44635</v>
      </c>
      <c r="B2897" s="1" t="s">
        <v>55</v>
      </c>
      <c r="C2897">
        <v>14452</v>
      </c>
      <c r="D2897" s="1" t="s">
        <v>266</v>
      </c>
      <c r="E2897" s="1" t="s">
        <v>200</v>
      </c>
      <c r="F2897">
        <v>78</v>
      </c>
      <c r="G2897" s="1" t="str">
        <f>Ocupacao_DW[[#This Row],[data]]&amp;Ocupacao_DW[[#This Row],[profissional_id]]&amp;Ocupacao_DW[[#This Row],[local_id]]</f>
        <v>446351445278</v>
      </c>
      <c r="H2897" s="1">
        <f>_xlfn.XLOOKUP(Ocupacao_DW[[#This Row],[Concat]],Vagas!$H:$H,Vagas!$D:$D,"",0)</f>
        <v>0</v>
      </c>
    </row>
    <row r="2898" spans="1:8" x14ac:dyDescent="0.25">
      <c r="A2898" s="2">
        <v>44637</v>
      </c>
      <c r="B2898" s="1" t="s">
        <v>47</v>
      </c>
      <c r="C2898">
        <v>9111</v>
      </c>
      <c r="D2898" s="1" t="s">
        <v>206</v>
      </c>
      <c r="E2898" s="1" t="s">
        <v>4</v>
      </c>
      <c r="F2898">
        <v>334</v>
      </c>
      <c r="G2898" s="1" t="str">
        <f>Ocupacao_DW[[#This Row],[data]]&amp;Ocupacao_DW[[#This Row],[profissional_id]]&amp;Ocupacao_DW[[#This Row],[local_id]]</f>
        <v>446379111334</v>
      </c>
      <c r="H2898" s="1">
        <f>_xlfn.XLOOKUP(Ocupacao_DW[[#This Row],[Concat]],Vagas!$H:$H,Vagas!$D:$D,"",0)</f>
        <v>0</v>
      </c>
    </row>
    <row r="2899" spans="1:8" x14ac:dyDescent="0.25">
      <c r="A2899" s="2">
        <v>44635</v>
      </c>
      <c r="B2899" s="1" t="s">
        <v>49</v>
      </c>
      <c r="C2899">
        <v>81</v>
      </c>
      <c r="D2899" s="1" t="s">
        <v>170</v>
      </c>
      <c r="E2899" s="1" t="s">
        <v>7</v>
      </c>
      <c r="F2899">
        <v>71</v>
      </c>
      <c r="G2899" s="1" t="str">
        <f>Ocupacao_DW[[#This Row],[data]]&amp;Ocupacao_DW[[#This Row],[profissional_id]]&amp;Ocupacao_DW[[#This Row],[local_id]]</f>
        <v>446358171</v>
      </c>
      <c r="H2899" s="1">
        <f>_xlfn.XLOOKUP(Ocupacao_DW[[#This Row],[Concat]],Vagas!$H:$H,Vagas!$D:$D,"",0)</f>
        <v>0</v>
      </c>
    </row>
    <row r="2900" spans="1:8" x14ac:dyDescent="0.25">
      <c r="A2900" s="2">
        <v>44636</v>
      </c>
      <c r="B2900" s="1" t="s">
        <v>52</v>
      </c>
      <c r="C2900">
        <v>10691</v>
      </c>
      <c r="D2900" s="1" t="s">
        <v>181</v>
      </c>
      <c r="E2900" s="1" t="s">
        <v>6</v>
      </c>
      <c r="F2900">
        <v>9</v>
      </c>
      <c r="G2900" s="1" t="str">
        <f>Ocupacao_DW[[#This Row],[data]]&amp;Ocupacao_DW[[#This Row],[profissional_id]]&amp;Ocupacao_DW[[#This Row],[local_id]]</f>
        <v>44636106919</v>
      </c>
      <c r="H2900" s="1">
        <f>_xlfn.XLOOKUP(Ocupacao_DW[[#This Row],[Concat]],Vagas!$H:$H,Vagas!$D:$D,"",0)</f>
        <v>0</v>
      </c>
    </row>
    <row r="2901" spans="1:8" x14ac:dyDescent="0.25">
      <c r="A2901" s="2">
        <v>44635</v>
      </c>
      <c r="B2901" s="1" t="s">
        <v>47</v>
      </c>
      <c r="C2901">
        <v>111</v>
      </c>
      <c r="D2901" s="1" t="s">
        <v>199</v>
      </c>
      <c r="E2901" s="1" t="s">
        <v>4</v>
      </c>
      <c r="F2901">
        <v>51</v>
      </c>
      <c r="G2901" s="1" t="str">
        <f>Ocupacao_DW[[#This Row],[data]]&amp;Ocupacao_DW[[#This Row],[profissional_id]]&amp;Ocupacao_DW[[#This Row],[local_id]]</f>
        <v>4463511151</v>
      </c>
      <c r="H2901" s="1">
        <f>_xlfn.XLOOKUP(Ocupacao_DW[[#This Row],[Concat]],Vagas!$H:$H,Vagas!$D:$D,"",0)</f>
        <v>0</v>
      </c>
    </row>
    <row r="2902" spans="1:8" x14ac:dyDescent="0.25">
      <c r="A2902" s="2">
        <v>44644</v>
      </c>
      <c r="B2902" s="1" t="s">
        <v>55</v>
      </c>
      <c r="C2902">
        <v>12426</v>
      </c>
      <c r="D2902" s="1" t="s">
        <v>215</v>
      </c>
      <c r="E2902" s="1" t="s">
        <v>6</v>
      </c>
      <c r="F2902">
        <v>5</v>
      </c>
      <c r="G2902" s="1" t="str">
        <f>Ocupacao_DW[[#This Row],[data]]&amp;Ocupacao_DW[[#This Row],[profissional_id]]&amp;Ocupacao_DW[[#This Row],[local_id]]</f>
        <v>44644124265</v>
      </c>
      <c r="H2902" s="1">
        <f>_xlfn.XLOOKUP(Ocupacao_DW[[#This Row],[Concat]],Vagas!$H:$H,Vagas!$D:$D,"",0)</f>
        <v>0</v>
      </c>
    </row>
    <row r="2903" spans="1:8" x14ac:dyDescent="0.25">
      <c r="A2903" s="2">
        <v>44635</v>
      </c>
      <c r="B2903" s="1" t="s">
        <v>43</v>
      </c>
      <c r="C2903">
        <v>72</v>
      </c>
      <c r="D2903" s="1" t="s">
        <v>271</v>
      </c>
      <c r="E2903" s="1" t="s">
        <v>4</v>
      </c>
      <c r="F2903">
        <v>334</v>
      </c>
      <c r="G2903" s="1" t="str">
        <f>Ocupacao_DW[[#This Row],[data]]&amp;Ocupacao_DW[[#This Row],[profissional_id]]&amp;Ocupacao_DW[[#This Row],[local_id]]</f>
        <v>4463572334</v>
      </c>
      <c r="H2903" s="1">
        <f>_xlfn.XLOOKUP(Ocupacao_DW[[#This Row],[Concat]],Vagas!$H:$H,Vagas!$D:$D,"",0)</f>
        <v>1</v>
      </c>
    </row>
    <row r="2904" spans="1:8" x14ac:dyDescent="0.25">
      <c r="A2904" s="2">
        <v>44641</v>
      </c>
      <c r="B2904" s="1" t="s">
        <v>60</v>
      </c>
      <c r="C2904">
        <v>117</v>
      </c>
      <c r="D2904" s="1" t="s">
        <v>180</v>
      </c>
      <c r="E2904" s="1" t="s">
        <v>4</v>
      </c>
      <c r="F2904">
        <v>48</v>
      </c>
      <c r="G2904" s="1" t="str">
        <f>Ocupacao_DW[[#This Row],[data]]&amp;Ocupacao_DW[[#This Row],[profissional_id]]&amp;Ocupacao_DW[[#This Row],[local_id]]</f>
        <v>4464111748</v>
      </c>
      <c r="H2904" s="1">
        <f>_xlfn.XLOOKUP(Ocupacao_DW[[#This Row],[Concat]],Vagas!$H:$H,Vagas!$D:$D,"",0)</f>
        <v>0</v>
      </c>
    </row>
    <row r="2905" spans="1:8" x14ac:dyDescent="0.25">
      <c r="A2905" s="2">
        <v>44641</v>
      </c>
      <c r="B2905" s="1" t="s">
        <v>64</v>
      </c>
      <c r="C2905">
        <v>86</v>
      </c>
      <c r="D2905" s="1" t="s">
        <v>175</v>
      </c>
      <c r="E2905" s="1" t="s">
        <v>5</v>
      </c>
      <c r="F2905">
        <v>349</v>
      </c>
      <c r="G2905" s="1" t="str">
        <f>Ocupacao_DW[[#This Row],[data]]&amp;Ocupacao_DW[[#This Row],[profissional_id]]&amp;Ocupacao_DW[[#This Row],[local_id]]</f>
        <v>4464186349</v>
      </c>
      <c r="H2905" s="1">
        <f>_xlfn.XLOOKUP(Ocupacao_DW[[#This Row],[Concat]],Vagas!$H:$H,Vagas!$D:$D,"",0)</f>
        <v>0</v>
      </c>
    </row>
    <row r="2906" spans="1:8" x14ac:dyDescent="0.25">
      <c r="A2906" s="2">
        <v>44637</v>
      </c>
      <c r="B2906" s="1"/>
      <c r="C2906">
        <v>0</v>
      </c>
      <c r="D2906" s="1"/>
      <c r="E2906" s="1" t="s">
        <v>4</v>
      </c>
      <c r="F2906">
        <v>40</v>
      </c>
      <c r="G2906" s="1" t="str">
        <f>Ocupacao_DW[[#This Row],[data]]&amp;Ocupacao_DW[[#This Row],[profissional_id]]&amp;Ocupacao_DW[[#This Row],[local_id]]</f>
        <v>44637040</v>
      </c>
      <c r="H2906" s="1" t="str">
        <f>_xlfn.XLOOKUP(Ocupacao_DW[[#This Row],[Concat]],Vagas!$H:$H,Vagas!$D:$D,"",0)</f>
        <v/>
      </c>
    </row>
    <row r="2907" spans="1:8" x14ac:dyDescent="0.25">
      <c r="A2907" s="2">
        <v>44635</v>
      </c>
      <c r="B2907" s="1" t="s">
        <v>54</v>
      </c>
      <c r="C2907">
        <v>69</v>
      </c>
      <c r="D2907" s="1" t="s">
        <v>238</v>
      </c>
      <c r="E2907" s="1" t="s">
        <v>5</v>
      </c>
      <c r="F2907">
        <v>13</v>
      </c>
      <c r="G2907" s="1" t="str">
        <f>Ocupacao_DW[[#This Row],[data]]&amp;Ocupacao_DW[[#This Row],[profissional_id]]&amp;Ocupacao_DW[[#This Row],[local_id]]</f>
        <v>446356913</v>
      </c>
      <c r="H2907" s="1">
        <f>_xlfn.XLOOKUP(Ocupacao_DW[[#This Row],[Concat]],Vagas!$H:$H,Vagas!$D:$D,"",0)</f>
        <v>0</v>
      </c>
    </row>
    <row r="2908" spans="1:8" x14ac:dyDescent="0.25">
      <c r="A2908" s="2">
        <v>44638</v>
      </c>
      <c r="B2908" s="1" t="s">
        <v>62</v>
      </c>
      <c r="C2908">
        <v>3502</v>
      </c>
      <c r="D2908" s="1" t="s">
        <v>214</v>
      </c>
      <c r="E2908" s="1" t="s">
        <v>7</v>
      </c>
      <c r="F2908">
        <v>69</v>
      </c>
      <c r="G2908" s="1" t="str">
        <f>Ocupacao_DW[[#This Row],[data]]&amp;Ocupacao_DW[[#This Row],[profissional_id]]&amp;Ocupacao_DW[[#This Row],[local_id]]</f>
        <v>44638350269</v>
      </c>
      <c r="H2908" s="1">
        <f>_xlfn.XLOOKUP(Ocupacao_DW[[#This Row],[Concat]],Vagas!$H:$H,Vagas!$D:$D,"",0)</f>
        <v>0</v>
      </c>
    </row>
    <row r="2909" spans="1:8" x14ac:dyDescent="0.25">
      <c r="A2909" s="2">
        <v>44638</v>
      </c>
      <c r="B2909" s="1" t="s">
        <v>62</v>
      </c>
      <c r="C2909">
        <v>3502</v>
      </c>
      <c r="D2909" s="1" t="s">
        <v>214</v>
      </c>
      <c r="E2909" s="1" t="s">
        <v>7</v>
      </c>
      <c r="F2909">
        <v>69</v>
      </c>
      <c r="G2909" s="1" t="str">
        <f>Ocupacao_DW[[#This Row],[data]]&amp;Ocupacao_DW[[#This Row],[profissional_id]]&amp;Ocupacao_DW[[#This Row],[local_id]]</f>
        <v>44638350269</v>
      </c>
      <c r="H2909" s="1">
        <f>_xlfn.XLOOKUP(Ocupacao_DW[[#This Row],[Concat]],Vagas!$H:$H,Vagas!$D:$D,"",0)</f>
        <v>0</v>
      </c>
    </row>
    <row r="2910" spans="1:8" x14ac:dyDescent="0.25">
      <c r="A2910" s="2">
        <v>44636</v>
      </c>
      <c r="B2910" s="1" t="s">
        <v>72</v>
      </c>
      <c r="C2910">
        <v>6046</v>
      </c>
      <c r="D2910" s="1" t="s">
        <v>222</v>
      </c>
      <c r="E2910" s="1" t="s">
        <v>167</v>
      </c>
      <c r="F2910">
        <v>344</v>
      </c>
      <c r="G2910" s="1" t="str">
        <f>Ocupacao_DW[[#This Row],[data]]&amp;Ocupacao_DW[[#This Row],[profissional_id]]&amp;Ocupacao_DW[[#This Row],[local_id]]</f>
        <v>446366046344</v>
      </c>
      <c r="H2910" s="1">
        <f>_xlfn.XLOOKUP(Ocupacao_DW[[#This Row],[Concat]],Vagas!$H:$H,Vagas!$D:$D,"",0)</f>
        <v>0</v>
      </c>
    </row>
    <row r="2911" spans="1:8" x14ac:dyDescent="0.25">
      <c r="A2911" s="2">
        <v>44638</v>
      </c>
      <c r="B2911" s="1" t="s">
        <v>72</v>
      </c>
      <c r="C2911">
        <v>1794</v>
      </c>
      <c r="D2911" s="1" t="s">
        <v>235</v>
      </c>
      <c r="E2911" s="1" t="s">
        <v>4</v>
      </c>
      <c r="F2911">
        <v>46</v>
      </c>
      <c r="G2911" s="1" t="str">
        <f>Ocupacao_DW[[#This Row],[data]]&amp;Ocupacao_DW[[#This Row],[profissional_id]]&amp;Ocupacao_DW[[#This Row],[local_id]]</f>
        <v>44638179446</v>
      </c>
      <c r="H2911" s="1">
        <f>_xlfn.XLOOKUP(Ocupacao_DW[[#This Row],[Concat]],Vagas!$H:$H,Vagas!$D:$D,"",0)</f>
        <v>0</v>
      </c>
    </row>
    <row r="2912" spans="1:8" x14ac:dyDescent="0.25">
      <c r="A2912" s="2">
        <v>44636</v>
      </c>
      <c r="B2912" s="1" t="s">
        <v>64</v>
      </c>
      <c r="C2912">
        <v>531</v>
      </c>
      <c r="D2912" s="1" t="s">
        <v>213</v>
      </c>
      <c r="E2912" s="1" t="s">
        <v>5</v>
      </c>
      <c r="F2912">
        <v>12</v>
      </c>
      <c r="G2912" s="1" t="str">
        <f>Ocupacao_DW[[#This Row],[data]]&amp;Ocupacao_DW[[#This Row],[profissional_id]]&amp;Ocupacao_DW[[#This Row],[local_id]]</f>
        <v>4463653112</v>
      </c>
      <c r="H2912" s="1">
        <f>_xlfn.XLOOKUP(Ocupacao_DW[[#This Row],[Concat]],Vagas!$H:$H,Vagas!$D:$D,"",0)</f>
        <v>0</v>
      </c>
    </row>
    <row r="2913" spans="1:8" x14ac:dyDescent="0.25">
      <c r="A2913" s="2">
        <v>44637</v>
      </c>
      <c r="B2913" s="1" t="s">
        <v>51</v>
      </c>
      <c r="C2913">
        <v>12582</v>
      </c>
      <c r="D2913" s="1" t="s">
        <v>190</v>
      </c>
      <c r="E2913" s="1" t="s">
        <v>5</v>
      </c>
      <c r="F2913">
        <v>15</v>
      </c>
      <c r="G2913" s="1" t="str">
        <f>Ocupacao_DW[[#This Row],[data]]&amp;Ocupacao_DW[[#This Row],[profissional_id]]&amp;Ocupacao_DW[[#This Row],[local_id]]</f>
        <v>446371258215</v>
      </c>
      <c r="H2913" s="1">
        <f>_xlfn.XLOOKUP(Ocupacao_DW[[#This Row],[Concat]],Vagas!$H:$H,Vagas!$D:$D,"",0)</f>
        <v>0</v>
      </c>
    </row>
    <row r="2914" spans="1:8" x14ac:dyDescent="0.25">
      <c r="A2914" s="2">
        <v>44635</v>
      </c>
      <c r="B2914" s="1"/>
      <c r="C2914">
        <v>0</v>
      </c>
      <c r="D2914" s="1"/>
      <c r="E2914" s="1" t="s">
        <v>4</v>
      </c>
      <c r="F2914">
        <v>39</v>
      </c>
      <c r="G2914" s="1" t="str">
        <f>Ocupacao_DW[[#This Row],[data]]&amp;Ocupacao_DW[[#This Row],[profissional_id]]&amp;Ocupacao_DW[[#This Row],[local_id]]</f>
        <v>44635039</v>
      </c>
      <c r="H2914" s="1" t="str">
        <f>_xlfn.XLOOKUP(Ocupacao_DW[[#This Row],[Concat]],Vagas!$H:$H,Vagas!$D:$D,"",0)</f>
        <v/>
      </c>
    </row>
    <row r="2915" spans="1:8" x14ac:dyDescent="0.25">
      <c r="A2915" s="2">
        <v>44635</v>
      </c>
      <c r="B2915" s="1" t="s">
        <v>54</v>
      </c>
      <c r="C2915">
        <v>69</v>
      </c>
      <c r="D2915" s="1" t="s">
        <v>238</v>
      </c>
      <c r="E2915" s="1" t="s">
        <v>5</v>
      </c>
      <c r="F2915">
        <v>13</v>
      </c>
      <c r="G2915" s="1" t="str">
        <f>Ocupacao_DW[[#This Row],[data]]&amp;Ocupacao_DW[[#This Row],[profissional_id]]&amp;Ocupacao_DW[[#This Row],[local_id]]</f>
        <v>446356913</v>
      </c>
      <c r="H2915" s="1">
        <f>_xlfn.XLOOKUP(Ocupacao_DW[[#This Row],[Concat]],Vagas!$H:$H,Vagas!$D:$D,"",0)</f>
        <v>0</v>
      </c>
    </row>
    <row r="2916" spans="1:8" x14ac:dyDescent="0.25">
      <c r="A2916" s="2">
        <v>44635</v>
      </c>
      <c r="B2916" s="1" t="s">
        <v>47</v>
      </c>
      <c r="C2916">
        <v>9111</v>
      </c>
      <c r="D2916" s="1" t="s">
        <v>206</v>
      </c>
      <c r="E2916" s="1" t="s">
        <v>4</v>
      </c>
      <c r="F2916">
        <v>335</v>
      </c>
      <c r="G2916" s="1" t="str">
        <f>Ocupacao_DW[[#This Row],[data]]&amp;Ocupacao_DW[[#This Row],[profissional_id]]&amp;Ocupacao_DW[[#This Row],[local_id]]</f>
        <v>446359111335</v>
      </c>
      <c r="H2916" s="1">
        <f>_xlfn.XLOOKUP(Ocupacao_DW[[#This Row],[Concat]],Vagas!$H:$H,Vagas!$D:$D,"",0)</f>
        <v>0</v>
      </c>
    </row>
    <row r="2917" spans="1:8" x14ac:dyDescent="0.25">
      <c r="A2917" s="2">
        <v>44635</v>
      </c>
      <c r="B2917" s="1" t="s">
        <v>43</v>
      </c>
      <c r="C2917">
        <v>57</v>
      </c>
      <c r="D2917" s="1" t="s">
        <v>169</v>
      </c>
      <c r="E2917" s="1" t="s">
        <v>6</v>
      </c>
      <c r="F2917">
        <v>2</v>
      </c>
      <c r="G2917" s="1" t="str">
        <f>Ocupacao_DW[[#This Row],[data]]&amp;Ocupacao_DW[[#This Row],[profissional_id]]&amp;Ocupacao_DW[[#This Row],[local_id]]</f>
        <v>44635572</v>
      </c>
      <c r="H2917" s="1">
        <f>_xlfn.XLOOKUP(Ocupacao_DW[[#This Row],[Concat]],Vagas!$H:$H,Vagas!$D:$D,"",0)</f>
        <v>0</v>
      </c>
    </row>
    <row r="2918" spans="1:8" x14ac:dyDescent="0.25">
      <c r="A2918" s="2">
        <v>44635</v>
      </c>
      <c r="B2918" s="1" t="s">
        <v>62</v>
      </c>
      <c r="C2918">
        <v>3502</v>
      </c>
      <c r="D2918" s="1" t="s">
        <v>214</v>
      </c>
      <c r="E2918" s="1" t="s">
        <v>5</v>
      </c>
      <c r="F2918">
        <v>16</v>
      </c>
      <c r="G2918" s="1" t="str">
        <f>Ocupacao_DW[[#This Row],[data]]&amp;Ocupacao_DW[[#This Row],[profissional_id]]&amp;Ocupacao_DW[[#This Row],[local_id]]</f>
        <v>44635350216</v>
      </c>
      <c r="H2918" s="1">
        <f>_xlfn.XLOOKUP(Ocupacao_DW[[#This Row],[Concat]],Vagas!$H:$H,Vagas!$D:$D,"",0)</f>
        <v>0</v>
      </c>
    </row>
    <row r="2919" spans="1:8" x14ac:dyDescent="0.25">
      <c r="A2919" s="2">
        <v>44650</v>
      </c>
      <c r="B2919" s="1" t="s">
        <v>43</v>
      </c>
      <c r="C2919">
        <v>2396</v>
      </c>
      <c r="D2919" s="1" t="s">
        <v>197</v>
      </c>
      <c r="E2919" s="1" t="s">
        <v>6</v>
      </c>
      <c r="F2919">
        <v>2</v>
      </c>
      <c r="G2919" s="1" t="str">
        <f>Ocupacao_DW[[#This Row],[data]]&amp;Ocupacao_DW[[#This Row],[profissional_id]]&amp;Ocupacao_DW[[#This Row],[local_id]]</f>
        <v>4465023962</v>
      </c>
      <c r="H2919" s="1">
        <f>_xlfn.XLOOKUP(Ocupacao_DW[[#This Row],[Concat]],Vagas!$H:$H,Vagas!$D:$D,"",0)</f>
        <v>0</v>
      </c>
    </row>
    <row r="2920" spans="1:8" x14ac:dyDescent="0.25">
      <c r="A2920" s="2">
        <v>44638</v>
      </c>
      <c r="B2920" s="1" t="s">
        <v>49</v>
      </c>
      <c r="C2920">
        <v>81</v>
      </c>
      <c r="D2920" s="1" t="s">
        <v>170</v>
      </c>
      <c r="E2920" s="1" t="s">
        <v>4</v>
      </c>
      <c r="F2920">
        <v>41</v>
      </c>
      <c r="G2920" s="1" t="str">
        <f>Ocupacao_DW[[#This Row],[data]]&amp;Ocupacao_DW[[#This Row],[profissional_id]]&amp;Ocupacao_DW[[#This Row],[local_id]]</f>
        <v>446388141</v>
      </c>
      <c r="H2920" s="1">
        <f>_xlfn.XLOOKUP(Ocupacao_DW[[#This Row],[Concat]],Vagas!$H:$H,Vagas!$D:$D,"",0)</f>
        <v>0</v>
      </c>
    </row>
    <row r="2921" spans="1:8" x14ac:dyDescent="0.25">
      <c r="A2921" s="2">
        <v>44635</v>
      </c>
      <c r="B2921" s="1" t="s">
        <v>49</v>
      </c>
      <c r="C2921">
        <v>81</v>
      </c>
      <c r="D2921" s="1" t="s">
        <v>170</v>
      </c>
      <c r="E2921" s="1" t="s">
        <v>4</v>
      </c>
      <c r="F2921">
        <v>41</v>
      </c>
      <c r="G2921" s="1" t="str">
        <f>Ocupacao_DW[[#This Row],[data]]&amp;Ocupacao_DW[[#This Row],[profissional_id]]&amp;Ocupacao_DW[[#This Row],[local_id]]</f>
        <v>446358141</v>
      </c>
      <c r="H2921" s="1">
        <f>_xlfn.XLOOKUP(Ocupacao_DW[[#This Row],[Concat]],Vagas!$H:$H,Vagas!$D:$D,"",0)</f>
        <v>0</v>
      </c>
    </row>
    <row r="2922" spans="1:8" x14ac:dyDescent="0.25">
      <c r="A2922" s="2">
        <v>44635</v>
      </c>
      <c r="B2922" s="1" t="s">
        <v>49</v>
      </c>
      <c r="C2922">
        <v>266</v>
      </c>
      <c r="D2922" s="1" t="s">
        <v>201</v>
      </c>
      <c r="E2922" s="1" t="s">
        <v>4</v>
      </c>
      <c r="F2922">
        <v>42</v>
      </c>
      <c r="G2922" s="1" t="str">
        <f>Ocupacao_DW[[#This Row],[data]]&amp;Ocupacao_DW[[#This Row],[profissional_id]]&amp;Ocupacao_DW[[#This Row],[local_id]]</f>
        <v>4463526642</v>
      </c>
      <c r="H2922" s="1">
        <f>_xlfn.XLOOKUP(Ocupacao_DW[[#This Row],[Concat]],Vagas!$H:$H,Vagas!$D:$D,"",0)</f>
        <v>0</v>
      </c>
    </row>
    <row r="2923" spans="1:8" x14ac:dyDescent="0.25">
      <c r="A2923" s="2">
        <v>44645</v>
      </c>
      <c r="B2923" s="1" t="s">
        <v>56</v>
      </c>
      <c r="C2923">
        <v>13660</v>
      </c>
      <c r="D2923" s="1" t="s">
        <v>250</v>
      </c>
      <c r="E2923" s="1" t="s">
        <v>5</v>
      </c>
      <c r="F2923">
        <v>15</v>
      </c>
      <c r="G2923" s="1" t="str">
        <f>Ocupacao_DW[[#This Row],[data]]&amp;Ocupacao_DW[[#This Row],[profissional_id]]&amp;Ocupacao_DW[[#This Row],[local_id]]</f>
        <v>446451366015</v>
      </c>
      <c r="H2923" s="1">
        <f>_xlfn.XLOOKUP(Ocupacao_DW[[#This Row],[Concat]],Vagas!$H:$H,Vagas!$D:$D,"",0)</f>
        <v>0</v>
      </c>
    </row>
    <row r="2924" spans="1:8" x14ac:dyDescent="0.25">
      <c r="A2924" s="2">
        <v>44635</v>
      </c>
      <c r="B2924" s="1" t="s">
        <v>47</v>
      </c>
      <c r="C2924">
        <v>111</v>
      </c>
      <c r="D2924" s="1" t="s">
        <v>199</v>
      </c>
      <c r="E2924" s="1" t="s">
        <v>4</v>
      </c>
      <c r="F2924">
        <v>51</v>
      </c>
      <c r="G2924" s="1" t="str">
        <f>Ocupacao_DW[[#This Row],[data]]&amp;Ocupacao_DW[[#This Row],[profissional_id]]&amp;Ocupacao_DW[[#This Row],[local_id]]</f>
        <v>4463511151</v>
      </c>
      <c r="H2924" s="1">
        <f>_xlfn.XLOOKUP(Ocupacao_DW[[#This Row],[Concat]],Vagas!$H:$H,Vagas!$D:$D,"",0)</f>
        <v>0</v>
      </c>
    </row>
    <row r="2925" spans="1:8" x14ac:dyDescent="0.25">
      <c r="A2925" s="2">
        <v>44638</v>
      </c>
      <c r="B2925" s="1" t="s">
        <v>56</v>
      </c>
      <c r="C2925">
        <v>13660</v>
      </c>
      <c r="D2925" s="1" t="s">
        <v>250</v>
      </c>
      <c r="E2925" s="1" t="s">
        <v>5</v>
      </c>
      <c r="F2925">
        <v>15</v>
      </c>
      <c r="G2925" s="1" t="str">
        <f>Ocupacao_DW[[#This Row],[data]]&amp;Ocupacao_DW[[#This Row],[profissional_id]]&amp;Ocupacao_DW[[#This Row],[local_id]]</f>
        <v>446381366015</v>
      </c>
      <c r="H2925" s="1">
        <f>_xlfn.XLOOKUP(Ocupacao_DW[[#This Row],[Concat]],Vagas!$H:$H,Vagas!$D:$D,"",0)</f>
        <v>0</v>
      </c>
    </row>
    <row r="2926" spans="1:8" x14ac:dyDescent="0.25">
      <c r="A2926" s="2">
        <v>44650</v>
      </c>
      <c r="B2926" s="1" t="s">
        <v>24</v>
      </c>
      <c r="C2926">
        <v>13061</v>
      </c>
      <c r="D2926" s="1" t="s">
        <v>232</v>
      </c>
      <c r="E2926" s="1" t="s">
        <v>6</v>
      </c>
      <c r="F2926">
        <v>3</v>
      </c>
      <c r="G2926" s="1" t="str">
        <f>Ocupacao_DW[[#This Row],[data]]&amp;Ocupacao_DW[[#This Row],[profissional_id]]&amp;Ocupacao_DW[[#This Row],[local_id]]</f>
        <v>44650130613</v>
      </c>
      <c r="H2926" s="1">
        <f>_xlfn.XLOOKUP(Ocupacao_DW[[#This Row],[Concat]],Vagas!$H:$H,Vagas!$D:$D,"",0)</f>
        <v>0</v>
      </c>
    </row>
    <row r="2927" spans="1:8" x14ac:dyDescent="0.25">
      <c r="A2927" s="2">
        <v>44638</v>
      </c>
      <c r="B2927" s="1" t="s">
        <v>52</v>
      </c>
      <c r="C2927">
        <v>10691</v>
      </c>
      <c r="D2927" s="1" t="s">
        <v>181</v>
      </c>
      <c r="E2927" s="1" t="s">
        <v>200</v>
      </c>
      <c r="F2927">
        <v>78</v>
      </c>
      <c r="G2927" s="1" t="str">
        <f>Ocupacao_DW[[#This Row],[data]]&amp;Ocupacao_DW[[#This Row],[profissional_id]]&amp;Ocupacao_DW[[#This Row],[local_id]]</f>
        <v>446381069178</v>
      </c>
      <c r="H2927" s="1">
        <f>_xlfn.XLOOKUP(Ocupacao_DW[[#This Row],[Concat]],Vagas!$H:$H,Vagas!$D:$D,"",0)</f>
        <v>0</v>
      </c>
    </row>
    <row r="2928" spans="1:8" x14ac:dyDescent="0.25">
      <c r="A2928" s="2">
        <v>44639</v>
      </c>
      <c r="B2928" s="1" t="s">
        <v>47</v>
      </c>
      <c r="C2928">
        <v>111</v>
      </c>
      <c r="D2928" s="1" t="s">
        <v>199</v>
      </c>
      <c r="E2928" s="1" t="s">
        <v>4</v>
      </c>
      <c r="F2928">
        <v>51</v>
      </c>
      <c r="G2928" s="1" t="str">
        <f>Ocupacao_DW[[#This Row],[data]]&amp;Ocupacao_DW[[#This Row],[profissional_id]]&amp;Ocupacao_DW[[#This Row],[local_id]]</f>
        <v>4463911151</v>
      </c>
      <c r="H2928" s="1">
        <f>_xlfn.XLOOKUP(Ocupacao_DW[[#This Row],[Concat]],Vagas!$H:$H,Vagas!$D:$D,"",0)</f>
        <v>0</v>
      </c>
    </row>
    <row r="2929" spans="1:8" x14ac:dyDescent="0.25">
      <c r="A2929" s="2">
        <v>44636</v>
      </c>
      <c r="B2929" s="1" t="s">
        <v>72</v>
      </c>
      <c r="C2929">
        <v>6046</v>
      </c>
      <c r="D2929" s="1" t="s">
        <v>222</v>
      </c>
      <c r="E2929" s="1" t="s">
        <v>167</v>
      </c>
      <c r="F2929">
        <v>344</v>
      </c>
      <c r="G2929" s="1" t="str">
        <f>Ocupacao_DW[[#This Row],[data]]&amp;Ocupacao_DW[[#This Row],[profissional_id]]&amp;Ocupacao_DW[[#This Row],[local_id]]</f>
        <v>446366046344</v>
      </c>
      <c r="H2929" s="1">
        <f>_xlfn.XLOOKUP(Ocupacao_DW[[#This Row],[Concat]],Vagas!$H:$H,Vagas!$D:$D,"",0)</f>
        <v>0</v>
      </c>
    </row>
    <row r="2930" spans="1:8" x14ac:dyDescent="0.25">
      <c r="A2930" s="2">
        <v>44637</v>
      </c>
      <c r="B2930" s="1" t="s">
        <v>62</v>
      </c>
      <c r="C2930">
        <v>3502</v>
      </c>
      <c r="D2930" s="1" t="s">
        <v>214</v>
      </c>
      <c r="E2930" s="1" t="s">
        <v>5</v>
      </c>
      <c r="F2930">
        <v>16</v>
      </c>
      <c r="G2930" s="1" t="str">
        <f>Ocupacao_DW[[#This Row],[data]]&amp;Ocupacao_DW[[#This Row],[profissional_id]]&amp;Ocupacao_DW[[#This Row],[local_id]]</f>
        <v>44637350216</v>
      </c>
      <c r="H2930" s="1">
        <f>_xlfn.XLOOKUP(Ocupacao_DW[[#This Row],[Concat]],Vagas!$H:$H,Vagas!$D:$D,"",0)</f>
        <v>0</v>
      </c>
    </row>
    <row r="2931" spans="1:8" x14ac:dyDescent="0.25">
      <c r="A2931" s="2">
        <v>44643</v>
      </c>
      <c r="B2931" s="1" t="s">
        <v>52</v>
      </c>
      <c r="C2931">
        <v>57</v>
      </c>
      <c r="D2931" s="1" t="s">
        <v>169</v>
      </c>
      <c r="E2931" s="1" t="s">
        <v>6</v>
      </c>
      <c r="F2931">
        <v>4</v>
      </c>
      <c r="G2931" s="1" t="str">
        <f>Ocupacao_DW[[#This Row],[data]]&amp;Ocupacao_DW[[#This Row],[profissional_id]]&amp;Ocupacao_DW[[#This Row],[local_id]]</f>
        <v>44643574</v>
      </c>
      <c r="H2931" s="1">
        <f>_xlfn.XLOOKUP(Ocupacao_DW[[#This Row],[Concat]],Vagas!$H:$H,Vagas!$D:$D,"",0)</f>
        <v>0</v>
      </c>
    </row>
    <row r="2932" spans="1:8" x14ac:dyDescent="0.25">
      <c r="A2932" s="2">
        <v>44635</v>
      </c>
      <c r="B2932" s="1" t="s">
        <v>50</v>
      </c>
      <c r="C2932">
        <v>4814</v>
      </c>
      <c r="D2932" s="1" t="s">
        <v>189</v>
      </c>
      <c r="E2932" s="1" t="s">
        <v>5</v>
      </c>
      <c r="F2932">
        <v>17</v>
      </c>
      <c r="G2932" s="1" t="str">
        <f>Ocupacao_DW[[#This Row],[data]]&amp;Ocupacao_DW[[#This Row],[profissional_id]]&amp;Ocupacao_DW[[#This Row],[local_id]]</f>
        <v>44635481417</v>
      </c>
      <c r="H2932" s="1">
        <f>_xlfn.XLOOKUP(Ocupacao_DW[[#This Row],[Concat]],Vagas!$H:$H,Vagas!$D:$D,"",0)</f>
        <v>0</v>
      </c>
    </row>
    <row r="2933" spans="1:8" x14ac:dyDescent="0.25">
      <c r="A2933" s="2">
        <v>44635</v>
      </c>
      <c r="B2933" s="1" t="s">
        <v>47</v>
      </c>
      <c r="C2933">
        <v>111</v>
      </c>
      <c r="D2933" s="1" t="s">
        <v>199</v>
      </c>
      <c r="E2933" s="1" t="s">
        <v>4</v>
      </c>
      <c r="F2933">
        <v>51</v>
      </c>
      <c r="G2933" s="1" t="str">
        <f>Ocupacao_DW[[#This Row],[data]]&amp;Ocupacao_DW[[#This Row],[profissional_id]]&amp;Ocupacao_DW[[#This Row],[local_id]]</f>
        <v>4463511151</v>
      </c>
      <c r="H2933" s="1">
        <f>_xlfn.XLOOKUP(Ocupacao_DW[[#This Row],[Concat]],Vagas!$H:$H,Vagas!$D:$D,"",0)</f>
        <v>0</v>
      </c>
    </row>
    <row r="2934" spans="1:8" x14ac:dyDescent="0.25">
      <c r="A2934" s="2">
        <v>44635</v>
      </c>
      <c r="B2934" s="1" t="s">
        <v>54</v>
      </c>
      <c r="C2934">
        <v>69</v>
      </c>
      <c r="D2934" s="1" t="s">
        <v>238</v>
      </c>
      <c r="E2934" s="1" t="s">
        <v>5</v>
      </c>
      <c r="F2934">
        <v>13</v>
      </c>
      <c r="G2934" s="1" t="str">
        <f>Ocupacao_DW[[#This Row],[data]]&amp;Ocupacao_DW[[#This Row],[profissional_id]]&amp;Ocupacao_DW[[#This Row],[local_id]]</f>
        <v>446356913</v>
      </c>
      <c r="H2934" s="1">
        <f>_xlfn.XLOOKUP(Ocupacao_DW[[#This Row],[Concat]],Vagas!$H:$H,Vagas!$D:$D,"",0)</f>
        <v>0</v>
      </c>
    </row>
    <row r="2935" spans="1:8" x14ac:dyDescent="0.25">
      <c r="A2935" s="2">
        <v>44639</v>
      </c>
      <c r="B2935" s="1" t="s">
        <v>54</v>
      </c>
      <c r="C2935">
        <v>70</v>
      </c>
      <c r="D2935" s="1" t="s">
        <v>187</v>
      </c>
      <c r="E2935" s="1" t="s">
        <v>5</v>
      </c>
      <c r="F2935">
        <v>13</v>
      </c>
      <c r="G2935" s="1" t="str">
        <f>Ocupacao_DW[[#This Row],[data]]&amp;Ocupacao_DW[[#This Row],[profissional_id]]&amp;Ocupacao_DW[[#This Row],[local_id]]</f>
        <v>446397013</v>
      </c>
      <c r="H2935" s="1">
        <f>_xlfn.XLOOKUP(Ocupacao_DW[[#This Row],[Concat]],Vagas!$H:$H,Vagas!$D:$D,"",0)</f>
        <v>0</v>
      </c>
    </row>
    <row r="2936" spans="1:8" x14ac:dyDescent="0.25">
      <c r="A2936" s="2">
        <v>44636</v>
      </c>
      <c r="B2936" s="1" t="s">
        <v>54</v>
      </c>
      <c r="C2936">
        <v>70</v>
      </c>
      <c r="D2936" s="1" t="s">
        <v>187</v>
      </c>
      <c r="E2936" s="1" t="s">
        <v>5</v>
      </c>
      <c r="F2936">
        <v>13</v>
      </c>
      <c r="G2936" s="1" t="str">
        <f>Ocupacao_DW[[#This Row],[data]]&amp;Ocupacao_DW[[#This Row],[profissional_id]]&amp;Ocupacao_DW[[#This Row],[local_id]]</f>
        <v>446367013</v>
      </c>
      <c r="H2936" s="1">
        <f>_xlfn.XLOOKUP(Ocupacao_DW[[#This Row],[Concat]],Vagas!$H:$H,Vagas!$D:$D,"",0)</f>
        <v>0</v>
      </c>
    </row>
    <row r="2937" spans="1:8" x14ac:dyDescent="0.25">
      <c r="A2937" s="2">
        <v>44637</v>
      </c>
      <c r="B2937" s="1" t="s">
        <v>51</v>
      </c>
      <c r="C2937">
        <v>12582</v>
      </c>
      <c r="D2937" s="1" t="s">
        <v>190</v>
      </c>
      <c r="E2937" s="1" t="s">
        <v>5</v>
      </c>
      <c r="F2937">
        <v>15</v>
      </c>
      <c r="G2937" s="1" t="str">
        <f>Ocupacao_DW[[#This Row],[data]]&amp;Ocupacao_DW[[#This Row],[profissional_id]]&amp;Ocupacao_DW[[#This Row],[local_id]]</f>
        <v>446371258215</v>
      </c>
      <c r="H2937" s="1">
        <f>_xlfn.XLOOKUP(Ocupacao_DW[[#This Row],[Concat]],Vagas!$H:$H,Vagas!$D:$D,"",0)</f>
        <v>0</v>
      </c>
    </row>
    <row r="2938" spans="1:8" x14ac:dyDescent="0.25">
      <c r="A2938" s="2">
        <v>44643</v>
      </c>
      <c r="B2938" s="1" t="s">
        <v>51</v>
      </c>
      <c r="C2938">
        <v>17859</v>
      </c>
      <c r="D2938" s="1" t="s">
        <v>212</v>
      </c>
      <c r="E2938" s="1" t="s">
        <v>6</v>
      </c>
      <c r="F2938">
        <v>7</v>
      </c>
      <c r="G2938" s="1" t="str">
        <f>Ocupacao_DW[[#This Row],[data]]&amp;Ocupacao_DW[[#This Row],[profissional_id]]&amp;Ocupacao_DW[[#This Row],[local_id]]</f>
        <v>44643178597</v>
      </c>
      <c r="H2938" s="1">
        <f>_xlfn.XLOOKUP(Ocupacao_DW[[#This Row],[Concat]],Vagas!$H:$H,Vagas!$D:$D,"",0)</f>
        <v>0</v>
      </c>
    </row>
    <row r="2939" spans="1:8" x14ac:dyDescent="0.25">
      <c r="A2939" s="2">
        <v>44636</v>
      </c>
      <c r="B2939" s="1" t="s">
        <v>51</v>
      </c>
      <c r="C2939">
        <v>17859</v>
      </c>
      <c r="D2939" s="1" t="s">
        <v>212</v>
      </c>
      <c r="E2939" s="1" t="s">
        <v>6</v>
      </c>
      <c r="F2939">
        <v>7</v>
      </c>
      <c r="G2939" s="1" t="str">
        <f>Ocupacao_DW[[#This Row],[data]]&amp;Ocupacao_DW[[#This Row],[profissional_id]]&amp;Ocupacao_DW[[#This Row],[local_id]]</f>
        <v>44636178597</v>
      </c>
      <c r="H2939" s="1">
        <f>_xlfn.XLOOKUP(Ocupacao_DW[[#This Row],[Concat]],Vagas!$H:$H,Vagas!$D:$D,"",0)</f>
        <v>0</v>
      </c>
    </row>
    <row r="2940" spans="1:8" x14ac:dyDescent="0.25">
      <c r="A2940" s="2">
        <v>44635</v>
      </c>
      <c r="B2940" s="1" t="s">
        <v>67</v>
      </c>
      <c r="C2940">
        <v>7290</v>
      </c>
      <c r="D2940" s="1" t="s">
        <v>247</v>
      </c>
      <c r="E2940" s="1" t="s">
        <v>5</v>
      </c>
      <c r="F2940">
        <v>18</v>
      </c>
      <c r="G2940" s="1" t="str">
        <f>Ocupacao_DW[[#This Row],[data]]&amp;Ocupacao_DW[[#This Row],[profissional_id]]&amp;Ocupacao_DW[[#This Row],[local_id]]</f>
        <v>44635729018</v>
      </c>
      <c r="H2940" s="1">
        <f>_xlfn.XLOOKUP(Ocupacao_DW[[#This Row],[Concat]],Vagas!$H:$H,Vagas!$D:$D,"",0)</f>
        <v>0</v>
      </c>
    </row>
    <row r="2941" spans="1:8" x14ac:dyDescent="0.25">
      <c r="A2941" s="2">
        <v>44638</v>
      </c>
      <c r="B2941" s="1" t="s">
        <v>47</v>
      </c>
      <c r="C2941">
        <v>9111</v>
      </c>
      <c r="D2941" s="1" t="s">
        <v>206</v>
      </c>
      <c r="E2941" s="1" t="s">
        <v>4</v>
      </c>
      <c r="F2941">
        <v>51</v>
      </c>
      <c r="G2941" s="1" t="str">
        <f>Ocupacao_DW[[#This Row],[data]]&amp;Ocupacao_DW[[#This Row],[profissional_id]]&amp;Ocupacao_DW[[#This Row],[local_id]]</f>
        <v>44638911151</v>
      </c>
      <c r="H2941" s="1">
        <f>_xlfn.XLOOKUP(Ocupacao_DW[[#This Row],[Concat]],Vagas!$H:$H,Vagas!$D:$D,"",0)</f>
        <v>0</v>
      </c>
    </row>
    <row r="2942" spans="1:8" x14ac:dyDescent="0.25">
      <c r="A2942" s="2">
        <v>44635</v>
      </c>
      <c r="B2942" s="1" t="s">
        <v>43</v>
      </c>
      <c r="C2942">
        <v>57</v>
      </c>
      <c r="D2942" s="1" t="s">
        <v>169</v>
      </c>
      <c r="E2942" s="1" t="s">
        <v>6</v>
      </c>
      <c r="F2942">
        <v>2</v>
      </c>
      <c r="G2942" s="1" t="str">
        <f>Ocupacao_DW[[#This Row],[data]]&amp;Ocupacao_DW[[#This Row],[profissional_id]]&amp;Ocupacao_DW[[#This Row],[local_id]]</f>
        <v>44635572</v>
      </c>
      <c r="H2942" s="1">
        <f>_xlfn.XLOOKUP(Ocupacao_DW[[#This Row],[Concat]],Vagas!$H:$H,Vagas!$D:$D,"",0)</f>
        <v>0</v>
      </c>
    </row>
    <row r="2943" spans="1:8" x14ac:dyDescent="0.25">
      <c r="A2943" s="2">
        <v>44638</v>
      </c>
      <c r="B2943" s="1" t="s">
        <v>47</v>
      </c>
      <c r="C2943">
        <v>9111</v>
      </c>
      <c r="D2943" s="1" t="s">
        <v>206</v>
      </c>
      <c r="E2943" s="1" t="s">
        <v>4</v>
      </c>
      <c r="F2943">
        <v>51</v>
      </c>
      <c r="G2943" s="1" t="str">
        <f>Ocupacao_DW[[#This Row],[data]]&amp;Ocupacao_DW[[#This Row],[profissional_id]]&amp;Ocupacao_DW[[#This Row],[local_id]]</f>
        <v>44638911151</v>
      </c>
      <c r="H2943" s="1">
        <f>_xlfn.XLOOKUP(Ocupacao_DW[[#This Row],[Concat]],Vagas!$H:$H,Vagas!$D:$D,"",0)</f>
        <v>0</v>
      </c>
    </row>
    <row r="2944" spans="1:8" x14ac:dyDescent="0.25">
      <c r="A2944" s="2">
        <v>44635</v>
      </c>
      <c r="B2944" s="1" t="s">
        <v>54</v>
      </c>
      <c r="C2944">
        <v>12623</v>
      </c>
      <c r="D2944" s="1" t="s">
        <v>258</v>
      </c>
      <c r="E2944" s="1" t="s">
        <v>5</v>
      </c>
      <c r="F2944">
        <v>11</v>
      </c>
      <c r="G2944" s="1" t="str">
        <f>Ocupacao_DW[[#This Row],[data]]&amp;Ocupacao_DW[[#This Row],[profissional_id]]&amp;Ocupacao_DW[[#This Row],[local_id]]</f>
        <v>446351262311</v>
      </c>
      <c r="H2944" s="1">
        <f>_xlfn.XLOOKUP(Ocupacao_DW[[#This Row],[Concat]],Vagas!$H:$H,Vagas!$D:$D,"",0)</f>
        <v>0</v>
      </c>
    </row>
    <row r="2945" spans="1:8" x14ac:dyDescent="0.25">
      <c r="A2945" s="2">
        <v>44643</v>
      </c>
      <c r="B2945" s="1" t="s">
        <v>51</v>
      </c>
      <c r="C2945">
        <v>12679</v>
      </c>
      <c r="D2945" s="1" t="s">
        <v>192</v>
      </c>
      <c r="E2945" s="1" t="s">
        <v>200</v>
      </c>
      <c r="F2945">
        <v>82</v>
      </c>
      <c r="G2945" s="1" t="str">
        <f>Ocupacao_DW[[#This Row],[data]]&amp;Ocupacao_DW[[#This Row],[profissional_id]]&amp;Ocupacao_DW[[#This Row],[local_id]]</f>
        <v>446431267982</v>
      </c>
      <c r="H2945" s="1">
        <f>_xlfn.XLOOKUP(Ocupacao_DW[[#This Row],[Concat]],Vagas!$H:$H,Vagas!$D:$D,"",0)</f>
        <v>0</v>
      </c>
    </row>
    <row r="2946" spans="1:8" x14ac:dyDescent="0.25">
      <c r="A2946" s="2">
        <v>44635</v>
      </c>
      <c r="B2946" s="1" t="s">
        <v>54</v>
      </c>
      <c r="C2946">
        <v>69</v>
      </c>
      <c r="D2946" s="1" t="s">
        <v>238</v>
      </c>
      <c r="E2946" s="1" t="s">
        <v>5</v>
      </c>
      <c r="F2946">
        <v>13</v>
      </c>
      <c r="G2946" s="1" t="str">
        <f>Ocupacao_DW[[#This Row],[data]]&amp;Ocupacao_DW[[#This Row],[profissional_id]]&amp;Ocupacao_DW[[#This Row],[local_id]]</f>
        <v>446356913</v>
      </c>
      <c r="H2946" s="1">
        <f>_xlfn.XLOOKUP(Ocupacao_DW[[#This Row],[Concat]],Vagas!$H:$H,Vagas!$D:$D,"",0)</f>
        <v>0</v>
      </c>
    </row>
    <row r="2947" spans="1:8" x14ac:dyDescent="0.25">
      <c r="A2947" s="2">
        <v>44638</v>
      </c>
      <c r="B2947" s="1" t="s">
        <v>72</v>
      </c>
      <c r="C2947">
        <v>1794</v>
      </c>
      <c r="D2947" s="1" t="s">
        <v>235</v>
      </c>
      <c r="E2947" s="1" t="s">
        <v>4</v>
      </c>
      <c r="F2947">
        <v>46</v>
      </c>
      <c r="G2947" s="1" t="str">
        <f>Ocupacao_DW[[#This Row],[data]]&amp;Ocupacao_DW[[#This Row],[profissional_id]]&amp;Ocupacao_DW[[#This Row],[local_id]]</f>
        <v>44638179446</v>
      </c>
      <c r="H2947" s="1">
        <f>_xlfn.XLOOKUP(Ocupacao_DW[[#This Row],[Concat]],Vagas!$H:$H,Vagas!$D:$D,"",0)</f>
        <v>0</v>
      </c>
    </row>
    <row r="2948" spans="1:8" x14ac:dyDescent="0.25">
      <c r="A2948" s="2">
        <v>44644</v>
      </c>
      <c r="B2948" s="1" t="s">
        <v>51</v>
      </c>
      <c r="C2948">
        <v>12582</v>
      </c>
      <c r="D2948" s="1" t="s">
        <v>190</v>
      </c>
      <c r="E2948" s="1" t="s">
        <v>5</v>
      </c>
      <c r="F2948">
        <v>15</v>
      </c>
      <c r="G2948" s="1" t="str">
        <f>Ocupacao_DW[[#This Row],[data]]&amp;Ocupacao_DW[[#This Row],[profissional_id]]&amp;Ocupacao_DW[[#This Row],[local_id]]</f>
        <v>446441258215</v>
      </c>
      <c r="H2948" s="1">
        <f>_xlfn.XLOOKUP(Ocupacao_DW[[#This Row],[Concat]],Vagas!$H:$H,Vagas!$D:$D,"",0)</f>
        <v>0</v>
      </c>
    </row>
    <row r="2949" spans="1:8" x14ac:dyDescent="0.25">
      <c r="A2949" s="2">
        <v>44649</v>
      </c>
      <c r="B2949" s="1" t="s">
        <v>55</v>
      </c>
      <c r="C2949">
        <v>73</v>
      </c>
      <c r="D2949" s="1" t="s">
        <v>171</v>
      </c>
      <c r="E2949" s="1" t="s">
        <v>6</v>
      </c>
      <c r="F2949">
        <v>5</v>
      </c>
      <c r="G2949" s="1" t="str">
        <f>Ocupacao_DW[[#This Row],[data]]&amp;Ocupacao_DW[[#This Row],[profissional_id]]&amp;Ocupacao_DW[[#This Row],[local_id]]</f>
        <v>44649735</v>
      </c>
      <c r="H2949" s="1">
        <f>_xlfn.XLOOKUP(Ocupacao_DW[[#This Row],[Concat]],Vagas!$H:$H,Vagas!$D:$D,"",0)</f>
        <v>0</v>
      </c>
    </row>
    <row r="2950" spans="1:8" x14ac:dyDescent="0.25">
      <c r="A2950" s="2">
        <v>44642</v>
      </c>
      <c r="B2950" s="1" t="s">
        <v>54</v>
      </c>
      <c r="C2950">
        <v>69</v>
      </c>
      <c r="D2950" s="1" t="s">
        <v>238</v>
      </c>
      <c r="E2950" s="1" t="s">
        <v>5</v>
      </c>
      <c r="F2950">
        <v>13</v>
      </c>
      <c r="G2950" s="1" t="str">
        <f>Ocupacao_DW[[#This Row],[data]]&amp;Ocupacao_DW[[#This Row],[profissional_id]]&amp;Ocupacao_DW[[#This Row],[local_id]]</f>
        <v>446426913</v>
      </c>
      <c r="H2950" s="1">
        <f>_xlfn.XLOOKUP(Ocupacao_DW[[#This Row],[Concat]],Vagas!$H:$H,Vagas!$D:$D,"",0)</f>
        <v>0</v>
      </c>
    </row>
    <row r="2951" spans="1:8" x14ac:dyDescent="0.25">
      <c r="A2951" s="2">
        <v>44635</v>
      </c>
      <c r="B2951" s="1" t="s">
        <v>65</v>
      </c>
      <c r="C2951">
        <v>11652</v>
      </c>
      <c r="D2951" s="1" t="s">
        <v>242</v>
      </c>
      <c r="E2951" s="1" t="s">
        <v>4</v>
      </c>
      <c r="F2951">
        <v>47</v>
      </c>
      <c r="G2951" s="1" t="str">
        <f>Ocupacao_DW[[#This Row],[data]]&amp;Ocupacao_DW[[#This Row],[profissional_id]]&amp;Ocupacao_DW[[#This Row],[local_id]]</f>
        <v>446351165247</v>
      </c>
      <c r="H2951" s="1">
        <f>_xlfn.XLOOKUP(Ocupacao_DW[[#This Row],[Concat]],Vagas!$H:$H,Vagas!$D:$D,"",0)</f>
        <v>0</v>
      </c>
    </row>
    <row r="2952" spans="1:8" x14ac:dyDescent="0.25">
      <c r="A2952" s="2">
        <v>44644</v>
      </c>
      <c r="B2952" s="1" t="s">
        <v>55</v>
      </c>
      <c r="C2952">
        <v>8598</v>
      </c>
      <c r="D2952" s="1" t="s">
        <v>228</v>
      </c>
      <c r="E2952" s="1" t="s">
        <v>6</v>
      </c>
      <c r="F2952">
        <v>3</v>
      </c>
      <c r="G2952" s="1" t="str">
        <f>Ocupacao_DW[[#This Row],[data]]&amp;Ocupacao_DW[[#This Row],[profissional_id]]&amp;Ocupacao_DW[[#This Row],[local_id]]</f>
        <v>4464485983</v>
      </c>
      <c r="H2952" s="1">
        <f>_xlfn.XLOOKUP(Ocupacao_DW[[#This Row],[Concat]],Vagas!$H:$H,Vagas!$D:$D,"",0)</f>
        <v>0</v>
      </c>
    </row>
    <row r="2953" spans="1:8" x14ac:dyDescent="0.25">
      <c r="A2953" s="2">
        <v>44635</v>
      </c>
      <c r="B2953" s="1" t="s">
        <v>49</v>
      </c>
      <c r="C2953">
        <v>266</v>
      </c>
      <c r="D2953" s="1" t="s">
        <v>201</v>
      </c>
      <c r="E2953" s="1" t="s">
        <v>4</v>
      </c>
      <c r="F2953">
        <v>42</v>
      </c>
      <c r="G2953" s="1" t="str">
        <f>Ocupacao_DW[[#This Row],[data]]&amp;Ocupacao_DW[[#This Row],[profissional_id]]&amp;Ocupacao_DW[[#This Row],[local_id]]</f>
        <v>4463526642</v>
      </c>
      <c r="H2953" s="1">
        <f>_xlfn.XLOOKUP(Ocupacao_DW[[#This Row],[Concat]],Vagas!$H:$H,Vagas!$D:$D,"",0)</f>
        <v>0</v>
      </c>
    </row>
    <row r="2954" spans="1:8" x14ac:dyDescent="0.25">
      <c r="A2954" s="2">
        <v>44650</v>
      </c>
      <c r="B2954" s="1" t="s">
        <v>55</v>
      </c>
      <c r="C2954">
        <v>73</v>
      </c>
      <c r="D2954" s="1" t="s">
        <v>171</v>
      </c>
      <c r="E2954" s="1" t="s">
        <v>6</v>
      </c>
      <c r="F2954">
        <v>5</v>
      </c>
      <c r="G2954" s="1" t="str">
        <f>Ocupacao_DW[[#This Row],[data]]&amp;Ocupacao_DW[[#This Row],[profissional_id]]&amp;Ocupacao_DW[[#This Row],[local_id]]</f>
        <v>44650735</v>
      </c>
      <c r="H2954" s="1">
        <f>_xlfn.XLOOKUP(Ocupacao_DW[[#This Row],[Concat]],Vagas!$H:$H,Vagas!$D:$D,"",0)</f>
        <v>0</v>
      </c>
    </row>
    <row r="2955" spans="1:8" x14ac:dyDescent="0.25">
      <c r="A2955" s="2">
        <v>44641</v>
      </c>
      <c r="B2955" s="1" t="s">
        <v>55</v>
      </c>
      <c r="C2955">
        <v>60</v>
      </c>
      <c r="D2955" s="1" t="s">
        <v>217</v>
      </c>
      <c r="E2955" s="1" t="s">
        <v>7</v>
      </c>
      <c r="F2955">
        <v>66</v>
      </c>
      <c r="G2955" s="1" t="str">
        <f>Ocupacao_DW[[#This Row],[data]]&amp;Ocupacao_DW[[#This Row],[profissional_id]]&amp;Ocupacao_DW[[#This Row],[local_id]]</f>
        <v>446416066</v>
      </c>
      <c r="H2955" s="1">
        <f>_xlfn.XLOOKUP(Ocupacao_DW[[#This Row],[Concat]],Vagas!$H:$H,Vagas!$D:$D,"",0)</f>
        <v>0</v>
      </c>
    </row>
    <row r="2956" spans="1:8" x14ac:dyDescent="0.25">
      <c r="A2956" s="2">
        <v>44636</v>
      </c>
      <c r="B2956" s="1" t="s">
        <v>51</v>
      </c>
      <c r="C2956">
        <v>7551</v>
      </c>
      <c r="D2956" s="1" t="s">
        <v>246</v>
      </c>
      <c r="E2956" s="1" t="s">
        <v>5</v>
      </c>
      <c r="F2956">
        <v>15</v>
      </c>
      <c r="G2956" s="1" t="str">
        <f>Ocupacao_DW[[#This Row],[data]]&amp;Ocupacao_DW[[#This Row],[profissional_id]]&amp;Ocupacao_DW[[#This Row],[local_id]]</f>
        <v>44636755115</v>
      </c>
      <c r="H2956" s="1">
        <f>_xlfn.XLOOKUP(Ocupacao_DW[[#This Row],[Concat]],Vagas!$H:$H,Vagas!$D:$D,"",0)</f>
        <v>0</v>
      </c>
    </row>
    <row r="2957" spans="1:8" x14ac:dyDescent="0.25">
      <c r="A2957" s="2">
        <v>44636</v>
      </c>
      <c r="B2957" s="1" t="s">
        <v>47</v>
      </c>
      <c r="C2957">
        <v>111</v>
      </c>
      <c r="D2957" s="1" t="s">
        <v>199</v>
      </c>
      <c r="E2957" s="1" t="s">
        <v>4</v>
      </c>
      <c r="F2957">
        <v>51</v>
      </c>
      <c r="G2957" s="1" t="str">
        <f>Ocupacao_DW[[#This Row],[data]]&amp;Ocupacao_DW[[#This Row],[profissional_id]]&amp;Ocupacao_DW[[#This Row],[local_id]]</f>
        <v>4463611151</v>
      </c>
      <c r="H2957" s="1">
        <f>_xlfn.XLOOKUP(Ocupacao_DW[[#This Row],[Concat]],Vagas!$H:$H,Vagas!$D:$D,"",0)</f>
        <v>1</v>
      </c>
    </row>
    <row r="2958" spans="1:8" x14ac:dyDescent="0.25">
      <c r="A2958" s="2">
        <v>44637</v>
      </c>
      <c r="B2958" s="1" t="s">
        <v>54</v>
      </c>
      <c r="C2958">
        <v>69</v>
      </c>
      <c r="D2958" s="1" t="s">
        <v>238</v>
      </c>
      <c r="E2958" s="1" t="s">
        <v>200</v>
      </c>
      <c r="F2958">
        <v>82</v>
      </c>
      <c r="G2958" s="1" t="str">
        <f>Ocupacao_DW[[#This Row],[data]]&amp;Ocupacao_DW[[#This Row],[profissional_id]]&amp;Ocupacao_DW[[#This Row],[local_id]]</f>
        <v>446376982</v>
      </c>
      <c r="H2958" s="1">
        <f>_xlfn.XLOOKUP(Ocupacao_DW[[#This Row],[Concat]],Vagas!$H:$H,Vagas!$D:$D,"",0)</f>
        <v>0</v>
      </c>
    </row>
    <row r="2959" spans="1:8" x14ac:dyDescent="0.25">
      <c r="A2959" s="2">
        <v>44637</v>
      </c>
      <c r="B2959" s="1" t="s">
        <v>47</v>
      </c>
      <c r="C2959">
        <v>9111</v>
      </c>
      <c r="D2959" s="1" t="s">
        <v>206</v>
      </c>
      <c r="E2959" s="1" t="s">
        <v>4</v>
      </c>
      <c r="F2959">
        <v>334</v>
      </c>
      <c r="G2959" s="1" t="str">
        <f>Ocupacao_DW[[#This Row],[data]]&amp;Ocupacao_DW[[#This Row],[profissional_id]]&amp;Ocupacao_DW[[#This Row],[local_id]]</f>
        <v>446379111334</v>
      </c>
      <c r="H2959" s="1">
        <f>_xlfn.XLOOKUP(Ocupacao_DW[[#This Row],[Concat]],Vagas!$H:$H,Vagas!$D:$D,"",0)</f>
        <v>0</v>
      </c>
    </row>
    <row r="2960" spans="1:8" x14ac:dyDescent="0.25">
      <c r="A2960" s="2">
        <v>44643</v>
      </c>
      <c r="B2960" s="1" t="s">
        <v>62</v>
      </c>
      <c r="C2960">
        <v>10799</v>
      </c>
      <c r="D2960" s="1" t="s">
        <v>204</v>
      </c>
      <c r="E2960" s="1" t="s">
        <v>5</v>
      </c>
      <c r="F2960">
        <v>18</v>
      </c>
      <c r="G2960" s="1" t="str">
        <f>Ocupacao_DW[[#This Row],[data]]&amp;Ocupacao_DW[[#This Row],[profissional_id]]&amp;Ocupacao_DW[[#This Row],[local_id]]</f>
        <v>446431079918</v>
      </c>
      <c r="H2960" s="1">
        <f>_xlfn.XLOOKUP(Ocupacao_DW[[#This Row],[Concat]],Vagas!$H:$H,Vagas!$D:$D,"",0)</f>
        <v>0</v>
      </c>
    </row>
    <row r="2961" spans="1:8" x14ac:dyDescent="0.25">
      <c r="A2961" s="2">
        <v>44637</v>
      </c>
      <c r="B2961" s="1" t="s">
        <v>64</v>
      </c>
      <c r="C2961">
        <v>531</v>
      </c>
      <c r="D2961" s="1" t="s">
        <v>213</v>
      </c>
      <c r="E2961" s="1" t="s">
        <v>5</v>
      </c>
      <c r="F2961">
        <v>12</v>
      </c>
      <c r="G2961" s="1" t="str">
        <f>Ocupacao_DW[[#This Row],[data]]&amp;Ocupacao_DW[[#This Row],[profissional_id]]&amp;Ocupacao_DW[[#This Row],[local_id]]</f>
        <v>4463753112</v>
      </c>
      <c r="H2961" s="1">
        <f>_xlfn.XLOOKUP(Ocupacao_DW[[#This Row],[Concat]],Vagas!$H:$H,Vagas!$D:$D,"",0)</f>
        <v>0</v>
      </c>
    </row>
    <row r="2962" spans="1:8" x14ac:dyDescent="0.25">
      <c r="A2962" s="2">
        <v>44635</v>
      </c>
      <c r="B2962" s="1" t="s">
        <v>46</v>
      </c>
      <c r="C2962">
        <v>17888</v>
      </c>
      <c r="D2962" s="1" t="s">
        <v>255</v>
      </c>
      <c r="E2962" s="1" t="s">
        <v>4</v>
      </c>
      <c r="F2962">
        <v>40</v>
      </c>
      <c r="G2962" s="1" t="str">
        <f>Ocupacao_DW[[#This Row],[data]]&amp;Ocupacao_DW[[#This Row],[profissional_id]]&amp;Ocupacao_DW[[#This Row],[local_id]]</f>
        <v>446351788840</v>
      </c>
      <c r="H2962" s="1">
        <f>_xlfn.XLOOKUP(Ocupacao_DW[[#This Row],[Concat]],Vagas!$H:$H,Vagas!$D:$D,"",0)</f>
        <v>11</v>
      </c>
    </row>
    <row r="2963" spans="1:8" x14ac:dyDescent="0.25">
      <c r="A2963" s="2">
        <v>44643</v>
      </c>
      <c r="B2963" s="1" t="s">
        <v>70</v>
      </c>
      <c r="C2963">
        <v>12825</v>
      </c>
      <c r="D2963" s="1" t="s">
        <v>177</v>
      </c>
      <c r="E2963" s="1" t="s">
        <v>4</v>
      </c>
      <c r="F2963">
        <v>45</v>
      </c>
      <c r="G2963" s="1" t="str">
        <f>Ocupacao_DW[[#This Row],[data]]&amp;Ocupacao_DW[[#This Row],[profissional_id]]&amp;Ocupacao_DW[[#This Row],[local_id]]</f>
        <v>446431282545</v>
      </c>
      <c r="H2963" s="1">
        <f>_xlfn.XLOOKUP(Ocupacao_DW[[#This Row],[Concat]],Vagas!$H:$H,Vagas!$D:$D,"",0)</f>
        <v>0</v>
      </c>
    </row>
    <row r="2964" spans="1:8" x14ac:dyDescent="0.25">
      <c r="A2964" s="2">
        <v>44635</v>
      </c>
      <c r="B2964" s="1" t="s">
        <v>49</v>
      </c>
      <c r="C2964">
        <v>81</v>
      </c>
      <c r="D2964" s="1" t="s">
        <v>170</v>
      </c>
      <c r="E2964" s="1" t="s">
        <v>4</v>
      </c>
      <c r="F2964">
        <v>41</v>
      </c>
      <c r="G2964" s="1" t="str">
        <f>Ocupacao_DW[[#This Row],[data]]&amp;Ocupacao_DW[[#This Row],[profissional_id]]&amp;Ocupacao_DW[[#This Row],[local_id]]</f>
        <v>446358141</v>
      </c>
      <c r="H2964" s="1">
        <f>_xlfn.XLOOKUP(Ocupacao_DW[[#This Row],[Concat]],Vagas!$H:$H,Vagas!$D:$D,"",0)</f>
        <v>0</v>
      </c>
    </row>
    <row r="2965" spans="1:8" x14ac:dyDescent="0.25">
      <c r="A2965" s="2">
        <v>44636</v>
      </c>
      <c r="B2965" s="1" t="s">
        <v>62</v>
      </c>
      <c r="C2965">
        <v>2567</v>
      </c>
      <c r="D2965" s="1" t="s">
        <v>198</v>
      </c>
      <c r="E2965" s="1" t="s">
        <v>5</v>
      </c>
      <c r="F2965">
        <v>349</v>
      </c>
      <c r="G2965" s="1" t="str">
        <f>Ocupacao_DW[[#This Row],[data]]&amp;Ocupacao_DW[[#This Row],[profissional_id]]&amp;Ocupacao_DW[[#This Row],[local_id]]</f>
        <v>446362567349</v>
      </c>
      <c r="H2965" s="1">
        <f>_xlfn.XLOOKUP(Ocupacao_DW[[#This Row],[Concat]],Vagas!$H:$H,Vagas!$D:$D,"",0)</f>
        <v>0</v>
      </c>
    </row>
    <row r="2966" spans="1:8" x14ac:dyDescent="0.25">
      <c r="A2966" s="2">
        <v>44636</v>
      </c>
      <c r="B2966" s="1" t="s">
        <v>52</v>
      </c>
      <c r="C2966">
        <v>10691</v>
      </c>
      <c r="D2966" s="1" t="s">
        <v>181</v>
      </c>
      <c r="E2966" s="1" t="s">
        <v>6</v>
      </c>
      <c r="F2966">
        <v>9</v>
      </c>
      <c r="G2966" s="1" t="str">
        <f>Ocupacao_DW[[#This Row],[data]]&amp;Ocupacao_DW[[#This Row],[profissional_id]]&amp;Ocupacao_DW[[#This Row],[local_id]]</f>
        <v>44636106919</v>
      </c>
      <c r="H2966" s="1">
        <f>_xlfn.XLOOKUP(Ocupacao_DW[[#This Row],[Concat]],Vagas!$H:$H,Vagas!$D:$D,"",0)</f>
        <v>0</v>
      </c>
    </row>
    <row r="2967" spans="1:8" x14ac:dyDescent="0.25">
      <c r="A2967" s="2">
        <v>44649</v>
      </c>
      <c r="B2967" s="1" t="s">
        <v>55</v>
      </c>
      <c r="C2967">
        <v>73</v>
      </c>
      <c r="D2967" s="1" t="s">
        <v>171</v>
      </c>
      <c r="E2967" s="1" t="s">
        <v>6</v>
      </c>
      <c r="F2967">
        <v>5</v>
      </c>
      <c r="G2967" s="1" t="str">
        <f>Ocupacao_DW[[#This Row],[data]]&amp;Ocupacao_DW[[#This Row],[profissional_id]]&amp;Ocupacao_DW[[#This Row],[local_id]]</f>
        <v>44649735</v>
      </c>
      <c r="H2967" s="1">
        <f>_xlfn.XLOOKUP(Ocupacao_DW[[#This Row],[Concat]],Vagas!$H:$H,Vagas!$D:$D,"",0)</f>
        <v>0</v>
      </c>
    </row>
    <row r="2968" spans="1:8" x14ac:dyDescent="0.25">
      <c r="A2968" s="2">
        <v>44635</v>
      </c>
      <c r="B2968" s="1" t="s">
        <v>20</v>
      </c>
      <c r="C2968">
        <v>174</v>
      </c>
      <c r="D2968" s="1" t="s">
        <v>230</v>
      </c>
      <c r="E2968" s="1" t="s">
        <v>167</v>
      </c>
      <c r="F2968">
        <v>24</v>
      </c>
      <c r="G2968" s="1" t="str">
        <f>Ocupacao_DW[[#This Row],[data]]&amp;Ocupacao_DW[[#This Row],[profissional_id]]&amp;Ocupacao_DW[[#This Row],[local_id]]</f>
        <v>4463517424</v>
      </c>
      <c r="H2968" s="1">
        <f>_xlfn.XLOOKUP(Ocupacao_DW[[#This Row],[Concat]],Vagas!$H:$H,Vagas!$D:$D,"",0)</f>
        <v>66</v>
      </c>
    </row>
    <row r="2969" spans="1:8" x14ac:dyDescent="0.25">
      <c r="A2969" s="2">
        <v>44650</v>
      </c>
      <c r="B2969" s="1" t="s">
        <v>54</v>
      </c>
      <c r="C2969">
        <v>1490</v>
      </c>
      <c r="D2969" s="1" t="s">
        <v>174</v>
      </c>
      <c r="E2969" s="1" t="s">
        <v>5</v>
      </c>
      <c r="F2969">
        <v>13</v>
      </c>
      <c r="G2969" s="1" t="str">
        <f>Ocupacao_DW[[#This Row],[data]]&amp;Ocupacao_DW[[#This Row],[profissional_id]]&amp;Ocupacao_DW[[#This Row],[local_id]]</f>
        <v>44650149013</v>
      </c>
      <c r="H2969" s="1">
        <f>_xlfn.XLOOKUP(Ocupacao_DW[[#This Row],[Concat]],Vagas!$H:$H,Vagas!$D:$D,"",0)</f>
        <v>0</v>
      </c>
    </row>
    <row r="2970" spans="1:8" x14ac:dyDescent="0.25">
      <c r="A2970" s="2">
        <v>44636</v>
      </c>
      <c r="B2970" s="1" t="s">
        <v>52</v>
      </c>
      <c r="C2970">
        <v>10691</v>
      </c>
      <c r="D2970" s="1" t="s">
        <v>181</v>
      </c>
      <c r="E2970" s="1" t="s">
        <v>6</v>
      </c>
      <c r="F2970">
        <v>9</v>
      </c>
      <c r="G2970" s="1" t="str">
        <f>Ocupacao_DW[[#This Row],[data]]&amp;Ocupacao_DW[[#This Row],[profissional_id]]&amp;Ocupacao_DW[[#This Row],[local_id]]</f>
        <v>44636106919</v>
      </c>
      <c r="H2970" s="1">
        <f>_xlfn.XLOOKUP(Ocupacao_DW[[#This Row],[Concat]],Vagas!$H:$H,Vagas!$D:$D,"",0)</f>
        <v>0</v>
      </c>
    </row>
    <row r="2971" spans="1:8" x14ac:dyDescent="0.25">
      <c r="A2971" s="2">
        <v>44635</v>
      </c>
      <c r="B2971" s="1" t="s">
        <v>62</v>
      </c>
      <c r="C2971">
        <v>3502</v>
      </c>
      <c r="D2971" s="1" t="s">
        <v>214</v>
      </c>
      <c r="E2971" s="1" t="s">
        <v>5</v>
      </c>
      <c r="F2971">
        <v>16</v>
      </c>
      <c r="G2971" s="1" t="str">
        <f>Ocupacao_DW[[#This Row],[data]]&amp;Ocupacao_DW[[#This Row],[profissional_id]]&amp;Ocupacao_DW[[#This Row],[local_id]]</f>
        <v>44635350216</v>
      </c>
      <c r="H2971" s="1">
        <f>_xlfn.XLOOKUP(Ocupacao_DW[[#This Row],[Concat]],Vagas!$H:$H,Vagas!$D:$D,"",0)</f>
        <v>0</v>
      </c>
    </row>
    <row r="2972" spans="1:8" x14ac:dyDescent="0.25">
      <c r="A2972" s="2">
        <v>44637</v>
      </c>
      <c r="B2972" s="1" t="s">
        <v>52</v>
      </c>
      <c r="C2972">
        <v>9217</v>
      </c>
      <c r="D2972" s="1" t="s">
        <v>191</v>
      </c>
      <c r="E2972" s="1" t="s">
        <v>6</v>
      </c>
      <c r="F2972">
        <v>7</v>
      </c>
      <c r="G2972" s="1" t="str">
        <f>Ocupacao_DW[[#This Row],[data]]&amp;Ocupacao_DW[[#This Row],[profissional_id]]&amp;Ocupacao_DW[[#This Row],[local_id]]</f>
        <v>4463792177</v>
      </c>
      <c r="H2972" s="1">
        <f>_xlfn.XLOOKUP(Ocupacao_DW[[#This Row],[Concat]],Vagas!$H:$H,Vagas!$D:$D,"",0)</f>
        <v>0</v>
      </c>
    </row>
    <row r="2973" spans="1:8" x14ac:dyDescent="0.25">
      <c r="A2973" s="2">
        <v>44644</v>
      </c>
      <c r="B2973" s="1" t="s">
        <v>76</v>
      </c>
      <c r="C2973">
        <v>11312</v>
      </c>
      <c r="D2973" s="1" t="s">
        <v>207</v>
      </c>
      <c r="E2973" s="1" t="s">
        <v>167</v>
      </c>
      <c r="F2973">
        <v>340</v>
      </c>
      <c r="G2973" s="1" t="str">
        <f>Ocupacao_DW[[#This Row],[data]]&amp;Ocupacao_DW[[#This Row],[profissional_id]]&amp;Ocupacao_DW[[#This Row],[local_id]]</f>
        <v>4464411312340</v>
      </c>
      <c r="H2973" s="1">
        <f>_xlfn.XLOOKUP(Ocupacao_DW[[#This Row],[Concat]],Vagas!$H:$H,Vagas!$D:$D,"",0)</f>
        <v>0</v>
      </c>
    </row>
    <row r="2974" spans="1:8" x14ac:dyDescent="0.25">
      <c r="A2974" s="2">
        <v>44635</v>
      </c>
      <c r="B2974" s="1" t="s">
        <v>43</v>
      </c>
      <c r="C2974">
        <v>57</v>
      </c>
      <c r="D2974" s="1" t="s">
        <v>169</v>
      </c>
      <c r="E2974" s="1" t="s">
        <v>6</v>
      </c>
      <c r="F2974">
        <v>2</v>
      </c>
      <c r="G2974" s="1" t="str">
        <f>Ocupacao_DW[[#This Row],[data]]&amp;Ocupacao_DW[[#This Row],[profissional_id]]&amp;Ocupacao_DW[[#This Row],[local_id]]</f>
        <v>44635572</v>
      </c>
      <c r="H2974" s="1">
        <f>_xlfn.XLOOKUP(Ocupacao_DW[[#This Row],[Concat]],Vagas!$H:$H,Vagas!$D:$D,"",0)</f>
        <v>0</v>
      </c>
    </row>
    <row r="2975" spans="1:8" x14ac:dyDescent="0.25">
      <c r="A2975" s="2">
        <v>44635</v>
      </c>
      <c r="B2975" s="1" t="s">
        <v>62</v>
      </c>
      <c r="C2975">
        <v>3502</v>
      </c>
      <c r="D2975" s="1" t="s">
        <v>214</v>
      </c>
      <c r="E2975" s="1" t="s">
        <v>5</v>
      </c>
      <c r="F2975">
        <v>16</v>
      </c>
      <c r="G2975" s="1" t="str">
        <f>Ocupacao_DW[[#This Row],[data]]&amp;Ocupacao_DW[[#This Row],[profissional_id]]&amp;Ocupacao_DW[[#This Row],[local_id]]</f>
        <v>44635350216</v>
      </c>
      <c r="H2975" s="1">
        <f>_xlfn.XLOOKUP(Ocupacao_DW[[#This Row],[Concat]],Vagas!$H:$H,Vagas!$D:$D,"",0)</f>
        <v>0</v>
      </c>
    </row>
    <row r="2976" spans="1:8" x14ac:dyDescent="0.25">
      <c r="A2976" s="2">
        <v>44650</v>
      </c>
      <c r="B2976" s="1" t="s">
        <v>55</v>
      </c>
      <c r="C2976">
        <v>73</v>
      </c>
      <c r="D2976" s="1" t="s">
        <v>171</v>
      </c>
      <c r="E2976" s="1" t="s">
        <v>6</v>
      </c>
      <c r="F2976">
        <v>5</v>
      </c>
      <c r="G2976" s="1" t="str">
        <f>Ocupacao_DW[[#This Row],[data]]&amp;Ocupacao_DW[[#This Row],[profissional_id]]&amp;Ocupacao_DW[[#This Row],[local_id]]</f>
        <v>44650735</v>
      </c>
      <c r="H2976" s="1">
        <f>_xlfn.XLOOKUP(Ocupacao_DW[[#This Row],[Concat]],Vagas!$H:$H,Vagas!$D:$D,"",0)</f>
        <v>0</v>
      </c>
    </row>
    <row r="2977" spans="1:8" x14ac:dyDescent="0.25">
      <c r="A2977" s="2">
        <v>44645</v>
      </c>
      <c r="B2977" s="1" t="s">
        <v>49</v>
      </c>
      <c r="C2977">
        <v>12142</v>
      </c>
      <c r="D2977" s="1" t="s">
        <v>219</v>
      </c>
      <c r="E2977" s="1" t="s">
        <v>4</v>
      </c>
      <c r="F2977">
        <v>44</v>
      </c>
      <c r="G2977" s="1" t="str">
        <f>Ocupacao_DW[[#This Row],[data]]&amp;Ocupacao_DW[[#This Row],[profissional_id]]&amp;Ocupacao_DW[[#This Row],[local_id]]</f>
        <v>446451214244</v>
      </c>
      <c r="H2977" s="1">
        <f>_xlfn.XLOOKUP(Ocupacao_DW[[#This Row],[Concat]],Vagas!$H:$H,Vagas!$D:$D,"",0)</f>
        <v>0</v>
      </c>
    </row>
    <row r="2978" spans="1:8" x14ac:dyDescent="0.25">
      <c r="A2978" s="2">
        <v>44639</v>
      </c>
      <c r="B2978" s="1" t="s">
        <v>52</v>
      </c>
      <c r="C2978">
        <v>60</v>
      </c>
      <c r="D2978" s="1" t="s">
        <v>217</v>
      </c>
      <c r="E2978" s="1" t="s">
        <v>6</v>
      </c>
      <c r="F2978">
        <v>8</v>
      </c>
      <c r="G2978" s="1" t="str">
        <f>Ocupacao_DW[[#This Row],[data]]&amp;Ocupacao_DW[[#This Row],[profissional_id]]&amp;Ocupacao_DW[[#This Row],[local_id]]</f>
        <v>44639608</v>
      </c>
      <c r="H2978" s="1">
        <f>_xlfn.XLOOKUP(Ocupacao_DW[[#This Row],[Concat]],Vagas!$H:$H,Vagas!$D:$D,"",0)</f>
        <v>0</v>
      </c>
    </row>
    <row r="2979" spans="1:8" x14ac:dyDescent="0.25">
      <c r="A2979" s="2">
        <v>44635</v>
      </c>
      <c r="B2979" s="1" t="s">
        <v>65</v>
      </c>
      <c r="C2979">
        <v>11652</v>
      </c>
      <c r="D2979" s="1" t="s">
        <v>242</v>
      </c>
      <c r="E2979" s="1" t="s">
        <v>4</v>
      </c>
      <c r="F2979">
        <v>47</v>
      </c>
      <c r="G2979" s="1" t="str">
        <f>Ocupacao_DW[[#This Row],[data]]&amp;Ocupacao_DW[[#This Row],[profissional_id]]&amp;Ocupacao_DW[[#This Row],[local_id]]</f>
        <v>446351165247</v>
      </c>
      <c r="H2979" s="1">
        <f>_xlfn.XLOOKUP(Ocupacao_DW[[#This Row],[Concat]],Vagas!$H:$H,Vagas!$D:$D,"",0)</f>
        <v>0</v>
      </c>
    </row>
    <row r="2980" spans="1:8" x14ac:dyDescent="0.25">
      <c r="A2980" s="2">
        <v>44636</v>
      </c>
      <c r="B2980" s="1" t="s">
        <v>49</v>
      </c>
      <c r="C2980">
        <v>17918</v>
      </c>
      <c r="D2980" s="1" t="s">
        <v>265</v>
      </c>
      <c r="E2980" s="1" t="s">
        <v>4</v>
      </c>
      <c r="F2980">
        <v>42</v>
      </c>
      <c r="G2980" s="1" t="str">
        <f>Ocupacao_DW[[#This Row],[data]]&amp;Ocupacao_DW[[#This Row],[profissional_id]]&amp;Ocupacao_DW[[#This Row],[local_id]]</f>
        <v>446361791842</v>
      </c>
      <c r="H2980" s="1">
        <f>_xlfn.XLOOKUP(Ocupacao_DW[[#This Row],[Concat]],Vagas!$H:$H,Vagas!$D:$D,"",0)</f>
        <v>0</v>
      </c>
    </row>
    <row r="2981" spans="1:8" x14ac:dyDescent="0.25">
      <c r="A2981" s="2">
        <v>44641</v>
      </c>
      <c r="B2981" s="1" t="s">
        <v>52</v>
      </c>
      <c r="C2981">
        <v>10946</v>
      </c>
      <c r="D2981" s="1" t="s">
        <v>209</v>
      </c>
      <c r="E2981" s="1" t="s">
        <v>6</v>
      </c>
      <c r="F2981">
        <v>3</v>
      </c>
      <c r="G2981" s="1" t="str">
        <f>Ocupacao_DW[[#This Row],[data]]&amp;Ocupacao_DW[[#This Row],[profissional_id]]&amp;Ocupacao_DW[[#This Row],[local_id]]</f>
        <v>44641109463</v>
      </c>
      <c r="H2981" s="1">
        <f>_xlfn.XLOOKUP(Ocupacao_DW[[#This Row],[Concat]],Vagas!$H:$H,Vagas!$D:$D,"",0)</f>
        <v>0</v>
      </c>
    </row>
    <row r="2982" spans="1:8" x14ac:dyDescent="0.25">
      <c r="A2982" s="2">
        <v>44642</v>
      </c>
      <c r="B2982" s="1" t="s">
        <v>54</v>
      </c>
      <c r="C2982">
        <v>69</v>
      </c>
      <c r="D2982" s="1" t="s">
        <v>238</v>
      </c>
      <c r="E2982" s="1" t="s">
        <v>5</v>
      </c>
      <c r="F2982">
        <v>13</v>
      </c>
      <c r="G2982" s="1" t="str">
        <f>Ocupacao_DW[[#This Row],[data]]&amp;Ocupacao_DW[[#This Row],[profissional_id]]&amp;Ocupacao_DW[[#This Row],[local_id]]</f>
        <v>446426913</v>
      </c>
      <c r="H2982" s="1">
        <f>_xlfn.XLOOKUP(Ocupacao_DW[[#This Row],[Concat]],Vagas!$H:$H,Vagas!$D:$D,"",0)</f>
        <v>0</v>
      </c>
    </row>
    <row r="2983" spans="1:8" x14ac:dyDescent="0.25">
      <c r="A2983" s="2">
        <v>44648</v>
      </c>
      <c r="B2983" s="1" t="s">
        <v>55</v>
      </c>
      <c r="C2983">
        <v>6392</v>
      </c>
      <c r="D2983" s="1" t="s">
        <v>173</v>
      </c>
      <c r="E2983" s="1" t="s">
        <v>6</v>
      </c>
      <c r="F2983">
        <v>5</v>
      </c>
      <c r="G2983" s="1" t="str">
        <f>Ocupacao_DW[[#This Row],[data]]&amp;Ocupacao_DW[[#This Row],[profissional_id]]&amp;Ocupacao_DW[[#This Row],[local_id]]</f>
        <v>4464863925</v>
      </c>
      <c r="H2983" s="1">
        <f>_xlfn.XLOOKUP(Ocupacao_DW[[#This Row],[Concat]],Vagas!$H:$H,Vagas!$D:$D,"",0)</f>
        <v>0</v>
      </c>
    </row>
    <row r="2984" spans="1:8" x14ac:dyDescent="0.25">
      <c r="A2984" s="2">
        <v>44636</v>
      </c>
      <c r="B2984" s="1" t="s">
        <v>52</v>
      </c>
      <c r="C2984">
        <v>10691</v>
      </c>
      <c r="D2984" s="1" t="s">
        <v>181</v>
      </c>
      <c r="E2984" s="1" t="s">
        <v>6</v>
      </c>
      <c r="F2984">
        <v>9</v>
      </c>
      <c r="G2984" s="1" t="str">
        <f>Ocupacao_DW[[#This Row],[data]]&amp;Ocupacao_DW[[#This Row],[profissional_id]]&amp;Ocupacao_DW[[#This Row],[local_id]]</f>
        <v>44636106919</v>
      </c>
      <c r="H2984" s="1">
        <f>_xlfn.XLOOKUP(Ocupacao_DW[[#This Row],[Concat]],Vagas!$H:$H,Vagas!$D:$D,"",0)</f>
        <v>0</v>
      </c>
    </row>
    <row r="2985" spans="1:8" x14ac:dyDescent="0.25">
      <c r="A2985" s="2">
        <v>44635</v>
      </c>
      <c r="B2985" s="1"/>
      <c r="C2985">
        <v>0</v>
      </c>
      <c r="D2985" s="1"/>
      <c r="E2985" s="1" t="s">
        <v>4</v>
      </c>
      <c r="F2985">
        <v>40</v>
      </c>
      <c r="G2985" s="1" t="str">
        <f>Ocupacao_DW[[#This Row],[data]]&amp;Ocupacao_DW[[#This Row],[profissional_id]]&amp;Ocupacao_DW[[#This Row],[local_id]]</f>
        <v>44635040</v>
      </c>
      <c r="H2985" s="1" t="str">
        <f>_xlfn.XLOOKUP(Ocupacao_DW[[#This Row],[Concat]],Vagas!$H:$H,Vagas!$D:$D,"",0)</f>
        <v/>
      </c>
    </row>
    <row r="2986" spans="1:8" x14ac:dyDescent="0.25">
      <c r="A2986" s="2">
        <v>44638</v>
      </c>
      <c r="B2986" s="1" t="s">
        <v>52</v>
      </c>
      <c r="C2986">
        <v>10691</v>
      </c>
      <c r="D2986" s="1" t="s">
        <v>181</v>
      </c>
      <c r="E2986" s="1" t="s">
        <v>200</v>
      </c>
      <c r="F2986">
        <v>78</v>
      </c>
      <c r="G2986" s="1" t="str">
        <f>Ocupacao_DW[[#This Row],[data]]&amp;Ocupacao_DW[[#This Row],[profissional_id]]&amp;Ocupacao_DW[[#This Row],[local_id]]</f>
        <v>446381069178</v>
      </c>
      <c r="H2986" s="1">
        <f>_xlfn.XLOOKUP(Ocupacao_DW[[#This Row],[Concat]],Vagas!$H:$H,Vagas!$D:$D,"",0)</f>
        <v>0</v>
      </c>
    </row>
    <row r="2987" spans="1:8" x14ac:dyDescent="0.25">
      <c r="A2987" s="2">
        <v>44642</v>
      </c>
      <c r="B2987" s="1" t="s">
        <v>55</v>
      </c>
      <c r="C2987">
        <v>12669</v>
      </c>
      <c r="D2987" s="1" t="s">
        <v>223</v>
      </c>
      <c r="E2987" s="1" t="s">
        <v>6</v>
      </c>
      <c r="F2987">
        <v>6</v>
      </c>
      <c r="G2987" s="1" t="str">
        <f>Ocupacao_DW[[#This Row],[data]]&amp;Ocupacao_DW[[#This Row],[profissional_id]]&amp;Ocupacao_DW[[#This Row],[local_id]]</f>
        <v>44642126696</v>
      </c>
      <c r="H2987" s="1">
        <f>_xlfn.XLOOKUP(Ocupacao_DW[[#This Row],[Concat]],Vagas!$H:$H,Vagas!$D:$D,"",0)</f>
        <v>0</v>
      </c>
    </row>
    <row r="2988" spans="1:8" x14ac:dyDescent="0.25">
      <c r="A2988" s="2">
        <v>44641</v>
      </c>
      <c r="B2988" s="1" t="s">
        <v>52</v>
      </c>
      <c r="C2988">
        <v>10691</v>
      </c>
      <c r="D2988" s="1" t="s">
        <v>181</v>
      </c>
      <c r="E2988" s="1" t="s">
        <v>6</v>
      </c>
      <c r="F2988">
        <v>9</v>
      </c>
      <c r="G2988" s="1" t="str">
        <f>Ocupacao_DW[[#This Row],[data]]&amp;Ocupacao_DW[[#This Row],[profissional_id]]&amp;Ocupacao_DW[[#This Row],[local_id]]</f>
        <v>44641106919</v>
      </c>
      <c r="H2988" s="1">
        <f>_xlfn.XLOOKUP(Ocupacao_DW[[#This Row],[Concat]],Vagas!$H:$H,Vagas!$D:$D,"",0)</f>
        <v>0</v>
      </c>
    </row>
    <row r="2989" spans="1:8" x14ac:dyDescent="0.25">
      <c r="A2989" s="2">
        <v>44644</v>
      </c>
      <c r="B2989" s="1" t="s">
        <v>55</v>
      </c>
      <c r="C2989">
        <v>8598</v>
      </c>
      <c r="D2989" s="1" t="s">
        <v>228</v>
      </c>
      <c r="E2989" s="1" t="s">
        <v>6</v>
      </c>
      <c r="F2989">
        <v>3</v>
      </c>
      <c r="G2989" s="1" t="str">
        <f>Ocupacao_DW[[#This Row],[data]]&amp;Ocupacao_DW[[#This Row],[profissional_id]]&amp;Ocupacao_DW[[#This Row],[local_id]]</f>
        <v>4464485983</v>
      </c>
      <c r="H2989" s="1">
        <f>_xlfn.XLOOKUP(Ocupacao_DW[[#This Row],[Concat]],Vagas!$H:$H,Vagas!$D:$D,"",0)</f>
        <v>0</v>
      </c>
    </row>
    <row r="2990" spans="1:8" x14ac:dyDescent="0.25">
      <c r="A2990" s="2">
        <v>44635</v>
      </c>
      <c r="B2990" s="1"/>
      <c r="C2990">
        <v>0</v>
      </c>
      <c r="D2990" s="1"/>
      <c r="E2990" s="1" t="s">
        <v>167</v>
      </c>
      <c r="F2990">
        <v>24</v>
      </c>
      <c r="G2990" s="1" t="str">
        <f>Ocupacao_DW[[#This Row],[data]]&amp;Ocupacao_DW[[#This Row],[profissional_id]]&amp;Ocupacao_DW[[#This Row],[local_id]]</f>
        <v>44635024</v>
      </c>
      <c r="H2990" s="1" t="str">
        <f>_xlfn.XLOOKUP(Ocupacao_DW[[#This Row],[Concat]],Vagas!$H:$H,Vagas!$D:$D,"",0)</f>
        <v/>
      </c>
    </row>
    <row r="2991" spans="1:8" x14ac:dyDescent="0.25">
      <c r="A2991" s="2">
        <v>44644</v>
      </c>
      <c r="B2991" s="1" t="s">
        <v>55</v>
      </c>
      <c r="C2991">
        <v>12426</v>
      </c>
      <c r="D2991" s="1" t="s">
        <v>215</v>
      </c>
      <c r="E2991" s="1" t="s">
        <v>6</v>
      </c>
      <c r="F2991">
        <v>5</v>
      </c>
      <c r="G2991" s="1" t="str">
        <f>Ocupacao_DW[[#This Row],[data]]&amp;Ocupacao_DW[[#This Row],[profissional_id]]&amp;Ocupacao_DW[[#This Row],[local_id]]</f>
        <v>44644124265</v>
      </c>
      <c r="H2991" s="1">
        <f>_xlfn.XLOOKUP(Ocupacao_DW[[#This Row],[Concat]],Vagas!$H:$H,Vagas!$D:$D,"",0)</f>
        <v>0</v>
      </c>
    </row>
    <row r="2992" spans="1:8" x14ac:dyDescent="0.25">
      <c r="A2992" s="2">
        <v>44635</v>
      </c>
      <c r="B2992" s="1" t="s">
        <v>47</v>
      </c>
      <c r="C2992">
        <v>9111</v>
      </c>
      <c r="D2992" s="1" t="s">
        <v>206</v>
      </c>
      <c r="E2992" s="1" t="s">
        <v>4</v>
      </c>
      <c r="F2992">
        <v>335</v>
      </c>
      <c r="G2992" s="1" t="str">
        <f>Ocupacao_DW[[#This Row],[data]]&amp;Ocupacao_DW[[#This Row],[profissional_id]]&amp;Ocupacao_DW[[#This Row],[local_id]]</f>
        <v>446359111335</v>
      </c>
      <c r="H2992" s="1">
        <f>_xlfn.XLOOKUP(Ocupacao_DW[[#This Row],[Concat]],Vagas!$H:$H,Vagas!$D:$D,"",0)</f>
        <v>0</v>
      </c>
    </row>
    <row r="2993" spans="1:8" x14ac:dyDescent="0.25">
      <c r="A2993" s="2">
        <v>44637</v>
      </c>
      <c r="B2993" s="1" t="s">
        <v>52</v>
      </c>
      <c r="C2993">
        <v>9217</v>
      </c>
      <c r="D2993" s="1" t="s">
        <v>191</v>
      </c>
      <c r="E2993" s="1" t="s">
        <v>6</v>
      </c>
      <c r="F2993">
        <v>7</v>
      </c>
      <c r="G2993" s="1" t="str">
        <f>Ocupacao_DW[[#This Row],[data]]&amp;Ocupacao_DW[[#This Row],[profissional_id]]&amp;Ocupacao_DW[[#This Row],[local_id]]</f>
        <v>4463792177</v>
      </c>
      <c r="H2993" s="1">
        <f>_xlfn.XLOOKUP(Ocupacao_DW[[#This Row],[Concat]],Vagas!$H:$H,Vagas!$D:$D,"",0)</f>
        <v>0</v>
      </c>
    </row>
    <row r="2994" spans="1:8" x14ac:dyDescent="0.25">
      <c r="A2994" s="2">
        <v>44635</v>
      </c>
      <c r="B2994" s="1" t="s">
        <v>43</v>
      </c>
      <c r="C2994">
        <v>57</v>
      </c>
      <c r="D2994" s="1" t="s">
        <v>169</v>
      </c>
      <c r="E2994" s="1" t="s">
        <v>6</v>
      </c>
      <c r="F2994">
        <v>2</v>
      </c>
      <c r="G2994" s="1" t="str">
        <f>Ocupacao_DW[[#This Row],[data]]&amp;Ocupacao_DW[[#This Row],[profissional_id]]&amp;Ocupacao_DW[[#This Row],[local_id]]</f>
        <v>44635572</v>
      </c>
      <c r="H2994" s="1">
        <f>_xlfn.XLOOKUP(Ocupacao_DW[[#This Row],[Concat]],Vagas!$H:$H,Vagas!$D:$D,"",0)</f>
        <v>0</v>
      </c>
    </row>
    <row r="2995" spans="1:8" x14ac:dyDescent="0.25">
      <c r="A2995" s="2">
        <v>44635</v>
      </c>
      <c r="B2995" s="1" t="s">
        <v>55</v>
      </c>
      <c r="C2995">
        <v>60</v>
      </c>
      <c r="D2995" s="1" t="s">
        <v>217</v>
      </c>
      <c r="E2995" s="1" t="s">
        <v>167</v>
      </c>
      <c r="F2995">
        <v>345</v>
      </c>
      <c r="G2995" s="1" t="str">
        <f>Ocupacao_DW[[#This Row],[data]]&amp;Ocupacao_DW[[#This Row],[profissional_id]]&amp;Ocupacao_DW[[#This Row],[local_id]]</f>
        <v>4463560345</v>
      </c>
      <c r="H2995" s="1">
        <f>_xlfn.XLOOKUP(Ocupacao_DW[[#This Row],[Concat]],Vagas!$H:$H,Vagas!$D:$D,"",0)</f>
        <v>0</v>
      </c>
    </row>
    <row r="2996" spans="1:8" x14ac:dyDescent="0.25">
      <c r="A2996" s="2">
        <v>44637</v>
      </c>
      <c r="B2996" s="1" t="s">
        <v>51</v>
      </c>
      <c r="C2996">
        <v>12582</v>
      </c>
      <c r="D2996" s="1" t="s">
        <v>190</v>
      </c>
      <c r="E2996" s="1" t="s">
        <v>5</v>
      </c>
      <c r="F2996">
        <v>15</v>
      </c>
      <c r="G2996" s="1" t="str">
        <f>Ocupacao_DW[[#This Row],[data]]&amp;Ocupacao_DW[[#This Row],[profissional_id]]&amp;Ocupacao_DW[[#This Row],[local_id]]</f>
        <v>446371258215</v>
      </c>
      <c r="H2996" s="1">
        <f>_xlfn.XLOOKUP(Ocupacao_DW[[#This Row],[Concat]],Vagas!$H:$H,Vagas!$D:$D,"",0)</f>
        <v>0</v>
      </c>
    </row>
    <row r="2997" spans="1:8" x14ac:dyDescent="0.25">
      <c r="A2997" s="2">
        <v>44642</v>
      </c>
      <c r="B2997" s="1" t="s">
        <v>50</v>
      </c>
      <c r="C2997">
        <v>4814</v>
      </c>
      <c r="D2997" s="1" t="s">
        <v>189</v>
      </c>
      <c r="E2997" s="1" t="s">
        <v>5</v>
      </c>
      <c r="F2997">
        <v>17</v>
      </c>
      <c r="G2997" s="1" t="str">
        <f>Ocupacao_DW[[#This Row],[data]]&amp;Ocupacao_DW[[#This Row],[profissional_id]]&amp;Ocupacao_DW[[#This Row],[local_id]]</f>
        <v>44642481417</v>
      </c>
      <c r="H2997" s="1">
        <f>_xlfn.XLOOKUP(Ocupacao_DW[[#This Row],[Concat]],Vagas!$H:$H,Vagas!$D:$D,"",0)</f>
        <v>0</v>
      </c>
    </row>
    <row r="2998" spans="1:8" x14ac:dyDescent="0.25">
      <c r="A2998" s="2">
        <v>44636</v>
      </c>
      <c r="B2998" s="1" t="s">
        <v>54</v>
      </c>
      <c r="C2998">
        <v>70</v>
      </c>
      <c r="D2998" s="1" t="s">
        <v>187</v>
      </c>
      <c r="E2998" s="1" t="s">
        <v>5</v>
      </c>
      <c r="F2998">
        <v>13</v>
      </c>
      <c r="G2998" s="1" t="str">
        <f>Ocupacao_DW[[#This Row],[data]]&amp;Ocupacao_DW[[#This Row],[profissional_id]]&amp;Ocupacao_DW[[#This Row],[local_id]]</f>
        <v>446367013</v>
      </c>
      <c r="H2998" s="1">
        <f>_xlfn.XLOOKUP(Ocupacao_DW[[#This Row],[Concat]],Vagas!$H:$H,Vagas!$D:$D,"",0)</f>
        <v>0</v>
      </c>
    </row>
    <row r="2999" spans="1:8" x14ac:dyDescent="0.25">
      <c r="A2999" s="2">
        <v>44642</v>
      </c>
      <c r="B2999" s="1" t="s">
        <v>54</v>
      </c>
      <c r="C2999">
        <v>10941</v>
      </c>
      <c r="D2999" s="1" t="s">
        <v>224</v>
      </c>
      <c r="E2999" s="1" t="s">
        <v>200</v>
      </c>
      <c r="F2999">
        <v>83</v>
      </c>
      <c r="G2999" s="1" t="str">
        <f>Ocupacao_DW[[#This Row],[data]]&amp;Ocupacao_DW[[#This Row],[profissional_id]]&amp;Ocupacao_DW[[#This Row],[local_id]]</f>
        <v>446421094183</v>
      </c>
      <c r="H2999" s="1">
        <f>_xlfn.XLOOKUP(Ocupacao_DW[[#This Row],[Concat]],Vagas!$H:$H,Vagas!$D:$D,"",0)</f>
        <v>0</v>
      </c>
    </row>
    <row r="3000" spans="1:8" x14ac:dyDescent="0.25">
      <c r="A3000" s="2">
        <v>44650</v>
      </c>
      <c r="B3000" s="1" t="s">
        <v>54</v>
      </c>
      <c r="C3000">
        <v>1490</v>
      </c>
      <c r="D3000" s="1" t="s">
        <v>174</v>
      </c>
      <c r="E3000" s="1" t="s">
        <v>5</v>
      </c>
      <c r="F3000">
        <v>13</v>
      </c>
      <c r="G3000" s="1" t="str">
        <f>Ocupacao_DW[[#This Row],[data]]&amp;Ocupacao_DW[[#This Row],[profissional_id]]&amp;Ocupacao_DW[[#This Row],[local_id]]</f>
        <v>44650149013</v>
      </c>
      <c r="H3000" s="1">
        <f>_xlfn.XLOOKUP(Ocupacao_DW[[#This Row],[Concat]],Vagas!$H:$H,Vagas!$D:$D,"",0)</f>
        <v>0</v>
      </c>
    </row>
    <row r="3001" spans="1:8" x14ac:dyDescent="0.25">
      <c r="A3001" s="2">
        <v>44635</v>
      </c>
      <c r="B3001" s="1" t="s">
        <v>65</v>
      </c>
      <c r="C3001">
        <v>11237</v>
      </c>
      <c r="D3001" s="1" t="s">
        <v>229</v>
      </c>
      <c r="E3001" s="1" t="s">
        <v>4</v>
      </c>
      <c r="F3001">
        <v>46</v>
      </c>
      <c r="G3001" s="1" t="str">
        <f>Ocupacao_DW[[#This Row],[data]]&amp;Ocupacao_DW[[#This Row],[profissional_id]]&amp;Ocupacao_DW[[#This Row],[local_id]]</f>
        <v>446351123746</v>
      </c>
      <c r="H3001" s="1">
        <f>_xlfn.XLOOKUP(Ocupacao_DW[[#This Row],[Concat]],Vagas!$H:$H,Vagas!$D:$D,"",0)</f>
        <v>0</v>
      </c>
    </row>
    <row r="3002" spans="1:8" x14ac:dyDescent="0.25">
      <c r="A3002" s="2">
        <v>44635</v>
      </c>
      <c r="B3002" s="1" t="s">
        <v>51</v>
      </c>
      <c r="C3002">
        <v>12582</v>
      </c>
      <c r="D3002" s="1" t="s">
        <v>190</v>
      </c>
      <c r="E3002" s="1" t="s">
        <v>7</v>
      </c>
      <c r="F3002">
        <v>62</v>
      </c>
      <c r="G3002" s="1" t="str">
        <f>Ocupacao_DW[[#This Row],[data]]&amp;Ocupacao_DW[[#This Row],[profissional_id]]&amp;Ocupacao_DW[[#This Row],[local_id]]</f>
        <v>446351258262</v>
      </c>
      <c r="H3002" s="1">
        <f>_xlfn.XLOOKUP(Ocupacao_DW[[#This Row],[Concat]],Vagas!$H:$H,Vagas!$D:$D,"",0)</f>
        <v>0</v>
      </c>
    </row>
    <row r="3003" spans="1:8" x14ac:dyDescent="0.25">
      <c r="A3003" s="2">
        <v>44635</v>
      </c>
      <c r="B3003" s="1" t="s">
        <v>55</v>
      </c>
      <c r="C3003">
        <v>14452</v>
      </c>
      <c r="D3003" s="1" t="s">
        <v>266</v>
      </c>
      <c r="E3003" s="1" t="s">
        <v>200</v>
      </c>
      <c r="F3003">
        <v>78</v>
      </c>
      <c r="G3003" s="1" t="str">
        <f>Ocupacao_DW[[#This Row],[data]]&amp;Ocupacao_DW[[#This Row],[profissional_id]]&amp;Ocupacao_DW[[#This Row],[local_id]]</f>
        <v>446351445278</v>
      </c>
      <c r="H3003" s="1">
        <f>_xlfn.XLOOKUP(Ocupacao_DW[[#This Row],[Concat]],Vagas!$H:$H,Vagas!$D:$D,"",0)</f>
        <v>0</v>
      </c>
    </row>
    <row r="3004" spans="1:8" x14ac:dyDescent="0.25">
      <c r="A3004" s="2">
        <v>44642</v>
      </c>
      <c r="B3004" s="1"/>
      <c r="C3004">
        <v>57</v>
      </c>
      <c r="D3004" s="1" t="s">
        <v>169</v>
      </c>
      <c r="E3004" s="1" t="s">
        <v>6</v>
      </c>
      <c r="F3004">
        <v>2</v>
      </c>
      <c r="G3004" s="1" t="str">
        <f>Ocupacao_DW[[#This Row],[data]]&amp;Ocupacao_DW[[#This Row],[profissional_id]]&amp;Ocupacao_DW[[#This Row],[local_id]]</f>
        <v>44642572</v>
      </c>
      <c r="H3004" s="1">
        <f>_xlfn.XLOOKUP(Ocupacao_DW[[#This Row],[Concat]],Vagas!$H:$H,Vagas!$D:$D,"",0)</f>
        <v>19</v>
      </c>
    </row>
    <row r="3005" spans="1:8" x14ac:dyDescent="0.25">
      <c r="A3005" s="2">
        <v>44636</v>
      </c>
      <c r="B3005" s="1" t="s">
        <v>56</v>
      </c>
      <c r="C3005">
        <v>5927</v>
      </c>
      <c r="D3005" s="1" t="s">
        <v>226</v>
      </c>
      <c r="E3005" s="1" t="s">
        <v>5</v>
      </c>
      <c r="F3005">
        <v>17</v>
      </c>
      <c r="G3005" s="1" t="str">
        <f>Ocupacao_DW[[#This Row],[data]]&amp;Ocupacao_DW[[#This Row],[profissional_id]]&amp;Ocupacao_DW[[#This Row],[local_id]]</f>
        <v>44636592717</v>
      </c>
      <c r="H3005" s="1">
        <f>_xlfn.XLOOKUP(Ocupacao_DW[[#This Row],[Concat]],Vagas!$H:$H,Vagas!$D:$D,"",0)</f>
        <v>0</v>
      </c>
    </row>
    <row r="3006" spans="1:8" x14ac:dyDescent="0.25">
      <c r="A3006" s="2">
        <v>44648</v>
      </c>
      <c r="B3006" s="1" t="s">
        <v>55</v>
      </c>
      <c r="C3006">
        <v>2984</v>
      </c>
      <c r="D3006" s="1" t="s">
        <v>185</v>
      </c>
      <c r="E3006" s="1" t="s">
        <v>6</v>
      </c>
      <c r="F3006">
        <v>7</v>
      </c>
      <c r="G3006" s="1" t="str">
        <f>Ocupacao_DW[[#This Row],[data]]&amp;Ocupacao_DW[[#This Row],[profissional_id]]&amp;Ocupacao_DW[[#This Row],[local_id]]</f>
        <v>4464829847</v>
      </c>
      <c r="H3006" s="1">
        <f>_xlfn.XLOOKUP(Ocupacao_DW[[#This Row],[Concat]],Vagas!$H:$H,Vagas!$D:$D,"",0)</f>
        <v>0</v>
      </c>
    </row>
    <row r="3007" spans="1:8" x14ac:dyDescent="0.25">
      <c r="A3007" s="2">
        <v>44643</v>
      </c>
      <c r="B3007" s="1" t="s">
        <v>22</v>
      </c>
      <c r="C3007">
        <v>17893</v>
      </c>
      <c r="D3007" s="1" t="s">
        <v>275</v>
      </c>
      <c r="E3007" s="1" t="s">
        <v>6</v>
      </c>
      <c r="F3007">
        <v>4</v>
      </c>
      <c r="G3007" s="1" t="str">
        <f>Ocupacao_DW[[#This Row],[data]]&amp;Ocupacao_DW[[#This Row],[profissional_id]]&amp;Ocupacao_DW[[#This Row],[local_id]]</f>
        <v>44643178934</v>
      </c>
      <c r="H3007" s="1">
        <f>_xlfn.XLOOKUP(Ocupacao_DW[[#This Row],[Concat]],Vagas!$H:$H,Vagas!$D:$D,"",0)</f>
        <v>5</v>
      </c>
    </row>
    <row r="3008" spans="1:8" x14ac:dyDescent="0.25">
      <c r="A3008" s="2">
        <v>44635</v>
      </c>
      <c r="B3008" s="1" t="s">
        <v>70</v>
      </c>
      <c r="C3008">
        <v>12825</v>
      </c>
      <c r="D3008" s="1" t="s">
        <v>177</v>
      </c>
      <c r="E3008" s="1" t="s">
        <v>7</v>
      </c>
      <c r="F3008">
        <v>63</v>
      </c>
      <c r="G3008" s="1" t="str">
        <f>Ocupacao_DW[[#This Row],[data]]&amp;Ocupacao_DW[[#This Row],[profissional_id]]&amp;Ocupacao_DW[[#This Row],[local_id]]</f>
        <v>446351282563</v>
      </c>
      <c r="H3008" s="1">
        <f>_xlfn.XLOOKUP(Ocupacao_DW[[#This Row],[Concat]],Vagas!$H:$H,Vagas!$D:$D,"",0)</f>
        <v>0</v>
      </c>
    </row>
    <row r="3009" spans="1:8" x14ac:dyDescent="0.25">
      <c r="A3009" s="2">
        <v>44644</v>
      </c>
      <c r="B3009" s="1" t="s">
        <v>59</v>
      </c>
      <c r="C3009">
        <v>10249</v>
      </c>
      <c r="D3009" s="1" t="s">
        <v>231</v>
      </c>
      <c r="E3009" s="1" t="s">
        <v>4</v>
      </c>
      <c r="F3009">
        <v>44</v>
      </c>
      <c r="G3009" s="1" t="str">
        <f>Ocupacao_DW[[#This Row],[data]]&amp;Ocupacao_DW[[#This Row],[profissional_id]]&amp;Ocupacao_DW[[#This Row],[local_id]]</f>
        <v>446441024944</v>
      </c>
      <c r="H3009" s="1">
        <f>_xlfn.XLOOKUP(Ocupacao_DW[[#This Row],[Concat]],Vagas!$H:$H,Vagas!$D:$D,"",0)</f>
        <v>0</v>
      </c>
    </row>
    <row r="3010" spans="1:8" x14ac:dyDescent="0.25">
      <c r="A3010" s="2">
        <v>44635</v>
      </c>
      <c r="B3010" s="1" t="s">
        <v>49</v>
      </c>
      <c r="C3010">
        <v>81</v>
      </c>
      <c r="D3010" s="1" t="s">
        <v>170</v>
      </c>
      <c r="E3010" s="1" t="s">
        <v>7</v>
      </c>
      <c r="F3010">
        <v>71</v>
      </c>
      <c r="G3010" s="1" t="str">
        <f>Ocupacao_DW[[#This Row],[data]]&amp;Ocupacao_DW[[#This Row],[profissional_id]]&amp;Ocupacao_DW[[#This Row],[local_id]]</f>
        <v>446358171</v>
      </c>
      <c r="H3010" s="1">
        <f>_xlfn.XLOOKUP(Ocupacao_DW[[#This Row],[Concat]],Vagas!$H:$H,Vagas!$D:$D,"",0)</f>
        <v>0</v>
      </c>
    </row>
    <row r="3011" spans="1:8" x14ac:dyDescent="0.25">
      <c r="A3011" s="2">
        <v>44636</v>
      </c>
      <c r="B3011" s="1"/>
      <c r="C3011">
        <v>0</v>
      </c>
      <c r="D3011" s="1"/>
      <c r="E3011" s="1" t="s">
        <v>4</v>
      </c>
      <c r="F3011">
        <v>40</v>
      </c>
      <c r="G3011" s="1" t="str">
        <f>Ocupacao_DW[[#This Row],[data]]&amp;Ocupacao_DW[[#This Row],[profissional_id]]&amp;Ocupacao_DW[[#This Row],[local_id]]</f>
        <v>44636040</v>
      </c>
      <c r="H3011" s="1" t="str">
        <f>_xlfn.XLOOKUP(Ocupacao_DW[[#This Row],[Concat]],Vagas!$H:$H,Vagas!$D:$D,"",0)</f>
        <v/>
      </c>
    </row>
    <row r="3012" spans="1:8" x14ac:dyDescent="0.25">
      <c r="A3012" s="2">
        <v>44643</v>
      </c>
      <c r="B3012" s="1" t="s">
        <v>47</v>
      </c>
      <c r="C3012">
        <v>111</v>
      </c>
      <c r="D3012" s="1" t="s">
        <v>199</v>
      </c>
      <c r="E3012" s="1" t="s">
        <v>4</v>
      </c>
      <c r="F3012">
        <v>51</v>
      </c>
      <c r="G3012" s="1" t="str">
        <f>Ocupacao_DW[[#This Row],[data]]&amp;Ocupacao_DW[[#This Row],[profissional_id]]&amp;Ocupacao_DW[[#This Row],[local_id]]</f>
        <v>4464311151</v>
      </c>
      <c r="H3012" s="1">
        <f>_xlfn.XLOOKUP(Ocupacao_DW[[#This Row],[Concat]],Vagas!$H:$H,Vagas!$D:$D,"",0)</f>
        <v>0</v>
      </c>
    </row>
    <row r="3013" spans="1:8" x14ac:dyDescent="0.25">
      <c r="A3013" s="2">
        <v>44655</v>
      </c>
      <c r="B3013" s="1" t="s">
        <v>55</v>
      </c>
      <c r="C3013">
        <v>6392</v>
      </c>
      <c r="D3013" s="1" t="s">
        <v>173</v>
      </c>
      <c r="E3013" s="1" t="s">
        <v>6</v>
      </c>
      <c r="F3013">
        <v>5</v>
      </c>
      <c r="G3013" s="1" t="str">
        <f>Ocupacao_DW[[#This Row],[data]]&amp;Ocupacao_DW[[#This Row],[profissional_id]]&amp;Ocupacao_DW[[#This Row],[local_id]]</f>
        <v>4465563925</v>
      </c>
      <c r="H3013" s="1">
        <f>_xlfn.XLOOKUP(Ocupacao_DW[[#This Row],[Concat]],Vagas!$H:$H,Vagas!$D:$D,"",0)</f>
        <v>0</v>
      </c>
    </row>
    <row r="3014" spans="1:8" x14ac:dyDescent="0.25">
      <c r="A3014" s="2">
        <v>44636</v>
      </c>
      <c r="B3014" s="1" t="s">
        <v>47</v>
      </c>
      <c r="C3014">
        <v>111</v>
      </c>
      <c r="D3014" s="1" t="s">
        <v>199</v>
      </c>
      <c r="E3014" s="1" t="s">
        <v>4</v>
      </c>
      <c r="F3014">
        <v>51</v>
      </c>
      <c r="G3014" s="1" t="str">
        <f>Ocupacao_DW[[#This Row],[data]]&amp;Ocupacao_DW[[#This Row],[profissional_id]]&amp;Ocupacao_DW[[#This Row],[local_id]]</f>
        <v>4463611151</v>
      </c>
      <c r="H3014" s="1">
        <f>_xlfn.XLOOKUP(Ocupacao_DW[[#This Row],[Concat]],Vagas!$H:$H,Vagas!$D:$D,"",0)</f>
        <v>1</v>
      </c>
    </row>
    <row r="3015" spans="1:8" x14ac:dyDescent="0.25">
      <c r="A3015" s="2">
        <v>44635</v>
      </c>
      <c r="B3015" s="1" t="s">
        <v>70</v>
      </c>
      <c r="C3015">
        <v>12825</v>
      </c>
      <c r="D3015" s="1" t="s">
        <v>177</v>
      </c>
      <c r="E3015" s="1" t="s">
        <v>7</v>
      </c>
      <c r="F3015">
        <v>63</v>
      </c>
      <c r="G3015" s="1" t="str">
        <f>Ocupacao_DW[[#This Row],[data]]&amp;Ocupacao_DW[[#This Row],[profissional_id]]&amp;Ocupacao_DW[[#This Row],[local_id]]</f>
        <v>446351282563</v>
      </c>
      <c r="H3015" s="1">
        <f>_xlfn.XLOOKUP(Ocupacao_DW[[#This Row],[Concat]],Vagas!$H:$H,Vagas!$D:$D,"",0)</f>
        <v>0</v>
      </c>
    </row>
    <row r="3016" spans="1:8" x14ac:dyDescent="0.25">
      <c r="A3016" s="2">
        <v>44657</v>
      </c>
      <c r="B3016" s="1" t="s">
        <v>55</v>
      </c>
      <c r="C3016">
        <v>73</v>
      </c>
      <c r="D3016" s="1" t="s">
        <v>171</v>
      </c>
      <c r="E3016" s="1" t="s">
        <v>6</v>
      </c>
      <c r="F3016">
        <v>5</v>
      </c>
      <c r="G3016" s="1" t="str">
        <f>Ocupacao_DW[[#This Row],[data]]&amp;Ocupacao_DW[[#This Row],[profissional_id]]&amp;Ocupacao_DW[[#This Row],[local_id]]</f>
        <v>44657735</v>
      </c>
      <c r="H3016" s="1">
        <f>_xlfn.XLOOKUP(Ocupacao_DW[[#This Row],[Concat]],Vagas!$H:$H,Vagas!$D:$D,"",0)</f>
        <v>0</v>
      </c>
    </row>
    <row r="3017" spans="1:8" x14ac:dyDescent="0.25">
      <c r="A3017" s="2">
        <v>44636</v>
      </c>
      <c r="B3017" s="1" t="s">
        <v>52</v>
      </c>
      <c r="C3017">
        <v>10691</v>
      </c>
      <c r="D3017" s="1" t="s">
        <v>181</v>
      </c>
      <c r="E3017" s="1" t="s">
        <v>6</v>
      </c>
      <c r="F3017">
        <v>9</v>
      </c>
      <c r="G3017" s="1" t="str">
        <f>Ocupacao_DW[[#This Row],[data]]&amp;Ocupacao_DW[[#This Row],[profissional_id]]&amp;Ocupacao_DW[[#This Row],[local_id]]</f>
        <v>44636106919</v>
      </c>
      <c r="H3017" s="1">
        <f>_xlfn.XLOOKUP(Ocupacao_DW[[#This Row],[Concat]],Vagas!$H:$H,Vagas!$D:$D,"",0)</f>
        <v>0</v>
      </c>
    </row>
    <row r="3018" spans="1:8" x14ac:dyDescent="0.25">
      <c r="A3018" s="2">
        <v>44636</v>
      </c>
      <c r="B3018" s="1" t="s">
        <v>24</v>
      </c>
      <c r="C3018">
        <v>13061</v>
      </c>
      <c r="D3018" s="1" t="s">
        <v>232</v>
      </c>
      <c r="E3018" s="1" t="s">
        <v>6</v>
      </c>
      <c r="F3018">
        <v>3</v>
      </c>
      <c r="G3018" s="1" t="str">
        <f>Ocupacao_DW[[#This Row],[data]]&amp;Ocupacao_DW[[#This Row],[profissional_id]]&amp;Ocupacao_DW[[#This Row],[local_id]]</f>
        <v>44636130613</v>
      </c>
      <c r="H3018" s="1">
        <f>_xlfn.XLOOKUP(Ocupacao_DW[[#This Row],[Concat]],Vagas!$H:$H,Vagas!$D:$D,"",0)</f>
        <v>0</v>
      </c>
    </row>
    <row r="3019" spans="1:8" x14ac:dyDescent="0.25">
      <c r="A3019" s="2">
        <v>44636</v>
      </c>
      <c r="B3019" s="1"/>
      <c r="C3019">
        <v>0</v>
      </c>
      <c r="D3019" s="1"/>
      <c r="E3019" s="1" t="s">
        <v>167</v>
      </c>
      <c r="F3019">
        <v>25</v>
      </c>
      <c r="G3019" s="1" t="str">
        <f>Ocupacao_DW[[#This Row],[data]]&amp;Ocupacao_DW[[#This Row],[profissional_id]]&amp;Ocupacao_DW[[#This Row],[local_id]]</f>
        <v>44636025</v>
      </c>
      <c r="H3019" s="1" t="str">
        <f>_xlfn.XLOOKUP(Ocupacao_DW[[#This Row],[Concat]],Vagas!$H:$H,Vagas!$D:$D,"",0)</f>
        <v/>
      </c>
    </row>
    <row r="3020" spans="1:8" x14ac:dyDescent="0.25">
      <c r="A3020" s="2">
        <v>44635</v>
      </c>
      <c r="B3020" s="1" t="s">
        <v>54</v>
      </c>
      <c r="C3020">
        <v>69</v>
      </c>
      <c r="D3020" s="1" t="s">
        <v>238</v>
      </c>
      <c r="E3020" s="1" t="s">
        <v>5</v>
      </c>
      <c r="F3020">
        <v>13</v>
      </c>
      <c r="G3020" s="1" t="str">
        <f>Ocupacao_DW[[#This Row],[data]]&amp;Ocupacao_DW[[#This Row],[profissional_id]]&amp;Ocupacao_DW[[#This Row],[local_id]]</f>
        <v>446356913</v>
      </c>
      <c r="H3020" s="1">
        <f>_xlfn.XLOOKUP(Ocupacao_DW[[#This Row],[Concat]],Vagas!$H:$H,Vagas!$D:$D,"",0)</f>
        <v>0</v>
      </c>
    </row>
    <row r="3021" spans="1:8" x14ac:dyDescent="0.25">
      <c r="A3021" s="2">
        <v>44642</v>
      </c>
      <c r="B3021" s="1" t="s">
        <v>68</v>
      </c>
      <c r="C3021">
        <v>8239</v>
      </c>
      <c r="D3021" s="1" t="s">
        <v>257</v>
      </c>
      <c r="E3021" s="1" t="s">
        <v>5</v>
      </c>
      <c r="F3021">
        <v>14</v>
      </c>
      <c r="G3021" s="1" t="str">
        <f>Ocupacao_DW[[#This Row],[data]]&amp;Ocupacao_DW[[#This Row],[profissional_id]]&amp;Ocupacao_DW[[#This Row],[local_id]]</f>
        <v>44642823914</v>
      </c>
      <c r="H3021" s="1">
        <f>_xlfn.XLOOKUP(Ocupacao_DW[[#This Row],[Concat]],Vagas!$H:$H,Vagas!$D:$D,"",0)</f>
        <v>0</v>
      </c>
    </row>
    <row r="3022" spans="1:8" x14ac:dyDescent="0.25">
      <c r="A3022" s="2">
        <v>44643</v>
      </c>
      <c r="B3022" s="1" t="s">
        <v>43</v>
      </c>
      <c r="C3022">
        <v>57</v>
      </c>
      <c r="D3022" s="1" t="s">
        <v>169</v>
      </c>
      <c r="E3022" s="1" t="s">
        <v>6</v>
      </c>
      <c r="F3022">
        <v>4</v>
      </c>
      <c r="G3022" s="1" t="str">
        <f>Ocupacao_DW[[#This Row],[data]]&amp;Ocupacao_DW[[#This Row],[profissional_id]]&amp;Ocupacao_DW[[#This Row],[local_id]]</f>
        <v>44643574</v>
      </c>
      <c r="H3022" s="1">
        <f>_xlfn.XLOOKUP(Ocupacao_DW[[#This Row],[Concat]],Vagas!$H:$H,Vagas!$D:$D,"",0)</f>
        <v>0</v>
      </c>
    </row>
    <row r="3023" spans="1:8" x14ac:dyDescent="0.25">
      <c r="A3023" s="2">
        <v>44635</v>
      </c>
      <c r="B3023" s="1" t="s">
        <v>54</v>
      </c>
      <c r="C3023">
        <v>12623</v>
      </c>
      <c r="D3023" s="1" t="s">
        <v>258</v>
      </c>
      <c r="E3023" s="1" t="s">
        <v>5</v>
      </c>
      <c r="F3023">
        <v>11</v>
      </c>
      <c r="G3023" s="1" t="str">
        <f>Ocupacao_DW[[#This Row],[data]]&amp;Ocupacao_DW[[#This Row],[profissional_id]]&amp;Ocupacao_DW[[#This Row],[local_id]]</f>
        <v>446351262311</v>
      </c>
      <c r="H3023" s="1">
        <f>_xlfn.XLOOKUP(Ocupacao_DW[[#This Row],[Concat]],Vagas!$H:$H,Vagas!$D:$D,"",0)</f>
        <v>0</v>
      </c>
    </row>
    <row r="3024" spans="1:8" x14ac:dyDescent="0.25">
      <c r="A3024" s="2">
        <v>44635</v>
      </c>
      <c r="B3024" s="1" t="s">
        <v>54</v>
      </c>
      <c r="C3024">
        <v>12623</v>
      </c>
      <c r="D3024" s="1" t="s">
        <v>258</v>
      </c>
      <c r="E3024" s="1" t="s">
        <v>5</v>
      </c>
      <c r="F3024">
        <v>11</v>
      </c>
      <c r="G3024" s="1" t="str">
        <f>Ocupacao_DW[[#This Row],[data]]&amp;Ocupacao_DW[[#This Row],[profissional_id]]&amp;Ocupacao_DW[[#This Row],[local_id]]</f>
        <v>446351262311</v>
      </c>
      <c r="H3024" s="1">
        <f>_xlfn.XLOOKUP(Ocupacao_DW[[#This Row],[Concat]],Vagas!$H:$H,Vagas!$D:$D,"",0)</f>
        <v>0</v>
      </c>
    </row>
    <row r="3025" spans="1:8" x14ac:dyDescent="0.25">
      <c r="A3025" s="2">
        <v>44636</v>
      </c>
      <c r="B3025" s="1" t="s">
        <v>52</v>
      </c>
      <c r="C3025">
        <v>60</v>
      </c>
      <c r="D3025" s="1" t="s">
        <v>217</v>
      </c>
      <c r="E3025" s="1" t="s">
        <v>6</v>
      </c>
      <c r="F3025">
        <v>8</v>
      </c>
      <c r="G3025" s="1" t="str">
        <f>Ocupacao_DW[[#This Row],[data]]&amp;Ocupacao_DW[[#This Row],[profissional_id]]&amp;Ocupacao_DW[[#This Row],[local_id]]</f>
        <v>44636608</v>
      </c>
      <c r="H3025" s="1">
        <f>_xlfn.XLOOKUP(Ocupacao_DW[[#This Row],[Concat]],Vagas!$H:$H,Vagas!$D:$D,"",0)</f>
        <v>0</v>
      </c>
    </row>
    <row r="3026" spans="1:8" x14ac:dyDescent="0.25">
      <c r="A3026" s="2">
        <v>44644</v>
      </c>
      <c r="B3026" s="1" t="s">
        <v>55</v>
      </c>
      <c r="C3026">
        <v>12426</v>
      </c>
      <c r="D3026" s="1" t="s">
        <v>215</v>
      </c>
      <c r="E3026" s="1" t="s">
        <v>6</v>
      </c>
      <c r="F3026">
        <v>5</v>
      </c>
      <c r="G3026" s="1" t="str">
        <f>Ocupacao_DW[[#This Row],[data]]&amp;Ocupacao_DW[[#This Row],[profissional_id]]&amp;Ocupacao_DW[[#This Row],[local_id]]</f>
        <v>44644124265</v>
      </c>
      <c r="H3026" s="1">
        <f>_xlfn.XLOOKUP(Ocupacao_DW[[#This Row],[Concat]],Vagas!$H:$H,Vagas!$D:$D,"",0)</f>
        <v>0</v>
      </c>
    </row>
    <row r="3027" spans="1:8" x14ac:dyDescent="0.25">
      <c r="A3027" s="2">
        <v>44642</v>
      </c>
      <c r="B3027" s="1" t="s">
        <v>70</v>
      </c>
      <c r="C3027">
        <v>14237</v>
      </c>
      <c r="D3027" s="1" t="s">
        <v>186</v>
      </c>
      <c r="E3027" s="1" t="s">
        <v>4</v>
      </c>
      <c r="F3027">
        <v>47</v>
      </c>
      <c r="G3027" s="1" t="str">
        <f>Ocupacao_DW[[#This Row],[data]]&amp;Ocupacao_DW[[#This Row],[profissional_id]]&amp;Ocupacao_DW[[#This Row],[local_id]]</f>
        <v>446421423747</v>
      </c>
      <c r="H3027" s="1">
        <f>_xlfn.XLOOKUP(Ocupacao_DW[[#This Row],[Concat]],Vagas!$H:$H,Vagas!$D:$D,"",0)</f>
        <v>0</v>
      </c>
    </row>
    <row r="3028" spans="1:8" x14ac:dyDescent="0.25">
      <c r="A3028" s="2">
        <v>44643</v>
      </c>
      <c r="B3028" s="1" t="s">
        <v>64</v>
      </c>
      <c r="C3028">
        <v>531</v>
      </c>
      <c r="D3028" s="1" t="s">
        <v>213</v>
      </c>
      <c r="E3028" s="1" t="s">
        <v>5</v>
      </c>
      <c r="F3028">
        <v>12</v>
      </c>
      <c r="G3028" s="1" t="str">
        <f>Ocupacao_DW[[#This Row],[data]]&amp;Ocupacao_DW[[#This Row],[profissional_id]]&amp;Ocupacao_DW[[#This Row],[local_id]]</f>
        <v>4464353112</v>
      </c>
      <c r="H3028" s="1">
        <f>_xlfn.XLOOKUP(Ocupacao_DW[[#This Row],[Concat]],Vagas!$H:$H,Vagas!$D:$D,"",0)</f>
        <v>0</v>
      </c>
    </row>
    <row r="3029" spans="1:8" x14ac:dyDescent="0.25">
      <c r="A3029" s="2">
        <v>44636</v>
      </c>
      <c r="B3029" s="1" t="s">
        <v>52</v>
      </c>
      <c r="C3029">
        <v>10691</v>
      </c>
      <c r="D3029" s="1" t="s">
        <v>181</v>
      </c>
      <c r="E3029" s="1" t="s">
        <v>6</v>
      </c>
      <c r="F3029">
        <v>9</v>
      </c>
      <c r="G3029" s="1" t="str">
        <f>Ocupacao_DW[[#This Row],[data]]&amp;Ocupacao_DW[[#This Row],[profissional_id]]&amp;Ocupacao_DW[[#This Row],[local_id]]</f>
        <v>44636106919</v>
      </c>
      <c r="H3029" s="1">
        <f>_xlfn.XLOOKUP(Ocupacao_DW[[#This Row],[Concat]],Vagas!$H:$H,Vagas!$D:$D,"",0)</f>
        <v>0</v>
      </c>
    </row>
    <row r="3030" spans="1:8" x14ac:dyDescent="0.25">
      <c r="A3030" s="2">
        <v>44637</v>
      </c>
      <c r="B3030" s="1" t="s">
        <v>52</v>
      </c>
      <c r="C3030">
        <v>60</v>
      </c>
      <c r="D3030" s="1" t="s">
        <v>217</v>
      </c>
      <c r="E3030" s="1" t="s">
        <v>167</v>
      </c>
      <c r="F3030">
        <v>346</v>
      </c>
      <c r="G3030" s="1" t="str">
        <f>Ocupacao_DW[[#This Row],[data]]&amp;Ocupacao_DW[[#This Row],[profissional_id]]&amp;Ocupacao_DW[[#This Row],[local_id]]</f>
        <v>4463760346</v>
      </c>
      <c r="H3030" s="1">
        <f>_xlfn.XLOOKUP(Ocupacao_DW[[#This Row],[Concat]],Vagas!$H:$H,Vagas!$D:$D,"",0)</f>
        <v>0</v>
      </c>
    </row>
    <row r="3031" spans="1:8" x14ac:dyDescent="0.25">
      <c r="A3031" s="2">
        <v>44636</v>
      </c>
      <c r="B3031" s="1" t="s">
        <v>60</v>
      </c>
      <c r="C3031">
        <v>14326</v>
      </c>
      <c r="D3031" s="1" t="s">
        <v>220</v>
      </c>
      <c r="E3031" s="1" t="s">
        <v>4</v>
      </c>
      <c r="F3031">
        <v>43</v>
      </c>
      <c r="G3031" s="1" t="str">
        <f>Ocupacao_DW[[#This Row],[data]]&amp;Ocupacao_DW[[#This Row],[profissional_id]]&amp;Ocupacao_DW[[#This Row],[local_id]]</f>
        <v>446361432643</v>
      </c>
      <c r="H3031" s="1">
        <f>_xlfn.XLOOKUP(Ocupacao_DW[[#This Row],[Concat]],Vagas!$H:$H,Vagas!$D:$D,"",0)</f>
        <v>0</v>
      </c>
    </row>
    <row r="3032" spans="1:8" x14ac:dyDescent="0.25">
      <c r="A3032" s="2">
        <v>44643</v>
      </c>
      <c r="B3032" s="1" t="s">
        <v>24</v>
      </c>
      <c r="C3032">
        <v>13061</v>
      </c>
      <c r="D3032" s="1" t="s">
        <v>232</v>
      </c>
      <c r="E3032" s="1" t="s">
        <v>6</v>
      </c>
      <c r="F3032">
        <v>3</v>
      </c>
      <c r="G3032" s="1" t="str">
        <f>Ocupacao_DW[[#This Row],[data]]&amp;Ocupacao_DW[[#This Row],[profissional_id]]&amp;Ocupacao_DW[[#This Row],[local_id]]</f>
        <v>44643130613</v>
      </c>
      <c r="H3032" s="1">
        <f>_xlfn.XLOOKUP(Ocupacao_DW[[#This Row],[Concat]],Vagas!$H:$H,Vagas!$D:$D,"",0)</f>
        <v>0</v>
      </c>
    </row>
    <row r="3033" spans="1:8" x14ac:dyDescent="0.25">
      <c r="A3033" s="2">
        <v>44636</v>
      </c>
      <c r="B3033" s="1" t="s">
        <v>72</v>
      </c>
      <c r="C3033">
        <v>1794</v>
      </c>
      <c r="D3033" s="1" t="s">
        <v>235</v>
      </c>
      <c r="E3033" s="1" t="s">
        <v>4</v>
      </c>
      <c r="F3033">
        <v>49</v>
      </c>
      <c r="G3033" s="1" t="str">
        <f>Ocupacao_DW[[#This Row],[data]]&amp;Ocupacao_DW[[#This Row],[profissional_id]]&amp;Ocupacao_DW[[#This Row],[local_id]]</f>
        <v>44636179449</v>
      </c>
      <c r="H3033" s="1">
        <f>_xlfn.XLOOKUP(Ocupacao_DW[[#This Row],[Concat]],Vagas!$H:$H,Vagas!$D:$D,"",0)</f>
        <v>0</v>
      </c>
    </row>
    <row r="3034" spans="1:8" x14ac:dyDescent="0.25">
      <c r="A3034" s="2">
        <v>44636</v>
      </c>
      <c r="B3034" s="1" t="s">
        <v>66</v>
      </c>
      <c r="C3034">
        <v>1343</v>
      </c>
      <c r="D3034" s="1" t="s">
        <v>263</v>
      </c>
      <c r="E3034" s="1" t="s">
        <v>167</v>
      </c>
      <c r="F3034">
        <v>342</v>
      </c>
      <c r="G3034" s="1" t="str">
        <f>Ocupacao_DW[[#This Row],[data]]&amp;Ocupacao_DW[[#This Row],[profissional_id]]&amp;Ocupacao_DW[[#This Row],[local_id]]</f>
        <v>446361343342</v>
      </c>
      <c r="H3034" s="1">
        <f>_xlfn.XLOOKUP(Ocupacao_DW[[#This Row],[Concat]],Vagas!$H:$H,Vagas!$D:$D,"",0)</f>
        <v>0</v>
      </c>
    </row>
    <row r="3035" spans="1:8" x14ac:dyDescent="0.25">
      <c r="A3035" s="2">
        <v>44642</v>
      </c>
      <c r="B3035" s="1" t="s">
        <v>55</v>
      </c>
      <c r="C3035">
        <v>60</v>
      </c>
      <c r="D3035" s="1" t="s">
        <v>217</v>
      </c>
      <c r="E3035" s="1" t="s">
        <v>167</v>
      </c>
      <c r="F3035">
        <v>345</v>
      </c>
      <c r="G3035" s="1" t="str">
        <f>Ocupacao_DW[[#This Row],[data]]&amp;Ocupacao_DW[[#This Row],[profissional_id]]&amp;Ocupacao_DW[[#This Row],[local_id]]</f>
        <v>4464260345</v>
      </c>
      <c r="H3035" s="1">
        <f>_xlfn.XLOOKUP(Ocupacao_DW[[#This Row],[Concat]],Vagas!$H:$H,Vagas!$D:$D,"",0)</f>
        <v>0</v>
      </c>
    </row>
    <row r="3036" spans="1:8" x14ac:dyDescent="0.25">
      <c r="A3036" s="2">
        <v>44641</v>
      </c>
      <c r="B3036" s="1" t="s">
        <v>52</v>
      </c>
      <c r="C3036">
        <v>10691</v>
      </c>
      <c r="D3036" s="1" t="s">
        <v>181</v>
      </c>
      <c r="E3036" s="1" t="s">
        <v>6</v>
      </c>
      <c r="F3036">
        <v>9</v>
      </c>
      <c r="G3036" s="1" t="str">
        <f>Ocupacao_DW[[#This Row],[data]]&amp;Ocupacao_DW[[#This Row],[profissional_id]]&amp;Ocupacao_DW[[#This Row],[local_id]]</f>
        <v>44641106919</v>
      </c>
      <c r="H3036" s="1">
        <f>_xlfn.XLOOKUP(Ocupacao_DW[[#This Row],[Concat]],Vagas!$H:$H,Vagas!$D:$D,"",0)</f>
        <v>0</v>
      </c>
    </row>
    <row r="3037" spans="1:8" x14ac:dyDescent="0.25">
      <c r="A3037" s="2">
        <v>44638</v>
      </c>
      <c r="B3037" s="1" t="s">
        <v>49</v>
      </c>
      <c r="C3037">
        <v>12142</v>
      </c>
      <c r="D3037" s="1" t="s">
        <v>219</v>
      </c>
      <c r="E3037" s="1" t="s">
        <v>4</v>
      </c>
      <c r="F3037">
        <v>44</v>
      </c>
      <c r="G3037" s="1" t="str">
        <f>Ocupacao_DW[[#This Row],[data]]&amp;Ocupacao_DW[[#This Row],[profissional_id]]&amp;Ocupacao_DW[[#This Row],[local_id]]</f>
        <v>446381214244</v>
      </c>
      <c r="H3037" s="1">
        <f>_xlfn.XLOOKUP(Ocupacao_DW[[#This Row],[Concat]],Vagas!$H:$H,Vagas!$D:$D,"",0)</f>
        <v>0</v>
      </c>
    </row>
    <row r="3038" spans="1:8" x14ac:dyDescent="0.25">
      <c r="A3038" s="2">
        <v>44635</v>
      </c>
      <c r="B3038" s="1" t="s">
        <v>52</v>
      </c>
      <c r="C3038">
        <v>13061</v>
      </c>
      <c r="D3038" s="1" t="s">
        <v>232</v>
      </c>
      <c r="E3038" s="1" t="s">
        <v>6</v>
      </c>
      <c r="F3038">
        <v>9</v>
      </c>
      <c r="G3038" s="1" t="str">
        <f>Ocupacao_DW[[#This Row],[data]]&amp;Ocupacao_DW[[#This Row],[profissional_id]]&amp;Ocupacao_DW[[#This Row],[local_id]]</f>
        <v>44635130619</v>
      </c>
      <c r="H3038" s="1">
        <f>_xlfn.XLOOKUP(Ocupacao_DW[[#This Row],[Concat]],Vagas!$H:$H,Vagas!$D:$D,"",0)</f>
        <v>0</v>
      </c>
    </row>
    <row r="3039" spans="1:8" x14ac:dyDescent="0.25">
      <c r="A3039" s="2">
        <v>44636</v>
      </c>
      <c r="B3039" s="1" t="s">
        <v>60</v>
      </c>
      <c r="C3039">
        <v>14326</v>
      </c>
      <c r="D3039" s="1" t="s">
        <v>220</v>
      </c>
      <c r="E3039" s="1" t="s">
        <v>4</v>
      </c>
      <c r="F3039">
        <v>43</v>
      </c>
      <c r="G3039" s="1" t="str">
        <f>Ocupacao_DW[[#This Row],[data]]&amp;Ocupacao_DW[[#This Row],[profissional_id]]&amp;Ocupacao_DW[[#This Row],[local_id]]</f>
        <v>446361432643</v>
      </c>
      <c r="H3039" s="1">
        <f>_xlfn.XLOOKUP(Ocupacao_DW[[#This Row],[Concat]],Vagas!$H:$H,Vagas!$D:$D,"",0)</f>
        <v>0</v>
      </c>
    </row>
    <row r="3040" spans="1:8" x14ac:dyDescent="0.25">
      <c r="A3040" s="2">
        <v>44642</v>
      </c>
      <c r="B3040" s="1" t="s">
        <v>55</v>
      </c>
      <c r="C3040">
        <v>12669</v>
      </c>
      <c r="D3040" s="1" t="s">
        <v>223</v>
      </c>
      <c r="E3040" s="1" t="s">
        <v>6</v>
      </c>
      <c r="F3040">
        <v>6</v>
      </c>
      <c r="G3040" s="1" t="str">
        <f>Ocupacao_DW[[#This Row],[data]]&amp;Ocupacao_DW[[#This Row],[profissional_id]]&amp;Ocupacao_DW[[#This Row],[local_id]]</f>
        <v>44642126696</v>
      </c>
      <c r="H3040" s="1">
        <f>_xlfn.XLOOKUP(Ocupacao_DW[[#This Row],[Concat]],Vagas!$H:$H,Vagas!$D:$D,"",0)</f>
        <v>0</v>
      </c>
    </row>
    <row r="3041" spans="1:8" x14ac:dyDescent="0.25">
      <c r="A3041" s="2">
        <v>44635</v>
      </c>
      <c r="B3041" s="1" t="s">
        <v>49</v>
      </c>
      <c r="C3041">
        <v>81</v>
      </c>
      <c r="D3041" s="1" t="s">
        <v>170</v>
      </c>
      <c r="E3041" s="1" t="s">
        <v>4</v>
      </c>
      <c r="F3041">
        <v>41</v>
      </c>
      <c r="G3041" s="1" t="str">
        <f>Ocupacao_DW[[#This Row],[data]]&amp;Ocupacao_DW[[#This Row],[profissional_id]]&amp;Ocupacao_DW[[#This Row],[local_id]]</f>
        <v>446358141</v>
      </c>
      <c r="H3041" s="1">
        <f>_xlfn.XLOOKUP(Ocupacao_DW[[#This Row],[Concat]],Vagas!$H:$H,Vagas!$D:$D,"",0)</f>
        <v>0</v>
      </c>
    </row>
    <row r="3042" spans="1:8" x14ac:dyDescent="0.25">
      <c r="A3042" s="2">
        <v>44638</v>
      </c>
      <c r="B3042" s="1" t="s">
        <v>24</v>
      </c>
      <c r="C3042">
        <v>60</v>
      </c>
      <c r="D3042" s="1" t="s">
        <v>217</v>
      </c>
      <c r="E3042" s="1" t="s">
        <v>6</v>
      </c>
      <c r="F3042">
        <v>1</v>
      </c>
      <c r="G3042" s="1" t="str">
        <f>Ocupacao_DW[[#This Row],[data]]&amp;Ocupacao_DW[[#This Row],[profissional_id]]&amp;Ocupacao_DW[[#This Row],[local_id]]</f>
        <v>44638601</v>
      </c>
      <c r="H3042" s="1">
        <f>_xlfn.XLOOKUP(Ocupacao_DW[[#This Row],[Concat]],Vagas!$H:$H,Vagas!$D:$D,"",0)</f>
        <v>0</v>
      </c>
    </row>
    <row r="3043" spans="1:8" x14ac:dyDescent="0.25">
      <c r="A3043" s="2">
        <v>44643</v>
      </c>
      <c r="B3043" s="1" t="s">
        <v>58</v>
      </c>
      <c r="C3043">
        <v>5767</v>
      </c>
      <c r="D3043" s="1" t="s">
        <v>239</v>
      </c>
      <c r="E3043" s="1" t="s">
        <v>4</v>
      </c>
      <c r="F3043">
        <v>44</v>
      </c>
      <c r="G3043" s="1" t="str">
        <f>Ocupacao_DW[[#This Row],[data]]&amp;Ocupacao_DW[[#This Row],[profissional_id]]&amp;Ocupacao_DW[[#This Row],[local_id]]</f>
        <v>44643576744</v>
      </c>
      <c r="H3043" s="1">
        <f>_xlfn.XLOOKUP(Ocupacao_DW[[#This Row],[Concat]],Vagas!$H:$H,Vagas!$D:$D,"",0)</f>
        <v>0</v>
      </c>
    </row>
    <row r="3044" spans="1:8" x14ac:dyDescent="0.25">
      <c r="A3044" s="2">
        <v>44635</v>
      </c>
      <c r="B3044" s="1" t="s">
        <v>54</v>
      </c>
      <c r="C3044">
        <v>69</v>
      </c>
      <c r="D3044" s="1" t="s">
        <v>238</v>
      </c>
      <c r="E3044" s="1" t="s">
        <v>5</v>
      </c>
      <c r="F3044">
        <v>13</v>
      </c>
      <c r="G3044" s="1" t="str">
        <f>Ocupacao_DW[[#This Row],[data]]&amp;Ocupacao_DW[[#This Row],[profissional_id]]&amp;Ocupacao_DW[[#This Row],[local_id]]</f>
        <v>446356913</v>
      </c>
      <c r="H3044" s="1">
        <f>_xlfn.XLOOKUP(Ocupacao_DW[[#This Row],[Concat]],Vagas!$H:$H,Vagas!$D:$D,"",0)</f>
        <v>0</v>
      </c>
    </row>
    <row r="3045" spans="1:8" x14ac:dyDescent="0.25">
      <c r="A3045" s="2">
        <v>44635</v>
      </c>
      <c r="B3045" s="1" t="s">
        <v>49</v>
      </c>
      <c r="C3045">
        <v>266</v>
      </c>
      <c r="D3045" s="1" t="s">
        <v>201</v>
      </c>
      <c r="E3045" s="1" t="s">
        <v>4</v>
      </c>
      <c r="F3045">
        <v>42</v>
      </c>
      <c r="G3045" s="1" t="str">
        <f>Ocupacao_DW[[#This Row],[data]]&amp;Ocupacao_DW[[#This Row],[profissional_id]]&amp;Ocupacao_DW[[#This Row],[local_id]]</f>
        <v>4463526642</v>
      </c>
      <c r="H3045" s="1">
        <f>_xlfn.XLOOKUP(Ocupacao_DW[[#This Row],[Concat]],Vagas!$H:$H,Vagas!$D:$D,"",0)</f>
        <v>0</v>
      </c>
    </row>
    <row r="3046" spans="1:8" x14ac:dyDescent="0.25">
      <c r="A3046" s="2">
        <v>44637</v>
      </c>
      <c r="B3046" s="1" t="s">
        <v>47</v>
      </c>
      <c r="C3046">
        <v>9111</v>
      </c>
      <c r="D3046" s="1" t="s">
        <v>206</v>
      </c>
      <c r="E3046" s="1" t="s">
        <v>4</v>
      </c>
      <c r="F3046">
        <v>334</v>
      </c>
      <c r="G3046" s="1" t="str">
        <f>Ocupacao_DW[[#This Row],[data]]&amp;Ocupacao_DW[[#This Row],[profissional_id]]&amp;Ocupacao_DW[[#This Row],[local_id]]</f>
        <v>446379111334</v>
      </c>
      <c r="H3046" s="1">
        <f>_xlfn.XLOOKUP(Ocupacao_DW[[#This Row],[Concat]],Vagas!$H:$H,Vagas!$D:$D,"",0)</f>
        <v>0</v>
      </c>
    </row>
    <row r="3047" spans="1:8" x14ac:dyDescent="0.25">
      <c r="A3047" s="2">
        <v>44635</v>
      </c>
      <c r="B3047" s="1" t="s">
        <v>54</v>
      </c>
      <c r="C3047">
        <v>12623</v>
      </c>
      <c r="D3047" s="1" t="s">
        <v>258</v>
      </c>
      <c r="E3047" s="1" t="s">
        <v>5</v>
      </c>
      <c r="F3047">
        <v>11</v>
      </c>
      <c r="G3047" s="1" t="str">
        <f>Ocupacao_DW[[#This Row],[data]]&amp;Ocupacao_DW[[#This Row],[profissional_id]]&amp;Ocupacao_DW[[#This Row],[local_id]]</f>
        <v>446351262311</v>
      </c>
      <c r="H3047" s="1">
        <f>_xlfn.XLOOKUP(Ocupacao_DW[[#This Row],[Concat]],Vagas!$H:$H,Vagas!$D:$D,"",0)</f>
        <v>0</v>
      </c>
    </row>
    <row r="3048" spans="1:8" x14ac:dyDescent="0.25">
      <c r="A3048" s="2">
        <v>44636</v>
      </c>
      <c r="B3048" s="1" t="s">
        <v>49</v>
      </c>
      <c r="C3048">
        <v>6430</v>
      </c>
      <c r="D3048" s="1" t="s">
        <v>188</v>
      </c>
      <c r="E3048" s="1" t="s">
        <v>4</v>
      </c>
      <c r="F3048">
        <v>42</v>
      </c>
      <c r="G3048" s="1" t="str">
        <f>Ocupacao_DW[[#This Row],[data]]&amp;Ocupacao_DW[[#This Row],[profissional_id]]&amp;Ocupacao_DW[[#This Row],[local_id]]</f>
        <v>44636643042</v>
      </c>
      <c r="H3048" s="1">
        <f>_xlfn.XLOOKUP(Ocupacao_DW[[#This Row],[Concat]],Vagas!$H:$H,Vagas!$D:$D,"",0)</f>
        <v>0</v>
      </c>
    </row>
    <row r="3049" spans="1:8" x14ac:dyDescent="0.25">
      <c r="A3049" s="2">
        <v>44636</v>
      </c>
      <c r="B3049" s="1" t="s">
        <v>49</v>
      </c>
      <c r="C3049">
        <v>81</v>
      </c>
      <c r="D3049" s="1" t="s">
        <v>170</v>
      </c>
      <c r="E3049" s="1" t="s">
        <v>4</v>
      </c>
      <c r="F3049">
        <v>41</v>
      </c>
      <c r="G3049" s="1" t="str">
        <f>Ocupacao_DW[[#This Row],[data]]&amp;Ocupacao_DW[[#This Row],[profissional_id]]&amp;Ocupacao_DW[[#This Row],[local_id]]</f>
        <v>446368141</v>
      </c>
      <c r="H3049" s="1">
        <f>_xlfn.XLOOKUP(Ocupacao_DW[[#This Row],[Concat]],Vagas!$H:$H,Vagas!$D:$D,"",0)</f>
        <v>0</v>
      </c>
    </row>
    <row r="3050" spans="1:8" x14ac:dyDescent="0.25">
      <c r="A3050" s="2">
        <v>44635</v>
      </c>
      <c r="B3050" s="1" t="s">
        <v>52</v>
      </c>
      <c r="C3050">
        <v>13061</v>
      </c>
      <c r="D3050" s="1" t="s">
        <v>232</v>
      </c>
      <c r="E3050" s="1" t="s">
        <v>6</v>
      </c>
      <c r="F3050">
        <v>9</v>
      </c>
      <c r="G3050" s="1" t="str">
        <f>Ocupacao_DW[[#This Row],[data]]&amp;Ocupacao_DW[[#This Row],[profissional_id]]&amp;Ocupacao_DW[[#This Row],[local_id]]</f>
        <v>44635130619</v>
      </c>
      <c r="H3050" s="1">
        <f>_xlfn.XLOOKUP(Ocupacao_DW[[#This Row],[Concat]],Vagas!$H:$H,Vagas!$D:$D,"",0)</f>
        <v>0</v>
      </c>
    </row>
    <row r="3051" spans="1:8" x14ac:dyDescent="0.25">
      <c r="A3051" s="2">
        <v>44648</v>
      </c>
      <c r="B3051" s="1" t="s">
        <v>55</v>
      </c>
      <c r="C3051">
        <v>6392</v>
      </c>
      <c r="D3051" s="1" t="s">
        <v>173</v>
      </c>
      <c r="E3051" s="1" t="s">
        <v>6</v>
      </c>
      <c r="F3051">
        <v>5</v>
      </c>
      <c r="G3051" s="1" t="str">
        <f>Ocupacao_DW[[#This Row],[data]]&amp;Ocupacao_DW[[#This Row],[profissional_id]]&amp;Ocupacao_DW[[#This Row],[local_id]]</f>
        <v>4464863925</v>
      </c>
      <c r="H3051" s="1">
        <f>_xlfn.XLOOKUP(Ocupacao_DW[[#This Row],[Concat]],Vagas!$H:$H,Vagas!$D:$D,"",0)</f>
        <v>0</v>
      </c>
    </row>
    <row r="3052" spans="1:8" x14ac:dyDescent="0.25">
      <c r="A3052" s="2">
        <v>44650</v>
      </c>
      <c r="B3052" s="1" t="s">
        <v>55</v>
      </c>
      <c r="C3052">
        <v>73</v>
      </c>
      <c r="D3052" s="1" t="s">
        <v>171</v>
      </c>
      <c r="E3052" s="1" t="s">
        <v>6</v>
      </c>
      <c r="F3052">
        <v>5</v>
      </c>
      <c r="G3052" s="1" t="str">
        <f>Ocupacao_DW[[#This Row],[data]]&amp;Ocupacao_DW[[#This Row],[profissional_id]]&amp;Ocupacao_DW[[#This Row],[local_id]]</f>
        <v>44650735</v>
      </c>
      <c r="H3052" s="1">
        <f>_xlfn.XLOOKUP(Ocupacao_DW[[#This Row],[Concat]],Vagas!$H:$H,Vagas!$D:$D,"",0)</f>
        <v>0</v>
      </c>
    </row>
    <row r="3053" spans="1:8" x14ac:dyDescent="0.25">
      <c r="A3053" s="2">
        <v>44639</v>
      </c>
      <c r="B3053" s="1"/>
      <c r="C3053">
        <v>57</v>
      </c>
      <c r="D3053" s="1" t="s">
        <v>169</v>
      </c>
      <c r="E3053" s="1" t="s">
        <v>6</v>
      </c>
      <c r="F3053">
        <v>2</v>
      </c>
      <c r="G3053" s="1" t="str">
        <f>Ocupacao_DW[[#This Row],[data]]&amp;Ocupacao_DW[[#This Row],[profissional_id]]&amp;Ocupacao_DW[[#This Row],[local_id]]</f>
        <v>44639572</v>
      </c>
      <c r="H3053" s="1">
        <f>_xlfn.XLOOKUP(Ocupacao_DW[[#This Row],[Concat]],Vagas!$H:$H,Vagas!$D:$D,"",0)</f>
        <v>0</v>
      </c>
    </row>
    <row r="3054" spans="1:8" x14ac:dyDescent="0.25">
      <c r="A3054" s="2">
        <v>44641</v>
      </c>
      <c r="B3054" s="1" t="s">
        <v>49</v>
      </c>
      <c r="C3054">
        <v>6430</v>
      </c>
      <c r="D3054" s="1" t="s">
        <v>188</v>
      </c>
      <c r="E3054" s="1" t="s">
        <v>200</v>
      </c>
      <c r="F3054">
        <v>86</v>
      </c>
      <c r="G3054" s="1" t="str">
        <f>Ocupacao_DW[[#This Row],[data]]&amp;Ocupacao_DW[[#This Row],[profissional_id]]&amp;Ocupacao_DW[[#This Row],[local_id]]</f>
        <v>44641643086</v>
      </c>
      <c r="H3054" s="1">
        <f>_xlfn.XLOOKUP(Ocupacao_DW[[#This Row],[Concat]],Vagas!$H:$H,Vagas!$D:$D,"",0)</f>
        <v>0</v>
      </c>
    </row>
    <row r="3055" spans="1:8" x14ac:dyDescent="0.25">
      <c r="A3055" s="2">
        <v>44635</v>
      </c>
      <c r="B3055" s="1" t="s">
        <v>62</v>
      </c>
      <c r="C3055">
        <v>3502</v>
      </c>
      <c r="D3055" s="1" t="s">
        <v>214</v>
      </c>
      <c r="E3055" s="1" t="s">
        <v>5</v>
      </c>
      <c r="F3055">
        <v>16</v>
      </c>
      <c r="G3055" s="1" t="str">
        <f>Ocupacao_DW[[#This Row],[data]]&amp;Ocupacao_DW[[#This Row],[profissional_id]]&amp;Ocupacao_DW[[#This Row],[local_id]]</f>
        <v>44635350216</v>
      </c>
      <c r="H3055" s="1">
        <f>_xlfn.XLOOKUP(Ocupacao_DW[[#This Row],[Concat]],Vagas!$H:$H,Vagas!$D:$D,"",0)</f>
        <v>0</v>
      </c>
    </row>
    <row r="3056" spans="1:8" x14ac:dyDescent="0.25">
      <c r="A3056" s="2">
        <v>44650</v>
      </c>
      <c r="B3056" s="1" t="s">
        <v>55</v>
      </c>
      <c r="C3056">
        <v>73</v>
      </c>
      <c r="D3056" s="1" t="s">
        <v>171</v>
      </c>
      <c r="E3056" s="1" t="s">
        <v>6</v>
      </c>
      <c r="F3056">
        <v>5</v>
      </c>
      <c r="G3056" s="1" t="str">
        <f>Ocupacao_DW[[#This Row],[data]]&amp;Ocupacao_DW[[#This Row],[profissional_id]]&amp;Ocupacao_DW[[#This Row],[local_id]]</f>
        <v>44650735</v>
      </c>
      <c r="H3056" s="1">
        <f>_xlfn.XLOOKUP(Ocupacao_DW[[#This Row],[Concat]],Vagas!$H:$H,Vagas!$D:$D,"",0)</f>
        <v>0</v>
      </c>
    </row>
    <row r="3057" spans="1:8" x14ac:dyDescent="0.25">
      <c r="A3057" s="2">
        <v>44650</v>
      </c>
      <c r="B3057" s="1" t="s">
        <v>55</v>
      </c>
      <c r="C3057">
        <v>73</v>
      </c>
      <c r="D3057" s="1" t="s">
        <v>171</v>
      </c>
      <c r="E3057" s="1" t="s">
        <v>6</v>
      </c>
      <c r="F3057">
        <v>5</v>
      </c>
      <c r="G3057" s="1" t="str">
        <f>Ocupacao_DW[[#This Row],[data]]&amp;Ocupacao_DW[[#This Row],[profissional_id]]&amp;Ocupacao_DW[[#This Row],[local_id]]</f>
        <v>44650735</v>
      </c>
      <c r="H3057" s="1">
        <f>_xlfn.XLOOKUP(Ocupacao_DW[[#This Row],[Concat]],Vagas!$H:$H,Vagas!$D:$D,"",0)</f>
        <v>0</v>
      </c>
    </row>
    <row r="3058" spans="1:8" x14ac:dyDescent="0.25">
      <c r="A3058" s="2">
        <v>44636</v>
      </c>
      <c r="B3058" s="1" t="s">
        <v>24</v>
      </c>
      <c r="C3058">
        <v>13061</v>
      </c>
      <c r="D3058" s="1" t="s">
        <v>232</v>
      </c>
      <c r="E3058" s="1" t="s">
        <v>6</v>
      </c>
      <c r="F3058">
        <v>3</v>
      </c>
      <c r="G3058" s="1" t="str">
        <f>Ocupacao_DW[[#This Row],[data]]&amp;Ocupacao_DW[[#This Row],[profissional_id]]&amp;Ocupacao_DW[[#This Row],[local_id]]</f>
        <v>44636130613</v>
      </c>
      <c r="H3058" s="1">
        <f>_xlfn.XLOOKUP(Ocupacao_DW[[#This Row],[Concat]],Vagas!$H:$H,Vagas!$D:$D,"",0)</f>
        <v>0</v>
      </c>
    </row>
    <row r="3059" spans="1:8" x14ac:dyDescent="0.25">
      <c r="A3059" s="2">
        <v>44635</v>
      </c>
      <c r="B3059" s="1" t="s">
        <v>47</v>
      </c>
      <c r="C3059">
        <v>11207</v>
      </c>
      <c r="D3059" s="1" t="s">
        <v>251</v>
      </c>
      <c r="E3059" s="1" t="s">
        <v>4</v>
      </c>
      <c r="F3059">
        <v>51</v>
      </c>
      <c r="G3059" s="1" t="str">
        <f>Ocupacao_DW[[#This Row],[data]]&amp;Ocupacao_DW[[#This Row],[profissional_id]]&amp;Ocupacao_DW[[#This Row],[local_id]]</f>
        <v>446351120751</v>
      </c>
      <c r="H3059" s="1">
        <f>_xlfn.XLOOKUP(Ocupacao_DW[[#This Row],[Concat]],Vagas!$H:$H,Vagas!$D:$D,"",0)</f>
        <v>0</v>
      </c>
    </row>
    <row r="3060" spans="1:8" x14ac:dyDescent="0.25">
      <c r="A3060" s="2">
        <v>44638</v>
      </c>
      <c r="B3060" s="1" t="s">
        <v>24</v>
      </c>
      <c r="C3060">
        <v>60</v>
      </c>
      <c r="D3060" s="1" t="s">
        <v>217</v>
      </c>
      <c r="E3060" s="1" t="s">
        <v>6</v>
      </c>
      <c r="F3060">
        <v>1</v>
      </c>
      <c r="G3060" s="1" t="str">
        <f>Ocupacao_DW[[#This Row],[data]]&amp;Ocupacao_DW[[#This Row],[profissional_id]]&amp;Ocupacao_DW[[#This Row],[local_id]]</f>
        <v>44638601</v>
      </c>
      <c r="H3060" s="1">
        <f>_xlfn.XLOOKUP(Ocupacao_DW[[#This Row],[Concat]],Vagas!$H:$H,Vagas!$D:$D,"",0)</f>
        <v>0</v>
      </c>
    </row>
    <row r="3061" spans="1:8" x14ac:dyDescent="0.25">
      <c r="A3061" s="2">
        <v>44643</v>
      </c>
      <c r="B3061" s="1" t="s">
        <v>52</v>
      </c>
      <c r="C3061">
        <v>57</v>
      </c>
      <c r="D3061" s="1" t="s">
        <v>169</v>
      </c>
      <c r="E3061" s="1" t="s">
        <v>6</v>
      </c>
      <c r="F3061">
        <v>4</v>
      </c>
      <c r="G3061" s="1" t="str">
        <f>Ocupacao_DW[[#This Row],[data]]&amp;Ocupacao_DW[[#This Row],[profissional_id]]&amp;Ocupacao_DW[[#This Row],[local_id]]</f>
        <v>44643574</v>
      </c>
      <c r="H3061" s="1">
        <f>_xlfn.XLOOKUP(Ocupacao_DW[[#This Row],[Concat]],Vagas!$H:$H,Vagas!$D:$D,"",0)</f>
        <v>0</v>
      </c>
    </row>
    <row r="3062" spans="1:8" x14ac:dyDescent="0.25">
      <c r="A3062" s="2">
        <v>44638</v>
      </c>
      <c r="B3062" s="1" t="s">
        <v>49</v>
      </c>
      <c r="C3062">
        <v>6430</v>
      </c>
      <c r="D3062" s="1" t="s">
        <v>188</v>
      </c>
      <c r="E3062" s="1" t="s">
        <v>4</v>
      </c>
      <c r="F3062">
        <v>42</v>
      </c>
      <c r="G3062" s="1" t="str">
        <f>Ocupacao_DW[[#This Row],[data]]&amp;Ocupacao_DW[[#This Row],[profissional_id]]&amp;Ocupacao_DW[[#This Row],[local_id]]</f>
        <v>44638643042</v>
      </c>
      <c r="H3062" s="1">
        <f>_xlfn.XLOOKUP(Ocupacao_DW[[#This Row],[Concat]],Vagas!$H:$H,Vagas!$D:$D,"",0)</f>
        <v>0</v>
      </c>
    </row>
    <row r="3063" spans="1:8" x14ac:dyDescent="0.25">
      <c r="A3063" s="2">
        <v>44636</v>
      </c>
      <c r="B3063" s="1" t="s">
        <v>62</v>
      </c>
      <c r="C3063">
        <v>3502</v>
      </c>
      <c r="D3063" s="1" t="s">
        <v>214</v>
      </c>
      <c r="E3063" s="1" t="s">
        <v>5</v>
      </c>
      <c r="F3063">
        <v>16</v>
      </c>
      <c r="G3063" s="1" t="str">
        <f>Ocupacao_DW[[#This Row],[data]]&amp;Ocupacao_DW[[#This Row],[profissional_id]]&amp;Ocupacao_DW[[#This Row],[local_id]]</f>
        <v>44636350216</v>
      </c>
      <c r="H3063" s="1">
        <f>_xlfn.XLOOKUP(Ocupacao_DW[[#This Row],[Concat]],Vagas!$H:$H,Vagas!$D:$D,"",0)</f>
        <v>0</v>
      </c>
    </row>
    <row r="3064" spans="1:8" x14ac:dyDescent="0.25">
      <c r="A3064" s="2">
        <v>44635</v>
      </c>
      <c r="B3064" s="1" t="s">
        <v>68</v>
      </c>
      <c r="C3064">
        <v>8239</v>
      </c>
      <c r="D3064" s="1" t="s">
        <v>257</v>
      </c>
      <c r="E3064" s="1" t="s">
        <v>167</v>
      </c>
      <c r="F3064">
        <v>345</v>
      </c>
      <c r="G3064" s="1" t="str">
        <f>Ocupacao_DW[[#This Row],[data]]&amp;Ocupacao_DW[[#This Row],[profissional_id]]&amp;Ocupacao_DW[[#This Row],[local_id]]</f>
        <v>446358239345</v>
      </c>
      <c r="H3064" s="1">
        <f>_xlfn.XLOOKUP(Ocupacao_DW[[#This Row],[Concat]],Vagas!$H:$H,Vagas!$D:$D,"",0)</f>
        <v>0</v>
      </c>
    </row>
    <row r="3065" spans="1:8" x14ac:dyDescent="0.25">
      <c r="A3065" s="2">
        <v>44641</v>
      </c>
      <c r="B3065" s="1" t="s">
        <v>52</v>
      </c>
      <c r="C3065">
        <v>10691</v>
      </c>
      <c r="D3065" s="1" t="s">
        <v>181</v>
      </c>
      <c r="E3065" s="1" t="s">
        <v>6</v>
      </c>
      <c r="F3065">
        <v>9</v>
      </c>
      <c r="G3065" s="1" t="str">
        <f>Ocupacao_DW[[#This Row],[data]]&amp;Ocupacao_DW[[#This Row],[profissional_id]]&amp;Ocupacao_DW[[#This Row],[local_id]]</f>
        <v>44641106919</v>
      </c>
      <c r="H3065" s="1">
        <f>_xlfn.XLOOKUP(Ocupacao_DW[[#This Row],[Concat]],Vagas!$H:$H,Vagas!$D:$D,"",0)</f>
        <v>0</v>
      </c>
    </row>
    <row r="3066" spans="1:8" x14ac:dyDescent="0.25">
      <c r="A3066" s="2">
        <v>44635</v>
      </c>
      <c r="B3066" s="1" t="s">
        <v>49</v>
      </c>
      <c r="C3066">
        <v>81</v>
      </c>
      <c r="D3066" s="1" t="s">
        <v>170</v>
      </c>
      <c r="E3066" s="1" t="s">
        <v>7</v>
      </c>
      <c r="F3066">
        <v>71</v>
      </c>
      <c r="G3066" s="1" t="str">
        <f>Ocupacao_DW[[#This Row],[data]]&amp;Ocupacao_DW[[#This Row],[profissional_id]]&amp;Ocupacao_DW[[#This Row],[local_id]]</f>
        <v>446358171</v>
      </c>
      <c r="H3066" s="1">
        <f>_xlfn.XLOOKUP(Ocupacao_DW[[#This Row],[Concat]],Vagas!$H:$H,Vagas!$D:$D,"",0)</f>
        <v>0</v>
      </c>
    </row>
    <row r="3067" spans="1:8" x14ac:dyDescent="0.25">
      <c r="A3067" s="2">
        <v>44636</v>
      </c>
      <c r="B3067" s="1" t="s">
        <v>72</v>
      </c>
      <c r="C3067">
        <v>1794</v>
      </c>
      <c r="D3067" s="1" t="s">
        <v>235</v>
      </c>
      <c r="E3067" s="1" t="s">
        <v>4</v>
      </c>
      <c r="F3067">
        <v>49</v>
      </c>
      <c r="G3067" s="1" t="str">
        <f>Ocupacao_DW[[#This Row],[data]]&amp;Ocupacao_DW[[#This Row],[profissional_id]]&amp;Ocupacao_DW[[#This Row],[local_id]]</f>
        <v>44636179449</v>
      </c>
      <c r="H3067" s="1">
        <f>_xlfn.XLOOKUP(Ocupacao_DW[[#This Row],[Concat]],Vagas!$H:$H,Vagas!$D:$D,"",0)</f>
        <v>0</v>
      </c>
    </row>
    <row r="3068" spans="1:8" x14ac:dyDescent="0.25">
      <c r="A3068" s="2">
        <v>44636</v>
      </c>
      <c r="B3068" s="1" t="s">
        <v>52</v>
      </c>
      <c r="C3068">
        <v>10691</v>
      </c>
      <c r="D3068" s="1" t="s">
        <v>181</v>
      </c>
      <c r="E3068" s="1" t="s">
        <v>6</v>
      </c>
      <c r="F3068">
        <v>9</v>
      </c>
      <c r="G3068" s="1" t="str">
        <f>Ocupacao_DW[[#This Row],[data]]&amp;Ocupacao_DW[[#This Row],[profissional_id]]&amp;Ocupacao_DW[[#This Row],[local_id]]</f>
        <v>44636106919</v>
      </c>
      <c r="H3068" s="1">
        <f>_xlfn.XLOOKUP(Ocupacao_DW[[#This Row],[Concat]],Vagas!$H:$H,Vagas!$D:$D,"",0)</f>
        <v>0</v>
      </c>
    </row>
    <row r="3069" spans="1:8" x14ac:dyDescent="0.25">
      <c r="A3069" s="2">
        <v>44636</v>
      </c>
      <c r="B3069" s="1" t="s">
        <v>52</v>
      </c>
      <c r="C3069">
        <v>10691</v>
      </c>
      <c r="D3069" s="1" t="s">
        <v>181</v>
      </c>
      <c r="E3069" s="1" t="s">
        <v>6</v>
      </c>
      <c r="F3069">
        <v>9</v>
      </c>
      <c r="G3069" s="1" t="str">
        <f>Ocupacao_DW[[#This Row],[data]]&amp;Ocupacao_DW[[#This Row],[profissional_id]]&amp;Ocupacao_DW[[#This Row],[local_id]]</f>
        <v>44636106919</v>
      </c>
      <c r="H3069" s="1">
        <f>_xlfn.XLOOKUP(Ocupacao_DW[[#This Row],[Concat]],Vagas!$H:$H,Vagas!$D:$D,"",0)</f>
        <v>0</v>
      </c>
    </row>
    <row r="3070" spans="1:8" x14ac:dyDescent="0.25">
      <c r="A3070" s="2">
        <v>44636</v>
      </c>
      <c r="B3070" s="1" t="s">
        <v>62</v>
      </c>
      <c r="C3070">
        <v>10799</v>
      </c>
      <c r="D3070" s="1" t="s">
        <v>204</v>
      </c>
      <c r="E3070" s="1" t="s">
        <v>5</v>
      </c>
      <c r="F3070">
        <v>18</v>
      </c>
      <c r="G3070" s="1" t="str">
        <f>Ocupacao_DW[[#This Row],[data]]&amp;Ocupacao_DW[[#This Row],[profissional_id]]&amp;Ocupacao_DW[[#This Row],[local_id]]</f>
        <v>446361079918</v>
      </c>
      <c r="H3070" s="1">
        <f>_xlfn.XLOOKUP(Ocupacao_DW[[#This Row],[Concat]],Vagas!$H:$H,Vagas!$D:$D,"",0)</f>
        <v>0</v>
      </c>
    </row>
    <row r="3071" spans="1:8" x14ac:dyDescent="0.25">
      <c r="A3071" s="2">
        <v>44655</v>
      </c>
      <c r="B3071" s="1" t="s">
        <v>55</v>
      </c>
      <c r="C3071">
        <v>6392</v>
      </c>
      <c r="D3071" s="1" t="s">
        <v>173</v>
      </c>
      <c r="E3071" s="1" t="s">
        <v>6</v>
      </c>
      <c r="F3071">
        <v>5</v>
      </c>
      <c r="G3071" s="1" t="str">
        <f>Ocupacao_DW[[#This Row],[data]]&amp;Ocupacao_DW[[#This Row],[profissional_id]]&amp;Ocupacao_DW[[#This Row],[local_id]]</f>
        <v>4465563925</v>
      </c>
      <c r="H3071" s="1">
        <f>_xlfn.XLOOKUP(Ocupacao_DW[[#This Row],[Concat]],Vagas!$H:$H,Vagas!$D:$D,"",0)</f>
        <v>0</v>
      </c>
    </row>
    <row r="3072" spans="1:8" x14ac:dyDescent="0.25">
      <c r="A3072" s="2">
        <v>44635</v>
      </c>
      <c r="B3072" s="1" t="s">
        <v>21</v>
      </c>
      <c r="C3072">
        <v>17890</v>
      </c>
      <c r="D3072" s="1" t="s">
        <v>270</v>
      </c>
      <c r="E3072" s="1" t="s">
        <v>6</v>
      </c>
      <c r="F3072">
        <v>4</v>
      </c>
      <c r="G3072" s="1" t="str">
        <f>Ocupacao_DW[[#This Row],[data]]&amp;Ocupacao_DW[[#This Row],[profissional_id]]&amp;Ocupacao_DW[[#This Row],[local_id]]</f>
        <v>44635178904</v>
      </c>
      <c r="H3072" s="1">
        <f>_xlfn.XLOOKUP(Ocupacao_DW[[#This Row],[Concat]],Vagas!$H:$H,Vagas!$D:$D,"",0)</f>
        <v>6</v>
      </c>
    </row>
    <row r="3073" spans="1:8" x14ac:dyDescent="0.25">
      <c r="A3073" s="2">
        <v>44642</v>
      </c>
      <c r="B3073" s="1" t="s">
        <v>70</v>
      </c>
      <c r="C3073">
        <v>14237</v>
      </c>
      <c r="D3073" s="1" t="s">
        <v>186</v>
      </c>
      <c r="E3073" s="1" t="s">
        <v>4</v>
      </c>
      <c r="F3073">
        <v>47</v>
      </c>
      <c r="G3073" s="1" t="str">
        <f>Ocupacao_DW[[#This Row],[data]]&amp;Ocupacao_DW[[#This Row],[profissional_id]]&amp;Ocupacao_DW[[#This Row],[local_id]]</f>
        <v>446421423747</v>
      </c>
      <c r="H3073" s="1">
        <f>_xlfn.XLOOKUP(Ocupacao_DW[[#This Row],[Concat]],Vagas!$H:$H,Vagas!$D:$D,"",0)</f>
        <v>0</v>
      </c>
    </row>
    <row r="3074" spans="1:8" x14ac:dyDescent="0.25">
      <c r="A3074" s="2">
        <v>44639</v>
      </c>
      <c r="B3074" s="1" t="s">
        <v>43</v>
      </c>
      <c r="C3074">
        <v>57</v>
      </c>
      <c r="D3074" s="1" t="s">
        <v>169</v>
      </c>
      <c r="E3074" s="1" t="s">
        <v>6</v>
      </c>
      <c r="F3074">
        <v>2</v>
      </c>
      <c r="G3074" s="1" t="str">
        <f>Ocupacao_DW[[#This Row],[data]]&amp;Ocupacao_DW[[#This Row],[profissional_id]]&amp;Ocupacao_DW[[#This Row],[local_id]]</f>
        <v>44639572</v>
      </c>
      <c r="H3074" s="1">
        <f>_xlfn.XLOOKUP(Ocupacao_DW[[#This Row],[Concat]],Vagas!$H:$H,Vagas!$D:$D,"",0)</f>
        <v>0</v>
      </c>
    </row>
    <row r="3075" spans="1:8" x14ac:dyDescent="0.25">
      <c r="A3075" s="2">
        <v>44638</v>
      </c>
      <c r="B3075" s="1" t="s">
        <v>52</v>
      </c>
      <c r="C3075">
        <v>60</v>
      </c>
      <c r="D3075" s="1" t="s">
        <v>217</v>
      </c>
      <c r="E3075" s="1" t="s">
        <v>167</v>
      </c>
      <c r="F3075">
        <v>348</v>
      </c>
      <c r="G3075" s="1" t="str">
        <f>Ocupacao_DW[[#This Row],[data]]&amp;Ocupacao_DW[[#This Row],[profissional_id]]&amp;Ocupacao_DW[[#This Row],[local_id]]</f>
        <v>4463860348</v>
      </c>
      <c r="H3075" s="1">
        <f>_xlfn.XLOOKUP(Ocupacao_DW[[#This Row],[Concat]],Vagas!$H:$H,Vagas!$D:$D,"",0)</f>
        <v>0</v>
      </c>
    </row>
    <row r="3076" spans="1:8" x14ac:dyDescent="0.25">
      <c r="A3076" s="2">
        <v>44643</v>
      </c>
      <c r="B3076" s="1"/>
      <c r="C3076">
        <v>531</v>
      </c>
      <c r="D3076" s="1" t="s">
        <v>213</v>
      </c>
      <c r="E3076" s="1" t="s">
        <v>5</v>
      </c>
      <c r="F3076">
        <v>12</v>
      </c>
      <c r="G3076" s="1" t="str">
        <f>Ocupacao_DW[[#This Row],[data]]&amp;Ocupacao_DW[[#This Row],[profissional_id]]&amp;Ocupacao_DW[[#This Row],[local_id]]</f>
        <v>4464353112</v>
      </c>
      <c r="H3076" s="1">
        <f>_xlfn.XLOOKUP(Ocupacao_DW[[#This Row],[Concat]],Vagas!$H:$H,Vagas!$D:$D,"",0)</f>
        <v>0</v>
      </c>
    </row>
    <row r="3077" spans="1:8" x14ac:dyDescent="0.25">
      <c r="A3077" s="2">
        <v>44646</v>
      </c>
      <c r="B3077" s="1" t="s">
        <v>47</v>
      </c>
      <c r="C3077">
        <v>111</v>
      </c>
      <c r="D3077" s="1" t="s">
        <v>199</v>
      </c>
      <c r="E3077" s="1" t="s">
        <v>4</v>
      </c>
      <c r="F3077">
        <v>51</v>
      </c>
      <c r="G3077" s="1" t="str">
        <f>Ocupacao_DW[[#This Row],[data]]&amp;Ocupacao_DW[[#This Row],[profissional_id]]&amp;Ocupacao_DW[[#This Row],[local_id]]</f>
        <v>4464611151</v>
      </c>
      <c r="H3077" s="1">
        <f>_xlfn.XLOOKUP(Ocupacao_DW[[#This Row],[Concat]],Vagas!$H:$H,Vagas!$D:$D,"",0)</f>
        <v>31</v>
      </c>
    </row>
    <row r="3078" spans="1:8" x14ac:dyDescent="0.25">
      <c r="A3078" s="2">
        <v>44635</v>
      </c>
      <c r="B3078" s="1" t="s">
        <v>65</v>
      </c>
      <c r="C3078">
        <v>11237</v>
      </c>
      <c r="D3078" s="1" t="s">
        <v>229</v>
      </c>
      <c r="E3078" s="1" t="s">
        <v>4</v>
      </c>
      <c r="F3078">
        <v>46</v>
      </c>
      <c r="G3078" s="1" t="str">
        <f>Ocupacao_DW[[#This Row],[data]]&amp;Ocupacao_DW[[#This Row],[profissional_id]]&amp;Ocupacao_DW[[#This Row],[local_id]]</f>
        <v>446351123746</v>
      </c>
      <c r="H3078" s="1">
        <f>_xlfn.XLOOKUP(Ocupacao_DW[[#This Row],[Concat]],Vagas!$H:$H,Vagas!$D:$D,"",0)</f>
        <v>0</v>
      </c>
    </row>
    <row r="3079" spans="1:8" x14ac:dyDescent="0.25">
      <c r="A3079" s="2">
        <v>44638</v>
      </c>
      <c r="B3079" s="1" t="s">
        <v>54</v>
      </c>
      <c r="C3079">
        <v>69</v>
      </c>
      <c r="D3079" s="1" t="s">
        <v>238</v>
      </c>
      <c r="E3079" s="1" t="s">
        <v>5</v>
      </c>
      <c r="F3079">
        <v>11</v>
      </c>
      <c r="G3079" s="1" t="str">
        <f>Ocupacao_DW[[#This Row],[data]]&amp;Ocupacao_DW[[#This Row],[profissional_id]]&amp;Ocupacao_DW[[#This Row],[local_id]]</f>
        <v>446386911</v>
      </c>
      <c r="H3079" s="1" t="str">
        <f>_xlfn.XLOOKUP(Ocupacao_DW[[#This Row],[Concat]],Vagas!$H:$H,Vagas!$D:$D,"",0)</f>
        <v/>
      </c>
    </row>
    <row r="3080" spans="1:8" x14ac:dyDescent="0.25">
      <c r="A3080" s="2">
        <v>44638</v>
      </c>
      <c r="B3080" s="1" t="s">
        <v>47</v>
      </c>
      <c r="C3080">
        <v>9111</v>
      </c>
      <c r="D3080" s="1" t="s">
        <v>206</v>
      </c>
      <c r="E3080" s="1" t="s">
        <v>4</v>
      </c>
      <c r="F3080">
        <v>51</v>
      </c>
      <c r="G3080" s="1" t="str">
        <f>Ocupacao_DW[[#This Row],[data]]&amp;Ocupacao_DW[[#This Row],[profissional_id]]&amp;Ocupacao_DW[[#This Row],[local_id]]</f>
        <v>44638911151</v>
      </c>
      <c r="H3080" s="1">
        <f>_xlfn.XLOOKUP(Ocupacao_DW[[#This Row],[Concat]],Vagas!$H:$H,Vagas!$D:$D,"",0)</f>
        <v>0</v>
      </c>
    </row>
    <row r="3081" spans="1:8" x14ac:dyDescent="0.25">
      <c r="A3081" s="2">
        <v>44636</v>
      </c>
      <c r="B3081" s="1" t="s">
        <v>47</v>
      </c>
      <c r="C3081">
        <v>111</v>
      </c>
      <c r="D3081" s="1" t="s">
        <v>199</v>
      </c>
      <c r="E3081" s="1" t="s">
        <v>4</v>
      </c>
      <c r="F3081">
        <v>51</v>
      </c>
      <c r="G3081" s="1" t="str">
        <f>Ocupacao_DW[[#This Row],[data]]&amp;Ocupacao_DW[[#This Row],[profissional_id]]&amp;Ocupacao_DW[[#This Row],[local_id]]</f>
        <v>4463611151</v>
      </c>
      <c r="H3081" s="1">
        <f>_xlfn.XLOOKUP(Ocupacao_DW[[#This Row],[Concat]],Vagas!$H:$H,Vagas!$D:$D,"",0)</f>
        <v>1</v>
      </c>
    </row>
    <row r="3082" spans="1:8" x14ac:dyDescent="0.25">
      <c r="A3082" s="2">
        <v>44637</v>
      </c>
      <c r="B3082" s="1" t="s">
        <v>49</v>
      </c>
      <c r="C3082">
        <v>3092</v>
      </c>
      <c r="D3082" s="1" t="s">
        <v>262</v>
      </c>
      <c r="E3082" s="1" t="s">
        <v>4</v>
      </c>
      <c r="F3082">
        <v>43</v>
      </c>
      <c r="G3082" s="1" t="str">
        <f>Ocupacao_DW[[#This Row],[data]]&amp;Ocupacao_DW[[#This Row],[profissional_id]]&amp;Ocupacao_DW[[#This Row],[local_id]]</f>
        <v>44637309243</v>
      </c>
      <c r="H3082" s="1">
        <f>_xlfn.XLOOKUP(Ocupacao_DW[[#This Row],[Concat]],Vagas!$H:$H,Vagas!$D:$D,"",0)</f>
        <v>0</v>
      </c>
    </row>
    <row r="3083" spans="1:8" x14ac:dyDescent="0.25">
      <c r="A3083" s="2">
        <v>44656</v>
      </c>
      <c r="B3083" s="1" t="s">
        <v>52</v>
      </c>
      <c r="C3083">
        <v>13061</v>
      </c>
      <c r="D3083" s="1" t="s">
        <v>232</v>
      </c>
      <c r="E3083" s="1" t="s">
        <v>6</v>
      </c>
      <c r="F3083">
        <v>9</v>
      </c>
      <c r="G3083" s="1" t="str">
        <f>Ocupacao_DW[[#This Row],[data]]&amp;Ocupacao_DW[[#This Row],[profissional_id]]&amp;Ocupacao_DW[[#This Row],[local_id]]</f>
        <v>44656130619</v>
      </c>
      <c r="H3083" s="1">
        <f>_xlfn.XLOOKUP(Ocupacao_DW[[#This Row],[Concat]],Vagas!$H:$H,Vagas!$D:$D,"",0)</f>
        <v>0</v>
      </c>
    </row>
    <row r="3084" spans="1:8" x14ac:dyDescent="0.25">
      <c r="A3084" s="2">
        <v>44635</v>
      </c>
      <c r="B3084" s="1" t="s">
        <v>70</v>
      </c>
      <c r="C3084">
        <v>12825</v>
      </c>
      <c r="D3084" s="1" t="s">
        <v>177</v>
      </c>
      <c r="E3084" s="1" t="s">
        <v>7</v>
      </c>
      <c r="F3084">
        <v>63</v>
      </c>
      <c r="G3084" s="1" t="str">
        <f>Ocupacao_DW[[#This Row],[data]]&amp;Ocupacao_DW[[#This Row],[profissional_id]]&amp;Ocupacao_DW[[#This Row],[local_id]]</f>
        <v>446351282563</v>
      </c>
      <c r="H3084" s="1">
        <f>_xlfn.XLOOKUP(Ocupacao_DW[[#This Row],[Concat]],Vagas!$H:$H,Vagas!$D:$D,"",0)</f>
        <v>0</v>
      </c>
    </row>
    <row r="3085" spans="1:8" x14ac:dyDescent="0.25">
      <c r="A3085" s="2">
        <v>44638</v>
      </c>
      <c r="B3085" s="1" t="s">
        <v>24</v>
      </c>
      <c r="C3085">
        <v>60</v>
      </c>
      <c r="D3085" s="1" t="s">
        <v>217</v>
      </c>
      <c r="E3085" s="1" t="s">
        <v>6</v>
      </c>
      <c r="F3085">
        <v>1</v>
      </c>
      <c r="G3085" s="1" t="str">
        <f>Ocupacao_DW[[#This Row],[data]]&amp;Ocupacao_DW[[#This Row],[profissional_id]]&amp;Ocupacao_DW[[#This Row],[local_id]]</f>
        <v>44638601</v>
      </c>
      <c r="H3085" s="1">
        <f>_xlfn.XLOOKUP(Ocupacao_DW[[#This Row],[Concat]],Vagas!$H:$H,Vagas!$D:$D,"",0)</f>
        <v>0</v>
      </c>
    </row>
    <row r="3086" spans="1:8" x14ac:dyDescent="0.25">
      <c r="A3086" s="2">
        <v>44637</v>
      </c>
      <c r="B3086" s="1" t="s">
        <v>56</v>
      </c>
      <c r="C3086">
        <v>5822</v>
      </c>
      <c r="D3086" s="1" t="s">
        <v>194</v>
      </c>
      <c r="E3086" s="1" t="s">
        <v>5</v>
      </c>
      <c r="F3086">
        <v>11</v>
      </c>
      <c r="G3086" s="1" t="str">
        <f>Ocupacao_DW[[#This Row],[data]]&amp;Ocupacao_DW[[#This Row],[profissional_id]]&amp;Ocupacao_DW[[#This Row],[local_id]]</f>
        <v>44637582211</v>
      </c>
      <c r="H3086" s="1">
        <f>_xlfn.XLOOKUP(Ocupacao_DW[[#This Row],[Concat]],Vagas!$H:$H,Vagas!$D:$D,"",0)</f>
        <v>0</v>
      </c>
    </row>
    <row r="3087" spans="1:8" x14ac:dyDescent="0.25">
      <c r="A3087" s="2">
        <v>44636</v>
      </c>
      <c r="B3087" s="1" t="s">
        <v>47</v>
      </c>
      <c r="C3087">
        <v>110</v>
      </c>
      <c r="D3087" s="1" t="s">
        <v>193</v>
      </c>
      <c r="E3087" s="1" t="s">
        <v>4</v>
      </c>
      <c r="F3087">
        <v>334</v>
      </c>
      <c r="G3087" s="1" t="str">
        <f>Ocupacao_DW[[#This Row],[data]]&amp;Ocupacao_DW[[#This Row],[profissional_id]]&amp;Ocupacao_DW[[#This Row],[local_id]]</f>
        <v>44636110334</v>
      </c>
      <c r="H3087" s="1">
        <f>_xlfn.XLOOKUP(Ocupacao_DW[[#This Row],[Concat]],Vagas!$H:$H,Vagas!$D:$D,"",0)</f>
        <v>0</v>
      </c>
    </row>
    <row r="3088" spans="1:8" x14ac:dyDescent="0.25">
      <c r="A3088" s="2">
        <v>44638</v>
      </c>
      <c r="B3088" s="1" t="s">
        <v>49</v>
      </c>
      <c r="C3088">
        <v>6430</v>
      </c>
      <c r="D3088" s="1" t="s">
        <v>188</v>
      </c>
      <c r="E3088" s="1" t="s">
        <v>4</v>
      </c>
      <c r="F3088">
        <v>42</v>
      </c>
      <c r="G3088" s="1" t="str">
        <f>Ocupacao_DW[[#This Row],[data]]&amp;Ocupacao_DW[[#This Row],[profissional_id]]&amp;Ocupacao_DW[[#This Row],[local_id]]</f>
        <v>44638643042</v>
      </c>
      <c r="H3088" s="1">
        <f>_xlfn.XLOOKUP(Ocupacao_DW[[#This Row],[Concat]],Vagas!$H:$H,Vagas!$D:$D,"",0)</f>
        <v>0</v>
      </c>
    </row>
    <row r="3089" spans="1:8" x14ac:dyDescent="0.25">
      <c r="A3089" s="2">
        <v>44656</v>
      </c>
      <c r="B3089" s="1" t="s">
        <v>67</v>
      </c>
      <c r="C3089">
        <v>7290</v>
      </c>
      <c r="D3089" s="1" t="s">
        <v>247</v>
      </c>
      <c r="E3089" s="1" t="s">
        <v>5</v>
      </c>
      <c r="F3089">
        <v>18</v>
      </c>
      <c r="G3089" s="1" t="str">
        <f>Ocupacao_DW[[#This Row],[data]]&amp;Ocupacao_DW[[#This Row],[profissional_id]]&amp;Ocupacao_DW[[#This Row],[local_id]]</f>
        <v>44656729018</v>
      </c>
      <c r="H3089" s="1">
        <f>_xlfn.XLOOKUP(Ocupacao_DW[[#This Row],[Concat]],Vagas!$H:$H,Vagas!$D:$D,"",0)</f>
        <v>0</v>
      </c>
    </row>
    <row r="3090" spans="1:8" x14ac:dyDescent="0.25">
      <c r="A3090" s="2">
        <v>44635</v>
      </c>
      <c r="B3090" s="1" t="s">
        <v>47</v>
      </c>
      <c r="C3090">
        <v>9111</v>
      </c>
      <c r="D3090" s="1" t="s">
        <v>206</v>
      </c>
      <c r="E3090" s="1" t="s">
        <v>4</v>
      </c>
      <c r="F3090">
        <v>335</v>
      </c>
      <c r="G3090" s="1" t="str">
        <f>Ocupacao_DW[[#This Row],[data]]&amp;Ocupacao_DW[[#This Row],[profissional_id]]&amp;Ocupacao_DW[[#This Row],[local_id]]</f>
        <v>446359111335</v>
      </c>
      <c r="H3090" s="1">
        <f>_xlfn.XLOOKUP(Ocupacao_DW[[#This Row],[Concat]],Vagas!$H:$H,Vagas!$D:$D,"",0)</f>
        <v>0</v>
      </c>
    </row>
    <row r="3091" spans="1:8" x14ac:dyDescent="0.25">
      <c r="A3091" s="2">
        <v>44643</v>
      </c>
      <c r="B3091" s="1" t="s">
        <v>69</v>
      </c>
      <c r="C3091">
        <v>17878</v>
      </c>
      <c r="D3091" s="1" t="s">
        <v>183</v>
      </c>
      <c r="E3091" s="1" t="s">
        <v>7</v>
      </c>
      <c r="F3091">
        <v>63</v>
      </c>
      <c r="G3091" s="1" t="str">
        <f>Ocupacao_DW[[#This Row],[data]]&amp;Ocupacao_DW[[#This Row],[profissional_id]]&amp;Ocupacao_DW[[#This Row],[local_id]]</f>
        <v>446431787863</v>
      </c>
      <c r="H3091" s="1">
        <f>_xlfn.XLOOKUP(Ocupacao_DW[[#This Row],[Concat]],Vagas!$H:$H,Vagas!$D:$D,"",0)</f>
        <v>0</v>
      </c>
    </row>
    <row r="3092" spans="1:8" x14ac:dyDescent="0.25">
      <c r="A3092" s="2">
        <v>44635</v>
      </c>
      <c r="B3092" s="1" t="s">
        <v>70</v>
      </c>
      <c r="C3092">
        <v>12825</v>
      </c>
      <c r="D3092" s="1" t="s">
        <v>177</v>
      </c>
      <c r="E3092" s="1" t="s">
        <v>7</v>
      </c>
      <c r="F3092">
        <v>63</v>
      </c>
      <c r="G3092" s="1" t="str">
        <f>Ocupacao_DW[[#This Row],[data]]&amp;Ocupacao_DW[[#This Row],[profissional_id]]&amp;Ocupacao_DW[[#This Row],[local_id]]</f>
        <v>446351282563</v>
      </c>
      <c r="H3092" s="1">
        <f>_xlfn.XLOOKUP(Ocupacao_DW[[#This Row],[Concat]],Vagas!$H:$H,Vagas!$D:$D,"",0)</f>
        <v>0</v>
      </c>
    </row>
    <row r="3093" spans="1:8" x14ac:dyDescent="0.25">
      <c r="A3093" s="2">
        <v>44635</v>
      </c>
      <c r="B3093" s="1" t="s">
        <v>71</v>
      </c>
      <c r="C3093">
        <v>282</v>
      </c>
      <c r="D3093" s="1" t="s">
        <v>210</v>
      </c>
      <c r="E3093" s="1" t="s">
        <v>4</v>
      </c>
      <c r="F3093">
        <v>48</v>
      </c>
      <c r="G3093" s="1" t="str">
        <f>Ocupacao_DW[[#This Row],[data]]&amp;Ocupacao_DW[[#This Row],[profissional_id]]&amp;Ocupacao_DW[[#This Row],[local_id]]</f>
        <v>4463528248</v>
      </c>
      <c r="H3093" s="1">
        <f>_xlfn.XLOOKUP(Ocupacao_DW[[#This Row],[Concat]],Vagas!$H:$H,Vagas!$D:$D,"",0)</f>
        <v>0</v>
      </c>
    </row>
    <row r="3094" spans="1:8" x14ac:dyDescent="0.25">
      <c r="A3094" s="2">
        <v>44641</v>
      </c>
      <c r="B3094" s="1" t="s">
        <v>54</v>
      </c>
      <c r="C3094">
        <v>10941</v>
      </c>
      <c r="D3094" s="1" t="s">
        <v>224</v>
      </c>
      <c r="E3094" s="1" t="s">
        <v>5</v>
      </c>
      <c r="F3094">
        <v>11</v>
      </c>
      <c r="G3094" s="1" t="str">
        <f>Ocupacao_DW[[#This Row],[data]]&amp;Ocupacao_DW[[#This Row],[profissional_id]]&amp;Ocupacao_DW[[#This Row],[local_id]]</f>
        <v>446411094111</v>
      </c>
      <c r="H3094" s="1">
        <f>_xlfn.XLOOKUP(Ocupacao_DW[[#This Row],[Concat]],Vagas!$H:$H,Vagas!$D:$D,"",0)</f>
        <v>0</v>
      </c>
    </row>
    <row r="3095" spans="1:8" x14ac:dyDescent="0.25">
      <c r="A3095" s="2">
        <v>44638</v>
      </c>
      <c r="B3095" s="1" t="s">
        <v>49</v>
      </c>
      <c r="C3095">
        <v>12142</v>
      </c>
      <c r="D3095" s="1" t="s">
        <v>219</v>
      </c>
      <c r="E3095" s="1" t="s">
        <v>4</v>
      </c>
      <c r="F3095">
        <v>44</v>
      </c>
      <c r="G3095" s="1" t="str">
        <f>Ocupacao_DW[[#This Row],[data]]&amp;Ocupacao_DW[[#This Row],[profissional_id]]&amp;Ocupacao_DW[[#This Row],[local_id]]</f>
        <v>446381214244</v>
      </c>
      <c r="H3095" s="1">
        <f>_xlfn.XLOOKUP(Ocupacao_DW[[#This Row],[Concat]],Vagas!$H:$H,Vagas!$D:$D,"",0)</f>
        <v>0</v>
      </c>
    </row>
    <row r="3096" spans="1:8" x14ac:dyDescent="0.25">
      <c r="A3096" s="2">
        <v>44635</v>
      </c>
      <c r="B3096" s="1" t="s">
        <v>64</v>
      </c>
      <c r="C3096">
        <v>85</v>
      </c>
      <c r="D3096" s="1" t="s">
        <v>211</v>
      </c>
      <c r="E3096" s="1" t="s">
        <v>5</v>
      </c>
      <c r="F3096">
        <v>349</v>
      </c>
      <c r="G3096" s="1" t="str">
        <f>Ocupacao_DW[[#This Row],[data]]&amp;Ocupacao_DW[[#This Row],[profissional_id]]&amp;Ocupacao_DW[[#This Row],[local_id]]</f>
        <v>4463585349</v>
      </c>
      <c r="H3096" s="1">
        <f>_xlfn.XLOOKUP(Ocupacao_DW[[#This Row],[Concat]],Vagas!$H:$H,Vagas!$D:$D,"",0)</f>
        <v>0</v>
      </c>
    </row>
    <row r="3097" spans="1:8" x14ac:dyDescent="0.25">
      <c r="A3097" s="2">
        <v>44637</v>
      </c>
      <c r="B3097" s="1" t="s">
        <v>51</v>
      </c>
      <c r="C3097">
        <v>12582</v>
      </c>
      <c r="D3097" s="1" t="s">
        <v>190</v>
      </c>
      <c r="E3097" s="1" t="s">
        <v>5</v>
      </c>
      <c r="F3097">
        <v>15</v>
      </c>
      <c r="G3097" s="1" t="str">
        <f>Ocupacao_DW[[#This Row],[data]]&amp;Ocupacao_DW[[#This Row],[profissional_id]]&amp;Ocupacao_DW[[#This Row],[local_id]]</f>
        <v>446371258215</v>
      </c>
      <c r="H3097" s="1">
        <f>_xlfn.XLOOKUP(Ocupacao_DW[[#This Row],[Concat]],Vagas!$H:$H,Vagas!$D:$D,"",0)</f>
        <v>0</v>
      </c>
    </row>
    <row r="3098" spans="1:8" x14ac:dyDescent="0.25">
      <c r="A3098" s="2">
        <v>44635</v>
      </c>
      <c r="B3098" s="1" t="s">
        <v>65</v>
      </c>
      <c r="C3098">
        <v>11652</v>
      </c>
      <c r="D3098" s="1" t="s">
        <v>242</v>
      </c>
      <c r="E3098" s="1" t="s">
        <v>4</v>
      </c>
      <c r="F3098">
        <v>47</v>
      </c>
      <c r="G3098" s="1" t="str">
        <f>Ocupacao_DW[[#This Row],[data]]&amp;Ocupacao_DW[[#This Row],[profissional_id]]&amp;Ocupacao_DW[[#This Row],[local_id]]</f>
        <v>446351165247</v>
      </c>
      <c r="H3098" s="1">
        <f>_xlfn.XLOOKUP(Ocupacao_DW[[#This Row],[Concat]],Vagas!$H:$H,Vagas!$D:$D,"",0)</f>
        <v>0</v>
      </c>
    </row>
    <row r="3099" spans="1:8" x14ac:dyDescent="0.25">
      <c r="A3099" s="2">
        <v>44635</v>
      </c>
      <c r="B3099" s="1" t="s">
        <v>49</v>
      </c>
      <c r="C3099">
        <v>81</v>
      </c>
      <c r="D3099" s="1" t="s">
        <v>170</v>
      </c>
      <c r="E3099" s="1" t="s">
        <v>4</v>
      </c>
      <c r="F3099">
        <v>41</v>
      </c>
      <c r="G3099" s="1" t="str">
        <f>Ocupacao_DW[[#This Row],[data]]&amp;Ocupacao_DW[[#This Row],[profissional_id]]&amp;Ocupacao_DW[[#This Row],[local_id]]</f>
        <v>446358141</v>
      </c>
      <c r="H3099" s="1">
        <f>_xlfn.XLOOKUP(Ocupacao_DW[[#This Row],[Concat]],Vagas!$H:$H,Vagas!$D:$D,"",0)</f>
        <v>0</v>
      </c>
    </row>
    <row r="3100" spans="1:8" x14ac:dyDescent="0.25">
      <c r="A3100" s="2">
        <v>44644</v>
      </c>
      <c r="B3100" s="1" t="s">
        <v>70</v>
      </c>
      <c r="C3100">
        <v>12519</v>
      </c>
      <c r="D3100" s="1" t="s">
        <v>176</v>
      </c>
      <c r="E3100" s="1" t="s">
        <v>4</v>
      </c>
      <c r="F3100">
        <v>42</v>
      </c>
      <c r="G3100" s="1" t="str">
        <f>Ocupacao_DW[[#This Row],[data]]&amp;Ocupacao_DW[[#This Row],[profissional_id]]&amp;Ocupacao_DW[[#This Row],[local_id]]</f>
        <v>446441251942</v>
      </c>
      <c r="H3100" s="1">
        <f>_xlfn.XLOOKUP(Ocupacao_DW[[#This Row],[Concat]],Vagas!$H:$H,Vagas!$D:$D,"",0)</f>
        <v>0</v>
      </c>
    </row>
    <row r="3101" spans="1:8" x14ac:dyDescent="0.25">
      <c r="A3101" s="2">
        <v>44635</v>
      </c>
      <c r="B3101" s="1" t="s">
        <v>49</v>
      </c>
      <c r="C3101">
        <v>10600</v>
      </c>
      <c r="D3101" s="1" t="s">
        <v>248</v>
      </c>
      <c r="E3101" s="1" t="s">
        <v>200</v>
      </c>
      <c r="F3101">
        <v>86</v>
      </c>
      <c r="G3101" s="1" t="str">
        <f>Ocupacao_DW[[#This Row],[data]]&amp;Ocupacao_DW[[#This Row],[profissional_id]]&amp;Ocupacao_DW[[#This Row],[local_id]]</f>
        <v>446351060086</v>
      </c>
      <c r="H3101" s="1">
        <f>_xlfn.XLOOKUP(Ocupacao_DW[[#This Row],[Concat]],Vagas!$H:$H,Vagas!$D:$D,"",0)</f>
        <v>0</v>
      </c>
    </row>
    <row r="3102" spans="1:8" x14ac:dyDescent="0.25">
      <c r="A3102" s="2">
        <v>44635</v>
      </c>
      <c r="B3102" s="1" t="s">
        <v>49</v>
      </c>
      <c r="C3102">
        <v>10600</v>
      </c>
      <c r="D3102" s="1" t="s">
        <v>248</v>
      </c>
      <c r="E3102" s="1" t="s">
        <v>200</v>
      </c>
      <c r="F3102">
        <v>86</v>
      </c>
      <c r="G3102" s="1" t="str">
        <f>Ocupacao_DW[[#This Row],[data]]&amp;Ocupacao_DW[[#This Row],[profissional_id]]&amp;Ocupacao_DW[[#This Row],[local_id]]</f>
        <v>446351060086</v>
      </c>
      <c r="H3102" s="1">
        <f>_xlfn.XLOOKUP(Ocupacao_DW[[#This Row],[Concat]],Vagas!$H:$H,Vagas!$D:$D,"",0)</f>
        <v>0</v>
      </c>
    </row>
    <row r="3103" spans="1:8" x14ac:dyDescent="0.25">
      <c r="A3103" s="2">
        <v>44643</v>
      </c>
      <c r="B3103" s="1" t="s">
        <v>24</v>
      </c>
      <c r="C3103">
        <v>13061</v>
      </c>
      <c r="D3103" s="1" t="s">
        <v>232</v>
      </c>
      <c r="E3103" s="1" t="s">
        <v>6</v>
      </c>
      <c r="F3103">
        <v>3</v>
      </c>
      <c r="G3103" s="1" t="str">
        <f>Ocupacao_DW[[#This Row],[data]]&amp;Ocupacao_DW[[#This Row],[profissional_id]]&amp;Ocupacao_DW[[#This Row],[local_id]]</f>
        <v>44643130613</v>
      </c>
      <c r="H3103" s="1">
        <f>_xlfn.XLOOKUP(Ocupacao_DW[[#This Row],[Concat]],Vagas!$H:$H,Vagas!$D:$D,"",0)</f>
        <v>0</v>
      </c>
    </row>
    <row r="3104" spans="1:8" x14ac:dyDescent="0.25">
      <c r="A3104" s="2">
        <v>44651</v>
      </c>
      <c r="B3104" s="1" t="s">
        <v>47</v>
      </c>
      <c r="C3104">
        <v>11312</v>
      </c>
      <c r="D3104" s="1" t="s">
        <v>207</v>
      </c>
      <c r="E3104" s="1" t="s">
        <v>4</v>
      </c>
      <c r="F3104">
        <v>336</v>
      </c>
      <c r="G3104" s="1" t="str">
        <f>Ocupacao_DW[[#This Row],[data]]&amp;Ocupacao_DW[[#This Row],[profissional_id]]&amp;Ocupacao_DW[[#This Row],[local_id]]</f>
        <v>4465111312336</v>
      </c>
      <c r="H3104" s="1">
        <f>_xlfn.XLOOKUP(Ocupacao_DW[[#This Row],[Concat]],Vagas!$H:$H,Vagas!$D:$D,"",0)</f>
        <v>28</v>
      </c>
    </row>
    <row r="3105" spans="1:8" x14ac:dyDescent="0.25">
      <c r="A3105" s="2">
        <v>44656</v>
      </c>
      <c r="B3105" s="1" t="s">
        <v>55</v>
      </c>
      <c r="C3105">
        <v>73</v>
      </c>
      <c r="D3105" s="1" t="s">
        <v>171</v>
      </c>
      <c r="E3105" s="1" t="s">
        <v>6</v>
      </c>
      <c r="F3105">
        <v>5</v>
      </c>
      <c r="G3105" s="1" t="str">
        <f>Ocupacao_DW[[#This Row],[data]]&amp;Ocupacao_DW[[#This Row],[profissional_id]]&amp;Ocupacao_DW[[#This Row],[local_id]]</f>
        <v>44656735</v>
      </c>
      <c r="H3105" s="1">
        <f>_xlfn.XLOOKUP(Ocupacao_DW[[#This Row],[Concat]],Vagas!$H:$H,Vagas!$D:$D,"",0)</f>
        <v>0</v>
      </c>
    </row>
    <row r="3106" spans="1:8" x14ac:dyDescent="0.25">
      <c r="A3106" s="2">
        <v>44651</v>
      </c>
      <c r="B3106" s="1" t="s">
        <v>51</v>
      </c>
      <c r="C3106">
        <v>12582</v>
      </c>
      <c r="D3106" s="1" t="s">
        <v>190</v>
      </c>
      <c r="E3106" s="1" t="s">
        <v>5</v>
      </c>
      <c r="F3106">
        <v>15</v>
      </c>
      <c r="G3106" s="1" t="str">
        <f>Ocupacao_DW[[#This Row],[data]]&amp;Ocupacao_DW[[#This Row],[profissional_id]]&amp;Ocupacao_DW[[#This Row],[local_id]]</f>
        <v>446511258215</v>
      </c>
      <c r="H3106" s="1">
        <f>_xlfn.XLOOKUP(Ocupacao_DW[[#This Row],[Concat]],Vagas!$H:$H,Vagas!$D:$D,"",0)</f>
        <v>0</v>
      </c>
    </row>
    <row r="3107" spans="1:8" x14ac:dyDescent="0.25">
      <c r="A3107" s="2">
        <v>44644</v>
      </c>
      <c r="B3107" s="1"/>
      <c r="C3107">
        <v>0</v>
      </c>
      <c r="D3107" s="1"/>
      <c r="E3107" s="1" t="s">
        <v>6</v>
      </c>
      <c r="F3107">
        <v>4</v>
      </c>
      <c r="G3107" s="1" t="str">
        <f>Ocupacao_DW[[#This Row],[data]]&amp;Ocupacao_DW[[#This Row],[profissional_id]]&amp;Ocupacao_DW[[#This Row],[local_id]]</f>
        <v>4464404</v>
      </c>
      <c r="H3107" s="1" t="str">
        <f>_xlfn.XLOOKUP(Ocupacao_DW[[#This Row],[Concat]],Vagas!$H:$H,Vagas!$D:$D,"",0)</f>
        <v/>
      </c>
    </row>
    <row r="3108" spans="1:8" x14ac:dyDescent="0.25">
      <c r="A3108" s="2">
        <v>44650</v>
      </c>
      <c r="B3108" s="1" t="s">
        <v>70</v>
      </c>
      <c r="C3108">
        <v>12519</v>
      </c>
      <c r="D3108" s="1" t="s">
        <v>176</v>
      </c>
      <c r="E3108" s="1" t="s">
        <v>4</v>
      </c>
      <c r="F3108">
        <v>48</v>
      </c>
      <c r="G3108" s="1" t="str">
        <f>Ocupacao_DW[[#This Row],[data]]&amp;Ocupacao_DW[[#This Row],[profissional_id]]&amp;Ocupacao_DW[[#This Row],[local_id]]</f>
        <v>446501251948</v>
      </c>
      <c r="H3108" s="1">
        <f>_xlfn.XLOOKUP(Ocupacao_DW[[#This Row],[Concat]],Vagas!$H:$H,Vagas!$D:$D,"",0)</f>
        <v>0</v>
      </c>
    </row>
    <row r="3109" spans="1:8" x14ac:dyDescent="0.25">
      <c r="A3109" s="2">
        <v>44638</v>
      </c>
      <c r="B3109" s="1" t="s">
        <v>49</v>
      </c>
      <c r="C3109">
        <v>81</v>
      </c>
      <c r="D3109" s="1" t="s">
        <v>170</v>
      </c>
      <c r="E3109" s="1" t="s">
        <v>4</v>
      </c>
      <c r="F3109">
        <v>41</v>
      </c>
      <c r="G3109" s="1" t="str">
        <f>Ocupacao_DW[[#This Row],[data]]&amp;Ocupacao_DW[[#This Row],[profissional_id]]&amp;Ocupacao_DW[[#This Row],[local_id]]</f>
        <v>446388141</v>
      </c>
      <c r="H3109" s="1">
        <f>_xlfn.XLOOKUP(Ocupacao_DW[[#This Row],[Concat]],Vagas!$H:$H,Vagas!$D:$D,"",0)</f>
        <v>0</v>
      </c>
    </row>
    <row r="3110" spans="1:8" x14ac:dyDescent="0.25">
      <c r="A3110" s="2">
        <v>44638</v>
      </c>
      <c r="B3110" s="1" t="s">
        <v>52</v>
      </c>
      <c r="C3110">
        <v>55</v>
      </c>
      <c r="D3110" s="1" t="s">
        <v>244</v>
      </c>
      <c r="E3110" s="1" t="s">
        <v>7</v>
      </c>
      <c r="F3110">
        <v>68</v>
      </c>
      <c r="G3110" s="1" t="str">
        <f>Ocupacao_DW[[#This Row],[data]]&amp;Ocupacao_DW[[#This Row],[profissional_id]]&amp;Ocupacao_DW[[#This Row],[local_id]]</f>
        <v>446385568</v>
      </c>
      <c r="H3110" s="1">
        <f>_xlfn.XLOOKUP(Ocupacao_DW[[#This Row],[Concat]],Vagas!$H:$H,Vagas!$D:$D,"",0)</f>
        <v>0</v>
      </c>
    </row>
    <row r="3111" spans="1:8" x14ac:dyDescent="0.25">
      <c r="A3111" s="2">
        <v>44635</v>
      </c>
      <c r="B3111" s="1" t="s">
        <v>65</v>
      </c>
      <c r="C3111">
        <v>11652</v>
      </c>
      <c r="D3111" s="1" t="s">
        <v>242</v>
      </c>
      <c r="E3111" s="1" t="s">
        <v>4</v>
      </c>
      <c r="F3111">
        <v>47</v>
      </c>
      <c r="G3111" s="1" t="str">
        <f>Ocupacao_DW[[#This Row],[data]]&amp;Ocupacao_DW[[#This Row],[profissional_id]]&amp;Ocupacao_DW[[#This Row],[local_id]]</f>
        <v>446351165247</v>
      </c>
      <c r="H3111" s="1">
        <f>_xlfn.XLOOKUP(Ocupacao_DW[[#This Row],[Concat]],Vagas!$H:$H,Vagas!$D:$D,"",0)</f>
        <v>0</v>
      </c>
    </row>
    <row r="3112" spans="1:8" x14ac:dyDescent="0.25">
      <c r="A3112" s="2">
        <v>44638</v>
      </c>
      <c r="B3112" s="1" t="s">
        <v>49</v>
      </c>
      <c r="C3112">
        <v>6430</v>
      </c>
      <c r="D3112" s="1" t="s">
        <v>188</v>
      </c>
      <c r="E3112" s="1" t="s">
        <v>4</v>
      </c>
      <c r="F3112">
        <v>42</v>
      </c>
      <c r="G3112" s="1" t="str">
        <f>Ocupacao_DW[[#This Row],[data]]&amp;Ocupacao_DW[[#This Row],[profissional_id]]&amp;Ocupacao_DW[[#This Row],[local_id]]</f>
        <v>44638643042</v>
      </c>
      <c r="H3112" s="1">
        <f>_xlfn.XLOOKUP(Ocupacao_DW[[#This Row],[Concat]],Vagas!$H:$H,Vagas!$D:$D,"",0)</f>
        <v>0</v>
      </c>
    </row>
    <row r="3113" spans="1:8" x14ac:dyDescent="0.25">
      <c r="A3113" s="2">
        <v>44636</v>
      </c>
      <c r="B3113" s="1" t="s">
        <v>49</v>
      </c>
      <c r="C3113">
        <v>6430</v>
      </c>
      <c r="D3113" s="1" t="s">
        <v>188</v>
      </c>
      <c r="E3113" s="1" t="s">
        <v>4</v>
      </c>
      <c r="F3113">
        <v>42</v>
      </c>
      <c r="G3113" s="1" t="str">
        <f>Ocupacao_DW[[#This Row],[data]]&amp;Ocupacao_DW[[#This Row],[profissional_id]]&amp;Ocupacao_DW[[#This Row],[local_id]]</f>
        <v>44636643042</v>
      </c>
      <c r="H3113" s="1">
        <f>_xlfn.XLOOKUP(Ocupacao_DW[[#This Row],[Concat]],Vagas!$H:$H,Vagas!$D:$D,"",0)</f>
        <v>0</v>
      </c>
    </row>
    <row r="3114" spans="1:8" x14ac:dyDescent="0.25">
      <c r="A3114" s="2">
        <v>44648</v>
      </c>
      <c r="B3114" s="1" t="s">
        <v>55</v>
      </c>
      <c r="C3114">
        <v>60</v>
      </c>
      <c r="D3114" s="1" t="s">
        <v>217</v>
      </c>
      <c r="E3114" s="1" t="s">
        <v>7</v>
      </c>
      <c r="F3114">
        <v>66</v>
      </c>
      <c r="G3114" s="1" t="str">
        <f>Ocupacao_DW[[#This Row],[data]]&amp;Ocupacao_DW[[#This Row],[profissional_id]]&amp;Ocupacao_DW[[#This Row],[local_id]]</f>
        <v>446486066</v>
      </c>
      <c r="H3114" s="1">
        <f>_xlfn.XLOOKUP(Ocupacao_DW[[#This Row],[Concat]],Vagas!$H:$H,Vagas!$D:$D,"",0)</f>
        <v>0</v>
      </c>
    </row>
    <row r="3115" spans="1:8" x14ac:dyDescent="0.25">
      <c r="A3115" s="2">
        <v>44643</v>
      </c>
      <c r="B3115" s="1" t="s">
        <v>24</v>
      </c>
      <c r="C3115">
        <v>13061</v>
      </c>
      <c r="D3115" s="1" t="s">
        <v>232</v>
      </c>
      <c r="E3115" s="1" t="s">
        <v>6</v>
      </c>
      <c r="F3115">
        <v>3</v>
      </c>
      <c r="G3115" s="1" t="str">
        <f>Ocupacao_DW[[#This Row],[data]]&amp;Ocupacao_DW[[#This Row],[profissional_id]]&amp;Ocupacao_DW[[#This Row],[local_id]]</f>
        <v>44643130613</v>
      </c>
      <c r="H3115" s="1">
        <f>_xlfn.XLOOKUP(Ocupacao_DW[[#This Row],[Concat]],Vagas!$H:$H,Vagas!$D:$D,"",0)</f>
        <v>0</v>
      </c>
    </row>
    <row r="3116" spans="1:8" x14ac:dyDescent="0.25">
      <c r="A3116" s="2">
        <v>44637</v>
      </c>
      <c r="B3116" s="1" t="s">
        <v>52</v>
      </c>
      <c r="C3116">
        <v>10691</v>
      </c>
      <c r="D3116" s="1" t="s">
        <v>181</v>
      </c>
      <c r="E3116" s="1" t="s">
        <v>6</v>
      </c>
      <c r="F3116">
        <v>9</v>
      </c>
      <c r="G3116" s="1" t="str">
        <f>Ocupacao_DW[[#This Row],[data]]&amp;Ocupacao_DW[[#This Row],[profissional_id]]&amp;Ocupacao_DW[[#This Row],[local_id]]</f>
        <v>44637106919</v>
      </c>
      <c r="H3116" s="1">
        <f>_xlfn.XLOOKUP(Ocupacao_DW[[#This Row],[Concat]],Vagas!$H:$H,Vagas!$D:$D,"",0)</f>
        <v>0</v>
      </c>
    </row>
    <row r="3117" spans="1:8" x14ac:dyDescent="0.25">
      <c r="A3117" s="2">
        <v>44641</v>
      </c>
      <c r="B3117" s="1" t="s">
        <v>52</v>
      </c>
      <c r="C3117">
        <v>10691</v>
      </c>
      <c r="D3117" s="1" t="s">
        <v>181</v>
      </c>
      <c r="E3117" s="1" t="s">
        <v>6</v>
      </c>
      <c r="F3117">
        <v>9</v>
      </c>
      <c r="G3117" s="1" t="str">
        <f>Ocupacao_DW[[#This Row],[data]]&amp;Ocupacao_DW[[#This Row],[profissional_id]]&amp;Ocupacao_DW[[#This Row],[local_id]]</f>
        <v>44641106919</v>
      </c>
      <c r="H3117" s="1">
        <f>_xlfn.XLOOKUP(Ocupacao_DW[[#This Row],[Concat]],Vagas!$H:$H,Vagas!$D:$D,"",0)</f>
        <v>0</v>
      </c>
    </row>
    <row r="3118" spans="1:8" x14ac:dyDescent="0.25">
      <c r="A3118" s="2">
        <v>44643</v>
      </c>
      <c r="B3118" s="1" t="s">
        <v>49</v>
      </c>
      <c r="C3118">
        <v>6430</v>
      </c>
      <c r="D3118" s="1" t="s">
        <v>188</v>
      </c>
      <c r="E3118" s="1" t="s">
        <v>4</v>
      </c>
      <c r="F3118">
        <v>42</v>
      </c>
      <c r="G3118" s="1" t="str">
        <f>Ocupacao_DW[[#This Row],[data]]&amp;Ocupacao_DW[[#This Row],[profissional_id]]&amp;Ocupacao_DW[[#This Row],[local_id]]</f>
        <v>44643643042</v>
      </c>
      <c r="H3118" s="1">
        <f>_xlfn.XLOOKUP(Ocupacao_DW[[#This Row],[Concat]],Vagas!$H:$H,Vagas!$D:$D,"",0)</f>
        <v>0</v>
      </c>
    </row>
    <row r="3119" spans="1:8" x14ac:dyDescent="0.25">
      <c r="A3119" s="2">
        <v>44636</v>
      </c>
      <c r="B3119" s="1" t="s">
        <v>51</v>
      </c>
      <c r="C3119">
        <v>17859</v>
      </c>
      <c r="D3119" s="1" t="s">
        <v>212</v>
      </c>
      <c r="E3119" s="1" t="s">
        <v>6</v>
      </c>
      <c r="F3119">
        <v>7</v>
      </c>
      <c r="G3119" s="1" t="str">
        <f>Ocupacao_DW[[#This Row],[data]]&amp;Ocupacao_DW[[#This Row],[profissional_id]]&amp;Ocupacao_DW[[#This Row],[local_id]]</f>
        <v>44636178597</v>
      </c>
      <c r="H3119" s="1">
        <f>_xlfn.XLOOKUP(Ocupacao_DW[[#This Row],[Concat]],Vagas!$H:$H,Vagas!$D:$D,"",0)</f>
        <v>0</v>
      </c>
    </row>
    <row r="3120" spans="1:8" x14ac:dyDescent="0.25">
      <c r="A3120" s="2">
        <v>44636</v>
      </c>
      <c r="B3120" s="1"/>
      <c r="C3120">
        <v>17859</v>
      </c>
      <c r="D3120" s="1" t="s">
        <v>212</v>
      </c>
      <c r="E3120" s="1" t="s">
        <v>4</v>
      </c>
      <c r="F3120">
        <v>336</v>
      </c>
      <c r="G3120" s="1" t="str">
        <f>Ocupacao_DW[[#This Row],[data]]&amp;Ocupacao_DW[[#This Row],[profissional_id]]&amp;Ocupacao_DW[[#This Row],[local_id]]</f>
        <v>4463617859336</v>
      </c>
      <c r="H3120" s="1">
        <f>_xlfn.XLOOKUP(Ocupacao_DW[[#This Row],[Concat]],Vagas!$H:$H,Vagas!$D:$D,"",0)</f>
        <v>0</v>
      </c>
    </row>
    <row r="3121" spans="1:8" x14ac:dyDescent="0.25">
      <c r="A3121" s="2">
        <v>44637</v>
      </c>
      <c r="B3121" s="1" t="s">
        <v>47</v>
      </c>
      <c r="C3121">
        <v>9111</v>
      </c>
      <c r="D3121" s="1" t="s">
        <v>206</v>
      </c>
      <c r="E3121" s="1" t="s">
        <v>4</v>
      </c>
      <c r="F3121">
        <v>334</v>
      </c>
      <c r="G3121" s="1" t="str">
        <f>Ocupacao_DW[[#This Row],[data]]&amp;Ocupacao_DW[[#This Row],[profissional_id]]&amp;Ocupacao_DW[[#This Row],[local_id]]</f>
        <v>446379111334</v>
      </c>
      <c r="H3121" s="1">
        <f>_xlfn.XLOOKUP(Ocupacao_DW[[#This Row],[Concat]],Vagas!$H:$H,Vagas!$D:$D,"",0)</f>
        <v>0</v>
      </c>
    </row>
    <row r="3122" spans="1:8" x14ac:dyDescent="0.25">
      <c r="A3122" s="2">
        <v>44641</v>
      </c>
      <c r="B3122" s="1" t="s">
        <v>56</v>
      </c>
      <c r="C3122">
        <v>5927</v>
      </c>
      <c r="D3122" s="1" t="s">
        <v>226</v>
      </c>
      <c r="E3122" s="1" t="s">
        <v>5</v>
      </c>
      <c r="F3122">
        <v>17</v>
      </c>
      <c r="G3122" s="1" t="str">
        <f>Ocupacao_DW[[#This Row],[data]]&amp;Ocupacao_DW[[#This Row],[profissional_id]]&amp;Ocupacao_DW[[#This Row],[local_id]]</f>
        <v>44641592717</v>
      </c>
      <c r="H3122" s="1">
        <f>_xlfn.XLOOKUP(Ocupacao_DW[[#This Row],[Concat]],Vagas!$H:$H,Vagas!$D:$D,"",0)</f>
        <v>0</v>
      </c>
    </row>
    <row r="3123" spans="1:8" x14ac:dyDescent="0.25">
      <c r="A3123" s="2">
        <v>44637</v>
      </c>
      <c r="B3123" s="1" t="s">
        <v>56</v>
      </c>
      <c r="C3123">
        <v>5822</v>
      </c>
      <c r="D3123" s="1" t="s">
        <v>194</v>
      </c>
      <c r="E3123" s="1" t="s">
        <v>5</v>
      </c>
      <c r="F3123">
        <v>11</v>
      </c>
      <c r="G3123" s="1" t="str">
        <f>Ocupacao_DW[[#This Row],[data]]&amp;Ocupacao_DW[[#This Row],[profissional_id]]&amp;Ocupacao_DW[[#This Row],[local_id]]</f>
        <v>44637582211</v>
      </c>
      <c r="H3123" s="1">
        <f>_xlfn.XLOOKUP(Ocupacao_DW[[#This Row],[Concat]],Vagas!$H:$H,Vagas!$D:$D,"",0)</f>
        <v>0</v>
      </c>
    </row>
    <row r="3124" spans="1:8" x14ac:dyDescent="0.25">
      <c r="A3124" s="2">
        <v>44642</v>
      </c>
      <c r="B3124" s="1" t="s">
        <v>47</v>
      </c>
      <c r="C3124">
        <v>12752</v>
      </c>
      <c r="D3124" s="1" t="s">
        <v>253</v>
      </c>
      <c r="E3124" s="1" t="s">
        <v>7</v>
      </c>
      <c r="F3124">
        <v>60</v>
      </c>
      <c r="G3124" s="1" t="str">
        <f>Ocupacao_DW[[#This Row],[data]]&amp;Ocupacao_DW[[#This Row],[profissional_id]]&amp;Ocupacao_DW[[#This Row],[local_id]]</f>
        <v>446421275260</v>
      </c>
      <c r="H3124" s="1">
        <f>_xlfn.XLOOKUP(Ocupacao_DW[[#This Row],[Concat]],Vagas!$H:$H,Vagas!$D:$D,"",0)</f>
        <v>0</v>
      </c>
    </row>
    <row r="3125" spans="1:8" x14ac:dyDescent="0.25">
      <c r="A3125" s="2">
        <v>44635</v>
      </c>
      <c r="B3125" s="1" t="s">
        <v>49</v>
      </c>
      <c r="C3125">
        <v>81</v>
      </c>
      <c r="D3125" s="1" t="s">
        <v>170</v>
      </c>
      <c r="E3125" s="1" t="s">
        <v>4</v>
      </c>
      <c r="F3125">
        <v>41</v>
      </c>
      <c r="G3125" s="1" t="str">
        <f>Ocupacao_DW[[#This Row],[data]]&amp;Ocupacao_DW[[#This Row],[profissional_id]]&amp;Ocupacao_DW[[#This Row],[local_id]]</f>
        <v>446358141</v>
      </c>
      <c r="H3125" s="1">
        <f>_xlfn.XLOOKUP(Ocupacao_DW[[#This Row],[Concat]],Vagas!$H:$H,Vagas!$D:$D,"",0)</f>
        <v>0</v>
      </c>
    </row>
    <row r="3126" spans="1:8" x14ac:dyDescent="0.25">
      <c r="A3126" s="2">
        <v>44638</v>
      </c>
      <c r="B3126" s="1" t="s">
        <v>49</v>
      </c>
      <c r="C3126">
        <v>6430</v>
      </c>
      <c r="D3126" s="1" t="s">
        <v>188</v>
      </c>
      <c r="E3126" s="1" t="s">
        <v>4</v>
      </c>
      <c r="F3126">
        <v>42</v>
      </c>
      <c r="G3126" s="1" t="str">
        <f>Ocupacao_DW[[#This Row],[data]]&amp;Ocupacao_DW[[#This Row],[profissional_id]]&amp;Ocupacao_DW[[#This Row],[local_id]]</f>
        <v>44638643042</v>
      </c>
      <c r="H3126" s="1">
        <f>_xlfn.XLOOKUP(Ocupacao_DW[[#This Row],[Concat]],Vagas!$H:$H,Vagas!$D:$D,"",0)</f>
        <v>0</v>
      </c>
    </row>
    <row r="3127" spans="1:8" x14ac:dyDescent="0.25">
      <c r="A3127" s="2">
        <v>44635</v>
      </c>
      <c r="B3127" s="1" t="s">
        <v>47</v>
      </c>
      <c r="C3127">
        <v>12752</v>
      </c>
      <c r="D3127" s="1" t="s">
        <v>253</v>
      </c>
      <c r="E3127" s="1" t="s">
        <v>7</v>
      </c>
      <c r="F3127">
        <v>72</v>
      </c>
      <c r="G3127" s="1" t="str">
        <f>Ocupacao_DW[[#This Row],[data]]&amp;Ocupacao_DW[[#This Row],[profissional_id]]&amp;Ocupacao_DW[[#This Row],[local_id]]</f>
        <v>446351275272</v>
      </c>
      <c r="H3127" s="1" t="str">
        <f>_xlfn.XLOOKUP(Ocupacao_DW[[#This Row],[Concat]],Vagas!$H:$H,Vagas!$D:$D,"",0)</f>
        <v/>
      </c>
    </row>
    <row r="3128" spans="1:8" x14ac:dyDescent="0.25">
      <c r="A3128" s="2">
        <v>44644</v>
      </c>
      <c r="B3128" s="1" t="s">
        <v>55</v>
      </c>
      <c r="C3128">
        <v>8598</v>
      </c>
      <c r="D3128" s="1" t="s">
        <v>228</v>
      </c>
      <c r="E3128" s="1" t="s">
        <v>6</v>
      </c>
      <c r="F3128">
        <v>3</v>
      </c>
      <c r="G3128" s="1" t="str">
        <f>Ocupacao_DW[[#This Row],[data]]&amp;Ocupacao_DW[[#This Row],[profissional_id]]&amp;Ocupacao_DW[[#This Row],[local_id]]</f>
        <v>4464485983</v>
      </c>
      <c r="H3128" s="1">
        <f>_xlfn.XLOOKUP(Ocupacao_DW[[#This Row],[Concat]],Vagas!$H:$H,Vagas!$D:$D,"",0)</f>
        <v>0</v>
      </c>
    </row>
    <row r="3129" spans="1:8" x14ac:dyDescent="0.25">
      <c r="A3129" s="2">
        <v>44638</v>
      </c>
      <c r="B3129" s="1" t="s">
        <v>49</v>
      </c>
      <c r="C3129">
        <v>6430</v>
      </c>
      <c r="D3129" s="1" t="s">
        <v>188</v>
      </c>
      <c r="E3129" s="1" t="s">
        <v>4</v>
      </c>
      <c r="F3129">
        <v>42</v>
      </c>
      <c r="G3129" s="1" t="str">
        <f>Ocupacao_DW[[#This Row],[data]]&amp;Ocupacao_DW[[#This Row],[profissional_id]]&amp;Ocupacao_DW[[#This Row],[local_id]]</f>
        <v>44638643042</v>
      </c>
      <c r="H3129" s="1">
        <f>_xlfn.XLOOKUP(Ocupacao_DW[[#This Row],[Concat]],Vagas!$H:$H,Vagas!$D:$D,"",0)</f>
        <v>0</v>
      </c>
    </row>
    <row r="3130" spans="1:8" x14ac:dyDescent="0.25">
      <c r="A3130" s="2">
        <v>44636</v>
      </c>
      <c r="B3130" s="1" t="s">
        <v>49</v>
      </c>
      <c r="C3130">
        <v>6430</v>
      </c>
      <c r="D3130" s="1" t="s">
        <v>188</v>
      </c>
      <c r="E3130" s="1" t="s">
        <v>4</v>
      </c>
      <c r="F3130">
        <v>42</v>
      </c>
      <c r="G3130" s="1" t="str">
        <f>Ocupacao_DW[[#This Row],[data]]&amp;Ocupacao_DW[[#This Row],[profissional_id]]&amp;Ocupacao_DW[[#This Row],[local_id]]</f>
        <v>44636643042</v>
      </c>
      <c r="H3130" s="1">
        <f>_xlfn.XLOOKUP(Ocupacao_DW[[#This Row],[Concat]],Vagas!$H:$H,Vagas!$D:$D,"",0)</f>
        <v>0</v>
      </c>
    </row>
    <row r="3131" spans="1:8" x14ac:dyDescent="0.25">
      <c r="A3131" s="2">
        <v>44642</v>
      </c>
      <c r="B3131" s="1" t="s">
        <v>47</v>
      </c>
      <c r="C3131">
        <v>111</v>
      </c>
      <c r="D3131" s="1" t="s">
        <v>199</v>
      </c>
      <c r="E3131" s="1" t="s">
        <v>4</v>
      </c>
      <c r="F3131">
        <v>51</v>
      </c>
      <c r="G3131" s="1" t="str">
        <f>Ocupacao_DW[[#This Row],[data]]&amp;Ocupacao_DW[[#This Row],[profissional_id]]&amp;Ocupacao_DW[[#This Row],[local_id]]</f>
        <v>4464211151</v>
      </c>
      <c r="H3131" s="1">
        <f>_xlfn.XLOOKUP(Ocupacao_DW[[#This Row],[Concat]],Vagas!$H:$H,Vagas!$D:$D,"",0)</f>
        <v>25</v>
      </c>
    </row>
    <row r="3132" spans="1:8" x14ac:dyDescent="0.25">
      <c r="A3132" s="2">
        <v>44656</v>
      </c>
      <c r="B3132" s="1" t="s">
        <v>70</v>
      </c>
      <c r="C3132">
        <v>14237</v>
      </c>
      <c r="D3132" s="1" t="s">
        <v>186</v>
      </c>
      <c r="E3132" s="1" t="s">
        <v>4</v>
      </c>
      <c r="F3132">
        <v>47</v>
      </c>
      <c r="G3132" s="1" t="str">
        <f>Ocupacao_DW[[#This Row],[data]]&amp;Ocupacao_DW[[#This Row],[profissional_id]]&amp;Ocupacao_DW[[#This Row],[local_id]]</f>
        <v>446561423747</v>
      </c>
      <c r="H3132" s="1">
        <f>_xlfn.XLOOKUP(Ocupacao_DW[[#This Row],[Concat]],Vagas!$H:$H,Vagas!$D:$D,"",0)</f>
        <v>0</v>
      </c>
    </row>
    <row r="3133" spans="1:8" x14ac:dyDescent="0.25">
      <c r="A3133" s="2">
        <v>44636</v>
      </c>
      <c r="B3133" s="1" t="s">
        <v>71</v>
      </c>
      <c r="C3133">
        <v>282</v>
      </c>
      <c r="D3133" s="1" t="s">
        <v>210</v>
      </c>
      <c r="E3133" s="1" t="s">
        <v>4</v>
      </c>
      <c r="F3133">
        <v>46</v>
      </c>
      <c r="G3133" s="1" t="str">
        <f>Ocupacao_DW[[#This Row],[data]]&amp;Ocupacao_DW[[#This Row],[profissional_id]]&amp;Ocupacao_DW[[#This Row],[local_id]]</f>
        <v>4463628246</v>
      </c>
      <c r="H3133" s="1">
        <f>_xlfn.XLOOKUP(Ocupacao_DW[[#This Row],[Concat]],Vagas!$H:$H,Vagas!$D:$D,"",0)</f>
        <v>0</v>
      </c>
    </row>
    <row r="3134" spans="1:8" x14ac:dyDescent="0.25">
      <c r="A3134" s="2">
        <v>44636</v>
      </c>
      <c r="B3134" s="1" t="s">
        <v>71</v>
      </c>
      <c r="C3134">
        <v>282</v>
      </c>
      <c r="D3134" s="1" t="s">
        <v>210</v>
      </c>
      <c r="E3134" s="1" t="s">
        <v>4</v>
      </c>
      <c r="F3134">
        <v>46</v>
      </c>
      <c r="G3134" s="1" t="str">
        <f>Ocupacao_DW[[#This Row],[data]]&amp;Ocupacao_DW[[#This Row],[profissional_id]]&amp;Ocupacao_DW[[#This Row],[local_id]]</f>
        <v>4463628246</v>
      </c>
      <c r="H3134" s="1">
        <f>_xlfn.XLOOKUP(Ocupacao_DW[[#This Row],[Concat]],Vagas!$H:$H,Vagas!$D:$D,"",0)</f>
        <v>0</v>
      </c>
    </row>
    <row r="3135" spans="1:8" x14ac:dyDescent="0.25">
      <c r="A3135" s="2">
        <v>44636</v>
      </c>
      <c r="B3135" s="1" t="s">
        <v>62</v>
      </c>
      <c r="C3135">
        <v>3502</v>
      </c>
      <c r="D3135" s="1" t="s">
        <v>214</v>
      </c>
      <c r="E3135" s="1" t="s">
        <v>5</v>
      </c>
      <c r="F3135">
        <v>16</v>
      </c>
      <c r="G3135" s="1" t="str">
        <f>Ocupacao_DW[[#This Row],[data]]&amp;Ocupacao_DW[[#This Row],[profissional_id]]&amp;Ocupacao_DW[[#This Row],[local_id]]</f>
        <v>44636350216</v>
      </c>
      <c r="H3135" s="1">
        <f>_xlfn.XLOOKUP(Ocupacao_DW[[#This Row],[Concat]],Vagas!$H:$H,Vagas!$D:$D,"",0)</f>
        <v>0</v>
      </c>
    </row>
    <row r="3136" spans="1:8" x14ac:dyDescent="0.25">
      <c r="A3136" s="2">
        <v>44649</v>
      </c>
      <c r="B3136" s="1" t="s">
        <v>70</v>
      </c>
      <c r="C3136">
        <v>14237</v>
      </c>
      <c r="D3136" s="1" t="s">
        <v>186</v>
      </c>
      <c r="E3136" s="1" t="s">
        <v>4</v>
      </c>
      <c r="F3136">
        <v>47</v>
      </c>
      <c r="G3136" s="1" t="str">
        <f>Ocupacao_DW[[#This Row],[data]]&amp;Ocupacao_DW[[#This Row],[profissional_id]]&amp;Ocupacao_DW[[#This Row],[local_id]]</f>
        <v>446491423747</v>
      </c>
      <c r="H3136" s="1">
        <f>_xlfn.XLOOKUP(Ocupacao_DW[[#This Row],[Concat]],Vagas!$H:$H,Vagas!$D:$D,"",0)</f>
        <v>0</v>
      </c>
    </row>
    <row r="3137" spans="1:8" x14ac:dyDescent="0.25">
      <c r="A3137" s="2">
        <v>44635</v>
      </c>
      <c r="B3137" s="1" t="s">
        <v>49</v>
      </c>
      <c r="C3137">
        <v>81</v>
      </c>
      <c r="D3137" s="1" t="s">
        <v>170</v>
      </c>
      <c r="E3137" s="1" t="s">
        <v>4</v>
      </c>
      <c r="F3137">
        <v>41</v>
      </c>
      <c r="G3137" s="1" t="str">
        <f>Ocupacao_DW[[#This Row],[data]]&amp;Ocupacao_DW[[#This Row],[profissional_id]]&amp;Ocupacao_DW[[#This Row],[local_id]]</f>
        <v>446358141</v>
      </c>
      <c r="H3137" s="1">
        <f>_xlfn.XLOOKUP(Ocupacao_DW[[#This Row],[Concat]],Vagas!$H:$H,Vagas!$D:$D,"",0)</f>
        <v>0</v>
      </c>
    </row>
    <row r="3138" spans="1:8" x14ac:dyDescent="0.25">
      <c r="A3138" s="2">
        <v>44648</v>
      </c>
      <c r="B3138" s="1" t="s">
        <v>60</v>
      </c>
      <c r="C3138">
        <v>117</v>
      </c>
      <c r="D3138" s="1" t="s">
        <v>180</v>
      </c>
      <c r="E3138" s="1" t="s">
        <v>4</v>
      </c>
      <c r="F3138">
        <v>48</v>
      </c>
      <c r="G3138" s="1" t="str">
        <f>Ocupacao_DW[[#This Row],[data]]&amp;Ocupacao_DW[[#This Row],[profissional_id]]&amp;Ocupacao_DW[[#This Row],[local_id]]</f>
        <v>4464811748</v>
      </c>
      <c r="H3138" s="1">
        <f>_xlfn.XLOOKUP(Ocupacao_DW[[#This Row],[Concat]],Vagas!$H:$H,Vagas!$D:$D,"",0)</f>
        <v>0</v>
      </c>
    </row>
    <row r="3139" spans="1:8" x14ac:dyDescent="0.25">
      <c r="A3139" s="2">
        <v>44635</v>
      </c>
      <c r="B3139" s="1" t="s">
        <v>47</v>
      </c>
      <c r="C3139">
        <v>111</v>
      </c>
      <c r="D3139" s="1" t="s">
        <v>199</v>
      </c>
      <c r="E3139" s="1" t="s">
        <v>4</v>
      </c>
      <c r="F3139">
        <v>51</v>
      </c>
      <c r="G3139" s="1" t="str">
        <f>Ocupacao_DW[[#This Row],[data]]&amp;Ocupacao_DW[[#This Row],[profissional_id]]&amp;Ocupacao_DW[[#This Row],[local_id]]</f>
        <v>4463511151</v>
      </c>
      <c r="H3139" s="1">
        <f>_xlfn.XLOOKUP(Ocupacao_DW[[#This Row],[Concat]],Vagas!$H:$H,Vagas!$D:$D,"",0)</f>
        <v>0</v>
      </c>
    </row>
    <row r="3140" spans="1:8" x14ac:dyDescent="0.25">
      <c r="A3140" s="2">
        <v>44641</v>
      </c>
      <c r="B3140" s="1" t="s">
        <v>54</v>
      </c>
      <c r="C3140">
        <v>10941</v>
      </c>
      <c r="D3140" s="1" t="s">
        <v>224</v>
      </c>
      <c r="E3140" s="1" t="s">
        <v>7</v>
      </c>
      <c r="F3140">
        <v>67</v>
      </c>
      <c r="G3140" s="1" t="str">
        <f>Ocupacao_DW[[#This Row],[data]]&amp;Ocupacao_DW[[#This Row],[profissional_id]]&amp;Ocupacao_DW[[#This Row],[local_id]]</f>
        <v>446411094167</v>
      </c>
      <c r="H3140" s="1">
        <f>_xlfn.XLOOKUP(Ocupacao_DW[[#This Row],[Concat]],Vagas!$H:$H,Vagas!$D:$D,"",0)</f>
        <v>0</v>
      </c>
    </row>
    <row r="3141" spans="1:8" x14ac:dyDescent="0.25">
      <c r="A3141" s="2">
        <v>44638</v>
      </c>
      <c r="B3141" s="1" t="s">
        <v>47</v>
      </c>
      <c r="C3141">
        <v>12684</v>
      </c>
      <c r="D3141" s="1" t="s">
        <v>236</v>
      </c>
      <c r="E3141" s="1" t="s">
        <v>200</v>
      </c>
      <c r="F3141">
        <v>85</v>
      </c>
      <c r="G3141" s="1" t="str">
        <f>Ocupacao_DW[[#This Row],[data]]&amp;Ocupacao_DW[[#This Row],[profissional_id]]&amp;Ocupacao_DW[[#This Row],[local_id]]</f>
        <v>446381268485</v>
      </c>
      <c r="H3141" s="1">
        <f>_xlfn.XLOOKUP(Ocupacao_DW[[#This Row],[Concat]],Vagas!$H:$H,Vagas!$D:$D,"",0)</f>
        <v>0</v>
      </c>
    </row>
    <row r="3142" spans="1:8" x14ac:dyDescent="0.25">
      <c r="A3142" s="2">
        <v>44635</v>
      </c>
      <c r="B3142" s="1" t="s">
        <v>67</v>
      </c>
      <c r="C3142">
        <v>7290</v>
      </c>
      <c r="D3142" s="1" t="s">
        <v>247</v>
      </c>
      <c r="E3142" s="1" t="s">
        <v>5</v>
      </c>
      <c r="F3142">
        <v>18</v>
      </c>
      <c r="G3142" s="1" t="str">
        <f>Ocupacao_DW[[#This Row],[data]]&amp;Ocupacao_DW[[#This Row],[profissional_id]]&amp;Ocupacao_DW[[#This Row],[local_id]]</f>
        <v>44635729018</v>
      </c>
      <c r="H3142" s="1">
        <f>_xlfn.XLOOKUP(Ocupacao_DW[[#This Row],[Concat]],Vagas!$H:$H,Vagas!$D:$D,"",0)</f>
        <v>0</v>
      </c>
    </row>
    <row r="3143" spans="1:8" x14ac:dyDescent="0.25">
      <c r="A3143" s="2">
        <v>44638</v>
      </c>
      <c r="B3143" s="1" t="s">
        <v>47</v>
      </c>
      <c r="C3143">
        <v>9111</v>
      </c>
      <c r="D3143" s="1" t="s">
        <v>206</v>
      </c>
      <c r="E3143" s="1" t="s">
        <v>4</v>
      </c>
      <c r="F3143">
        <v>51</v>
      </c>
      <c r="G3143" s="1" t="str">
        <f>Ocupacao_DW[[#This Row],[data]]&amp;Ocupacao_DW[[#This Row],[profissional_id]]&amp;Ocupacao_DW[[#This Row],[local_id]]</f>
        <v>44638911151</v>
      </c>
      <c r="H3143" s="1">
        <f>_xlfn.XLOOKUP(Ocupacao_DW[[#This Row],[Concat]],Vagas!$H:$H,Vagas!$D:$D,"",0)</f>
        <v>0</v>
      </c>
    </row>
    <row r="3144" spans="1:8" x14ac:dyDescent="0.25">
      <c r="A3144" s="2">
        <v>44636</v>
      </c>
      <c r="B3144" s="1" t="s">
        <v>62</v>
      </c>
      <c r="C3144">
        <v>10799</v>
      </c>
      <c r="D3144" s="1" t="s">
        <v>204</v>
      </c>
      <c r="E3144" s="1" t="s">
        <v>5</v>
      </c>
      <c r="F3144">
        <v>18</v>
      </c>
      <c r="G3144" s="1" t="str">
        <f>Ocupacao_DW[[#This Row],[data]]&amp;Ocupacao_DW[[#This Row],[profissional_id]]&amp;Ocupacao_DW[[#This Row],[local_id]]</f>
        <v>446361079918</v>
      </c>
      <c r="H3144" s="1">
        <f>_xlfn.XLOOKUP(Ocupacao_DW[[#This Row],[Concat]],Vagas!$H:$H,Vagas!$D:$D,"",0)</f>
        <v>0</v>
      </c>
    </row>
    <row r="3145" spans="1:8" x14ac:dyDescent="0.25">
      <c r="A3145" s="2">
        <v>44635</v>
      </c>
      <c r="B3145" s="1" t="s">
        <v>49</v>
      </c>
      <c r="C3145">
        <v>266</v>
      </c>
      <c r="D3145" s="1" t="s">
        <v>201</v>
      </c>
      <c r="E3145" s="1" t="s">
        <v>4</v>
      </c>
      <c r="F3145">
        <v>42</v>
      </c>
      <c r="G3145" s="1" t="str">
        <f>Ocupacao_DW[[#This Row],[data]]&amp;Ocupacao_DW[[#This Row],[profissional_id]]&amp;Ocupacao_DW[[#This Row],[local_id]]</f>
        <v>4463526642</v>
      </c>
      <c r="H3145" s="1">
        <f>_xlfn.XLOOKUP(Ocupacao_DW[[#This Row],[Concat]],Vagas!$H:$H,Vagas!$D:$D,"",0)</f>
        <v>0</v>
      </c>
    </row>
    <row r="3146" spans="1:8" x14ac:dyDescent="0.25">
      <c r="A3146" s="2">
        <v>44650</v>
      </c>
      <c r="B3146" s="1" t="s">
        <v>55</v>
      </c>
      <c r="C3146">
        <v>73</v>
      </c>
      <c r="D3146" s="1" t="s">
        <v>171</v>
      </c>
      <c r="E3146" s="1" t="s">
        <v>6</v>
      </c>
      <c r="F3146">
        <v>5</v>
      </c>
      <c r="G3146" s="1" t="str">
        <f>Ocupacao_DW[[#This Row],[data]]&amp;Ocupacao_DW[[#This Row],[profissional_id]]&amp;Ocupacao_DW[[#This Row],[local_id]]</f>
        <v>44650735</v>
      </c>
      <c r="H3146" s="1">
        <f>_xlfn.XLOOKUP(Ocupacao_DW[[#This Row],[Concat]],Vagas!$H:$H,Vagas!$D:$D,"",0)</f>
        <v>0</v>
      </c>
    </row>
    <row r="3147" spans="1:8" x14ac:dyDescent="0.25">
      <c r="A3147" s="2">
        <v>44638</v>
      </c>
      <c r="B3147" s="1" t="s">
        <v>47</v>
      </c>
      <c r="C3147">
        <v>12684</v>
      </c>
      <c r="D3147" s="1" t="s">
        <v>236</v>
      </c>
      <c r="E3147" s="1" t="s">
        <v>200</v>
      </c>
      <c r="F3147">
        <v>85</v>
      </c>
      <c r="G3147" s="1" t="str">
        <f>Ocupacao_DW[[#This Row],[data]]&amp;Ocupacao_DW[[#This Row],[profissional_id]]&amp;Ocupacao_DW[[#This Row],[local_id]]</f>
        <v>446381268485</v>
      </c>
      <c r="H3147" s="1">
        <f>_xlfn.XLOOKUP(Ocupacao_DW[[#This Row],[Concat]],Vagas!$H:$H,Vagas!$D:$D,"",0)</f>
        <v>0</v>
      </c>
    </row>
    <row r="3148" spans="1:8" x14ac:dyDescent="0.25">
      <c r="A3148" s="2">
        <v>44641</v>
      </c>
      <c r="B3148" s="1" t="s">
        <v>55</v>
      </c>
      <c r="C3148">
        <v>60</v>
      </c>
      <c r="D3148" s="1" t="s">
        <v>217</v>
      </c>
      <c r="E3148" s="1" t="s">
        <v>167</v>
      </c>
      <c r="F3148">
        <v>345</v>
      </c>
      <c r="G3148" s="1" t="str">
        <f>Ocupacao_DW[[#This Row],[data]]&amp;Ocupacao_DW[[#This Row],[profissional_id]]&amp;Ocupacao_DW[[#This Row],[local_id]]</f>
        <v>4464160345</v>
      </c>
      <c r="H3148" s="1">
        <f>_xlfn.XLOOKUP(Ocupacao_DW[[#This Row],[Concat]],Vagas!$H:$H,Vagas!$D:$D,"",0)</f>
        <v>0</v>
      </c>
    </row>
    <row r="3149" spans="1:8" x14ac:dyDescent="0.25">
      <c r="A3149" s="2">
        <v>44642</v>
      </c>
      <c r="B3149" s="1" t="s">
        <v>47</v>
      </c>
      <c r="C3149">
        <v>110</v>
      </c>
      <c r="D3149" s="1" t="s">
        <v>193</v>
      </c>
      <c r="E3149" s="1" t="s">
        <v>4</v>
      </c>
      <c r="F3149">
        <v>334</v>
      </c>
      <c r="G3149" s="1" t="str">
        <f>Ocupacao_DW[[#This Row],[data]]&amp;Ocupacao_DW[[#This Row],[profissional_id]]&amp;Ocupacao_DW[[#This Row],[local_id]]</f>
        <v>44642110334</v>
      </c>
      <c r="H3149" s="1">
        <f>_xlfn.XLOOKUP(Ocupacao_DW[[#This Row],[Concat]],Vagas!$H:$H,Vagas!$D:$D,"",0)</f>
        <v>0</v>
      </c>
    </row>
    <row r="3150" spans="1:8" x14ac:dyDescent="0.25">
      <c r="A3150" s="2">
        <v>44649</v>
      </c>
      <c r="B3150" s="1" t="s">
        <v>70</v>
      </c>
      <c r="C3150">
        <v>14237</v>
      </c>
      <c r="D3150" s="1" t="s">
        <v>186</v>
      </c>
      <c r="E3150" s="1" t="s">
        <v>4</v>
      </c>
      <c r="F3150">
        <v>47</v>
      </c>
      <c r="G3150" s="1" t="str">
        <f>Ocupacao_DW[[#This Row],[data]]&amp;Ocupacao_DW[[#This Row],[profissional_id]]&amp;Ocupacao_DW[[#This Row],[local_id]]</f>
        <v>446491423747</v>
      </c>
      <c r="H3150" s="1">
        <f>_xlfn.XLOOKUP(Ocupacao_DW[[#This Row],[Concat]],Vagas!$H:$H,Vagas!$D:$D,"",0)</f>
        <v>0</v>
      </c>
    </row>
    <row r="3151" spans="1:8" x14ac:dyDescent="0.25">
      <c r="A3151" s="2">
        <v>44635</v>
      </c>
      <c r="B3151" s="1" t="s">
        <v>65</v>
      </c>
      <c r="C3151">
        <v>11652</v>
      </c>
      <c r="D3151" s="1" t="s">
        <v>242</v>
      </c>
      <c r="E3151" s="1" t="s">
        <v>4</v>
      </c>
      <c r="F3151">
        <v>47</v>
      </c>
      <c r="G3151" s="1" t="str">
        <f>Ocupacao_DW[[#This Row],[data]]&amp;Ocupacao_DW[[#This Row],[profissional_id]]&amp;Ocupacao_DW[[#This Row],[local_id]]</f>
        <v>446351165247</v>
      </c>
      <c r="H3151" s="1">
        <f>_xlfn.XLOOKUP(Ocupacao_DW[[#This Row],[Concat]],Vagas!$H:$H,Vagas!$D:$D,"",0)</f>
        <v>0</v>
      </c>
    </row>
    <row r="3152" spans="1:8" x14ac:dyDescent="0.25">
      <c r="A3152" s="2">
        <v>44637</v>
      </c>
      <c r="B3152" s="1" t="s">
        <v>56</v>
      </c>
      <c r="C3152">
        <v>5822</v>
      </c>
      <c r="D3152" s="1" t="s">
        <v>194</v>
      </c>
      <c r="E3152" s="1" t="s">
        <v>5</v>
      </c>
      <c r="F3152">
        <v>11</v>
      </c>
      <c r="G3152" s="1" t="str">
        <f>Ocupacao_DW[[#This Row],[data]]&amp;Ocupacao_DW[[#This Row],[profissional_id]]&amp;Ocupacao_DW[[#This Row],[local_id]]</f>
        <v>44637582211</v>
      </c>
      <c r="H3152" s="1">
        <f>_xlfn.XLOOKUP(Ocupacao_DW[[#This Row],[Concat]],Vagas!$H:$H,Vagas!$D:$D,"",0)</f>
        <v>0</v>
      </c>
    </row>
    <row r="3153" spans="1:8" x14ac:dyDescent="0.25">
      <c r="A3153" s="2">
        <v>44637</v>
      </c>
      <c r="B3153" s="1" t="s">
        <v>52</v>
      </c>
      <c r="C3153">
        <v>10691</v>
      </c>
      <c r="D3153" s="1" t="s">
        <v>181</v>
      </c>
      <c r="E3153" s="1" t="s">
        <v>6</v>
      </c>
      <c r="F3153">
        <v>9</v>
      </c>
      <c r="G3153" s="1" t="str">
        <f>Ocupacao_DW[[#This Row],[data]]&amp;Ocupacao_DW[[#This Row],[profissional_id]]&amp;Ocupacao_DW[[#This Row],[local_id]]</f>
        <v>44637106919</v>
      </c>
      <c r="H3153" s="1">
        <f>_xlfn.XLOOKUP(Ocupacao_DW[[#This Row],[Concat]],Vagas!$H:$H,Vagas!$D:$D,"",0)</f>
        <v>0</v>
      </c>
    </row>
    <row r="3154" spans="1:8" x14ac:dyDescent="0.25">
      <c r="A3154" s="2">
        <v>44635</v>
      </c>
      <c r="B3154" s="1" t="s">
        <v>47</v>
      </c>
      <c r="C3154">
        <v>110</v>
      </c>
      <c r="D3154" s="1" t="s">
        <v>193</v>
      </c>
      <c r="E3154" s="1" t="s">
        <v>4</v>
      </c>
      <c r="F3154">
        <v>334</v>
      </c>
      <c r="G3154" s="1" t="str">
        <f>Ocupacao_DW[[#This Row],[data]]&amp;Ocupacao_DW[[#This Row],[profissional_id]]&amp;Ocupacao_DW[[#This Row],[local_id]]</f>
        <v>44635110334</v>
      </c>
      <c r="H3154" s="1">
        <f>_xlfn.XLOOKUP(Ocupacao_DW[[#This Row],[Concat]],Vagas!$H:$H,Vagas!$D:$D,"",0)</f>
        <v>0</v>
      </c>
    </row>
    <row r="3155" spans="1:8" x14ac:dyDescent="0.25">
      <c r="A3155" s="2">
        <v>44642</v>
      </c>
      <c r="B3155" s="1" t="s">
        <v>69</v>
      </c>
      <c r="C3155">
        <v>13249</v>
      </c>
      <c r="D3155" s="1" t="s">
        <v>178</v>
      </c>
      <c r="E3155" s="1" t="s">
        <v>4</v>
      </c>
      <c r="F3155">
        <v>45</v>
      </c>
      <c r="G3155" s="1" t="str">
        <f>Ocupacao_DW[[#This Row],[data]]&amp;Ocupacao_DW[[#This Row],[profissional_id]]&amp;Ocupacao_DW[[#This Row],[local_id]]</f>
        <v>446421324945</v>
      </c>
      <c r="H3155" s="1">
        <f>_xlfn.XLOOKUP(Ocupacao_DW[[#This Row],[Concat]],Vagas!$H:$H,Vagas!$D:$D,"",0)</f>
        <v>0</v>
      </c>
    </row>
    <row r="3156" spans="1:8" x14ac:dyDescent="0.25">
      <c r="A3156" s="2">
        <v>44642</v>
      </c>
      <c r="B3156" s="1" t="s">
        <v>47</v>
      </c>
      <c r="C3156">
        <v>110</v>
      </c>
      <c r="D3156" s="1" t="s">
        <v>193</v>
      </c>
      <c r="E3156" s="1" t="s">
        <v>4</v>
      </c>
      <c r="F3156">
        <v>334</v>
      </c>
      <c r="G3156" s="1" t="str">
        <f>Ocupacao_DW[[#This Row],[data]]&amp;Ocupacao_DW[[#This Row],[profissional_id]]&amp;Ocupacao_DW[[#This Row],[local_id]]</f>
        <v>44642110334</v>
      </c>
      <c r="H3156" s="1">
        <f>_xlfn.XLOOKUP(Ocupacao_DW[[#This Row],[Concat]],Vagas!$H:$H,Vagas!$D:$D,"",0)</f>
        <v>0</v>
      </c>
    </row>
    <row r="3157" spans="1:8" x14ac:dyDescent="0.25">
      <c r="A3157" s="2">
        <v>44635</v>
      </c>
      <c r="B3157" s="1" t="s">
        <v>55</v>
      </c>
      <c r="C3157">
        <v>60</v>
      </c>
      <c r="D3157" s="1" t="s">
        <v>217</v>
      </c>
      <c r="E3157" s="1" t="s">
        <v>167</v>
      </c>
      <c r="F3157">
        <v>345</v>
      </c>
      <c r="G3157" s="1" t="str">
        <f>Ocupacao_DW[[#This Row],[data]]&amp;Ocupacao_DW[[#This Row],[profissional_id]]&amp;Ocupacao_DW[[#This Row],[local_id]]</f>
        <v>4463560345</v>
      </c>
      <c r="H3157" s="1">
        <f>_xlfn.XLOOKUP(Ocupacao_DW[[#This Row],[Concat]],Vagas!$H:$H,Vagas!$D:$D,"",0)</f>
        <v>0</v>
      </c>
    </row>
    <row r="3158" spans="1:8" x14ac:dyDescent="0.25">
      <c r="A3158" s="2">
        <v>44641</v>
      </c>
      <c r="B3158" s="1" t="s">
        <v>49</v>
      </c>
      <c r="C3158">
        <v>6430</v>
      </c>
      <c r="D3158" s="1" t="s">
        <v>188</v>
      </c>
      <c r="E3158" s="1" t="s">
        <v>200</v>
      </c>
      <c r="F3158">
        <v>86</v>
      </c>
      <c r="G3158" s="1" t="str">
        <f>Ocupacao_DW[[#This Row],[data]]&amp;Ocupacao_DW[[#This Row],[profissional_id]]&amp;Ocupacao_DW[[#This Row],[local_id]]</f>
        <v>44641643086</v>
      </c>
      <c r="H3158" s="1">
        <f>_xlfn.XLOOKUP(Ocupacao_DW[[#This Row],[Concat]],Vagas!$H:$H,Vagas!$D:$D,"",0)</f>
        <v>0</v>
      </c>
    </row>
    <row r="3159" spans="1:8" x14ac:dyDescent="0.25">
      <c r="A3159" s="2">
        <v>44645</v>
      </c>
      <c r="B3159" s="1" t="s">
        <v>66</v>
      </c>
      <c r="C3159">
        <v>10593</v>
      </c>
      <c r="D3159" s="1" t="s">
        <v>241</v>
      </c>
      <c r="E3159" s="1" t="s">
        <v>200</v>
      </c>
      <c r="F3159">
        <v>80</v>
      </c>
      <c r="G3159" s="1" t="str">
        <f>Ocupacao_DW[[#This Row],[data]]&amp;Ocupacao_DW[[#This Row],[profissional_id]]&amp;Ocupacao_DW[[#This Row],[local_id]]</f>
        <v>446451059380</v>
      </c>
      <c r="H3159" s="1">
        <f>_xlfn.XLOOKUP(Ocupacao_DW[[#This Row],[Concat]],Vagas!$H:$H,Vagas!$D:$D,"",0)</f>
        <v>0</v>
      </c>
    </row>
    <row r="3160" spans="1:8" x14ac:dyDescent="0.25">
      <c r="A3160" s="2">
        <v>44635</v>
      </c>
      <c r="B3160" s="1" t="s">
        <v>62</v>
      </c>
      <c r="C3160">
        <v>3502</v>
      </c>
      <c r="D3160" s="1" t="s">
        <v>214</v>
      </c>
      <c r="E3160" s="1" t="s">
        <v>5</v>
      </c>
      <c r="F3160">
        <v>16</v>
      </c>
      <c r="G3160" s="1" t="str">
        <f>Ocupacao_DW[[#This Row],[data]]&amp;Ocupacao_DW[[#This Row],[profissional_id]]&amp;Ocupacao_DW[[#This Row],[local_id]]</f>
        <v>44635350216</v>
      </c>
      <c r="H3160" s="1">
        <f>_xlfn.XLOOKUP(Ocupacao_DW[[#This Row],[Concat]],Vagas!$H:$H,Vagas!$D:$D,"",0)</f>
        <v>0</v>
      </c>
    </row>
    <row r="3161" spans="1:8" x14ac:dyDescent="0.25">
      <c r="A3161" s="2">
        <v>44635</v>
      </c>
      <c r="B3161" s="1" t="s">
        <v>47</v>
      </c>
      <c r="C3161">
        <v>111</v>
      </c>
      <c r="D3161" s="1" t="s">
        <v>199</v>
      </c>
      <c r="E3161" s="1" t="s">
        <v>4</v>
      </c>
      <c r="F3161">
        <v>51</v>
      </c>
      <c r="G3161" s="1" t="str">
        <f>Ocupacao_DW[[#This Row],[data]]&amp;Ocupacao_DW[[#This Row],[profissional_id]]&amp;Ocupacao_DW[[#This Row],[local_id]]</f>
        <v>4463511151</v>
      </c>
      <c r="H3161" s="1">
        <f>_xlfn.XLOOKUP(Ocupacao_DW[[#This Row],[Concat]],Vagas!$H:$H,Vagas!$D:$D,"",0)</f>
        <v>0</v>
      </c>
    </row>
    <row r="3162" spans="1:8" x14ac:dyDescent="0.25">
      <c r="A3162" s="2">
        <v>44635</v>
      </c>
      <c r="B3162" s="1" t="s">
        <v>47</v>
      </c>
      <c r="C3162">
        <v>111</v>
      </c>
      <c r="D3162" s="1" t="s">
        <v>199</v>
      </c>
      <c r="E3162" s="1" t="s">
        <v>4</v>
      </c>
      <c r="F3162">
        <v>51</v>
      </c>
      <c r="G3162" s="1" t="str">
        <f>Ocupacao_DW[[#This Row],[data]]&amp;Ocupacao_DW[[#This Row],[profissional_id]]&amp;Ocupacao_DW[[#This Row],[local_id]]</f>
        <v>4463511151</v>
      </c>
      <c r="H3162" s="1">
        <f>_xlfn.XLOOKUP(Ocupacao_DW[[#This Row],[Concat]],Vagas!$H:$H,Vagas!$D:$D,"",0)</f>
        <v>0</v>
      </c>
    </row>
    <row r="3163" spans="1:8" x14ac:dyDescent="0.25">
      <c r="A3163" s="2">
        <v>44635</v>
      </c>
      <c r="B3163" s="1" t="s">
        <v>49</v>
      </c>
      <c r="C3163">
        <v>81</v>
      </c>
      <c r="D3163" s="1" t="s">
        <v>170</v>
      </c>
      <c r="E3163" s="1" t="s">
        <v>4</v>
      </c>
      <c r="F3163">
        <v>41</v>
      </c>
      <c r="G3163" s="1" t="str">
        <f>Ocupacao_DW[[#This Row],[data]]&amp;Ocupacao_DW[[#This Row],[profissional_id]]&amp;Ocupacao_DW[[#This Row],[local_id]]</f>
        <v>446358141</v>
      </c>
      <c r="H3163" s="1">
        <f>_xlfn.XLOOKUP(Ocupacao_DW[[#This Row],[Concat]],Vagas!$H:$H,Vagas!$D:$D,"",0)</f>
        <v>0</v>
      </c>
    </row>
    <row r="3164" spans="1:8" x14ac:dyDescent="0.25">
      <c r="A3164" s="2">
        <v>44648</v>
      </c>
      <c r="B3164" s="1" t="s">
        <v>55</v>
      </c>
      <c r="C3164">
        <v>6392</v>
      </c>
      <c r="D3164" s="1" t="s">
        <v>173</v>
      </c>
      <c r="E3164" s="1" t="s">
        <v>6</v>
      </c>
      <c r="F3164">
        <v>5</v>
      </c>
      <c r="G3164" s="1" t="str">
        <f>Ocupacao_DW[[#This Row],[data]]&amp;Ocupacao_DW[[#This Row],[profissional_id]]&amp;Ocupacao_DW[[#This Row],[local_id]]</f>
        <v>4464863925</v>
      </c>
      <c r="H3164" s="1">
        <f>_xlfn.XLOOKUP(Ocupacao_DW[[#This Row],[Concat]],Vagas!$H:$H,Vagas!$D:$D,"",0)</f>
        <v>0</v>
      </c>
    </row>
    <row r="3165" spans="1:8" x14ac:dyDescent="0.25">
      <c r="A3165" s="2">
        <v>44635</v>
      </c>
      <c r="B3165" s="1" t="s">
        <v>47</v>
      </c>
      <c r="C3165">
        <v>9111</v>
      </c>
      <c r="D3165" s="1" t="s">
        <v>206</v>
      </c>
      <c r="E3165" s="1" t="s">
        <v>4</v>
      </c>
      <c r="F3165">
        <v>335</v>
      </c>
      <c r="G3165" s="1" t="str">
        <f>Ocupacao_DW[[#This Row],[data]]&amp;Ocupacao_DW[[#This Row],[profissional_id]]&amp;Ocupacao_DW[[#This Row],[local_id]]</f>
        <v>446359111335</v>
      </c>
      <c r="H3165" s="1">
        <f>_xlfn.XLOOKUP(Ocupacao_DW[[#This Row],[Concat]],Vagas!$H:$H,Vagas!$D:$D,"",0)</f>
        <v>0</v>
      </c>
    </row>
    <row r="3166" spans="1:8" x14ac:dyDescent="0.25">
      <c r="A3166" s="2">
        <v>44638</v>
      </c>
      <c r="B3166" s="1" t="s">
        <v>24</v>
      </c>
      <c r="C3166">
        <v>60</v>
      </c>
      <c r="D3166" s="1" t="s">
        <v>217</v>
      </c>
      <c r="E3166" s="1" t="s">
        <v>6</v>
      </c>
      <c r="F3166">
        <v>1</v>
      </c>
      <c r="G3166" s="1" t="str">
        <f>Ocupacao_DW[[#This Row],[data]]&amp;Ocupacao_DW[[#This Row],[profissional_id]]&amp;Ocupacao_DW[[#This Row],[local_id]]</f>
        <v>44638601</v>
      </c>
      <c r="H3166" s="1">
        <f>_xlfn.XLOOKUP(Ocupacao_DW[[#This Row],[Concat]],Vagas!$H:$H,Vagas!$D:$D,"",0)</f>
        <v>0</v>
      </c>
    </row>
    <row r="3167" spans="1:8" x14ac:dyDescent="0.25">
      <c r="A3167" s="2">
        <v>44635</v>
      </c>
      <c r="B3167" s="1" t="s">
        <v>66</v>
      </c>
      <c r="C3167">
        <v>100</v>
      </c>
      <c r="D3167" s="1" t="s">
        <v>166</v>
      </c>
      <c r="E3167" s="1" t="s">
        <v>167</v>
      </c>
      <c r="F3167">
        <v>342</v>
      </c>
      <c r="G3167" s="1" t="str">
        <f>Ocupacao_DW[[#This Row],[data]]&amp;Ocupacao_DW[[#This Row],[profissional_id]]&amp;Ocupacao_DW[[#This Row],[local_id]]</f>
        <v>44635100342</v>
      </c>
      <c r="H3167" s="1">
        <f>_xlfn.XLOOKUP(Ocupacao_DW[[#This Row],[Concat]],Vagas!$H:$H,Vagas!$D:$D,"",0)</f>
        <v>0</v>
      </c>
    </row>
    <row r="3168" spans="1:8" x14ac:dyDescent="0.25">
      <c r="A3168" s="2">
        <v>44656</v>
      </c>
      <c r="B3168" s="1" t="s">
        <v>55</v>
      </c>
      <c r="C3168">
        <v>73</v>
      </c>
      <c r="D3168" s="1" t="s">
        <v>171</v>
      </c>
      <c r="E3168" s="1" t="s">
        <v>6</v>
      </c>
      <c r="F3168">
        <v>5</v>
      </c>
      <c r="G3168" s="1" t="str">
        <f>Ocupacao_DW[[#This Row],[data]]&amp;Ocupacao_DW[[#This Row],[profissional_id]]&amp;Ocupacao_DW[[#This Row],[local_id]]</f>
        <v>44656735</v>
      </c>
      <c r="H3168" s="1">
        <f>_xlfn.XLOOKUP(Ocupacao_DW[[#This Row],[Concat]],Vagas!$H:$H,Vagas!$D:$D,"",0)</f>
        <v>0</v>
      </c>
    </row>
    <row r="3169" spans="1:8" x14ac:dyDescent="0.25">
      <c r="A3169" s="2">
        <v>44635</v>
      </c>
      <c r="B3169" s="1" t="s">
        <v>70</v>
      </c>
      <c r="C3169">
        <v>12825</v>
      </c>
      <c r="D3169" s="1" t="s">
        <v>177</v>
      </c>
      <c r="E3169" s="1" t="s">
        <v>7</v>
      </c>
      <c r="F3169">
        <v>63</v>
      </c>
      <c r="G3169" s="1" t="str">
        <f>Ocupacao_DW[[#This Row],[data]]&amp;Ocupacao_DW[[#This Row],[profissional_id]]&amp;Ocupacao_DW[[#This Row],[local_id]]</f>
        <v>446351282563</v>
      </c>
      <c r="H3169" s="1">
        <f>_xlfn.XLOOKUP(Ocupacao_DW[[#This Row],[Concat]],Vagas!$H:$H,Vagas!$D:$D,"",0)</f>
        <v>0</v>
      </c>
    </row>
    <row r="3170" spans="1:8" x14ac:dyDescent="0.25">
      <c r="A3170" s="2">
        <v>44648</v>
      </c>
      <c r="B3170" s="1" t="s">
        <v>69</v>
      </c>
      <c r="C3170">
        <v>17878</v>
      </c>
      <c r="D3170" s="1" t="s">
        <v>183</v>
      </c>
      <c r="E3170" s="1" t="s">
        <v>4</v>
      </c>
      <c r="F3170">
        <v>47</v>
      </c>
      <c r="G3170" s="1" t="str">
        <f>Ocupacao_DW[[#This Row],[data]]&amp;Ocupacao_DW[[#This Row],[profissional_id]]&amp;Ocupacao_DW[[#This Row],[local_id]]</f>
        <v>446481787847</v>
      </c>
      <c r="H3170" s="1">
        <f>_xlfn.XLOOKUP(Ocupacao_DW[[#This Row],[Concat]],Vagas!$H:$H,Vagas!$D:$D,"",0)</f>
        <v>2</v>
      </c>
    </row>
    <row r="3171" spans="1:8" x14ac:dyDescent="0.25">
      <c r="A3171" s="2">
        <v>44635</v>
      </c>
      <c r="B3171" s="1" t="s">
        <v>49</v>
      </c>
      <c r="C3171">
        <v>10600</v>
      </c>
      <c r="D3171" s="1" t="s">
        <v>248</v>
      </c>
      <c r="E3171" s="1" t="s">
        <v>200</v>
      </c>
      <c r="F3171">
        <v>86</v>
      </c>
      <c r="G3171" s="1" t="str">
        <f>Ocupacao_DW[[#This Row],[data]]&amp;Ocupacao_DW[[#This Row],[profissional_id]]&amp;Ocupacao_DW[[#This Row],[local_id]]</f>
        <v>446351060086</v>
      </c>
      <c r="H3171" s="1">
        <f>_xlfn.XLOOKUP(Ocupacao_DW[[#This Row],[Concat]],Vagas!$H:$H,Vagas!$D:$D,"",0)</f>
        <v>0</v>
      </c>
    </row>
    <row r="3172" spans="1:8" x14ac:dyDescent="0.25">
      <c r="A3172" s="2">
        <v>44651</v>
      </c>
      <c r="B3172" s="1" t="s">
        <v>55</v>
      </c>
      <c r="C3172">
        <v>74</v>
      </c>
      <c r="D3172" s="1" t="s">
        <v>182</v>
      </c>
      <c r="E3172" s="1" t="s">
        <v>6</v>
      </c>
      <c r="F3172">
        <v>7</v>
      </c>
      <c r="G3172" s="1" t="str">
        <f>Ocupacao_DW[[#This Row],[data]]&amp;Ocupacao_DW[[#This Row],[profissional_id]]&amp;Ocupacao_DW[[#This Row],[local_id]]</f>
        <v>44651747</v>
      </c>
      <c r="H3172" s="1">
        <f>_xlfn.XLOOKUP(Ocupacao_DW[[#This Row],[Concat]],Vagas!$H:$H,Vagas!$D:$D,"",0)</f>
        <v>0</v>
      </c>
    </row>
    <row r="3173" spans="1:8" x14ac:dyDescent="0.25">
      <c r="A3173" s="2">
        <v>44643</v>
      </c>
      <c r="B3173" s="1" t="s">
        <v>70</v>
      </c>
      <c r="C3173">
        <v>12825</v>
      </c>
      <c r="D3173" s="1" t="s">
        <v>177</v>
      </c>
      <c r="E3173" s="1" t="s">
        <v>4</v>
      </c>
      <c r="F3173">
        <v>45</v>
      </c>
      <c r="G3173" s="1" t="str">
        <f>Ocupacao_DW[[#This Row],[data]]&amp;Ocupacao_DW[[#This Row],[profissional_id]]&amp;Ocupacao_DW[[#This Row],[local_id]]</f>
        <v>446431282545</v>
      </c>
      <c r="H3173" s="1">
        <f>_xlfn.XLOOKUP(Ocupacao_DW[[#This Row],[Concat]],Vagas!$H:$H,Vagas!$D:$D,"",0)</f>
        <v>0</v>
      </c>
    </row>
    <row r="3174" spans="1:8" x14ac:dyDescent="0.25">
      <c r="A3174" s="2">
        <v>44642</v>
      </c>
      <c r="B3174" s="1" t="s">
        <v>54</v>
      </c>
      <c r="C3174">
        <v>10941</v>
      </c>
      <c r="D3174" s="1" t="s">
        <v>224</v>
      </c>
      <c r="E3174" s="1" t="s">
        <v>200</v>
      </c>
      <c r="F3174">
        <v>83</v>
      </c>
      <c r="G3174" s="1" t="str">
        <f>Ocupacao_DW[[#This Row],[data]]&amp;Ocupacao_DW[[#This Row],[profissional_id]]&amp;Ocupacao_DW[[#This Row],[local_id]]</f>
        <v>446421094183</v>
      </c>
      <c r="H3174" s="1">
        <f>_xlfn.XLOOKUP(Ocupacao_DW[[#This Row],[Concat]],Vagas!$H:$H,Vagas!$D:$D,"",0)</f>
        <v>0</v>
      </c>
    </row>
    <row r="3175" spans="1:8" x14ac:dyDescent="0.25">
      <c r="A3175" s="2">
        <v>44636</v>
      </c>
      <c r="B3175" s="1" t="s">
        <v>49</v>
      </c>
      <c r="C3175">
        <v>17918</v>
      </c>
      <c r="D3175" s="1" t="s">
        <v>265</v>
      </c>
      <c r="E3175" s="1" t="s">
        <v>4</v>
      </c>
      <c r="F3175">
        <v>42</v>
      </c>
      <c r="G3175" s="1" t="str">
        <f>Ocupacao_DW[[#This Row],[data]]&amp;Ocupacao_DW[[#This Row],[profissional_id]]&amp;Ocupacao_DW[[#This Row],[local_id]]</f>
        <v>446361791842</v>
      </c>
      <c r="H3175" s="1">
        <f>_xlfn.XLOOKUP(Ocupacao_DW[[#This Row],[Concat]],Vagas!$H:$H,Vagas!$D:$D,"",0)</f>
        <v>0</v>
      </c>
    </row>
    <row r="3176" spans="1:8" x14ac:dyDescent="0.25">
      <c r="A3176" s="2">
        <v>44637</v>
      </c>
      <c r="B3176" s="1" t="s">
        <v>47</v>
      </c>
      <c r="C3176">
        <v>9111</v>
      </c>
      <c r="D3176" s="1" t="s">
        <v>206</v>
      </c>
      <c r="E3176" s="1" t="s">
        <v>4</v>
      </c>
      <c r="F3176">
        <v>334</v>
      </c>
      <c r="G3176" s="1" t="str">
        <f>Ocupacao_DW[[#This Row],[data]]&amp;Ocupacao_DW[[#This Row],[profissional_id]]&amp;Ocupacao_DW[[#This Row],[local_id]]</f>
        <v>446379111334</v>
      </c>
      <c r="H3176" s="1">
        <f>_xlfn.XLOOKUP(Ocupacao_DW[[#This Row],[Concat]],Vagas!$H:$H,Vagas!$D:$D,"",0)</f>
        <v>0</v>
      </c>
    </row>
    <row r="3177" spans="1:8" x14ac:dyDescent="0.25">
      <c r="A3177" s="2">
        <v>44641</v>
      </c>
      <c r="B3177" s="1" t="s">
        <v>56</v>
      </c>
      <c r="C3177">
        <v>75</v>
      </c>
      <c r="D3177" s="1" t="s">
        <v>208</v>
      </c>
      <c r="E3177" s="1" t="s">
        <v>5</v>
      </c>
      <c r="F3177">
        <v>15</v>
      </c>
      <c r="G3177" s="1" t="str">
        <f>Ocupacao_DW[[#This Row],[data]]&amp;Ocupacao_DW[[#This Row],[profissional_id]]&amp;Ocupacao_DW[[#This Row],[local_id]]</f>
        <v>446417515</v>
      </c>
      <c r="H3177" s="1">
        <f>_xlfn.XLOOKUP(Ocupacao_DW[[#This Row],[Concat]],Vagas!$H:$H,Vagas!$D:$D,"",0)</f>
        <v>0</v>
      </c>
    </row>
    <row r="3178" spans="1:8" x14ac:dyDescent="0.25">
      <c r="A3178" s="2">
        <v>44648</v>
      </c>
      <c r="B3178" s="1" t="s">
        <v>55</v>
      </c>
      <c r="C3178">
        <v>6392</v>
      </c>
      <c r="D3178" s="1" t="s">
        <v>173</v>
      </c>
      <c r="E3178" s="1" t="s">
        <v>6</v>
      </c>
      <c r="F3178">
        <v>5</v>
      </c>
      <c r="G3178" s="1" t="str">
        <f>Ocupacao_DW[[#This Row],[data]]&amp;Ocupacao_DW[[#This Row],[profissional_id]]&amp;Ocupacao_DW[[#This Row],[local_id]]</f>
        <v>4464863925</v>
      </c>
      <c r="H3178" s="1">
        <f>_xlfn.XLOOKUP(Ocupacao_DW[[#This Row],[Concat]],Vagas!$H:$H,Vagas!$D:$D,"",0)</f>
        <v>0</v>
      </c>
    </row>
    <row r="3179" spans="1:8" x14ac:dyDescent="0.25">
      <c r="A3179" s="2">
        <v>44636</v>
      </c>
      <c r="B3179" s="1" t="s">
        <v>52</v>
      </c>
      <c r="C3179">
        <v>60</v>
      </c>
      <c r="D3179" s="1" t="s">
        <v>217</v>
      </c>
      <c r="E3179" s="1" t="s">
        <v>167</v>
      </c>
      <c r="F3179">
        <v>346</v>
      </c>
      <c r="G3179" s="1" t="str">
        <f>Ocupacao_DW[[#This Row],[data]]&amp;Ocupacao_DW[[#This Row],[profissional_id]]&amp;Ocupacao_DW[[#This Row],[local_id]]</f>
        <v>4463660346</v>
      </c>
      <c r="H3179" s="1">
        <f>_xlfn.XLOOKUP(Ocupacao_DW[[#This Row],[Concat]],Vagas!$H:$H,Vagas!$D:$D,"",0)</f>
        <v>0</v>
      </c>
    </row>
    <row r="3180" spans="1:8" x14ac:dyDescent="0.25">
      <c r="A3180" s="2">
        <v>44635</v>
      </c>
      <c r="B3180" s="1" t="s">
        <v>65</v>
      </c>
      <c r="C3180">
        <v>11652</v>
      </c>
      <c r="D3180" s="1" t="s">
        <v>242</v>
      </c>
      <c r="E3180" s="1" t="s">
        <v>4</v>
      </c>
      <c r="F3180">
        <v>47</v>
      </c>
      <c r="G3180" s="1" t="str">
        <f>Ocupacao_DW[[#This Row],[data]]&amp;Ocupacao_DW[[#This Row],[profissional_id]]&amp;Ocupacao_DW[[#This Row],[local_id]]</f>
        <v>446351165247</v>
      </c>
      <c r="H3180" s="1">
        <f>_xlfn.XLOOKUP(Ocupacao_DW[[#This Row],[Concat]],Vagas!$H:$H,Vagas!$D:$D,"",0)</f>
        <v>0</v>
      </c>
    </row>
    <row r="3181" spans="1:8" x14ac:dyDescent="0.25">
      <c r="A3181" s="2">
        <v>44637</v>
      </c>
      <c r="B3181" s="1" t="s">
        <v>66</v>
      </c>
      <c r="C3181">
        <v>100</v>
      </c>
      <c r="D3181" s="1" t="s">
        <v>166</v>
      </c>
      <c r="E3181" s="1" t="s">
        <v>167</v>
      </c>
      <c r="F3181">
        <v>342</v>
      </c>
      <c r="G3181" s="1" t="str">
        <f>Ocupacao_DW[[#This Row],[data]]&amp;Ocupacao_DW[[#This Row],[profissional_id]]&amp;Ocupacao_DW[[#This Row],[local_id]]</f>
        <v>44637100342</v>
      </c>
      <c r="H3181" s="1">
        <f>_xlfn.XLOOKUP(Ocupacao_DW[[#This Row],[Concat]],Vagas!$H:$H,Vagas!$D:$D,"",0)</f>
        <v>0</v>
      </c>
    </row>
    <row r="3182" spans="1:8" x14ac:dyDescent="0.25">
      <c r="A3182" s="2">
        <v>44637</v>
      </c>
      <c r="B3182" s="1" t="s">
        <v>49</v>
      </c>
      <c r="C3182">
        <v>81</v>
      </c>
      <c r="D3182" s="1" t="s">
        <v>170</v>
      </c>
      <c r="E3182" s="1" t="s">
        <v>4</v>
      </c>
      <c r="F3182">
        <v>41</v>
      </c>
      <c r="G3182" s="1" t="str">
        <f>Ocupacao_DW[[#This Row],[data]]&amp;Ocupacao_DW[[#This Row],[profissional_id]]&amp;Ocupacao_DW[[#This Row],[local_id]]</f>
        <v>446378141</v>
      </c>
      <c r="H3182" s="1">
        <f>_xlfn.XLOOKUP(Ocupacao_DW[[#This Row],[Concat]],Vagas!$H:$H,Vagas!$D:$D,"",0)</f>
        <v>0</v>
      </c>
    </row>
    <row r="3183" spans="1:8" x14ac:dyDescent="0.25">
      <c r="A3183" s="2">
        <v>44636</v>
      </c>
      <c r="B3183" s="1" t="s">
        <v>60</v>
      </c>
      <c r="C3183">
        <v>14326</v>
      </c>
      <c r="D3183" s="1" t="s">
        <v>220</v>
      </c>
      <c r="E3183" s="1" t="s">
        <v>4</v>
      </c>
      <c r="F3183">
        <v>43</v>
      </c>
      <c r="G3183" s="1" t="str">
        <f>Ocupacao_DW[[#This Row],[data]]&amp;Ocupacao_DW[[#This Row],[profissional_id]]&amp;Ocupacao_DW[[#This Row],[local_id]]</f>
        <v>446361432643</v>
      </c>
      <c r="H3183" s="1">
        <f>_xlfn.XLOOKUP(Ocupacao_DW[[#This Row],[Concat]],Vagas!$H:$H,Vagas!$D:$D,"",0)</f>
        <v>0</v>
      </c>
    </row>
    <row r="3184" spans="1:8" x14ac:dyDescent="0.25">
      <c r="A3184" s="2">
        <v>44635</v>
      </c>
      <c r="B3184" s="1" t="s">
        <v>65</v>
      </c>
      <c r="C3184">
        <v>11652</v>
      </c>
      <c r="D3184" s="1" t="s">
        <v>242</v>
      </c>
      <c r="E3184" s="1" t="s">
        <v>4</v>
      </c>
      <c r="F3184">
        <v>47</v>
      </c>
      <c r="G3184" s="1" t="str">
        <f>Ocupacao_DW[[#This Row],[data]]&amp;Ocupacao_DW[[#This Row],[profissional_id]]&amp;Ocupacao_DW[[#This Row],[local_id]]</f>
        <v>446351165247</v>
      </c>
      <c r="H3184" s="1">
        <f>_xlfn.XLOOKUP(Ocupacao_DW[[#This Row],[Concat]],Vagas!$H:$H,Vagas!$D:$D,"",0)</f>
        <v>0</v>
      </c>
    </row>
    <row r="3185" spans="1:8" x14ac:dyDescent="0.25">
      <c r="A3185" s="2">
        <v>44635</v>
      </c>
      <c r="B3185" s="1" t="s">
        <v>53</v>
      </c>
      <c r="C3185">
        <v>9138</v>
      </c>
      <c r="D3185" s="1" t="s">
        <v>184</v>
      </c>
      <c r="E3185" s="1" t="s">
        <v>167</v>
      </c>
      <c r="F3185">
        <v>344</v>
      </c>
      <c r="G3185" s="1" t="str">
        <f>Ocupacao_DW[[#This Row],[data]]&amp;Ocupacao_DW[[#This Row],[profissional_id]]&amp;Ocupacao_DW[[#This Row],[local_id]]</f>
        <v>446359138344</v>
      </c>
      <c r="H3185" s="1">
        <f>_xlfn.XLOOKUP(Ocupacao_DW[[#This Row],[Concat]],Vagas!$H:$H,Vagas!$D:$D,"",0)</f>
        <v>0</v>
      </c>
    </row>
    <row r="3186" spans="1:8" x14ac:dyDescent="0.25">
      <c r="A3186" s="2">
        <v>44636</v>
      </c>
      <c r="B3186" s="1" t="s">
        <v>72</v>
      </c>
      <c r="C3186">
        <v>1794</v>
      </c>
      <c r="D3186" s="1" t="s">
        <v>235</v>
      </c>
      <c r="E3186" s="1" t="s">
        <v>4</v>
      </c>
      <c r="F3186">
        <v>49</v>
      </c>
      <c r="G3186" s="1" t="str">
        <f>Ocupacao_DW[[#This Row],[data]]&amp;Ocupacao_DW[[#This Row],[profissional_id]]&amp;Ocupacao_DW[[#This Row],[local_id]]</f>
        <v>44636179449</v>
      </c>
      <c r="H3186" s="1">
        <f>_xlfn.XLOOKUP(Ocupacao_DW[[#This Row],[Concat]],Vagas!$H:$H,Vagas!$D:$D,"",0)</f>
        <v>0</v>
      </c>
    </row>
    <row r="3187" spans="1:8" x14ac:dyDescent="0.25">
      <c r="A3187" s="2">
        <v>44655</v>
      </c>
      <c r="B3187" s="1" t="s">
        <v>55</v>
      </c>
      <c r="C3187">
        <v>60</v>
      </c>
      <c r="D3187" s="1" t="s">
        <v>217</v>
      </c>
      <c r="E3187" s="1" t="s">
        <v>7</v>
      </c>
      <c r="F3187">
        <v>66</v>
      </c>
      <c r="G3187" s="1" t="str">
        <f>Ocupacao_DW[[#This Row],[data]]&amp;Ocupacao_DW[[#This Row],[profissional_id]]&amp;Ocupacao_DW[[#This Row],[local_id]]</f>
        <v>446556066</v>
      </c>
      <c r="H3187" s="1">
        <f>_xlfn.XLOOKUP(Ocupacao_DW[[#This Row],[Concat]],Vagas!$H:$H,Vagas!$D:$D,"",0)</f>
        <v>0</v>
      </c>
    </row>
    <row r="3188" spans="1:8" x14ac:dyDescent="0.25">
      <c r="A3188" s="2">
        <v>44643</v>
      </c>
      <c r="B3188" s="1" t="s">
        <v>62</v>
      </c>
      <c r="C3188">
        <v>10799</v>
      </c>
      <c r="D3188" s="1" t="s">
        <v>204</v>
      </c>
      <c r="E3188" s="1" t="s">
        <v>5</v>
      </c>
      <c r="F3188">
        <v>18</v>
      </c>
      <c r="G3188" s="1" t="str">
        <f>Ocupacao_DW[[#This Row],[data]]&amp;Ocupacao_DW[[#This Row],[profissional_id]]&amp;Ocupacao_DW[[#This Row],[local_id]]</f>
        <v>446431079918</v>
      </c>
      <c r="H3188" s="1">
        <f>_xlfn.XLOOKUP(Ocupacao_DW[[#This Row],[Concat]],Vagas!$H:$H,Vagas!$D:$D,"",0)</f>
        <v>0</v>
      </c>
    </row>
    <row r="3189" spans="1:8" x14ac:dyDescent="0.25">
      <c r="A3189" s="2">
        <v>44657</v>
      </c>
      <c r="B3189" s="1" t="s">
        <v>70</v>
      </c>
      <c r="C3189">
        <v>12519</v>
      </c>
      <c r="D3189" s="1" t="s">
        <v>176</v>
      </c>
      <c r="E3189" s="1" t="s">
        <v>4</v>
      </c>
      <c r="F3189">
        <v>48</v>
      </c>
      <c r="G3189" s="1" t="str">
        <f>Ocupacao_DW[[#This Row],[data]]&amp;Ocupacao_DW[[#This Row],[profissional_id]]&amp;Ocupacao_DW[[#This Row],[local_id]]</f>
        <v>446571251948</v>
      </c>
      <c r="H3189" s="1">
        <f>_xlfn.XLOOKUP(Ocupacao_DW[[#This Row],[Concat]],Vagas!$H:$H,Vagas!$D:$D,"",0)</f>
        <v>0</v>
      </c>
    </row>
    <row r="3190" spans="1:8" x14ac:dyDescent="0.25">
      <c r="A3190" s="2">
        <v>44635</v>
      </c>
      <c r="B3190" s="1" t="s">
        <v>70</v>
      </c>
      <c r="C3190">
        <v>12825</v>
      </c>
      <c r="D3190" s="1" t="s">
        <v>177</v>
      </c>
      <c r="E3190" s="1" t="s">
        <v>7</v>
      </c>
      <c r="F3190">
        <v>63</v>
      </c>
      <c r="G3190" s="1" t="str">
        <f>Ocupacao_DW[[#This Row],[data]]&amp;Ocupacao_DW[[#This Row],[profissional_id]]&amp;Ocupacao_DW[[#This Row],[local_id]]</f>
        <v>446351282563</v>
      </c>
      <c r="H3190" s="1">
        <f>_xlfn.XLOOKUP(Ocupacao_DW[[#This Row],[Concat]],Vagas!$H:$H,Vagas!$D:$D,"",0)</f>
        <v>0</v>
      </c>
    </row>
    <row r="3191" spans="1:8" x14ac:dyDescent="0.25">
      <c r="A3191" s="2">
        <v>44638</v>
      </c>
      <c r="B3191" s="1" t="s">
        <v>62</v>
      </c>
      <c r="C3191">
        <v>3502</v>
      </c>
      <c r="D3191" s="1" t="s">
        <v>214</v>
      </c>
      <c r="E3191" s="1" t="s">
        <v>7</v>
      </c>
      <c r="F3191">
        <v>69</v>
      </c>
      <c r="G3191" s="1" t="str">
        <f>Ocupacao_DW[[#This Row],[data]]&amp;Ocupacao_DW[[#This Row],[profissional_id]]&amp;Ocupacao_DW[[#This Row],[local_id]]</f>
        <v>44638350269</v>
      </c>
      <c r="H3191" s="1">
        <f>_xlfn.XLOOKUP(Ocupacao_DW[[#This Row],[Concat]],Vagas!$H:$H,Vagas!$D:$D,"",0)</f>
        <v>0</v>
      </c>
    </row>
    <row r="3192" spans="1:8" x14ac:dyDescent="0.25">
      <c r="A3192" s="2">
        <v>44636</v>
      </c>
      <c r="B3192" s="1" t="s">
        <v>66</v>
      </c>
      <c r="C3192">
        <v>1343</v>
      </c>
      <c r="D3192" s="1" t="s">
        <v>263</v>
      </c>
      <c r="E3192" s="1" t="s">
        <v>7</v>
      </c>
      <c r="F3192">
        <v>64</v>
      </c>
      <c r="G3192" s="1" t="str">
        <f>Ocupacao_DW[[#This Row],[data]]&amp;Ocupacao_DW[[#This Row],[profissional_id]]&amp;Ocupacao_DW[[#This Row],[local_id]]</f>
        <v>44636134364</v>
      </c>
      <c r="H3192" s="1">
        <f>_xlfn.XLOOKUP(Ocupacao_DW[[#This Row],[Concat]],Vagas!$H:$H,Vagas!$D:$D,"",0)</f>
        <v>0</v>
      </c>
    </row>
    <row r="3193" spans="1:8" x14ac:dyDescent="0.25">
      <c r="A3193" s="2">
        <v>44635</v>
      </c>
      <c r="B3193" s="1" t="s">
        <v>49</v>
      </c>
      <c r="C3193">
        <v>266</v>
      </c>
      <c r="D3193" s="1" t="s">
        <v>201</v>
      </c>
      <c r="E3193" s="1" t="s">
        <v>4</v>
      </c>
      <c r="F3193">
        <v>42</v>
      </c>
      <c r="G3193" s="1" t="str">
        <f>Ocupacao_DW[[#This Row],[data]]&amp;Ocupacao_DW[[#This Row],[profissional_id]]&amp;Ocupacao_DW[[#This Row],[local_id]]</f>
        <v>4463526642</v>
      </c>
      <c r="H3193" s="1">
        <f>_xlfn.XLOOKUP(Ocupacao_DW[[#This Row],[Concat]],Vagas!$H:$H,Vagas!$D:$D,"",0)</f>
        <v>0</v>
      </c>
    </row>
    <row r="3194" spans="1:8" x14ac:dyDescent="0.25">
      <c r="A3194" s="2">
        <v>44637</v>
      </c>
      <c r="B3194" s="1" t="s">
        <v>56</v>
      </c>
      <c r="C3194">
        <v>5822</v>
      </c>
      <c r="D3194" s="1" t="s">
        <v>194</v>
      </c>
      <c r="E3194" s="1" t="s">
        <v>5</v>
      </c>
      <c r="F3194">
        <v>11</v>
      </c>
      <c r="G3194" s="1" t="str">
        <f>Ocupacao_DW[[#This Row],[data]]&amp;Ocupacao_DW[[#This Row],[profissional_id]]&amp;Ocupacao_DW[[#This Row],[local_id]]</f>
        <v>44637582211</v>
      </c>
      <c r="H3194" s="1">
        <f>_xlfn.XLOOKUP(Ocupacao_DW[[#This Row],[Concat]],Vagas!$H:$H,Vagas!$D:$D,"",0)</f>
        <v>0</v>
      </c>
    </row>
    <row r="3195" spans="1:8" x14ac:dyDescent="0.25">
      <c r="A3195" s="2">
        <v>44637</v>
      </c>
      <c r="B3195" s="1" t="s">
        <v>56</v>
      </c>
      <c r="C3195">
        <v>5822</v>
      </c>
      <c r="D3195" s="1" t="s">
        <v>194</v>
      </c>
      <c r="E3195" s="1" t="s">
        <v>5</v>
      </c>
      <c r="F3195">
        <v>11</v>
      </c>
      <c r="G3195" s="1" t="str">
        <f>Ocupacao_DW[[#This Row],[data]]&amp;Ocupacao_DW[[#This Row],[profissional_id]]&amp;Ocupacao_DW[[#This Row],[local_id]]</f>
        <v>44637582211</v>
      </c>
      <c r="H3195" s="1">
        <f>_xlfn.XLOOKUP(Ocupacao_DW[[#This Row],[Concat]],Vagas!$H:$H,Vagas!$D:$D,"",0)</f>
        <v>0</v>
      </c>
    </row>
    <row r="3196" spans="1:8" x14ac:dyDescent="0.25">
      <c r="A3196" s="2">
        <v>44637</v>
      </c>
      <c r="B3196" s="1" t="s">
        <v>52</v>
      </c>
      <c r="C3196">
        <v>9217</v>
      </c>
      <c r="D3196" s="1" t="s">
        <v>191</v>
      </c>
      <c r="E3196" s="1" t="s">
        <v>6</v>
      </c>
      <c r="F3196">
        <v>7</v>
      </c>
      <c r="G3196" s="1" t="str">
        <f>Ocupacao_DW[[#This Row],[data]]&amp;Ocupacao_DW[[#This Row],[profissional_id]]&amp;Ocupacao_DW[[#This Row],[local_id]]</f>
        <v>4463792177</v>
      </c>
      <c r="H3196" s="1">
        <f>_xlfn.XLOOKUP(Ocupacao_DW[[#This Row],[Concat]],Vagas!$H:$H,Vagas!$D:$D,"",0)</f>
        <v>0</v>
      </c>
    </row>
    <row r="3197" spans="1:8" x14ac:dyDescent="0.25">
      <c r="A3197" s="2">
        <v>44635</v>
      </c>
      <c r="B3197" s="1" t="s">
        <v>51</v>
      </c>
      <c r="C3197">
        <v>12582</v>
      </c>
      <c r="D3197" s="1" t="s">
        <v>190</v>
      </c>
      <c r="E3197" s="1" t="s">
        <v>7</v>
      </c>
      <c r="F3197">
        <v>62</v>
      </c>
      <c r="G3197" s="1" t="str">
        <f>Ocupacao_DW[[#This Row],[data]]&amp;Ocupacao_DW[[#This Row],[profissional_id]]&amp;Ocupacao_DW[[#This Row],[local_id]]</f>
        <v>446351258262</v>
      </c>
      <c r="H3197" s="1">
        <f>_xlfn.XLOOKUP(Ocupacao_DW[[#This Row],[Concat]],Vagas!$H:$H,Vagas!$D:$D,"",0)</f>
        <v>0</v>
      </c>
    </row>
    <row r="3198" spans="1:8" x14ac:dyDescent="0.25">
      <c r="A3198" s="2">
        <v>44637</v>
      </c>
      <c r="B3198" s="1" t="s">
        <v>52</v>
      </c>
      <c r="C3198">
        <v>10691</v>
      </c>
      <c r="D3198" s="1" t="s">
        <v>181</v>
      </c>
      <c r="E3198" s="1" t="s">
        <v>6</v>
      </c>
      <c r="F3198">
        <v>9</v>
      </c>
      <c r="G3198" s="1" t="str">
        <f>Ocupacao_DW[[#This Row],[data]]&amp;Ocupacao_DW[[#This Row],[profissional_id]]&amp;Ocupacao_DW[[#This Row],[local_id]]</f>
        <v>44637106919</v>
      </c>
      <c r="H3198" s="1">
        <f>_xlfn.XLOOKUP(Ocupacao_DW[[#This Row],[Concat]],Vagas!$H:$H,Vagas!$D:$D,"",0)</f>
        <v>0</v>
      </c>
    </row>
    <row r="3199" spans="1:8" x14ac:dyDescent="0.25">
      <c r="A3199" s="2">
        <v>44635</v>
      </c>
      <c r="B3199" s="1" t="s">
        <v>62</v>
      </c>
      <c r="C3199">
        <v>3502</v>
      </c>
      <c r="D3199" s="1" t="s">
        <v>214</v>
      </c>
      <c r="E3199" s="1" t="s">
        <v>5</v>
      </c>
      <c r="F3199">
        <v>16</v>
      </c>
      <c r="G3199" s="1" t="str">
        <f>Ocupacao_DW[[#This Row],[data]]&amp;Ocupacao_DW[[#This Row],[profissional_id]]&amp;Ocupacao_DW[[#This Row],[local_id]]</f>
        <v>44635350216</v>
      </c>
      <c r="H3199" s="1">
        <f>_xlfn.XLOOKUP(Ocupacao_DW[[#This Row],[Concat]],Vagas!$H:$H,Vagas!$D:$D,"",0)</f>
        <v>0</v>
      </c>
    </row>
    <row r="3200" spans="1:8" x14ac:dyDescent="0.25">
      <c r="A3200" s="2">
        <v>44645</v>
      </c>
      <c r="B3200" s="1" t="s">
        <v>47</v>
      </c>
      <c r="C3200">
        <v>9111</v>
      </c>
      <c r="D3200" s="1" t="s">
        <v>206</v>
      </c>
      <c r="E3200" s="1" t="s">
        <v>4</v>
      </c>
      <c r="F3200">
        <v>51</v>
      </c>
      <c r="G3200" s="1" t="str">
        <f>Ocupacao_DW[[#This Row],[data]]&amp;Ocupacao_DW[[#This Row],[profissional_id]]&amp;Ocupacao_DW[[#This Row],[local_id]]</f>
        <v>44645911151</v>
      </c>
      <c r="H3200" s="1">
        <f>_xlfn.XLOOKUP(Ocupacao_DW[[#This Row],[Concat]],Vagas!$H:$H,Vagas!$D:$D,"",0)</f>
        <v>0</v>
      </c>
    </row>
    <row r="3201" spans="1:8" x14ac:dyDescent="0.25">
      <c r="A3201" s="2">
        <v>44636</v>
      </c>
      <c r="B3201" s="1" t="s">
        <v>49</v>
      </c>
      <c r="C3201">
        <v>81</v>
      </c>
      <c r="D3201" s="1" t="s">
        <v>170</v>
      </c>
      <c r="E3201" s="1" t="s">
        <v>4</v>
      </c>
      <c r="F3201">
        <v>41</v>
      </c>
      <c r="G3201" s="1" t="str">
        <f>Ocupacao_DW[[#This Row],[data]]&amp;Ocupacao_DW[[#This Row],[profissional_id]]&amp;Ocupacao_DW[[#This Row],[local_id]]</f>
        <v>446368141</v>
      </c>
      <c r="H3201" s="1">
        <f>_xlfn.XLOOKUP(Ocupacao_DW[[#This Row],[Concat]],Vagas!$H:$H,Vagas!$D:$D,"",0)</f>
        <v>0</v>
      </c>
    </row>
    <row r="3202" spans="1:8" x14ac:dyDescent="0.25">
      <c r="A3202" s="2">
        <v>44637</v>
      </c>
      <c r="B3202" s="1" t="s">
        <v>52</v>
      </c>
      <c r="C3202">
        <v>10691</v>
      </c>
      <c r="D3202" s="1" t="s">
        <v>181</v>
      </c>
      <c r="E3202" s="1" t="s">
        <v>6</v>
      </c>
      <c r="F3202">
        <v>9</v>
      </c>
      <c r="G3202" s="1" t="str">
        <f>Ocupacao_DW[[#This Row],[data]]&amp;Ocupacao_DW[[#This Row],[profissional_id]]&amp;Ocupacao_DW[[#This Row],[local_id]]</f>
        <v>44637106919</v>
      </c>
      <c r="H3202" s="1">
        <f>_xlfn.XLOOKUP(Ocupacao_DW[[#This Row],[Concat]],Vagas!$H:$H,Vagas!$D:$D,"",0)</f>
        <v>0</v>
      </c>
    </row>
    <row r="3203" spans="1:8" x14ac:dyDescent="0.25">
      <c r="A3203" s="2">
        <v>44636</v>
      </c>
      <c r="B3203" s="1" t="s">
        <v>66</v>
      </c>
      <c r="C3203">
        <v>1343</v>
      </c>
      <c r="D3203" s="1" t="s">
        <v>263</v>
      </c>
      <c r="E3203" s="1" t="s">
        <v>7</v>
      </c>
      <c r="F3203">
        <v>64</v>
      </c>
      <c r="G3203" s="1" t="str">
        <f>Ocupacao_DW[[#This Row],[data]]&amp;Ocupacao_DW[[#This Row],[profissional_id]]&amp;Ocupacao_DW[[#This Row],[local_id]]</f>
        <v>44636134364</v>
      </c>
      <c r="H3203" s="1">
        <f>_xlfn.XLOOKUP(Ocupacao_DW[[#This Row],[Concat]],Vagas!$H:$H,Vagas!$D:$D,"",0)</f>
        <v>0</v>
      </c>
    </row>
    <row r="3204" spans="1:8" x14ac:dyDescent="0.25">
      <c r="A3204" s="2">
        <v>44645</v>
      </c>
      <c r="B3204" s="1" t="s">
        <v>49</v>
      </c>
      <c r="C3204">
        <v>12142</v>
      </c>
      <c r="D3204" s="1" t="s">
        <v>219</v>
      </c>
      <c r="E3204" s="1" t="s">
        <v>4</v>
      </c>
      <c r="F3204">
        <v>44</v>
      </c>
      <c r="G3204" s="1" t="str">
        <f>Ocupacao_DW[[#This Row],[data]]&amp;Ocupacao_DW[[#This Row],[profissional_id]]&amp;Ocupacao_DW[[#This Row],[local_id]]</f>
        <v>446451214244</v>
      </c>
      <c r="H3204" s="1">
        <f>_xlfn.XLOOKUP(Ocupacao_DW[[#This Row],[Concat]],Vagas!$H:$H,Vagas!$D:$D,"",0)</f>
        <v>0</v>
      </c>
    </row>
    <row r="3205" spans="1:8" x14ac:dyDescent="0.25">
      <c r="A3205" s="2">
        <v>44636</v>
      </c>
      <c r="B3205" s="1"/>
      <c r="C3205">
        <v>17888</v>
      </c>
      <c r="D3205" s="1" t="s">
        <v>255</v>
      </c>
      <c r="E3205" s="1" t="s">
        <v>4</v>
      </c>
      <c r="F3205">
        <v>40</v>
      </c>
      <c r="G3205" s="1" t="str">
        <f>Ocupacao_DW[[#This Row],[data]]&amp;Ocupacao_DW[[#This Row],[profissional_id]]&amp;Ocupacao_DW[[#This Row],[local_id]]</f>
        <v>446361788840</v>
      </c>
      <c r="H3205" s="1">
        <f>_xlfn.XLOOKUP(Ocupacao_DW[[#This Row],[Concat]],Vagas!$H:$H,Vagas!$D:$D,"",0)</f>
        <v>17</v>
      </c>
    </row>
    <row r="3206" spans="1:8" x14ac:dyDescent="0.25">
      <c r="A3206" s="2">
        <v>44637</v>
      </c>
      <c r="B3206" s="1" t="s">
        <v>52</v>
      </c>
      <c r="C3206">
        <v>9217</v>
      </c>
      <c r="D3206" s="1" t="s">
        <v>191</v>
      </c>
      <c r="E3206" s="1" t="s">
        <v>6</v>
      </c>
      <c r="F3206">
        <v>7</v>
      </c>
      <c r="G3206" s="1" t="str">
        <f>Ocupacao_DW[[#This Row],[data]]&amp;Ocupacao_DW[[#This Row],[profissional_id]]&amp;Ocupacao_DW[[#This Row],[local_id]]</f>
        <v>4463792177</v>
      </c>
      <c r="H3206" s="1">
        <f>_xlfn.XLOOKUP(Ocupacao_DW[[#This Row],[Concat]],Vagas!$H:$H,Vagas!$D:$D,"",0)</f>
        <v>0</v>
      </c>
    </row>
    <row r="3207" spans="1:8" x14ac:dyDescent="0.25">
      <c r="A3207" s="2">
        <v>44643</v>
      </c>
      <c r="B3207" s="1" t="s">
        <v>70</v>
      </c>
      <c r="C3207">
        <v>12825</v>
      </c>
      <c r="D3207" s="1" t="s">
        <v>177</v>
      </c>
      <c r="E3207" s="1" t="s">
        <v>4</v>
      </c>
      <c r="F3207">
        <v>45</v>
      </c>
      <c r="G3207" s="1" t="str">
        <f>Ocupacao_DW[[#This Row],[data]]&amp;Ocupacao_DW[[#This Row],[profissional_id]]&amp;Ocupacao_DW[[#This Row],[local_id]]</f>
        <v>446431282545</v>
      </c>
      <c r="H3207" s="1">
        <f>_xlfn.XLOOKUP(Ocupacao_DW[[#This Row],[Concat]],Vagas!$H:$H,Vagas!$D:$D,"",0)</f>
        <v>0</v>
      </c>
    </row>
    <row r="3208" spans="1:8" x14ac:dyDescent="0.25">
      <c r="A3208" s="2">
        <v>44643</v>
      </c>
      <c r="B3208" s="1" t="s">
        <v>65</v>
      </c>
      <c r="C3208">
        <v>11652</v>
      </c>
      <c r="D3208" s="1" t="s">
        <v>242</v>
      </c>
      <c r="E3208" s="1" t="s">
        <v>7</v>
      </c>
      <c r="F3208">
        <v>69</v>
      </c>
      <c r="G3208" s="1" t="str">
        <f>Ocupacao_DW[[#This Row],[data]]&amp;Ocupacao_DW[[#This Row],[profissional_id]]&amp;Ocupacao_DW[[#This Row],[local_id]]</f>
        <v>446431165269</v>
      </c>
      <c r="H3208" s="1">
        <f>_xlfn.XLOOKUP(Ocupacao_DW[[#This Row],[Concat]],Vagas!$H:$H,Vagas!$D:$D,"",0)</f>
        <v>0</v>
      </c>
    </row>
    <row r="3209" spans="1:8" x14ac:dyDescent="0.25">
      <c r="A3209" s="2">
        <v>44648</v>
      </c>
      <c r="B3209" s="1" t="s">
        <v>55</v>
      </c>
      <c r="C3209">
        <v>60</v>
      </c>
      <c r="D3209" s="1" t="s">
        <v>217</v>
      </c>
      <c r="E3209" s="1" t="s">
        <v>7</v>
      </c>
      <c r="F3209">
        <v>66</v>
      </c>
      <c r="G3209" s="1" t="str">
        <f>Ocupacao_DW[[#This Row],[data]]&amp;Ocupacao_DW[[#This Row],[profissional_id]]&amp;Ocupacao_DW[[#This Row],[local_id]]</f>
        <v>446486066</v>
      </c>
      <c r="H3209" s="1">
        <f>_xlfn.XLOOKUP(Ocupacao_DW[[#This Row],[Concat]],Vagas!$H:$H,Vagas!$D:$D,"",0)</f>
        <v>0</v>
      </c>
    </row>
    <row r="3210" spans="1:8" x14ac:dyDescent="0.25">
      <c r="A3210" s="2">
        <v>44636</v>
      </c>
      <c r="B3210" s="1" t="s">
        <v>65</v>
      </c>
      <c r="C3210">
        <v>13058</v>
      </c>
      <c r="D3210" s="1" t="s">
        <v>256</v>
      </c>
      <c r="E3210" s="1" t="s">
        <v>4</v>
      </c>
      <c r="F3210">
        <v>47</v>
      </c>
      <c r="G3210" s="1" t="str">
        <f>Ocupacao_DW[[#This Row],[data]]&amp;Ocupacao_DW[[#This Row],[profissional_id]]&amp;Ocupacao_DW[[#This Row],[local_id]]</f>
        <v>446361305847</v>
      </c>
      <c r="H3210" s="1">
        <f>_xlfn.XLOOKUP(Ocupacao_DW[[#This Row],[Concat]],Vagas!$H:$H,Vagas!$D:$D,"",0)</f>
        <v>0</v>
      </c>
    </row>
    <row r="3211" spans="1:8" x14ac:dyDescent="0.25">
      <c r="A3211" s="2">
        <v>44643</v>
      </c>
      <c r="B3211" s="1" t="s">
        <v>51</v>
      </c>
      <c r="C3211">
        <v>17859</v>
      </c>
      <c r="D3211" s="1" t="s">
        <v>212</v>
      </c>
      <c r="E3211" s="1" t="s">
        <v>6</v>
      </c>
      <c r="F3211">
        <v>7</v>
      </c>
      <c r="G3211" s="1" t="str">
        <f>Ocupacao_DW[[#This Row],[data]]&amp;Ocupacao_DW[[#This Row],[profissional_id]]&amp;Ocupacao_DW[[#This Row],[local_id]]</f>
        <v>44643178597</v>
      </c>
      <c r="H3211" s="1">
        <f>_xlfn.XLOOKUP(Ocupacao_DW[[#This Row],[Concat]],Vagas!$H:$H,Vagas!$D:$D,"",0)</f>
        <v>0</v>
      </c>
    </row>
    <row r="3212" spans="1:8" x14ac:dyDescent="0.25">
      <c r="A3212" s="2">
        <v>44636</v>
      </c>
      <c r="B3212" s="1" t="s">
        <v>49</v>
      </c>
      <c r="C3212">
        <v>81</v>
      </c>
      <c r="D3212" s="1" t="s">
        <v>170</v>
      </c>
      <c r="E3212" s="1" t="s">
        <v>4</v>
      </c>
      <c r="F3212">
        <v>41</v>
      </c>
      <c r="G3212" s="1" t="str">
        <f>Ocupacao_DW[[#This Row],[data]]&amp;Ocupacao_DW[[#This Row],[profissional_id]]&amp;Ocupacao_DW[[#This Row],[local_id]]</f>
        <v>446368141</v>
      </c>
      <c r="H3212" s="1">
        <f>_xlfn.XLOOKUP(Ocupacao_DW[[#This Row],[Concat]],Vagas!$H:$H,Vagas!$D:$D,"",0)</f>
        <v>0</v>
      </c>
    </row>
    <row r="3213" spans="1:8" x14ac:dyDescent="0.25">
      <c r="A3213" s="2">
        <v>44636</v>
      </c>
      <c r="B3213" s="1" t="s">
        <v>62</v>
      </c>
      <c r="C3213">
        <v>2567</v>
      </c>
      <c r="D3213" s="1" t="s">
        <v>198</v>
      </c>
      <c r="E3213" s="1" t="s">
        <v>5</v>
      </c>
      <c r="F3213">
        <v>349</v>
      </c>
      <c r="G3213" s="1" t="str">
        <f>Ocupacao_DW[[#This Row],[data]]&amp;Ocupacao_DW[[#This Row],[profissional_id]]&amp;Ocupacao_DW[[#This Row],[local_id]]</f>
        <v>446362567349</v>
      </c>
      <c r="H3213" s="1">
        <f>_xlfn.XLOOKUP(Ocupacao_DW[[#This Row],[Concat]],Vagas!$H:$H,Vagas!$D:$D,"",0)</f>
        <v>0</v>
      </c>
    </row>
    <row r="3214" spans="1:8" x14ac:dyDescent="0.25">
      <c r="A3214" s="2">
        <v>44639</v>
      </c>
      <c r="B3214" s="1" t="s">
        <v>72</v>
      </c>
      <c r="C3214">
        <v>6046</v>
      </c>
      <c r="D3214" s="1" t="s">
        <v>222</v>
      </c>
      <c r="E3214" s="1" t="s">
        <v>4</v>
      </c>
      <c r="F3214">
        <v>46</v>
      </c>
      <c r="G3214" s="1" t="str">
        <f>Ocupacao_DW[[#This Row],[data]]&amp;Ocupacao_DW[[#This Row],[profissional_id]]&amp;Ocupacao_DW[[#This Row],[local_id]]</f>
        <v>44639604646</v>
      </c>
      <c r="H3214" s="1">
        <f>_xlfn.XLOOKUP(Ocupacao_DW[[#This Row],[Concat]],Vagas!$H:$H,Vagas!$D:$D,"",0)</f>
        <v>0</v>
      </c>
    </row>
    <row r="3215" spans="1:8" x14ac:dyDescent="0.25">
      <c r="A3215" s="2">
        <v>44639</v>
      </c>
      <c r="B3215" s="1" t="s">
        <v>64</v>
      </c>
      <c r="C3215">
        <v>531</v>
      </c>
      <c r="D3215" s="1" t="s">
        <v>213</v>
      </c>
      <c r="E3215" s="1" t="s">
        <v>200</v>
      </c>
      <c r="F3215">
        <v>78</v>
      </c>
      <c r="G3215" s="1" t="str">
        <f>Ocupacao_DW[[#This Row],[data]]&amp;Ocupacao_DW[[#This Row],[profissional_id]]&amp;Ocupacao_DW[[#This Row],[local_id]]</f>
        <v>4463953178</v>
      </c>
      <c r="H3215" s="1">
        <f>_xlfn.XLOOKUP(Ocupacao_DW[[#This Row],[Concat]],Vagas!$H:$H,Vagas!$D:$D,"",0)</f>
        <v>0</v>
      </c>
    </row>
    <row r="3216" spans="1:8" x14ac:dyDescent="0.25">
      <c r="A3216" s="2">
        <v>44635</v>
      </c>
      <c r="B3216" s="1" t="s">
        <v>54</v>
      </c>
      <c r="C3216">
        <v>69</v>
      </c>
      <c r="D3216" s="1" t="s">
        <v>238</v>
      </c>
      <c r="E3216" s="1" t="s">
        <v>5</v>
      </c>
      <c r="F3216">
        <v>13</v>
      </c>
      <c r="G3216" s="1" t="str">
        <f>Ocupacao_DW[[#This Row],[data]]&amp;Ocupacao_DW[[#This Row],[profissional_id]]&amp;Ocupacao_DW[[#This Row],[local_id]]</f>
        <v>446356913</v>
      </c>
      <c r="H3216" s="1">
        <f>_xlfn.XLOOKUP(Ocupacao_DW[[#This Row],[Concat]],Vagas!$H:$H,Vagas!$D:$D,"",0)</f>
        <v>0</v>
      </c>
    </row>
    <row r="3217" spans="1:8" x14ac:dyDescent="0.25">
      <c r="A3217" s="2">
        <v>44639</v>
      </c>
      <c r="B3217" s="1" t="s">
        <v>72</v>
      </c>
      <c r="C3217">
        <v>6046</v>
      </c>
      <c r="D3217" s="1" t="s">
        <v>222</v>
      </c>
      <c r="E3217" s="1" t="s">
        <v>4</v>
      </c>
      <c r="F3217">
        <v>46</v>
      </c>
      <c r="G3217" s="1" t="str">
        <f>Ocupacao_DW[[#This Row],[data]]&amp;Ocupacao_DW[[#This Row],[profissional_id]]&amp;Ocupacao_DW[[#This Row],[local_id]]</f>
        <v>44639604646</v>
      </c>
      <c r="H3217" s="1">
        <f>_xlfn.XLOOKUP(Ocupacao_DW[[#This Row],[Concat]],Vagas!$H:$H,Vagas!$D:$D,"",0)</f>
        <v>0</v>
      </c>
    </row>
    <row r="3218" spans="1:8" x14ac:dyDescent="0.25">
      <c r="A3218" s="2">
        <v>44635</v>
      </c>
      <c r="B3218" s="1" t="s">
        <v>54</v>
      </c>
      <c r="C3218">
        <v>12623</v>
      </c>
      <c r="D3218" s="1" t="s">
        <v>258</v>
      </c>
      <c r="E3218" s="1" t="s">
        <v>5</v>
      </c>
      <c r="F3218">
        <v>11</v>
      </c>
      <c r="G3218" s="1" t="str">
        <f>Ocupacao_DW[[#This Row],[data]]&amp;Ocupacao_DW[[#This Row],[profissional_id]]&amp;Ocupacao_DW[[#This Row],[local_id]]</f>
        <v>446351262311</v>
      </c>
      <c r="H3218" s="1">
        <f>_xlfn.XLOOKUP(Ocupacao_DW[[#This Row],[Concat]],Vagas!$H:$H,Vagas!$D:$D,"",0)</f>
        <v>0</v>
      </c>
    </row>
    <row r="3219" spans="1:8" x14ac:dyDescent="0.25">
      <c r="A3219" s="2">
        <v>44653</v>
      </c>
      <c r="B3219" s="1" t="s">
        <v>62</v>
      </c>
      <c r="C3219">
        <v>4887</v>
      </c>
      <c r="D3219" s="1" t="s">
        <v>168</v>
      </c>
      <c r="E3219" s="1" t="s">
        <v>5</v>
      </c>
      <c r="F3219">
        <v>18</v>
      </c>
      <c r="G3219" s="1" t="str">
        <f>Ocupacao_DW[[#This Row],[data]]&amp;Ocupacao_DW[[#This Row],[profissional_id]]&amp;Ocupacao_DW[[#This Row],[local_id]]</f>
        <v>44653488718</v>
      </c>
      <c r="H3219" s="1">
        <f>_xlfn.XLOOKUP(Ocupacao_DW[[#This Row],[Concat]],Vagas!$H:$H,Vagas!$D:$D,"",0)</f>
        <v>0</v>
      </c>
    </row>
    <row r="3220" spans="1:8" x14ac:dyDescent="0.25">
      <c r="A3220" s="2">
        <v>44635</v>
      </c>
      <c r="B3220" s="1" t="s">
        <v>68</v>
      </c>
      <c r="C3220">
        <v>8239</v>
      </c>
      <c r="D3220" s="1" t="s">
        <v>257</v>
      </c>
      <c r="E3220" s="1" t="s">
        <v>5</v>
      </c>
      <c r="F3220">
        <v>14</v>
      </c>
      <c r="G3220" s="1" t="str">
        <f>Ocupacao_DW[[#This Row],[data]]&amp;Ocupacao_DW[[#This Row],[profissional_id]]&amp;Ocupacao_DW[[#This Row],[local_id]]</f>
        <v>44635823914</v>
      </c>
      <c r="H3220" s="1">
        <f>_xlfn.XLOOKUP(Ocupacao_DW[[#This Row],[Concat]],Vagas!$H:$H,Vagas!$D:$D,"",0)</f>
        <v>0</v>
      </c>
    </row>
    <row r="3221" spans="1:8" x14ac:dyDescent="0.25">
      <c r="A3221" s="2">
        <v>44636</v>
      </c>
      <c r="B3221" s="1" t="s">
        <v>70</v>
      </c>
      <c r="C3221">
        <v>12825</v>
      </c>
      <c r="D3221" s="1" t="s">
        <v>177</v>
      </c>
      <c r="E3221" s="1" t="s">
        <v>4</v>
      </c>
      <c r="F3221">
        <v>45</v>
      </c>
      <c r="G3221" s="1" t="str">
        <f>Ocupacao_DW[[#This Row],[data]]&amp;Ocupacao_DW[[#This Row],[profissional_id]]&amp;Ocupacao_DW[[#This Row],[local_id]]</f>
        <v>446361282545</v>
      </c>
      <c r="H3221" s="1">
        <f>_xlfn.XLOOKUP(Ocupacao_DW[[#This Row],[Concat]],Vagas!$H:$H,Vagas!$D:$D,"",0)</f>
        <v>0</v>
      </c>
    </row>
    <row r="3222" spans="1:8" x14ac:dyDescent="0.25">
      <c r="A3222" s="2">
        <v>44636</v>
      </c>
      <c r="B3222" s="1" t="s">
        <v>70</v>
      </c>
      <c r="C3222">
        <v>12825</v>
      </c>
      <c r="D3222" s="1" t="s">
        <v>177</v>
      </c>
      <c r="E3222" s="1" t="s">
        <v>4</v>
      </c>
      <c r="F3222">
        <v>45</v>
      </c>
      <c r="G3222" s="1" t="str">
        <f>Ocupacao_DW[[#This Row],[data]]&amp;Ocupacao_DW[[#This Row],[profissional_id]]&amp;Ocupacao_DW[[#This Row],[local_id]]</f>
        <v>446361282545</v>
      </c>
      <c r="H3222" s="1">
        <f>_xlfn.XLOOKUP(Ocupacao_DW[[#This Row],[Concat]],Vagas!$H:$H,Vagas!$D:$D,"",0)</f>
        <v>0</v>
      </c>
    </row>
    <row r="3223" spans="1:8" x14ac:dyDescent="0.25">
      <c r="A3223" s="2">
        <v>44635</v>
      </c>
      <c r="B3223" s="1" t="s">
        <v>70</v>
      </c>
      <c r="C3223">
        <v>12825</v>
      </c>
      <c r="D3223" s="1" t="s">
        <v>177</v>
      </c>
      <c r="E3223" s="1" t="s">
        <v>7</v>
      </c>
      <c r="F3223">
        <v>63</v>
      </c>
      <c r="G3223" s="1" t="str">
        <f>Ocupacao_DW[[#This Row],[data]]&amp;Ocupacao_DW[[#This Row],[profissional_id]]&amp;Ocupacao_DW[[#This Row],[local_id]]</f>
        <v>446351282563</v>
      </c>
      <c r="H3223" s="1">
        <f>_xlfn.XLOOKUP(Ocupacao_DW[[#This Row],[Concat]],Vagas!$H:$H,Vagas!$D:$D,"",0)</f>
        <v>0</v>
      </c>
    </row>
    <row r="3224" spans="1:8" x14ac:dyDescent="0.25">
      <c r="A3224" s="2">
        <v>44635</v>
      </c>
      <c r="B3224" s="1" t="s">
        <v>47</v>
      </c>
      <c r="C3224">
        <v>111</v>
      </c>
      <c r="D3224" s="1" t="s">
        <v>199</v>
      </c>
      <c r="E3224" s="1" t="s">
        <v>4</v>
      </c>
      <c r="F3224">
        <v>51</v>
      </c>
      <c r="G3224" s="1" t="str">
        <f>Ocupacao_DW[[#This Row],[data]]&amp;Ocupacao_DW[[#This Row],[profissional_id]]&amp;Ocupacao_DW[[#This Row],[local_id]]</f>
        <v>4463511151</v>
      </c>
      <c r="H3224" s="1">
        <f>_xlfn.XLOOKUP(Ocupacao_DW[[#This Row],[Concat]],Vagas!$H:$H,Vagas!$D:$D,"",0)</f>
        <v>0</v>
      </c>
    </row>
    <row r="3225" spans="1:8" x14ac:dyDescent="0.25">
      <c r="A3225" s="2">
        <v>44636</v>
      </c>
      <c r="B3225" s="1" t="s">
        <v>47</v>
      </c>
      <c r="C3225">
        <v>110</v>
      </c>
      <c r="D3225" s="1" t="s">
        <v>193</v>
      </c>
      <c r="E3225" s="1" t="s">
        <v>4</v>
      </c>
      <c r="F3225">
        <v>334</v>
      </c>
      <c r="G3225" s="1" t="str">
        <f>Ocupacao_DW[[#This Row],[data]]&amp;Ocupacao_DW[[#This Row],[profissional_id]]&amp;Ocupacao_DW[[#This Row],[local_id]]</f>
        <v>44636110334</v>
      </c>
      <c r="H3225" s="1">
        <f>_xlfn.XLOOKUP(Ocupacao_DW[[#This Row],[Concat]],Vagas!$H:$H,Vagas!$D:$D,"",0)</f>
        <v>0</v>
      </c>
    </row>
    <row r="3226" spans="1:8" x14ac:dyDescent="0.25">
      <c r="A3226" s="2">
        <v>44639</v>
      </c>
      <c r="B3226" s="1" t="s">
        <v>75</v>
      </c>
      <c r="C3226">
        <v>12810</v>
      </c>
      <c r="D3226" s="1" t="s">
        <v>259</v>
      </c>
      <c r="E3226" s="1" t="s">
        <v>167</v>
      </c>
      <c r="F3226">
        <v>339</v>
      </c>
      <c r="G3226" s="1" t="str">
        <f>Ocupacao_DW[[#This Row],[data]]&amp;Ocupacao_DW[[#This Row],[profissional_id]]&amp;Ocupacao_DW[[#This Row],[local_id]]</f>
        <v>4463912810339</v>
      </c>
      <c r="H3226" s="1">
        <f>_xlfn.XLOOKUP(Ocupacao_DW[[#This Row],[Concat]],Vagas!$H:$H,Vagas!$D:$D,"",0)</f>
        <v>0</v>
      </c>
    </row>
    <row r="3227" spans="1:8" x14ac:dyDescent="0.25">
      <c r="A3227" s="2">
        <v>44636</v>
      </c>
      <c r="B3227" s="1" t="s">
        <v>52</v>
      </c>
      <c r="C3227">
        <v>60</v>
      </c>
      <c r="D3227" s="1" t="s">
        <v>217</v>
      </c>
      <c r="E3227" s="1" t="s">
        <v>6</v>
      </c>
      <c r="F3227">
        <v>8</v>
      </c>
      <c r="G3227" s="1" t="str">
        <f>Ocupacao_DW[[#This Row],[data]]&amp;Ocupacao_DW[[#This Row],[profissional_id]]&amp;Ocupacao_DW[[#This Row],[local_id]]</f>
        <v>44636608</v>
      </c>
      <c r="H3227" s="1">
        <f>_xlfn.XLOOKUP(Ocupacao_DW[[#This Row],[Concat]],Vagas!$H:$H,Vagas!$D:$D,"",0)</f>
        <v>0</v>
      </c>
    </row>
    <row r="3228" spans="1:8" x14ac:dyDescent="0.25">
      <c r="A3228" s="2">
        <v>44635</v>
      </c>
      <c r="B3228" s="1" t="s">
        <v>62</v>
      </c>
      <c r="C3228">
        <v>3502</v>
      </c>
      <c r="D3228" s="1" t="s">
        <v>214</v>
      </c>
      <c r="E3228" s="1" t="s">
        <v>5</v>
      </c>
      <c r="F3228">
        <v>16</v>
      </c>
      <c r="G3228" s="1" t="str">
        <f>Ocupacao_DW[[#This Row],[data]]&amp;Ocupacao_DW[[#This Row],[profissional_id]]&amp;Ocupacao_DW[[#This Row],[local_id]]</f>
        <v>44635350216</v>
      </c>
      <c r="H3228" s="1">
        <f>_xlfn.XLOOKUP(Ocupacao_DW[[#This Row],[Concat]],Vagas!$H:$H,Vagas!$D:$D,"",0)</f>
        <v>0</v>
      </c>
    </row>
    <row r="3229" spans="1:8" x14ac:dyDescent="0.25">
      <c r="A3229" s="2">
        <v>44643</v>
      </c>
      <c r="B3229" s="1" t="s">
        <v>43</v>
      </c>
      <c r="C3229">
        <v>57</v>
      </c>
      <c r="D3229" s="1" t="s">
        <v>169</v>
      </c>
      <c r="E3229" s="1" t="s">
        <v>6</v>
      </c>
      <c r="F3229">
        <v>4</v>
      </c>
      <c r="G3229" s="1" t="str">
        <f>Ocupacao_DW[[#This Row],[data]]&amp;Ocupacao_DW[[#This Row],[profissional_id]]&amp;Ocupacao_DW[[#This Row],[local_id]]</f>
        <v>44643574</v>
      </c>
      <c r="H3229" s="1">
        <f>_xlfn.XLOOKUP(Ocupacao_DW[[#This Row],[Concat]],Vagas!$H:$H,Vagas!$D:$D,"",0)</f>
        <v>0</v>
      </c>
    </row>
    <row r="3230" spans="1:8" x14ac:dyDescent="0.25">
      <c r="A3230" s="2">
        <v>44635</v>
      </c>
      <c r="B3230" s="1" t="s">
        <v>54</v>
      </c>
      <c r="C3230">
        <v>10941</v>
      </c>
      <c r="D3230" s="1" t="s">
        <v>224</v>
      </c>
      <c r="E3230" s="1" t="s">
        <v>5</v>
      </c>
      <c r="F3230">
        <v>11</v>
      </c>
      <c r="G3230" s="1" t="str">
        <f>Ocupacao_DW[[#This Row],[data]]&amp;Ocupacao_DW[[#This Row],[profissional_id]]&amp;Ocupacao_DW[[#This Row],[local_id]]</f>
        <v>446351094111</v>
      </c>
      <c r="H3230" s="1">
        <f>_xlfn.XLOOKUP(Ocupacao_DW[[#This Row],[Concat]],Vagas!$H:$H,Vagas!$D:$D,"",0)</f>
        <v>16</v>
      </c>
    </row>
    <row r="3231" spans="1:8" x14ac:dyDescent="0.25">
      <c r="A3231" s="2">
        <v>44635</v>
      </c>
      <c r="B3231" s="1" t="s">
        <v>54</v>
      </c>
      <c r="C3231">
        <v>69</v>
      </c>
      <c r="D3231" s="1" t="s">
        <v>238</v>
      </c>
      <c r="E3231" s="1" t="s">
        <v>5</v>
      </c>
      <c r="F3231">
        <v>13</v>
      </c>
      <c r="G3231" s="1" t="str">
        <f>Ocupacao_DW[[#This Row],[data]]&amp;Ocupacao_DW[[#This Row],[profissional_id]]&amp;Ocupacao_DW[[#This Row],[local_id]]</f>
        <v>446356913</v>
      </c>
      <c r="H3231" s="1">
        <f>_xlfn.XLOOKUP(Ocupacao_DW[[#This Row],[Concat]],Vagas!$H:$H,Vagas!$D:$D,"",0)</f>
        <v>0</v>
      </c>
    </row>
    <row r="3232" spans="1:8" x14ac:dyDescent="0.25">
      <c r="A3232" s="2">
        <v>44641</v>
      </c>
      <c r="B3232" s="1" t="s">
        <v>54</v>
      </c>
      <c r="C3232">
        <v>10941</v>
      </c>
      <c r="D3232" s="1" t="s">
        <v>224</v>
      </c>
      <c r="E3232" s="1" t="s">
        <v>7</v>
      </c>
      <c r="F3232">
        <v>67</v>
      </c>
      <c r="G3232" s="1" t="str">
        <f>Ocupacao_DW[[#This Row],[data]]&amp;Ocupacao_DW[[#This Row],[profissional_id]]&amp;Ocupacao_DW[[#This Row],[local_id]]</f>
        <v>446411094167</v>
      </c>
      <c r="H3232" s="1">
        <f>_xlfn.XLOOKUP(Ocupacao_DW[[#This Row],[Concat]],Vagas!$H:$H,Vagas!$D:$D,"",0)</f>
        <v>0</v>
      </c>
    </row>
    <row r="3233" spans="1:8" x14ac:dyDescent="0.25">
      <c r="A3233" s="2">
        <v>44636</v>
      </c>
      <c r="B3233" s="1" t="s">
        <v>60</v>
      </c>
      <c r="C3233">
        <v>14326</v>
      </c>
      <c r="D3233" s="1" t="s">
        <v>220</v>
      </c>
      <c r="E3233" s="1" t="s">
        <v>4</v>
      </c>
      <c r="F3233">
        <v>43</v>
      </c>
      <c r="G3233" s="1" t="str">
        <f>Ocupacao_DW[[#This Row],[data]]&amp;Ocupacao_DW[[#This Row],[profissional_id]]&amp;Ocupacao_DW[[#This Row],[local_id]]</f>
        <v>446361432643</v>
      </c>
      <c r="H3233" s="1">
        <f>_xlfn.XLOOKUP(Ocupacao_DW[[#This Row],[Concat]],Vagas!$H:$H,Vagas!$D:$D,"",0)</f>
        <v>0</v>
      </c>
    </row>
    <row r="3234" spans="1:8" x14ac:dyDescent="0.25">
      <c r="A3234" s="2">
        <v>44643</v>
      </c>
      <c r="B3234" s="1" t="s">
        <v>49</v>
      </c>
      <c r="C3234">
        <v>10600</v>
      </c>
      <c r="D3234" s="1" t="s">
        <v>248</v>
      </c>
      <c r="E3234" s="1" t="s">
        <v>7</v>
      </c>
      <c r="F3234">
        <v>71</v>
      </c>
      <c r="G3234" s="1" t="str">
        <f>Ocupacao_DW[[#This Row],[data]]&amp;Ocupacao_DW[[#This Row],[profissional_id]]&amp;Ocupacao_DW[[#This Row],[local_id]]</f>
        <v>446431060071</v>
      </c>
      <c r="H3234" s="1">
        <f>_xlfn.XLOOKUP(Ocupacao_DW[[#This Row],[Concat]],Vagas!$H:$H,Vagas!$D:$D,"",0)</f>
        <v>0</v>
      </c>
    </row>
    <row r="3235" spans="1:8" x14ac:dyDescent="0.25">
      <c r="A3235" s="2">
        <v>44638</v>
      </c>
      <c r="B3235" s="1" t="s">
        <v>24</v>
      </c>
      <c r="C3235">
        <v>60</v>
      </c>
      <c r="D3235" s="1" t="s">
        <v>217</v>
      </c>
      <c r="E3235" s="1" t="s">
        <v>6</v>
      </c>
      <c r="F3235">
        <v>1</v>
      </c>
      <c r="G3235" s="1" t="str">
        <f>Ocupacao_DW[[#This Row],[data]]&amp;Ocupacao_DW[[#This Row],[profissional_id]]&amp;Ocupacao_DW[[#This Row],[local_id]]</f>
        <v>44638601</v>
      </c>
      <c r="H3235" s="1">
        <f>_xlfn.XLOOKUP(Ocupacao_DW[[#This Row],[Concat]],Vagas!$H:$H,Vagas!$D:$D,"",0)</f>
        <v>0</v>
      </c>
    </row>
    <row r="3236" spans="1:8" x14ac:dyDescent="0.25">
      <c r="A3236" s="2">
        <v>44649</v>
      </c>
      <c r="B3236" s="1" t="s">
        <v>47</v>
      </c>
      <c r="C3236">
        <v>9111</v>
      </c>
      <c r="D3236" s="1" t="s">
        <v>206</v>
      </c>
      <c r="E3236" s="1" t="s">
        <v>4</v>
      </c>
      <c r="F3236">
        <v>335</v>
      </c>
      <c r="G3236" s="1" t="str">
        <f>Ocupacao_DW[[#This Row],[data]]&amp;Ocupacao_DW[[#This Row],[profissional_id]]&amp;Ocupacao_DW[[#This Row],[local_id]]</f>
        <v>446499111335</v>
      </c>
      <c r="H3236" s="1">
        <f>_xlfn.XLOOKUP(Ocupacao_DW[[#This Row],[Concat]],Vagas!$H:$H,Vagas!$D:$D,"",0)</f>
        <v>0</v>
      </c>
    </row>
    <row r="3237" spans="1:8" x14ac:dyDescent="0.25">
      <c r="A3237" s="2">
        <v>44643</v>
      </c>
      <c r="B3237" s="1" t="s">
        <v>51</v>
      </c>
      <c r="C3237">
        <v>12679</v>
      </c>
      <c r="D3237" s="1" t="s">
        <v>192</v>
      </c>
      <c r="E3237" s="1" t="s">
        <v>200</v>
      </c>
      <c r="F3237">
        <v>82</v>
      </c>
      <c r="G3237" s="1" t="str">
        <f>Ocupacao_DW[[#This Row],[data]]&amp;Ocupacao_DW[[#This Row],[profissional_id]]&amp;Ocupacao_DW[[#This Row],[local_id]]</f>
        <v>446431267982</v>
      </c>
      <c r="H3237" s="1">
        <f>_xlfn.XLOOKUP(Ocupacao_DW[[#This Row],[Concat]],Vagas!$H:$H,Vagas!$D:$D,"",0)</f>
        <v>0</v>
      </c>
    </row>
    <row r="3238" spans="1:8" x14ac:dyDescent="0.25">
      <c r="A3238" s="2">
        <v>44641</v>
      </c>
      <c r="B3238" s="1" t="s">
        <v>54</v>
      </c>
      <c r="C3238">
        <v>10941</v>
      </c>
      <c r="D3238" s="1" t="s">
        <v>224</v>
      </c>
      <c r="E3238" s="1" t="s">
        <v>7</v>
      </c>
      <c r="F3238">
        <v>67</v>
      </c>
      <c r="G3238" s="1" t="str">
        <f>Ocupacao_DW[[#This Row],[data]]&amp;Ocupacao_DW[[#This Row],[profissional_id]]&amp;Ocupacao_DW[[#This Row],[local_id]]</f>
        <v>446411094167</v>
      </c>
      <c r="H3238" s="1">
        <f>_xlfn.XLOOKUP(Ocupacao_DW[[#This Row],[Concat]],Vagas!$H:$H,Vagas!$D:$D,"",0)</f>
        <v>0</v>
      </c>
    </row>
    <row r="3239" spans="1:8" x14ac:dyDescent="0.25">
      <c r="A3239" s="2">
        <v>44643</v>
      </c>
      <c r="B3239" s="1" t="s">
        <v>54</v>
      </c>
      <c r="C3239">
        <v>1490</v>
      </c>
      <c r="D3239" s="1" t="s">
        <v>174</v>
      </c>
      <c r="E3239" s="1" t="s">
        <v>5</v>
      </c>
      <c r="F3239">
        <v>13</v>
      </c>
      <c r="G3239" s="1" t="str">
        <f>Ocupacao_DW[[#This Row],[data]]&amp;Ocupacao_DW[[#This Row],[profissional_id]]&amp;Ocupacao_DW[[#This Row],[local_id]]</f>
        <v>44643149013</v>
      </c>
      <c r="H3239" s="1">
        <f>_xlfn.XLOOKUP(Ocupacao_DW[[#This Row],[Concat]],Vagas!$H:$H,Vagas!$D:$D,"",0)</f>
        <v>0</v>
      </c>
    </row>
    <row r="3240" spans="1:8" x14ac:dyDescent="0.25">
      <c r="A3240" s="2">
        <v>44643</v>
      </c>
      <c r="B3240" s="1" t="s">
        <v>71</v>
      </c>
      <c r="C3240">
        <v>282</v>
      </c>
      <c r="D3240" s="1" t="s">
        <v>210</v>
      </c>
      <c r="E3240" s="1" t="s">
        <v>4</v>
      </c>
      <c r="F3240">
        <v>46</v>
      </c>
      <c r="G3240" s="1" t="str">
        <f>Ocupacao_DW[[#This Row],[data]]&amp;Ocupacao_DW[[#This Row],[profissional_id]]&amp;Ocupacao_DW[[#This Row],[local_id]]</f>
        <v>4464328246</v>
      </c>
      <c r="H3240" s="1">
        <f>_xlfn.XLOOKUP(Ocupacao_DW[[#This Row],[Concat]],Vagas!$H:$H,Vagas!$D:$D,"",0)</f>
        <v>0</v>
      </c>
    </row>
    <row r="3241" spans="1:8" x14ac:dyDescent="0.25">
      <c r="A3241" s="2">
        <v>44635</v>
      </c>
      <c r="B3241" s="1" t="s">
        <v>49</v>
      </c>
      <c r="C3241">
        <v>81</v>
      </c>
      <c r="D3241" s="1" t="s">
        <v>170</v>
      </c>
      <c r="E3241" s="1" t="s">
        <v>7</v>
      </c>
      <c r="F3241">
        <v>71</v>
      </c>
      <c r="G3241" s="1" t="str">
        <f>Ocupacao_DW[[#This Row],[data]]&amp;Ocupacao_DW[[#This Row],[profissional_id]]&amp;Ocupacao_DW[[#This Row],[local_id]]</f>
        <v>446358171</v>
      </c>
      <c r="H3241" s="1">
        <f>_xlfn.XLOOKUP(Ocupacao_DW[[#This Row],[Concat]],Vagas!$H:$H,Vagas!$D:$D,"",0)</f>
        <v>0</v>
      </c>
    </row>
    <row r="3242" spans="1:8" x14ac:dyDescent="0.25">
      <c r="A3242" s="2">
        <v>44646</v>
      </c>
      <c r="B3242" s="1" t="s">
        <v>47</v>
      </c>
      <c r="C3242">
        <v>111</v>
      </c>
      <c r="D3242" s="1" t="s">
        <v>199</v>
      </c>
      <c r="E3242" s="1" t="s">
        <v>4</v>
      </c>
      <c r="F3242">
        <v>51</v>
      </c>
      <c r="G3242" s="1" t="str">
        <f>Ocupacao_DW[[#This Row],[data]]&amp;Ocupacao_DW[[#This Row],[profissional_id]]&amp;Ocupacao_DW[[#This Row],[local_id]]</f>
        <v>4464611151</v>
      </c>
      <c r="H3242" s="1">
        <f>_xlfn.XLOOKUP(Ocupacao_DW[[#This Row],[Concat]],Vagas!$H:$H,Vagas!$D:$D,"",0)</f>
        <v>31</v>
      </c>
    </row>
    <row r="3243" spans="1:8" x14ac:dyDescent="0.25">
      <c r="A3243" s="2">
        <v>44638</v>
      </c>
      <c r="B3243" s="1" t="s">
        <v>52</v>
      </c>
      <c r="C3243">
        <v>57</v>
      </c>
      <c r="D3243" s="1" t="s">
        <v>169</v>
      </c>
      <c r="E3243" s="1" t="s">
        <v>6</v>
      </c>
      <c r="F3243">
        <v>8</v>
      </c>
      <c r="G3243" s="1" t="str">
        <f>Ocupacao_DW[[#This Row],[data]]&amp;Ocupacao_DW[[#This Row],[profissional_id]]&amp;Ocupacao_DW[[#This Row],[local_id]]</f>
        <v>44638578</v>
      </c>
      <c r="H3243" s="1">
        <f>_xlfn.XLOOKUP(Ocupacao_DW[[#This Row],[Concat]],Vagas!$H:$H,Vagas!$D:$D,"",0)</f>
        <v>0</v>
      </c>
    </row>
    <row r="3244" spans="1:8" x14ac:dyDescent="0.25">
      <c r="A3244" s="2">
        <v>44635</v>
      </c>
      <c r="B3244" s="1" t="s">
        <v>65</v>
      </c>
      <c r="C3244">
        <v>11652</v>
      </c>
      <c r="D3244" s="1" t="s">
        <v>242</v>
      </c>
      <c r="E3244" s="1" t="s">
        <v>4</v>
      </c>
      <c r="F3244">
        <v>47</v>
      </c>
      <c r="G3244" s="1" t="str">
        <f>Ocupacao_DW[[#This Row],[data]]&amp;Ocupacao_DW[[#This Row],[profissional_id]]&amp;Ocupacao_DW[[#This Row],[local_id]]</f>
        <v>446351165247</v>
      </c>
      <c r="H3244" s="1">
        <f>_xlfn.XLOOKUP(Ocupacao_DW[[#This Row],[Concat]],Vagas!$H:$H,Vagas!$D:$D,"",0)</f>
        <v>0</v>
      </c>
    </row>
    <row r="3245" spans="1:8" x14ac:dyDescent="0.25">
      <c r="A3245" s="2">
        <v>44635</v>
      </c>
      <c r="B3245" s="1" t="s">
        <v>62</v>
      </c>
      <c r="C3245">
        <v>3502</v>
      </c>
      <c r="D3245" s="1" t="s">
        <v>214</v>
      </c>
      <c r="E3245" s="1" t="s">
        <v>5</v>
      </c>
      <c r="F3245">
        <v>16</v>
      </c>
      <c r="G3245" s="1" t="str">
        <f>Ocupacao_DW[[#This Row],[data]]&amp;Ocupacao_DW[[#This Row],[profissional_id]]&amp;Ocupacao_DW[[#This Row],[local_id]]</f>
        <v>44635350216</v>
      </c>
      <c r="H3245" s="1">
        <f>_xlfn.XLOOKUP(Ocupacao_DW[[#This Row],[Concat]],Vagas!$H:$H,Vagas!$D:$D,"",0)</f>
        <v>0</v>
      </c>
    </row>
    <row r="3246" spans="1:8" x14ac:dyDescent="0.25">
      <c r="A3246" s="2">
        <v>44641</v>
      </c>
      <c r="B3246" s="1" t="s">
        <v>60</v>
      </c>
      <c r="C3246">
        <v>117</v>
      </c>
      <c r="D3246" s="1" t="s">
        <v>180</v>
      </c>
      <c r="E3246" s="1" t="s">
        <v>4</v>
      </c>
      <c r="F3246">
        <v>48</v>
      </c>
      <c r="G3246" s="1" t="str">
        <f>Ocupacao_DW[[#This Row],[data]]&amp;Ocupacao_DW[[#This Row],[profissional_id]]&amp;Ocupacao_DW[[#This Row],[local_id]]</f>
        <v>4464111748</v>
      </c>
      <c r="H3246" s="1">
        <f>_xlfn.XLOOKUP(Ocupacao_DW[[#This Row],[Concat]],Vagas!$H:$H,Vagas!$D:$D,"",0)</f>
        <v>0</v>
      </c>
    </row>
    <row r="3247" spans="1:8" x14ac:dyDescent="0.25">
      <c r="A3247" s="2">
        <v>44638</v>
      </c>
      <c r="B3247" s="1" t="s">
        <v>49</v>
      </c>
      <c r="C3247">
        <v>81</v>
      </c>
      <c r="D3247" s="1" t="s">
        <v>170</v>
      </c>
      <c r="E3247" s="1" t="s">
        <v>4</v>
      </c>
      <c r="F3247">
        <v>41</v>
      </c>
      <c r="G3247" s="1" t="str">
        <f>Ocupacao_DW[[#This Row],[data]]&amp;Ocupacao_DW[[#This Row],[profissional_id]]&amp;Ocupacao_DW[[#This Row],[local_id]]</f>
        <v>446388141</v>
      </c>
      <c r="H3247" s="1">
        <f>_xlfn.XLOOKUP(Ocupacao_DW[[#This Row],[Concat]],Vagas!$H:$H,Vagas!$D:$D,"",0)</f>
        <v>0</v>
      </c>
    </row>
    <row r="3248" spans="1:8" x14ac:dyDescent="0.25">
      <c r="A3248" s="2">
        <v>44636</v>
      </c>
      <c r="B3248" s="1" t="s">
        <v>51</v>
      </c>
      <c r="C3248">
        <v>17859</v>
      </c>
      <c r="D3248" s="1" t="s">
        <v>212</v>
      </c>
      <c r="E3248" s="1" t="s">
        <v>6</v>
      </c>
      <c r="F3248">
        <v>7</v>
      </c>
      <c r="G3248" s="1" t="str">
        <f>Ocupacao_DW[[#This Row],[data]]&amp;Ocupacao_DW[[#This Row],[profissional_id]]&amp;Ocupacao_DW[[#This Row],[local_id]]</f>
        <v>44636178597</v>
      </c>
      <c r="H3248" s="1">
        <f>_xlfn.XLOOKUP(Ocupacao_DW[[#This Row],[Concat]],Vagas!$H:$H,Vagas!$D:$D,"",0)</f>
        <v>0</v>
      </c>
    </row>
    <row r="3249" spans="1:8" x14ac:dyDescent="0.25">
      <c r="A3249" s="2">
        <v>44636</v>
      </c>
      <c r="B3249" s="1" t="s">
        <v>51</v>
      </c>
      <c r="C3249">
        <v>12679</v>
      </c>
      <c r="D3249" s="1" t="s">
        <v>192</v>
      </c>
      <c r="E3249" s="1" t="s">
        <v>5</v>
      </c>
      <c r="F3249">
        <v>11</v>
      </c>
      <c r="G3249" s="1" t="str">
        <f>Ocupacao_DW[[#This Row],[data]]&amp;Ocupacao_DW[[#This Row],[profissional_id]]&amp;Ocupacao_DW[[#This Row],[local_id]]</f>
        <v>446361267911</v>
      </c>
      <c r="H3249" s="1">
        <f>_xlfn.XLOOKUP(Ocupacao_DW[[#This Row],[Concat]],Vagas!$H:$H,Vagas!$D:$D,"",0)</f>
        <v>0</v>
      </c>
    </row>
    <row r="3250" spans="1:8" x14ac:dyDescent="0.25">
      <c r="A3250" s="2">
        <v>44635</v>
      </c>
      <c r="B3250" s="1" t="s">
        <v>54</v>
      </c>
      <c r="C3250">
        <v>69</v>
      </c>
      <c r="D3250" s="1" t="s">
        <v>238</v>
      </c>
      <c r="E3250" s="1" t="s">
        <v>5</v>
      </c>
      <c r="F3250">
        <v>13</v>
      </c>
      <c r="G3250" s="1" t="str">
        <f>Ocupacao_DW[[#This Row],[data]]&amp;Ocupacao_DW[[#This Row],[profissional_id]]&amp;Ocupacao_DW[[#This Row],[local_id]]</f>
        <v>446356913</v>
      </c>
      <c r="H3250" s="1">
        <f>_xlfn.XLOOKUP(Ocupacao_DW[[#This Row],[Concat]],Vagas!$H:$H,Vagas!$D:$D,"",0)</f>
        <v>0</v>
      </c>
    </row>
    <row r="3251" spans="1:8" x14ac:dyDescent="0.25">
      <c r="A3251" s="2">
        <v>44635</v>
      </c>
      <c r="B3251" s="1" t="s">
        <v>49</v>
      </c>
      <c r="C3251">
        <v>81</v>
      </c>
      <c r="D3251" s="1" t="s">
        <v>170</v>
      </c>
      <c r="E3251" s="1" t="s">
        <v>4</v>
      </c>
      <c r="F3251">
        <v>41</v>
      </c>
      <c r="G3251" s="1" t="str">
        <f>Ocupacao_DW[[#This Row],[data]]&amp;Ocupacao_DW[[#This Row],[profissional_id]]&amp;Ocupacao_DW[[#This Row],[local_id]]</f>
        <v>446358141</v>
      </c>
      <c r="H3251" s="1">
        <f>_xlfn.XLOOKUP(Ocupacao_DW[[#This Row],[Concat]],Vagas!$H:$H,Vagas!$D:$D,"",0)</f>
        <v>0</v>
      </c>
    </row>
    <row r="3252" spans="1:8" x14ac:dyDescent="0.25">
      <c r="A3252" s="2">
        <v>44641</v>
      </c>
      <c r="B3252" s="1" t="s">
        <v>55</v>
      </c>
      <c r="C3252">
        <v>12669</v>
      </c>
      <c r="D3252" s="1" t="s">
        <v>223</v>
      </c>
      <c r="E3252" s="1" t="s">
        <v>6</v>
      </c>
      <c r="F3252">
        <v>6</v>
      </c>
      <c r="G3252" s="1" t="str">
        <f>Ocupacao_DW[[#This Row],[data]]&amp;Ocupacao_DW[[#This Row],[profissional_id]]&amp;Ocupacao_DW[[#This Row],[local_id]]</f>
        <v>44641126696</v>
      </c>
      <c r="H3252" s="1">
        <f>_xlfn.XLOOKUP(Ocupacao_DW[[#This Row],[Concat]],Vagas!$H:$H,Vagas!$D:$D,"",0)</f>
        <v>0</v>
      </c>
    </row>
    <row r="3253" spans="1:8" x14ac:dyDescent="0.25">
      <c r="A3253" s="2">
        <v>44643</v>
      </c>
      <c r="B3253" s="1" t="s">
        <v>70</v>
      </c>
      <c r="C3253">
        <v>12825</v>
      </c>
      <c r="D3253" s="1" t="s">
        <v>177</v>
      </c>
      <c r="E3253" s="1" t="s">
        <v>4</v>
      </c>
      <c r="F3253">
        <v>45</v>
      </c>
      <c r="G3253" s="1" t="str">
        <f>Ocupacao_DW[[#This Row],[data]]&amp;Ocupacao_DW[[#This Row],[profissional_id]]&amp;Ocupacao_DW[[#This Row],[local_id]]</f>
        <v>446431282545</v>
      </c>
      <c r="H3253" s="1">
        <f>_xlfn.XLOOKUP(Ocupacao_DW[[#This Row],[Concat]],Vagas!$H:$H,Vagas!$D:$D,"",0)</f>
        <v>0</v>
      </c>
    </row>
    <row r="3254" spans="1:8" x14ac:dyDescent="0.25">
      <c r="A3254" s="2">
        <v>44641</v>
      </c>
      <c r="B3254" s="1" t="s">
        <v>52</v>
      </c>
      <c r="C3254">
        <v>10946</v>
      </c>
      <c r="D3254" s="1" t="s">
        <v>209</v>
      </c>
      <c r="E3254" s="1" t="s">
        <v>6</v>
      </c>
      <c r="F3254">
        <v>3</v>
      </c>
      <c r="G3254" s="1" t="str">
        <f>Ocupacao_DW[[#This Row],[data]]&amp;Ocupacao_DW[[#This Row],[profissional_id]]&amp;Ocupacao_DW[[#This Row],[local_id]]</f>
        <v>44641109463</v>
      </c>
      <c r="H3254" s="1">
        <f>_xlfn.XLOOKUP(Ocupacao_DW[[#This Row],[Concat]],Vagas!$H:$H,Vagas!$D:$D,"",0)</f>
        <v>0</v>
      </c>
    </row>
    <row r="3255" spans="1:8" x14ac:dyDescent="0.25">
      <c r="A3255" s="2">
        <v>44635</v>
      </c>
      <c r="B3255" s="1" t="s">
        <v>49</v>
      </c>
      <c r="C3255">
        <v>266</v>
      </c>
      <c r="D3255" s="1" t="s">
        <v>201</v>
      </c>
      <c r="E3255" s="1" t="s">
        <v>4</v>
      </c>
      <c r="F3255">
        <v>42</v>
      </c>
      <c r="G3255" s="1" t="str">
        <f>Ocupacao_DW[[#This Row],[data]]&amp;Ocupacao_DW[[#This Row],[profissional_id]]&amp;Ocupacao_DW[[#This Row],[local_id]]</f>
        <v>4463526642</v>
      </c>
      <c r="H3255" s="1">
        <f>_xlfn.XLOOKUP(Ocupacao_DW[[#This Row],[Concat]],Vagas!$H:$H,Vagas!$D:$D,"",0)</f>
        <v>0</v>
      </c>
    </row>
    <row r="3256" spans="1:8" x14ac:dyDescent="0.25">
      <c r="A3256" s="2">
        <v>44635</v>
      </c>
      <c r="B3256" s="1" t="s">
        <v>47</v>
      </c>
      <c r="C3256">
        <v>12752</v>
      </c>
      <c r="D3256" s="1" t="s">
        <v>253</v>
      </c>
      <c r="E3256" s="1" t="s">
        <v>7</v>
      </c>
      <c r="F3256">
        <v>60</v>
      </c>
      <c r="G3256" s="1" t="str">
        <f>Ocupacao_DW[[#This Row],[data]]&amp;Ocupacao_DW[[#This Row],[profissional_id]]&amp;Ocupacao_DW[[#This Row],[local_id]]</f>
        <v>446351275260</v>
      </c>
      <c r="H3256" s="1">
        <f>_xlfn.XLOOKUP(Ocupacao_DW[[#This Row],[Concat]],Vagas!$H:$H,Vagas!$D:$D,"",0)</f>
        <v>0</v>
      </c>
    </row>
    <row r="3257" spans="1:8" x14ac:dyDescent="0.25">
      <c r="A3257" s="2">
        <v>44635</v>
      </c>
      <c r="B3257" s="1" t="s">
        <v>47</v>
      </c>
      <c r="C3257">
        <v>110</v>
      </c>
      <c r="D3257" s="1" t="s">
        <v>193</v>
      </c>
      <c r="E3257" s="1" t="s">
        <v>4</v>
      </c>
      <c r="F3257">
        <v>334</v>
      </c>
      <c r="G3257" s="1" t="str">
        <f>Ocupacao_DW[[#This Row],[data]]&amp;Ocupacao_DW[[#This Row],[profissional_id]]&amp;Ocupacao_DW[[#This Row],[local_id]]</f>
        <v>44635110334</v>
      </c>
      <c r="H3257" s="1">
        <f>_xlfn.XLOOKUP(Ocupacao_DW[[#This Row],[Concat]],Vagas!$H:$H,Vagas!$D:$D,"",0)</f>
        <v>0</v>
      </c>
    </row>
    <row r="3258" spans="1:8" x14ac:dyDescent="0.25">
      <c r="A3258" s="2">
        <v>44642</v>
      </c>
      <c r="B3258" s="1" t="s">
        <v>69</v>
      </c>
      <c r="C3258">
        <v>13249</v>
      </c>
      <c r="D3258" s="1" t="s">
        <v>178</v>
      </c>
      <c r="E3258" s="1" t="s">
        <v>4</v>
      </c>
      <c r="F3258">
        <v>45</v>
      </c>
      <c r="G3258" s="1" t="str">
        <f>Ocupacao_DW[[#This Row],[data]]&amp;Ocupacao_DW[[#This Row],[profissional_id]]&amp;Ocupacao_DW[[#This Row],[local_id]]</f>
        <v>446421324945</v>
      </c>
      <c r="H3258" s="1">
        <f>_xlfn.XLOOKUP(Ocupacao_DW[[#This Row],[Concat]],Vagas!$H:$H,Vagas!$D:$D,"",0)</f>
        <v>0</v>
      </c>
    </row>
    <row r="3259" spans="1:8" x14ac:dyDescent="0.25">
      <c r="A3259" s="2">
        <v>44643</v>
      </c>
      <c r="B3259" s="1" t="s">
        <v>54</v>
      </c>
      <c r="C3259">
        <v>1490</v>
      </c>
      <c r="D3259" s="1" t="s">
        <v>174</v>
      </c>
      <c r="E3259" s="1" t="s">
        <v>5</v>
      </c>
      <c r="F3259">
        <v>13</v>
      </c>
      <c r="G3259" s="1" t="str">
        <f>Ocupacao_DW[[#This Row],[data]]&amp;Ocupacao_DW[[#This Row],[profissional_id]]&amp;Ocupacao_DW[[#This Row],[local_id]]</f>
        <v>44643149013</v>
      </c>
      <c r="H3259" s="1">
        <f>_xlfn.XLOOKUP(Ocupacao_DW[[#This Row],[Concat]],Vagas!$H:$H,Vagas!$D:$D,"",0)</f>
        <v>0</v>
      </c>
    </row>
    <row r="3260" spans="1:8" x14ac:dyDescent="0.25">
      <c r="A3260" s="2">
        <v>44657</v>
      </c>
      <c r="B3260" s="1" t="s">
        <v>54</v>
      </c>
      <c r="C3260">
        <v>1490</v>
      </c>
      <c r="D3260" s="1" t="s">
        <v>174</v>
      </c>
      <c r="E3260" s="1" t="s">
        <v>5</v>
      </c>
      <c r="F3260">
        <v>13</v>
      </c>
      <c r="G3260" s="1" t="str">
        <f>Ocupacao_DW[[#This Row],[data]]&amp;Ocupacao_DW[[#This Row],[profissional_id]]&amp;Ocupacao_DW[[#This Row],[local_id]]</f>
        <v>44657149013</v>
      </c>
      <c r="H3260" s="1">
        <f>_xlfn.XLOOKUP(Ocupacao_DW[[#This Row],[Concat]],Vagas!$H:$H,Vagas!$D:$D,"",0)</f>
        <v>0</v>
      </c>
    </row>
    <row r="3261" spans="1:8" x14ac:dyDescent="0.25">
      <c r="A3261" s="2">
        <v>44643</v>
      </c>
      <c r="B3261" s="1" t="s">
        <v>43</v>
      </c>
      <c r="C3261">
        <v>2396</v>
      </c>
      <c r="D3261" s="1" t="s">
        <v>197</v>
      </c>
      <c r="E3261" s="1" t="s">
        <v>6</v>
      </c>
      <c r="F3261">
        <v>2</v>
      </c>
      <c r="G3261" s="1" t="str">
        <f>Ocupacao_DW[[#This Row],[data]]&amp;Ocupacao_DW[[#This Row],[profissional_id]]&amp;Ocupacao_DW[[#This Row],[local_id]]</f>
        <v>4464323962</v>
      </c>
      <c r="H3261" s="1">
        <f>_xlfn.XLOOKUP(Ocupacao_DW[[#This Row],[Concat]],Vagas!$H:$H,Vagas!$D:$D,"",0)</f>
        <v>0</v>
      </c>
    </row>
    <row r="3262" spans="1:8" x14ac:dyDescent="0.25">
      <c r="A3262" s="2">
        <v>44638</v>
      </c>
      <c r="B3262" s="1" t="s">
        <v>49</v>
      </c>
      <c r="C3262">
        <v>6430</v>
      </c>
      <c r="D3262" s="1" t="s">
        <v>188</v>
      </c>
      <c r="E3262" s="1" t="s">
        <v>4</v>
      </c>
      <c r="F3262">
        <v>42</v>
      </c>
      <c r="G3262" s="1" t="str">
        <f>Ocupacao_DW[[#This Row],[data]]&amp;Ocupacao_DW[[#This Row],[profissional_id]]&amp;Ocupacao_DW[[#This Row],[local_id]]</f>
        <v>44638643042</v>
      </c>
      <c r="H3262" s="1">
        <f>_xlfn.XLOOKUP(Ocupacao_DW[[#This Row],[Concat]],Vagas!$H:$H,Vagas!$D:$D,"",0)</f>
        <v>0</v>
      </c>
    </row>
    <row r="3263" spans="1:8" x14ac:dyDescent="0.25">
      <c r="A3263" s="2">
        <v>44636</v>
      </c>
      <c r="B3263" s="1" t="s">
        <v>51</v>
      </c>
      <c r="C3263">
        <v>17859</v>
      </c>
      <c r="D3263" s="1" t="s">
        <v>212</v>
      </c>
      <c r="E3263" s="1" t="s">
        <v>6</v>
      </c>
      <c r="F3263">
        <v>7</v>
      </c>
      <c r="G3263" s="1" t="str">
        <f>Ocupacao_DW[[#This Row],[data]]&amp;Ocupacao_DW[[#This Row],[profissional_id]]&amp;Ocupacao_DW[[#This Row],[local_id]]</f>
        <v>44636178597</v>
      </c>
      <c r="H3263" s="1">
        <f>_xlfn.XLOOKUP(Ocupacao_DW[[#This Row],[Concat]],Vagas!$H:$H,Vagas!$D:$D,"",0)</f>
        <v>0</v>
      </c>
    </row>
    <row r="3264" spans="1:8" x14ac:dyDescent="0.25">
      <c r="A3264" s="2">
        <v>44645</v>
      </c>
      <c r="B3264" s="1" t="s">
        <v>55</v>
      </c>
      <c r="C3264">
        <v>2984</v>
      </c>
      <c r="D3264" s="1" t="s">
        <v>185</v>
      </c>
      <c r="E3264" s="1" t="s">
        <v>6</v>
      </c>
      <c r="F3264">
        <v>7</v>
      </c>
      <c r="G3264" s="1" t="str">
        <f>Ocupacao_DW[[#This Row],[data]]&amp;Ocupacao_DW[[#This Row],[profissional_id]]&amp;Ocupacao_DW[[#This Row],[local_id]]</f>
        <v>4464529847</v>
      </c>
      <c r="H3264" s="1">
        <f>_xlfn.XLOOKUP(Ocupacao_DW[[#This Row],[Concat]],Vagas!$H:$H,Vagas!$D:$D,"",0)</f>
        <v>0</v>
      </c>
    </row>
    <row r="3265" spans="1:8" x14ac:dyDescent="0.25">
      <c r="A3265" s="2">
        <v>44635</v>
      </c>
      <c r="B3265" s="1" t="s">
        <v>47</v>
      </c>
      <c r="C3265">
        <v>111</v>
      </c>
      <c r="D3265" s="1" t="s">
        <v>199</v>
      </c>
      <c r="E3265" s="1" t="s">
        <v>4</v>
      </c>
      <c r="F3265">
        <v>51</v>
      </c>
      <c r="G3265" s="1" t="str">
        <f>Ocupacao_DW[[#This Row],[data]]&amp;Ocupacao_DW[[#This Row],[profissional_id]]&amp;Ocupacao_DW[[#This Row],[local_id]]</f>
        <v>4463511151</v>
      </c>
      <c r="H3265" s="1">
        <f>_xlfn.XLOOKUP(Ocupacao_DW[[#This Row],[Concat]],Vagas!$H:$H,Vagas!$D:$D,"",0)</f>
        <v>0</v>
      </c>
    </row>
    <row r="3266" spans="1:8" x14ac:dyDescent="0.25">
      <c r="A3266" s="2">
        <v>44637</v>
      </c>
      <c r="B3266" s="1" t="s">
        <v>49</v>
      </c>
      <c r="C3266">
        <v>81</v>
      </c>
      <c r="D3266" s="1" t="s">
        <v>170</v>
      </c>
      <c r="E3266" s="1" t="s">
        <v>4</v>
      </c>
      <c r="F3266">
        <v>41</v>
      </c>
      <c r="G3266" s="1" t="str">
        <f>Ocupacao_DW[[#This Row],[data]]&amp;Ocupacao_DW[[#This Row],[profissional_id]]&amp;Ocupacao_DW[[#This Row],[local_id]]</f>
        <v>446378141</v>
      </c>
      <c r="H3266" s="1">
        <f>_xlfn.XLOOKUP(Ocupacao_DW[[#This Row],[Concat]],Vagas!$H:$H,Vagas!$D:$D,"",0)</f>
        <v>0</v>
      </c>
    </row>
    <row r="3267" spans="1:8" x14ac:dyDescent="0.25">
      <c r="A3267" s="2">
        <v>44643</v>
      </c>
      <c r="B3267" s="1" t="s">
        <v>52</v>
      </c>
      <c r="C3267">
        <v>67</v>
      </c>
      <c r="D3267" s="1" t="s">
        <v>172</v>
      </c>
      <c r="E3267" s="1" t="s">
        <v>6</v>
      </c>
      <c r="F3267">
        <v>8</v>
      </c>
      <c r="G3267" s="1" t="str">
        <f>Ocupacao_DW[[#This Row],[data]]&amp;Ocupacao_DW[[#This Row],[profissional_id]]&amp;Ocupacao_DW[[#This Row],[local_id]]</f>
        <v>44643678</v>
      </c>
      <c r="H3267" s="1">
        <f>_xlfn.XLOOKUP(Ocupacao_DW[[#This Row],[Concat]],Vagas!$H:$H,Vagas!$D:$D,"",0)</f>
        <v>0</v>
      </c>
    </row>
    <row r="3268" spans="1:8" x14ac:dyDescent="0.25">
      <c r="A3268" s="2">
        <v>44644</v>
      </c>
      <c r="B3268" s="1" t="s">
        <v>55</v>
      </c>
      <c r="C3268">
        <v>12426</v>
      </c>
      <c r="D3268" s="1" t="s">
        <v>215</v>
      </c>
      <c r="E3268" s="1" t="s">
        <v>6</v>
      </c>
      <c r="F3268">
        <v>5</v>
      </c>
      <c r="G3268" s="1" t="str">
        <f>Ocupacao_DW[[#This Row],[data]]&amp;Ocupacao_DW[[#This Row],[profissional_id]]&amp;Ocupacao_DW[[#This Row],[local_id]]</f>
        <v>44644124265</v>
      </c>
      <c r="H3268" s="1">
        <f>_xlfn.XLOOKUP(Ocupacao_DW[[#This Row],[Concat]],Vagas!$H:$H,Vagas!$D:$D,"",0)</f>
        <v>0</v>
      </c>
    </row>
    <row r="3269" spans="1:8" x14ac:dyDescent="0.25">
      <c r="A3269" s="2">
        <v>44641</v>
      </c>
      <c r="B3269" s="1" t="s">
        <v>55</v>
      </c>
      <c r="C3269">
        <v>60</v>
      </c>
      <c r="D3269" s="1" t="s">
        <v>217</v>
      </c>
      <c r="E3269" s="1" t="s">
        <v>7</v>
      </c>
      <c r="F3269">
        <v>66</v>
      </c>
      <c r="G3269" s="1" t="str">
        <f>Ocupacao_DW[[#This Row],[data]]&amp;Ocupacao_DW[[#This Row],[profissional_id]]&amp;Ocupacao_DW[[#This Row],[local_id]]</f>
        <v>446416066</v>
      </c>
      <c r="H3269" s="1">
        <f>_xlfn.XLOOKUP(Ocupacao_DW[[#This Row],[Concat]],Vagas!$H:$H,Vagas!$D:$D,"",0)</f>
        <v>0</v>
      </c>
    </row>
    <row r="3270" spans="1:8" x14ac:dyDescent="0.25">
      <c r="A3270" s="2">
        <v>44648</v>
      </c>
      <c r="B3270" s="1" t="s">
        <v>55</v>
      </c>
      <c r="C3270">
        <v>6392</v>
      </c>
      <c r="D3270" s="1" t="s">
        <v>173</v>
      </c>
      <c r="E3270" s="1" t="s">
        <v>6</v>
      </c>
      <c r="F3270">
        <v>5</v>
      </c>
      <c r="G3270" s="1" t="str">
        <f>Ocupacao_DW[[#This Row],[data]]&amp;Ocupacao_DW[[#This Row],[profissional_id]]&amp;Ocupacao_DW[[#This Row],[local_id]]</f>
        <v>4464863925</v>
      </c>
      <c r="H3270" s="1">
        <f>_xlfn.XLOOKUP(Ocupacao_DW[[#This Row],[Concat]],Vagas!$H:$H,Vagas!$D:$D,"",0)</f>
        <v>0</v>
      </c>
    </row>
    <row r="3271" spans="1:8" x14ac:dyDescent="0.25">
      <c r="A3271" s="2">
        <v>44636</v>
      </c>
      <c r="B3271" s="1" t="s">
        <v>70</v>
      </c>
      <c r="C3271">
        <v>12825</v>
      </c>
      <c r="D3271" s="1" t="s">
        <v>177</v>
      </c>
      <c r="E3271" s="1" t="s">
        <v>4</v>
      </c>
      <c r="F3271">
        <v>45</v>
      </c>
      <c r="G3271" s="1" t="str">
        <f>Ocupacao_DW[[#This Row],[data]]&amp;Ocupacao_DW[[#This Row],[profissional_id]]&amp;Ocupacao_DW[[#This Row],[local_id]]</f>
        <v>446361282545</v>
      </c>
      <c r="H3271" s="1">
        <f>_xlfn.XLOOKUP(Ocupacao_DW[[#This Row],[Concat]],Vagas!$H:$H,Vagas!$D:$D,"",0)</f>
        <v>0</v>
      </c>
    </row>
    <row r="3272" spans="1:8" x14ac:dyDescent="0.25">
      <c r="A3272" s="2">
        <v>44642</v>
      </c>
      <c r="B3272" s="1" t="s">
        <v>47</v>
      </c>
      <c r="C3272">
        <v>12752</v>
      </c>
      <c r="D3272" s="1" t="s">
        <v>253</v>
      </c>
      <c r="E3272" s="1" t="s">
        <v>7</v>
      </c>
      <c r="F3272">
        <v>60</v>
      </c>
      <c r="G3272" s="1" t="str">
        <f>Ocupacao_DW[[#This Row],[data]]&amp;Ocupacao_DW[[#This Row],[profissional_id]]&amp;Ocupacao_DW[[#This Row],[local_id]]</f>
        <v>446421275260</v>
      </c>
      <c r="H3272" s="1">
        <f>_xlfn.XLOOKUP(Ocupacao_DW[[#This Row],[Concat]],Vagas!$H:$H,Vagas!$D:$D,"",0)</f>
        <v>0</v>
      </c>
    </row>
    <row r="3273" spans="1:8" x14ac:dyDescent="0.25">
      <c r="A3273" s="2">
        <v>44641</v>
      </c>
      <c r="B3273" s="1" t="s">
        <v>49</v>
      </c>
      <c r="C3273">
        <v>6430</v>
      </c>
      <c r="D3273" s="1" t="s">
        <v>188</v>
      </c>
      <c r="E3273" s="1" t="s">
        <v>200</v>
      </c>
      <c r="F3273">
        <v>86</v>
      </c>
      <c r="G3273" s="1" t="str">
        <f>Ocupacao_DW[[#This Row],[data]]&amp;Ocupacao_DW[[#This Row],[profissional_id]]&amp;Ocupacao_DW[[#This Row],[local_id]]</f>
        <v>44641643086</v>
      </c>
      <c r="H3273" s="1">
        <f>_xlfn.XLOOKUP(Ocupacao_DW[[#This Row],[Concat]],Vagas!$H:$H,Vagas!$D:$D,"",0)</f>
        <v>0</v>
      </c>
    </row>
    <row r="3274" spans="1:8" x14ac:dyDescent="0.25">
      <c r="A3274" s="2">
        <v>44639</v>
      </c>
      <c r="B3274" s="1" t="s">
        <v>47</v>
      </c>
      <c r="C3274">
        <v>111</v>
      </c>
      <c r="D3274" s="1" t="s">
        <v>199</v>
      </c>
      <c r="E3274" s="1" t="s">
        <v>4</v>
      </c>
      <c r="F3274">
        <v>51</v>
      </c>
      <c r="G3274" s="1" t="str">
        <f>Ocupacao_DW[[#This Row],[data]]&amp;Ocupacao_DW[[#This Row],[profissional_id]]&amp;Ocupacao_DW[[#This Row],[local_id]]</f>
        <v>4463911151</v>
      </c>
      <c r="H3274" s="1">
        <f>_xlfn.XLOOKUP(Ocupacao_DW[[#This Row],[Concat]],Vagas!$H:$H,Vagas!$D:$D,"",0)</f>
        <v>0</v>
      </c>
    </row>
    <row r="3275" spans="1:8" x14ac:dyDescent="0.25">
      <c r="A3275" s="2">
        <v>44635</v>
      </c>
      <c r="B3275" s="1" t="s">
        <v>65</v>
      </c>
      <c r="C3275">
        <v>11652</v>
      </c>
      <c r="D3275" s="1" t="s">
        <v>242</v>
      </c>
      <c r="E3275" s="1" t="s">
        <v>4</v>
      </c>
      <c r="F3275">
        <v>47</v>
      </c>
      <c r="G3275" s="1" t="str">
        <f>Ocupacao_DW[[#This Row],[data]]&amp;Ocupacao_DW[[#This Row],[profissional_id]]&amp;Ocupacao_DW[[#This Row],[local_id]]</f>
        <v>446351165247</v>
      </c>
      <c r="H3275" s="1">
        <f>_xlfn.XLOOKUP(Ocupacao_DW[[#This Row],[Concat]],Vagas!$H:$H,Vagas!$D:$D,"",0)</f>
        <v>0</v>
      </c>
    </row>
    <row r="3276" spans="1:8" x14ac:dyDescent="0.25">
      <c r="A3276" s="2">
        <v>44636</v>
      </c>
      <c r="B3276" s="1" t="s">
        <v>62</v>
      </c>
      <c r="C3276">
        <v>10799</v>
      </c>
      <c r="D3276" s="1" t="s">
        <v>204</v>
      </c>
      <c r="E3276" s="1" t="s">
        <v>5</v>
      </c>
      <c r="F3276">
        <v>18</v>
      </c>
      <c r="G3276" s="1" t="str">
        <f>Ocupacao_DW[[#This Row],[data]]&amp;Ocupacao_DW[[#This Row],[profissional_id]]&amp;Ocupacao_DW[[#This Row],[local_id]]</f>
        <v>446361079918</v>
      </c>
      <c r="H3276" s="1">
        <f>_xlfn.XLOOKUP(Ocupacao_DW[[#This Row],[Concat]],Vagas!$H:$H,Vagas!$D:$D,"",0)</f>
        <v>0</v>
      </c>
    </row>
    <row r="3277" spans="1:8" x14ac:dyDescent="0.25">
      <c r="A3277" s="2">
        <v>44643</v>
      </c>
      <c r="B3277" s="1" t="s">
        <v>70</v>
      </c>
      <c r="C3277">
        <v>12519</v>
      </c>
      <c r="D3277" s="1" t="s">
        <v>176</v>
      </c>
      <c r="E3277" s="1" t="s">
        <v>4</v>
      </c>
      <c r="F3277">
        <v>48</v>
      </c>
      <c r="G3277" s="1" t="str">
        <f>Ocupacao_DW[[#This Row],[data]]&amp;Ocupacao_DW[[#This Row],[profissional_id]]&amp;Ocupacao_DW[[#This Row],[local_id]]</f>
        <v>446431251948</v>
      </c>
      <c r="H3277" s="1">
        <f>_xlfn.XLOOKUP(Ocupacao_DW[[#This Row],[Concat]],Vagas!$H:$H,Vagas!$D:$D,"",0)</f>
        <v>0</v>
      </c>
    </row>
    <row r="3278" spans="1:8" x14ac:dyDescent="0.25">
      <c r="A3278" s="2">
        <v>44638</v>
      </c>
      <c r="B3278" s="1" t="s">
        <v>53</v>
      </c>
      <c r="C3278">
        <v>9138</v>
      </c>
      <c r="D3278" s="1" t="s">
        <v>184</v>
      </c>
      <c r="E3278" s="1" t="s">
        <v>167</v>
      </c>
      <c r="F3278">
        <v>344</v>
      </c>
      <c r="G3278" s="1" t="str">
        <f>Ocupacao_DW[[#This Row],[data]]&amp;Ocupacao_DW[[#This Row],[profissional_id]]&amp;Ocupacao_DW[[#This Row],[local_id]]</f>
        <v>446389138344</v>
      </c>
      <c r="H3278" s="1">
        <f>_xlfn.XLOOKUP(Ocupacao_DW[[#This Row],[Concat]],Vagas!$H:$H,Vagas!$D:$D,"",0)</f>
        <v>0</v>
      </c>
    </row>
    <row r="3279" spans="1:8" x14ac:dyDescent="0.25">
      <c r="A3279" s="2">
        <v>44643</v>
      </c>
      <c r="B3279" s="1" t="s">
        <v>54</v>
      </c>
      <c r="C3279">
        <v>1490</v>
      </c>
      <c r="D3279" s="1" t="s">
        <v>174</v>
      </c>
      <c r="E3279" s="1" t="s">
        <v>5</v>
      </c>
      <c r="F3279">
        <v>13</v>
      </c>
      <c r="G3279" s="1" t="str">
        <f>Ocupacao_DW[[#This Row],[data]]&amp;Ocupacao_DW[[#This Row],[profissional_id]]&amp;Ocupacao_DW[[#This Row],[local_id]]</f>
        <v>44643149013</v>
      </c>
      <c r="H3279" s="1">
        <f>_xlfn.XLOOKUP(Ocupacao_DW[[#This Row],[Concat]],Vagas!$H:$H,Vagas!$D:$D,"",0)</f>
        <v>0</v>
      </c>
    </row>
    <row r="3280" spans="1:8" x14ac:dyDescent="0.25">
      <c r="A3280" s="2">
        <v>44641</v>
      </c>
      <c r="B3280" s="1" t="s">
        <v>49</v>
      </c>
      <c r="C3280">
        <v>6430</v>
      </c>
      <c r="D3280" s="1" t="s">
        <v>188</v>
      </c>
      <c r="E3280" s="1" t="s">
        <v>200</v>
      </c>
      <c r="F3280">
        <v>86</v>
      </c>
      <c r="G3280" s="1" t="str">
        <f>Ocupacao_DW[[#This Row],[data]]&amp;Ocupacao_DW[[#This Row],[profissional_id]]&amp;Ocupacao_DW[[#This Row],[local_id]]</f>
        <v>44641643086</v>
      </c>
      <c r="H3280" s="1">
        <f>_xlfn.XLOOKUP(Ocupacao_DW[[#This Row],[Concat]],Vagas!$H:$H,Vagas!$D:$D,"",0)</f>
        <v>0</v>
      </c>
    </row>
    <row r="3281" spans="1:8" x14ac:dyDescent="0.25">
      <c r="A3281" s="2">
        <v>44635</v>
      </c>
      <c r="B3281" s="1"/>
      <c r="C3281">
        <v>0</v>
      </c>
      <c r="D3281" s="1"/>
      <c r="E3281" s="1" t="s">
        <v>4</v>
      </c>
      <c r="F3281">
        <v>40</v>
      </c>
      <c r="G3281" s="1" t="str">
        <f>Ocupacao_DW[[#This Row],[data]]&amp;Ocupacao_DW[[#This Row],[profissional_id]]&amp;Ocupacao_DW[[#This Row],[local_id]]</f>
        <v>44635040</v>
      </c>
      <c r="H3281" s="1" t="str">
        <f>_xlfn.XLOOKUP(Ocupacao_DW[[#This Row],[Concat]],Vagas!$H:$H,Vagas!$D:$D,"",0)</f>
        <v/>
      </c>
    </row>
    <row r="3282" spans="1:8" x14ac:dyDescent="0.25">
      <c r="A3282" s="2">
        <v>44643</v>
      </c>
      <c r="B3282" s="1" t="s">
        <v>70</v>
      </c>
      <c r="C3282">
        <v>12825</v>
      </c>
      <c r="D3282" s="1" t="s">
        <v>177</v>
      </c>
      <c r="E3282" s="1" t="s">
        <v>4</v>
      </c>
      <c r="F3282">
        <v>45</v>
      </c>
      <c r="G3282" s="1" t="str">
        <f>Ocupacao_DW[[#This Row],[data]]&amp;Ocupacao_DW[[#This Row],[profissional_id]]&amp;Ocupacao_DW[[#This Row],[local_id]]</f>
        <v>446431282545</v>
      </c>
      <c r="H3282" s="1">
        <f>_xlfn.XLOOKUP(Ocupacao_DW[[#This Row],[Concat]],Vagas!$H:$H,Vagas!$D:$D,"",0)</f>
        <v>0</v>
      </c>
    </row>
    <row r="3283" spans="1:8" x14ac:dyDescent="0.25">
      <c r="A3283" s="2">
        <v>44652</v>
      </c>
      <c r="B3283" s="1" t="s">
        <v>24</v>
      </c>
      <c r="C3283">
        <v>60</v>
      </c>
      <c r="D3283" s="1" t="s">
        <v>217</v>
      </c>
      <c r="E3283" s="1" t="s">
        <v>6</v>
      </c>
      <c r="F3283">
        <v>1</v>
      </c>
      <c r="G3283" s="1" t="str">
        <f>Ocupacao_DW[[#This Row],[data]]&amp;Ocupacao_DW[[#This Row],[profissional_id]]&amp;Ocupacao_DW[[#This Row],[local_id]]</f>
        <v>44652601</v>
      </c>
      <c r="H3283" s="1">
        <f>_xlfn.XLOOKUP(Ocupacao_DW[[#This Row],[Concat]],Vagas!$H:$H,Vagas!$D:$D,"",0)</f>
        <v>0</v>
      </c>
    </row>
    <row r="3284" spans="1:8" x14ac:dyDescent="0.25">
      <c r="A3284" s="2">
        <v>44656</v>
      </c>
      <c r="B3284" s="1" t="s">
        <v>55</v>
      </c>
      <c r="C3284">
        <v>73</v>
      </c>
      <c r="D3284" s="1" t="s">
        <v>171</v>
      </c>
      <c r="E3284" s="1" t="s">
        <v>6</v>
      </c>
      <c r="F3284">
        <v>5</v>
      </c>
      <c r="G3284" s="1" t="str">
        <f>Ocupacao_DW[[#This Row],[data]]&amp;Ocupacao_DW[[#This Row],[profissional_id]]&amp;Ocupacao_DW[[#This Row],[local_id]]</f>
        <v>44656735</v>
      </c>
      <c r="H3284" s="1">
        <f>_xlfn.XLOOKUP(Ocupacao_DW[[#This Row],[Concat]],Vagas!$H:$H,Vagas!$D:$D,"",0)</f>
        <v>0</v>
      </c>
    </row>
    <row r="3285" spans="1:8" x14ac:dyDescent="0.25">
      <c r="A3285" s="2">
        <v>44641</v>
      </c>
      <c r="B3285" s="1" t="s">
        <v>47</v>
      </c>
      <c r="C3285">
        <v>11241</v>
      </c>
      <c r="D3285" s="1" t="s">
        <v>252</v>
      </c>
      <c r="E3285" s="1" t="s">
        <v>4</v>
      </c>
      <c r="F3285">
        <v>51</v>
      </c>
      <c r="G3285" s="1" t="str">
        <f>Ocupacao_DW[[#This Row],[data]]&amp;Ocupacao_DW[[#This Row],[profissional_id]]&amp;Ocupacao_DW[[#This Row],[local_id]]</f>
        <v>446411124151</v>
      </c>
      <c r="H3285" s="1">
        <f>_xlfn.XLOOKUP(Ocupacao_DW[[#This Row],[Concat]],Vagas!$H:$H,Vagas!$D:$D,"",0)</f>
        <v>0</v>
      </c>
    </row>
    <row r="3286" spans="1:8" x14ac:dyDescent="0.25">
      <c r="A3286" s="2">
        <v>44637</v>
      </c>
      <c r="B3286" s="1" t="s">
        <v>52</v>
      </c>
      <c r="C3286">
        <v>60</v>
      </c>
      <c r="D3286" s="1" t="s">
        <v>217</v>
      </c>
      <c r="E3286" s="1" t="s">
        <v>167</v>
      </c>
      <c r="F3286">
        <v>346</v>
      </c>
      <c r="G3286" s="1" t="str">
        <f>Ocupacao_DW[[#This Row],[data]]&amp;Ocupacao_DW[[#This Row],[profissional_id]]&amp;Ocupacao_DW[[#This Row],[local_id]]</f>
        <v>4463760346</v>
      </c>
      <c r="H3286" s="1">
        <f>_xlfn.XLOOKUP(Ocupacao_DW[[#This Row],[Concat]],Vagas!$H:$H,Vagas!$D:$D,"",0)</f>
        <v>0</v>
      </c>
    </row>
    <row r="3287" spans="1:8" x14ac:dyDescent="0.25">
      <c r="A3287" s="2">
        <v>44650</v>
      </c>
      <c r="B3287" s="1" t="s">
        <v>54</v>
      </c>
      <c r="C3287">
        <v>1490</v>
      </c>
      <c r="D3287" s="1" t="s">
        <v>174</v>
      </c>
      <c r="E3287" s="1" t="s">
        <v>5</v>
      </c>
      <c r="F3287">
        <v>13</v>
      </c>
      <c r="G3287" s="1" t="str">
        <f>Ocupacao_DW[[#This Row],[data]]&amp;Ocupacao_DW[[#This Row],[profissional_id]]&amp;Ocupacao_DW[[#This Row],[local_id]]</f>
        <v>44650149013</v>
      </c>
      <c r="H3287" s="1">
        <f>_xlfn.XLOOKUP(Ocupacao_DW[[#This Row],[Concat]],Vagas!$H:$H,Vagas!$D:$D,"",0)</f>
        <v>0</v>
      </c>
    </row>
    <row r="3288" spans="1:8" x14ac:dyDescent="0.25">
      <c r="A3288" s="2">
        <v>44636</v>
      </c>
      <c r="B3288" s="1" t="s">
        <v>52</v>
      </c>
      <c r="C3288">
        <v>10691</v>
      </c>
      <c r="D3288" s="1" t="s">
        <v>181</v>
      </c>
      <c r="E3288" s="1" t="s">
        <v>6</v>
      </c>
      <c r="F3288">
        <v>9</v>
      </c>
      <c r="G3288" s="1" t="str">
        <f>Ocupacao_DW[[#This Row],[data]]&amp;Ocupacao_DW[[#This Row],[profissional_id]]&amp;Ocupacao_DW[[#This Row],[local_id]]</f>
        <v>44636106919</v>
      </c>
      <c r="H3288" s="1">
        <f>_xlfn.XLOOKUP(Ocupacao_DW[[#This Row],[Concat]],Vagas!$H:$H,Vagas!$D:$D,"",0)</f>
        <v>0</v>
      </c>
    </row>
    <row r="3289" spans="1:8" x14ac:dyDescent="0.25">
      <c r="A3289" s="2">
        <v>44650</v>
      </c>
      <c r="B3289" s="1" t="s">
        <v>55</v>
      </c>
      <c r="C3289">
        <v>73</v>
      </c>
      <c r="D3289" s="1" t="s">
        <v>171</v>
      </c>
      <c r="E3289" s="1" t="s">
        <v>6</v>
      </c>
      <c r="F3289">
        <v>5</v>
      </c>
      <c r="G3289" s="1" t="str">
        <f>Ocupacao_DW[[#This Row],[data]]&amp;Ocupacao_DW[[#This Row],[profissional_id]]&amp;Ocupacao_DW[[#This Row],[local_id]]</f>
        <v>44650735</v>
      </c>
      <c r="H3289" s="1">
        <f>_xlfn.XLOOKUP(Ocupacao_DW[[#This Row],[Concat]],Vagas!$H:$H,Vagas!$D:$D,"",0)</f>
        <v>0</v>
      </c>
    </row>
    <row r="3290" spans="1:8" x14ac:dyDescent="0.25">
      <c r="A3290" s="2">
        <v>44636</v>
      </c>
      <c r="B3290" s="1" t="s">
        <v>49</v>
      </c>
      <c r="C3290">
        <v>6430</v>
      </c>
      <c r="D3290" s="1" t="s">
        <v>188</v>
      </c>
      <c r="E3290" s="1" t="s">
        <v>4</v>
      </c>
      <c r="F3290">
        <v>42</v>
      </c>
      <c r="G3290" s="1" t="str">
        <f>Ocupacao_DW[[#This Row],[data]]&amp;Ocupacao_DW[[#This Row],[profissional_id]]&amp;Ocupacao_DW[[#This Row],[local_id]]</f>
        <v>44636643042</v>
      </c>
      <c r="H3290" s="1">
        <f>_xlfn.XLOOKUP(Ocupacao_DW[[#This Row],[Concat]],Vagas!$H:$H,Vagas!$D:$D,"",0)</f>
        <v>0</v>
      </c>
    </row>
    <row r="3291" spans="1:8" x14ac:dyDescent="0.25">
      <c r="A3291" s="2">
        <v>44635</v>
      </c>
      <c r="B3291" s="1" t="s">
        <v>54</v>
      </c>
      <c r="C3291">
        <v>69</v>
      </c>
      <c r="D3291" s="1" t="s">
        <v>238</v>
      </c>
      <c r="E3291" s="1" t="s">
        <v>5</v>
      </c>
      <c r="F3291">
        <v>13</v>
      </c>
      <c r="G3291" s="1" t="str">
        <f>Ocupacao_DW[[#This Row],[data]]&amp;Ocupacao_DW[[#This Row],[profissional_id]]&amp;Ocupacao_DW[[#This Row],[local_id]]</f>
        <v>446356913</v>
      </c>
      <c r="H3291" s="1">
        <f>_xlfn.XLOOKUP(Ocupacao_DW[[#This Row],[Concat]],Vagas!$H:$H,Vagas!$D:$D,"",0)</f>
        <v>0</v>
      </c>
    </row>
    <row r="3292" spans="1:8" x14ac:dyDescent="0.25">
      <c r="A3292" s="2">
        <v>44635</v>
      </c>
      <c r="B3292" s="1" t="s">
        <v>49</v>
      </c>
      <c r="C3292">
        <v>81</v>
      </c>
      <c r="D3292" s="1" t="s">
        <v>170</v>
      </c>
      <c r="E3292" s="1" t="s">
        <v>7</v>
      </c>
      <c r="F3292">
        <v>71</v>
      </c>
      <c r="G3292" s="1" t="str">
        <f>Ocupacao_DW[[#This Row],[data]]&amp;Ocupacao_DW[[#This Row],[profissional_id]]&amp;Ocupacao_DW[[#This Row],[local_id]]</f>
        <v>446358171</v>
      </c>
      <c r="H3292" s="1">
        <f>_xlfn.XLOOKUP(Ocupacao_DW[[#This Row],[Concat]],Vagas!$H:$H,Vagas!$D:$D,"",0)</f>
        <v>0</v>
      </c>
    </row>
    <row r="3293" spans="1:8" x14ac:dyDescent="0.25">
      <c r="A3293" s="2">
        <v>44636</v>
      </c>
      <c r="B3293" s="1" t="s">
        <v>57</v>
      </c>
      <c r="C3293">
        <v>80</v>
      </c>
      <c r="D3293" s="1" t="s">
        <v>179</v>
      </c>
      <c r="E3293" s="1" t="s">
        <v>167</v>
      </c>
      <c r="F3293">
        <v>346</v>
      </c>
      <c r="G3293" s="1" t="str">
        <f>Ocupacao_DW[[#This Row],[data]]&amp;Ocupacao_DW[[#This Row],[profissional_id]]&amp;Ocupacao_DW[[#This Row],[local_id]]</f>
        <v>4463680346</v>
      </c>
      <c r="H3293" s="1">
        <f>_xlfn.XLOOKUP(Ocupacao_DW[[#This Row],[Concat]],Vagas!$H:$H,Vagas!$D:$D,"",0)</f>
        <v>0</v>
      </c>
    </row>
    <row r="3294" spans="1:8" x14ac:dyDescent="0.25">
      <c r="A3294" s="2">
        <v>44636</v>
      </c>
      <c r="B3294" s="1" t="s">
        <v>56</v>
      </c>
      <c r="C3294">
        <v>5927</v>
      </c>
      <c r="D3294" s="1" t="s">
        <v>226</v>
      </c>
      <c r="E3294" s="1" t="s">
        <v>5</v>
      </c>
      <c r="F3294">
        <v>17</v>
      </c>
      <c r="G3294" s="1" t="str">
        <f>Ocupacao_DW[[#This Row],[data]]&amp;Ocupacao_DW[[#This Row],[profissional_id]]&amp;Ocupacao_DW[[#This Row],[local_id]]</f>
        <v>44636592717</v>
      </c>
      <c r="H3294" s="1">
        <f>_xlfn.XLOOKUP(Ocupacao_DW[[#This Row],[Concat]],Vagas!$H:$H,Vagas!$D:$D,"",0)</f>
        <v>0</v>
      </c>
    </row>
    <row r="3295" spans="1:8" x14ac:dyDescent="0.25">
      <c r="A3295" s="2">
        <v>44648</v>
      </c>
      <c r="B3295" s="1" t="s">
        <v>55</v>
      </c>
      <c r="C3295">
        <v>2984</v>
      </c>
      <c r="D3295" s="1" t="s">
        <v>185</v>
      </c>
      <c r="E3295" s="1" t="s">
        <v>6</v>
      </c>
      <c r="F3295">
        <v>7</v>
      </c>
      <c r="G3295" s="1" t="str">
        <f>Ocupacao_DW[[#This Row],[data]]&amp;Ocupacao_DW[[#This Row],[profissional_id]]&amp;Ocupacao_DW[[#This Row],[local_id]]</f>
        <v>4464829847</v>
      </c>
      <c r="H3295" s="1">
        <f>_xlfn.XLOOKUP(Ocupacao_DW[[#This Row],[Concat]],Vagas!$H:$H,Vagas!$D:$D,"",0)</f>
        <v>0</v>
      </c>
    </row>
    <row r="3296" spans="1:8" x14ac:dyDescent="0.25">
      <c r="A3296" s="2">
        <v>44638</v>
      </c>
      <c r="B3296" s="1" t="s">
        <v>49</v>
      </c>
      <c r="C3296">
        <v>12142</v>
      </c>
      <c r="D3296" s="1" t="s">
        <v>219</v>
      </c>
      <c r="E3296" s="1" t="s">
        <v>4</v>
      </c>
      <c r="F3296">
        <v>44</v>
      </c>
      <c r="G3296" s="1" t="str">
        <f>Ocupacao_DW[[#This Row],[data]]&amp;Ocupacao_DW[[#This Row],[profissional_id]]&amp;Ocupacao_DW[[#This Row],[local_id]]</f>
        <v>446381214244</v>
      </c>
      <c r="H3296" s="1">
        <f>_xlfn.XLOOKUP(Ocupacao_DW[[#This Row],[Concat]],Vagas!$H:$H,Vagas!$D:$D,"",0)</f>
        <v>0</v>
      </c>
    </row>
    <row r="3297" spans="1:8" x14ac:dyDescent="0.25">
      <c r="A3297" s="2">
        <v>44642</v>
      </c>
      <c r="B3297" s="1" t="s">
        <v>68</v>
      </c>
      <c r="C3297">
        <v>8239</v>
      </c>
      <c r="D3297" s="1" t="s">
        <v>257</v>
      </c>
      <c r="E3297" s="1" t="s">
        <v>5</v>
      </c>
      <c r="F3297">
        <v>14</v>
      </c>
      <c r="G3297" s="1" t="str">
        <f>Ocupacao_DW[[#This Row],[data]]&amp;Ocupacao_DW[[#This Row],[profissional_id]]&amp;Ocupacao_DW[[#This Row],[local_id]]</f>
        <v>44642823914</v>
      </c>
      <c r="H3297" s="1">
        <f>_xlfn.XLOOKUP(Ocupacao_DW[[#This Row],[Concat]],Vagas!$H:$H,Vagas!$D:$D,"",0)</f>
        <v>0</v>
      </c>
    </row>
    <row r="3298" spans="1:8" x14ac:dyDescent="0.25">
      <c r="A3298" s="2">
        <v>44638</v>
      </c>
      <c r="B3298" s="1" t="s">
        <v>52</v>
      </c>
      <c r="C3298">
        <v>57</v>
      </c>
      <c r="D3298" s="1" t="s">
        <v>169</v>
      </c>
      <c r="E3298" s="1" t="s">
        <v>6</v>
      </c>
      <c r="F3298">
        <v>8</v>
      </c>
      <c r="G3298" s="1" t="str">
        <f>Ocupacao_DW[[#This Row],[data]]&amp;Ocupacao_DW[[#This Row],[profissional_id]]&amp;Ocupacao_DW[[#This Row],[local_id]]</f>
        <v>44638578</v>
      </c>
      <c r="H3298" s="1">
        <f>_xlfn.XLOOKUP(Ocupacao_DW[[#This Row],[Concat]],Vagas!$H:$H,Vagas!$D:$D,"",0)</f>
        <v>0</v>
      </c>
    </row>
    <row r="3299" spans="1:8" x14ac:dyDescent="0.25">
      <c r="A3299" s="2">
        <v>44635</v>
      </c>
      <c r="B3299" s="1" t="s">
        <v>65</v>
      </c>
      <c r="C3299">
        <v>11652</v>
      </c>
      <c r="D3299" s="1" t="s">
        <v>242</v>
      </c>
      <c r="E3299" s="1" t="s">
        <v>4</v>
      </c>
      <c r="F3299">
        <v>47</v>
      </c>
      <c r="G3299" s="1" t="str">
        <f>Ocupacao_DW[[#This Row],[data]]&amp;Ocupacao_DW[[#This Row],[profissional_id]]&amp;Ocupacao_DW[[#This Row],[local_id]]</f>
        <v>446351165247</v>
      </c>
      <c r="H3299" s="1">
        <f>_xlfn.XLOOKUP(Ocupacao_DW[[#This Row],[Concat]],Vagas!$H:$H,Vagas!$D:$D,"",0)</f>
        <v>0</v>
      </c>
    </row>
    <row r="3300" spans="1:8" x14ac:dyDescent="0.25">
      <c r="A3300" s="2">
        <v>44641</v>
      </c>
      <c r="B3300" s="1" t="s">
        <v>52</v>
      </c>
      <c r="C3300">
        <v>10691</v>
      </c>
      <c r="D3300" s="1" t="s">
        <v>181</v>
      </c>
      <c r="E3300" s="1" t="s">
        <v>6</v>
      </c>
      <c r="F3300">
        <v>9</v>
      </c>
      <c r="G3300" s="1" t="str">
        <f>Ocupacao_DW[[#This Row],[data]]&amp;Ocupacao_DW[[#This Row],[profissional_id]]&amp;Ocupacao_DW[[#This Row],[local_id]]</f>
        <v>44641106919</v>
      </c>
      <c r="H3300" s="1">
        <f>_xlfn.XLOOKUP(Ocupacao_DW[[#This Row],[Concat]],Vagas!$H:$H,Vagas!$D:$D,"",0)</f>
        <v>0</v>
      </c>
    </row>
    <row r="3301" spans="1:8" x14ac:dyDescent="0.25">
      <c r="A3301" s="2">
        <v>44635</v>
      </c>
      <c r="B3301" s="1" t="s">
        <v>49</v>
      </c>
      <c r="C3301">
        <v>266</v>
      </c>
      <c r="D3301" s="1" t="s">
        <v>201</v>
      </c>
      <c r="E3301" s="1" t="s">
        <v>4</v>
      </c>
      <c r="F3301">
        <v>42</v>
      </c>
      <c r="G3301" s="1" t="str">
        <f>Ocupacao_DW[[#This Row],[data]]&amp;Ocupacao_DW[[#This Row],[profissional_id]]&amp;Ocupacao_DW[[#This Row],[local_id]]</f>
        <v>4463526642</v>
      </c>
      <c r="H3301" s="1">
        <f>_xlfn.XLOOKUP(Ocupacao_DW[[#This Row],[Concat]],Vagas!$H:$H,Vagas!$D:$D,"",0)</f>
        <v>0</v>
      </c>
    </row>
    <row r="3302" spans="1:8" x14ac:dyDescent="0.25">
      <c r="A3302" s="2">
        <v>44646</v>
      </c>
      <c r="B3302" s="1" t="s">
        <v>55</v>
      </c>
      <c r="C3302">
        <v>17879</v>
      </c>
      <c r="D3302" s="1" t="s">
        <v>233</v>
      </c>
      <c r="E3302" s="1" t="s">
        <v>6</v>
      </c>
      <c r="F3302">
        <v>3</v>
      </c>
      <c r="G3302" s="1" t="str">
        <f>Ocupacao_DW[[#This Row],[data]]&amp;Ocupacao_DW[[#This Row],[profissional_id]]&amp;Ocupacao_DW[[#This Row],[local_id]]</f>
        <v>44646178793</v>
      </c>
      <c r="H3302" s="1">
        <f>_xlfn.XLOOKUP(Ocupacao_DW[[#This Row],[Concat]],Vagas!$H:$H,Vagas!$D:$D,"",0)</f>
        <v>0</v>
      </c>
    </row>
    <row r="3303" spans="1:8" x14ac:dyDescent="0.25">
      <c r="A3303" s="2">
        <v>44635</v>
      </c>
      <c r="B3303" s="1" t="s">
        <v>54</v>
      </c>
      <c r="C3303">
        <v>12623</v>
      </c>
      <c r="D3303" s="1" t="s">
        <v>258</v>
      </c>
      <c r="E3303" s="1" t="s">
        <v>5</v>
      </c>
      <c r="F3303">
        <v>11</v>
      </c>
      <c r="G3303" s="1" t="str">
        <f>Ocupacao_DW[[#This Row],[data]]&amp;Ocupacao_DW[[#This Row],[profissional_id]]&amp;Ocupacao_DW[[#This Row],[local_id]]</f>
        <v>446351262311</v>
      </c>
      <c r="H3303" s="1">
        <f>_xlfn.XLOOKUP(Ocupacao_DW[[#This Row],[Concat]],Vagas!$H:$H,Vagas!$D:$D,"",0)</f>
        <v>0</v>
      </c>
    </row>
    <row r="3304" spans="1:8" x14ac:dyDescent="0.25">
      <c r="A3304" s="2">
        <v>44636</v>
      </c>
      <c r="B3304" s="1" t="s">
        <v>69</v>
      </c>
      <c r="C3304">
        <v>17878</v>
      </c>
      <c r="D3304" s="1" t="s">
        <v>183</v>
      </c>
      <c r="E3304" s="1" t="s">
        <v>7</v>
      </c>
      <c r="F3304">
        <v>63</v>
      </c>
      <c r="G3304" s="1" t="str">
        <f>Ocupacao_DW[[#This Row],[data]]&amp;Ocupacao_DW[[#This Row],[profissional_id]]&amp;Ocupacao_DW[[#This Row],[local_id]]</f>
        <v>446361787863</v>
      </c>
      <c r="H3304" s="1">
        <f>_xlfn.XLOOKUP(Ocupacao_DW[[#This Row],[Concat]],Vagas!$H:$H,Vagas!$D:$D,"",0)</f>
        <v>0</v>
      </c>
    </row>
    <row r="3305" spans="1:8" x14ac:dyDescent="0.25">
      <c r="A3305" s="2">
        <v>44650</v>
      </c>
      <c r="B3305" s="1" t="s">
        <v>50</v>
      </c>
      <c r="C3305">
        <v>10785</v>
      </c>
      <c r="D3305" s="1" t="s">
        <v>237</v>
      </c>
      <c r="E3305" s="1" t="s">
        <v>5</v>
      </c>
      <c r="F3305">
        <v>14</v>
      </c>
      <c r="G3305" s="1" t="str">
        <f>Ocupacao_DW[[#This Row],[data]]&amp;Ocupacao_DW[[#This Row],[profissional_id]]&amp;Ocupacao_DW[[#This Row],[local_id]]</f>
        <v>446501078514</v>
      </c>
      <c r="H3305" s="1">
        <f>_xlfn.XLOOKUP(Ocupacao_DW[[#This Row],[Concat]],Vagas!$H:$H,Vagas!$D:$D,"",0)</f>
        <v>23</v>
      </c>
    </row>
    <row r="3306" spans="1:8" x14ac:dyDescent="0.25">
      <c r="A3306" s="2">
        <v>44642</v>
      </c>
      <c r="B3306" s="1" t="s">
        <v>68</v>
      </c>
      <c r="C3306">
        <v>14371</v>
      </c>
      <c r="D3306" s="1" t="s">
        <v>273</v>
      </c>
      <c r="E3306" s="1" t="s">
        <v>7</v>
      </c>
      <c r="F3306">
        <v>60</v>
      </c>
      <c r="G3306" s="1" t="str">
        <f>Ocupacao_DW[[#This Row],[data]]&amp;Ocupacao_DW[[#This Row],[profissional_id]]&amp;Ocupacao_DW[[#This Row],[local_id]]</f>
        <v>446421437160</v>
      </c>
      <c r="H3306" s="1">
        <f>_xlfn.XLOOKUP(Ocupacao_DW[[#This Row],[Concat]],Vagas!$H:$H,Vagas!$D:$D,"",0)</f>
        <v>22</v>
      </c>
    </row>
    <row r="3307" spans="1:8" x14ac:dyDescent="0.25">
      <c r="A3307" s="2">
        <v>44639</v>
      </c>
      <c r="B3307" s="1" t="s">
        <v>47</v>
      </c>
      <c r="C3307">
        <v>111</v>
      </c>
      <c r="D3307" s="1" t="s">
        <v>199</v>
      </c>
      <c r="E3307" s="1" t="s">
        <v>4</v>
      </c>
      <c r="F3307">
        <v>51</v>
      </c>
      <c r="G3307" s="1" t="str">
        <f>Ocupacao_DW[[#This Row],[data]]&amp;Ocupacao_DW[[#This Row],[profissional_id]]&amp;Ocupacao_DW[[#This Row],[local_id]]</f>
        <v>4463911151</v>
      </c>
      <c r="H3307" s="1">
        <f>_xlfn.XLOOKUP(Ocupacao_DW[[#This Row],[Concat]],Vagas!$H:$H,Vagas!$D:$D,"",0)</f>
        <v>0</v>
      </c>
    </row>
    <row r="3308" spans="1:8" x14ac:dyDescent="0.25">
      <c r="A3308" s="2">
        <v>44636</v>
      </c>
      <c r="B3308" s="1" t="s">
        <v>47</v>
      </c>
      <c r="C3308">
        <v>111</v>
      </c>
      <c r="D3308" s="1" t="s">
        <v>199</v>
      </c>
      <c r="E3308" s="1" t="s">
        <v>4</v>
      </c>
      <c r="F3308">
        <v>51</v>
      </c>
      <c r="G3308" s="1" t="str">
        <f>Ocupacao_DW[[#This Row],[data]]&amp;Ocupacao_DW[[#This Row],[profissional_id]]&amp;Ocupacao_DW[[#This Row],[local_id]]</f>
        <v>4463611151</v>
      </c>
      <c r="H3308" s="1">
        <f>_xlfn.XLOOKUP(Ocupacao_DW[[#This Row],[Concat]],Vagas!$H:$H,Vagas!$D:$D,"",0)</f>
        <v>1</v>
      </c>
    </row>
    <row r="3309" spans="1:8" x14ac:dyDescent="0.25">
      <c r="A3309" s="2">
        <v>44637</v>
      </c>
      <c r="B3309" s="1" t="s">
        <v>71</v>
      </c>
      <c r="C3309">
        <v>76</v>
      </c>
      <c r="D3309" s="1" t="s">
        <v>227</v>
      </c>
      <c r="E3309" s="1" t="s">
        <v>4</v>
      </c>
      <c r="F3309">
        <v>48</v>
      </c>
      <c r="G3309" s="1" t="str">
        <f>Ocupacao_DW[[#This Row],[data]]&amp;Ocupacao_DW[[#This Row],[profissional_id]]&amp;Ocupacao_DW[[#This Row],[local_id]]</f>
        <v>446377648</v>
      </c>
      <c r="H3309" s="1">
        <f>_xlfn.XLOOKUP(Ocupacao_DW[[#This Row],[Concat]],Vagas!$H:$H,Vagas!$D:$D,"",0)</f>
        <v>0</v>
      </c>
    </row>
    <row r="3310" spans="1:8" x14ac:dyDescent="0.25">
      <c r="A3310" s="2">
        <v>44638</v>
      </c>
      <c r="B3310" s="1" t="s">
        <v>54</v>
      </c>
      <c r="C3310">
        <v>69</v>
      </c>
      <c r="D3310" s="1" t="s">
        <v>238</v>
      </c>
      <c r="E3310" s="1" t="s">
        <v>5</v>
      </c>
      <c r="F3310">
        <v>13</v>
      </c>
      <c r="G3310" s="1" t="str">
        <f>Ocupacao_DW[[#This Row],[data]]&amp;Ocupacao_DW[[#This Row],[profissional_id]]&amp;Ocupacao_DW[[#This Row],[local_id]]</f>
        <v>446386913</v>
      </c>
      <c r="H3310" s="1">
        <f>_xlfn.XLOOKUP(Ocupacao_DW[[#This Row],[Concat]],Vagas!$H:$H,Vagas!$D:$D,"",0)</f>
        <v>0</v>
      </c>
    </row>
    <row r="3311" spans="1:8" x14ac:dyDescent="0.25">
      <c r="A3311" s="2">
        <v>44650</v>
      </c>
      <c r="B3311" s="1" t="s">
        <v>42</v>
      </c>
      <c r="C3311">
        <v>17902</v>
      </c>
      <c r="D3311" s="1" t="s">
        <v>264</v>
      </c>
      <c r="E3311" s="1" t="s">
        <v>4</v>
      </c>
      <c r="F3311">
        <v>39</v>
      </c>
      <c r="G3311" s="1" t="str">
        <f>Ocupacao_DW[[#This Row],[data]]&amp;Ocupacao_DW[[#This Row],[profissional_id]]&amp;Ocupacao_DW[[#This Row],[local_id]]</f>
        <v>446501790239</v>
      </c>
      <c r="H3311" s="1">
        <f>_xlfn.XLOOKUP(Ocupacao_DW[[#This Row],[Concat]],Vagas!$H:$H,Vagas!$D:$D,"",0)</f>
        <v>51</v>
      </c>
    </row>
    <row r="3312" spans="1:8" x14ac:dyDescent="0.25">
      <c r="A3312" s="2">
        <v>44650</v>
      </c>
      <c r="B3312" s="1" t="s">
        <v>46</v>
      </c>
      <c r="C3312">
        <v>17888</v>
      </c>
      <c r="D3312" s="1" t="s">
        <v>255</v>
      </c>
      <c r="E3312" s="1" t="s">
        <v>4</v>
      </c>
      <c r="F3312">
        <v>40</v>
      </c>
      <c r="G3312" s="1" t="str">
        <f>Ocupacao_DW[[#This Row],[data]]&amp;Ocupacao_DW[[#This Row],[profissional_id]]&amp;Ocupacao_DW[[#This Row],[local_id]]</f>
        <v>446501788840</v>
      </c>
      <c r="H3312" s="1">
        <f>_xlfn.XLOOKUP(Ocupacao_DW[[#This Row],[Concat]],Vagas!$H:$H,Vagas!$D:$D,"",0)</f>
        <v>26</v>
      </c>
    </row>
    <row r="3313" spans="1:8" x14ac:dyDescent="0.25">
      <c r="A3313" s="2">
        <v>44638</v>
      </c>
      <c r="B3313" s="1" t="s">
        <v>50</v>
      </c>
      <c r="C3313">
        <v>10785</v>
      </c>
      <c r="D3313" s="1" t="s">
        <v>237</v>
      </c>
      <c r="E3313" s="1" t="s">
        <v>5</v>
      </c>
      <c r="F3313">
        <v>15</v>
      </c>
      <c r="G3313" s="1" t="str">
        <f>Ocupacao_DW[[#This Row],[data]]&amp;Ocupacao_DW[[#This Row],[profissional_id]]&amp;Ocupacao_DW[[#This Row],[local_id]]</f>
        <v>446381078515</v>
      </c>
      <c r="H3313" s="1">
        <f>_xlfn.XLOOKUP(Ocupacao_DW[[#This Row],[Concat]],Vagas!$H:$H,Vagas!$D:$D,"",0)</f>
        <v>0</v>
      </c>
    </row>
    <row r="3314" spans="1:8" x14ac:dyDescent="0.25">
      <c r="A3314" s="2">
        <v>44637</v>
      </c>
      <c r="B3314" s="1" t="s">
        <v>52</v>
      </c>
      <c r="C3314">
        <v>60</v>
      </c>
      <c r="D3314" s="1" t="s">
        <v>217</v>
      </c>
      <c r="E3314" s="1" t="s">
        <v>167</v>
      </c>
      <c r="F3314">
        <v>346</v>
      </c>
      <c r="G3314" s="1" t="str">
        <f>Ocupacao_DW[[#This Row],[data]]&amp;Ocupacao_DW[[#This Row],[profissional_id]]&amp;Ocupacao_DW[[#This Row],[local_id]]</f>
        <v>4463760346</v>
      </c>
      <c r="H3314" s="1">
        <f>_xlfn.XLOOKUP(Ocupacao_DW[[#This Row],[Concat]],Vagas!$H:$H,Vagas!$D:$D,"",0)</f>
        <v>0</v>
      </c>
    </row>
    <row r="3315" spans="1:8" x14ac:dyDescent="0.25">
      <c r="A3315" s="2">
        <v>44637</v>
      </c>
      <c r="B3315" s="1" t="s">
        <v>71</v>
      </c>
      <c r="C3315">
        <v>76</v>
      </c>
      <c r="D3315" s="1" t="s">
        <v>227</v>
      </c>
      <c r="E3315" s="1" t="s">
        <v>4</v>
      </c>
      <c r="F3315">
        <v>48</v>
      </c>
      <c r="G3315" s="1" t="str">
        <f>Ocupacao_DW[[#This Row],[data]]&amp;Ocupacao_DW[[#This Row],[profissional_id]]&amp;Ocupacao_DW[[#This Row],[local_id]]</f>
        <v>446377648</v>
      </c>
      <c r="H3315" s="1">
        <f>_xlfn.XLOOKUP(Ocupacao_DW[[#This Row],[Concat]],Vagas!$H:$H,Vagas!$D:$D,"",0)</f>
        <v>0</v>
      </c>
    </row>
    <row r="3316" spans="1:8" x14ac:dyDescent="0.25">
      <c r="A3316" s="2">
        <v>44641</v>
      </c>
      <c r="B3316" s="1" t="s">
        <v>60</v>
      </c>
      <c r="C3316">
        <v>117</v>
      </c>
      <c r="D3316" s="1" t="s">
        <v>180</v>
      </c>
      <c r="E3316" s="1" t="s">
        <v>4</v>
      </c>
      <c r="F3316">
        <v>48</v>
      </c>
      <c r="G3316" s="1" t="str">
        <f>Ocupacao_DW[[#This Row],[data]]&amp;Ocupacao_DW[[#This Row],[profissional_id]]&amp;Ocupacao_DW[[#This Row],[local_id]]</f>
        <v>4464111748</v>
      </c>
      <c r="H3316" s="1">
        <f>_xlfn.XLOOKUP(Ocupacao_DW[[#This Row],[Concat]],Vagas!$H:$H,Vagas!$D:$D,"",0)</f>
        <v>0</v>
      </c>
    </row>
    <row r="3317" spans="1:8" x14ac:dyDescent="0.25">
      <c r="A3317" s="2">
        <v>44651</v>
      </c>
      <c r="B3317" s="1" t="s">
        <v>55</v>
      </c>
      <c r="C3317">
        <v>12426</v>
      </c>
      <c r="D3317" s="1" t="s">
        <v>215</v>
      </c>
      <c r="E3317" s="1" t="s">
        <v>6</v>
      </c>
      <c r="F3317">
        <v>5</v>
      </c>
      <c r="G3317" s="1" t="str">
        <f>Ocupacao_DW[[#This Row],[data]]&amp;Ocupacao_DW[[#This Row],[profissional_id]]&amp;Ocupacao_DW[[#This Row],[local_id]]</f>
        <v>44651124265</v>
      </c>
      <c r="H3317" s="1">
        <f>_xlfn.XLOOKUP(Ocupacao_DW[[#This Row],[Concat]],Vagas!$H:$H,Vagas!$D:$D,"",0)</f>
        <v>0</v>
      </c>
    </row>
    <row r="3318" spans="1:8" x14ac:dyDescent="0.25">
      <c r="A3318" s="2">
        <v>44644</v>
      </c>
      <c r="B3318" s="1" t="s">
        <v>51</v>
      </c>
      <c r="C3318">
        <v>53</v>
      </c>
      <c r="D3318" s="1" t="s">
        <v>254</v>
      </c>
      <c r="E3318" s="1" t="s">
        <v>5</v>
      </c>
      <c r="F3318">
        <v>14</v>
      </c>
      <c r="G3318" s="1" t="str">
        <f>Ocupacao_DW[[#This Row],[data]]&amp;Ocupacao_DW[[#This Row],[profissional_id]]&amp;Ocupacao_DW[[#This Row],[local_id]]</f>
        <v>446445314</v>
      </c>
      <c r="H3318" s="1">
        <f>_xlfn.XLOOKUP(Ocupacao_DW[[#This Row],[Concat]],Vagas!$H:$H,Vagas!$D:$D,"",0)</f>
        <v>0</v>
      </c>
    </row>
    <row r="3319" spans="1:8" x14ac:dyDescent="0.25">
      <c r="A3319" s="2">
        <v>44635</v>
      </c>
      <c r="B3319" s="1" t="s">
        <v>47</v>
      </c>
      <c r="C3319">
        <v>111</v>
      </c>
      <c r="D3319" s="1" t="s">
        <v>199</v>
      </c>
      <c r="E3319" s="1" t="s">
        <v>4</v>
      </c>
      <c r="F3319">
        <v>51</v>
      </c>
      <c r="G3319" s="1" t="str">
        <f>Ocupacao_DW[[#This Row],[data]]&amp;Ocupacao_DW[[#This Row],[profissional_id]]&amp;Ocupacao_DW[[#This Row],[local_id]]</f>
        <v>4463511151</v>
      </c>
      <c r="H3319" s="1">
        <f>_xlfn.XLOOKUP(Ocupacao_DW[[#This Row],[Concat]],Vagas!$H:$H,Vagas!$D:$D,"",0)</f>
        <v>0</v>
      </c>
    </row>
    <row r="3320" spans="1:8" x14ac:dyDescent="0.25">
      <c r="A3320" s="2">
        <v>44635</v>
      </c>
      <c r="B3320" s="1" t="s">
        <v>46</v>
      </c>
      <c r="C3320">
        <v>17888</v>
      </c>
      <c r="D3320" s="1" t="s">
        <v>255</v>
      </c>
      <c r="E3320" s="1" t="s">
        <v>4</v>
      </c>
      <c r="F3320">
        <v>40</v>
      </c>
      <c r="G3320" s="1" t="str">
        <f>Ocupacao_DW[[#This Row],[data]]&amp;Ocupacao_DW[[#This Row],[profissional_id]]&amp;Ocupacao_DW[[#This Row],[local_id]]</f>
        <v>446351788840</v>
      </c>
      <c r="H3320" s="1">
        <f>_xlfn.XLOOKUP(Ocupacao_DW[[#This Row],[Concat]],Vagas!$H:$H,Vagas!$D:$D,"",0)</f>
        <v>11</v>
      </c>
    </row>
    <row r="3321" spans="1:8" x14ac:dyDescent="0.25">
      <c r="A3321" s="2">
        <v>44650</v>
      </c>
      <c r="B3321" s="1" t="s">
        <v>51</v>
      </c>
      <c r="C3321">
        <v>12679</v>
      </c>
      <c r="D3321" s="1" t="s">
        <v>192</v>
      </c>
      <c r="E3321" s="1" t="s">
        <v>200</v>
      </c>
      <c r="F3321">
        <v>82</v>
      </c>
      <c r="G3321" s="1" t="str">
        <f>Ocupacao_DW[[#This Row],[data]]&amp;Ocupacao_DW[[#This Row],[profissional_id]]&amp;Ocupacao_DW[[#This Row],[local_id]]</f>
        <v>446501267982</v>
      </c>
      <c r="H3321" s="1">
        <f>_xlfn.XLOOKUP(Ocupacao_DW[[#This Row],[Concat]],Vagas!$H:$H,Vagas!$D:$D,"",0)</f>
        <v>15</v>
      </c>
    </row>
    <row r="3322" spans="1:8" x14ac:dyDescent="0.25">
      <c r="A3322" s="2">
        <v>44635</v>
      </c>
      <c r="B3322" s="1" t="s">
        <v>47</v>
      </c>
      <c r="C3322">
        <v>9111</v>
      </c>
      <c r="D3322" s="1" t="s">
        <v>206</v>
      </c>
      <c r="E3322" s="1" t="s">
        <v>4</v>
      </c>
      <c r="F3322">
        <v>335</v>
      </c>
      <c r="G3322" s="1" t="str">
        <f>Ocupacao_DW[[#This Row],[data]]&amp;Ocupacao_DW[[#This Row],[profissional_id]]&amp;Ocupacao_DW[[#This Row],[local_id]]</f>
        <v>446359111335</v>
      </c>
      <c r="H3322" s="1">
        <f>_xlfn.XLOOKUP(Ocupacao_DW[[#This Row],[Concat]],Vagas!$H:$H,Vagas!$D:$D,"",0)</f>
        <v>0</v>
      </c>
    </row>
    <row r="3323" spans="1:8" x14ac:dyDescent="0.25">
      <c r="A3323" s="2">
        <v>44637</v>
      </c>
      <c r="B3323" s="1" t="s">
        <v>47</v>
      </c>
      <c r="C3323">
        <v>11207</v>
      </c>
      <c r="D3323" s="1" t="s">
        <v>251</v>
      </c>
      <c r="E3323" s="1" t="s">
        <v>4</v>
      </c>
      <c r="F3323">
        <v>51</v>
      </c>
      <c r="G3323" s="1" t="str">
        <f>Ocupacao_DW[[#This Row],[data]]&amp;Ocupacao_DW[[#This Row],[profissional_id]]&amp;Ocupacao_DW[[#This Row],[local_id]]</f>
        <v>446371120751</v>
      </c>
      <c r="H3323" s="1">
        <f>_xlfn.XLOOKUP(Ocupacao_DW[[#This Row],[Concat]],Vagas!$H:$H,Vagas!$D:$D,"",0)</f>
        <v>0</v>
      </c>
    </row>
    <row r="3324" spans="1:8" x14ac:dyDescent="0.25">
      <c r="A3324" s="2">
        <v>44635</v>
      </c>
      <c r="B3324" s="1" t="s">
        <v>46</v>
      </c>
      <c r="C3324">
        <v>17888</v>
      </c>
      <c r="D3324" s="1" t="s">
        <v>255</v>
      </c>
      <c r="E3324" s="1" t="s">
        <v>4</v>
      </c>
      <c r="F3324">
        <v>40</v>
      </c>
      <c r="G3324" s="1" t="str">
        <f>Ocupacao_DW[[#This Row],[data]]&amp;Ocupacao_DW[[#This Row],[profissional_id]]&amp;Ocupacao_DW[[#This Row],[local_id]]</f>
        <v>446351788840</v>
      </c>
      <c r="H3324" s="1">
        <f>_xlfn.XLOOKUP(Ocupacao_DW[[#This Row],[Concat]],Vagas!$H:$H,Vagas!$D:$D,"",0)</f>
        <v>11</v>
      </c>
    </row>
    <row r="3325" spans="1:8" x14ac:dyDescent="0.25">
      <c r="A3325" s="2">
        <v>44642</v>
      </c>
      <c r="B3325" s="1" t="s">
        <v>49</v>
      </c>
      <c r="C3325">
        <v>81</v>
      </c>
      <c r="D3325" s="1" t="s">
        <v>170</v>
      </c>
      <c r="E3325" s="1" t="s">
        <v>4</v>
      </c>
      <c r="F3325">
        <v>41</v>
      </c>
      <c r="G3325" s="1" t="str">
        <f>Ocupacao_DW[[#This Row],[data]]&amp;Ocupacao_DW[[#This Row],[profissional_id]]&amp;Ocupacao_DW[[#This Row],[local_id]]</f>
        <v>446428141</v>
      </c>
      <c r="H3325" s="1">
        <f>_xlfn.XLOOKUP(Ocupacao_DW[[#This Row],[Concat]],Vagas!$H:$H,Vagas!$D:$D,"",0)</f>
        <v>0</v>
      </c>
    </row>
    <row r="3326" spans="1:8" x14ac:dyDescent="0.25">
      <c r="A3326" s="2">
        <v>44639</v>
      </c>
      <c r="B3326" s="1" t="s">
        <v>49</v>
      </c>
      <c r="C3326">
        <v>13756</v>
      </c>
      <c r="D3326" s="1" t="s">
        <v>202</v>
      </c>
      <c r="E3326" s="1" t="s">
        <v>4</v>
      </c>
      <c r="F3326">
        <v>43</v>
      </c>
      <c r="G3326" s="1" t="str">
        <f>Ocupacao_DW[[#This Row],[data]]&amp;Ocupacao_DW[[#This Row],[profissional_id]]&amp;Ocupacao_DW[[#This Row],[local_id]]</f>
        <v>446391375643</v>
      </c>
      <c r="H3326" s="1">
        <f>_xlfn.XLOOKUP(Ocupacao_DW[[#This Row],[Concat]],Vagas!$H:$H,Vagas!$D:$D,"",0)</f>
        <v>0</v>
      </c>
    </row>
    <row r="3327" spans="1:8" x14ac:dyDescent="0.25">
      <c r="A3327" s="2">
        <v>44637</v>
      </c>
      <c r="B3327" s="1" t="s">
        <v>71</v>
      </c>
      <c r="C3327">
        <v>76</v>
      </c>
      <c r="D3327" s="1" t="s">
        <v>227</v>
      </c>
      <c r="E3327" s="1" t="s">
        <v>4</v>
      </c>
      <c r="F3327">
        <v>48</v>
      </c>
      <c r="G3327" s="1" t="str">
        <f>Ocupacao_DW[[#This Row],[data]]&amp;Ocupacao_DW[[#This Row],[profissional_id]]&amp;Ocupacao_DW[[#This Row],[local_id]]</f>
        <v>446377648</v>
      </c>
      <c r="H3327" s="1">
        <f>_xlfn.XLOOKUP(Ocupacao_DW[[#This Row],[Concat]],Vagas!$H:$H,Vagas!$D:$D,"",0)</f>
        <v>0</v>
      </c>
    </row>
    <row r="3328" spans="1:8" x14ac:dyDescent="0.25">
      <c r="A3328" s="2">
        <v>44641</v>
      </c>
      <c r="B3328" s="1" t="s">
        <v>72</v>
      </c>
      <c r="C3328">
        <v>6046</v>
      </c>
      <c r="D3328" s="1" t="s">
        <v>222</v>
      </c>
      <c r="E3328" s="1" t="s">
        <v>4</v>
      </c>
      <c r="F3328">
        <v>46</v>
      </c>
      <c r="G3328" s="1" t="str">
        <f>Ocupacao_DW[[#This Row],[data]]&amp;Ocupacao_DW[[#This Row],[profissional_id]]&amp;Ocupacao_DW[[#This Row],[local_id]]</f>
        <v>44641604646</v>
      </c>
      <c r="H3328" s="1">
        <f>_xlfn.XLOOKUP(Ocupacao_DW[[#This Row],[Concat]],Vagas!$H:$H,Vagas!$D:$D,"",0)</f>
        <v>0</v>
      </c>
    </row>
    <row r="3329" spans="1:8" x14ac:dyDescent="0.25">
      <c r="A3329" s="2">
        <v>44636</v>
      </c>
      <c r="B3329" s="1" t="s">
        <v>47</v>
      </c>
      <c r="C3329">
        <v>17859</v>
      </c>
      <c r="D3329" s="1" t="s">
        <v>212</v>
      </c>
      <c r="E3329" s="1" t="s">
        <v>4</v>
      </c>
      <c r="F3329">
        <v>336</v>
      </c>
      <c r="G3329" s="1" t="str">
        <f>Ocupacao_DW[[#This Row],[data]]&amp;Ocupacao_DW[[#This Row],[profissional_id]]&amp;Ocupacao_DW[[#This Row],[local_id]]</f>
        <v>4463617859336</v>
      </c>
      <c r="H3329" s="1">
        <f>_xlfn.XLOOKUP(Ocupacao_DW[[#This Row],[Concat]],Vagas!$H:$H,Vagas!$D:$D,"",0)</f>
        <v>0</v>
      </c>
    </row>
    <row r="3330" spans="1:8" x14ac:dyDescent="0.25">
      <c r="A3330" s="2">
        <v>44639</v>
      </c>
      <c r="B3330" s="1" t="s">
        <v>52</v>
      </c>
      <c r="C3330">
        <v>60</v>
      </c>
      <c r="D3330" s="1" t="s">
        <v>217</v>
      </c>
      <c r="E3330" s="1" t="s">
        <v>6</v>
      </c>
      <c r="F3330">
        <v>8</v>
      </c>
      <c r="G3330" s="1" t="str">
        <f>Ocupacao_DW[[#This Row],[data]]&amp;Ocupacao_DW[[#This Row],[profissional_id]]&amp;Ocupacao_DW[[#This Row],[local_id]]</f>
        <v>44639608</v>
      </c>
      <c r="H3330" s="1">
        <f>_xlfn.XLOOKUP(Ocupacao_DW[[#This Row],[Concat]],Vagas!$H:$H,Vagas!$D:$D,"",0)</f>
        <v>0</v>
      </c>
    </row>
    <row r="3331" spans="1:8" x14ac:dyDescent="0.25">
      <c r="A3331" s="2">
        <v>44635</v>
      </c>
      <c r="B3331" s="1" t="s">
        <v>54</v>
      </c>
      <c r="C3331">
        <v>12623</v>
      </c>
      <c r="D3331" s="1" t="s">
        <v>258</v>
      </c>
      <c r="E3331" s="1" t="s">
        <v>5</v>
      </c>
      <c r="F3331">
        <v>11</v>
      </c>
      <c r="G3331" s="1" t="str">
        <f>Ocupacao_DW[[#This Row],[data]]&amp;Ocupacao_DW[[#This Row],[profissional_id]]&amp;Ocupacao_DW[[#This Row],[local_id]]</f>
        <v>446351262311</v>
      </c>
      <c r="H3331" s="1">
        <f>_xlfn.XLOOKUP(Ocupacao_DW[[#This Row],[Concat]],Vagas!$H:$H,Vagas!$D:$D,"",0)</f>
        <v>0</v>
      </c>
    </row>
    <row r="3332" spans="1:8" x14ac:dyDescent="0.25">
      <c r="A3332" s="2">
        <v>44639</v>
      </c>
      <c r="B3332" s="1" t="s">
        <v>47</v>
      </c>
      <c r="C3332">
        <v>111</v>
      </c>
      <c r="D3332" s="1" t="s">
        <v>199</v>
      </c>
      <c r="E3332" s="1" t="s">
        <v>4</v>
      </c>
      <c r="F3332">
        <v>51</v>
      </c>
      <c r="G3332" s="1" t="str">
        <f>Ocupacao_DW[[#This Row],[data]]&amp;Ocupacao_DW[[#This Row],[profissional_id]]&amp;Ocupacao_DW[[#This Row],[local_id]]</f>
        <v>4463911151</v>
      </c>
      <c r="H3332" s="1">
        <f>_xlfn.XLOOKUP(Ocupacao_DW[[#This Row],[Concat]],Vagas!$H:$H,Vagas!$D:$D,"",0)</f>
        <v>0</v>
      </c>
    </row>
    <row r="3333" spans="1:8" x14ac:dyDescent="0.25">
      <c r="A3333" s="2">
        <v>44646</v>
      </c>
      <c r="B3333" s="1" t="s">
        <v>55</v>
      </c>
      <c r="C3333">
        <v>17879</v>
      </c>
      <c r="D3333" s="1" t="s">
        <v>233</v>
      </c>
      <c r="E3333" s="1" t="s">
        <v>6</v>
      </c>
      <c r="F3333">
        <v>3</v>
      </c>
      <c r="G3333" s="1" t="str">
        <f>Ocupacao_DW[[#This Row],[data]]&amp;Ocupacao_DW[[#This Row],[profissional_id]]&amp;Ocupacao_DW[[#This Row],[local_id]]</f>
        <v>44646178793</v>
      </c>
      <c r="H3333" s="1">
        <f>_xlfn.XLOOKUP(Ocupacao_DW[[#This Row],[Concat]],Vagas!$H:$H,Vagas!$D:$D,"",0)</f>
        <v>0</v>
      </c>
    </row>
    <row r="3334" spans="1:8" x14ac:dyDescent="0.25">
      <c r="A3334" s="2">
        <v>44636</v>
      </c>
      <c r="B3334" s="1" t="s">
        <v>62</v>
      </c>
      <c r="C3334">
        <v>3502</v>
      </c>
      <c r="D3334" s="1" t="s">
        <v>214</v>
      </c>
      <c r="E3334" s="1" t="s">
        <v>5</v>
      </c>
      <c r="F3334">
        <v>16</v>
      </c>
      <c r="G3334" s="1" t="str">
        <f>Ocupacao_DW[[#This Row],[data]]&amp;Ocupacao_DW[[#This Row],[profissional_id]]&amp;Ocupacao_DW[[#This Row],[local_id]]</f>
        <v>44636350216</v>
      </c>
      <c r="H3334" s="1">
        <f>_xlfn.XLOOKUP(Ocupacao_DW[[#This Row],[Concat]],Vagas!$H:$H,Vagas!$D:$D,"",0)</f>
        <v>0</v>
      </c>
    </row>
    <row r="3335" spans="1:8" x14ac:dyDescent="0.25">
      <c r="A3335" s="2">
        <v>44637</v>
      </c>
      <c r="B3335" s="1" t="s">
        <v>49</v>
      </c>
      <c r="C3335">
        <v>3092</v>
      </c>
      <c r="D3335" s="1" t="s">
        <v>262</v>
      </c>
      <c r="E3335" s="1" t="s">
        <v>4</v>
      </c>
      <c r="F3335">
        <v>43</v>
      </c>
      <c r="G3335" s="1" t="str">
        <f>Ocupacao_DW[[#This Row],[data]]&amp;Ocupacao_DW[[#This Row],[profissional_id]]&amp;Ocupacao_DW[[#This Row],[local_id]]</f>
        <v>44637309243</v>
      </c>
      <c r="H3335" s="1">
        <f>_xlfn.XLOOKUP(Ocupacao_DW[[#This Row],[Concat]],Vagas!$H:$H,Vagas!$D:$D,"",0)</f>
        <v>0</v>
      </c>
    </row>
    <row r="3336" spans="1:8" x14ac:dyDescent="0.25">
      <c r="A3336" s="2">
        <v>44638</v>
      </c>
      <c r="B3336" s="1" t="s">
        <v>24</v>
      </c>
      <c r="C3336">
        <v>60</v>
      </c>
      <c r="D3336" s="1" t="s">
        <v>217</v>
      </c>
      <c r="E3336" s="1" t="s">
        <v>6</v>
      </c>
      <c r="F3336">
        <v>1</v>
      </c>
      <c r="G3336" s="1" t="str">
        <f>Ocupacao_DW[[#This Row],[data]]&amp;Ocupacao_DW[[#This Row],[profissional_id]]&amp;Ocupacao_DW[[#This Row],[local_id]]</f>
        <v>44638601</v>
      </c>
      <c r="H3336" s="1">
        <f>_xlfn.XLOOKUP(Ocupacao_DW[[#This Row],[Concat]],Vagas!$H:$H,Vagas!$D:$D,"",0)</f>
        <v>0</v>
      </c>
    </row>
    <row r="3337" spans="1:8" x14ac:dyDescent="0.25">
      <c r="A3337" s="2">
        <v>44635</v>
      </c>
      <c r="B3337" s="1" t="s">
        <v>47</v>
      </c>
      <c r="C3337">
        <v>9111</v>
      </c>
      <c r="D3337" s="1" t="s">
        <v>206</v>
      </c>
      <c r="E3337" s="1" t="s">
        <v>4</v>
      </c>
      <c r="F3337">
        <v>335</v>
      </c>
      <c r="G3337" s="1" t="str">
        <f>Ocupacao_DW[[#This Row],[data]]&amp;Ocupacao_DW[[#This Row],[profissional_id]]&amp;Ocupacao_DW[[#This Row],[local_id]]</f>
        <v>446359111335</v>
      </c>
      <c r="H3337" s="1">
        <f>_xlfn.XLOOKUP(Ocupacao_DW[[#This Row],[Concat]],Vagas!$H:$H,Vagas!$D:$D,"",0)</f>
        <v>0</v>
      </c>
    </row>
    <row r="3338" spans="1:8" x14ac:dyDescent="0.25">
      <c r="A3338" s="2">
        <v>44636</v>
      </c>
      <c r="B3338" s="1" t="s">
        <v>49</v>
      </c>
      <c r="C3338">
        <v>81</v>
      </c>
      <c r="D3338" s="1" t="s">
        <v>170</v>
      </c>
      <c r="E3338" s="1" t="s">
        <v>4</v>
      </c>
      <c r="F3338">
        <v>41</v>
      </c>
      <c r="G3338" s="1" t="str">
        <f>Ocupacao_DW[[#This Row],[data]]&amp;Ocupacao_DW[[#This Row],[profissional_id]]&amp;Ocupacao_DW[[#This Row],[local_id]]</f>
        <v>446368141</v>
      </c>
      <c r="H3338" s="1">
        <f>_xlfn.XLOOKUP(Ocupacao_DW[[#This Row],[Concat]],Vagas!$H:$H,Vagas!$D:$D,"",0)</f>
        <v>0</v>
      </c>
    </row>
    <row r="3339" spans="1:8" x14ac:dyDescent="0.25">
      <c r="A3339" s="2">
        <v>44635</v>
      </c>
      <c r="B3339" s="1" t="s">
        <v>65</v>
      </c>
      <c r="C3339">
        <v>11652</v>
      </c>
      <c r="D3339" s="1" t="s">
        <v>242</v>
      </c>
      <c r="E3339" s="1" t="s">
        <v>4</v>
      </c>
      <c r="F3339">
        <v>47</v>
      </c>
      <c r="G3339" s="1" t="str">
        <f>Ocupacao_DW[[#This Row],[data]]&amp;Ocupacao_DW[[#This Row],[profissional_id]]&amp;Ocupacao_DW[[#This Row],[local_id]]</f>
        <v>446351165247</v>
      </c>
      <c r="H3339" s="1">
        <f>_xlfn.XLOOKUP(Ocupacao_DW[[#This Row],[Concat]],Vagas!$H:$H,Vagas!$D:$D,"",0)</f>
        <v>0</v>
      </c>
    </row>
    <row r="3340" spans="1:8" x14ac:dyDescent="0.25">
      <c r="A3340" s="2">
        <v>44635</v>
      </c>
      <c r="B3340" s="1" t="s">
        <v>70</v>
      </c>
      <c r="C3340">
        <v>12825</v>
      </c>
      <c r="D3340" s="1" t="s">
        <v>177</v>
      </c>
      <c r="E3340" s="1" t="s">
        <v>7</v>
      </c>
      <c r="F3340">
        <v>63</v>
      </c>
      <c r="G3340" s="1" t="str">
        <f>Ocupacao_DW[[#This Row],[data]]&amp;Ocupacao_DW[[#This Row],[profissional_id]]&amp;Ocupacao_DW[[#This Row],[local_id]]</f>
        <v>446351282563</v>
      </c>
      <c r="H3340" s="1">
        <f>_xlfn.XLOOKUP(Ocupacao_DW[[#This Row],[Concat]],Vagas!$H:$H,Vagas!$D:$D,"",0)</f>
        <v>0</v>
      </c>
    </row>
    <row r="3341" spans="1:8" x14ac:dyDescent="0.25">
      <c r="A3341" s="2">
        <v>44642</v>
      </c>
      <c r="B3341" s="1" t="s">
        <v>43</v>
      </c>
      <c r="C3341">
        <v>57</v>
      </c>
      <c r="D3341" s="1" t="s">
        <v>169</v>
      </c>
      <c r="E3341" s="1" t="s">
        <v>6</v>
      </c>
      <c r="F3341">
        <v>2</v>
      </c>
      <c r="G3341" s="1" t="str">
        <f>Ocupacao_DW[[#This Row],[data]]&amp;Ocupacao_DW[[#This Row],[profissional_id]]&amp;Ocupacao_DW[[#This Row],[local_id]]</f>
        <v>44642572</v>
      </c>
      <c r="H3341" s="1">
        <f>_xlfn.XLOOKUP(Ocupacao_DW[[#This Row],[Concat]],Vagas!$H:$H,Vagas!$D:$D,"",0)</f>
        <v>19</v>
      </c>
    </row>
    <row r="3342" spans="1:8" x14ac:dyDescent="0.25">
      <c r="A3342" s="2">
        <v>44651</v>
      </c>
      <c r="B3342" s="1" t="s">
        <v>70</v>
      </c>
      <c r="C3342">
        <v>12519</v>
      </c>
      <c r="D3342" s="1" t="s">
        <v>176</v>
      </c>
      <c r="E3342" s="1" t="s">
        <v>4</v>
      </c>
      <c r="F3342">
        <v>42</v>
      </c>
      <c r="G3342" s="1" t="str">
        <f>Ocupacao_DW[[#This Row],[data]]&amp;Ocupacao_DW[[#This Row],[profissional_id]]&amp;Ocupacao_DW[[#This Row],[local_id]]</f>
        <v>446511251942</v>
      </c>
      <c r="H3342" s="1">
        <f>_xlfn.XLOOKUP(Ocupacao_DW[[#This Row],[Concat]],Vagas!$H:$H,Vagas!$D:$D,"",0)</f>
        <v>0</v>
      </c>
    </row>
    <row r="3343" spans="1:8" x14ac:dyDescent="0.25">
      <c r="A3343" s="2">
        <v>44635</v>
      </c>
      <c r="B3343" s="1" t="s">
        <v>65</v>
      </c>
      <c r="C3343">
        <v>11237</v>
      </c>
      <c r="D3343" s="1" t="s">
        <v>229</v>
      </c>
      <c r="E3343" s="1" t="s">
        <v>4</v>
      </c>
      <c r="F3343">
        <v>46</v>
      </c>
      <c r="G3343" s="1" t="str">
        <f>Ocupacao_DW[[#This Row],[data]]&amp;Ocupacao_DW[[#This Row],[profissional_id]]&amp;Ocupacao_DW[[#This Row],[local_id]]</f>
        <v>446351123746</v>
      </c>
      <c r="H3343" s="1">
        <f>_xlfn.XLOOKUP(Ocupacao_DW[[#This Row],[Concat]],Vagas!$H:$H,Vagas!$D:$D,"",0)</f>
        <v>0</v>
      </c>
    </row>
    <row r="3344" spans="1:8" x14ac:dyDescent="0.25">
      <c r="A3344" s="2">
        <v>44644</v>
      </c>
      <c r="B3344" s="1" t="s">
        <v>55</v>
      </c>
      <c r="C3344">
        <v>8598</v>
      </c>
      <c r="D3344" s="1" t="s">
        <v>228</v>
      </c>
      <c r="E3344" s="1" t="s">
        <v>6</v>
      </c>
      <c r="F3344">
        <v>3</v>
      </c>
      <c r="G3344" s="1" t="str">
        <f>Ocupacao_DW[[#This Row],[data]]&amp;Ocupacao_DW[[#This Row],[profissional_id]]&amp;Ocupacao_DW[[#This Row],[local_id]]</f>
        <v>4464485983</v>
      </c>
      <c r="H3344" s="1">
        <f>_xlfn.XLOOKUP(Ocupacao_DW[[#This Row],[Concat]],Vagas!$H:$H,Vagas!$D:$D,"",0)</f>
        <v>0</v>
      </c>
    </row>
    <row r="3345" spans="1:8" x14ac:dyDescent="0.25">
      <c r="A3345" s="2">
        <v>44644</v>
      </c>
      <c r="B3345" s="1" t="s">
        <v>47</v>
      </c>
      <c r="C3345">
        <v>11312</v>
      </c>
      <c r="D3345" s="1" t="s">
        <v>207</v>
      </c>
      <c r="E3345" s="1" t="s">
        <v>4</v>
      </c>
      <c r="F3345">
        <v>336</v>
      </c>
      <c r="G3345" s="1" t="str">
        <f>Ocupacao_DW[[#This Row],[data]]&amp;Ocupacao_DW[[#This Row],[profissional_id]]&amp;Ocupacao_DW[[#This Row],[local_id]]</f>
        <v>4464411312336</v>
      </c>
      <c r="H3345" s="1">
        <f>_xlfn.XLOOKUP(Ocupacao_DW[[#This Row],[Concat]],Vagas!$H:$H,Vagas!$D:$D,"",0)</f>
        <v>20</v>
      </c>
    </row>
    <row r="3346" spans="1:8" x14ac:dyDescent="0.25">
      <c r="A3346" s="2">
        <v>44644</v>
      </c>
      <c r="B3346" s="1" t="s">
        <v>47</v>
      </c>
      <c r="C3346">
        <v>11312</v>
      </c>
      <c r="D3346" s="1" t="s">
        <v>207</v>
      </c>
      <c r="E3346" s="1" t="s">
        <v>4</v>
      </c>
      <c r="F3346">
        <v>336</v>
      </c>
      <c r="G3346" s="1" t="str">
        <f>Ocupacao_DW[[#This Row],[data]]&amp;Ocupacao_DW[[#This Row],[profissional_id]]&amp;Ocupacao_DW[[#This Row],[local_id]]</f>
        <v>4464411312336</v>
      </c>
      <c r="H3346" s="1">
        <f>_xlfn.XLOOKUP(Ocupacao_DW[[#This Row],[Concat]],Vagas!$H:$H,Vagas!$D:$D,"",0)</f>
        <v>20</v>
      </c>
    </row>
    <row r="3347" spans="1:8" x14ac:dyDescent="0.25">
      <c r="A3347" s="2">
        <v>44637</v>
      </c>
      <c r="B3347" s="1" t="s">
        <v>56</v>
      </c>
      <c r="C3347">
        <v>5822</v>
      </c>
      <c r="D3347" s="1" t="s">
        <v>194</v>
      </c>
      <c r="E3347" s="1" t="s">
        <v>5</v>
      </c>
      <c r="F3347">
        <v>11</v>
      </c>
      <c r="G3347" s="1" t="str">
        <f>Ocupacao_DW[[#This Row],[data]]&amp;Ocupacao_DW[[#This Row],[profissional_id]]&amp;Ocupacao_DW[[#This Row],[local_id]]</f>
        <v>44637582211</v>
      </c>
      <c r="H3347" s="1">
        <f>_xlfn.XLOOKUP(Ocupacao_DW[[#This Row],[Concat]],Vagas!$H:$H,Vagas!$D:$D,"",0)</f>
        <v>0</v>
      </c>
    </row>
    <row r="3348" spans="1:8" x14ac:dyDescent="0.25">
      <c r="A3348" s="2">
        <v>44644</v>
      </c>
      <c r="B3348" s="1" t="s">
        <v>52</v>
      </c>
      <c r="C3348">
        <v>60</v>
      </c>
      <c r="D3348" s="1" t="s">
        <v>217</v>
      </c>
      <c r="E3348" s="1" t="s">
        <v>167</v>
      </c>
      <c r="F3348">
        <v>346</v>
      </c>
      <c r="G3348" s="1" t="str">
        <f>Ocupacao_DW[[#This Row],[data]]&amp;Ocupacao_DW[[#This Row],[profissional_id]]&amp;Ocupacao_DW[[#This Row],[local_id]]</f>
        <v>4464460346</v>
      </c>
      <c r="H3348" s="1">
        <f>_xlfn.XLOOKUP(Ocupacao_DW[[#This Row],[Concat]],Vagas!$H:$H,Vagas!$D:$D,"",0)</f>
        <v>0</v>
      </c>
    </row>
    <row r="3349" spans="1:8" x14ac:dyDescent="0.25">
      <c r="A3349" s="2">
        <v>44643</v>
      </c>
      <c r="B3349" s="1" t="s">
        <v>57</v>
      </c>
      <c r="C3349">
        <v>80</v>
      </c>
      <c r="D3349" s="1" t="s">
        <v>179</v>
      </c>
      <c r="E3349" s="1" t="s">
        <v>167</v>
      </c>
      <c r="F3349">
        <v>346</v>
      </c>
      <c r="G3349" s="1" t="str">
        <f>Ocupacao_DW[[#This Row],[data]]&amp;Ocupacao_DW[[#This Row],[profissional_id]]&amp;Ocupacao_DW[[#This Row],[local_id]]</f>
        <v>4464380346</v>
      </c>
      <c r="H3349" s="1">
        <f>_xlfn.XLOOKUP(Ocupacao_DW[[#This Row],[Concat]],Vagas!$H:$H,Vagas!$D:$D,"",0)</f>
        <v>0</v>
      </c>
    </row>
    <row r="3350" spans="1:8" x14ac:dyDescent="0.25">
      <c r="A3350" s="2">
        <v>44635</v>
      </c>
      <c r="B3350" s="1" t="s">
        <v>49</v>
      </c>
      <c r="C3350">
        <v>81</v>
      </c>
      <c r="D3350" s="1" t="s">
        <v>170</v>
      </c>
      <c r="E3350" s="1" t="s">
        <v>4</v>
      </c>
      <c r="F3350">
        <v>41</v>
      </c>
      <c r="G3350" s="1" t="str">
        <f>Ocupacao_DW[[#This Row],[data]]&amp;Ocupacao_DW[[#This Row],[profissional_id]]&amp;Ocupacao_DW[[#This Row],[local_id]]</f>
        <v>446358141</v>
      </c>
      <c r="H3350" s="1">
        <f>_xlfn.XLOOKUP(Ocupacao_DW[[#This Row],[Concat]],Vagas!$H:$H,Vagas!$D:$D,"",0)</f>
        <v>0</v>
      </c>
    </row>
    <row r="3351" spans="1:8" x14ac:dyDescent="0.25">
      <c r="A3351" s="2">
        <v>44642</v>
      </c>
      <c r="B3351" s="1" t="s">
        <v>54</v>
      </c>
      <c r="C3351">
        <v>10941</v>
      </c>
      <c r="D3351" s="1" t="s">
        <v>224</v>
      </c>
      <c r="E3351" s="1" t="s">
        <v>200</v>
      </c>
      <c r="F3351">
        <v>83</v>
      </c>
      <c r="G3351" s="1" t="str">
        <f>Ocupacao_DW[[#This Row],[data]]&amp;Ocupacao_DW[[#This Row],[profissional_id]]&amp;Ocupacao_DW[[#This Row],[local_id]]</f>
        <v>446421094183</v>
      </c>
      <c r="H3351" s="1">
        <f>_xlfn.XLOOKUP(Ocupacao_DW[[#This Row],[Concat]],Vagas!$H:$H,Vagas!$D:$D,"",0)</f>
        <v>0</v>
      </c>
    </row>
    <row r="3352" spans="1:8" x14ac:dyDescent="0.25">
      <c r="A3352" s="2">
        <v>44643</v>
      </c>
      <c r="B3352" s="1" t="s">
        <v>49</v>
      </c>
      <c r="C3352">
        <v>10600</v>
      </c>
      <c r="D3352" s="1" t="s">
        <v>248</v>
      </c>
      <c r="E3352" s="1" t="s">
        <v>7</v>
      </c>
      <c r="F3352">
        <v>71</v>
      </c>
      <c r="G3352" s="1" t="str">
        <f>Ocupacao_DW[[#This Row],[data]]&amp;Ocupacao_DW[[#This Row],[profissional_id]]&amp;Ocupacao_DW[[#This Row],[local_id]]</f>
        <v>446431060071</v>
      </c>
      <c r="H3352" s="1">
        <f>_xlfn.XLOOKUP(Ocupacao_DW[[#This Row],[Concat]],Vagas!$H:$H,Vagas!$D:$D,"",0)</f>
        <v>0</v>
      </c>
    </row>
    <row r="3353" spans="1:8" x14ac:dyDescent="0.25">
      <c r="A3353" s="2">
        <v>44646</v>
      </c>
      <c r="B3353" s="1" t="s">
        <v>60</v>
      </c>
      <c r="C3353">
        <v>117</v>
      </c>
      <c r="D3353" s="1" t="s">
        <v>180</v>
      </c>
      <c r="E3353" s="1" t="s">
        <v>4</v>
      </c>
      <c r="F3353">
        <v>48</v>
      </c>
      <c r="G3353" s="1" t="str">
        <f>Ocupacao_DW[[#This Row],[data]]&amp;Ocupacao_DW[[#This Row],[profissional_id]]&amp;Ocupacao_DW[[#This Row],[local_id]]</f>
        <v>4464611748</v>
      </c>
      <c r="H3353" s="1">
        <f>_xlfn.XLOOKUP(Ocupacao_DW[[#This Row],[Concat]],Vagas!$H:$H,Vagas!$D:$D,"",0)</f>
        <v>0</v>
      </c>
    </row>
    <row r="3354" spans="1:8" x14ac:dyDescent="0.25">
      <c r="A3354" s="2">
        <v>44639</v>
      </c>
      <c r="B3354" s="1" t="s">
        <v>52</v>
      </c>
      <c r="C3354">
        <v>60</v>
      </c>
      <c r="D3354" s="1" t="s">
        <v>217</v>
      </c>
      <c r="E3354" s="1" t="s">
        <v>6</v>
      </c>
      <c r="F3354">
        <v>8</v>
      </c>
      <c r="G3354" s="1" t="str">
        <f>Ocupacao_DW[[#This Row],[data]]&amp;Ocupacao_DW[[#This Row],[profissional_id]]&amp;Ocupacao_DW[[#This Row],[local_id]]</f>
        <v>44639608</v>
      </c>
      <c r="H3354" s="1">
        <f>_xlfn.XLOOKUP(Ocupacao_DW[[#This Row],[Concat]],Vagas!$H:$H,Vagas!$D:$D,"",0)</f>
        <v>0</v>
      </c>
    </row>
    <row r="3355" spans="1:8" x14ac:dyDescent="0.25">
      <c r="A3355" s="2">
        <v>44648</v>
      </c>
      <c r="B3355" s="1" t="s">
        <v>55</v>
      </c>
      <c r="C3355">
        <v>6392</v>
      </c>
      <c r="D3355" s="1" t="s">
        <v>173</v>
      </c>
      <c r="E3355" s="1" t="s">
        <v>6</v>
      </c>
      <c r="F3355">
        <v>5</v>
      </c>
      <c r="G3355" s="1" t="str">
        <f>Ocupacao_DW[[#This Row],[data]]&amp;Ocupacao_DW[[#This Row],[profissional_id]]&amp;Ocupacao_DW[[#This Row],[local_id]]</f>
        <v>4464863925</v>
      </c>
      <c r="H3355" s="1">
        <f>_xlfn.XLOOKUP(Ocupacao_DW[[#This Row],[Concat]],Vagas!$H:$H,Vagas!$D:$D,"",0)</f>
        <v>0</v>
      </c>
    </row>
    <row r="3356" spans="1:8" x14ac:dyDescent="0.25">
      <c r="A3356" s="2">
        <v>44636</v>
      </c>
      <c r="B3356" s="1" t="s">
        <v>52</v>
      </c>
      <c r="C3356">
        <v>10946</v>
      </c>
      <c r="D3356" s="1" t="s">
        <v>209</v>
      </c>
      <c r="E3356" s="1" t="s">
        <v>7</v>
      </c>
      <c r="F3356">
        <v>60</v>
      </c>
      <c r="G3356" s="1" t="str">
        <f>Ocupacao_DW[[#This Row],[data]]&amp;Ocupacao_DW[[#This Row],[profissional_id]]&amp;Ocupacao_DW[[#This Row],[local_id]]</f>
        <v>446361094660</v>
      </c>
      <c r="H3356" s="1">
        <f>_xlfn.XLOOKUP(Ocupacao_DW[[#This Row],[Concat]],Vagas!$H:$H,Vagas!$D:$D,"",0)</f>
        <v>0</v>
      </c>
    </row>
    <row r="3357" spans="1:8" x14ac:dyDescent="0.25">
      <c r="A3357" s="2">
        <v>44635</v>
      </c>
      <c r="B3357" s="1" t="s">
        <v>49</v>
      </c>
      <c r="C3357">
        <v>81</v>
      </c>
      <c r="D3357" s="1" t="s">
        <v>170</v>
      </c>
      <c r="E3357" s="1" t="s">
        <v>7</v>
      </c>
      <c r="F3357">
        <v>71</v>
      </c>
      <c r="G3357" s="1" t="str">
        <f>Ocupacao_DW[[#This Row],[data]]&amp;Ocupacao_DW[[#This Row],[profissional_id]]&amp;Ocupacao_DW[[#This Row],[local_id]]</f>
        <v>446358171</v>
      </c>
      <c r="H3357" s="1">
        <f>_xlfn.XLOOKUP(Ocupacao_DW[[#This Row],[Concat]],Vagas!$H:$H,Vagas!$D:$D,"",0)</f>
        <v>0</v>
      </c>
    </row>
    <row r="3358" spans="1:8" x14ac:dyDescent="0.25">
      <c r="A3358" s="2">
        <v>44635</v>
      </c>
      <c r="B3358" s="1" t="s">
        <v>53</v>
      </c>
      <c r="C3358">
        <v>9138</v>
      </c>
      <c r="D3358" s="1" t="s">
        <v>184</v>
      </c>
      <c r="E3358" s="1" t="s">
        <v>167</v>
      </c>
      <c r="F3358">
        <v>344</v>
      </c>
      <c r="G3358" s="1" t="str">
        <f>Ocupacao_DW[[#This Row],[data]]&amp;Ocupacao_DW[[#This Row],[profissional_id]]&amp;Ocupacao_DW[[#This Row],[local_id]]</f>
        <v>446359138344</v>
      </c>
      <c r="H3358" s="1">
        <f>_xlfn.XLOOKUP(Ocupacao_DW[[#This Row],[Concat]],Vagas!$H:$H,Vagas!$D:$D,"",0)</f>
        <v>0</v>
      </c>
    </row>
    <row r="3359" spans="1:8" x14ac:dyDescent="0.25">
      <c r="A3359" s="2">
        <v>44637</v>
      </c>
      <c r="B3359" s="1" t="s">
        <v>73</v>
      </c>
      <c r="C3359">
        <v>10691</v>
      </c>
      <c r="D3359" s="1" t="s">
        <v>181</v>
      </c>
      <c r="E3359" s="1" t="s">
        <v>167</v>
      </c>
      <c r="F3359">
        <v>348</v>
      </c>
      <c r="G3359" s="1" t="str">
        <f>Ocupacao_DW[[#This Row],[data]]&amp;Ocupacao_DW[[#This Row],[profissional_id]]&amp;Ocupacao_DW[[#This Row],[local_id]]</f>
        <v>4463710691348</v>
      </c>
      <c r="H3359" s="1">
        <f>_xlfn.XLOOKUP(Ocupacao_DW[[#This Row],[Concat]],Vagas!$H:$H,Vagas!$D:$D,"",0)</f>
        <v>0</v>
      </c>
    </row>
    <row r="3360" spans="1:8" x14ac:dyDescent="0.25">
      <c r="A3360" s="2">
        <v>44643</v>
      </c>
      <c r="B3360" s="1" t="s">
        <v>51</v>
      </c>
      <c r="C3360">
        <v>17859</v>
      </c>
      <c r="D3360" s="1" t="s">
        <v>212</v>
      </c>
      <c r="E3360" s="1" t="s">
        <v>6</v>
      </c>
      <c r="F3360">
        <v>7</v>
      </c>
      <c r="G3360" s="1" t="str">
        <f>Ocupacao_DW[[#This Row],[data]]&amp;Ocupacao_DW[[#This Row],[profissional_id]]&amp;Ocupacao_DW[[#This Row],[local_id]]</f>
        <v>44643178597</v>
      </c>
      <c r="H3360" s="1">
        <f>_xlfn.XLOOKUP(Ocupacao_DW[[#This Row],[Concat]],Vagas!$H:$H,Vagas!$D:$D,"",0)</f>
        <v>0</v>
      </c>
    </row>
    <row r="3361" spans="1:8" x14ac:dyDescent="0.25">
      <c r="A3361" s="2">
        <v>44643</v>
      </c>
      <c r="B3361" s="1" t="s">
        <v>70</v>
      </c>
      <c r="C3361">
        <v>12825</v>
      </c>
      <c r="D3361" s="1" t="s">
        <v>177</v>
      </c>
      <c r="E3361" s="1" t="s">
        <v>4</v>
      </c>
      <c r="F3361">
        <v>45</v>
      </c>
      <c r="G3361" s="1" t="str">
        <f>Ocupacao_DW[[#This Row],[data]]&amp;Ocupacao_DW[[#This Row],[profissional_id]]&amp;Ocupacao_DW[[#This Row],[local_id]]</f>
        <v>446431282545</v>
      </c>
      <c r="H3361" s="1">
        <f>_xlfn.XLOOKUP(Ocupacao_DW[[#This Row],[Concat]],Vagas!$H:$H,Vagas!$D:$D,"",0)</f>
        <v>0</v>
      </c>
    </row>
    <row r="3362" spans="1:8" x14ac:dyDescent="0.25">
      <c r="A3362" s="2">
        <v>44635</v>
      </c>
      <c r="B3362" s="1" t="s">
        <v>49</v>
      </c>
      <c r="C3362">
        <v>81</v>
      </c>
      <c r="D3362" s="1" t="s">
        <v>170</v>
      </c>
      <c r="E3362" s="1" t="s">
        <v>4</v>
      </c>
      <c r="F3362">
        <v>41</v>
      </c>
      <c r="G3362" s="1" t="str">
        <f>Ocupacao_DW[[#This Row],[data]]&amp;Ocupacao_DW[[#This Row],[profissional_id]]&amp;Ocupacao_DW[[#This Row],[local_id]]</f>
        <v>446358141</v>
      </c>
      <c r="H3362" s="1">
        <f>_xlfn.XLOOKUP(Ocupacao_DW[[#This Row],[Concat]],Vagas!$H:$H,Vagas!$D:$D,"",0)</f>
        <v>0</v>
      </c>
    </row>
    <row r="3363" spans="1:8" x14ac:dyDescent="0.25">
      <c r="A3363" s="2">
        <v>44636</v>
      </c>
      <c r="B3363" s="1" t="s">
        <v>56</v>
      </c>
      <c r="C3363">
        <v>5927</v>
      </c>
      <c r="D3363" s="1" t="s">
        <v>226</v>
      </c>
      <c r="E3363" s="1" t="s">
        <v>5</v>
      </c>
      <c r="F3363">
        <v>17</v>
      </c>
      <c r="G3363" s="1" t="str">
        <f>Ocupacao_DW[[#This Row],[data]]&amp;Ocupacao_DW[[#This Row],[profissional_id]]&amp;Ocupacao_DW[[#This Row],[local_id]]</f>
        <v>44636592717</v>
      </c>
      <c r="H3363" s="1">
        <f>_xlfn.XLOOKUP(Ocupacao_DW[[#This Row],[Concat]],Vagas!$H:$H,Vagas!$D:$D,"",0)</f>
        <v>0</v>
      </c>
    </row>
    <row r="3364" spans="1:8" x14ac:dyDescent="0.25">
      <c r="A3364" s="2">
        <v>44635</v>
      </c>
      <c r="B3364" s="1" t="s">
        <v>65</v>
      </c>
      <c r="C3364">
        <v>11237</v>
      </c>
      <c r="D3364" s="1" t="s">
        <v>229</v>
      </c>
      <c r="E3364" s="1" t="s">
        <v>4</v>
      </c>
      <c r="F3364">
        <v>46</v>
      </c>
      <c r="G3364" s="1" t="str">
        <f>Ocupacao_DW[[#This Row],[data]]&amp;Ocupacao_DW[[#This Row],[profissional_id]]&amp;Ocupacao_DW[[#This Row],[local_id]]</f>
        <v>446351123746</v>
      </c>
      <c r="H3364" s="1">
        <f>_xlfn.XLOOKUP(Ocupacao_DW[[#This Row],[Concat]],Vagas!$H:$H,Vagas!$D:$D,"",0)</f>
        <v>0</v>
      </c>
    </row>
    <row r="3365" spans="1:8" x14ac:dyDescent="0.25">
      <c r="A3365" s="2">
        <v>44638</v>
      </c>
      <c r="B3365" s="1" t="s">
        <v>43</v>
      </c>
      <c r="C3365">
        <v>17864</v>
      </c>
      <c r="D3365" s="1" t="s">
        <v>234</v>
      </c>
      <c r="E3365" s="1" t="s">
        <v>7</v>
      </c>
      <c r="F3365">
        <v>60</v>
      </c>
      <c r="G3365" s="1" t="str">
        <f>Ocupacao_DW[[#This Row],[data]]&amp;Ocupacao_DW[[#This Row],[profissional_id]]&amp;Ocupacao_DW[[#This Row],[local_id]]</f>
        <v>446381786460</v>
      </c>
      <c r="H3365" s="1">
        <f>_xlfn.XLOOKUP(Ocupacao_DW[[#This Row],[Concat]],Vagas!$H:$H,Vagas!$D:$D,"",0)</f>
        <v>0</v>
      </c>
    </row>
    <row r="3366" spans="1:8" x14ac:dyDescent="0.25">
      <c r="A3366" s="2">
        <v>44639</v>
      </c>
      <c r="B3366" s="1" t="s">
        <v>52</v>
      </c>
      <c r="C3366">
        <v>60</v>
      </c>
      <c r="D3366" s="1" t="s">
        <v>217</v>
      </c>
      <c r="E3366" s="1" t="s">
        <v>6</v>
      </c>
      <c r="F3366">
        <v>8</v>
      </c>
      <c r="G3366" s="1" t="str">
        <f>Ocupacao_DW[[#This Row],[data]]&amp;Ocupacao_DW[[#This Row],[profissional_id]]&amp;Ocupacao_DW[[#This Row],[local_id]]</f>
        <v>44639608</v>
      </c>
      <c r="H3366" s="1">
        <f>_xlfn.XLOOKUP(Ocupacao_DW[[#This Row],[Concat]],Vagas!$H:$H,Vagas!$D:$D,"",0)</f>
        <v>0</v>
      </c>
    </row>
    <row r="3367" spans="1:8" x14ac:dyDescent="0.25">
      <c r="A3367" s="2">
        <v>44636</v>
      </c>
      <c r="B3367" s="1" t="s">
        <v>56</v>
      </c>
      <c r="C3367">
        <v>13660</v>
      </c>
      <c r="D3367" s="1" t="s">
        <v>250</v>
      </c>
      <c r="E3367" s="1" t="s">
        <v>200</v>
      </c>
      <c r="F3367">
        <v>78</v>
      </c>
      <c r="G3367" s="1" t="str">
        <f>Ocupacao_DW[[#This Row],[data]]&amp;Ocupacao_DW[[#This Row],[profissional_id]]&amp;Ocupacao_DW[[#This Row],[local_id]]</f>
        <v>446361366078</v>
      </c>
      <c r="H3367" s="1">
        <f>_xlfn.XLOOKUP(Ocupacao_DW[[#This Row],[Concat]],Vagas!$H:$H,Vagas!$D:$D,"",0)</f>
        <v>3</v>
      </c>
    </row>
    <row r="3368" spans="1:8" x14ac:dyDescent="0.25">
      <c r="A3368" s="2">
        <v>44637</v>
      </c>
      <c r="B3368" s="1" t="s">
        <v>52</v>
      </c>
      <c r="C3368">
        <v>10691</v>
      </c>
      <c r="D3368" s="1" t="s">
        <v>181</v>
      </c>
      <c r="E3368" s="1" t="s">
        <v>6</v>
      </c>
      <c r="F3368">
        <v>9</v>
      </c>
      <c r="G3368" s="1" t="str">
        <f>Ocupacao_DW[[#This Row],[data]]&amp;Ocupacao_DW[[#This Row],[profissional_id]]&amp;Ocupacao_DW[[#This Row],[local_id]]</f>
        <v>44637106919</v>
      </c>
      <c r="H3368" s="1">
        <f>_xlfn.XLOOKUP(Ocupacao_DW[[#This Row],[Concat]],Vagas!$H:$H,Vagas!$D:$D,"",0)</f>
        <v>0</v>
      </c>
    </row>
    <row r="3369" spans="1:8" x14ac:dyDescent="0.25">
      <c r="A3369" s="2">
        <v>44637</v>
      </c>
      <c r="B3369" s="1" t="s">
        <v>49</v>
      </c>
      <c r="C3369">
        <v>3092</v>
      </c>
      <c r="D3369" s="1" t="s">
        <v>262</v>
      </c>
      <c r="E3369" s="1" t="s">
        <v>4</v>
      </c>
      <c r="F3369">
        <v>43</v>
      </c>
      <c r="G3369" s="1" t="str">
        <f>Ocupacao_DW[[#This Row],[data]]&amp;Ocupacao_DW[[#This Row],[profissional_id]]&amp;Ocupacao_DW[[#This Row],[local_id]]</f>
        <v>44637309243</v>
      </c>
      <c r="H3369" s="1">
        <f>_xlfn.XLOOKUP(Ocupacao_DW[[#This Row],[Concat]],Vagas!$H:$H,Vagas!$D:$D,"",0)</f>
        <v>0</v>
      </c>
    </row>
    <row r="3370" spans="1:8" x14ac:dyDescent="0.25">
      <c r="A3370" s="2">
        <v>44644</v>
      </c>
      <c r="B3370" s="1" t="s">
        <v>73</v>
      </c>
      <c r="C3370">
        <v>10691</v>
      </c>
      <c r="D3370" s="1" t="s">
        <v>181</v>
      </c>
      <c r="E3370" s="1" t="s">
        <v>167</v>
      </c>
      <c r="F3370">
        <v>348</v>
      </c>
      <c r="G3370" s="1" t="str">
        <f>Ocupacao_DW[[#This Row],[data]]&amp;Ocupacao_DW[[#This Row],[profissional_id]]&amp;Ocupacao_DW[[#This Row],[local_id]]</f>
        <v>4464410691348</v>
      </c>
      <c r="H3370" s="1">
        <f>_xlfn.XLOOKUP(Ocupacao_DW[[#This Row],[Concat]],Vagas!$H:$H,Vagas!$D:$D,"",0)</f>
        <v>0</v>
      </c>
    </row>
    <row r="3371" spans="1:8" x14ac:dyDescent="0.25">
      <c r="A3371" s="2">
        <v>44635</v>
      </c>
      <c r="B3371" s="1" t="s">
        <v>71</v>
      </c>
      <c r="C3371">
        <v>282</v>
      </c>
      <c r="D3371" s="1" t="s">
        <v>210</v>
      </c>
      <c r="E3371" s="1" t="s">
        <v>4</v>
      </c>
      <c r="F3371">
        <v>48</v>
      </c>
      <c r="G3371" s="1" t="str">
        <f>Ocupacao_DW[[#This Row],[data]]&amp;Ocupacao_DW[[#This Row],[profissional_id]]&amp;Ocupacao_DW[[#This Row],[local_id]]</f>
        <v>4463528248</v>
      </c>
      <c r="H3371" s="1">
        <f>_xlfn.XLOOKUP(Ocupacao_DW[[#This Row],[Concat]],Vagas!$H:$H,Vagas!$D:$D,"",0)</f>
        <v>0</v>
      </c>
    </row>
    <row r="3372" spans="1:8" x14ac:dyDescent="0.25">
      <c r="A3372" s="2">
        <v>44635</v>
      </c>
      <c r="B3372" s="1" t="s">
        <v>47</v>
      </c>
      <c r="C3372">
        <v>12752</v>
      </c>
      <c r="D3372" s="1" t="s">
        <v>253</v>
      </c>
      <c r="E3372" s="1" t="s">
        <v>7</v>
      </c>
      <c r="F3372">
        <v>60</v>
      </c>
      <c r="G3372" s="1" t="str">
        <f>Ocupacao_DW[[#This Row],[data]]&amp;Ocupacao_DW[[#This Row],[profissional_id]]&amp;Ocupacao_DW[[#This Row],[local_id]]</f>
        <v>446351275260</v>
      </c>
      <c r="H3372" s="1">
        <f>_xlfn.XLOOKUP(Ocupacao_DW[[#This Row],[Concat]],Vagas!$H:$H,Vagas!$D:$D,"",0)</f>
        <v>0</v>
      </c>
    </row>
    <row r="3373" spans="1:8" x14ac:dyDescent="0.25">
      <c r="A3373" s="2">
        <v>44642</v>
      </c>
      <c r="B3373" s="1" t="s">
        <v>69</v>
      </c>
      <c r="C3373">
        <v>13249</v>
      </c>
      <c r="D3373" s="1" t="s">
        <v>178</v>
      </c>
      <c r="E3373" s="1" t="s">
        <v>4</v>
      </c>
      <c r="F3373">
        <v>45</v>
      </c>
      <c r="G3373" s="1" t="str">
        <f>Ocupacao_DW[[#This Row],[data]]&amp;Ocupacao_DW[[#This Row],[profissional_id]]&amp;Ocupacao_DW[[#This Row],[local_id]]</f>
        <v>446421324945</v>
      </c>
      <c r="H3373" s="1">
        <f>_xlfn.XLOOKUP(Ocupacao_DW[[#This Row],[Concat]],Vagas!$H:$H,Vagas!$D:$D,"",0)</f>
        <v>0</v>
      </c>
    </row>
    <row r="3374" spans="1:8" x14ac:dyDescent="0.25">
      <c r="A3374" s="2">
        <v>44635</v>
      </c>
      <c r="B3374" s="1"/>
      <c r="C3374">
        <v>0</v>
      </c>
      <c r="D3374" s="1"/>
      <c r="E3374" s="1" t="s">
        <v>167</v>
      </c>
      <c r="F3374">
        <v>25</v>
      </c>
      <c r="G3374" s="1" t="str">
        <f>Ocupacao_DW[[#This Row],[data]]&amp;Ocupacao_DW[[#This Row],[profissional_id]]&amp;Ocupacao_DW[[#This Row],[local_id]]</f>
        <v>44635025</v>
      </c>
      <c r="H3374" s="1" t="str">
        <f>_xlfn.XLOOKUP(Ocupacao_DW[[#This Row],[Concat]],Vagas!$H:$H,Vagas!$D:$D,"",0)</f>
        <v/>
      </c>
    </row>
    <row r="3375" spans="1:8" x14ac:dyDescent="0.25">
      <c r="A3375" s="2">
        <v>44641</v>
      </c>
      <c r="B3375" s="1" t="s">
        <v>54</v>
      </c>
      <c r="C3375">
        <v>70</v>
      </c>
      <c r="D3375" s="1" t="s">
        <v>187</v>
      </c>
      <c r="E3375" s="1" t="s">
        <v>5</v>
      </c>
      <c r="F3375">
        <v>13</v>
      </c>
      <c r="G3375" s="1" t="str">
        <f>Ocupacao_DW[[#This Row],[data]]&amp;Ocupacao_DW[[#This Row],[profissional_id]]&amp;Ocupacao_DW[[#This Row],[local_id]]</f>
        <v>446417013</v>
      </c>
      <c r="H3375" s="1">
        <f>_xlfn.XLOOKUP(Ocupacao_DW[[#This Row],[Concat]],Vagas!$H:$H,Vagas!$D:$D,"",0)</f>
        <v>0</v>
      </c>
    </row>
    <row r="3376" spans="1:8" x14ac:dyDescent="0.25">
      <c r="A3376" s="2">
        <v>44635</v>
      </c>
      <c r="B3376" s="1" t="s">
        <v>68</v>
      </c>
      <c r="C3376">
        <v>8239</v>
      </c>
      <c r="D3376" s="1" t="s">
        <v>257</v>
      </c>
      <c r="E3376" s="1" t="s">
        <v>167</v>
      </c>
      <c r="F3376">
        <v>345</v>
      </c>
      <c r="G3376" s="1" t="str">
        <f>Ocupacao_DW[[#This Row],[data]]&amp;Ocupacao_DW[[#This Row],[profissional_id]]&amp;Ocupacao_DW[[#This Row],[local_id]]</f>
        <v>446358239345</v>
      </c>
      <c r="H3376" s="1">
        <f>_xlfn.XLOOKUP(Ocupacao_DW[[#This Row],[Concat]],Vagas!$H:$H,Vagas!$D:$D,"",0)</f>
        <v>0</v>
      </c>
    </row>
    <row r="3377" spans="1:8" x14ac:dyDescent="0.25">
      <c r="A3377" s="2">
        <v>44635</v>
      </c>
      <c r="B3377" s="1" t="s">
        <v>49</v>
      </c>
      <c r="C3377">
        <v>10600</v>
      </c>
      <c r="D3377" s="1" t="s">
        <v>248</v>
      </c>
      <c r="E3377" s="1" t="s">
        <v>200</v>
      </c>
      <c r="F3377">
        <v>86</v>
      </c>
      <c r="G3377" s="1" t="str">
        <f>Ocupacao_DW[[#This Row],[data]]&amp;Ocupacao_DW[[#This Row],[profissional_id]]&amp;Ocupacao_DW[[#This Row],[local_id]]</f>
        <v>446351060086</v>
      </c>
      <c r="H3377" s="1">
        <f>_xlfn.XLOOKUP(Ocupacao_DW[[#This Row],[Concat]],Vagas!$H:$H,Vagas!$D:$D,"",0)</f>
        <v>0</v>
      </c>
    </row>
    <row r="3378" spans="1:8" x14ac:dyDescent="0.25">
      <c r="A3378" s="2">
        <v>44635</v>
      </c>
      <c r="B3378" s="1" t="s">
        <v>70</v>
      </c>
      <c r="C3378">
        <v>12825</v>
      </c>
      <c r="D3378" s="1" t="s">
        <v>177</v>
      </c>
      <c r="E3378" s="1" t="s">
        <v>7</v>
      </c>
      <c r="F3378">
        <v>63</v>
      </c>
      <c r="G3378" s="1" t="str">
        <f>Ocupacao_DW[[#This Row],[data]]&amp;Ocupacao_DW[[#This Row],[profissional_id]]&amp;Ocupacao_DW[[#This Row],[local_id]]</f>
        <v>446351282563</v>
      </c>
      <c r="H3378" s="1">
        <f>_xlfn.XLOOKUP(Ocupacao_DW[[#This Row],[Concat]],Vagas!$H:$H,Vagas!$D:$D,"",0)</f>
        <v>0</v>
      </c>
    </row>
    <row r="3379" spans="1:8" x14ac:dyDescent="0.25">
      <c r="A3379" s="2">
        <v>44635</v>
      </c>
      <c r="B3379" s="1" t="s">
        <v>49</v>
      </c>
      <c r="C3379">
        <v>81</v>
      </c>
      <c r="D3379" s="1" t="s">
        <v>170</v>
      </c>
      <c r="E3379" s="1" t="s">
        <v>4</v>
      </c>
      <c r="F3379">
        <v>41</v>
      </c>
      <c r="G3379" s="1" t="str">
        <f>Ocupacao_DW[[#This Row],[data]]&amp;Ocupacao_DW[[#This Row],[profissional_id]]&amp;Ocupacao_DW[[#This Row],[local_id]]</f>
        <v>446358141</v>
      </c>
      <c r="H3379" s="1">
        <f>_xlfn.XLOOKUP(Ocupacao_DW[[#This Row],[Concat]],Vagas!$H:$H,Vagas!$D:$D,"",0)</f>
        <v>0</v>
      </c>
    </row>
    <row r="3380" spans="1:8" x14ac:dyDescent="0.25">
      <c r="A3380" s="2">
        <v>44635</v>
      </c>
      <c r="B3380" s="1" t="s">
        <v>65</v>
      </c>
      <c r="C3380">
        <v>11652</v>
      </c>
      <c r="D3380" s="1" t="s">
        <v>242</v>
      </c>
      <c r="E3380" s="1" t="s">
        <v>4</v>
      </c>
      <c r="F3380">
        <v>47</v>
      </c>
      <c r="G3380" s="1" t="str">
        <f>Ocupacao_DW[[#This Row],[data]]&amp;Ocupacao_DW[[#This Row],[profissional_id]]&amp;Ocupacao_DW[[#This Row],[local_id]]</f>
        <v>446351165247</v>
      </c>
      <c r="H3380" s="1">
        <f>_xlfn.XLOOKUP(Ocupacao_DW[[#This Row],[Concat]],Vagas!$H:$H,Vagas!$D:$D,"",0)</f>
        <v>0</v>
      </c>
    </row>
    <row r="3381" spans="1:8" x14ac:dyDescent="0.25">
      <c r="A3381" s="2">
        <v>44639</v>
      </c>
      <c r="B3381" s="1" t="s">
        <v>52</v>
      </c>
      <c r="C3381">
        <v>60</v>
      </c>
      <c r="D3381" s="1" t="s">
        <v>217</v>
      </c>
      <c r="E3381" s="1" t="s">
        <v>6</v>
      </c>
      <c r="F3381">
        <v>8</v>
      </c>
      <c r="G3381" s="1" t="str">
        <f>Ocupacao_DW[[#This Row],[data]]&amp;Ocupacao_DW[[#This Row],[profissional_id]]&amp;Ocupacao_DW[[#This Row],[local_id]]</f>
        <v>44639608</v>
      </c>
      <c r="H3381" s="1">
        <f>_xlfn.XLOOKUP(Ocupacao_DW[[#This Row],[Concat]],Vagas!$H:$H,Vagas!$D:$D,"",0)</f>
        <v>0</v>
      </c>
    </row>
    <row r="3382" spans="1:8" x14ac:dyDescent="0.25">
      <c r="A3382" s="2">
        <v>44635</v>
      </c>
      <c r="B3382" s="1" t="s">
        <v>47</v>
      </c>
      <c r="C3382">
        <v>111</v>
      </c>
      <c r="D3382" s="1" t="s">
        <v>199</v>
      </c>
      <c r="E3382" s="1" t="s">
        <v>4</v>
      </c>
      <c r="F3382">
        <v>51</v>
      </c>
      <c r="G3382" s="1" t="str">
        <f>Ocupacao_DW[[#This Row],[data]]&amp;Ocupacao_DW[[#This Row],[profissional_id]]&amp;Ocupacao_DW[[#This Row],[local_id]]</f>
        <v>4463511151</v>
      </c>
      <c r="H3382" s="1">
        <f>_xlfn.XLOOKUP(Ocupacao_DW[[#This Row],[Concat]],Vagas!$H:$H,Vagas!$D:$D,"",0)</f>
        <v>0</v>
      </c>
    </row>
    <row r="3383" spans="1:8" x14ac:dyDescent="0.25">
      <c r="A3383" s="2">
        <v>44642</v>
      </c>
      <c r="B3383" s="1" t="s">
        <v>47</v>
      </c>
      <c r="C3383">
        <v>12752</v>
      </c>
      <c r="D3383" s="1" t="s">
        <v>253</v>
      </c>
      <c r="E3383" s="1" t="s">
        <v>7</v>
      </c>
      <c r="F3383">
        <v>60</v>
      </c>
      <c r="G3383" s="1" t="str">
        <f>Ocupacao_DW[[#This Row],[data]]&amp;Ocupacao_DW[[#This Row],[profissional_id]]&amp;Ocupacao_DW[[#This Row],[local_id]]</f>
        <v>446421275260</v>
      </c>
      <c r="H3383" s="1">
        <f>_xlfn.XLOOKUP(Ocupacao_DW[[#This Row],[Concat]],Vagas!$H:$H,Vagas!$D:$D,"",0)</f>
        <v>0</v>
      </c>
    </row>
    <row r="3384" spans="1:8" x14ac:dyDescent="0.25">
      <c r="A3384" s="2">
        <v>44635</v>
      </c>
      <c r="B3384" s="1"/>
      <c r="C3384">
        <v>0</v>
      </c>
      <c r="D3384" s="1"/>
      <c r="E3384" s="1" t="s">
        <v>7</v>
      </c>
      <c r="F3384">
        <v>59</v>
      </c>
      <c r="G3384" s="1" t="str">
        <f>Ocupacao_DW[[#This Row],[data]]&amp;Ocupacao_DW[[#This Row],[profissional_id]]&amp;Ocupacao_DW[[#This Row],[local_id]]</f>
        <v>44635059</v>
      </c>
      <c r="H3384" s="1" t="str">
        <f>_xlfn.XLOOKUP(Ocupacao_DW[[#This Row],[Concat]],Vagas!$H:$H,Vagas!$D:$D,"",0)</f>
        <v/>
      </c>
    </row>
    <row r="3385" spans="1:8" x14ac:dyDescent="0.25">
      <c r="A3385" s="2">
        <v>44635</v>
      </c>
      <c r="B3385" s="1" t="s">
        <v>51</v>
      </c>
      <c r="C3385">
        <v>12582</v>
      </c>
      <c r="D3385" s="1" t="s">
        <v>190</v>
      </c>
      <c r="E3385" s="1" t="s">
        <v>7</v>
      </c>
      <c r="F3385">
        <v>62</v>
      </c>
      <c r="G3385" s="1" t="str">
        <f>Ocupacao_DW[[#This Row],[data]]&amp;Ocupacao_DW[[#This Row],[profissional_id]]&amp;Ocupacao_DW[[#This Row],[local_id]]</f>
        <v>446351258262</v>
      </c>
      <c r="H3385" s="1">
        <f>_xlfn.XLOOKUP(Ocupacao_DW[[#This Row],[Concat]],Vagas!$H:$H,Vagas!$D:$D,"",0)</f>
        <v>0</v>
      </c>
    </row>
    <row r="3386" spans="1:8" x14ac:dyDescent="0.25">
      <c r="A3386" s="2">
        <v>44642</v>
      </c>
      <c r="B3386" s="1" t="s">
        <v>49</v>
      </c>
      <c r="C3386">
        <v>81</v>
      </c>
      <c r="D3386" s="1" t="s">
        <v>170</v>
      </c>
      <c r="E3386" s="1" t="s">
        <v>7</v>
      </c>
      <c r="F3386">
        <v>71</v>
      </c>
      <c r="G3386" s="1" t="str">
        <f>Ocupacao_DW[[#This Row],[data]]&amp;Ocupacao_DW[[#This Row],[profissional_id]]&amp;Ocupacao_DW[[#This Row],[local_id]]</f>
        <v>446428171</v>
      </c>
      <c r="H3386" s="1">
        <f>_xlfn.XLOOKUP(Ocupacao_DW[[#This Row],[Concat]],Vagas!$H:$H,Vagas!$D:$D,"",0)</f>
        <v>0</v>
      </c>
    </row>
    <row r="3387" spans="1:8" x14ac:dyDescent="0.25">
      <c r="A3387" s="2">
        <v>44637</v>
      </c>
      <c r="B3387" s="1" t="s">
        <v>52</v>
      </c>
      <c r="C3387">
        <v>60</v>
      </c>
      <c r="D3387" s="1" t="s">
        <v>217</v>
      </c>
      <c r="E3387" s="1" t="s">
        <v>167</v>
      </c>
      <c r="F3387">
        <v>346</v>
      </c>
      <c r="G3387" s="1" t="str">
        <f>Ocupacao_DW[[#This Row],[data]]&amp;Ocupacao_DW[[#This Row],[profissional_id]]&amp;Ocupacao_DW[[#This Row],[local_id]]</f>
        <v>4463760346</v>
      </c>
      <c r="H3387" s="1">
        <f>_xlfn.XLOOKUP(Ocupacao_DW[[#This Row],[Concat]],Vagas!$H:$H,Vagas!$D:$D,"",0)</f>
        <v>0</v>
      </c>
    </row>
    <row r="3388" spans="1:8" x14ac:dyDescent="0.25">
      <c r="A3388" s="2">
        <v>44635</v>
      </c>
      <c r="B3388" s="1" t="s">
        <v>67</v>
      </c>
      <c r="C3388">
        <v>7290</v>
      </c>
      <c r="D3388" s="1" t="s">
        <v>247</v>
      </c>
      <c r="E3388" s="1" t="s">
        <v>5</v>
      </c>
      <c r="F3388">
        <v>18</v>
      </c>
      <c r="G3388" s="1" t="str">
        <f>Ocupacao_DW[[#This Row],[data]]&amp;Ocupacao_DW[[#This Row],[profissional_id]]&amp;Ocupacao_DW[[#This Row],[local_id]]</f>
        <v>44635729018</v>
      </c>
      <c r="H3388" s="1">
        <f>_xlfn.XLOOKUP(Ocupacao_DW[[#This Row],[Concat]],Vagas!$H:$H,Vagas!$D:$D,"",0)</f>
        <v>0</v>
      </c>
    </row>
    <row r="3389" spans="1:8" x14ac:dyDescent="0.25">
      <c r="A3389" s="2">
        <v>44643</v>
      </c>
      <c r="B3389" s="1" t="s">
        <v>65</v>
      </c>
      <c r="C3389">
        <v>11652</v>
      </c>
      <c r="D3389" s="1" t="s">
        <v>242</v>
      </c>
      <c r="E3389" s="1" t="s">
        <v>7</v>
      </c>
      <c r="F3389">
        <v>69</v>
      </c>
      <c r="G3389" s="1" t="str">
        <f>Ocupacao_DW[[#This Row],[data]]&amp;Ocupacao_DW[[#This Row],[profissional_id]]&amp;Ocupacao_DW[[#This Row],[local_id]]</f>
        <v>446431165269</v>
      </c>
      <c r="H3389" s="1">
        <f>_xlfn.XLOOKUP(Ocupacao_DW[[#This Row],[Concat]],Vagas!$H:$H,Vagas!$D:$D,"",0)</f>
        <v>0</v>
      </c>
    </row>
    <row r="3390" spans="1:8" x14ac:dyDescent="0.25">
      <c r="A3390" s="2">
        <v>44635</v>
      </c>
      <c r="B3390" s="1" t="s">
        <v>67</v>
      </c>
      <c r="C3390">
        <v>7290</v>
      </c>
      <c r="D3390" s="1" t="s">
        <v>247</v>
      </c>
      <c r="E3390" s="1" t="s">
        <v>5</v>
      </c>
      <c r="F3390">
        <v>18</v>
      </c>
      <c r="G3390" s="1" t="str">
        <f>Ocupacao_DW[[#This Row],[data]]&amp;Ocupacao_DW[[#This Row],[profissional_id]]&amp;Ocupacao_DW[[#This Row],[local_id]]</f>
        <v>44635729018</v>
      </c>
      <c r="H3390" s="1">
        <f>_xlfn.XLOOKUP(Ocupacao_DW[[#This Row],[Concat]],Vagas!$H:$H,Vagas!$D:$D,"",0)</f>
        <v>0</v>
      </c>
    </row>
    <row r="3391" spans="1:8" x14ac:dyDescent="0.25">
      <c r="A3391" s="2">
        <v>44635</v>
      </c>
      <c r="B3391" s="1" t="s">
        <v>49</v>
      </c>
      <c r="C3391">
        <v>81</v>
      </c>
      <c r="D3391" s="1" t="s">
        <v>170</v>
      </c>
      <c r="E3391" s="1" t="s">
        <v>4</v>
      </c>
      <c r="F3391">
        <v>41</v>
      </c>
      <c r="G3391" s="1" t="str">
        <f>Ocupacao_DW[[#This Row],[data]]&amp;Ocupacao_DW[[#This Row],[profissional_id]]&amp;Ocupacao_DW[[#This Row],[local_id]]</f>
        <v>446358141</v>
      </c>
      <c r="H3391" s="1">
        <f>_xlfn.XLOOKUP(Ocupacao_DW[[#This Row],[Concat]],Vagas!$H:$H,Vagas!$D:$D,"",0)</f>
        <v>0</v>
      </c>
    </row>
    <row r="3392" spans="1:8" x14ac:dyDescent="0.25">
      <c r="A3392" s="2">
        <v>44637</v>
      </c>
      <c r="B3392" s="1" t="s">
        <v>73</v>
      </c>
      <c r="C3392">
        <v>10691</v>
      </c>
      <c r="D3392" s="1" t="s">
        <v>181</v>
      </c>
      <c r="E3392" s="1" t="s">
        <v>167</v>
      </c>
      <c r="F3392">
        <v>348</v>
      </c>
      <c r="G3392" s="1" t="str">
        <f>Ocupacao_DW[[#This Row],[data]]&amp;Ocupacao_DW[[#This Row],[profissional_id]]&amp;Ocupacao_DW[[#This Row],[local_id]]</f>
        <v>4463710691348</v>
      </c>
      <c r="H3392" s="1">
        <f>_xlfn.XLOOKUP(Ocupacao_DW[[#This Row],[Concat]],Vagas!$H:$H,Vagas!$D:$D,"",0)</f>
        <v>0</v>
      </c>
    </row>
    <row r="3393" spans="1:8" x14ac:dyDescent="0.25">
      <c r="A3393" s="2">
        <v>44635</v>
      </c>
      <c r="B3393" s="1" t="s">
        <v>62</v>
      </c>
      <c r="C3393">
        <v>3502</v>
      </c>
      <c r="D3393" s="1" t="s">
        <v>214</v>
      </c>
      <c r="E3393" s="1" t="s">
        <v>5</v>
      </c>
      <c r="F3393">
        <v>16</v>
      </c>
      <c r="G3393" s="1" t="str">
        <f>Ocupacao_DW[[#This Row],[data]]&amp;Ocupacao_DW[[#This Row],[profissional_id]]&amp;Ocupacao_DW[[#This Row],[local_id]]</f>
        <v>44635350216</v>
      </c>
      <c r="H3393" s="1">
        <f>_xlfn.XLOOKUP(Ocupacao_DW[[#This Row],[Concat]],Vagas!$H:$H,Vagas!$D:$D,"",0)</f>
        <v>0</v>
      </c>
    </row>
    <row r="3394" spans="1:8" x14ac:dyDescent="0.25">
      <c r="A3394" s="2">
        <v>44650</v>
      </c>
      <c r="B3394" s="1" t="s">
        <v>55</v>
      </c>
      <c r="C3394">
        <v>73</v>
      </c>
      <c r="D3394" s="1" t="s">
        <v>171</v>
      </c>
      <c r="E3394" s="1" t="s">
        <v>6</v>
      </c>
      <c r="F3394">
        <v>5</v>
      </c>
      <c r="G3394" s="1" t="str">
        <f>Ocupacao_DW[[#This Row],[data]]&amp;Ocupacao_DW[[#This Row],[profissional_id]]&amp;Ocupacao_DW[[#This Row],[local_id]]</f>
        <v>44650735</v>
      </c>
      <c r="H3394" s="1">
        <f>_xlfn.XLOOKUP(Ocupacao_DW[[#This Row],[Concat]],Vagas!$H:$H,Vagas!$D:$D,"",0)</f>
        <v>0</v>
      </c>
    </row>
    <row r="3395" spans="1:8" x14ac:dyDescent="0.25">
      <c r="A3395" s="2">
        <v>44636</v>
      </c>
      <c r="B3395" s="1" t="s">
        <v>72</v>
      </c>
      <c r="C3395">
        <v>1794</v>
      </c>
      <c r="D3395" s="1" t="s">
        <v>235</v>
      </c>
      <c r="E3395" s="1" t="s">
        <v>4</v>
      </c>
      <c r="F3395">
        <v>49</v>
      </c>
      <c r="G3395" s="1" t="str">
        <f>Ocupacao_DW[[#This Row],[data]]&amp;Ocupacao_DW[[#This Row],[profissional_id]]&amp;Ocupacao_DW[[#This Row],[local_id]]</f>
        <v>44636179449</v>
      </c>
      <c r="H3395" s="1">
        <f>_xlfn.XLOOKUP(Ocupacao_DW[[#This Row],[Concat]],Vagas!$H:$H,Vagas!$D:$D,"",0)</f>
        <v>0</v>
      </c>
    </row>
    <row r="3396" spans="1:8" x14ac:dyDescent="0.25">
      <c r="A3396" s="2">
        <v>44644</v>
      </c>
      <c r="B3396" s="1" t="s">
        <v>70</v>
      </c>
      <c r="C3396">
        <v>12519</v>
      </c>
      <c r="D3396" s="1" t="s">
        <v>176</v>
      </c>
      <c r="E3396" s="1" t="s">
        <v>4</v>
      </c>
      <c r="F3396">
        <v>42</v>
      </c>
      <c r="G3396" s="1" t="str">
        <f>Ocupacao_DW[[#This Row],[data]]&amp;Ocupacao_DW[[#This Row],[profissional_id]]&amp;Ocupacao_DW[[#This Row],[local_id]]</f>
        <v>446441251942</v>
      </c>
      <c r="H3396" s="1">
        <f>_xlfn.XLOOKUP(Ocupacao_DW[[#This Row],[Concat]],Vagas!$H:$H,Vagas!$D:$D,"",0)</f>
        <v>0</v>
      </c>
    </row>
    <row r="3397" spans="1:8" x14ac:dyDescent="0.25">
      <c r="A3397" s="2">
        <v>44650</v>
      </c>
      <c r="B3397" s="1" t="s">
        <v>43</v>
      </c>
      <c r="C3397">
        <v>2396</v>
      </c>
      <c r="D3397" s="1" t="s">
        <v>197</v>
      </c>
      <c r="E3397" s="1" t="s">
        <v>6</v>
      </c>
      <c r="F3397">
        <v>2</v>
      </c>
      <c r="G3397" s="1" t="str">
        <f>Ocupacao_DW[[#This Row],[data]]&amp;Ocupacao_DW[[#This Row],[profissional_id]]&amp;Ocupacao_DW[[#This Row],[local_id]]</f>
        <v>4465023962</v>
      </c>
      <c r="H3397" s="1">
        <f>_xlfn.XLOOKUP(Ocupacao_DW[[#This Row],[Concat]],Vagas!$H:$H,Vagas!$D:$D,"",0)</f>
        <v>0</v>
      </c>
    </row>
    <row r="3398" spans="1:8" x14ac:dyDescent="0.25">
      <c r="A3398" s="2">
        <v>44638</v>
      </c>
      <c r="B3398" s="1" t="s">
        <v>72</v>
      </c>
      <c r="C3398">
        <v>13479</v>
      </c>
      <c r="D3398" s="1" t="s">
        <v>203</v>
      </c>
      <c r="E3398" s="1" t="s">
        <v>200</v>
      </c>
      <c r="F3398">
        <v>83</v>
      </c>
      <c r="G3398" s="1" t="str">
        <f>Ocupacao_DW[[#This Row],[data]]&amp;Ocupacao_DW[[#This Row],[profissional_id]]&amp;Ocupacao_DW[[#This Row],[local_id]]</f>
        <v>446381347983</v>
      </c>
      <c r="H3398" s="1">
        <f>_xlfn.XLOOKUP(Ocupacao_DW[[#This Row],[Concat]],Vagas!$H:$H,Vagas!$D:$D,"",0)</f>
        <v>0</v>
      </c>
    </row>
    <row r="3399" spans="1:8" x14ac:dyDescent="0.25">
      <c r="A3399" s="2">
        <v>44641</v>
      </c>
      <c r="B3399" s="1" t="s">
        <v>49</v>
      </c>
      <c r="C3399">
        <v>6430</v>
      </c>
      <c r="D3399" s="1" t="s">
        <v>188</v>
      </c>
      <c r="E3399" s="1" t="s">
        <v>200</v>
      </c>
      <c r="F3399">
        <v>86</v>
      </c>
      <c r="G3399" s="1" t="str">
        <f>Ocupacao_DW[[#This Row],[data]]&amp;Ocupacao_DW[[#This Row],[profissional_id]]&amp;Ocupacao_DW[[#This Row],[local_id]]</f>
        <v>44641643086</v>
      </c>
      <c r="H3399" s="1">
        <f>_xlfn.XLOOKUP(Ocupacao_DW[[#This Row],[Concat]],Vagas!$H:$H,Vagas!$D:$D,"",0)</f>
        <v>0</v>
      </c>
    </row>
    <row r="3400" spans="1:8" x14ac:dyDescent="0.25">
      <c r="A3400" s="2">
        <v>44637</v>
      </c>
      <c r="B3400" s="1" t="s">
        <v>47</v>
      </c>
      <c r="C3400">
        <v>9111</v>
      </c>
      <c r="D3400" s="1" t="s">
        <v>206</v>
      </c>
      <c r="E3400" s="1" t="s">
        <v>4</v>
      </c>
      <c r="F3400">
        <v>334</v>
      </c>
      <c r="G3400" s="1" t="str">
        <f>Ocupacao_DW[[#This Row],[data]]&amp;Ocupacao_DW[[#This Row],[profissional_id]]&amp;Ocupacao_DW[[#This Row],[local_id]]</f>
        <v>446379111334</v>
      </c>
      <c r="H3400" s="1">
        <f>_xlfn.XLOOKUP(Ocupacao_DW[[#This Row],[Concat]],Vagas!$H:$H,Vagas!$D:$D,"",0)</f>
        <v>0</v>
      </c>
    </row>
    <row r="3401" spans="1:8" x14ac:dyDescent="0.25">
      <c r="A3401" s="2">
        <v>44637</v>
      </c>
      <c r="B3401" s="1" t="s">
        <v>72</v>
      </c>
      <c r="C3401">
        <v>6046</v>
      </c>
      <c r="D3401" s="1" t="s">
        <v>222</v>
      </c>
      <c r="E3401" s="1" t="s">
        <v>4</v>
      </c>
      <c r="F3401">
        <v>46</v>
      </c>
      <c r="G3401" s="1" t="str">
        <f>Ocupacao_DW[[#This Row],[data]]&amp;Ocupacao_DW[[#This Row],[profissional_id]]&amp;Ocupacao_DW[[#This Row],[local_id]]</f>
        <v>44637604646</v>
      </c>
      <c r="H3401" s="1">
        <f>_xlfn.XLOOKUP(Ocupacao_DW[[#This Row],[Concat]],Vagas!$H:$H,Vagas!$D:$D,"",0)</f>
        <v>0</v>
      </c>
    </row>
    <row r="3402" spans="1:8" x14ac:dyDescent="0.25">
      <c r="A3402" s="2">
        <v>44648</v>
      </c>
      <c r="B3402" s="1" t="s">
        <v>55</v>
      </c>
      <c r="C3402">
        <v>2984</v>
      </c>
      <c r="D3402" s="1" t="s">
        <v>185</v>
      </c>
      <c r="E3402" s="1" t="s">
        <v>6</v>
      </c>
      <c r="F3402">
        <v>7</v>
      </c>
      <c r="G3402" s="1" t="str">
        <f>Ocupacao_DW[[#This Row],[data]]&amp;Ocupacao_DW[[#This Row],[profissional_id]]&amp;Ocupacao_DW[[#This Row],[local_id]]</f>
        <v>4464829847</v>
      </c>
      <c r="H3402" s="1">
        <f>_xlfn.XLOOKUP(Ocupacao_DW[[#This Row],[Concat]],Vagas!$H:$H,Vagas!$D:$D,"",0)</f>
        <v>0</v>
      </c>
    </row>
    <row r="3403" spans="1:8" x14ac:dyDescent="0.25">
      <c r="A3403" s="2">
        <v>44642</v>
      </c>
      <c r="B3403" s="1" t="s">
        <v>55</v>
      </c>
      <c r="C3403">
        <v>14452</v>
      </c>
      <c r="D3403" s="1" t="s">
        <v>266</v>
      </c>
      <c r="E3403" s="1" t="s">
        <v>200</v>
      </c>
      <c r="F3403">
        <v>78</v>
      </c>
      <c r="G3403" s="1" t="str">
        <f>Ocupacao_DW[[#This Row],[data]]&amp;Ocupacao_DW[[#This Row],[profissional_id]]&amp;Ocupacao_DW[[#This Row],[local_id]]</f>
        <v>446421445278</v>
      </c>
      <c r="H3403" s="1">
        <f>_xlfn.XLOOKUP(Ocupacao_DW[[#This Row],[Concat]],Vagas!$H:$H,Vagas!$D:$D,"",0)</f>
        <v>0</v>
      </c>
    </row>
    <row r="3404" spans="1:8" x14ac:dyDescent="0.25">
      <c r="A3404" s="2">
        <v>44641</v>
      </c>
      <c r="B3404" s="1" t="s">
        <v>52</v>
      </c>
      <c r="C3404">
        <v>10691</v>
      </c>
      <c r="D3404" s="1" t="s">
        <v>181</v>
      </c>
      <c r="E3404" s="1" t="s">
        <v>6</v>
      </c>
      <c r="F3404">
        <v>9</v>
      </c>
      <c r="G3404" s="1" t="str">
        <f>Ocupacao_DW[[#This Row],[data]]&amp;Ocupacao_DW[[#This Row],[profissional_id]]&amp;Ocupacao_DW[[#This Row],[local_id]]</f>
        <v>44641106919</v>
      </c>
      <c r="H3404" s="1">
        <f>_xlfn.XLOOKUP(Ocupacao_DW[[#This Row],[Concat]],Vagas!$H:$H,Vagas!$D:$D,"",0)</f>
        <v>0</v>
      </c>
    </row>
    <row r="3405" spans="1:8" x14ac:dyDescent="0.25">
      <c r="A3405" s="2">
        <v>44636</v>
      </c>
      <c r="B3405" s="1" t="s">
        <v>47</v>
      </c>
      <c r="C3405">
        <v>110</v>
      </c>
      <c r="D3405" s="1" t="s">
        <v>193</v>
      </c>
      <c r="E3405" s="1" t="s">
        <v>4</v>
      </c>
      <c r="F3405">
        <v>334</v>
      </c>
      <c r="G3405" s="1" t="str">
        <f>Ocupacao_DW[[#This Row],[data]]&amp;Ocupacao_DW[[#This Row],[profissional_id]]&amp;Ocupacao_DW[[#This Row],[local_id]]</f>
        <v>44636110334</v>
      </c>
      <c r="H3405" s="1">
        <f>_xlfn.XLOOKUP(Ocupacao_DW[[#This Row],[Concat]],Vagas!$H:$H,Vagas!$D:$D,"",0)</f>
        <v>0</v>
      </c>
    </row>
    <row r="3406" spans="1:8" x14ac:dyDescent="0.25">
      <c r="A3406" s="2">
        <v>44639</v>
      </c>
      <c r="B3406" s="1" t="s">
        <v>47</v>
      </c>
      <c r="C3406">
        <v>111</v>
      </c>
      <c r="D3406" s="1" t="s">
        <v>199</v>
      </c>
      <c r="E3406" s="1" t="s">
        <v>4</v>
      </c>
      <c r="F3406">
        <v>51</v>
      </c>
      <c r="G3406" s="1" t="str">
        <f>Ocupacao_DW[[#This Row],[data]]&amp;Ocupacao_DW[[#This Row],[profissional_id]]&amp;Ocupacao_DW[[#This Row],[local_id]]</f>
        <v>4463911151</v>
      </c>
      <c r="H3406" s="1">
        <f>_xlfn.XLOOKUP(Ocupacao_DW[[#This Row],[Concat]],Vagas!$H:$H,Vagas!$D:$D,"",0)</f>
        <v>0</v>
      </c>
    </row>
    <row r="3407" spans="1:8" x14ac:dyDescent="0.25">
      <c r="A3407" s="2">
        <v>44635</v>
      </c>
      <c r="B3407" s="1" t="s">
        <v>50</v>
      </c>
      <c r="C3407">
        <v>4814</v>
      </c>
      <c r="D3407" s="1" t="s">
        <v>189</v>
      </c>
      <c r="E3407" s="1" t="s">
        <v>5</v>
      </c>
      <c r="F3407">
        <v>17</v>
      </c>
      <c r="G3407" s="1" t="str">
        <f>Ocupacao_DW[[#This Row],[data]]&amp;Ocupacao_DW[[#This Row],[profissional_id]]&amp;Ocupacao_DW[[#This Row],[local_id]]</f>
        <v>44635481417</v>
      </c>
      <c r="H3407" s="1">
        <f>_xlfn.XLOOKUP(Ocupacao_DW[[#This Row],[Concat]],Vagas!$H:$H,Vagas!$D:$D,"",0)</f>
        <v>0</v>
      </c>
    </row>
    <row r="3408" spans="1:8" x14ac:dyDescent="0.25">
      <c r="A3408" s="2">
        <v>44645</v>
      </c>
      <c r="B3408" s="1" t="s">
        <v>24</v>
      </c>
      <c r="C3408">
        <v>60</v>
      </c>
      <c r="D3408" s="1" t="s">
        <v>217</v>
      </c>
      <c r="E3408" s="1" t="s">
        <v>6</v>
      </c>
      <c r="F3408">
        <v>1</v>
      </c>
      <c r="G3408" s="1" t="str">
        <f>Ocupacao_DW[[#This Row],[data]]&amp;Ocupacao_DW[[#This Row],[profissional_id]]&amp;Ocupacao_DW[[#This Row],[local_id]]</f>
        <v>44645601</v>
      </c>
      <c r="H3408" s="1">
        <f>_xlfn.XLOOKUP(Ocupacao_DW[[#This Row],[Concat]],Vagas!$H:$H,Vagas!$D:$D,"",0)</f>
        <v>0</v>
      </c>
    </row>
    <row r="3409" spans="1:8" x14ac:dyDescent="0.25">
      <c r="A3409" s="2">
        <v>44651</v>
      </c>
      <c r="B3409" s="1" t="s">
        <v>55</v>
      </c>
      <c r="C3409">
        <v>74</v>
      </c>
      <c r="D3409" s="1" t="s">
        <v>182</v>
      </c>
      <c r="E3409" s="1" t="s">
        <v>6</v>
      </c>
      <c r="F3409">
        <v>7</v>
      </c>
      <c r="G3409" s="1" t="str">
        <f>Ocupacao_DW[[#This Row],[data]]&amp;Ocupacao_DW[[#This Row],[profissional_id]]&amp;Ocupacao_DW[[#This Row],[local_id]]</f>
        <v>44651747</v>
      </c>
      <c r="H3409" s="1">
        <f>_xlfn.XLOOKUP(Ocupacao_DW[[#This Row],[Concat]],Vagas!$H:$H,Vagas!$D:$D,"",0)</f>
        <v>0</v>
      </c>
    </row>
    <row r="3410" spans="1:8" x14ac:dyDescent="0.25">
      <c r="A3410" s="2">
        <v>44639</v>
      </c>
      <c r="B3410" s="1" t="s">
        <v>52</v>
      </c>
      <c r="C3410">
        <v>60</v>
      </c>
      <c r="D3410" s="1" t="s">
        <v>217</v>
      </c>
      <c r="E3410" s="1" t="s">
        <v>6</v>
      </c>
      <c r="F3410">
        <v>8</v>
      </c>
      <c r="G3410" s="1" t="str">
        <f>Ocupacao_DW[[#This Row],[data]]&amp;Ocupacao_DW[[#This Row],[profissional_id]]&amp;Ocupacao_DW[[#This Row],[local_id]]</f>
        <v>44639608</v>
      </c>
      <c r="H3410" s="1">
        <f>_xlfn.XLOOKUP(Ocupacao_DW[[#This Row],[Concat]],Vagas!$H:$H,Vagas!$D:$D,"",0)</f>
        <v>0</v>
      </c>
    </row>
    <row r="3411" spans="1:8" x14ac:dyDescent="0.25">
      <c r="A3411" s="2">
        <v>44639</v>
      </c>
      <c r="B3411" s="1" t="s">
        <v>52</v>
      </c>
      <c r="C3411">
        <v>60</v>
      </c>
      <c r="D3411" s="1" t="s">
        <v>217</v>
      </c>
      <c r="E3411" s="1" t="s">
        <v>6</v>
      </c>
      <c r="F3411">
        <v>8</v>
      </c>
      <c r="G3411" s="1" t="str">
        <f>Ocupacao_DW[[#This Row],[data]]&amp;Ocupacao_DW[[#This Row],[profissional_id]]&amp;Ocupacao_DW[[#This Row],[local_id]]</f>
        <v>44639608</v>
      </c>
      <c r="H3411" s="1">
        <f>_xlfn.XLOOKUP(Ocupacao_DW[[#This Row],[Concat]],Vagas!$H:$H,Vagas!$D:$D,"",0)</f>
        <v>0</v>
      </c>
    </row>
    <row r="3412" spans="1:8" x14ac:dyDescent="0.25">
      <c r="A3412" s="2">
        <v>44635</v>
      </c>
      <c r="B3412" s="1" t="s">
        <v>49</v>
      </c>
      <c r="C3412">
        <v>81</v>
      </c>
      <c r="D3412" s="1" t="s">
        <v>170</v>
      </c>
      <c r="E3412" s="1" t="s">
        <v>4</v>
      </c>
      <c r="F3412">
        <v>41</v>
      </c>
      <c r="G3412" s="1" t="str">
        <f>Ocupacao_DW[[#This Row],[data]]&amp;Ocupacao_DW[[#This Row],[profissional_id]]&amp;Ocupacao_DW[[#This Row],[local_id]]</f>
        <v>446358141</v>
      </c>
      <c r="H3412" s="1">
        <f>_xlfn.XLOOKUP(Ocupacao_DW[[#This Row],[Concat]],Vagas!$H:$H,Vagas!$D:$D,"",0)</f>
        <v>0</v>
      </c>
    </row>
    <row r="3413" spans="1:8" x14ac:dyDescent="0.25">
      <c r="A3413" s="2">
        <v>44636</v>
      </c>
      <c r="B3413" s="1" t="s">
        <v>54</v>
      </c>
      <c r="C3413">
        <v>70</v>
      </c>
      <c r="D3413" s="1" t="s">
        <v>187</v>
      </c>
      <c r="E3413" s="1" t="s">
        <v>5</v>
      </c>
      <c r="F3413">
        <v>13</v>
      </c>
      <c r="G3413" s="1" t="str">
        <f>Ocupacao_DW[[#This Row],[data]]&amp;Ocupacao_DW[[#This Row],[profissional_id]]&amp;Ocupacao_DW[[#This Row],[local_id]]</f>
        <v>446367013</v>
      </c>
      <c r="H3413" s="1">
        <f>_xlfn.XLOOKUP(Ocupacao_DW[[#This Row],[Concat]],Vagas!$H:$H,Vagas!$D:$D,"",0)</f>
        <v>0</v>
      </c>
    </row>
    <row r="3414" spans="1:8" x14ac:dyDescent="0.25">
      <c r="A3414" s="2">
        <v>44637</v>
      </c>
      <c r="B3414" s="1" t="s">
        <v>73</v>
      </c>
      <c r="C3414">
        <v>10691</v>
      </c>
      <c r="D3414" s="1" t="s">
        <v>181</v>
      </c>
      <c r="E3414" s="1" t="s">
        <v>167</v>
      </c>
      <c r="F3414">
        <v>348</v>
      </c>
      <c r="G3414" s="1" t="str">
        <f>Ocupacao_DW[[#This Row],[data]]&amp;Ocupacao_DW[[#This Row],[profissional_id]]&amp;Ocupacao_DW[[#This Row],[local_id]]</f>
        <v>4463710691348</v>
      </c>
      <c r="H3414" s="1">
        <f>_xlfn.XLOOKUP(Ocupacao_DW[[#This Row],[Concat]],Vagas!$H:$H,Vagas!$D:$D,"",0)</f>
        <v>0</v>
      </c>
    </row>
    <row r="3415" spans="1:8" x14ac:dyDescent="0.25">
      <c r="A3415" s="2">
        <v>44637</v>
      </c>
      <c r="B3415" s="1" t="s">
        <v>66</v>
      </c>
      <c r="C3415">
        <v>100</v>
      </c>
      <c r="D3415" s="1" t="s">
        <v>166</v>
      </c>
      <c r="E3415" s="1" t="s">
        <v>167</v>
      </c>
      <c r="F3415">
        <v>342</v>
      </c>
      <c r="G3415" s="1" t="str">
        <f>Ocupacao_DW[[#This Row],[data]]&amp;Ocupacao_DW[[#This Row],[profissional_id]]&amp;Ocupacao_DW[[#This Row],[local_id]]</f>
        <v>44637100342</v>
      </c>
      <c r="H3415" s="1">
        <f>_xlfn.XLOOKUP(Ocupacao_DW[[#This Row],[Concat]],Vagas!$H:$H,Vagas!$D:$D,"",0)</f>
        <v>0</v>
      </c>
    </row>
    <row r="3416" spans="1:8" x14ac:dyDescent="0.25">
      <c r="A3416" s="2">
        <v>44638</v>
      </c>
      <c r="B3416" s="1" t="s">
        <v>49</v>
      </c>
      <c r="C3416">
        <v>6430</v>
      </c>
      <c r="D3416" s="1" t="s">
        <v>188</v>
      </c>
      <c r="E3416" s="1" t="s">
        <v>4</v>
      </c>
      <c r="F3416">
        <v>42</v>
      </c>
      <c r="G3416" s="1" t="str">
        <f>Ocupacao_DW[[#This Row],[data]]&amp;Ocupacao_DW[[#This Row],[profissional_id]]&amp;Ocupacao_DW[[#This Row],[local_id]]</f>
        <v>44638643042</v>
      </c>
      <c r="H3416" s="1">
        <f>_xlfn.XLOOKUP(Ocupacao_DW[[#This Row],[Concat]],Vagas!$H:$H,Vagas!$D:$D,"",0)</f>
        <v>0</v>
      </c>
    </row>
    <row r="3417" spans="1:8" x14ac:dyDescent="0.25">
      <c r="A3417" s="2">
        <v>44649</v>
      </c>
      <c r="B3417" s="1" t="s">
        <v>65</v>
      </c>
      <c r="C3417">
        <v>11652</v>
      </c>
      <c r="D3417" s="1" t="s">
        <v>242</v>
      </c>
      <c r="E3417" s="1" t="s">
        <v>4</v>
      </c>
      <c r="F3417">
        <v>47</v>
      </c>
      <c r="G3417" s="1" t="str">
        <f>Ocupacao_DW[[#This Row],[data]]&amp;Ocupacao_DW[[#This Row],[profissional_id]]&amp;Ocupacao_DW[[#This Row],[local_id]]</f>
        <v>446491165247</v>
      </c>
      <c r="H3417" s="1">
        <f>_xlfn.XLOOKUP(Ocupacao_DW[[#This Row],[Concat]],Vagas!$H:$H,Vagas!$D:$D,"",0)</f>
        <v>46</v>
      </c>
    </row>
    <row r="3418" spans="1:8" x14ac:dyDescent="0.25">
      <c r="A3418" s="2">
        <v>44635</v>
      </c>
      <c r="B3418" s="1"/>
      <c r="C3418">
        <v>0</v>
      </c>
      <c r="D3418" s="1"/>
      <c r="E3418" s="1" t="s">
        <v>7</v>
      </c>
      <c r="F3418">
        <v>55</v>
      </c>
      <c r="G3418" s="1" t="str">
        <f>Ocupacao_DW[[#This Row],[data]]&amp;Ocupacao_DW[[#This Row],[profissional_id]]&amp;Ocupacao_DW[[#This Row],[local_id]]</f>
        <v>44635055</v>
      </c>
      <c r="H3418" s="1" t="str">
        <f>_xlfn.XLOOKUP(Ocupacao_DW[[#This Row],[Concat]],Vagas!$H:$H,Vagas!$D:$D,"",0)</f>
        <v/>
      </c>
    </row>
    <row r="3419" spans="1:8" x14ac:dyDescent="0.25">
      <c r="A3419" s="2">
        <v>44636</v>
      </c>
      <c r="B3419" s="1" t="s">
        <v>49</v>
      </c>
      <c r="C3419">
        <v>81</v>
      </c>
      <c r="D3419" s="1" t="s">
        <v>170</v>
      </c>
      <c r="E3419" s="1" t="s">
        <v>4</v>
      </c>
      <c r="F3419">
        <v>41</v>
      </c>
      <c r="G3419" s="1" t="str">
        <f>Ocupacao_DW[[#This Row],[data]]&amp;Ocupacao_DW[[#This Row],[profissional_id]]&amp;Ocupacao_DW[[#This Row],[local_id]]</f>
        <v>446368141</v>
      </c>
      <c r="H3419" s="1">
        <f>_xlfn.XLOOKUP(Ocupacao_DW[[#This Row],[Concat]],Vagas!$H:$H,Vagas!$D:$D,"",0)</f>
        <v>0</v>
      </c>
    </row>
    <row r="3420" spans="1:8" x14ac:dyDescent="0.25">
      <c r="A3420" s="2">
        <v>44642</v>
      </c>
      <c r="B3420" s="1" t="s">
        <v>64</v>
      </c>
      <c r="C3420">
        <v>85</v>
      </c>
      <c r="D3420" s="1" t="s">
        <v>211</v>
      </c>
      <c r="E3420" s="1" t="s">
        <v>5</v>
      </c>
      <c r="F3420">
        <v>349</v>
      </c>
      <c r="G3420" s="1" t="str">
        <f>Ocupacao_DW[[#This Row],[data]]&amp;Ocupacao_DW[[#This Row],[profissional_id]]&amp;Ocupacao_DW[[#This Row],[local_id]]</f>
        <v>4464285349</v>
      </c>
      <c r="H3420" s="1">
        <f>_xlfn.XLOOKUP(Ocupacao_DW[[#This Row],[Concat]],Vagas!$H:$H,Vagas!$D:$D,"",0)</f>
        <v>0</v>
      </c>
    </row>
    <row r="3421" spans="1:8" x14ac:dyDescent="0.25">
      <c r="A3421" s="2">
        <v>44645</v>
      </c>
      <c r="B3421" s="1" t="s">
        <v>68</v>
      </c>
      <c r="C3421">
        <v>9138</v>
      </c>
      <c r="D3421" s="1" t="s">
        <v>184</v>
      </c>
      <c r="E3421" s="1" t="s">
        <v>5</v>
      </c>
      <c r="F3421">
        <v>14</v>
      </c>
      <c r="G3421" s="1" t="str">
        <f>Ocupacao_DW[[#This Row],[data]]&amp;Ocupacao_DW[[#This Row],[profissional_id]]&amp;Ocupacao_DW[[#This Row],[local_id]]</f>
        <v>44645913814</v>
      </c>
      <c r="H3421" s="1">
        <f>_xlfn.XLOOKUP(Ocupacao_DW[[#This Row],[Concat]],Vagas!$H:$H,Vagas!$D:$D,"",0)</f>
        <v>0</v>
      </c>
    </row>
    <row r="3422" spans="1:8" x14ac:dyDescent="0.25">
      <c r="A3422" s="2">
        <v>44635</v>
      </c>
      <c r="B3422" s="1" t="s">
        <v>43</v>
      </c>
      <c r="C3422">
        <v>72</v>
      </c>
      <c r="D3422" s="1" t="s">
        <v>271</v>
      </c>
      <c r="E3422" s="1" t="s">
        <v>4</v>
      </c>
      <c r="F3422">
        <v>334</v>
      </c>
      <c r="G3422" s="1" t="str">
        <f>Ocupacao_DW[[#This Row],[data]]&amp;Ocupacao_DW[[#This Row],[profissional_id]]&amp;Ocupacao_DW[[#This Row],[local_id]]</f>
        <v>4463572334</v>
      </c>
      <c r="H3422" s="1">
        <f>_xlfn.XLOOKUP(Ocupacao_DW[[#This Row],[Concat]],Vagas!$H:$H,Vagas!$D:$D,"",0)</f>
        <v>1</v>
      </c>
    </row>
    <row r="3423" spans="1:8" x14ac:dyDescent="0.25">
      <c r="A3423" s="2">
        <v>44656</v>
      </c>
      <c r="B3423" s="1" t="s">
        <v>55</v>
      </c>
      <c r="C3423">
        <v>73</v>
      </c>
      <c r="D3423" s="1" t="s">
        <v>171</v>
      </c>
      <c r="E3423" s="1" t="s">
        <v>6</v>
      </c>
      <c r="F3423">
        <v>5</v>
      </c>
      <c r="G3423" s="1" t="str">
        <f>Ocupacao_DW[[#This Row],[data]]&amp;Ocupacao_DW[[#This Row],[profissional_id]]&amp;Ocupacao_DW[[#This Row],[local_id]]</f>
        <v>44656735</v>
      </c>
      <c r="H3423" s="1">
        <f>_xlfn.XLOOKUP(Ocupacao_DW[[#This Row],[Concat]],Vagas!$H:$H,Vagas!$D:$D,"",0)</f>
        <v>0</v>
      </c>
    </row>
    <row r="3424" spans="1:8" x14ac:dyDescent="0.25">
      <c r="A3424" s="2">
        <v>44636</v>
      </c>
      <c r="B3424" s="1" t="s">
        <v>70</v>
      </c>
      <c r="C3424">
        <v>12825</v>
      </c>
      <c r="D3424" s="1" t="s">
        <v>177</v>
      </c>
      <c r="E3424" s="1" t="s">
        <v>4</v>
      </c>
      <c r="F3424">
        <v>45</v>
      </c>
      <c r="G3424" s="1" t="str">
        <f>Ocupacao_DW[[#This Row],[data]]&amp;Ocupacao_DW[[#This Row],[profissional_id]]&amp;Ocupacao_DW[[#This Row],[local_id]]</f>
        <v>446361282545</v>
      </c>
      <c r="H3424" s="1">
        <f>_xlfn.XLOOKUP(Ocupacao_DW[[#This Row],[Concat]],Vagas!$H:$H,Vagas!$D:$D,"",0)</f>
        <v>0</v>
      </c>
    </row>
    <row r="3425" spans="1:8" x14ac:dyDescent="0.25">
      <c r="A3425" s="2">
        <v>44656</v>
      </c>
      <c r="B3425" s="1" t="s">
        <v>55</v>
      </c>
      <c r="C3425">
        <v>73</v>
      </c>
      <c r="D3425" s="1" t="s">
        <v>171</v>
      </c>
      <c r="E3425" s="1" t="s">
        <v>6</v>
      </c>
      <c r="F3425">
        <v>5</v>
      </c>
      <c r="G3425" s="1" t="str">
        <f>Ocupacao_DW[[#This Row],[data]]&amp;Ocupacao_DW[[#This Row],[profissional_id]]&amp;Ocupacao_DW[[#This Row],[local_id]]</f>
        <v>44656735</v>
      </c>
      <c r="H3425" s="1">
        <f>_xlfn.XLOOKUP(Ocupacao_DW[[#This Row],[Concat]],Vagas!$H:$H,Vagas!$D:$D,"",0)</f>
        <v>0</v>
      </c>
    </row>
    <row r="3426" spans="1:8" x14ac:dyDescent="0.25">
      <c r="A3426" s="2">
        <v>44638</v>
      </c>
      <c r="B3426" s="1" t="s">
        <v>52</v>
      </c>
      <c r="C3426">
        <v>55</v>
      </c>
      <c r="D3426" s="1" t="s">
        <v>244</v>
      </c>
      <c r="E3426" s="1" t="s">
        <v>7</v>
      </c>
      <c r="F3426">
        <v>68</v>
      </c>
      <c r="G3426" s="1" t="str">
        <f>Ocupacao_DW[[#This Row],[data]]&amp;Ocupacao_DW[[#This Row],[profissional_id]]&amp;Ocupacao_DW[[#This Row],[local_id]]</f>
        <v>446385568</v>
      </c>
      <c r="H3426" s="1">
        <f>_xlfn.XLOOKUP(Ocupacao_DW[[#This Row],[Concat]],Vagas!$H:$H,Vagas!$D:$D,"",0)</f>
        <v>0</v>
      </c>
    </row>
    <row r="3427" spans="1:8" x14ac:dyDescent="0.25">
      <c r="A3427" s="2">
        <v>44637</v>
      </c>
      <c r="B3427" s="1" t="s">
        <v>72</v>
      </c>
      <c r="C3427">
        <v>6046</v>
      </c>
      <c r="D3427" s="1" t="s">
        <v>222</v>
      </c>
      <c r="E3427" s="1" t="s">
        <v>4</v>
      </c>
      <c r="F3427">
        <v>46</v>
      </c>
      <c r="G3427" s="1" t="str">
        <f>Ocupacao_DW[[#This Row],[data]]&amp;Ocupacao_DW[[#This Row],[profissional_id]]&amp;Ocupacao_DW[[#This Row],[local_id]]</f>
        <v>44637604646</v>
      </c>
      <c r="H3427" s="1">
        <f>_xlfn.XLOOKUP(Ocupacao_DW[[#This Row],[Concat]],Vagas!$H:$H,Vagas!$D:$D,"",0)</f>
        <v>0</v>
      </c>
    </row>
    <row r="3428" spans="1:8" x14ac:dyDescent="0.25">
      <c r="A3428" s="2">
        <v>44637</v>
      </c>
      <c r="B3428" s="1" t="s">
        <v>52</v>
      </c>
      <c r="C3428">
        <v>10691</v>
      </c>
      <c r="D3428" s="1" t="s">
        <v>181</v>
      </c>
      <c r="E3428" s="1" t="s">
        <v>6</v>
      </c>
      <c r="F3428">
        <v>9</v>
      </c>
      <c r="G3428" s="1" t="str">
        <f>Ocupacao_DW[[#This Row],[data]]&amp;Ocupacao_DW[[#This Row],[profissional_id]]&amp;Ocupacao_DW[[#This Row],[local_id]]</f>
        <v>44637106919</v>
      </c>
      <c r="H3428" s="1">
        <f>_xlfn.XLOOKUP(Ocupacao_DW[[#This Row],[Concat]],Vagas!$H:$H,Vagas!$D:$D,"",0)</f>
        <v>0</v>
      </c>
    </row>
    <row r="3429" spans="1:8" x14ac:dyDescent="0.25">
      <c r="A3429" s="2">
        <v>44635</v>
      </c>
      <c r="B3429" s="1" t="s">
        <v>52</v>
      </c>
      <c r="C3429">
        <v>60</v>
      </c>
      <c r="D3429" s="1" t="s">
        <v>217</v>
      </c>
      <c r="E3429" s="1" t="s">
        <v>167</v>
      </c>
      <c r="F3429">
        <v>345</v>
      </c>
      <c r="G3429" s="1" t="str">
        <f>Ocupacao_DW[[#This Row],[data]]&amp;Ocupacao_DW[[#This Row],[profissional_id]]&amp;Ocupacao_DW[[#This Row],[local_id]]</f>
        <v>4463560345</v>
      </c>
      <c r="H3429" s="1">
        <f>_xlfn.XLOOKUP(Ocupacao_DW[[#This Row],[Concat]],Vagas!$H:$H,Vagas!$D:$D,"",0)</f>
        <v>0</v>
      </c>
    </row>
    <row r="3430" spans="1:8" x14ac:dyDescent="0.25">
      <c r="A3430" s="2">
        <v>44637</v>
      </c>
      <c r="B3430" s="1" t="s">
        <v>52</v>
      </c>
      <c r="C3430">
        <v>10691</v>
      </c>
      <c r="D3430" s="1" t="s">
        <v>181</v>
      </c>
      <c r="E3430" s="1" t="s">
        <v>6</v>
      </c>
      <c r="F3430">
        <v>9</v>
      </c>
      <c r="G3430" s="1" t="str">
        <f>Ocupacao_DW[[#This Row],[data]]&amp;Ocupacao_DW[[#This Row],[profissional_id]]&amp;Ocupacao_DW[[#This Row],[local_id]]</f>
        <v>44637106919</v>
      </c>
      <c r="H3430" s="1">
        <f>_xlfn.XLOOKUP(Ocupacao_DW[[#This Row],[Concat]],Vagas!$H:$H,Vagas!$D:$D,"",0)</f>
        <v>0</v>
      </c>
    </row>
    <row r="3431" spans="1:8" x14ac:dyDescent="0.25">
      <c r="A3431" s="2">
        <v>44636</v>
      </c>
      <c r="B3431" s="1" t="s">
        <v>56</v>
      </c>
      <c r="C3431">
        <v>5927</v>
      </c>
      <c r="D3431" s="1" t="s">
        <v>226</v>
      </c>
      <c r="E3431" s="1" t="s">
        <v>5</v>
      </c>
      <c r="F3431">
        <v>17</v>
      </c>
      <c r="G3431" s="1" t="str">
        <f>Ocupacao_DW[[#This Row],[data]]&amp;Ocupacao_DW[[#This Row],[profissional_id]]&amp;Ocupacao_DW[[#This Row],[local_id]]</f>
        <v>44636592717</v>
      </c>
      <c r="H3431" s="1">
        <f>_xlfn.XLOOKUP(Ocupacao_DW[[#This Row],[Concat]],Vagas!$H:$H,Vagas!$D:$D,"",0)</f>
        <v>0</v>
      </c>
    </row>
    <row r="3432" spans="1:8" x14ac:dyDescent="0.25">
      <c r="A3432" s="2">
        <v>44636</v>
      </c>
      <c r="B3432" s="1" t="s">
        <v>52</v>
      </c>
      <c r="C3432">
        <v>60</v>
      </c>
      <c r="D3432" s="1" t="s">
        <v>217</v>
      </c>
      <c r="E3432" s="1" t="s">
        <v>6</v>
      </c>
      <c r="F3432">
        <v>8</v>
      </c>
      <c r="G3432" s="1" t="str">
        <f>Ocupacao_DW[[#This Row],[data]]&amp;Ocupacao_DW[[#This Row],[profissional_id]]&amp;Ocupacao_DW[[#This Row],[local_id]]</f>
        <v>44636608</v>
      </c>
      <c r="H3432" s="1">
        <f>_xlfn.XLOOKUP(Ocupacao_DW[[#This Row],[Concat]],Vagas!$H:$H,Vagas!$D:$D,"",0)</f>
        <v>0</v>
      </c>
    </row>
    <row r="3433" spans="1:8" x14ac:dyDescent="0.25">
      <c r="A3433" s="2">
        <v>44641</v>
      </c>
      <c r="B3433" s="1" t="s">
        <v>72</v>
      </c>
      <c r="C3433">
        <v>13479</v>
      </c>
      <c r="D3433" s="1" t="s">
        <v>203</v>
      </c>
      <c r="E3433" s="1" t="s">
        <v>4</v>
      </c>
      <c r="F3433">
        <v>46</v>
      </c>
      <c r="G3433" s="1" t="str">
        <f>Ocupacao_DW[[#This Row],[data]]&amp;Ocupacao_DW[[#This Row],[profissional_id]]&amp;Ocupacao_DW[[#This Row],[local_id]]</f>
        <v>446411347946</v>
      </c>
      <c r="H3433" s="1">
        <f>_xlfn.XLOOKUP(Ocupacao_DW[[#This Row],[Concat]],Vagas!$H:$H,Vagas!$D:$D,"",0)</f>
        <v>0</v>
      </c>
    </row>
    <row r="3434" spans="1:8" x14ac:dyDescent="0.25">
      <c r="A3434" s="2">
        <v>44651</v>
      </c>
      <c r="B3434" s="1" t="s">
        <v>55</v>
      </c>
      <c r="C3434">
        <v>12426</v>
      </c>
      <c r="D3434" s="1" t="s">
        <v>215</v>
      </c>
      <c r="E3434" s="1" t="s">
        <v>6</v>
      </c>
      <c r="F3434">
        <v>5</v>
      </c>
      <c r="G3434" s="1" t="str">
        <f>Ocupacao_DW[[#This Row],[data]]&amp;Ocupacao_DW[[#This Row],[profissional_id]]&amp;Ocupacao_DW[[#This Row],[local_id]]</f>
        <v>44651124265</v>
      </c>
      <c r="H3434" s="1">
        <f>_xlfn.XLOOKUP(Ocupacao_DW[[#This Row],[Concat]],Vagas!$H:$H,Vagas!$D:$D,"",0)</f>
        <v>0</v>
      </c>
    </row>
    <row r="3435" spans="1:8" x14ac:dyDescent="0.25">
      <c r="A3435" s="2">
        <v>44642</v>
      </c>
      <c r="B3435" s="1" t="s">
        <v>65</v>
      </c>
      <c r="C3435">
        <v>11237</v>
      </c>
      <c r="D3435" s="1" t="s">
        <v>229</v>
      </c>
      <c r="E3435" s="1" t="s">
        <v>4</v>
      </c>
      <c r="F3435">
        <v>46</v>
      </c>
      <c r="G3435" s="1" t="str">
        <f>Ocupacao_DW[[#This Row],[data]]&amp;Ocupacao_DW[[#This Row],[profissional_id]]&amp;Ocupacao_DW[[#This Row],[local_id]]</f>
        <v>446421123746</v>
      </c>
      <c r="H3435" s="1">
        <f>_xlfn.XLOOKUP(Ocupacao_DW[[#This Row],[Concat]],Vagas!$H:$H,Vagas!$D:$D,"",0)</f>
        <v>0</v>
      </c>
    </row>
    <row r="3436" spans="1:8" x14ac:dyDescent="0.25">
      <c r="A3436" s="2">
        <v>44636</v>
      </c>
      <c r="B3436" s="1" t="s">
        <v>62</v>
      </c>
      <c r="C3436">
        <v>3502</v>
      </c>
      <c r="D3436" s="1" t="s">
        <v>214</v>
      </c>
      <c r="E3436" s="1" t="s">
        <v>5</v>
      </c>
      <c r="F3436">
        <v>16</v>
      </c>
      <c r="G3436" s="1" t="str">
        <f>Ocupacao_DW[[#This Row],[data]]&amp;Ocupacao_DW[[#This Row],[profissional_id]]&amp;Ocupacao_DW[[#This Row],[local_id]]</f>
        <v>44636350216</v>
      </c>
      <c r="H3436" s="1">
        <f>_xlfn.XLOOKUP(Ocupacao_DW[[#This Row],[Concat]],Vagas!$H:$H,Vagas!$D:$D,"",0)</f>
        <v>0</v>
      </c>
    </row>
    <row r="3437" spans="1:8" x14ac:dyDescent="0.25">
      <c r="A3437" s="2">
        <v>44635</v>
      </c>
      <c r="B3437" s="1"/>
      <c r="C3437">
        <v>0</v>
      </c>
      <c r="D3437" s="1"/>
      <c r="E3437" s="1" t="s">
        <v>4</v>
      </c>
      <c r="F3437">
        <v>351</v>
      </c>
      <c r="G3437" s="1" t="str">
        <f>Ocupacao_DW[[#This Row],[data]]&amp;Ocupacao_DW[[#This Row],[profissional_id]]&amp;Ocupacao_DW[[#This Row],[local_id]]</f>
        <v>446350351</v>
      </c>
      <c r="H3437" s="1" t="str">
        <f>_xlfn.XLOOKUP(Ocupacao_DW[[#This Row],[Concat]],Vagas!$H:$H,Vagas!$D:$D,"",0)</f>
        <v/>
      </c>
    </row>
    <row r="3438" spans="1:8" x14ac:dyDescent="0.25">
      <c r="A3438" s="2">
        <v>44637</v>
      </c>
      <c r="B3438" s="1" t="s">
        <v>49</v>
      </c>
      <c r="C3438">
        <v>81</v>
      </c>
      <c r="D3438" s="1" t="s">
        <v>170</v>
      </c>
      <c r="E3438" s="1" t="s">
        <v>4</v>
      </c>
      <c r="F3438">
        <v>41</v>
      </c>
      <c r="G3438" s="1" t="str">
        <f>Ocupacao_DW[[#This Row],[data]]&amp;Ocupacao_DW[[#This Row],[profissional_id]]&amp;Ocupacao_DW[[#This Row],[local_id]]</f>
        <v>446378141</v>
      </c>
      <c r="H3438" s="1">
        <f>_xlfn.XLOOKUP(Ocupacao_DW[[#This Row],[Concat]],Vagas!$H:$H,Vagas!$D:$D,"",0)</f>
        <v>0</v>
      </c>
    </row>
    <row r="3439" spans="1:8" x14ac:dyDescent="0.25">
      <c r="A3439" s="2">
        <v>44645</v>
      </c>
      <c r="B3439" s="1" t="s">
        <v>24</v>
      </c>
      <c r="C3439">
        <v>60</v>
      </c>
      <c r="D3439" s="1" t="s">
        <v>217</v>
      </c>
      <c r="E3439" s="1" t="s">
        <v>6</v>
      </c>
      <c r="F3439">
        <v>1</v>
      </c>
      <c r="G3439" s="1" t="str">
        <f>Ocupacao_DW[[#This Row],[data]]&amp;Ocupacao_DW[[#This Row],[profissional_id]]&amp;Ocupacao_DW[[#This Row],[local_id]]</f>
        <v>44645601</v>
      </c>
      <c r="H3439" s="1">
        <f>_xlfn.XLOOKUP(Ocupacao_DW[[#This Row],[Concat]],Vagas!$H:$H,Vagas!$D:$D,"",0)</f>
        <v>0</v>
      </c>
    </row>
    <row r="3440" spans="1:8" x14ac:dyDescent="0.25">
      <c r="A3440" s="2">
        <v>44636</v>
      </c>
      <c r="B3440" s="1" t="s">
        <v>47</v>
      </c>
      <c r="C3440">
        <v>110</v>
      </c>
      <c r="D3440" s="1" t="s">
        <v>193</v>
      </c>
      <c r="E3440" s="1" t="s">
        <v>4</v>
      </c>
      <c r="F3440">
        <v>334</v>
      </c>
      <c r="G3440" s="1" t="str">
        <f>Ocupacao_DW[[#This Row],[data]]&amp;Ocupacao_DW[[#This Row],[profissional_id]]&amp;Ocupacao_DW[[#This Row],[local_id]]</f>
        <v>44636110334</v>
      </c>
      <c r="H3440" s="1">
        <f>_xlfn.XLOOKUP(Ocupacao_DW[[#This Row],[Concat]],Vagas!$H:$H,Vagas!$D:$D,"",0)</f>
        <v>0</v>
      </c>
    </row>
    <row r="3441" spans="1:8" x14ac:dyDescent="0.25">
      <c r="A3441" s="2">
        <v>44650</v>
      </c>
      <c r="B3441" s="1" t="s">
        <v>72</v>
      </c>
      <c r="C3441">
        <v>1794</v>
      </c>
      <c r="D3441" s="1" t="s">
        <v>235</v>
      </c>
      <c r="E3441" s="1" t="s">
        <v>4</v>
      </c>
      <c r="F3441">
        <v>49</v>
      </c>
      <c r="G3441" s="1" t="str">
        <f>Ocupacao_DW[[#This Row],[data]]&amp;Ocupacao_DW[[#This Row],[profissional_id]]&amp;Ocupacao_DW[[#This Row],[local_id]]</f>
        <v>44650179449</v>
      </c>
      <c r="H3441" s="1">
        <f>_xlfn.XLOOKUP(Ocupacao_DW[[#This Row],[Concat]],Vagas!$H:$H,Vagas!$D:$D,"",0)</f>
        <v>0</v>
      </c>
    </row>
    <row r="3442" spans="1:8" x14ac:dyDescent="0.25">
      <c r="A3442" s="2">
        <v>44648</v>
      </c>
      <c r="B3442" s="1" t="s">
        <v>55</v>
      </c>
      <c r="C3442">
        <v>12669</v>
      </c>
      <c r="D3442" s="1" t="s">
        <v>223</v>
      </c>
      <c r="E3442" s="1" t="s">
        <v>6</v>
      </c>
      <c r="F3442">
        <v>6</v>
      </c>
      <c r="G3442" s="1" t="str">
        <f>Ocupacao_DW[[#This Row],[data]]&amp;Ocupacao_DW[[#This Row],[profissional_id]]&amp;Ocupacao_DW[[#This Row],[local_id]]</f>
        <v>44648126696</v>
      </c>
      <c r="H3442" s="1">
        <f>_xlfn.XLOOKUP(Ocupacao_DW[[#This Row],[Concat]],Vagas!$H:$H,Vagas!$D:$D,"",0)</f>
        <v>0</v>
      </c>
    </row>
    <row r="3443" spans="1:8" x14ac:dyDescent="0.25">
      <c r="A3443" s="2">
        <v>44637</v>
      </c>
      <c r="B3443" s="1" t="s">
        <v>52</v>
      </c>
      <c r="C3443">
        <v>60</v>
      </c>
      <c r="D3443" s="1" t="s">
        <v>217</v>
      </c>
      <c r="E3443" s="1" t="s">
        <v>167</v>
      </c>
      <c r="F3443">
        <v>346</v>
      </c>
      <c r="G3443" s="1" t="str">
        <f>Ocupacao_DW[[#This Row],[data]]&amp;Ocupacao_DW[[#This Row],[profissional_id]]&amp;Ocupacao_DW[[#This Row],[local_id]]</f>
        <v>4463760346</v>
      </c>
      <c r="H3443" s="1">
        <f>_xlfn.XLOOKUP(Ocupacao_DW[[#This Row],[Concat]],Vagas!$H:$H,Vagas!$D:$D,"",0)</f>
        <v>0</v>
      </c>
    </row>
    <row r="3444" spans="1:8" x14ac:dyDescent="0.25">
      <c r="A3444" s="2">
        <v>44636</v>
      </c>
      <c r="B3444" s="1" t="s">
        <v>65</v>
      </c>
      <c r="C3444">
        <v>13058</v>
      </c>
      <c r="D3444" s="1" t="s">
        <v>256</v>
      </c>
      <c r="E3444" s="1" t="s">
        <v>4</v>
      </c>
      <c r="F3444">
        <v>47</v>
      </c>
      <c r="G3444" s="1" t="str">
        <f>Ocupacao_DW[[#This Row],[data]]&amp;Ocupacao_DW[[#This Row],[profissional_id]]&amp;Ocupacao_DW[[#This Row],[local_id]]</f>
        <v>446361305847</v>
      </c>
      <c r="H3444" s="1">
        <f>_xlfn.XLOOKUP(Ocupacao_DW[[#This Row],[Concat]],Vagas!$H:$H,Vagas!$D:$D,"",0)</f>
        <v>0</v>
      </c>
    </row>
    <row r="3445" spans="1:8" x14ac:dyDescent="0.25">
      <c r="A3445" s="2">
        <v>44658</v>
      </c>
      <c r="B3445" s="1" t="s">
        <v>47</v>
      </c>
      <c r="C3445">
        <v>9111</v>
      </c>
      <c r="D3445" s="1" t="s">
        <v>206</v>
      </c>
      <c r="E3445" s="1" t="s">
        <v>4</v>
      </c>
      <c r="F3445">
        <v>334</v>
      </c>
      <c r="G3445" s="1" t="str">
        <f>Ocupacao_DW[[#This Row],[data]]&amp;Ocupacao_DW[[#This Row],[profissional_id]]&amp;Ocupacao_DW[[#This Row],[local_id]]</f>
        <v>446589111334</v>
      </c>
      <c r="H3445" s="1">
        <f>_xlfn.XLOOKUP(Ocupacao_DW[[#This Row],[Concat]],Vagas!$H:$H,Vagas!$D:$D,"",0)</f>
        <v>0</v>
      </c>
    </row>
    <row r="3446" spans="1:8" x14ac:dyDescent="0.25">
      <c r="A3446" s="2">
        <v>44635</v>
      </c>
      <c r="B3446" s="1" t="s">
        <v>49</v>
      </c>
      <c r="C3446">
        <v>81</v>
      </c>
      <c r="D3446" s="1" t="s">
        <v>170</v>
      </c>
      <c r="E3446" s="1" t="s">
        <v>4</v>
      </c>
      <c r="F3446">
        <v>41</v>
      </c>
      <c r="G3446" s="1" t="str">
        <f>Ocupacao_DW[[#This Row],[data]]&amp;Ocupacao_DW[[#This Row],[profissional_id]]&amp;Ocupacao_DW[[#This Row],[local_id]]</f>
        <v>446358141</v>
      </c>
      <c r="H3446" s="1">
        <f>_xlfn.XLOOKUP(Ocupacao_DW[[#This Row],[Concat]],Vagas!$H:$H,Vagas!$D:$D,"",0)</f>
        <v>0</v>
      </c>
    </row>
    <row r="3447" spans="1:8" x14ac:dyDescent="0.25">
      <c r="A3447" s="2">
        <v>44642</v>
      </c>
      <c r="B3447" s="1" t="s">
        <v>68</v>
      </c>
      <c r="C3447">
        <v>8239</v>
      </c>
      <c r="D3447" s="1" t="s">
        <v>257</v>
      </c>
      <c r="E3447" s="1" t="s">
        <v>5</v>
      </c>
      <c r="F3447">
        <v>14</v>
      </c>
      <c r="G3447" s="1" t="str">
        <f>Ocupacao_DW[[#This Row],[data]]&amp;Ocupacao_DW[[#This Row],[profissional_id]]&amp;Ocupacao_DW[[#This Row],[local_id]]</f>
        <v>44642823914</v>
      </c>
      <c r="H3447" s="1">
        <f>_xlfn.XLOOKUP(Ocupacao_DW[[#This Row],[Concat]],Vagas!$H:$H,Vagas!$D:$D,"",0)</f>
        <v>0</v>
      </c>
    </row>
    <row r="3448" spans="1:8" x14ac:dyDescent="0.25">
      <c r="A3448" s="2">
        <v>44636</v>
      </c>
      <c r="B3448" s="1" t="s">
        <v>71</v>
      </c>
      <c r="C3448">
        <v>282</v>
      </c>
      <c r="D3448" s="1" t="s">
        <v>210</v>
      </c>
      <c r="E3448" s="1" t="s">
        <v>4</v>
      </c>
      <c r="F3448">
        <v>46</v>
      </c>
      <c r="G3448" s="1" t="str">
        <f>Ocupacao_DW[[#This Row],[data]]&amp;Ocupacao_DW[[#This Row],[profissional_id]]&amp;Ocupacao_DW[[#This Row],[local_id]]</f>
        <v>4463628246</v>
      </c>
      <c r="H3448" s="1">
        <f>_xlfn.XLOOKUP(Ocupacao_DW[[#This Row],[Concat]],Vagas!$H:$H,Vagas!$D:$D,"",0)</f>
        <v>0</v>
      </c>
    </row>
    <row r="3449" spans="1:8" x14ac:dyDescent="0.25">
      <c r="A3449" s="2">
        <v>44638</v>
      </c>
      <c r="B3449" s="1" t="s">
        <v>62</v>
      </c>
      <c r="C3449">
        <v>3502</v>
      </c>
      <c r="D3449" s="1" t="s">
        <v>214</v>
      </c>
      <c r="E3449" s="1" t="s">
        <v>7</v>
      </c>
      <c r="F3449">
        <v>69</v>
      </c>
      <c r="G3449" s="1" t="str">
        <f>Ocupacao_DW[[#This Row],[data]]&amp;Ocupacao_DW[[#This Row],[profissional_id]]&amp;Ocupacao_DW[[#This Row],[local_id]]</f>
        <v>44638350269</v>
      </c>
      <c r="H3449" s="1">
        <f>_xlfn.XLOOKUP(Ocupacao_DW[[#This Row],[Concat]],Vagas!$H:$H,Vagas!$D:$D,"",0)</f>
        <v>0</v>
      </c>
    </row>
    <row r="3450" spans="1:8" x14ac:dyDescent="0.25">
      <c r="A3450" s="2">
        <v>44644</v>
      </c>
      <c r="B3450" s="1" t="s">
        <v>51</v>
      </c>
      <c r="C3450">
        <v>12582</v>
      </c>
      <c r="D3450" s="1" t="s">
        <v>190</v>
      </c>
      <c r="E3450" s="1" t="s">
        <v>5</v>
      </c>
      <c r="F3450">
        <v>15</v>
      </c>
      <c r="G3450" s="1" t="str">
        <f>Ocupacao_DW[[#This Row],[data]]&amp;Ocupacao_DW[[#This Row],[profissional_id]]&amp;Ocupacao_DW[[#This Row],[local_id]]</f>
        <v>446441258215</v>
      </c>
      <c r="H3450" s="1">
        <f>_xlfn.XLOOKUP(Ocupacao_DW[[#This Row],[Concat]],Vagas!$H:$H,Vagas!$D:$D,"",0)</f>
        <v>0</v>
      </c>
    </row>
    <row r="3451" spans="1:8" x14ac:dyDescent="0.25">
      <c r="A3451" s="2">
        <v>44641</v>
      </c>
      <c r="B3451" s="1" t="s">
        <v>52</v>
      </c>
      <c r="C3451">
        <v>10691</v>
      </c>
      <c r="D3451" s="1" t="s">
        <v>181</v>
      </c>
      <c r="E3451" s="1" t="s">
        <v>6</v>
      </c>
      <c r="F3451">
        <v>9</v>
      </c>
      <c r="G3451" s="1" t="str">
        <f>Ocupacao_DW[[#This Row],[data]]&amp;Ocupacao_DW[[#This Row],[profissional_id]]&amp;Ocupacao_DW[[#This Row],[local_id]]</f>
        <v>44641106919</v>
      </c>
      <c r="H3451" s="1">
        <f>_xlfn.XLOOKUP(Ocupacao_DW[[#This Row],[Concat]],Vagas!$H:$H,Vagas!$D:$D,"",0)</f>
        <v>0</v>
      </c>
    </row>
    <row r="3452" spans="1:8" x14ac:dyDescent="0.25">
      <c r="A3452" s="2">
        <v>44635</v>
      </c>
      <c r="B3452" s="1" t="s">
        <v>49</v>
      </c>
      <c r="C3452">
        <v>266</v>
      </c>
      <c r="D3452" s="1" t="s">
        <v>201</v>
      </c>
      <c r="E3452" s="1" t="s">
        <v>4</v>
      </c>
      <c r="F3452">
        <v>42</v>
      </c>
      <c r="G3452" s="1" t="str">
        <f>Ocupacao_DW[[#This Row],[data]]&amp;Ocupacao_DW[[#This Row],[profissional_id]]&amp;Ocupacao_DW[[#This Row],[local_id]]</f>
        <v>4463526642</v>
      </c>
      <c r="H3452" s="1">
        <f>_xlfn.XLOOKUP(Ocupacao_DW[[#This Row],[Concat]],Vagas!$H:$H,Vagas!$D:$D,"",0)</f>
        <v>0</v>
      </c>
    </row>
    <row r="3453" spans="1:8" x14ac:dyDescent="0.25">
      <c r="A3453" s="2">
        <v>44638</v>
      </c>
      <c r="B3453" s="1" t="s">
        <v>47</v>
      </c>
      <c r="C3453">
        <v>12684</v>
      </c>
      <c r="D3453" s="1" t="s">
        <v>236</v>
      </c>
      <c r="E3453" s="1" t="s">
        <v>200</v>
      </c>
      <c r="F3453">
        <v>85</v>
      </c>
      <c r="G3453" s="1" t="str">
        <f>Ocupacao_DW[[#This Row],[data]]&amp;Ocupacao_DW[[#This Row],[profissional_id]]&amp;Ocupacao_DW[[#This Row],[local_id]]</f>
        <v>446381268485</v>
      </c>
      <c r="H3453" s="1">
        <f>_xlfn.XLOOKUP(Ocupacao_DW[[#This Row],[Concat]],Vagas!$H:$H,Vagas!$D:$D,"",0)</f>
        <v>0</v>
      </c>
    </row>
    <row r="3454" spans="1:8" x14ac:dyDescent="0.25">
      <c r="A3454" s="2">
        <v>44643</v>
      </c>
      <c r="B3454" s="1" t="s">
        <v>47</v>
      </c>
      <c r="C3454">
        <v>12684</v>
      </c>
      <c r="D3454" s="1" t="s">
        <v>236</v>
      </c>
      <c r="E3454" s="1" t="s">
        <v>4</v>
      </c>
      <c r="F3454">
        <v>51</v>
      </c>
      <c r="G3454" s="1" t="str">
        <f>Ocupacao_DW[[#This Row],[data]]&amp;Ocupacao_DW[[#This Row],[profissional_id]]&amp;Ocupacao_DW[[#This Row],[local_id]]</f>
        <v>446431268451</v>
      </c>
      <c r="H3454" s="1">
        <f>_xlfn.XLOOKUP(Ocupacao_DW[[#This Row],[Concat]],Vagas!$H:$H,Vagas!$D:$D,"",0)</f>
        <v>0</v>
      </c>
    </row>
    <row r="3455" spans="1:8" x14ac:dyDescent="0.25">
      <c r="A3455" s="2">
        <v>44637</v>
      </c>
      <c r="B3455" s="1" t="s">
        <v>56</v>
      </c>
      <c r="C3455">
        <v>5822</v>
      </c>
      <c r="D3455" s="1" t="s">
        <v>194</v>
      </c>
      <c r="E3455" s="1" t="s">
        <v>5</v>
      </c>
      <c r="F3455">
        <v>11</v>
      </c>
      <c r="G3455" s="1" t="str">
        <f>Ocupacao_DW[[#This Row],[data]]&amp;Ocupacao_DW[[#This Row],[profissional_id]]&amp;Ocupacao_DW[[#This Row],[local_id]]</f>
        <v>44637582211</v>
      </c>
      <c r="H3455" s="1">
        <f>_xlfn.XLOOKUP(Ocupacao_DW[[#This Row],[Concat]],Vagas!$H:$H,Vagas!$D:$D,"",0)</f>
        <v>0</v>
      </c>
    </row>
    <row r="3456" spans="1:8" x14ac:dyDescent="0.25">
      <c r="A3456" s="2">
        <v>44645</v>
      </c>
      <c r="B3456" s="1" t="s">
        <v>20</v>
      </c>
      <c r="C3456">
        <v>174</v>
      </c>
      <c r="D3456" s="1" t="s">
        <v>230</v>
      </c>
      <c r="E3456" s="1" t="s">
        <v>167</v>
      </c>
      <c r="F3456">
        <v>24</v>
      </c>
      <c r="G3456" s="1" t="str">
        <f>Ocupacao_DW[[#This Row],[data]]&amp;Ocupacao_DW[[#This Row],[profissional_id]]&amp;Ocupacao_DW[[#This Row],[local_id]]</f>
        <v>4464517424</v>
      </c>
      <c r="H3456" s="1">
        <f>_xlfn.XLOOKUP(Ocupacao_DW[[#This Row],[Concat]],Vagas!$H:$H,Vagas!$D:$D,"",0)</f>
        <v>80</v>
      </c>
    </row>
    <row r="3457" spans="1:8" x14ac:dyDescent="0.25">
      <c r="A3457" s="2">
        <v>44646</v>
      </c>
      <c r="B3457" s="1" t="s">
        <v>55</v>
      </c>
      <c r="C3457">
        <v>17879</v>
      </c>
      <c r="D3457" s="1" t="s">
        <v>233</v>
      </c>
      <c r="E3457" s="1" t="s">
        <v>6</v>
      </c>
      <c r="F3457">
        <v>3</v>
      </c>
      <c r="G3457" s="1" t="str">
        <f>Ocupacao_DW[[#This Row],[data]]&amp;Ocupacao_DW[[#This Row],[profissional_id]]&amp;Ocupacao_DW[[#This Row],[local_id]]</f>
        <v>44646178793</v>
      </c>
      <c r="H3457" s="1">
        <f>_xlfn.XLOOKUP(Ocupacao_DW[[#This Row],[Concat]],Vagas!$H:$H,Vagas!$D:$D,"",0)</f>
        <v>0</v>
      </c>
    </row>
    <row r="3458" spans="1:8" x14ac:dyDescent="0.25">
      <c r="A3458" s="2">
        <v>44637</v>
      </c>
      <c r="B3458" s="1" t="s">
        <v>47</v>
      </c>
      <c r="C3458">
        <v>17928</v>
      </c>
      <c r="D3458" s="1" t="s">
        <v>268</v>
      </c>
      <c r="E3458" s="1" t="s">
        <v>4</v>
      </c>
      <c r="F3458">
        <v>51</v>
      </c>
      <c r="G3458" s="1" t="str">
        <f>Ocupacao_DW[[#This Row],[data]]&amp;Ocupacao_DW[[#This Row],[profissional_id]]&amp;Ocupacao_DW[[#This Row],[local_id]]</f>
        <v>446371792851</v>
      </c>
      <c r="H3458" s="1">
        <f>_xlfn.XLOOKUP(Ocupacao_DW[[#This Row],[Concat]],Vagas!$H:$H,Vagas!$D:$D,"",0)</f>
        <v>13</v>
      </c>
    </row>
    <row r="3459" spans="1:8" x14ac:dyDescent="0.25">
      <c r="A3459" s="2">
        <v>44637</v>
      </c>
      <c r="B3459" s="1" t="s">
        <v>56</v>
      </c>
      <c r="C3459">
        <v>5822</v>
      </c>
      <c r="D3459" s="1" t="s">
        <v>194</v>
      </c>
      <c r="E3459" s="1" t="s">
        <v>5</v>
      </c>
      <c r="F3459">
        <v>11</v>
      </c>
      <c r="G3459" s="1" t="str">
        <f>Ocupacao_DW[[#This Row],[data]]&amp;Ocupacao_DW[[#This Row],[profissional_id]]&amp;Ocupacao_DW[[#This Row],[local_id]]</f>
        <v>44637582211</v>
      </c>
      <c r="H3459" s="1">
        <f>_xlfn.XLOOKUP(Ocupacao_DW[[#This Row],[Concat]],Vagas!$H:$H,Vagas!$D:$D,"",0)</f>
        <v>0</v>
      </c>
    </row>
    <row r="3460" spans="1:8" x14ac:dyDescent="0.25">
      <c r="A3460" s="2">
        <v>44635</v>
      </c>
      <c r="B3460" s="1" t="s">
        <v>62</v>
      </c>
      <c r="C3460">
        <v>3502</v>
      </c>
      <c r="D3460" s="1" t="s">
        <v>214</v>
      </c>
      <c r="E3460" s="1" t="s">
        <v>5</v>
      </c>
      <c r="F3460">
        <v>16</v>
      </c>
      <c r="G3460" s="1" t="str">
        <f>Ocupacao_DW[[#This Row],[data]]&amp;Ocupacao_DW[[#This Row],[profissional_id]]&amp;Ocupacao_DW[[#This Row],[local_id]]</f>
        <v>44635350216</v>
      </c>
      <c r="H3460" s="1">
        <f>_xlfn.XLOOKUP(Ocupacao_DW[[#This Row],[Concat]],Vagas!$H:$H,Vagas!$D:$D,"",0)</f>
        <v>0</v>
      </c>
    </row>
    <row r="3461" spans="1:8" x14ac:dyDescent="0.25">
      <c r="A3461" s="2">
        <v>44643</v>
      </c>
      <c r="B3461" s="1" t="s">
        <v>51</v>
      </c>
      <c r="C3461">
        <v>12679</v>
      </c>
      <c r="D3461" s="1" t="s">
        <v>192</v>
      </c>
      <c r="E3461" s="1" t="s">
        <v>200</v>
      </c>
      <c r="F3461">
        <v>82</v>
      </c>
      <c r="G3461" s="1" t="str">
        <f>Ocupacao_DW[[#This Row],[data]]&amp;Ocupacao_DW[[#This Row],[profissional_id]]&amp;Ocupacao_DW[[#This Row],[local_id]]</f>
        <v>446431267982</v>
      </c>
      <c r="H3461" s="1">
        <f>_xlfn.XLOOKUP(Ocupacao_DW[[#This Row],[Concat]],Vagas!$H:$H,Vagas!$D:$D,"",0)</f>
        <v>0</v>
      </c>
    </row>
    <row r="3462" spans="1:8" x14ac:dyDescent="0.25">
      <c r="A3462" s="2">
        <v>44641</v>
      </c>
      <c r="B3462" s="1" t="s">
        <v>52</v>
      </c>
      <c r="C3462">
        <v>10595</v>
      </c>
      <c r="D3462" s="1" t="s">
        <v>218</v>
      </c>
      <c r="E3462" s="1" t="s">
        <v>200</v>
      </c>
      <c r="F3462">
        <v>78</v>
      </c>
      <c r="G3462" s="1" t="str">
        <f>Ocupacao_DW[[#This Row],[data]]&amp;Ocupacao_DW[[#This Row],[profissional_id]]&amp;Ocupacao_DW[[#This Row],[local_id]]</f>
        <v>446411059578</v>
      </c>
      <c r="H3462" s="1">
        <f>_xlfn.XLOOKUP(Ocupacao_DW[[#This Row],[Concat]],Vagas!$H:$H,Vagas!$D:$D,"",0)</f>
        <v>0</v>
      </c>
    </row>
    <row r="3463" spans="1:8" x14ac:dyDescent="0.25">
      <c r="A3463" s="2">
        <v>44635</v>
      </c>
      <c r="B3463" s="1" t="s">
        <v>66</v>
      </c>
      <c r="C3463">
        <v>1343</v>
      </c>
      <c r="D3463" s="1" t="s">
        <v>263</v>
      </c>
      <c r="E3463" s="1" t="s">
        <v>200</v>
      </c>
      <c r="F3463">
        <v>80</v>
      </c>
      <c r="G3463" s="1" t="str">
        <f>Ocupacao_DW[[#This Row],[data]]&amp;Ocupacao_DW[[#This Row],[profissional_id]]&amp;Ocupacao_DW[[#This Row],[local_id]]</f>
        <v>44635134380</v>
      </c>
      <c r="H3463" s="1">
        <f>_xlfn.XLOOKUP(Ocupacao_DW[[#This Row],[Concat]],Vagas!$H:$H,Vagas!$D:$D,"",0)</f>
        <v>0</v>
      </c>
    </row>
    <row r="3464" spans="1:8" x14ac:dyDescent="0.25">
      <c r="A3464" s="2">
        <v>44643</v>
      </c>
      <c r="B3464" s="1" t="s">
        <v>52</v>
      </c>
      <c r="C3464">
        <v>10691</v>
      </c>
      <c r="D3464" s="1" t="s">
        <v>181</v>
      </c>
      <c r="E3464" s="1" t="s">
        <v>6</v>
      </c>
      <c r="F3464">
        <v>9</v>
      </c>
      <c r="G3464" s="1" t="str">
        <f>Ocupacao_DW[[#This Row],[data]]&amp;Ocupacao_DW[[#This Row],[profissional_id]]&amp;Ocupacao_DW[[#This Row],[local_id]]</f>
        <v>44643106919</v>
      </c>
      <c r="H3464" s="1">
        <f>_xlfn.XLOOKUP(Ocupacao_DW[[#This Row],[Concat]],Vagas!$H:$H,Vagas!$D:$D,"",0)</f>
        <v>0</v>
      </c>
    </row>
    <row r="3465" spans="1:8" x14ac:dyDescent="0.25">
      <c r="A3465" s="2">
        <v>44638</v>
      </c>
      <c r="B3465" s="1" t="s">
        <v>49</v>
      </c>
      <c r="C3465">
        <v>81</v>
      </c>
      <c r="D3465" s="1" t="s">
        <v>170</v>
      </c>
      <c r="E3465" s="1" t="s">
        <v>4</v>
      </c>
      <c r="F3465">
        <v>41</v>
      </c>
      <c r="G3465" s="1" t="str">
        <f>Ocupacao_DW[[#This Row],[data]]&amp;Ocupacao_DW[[#This Row],[profissional_id]]&amp;Ocupacao_DW[[#This Row],[local_id]]</f>
        <v>446388141</v>
      </c>
      <c r="H3465" s="1">
        <f>_xlfn.XLOOKUP(Ocupacao_DW[[#This Row],[Concat]],Vagas!$H:$H,Vagas!$D:$D,"",0)</f>
        <v>0</v>
      </c>
    </row>
    <row r="3466" spans="1:8" x14ac:dyDescent="0.25">
      <c r="A3466" s="2">
        <v>44657</v>
      </c>
      <c r="B3466" s="1" t="s">
        <v>70</v>
      </c>
      <c r="C3466">
        <v>12825</v>
      </c>
      <c r="D3466" s="1" t="s">
        <v>177</v>
      </c>
      <c r="E3466" s="1" t="s">
        <v>4</v>
      </c>
      <c r="F3466">
        <v>45</v>
      </c>
      <c r="G3466" s="1" t="str">
        <f>Ocupacao_DW[[#This Row],[data]]&amp;Ocupacao_DW[[#This Row],[profissional_id]]&amp;Ocupacao_DW[[#This Row],[local_id]]</f>
        <v>446571282545</v>
      </c>
      <c r="H3466" s="1">
        <f>_xlfn.XLOOKUP(Ocupacao_DW[[#This Row],[Concat]],Vagas!$H:$H,Vagas!$D:$D,"",0)</f>
        <v>0</v>
      </c>
    </row>
    <row r="3467" spans="1:8" x14ac:dyDescent="0.25">
      <c r="A3467" s="2">
        <v>44642</v>
      </c>
      <c r="B3467" s="1" t="s">
        <v>69</v>
      </c>
      <c r="C3467">
        <v>13249</v>
      </c>
      <c r="D3467" s="1" t="s">
        <v>178</v>
      </c>
      <c r="E3467" s="1" t="s">
        <v>4</v>
      </c>
      <c r="F3467">
        <v>45</v>
      </c>
      <c r="G3467" s="1" t="str">
        <f>Ocupacao_DW[[#This Row],[data]]&amp;Ocupacao_DW[[#This Row],[profissional_id]]&amp;Ocupacao_DW[[#This Row],[local_id]]</f>
        <v>446421324945</v>
      </c>
      <c r="H3467" s="1">
        <f>_xlfn.XLOOKUP(Ocupacao_DW[[#This Row],[Concat]],Vagas!$H:$H,Vagas!$D:$D,"",0)</f>
        <v>0</v>
      </c>
    </row>
    <row r="3468" spans="1:8" x14ac:dyDescent="0.25">
      <c r="A3468" s="2">
        <v>44644</v>
      </c>
      <c r="B3468" s="1"/>
      <c r="C3468">
        <v>12519</v>
      </c>
      <c r="D3468" s="1" t="s">
        <v>176</v>
      </c>
      <c r="E3468" s="1" t="s">
        <v>4</v>
      </c>
      <c r="F3468">
        <v>42</v>
      </c>
      <c r="G3468" s="1" t="str">
        <f>Ocupacao_DW[[#This Row],[data]]&amp;Ocupacao_DW[[#This Row],[profissional_id]]&amp;Ocupacao_DW[[#This Row],[local_id]]</f>
        <v>446441251942</v>
      </c>
      <c r="H3468" s="1">
        <f>_xlfn.XLOOKUP(Ocupacao_DW[[#This Row],[Concat]],Vagas!$H:$H,Vagas!$D:$D,"",0)</f>
        <v>0</v>
      </c>
    </row>
    <row r="3469" spans="1:8" x14ac:dyDescent="0.25">
      <c r="A3469" s="2">
        <v>44637</v>
      </c>
      <c r="B3469" s="1" t="s">
        <v>55</v>
      </c>
      <c r="C3469">
        <v>12426</v>
      </c>
      <c r="D3469" s="1" t="s">
        <v>215</v>
      </c>
      <c r="E3469" s="1" t="s">
        <v>6</v>
      </c>
      <c r="F3469">
        <v>5</v>
      </c>
      <c r="G3469" s="1" t="str">
        <f>Ocupacao_DW[[#This Row],[data]]&amp;Ocupacao_DW[[#This Row],[profissional_id]]&amp;Ocupacao_DW[[#This Row],[local_id]]</f>
        <v>44637124265</v>
      </c>
      <c r="H3469" s="1">
        <f>_xlfn.XLOOKUP(Ocupacao_DW[[#This Row],[Concat]],Vagas!$H:$H,Vagas!$D:$D,"",0)</f>
        <v>0</v>
      </c>
    </row>
    <row r="3470" spans="1:8" x14ac:dyDescent="0.25">
      <c r="A3470" s="2">
        <v>44641</v>
      </c>
      <c r="B3470" s="1" t="s">
        <v>60</v>
      </c>
      <c r="C3470">
        <v>117</v>
      </c>
      <c r="D3470" s="1" t="s">
        <v>180</v>
      </c>
      <c r="E3470" s="1" t="s">
        <v>4</v>
      </c>
      <c r="F3470">
        <v>48</v>
      </c>
      <c r="G3470" s="1" t="str">
        <f>Ocupacao_DW[[#This Row],[data]]&amp;Ocupacao_DW[[#This Row],[profissional_id]]&amp;Ocupacao_DW[[#This Row],[local_id]]</f>
        <v>4464111748</v>
      </c>
      <c r="H3470" s="1">
        <f>_xlfn.XLOOKUP(Ocupacao_DW[[#This Row],[Concat]],Vagas!$H:$H,Vagas!$D:$D,"",0)</f>
        <v>0</v>
      </c>
    </row>
    <row r="3471" spans="1:8" x14ac:dyDescent="0.25">
      <c r="A3471" s="2">
        <v>44638</v>
      </c>
      <c r="B3471" s="1" t="s">
        <v>72</v>
      </c>
      <c r="C3471">
        <v>1794</v>
      </c>
      <c r="D3471" s="1" t="s">
        <v>235</v>
      </c>
      <c r="E3471" s="1" t="s">
        <v>4</v>
      </c>
      <c r="F3471">
        <v>46</v>
      </c>
      <c r="G3471" s="1" t="str">
        <f>Ocupacao_DW[[#This Row],[data]]&amp;Ocupacao_DW[[#This Row],[profissional_id]]&amp;Ocupacao_DW[[#This Row],[local_id]]</f>
        <v>44638179446</v>
      </c>
      <c r="H3471" s="1">
        <f>_xlfn.XLOOKUP(Ocupacao_DW[[#This Row],[Concat]],Vagas!$H:$H,Vagas!$D:$D,"",0)</f>
        <v>0</v>
      </c>
    </row>
    <row r="3472" spans="1:8" x14ac:dyDescent="0.25">
      <c r="A3472" s="2">
        <v>44637</v>
      </c>
      <c r="B3472" s="1" t="s">
        <v>47</v>
      </c>
      <c r="C3472">
        <v>9111</v>
      </c>
      <c r="D3472" s="1" t="s">
        <v>206</v>
      </c>
      <c r="E3472" s="1" t="s">
        <v>4</v>
      </c>
      <c r="F3472">
        <v>334</v>
      </c>
      <c r="G3472" s="1" t="str">
        <f>Ocupacao_DW[[#This Row],[data]]&amp;Ocupacao_DW[[#This Row],[profissional_id]]&amp;Ocupacao_DW[[#This Row],[local_id]]</f>
        <v>446379111334</v>
      </c>
      <c r="H3472" s="1">
        <f>_xlfn.XLOOKUP(Ocupacao_DW[[#This Row],[Concat]],Vagas!$H:$H,Vagas!$D:$D,"",0)</f>
        <v>0</v>
      </c>
    </row>
    <row r="3473" spans="1:8" x14ac:dyDescent="0.25">
      <c r="A3473" s="2">
        <v>44643</v>
      </c>
      <c r="B3473" s="1" t="s">
        <v>51</v>
      </c>
      <c r="C3473">
        <v>12679</v>
      </c>
      <c r="D3473" s="1" t="s">
        <v>192</v>
      </c>
      <c r="E3473" s="1" t="s">
        <v>5</v>
      </c>
      <c r="F3473">
        <v>11</v>
      </c>
      <c r="G3473" s="1" t="str">
        <f>Ocupacao_DW[[#This Row],[data]]&amp;Ocupacao_DW[[#This Row],[profissional_id]]&amp;Ocupacao_DW[[#This Row],[local_id]]</f>
        <v>446431267911</v>
      </c>
      <c r="H3473" s="1">
        <f>_xlfn.XLOOKUP(Ocupacao_DW[[#This Row],[Concat]],Vagas!$H:$H,Vagas!$D:$D,"",0)</f>
        <v>0</v>
      </c>
    </row>
    <row r="3474" spans="1:8" x14ac:dyDescent="0.25">
      <c r="A3474" s="2">
        <v>44644</v>
      </c>
      <c r="B3474" s="1" t="s">
        <v>66</v>
      </c>
      <c r="C3474">
        <v>100</v>
      </c>
      <c r="D3474" s="1" t="s">
        <v>166</v>
      </c>
      <c r="E3474" s="1" t="s">
        <v>167</v>
      </c>
      <c r="F3474">
        <v>342</v>
      </c>
      <c r="G3474" s="1" t="str">
        <f>Ocupacao_DW[[#This Row],[data]]&amp;Ocupacao_DW[[#This Row],[profissional_id]]&amp;Ocupacao_DW[[#This Row],[local_id]]</f>
        <v>44644100342</v>
      </c>
      <c r="H3474" s="1">
        <f>_xlfn.XLOOKUP(Ocupacao_DW[[#This Row],[Concat]],Vagas!$H:$H,Vagas!$D:$D,"",0)</f>
        <v>0</v>
      </c>
    </row>
    <row r="3475" spans="1:8" x14ac:dyDescent="0.25">
      <c r="A3475" s="2">
        <v>44636</v>
      </c>
      <c r="B3475" s="1" t="s">
        <v>72</v>
      </c>
      <c r="C3475">
        <v>1794</v>
      </c>
      <c r="D3475" s="1" t="s">
        <v>235</v>
      </c>
      <c r="E3475" s="1" t="s">
        <v>4</v>
      </c>
      <c r="F3475">
        <v>49</v>
      </c>
      <c r="G3475" s="1" t="str">
        <f>Ocupacao_DW[[#This Row],[data]]&amp;Ocupacao_DW[[#This Row],[profissional_id]]&amp;Ocupacao_DW[[#This Row],[local_id]]</f>
        <v>44636179449</v>
      </c>
      <c r="H3475" s="1">
        <f>_xlfn.XLOOKUP(Ocupacao_DW[[#This Row],[Concat]],Vagas!$H:$H,Vagas!$D:$D,"",0)</f>
        <v>0</v>
      </c>
    </row>
    <row r="3476" spans="1:8" x14ac:dyDescent="0.25">
      <c r="A3476" s="2">
        <v>44637</v>
      </c>
      <c r="B3476" s="1" t="s">
        <v>72</v>
      </c>
      <c r="C3476">
        <v>6046</v>
      </c>
      <c r="D3476" s="1" t="s">
        <v>222</v>
      </c>
      <c r="E3476" s="1" t="s">
        <v>4</v>
      </c>
      <c r="F3476">
        <v>46</v>
      </c>
      <c r="G3476" s="1" t="str">
        <f>Ocupacao_DW[[#This Row],[data]]&amp;Ocupacao_DW[[#This Row],[profissional_id]]&amp;Ocupacao_DW[[#This Row],[local_id]]</f>
        <v>44637604646</v>
      </c>
      <c r="H3476" s="1">
        <f>_xlfn.XLOOKUP(Ocupacao_DW[[#This Row],[Concat]],Vagas!$H:$H,Vagas!$D:$D,"",0)</f>
        <v>0</v>
      </c>
    </row>
    <row r="3477" spans="1:8" x14ac:dyDescent="0.25">
      <c r="A3477" s="2">
        <v>44646</v>
      </c>
      <c r="B3477" s="1" t="s">
        <v>55</v>
      </c>
      <c r="C3477">
        <v>17879</v>
      </c>
      <c r="D3477" s="1" t="s">
        <v>233</v>
      </c>
      <c r="E3477" s="1" t="s">
        <v>6</v>
      </c>
      <c r="F3477">
        <v>3</v>
      </c>
      <c r="G3477" s="1" t="str">
        <f>Ocupacao_DW[[#This Row],[data]]&amp;Ocupacao_DW[[#This Row],[profissional_id]]&amp;Ocupacao_DW[[#This Row],[local_id]]</f>
        <v>44646178793</v>
      </c>
      <c r="H3477" s="1">
        <f>_xlfn.XLOOKUP(Ocupacao_DW[[#This Row],[Concat]],Vagas!$H:$H,Vagas!$D:$D,"",0)</f>
        <v>0</v>
      </c>
    </row>
    <row r="3478" spans="1:8" x14ac:dyDescent="0.25">
      <c r="A3478" s="2">
        <v>44644</v>
      </c>
      <c r="B3478" s="1"/>
      <c r="C3478">
        <v>12519</v>
      </c>
      <c r="D3478" s="1" t="s">
        <v>176</v>
      </c>
      <c r="E3478" s="1" t="s">
        <v>4</v>
      </c>
      <c r="F3478">
        <v>42</v>
      </c>
      <c r="G3478" s="1" t="str">
        <f>Ocupacao_DW[[#This Row],[data]]&amp;Ocupacao_DW[[#This Row],[profissional_id]]&amp;Ocupacao_DW[[#This Row],[local_id]]</f>
        <v>446441251942</v>
      </c>
      <c r="H3478" s="1">
        <f>_xlfn.XLOOKUP(Ocupacao_DW[[#This Row],[Concat]],Vagas!$H:$H,Vagas!$D:$D,"",0)</f>
        <v>0</v>
      </c>
    </row>
    <row r="3479" spans="1:8" x14ac:dyDescent="0.25">
      <c r="A3479" s="2">
        <v>44639</v>
      </c>
      <c r="B3479" s="1" t="s">
        <v>49</v>
      </c>
      <c r="C3479">
        <v>13756</v>
      </c>
      <c r="D3479" s="1" t="s">
        <v>202</v>
      </c>
      <c r="E3479" s="1" t="s">
        <v>4</v>
      </c>
      <c r="F3479">
        <v>43</v>
      </c>
      <c r="G3479" s="1" t="str">
        <f>Ocupacao_DW[[#This Row],[data]]&amp;Ocupacao_DW[[#This Row],[profissional_id]]&amp;Ocupacao_DW[[#This Row],[local_id]]</f>
        <v>446391375643</v>
      </c>
      <c r="H3479" s="1">
        <f>_xlfn.XLOOKUP(Ocupacao_DW[[#This Row],[Concat]],Vagas!$H:$H,Vagas!$D:$D,"",0)</f>
        <v>0</v>
      </c>
    </row>
    <row r="3480" spans="1:8" x14ac:dyDescent="0.25">
      <c r="A3480" s="2">
        <v>44636</v>
      </c>
      <c r="B3480" s="1" t="s">
        <v>49</v>
      </c>
      <c r="C3480">
        <v>6430</v>
      </c>
      <c r="D3480" s="1" t="s">
        <v>188</v>
      </c>
      <c r="E3480" s="1" t="s">
        <v>4</v>
      </c>
      <c r="F3480">
        <v>42</v>
      </c>
      <c r="G3480" s="1" t="str">
        <f>Ocupacao_DW[[#This Row],[data]]&amp;Ocupacao_DW[[#This Row],[profissional_id]]&amp;Ocupacao_DW[[#This Row],[local_id]]</f>
        <v>44636643042</v>
      </c>
      <c r="H3480" s="1">
        <f>_xlfn.XLOOKUP(Ocupacao_DW[[#This Row],[Concat]],Vagas!$H:$H,Vagas!$D:$D,"",0)</f>
        <v>0</v>
      </c>
    </row>
    <row r="3481" spans="1:8" x14ac:dyDescent="0.25">
      <c r="A3481" s="2">
        <v>44636</v>
      </c>
      <c r="B3481" s="1" t="s">
        <v>71</v>
      </c>
      <c r="C3481">
        <v>282</v>
      </c>
      <c r="D3481" s="1" t="s">
        <v>210</v>
      </c>
      <c r="E3481" s="1" t="s">
        <v>4</v>
      </c>
      <c r="F3481">
        <v>46</v>
      </c>
      <c r="G3481" s="1" t="str">
        <f>Ocupacao_DW[[#This Row],[data]]&amp;Ocupacao_DW[[#This Row],[profissional_id]]&amp;Ocupacao_DW[[#This Row],[local_id]]</f>
        <v>4463628246</v>
      </c>
      <c r="H3481" s="1">
        <f>_xlfn.XLOOKUP(Ocupacao_DW[[#This Row],[Concat]],Vagas!$H:$H,Vagas!$D:$D,"",0)</f>
        <v>0</v>
      </c>
    </row>
    <row r="3482" spans="1:8" x14ac:dyDescent="0.25">
      <c r="A3482" s="2">
        <v>44637</v>
      </c>
      <c r="B3482" s="1" t="s">
        <v>47</v>
      </c>
      <c r="C3482">
        <v>9111</v>
      </c>
      <c r="D3482" s="1" t="s">
        <v>206</v>
      </c>
      <c r="E3482" s="1" t="s">
        <v>4</v>
      </c>
      <c r="F3482">
        <v>334</v>
      </c>
      <c r="G3482" s="1" t="str">
        <f>Ocupacao_DW[[#This Row],[data]]&amp;Ocupacao_DW[[#This Row],[profissional_id]]&amp;Ocupacao_DW[[#This Row],[local_id]]</f>
        <v>446379111334</v>
      </c>
      <c r="H3482" s="1">
        <f>_xlfn.XLOOKUP(Ocupacao_DW[[#This Row],[Concat]],Vagas!$H:$H,Vagas!$D:$D,"",0)</f>
        <v>0</v>
      </c>
    </row>
    <row r="3483" spans="1:8" x14ac:dyDescent="0.25">
      <c r="A3483" s="2">
        <v>44644</v>
      </c>
      <c r="B3483" s="1" t="s">
        <v>47</v>
      </c>
      <c r="C3483">
        <v>11312</v>
      </c>
      <c r="D3483" s="1" t="s">
        <v>207</v>
      </c>
      <c r="E3483" s="1" t="s">
        <v>4</v>
      </c>
      <c r="F3483">
        <v>336</v>
      </c>
      <c r="G3483" s="1" t="str">
        <f>Ocupacao_DW[[#This Row],[data]]&amp;Ocupacao_DW[[#This Row],[profissional_id]]&amp;Ocupacao_DW[[#This Row],[local_id]]</f>
        <v>4464411312336</v>
      </c>
      <c r="H3483" s="1">
        <f>_xlfn.XLOOKUP(Ocupacao_DW[[#This Row],[Concat]],Vagas!$H:$H,Vagas!$D:$D,"",0)</f>
        <v>20</v>
      </c>
    </row>
    <row r="3484" spans="1:8" x14ac:dyDescent="0.25">
      <c r="A3484" s="2">
        <v>44639</v>
      </c>
      <c r="B3484" s="1" t="s">
        <v>47</v>
      </c>
      <c r="C3484">
        <v>111</v>
      </c>
      <c r="D3484" s="1" t="s">
        <v>199</v>
      </c>
      <c r="E3484" s="1" t="s">
        <v>4</v>
      </c>
      <c r="F3484">
        <v>51</v>
      </c>
      <c r="G3484" s="1" t="str">
        <f>Ocupacao_DW[[#This Row],[data]]&amp;Ocupacao_DW[[#This Row],[profissional_id]]&amp;Ocupacao_DW[[#This Row],[local_id]]</f>
        <v>4463911151</v>
      </c>
      <c r="H3484" s="1">
        <f>_xlfn.XLOOKUP(Ocupacao_DW[[#This Row],[Concat]],Vagas!$H:$H,Vagas!$D:$D,"",0)</f>
        <v>0</v>
      </c>
    </row>
    <row r="3485" spans="1:8" x14ac:dyDescent="0.25">
      <c r="A3485" s="2">
        <v>44655</v>
      </c>
      <c r="B3485" s="1" t="s">
        <v>49</v>
      </c>
      <c r="C3485">
        <v>17918</v>
      </c>
      <c r="D3485" s="1" t="s">
        <v>265</v>
      </c>
      <c r="E3485" s="1" t="s">
        <v>4</v>
      </c>
      <c r="F3485">
        <v>42</v>
      </c>
      <c r="G3485" s="1" t="str">
        <f>Ocupacao_DW[[#This Row],[data]]&amp;Ocupacao_DW[[#This Row],[profissional_id]]&amp;Ocupacao_DW[[#This Row],[local_id]]</f>
        <v>446551791842</v>
      </c>
      <c r="H3485" s="1">
        <f>_xlfn.XLOOKUP(Ocupacao_DW[[#This Row],[Concat]],Vagas!$H:$H,Vagas!$D:$D,"",0)</f>
        <v>0</v>
      </c>
    </row>
    <row r="3486" spans="1:8" x14ac:dyDescent="0.25">
      <c r="A3486" s="2">
        <v>44643</v>
      </c>
      <c r="B3486" s="1" t="s">
        <v>70</v>
      </c>
      <c r="C3486">
        <v>12825</v>
      </c>
      <c r="D3486" s="1" t="s">
        <v>177</v>
      </c>
      <c r="E3486" s="1" t="s">
        <v>4</v>
      </c>
      <c r="F3486">
        <v>45</v>
      </c>
      <c r="G3486" s="1" t="str">
        <f>Ocupacao_DW[[#This Row],[data]]&amp;Ocupacao_DW[[#This Row],[profissional_id]]&amp;Ocupacao_DW[[#This Row],[local_id]]</f>
        <v>446431282545</v>
      </c>
      <c r="H3486" s="1">
        <f>_xlfn.XLOOKUP(Ocupacao_DW[[#This Row],[Concat]],Vagas!$H:$H,Vagas!$D:$D,"",0)</f>
        <v>0</v>
      </c>
    </row>
    <row r="3487" spans="1:8" x14ac:dyDescent="0.25">
      <c r="A3487" s="2">
        <v>44637</v>
      </c>
      <c r="B3487" s="1" t="s">
        <v>49</v>
      </c>
      <c r="C3487">
        <v>81</v>
      </c>
      <c r="D3487" s="1" t="s">
        <v>170</v>
      </c>
      <c r="E3487" s="1" t="s">
        <v>4</v>
      </c>
      <c r="F3487">
        <v>41</v>
      </c>
      <c r="G3487" s="1" t="str">
        <f>Ocupacao_DW[[#This Row],[data]]&amp;Ocupacao_DW[[#This Row],[profissional_id]]&amp;Ocupacao_DW[[#This Row],[local_id]]</f>
        <v>446378141</v>
      </c>
      <c r="H3487" s="1">
        <f>_xlfn.XLOOKUP(Ocupacao_DW[[#This Row],[Concat]],Vagas!$H:$H,Vagas!$D:$D,"",0)</f>
        <v>0</v>
      </c>
    </row>
    <row r="3488" spans="1:8" x14ac:dyDescent="0.25">
      <c r="A3488" s="2">
        <v>44635</v>
      </c>
      <c r="B3488" s="1" t="s">
        <v>55</v>
      </c>
      <c r="C3488">
        <v>14452</v>
      </c>
      <c r="D3488" s="1" t="s">
        <v>266</v>
      </c>
      <c r="E3488" s="1" t="s">
        <v>200</v>
      </c>
      <c r="F3488">
        <v>78</v>
      </c>
      <c r="G3488" s="1" t="str">
        <f>Ocupacao_DW[[#This Row],[data]]&amp;Ocupacao_DW[[#This Row],[profissional_id]]&amp;Ocupacao_DW[[#This Row],[local_id]]</f>
        <v>446351445278</v>
      </c>
      <c r="H3488" s="1">
        <f>_xlfn.XLOOKUP(Ocupacao_DW[[#This Row],[Concat]],Vagas!$H:$H,Vagas!$D:$D,"",0)</f>
        <v>0</v>
      </c>
    </row>
    <row r="3489" spans="1:8" x14ac:dyDescent="0.25">
      <c r="A3489" s="2">
        <v>44644</v>
      </c>
      <c r="B3489" s="1"/>
      <c r="C3489">
        <v>12519</v>
      </c>
      <c r="D3489" s="1" t="s">
        <v>176</v>
      </c>
      <c r="E3489" s="1" t="s">
        <v>4</v>
      </c>
      <c r="F3489">
        <v>42</v>
      </c>
      <c r="G3489" s="1" t="str">
        <f>Ocupacao_DW[[#This Row],[data]]&amp;Ocupacao_DW[[#This Row],[profissional_id]]&amp;Ocupacao_DW[[#This Row],[local_id]]</f>
        <v>446441251942</v>
      </c>
      <c r="H3489" s="1">
        <f>_xlfn.XLOOKUP(Ocupacao_DW[[#This Row],[Concat]],Vagas!$H:$H,Vagas!$D:$D,"",0)</f>
        <v>0</v>
      </c>
    </row>
    <row r="3490" spans="1:8" x14ac:dyDescent="0.25">
      <c r="A3490" s="2">
        <v>44635</v>
      </c>
      <c r="B3490" s="1" t="s">
        <v>64</v>
      </c>
      <c r="C3490">
        <v>86</v>
      </c>
      <c r="D3490" s="1" t="s">
        <v>175</v>
      </c>
      <c r="E3490" s="1" t="s">
        <v>200</v>
      </c>
      <c r="F3490">
        <v>82</v>
      </c>
      <c r="G3490" s="1" t="str">
        <f>Ocupacao_DW[[#This Row],[data]]&amp;Ocupacao_DW[[#This Row],[profissional_id]]&amp;Ocupacao_DW[[#This Row],[local_id]]</f>
        <v>446358682</v>
      </c>
      <c r="H3490" s="1">
        <f>_xlfn.XLOOKUP(Ocupacao_DW[[#This Row],[Concat]],Vagas!$H:$H,Vagas!$D:$D,"",0)</f>
        <v>6</v>
      </c>
    </row>
    <row r="3491" spans="1:8" x14ac:dyDescent="0.25">
      <c r="A3491" s="2">
        <v>44637</v>
      </c>
      <c r="B3491" s="1" t="s">
        <v>72</v>
      </c>
      <c r="C3491">
        <v>6046</v>
      </c>
      <c r="D3491" s="1" t="s">
        <v>222</v>
      </c>
      <c r="E3491" s="1" t="s">
        <v>4</v>
      </c>
      <c r="F3491">
        <v>46</v>
      </c>
      <c r="G3491" s="1" t="str">
        <f>Ocupacao_DW[[#This Row],[data]]&amp;Ocupacao_DW[[#This Row],[profissional_id]]&amp;Ocupacao_DW[[#This Row],[local_id]]</f>
        <v>44637604646</v>
      </c>
      <c r="H3491" s="1">
        <f>_xlfn.XLOOKUP(Ocupacao_DW[[#This Row],[Concat]],Vagas!$H:$H,Vagas!$D:$D,"",0)</f>
        <v>0</v>
      </c>
    </row>
    <row r="3492" spans="1:8" x14ac:dyDescent="0.25">
      <c r="A3492" s="2">
        <v>44635</v>
      </c>
      <c r="B3492" s="1" t="s">
        <v>55</v>
      </c>
      <c r="C3492">
        <v>2984</v>
      </c>
      <c r="D3492" s="1" t="s">
        <v>185</v>
      </c>
      <c r="E3492" s="1" t="s">
        <v>6</v>
      </c>
      <c r="F3492">
        <v>7</v>
      </c>
      <c r="G3492" s="1" t="str">
        <f>Ocupacao_DW[[#This Row],[data]]&amp;Ocupacao_DW[[#This Row],[profissional_id]]&amp;Ocupacao_DW[[#This Row],[local_id]]</f>
        <v>4463529847</v>
      </c>
      <c r="H3492" s="1">
        <f>_xlfn.XLOOKUP(Ocupacao_DW[[#This Row],[Concat]],Vagas!$H:$H,Vagas!$D:$D,"",0)</f>
        <v>0</v>
      </c>
    </row>
    <row r="3493" spans="1:8" x14ac:dyDescent="0.25">
      <c r="A3493" s="2">
        <v>44644</v>
      </c>
      <c r="B3493" s="1" t="s">
        <v>64</v>
      </c>
      <c r="C3493">
        <v>85</v>
      </c>
      <c r="D3493" s="1" t="s">
        <v>211</v>
      </c>
      <c r="E3493" s="1" t="s">
        <v>5</v>
      </c>
      <c r="F3493">
        <v>349</v>
      </c>
      <c r="G3493" s="1" t="str">
        <f>Ocupacao_DW[[#This Row],[data]]&amp;Ocupacao_DW[[#This Row],[profissional_id]]&amp;Ocupacao_DW[[#This Row],[local_id]]</f>
        <v>4464485349</v>
      </c>
      <c r="H3493" s="1">
        <f>_xlfn.XLOOKUP(Ocupacao_DW[[#This Row],[Concat]],Vagas!$H:$H,Vagas!$D:$D,"",0)</f>
        <v>0</v>
      </c>
    </row>
    <row r="3494" spans="1:8" x14ac:dyDescent="0.25">
      <c r="A3494" s="2">
        <v>44636</v>
      </c>
      <c r="B3494" s="1" t="s">
        <v>54</v>
      </c>
      <c r="C3494">
        <v>70</v>
      </c>
      <c r="D3494" s="1" t="s">
        <v>187</v>
      </c>
      <c r="E3494" s="1" t="s">
        <v>5</v>
      </c>
      <c r="F3494">
        <v>13</v>
      </c>
      <c r="G3494" s="1" t="str">
        <f>Ocupacao_DW[[#This Row],[data]]&amp;Ocupacao_DW[[#This Row],[profissional_id]]&amp;Ocupacao_DW[[#This Row],[local_id]]</f>
        <v>446367013</v>
      </c>
      <c r="H3494" s="1">
        <f>_xlfn.XLOOKUP(Ocupacao_DW[[#This Row],[Concat]],Vagas!$H:$H,Vagas!$D:$D,"",0)</f>
        <v>0</v>
      </c>
    </row>
    <row r="3495" spans="1:8" x14ac:dyDescent="0.25">
      <c r="A3495" s="2">
        <v>44650</v>
      </c>
      <c r="B3495" s="1" t="s">
        <v>55</v>
      </c>
      <c r="C3495">
        <v>74</v>
      </c>
      <c r="D3495" s="1" t="s">
        <v>182</v>
      </c>
      <c r="E3495" s="1" t="s">
        <v>6</v>
      </c>
      <c r="F3495">
        <v>7</v>
      </c>
      <c r="G3495" s="1" t="str">
        <f>Ocupacao_DW[[#This Row],[data]]&amp;Ocupacao_DW[[#This Row],[profissional_id]]&amp;Ocupacao_DW[[#This Row],[local_id]]</f>
        <v>44650747</v>
      </c>
      <c r="H3495" s="1">
        <f>_xlfn.XLOOKUP(Ocupacao_DW[[#This Row],[Concat]],Vagas!$H:$H,Vagas!$D:$D,"",0)</f>
        <v>0</v>
      </c>
    </row>
    <row r="3496" spans="1:8" x14ac:dyDescent="0.25">
      <c r="A3496" s="2">
        <v>44642</v>
      </c>
      <c r="B3496" s="1" t="s">
        <v>54</v>
      </c>
      <c r="C3496">
        <v>69</v>
      </c>
      <c r="D3496" s="1" t="s">
        <v>238</v>
      </c>
      <c r="E3496" s="1" t="s">
        <v>5</v>
      </c>
      <c r="F3496">
        <v>13</v>
      </c>
      <c r="G3496" s="1" t="str">
        <f>Ocupacao_DW[[#This Row],[data]]&amp;Ocupacao_DW[[#This Row],[profissional_id]]&amp;Ocupacao_DW[[#This Row],[local_id]]</f>
        <v>446426913</v>
      </c>
      <c r="H3496" s="1">
        <f>_xlfn.XLOOKUP(Ocupacao_DW[[#This Row],[Concat]],Vagas!$H:$H,Vagas!$D:$D,"",0)</f>
        <v>0</v>
      </c>
    </row>
    <row r="3497" spans="1:8" x14ac:dyDescent="0.25">
      <c r="A3497" s="2">
        <v>44635</v>
      </c>
      <c r="B3497" s="1" t="s">
        <v>62</v>
      </c>
      <c r="C3497">
        <v>3502</v>
      </c>
      <c r="D3497" s="1" t="s">
        <v>214</v>
      </c>
      <c r="E3497" s="1" t="s">
        <v>5</v>
      </c>
      <c r="F3497">
        <v>16</v>
      </c>
      <c r="G3497" s="1" t="str">
        <f>Ocupacao_DW[[#This Row],[data]]&amp;Ocupacao_DW[[#This Row],[profissional_id]]&amp;Ocupacao_DW[[#This Row],[local_id]]</f>
        <v>44635350216</v>
      </c>
      <c r="H3497" s="1">
        <f>_xlfn.XLOOKUP(Ocupacao_DW[[#This Row],[Concat]],Vagas!$H:$H,Vagas!$D:$D,"",0)</f>
        <v>0</v>
      </c>
    </row>
    <row r="3498" spans="1:8" x14ac:dyDescent="0.25">
      <c r="A3498" s="2">
        <v>44635</v>
      </c>
      <c r="B3498" s="1" t="s">
        <v>68</v>
      </c>
      <c r="C3498">
        <v>8239</v>
      </c>
      <c r="D3498" s="1" t="s">
        <v>257</v>
      </c>
      <c r="E3498" s="1" t="s">
        <v>5</v>
      </c>
      <c r="F3498">
        <v>14</v>
      </c>
      <c r="G3498" s="1" t="str">
        <f>Ocupacao_DW[[#This Row],[data]]&amp;Ocupacao_DW[[#This Row],[profissional_id]]&amp;Ocupacao_DW[[#This Row],[local_id]]</f>
        <v>44635823914</v>
      </c>
      <c r="H3498" s="1">
        <f>_xlfn.XLOOKUP(Ocupacao_DW[[#This Row],[Concat]],Vagas!$H:$H,Vagas!$D:$D,"",0)</f>
        <v>0</v>
      </c>
    </row>
    <row r="3499" spans="1:8" x14ac:dyDescent="0.25">
      <c r="A3499" s="2">
        <v>44641</v>
      </c>
      <c r="B3499" s="1" t="s">
        <v>54</v>
      </c>
      <c r="C3499">
        <v>10941</v>
      </c>
      <c r="D3499" s="1" t="s">
        <v>224</v>
      </c>
      <c r="E3499" s="1" t="s">
        <v>7</v>
      </c>
      <c r="F3499">
        <v>67</v>
      </c>
      <c r="G3499" s="1" t="str">
        <f>Ocupacao_DW[[#This Row],[data]]&amp;Ocupacao_DW[[#This Row],[profissional_id]]&amp;Ocupacao_DW[[#This Row],[local_id]]</f>
        <v>446411094167</v>
      </c>
      <c r="H3499" s="1">
        <f>_xlfn.XLOOKUP(Ocupacao_DW[[#This Row],[Concat]],Vagas!$H:$H,Vagas!$D:$D,"",0)</f>
        <v>0</v>
      </c>
    </row>
    <row r="3500" spans="1:8" x14ac:dyDescent="0.25">
      <c r="A3500" s="2">
        <v>44635</v>
      </c>
      <c r="B3500" s="1"/>
      <c r="C3500">
        <v>0</v>
      </c>
      <c r="D3500" s="1"/>
      <c r="E3500" s="1" t="s">
        <v>4</v>
      </c>
      <c r="F3500">
        <v>40</v>
      </c>
      <c r="G3500" s="1" t="str">
        <f>Ocupacao_DW[[#This Row],[data]]&amp;Ocupacao_DW[[#This Row],[profissional_id]]&amp;Ocupacao_DW[[#This Row],[local_id]]</f>
        <v>44635040</v>
      </c>
      <c r="H3500" s="1" t="str">
        <f>_xlfn.XLOOKUP(Ocupacao_DW[[#This Row],[Concat]],Vagas!$H:$H,Vagas!$D:$D,"",0)</f>
        <v/>
      </c>
    </row>
    <row r="3501" spans="1:8" x14ac:dyDescent="0.25">
      <c r="A3501" s="2">
        <v>44637</v>
      </c>
      <c r="B3501" s="1" t="s">
        <v>47</v>
      </c>
      <c r="C3501">
        <v>9111</v>
      </c>
      <c r="D3501" s="1" t="s">
        <v>206</v>
      </c>
      <c r="E3501" s="1" t="s">
        <v>4</v>
      </c>
      <c r="F3501">
        <v>334</v>
      </c>
      <c r="G3501" s="1" t="str">
        <f>Ocupacao_DW[[#This Row],[data]]&amp;Ocupacao_DW[[#This Row],[profissional_id]]&amp;Ocupacao_DW[[#This Row],[local_id]]</f>
        <v>446379111334</v>
      </c>
      <c r="H3501" s="1">
        <f>_xlfn.XLOOKUP(Ocupacao_DW[[#This Row],[Concat]],Vagas!$H:$H,Vagas!$D:$D,"",0)</f>
        <v>0</v>
      </c>
    </row>
    <row r="3502" spans="1:8" x14ac:dyDescent="0.25">
      <c r="A3502" s="2">
        <v>44644</v>
      </c>
      <c r="B3502" s="1" t="s">
        <v>55</v>
      </c>
      <c r="C3502">
        <v>12426</v>
      </c>
      <c r="D3502" s="1" t="s">
        <v>215</v>
      </c>
      <c r="E3502" s="1" t="s">
        <v>6</v>
      </c>
      <c r="F3502">
        <v>5</v>
      </c>
      <c r="G3502" s="1" t="str">
        <f>Ocupacao_DW[[#This Row],[data]]&amp;Ocupacao_DW[[#This Row],[profissional_id]]&amp;Ocupacao_DW[[#This Row],[local_id]]</f>
        <v>44644124265</v>
      </c>
      <c r="H3502" s="1">
        <f>_xlfn.XLOOKUP(Ocupacao_DW[[#This Row],[Concat]],Vagas!$H:$H,Vagas!$D:$D,"",0)</f>
        <v>0</v>
      </c>
    </row>
    <row r="3503" spans="1:8" x14ac:dyDescent="0.25">
      <c r="A3503" s="2">
        <v>44638</v>
      </c>
      <c r="B3503" s="1" t="s">
        <v>72</v>
      </c>
      <c r="C3503">
        <v>13479</v>
      </c>
      <c r="D3503" s="1" t="s">
        <v>203</v>
      </c>
      <c r="E3503" s="1" t="s">
        <v>200</v>
      </c>
      <c r="F3503">
        <v>83</v>
      </c>
      <c r="G3503" s="1" t="str">
        <f>Ocupacao_DW[[#This Row],[data]]&amp;Ocupacao_DW[[#This Row],[profissional_id]]&amp;Ocupacao_DW[[#This Row],[local_id]]</f>
        <v>446381347983</v>
      </c>
      <c r="H3503" s="1">
        <f>_xlfn.XLOOKUP(Ocupacao_DW[[#This Row],[Concat]],Vagas!$H:$H,Vagas!$D:$D,"",0)</f>
        <v>0</v>
      </c>
    </row>
    <row r="3504" spans="1:8" x14ac:dyDescent="0.25">
      <c r="A3504" s="2">
        <v>44650</v>
      </c>
      <c r="B3504" s="1" t="s">
        <v>55</v>
      </c>
      <c r="C3504">
        <v>74</v>
      </c>
      <c r="D3504" s="1" t="s">
        <v>182</v>
      </c>
      <c r="E3504" s="1" t="s">
        <v>6</v>
      </c>
      <c r="F3504">
        <v>7</v>
      </c>
      <c r="G3504" s="1" t="str">
        <f>Ocupacao_DW[[#This Row],[data]]&amp;Ocupacao_DW[[#This Row],[profissional_id]]&amp;Ocupacao_DW[[#This Row],[local_id]]</f>
        <v>44650747</v>
      </c>
      <c r="H3504" s="1">
        <f>_xlfn.XLOOKUP(Ocupacao_DW[[#This Row],[Concat]],Vagas!$H:$H,Vagas!$D:$D,"",0)</f>
        <v>0</v>
      </c>
    </row>
    <row r="3505" spans="1:8" x14ac:dyDescent="0.25">
      <c r="A3505" s="2">
        <v>44644</v>
      </c>
      <c r="B3505" s="1" t="s">
        <v>55</v>
      </c>
      <c r="C3505">
        <v>12426</v>
      </c>
      <c r="D3505" s="1" t="s">
        <v>215</v>
      </c>
      <c r="E3505" s="1" t="s">
        <v>6</v>
      </c>
      <c r="F3505">
        <v>5</v>
      </c>
      <c r="G3505" s="1" t="str">
        <f>Ocupacao_DW[[#This Row],[data]]&amp;Ocupacao_DW[[#This Row],[profissional_id]]&amp;Ocupacao_DW[[#This Row],[local_id]]</f>
        <v>44644124265</v>
      </c>
      <c r="H3505" s="1">
        <f>_xlfn.XLOOKUP(Ocupacao_DW[[#This Row],[Concat]],Vagas!$H:$H,Vagas!$D:$D,"",0)</f>
        <v>0</v>
      </c>
    </row>
    <row r="3506" spans="1:8" x14ac:dyDescent="0.25">
      <c r="A3506" s="2">
        <v>44651</v>
      </c>
      <c r="B3506" s="1" t="s">
        <v>49</v>
      </c>
      <c r="C3506">
        <v>266</v>
      </c>
      <c r="D3506" s="1" t="s">
        <v>201</v>
      </c>
      <c r="E3506" s="1" t="s">
        <v>4</v>
      </c>
      <c r="F3506">
        <v>42</v>
      </c>
      <c r="G3506" s="1" t="str">
        <f>Ocupacao_DW[[#This Row],[data]]&amp;Ocupacao_DW[[#This Row],[profissional_id]]&amp;Ocupacao_DW[[#This Row],[local_id]]</f>
        <v>4465126642</v>
      </c>
      <c r="H3506" s="1">
        <f>_xlfn.XLOOKUP(Ocupacao_DW[[#This Row],[Concat]],Vagas!$H:$H,Vagas!$D:$D,"",0)</f>
        <v>0</v>
      </c>
    </row>
    <row r="3507" spans="1:8" x14ac:dyDescent="0.25">
      <c r="A3507" s="2">
        <v>44635</v>
      </c>
      <c r="B3507" s="1" t="s">
        <v>62</v>
      </c>
      <c r="C3507">
        <v>3502</v>
      </c>
      <c r="D3507" s="1" t="s">
        <v>214</v>
      </c>
      <c r="E3507" s="1" t="s">
        <v>5</v>
      </c>
      <c r="F3507">
        <v>16</v>
      </c>
      <c r="G3507" s="1" t="str">
        <f>Ocupacao_DW[[#This Row],[data]]&amp;Ocupacao_DW[[#This Row],[profissional_id]]&amp;Ocupacao_DW[[#This Row],[local_id]]</f>
        <v>44635350216</v>
      </c>
      <c r="H3507" s="1">
        <f>_xlfn.XLOOKUP(Ocupacao_DW[[#This Row],[Concat]],Vagas!$H:$H,Vagas!$D:$D,"",0)</f>
        <v>0</v>
      </c>
    </row>
    <row r="3508" spans="1:8" x14ac:dyDescent="0.25">
      <c r="A3508" s="2">
        <v>44636</v>
      </c>
      <c r="B3508" s="1" t="s">
        <v>51</v>
      </c>
      <c r="C3508">
        <v>7551</v>
      </c>
      <c r="D3508" s="1" t="s">
        <v>246</v>
      </c>
      <c r="E3508" s="1" t="s">
        <v>5</v>
      </c>
      <c r="F3508">
        <v>15</v>
      </c>
      <c r="G3508" s="1" t="str">
        <f>Ocupacao_DW[[#This Row],[data]]&amp;Ocupacao_DW[[#This Row],[profissional_id]]&amp;Ocupacao_DW[[#This Row],[local_id]]</f>
        <v>44636755115</v>
      </c>
      <c r="H3508" s="1">
        <f>_xlfn.XLOOKUP(Ocupacao_DW[[#This Row],[Concat]],Vagas!$H:$H,Vagas!$D:$D,"",0)</f>
        <v>0</v>
      </c>
    </row>
    <row r="3509" spans="1:8" x14ac:dyDescent="0.25">
      <c r="A3509" s="2">
        <v>44636</v>
      </c>
      <c r="B3509" s="1" t="s">
        <v>52</v>
      </c>
      <c r="C3509">
        <v>10691</v>
      </c>
      <c r="D3509" s="1" t="s">
        <v>181</v>
      </c>
      <c r="E3509" s="1" t="s">
        <v>6</v>
      </c>
      <c r="F3509">
        <v>9</v>
      </c>
      <c r="G3509" s="1" t="str">
        <f>Ocupacao_DW[[#This Row],[data]]&amp;Ocupacao_DW[[#This Row],[profissional_id]]&amp;Ocupacao_DW[[#This Row],[local_id]]</f>
        <v>44636106919</v>
      </c>
      <c r="H3509" s="1">
        <f>_xlfn.XLOOKUP(Ocupacao_DW[[#This Row],[Concat]],Vagas!$H:$H,Vagas!$D:$D,"",0)</f>
        <v>0</v>
      </c>
    </row>
    <row r="3510" spans="1:8" x14ac:dyDescent="0.25">
      <c r="A3510" s="2">
        <v>44635</v>
      </c>
      <c r="B3510" s="1" t="s">
        <v>54</v>
      </c>
      <c r="C3510">
        <v>69</v>
      </c>
      <c r="D3510" s="1" t="s">
        <v>238</v>
      </c>
      <c r="E3510" s="1" t="s">
        <v>5</v>
      </c>
      <c r="F3510">
        <v>13</v>
      </c>
      <c r="G3510" s="1" t="str">
        <f>Ocupacao_DW[[#This Row],[data]]&amp;Ocupacao_DW[[#This Row],[profissional_id]]&amp;Ocupacao_DW[[#This Row],[local_id]]</f>
        <v>446356913</v>
      </c>
      <c r="H3510" s="1">
        <f>_xlfn.XLOOKUP(Ocupacao_DW[[#This Row],[Concat]],Vagas!$H:$H,Vagas!$D:$D,"",0)</f>
        <v>0</v>
      </c>
    </row>
    <row r="3511" spans="1:8" x14ac:dyDescent="0.25">
      <c r="A3511" s="2">
        <v>44636</v>
      </c>
      <c r="B3511" s="1" t="s">
        <v>47</v>
      </c>
      <c r="C3511">
        <v>111</v>
      </c>
      <c r="D3511" s="1" t="s">
        <v>199</v>
      </c>
      <c r="E3511" s="1" t="s">
        <v>4</v>
      </c>
      <c r="F3511">
        <v>51</v>
      </c>
      <c r="G3511" s="1" t="str">
        <f>Ocupacao_DW[[#This Row],[data]]&amp;Ocupacao_DW[[#This Row],[profissional_id]]&amp;Ocupacao_DW[[#This Row],[local_id]]</f>
        <v>4463611151</v>
      </c>
      <c r="H3511" s="1">
        <f>_xlfn.XLOOKUP(Ocupacao_DW[[#This Row],[Concat]],Vagas!$H:$H,Vagas!$D:$D,"",0)</f>
        <v>1</v>
      </c>
    </row>
    <row r="3512" spans="1:8" x14ac:dyDescent="0.25">
      <c r="A3512" s="2">
        <v>44635</v>
      </c>
      <c r="B3512" s="1" t="s">
        <v>49</v>
      </c>
      <c r="C3512">
        <v>266</v>
      </c>
      <c r="D3512" s="1" t="s">
        <v>201</v>
      </c>
      <c r="E3512" s="1" t="s">
        <v>4</v>
      </c>
      <c r="F3512">
        <v>42</v>
      </c>
      <c r="G3512" s="1" t="str">
        <f>Ocupacao_DW[[#This Row],[data]]&amp;Ocupacao_DW[[#This Row],[profissional_id]]&amp;Ocupacao_DW[[#This Row],[local_id]]</f>
        <v>4463526642</v>
      </c>
      <c r="H3512" s="1">
        <f>_xlfn.XLOOKUP(Ocupacao_DW[[#This Row],[Concat]],Vagas!$H:$H,Vagas!$D:$D,"",0)</f>
        <v>0</v>
      </c>
    </row>
    <row r="3513" spans="1:8" x14ac:dyDescent="0.25">
      <c r="A3513" s="2">
        <v>44638</v>
      </c>
      <c r="B3513" s="1" t="s">
        <v>47</v>
      </c>
      <c r="C3513">
        <v>13371</v>
      </c>
      <c r="D3513" s="1" t="s">
        <v>205</v>
      </c>
      <c r="E3513" s="1" t="s">
        <v>4</v>
      </c>
      <c r="F3513">
        <v>336</v>
      </c>
      <c r="G3513" s="1" t="str">
        <f>Ocupacao_DW[[#This Row],[data]]&amp;Ocupacao_DW[[#This Row],[profissional_id]]&amp;Ocupacao_DW[[#This Row],[local_id]]</f>
        <v>4463813371336</v>
      </c>
      <c r="H3513" s="1" t="str">
        <f>_xlfn.XLOOKUP(Ocupacao_DW[[#This Row],[Concat]],Vagas!$H:$H,Vagas!$D:$D,"",0)</f>
        <v/>
      </c>
    </row>
    <row r="3514" spans="1:8" x14ac:dyDescent="0.25">
      <c r="A3514" s="2">
        <v>44635</v>
      </c>
      <c r="B3514" s="1" t="s">
        <v>47</v>
      </c>
      <c r="C3514">
        <v>9111</v>
      </c>
      <c r="D3514" s="1" t="s">
        <v>206</v>
      </c>
      <c r="E3514" s="1" t="s">
        <v>4</v>
      </c>
      <c r="F3514">
        <v>335</v>
      </c>
      <c r="G3514" s="1" t="str">
        <f>Ocupacao_DW[[#This Row],[data]]&amp;Ocupacao_DW[[#This Row],[profissional_id]]&amp;Ocupacao_DW[[#This Row],[local_id]]</f>
        <v>446359111335</v>
      </c>
      <c r="H3514" s="1">
        <f>_xlfn.XLOOKUP(Ocupacao_DW[[#This Row],[Concat]],Vagas!$H:$H,Vagas!$D:$D,"",0)</f>
        <v>0</v>
      </c>
    </row>
    <row r="3515" spans="1:8" x14ac:dyDescent="0.25">
      <c r="A3515" s="2">
        <v>44635</v>
      </c>
      <c r="B3515" s="1" t="s">
        <v>47</v>
      </c>
      <c r="C3515">
        <v>110</v>
      </c>
      <c r="D3515" s="1" t="s">
        <v>193</v>
      </c>
      <c r="E3515" s="1" t="s">
        <v>4</v>
      </c>
      <c r="F3515">
        <v>334</v>
      </c>
      <c r="G3515" s="1" t="str">
        <f>Ocupacao_DW[[#This Row],[data]]&amp;Ocupacao_DW[[#This Row],[profissional_id]]&amp;Ocupacao_DW[[#This Row],[local_id]]</f>
        <v>44635110334</v>
      </c>
      <c r="H3515" s="1">
        <f>_xlfn.XLOOKUP(Ocupacao_DW[[#This Row],[Concat]],Vagas!$H:$H,Vagas!$D:$D,"",0)</f>
        <v>0</v>
      </c>
    </row>
    <row r="3516" spans="1:8" x14ac:dyDescent="0.25">
      <c r="A3516" s="2">
        <v>44642</v>
      </c>
      <c r="B3516" s="1" t="s">
        <v>70</v>
      </c>
      <c r="C3516">
        <v>12825</v>
      </c>
      <c r="D3516" s="1" t="s">
        <v>177</v>
      </c>
      <c r="E3516" s="1" t="s">
        <v>7</v>
      </c>
      <c r="F3516">
        <v>63</v>
      </c>
      <c r="G3516" s="1" t="str">
        <f>Ocupacao_DW[[#This Row],[data]]&amp;Ocupacao_DW[[#This Row],[profissional_id]]&amp;Ocupacao_DW[[#This Row],[local_id]]</f>
        <v>446421282563</v>
      </c>
      <c r="H3516" s="1">
        <f>_xlfn.XLOOKUP(Ocupacao_DW[[#This Row],[Concat]],Vagas!$H:$H,Vagas!$D:$D,"",0)</f>
        <v>0</v>
      </c>
    </row>
    <row r="3517" spans="1:8" x14ac:dyDescent="0.25">
      <c r="A3517" s="2">
        <v>44644</v>
      </c>
      <c r="B3517" s="1" t="s">
        <v>67</v>
      </c>
      <c r="C3517">
        <v>10717</v>
      </c>
      <c r="D3517" s="1" t="s">
        <v>245</v>
      </c>
      <c r="E3517" s="1" t="s">
        <v>7</v>
      </c>
      <c r="F3517">
        <v>69</v>
      </c>
      <c r="G3517" s="1" t="str">
        <f>Ocupacao_DW[[#This Row],[data]]&amp;Ocupacao_DW[[#This Row],[profissional_id]]&amp;Ocupacao_DW[[#This Row],[local_id]]</f>
        <v>446441071769</v>
      </c>
      <c r="H3517" s="1">
        <f>_xlfn.XLOOKUP(Ocupacao_DW[[#This Row],[Concat]],Vagas!$H:$H,Vagas!$D:$D,"",0)</f>
        <v>0</v>
      </c>
    </row>
    <row r="3518" spans="1:8" x14ac:dyDescent="0.25">
      <c r="A3518" s="2">
        <v>44635</v>
      </c>
      <c r="B3518" s="1" t="s">
        <v>47</v>
      </c>
      <c r="C3518">
        <v>9111</v>
      </c>
      <c r="D3518" s="1" t="s">
        <v>206</v>
      </c>
      <c r="E3518" s="1" t="s">
        <v>4</v>
      </c>
      <c r="F3518">
        <v>335</v>
      </c>
      <c r="G3518" s="1" t="str">
        <f>Ocupacao_DW[[#This Row],[data]]&amp;Ocupacao_DW[[#This Row],[profissional_id]]&amp;Ocupacao_DW[[#This Row],[local_id]]</f>
        <v>446359111335</v>
      </c>
      <c r="H3518" s="1">
        <f>_xlfn.XLOOKUP(Ocupacao_DW[[#This Row],[Concat]],Vagas!$H:$H,Vagas!$D:$D,"",0)</f>
        <v>0</v>
      </c>
    </row>
    <row r="3519" spans="1:8" x14ac:dyDescent="0.25">
      <c r="A3519" s="2">
        <v>44637</v>
      </c>
      <c r="B3519" s="1" t="s">
        <v>47</v>
      </c>
      <c r="C3519">
        <v>9111</v>
      </c>
      <c r="D3519" s="1" t="s">
        <v>206</v>
      </c>
      <c r="E3519" s="1" t="s">
        <v>4</v>
      </c>
      <c r="F3519">
        <v>334</v>
      </c>
      <c r="G3519" s="1" t="str">
        <f>Ocupacao_DW[[#This Row],[data]]&amp;Ocupacao_DW[[#This Row],[profissional_id]]&amp;Ocupacao_DW[[#This Row],[local_id]]</f>
        <v>446379111334</v>
      </c>
      <c r="H3519" s="1">
        <f>_xlfn.XLOOKUP(Ocupacao_DW[[#This Row],[Concat]],Vagas!$H:$H,Vagas!$D:$D,"",0)</f>
        <v>0</v>
      </c>
    </row>
    <row r="3520" spans="1:8" x14ac:dyDescent="0.25">
      <c r="A3520" s="2">
        <v>44635</v>
      </c>
      <c r="B3520" s="1" t="s">
        <v>66</v>
      </c>
      <c r="C3520">
        <v>1343</v>
      </c>
      <c r="D3520" s="1" t="s">
        <v>263</v>
      </c>
      <c r="E3520" s="1" t="s">
        <v>200</v>
      </c>
      <c r="F3520">
        <v>80</v>
      </c>
      <c r="G3520" s="1" t="str">
        <f>Ocupacao_DW[[#This Row],[data]]&amp;Ocupacao_DW[[#This Row],[profissional_id]]&amp;Ocupacao_DW[[#This Row],[local_id]]</f>
        <v>44635134380</v>
      </c>
      <c r="H3520" s="1">
        <f>_xlfn.XLOOKUP(Ocupacao_DW[[#This Row],[Concat]],Vagas!$H:$H,Vagas!$D:$D,"",0)</f>
        <v>0</v>
      </c>
    </row>
    <row r="3521" spans="1:8" x14ac:dyDescent="0.25">
      <c r="A3521" s="2">
        <v>44650</v>
      </c>
      <c r="B3521" s="1" t="s">
        <v>24</v>
      </c>
      <c r="C3521">
        <v>13061</v>
      </c>
      <c r="D3521" s="1" t="s">
        <v>232</v>
      </c>
      <c r="E3521" s="1" t="s">
        <v>6</v>
      </c>
      <c r="F3521">
        <v>3</v>
      </c>
      <c r="G3521" s="1" t="str">
        <f>Ocupacao_DW[[#This Row],[data]]&amp;Ocupacao_DW[[#This Row],[profissional_id]]&amp;Ocupacao_DW[[#This Row],[local_id]]</f>
        <v>44650130613</v>
      </c>
      <c r="H3521" s="1">
        <f>_xlfn.XLOOKUP(Ocupacao_DW[[#This Row],[Concat]],Vagas!$H:$H,Vagas!$D:$D,"",0)</f>
        <v>0</v>
      </c>
    </row>
    <row r="3522" spans="1:8" x14ac:dyDescent="0.25">
      <c r="A3522" s="2">
        <v>44636</v>
      </c>
      <c r="B3522" s="1" t="s">
        <v>42</v>
      </c>
      <c r="C3522">
        <v>282</v>
      </c>
      <c r="D3522" s="1" t="s">
        <v>210</v>
      </c>
      <c r="E3522" s="1" t="s">
        <v>4</v>
      </c>
      <c r="F3522">
        <v>39</v>
      </c>
      <c r="G3522" s="1" t="str">
        <f>Ocupacao_DW[[#This Row],[data]]&amp;Ocupacao_DW[[#This Row],[profissional_id]]&amp;Ocupacao_DW[[#This Row],[local_id]]</f>
        <v>4463628239</v>
      </c>
      <c r="H3522" s="1">
        <f>_xlfn.XLOOKUP(Ocupacao_DW[[#This Row],[Concat]],Vagas!$H:$H,Vagas!$D:$D,"",0)</f>
        <v>50</v>
      </c>
    </row>
    <row r="3523" spans="1:8" x14ac:dyDescent="0.25">
      <c r="A3523" s="2">
        <v>44635</v>
      </c>
      <c r="B3523" s="1" t="s">
        <v>49</v>
      </c>
      <c r="C3523">
        <v>81</v>
      </c>
      <c r="D3523" s="1" t="s">
        <v>170</v>
      </c>
      <c r="E3523" s="1" t="s">
        <v>4</v>
      </c>
      <c r="F3523">
        <v>41</v>
      </c>
      <c r="G3523" s="1" t="str">
        <f>Ocupacao_DW[[#This Row],[data]]&amp;Ocupacao_DW[[#This Row],[profissional_id]]&amp;Ocupacao_DW[[#This Row],[local_id]]</f>
        <v>446358141</v>
      </c>
      <c r="H3523" s="1">
        <f>_xlfn.XLOOKUP(Ocupacao_DW[[#This Row],[Concat]],Vagas!$H:$H,Vagas!$D:$D,"",0)</f>
        <v>0</v>
      </c>
    </row>
    <row r="3524" spans="1:8" x14ac:dyDescent="0.25">
      <c r="A3524" s="2">
        <v>44643</v>
      </c>
      <c r="B3524" s="1" t="s">
        <v>51</v>
      </c>
      <c r="C3524">
        <v>12679</v>
      </c>
      <c r="D3524" s="1" t="s">
        <v>192</v>
      </c>
      <c r="E3524" s="1" t="s">
        <v>5</v>
      </c>
      <c r="F3524">
        <v>11</v>
      </c>
      <c r="G3524" s="1" t="str">
        <f>Ocupacao_DW[[#This Row],[data]]&amp;Ocupacao_DW[[#This Row],[profissional_id]]&amp;Ocupacao_DW[[#This Row],[local_id]]</f>
        <v>446431267911</v>
      </c>
      <c r="H3524" s="1">
        <f>_xlfn.XLOOKUP(Ocupacao_DW[[#This Row],[Concat]],Vagas!$H:$H,Vagas!$D:$D,"",0)</f>
        <v>0</v>
      </c>
    </row>
    <row r="3525" spans="1:8" x14ac:dyDescent="0.25">
      <c r="A3525" s="2">
        <v>44635</v>
      </c>
      <c r="B3525" s="1" t="s">
        <v>54</v>
      </c>
      <c r="C3525">
        <v>12623</v>
      </c>
      <c r="D3525" s="1" t="s">
        <v>258</v>
      </c>
      <c r="E3525" s="1" t="s">
        <v>5</v>
      </c>
      <c r="F3525">
        <v>11</v>
      </c>
      <c r="G3525" s="1" t="str">
        <f>Ocupacao_DW[[#This Row],[data]]&amp;Ocupacao_DW[[#This Row],[profissional_id]]&amp;Ocupacao_DW[[#This Row],[local_id]]</f>
        <v>446351262311</v>
      </c>
      <c r="H3525" s="1">
        <f>_xlfn.XLOOKUP(Ocupacao_DW[[#This Row],[Concat]],Vagas!$H:$H,Vagas!$D:$D,"",0)</f>
        <v>0</v>
      </c>
    </row>
    <row r="3526" spans="1:8" x14ac:dyDescent="0.25">
      <c r="A3526" s="2">
        <v>44636</v>
      </c>
      <c r="B3526" s="1" t="s">
        <v>54</v>
      </c>
      <c r="C3526">
        <v>70</v>
      </c>
      <c r="D3526" s="1" t="s">
        <v>187</v>
      </c>
      <c r="E3526" s="1" t="s">
        <v>5</v>
      </c>
      <c r="F3526">
        <v>13</v>
      </c>
      <c r="G3526" s="1" t="str">
        <f>Ocupacao_DW[[#This Row],[data]]&amp;Ocupacao_DW[[#This Row],[profissional_id]]&amp;Ocupacao_DW[[#This Row],[local_id]]</f>
        <v>446367013</v>
      </c>
      <c r="H3526" s="1">
        <f>_xlfn.XLOOKUP(Ocupacao_DW[[#This Row],[Concat]],Vagas!$H:$H,Vagas!$D:$D,"",0)</f>
        <v>0</v>
      </c>
    </row>
    <row r="3527" spans="1:8" x14ac:dyDescent="0.25">
      <c r="A3527" s="2">
        <v>44635</v>
      </c>
      <c r="B3527" s="1" t="s">
        <v>54</v>
      </c>
      <c r="C3527">
        <v>69</v>
      </c>
      <c r="D3527" s="1" t="s">
        <v>238</v>
      </c>
      <c r="E3527" s="1" t="s">
        <v>5</v>
      </c>
      <c r="F3527">
        <v>13</v>
      </c>
      <c r="G3527" s="1" t="str">
        <f>Ocupacao_DW[[#This Row],[data]]&amp;Ocupacao_DW[[#This Row],[profissional_id]]&amp;Ocupacao_DW[[#This Row],[local_id]]</f>
        <v>446356913</v>
      </c>
      <c r="H3527" s="1">
        <f>_xlfn.XLOOKUP(Ocupacao_DW[[#This Row],[Concat]],Vagas!$H:$H,Vagas!$D:$D,"",0)</f>
        <v>0</v>
      </c>
    </row>
    <row r="3528" spans="1:8" x14ac:dyDescent="0.25">
      <c r="A3528" s="2">
        <v>44637</v>
      </c>
      <c r="B3528" s="1" t="s">
        <v>56</v>
      </c>
      <c r="C3528">
        <v>5822</v>
      </c>
      <c r="D3528" s="1" t="s">
        <v>194</v>
      </c>
      <c r="E3528" s="1" t="s">
        <v>5</v>
      </c>
      <c r="F3528">
        <v>11</v>
      </c>
      <c r="G3528" s="1" t="str">
        <f>Ocupacao_DW[[#This Row],[data]]&amp;Ocupacao_DW[[#This Row],[profissional_id]]&amp;Ocupacao_DW[[#This Row],[local_id]]</f>
        <v>44637582211</v>
      </c>
      <c r="H3528" s="1">
        <f>_xlfn.XLOOKUP(Ocupacao_DW[[#This Row],[Concat]],Vagas!$H:$H,Vagas!$D:$D,"",0)</f>
        <v>0</v>
      </c>
    </row>
    <row r="3529" spans="1:8" x14ac:dyDescent="0.25">
      <c r="A3529" s="2">
        <v>44635</v>
      </c>
      <c r="B3529" s="1" t="s">
        <v>66</v>
      </c>
      <c r="C3529">
        <v>100</v>
      </c>
      <c r="D3529" s="1" t="s">
        <v>166</v>
      </c>
      <c r="E3529" s="1" t="s">
        <v>167</v>
      </c>
      <c r="F3529">
        <v>342</v>
      </c>
      <c r="G3529" s="1" t="str">
        <f>Ocupacao_DW[[#This Row],[data]]&amp;Ocupacao_DW[[#This Row],[profissional_id]]&amp;Ocupacao_DW[[#This Row],[local_id]]</f>
        <v>44635100342</v>
      </c>
      <c r="H3529" s="1">
        <f>_xlfn.XLOOKUP(Ocupacao_DW[[#This Row],[Concat]],Vagas!$H:$H,Vagas!$D:$D,"",0)</f>
        <v>0</v>
      </c>
    </row>
    <row r="3530" spans="1:8" x14ac:dyDescent="0.25">
      <c r="A3530" s="2">
        <v>44636</v>
      </c>
      <c r="B3530" s="1" t="s">
        <v>72</v>
      </c>
      <c r="C3530">
        <v>1794</v>
      </c>
      <c r="D3530" s="1" t="s">
        <v>235</v>
      </c>
      <c r="E3530" s="1" t="s">
        <v>4</v>
      </c>
      <c r="F3530">
        <v>49</v>
      </c>
      <c r="G3530" s="1" t="str">
        <f>Ocupacao_DW[[#This Row],[data]]&amp;Ocupacao_DW[[#This Row],[profissional_id]]&amp;Ocupacao_DW[[#This Row],[local_id]]</f>
        <v>44636179449</v>
      </c>
      <c r="H3530" s="1">
        <f>_xlfn.XLOOKUP(Ocupacao_DW[[#This Row],[Concat]],Vagas!$H:$H,Vagas!$D:$D,"",0)</f>
        <v>0</v>
      </c>
    </row>
    <row r="3531" spans="1:8" x14ac:dyDescent="0.25">
      <c r="A3531" s="2">
        <v>44635</v>
      </c>
      <c r="B3531" s="1" t="s">
        <v>54</v>
      </c>
      <c r="C3531">
        <v>69</v>
      </c>
      <c r="D3531" s="1" t="s">
        <v>238</v>
      </c>
      <c r="E3531" s="1" t="s">
        <v>5</v>
      </c>
      <c r="F3531">
        <v>13</v>
      </c>
      <c r="G3531" s="1" t="str">
        <f>Ocupacao_DW[[#This Row],[data]]&amp;Ocupacao_DW[[#This Row],[profissional_id]]&amp;Ocupacao_DW[[#This Row],[local_id]]</f>
        <v>446356913</v>
      </c>
      <c r="H3531" s="1">
        <f>_xlfn.XLOOKUP(Ocupacao_DW[[#This Row],[Concat]],Vagas!$H:$H,Vagas!$D:$D,"",0)</f>
        <v>0</v>
      </c>
    </row>
    <row r="3532" spans="1:8" x14ac:dyDescent="0.25">
      <c r="A3532" s="2">
        <v>44635</v>
      </c>
      <c r="B3532" s="1" t="s">
        <v>62</v>
      </c>
      <c r="C3532">
        <v>3502</v>
      </c>
      <c r="D3532" s="1" t="s">
        <v>214</v>
      </c>
      <c r="E3532" s="1" t="s">
        <v>5</v>
      </c>
      <c r="F3532">
        <v>16</v>
      </c>
      <c r="G3532" s="1" t="str">
        <f>Ocupacao_DW[[#This Row],[data]]&amp;Ocupacao_DW[[#This Row],[profissional_id]]&amp;Ocupacao_DW[[#This Row],[local_id]]</f>
        <v>44635350216</v>
      </c>
      <c r="H3532" s="1">
        <f>_xlfn.XLOOKUP(Ocupacao_DW[[#This Row],[Concat]],Vagas!$H:$H,Vagas!$D:$D,"",0)</f>
        <v>0</v>
      </c>
    </row>
    <row r="3533" spans="1:8" x14ac:dyDescent="0.25">
      <c r="A3533" s="2">
        <v>44644</v>
      </c>
      <c r="B3533" s="1" t="s">
        <v>52</v>
      </c>
      <c r="C3533">
        <v>9217</v>
      </c>
      <c r="D3533" s="1" t="s">
        <v>191</v>
      </c>
      <c r="E3533" s="1" t="s">
        <v>6</v>
      </c>
      <c r="F3533">
        <v>7</v>
      </c>
      <c r="G3533" s="1" t="str">
        <f>Ocupacao_DW[[#This Row],[data]]&amp;Ocupacao_DW[[#This Row],[profissional_id]]&amp;Ocupacao_DW[[#This Row],[local_id]]</f>
        <v>4464492177</v>
      </c>
      <c r="H3533" s="1">
        <f>_xlfn.XLOOKUP(Ocupacao_DW[[#This Row],[Concat]],Vagas!$H:$H,Vagas!$D:$D,"",0)</f>
        <v>0</v>
      </c>
    </row>
    <row r="3534" spans="1:8" x14ac:dyDescent="0.25">
      <c r="A3534" s="2">
        <v>44635</v>
      </c>
      <c r="B3534" s="1" t="s">
        <v>62</v>
      </c>
      <c r="C3534">
        <v>3502</v>
      </c>
      <c r="D3534" s="1" t="s">
        <v>214</v>
      </c>
      <c r="E3534" s="1" t="s">
        <v>5</v>
      </c>
      <c r="F3534">
        <v>16</v>
      </c>
      <c r="G3534" s="1" t="str">
        <f>Ocupacao_DW[[#This Row],[data]]&amp;Ocupacao_DW[[#This Row],[profissional_id]]&amp;Ocupacao_DW[[#This Row],[local_id]]</f>
        <v>44635350216</v>
      </c>
      <c r="H3534" s="1">
        <f>_xlfn.XLOOKUP(Ocupacao_DW[[#This Row],[Concat]],Vagas!$H:$H,Vagas!$D:$D,"",0)</f>
        <v>0</v>
      </c>
    </row>
    <row r="3535" spans="1:8" x14ac:dyDescent="0.25">
      <c r="A3535" s="2">
        <v>44636</v>
      </c>
      <c r="B3535" s="1" t="s">
        <v>49</v>
      </c>
      <c r="C3535">
        <v>6430</v>
      </c>
      <c r="D3535" s="1" t="s">
        <v>188</v>
      </c>
      <c r="E3535" s="1" t="s">
        <v>4</v>
      </c>
      <c r="F3535">
        <v>42</v>
      </c>
      <c r="G3535" s="1" t="str">
        <f>Ocupacao_DW[[#This Row],[data]]&amp;Ocupacao_DW[[#This Row],[profissional_id]]&amp;Ocupacao_DW[[#This Row],[local_id]]</f>
        <v>44636643042</v>
      </c>
      <c r="H3535" s="1">
        <f>_xlfn.XLOOKUP(Ocupacao_DW[[#This Row],[Concat]],Vagas!$H:$H,Vagas!$D:$D,"",0)</f>
        <v>0</v>
      </c>
    </row>
    <row r="3536" spans="1:8" x14ac:dyDescent="0.25">
      <c r="A3536" s="2">
        <v>44635</v>
      </c>
      <c r="B3536" s="1" t="s">
        <v>65</v>
      </c>
      <c r="C3536">
        <v>11652</v>
      </c>
      <c r="D3536" s="1" t="s">
        <v>242</v>
      </c>
      <c r="E3536" s="1" t="s">
        <v>4</v>
      </c>
      <c r="F3536">
        <v>47</v>
      </c>
      <c r="G3536" s="1" t="str">
        <f>Ocupacao_DW[[#This Row],[data]]&amp;Ocupacao_DW[[#This Row],[profissional_id]]&amp;Ocupacao_DW[[#This Row],[local_id]]</f>
        <v>446351165247</v>
      </c>
      <c r="H3536" s="1">
        <f>_xlfn.XLOOKUP(Ocupacao_DW[[#This Row],[Concat]],Vagas!$H:$H,Vagas!$D:$D,"",0)</f>
        <v>0</v>
      </c>
    </row>
    <row r="3537" spans="1:8" x14ac:dyDescent="0.25">
      <c r="A3537" s="2">
        <v>44657</v>
      </c>
      <c r="B3537" s="1" t="s">
        <v>52</v>
      </c>
      <c r="C3537">
        <v>60</v>
      </c>
      <c r="D3537" s="1" t="s">
        <v>217</v>
      </c>
      <c r="E3537" s="1" t="s">
        <v>6</v>
      </c>
      <c r="F3537">
        <v>8</v>
      </c>
      <c r="G3537" s="1" t="str">
        <f>Ocupacao_DW[[#This Row],[data]]&amp;Ocupacao_DW[[#This Row],[profissional_id]]&amp;Ocupacao_DW[[#This Row],[local_id]]</f>
        <v>44657608</v>
      </c>
      <c r="H3537" s="1">
        <f>_xlfn.XLOOKUP(Ocupacao_DW[[#This Row],[Concat]],Vagas!$H:$H,Vagas!$D:$D,"",0)</f>
        <v>0</v>
      </c>
    </row>
    <row r="3538" spans="1:8" x14ac:dyDescent="0.25">
      <c r="A3538" s="2">
        <v>44641</v>
      </c>
      <c r="B3538" s="1" t="s">
        <v>49</v>
      </c>
      <c r="C3538">
        <v>81</v>
      </c>
      <c r="D3538" s="1" t="s">
        <v>170</v>
      </c>
      <c r="E3538" s="1" t="s">
        <v>4</v>
      </c>
      <c r="F3538">
        <v>41</v>
      </c>
      <c r="G3538" s="1" t="str">
        <f>Ocupacao_DW[[#This Row],[data]]&amp;Ocupacao_DW[[#This Row],[profissional_id]]&amp;Ocupacao_DW[[#This Row],[local_id]]</f>
        <v>446418141</v>
      </c>
      <c r="H3538" s="1">
        <f>_xlfn.XLOOKUP(Ocupacao_DW[[#This Row],[Concat]],Vagas!$H:$H,Vagas!$D:$D,"",0)</f>
        <v>0</v>
      </c>
    </row>
    <row r="3539" spans="1:8" x14ac:dyDescent="0.25">
      <c r="A3539" s="2">
        <v>44649</v>
      </c>
      <c r="B3539" s="1" t="s">
        <v>55</v>
      </c>
      <c r="C3539">
        <v>73</v>
      </c>
      <c r="D3539" s="1" t="s">
        <v>171</v>
      </c>
      <c r="E3539" s="1" t="s">
        <v>6</v>
      </c>
      <c r="F3539">
        <v>5</v>
      </c>
      <c r="G3539" s="1" t="str">
        <f>Ocupacao_DW[[#This Row],[data]]&amp;Ocupacao_DW[[#This Row],[profissional_id]]&amp;Ocupacao_DW[[#This Row],[local_id]]</f>
        <v>44649735</v>
      </c>
      <c r="H3539" s="1">
        <f>_xlfn.XLOOKUP(Ocupacao_DW[[#This Row],[Concat]],Vagas!$H:$H,Vagas!$D:$D,"",0)</f>
        <v>0</v>
      </c>
    </row>
    <row r="3540" spans="1:8" x14ac:dyDescent="0.25">
      <c r="A3540" s="2">
        <v>44657</v>
      </c>
      <c r="B3540" s="1" t="s">
        <v>70</v>
      </c>
      <c r="C3540">
        <v>12825</v>
      </c>
      <c r="D3540" s="1" t="s">
        <v>177</v>
      </c>
      <c r="E3540" s="1" t="s">
        <v>4</v>
      </c>
      <c r="F3540">
        <v>45</v>
      </c>
      <c r="G3540" s="1" t="str">
        <f>Ocupacao_DW[[#This Row],[data]]&amp;Ocupacao_DW[[#This Row],[profissional_id]]&amp;Ocupacao_DW[[#This Row],[local_id]]</f>
        <v>446571282545</v>
      </c>
      <c r="H3540" s="1">
        <f>_xlfn.XLOOKUP(Ocupacao_DW[[#This Row],[Concat]],Vagas!$H:$H,Vagas!$D:$D,"",0)</f>
        <v>0</v>
      </c>
    </row>
    <row r="3541" spans="1:8" x14ac:dyDescent="0.25">
      <c r="A3541" s="2">
        <v>44638</v>
      </c>
      <c r="B3541" s="1" t="s">
        <v>47</v>
      </c>
      <c r="C3541">
        <v>9111</v>
      </c>
      <c r="D3541" s="1" t="s">
        <v>206</v>
      </c>
      <c r="E3541" s="1" t="s">
        <v>4</v>
      </c>
      <c r="F3541">
        <v>51</v>
      </c>
      <c r="G3541" s="1" t="str">
        <f>Ocupacao_DW[[#This Row],[data]]&amp;Ocupacao_DW[[#This Row],[profissional_id]]&amp;Ocupacao_DW[[#This Row],[local_id]]</f>
        <v>44638911151</v>
      </c>
      <c r="H3541" s="1">
        <f>_xlfn.XLOOKUP(Ocupacao_DW[[#This Row],[Concat]],Vagas!$H:$H,Vagas!$D:$D,"",0)</f>
        <v>0</v>
      </c>
    </row>
    <row r="3542" spans="1:8" x14ac:dyDescent="0.25">
      <c r="A3542" s="2">
        <v>44638</v>
      </c>
      <c r="B3542" s="1" t="s">
        <v>49</v>
      </c>
      <c r="C3542">
        <v>6430</v>
      </c>
      <c r="D3542" s="1" t="s">
        <v>188</v>
      </c>
      <c r="E3542" s="1" t="s">
        <v>4</v>
      </c>
      <c r="F3542">
        <v>42</v>
      </c>
      <c r="G3542" s="1" t="str">
        <f>Ocupacao_DW[[#This Row],[data]]&amp;Ocupacao_DW[[#This Row],[profissional_id]]&amp;Ocupacao_DW[[#This Row],[local_id]]</f>
        <v>44638643042</v>
      </c>
      <c r="H3542" s="1">
        <f>_xlfn.XLOOKUP(Ocupacao_DW[[#This Row],[Concat]],Vagas!$H:$H,Vagas!$D:$D,"",0)</f>
        <v>0</v>
      </c>
    </row>
    <row r="3543" spans="1:8" x14ac:dyDescent="0.25">
      <c r="A3543" s="2">
        <v>44636</v>
      </c>
      <c r="B3543" s="1" t="s">
        <v>71</v>
      </c>
      <c r="C3543">
        <v>282</v>
      </c>
      <c r="D3543" s="1" t="s">
        <v>210</v>
      </c>
      <c r="E3543" s="1" t="s">
        <v>4</v>
      </c>
      <c r="F3543">
        <v>46</v>
      </c>
      <c r="G3543" s="1" t="str">
        <f>Ocupacao_DW[[#This Row],[data]]&amp;Ocupacao_DW[[#This Row],[profissional_id]]&amp;Ocupacao_DW[[#This Row],[local_id]]</f>
        <v>4463628246</v>
      </c>
      <c r="H3543" s="1">
        <f>_xlfn.XLOOKUP(Ocupacao_DW[[#This Row],[Concat]],Vagas!$H:$H,Vagas!$D:$D,"",0)</f>
        <v>0</v>
      </c>
    </row>
    <row r="3544" spans="1:8" x14ac:dyDescent="0.25">
      <c r="A3544" s="2">
        <v>44635</v>
      </c>
      <c r="B3544" s="1" t="s">
        <v>62</v>
      </c>
      <c r="C3544">
        <v>3502</v>
      </c>
      <c r="D3544" s="1" t="s">
        <v>214</v>
      </c>
      <c r="E3544" s="1" t="s">
        <v>5</v>
      </c>
      <c r="F3544">
        <v>16</v>
      </c>
      <c r="G3544" s="1" t="str">
        <f>Ocupacao_DW[[#This Row],[data]]&amp;Ocupacao_DW[[#This Row],[profissional_id]]&amp;Ocupacao_DW[[#This Row],[local_id]]</f>
        <v>44635350216</v>
      </c>
      <c r="H3544" s="1">
        <f>_xlfn.XLOOKUP(Ocupacao_DW[[#This Row],[Concat]],Vagas!$H:$H,Vagas!$D:$D,"",0)</f>
        <v>0</v>
      </c>
    </row>
    <row r="3545" spans="1:8" x14ac:dyDescent="0.25">
      <c r="A3545" s="2">
        <v>44638</v>
      </c>
      <c r="B3545" s="1" t="s">
        <v>64</v>
      </c>
      <c r="C3545">
        <v>86</v>
      </c>
      <c r="D3545" s="1" t="s">
        <v>175</v>
      </c>
      <c r="E3545" s="1" t="s">
        <v>5</v>
      </c>
      <c r="F3545">
        <v>349</v>
      </c>
      <c r="G3545" s="1" t="str">
        <f>Ocupacao_DW[[#This Row],[data]]&amp;Ocupacao_DW[[#This Row],[profissional_id]]&amp;Ocupacao_DW[[#This Row],[local_id]]</f>
        <v>4463886349</v>
      </c>
      <c r="H3545" s="1">
        <f>_xlfn.XLOOKUP(Ocupacao_DW[[#This Row],[Concat]],Vagas!$H:$H,Vagas!$D:$D,"",0)</f>
        <v>0</v>
      </c>
    </row>
    <row r="3546" spans="1:8" x14ac:dyDescent="0.25">
      <c r="A3546" s="2">
        <v>44635</v>
      </c>
      <c r="B3546" s="1" t="s">
        <v>54</v>
      </c>
      <c r="C3546">
        <v>10941</v>
      </c>
      <c r="D3546" s="1" t="s">
        <v>224</v>
      </c>
      <c r="E3546" s="1" t="s">
        <v>5</v>
      </c>
      <c r="F3546">
        <v>12</v>
      </c>
      <c r="G3546" s="1" t="str">
        <f>Ocupacao_DW[[#This Row],[data]]&amp;Ocupacao_DW[[#This Row],[profissional_id]]&amp;Ocupacao_DW[[#This Row],[local_id]]</f>
        <v>446351094112</v>
      </c>
      <c r="H3546" s="1">
        <f>_xlfn.XLOOKUP(Ocupacao_DW[[#This Row],[Concat]],Vagas!$H:$H,Vagas!$D:$D,"",0)</f>
        <v>0</v>
      </c>
    </row>
    <row r="3547" spans="1:8" x14ac:dyDescent="0.25">
      <c r="A3547" s="2">
        <v>44651</v>
      </c>
      <c r="B3547" s="1" t="s">
        <v>54</v>
      </c>
      <c r="C3547">
        <v>1490</v>
      </c>
      <c r="D3547" s="1" t="s">
        <v>174</v>
      </c>
      <c r="E3547" s="1" t="s">
        <v>5</v>
      </c>
      <c r="F3547">
        <v>13</v>
      </c>
      <c r="G3547" s="1" t="str">
        <f>Ocupacao_DW[[#This Row],[data]]&amp;Ocupacao_DW[[#This Row],[profissional_id]]&amp;Ocupacao_DW[[#This Row],[local_id]]</f>
        <v>44651149013</v>
      </c>
      <c r="H3547" s="1">
        <f>_xlfn.XLOOKUP(Ocupacao_DW[[#This Row],[Concat]],Vagas!$H:$H,Vagas!$D:$D,"",0)</f>
        <v>0</v>
      </c>
    </row>
    <row r="3548" spans="1:8" x14ac:dyDescent="0.25">
      <c r="A3548" s="2">
        <v>44636</v>
      </c>
      <c r="B3548" s="1" t="s">
        <v>47</v>
      </c>
      <c r="C3548">
        <v>110</v>
      </c>
      <c r="D3548" s="1" t="s">
        <v>193</v>
      </c>
      <c r="E3548" s="1" t="s">
        <v>4</v>
      </c>
      <c r="F3548">
        <v>334</v>
      </c>
      <c r="G3548" s="1" t="str">
        <f>Ocupacao_DW[[#This Row],[data]]&amp;Ocupacao_DW[[#This Row],[profissional_id]]&amp;Ocupacao_DW[[#This Row],[local_id]]</f>
        <v>44636110334</v>
      </c>
      <c r="H3548" s="1">
        <f>_xlfn.XLOOKUP(Ocupacao_DW[[#This Row],[Concat]],Vagas!$H:$H,Vagas!$D:$D,"",0)</f>
        <v>0</v>
      </c>
    </row>
    <row r="3549" spans="1:8" x14ac:dyDescent="0.25">
      <c r="A3549" s="2">
        <v>44641</v>
      </c>
      <c r="B3549" s="1" t="s">
        <v>72</v>
      </c>
      <c r="C3549">
        <v>13479</v>
      </c>
      <c r="D3549" s="1" t="s">
        <v>203</v>
      </c>
      <c r="E3549" s="1" t="s">
        <v>4</v>
      </c>
      <c r="F3549">
        <v>46</v>
      </c>
      <c r="G3549" s="1" t="str">
        <f>Ocupacao_DW[[#This Row],[data]]&amp;Ocupacao_DW[[#This Row],[profissional_id]]&amp;Ocupacao_DW[[#This Row],[local_id]]</f>
        <v>446411347946</v>
      </c>
      <c r="H3549" s="1">
        <f>_xlfn.XLOOKUP(Ocupacao_DW[[#This Row],[Concat]],Vagas!$H:$H,Vagas!$D:$D,"",0)</f>
        <v>0</v>
      </c>
    </row>
    <row r="3550" spans="1:8" x14ac:dyDescent="0.25">
      <c r="A3550" s="2">
        <v>44635</v>
      </c>
      <c r="B3550" s="1" t="s">
        <v>54</v>
      </c>
      <c r="C3550">
        <v>69</v>
      </c>
      <c r="D3550" s="1" t="s">
        <v>238</v>
      </c>
      <c r="E3550" s="1" t="s">
        <v>5</v>
      </c>
      <c r="F3550">
        <v>13</v>
      </c>
      <c r="G3550" s="1" t="str">
        <f>Ocupacao_DW[[#This Row],[data]]&amp;Ocupacao_DW[[#This Row],[profissional_id]]&amp;Ocupacao_DW[[#This Row],[local_id]]</f>
        <v>446356913</v>
      </c>
      <c r="H3550" s="1">
        <f>_xlfn.XLOOKUP(Ocupacao_DW[[#This Row],[Concat]],Vagas!$H:$H,Vagas!$D:$D,"",0)</f>
        <v>0</v>
      </c>
    </row>
    <row r="3551" spans="1:8" x14ac:dyDescent="0.25">
      <c r="A3551" s="2">
        <v>44635</v>
      </c>
      <c r="B3551" s="1" t="s">
        <v>54</v>
      </c>
      <c r="C3551">
        <v>12623</v>
      </c>
      <c r="D3551" s="1" t="s">
        <v>258</v>
      </c>
      <c r="E3551" s="1" t="s">
        <v>5</v>
      </c>
      <c r="F3551">
        <v>11</v>
      </c>
      <c r="G3551" s="1" t="str">
        <f>Ocupacao_DW[[#This Row],[data]]&amp;Ocupacao_DW[[#This Row],[profissional_id]]&amp;Ocupacao_DW[[#This Row],[local_id]]</f>
        <v>446351262311</v>
      </c>
      <c r="H3551" s="1">
        <f>_xlfn.XLOOKUP(Ocupacao_DW[[#This Row],[Concat]],Vagas!$H:$H,Vagas!$D:$D,"",0)</f>
        <v>0</v>
      </c>
    </row>
    <row r="3552" spans="1:8" x14ac:dyDescent="0.25">
      <c r="A3552" s="2">
        <v>44655</v>
      </c>
      <c r="B3552" s="1" t="s">
        <v>55</v>
      </c>
      <c r="C3552">
        <v>6392</v>
      </c>
      <c r="D3552" s="1" t="s">
        <v>173</v>
      </c>
      <c r="E3552" s="1" t="s">
        <v>6</v>
      </c>
      <c r="F3552">
        <v>5</v>
      </c>
      <c r="G3552" s="1" t="str">
        <f>Ocupacao_DW[[#This Row],[data]]&amp;Ocupacao_DW[[#This Row],[profissional_id]]&amp;Ocupacao_DW[[#This Row],[local_id]]</f>
        <v>4465563925</v>
      </c>
      <c r="H3552" s="1">
        <f>_xlfn.XLOOKUP(Ocupacao_DW[[#This Row],[Concat]],Vagas!$H:$H,Vagas!$D:$D,"",0)</f>
        <v>0</v>
      </c>
    </row>
    <row r="3553" spans="1:8" x14ac:dyDescent="0.25">
      <c r="A3553" s="2">
        <v>44635</v>
      </c>
      <c r="B3553" s="1" t="s">
        <v>67</v>
      </c>
      <c r="C3553">
        <v>7290</v>
      </c>
      <c r="D3553" s="1" t="s">
        <v>247</v>
      </c>
      <c r="E3553" s="1" t="s">
        <v>5</v>
      </c>
      <c r="F3553">
        <v>18</v>
      </c>
      <c r="G3553" s="1" t="str">
        <f>Ocupacao_DW[[#This Row],[data]]&amp;Ocupacao_DW[[#This Row],[profissional_id]]&amp;Ocupacao_DW[[#This Row],[local_id]]</f>
        <v>44635729018</v>
      </c>
      <c r="H3553" s="1">
        <f>_xlfn.XLOOKUP(Ocupacao_DW[[#This Row],[Concat]],Vagas!$H:$H,Vagas!$D:$D,"",0)</f>
        <v>0</v>
      </c>
    </row>
    <row r="3554" spans="1:8" x14ac:dyDescent="0.25">
      <c r="A3554" s="2">
        <v>44635</v>
      </c>
      <c r="B3554" s="1" t="s">
        <v>47</v>
      </c>
      <c r="C3554">
        <v>12752</v>
      </c>
      <c r="D3554" s="1" t="s">
        <v>253</v>
      </c>
      <c r="E3554" s="1" t="s">
        <v>7</v>
      </c>
      <c r="F3554">
        <v>60</v>
      </c>
      <c r="G3554" s="1" t="str">
        <f>Ocupacao_DW[[#This Row],[data]]&amp;Ocupacao_DW[[#This Row],[profissional_id]]&amp;Ocupacao_DW[[#This Row],[local_id]]</f>
        <v>446351275260</v>
      </c>
      <c r="H3554" s="1">
        <f>_xlfn.XLOOKUP(Ocupacao_DW[[#This Row],[Concat]],Vagas!$H:$H,Vagas!$D:$D,"",0)</f>
        <v>0</v>
      </c>
    </row>
    <row r="3555" spans="1:8" x14ac:dyDescent="0.25">
      <c r="A3555" s="2">
        <v>44637</v>
      </c>
      <c r="B3555" s="1" t="s">
        <v>57</v>
      </c>
      <c r="C3555">
        <v>80</v>
      </c>
      <c r="D3555" s="1" t="s">
        <v>179</v>
      </c>
      <c r="E3555" s="1" t="s">
        <v>167</v>
      </c>
      <c r="F3555">
        <v>348</v>
      </c>
      <c r="G3555" s="1" t="str">
        <f>Ocupacao_DW[[#This Row],[data]]&amp;Ocupacao_DW[[#This Row],[profissional_id]]&amp;Ocupacao_DW[[#This Row],[local_id]]</f>
        <v>4463780348</v>
      </c>
      <c r="H3555" s="1">
        <f>_xlfn.XLOOKUP(Ocupacao_DW[[#This Row],[Concat]],Vagas!$H:$H,Vagas!$D:$D,"",0)</f>
        <v>0</v>
      </c>
    </row>
    <row r="3556" spans="1:8" x14ac:dyDescent="0.25">
      <c r="A3556" s="2">
        <v>44635</v>
      </c>
      <c r="B3556" s="1" t="s">
        <v>55</v>
      </c>
      <c r="C3556">
        <v>12669</v>
      </c>
      <c r="D3556" s="1" t="s">
        <v>223</v>
      </c>
      <c r="E3556" s="1" t="s">
        <v>6</v>
      </c>
      <c r="F3556">
        <v>6</v>
      </c>
      <c r="G3556" s="1" t="str">
        <f>Ocupacao_DW[[#This Row],[data]]&amp;Ocupacao_DW[[#This Row],[profissional_id]]&amp;Ocupacao_DW[[#This Row],[local_id]]</f>
        <v>44635126696</v>
      </c>
      <c r="H3556" s="1">
        <f>_xlfn.XLOOKUP(Ocupacao_DW[[#This Row],[Concat]],Vagas!$H:$H,Vagas!$D:$D,"",0)</f>
        <v>0</v>
      </c>
    </row>
    <row r="3557" spans="1:8" x14ac:dyDescent="0.25">
      <c r="A3557" s="2">
        <v>44641</v>
      </c>
      <c r="B3557" s="1" t="s">
        <v>55</v>
      </c>
      <c r="C3557">
        <v>12669</v>
      </c>
      <c r="D3557" s="1" t="s">
        <v>223</v>
      </c>
      <c r="E3557" s="1" t="s">
        <v>6</v>
      </c>
      <c r="F3557">
        <v>6</v>
      </c>
      <c r="G3557" s="1" t="str">
        <f>Ocupacao_DW[[#This Row],[data]]&amp;Ocupacao_DW[[#This Row],[profissional_id]]&amp;Ocupacao_DW[[#This Row],[local_id]]</f>
        <v>44641126696</v>
      </c>
      <c r="H3557" s="1">
        <f>_xlfn.XLOOKUP(Ocupacao_DW[[#This Row],[Concat]],Vagas!$H:$H,Vagas!$D:$D,"",0)</f>
        <v>0</v>
      </c>
    </row>
    <row r="3558" spans="1:8" x14ac:dyDescent="0.25">
      <c r="A3558" s="2">
        <v>44636</v>
      </c>
      <c r="B3558" s="1" t="s">
        <v>70</v>
      </c>
      <c r="C3558">
        <v>12825</v>
      </c>
      <c r="D3558" s="1" t="s">
        <v>177</v>
      </c>
      <c r="E3558" s="1" t="s">
        <v>4</v>
      </c>
      <c r="F3558">
        <v>45</v>
      </c>
      <c r="G3558" s="1" t="str">
        <f>Ocupacao_DW[[#This Row],[data]]&amp;Ocupacao_DW[[#This Row],[profissional_id]]&amp;Ocupacao_DW[[#This Row],[local_id]]</f>
        <v>446361282545</v>
      </c>
      <c r="H3558" s="1">
        <f>_xlfn.XLOOKUP(Ocupacao_DW[[#This Row],[Concat]],Vagas!$H:$H,Vagas!$D:$D,"",0)</f>
        <v>0</v>
      </c>
    </row>
    <row r="3559" spans="1:8" x14ac:dyDescent="0.25">
      <c r="A3559" s="2">
        <v>44642</v>
      </c>
      <c r="B3559" s="1"/>
      <c r="C3559">
        <v>13249</v>
      </c>
      <c r="D3559" s="1" t="s">
        <v>178</v>
      </c>
      <c r="E3559" s="1" t="s">
        <v>4</v>
      </c>
      <c r="F3559">
        <v>45</v>
      </c>
      <c r="G3559" s="1" t="str">
        <f>Ocupacao_DW[[#This Row],[data]]&amp;Ocupacao_DW[[#This Row],[profissional_id]]&amp;Ocupacao_DW[[#This Row],[local_id]]</f>
        <v>446421324945</v>
      </c>
      <c r="H3559" s="1">
        <f>_xlfn.XLOOKUP(Ocupacao_DW[[#This Row],[Concat]],Vagas!$H:$H,Vagas!$D:$D,"",0)</f>
        <v>0</v>
      </c>
    </row>
    <row r="3560" spans="1:8" x14ac:dyDescent="0.25">
      <c r="A3560" s="2">
        <v>44636</v>
      </c>
      <c r="B3560" s="1" t="s">
        <v>64</v>
      </c>
      <c r="C3560">
        <v>86</v>
      </c>
      <c r="D3560" s="1" t="s">
        <v>175</v>
      </c>
      <c r="E3560" s="1" t="s">
        <v>7</v>
      </c>
      <c r="F3560">
        <v>66</v>
      </c>
      <c r="G3560" s="1" t="str">
        <f>Ocupacao_DW[[#This Row],[data]]&amp;Ocupacao_DW[[#This Row],[profissional_id]]&amp;Ocupacao_DW[[#This Row],[local_id]]</f>
        <v>446368666</v>
      </c>
      <c r="H3560" s="1">
        <f>_xlfn.XLOOKUP(Ocupacao_DW[[#This Row],[Concat]],Vagas!$H:$H,Vagas!$D:$D,"",0)</f>
        <v>0</v>
      </c>
    </row>
    <row r="3561" spans="1:8" x14ac:dyDescent="0.25">
      <c r="A3561" s="2">
        <v>44638</v>
      </c>
      <c r="B3561" s="1" t="s">
        <v>62</v>
      </c>
      <c r="C3561">
        <v>3502</v>
      </c>
      <c r="D3561" s="1" t="s">
        <v>214</v>
      </c>
      <c r="E3561" s="1" t="s">
        <v>7</v>
      </c>
      <c r="F3561">
        <v>69</v>
      </c>
      <c r="G3561" s="1" t="str">
        <f>Ocupacao_DW[[#This Row],[data]]&amp;Ocupacao_DW[[#This Row],[profissional_id]]&amp;Ocupacao_DW[[#This Row],[local_id]]</f>
        <v>44638350269</v>
      </c>
      <c r="H3561" s="1">
        <f>_xlfn.XLOOKUP(Ocupacao_DW[[#This Row],[Concat]],Vagas!$H:$H,Vagas!$D:$D,"",0)</f>
        <v>0</v>
      </c>
    </row>
    <row r="3562" spans="1:8" x14ac:dyDescent="0.25">
      <c r="A3562" s="2">
        <v>44635</v>
      </c>
      <c r="B3562" s="1" t="s">
        <v>47</v>
      </c>
      <c r="C3562">
        <v>12752</v>
      </c>
      <c r="D3562" s="1" t="s">
        <v>253</v>
      </c>
      <c r="E3562" s="1" t="s">
        <v>7</v>
      </c>
      <c r="F3562">
        <v>60</v>
      </c>
      <c r="G3562" s="1" t="str">
        <f>Ocupacao_DW[[#This Row],[data]]&amp;Ocupacao_DW[[#This Row],[profissional_id]]&amp;Ocupacao_DW[[#This Row],[local_id]]</f>
        <v>446351275260</v>
      </c>
      <c r="H3562" s="1">
        <f>_xlfn.XLOOKUP(Ocupacao_DW[[#This Row],[Concat]],Vagas!$H:$H,Vagas!$D:$D,"",0)</f>
        <v>0</v>
      </c>
    </row>
    <row r="3563" spans="1:8" x14ac:dyDescent="0.25">
      <c r="A3563" s="2">
        <v>44652</v>
      </c>
      <c r="B3563" s="1" t="s">
        <v>24</v>
      </c>
      <c r="C3563">
        <v>60</v>
      </c>
      <c r="D3563" s="1" t="s">
        <v>217</v>
      </c>
      <c r="E3563" s="1" t="s">
        <v>6</v>
      </c>
      <c r="F3563">
        <v>1</v>
      </c>
      <c r="G3563" s="1" t="str">
        <f>Ocupacao_DW[[#This Row],[data]]&amp;Ocupacao_DW[[#This Row],[profissional_id]]&amp;Ocupacao_DW[[#This Row],[local_id]]</f>
        <v>44652601</v>
      </c>
      <c r="H3563" s="1">
        <f>_xlfn.XLOOKUP(Ocupacao_DW[[#This Row],[Concat]],Vagas!$H:$H,Vagas!$D:$D,"",0)</f>
        <v>0</v>
      </c>
    </row>
    <row r="3564" spans="1:8" x14ac:dyDescent="0.25">
      <c r="A3564" s="2">
        <v>44635</v>
      </c>
      <c r="B3564" s="1" t="s">
        <v>49</v>
      </c>
      <c r="C3564">
        <v>266</v>
      </c>
      <c r="D3564" s="1" t="s">
        <v>201</v>
      </c>
      <c r="E3564" s="1" t="s">
        <v>4</v>
      </c>
      <c r="F3564">
        <v>42</v>
      </c>
      <c r="G3564" s="1" t="str">
        <f>Ocupacao_DW[[#This Row],[data]]&amp;Ocupacao_DW[[#This Row],[profissional_id]]&amp;Ocupacao_DW[[#This Row],[local_id]]</f>
        <v>4463526642</v>
      </c>
      <c r="H3564" s="1">
        <f>_xlfn.XLOOKUP(Ocupacao_DW[[#This Row],[Concat]],Vagas!$H:$H,Vagas!$D:$D,"",0)</f>
        <v>0</v>
      </c>
    </row>
    <row r="3565" spans="1:8" x14ac:dyDescent="0.25">
      <c r="A3565" s="2">
        <v>44649</v>
      </c>
      <c r="B3565" s="1" t="s">
        <v>55</v>
      </c>
      <c r="C3565">
        <v>73</v>
      </c>
      <c r="D3565" s="1" t="s">
        <v>171</v>
      </c>
      <c r="E3565" s="1" t="s">
        <v>6</v>
      </c>
      <c r="F3565">
        <v>5</v>
      </c>
      <c r="G3565" s="1" t="str">
        <f>Ocupacao_DW[[#This Row],[data]]&amp;Ocupacao_DW[[#This Row],[profissional_id]]&amp;Ocupacao_DW[[#This Row],[local_id]]</f>
        <v>44649735</v>
      </c>
      <c r="H3565" s="1">
        <f>_xlfn.XLOOKUP(Ocupacao_DW[[#This Row],[Concat]],Vagas!$H:$H,Vagas!$D:$D,"",0)</f>
        <v>0</v>
      </c>
    </row>
    <row r="3566" spans="1:8" x14ac:dyDescent="0.25">
      <c r="A3566" s="2">
        <v>44636</v>
      </c>
      <c r="B3566" s="1" t="s">
        <v>52</v>
      </c>
      <c r="C3566">
        <v>10691</v>
      </c>
      <c r="D3566" s="1" t="s">
        <v>181</v>
      </c>
      <c r="E3566" s="1" t="s">
        <v>6</v>
      </c>
      <c r="F3566">
        <v>9</v>
      </c>
      <c r="G3566" s="1" t="str">
        <f>Ocupacao_DW[[#This Row],[data]]&amp;Ocupacao_DW[[#This Row],[profissional_id]]&amp;Ocupacao_DW[[#This Row],[local_id]]</f>
        <v>44636106919</v>
      </c>
      <c r="H3566" s="1">
        <f>_xlfn.XLOOKUP(Ocupacao_DW[[#This Row],[Concat]],Vagas!$H:$H,Vagas!$D:$D,"",0)</f>
        <v>0</v>
      </c>
    </row>
    <row r="3567" spans="1:8" x14ac:dyDescent="0.25">
      <c r="A3567" s="2">
        <v>44636</v>
      </c>
      <c r="B3567" s="1" t="s">
        <v>72</v>
      </c>
      <c r="C3567">
        <v>1794</v>
      </c>
      <c r="D3567" s="1" t="s">
        <v>235</v>
      </c>
      <c r="E3567" s="1" t="s">
        <v>4</v>
      </c>
      <c r="F3567">
        <v>49</v>
      </c>
      <c r="G3567" s="1" t="str">
        <f>Ocupacao_DW[[#This Row],[data]]&amp;Ocupacao_DW[[#This Row],[profissional_id]]&amp;Ocupacao_DW[[#This Row],[local_id]]</f>
        <v>44636179449</v>
      </c>
      <c r="H3567" s="1">
        <f>_xlfn.XLOOKUP(Ocupacao_DW[[#This Row],[Concat]],Vagas!$H:$H,Vagas!$D:$D,"",0)</f>
        <v>0</v>
      </c>
    </row>
    <row r="3568" spans="1:8" x14ac:dyDescent="0.25">
      <c r="A3568" s="2">
        <v>44637</v>
      </c>
      <c r="B3568" s="1" t="s">
        <v>52</v>
      </c>
      <c r="C3568">
        <v>10691</v>
      </c>
      <c r="D3568" s="1" t="s">
        <v>181</v>
      </c>
      <c r="E3568" s="1" t="s">
        <v>6</v>
      </c>
      <c r="F3568">
        <v>9</v>
      </c>
      <c r="G3568" s="1" t="str">
        <f>Ocupacao_DW[[#This Row],[data]]&amp;Ocupacao_DW[[#This Row],[profissional_id]]&amp;Ocupacao_DW[[#This Row],[local_id]]</f>
        <v>44637106919</v>
      </c>
      <c r="H3568" s="1">
        <f>_xlfn.XLOOKUP(Ocupacao_DW[[#This Row],[Concat]],Vagas!$H:$H,Vagas!$D:$D,"",0)</f>
        <v>0</v>
      </c>
    </row>
    <row r="3569" spans="1:8" x14ac:dyDescent="0.25">
      <c r="A3569" s="2">
        <v>44649</v>
      </c>
      <c r="B3569" s="1" t="s">
        <v>55</v>
      </c>
      <c r="C3569">
        <v>73</v>
      </c>
      <c r="D3569" s="1" t="s">
        <v>171</v>
      </c>
      <c r="E3569" s="1" t="s">
        <v>6</v>
      </c>
      <c r="F3569">
        <v>5</v>
      </c>
      <c r="G3569" s="1" t="str">
        <f>Ocupacao_DW[[#This Row],[data]]&amp;Ocupacao_DW[[#This Row],[profissional_id]]&amp;Ocupacao_DW[[#This Row],[local_id]]</f>
        <v>44649735</v>
      </c>
      <c r="H3569" s="1">
        <f>_xlfn.XLOOKUP(Ocupacao_DW[[#This Row],[Concat]],Vagas!$H:$H,Vagas!$D:$D,"",0)</f>
        <v>0</v>
      </c>
    </row>
    <row r="3570" spans="1:8" x14ac:dyDescent="0.25">
      <c r="A3570" s="2">
        <v>44650</v>
      </c>
      <c r="B3570" s="1" t="s">
        <v>55</v>
      </c>
      <c r="C3570">
        <v>73</v>
      </c>
      <c r="D3570" s="1" t="s">
        <v>171</v>
      </c>
      <c r="E3570" s="1" t="s">
        <v>6</v>
      </c>
      <c r="F3570">
        <v>5</v>
      </c>
      <c r="G3570" s="1" t="str">
        <f>Ocupacao_DW[[#This Row],[data]]&amp;Ocupacao_DW[[#This Row],[profissional_id]]&amp;Ocupacao_DW[[#This Row],[local_id]]</f>
        <v>44650735</v>
      </c>
      <c r="H3570" s="1">
        <f>_xlfn.XLOOKUP(Ocupacao_DW[[#This Row],[Concat]],Vagas!$H:$H,Vagas!$D:$D,"",0)</f>
        <v>0</v>
      </c>
    </row>
    <row r="3571" spans="1:8" x14ac:dyDescent="0.25">
      <c r="A3571" s="2">
        <v>44635</v>
      </c>
      <c r="B3571" s="1" t="s">
        <v>62</v>
      </c>
      <c r="C3571">
        <v>3502</v>
      </c>
      <c r="D3571" s="1" t="s">
        <v>214</v>
      </c>
      <c r="E3571" s="1" t="s">
        <v>5</v>
      </c>
      <c r="F3571">
        <v>16</v>
      </c>
      <c r="G3571" s="1" t="str">
        <f>Ocupacao_DW[[#This Row],[data]]&amp;Ocupacao_DW[[#This Row],[profissional_id]]&amp;Ocupacao_DW[[#This Row],[local_id]]</f>
        <v>44635350216</v>
      </c>
      <c r="H3571" s="1">
        <f>_xlfn.XLOOKUP(Ocupacao_DW[[#This Row],[Concat]],Vagas!$H:$H,Vagas!$D:$D,"",0)</f>
        <v>0</v>
      </c>
    </row>
    <row r="3572" spans="1:8" x14ac:dyDescent="0.25">
      <c r="A3572" s="2">
        <v>44638</v>
      </c>
      <c r="B3572" s="1" t="s">
        <v>49</v>
      </c>
      <c r="C3572">
        <v>81</v>
      </c>
      <c r="D3572" s="1" t="s">
        <v>170</v>
      </c>
      <c r="E3572" s="1" t="s">
        <v>4</v>
      </c>
      <c r="F3572">
        <v>41</v>
      </c>
      <c r="G3572" s="1" t="str">
        <f>Ocupacao_DW[[#This Row],[data]]&amp;Ocupacao_DW[[#This Row],[profissional_id]]&amp;Ocupacao_DW[[#This Row],[local_id]]</f>
        <v>446388141</v>
      </c>
      <c r="H3572" s="1">
        <f>_xlfn.XLOOKUP(Ocupacao_DW[[#This Row],[Concat]],Vagas!$H:$H,Vagas!$D:$D,"",0)</f>
        <v>0</v>
      </c>
    </row>
    <row r="3573" spans="1:8" x14ac:dyDescent="0.25">
      <c r="A3573" s="2">
        <v>44650</v>
      </c>
      <c r="B3573" s="1" t="s">
        <v>55</v>
      </c>
      <c r="C3573">
        <v>73</v>
      </c>
      <c r="D3573" s="1" t="s">
        <v>171</v>
      </c>
      <c r="E3573" s="1" t="s">
        <v>6</v>
      </c>
      <c r="F3573">
        <v>5</v>
      </c>
      <c r="G3573" s="1" t="str">
        <f>Ocupacao_DW[[#This Row],[data]]&amp;Ocupacao_DW[[#This Row],[profissional_id]]&amp;Ocupacao_DW[[#This Row],[local_id]]</f>
        <v>44650735</v>
      </c>
      <c r="H3573" s="1">
        <f>_xlfn.XLOOKUP(Ocupacao_DW[[#This Row],[Concat]],Vagas!$H:$H,Vagas!$D:$D,"",0)</f>
        <v>0</v>
      </c>
    </row>
    <row r="3574" spans="1:8" x14ac:dyDescent="0.25">
      <c r="A3574" s="2">
        <v>44635</v>
      </c>
      <c r="B3574" s="1" t="s">
        <v>55</v>
      </c>
      <c r="C3574">
        <v>14452</v>
      </c>
      <c r="D3574" s="1" t="s">
        <v>266</v>
      </c>
      <c r="E3574" s="1" t="s">
        <v>200</v>
      </c>
      <c r="F3574">
        <v>78</v>
      </c>
      <c r="G3574" s="1" t="str">
        <f>Ocupacao_DW[[#This Row],[data]]&amp;Ocupacao_DW[[#This Row],[profissional_id]]&amp;Ocupacao_DW[[#This Row],[local_id]]</f>
        <v>446351445278</v>
      </c>
      <c r="H3574" s="1">
        <f>_xlfn.XLOOKUP(Ocupacao_DW[[#This Row],[Concat]],Vagas!$H:$H,Vagas!$D:$D,"",0)</f>
        <v>0</v>
      </c>
    </row>
    <row r="3575" spans="1:8" x14ac:dyDescent="0.25">
      <c r="A3575" s="2">
        <v>44635</v>
      </c>
      <c r="B3575" s="1" t="s">
        <v>54</v>
      </c>
      <c r="C3575">
        <v>10941</v>
      </c>
      <c r="D3575" s="1" t="s">
        <v>224</v>
      </c>
      <c r="E3575" s="1" t="s">
        <v>5</v>
      </c>
      <c r="F3575">
        <v>12</v>
      </c>
      <c r="G3575" s="1" t="str">
        <f>Ocupacao_DW[[#This Row],[data]]&amp;Ocupacao_DW[[#This Row],[profissional_id]]&amp;Ocupacao_DW[[#This Row],[local_id]]</f>
        <v>446351094112</v>
      </c>
      <c r="H3575" s="1">
        <f>_xlfn.XLOOKUP(Ocupacao_DW[[#This Row],[Concat]],Vagas!$H:$H,Vagas!$D:$D,"",0)</f>
        <v>0</v>
      </c>
    </row>
    <row r="3576" spans="1:8" x14ac:dyDescent="0.25">
      <c r="A3576" s="2">
        <v>44635</v>
      </c>
      <c r="B3576" s="1" t="s">
        <v>47</v>
      </c>
      <c r="C3576">
        <v>110</v>
      </c>
      <c r="D3576" s="1" t="s">
        <v>193</v>
      </c>
      <c r="E3576" s="1" t="s">
        <v>4</v>
      </c>
      <c r="F3576">
        <v>334</v>
      </c>
      <c r="G3576" s="1" t="str">
        <f>Ocupacao_DW[[#This Row],[data]]&amp;Ocupacao_DW[[#This Row],[profissional_id]]&amp;Ocupacao_DW[[#This Row],[local_id]]</f>
        <v>44635110334</v>
      </c>
      <c r="H3576" s="1">
        <f>_xlfn.XLOOKUP(Ocupacao_DW[[#This Row],[Concat]],Vagas!$H:$H,Vagas!$D:$D,"",0)</f>
        <v>0</v>
      </c>
    </row>
    <row r="3577" spans="1:8" x14ac:dyDescent="0.25">
      <c r="A3577" s="2">
        <v>44644</v>
      </c>
      <c r="B3577" s="1" t="s">
        <v>55</v>
      </c>
      <c r="C3577">
        <v>12426</v>
      </c>
      <c r="D3577" s="1" t="s">
        <v>215</v>
      </c>
      <c r="E3577" s="1" t="s">
        <v>6</v>
      </c>
      <c r="F3577">
        <v>5</v>
      </c>
      <c r="G3577" s="1" t="str">
        <f>Ocupacao_DW[[#This Row],[data]]&amp;Ocupacao_DW[[#This Row],[profissional_id]]&amp;Ocupacao_DW[[#This Row],[local_id]]</f>
        <v>44644124265</v>
      </c>
      <c r="H3577" s="1">
        <f>_xlfn.XLOOKUP(Ocupacao_DW[[#This Row],[Concat]],Vagas!$H:$H,Vagas!$D:$D,"",0)</f>
        <v>0</v>
      </c>
    </row>
    <row r="3578" spans="1:8" x14ac:dyDescent="0.25">
      <c r="A3578" s="2">
        <v>44637</v>
      </c>
      <c r="B3578" s="1" t="s">
        <v>47</v>
      </c>
      <c r="C3578">
        <v>17928</v>
      </c>
      <c r="D3578" s="1" t="s">
        <v>268</v>
      </c>
      <c r="E3578" s="1" t="s">
        <v>4</v>
      </c>
      <c r="F3578">
        <v>51</v>
      </c>
      <c r="G3578" s="1" t="str">
        <f>Ocupacao_DW[[#This Row],[data]]&amp;Ocupacao_DW[[#This Row],[profissional_id]]&amp;Ocupacao_DW[[#This Row],[local_id]]</f>
        <v>446371792851</v>
      </c>
      <c r="H3578" s="1">
        <f>_xlfn.XLOOKUP(Ocupacao_DW[[#This Row],[Concat]],Vagas!$H:$H,Vagas!$D:$D,"",0)</f>
        <v>13</v>
      </c>
    </row>
    <row r="3579" spans="1:8" x14ac:dyDescent="0.25">
      <c r="A3579" s="2">
        <v>44641</v>
      </c>
      <c r="B3579" s="1" t="s">
        <v>52</v>
      </c>
      <c r="C3579">
        <v>10946</v>
      </c>
      <c r="D3579" s="1" t="s">
        <v>209</v>
      </c>
      <c r="E3579" s="1" t="s">
        <v>6</v>
      </c>
      <c r="F3579">
        <v>3</v>
      </c>
      <c r="G3579" s="1" t="str">
        <f>Ocupacao_DW[[#This Row],[data]]&amp;Ocupacao_DW[[#This Row],[profissional_id]]&amp;Ocupacao_DW[[#This Row],[local_id]]</f>
        <v>44641109463</v>
      </c>
      <c r="H3579" s="1">
        <f>_xlfn.XLOOKUP(Ocupacao_DW[[#This Row],[Concat]],Vagas!$H:$H,Vagas!$D:$D,"",0)</f>
        <v>0</v>
      </c>
    </row>
    <row r="3580" spans="1:8" x14ac:dyDescent="0.25">
      <c r="A3580" s="2">
        <v>44641</v>
      </c>
      <c r="B3580" s="1" t="s">
        <v>55</v>
      </c>
      <c r="C3580">
        <v>12669</v>
      </c>
      <c r="D3580" s="1" t="s">
        <v>223</v>
      </c>
      <c r="E3580" s="1" t="s">
        <v>6</v>
      </c>
      <c r="F3580">
        <v>6</v>
      </c>
      <c r="G3580" s="1" t="str">
        <f>Ocupacao_DW[[#This Row],[data]]&amp;Ocupacao_DW[[#This Row],[profissional_id]]&amp;Ocupacao_DW[[#This Row],[local_id]]</f>
        <v>44641126696</v>
      </c>
      <c r="H3580" s="1">
        <f>_xlfn.XLOOKUP(Ocupacao_DW[[#This Row],[Concat]],Vagas!$H:$H,Vagas!$D:$D,"",0)</f>
        <v>0</v>
      </c>
    </row>
    <row r="3581" spans="1:8" x14ac:dyDescent="0.25">
      <c r="A3581" s="2">
        <v>44637</v>
      </c>
      <c r="B3581" s="1" t="s">
        <v>72</v>
      </c>
      <c r="C3581">
        <v>6046</v>
      </c>
      <c r="D3581" s="1" t="s">
        <v>222</v>
      </c>
      <c r="E3581" s="1" t="s">
        <v>4</v>
      </c>
      <c r="F3581">
        <v>46</v>
      </c>
      <c r="G3581" s="1" t="str">
        <f>Ocupacao_DW[[#This Row],[data]]&amp;Ocupacao_DW[[#This Row],[profissional_id]]&amp;Ocupacao_DW[[#This Row],[local_id]]</f>
        <v>44637604646</v>
      </c>
      <c r="H3581" s="1">
        <f>_xlfn.XLOOKUP(Ocupacao_DW[[#This Row],[Concat]],Vagas!$H:$H,Vagas!$D:$D,"",0)</f>
        <v>0</v>
      </c>
    </row>
    <row r="3582" spans="1:8" x14ac:dyDescent="0.25">
      <c r="A3582" s="2">
        <v>44635</v>
      </c>
      <c r="B3582" s="1" t="s">
        <v>54</v>
      </c>
      <c r="C3582">
        <v>10941</v>
      </c>
      <c r="D3582" s="1" t="s">
        <v>224</v>
      </c>
      <c r="E3582" s="1" t="s">
        <v>5</v>
      </c>
      <c r="F3582">
        <v>12</v>
      </c>
      <c r="G3582" s="1" t="str">
        <f>Ocupacao_DW[[#This Row],[data]]&amp;Ocupacao_DW[[#This Row],[profissional_id]]&amp;Ocupacao_DW[[#This Row],[local_id]]</f>
        <v>446351094112</v>
      </c>
      <c r="H3582" s="1">
        <f>_xlfn.XLOOKUP(Ocupacao_DW[[#This Row],[Concat]],Vagas!$H:$H,Vagas!$D:$D,"",0)</f>
        <v>0</v>
      </c>
    </row>
    <row r="3583" spans="1:8" x14ac:dyDescent="0.25">
      <c r="A3583" s="2">
        <v>44636</v>
      </c>
      <c r="B3583" s="1" t="s">
        <v>52</v>
      </c>
      <c r="C3583">
        <v>60</v>
      </c>
      <c r="D3583" s="1" t="s">
        <v>217</v>
      </c>
      <c r="E3583" s="1" t="s">
        <v>167</v>
      </c>
      <c r="F3583">
        <v>346</v>
      </c>
      <c r="G3583" s="1" t="str">
        <f>Ocupacao_DW[[#This Row],[data]]&amp;Ocupacao_DW[[#This Row],[profissional_id]]&amp;Ocupacao_DW[[#This Row],[local_id]]</f>
        <v>4463660346</v>
      </c>
      <c r="H3583" s="1">
        <f>_xlfn.XLOOKUP(Ocupacao_DW[[#This Row],[Concat]],Vagas!$H:$H,Vagas!$D:$D,"",0)</f>
        <v>0</v>
      </c>
    </row>
    <row r="3584" spans="1:8" x14ac:dyDescent="0.25">
      <c r="A3584" s="2">
        <v>44636</v>
      </c>
      <c r="B3584" s="1" t="s">
        <v>62</v>
      </c>
      <c r="C3584">
        <v>3502</v>
      </c>
      <c r="D3584" s="1" t="s">
        <v>214</v>
      </c>
      <c r="E3584" s="1" t="s">
        <v>5</v>
      </c>
      <c r="F3584">
        <v>16</v>
      </c>
      <c r="G3584" s="1" t="str">
        <f>Ocupacao_DW[[#This Row],[data]]&amp;Ocupacao_DW[[#This Row],[profissional_id]]&amp;Ocupacao_DW[[#This Row],[local_id]]</f>
        <v>44636350216</v>
      </c>
      <c r="H3584" s="1">
        <f>_xlfn.XLOOKUP(Ocupacao_DW[[#This Row],[Concat]],Vagas!$H:$H,Vagas!$D:$D,"",0)</f>
        <v>0</v>
      </c>
    </row>
    <row r="3585" spans="1:8" x14ac:dyDescent="0.25">
      <c r="A3585" s="2">
        <v>44644</v>
      </c>
      <c r="B3585" s="1" t="s">
        <v>47</v>
      </c>
      <c r="C3585">
        <v>11312</v>
      </c>
      <c r="D3585" s="1" t="s">
        <v>207</v>
      </c>
      <c r="E3585" s="1" t="s">
        <v>4</v>
      </c>
      <c r="F3585">
        <v>336</v>
      </c>
      <c r="G3585" s="1" t="str">
        <f>Ocupacao_DW[[#This Row],[data]]&amp;Ocupacao_DW[[#This Row],[profissional_id]]&amp;Ocupacao_DW[[#This Row],[local_id]]</f>
        <v>4464411312336</v>
      </c>
      <c r="H3585" s="1">
        <f>_xlfn.XLOOKUP(Ocupacao_DW[[#This Row],[Concat]],Vagas!$H:$H,Vagas!$D:$D,"",0)</f>
        <v>20</v>
      </c>
    </row>
    <row r="3586" spans="1:8" x14ac:dyDescent="0.25">
      <c r="A3586" s="2">
        <v>44636</v>
      </c>
      <c r="B3586" s="1"/>
      <c r="C3586">
        <v>81</v>
      </c>
      <c r="D3586" s="1" t="s">
        <v>170</v>
      </c>
      <c r="E3586" s="1" t="s">
        <v>4</v>
      </c>
      <c r="F3586">
        <v>41</v>
      </c>
      <c r="G3586" s="1" t="str">
        <f>Ocupacao_DW[[#This Row],[data]]&amp;Ocupacao_DW[[#This Row],[profissional_id]]&amp;Ocupacao_DW[[#This Row],[local_id]]</f>
        <v>446368141</v>
      </c>
      <c r="H3586" s="1">
        <f>_xlfn.XLOOKUP(Ocupacao_DW[[#This Row],[Concat]],Vagas!$H:$H,Vagas!$D:$D,"",0)</f>
        <v>0</v>
      </c>
    </row>
    <row r="3587" spans="1:8" x14ac:dyDescent="0.25">
      <c r="A3587" s="2">
        <v>44636</v>
      </c>
      <c r="B3587" s="1" t="s">
        <v>52</v>
      </c>
      <c r="C3587">
        <v>60</v>
      </c>
      <c r="D3587" s="1" t="s">
        <v>217</v>
      </c>
      <c r="E3587" s="1" t="s">
        <v>167</v>
      </c>
      <c r="F3587">
        <v>346</v>
      </c>
      <c r="G3587" s="1" t="str">
        <f>Ocupacao_DW[[#This Row],[data]]&amp;Ocupacao_DW[[#This Row],[profissional_id]]&amp;Ocupacao_DW[[#This Row],[local_id]]</f>
        <v>4463660346</v>
      </c>
      <c r="H3587" s="1">
        <f>_xlfn.XLOOKUP(Ocupacao_DW[[#This Row],[Concat]],Vagas!$H:$H,Vagas!$D:$D,"",0)</f>
        <v>0</v>
      </c>
    </row>
    <row r="3588" spans="1:8" x14ac:dyDescent="0.25">
      <c r="A3588" s="2">
        <v>44636</v>
      </c>
      <c r="B3588" s="1" t="s">
        <v>52</v>
      </c>
      <c r="C3588">
        <v>60</v>
      </c>
      <c r="D3588" s="1" t="s">
        <v>217</v>
      </c>
      <c r="E3588" s="1" t="s">
        <v>167</v>
      </c>
      <c r="F3588">
        <v>346</v>
      </c>
      <c r="G3588" s="1" t="str">
        <f>Ocupacao_DW[[#This Row],[data]]&amp;Ocupacao_DW[[#This Row],[profissional_id]]&amp;Ocupacao_DW[[#This Row],[local_id]]</f>
        <v>4463660346</v>
      </c>
      <c r="H3588" s="1">
        <f>_xlfn.XLOOKUP(Ocupacao_DW[[#This Row],[Concat]],Vagas!$H:$H,Vagas!$D:$D,"",0)</f>
        <v>0</v>
      </c>
    </row>
    <row r="3589" spans="1:8" x14ac:dyDescent="0.25">
      <c r="A3589" s="2">
        <v>44651</v>
      </c>
      <c r="B3589" s="1" t="s">
        <v>76</v>
      </c>
      <c r="C3589">
        <v>11312</v>
      </c>
      <c r="D3589" s="1" t="s">
        <v>207</v>
      </c>
      <c r="E3589" s="1" t="s">
        <v>167</v>
      </c>
      <c r="F3589">
        <v>340</v>
      </c>
      <c r="G3589" s="1" t="str">
        <f>Ocupacao_DW[[#This Row],[data]]&amp;Ocupacao_DW[[#This Row],[profissional_id]]&amp;Ocupacao_DW[[#This Row],[local_id]]</f>
        <v>4465111312340</v>
      </c>
      <c r="H3589" s="1">
        <f>_xlfn.XLOOKUP(Ocupacao_DW[[#This Row],[Concat]],Vagas!$H:$H,Vagas!$D:$D,"",0)</f>
        <v>0</v>
      </c>
    </row>
    <row r="3590" spans="1:8" x14ac:dyDescent="0.25">
      <c r="A3590" s="2">
        <v>44641</v>
      </c>
      <c r="B3590" s="1" t="s">
        <v>55</v>
      </c>
      <c r="C3590">
        <v>60</v>
      </c>
      <c r="D3590" s="1" t="s">
        <v>217</v>
      </c>
      <c r="E3590" s="1" t="s">
        <v>167</v>
      </c>
      <c r="F3590">
        <v>345</v>
      </c>
      <c r="G3590" s="1" t="str">
        <f>Ocupacao_DW[[#This Row],[data]]&amp;Ocupacao_DW[[#This Row],[profissional_id]]&amp;Ocupacao_DW[[#This Row],[local_id]]</f>
        <v>4464160345</v>
      </c>
      <c r="H3590" s="1">
        <f>_xlfn.XLOOKUP(Ocupacao_DW[[#This Row],[Concat]],Vagas!$H:$H,Vagas!$D:$D,"",0)</f>
        <v>0</v>
      </c>
    </row>
    <row r="3591" spans="1:8" x14ac:dyDescent="0.25">
      <c r="A3591" s="2">
        <v>44643</v>
      </c>
      <c r="B3591" s="1" t="s">
        <v>51</v>
      </c>
      <c r="C3591">
        <v>12679</v>
      </c>
      <c r="D3591" s="1" t="s">
        <v>192</v>
      </c>
      <c r="E3591" s="1" t="s">
        <v>5</v>
      </c>
      <c r="F3591">
        <v>11</v>
      </c>
      <c r="G3591" s="1" t="str">
        <f>Ocupacao_DW[[#This Row],[data]]&amp;Ocupacao_DW[[#This Row],[profissional_id]]&amp;Ocupacao_DW[[#This Row],[local_id]]</f>
        <v>446431267911</v>
      </c>
      <c r="H3591" s="1">
        <f>_xlfn.XLOOKUP(Ocupacao_DW[[#This Row],[Concat]],Vagas!$H:$H,Vagas!$D:$D,"",0)</f>
        <v>0</v>
      </c>
    </row>
    <row r="3592" spans="1:8" x14ac:dyDescent="0.25">
      <c r="A3592" s="2">
        <v>44635</v>
      </c>
      <c r="B3592" s="1" t="s">
        <v>67</v>
      </c>
      <c r="C3592">
        <v>7290</v>
      </c>
      <c r="D3592" s="1" t="s">
        <v>247</v>
      </c>
      <c r="E3592" s="1" t="s">
        <v>5</v>
      </c>
      <c r="F3592">
        <v>18</v>
      </c>
      <c r="G3592" s="1" t="str">
        <f>Ocupacao_DW[[#This Row],[data]]&amp;Ocupacao_DW[[#This Row],[profissional_id]]&amp;Ocupacao_DW[[#This Row],[local_id]]</f>
        <v>44635729018</v>
      </c>
      <c r="H3592" s="1">
        <f>_xlfn.XLOOKUP(Ocupacao_DW[[#This Row],[Concat]],Vagas!$H:$H,Vagas!$D:$D,"",0)</f>
        <v>0</v>
      </c>
    </row>
    <row r="3593" spans="1:8" x14ac:dyDescent="0.25">
      <c r="A3593" s="2">
        <v>44641</v>
      </c>
      <c r="B3593" s="1" t="s">
        <v>47</v>
      </c>
      <c r="C3593">
        <v>12679</v>
      </c>
      <c r="D3593" s="1" t="s">
        <v>192</v>
      </c>
      <c r="E3593" s="1" t="s">
        <v>4</v>
      </c>
      <c r="F3593">
        <v>334</v>
      </c>
      <c r="G3593" s="1" t="str">
        <f>Ocupacao_DW[[#This Row],[data]]&amp;Ocupacao_DW[[#This Row],[profissional_id]]&amp;Ocupacao_DW[[#This Row],[local_id]]</f>
        <v>4464112679334</v>
      </c>
      <c r="H3593" s="1">
        <f>_xlfn.XLOOKUP(Ocupacao_DW[[#This Row],[Concat]],Vagas!$H:$H,Vagas!$D:$D,"",0)</f>
        <v>0</v>
      </c>
    </row>
    <row r="3594" spans="1:8" x14ac:dyDescent="0.25">
      <c r="A3594" s="2">
        <v>44644</v>
      </c>
      <c r="B3594" s="1" t="s">
        <v>51</v>
      </c>
      <c r="C3594">
        <v>12582</v>
      </c>
      <c r="D3594" s="1" t="s">
        <v>190</v>
      </c>
      <c r="E3594" s="1" t="s">
        <v>5</v>
      </c>
      <c r="F3594">
        <v>15</v>
      </c>
      <c r="G3594" s="1" t="str">
        <f>Ocupacao_DW[[#This Row],[data]]&amp;Ocupacao_DW[[#This Row],[profissional_id]]&amp;Ocupacao_DW[[#This Row],[local_id]]</f>
        <v>446441258215</v>
      </c>
      <c r="H3594" s="1">
        <f>_xlfn.XLOOKUP(Ocupacao_DW[[#This Row],[Concat]],Vagas!$H:$H,Vagas!$D:$D,"",0)</f>
        <v>0</v>
      </c>
    </row>
    <row r="3595" spans="1:8" x14ac:dyDescent="0.25">
      <c r="A3595" s="2">
        <v>44641</v>
      </c>
      <c r="B3595" s="1" t="s">
        <v>54</v>
      </c>
      <c r="C3595">
        <v>10941</v>
      </c>
      <c r="D3595" s="1" t="s">
        <v>224</v>
      </c>
      <c r="E3595" s="1" t="s">
        <v>5</v>
      </c>
      <c r="F3595">
        <v>11</v>
      </c>
      <c r="G3595" s="1" t="str">
        <f>Ocupacao_DW[[#This Row],[data]]&amp;Ocupacao_DW[[#This Row],[profissional_id]]&amp;Ocupacao_DW[[#This Row],[local_id]]</f>
        <v>446411094111</v>
      </c>
      <c r="H3595" s="1">
        <f>_xlfn.XLOOKUP(Ocupacao_DW[[#This Row],[Concat]],Vagas!$H:$H,Vagas!$D:$D,"",0)</f>
        <v>0</v>
      </c>
    </row>
    <row r="3596" spans="1:8" x14ac:dyDescent="0.25">
      <c r="A3596" s="2">
        <v>44644</v>
      </c>
      <c r="B3596" s="1" t="s">
        <v>70</v>
      </c>
      <c r="C3596">
        <v>12519</v>
      </c>
      <c r="D3596" s="1" t="s">
        <v>176</v>
      </c>
      <c r="E3596" s="1" t="s">
        <v>4</v>
      </c>
      <c r="F3596">
        <v>42</v>
      </c>
      <c r="G3596" s="1" t="str">
        <f>Ocupacao_DW[[#This Row],[data]]&amp;Ocupacao_DW[[#This Row],[profissional_id]]&amp;Ocupacao_DW[[#This Row],[local_id]]</f>
        <v>446441251942</v>
      </c>
      <c r="H3596" s="1">
        <f>_xlfn.XLOOKUP(Ocupacao_DW[[#This Row],[Concat]],Vagas!$H:$H,Vagas!$D:$D,"",0)</f>
        <v>0</v>
      </c>
    </row>
    <row r="3597" spans="1:8" x14ac:dyDescent="0.25">
      <c r="A3597" s="2">
        <v>44644</v>
      </c>
      <c r="B3597" s="1" t="s">
        <v>70</v>
      </c>
      <c r="C3597">
        <v>12519</v>
      </c>
      <c r="D3597" s="1" t="s">
        <v>176</v>
      </c>
      <c r="E3597" s="1" t="s">
        <v>4</v>
      </c>
      <c r="F3597">
        <v>42</v>
      </c>
      <c r="G3597" s="1" t="str">
        <f>Ocupacao_DW[[#This Row],[data]]&amp;Ocupacao_DW[[#This Row],[profissional_id]]&amp;Ocupacao_DW[[#This Row],[local_id]]</f>
        <v>446441251942</v>
      </c>
      <c r="H3597" s="1">
        <f>_xlfn.XLOOKUP(Ocupacao_DW[[#This Row],[Concat]],Vagas!$H:$H,Vagas!$D:$D,"",0)</f>
        <v>0</v>
      </c>
    </row>
    <row r="3598" spans="1:8" x14ac:dyDescent="0.25">
      <c r="A3598" s="2">
        <v>44643</v>
      </c>
      <c r="B3598" s="1" t="s">
        <v>52</v>
      </c>
      <c r="C3598">
        <v>60</v>
      </c>
      <c r="D3598" s="1" t="s">
        <v>217</v>
      </c>
      <c r="E3598" s="1" t="s">
        <v>6</v>
      </c>
      <c r="F3598">
        <v>8</v>
      </c>
      <c r="G3598" s="1" t="str">
        <f>Ocupacao_DW[[#This Row],[data]]&amp;Ocupacao_DW[[#This Row],[profissional_id]]&amp;Ocupacao_DW[[#This Row],[local_id]]</f>
        <v>44643608</v>
      </c>
      <c r="H3598" s="1">
        <f>_xlfn.XLOOKUP(Ocupacao_DW[[#This Row],[Concat]],Vagas!$H:$H,Vagas!$D:$D,"",0)</f>
        <v>0</v>
      </c>
    </row>
    <row r="3599" spans="1:8" x14ac:dyDescent="0.25">
      <c r="A3599" s="2">
        <v>44636</v>
      </c>
      <c r="B3599" s="1" t="s">
        <v>47</v>
      </c>
      <c r="C3599">
        <v>17859</v>
      </c>
      <c r="D3599" s="1" t="s">
        <v>212</v>
      </c>
      <c r="E3599" s="1" t="s">
        <v>4</v>
      </c>
      <c r="F3599">
        <v>336</v>
      </c>
      <c r="G3599" s="1" t="str">
        <f>Ocupacao_DW[[#This Row],[data]]&amp;Ocupacao_DW[[#This Row],[profissional_id]]&amp;Ocupacao_DW[[#This Row],[local_id]]</f>
        <v>4463617859336</v>
      </c>
      <c r="H3599" s="1">
        <f>_xlfn.XLOOKUP(Ocupacao_DW[[#This Row],[Concat]],Vagas!$H:$H,Vagas!$D:$D,"",0)</f>
        <v>0</v>
      </c>
    </row>
    <row r="3600" spans="1:8" x14ac:dyDescent="0.25">
      <c r="A3600" s="2">
        <v>44636</v>
      </c>
      <c r="B3600" s="1" t="s">
        <v>54</v>
      </c>
      <c r="C3600">
        <v>70</v>
      </c>
      <c r="D3600" s="1" t="s">
        <v>187</v>
      </c>
      <c r="E3600" s="1" t="s">
        <v>5</v>
      </c>
      <c r="F3600">
        <v>13</v>
      </c>
      <c r="G3600" s="1" t="str">
        <f>Ocupacao_DW[[#This Row],[data]]&amp;Ocupacao_DW[[#This Row],[profissional_id]]&amp;Ocupacao_DW[[#This Row],[local_id]]</f>
        <v>446367013</v>
      </c>
      <c r="H3600" s="1">
        <f>_xlfn.XLOOKUP(Ocupacao_DW[[#This Row],[Concat]],Vagas!$H:$H,Vagas!$D:$D,"",0)</f>
        <v>0</v>
      </c>
    </row>
    <row r="3601" spans="1:8" x14ac:dyDescent="0.25">
      <c r="A3601" s="2">
        <v>44638</v>
      </c>
      <c r="B3601" s="1" t="s">
        <v>52</v>
      </c>
      <c r="C3601">
        <v>10691</v>
      </c>
      <c r="D3601" s="1" t="s">
        <v>181</v>
      </c>
      <c r="E3601" s="1" t="s">
        <v>200</v>
      </c>
      <c r="F3601">
        <v>78</v>
      </c>
      <c r="G3601" s="1" t="str">
        <f>Ocupacao_DW[[#This Row],[data]]&amp;Ocupacao_DW[[#This Row],[profissional_id]]&amp;Ocupacao_DW[[#This Row],[local_id]]</f>
        <v>446381069178</v>
      </c>
      <c r="H3601" s="1">
        <f>_xlfn.XLOOKUP(Ocupacao_DW[[#This Row],[Concat]],Vagas!$H:$H,Vagas!$D:$D,"",0)</f>
        <v>0</v>
      </c>
    </row>
    <row r="3602" spans="1:8" x14ac:dyDescent="0.25">
      <c r="A3602" s="2">
        <v>44638</v>
      </c>
      <c r="B3602" s="1" t="s">
        <v>47</v>
      </c>
      <c r="C3602">
        <v>12679</v>
      </c>
      <c r="D3602" s="1" t="s">
        <v>192</v>
      </c>
      <c r="E3602" s="1" t="s">
        <v>4</v>
      </c>
      <c r="F3602">
        <v>336</v>
      </c>
      <c r="G3602" s="1" t="str">
        <f>Ocupacao_DW[[#This Row],[data]]&amp;Ocupacao_DW[[#This Row],[profissional_id]]&amp;Ocupacao_DW[[#This Row],[local_id]]</f>
        <v>4463812679336</v>
      </c>
      <c r="H3602" s="1">
        <f>_xlfn.XLOOKUP(Ocupacao_DW[[#This Row],[Concat]],Vagas!$H:$H,Vagas!$D:$D,"",0)</f>
        <v>0</v>
      </c>
    </row>
    <row r="3603" spans="1:8" x14ac:dyDescent="0.25">
      <c r="A3603" s="2">
        <v>44643</v>
      </c>
      <c r="B3603" s="1" t="s">
        <v>51</v>
      </c>
      <c r="C3603">
        <v>17859</v>
      </c>
      <c r="D3603" s="1" t="s">
        <v>212</v>
      </c>
      <c r="E3603" s="1" t="s">
        <v>6</v>
      </c>
      <c r="F3603">
        <v>7</v>
      </c>
      <c r="G3603" s="1" t="str">
        <f>Ocupacao_DW[[#This Row],[data]]&amp;Ocupacao_DW[[#This Row],[profissional_id]]&amp;Ocupacao_DW[[#This Row],[local_id]]</f>
        <v>44643178597</v>
      </c>
      <c r="H3603" s="1">
        <f>_xlfn.XLOOKUP(Ocupacao_DW[[#This Row],[Concat]],Vagas!$H:$H,Vagas!$D:$D,"",0)</f>
        <v>0</v>
      </c>
    </row>
    <row r="3604" spans="1:8" x14ac:dyDescent="0.25">
      <c r="A3604" s="2">
        <v>44637</v>
      </c>
      <c r="B3604" s="1" t="s">
        <v>50</v>
      </c>
      <c r="C3604">
        <v>4814</v>
      </c>
      <c r="D3604" s="1" t="s">
        <v>189</v>
      </c>
      <c r="E3604" s="1" t="s">
        <v>5</v>
      </c>
      <c r="F3604">
        <v>14</v>
      </c>
      <c r="G3604" s="1" t="str">
        <f>Ocupacao_DW[[#This Row],[data]]&amp;Ocupacao_DW[[#This Row],[profissional_id]]&amp;Ocupacao_DW[[#This Row],[local_id]]</f>
        <v>44637481414</v>
      </c>
      <c r="H3604" s="1">
        <f>_xlfn.XLOOKUP(Ocupacao_DW[[#This Row],[Concat]],Vagas!$H:$H,Vagas!$D:$D,"",0)</f>
        <v>0</v>
      </c>
    </row>
    <row r="3605" spans="1:8" x14ac:dyDescent="0.25">
      <c r="A3605" s="2">
        <v>44637</v>
      </c>
      <c r="B3605" s="1" t="s">
        <v>62</v>
      </c>
      <c r="C3605">
        <v>3502</v>
      </c>
      <c r="D3605" s="1" t="s">
        <v>214</v>
      </c>
      <c r="E3605" s="1" t="s">
        <v>5</v>
      </c>
      <c r="F3605">
        <v>16</v>
      </c>
      <c r="G3605" s="1" t="str">
        <f>Ocupacao_DW[[#This Row],[data]]&amp;Ocupacao_DW[[#This Row],[profissional_id]]&amp;Ocupacao_DW[[#This Row],[local_id]]</f>
        <v>44637350216</v>
      </c>
      <c r="H3605" s="1">
        <f>_xlfn.XLOOKUP(Ocupacao_DW[[#This Row],[Concat]],Vagas!$H:$H,Vagas!$D:$D,"",0)</f>
        <v>0</v>
      </c>
    </row>
    <row r="3606" spans="1:8" x14ac:dyDescent="0.25">
      <c r="A3606" s="2">
        <v>44637</v>
      </c>
      <c r="B3606" s="1" t="s">
        <v>47</v>
      </c>
      <c r="C3606">
        <v>9111</v>
      </c>
      <c r="D3606" s="1" t="s">
        <v>206</v>
      </c>
      <c r="E3606" s="1" t="s">
        <v>4</v>
      </c>
      <c r="F3606">
        <v>334</v>
      </c>
      <c r="G3606" s="1" t="str">
        <f>Ocupacao_DW[[#This Row],[data]]&amp;Ocupacao_DW[[#This Row],[profissional_id]]&amp;Ocupacao_DW[[#This Row],[local_id]]</f>
        <v>446379111334</v>
      </c>
      <c r="H3606" s="1">
        <f>_xlfn.XLOOKUP(Ocupacao_DW[[#This Row],[Concat]],Vagas!$H:$H,Vagas!$D:$D,"",0)</f>
        <v>0</v>
      </c>
    </row>
    <row r="3607" spans="1:8" x14ac:dyDescent="0.25">
      <c r="A3607" s="2">
        <v>44653</v>
      </c>
      <c r="B3607" s="1" t="s">
        <v>62</v>
      </c>
      <c r="C3607">
        <v>4887</v>
      </c>
      <c r="D3607" s="1" t="s">
        <v>168</v>
      </c>
      <c r="E3607" s="1" t="s">
        <v>5</v>
      </c>
      <c r="F3607">
        <v>18</v>
      </c>
      <c r="G3607" s="1" t="str">
        <f>Ocupacao_DW[[#This Row],[data]]&amp;Ocupacao_DW[[#This Row],[profissional_id]]&amp;Ocupacao_DW[[#This Row],[local_id]]</f>
        <v>44653488718</v>
      </c>
      <c r="H3607" s="1">
        <f>_xlfn.XLOOKUP(Ocupacao_DW[[#This Row],[Concat]],Vagas!$H:$H,Vagas!$D:$D,"",0)</f>
        <v>0</v>
      </c>
    </row>
    <row r="3608" spans="1:8" x14ac:dyDescent="0.25">
      <c r="A3608" s="2">
        <v>44637</v>
      </c>
      <c r="B3608" s="1" t="s">
        <v>47</v>
      </c>
      <c r="C3608">
        <v>9111</v>
      </c>
      <c r="D3608" s="1" t="s">
        <v>206</v>
      </c>
      <c r="E3608" s="1" t="s">
        <v>4</v>
      </c>
      <c r="F3608">
        <v>334</v>
      </c>
      <c r="G3608" s="1" t="str">
        <f>Ocupacao_DW[[#This Row],[data]]&amp;Ocupacao_DW[[#This Row],[profissional_id]]&amp;Ocupacao_DW[[#This Row],[local_id]]</f>
        <v>446379111334</v>
      </c>
      <c r="H3608" s="1">
        <f>_xlfn.XLOOKUP(Ocupacao_DW[[#This Row],[Concat]],Vagas!$H:$H,Vagas!$D:$D,"",0)</f>
        <v>0</v>
      </c>
    </row>
    <row r="3609" spans="1:8" x14ac:dyDescent="0.25">
      <c r="A3609" s="2">
        <v>44650</v>
      </c>
      <c r="B3609" s="1" t="s">
        <v>51</v>
      </c>
      <c r="C3609">
        <v>12679</v>
      </c>
      <c r="D3609" s="1" t="s">
        <v>192</v>
      </c>
      <c r="E3609" s="1" t="s">
        <v>200</v>
      </c>
      <c r="F3609">
        <v>82</v>
      </c>
      <c r="G3609" s="1" t="str">
        <f>Ocupacao_DW[[#This Row],[data]]&amp;Ocupacao_DW[[#This Row],[profissional_id]]&amp;Ocupacao_DW[[#This Row],[local_id]]</f>
        <v>446501267982</v>
      </c>
      <c r="H3609" s="1">
        <f>_xlfn.XLOOKUP(Ocupacao_DW[[#This Row],[Concat]],Vagas!$H:$H,Vagas!$D:$D,"",0)</f>
        <v>15</v>
      </c>
    </row>
    <row r="3610" spans="1:8" x14ac:dyDescent="0.25">
      <c r="A3610" s="2">
        <v>44643</v>
      </c>
      <c r="B3610" s="1" t="s">
        <v>70</v>
      </c>
      <c r="C3610">
        <v>12825</v>
      </c>
      <c r="D3610" s="1" t="s">
        <v>177</v>
      </c>
      <c r="E3610" s="1" t="s">
        <v>4</v>
      </c>
      <c r="F3610">
        <v>45</v>
      </c>
      <c r="G3610" s="1" t="str">
        <f>Ocupacao_DW[[#This Row],[data]]&amp;Ocupacao_DW[[#This Row],[profissional_id]]&amp;Ocupacao_DW[[#This Row],[local_id]]</f>
        <v>446431282545</v>
      </c>
      <c r="H3610" s="1">
        <f>_xlfn.XLOOKUP(Ocupacao_DW[[#This Row],[Concat]],Vagas!$H:$H,Vagas!$D:$D,"",0)</f>
        <v>0</v>
      </c>
    </row>
    <row r="3611" spans="1:8" x14ac:dyDescent="0.25">
      <c r="A3611" s="2">
        <v>44637</v>
      </c>
      <c r="B3611" s="1" t="s">
        <v>42</v>
      </c>
      <c r="C3611">
        <v>17902</v>
      </c>
      <c r="D3611" s="1" t="s">
        <v>264</v>
      </c>
      <c r="E3611" s="1" t="s">
        <v>4</v>
      </c>
      <c r="F3611">
        <v>39</v>
      </c>
      <c r="G3611" s="1" t="str">
        <f>Ocupacao_DW[[#This Row],[data]]&amp;Ocupacao_DW[[#This Row],[profissional_id]]&amp;Ocupacao_DW[[#This Row],[local_id]]</f>
        <v>446371790239</v>
      </c>
      <c r="H3611" s="1">
        <f>_xlfn.XLOOKUP(Ocupacao_DW[[#This Row],[Concat]],Vagas!$H:$H,Vagas!$D:$D,"",0)</f>
        <v>47</v>
      </c>
    </row>
    <row r="3612" spans="1:8" x14ac:dyDescent="0.25">
      <c r="A3612" s="2">
        <v>44635</v>
      </c>
      <c r="B3612" s="1"/>
      <c r="C3612">
        <v>17893</v>
      </c>
      <c r="D3612" s="1" t="s">
        <v>275</v>
      </c>
      <c r="E3612" s="1" t="s">
        <v>6</v>
      </c>
      <c r="F3612">
        <v>4</v>
      </c>
      <c r="G3612" s="1" t="str">
        <f>Ocupacao_DW[[#This Row],[data]]&amp;Ocupacao_DW[[#This Row],[profissional_id]]&amp;Ocupacao_DW[[#This Row],[local_id]]</f>
        <v>44635178934</v>
      </c>
      <c r="H3612" s="1">
        <f>_xlfn.XLOOKUP(Ocupacao_DW[[#This Row],[Concat]],Vagas!$H:$H,Vagas!$D:$D,"",0)</f>
        <v>5</v>
      </c>
    </row>
    <row r="3613" spans="1:8" x14ac:dyDescent="0.25">
      <c r="A3613" s="2">
        <v>44641</v>
      </c>
      <c r="B3613" s="1" t="s">
        <v>52</v>
      </c>
      <c r="C3613">
        <v>10691</v>
      </c>
      <c r="D3613" s="1" t="s">
        <v>181</v>
      </c>
      <c r="E3613" s="1" t="s">
        <v>6</v>
      </c>
      <c r="F3613">
        <v>9</v>
      </c>
      <c r="G3613" s="1" t="str">
        <f>Ocupacao_DW[[#This Row],[data]]&amp;Ocupacao_DW[[#This Row],[profissional_id]]&amp;Ocupacao_DW[[#This Row],[local_id]]</f>
        <v>44641106919</v>
      </c>
      <c r="H3613" s="1">
        <f>_xlfn.XLOOKUP(Ocupacao_DW[[#This Row],[Concat]],Vagas!$H:$H,Vagas!$D:$D,"",0)</f>
        <v>0</v>
      </c>
    </row>
    <row r="3614" spans="1:8" x14ac:dyDescent="0.25">
      <c r="A3614" s="2">
        <v>44636</v>
      </c>
      <c r="B3614" s="1" t="s">
        <v>64</v>
      </c>
      <c r="C3614">
        <v>531</v>
      </c>
      <c r="D3614" s="1" t="s">
        <v>213</v>
      </c>
      <c r="E3614" s="1" t="s">
        <v>5</v>
      </c>
      <c r="F3614">
        <v>12</v>
      </c>
      <c r="G3614" s="1" t="str">
        <f>Ocupacao_DW[[#This Row],[data]]&amp;Ocupacao_DW[[#This Row],[profissional_id]]&amp;Ocupacao_DW[[#This Row],[local_id]]</f>
        <v>4463653112</v>
      </c>
      <c r="H3614" s="1">
        <f>_xlfn.XLOOKUP(Ocupacao_DW[[#This Row],[Concat]],Vagas!$H:$H,Vagas!$D:$D,"",0)</f>
        <v>0</v>
      </c>
    </row>
    <row r="3615" spans="1:8" x14ac:dyDescent="0.25">
      <c r="A3615" s="2">
        <v>44657</v>
      </c>
      <c r="B3615" s="1" t="s">
        <v>55</v>
      </c>
      <c r="C3615">
        <v>73</v>
      </c>
      <c r="D3615" s="1" t="s">
        <v>171</v>
      </c>
      <c r="E3615" s="1" t="s">
        <v>6</v>
      </c>
      <c r="F3615">
        <v>5</v>
      </c>
      <c r="G3615" s="1" t="str">
        <f>Ocupacao_DW[[#This Row],[data]]&amp;Ocupacao_DW[[#This Row],[profissional_id]]&amp;Ocupacao_DW[[#This Row],[local_id]]</f>
        <v>44657735</v>
      </c>
      <c r="H3615" s="1">
        <f>_xlfn.XLOOKUP(Ocupacao_DW[[#This Row],[Concat]],Vagas!$H:$H,Vagas!$D:$D,"",0)</f>
        <v>0</v>
      </c>
    </row>
    <row r="3616" spans="1:8" x14ac:dyDescent="0.25">
      <c r="A3616" s="2">
        <v>44635</v>
      </c>
      <c r="B3616" s="1" t="s">
        <v>65</v>
      </c>
      <c r="C3616">
        <v>11237</v>
      </c>
      <c r="D3616" s="1" t="s">
        <v>229</v>
      </c>
      <c r="E3616" s="1" t="s">
        <v>4</v>
      </c>
      <c r="F3616">
        <v>46</v>
      </c>
      <c r="G3616" s="1" t="str">
        <f>Ocupacao_DW[[#This Row],[data]]&amp;Ocupacao_DW[[#This Row],[profissional_id]]&amp;Ocupacao_DW[[#This Row],[local_id]]</f>
        <v>446351123746</v>
      </c>
      <c r="H3616" s="1">
        <f>_xlfn.XLOOKUP(Ocupacao_DW[[#This Row],[Concat]],Vagas!$H:$H,Vagas!$D:$D,"",0)</f>
        <v>0</v>
      </c>
    </row>
    <row r="3617" spans="1:8" x14ac:dyDescent="0.25">
      <c r="A3617" s="2">
        <v>44636</v>
      </c>
      <c r="B3617" s="1" t="s">
        <v>62</v>
      </c>
      <c r="C3617">
        <v>3502</v>
      </c>
      <c r="D3617" s="1" t="s">
        <v>214</v>
      </c>
      <c r="E3617" s="1" t="s">
        <v>5</v>
      </c>
      <c r="F3617">
        <v>16</v>
      </c>
      <c r="G3617" s="1" t="str">
        <f>Ocupacao_DW[[#This Row],[data]]&amp;Ocupacao_DW[[#This Row],[profissional_id]]&amp;Ocupacao_DW[[#This Row],[local_id]]</f>
        <v>44636350216</v>
      </c>
      <c r="H3617" s="1">
        <f>_xlfn.XLOOKUP(Ocupacao_DW[[#This Row],[Concat]],Vagas!$H:$H,Vagas!$D:$D,"",0)</f>
        <v>0</v>
      </c>
    </row>
    <row r="3618" spans="1:8" x14ac:dyDescent="0.25">
      <c r="A3618" s="2">
        <v>44638</v>
      </c>
      <c r="B3618" s="1" t="s">
        <v>49</v>
      </c>
      <c r="C3618">
        <v>81</v>
      </c>
      <c r="D3618" s="1" t="s">
        <v>170</v>
      </c>
      <c r="E3618" s="1" t="s">
        <v>4</v>
      </c>
      <c r="F3618">
        <v>41</v>
      </c>
      <c r="G3618" s="1" t="str">
        <f>Ocupacao_DW[[#This Row],[data]]&amp;Ocupacao_DW[[#This Row],[profissional_id]]&amp;Ocupacao_DW[[#This Row],[local_id]]</f>
        <v>446388141</v>
      </c>
      <c r="H3618" s="1">
        <f>_xlfn.XLOOKUP(Ocupacao_DW[[#This Row],[Concat]],Vagas!$H:$H,Vagas!$D:$D,"",0)</f>
        <v>0</v>
      </c>
    </row>
    <row r="3619" spans="1:8" x14ac:dyDescent="0.25">
      <c r="A3619" s="2">
        <v>44638</v>
      </c>
      <c r="B3619" s="1" t="s">
        <v>49</v>
      </c>
      <c r="C3619">
        <v>81</v>
      </c>
      <c r="D3619" s="1" t="s">
        <v>170</v>
      </c>
      <c r="E3619" s="1" t="s">
        <v>4</v>
      </c>
      <c r="F3619">
        <v>41</v>
      </c>
      <c r="G3619" s="1" t="str">
        <f>Ocupacao_DW[[#This Row],[data]]&amp;Ocupacao_DW[[#This Row],[profissional_id]]&amp;Ocupacao_DW[[#This Row],[local_id]]</f>
        <v>446388141</v>
      </c>
      <c r="H3619" s="1">
        <f>_xlfn.XLOOKUP(Ocupacao_DW[[#This Row],[Concat]],Vagas!$H:$H,Vagas!$D:$D,"",0)</f>
        <v>0</v>
      </c>
    </row>
    <row r="3620" spans="1:8" x14ac:dyDescent="0.25">
      <c r="A3620" s="2">
        <v>44650</v>
      </c>
      <c r="B3620" s="1" t="s">
        <v>43</v>
      </c>
      <c r="C3620">
        <v>2396</v>
      </c>
      <c r="D3620" s="1" t="s">
        <v>197</v>
      </c>
      <c r="E3620" s="1" t="s">
        <v>6</v>
      </c>
      <c r="F3620">
        <v>2</v>
      </c>
      <c r="G3620" s="1" t="str">
        <f>Ocupacao_DW[[#This Row],[data]]&amp;Ocupacao_DW[[#This Row],[profissional_id]]&amp;Ocupacao_DW[[#This Row],[local_id]]</f>
        <v>4465023962</v>
      </c>
      <c r="H3620" s="1">
        <f>_xlfn.XLOOKUP(Ocupacao_DW[[#This Row],[Concat]],Vagas!$H:$H,Vagas!$D:$D,"",0)</f>
        <v>0</v>
      </c>
    </row>
    <row r="3621" spans="1:8" x14ac:dyDescent="0.25">
      <c r="A3621" s="2">
        <v>44646</v>
      </c>
      <c r="B3621" s="1" t="s">
        <v>47</v>
      </c>
      <c r="C3621">
        <v>111</v>
      </c>
      <c r="D3621" s="1" t="s">
        <v>199</v>
      </c>
      <c r="E3621" s="1" t="s">
        <v>4</v>
      </c>
      <c r="F3621">
        <v>51</v>
      </c>
      <c r="G3621" s="1" t="str">
        <f>Ocupacao_DW[[#This Row],[data]]&amp;Ocupacao_DW[[#This Row],[profissional_id]]&amp;Ocupacao_DW[[#This Row],[local_id]]</f>
        <v>4464611151</v>
      </c>
      <c r="H3621" s="1">
        <f>_xlfn.XLOOKUP(Ocupacao_DW[[#This Row],[Concat]],Vagas!$H:$H,Vagas!$D:$D,"",0)</f>
        <v>31</v>
      </c>
    </row>
    <row r="3622" spans="1:8" x14ac:dyDescent="0.25">
      <c r="A3622" s="2">
        <v>44636</v>
      </c>
      <c r="B3622" s="1" t="s">
        <v>62</v>
      </c>
      <c r="C3622">
        <v>3502</v>
      </c>
      <c r="D3622" s="1" t="s">
        <v>214</v>
      </c>
      <c r="E3622" s="1" t="s">
        <v>5</v>
      </c>
      <c r="F3622">
        <v>16</v>
      </c>
      <c r="G3622" s="1" t="str">
        <f>Ocupacao_DW[[#This Row],[data]]&amp;Ocupacao_DW[[#This Row],[profissional_id]]&amp;Ocupacao_DW[[#This Row],[local_id]]</f>
        <v>44636350216</v>
      </c>
      <c r="H3622" s="1">
        <f>_xlfn.XLOOKUP(Ocupacao_DW[[#This Row],[Concat]],Vagas!$H:$H,Vagas!$D:$D,"",0)</f>
        <v>0</v>
      </c>
    </row>
    <row r="3623" spans="1:8" x14ac:dyDescent="0.25">
      <c r="A3623" s="2">
        <v>44635</v>
      </c>
      <c r="B3623" s="1" t="s">
        <v>55</v>
      </c>
      <c r="C3623">
        <v>14452</v>
      </c>
      <c r="D3623" s="1" t="s">
        <v>266</v>
      </c>
      <c r="E3623" s="1" t="s">
        <v>200</v>
      </c>
      <c r="F3623">
        <v>78</v>
      </c>
      <c r="G3623" s="1" t="str">
        <f>Ocupacao_DW[[#This Row],[data]]&amp;Ocupacao_DW[[#This Row],[profissional_id]]&amp;Ocupacao_DW[[#This Row],[local_id]]</f>
        <v>446351445278</v>
      </c>
      <c r="H3623" s="1">
        <f>_xlfn.XLOOKUP(Ocupacao_DW[[#This Row],[Concat]],Vagas!$H:$H,Vagas!$D:$D,"",0)</f>
        <v>0</v>
      </c>
    </row>
    <row r="3624" spans="1:8" x14ac:dyDescent="0.25">
      <c r="A3624" s="2">
        <v>44641</v>
      </c>
      <c r="B3624" s="1" t="s">
        <v>52</v>
      </c>
      <c r="C3624">
        <v>10595</v>
      </c>
      <c r="D3624" s="1" t="s">
        <v>218</v>
      </c>
      <c r="E3624" s="1" t="s">
        <v>200</v>
      </c>
      <c r="F3624">
        <v>78</v>
      </c>
      <c r="G3624" s="1" t="str">
        <f>Ocupacao_DW[[#This Row],[data]]&amp;Ocupacao_DW[[#This Row],[profissional_id]]&amp;Ocupacao_DW[[#This Row],[local_id]]</f>
        <v>446411059578</v>
      </c>
      <c r="H3624" s="1">
        <f>_xlfn.XLOOKUP(Ocupacao_DW[[#This Row],[Concat]],Vagas!$H:$H,Vagas!$D:$D,"",0)</f>
        <v>0</v>
      </c>
    </row>
    <row r="3625" spans="1:8" x14ac:dyDescent="0.25">
      <c r="A3625" s="2">
        <v>44639</v>
      </c>
      <c r="B3625" s="1" t="s">
        <v>47</v>
      </c>
      <c r="C3625">
        <v>111</v>
      </c>
      <c r="D3625" s="1" t="s">
        <v>199</v>
      </c>
      <c r="E3625" s="1" t="s">
        <v>4</v>
      </c>
      <c r="F3625">
        <v>51</v>
      </c>
      <c r="G3625" s="1" t="str">
        <f>Ocupacao_DW[[#This Row],[data]]&amp;Ocupacao_DW[[#This Row],[profissional_id]]&amp;Ocupacao_DW[[#This Row],[local_id]]</f>
        <v>4463911151</v>
      </c>
      <c r="H3625" s="1">
        <f>_xlfn.XLOOKUP(Ocupacao_DW[[#This Row],[Concat]],Vagas!$H:$H,Vagas!$D:$D,"",0)</f>
        <v>0</v>
      </c>
    </row>
    <row r="3626" spans="1:8" x14ac:dyDescent="0.25">
      <c r="A3626" s="2">
        <v>44643</v>
      </c>
      <c r="B3626" s="1" t="s">
        <v>24</v>
      </c>
      <c r="C3626">
        <v>13061</v>
      </c>
      <c r="D3626" s="1" t="s">
        <v>232</v>
      </c>
      <c r="E3626" s="1" t="s">
        <v>6</v>
      </c>
      <c r="F3626">
        <v>3</v>
      </c>
      <c r="G3626" s="1" t="str">
        <f>Ocupacao_DW[[#This Row],[data]]&amp;Ocupacao_DW[[#This Row],[profissional_id]]&amp;Ocupacao_DW[[#This Row],[local_id]]</f>
        <v>44643130613</v>
      </c>
      <c r="H3626" s="1">
        <f>_xlfn.XLOOKUP(Ocupacao_DW[[#This Row],[Concat]],Vagas!$H:$H,Vagas!$D:$D,"",0)</f>
        <v>0</v>
      </c>
    </row>
    <row r="3627" spans="1:8" x14ac:dyDescent="0.25">
      <c r="A3627" s="2">
        <v>44639</v>
      </c>
      <c r="B3627" s="1"/>
      <c r="C3627">
        <v>0</v>
      </c>
      <c r="D3627" s="1"/>
      <c r="E3627" s="1" t="s">
        <v>4</v>
      </c>
      <c r="F3627">
        <v>39</v>
      </c>
      <c r="G3627" s="1" t="str">
        <f>Ocupacao_DW[[#This Row],[data]]&amp;Ocupacao_DW[[#This Row],[profissional_id]]&amp;Ocupacao_DW[[#This Row],[local_id]]</f>
        <v>44639039</v>
      </c>
      <c r="H3627" s="1" t="str">
        <f>_xlfn.XLOOKUP(Ocupacao_DW[[#This Row],[Concat]],Vagas!$H:$H,Vagas!$D:$D,"",0)</f>
        <v/>
      </c>
    </row>
    <row r="3628" spans="1:8" x14ac:dyDescent="0.25">
      <c r="A3628" s="2">
        <v>44637</v>
      </c>
      <c r="B3628" s="1" t="s">
        <v>47</v>
      </c>
      <c r="C3628">
        <v>9111</v>
      </c>
      <c r="D3628" s="1" t="s">
        <v>206</v>
      </c>
      <c r="E3628" s="1" t="s">
        <v>4</v>
      </c>
      <c r="F3628">
        <v>334</v>
      </c>
      <c r="G3628" s="1" t="str">
        <f>Ocupacao_DW[[#This Row],[data]]&amp;Ocupacao_DW[[#This Row],[profissional_id]]&amp;Ocupacao_DW[[#This Row],[local_id]]</f>
        <v>446379111334</v>
      </c>
      <c r="H3628" s="1">
        <f>_xlfn.XLOOKUP(Ocupacao_DW[[#This Row],[Concat]],Vagas!$H:$H,Vagas!$D:$D,"",0)</f>
        <v>0</v>
      </c>
    </row>
    <row r="3629" spans="1:8" x14ac:dyDescent="0.25">
      <c r="A3629" s="2">
        <v>44637</v>
      </c>
      <c r="B3629" s="1" t="s">
        <v>73</v>
      </c>
      <c r="C3629">
        <v>10691</v>
      </c>
      <c r="D3629" s="1" t="s">
        <v>181</v>
      </c>
      <c r="E3629" s="1" t="s">
        <v>167</v>
      </c>
      <c r="F3629">
        <v>348</v>
      </c>
      <c r="G3629" s="1" t="str">
        <f>Ocupacao_DW[[#This Row],[data]]&amp;Ocupacao_DW[[#This Row],[profissional_id]]&amp;Ocupacao_DW[[#This Row],[local_id]]</f>
        <v>4463710691348</v>
      </c>
      <c r="H3629" s="1">
        <f>_xlfn.XLOOKUP(Ocupacao_DW[[#This Row],[Concat]],Vagas!$H:$H,Vagas!$D:$D,"",0)</f>
        <v>0</v>
      </c>
    </row>
    <row r="3630" spans="1:8" x14ac:dyDescent="0.25">
      <c r="A3630" s="2">
        <v>44639</v>
      </c>
      <c r="B3630" s="1" t="s">
        <v>47</v>
      </c>
      <c r="C3630">
        <v>111</v>
      </c>
      <c r="D3630" s="1" t="s">
        <v>199</v>
      </c>
      <c r="E3630" s="1" t="s">
        <v>4</v>
      </c>
      <c r="F3630">
        <v>51</v>
      </c>
      <c r="G3630" s="1" t="str">
        <f>Ocupacao_DW[[#This Row],[data]]&amp;Ocupacao_DW[[#This Row],[profissional_id]]&amp;Ocupacao_DW[[#This Row],[local_id]]</f>
        <v>4463911151</v>
      </c>
      <c r="H3630" s="1">
        <f>_xlfn.XLOOKUP(Ocupacao_DW[[#This Row],[Concat]],Vagas!$H:$H,Vagas!$D:$D,"",0)</f>
        <v>0</v>
      </c>
    </row>
    <row r="3631" spans="1:8" x14ac:dyDescent="0.25">
      <c r="A3631" s="2">
        <v>44642</v>
      </c>
      <c r="B3631" s="1" t="s">
        <v>65</v>
      </c>
      <c r="C3631">
        <v>11237</v>
      </c>
      <c r="D3631" s="1" t="s">
        <v>229</v>
      </c>
      <c r="E3631" s="1" t="s">
        <v>4</v>
      </c>
      <c r="F3631">
        <v>46</v>
      </c>
      <c r="G3631" s="1" t="str">
        <f>Ocupacao_DW[[#This Row],[data]]&amp;Ocupacao_DW[[#This Row],[profissional_id]]&amp;Ocupacao_DW[[#This Row],[local_id]]</f>
        <v>446421123746</v>
      </c>
      <c r="H3631" s="1">
        <f>_xlfn.XLOOKUP(Ocupacao_DW[[#This Row],[Concat]],Vagas!$H:$H,Vagas!$D:$D,"",0)</f>
        <v>0</v>
      </c>
    </row>
    <row r="3632" spans="1:8" x14ac:dyDescent="0.25">
      <c r="A3632" s="2">
        <v>44635</v>
      </c>
      <c r="B3632" s="1" t="s">
        <v>54</v>
      </c>
      <c r="C3632">
        <v>12623</v>
      </c>
      <c r="D3632" s="1" t="s">
        <v>258</v>
      </c>
      <c r="E3632" s="1" t="s">
        <v>5</v>
      </c>
      <c r="F3632">
        <v>11</v>
      </c>
      <c r="G3632" s="1" t="str">
        <f>Ocupacao_DW[[#This Row],[data]]&amp;Ocupacao_DW[[#This Row],[profissional_id]]&amp;Ocupacao_DW[[#This Row],[local_id]]</f>
        <v>446351262311</v>
      </c>
      <c r="H3632" s="1">
        <f>_xlfn.XLOOKUP(Ocupacao_DW[[#This Row],[Concat]],Vagas!$H:$H,Vagas!$D:$D,"",0)</f>
        <v>0</v>
      </c>
    </row>
    <row r="3633" spans="1:8" x14ac:dyDescent="0.25">
      <c r="A3633" s="2">
        <v>44636</v>
      </c>
      <c r="B3633" s="1" t="s">
        <v>65</v>
      </c>
      <c r="C3633">
        <v>13058</v>
      </c>
      <c r="D3633" s="1" t="s">
        <v>256</v>
      </c>
      <c r="E3633" s="1" t="s">
        <v>4</v>
      </c>
      <c r="F3633">
        <v>47</v>
      </c>
      <c r="G3633" s="1" t="str">
        <f>Ocupacao_DW[[#This Row],[data]]&amp;Ocupacao_DW[[#This Row],[profissional_id]]&amp;Ocupacao_DW[[#This Row],[local_id]]</f>
        <v>446361305847</v>
      </c>
      <c r="H3633" s="1">
        <f>_xlfn.XLOOKUP(Ocupacao_DW[[#This Row],[Concat]],Vagas!$H:$H,Vagas!$D:$D,"",0)</f>
        <v>0</v>
      </c>
    </row>
    <row r="3634" spans="1:8" x14ac:dyDescent="0.25">
      <c r="A3634" s="2">
        <v>44641</v>
      </c>
      <c r="B3634" s="1" t="s">
        <v>52</v>
      </c>
      <c r="C3634">
        <v>10691</v>
      </c>
      <c r="D3634" s="1" t="s">
        <v>181</v>
      </c>
      <c r="E3634" s="1" t="s">
        <v>6</v>
      </c>
      <c r="F3634">
        <v>9</v>
      </c>
      <c r="G3634" s="1" t="str">
        <f>Ocupacao_DW[[#This Row],[data]]&amp;Ocupacao_DW[[#This Row],[profissional_id]]&amp;Ocupacao_DW[[#This Row],[local_id]]</f>
        <v>44641106919</v>
      </c>
      <c r="H3634" s="1">
        <f>_xlfn.XLOOKUP(Ocupacao_DW[[#This Row],[Concat]],Vagas!$H:$H,Vagas!$D:$D,"",0)</f>
        <v>0</v>
      </c>
    </row>
    <row r="3635" spans="1:8" x14ac:dyDescent="0.25">
      <c r="A3635" s="2">
        <v>44636</v>
      </c>
      <c r="B3635" s="1" t="s">
        <v>56</v>
      </c>
      <c r="C3635">
        <v>5927</v>
      </c>
      <c r="D3635" s="1" t="s">
        <v>226</v>
      </c>
      <c r="E3635" s="1" t="s">
        <v>5</v>
      </c>
      <c r="F3635">
        <v>17</v>
      </c>
      <c r="G3635" s="1" t="str">
        <f>Ocupacao_DW[[#This Row],[data]]&amp;Ocupacao_DW[[#This Row],[profissional_id]]&amp;Ocupacao_DW[[#This Row],[local_id]]</f>
        <v>44636592717</v>
      </c>
      <c r="H3635" s="1">
        <f>_xlfn.XLOOKUP(Ocupacao_DW[[#This Row],[Concat]],Vagas!$H:$H,Vagas!$D:$D,"",0)</f>
        <v>0</v>
      </c>
    </row>
    <row r="3636" spans="1:8" x14ac:dyDescent="0.25">
      <c r="A3636" s="2">
        <v>44644</v>
      </c>
      <c r="B3636" s="1" t="s">
        <v>70</v>
      </c>
      <c r="C3636">
        <v>12519</v>
      </c>
      <c r="D3636" s="1" t="s">
        <v>176</v>
      </c>
      <c r="E3636" s="1" t="s">
        <v>4</v>
      </c>
      <c r="F3636">
        <v>42</v>
      </c>
      <c r="G3636" s="1" t="str">
        <f>Ocupacao_DW[[#This Row],[data]]&amp;Ocupacao_DW[[#This Row],[profissional_id]]&amp;Ocupacao_DW[[#This Row],[local_id]]</f>
        <v>446441251942</v>
      </c>
      <c r="H3636" s="1">
        <f>_xlfn.XLOOKUP(Ocupacao_DW[[#This Row],[Concat]],Vagas!$H:$H,Vagas!$D:$D,"",0)</f>
        <v>0</v>
      </c>
    </row>
    <row r="3637" spans="1:8" x14ac:dyDescent="0.25">
      <c r="A3637" s="2">
        <v>44635</v>
      </c>
      <c r="B3637" s="1" t="s">
        <v>70</v>
      </c>
      <c r="C3637">
        <v>12825</v>
      </c>
      <c r="D3637" s="1" t="s">
        <v>177</v>
      </c>
      <c r="E3637" s="1" t="s">
        <v>7</v>
      </c>
      <c r="F3637">
        <v>63</v>
      </c>
      <c r="G3637" s="1" t="str">
        <f>Ocupacao_DW[[#This Row],[data]]&amp;Ocupacao_DW[[#This Row],[profissional_id]]&amp;Ocupacao_DW[[#This Row],[local_id]]</f>
        <v>446351282563</v>
      </c>
      <c r="H3637" s="1">
        <f>_xlfn.XLOOKUP(Ocupacao_DW[[#This Row],[Concat]],Vagas!$H:$H,Vagas!$D:$D,"",0)</f>
        <v>0</v>
      </c>
    </row>
    <row r="3638" spans="1:8" x14ac:dyDescent="0.25">
      <c r="A3638" s="2">
        <v>44636</v>
      </c>
      <c r="B3638" s="1" t="s">
        <v>54</v>
      </c>
      <c r="C3638">
        <v>70</v>
      </c>
      <c r="D3638" s="1" t="s">
        <v>187</v>
      </c>
      <c r="E3638" s="1" t="s">
        <v>5</v>
      </c>
      <c r="F3638">
        <v>13</v>
      </c>
      <c r="G3638" s="1" t="str">
        <f>Ocupacao_DW[[#This Row],[data]]&amp;Ocupacao_DW[[#This Row],[profissional_id]]&amp;Ocupacao_DW[[#This Row],[local_id]]</f>
        <v>446367013</v>
      </c>
      <c r="H3638" s="1">
        <f>_xlfn.XLOOKUP(Ocupacao_DW[[#This Row],[Concat]],Vagas!$H:$H,Vagas!$D:$D,"",0)</f>
        <v>0</v>
      </c>
    </row>
    <row r="3639" spans="1:8" x14ac:dyDescent="0.25">
      <c r="A3639" s="2">
        <v>44637</v>
      </c>
      <c r="B3639" s="1" t="s">
        <v>62</v>
      </c>
      <c r="C3639">
        <v>2567</v>
      </c>
      <c r="D3639" s="1" t="s">
        <v>198</v>
      </c>
      <c r="E3639" s="1" t="s">
        <v>5</v>
      </c>
      <c r="F3639">
        <v>18</v>
      </c>
      <c r="G3639" s="1" t="str">
        <f>Ocupacao_DW[[#This Row],[data]]&amp;Ocupacao_DW[[#This Row],[profissional_id]]&amp;Ocupacao_DW[[#This Row],[local_id]]</f>
        <v>44637256718</v>
      </c>
      <c r="H3639" s="1">
        <f>_xlfn.XLOOKUP(Ocupacao_DW[[#This Row],[Concat]],Vagas!$H:$H,Vagas!$D:$D,"",0)</f>
        <v>0</v>
      </c>
    </row>
    <row r="3640" spans="1:8" x14ac:dyDescent="0.25">
      <c r="A3640" s="2">
        <v>44636</v>
      </c>
      <c r="B3640" s="1" t="s">
        <v>62</v>
      </c>
      <c r="C3640">
        <v>10799</v>
      </c>
      <c r="D3640" s="1" t="s">
        <v>204</v>
      </c>
      <c r="E3640" s="1" t="s">
        <v>5</v>
      </c>
      <c r="F3640">
        <v>18</v>
      </c>
      <c r="G3640" s="1" t="str">
        <f>Ocupacao_DW[[#This Row],[data]]&amp;Ocupacao_DW[[#This Row],[profissional_id]]&amp;Ocupacao_DW[[#This Row],[local_id]]</f>
        <v>446361079918</v>
      </c>
      <c r="H3640" s="1">
        <f>_xlfn.XLOOKUP(Ocupacao_DW[[#This Row],[Concat]],Vagas!$H:$H,Vagas!$D:$D,"",0)</f>
        <v>0</v>
      </c>
    </row>
    <row r="3641" spans="1:8" x14ac:dyDescent="0.25">
      <c r="A3641" s="2">
        <v>44636</v>
      </c>
      <c r="B3641" s="1" t="s">
        <v>49</v>
      </c>
      <c r="C3641">
        <v>81</v>
      </c>
      <c r="D3641" s="1" t="s">
        <v>170</v>
      </c>
      <c r="E3641" s="1" t="s">
        <v>4</v>
      </c>
      <c r="F3641">
        <v>41</v>
      </c>
      <c r="G3641" s="1" t="str">
        <f>Ocupacao_DW[[#This Row],[data]]&amp;Ocupacao_DW[[#This Row],[profissional_id]]&amp;Ocupacao_DW[[#This Row],[local_id]]</f>
        <v>446368141</v>
      </c>
      <c r="H3641" s="1">
        <f>_xlfn.XLOOKUP(Ocupacao_DW[[#This Row],[Concat]],Vagas!$H:$H,Vagas!$D:$D,"",0)</f>
        <v>0</v>
      </c>
    </row>
    <row r="3642" spans="1:8" x14ac:dyDescent="0.25">
      <c r="A3642" s="2">
        <v>44636</v>
      </c>
      <c r="B3642" s="1" t="s">
        <v>72</v>
      </c>
      <c r="C3642">
        <v>1794</v>
      </c>
      <c r="D3642" s="1" t="s">
        <v>235</v>
      </c>
      <c r="E3642" s="1" t="s">
        <v>4</v>
      </c>
      <c r="F3642">
        <v>49</v>
      </c>
      <c r="G3642" s="1" t="str">
        <f>Ocupacao_DW[[#This Row],[data]]&amp;Ocupacao_DW[[#This Row],[profissional_id]]&amp;Ocupacao_DW[[#This Row],[local_id]]</f>
        <v>44636179449</v>
      </c>
      <c r="H3642" s="1">
        <f>_xlfn.XLOOKUP(Ocupacao_DW[[#This Row],[Concat]],Vagas!$H:$H,Vagas!$D:$D,"",0)</f>
        <v>0</v>
      </c>
    </row>
    <row r="3643" spans="1:8" x14ac:dyDescent="0.25">
      <c r="A3643" s="2">
        <v>44636</v>
      </c>
      <c r="B3643" s="1" t="s">
        <v>54</v>
      </c>
      <c r="C3643">
        <v>70</v>
      </c>
      <c r="D3643" s="1" t="s">
        <v>187</v>
      </c>
      <c r="E3643" s="1" t="s">
        <v>5</v>
      </c>
      <c r="F3643">
        <v>13</v>
      </c>
      <c r="G3643" s="1" t="str">
        <f>Ocupacao_DW[[#This Row],[data]]&amp;Ocupacao_DW[[#This Row],[profissional_id]]&amp;Ocupacao_DW[[#This Row],[local_id]]</f>
        <v>446367013</v>
      </c>
      <c r="H3643" s="1">
        <f>_xlfn.XLOOKUP(Ocupacao_DW[[#This Row],[Concat]],Vagas!$H:$H,Vagas!$D:$D,"",0)</f>
        <v>0</v>
      </c>
    </row>
    <row r="3644" spans="1:8" x14ac:dyDescent="0.25">
      <c r="A3644" s="2">
        <v>44636</v>
      </c>
      <c r="B3644" s="1" t="s">
        <v>47</v>
      </c>
      <c r="C3644">
        <v>111</v>
      </c>
      <c r="D3644" s="1" t="s">
        <v>199</v>
      </c>
      <c r="E3644" s="1" t="s">
        <v>4</v>
      </c>
      <c r="F3644">
        <v>51</v>
      </c>
      <c r="G3644" s="1" t="str">
        <f>Ocupacao_DW[[#This Row],[data]]&amp;Ocupacao_DW[[#This Row],[profissional_id]]&amp;Ocupacao_DW[[#This Row],[local_id]]</f>
        <v>4463611151</v>
      </c>
      <c r="H3644" s="1">
        <f>_xlfn.XLOOKUP(Ocupacao_DW[[#This Row],[Concat]],Vagas!$H:$H,Vagas!$D:$D,"",0)</f>
        <v>1</v>
      </c>
    </row>
    <row r="3645" spans="1:8" x14ac:dyDescent="0.25">
      <c r="A3645" s="2">
        <v>44642</v>
      </c>
      <c r="B3645" s="1" t="s">
        <v>43</v>
      </c>
      <c r="C3645">
        <v>57</v>
      </c>
      <c r="D3645" s="1" t="s">
        <v>169</v>
      </c>
      <c r="E3645" s="1" t="s">
        <v>6</v>
      </c>
      <c r="F3645">
        <v>2</v>
      </c>
      <c r="G3645" s="1" t="str">
        <f>Ocupacao_DW[[#This Row],[data]]&amp;Ocupacao_DW[[#This Row],[profissional_id]]&amp;Ocupacao_DW[[#This Row],[local_id]]</f>
        <v>44642572</v>
      </c>
      <c r="H3645" s="1">
        <f>_xlfn.XLOOKUP(Ocupacao_DW[[#This Row],[Concat]],Vagas!$H:$H,Vagas!$D:$D,"",0)</f>
        <v>19</v>
      </c>
    </row>
    <row r="3646" spans="1:8" x14ac:dyDescent="0.25">
      <c r="A3646" s="2">
        <v>44638</v>
      </c>
      <c r="B3646" s="1" t="s">
        <v>72</v>
      </c>
      <c r="C3646">
        <v>13479</v>
      </c>
      <c r="D3646" s="1" t="s">
        <v>203</v>
      </c>
      <c r="E3646" s="1" t="s">
        <v>200</v>
      </c>
      <c r="F3646">
        <v>83</v>
      </c>
      <c r="G3646" s="1" t="str">
        <f>Ocupacao_DW[[#This Row],[data]]&amp;Ocupacao_DW[[#This Row],[profissional_id]]&amp;Ocupacao_DW[[#This Row],[local_id]]</f>
        <v>446381347983</v>
      </c>
      <c r="H3646" s="1">
        <f>_xlfn.XLOOKUP(Ocupacao_DW[[#This Row],[Concat]],Vagas!$H:$H,Vagas!$D:$D,"",0)</f>
        <v>0</v>
      </c>
    </row>
    <row r="3647" spans="1:8" x14ac:dyDescent="0.25">
      <c r="A3647" s="2">
        <v>44637</v>
      </c>
      <c r="B3647" s="1" t="s">
        <v>47</v>
      </c>
      <c r="C3647">
        <v>9111</v>
      </c>
      <c r="D3647" s="1" t="s">
        <v>206</v>
      </c>
      <c r="E3647" s="1" t="s">
        <v>4</v>
      </c>
      <c r="F3647">
        <v>334</v>
      </c>
      <c r="G3647" s="1" t="str">
        <f>Ocupacao_DW[[#This Row],[data]]&amp;Ocupacao_DW[[#This Row],[profissional_id]]&amp;Ocupacao_DW[[#This Row],[local_id]]</f>
        <v>446379111334</v>
      </c>
      <c r="H3647" s="1">
        <f>_xlfn.XLOOKUP(Ocupacao_DW[[#This Row],[Concat]],Vagas!$H:$H,Vagas!$D:$D,"",0)</f>
        <v>0</v>
      </c>
    </row>
    <row r="3648" spans="1:8" x14ac:dyDescent="0.25">
      <c r="A3648" s="2">
        <v>44636</v>
      </c>
      <c r="B3648" s="1" t="s">
        <v>65</v>
      </c>
      <c r="C3648">
        <v>13058</v>
      </c>
      <c r="D3648" s="1" t="s">
        <v>256</v>
      </c>
      <c r="E3648" s="1" t="s">
        <v>4</v>
      </c>
      <c r="F3648">
        <v>47</v>
      </c>
      <c r="G3648" s="1" t="str">
        <f>Ocupacao_DW[[#This Row],[data]]&amp;Ocupacao_DW[[#This Row],[profissional_id]]&amp;Ocupacao_DW[[#This Row],[local_id]]</f>
        <v>446361305847</v>
      </c>
      <c r="H3648" s="1">
        <f>_xlfn.XLOOKUP(Ocupacao_DW[[#This Row],[Concat]],Vagas!$H:$H,Vagas!$D:$D,"",0)</f>
        <v>0</v>
      </c>
    </row>
    <row r="3649" spans="1:8" x14ac:dyDescent="0.25">
      <c r="A3649" s="2">
        <v>44637</v>
      </c>
      <c r="B3649" s="1" t="s">
        <v>49</v>
      </c>
      <c r="C3649">
        <v>266</v>
      </c>
      <c r="D3649" s="1" t="s">
        <v>201</v>
      </c>
      <c r="E3649" s="1" t="s">
        <v>4</v>
      </c>
      <c r="F3649">
        <v>42</v>
      </c>
      <c r="G3649" s="1" t="str">
        <f>Ocupacao_DW[[#This Row],[data]]&amp;Ocupacao_DW[[#This Row],[profissional_id]]&amp;Ocupacao_DW[[#This Row],[local_id]]</f>
        <v>4463726642</v>
      </c>
      <c r="H3649" s="1">
        <f>_xlfn.XLOOKUP(Ocupacao_DW[[#This Row],[Concat]],Vagas!$H:$H,Vagas!$D:$D,"",0)</f>
        <v>0</v>
      </c>
    </row>
    <row r="3650" spans="1:8" x14ac:dyDescent="0.25">
      <c r="A3650" s="2">
        <v>44645</v>
      </c>
      <c r="B3650" s="1" t="s">
        <v>72</v>
      </c>
      <c r="C3650">
        <v>1794</v>
      </c>
      <c r="D3650" s="1" t="s">
        <v>235</v>
      </c>
      <c r="E3650" s="1" t="s">
        <v>4</v>
      </c>
      <c r="F3650">
        <v>46</v>
      </c>
      <c r="G3650" s="1" t="str">
        <f>Ocupacao_DW[[#This Row],[data]]&amp;Ocupacao_DW[[#This Row],[profissional_id]]&amp;Ocupacao_DW[[#This Row],[local_id]]</f>
        <v>44645179446</v>
      </c>
      <c r="H3650" s="1">
        <f>_xlfn.XLOOKUP(Ocupacao_DW[[#This Row],[Concat]],Vagas!$H:$H,Vagas!$D:$D,"",0)</f>
        <v>23</v>
      </c>
    </row>
    <row r="3651" spans="1:8" x14ac:dyDescent="0.25">
      <c r="A3651" s="2">
        <v>44636</v>
      </c>
      <c r="B3651" s="1" t="s">
        <v>47</v>
      </c>
      <c r="C3651">
        <v>110</v>
      </c>
      <c r="D3651" s="1" t="s">
        <v>193</v>
      </c>
      <c r="E3651" s="1" t="s">
        <v>4</v>
      </c>
      <c r="F3651">
        <v>334</v>
      </c>
      <c r="G3651" s="1" t="str">
        <f>Ocupacao_DW[[#This Row],[data]]&amp;Ocupacao_DW[[#This Row],[profissional_id]]&amp;Ocupacao_DW[[#This Row],[local_id]]</f>
        <v>44636110334</v>
      </c>
      <c r="H3651" s="1">
        <f>_xlfn.XLOOKUP(Ocupacao_DW[[#This Row],[Concat]],Vagas!$H:$H,Vagas!$D:$D,"",0)</f>
        <v>0</v>
      </c>
    </row>
    <row r="3652" spans="1:8" x14ac:dyDescent="0.25">
      <c r="A3652" s="2">
        <v>44636</v>
      </c>
      <c r="B3652" s="1" t="s">
        <v>62</v>
      </c>
      <c r="C3652">
        <v>2567</v>
      </c>
      <c r="D3652" s="1" t="s">
        <v>198</v>
      </c>
      <c r="E3652" s="1" t="s">
        <v>5</v>
      </c>
      <c r="F3652">
        <v>349</v>
      </c>
      <c r="G3652" s="1" t="str">
        <f>Ocupacao_DW[[#This Row],[data]]&amp;Ocupacao_DW[[#This Row],[profissional_id]]&amp;Ocupacao_DW[[#This Row],[local_id]]</f>
        <v>446362567349</v>
      </c>
      <c r="H3652" s="1">
        <f>_xlfn.XLOOKUP(Ocupacao_DW[[#This Row],[Concat]],Vagas!$H:$H,Vagas!$D:$D,"",0)</f>
        <v>0</v>
      </c>
    </row>
    <row r="3653" spans="1:8" x14ac:dyDescent="0.25">
      <c r="A3653" s="2">
        <v>44641</v>
      </c>
      <c r="B3653" s="1" t="s">
        <v>49</v>
      </c>
      <c r="C3653">
        <v>81</v>
      </c>
      <c r="D3653" s="1" t="s">
        <v>170</v>
      </c>
      <c r="E3653" s="1" t="s">
        <v>4</v>
      </c>
      <c r="F3653">
        <v>41</v>
      </c>
      <c r="G3653" s="1" t="str">
        <f>Ocupacao_DW[[#This Row],[data]]&amp;Ocupacao_DW[[#This Row],[profissional_id]]&amp;Ocupacao_DW[[#This Row],[local_id]]</f>
        <v>446418141</v>
      </c>
      <c r="H3653" s="1">
        <f>_xlfn.XLOOKUP(Ocupacao_DW[[#This Row],[Concat]],Vagas!$H:$H,Vagas!$D:$D,"",0)</f>
        <v>0</v>
      </c>
    </row>
    <row r="3654" spans="1:8" x14ac:dyDescent="0.25">
      <c r="A3654" s="2">
        <v>44638</v>
      </c>
      <c r="B3654" s="1" t="s">
        <v>69</v>
      </c>
      <c r="C3654">
        <v>13249</v>
      </c>
      <c r="D3654" s="1" t="s">
        <v>178</v>
      </c>
      <c r="E3654" s="1" t="s">
        <v>7</v>
      </c>
      <c r="F3654">
        <v>66</v>
      </c>
      <c r="G3654" s="1" t="str">
        <f>Ocupacao_DW[[#This Row],[data]]&amp;Ocupacao_DW[[#This Row],[profissional_id]]&amp;Ocupacao_DW[[#This Row],[local_id]]</f>
        <v>446381324966</v>
      </c>
      <c r="H3654" s="1">
        <f>_xlfn.XLOOKUP(Ocupacao_DW[[#This Row],[Concat]],Vagas!$H:$H,Vagas!$D:$D,"",0)</f>
        <v>0</v>
      </c>
    </row>
    <row r="3655" spans="1:8" x14ac:dyDescent="0.25">
      <c r="A3655" s="2">
        <v>44643</v>
      </c>
      <c r="B3655" s="1" t="s">
        <v>51</v>
      </c>
      <c r="C3655">
        <v>7551</v>
      </c>
      <c r="D3655" s="1" t="s">
        <v>246</v>
      </c>
      <c r="E3655" s="1" t="s">
        <v>5</v>
      </c>
      <c r="F3655">
        <v>15</v>
      </c>
      <c r="G3655" s="1" t="str">
        <f>Ocupacao_DW[[#This Row],[data]]&amp;Ocupacao_DW[[#This Row],[profissional_id]]&amp;Ocupacao_DW[[#This Row],[local_id]]</f>
        <v>44643755115</v>
      </c>
      <c r="H3655" s="1">
        <f>_xlfn.XLOOKUP(Ocupacao_DW[[#This Row],[Concat]],Vagas!$H:$H,Vagas!$D:$D,"",0)</f>
        <v>0</v>
      </c>
    </row>
    <row r="3656" spans="1:8" x14ac:dyDescent="0.25">
      <c r="A3656" s="2">
        <v>44636</v>
      </c>
      <c r="B3656" s="1" t="s">
        <v>52</v>
      </c>
      <c r="C3656">
        <v>60</v>
      </c>
      <c r="D3656" s="1" t="s">
        <v>217</v>
      </c>
      <c r="E3656" s="1" t="s">
        <v>167</v>
      </c>
      <c r="F3656">
        <v>346</v>
      </c>
      <c r="G3656" s="1" t="str">
        <f>Ocupacao_DW[[#This Row],[data]]&amp;Ocupacao_DW[[#This Row],[profissional_id]]&amp;Ocupacao_DW[[#This Row],[local_id]]</f>
        <v>4463660346</v>
      </c>
      <c r="H3656" s="1">
        <f>_xlfn.XLOOKUP(Ocupacao_DW[[#This Row],[Concat]],Vagas!$H:$H,Vagas!$D:$D,"",0)</f>
        <v>0</v>
      </c>
    </row>
    <row r="3657" spans="1:8" x14ac:dyDescent="0.25">
      <c r="A3657" s="2">
        <v>44635</v>
      </c>
      <c r="B3657" s="1" t="s">
        <v>73</v>
      </c>
      <c r="C3657">
        <v>17863</v>
      </c>
      <c r="D3657" s="1" t="s">
        <v>285</v>
      </c>
      <c r="E3657" s="1" t="s">
        <v>7</v>
      </c>
      <c r="F3657">
        <v>60</v>
      </c>
      <c r="G3657" s="1" t="str">
        <f>Ocupacao_DW[[#This Row],[data]]&amp;Ocupacao_DW[[#This Row],[profissional_id]]&amp;Ocupacao_DW[[#This Row],[local_id]]</f>
        <v>446351786360</v>
      </c>
      <c r="H3657" s="1">
        <f>_xlfn.XLOOKUP(Ocupacao_DW[[#This Row],[Concat]],Vagas!$H:$H,Vagas!$D:$D,"",0)</f>
        <v>57</v>
      </c>
    </row>
    <row r="3658" spans="1:8" x14ac:dyDescent="0.25">
      <c r="A3658" s="2">
        <v>44638</v>
      </c>
      <c r="B3658" s="1" t="s">
        <v>49</v>
      </c>
      <c r="C3658">
        <v>6430</v>
      </c>
      <c r="D3658" s="1" t="s">
        <v>188</v>
      </c>
      <c r="E3658" s="1" t="s">
        <v>4</v>
      </c>
      <c r="F3658">
        <v>42</v>
      </c>
      <c r="G3658" s="1" t="str">
        <f>Ocupacao_DW[[#This Row],[data]]&amp;Ocupacao_DW[[#This Row],[profissional_id]]&amp;Ocupacao_DW[[#This Row],[local_id]]</f>
        <v>44638643042</v>
      </c>
      <c r="H3658" s="1">
        <f>_xlfn.XLOOKUP(Ocupacao_DW[[#This Row],[Concat]],Vagas!$H:$H,Vagas!$D:$D,"",0)</f>
        <v>0</v>
      </c>
    </row>
    <row r="3659" spans="1:8" x14ac:dyDescent="0.25">
      <c r="A3659" s="2">
        <v>44644</v>
      </c>
      <c r="B3659" s="1" t="s">
        <v>70</v>
      </c>
      <c r="C3659">
        <v>12519</v>
      </c>
      <c r="D3659" s="1" t="s">
        <v>176</v>
      </c>
      <c r="E3659" s="1" t="s">
        <v>4</v>
      </c>
      <c r="F3659">
        <v>42</v>
      </c>
      <c r="G3659" s="1" t="str">
        <f>Ocupacao_DW[[#This Row],[data]]&amp;Ocupacao_DW[[#This Row],[profissional_id]]&amp;Ocupacao_DW[[#This Row],[local_id]]</f>
        <v>446441251942</v>
      </c>
      <c r="H3659" s="1">
        <f>_xlfn.XLOOKUP(Ocupacao_DW[[#This Row],[Concat]],Vagas!$H:$H,Vagas!$D:$D,"",0)</f>
        <v>0</v>
      </c>
    </row>
    <row r="3660" spans="1:8" x14ac:dyDescent="0.25">
      <c r="A3660" s="2">
        <v>44636</v>
      </c>
      <c r="B3660" s="1" t="s">
        <v>52</v>
      </c>
      <c r="C3660">
        <v>60</v>
      </c>
      <c r="D3660" s="1" t="s">
        <v>217</v>
      </c>
      <c r="E3660" s="1" t="s">
        <v>167</v>
      </c>
      <c r="F3660">
        <v>346</v>
      </c>
      <c r="G3660" s="1" t="str">
        <f>Ocupacao_DW[[#This Row],[data]]&amp;Ocupacao_DW[[#This Row],[profissional_id]]&amp;Ocupacao_DW[[#This Row],[local_id]]</f>
        <v>4463660346</v>
      </c>
      <c r="H3660" s="1">
        <f>_xlfn.XLOOKUP(Ocupacao_DW[[#This Row],[Concat]],Vagas!$H:$H,Vagas!$D:$D,"",0)</f>
        <v>0</v>
      </c>
    </row>
    <row r="3661" spans="1:8" x14ac:dyDescent="0.25">
      <c r="A3661" s="2">
        <v>44638</v>
      </c>
      <c r="B3661" s="1" t="s">
        <v>54</v>
      </c>
      <c r="C3661">
        <v>69</v>
      </c>
      <c r="D3661" s="1" t="s">
        <v>238</v>
      </c>
      <c r="E3661" s="1" t="s">
        <v>5</v>
      </c>
      <c r="F3661">
        <v>13</v>
      </c>
      <c r="G3661" s="1" t="str">
        <f>Ocupacao_DW[[#This Row],[data]]&amp;Ocupacao_DW[[#This Row],[profissional_id]]&amp;Ocupacao_DW[[#This Row],[local_id]]</f>
        <v>446386913</v>
      </c>
      <c r="H3661" s="1">
        <f>_xlfn.XLOOKUP(Ocupacao_DW[[#This Row],[Concat]],Vagas!$H:$H,Vagas!$D:$D,"",0)</f>
        <v>0</v>
      </c>
    </row>
    <row r="3662" spans="1:8" x14ac:dyDescent="0.25">
      <c r="A3662" s="2">
        <v>44637</v>
      </c>
      <c r="B3662" s="1" t="s">
        <v>47</v>
      </c>
      <c r="C3662">
        <v>17928</v>
      </c>
      <c r="D3662" s="1" t="s">
        <v>268</v>
      </c>
      <c r="E3662" s="1" t="s">
        <v>4</v>
      </c>
      <c r="F3662">
        <v>51</v>
      </c>
      <c r="G3662" s="1" t="str">
        <f>Ocupacao_DW[[#This Row],[data]]&amp;Ocupacao_DW[[#This Row],[profissional_id]]&amp;Ocupacao_DW[[#This Row],[local_id]]</f>
        <v>446371792851</v>
      </c>
      <c r="H3662" s="1">
        <f>_xlfn.XLOOKUP(Ocupacao_DW[[#This Row],[Concat]],Vagas!$H:$H,Vagas!$D:$D,"",0)</f>
        <v>13</v>
      </c>
    </row>
    <row r="3663" spans="1:8" x14ac:dyDescent="0.25">
      <c r="A3663" s="2">
        <v>44641</v>
      </c>
      <c r="B3663" s="1" t="s">
        <v>52</v>
      </c>
      <c r="C3663">
        <v>10946</v>
      </c>
      <c r="D3663" s="1" t="s">
        <v>209</v>
      </c>
      <c r="E3663" s="1" t="s">
        <v>6</v>
      </c>
      <c r="F3663">
        <v>3</v>
      </c>
      <c r="G3663" s="1" t="str">
        <f>Ocupacao_DW[[#This Row],[data]]&amp;Ocupacao_DW[[#This Row],[profissional_id]]&amp;Ocupacao_DW[[#This Row],[local_id]]</f>
        <v>44641109463</v>
      </c>
      <c r="H3663" s="1">
        <f>_xlfn.XLOOKUP(Ocupacao_DW[[#This Row],[Concat]],Vagas!$H:$H,Vagas!$D:$D,"",0)</f>
        <v>0</v>
      </c>
    </row>
    <row r="3664" spans="1:8" x14ac:dyDescent="0.25">
      <c r="A3664" s="2">
        <v>44641</v>
      </c>
      <c r="B3664" s="1" t="s">
        <v>54</v>
      </c>
      <c r="C3664">
        <v>10941</v>
      </c>
      <c r="D3664" s="1" t="s">
        <v>224</v>
      </c>
      <c r="E3664" s="1" t="s">
        <v>7</v>
      </c>
      <c r="F3664">
        <v>67</v>
      </c>
      <c r="G3664" s="1" t="str">
        <f>Ocupacao_DW[[#This Row],[data]]&amp;Ocupacao_DW[[#This Row],[profissional_id]]&amp;Ocupacao_DW[[#This Row],[local_id]]</f>
        <v>446411094167</v>
      </c>
      <c r="H3664" s="1">
        <f>_xlfn.XLOOKUP(Ocupacao_DW[[#This Row],[Concat]],Vagas!$H:$H,Vagas!$D:$D,"",0)</f>
        <v>0</v>
      </c>
    </row>
    <row r="3665" spans="1:8" x14ac:dyDescent="0.25">
      <c r="A3665" s="2">
        <v>44642</v>
      </c>
      <c r="B3665" s="1" t="s">
        <v>65</v>
      </c>
      <c r="C3665">
        <v>11652</v>
      </c>
      <c r="D3665" s="1" t="s">
        <v>242</v>
      </c>
      <c r="E3665" s="1" t="s">
        <v>4</v>
      </c>
      <c r="F3665">
        <v>47</v>
      </c>
      <c r="G3665" s="1" t="str">
        <f>Ocupacao_DW[[#This Row],[data]]&amp;Ocupacao_DW[[#This Row],[profissional_id]]&amp;Ocupacao_DW[[#This Row],[local_id]]</f>
        <v>446421165247</v>
      </c>
      <c r="H3665" s="1">
        <f>_xlfn.XLOOKUP(Ocupacao_DW[[#This Row],[Concat]],Vagas!$H:$H,Vagas!$D:$D,"",0)</f>
        <v>35</v>
      </c>
    </row>
    <row r="3666" spans="1:8" x14ac:dyDescent="0.25">
      <c r="A3666" s="2">
        <v>44637</v>
      </c>
      <c r="B3666" s="1" t="s">
        <v>46</v>
      </c>
      <c r="C3666">
        <v>17888</v>
      </c>
      <c r="D3666" s="1" t="s">
        <v>255</v>
      </c>
      <c r="E3666" s="1" t="s">
        <v>4</v>
      </c>
      <c r="F3666">
        <v>40</v>
      </c>
      <c r="G3666" s="1" t="str">
        <f>Ocupacao_DW[[#This Row],[data]]&amp;Ocupacao_DW[[#This Row],[profissional_id]]&amp;Ocupacao_DW[[#This Row],[local_id]]</f>
        <v>446371788840</v>
      </c>
      <c r="H3666" s="1">
        <f>_xlfn.XLOOKUP(Ocupacao_DW[[#This Row],[Concat]],Vagas!$H:$H,Vagas!$D:$D,"",0)</f>
        <v>20</v>
      </c>
    </row>
    <row r="3667" spans="1:8" x14ac:dyDescent="0.25">
      <c r="A3667" s="2">
        <v>44637</v>
      </c>
      <c r="B3667" s="1" t="s">
        <v>42</v>
      </c>
      <c r="C3667">
        <v>17902</v>
      </c>
      <c r="D3667" s="1" t="s">
        <v>264</v>
      </c>
      <c r="E3667" s="1" t="s">
        <v>4</v>
      </c>
      <c r="F3667">
        <v>39</v>
      </c>
      <c r="G3667" s="1" t="str">
        <f>Ocupacao_DW[[#This Row],[data]]&amp;Ocupacao_DW[[#This Row],[profissional_id]]&amp;Ocupacao_DW[[#This Row],[local_id]]</f>
        <v>446371790239</v>
      </c>
      <c r="H3667" s="1">
        <f>_xlfn.XLOOKUP(Ocupacao_DW[[#This Row],[Concat]],Vagas!$H:$H,Vagas!$D:$D,"",0)</f>
        <v>47</v>
      </c>
    </row>
    <row r="3668" spans="1:8" x14ac:dyDescent="0.25">
      <c r="A3668" s="2">
        <v>44638</v>
      </c>
      <c r="B3668" s="1" t="s">
        <v>56</v>
      </c>
      <c r="C3668">
        <v>13660</v>
      </c>
      <c r="D3668" s="1" t="s">
        <v>250</v>
      </c>
      <c r="E3668" s="1" t="s">
        <v>5</v>
      </c>
      <c r="F3668">
        <v>15</v>
      </c>
      <c r="G3668" s="1" t="str">
        <f>Ocupacao_DW[[#This Row],[data]]&amp;Ocupacao_DW[[#This Row],[profissional_id]]&amp;Ocupacao_DW[[#This Row],[local_id]]</f>
        <v>446381366015</v>
      </c>
      <c r="H3668" s="1">
        <f>_xlfn.XLOOKUP(Ocupacao_DW[[#This Row],[Concat]],Vagas!$H:$H,Vagas!$D:$D,"",0)</f>
        <v>0</v>
      </c>
    </row>
    <row r="3669" spans="1:8" x14ac:dyDescent="0.25">
      <c r="A3669" s="2">
        <v>44641</v>
      </c>
      <c r="B3669" s="1" t="s">
        <v>52</v>
      </c>
      <c r="C3669">
        <v>10691</v>
      </c>
      <c r="D3669" s="1" t="s">
        <v>181</v>
      </c>
      <c r="E3669" s="1" t="s">
        <v>6</v>
      </c>
      <c r="F3669">
        <v>9</v>
      </c>
      <c r="G3669" s="1" t="str">
        <f>Ocupacao_DW[[#This Row],[data]]&amp;Ocupacao_DW[[#This Row],[profissional_id]]&amp;Ocupacao_DW[[#This Row],[local_id]]</f>
        <v>44641106919</v>
      </c>
      <c r="H3669" s="1">
        <f>_xlfn.XLOOKUP(Ocupacao_DW[[#This Row],[Concat]],Vagas!$H:$H,Vagas!$D:$D,"",0)</f>
        <v>0</v>
      </c>
    </row>
    <row r="3670" spans="1:8" x14ac:dyDescent="0.25">
      <c r="A3670" s="2">
        <v>44635</v>
      </c>
      <c r="B3670" s="1" t="s">
        <v>47</v>
      </c>
      <c r="C3670">
        <v>12752</v>
      </c>
      <c r="D3670" s="1" t="s">
        <v>253</v>
      </c>
      <c r="E3670" s="1" t="s">
        <v>7</v>
      </c>
      <c r="F3670">
        <v>60</v>
      </c>
      <c r="G3670" s="1" t="str">
        <f>Ocupacao_DW[[#This Row],[data]]&amp;Ocupacao_DW[[#This Row],[profissional_id]]&amp;Ocupacao_DW[[#This Row],[local_id]]</f>
        <v>446351275260</v>
      </c>
      <c r="H3670" s="1">
        <f>_xlfn.XLOOKUP(Ocupacao_DW[[#This Row],[Concat]],Vagas!$H:$H,Vagas!$D:$D,"",0)</f>
        <v>0</v>
      </c>
    </row>
    <row r="3671" spans="1:8" x14ac:dyDescent="0.25">
      <c r="A3671" s="2">
        <v>44641</v>
      </c>
      <c r="B3671" s="1" t="s">
        <v>49</v>
      </c>
      <c r="C3671">
        <v>17918</v>
      </c>
      <c r="D3671" s="1" t="s">
        <v>265</v>
      </c>
      <c r="E3671" s="1" t="s">
        <v>4</v>
      </c>
      <c r="F3671">
        <v>42</v>
      </c>
      <c r="G3671" s="1" t="str">
        <f>Ocupacao_DW[[#This Row],[data]]&amp;Ocupacao_DW[[#This Row],[profissional_id]]&amp;Ocupacao_DW[[#This Row],[local_id]]</f>
        <v>446411791842</v>
      </c>
      <c r="H3671" s="1">
        <f>_xlfn.XLOOKUP(Ocupacao_DW[[#This Row],[Concat]],Vagas!$H:$H,Vagas!$D:$D,"",0)</f>
        <v>0</v>
      </c>
    </row>
    <row r="3672" spans="1:8" x14ac:dyDescent="0.25">
      <c r="A3672" s="2">
        <v>44636</v>
      </c>
      <c r="B3672" s="1" t="s">
        <v>65</v>
      </c>
      <c r="C3672">
        <v>13058</v>
      </c>
      <c r="D3672" s="1" t="s">
        <v>256</v>
      </c>
      <c r="E3672" s="1" t="s">
        <v>4</v>
      </c>
      <c r="F3672">
        <v>47</v>
      </c>
      <c r="G3672" s="1" t="str">
        <f>Ocupacao_DW[[#This Row],[data]]&amp;Ocupacao_DW[[#This Row],[profissional_id]]&amp;Ocupacao_DW[[#This Row],[local_id]]</f>
        <v>446361305847</v>
      </c>
      <c r="H3672" s="1">
        <f>_xlfn.XLOOKUP(Ocupacao_DW[[#This Row],[Concat]],Vagas!$H:$H,Vagas!$D:$D,"",0)</f>
        <v>0</v>
      </c>
    </row>
    <row r="3673" spans="1:8" x14ac:dyDescent="0.25">
      <c r="A3673" s="2">
        <v>44643</v>
      </c>
      <c r="B3673" s="1" t="s">
        <v>24</v>
      </c>
      <c r="C3673">
        <v>13061</v>
      </c>
      <c r="D3673" s="1" t="s">
        <v>232</v>
      </c>
      <c r="E3673" s="1" t="s">
        <v>6</v>
      </c>
      <c r="F3673">
        <v>3</v>
      </c>
      <c r="G3673" s="1" t="str">
        <f>Ocupacao_DW[[#This Row],[data]]&amp;Ocupacao_DW[[#This Row],[profissional_id]]&amp;Ocupacao_DW[[#This Row],[local_id]]</f>
        <v>44643130613</v>
      </c>
      <c r="H3673" s="1">
        <f>_xlfn.XLOOKUP(Ocupacao_DW[[#This Row],[Concat]],Vagas!$H:$H,Vagas!$D:$D,"",0)</f>
        <v>0</v>
      </c>
    </row>
    <row r="3674" spans="1:8" x14ac:dyDescent="0.25">
      <c r="A3674" s="2">
        <v>44644</v>
      </c>
      <c r="B3674" s="1" t="s">
        <v>51</v>
      </c>
      <c r="C3674">
        <v>53</v>
      </c>
      <c r="D3674" s="1" t="s">
        <v>254</v>
      </c>
      <c r="E3674" s="1" t="s">
        <v>5</v>
      </c>
      <c r="F3674">
        <v>14</v>
      </c>
      <c r="G3674" s="1" t="str">
        <f>Ocupacao_DW[[#This Row],[data]]&amp;Ocupacao_DW[[#This Row],[profissional_id]]&amp;Ocupacao_DW[[#This Row],[local_id]]</f>
        <v>446445314</v>
      </c>
      <c r="H3674" s="1">
        <f>_xlfn.XLOOKUP(Ocupacao_DW[[#This Row],[Concat]],Vagas!$H:$H,Vagas!$D:$D,"",0)</f>
        <v>0</v>
      </c>
    </row>
    <row r="3675" spans="1:8" x14ac:dyDescent="0.25">
      <c r="A3675" s="2">
        <v>44635</v>
      </c>
      <c r="B3675" s="1" t="s">
        <v>49</v>
      </c>
      <c r="C3675">
        <v>10600</v>
      </c>
      <c r="D3675" s="1" t="s">
        <v>248</v>
      </c>
      <c r="E3675" s="1" t="s">
        <v>200</v>
      </c>
      <c r="F3675">
        <v>86</v>
      </c>
      <c r="G3675" s="1" t="str">
        <f>Ocupacao_DW[[#This Row],[data]]&amp;Ocupacao_DW[[#This Row],[profissional_id]]&amp;Ocupacao_DW[[#This Row],[local_id]]</f>
        <v>446351060086</v>
      </c>
      <c r="H3675" s="1">
        <f>_xlfn.XLOOKUP(Ocupacao_DW[[#This Row],[Concat]],Vagas!$H:$H,Vagas!$D:$D,"",0)</f>
        <v>0</v>
      </c>
    </row>
    <row r="3676" spans="1:8" x14ac:dyDescent="0.25">
      <c r="A3676" s="2">
        <v>44638</v>
      </c>
      <c r="B3676" s="1" t="s">
        <v>47</v>
      </c>
      <c r="C3676">
        <v>9111</v>
      </c>
      <c r="D3676" s="1" t="s">
        <v>206</v>
      </c>
      <c r="E3676" s="1" t="s">
        <v>4</v>
      </c>
      <c r="F3676">
        <v>51</v>
      </c>
      <c r="G3676" s="1" t="str">
        <f>Ocupacao_DW[[#This Row],[data]]&amp;Ocupacao_DW[[#This Row],[profissional_id]]&amp;Ocupacao_DW[[#This Row],[local_id]]</f>
        <v>44638911151</v>
      </c>
      <c r="H3676" s="1">
        <f>_xlfn.XLOOKUP(Ocupacao_DW[[#This Row],[Concat]],Vagas!$H:$H,Vagas!$D:$D,"",0)</f>
        <v>0</v>
      </c>
    </row>
    <row r="3677" spans="1:8" x14ac:dyDescent="0.25">
      <c r="A3677" s="2">
        <v>44638</v>
      </c>
      <c r="B3677" s="1"/>
      <c r="C3677">
        <v>0</v>
      </c>
      <c r="D3677" s="1"/>
      <c r="E3677" s="1" t="s">
        <v>4</v>
      </c>
      <c r="F3677">
        <v>40</v>
      </c>
      <c r="G3677" s="1" t="str">
        <f>Ocupacao_DW[[#This Row],[data]]&amp;Ocupacao_DW[[#This Row],[profissional_id]]&amp;Ocupacao_DW[[#This Row],[local_id]]</f>
        <v>44638040</v>
      </c>
      <c r="H3677" s="1" t="str">
        <f>_xlfn.XLOOKUP(Ocupacao_DW[[#This Row],[Concat]],Vagas!$H:$H,Vagas!$D:$D,"",0)</f>
        <v/>
      </c>
    </row>
    <row r="3678" spans="1:8" x14ac:dyDescent="0.25">
      <c r="A3678" s="2">
        <v>44645</v>
      </c>
      <c r="B3678" s="1" t="s">
        <v>54</v>
      </c>
      <c r="C3678">
        <v>69</v>
      </c>
      <c r="D3678" s="1" t="s">
        <v>238</v>
      </c>
      <c r="E3678" s="1" t="s">
        <v>5</v>
      </c>
      <c r="F3678">
        <v>13</v>
      </c>
      <c r="G3678" s="1" t="str">
        <f>Ocupacao_DW[[#This Row],[data]]&amp;Ocupacao_DW[[#This Row],[profissional_id]]&amp;Ocupacao_DW[[#This Row],[local_id]]</f>
        <v>446456913</v>
      </c>
      <c r="H3678" s="1">
        <f>_xlfn.XLOOKUP(Ocupacao_DW[[#This Row],[Concat]],Vagas!$H:$H,Vagas!$D:$D,"",0)</f>
        <v>0</v>
      </c>
    </row>
    <row r="3679" spans="1:8" x14ac:dyDescent="0.25">
      <c r="A3679" s="2">
        <v>44638</v>
      </c>
      <c r="B3679" s="1"/>
      <c r="C3679">
        <v>6430</v>
      </c>
      <c r="D3679" s="1" t="s">
        <v>188</v>
      </c>
      <c r="E3679" s="1"/>
      <c r="F3679">
        <v>0</v>
      </c>
      <c r="G3679" s="1" t="str">
        <f>Ocupacao_DW[[#This Row],[data]]&amp;Ocupacao_DW[[#This Row],[profissional_id]]&amp;Ocupacao_DW[[#This Row],[local_id]]</f>
        <v>4463864300</v>
      </c>
      <c r="H3679" s="1" t="str">
        <f>_xlfn.XLOOKUP(Ocupacao_DW[[#This Row],[Concat]],Vagas!$H:$H,Vagas!$D:$D,"",0)</f>
        <v/>
      </c>
    </row>
    <row r="3680" spans="1:8" x14ac:dyDescent="0.25">
      <c r="A3680" s="2">
        <v>44644</v>
      </c>
      <c r="B3680" s="1" t="s">
        <v>55</v>
      </c>
      <c r="C3680">
        <v>12426</v>
      </c>
      <c r="D3680" s="1" t="s">
        <v>215</v>
      </c>
      <c r="E3680" s="1" t="s">
        <v>6</v>
      </c>
      <c r="F3680">
        <v>5</v>
      </c>
      <c r="G3680" s="1" t="str">
        <f>Ocupacao_DW[[#This Row],[data]]&amp;Ocupacao_DW[[#This Row],[profissional_id]]&amp;Ocupacao_DW[[#This Row],[local_id]]</f>
        <v>44644124265</v>
      </c>
      <c r="H3680" s="1">
        <f>_xlfn.XLOOKUP(Ocupacao_DW[[#This Row],[Concat]],Vagas!$H:$H,Vagas!$D:$D,"",0)</f>
        <v>0</v>
      </c>
    </row>
    <row r="3681" spans="1:8" x14ac:dyDescent="0.25">
      <c r="A3681" s="2">
        <v>44637</v>
      </c>
      <c r="B3681" s="1" t="s">
        <v>66</v>
      </c>
      <c r="C3681">
        <v>1343</v>
      </c>
      <c r="D3681" s="1" t="s">
        <v>263</v>
      </c>
      <c r="E3681" s="1" t="s">
        <v>200</v>
      </c>
      <c r="F3681">
        <v>80</v>
      </c>
      <c r="G3681" s="1" t="str">
        <f>Ocupacao_DW[[#This Row],[data]]&amp;Ocupacao_DW[[#This Row],[profissional_id]]&amp;Ocupacao_DW[[#This Row],[local_id]]</f>
        <v>44637134380</v>
      </c>
      <c r="H3681" s="1">
        <f>_xlfn.XLOOKUP(Ocupacao_DW[[#This Row],[Concat]],Vagas!$H:$H,Vagas!$D:$D,"",0)</f>
        <v>0</v>
      </c>
    </row>
    <row r="3682" spans="1:8" x14ac:dyDescent="0.25">
      <c r="A3682" s="2">
        <v>44636</v>
      </c>
      <c r="B3682" s="1" t="s">
        <v>52</v>
      </c>
      <c r="C3682">
        <v>10691</v>
      </c>
      <c r="D3682" s="1" t="s">
        <v>181</v>
      </c>
      <c r="E3682" s="1" t="s">
        <v>6</v>
      </c>
      <c r="F3682">
        <v>9</v>
      </c>
      <c r="G3682" s="1" t="str">
        <f>Ocupacao_DW[[#This Row],[data]]&amp;Ocupacao_DW[[#This Row],[profissional_id]]&amp;Ocupacao_DW[[#This Row],[local_id]]</f>
        <v>44636106919</v>
      </c>
      <c r="H3682" s="1">
        <f>_xlfn.XLOOKUP(Ocupacao_DW[[#This Row],[Concat]],Vagas!$H:$H,Vagas!$D:$D,"",0)</f>
        <v>0</v>
      </c>
    </row>
    <row r="3683" spans="1:8" x14ac:dyDescent="0.25">
      <c r="A3683" s="2">
        <v>44636</v>
      </c>
      <c r="B3683" s="1" t="s">
        <v>52</v>
      </c>
      <c r="C3683">
        <v>10691</v>
      </c>
      <c r="D3683" s="1" t="s">
        <v>181</v>
      </c>
      <c r="E3683" s="1" t="s">
        <v>6</v>
      </c>
      <c r="F3683">
        <v>9</v>
      </c>
      <c r="G3683" s="1" t="str">
        <f>Ocupacao_DW[[#This Row],[data]]&amp;Ocupacao_DW[[#This Row],[profissional_id]]&amp;Ocupacao_DW[[#This Row],[local_id]]</f>
        <v>44636106919</v>
      </c>
      <c r="H3683" s="1">
        <f>_xlfn.XLOOKUP(Ocupacao_DW[[#This Row],[Concat]],Vagas!$H:$H,Vagas!$D:$D,"",0)</f>
        <v>0</v>
      </c>
    </row>
    <row r="3684" spans="1:8" x14ac:dyDescent="0.25">
      <c r="A3684" s="2">
        <v>44636</v>
      </c>
      <c r="B3684" s="1" t="s">
        <v>51</v>
      </c>
      <c r="C3684">
        <v>7551</v>
      </c>
      <c r="D3684" s="1" t="s">
        <v>246</v>
      </c>
      <c r="E3684" s="1" t="s">
        <v>5</v>
      </c>
      <c r="F3684">
        <v>15</v>
      </c>
      <c r="G3684" s="1" t="str">
        <f>Ocupacao_DW[[#This Row],[data]]&amp;Ocupacao_DW[[#This Row],[profissional_id]]&amp;Ocupacao_DW[[#This Row],[local_id]]</f>
        <v>44636755115</v>
      </c>
      <c r="H3684" s="1">
        <f>_xlfn.XLOOKUP(Ocupacao_DW[[#This Row],[Concat]],Vagas!$H:$H,Vagas!$D:$D,"",0)</f>
        <v>0</v>
      </c>
    </row>
    <row r="3685" spans="1:8" x14ac:dyDescent="0.25">
      <c r="A3685" s="2">
        <v>44635</v>
      </c>
      <c r="B3685" s="1" t="s">
        <v>49</v>
      </c>
      <c r="C3685">
        <v>266</v>
      </c>
      <c r="D3685" s="1" t="s">
        <v>201</v>
      </c>
      <c r="E3685" s="1" t="s">
        <v>4</v>
      </c>
      <c r="F3685">
        <v>42</v>
      </c>
      <c r="G3685" s="1" t="str">
        <f>Ocupacao_DW[[#This Row],[data]]&amp;Ocupacao_DW[[#This Row],[profissional_id]]&amp;Ocupacao_DW[[#This Row],[local_id]]</f>
        <v>4463526642</v>
      </c>
      <c r="H3685" s="1">
        <f>_xlfn.XLOOKUP(Ocupacao_DW[[#This Row],[Concat]],Vagas!$H:$H,Vagas!$D:$D,"",0)</f>
        <v>0</v>
      </c>
    </row>
    <row r="3686" spans="1:8" x14ac:dyDescent="0.25">
      <c r="A3686" s="2">
        <v>44641</v>
      </c>
      <c r="B3686" s="1" t="s">
        <v>56</v>
      </c>
      <c r="C3686">
        <v>5927</v>
      </c>
      <c r="D3686" s="1" t="s">
        <v>226</v>
      </c>
      <c r="E3686" s="1" t="s">
        <v>5</v>
      </c>
      <c r="F3686">
        <v>17</v>
      </c>
      <c r="G3686" s="1" t="str">
        <f>Ocupacao_DW[[#This Row],[data]]&amp;Ocupacao_DW[[#This Row],[profissional_id]]&amp;Ocupacao_DW[[#This Row],[local_id]]</f>
        <v>44641592717</v>
      </c>
      <c r="H3686" s="1">
        <f>_xlfn.XLOOKUP(Ocupacao_DW[[#This Row],[Concat]],Vagas!$H:$H,Vagas!$D:$D,"",0)</f>
        <v>0</v>
      </c>
    </row>
    <row r="3687" spans="1:8" x14ac:dyDescent="0.25">
      <c r="A3687" s="2">
        <v>44636</v>
      </c>
      <c r="B3687" s="1" t="s">
        <v>52</v>
      </c>
      <c r="C3687">
        <v>60</v>
      </c>
      <c r="D3687" s="1" t="s">
        <v>217</v>
      </c>
      <c r="E3687" s="1" t="s">
        <v>167</v>
      </c>
      <c r="F3687">
        <v>346</v>
      </c>
      <c r="G3687" s="1" t="str">
        <f>Ocupacao_DW[[#This Row],[data]]&amp;Ocupacao_DW[[#This Row],[profissional_id]]&amp;Ocupacao_DW[[#This Row],[local_id]]</f>
        <v>4463660346</v>
      </c>
      <c r="H3687" s="1">
        <f>_xlfn.XLOOKUP(Ocupacao_DW[[#This Row],[Concat]],Vagas!$H:$H,Vagas!$D:$D,"",0)</f>
        <v>0</v>
      </c>
    </row>
    <row r="3688" spans="1:8" x14ac:dyDescent="0.25">
      <c r="A3688" s="2">
        <v>44635</v>
      </c>
      <c r="B3688" s="1" t="s">
        <v>68</v>
      </c>
      <c r="C3688">
        <v>8239</v>
      </c>
      <c r="D3688" s="1" t="s">
        <v>257</v>
      </c>
      <c r="E3688" s="1" t="s">
        <v>167</v>
      </c>
      <c r="F3688">
        <v>345</v>
      </c>
      <c r="G3688" s="1" t="str">
        <f>Ocupacao_DW[[#This Row],[data]]&amp;Ocupacao_DW[[#This Row],[profissional_id]]&amp;Ocupacao_DW[[#This Row],[local_id]]</f>
        <v>446358239345</v>
      </c>
      <c r="H3688" s="1">
        <f>_xlfn.XLOOKUP(Ocupacao_DW[[#This Row],[Concat]],Vagas!$H:$H,Vagas!$D:$D,"",0)</f>
        <v>0</v>
      </c>
    </row>
    <row r="3689" spans="1:8" x14ac:dyDescent="0.25">
      <c r="A3689" s="2">
        <v>44635</v>
      </c>
      <c r="B3689" s="1" t="s">
        <v>54</v>
      </c>
      <c r="C3689">
        <v>10941</v>
      </c>
      <c r="D3689" s="1" t="s">
        <v>224</v>
      </c>
      <c r="E3689" s="1" t="s">
        <v>5</v>
      </c>
      <c r="F3689">
        <v>12</v>
      </c>
      <c r="G3689" s="1" t="str">
        <f>Ocupacao_DW[[#This Row],[data]]&amp;Ocupacao_DW[[#This Row],[profissional_id]]&amp;Ocupacao_DW[[#This Row],[local_id]]</f>
        <v>446351094112</v>
      </c>
      <c r="H3689" s="1">
        <f>_xlfn.XLOOKUP(Ocupacao_DW[[#This Row],[Concat]],Vagas!$H:$H,Vagas!$D:$D,"",0)</f>
        <v>0</v>
      </c>
    </row>
    <row r="3690" spans="1:8" x14ac:dyDescent="0.25">
      <c r="A3690" s="2">
        <v>44638</v>
      </c>
      <c r="B3690" s="1" t="s">
        <v>24</v>
      </c>
      <c r="C3690">
        <v>60</v>
      </c>
      <c r="D3690" s="1" t="s">
        <v>217</v>
      </c>
      <c r="E3690" s="1" t="s">
        <v>6</v>
      </c>
      <c r="F3690">
        <v>1</v>
      </c>
      <c r="G3690" s="1" t="str">
        <f>Ocupacao_DW[[#This Row],[data]]&amp;Ocupacao_DW[[#This Row],[profissional_id]]&amp;Ocupacao_DW[[#This Row],[local_id]]</f>
        <v>44638601</v>
      </c>
      <c r="H3690" s="1">
        <f>_xlfn.XLOOKUP(Ocupacao_DW[[#This Row],[Concat]],Vagas!$H:$H,Vagas!$D:$D,"",0)</f>
        <v>0</v>
      </c>
    </row>
    <row r="3691" spans="1:8" x14ac:dyDescent="0.25">
      <c r="A3691" s="2">
        <v>44648</v>
      </c>
      <c r="B3691" s="1" t="s">
        <v>62</v>
      </c>
      <c r="C3691">
        <v>2567</v>
      </c>
      <c r="D3691" s="1" t="s">
        <v>198</v>
      </c>
      <c r="E3691" s="1" t="s">
        <v>5</v>
      </c>
      <c r="F3691">
        <v>18</v>
      </c>
      <c r="G3691" s="1" t="str">
        <f>Ocupacao_DW[[#This Row],[data]]&amp;Ocupacao_DW[[#This Row],[profissional_id]]&amp;Ocupacao_DW[[#This Row],[local_id]]</f>
        <v>44648256718</v>
      </c>
      <c r="H3691" s="1">
        <f>_xlfn.XLOOKUP(Ocupacao_DW[[#This Row],[Concat]],Vagas!$H:$H,Vagas!$D:$D,"",0)</f>
        <v>0</v>
      </c>
    </row>
    <row r="3692" spans="1:8" x14ac:dyDescent="0.25">
      <c r="A3692" s="2">
        <v>44636</v>
      </c>
      <c r="B3692" s="1" t="s">
        <v>51</v>
      </c>
      <c r="C3692">
        <v>17859</v>
      </c>
      <c r="D3692" s="1" t="s">
        <v>212</v>
      </c>
      <c r="E3692" s="1" t="s">
        <v>6</v>
      </c>
      <c r="F3692">
        <v>7</v>
      </c>
      <c r="G3692" s="1" t="str">
        <f>Ocupacao_DW[[#This Row],[data]]&amp;Ocupacao_DW[[#This Row],[profissional_id]]&amp;Ocupacao_DW[[#This Row],[local_id]]</f>
        <v>44636178597</v>
      </c>
      <c r="H3692" s="1">
        <f>_xlfn.XLOOKUP(Ocupacao_DW[[#This Row],[Concat]],Vagas!$H:$H,Vagas!$D:$D,"",0)</f>
        <v>0</v>
      </c>
    </row>
    <row r="3693" spans="1:8" x14ac:dyDescent="0.25">
      <c r="A3693" s="2">
        <v>44635</v>
      </c>
      <c r="B3693" s="1" t="s">
        <v>65</v>
      </c>
      <c r="C3693">
        <v>11652</v>
      </c>
      <c r="D3693" s="1" t="s">
        <v>242</v>
      </c>
      <c r="E3693" s="1" t="s">
        <v>4</v>
      </c>
      <c r="F3693">
        <v>47</v>
      </c>
      <c r="G3693" s="1" t="str">
        <f>Ocupacao_DW[[#This Row],[data]]&amp;Ocupacao_DW[[#This Row],[profissional_id]]&amp;Ocupacao_DW[[#This Row],[local_id]]</f>
        <v>446351165247</v>
      </c>
      <c r="H3693" s="1">
        <f>_xlfn.XLOOKUP(Ocupacao_DW[[#This Row],[Concat]],Vagas!$H:$H,Vagas!$D:$D,"",0)</f>
        <v>0</v>
      </c>
    </row>
    <row r="3694" spans="1:8" x14ac:dyDescent="0.25">
      <c r="A3694" s="2">
        <v>44643</v>
      </c>
      <c r="B3694" s="1" t="s">
        <v>70</v>
      </c>
      <c r="C3694">
        <v>12825</v>
      </c>
      <c r="D3694" s="1" t="s">
        <v>177</v>
      </c>
      <c r="E3694" s="1" t="s">
        <v>4</v>
      </c>
      <c r="F3694">
        <v>45</v>
      </c>
      <c r="G3694" s="1" t="str">
        <f>Ocupacao_DW[[#This Row],[data]]&amp;Ocupacao_DW[[#This Row],[profissional_id]]&amp;Ocupacao_DW[[#This Row],[local_id]]</f>
        <v>446431282545</v>
      </c>
      <c r="H3694" s="1">
        <f>_xlfn.XLOOKUP(Ocupacao_DW[[#This Row],[Concat]],Vagas!$H:$H,Vagas!$D:$D,"",0)</f>
        <v>0</v>
      </c>
    </row>
    <row r="3695" spans="1:8" x14ac:dyDescent="0.25">
      <c r="A3695" s="2">
        <v>44642</v>
      </c>
      <c r="B3695" s="1" t="s">
        <v>55</v>
      </c>
      <c r="C3695">
        <v>12669</v>
      </c>
      <c r="D3695" s="1" t="s">
        <v>223</v>
      </c>
      <c r="E3695" s="1" t="s">
        <v>6</v>
      </c>
      <c r="F3695">
        <v>6</v>
      </c>
      <c r="G3695" s="1" t="str">
        <f>Ocupacao_DW[[#This Row],[data]]&amp;Ocupacao_DW[[#This Row],[profissional_id]]&amp;Ocupacao_DW[[#This Row],[local_id]]</f>
        <v>44642126696</v>
      </c>
      <c r="H3695" s="1">
        <f>_xlfn.XLOOKUP(Ocupacao_DW[[#This Row],[Concat]],Vagas!$H:$H,Vagas!$D:$D,"",0)</f>
        <v>0</v>
      </c>
    </row>
    <row r="3696" spans="1:8" x14ac:dyDescent="0.25">
      <c r="A3696" s="2">
        <v>44635</v>
      </c>
      <c r="B3696" s="1" t="s">
        <v>43</v>
      </c>
      <c r="C3696">
        <v>57</v>
      </c>
      <c r="D3696" s="1" t="s">
        <v>169</v>
      </c>
      <c r="E3696" s="1" t="s">
        <v>6</v>
      </c>
      <c r="F3696">
        <v>2</v>
      </c>
      <c r="G3696" s="1" t="str">
        <f>Ocupacao_DW[[#This Row],[data]]&amp;Ocupacao_DW[[#This Row],[profissional_id]]&amp;Ocupacao_DW[[#This Row],[local_id]]</f>
        <v>44635572</v>
      </c>
      <c r="H3696" s="1">
        <f>_xlfn.XLOOKUP(Ocupacao_DW[[#This Row],[Concat]],Vagas!$H:$H,Vagas!$D:$D,"",0)</f>
        <v>0</v>
      </c>
    </row>
    <row r="3697" spans="1:8" x14ac:dyDescent="0.25">
      <c r="A3697" s="2">
        <v>44635</v>
      </c>
      <c r="B3697" s="1" t="s">
        <v>64</v>
      </c>
      <c r="C3697">
        <v>85</v>
      </c>
      <c r="D3697" s="1" t="s">
        <v>211</v>
      </c>
      <c r="E3697" s="1" t="s">
        <v>5</v>
      </c>
      <c r="F3697">
        <v>349</v>
      </c>
      <c r="G3697" s="1" t="str">
        <f>Ocupacao_DW[[#This Row],[data]]&amp;Ocupacao_DW[[#This Row],[profissional_id]]&amp;Ocupacao_DW[[#This Row],[local_id]]</f>
        <v>4463585349</v>
      </c>
      <c r="H3697" s="1">
        <f>_xlfn.XLOOKUP(Ocupacao_DW[[#This Row],[Concat]],Vagas!$H:$H,Vagas!$D:$D,"",0)</f>
        <v>0</v>
      </c>
    </row>
    <row r="3698" spans="1:8" x14ac:dyDescent="0.25">
      <c r="A3698" s="2">
        <v>44648</v>
      </c>
      <c r="B3698" s="1" t="s">
        <v>55</v>
      </c>
      <c r="C3698">
        <v>2984</v>
      </c>
      <c r="D3698" s="1" t="s">
        <v>185</v>
      </c>
      <c r="E3698" s="1" t="s">
        <v>6</v>
      </c>
      <c r="F3698">
        <v>7</v>
      </c>
      <c r="G3698" s="1" t="str">
        <f>Ocupacao_DW[[#This Row],[data]]&amp;Ocupacao_DW[[#This Row],[profissional_id]]&amp;Ocupacao_DW[[#This Row],[local_id]]</f>
        <v>4464829847</v>
      </c>
      <c r="H3698" s="1">
        <f>_xlfn.XLOOKUP(Ocupacao_DW[[#This Row],[Concat]],Vagas!$H:$H,Vagas!$D:$D,"",0)</f>
        <v>0</v>
      </c>
    </row>
    <row r="3699" spans="1:8" x14ac:dyDescent="0.25">
      <c r="A3699" s="2">
        <v>44635</v>
      </c>
      <c r="B3699" s="1" t="s">
        <v>54</v>
      </c>
      <c r="C3699">
        <v>12623</v>
      </c>
      <c r="D3699" s="1" t="s">
        <v>258</v>
      </c>
      <c r="E3699" s="1" t="s">
        <v>5</v>
      </c>
      <c r="F3699">
        <v>11</v>
      </c>
      <c r="G3699" s="1" t="str">
        <f>Ocupacao_DW[[#This Row],[data]]&amp;Ocupacao_DW[[#This Row],[profissional_id]]&amp;Ocupacao_DW[[#This Row],[local_id]]</f>
        <v>446351262311</v>
      </c>
      <c r="H3699" s="1">
        <f>_xlfn.XLOOKUP(Ocupacao_DW[[#This Row],[Concat]],Vagas!$H:$H,Vagas!$D:$D,"",0)</f>
        <v>0</v>
      </c>
    </row>
    <row r="3700" spans="1:8" x14ac:dyDescent="0.25">
      <c r="A3700" s="2">
        <v>44638</v>
      </c>
      <c r="B3700" s="1" t="s">
        <v>47</v>
      </c>
      <c r="C3700">
        <v>9111</v>
      </c>
      <c r="D3700" s="1" t="s">
        <v>206</v>
      </c>
      <c r="E3700" s="1" t="s">
        <v>4</v>
      </c>
      <c r="F3700">
        <v>51</v>
      </c>
      <c r="G3700" s="1" t="str">
        <f>Ocupacao_DW[[#This Row],[data]]&amp;Ocupacao_DW[[#This Row],[profissional_id]]&amp;Ocupacao_DW[[#This Row],[local_id]]</f>
        <v>44638911151</v>
      </c>
      <c r="H3700" s="1">
        <f>_xlfn.XLOOKUP(Ocupacao_DW[[#This Row],[Concat]],Vagas!$H:$H,Vagas!$D:$D,"",0)</f>
        <v>0</v>
      </c>
    </row>
    <row r="3701" spans="1:8" x14ac:dyDescent="0.25">
      <c r="A3701" s="2">
        <v>44635</v>
      </c>
      <c r="B3701" s="1" t="s">
        <v>54</v>
      </c>
      <c r="C3701">
        <v>69</v>
      </c>
      <c r="D3701" s="1" t="s">
        <v>238</v>
      </c>
      <c r="E3701" s="1" t="s">
        <v>5</v>
      </c>
      <c r="F3701">
        <v>13</v>
      </c>
      <c r="G3701" s="1" t="str">
        <f>Ocupacao_DW[[#This Row],[data]]&amp;Ocupacao_DW[[#This Row],[profissional_id]]&amp;Ocupacao_DW[[#This Row],[local_id]]</f>
        <v>446356913</v>
      </c>
      <c r="H3701" s="1">
        <f>_xlfn.XLOOKUP(Ocupacao_DW[[#This Row],[Concat]],Vagas!$H:$H,Vagas!$D:$D,"",0)</f>
        <v>0</v>
      </c>
    </row>
    <row r="3702" spans="1:8" x14ac:dyDescent="0.25">
      <c r="A3702" s="2">
        <v>44643</v>
      </c>
      <c r="B3702" s="1" t="s">
        <v>52</v>
      </c>
      <c r="C3702">
        <v>57</v>
      </c>
      <c r="D3702" s="1" t="s">
        <v>169</v>
      </c>
      <c r="E3702" s="1" t="s">
        <v>6</v>
      </c>
      <c r="F3702">
        <v>4</v>
      </c>
      <c r="G3702" s="1" t="str">
        <f>Ocupacao_DW[[#This Row],[data]]&amp;Ocupacao_DW[[#This Row],[profissional_id]]&amp;Ocupacao_DW[[#This Row],[local_id]]</f>
        <v>44643574</v>
      </c>
      <c r="H3702" s="1">
        <f>_xlfn.XLOOKUP(Ocupacao_DW[[#This Row],[Concat]],Vagas!$H:$H,Vagas!$D:$D,"",0)</f>
        <v>0</v>
      </c>
    </row>
    <row r="3703" spans="1:8" x14ac:dyDescent="0.25">
      <c r="A3703" s="2">
        <v>44636</v>
      </c>
      <c r="B3703" s="1" t="s">
        <v>24</v>
      </c>
      <c r="C3703">
        <v>13061</v>
      </c>
      <c r="D3703" s="1" t="s">
        <v>232</v>
      </c>
      <c r="E3703" s="1" t="s">
        <v>6</v>
      </c>
      <c r="F3703">
        <v>3</v>
      </c>
      <c r="G3703" s="1" t="str">
        <f>Ocupacao_DW[[#This Row],[data]]&amp;Ocupacao_DW[[#This Row],[profissional_id]]&amp;Ocupacao_DW[[#This Row],[local_id]]</f>
        <v>44636130613</v>
      </c>
      <c r="H3703" s="1">
        <f>_xlfn.XLOOKUP(Ocupacao_DW[[#This Row],[Concat]],Vagas!$H:$H,Vagas!$D:$D,"",0)</f>
        <v>0</v>
      </c>
    </row>
    <row r="3704" spans="1:8" x14ac:dyDescent="0.25">
      <c r="A3704" s="2">
        <v>44637</v>
      </c>
      <c r="B3704" s="1" t="s">
        <v>49</v>
      </c>
      <c r="C3704">
        <v>3092</v>
      </c>
      <c r="D3704" s="1" t="s">
        <v>262</v>
      </c>
      <c r="E3704" s="1" t="s">
        <v>4</v>
      </c>
      <c r="F3704">
        <v>43</v>
      </c>
      <c r="G3704" s="1" t="str">
        <f>Ocupacao_DW[[#This Row],[data]]&amp;Ocupacao_DW[[#This Row],[profissional_id]]&amp;Ocupacao_DW[[#This Row],[local_id]]</f>
        <v>44637309243</v>
      </c>
      <c r="H3704" s="1">
        <f>_xlfn.XLOOKUP(Ocupacao_DW[[#This Row],[Concat]],Vagas!$H:$H,Vagas!$D:$D,"",0)</f>
        <v>0</v>
      </c>
    </row>
    <row r="3705" spans="1:8" x14ac:dyDescent="0.25">
      <c r="A3705" s="2">
        <v>44635</v>
      </c>
      <c r="B3705" s="1" t="s">
        <v>54</v>
      </c>
      <c r="C3705">
        <v>10941</v>
      </c>
      <c r="D3705" s="1" t="s">
        <v>224</v>
      </c>
      <c r="E3705" s="1" t="s">
        <v>5</v>
      </c>
      <c r="F3705">
        <v>12</v>
      </c>
      <c r="G3705" s="1" t="str">
        <f>Ocupacao_DW[[#This Row],[data]]&amp;Ocupacao_DW[[#This Row],[profissional_id]]&amp;Ocupacao_DW[[#This Row],[local_id]]</f>
        <v>446351094112</v>
      </c>
      <c r="H3705" s="1">
        <f>_xlfn.XLOOKUP(Ocupacao_DW[[#This Row],[Concat]],Vagas!$H:$H,Vagas!$D:$D,"",0)</f>
        <v>0</v>
      </c>
    </row>
    <row r="3706" spans="1:8" x14ac:dyDescent="0.25">
      <c r="A3706" s="2">
        <v>44639</v>
      </c>
      <c r="B3706" s="1" t="s">
        <v>40</v>
      </c>
      <c r="C3706">
        <v>54</v>
      </c>
      <c r="D3706" s="1" t="s">
        <v>216</v>
      </c>
      <c r="E3706" s="1" t="s">
        <v>4</v>
      </c>
      <c r="F3706">
        <v>50</v>
      </c>
      <c r="G3706" s="1" t="str">
        <f>Ocupacao_DW[[#This Row],[data]]&amp;Ocupacao_DW[[#This Row],[profissional_id]]&amp;Ocupacao_DW[[#This Row],[local_id]]</f>
        <v>446395450</v>
      </c>
      <c r="H3706" s="1">
        <f>_xlfn.XLOOKUP(Ocupacao_DW[[#This Row],[Concat]],Vagas!$H:$H,Vagas!$D:$D,"",0)</f>
        <v>7</v>
      </c>
    </row>
    <row r="3707" spans="1:8" x14ac:dyDescent="0.25">
      <c r="A3707" s="2">
        <v>44635</v>
      </c>
      <c r="B3707" s="1" t="s">
        <v>54</v>
      </c>
      <c r="C3707">
        <v>12623</v>
      </c>
      <c r="D3707" s="1" t="s">
        <v>258</v>
      </c>
      <c r="E3707" s="1" t="s">
        <v>5</v>
      </c>
      <c r="F3707">
        <v>11</v>
      </c>
      <c r="G3707" s="1" t="str">
        <f>Ocupacao_DW[[#This Row],[data]]&amp;Ocupacao_DW[[#This Row],[profissional_id]]&amp;Ocupacao_DW[[#This Row],[local_id]]</f>
        <v>446351262311</v>
      </c>
      <c r="H3707" s="1">
        <f>_xlfn.XLOOKUP(Ocupacao_DW[[#This Row],[Concat]],Vagas!$H:$H,Vagas!$D:$D,"",0)</f>
        <v>0</v>
      </c>
    </row>
    <row r="3708" spans="1:8" x14ac:dyDescent="0.25">
      <c r="A3708" s="2">
        <v>44650</v>
      </c>
      <c r="B3708" s="1" t="s">
        <v>55</v>
      </c>
      <c r="C3708">
        <v>74</v>
      </c>
      <c r="D3708" s="1" t="s">
        <v>182</v>
      </c>
      <c r="E3708" s="1" t="s">
        <v>6</v>
      </c>
      <c r="F3708">
        <v>7</v>
      </c>
      <c r="G3708" s="1" t="str">
        <f>Ocupacao_DW[[#This Row],[data]]&amp;Ocupacao_DW[[#This Row],[profissional_id]]&amp;Ocupacao_DW[[#This Row],[local_id]]</f>
        <v>44650747</v>
      </c>
      <c r="H3708" s="1">
        <f>_xlfn.XLOOKUP(Ocupacao_DW[[#This Row],[Concat]],Vagas!$H:$H,Vagas!$D:$D,"",0)</f>
        <v>0</v>
      </c>
    </row>
    <row r="3709" spans="1:8" x14ac:dyDescent="0.25">
      <c r="A3709" s="2">
        <v>44636</v>
      </c>
      <c r="B3709" s="1" t="s">
        <v>57</v>
      </c>
      <c r="C3709">
        <v>80</v>
      </c>
      <c r="D3709" s="1" t="s">
        <v>179</v>
      </c>
      <c r="E3709" s="1" t="s">
        <v>167</v>
      </c>
      <c r="F3709">
        <v>346</v>
      </c>
      <c r="G3709" s="1" t="str">
        <f>Ocupacao_DW[[#This Row],[data]]&amp;Ocupacao_DW[[#This Row],[profissional_id]]&amp;Ocupacao_DW[[#This Row],[local_id]]</f>
        <v>4463680346</v>
      </c>
      <c r="H3709" s="1">
        <f>_xlfn.XLOOKUP(Ocupacao_DW[[#This Row],[Concat]],Vagas!$H:$H,Vagas!$D:$D,"",0)</f>
        <v>0</v>
      </c>
    </row>
    <row r="3710" spans="1:8" x14ac:dyDescent="0.25">
      <c r="A3710" s="2">
        <v>44641</v>
      </c>
      <c r="B3710" s="1" t="s">
        <v>72</v>
      </c>
      <c r="C3710">
        <v>6046</v>
      </c>
      <c r="D3710" s="1" t="s">
        <v>222</v>
      </c>
      <c r="E3710" s="1" t="s">
        <v>4</v>
      </c>
      <c r="F3710">
        <v>46</v>
      </c>
      <c r="G3710" s="1" t="str">
        <f>Ocupacao_DW[[#This Row],[data]]&amp;Ocupacao_DW[[#This Row],[profissional_id]]&amp;Ocupacao_DW[[#This Row],[local_id]]</f>
        <v>44641604646</v>
      </c>
      <c r="H3710" s="1">
        <f>_xlfn.XLOOKUP(Ocupacao_DW[[#This Row],[Concat]],Vagas!$H:$H,Vagas!$D:$D,"",0)</f>
        <v>0</v>
      </c>
    </row>
    <row r="3711" spans="1:8" x14ac:dyDescent="0.25">
      <c r="A3711" s="2">
        <v>44642</v>
      </c>
      <c r="B3711" s="1" t="s">
        <v>70</v>
      </c>
      <c r="C3711">
        <v>14237</v>
      </c>
      <c r="D3711" s="1" t="s">
        <v>186</v>
      </c>
      <c r="E3711" s="1" t="s">
        <v>4</v>
      </c>
      <c r="F3711">
        <v>47</v>
      </c>
      <c r="G3711" s="1" t="str">
        <f>Ocupacao_DW[[#This Row],[data]]&amp;Ocupacao_DW[[#This Row],[profissional_id]]&amp;Ocupacao_DW[[#This Row],[local_id]]</f>
        <v>446421423747</v>
      </c>
      <c r="H3711" s="1">
        <f>_xlfn.XLOOKUP(Ocupacao_DW[[#This Row],[Concat]],Vagas!$H:$H,Vagas!$D:$D,"",0)</f>
        <v>0</v>
      </c>
    </row>
    <row r="3712" spans="1:8" x14ac:dyDescent="0.25">
      <c r="A3712" s="2">
        <v>44643</v>
      </c>
      <c r="B3712" s="1" t="s">
        <v>47</v>
      </c>
      <c r="C3712">
        <v>111</v>
      </c>
      <c r="D3712" s="1" t="s">
        <v>199</v>
      </c>
      <c r="E3712" s="1" t="s">
        <v>4</v>
      </c>
      <c r="F3712">
        <v>51</v>
      </c>
      <c r="G3712" s="1" t="str">
        <f>Ocupacao_DW[[#This Row],[data]]&amp;Ocupacao_DW[[#This Row],[profissional_id]]&amp;Ocupacao_DW[[#This Row],[local_id]]</f>
        <v>4464311151</v>
      </c>
      <c r="H3712" s="1">
        <f>_xlfn.XLOOKUP(Ocupacao_DW[[#This Row],[Concat]],Vagas!$H:$H,Vagas!$D:$D,"",0)</f>
        <v>0</v>
      </c>
    </row>
    <row r="3713" spans="1:8" x14ac:dyDescent="0.25">
      <c r="A3713" s="2">
        <v>44637</v>
      </c>
      <c r="B3713" s="1" t="s">
        <v>73</v>
      </c>
      <c r="C3713">
        <v>10691</v>
      </c>
      <c r="D3713" s="1" t="s">
        <v>181</v>
      </c>
      <c r="E3713" s="1" t="s">
        <v>167</v>
      </c>
      <c r="F3713">
        <v>348</v>
      </c>
      <c r="G3713" s="1" t="str">
        <f>Ocupacao_DW[[#This Row],[data]]&amp;Ocupacao_DW[[#This Row],[profissional_id]]&amp;Ocupacao_DW[[#This Row],[local_id]]</f>
        <v>4463710691348</v>
      </c>
      <c r="H3713" s="1">
        <f>_xlfn.XLOOKUP(Ocupacao_DW[[#This Row],[Concat]],Vagas!$H:$H,Vagas!$D:$D,"",0)</f>
        <v>0</v>
      </c>
    </row>
    <row r="3714" spans="1:8" x14ac:dyDescent="0.25">
      <c r="A3714" s="2">
        <v>44644</v>
      </c>
      <c r="B3714" s="1" t="s">
        <v>55</v>
      </c>
      <c r="C3714">
        <v>12426</v>
      </c>
      <c r="D3714" s="1" t="s">
        <v>215</v>
      </c>
      <c r="E3714" s="1" t="s">
        <v>6</v>
      </c>
      <c r="F3714">
        <v>5</v>
      </c>
      <c r="G3714" s="1" t="str">
        <f>Ocupacao_DW[[#This Row],[data]]&amp;Ocupacao_DW[[#This Row],[profissional_id]]&amp;Ocupacao_DW[[#This Row],[local_id]]</f>
        <v>44644124265</v>
      </c>
      <c r="H3714" s="1">
        <f>_xlfn.XLOOKUP(Ocupacao_DW[[#This Row],[Concat]],Vagas!$H:$H,Vagas!$D:$D,"",0)</f>
        <v>0</v>
      </c>
    </row>
    <row r="3715" spans="1:8" x14ac:dyDescent="0.25">
      <c r="A3715" s="2">
        <v>44636</v>
      </c>
      <c r="B3715" s="1" t="s">
        <v>60</v>
      </c>
      <c r="C3715">
        <v>14326</v>
      </c>
      <c r="D3715" s="1" t="s">
        <v>220</v>
      </c>
      <c r="E3715" s="1" t="s">
        <v>4</v>
      </c>
      <c r="F3715">
        <v>43</v>
      </c>
      <c r="G3715" s="1" t="str">
        <f>Ocupacao_DW[[#This Row],[data]]&amp;Ocupacao_DW[[#This Row],[profissional_id]]&amp;Ocupacao_DW[[#This Row],[local_id]]</f>
        <v>446361432643</v>
      </c>
      <c r="H3715" s="1">
        <f>_xlfn.XLOOKUP(Ocupacao_DW[[#This Row],[Concat]],Vagas!$H:$H,Vagas!$D:$D,"",0)</f>
        <v>0</v>
      </c>
    </row>
    <row r="3716" spans="1:8" x14ac:dyDescent="0.25">
      <c r="A3716" s="2">
        <v>44648</v>
      </c>
      <c r="B3716" s="1" t="s">
        <v>55</v>
      </c>
      <c r="C3716">
        <v>2984</v>
      </c>
      <c r="D3716" s="1" t="s">
        <v>185</v>
      </c>
      <c r="E3716" s="1" t="s">
        <v>6</v>
      </c>
      <c r="F3716">
        <v>7</v>
      </c>
      <c r="G3716" s="1" t="str">
        <f>Ocupacao_DW[[#This Row],[data]]&amp;Ocupacao_DW[[#This Row],[profissional_id]]&amp;Ocupacao_DW[[#This Row],[local_id]]</f>
        <v>4464829847</v>
      </c>
      <c r="H3716" s="1">
        <f>_xlfn.XLOOKUP(Ocupacao_DW[[#This Row],[Concat]],Vagas!$H:$H,Vagas!$D:$D,"",0)</f>
        <v>0</v>
      </c>
    </row>
    <row r="3717" spans="1:8" x14ac:dyDescent="0.25">
      <c r="A3717" s="2">
        <v>44645</v>
      </c>
      <c r="B3717" s="1" t="s">
        <v>55</v>
      </c>
      <c r="C3717">
        <v>2984</v>
      </c>
      <c r="D3717" s="1" t="s">
        <v>185</v>
      </c>
      <c r="E3717" s="1" t="s">
        <v>6</v>
      </c>
      <c r="F3717">
        <v>7</v>
      </c>
      <c r="G3717" s="1" t="str">
        <f>Ocupacao_DW[[#This Row],[data]]&amp;Ocupacao_DW[[#This Row],[profissional_id]]&amp;Ocupacao_DW[[#This Row],[local_id]]</f>
        <v>4464529847</v>
      </c>
      <c r="H3717" s="1">
        <f>_xlfn.XLOOKUP(Ocupacao_DW[[#This Row],[Concat]],Vagas!$H:$H,Vagas!$D:$D,"",0)</f>
        <v>0</v>
      </c>
    </row>
    <row r="3718" spans="1:8" x14ac:dyDescent="0.25">
      <c r="A3718" s="2">
        <v>44636</v>
      </c>
      <c r="B3718" s="1" t="s">
        <v>56</v>
      </c>
      <c r="C3718">
        <v>5927</v>
      </c>
      <c r="D3718" s="1" t="s">
        <v>226</v>
      </c>
      <c r="E3718" s="1" t="s">
        <v>5</v>
      </c>
      <c r="F3718">
        <v>17</v>
      </c>
      <c r="G3718" s="1" t="str">
        <f>Ocupacao_DW[[#This Row],[data]]&amp;Ocupacao_DW[[#This Row],[profissional_id]]&amp;Ocupacao_DW[[#This Row],[local_id]]</f>
        <v>44636592717</v>
      </c>
      <c r="H3718" s="1">
        <f>_xlfn.XLOOKUP(Ocupacao_DW[[#This Row],[Concat]],Vagas!$H:$H,Vagas!$D:$D,"",0)</f>
        <v>0</v>
      </c>
    </row>
    <row r="3719" spans="1:8" x14ac:dyDescent="0.25">
      <c r="A3719" s="2">
        <v>44642</v>
      </c>
      <c r="B3719" s="1" t="s">
        <v>55</v>
      </c>
      <c r="C3719">
        <v>12669</v>
      </c>
      <c r="D3719" s="1" t="s">
        <v>223</v>
      </c>
      <c r="E3719" s="1" t="s">
        <v>6</v>
      </c>
      <c r="F3719">
        <v>6</v>
      </c>
      <c r="G3719" s="1" t="str">
        <f>Ocupacao_DW[[#This Row],[data]]&amp;Ocupacao_DW[[#This Row],[profissional_id]]&amp;Ocupacao_DW[[#This Row],[local_id]]</f>
        <v>44642126696</v>
      </c>
      <c r="H3719" s="1">
        <f>_xlfn.XLOOKUP(Ocupacao_DW[[#This Row],[Concat]],Vagas!$H:$H,Vagas!$D:$D,"",0)</f>
        <v>0</v>
      </c>
    </row>
    <row r="3720" spans="1:8" x14ac:dyDescent="0.25">
      <c r="A3720" s="2">
        <v>44642</v>
      </c>
      <c r="B3720" s="1" t="s">
        <v>49</v>
      </c>
      <c r="C3720">
        <v>81</v>
      </c>
      <c r="D3720" s="1" t="s">
        <v>170</v>
      </c>
      <c r="E3720" s="1" t="s">
        <v>4</v>
      </c>
      <c r="F3720">
        <v>41</v>
      </c>
      <c r="G3720" s="1" t="str">
        <f>Ocupacao_DW[[#This Row],[data]]&amp;Ocupacao_DW[[#This Row],[profissional_id]]&amp;Ocupacao_DW[[#This Row],[local_id]]</f>
        <v>446428141</v>
      </c>
      <c r="H3720" s="1">
        <f>_xlfn.XLOOKUP(Ocupacao_DW[[#This Row],[Concat]],Vagas!$H:$H,Vagas!$D:$D,"",0)</f>
        <v>0</v>
      </c>
    </row>
    <row r="3721" spans="1:8" x14ac:dyDescent="0.25">
      <c r="A3721" s="2">
        <v>44635</v>
      </c>
      <c r="B3721" s="1"/>
      <c r="C3721">
        <v>0</v>
      </c>
      <c r="D3721" s="1"/>
      <c r="E3721" s="1" t="s">
        <v>4</v>
      </c>
      <c r="F3721">
        <v>40</v>
      </c>
      <c r="G3721" s="1" t="str">
        <f>Ocupacao_DW[[#This Row],[data]]&amp;Ocupacao_DW[[#This Row],[profissional_id]]&amp;Ocupacao_DW[[#This Row],[local_id]]</f>
        <v>44635040</v>
      </c>
      <c r="H3721" s="1" t="str">
        <f>_xlfn.XLOOKUP(Ocupacao_DW[[#This Row],[Concat]],Vagas!$H:$H,Vagas!$D:$D,"",0)</f>
        <v/>
      </c>
    </row>
    <row r="3722" spans="1:8" x14ac:dyDescent="0.25">
      <c r="A3722" s="2">
        <v>44643</v>
      </c>
      <c r="B3722" s="1" t="s">
        <v>52</v>
      </c>
      <c r="C3722">
        <v>10691</v>
      </c>
      <c r="D3722" s="1" t="s">
        <v>181</v>
      </c>
      <c r="E3722" s="1" t="s">
        <v>6</v>
      </c>
      <c r="F3722">
        <v>9</v>
      </c>
      <c r="G3722" s="1" t="str">
        <f>Ocupacao_DW[[#This Row],[data]]&amp;Ocupacao_DW[[#This Row],[profissional_id]]&amp;Ocupacao_DW[[#This Row],[local_id]]</f>
        <v>44643106919</v>
      </c>
      <c r="H3722" s="1">
        <f>_xlfn.XLOOKUP(Ocupacao_DW[[#This Row],[Concat]],Vagas!$H:$H,Vagas!$D:$D,"",0)</f>
        <v>0</v>
      </c>
    </row>
    <row r="3723" spans="1:8" x14ac:dyDescent="0.25">
      <c r="A3723" s="2">
        <v>44656</v>
      </c>
      <c r="B3723" s="1" t="s">
        <v>67</v>
      </c>
      <c r="C3723">
        <v>7290</v>
      </c>
      <c r="D3723" s="1" t="s">
        <v>247</v>
      </c>
      <c r="E3723" s="1" t="s">
        <v>5</v>
      </c>
      <c r="F3723">
        <v>18</v>
      </c>
      <c r="G3723" s="1" t="str">
        <f>Ocupacao_DW[[#This Row],[data]]&amp;Ocupacao_DW[[#This Row],[profissional_id]]&amp;Ocupacao_DW[[#This Row],[local_id]]</f>
        <v>44656729018</v>
      </c>
      <c r="H3723" s="1">
        <f>_xlfn.XLOOKUP(Ocupacao_DW[[#This Row],[Concat]],Vagas!$H:$H,Vagas!$D:$D,"",0)</f>
        <v>0</v>
      </c>
    </row>
    <row r="3724" spans="1:8" x14ac:dyDescent="0.25">
      <c r="A3724" s="2">
        <v>44643</v>
      </c>
      <c r="B3724" s="1" t="s">
        <v>52</v>
      </c>
      <c r="C3724">
        <v>10691</v>
      </c>
      <c r="D3724" s="1" t="s">
        <v>181</v>
      </c>
      <c r="E3724" s="1" t="s">
        <v>6</v>
      </c>
      <c r="F3724">
        <v>9</v>
      </c>
      <c r="G3724" s="1" t="str">
        <f>Ocupacao_DW[[#This Row],[data]]&amp;Ocupacao_DW[[#This Row],[profissional_id]]&amp;Ocupacao_DW[[#This Row],[local_id]]</f>
        <v>44643106919</v>
      </c>
      <c r="H3724" s="1">
        <f>_xlfn.XLOOKUP(Ocupacao_DW[[#This Row],[Concat]],Vagas!$H:$H,Vagas!$D:$D,"",0)</f>
        <v>0</v>
      </c>
    </row>
    <row r="3725" spans="1:8" x14ac:dyDescent="0.25">
      <c r="A3725" s="2">
        <v>44638</v>
      </c>
      <c r="B3725" s="1" t="s">
        <v>52</v>
      </c>
      <c r="C3725">
        <v>57</v>
      </c>
      <c r="D3725" s="1" t="s">
        <v>169</v>
      </c>
      <c r="E3725" s="1" t="s">
        <v>6</v>
      </c>
      <c r="F3725">
        <v>8</v>
      </c>
      <c r="G3725" s="1" t="str">
        <f>Ocupacao_DW[[#This Row],[data]]&amp;Ocupacao_DW[[#This Row],[profissional_id]]&amp;Ocupacao_DW[[#This Row],[local_id]]</f>
        <v>44638578</v>
      </c>
      <c r="H3725" s="1">
        <f>_xlfn.XLOOKUP(Ocupacao_DW[[#This Row],[Concat]],Vagas!$H:$H,Vagas!$D:$D,"",0)</f>
        <v>0</v>
      </c>
    </row>
    <row r="3726" spans="1:8" x14ac:dyDescent="0.25">
      <c r="A3726" s="2">
        <v>44636</v>
      </c>
      <c r="B3726" s="1" t="s">
        <v>52</v>
      </c>
      <c r="C3726">
        <v>10691</v>
      </c>
      <c r="D3726" s="1" t="s">
        <v>181</v>
      </c>
      <c r="E3726" s="1" t="s">
        <v>6</v>
      </c>
      <c r="F3726">
        <v>9</v>
      </c>
      <c r="G3726" s="1" t="str">
        <f>Ocupacao_DW[[#This Row],[data]]&amp;Ocupacao_DW[[#This Row],[profissional_id]]&amp;Ocupacao_DW[[#This Row],[local_id]]</f>
        <v>44636106919</v>
      </c>
      <c r="H3726" s="1">
        <f>_xlfn.XLOOKUP(Ocupacao_DW[[#This Row],[Concat]],Vagas!$H:$H,Vagas!$D:$D,"",0)</f>
        <v>0</v>
      </c>
    </row>
    <row r="3727" spans="1:8" x14ac:dyDescent="0.25">
      <c r="A3727" s="2">
        <v>44643</v>
      </c>
      <c r="B3727" s="1" t="s">
        <v>70</v>
      </c>
      <c r="C3727">
        <v>12519</v>
      </c>
      <c r="D3727" s="1" t="s">
        <v>176</v>
      </c>
      <c r="E3727" s="1" t="s">
        <v>4</v>
      </c>
      <c r="F3727">
        <v>48</v>
      </c>
      <c r="G3727" s="1" t="str">
        <f>Ocupacao_DW[[#This Row],[data]]&amp;Ocupacao_DW[[#This Row],[profissional_id]]&amp;Ocupacao_DW[[#This Row],[local_id]]</f>
        <v>446431251948</v>
      </c>
      <c r="H3727" s="1">
        <f>_xlfn.XLOOKUP(Ocupacao_DW[[#This Row],[Concat]],Vagas!$H:$H,Vagas!$D:$D,"",0)</f>
        <v>0</v>
      </c>
    </row>
    <row r="3728" spans="1:8" x14ac:dyDescent="0.25">
      <c r="A3728" s="2">
        <v>44641</v>
      </c>
      <c r="B3728" s="1" t="s">
        <v>54</v>
      </c>
      <c r="C3728">
        <v>10941</v>
      </c>
      <c r="D3728" s="1" t="s">
        <v>224</v>
      </c>
      <c r="E3728" s="1" t="s">
        <v>7</v>
      </c>
      <c r="F3728">
        <v>67</v>
      </c>
      <c r="G3728" s="1" t="str">
        <f>Ocupacao_DW[[#This Row],[data]]&amp;Ocupacao_DW[[#This Row],[profissional_id]]&amp;Ocupacao_DW[[#This Row],[local_id]]</f>
        <v>446411094167</v>
      </c>
      <c r="H3728" s="1">
        <f>_xlfn.XLOOKUP(Ocupacao_DW[[#This Row],[Concat]],Vagas!$H:$H,Vagas!$D:$D,"",0)</f>
        <v>0</v>
      </c>
    </row>
    <row r="3729" spans="1:8" x14ac:dyDescent="0.25">
      <c r="A3729" s="2">
        <v>44642</v>
      </c>
      <c r="B3729" s="1" t="s">
        <v>70</v>
      </c>
      <c r="C3729">
        <v>12825</v>
      </c>
      <c r="D3729" s="1" t="s">
        <v>177</v>
      </c>
      <c r="E3729" s="1" t="s">
        <v>7</v>
      </c>
      <c r="F3729">
        <v>63</v>
      </c>
      <c r="G3729" s="1" t="str">
        <f>Ocupacao_DW[[#This Row],[data]]&amp;Ocupacao_DW[[#This Row],[profissional_id]]&amp;Ocupacao_DW[[#This Row],[local_id]]</f>
        <v>446421282563</v>
      </c>
      <c r="H3729" s="1">
        <f>_xlfn.XLOOKUP(Ocupacao_DW[[#This Row],[Concat]],Vagas!$H:$H,Vagas!$D:$D,"",0)</f>
        <v>0</v>
      </c>
    </row>
    <row r="3730" spans="1:8" x14ac:dyDescent="0.25">
      <c r="A3730" s="2">
        <v>44643</v>
      </c>
      <c r="B3730" s="1" t="s">
        <v>52</v>
      </c>
      <c r="C3730">
        <v>10691</v>
      </c>
      <c r="D3730" s="1" t="s">
        <v>181</v>
      </c>
      <c r="E3730" s="1" t="s">
        <v>6</v>
      </c>
      <c r="F3730">
        <v>9</v>
      </c>
      <c r="G3730" s="1" t="str">
        <f>Ocupacao_DW[[#This Row],[data]]&amp;Ocupacao_DW[[#This Row],[profissional_id]]&amp;Ocupacao_DW[[#This Row],[local_id]]</f>
        <v>44643106919</v>
      </c>
      <c r="H3730" s="1">
        <f>_xlfn.XLOOKUP(Ocupacao_DW[[#This Row],[Concat]],Vagas!$H:$H,Vagas!$D:$D,"",0)</f>
        <v>0</v>
      </c>
    </row>
    <row r="3731" spans="1:8" x14ac:dyDescent="0.25">
      <c r="A3731" s="2">
        <v>44635</v>
      </c>
      <c r="B3731" s="1" t="s">
        <v>55</v>
      </c>
      <c r="C3731">
        <v>14452</v>
      </c>
      <c r="D3731" s="1" t="s">
        <v>266</v>
      </c>
      <c r="E3731" s="1" t="s">
        <v>200</v>
      </c>
      <c r="F3731">
        <v>78</v>
      </c>
      <c r="G3731" s="1" t="str">
        <f>Ocupacao_DW[[#This Row],[data]]&amp;Ocupacao_DW[[#This Row],[profissional_id]]&amp;Ocupacao_DW[[#This Row],[local_id]]</f>
        <v>446351445278</v>
      </c>
      <c r="H3731" s="1">
        <f>_xlfn.XLOOKUP(Ocupacao_DW[[#This Row],[Concat]],Vagas!$H:$H,Vagas!$D:$D,"",0)</f>
        <v>0</v>
      </c>
    </row>
    <row r="3732" spans="1:8" x14ac:dyDescent="0.25">
      <c r="A3732" s="2">
        <v>44641</v>
      </c>
      <c r="B3732" s="1" t="s">
        <v>52</v>
      </c>
      <c r="C3732">
        <v>10691</v>
      </c>
      <c r="D3732" s="1" t="s">
        <v>181</v>
      </c>
      <c r="E3732" s="1" t="s">
        <v>6</v>
      </c>
      <c r="F3732">
        <v>9</v>
      </c>
      <c r="G3732" s="1" t="str">
        <f>Ocupacao_DW[[#This Row],[data]]&amp;Ocupacao_DW[[#This Row],[profissional_id]]&amp;Ocupacao_DW[[#This Row],[local_id]]</f>
        <v>44641106919</v>
      </c>
      <c r="H3732" s="1">
        <f>_xlfn.XLOOKUP(Ocupacao_DW[[#This Row],[Concat]],Vagas!$H:$H,Vagas!$D:$D,"",0)</f>
        <v>0</v>
      </c>
    </row>
    <row r="3733" spans="1:8" x14ac:dyDescent="0.25">
      <c r="A3733" s="2">
        <v>44639</v>
      </c>
      <c r="B3733" s="1" t="s">
        <v>72</v>
      </c>
      <c r="C3733">
        <v>6046</v>
      </c>
      <c r="D3733" s="1" t="s">
        <v>222</v>
      </c>
      <c r="E3733" s="1" t="s">
        <v>4</v>
      </c>
      <c r="F3733">
        <v>46</v>
      </c>
      <c r="G3733" s="1" t="str">
        <f>Ocupacao_DW[[#This Row],[data]]&amp;Ocupacao_DW[[#This Row],[profissional_id]]&amp;Ocupacao_DW[[#This Row],[local_id]]</f>
        <v>44639604646</v>
      </c>
      <c r="H3733" s="1">
        <f>_xlfn.XLOOKUP(Ocupacao_DW[[#This Row],[Concat]],Vagas!$H:$H,Vagas!$D:$D,"",0)</f>
        <v>0</v>
      </c>
    </row>
    <row r="3734" spans="1:8" x14ac:dyDescent="0.25">
      <c r="A3734" s="2">
        <v>44642</v>
      </c>
      <c r="B3734" s="1" t="s">
        <v>55</v>
      </c>
      <c r="C3734">
        <v>12669</v>
      </c>
      <c r="D3734" s="1" t="s">
        <v>223</v>
      </c>
      <c r="E3734" s="1" t="s">
        <v>6</v>
      </c>
      <c r="F3734">
        <v>6</v>
      </c>
      <c r="G3734" s="1" t="str">
        <f>Ocupacao_DW[[#This Row],[data]]&amp;Ocupacao_DW[[#This Row],[profissional_id]]&amp;Ocupacao_DW[[#This Row],[local_id]]</f>
        <v>44642126696</v>
      </c>
      <c r="H3734" s="1">
        <f>_xlfn.XLOOKUP(Ocupacao_DW[[#This Row],[Concat]],Vagas!$H:$H,Vagas!$D:$D,"",0)</f>
        <v>0</v>
      </c>
    </row>
    <row r="3735" spans="1:8" x14ac:dyDescent="0.25">
      <c r="A3735" s="2">
        <v>44635</v>
      </c>
      <c r="B3735" s="1" t="s">
        <v>64</v>
      </c>
      <c r="C3735">
        <v>86</v>
      </c>
      <c r="D3735" s="1" t="s">
        <v>175</v>
      </c>
      <c r="E3735" s="1" t="s">
        <v>200</v>
      </c>
      <c r="F3735">
        <v>82</v>
      </c>
      <c r="G3735" s="1" t="str">
        <f>Ocupacao_DW[[#This Row],[data]]&amp;Ocupacao_DW[[#This Row],[profissional_id]]&amp;Ocupacao_DW[[#This Row],[local_id]]</f>
        <v>446358682</v>
      </c>
      <c r="H3735" s="1">
        <f>_xlfn.XLOOKUP(Ocupacao_DW[[#This Row],[Concat]],Vagas!$H:$H,Vagas!$D:$D,"",0)</f>
        <v>6</v>
      </c>
    </row>
    <row r="3736" spans="1:8" x14ac:dyDescent="0.25">
      <c r="A3736" s="2">
        <v>44635</v>
      </c>
      <c r="B3736" s="1" t="s">
        <v>62</v>
      </c>
      <c r="C3736">
        <v>3502</v>
      </c>
      <c r="D3736" s="1" t="s">
        <v>214</v>
      </c>
      <c r="E3736" s="1" t="s">
        <v>5</v>
      </c>
      <c r="F3736">
        <v>16</v>
      </c>
      <c r="G3736" s="1" t="str">
        <f>Ocupacao_DW[[#This Row],[data]]&amp;Ocupacao_DW[[#This Row],[profissional_id]]&amp;Ocupacao_DW[[#This Row],[local_id]]</f>
        <v>44635350216</v>
      </c>
      <c r="H3736" s="1">
        <f>_xlfn.XLOOKUP(Ocupacao_DW[[#This Row],[Concat]],Vagas!$H:$H,Vagas!$D:$D,"",0)</f>
        <v>0</v>
      </c>
    </row>
    <row r="3737" spans="1:8" x14ac:dyDescent="0.25">
      <c r="A3737" s="2">
        <v>44636</v>
      </c>
      <c r="B3737" s="1" t="s">
        <v>72</v>
      </c>
      <c r="C3737">
        <v>1794</v>
      </c>
      <c r="D3737" s="1" t="s">
        <v>235</v>
      </c>
      <c r="E3737" s="1" t="s">
        <v>4</v>
      </c>
      <c r="F3737">
        <v>49</v>
      </c>
      <c r="G3737" s="1" t="str">
        <f>Ocupacao_DW[[#This Row],[data]]&amp;Ocupacao_DW[[#This Row],[profissional_id]]&amp;Ocupacao_DW[[#This Row],[local_id]]</f>
        <v>44636179449</v>
      </c>
      <c r="H3737" s="1">
        <f>_xlfn.XLOOKUP(Ocupacao_DW[[#This Row],[Concat]],Vagas!$H:$H,Vagas!$D:$D,"",0)</f>
        <v>0</v>
      </c>
    </row>
    <row r="3738" spans="1:8" x14ac:dyDescent="0.25">
      <c r="A3738" s="2">
        <v>44648</v>
      </c>
      <c r="B3738" s="1" t="s">
        <v>55</v>
      </c>
      <c r="C3738">
        <v>2984</v>
      </c>
      <c r="D3738" s="1" t="s">
        <v>185</v>
      </c>
      <c r="E3738" s="1" t="s">
        <v>6</v>
      </c>
      <c r="F3738">
        <v>7</v>
      </c>
      <c r="G3738" s="1" t="str">
        <f>Ocupacao_DW[[#This Row],[data]]&amp;Ocupacao_DW[[#This Row],[profissional_id]]&amp;Ocupacao_DW[[#This Row],[local_id]]</f>
        <v>4464829847</v>
      </c>
      <c r="H3738" s="1">
        <f>_xlfn.XLOOKUP(Ocupacao_DW[[#This Row],[Concat]],Vagas!$H:$H,Vagas!$D:$D,"",0)</f>
        <v>0</v>
      </c>
    </row>
    <row r="3739" spans="1:8" x14ac:dyDescent="0.25">
      <c r="A3739" s="2">
        <v>44637</v>
      </c>
      <c r="B3739" s="1" t="s">
        <v>72</v>
      </c>
      <c r="C3739">
        <v>6046</v>
      </c>
      <c r="D3739" s="1" t="s">
        <v>222</v>
      </c>
      <c r="E3739" s="1" t="s">
        <v>4</v>
      </c>
      <c r="F3739">
        <v>46</v>
      </c>
      <c r="G3739" s="1" t="str">
        <f>Ocupacao_DW[[#This Row],[data]]&amp;Ocupacao_DW[[#This Row],[profissional_id]]&amp;Ocupacao_DW[[#This Row],[local_id]]</f>
        <v>44637604646</v>
      </c>
      <c r="H3739" s="1">
        <f>_xlfn.XLOOKUP(Ocupacao_DW[[#This Row],[Concat]],Vagas!$H:$H,Vagas!$D:$D,"",0)</f>
        <v>0</v>
      </c>
    </row>
    <row r="3740" spans="1:8" x14ac:dyDescent="0.25">
      <c r="A3740" s="2">
        <v>44646</v>
      </c>
      <c r="B3740" s="1" t="s">
        <v>49</v>
      </c>
      <c r="C3740">
        <v>13756</v>
      </c>
      <c r="D3740" s="1" t="s">
        <v>202</v>
      </c>
      <c r="E3740" s="1" t="s">
        <v>4</v>
      </c>
      <c r="F3740">
        <v>43</v>
      </c>
      <c r="G3740" s="1" t="str">
        <f>Ocupacao_DW[[#This Row],[data]]&amp;Ocupacao_DW[[#This Row],[profissional_id]]&amp;Ocupacao_DW[[#This Row],[local_id]]</f>
        <v>446461375643</v>
      </c>
      <c r="H3740" s="1">
        <f>_xlfn.XLOOKUP(Ocupacao_DW[[#This Row],[Concat]],Vagas!$H:$H,Vagas!$D:$D,"",0)</f>
        <v>0</v>
      </c>
    </row>
    <row r="3741" spans="1:8" x14ac:dyDescent="0.25">
      <c r="A3741" s="2">
        <v>44636</v>
      </c>
      <c r="B3741" s="1" t="s">
        <v>47</v>
      </c>
      <c r="C3741">
        <v>111</v>
      </c>
      <c r="D3741" s="1" t="s">
        <v>199</v>
      </c>
      <c r="E3741" s="1" t="s">
        <v>4</v>
      </c>
      <c r="F3741">
        <v>51</v>
      </c>
      <c r="G3741" s="1" t="str">
        <f>Ocupacao_DW[[#This Row],[data]]&amp;Ocupacao_DW[[#This Row],[profissional_id]]&amp;Ocupacao_DW[[#This Row],[local_id]]</f>
        <v>4463611151</v>
      </c>
      <c r="H3741" s="1">
        <f>_xlfn.XLOOKUP(Ocupacao_DW[[#This Row],[Concat]],Vagas!$H:$H,Vagas!$D:$D,"",0)</f>
        <v>1</v>
      </c>
    </row>
    <row r="3742" spans="1:8" x14ac:dyDescent="0.25">
      <c r="A3742" s="2">
        <v>44650</v>
      </c>
      <c r="B3742" s="1" t="s">
        <v>55</v>
      </c>
      <c r="C3742">
        <v>73</v>
      </c>
      <c r="D3742" s="1" t="s">
        <v>171</v>
      </c>
      <c r="E3742" s="1" t="s">
        <v>6</v>
      </c>
      <c r="F3742">
        <v>5</v>
      </c>
      <c r="G3742" s="1" t="str">
        <f>Ocupacao_DW[[#This Row],[data]]&amp;Ocupacao_DW[[#This Row],[profissional_id]]&amp;Ocupacao_DW[[#This Row],[local_id]]</f>
        <v>44650735</v>
      </c>
      <c r="H3742" s="1">
        <f>_xlfn.XLOOKUP(Ocupacao_DW[[#This Row],[Concat]],Vagas!$H:$H,Vagas!$D:$D,"",0)</f>
        <v>0</v>
      </c>
    </row>
    <row r="3743" spans="1:8" x14ac:dyDescent="0.25">
      <c r="A3743" s="2">
        <v>44637</v>
      </c>
      <c r="B3743" s="1" t="s">
        <v>54</v>
      </c>
      <c r="C3743">
        <v>69</v>
      </c>
      <c r="D3743" s="1" t="s">
        <v>238</v>
      </c>
      <c r="E3743" s="1" t="s">
        <v>200</v>
      </c>
      <c r="F3743">
        <v>82</v>
      </c>
      <c r="G3743" s="1" t="str">
        <f>Ocupacao_DW[[#This Row],[data]]&amp;Ocupacao_DW[[#This Row],[profissional_id]]&amp;Ocupacao_DW[[#This Row],[local_id]]</f>
        <v>446376982</v>
      </c>
      <c r="H3743" s="1">
        <f>_xlfn.XLOOKUP(Ocupacao_DW[[#This Row],[Concat]],Vagas!$H:$H,Vagas!$D:$D,"",0)</f>
        <v>0</v>
      </c>
    </row>
    <row r="3744" spans="1:8" x14ac:dyDescent="0.25">
      <c r="A3744" s="2">
        <v>44642</v>
      </c>
      <c r="B3744" s="1" t="s">
        <v>49</v>
      </c>
      <c r="C3744">
        <v>10600</v>
      </c>
      <c r="D3744" s="1" t="s">
        <v>248</v>
      </c>
      <c r="E3744" s="1" t="s">
        <v>200</v>
      </c>
      <c r="F3744">
        <v>86</v>
      </c>
      <c r="G3744" s="1" t="str">
        <f>Ocupacao_DW[[#This Row],[data]]&amp;Ocupacao_DW[[#This Row],[profissional_id]]&amp;Ocupacao_DW[[#This Row],[local_id]]</f>
        <v>446421060086</v>
      </c>
      <c r="H3744" s="1">
        <f>_xlfn.XLOOKUP(Ocupacao_DW[[#This Row],[Concat]],Vagas!$H:$H,Vagas!$D:$D,"",0)</f>
        <v>0</v>
      </c>
    </row>
    <row r="3745" spans="1:8" x14ac:dyDescent="0.25">
      <c r="A3745" s="2">
        <v>44635</v>
      </c>
      <c r="B3745" s="1"/>
      <c r="C3745">
        <v>0</v>
      </c>
      <c r="D3745" s="1"/>
      <c r="E3745" s="1" t="s">
        <v>7</v>
      </c>
      <c r="F3745">
        <v>59</v>
      </c>
      <c r="G3745" s="1" t="str">
        <f>Ocupacao_DW[[#This Row],[data]]&amp;Ocupacao_DW[[#This Row],[profissional_id]]&amp;Ocupacao_DW[[#This Row],[local_id]]</f>
        <v>44635059</v>
      </c>
      <c r="H3745" s="1" t="str">
        <f>_xlfn.XLOOKUP(Ocupacao_DW[[#This Row],[Concat]],Vagas!$H:$H,Vagas!$D:$D,"",0)</f>
        <v/>
      </c>
    </row>
    <row r="3746" spans="1:8" x14ac:dyDescent="0.25">
      <c r="A3746" s="2">
        <v>44635</v>
      </c>
      <c r="B3746" s="1" t="s">
        <v>51</v>
      </c>
      <c r="C3746">
        <v>12582</v>
      </c>
      <c r="D3746" s="1" t="s">
        <v>190</v>
      </c>
      <c r="E3746" s="1" t="s">
        <v>7</v>
      </c>
      <c r="F3746">
        <v>62</v>
      </c>
      <c r="G3746" s="1" t="str">
        <f>Ocupacao_DW[[#This Row],[data]]&amp;Ocupacao_DW[[#This Row],[profissional_id]]&amp;Ocupacao_DW[[#This Row],[local_id]]</f>
        <v>446351258262</v>
      </c>
      <c r="H3746" s="1">
        <f>_xlfn.XLOOKUP(Ocupacao_DW[[#This Row],[Concat]],Vagas!$H:$H,Vagas!$D:$D,"",0)</f>
        <v>0</v>
      </c>
    </row>
    <row r="3747" spans="1:8" x14ac:dyDescent="0.25">
      <c r="A3747" s="2">
        <v>44635</v>
      </c>
      <c r="B3747" s="1" t="s">
        <v>49</v>
      </c>
      <c r="C3747">
        <v>10600</v>
      </c>
      <c r="D3747" s="1" t="s">
        <v>248</v>
      </c>
      <c r="E3747" s="1" t="s">
        <v>200</v>
      </c>
      <c r="F3747">
        <v>86</v>
      </c>
      <c r="G3747" s="1" t="str">
        <f>Ocupacao_DW[[#This Row],[data]]&amp;Ocupacao_DW[[#This Row],[profissional_id]]&amp;Ocupacao_DW[[#This Row],[local_id]]</f>
        <v>446351060086</v>
      </c>
      <c r="H3747" s="1">
        <f>_xlfn.XLOOKUP(Ocupacao_DW[[#This Row],[Concat]],Vagas!$H:$H,Vagas!$D:$D,"",0)</f>
        <v>0</v>
      </c>
    </row>
    <row r="3748" spans="1:8" x14ac:dyDescent="0.25">
      <c r="A3748" s="2">
        <v>44657</v>
      </c>
      <c r="B3748" s="1" t="s">
        <v>70</v>
      </c>
      <c r="C3748">
        <v>12825</v>
      </c>
      <c r="D3748" s="1" t="s">
        <v>177</v>
      </c>
      <c r="E3748" s="1" t="s">
        <v>4</v>
      </c>
      <c r="F3748">
        <v>45</v>
      </c>
      <c r="G3748" s="1" t="str">
        <f>Ocupacao_DW[[#This Row],[data]]&amp;Ocupacao_DW[[#This Row],[profissional_id]]&amp;Ocupacao_DW[[#This Row],[local_id]]</f>
        <v>446571282545</v>
      </c>
      <c r="H3748" s="1">
        <f>_xlfn.XLOOKUP(Ocupacao_DW[[#This Row],[Concat]],Vagas!$H:$H,Vagas!$D:$D,"",0)</f>
        <v>0</v>
      </c>
    </row>
    <row r="3749" spans="1:8" x14ac:dyDescent="0.25">
      <c r="A3749" s="2">
        <v>44635</v>
      </c>
      <c r="B3749" s="1" t="s">
        <v>47</v>
      </c>
      <c r="C3749">
        <v>11207</v>
      </c>
      <c r="D3749" s="1" t="s">
        <v>251</v>
      </c>
      <c r="E3749" s="1" t="s">
        <v>4</v>
      </c>
      <c r="F3749">
        <v>51</v>
      </c>
      <c r="G3749" s="1" t="str">
        <f>Ocupacao_DW[[#This Row],[data]]&amp;Ocupacao_DW[[#This Row],[profissional_id]]&amp;Ocupacao_DW[[#This Row],[local_id]]</f>
        <v>446351120751</v>
      </c>
      <c r="H3749" s="1">
        <f>_xlfn.XLOOKUP(Ocupacao_DW[[#This Row],[Concat]],Vagas!$H:$H,Vagas!$D:$D,"",0)</f>
        <v>0</v>
      </c>
    </row>
    <row r="3750" spans="1:8" x14ac:dyDescent="0.25">
      <c r="A3750" s="2">
        <v>44637</v>
      </c>
      <c r="B3750" s="1" t="s">
        <v>49</v>
      </c>
      <c r="C3750">
        <v>266</v>
      </c>
      <c r="D3750" s="1" t="s">
        <v>201</v>
      </c>
      <c r="E3750" s="1" t="s">
        <v>4</v>
      </c>
      <c r="F3750">
        <v>42</v>
      </c>
      <c r="G3750" s="1" t="str">
        <f>Ocupacao_DW[[#This Row],[data]]&amp;Ocupacao_DW[[#This Row],[profissional_id]]&amp;Ocupacao_DW[[#This Row],[local_id]]</f>
        <v>4463726642</v>
      </c>
      <c r="H3750" s="1">
        <f>_xlfn.XLOOKUP(Ocupacao_DW[[#This Row],[Concat]],Vagas!$H:$H,Vagas!$D:$D,"",0)</f>
        <v>0</v>
      </c>
    </row>
    <row r="3751" spans="1:8" x14ac:dyDescent="0.25">
      <c r="A3751" s="2">
        <v>44638</v>
      </c>
      <c r="B3751" s="1" t="s">
        <v>24</v>
      </c>
      <c r="C3751">
        <v>60</v>
      </c>
      <c r="D3751" s="1" t="s">
        <v>217</v>
      </c>
      <c r="E3751" s="1" t="s">
        <v>6</v>
      </c>
      <c r="F3751">
        <v>1</v>
      </c>
      <c r="G3751" s="1" t="str">
        <f>Ocupacao_DW[[#This Row],[data]]&amp;Ocupacao_DW[[#This Row],[profissional_id]]&amp;Ocupacao_DW[[#This Row],[local_id]]</f>
        <v>44638601</v>
      </c>
      <c r="H3751" s="1">
        <f>_xlfn.XLOOKUP(Ocupacao_DW[[#This Row],[Concat]],Vagas!$H:$H,Vagas!$D:$D,"",0)</f>
        <v>0</v>
      </c>
    </row>
    <row r="3752" spans="1:8" x14ac:dyDescent="0.25">
      <c r="A3752" s="2">
        <v>44643</v>
      </c>
      <c r="B3752" s="1" t="s">
        <v>70</v>
      </c>
      <c r="C3752">
        <v>12825</v>
      </c>
      <c r="D3752" s="1" t="s">
        <v>177</v>
      </c>
      <c r="E3752" s="1" t="s">
        <v>4</v>
      </c>
      <c r="F3752">
        <v>45</v>
      </c>
      <c r="G3752" s="1" t="str">
        <f>Ocupacao_DW[[#This Row],[data]]&amp;Ocupacao_DW[[#This Row],[profissional_id]]&amp;Ocupacao_DW[[#This Row],[local_id]]</f>
        <v>446431282545</v>
      </c>
      <c r="H3752" s="1">
        <f>_xlfn.XLOOKUP(Ocupacao_DW[[#This Row],[Concat]],Vagas!$H:$H,Vagas!$D:$D,"",0)</f>
        <v>0</v>
      </c>
    </row>
    <row r="3753" spans="1:8" x14ac:dyDescent="0.25">
      <c r="A3753" s="2">
        <v>44635</v>
      </c>
      <c r="B3753" s="1" t="s">
        <v>68</v>
      </c>
      <c r="C3753">
        <v>8239</v>
      </c>
      <c r="D3753" s="1" t="s">
        <v>257</v>
      </c>
      <c r="E3753" s="1" t="s">
        <v>167</v>
      </c>
      <c r="F3753">
        <v>345</v>
      </c>
      <c r="G3753" s="1" t="str">
        <f>Ocupacao_DW[[#This Row],[data]]&amp;Ocupacao_DW[[#This Row],[profissional_id]]&amp;Ocupacao_DW[[#This Row],[local_id]]</f>
        <v>446358239345</v>
      </c>
      <c r="H3753" s="1">
        <f>_xlfn.XLOOKUP(Ocupacao_DW[[#This Row],[Concat]],Vagas!$H:$H,Vagas!$D:$D,"",0)</f>
        <v>0</v>
      </c>
    </row>
    <row r="3754" spans="1:8" x14ac:dyDescent="0.25">
      <c r="A3754" s="2">
        <v>44635</v>
      </c>
      <c r="B3754" s="1" t="s">
        <v>55</v>
      </c>
      <c r="C3754">
        <v>60</v>
      </c>
      <c r="D3754" s="1" t="s">
        <v>217</v>
      </c>
      <c r="E3754" s="1" t="s">
        <v>167</v>
      </c>
      <c r="F3754">
        <v>345</v>
      </c>
      <c r="G3754" s="1" t="str">
        <f>Ocupacao_DW[[#This Row],[data]]&amp;Ocupacao_DW[[#This Row],[profissional_id]]&amp;Ocupacao_DW[[#This Row],[local_id]]</f>
        <v>4463560345</v>
      </c>
      <c r="H3754" s="1">
        <f>_xlfn.XLOOKUP(Ocupacao_DW[[#This Row],[Concat]],Vagas!$H:$H,Vagas!$D:$D,"",0)</f>
        <v>0</v>
      </c>
    </row>
    <row r="3755" spans="1:8" x14ac:dyDescent="0.25">
      <c r="A3755" s="2">
        <v>44635</v>
      </c>
      <c r="B3755" s="1" t="s">
        <v>49</v>
      </c>
      <c r="C3755">
        <v>81</v>
      </c>
      <c r="D3755" s="1" t="s">
        <v>170</v>
      </c>
      <c r="E3755" s="1" t="s">
        <v>4</v>
      </c>
      <c r="F3755">
        <v>41</v>
      </c>
      <c r="G3755" s="1" t="str">
        <f>Ocupacao_DW[[#This Row],[data]]&amp;Ocupacao_DW[[#This Row],[profissional_id]]&amp;Ocupacao_DW[[#This Row],[local_id]]</f>
        <v>446358141</v>
      </c>
      <c r="H3755" s="1">
        <f>_xlfn.XLOOKUP(Ocupacao_DW[[#This Row],[Concat]],Vagas!$H:$H,Vagas!$D:$D,"",0)</f>
        <v>0</v>
      </c>
    </row>
    <row r="3756" spans="1:8" x14ac:dyDescent="0.25">
      <c r="A3756" s="2">
        <v>44642</v>
      </c>
      <c r="B3756" s="1" t="s">
        <v>68</v>
      </c>
      <c r="C3756">
        <v>8239</v>
      </c>
      <c r="D3756" s="1" t="s">
        <v>257</v>
      </c>
      <c r="E3756" s="1" t="s">
        <v>5</v>
      </c>
      <c r="F3756">
        <v>14</v>
      </c>
      <c r="G3756" s="1" t="str">
        <f>Ocupacao_DW[[#This Row],[data]]&amp;Ocupacao_DW[[#This Row],[profissional_id]]&amp;Ocupacao_DW[[#This Row],[local_id]]</f>
        <v>44642823914</v>
      </c>
      <c r="H3756" s="1">
        <f>_xlfn.XLOOKUP(Ocupacao_DW[[#This Row],[Concat]],Vagas!$H:$H,Vagas!$D:$D,"",0)</f>
        <v>0</v>
      </c>
    </row>
    <row r="3757" spans="1:8" x14ac:dyDescent="0.25">
      <c r="A3757" s="2">
        <v>44642</v>
      </c>
      <c r="B3757" s="1" t="s">
        <v>70</v>
      </c>
      <c r="C3757">
        <v>14237</v>
      </c>
      <c r="D3757" s="1" t="s">
        <v>186</v>
      </c>
      <c r="E3757" s="1" t="s">
        <v>4</v>
      </c>
      <c r="F3757">
        <v>47</v>
      </c>
      <c r="G3757" s="1" t="str">
        <f>Ocupacao_DW[[#This Row],[data]]&amp;Ocupacao_DW[[#This Row],[profissional_id]]&amp;Ocupacao_DW[[#This Row],[local_id]]</f>
        <v>446421423747</v>
      </c>
      <c r="H3757" s="1">
        <f>_xlfn.XLOOKUP(Ocupacao_DW[[#This Row],[Concat]],Vagas!$H:$H,Vagas!$D:$D,"",0)</f>
        <v>0</v>
      </c>
    </row>
    <row r="3758" spans="1:8" x14ac:dyDescent="0.25">
      <c r="A3758" s="2">
        <v>44636</v>
      </c>
      <c r="B3758" s="1" t="s">
        <v>62</v>
      </c>
      <c r="C3758">
        <v>10799</v>
      </c>
      <c r="D3758" s="1" t="s">
        <v>204</v>
      </c>
      <c r="E3758" s="1" t="s">
        <v>5</v>
      </c>
      <c r="F3758">
        <v>18</v>
      </c>
      <c r="G3758" s="1" t="str">
        <f>Ocupacao_DW[[#This Row],[data]]&amp;Ocupacao_DW[[#This Row],[profissional_id]]&amp;Ocupacao_DW[[#This Row],[local_id]]</f>
        <v>446361079918</v>
      </c>
      <c r="H3758" s="1">
        <f>_xlfn.XLOOKUP(Ocupacao_DW[[#This Row],[Concat]],Vagas!$H:$H,Vagas!$D:$D,"",0)</f>
        <v>0</v>
      </c>
    </row>
    <row r="3759" spans="1:8" x14ac:dyDescent="0.25">
      <c r="A3759" s="2">
        <v>44635</v>
      </c>
      <c r="B3759" s="1" t="s">
        <v>53</v>
      </c>
      <c r="C3759">
        <v>9138</v>
      </c>
      <c r="D3759" s="1" t="s">
        <v>184</v>
      </c>
      <c r="E3759" s="1" t="s">
        <v>167</v>
      </c>
      <c r="F3759">
        <v>344</v>
      </c>
      <c r="G3759" s="1" t="str">
        <f>Ocupacao_DW[[#This Row],[data]]&amp;Ocupacao_DW[[#This Row],[profissional_id]]&amp;Ocupacao_DW[[#This Row],[local_id]]</f>
        <v>446359138344</v>
      </c>
      <c r="H3759" s="1">
        <f>_xlfn.XLOOKUP(Ocupacao_DW[[#This Row],[Concat]],Vagas!$H:$H,Vagas!$D:$D,"",0)</f>
        <v>0</v>
      </c>
    </row>
    <row r="3760" spans="1:8" x14ac:dyDescent="0.25">
      <c r="A3760" s="2">
        <v>44650</v>
      </c>
      <c r="B3760" s="1" t="s">
        <v>51</v>
      </c>
      <c r="C3760">
        <v>17859</v>
      </c>
      <c r="D3760" s="1" t="s">
        <v>212</v>
      </c>
      <c r="E3760" s="1" t="s">
        <v>6</v>
      </c>
      <c r="F3760">
        <v>7</v>
      </c>
      <c r="G3760" s="1" t="str">
        <f>Ocupacao_DW[[#This Row],[data]]&amp;Ocupacao_DW[[#This Row],[profissional_id]]&amp;Ocupacao_DW[[#This Row],[local_id]]</f>
        <v>44650178597</v>
      </c>
      <c r="H3760" s="1">
        <f>_xlfn.XLOOKUP(Ocupacao_DW[[#This Row],[Concat]],Vagas!$H:$H,Vagas!$D:$D,"",0)</f>
        <v>0</v>
      </c>
    </row>
    <row r="3761" spans="1:8" x14ac:dyDescent="0.25">
      <c r="A3761" s="2">
        <v>44635</v>
      </c>
      <c r="B3761" s="1" t="s">
        <v>55</v>
      </c>
      <c r="C3761">
        <v>14452</v>
      </c>
      <c r="D3761" s="1" t="s">
        <v>266</v>
      </c>
      <c r="E3761" s="1" t="s">
        <v>200</v>
      </c>
      <c r="F3761">
        <v>78</v>
      </c>
      <c r="G3761" s="1" t="str">
        <f>Ocupacao_DW[[#This Row],[data]]&amp;Ocupacao_DW[[#This Row],[profissional_id]]&amp;Ocupacao_DW[[#This Row],[local_id]]</f>
        <v>446351445278</v>
      </c>
      <c r="H3761" s="1">
        <f>_xlfn.XLOOKUP(Ocupacao_DW[[#This Row],[Concat]],Vagas!$H:$H,Vagas!$D:$D,"",0)</f>
        <v>0</v>
      </c>
    </row>
    <row r="3762" spans="1:8" x14ac:dyDescent="0.25">
      <c r="A3762" s="2">
        <v>44635</v>
      </c>
      <c r="B3762" s="1" t="s">
        <v>62</v>
      </c>
      <c r="C3762">
        <v>3502</v>
      </c>
      <c r="D3762" s="1" t="s">
        <v>214</v>
      </c>
      <c r="E3762" s="1" t="s">
        <v>5</v>
      </c>
      <c r="F3762">
        <v>16</v>
      </c>
      <c r="G3762" s="1" t="str">
        <f>Ocupacao_DW[[#This Row],[data]]&amp;Ocupacao_DW[[#This Row],[profissional_id]]&amp;Ocupacao_DW[[#This Row],[local_id]]</f>
        <v>44635350216</v>
      </c>
      <c r="H3762" s="1">
        <f>_xlfn.XLOOKUP(Ocupacao_DW[[#This Row],[Concat]],Vagas!$H:$H,Vagas!$D:$D,"",0)</f>
        <v>0</v>
      </c>
    </row>
    <row r="3763" spans="1:8" x14ac:dyDescent="0.25">
      <c r="A3763" s="2">
        <v>44636</v>
      </c>
      <c r="B3763" s="1" t="s">
        <v>56</v>
      </c>
      <c r="C3763">
        <v>5927</v>
      </c>
      <c r="D3763" s="1" t="s">
        <v>226</v>
      </c>
      <c r="E3763" s="1" t="s">
        <v>5</v>
      </c>
      <c r="F3763">
        <v>17</v>
      </c>
      <c r="G3763" s="1" t="str">
        <f>Ocupacao_DW[[#This Row],[data]]&amp;Ocupacao_DW[[#This Row],[profissional_id]]&amp;Ocupacao_DW[[#This Row],[local_id]]</f>
        <v>44636592717</v>
      </c>
      <c r="H3763" s="1">
        <f>_xlfn.XLOOKUP(Ocupacao_DW[[#This Row],[Concat]],Vagas!$H:$H,Vagas!$D:$D,"",0)</f>
        <v>0</v>
      </c>
    </row>
    <row r="3764" spans="1:8" x14ac:dyDescent="0.25">
      <c r="A3764" s="2">
        <v>44635</v>
      </c>
      <c r="B3764" s="1" t="s">
        <v>54</v>
      </c>
      <c r="C3764">
        <v>12623</v>
      </c>
      <c r="D3764" s="1" t="s">
        <v>258</v>
      </c>
      <c r="E3764" s="1" t="s">
        <v>5</v>
      </c>
      <c r="F3764">
        <v>11</v>
      </c>
      <c r="G3764" s="1" t="str">
        <f>Ocupacao_DW[[#This Row],[data]]&amp;Ocupacao_DW[[#This Row],[profissional_id]]&amp;Ocupacao_DW[[#This Row],[local_id]]</f>
        <v>446351262311</v>
      </c>
      <c r="H3764" s="1">
        <f>_xlfn.XLOOKUP(Ocupacao_DW[[#This Row],[Concat]],Vagas!$H:$H,Vagas!$D:$D,"",0)</f>
        <v>0</v>
      </c>
    </row>
    <row r="3765" spans="1:8" x14ac:dyDescent="0.25">
      <c r="A3765" s="2">
        <v>44635</v>
      </c>
      <c r="B3765" s="1" t="s">
        <v>47</v>
      </c>
      <c r="C3765">
        <v>9111</v>
      </c>
      <c r="D3765" s="1" t="s">
        <v>206</v>
      </c>
      <c r="E3765" s="1" t="s">
        <v>4</v>
      </c>
      <c r="F3765">
        <v>335</v>
      </c>
      <c r="G3765" s="1" t="str">
        <f>Ocupacao_DW[[#This Row],[data]]&amp;Ocupacao_DW[[#This Row],[profissional_id]]&amp;Ocupacao_DW[[#This Row],[local_id]]</f>
        <v>446359111335</v>
      </c>
      <c r="H3765" s="1">
        <f>_xlfn.XLOOKUP(Ocupacao_DW[[#This Row],[Concat]],Vagas!$H:$H,Vagas!$D:$D,"",0)</f>
        <v>0</v>
      </c>
    </row>
    <row r="3766" spans="1:8" x14ac:dyDescent="0.25">
      <c r="A3766" s="2">
        <v>44638</v>
      </c>
      <c r="B3766" s="1" t="s">
        <v>52</v>
      </c>
      <c r="C3766">
        <v>55</v>
      </c>
      <c r="D3766" s="1" t="s">
        <v>244</v>
      </c>
      <c r="E3766" s="1" t="s">
        <v>7</v>
      </c>
      <c r="F3766">
        <v>68</v>
      </c>
      <c r="G3766" s="1" t="str">
        <f>Ocupacao_DW[[#This Row],[data]]&amp;Ocupacao_DW[[#This Row],[profissional_id]]&amp;Ocupacao_DW[[#This Row],[local_id]]</f>
        <v>446385568</v>
      </c>
      <c r="H3766" s="1">
        <f>_xlfn.XLOOKUP(Ocupacao_DW[[#This Row],[Concat]],Vagas!$H:$H,Vagas!$D:$D,"",0)</f>
        <v>0</v>
      </c>
    </row>
    <row r="3767" spans="1:8" x14ac:dyDescent="0.25">
      <c r="A3767" s="2">
        <v>44635</v>
      </c>
      <c r="B3767" s="1" t="s">
        <v>49</v>
      </c>
      <c r="C3767">
        <v>81</v>
      </c>
      <c r="D3767" s="1" t="s">
        <v>170</v>
      </c>
      <c r="E3767" s="1" t="s">
        <v>4</v>
      </c>
      <c r="F3767">
        <v>41</v>
      </c>
      <c r="G3767" s="1" t="str">
        <f>Ocupacao_DW[[#This Row],[data]]&amp;Ocupacao_DW[[#This Row],[profissional_id]]&amp;Ocupacao_DW[[#This Row],[local_id]]</f>
        <v>446358141</v>
      </c>
      <c r="H3767" s="1">
        <f>_xlfn.XLOOKUP(Ocupacao_DW[[#This Row],[Concat]],Vagas!$H:$H,Vagas!$D:$D,"",0)</f>
        <v>0</v>
      </c>
    </row>
    <row r="3768" spans="1:8" x14ac:dyDescent="0.25">
      <c r="A3768" s="2">
        <v>44643</v>
      </c>
      <c r="B3768" s="1" t="s">
        <v>47</v>
      </c>
      <c r="C3768">
        <v>110</v>
      </c>
      <c r="D3768" s="1" t="s">
        <v>193</v>
      </c>
      <c r="E3768" s="1" t="s">
        <v>4</v>
      </c>
      <c r="F3768">
        <v>334</v>
      </c>
      <c r="G3768" s="1" t="str">
        <f>Ocupacao_DW[[#This Row],[data]]&amp;Ocupacao_DW[[#This Row],[profissional_id]]&amp;Ocupacao_DW[[#This Row],[local_id]]</f>
        <v>44643110334</v>
      </c>
      <c r="H3768" s="1">
        <f>_xlfn.XLOOKUP(Ocupacao_DW[[#This Row],[Concat]],Vagas!$H:$H,Vagas!$D:$D,"",0)</f>
        <v>0</v>
      </c>
    </row>
    <row r="3769" spans="1:8" x14ac:dyDescent="0.25">
      <c r="A3769" s="2">
        <v>44636</v>
      </c>
      <c r="B3769" s="1" t="s">
        <v>51</v>
      </c>
      <c r="C3769">
        <v>7551</v>
      </c>
      <c r="D3769" s="1" t="s">
        <v>246</v>
      </c>
      <c r="E3769" s="1" t="s">
        <v>5</v>
      </c>
      <c r="F3769">
        <v>15</v>
      </c>
      <c r="G3769" s="1" t="str">
        <f>Ocupacao_DW[[#This Row],[data]]&amp;Ocupacao_DW[[#This Row],[profissional_id]]&amp;Ocupacao_DW[[#This Row],[local_id]]</f>
        <v>44636755115</v>
      </c>
      <c r="H3769" s="1">
        <f>_xlfn.XLOOKUP(Ocupacao_DW[[#This Row],[Concat]],Vagas!$H:$H,Vagas!$D:$D,"",0)</f>
        <v>0</v>
      </c>
    </row>
    <row r="3770" spans="1:8" x14ac:dyDescent="0.25">
      <c r="A3770" s="2">
        <v>44636</v>
      </c>
      <c r="B3770" s="1" t="s">
        <v>49</v>
      </c>
      <c r="C3770">
        <v>6430</v>
      </c>
      <c r="D3770" s="1" t="s">
        <v>188</v>
      </c>
      <c r="E3770" s="1" t="s">
        <v>4</v>
      </c>
      <c r="F3770">
        <v>42</v>
      </c>
      <c r="G3770" s="1" t="str">
        <f>Ocupacao_DW[[#This Row],[data]]&amp;Ocupacao_DW[[#This Row],[profissional_id]]&amp;Ocupacao_DW[[#This Row],[local_id]]</f>
        <v>44636643042</v>
      </c>
      <c r="H3770" s="1">
        <f>_xlfn.XLOOKUP(Ocupacao_DW[[#This Row],[Concat]],Vagas!$H:$H,Vagas!$D:$D,"",0)</f>
        <v>0</v>
      </c>
    </row>
    <row r="3771" spans="1:8" x14ac:dyDescent="0.25">
      <c r="A3771" s="2">
        <v>44635</v>
      </c>
      <c r="B3771" s="1" t="s">
        <v>47</v>
      </c>
      <c r="C3771">
        <v>12752</v>
      </c>
      <c r="D3771" s="1" t="s">
        <v>253</v>
      </c>
      <c r="E3771" s="1" t="s">
        <v>7</v>
      </c>
      <c r="F3771">
        <v>60</v>
      </c>
      <c r="G3771" s="1" t="str">
        <f>Ocupacao_DW[[#This Row],[data]]&amp;Ocupacao_DW[[#This Row],[profissional_id]]&amp;Ocupacao_DW[[#This Row],[local_id]]</f>
        <v>446351275260</v>
      </c>
      <c r="H3771" s="1">
        <f>_xlfn.XLOOKUP(Ocupacao_DW[[#This Row],[Concat]],Vagas!$H:$H,Vagas!$D:$D,"",0)</f>
        <v>0</v>
      </c>
    </row>
    <row r="3772" spans="1:8" x14ac:dyDescent="0.25">
      <c r="A3772" s="2">
        <v>44635</v>
      </c>
      <c r="B3772" s="1" t="s">
        <v>49</v>
      </c>
      <c r="C3772">
        <v>81</v>
      </c>
      <c r="D3772" s="1" t="s">
        <v>170</v>
      </c>
      <c r="E3772" s="1" t="s">
        <v>4</v>
      </c>
      <c r="F3772">
        <v>41</v>
      </c>
      <c r="G3772" s="1" t="str">
        <f>Ocupacao_DW[[#This Row],[data]]&amp;Ocupacao_DW[[#This Row],[profissional_id]]&amp;Ocupacao_DW[[#This Row],[local_id]]</f>
        <v>446358141</v>
      </c>
      <c r="H3772" s="1">
        <f>_xlfn.XLOOKUP(Ocupacao_DW[[#This Row],[Concat]],Vagas!$H:$H,Vagas!$D:$D,"",0)</f>
        <v>0</v>
      </c>
    </row>
    <row r="3773" spans="1:8" x14ac:dyDescent="0.25">
      <c r="A3773" s="2">
        <v>44641</v>
      </c>
      <c r="B3773" s="1" t="s">
        <v>49</v>
      </c>
      <c r="C3773">
        <v>3092</v>
      </c>
      <c r="D3773" s="1" t="s">
        <v>262</v>
      </c>
      <c r="E3773" s="1" t="s">
        <v>4</v>
      </c>
      <c r="F3773">
        <v>44</v>
      </c>
      <c r="G3773" s="1" t="str">
        <f>Ocupacao_DW[[#This Row],[data]]&amp;Ocupacao_DW[[#This Row],[profissional_id]]&amp;Ocupacao_DW[[#This Row],[local_id]]</f>
        <v>44641309244</v>
      </c>
      <c r="H3773" s="1">
        <f>_xlfn.XLOOKUP(Ocupacao_DW[[#This Row],[Concat]],Vagas!$H:$H,Vagas!$D:$D,"",0)</f>
        <v>0</v>
      </c>
    </row>
    <row r="3774" spans="1:8" x14ac:dyDescent="0.25">
      <c r="A3774" s="2">
        <v>44637</v>
      </c>
      <c r="B3774" s="1" t="s">
        <v>47</v>
      </c>
      <c r="C3774">
        <v>17928</v>
      </c>
      <c r="D3774" s="1" t="s">
        <v>268</v>
      </c>
      <c r="E3774" s="1" t="s">
        <v>4</v>
      </c>
      <c r="F3774">
        <v>51</v>
      </c>
      <c r="G3774" s="1" t="str">
        <f>Ocupacao_DW[[#This Row],[data]]&amp;Ocupacao_DW[[#This Row],[profissional_id]]&amp;Ocupacao_DW[[#This Row],[local_id]]</f>
        <v>446371792851</v>
      </c>
      <c r="H3774" s="1">
        <f>_xlfn.XLOOKUP(Ocupacao_DW[[#This Row],[Concat]],Vagas!$H:$H,Vagas!$D:$D,"",0)</f>
        <v>13</v>
      </c>
    </row>
    <row r="3775" spans="1:8" x14ac:dyDescent="0.25">
      <c r="A3775" s="2">
        <v>44636</v>
      </c>
      <c r="B3775" s="1"/>
      <c r="C3775">
        <v>0</v>
      </c>
      <c r="D3775" s="1"/>
      <c r="E3775" s="1" t="s">
        <v>4</v>
      </c>
      <c r="F3775">
        <v>351</v>
      </c>
      <c r="G3775" s="1" t="str">
        <f>Ocupacao_DW[[#This Row],[data]]&amp;Ocupacao_DW[[#This Row],[profissional_id]]&amp;Ocupacao_DW[[#This Row],[local_id]]</f>
        <v>446360351</v>
      </c>
      <c r="H3775" s="1" t="str">
        <f>_xlfn.XLOOKUP(Ocupacao_DW[[#This Row],[Concat]],Vagas!$H:$H,Vagas!$D:$D,"",0)</f>
        <v/>
      </c>
    </row>
    <row r="3776" spans="1:8" x14ac:dyDescent="0.25">
      <c r="A3776" s="2">
        <v>44637</v>
      </c>
      <c r="B3776" s="1" t="s">
        <v>47</v>
      </c>
      <c r="C3776">
        <v>9111</v>
      </c>
      <c r="D3776" s="1" t="s">
        <v>206</v>
      </c>
      <c r="E3776" s="1" t="s">
        <v>4</v>
      </c>
      <c r="F3776">
        <v>334</v>
      </c>
      <c r="G3776" s="1" t="str">
        <f>Ocupacao_DW[[#This Row],[data]]&amp;Ocupacao_DW[[#This Row],[profissional_id]]&amp;Ocupacao_DW[[#This Row],[local_id]]</f>
        <v>446379111334</v>
      </c>
      <c r="H3776" s="1">
        <f>_xlfn.XLOOKUP(Ocupacao_DW[[#This Row],[Concat]],Vagas!$H:$H,Vagas!$D:$D,"",0)</f>
        <v>0</v>
      </c>
    </row>
    <row r="3777" spans="1:8" x14ac:dyDescent="0.25">
      <c r="A3777" s="2">
        <v>44635</v>
      </c>
      <c r="B3777" s="1" t="s">
        <v>49</v>
      </c>
      <c r="C3777">
        <v>81</v>
      </c>
      <c r="D3777" s="1" t="s">
        <v>170</v>
      </c>
      <c r="E3777" s="1" t="s">
        <v>7</v>
      </c>
      <c r="F3777">
        <v>71</v>
      </c>
      <c r="G3777" s="1" t="str">
        <f>Ocupacao_DW[[#This Row],[data]]&amp;Ocupacao_DW[[#This Row],[profissional_id]]&amp;Ocupacao_DW[[#This Row],[local_id]]</f>
        <v>446358171</v>
      </c>
      <c r="H3777" s="1">
        <f>_xlfn.XLOOKUP(Ocupacao_DW[[#This Row],[Concat]],Vagas!$H:$H,Vagas!$D:$D,"",0)</f>
        <v>0</v>
      </c>
    </row>
    <row r="3778" spans="1:8" x14ac:dyDescent="0.25">
      <c r="A3778" s="2">
        <v>44641</v>
      </c>
      <c r="B3778" s="1" t="s">
        <v>49</v>
      </c>
      <c r="C3778">
        <v>3092</v>
      </c>
      <c r="D3778" s="1" t="s">
        <v>262</v>
      </c>
      <c r="E3778" s="1" t="s">
        <v>4</v>
      </c>
      <c r="F3778">
        <v>44</v>
      </c>
      <c r="G3778" s="1" t="str">
        <f>Ocupacao_DW[[#This Row],[data]]&amp;Ocupacao_DW[[#This Row],[profissional_id]]&amp;Ocupacao_DW[[#This Row],[local_id]]</f>
        <v>44641309244</v>
      </c>
      <c r="H3778" s="1">
        <f>_xlfn.XLOOKUP(Ocupacao_DW[[#This Row],[Concat]],Vagas!$H:$H,Vagas!$D:$D,"",0)</f>
        <v>0</v>
      </c>
    </row>
    <row r="3779" spans="1:8" x14ac:dyDescent="0.25">
      <c r="A3779" s="2">
        <v>44638</v>
      </c>
      <c r="B3779" s="1" t="s">
        <v>54</v>
      </c>
      <c r="C3779">
        <v>69</v>
      </c>
      <c r="D3779" s="1" t="s">
        <v>238</v>
      </c>
      <c r="E3779" s="1" t="s">
        <v>5</v>
      </c>
      <c r="F3779">
        <v>13</v>
      </c>
      <c r="G3779" s="1" t="str">
        <f>Ocupacao_DW[[#This Row],[data]]&amp;Ocupacao_DW[[#This Row],[profissional_id]]&amp;Ocupacao_DW[[#This Row],[local_id]]</f>
        <v>446386913</v>
      </c>
      <c r="H3779" s="1">
        <f>_xlfn.XLOOKUP(Ocupacao_DW[[#This Row],[Concat]],Vagas!$H:$H,Vagas!$D:$D,"",0)</f>
        <v>0</v>
      </c>
    </row>
    <row r="3780" spans="1:8" x14ac:dyDescent="0.25">
      <c r="A3780" s="2">
        <v>44635</v>
      </c>
      <c r="B3780" s="1" t="s">
        <v>43</v>
      </c>
      <c r="C3780">
        <v>57</v>
      </c>
      <c r="D3780" s="1" t="s">
        <v>169</v>
      </c>
      <c r="E3780" s="1" t="s">
        <v>6</v>
      </c>
      <c r="F3780">
        <v>2</v>
      </c>
      <c r="G3780" s="1" t="str">
        <f>Ocupacao_DW[[#This Row],[data]]&amp;Ocupacao_DW[[#This Row],[profissional_id]]&amp;Ocupacao_DW[[#This Row],[local_id]]</f>
        <v>44635572</v>
      </c>
      <c r="H3780" s="1">
        <f>_xlfn.XLOOKUP(Ocupacao_DW[[#This Row],[Concat]],Vagas!$H:$H,Vagas!$D:$D,"",0)</f>
        <v>0</v>
      </c>
    </row>
    <row r="3781" spans="1:8" x14ac:dyDescent="0.25">
      <c r="A3781" s="2">
        <v>44643</v>
      </c>
      <c r="B3781" s="1" t="s">
        <v>70</v>
      </c>
      <c r="C3781">
        <v>12825</v>
      </c>
      <c r="D3781" s="1" t="s">
        <v>177</v>
      </c>
      <c r="E3781" s="1" t="s">
        <v>4</v>
      </c>
      <c r="F3781">
        <v>45</v>
      </c>
      <c r="G3781" s="1" t="str">
        <f>Ocupacao_DW[[#This Row],[data]]&amp;Ocupacao_DW[[#This Row],[profissional_id]]&amp;Ocupacao_DW[[#This Row],[local_id]]</f>
        <v>446431282545</v>
      </c>
      <c r="H3781" s="1">
        <f>_xlfn.XLOOKUP(Ocupacao_DW[[#This Row],[Concat]],Vagas!$H:$H,Vagas!$D:$D,"",0)</f>
        <v>0</v>
      </c>
    </row>
    <row r="3782" spans="1:8" x14ac:dyDescent="0.25">
      <c r="A3782" s="2">
        <v>44641</v>
      </c>
      <c r="B3782" s="1" t="s">
        <v>52</v>
      </c>
      <c r="C3782">
        <v>10595</v>
      </c>
      <c r="D3782" s="1" t="s">
        <v>218</v>
      </c>
      <c r="E3782" s="1" t="s">
        <v>200</v>
      </c>
      <c r="F3782">
        <v>78</v>
      </c>
      <c r="G3782" s="1" t="str">
        <f>Ocupacao_DW[[#This Row],[data]]&amp;Ocupacao_DW[[#This Row],[profissional_id]]&amp;Ocupacao_DW[[#This Row],[local_id]]</f>
        <v>446411059578</v>
      </c>
      <c r="H3782" s="1">
        <f>_xlfn.XLOOKUP(Ocupacao_DW[[#This Row],[Concat]],Vagas!$H:$H,Vagas!$D:$D,"",0)</f>
        <v>0</v>
      </c>
    </row>
    <row r="3783" spans="1:8" x14ac:dyDescent="0.25">
      <c r="A3783" s="2">
        <v>44638</v>
      </c>
      <c r="B3783" s="1" t="s">
        <v>52</v>
      </c>
      <c r="C3783">
        <v>55</v>
      </c>
      <c r="D3783" s="1" t="s">
        <v>244</v>
      </c>
      <c r="E3783" s="1" t="s">
        <v>7</v>
      </c>
      <c r="F3783">
        <v>68</v>
      </c>
      <c r="G3783" s="1" t="str">
        <f>Ocupacao_DW[[#This Row],[data]]&amp;Ocupacao_DW[[#This Row],[profissional_id]]&amp;Ocupacao_DW[[#This Row],[local_id]]</f>
        <v>446385568</v>
      </c>
      <c r="H3783" s="1">
        <f>_xlfn.XLOOKUP(Ocupacao_DW[[#This Row],[Concat]],Vagas!$H:$H,Vagas!$D:$D,"",0)</f>
        <v>0</v>
      </c>
    </row>
    <row r="3784" spans="1:8" x14ac:dyDescent="0.25">
      <c r="A3784" s="2">
        <v>44643</v>
      </c>
      <c r="B3784" s="1" t="s">
        <v>49</v>
      </c>
      <c r="C3784">
        <v>6430</v>
      </c>
      <c r="D3784" s="1" t="s">
        <v>188</v>
      </c>
      <c r="E3784" s="1" t="s">
        <v>4</v>
      </c>
      <c r="F3784">
        <v>42</v>
      </c>
      <c r="G3784" s="1" t="str">
        <f>Ocupacao_DW[[#This Row],[data]]&amp;Ocupacao_DW[[#This Row],[profissional_id]]&amp;Ocupacao_DW[[#This Row],[local_id]]</f>
        <v>44643643042</v>
      </c>
      <c r="H3784" s="1">
        <f>_xlfn.XLOOKUP(Ocupacao_DW[[#This Row],[Concat]],Vagas!$H:$H,Vagas!$D:$D,"",0)</f>
        <v>0</v>
      </c>
    </row>
    <row r="3785" spans="1:8" x14ac:dyDescent="0.25">
      <c r="A3785" s="2">
        <v>44636</v>
      </c>
      <c r="B3785" s="1" t="s">
        <v>65</v>
      </c>
      <c r="C3785">
        <v>13058</v>
      </c>
      <c r="D3785" s="1" t="s">
        <v>256</v>
      </c>
      <c r="E3785" s="1" t="s">
        <v>4</v>
      </c>
      <c r="F3785">
        <v>47</v>
      </c>
      <c r="G3785" s="1" t="str">
        <f>Ocupacao_DW[[#This Row],[data]]&amp;Ocupacao_DW[[#This Row],[profissional_id]]&amp;Ocupacao_DW[[#This Row],[local_id]]</f>
        <v>446361305847</v>
      </c>
      <c r="H3785" s="1">
        <f>_xlfn.XLOOKUP(Ocupacao_DW[[#This Row],[Concat]],Vagas!$H:$H,Vagas!$D:$D,"",0)</f>
        <v>0</v>
      </c>
    </row>
    <row r="3786" spans="1:8" x14ac:dyDescent="0.25">
      <c r="A3786" s="2">
        <v>44636</v>
      </c>
      <c r="B3786" s="1"/>
      <c r="C3786">
        <v>17890</v>
      </c>
      <c r="D3786" s="1" t="s">
        <v>270</v>
      </c>
      <c r="E3786" s="1" t="s">
        <v>6</v>
      </c>
      <c r="F3786">
        <v>4</v>
      </c>
      <c r="G3786" s="1" t="str">
        <f>Ocupacao_DW[[#This Row],[data]]&amp;Ocupacao_DW[[#This Row],[profissional_id]]&amp;Ocupacao_DW[[#This Row],[local_id]]</f>
        <v>44636178904</v>
      </c>
      <c r="H3786" s="1">
        <f>_xlfn.XLOOKUP(Ocupacao_DW[[#This Row],[Concat]],Vagas!$H:$H,Vagas!$D:$D,"",0)</f>
        <v>5</v>
      </c>
    </row>
    <row r="3787" spans="1:8" x14ac:dyDescent="0.25">
      <c r="A3787" s="2">
        <v>44638</v>
      </c>
      <c r="B3787" s="1" t="s">
        <v>49</v>
      </c>
      <c r="C3787">
        <v>81</v>
      </c>
      <c r="D3787" s="1" t="s">
        <v>170</v>
      </c>
      <c r="E3787" s="1" t="s">
        <v>4</v>
      </c>
      <c r="F3787">
        <v>41</v>
      </c>
      <c r="G3787" s="1" t="str">
        <f>Ocupacao_DW[[#This Row],[data]]&amp;Ocupacao_DW[[#This Row],[profissional_id]]&amp;Ocupacao_DW[[#This Row],[local_id]]</f>
        <v>446388141</v>
      </c>
      <c r="H3787" s="1">
        <f>_xlfn.XLOOKUP(Ocupacao_DW[[#This Row],[Concat]],Vagas!$H:$H,Vagas!$D:$D,"",0)</f>
        <v>0</v>
      </c>
    </row>
    <row r="3788" spans="1:8" x14ac:dyDescent="0.25">
      <c r="A3788" s="2">
        <v>44643</v>
      </c>
      <c r="B3788" s="1" t="s">
        <v>70</v>
      </c>
      <c r="C3788">
        <v>12825</v>
      </c>
      <c r="D3788" s="1" t="s">
        <v>177</v>
      </c>
      <c r="E3788" s="1" t="s">
        <v>4</v>
      </c>
      <c r="F3788">
        <v>45</v>
      </c>
      <c r="G3788" s="1" t="str">
        <f>Ocupacao_DW[[#This Row],[data]]&amp;Ocupacao_DW[[#This Row],[profissional_id]]&amp;Ocupacao_DW[[#This Row],[local_id]]</f>
        <v>446431282545</v>
      </c>
      <c r="H3788" s="1">
        <f>_xlfn.XLOOKUP(Ocupacao_DW[[#This Row],[Concat]],Vagas!$H:$H,Vagas!$D:$D,"",0)</f>
        <v>0</v>
      </c>
    </row>
    <row r="3789" spans="1:8" x14ac:dyDescent="0.25">
      <c r="A3789" s="2">
        <v>44644</v>
      </c>
      <c r="B3789" s="1" t="s">
        <v>52</v>
      </c>
      <c r="C3789">
        <v>9217</v>
      </c>
      <c r="D3789" s="1" t="s">
        <v>191</v>
      </c>
      <c r="E3789" s="1" t="s">
        <v>6</v>
      </c>
      <c r="F3789">
        <v>7</v>
      </c>
      <c r="G3789" s="1" t="str">
        <f>Ocupacao_DW[[#This Row],[data]]&amp;Ocupacao_DW[[#This Row],[profissional_id]]&amp;Ocupacao_DW[[#This Row],[local_id]]</f>
        <v>4464492177</v>
      </c>
      <c r="H3789" s="1">
        <f>_xlfn.XLOOKUP(Ocupacao_DW[[#This Row],[Concat]],Vagas!$H:$H,Vagas!$D:$D,"",0)</f>
        <v>0</v>
      </c>
    </row>
    <row r="3790" spans="1:8" x14ac:dyDescent="0.25">
      <c r="A3790" s="2">
        <v>44636</v>
      </c>
      <c r="B3790" s="1" t="s">
        <v>72</v>
      </c>
      <c r="C3790">
        <v>1794</v>
      </c>
      <c r="D3790" s="1" t="s">
        <v>235</v>
      </c>
      <c r="E3790" s="1" t="s">
        <v>4</v>
      </c>
      <c r="F3790">
        <v>49</v>
      </c>
      <c r="G3790" s="1" t="str">
        <f>Ocupacao_DW[[#This Row],[data]]&amp;Ocupacao_DW[[#This Row],[profissional_id]]&amp;Ocupacao_DW[[#This Row],[local_id]]</f>
        <v>44636179449</v>
      </c>
      <c r="H3790" s="1">
        <f>_xlfn.XLOOKUP(Ocupacao_DW[[#This Row],[Concat]],Vagas!$H:$H,Vagas!$D:$D,"",0)</f>
        <v>0</v>
      </c>
    </row>
    <row r="3791" spans="1:8" x14ac:dyDescent="0.25">
      <c r="A3791" s="2">
        <v>44636</v>
      </c>
      <c r="B3791" s="1" t="s">
        <v>47</v>
      </c>
      <c r="C3791">
        <v>110</v>
      </c>
      <c r="D3791" s="1" t="s">
        <v>193</v>
      </c>
      <c r="E3791" s="1" t="s">
        <v>4</v>
      </c>
      <c r="F3791">
        <v>334</v>
      </c>
      <c r="G3791" s="1" t="str">
        <f>Ocupacao_DW[[#This Row],[data]]&amp;Ocupacao_DW[[#This Row],[profissional_id]]&amp;Ocupacao_DW[[#This Row],[local_id]]</f>
        <v>44636110334</v>
      </c>
      <c r="H3791" s="1">
        <f>_xlfn.XLOOKUP(Ocupacao_DW[[#This Row],[Concat]],Vagas!$H:$H,Vagas!$D:$D,"",0)</f>
        <v>0</v>
      </c>
    </row>
    <row r="3792" spans="1:8" x14ac:dyDescent="0.25">
      <c r="A3792" s="2">
        <v>44638</v>
      </c>
      <c r="B3792" s="1" t="s">
        <v>52</v>
      </c>
      <c r="C3792">
        <v>55</v>
      </c>
      <c r="D3792" s="1" t="s">
        <v>244</v>
      </c>
      <c r="E3792" s="1" t="s">
        <v>7</v>
      </c>
      <c r="F3792">
        <v>68</v>
      </c>
      <c r="G3792" s="1" t="str">
        <f>Ocupacao_DW[[#This Row],[data]]&amp;Ocupacao_DW[[#This Row],[profissional_id]]&amp;Ocupacao_DW[[#This Row],[local_id]]</f>
        <v>446385568</v>
      </c>
      <c r="H3792" s="1">
        <f>_xlfn.XLOOKUP(Ocupacao_DW[[#This Row],[Concat]],Vagas!$H:$H,Vagas!$D:$D,"",0)</f>
        <v>0</v>
      </c>
    </row>
    <row r="3793" spans="1:8" x14ac:dyDescent="0.25">
      <c r="A3793" s="2">
        <v>44638</v>
      </c>
      <c r="B3793" s="1" t="s">
        <v>64</v>
      </c>
      <c r="C3793">
        <v>86</v>
      </c>
      <c r="D3793" s="1" t="s">
        <v>175</v>
      </c>
      <c r="E3793" s="1" t="s">
        <v>5</v>
      </c>
      <c r="F3793">
        <v>349</v>
      </c>
      <c r="G3793" s="1" t="str">
        <f>Ocupacao_DW[[#This Row],[data]]&amp;Ocupacao_DW[[#This Row],[profissional_id]]&amp;Ocupacao_DW[[#This Row],[local_id]]</f>
        <v>4463886349</v>
      </c>
      <c r="H3793" s="1">
        <f>_xlfn.XLOOKUP(Ocupacao_DW[[#This Row],[Concat]],Vagas!$H:$H,Vagas!$D:$D,"",0)</f>
        <v>0</v>
      </c>
    </row>
    <row r="3794" spans="1:8" x14ac:dyDescent="0.25">
      <c r="A3794" s="2">
        <v>44636</v>
      </c>
      <c r="B3794" s="1" t="s">
        <v>47</v>
      </c>
      <c r="C3794">
        <v>111</v>
      </c>
      <c r="D3794" s="1" t="s">
        <v>199</v>
      </c>
      <c r="E3794" s="1" t="s">
        <v>4</v>
      </c>
      <c r="F3794">
        <v>51</v>
      </c>
      <c r="G3794" s="1" t="str">
        <f>Ocupacao_DW[[#This Row],[data]]&amp;Ocupacao_DW[[#This Row],[profissional_id]]&amp;Ocupacao_DW[[#This Row],[local_id]]</f>
        <v>4463611151</v>
      </c>
      <c r="H3794" s="1">
        <f>_xlfn.XLOOKUP(Ocupacao_DW[[#This Row],[Concat]],Vagas!$H:$H,Vagas!$D:$D,"",0)</f>
        <v>1</v>
      </c>
    </row>
    <row r="3795" spans="1:8" x14ac:dyDescent="0.25">
      <c r="A3795" s="2">
        <v>44635</v>
      </c>
      <c r="B3795" s="1" t="s">
        <v>55</v>
      </c>
      <c r="C3795">
        <v>14452</v>
      </c>
      <c r="D3795" s="1" t="s">
        <v>266</v>
      </c>
      <c r="E3795" s="1" t="s">
        <v>200</v>
      </c>
      <c r="F3795">
        <v>78</v>
      </c>
      <c r="G3795" s="1" t="str">
        <f>Ocupacao_DW[[#This Row],[data]]&amp;Ocupacao_DW[[#This Row],[profissional_id]]&amp;Ocupacao_DW[[#This Row],[local_id]]</f>
        <v>446351445278</v>
      </c>
      <c r="H3795" s="1">
        <f>_xlfn.XLOOKUP(Ocupacao_DW[[#This Row],[Concat]],Vagas!$H:$H,Vagas!$D:$D,"",0)</f>
        <v>0</v>
      </c>
    </row>
    <row r="3796" spans="1:8" x14ac:dyDescent="0.25">
      <c r="A3796" s="2">
        <v>44641</v>
      </c>
      <c r="B3796" s="1" t="s">
        <v>52</v>
      </c>
      <c r="C3796">
        <v>10691</v>
      </c>
      <c r="D3796" s="1" t="s">
        <v>181</v>
      </c>
      <c r="E3796" s="1" t="s">
        <v>6</v>
      </c>
      <c r="F3796">
        <v>9</v>
      </c>
      <c r="G3796" s="1" t="str">
        <f>Ocupacao_DW[[#This Row],[data]]&amp;Ocupacao_DW[[#This Row],[profissional_id]]&amp;Ocupacao_DW[[#This Row],[local_id]]</f>
        <v>44641106919</v>
      </c>
      <c r="H3796" s="1">
        <f>_xlfn.XLOOKUP(Ocupacao_DW[[#This Row],[Concat]],Vagas!$H:$H,Vagas!$D:$D,"",0)</f>
        <v>0</v>
      </c>
    </row>
    <row r="3797" spans="1:8" x14ac:dyDescent="0.25">
      <c r="A3797" s="2">
        <v>44656</v>
      </c>
      <c r="B3797" s="1" t="s">
        <v>67</v>
      </c>
      <c r="C3797">
        <v>7290</v>
      </c>
      <c r="D3797" s="1" t="s">
        <v>247</v>
      </c>
      <c r="E3797" s="1" t="s">
        <v>5</v>
      </c>
      <c r="F3797">
        <v>18</v>
      </c>
      <c r="G3797" s="1" t="str">
        <f>Ocupacao_DW[[#This Row],[data]]&amp;Ocupacao_DW[[#This Row],[profissional_id]]&amp;Ocupacao_DW[[#This Row],[local_id]]</f>
        <v>44656729018</v>
      </c>
      <c r="H3797" s="1">
        <f>_xlfn.XLOOKUP(Ocupacao_DW[[#This Row],[Concat]],Vagas!$H:$H,Vagas!$D:$D,"",0)</f>
        <v>0</v>
      </c>
    </row>
    <row r="3798" spans="1:8" x14ac:dyDescent="0.25">
      <c r="A3798" s="2">
        <v>44642</v>
      </c>
      <c r="B3798" s="1" t="s">
        <v>64</v>
      </c>
      <c r="C3798">
        <v>12230</v>
      </c>
      <c r="D3798" s="1" t="s">
        <v>269</v>
      </c>
      <c r="E3798" s="1" t="s">
        <v>5</v>
      </c>
      <c r="F3798">
        <v>17</v>
      </c>
      <c r="G3798" s="1" t="str">
        <f>Ocupacao_DW[[#This Row],[data]]&amp;Ocupacao_DW[[#This Row],[profissional_id]]&amp;Ocupacao_DW[[#This Row],[local_id]]</f>
        <v>446421223017</v>
      </c>
      <c r="H3798" s="1">
        <f>_xlfn.XLOOKUP(Ocupacao_DW[[#This Row],[Concat]],Vagas!$H:$H,Vagas!$D:$D,"",0)</f>
        <v>0</v>
      </c>
    </row>
    <row r="3799" spans="1:8" x14ac:dyDescent="0.25">
      <c r="A3799" s="2">
        <v>44636</v>
      </c>
      <c r="B3799" s="1" t="s">
        <v>43</v>
      </c>
      <c r="C3799">
        <v>57</v>
      </c>
      <c r="D3799" s="1" t="s">
        <v>169</v>
      </c>
      <c r="E3799" s="1" t="s">
        <v>6</v>
      </c>
      <c r="F3799">
        <v>2</v>
      </c>
      <c r="G3799" s="1" t="str">
        <f>Ocupacao_DW[[#This Row],[data]]&amp;Ocupacao_DW[[#This Row],[profissional_id]]&amp;Ocupacao_DW[[#This Row],[local_id]]</f>
        <v>44636572</v>
      </c>
      <c r="H3799" s="1">
        <f>_xlfn.XLOOKUP(Ocupacao_DW[[#This Row],[Concat]],Vagas!$H:$H,Vagas!$D:$D,"",0)</f>
        <v>2</v>
      </c>
    </row>
    <row r="3800" spans="1:8" x14ac:dyDescent="0.25">
      <c r="A3800" s="2">
        <v>44638</v>
      </c>
      <c r="B3800" s="1" t="s">
        <v>54</v>
      </c>
      <c r="C3800">
        <v>69</v>
      </c>
      <c r="D3800" s="1" t="s">
        <v>238</v>
      </c>
      <c r="E3800" s="1" t="s">
        <v>5</v>
      </c>
      <c r="F3800">
        <v>13</v>
      </c>
      <c r="G3800" s="1" t="str">
        <f>Ocupacao_DW[[#This Row],[data]]&amp;Ocupacao_DW[[#This Row],[profissional_id]]&amp;Ocupacao_DW[[#This Row],[local_id]]</f>
        <v>446386913</v>
      </c>
      <c r="H3800" s="1">
        <f>_xlfn.XLOOKUP(Ocupacao_DW[[#This Row],[Concat]],Vagas!$H:$H,Vagas!$D:$D,"",0)</f>
        <v>0</v>
      </c>
    </row>
    <row r="3801" spans="1:8" x14ac:dyDescent="0.25">
      <c r="A3801" s="2">
        <v>44650</v>
      </c>
      <c r="B3801" s="1" t="s">
        <v>49</v>
      </c>
      <c r="C3801">
        <v>6430</v>
      </c>
      <c r="D3801" s="1" t="s">
        <v>188</v>
      </c>
      <c r="E3801" s="1" t="s">
        <v>4</v>
      </c>
      <c r="F3801">
        <v>42</v>
      </c>
      <c r="G3801" s="1" t="str">
        <f>Ocupacao_DW[[#This Row],[data]]&amp;Ocupacao_DW[[#This Row],[profissional_id]]&amp;Ocupacao_DW[[#This Row],[local_id]]</f>
        <v>44650643042</v>
      </c>
      <c r="H3801" s="1">
        <f>_xlfn.XLOOKUP(Ocupacao_DW[[#This Row],[Concat]],Vagas!$H:$H,Vagas!$D:$D,"",0)</f>
        <v>0</v>
      </c>
    </row>
    <row r="3802" spans="1:8" x14ac:dyDescent="0.25">
      <c r="A3802" s="2">
        <v>44646</v>
      </c>
      <c r="B3802" s="1" t="s">
        <v>47</v>
      </c>
      <c r="C3802">
        <v>111</v>
      </c>
      <c r="D3802" s="1" t="s">
        <v>199</v>
      </c>
      <c r="E3802" s="1" t="s">
        <v>4</v>
      </c>
      <c r="F3802">
        <v>51</v>
      </c>
      <c r="G3802" s="1" t="str">
        <f>Ocupacao_DW[[#This Row],[data]]&amp;Ocupacao_DW[[#This Row],[profissional_id]]&amp;Ocupacao_DW[[#This Row],[local_id]]</f>
        <v>4464611151</v>
      </c>
      <c r="H3802" s="1">
        <f>_xlfn.XLOOKUP(Ocupacao_DW[[#This Row],[Concat]],Vagas!$H:$H,Vagas!$D:$D,"",0)</f>
        <v>31</v>
      </c>
    </row>
    <row r="3803" spans="1:8" x14ac:dyDescent="0.25">
      <c r="A3803" s="2">
        <v>44637</v>
      </c>
      <c r="B3803" s="1" t="s">
        <v>47</v>
      </c>
      <c r="C3803">
        <v>9111</v>
      </c>
      <c r="D3803" s="1" t="s">
        <v>206</v>
      </c>
      <c r="E3803" s="1" t="s">
        <v>4</v>
      </c>
      <c r="F3803">
        <v>334</v>
      </c>
      <c r="G3803" s="1" t="str">
        <f>Ocupacao_DW[[#This Row],[data]]&amp;Ocupacao_DW[[#This Row],[profissional_id]]&amp;Ocupacao_DW[[#This Row],[local_id]]</f>
        <v>446379111334</v>
      </c>
      <c r="H3803" s="1">
        <f>_xlfn.XLOOKUP(Ocupacao_DW[[#This Row],[Concat]],Vagas!$H:$H,Vagas!$D:$D,"",0)</f>
        <v>0</v>
      </c>
    </row>
    <row r="3804" spans="1:8" x14ac:dyDescent="0.25">
      <c r="A3804" s="2">
        <v>44637</v>
      </c>
      <c r="B3804" s="1"/>
      <c r="C3804">
        <v>0</v>
      </c>
      <c r="D3804" s="1"/>
      <c r="E3804" s="1" t="s">
        <v>4</v>
      </c>
      <c r="F3804">
        <v>40</v>
      </c>
      <c r="G3804" s="1" t="str">
        <f>Ocupacao_DW[[#This Row],[data]]&amp;Ocupacao_DW[[#This Row],[profissional_id]]&amp;Ocupacao_DW[[#This Row],[local_id]]</f>
        <v>44637040</v>
      </c>
      <c r="H3804" s="1" t="str">
        <f>_xlfn.XLOOKUP(Ocupacao_DW[[#This Row],[Concat]],Vagas!$H:$H,Vagas!$D:$D,"",0)</f>
        <v/>
      </c>
    </row>
    <row r="3805" spans="1:8" x14ac:dyDescent="0.25">
      <c r="A3805" s="2">
        <v>44642</v>
      </c>
      <c r="B3805" s="1" t="s">
        <v>68</v>
      </c>
      <c r="C3805">
        <v>8239</v>
      </c>
      <c r="D3805" s="1" t="s">
        <v>257</v>
      </c>
      <c r="E3805" s="1" t="s">
        <v>5</v>
      </c>
      <c r="F3805">
        <v>14</v>
      </c>
      <c r="G3805" s="1" t="str">
        <f>Ocupacao_DW[[#This Row],[data]]&amp;Ocupacao_DW[[#This Row],[profissional_id]]&amp;Ocupacao_DW[[#This Row],[local_id]]</f>
        <v>44642823914</v>
      </c>
      <c r="H3805" s="1">
        <f>_xlfn.XLOOKUP(Ocupacao_DW[[#This Row],[Concat]],Vagas!$H:$H,Vagas!$D:$D,"",0)</f>
        <v>0</v>
      </c>
    </row>
    <row r="3806" spans="1:8" x14ac:dyDescent="0.25">
      <c r="A3806" s="2">
        <v>44643</v>
      </c>
      <c r="B3806" s="1" t="s">
        <v>60</v>
      </c>
      <c r="C3806">
        <v>14326</v>
      </c>
      <c r="D3806" s="1" t="s">
        <v>220</v>
      </c>
      <c r="E3806" s="1" t="s">
        <v>4</v>
      </c>
      <c r="F3806">
        <v>43</v>
      </c>
      <c r="G3806" s="1" t="str">
        <f>Ocupacao_DW[[#This Row],[data]]&amp;Ocupacao_DW[[#This Row],[profissional_id]]&amp;Ocupacao_DW[[#This Row],[local_id]]</f>
        <v>446431432643</v>
      </c>
      <c r="H3806" s="1">
        <f>_xlfn.XLOOKUP(Ocupacao_DW[[#This Row],[Concat]],Vagas!$H:$H,Vagas!$D:$D,"",0)</f>
        <v>0</v>
      </c>
    </row>
    <row r="3807" spans="1:8" x14ac:dyDescent="0.25">
      <c r="A3807" s="2">
        <v>44639</v>
      </c>
      <c r="B3807" s="1" t="s">
        <v>72</v>
      </c>
      <c r="C3807">
        <v>6046</v>
      </c>
      <c r="D3807" s="1" t="s">
        <v>222</v>
      </c>
      <c r="E3807" s="1" t="s">
        <v>4</v>
      </c>
      <c r="F3807">
        <v>46</v>
      </c>
      <c r="G3807" s="1" t="str">
        <f>Ocupacao_DW[[#This Row],[data]]&amp;Ocupacao_DW[[#This Row],[profissional_id]]&amp;Ocupacao_DW[[#This Row],[local_id]]</f>
        <v>44639604646</v>
      </c>
      <c r="H3807" s="1">
        <f>_xlfn.XLOOKUP(Ocupacao_DW[[#This Row],[Concat]],Vagas!$H:$H,Vagas!$D:$D,"",0)</f>
        <v>0</v>
      </c>
    </row>
    <row r="3808" spans="1:8" x14ac:dyDescent="0.25">
      <c r="A3808" s="2">
        <v>44643</v>
      </c>
      <c r="B3808" s="1" t="s">
        <v>51</v>
      </c>
      <c r="C3808">
        <v>7551</v>
      </c>
      <c r="D3808" s="1" t="s">
        <v>246</v>
      </c>
      <c r="E3808" s="1" t="s">
        <v>5</v>
      </c>
      <c r="F3808">
        <v>15</v>
      </c>
      <c r="G3808" s="1" t="str">
        <f>Ocupacao_DW[[#This Row],[data]]&amp;Ocupacao_DW[[#This Row],[profissional_id]]&amp;Ocupacao_DW[[#This Row],[local_id]]</f>
        <v>44643755115</v>
      </c>
      <c r="H3808" s="1">
        <f>_xlfn.XLOOKUP(Ocupacao_DW[[#This Row],[Concat]],Vagas!$H:$H,Vagas!$D:$D,"",0)</f>
        <v>0</v>
      </c>
    </row>
    <row r="3809" spans="1:8" x14ac:dyDescent="0.25">
      <c r="A3809" s="2">
        <v>44641</v>
      </c>
      <c r="B3809" s="1" t="s">
        <v>52</v>
      </c>
      <c r="C3809">
        <v>10946</v>
      </c>
      <c r="D3809" s="1" t="s">
        <v>209</v>
      </c>
      <c r="E3809" s="1" t="s">
        <v>6</v>
      </c>
      <c r="F3809">
        <v>3</v>
      </c>
      <c r="G3809" s="1" t="str">
        <f>Ocupacao_DW[[#This Row],[data]]&amp;Ocupacao_DW[[#This Row],[profissional_id]]&amp;Ocupacao_DW[[#This Row],[local_id]]</f>
        <v>44641109463</v>
      </c>
      <c r="H3809" s="1">
        <f>_xlfn.XLOOKUP(Ocupacao_DW[[#This Row],[Concat]],Vagas!$H:$H,Vagas!$D:$D,"",0)</f>
        <v>0</v>
      </c>
    </row>
    <row r="3810" spans="1:8" x14ac:dyDescent="0.25">
      <c r="A3810" s="2">
        <v>44644</v>
      </c>
      <c r="B3810" s="1" t="s">
        <v>51</v>
      </c>
      <c r="C3810">
        <v>53</v>
      </c>
      <c r="D3810" s="1" t="s">
        <v>254</v>
      </c>
      <c r="E3810" s="1" t="s">
        <v>5</v>
      </c>
      <c r="F3810">
        <v>14</v>
      </c>
      <c r="G3810" s="1" t="str">
        <f>Ocupacao_DW[[#This Row],[data]]&amp;Ocupacao_DW[[#This Row],[profissional_id]]&amp;Ocupacao_DW[[#This Row],[local_id]]</f>
        <v>446445314</v>
      </c>
      <c r="H3810" s="1">
        <f>_xlfn.XLOOKUP(Ocupacao_DW[[#This Row],[Concat]],Vagas!$H:$H,Vagas!$D:$D,"",0)</f>
        <v>0</v>
      </c>
    </row>
    <row r="3811" spans="1:8" x14ac:dyDescent="0.25">
      <c r="A3811" s="2">
        <v>44642</v>
      </c>
      <c r="B3811" s="1" t="s">
        <v>67</v>
      </c>
      <c r="C3811">
        <v>7290</v>
      </c>
      <c r="D3811" s="1" t="s">
        <v>247</v>
      </c>
      <c r="E3811" s="1" t="s">
        <v>5</v>
      </c>
      <c r="F3811">
        <v>18</v>
      </c>
      <c r="G3811" s="1" t="str">
        <f>Ocupacao_DW[[#This Row],[data]]&amp;Ocupacao_DW[[#This Row],[profissional_id]]&amp;Ocupacao_DW[[#This Row],[local_id]]</f>
        <v>44642729018</v>
      </c>
      <c r="H3811" s="1">
        <f>_xlfn.XLOOKUP(Ocupacao_DW[[#This Row],[Concat]],Vagas!$H:$H,Vagas!$D:$D,"",0)</f>
        <v>0</v>
      </c>
    </row>
    <row r="3812" spans="1:8" x14ac:dyDescent="0.25">
      <c r="A3812" s="2">
        <v>44635</v>
      </c>
      <c r="B3812" s="1" t="s">
        <v>66</v>
      </c>
      <c r="C3812">
        <v>1343</v>
      </c>
      <c r="D3812" s="1" t="s">
        <v>263</v>
      </c>
      <c r="E3812" s="1" t="s">
        <v>200</v>
      </c>
      <c r="F3812">
        <v>80</v>
      </c>
      <c r="G3812" s="1" t="str">
        <f>Ocupacao_DW[[#This Row],[data]]&amp;Ocupacao_DW[[#This Row],[profissional_id]]&amp;Ocupacao_DW[[#This Row],[local_id]]</f>
        <v>44635134380</v>
      </c>
      <c r="H3812" s="1">
        <f>_xlfn.XLOOKUP(Ocupacao_DW[[#This Row],[Concat]],Vagas!$H:$H,Vagas!$D:$D,"",0)</f>
        <v>0</v>
      </c>
    </row>
    <row r="3813" spans="1:8" x14ac:dyDescent="0.25">
      <c r="A3813" s="2">
        <v>44644</v>
      </c>
      <c r="B3813" s="1" t="s">
        <v>52</v>
      </c>
      <c r="C3813">
        <v>9217</v>
      </c>
      <c r="D3813" s="1" t="s">
        <v>191</v>
      </c>
      <c r="E3813" s="1" t="s">
        <v>6</v>
      </c>
      <c r="F3813">
        <v>7</v>
      </c>
      <c r="G3813" s="1" t="str">
        <f>Ocupacao_DW[[#This Row],[data]]&amp;Ocupacao_DW[[#This Row],[profissional_id]]&amp;Ocupacao_DW[[#This Row],[local_id]]</f>
        <v>4464492177</v>
      </c>
      <c r="H3813" s="1">
        <f>_xlfn.XLOOKUP(Ocupacao_DW[[#This Row],[Concat]],Vagas!$H:$H,Vagas!$D:$D,"",0)</f>
        <v>0</v>
      </c>
    </row>
    <row r="3814" spans="1:8" x14ac:dyDescent="0.25">
      <c r="A3814" s="2">
        <v>44650</v>
      </c>
      <c r="B3814" s="1" t="s">
        <v>70</v>
      </c>
      <c r="C3814">
        <v>12825</v>
      </c>
      <c r="D3814" s="1" t="s">
        <v>177</v>
      </c>
      <c r="E3814" s="1" t="s">
        <v>4</v>
      </c>
      <c r="F3814">
        <v>45</v>
      </c>
      <c r="G3814" s="1" t="str">
        <f>Ocupacao_DW[[#This Row],[data]]&amp;Ocupacao_DW[[#This Row],[profissional_id]]&amp;Ocupacao_DW[[#This Row],[local_id]]</f>
        <v>446501282545</v>
      </c>
      <c r="H3814" s="1">
        <f>_xlfn.XLOOKUP(Ocupacao_DW[[#This Row],[Concat]],Vagas!$H:$H,Vagas!$D:$D,"",0)</f>
        <v>0</v>
      </c>
    </row>
    <row r="3815" spans="1:8" x14ac:dyDescent="0.25">
      <c r="A3815" s="2">
        <v>44636</v>
      </c>
      <c r="B3815" s="1" t="s">
        <v>62</v>
      </c>
      <c r="C3815">
        <v>3502</v>
      </c>
      <c r="D3815" s="1" t="s">
        <v>214</v>
      </c>
      <c r="E3815" s="1" t="s">
        <v>5</v>
      </c>
      <c r="F3815">
        <v>16</v>
      </c>
      <c r="G3815" s="1" t="str">
        <f>Ocupacao_DW[[#This Row],[data]]&amp;Ocupacao_DW[[#This Row],[profissional_id]]&amp;Ocupacao_DW[[#This Row],[local_id]]</f>
        <v>44636350216</v>
      </c>
      <c r="H3815" s="1">
        <f>_xlfn.XLOOKUP(Ocupacao_DW[[#This Row],[Concat]],Vagas!$H:$H,Vagas!$D:$D,"",0)</f>
        <v>0</v>
      </c>
    </row>
    <row r="3816" spans="1:8" x14ac:dyDescent="0.25">
      <c r="A3816" s="2">
        <v>44643</v>
      </c>
      <c r="B3816" s="1" t="s">
        <v>49</v>
      </c>
      <c r="C3816">
        <v>6430</v>
      </c>
      <c r="D3816" s="1" t="s">
        <v>188</v>
      </c>
      <c r="E3816" s="1" t="s">
        <v>4</v>
      </c>
      <c r="F3816">
        <v>42</v>
      </c>
      <c r="G3816" s="1" t="str">
        <f>Ocupacao_DW[[#This Row],[data]]&amp;Ocupacao_DW[[#This Row],[profissional_id]]&amp;Ocupacao_DW[[#This Row],[local_id]]</f>
        <v>44643643042</v>
      </c>
      <c r="H3816" s="1">
        <f>_xlfn.XLOOKUP(Ocupacao_DW[[#This Row],[Concat]],Vagas!$H:$H,Vagas!$D:$D,"",0)</f>
        <v>0</v>
      </c>
    </row>
    <row r="3817" spans="1:8" x14ac:dyDescent="0.25">
      <c r="A3817" s="2">
        <v>44636</v>
      </c>
      <c r="B3817" s="1" t="s">
        <v>47</v>
      </c>
      <c r="C3817">
        <v>111</v>
      </c>
      <c r="D3817" s="1" t="s">
        <v>199</v>
      </c>
      <c r="E3817" s="1" t="s">
        <v>4</v>
      </c>
      <c r="F3817">
        <v>51</v>
      </c>
      <c r="G3817" s="1" t="str">
        <f>Ocupacao_DW[[#This Row],[data]]&amp;Ocupacao_DW[[#This Row],[profissional_id]]&amp;Ocupacao_DW[[#This Row],[local_id]]</f>
        <v>4463611151</v>
      </c>
      <c r="H3817" s="1">
        <f>_xlfn.XLOOKUP(Ocupacao_DW[[#This Row],[Concat]],Vagas!$H:$H,Vagas!$D:$D,"",0)</f>
        <v>1</v>
      </c>
    </row>
    <row r="3818" spans="1:8" x14ac:dyDescent="0.25">
      <c r="A3818" s="2">
        <v>44651</v>
      </c>
      <c r="B3818" s="1" t="s">
        <v>70</v>
      </c>
      <c r="C3818">
        <v>12519</v>
      </c>
      <c r="D3818" s="1" t="s">
        <v>176</v>
      </c>
      <c r="E3818" s="1" t="s">
        <v>4</v>
      </c>
      <c r="F3818">
        <v>42</v>
      </c>
      <c r="G3818" s="1" t="str">
        <f>Ocupacao_DW[[#This Row],[data]]&amp;Ocupacao_DW[[#This Row],[profissional_id]]&amp;Ocupacao_DW[[#This Row],[local_id]]</f>
        <v>446511251942</v>
      </c>
      <c r="H3818" s="1">
        <f>_xlfn.XLOOKUP(Ocupacao_DW[[#This Row],[Concat]],Vagas!$H:$H,Vagas!$D:$D,"",0)</f>
        <v>0</v>
      </c>
    </row>
    <row r="3819" spans="1:8" x14ac:dyDescent="0.25">
      <c r="A3819" s="2">
        <v>44635</v>
      </c>
      <c r="B3819" s="1" t="s">
        <v>64</v>
      </c>
      <c r="C3819">
        <v>85</v>
      </c>
      <c r="D3819" s="1" t="s">
        <v>211</v>
      </c>
      <c r="E3819" s="1" t="s">
        <v>5</v>
      </c>
      <c r="F3819">
        <v>349</v>
      </c>
      <c r="G3819" s="1" t="str">
        <f>Ocupacao_DW[[#This Row],[data]]&amp;Ocupacao_DW[[#This Row],[profissional_id]]&amp;Ocupacao_DW[[#This Row],[local_id]]</f>
        <v>4463585349</v>
      </c>
      <c r="H3819" s="1">
        <f>_xlfn.XLOOKUP(Ocupacao_DW[[#This Row],[Concat]],Vagas!$H:$H,Vagas!$D:$D,"",0)</f>
        <v>0</v>
      </c>
    </row>
    <row r="3820" spans="1:8" x14ac:dyDescent="0.25">
      <c r="A3820" s="2">
        <v>44636</v>
      </c>
      <c r="B3820" s="1" t="s">
        <v>47</v>
      </c>
      <c r="C3820">
        <v>111</v>
      </c>
      <c r="D3820" s="1" t="s">
        <v>199</v>
      </c>
      <c r="E3820" s="1" t="s">
        <v>4</v>
      </c>
      <c r="F3820">
        <v>51</v>
      </c>
      <c r="G3820" s="1" t="str">
        <f>Ocupacao_DW[[#This Row],[data]]&amp;Ocupacao_DW[[#This Row],[profissional_id]]&amp;Ocupacao_DW[[#This Row],[local_id]]</f>
        <v>4463611151</v>
      </c>
      <c r="H3820" s="1">
        <f>_xlfn.XLOOKUP(Ocupacao_DW[[#This Row],[Concat]],Vagas!$H:$H,Vagas!$D:$D,"",0)</f>
        <v>1</v>
      </c>
    </row>
    <row r="3821" spans="1:8" x14ac:dyDescent="0.25">
      <c r="A3821" s="2">
        <v>44636</v>
      </c>
      <c r="B3821" s="1" t="s">
        <v>62</v>
      </c>
      <c r="C3821">
        <v>3502</v>
      </c>
      <c r="D3821" s="1" t="s">
        <v>214</v>
      </c>
      <c r="E3821" s="1" t="s">
        <v>5</v>
      </c>
      <c r="F3821">
        <v>16</v>
      </c>
      <c r="G3821" s="1" t="str">
        <f>Ocupacao_DW[[#This Row],[data]]&amp;Ocupacao_DW[[#This Row],[profissional_id]]&amp;Ocupacao_DW[[#This Row],[local_id]]</f>
        <v>44636350216</v>
      </c>
      <c r="H3821" s="1">
        <f>_xlfn.XLOOKUP(Ocupacao_DW[[#This Row],[Concat]],Vagas!$H:$H,Vagas!$D:$D,"",0)</f>
        <v>0</v>
      </c>
    </row>
    <row r="3822" spans="1:8" x14ac:dyDescent="0.25">
      <c r="A3822" s="2">
        <v>44657</v>
      </c>
      <c r="B3822" s="1" t="s">
        <v>72</v>
      </c>
      <c r="C3822">
        <v>1794</v>
      </c>
      <c r="D3822" s="1" t="s">
        <v>235</v>
      </c>
      <c r="E3822" s="1" t="s">
        <v>4</v>
      </c>
      <c r="F3822">
        <v>49</v>
      </c>
      <c r="G3822" s="1" t="str">
        <f>Ocupacao_DW[[#This Row],[data]]&amp;Ocupacao_DW[[#This Row],[profissional_id]]&amp;Ocupacao_DW[[#This Row],[local_id]]</f>
        <v>44657179449</v>
      </c>
      <c r="H3822" s="1">
        <f>_xlfn.XLOOKUP(Ocupacao_DW[[#This Row],[Concat]],Vagas!$H:$H,Vagas!$D:$D,"",0)</f>
        <v>0</v>
      </c>
    </row>
    <row r="3823" spans="1:8" x14ac:dyDescent="0.25">
      <c r="A3823" s="2">
        <v>44648</v>
      </c>
      <c r="B3823" s="1" t="s">
        <v>49</v>
      </c>
      <c r="C3823">
        <v>17918</v>
      </c>
      <c r="D3823" s="1" t="s">
        <v>265</v>
      </c>
      <c r="E3823" s="1" t="s">
        <v>4</v>
      </c>
      <c r="F3823">
        <v>42</v>
      </c>
      <c r="G3823" s="1" t="str">
        <f>Ocupacao_DW[[#This Row],[data]]&amp;Ocupacao_DW[[#This Row],[profissional_id]]&amp;Ocupacao_DW[[#This Row],[local_id]]</f>
        <v>446481791842</v>
      </c>
      <c r="H3823" s="1">
        <f>_xlfn.XLOOKUP(Ocupacao_DW[[#This Row],[Concat]],Vagas!$H:$H,Vagas!$D:$D,"",0)</f>
        <v>0</v>
      </c>
    </row>
    <row r="3824" spans="1:8" x14ac:dyDescent="0.25">
      <c r="A3824" s="2">
        <v>44637</v>
      </c>
      <c r="B3824" s="1"/>
      <c r="C3824">
        <v>0</v>
      </c>
      <c r="D3824" s="1"/>
      <c r="E3824" s="1" t="s">
        <v>167</v>
      </c>
      <c r="F3824">
        <v>24</v>
      </c>
      <c r="G3824" s="1" t="str">
        <f>Ocupacao_DW[[#This Row],[data]]&amp;Ocupacao_DW[[#This Row],[profissional_id]]&amp;Ocupacao_DW[[#This Row],[local_id]]</f>
        <v>44637024</v>
      </c>
      <c r="H3824" s="1" t="str">
        <f>_xlfn.XLOOKUP(Ocupacao_DW[[#This Row],[Concat]],Vagas!$H:$H,Vagas!$D:$D,"",0)</f>
        <v/>
      </c>
    </row>
    <row r="3825" spans="1:8" x14ac:dyDescent="0.25">
      <c r="A3825" s="2">
        <v>44641</v>
      </c>
      <c r="B3825" s="1" t="s">
        <v>52</v>
      </c>
      <c r="C3825">
        <v>10946</v>
      </c>
      <c r="D3825" s="1" t="s">
        <v>209</v>
      </c>
      <c r="E3825" s="1" t="s">
        <v>6</v>
      </c>
      <c r="F3825">
        <v>3</v>
      </c>
      <c r="G3825" s="1" t="str">
        <f>Ocupacao_DW[[#This Row],[data]]&amp;Ocupacao_DW[[#This Row],[profissional_id]]&amp;Ocupacao_DW[[#This Row],[local_id]]</f>
        <v>44641109463</v>
      </c>
      <c r="H3825" s="1">
        <f>_xlfn.XLOOKUP(Ocupacao_DW[[#This Row],[Concat]],Vagas!$H:$H,Vagas!$D:$D,"",0)</f>
        <v>0</v>
      </c>
    </row>
    <row r="3826" spans="1:8" x14ac:dyDescent="0.25">
      <c r="A3826" s="2">
        <v>44638</v>
      </c>
      <c r="B3826" s="1" t="s">
        <v>66</v>
      </c>
      <c r="C3826">
        <v>1343</v>
      </c>
      <c r="D3826" s="1" t="s">
        <v>263</v>
      </c>
      <c r="E3826" s="1" t="s">
        <v>167</v>
      </c>
      <c r="F3826">
        <v>342</v>
      </c>
      <c r="G3826" s="1" t="str">
        <f>Ocupacao_DW[[#This Row],[data]]&amp;Ocupacao_DW[[#This Row],[profissional_id]]&amp;Ocupacao_DW[[#This Row],[local_id]]</f>
        <v>446381343342</v>
      </c>
      <c r="H3826" s="1">
        <f>_xlfn.XLOOKUP(Ocupacao_DW[[#This Row],[Concat]],Vagas!$H:$H,Vagas!$D:$D,"",0)</f>
        <v>0</v>
      </c>
    </row>
    <row r="3827" spans="1:8" x14ac:dyDescent="0.25">
      <c r="A3827" s="2">
        <v>44637</v>
      </c>
      <c r="B3827" s="1" t="s">
        <v>49</v>
      </c>
      <c r="C3827">
        <v>266</v>
      </c>
      <c r="D3827" s="1" t="s">
        <v>201</v>
      </c>
      <c r="E3827" s="1" t="s">
        <v>4</v>
      </c>
      <c r="F3827">
        <v>42</v>
      </c>
      <c r="G3827" s="1" t="str">
        <f>Ocupacao_DW[[#This Row],[data]]&amp;Ocupacao_DW[[#This Row],[profissional_id]]&amp;Ocupacao_DW[[#This Row],[local_id]]</f>
        <v>4463726642</v>
      </c>
      <c r="H3827" s="1">
        <f>_xlfn.XLOOKUP(Ocupacao_DW[[#This Row],[Concat]],Vagas!$H:$H,Vagas!$D:$D,"",0)</f>
        <v>0</v>
      </c>
    </row>
    <row r="3828" spans="1:8" x14ac:dyDescent="0.25">
      <c r="A3828" s="2">
        <v>44641</v>
      </c>
      <c r="B3828" s="1" t="s">
        <v>47</v>
      </c>
      <c r="C3828">
        <v>11241</v>
      </c>
      <c r="D3828" s="1" t="s">
        <v>252</v>
      </c>
      <c r="E3828" s="1" t="s">
        <v>4</v>
      </c>
      <c r="F3828">
        <v>51</v>
      </c>
      <c r="G3828" s="1" t="str">
        <f>Ocupacao_DW[[#This Row],[data]]&amp;Ocupacao_DW[[#This Row],[profissional_id]]&amp;Ocupacao_DW[[#This Row],[local_id]]</f>
        <v>446411124151</v>
      </c>
      <c r="H3828" s="1">
        <f>_xlfn.XLOOKUP(Ocupacao_DW[[#This Row],[Concat]],Vagas!$H:$H,Vagas!$D:$D,"",0)</f>
        <v>0</v>
      </c>
    </row>
    <row r="3829" spans="1:8" x14ac:dyDescent="0.25">
      <c r="A3829" s="2">
        <v>44639</v>
      </c>
      <c r="B3829" s="1" t="s">
        <v>43</v>
      </c>
      <c r="C3829">
        <v>57</v>
      </c>
      <c r="D3829" s="1" t="s">
        <v>169</v>
      </c>
      <c r="E3829" s="1" t="s">
        <v>6</v>
      </c>
      <c r="F3829">
        <v>2</v>
      </c>
      <c r="G3829" s="1" t="str">
        <f>Ocupacao_DW[[#This Row],[data]]&amp;Ocupacao_DW[[#This Row],[profissional_id]]&amp;Ocupacao_DW[[#This Row],[local_id]]</f>
        <v>44639572</v>
      </c>
      <c r="H3829" s="1">
        <f>_xlfn.XLOOKUP(Ocupacao_DW[[#This Row],[Concat]],Vagas!$H:$H,Vagas!$D:$D,"",0)</f>
        <v>0</v>
      </c>
    </row>
    <row r="3830" spans="1:8" x14ac:dyDescent="0.25">
      <c r="A3830" s="2">
        <v>44638</v>
      </c>
      <c r="B3830" s="1" t="s">
        <v>49</v>
      </c>
      <c r="C3830">
        <v>12142</v>
      </c>
      <c r="D3830" s="1" t="s">
        <v>219</v>
      </c>
      <c r="E3830" s="1" t="s">
        <v>4</v>
      </c>
      <c r="F3830">
        <v>44</v>
      </c>
      <c r="G3830" s="1" t="str">
        <f>Ocupacao_DW[[#This Row],[data]]&amp;Ocupacao_DW[[#This Row],[profissional_id]]&amp;Ocupacao_DW[[#This Row],[local_id]]</f>
        <v>446381214244</v>
      </c>
      <c r="H3830" s="1">
        <f>_xlfn.XLOOKUP(Ocupacao_DW[[#This Row],[Concat]],Vagas!$H:$H,Vagas!$D:$D,"",0)</f>
        <v>0</v>
      </c>
    </row>
    <row r="3831" spans="1:8" x14ac:dyDescent="0.25">
      <c r="A3831" s="2">
        <v>44641</v>
      </c>
      <c r="B3831" s="1" t="s">
        <v>66</v>
      </c>
      <c r="C3831">
        <v>100</v>
      </c>
      <c r="D3831" s="1" t="s">
        <v>166</v>
      </c>
      <c r="E3831" s="1" t="s">
        <v>167</v>
      </c>
      <c r="F3831">
        <v>342</v>
      </c>
      <c r="G3831" s="1" t="str">
        <f>Ocupacao_DW[[#This Row],[data]]&amp;Ocupacao_DW[[#This Row],[profissional_id]]&amp;Ocupacao_DW[[#This Row],[local_id]]</f>
        <v>44641100342</v>
      </c>
      <c r="H3831" s="1">
        <f>_xlfn.XLOOKUP(Ocupacao_DW[[#This Row],[Concat]],Vagas!$H:$H,Vagas!$D:$D,"",0)</f>
        <v>0</v>
      </c>
    </row>
    <row r="3832" spans="1:8" x14ac:dyDescent="0.25">
      <c r="A3832" s="2">
        <v>44648</v>
      </c>
      <c r="B3832" s="1" t="s">
        <v>55</v>
      </c>
      <c r="C3832">
        <v>2984</v>
      </c>
      <c r="D3832" s="1" t="s">
        <v>185</v>
      </c>
      <c r="E3832" s="1" t="s">
        <v>6</v>
      </c>
      <c r="F3832">
        <v>7</v>
      </c>
      <c r="G3832" s="1" t="str">
        <f>Ocupacao_DW[[#This Row],[data]]&amp;Ocupacao_DW[[#This Row],[profissional_id]]&amp;Ocupacao_DW[[#This Row],[local_id]]</f>
        <v>4464829847</v>
      </c>
      <c r="H3832" s="1">
        <f>_xlfn.XLOOKUP(Ocupacao_DW[[#This Row],[Concat]],Vagas!$H:$H,Vagas!$D:$D,"",0)</f>
        <v>0</v>
      </c>
    </row>
    <row r="3833" spans="1:8" x14ac:dyDescent="0.25">
      <c r="A3833" s="2">
        <v>44644</v>
      </c>
      <c r="B3833" s="1" t="s">
        <v>52</v>
      </c>
      <c r="C3833">
        <v>9217</v>
      </c>
      <c r="D3833" s="1" t="s">
        <v>191</v>
      </c>
      <c r="E3833" s="1" t="s">
        <v>6</v>
      </c>
      <c r="F3833">
        <v>7</v>
      </c>
      <c r="G3833" s="1" t="str">
        <f>Ocupacao_DW[[#This Row],[data]]&amp;Ocupacao_DW[[#This Row],[profissional_id]]&amp;Ocupacao_DW[[#This Row],[local_id]]</f>
        <v>4464492177</v>
      </c>
      <c r="H3833" s="1">
        <f>_xlfn.XLOOKUP(Ocupacao_DW[[#This Row],[Concat]],Vagas!$H:$H,Vagas!$D:$D,"",0)</f>
        <v>0</v>
      </c>
    </row>
    <row r="3834" spans="1:8" x14ac:dyDescent="0.25">
      <c r="A3834" s="2">
        <v>44649</v>
      </c>
      <c r="B3834" s="1" t="s">
        <v>49</v>
      </c>
      <c r="C3834">
        <v>266</v>
      </c>
      <c r="D3834" s="1" t="s">
        <v>201</v>
      </c>
      <c r="E3834" s="1" t="s">
        <v>4</v>
      </c>
      <c r="F3834">
        <v>42</v>
      </c>
      <c r="G3834" s="1" t="str">
        <f>Ocupacao_DW[[#This Row],[data]]&amp;Ocupacao_DW[[#This Row],[profissional_id]]&amp;Ocupacao_DW[[#This Row],[local_id]]</f>
        <v>4464926642</v>
      </c>
      <c r="H3834" s="1">
        <f>_xlfn.XLOOKUP(Ocupacao_DW[[#This Row],[Concat]],Vagas!$H:$H,Vagas!$D:$D,"",0)</f>
        <v>0</v>
      </c>
    </row>
    <row r="3835" spans="1:8" x14ac:dyDescent="0.25">
      <c r="A3835" s="2">
        <v>44636</v>
      </c>
      <c r="B3835" s="1" t="s">
        <v>62</v>
      </c>
      <c r="C3835">
        <v>2567</v>
      </c>
      <c r="D3835" s="1" t="s">
        <v>198</v>
      </c>
      <c r="E3835" s="1" t="s">
        <v>5</v>
      </c>
      <c r="F3835">
        <v>349</v>
      </c>
      <c r="G3835" s="1" t="str">
        <f>Ocupacao_DW[[#This Row],[data]]&amp;Ocupacao_DW[[#This Row],[profissional_id]]&amp;Ocupacao_DW[[#This Row],[local_id]]</f>
        <v>446362567349</v>
      </c>
      <c r="H3835" s="1">
        <f>_xlfn.XLOOKUP(Ocupacao_DW[[#This Row],[Concat]],Vagas!$H:$H,Vagas!$D:$D,"",0)</f>
        <v>0</v>
      </c>
    </row>
    <row r="3836" spans="1:8" x14ac:dyDescent="0.25">
      <c r="A3836" s="2">
        <v>44657</v>
      </c>
      <c r="B3836" s="1" t="s">
        <v>55</v>
      </c>
      <c r="C3836">
        <v>74</v>
      </c>
      <c r="D3836" s="1" t="s">
        <v>182</v>
      </c>
      <c r="E3836" s="1" t="s">
        <v>6</v>
      </c>
      <c r="F3836">
        <v>7</v>
      </c>
      <c r="G3836" s="1" t="str">
        <f>Ocupacao_DW[[#This Row],[data]]&amp;Ocupacao_DW[[#This Row],[profissional_id]]&amp;Ocupacao_DW[[#This Row],[local_id]]</f>
        <v>44657747</v>
      </c>
      <c r="H3836" s="1">
        <f>_xlfn.XLOOKUP(Ocupacao_DW[[#This Row],[Concat]],Vagas!$H:$H,Vagas!$D:$D,"",0)</f>
        <v>0</v>
      </c>
    </row>
    <row r="3837" spans="1:8" x14ac:dyDescent="0.25">
      <c r="A3837" s="2">
        <v>44637</v>
      </c>
      <c r="B3837" s="1" t="s">
        <v>49</v>
      </c>
      <c r="C3837">
        <v>81</v>
      </c>
      <c r="D3837" s="1" t="s">
        <v>170</v>
      </c>
      <c r="E3837" s="1" t="s">
        <v>4</v>
      </c>
      <c r="F3837">
        <v>41</v>
      </c>
      <c r="G3837" s="1" t="str">
        <f>Ocupacao_DW[[#This Row],[data]]&amp;Ocupacao_DW[[#This Row],[profissional_id]]&amp;Ocupacao_DW[[#This Row],[local_id]]</f>
        <v>446378141</v>
      </c>
      <c r="H3837" s="1">
        <f>_xlfn.XLOOKUP(Ocupacao_DW[[#This Row],[Concat]],Vagas!$H:$H,Vagas!$D:$D,"",0)</f>
        <v>0</v>
      </c>
    </row>
    <row r="3838" spans="1:8" x14ac:dyDescent="0.25">
      <c r="A3838" s="2">
        <v>44639</v>
      </c>
      <c r="B3838" s="1" t="s">
        <v>72</v>
      </c>
      <c r="C3838">
        <v>6046</v>
      </c>
      <c r="D3838" s="1" t="s">
        <v>222</v>
      </c>
      <c r="E3838" s="1" t="s">
        <v>4</v>
      </c>
      <c r="F3838">
        <v>46</v>
      </c>
      <c r="G3838" s="1" t="str">
        <f>Ocupacao_DW[[#This Row],[data]]&amp;Ocupacao_DW[[#This Row],[profissional_id]]&amp;Ocupacao_DW[[#This Row],[local_id]]</f>
        <v>44639604646</v>
      </c>
      <c r="H3838" s="1">
        <f>_xlfn.XLOOKUP(Ocupacao_DW[[#This Row],[Concat]],Vagas!$H:$H,Vagas!$D:$D,"",0)</f>
        <v>0</v>
      </c>
    </row>
    <row r="3839" spans="1:8" x14ac:dyDescent="0.25">
      <c r="A3839" s="2">
        <v>44638</v>
      </c>
      <c r="B3839" s="1" t="s">
        <v>54</v>
      </c>
      <c r="C3839">
        <v>69</v>
      </c>
      <c r="D3839" s="1" t="s">
        <v>238</v>
      </c>
      <c r="E3839" s="1" t="s">
        <v>5</v>
      </c>
      <c r="F3839">
        <v>13</v>
      </c>
      <c r="G3839" s="1" t="str">
        <f>Ocupacao_DW[[#This Row],[data]]&amp;Ocupacao_DW[[#This Row],[profissional_id]]&amp;Ocupacao_DW[[#This Row],[local_id]]</f>
        <v>446386913</v>
      </c>
      <c r="H3839" s="1">
        <f>_xlfn.XLOOKUP(Ocupacao_DW[[#This Row],[Concat]],Vagas!$H:$H,Vagas!$D:$D,"",0)</f>
        <v>0</v>
      </c>
    </row>
    <row r="3840" spans="1:8" x14ac:dyDescent="0.25">
      <c r="A3840" s="2">
        <v>44651</v>
      </c>
      <c r="B3840" s="1" t="s">
        <v>52</v>
      </c>
      <c r="C3840">
        <v>9217</v>
      </c>
      <c r="D3840" s="1" t="s">
        <v>191</v>
      </c>
      <c r="E3840" s="1" t="s">
        <v>6</v>
      </c>
      <c r="F3840">
        <v>7</v>
      </c>
      <c r="G3840" s="1" t="str">
        <f>Ocupacao_DW[[#This Row],[data]]&amp;Ocupacao_DW[[#This Row],[profissional_id]]&amp;Ocupacao_DW[[#This Row],[local_id]]</f>
        <v>4465192177</v>
      </c>
      <c r="H3840" s="1">
        <f>_xlfn.XLOOKUP(Ocupacao_DW[[#This Row],[Concat]],Vagas!$H:$H,Vagas!$D:$D,"",0)</f>
        <v>0</v>
      </c>
    </row>
    <row r="3841" spans="1:8" x14ac:dyDescent="0.25">
      <c r="A3841" s="2">
        <v>44645</v>
      </c>
      <c r="B3841" s="1" t="s">
        <v>52</v>
      </c>
      <c r="C3841">
        <v>57</v>
      </c>
      <c r="D3841" s="1" t="s">
        <v>169</v>
      </c>
      <c r="E3841" s="1" t="s">
        <v>6</v>
      </c>
      <c r="F3841">
        <v>8</v>
      </c>
      <c r="G3841" s="1" t="str">
        <f>Ocupacao_DW[[#This Row],[data]]&amp;Ocupacao_DW[[#This Row],[profissional_id]]&amp;Ocupacao_DW[[#This Row],[local_id]]</f>
        <v>44645578</v>
      </c>
      <c r="H3841" s="1">
        <f>_xlfn.XLOOKUP(Ocupacao_DW[[#This Row],[Concat]],Vagas!$H:$H,Vagas!$D:$D,"",0)</f>
        <v>0</v>
      </c>
    </row>
    <row r="3842" spans="1:8" x14ac:dyDescent="0.25">
      <c r="A3842" s="2">
        <v>44648</v>
      </c>
      <c r="B3842" s="1" t="s">
        <v>69</v>
      </c>
      <c r="C3842">
        <v>13249</v>
      </c>
      <c r="D3842" s="1" t="s">
        <v>178</v>
      </c>
      <c r="E3842" s="1" t="s">
        <v>4</v>
      </c>
      <c r="F3842">
        <v>45</v>
      </c>
      <c r="G3842" s="1" t="str">
        <f>Ocupacao_DW[[#This Row],[data]]&amp;Ocupacao_DW[[#This Row],[profissional_id]]&amp;Ocupacao_DW[[#This Row],[local_id]]</f>
        <v>446481324945</v>
      </c>
      <c r="H3842" s="1">
        <f>_xlfn.XLOOKUP(Ocupacao_DW[[#This Row],[Concat]],Vagas!$H:$H,Vagas!$D:$D,"",0)</f>
        <v>0</v>
      </c>
    </row>
    <row r="3843" spans="1:8" x14ac:dyDescent="0.25">
      <c r="A3843" s="2">
        <v>44637</v>
      </c>
      <c r="B3843" s="1" t="s">
        <v>49</v>
      </c>
      <c r="C3843">
        <v>3092</v>
      </c>
      <c r="D3843" s="1" t="s">
        <v>262</v>
      </c>
      <c r="E3843" s="1" t="s">
        <v>4</v>
      </c>
      <c r="F3843">
        <v>43</v>
      </c>
      <c r="G3843" s="1" t="str">
        <f>Ocupacao_DW[[#This Row],[data]]&amp;Ocupacao_DW[[#This Row],[profissional_id]]&amp;Ocupacao_DW[[#This Row],[local_id]]</f>
        <v>44637309243</v>
      </c>
      <c r="H3843" s="1">
        <f>_xlfn.XLOOKUP(Ocupacao_DW[[#This Row],[Concat]],Vagas!$H:$H,Vagas!$D:$D,"",0)</f>
        <v>0</v>
      </c>
    </row>
    <row r="3844" spans="1:8" x14ac:dyDescent="0.25">
      <c r="A3844" s="2">
        <v>44635</v>
      </c>
      <c r="B3844" s="1" t="s">
        <v>64</v>
      </c>
      <c r="C3844">
        <v>86</v>
      </c>
      <c r="D3844" s="1" t="s">
        <v>175</v>
      </c>
      <c r="E3844" s="1" t="s">
        <v>200</v>
      </c>
      <c r="F3844">
        <v>82</v>
      </c>
      <c r="G3844" s="1" t="str">
        <f>Ocupacao_DW[[#This Row],[data]]&amp;Ocupacao_DW[[#This Row],[profissional_id]]&amp;Ocupacao_DW[[#This Row],[local_id]]</f>
        <v>446358682</v>
      </c>
      <c r="H3844" s="1">
        <f>_xlfn.XLOOKUP(Ocupacao_DW[[#This Row],[Concat]],Vagas!$H:$H,Vagas!$D:$D,"",0)</f>
        <v>6</v>
      </c>
    </row>
    <row r="3845" spans="1:8" x14ac:dyDescent="0.25">
      <c r="A3845" s="2">
        <v>44644</v>
      </c>
      <c r="B3845" s="1" t="s">
        <v>52</v>
      </c>
      <c r="C3845">
        <v>10691</v>
      </c>
      <c r="D3845" s="1" t="s">
        <v>181</v>
      </c>
      <c r="E3845" s="1" t="s">
        <v>6</v>
      </c>
      <c r="F3845">
        <v>9</v>
      </c>
      <c r="G3845" s="1" t="str">
        <f>Ocupacao_DW[[#This Row],[data]]&amp;Ocupacao_DW[[#This Row],[profissional_id]]&amp;Ocupacao_DW[[#This Row],[local_id]]</f>
        <v>44644106919</v>
      </c>
      <c r="H3845" s="1">
        <f>_xlfn.XLOOKUP(Ocupacao_DW[[#This Row],[Concat]],Vagas!$H:$H,Vagas!$D:$D,"",0)</f>
        <v>0</v>
      </c>
    </row>
    <row r="3846" spans="1:8" x14ac:dyDescent="0.25">
      <c r="A3846" s="2">
        <v>44637</v>
      </c>
      <c r="B3846" s="1"/>
      <c r="C3846">
        <v>17893</v>
      </c>
      <c r="D3846" s="1" t="s">
        <v>275</v>
      </c>
      <c r="E3846" s="1" t="s">
        <v>6</v>
      </c>
      <c r="F3846">
        <v>4</v>
      </c>
      <c r="G3846" s="1" t="str">
        <f>Ocupacao_DW[[#This Row],[data]]&amp;Ocupacao_DW[[#This Row],[profissional_id]]&amp;Ocupacao_DW[[#This Row],[local_id]]</f>
        <v>44637178934</v>
      </c>
      <c r="H3846" s="1">
        <f>_xlfn.XLOOKUP(Ocupacao_DW[[#This Row],[Concat]],Vagas!$H:$H,Vagas!$D:$D,"",0)</f>
        <v>5</v>
      </c>
    </row>
    <row r="3847" spans="1:8" x14ac:dyDescent="0.25">
      <c r="A3847" s="2">
        <v>44636</v>
      </c>
      <c r="B3847" s="1" t="s">
        <v>52</v>
      </c>
      <c r="C3847">
        <v>57</v>
      </c>
      <c r="D3847" s="1" t="s">
        <v>169</v>
      </c>
      <c r="E3847" s="1" t="s">
        <v>6</v>
      </c>
      <c r="F3847">
        <v>4</v>
      </c>
      <c r="G3847" s="1" t="str">
        <f>Ocupacao_DW[[#This Row],[data]]&amp;Ocupacao_DW[[#This Row],[profissional_id]]&amp;Ocupacao_DW[[#This Row],[local_id]]</f>
        <v>44636574</v>
      </c>
      <c r="H3847" s="1">
        <f>_xlfn.XLOOKUP(Ocupacao_DW[[#This Row],[Concat]],Vagas!$H:$H,Vagas!$D:$D,"",0)</f>
        <v>0</v>
      </c>
    </row>
    <row r="3848" spans="1:8" x14ac:dyDescent="0.25">
      <c r="A3848" s="2">
        <v>44635</v>
      </c>
      <c r="B3848" s="1" t="s">
        <v>71</v>
      </c>
      <c r="C3848">
        <v>282</v>
      </c>
      <c r="D3848" s="1" t="s">
        <v>210</v>
      </c>
      <c r="E3848" s="1" t="s">
        <v>4</v>
      </c>
      <c r="F3848">
        <v>48</v>
      </c>
      <c r="G3848" s="1" t="str">
        <f>Ocupacao_DW[[#This Row],[data]]&amp;Ocupacao_DW[[#This Row],[profissional_id]]&amp;Ocupacao_DW[[#This Row],[local_id]]</f>
        <v>4463528248</v>
      </c>
      <c r="H3848" s="1">
        <f>_xlfn.XLOOKUP(Ocupacao_DW[[#This Row],[Concat]],Vagas!$H:$H,Vagas!$D:$D,"",0)</f>
        <v>0</v>
      </c>
    </row>
    <row r="3849" spans="1:8" x14ac:dyDescent="0.25">
      <c r="A3849" s="2">
        <v>44648</v>
      </c>
      <c r="B3849" s="1" t="s">
        <v>69</v>
      </c>
      <c r="C3849">
        <v>13249</v>
      </c>
      <c r="D3849" s="1" t="s">
        <v>178</v>
      </c>
      <c r="E3849" s="1" t="s">
        <v>4</v>
      </c>
      <c r="F3849">
        <v>45</v>
      </c>
      <c r="G3849" s="1" t="str">
        <f>Ocupacao_DW[[#This Row],[data]]&amp;Ocupacao_DW[[#This Row],[profissional_id]]&amp;Ocupacao_DW[[#This Row],[local_id]]</f>
        <v>446481324945</v>
      </c>
      <c r="H3849" s="1">
        <f>_xlfn.XLOOKUP(Ocupacao_DW[[#This Row],[Concat]],Vagas!$H:$H,Vagas!$D:$D,"",0)</f>
        <v>0</v>
      </c>
    </row>
    <row r="3850" spans="1:8" x14ac:dyDescent="0.25">
      <c r="A3850" s="2">
        <v>44641</v>
      </c>
      <c r="B3850" s="1" t="s">
        <v>55</v>
      </c>
      <c r="C3850">
        <v>60</v>
      </c>
      <c r="D3850" s="1" t="s">
        <v>217</v>
      </c>
      <c r="E3850" s="1" t="s">
        <v>167</v>
      </c>
      <c r="F3850">
        <v>345</v>
      </c>
      <c r="G3850" s="1" t="str">
        <f>Ocupacao_DW[[#This Row],[data]]&amp;Ocupacao_DW[[#This Row],[profissional_id]]&amp;Ocupacao_DW[[#This Row],[local_id]]</f>
        <v>4464160345</v>
      </c>
      <c r="H3850" s="1">
        <f>_xlfn.XLOOKUP(Ocupacao_DW[[#This Row],[Concat]],Vagas!$H:$H,Vagas!$D:$D,"",0)</f>
        <v>0</v>
      </c>
    </row>
    <row r="3851" spans="1:8" x14ac:dyDescent="0.25">
      <c r="A3851" s="2">
        <v>44645</v>
      </c>
      <c r="B3851" s="1" t="s">
        <v>64</v>
      </c>
      <c r="C3851">
        <v>531</v>
      </c>
      <c r="D3851" s="1" t="s">
        <v>213</v>
      </c>
      <c r="E3851" s="1" t="s">
        <v>200</v>
      </c>
      <c r="F3851">
        <v>78</v>
      </c>
      <c r="G3851" s="1" t="str">
        <f>Ocupacao_DW[[#This Row],[data]]&amp;Ocupacao_DW[[#This Row],[profissional_id]]&amp;Ocupacao_DW[[#This Row],[local_id]]</f>
        <v>4464553178</v>
      </c>
      <c r="H3851" s="1">
        <f>_xlfn.XLOOKUP(Ocupacao_DW[[#This Row],[Concat]],Vagas!$H:$H,Vagas!$D:$D,"",0)</f>
        <v>0</v>
      </c>
    </row>
    <row r="3852" spans="1:8" x14ac:dyDescent="0.25">
      <c r="A3852" s="2">
        <v>44635</v>
      </c>
      <c r="B3852" s="1" t="s">
        <v>43</v>
      </c>
      <c r="C3852">
        <v>57</v>
      </c>
      <c r="D3852" s="1" t="s">
        <v>169</v>
      </c>
      <c r="E3852" s="1" t="s">
        <v>6</v>
      </c>
      <c r="F3852">
        <v>2</v>
      </c>
      <c r="G3852" s="1" t="str">
        <f>Ocupacao_DW[[#This Row],[data]]&amp;Ocupacao_DW[[#This Row],[profissional_id]]&amp;Ocupacao_DW[[#This Row],[local_id]]</f>
        <v>44635572</v>
      </c>
      <c r="H3852" s="1">
        <f>_xlfn.XLOOKUP(Ocupacao_DW[[#This Row],[Concat]],Vagas!$H:$H,Vagas!$D:$D,"",0)</f>
        <v>0</v>
      </c>
    </row>
    <row r="3853" spans="1:8" x14ac:dyDescent="0.25">
      <c r="A3853" s="2">
        <v>44635</v>
      </c>
      <c r="B3853" s="1" t="s">
        <v>55</v>
      </c>
      <c r="C3853">
        <v>14452</v>
      </c>
      <c r="D3853" s="1" t="s">
        <v>266</v>
      </c>
      <c r="E3853" s="1" t="s">
        <v>200</v>
      </c>
      <c r="F3853">
        <v>78</v>
      </c>
      <c r="G3853" s="1" t="str">
        <f>Ocupacao_DW[[#This Row],[data]]&amp;Ocupacao_DW[[#This Row],[profissional_id]]&amp;Ocupacao_DW[[#This Row],[local_id]]</f>
        <v>446351445278</v>
      </c>
      <c r="H3853" s="1">
        <f>_xlfn.XLOOKUP(Ocupacao_DW[[#This Row],[Concat]],Vagas!$H:$H,Vagas!$D:$D,"",0)</f>
        <v>0</v>
      </c>
    </row>
    <row r="3854" spans="1:8" x14ac:dyDescent="0.25">
      <c r="A3854" s="2">
        <v>44638</v>
      </c>
      <c r="B3854" s="1" t="s">
        <v>47</v>
      </c>
      <c r="C3854">
        <v>9111</v>
      </c>
      <c r="D3854" s="1" t="s">
        <v>206</v>
      </c>
      <c r="E3854" s="1" t="s">
        <v>4</v>
      </c>
      <c r="F3854">
        <v>51</v>
      </c>
      <c r="G3854" s="1" t="str">
        <f>Ocupacao_DW[[#This Row],[data]]&amp;Ocupacao_DW[[#This Row],[profissional_id]]&amp;Ocupacao_DW[[#This Row],[local_id]]</f>
        <v>44638911151</v>
      </c>
      <c r="H3854" s="1">
        <f>_xlfn.XLOOKUP(Ocupacao_DW[[#This Row],[Concat]],Vagas!$H:$H,Vagas!$D:$D,"",0)</f>
        <v>0</v>
      </c>
    </row>
    <row r="3855" spans="1:8" x14ac:dyDescent="0.25">
      <c r="A3855" s="2">
        <v>44645</v>
      </c>
      <c r="B3855" s="1" t="s">
        <v>47</v>
      </c>
      <c r="C3855">
        <v>9111</v>
      </c>
      <c r="D3855" s="1" t="s">
        <v>206</v>
      </c>
      <c r="E3855" s="1" t="s">
        <v>4</v>
      </c>
      <c r="F3855">
        <v>51</v>
      </c>
      <c r="G3855" s="1" t="str">
        <f>Ocupacao_DW[[#This Row],[data]]&amp;Ocupacao_DW[[#This Row],[profissional_id]]&amp;Ocupacao_DW[[#This Row],[local_id]]</f>
        <v>44645911151</v>
      </c>
      <c r="H3855" s="1">
        <f>_xlfn.XLOOKUP(Ocupacao_DW[[#This Row],[Concat]],Vagas!$H:$H,Vagas!$D:$D,"",0)</f>
        <v>0</v>
      </c>
    </row>
    <row r="3856" spans="1:8" x14ac:dyDescent="0.25">
      <c r="A3856" s="2">
        <v>44636</v>
      </c>
      <c r="B3856" s="1" t="s">
        <v>72</v>
      </c>
      <c r="C3856">
        <v>1794</v>
      </c>
      <c r="D3856" s="1" t="s">
        <v>235</v>
      </c>
      <c r="E3856" s="1" t="s">
        <v>4</v>
      </c>
      <c r="F3856">
        <v>49</v>
      </c>
      <c r="G3856" s="1" t="str">
        <f>Ocupacao_DW[[#This Row],[data]]&amp;Ocupacao_DW[[#This Row],[profissional_id]]&amp;Ocupacao_DW[[#This Row],[local_id]]</f>
        <v>44636179449</v>
      </c>
      <c r="H3856" s="1">
        <f>_xlfn.XLOOKUP(Ocupacao_DW[[#This Row],[Concat]],Vagas!$H:$H,Vagas!$D:$D,"",0)</f>
        <v>0</v>
      </c>
    </row>
    <row r="3857" spans="1:8" x14ac:dyDescent="0.25">
      <c r="A3857" s="2">
        <v>44657</v>
      </c>
      <c r="B3857" s="1" t="s">
        <v>55</v>
      </c>
      <c r="C3857">
        <v>74</v>
      </c>
      <c r="D3857" s="1" t="s">
        <v>182</v>
      </c>
      <c r="E3857" s="1" t="s">
        <v>6</v>
      </c>
      <c r="F3857">
        <v>7</v>
      </c>
      <c r="G3857" s="1" t="str">
        <f>Ocupacao_DW[[#This Row],[data]]&amp;Ocupacao_DW[[#This Row],[profissional_id]]&amp;Ocupacao_DW[[#This Row],[local_id]]</f>
        <v>44657747</v>
      </c>
      <c r="H3857" s="1">
        <f>_xlfn.XLOOKUP(Ocupacao_DW[[#This Row],[Concat]],Vagas!$H:$H,Vagas!$D:$D,"",0)</f>
        <v>0</v>
      </c>
    </row>
    <row r="3858" spans="1:8" x14ac:dyDescent="0.25">
      <c r="A3858" s="2">
        <v>44635</v>
      </c>
      <c r="B3858" s="1" t="s">
        <v>66</v>
      </c>
      <c r="C3858">
        <v>100</v>
      </c>
      <c r="D3858" s="1" t="s">
        <v>166</v>
      </c>
      <c r="E3858" s="1" t="s">
        <v>167</v>
      </c>
      <c r="F3858">
        <v>342</v>
      </c>
      <c r="G3858" s="1" t="str">
        <f>Ocupacao_DW[[#This Row],[data]]&amp;Ocupacao_DW[[#This Row],[profissional_id]]&amp;Ocupacao_DW[[#This Row],[local_id]]</f>
        <v>44635100342</v>
      </c>
      <c r="H3858" s="1">
        <f>_xlfn.XLOOKUP(Ocupacao_DW[[#This Row],[Concat]],Vagas!$H:$H,Vagas!$D:$D,"",0)</f>
        <v>0</v>
      </c>
    </row>
    <row r="3859" spans="1:8" x14ac:dyDescent="0.25">
      <c r="A3859" s="2">
        <v>44641</v>
      </c>
      <c r="B3859" s="1" t="s">
        <v>49</v>
      </c>
      <c r="C3859">
        <v>3092</v>
      </c>
      <c r="D3859" s="1" t="s">
        <v>262</v>
      </c>
      <c r="E3859" s="1" t="s">
        <v>4</v>
      </c>
      <c r="F3859">
        <v>44</v>
      </c>
      <c r="G3859" s="1" t="str">
        <f>Ocupacao_DW[[#This Row],[data]]&amp;Ocupacao_DW[[#This Row],[profissional_id]]&amp;Ocupacao_DW[[#This Row],[local_id]]</f>
        <v>44641309244</v>
      </c>
      <c r="H3859" s="1">
        <f>_xlfn.XLOOKUP(Ocupacao_DW[[#This Row],[Concat]],Vagas!$H:$H,Vagas!$D:$D,"",0)</f>
        <v>0</v>
      </c>
    </row>
    <row r="3860" spans="1:8" x14ac:dyDescent="0.25">
      <c r="A3860" s="2">
        <v>44641</v>
      </c>
      <c r="B3860" s="1" t="s">
        <v>49</v>
      </c>
      <c r="C3860">
        <v>17918</v>
      </c>
      <c r="D3860" s="1" t="s">
        <v>265</v>
      </c>
      <c r="E3860" s="1" t="s">
        <v>4</v>
      </c>
      <c r="F3860">
        <v>42</v>
      </c>
      <c r="G3860" s="1" t="str">
        <f>Ocupacao_DW[[#This Row],[data]]&amp;Ocupacao_DW[[#This Row],[profissional_id]]&amp;Ocupacao_DW[[#This Row],[local_id]]</f>
        <v>446411791842</v>
      </c>
      <c r="H3860" s="1">
        <f>_xlfn.XLOOKUP(Ocupacao_DW[[#This Row],[Concat]],Vagas!$H:$H,Vagas!$D:$D,"",0)</f>
        <v>0</v>
      </c>
    </row>
    <row r="3861" spans="1:8" x14ac:dyDescent="0.25">
      <c r="A3861" s="2">
        <v>44636</v>
      </c>
      <c r="B3861" s="1" t="s">
        <v>49</v>
      </c>
      <c r="C3861">
        <v>81</v>
      </c>
      <c r="D3861" s="1" t="s">
        <v>170</v>
      </c>
      <c r="E3861" s="1" t="s">
        <v>4</v>
      </c>
      <c r="F3861">
        <v>41</v>
      </c>
      <c r="G3861" s="1" t="str">
        <f>Ocupacao_DW[[#This Row],[data]]&amp;Ocupacao_DW[[#This Row],[profissional_id]]&amp;Ocupacao_DW[[#This Row],[local_id]]</f>
        <v>446368141</v>
      </c>
      <c r="H3861" s="1">
        <f>_xlfn.XLOOKUP(Ocupacao_DW[[#This Row],[Concat]],Vagas!$H:$H,Vagas!$D:$D,"",0)</f>
        <v>0</v>
      </c>
    </row>
    <row r="3862" spans="1:8" x14ac:dyDescent="0.25">
      <c r="A3862" s="2">
        <v>44637</v>
      </c>
      <c r="B3862" s="1" t="s">
        <v>66</v>
      </c>
      <c r="C3862">
        <v>100</v>
      </c>
      <c r="D3862" s="1" t="s">
        <v>166</v>
      </c>
      <c r="E3862" s="1" t="s">
        <v>167</v>
      </c>
      <c r="F3862">
        <v>342</v>
      </c>
      <c r="G3862" s="1" t="str">
        <f>Ocupacao_DW[[#This Row],[data]]&amp;Ocupacao_DW[[#This Row],[profissional_id]]&amp;Ocupacao_DW[[#This Row],[local_id]]</f>
        <v>44637100342</v>
      </c>
      <c r="H3862" s="1">
        <f>_xlfn.XLOOKUP(Ocupacao_DW[[#This Row],[Concat]],Vagas!$H:$H,Vagas!$D:$D,"",0)</f>
        <v>0</v>
      </c>
    </row>
    <row r="3863" spans="1:8" x14ac:dyDescent="0.25">
      <c r="A3863" s="2">
        <v>44636</v>
      </c>
      <c r="B3863" s="1" t="s">
        <v>54</v>
      </c>
      <c r="C3863">
        <v>70</v>
      </c>
      <c r="D3863" s="1" t="s">
        <v>187</v>
      </c>
      <c r="E3863" s="1" t="s">
        <v>5</v>
      </c>
      <c r="F3863">
        <v>13</v>
      </c>
      <c r="G3863" s="1" t="str">
        <f>Ocupacao_DW[[#This Row],[data]]&amp;Ocupacao_DW[[#This Row],[profissional_id]]&amp;Ocupacao_DW[[#This Row],[local_id]]</f>
        <v>446367013</v>
      </c>
      <c r="H3863" s="1">
        <f>_xlfn.XLOOKUP(Ocupacao_DW[[#This Row],[Concat]],Vagas!$H:$H,Vagas!$D:$D,"",0)</f>
        <v>0</v>
      </c>
    </row>
    <row r="3864" spans="1:8" x14ac:dyDescent="0.25">
      <c r="A3864" s="2">
        <v>44642</v>
      </c>
      <c r="B3864" s="1" t="s">
        <v>52</v>
      </c>
      <c r="C3864">
        <v>13061</v>
      </c>
      <c r="D3864" s="1" t="s">
        <v>232</v>
      </c>
      <c r="E3864" s="1" t="s">
        <v>6</v>
      </c>
      <c r="F3864">
        <v>9</v>
      </c>
      <c r="G3864" s="1" t="str">
        <f>Ocupacao_DW[[#This Row],[data]]&amp;Ocupacao_DW[[#This Row],[profissional_id]]&amp;Ocupacao_DW[[#This Row],[local_id]]</f>
        <v>44642130619</v>
      </c>
      <c r="H3864" s="1">
        <f>_xlfn.XLOOKUP(Ocupacao_DW[[#This Row],[Concat]],Vagas!$H:$H,Vagas!$D:$D,"",0)</f>
        <v>0</v>
      </c>
    </row>
    <row r="3865" spans="1:8" x14ac:dyDescent="0.25">
      <c r="A3865" s="2">
        <v>44639</v>
      </c>
      <c r="B3865" s="1" t="s">
        <v>49</v>
      </c>
      <c r="C3865">
        <v>13756</v>
      </c>
      <c r="D3865" s="1" t="s">
        <v>202</v>
      </c>
      <c r="E3865" s="1" t="s">
        <v>4</v>
      </c>
      <c r="F3865">
        <v>43</v>
      </c>
      <c r="G3865" s="1" t="str">
        <f>Ocupacao_DW[[#This Row],[data]]&amp;Ocupacao_DW[[#This Row],[profissional_id]]&amp;Ocupacao_DW[[#This Row],[local_id]]</f>
        <v>446391375643</v>
      </c>
      <c r="H3865" s="1">
        <f>_xlfn.XLOOKUP(Ocupacao_DW[[#This Row],[Concat]],Vagas!$H:$H,Vagas!$D:$D,"",0)</f>
        <v>0</v>
      </c>
    </row>
    <row r="3866" spans="1:8" x14ac:dyDescent="0.25">
      <c r="A3866" s="2">
        <v>44649</v>
      </c>
      <c r="B3866" s="1" t="s">
        <v>70</v>
      </c>
      <c r="C3866">
        <v>14237</v>
      </c>
      <c r="D3866" s="1" t="s">
        <v>186</v>
      </c>
      <c r="E3866" s="1" t="s">
        <v>4</v>
      </c>
      <c r="F3866">
        <v>47</v>
      </c>
      <c r="G3866" s="1" t="str">
        <f>Ocupacao_DW[[#This Row],[data]]&amp;Ocupacao_DW[[#This Row],[profissional_id]]&amp;Ocupacao_DW[[#This Row],[local_id]]</f>
        <v>446491423747</v>
      </c>
      <c r="H3866" s="1">
        <f>_xlfn.XLOOKUP(Ocupacao_DW[[#This Row],[Concat]],Vagas!$H:$H,Vagas!$D:$D,"",0)</f>
        <v>0</v>
      </c>
    </row>
    <row r="3867" spans="1:8" x14ac:dyDescent="0.25">
      <c r="A3867" s="2">
        <v>44635</v>
      </c>
      <c r="B3867" s="1" t="s">
        <v>50</v>
      </c>
      <c r="C3867">
        <v>4814</v>
      </c>
      <c r="D3867" s="1" t="s">
        <v>189</v>
      </c>
      <c r="E3867" s="1" t="s">
        <v>5</v>
      </c>
      <c r="F3867">
        <v>17</v>
      </c>
      <c r="G3867" s="1" t="str">
        <f>Ocupacao_DW[[#This Row],[data]]&amp;Ocupacao_DW[[#This Row],[profissional_id]]&amp;Ocupacao_DW[[#This Row],[local_id]]</f>
        <v>44635481417</v>
      </c>
      <c r="H3867" s="1">
        <f>_xlfn.XLOOKUP(Ocupacao_DW[[#This Row],[Concat]],Vagas!$H:$H,Vagas!$D:$D,"",0)</f>
        <v>0</v>
      </c>
    </row>
    <row r="3868" spans="1:8" x14ac:dyDescent="0.25">
      <c r="A3868" s="2">
        <v>44643</v>
      </c>
      <c r="B3868" s="1" t="s">
        <v>70</v>
      </c>
      <c r="C3868">
        <v>12825</v>
      </c>
      <c r="D3868" s="1" t="s">
        <v>177</v>
      </c>
      <c r="E3868" s="1" t="s">
        <v>4</v>
      </c>
      <c r="F3868">
        <v>45</v>
      </c>
      <c r="G3868" s="1" t="str">
        <f>Ocupacao_DW[[#This Row],[data]]&amp;Ocupacao_DW[[#This Row],[profissional_id]]&amp;Ocupacao_DW[[#This Row],[local_id]]</f>
        <v>446431282545</v>
      </c>
      <c r="H3868" s="1">
        <f>_xlfn.XLOOKUP(Ocupacao_DW[[#This Row],[Concat]],Vagas!$H:$H,Vagas!$D:$D,"",0)</f>
        <v>0</v>
      </c>
    </row>
    <row r="3869" spans="1:8" x14ac:dyDescent="0.25">
      <c r="A3869" s="2">
        <v>44643</v>
      </c>
      <c r="B3869" s="1" t="s">
        <v>54</v>
      </c>
      <c r="C3869">
        <v>70</v>
      </c>
      <c r="D3869" s="1" t="s">
        <v>187</v>
      </c>
      <c r="E3869" s="1" t="s">
        <v>5</v>
      </c>
      <c r="F3869">
        <v>13</v>
      </c>
      <c r="G3869" s="1" t="str">
        <f>Ocupacao_DW[[#This Row],[data]]&amp;Ocupacao_DW[[#This Row],[profissional_id]]&amp;Ocupacao_DW[[#This Row],[local_id]]</f>
        <v>446437013</v>
      </c>
      <c r="H3869" s="1">
        <f>_xlfn.XLOOKUP(Ocupacao_DW[[#This Row],[Concat]],Vagas!$H:$H,Vagas!$D:$D,"",0)</f>
        <v>0</v>
      </c>
    </row>
    <row r="3870" spans="1:8" x14ac:dyDescent="0.25">
      <c r="A3870" s="2">
        <v>44648</v>
      </c>
      <c r="B3870" s="1" t="s">
        <v>60</v>
      </c>
      <c r="C3870">
        <v>117</v>
      </c>
      <c r="D3870" s="1" t="s">
        <v>180</v>
      </c>
      <c r="E3870" s="1" t="s">
        <v>4</v>
      </c>
      <c r="F3870">
        <v>48</v>
      </c>
      <c r="G3870" s="1" t="str">
        <f>Ocupacao_DW[[#This Row],[data]]&amp;Ocupacao_DW[[#This Row],[profissional_id]]&amp;Ocupacao_DW[[#This Row],[local_id]]</f>
        <v>4464811748</v>
      </c>
      <c r="H3870" s="1">
        <f>_xlfn.XLOOKUP(Ocupacao_DW[[#This Row],[Concat]],Vagas!$H:$H,Vagas!$D:$D,"",0)</f>
        <v>0</v>
      </c>
    </row>
    <row r="3871" spans="1:8" x14ac:dyDescent="0.25">
      <c r="A3871" s="2">
        <v>44636</v>
      </c>
      <c r="B3871" s="1" t="s">
        <v>56</v>
      </c>
      <c r="C3871">
        <v>13660</v>
      </c>
      <c r="D3871" s="1" t="s">
        <v>250</v>
      </c>
      <c r="E3871" s="1" t="s">
        <v>200</v>
      </c>
      <c r="F3871">
        <v>78</v>
      </c>
      <c r="G3871" s="1" t="str">
        <f>Ocupacao_DW[[#This Row],[data]]&amp;Ocupacao_DW[[#This Row],[profissional_id]]&amp;Ocupacao_DW[[#This Row],[local_id]]</f>
        <v>446361366078</v>
      </c>
      <c r="H3871" s="1">
        <f>_xlfn.XLOOKUP(Ocupacao_DW[[#This Row],[Concat]],Vagas!$H:$H,Vagas!$D:$D,"",0)</f>
        <v>3</v>
      </c>
    </row>
    <row r="3872" spans="1:8" x14ac:dyDescent="0.25">
      <c r="A3872" s="2">
        <v>44642</v>
      </c>
      <c r="B3872" s="1" t="s">
        <v>49</v>
      </c>
      <c r="C3872">
        <v>266</v>
      </c>
      <c r="D3872" s="1" t="s">
        <v>201</v>
      </c>
      <c r="E3872" s="1" t="s">
        <v>4</v>
      </c>
      <c r="F3872">
        <v>42</v>
      </c>
      <c r="G3872" s="1" t="str">
        <f>Ocupacao_DW[[#This Row],[data]]&amp;Ocupacao_DW[[#This Row],[profissional_id]]&amp;Ocupacao_DW[[#This Row],[local_id]]</f>
        <v>4464226642</v>
      </c>
      <c r="H3872" s="1">
        <f>_xlfn.XLOOKUP(Ocupacao_DW[[#This Row],[Concat]],Vagas!$H:$H,Vagas!$D:$D,"",0)</f>
        <v>0</v>
      </c>
    </row>
    <row r="3873" spans="1:8" x14ac:dyDescent="0.25">
      <c r="A3873" s="2">
        <v>44636</v>
      </c>
      <c r="B3873" s="1" t="s">
        <v>66</v>
      </c>
      <c r="C3873">
        <v>1343</v>
      </c>
      <c r="D3873" s="1" t="s">
        <v>263</v>
      </c>
      <c r="E3873" s="1" t="s">
        <v>167</v>
      </c>
      <c r="F3873">
        <v>342</v>
      </c>
      <c r="G3873" s="1" t="str">
        <f>Ocupacao_DW[[#This Row],[data]]&amp;Ocupacao_DW[[#This Row],[profissional_id]]&amp;Ocupacao_DW[[#This Row],[local_id]]</f>
        <v>446361343342</v>
      </c>
      <c r="H3873" s="1">
        <f>_xlfn.XLOOKUP(Ocupacao_DW[[#This Row],[Concat]],Vagas!$H:$H,Vagas!$D:$D,"",0)</f>
        <v>0</v>
      </c>
    </row>
    <row r="3874" spans="1:8" x14ac:dyDescent="0.25">
      <c r="A3874" s="2">
        <v>44635</v>
      </c>
      <c r="B3874" s="1"/>
      <c r="C3874">
        <v>0</v>
      </c>
      <c r="D3874" s="1"/>
      <c r="E3874" s="1" t="s">
        <v>167</v>
      </c>
      <c r="F3874">
        <v>24</v>
      </c>
      <c r="G3874" s="1" t="str">
        <f>Ocupacao_DW[[#This Row],[data]]&amp;Ocupacao_DW[[#This Row],[profissional_id]]&amp;Ocupacao_DW[[#This Row],[local_id]]</f>
        <v>44635024</v>
      </c>
      <c r="H3874" s="1" t="str">
        <f>_xlfn.XLOOKUP(Ocupacao_DW[[#This Row],[Concat]],Vagas!$H:$H,Vagas!$D:$D,"",0)</f>
        <v/>
      </c>
    </row>
    <row r="3875" spans="1:8" x14ac:dyDescent="0.25">
      <c r="A3875" s="2">
        <v>44638</v>
      </c>
      <c r="B3875" s="1" t="s">
        <v>47</v>
      </c>
      <c r="C3875">
        <v>13371</v>
      </c>
      <c r="D3875" s="1" t="s">
        <v>205</v>
      </c>
      <c r="E3875" s="1" t="s">
        <v>4</v>
      </c>
      <c r="F3875">
        <v>336</v>
      </c>
      <c r="G3875" s="1" t="str">
        <f>Ocupacao_DW[[#This Row],[data]]&amp;Ocupacao_DW[[#This Row],[profissional_id]]&amp;Ocupacao_DW[[#This Row],[local_id]]</f>
        <v>4463813371336</v>
      </c>
      <c r="H3875" s="1" t="str">
        <f>_xlfn.XLOOKUP(Ocupacao_DW[[#This Row],[Concat]],Vagas!$H:$H,Vagas!$D:$D,"",0)</f>
        <v/>
      </c>
    </row>
    <row r="3876" spans="1:8" x14ac:dyDescent="0.25">
      <c r="A3876" s="2">
        <v>44635</v>
      </c>
      <c r="B3876" s="1" t="s">
        <v>67</v>
      </c>
      <c r="C3876">
        <v>7290</v>
      </c>
      <c r="D3876" s="1" t="s">
        <v>247</v>
      </c>
      <c r="E3876" s="1" t="s">
        <v>5</v>
      </c>
      <c r="F3876">
        <v>18</v>
      </c>
      <c r="G3876" s="1" t="str">
        <f>Ocupacao_DW[[#This Row],[data]]&amp;Ocupacao_DW[[#This Row],[profissional_id]]&amp;Ocupacao_DW[[#This Row],[local_id]]</f>
        <v>44635729018</v>
      </c>
      <c r="H3876" s="1">
        <f>_xlfn.XLOOKUP(Ocupacao_DW[[#This Row],[Concat]],Vagas!$H:$H,Vagas!$D:$D,"",0)</f>
        <v>0</v>
      </c>
    </row>
    <row r="3877" spans="1:8" x14ac:dyDescent="0.25">
      <c r="A3877" s="2">
        <v>44645</v>
      </c>
      <c r="B3877" s="1" t="s">
        <v>24</v>
      </c>
      <c r="C3877">
        <v>60</v>
      </c>
      <c r="D3877" s="1" t="s">
        <v>217</v>
      </c>
      <c r="E3877" s="1" t="s">
        <v>6</v>
      </c>
      <c r="F3877">
        <v>1</v>
      </c>
      <c r="G3877" s="1" t="str">
        <f>Ocupacao_DW[[#This Row],[data]]&amp;Ocupacao_DW[[#This Row],[profissional_id]]&amp;Ocupacao_DW[[#This Row],[local_id]]</f>
        <v>44645601</v>
      </c>
      <c r="H3877" s="1">
        <f>_xlfn.XLOOKUP(Ocupacao_DW[[#This Row],[Concat]],Vagas!$H:$H,Vagas!$D:$D,"",0)</f>
        <v>0</v>
      </c>
    </row>
    <row r="3878" spans="1:8" x14ac:dyDescent="0.25">
      <c r="A3878" s="2">
        <v>44638</v>
      </c>
      <c r="B3878" s="1" t="s">
        <v>47</v>
      </c>
      <c r="C3878">
        <v>13371</v>
      </c>
      <c r="D3878" s="1" t="s">
        <v>205</v>
      </c>
      <c r="E3878" s="1" t="s">
        <v>4</v>
      </c>
      <c r="F3878">
        <v>336</v>
      </c>
      <c r="G3878" s="1" t="str">
        <f>Ocupacao_DW[[#This Row],[data]]&amp;Ocupacao_DW[[#This Row],[profissional_id]]&amp;Ocupacao_DW[[#This Row],[local_id]]</f>
        <v>4463813371336</v>
      </c>
      <c r="H3878" s="1" t="str">
        <f>_xlfn.XLOOKUP(Ocupacao_DW[[#This Row],[Concat]],Vagas!$H:$H,Vagas!$D:$D,"",0)</f>
        <v/>
      </c>
    </row>
    <row r="3879" spans="1:8" x14ac:dyDescent="0.25">
      <c r="A3879" s="2">
        <v>44651</v>
      </c>
      <c r="B3879" s="1"/>
      <c r="C3879">
        <v>0</v>
      </c>
      <c r="D3879" s="1"/>
      <c r="E3879" s="1" t="s">
        <v>4</v>
      </c>
      <c r="F3879">
        <v>40</v>
      </c>
      <c r="G3879" s="1" t="str">
        <f>Ocupacao_DW[[#This Row],[data]]&amp;Ocupacao_DW[[#This Row],[profissional_id]]&amp;Ocupacao_DW[[#This Row],[local_id]]</f>
        <v>44651040</v>
      </c>
      <c r="H3879" s="1" t="str">
        <f>_xlfn.XLOOKUP(Ocupacao_DW[[#This Row],[Concat]],Vagas!$H:$H,Vagas!$D:$D,"",0)</f>
        <v/>
      </c>
    </row>
    <row r="3880" spans="1:8" x14ac:dyDescent="0.25">
      <c r="A3880" s="2">
        <v>44636</v>
      </c>
      <c r="B3880" s="1" t="s">
        <v>50</v>
      </c>
      <c r="C3880">
        <v>10785</v>
      </c>
      <c r="D3880" s="1" t="s">
        <v>237</v>
      </c>
      <c r="E3880" s="1" t="s">
        <v>5</v>
      </c>
      <c r="F3880">
        <v>14</v>
      </c>
      <c r="G3880" s="1" t="str">
        <f>Ocupacao_DW[[#This Row],[data]]&amp;Ocupacao_DW[[#This Row],[profissional_id]]&amp;Ocupacao_DW[[#This Row],[local_id]]</f>
        <v>446361078514</v>
      </c>
      <c r="H3880" s="1">
        <f>_xlfn.XLOOKUP(Ocupacao_DW[[#This Row],[Concat]],Vagas!$H:$H,Vagas!$D:$D,"",0)</f>
        <v>8</v>
      </c>
    </row>
    <row r="3881" spans="1:8" x14ac:dyDescent="0.25">
      <c r="A3881" s="2">
        <v>44638</v>
      </c>
      <c r="B3881" s="1" t="s">
        <v>59</v>
      </c>
      <c r="C3881">
        <v>10249</v>
      </c>
      <c r="D3881" s="1" t="s">
        <v>231</v>
      </c>
      <c r="E3881" s="1" t="s">
        <v>4</v>
      </c>
      <c r="F3881">
        <v>43</v>
      </c>
      <c r="G3881" s="1" t="str">
        <f>Ocupacao_DW[[#This Row],[data]]&amp;Ocupacao_DW[[#This Row],[profissional_id]]&amp;Ocupacao_DW[[#This Row],[local_id]]</f>
        <v>446381024943</v>
      </c>
      <c r="H3881" s="1">
        <f>_xlfn.XLOOKUP(Ocupacao_DW[[#This Row],[Concat]],Vagas!$H:$H,Vagas!$D:$D,"",0)</f>
        <v>0</v>
      </c>
    </row>
    <row r="3882" spans="1:8" x14ac:dyDescent="0.25">
      <c r="A3882" s="2">
        <v>44642</v>
      </c>
      <c r="B3882" s="1" t="s">
        <v>54</v>
      </c>
      <c r="C3882">
        <v>12623</v>
      </c>
      <c r="D3882" s="1" t="s">
        <v>258</v>
      </c>
      <c r="E3882" s="1" t="s">
        <v>5</v>
      </c>
      <c r="F3882">
        <v>11</v>
      </c>
      <c r="G3882" s="1" t="str">
        <f>Ocupacao_DW[[#This Row],[data]]&amp;Ocupacao_DW[[#This Row],[profissional_id]]&amp;Ocupacao_DW[[#This Row],[local_id]]</f>
        <v>446421262311</v>
      </c>
      <c r="H3882" s="1">
        <f>_xlfn.XLOOKUP(Ocupacao_DW[[#This Row],[Concat]],Vagas!$H:$H,Vagas!$D:$D,"",0)</f>
        <v>0</v>
      </c>
    </row>
    <row r="3883" spans="1:8" x14ac:dyDescent="0.25">
      <c r="A3883" s="2">
        <v>44641</v>
      </c>
      <c r="B3883" s="1" t="s">
        <v>49</v>
      </c>
      <c r="C3883">
        <v>6430</v>
      </c>
      <c r="D3883" s="1" t="s">
        <v>188</v>
      </c>
      <c r="E3883" s="1" t="s">
        <v>200</v>
      </c>
      <c r="F3883">
        <v>86</v>
      </c>
      <c r="G3883" s="1" t="str">
        <f>Ocupacao_DW[[#This Row],[data]]&amp;Ocupacao_DW[[#This Row],[profissional_id]]&amp;Ocupacao_DW[[#This Row],[local_id]]</f>
        <v>44641643086</v>
      </c>
      <c r="H3883" s="1">
        <f>_xlfn.XLOOKUP(Ocupacao_DW[[#This Row],[Concat]],Vagas!$H:$H,Vagas!$D:$D,"",0)</f>
        <v>0</v>
      </c>
    </row>
    <row r="3884" spans="1:8" x14ac:dyDescent="0.25">
      <c r="A3884" s="2">
        <v>44638</v>
      </c>
      <c r="B3884" s="1" t="s">
        <v>66</v>
      </c>
      <c r="C3884">
        <v>3158</v>
      </c>
      <c r="D3884" s="1" t="s">
        <v>267</v>
      </c>
      <c r="E3884" s="1" t="s">
        <v>167</v>
      </c>
      <c r="F3884">
        <v>342</v>
      </c>
      <c r="G3884" s="1" t="str">
        <f>Ocupacao_DW[[#This Row],[data]]&amp;Ocupacao_DW[[#This Row],[profissional_id]]&amp;Ocupacao_DW[[#This Row],[local_id]]</f>
        <v>446383158342</v>
      </c>
      <c r="H3884" s="1">
        <f>_xlfn.XLOOKUP(Ocupacao_DW[[#This Row],[Concat]],Vagas!$H:$H,Vagas!$D:$D,"",0)</f>
        <v>0</v>
      </c>
    </row>
    <row r="3885" spans="1:8" x14ac:dyDescent="0.25">
      <c r="A3885" s="2">
        <v>44653</v>
      </c>
      <c r="B3885" s="1" t="s">
        <v>62</v>
      </c>
      <c r="C3885">
        <v>4887</v>
      </c>
      <c r="D3885" s="1" t="s">
        <v>168</v>
      </c>
      <c r="E3885" s="1" t="s">
        <v>5</v>
      </c>
      <c r="F3885">
        <v>18</v>
      </c>
      <c r="G3885" s="1" t="str">
        <f>Ocupacao_DW[[#This Row],[data]]&amp;Ocupacao_DW[[#This Row],[profissional_id]]&amp;Ocupacao_DW[[#This Row],[local_id]]</f>
        <v>44653488718</v>
      </c>
      <c r="H3885" s="1">
        <f>_xlfn.XLOOKUP(Ocupacao_DW[[#This Row],[Concat]],Vagas!$H:$H,Vagas!$D:$D,"",0)</f>
        <v>0</v>
      </c>
    </row>
    <row r="3886" spans="1:8" x14ac:dyDescent="0.25">
      <c r="A3886" s="2">
        <v>44635</v>
      </c>
      <c r="B3886" s="1" t="s">
        <v>50</v>
      </c>
      <c r="C3886">
        <v>4814</v>
      </c>
      <c r="D3886" s="1" t="s">
        <v>189</v>
      </c>
      <c r="E3886" s="1" t="s">
        <v>5</v>
      </c>
      <c r="F3886">
        <v>17</v>
      </c>
      <c r="G3886" s="1" t="str">
        <f>Ocupacao_DW[[#This Row],[data]]&amp;Ocupacao_DW[[#This Row],[profissional_id]]&amp;Ocupacao_DW[[#This Row],[local_id]]</f>
        <v>44635481417</v>
      </c>
      <c r="H3886" s="1">
        <f>_xlfn.XLOOKUP(Ocupacao_DW[[#This Row],[Concat]],Vagas!$H:$H,Vagas!$D:$D,"",0)</f>
        <v>0</v>
      </c>
    </row>
    <row r="3887" spans="1:8" x14ac:dyDescent="0.25">
      <c r="A3887" s="2">
        <v>44638</v>
      </c>
      <c r="B3887" s="1" t="s">
        <v>54</v>
      </c>
      <c r="C3887">
        <v>69</v>
      </c>
      <c r="D3887" s="1" t="s">
        <v>238</v>
      </c>
      <c r="E3887" s="1" t="s">
        <v>5</v>
      </c>
      <c r="F3887">
        <v>13</v>
      </c>
      <c r="G3887" s="1" t="str">
        <f>Ocupacao_DW[[#This Row],[data]]&amp;Ocupacao_DW[[#This Row],[profissional_id]]&amp;Ocupacao_DW[[#This Row],[local_id]]</f>
        <v>446386913</v>
      </c>
      <c r="H3887" s="1">
        <f>_xlfn.XLOOKUP(Ocupacao_DW[[#This Row],[Concat]],Vagas!$H:$H,Vagas!$D:$D,"",0)</f>
        <v>0</v>
      </c>
    </row>
    <row r="3888" spans="1:8" x14ac:dyDescent="0.25">
      <c r="A3888" s="2">
        <v>44637</v>
      </c>
      <c r="B3888" s="1" t="s">
        <v>49</v>
      </c>
      <c r="C3888">
        <v>266</v>
      </c>
      <c r="D3888" s="1" t="s">
        <v>201</v>
      </c>
      <c r="E3888" s="1" t="s">
        <v>4</v>
      </c>
      <c r="F3888">
        <v>42</v>
      </c>
      <c r="G3888" s="1" t="str">
        <f>Ocupacao_DW[[#This Row],[data]]&amp;Ocupacao_DW[[#This Row],[profissional_id]]&amp;Ocupacao_DW[[#This Row],[local_id]]</f>
        <v>4463726642</v>
      </c>
      <c r="H3888" s="1">
        <f>_xlfn.XLOOKUP(Ocupacao_DW[[#This Row],[Concat]],Vagas!$H:$H,Vagas!$D:$D,"",0)</f>
        <v>0</v>
      </c>
    </row>
    <row r="3889" spans="1:8" x14ac:dyDescent="0.25">
      <c r="A3889" s="2">
        <v>44645</v>
      </c>
      <c r="B3889" s="1" t="s">
        <v>24</v>
      </c>
      <c r="C3889">
        <v>60</v>
      </c>
      <c r="D3889" s="1" t="s">
        <v>217</v>
      </c>
      <c r="E3889" s="1" t="s">
        <v>6</v>
      </c>
      <c r="F3889">
        <v>1</v>
      </c>
      <c r="G3889" s="1" t="str">
        <f>Ocupacao_DW[[#This Row],[data]]&amp;Ocupacao_DW[[#This Row],[profissional_id]]&amp;Ocupacao_DW[[#This Row],[local_id]]</f>
        <v>44645601</v>
      </c>
      <c r="H3889" s="1">
        <f>_xlfn.XLOOKUP(Ocupacao_DW[[#This Row],[Concat]],Vagas!$H:$H,Vagas!$D:$D,"",0)</f>
        <v>0</v>
      </c>
    </row>
    <row r="3890" spans="1:8" x14ac:dyDescent="0.25">
      <c r="A3890" s="2">
        <v>44636</v>
      </c>
      <c r="B3890" s="1" t="s">
        <v>49</v>
      </c>
      <c r="C3890">
        <v>6430</v>
      </c>
      <c r="D3890" s="1" t="s">
        <v>188</v>
      </c>
      <c r="E3890" s="1" t="s">
        <v>4</v>
      </c>
      <c r="F3890">
        <v>42</v>
      </c>
      <c r="G3890" s="1" t="str">
        <f>Ocupacao_DW[[#This Row],[data]]&amp;Ocupacao_DW[[#This Row],[profissional_id]]&amp;Ocupacao_DW[[#This Row],[local_id]]</f>
        <v>44636643042</v>
      </c>
      <c r="H3890" s="1">
        <f>_xlfn.XLOOKUP(Ocupacao_DW[[#This Row],[Concat]],Vagas!$H:$H,Vagas!$D:$D,"",0)</f>
        <v>0</v>
      </c>
    </row>
    <row r="3891" spans="1:8" x14ac:dyDescent="0.25">
      <c r="A3891" s="2">
        <v>44636</v>
      </c>
      <c r="B3891" s="1" t="s">
        <v>50</v>
      </c>
      <c r="C3891">
        <v>10785</v>
      </c>
      <c r="D3891" s="1" t="s">
        <v>237</v>
      </c>
      <c r="E3891" s="1" t="s">
        <v>5</v>
      </c>
      <c r="F3891">
        <v>14</v>
      </c>
      <c r="G3891" s="1" t="str">
        <f>Ocupacao_DW[[#This Row],[data]]&amp;Ocupacao_DW[[#This Row],[profissional_id]]&amp;Ocupacao_DW[[#This Row],[local_id]]</f>
        <v>446361078514</v>
      </c>
      <c r="H3891" s="1">
        <f>_xlfn.XLOOKUP(Ocupacao_DW[[#This Row],[Concat]],Vagas!$H:$H,Vagas!$D:$D,"",0)</f>
        <v>8</v>
      </c>
    </row>
    <row r="3892" spans="1:8" x14ac:dyDescent="0.25">
      <c r="A3892" s="2">
        <v>44636</v>
      </c>
      <c r="B3892" s="1" t="s">
        <v>50</v>
      </c>
      <c r="C3892">
        <v>10785</v>
      </c>
      <c r="D3892" s="1" t="s">
        <v>237</v>
      </c>
      <c r="E3892" s="1" t="s">
        <v>5</v>
      </c>
      <c r="F3892">
        <v>14</v>
      </c>
      <c r="G3892" s="1" t="str">
        <f>Ocupacao_DW[[#This Row],[data]]&amp;Ocupacao_DW[[#This Row],[profissional_id]]&amp;Ocupacao_DW[[#This Row],[local_id]]</f>
        <v>446361078514</v>
      </c>
      <c r="H3892" s="1">
        <f>_xlfn.XLOOKUP(Ocupacao_DW[[#This Row],[Concat]],Vagas!$H:$H,Vagas!$D:$D,"",0)</f>
        <v>8</v>
      </c>
    </row>
    <row r="3893" spans="1:8" x14ac:dyDescent="0.25">
      <c r="A3893" s="2">
        <v>44638</v>
      </c>
      <c r="B3893" s="1" t="s">
        <v>67</v>
      </c>
      <c r="C3893">
        <v>10717</v>
      </c>
      <c r="D3893" s="1" t="s">
        <v>245</v>
      </c>
      <c r="E3893" s="1" t="s">
        <v>5</v>
      </c>
      <c r="F3893">
        <v>18</v>
      </c>
      <c r="G3893" s="1" t="str">
        <f>Ocupacao_DW[[#This Row],[data]]&amp;Ocupacao_DW[[#This Row],[profissional_id]]&amp;Ocupacao_DW[[#This Row],[local_id]]</f>
        <v>446381071718</v>
      </c>
      <c r="H3893" s="1">
        <f>_xlfn.XLOOKUP(Ocupacao_DW[[#This Row],[Concat]],Vagas!$H:$H,Vagas!$D:$D,"",0)</f>
        <v>0</v>
      </c>
    </row>
    <row r="3894" spans="1:8" x14ac:dyDescent="0.25">
      <c r="A3894" s="2">
        <v>44645</v>
      </c>
      <c r="B3894" s="1" t="s">
        <v>52</v>
      </c>
      <c r="C3894">
        <v>57</v>
      </c>
      <c r="D3894" s="1" t="s">
        <v>169</v>
      </c>
      <c r="E3894" s="1" t="s">
        <v>6</v>
      </c>
      <c r="F3894">
        <v>8</v>
      </c>
      <c r="G3894" s="1" t="str">
        <f>Ocupacao_DW[[#This Row],[data]]&amp;Ocupacao_DW[[#This Row],[profissional_id]]&amp;Ocupacao_DW[[#This Row],[local_id]]</f>
        <v>44645578</v>
      </c>
      <c r="H3894" s="1">
        <f>_xlfn.XLOOKUP(Ocupacao_DW[[#This Row],[Concat]],Vagas!$H:$H,Vagas!$D:$D,"",0)</f>
        <v>0</v>
      </c>
    </row>
    <row r="3895" spans="1:8" x14ac:dyDescent="0.25">
      <c r="A3895" s="2">
        <v>44639</v>
      </c>
      <c r="B3895" s="1" t="s">
        <v>46</v>
      </c>
      <c r="C3895">
        <v>17888</v>
      </c>
      <c r="D3895" s="1" t="s">
        <v>255</v>
      </c>
      <c r="E3895" s="1" t="s">
        <v>4</v>
      </c>
      <c r="F3895">
        <v>40</v>
      </c>
      <c r="G3895" s="1" t="str">
        <f>Ocupacao_DW[[#This Row],[data]]&amp;Ocupacao_DW[[#This Row],[profissional_id]]&amp;Ocupacao_DW[[#This Row],[local_id]]</f>
        <v>446391788840</v>
      </c>
      <c r="H3895" s="1">
        <f>_xlfn.XLOOKUP(Ocupacao_DW[[#This Row],[Concat]],Vagas!$H:$H,Vagas!$D:$D,"",0)</f>
        <v>10</v>
      </c>
    </row>
    <row r="3896" spans="1:8" x14ac:dyDescent="0.25">
      <c r="A3896" s="2">
        <v>44643</v>
      </c>
      <c r="B3896" s="1" t="s">
        <v>49</v>
      </c>
      <c r="C3896">
        <v>6430</v>
      </c>
      <c r="D3896" s="1" t="s">
        <v>188</v>
      </c>
      <c r="E3896" s="1" t="s">
        <v>4</v>
      </c>
      <c r="F3896">
        <v>42</v>
      </c>
      <c r="G3896" s="1" t="str">
        <f>Ocupacao_DW[[#This Row],[data]]&amp;Ocupacao_DW[[#This Row],[profissional_id]]&amp;Ocupacao_DW[[#This Row],[local_id]]</f>
        <v>44643643042</v>
      </c>
      <c r="H3896" s="1">
        <f>_xlfn.XLOOKUP(Ocupacao_DW[[#This Row],[Concat]],Vagas!$H:$H,Vagas!$D:$D,"",0)</f>
        <v>0</v>
      </c>
    </row>
    <row r="3897" spans="1:8" x14ac:dyDescent="0.25">
      <c r="A3897" s="2">
        <v>44638</v>
      </c>
      <c r="B3897" s="1" t="s">
        <v>50</v>
      </c>
      <c r="C3897">
        <v>10785</v>
      </c>
      <c r="D3897" s="1" t="s">
        <v>237</v>
      </c>
      <c r="E3897" s="1" t="s">
        <v>5</v>
      </c>
      <c r="F3897">
        <v>15</v>
      </c>
      <c r="G3897" s="1" t="str">
        <f>Ocupacao_DW[[#This Row],[data]]&amp;Ocupacao_DW[[#This Row],[profissional_id]]&amp;Ocupacao_DW[[#This Row],[local_id]]</f>
        <v>446381078515</v>
      </c>
      <c r="H3897" s="1">
        <f>_xlfn.XLOOKUP(Ocupacao_DW[[#This Row],[Concat]],Vagas!$H:$H,Vagas!$D:$D,"",0)</f>
        <v>0</v>
      </c>
    </row>
    <row r="3898" spans="1:8" x14ac:dyDescent="0.25">
      <c r="A3898" s="2">
        <v>44638</v>
      </c>
      <c r="B3898" s="1" t="s">
        <v>49</v>
      </c>
      <c r="C3898">
        <v>12142</v>
      </c>
      <c r="D3898" s="1" t="s">
        <v>219</v>
      </c>
      <c r="E3898" s="1" t="s">
        <v>4</v>
      </c>
      <c r="F3898">
        <v>44</v>
      </c>
      <c r="G3898" s="1" t="str">
        <f>Ocupacao_DW[[#This Row],[data]]&amp;Ocupacao_DW[[#This Row],[profissional_id]]&amp;Ocupacao_DW[[#This Row],[local_id]]</f>
        <v>446381214244</v>
      </c>
      <c r="H3898" s="1">
        <f>_xlfn.XLOOKUP(Ocupacao_DW[[#This Row],[Concat]],Vagas!$H:$H,Vagas!$D:$D,"",0)</f>
        <v>0</v>
      </c>
    </row>
    <row r="3899" spans="1:8" x14ac:dyDescent="0.25">
      <c r="A3899" s="2">
        <v>44641</v>
      </c>
      <c r="B3899" s="1" t="s">
        <v>49</v>
      </c>
      <c r="C3899">
        <v>81</v>
      </c>
      <c r="D3899" s="1" t="s">
        <v>170</v>
      </c>
      <c r="E3899" s="1" t="s">
        <v>4</v>
      </c>
      <c r="F3899">
        <v>41</v>
      </c>
      <c r="G3899" s="1" t="str">
        <f>Ocupacao_DW[[#This Row],[data]]&amp;Ocupacao_DW[[#This Row],[profissional_id]]&amp;Ocupacao_DW[[#This Row],[local_id]]</f>
        <v>446418141</v>
      </c>
      <c r="H3899" s="1">
        <f>_xlfn.XLOOKUP(Ocupacao_DW[[#This Row],[Concat]],Vagas!$H:$H,Vagas!$D:$D,"",0)</f>
        <v>0</v>
      </c>
    </row>
    <row r="3900" spans="1:8" x14ac:dyDescent="0.25">
      <c r="A3900" s="2">
        <v>44636</v>
      </c>
      <c r="B3900" s="1" t="s">
        <v>44</v>
      </c>
      <c r="C3900">
        <v>17907</v>
      </c>
      <c r="D3900" s="1" t="s">
        <v>295</v>
      </c>
      <c r="E3900" s="1" t="s">
        <v>7</v>
      </c>
      <c r="F3900">
        <v>55</v>
      </c>
      <c r="G3900" s="1" t="str">
        <f>Ocupacao_DW[[#This Row],[data]]&amp;Ocupacao_DW[[#This Row],[profissional_id]]&amp;Ocupacao_DW[[#This Row],[local_id]]</f>
        <v>446361790755</v>
      </c>
      <c r="H3900" s="1">
        <f>_xlfn.XLOOKUP(Ocupacao_DW[[#This Row],[Concat]],Vagas!$H:$H,Vagas!$D:$D,"",0)</f>
        <v>13</v>
      </c>
    </row>
    <row r="3901" spans="1:8" x14ac:dyDescent="0.25">
      <c r="A3901" s="2">
        <v>44641</v>
      </c>
      <c r="B3901" s="1" t="s">
        <v>55</v>
      </c>
      <c r="C3901">
        <v>12669</v>
      </c>
      <c r="D3901" s="1" t="s">
        <v>223</v>
      </c>
      <c r="E3901" s="1" t="s">
        <v>6</v>
      </c>
      <c r="F3901">
        <v>6</v>
      </c>
      <c r="G3901" s="1" t="str">
        <f>Ocupacao_DW[[#This Row],[data]]&amp;Ocupacao_DW[[#This Row],[profissional_id]]&amp;Ocupacao_DW[[#This Row],[local_id]]</f>
        <v>44641126696</v>
      </c>
      <c r="H3901" s="1">
        <f>_xlfn.XLOOKUP(Ocupacao_DW[[#This Row],[Concat]],Vagas!$H:$H,Vagas!$D:$D,"",0)</f>
        <v>0</v>
      </c>
    </row>
    <row r="3902" spans="1:8" x14ac:dyDescent="0.25">
      <c r="A3902" s="2">
        <v>44638</v>
      </c>
      <c r="B3902" s="1" t="s">
        <v>52</v>
      </c>
      <c r="C3902">
        <v>60</v>
      </c>
      <c r="D3902" s="1" t="s">
        <v>217</v>
      </c>
      <c r="E3902" s="1" t="s">
        <v>167</v>
      </c>
      <c r="F3902">
        <v>348</v>
      </c>
      <c r="G3902" s="1" t="str">
        <f>Ocupacao_DW[[#This Row],[data]]&amp;Ocupacao_DW[[#This Row],[profissional_id]]&amp;Ocupacao_DW[[#This Row],[local_id]]</f>
        <v>4463860348</v>
      </c>
      <c r="H3902" s="1">
        <f>_xlfn.XLOOKUP(Ocupacao_DW[[#This Row],[Concat]],Vagas!$H:$H,Vagas!$D:$D,"",0)</f>
        <v>0</v>
      </c>
    </row>
    <row r="3903" spans="1:8" x14ac:dyDescent="0.25">
      <c r="A3903" s="2">
        <v>44637</v>
      </c>
      <c r="B3903" s="1" t="s">
        <v>46</v>
      </c>
      <c r="C3903">
        <v>17888</v>
      </c>
      <c r="D3903" s="1" t="s">
        <v>255</v>
      </c>
      <c r="E3903" s="1" t="s">
        <v>4</v>
      </c>
      <c r="F3903">
        <v>40</v>
      </c>
      <c r="G3903" s="1" t="str">
        <f>Ocupacao_DW[[#This Row],[data]]&amp;Ocupacao_DW[[#This Row],[profissional_id]]&amp;Ocupacao_DW[[#This Row],[local_id]]</f>
        <v>446371788840</v>
      </c>
      <c r="H3903" s="1">
        <f>_xlfn.XLOOKUP(Ocupacao_DW[[#This Row],[Concat]],Vagas!$H:$H,Vagas!$D:$D,"",0)</f>
        <v>20</v>
      </c>
    </row>
    <row r="3904" spans="1:8" x14ac:dyDescent="0.25">
      <c r="A3904" s="2">
        <v>44637</v>
      </c>
      <c r="B3904" s="1" t="s">
        <v>52</v>
      </c>
      <c r="C3904">
        <v>60</v>
      </c>
      <c r="D3904" s="1" t="s">
        <v>217</v>
      </c>
      <c r="E3904" s="1" t="s">
        <v>167</v>
      </c>
      <c r="F3904">
        <v>346</v>
      </c>
      <c r="G3904" s="1" t="str">
        <f>Ocupacao_DW[[#This Row],[data]]&amp;Ocupacao_DW[[#This Row],[profissional_id]]&amp;Ocupacao_DW[[#This Row],[local_id]]</f>
        <v>4463760346</v>
      </c>
      <c r="H3904" s="1">
        <f>_xlfn.XLOOKUP(Ocupacao_DW[[#This Row],[Concat]],Vagas!$H:$H,Vagas!$D:$D,"",0)</f>
        <v>0</v>
      </c>
    </row>
    <row r="3905" spans="1:8" x14ac:dyDescent="0.25">
      <c r="A3905" s="2">
        <v>44636</v>
      </c>
      <c r="B3905" s="1" t="s">
        <v>62</v>
      </c>
      <c r="C3905">
        <v>10799</v>
      </c>
      <c r="D3905" s="1" t="s">
        <v>204</v>
      </c>
      <c r="E3905" s="1" t="s">
        <v>5</v>
      </c>
      <c r="F3905">
        <v>18</v>
      </c>
      <c r="G3905" s="1" t="str">
        <f>Ocupacao_DW[[#This Row],[data]]&amp;Ocupacao_DW[[#This Row],[profissional_id]]&amp;Ocupacao_DW[[#This Row],[local_id]]</f>
        <v>446361079918</v>
      </c>
      <c r="H3905" s="1">
        <f>_xlfn.XLOOKUP(Ocupacao_DW[[#This Row],[Concat]],Vagas!$H:$H,Vagas!$D:$D,"",0)</f>
        <v>0</v>
      </c>
    </row>
    <row r="3906" spans="1:8" x14ac:dyDescent="0.25">
      <c r="A3906" s="2">
        <v>44637</v>
      </c>
      <c r="B3906" s="1" t="s">
        <v>62</v>
      </c>
      <c r="C3906">
        <v>2567</v>
      </c>
      <c r="D3906" s="1" t="s">
        <v>198</v>
      </c>
      <c r="E3906" s="1" t="s">
        <v>5</v>
      </c>
      <c r="F3906">
        <v>18</v>
      </c>
      <c r="G3906" s="1" t="str">
        <f>Ocupacao_DW[[#This Row],[data]]&amp;Ocupacao_DW[[#This Row],[profissional_id]]&amp;Ocupacao_DW[[#This Row],[local_id]]</f>
        <v>44637256718</v>
      </c>
      <c r="H3906" s="1">
        <f>_xlfn.XLOOKUP(Ocupacao_DW[[#This Row],[Concat]],Vagas!$H:$H,Vagas!$D:$D,"",0)</f>
        <v>0</v>
      </c>
    </row>
    <row r="3907" spans="1:8" x14ac:dyDescent="0.25">
      <c r="A3907" s="2">
        <v>44637</v>
      </c>
      <c r="B3907" s="1" t="s">
        <v>49</v>
      </c>
      <c r="C3907">
        <v>266</v>
      </c>
      <c r="D3907" s="1" t="s">
        <v>201</v>
      </c>
      <c r="E3907" s="1" t="s">
        <v>4</v>
      </c>
      <c r="F3907">
        <v>42</v>
      </c>
      <c r="G3907" s="1" t="str">
        <f>Ocupacao_DW[[#This Row],[data]]&amp;Ocupacao_DW[[#This Row],[profissional_id]]&amp;Ocupacao_DW[[#This Row],[local_id]]</f>
        <v>4463726642</v>
      </c>
      <c r="H3907" s="1">
        <f>_xlfn.XLOOKUP(Ocupacao_DW[[#This Row],[Concat]],Vagas!$H:$H,Vagas!$D:$D,"",0)</f>
        <v>0</v>
      </c>
    </row>
    <row r="3908" spans="1:8" x14ac:dyDescent="0.25">
      <c r="A3908" s="2">
        <v>44640</v>
      </c>
      <c r="B3908" s="1" t="s">
        <v>62</v>
      </c>
      <c r="C3908">
        <v>4887</v>
      </c>
      <c r="D3908" s="1" t="s">
        <v>168</v>
      </c>
      <c r="E3908" s="1" t="s">
        <v>167</v>
      </c>
      <c r="F3908">
        <v>340</v>
      </c>
      <c r="G3908" s="1" t="str">
        <f>Ocupacao_DW[[#This Row],[data]]&amp;Ocupacao_DW[[#This Row],[profissional_id]]&amp;Ocupacao_DW[[#This Row],[local_id]]</f>
        <v>446404887340</v>
      </c>
      <c r="H3908" s="1">
        <f>_xlfn.XLOOKUP(Ocupacao_DW[[#This Row],[Concat]],Vagas!$H:$H,Vagas!$D:$D,"",0)</f>
        <v>0</v>
      </c>
    </row>
    <row r="3909" spans="1:8" x14ac:dyDescent="0.25">
      <c r="A3909" s="2">
        <v>44640</v>
      </c>
      <c r="B3909" s="1" t="s">
        <v>62</v>
      </c>
      <c r="C3909">
        <v>4887</v>
      </c>
      <c r="D3909" s="1" t="s">
        <v>168</v>
      </c>
      <c r="E3909" s="1" t="s">
        <v>167</v>
      </c>
      <c r="F3909">
        <v>340</v>
      </c>
      <c r="G3909" s="1" t="str">
        <f>Ocupacao_DW[[#This Row],[data]]&amp;Ocupacao_DW[[#This Row],[profissional_id]]&amp;Ocupacao_DW[[#This Row],[local_id]]</f>
        <v>446404887340</v>
      </c>
      <c r="H3909" s="1">
        <f>_xlfn.XLOOKUP(Ocupacao_DW[[#This Row],[Concat]],Vagas!$H:$H,Vagas!$D:$D,"",0)</f>
        <v>0</v>
      </c>
    </row>
    <row r="3910" spans="1:8" x14ac:dyDescent="0.25">
      <c r="A3910" s="2">
        <v>44640</v>
      </c>
      <c r="B3910" s="1" t="s">
        <v>62</v>
      </c>
      <c r="C3910">
        <v>4887</v>
      </c>
      <c r="D3910" s="1" t="s">
        <v>168</v>
      </c>
      <c r="E3910" s="1" t="s">
        <v>167</v>
      </c>
      <c r="F3910">
        <v>340</v>
      </c>
      <c r="G3910" s="1" t="str">
        <f>Ocupacao_DW[[#This Row],[data]]&amp;Ocupacao_DW[[#This Row],[profissional_id]]&amp;Ocupacao_DW[[#This Row],[local_id]]</f>
        <v>446404887340</v>
      </c>
      <c r="H3910" s="1">
        <f>_xlfn.XLOOKUP(Ocupacao_DW[[#This Row],[Concat]],Vagas!$H:$H,Vagas!$D:$D,"",0)</f>
        <v>0</v>
      </c>
    </row>
    <row r="3911" spans="1:8" x14ac:dyDescent="0.25">
      <c r="A3911" s="2">
        <v>44638</v>
      </c>
      <c r="B3911" s="1" t="s">
        <v>54</v>
      </c>
      <c r="C3911">
        <v>69</v>
      </c>
      <c r="D3911" s="1" t="s">
        <v>238</v>
      </c>
      <c r="E3911" s="1" t="s">
        <v>5</v>
      </c>
      <c r="F3911">
        <v>13</v>
      </c>
      <c r="G3911" s="1" t="str">
        <f>Ocupacao_DW[[#This Row],[data]]&amp;Ocupacao_DW[[#This Row],[profissional_id]]&amp;Ocupacao_DW[[#This Row],[local_id]]</f>
        <v>446386913</v>
      </c>
      <c r="H3911" s="1">
        <f>_xlfn.XLOOKUP(Ocupacao_DW[[#This Row],[Concat]],Vagas!$H:$H,Vagas!$D:$D,"",0)</f>
        <v>0</v>
      </c>
    </row>
    <row r="3912" spans="1:8" x14ac:dyDescent="0.25">
      <c r="A3912" s="2">
        <v>44643</v>
      </c>
      <c r="B3912" s="1" t="s">
        <v>51</v>
      </c>
      <c r="C3912">
        <v>17859</v>
      </c>
      <c r="D3912" s="1" t="s">
        <v>212</v>
      </c>
      <c r="E3912" s="1" t="s">
        <v>6</v>
      </c>
      <c r="F3912">
        <v>7</v>
      </c>
      <c r="G3912" s="1" t="str">
        <f>Ocupacao_DW[[#This Row],[data]]&amp;Ocupacao_DW[[#This Row],[profissional_id]]&amp;Ocupacao_DW[[#This Row],[local_id]]</f>
        <v>44643178597</v>
      </c>
      <c r="H3912" s="1">
        <f>_xlfn.XLOOKUP(Ocupacao_DW[[#This Row],[Concat]],Vagas!$H:$H,Vagas!$D:$D,"",0)</f>
        <v>0</v>
      </c>
    </row>
    <row r="3913" spans="1:8" x14ac:dyDescent="0.25">
      <c r="A3913" s="2">
        <v>44637</v>
      </c>
      <c r="B3913" s="1" t="s">
        <v>49</v>
      </c>
      <c r="C3913">
        <v>81</v>
      </c>
      <c r="D3913" s="1" t="s">
        <v>170</v>
      </c>
      <c r="E3913" s="1" t="s">
        <v>4</v>
      </c>
      <c r="F3913">
        <v>41</v>
      </c>
      <c r="G3913" s="1" t="str">
        <f>Ocupacao_DW[[#This Row],[data]]&amp;Ocupacao_DW[[#This Row],[profissional_id]]&amp;Ocupacao_DW[[#This Row],[local_id]]</f>
        <v>446378141</v>
      </c>
      <c r="H3913" s="1">
        <f>_xlfn.XLOOKUP(Ocupacao_DW[[#This Row],[Concat]],Vagas!$H:$H,Vagas!$D:$D,"",0)</f>
        <v>0</v>
      </c>
    </row>
    <row r="3914" spans="1:8" x14ac:dyDescent="0.25">
      <c r="A3914" s="2">
        <v>44641</v>
      </c>
      <c r="B3914" s="1" t="s">
        <v>56</v>
      </c>
      <c r="C3914">
        <v>75</v>
      </c>
      <c r="D3914" s="1" t="s">
        <v>208</v>
      </c>
      <c r="E3914" s="1" t="s">
        <v>5</v>
      </c>
      <c r="F3914">
        <v>15</v>
      </c>
      <c r="G3914" s="1" t="str">
        <f>Ocupacao_DW[[#This Row],[data]]&amp;Ocupacao_DW[[#This Row],[profissional_id]]&amp;Ocupacao_DW[[#This Row],[local_id]]</f>
        <v>446417515</v>
      </c>
      <c r="H3914" s="1">
        <f>_xlfn.XLOOKUP(Ocupacao_DW[[#This Row],[Concat]],Vagas!$H:$H,Vagas!$D:$D,"",0)</f>
        <v>0</v>
      </c>
    </row>
    <row r="3915" spans="1:8" x14ac:dyDescent="0.25">
      <c r="A3915" s="2">
        <v>44645</v>
      </c>
      <c r="B3915" s="1" t="s">
        <v>24</v>
      </c>
      <c r="C3915">
        <v>60</v>
      </c>
      <c r="D3915" s="1" t="s">
        <v>217</v>
      </c>
      <c r="E3915" s="1" t="s">
        <v>6</v>
      </c>
      <c r="F3915">
        <v>1</v>
      </c>
      <c r="G3915" s="1" t="str">
        <f>Ocupacao_DW[[#This Row],[data]]&amp;Ocupacao_DW[[#This Row],[profissional_id]]&amp;Ocupacao_DW[[#This Row],[local_id]]</f>
        <v>44645601</v>
      </c>
      <c r="H3915" s="1">
        <f>_xlfn.XLOOKUP(Ocupacao_DW[[#This Row],[Concat]],Vagas!$H:$H,Vagas!$D:$D,"",0)</f>
        <v>0</v>
      </c>
    </row>
    <row r="3916" spans="1:8" x14ac:dyDescent="0.25">
      <c r="A3916" s="2">
        <v>44650</v>
      </c>
      <c r="B3916" s="1" t="s">
        <v>43</v>
      </c>
      <c r="C3916">
        <v>57</v>
      </c>
      <c r="D3916" s="1" t="s">
        <v>169</v>
      </c>
      <c r="E3916" s="1" t="s">
        <v>6</v>
      </c>
      <c r="F3916">
        <v>2</v>
      </c>
      <c r="G3916" s="1" t="str">
        <f>Ocupacao_DW[[#This Row],[data]]&amp;Ocupacao_DW[[#This Row],[profissional_id]]&amp;Ocupacao_DW[[#This Row],[local_id]]</f>
        <v>44650572</v>
      </c>
      <c r="H3916" s="1">
        <f>_xlfn.XLOOKUP(Ocupacao_DW[[#This Row],[Concat]],Vagas!$H:$H,Vagas!$D:$D,"",0)</f>
        <v>23</v>
      </c>
    </row>
    <row r="3917" spans="1:8" x14ac:dyDescent="0.25">
      <c r="A3917" s="2">
        <v>44635</v>
      </c>
      <c r="B3917" s="1" t="s">
        <v>71</v>
      </c>
      <c r="C3917">
        <v>282</v>
      </c>
      <c r="D3917" s="1" t="s">
        <v>210</v>
      </c>
      <c r="E3917" s="1" t="s">
        <v>4</v>
      </c>
      <c r="F3917">
        <v>48</v>
      </c>
      <c r="G3917" s="1" t="str">
        <f>Ocupacao_DW[[#This Row],[data]]&amp;Ocupacao_DW[[#This Row],[profissional_id]]&amp;Ocupacao_DW[[#This Row],[local_id]]</f>
        <v>4463528248</v>
      </c>
      <c r="H3917" s="1">
        <f>_xlfn.XLOOKUP(Ocupacao_DW[[#This Row],[Concat]],Vagas!$H:$H,Vagas!$D:$D,"",0)</f>
        <v>0</v>
      </c>
    </row>
    <row r="3918" spans="1:8" x14ac:dyDescent="0.25">
      <c r="A3918" s="2">
        <v>44638</v>
      </c>
      <c r="B3918" s="1" t="s">
        <v>47</v>
      </c>
      <c r="C3918">
        <v>9111</v>
      </c>
      <c r="D3918" s="1" t="s">
        <v>206</v>
      </c>
      <c r="E3918" s="1" t="s">
        <v>4</v>
      </c>
      <c r="F3918">
        <v>51</v>
      </c>
      <c r="G3918" s="1" t="str">
        <f>Ocupacao_DW[[#This Row],[data]]&amp;Ocupacao_DW[[#This Row],[profissional_id]]&amp;Ocupacao_DW[[#This Row],[local_id]]</f>
        <v>44638911151</v>
      </c>
      <c r="H3918" s="1">
        <f>_xlfn.XLOOKUP(Ocupacao_DW[[#This Row],[Concat]],Vagas!$H:$H,Vagas!$D:$D,"",0)</f>
        <v>0</v>
      </c>
    </row>
    <row r="3919" spans="1:8" x14ac:dyDescent="0.25">
      <c r="A3919" s="2">
        <v>44643</v>
      </c>
      <c r="B3919" s="1" t="s">
        <v>49</v>
      </c>
      <c r="C3919">
        <v>6430</v>
      </c>
      <c r="D3919" s="1" t="s">
        <v>188</v>
      </c>
      <c r="E3919" s="1" t="s">
        <v>4</v>
      </c>
      <c r="F3919">
        <v>42</v>
      </c>
      <c r="G3919" s="1" t="str">
        <f>Ocupacao_DW[[#This Row],[data]]&amp;Ocupacao_DW[[#This Row],[profissional_id]]&amp;Ocupacao_DW[[#This Row],[local_id]]</f>
        <v>44643643042</v>
      </c>
      <c r="H3919" s="1">
        <f>_xlfn.XLOOKUP(Ocupacao_DW[[#This Row],[Concat]],Vagas!$H:$H,Vagas!$D:$D,"",0)</f>
        <v>0</v>
      </c>
    </row>
    <row r="3920" spans="1:8" x14ac:dyDescent="0.25">
      <c r="A3920" s="2">
        <v>44644</v>
      </c>
      <c r="B3920" s="1" t="s">
        <v>52</v>
      </c>
      <c r="C3920">
        <v>10691</v>
      </c>
      <c r="D3920" s="1" t="s">
        <v>181</v>
      </c>
      <c r="E3920" s="1" t="s">
        <v>6</v>
      </c>
      <c r="F3920">
        <v>9</v>
      </c>
      <c r="G3920" s="1" t="str">
        <f>Ocupacao_DW[[#This Row],[data]]&amp;Ocupacao_DW[[#This Row],[profissional_id]]&amp;Ocupacao_DW[[#This Row],[local_id]]</f>
        <v>44644106919</v>
      </c>
      <c r="H3920" s="1">
        <f>_xlfn.XLOOKUP(Ocupacao_DW[[#This Row],[Concat]],Vagas!$H:$H,Vagas!$D:$D,"",0)</f>
        <v>0</v>
      </c>
    </row>
    <row r="3921" spans="1:8" x14ac:dyDescent="0.25">
      <c r="A3921" s="2">
        <v>44635</v>
      </c>
      <c r="B3921" s="1" t="s">
        <v>49</v>
      </c>
      <c r="C3921">
        <v>81</v>
      </c>
      <c r="D3921" s="1" t="s">
        <v>170</v>
      </c>
      <c r="E3921" s="1" t="s">
        <v>7</v>
      </c>
      <c r="F3921">
        <v>71</v>
      </c>
      <c r="G3921" s="1" t="str">
        <f>Ocupacao_DW[[#This Row],[data]]&amp;Ocupacao_DW[[#This Row],[profissional_id]]&amp;Ocupacao_DW[[#This Row],[local_id]]</f>
        <v>446358171</v>
      </c>
      <c r="H3921" s="1">
        <f>_xlfn.XLOOKUP(Ocupacao_DW[[#This Row],[Concat]],Vagas!$H:$H,Vagas!$D:$D,"",0)</f>
        <v>0</v>
      </c>
    </row>
    <row r="3922" spans="1:8" x14ac:dyDescent="0.25">
      <c r="A3922" s="2">
        <v>44639</v>
      </c>
      <c r="B3922" s="1" t="s">
        <v>54</v>
      </c>
      <c r="C3922">
        <v>70</v>
      </c>
      <c r="D3922" s="1" t="s">
        <v>187</v>
      </c>
      <c r="E3922" s="1" t="s">
        <v>5</v>
      </c>
      <c r="F3922">
        <v>13</v>
      </c>
      <c r="G3922" s="1" t="str">
        <f>Ocupacao_DW[[#This Row],[data]]&amp;Ocupacao_DW[[#This Row],[profissional_id]]&amp;Ocupacao_DW[[#This Row],[local_id]]</f>
        <v>446397013</v>
      </c>
      <c r="H3922" s="1">
        <f>_xlfn.XLOOKUP(Ocupacao_DW[[#This Row],[Concat]],Vagas!$H:$H,Vagas!$D:$D,"",0)</f>
        <v>0</v>
      </c>
    </row>
    <row r="3923" spans="1:8" x14ac:dyDescent="0.25">
      <c r="A3923" s="2">
        <v>44648</v>
      </c>
      <c r="B3923" s="1" t="s">
        <v>49</v>
      </c>
      <c r="C3923">
        <v>3092</v>
      </c>
      <c r="D3923" s="1" t="s">
        <v>262</v>
      </c>
      <c r="E3923" s="1" t="s">
        <v>4</v>
      </c>
      <c r="F3923">
        <v>44</v>
      </c>
      <c r="G3923" s="1" t="str">
        <f>Ocupacao_DW[[#This Row],[data]]&amp;Ocupacao_DW[[#This Row],[profissional_id]]&amp;Ocupacao_DW[[#This Row],[local_id]]</f>
        <v>44648309244</v>
      </c>
      <c r="H3923" s="1" t="str">
        <f>_xlfn.XLOOKUP(Ocupacao_DW[[#This Row],[Concat]],Vagas!$H:$H,Vagas!$D:$D,"",0)</f>
        <v/>
      </c>
    </row>
    <row r="3924" spans="1:8" x14ac:dyDescent="0.25">
      <c r="A3924" s="2">
        <v>44643</v>
      </c>
      <c r="B3924" s="1" t="s">
        <v>51</v>
      </c>
      <c r="C3924">
        <v>17931</v>
      </c>
      <c r="D3924" s="1" t="s">
        <v>286</v>
      </c>
      <c r="E3924" s="1" t="s">
        <v>5</v>
      </c>
      <c r="F3924">
        <v>11</v>
      </c>
      <c r="G3924" s="1" t="str">
        <f>Ocupacao_DW[[#This Row],[data]]&amp;Ocupacao_DW[[#This Row],[profissional_id]]&amp;Ocupacao_DW[[#This Row],[local_id]]</f>
        <v>446431793111</v>
      </c>
      <c r="H3924" s="1">
        <f>_xlfn.XLOOKUP(Ocupacao_DW[[#This Row],[Concat]],Vagas!$H:$H,Vagas!$D:$D,"",0)</f>
        <v>0</v>
      </c>
    </row>
    <row r="3925" spans="1:8" x14ac:dyDescent="0.25">
      <c r="A3925" s="2">
        <v>44646</v>
      </c>
      <c r="B3925" s="1" t="s">
        <v>47</v>
      </c>
      <c r="C3925">
        <v>111</v>
      </c>
      <c r="D3925" s="1" t="s">
        <v>199</v>
      </c>
      <c r="E3925" s="1" t="s">
        <v>4</v>
      </c>
      <c r="F3925">
        <v>51</v>
      </c>
      <c r="G3925" s="1" t="str">
        <f>Ocupacao_DW[[#This Row],[data]]&amp;Ocupacao_DW[[#This Row],[profissional_id]]&amp;Ocupacao_DW[[#This Row],[local_id]]</f>
        <v>4464611151</v>
      </c>
      <c r="H3925" s="1">
        <f>_xlfn.XLOOKUP(Ocupacao_DW[[#This Row],[Concat]],Vagas!$H:$H,Vagas!$D:$D,"",0)</f>
        <v>31</v>
      </c>
    </row>
    <row r="3926" spans="1:8" x14ac:dyDescent="0.25">
      <c r="A3926" s="2">
        <v>44641</v>
      </c>
      <c r="B3926" s="1" t="s">
        <v>52</v>
      </c>
      <c r="C3926">
        <v>10946</v>
      </c>
      <c r="D3926" s="1" t="s">
        <v>209</v>
      </c>
      <c r="E3926" s="1" t="s">
        <v>6</v>
      </c>
      <c r="F3926">
        <v>3</v>
      </c>
      <c r="G3926" s="1" t="str">
        <f>Ocupacao_DW[[#This Row],[data]]&amp;Ocupacao_DW[[#This Row],[profissional_id]]&amp;Ocupacao_DW[[#This Row],[local_id]]</f>
        <v>44641109463</v>
      </c>
      <c r="H3926" s="1">
        <f>_xlfn.XLOOKUP(Ocupacao_DW[[#This Row],[Concat]],Vagas!$H:$H,Vagas!$D:$D,"",0)</f>
        <v>0</v>
      </c>
    </row>
    <row r="3927" spans="1:8" x14ac:dyDescent="0.25">
      <c r="A3927" s="2">
        <v>44657</v>
      </c>
      <c r="B3927" s="1" t="s">
        <v>55</v>
      </c>
      <c r="C3927">
        <v>74</v>
      </c>
      <c r="D3927" s="1" t="s">
        <v>182</v>
      </c>
      <c r="E3927" s="1" t="s">
        <v>6</v>
      </c>
      <c r="F3927">
        <v>7</v>
      </c>
      <c r="G3927" s="1" t="str">
        <f>Ocupacao_DW[[#This Row],[data]]&amp;Ocupacao_DW[[#This Row],[profissional_id]]&amp;Ocupacao_DW[[#This Row],[local_id]]</f>
        <v>44657747</v>
      </c>
      <c r="H3927" s="1">
        <f>_xlfn.XLOOKUP(Ocupacao_DW[[#This Row],[Concat]],Vagas!$H:$H,Vagas!$D:$D,"",0)</f>
        <v>0</v>
      </c>
    </row>
    <row r="3928" spans="1:8" x14ac:dyDescent="0.25">
      <c r="A3928" s="2">
        <v>44635</v>
      </c>
      <c r="B3928" s="1" t="s">
        <v>47</v>
      </c>
      <c r="C3928">
        <v>110</v>
      </c>
      <c r="D3928" s="1" t="s">
        <v>193</v>
      </c>
      <c r="E3928" s="1" t="s">
        <v>4</v>
      </c>
      <c r="F3928">
        <v>334</v>
      </c>
      <c r="G3928" s="1" t="str">
        <f>Ocupacao_DW[[#This Row],[data]]&amp;Ocupacao_DW[[#This Row],[profissional_id]]&amp;Ocupacao_DW[[#This Row],[local_id]]</f>
        <v>44635110334</v>
      </c>
      <c r="H3928" s="1">
        <f>_xlfn.XLOOKUP(Ocupacao_DW[[#This Row],[Concat]],Vagas!$H:$H,Vagas!$D:$D,"",0)</f>
        <v>0</v>
      </c>
    </row>
    <row r="3929" spans="1:8" x14ac:dyDescent="0.25">
      <c r="A3929" s="2">
        <v>44636</v>
      </c>
      <c r="B3929" s="1" t="s">
        <v>62</v>
      </c>
      <c r="C3929">
        <v>3502</v>
      </c>
      <c r="D3929" s="1" t="s">
        <v>214</v>
      </c>
      <c r="E3929" s="1" t="s">
        <v>5</v>
      </c>
      <c r="F3929">
        <v>16</v>
      </c>
      <c r="G3929" s="1" t="str">
        <f>Ocupacao_DW[[#This Row],[data]]&amp;Ocupacao_DW[[#This Row],[profissional_id]]&amp;Ocupacao_DW[[#This Row],[local_id]]</f>
        <v>44636350216</v>
      </c>
      <c r="H3929" s="1">
        <f>_xlfn.XLOOKUP(Ocupacao_DW[[#This Row],[Concat]],Vagas!$H:$H,Vagas!$D:$D,"",0)</f>
        <v>0</v>
      </c>
    </row>
    <row r="3930" spans="1:8" x14ac:dyDescent="0.25">
      <c r="A3930" s="2">
        <v>44644</v>
      </c>
      <c r="B3930" s="1" t="s">
        <v>70</v>
      </c>
      <c r="C3930">
        <v>12519</v>
      </c>
      <c r="D3930" s="1" t="s">
        <v>176</v>
      </c>
      <c r="E3930" s="1" t="s">
        <v>4</v>
      </c>
      <c r="F3930">
        <v>42</v>
      </c>
      <c r="G3930" s="1" t="str">
        <f>Ocupacao_DW[[#This Row],[data]]&amp;Ocupacao_DW[[#This Row],[profissional_id]]&amp;Ocupacao_DW[[#This Row],[local_id]]</f>
        <v>446441251942</v>
      </c>
      <c r="H3930" s="1">
        <f>_xlfn.XLOOKUP(Ocupacao_DW[[#This Row],[Concat]],Vagas!$H:$H,Vagas!$D:$D,"",0)</f>
        <v>0</v>
      </c>
    </row>
    <row r="3931" spans="1:8" x14ac:dyDescent="0.25">
      <c r="A3931" s="2">
        <v>44635</v>
      </c>
      <c r="B3931" s="1" t="s">
        <v>47</v>
      </c>
      <c r="C3931">
        <v>11207</v>
      </c>
      <c r="D3931" s="1" t="s">
        <v>251</v>
      </c>
      <c r="E3931" s="1" t="s">
        <v>4</v>
      </c>
      <c r="F3931">
        <v>51</v>
      </c>
      <c r="G3931" s="1" t="str">
        <f>Ocupacao_DW[[#This Row],[data]]&amp;Ocupacao_DW[[#This Row],[profissional_id]]&amp;Ocupacao_DW[[#This Row],[local_id]]</f>
        <v>446351120751</v>
      </c>
      <c r="H3931" s="1">
        <f>_xlfn.XLOOKUP(Ocupacao_DW[[#This Row],[Concat]],Vagas!$H:$H,Vagas!$D:$D,"",0)</f>
        <v>0</v>
      </c>
    </row>
    <row r="3932" spans="1:8" x14ac:dyDescent="0.25">
      <c r="A3932" s="2">
        <v>44657</v>
      </c>
      <c r="B3932" s="1" t="s">
        <v>51</v>
      </c>
      <c r="C3932">
        <v>7551</v>
      </c>
      <c r="D3932" s="1" t="s">
        <v>246</v>
      </c>
      <c r="E3932" s="1" t="s">
        <v>5</v>
      </c>
      <c r="F3932">
        <v>15</v>
      </c>
      <c r="G3932" s="1" t="str">
        <f>Ocupacao_DW[[#This Row],[data]]&amp;Ocupacao_DW[[#This Row],[profissional_id]]&amp;Ocupacao_DW[[#This Row],[local_id]]</f>
        <v>44657755115</v>
      </c>
      <c r="H3932" s="1">
        <f>_xlfn.XLOOKUP(Ocupacao_DW[[#This Row],[Concat]],Vagas!$H:$H,Vagas!$D:$D,"",0)</f>
        <v>0</v>
      </c>
    </row>
    <row r="3933" spans="1:8" x14ac:dyDescent="0.25">
      <c r="A3933" s="2">
        <v>44636</v>
      </c>
      <c r="B3933" s="1" t="s">
        <v>21</v>
      </c>
      <c r="C3933">
        <v>17892</v>
      </c>
      <c r="D3933" s="1" t="s">
        <v>287</v>
      </c>
      <c r="E3933" s="1" t="s">
        <v>7</v>
      </c>
      <c r="F3933">
        <v>55</v>
      </c>
      <c r="G3933" s="1" t="str">
        <f>Ocupacao_DW[[#This Row],[data]]&amp;Ocupacao_DW[[#This Row],[profissional_id]]&amp;Ocupacao_DW[[#This Row],[local_id]]</f>
        <v>446361789255</v>
      </c>
      <c r="H3933" s="1">
        <f>_xlfn.XLOOKUP(Ocupacao_DW[[#This Row],[Concat]],Vagas!$H:$H,Vagas!$D:$D,"",0)</f>
        <v>2</v>
      </c>
    </row>
    <row r="3934" spans="1:8" x14ac:dyDescent="0.25">
      <c r="A3934" s="2">
        <v>44641</v>
      </c>
      <c r="B3934" s="1" t="s">
        <v>55</v>
      </c>
      <c r="C3934">
        <v>60</v>
      </c>
      <c r="D3934" s="1" t="s">
        <v>217</v>
      </c>
      <c r="E3934" s="1" t="s">
        <v>167</v>
      </c>
      <c r="F3934">
        <v>345</v>
      </c>
      <c r="G3934" s="1" t="str">
        <f>Ocupacao_DW[[#This Row],[data]]&amp;Ocupacao_DW[[#This Row],[profissional_id]]&amp;Ocupacao_DW[[#This Row],[local_id]]</f>
        <v>4464160345</v>
      </c>
      <c r="H3934" s="1">
        <f>_xlfn.XLOOKUP(Ocupacao_DW[[#This Row],[Concat]],Vagas!$H:$H,Vagas!$D:$D,"",0)</f>
        <v>0</v>
      </c>
    </row>
    <row r="3935" spans="1:8" x14ac:dyDescent="0.25">
      <c r="A3935" s="2">
        <v>44635</v>
      </c>
      <c r="B3935" s="1" t="s">
        <v>67</v>
      </c>
      <c r="C3935">
        <v>7290</v>
      </c>
      <c r="D3935" s="1" t="s">
        <v>247</v>
      </c>
      <c r="E3935" s="1" t="s">
        <v>5</v>
      </c>
      <c r="F3935">
        <v>18</v>
      </c>
      <c r="G3935" s="1" t="str">
        <f>Ocupacao_DW[[#This Row],[data]]&amp;Ocupacao_DW[[#This Row],[profissional_id]]&amp;Ocupacao_DW[[#This Row],[local_id]]</f>
        <v>44635729018</v>
      </c>
      <c r="H3935" s="1">
        <f>_xlfn.XLOOKUP(Ocupacao_DW[[#This Row],[Concat]],Vagas!$H:$H,Vagas!$D:$D,"",0)</f>
        <v>0</v>
      </c>
    </row>
    <row r="3936" spans="1:8" x14ac:dyDescent="0.25">
      <c r="A3936" s="2">
        <v>44636</v>
      </c>
      <c r="B3936" s="1" t="s">
        <v>64</v>
      </c>
      <c r="C3936">
        <v>531</v>
      </c>
      <c r="D3936" s="1" t="s">
        <v>213</v>
      </c>
      <c r="E3936" s="1" t="s">
        <v>5</v>
      </c>
      <c r="F3936">
        <v>12</v>
      </c>
      <c r="G3936" s="1" t="str">
        <f>Ocupacao_DW[[#This Row],[data]]&amp;Ocupacao_DW[[#This Row],[profissional_id]]&amp;Ocupacao_DW[[#This Row],[local_id]]</f>
        <v>4463653112</v>
      </c>
      <c r="H3936" s="1">
        <f>_xlfn.XLOOKUP(Ocupacao_DW[[#This Row],[Concat]],Vagas!$H:$H,Vagas!$D:$D,"",0)</f>
        <v>0</v>
      </c>
    </row>
    <row r="3937" spans="1:8" x14ac:dyDescent="0.25">
      <c r="A3937" s="2">
        <v>44637</v>
      </c>
      <c r="B3937" s="1" t="s">
        <v>62</v>
      </c>
      <c r="C3937">
        <v>2567</v>
      </c>
      <c r="D3937" s="1" t="s">
        <v>198</v>
      </c>
      <c r="E3937" s="1" t="s">
        <v>5</v>
      </c>
      <c r="F3937">
        <v>18</v>
      </c>
      <c r="G3937" s="1" t="str">
        <f>Ocupacao_DW[[#This Row],[data]]&amp;Ocupacao_DW[[#This Row],[profissional_id]]&amp;Ocupacao_DW[[#This Row],[local_id]]</f>
        <v>44637256718</v>
      </c>
      <c r="H3937" s="1">
        <f>_xlfn.XLOOKUP(Ocupacao_DW[[#This Row],[Concat]],Vagas!$H:$H,Vagas!$D:$D,"",0)</f>
        <v>0</v>
      </c>
    </row>
    <row r="3938" spans="1:8" x14ac:dyDescent="0.25">
      <c r="A3938" s="2">
        <v>44645</v>
      </c>
      <c r="B3938" s="1" t="s">
        <v>52</v>
      </c>
      <c r="C3938">
        <v>57</v>
      </c>
      <c r="D3938" s="1" t="s">
        <v>169</v>
      </c>
      <c r="E3938" s="1" t="s">
        <v>6</v>
      </c>
      <c r="F3938">
        <v>8</v>
      </c>
      <c r="G3938" s="1" t="str">
        <f>Ocupacao_DW[[#This Row],[data]]&amp;Ocupacao_DW[[#This Row],[profissional_id]]&amp;Ocupacao_DW[[#This Row],[local_id]]</f>
        <v>44645578</v>
      </c>
      <c r="H3938" s="1">
        <f>_xlfn.XLOOKUP(Ocupacao_DW[[#This Row],[Concat]],Vagas!$H:$H,Vagas!$D:$D,"",0)</f>
        <v>0</v>
      </c>
    </row>
    <row r="3939" spans="1:8" x14ac:dyDescent="0.25">
      <c r="A3939" s="2">
        <v>44637</v>
      </c>
      <c r="B3939" s="1"/>
      <c r="C3939">
        <v>17928</v>
      </c>
      <c r="D3939" s="1" t="s">
        <v>268</v>
      </c>
      <c r="E3939" s="1" t="s">
        <v>4</v>
      </c>
      <c r="F3939">
        <v>51</v>
      </c>
      <c r="G3939" s="1" t="str">
        <f>Ocupacao_DW[[#This Row],[data]]&amp;Ocupacao_DW[[#This Row],[profissional_id]]&amp;Ocupacao_DW[[#This Row],[local_id]]</f>
        <v>446371792851</v>
      </c>
      <c r="H3939" s="1">
        <f>_xlfn.XLOOKUP(Ocupacao_DW[[#This Row],[Concat]],Vagas!$H:$H,Vagas!$D:$D,"",0)</f>
        <v>13</v>
      </c>
    </row>
    <row r="3940" spans="1:8" x14ac:dyDescent="0.25">
      <c r="A3940" s="2">
        <v>44639</v>
      </c>
      <c r="B3940" s="1" t="s">
        <v>44</v>
      </c>
      <c r="C3940">
        <v>17908</v>
      </c>
      <c r="D3940" s="1" t="s">
        <v>296</v>
      </c>
      <c r="E3940" s="1" t="s">
        <v>167</v>
      </c>
      <c r="F3940">
        <v>25</v>
      </c>
      <c r="G3940" s="1" t="str">
        <f>Ocupacao_DW[[#This Row],[data]]&amp;Ocupacao_DW[[#This Row],[profissional_id]]&amp;Ocupacao_DW[[#This Row],[local_id]]</f>
        <v>446391790825</v>
      </c>
      <c r="H3940" s="1">
        <f>_xlfn.XLOOKUP(Ocupacao_DW[[#This Row],[Concat]],Vagas!$H:$H,Vagas!$D:$D,"",0)</f>
        <v>14</v>
      </c>
    </row>
    <row r="3941" spans="1:8" x14ac:dyDescent="0.25">
      <c r="A3941" s="2">
        <v>44636</v>
      </c>
      <c r="B3941" s="1" t="s">
        <v>44</v>
      </c>
      <c r="C3941">
        <v>17908</v>
      </c>
      <c r="D3941" s="1" t="s">
        <v>296</v>
      </c>
      <c r="E3941" s="1" t="s">
        <v>167</v>
      </c>
      <c r="F3941">
        <v>25</v>
      </c>
      <c r="G3941" s="1" t="str">
        <f>Ocupacao_DW[[#This Row],[data]]&amp;Ocupacao_DW[[#This Row],[profissional_id]]&amp;Ocupacao_DW[[#This Row],[local_id]]</f>
        <v>446361790825</v>
      </c>
      <c r="H3941" s="1">
        <f>_xlfn.XLOOKUP(Ocupacao_DW[[#This Row],[Concat]],Vagas!$H:$H,Vagas!$D:$D,"",0)</f>
        <v>12</v>
      </c>
    </row>
    <row r="3942" spans="1:8" x14ac:dyDescent="0.25">
      <c r="A3942" s="2">
        <v>44636</v>
      </c>
      <c r="B3942" s="1" t="s">
        <v>42</v>
      </c>
      <c r="C3942">
        <v>17902</v>
      </c>
      <c r="D3942" s="1" t="s">
        <v>264</v>
      </c>
      <c r="E3942" s="1" t="s">
        <v>4</v>
      </c>
      <c r="F3942">
        <v>39</v>
      </c>
      <c r="G3942" s="1" t="str">
        <f>Ocupacao_DW[[#This Row],[data]]&amp;Ocupacao_DW[[#This Row],[profissional_id]]&amp;Ocupacao_DW[[#This Row],[local_id]]</f>
        <v>446361790239</v>
      </c>
      <c r="H3942" s="1">
        <f>_xlfn.XLOOKUP(Ocupacao_DW[[#This Row],[Concat]],Vagas!$H:$H,Vagas!$D:$D,"",0)</f>
        <v>47</v>
      </c>
    </row>
    <row r="3943" spans="1:8" x14ac:dyDescent="0.25">
      <c r="A3943" s="2">
        <v>44641</v>
      </c>
      <c r="B3943" s="1" t="s">
        <v>56</v>
      </c>
      <c r="C3943">
        <v>75</v>
      </c>
      <c r="D3943" s="1" t="s">
        <v>208</v>
      </c>
      <c r="E3943" s="1" t="s">
        <v>5</v>
      </c>
      <c r="F3943">
        <v>15</v>
      </c>
      <c r="G3943" s="1" t="str">
        <f>Ocupacao_DW[[#This Row],[data]]&amp;Ocupacao_DW[[#This Row],[profissional_id]]&amp;Ocupacao_DW[[#This Row],[local_id]]</f>
        <v>446417515</v>
      </c>
      <c r="H3943" s="1">
        <f>_xlfn.XLOOKUP(Ocupacao_DW[[#This Row],[Concat]],Vagas!$H:$H,Vagas!$D:$D,"",0)</f>
        <v>0</v>
      </c>
    </row>
    <row r="3944" spans="1:8" x14ac:dyDescent="0.25">
      <c r="A3944" s="2">
        <v>44638</v>
      </c>
      <c r="B3944" s="1" t="s">
        <v>64</v>
      </c>
      <c r="C3944">
        <v>531</v>
      </c>
      <c r="D3944" s="1" t="s">
        <v>213</v>
      </c>
      <c r="E3944" s="1" t="s">
        <v>200</v>
      </c>
      <c r="F3944">
        <v>78</v>
      </c>
      <c r="G3944" s="1" t="str">
        <f>Ocupacao_DW[[#This Row],[data]]&amp;Ocupacao_DW[[#This Row],[profissional_id]]&amp;Ocupacao_DW[[#This Row],[local_id]]</f>
        <v>4463853178</v>
      </c>
      <c r="H3944" s="1">
        <f>_xlfn.XLOOKUP(Ocupacao_DW[[#This Row],[Concat]],Vagas!$H:$H,Vagas!$D:$D,"",0)</f>
        <v>0</v>
      </c>
    </row>
    <row r="3945" spans="1:8" x14ac:dyDescent="0.25">
      <c r="A3945" s="2">
        <v>44636</v>
      </c>
      <c r="B3945" s="1" t="s">
        <v>57</v>
      </c>
      <c r="C3945">
        <v>80</v>
      </c>
      <c r="D3945" s="1" t="s">
        <v>179</v>
      </c>
      <c r="E3945" s="1" t="s">
        <v>167</v>
      </c>
      <c r="F3945">
        <v>346</v>
      </c>
      <c r="G3945" s="1" t="str">
        <f>Ocupacao_DW[[#This Row],[data]]&amp;Ocupacao_DW[[#This Row],[profissional_id]]&amp;Ocupacao_DW[[#This Row],[local_id]]</f>
        <v>4463680346</v>
      </c>
      <c r="H3945" s="1">
        <f>_xlfn.XLOOKUP(Ocupacao_DW[[#This Row],[Concat]],Vagas!$H:$H,Vagas!$D:$D,"",0)</f>
        <v>0</v>
      </c>
    </row>
    <row r="3946" spans="1:8" x14ac:dyDescent="0.25">
      <c r="A3946" s="2">
        <v>44635</v>
      </c>
      <c r="B3946" s="1" t="s">
        <v>49</v>
      </c>
      <c r="C3946">
        <v>10600</v>
      </c>
      <c r="D3946" s="1" t="s">
        <v>248</v>
      </c>
      <c r="E3946" s="1" t="s">
        <v>200</v>
      </c>
      <c r="F3946">
        <v>86</v>
      </c>
      <c r="G3946" s="1" t="str">
        <f>Ocupacao_DW[[#This Row],[data]]&amp;Ocupacao_DW[[#This Row],[profissional_id]]&amp;Ocupacao_DW[[#This Row],[local_id]]</f>
        <v>446351060086</v>
      </c>
      <c r="H3946" s="1">
        <f>_xlfn.XLOOKUP(Ocupacao_DW[[#This Row],[Concat]],Vagas!$H:$H,Vagas!$D:$D,"",0)</f>
        <v>0</v>
      </c>
    </row>
    <row r="3947" spans="1:8" x14ac:dyDescent="0.25">
      <c r="A3947" s="2">
        <v>44655</v>
      </c>
      <c r="B3947" s="1" t="s">
        <v>55</v>
      </c>
      <c r="C3947">
        <v>6392</v>
      </c>
      <c r="D3947" s="1" t="s">
        <v>173</v>
      </c>
      <c r="E3947" s="1" t="s">
        <v>6</v>
      </c>
      <c r="F3947">
        <v>5</v>
      </c>
      <c r="G3947" s="1" t="str">
        <f>Ocupacao_DW[[#This Row],[data]]&amp;Ocupacao_DW[[#This Row],[profissional_id]]&amp;Ocupacao_DW[[#This Row],[local_id]]</f>
        <v>4465563925</v>
      </c>
      <c r="H3947" s="1">
        <f>_xlfn.XLOOKUP(Ocupacao_DW[[#This Row],[Concat]],Vagas!$H:$H,Vagas!$D:$D,"",0)</f>
        <v>0</v>
      </c>
    </row>
    <row r="3948" spans="1:8" x14ac:dyDescent="0.25">
      <c r="A3948" s="2">
        <v>44637</v>
      </c>
      <c r="B3948" s="1" t="s">
        <v>49</v>
      </c>
      <c r="C3948">
        <v>266</v>
      </c>
      <c r="D3948" s="1" t="s">
        <v>201</v>
      </c>
      <c r="E3948" s="1" t="s">
        <v>4</v>
      </c>
      <c r="F3948">
        <v>42</v>
      </c>
      <c r="G3948" s="1" t="str">
        <f>Ocupacao_DW[[#This Row],[data]]&amp;Ocupacao_DW[[#This Row],[profissional_id]]&amp;Ocupacao_DW[[#This Row],[local_id]]</f>
        <v>4463726642</v>
      </c>
      <c r="H3948" s="1">
        <f>_xlfn.XLOOKUP(Ocupacao_DW[[#This Row],[Concat]],Vagas!$H:$H,Vagas!$D:$D,"",0)</f>
        <v>0</v>
      </c>
    </row>
    <row r="3949" spans="1:8" x14ac:dyDescent="0.25">
      <c r="A3949" s="2">
        <v>44643</v>
      </c>
      <c r="B3949" s="1" t="s">
        <v>51</v>
      </c>
      <c r="C3949">
        <v>17931</v>
      </c>
      <c r="D3949" s="1" t="s">
        <v>286</v>
      </c>
      <c r="E3949" s="1" t="s">
        <v>5</v>
      </c>
      <c r="F3949">
        <v>11</v>
      </c>
      <c r="G3949" s="1" t="str">
        <f>Ocupacao_DW[[#This Row],[data]]&amp;Ocupacao_DW[[#This Row],[profissional_id]]&amp;Ocupacao_DW[[#This Row],[local_id]]</f>
        <v>446431793111</v>
      </c>
      <c r="H3949" s="1">
        <f>_xlfn.XLOOKUP(Ocupacao_DW[[#This Row],[Concat]],Vagas!$H:$H,Vagas!$D:$D,"",0)</f>
        <v>0</v>
      </c>
    </row>
    <row r="3950" spans="1:8" x14ac:dyDescent="0.25">
      <c r="A3950" s="2">
        <v>44635</v>
      </c>
      <c r="B3950" s="1" t="s">
        <v>55</v>
      </c>
      <c r="C3950">
        <v>14452</v>
      </c>
      <c r="D3950" s="1" t="s">
        <v>266</v>
      </c>
      <c r="E3950" s="1" t="s">
        <v>200</v>
      </c>
      <c r="F3950">
        <v>78</v>
      </c>
      <c r="G3950" s="1" t="str">
        <f>Ocupacao_DW[[#This Row],[data]]&amp;Ocupacao_DW[[#This Row],[profissional_id]]&amp;Ocupacao_DW[[#This Row],[local_id]]</f>
        <v>446351445278</v>
      </c>
      <c r="H3950" s="1">
        <f>_xlfn.XLOOKUP(Ocupacao_DW[[#This Row],[Concat]],Vagas!$H:$H,Vagas!$D:$D,"",0)</f>
        <v>0</v>
      </c>
    </row>
    <row r="3951" spans="1:8" x14ac:dyDescent="0.25">
      <c r="A3951" s="2">
        <v>44636</v>
      </c>
      <c r="B3951" s="1" t="s">
        <v>52</v>
      </c>
      <c r="C3951">
        <v>60</v>
      </c>
      <c r="D3951" s="1" t="s">
        <v>217</v>
      </c>
      <c r="E3951" s="1" t="s">
        <v>6</v>
      </c>
      <c r="F3951">
        <v>8</v>
      </c>
      <c r="G3951" s="1" t="str">
        <f>Ocupacao_DW[[#This Row],[data]]&amp;Ocupacao_DW[[#This Row],[profissional_id]]&amp;Ocupacao_DW[[#This Row],[local_id]]</f>
        <v>44636608</v>
      </c>
      <c r="H3951" s="1">
        <f>_xlfn.XLOOKUP(Ocupacao_DW[[#This Row],[Concat]],Vagas!$H:$H,Vagas!$D:$D,"",0)</f>
        <v>0</v>
      </c>
    </row>
    <row r="3952" spans="1:8" x14ac:dyDescent="0.25">
      <c r="A3952" s="2">
        <v>44638</v>
      </c>
      <c r="B3952" s="1" t="s">
        <v>49</v>
      </c>
      <c r="C3952">
        <v>81</v>
      </c>
      <c r="D3952" s="1" t="s">
        <v>170</v>
      </c>
      <c r="E3952" s="1" t="s">
        <v>4</v>
      </c>
      <c r="F3952">
        <v>41</v>
      </c>
      <c r="G3952" s="1" t="str">
        <f>Ocupacao_DW[[#This Row],[data]]&amp;Ocupacao_DW[[#This Row],[profissional_id]]&amp;Ocupacao_DW[[#This Row],[local_id]]</f>
        <v>446388141</v>
      </c>
      <c r="H3952" s="1">
        <f>_xlfn.XLOOKUP(Ocupacao_DW[[#This Row],[Concat]],Vagas!$H:$H,Vagas!$D:$D,"",0)</f>
        <v>0</v>
      </c>
    </row>
    <row r="3953" spans="1:8" x14ac:dyDescent="0.25">
      <c r="A3953" s="2">
        <v>44642</v>
      </c>
      <c r="B3953" s="1" t="s">
        <v>67</v>
      </c>
      <c r="C3953">
        <v>7290</v>
      </c>
      <c r="D3953" s="1" t="s">
        <v>247</v>
      </c>
      <c r="E3953" s="1" t="s">
        <v>5</v>
      </c>
      <c r="F3953">
        <v>18</v>
      </c>
      <c r="G3953" s="1" t="str">
        <f>Ocupacao_DW[[#This Row],[data]]&amp;Ocupacao_DW[[#This Row],[profissional_id]]&amp;Ocupacao_DW[[#This Row],[local_id]]</f>
        <v>44642729018</v>
      </c>
      <c r="H3953" s="1">
        <f>_xlfn.XLOOKUP(Ocupacao_DW[[#This Row],[Concat]],Vagas!$H:$H,Vagas!$D:$D,"",0)</f>
        <v>0</v>
      </c>
    </row>
    <row r="3954" spans="1:8" x14ac:dyDescent="0.25">
      <c r="A3954" s="2">
        <v>44636</v>
      </c>
      <c r="B3954" s="1" t="s">
        <v>22</v>
      </c>
      <c r="C3954">
        <v>17893</v>
      </c>
      <c r="D3954" s="1" t="s">
        <v>275</v>
      </c>
      <c r="E3954" s="1" t="s">
        <v>6</v>
      </c>
      <c r="F3954">
        <v>4</v>
      </c>
      <c r="G3954" s="1" t="str">
        <f>Ocupacao_DW[[#This Row],[data]]&amp;Ocupacao_DW[[#This Row],[profissional_id]]&amp;Ocupacao_DW[[#This Row],[local_id]]</f>
        <v>44636178934</v>
      </c>
      <c r="H3954" s="1">
        <f>_xlfn.XLOOKUP(Ocupacao_DW[[#This Row],[Concat]],Vagas!$H:$H,Vagas!$D:$D,"",0)</f>
        <v>4</v>
      </c>
    </row>
    <row r="3955" spans="1:8" x14ac:dyDescent="0.25">
      <c r="A3955" s="2">
        <v>44637</v>
      </c>
      <c r="B3955" s="1" t="s">
        <v>54</v>
      </c>
      <c r="C3955">
        <v>69</v>
      </c>
      <c r="D3955" s="1" t="s">
        <v>238</v>
      </c>
      <c r="E3955" s="1" t="s">
        <v>200</v>
      </c>
      <c r="F3955">
        <v>82</v>
      </c>
      <c r="G3955" s="1" t="str">
        <f>Ocupacao_DW[[#This Row],[data]]&amp;Ocupacao_DW[[#This Row],[profissional_id]]&amp;Ocupacao_DW[[#This Row],[local_id]]</f>
        <v>446376982</v>
      </c>
      <c r="H3955" s="1">
        <f>_xlfn.XLOOKUP(Ocupacao_DW[[#This Row],[Concat]],Vagas!$H:$H,Vagas!$D:$D,"",0)</f>
        <v>0</v>
      </c>
    </row>
    <row r="3956" spans="1:8" x14ac:dyDescent="0.25">
      <c r="A3956" s="2">
        <v>44635</v>
      </c>
      <c r="B3956" s="1" t="s">
        <v>22</v>
      </c>
      <c r="C3956">
        <v>17893</v>
      </c>
      <c r="D3956" s="1" t="s">
        <v>275</v>
      </c>
      <c r="E3956" s="1" t="s">
        <v>6</v>
      </c>
      <c r="F3956">
        <v>4</v>
      </c>
      <c r="G3956" s="1" t="str">
        <f>Ocupacao_DW[[#This Row],[data]]&amp;Ocupacao_DW[[#This Row],[profissional_id]]&amp;Ocupacao_DW[[#This Row],[local_id]]</f>
        <v>44635178934</v>
      </c>
      <c r="H3956" s="1">
        <f>_xlfn.XLOOKUP(Ocupacao_DW[[#This Row],[Concat]],Vagas!$H:$H,Vagas!$D:$D,"",0)</f>
        <v>5</v>
      </c>
    </row>
    <row r="3957" spans="1:8" x14ac:dyDescent="0.25">
      <c r="A3957" s="2">
        <v>44643</v>
      </c>
      <c r="B3957" s="1" t="s">
        <v>47</v>
      </c>
      <c r="C3957">
        <v>110</v>
      </c>
      <c r="D3957" s="1" t="s">
        <v>193</v>
      </c>
      <c r="E3957" s="1" t="s">
        <v>4</v>
      </c>
      <c r="F3957">
        <v>334</v>
      </c>
      <c r="G3957" s="1" t="str">
        <f>Ocupacao_DW[[#This Row],[data]]&amp;Ocupacao_DW[[#This Row],[profissional_id]]&amp;Ocupacao_DW[[#This Row],[local_id]]</f>
        <v>44643110334</v>
      </c>
      <c r="H3957" s="1">
        <f>_xlfn.XLOOKUP(Ocupacao_DW[[#This Row],[Concat]],Vagas!$H:$H,Vagas!$D:$D,"",0)</f>
        <v>0</v>
      </c>
    </row>
    <row r="3958" spans="1:8" x14ac:dyDescent="0.25">
      <c r="A3958" s="2">
        <v>44646</v>
      </c>
      <c r="B3958" s="1" t="s">
        <v>55</v>
      </c>
      <c r="C3958">
        <v>17879</v>
      </c>
      <c r="D3958" s="1" t="s">
        <v>233</v>
      </c>
      <c r="E3958" s="1" t="s">
        <v>6</v>
      </c>
      <c r="F3958">
        <v>3</v>
      </c>
      <c r="G3958" s="1" t="str">
        <f>Ocupacao_DW[[#This Row],[data]]&amp;Ocupacao_DW[[#This Row],[profissional_id]]&amp;Ocupacao_DW[[#This Row],[local_id]]</f>
        <v>44646178793</v>
      </c>
      <c r="H3958" s="1">
        <f>_xlfn.XLOOKUP(Ocupacao_DW[[#This Row],[Concat]],Vagas!$H:$H,Vagas!$D:$D,"",0)</f>
        <v>0</v>
      </c>
    </row>
    <row r="3959" spans="1:8" x14ac:dyDescent="0.25">
      <c r="A3959" s="2">
        <v>44637</v>
      </c>
      <c r="B3959" s="1" t="s">
        <v>21</v>
      </c>
      <c r="C3959">
        <v>17890</v>
      </c>
      <c r="D3959" s="1" t="s">
        <v>270</v>
      </c>
      <c r="E3959" s="1" t="s">
        <v>6</v>
      </c>
      <c r="F3959">
        <v>4</v>
      </c>
      <c r="G3959" s="1" t="str">
        <f>Ocupacao_DW[[#This Row],[data]]&amp;Ocupacao_DW[[#This Row],[profissional_id]]&amp;Ocupacao_DW[[#This Row],[local_id]]</f>
        <v>44637178904</v>
      </c>
      <c r="H3959" s="1">
        <f>_xlfn.XLOOKUP(Ocupacao_DW[[#This Row],[Concat]],Vagas!$H:$H,Vagas!$D:$D,"",0)</f>
        <v>5</v>
      </c>
    </row>
    <row r="3960" spans="1:8" x14ac:dyDescent="0.25">
      <c r="A3960" s="2">
        <v>44637</v>
      </c>
      <c r="B3960" s="1" t="s">
        <v>46</v>
      </c>
      <c r="C3960">
        <v>17888</v>
      </c>
      <c r="D3960" s="1" t="s">
        <v>255</v>
      </c>
      <c r="E3960" s="1" t="s">
        <v>4</v>
      </c>
      <c r="F3960">
        <v>40</v>
      </c>
      <c r="G3960" s="1" t="str">
        <f>Ocupacao_DW[[#This Row],[data]]&amp;Ocupacao_DW[[#This Row],[profissional_id]]&amp;Ocupacao_DW[[#This Row],[local_id]]</f>
        <v>446371788840</v>
      </c>
      <c r="H3960" s="1">
        <f>_xlfn.XLOOKUP(Ocupacao_DW[[#This Row],[Concat]],Vagas!$H:$H,Vagas!$D:$D,"",0)</f>
        <v>20</v>
      </c>
    </row>
    <row r="3961" spans="1:8" x14ac:dyDescent="0.25">
      <c r="A3961" s="2">
        <v>44637</v>
      </c>
      <c r="B3961" s="1" t="s">
        <v>46</v>
      </c>
      <c r="C3961">
        <v>17888</v>
      </c>
      <c r="D3961" s="1" t="s">
        <v>255</v>
      </c>
      <c r="E3961" s="1" t="s">
        <v>4</v>
      </c>
      <c r="F3961">
        <v>40</v>
      </c>
      <c r="G3961" s="1" t="str">
        <f>Ocupacao_DW[[#This Row],[data]]&amp;Ocupacao_DW[[#This Row],[profissional_id]]&amp;Ocupacao_DW[[#This Row],[local_id]]</f>
        <v>446371788840</v>
      </c>
      <c r="H3961" s="1">
        <f>_xlfn.XLOOKUP(Ocupacao_DW[[#This Row],[Concat]],Vagas!$H:$H,Vagas!$D:$D,"",0)</f>
        <v>20</v>
      </c>
    </row>
    <row r="3962" spans="1:8" x14ac:dyDescent="0.25">
      <c r="A3962" s="2">
        <v>44646</v>
      </c>
      <c r="B3962" s="1" t="s">
        <v>55</v>
      </c>
      <c r="C3962">
        <v>17879</v>
      </c>
      <c r="D3962" s="1" t="s">
        <v>233</v>
      </c>
      <c r="E3962" s="1" t="s">
        <v>6</v>
      </c>
      <c r="F3962">
        <v>3</v>
      </c>
      <c r="G3962" s="1" t="str">
        <f>Ocupacao_DW[[#This Row],[data]]&amp;Ocupacao_DW[[#This Row],[profissional_id]]&amp;Ocupacao_DW[[#This Row],[local_id]]</f>
        <v>44646178793</v>
      </c>
      <c r="H3962" s="1">
        <f>_xlfn.XLOOKUP(Ocupacao_DW[[#This Row],[Concat]],Vagas!$H:$H,Vagas!$D:$D,"",0)</f>
        <v>0</v>
      </c>
    </row>
    <row r="3963" spans="1:8" x14ac:dyDescent="0.25">
      <c r="A3963" s="2">
        <v>44635</v>
      </c>
      <c r="B3963" s="1" t="s">
        <v>49</v>
      </c>
      <c r="C3963">
        <v>10600</v>
      </c>
      <c r="D3963" s="1" t="s">
        <v>248</v>
      </c>
      <c r="E3963" s="1" t="s">
        <v>200</v>
      </c>
      <c r="F3963">
        <v>86</v>
      </c>
      <c r="G3963" s="1" t="str">
        <f>Ocupacao_DW[[#This Row],[data]]&amp;Ocupacao_DW[[#This Row],[profissional_id]]&amp;Ocupacao_DW[[#This Row],[local_id]]</f>
        <v>446351060086</v>
      </c>
      <c r="H3963" s="1">
        <f>_xlfn.XLOOKUP(Ocupacao_DW[[#This Row],[Concat]],Vagas!$H:$H,Vagas!$D:$D,"",0)</f>
        <v>0</v>
      </c>
    </row>
    <row r="3964" spans="1:8" x14ac:dyDescent="0.25">
      <c r="A3964" s="2">
        <v>44646</v>
      </c>
      <c r="B3964" s="1" t="s">
        <v>46</v>
      </c>
      <c r="C3964">
        <v>17888</v>
      </c>
      <c r="D3964" s="1" t="s">
        <v>255</v>
      </c>
      <c r="E3964" s="1" t="s">
        <v>4</v>
      </c>
      <c r="F3964">
        <v>40</v>
      </c>
      <c r="G3964" s="1" t="str">
        <f>Ocupacao_DW[[#This Row],[data]]&amp;Ocupacao_DW[[#This Row],[profissional_id]]&amp;Ocupacao_DW[[#This Row],[local_id]]</f>
        <v>446461788840</v>
      </c>
      <c r="H3964" s="1">
        <f>_xlfn.XLOOKUP(Ocupacao_DW[[#This Row],[Concat]],Vagas!$H:$H,Vagas!$D:$D,"",0)</f>
        <v>6</v>
      </c>
    </row>
    <row r="3965" spans="1:8" x14ac:dyDescent="0.25">
      <c r="A3965" s="2">
        <v>44635</v>
      </c>
      <c r="B3965" s="1" t="s">
        <v>46</v>
      </c>
      <c r="C3965">
        <v>17888</v>
      </c>
      <c r="D3965" s="1" t="s">
        <v>255</v>
      </c>
      <c r="E3965" s="1" t="s">
        <v>4</v>
      </c>
      <c r="F3965">
        <v>40</v>
      </c>
      <c r="G3965" s="1" t="str">
        <f>Ocupacao_DW[[#This Row],[data]]&amp;Ocupacao_DW[[#This Row],[profissional_id]]&amp;Ocupacao_DW[[#This Row],[local_id]]</f>
        <v>446351788840</v>
      </c>
      <c r="H3965" s="1">
        <f>_xlfn.XLOOKUP(Ocupacao_DW[[#This Row],[Concat]],Vagas!$H:$H,Vagas!$D:$D,"",0)</f>
        <v>11</v>
      </c>
    </row>
    <row r="3966" spans="1:8" x14ac:dyDescent="0.25">
      <c r="A3966" s="2">
        <v>44642</v>
      </c>
      <c r="B3966" s="1" t="s">
        <v>52</v>
      </c>
      <c r="C3966">
        <v>60</v>
      </c>
      <c r="D3966" s="1" t="s">
        <v>217</v>
      </c>
      <c r="E3966" s="1" t="s">
        <v>167</v>
      </c>
      <c r="F3966">
        <v>345</v>
      </c>
      <c r="G3966" s="1" t="str">
        <f>Ocupacao_DW[[#This Row],[data]]&amp;Ocupacao_DW[[#This Row],[profissional_id]]&amp;Ocupacao_DW[[#This Row],[local_id]]</f>
        <v>4464260345</v>
      </c>
      <c r="H3966" s="1">
        <f>_xlfn.XLOOKUP(Ocupacao_DW[[#This Row],[Concat]],Vagas!$H:$H,Vagas!$D:$D,"",0)</f>
        <v>0</v>
      </c>
    </row>
    <row r="3967" spans="1:8" x14ac:dyDescent="0.25">
      <c r="A3967" s="2">
        <v>44650</v>
      </c>
      <c r="B3967" s="1" t="s">
        <v>43</v>
      </c>
      <c r="C3967">
        <v>2396</v>
      </c>
      <c r="D3967" s="1" t="s">
        <v>197</v>
      </c>
      <c r="E3967" s="1" t="s">
        <v>6</v>
      </c>
      <c r="F3967">
        <v>2</v>
      </c>
      <c r="G3967" s="1" t="str">
        <f>Ocupacao_DW[[#This Row],[data]]&amp;Ocupacao_DW[[#This Row],[profissional_id]]&amp;Ocupacao_DW[[#This Row],[local_id]]</f>
        <v>4465023962</v>
      </c>
      <c r="H3967" s="1">
        <f>_xlfn.XLOOKUP(Ocupacao_DW[[#This Row],[Concat]],Vagas!$H:$H,Vagas!$D:$D,"",0)</f>
        <v>0</v>
      </c>
    </row>
    <row r="3968" spans="1:8" x14ac:dyDescent="0.25">
      <c r="A3968" s="2">
        <v>44635</v>
      </c>
      <c r="B3968" s="1" t="s">
        <v>46</v>
      </c>
      <c r="C3968">
        <v>17888</v>
      </c>
      <c r="D3968" s="1" t="s">
        <v>255</v>
      </c>
      <c r="E3968" s="1" t="s">
        <v>4</v>
      </c>
      <c r="F3968">
        <v>40</v>
      </c>
      <c r="G3968" s="1" t="str">
        <f>Ocupacao_DW[[#This Row],[data]]&amp;Ocupacao_DW[[#This Row],[profissional_id]]&amp;Ocupacao_DW[[#This Row],[local_id]]</f>
        <v>446351788840</v>
      </c>
      <c r="H3968" s="1">
        <f>_xlfn.XLOOKUP(Ocupacao_DW[[#This Row],[Concat]],Vagas!$H:$H,Vagas!$D:$D,"",0)</f>
        <v>11</v>
      </c>
    </row>
    <row r="3969" spans="1:8" x14ac:dyDescent="0.25">
      <c r="A3969" s="2">
        <v>44657</v>
      </c>
      <c r="B3969" s="1" t="s">
        <v>52</v>
      </c>
      <c r="C3969">
        <v>60</v>
      </c>
      <c r="D3969" s="1" t="s">
        <v>217</v>
      </c>
      <c r="E3969" s="1" t="s">
        <v>167</v>
      </c>
      <c r="F3969">
        <v>346</v>
      </c>
      <c r="G3969" s="1" t="str">
        <f>Ocupacao_DW[[#This Row],[data]]&amp;Ocupacao_DW[[#This Row],[profissional_id]]&amp;Ocupacao_DW[[#This Row],[local_id]]</f>
        <v>4465760346</v>
      </c>
      <c r="H3969" s="1">
        <f>_xlfn.XLOOKUP(Ocupacao_DW[[#This Row],[Concat]],Vagas!$H:$H,Vagas!$D:$D,"",0)</f>
        <v>0</v>
      </c>
    </row>
    <row r="3970" spans="1:8" x14ac:dyDescent="0.25">
      <c r="A3970" s="2">
        <v>44637</v>
      </c>
      <c r="B3970" s="1" t="s">
        <v>71</v>
      </c>
      <c r="C3970">
        <v>76</v>
      </c>
      <c r="D3970" s="1" t="s">
        <v>227</v>
      </c>
      <c r="E3970" s="1" t="s">
        <v>4</v>
      </c>
      <c r="F3970">
        <v>48</v>
      </c>
      <c r="G3970" s="1" t="str">
        <f>Ocupacao_DW[[#This Row],[data]]&amp;Ocupacao_DW[[#This Row],[profissional_id]]&amp;Ocupacao_DW[[#This Row],[local_id]]</f>
        <v>446377648</v>
      </c>
      <c r="H3970" s="1">
        <f>_xlfn.XLOOKUP(Ocupacao_DW[[#This Row],[Concat]],Vagas!$H:$H,Vagas!$D:$D,"",0)</f>
        <v>0</v>
      </c>
    </row>
    <row r="3971" spans="1:8" x14ac:dyDescent="0.25">
      <c r="A3971" s="2">
        <v>44638</v>
      </c>
      <c r="B3971" s="1" t="s">
        <v>72</v>
      </c>
      <c r="C3971">
        <v>1794</v>
      </c>
      <c r="D3971" s="1" t="s">
        <v>235</v>
      </c>
      <c r="E3971" s="1" t="s">
        <v>4</v>
      </c>
      <c r="F3971">
        <v>46</v>
      </c>
      <c r="G3971" s="1" t="str">
        <f>Ocupacao_DW[[#This Row],[data]]&amp;Ocupacao_DW[[#This Row],[profissional_id]]&amp;Ocupacao_DW[[#This Row],[local_id]]</f>
        <v>44638179446</v>
      </c>
      <c r="H3971" s="1">
        <f>_xlfn.XLOOKUP(Ocupacao_DW[[#This Row],[Concat]],Vagas!$H:$H,Vagas!$D:$D,"",0)</f>
        <v>0</v>
      </c>
    </row>
    <row r="3972" spans="1:8" x14ac:dyDescent="0.25">
      <c r="A3972" s="2">
        <v>44635</v>
      </c>
      <c r="B3972" s="1" t="s">
        <v>66</v>
      </c>
      <c r="C3972">
        <v>100</v>
      </c>
      <c r="D3972" s="1" t="s">
        <v>166</v>
      </c>
      <c r="E3972" s="1" t="s">
        <v>167</v>
      </c>
      <c r="F3972">
        <v>342</v>
      </c>
      <c r="G3972" s="1" t="str">
        <f>Ocupacao_DW[[#This Row],[data]]&amp;Ocupacao_DW[[#This Row],[profissional_id]]&amp;Ocupacao_DW[[#This Row],[local_id]]</f>
        <v>44635100342</v>
      </c>
      <c r="H3972" s="1">
        <f>_xlfn.XLOOKUP(Ocupacao_DW[[#This Row],[Concat]],Vagas!$H:$H,Vagas!$D:$D,"",0)</f>
        <v>0</v>
      </c>
    </row>
    <row r="3973" spans="1:8" x14ac:dyDescent="0.25">
      <c r="A3973" s="2">
        <v>44642</v>
      </c>
      <c r="B3973" s="1" t="s">
        <v>54</v>
      </c>
      <c r="C3973">
        <v>10941</v>
      </c>
      <c r="D3973" s="1" t="s">
        <v>224</v>
      </c>
      <c r="E3973" s="1" t="s">
        <v>200</v>
      </c>
      <c r="F3973">
        <v>83</v>
      </c>
      <c r="G3973" s="1" t="str">
        <f>Ocupacao_DW[[#This Row],[data]]&amp;Ocupacao_DW[[#This Row],[profissional_id]]&amp;Ocupacao_DW[[#This Row],[local_id]]</f>
        <v>446421094183</v>
      </c>
      <c r="H3973" s="1">
        <f>_xlfn.XLOOKUP(Ocupacao_DW[[#This Row],[Concat]],Vagas!$H:$H,Vagas!$D:$D,"",0)</f>
        <v>0</v>
      </c>
    </row>
    <row r="3974" spans="1:8" x14ac:dyDescent="0.25">
      <c r="A3974" s="2">
        <v>44638</v>
      </c>
      <c r="B3974" s="1" t="s">
        <v>47</v>
      </c>
      <c r="C3974">
        <v>9111</v>
      </c>
      <c r="D3974" s="1" t="s">
        <v>206</v>
      </c>
      <c r="E3974" s="1" t="s">
        <v>4</v>
      </c>
      <c r="F3974">
        <v>51</v>
      </c>
      <c r="G3974" s="1" t="str">
        <f>Ocupacao_DW[[#This Row],[data]]&amp;Ocupacao_DW[[#This Row],[profissional_id]]&amp;Ocupacao_DW[[#This Row],[local_id]]</f>
        <v>44638911151</v>
      </c>
      <c r="H3974" s="1">
        <f>_xlfn.XLOOKUP(Ocupacao_DW[[#This Row],[Concat]],Vagas!$H:$H,Vagas!$D:$D,"",0)</f>
        <v>0</v>
      </c>
    </row>
    <row r="3975" spans="1:8" x14ac:dyDescent="0.25">
      <c r="A3975" s="2">
        <v>44644</v>
      </c>
      <c r="B3975" s="1" t="s">
        <v>52</v>
      </c>
      <c r="C3975">
        <v>10691</v>
      </c>
      <c r="D3975" s="1" t="s">
        <v>181</v>
      </c>
      <c r="E3975" s="1" t="s">
        <v>6</v>
      </c>
      <c r="F3975">
        <v>9</v>
      </c>
      <c r="G3975" s="1" t="str">
        <f>Ocupacao_DW[[#This Row],[data]]&amp;Ocupacao_DW[[#This Row],[profissional_id]]&amp;Ocupacao_DW[[#This Row],[local_id]]</f>
        <v>44644106919</v>
      </c>
      <c r="H3975" s="1">
        <f>_xlfn.XLOOKUP(Ocupacao_DW[[#This Row],[Concat]],Vagas!$H:$H,Vagas!$D:$D,"",0)</f>
        <v>0</v>
      </c>
    </row>
    <row r="3976" spans="1:8" x14ac:dyDescent="0.25">
      <c r="A3976" s="2">
        <v>44642</v>
      </c>
      <c r="B3976" s="1" t="s">
        <v>46</v>
      </c>
      <c r="C3976">
        <v>17889</v>
      </c>
      <c r="D3976" s="1" t="s">
        <v>280</v>
      </c>
      <c r="E3976" s="1" t="s">
        <v>7</v>
      </c>
      <c r="F3976">
        <v>59</v>
      </c>
      <c r="G3976" s="1" t="str">
        <f>Ocupacao_DW[[#This Row],[data]]&amp;Ocupacao_DW[[#This Row],[profissional_id]]&amp;Ocupacao_DW[[#This Row],[local_id]]</f>
        <v>446421788959</v>
      </c>
      <c r="H3976" s="1">
        <f>_xlfn.XLOOKUP(Ocupacao_DW[[#This Row],[Concat]],Vagas!$H:$H,Vagas!$D:$D,"",0)</f>
        <v>30</v>
      </c>
    </row>
    <row r="3977" spans="1:8" x14ac:dyDescent="0.25">
      <c r="A3977" s="2">
        <v>44636</v>
      </c>
      <c r="B3977" s="1" t="s">
        <v>64</v>
      </c>
      <c r="C3977">
        <v>86</v>
      </c>
      <c r="D3977" s="1" t="s">
        <v>175</v>
      </c>
      <c r="E3977" s="1" t="s">
        <v>7</v>
      </c>
      <c r="F3977">
        <v>66</v>
      </c>
      <c r="G3977" s="1" t="str">
        <f>Ocupacao_DW[[#This Row],[data]]&amp;Ocupacao_DW[[#This Row],[profissional_id]]&amp;Ocupacao_DW[[#This Row],[local_id]]</f>
        <v>446368666</v>
      </c>
      <c r="H3977" s="1">
        <f>_xlfn.XLOOKUP(Ocupacao_DW[[#This Row],[Concat]],Vagas!$H:$H,Vagas!$D:$D,"",0)</f>
        <v>0</v>
      </c>
    </row>
    <row r="3978" spans="1:8" x14ac:dyDescent="0.25">
      <c r="A3978" s="2">
        <v>44648</v>
      </c>
      <c r="B3978" s="1" t="s">
        <v>55</v>
      </c>
      <c r="C3978">
        <v>12669</v>
      </c>
      <c r="D3978" s="1" t="s">
        <v>223</v>
      </c>
      <c r="E3978" s="1" t="s">
        <v>6</v>
      </c>
      <c r="F3978">
        <v>6</v>
      </c>
      <c r="G3978" s="1" t="str">
        <f>Ocupacao_DW[[#This Row],[data]]&amp;Ocupacao_DW[[#This Row],[profissional_id]]&amp;Ocupacao_DW[[#This Row],[local_id]]</f>
        <v>44648126696</v>
      </c>
      <c r="H3978" s="1">
        <f>_xlfn.XLOOKUP(Ocupacao_DW[[#This Row],[Concat]],Vagas!$H:$H,Vagas!$D:$D,"",0)</f>
        <v>0</v>
      </c>
    </row>
    <row r="3979" spans="1:8" x14ac:dyDescent="0.25">
      <c r="A3979" s="2">
        <v>44652</v>
      </c>
      <c r="B3979" s="1" t="s">
        <v>52</v>
      </c>
      <c r="C3979">
        <v>10691</v>
      </c>
      <c r="D3979" s="1" t="s">
        <v>181</v>
      </c>
      <c r="E3979" s="1" t="s">
        <v>200</v>
      </c>
      <c r="F3979">
        <v>78</v>
      </c>
      <c r="G3979" s="1" t="str">
        <f>Ocupacao_DW[[#This Row],[data]]&amp;Ocupacao_DW[[#This Row],[profissional_id]]&amp;Ocupacao_DW[[#This Row],[local_id]]</f>
        <v>446521069178</v>
      </c>
      <c r="H3979" s="1">
        <f>_xlfn.XLOOKUP(Ocupacao_DW[[#This Row],[Concat]],Vagas!$H:$H,Vagas!$D:$D,"",0)</f>
        <v>0</v>
      </c>
    </row>
    <row r="3980" spans="1:8" x14ac:dyDescent="0.25">
      <c r="A3980" s="2">
        <v>44649</v>
      </c>
      <c r="B3980" s="1" t="s">
        <v>49</v>
      </c>
      <c r="C3980">
        <v>17918</v>
      </c>
      <c r="D3980" s="1" t="s">
        <v>265</v>
      </c>
      <c r="E3980" s="1" t="s">
        <v>288</v>
      </c>
      <c r="F3980">
        <v>378</v>
      </c>
      <c r="G3980" s="1" t="str">
        <f>Ocupacao_DW[[#This Row],[data]]&amp;Ocupacao_DW[[#This Row],[profissional_id]]&amp;Ocupacao_DW[[#This Row],[local_id]]</f>
        <v>4464917918378</v>
      </c>
      <c r="H3980" s="1">
        <f>_xlfn.XLOOKUP(Ocupacao_DW[[#This Row],[Concat]],Vagas!$H:$H,Vagas!$D:$D,"",0)</f>
        <v>0</v>
      </c>
    </row>
    <row r="3981" spans="1:8" x14ac:dyDescent="0.25">
      <c r="A3981" s="2">
        <v>44642</v>
      </c>
      <c r="B3981" s="1" t="s">
        <v>46</v>
      </c>
      <c r="C3981">
        <v>17888</v>
      </c>
      <c r="D3981" s="1" t="s">
        <v>255</v>
      </c>
      <c r="E3981" s="1" t="s">
        <v>4</v>
      </c>
      <c r="F3981">
        <v>40</v>
      </c>
      <c r="G3981" s="1" t="str">
        <f>Ocupacao_DW[[#This Row],[data]]&amp;Ocupacao_DW[[#This Row],[profissional_id]]&amp;Ocupacao_DW[[#This Row],[local_id]]</f>
        <v>446421788840</v>
      </c>
      <c r="H3981" s="1">
        <f>_xlfn.XLOOKUP(Ocupacao_DW[[#This Row],[Concat]],Vagas!$H:$H,Vagas!$D:$D,"",0)</f>
        <v>25</v>
      </c>
    </row>
    <row r="3982" spans="1:8" x14ac:dyDescent="0.25">
      <c r="A3982" s="2">
        <v>44645</v>
      </c>
      <c r="B3982" s="1" t="s">
        <v>24</v>
      </c>
      <c r="C3982">
        <v>60</v>
      </c>
      <c r="D3982" s="1" t="s">
        <v>217</v>
      </c>
      <c r="E3982" s="1" t="s">
        <v>6</v>
      </c>
      <c r="F3982">
        <v>1</v>
      </c>
      <c r="G3982" s="1" t="str">
        <f>Ocupacao_DW[[#This Row],[data]]&amp;Ocupacao_DW[[#This Row],[profissional_id]]&amp;Ocupacao_DW[[#This Row],[local_id]]</f>
        <v>44645601</v>
      </c>
      <c r="H3982" s="1">
        <f>_xlfn.XLOOKUP(Ocupacao_DW[[#This Row],[Concat]],Vagas!$H:$H,Vagas!$D:$D,"",0)</f>
        <v>0</v>
      </c>
    </row>
    <row r="3983" spans="1:8" x14ac:dyDescent="0.25">
      <c r="A3983" s="2">
        <v>44636</v>
      </c>
      <c r="B3983" s="1" t="s">
        <v>43</v>
      </c>
      <c r="C3983">
        <v>57</v>
      </c>
      <c r="D3983" s="1" t="s">
        <v>169</v>
      </c>
      <c r="E3983" s="1" t="s">
        <v>6</v>
      </c>
      <c r="F3983">
        <v>2</v>
      </c>
      <c r="G3983" s="1" t="str">
        <f>Ocupacao_DW[[#This Row],[data]]&amp;Ocupacao_DW[[#This Row],[profissional_id]]&amp;Ocupacao_DW[[#This Row],[local_id]]</f>
        <v>44636572</v>
      </c>
      <c r="H3983" s="1">
        <f>_xlfn.XLOOKUP(Ocupacao_DW[[#This Row],[Concat]],Vagas!$H:$H,Vagas!$D:$D,"",0)</f>
        <v>2</v>
      </c>
    </row>
    <row r="3984" spans="1:8" x14ac:dyDescent="0.25">
      <c r="A3984" s="2">
        <v>44635</v>
      </c>
      <c r="B3984" s="1" t="s">
        <v>71</v>
      </c>
      <c r="C3984">
        <v>282</v>
      </c>
      <c r="D3984" s="1" t="s">
        <v>210</v>
      </c>
      <c r="E3984" s="1" t="s">
        <v>4</v>
      </c>
      <c r="F3984">
        <v>48</v>
      </c>
      <c r="G3984" s="1" t="str">
        <f>Ocupacao_DW[[#This Row],[data]]&amp;Ocupacao_DW[[#This Row],[profissional_id]]&amp;Ocupacao_DW[[#This Row],[local_id]]</f>
        <v>4463528248</v>
      </c>
      <c r="H3984" s="1">
        <f>_xlfn.XLOOKUP(Ocupacao_DW[[#This Row],[Concat]],Vagas!$H:$H,Vagas!$D:$D,"",0)</f>
        <v>0</v>
      </c>
    </row>
    <row r="3985" spans="1:8" x14ac:dyDescent="0.25">
      <c r="A3985" s="2">
        <v>44643</v>
      </c>
      <c r="B3985" s="1" t="s">
        <v>64</v>
      </c>
      <c r="C3985">
        <v>86</v>
      </c>
      <c r="D3985" s="1" t="s">
        <v>175</v>
      </c>
      <c r="E3985" s="1" t="s">
        <v>7</v>
      </c>
      <c r="F3985">
        <v>66</v>
      </c>
      <c r="G3985" s="1" t="str">
        <f>Ocupacao_DW[[#This Row],[data]]&amp;Ocupacao_DW[[#This Row],[profissional_id]]&amp;Ocupacao_DW[[#This Row],[local_id]]</f>
        <v>446438666</v>
      </c>
      <c r="H3985" s="1">
        <f>_xlfn.XLOOKUP(Ocupacao_DW[[#This Row],[Concat]],Vagas!$H:$H,Vagas!$D:$D,"",0)</f>
        <v>0</v>
      </c>
    </row>
    <row r="3986" spans="1:8" x14ac:dyDescent="0.25">
      <c r="A3986" s="2">
        <v>44657</v>
      </c>
      <c r="B3986" s="1" t="s">
        <v>46</v>
      </c>
      <c r="C3986">
        <v>17888</v>
      </c>
      <c r="D3986" s="1" t="s">
        <v>255</v>
      </c>
      <c r="E3986" s="1" t="s">
        <v>4</v>
      </c>
      <c r="F3986">
        <v>40</v>
      </c>
      <c r="G3986" s="1" t="str">
        <f>Ocupacao_DW[[#This Row],[data]]&amp;Ocupacao_DW[[#This Row],[profissional_id]]&amp;Ocupacao_DW[[#This Row],[local_id]]</f>
        <v>446571788840</v>
      </c>
      <c r="H3986" s="1" t="str">
        <f>_xlfn.XLOOKUP(Ocupacao_DW[[#This Row],[Concat]],Vagas!$H:$H,Vagas!$D:$D,"",0)</f>
        <v/>
      </c>
    </row>
    <row r="3987" spans="1:8" x14ac:dyDescent="0.25">
      <c r="A3987" s="2">
        <v>44637</v>
      </c>
      <c r="B3987" s="1" t="s">
        <v>49</v>
      </c>
      <c r="C3987">
        <v>81</v>
      </c>
      <c r="D3987" s="1" t="s">
        <v>170</v>
      </c>
      <c r="E3987" s="1" t="s">
        <v>4</v>
      </c>
      <c r="F3987">
        <v>41</v>
      </c>
      <c r="G3987" s="1" t="str">
        <f>Ocupacao_DW[[#This Row],[data]]&amp;Ocupacao_DW[[#This Row],[profissional_id]]&amp;Ocupacao_DW[[#This Row],[local_id]]</f>
        <v>446378141</v>
      </c>
      <c r="H3987" s="1">
        <f>_xlfn.XLOOKUP(Ocupacao_DW[[#This Row],[Concat]],Vagas!$H:$H,Vagas!$D:$D,"",0)</f>
        <v>0</v>
      </c>
    </row>
    <row r="3988" spans="1:8" x14ac:dyDescent="0.25">
      <c r="A3988" s="2">
        <v>44636</v>
      </c>
      <c r="B3988" s="1"/>
      <c r="C3988">
        <v>17902</v>
      </c>
      <c r="D3988" s="1" t="s">
        <v>264</v>
      </c>
      <c r="E3988" s="1" t="s">
        <v>4</v>
      </c>
      <c r="F3988">
        <v>39</v>
      </c>
      <c r="G3988" s="1" t="str">
        <f>Ocupacao_DW[[#This Row],[data]]&amp;Ocupacao_DW[[#This Row],[profissional_id]]&amp;Ocupacao_DW[[#This Row],[local_id]]</f>
        <v>446361790239</v>
      </c>
      <c r="H3988" s="1">
        <f>_xlfn.XLOOKUP(Ocupacao_DW[[#This Row],[Concat]],Vagas!$H:$H,Vagas!$D:$D,"",0)</f>
        <v>47</v>
      </c>
    </row>
    <row r="3989" spans="1:8" x14ac:dyDescent="0.25">
      <c r="A3989" s="2">
        <v>44636</v>
      </c>
      <c r="B3989" s="1" t="s">
        <v>62</v>
      </c>
      <c r="C3989">
        <v>2567</v>
      </c>
      <c r="D3989" s="1" t="s">
        <v>198</v>
      </c>
      <c r="E3989" s="1" t="s">
        <v>5</v>
      </c>
      <c r="F3989">
        <v>349</v>
      </c>
      <c r="G3989" s="1" t="str">
        <f>Ocupacao_DW[[#This Row],[data]]&amp;Ocupacao_DW[[#This Row],[profissional_id]]&amp;Ocupacao_DW[[#This Row],[local_id]]</f>
        <v>446362567349</v>
      </c>
      <c r="H3989" s="1">
        <f>_xlfn.XLOOKUP(Ocupacao_DW[[#This Row],[Concat]],Vagas!$H:$H,Vagas!$D:$D,"",0)</f>
        <v>0</v>
      </c>
    </row>
    <row r="3990" spans="1:8" x14ac:dyDescent="0.25">
      <c r="A3990" s="2">
        <v>44635</v>
      </c>
      <c r="B3990" s="1" t="s">
        <v>20</v>
      </c>
      <c r="C3990">
        <v>174</v>
      </c>
      <c r="D3990" s="1" t="s">
        <v>230</v>
      </c>
      <c r="E3990" s="1" t="s">
        <v>167</v>
      </c>
      <c r="F3990">
        <v>24</v>
      </c>
      <c r="G3990" s="1" t="str">
        <f>Ocupacao_DW[[#This Row],[data]]&amp;Ocupacao_DW[[#This Row],[profissional_id]]&amp;Ocupacao_DW[[#This Row],[local_id]]</f>
        <v>4463517424</v>
      </c>
      <c r="H3990" s="1">
        <f>_xlfn.XLOOKUP(Ocupacao_DW[[#This Row],[Concat]],Vagas!$H:$H,Vagas!$D:$D,"",0)</f>
        <v>66</v>
      </c>
    </row>
    <row r="3991" spans="1:8" x14ac:dyDescent="0.25">
      <c r="A3991" s="2">
        <v>44638</v>
      </c>
      <c r="B3991" s="1" t="s">
        <v>46</v>
      </c>
      <c r="C3991">
        <v>17888</v>
      </c>
      <c r="D3991" s="1" t="s">
        <v>255</v>
      </c>
      <c r="E3991" s="1" t="s">
        <v>4</v>
      </c>
      <c r="F3991">
        <v>40</v>
      </c>
      <c r="G3991" s="1" t="str">
        <f>Ocupacao_DW[[#This Row],[data]]&amp;Ocupacao_DW[[#This Row],[profissional_id]]&amp;Ocupacao_DW[[#This Row],[local_id]]</f>
        <v>446381788840</v>
      </c>
      <c r="H3991" s="1">
        <f>_xlfn.XLOOKUP(Ocupacao_DW[[#This Row],[Concat]],Vagas!$H:$H,Vagas!$D:$D,"",0)</f>
        <v>21</v>
      </c>
    </row>
    <row r="3992" spans="1:8" x14ac:dyDescent="0.25">
      <c r="A3992" s="2">
        <v>44637</v>
      </c>
      <c r="B3992" s="1" t="s">
        <v>46</v>
      </c>
      <c r="C3992">
        <v>17888</v>
      </c>
      <c r="D3992" s="1" t="s">
        <v>255</v>
      </c>
      <c r="E3992" s="1" t="s">
        <v>4</v>
      </c>
      <c r="F3992">
        <v>40</v>
      </c>
      <c r="G3992" s="1" t="str">
        <f>Ocupacao_DW[[#This Row],[data]]&amp;Ocupacao_DW[[#This Row],[profissional_id]]&amp;Ocupacao_DW[[#This Row],[local_id]]</f>
        <v>446371788840</v>
      </c>
      <c r="H3992" s="1">
        <f>_xlfn.XLOOKUP(Ocupacao_DW[[#This Row],[Concat]],Vagas!$H:$H,Vagas!$D:$D,"",0)</f>
        <v>20</v>
      </c>
    </row>
    <row r="3993" spans="1:8" x14ac:dyDescent="0.25">
      <c r="A3993" s="2">
        <v>44639</v>
      </c>
      <c r="B3993" s="1" t="s">
        <v>42</v>
      </c>
      <c r="C3993">
        <v>17902</v>
      </c>
      <c r="D3993" s="1" t="s">
        <v>264</v>
      </c>
      <c r="E3993" s="1" t="s">
        <v>4</v>
      </c>
      <c r="F3993">
        <v>39</v>
      </c>
      <c r="G3993" s="1" t="str">
        <f>Ocupacao_DW[[#This Row],[data]]&amp;Ocupacao_DW[[#This Row],[profissional_id]]&amp;Ocupacao_DW[[#This Row],[local_id]]</f>
        <v>446391790239</v>
      </c>
      <c r="H3993" s="1" t="str">
        <f>_xlfn.XLOOKUP(Ocupacao_DW[[#This Row],[Concat]],Vagas!$H:$H,Vagas!$D:$D,"",0)</f>
        <v/>
      </c>
    </row>
    <row r="3994" spans="1:8" x14ac:dyDescent="0.25">
      <c r="A3994" s="2">
        <v>44636</v>
      </c>
      <c r="B3994" s="1" t="s">
        <v>20</v>
      </c>
      <c r="C3994">
        <v>174</v>
      </c>
      <c r="D3994" s="1" t="s">
        <v>230</v>
      </c>
      <c r="E3994" s="1" t="s">
        <v>167</v>
      </c>
      <c r="F3994">
        <v>24</v>
      </c>
      <c r="G3994" s="1" t="str">
        <f>Ocupacao_DW[[#This Row],[data]]&amp;Ocupacao_DW[[#This Row],[profissional_id]]&amp;Ocupacao_DW[[#This Row],[local_id]]</f>
        <v>4463617424</v>
      </c>
      <c r="H3994" s="1">
        <f>_xlfn.XLOOKUP(Ocupacao_DW[[#This Row],[Concat]],Vagas!$H:$H,Vagas!$D:$D,"",0)</f>
        <v>74</v>
      </c>
    </row>
    <row r="3995" spans="1:8" x14ac:dyDescent="0.25">
      <c r="A3995" s="2">
        <v>44636</v>
      </c>
      <c r="B3995" s="1" t="s">
        <v>20</v>
      </c>
      <c r="C3995">
        <v>174</v>
      </c>
      <c r="D3995" s="1" t="s">
        <v>230</v>
      </c>
      <c r="E3995" s="1" t="s">
        <v>167</v>
      </c>
      <c r="F3995">
        <v>24</v>
      </c>
      <c r="G3995" s="1" t="str">
        <f>Ocupacao_DW[[#This Row],[data]]&amp;Ocupacao_DW[[#This Row],[profissional_id]]&amp;Ocupacao_DW[[#This Row],[local_id]]</f>
        <v>4463617424</v>
      </c>
      <c r="H3995" s="1">
        <f>_xlfn.XLOOKUP(Ocupacao_DW[[#This Row],[Concat]],Vagas!$H:$H,Vagas!$D:$D,"",0)</f>
        <v>74</v>
      </c>
    </row>
    <row r="3996" spans="1:8" x14ac:dyDescent="0.25">
      <c r="A3996" s="2">
        <v>44636</v>
      </c>
      <c r="B3996" s="1" t="s">
        <v>20</v>
      </c>
      <c r="C3996">
        <v>174</v>
      </c>
      <c r="D3996" s="1" t="s">
        <v>230</v>
      </c>
      <c r="E3996" s="1" t="s">
        <v>167</v>
      </c>
      <c r="F3996">
        <v>24</v>
      </c>
      <c r="G3996" s="1" t="str">
        <f>Ocupacao_DW[[#This Row],[data]]&amp;Ocupacao_DW[[#This Row],[profissional_id]]&amp;Ocupacao_DW[[#This Row],[local_id]]</f>
        <v>4463617424</v>
      </c>
      <c r="H3996" s="1">
        <f>_xlfn.XLOOKUP(Ocupacao_DW[[#This Row],[Concat]],Vagas!$H:$H,Vagas!$D:$D,"",0)</f>
        <v>74</v>
      </c>
    </row>
    <row r="3997" spans="1:8" x14ac:dyDescent="0.25">
      <c r="A3997" s="2">
        <v>44636</v>
      </c>
      <c r="B3997" s="1" t="s">
        <v>20</v>
      </c>
      <c r="C3997">
        <v>174</v>
      </c>
      <c r="D3997" s="1" t="s">
        <v>230</v>
      </c>
      <c r="E3997" s="1" t="s">
        <v>167</v>
      </c>
      <c r="F3997">
        <v>24</v>
      </c>
      <c r="G3997" s="1" t="str">
        <f>Ocupacao_DW[[#This Row],[data]]&amp;Ocupacao_DW[[#This Row],[profissional_id]]&amp;Ocupacao_DW[[#This Row],[local_id]]</f>
        <v>4463617424</v>
      </c>
      <c r="H3997" s="1">
        <f>_xlfn.XLOOKUP(Ocupacao_DW[[#This Row],[Concat]],Vagas!$H:$H,Vagas!$D:$D,"",0)</f>
        <v>74</v>
      </c>
    </row>
    <row r="3998" spans="1:8" x14ac:dyDescent="0.25">
      <c r="A3998" s="2">
        <v>44635</v>
      </c>
      <c r="B3998" s="1" t="s">
        <v>42</v>
      </c>
      <c r="C3998">
        <v>17902</v>
      </c>
      <c r="D3998" s="1" t="s">
        <v>264</v>
      </c>
      <c r="E3998" s="1" t="s">
        <v>4</v>
      </c>
      <c r="F3998">
        <v>39</v>
      </c>
      <c r="G3998" s="1" t="str">
        <f>Ocupacao_DW[[#This Row],[data]]&amp;Ocupacao_DW[[#This Row],[profissional_id]]&amp;Ocupacao_DW[[#This Row],[local_id]]</f>
        <v>446351790239</v>
      </c>
      <c r="H3998" s="1">
        <f>_xlfn.XLOOKUP(Ocupacao_DW[[#This Row],[Concat]],Vagas!$H:$H,Vagas!$D:$D,"",0)</f>
        <v>39</v>
      </c>
    </row>
    <row r="3999" spans="1:8" x14ac:dyDescent="0.25">
      <c r="A3999" s="2">
        <v>44635</v>
      </c>
      <c r="B3999" s="1" t="s">
        <v>42</v>
      </c>
      <c r="C3999">
        <v>17902</v>
      </c>
      <c r="D3999" s="1" t="s">
        <v>264</v>
      </c>
      <c r="E3999" s="1" t="s">
        <v>4</v>
      </c>
      <c r="F3999">
        <v>39</v>
      </c>
      <c r="G3999" s="1" t="str">
        <f>Ocupacao_DW[[#This Row],[data]]&amp;Ocupacao_DW[[#This Row],[profissional_id]]&amp;Ocupacao_DW[[#This Row],[local_id]]</f>
        <v>446351790239</v>
      </c>
      <c r="H3999" s="1">
        <f>_xlfn.XLOOKUP(Ocupacao_DW[[#This Row],[Concat]],Vagas!$H:$H,Vagas!$D:$D,"",0)</f>
        <v>39</v>
      </c>
    </row>
    <row r="4000" spans="1:8" x14ac:dyDescent="0.25">
      <c r="A4000" s="2">
        <v>44635</v>
      </c>
      <c r="B4000" s="1" t="s">
        <v>42</v>
      </c>
      <c r="C4000">
        <v>17902</v>
      </c>
      <c r="D4000" s="1" t="s">
        <v>264</v>
      </c>
      <c r="E4000" s="1" t="s">
        <v>4</v>
      </c>
      <c r="F4000">
        <v>39</v>
      </c>
      <c r="G4000" s="1" t="str">
        <f>Ocupacao_DW[[#This Row],[data]]&amp;Ocupacao_DW[[#This Row],[profissional_id]]&amp;Ocupacao_DW[[#This Row],[local_id]]</f>
        <v>446351790239</v>
      </c>
      <c r="H4000" s="1">
        <f>_xlfn.XLOOKUP(Ocupacao_DW[[#This Row],[Concat]],Vagas!$H:$H,Vagas!$D:$D,"",0)</f>
        <v>39</v>
      </c>
    </row>
    <row r="4001" spans="1:8" x14ac:dyDescent="0.25">
      <c r="A4001" s="2">
        <v>44656</v>
      </c>
      <c r="B4001" s="1" t="s">
        <v>70</v>
      </c>
      <c r="C4001">
        <v>14237</v>
      </c>
      <c r="D4001" s="1" t="s">
        <v>186</v>
      </c>
      <c r="E4001" s="1" t="s">
        <v>4</v>
      </c>
      <c r="F4001">
        <v>47</v>
      </c>
      <c r="G4001" s="1" t="str">
        <f>Ocupacao_DW[[#This Row],[data]]&amp;Ocupacao_DW[[#This Row],[profissional_id]]&amp;Ocupacao_DW[[#This Row],[local_id]]</f>
        <v>446561423747</v>
      </c>
      <c r="H4001" s="1">
        <f>_xlfn.XLOOKUP(Ocupacao_DW[[#This Row],[Concat]],Vagas!$H:$H,Vagas!$D:$D,"",0)</f>
        <v>0</v>
      </c>
    </row>
    <row r="4002" spans="1:8" x14ac:dyDescent="0.25">
      <c r="A4002" s="2">
        <v>44642</v>
      </c>
      <c r="B4002" s="1" t="s">
        <v>65</v>
      </c>
      <c r="C4002">
        <v>11237</v>
      </c>
      <c r="D4002" s="1" t="s">
        <v>229</v>
      </c>
      <c r="E4002" s="1" t="s">
        <v>4</v>
      </c>
      <c r="F4002">
        <v>46</v>
      </c>
      <c r="G4002" s="1" t="str">
        <f>Ocupacao_DW[[#This Row],[data]]&amp;Ocupacao_DW[[#This Row],[profissional_id]]&amp;Ocupacao_DW[[#This Row],[local_id]]</f>
        <v>446421123746</v>
      </c>
      <c r="H4002" s="1">
        <f>_xlfn.XLOOKUP(Ocupacao_DW[[#This Row],[Concat]],Vagas!$H:$H,Vagas!$D:$D,"",0)</f>
        <v>0</v>
      </c>
    </row>
    <row r="4003" spans="1:8" x14ac:dyDescent="0.25">
      <c r="A4003" s="2">
        <v>44635</v>
      </c>
      <c r="B4003" s="1"/>
      <c r="C4003">
        <v>17883</v>
      </c>
      <c r="D4003" s="1" t="s">
        <v>277</v>
      </c>
      <c r="E4003" s="1" t="s">
        <v>4</v>
      </c>
      <c r="F4003">
        <v>351</v>
      </c>
      <c r="G4003" s="1" t="str">
        <f>Ocupacao_DW[[#This Row],[data]]&amp;Ocupacao_DW[[#This Row],[profissional_id]]&amp;Ocupacao_DW[[#This Row],[local_id]]</f>
        <v>4463517883351</v>
      </c>
      <c r="H4003" s="1">
        <f>_xlfn.XLOOKUP(Ocupacao_DW[[#This Row],[Concat]],Vagas!$H:$H,Vagas!$D:$D,"",0)</f>
        <v>0</v>
      </c>
    </row>
    <row r="4004" spans="1:8" x14ac:dyDescent="0.25">
      <c r="A4004" s="2">
        <v>44635</v>
      </c>
      <c r="B4004" s="1" t="s">
        <v>67</v>
      </c>
      <c r="C4004">
        <v>7290</v>
      </c>
      <c r="D4004" s="1" t="s">
        <v>247</v>
      </c>
      <c r="E4004" s="1" t="s">
        <v>5</v>
      </c>
      <c r="F4004">
        <v>18</v>
      </c>
      <c r="G4004" s="1" t="str">
        <f>Ocupacao_DW[[#This Row],[data]]&amp;Ocupacao_DW[[#This Row],[profissional_id]]&amp;Ocupacao_DW[[#This Row],[local_id]]</f>
        <v>44635729018</v>
      </c>
      <c r="H4004" s="1">
        <f>_xlfn.XLOOKUP(Ocupacao_DW[[#This Row],[Concat]],Vagas!$H:$H,Vagas!$D:$D,"",0)</f>
        <v>0</v>
      </c>
    </row>
    <row r="4005" spans="1:8" x14ac:dyDescent="0.25">
      <c r="A4005" s="2">
        <v>44637</v>
      </c>
      <c r="B4005" s="1" t="s">
        <v>73</v>
      </c>
      <c r="C4005">
        <v>10691</v>
      </c>
      <c r="D4005" s="1" t="s">
        <v>181</v>
      </c>
      <c r="E4005" s="1" t="s">
        <v>167</v>
      </c>
      <c r="F4005">
        <v>348</v>
      </c>
      <c r="G4005" s="1" t="str">
        <f>Ocupacao_DW[[#This Row],[data]]&amp;Ocupacao_DW[[#This Row],[profissional_id]]&amp;Ocupacao_DW[[#This Row],[local_id]]</f>
        <v>4463710691348</v>
      </c>
      <c r="H4005" s="1">
        <f>_xlfn.XLOOKUP(Ocupacao_DW[[#This Row],[Concat]],Vagas!$H:$H,Vagas!$D:$D,"",0)</f>
        <v>0</v>
      </c>
    </row>
    <row r="4006" spans="1:8" x14ac:dyDescent="0.25">
      <c r="A4006" s="2">
        <v>44635</v>
      </c>
      <c r="B4006" s="1" t="s">
        <v>65</v>
      </c>
      <c r="C4006">
        <v>11237</v>
      </c>
      <c r="D4006" s="1" t="s">
        <v>229</v>
      </c>
      <c r="E4006" s="1" t="s">
        <v>4</v>
      </c>
      <c r="F4006">
        <v>46</v>
      </c>
      <c r="G4006" s="1" t="str">
        <f>Ocupacao_DW[[#This Row],[data]]&amp;Ocupacao_DW[[#This Row],[profissional_id]]&amp;Ocupacao_DW[[#This Row],[local_id]]</f>
        <v>446351123746</v>
      </c>
      <c r="H4006" s="1">
        <f>_xlfn.XLOOKUP(Ocupacao_DW[[#This Row],[Concat]],Vagas!$H:$H,Vagas!$D:$D,"",0)</f>
        <v>0</v>
      </c>
    </row>
    <row r="4007" spans="1:8" x14ac:dyDescent="0.25">
      <c r="A4007" s="2">
        <v>44638</v>
      </c>
      <c r="B4007" s="1" t="s">
        <v>47</v>
      </c>
      <c r="C4007">
        <v>12679</v>
      </c>
      <c r="D4007" s="1" t="s">
        <v>192</v>
      </c>
      <c r="E4007" s="1" t="s">
        <v>4</v>
      </c>
      <c r="F4007">
        <v>336</v>
      </c>
      <c r="G4007" s="1" t="str">
        <f>Ocupacao_DW[[#This Row],[data]]&amp;Ocupacao_DW[[#This Row],[profissional_id]]&amp;Ocupacao_DW[[#This Row],[local_id]]</f>
        <v>4463812679336</v>
      </c>
      <c r="H4007" s="1">
        <f>_xlfn.XLOOKUP(Ocupacao_DW[[#This Row],[Concat]],Vagas!$H:$H,Vagas!$D:$D,"",0)</f>
        <v>0</v>
      </c>
    </row>
    <row r="4008" spans="1:8" x14ac:dyDescent="0.25">
      <c r="A4008" s="2">
        <v>44648</v>
      </c>
      <c r="B4008" s="1" t="s">
        <v>72</v>
      </c>
      <c r="C4008">
        <v>13479</v>
      </c>
      <c r="D4008" s="1" t="s">
        <v>203</v>
      </c>
      <c r="E4008" s="1" t="s">
        <v>4</v>
      </c>
      <c r="F4008">
        <v>46</v>
      </c>
      <c r="G4008" s="1" t="str">
        <f>Ocupacao_DW[[#This Row],[data]]&amp;Ocupacao_DW[[#This Row],[profissional_id]]&amp;Ocupacao_DW[[#This Row],[local_id]]</f>
        <v>446481347946</v>
      </c>
      <c r="H4008" s="1">
        <f>_xlfn.XLOOKUP(Ocupacao_DW[[#This Row],[Concat]],Vagas!$H:$H,Vagas!$D:$D,"",0)</f>
        <v>0</v>
      </c>
    </row>
    <row r="4009" spans="1:8" x14ac:dyDescent="0.25">
      <c r="A4009" s="2">
        <v>44636</v>
      </c>
      <c r="B4009" s="1" t="s">
        <v>65</v>
      </c>
      <c r="C4009">
        <v>13058</v>
      </c>
      <c r="D4009" s="1" t="s">
        <v>256</v>
      </c>
      <c r="E4009" s="1" t="s">
        <v>4</v>
      </c>
      <c r="F4009">
        <v>47</v>
      </c>
      <c r="G4009" s="1" t="str">
        <f>Ocupacao_DW[[#This Row],[data]]&amp;Ocupacao_DW[[#This Row],[profissional_id]]&amp;Ocupacao_DW[[#This Row],[local_id]]</f>
        <v>446361305847</v>
      </c>
      <c r="H4009" s="1">
        <f>_xlfn.XLOOKUP(Ocupacao_DW[[#This Row],[Concat]],Vagas!$H:$H,Vagas!$D:$D,"",0)</f>
        <v>0</v>
      </c>
    </row>
    <row r="4010" spans="1:8" x14ac:dyDescent="0.25">
      <c r="A4010" s="2">
        <v>44643</v>
      </c>
      <c r="B4010" s="1" t="s">
        <v>276</v>
      </c>
      <c r="C4010">
        <v>17883</v>
      </c>
      <c r="D4010" s="1" t="s">
        <v>277</v>
      </c>
      <c r="E4010" s="1" t="s">
        <v>4</v>
      </c>
      <c r="F4010">
        <v>351</v>
      </c>
      <c r="G4010" s="1" t="str">
        <f>Ocupacao_DW[[#This Row],[data]]&amp;Ocupacao_DW[[#This Row],[profissional_id]]&amp;Ocupacao_DW[[#This Row],[local_id]]</f>
        <v>4464317883351</v>
      </c>
      <c r="H4010" s="1">
        <f>_xlfn.XLOOKUP(Ocupacao_DW[[#This Row],[Concat]],Vagas!$H:$H,Vagas!$D:$D,"",0)</f>
        <v>0</v>
      </c>
    </row>
    <row r="4011" spans="1:8" x14ac:dyDescent="0.25">
      <c r="A4011" s="2">
        <v>44652</v>
      </c>
      <c r="B4011" s="1" t="s">
        <v>52</v>
      </c>
      <c r="C4011">
        <v>57</v>
      </c>
      <c r="D4011" s="1" t="s">
        <v>169</v>
      </c>
      <c r="E4011" s="1" t="s">
        <v>6</v>
      </c>
      <c r="F4011">
        <v>8</v>
      </c>
      <c r="G4011" s="1" t="str">
        <f>Ocupacao_DW[[#This Row],[data]]&amp;Ocupacao_DW[[#This Row],[profissional_id]]&amp;Ocupacao_DW[[#This Row],[local_id]]</f>
        <v>44652578</v>
      </c>
      <c r="H4011" s="1">
        <f>_xlfn.XLOOKUP(Ocupacao_DW[[#This Row],[Concat]],Vagas!$H:$H,Vagas!$D:$D,"",0)</f>
        <v>0</v>
      </c>
    </row>
    <row r="4012" spans="1:8" x14ac:dyDescent="0.25">
      <c r="A4012" s="2">
        <v>44642</v>
      </c>
      <c r="B4012" s="1" t="s">
        <v>68</v>
      </c>
      <c r="C4012">
        <v>8239</v>
      </c>
      <c r="D4012" s="1" t="s">
        <v>257</v>
      </c>
      <c r="E4012" s="1" t="s">
        <v>5</v>
      </c>
      <c r="F4012">
        <v>14</v>
      </c>
      <c r="G4012" s="1" t="str">
        <f>Ocupacao_DW[[#This Row],[data]]&amp;Ocupacao_DW[[#This Row],[profissional_id]]&amp;Ocupacao_DW[[#This Row],[local_id]]</f>
        <v>44642823914</v>
      </c>
      <c r="H4012" s="1">
        <f>_xlfn.XLOOKUP(Ocupacao_DW[[#This Row],[Concat]],Vagas!$H:$H,Vagas!$D:$D,"",0)</f>
        <v>0</v>
      </c>
    </row>
    <row r="4013" spans="1:8" x14ac:dyDescent="0.25">
      <c r="A4013" s="2">
        <v>44651</v>
      </c>
      <c r="B4013" s="1" t="s">
        <v>50</v>
      </c>
      <c r="C4013">
        <v>4814</v>
      </c>
      <c r="D4013" s="1" t="s">
        <v>189</v>
      </c>
      <c r="E4013" s="1" t="s">
        <v>5</v>
      </c>
      <c r="F4013">
        <v>14</v>
      </c>
      <c r="G4013" s="1" t="str">
        <f>Ocupacao_DW[[#This Row],[data]]&amp;Ocupacao_DW[[#This Row],[profissional_id]]&amp;Ocupacao_DW[[#This Row],[local_id]]</f>
        <v>44651481414</v>
      </c>
      <c r="H4013" s="1">
        <f>_xlfn.XLOOKUP(Ocupacao_DW[[#This Row],[Concat]],Vagas!$H:$H,Vagas!$D:$D,"",0)</f>
        <v>0</v>
      </c>
    </row>
    <row r="4014" spans="1:8" x14ac:dyDescent="0.25">
      <c r="A4014" s="2">
        <v>44644</v>
      </c>
      <c r="B4014" s="1" t="s">
        <v>51</v>
      </c>
      <c r="C4014">
        <v>12582</v>
      </c>
      <c r="D4014" s="1" t="s">
        <v>190</v>
      </c>
      <c r="E4014" s="1" t="s">
        <v>5</v>
      </c>
      <c r="F4014">
        <v>15</v>
      </c>
      <c r="G4014" s="1" t="str">
        <f>Ocupacao_DW[[#This Row],[data]]&amp;Ocupacao_DW[[#This Row],[profissional_id]]&amp;Ocupacao_DW[[#This Row],[local_id]]</f>
        <v>446441258215</v>
      </c>
      <c r="H4014" s="1">
        <f>_xlfn.XLOOKUP(Ocupacao_DW[[#This Row],[Concat]],Vagas!$H:$H,Vagas!$D:$D,"",0)</f>
        <v>0</v>
      </c>
    </row>
    <row r="4015" spans="1:8" x14ac:dyDescent="0.25">
      <c r="A4015" s="2">
        <v>44636</v>
      </c>
      <c r="B4015" s="1" t="s">
        <v>65</v>
      </c>
      <c r="C4015">
        <v>13058</v>
      </c>
      <c r="D4015" s="1" t="s">
        <v>256</v>
      </c>
      <c r="E4015" s="1" t="s">
        <v>4</v>
      </c>
      <c r="F4015">
        <v>47</v>
      </c>
      <c r="G4015" s="1" t="str">
        <f>Ocupacao_DW[[#This Row],[data]]&amp;Ocupacao_DW[[#This Row],[profissional_id]]&amp;Ocupacao_DW[[#This Row],[local_id]]</f>
        <v>446361305847</v>
      </c>
      <c r="H4015" s="1">
        <f>_xlfn.XLOOKUP(Ocupacao_DW[[#This Row],[Concat]],Vagas!$H:$H,Vagas!$D:$D,"",0)</f>
        <v>0</v>
      </c>
    </row>
    <row r="4016" spans="1:8" x14ac:dyDescent="0.25">
      <c r="A4016" s="2">
        <v>44643</v>
      </c>
      <c r="B4016" s="1" t="s">
        <v>276</v>
      </c>
      <c r="C4016">
        <v>17883</v>
      </c>
      <c r="D4016" s="1" t="s">
        <v>277</v>
      </c>
      <c r="E4016" s="1" t="s">
        <v>4</v>
      </c>
      <c r="F4016">
        <v>351</v>
      </c>
      <c r="G4016" s="1" t="str">
        <f>Ocupacao_DW[[#This Row],[data]]&amp;Ocupacao_DW[[#This Row],[profissional_id]]&amp;Ocupacao_DW[[#This Row],[local_id]]</f>
        <v>4464317883351</v>
      </c>
      <c r="H4016" s="1">
        <f>_xlfn.XLOOKUP(Ocupacao_DW[[#This Row],[Concat]],Vagas!$H:$H,Vagas!$D:$D,"",0)</f>
        <v>0</v>
      </c>
    </row>
    <row r="4017" spans="1:8" x14ac:dyDescent="0.25">
      <c r="A4017" s="2">
        <v>44639</v>
      </c>
      <c r="B4017" s="1" t="s">
        <v>54</v>
      </c>
      <c r="C4017">
        <v>70</v>
      </c>
      <c r="D4017" s="1" t="s">
        <v>187</v>
      </c>
      <c r="E4017" s="1" t="s">
        <v>5</v>
      </c>
      <c r="F4017">
        <v>13</v>
      </c>
      <c r="G4017" s="1" t="str">
        <f>Ocupacao_DW[[#This Row],[data]]&amp;Ocupacao_DW[[#This Row],[profissional_id]]&amp;Ocupacao_DW[[#This Row],[local_id]]</f>
        <v>446397013</v>
      </c>
      <c r="H4017" s="1">
        <f>_xlfn.XLOOKUP(Ocupacao_DW[[#This Row],[Concat]],Vagas!$H:$H,Vagas!$D:$D,"",0)</f>
        <v>0</v>
      </c>
    </row>
    <row r="4018" spans="1:8" x14ac:dyDescent="0.25">
      <c r="A4018" s="2">
        <v>44641</v>
      </c>
      <c r="B4018" s="1" t="s">
        <v>62</v>
      </c>
      <c r="C4018">
        <v>2567</v>
      </c>
      <c r="D4018" s="1" t="s">
        <v>198</v>
      </c>
      <c r="E4018" s="1" t="s">
        <v>5</v>
      </c>
      <c r="F4018">
        <v>18</v>
      </c>
      <c r="G4018" s="1" t="str">
        <f>Ocupacao_DW[[#This Row],[data]]&amp;Ocupacao_DW[[#This Row],[profissional_id]]&amp;Ocupacao_DW[[#This Row],[local_id]]</f>
        <v>44641256718</v>
      </c>
      <c r="H4018" s="1">
        <f>_xlfn.XLOOKUP(Ocupacao_DW[[#This Row],[Concat]],Vagas!$H:$H,Vagas!$D:$D,"",0)</f>
        <v>0</v>
      </c>
    </row>
    <row r="4019" spans="1:8" x14ac:dyDescent="0.25">
      <c r="A4019" s="2">
        <v>44635</v>
      </c>
      <c r="B4019" s="1" t="s">
        <v>67</v>
      </c>
      <c r="C4019">
        <v>7290</v>
      </c>
      <c r="D4019" s="1" t="s">
        <v>247</v>
      </c>
      <c r="E4019" s="1" t="s">
        <v>5</v>
      </c>
      <c r="F4019">
        <v>18</v>
      </c>
      <c r="G4019" s="1" t="str">
        <f>Ocupacao_DW[[#This Row],[data]]&amp;Ocupacao_DW[[#This Row],[profissional_id]]&amp;Ocupacao_DW[[#This Row],[local_id]]</f>
        <v>44635729018</v>
      </c>
      <c r="H4019" s="1">
        <f>_xlfn.XLOOKUP(Ocupacao_DW[[#This Row],[Concat]],Vagas!$H:$H,Vagas!$D:$D,"",0)</f>
        <v>0</v>
      </c>
    </row>
    <row r="4020" spans="1:8" x14ac:dyDescent="0.25">
      <c r="A4020" s="2">
        <v>44635</v>
      </c>
      <c r="B4020" s="1" t="s">
        <v>71</v>
      </c>
      <c r="C4020">
        <v>282</v>
      </c>
      <c r="D4020" s="1" t="s">
        <v>210</v>
      </c>
      <c r="E4020" s="1" t="s">
        <v>4</v>
      </c>
      <c r="F4020">
        <v>48</v>
      </c>
      <c r="G4020" s="1" t="str">
        <f>Ocupacao_DW[[#This Row],[data]]&amp;Ocupacao_DW[[#This Row],[profissional_id]]&amp;Ocupacao_DW[[#This Row],[local_id]]</f>
        <v>4463528248</v>
      </c>
      <c r="H4020" s="1">
        <f>_xlfn.XLOOKUP(Ocupacao_DW[[#This Row],[Concat]],Vagas!$H:$H,Vagas!$D:$D,"",0)</f>
        <v>0</v>
      </c>
    </row>
    <row r="4021" spans="1:8" x14ac:dyDescent="0.25">
      <c r="A4021" s="2">
        <v>44637</v>
      </c>
      <c r="B4021" s="1" t="s">
        <v>49</v>
      </c>
      <c r="C4021">
        <v>266</v>
      </c>
      <c r="D4021" s="1" t="s">
        <v>201</v>
      </c>
      <c r="E4021" s="1" t="s">
        <v>4</v>
      </c>
      <c r="F4021">
        <v>42</v>
      </c>
      <c r="G4021" s="1" t="str">
        <f>Ocupacao_DW[[#This Row],[data]]&amp;Ocupacao_DW[[#This Row],[profissional_id]]&amp;Ocupacao_DW[[#This Row],[local_id]]</f>
        <v>4463726642</v>
      </c>
      <c r="H4021" s="1">
        <f>_xlfn.XLOOKUP(Ocupacao_DW[[#This Row],[Concat]],Vagas!$H:$H,Vagas!$D:$D,"",0)</f>
        <v>0</v>
      </c>
    </row>
    <row r="4022" spans="1:8" x14ac:dyDescent="0.25">
      <c r="A4022" s="2">
        <v>44657</v>
      </c>
      <c r="B4022" s="1" t="s">
        <v>70</v>
      </c>
      <c r="C4022">
        <v>12825</v>
      </c>
      <c r="D4022" s="1" t="s">
        <v>177</v>
      </c>
      <c r="E4022" s="1" t="s">
        <v>4</v>
      </c>
      <c r="F4022">
        <v>45</v>
      </c>
      <c r="G4022" s="1" t="str">
        <f>Ocupacao_DW[[#This Row],[data]]&amp;Ocupacao_DW[[#This Row],[profissional_id]]&amp;Ocupacao_DW[[#This Row],[local_id]]</f>
        <v>446571282545</v>
      </c>
      <c r="H4022" s="1">
        <f>_xlfn.XLOOKUP(Ocupacao_DW[[#This Row],[Concat]],Vagas!$H:$H,Vagas!$D:$D,"",0)</f>
        <v>0</v>
      </c>
    </row>
    <row r="4023" spans="1:8" x14ac:dyDescent="0.25">
      <c r="A4023" s="2">
        <v>44643</v>
      </c>
      <c r="B4023" s="1" t="s">
        <v>52</v>
      </c>
      <c r="C4023">
        <v>10691</v>
      </c>
      <c r="D4023" s="1" t="s">
        <v>181</v>
      </c>
      <c r="E4023" s="1" t="s">
        <v>6</v>
      </c>
      <c r="F4023">
        <v>9</v>
      </c>
      <c r="G4023" s="1" t="str">
        <f>Ocupacao_DW[[#This Row],[data]]&amp;Ocupacao_DW[[#This Row],[profissional_id]]&amp;Ocupacao_DW[[#This Row],[local_id]]</f>
        <v>44643106919</v>
      </c>
      <c r="H4023" s="1">
        <f>_xlfn.XLOOKUP(Ocupacao_DW[[#This Row],[Concat]],Vagas!$H:$H,Vagas!$D:$D,"",0)</f>
        <v>0</v>
      </c>
    </row>
    <row r="4024" spans="1:8" x14ac:dyDescent="0.25">
      <c r="A4024" s="2">
        <v>44637</v>
      </c>
      <c r="B4024" s="1" t="s">
        <v>50</v>
      </c>
      <c r="C4024">
        <v>4814</v>
      </c>
      <c r="D4024" s="1" t="s">
        <v>189</v>
      </c>
      <c r="E4024" s="1" t="s">
        <v>5</v>
      </c>
      <c r="F4024">
        <v>14</v>
      </c>
      <c r="G4024" s="1" t="str">
        <f>Ocupacao_DW[[#This Row],[data]]&amp;Ocupacao_DW[[#This Row],[profissional_id]]&amp;Ocupacao_DW[[#This Row],[local_id]]</f>
        <v>44637481414</v>
      </c>
      <c r="H4024" s="1">
        <f>_xlfn.XLOOKUP(Ocupacao_DW[[#This Row],[Concat]],Vagas!$H:$H,Vagas!$D:$D,"",0)</f>
        <v>0</v>
      </c>
    </row>
    <row r="4025" spans="1:8" x14ac:dyDescent="0.25">
      <c r="A4025" s="2">
        <v>44638</v>
      </c>
      <c r="B4025" s="1" t="s">
        <v>53</v>
      </c>
      <c r="C4025">
        <v>9138</v>
      </c>
      <c r="D4025" s="1" t="s">
        <v>184</v>
      </c>
      <c r="E4025" s="1" t="s">
        <v>167</v>
      </c>
      <c r="F4025">
        <v>344</v>
      </c>
      <c r="G4025" s="1" t="str">
        <f>Ocupacao_DW[[#This Row],[data]]&amp;Ocupacao_DW[[#This Row],[profissional_id]]&amp;Ocupacao_DW[[#This Row],[local_id]]</f>
        <v>446389138344</v>
      </c>
      <c r="H4025" s="1">
        <f>_xlfn.XLOOKUP(Ocupacao_DW[[#This Row],[Concat]],Vagas!$H:$H,Vagas!$D:$D,"",0)</f>
        <v>0</v>
      </c>
    </row>
    <row r="4026" spans="1:8" x14ac:dyDescent="0.25">
      <c r="A4026" s="2">
        <v>44649</v>
      </c>
      <c r="B4026" s="1" t="s">
        <v>70</v>
      </c>
      <c r="C4026">
        <v>14237</v>
      </c>
      <c r="D4026" s="1" t="s">
        <v>186</v>
      </c>
      <c r="E4026" s="1" t="s">
        <v>4</v>
      </c>
      <c r="F4026">
        <v>47</v>
      </c>
      <c r="G4026" s="1" t="str">
        <f>Ocupacao_DW[[#This Row],[data]]&amp;Ocupacao_DW[[#This Row],[profissional_id]]&amp;Ocupacao_DW[[#This Row],[local_id]]</f>
        <v>446491423747</v>
      </c>
      <c r="H4026" s="1">
        <f>_xlfn.XLOOKUP(Ocupacao_DW[[#This Row],[Concat]],Vagas!$H:$H,Vagas!$D:$D,"",0)</f>
        <v>0</v>
      </c>
    </row>
    <row r="4027" spans="1:8" x14ac:dyDescent="0.25">
      <c r="A4027" s="2">
        <v>44638</v>
      </c>
      <c r="B4027" s="1" t="s">
        <v>276</v>
      </c>
      <c r="C4027">
        <v>17937</v>
      </c>
      <c r="D4027" s="1" t="s">
        <v>297</v>
      </c>
      <c r="E4027" s="1" t="s">
        <v>4</v>
      </c>
      <c r="F4027">
        <v>351</v>
      </c>
      <c r="G4027" s="1" t="str">
        <f>Ocupacao_DW[[#This Row],[data]]&amp;Ocupacao_DW[[#This Row],[profissional_id]]&amp;Ocupacao_DW[[#This Row],[local_id]]</f>
        <v>4463817937351</v>
      </c>
      <c r="H4027" s="1" t="str">
        <f>_xlfn.XLOOKUP(Ocupacao_DW[[#This Row],[Concat]],Vagas!$H:$H,Vagas!$D:$D,"",0)</f>
        <v/>
      </c>
    </row>
    <row r="4028" spans="1:8" x14ac:dyDescent="0.25">
      <c r="A4028" s="2">
        <v>44636</v>
      </c>
      <c r="B4028" s="1" t="s">
        <v>64</v>
      </c>
      <c r="C4028">
        <v>531</v>
      </c>
      <c r="D4028" s="1" t="s">
        <v>213</v>
      </c>
      <c r="E4028" s="1" t="s">
        <v>5</v>
      </c>
      <c r="F4028">
        <v>12</v>
      </c>
      <c r="G4028" s="1" t="str">
        <f>Ocupacao_DW[[#This Row],[data]]&amp;Ocupacao_DW[[#This Row],[profissional_id]]&amp;Ocupacao_DW[[#This Row],[local_id]]</f>
        <v>4463653112</v>
      </c>
      <c r="H4028" s="1">
        <f>_xlfn.XLOOKUP(Ocupacao_DW[[#This Row],[Concat]],Vagas!$H:$H,Vagas!$D:$D,"",0)</f>
        <v>0</v>
      </c>
    </row>
    <row r="4029" spans="1:8" x14ac:dyDescent="0.25">
      <c r="A4029" s="2">
        <v>44635</v>
      </c>
      <c r="B4029" s="1" t="s">
        <v>64</v>
      </c>
      <c r="C4029">
        <v>85</v>
      </c>
      <c r="D4029" s="1" t="s">
        <v>211</v>
      </c>
      <c r="E4029" s="1" t="s">
        <v>5</v>
      </c>
      <c r="F4029">
        <v>349</v>
      </c>
      <c r="G4029" s="1" t="str">
        <f>Ocupacao_DW[[#This Row],[data]]&amp;Ocupacao_DW[[#This Row],[profissional_id]]&amp;Ocupacao_DW[[#This Row],[local_id]]</f>
        <v>4463585349</v>
      </c>
      <c r="H4029" s="1">
        <f>_xlfn.XLOOKUP(Ocupacao_DW[[#This Row],[Concat]],Vagas!$H:$H,Vagas!$D:$D,"",0)</f>
        <v>0</v>
      </c>
    </row>
    <row r="4030" spans="1:8" x14ac:dyDescent="0.25">
      <c r="A4030" s="2">
        <v>44635</v>
      </c>
      <c r="B4030" s="1" t="s">
        <v>65</v>
      </c>
      <c r="C4030">
        <v>11652</v>
      </c>
      <c r="D4030" s="1" t="s">
        <v>242</v>
      </c>
      <c r="E4030" s="1" t="s">
        <v>4</v>
      </c>
      <c r="F4030">
        <v>47</v>
      </c>
      <c r="G4030" s="1" t="str">
        <f>Ocupacao_DW[[#This Row],[data]]&amp;Ocupacao_DW[[#This Row],[profissional_id]]&amp;Ocupacao_DW[[#This Row],[local_id]]</f>
        <v>446351165247</v>
      </c>
      <c r="H4030" s="1">
        <f>_xlfn.XLOOKUP(Ocupacao_DW[[#This Row],[Concat]],Vagas!$H:$H,Vagas!$D:$D,"",0)</f>
        <v>0</v>
      </c>
    </row>
    <row r="4031" spans="1:8" x14ac:dyDescent="0.25">
      <c r="A4031" s="2">
        <v>44638</v>
      </c>
      <c r="B4031" s="1" t="s">
        <v>64</v>
      </c>
      <c r="C4031">
        <v>86</v>
      </c>
      <c r="D4031" s="1" t="s">
        <v>175</v>
      </c>
      <c r="E4031" s="1" t="s">
        <v>5</v>
      </c>
      <c r="F4031">
        <v>349</v>
      </c>
      <c r="G4031" s="1" t="str">
        <f>Ocupacao_DW[[#This Row],[data]]&amp;Ocupacao_DW[[#This Row],[profissional_id]]&amp;Ocupacao_DW[[#This Row],[local_id]]</f>
        <v>4463886349</v>
      </c>
      <c r="H4031" s="1">
        <f>_xlfn.XLOOKUP(Ocupacao_DW[[#This Row],[Concat]],Vagas!$H:$H,Vagas!$D:$D,"",0)</f>
        <v>0</v>
      </c>
    </row>
    <row r="4032" spans="1:8" x14ac:dyDescent="0.25">
      <c r="A4032" s="2">
        <v>44638</v>
      </c>
      <c r="B4032" s="1" t="s">
        <v>56</v>
      </c>
      <c r="C4032">
        <v>5927</v>
      </c>
      <c r="D4032" s="1" t="s">
        <v>226</v>
      </c>
      <c r="E4032" s="1" t="s">
        <v>5</v>
      </c>
      <c r="F4032">
        <v>17</v>
      </c>
      <c r="G4032" s="1" t="str">
        <f>Ocupacao_DW[[#This Row],[data]]&amp;Ocupacao_DW[[#This Row],[profissional_id]]&amp;Ocupacao_DW[[#This Row],[local_id]]</f>
        <v>44638592717</v>
      </c>
      <c r="H4032" s="1">
        <f>_xlfn.XLOOKUP(Ocupacao_DW[[#This Row],[Concat]],Vagas!$H:$H,Vagas!$D:$D,"",0)</f>
        <v>0</v>
      </c>
    </row>
    <row r="4033" spans="1:8" x14ac:dyDescent="0.25">
      <c r="A4033" s="2">
        <v>44640</v>
      </c>
      <c r="B4033" s="1" t="s">
        <v>66</v>
      </c>
      <c r="C4033">
        <v>97</v>
      </c>
      <c r="D4033" s="1" t="s">
        <v>243</v>
      </c>
      <c r="E4033" s="1" t="s">
        <v>167</v>
      </c>
      <c r="F4033">
        <v>342</v>
      </c>
      <c r="G4033" s="1" t="str">
        <f>Ocupacao_DW[[#This Row],[data]]&amp;Ocupacao_DW[[#This Row],[profissional_id]]&amp;Ocupacao_DW[[#This Row],[local_id]]</f>
        <v>4464097342</v>
      </c>
      <c r="H4033" s="1">
        <f>_xlfn.XLOOKUP(Ocupacao_DW[[#This Row],[Concat]],Vagas!$H:$H,Vagas!$D:$D,"",0)</f>
        <v>0</v>
      </c>
    </row>
    <row r="4034" spans="1:8" x14ac:dyDescent="0.25">
      <c r="A4034" s="2">
        <v>44652</v>
      </c>
      <c r="B4034" s="1" t="s">
        <v>52</v>
      </c>
      <c r="C4034">
        <v>10691</v>
      </c>
      <c r="D4034" s="1" t="s">
        <v>181</v>
      </c>
      <c r="E4034" s="1" t="s">
        <v>200</v>
      </c>
      <c r="F4034">
        <v>78</v>
      </c>
      <c r="G4034" s="1" t="str">
        <f>Ocupacao_DW[[#This Row],[data]]&amp;Ocupacao_DW[[#This Row],[profissional_id]]&amp;Ocupacao_DW[[#This Row],[local_id]]</f>
        <v>446521069178</v>
      </c>
      <c r="H4034" s="1">
        <f>_xlfn.XLOOKUP(Ocupacao_DW[[#This Row],[Concat]],Vagas!$H:$H,Vagas!$D:$D,"",0)</f>
        <v>0</v>
      </c>
    </row>
    <row r="4035" spans="1:8" x14ac:dyDescent="0.25">
      <c r="A4035" s="2">
        <v>44635</v>
      </c>
      <c r="B4035" s="1" t="s">
        <v>67</v>
      </c>
      <c r="C4035">
        <v>7290</v>
      </c>
      <c r="D4035" s="1" t="s">
        <v>247</v>
      </c>
      <c r="E4035" s="1" t="s">
        <v>5</v>
      </c>
      <c r="F4035">
        <v>18</v>
      </c>
      <c r="G4035" s="1" t="str">
        <f>Ocupacao_DW[[#This Row],[data]]&amp;Ocupacao_DW[[#This Row],[profissional_id]]&amp;Ocupacao_DW[[#This Row],[local_id]]</f>
        <v>44635729018</v>
      </c>
      <c r="H4035" s="1">
        <f>_xlfn.XLOOKUP(Ocupacao_DW[[#This Row],[Concat]],Vagas!$H:$H,Vagas!$D:$D,"",0)</f>
        <v>0</v>
      </c>
    </row>
    <row r="4036" spans="1:8" x14ac:dyDescent="0.25">
      <c r="A4036" s="2">
        <v>44635</v>
      </c>
      <c r="B4036" s="1" t="s">
        <v>65</v>
      </c>
      <c r="C4036">
        <v>11237</v>
      </c>
      <c r="D4036" s="1" t="s">
        <v>229</v>
      </c>
      <c r="E4036" s="1" t="s">
        <v>4</v>
      </c>
      <c r="F4036">
        <v>46</v>
      </c>
      <c r="G4036" s="1" t="str">
        <f>Ocupacao_DW[[#This Row],[data]]&amp;Ocupacao_DW[[#This Row],[profissional_id]]&amp;Ocupacao_DW[[#This Row],[local_id]]</f>
        <v>446351123746</v>
      </c>
      <c r="H4036" s="1">
        <f>_xlfn.XLOOKUP(Ocupacao_DW[[#This Row],[Concat]],Vagas!$H:$H,Vagas!$D:$D,"",0)</f>
        <v>0</v>
      </c>
    </row>
    <row r="4037" spans="1:8" x14ac:dyDescent="0.25">
      <c r="A4037" s="2">
        <v>44646</v>
      </c>
      <c r="B4037" s="1" t="s">
        <v>47</v>
      </c>
      <c r="C4037">
        <v>111</v>
      </c>
      <c r="D4037" s="1" t="s">
        <v>199</v>
      </c>
      <c r="E4037" s="1" t="s">
        <v>4</v>
      </c>
      <c r="F4037">
        <v>51</v>
      </c>
      <c r="G4037" s="1" t="str">
        <f>Ocupacao_DW[[#This Row],[data]]&amp;Ocupacao_DW[[#This Row],[profissional_id]]&amp;Ocupacao_DW[[#This Row],[local_id]]</f>
        <v>4464611151</v>
      </c>
      <c r="H4037" s="1">
        <f>_xlfn.XLOOKUP(Ocupacao_DW[[#This Row],[Concat]],Vagas!$H:$H,Vagas!$D:$D,"",0)</f>
        <v>31</v>
      </c>
    </row>
    <row r="4038" spans="1:8" x14ac:dyDescent="0.25">
      <c r="A4038" s="2">
        <v>44636</v>
      </c>
      <c r="B4038" s="1" t="s">
        <v>66</v>
      </c>
      <c r="C4038">
        <v>1343</v>
      </c>
      <c r="D4038" s="1" t="s">
        <v>263</v>
      </c>
      <c r="E4038" s="1" t="s">
        <v>167</v>
      </c>
      <c r="F4038">
        <v>342</v>
      </c>
      <c r="G4038" s="1" t="str">
        <f>Ocupacao_DW[[#This Row],[data]]&amp;Ocupacao_DW[[#This Row],[profissional_id]]&amp;Ocupacao_DW[[#This Row],[local_id]]</f>
        <v>446361343342</v>
      </c>
      <c r="H4038" s="1">
        <f>_xlfn.XLOOKUP(Ocupacao_DW[[#This Row],[Concat]],Vagas!$H:$H,Vagas!$D:$D,"",0)</f>
        <v>0</v>
      </c>
    </row>
    <row r="4039" spans="1:8" x14ac:dyDescent="0.25">
      <c r="A4039" s="2">
        <v>44641</v>
      </c>
      <c r="B4039" s="1" t="s">
        <v>52</v>
      </c>
      <c r="C4039">
        <v>10595</v>
      </c>
      <c r="D4039" s="1" t="s">
        <v>218</v>
      </c>
      <c r="E4039" s="1" t="s">
        <v>200</v>
      </c>
      <c r="F4039">
        <v>78</v>
      </c>
      <c r="G4039" s="1" t="str">
        <f>Ocupacao_DW[[#This Row],[data]]&amp;Ocupacao_DW[[#This Row],[profissional_id]]&amp;Ocupacao_DW[[#This Row],[local_id]]</f>
        <v>446411059578</v>
      </c>
      <c r="H4039" s="1">
        <f>_xlfn.XLOOKUP(Ocupacao_DW[[#This Row],[Concat]],Vagas!$H:$H,Vagas!$D:$D,"",0)</f>
        <v>0</v>
      </c>
    </row>
    <row r="4040" spans="1:8" x14ac:dyDescent="0.25">
      <c r="A4040" s="2">
        <v>44635</v>
      </c>
      <c r="B4040" s="1" t="s">
        <v>66</v>
      </c>
      <c r="C4040">
        <v>100</v>
      </c>
      <c r="D4040" s="1" t="s">
        <v>166</v>
      </c>
      <c r="E4040" s="1" t="s">
        <v>167</v>
      </c>
      <c r="F4040">
        <v>342</v>
      </c>
      <c r="G4040" s="1" t="str">
        <f>Ocupacao_DW[[#This Row],[data]]&amp;Ocupacao_DW[[#This Row],[profissional_id]]&amp;Ocupacao_DW[[#This Row],[local_id]]</f>
        <v>44635100342</v>
      </c>
      <c r="H4040" s="1">
        <f>_xlfn.XLOOKUP(Ocupacao_DW[[#This Row],[Concat]],Vagas!$H:$H,Vagas!$D:$D,"",0)</f>
        <v>0</v>
      </c>
    </row>
    <row r="4041" spans="1:8" x14ac:dyDescent="0.25">
      <c r="A4041" s="2">
        <v>44648</v>
      </c>
      <c r="B4041" s="1" t="s">
        <v>55</v>
      </c>
      <c r="C4041">
        <v>60</v>
      </c>
      <c r="D4041" s="1" t="s">
        <v>217</v>
      </c>
      <c r="E4041" s="1" t="s">
        <v>7</v>
      </c>
      <c r="F4041">
        <v>66</v>
      </c>
      <c r="G4041" s="1" t="str">
        <f>Ocupacao_DW[[#This Row],[data]]&amp;Ocupacao_DW[[#This Row],[profissional_id]]&amp;Ocupacao_DW[[#This Row],[local_id]]</f>
        <v>446486066</v>
      </c>
      <c r="H4041" s="1">
        <f>_xlfn.XLOOKUP(Ocupacao_DW[[#This Row],[Concat]],Vagas!$H:$H,Vagas!$D:$D,"",0)</f>
        <v>0</v>
      </c>
    </row>
    <row r="4042" spans="1:8" x14ac:dyDescent="0.25">
      <c r="A4042" s="2">
        <v>44636</v>
      </c>
      <c r="B4042" s="1" t="s">
        <v>62</v>
      </c>
      <c r="C4042">
        <v>2567</v>
      </c>
      <c r="D4042" s="1" t="s">
        <v>198</v>
      </c>
      <c r="E4042" s="1" t="s">
        <v>5</v>
      </c>
      <c r="F4042">
        <v>349</v>
      </c>
      <c r="G4042" s="1" t="str">
        <f>Ocupacao_DW[[#This Row],[data]]&amp;Ocupacao_DW[[#This Row],[profissional_id]]&amp;Ocupacao_DW[[#This Row],[local_id]]</f>
        <v>446362567349</v>
      </c>
      <c r="H4042" s="1">
        <f>_xlfn.XLOOKUP(Ocupacao_DW[[#This Row],[Concat]],Vagas!$H:$H,Vagas!$D:$D,"",0)</f>
        <v>0</v>
      </c>
    </row>
    <row r="4043" spans="1:8" x14ac:dyDescent="0.25">
      <c r="A4043" s="2">
        <v>44641</v>
      </c>
      <c r="B4043" s="1" t="s">
        <v>56</v>
      </c>
      <c r="C4043">
        <v>75</v>
      </c>
      <c r="D4043" s="1" t="s">
        <v>208</v>
      </c>
      <c r="E4043" s="1" t="s">
        <v>5</v>
      </c>
      <c r="F4043">
        <v>15</v>
      </c>
      <c r="G4043" s="1" t="str">
        <f>Ocupacao_DW[[#This Row],[data]]&amp;Ocupacao_DW[[#This Row],[profissional_id]]&amp;Ocupacao_DW[[#This Row],[local_id]]</f>
        <v>446417515</v>
      </c>
      <c r="H4043" s="1">
        <f>_xlfn.XLOOKUP(Ocupacao_DW[[#This Row],[Concat]],Vagas!$H:$H,Vagas!$D:$D,"",0)</f>
        <v>0</v>
      </c>
    </row>
    <row r="4044" spans="1:8" x14ac:dyDescent="0.25">
      <c r="A4044" s="2">
        <v>44641</v>
      </c>
      <c r="B4044" s="1" t="s">
        <v>56</v>
      </c>
      <c r="C4044">
        <v>75</v>
      </c>
      <c r="D4044" s="1" t="s">
        <v>208</v>
      </c>
      <c r="E4044" s="1" t="s">
        <v>5</v>
      </c>
      <c r="F4044">
        <v>15</v>
      </c>
      <c r="G4044" s="1" t="str">
        <f>Ocupacao_DW[[#This Row],[data]]&amp;Ocupacao_DW[[#This Row],[profissional_id]]&amp;Ocupacao_DW[[#This Row],[local_id]]</f>
        <v>446417515</v>
      </c>
      <c r="H4044" s="1">
        <f>_xlfn.XLOOKUP(Ocupacao_DW[[#This Row],[Concat]],Vagas!$H:$H,Vagas!$D:$D,"",0)</f>
        <v>0</v>
      </c>
    </row>
    <row r="4045" spans="1:8" x14ac:dyDescent="0.25">
      <c r="A4045" s="2">
        <v>44643</v>
      </c>
      <c r="B4045" s="1" t="s">
        <v>47</v>
      </c>
      <c r="C4045">
        <v>110</v>
      </c>
      <c r="D4045" s="1" t="s">
        <v>193</v>
      </c>
      <c r="E4045" s="1" t="s">
        <v>4</v>
      </c>
      <c r="F4045">
        <v>334</v>
      </c>
      <c r="G4045" s="1" t="str">
        <f>Ocupacao_DW[[#This Row],[data]]&amp;Ocupacao_DW[[#This Row],[profissional_id]]&amp;Ocupacao_DW[[#This Row],[local_id]]</f>
        <v>44643110334</v>
      </c>
      <c r="H4045" s="1">
        <f>_xlfn.XLOOKUP(Ocupacao_DW[[#This Row],[Concat]],Vagas!$H:$H,Vagas!$D:$D,"",0)</f>
        <v>0</v>
      </c>
    </row>
    <row r="4046" spans="1:8" x14ac:dyDescent="0.25">
      <c r="A4046" s="2">
        <v>44638</v>
      </c>
      <c r="B4046" s="1" t="s">
        <v>52</v>
      </c>
      <c r="C4046">
        <v>60</v>
      </c>
      <c r="D4046" s="1" t="s">
        <v>217</v>
      </c>
      <c r="E4046" s="1" t="s">
        <v>167</v>
      </c>
      <c r="F4046">
        <v>348</v>
      </c>
      <c r="G4046" s="1" t="str">
        <f>Ocupacao_DW[[#This Row],[data]]&amp;Ocupacao_DW[[#This Row],[profissional_id]]&amp;Ocupacao_DW[[#This Row],[local_id]]</f>
        <v>4463860348</v>
      </c>
      <c r="H4046" s="1">
        <f>_xlfn.XLOOKUP(Ocupacao_DW[[#This Row],[Concat]],Vagas!$H:$H,Vagas!$D:$D,"",0)</f>
        <v>0</v>
      </c>
    </row>
    <row r="4047" spans="1:8" x14ac:dyDescent="0.25">
      <c r="A4047" s="2">
        <v>44644</v>
      </c>
      <c r="B4047" s="1" t="s">
        <v>49</v>
      </c>
      <c r="C4047">
        <v>3092</v>
      </c>
      <c r="D4047" s="1" t="s">
        <v>262</v>
      </c>
      <c r="E4047" s="1" t="s">
        <v>4</v>
      </c>
      <c r="F4047">
        <v>43</v>
      </c>
      <c r="G4047" s="1" t="str">
        <f>Ocupacao_DW[[#This Row],[data]]&amp;Ocupacao_DW[[#This Row],[profissional_id]]&amp;Ocupacao_DW[[#This Row],[local_id]]</f>
        <v>44644309243</v>
      </c>
      <c r="H4047" s="1">
        <f>_xlfn.XLOOKUP(Ocupacao_DW[[#This Row],[Concat]],Vagas!$H:$H,Vagas!$D:$D,"",0)</f>
        <v>0</v>
      </c>
    </row>
    <row r="4048" spans="1:8" x14ac:dyDescent="0.25">
      <c r="A4048" s="2">
        <v>44649</v>
      </c>
      <c r="B4048" s="1" t="s">
        <v>49</v>
      </c>
      <c r="C4048">
        <v>81</v>
      </c>
      <c r="D4048" s="1" t="s">
        <v>170</v>
      </c>
      <c r="E4048" s="1" t="s">
        <v>7</v>
      </c>
      <c r="F4048">
        <v>71</v>
      </c>
      <c r="G4048" s="1" t="str">
        <f>Ocupacao_DW[[#This Row],[data]]&amp;Ocupacao_DW[[#This Row],[profissional_id]]&amp;Ocupacao_DW[[#This Row],[local_id]]</f>
        <v>446498171</v>
      </c>
      <c r="H4048" s="1">
        <f>_xlfn.XLOOKUP(Ocupacao_DW[[#This Row],[Concat]],Vagas!$H:$H,Vagas!$D:$D,"",0)</f>
        <v>0</v>
      </c>
    </row>
    <row r="4049" spans="1:8" x14ac:dyDescent="0.25">
      <c r="A4049" s="2">
        <v>44636</v>
      </c>
      <c r="B4049" s="1" t="s">
        <v>62</v>
      </c>
      <c r="C4049">
        <v>10799</v>
      </c>
      <c r="D4049" s="1" t="s">
        <v>204</v>
      </c>
      <c r="E4049" s="1" t="s">
        <v>5</v>
      </c>
      <c r="F4049">
        <v>18</v>
      </c>
      <c r="G4049" s="1" t="str">
        <f>Ocupacao_DW[[#This Row],[data]]&amp;Ocupacao_DW[[#This Row],[profissional_id]]&amp;Ocupacao_DW[[#This Row],[local_id]]</f>
        <v>446361079918</v>
      </c>
      <c r="H4049" s="1">
        <f>_xlfn.XLOOKUP(Ocupacao_DW[[#This Row],[Concat]],Vagas!$H:$H,Vagas!$D:$D,"",0)</f>
        <v>0</v>
      </c>
    </row>
    <row r="4050" spans="1:8" x14ac:dyDescent="0.25">
      <c r="A4050" s="2">
        <v>44645</v>
      </c>
      <c r="B4050" s="1" t="s">
        <v>47</v>
      </c>
      <c r="C4050">
        <v>9111</v>
      </c>
      <c r="D4050" s="1" t="s">
        <v>206</v>
      </c>
      <c r="E4050" s="1" t="s">
        <v>4</v>
      </c>
      <c r="F4050">
        <v>51</v>
      </c>
      <c r="G4050" s="1" t="str">
        <f>Ocupacao_DW[[#This Row],[data]]&amp;Ocupacao_DW[[#This Row],[profissional_id]]&amp;Ocupacao_DW[[#This Row],[local_id]]</f>
        <v>44645911151</v>
      </c>
      <c r="H4050" s="1">
        <f>_xlfn.XLOOKUP(Ocupacao_DW[[#This Row],[Concat]],Vagas!$H:$H,Vagas!$D:$D,"",0)</f>
        <v>0</v>
      </c>
    </row>
    <row r="4051" spans="1:8" x14ac:dyDescent="0.25">
      <c r="A4051" s="2">
        <v>44646</v>
      </c>
      <c r="B4051" s="1" t="s">
        <v>49</v>
      </c>
      <c r="C4051">
        <v>13756</v>
      </c>
      <c r="D4051" s="1" t="s">
        <v>202</v>
      </c>
      <c r="E4051" s="1" t="s">
        <v>4</v>
      </c>
      <c r="F4051">
        <v>43</v>
      </c>
      <c r="G4051" s="1" t="str">
        <f>Ocupacao_DW[[#This Row],[data]]&amp;Ocupacao_DW[[#This Row],[profissional_id]]&amp;Ocupacao_DW[[#This Row],[local_id]]</f>
        <v>446461375643</v>
      </c>
      <c r="H4051" s="1">
        <f>_xlfn.XLOOKUP(Ocupacao_DW[[#This Row],[Concat]],Vagas!$H:$H,Vagas!$D:$D,"",0)</f>
        <v>0</v>
      </c>
    </row>
    <row r="4052" spans="1:8" x14ac:dyDescent="0.25">
      <c r="A4052" s="2">
        <v>44648</v>
      </c>
      <c r="B4052" s="1" t="s">
        <v>55</v>
      </c>
      <c r="C4052">
        <v>6392</v>
      </c>
      <c r="D4052" s="1" t="s">
        <v>173</v>
      </c>
      <c r="E4052" s="1" t="s">
        <v>6</v>
      </c>
      <c r="F4052">
        <v>5</v>
      </c>
      <c r="G4052" s="1" t="str">
        <f>Ocupacao_DW[[#This Row],[data]]&amp;Ocupacao_DW[[#This Row],[profissional_id]]&amp;Ocupacao_DW[[#This Row],[local_id]]</f>
        <v>4464863925</v>
      </c>
      <c r="H4052" s="1">
        <f>_xlfn.XLOOKUP(Ocupacao_DW[[#This Row],[Concat]],Vagas!$H:$H,Vagas!$D:$D,"",0)</f>
        <v>0</v>
      </c>
    </row>
    <row r="4053" spans="1:8" x14ac:dyDescent="0.25">
      <c r="A4053" s="2">
        <v>44638</v>
      </c>
      <c r="B4053" s="1" t="s">
        <v>52</v>
      </c>
      <c r="C4053">
        <v>55</v>
      </c>
      <c r="D4053" s="1" t="s">
        <v>244</v>
      </c>
      <c r="E4053" s="1" t="s">
        <v>7</v>
      </c>
      <c r="F4053">
        <v>68</v>
      </c>
      <c r="G4053" s="1" t="str">
        <f>Ocupacao_DW[[#This Row],[data]]&amp;Ocupacao_DW[[#This Row],[profissional_id]]&amp;Ocupacao_DW[[#This Row],[local_id]]</f>
        <v>446385568</v>
      </c>
      <c r="H4053" s="1">
        <f>_xlfn.XLOOKUP(Ocupacao_DW[[#This Row],[Concat]],Vagas!$H:$H,Vagas!$D:$D,"",0)</f>
        <v>0</v>
      </c>
    </row>
    <row r="4054" spans="1:8" x14ac:dyDescent="0.25">
      <c r="A4054" s="2">
        <v>44643</v>
      </c>
      <c r="B4054" s="1" t="s">
        <v>57</v>
      </c>
      <c r="C4054">
        <v>80</v>
      </c>
      <c r="D4054" s="1" t="s">
        <v>179</v>
      </c>
      <c r="E4054" s="1" t="s">
        <v>167</v>
      </c>
      <c r="F4054">
        <v>346</v>
      </c>
      <c r="G4054" s="1" t="str">
        <f>Ocupacao_DW[[#This Row],[data]]&amp;Ocupacao_DW[[#This Row],[profissional_id]]&amp;Ocupacao_DW[[#This Row],[local_id]]</f>
        <v>4464380346</v>
      </c>
      <c r="H4054" s="1">
        <f>_xlfn.XLOOKUP(Ocupacao_DW[[#This Row],[Concat]],Vagas!$H:$H,Vagas!$D:$D,"",0)</f>
        <v>0</v>
      </c>
    </row>
    <row r="4055" spans="1:8" x14ac:dyDescent="0.25">
      <c r="A4055" s="2">
        <v>44638</v>
      </c>
      <c r="B4055" s="1" t="s">
        <v>43</v>
      </c>
      <c r="C4055">
        <v>57</v>
      </c>
      <c r="D4055" s="1" t="s">
        <v>169</v>
      </c>
      <c r="E4055" s="1" t="s">
        <v>6</v>
      </c>
      <c r="F4055">
        <v>2</v>
      </c>
      <c r="G4055" s="1" t="str">
        <f>Ocupacao_DW[[#This Row],[data]]&amp;Ocupacao_DW[[#This Row],[profissional_id]]&amp;Ocupacao_DW[[#This Row],[local_id]]</f>
        <v>44638572</v>
      </c>
      <c r="H4055" s="1">
        <f>_xlfn.XLOOKUP(Ocupacao_DW[[#This Row],[Concat]],Vagas!$H:$H,Vagas!$D:$D,"",0)</f>
        <v>15</v>
      </c>
    </row>
    <row r="4056" spans="1:8" x14ac:dyDescent="0.25">
      <c r="A4056" s="2">
        <v>44638</v>
      </c>
      <c r="B4056" s="1" t="s">
        <v>49</v>
      </c>
      <c r="C4056">
        <v>81</v>
      </c>
      <c r="D4056" s="1" t="s">
        <v>170</v>
      </c>
      <c r="E4056" s="1" t="s">
        <v>4</v>
      </c>
      <c r="F4056">
        <v>41</v>
      </c>
      <c r="G4056" s="1" t="str">
        <f>Ocupacao_DW[[#This Row],[data]]&amp;Ocupacao_DW[[#This Row],[profissional_id]]&amp;Ocupacao_DW[[#This Row],[local_id]]</f>
        <v>446388141</v>
      </c>
      <c r="H4056" s="1">
        <f>_xlfn.XLOOKUP(Ocupacao_DW[[#This Row],[Concat]],Vagas!$H:$H,Vagas!$D:$D,"",0)</f>
        <v>0</v>
      </c>
    </row>
    <row r="4057" spans="1:8" x14ac:dyDescent="0.25">
      <c r="A4057" s="2">
        <v>44636</v>
      </c>
      <c r="B4057" s="1" t="s">
        <v>52</v>
      </c>
      <c r="C4057">
        <v>10691</v>
      </c>
      <c r="D4057" s="1" t="s">
        <v>181</v>
      </c>
      <c r="E4057" s="1" t="s">
        <v>6</v>
      </c>
      <c r="F4057">
        <v>9</v>
      </c>
      <c r="G4057" s="1" t="str">
        <f>Ocupacao_DW[[#This Row],[data]]&amp;Ocupacao_DW[[#This Row],[profissional_id]]&amp;Ocupacao_DW[[#This Row],[local_id]]</f>
        <v>44636106919</v>
      </c>
      <c r="H4057" s="1">
        <f>_xlfn.XLOOKUP(Ocupacao_DW[[#This Row],[Concat]],Vagas!$H:$H,Vagas!$D:$D,"",0)</f>
        <v>0</v>
      </c>
    </row>
    <row r="4058" spans="1:8" x14ac:dyDescent="0.25">
      <c r="A4058" s="2">
        <v>44641</v>
      </c>
      <c r="B4058" s="1" t="s">
        <v>54</v>
      </c>
      <c r="C4058">
        <v>10941</v>
      </c>
      <c r="D4058" s="1" t="s">
        <v>224</v>
      </c>
      <c r="E4058" s="1" t="s">
        <v>7</v>
      </c>
      <c r="F4058">
        <v>67</v>
      </c>
      <c r="G4058" s="1" t="str">
        <f>Ocupacao_DW[[#This Row],[data]]&amp;Ocupacao_DW[[#This Row],[profissional_id]]&amp;Ocupacao_DW[[#This Row],[local_id]]</f>
        <v>446411094167</v>
      </c>
      <c r="H4058" s="1">
        <f>_xlfn.XLOOKUP(Ocupacao_DW[[#This Row],[Concat]],Vagas!$H:$H,Vagas!$D:$D,"",0)</f>
        <v>0</v>
      </c>
    </row>
    <row r="4059" spans="1:8" x14ac:dyDescent="0.25">
      <c r="A4059" s="2">
        <v>44641</v>
      </c>
      <c r="B4059" s="1" t="s">
        <v>49</v>
      </c>
      <c r="C4059">
        <v>6430</v>
      </c>
      <c r="D4059" s="1" t="s">
        <v>188</v>
      </c>
      <c r="E4059" s="1" t="s">
        <v>200</v>
      </c>
      <c r="F4059">
        <v>86</v>
      </c>
      <c r="G4059" s="1" t="str">
        <f>Ocupacao_DW[[#This Row],[data]]&amp;Ocupacao_DW[[#This Row],[profissional_id]]&amp;Ocupacao_DW[[#This Row],[local_id]]</f>
        <v>44641643086</v>
      </c>
      <c r="H4059" s="1">
        <f>_xlfn.XLOOKUP(Ocupacao_DW[[#This Row],[Concat]],Vagas!$H:$H,Vagas!$D:$D,"",0)</f>
        <v>0</v>
      </c>
    </row>
    <row r="4060" spans="1:8" x14ac:dyDescent="0.25">
      <c r="A4060" s="2">
        <v>44635</v>
      </c>
      <c r="B4060" s="1" t="s">
        <v>20</v>
      </c>
      <c r="C4060">
        <v>174</v>
      </c>
      <c r="D4060" s="1" t="s">
        <v>230</v>
      </c>
      <c r="E4060" s="1" t="s">
        <v>167</v>
      </c>
      <c r="F4060">
        <v>24</v>
      </c>
      <c r="G4060" s="1" t="str">
        <f>Ocupacao_DW[[#This Row],[data]]&amp;Ocupacao_DW[[#This Row],[profissional_id]]&amp;Ocupacao_DW[[#This Row],[local_id]]</f>
        <v>4463517424</v>
      </c>
      <c r="H4060" s="1">
        <f>_xlfn.XLOOKUP(Ocupacao_DW[[#This Row],[Concat]],Vagas!$H:$H,Vagas!$D:$D,"",0)</f>
        <v>66</v>
      </c>
    </row>
    <row r="4061" spans="1:8" x14ac:dyDescent="0.25">
      <c r="A4061" s="2">
        <v>44638</v>
      </c>
      <c r="B4061" s="1" t="s">
        <v>49</v>
      </c>
      <c r="C4061">
        <v>81</v>
      </c>
      <c r="D4061" s="1" t="s">
        <v>170</v>
      </c>
      <c r="E4061" s="1" t="s">
        <v>4</v>
      </c>
      <c r="F4061">
        <v>41</v>
      </c>
      <c r="G4061" s="1" t="str">
        <f>Ocupacao_DW[[#This Row],[data]]&amp;Ocupacao_DW[[#This Row],[profissional_id]]&amp;Ocupacao_DW[[#This Row],[local_id]]</f>
        <v>446388141</v>
      </c>
      <c r="H4061" s="1">
        <f>_xlfn.XLOOKUP(Ocupacao_DW[[#This Row],[Concat]],Vagas!$H:$H,Vagas!$D:$D,"",0)</f>
        <v>0</v>
      </c>
    </row>
    <row r="4062" spans="1:8" x14ac:dyDescent="0.25">
      <c r="A4062" s="2">
        <v>44651</v>
      </c>
      <c r="B4062" s="1" t="s">
        <v>70</v>
      </c>
      <c r="C4062">
        <v>12519</v>
      </c>
      <c r="D4062" s="1" t="s">
        <v>176</v>
      </c>
      <c r="E4062" s="1" t="s">
        <v>4</v>
      </c>
      <c r="F4062">
        <v>42</v>
      </c>
      <c r="G4062" s="1" t="str">
        <f>Ocupacao_DW[[#This Row],[data]]&amp;Ocupacao_DW[[#This Row],[profissional_id]]&amp;Ocupacao_DW[[#This Row],[local_id]]</f>
        <v>446511251942</v>
      </c>
      <c r="H4062" s="1">
        <f>_xlfn.XLOOKUP(Ocupacao_DW[[#This Row],[Concat]],Vagas!$H:$H,Vagas!$D:$D,"",0)</f>
        <v>0</v>
      </c>
    </row>
    <row r="4063" spans="1:8" x14ac:dyDescent="0.25">
      <c r="A4063" s="2">
        <v>44635</v>
      </c>
      <c r="B4063" s="1" t="s">
        <v>65</v>
      </c>
      <c r="C4063">
        <v>11652</v>
      </c>
      <c r="D4063" s="1" t="s">
        <v>242</v>
      </c>
      <c r="E4063" s="1" t="s">
        <v>4</v>
      </c>
      <c r="F4063">
        <v>47</v>
      </c>
      <c r="G4063" s="1" t="str">
        <f>Ocupacao_DW[[#This Row],[data]]&amp;Ocupacao_DW[[#This Row],[profissional_id]]&amp;Ocupacao_DW[[#This Row],[local_id]]</f>
        <v>446351165247</v>
      </c>
      <c r="H4063" s="1">
        <f>_xlfn.XLOOKUP(Ocupacao_DW[[#This Row],[Concat]],Vagas!$H:$H,Vagas!$D:$D,"",0)</f>
        <v>0</v>
      </c>
    </row>
    <row r="4064" spans="1:8" x14ac:dyDescent="0.25">
      <c r="A4064" s="2">
        <v>44638</v>
      </c>
      <c r="B4064" s="1" t="s">
        <v>52</v>
      </c>
      <c r="C4064">
        <v>55</v>
      </c>
      <c r="D4064" s="1" t="s">
        <v>244</v>
      </c>
      <c r="E4064" s="1" t="s">
        <v>7</v>
      </c>
      <c r="F4064">
        <v>68</v>
      </c>
      <c r="G4064" s="1" t="str">
        <f>Ocupacao_DW[[#This Row],[data]]&amp;Ocupacao_DW[[#This Row],[profissional_id]]&amp;Ocupacao_DW[[#This Row],[local_id]]</f>
        <v>446385568</v>
      </c>
      <c r="H4064" s="1">
        <f>_xlfn.XLOOKUP(Ocupacao_DW[[#This Row],[Concat]],Vagas!$H:$H,Vagas!$D:$D,"",0)</f>
        <v>0</v>
      </c>
    </row>
    <row r="4065" spans="1:8" x14ac:dyDescent="0.25">
      <c r="A4065" s="2">
        <v>44642</v>
      </c>
      <c r="B4065" s="1" t="s">
        <v>65</v>
      </c>
      <c r="C4065">
        <v>11652</v>
      </c>
      <c r="D4065" s="1" t="s">
        <v>242</v>
      </c>
      <c r="E4065" s="1" t="s">
        <v>4</v>
      </c>
      <c r="F4065">
        <v>47</v>
      </c>
      <c r="G4065" s="1" t="str">
        <f>Ocupacao_DW[[#This Row],[data]]&amp;Ocupacao_DW[[#This Row],[profissional_id]]&amp;Ocupacao_DW[[#This Row],[local_id]]</f>
        <v>446421165247</v>
      </c>
      <c r="H4065" s="1">
        <f>_xlfn.XLOOKUP(Ocupacao_DW[[#This Row],[Concat]],Vagas!$H:$H,Vagas!$D:$D,"",0)</f>
        <v>35</v>
      </c>
    </row>
    <row r="4066" spans="1:8" x14ac:dyDescent="0.25">
      <c r="A4066" s="2">
        <v>44638</v>
      </c>
      <c r="B4066" s="1" t="s">
        <v>47</v>
      </c>
      <c r="C4066">
        <v>13371</v>
      </c>
      <c r="D4066" s="1" t="s">
        <v>205</v>
      </c>
      <c r="E4066" s="1" t="s">
        <v>4</v>
      </c>
      <c r="F4066">
        <v>336</v>
      </c>
      <c r="G4066" s="1" t="str">
        <f>Ocupacao_DW[[#This Row],[data]]&amp;Ocupacao_DW[[#This Row],[profissional_id]]&amp;Ocupacao_DW[[#This Row],[local_id]]</f>
        <v>4463813371336</v>
      </c>
      <c r="H4066" s="1" t="str">
        <f>_xlfn.XLOOKUP(Ocupacao_DW[[#This Row],[Concat]],Vagas!$H:$H,Vagas!$D:$D,"",0)</f>
        <v/>
      </c>
    </row>
    <row r="4067" spans="1:8" x14ac:dyDescent="0.25">
      <c r="A4067" s="2">
        <v>44639</v>
      </c>
      <c r="B4067" s="1" t="s">
        <v>72</v>
      </c>
      <c r="C4067">
        <v>6046</v>
      </c>
      <c r="D4067" s="1" t="s">
        <v>222</v>
      </c>
      <c r="E4067" s="1" t="s">
        <v>4</v>
      </c>
      <c r="F4067">
        <v>46</v>
      </c>
      <c r="G4067" s="1" t="str">
        <f>Ocupacao_DW[[#This Row],[data]]&amp;Ocupacao_DW[[#This Row],[profissional_id]]&amp;Ocupacao_DW[[#This Row],[local_id]]</f>
        <v>44639604646</v>
      </c>
      <c r="H4067" s="1">
        <f>_xlfn.XLOOKUP(Ocupacao_DW[[#This Row],[Concat]],Vagas!$H:$H,Vagas!$D:$D,"",0)</f>
        <v>0</v>
      </c>
    </row>
    <row r="4068" spans="1:8" x14ac:dyDescent="0.25">
      <c r="A4068" s="2">
        <v>44638</v>
      </c>
      <c r="B4068" s="1" t="s">
        <v>49</v>
      </c>
      <c r="C4068">
        <v>81</v>
      </c>
      <c r="D4068" s="1" t="s">
        <v>170</v>
      </c>
      <c r="E4068" s="1" t="s">
        <v>4</v>
      </c>
      <c r="F4068">
        <v>41</v>
      </c>
      <c r="G4068" s="1" t="str">
        <f>Ocupacao_DW[[#This Row],[data]]&amp;Ocupacao_DW[[#This Row],[profissional_id]]&amp;Ocupacao_DW[[#This Row],[local_id]]</f>
        <v>446388141</v>
      </c>
      <c r="H4068" s="1">
        <f>_xlfn.XLOOKUP(Ocupacao_DW[[#This Row],[Concat]],Vagas!$H:$H,Vagas!$D:$D,"",0)</f>
        <v>0</v>
      </c>
    </row>
    <row r="4069" spans="1:8" x14ac:dyDescent="0.25">
      <c r="A4069" s="2">
        <v>44638</v>
      </c>
      <c r="B4069" s="1" t="s">
        <v>64</v>
      </c>
      <c r="C4069">
        <v>86</v>
      </c>
      <c r="D4069" s="1" t="s">
        <v>175</v>
      </c>
      <c r="E4069" s="1" t="s">
        <v>5</v>
      </c>
      <c r="F4069">
        <v>349</v>
      </c>
      <c r="G4069" s="1" t="str">
        <f>Ocupacao_DW[[#This Row],[data]]&amp;Ocupacao_DW[[#This Row],[profissional_id]]&amp;Ocupacao_DW[[#This Row],[local_id]]</f>
        <v>4463886349</v>
      </c>
      <c r="H4069" s="1">
        <f>_xlfn.XLOOKUP(Ocupacao_DW[[#This Row],[Concat]],Vagas!$H:$H,Vagas!$D:$D,"",0)</f>
        <v>0</v>
      </c>
    </row>
    <row r="4070" spans="1:8" x14ac:dyDescent="0.25">
      <c r="A4070" s="2">
        <v>44635</v>
      </c>
      <c r="B4070" s="1" t="s">
        <v>65</v>
      </c>
      <c r="C4070">
        <v>11652</v>
      </c>
      <c r="D4070" s="1" t="s">
        <v>242</v>
      </c>
      <c r="E4070" s="1" t="s">
        <v>4</v>
      </c>
      <c r="F4070">
        <v>47</v>
      </c>
      <c r="G4070" s="1" t="str">
        <f>Ocupacao_DW[[#This Row],[data]]&amp;Ocupacao_DW[[#This Row],[profissional_id]]&amp;Ocupacao_DW[[#This Row],[local_id]]</f>
        <v>446351165247</v>
      </c>
      <c r="H4070" s="1">
        <f>_xlfn.XLOOKUP(Ocupacao_DW[[#This Row],[Concat]],Vagas!$H:$H,Vagas!$D:$D,"",0)</f>
        <v>0</v>
      </c>
    </row>
    <row r="4071" spans="1:8" x14ac:dyDescent="0.25">
      <c r="A4071" s="2">
        <v>44641</v>
      </c>
      <c r="B4071" s="1" t="s">
        <v>56</v>
      </c>
      <c r="C4071">
        <v>75</v>
      </c>
      <c r="D4071" s="1" t="s">
        <v>208</v>
      </c>
      <c r="E4071" s="1" t="s">
        <v>5</v>
      </c>
      <c r="F4071">
        <v>15</v>
      </c>
      <c r="G4071" s="1" t="str">
        <f>Ocupacao_DW[[#This Row],[data]]&amp;Ocupacao_DW[[#This Row],[profissional_id]]&amp;Ocupacao_DW[[#This Row],[local_id]]</f>
        <v>446417515</v>
      </c>
      <c r="H4071" s="1">
        <f>_xlfn.XLOOKUP(Ocupacao_DW[[#This Row],[Concat]],Vagas!$H:$H,Vagas!$D:$D,"",0)</f>
        <v>0</v>
      </c>
    </row>
    <row r="4072" spans="1:8" x14ac:dyDescent="0.25">
      <c r="A4072" s="2">
        <v>44641</v>
      </c>
      <c r="B4072" s="1" t="s">
        <v>54</v>
      </c>
      <c r="C4072">
        <v>10941</v>
      </c>
      <c r="D4072" s="1" t="s">
        <v>224</v>
      </c>
      <c r="E4072" s="1" t="s">
        <v>7</v>
      </c>
      <c r="F4072">
        <v>67</v>
      </c>
      <c r="G4072" s="1" t="str">
        <f>Ocupacao_DW[[#This Row],[data]]&amp;Ocupacao_DW[[#This Row],[profissional_id]]&amp;Ocupacao_DW[[#This Row],[local_id]]</f>
        <v>446411094167</v>
      </c>
      <c r="H4072" s="1">
        <f>_xlfn.XLOOKUP(Ocupacao_DW[[#This Row],[Concat]],Vagas!$H:$H,Vagas!$D:$D,"",0)</f>
        <v>0</v>
      </c>
    </row>
    <row r="4073" spans="1:8" x14ac:dyDescent="0.25">
      <c r="A4073" s="2">
        <v>44648</v>
      </c>
      <c r="B4073" s="1" t="s">
        <v>52</v>
      </c>
      <c r="C4073">
        <v>10595</v>
      </c>
      <c r="D4073" s="1" t="s">
        <v>218</v>
      </c>
      <c r="E4073" s="1" t="s">
        <v>200</v>
      </c>
      <c r="F4073">
        <v>78</v>
      </c>
      <c r="G4073" s="1" t="str">
        <f>Ocupacao_DW[[#This Row],[data]]&amp;Ocupacao_DW[[#This Row],[profissional_id]]&amp;Ocupacao_DW[[#This Row],[local_id]]</f>
        <v>446481059578</v>
      </c>
      <c r="H4073" s="1">
        <f>_xlfn.XLOOKUP(Ocupacao_DW[[#This Row],[Concat]],Vagas!$H:$H,Vagas!$D:$D,"",0)</f>
        <v>0</v>
      </c>
    </row>
    <row r="4074" spans="1:8" x14ac:dyDescent="0.25">
      <c r="A4074" s="2">
        <v>44641</v>
      </c>
      <c r="B4074" s="1" t="s">
        <v>49</v>
      </c>
      <c r="C4074">
        <v>6430</v>
      </c>
      <c r="D4074" s="1" t="s">
        <v>188</v>
      </c>
      <c r="E4074" s="1" t="s">
        <v>200</v>
      </c>
      <c r="F4074">
        <v>86</v>
      </c>
      <c r="G4074" s="1" t="str">
        <f>Ocupacao_DW[[#This Row],[data]]&amp;Ocupacao_DW[[#This Row],[profissional_id]]&amp;Ocupacao_DW[[#This Row],[local_id]]</f>
        <v>44641643086</v>
      </c>
      <c r="H4074" s="1">
        <f>_xlfn.XLOOKUP(Ocupacao_DW[[#This Row],[Concat]],Vagas!$H:$H,Vagas!$D:$D,"",0)</f>
        <v>0</v>
      </c>
    </row>
    <row r="4075" spans="1:8" x14ac:dyDescent="0.25">
      <c r="A4075" s="2">
        <v>44635</v>
      </c>
      <c r="B4075" s="1" t="s">
        <v>49</v>
      </c>
      <c r="C4075">
        <v>266</v>
      </c>
      <c r="D4075" s="1" t="s">
        <v>201</v>
      </c>
      <c r="E4075" s="1" t="s">
        <v>4</v>
      </c>
      <c r="F4075">
        <v>42</v>
      </c>
      <c r="G4075" s="1" t="str">
        <f>Ocupacao_DW[[#This Row],[data]]&amp;Ocupacao_DW[[#This Row],[profissional_id]]&amp;Ocupacao_DW[[#This Row],[local_id]]</f>
        <v>4463526642</v>
      </c>
      <c r="H4075" s="1">
        <f>_xlfn.XLOOKUP(Ocupacao_DW[[#This Row],[Concat]],Vagas!$H:$H,Vagas!$D:$D,"",0)</f>
        <v>0</v>
      </c>
    </row>
    <row r="4076" spans="1:8" x14ac:dyDescent="0.25">
      <c r="A4076" s="2">
        <v>44636</v>
      </c>
      <c r="B4076" s="1" t="s">
        <v>62</v>
      </c>
      <c r="C4076">
        <v>3502</v>
      </c>
      <c r="D4076" s="1" t="s">
        <v>214</v>
      </c>
      <c r="E4076" s="1" t="s">
        <v>5</v>
      </c>
      <c r="F4076">
        <v>16</v>
      </c>
      <c r="G4076" s="1" t="str">
        <f>Ocupacao_DW[[#This Row],[data]]&amp;Ocupacao_DW[[#This Row],[profissional_id]]&amp;Ocupacao_DW[[#This Row],[local_id]]</f>
        <v>44636350216</v>
      </c>
      <c r="H4076" s="1">
        <f>_xlfn.XLOOKUP(Ocupacao_DW[[#This Row],[Concat]],Vagas!$H:$H,Vagas!$D:$D,"",0)</f>
        <v>0</v>
      </c>
    </row>
    <row r="4077" spans="1:8" x14ac:dyDescent="0.25">
      <c r="A4077" s="2">
        <v>44638</v>
      </c>
      <c r="B4077" s="1" t="s">
        <v>47</v>
      </c>
      <c r="C4077">
        <v>12684</v>
      </c>
      <c r="D4077" s="1" t="s">
        <v>236</v>
      </c>
      <c r="E4077" s="1" t="s">
        <v>200</v>
      </c>
      <c r="F4077">
        <v>85</v>
      </c>
      <c r="G4077" s="1" t="str">
        <f>Ocupacao_DW[[#This Row],[data]]&amp;Ocupacao_DW[[#This Row],[profissional_id]]&amp;Ocupacao_DW[[#This Row],[local_id]]</f>
        <v>446381268485</v>
      </c>
      <c r="H4077" s="1">
        <f>_xlfn.XLOOKUP(Ocupacao_DW[[#This Row],[Concat]],Vagas!$H:$H,Vagas!$D:$D,"",0)</f>
        <v>0</v>
      </c>
    </row>
    <row r="4078" spans="1:8" x14ac:dyDescent="0.25">
      <c r="A4078" s="2">
        <v>44641</v>
      </c>
      <c r="B4078" s="1" t="s">
        <v>52</v>
      </c>
      <c r="C4078">
        <v>10595</v>
      </c>
      <c r="D4078" s="1" t="s">
        <v>218</v>
      </c>
      <c r="E4078" s="1" t="s">
        <v>200</v>
      </c>
      <c r="F4078">
        <v>78</v>
      </c>
      <c r="G4078" s="1" t="str">
        <f>Ocupacao_DW[[#This Row],[data]]&amp;Ocupacao_DW[[#This Row],[profissional_id]]&amp;Ocupacao_DW[[#This Row],[local_id]]</f>
        <v>446411059578</v>
      </c>
      <c r="H4078" s="1">
        <f>_xlfn.XLOOKUP(Ocupacao_DW[[#This Row],[Concat]],Vagas!$H:$H,Vagas!$D:$D,"",0)</f>
        <v>0</v>
      </c>
    </row>
    <row r="4079" spans="1:8" x14ac:dyDescent="0.25">
      <c r="A4079" s="2">
        <v>44638</v>
      </c>
      <c r="B4079" s="1" t="s">
        <v>47</v>
      </c>
      <c r="C4079">
        <v>12684</v>
      </c>
      <c r="D4079" s="1" t="s">
        <v>236</v>
      </c>
      <c r="E4079" s="1" t="s">
        <v>200</v>
      </c>
      <c r="F4079">
        <v>85</v>
      </c>
      <c r="G4079" s="1" t="str">
        <f>Ocupacao_DW[[#This Row],[data]]&amp;Ocupacao_DW[[#This Row],[profissional_id]]&amp;Ocupacao_DW[[#This Row],[local_id]]</f>
        <v>446381268485</v>
      </c>
      <c r="H4079" s="1">
        <f>_xlfn.XLOOKUP(Ocupacao_DW[[#This Row],[Concat]],Vagas!$H:$H,Vagas!$D:$D,"",0)</f>
        <v>0</v>
      </c>
    </row>
    <row r="4080" spans="1:8" x14ac:dyDescent="0.25">
      <c r="A4080" s="2">
        <v>44638</v>
      </c>
      <c r="B4080" s="1" t="s">
        <v>72</v>
      </c>
      <c r="C4080">
        <v>13479</v>
      </c>
      <c r="D4080" s="1" t="s">
        <v>203</v>
      </c>
      <c r="E4080" s="1" t="s">
        <v>200</v>
      </c>
      <c r="F4080">
        <v>83</v>
      </c>
      <c r="G4080" s="1" t="str">
        <f>Ocupacao_DW[[#This Row],[data]]&amp;Ocupacao_DW[[#This Row],[profissional_id]]&amp;Ocupacao_DW[[#This Row],[local_id]]</f>
        <v>446381347983</v>
      </c>
      <c r="H4080" s="1">
        <f>_xlfn.XLOOKUP(Ocupacao_DW[[#This Row],[Concat]],Vagas!$H:$H,Vagas!$D:$D,"",0)</f>
        <v>0</v>
      </c>
    </row>
    <row r="4081" spans="1:8" x14ac:dyDescent="0.25">
      <c r="A4081" s="2">
        <v>44639</v>
      </c>
      <c r="B4081" s="1" t="s">
        <v>43</v>
      </c>
      <c r="C4081">
        <v>57</v>
      </c>
      <c r="D4081" s="1" t="s">
        <v>169</v>
      </c>
      <c r="E4081" s="1" t="s">
        <v>6</v>
      </c>
      <c r="F4081">
        <v>2</v>
      </c>
      <c r="G4081" s="1" t="str">
        <f>Ocupacao_DW[[#This Row],[data]]&amp;Ocupacao_DW[[#This Row],[profissional_id]]&amp;Ocupacao_DW[[#This Row],[local_id]]</f>
        <v>44639572</v>
      </c>
      <c r="H4081" s="1">
        <f>_xlfn.XLOOKUP(Ocupacao_DW[[#This Row],[Concat]],Vagas!$H:$H,Vagas!$D:$D,"",0)</f>
        <v>0</v>
      </c>
    </row>
    <row r="4082" spans="1:8" x14ac:dyDescent="0.25">
      <c r="A4082" s="2">
        <v>44645</v>
      </c>
      <c r="B4082" s="1" t="s">
        <v>49</v>
      </c>
      <c r="C4082">
        <v>6430</v>
      </c>
      <c r="D4082" s="1" t="s">
        <v>188</v>
      </c>
      <c r="E4082" s="1" t="s">
        <v>4</v>
      </c>
      <c r="F4082">
        <v>42</v>
      </c>
      <c r="G4082" s="1" t="str">
        <f>Ocupacao_DW[[#This Row],[data]]&amp;Ocupacao_DW[[#This Row],[profissional_id]]&amp;Ocupacao_DW[[#This Row],[local_id]]</f>
        <v>44645643042</v>
      </c>
      <c r="H4082" s="1">
        <f>_xlfn.XLOOKUP(Ocupacao_DW[[#This Row],[Concat]],Vagas!$H:$H,Vagas!$D:$D,"",0)</f>
        <v>0</v>
      </c>
    </row>
    <row r="4083" spans="1:8" x14ac:dyDescent="0.25">
      <c r="A4083" s="2">
        <v>44635</v>
      </c>
      <c r="B4083" s="1" t="s">
        <v>66</v>
      </c>
      <c r="C4083">
        <v>1343</v>
      </c>
      <c r="D4083" s="1" t="s">
        <v>263</v>
      </c>
      <c r="E4083" s="1" t="s">
        <v>200</v>
      </c>
      <c r="F4083">
        <v>80</v>
      </c>
      <c r="G4083" s="1" t="str">
        <f>Ocupacao_DW[[#This Row],[data]]&amp;Ocupacao_DW[[#This Row],[profissional_id]]&amp;Ocupacao_DW[[#This Row],[local_id]]</f>
        <v>44635134380</v>
      </c>
      <c r="H4083" s="1">
        <f>_xlfn.XLOOKUP(Ocupacao_DW[[#This Row],[Concat]],Vagas!$H:$H,Vagas!$D:$D,"",0)</f>
        <v>0</v>
      </c>
    </row>
    <row r="4084" spans="1:8" x14ac:dyDescent="0.25">
      <c r="A4084" s="2">
        <v>44642</v>
      </c>
      <c r="B4084" s="1" t="s">
        <v>65</v>
      </c>
      <c r="C4084">
        <v>11652</v>
      </c>
      <c r="D4084" s="1" t="s">
        <v>242</v>
      </c>
      <c r="E4084" s="1" t="s">
        <v>4</v>
      </c>
      <c r="F4084">
        <v>47</v>
      </c>
      <c r="G4084" s="1" t="str">
        <f>Ocupacao_DW[[#This Row],[data]]&amp;Ocupacao_DW[[#This Row],[profissional_id]]&amp;Ocupacao_DW[[#This Row],[local_id]]</f>
        <v>446421165247</v>
      </c>
      <c r="H4084" s="1">
        <f>_xlfn.XLOOKUP(Ocupacao_DW[[#This Row],[Concat]],Vagas!$H:$H,Vagas!$D:$D,"",0)</f>
        <v>35</v>
      </c>
    </row>
    <row r="4085" spans="1:8" x14ac:dyDescent="0.25">
      <c r="A4085" s="2">
        <v>44638</v>
      </c>
      <c r="B4085" s="1" t="s">
        <v>49</v>
      </c>
      <c r="C4085">
        <v>6430</v>
      </c>
      <c r="D4085" s="1" t="s">
        <v>188</v>
      </c>
      <c r="E4085" s="1" t="s">
        <v>4</v>
      </c>
      <c r="F4085">
        <v>42</v>
      </c>
      <c r="G4085" s="1" t="str">
        <f>Ocupacao_DW[[#This Row],[data]]&amp;Ocupacao_DW[[#This Row],[profissional_id]]&amp;Ocupacao_DW[[#This Row],[local_id]]</f>
        <v>44638643042</v>
      </c>
      <c r="H4085" s="1">
        <f>_xlfn.XLOOKUP(Ocupacao_DW[[#This Row],[Concat]],Vagas!$H:$H,Vagas!$D:$D,"",0)</f>
        <v>0</v>
      </c>
    </row>
    <row r="4086" spans="1:8" x14ac:dyDescent="0.25">
      <c r="A4086" s="2">
        <v>44642</v>
      </c>
      <c r="B4086" s="1" t="s">
        <v>54</v>
      </c>
      <c r="C4086">
        <v>10941</v>
      </c>
      <c r="D4086" s="1" t="s">
        <v>224</v>
      </c>
      <c r="E4086" s="1" t="s">
        <v>200</v>
      </c>
      <c r="F4086">
        <v>83</v>
      </c>
      <c r="G4086" s="1" t="str">
        <f>Ocupacao_DW[[#This Row],[data]]&amp;Ocupacao_DW[[#This Row],[profissional_id]]&amp;Ocupacao_DW[[#This Row],[local_id]]</f>
        <v>446421094183</v>
      </c>
      <c r="H4086" s="1">
        <f>_xlfn.XLOOKUP(Ocupacao_DW[[#This Row],[Concat]],Vagas!$H:$H,Vagas!$D:$D,"",0)</f>
        <v>0</v>
      </c>
    </row>
    <row r="4087" spans="1:8" x14ac:dyDescent="0.25">
      <c r="A4087" s="2">
        <v>44646</v>
      </c>
      <c r="B4087" s="1" t="s">
        <v>52</v>
      </c>
      <c r="C4087">
        <v>60</v>
      </c>
      <c r="D4087" s="1" t="s">
        <v>217</v>
      </c>
      <c r="E4087" s="1" t="s">
        <v>6</v>
      </c>
      <c r="F4087">
        <v>6</v>
      </c>
      <c r="G4087" s="1" t="str">
        <f>Ocupacao_DW[[#This Row],[data]]&amp;Ocupacao_DW[[#This Row],[profissional_id]]&amp;Ocupacao_DW[[#This Row],[local_id]]</f>
        <v>44646606</v>
      </c>
      <c r="H4087" s="1">
        <f>_xlfn.XLOOKUP(Ocupacao_DW[[#This Row],[Concat]],Vagas!$H:$H,Vagas!$D:$D,"",0)</f>
        <v>0</v>
      </c>
    </row>
    <row r="4088" spans="1:8" x14ac:dyDescent="0.25">
      <c r="A4088" s="2">
        <v>44658</v>
      </c>
      <c r="B4088" s="1" t="s">
        <v>55</v>
      </c>
      <c r="C4088">
        <v>74</v>
      </c>
      <c r="D4088" s="1" t="s">
        <v>182</v>
      </c>
      <c r="E4088" s="1" t="s">
        <v>6</v>
      </c>
      <c r="F4088">
        <v>7</v>
      </c>
      <c r="G4088" s="1" t="str">
        <f>Ocupacao_DW[[#This Row],[data]]&amp;Ocupacao_DW[[#This Row],[profissional_id]]&amp;Ocupacao_DW[[#This Row],[local_id]]</f>
        <v>44658747</v>
      </c>
      <c r="H4088" s="1">
        <f>_xlfn.XLOOKUP(Ocupacao_DW[[#This Row],[Concat]],Vagas!$H:$H,Vagas!$D:$D,"",0)</f>
        <v>7</v>
      </c>
    </row>
    <row r="4089" spans="1:8" x14ac:dyDescent="0.25">
      <c r="A4089" s="2">
        <v>44635</v>
      </c>
      <c r="B4089" s="1" t="s">
        <v>47</v>
      </c>
      <c r="C4089">
        <v>9111</v>
      </c>
      <c r="D4089" s="1" t="s">
        <v>206</v>
      </c>
      <c r="E4089" s="1" t="s">
        <v>4</v>
      </c>
      <c r="F4089">
        <v>335</v>
      </c>
      <c r="G4089" s="1" t="str">
        <f>Ocupacao_DW[[#This Row],[data]]&amp;Ocupacao_DW[[#This Row],[profissional_id]]&amp;Ocupacao_DW[[#This Row],[local_id]]</f>
        <v>446359111335</v>
      </c>
      <c r="H4089" s="1">
        <f>_xlfn.XLOOKUP(Ocupacao_DW[[#This Row],[Concat]],Vagas!$H:$H,Vagas!$D:$D,"",0)</f>
        <v>0</v>
      </c>
    </row>
    <row r="4090" spans="1:8" x14ac:dyDescent="0.25">
      <c r="A4090" s="2">
        <v>44641</v>
      </c>
      <c r="B4090" s="1" t="s">
        <v>55</v>
      </c>
      <c r="C4090">
        <v>6392</v>
      </c>
      <c r="D4090" s="1" t="s">
        <v>173</v>
      </c>
      <c r="E4090" s="1" t="s">
        <v>6</v>
      </c>
      <c r="F4090">
        <v>5</v>
      </c>
      <c r="G4090" s="1" t="str">
        <f>Ocupacao_DW[[#This Row],[data]]&amp;Ocupacao_DW[[#This Row],[profissional_id]]&amp;Ocupacao_DW[[#This Row],[local_id]]</f>
        <v>4464163925</v>
      </c>
      <c r="H4090" s="1">
        <f>_xlfn.XLOOKUP(Ocupacao_DW[[#This Row],[Concat]],Vagas!$H:$H,Vagas!$D:$D,"",0)</f>
        <v>0</v>
      </c>
    </row>
    <row r="4091" spans="1:8" x14ac:dyDescent="0.25">
      <c r="A4091" s="2">
        <v>44642</v>
      </c>
      <c r="B4091" s="1" t="s">
        <v>47</v>
      </c>
      <c r="C4091">
        <v>9111</v>
      </c>
      <c r="D4091" s="1" t="s">
        <v>206</v>
      </c>
      <c r="E4091" s="1" t="s">
        <v>4</v>
      </c>
      <c r="F4091">
        <v>335</v>
      </c>
      <c r="G4091" s="1" t="str">
        <f>Ocupacao_DW[[#This Row],[data]]&amp;Ocupacao_DW[[#This Row],[profissional_id]]&amp;Ocupacao_DW[[#This Row],[local_id]]</f>
        <v>446429111335</v>
      </c>
      <c r="H4091" s="1">
        <f>_xlfn.XLOOKUP(Ocupacao_DW[[#This Row],[Concat]],Vagas!$H:$H,Vagas!$D:$D,"",0)</f>
        <v>0</v>
      </c>
    </row>
    <row r="4092" spans="1:8" x14ac:dyDescent="0.25">
      <c r="A4092" s="2">
        <v>44641</v>
      </c>
      <c r="B4092" s="1" t="s">
        <v>20</v>
      </c>
      <c r="C4092">
        <v>174</v>
      </c>
      <c r="D4092" s="1" t="s">
        <v>230</v>
      </c>
      <c r="E4092" s="1" t="s">
        <v>167</v>
      </c>
      <c r="F4092">
        <v>24</v>
      </c>
      <c r="G4092" s="1" t="str">
        <f>Ocupacao_DW[[#This Row],[data]]&amp;Ocupacao_DW[[#This Row],[profissional_id]]&amp;Ocupacao_DW[[#This Row],[local_id]]</f>
        <v>4464117424</v>
      </c>
      <c r="H4092" s="1">
        <f>_xlfn.XLOOKUP(Ocupacao_DW[[#This Row],[Concat]],Vagas!$H:$H,Vagas!$D:$D,"",0)</f>
        <v>80</v>
      </c>
    </row>
    <row r="4093" spans="1:8" x14ac:dyDescent="0.25">
      <c r="A4093" s="2">
        <v>44637</v>
      </c>
      <c r="B4093" s="1"/>
      <c r="C4093">
        <v>0</v>
      </c>
      <c r="D4093" s="1"/>
      <c r="E4093" s="1" t="s">
        <v>167</v>
      </c>
      <c r="F4093">
        <v>24</v>
      </c>
      <c r="G4093" s="1" t="str">
        <f>Ocupacao_DW[[#This Row],[data]]&amp;Ocupacao_DW[[#This Row],[profissional_id]]&amp;Ocupacao_DW[[#This Row],[local_id]]</f>
        <v>44637024</v>
      </c>
      <c r="H4093" s="1" t="str">
        <f>_xlfn.XLOOKUP(Ocupacao_DW[[#This Row],[Concat]],Vagas!$H:$H,Vagas!$D:$D,"",0)</f>
        <v/>
      </c>
    </row>
    <row r="4094" spans="1:8" x14ac:dyDescent="0.25">
      <c r="A4094" s="2">
        <v>44641</v>
      </c>
      <c r="B4094" s="1" t="s">
        <v>55</v>
      </c>
      <c r="C4094">
        <v>60</v>
      </c>
      <c r="D4094" s="1" t="s">
        <v>217</v>
      </c>
      <c r="E4094" s="1" t="s">
        <v>167</v>
      </c>
      <c r="F4094">
        <v>345</v>
      </c>
      <c r="G4094" s="1" t="str">
        <f>Ocupacao_DW[[#This Row],[data]]&amp;Ocupacao_DW[[#This Row],[profissional_id]]&amp;Ocupacao_DW[[#This Row],[local_id]]</f>
        <v>4464160345</v>
      </c>
      <c r="H4094" s="1">
        <f>_xlfn.XLOOKUP(Ocupacao_DW[[#This Row],[Concat]],Vagas!$H:$H,Vagas!$D:$D,"",0)</f>
        <v>0</v>
      </c>
    </row>
    <row r="4095" spans="1:8" x14ac:dyDescent="0.25">
      <c r="A4095" s="2">
        <v>44644</v>
      </c>
      <c r="B4095" s="1" t="s">
        <v>52</v>
      </c>
      <c r="C4095">
        <v>10691</v>
      </c>
      <c r="D4095" s="1" t="s">
        <v>181</v>
      </c>
      <c r="E4095" s="1" t="s">
        <v>6</v>
      </c>
      <c r="F4095">
        <v>9</v>
      </c>
      <c r="G4095" s="1" t="str">
        <f>Ocupacao_DW[[#This Row],[data]]&amp;Ocupacao_DW[[#This Row],[profissional_id]]&amp;Ocupacao_DW[[#This Row],[local_id]]</f>
        <v>44644106919</v>
      </c>
      <c r="H4095" s="1">
        <f>_xlfn.XLOOKUP(Ocupacao_DW[[#This Row],[Concat]],Vagas!$H:$H,Vagas!$D:$D,"",0)</f>
        <v>0</v>
      </c>
    </row>
    <row r="4096" spans="1:8" x14ac:dyDescent="0.25">
      <c r="A4096" s="2">
        <v>44644</v>
      </c>
      <c r="B4096" s="1" t="s">
        <v>52</v>
      </c>
      <c r="C4096">
        <v>9217</v>
      </c>
      <c r="D4096" s="1" t="s">
        <v>191</v>
      </c>
      <c r="E4096" s="1" t="s">
        <v>6</v>
      </c>
      <c r="F4096">
        <v>7</v>
      </c>
      <c r="G4096" s="1" t="str">
        <f>Ocupacao_DW[[#This Row],[data]]&amp;Ocupacao_DW[[#This Row],[profissional_id]]&amp;Ocupacao_DW[[#This Row],[local_id]]</f>
        <v>4464492177</v>
      </c>
      <c r="H4096" s="1">
        <f>_xlfn.XLOOKUP(Ocupacao_DW[[#This Row],[Concat]],Vagas!$H:$H,Vagas!$D:$D,"",0)</f>
        <v>0</v>
      </c>
    </row>
    <row r="4097" spans="1:8" x14ac:dyDescent="0.25">
      <c r="A4097" s="2">
        <v>44638</v>
      </c>
      <c r="B4097" s="1" t="s">
        <v>64</v>
      </c>
      <c r="C4097">
        <v>86</v>
      </c>
      <c r="D4097" s="1" t="s">
        <v>175</v>
      </c>
      <c r="E4097" s="1" t="s">
        <v>5</v>
      </c>
      <c r="F4097">
        <v>349</v>
      </c>
      <c r="G4097" s="1" t="str">
        <f>Ocupacao_DW[[#This Row],[data]]&amp;Ocupacao_DW[[#This Row],[profissional_id]]&amp;Ocupacao_DW[[#This Row],[local_id]]</f>
        <v>4463886349</v>
      </c>
      <c r="H4097" s="1">
        <f>_xlfn.XLOOKUP(Ocupacao_DW[[#This Row],[Concat]],Vagas!$H:$H,Vagas!$D:$D,"",0)</f>
        <v>0</v>
      </c>
    </row>
    <row r="4098" spans="1:8" x14ac:dyDescent="0.25">
      <c r="A4098" s="2">
        <v>44657</v>
      </c>
      <c r="B4098" s="1" t="s">
        <v>55</v>
      </c>
      <c r="C4098">
        <v>73</v>
      </c>
      <c r="D4098" s="1" t="s">
        <v>171</v>
      </c>
      <c r="E4098" s="1" t="s">
        <v>6</v>
      </c>
      <c r="F4098">
        <v>5</v>
      </c>
      <c r="G4098" s="1" t="str">
        <f>Ocupacao_DW[[#This Row],[data]]&amp;Ocupacao_DW[[#This Row],[profissional_id]]&amp;Ocupacao_DW[[#This Row],[local_id]]</f>
        <v>44657735</v>
      </c>
      <c r="H4098" s="1">
        <f>_xlfn.XLOOKUP(Ocupacao_DW[[#This Row],[Concat]],Vagas!$H:$H,Vagas!$D:$D,"",0)</f>
        <v>0</v>
      </c>
    </row>
    <row r="4099" spans="1:8" x14ac:dyDescent="0.25">
      <c r="A4099" s="2">
        <v>44635</v>
      </c>
      <c r="B4099" s="1" t="s">
        <v>44</v>
      </c>
      <c r="C4099">
        <v>17908</v>
      </c>
      <c r="D4099" s="1" t="s">
        <v>296</v>
      </c>
      <c r="E4099" s="1" t="s">
        <v>167</v>
      </c>
      <c r="F4099">
        <v>25</v>
      </c>
      <c r="G4099" s="1" t="str">
        <f>Ocupacao_DW[[#This Row],[data]]&amp;Ocupacao_DW[[#This Row],[profissional_id]]&amp;Ocupacao_DW[[#This Row],[local_id]]</f>
        <v>446351790825</v>
      </c>
      <c r="H4099" s="1">
        <f>_xlfn.XLOOKUP(Ocupacao_DW[[#This Row],[Concat]],Vagas!$H:$H,Vagas!$D:$D,"",0)</f>
        <v>8</v>
      </c>
    </row>
    <row r="4100" spans="1:8" x14ac:dyDescent="0.25">
      <c r="A4100" s="2">
        <v>44635</v>
      </c>
      <c r="B4100" s="1" t="s">
        <v>71</v>
      </c>
      <c r="C4100">
        <v>282</v>
      </c>
      <c r="D4100" s="1" t="s">
        <v>210</v>
      </c>
      <c r="E4100" s="1" t="s">
        <v>4</v>
      </c>
      <c r="F4100">
        <v>48</v>
      </c>
      <c r="G4100" s="1" t="str">
        <f>Ocupacao_DW[[#This Row],[data]]&amp;Ocupacao_DW[[#This Row],[profissional_id]]&amp;Ocupacao_DW[[#This Row],[local_id]]</f>
        <v>4463528248</v>
      </c>
      <c r="H4100" s="1">
        <f>_xlfn.XLOOKUP(Ocupacao_DW[[#This Row],[Concat]],Vagas!$H:$H,Vagas!$D:$D,"",0)</f>
        <v>0</v>
      </c>
    </row>
    <row r="4101" spans="1:8" x14ac:dyDescent="0.25">
      <c r="A4101" s="2">
        <v>44635</v>
      </c>
      <c r="B4101" s="1"/>
      <c r="C4101">
        <v>0</v>
      </c>
      <c r="D4101" s="1"/>
      <c r="E4101" s="1" t="s">
        <v>167</v>
      </c>
      <c r="F4101">
        <v>24</v>
      </c>
      <c r="G4101" s="1" t="str">
        <f>Ocupacao_DW[[#This Row],[data]]&amp;Ocupacao_DW[[#This Row],[profissional_id]]&amp;Ocupacao_DW[[#This Row],[local_id]]</f>
        <v>44635024</v>
      </c>
      <c r="H4101" s="1" t="str">
        <f>_xlfn.XLOOKUP(Ocupacao_DW[[#This Row],[Concat]],Vagas!$H:$H,Vagas!$D:$D,"",0)</f>
        <v/>
      </c>
    </row>
    <row r="4102" spans="1:8" x14ac:dyDescent="0.25">
      <c r="A4102" s="2">
        <v>44657</v>
      </c>
      <c r="B4102" s="1" t="s">
        <v>70</v>
      </c>
      <c r="C4102">
        <v>12825</v>
      </c>
      <c r="D4102" s="1" t="s">
        <v>177</v>
      </c>
      <c r="E4102" s="1" t="s">
        <v>4</v>
      </c>
      <c r="F4102">
        <v>45</v>
      </c>
      <c r="G4102" s="1" t="str">
        <f>Ocupacao_DW[[#This Row],[data]]&amp;Ocupacao_DW[[#This Row],[profissional_id]]&amp;Ocupacao_DW[[#This Row],[local_id]]</f>
        <v>446571282545</v>
      </c>
      <c r="H4102" s="1">
        <f>_xlfn.XLOOKUP(Ocupacao_DW[[#This Row],[Concat]],Vagas!$H:$H,Vagas!$D:$D,"",0)</f>
        <v>0</v>
      </c>
    </row>
    <row r="4103" spans="1:8" x14ac:dyDescent="0.25">
      <c r="A4103" s="2">
        <v>44639</v>
      </c>
      <c r="B4103" s="1" t="s">
        <v>43</v>
      </c>
      <c r="C4103">
        <v>57</v>
      </c>
      <c r="D4103" s="1" t="s">
        <v>169</v>
      </c>
      <c r="E4103" s="1" t="s">
        <v>6</v>
      </c>
      <c r="F4103">
        <v>2</v>
      </c>
      <c r="G4103" s="1" t="str">
        <f>Ocupacao_DW[[#This Row],[data]]&amp;Ocupacao_DW[[#This Row],[profissional_id]]&amp;Ocupacao_DW[[#This Row],[local_id]]</f>
        <v>44639572</v>
      </c>
      <c r="H4103" s="1">
        <f>_xlfn.XLOOKUP(Ocupacao_DW[[#This Row],[Concat]],Vagas!$H:$H,Vagas!$D:$D,"",0)</f>
        <v>0</v>
      </c>
    </row>
    <row r="4104" spans="1:8" x14ac:dyDescent="0.25">
      <c r="A4104" s="2">
        <v>44636</v>
      </c>
      <c r="B4104" s="1"/>
      <c r="C4104">
        <v>0</v>
      </c>
      <c r="D4104" s="1"/>
      <c r="E4104" s="1" t="s">
        <v>6</v>
      </c>
      <c r="F4104">
        <v>4</v>
      </c>
      <c r="G4104" s="1" t="str">
        <f>Ocupacao_DW[[#This Row],[data]]&amp;Ocupacao_DW[[#This Row],[profissional_id]]&amp;Ocupacao_DW[[#This Row],[local_id]]</f>
        <v>4463604</v>
      </c>
      <c r="H4104" s="1" t="str">
        <f>_xlfn.XLOOKUP(Ocupacao_DW[[#This Row],[Concat]],Vagas!$H:$H,Vagas!$D:$D,"",0)</f>
        <v/>
      </c>
    </row>
    <row r="4105" spans="1:8" x14ac:dyDescent="0.25">
      <c r="A4105" s="2">
        <v>44637</v>
      </c>
      <c r="B4105" s="1" t="s">
        <v>52</v>
      </c>
      <c r="C4105">
        <v>10691</v>
      </c>
      <c r="D4105" s="1" t="s">
        <v>181</v>
      </c>
      <c r="E4105" s="1" t="s">
        <v>6</v>
      </c>
      <c r="F4105">
        <v>9</v>
      </c>
      <c r="G4105" s="1" t="str">
        <f>Ocupacao_DW[[#This Row],[data]]&amp;Ocupacao_DW[[#This Row],[profissional_id]]&amp;Ocupacao_DW[[#This Row],[local_id]]</f>
        <v>44637106919</v>
      </c>
      <c r="H4105" s="1">
        <f>_xlfn.XLOOKUP(Ocupacao_DW[[#This Row],[Concat]],Vagas!$H:$H,Vagas!$D:$D,"",0)</f>
        <v>0</v>
      </c>
    </row>
    <row r="4106" spans="1:8" x14ac:dyDescent="0.25">
      <c r="A4106" s="2">
        <v>44638</v>
      </c>
      <c r="B4106" s="1" t="s">
        <v>72</v>
      </c>
      <c r="C4106">
        <v>1794</v>
      </c>
      <c r="D4106" s="1" t="s">
        <v>235</v>
      </c>
      <c r="E4106" s="1" t="s">
        <v>4</v>
      </c>
      <c r="F4106">
        <v>46</v>
      </c>
      <c r="G4106" s="1" t="str">
        <f>Ocupacao_DW[[#This Row],[data]]&amp;Ocupacao_DW[[#This Row],[profissional_id]]&amp;Ocupacao_DW[[#This Row],[local_id]]</f>
        <v>44638179446</v>
      </c>
      <c r="H4106" s="1">
        <f>_xlfn.XLOOKUP(Ocupacao_DW[[#This Row],[Concat]],Vagas!$H:$H,Vagas!$D:$D,"",0)</f>
        <v>0</v>
      </c>
    </row>
    <row r="4107" spans="1:8" x14ac:dyDescent="0.25">
      <c r="A4107" s="2">
        <v>44646</v>
      </c>
      <c r="B4107" s="1" t="s">
        <v>55</v>
      </c>
      <c r="C4107">
        <v>17879</v>
      </c>
      <c r="D4107" s="1" t="s">
        <v>233</v>
      </c>
      <c r="E4107" s="1" t="s">
        <v>6</v>
      </c>
      <c r="F4107">
        <v>3</v>
      </c>
      <c r="G4107" s="1" t="str">
        <f>Ocupacao_DW[[#This Row],[data]]&amp;Ocupacao_DW[[#This Row],[profissional_id]]&amp;Ocupacao_DW[[#This Row],[local_id]]</f>
        <v>44646178793</v>
      </c>
      <c r="H4107" s="1">
        <f>_xlfn.XLOOKUP(Ocupacao_DW[[#This Row],[Concat]],Vagas!$H:$H,Vagas!$D:$D,"",0)</f>
        <v>0</v>
      </c>
    </row>
    <row r="4108" spans="1:8" x14ac:dyDescent="0.25">
      <c r="A4108" s="2">
        <v>44635</v>
      </c>
      <c r="B4108" s="1" t="s">
        <v>67</v>
      </c>
      <c r="C4108">
        <v>7290</v>
      </c>
      <c r="D4108" s="1" t="s">
        <v>247</v>
      </c>
      <c r="E4108" s="1" t="s">
        <v>5</v>
      </c>
      <c r="F4108">
        <v>18</v>
      </c>
      <c r="G4108" s="1" t="str">
        <f>Ocupacao_DW[[#This Row],[data]]&amp;Ocupacao_DW[[#This Row],[profissional_id]]&amp;Ocupacao_DW[[#This Row],[local_id]]</f>
        <v>44635729018</v>
      </c>
      <c r="H4108" s="1">
        <f>_xlfn.XLOOKUP(Ocupacao_DW[[#This Row],[Concat]],Vagas!$H:$H,Vagas!$D:$D,"",0)</f>
        <v>0</v>
      </c>
    </row>
    <row r="4109" spans="1:8" x14ac:dyDescent="0.25">
      <c r="A4109" s="2">
        <v>44636</v>
      </c>
      <c r="B4109" s="1" t="s">
        <v>56</v>
      </c>
      <c r="C4109">
        <v>13660</v>
      </c>
      <c r="D4109" s="1" t="s">
        <v>250</v>
      </c>
      <c r="E4109" s="1" t="s">
        <v>200</v>
      </c>
      <c r="F4109">
        <v>78</v>
      </c>
      <c r="G4109" s="1" t="str">
        <f>Ocupacao_DW[[#This Row],[data]]&amp;Ocupacao_DW[[#This Row],[profissional_id]]&amp;Ocupacao_DW[[#This Row],[local_id]]</f>
        <v>446361366078</v>
      </c>
      <c r="H4109" s="1">
        <f>_xlfn.XLOOKUP(Ocupacao_DW[[#This Row],[Concat]],Vagas!$H:$H,Vagas!$D:$D,"",0)</f>
        <v>3</v>
      </c>
    </row>
    <row r="4110" spans="1:8" x14ac:dyDescent="0.25">
      <c r="A4110" s="2">
        <v>44642</v>
      </c>
      <c r="B4110" s="1" t="s">
        <v>65</v>
      </c>
      <c r="C4110">
        <v>11652</v>
      </c>
      <c r="D4110" s="1" t="s">
        <v>242</v>
      </c>
      <c r="E4110" s="1" t="s">
        <v>4</v>
      </c>
      <c r="F4110">
        <v>47</v>
      </c>
      <c r="G4110" s="1" t="str">
        <f>Ocupacao_DW[[#This Row],[data]]&amp;Ocupacao_DW[[#This Row],[profissional_id]]&amp;Ocupacao_DW[[#This Row],[local_id]]</f>
        <v>446421165247</v>
      </c>
      <c r="H4110" s="1">
        <f>_xlfn.XLOOKUP(Ocupacao_DW[[#This Row],[Concat]],Vagas!$H:$H,Vagas!$D:$D,"",0)</f>
        <v>35</v>
      </c>
    </row>
    <row r="4111" spans="1:8" x14ac:dyDescent="0.25">
      <c r="A4111" s="2">
        <v>44655</v>
      </c>
      <c r="B4111" s="1" t="s">
        <v>55</v>
      </c>
      <c r="C4111">
        <v>2984</v>
      </c>
      <c r="D4111" s="1" t="s">
        <v>185</v>
      </c>
      <c r="E4111" s="1" t="s">
        <v>6</v>
      </c>
      <c r="F4111">
        <v>7</v>
      </c>
      <c r="G4111" s="1" t="str">
        <f>Ocupacao_DW[[#This Row],[data]]&amp;Ocupacao_DW[[#This Row],[profissional_id]]&amp;Ocupacao_DW[[#This Row],[local_id]]</f>
        <v>4465529847</v>
      </c>
      <c r="H4111" s="1">
        <f>_xlfn.XLOOKUP(Ocupacao_DW[[#This Row],[Concat]],Vagas!$H:$H,Vagas!$D:$D,"",0)</f>
        <v>0</v>
      </c>
    </row>
    <row r="4112" spans="1:8" x14ac:dyDescent="0.25">
      <c r="A4112" s="2">
        <v>44650</v>
      </c>
      <c r="B4112" s="1" t="s">
        <v>52</v>
      </c>
      <c r="C4112">
        <v>57</v>
      </c>
      <c r="D4112" s="1" t="s">
        <v>169</v>
      </c>
      <c r="E4112" s="1" t="s">
        <v>6</v>
      </c>
      <c r="F4112">
        <v>4</v>
      </c>
      <c r="G4112" s="1" t="str">
        <f>Ocupacao_DW[[#This Row],[data]]&amp;Ocupacao_DW[[#This Row],[profissional_id]]&amp;Ocupacao_DW[[#This Row],[local_id]]</f>
        <v>44650574</v>
      </c>
      <c r="H4112" s="1">
        <f>_xlfn.XLOOKUP(Ocupacao_DW[[#This Row],[Concat]],Vagas!$H:$H,Vagas!$D:$D,"",0)</f>
        <v>0</v>
      </c>
    </row>
    <row r="4113" spans="1:8" x14ac:dyDescent="0.25">
      <c r="A4113" s="2">
        <v>44658</v>
      </c>
      <c r="B4113" s="1" t="s">
        <v>55</v>
      </c>
      <c r="C4113">
        <v>74</v>
      </c>
      <c r="D4113" s="1" t="s">
        <v>182</v>
      </c>
      <c r="E4113" s="1" t="s">
        <v>6</v>
      </c>
      <c r="F4113">
        <v>7</v>
      </c>
      <c r="G4113" s="1" t="str">
        <f>Ocupacao_DW[[#This Row],[data]]&amp;Ocupacao_DW[[#This Row],[profissional_id]]&amp;Ocupacao_DW[[#This Row],[local_id]]</f>
        <v>44658747</v>
      </c>
      <c r="H4113" s="1">
        <f>_xlfn.XLOOKUP(Ocupacao_DW[[#This Row],[Concat]],Vagas!$H:$H,Vagas!$D:$D,"",0)</f>
        <v>7</v>
      </c>
    </row>
    <row r="4114" spans="1:8" x14ac:dyDescent="0.25">
      <c r="A4114" s="2">
        <v>44636</v>
      </c>
      <c r="B4114" s="1" t="s">
        <v>72</v>
      </c>
      <c r="C4114">
        <v>6046</v>
      </c>
      <c r="D4114" s="1" t="s">
        <v>222</v>
      </c>
      <c r="E4114" s="1" t="s">
        <v>167</v>
      </c>
      <c r="F4114">
        <v>339</v>
      </c>
      <c r="G4114" s="1" t="str">
        <f>Ocupacao_DW[[#This Row],[data]]&amp;Ocupacao_DW[[#This Row],[profissional_id]]&amp;Ocupacao_DW[[#This Row],[local_id]]</f>
        <v>446366046339</v>
      </c>
      <c r="H4114" s="1" t="str">
        <f>_xlfn.XLOOKUP(Ocupacao_DW[[#This Row],[Concat]],Vagas!$H:$H,Vagas!$D:$D,"",0)</f>
        <v/>
      </c>
    </row>
    <row r="4115" spans="1:8" x14ac:dyDescent="0.25">
      <c r="A4115" s="2">
        <v>44638</v>
      </c>
      <c r="B4115" s="1" t="s">
        <v>56</v>
      </c>
      <c r="C4115">
        <v>5927</v>
      </c>
      <c r="D4115" s="1" t="s">
        <v>226</v>
      </c>
      <c r="E4115" s="1" t="s">
        <v>5</v>
      </c>
      <c r="F4115">
        <v>17</v>
      </c>
      <c r="G4115" s="1" t="str">
        <f>Ocupacao_DW[[#This Row],[data]]&amp;Ocupacao_DW[[#This Row],[profissional_id]]&amp;Ocupacao_DW[[#This Row],[local_id]]</f>
        <v>44638592717</v>
      </c>
      <c r="H4115" s="1">
        <f>_xlfn.XLOOKUP(Ocupacao_DW[[#This Row],[Concat]],Vagas!$H:$H,Vagas!$D:$D,"",0)</f>
        <v>0</v>
      </c>
    </row>
    <row r="4116" spans="1:8" x14ac:dyDescent="0.25">
      <c r="A4116" s="2">
        <v>44645</v>
      </c>
      <c r="B4116" s="1" t="s">
        <v>52</v>
      </c>
      <c r="C4116">
        <v>10691</v>
      </c>
      <c r="D4116" s="1" t="s">
        <v>181</v>
      </c>
      <c r="E4116" s="1" t="s">
        <v>6</v>
      </c>
      <c r="F4116">
        <v>6</v>
      </c>
      <c r="G4116" s="1" t="str">
        <f>Ocupacao_DW[[#This Row],[data]]&amp;Ocupacao_DW[[#This Row],[profissional_id]]&amp;Ocupacao_DW[[#This Row],[local_id]]</f>
        <v>44645106916</v>
      </c>
      <c r="H4116" s="1">
        <f>_xlfn.XLOOKUP(Ocupacao_DW[[#This Row],[Concat]],Vagas!$H:$H,Vagas!$D:$D,"",0)</f>
        <v>8</v>
      </c>
    </row>
    <row r="4117" spans="1:8" x14ac:dyDescent="0.25">
      <c r="A4117" s="2">
        <v>44638</v>
      </c>
      <c r="B4117" s="1" t="s">
        <v>54</v>
      </c>
      <c r="C4117">
        <v>69</v>
      </c>
      <c r="D4117" s="1" t="s">
        <v>238</v>
      </c>
      <c r="E4117" s="1" t="s">
        <v>5</v>
      </c>
      <c r="F4117">
        <v>13</v>
      </c>
      <c r="G4117" s="1" t="str">
        <f>Ocupacao_DW[[#This Row],[data]]&amp;Ocupacao_DW[[#This Row],[profissional_id]]&amp;Ocupacao_DW[[#This Row],[local_id]]</f>
        <v>446386913</v>
      </c>
      <c r="H4117" s="1">
        <f>_xlfn.XLOOKUP(Ocupacao_DW[[#This Row],[Concat]],Vagas!$H:$H,Vagas!$D:$D,"",0)</f>
        <v>0</v>
      </c>
    </row>
    <row r="4118" spans="1:8" x14ac:dyDescent="0.25">
      <c r="A4118" s="2">
        <v>44635</v>
      </c>
      <c r="B4118" s="1" t="s">
        <v>64</v>
      </c>
      <c r="C4118">
        <v>86</v>
      </c>
      <c r="D4118" s="1" t="s">
        <v>175</v>
      </c>
      <c r="E4118" s="1" t="s">
        <v>200</v>
      </c>
      <c r="F4118">
        <v>82</v>
      </c>
      <c r="G4118" s="1" t="str">
        <f>Ocupacao_DW[[#This Row],[data]]&amp;Ocupacao_DW[[#This Row],[profissional_id]]&amp;Ocupacao_DW[[#This Row],[local_id]]</f>
        <v>446358682</v>
      </c>
      <c r="H4118" s="1">
        <f>_xlfn.XLOOKUP(Ocupacao_DW[[#This Row],[Concat]],Vagas!$H:$H,Vagas!$D:$D,"",0)</f>
        <v>6</v>
      </c>
    </row>
    <row r="4119" spans="1:8" x14ac:dyDescent="0.25">
      <c r="A4119" s="2">
        <v>44645</v>
      </c>
      <c r="B4119" s="1" t="s">
        <v>72</v>
      </c>
      <c r="C4119">
        <v>13479</v>
      </c>
      <c r="D4119" s="1" t="s">
        <v>203</v>
      </c>
      <c r="E4119" s="1" t="s">
        <v>200</v>
      </c>
      <c r="F4119">
        <v>83</v>
      </c>
      <c r="G4119" s="1" t="str">
        <f>Ocupacao_DW[[#This Row],[data]]&amp;Ocupacao_DW[[#This Row],[profissional_id]]&amp;Ocupacao_DW[[#This Row],[local_id]]</f>
        <v>446451347983</v>
      </c>
      <c r="H4119" s="1">
        <f>_xlfn.XLOOKUP(Ocupacao_DW[[#This Row],[Concat]],Vagas!$H:$H,Vagas!$D:$D,"",0)</f>
        <v>0</v>
      </c>
    </row>
    <row r="4120" spans="1:8" x14ac:dyDescent="0.25">
      <c r="A4120" s="2">
        <v>44656</v>
      </c>
      <c r="B4120" s="1" t="s">
        <v>55</v>
      </c>
      <c r="C4120">
        <v>73</v>
      </c>
      <c r="D4120" s="1" t="s">
        <v>171</v>
      </c>
      <c r="E4120" s="1" t="s">
        <v>6</v>
      </c>
      <c r="F4120">
        <v>5</v>
      </c>
      <c r="G4120" s="1" t="str">
        <f>Ocupacao_DW[[#This Row],[data]]&amp;Ocupacao_DW[[#This Row],[profissional_id]]&amp;Ocupacao_DW[[#This Row],[local_id]]</f>
        <v>44656735</v>
      </c>
      <c r="H4120" s="1">
        <f>_xlfn.XLOOKUP(Ocupacao_DW[[#This Row],[Concat]],Vagas!$H:$H,Vagas!$D:$D,"",0)</f>
        <v>0</v>
      </c>
    </row>
    <row r="4121" spans="1:8" x14ac:dyDescent="0.25">
      <c r="A4121" s="2">
        <v>44635</v>
      </c>
      <c r="B4121" s="1" t="s">
        <v>276</v>
      </c>
      <c r="C4121">
        <v>17937</v>
      </c>
      <c r="D4121" s="1" t="s">
        <v>297</v>
      </c>
      <c r="E4121" s="1" t="s">
        <v>4</v>
      </c>
      <c r="F4121">
        <v>351</v>
      </c>
      <c r="G4121" s="1" t="str">
        <f>Ocupacao_DW[[#This Row],[data]]&amp;Ocupacao_DW[[#This Row],[profissional_id]]&amp;Ocupacao_DW[[#This Row],[local_id]]</f>
        <v>4463517937351</v>
      </c>
      <c r="H4121" s="1">
        <f>_xlfn.XLOOKUP(Ocupacao_DW[[#This Row],[Concat]],Vagas!$H:$H,Vagas!$D:$D,"",0)</f>
        <v>11</v>
      </c>
    </row>
    <row r="4122" spans="1:8" x14ac:dyDescent="0.25">
      <c r="A4122" s="2">
        <v>44652</v>
      </c>
      <c r="B4122" s="1" t="s">
        <v>24</v>
      </c>
      <c r="C4122">
        <v>60</v>
      </c>
      <c r="D4122" s="1" t="s">
        <v>217</v>
      </c>
      <c r="E4122" s="1" t="s">
        <v>6</v>
      </c>
      <c r="F4122">
        <v>1</v>
      </c>
      <c r="G4122" s="1" t="str">
        <f>Ocupacao_DW[[#This Row],[data]]&amp;Ocupacao_DW[[#This Row],[profissional_id]]&amp;Ocupacao_DW[[#This Row],[local_id]]</f>
        <v>44652601</v>
      </c>
      <c r="H4122" s="1">
        <f>_xlfn.XLOOKUP(Ocupacao_DW[[#This Row],[Concat]],Vagas!$H:$H,Vagas!$D:$D,"",0)</f>
        <v>0</v>
      </c>
    </row>
    <row r="4123" spans="1:8" x14ac:dyDescent="0.25">
      <c r="A4123" s="2">
        <v>44635</v>
      </c>
      <c r="B4123" s="1" t="s">
        <v>68</v>
      </c>
      <c r="C4123">
        <v>8239</v>
      </c>
      <c r="D4123" s="1" t="s">
        <v>257</v>
      </c>
      <c r="E4123" s="1" t="s">
        <v>5</v>
      </c>
      <c r="F4123">
        <v>14</v>
      </c>
      <c r="G4123" s="1" t="str">
        <f>Ocupacao_DW[[#This Row],[data]]&amp;Ocupacao_DW[[#This Row],[profissional_id]]&amp;Ocupacao_DW[[#This Row],[local_id]]</f>
        <v>44635823914</v>
      </c>
      <c r="H4123" s="1">
        <f>_xlfn.XLOOKUP(Ocupacao_DW[[#This Row],[Concat]],Vagas!$H:$H,Vagas!$D:$D,"",0)</f>
        <v>0</v>
      </c>
    </row>
    <row r="4124" spans="1:8" x14ac:dyDescent="0.25">
      <c r="A4124" s="2">
        <v>44640</v>
      </c>
      <c r="B4124" s="1" t="s">
        <v>62</v>
      </c>
      <c r="C4124">
        <v>4887</v>
      </c>
      <c r="D4124" s="1" t="s">
        <v>168</v>
      </c>
      <c r="E4124" s="1" t="s">
        <v>167</v>
      </c>
      <c r="F4124">
        <v>340</v>
      </c>
      <c r="G4124" s="1" t="str">
        <f>Ocupacao_DW[[#This Row],[data]]&amp;Ocupacao_DW[[#This Row],[profissional_id]]&amp;Ocupacao_DW[[#This Row],[local_id]]</f>
        <v>446404887340</v>
      </c>
      <c r="H4124" s="1">
        <f>_xlfn.XLOOKUP(Ocupacao_DW[[#This Row],[Concat]],Vagas!$H:$H,Vagas!$D:$D,"",0)</f>
        <v>0</v>
      </c>
    </row>
    <row r="4125" spans="1:8" x14ac:dyDescent="0.25">
      <c r="A4125" s="2">
        <v>44637</v>
      </c>
      <c r="B4125" s="1" t="s">
        <v>66</v>
      </c>
      <c r="C4125">
        <v>1343</v>
      </c>
      <c r="D4125" s="1" t="s">
        <v>263</v>
      </c>
      <c r="E4125" s="1" t="s">
        <v>200</v>
      </c>
      <c r="F4125">
        <v>80</v>
      </c>
      <c r="G4125" s="1" t="str">
        <f>Ocupacao_DW[[#This Row],[data]]&amp;Ocupacao_DW[[#This Row],[profissional_id]]&amp;Ocupacao_DW[[#This Row],[local_id]]</f>
        <v>44637134380</v>
      </c>
      <c r="H4125" s="1">
        <f>_xlfn.XLOOKUP(Ocupacao_DW[[#This Row],[Concat]],Vagas!$H:$H,Vagas!$D:$D,"",0)</f>
        <v>0</v>
      </c>
    </row>
    <row r="4126" spans="1:8" x14ac:dyDescent="0.25">
      <c r="A4126" s="2">
        <v>44641</v>
      </c>
      <c r="B4126" s="1"/>
      <c r="C4126">
        <v>0</v>
      </c>
      <c r="D4126" s="1"/>
      <c r="E4126" s="1" t="s">
        <v>167</v>
      </c>
      <c r="F4126">
        <v>24</v>
      </c>
      <c r="G4126" s="1" t="str">
        <f>Ocupacao_DW[[#This Row],[data]]&amp;Ocupacao_DW[[#This Row],[profissional_id]]&amp;Ocupacao_DW[[#This Row],[local_id]]</f>
        <v>44641024</v>
      </c>
      <c r="H4126" s="1" t="str">
        <f>_xlfn.XLOOKUP(Ocupacao_DW[[#This Row],[Concat]],Vagas!$H:$H,Vagas!$D:$D,"",0)</f>
        <v/>
      </c>
    </row>
    <row r="4127" spans="1:8" x14ac:dyDescent="0.25">
      <c r="A4127" s="2">
        <v>44657</v>
      </c>
      <c r="B4127" s="1" t="s">
        <v>43</v>
      </c>
      <c r="C4127">
        <v>2396</v>
      </c>
      <c r="D4127" s="1" t="s">
        <v>197</v>
      </c>
      <c r="E4127" s="1" t="s">
        <v>6</v>
      </c>
      <c r="F4127">
        <v>2</v>
      </c>
      <c r="G4127" s="1" t="str">
        <f>Ocupacao_DW[[#This Row],[data]]&amp;Ocupacao_DW[[#This Row],[profissional_id]]&amp;Ocupacao_DW[[#This Row],[local_id]]</f>
        <v>4465723962</v>
      </c>
      <c r="H4127" s="1">
        <f>_xlfn.XLOOKUP(Ocupacao_DW[[#This Row],[Concat]],Vagas!$H:$H,Vagas!$D:$D,"",0)</f>
        <v>0</v>
      </c>
    </row>
    <row r="4128" spans="1:8" x14ac:dyDescent="0.25">
      <c r="A4128" s="2">
        <v>44635</v>
      </c>
      <c r="B4128" s="1"/>
      <c r="C4128">
        <v>0</v>
      </c>
      <c r="D4128" s="1"/>
      <c r="E4128" s="1" t="s">
        <v>4</v>
      </c>
      <c r="F4128">
        <v>39</v>
      </c>
      <c r="G4128" s="1" t="str">
        <f>Ocupacao_DW[[#This Row],[data]]&amp;Ocupacao_DW[[#This Row],[profissional_id]]&amp;Ocupacao_DW[[#This Row],[local_id]]</f>
        <v>44635039</v>
      </c>
      <c r="H4128" s="1" t="str">
        <f>_xlfn.XLOOKUP(Ocupacao_DW[[#This Row],[Concat]],Vagas!$H:$H,Vagas!$D:$D,"",0)</f>
        <v/>
      </c>
    </row>
    <row r="4129" spans="1:8" x14ac:dyDescent="0.25">
      <c r="A4129" s="2">
        <v>44636</v>
      </c>
      <c r="B4129" s="1" t="s">
        <v>64</v>
      </c>
      <c r="C4129">
        <v>531</v>
      </c>
      <c r="D4129" s="1" t="s">
        <v>213</v>
      </c>
      <c r="E4129" s="1" t="s">
        <v>5</v>
      </c>
      <c r="F4129">
        <v>12</v>
      </c>
      <c r="G4129" s="1" t="str">
        <f>Ocupacao_DW[[#This Row],[data]]&amp;Ocupacao_DW[[#This Row],[profissional_id]]&amp;Ocupacao_DW[[#This Row],[local_id]]</f>
        <v>4463653112</v>
      </c>
      <c r="H4129" s="1">
        <f>_xlfn.XLOOKUP(Ocupacao_DW[[#This Row],[Concat]],Vagas!$H:$H,Vagas!$D:$D,"",0)</f>
        <v>0</v>
      </c>
    </row>
    <row r="4130" spans="1:8" x14ac:dyDescent="0.25">
      <c r="A4130" s="2">
        <v>44642</v>
      </c>
      <c r="B4130" s="1" t="s">
        <v>52</v>
      </c>
      <c r="C4130">
        <v>60</v>
      </c>
      <c r="D4130" s="1" t="s">
        <v>217</v>
      </c>
      <c r="E4130" s="1" t="s">
        <v>167</v>
      </c>
      <c r="F4130">
        <v>345</v>
      </c>
      <c r="G4130" s="1" t="str">
        <f>Ocupacao_DW[[#This Row],[data]]&amp;Ocupacao_DW[[#This Row],[profissional_id]]&amp;Ocupacao_DW[[#This Row],[local_id]]</f>
        <v>4464260345</v>
      </c>
      <c r="H4130" s="1">
        <f>_xlfn.XLOOKUP(Ocupacao_DW[[#This Row],[Concat]],Vagas!$H:$H,Vagas!$D:$D,"",0)</f>
        <v>0</v>
      </c>
    </row>
    <row r="4131" spans="1:8" x14ac:dyDescent="0.25">
      <c r="A4131" s="2">
        <v>44652</v>
      </c>
      <c r="B4131" s="1" t="s">
        <v>43</v>
      </c>
      <c r="C4131">
        <v>57</v>
      </c>
      <c r="D4131" s="1" t="s">
        <v>169</v>
      </c>
      <c r="E4131" s="1" t="s">
        <v>6</v>
      </c>
      <c r="F4131">
        <v>2</v>
      </c>
      <c r="G4131" s="1" t="str">
        <f>Ocupacao_DW[[#This Row],[data]]&amp;Ocupacao_DW[[#This Row],[profissional_id]]&amp;Ocupacao_DW[[#This Row],[local_id]]</f>
        <v>44652572</v>
      </c>
      <c r="H4131" s="1">
        <f>_xlfn.XLOOKUP(Ocupacao_DW[[#This Row],[Concat]],Vagas!$H:$H,Vagas!$D:$D,"",0)</f>
        <v>21</v>
      </c>
    </row>
    <row r="4132" spans="1:8" x14ac:dyDescent="0.25">
      <c r="A4132" s="2">
        <v>44652</v>
      </c>
      <c r="B4132" s="1" t="s">
        <v>24</v>
      </c>
      <c r="C4132">
        <v>60</v>
      </c>
      <c r="D4132" s="1" t="s">
        <v>217</v>
      </c>
      <c r="E4132" s="1" t="s">
        <v>6</v>
      </c>
      <c r="F4132">
        <v>1</v>
      </c>
      <c r="G4132" s="1" t="str">
        <f>Ocupacao_DW[[#This Row],[data]]&amp;Ocupacao_DW[[#This Row],[profissional_id]]&amp;Ocupacao_DW[[#This Row],[local_id]]</f>
        <v>44652601</v>
      </c>
      <c r="H4132" s="1">
        <f>_xlfn.XLOOKUP(Ocupacao_DW[[#This Row],[Concat]],Vagas!$H:$H,Vagas!$D:$D,"",0)</f>
        <v>0</v>
      </c>
    </row>
    <row r="4133" spans="1:8" x14ac:dyDescent="0.25">
      <c r="A4133" s="2">
        <v>44652</v>
      </c>
      <c r="B4133" s="1" t="s">
        <v>24</v>
      </c>
      <c r="C4133">
        <v>60</v>
      </c>
      <c r="D4133" s="1" t="s">
        <v>217</v>
      </c>
      <c r="E4133" s="1" t="s">
        <v>6</v>
      </c>
      <c r="F4133">
        <v>1</v>
      </c>
      <c r="G4133" s="1" t="str">
        <f>Ocupacao_DW[[#This Row],[data]]&amp;Ocupacao_DW[[#This Row],[profissional_id]]&amp;Ocupacao_DW[[#This Row],[local_id]]</f>
        <v>44652601</v>
      </c>
      <c r="H4133" s="1">
        <f>_xlfn.XLOOKUP(Ocupacao_DW[[#This Row],[Concat]],Vagas!$H:$H,Vagas!$D:$D,"",0)</f>
        <v>0</v>
      </c>
    </row>
    <row r="4134" spans="1:8" x14ac:dyDescent="0.25">
      <c r="A4134" s="2">
        <v>44638</v>
      </c>
      <c r="B4134" s="1" t="s">
        <v>43</v>
      </c>
      <c r="C4134">
        <v>57</v>
      </c>
      <c r="D4134" s="1" t="s">
        <v>169</v>
      </c>
      <c r="E4134" s="1" t="s">
        <v>6</v>
      </c>
      <c r="F4134">
        <v>2</v>
      </c>
      <c r="G4134" s="1" t="str">
        <f>Ocupacao_DW[[#This Row],[data]]&amp;Ocupacao_DW[[#This Row],[profissional_id]]&amp;Ocupacao_DW[[#This Row],[local_id]]</f>
        <v>44638572</v>
      </c>
      <c r="H4134" s="1">
        <f>_xlfn.XLOOKUP(Ocupacao_DW[[#This Row],[Concat]],Vagas!$H:$H,Vagas!$D:$D,"",0)</f>
        <v>15</v>
      </c>
    </row>
    <row r="4135" spans="1:8" x14ac:dyDescent="0.25">
      <c r="A4135" s="2">
        <v>44644</v>
      </c>
      <c r="B4135" s="1" t="s">
        <v>70</v>
      </c>
      <c r="C4135">
        <v>12519</v>
      </c>
      <c r="D4135" s="1" t="s">
        <v>176</v>
      </c>
      <c r="E4135" s="1" t="s">
        <v>4</v>
      </c>
      <c r="F4135">
        <v>42</v>
      </c>
      <c r="G4135" s="1" t="str">
        <f>Ocupacao_DW[[#This Row],[data]]&amp;Ocupacao_DW[[#This Row],[profissional_id]]&amp;Ocupacao_DW[[#This Row],[local_id]]</f>
        <v>446441251942</v>
      </c>
      <c r="H4135" s="1">
        <f>_xlfn.XLOOKUP(Ocupacao_DW[[#This Row],[Concat]],Vagas!$H:$H,Vagas!$D:$D,"",0)</f>
        <v>0</v>
      </c>
    </row>
    <row r="4136" spans="1:8" x14ac:dyDescent="0.25">
      <c r="A4136" s="2">
        <v>44637</v>
      </c>
      <c r="B4136" s="1" t="s">
        <v>21</v>
      </c>
      <c r="C4136">
        <v>17890</v>
      </c>
      <c r="D4136" s="1" t="s">
        <v>270</v>
      </c>
      <c r="E4136" s="1" t="s">
        <v>6</v>
      </c>
      <c r="F4136">
        <v>4</v>
      </c>
      <c r="G4136" s="1" t="str">
        <f>Ocupacao_DW[[#This Row],[data]]&amp;Ocupacao_DW[[#This Row],[profissional_id]]&amp;Ocupacao_DW[[#This Row],[local_id]]</f>
        <v>44637178904</v>
      </c>
      <c r="H4136" s="1">
        <f>_xlfn.XLOOKUP(Ocupacao_DW[[#This Row],[Concat]],Vagas!$H:$H,Vagas!$D:$D,"",0)</f>
        <v>5</v>
      </c>
    </row>
    <row r="4137" spans="1:8" x14ac:dyDescent="0.25">
      <c r="A4137" s="2">
        <v>44641</v>
      </c>
      <c r="B4137" s="1"/>
      <c r="C4137">
        <v>81</v>
      </c>
      <c r="D4137" s="1" t="s">
        <v>170</v>
      </c>
      <c r="E4137" s="1" t="s">
        <v>4</v>
      </c>
      <c r="F4137">
        <v>41</v>
      </c>
      <c r="G4137" s="1" t="str">
        <f>Ocupacao_DW[[#This Row],[data]]&amp;Ocupacao_DW[[#This Row],[profissional_id]]&amp;Ocupacao_DW[[#This Row],[local_id]]</f>
        <v>446418141</v>
      </c>
      <c r="H4137" s="1">
        <f>_xlfn.XLOOKUP(Ocupacao_DW[[#This Row],[Concat]],Vagas!$H:$H,Vagas!$D:$D,"",0)</f>
        <v>0</v>
      </c>
    </row>
    <row r="4138" spans="1:8" x14ac:dyDescent="0.25">
      <c r="A4138" s="2">
        <v>44648</v>
      </c>
      <c r="B4138" s="1" t="s">
        <v>55</v>
      </c>
      <c r="C4138">
        <v>6392</v>
      </c>
      <c r="D4138" s="1" t="s">
        <v>173</v>
      </c>
      <c r="E4138" s="1" t="s">
        <v>6</v>
      </c>
      <c r="F4138">
        <v>5</v>
      </c>
      <c r="G4138" s="1" t="str">
        <f>Ocupacao_DW[[#This Row],[data]]&amp;Ocupacao_DW[[#This Row],[profissional_id]]&amp;Ocupacao_DW[[#This Row],[local_id]]</f>
        <v>4464863925</v>
      </c>
      <c r="H4138" s="1">
        <f>_xlfn.XLOOKUP(Ocupacao_DW[[#This Row],[Concat]],Vagas!$H:$H,Vagas!$D:$D,"",0)</f>
        <v>0</v>
      </c>
    </row>
    <row r="4139" spans="1:8" x14ac:dyDescent="0.25">
      <c r="A4139" s="2">
        <v>44645</v>
      </c>
      <c r="B4139" s="1" t="s">
        <v>49</v>
      </c>
      <c r="C4139">
        <v>12142</v>
      </c>
      <c r="D4139" s="1" t="s">
        <v>219</v>
      </c>
      <c r="E4139" s="1" t="s">
        <v>4</v>
      </c>
      <c r="F4139">
        <v>44</v>
      </c>
      <c r="G4139" s="1" t="str">
        <f>Ocupacao_DW[[#This Row],[data]]&amp;Ocupacao_DW[[#This Row],[profissional_id]]&amp;Ocupacao_DW[[#This Row],[local_id]]</f>
        <v>446451214244</v>
      </c>
      <c r="H4139" s="1">
        <f>_xlfn.XLOOKUP(Ocupacao_DW[[#This Row],[Concat]],Vagas!$H:$H,Vagas!$D:$D,"",0)</f>
        <v>0</v>
      </c>
    </row>
    <row r="4140" spans="1:8" x14ac:dyDescent="0.25">
      <c r="A4140" s="2">
        <v>44648</v>
      </c>
      <c r="B4140" s="1" t="s">
        <v>49</v>
      </c>
      <c r="C4140">
        <v>6430</v>
      </c>
      <c r="D4140" s="1" t="s">
        <v>188</v>
      </c>
      <c r="E4140" s="1" t="s">
        <v>200</v>
      </c>
      <c r="F4140">
        <v>86</v>
      </c>
      <c r="G4140" s="1" t="str">
        <f>Ocupacao_DW[[#This Row],[data]]&amp;Ocupacao_DW[[#This Row],[profissional_id]]&amp;Ocupacao_DW[[#This Row],[local_id]]</f>
        <v>44648643086</v>
      </c>
      <c r="H4140" s="1">
        <f>_xlfn.XLOOKUP(Ocupacao_DW[[#This Row],[Concat]],Vagas!$H:$H,Vagas!$D:$D,"",0)</f>
        <v>0</v>
      </c>
    </row>
    <row r="4141" spans="1:8" x14ac:dyDescent="0.25">
      <c r="A4141" s="2">
        <v>44635</v>
      </c>
      <c r="B4141" s="1" t="s">
        <v>47</v>
      </c>
      <c r="C4141">
        <v>9111</v>
      </c>
      <c r="D4141" s="1" t="s">
        <v>206</v>
      </c>
      <c r="E4141" s="1" t="s">
        <v>4</v>
      </c>
      <c r="F4141">
        <v>335</v>
      </c>
      <c r="G4141" s="1" t="str">
        <f>Ocupacao_DW[[#This Row],[data]]&amp;Ocupacao_DW[[#This Row],[profissional_id]]&amp;Ocupacao_DW[[#This Row],[local_id]]</f>
        <v>446359111335</v>
      </c>
      <c r="H4141" s="1">
        <f>_xlfn.XLOOKUP(Ocupacao_DW[[#This Row],[Concat]],Vagas!$H:$H,Vagas!$D:$D,"",0)</f>
        <v>0</v>
      </c>
    </row>
    <row r="4142" spans="1:8" x14ac:dyDescent="0.25">
      <c r="A4142" s="2">
        <v>44657</v>
      </c>
      <c r="B4142" s="1" t="s">
        <v>55</v>
      </c>
      <c r="C4142">
        <v>73</v>
      </c>
      <c r="D4142" s="1" t="s">
        <v>171</v>
      </c>
      <c r="E4142" s="1" t="s">
        <v>6</v>
      </c>
      <c r="F4142">
        <v>5</v>
      </c>
      <c r="G4142" s="1" t="str">
        <f>Ocupacao_DW[[#This Row],[data]]&amp;Ocupacao_DW[[#This Row],[profissional_id]]&amp;Ocupacao_DW[[#This Row],[local_id]]</f>
        <v>44657735</v>
      </c>
      <c r="H4142" s="1">
        <f>_xlfn.XLOOKUP(Ocupacao_DW[[#This Row],[Concat]],Vagas!$H:$H,Vagas!$D:$D,"",0)</f>
        <v>0</v>
      </c>
    </row>
    <row r="4143" spans="1:8" x14ac:dyDescent="0.25">
      <c r="A4143" s="2">
        <v>44645</v>
      </c>
      <c r="B4143" s="1" t="s">
        <v>56</v>
      </c>
      <c r="C4143">
        <v>13660</v>
      </c>
      <c r="D4143" s="1" t="s">
        <v>250</v>
      </c>
      <c r="E4143" s="1" t="s">
        <v>5</v>
      </c>
      <c r="F4143">
        <v>15</v>
      </c>
      <c r="G4143" s="1" t="str">
        <f>Ocupacao_DW[[#This Row],[data]]&amp;Ocupacao_DW[[#This Row],[profissional_id]]&amp;Ocupacao_DW[[#This Row],[local_id]]</f>
        <v>446451366015</v>
      </c>
      <c r="H4143" s="1">
        <f>_xlfn.XLOOKUP(Ocupacao_DW[[#This Row],[Concat]],Vagas!$H:$H,Vagas!$D:$D,"",0)</f>
        <v>0</v>
      </c>
    </row>
    <row r="4144" spans="1:8" x14ac:dyDescent="0.25">
      <c r="A4144" s="2">
        <v>44638</v>
      </c>
      <c r="B4144" s="1" t="s">
        <v>47</v>
      </c>
      <c r="C4144">
        <v>12684</v>
      </c>
      <c r="D4144" s="1" t="s">
        <v>236</v>
      </c>
      <c r="E4144" s="1" t="s">
        <v>200</v>
      </c>
      <c r="F4144">
        <v>85</v>
      </c>
      <c r="G4144" s="1" t="str">
        <f>Ocupacao_DW[[#This Row],[data]]&amp;Ocupacao_DW[[#This Row],[profissional_id]]&amp;Ocupacao_DW[[#This Row],[local_id]]</f>
        <v>446381268485</v>
      </c>
      <c r="H4144" s="1">
        <f>_xlfn.XLOOKUP(Ocupacao_DW[[#This Row],[Concat]],Vagas!$H:$H,Vagas!$D:$D,"",0)</f>
        <v>0</v>
      </c>
    </row>
    <row r="4145" spans="1:8" x14ac:dyDescent="0.25">
      <c r="A4145" s="2">
        <v>44636</v>
      </c>
      <c r="B4145" s="1" t="s">
        <v>64</v>
      </c>
      <c r="C4145">
        <v>531</v>
      </c>
      <c r="D4145" s="1" t="s">
        <v>213</v>
      </c>
      <c r="E4145" s="1" t="s">
        <v>5</v>
      </c>
      <c r="F4145">
        <v>12</v>
      </c>
      <c r="G4145" s="1" t="str">
        <f>Ocupacao_DW[[#This Row],[data]]&amp;Ocupacao_DW[[#This Row],[profissional_id]]&amp;Ocupacao_DW[[#This Row],[local_id]]</f>
        <v>4463653112</v>
      </c>
      <c r="H4145" s="1">
        <f>_xlfn.XLOOKUP(Ocupacao_DW[[#This Row],[Concat]],Vagas!$H:$H,Vagas!$D:$D,"",0)</f>
        <v>0</v>
      </c>
    </row>
    <row r="4146" spans="1:8" x14ac:dyDescent="0.25">
      <c r="A4146" s="2">
        <v>44636</v>
      </c>
      <c r="B4146" s="1" t="s">
        <v>64</v>
      </c>
      <c r="C4146">
        <v>531</v>
      </c>
      <c r="D4146" s="1" t="s">
        <v>213</v>
      </c>
      <c r="E4146" s="1" t="s">
        <v>5</v>
      </c>
      <c r="F4146">
        <v>12</v>
      </c>
      <c r="G4146" s="1" t="str">
        <f>Ocupacao_DW[[#This Row],[data]]&amp;Ocupacao_DW[[#This Row],[profissional_id]]&amp;Ocupacao_DW[[#This Row],[local_id]]</f>
        <v>4463653112</v>
      </c>
      <c r="H4146" s="1">
        <f>_xlfn.XLOOKUP(Ocupacao_DW[[#This Row],[Concat]],Vagas!$H:$H,Vagas!$D:$D,"",0)</f>
        <v>0</v>
      </c>
    </row>
    <row r="4147" spans="1:8" x14ac:dyDescent="0.25">
      <c r="A4147" s="2">
        <v>44635</v>
      </c>
      <c r="B4147" s="1" t="s">
        <v>49</v>
      </c>
      <c r="C4147">
        <v>81</v>
      </c>
      <c r="D4147" s="1" t="s">
        <v>170</v>
      </c>
      <c r="E4147" s="1" t="s">
        <v>7</v>
      </c>
      <c r="F4147">
        <v>71</v>
      </c>
      <c r="G4147" s="1" t="str">
        <f>Ocupacao_DW[[#This Row],[data]]&amp;Ocupacao_DW[[#This Row],[profissional_id]]&amp;Ocupacao_DW[[#This Row],[local_id]]</f>
        <v>446358171</v>
      </c>
      <c r="H4147" s="1">
        <f>_xlfn.XLOOKUP(Ocupacao_DW[[#This Row],[Concat]],Vagas!$H:$H,Vagas!$D:$D,"",0)</f>
        <v>0</v>
      </c>
    </row>
    <row r="4148" spans="1:8" x14ac:dyDescent="0.25">
      <c r="A4148" s="2">
        <v>44635</v>
      </c>
      <c r="B4148" s="1" t="s">
        <v>276</v>
      </c>
      <c r="C4148">
        <v>17883</v>
      </c>
      <c r="D4148" s="1" t="s">
        <v>277</v>
      </c>
      <c r="E4148" s="1" t="s">
        <v>4</v>
      </c>
      <c r="F4148">
        <v>351</v>
      </c>
      <c r="G4148" s="1" t="str">
        <f>Ocupacao_DW[[#This Row],[data]]&amp;Ocupacao_DW[[#This Row],[profissional_id]]&amp;Ocupacao_DW[[#This Row],[local_id]]</f>
        <v>4463517883351</v>
      </c>
      <c r="H4148" s="1">
        <f>_xlfn.XLOOKUP(Ocupacao_DW[[#This Row],[Concat]],Vagas!$H:$H,Vagas!$D:$D,"",0)</f>
        <v>0</v>
      </c>
    </row>
    <row r="4149" spans="1:8" x14ac:dyDescent="0.25">
      <c r="A4149" s="2">
        <v>44641</v>
      </c>
      <c r="B4149" s="1" t="s">
        <v>72</v>
      </c>
      <c r="C4149">
        <v>6046</v>
      </c>
      <c r="D4149" s="1" t="s">
        <v>222</v>
      </c>
      <c r="E4149" s="1" t="s">
        <v>4</v>
      </c>
      <c r="F4149">
        <v>46</v>
      </c>
      <c r="G4149" s="1" t="str">
        <f>Ocupacao_DW[[#This Row],[data]]&amp;Ocupacao_DW[[#This Row],[profissional_id]]&amp;Ocupacao_DW[[#This Row],[local_id]]</f>
        <v>44641604646</v>
      </c>
      <c r="H4149" s="1">
        <f>_xlfn.XLOOKUP(Ocupacao_DW[[#This Row],[Concat]],Vagas!$H:$H,Vagas!$D:$D,"",0)</f>
        <v>0</v>
      </c>
    </row>
    <row r="4150" spans="1:8" x14ac:dyDescent="0.25">
      <c r="A4150" s="2">
        <v>44636</v>
      </c>
      <c r="B4150" s="1" t="s">
        <v>49</v>
      </c>
      <c r="C4150">
        <v>6430</v>
      </c>
      <c r="D4150" s="1" t="s">
        <v>188</v>
      </c>
      <c r="E4150" s="1" t="s">
        <v>4</v>
      </c>
      <c r="F4150">
        <v>42</v>
      </c>
      <c r="G4150" s="1" t="str">
        <f>Ocupacao_DW[[#This Row],[data]]&amp;Ocupacao_DW[[#This Row],[profissional_id]]&amp;Ocupacao_DW[[#This Row],[local_id]]</f>
        <v>44636643042</v>
      </c>
      <c r="H4150" s="1">
        <f>_xlfn.XLOOKUP(Ocupacao_DW[[#This Row],[Concat]],Vagas!$H:$H,Vagas!$D:$D,"",0)</f>
        <v>0</v>
      </c>
    </row>
    <row r="4151" spans="1:8" x14ac:dyDescent="0.25">
      <c r="A4151" s="2">
        <v>44635</v>
      </c>
      <c r="B4151" s="1" t="s">
        <v>64</v>
      </c>
      <c r="C4151">
        <v>86</v>
      </c>
      <c r="D4151" s="1" t="s">
        <v>175</v>
      </c>
      <c r="E4151" s="1" t="s">
        <v>200</v>
      </c>
      <c r="F4151">
        <v>82</v>
      </c>
      <c r="G4151" s="1" t="str">
        <f>Ocupacao_DW[[#This Row],[data]]&amp;Ocupacao_DW[[#This Row],[profissional_id]]&amp;Ocupacao_DW[[#This Row],[local_id]]</f>
        <v>446358682</v>
      </c>
      <c r="H4151" s="1">
        <f>_xlfn.XLOOKUP(Ocupacao_DW[[#This Row],[Concat]],Vagas!$H:$H,Vagas!$D:$D,"",0)</f>
        <v>6</v>
      </c>
    </row>
    <row r="4152" spans="1:8" x14ac:dyDescent="0.25">
      <c r="A4152" s="2">
        <v>44636</v>
      </c>
      <c r="B4152" s="1" t="s">
        <v>62</v>
      </c>
      <c r="C4152">
        <v>10799</v>
      </c>
      <c r="D4152" s="1" t="s">
        <v>204</v>
      </c>
      <c r="E4152" s="1" t="s">
        <v>5</v>
      </c>
      <c r="F4152">
        <v>18</v>
      </c>
      <c r="G4152" s="1" t="str">
        <f>Ocupacao_DW[[#This Row],[data]]&amp;Ocupacao_DW[[#This Row],[profissional_id]]&amp;Ocupacao_DW[[#This Row],[local_id]]</f>
        <v>446361079918</v>
      </c>
      <c r="H4152" s="1">
        <f>_xlfn.XLOOKUP(Ocupacao_DW[[#This Row],[Concat]],Vagas!$H:$H,Vagas!$D:$D,"",0)</f>
        <v>0</v>
      </c>
    </row>
    <row r="4153" spans="1:8" x14ac:dyDescent="0.25">
      <c r="A4153" s="2">
        <v>44635</v>
      </c>
      <c r="B4153" s="1" t="s">
        <v>54</v>
      </c>
      <c r="C4153">
        <v>10941</v>
      </c>
      <c r="D4153" s="1" t="s">
        <v>224</v>
      </c>
      <c r="E4153" s="1" t="s">
        <v>5</v>
      </c>
      <c r="F4153">
        <v>12</v>
      </c>
      <c r="G4153" s="1" t="str">
        <f>Ocupacao_DW[[#This Row],[data]]&amp;Ocupacao_DW[[#This Row],[profissional_id]]&amp;Ocupacao_DW[[#This Row],[local_id]]</f>
        <v>446351094112</v>
      </c>
      <c r="H4153" s="1">
        <f>_xlfn.XLOOKUP(Ocupacao_DW[[#This Row],[Concat]],Vagas!$H:$H,Vagas!$D:$D,"",0)</f>
        <v>0</v>
      </c>
    </row>
    <row r="4154" spans="1:8" x14ac:dyDescent="0.25">
      <c r="A4154" s="2">
        <v>44656</v>
      </c>
      <c r="B4154" s="1"/>
      <c r="C4154">
        <v>0</v>
      </c>
      <c r="D4154" s="1"/>
      <c r="E4154" s="1" t="s">
        <v>167</v>
      </c>
      <c r="F4154">
        <v>24</v>
      </c>
      <c r="G4154" s="1" t="str">
        <f>Ocupacao_DW[[#This Row],[data]]&amp;Ocupacao_DW[[#This Row],[profissional_id]]&amp;Ocupacao_DW[[#This Row],[local_id]]</f>
        <v>44656024</v>
      </c>
      <c r="H4154" s="1" t="str">
        <f>_xlfn.XLOOKUP(Ocupacao_DW[[#This Row],[Concat]],Vagas!$H:$H,Vagas!$D:$D,"",0)</f>
        <v/>
      </c>
    </row>
    <row r="4155" spans="1:8" x14ac:dyDescent="0.25">
      <c r="A4155" s="2">
        <v>44635</v>
      </c>
      <c r="B4155" s="1" t="s">
        <v>53</v>
      </c>
      <c r="C4155">
        <v>9138</v>
      </c>
      <c r="D4155" s="1" t="s">
        <v>184</v>
      </c>
      <c r="E4155" s="1" t="s">
        <v>167</v>
      </c>
      <c r="F4155">
        <v>344</v>
      </c>
      <c r="G4155" s="1" t="str">
        <f>Ocupacao_DW[[#This Row],[data]]&amp;Ocupacao_DW[[#This Row],[profissional_id]]&amp;Ocupacao_DW[[#This Row],[local_id]]</f>
        <v>446359138344</v>
      </c>
      <c r="H4155" s="1">
        <f>_xlfn.XLOOKUP(Ocupacao_DW[[#This Row],[Concat]],Vagas!$H:$H,Vagas!$D:$D,"",0)</f>
        <v>0</v>
      </c>
    </row>
    <row r="4156" spans="1:8" x14ac:dyDescent="0.25">
      <c r="A4156" s="2">
        <v>44650</v>
      </c>
      <c r="B4156" s="1" t="s">
        <v>55</v>
      </c>
      <c r="C4156">
        <v>73</v>
      </c>
      <c r="D4156" s="1" t="s">
        <v>171</v>
      </c>
      <c r="E4156" s="1" t="s">
        <v>6</v>
      </c>
      <c r="F4156">
        <v>5</v>
      </c>
      <c r="G4156" s="1" t="str">
        <f>Ocupacao_DW[[#This Row],[data]]&amp;Ocupacao_DW[[#This Row],[profissional_id]]&amp;Ocupacao_DW[[#This Row],[local_id]]</f>
        <v>44650735</v>
      </c>
      <c r="H4156" s="1">
        <f>_xlfn.XLOOKUP(Ocupacao_DW[[#This Row],[Concat]],Vagas!$H:$H,Vagas!$D:$D,"",0)</f>
        <v>0</v>
      </c>
    </row>
    <row r="4157" spans="1:8" x14ac:dyDescent="0.25">
      <c r="A4157" s="2">
        <v>44636</v>
      </c>
      <c r="B4157" s="1" t="s">
        <v>46</v>
      </c>
      <c r="C4157">
        <v>17888</v>
      </c>
      <c r="D4157" s="1" t="s">
        <v>255</v>
      </c>
      <c r="E4157" s="1" t="s">
        <v>4</v>
      </c>
      <c r="F4157">
        <v>40</v>
      </c>
      <c r="G4157" s="1" t="str">
        <f>Ocupacao_DW[[#This Row],[data]]&amp;Ocupacao_DW[[#This Row],[profissional_id]]&amp;Ocupacao_DW[[#This Row],[local_id]]</f>
        <v>446361788840</v>
      </c>
      <c r="H4157" s="1">
        <f>_xlfn.XLOOKUP(Ocupacao_DW[[#This Row],[Concat]],Vagas!$H:$H,Vagas!$D:$D,"",0)</f>
        <v>17</v>
      </c>
    </row>
    <row r="4158" spans="1:8" x14ac:dyDescent="0.25">
      <c r="A4158" s="2">
        <v>44646</v>
      </c>
      <c r="B4158" s="1" t="s">
        <v>55</v>
      </c>
      <c r="C4158">
        <v>17879</v>
      </c>
      <c r="D4158" s="1" t="s">
        <v>233</v>
      </c>
      <c r="E4158" s="1" t="s">
        <v>6</v>
      </c>
      <c r="F4158">
        <v>3</v>
      </c>
      <c r="G4158" s="1" t="str">
        <f>Ocupacao_DW[[#This Row],[data]]&amp;Ocupacao_DW[[#This Row],[profissional_id]]&amp;Ocupacao_DW[[#This Row],[local_id]]</f>
        <v>44646178793</v>
      </c>
      <c r="H4158" s="1">
        <f>_xlfn.XLOOKUP(Ocupacao_DW[[#This Row],[Concat]],Vagas!$H:$H,Vagas!$D:$D,"",0)</f>
        <v>0</v>
      </c>
    </row>
    <row r="4159" spans="1:8" x14ac:dyDescent="0.25">
      <c r="A4159" s="2">
        <v>44638</v>
      </c>
      <c r="B4159" s="1" t="s">
        <v>49</v>
      </c>
      <c r="C4159">
        <v>12142</v>
      </c>
      <c r="D4159" s="1" t="s">
        <v>219</v>
      </c>
      <c r="E4159" s="1" t="s">
        <v>4</v>
      </c>
      <c r="F4159">
        <v>44</v>
      </c>
      <c r="G4159" s="1" t="str">
        <f>Ocupacao_DW[[#This Row],[data]]&amp;Ocupacao_DW[[#This Row],[profissional_id]]&amp;Ocupacao_DW[[#This Row],[local_id]]</f>
        <v>446381214244</v>
      </c>
      <c r="H4159" s="1">
        <f>_xlfn.XLOOKUP(Ocupacao_DW[[#This Row],[Concat]],Vagas!$H:$H,Vagas!$D:$D,"",0)</f>
        <v>0</v>
      </c>
    </row>
    <row r="4160" spans="1:8" x14ac:dyDescent="0.25">
      <c r="A4160" s="2">
        <v>44638</v>
      </c>
      <c r="B4160" s="1" t="s">
        <v>24</v>
      </c>
      <c r="C4160">
        <v>60</v>
      </c>
      <c r="D4160" s="1" t="s">
        <v>217</v>
      </c>
      <c r="E4160" s="1" t="s">
        <v>6</v>
      </c>
      <c r="F4160">
        <v>1</v>
      </c>
      <c r="G4160" s="1" t="str">
        <f>Ocupacao_DW[[#This Row],[data]]&amp;Ocupacao_DW[[#This Row],[profissional_id]]&amp;Ocupacao_DW[[#This Row],[local_id]]</f>
        <v>44638601</v>
      </c>
      <c r="H4160" s="1">
        <f>_xlfn.XLOOKUP(Ocupacao_DW[[#This Row],[Concat]],Vagas!$H:$H,Vagas!$D:$D,"",0)</f>
        <v>0</v>
      </c>
    </row>
    <row r="4161" spans="1:8" x14ac:dyDescent="0.25">
      <c r="A4161" s="2">
        <v>44642</v>
      </c>
      <c r="B4161" s="1" t="s">
        <v>53</v>
      </c>
      <c r="C4161">
        <v>9138</v>
      </c>
      <c r="D4161" s="1" t="s">
        <v>184</v>
      </c>
      <c r="E4161" s="1" t="s">
        <v>167</v>
      </c>
      <c r="F4161">
        <v>344</v>
      </c>
      <c r="G4161" s="1" t="str">
        <f>Ocupacao_DW[[#This Row],[data]]&amp;Ocupacao_DW[[#This Row],[profissional_id]]&amp;Ocupacao_DW[[#This Row],[local_id]]</f>
        <v>446429138344</v>
      </c>
      <c r="H4161" s="1">
        <f>_xlfn.XLOOKUP(Ocupacao_DW[[#This Row],[Concat]],Vagas!$H:$H,Vagas!$D:$D,"",0)</f>
        <v>0</v>
      </c>
    </row>
    <row r="4162" spans="1:8" x14ac:dyDescent="0.25">
      <c r="A4162" s="2">
        <v>44642</v>
      </c>
      <c r="B4162" s="1" t="s">
        <v>69</v>
      </c>
      <c r="C4162">
        <v>13249</v>
      </c>
      <c r="D4162" s="1" t="s">
        <v>178</v>
      </c>
      <c r="E4162" s="1" t="s">
        <v>4</v>
      </c>
      <c r="F4162">
        <v>45</v>
      </c>
      <c r="G4162" s="1" t="str">
        <f>Ocupacao_DW[[#This Row],[data]]&amp;Ocupacao_DW[[#This Row],[profissional_id]]&amp;Ocupacao_DW[[#This Row],[local_id]]</f>
        <v>446421324945</v>
      </c>
      <c r="H4162" s="1">
        <f>_xlfn.XLOOKUP(Ocupacao_DW[[#This Row],[Concat]],Vagas!$H:$H,Vagas!$D:$D,"",0)</f>
        <v>0</v>
      </c>
    </row>
    <row r="4163" spans="1:8" x14ac:dyDescent="0.25">
      <c r="A4163" s="2">
        <v>44641</v>
      </c>
      <c r="B4163" s="1" t="s">
        <v>49</v>
      </c>
      <c r="C4163">
        <v>6430</v>
      </c>
      <c r="D4163" s="1" t="s">
        <v>188</v>
      </c>
      <c r="E4163" s="1" t="s">
        <v>200</v>
      </c>
      <c r="F4163">
        <v>86</v>
      </c>
      <c r="G4163" s="1" t="str">
        <f>Ocupacao_DW[[#This Row],[data]]&amp;Ocupacao_DW[[#This Row],[profissional_id]]&amp;Ocupacao_DW[[#This Row],[local_id]]</f>
        <v>44641643086</v>
      </c>
      <c r="H4163" s="1">
        <f>_xlfn.XLOOKUP(Ocupacao_DW[[#This Row],[Concat]],Vagas!$H:$H,Vagas!$D:$D,"",0)</f>
        <v>0</v>
      </c>
    </row>
    <row r="4164" spans="1:8" x14ac:dyDescent="0.25">
      <c r="A4164" s="2">
        <v>44635</v>
      </c>
      <c r="B4164" s="1" t="s">
        <v>64</v>
      </c>
      <c r="C4164">
        <v>85</v>
      </c>
      <c r="D4164" s="1" t="s">
        <v>211</v>
      </c>
      <c r="E4164" s="1" t="s">
        <v>5</v>
      </c>
      <c r="F4164">
        <v>349</v>
      </c>
      <c r="G4164" s="1" t="str">
        <f>Ocupacao_DW[[#This Row],[data]]&amp;Ocupacao_DW[[#This Row],[profissional_id]]&amp;Ocupacao_DW[[#This Row],[local_id]]</f>
        <v>4463585349</v>
      </c>
      <c r="H4164" s="1">
        <f>_xlfn.XLOOKUP(Ocupacao_DW[[#This Row],[Concat]],Vagas!$H:$H,Vagas!$D:$D,"",0)</f>
        <v>0</v>
      </c>
    </row>
    <row r="4165" spans="1:8" x14ac:dyDescent="0.25">
      <c r="A4165" s="2">
        <v>44643</v>
      </c>
      <c r="B4165" s="1" t="s">
        <v>58</v>
      </c>
      <c r="C4165">
        <v>5767</v>
      </c>
      <c r="D4165" s="1" t="s">
        <v>239</v>
      </c>
      <c r="E4165" s="1" t="s">
        <v>4</v>
      </c>
      <c r="F4165">
        <v>44</v>
      </c>
      <c r="G4165" s="1" t="str">
        <f>Ocupacao_DW[[#This Row],[data]]&amp;Ocupacao_DW[[#This Row],[profissional_id]]&amp;Ocupacao_DW[[#This Row],[local_id]]</f>
        <v>44643576744</v>
      </c>
      <c r="H4165" s="1">
        <f>_xlfn.XLOOKUP(Ocupacao_DW[[#This Row],[Concat]],Vagas!$H:$H,Vagas!$D:$D,"",0)</f>
        <v>0</v>
      </c>
    </row>
    <row r="4166" spans="1:8" x14ac:dyDescent="0.25">
      <c r="A4166" s="2">
        <v>44644</v>
      </c>
      <c r="B4166" s="1" t="s">
        <v>51</v>
      </c>
      <c r="C4166">
        <v>53</v>
      </c>
      <c r="D4166" s="1" t="s">
        <v>254</v>
      </c>
      <c r="E4166" s="1" t="s">
        <v>5</v>
      </c>
      <c r="F4166">
        <v>14</v>
      </c>
      <c r="G4166" s="1" t="str">
        <f>Ocupacao_DW[[#This Row],[data]]&amp;Ocupacao_DW[[#This Row],[profissional_id]]&amp;Ocupacao_DW[[#This Row],[local_id]]</f>
        <v>446445314</v>
      </c>
      <c r="H4166" s="1">
        <f>_xlfn.XLOOKUP(Ocupacao_DW[[#This Row],[Concat]],Vagas!$H:$H,Vagas!$D:$D,"",0)</f>
        <v>0</v>
      </c>
    </row>
    <row r="4167" spans="1:8" x14ac:dyDescent="0.25">
      <c r="A4167" s="2">
        <v>44635</v>
      </c>
      <c r="B4167" s="1" t="s">
        <v>64</v>
      </c>
      <c r="C4167">
        <v>85</v>
      </c>
      <c r="D4167" s="1" t="s">
        <v>211</v>
      </c>
      <c r="E4167" s="1" t="s">
        <v>5</v>
      </c>
      <c r="F4167">
        <v>349</v>
      </c>
      <c r="G4167" s="1" t="str">
        <f>Ocupacao_DW[[#This Row],[data]]&amp;Ocupacao_DW[[#This Row],[profissional_id]]&amp;Ocupacao_DW[[#This Row],[local_id]]</f>
        <v>4463585349</v>
      </c>
      <c r="H4167" s="1">
        <f>_xlfn.XLOOKUP(Ocupacao_DW[[#This Row],[Concat]],Vagas!$H:$H,Vagas!$D:$D,"",0)</f>
        <v>0</v>
      </c>
    </row>
    <row r="4168" spans="1:8" x14ac:dyDescent="0.25">
      <c r="A4168" s="2">
        <v>44648</v>
      </c>
      <c r="B4168" s="1" t="s">
        <v>55</v>
      </c>
      <c r="C4168">
        <v>12669</v>
      </c>
      <c r="D4168" s="1" t="s">
        <v>223</v>
      </c>
      <c r="E4168" s="1" t="s">
        <v>6</v>
      </c>
      <c r="F4168">
        <v>6</v>
      </c>
      <c r="G4168" s="1" t="str">
        <f>Ocupacao_DW[[#This Row],[data]]&amp;Ocupacao_DW[[#This Row],[profissional_id]]&amp;Ocupacao_DW[[#This Row],[local_id]]</f>
        <v>44648126696</v>
      </c>
      <c r="H4168" s="1">
        <f>_xlfn.XLOOKUP(Ocupacao_DW[[#This Row],[Concat]],Vagas!$H:$H,Vagas!$D:$D,"",0)</f>
        <v>0</v>
      </c>
    </row>
    <row r="4169" spans="1:8" x14ac:dyDescent="0.25">
      <c r="A4169" s="2">
        <v>44658</v>
      </c>
      <c r="B4169" s="1" t="s">
        <v>54</v>
      </c>
      <c r="C4169">
        <v>1490</v>
      </c>
      <c r="D4169" s="1" t="s">
        <v>174</v>
      </c>
      <c r="E4169" s="1" t="s">
        <v>5</v>
      </c>
      <c r="F4169">
        <v>13</v>
      </c>
      <c r="G4169" s="1" t="str">
        <f>Ocupacao_DW[[#This Row],[data]]&amp;Ocupacao_DW[[#This Row],[profissional_id]]&amp;Ocupacao_DW[[#This Row],[local_id]]</f>
        <v>44658149013</v>
      </c>
      <c r="H4169" s="1">
        <f>_xlfn.XLOOKUP(Ocupacao_DW[[#This Row],[Concat]],Vagas!$H:$H,Vagas!$D:$D,"",0)</f>
        <v>0</v>
      </c>
    </row>
    <row r="4170" spans="1:8" x14ac:dyDescent="0.25">
      <c r="A4170" s="2">
        <v>44635</v>
      </c>
      <c r="B4170" s="1" t="s">
        <v>54</v>
      </c>
      <c r="C4170">
        <v>12623</v>
      </c>
      <c r="D4170" s="1" t="s">
        <v>258</v>
      </c>
      <c r="E4170" s="1" t="s">
        <v>5</v>
      </c>
      <c r="F4170">
        <v>11</v>
      </c>
      <c r="G4170" s="1" t="str">
        <f>Ocupacao_DW[[#This Row],[data]]&amp;Ocupacao_DW[[#This Row],[profissional_id]]&amp;Ocupacao_DW[[#This Row],[local_id]]</f>
        <v>446351262311</v>
      </c>
      <c r="H4170" s="1">
        <f>_xlfn.XLOOKUP(Ocupacao_DW[[#This Row],[Concat]],Vagas!$H:$H,Vagas!$D:$D,"",0)</f>
        <v>0</v>
      </c>
    </row>
    <row r="4171" spans="1:8" x14ac:dyDescent="0.25">
      <c r="A4171" s="2">
        <v>44636</v>
      </c>
      <c r="B4171" s="1" t="s">
        <v>52</v>
      </c>
      <c r="C4171">
        <v>10691</v>
      </c>
      <c r="D4171" s="1" t="s">
        <v>181</v>
      </c>
      <c r="E4171" s="1" t="s">
        <v>6</v>
      </c>
      <c r="F4171">
        <v>9</v>
      </c>
      <c r="G4171" s="1" t="str">
        <f>Ocupacao_DW[[#This Row],[data]]&amp;Ocupacao_DW[[#This Row],[profissional_id]]&amp;Ocupacao_DW[[#This Row],[local_id]]</f>
        <v>44636106919</v>
      </c>
      <c r="H4171" s="1">
        <f>_xlfn.XLOOKUP(Ocupacao_DW[[#This Row],[Concat]],Vagas!$H:$H,Vagas!$D:$D,"",0)</f>
        <v>0</v>
      </c>
    </row>
    <row r="4172" spans="1:8" x14ac:dyDescent="0.25">
      <c r="A4172" s="2">
        <v>44636</v>
      </c>
      <c r="B4172" s="1" t="s">
        <v>60</v>
      </c>
      <c r="C4172">
        <v>14326</v>
      </c>
      <c r="D4172" s="1" t="s">
        <v>220</v>
      </c>
      <c r="E4172" s="1" t="s">
        <v>4</v>
      </c>
      <c r="F4172">
        <v>43</v>
      </c>
      <c r="G4172" s="1" t="str">
        <f>Ocupacao_DW[[#This Row],[data]]&amp;Ocupacao_DW[[#This Row],[profissional_id]]&amp;Ocupacao_DW[[#This Row],[local_id]]</f>
        <v>446361432643</v>
      </c>
      <c r="H4172" s="1">
        <f>_xlfn.XLOOKUP(Ocupacao_DW[[#This Row],[Concat]],Vagas!$H:$H,Vagas!$D:$D,"",0)</f>
        <v>0</v>
      </c>
    </row>
    <row r="4173" spans="1:8" x14ac:dyDescent="0.25">
      <c r="A4173" s="2">
        <v>44643</v>
      </c>
      <c r="B4173" s="1" t="s">
        <v>70</v>
      </c>
      <c r="C4173">
        <v>12825</v>
      </c>
      <c r="D4173" s="1" t="s">
        <v>177</v>
      </c>
      <c r="E4173" s="1" t="s">
        <v>4</v>
      </c>
      <c r="F4173">
        <v>45</v>
      </c>
      <c r="G4173" s="1" t="str">
        <f>Ocupacao_DW[[#This Row],[data]]&amp;Ocupacao_DW[[#This Row],[profissional_id]]&amp;Ocupacao_DW[[#This Row],[local_id]]</f>
        <v>446431282545</v>
      </c>
      <c r="H4173" s="1">
        <f>_xlfn.XLOOKUP(Ocupacao_DW[[#This Row],[Concat]],Vagas!$H:$H,Vagas!$D:$D,"",0)</f>
        <v>0</v>
      </c>
    </row>
    <row r="4174" spans="1:8" x14ac:dyDescent="0.25">
      <c r="A4174" s="2">
        <v>44637</v>
      </c>
      <c r="B4174" s="1" t="s">
        <v>49</v>
      </c>
      <c r="C4174">
        <v>266</v>
      </c>
      <c r="D4174" s="1" t="s">
        <v>201</v>
      </c>
      <c r="E4174" s="1" t="s">
        <v>4</v>
      </c>
      <c r="F4174">
        <v>42</v>
      </c>
      <c r="G4174" s="1" t="str">
        <f>Ocupacao_DW[[#This Row],[data]]&amp;Ocupacao_DW[[#This Row],[profissional_id]]&amp;Ocupacao_DW[[#This Row],[local_id]]</f>
        <v>4463726642</v>
      </c>
      <c r="H4174" s="1">
        <f>_xlfn.XLOOKUP(Ocupacao_DW[[#This Row],[Concat]],Vagas!$H:$H,Vagas!$D:$D,"",0)</f>
        <v>0</v>
      </c>
    </row>
    <row r="4175" spans="1:8" x14ac:dyDescent="0.25">
      <c r="A4175" s="2">
        <v>44637</v>
      </c>
      <c r="B4175" s="1" t="s">
        <v>54</v>
      </c>
      <c r="C4175">
        <v>69</v>
      </c>
      <c r="D4175" s="1" t="s">
        <v>238</v>
      </c>
      <c r="E4175" s="1" t="s">
        <v>200</v>
      </c>
      <c r="F4175">
        <v>82</v>
      </c>
      <c r="G4175" s="1" t="str">
        <f>Ocupacao_DW[[#This Row],[data]]&amp;Ocupacao_DW[[#This Row],[profissional_id]]&amp;Ocupacao_DW[[#This Row],[local_id]]</f>
        <v>446376982</v>
      </c>
      <c r="H4175" s="1">
        <f>_xlfn.XLOOKUP(Ocupacao_DW[[#This Row],[Concat]],Vagas!$H:$H,Vagas!$D:$D,"",0)</f>
        <v>0</v>
      </c>
    </row>
    <row r="4176" spans="1:8" x14ac:dyDescent="0.25">
      <c r="A4176" s="2">
        <v>44644</v>
      </c>
      <c r="B4176" s="1" t="s">
        <v>55</v>
      </c>
      <c r="C4176">
        <v>8598</v>
      </c>
      <c r="D4176" s="1" t="s">
        <v>228</v>
      </c>
      <c r="E4176" s="1" t="s">
        <v>6</v>
      </c>
      <c r="F4176">
        <v>3</v>
      </c>
      <c r="G4176" s="1" t="str">
        <f>Ocupacao_DW[[#This Row],[data]]&amp;Ocupacao_DW[[#This Row],[profissional_id]]&amp;Ocupacao_DW[[#This Row],[local_id]]</f>
        <v>4464485983</v>
      </c>
      <c r="H4176" s="1">
        <f>_xlfn.XLOOKUP(Ocupacao_DW[[#This Row],[Concat]],Vagas!$H:$H,Vagas!$D:$D,"",0)</f>
        <v>0</v>
      </c>
    </row>
    <row r="4177" spans="1:8" x14ac:dyDescent="0.25">
      <c r="A4177" s="2">
        <v>44649</v>
      </c>
      <c r="B4177" s="1" t="s">
        <v>70</v>
      </c>
      <c r="C4177">
        <v>14237</v>
      </c>
      <c r="D4177" s="1" t="s">
        <v>186</v>
      </c>
      <c r="E4177" s="1" t="s">
        <v>4</v>
      </c>
      <c r="F4177">
        <v>47</v>
      </c>
      <c r="G4177" s="1" t="str">
        <f>Ocupacao_DW[[#This Row],[data]]&amp;Ocupacao_DW[[#This Row],[profissional_id]]&amp;Ocupacao_DW[[#This Row],[local_id]]</f>
        <v>446491423747</v>
      </c>
      <c r="H4177" s="1">
        <f>_xlfn.XLOOKUP(Ocupacao_DW[[#This Row],[Concat]],Vagas!$H:$H,Vagas!$D:$D,"",0)</f>
        <v>0</v>
      </c>
    </row>
    <row r="4178" spans="1:8" x14ac:dyDescent="0.25">
      <c r="A4178" s="2">
        <v>44635</v>
      </c>
      <c r="B4178" s="1" t="s">
        <v>70</v>
      </c>
      <c r="C4178">
        <v>12825</v>
      </c>
      <c r="D4178" s="1" t="s">
        <v>177</v>
      </c>
      <c r="E4178" s="1" t="s">
        <v>7</v>
      </c>
      <c r="F4178">
        <v>63</v>
      </c>
      <c r="G4178" s="1" t="str">
        <f>Ocupacao_DW[[#This Row],[data]]&amp;Ocupacao_DW[[#This Row],[profissional_id]]&amp;Ocupacao_DW[[#This Row],[local_id]]</f>
        <v>446351282563</v>
      </c>
      <c r="H4178" s="1">
        <f>_xlfn.XLOOKUP(Ocupacao_DW[[#This Row],[Concat]],Vagas!$H:$H,Vagas!$D:$D,"",0)</f>
        <v>0</v>
      </c>
    </row>
    <row r="4179" spans="1:8" x14ac:dyDescent="0.25">
      <c r="A4179" s="2">
        <v>44635</v>
      </c>
      <c r="B4179" s="1" t="s">
        <v>55</v>
      </c>
      <c r="C4179">
        <v>60</v>
      </c>
      <c r="D4179" s="1" t="s">
        <v>217</v>
      </c>
      <c r="E4179" s="1" t="s">
        <v>167</v>
      </c>
      <c r="F4179">
        <v>345</v>
      </c>
      <c r="G4179" s="1" t="str">
        <f>Ocupacao_DW[[#This Row],[data]]&amp;Ocupacao_DW[[#This Row],[profissional_id]]&amp;Ocupacao_DW[[#This Row],[local_id]]</f>
        <v>4463560345</v>
      </c>
      <c r="H4179" s="1">
        <f>_xlfn.XLOOKUP(Ocupacao_DW[[#This Row],[Concat]],Vagas!$H:$H,Vagas!$D:$D,"",0)</f>
        <v>0</v>
      </c>
    </row>
    <row r="4180" spans="1:8" x14ac:dyDescent="0.25">
      <c r="A4180" s="2">
        <v>44637</v>
      </c>
      <c r="B4180" s="1" t="s">
        <v>49</v>
      </c>
      <c r="C4180">
        <v>266</v>
      </c>
      <c r="D4180" s="1" t="s">
        <v>201</v>
      </c>
      <c r="E4180" s="1" t="s">
        <v>4</v>
      </c>
      <c r="F4180">
        <v>42</v>
      </c>
      <c r="G4180" s="1" t="str">
        <f>Ocupacao_DW[[#This Row],[data]]&amp;Ocupacao_DW[[#This Row],[profissional_id]]&amp;Ocupacao_DW[[#This Row],[local_id]]</f>
        <v>4463726642</v>
      </c>
      <c r="H4180" s="1">
        <f>_xlfn.XLOOKUP(Ocupacao_DW[[#This Row],[Concat]],Vagas!$H:$H,Vagas!$D:$D,"",0)</f>
        <v>0</v>
      </c>
    </row>
    <row r="4181" spans="1:8" x14ac:dyDescent="0.25">
      <c r="A4181" s="2">
        <v>44650</v>
      </c>
      <c r="B4181" s="1" t="s">
        <v>55</v>
      </c>
      <c r="C4181">
        <v>73</v>
      </c>
      <c r="D4181" s="1" t="s">
        <v>171</v>
      </c>
      <c r="E4181" s="1" t="s">
        <v>6</v>
      </c>
      <c r="F4181">
        <v>5</v>
      </c>
      <c r="G4181" s="1" t="str">
        <f>Ocupacao_DW[[#This Row],[data]]&amp;Ocupacao_DW[[#This Row],[profissional_id]]&amp;Ocupacao_DW[[#This Row],[local_id]]</f>
        <v>44650735</v>
      </c>
      <c r="H4181" s="1">
        <f>_xlfn.XLOOKUP(Ocupacao_DW[[#This Row],[Concat]],Vagas!$H:$H,Vagas!$D:$D,"",0)</f>
        <v>0</v>
      </c>
    </row>
    <row r="4182" spans="1:8" x14ac:dyDescent="0.25">
      <c r="A4182" s="2">
        <v>44636</v>
      </c>
      <c r="B4182" s="1" t="s">
        <v>52</v>
      </c>
      <c r="C4182">
        <v>10691</v>
      </c>
      <c r="D4182" s="1" t="s">
        <v>181</v>
      </c>
      <c r="E4182" s="1" t="s">
        <v>6</v>
      </c>
      <c r="F4182">
        <v>9</v>
      </c>
      <c r="G4182" s="1" t="str">
        <f>Ocupacao_DW[[#This Row],[data]]&amp;Ocupacao_DW[[#This Row],[profissional_id]]&amp;Ocupacao_DW[[#This Row],[local_id]]</f>
        <v>44636106919</v>
      </c>
      <c r="H4182" s="1">
        <f>_xlfn.XLOOKUP(Ocupacao_DW[[#This Row],[Concat]],Vagas!$H:$H,Vagas!$D:$D,"",0)</f>
        <v>0</v>
      </c>
    </row>
    <row r="4183" spans="1:8" x14ac:dyDescent="0.25">
      <c r="A4183" s="2">
        <v>44650</v>
      </c>
      <c r="B4183" s="1" t="s">
        <v>66</v>
      </c>
      <c r="C4183">
        <v>1343</v>
      </c>
      <c r="D4183" s="1" t="s">
        <v>263</v>
      </c>
      <c r="E4183" s="1" t="s">
        <v>7</v>
      </c>
      <c r="F4183">
        <v>64</v>
      </c>
      <c r="G4183" s="1" t="str">
        <f>Ocupacao_DW[[#This Row],[data]]&amp;Ocupacao_DW[[#This Row],[profissional_id]]&amp;Ocupacao_DW[[#This Row],[local_id]]</f>
        <v>44650134364</v>
      </c>
      <c r="H4183" s="1">
        <f>_xlfn.XLOOKUP(Ocupacao_DW[[#This Row],[Concat]],Vagas!$H:$H,Vagas!$D:$D,"",0)</f>
        <v>0</v>
      </c>
    </row>
    <row r="4184" spans="1:8" x14ac:dyDescent="0.25">
      <c r="A4184" s="2">
        <v>44638</v>
      </c>
      <c r="B4184" s="1" t="s">
        <v>49</v>
      </c>
      <c r="C4184">
        <v>6430</v>
      </c>
      <c r="D4184" s="1" t="s">
        <v>188</v>
      </c>
      <c r="E4184" s="1" t="s">
        <v>4</v>
      </c>
      <c r="F4184">
        <v>42</v>
      </c>
      <c r="G4184" s="1" t="str">
        <f>Ocupacao_DW[[#This Row],[data]]&amp;Ocupacao_DW[[#This Row],[profissional_id]]&amp;Ocupacao_DW[[#This Row],[local_id]]</f>
        <v>44638643042</v>
      </c>
      <c r="H4184" s="1">
        <f>_xlfn.XLOOKUP(Ocupacao_DW[[#This Row],[Concat]],Vagas!$H:$H,Vagas!$D:$D,"",0)</f>
        <v>0</v>
      </c>
    </row>
    <row r="4185" spans="1:8" x14ac:dyDescent="0.25">
      <c r="A4185" s="2">
        <v>44638</v>
      </c>
      <c r="B4185" s="1" t="s">
        <v>62</v>
      </c>
      <c r="C4185">
        <v>2567</v>
      </c>
      <c r="D4185" s="1" t="s">
        <v>198</v>
      </c>
      <c r="E4185" s="1" t="s">
        <v>5</v>
      </c>
      <c r="F4185">
        <v>16</v>
      </c>
      <c r="G4185" s="1" t="str">
        <f>Ocupacao_DW[[#This Row],[data]]&amp;Ocupacao_DW[[#This Row],[profissional_id]]&amp;Ocupacao_DW[[#This Row],[local_id]]</f>
        <v>44638256716</v>
      </c>
      <c r="H4185" s="1" t="str">
        <f>_xlfn.XLOOKUP(Ocupacao_DW[[#This Row],[Concat]],Vagas!$H:$H,Vagas!$D:$D,"",0)</f>
        <v/>
      </c>
    </row>
    <row r="4186" spans="1:8" x14ac:dyDescent="0.25">
      <c r="A4186" s="2">
        <v>44635</v>
      </c>
      <c r="B4186" s="1" t="s">
        <v>54</v>
      </c>
      <c r="C4186">
        <v>69</v>
      </c>
      <c r="D4186" s="1" t="s">
        <v>238</v>
      </c>
      <c r="E4186" s="1" t="s">
        <v>5</v>
      </c>
      <c r="F4186">
        <v>13</v>
      </c>
      <c r="G4186" s="1" t="str">
        <f>Ocupacao_DW[[#This Row],[data]]&amp;Ocupacao_DW[[#This Row],[profissional_id]]&amp;Ocupacao_DW[[#This Row],[local_id]]</f>
        <v>446356913</v>
      </c>
      <c r="H4186" s="1">
        <f>_xlfn.XLOOKUP(Ocupacao_DW[[#This Row],[Concat]],Vagas!$H:$H,Vagas!$D:$D,"",0)</f>
        <v>0</v>
      </c>
    </row>
    <row r="4187" spans="1:8" x14ac:dyDescent="0.25">
      <c r="A4187" s="2">
        <v>44643</v>
      </c>
      <c r="B4187" s="1" t="s">
        <v>65</v>
      </c>
      <c r="C4187">
        <v>11652</v>
      </c>
      <c r="D4187" s="1" t="s">
        <v>242</v>
      </c>
      <c r="E4187" s="1" t="s">
        <v>7</v>
      </c>
      <c r="F4187">
        <v>69</v>
      </c>
      <c r="G4187" s="1" t="str">
        <f>Ocupacao_DW[[#This Row],[data]]&amp;Ocupacao_DW[[#This Row],[profissional_id]]&amp;Ocupacao_DW[[#This Row],[local_id]]</f>
        <v>446431165269</v>
      </c>
      <c r="H4187" s="1">
        <f>_xlfn.XLOOKUP(Ocupacao_DW[[#This Row],[Concat]],Vagas!$H:$H,Vagas!$D:$D,"",0)</f>
        <v>0</v>
      </c>
    </row>
    <row r="4188" spans="1:8" x14ac:dyDescent="0.25">
      <c r="A4188" s="2">
        <v>44643</v>
      </c>
      <c r="B4188" s="1" t="s">
        <v>65</v>
      </c>
      <c r="C4188">
        <v>11652</v>
      </c>
      <c r="D4188" s="1" t="s">
        <v>242</v>
      </c>
      <c r="E4188" s="1" t="s">
        <v>7</v>
      </c>
      <c r="F4188">
        <v>69</v>
      </c>
      <c r="G4188" s="1" t="str">
        <f>Ocupacao_DW[[#This Row],[data]]&amp;Ocupacao_DW[[#This Row],[profissional_id]]&amp;Ocupacao_DW[[#This Row],[local_id]]</f>
        <v>446431165269</v>
      </c>
      <c r="H4188" s="1">
        <f>_xlfn.XLOOKUP(Ocupacao_DW[[#This Row],[Concat]],Vagas!$H:$H,Vagas!$D:$D,"",0)</f>
        <v>0</v>
      </c>
    </row>
    <row r="4189" spans="1:8" x14ac:dyDescent="0.25">
      <c r="A4189" s="2">
        <v>44650</v>
      </c>
      <c r="B4189" s="1" t="s">
        <v>55</v>
      </c>
      <c r="C4189">
        <v>73</v>
      </c>
      <c r="D4189" s="1" t="s">
        <v>171</v>
      </c>
      <c r="E4189" s="1" t="s">
        <v>6</v>
      </c>
      <c r="F4189">
        <v>5</v>
      </c>
      <c r="G4189" s="1" t="str">
        <f>Ocupacao_DW[[#This Row],[data]]&amp;Ocupacao_DW[[#This Row],[profissional_id]]&amp;Ocupacao_DW[[#This Row],[local_id]]</f>
        <v>44650735</v>
      </c>
      <c r="H4189" s="1">
        <f>_xlfn.XLOOKUP(Ocupacao_DW[[#This Row],[Concat]],Vagas!$H:$H,Vagas!$D:$D,"",0)</f>
        <v>0</v>
      </c>
    </row>
    <row r="4190" spans="1:8" x14ac:dyDescent="0.25">
      <c r="A4190" s="2">
        <v>44636</v>
      </c>
      <c r="B4190" s="1" t="s">
        <v>51</v>
      </c>
      <c r="C4190">
        <v>7551</v>
      </c>
      <c r="D4190" s="1" t="s">
        <v>246</v>
      </c>
      <c r="E4190" s="1" t="s">
        <v>5</v>
      </c>
      <c r="F4190">
        <v>15</v>
      </c>
      <c r="G4190" s="1" t="str">
        <f>Ocupacao_DW[[#This Row],[data]]&amp;Ocupacao_DW[[#This Row],[profissional_id]]&amp;Ocupacao_DW[[#This Row],[local_id]]</f>
        <v>44636755115</v>
      </c>
      <c r="H4190" s="1">
        <f>_xlfn.XLOOKUP(Ocupacao_DW[[#This Row],[Concat]],Vagas!$H:$H,Vagas!$D:$D,"",0)</f>
        <v>0</v>
      </c>
    </row>
    <row r="4191" spans="1:8" x14ac:dyDescent="0.25">
      <c r="A4191" s="2">
        <v>44636</v>
      </c>
      <c r="B4191" s="1" t="s">
        <v>72</v>
      </c>
      <c r="C4191">
        <v>1794</v>
      </c>
      <c r="D4191" s="1" t="s">
        <v>235</v>
      </c>
      <c r="E4191" s="1" t="s">
        <v>4</v>
      </c>
      <c r="F4191">
        <v>49</v>
      </c>
      <c r="G4191" s="1" t="str">
        <f>Ocupacao_DW[[#This Row],[data]]&amp;Ocupacao_DW[[#This Row],[profissional_id]]&amp;Ocupacao_DW[[#This Row],[local_id]]</f>
        <v>44636179449</v>
      </c>
      <c r="H4191" s="1">
        <f>_xlfn.XLOOKUP(Ocupacao_DW[[#This Row],[Concat]],Vagas!$H:$H,Vagas!$D:$D,"",0)</f>
        <v>0</v>
      </c>
    </row>
    <row r="4192" spans="1:8" x14ac:dyDescent="0.25">
      <c r="A4192" s="2">
        <v>44635</v>
      </c>
      <c r="B4192" s="1" t="s">
        <v>49</v>
      </c>
      <c r="C4192">
        <v>266</v>
      </c>
      <c r="D4192" s="1" t="s">
        <v>201</v>
      </c>
      <c r="E4192" s="1" t="s">
        <v>4</v>
      </c>
      <c r="F4192">
        <v>42</v>
      </c>
      <c r="G4192" s="1" t="str">
        <f>Ocupacao_DW[[#This Row],[data]]&amp;Ocupacao_DW[[#This Row],[profissional_id]]&amp;Ocupacao_DW[[#This Row],[local_id]]</f>
        <v>4463526642</v>
      </c>
      <c r="H4192" s="1">
        <f>_xlfn.XLOOKUP(Ocupacao_DW[[#This Row],[Concat]],Vagas!$H:$H,Vagas!$D:$D,"",0)</f>
        <v>0</v>
      </c>
    </row>
    <row r="4193" spans="1:8" x14ac:dyDescent="0.25">
      <c r="A4193" s="2">
        <v>44638</v>
      </c>
      <c r="B4193" s="1" t="s">
        <v>49</v>
      </c>
      <c r="C4193">
        <v>6430</v>
      </c>
      <c r="D4193" s="1" t="s">
        <v>188</v>
      </c>
      <c r="E4193" s="1" t="s">
        <v>4</v>
      </c>
      <c r="F4193">
        <v>42</v>
      </c>
      <c r="G4193" s="1" t="str">
        <f>Ocupacao_DW[[#This Row],[data]]&amp;Ocupacao_DW[[#This Row],[profissional_id]]&amp;Ocupacao_DW[[#This Row],[local_id]]</f>
        <v>44638643042</v>
      </c>
      <c r="H4193" s="1">
        <f>_xlfn.XLOOKUP(Ocupacao_DW[[#This Row],[Concat]],Vagas!$H:$H,Vagas!$D:$D,"",0)</f>
        <v>0</v>
      </c>
    </row>
    <row r="4194" spans="1:8" x14ac:dyDescent="0.25">
      <c r="A4194" s="2">
        <v>44638</v>
      </c>
      <c r="B4194" s="1" t="s">
        <v>54</v>
      </c>
      <c r="C4194">
        <v>69</v>
      </c>
      <c r="D4194" s="1" t="s">
        <v>238</v>
      </c>
      <c r="E4194" s="1" t="s">
        <v>5</v>
      </c>
      <c r="F4194">
        <v>13</v>
      </c>
      <c r="G4194" s="1" t="str">
        <f>Ocupacao_DW[[#This Row],[data]]&amp;Ocupacao_DW[[#This Row],[profissional_id]]&amp;Ocupacao_DW[[#This Row],[local_id]]</f>
        <v>446386913</v>
      </c>
      <c r="H4194" s="1">
        <f>_xlfn.XLOOKUP(Ocupacao_DW[[#This Row],[Concat]],Vagas!$H:$H,Vagas!$D:$D,"",0)</f>
        <v>0</v>
      </c>
    </row>
    <row r="4195" spans="1:8" x14ac:dyDescent="0.25">
      <c r="A4195" s="2">
        <v>44638</v>
      </c>
      <c r="B4195" s="1" t="s">
        <v>24</v>
      </c>
      <c r="C4195">
        <v>60</v>
      </c>
      <c r="D4195" s="1" t="s">
        <v>217</v>
      </c>
      <c r="E4195" s="1" t="s">
        <v>6</v>
      </c>
      <c r="F4195">
        <v>1</v>
      </c>
      <c r="G4195" s="1" t="str">
        <f>Ocupacao_DW[[#This Row],[data]]&amp;Ocupacao_DW[[#This Row],[profissional_id]]&amp;Ocupacao_DW[[#This Row],[local_id]]</f>
        <v>44638601</v>
      </c>
      <c r="H4195" s="1">
        <f>_xlfn.XLOOKUP(Ocupacao_DW[[#This Row],[Concat]],Vagas!$H:$H,Vagas!$D:$D,"",0)</f>
        <v>0</v>
      </c>
    </row>
    <row r="4196" spans="1:8" x14ac:dyDescent="0.25">
      <c r="A4196" s="2">
        <v>44637</v>
      </c>
      <c r="B4196" s="1" t="s">
        <v>54</v>
      </c>
      <c r="C4196">
        <v>69</v>
      </c>
      <c r="D4196" s="1" t="s">
        <v>238</v>
      </c>
      <c r="E4196" s="1" t="s">
        <v>200</v>
      </c>
      <c r="F4196">
        <v>82</v>
      </c>
      <c r="G4196" s="1" t="str">
        <f>Ocupacao_DW[[#This Row],[data]]&amp;Ocupacao_DW[[#This Row],[profissional_id]]&amp;Ocupacao_DW[[#This Row],[local_id]]</f>
        <v>446376982</v>
      </c>
      <c r="H4196" s="1">
        <f>_xlfn.XLOOKUP(Ocupacao_DW[[#This Row],[Concat]],Vagas!$H:$H,Vagas!$D:$D,"",0)</f>
        <v>0</v>
      </c>
    </row>
    <row r="4197" spans="1:8" x14ac:dyDescent="0.25">
      <c r="A4197" s="2">
        <v>44636</v>
      </c>
      <c r="B4197" s="1" t="s">
        <v>49</v>
      </c>
      <c r="C4197">
        <v>6430</v>
      </c>
      <c r="D4197" s="1" t="s">
        <v>188</v>
      </c>
      <c r="E4197" s="1" t="s">
        <v>4</v>
      </c>
      <c r="F4197">
        <v>42</v>
      </c>
      <c r="G4197" s="1" t="str">
        <f>Ocupacao_DW[[#This Row],[data]]&amp;Ocupacao_DW[[#This Row],[profissional_id]]&amp;Ocupacao_DW[[#This Row],[local_id]]</f>
        <v>44636643042</v>
      </c>
      <c r="H4197" s="1">
        <f>_xlfn.XLOOKUP(Ocupacao_DW[[#This Row],[Concat]],Vagas!$H:$H,Vagas!$D:$D,"",0)</f>
        <v>0</v>
      </c>
    </row>
    <row r="4198" spans="1:8" x14ac:dyDescent="0.25">
      <c r="A4198" s="2">
        <v>44637</v>
      </c>
      <c r="B4198" s="1" t="s">
        <v>62</v>
      </c>
      <c r="C4198">
        <v>2567</v>
      </c>
      <c r="D4198" s="1" t="s">
        <v>198</v>
      </c>
      <c r="E4198" s="1" t="s">
        <v>5</v>
      </c>
      <c r="F4198">
        <v>18</v>
      </c>
      <c r="G4198" s="1" t="str">
        <f>Ocupacao_DW[[#This Row],[data]]&amp;Ocupacao_DW[[#This Row],[profissional_id]]&amp;Ocupacao_DW[[#This Row],[local_id]]</f>
        <v>44637256718</v>
      </c>
      <c r="H4198" s="1">
        <f>_xlfn.XLOOKUP(Ocupacao_DW[[#This Row],[Concat]],Vagas!$H:$H,Vagas!$D:$D,"",0)</f>
        <v>0</v>
      </c>
    </row>
    <row r="4199" spans="1:8" x14ac:dyDescent="0.25">
      <c r="A4199" s="2">
        <v>44636</v>
      </c>
      <c r="B4199" s="1" t="s">
        <v>72</v>
      </c>
      <c r="C4199">
        <v>1794</v>
      </c>
      <c r="D4199" s="1" t="s">
        <v>235</v>
      </c>
      <c r="E4199" s="1" t="s">
        <v>4</v>
      </c>
      <c r="F4199">
        <v>49</v>
      </c>
      <c r="G4199" s="1" t="str">
        <f>Ocupacao_DW[[#This Row],[data]]&amp;Ocupacao_DW[[#This Row],[profissional_id]]&amp;Ocupacao_DW[[#This Row],[local_id]]</f>
        <v>44636179449</v>
      </c>
      <c r="H4199" s="1">
        <f>_xlfn.XLOOKUP(Ocupacao_DW[[#This Row],[Concat]],Vagas!$H:$H,Vagas!$D:$D,"",0)</f>
        <v>0</v>
      </c>
    </row>
    <row r="4200" spans="1:8" x14ac:dyDescent="0.25">
      <c r="A4200" s="2">
        <v>44638</v>
      </c>
      <c r="B4200" s="1" t="s">
        <v>49</v>
      </c>
      <c r="C4200">
        <v>81</v>
      </c>
      <c r="D4200" s="1" t="s">
        <v>170</v>
      </c>
      <c r="E4200" s="1" t="s">
        <v>4</v>
      </c>
      <c r="F4200">
        <v>41</v>
      </c>
      <c r="G4200" s="1" t="str">
        <f>Ocupacao_DW[[#This Row],[data]]&amp;Ocupacao_DW[[#This Row],[profissional_id]]&amp;Ocupacao_DW[[#This Row],[local_id]]</f>
        <v>446388141</v>
      </c>
      <c r="H4200" s="1">
        <f>_xlfn.XLOOKUP(Ocupacao_DW[[#This Row],[Concat]],Vagas!$H:$H,Vagas!$D:$D,"",0)</f>
        <v>0</v>
      </c>
    </row>
    <row r="4201" spans="1:8" x14ac:dyDescent="0.25">
      <c r="A4201" s="2">
        <v>44636</v>
      </c>
      <c r="B4201" s="1" t="s">
        <v>51</v>
      </c>
      <c r="C4201">
        <v>17859</v>
      </c>
      <c r="D4201" s="1" t="s">
        <v>212</v>
      </c>
      <c r="E4201" s="1" t="s">
        <v>6</v>
      </c>
      <c r="F4201">
        <v>7</v>
      </c>
      <c r="G4201" s="1" t="str">
        <f>Ocupacao_DW[[#This Row],[data]]&amp;Ocupacao_DW[[#This Row],[profissional_id]]&amp;Ocupacao_DW[[#This Row],[local_id]]</f>
        <v>44636178597</v>
      </c>
      <c r="H4201" s="1">
        <f>_xlfn.XLOOKUP(Ocupacao_DW[[#This Row],[Concat]],Vagas!$H:$H,Vagas!$D:$D,"",0)</f>
        <v>0</v>
      </c>
    </row>
    <row r="4202" spans="1:8" x14ac:dyDescent="0.25">
      <c r="A4202" s="2">
        <v>44637</v>
      </c>
      <c r="B4202" s="1" t="s">
        <v>49</v>
      </c>
      <c r="C4202">
        <v>3092</v>
      </c>
      <c r="D4202" s="1" t="s">
        <v>262</v>
      </c>
      <c r="E4202" s="1" t="s">
        <v>4</v>
      </c>
      <c r="F4202">
        <v>43</v>
      </c>
      <c r="G4202" s="1" t="str">
        <f>Ocupacao_DW[[#This Row],[data]]&amp;Ocupacao_DW[[#This Row],[profissional_id]]&amp;Ocupacao_DW[[#This Row],[local_id]]</f>
        <v>44637309243</v>
      </c>
      <c r="H4202" s="1">
        <f>_xlfn.XLOOKUP(Ocupacao_DW[[#This Row],[Concat]],Vagas!$H:$H,Vagas!$D:$D,"",0)</f>
        <v>0</v>
      </c>
    </row>
    <row r="4203" spans="1:8" x14ac:dyDescent="0.25">
      <c r="A4203" s="2">
        <v>44648</v>
      </c>
      <c r="B4203" s="1" t="s">
        <v>55</v>
      </c>
      <c r="C4203">
        <v>6392</v>
      </c>
      <c r="D4203" s="1" t="s">
        <v>173</v>
      </c>
      <c r="E4203" s="1" t="s">
        <v>6</v>
      </c>
      <c r="F4203">
        <v>5</v>
      </c>
      <c r="G4203" s="1" t="str">
        <f>Ocupacao_DW[[#This Row],[data]]&amp;Ocupacao_DW[[#This Row],[profissional_id]]&amp;Ocupacao_DW[[#This Row],[local_id]]</f>
        <v>4464863925</v>
      </c>
      <c r="H4203" s="1">
        <f>_xlfn.XLOOKUP(Ocupacao_DW[[#This Row],[Concat]],Vagas!$H:$H,Vagas!$D:$D,"",0)</f>
        <v>0</v>
      </c>
    </row>
    <row r="4204" spans="1:8" x14ac:dyDescent="0.25">
      <c r="A4204" s="2">
        <v>44638</v>
      </c>
      <c r="B4204" s="1" t="s">
        <v>49</v>
      </c>
      <c r="C4204">
        <v>6430</v>
      </c>
      <c r="D4204" s="1" t="s">
        <v>188</v>
      </c>
      <c r="E4204" s="1" t="s">
        <v>4</v>
      </c>
      <c r="F4204">
        <v>42</v>
      </c>
      <c r="G4204" s="1" t="str">
        <f>Ocupacao_DW[[#This Row],[data]]&amp;Ocupacao_DW[[#This Row],[profissional_id]]&amp;Ocupacao_DW[[#This Row],[local_id]]</f>
        <v>44638643042</v>
      </c>
      <c r="H4204" s="1">
        <f>_xlfn.XLOOKUP(Ocupacao_DW[[#This Row],[Concat]],Vagas!$H:$H,Vagas!$D:$D,"",0)</f>
        <v>0</v>
      </c>
    </row>
    <row r="4205" spans="1:8" x14ac:dyDescent="0.25">
      <c r="A4205" s="2">
        <v>44637</v>
      </c>
      <c r="B4205" s="1" t="s">
        <v>57</v>
      </c>
      <c r="C4205">
        <v>80</v>
      </c>
      <c r="D4205" s="1" t="s">
        <v>179</v>
      </c>
      <c r="E4205" s="1" t="s">
        <v>167</v>
      </c>
      <c r="F4205">
        <v>348</v>
      </c>
      <c r="G4205" s="1" t="str">
        <f>Ocupacao_DW[[#This Row],[data]]&amp;Ocupacao_DW[[#This Row],[profissional_id]]&amp;Ocupacao_DW[[#This Row],[local_id]]</f>
        <v>4463780348</v>
      </c>
      <c r="H4205" s="1">
        <f>_xlfn.XLOOKUP(Ocupacao_DW[[#This Row],[Concat]],Vagas!$H:$H,Vagas!$D:$D,"",0)</f>
        <v>0</v>
      </c>
    </row>
    <row r="4206" spans="1:8" x14ac:dyDescent="0.25">
      <c r="A4206" s="2">
        <v>44638</v>
      </c>
      <c r="B4206" s="1" t="s">
        <v>49</v>
      </c>
      <c r="C4206">
        <v>6430</v>
      </c>
      <c r="D4206" s="1" t="s">
        <v>188</v>
      </c>
      <c r="E4206" s="1" t="s">
        <v>4</v>
      </c>
      <c r="F4206">
        <v>42</v>
      </c>
      <c r="G4206" s="1" t="str">
        <f>Ocupacao_DW[[#This Row],[data]]&amp;Ocupacao_DW[[#This Row],[profissional_id]]&amp;Ocupacao_DW[[#This Row],[local_id]]</f>
        <v>44638643042</v>
      </c>
      <c r="H4206" s="1">
        <f>_xlfn.XLOOKUP(Ocupacao_DW[[#This Row],[Concat]],Vagas!$H:$H,Vagas!$D:$D,"",0)</f>
        <v>0</v>
      </c>
    </row>
    <row r="4207" spans="1:8" x14ac:dyDescent="0.25">
      <c r="A4207" s="2">
        <v>44636</v>
      </c>
      <c r="B4207" s="1" t="s">
        <v>56</v>
      </c>
      <c r="C4207">
        <v>5927</v>
      </c>
      <c r="D4207" s="1" t="s">
        <v>226</v>
      </c>
      <c r="E4207" s="1" t="s">
        <v>5</v>
      </c>
      <c r="F4207">
        <v>17</v>
      </c>
      <c r="G4207" s="1" t="str">
        <f>Ocupacao_DW[[#This Row],[data]]&amp;Ocupacao_DW[[#This Row],[profissional_id]]&amp;Ocupacao_DW[[#This Row],[local_id]]</f>
        <v>44636592717</v>
      </c>
      <c r="H4207" s="1">
        <f>_xlfn.XLOOKUP(Ocupacao_DW[[#This Row],[Concat]],Vagas!$H:$H,Vagas!$D:$D,"",0)</f>
        <v>0</v>
      </c>
    </row>
    <row r="4208" spans="1:8" x14ac:dyDescent="0.25">
      <c r="A4208" s="2">
        <v>44643</v>
      </c>
      <c r="B4208" s="1" t="s">
        <v>49</v>
      </c>
      <c r="C4208">
        <v>10600</v>
      </c>
      <c r="D4208" s="1" t="s">
        <v>248</v>
      </c>
      <c r="E4208" s="1" t="s">
        <v>7</v>
      </c>
      <c r="F4208">
        <v>71</v>
      </c>
      <c r="G4208" s="1" t="str">
        <f>Ocupacao_DW[[#This Row],[data]]&amp;Ocupacao_DW[[#This Row],[profissional_id]]&amp;Ocupacao_DW[[#This Row],[local_id]]</f>
        <v>446431060071</v>
      </c>
      <c r="H4208" s="1">
        <f>_xlfn.XLOOKUP(Ocupacao_DW[[#This Row],[Concat]],Vagas!$H:$H,Vagas!$D:$D,"",0)</f>
        <v>0</v>
      </c>
    </row>
    <row r="4209" spans="1:8" x14ac:dyDescent="0.25">
      <c r="A4209" s="2">
        <v>44638</v>
      </c>
      <c r="B4209" s="1" t="s">
        <v>24</v>
      </c>
      <c r="C4209">
        <v>60</v>
      </c>
      <c r="D4209" s="1" t="s">
        <v>217</v>
      </c>
      <c r="E4209" s="1" t="s">
        <v>6</v>
      </c>
      <c r="F4209">
        <v>1</v>
      </c>
      <c r="G4209" s="1" t="str">
        <f>Ocupacao_DW[[#This Row],[data]]&amp;Ocupacao_DW[[#This Row],[profissional_id]]&amp;Ocupacao_DW[[#This Row],[local_id]]</f>
        <v>44638601</v>
      </c>
      <c r="H4209" s="1">
        <f>_xlfn.XLOOKUP(Ocupacao_DW[[#This Row],[Concat]],Vagas!$H:$H,Vagas!$D:$D,"",0)</f>
        <v>0</v>
      </c>
    </row>
    <row r="4210" spans="1:8" x14ac:dyDescent="0.25">
      <c r="A4210" s="2">
        <v>44650</v>
      </c>
      <c r="B4210" s="1" t="s">
        <v>55</v>
      </c>
      <c r="C4210">
        <v>73</v>
      </c>
      <c r="D4210" s="1" t="s">
        <v>171</v>
      </c>
      <c r="E4210" s="1" t="s">
        <v>6</v>
      </c>
      <c r="F4210">
        <v>5</v>
      </c>
      <c r="G4210" s="1" t="str">
        <f>Ocupacao_DW[[#This Row],[data]]&amp;Ocupacao_DW[[#This Row],[profissional_id]]&amp;Ocupacao_DW[[#This Row],[local_id]]</f>
        <v>44650735</v>
      </c>
      <c r="H4210" s="1">
        <f>_xlfn.XLOOKUP(Ocupacao_DW[[#This Row],[Concat]],Vagas!$H:$H,Vagas!$D:$D,"",0)</f>
        <v>0</v>
      </c>
    </row>
    <row r="4211" spans="1:8" x14ac:dyDescent="0.25">
      <c r="A4211" s="2">
        <v>44644</v>
      </c>
      <c r="B4211" s="1" t="s">
        <v>49</v>
      </c>
      <c r="C4211">
        <v>81</v>
      </c>
      <c r="D4211" s="1" t="s">
        <v>170</v>
      </c>
      <c r="E4211" s="1" t="s">
        <v>4</v>
      </c>
      <c r="F4211">
        <v>41</v>
      </c>
      <c r="G4211" s="1" t="str">
        <f>Ocupacao_DW[[#This Row],[data]]&amp;Ocupacao_DW[[#This Row],[profissional_id]]&amp;Ocupacao_DW[[#This Row],[local_id]]</f>
        <v>446448141</v>
      </c>
      <c r="H4211" s="1">
        <f>_xlfn.XLOOKUP(Ocupacao_DW[[#This Row],[Concat]],Vagas!$H:$H,Vagas!$D:$D,"",0)</f>
        <v>0</v>
      </c>
    </row>
    <row r="4212" spans="1:8" x14ac:dyDescent="0.25">
      <c r="A4212" s="2">
        <v>44636</v>
      </c>
      <c r="B4212" s="1" t="s">
        <v>52</v>
      </c>
      <c r="C4212">
        <v>60</v>
      </c>
      <c r="D4212" s="1" t="s">
        <v>217</v>
      </c>
      <c r="E4212" s="1" t="s">
        <v>167</v>
      </c>
      <c r="F4212">
        <v>346</v>
      </c>
      <c r="G4212" s="1" t="str">
        <f>Ocupacao_DW[[#This Row],[data]]&amp;Ocupacao_DW[[#This Row],[profissional_id]]&amp;Ocupacao_DW[[#This Row],[local_id]]</f>
        <v>4463660346</v>
      </c>
      <c r="H4212" s="1">
        <f>_xlfn.XLOOKUP(Ocupacao_DW[[#This Row],[Concat]],Vagas!$H:$H,Vagas!$D:$D,"",0)</f>
        <v>0</v>
      </c>
    </row>
    <row r="4213" spans="1:8" x14ac:dyDescent="0.25">
      <c r="A4213" s="2">
        <v>44637</v>
      </c>
      <c r="B4213" s="1" t="s">
        <v>72</v>
      </c>
      <c r="C4213">
        <v>6046</v>
      </c>
      <c r="D4213" s="1" t="s">
        <v>222</v>
      </c>
      <c r="E4213" s="1" t="s">
        <v>4</v>
      </c>
      <c r="F4213">
        <v>46</v>
      </c>
      <c r="G4213" s="1" t="str">
        <f>Ocupacao_DW[[#This Row],[data]]&amp;Ocupacao_DW[[#This Row],[profissional_id]]&amp;Ocupacao_DW[[#This Row],[local_id]]</f>
        <v>44637604646</v>
      </c>
      <c r="H4213" s="1">
        <f>_xlfn.XLOOKUP(Ocupacao_DW[[#This Row],[Concat]],Vagas!$H:$H,Vagas!$D:$D,"",0)</f>
        <v>0</v>
      </c>
    </row>
    <row r="4214" spans="1:8" x14ac:dyDescent="0.25">
      <c r="A4214" s="2">
        <v>44646</v>
      </c>
      <c r="B4214" s="1" t="s">
        <v>55</v>
      </c>
      <c r="C4214">
        <v>17879</v>
      </c>
      <c r="D4214" s="1" t="s">
        <v>233</v>
      </c>
      <c r="E4214" s="1" t="s">
        <v>6</v>
      </c>
      <c r="F4214">
        <v>3</v>
      </c>
      <c r="G4214" s="1" t="str">
        <f>Ocupacao_DW[[#This Row],[data]]&amp;Ocupacao_DW[[#This Row],[profissional_id]]&amp;Ocupacao_DW[[#This Row],[local_id]]</f>
        <v>44646178793</v>
      </c>
      <c r="H4214" s="1">
        <f>_xlfn.XLOOKUP(Ocupacao_DW[[#This Row],[Concat]],Vagas!$H:$H,Vagas!$D:$D,"",0)</f>
        <v>0</v>
      </c>
    </row>
    <row r="4215" spans="1:8" x14ac:dyDescent="0.25">
      <c r="A4215" s="2">
        <v>44635</v>
      </c>
      <c r="B4215" s="1" t="s">
        <v>55</v>
      </c>
      <c r="C4215">
        <v>60</v>
      </c>
      <c r="D4215" s="1" t="s">
        <v>217</v>
      </c>
      <c r="E4215" s="1" t="s">
        <v>167</v>
      </c>
      <c r="F4215">
        <v>345</v>
      </c>
      <c r="G4215" s="1" t="str">
        <f>Ocupacao_DW[[#This Row],[data]]&amp;Ocupacao_DW[[#This Row],[profissional_id]]&amp;Ocupacao_DW[[#This Row],[local_id]]</f>
        <v>4463560345</v>
      </c>
      <c r="H4215" s="1">
        <f>_xlfn.XLOOKUP(Ocupacao_DW[[#This Row],[Concat]],Vagas!$H:$H,Vagas!$D:$D,"",0)</f>
        <v>0</v>
      </c>
    </row>
    <row r="4216" spans="1:8" x14ac:dyDescent="0.25">
      <c r="A4216" s="2">
        <v>44635</v>
      </c>
      <c r="B4216" s="1" t="s">
        <v>50</v>
      </c>
      <c r="C4216">
        <v>4814</v>
      </c>
      <c r="D4216" s="1" t="s">
        <v>189</v>
      </c>
      <c r="E4216" s="1" t="s">
        <v>5</v>
      </c>
      <c r="F4216">
        <v>17</v>
      </c>
      <c r="G4216" s="1" t="str">
        <f>Ocupacao_DW[[#This Row],[data]]&amp;Ocupacao_DW[[#This Row],[profissional_id]]&amp;Ocupacao_DW[[#This Row],[local_id]]</f>
        <v>44635481417</v>
      </c>
      <c r="H4216" s="1">
        <f>_xlfn.XLOOKUP(Ocupacao_DW[[#This Row],[Concat]],Vagas!$H:$H,Vagas!$D:$D,"",0)</f>
        <v>0</v>
      </c>
    </row>
    <row r="4217" spans="1:8" x14ac:dyDescent="0.25">
      <c r="A4217" s="2">
        <v>44635</v>
      </c>
      <c r="B4217" s="1" t="s">
        <v>54</v>
      </c>
      <c r="C4217">
        <v>69</v>
      </c>
      <c r="D4217" s="1" t="s">
        <v>238</v>
      </c>
      <c r="E4217" s="1" t="s">
        <v>5</v>
      </c>
      <c r="F4217">
        <v>13</v>
      </c>
      <c r="G4217" s="1" t="str">
        <f>Ocupacao_DW[[#This Row],[data]]&amp;Ocupacao_DW[[#This Row],[profissional_id]]&amp;Ocupacao_DW[[#This Row],[local_id]]</f>
        <v>446356913</v>
      </c>
      <c r="H4217" s="1">
        <f>_xlfn.XLOOKUP(Ocupacao_DW[[#This Row],[Concat]],Vagas!$H:$H,Vagas!$D:$D,"",0)</f>
        <v>0</v>
      </c>
    </row>
    <row r="4218" spans="1:8" x14ac:dyDescent="0.25">
      <c r="A4218" s="2">
        <v>44635</v>
      </c>
      <c r="B4218" s="1" t="s">
        <v>67</v>
      </c>
      <c r="C4218">
        <v>7290</v>
      </c>
      <c r="D4218" s="1" t="s">
        <v>247</v>
      </c>
      <c r="E4218" s="1" t="s">
        <v>5</v>
      </c>
      <c r="F4218">
        <v>18</v>
      </c>
      <c r="G4218" s="1" t="str">
        <f>Ocupacao_DW[[#This Row],[data]]&amp;Ocupacao_DW[[#This Row],[profissional_id]]&amp;Ocupacao_DW[[#This Row],[local_id]]</f>
        <v>44635729018</v>
      </c>
      <c r="H4218" s="1">
        <f>_xlfn.XLOOKUP(Ocupacao_DW[[#This Row],[Concat]],Vagas!$H:$H,Vagas!$D:$D,"",0)</f>
        <v>0</v>
      </c>
    </row>
    <row r="4219" spans="1:8" x14ac:dyDescent="0.25">
      <c r="A4219" s="2">
        <v>44638</v>
      </c>
      <c r="B4219" s="1" t="s">
        <v>47</v>
      </c>
      <c r="C4219">
        <v>12684</v>
      </c>
      <c r="D4219" s="1" t="s">
        <v>236</v>
      </c>
      <c r="E4219" s="1" t="s">
        <v>200</v>
      </c>
      <c r="F4219">
        <v>85</v>
      </c>
      <c r="G4219" s="1" t="str">
        <f>Ocupacao_DW[[#This Row],[data]]&amp;Ocupacao_DW[[#This Row],[profissional_id]]&amp;Ocupacao_DW[[#This Row],[local_id]]</f>
        <v>446381268485</v>
      </c>
      <c r="H4219" s="1">
        <f>_xlfn.XLOOKUP(Ocupacao_DW[[#This Row],[Concat]],Vagas!$H:$H,Vagas!$D:$D,"",0)</f>
        <v>0</v>
      </c>
    </row>
    <row r="4220" spans="1:8" x14ac:dyDescent="0.25">
      <c r="A4220" s="2">
        <v>44637</v>
      </c>
      <c r="B4220" s="1" t="s">
        <v>49</v>
      </c>
      <c r="C4220">
        <v>81</v>
      </c>
      <c r="D4220" s="1" t="s">
        <v>170</v>
      </c>
      <c r="E4220" s="1" t="s">
        <v>4</v>
      </c>
      <c r="F4220">
        <v>41</v>
      </c>
      <c r="G4220" s="1" t="str">
        <f>Ocupacao_DW[[#This Row],[data]]&amp;Ocupacao_DW[[#This Row],[profissional_id]]&amp;Ocupacao_DW[[#This Row],[local_id]]</f>
        <v>446378141</v>
      </c>
      <c r="H4220" s="1">
        <f>_xlfn.XLOOKUP(Ocupacao_DW[[#This Row],[Concat]],Vagas!$H:$H,Vagas!$D:$D,"",0)</f>
        <v>0</v>
      </c>
    </row>
    <row r="4221" spans="1:8" x14ac:dyDescent="0.25">
      <c r="A4221" s="2">
        <v>44643</v>
      </c>
      <c r="B4221" s="1" t="s">
        <v>64</v>
      </c>
      <c r="C4221">
        <v>86</v>
      </c>
      <c r="D4221" s="1" t="s">
        <v>175</v>
      </c>
      <c r="E4221" s="1" t="s">
        <v>7</v>
      </c>
      <c r="F4221">
        <v>66</v>
      </c>
      <c r="G4221" s="1" t="str">
        <f>Ocupacao_DW[[#This Row],[data]]&amp;Ocupacao_DW[[#This Row],[profissional_id]]&amp;Ocupacao_DW[[#This Row],[local_id]]</f>
        <v>446438666</v>
      </c>
      <c r="H4221" s="1">
        <f>_xlfn.XLOOKUP(Ocupacao_DW[[#This Row],[Concat]],Vagas!$H:$H,Vagas!$D:$D,"",0)</f>
        <v>0</v>
      </c>
    </row>
    <row r="4222" spans="1:8" x14ac:dyDescent="0.25">
      <c r="A4222" s="2">
        <v>44637</v>
      </c>
      <c r="B4222" s="1" t="s">
        <v>66</v>
      </c>
      <c r="C4222">
        <v>100</v>
      </c>
      <c r="D4222" s="1" t="s">
        <v>166</v>
      </c>
      <c r="E4222" s="1" t="s">
        <v>167</v>
      </c>
      <c r="F4222">
        <v>342</v>
      </c>
      <c r="G4222" s="1" t="str">
        <f>Ocupacao_DW[[#This Row],[data]]&amp;Ocupacao_DW[[#This Row],[profissional_id]]&amp;Ocupacao_DW[[#This Row],[local_id]]</f>
        <v>44637100342</v>
      </c>
      <c r="H4222" s="1">
        <f>_xlfn.XLOOKUP(Ocupacao_DW[[#This Row],[Concat]],Vagas!$H:$H,Vagas!$D:$D,"",0)</f>
        <v>0</v>
      </c>
    </row>
    <row r="4223" spans="1:8" x14ac:dyDescent="0.25">
      <c r="A4223" s="2">
        <v>44635</v>
      </c>
      <c r="B4223" s="1" t="s">
        <v>55</v>
      </c>
      <c r="C4223">
        <v>14452</v>
      </c>
      <c r="D4223" s="1" t="s">
        <v>266</v>
      </c>
      <c r="E4223" s="1" t="s">
        <v>200</v>
      </c>
      <c r="F4223">
        <v>78</v>
      </c>
      <c r="G4223" s="1" t="str">
        <f>Ocupacao_DW[[#This Row],[data]]&amp;Ocupacao_DW[[#This Row],[profissional_id]]&amp;Ocupacao_DW[[#This Row],[local_id]]</f>
        <v>446351445278</v>
      </c>
      <c r="H4223" s="1">
        <f>_xlfn.XLOOKUP(Ocupacao_DW[[#This Row],[Concat]],Vagas!$H:$H,Vagas!$D:$D,"",0)</f>
        <v>0</v>
      </c>
    </row>
    <row r="4224" spans="1:8" x14ac:dyDescent="0.25">
      <c r="A4224" s="2">
        <v>44641</v>
      </c>
      <c r="B4224" s="1" t="s">
        <v>72</v>
      </c>
      <c r="C4224">
        <v>13479</v>
      </c>
      <c r="D4224" s="1" t="s">
        <v>203</v>
      </c>
      <c r="E4224" s="1" t="s">
        <v>4</v>
      </c>
      <c r="F4224">
        <v>46</v>
      </c>
      <c r="G4224" s="1" t="str">
        <f>Ocupacao_DW[[#This Row],[data]]&amp;Ocupacao_DW[[#This Row],[profissional_id]]&amp;Ocupacao_DW[[#This Row],[local_id]]</f>
        <v>446411347946</v>
      </c>
      <c r="H4224" s="1">
        <f>_xlfn.XLOOKUP(Ocupacao_DW[[#This Row],[Concat]],Vagas!$H:$H,Vagas!$D:$D,"",0)</f>
        <v>0</v>
      </c>
    </row>
    <row r="4225" spans="1:8" x14ac:dyDescent="0.25">
      <c r="A4225" s="2">
        <v>44643</v>
      </c>
      <c r="B4225" s="1" t="s">
        <v>52</v>
      </c>
      <c r="C4225">
        <v>57</v>
      </c>
      <c r="D4225" s="1" t="s">
        <v>169</v>
      </c>
      <c r="E4225" s="1" t="s">
        <v>6</v>
      </c>
      <c r="F4225">
        <v>4</v>
      </c>
      <c r="G4225" s="1" t="str">
        <f>Ocupacao_DW[[#This Row],[data]]&amp;Ocupacao_DW[[#This Row],[profissional_id]]&amp;Ocupacao_DW[[#This Row],[local_id]]</f>
        <v>44643574</v>
      </c>
      <c r="H4225" s="1">
        <f>_xlfn.XLOOKUP(Ocupacao_DW[[#This Row],[Concat]],Vagas!$H:$H,Vagas!$D:$D,"",0)</f>
        <v>0</v>
      </c>
    </row>
    <row r="4226" spans="1:8" x14ac:dyDescent="0.25">
      <c r="A4226" s="2">
        <v>44643</v>
      </c>
      <c r="B4226" s="1" t="s">
        <v>52</v>
      </c>
      <c r="C4226">
        <v>57</v>
      </c>
      <c r="D4226" s="1" t="s">
        <v>169</v>
      </c>
      <c r="E4226" s="1" t="s">
        <v>6</v>
      </c>
      <c r="F4226">
        <v>4</v>
      </c>
      <c r="G4226" s="1" t="str">
        <f>Ocupacao_DW[[#This Row],[data]]&amp;Ocupacao_DW[[#This Row],[profissional_id]]&amp;Ocupacao_DW[[#This Row],[local_id]]</f>
        <v>44643574</v>
      </c>
      <c r="H4226" s="1">
        <f>_xlfn.XLOOKUP(Ocupacao_DW[[#This Row],[Concat]],Vagas!$H:$H,Vagas!$D:$D,"",0)</f>
        <v>0</v>
      </c>
    </row>
    <row r="4227" spans="1:8" x14ac:dyDescent="0.25">
      <c r="A4227" s="2">
        <v>44637</v>
      </c>
      <c r="B4227" s="1" t="s">
        <v>51</v>
      </c>
      <c r="C4227">
        <v>12582</v>
      </c>
      <c r="D4227" s="1" t="s">
        <v>190</v>
      </c>
      <c r="E4227" s="1" t="s">
        <v>5</v>
      </c>
      <c r="F4227">
        <v>15</v>
      </c>
      <c r="G4227" s="1" t="str">
        <f>Ocupacao_DW[[#This Row],[data]]&amp;Ocupacao_DW[[#This Row],[profissional_id]]&amp;Ocupacao_DW[[#This Row],[local_id]]</f>
        <v>446371258215</v>
      </c>
      <c r="H4227" s="1">
        <f>_xlfn.XLOOKUP(Ocupacao_DW[[#This Row],[Concat]],Vagas!$H:$H,Vagas!$D:$D,"",0)</f>
        <v>0</v>
      </c>
    </row>
    <row r="4228" spans="1:8" x14ac:dyDescent="0.25">
      <c r="A4228" s="2">
        <v>44636</v>
      </c>
      <c r="B4228" s="1" t="s">
        <v>49</v>
      </c>
      <c r="C4228">
        <v>6430</v>
      </c>
      <c r="D4228" s="1" t="s">
        <v>188</v>
      </c>
      <c r="E4228" s="1" t="s">
        <v>4</v>
      </c>
      <c r="F4228">
        <v>42</v>
      </c>
      <c r="G4228" s="1" t="str">
        <f>Ocupacao_DW[[#This Row],[data]]&amp;Ocupacao_DW[[#This Row],[profissional_id]]&amp;Ocupacao_DW[[#This Row],[local_id]]</f>
        <v>44636643042</v>
      </c>
      <c r="H4228" s="1">
        <f>_xlfn.XLOOKUP(Ocupacao_DW[[#This Row],[Concat]],Vagas!$H:$H,Vagas!$D:$D,"",0)</f>
        <v>0</v>
      </c>
    </row>
    <row r="4229" spans="1:8" x14ac:dyDescent="0.25">
      <c r="A4229" s="2">
        <v>44635</v>
      </c>
      <c r="B4229" s="1" t="s">
        <v>67</v>
      </c>
      <c r="C4229">
        <v>7290</v>
      </c>
      <c r="D4229" s="1" t="s">
        <v>247</v>
      </c>
      <c r="E4229" s="1" t="s">
        <v>5</v>
      </c>
      <c r="F4229">
        <v>18</v>
      </c>
      <c r="G4229" s="1" t="str">
        <f>Ocupacao_DW[[#This Row],[data]]&amp;Ocupacao_DW[[#This Row],[profissional_id]]&amp;Ocupacao_DW[[#This Row],[local_id]]</f>
        <v>44635729018</v>
      </c>
      <c r="H4229" s="1">
        <f>_xlfn.XLOOKUP(Ocupacao_DW[[#This Row],[Concat]],Vagas!$H:$H,Vagas!$D:$D,"",0)</f>
        <v>0</v>
      </c>
    </row>
    <row r="4230" spans="1:8" x14ac:dyDescent="0.25">
      <c r="A4230" s="2">
        <v>44637</v>
      </c>
      <c r="B4230" s="1" t="s">
        <v>52</v>
      </c>
      <c r="C4230">
        <v>10691</v>
      </c>
      <c r="D4230" s="1" t="s">
        <v>181</v>
      </c>
      <c r="E4230" s="1" t="s">
        <v>6</v>
      </c>
      <c r="F4230">
        <v>9</v>
      </c>
      <c r="G4230" s="1" t="str">
        <f>Ocupacao_DW[[#This Row],[data]]&amp;Ocupacao_DW[[#This Row],[profissional_id]]&amp;Ocupacao_DW[[#This Row],[local_id]]</f>
        <v>44637106919</v>
      </c>
      <c r="H4230" s="1">
        <f>_xlfn.XLOOKUP(Ocupacao_DW[[#This Row],[Concat]],Vagas!$H:$H,Vagas!$D:$D,"",0)</f>
        <v>0</v>
      </c>
    </row>
    <row r="4231" spans="1:8" x14ac:dyDescent="0.25">
      <c r="A4231" s="2">
        <v>44635</v>
      </c>
      <c r="B4231" s="1"/>
      <c r="C4231">
        <v>0</v>
      </c>
      <c r="D4231" s="1"/>
      <c r="E4231" s="1" t="s">
        <v>4</v>
      </c>
      <c r="F4231">
        <v>40</v>
      </c>
      <c r="G4231" s="1" t="str">
        <f>Ocupacao_DW[[#This Row],[data]]&amp;Ocupacao_DW[[#This Row],[profissional_id]]&amp;Ocupacao_DW[[#This Row],[local_id]]</f>
        <v>44635040</v>
      </c>
      <c r="H4231" s="1" t="str">
        <f>_xlfn.XLOOKUP(Ocupacao_DW[[#This Row],[Concat]],Vagas!$H:$H,Vagas!$D:$D,"",0)</f>
        <v/>
      </c>
    </row>
    <row r="4232" spans="1:8" x14ac:dyDescent="0.25">
      <c r="A4232" s="2">
        <v>44635</v>
      </c>
      <c r="B4232" s="1" t="s">
        <v>47</v>
      </c>
      <c r="C4232">
        <v>111</v>
      </c>
      <c r="D4232" s="1" t="s">
        <v>199</v>
      </c>
      <c r="E4232" s="1" t="s">
        <v>4</v>
      </c>
      <c r="F4232">
        <v>51</v>
      </c>
      <c r="G4232" s="1" t="str">
        <f>Ocupacao_DW[[#This Row],[data]]&amp;Ocupacao_DW[[#This Row],[profissional_id]]&amp;Ocupacao_DW[[#This Row],[local_id]]</f>
        <v>4463511151</v>
      </c>
      <c r="H4232" s="1">
        <f>_xlfn.XLOOKUP(Ocupacao_DW[[#This Row],[Concat]],Vagas!$H:$H,Vagas!$D:$D,"",0)</f>
        <v>0</v>
      </c>
    </row>
    <row r="4233" spans="1:8" x14ac:dyDescent="0.25">
      <c r="A4233" s="2">
        <v>44638</v>
      </c>
      <c r="B4233" s="1" t="s">
        <v>49</v>
      </c>
      <c r="C4233">
        <v>6430</v>
      </c>
      <c r="D4233" s="1" t="s">
        <v>188</v>
      </c>
      <c r="E4233" s="1" t="s">
        <v>4</v>
      </c>
      <c r="F4233">
        <v>42</v>
      </c>
      <c r="G4233" s="1" t="str">
        <f>Ocupacao_DW[[#This Row],[data]]&amp;Ocupacao_DW[[#This Row],[profissional_id]]&amp;Ocupacao_DW[[#This Row],[local_id]]</f>
        <v>44638643042</v>
      </c>
      <c r="H4233" s="1">
        <f>_xlfn.XLOOKUP(Ocupacao_DW[[#This Row],[Concat]],Vagas!$H:$H,Vagas!$D:$D,"",0)</f>
        <v>0</v>
      </c>
    </row>
    <row r="4234" spans="1:8" x14ac:dyDescent="0.25">
      <c r="A4234" s="2">
        <v>44651</v>
      </c>
      <c r="B4234" s="1" t="s">
        <v>70</v>
      </c>
      <c r="C4234">
        <v>12519</v>
      </c>
      <c r="D4234" s="1" t="s">
        <v>176</v>
      </c>
      <c r="E4234" s="1" t="s">
        <v>4</v>
      </c>
      <c r="F4234">
        <v>42</v>
      </c>
      <c r="G4234" s="1" t="str">
        <f>Ocupacao_DW[[#This Row],[data]]&amp;Ocupacao_DW[[#This Row],[profissional_id]]&amp;Ocupacao_DW[[#This Row],[local_id]]</f>
        <v>446511251942</v>
      </c>
      <c r="H4234" s="1">
        <f>_xlfn.XLOOKUP(Ocupacao_DW[[#This Row],[Concat]],Vagas!$H:$H,Vagas!$D:$D,"",0)</f>
        <v>0</v>
      </c>
    </row>
    <row r="4235" spans="1:8" x14ac:dyDescent="0.25">
      <c r="A4235" s="2">
        <v>44643</v>
      </c>
      <c r="B4235" s="1" t="s">
        <v>50</v>
      </c>
      <c r="C4235">
        <v>13552</v>
      </c>
      <c r="D4235" s="1" t="s">
        <v>281</v>
      </c>
      <c r="E4235" s="1" t="s">
        <v>7</v>
      </c>
      <c r="F4235">
        <v>64</v>
      </c>
      <c r="G4235" s="1" t="str">
        <f>Ocupacao_DW[[#This Row],[data]]&amp;Ocupacao_DW[[#This Row],[profissional_id]]&amp;Ocupacao_DW[[#This Row],[local_id]]</f>
        <v>446431355264</v>
      </c>
      <c r="H4235" s="1">
        <f>_xlfn.XLOOKUP(Ocupacao_DW[[#This Row],[Concat]],Vagas!$H:$H,Vagas!$D:$D,"",0)</f>
        <v>0</v>
      </c>
    </row>
    <row r="4236" spans="1:8" x14ac:dyDescent="0.25">
      <c r="A4236" s="2">
        <v>44636</v>
      </c>
      <c r="B4236" s="1" t="s">
        <v>52</v>
      </c>
      <c r="C4236">
        <v>10691</v>
      </c>
      <c r="D4236" s="1" t="s">
        <v>181</v>
      </c>
      <c r="E4236" s="1" t="s">
        <v>6</v>
      </c>
      <c r="F4236">
        <v>9</v>
      </c>
      <c r="G4236" s="1" t="str">
        <f>Ocupacao_DW[[#This Row],[data]]&amp;Ocupacao_DW[[#This Row],[profissional_id]]&amp;Ocupacao_DW[[#This Row],[local_id]]</f>
        <v>44636106919</v>
      </c>
      <c r="H4236" s="1">
        <f>_xlfn.XLOOKUP(Ocupacao_DW[[#This Row],[Concat]],Vagas!$H:$H,Vagas!$D:$D,"",0)</f>
        <v>0</v>
      </c>
    </row>
    <row r="4237" spans="1:8" x14ac:dyDescent="0.25">
      <c r="A4237" s="2">
        <v>44651</v>
      </c>
      <c r="B4237" s="1" t="s">
        <v>55</v>
      </c>
      <c r="C4237">
        <v>74</v>
      </c>
      <c r="D4237" s="1" t="s">
        <v>182</v>
      </c>
      <c r="E4237" s="1" t="s">
        <v>6</v>
      </c>
      <c r="F4237">
        <v>7</v>
      </c>
      <c r="G4237" s="1" t="str">
        <f>Ocupacao_DW[[#This Row],[data]]&amp;Ocupacao_DW[[#This Row],[profissional_id]]&amp;Ocupacao_DW[[#This Row],[local_id]]</f>
        <v>44651747</v>
      </c>
      <c r="H4237" s="1">
        <f>_xlfn.XLOOKUP(Ocupacao_DW[[#This Row],[Concat]],Vagas!$H:$H,Vagas!$D:$D,"",0)</f>
        <v>0</v>
      </c>
    </row>
    <row r="4238" spans="1:8" x14ac:dyDescent="0.25">
      <c r="A4238" s="2">
        <v>44651</v>
      </c>
      <c r="B4238" s="1" t="s">
        <v>51</v>
      </c>
      <c r="C4238">
        <v>53</v>
      </c>
      <c r="D4238" s="1" t="s">
        <v>254</v>
      </c>
      <c r="E4238" s="1" t="s">
        <v>5</v>
      </c>
      <c r="F4238">
        <v>14</v>
      </c>
      <c r="G4238" s="1" t="str">
        <f>Ocupacao_DW[[#This Row],[data]]&amp;Ocupacao_DW[[#This Row],[profissional_id]]&amp;Ocupacao_DW[[#This Row],[local_id]]</f>
        <v>446515314</v>
      </c>
      <c r="H4238" s="1">
        <f>_xlfn.XLOOKUP(Ocupacao_DW[[#This Row],[Concat]],Vagas!$H:$H,Vagas!$D:$D,"",0)</f>
        <v>0</v>
      </c>
    </row>
    <row r="4239" spans="1:8" x14ac:dyDescent="0.25">
      <c r="A4239" s="2">
        <v>44636</v>
      </c>
      <c r="B4239" s="1" t="s">
        <v>57</v>
      </c>
      <c r="C4239">
        <v>80</v>
      </c>
      <c r="D4239" s="1" t="s">
        <v>179</v>
      </c>
      <c r="E4239" s="1" t="s">
        <v>167</v>
      </c>
      <c r="F4239">
        <v>346</v>
      </c>
      <c r="G4239" s="1" t="str">
        <f>Ocupacao_DW[[#This Row],[data]]&amp;Ocupacao_DW[[#This Row],[profissional_id]]&amp;Ocupacao_DW[[#This Row],[local_id]]</f>
        <v>4463680346</v>
      </c>
      <c r="H4239" s="1">
        <f>_xlfn.XLOOKUP(Ocupacao_DW[[#This Row],[Concat]],Vagas!$H:$H,Vagas!$D:$D,"",0)</f>
        <v>0</v>
      </c>
    </row>
    <row r="4240" spans="1:8" x14ac:dyDescent="0.25">
      <c r="A4240" s="2">
        <v>44635</v>
      </c>
      <c r="B4240" s="1" t="s">
        <v>55</v>
      </c>
      <c r="C4240">
        <v>14452</v>
      </c>
      <c r="D4240" s="1" t="s">
        <v>266</v>
      </c>
      <c r="E4240" s="1" t="s">
        <v>200</v>
      </c>
      <c r="F4240">
        <v>78</v>
      </c>
      <c r="G4240" s="1" t="str">
        <f>Ocupacao_DW[[#This Row],[data]]&amp;Ocupacao_DW[[#This Row],[profissional_id]]&amp;Ocupacao_DW[[#This Row],[local_id]]</f>
        <v>446351445278</v>
      </c>
      <c r="H4240" s="1">
        <f>_xlfn.XLOOKUP(Ocupacao_DW[[#This Row],[Concat]],Vagas!$H:$H,Vagas!$D:$D,"",0)</f>
        <v>0</v>
      </c>
    </row>
    <row r="4241" spans="1:8" x14ac:dyDescent="0.25">
      <c r="A4241" s="2">
        <v>44637</v>
      </c>
      <c r="B4241" s="1" t="s">
        <v>54</v>
      </c>
      <c r="C4241">
        <v>69</v>
      </c>
      <c r="D4241" s="1" t="s">
        <v>238</v>
      </c>
      <c r="E4241" s="1" t="s">
        <v>200</v>
      </c>
      <c r="F4241">
        <v>82</v>
      </c>
      <c r="G4241" s="1" t="str">
        <f>Ocupacao_DW[[#This Row],[data]]&amp;Ocupacao_DW[[#This Row],[profissional_id]]&amp;Ocupacao_DW[[#This Row],[local_id]]</f>
        <v>446376982</v>
      </c>
      <c r="H4241" s="1">
        <f>_xlfn.XLOOKUP(Ocupacao_DW[[#This Row],[Concat]],Vagas!$H:$H,Vagas!$D:$D,"",0)</f>
        <v>0</v>
      </c>
    </row>
    <row r="4242" spans="1:8" x14ac:dyDescent="0.25">
      <c r="A4242" s="2">
        <v>44642</v>
      </c>
      <c r="B4242" s="1" t="s">
        <v>68</v>
      </c>
      <c r="C4242">
        <v>8239</v>
      </c>
      <c r="D4242" s="1" t="s">
        <v>257</v>
      </c>
      <c r="E4242" s="1" t="s">
        <v>5</v>
      </c>
      <c r="F4242">
        <v>14</v>
      </c>
      <c r="G4242" s="1" t="str">
        <f>Ocupacao_DW[[#This Row],[data]]&amp;Ocupacao_DW[[#This Row],[profissional_id]]&amp;Ocupacao_DW[[#This Row],[local_id]]</f>
        <v>44642823914</v>
      </c>
      <c r="H4242" s="1">
        <f>_xlfn.XLOOKUP(Ocupacao_DW[[#This Row],[Concat]],Vagas!$H:$H,Vagas!$D:$D,"",0)</f>
        <v>0</v>
      </c>
    </row>
    <row r="4243" spans="1:8" x14ac:dyDescent="0.25">
      <c r="A4243" s="2">
        <v>44637</v>
      </c>
      <c r="B4243" s="1" t="s">
        <v>66</v>
      </c>
      <c r="C4243">
        <v>1343</v>
      </c>
      <c r="D4243" s="1" t="s">
        <v>263</v>
      </c>
      <c r="E4243" s="1" t="s">
        <v>200</v>
      </c>
      <c r="F4243">
        <v>80</v>
      </c>
      <c r="G4243" s="1" t="str">
        <f>Ocupacao_DW[[#This Row],[data]]&amp;Ocupacao_DW[[#This Row],[profissional_id]]&amp;Ocupacao_DW[[#This Row],[local_id]]</f>
        <v>44637134380</v>
      </c>
      <c r="H4243" s="1">
        <f>_xlfn.XLOOKUP(Ocupacao_DW[[#This Row],[Concat]],Vagas!$H:$H,Vagas!$D:$D,"",0)</f>
        <v>0</v>
      </c>
    </row>
    <row r="4244" spans="1:8" x14ac:dyDescent="0.25">
      <c r="A4244" s="2">
        <v>44638</v>
      </c>
      <c r="B4244" s="1" t="s">
        <v>49</v>
      </c>
      <c r="C4244">
        <v>12142</v>
      </c>
      <c r="D4244" s="1" t="s">
        <v>219</v>
      </c>
      <c r="E4244" s="1" t="s">
        <v>4</v>
      </c>
      <c r="F4244">
        <v>44</v>
      </c>
      <c r="G4244" s="1" t="str">
        <f>Ocupacao_DW[[#This Row],[data]]&amp;Ocupacao_DW[[#This Row],[profissional_id]]&amp;Ocupacao_DW[[#This Row],[local_id]]</f>
        <v>446381214244</v>
      </c>
      <c r="H4244" s="1">
        <f>_xlfn.XLOOKUP(Ocupacao_DW[[#This Row],[Concat]],Vagas!$H:$H,Vagas!$D:$D,"",0)</f>
        <v>0</v>
      </c>
    </row>
    <row r="4245" spans="1:8" x14ac:dyDescent="0.25">
      <c r="A4245" s="2">
        <v>44645</v>
      </c>
      <c r="B4245" s="1" t="s">
        <v>52</v>
      </c>
      <c r="C4245">
        <v>57</v>
      </c>
      <c r="D4245" s="1" t="s">
        <v>169</v>
      </c>
      <c r="E4245" s="1" t="s">
        <v>6</v>
      </c>
      <c r="F4245">
        <v>8</v>
      </c>
      <c r="G4245" s="1" t="str">
        <f>Ocupacao_DW[[#This Row],[data]]&amp;Ocupacao_DW[[#This Row],[profissional_id]]&amp;Ocupacao_DW[[#This Row],[local_id]]</f>
        <v>44645578</v>
      </c>
      <c r="H4245" s="1">
        <f>_xlfn.XLOOKUP(Ocupacao_DW[[#This Row],[Concat]],Vagas!$H:$H,Vagas!$D:$D,"",0)</f>
        <v>0</v>
      </c>
    </row>
    <row r="4246" spans="1:8" x14ac:dyDescent="0.25">
      <c r="A4246" s="2">
        <v>44641</v>
      </c>
      <c r="B4246" s="1" t="s">
        <v>56</v>
      </c>
      <c r="C4246">
        <v>75</v>
      </c>
      <c r="D4246" s="1" t="s">
        <v>208</v>
      </c>
      <c r="E4246" s="1" t="s">
        <v>5</v>
      </c>
      <c r="F4246">
        <v>15</v>
      </c>
      <c r="G4246" s="1" t="str">
        <f>Ocupacao_DW[[#This Row],[data]]&amp;Ocupacao_DW[[#This Row],[profissional_id]]&amp;Ocupacao_DW[[#This Row],[local_id]]</f>
        <v>446417515</v>
      </c>
      <c r="H4246" s="1">
        <f>_xlfn.XLOOKUP(Ocupacao_DW[[#This Row],[Concat]],Vagas!$H:$H,Vagas!$D:$D,"",0)</f>
        <v>0</v>
      </c>
    </row>
    <row r="4247" spans="1:8" x14ac:dyDescent="0.25">
      <c r="A4247" s="2">
        <v>44641</v>
      </c>
      <c r="B4247" s="1" t="s">
        <v>49</v>
      </c>
      <c r="C4247">
        <v>6430</v>
      </c>
      <c r="D4247" s="1" t="s">
        <v>188</v>
      </c>
      <c r="E4247" s="1" t="s">
        <v>200</v>
      </c>
      <c r="F4247">
        <v>86</v>
      </c>
      <c r="G4247" s="1" t="str">
        <f>Ocupacao_DW[[#This Row],[data]]&amp;Ocupacao_DW[[#This Row],[profissional_id]]&amp;Ocupacao_DW[[#This Row],[local_id]]</f>
        <v>44641643086</v>
      </c>
      <c r="H4247" s="1">
        <f>_xlfn.XLOOKUP(Ocupacao_DW[[#This Row],[Concat]],Vagas!$H:$H,Vagas!$D:$D,"",0)</f>
        <v>0</v>
      </c>
    </row>
    <row r="4248" spans="1:8" x14ac:dyDescent="0.25">
      <c r="A4248" s="2">
        <v>44653</v>
      </c>
      <c r="B4248" s="1" t="s">
        <v>55</v>
      </c>
      <c r="C4248">
        <v>60</v>
      </c>
      <c r="D4248" s="1" t="s">
        <v>217</v>
      </c>
      <c r="E4248" s="1" t="s">
        <v>288</v>
      </c>
      <c r="F4248">
        <v>375</v>
      </c>
      <c r="G4248" s="1" t="str">
        <f>Ocupacao_DW[[#This Row],[data]]&amp;Ocupacao_DW[[#This Row],[profissional_id]]&amp;Ocupacao_DW[[#This Row],[local_id]]</f>
        <v>4465360375</v>
      </c>
      <c r="H4248" s="1">
        <f>_xlfn.XLOOKUP(Ocupacao_DW[[#This Row],[Concat]],Vagas!$H:$H,Vagas!$D:$D,"",0)</f>
        <v>0</v>
      </c>
    </row>
    <row r="4249" spans="1:8" x14ac:dyDescent="0.25">
      <c r="A4249" s="2">
        <v>44658</v>
      </c>
      <c r="B4249" s="1" t="s">
        <v>64</v>
      </c>
      <c r="C4249">
        <v>85</v>
      </c>
      <c r="D4249" s="1" t="s">
        <v>211</v>
      </c>
      <c r="E4249" s="1" t="s">
        <v>5</v>
      </c>
      <c r="F4249">
        <v>349</v>
      </c>
      <c r="G4249" s="1" t="str">
        <f>Ocupacao_DW[[#This Row],[data]]&amp;Ocupacao_DW[[#This Row],[profissional_id]]&amp;Ocupacao_DW[[#This Row],[local_id]]</f>
        <v>4465885349</v>
      </c>
      <c r="H4249" s="1">
        <f>_xlfn.XLOOKUP(Ocupacao_DW[[#This Row],[Concat]],Vagas!$H:$H,Vagas!$D:$D,"",0)</f>
        <v>0</v>
      </c>
    </row>
    <row r="4250" spans="1:8" x14ac:dyDescent="0.25">
      <c r="A4250" s="2">
        <v>44648</v>
      </c>
      <c r="B4250" s="1" t="s">
        <v>55</v>
      </c>
      <c r="C4250">
        <v>6392</v>
      </c>
      <c r="D4250" s="1" t="s">
        <v>173</v>
      </c>
      <c r="E4250" s="1" t="s">
        <v>6</v>
      </c>
      <c r="F4250">
        <v>5</v>
      </c>
      <c r="G4250" s="1" t="str">
        <f>Ocupacao_DW[[#This Row],[data]]&amp;Ocupacao_DW[[#This Row],[profissional_id]]&amp;Ocupacao_DW[[#This Row],[local_id]]</f>
        <v>4464863925</v>
      </c>
      <c r="H4250" s="1">
        <f>_xlfn.XLOOKUP(Ocupacao_DW[[#This Row],[Concat]],Vagas!$H:$H,Vagas!$D:$D,"",0)</f>
        <v>0</v>
      </c>
    </row>
    <row r="4251" spans="1:8" x14ac:dyDescent="0.25">
      <c r="A4251" s="2">
        <v>44646</v>
      </c>
      <c r="B4251" s="1" t="s">
        <v>47</v>
      </c>
      <c r="C4251">
        <v>111</v>
      </c>
      <c r="D4251" s="1" t="s">
        <v>199</v>
      </c>
      <c r="E4251" s="1" t="s">
        <v>4</v>
      </c>
      <c r="F4251">
        <v>51</v>
      </c>
      <c r="G4251" s="1" t="str">
        <f>Ocupacao_DW[[#This Row],[data]]&amp;Ocupacao_DW[[#This Row],[profissional_id]]&amp;Ocupacao_DW[[#This Row],[local_id]]</f>
        <v>4464611151</v>
      </c>
      <c r="H4251" s="1">
        <f>_xlfn.XLOOKUP(Ocupacao_DW[[#This Row],[Concat]],Vagas!$H:$H,Vagas!$D:$D,"",0)</f>
        <v>31</v>
      </c>
    </row>
    <row r="4252" spans="1:8" x14ac:dyDescent="0.25">
      <c r="A4252" s="2">
        <v>44657</v>
      </c>
      <c r="B4252" s="1" t="s">
        <v>55</v>
      </c>
      <c r="C4252">
        <v>73</v>
      </c>
      <c r="D4252" s="1" t="s">
        <v>171</v>
      </c>
      <c r="E4252" s="1" t="s">
        <v>6</v>
      </c>
      <c r="F4252">
        <v>5</v>
      </c>
      <c r="G4252" s="1" t="str">
        <f>Ocupacao_DW[[#This Row],[data]]&amp;Ocupacao_DW[[#This Row],[profissional_id]]&amp;Ocupacao_DW[[#This Row],[local_id]]</f>
        <v>44657735</v>
      </c>
      <c r="H4252" s="1">
        <f>_xlfn.XLOOKUP(Ocupacao_DW[[#This Row],[Concat]],Vagas!$H:$H,Vagas!$D:$D,"",0)</f>
        <v>0</v>
      </c>
    </row>
    <row r="4253" spans="1:8" x14ac:dyDescent="0.25">
      <c r="A4253" s="2">
        <v>44635</v>
      </c>
      <c r="B4253" s="1" t="s">
        <v>62</v>
      </c>
      <c r="C4253">
        <v>3502</v>
      </c>
      <c r="D4253" s="1" t="s">
        <v>214</v>
      </c>
      <c r="E4253" s="1" t="s">
        <v>5</v>
      </c>
      <c r="F4253">
        <v>16</v>
      </c>
      <c r="G4253" s="1" t="str">
        <f>Ocupacao_DW[[#This Row],[data]]&amp;Ocupacao_DW[[#This Row],[profissional_id]]&amp;Ocupacao_DW[[#This Row],[local_id]]</f>
        <v>44635350216</v>
      </c>
      <c r="H4253" s="1">
        <f>_xlfn.XLOOKUP(Ocupacao_DW[[#This Row],[Concat]],Vagas!$H:$H,Vagas!$D:$D,"",0)</f>
        <v>0</v>
      </c>
    </row>
    <row r="4254" spans="1:8" x14ac:dyDescent="0.25">
      <c r="A4254" s="2">
        <v>44642</v>
      </c>
      <c r="B4254" s="1" t="s">
        <v>49</v>
      </c>
      <c r="C4254">
        <v>81</v>
      </c>
      <c r="D4254" s="1" t="s">
        <v>170</v>
      </c>
      <c r="E4254" s="1" t="s">
        <v>4</v>
      </c>
      <c r="F4254">
        <v>41</v>
      </c>
      <c r="G4254" s="1" t="str">
        <f>Ocupacao_DW[[#This Row],[data]]&amp;Ocupacao_DW[[#This Row],[profissional_id]]&amp;Ocupacao_DW[[#This Row],[local_id]]</f>
        <v>446428141</v>
      </c>
      <c r="H4254" s="1">
        <f>_xlfn.XLOOKUP(Ocupacao_DW[[#This Row],[Concat]],Vagas!$H:$H,Vagas!$D:$D,"",0)</f>
        <v>0</v>
      </c>
    </row>
    <row r="4255" spans="1:8" x14ac:dyDescent="0.25">
      <c r="A4255" s="2">
        <v>44637</v>
      </c>
      <c r="B4255" s="1"/>
      <c r="C4255">
        <v>100</v>
      </c>
      <c r="D4255" s="1" t="s">
        <v>166</v>
      </c>
      <c r="E4255" s="1" t="s">
        <v>167</v>
      </c>
      <c r="F4255">
        <v>342</v>
      </c>
      <c r="G4255" s="1" t="str">
        <f>Ocupacao_DW[[#This Row],[data]]&amp;Ocupacao_DW[[#This Row],[profissional_id]]&amp;Ocupacao_DW[[#This Row],[local_id]]</f>
        <v>44637100342</v>
      </c>
      <c r="H4255" s="1">
        <f>_xlfn.XLOOKUP(Ocupacao_DW[[#This Row],[Concat]],Vagas!$H:$H,Vagas!$D:$D,"",0)</f>
        <v>0</v>
      </c>
    </row>
    <row r="4256" spans="1:8" x14ac:dyDescent="0.25">
      <c r="A4256" s="2">
        <v>44643</v>
      </c>
      <c r="B4256" s="1" t="s">
        <v>58</v>
      </c>
      <c r="C4256">
        <v>5767</v>
      </c>
      <c r="D4256" s="1" t="s">
        <v>239</v>
      </c>
      <c r="E4256" s="1" t="s">
        <v>4</v>
      </c>
      <c r="F4256">
        <v>44</v>
      </c>
      <c r="G4256" s="1" t="str">
        <f>Ocupacao_DW[[#This Row],[data]]&amp;Ocupacao_DW[[#This Row],[profissional_id]]&amp;Ocupacao_DW[[#This Row],[local_id]]</f>
        <v>44643576744</v>
      </c>
      <c r="H4256" s="1">
        <f>_xlfn.XLOOKUP(Ocupacao_DW[[#This Row],[Concat]],Vagas!$H:$H,Vagas!$D:$D,"",0)</f>
        <v>0</v>
      </c>
    </row>
    <row r="4257" spans="1:8" x14ac:dyDescent="0.25">
      <c r="A4257" s="2">
        <v>44641</v>
      </c>
      <c r="B4257" s="1" t="s">
        <v>42</v>
      </c>
      <c r="C4257">
        <v>282</v>
      </c>
      <c r="D4257" s="1" t="s">
        <v>210</v>
      </c>
      <c r="E4257" s="1" t="s">
        <v>4</v>
      </c>
      <c r="F4257">
        <v>39</v>
      </c>
      <c r="G4257" s="1" t="str">
        <f>Ocupacao_DW[[#This Row],[data]]&amp;Ocupacao_DW[[#This Row],[profissional_id]]&amp;Ocupacao_DW[[#This Row],[local_id]]</f>
        <v>4464128239</v>
      </c>
      <c r="H4257" s="1">
        <f>_xlfn.XLOOKUP(Ocupacao_DW[[#This Row],[Concat]],Vagas!$H:$H,Vagas!$D:$D,"",0)</f>
        <v>51</v>
      </c>
    </row>
    <row r="4258" spans="1:8" x14ac:dyDescent="0.25">
      <c r="A4258" s="2">
        <v>44642</v>
      </c>
      <c r="B4258" s="1" t="s">
        <v>65</v>
      </c>
      <c r="C4258">
        <v>11237</v>
      </c>
      <c r="D4258" s="1" t="s">
        <v>229</v>
      </c>
      <c r="E4258" s="1" t="s">
        <v>4</v>
      </c>
      <c r="F4258">
        <v>46</v>
      </c>
      <c r="G4258" s="1" t="str">
        <f>Ocupacao_DW[[#This Row],[data]]&amp;Ocupacao_DW[[#This Row],[profissional_id]]&amp;Ocupacao_DW[[#This Row],[local_id]]</f>
        <v>446421123746</v>
      </c>
      <c r="H4258" s="1">
        <f>_xlfn.XLOOKUP(Ocupacao_DW[[#This Row],[Concat]],Vagas!$H:$H,Vagas!$D:$D,"",0)</f>
        <v>0</v>
      </c>
    </row>
    <row r="4259" spans="1:8" x14ac:dyDescent="0.25">
      <c r="A4259" s="2">
        <v>44644</v>
      </c>
      <c r="B4259" s="1" t="s">
        <v>73</v>
      </c>
      <c r="C4259">
        <v>10691</v>
      </c>
      <c r="D4259" s="1" t="s">
        <v>181</v>
      </c>
      <c r="E4259" s="1" t="s">
        <v>167</v>
      </c>
      <c r="F4259">
        <v>348</v>
      </c>
      <c r="G4259" s="1" t="str">
        <f>Ocupacao_DW[[#This Row],[data]]&amp;Ocupacao_DW[[#This Row],[profissional_id]]&amp;Ocupacao_DW[[#This Row],[local_id]]</f>
        <v>4464410691348</v>
      </c>
      <c r="H4259" s="1">
        <f>_xlfn.XLOOKUP(Ocupacao_DW[[#This Row],[Concat]],Vagas!$H:$H,Vagas!$D:$D,"",0)</f>
        <v>0</v>
      </c>
    </row>
    <row r="4260" spans="1:8" x14ac:dyDescent="0.25">
      <c r="A4260" s="2">
        <v>44652</v>
      </c>
      <c r="B4260" s="1" t="s">
        <v>24</v>
      </c>
      <c r="C4260">
        <v>60</v>
      </c>
      <c r="D4260" s="1" t="s">
        <v>217</v>
      </c>
      <c r="E4260" s="1" t="s">
        <v>6</v>
      </c>
      <c r="F4260">
        <v>1</v>
      </c>
      <c r="G4260" s="1" t="str">
        <f>Ocupacao_DW[[#This Row],[data]]&amp;Ocupacao_DW[[#This Row],[profissional_id]]&amp;Ocupacao_DW[[#This Row],[local_id]]</f>
        <v>44652601</v>
      </c>
      <c r="H4260" s="1">
        <f>_xlfn.XLOOKUP(Ocupacao_DW[[#This Row],[Concat]],Vagas!$H:$H,Vagas!$D:$D,"",0)</f>
        <v>0</v>
      </c>
    </row>
    <row r="4261" spans="1:8" x14ac:dyDescent="0.25">
      <c r="A4261" s="2">
        <v>44641</v>
      </c>
      <c r="B4261" s="1" t="s">
        <v>52</v>
      </c>
      <c r="C4261">
        <v>10691</v>
      </c>
      <c r="D4261" s="1" t="s">
        <v>181</v>
      </c>
      <c r="E4261" s="1" t="s">
        <v>6</v>
      </c>
      <c r="F4261">
        <v>9</v>
      </c>
      <c r="G4261" s="1" t="str">
        <f>Ocupacao_DW[[#This Row],[data]]&amp;Ocupacao_DW[[#This Row],[profissional_id]]&amp;Ocupacao_DW[[#This Row],[local_id]]</f>
        <v>44641106919</v>
      </c>
      <c r="H4261" s="1">
        <f>_xlfn.XLOOKUP(Ocupacao_DW[[#This Row],[Concat]],Vagas!$H:$H,Vagas!$D:$D,"",0)</f>
        <v>0</v>
      </c>
    </row>
    <row r="4262" spans="1:8" x14ac:dyDescent="0.25">
      <c r="A4262" s="2">
        <v>44656</v>
      </c>
      <c r="B4262" s="1" t="s">
        <v>55</v>
      </c>
      <c r="C4262">
        <v>73</v>
      </c>
      <c r="D4262" s="1" t="s">
        <v>171</v>
      </c>
      <c r="E4262" s="1" t="s">
        <v>6</v>
      </c>
      <c r="F4262">
        <v>5</v>
      </c>
      <c r="G4262" s="1" t="str">
        <f>Ocupacao_DW[[#This Row],[data]]&amp;Ocupacao_DW[[#This Row],[profissional_id]]&amp;Ocupacao_DW[[#This Row],[local_id]]</f>
        <v>44656735</v>
      </c>
      <c r="H4262" s="1">
        <f>_xlfn.XLOOKUP(Ocupacao_DW[[#This Row],[Concat]],Vagas!$H:$H,Vagas!$D:$D,"",0)</f>
        <v>0</v>
      </c>
    </row>
    <row r="4263" spans="1:8" x14ac:dyDescent="0.25">
      <c r="A4263" s="2">
        <v>44641</v>
      </c>
      <c r="B4263" s="1" t="s">
        <v>62</v>
      </c>
      <c r="C4263">
        <v>2567</v>
      </c>
      <c r="D4263" s="1" t="s">
        <v>198</v>
      </c>
      <c r="E4263" s="1" t="s">
        <v>5</v>
      </c>
      <c r="F4263">
        <v>18</v>
      </c>
      <c r="G4263" s="1" t="str">
        <f>Ocupacao_DW[[#This Row],[data]]&amp;Ocupacao_DW[[#This Row],[profissional_id]]&amp;Ocupacao_DW[[#This Row],[local_id]]</f>
        <v>44641256718</v>
      </c>
      <c r="H4263" s="1">
        <f>_xlfn.XLOOKUP(Ocupacao_DW[[#This Row],[Concat]],Vagas!$H:$H,Vagas!$D:$D,"",0)</f>
        <v>0</v>
      </c>
    </row>
    <row r="4264" spans="1:8" x14ac:dyDescent="0.25">
      <c r="A4264" s="2">
        <v>44645</v>
      </c>
      <c r="B4264" s="1" t="s">
        <v>49</v>
      </c>
      <c r="C4264">
        <v>81</v>
      </c>
      <c r="D4264" s="1" t="s">
        <v>170</v>
      </c>
      <c r="E4264" s="1" t="s">
        <v>4</v>
      </c>
      <c r="F4264">
        <v>41</v>
      </c>
      <c r="G4264" s="1" t="str">
        <f>Ocupacao_DW[[#This Row],[data]]&amp;Ocupacao_DW[[#This Row],[profissional_id]]&amp;Ocupacao_DW[[#This Row],[local_id]]</f>
        <v>446458141</v>
      </c>
      <c r="H4264" s="1">
        <f>_xlfn.XLOOKUP(Ocupacao_DW[[#This Row],[Concat]],Vagas!$H:$H,Vagas!$D:$D,"",0)</f>
        <v>0</v>
      </c>
    </row>
    <row r="4265" spans="1:8" x14ac:dyDescent="0.25">
      <c r="A4265" s="2">
        <v>44641</v>
      </c>
      <c r="B4265" s="1" t="s">
        <v>49</v>
      </c>
      <c r="C4265">
        <v>81</v>
      </c>
      <c r="D4265" s="1" t="s">
        <v>170</v>
      </c>
      <c r="E4265" s="1" t="s">
        <v>4</v>
      </c>
      <c r="F4265">
        <v>41</v>
      </c>
      <c r="G4265" s="1" t="str">
        <f>Ocupacao_DW[[#This Row],[data]]&amp;Ocupacao_DW[[#This Row],[profissional_id]]&amp;Ocupacao_DW[[#This Row],[local_id]]</f>
        <v>446418141</v>
      </c>
      <c r="H4265" s="1">
        <f>_xlfn.XLOOKUP(Ocupacao_DW[[#This Row],[Concat]],Vagas!$H:$H,Vagas!$D:$D,"",0)</f>
        <v>0</v>
      </c>
    </row>
    <row r="4266" spans="1:8" x14ac:dyDescent="0.25">
      <c r="A4266" s="2">
        <v>44641</v>
      </c>
      <c r="B4266" s="1" t="s">
        <v>52</v>
      </c>
      <c r="C4266">
        <v>10595</v>
      </c>
      <c r="D4266" s="1" t="s">
        <v>218</v>
      </c>
      <c r="E4266" s="1" t="s">
        <v>200</v>
      </c>
      <c r="F4266">
        <v>78</v>
      </c>
      <c r="G4266" s="1" t="str">
        <f>Ocupacao_DW[[#This Row],[data]]&amp;Ocupacao_DW[[#This Row],[profissional_id]]&amp;Ocupacao_DW[[#This Row],[local_id]]</f>
        <v>446411059578</v>
      </c>
      <c r="H4266" s="1">
        <f>_xlfn.XLOOKUP(Ocupacao_DW[[#This Row],[Concat]],Vagas!$H:$H,Vagas!$D:$D,"",0)</f>
        <v>0</v>
      </c>
    </row>
    <row r="4267" spans="1:8" x14ac:dyDescent="0.25">
      <c r="A4267" s="2">
        <v>44638</v>
      </c>
      <c r="B4267" s="1" t="s">
        <v>47</v>
      </c>
      <c r="C4267">
        <v>9111</v>
      </c>
      <c r="D4267" s="1" t="s">
        <v>206</v>
      </c>
      <c r="E4267" s="1" t="s">
        <v>4</v>
      </c>
      <c r="F4267">
        <v>51</v>
      </c>
      <c r="G4267" s="1" t="str">
        <f>Ocupacao_DW[[#This Row],[data]]&amp;Ocupacao_DW[[#This Row],[profissional_id]]&amp;Ocupacao_DW[[#This Row],[local_id]]</f>
        <v>44638911151</v>
      </c>
      <c r="H4267" s="1">
        <f>_xlfn.XLOOKUP(Ocupacao_DW[[#This Row],[Concat]],Vagas!$H:$H,Vagas!$D:$D,"",0)</f>
        <v>0</v>
      </c>
    </row>
    <row r="4268" spans="1:8" x14ac:dyDescent="0.25">
      <c r="A4268" s="2">
        <v>44640</v>
      </c>
      <c r="B4268" s="1" t="s">
        <v>62</v>
      </c>
      <c r="C4268">
        <v>4887</v>
      </c>
      <c r="D4268" s="1" t="s">
        <v>168</v>
      </c>
      <c r="E4268" s="1" t="s">
        <v>167</v>
      </c>
      <c r="F4268">
        <v>340</v>
      </c>
      <c r="G4268" s="1" t="str">
        <f>Ocupacao_DW[[#This Row],[data]]&amp;Ocupacao_DW[[#This Row],[profissional_id]]&amp;Ocupacao_DW[[#This Row],[local_id]]</f>
        <v>446404887340</v>
      </c>
      <c r="H4268" s="1">
        <f>_xlfn.XLOOKUP(Ocupacao_DW[[#This Row],[Concat]],Vagas!$H:$H,Vagas!$D:$D,"",0)</f>
        <v>0</v>
      </c>
    </row>
    <row r="4269" spans="1:8" x14ac:dyDescent="0.25">
      <c r="A4269" s="2">
        <v>44642</v>
      </c>
      <c r="B4269" s="1" t="s">
        <v>54</v>
      </c>
      <c r="C4269">
        <v>12623</v>
      </c>
      <c r="D4269" s="1" t="s">
        <v>258</v>
      </c>
      <c r="E4269" s="1" t="s">
        <v>5</v>
      </c>
      <c r="F4269">
        <v>11</v>
      </c>
      <c r="G4269" s="1" t="str">
        <f>Ocupacao_DW[[#This Row],[data]]&amp;Ocupacao_DW[[#This Row],[profissional_id]]&amp;Ocupacao_DW[[#This Row],[local_id]]</f>
        <v>446421262311</v>
      </c>
      <c r="H4269" s="1">
        <f>_xlfn.XLOOKUP(Ocupacao_DW[[#This Row],[Concat]],Vagas!$H:$H,Vagas!$D:$D,"",0)</f>
        <v>0</v>
      </c>
    </row>
    <row r="4270" spans="1:8" x14ac:dyDescent="0.25">
      <c r="A4270" s="2">
        <v>44635</v>
      </c>
      <c r="B4270" s="1" t="s">
        <v>56</v>
      </c>
      <c r="C4270">
        <v>1586</v>
      </c>
      <c r="D4270" s="1" t="s">
        <v>261</v>
      </c>
      <c r="E4270" s="1" t="s">
        <v>7</v>
      </c>
      <c r="F4270">
        <v>67</v>
      </c>
      <c r="G4270" s="1" t="str">
        <f>Ocupacao_DW[[#This Row],[data]]&amp;Ocupacao_DW[[#This Row],[profissional_id]]&amp;Ocupacao_DW[[#This Row],[local_id]]</f>
        <v>44635158667</v>
      </c>
      <c r="H4270" s="1">
        <f>_xlfn.XLOOKUP(Ocupacao_DW[[#This Row],[Concat]],Vagas!$H:$H,Vagas!$D:$D,"",0)</f>
        <v>0</v>
      </c>
    </row>
    <row r="4271" spans="1:8" x14ac:dyDescent="0.25">
      <c r="A4271" s="2">
        <v>44635</v>
      </c>
      <c r="B4271" s="1" t="s">
        <v>67</v>
      </c>
      <c r="C4271">
        <v>7290</v>
      </c>
      <c r="D4271" s="1" t="s">
        <v>247</v>
      </c>
      <c r="E4271" s="1" t="s">
        <v>5</v>
      </c>
      <c r="F4271">
        <v>18</v>
      </c>
      <c r="G4271" s="1" t="str">
        <f>Ocupacao_DW[[#This Row],[data]]&amp;Ocupacao_DW[[#This Row],[profissional_id]]&amp;Ocupacao_DW[[#This Row],[local_id]]</f>
        <v>44635729018</v>
      </c>
      <c r="H4271" s="1">
        <f>_xlfn.XLOOKUP(Ocupacao_DW[[#This Row],[Concat]],Vagas!$H:$H,Vagas!$D:$D,"",0)</f>
        <v>0</v>
      </c>
    </row>
    <row r="4272" spans="1:8" x14ac:dyDescent="0.25">
      <c r="A4272" s="2">
        <v>44636</v>
      </c>
      <c r="B4272" s="1" t="s">
        <v>66</v>
      </c>
      <c r="C4272">
        <v>1343</v>
      </c>
      <c r="D4272" s="1" t="s">
        <v>263</v>
      </c>
      <c r="E4272" s="1" t="s">
        <v>167</v>
      </c>
      <c r="F4272">
        <v>342</v>
      </c>
      <c r="G4272" s="1" t="str">
        <f>Ocupacao_DW[[#This Row],[data]]&amp;Ocupacao_DW[[#This Row],[profissional_id]]&amp;Ocupacao_DW[[#This Row],[local_id]]</f>
        <v>446361343342</v>
      </c>
      <c r="H4272" s="1">
        <f>_xlfn.XLOOKUP(Ocupacao_DW[[#This Row],[Concat]],Vagas!$H:$H,Vagas!$D:$D,"",0)</f>
        <v>0</v>
      </c>
    </row>
    <row r="4273" spans="1:8" x14ac:dyDescent="0.25">
      <c r="A4273" s="2">
        <v>44636</v>
      </c>
      <c r="B4273" s="1" t="s">
        <v>43</v>
      </c>
      <c r="C4273">
        <v>57</v>
      </c>
      <c r="D4273" s="1" t="s">
        <v>169</v>
      </c>
      <c r="E4273" s="1" t="s">
        <v>6</v>
      </c>
      <c r="F4273">
        <v>2</v>
      </c>
      <c r="G4273" s="1" t="str">
        <f>Ocupacao_DW[[#This Row],[data]]&amp;Ocupacao_DW[[#This Row],[profissional_id]]&amp;Ocupacao_DW[[#This Row],[local_id]]</f>
        <v>44636572</v>
      </c>
      <c r="H4273" s="1">
        <f>_xlfn.XLOOKUP(Ocupacao_DW[[#This Row],[Concat]],Vagas!$H:$H,Vagas!$D:$D,"",0)</f>
        <v>2</v>
      </c>
    </row>
    <row r="4274" spans="1:8" x14ac:dyDescent="0.25">
      <c r="A4274" s="2">
        <v>44637</v>
      </c>
      <c r="B4274" s="1" t="s">
        <v>47</v>
      </c>
      <c r="C4274">
        <v>11207</v>
      </c>
      <c r="D4274" s="1" t="s">
        <v>251</v>
      </c>
      <c r="E4274" s="1" t="s">
        <v>4</v>
      </c>
      <c r="F4274">
        <v>51</v>
      </c>
      <c r="G4274" s="1" t="str">
        <f>Ocupacao_DW[[#This Row],[data]]&amp;Ocupacao_DW[[#This Row],[profissional_id]]&amp;Ocupacao_DW[[#This Row],[local_id]]</f>
        <v>446371120751</v>
      </c>
      <c r="H4274" s="1">
        <f>_xlfn.XLOOKUP(Ocupacao_DW[[#This Row],[Concat]],Vagas!$H:$H,Vagas!$D:$D,"",0)</f>
        <v>0</v>
      </c>
    </row>
    <row r="4275" spans="1:8" x14ac:dyDescent="0.25">
      <c r="A4275" s="2">
        <v>44637</v>
      </c>
      <c r="B4275" s="1" t="s">
        <v>47</v>
      </c>
      <c r="C4275">
        <v>11207</v>
      </c>
      <c r="D4275" s="1" t="s">
        <v>251</v>
      </c>
      <c r="E4275" s="1" t="s">
        <v>4</v>
      </c>
      <c r="F4275">
        <v>51</v>
      </c>
      <c r="G4275" s="1" t="str">
        <f>Ocupacao_DW[[#This Row],[data]]&amp;Ocupacao_DW[[#This Row],[profissional_id]]&amp;Ocupacao_DW[[#This Row],[local_id]]</f>
        <v>446371120751</v>
      </c>
      <c r="H4275" s="1">
        <f>_xlfn.XLOOKUP(Ocupacao_DW[[#This Row],[Concat]],Vagas!$H:$H,Vagas!$D:$D,"",0)</f>
        <v>0</v>
      </c>
    </row>
    <row r="4276" spans="1:8" x14ac:dyDescent="0.25">
      <c r="A4276" s="2">
        <v>44641</v>
      </c>
      <c r="B4276" s="1" t="s">
        <v>66</v>
      </c>
      <c r="C4276">
        <v>3158</v>
      </c>
      <c r="D4276" s="1" t="s">
        <v>267</v>
      </c>
      <c r="E4276" s="1" t="s">
        <v>167</v>
      </c>
      <c r="F4276">
        <v>342</v>
      </c>
      <c r="G4276" s="1" t="str">
        <f>Ocupacao_DW[[#This Row],[data]]&amp;Ocupacao_DW[[#This Row],[profissional_id]]&amp;Ocupacao_DW[[#This Row],[local_id]]</f>
        <v>446413158342</v>
      </c>
      <c r="H4276" s="1">
        <f>_xlfn.XLOOKUP(Ocupacao_DW[[#This Row],[Concat]],Vagas!$H:$H,Vagas!$D:$D,"",0)</f>
        <v>0</v>
      </c>
    </row>
    <row r="4277" spans="1:8" x14ac:dyDescent="0.25">
      <c r="A4277" s="2">
        <v>44635</v>
      </c>
      <c r="B4277" s="1"/>
      <c r="C4277">
        <v>0</v>
      </c>
      <c r="D4277" s="1"/>
      <c r="E4277" s="1" t="s">
        <v>167</v>
      </c>
      <c r="F4277">
        <v>24</v>
      </c>
      <c r="G4277" s="1" t="str">
        <f>Ocupacao_DW[[#This Row],[data]]&amp;Ocupacao_DW[[#This Row],[profissional_id]]&amp;Ocupacao_DW[[#This Row],[local_id]]</f>
        <v>44635024</v>
      </c>
      <c r="H4277" s="1" t="str">
        <f>_xlfn.XLOOKUP(Ocupacao_DW[[#This Row],[Concat]],Vagas!$H:$H,Vagas!$D:$D,"",0)</f>
        <v/>
      </c>
    </row>
    <row r="4278" spans="1:8" x14ac:dyDescent="0.25">
      <c r="A4278" s="2">
        <v>44643</v>
      </c>
      <c r="B4278" s="1" t="s">
        <v>20</v>
      </c>
      <c r="C4278">
        <v>174</v>
      </c>
      <c r="D4278" s="1" t="s">
        <v>230</v>
      </c>
      <c r="E4278" s="1" t="s">
        <v>167</v>
      </c>
      <c r="F4278">
        <v>24</v>
      </c>
      <c r="G4278" s="1" t="str">
        <f>Ocupacao_DW[[#This Row],[data]]&amp;Ocupacao_DW[[#This Row],[profissional_id]]&amp;Ocupacao_DW[[#This Row],[local_id]]</f>
        <v>4464317424</v>
      </c>
      <c r="H4278" s="1">
        <f>_xlfn.XLOOKUP(Ocupacao_DW[[#This Row],[Concat]],Vagas!$H:$H,Vagas!$D:$D,"",0)</f>
        <v>81</v>
      </c>
    </row>
    <row r="4279" spans="1:8" x14ac:dyDescent="0.25">
      <c r="A4279" s="2">
        <v>44641</v>
      </c>
      <c r="B4279" s="1" t="s">
        <v>54</v>
      </c>
      <c r="C4279">
        <v>10941</v>
      </c>
      <c r="D4279" s="1" t="s">
        <v>224</v>
      </c>
      <c r="E4279" s="1" t="s">
        <v>5</v>
      </c>
      <c r="F4279">
        <v>11</v>
      </c>
      <c r="G4279" s="1" t="str">
        <f>Ocupacao_DW[[#This Row],[data]]&amp;Ocupacao_DW[[#This Row],[profissional_id]]&amp;Ocupacao_DW[[#This Row],[local_id]]</f>
        <v>446411094111</v>
      </c>
      <c r="H4279" s="1">
        <f>_xlfn.XLOOKUP(Ocupacao_DW[[#This Row],[Concat]],Vagas!$H:$H,Vagas!$D:$D,"",0)</f>
        <v>0</v>
      </c>
    </row>
    <row r="4280" spans="1:8" x14ac:dyDescent="0.25">
      <c r="A4280" s="2">
        <v>44641</v>
      </c>
      <c r="B4280" s="1" t="s">
        <v>47</v>
      </c>
      <c r="C4280">
        <v>11241</v>
      </c>
      <c r="D4280" s="1" t="s">
        <v>252</v>
      </c>
      <c r="E4280" s="1" t="s">
        <v>4</v>
      </c>
      <c r="F4280">
        <v>51</v>
      </c>
      <c r="G4280" s="1" t="str">
        <f>Ocupacao_DW[[#This Row],[data]]&amp;Ocupacao_DW[[#This Row],[profissional_id]]&amp;Ocupacao_DW[[#This Row],[local_id]]</f>
        <v>446411124151</v>
      </c>
      <c r="H4280" s="1">
        <f>_xlfn.XLOOKUP(Ocupacao_DW[[#This Row],[Concat]],Vagas!$H:$H,Vagas!$D:$D,"",0)</f>
        <v>0</v>
      </c>
    </row>
    <row r="4281" spans="1:8" x14ac:dyDescent="0.25">
      <c r="A4281" s="2">
        <v>44636</v>
      </c>
      <c r="B4281" s="1" t="s">
        <v>49</v>
      </c>
      <c r="C4281">
        <v>17918</v>
      </c>
      <c r="D4281" s="1" t="s">
        <v>265</v>
      </c>
      <c r="E4281" s="1" t="s">
        <v>4</v>
      </c>
      <c r="F4281">
        <v>42</v>
      </c>
      <c r="G4281" s="1" t="str">
        <f>Ocupacao_DW[[#This Row],[data]]&amp;Ocupacao_DW[[#This Row],[profissional_id]]&amp;Ocupacao_DW[[#This Row],[local_id]]</f>
        <v>446361791842</v>
      </c>
      <c r="H4281" s="1">
        <f>_xlfn.XLOOKUP(Ocupacao_DW[[#This Row],[Concat]],Vagas!$H:$H,Vagas!$D:$D,"",0)</f>
        <v>0</v>
      </c>
    </row>
    <row r="4282" spans="1:8" x14ac:dyDescent="0.25">
      <c r="A4282" s="2">
        <v>44635</v>
      </c>
      <c r="B4282" s="1" t="s">
        <v>55</v>
      </c>
      <c r="C4282">
        <v>14452</v>
      </c>
      <c r="D4282" s="1" t="s">
        <v>266</v>
      </c>
      <c r="E4282" s="1" t="s">
        <v>200</v>
      </c>
      <c r="F4282">
        <v>78</v>
      </c>
      <c r="G4282" s="1" t="str">
        <f>Ocupacao_DW[[#This Row],[data]]&amp;Ocupacao_DW[[#This Row],[profissional_id]]&amp;Ocupacao_DW[[#This Row],[local_id]]</f>
        <v>446351445278</v>
      </c>
      <c r="H4282" s="1">
        <f>_xlfn.XLOOKUP(Ocupacao_DW[[#This Row],[Concat]],Vagas!$H:$H,Vagas!$D:$D,"",0)</f>
        <v>0</v>
      </c>
    </row>
    <row r="4283" spans="1:8" x14ac:dyDescent="0.25">
      <c r="A4283" s="2">
        <v>44656</v>
      </c>
      <c r="B4283" s="1" t="s">
        <v>55</v>
      </c>
      <c r="C4283">
        <v>73</v>
      </c>
      <c r="D4283" s="1" t="s">
        <v>171</v>
      </c>
      <c r="E4283" s="1" t="s">
        <v>6</v>
      </c>
      <c r="F4283">
        <v>5</v>
      </c>
      <c r="G4283" s="1" t="str">
        <f>Ocupacao_DW[[#This Row],[data]]&amp;Ocupacao_DW[[#This Row],[profissional_id]]&amp;Ocupacao_DW[[#This Row],[local_id]]</f>
        <v>44656735</v>
      </c>
      <c r="H4283" s="1">
        <f>_xlfn.XLOOKUP(Ocupacao_DW[[#This Row],[Concat]],Vagas!$H:$H,Vagas!$D:$D,"",0)</f>
        <v>0</v>
      </c>
    </row>
    <row r="4284" spans="1:8" x14ac:dyDescent="0.25">
      <c r="A4284" s="2">
        <v>44650</v>
      </c>
      <c r="B4284" s="1" t="s">
        <v>70</v>
      </c>
      <c r="C4284">
        <v>12825</v>
      </c>
      <c r="D4284" s="1" t="s">
        <v>177</v>
      </c>
      <c r="E4284" s="1" t="s">
        <v>4</v>
      </c>
      <c r="F4284">
        <v>45</v>
      </c>
      <c r="G4284" s="1" t="str">
        <f>Ocupacao_DW[[#This Row],[data]]&amp;Ocupacao_DW[[#This Row],[profissional_id]]&amp;Ocupacao_DW[[#This Row],[local_id]]</f>
        <v>446501282545</v>
      </c>
      <c r="H4284" s="1">
        <f>_xlfn.XLOOKUP(Ocupacao_DW[[#This Row],[Concat]],Vagas!$H:$H,Vagas!$D:$D,"",0)</f>
        <v>0</v>
      </c>
    </row>
    <row r="4285" spans="1:8" x14ac:dyDescent="0.25">
      <c r="A4285" s="2">
        <v>44642</v>
      </c>
      <c r="B4285" s="1" t="s">
        <v>47</v>
      </c>
      <c r="C4285">
        <v>110</v>
      </c>
      <c r="D4285" s="1" t="s">
        <v>193</v>
      </c>
      <c r="E4285" s="1" t="s">
        <v>4</v>
      </c>
      <c r="F4285">
        <v>334</v>
      </c>
      <c r="G4285" s="1" t="str">
        <f>Ocupacao_DW[[#This Row],[data]]&amp;Ocupacao_DW[[#This Row],[profissional_id]]&amp;Ocupacao_DW[[#This Row],[local_id]]</f>
        <v>44642110334</v>
      </c>
      <c r="H4285" s="1">
        <f>_xlfn.XLOOKUP(Ocupacao_DW[[#This Row],[Concat]],Vagas!$H:$H,Vagas!$D:$D,"",0)</f>
        <v>0</v>
      </c>
    </row>
    <row r="4286" spans="1:8" x14ac:dyDescent="0.25">
      <c r="A4286" s="2">
        <v>44643</v>
      </c>
      <c r="B4286" s="1" t="s">
        <v>43</v>
      </c>
      <c r="C4286">
        <v>57</v>
      </c>
      <c r="D4286" s="1" t="s">
        <v>169</v>
      </c>
      <c r="E4286" s="1" t="s">
        <v>6</v>
      </c>
      <c r="F4286">
        <v>2</v>
      </c>
      <c r="G4286" s="1" t="str">
        <f>Ocupacao_DW[[#This Row],[data]]&amp;Ocupacao_DW[[#This Row],[profissional_id]]&amp;Ocupacao_DW[[#This Row],[local_id]]</f>
        <v>44643572</v>
      </c>
      <c r="H4286" s="1">
        <f>_xlfn.XLOOKUP(Ocupacao_DW[[#This Row],[Concat]],Vagas!$H:$H,Vagas!$D:$D,"",0)</f>
        <v>21</v>
      </c>
    </row>
    <row r="4287" spans="1:8" x14ac:dyDescent="0.25">
      <c r="A4287" s="2">
        <v>44635</v>
      </c>
      <c r="B4287" s="1" t="s">
        <v>44</v>
      </c>
      <c r="C4287">
        <v>17908</v>
      </c>
      <c r="D4287" s="1" t="s">
        <v>296</v>
      </c>
      <c r="E4287" s="1" t="s">
        <v>167</v>
      </c>
      <c r="F4287">
        <v>25</v>
      </c>
      <c r="G4287" s="1" t="str">
        <f>Ocupacao_DW[[#This Row],[data]]&amp;Ocupacao_DW[[#This Row],[profissional_id]]&amp;Ocupacao_DW[[#This Row],[local_id]]</f>
        <v>446351790825</v>
      </c>
      <c r="H4287" s="1">
        <f>_xlfn.XLOOKUP(Ocupacao_DW[[#This Row],[Concat]],Vagas!$H:$H,Vagas!$D:$D,"",0)</f>
        <v>8</v>
      </c>
    </row>
    <row r="4288" spans="1:8" x14ac:dyDescent="0.25">
      <c r="A4288" s="2">
        <v>44639</v>
      </c>
      <c r="B4288" s="1" t="s">
        <v>54</v>
      </c>
      <c r="C4288">
        <v>70</v>
      </c>
      <c r="D4288" s="1" t="s">
        <v>187</v>
      </c>
      <c r="E4288" s="1" t="s">
        <v>5</v>
      </c>
      <c r="F4288">
        <v>13</v>
      </c>
      <c r="G4288" s="1" t="str">
        <f>Ocupacao_DW[[#This Row],[data]]&amp;Ocupacao_DW[[#This Row],[profissional_id]]&amp;Ocupacao_DW[[#This Row],[local_id]]</f>
        <v>446397013</v>
      </c>
      <c r="H4288" s="1">
        <f>_xlfn.XLOOKUP(Ocupacao_DW[[#This Row],[Concat]],Vagas!$H:$H,Vagas!$D:$D,"",0)</f>
        <v>0</v>
      </c>
    </row>
    <row r="4289" spans="1:8" x14ac:dyDescent="0.25">
      <c r="A4289" s="2">
        <v>44642</v>
      </c>
      <c r="B4289" s="1" t="s">
        <v>65</v>
      </c>
      <c r="C4289">
        <v>11237</v>
      </c>
      <c r="D4289" s="1" t="s">
        <v>229</v>
      </c>
      <c r="E4289" s="1" t="s">
        <v>4</v>
      </c>
      <c r="F4289">
        <v>46</v>
      </c>
      <c r="G4289" s="1" t="str">
        <f>Ocupacao_DW[[#This Row],[data]]&amp;Ocupacao_DW[[#This Row],[profissional_id]]&amp;Ocupacao_DW[[#This Row],[local_id]]</f>
        <v>446421123746</v>
      </c>
      <c r="H4289" s="1">
        <f>_xlfn.XLOOKUP(Ocupacao_DW[[#This Row],[Concat]],Vagas!$H:$H,Vagas!$D:$D,"",0)</f>
        <v>0</v>
      </c>
    </row>
    <row r="4290" spans="1:8" x14ac:dyDescent="0.25">
      <c r="A4290" s="2">
        <v>44643</v>
      </c>
      <c r="B4290" s="1" t="s">
        <v>65</v>
      </c>
      <c r="C4290">
        <v>13058</v>
      </c>
      <c r="D4290" s="1" t="s">
        <v>256</v>
      </c>
      <c r="E4290" s="1" t="s">
        <v>4</v>
      </c>
      <c r="F4290">
        <v>47</v>
      </c>
      <c r="G4290" s="1" t="str">
        <f>Ocupacao_DW[[#This Row],[data]]&amp;Ocupacao_DW[[#This Row],[profissional_id]]&amp;Ocupacao_DW[[#This Row],[local_id]]</f>
        <v>446431305847</v>
      </c>
      <c r="H4290" s="1">
        <f>_xlfn.XLOOKUP(Ocupacao_DW[[#This Row],[Concat]],Vagas!$H:$H,Vagas!$D:$D,"",0)</f>
        <v>0</v>
      </c>
    </row>
    <row r="4291" spans="1:8" x14ac:dyDescent="0.25">
      <c r="A4291" s="2">
        <v>44641</v>
      </c>
      <c r="B4291" s="1" t="s">
        <v>54</v>
      </c>
      <c r="C4291">
        <v>70</v>
      </c>
      <c r="D4291" s="1" t="s">
        <v>187</v>
      </c>
      <c r="E4291" s="1" t="s">
        <v>5</v>
      </c>
      <c r="F4291">
        <v>13</v>
      </c>
      <c r="G4291" s="1" t="str">
        <f>Ocupacao_DW[[#This Row],[data]]&amp;Ocupacao_DW[[#This Row],[profissional_id]]&amp;Ocupacao_DW[[#This Row],[local_id]]</f>
        <v>446417013</v>
      </c>
      <c r="H4291" s="1">
        <f>_xlfn.XLOOKUP(Ocupacao_DW[[#This Row],[Concat]],Vagas!$H:$H,Vagas!$D:$D,"",0)</f>
        <v>0</v>
      </c>
    </row>
    <row r="4292" spans="1:8" x14ac:dyDescent="0.25">
      <c r="A4292" s="2">
        <v>44645</v>
      </c>
      <c r="B4292" s="1" t="s">
        <v>52</v>
      </c>
      <c r="C4292">
        <v>57</v>
      </c>
      <c r="D4292" s="1" t="s">
        <v>169</v>
      </c>
      <c r="E4292" s="1" t="s">
        <v>6</v>
      </c>
      <c r="F4292">
        <v>8</v>
      </c>
      <c r="G4292" s="1" t="str">
        <f>Ocupacao_DW[[#This Row],[data]]&amp;Ocupacao_DW[[#This Row],[profissional_id]]&amp;Ocupacao_DW[[#This Row],[local_id]]</f>
        <v>44645578</v>
      </c>
      <c r="H4292" s="1">
        <f>_xlfn.XLOOKUP(Ocupacao_DW[[#This Row],[Concat]],Vagas!$H:$H,Vagas!$D:$D,"",0)</f>
        <v>0</v>
      </c>
    </row>
    <row r="4293" spans="1:8" x14ac:dyDescent="0.25">
      <c r="A4293" s="2">
        <v>44637</v>
      </c>
      <c r="B4293" s="1" t="s">
        <v>64</v>
      </c>
      <c r="C4293">
        <v>85</v>
      </c>
      <c r="D4293" s="1" t="s">
        <v>211</v>
      </c>
      <c r="E4293" s="1" t="s">
        <v>5</v>
      </c>
      <c r="F4293">
        <v>349</v>
      </c>
      <c r="G4293" s="1" t="str">
        <f>Ocupacao_DW[[#This Row],[data]]&amp;Ocupacao_DW[[#This Row],[profissional_id]]&amp;Ocupacao_DW[[#This Row],[local_id]]</f>
        <v>4463785349</v>
      </c>
      <c r="H4293" s="1">
        <f>_xlfn.XLOOKUP(Ocupacao_DW[[#This Row],[Concat]],Vagas!$H:$H,Vagas!$D:$D,"",0)</f>
        <v>0</v>
      </c>
    </row>
    <row r="4294" spans="1:8" x14ac:dyDescent="0.25">
      <c r="A4294" s="2">
        <v>44637</v>
      </c>
      <c r="B4294" s="1" t="s">
        <v>62</v>
      </c>
      <c r="C4294">
        <v>2567</v>
      </c>
      <c r="D4294" s="1" t="s">
        <v>198</v>
      </c>
      <c r="E4294" s="1" t="s">
        <v>5</v>
      </c>
      <c r="F4294">
        <v>18</v>
      </c>
      <c r="G4294" s="1" t="str">
        <f>Ocupacao_DW[[#This Row],[data]]&amp;Ocupacao_DW[[#This Row],[profissional_id]]&amp;Ocupacao_DW[[#This Row],[local_id]]</f>
        <v>44637256718</v>
      </c>
      <c r="H4294" s="1">
        <f>_xlfn.XLOOKUP(Ocupacao_DW[[#This Row],[Concat]],Vagas!$H:$H,Vagas!$D:$D,"",0)</f>
        <v>0</v>
      </c>
    </row>
    <row r="4295" spans="1:8" x14ac:dyDescent="0.25">
      <c r="A4295" s="2">
        <v>44638</v>
      </c>
      <c r="B4295" s="1" t="s">
        <v>43</v>
      </c>
      <c r="C4295">
        <v>57</v>
      </c>
      <c r="D4295" s="1" t="s">
        <v>169</v>
      </c>
      <c r="E4295" s="1" t="s">
        <v>6</v>
      </c>
      <c r="F4295">
        <v>2</v>
      </c>
      <c r="G4295" s="1" t="str">
        <f>Ocupacao_DW[[#This Row],[data]]&amp;Ocupacao_DW[[#This Row],[profissional_id]]&amp;Ocupacao_DW[[#This Row],[local_id]]</f>
        <v>44638572</v>
      </c>
      <c r="H4295" s="1">
        <f>_xlfn.XLOOKUP(Ocupacao_DW[[#This Row],[Concat]],Vagas!$H:$H,Vagas!$D:$D,"",0)</f>
        <v>15</v>
      </c>
    </row>
    <row r="4296" spans="1:8" x14ac:dyDescent="0.25">
      <c r="A4296" s="2">
        <v>44635</v>
      </c>
      <c r="B4296" s="1" t="s">
        <v>71</v>
      </c>
      <c r="C4296">
        <v>282</v>
      </c>
      <c r="D4296" s="1" t="s">
        <v>210</v>
      </c>
      <c r="E4296" s="1" t="s">
        <v>4</v>
      </c>
      <c r="F4296">
        <v>48</v>
      </c>
      <c r="G4296" s="1" t="str">
        <f>Ocupacao_DW[[#This Row],[data]]&amp;Ocupacao_DW[[#This Row],[profissional_id]]&amp;Ocupacao_DW[[#This Row],[local_id]]</f>
        <v>4463528248</v>
      </c>
      <c r="H4296" s="1">
        <f>_xlfn.XLOOKUP(Ocupacao_DW[[#This Row],[Concat]],Vagas!$H:$H,Vagas!$D:$D,"",0)</f>
        <v>0</v>
      </c>
    </row>
    <row r="4297" spans="1:8" x14ac:dyDescent="0.25">
      <c r="A4297" s="2">
        <v>44642</v>
      </c>
      <c r="B4297" s="1" t="s">
        <v>71</v>
      </c>
      <c r="C4297">
        <v>282</v>
      </c>
      <c r="D4297" s="1" t="s">
        <v>210</v>
      </c>
      <c r="E4297" s="1" t="s">
        <v>4</v>
      </c>
      <c r="F4297">
        <v>48</v>
      </c>
      <c r="G4297" s="1" t="str">
        <f>Ocupacao_DW[[#This Row],[data]]&amp;Ocupacao_DW[[#This Row],[profissional_id]]&amp;Ocupacao_DW[[#This Row],[local_id]]</f>
        <v>4464228248</v>
      </c>
      <c r="H4297" s="1">
        <f>_xlfn.XLOOKUP(Ocupacao_DW[[#This Row],[Concat]],Vagas!$H:$H,Vagas!$D:$D,"",0)</f>
        <v>0</v>
      </c>
    </row>
    <row r="4298" spans="1:8" x14ac:dyDescent="0.25">
      <c r="A4298" s="2">
        <v>44635</v>
      </c>
      <c r="B4298" s="1" t="s">
        <v>55</v>
      </c>
      <c r="C4298">
        <v>2984</v>
      </c>
      <c r="D4298" s="1" t="s">
        <v>185</v>
      </c>
      <c r="E4298" s="1" t="s">
        <v>6</v>
      </c>
      <c r="F4298">
        <v>7</v>
      </c>
      <c r="G4298" s="1" t="str">
        <f>Ocupacao_DW[[#This Row],[data]]&amp;Ocupacao_DW[[#This Row],[profissional_id]]&amp;Ocupacao_DW[[#This Row],[local_id]]</f>
        <v>4463529847</v>
      </c>
      <c r="H4298" s="1">
        <f>_xlfn.XLOOKUP(Ocupacao_DW[[#This Row],[Concat]],Vagas!$H:$H,Vagas!$D:$D,"",0)</f>
        <v>0</v>
      </c>
    </row>
    <row r="4299" spans="1:8" x14ac:dyDescent="0.25">
      <c r="A4299" s="2">
        <v>44638</v>
      </c>
      <c r="B4299" s="1" t="s">
        <v>49</v>
      </c>
      <c r="C4299">
        <v>12142</v>
      </c>
      <c r="D4299" s="1" t="s">
        <v>219</v>
      </c>
      <c r="E4299" s="1" t="s">
        <v>4</v>
      </c>
      <c r="F4299">
        <v>44</v>
      </c>
      <c r="G4299" s="1" t="str">
        <f>Ocupacao_DW[[#This Row],[data]]&amp;Ocupacao_DW[[#This Row],[profissional_id]]&amp;Ocupacao_DW[[#This Row],[local_id]]</f>
        <v>446381214244</v>
      </c>
      <c r="H4299" s="1">
        <f>_xlfn.XLOOKUP(Ocupacao_DW[[#This Row],[Concat]],Vagas!$H:$H,Vagas!$D:$D,"",0)</f>
        <v>0</v>
      </c>
    </row>
    <row r="4300" spans="1:8" x14ac:dyDescent="0.25">
      <c r="A4300" s="2">
        <v>44639</v>
      </c>
      <c r="B4300" s="1" t="s">
        <v>54</v>
      </c>
      <c r="C4300">
        <v>70</v>
      </c>
      <c r="D4300" s="1" t="s">
        <v>187</v>
      </c>
      <c r="E4300" s="1" t="s">
        <v>5</v>
      </c>
      <c r="F4300">
        <v>13</v>
      </c>
      <c r="G4300" s="1" t="str">
        <f>Ocupacao_DW[[#This Row],[data]]&amp;Ocupacao_DW[[#This Row],[profissional_id]]&amp;Ocupacao_DW[[#This Row],[local_id]]</f>
        <v>446397013</v>
      </c>
      <c r="H4300" s="1">
        <f>_xlfn.XLOOKUP(Ocupacao_DW[[#This Row],[Concat]],Vagas!$H:$H,Vagas!$D:$D,"",0)</f>
        <v>0</v>
      </c>
    </row>
    <row r="4301" spans="1:8" x14ac:dyDescent="0.25">
      <c r="A4301" s="2">
        <v>44642</v>
      </c>
      <c r="B4301" s="1" t="s">
        <v>54</v>
      </c>
      <c r="C4301">
        <v>10941</v>
      </c>
      <c r="D4301" s="1" t="s">
        <v>224</v>
      </c>
      <c r="E4301" s="1" t="s">
        <v>200</v>
      </c>
      <c r="F4301">
        <v>83</v>
      </c>
      <c r="G4301" s="1" t="str">
        <f>Ocupacao_DW[[#This Row],[data]]&amp;Ocupacao_DW[[#This Row],[profissional_id]]&amp;Ocupacao_DW[[#This Row],[local_id]]</f>
        <v>446421094183</v>
      </c>
      <c r="H4301" s="1">
        <f>_xlfn.XLOOKUP(Ocupacao_DW[[#This Row],[Concat]],Vagas!$H:$H,Vagas!$D:$D,"",0)</f>
        <v>0</v>
      </c>
    </row>
    <row r="4302" spans="1:8" x14ac:dyDescent="0.25">
      <c r="A4302" s="2">
        <v>44635</v>
      </c>
      <c r="B4302" s="1" t="s">
        <v>67</v>
      </c>
      <c r="C4302">
        <v>7290</v>
      </c>
      <c r="D4302" s="1" t="s">
        <v>247</v>
      </c>
      <c r="E4302" s="1" t="s">
        <v>5</v>
      </c>
      <c r="F4302">
        <v>18</v>
      </c>
      <c r="G4302" s="1" t="str">
        <f>Ocupacao_DW[[#This Row],[data]]&amp;Ocupacao_DW[[#This Row],[profissional_id]]&amp;Ocupacao_DW[[#This Row],[local_id]]</f>
        <v>44635729018</v>
      </c>
      <c r="H4302" s="1">
        <f>_xlfn.XLOOKUP(Ocupacao_DW[[#This Row],[Concat]],Vagas!$H:$H,Vagas!$D:$D,"",0)</f>
        <v>0</v>
      </c>
    </row>
    <row r="4303" spans="1:8" x14ac:dyDescent="0.25">
      <c r="A4303" s="2">
        <v>44638</v>
      </c>
      <c r="B4303" s="1" t="s">
        <v>47</v>
      </c>
      <c r="C4303">
        <v>13371</v>
      </c>
      <c r="D4303" s="1" t="s">
        <v>205</v>
      </c>
      <c r="E4303" s="1" t="s">
        <v>4</v>
      </c>
      <c r="F4303">
        <v>336</v>
      </c>
      <c r="G4303" s="1" t="str">
        <f>Ocupacao_DW[[#This Row],[data]]&amp;Ocupacao_DW[[#This Row],[profissional_id]]&amp;Ocupacao_DW[[#This Row],[local_id]]</f>
        <v>4463813371336</v>
      </c>
      <c r="H4303" s="1" t="str">
        <f>_xlfn.XLOOKUP(Ocupacao_DW[[#This Row],[Concat]],Vagas!$H:$H,Vagas!$D:$D,"",0)</f>
        <v/>
      </c>
    </row>
    <row r="4304" spans="1:8" x14ac:dyDescent="0.25">
      <c r="A4304" s="2">
        <v>44638</v>
      </c>
      <c r="B4304" s="1" t="s">
        <v>46</v>
      </c>
      <c r="C4304">
        <v>17888</v>
      </c>
      <c r="D4304" s="1" t="s">
        <v>255</v>
      </c>
      <c r="E4304" s="1" t="s">
        <v>4</v>
      </c>
      <c r="F4304">
        <v>40</v>
      </c>
      <c r="G4304" s="1" t="str">
        <f>Ocupacao_DW[[#This Row],[data]]&amp;Ocupacao_DW[[#This Row],[profissional_id]]&amp;Ocupacao_DW[[#This Row],[local_id]]</f>
        <v>446381788840</v>
      </c>
      <c r="H4304" s="1">
        <f>_xlfn.XLOOKUP(Ocupacao_DW[[#This Row],[Concat]],Vagas!$H:$H,Vagas!$D:$D,"",0)</f>
        <v>21</v>
      </c>
    </row>
    <row r="4305" spans="1:8" x14ac:dyDescent="0.25">
      <c r="A4305" s="2">
        <v>44638</v>
      </c>
      <c r="B4305" s="1" t="s">
        <v>52</v>
      </c>
      <c r="C4305">
        <v>55</v>
      </c>
      <c r="D4305" s="1" t="s">
        <v>244</v>
      </c>
      <c r="E4305" s="1" t="s">
        <v>7</v>
      </c>
      <c r="F4305">
        <v>68</v>
      </c>
      <c r="G4305" s="1" t="str">
        <f>Ocupacao_DW[[#This Row],[data]]&amp;Ocupacao_DW[[#This Row],[profissional_id]]&amp;Ocupacao_DW[[#This Row],[local_id]]</f>
        <v>446385568</v>
      </c>
      <c r="H4305" s="1">
        <f>_xlfn.XLOOKUP(Ocupacao_DW[[#This Row],[Concat]],Vagas!$H:$H,Vagas!$D:$D,"",0)</f>
        <v>0</v>
      </c>
    </row>
    <row r="4306" spans="1:8" x14ac:dyDescent="0.25">
      <c r="A4306" s="2">
        <v>44638</v>
      </c>
      <c r="B4306" s="1" t="s">
        <v>52</v>
      </c>
      <c r="C4306">
        <v>10691</v>
      </c>
      <c r="D4306" s="1" t="s">
        <v>181</v>
      </c>
      <c r="E4306" s="1" t="s">
        <v>200</v>
      </c>
      <c r="F4306">
        <v>78</v>
      </c>
      <c r="G4306" s="1" t="str">
        <f>Ocupacao_DW[[#This Row],[data]]&amp;Ocupacao_DW[[#This Row],[profissional_id]]&amp;Ocupacao_DW[[#This Row],[local_id]]</f>
        <v>446381069178</v>
      </c>
      <c r="H4306" s="1">
        <f>_xlfn.XLOOKUP(Ocupacao_DW[[#This Row],[Concat]],Vagas!$H:$H,Vagas!$D:$D,"",0)</f>
        <v>0</v>
      </c>
    </row>
    <row r="4307" spans="1:8" x14ac:dyDescent="0.25">
      <c r="A4307" s="2">
        <v>44642</v>
      </c>
      <c r="B4307" s="1" t="s">
        <v>53</v>
      </c>
      <c r="C4307">
        <v>9138</v>
      </c>
      <c r="D4307" s="1" t="s">
        <v>184</v>
      </c>
      <c r="E4307" s="1" t="s">
        <v>167</v>
      </c>
      <c r="F4307">
        <v>344</v>
      </c>
      <c r="G4307" s="1" t="str">
        <f>Ocupacao_DW[[#This Row],[data]]&amp;Ocupacao_DW[[#This Row],[profissional_id]]&amp;Ocupacao_DW[[#This Row],[local_id]]</f>
        <v>446429138344</v>
      </c>
      <c r="H4307" s="1">
        <f>_xlfn.XLOOKUP(Ocupacao_DW[[#This Row],[Concat]],Vagas!$H:$H,Vagas!$D:$D,"",0)</f>
        <v>0</v>
      </c>
    </row>
    <row r="4308" spans="1:8" x14ac:dyDescent="0.25">
      <c r="A4308" s="2">
        <v>44642</v>
      </c>
      <c r="B4308" s="1" t="s">
        <v>49</v>
      </c>
      <c r="C4308">
        <v>10600</v>
      </c>
      <c r="D4308" s="1" t="s">
        <v>248</v>
      </c>
      <c r="E4308" s="1" t="s">
        <v>200</v>
      </c>
      <c r="F4308">
        <v>86</v>
      </c>
      <c r="G4308" s="1" t="str">
        <f>Ocupacao_DW[[#This Row],[data]]&amp;Ocupacao_DW[[#This Row],[profissional_id]]&amp;Ocupacao_DW[[#This Row],[local_id]]</f>
        <v>446421060086</v>
      </c>
      <c r="H4308" s="1">
        <f>_xlfn.XLOOKUP(Ocupacao_DW[[#This Row],[Concat]],Vagas!$H:$H,Vagas!$D:$D,"",0)</f>
        <v>0</v>
      </c>
    </row>
    <row r="4309" spans="1:8" x14ac:dyDescent="0.25">
      <c r="A4309" s="2">
        <v>44643</v>
      </c>
      <c r="B4309" s="1" t="s">
        <v>56</v>
      </c>
      <c r="C4309">
        <v>5927</v>
      </c>
      <c r="D4309" s="1" t="s">
        <v>226</v>
      </c>
      <c r="E4309" s="1" t="s">
        <v>5</v>
      </c>
      <c r="F4309">
        <v>14</v>
      </c>
      <c r="G4309" s="1" t="str">
        <f>Ocupacao_DW[[#This Row],[data]]&amp;Ocupacao_DW[[#This Row],[profissional_id]]&amp;Ocupacao_DW[[#This Row],[local_id]]</f>
        <v>44643592714</v>
      </c>
      <c r="H4309" s="1">
        <f>_xlfn.XLOOKUP(Ocupacao_DW[[#This Row],[Concat]],Vagas!$H:$H,Vagas!$D:$D,"",0)</f>
        <v>0</v>
      </c>
    </row>
    <row r="4310" spans="1:8" x14ac:dyDescent="0.25">
      <c r="A4310" s="2">
        <v>44638</v>
      </c>
      <c r="B4310" s="1" t="s">
        <v>56</v>
      </c>
      <c r="C4310">
        <v>13660</v>
      </c>
      <c r="D4310" s="1" t="s">
        <v>250</v>
      </c>
      <c r="E4310" s="1" t="s">
        <v>5</v>
      </c>
      <c r="F4310">
        <v>15</v>
      </c>
      <c r="G4310" s="1" t="str">
        <f>Ocupacao_DW[[#This Row],[data]]&amp;Ocupacao_DW[[#This Row],[profissional_id]]&amp;Ocupacao_DW[[#This Row],[local_id]]</f>
        <v>446381366015</v>
      </c>
      <c r="H4310" s="1">
        <f>_xlfn.XLOOKUP(Ocupacao_DW[[#This Row],[Concat]],Vagas!$H:$H,Vagas!$D:$D,"",0)</f>
        <v>0</v>
      </c>
    </row>
    <row r="4311" spans="1:8" x14ac:dyDescent="0.25">
      <c r="A4311" s="2">
        <v>44644</v>
      </c>
      <c r="B4311" s="1" t="s">
        <v>52</v>
      </c>
      <c r="C4311">
        <v>9217</v>
      </c>
      <c r="D4311" s="1" t="s">
        <v>191</v>
      </c>
      <c r="E4311" s="1" t="s">
        <v>6</v>
      </c>
      <c r="F4311">
        <v>7</v>
      </c>
      <c r="G4311" s="1" t="str">
        <f>Ocupacao_DW[[#This Row],[data]]&amp;Ocupacao_DW[[#This Row],[profissional_id]]&amp;Ocupacao_DW[[#This Row],[local_id]]</f>
        <v>4464492177</v>
      </c>
      <c r="H4311" s="1">
        <f>_xlfn.XLOOKUP(Ocupacao_DW[[#This Row],[Concat]],Vagas!$H:$H,Vagas!$D:$D,"",0)</f>
        <v>0</v>
      </c>
    </row>
    <row r="4312" spans="1:8" x14ac:dyDescent="0.25">
      <c r="A4312" s="2">
        <v>44638</v>
      </c>
      <c r="B4312" s="1" t="s">
        <v>47</v>
      </c>
      <c r="C4312">
        <v>9111</v>
      </c>
      <c r="D4312" s="1" t="s">
        <v>206</v>
      </c>
      <c r="E4312" s="1" t="s">
        <v>4</v>
      </c>
      <c r="F4312">
        <v>51</v>
      </c>
      <c r="G4312" s="1" t="str">
        <f>Ocupacao_DW[[#This Row],[data]]&amp;Ocupacao_DW[[#This Row],[profissional_id]]&amp;Ocupacao_DW[[#This Row],[local_id]]</f>
        <v>44638911151</v>
      </c>
      <c r="H4312" s="1">
        <f>_xlfn.XLOOKUP(Ocupacao_DW[[#This Row],[Concat]],Vagas!$H:$H,Vagas!$D:$D,"",0)</f>
        <v>0</v>
      </c>
    </row>
    <row r="4313" spans="1:8" x14ac:dyDescent="0.25">
      <c r="A4313" s="2">
        <v>44641</v>
      </c>
      <c r="B4313" s="1" t="s">
        <v>52</v>
      </c>
      <c r="C4313">
        <v>10595</v>
      </c>
      <c r="D4313" s="1" t="s">
        <v>218</v>
      </c>
      <c r="E4313" s="1" t="s">
        <v>200</v>
      </c>
      <c r="F4313">
        <v>78</v>
      </c>
      <c r="G4313" s="1" t="str">
        <f>Ocupacao_DW[[#This Row],[data]]&amp;Ocupacao_DW[[#This Row],[profissional_id]]&amp;Ocupacao_DW[[#This Row],[local_id]]</f>
        <v>446411059578</v>
      </c>
      <c r="H4313" s="1">
        <f>_xlfn.XLOOKUP(Ocupacao_DW[[#This Row],[Concat]],Vagas!$H:$H,Vagas!$D:$D,"",0)</f>
        <v>0</v>
      </c>
    </row>
    <row r="4314" spans="1:8" x14ac:dyDescent="0.25">
      <c r="A4314" s="2">
        <v>44644</v>
      </c>
      <c r="B4314" s="1" t="s">
        <v>56</v>
      </c>
      <c r="C4314">
        <v>5822</v>
      </c>
      <c r="D4314" s="1" t="s">
        <v>194</v>
      </c>
      <c r="E4314" s="1" t="s">
        <v>5</v>
      </c>
      <c r="F4314">
        <v>11</v>
      </c>
      <c r="G4314" s="1" t="str">
        <f>Ocupacao_DW[[#This Row],[data]]&amp;Ocupacao_DW[[#This Row],[profissional_id]]&amp;Ocupacao_DW[[#This Row],[local_id]]</f>
        <v>44644582211</v>
      </c>
      <c r="H4314" s="1">
        <f>_xlfn.XLOOKUP(Ocupacao_DW[[#This Row],[Concat]],Vagas!$H:$H,Vagas!$D:$D,"",0)</f>
        <v>0</v>
      </c>
    </row>
    <row r="4315" spans="1:8" x14ac:dyDescent="0.25">
      <c r="A4315" s="2">
        <v>44638</v>
      </c>
      <c r="B4315" s="1"/>
      <c r="C4315">
        <v>12679</v>
      </c>
      <c r="D4315" s="1" t="s">
        <v>192</v>
      </c>
      <c r="E4315" s="1" t="s">
        <v>4</v>
      </c>
      <c r="F4315">
        <v>336</v>
      </c>
      <c r="G4315" s="1" t="str">
        <f>Ocupacao_DW[[#This Row],[data]]&amp;Ocupacao_DW[[#This Row],[profissional_id]]&amp;Ocupacao_DW[[#This Row],[local_id]]</f>
        <v>4463812679336</v>
      </c>
      <c r="H4315" s="1">
        <f>_xlfn.XLOOKUP(Ocupacao_DW[[#This Row],[Concat]],Vagas!$H:$H,Vagas!$D:$D,"",0)</f>
        <v>0</v>
      </c>
    </row>
    <row r="4316" spans="1:8" x14ac:dyDescent="0.25">
      <c r="A4316" s="2">
        <v>44637</v>
      </c>
      <c r="B4316" s="1" t="s">
        <v>21</v>
      </c>
      <c r="C4316">
        <v>17890</v>
      </c>
      <c r="D4316" s="1" t="s">
        <v>270</v>
      </c>
      <c r="E4316" s="1" t="s">
        <v>6</v>
      </c>
      <c r="F4316">
        <v>4</v>
      </c>
      <c r="G4316" s="1" t="str">
        <f>Ocupacao_DW[[#This Row],[data]]&amp;Ocupacao_DW[[#This Row],[profissional_id]]&amp;Ocupacao_DW[[#This Row],[local_id]]</f>
        <v>44637178904</v>
      </c>
      <c r="H4316" s="1">
        <f>_xlfn.XLOOKUP(Ocupacao_DW[[#This Row],[Concat]],Vagas!$H:$H,Vagas!$D:$D,"",0)</f>
        <v>5</v>
      </c>
    </row>
    <row r="4317" spans="1:8" x14ac:dyDescent="0.25">
      <c r="A4317" s="2">
        <v>44638</v>
      </c>
      <c r="B4317" s="1" t="s">
        <v>43</v>
      </c>
      <c r="C4317">
        <v>57</v>
      </c>
      <c r="D4317" s="1" t="s">
        <v>169</v>
      </c>
      <c r="E4317" s="1" t="s">
        <v>6</v>
      </c>
      <c r="F4317">
        <v>2</v>
      </c>
      <c r="G4317" s="1" t="str">
        <f>Ocupacao_DW[[#This Row],[data]]&amp;Ocupacao_DW[[#This Row],[profissional_id]]&amp;Ocupacao_DW[[#This Row],[local_id]]</f>
        <v>44638572</v>
      </c>
      <c r="H4317" s="1">
        <f>_xlfn.XLOOKUP(Ocupacao_DW[[#This Row],[Concat]],Vagas!$H:$H,Vagas!$D:$D,"",0)</f>
        <v>15</v>
      </c>
    </row>
    <row r="4318" spans="1:8" x14ac:dyDescent="0.25">
      <c r="A4318" s="2">
        <v>44644</v>
      </c>
      <c r="B4318" s="1" t="s">
        <v>51</v>
      </c>
      <c r="C4318">
        <v>12582</v>
      </c>
      <c r="D4318" s="1" t="s">
        <v>190</v>
      </c>
      <c r="E4318" s="1" t="s">
        <v>5</v>
      </c>
      <c r="F4318">
        <v>15</v>
      </c>
      <c r="G4318" s="1" t="str">
        <f>Ocupacao_DW[[#This Row],[data]]&amp;Ocupacao_DW[[#This Row],[profissional_id]]&amp;Ocupacao_DW[[#This Row],[local_id]]</f>
        <v>446441258215</v>
      </c>
      <c r="H4318" s="1">
        <f>_xlfn.XLOOKUP(Ocupacao_DW[[#This Row],[Concat]],Vagas!$H:$H,Vagas!$D:$D,"",0)</f>
        <v>0</v>
      </c>
    </row>
    <row r="4319" spans="1:8" x14ac:dyDescent="0.25">
      <c r="A4319" s="2">
        <v>44635</v>
      </c>
      <c r="B4319" s="1" t="s">
        <v>71</v>
      </c>
      <c r="C4319">
        <v>282</v>
      </c>
      <c r="D4319" s="1" t="s">
        <v>210</v>
      </c>
      <c r="E4319" s="1" t="s">
        <v>4</v>
      </c>
      <c r="F4319">
        <v>48</v>
      </c>
      <c r="G4319" s="1" t="str">
        <f>Ocupacao_DW[[#This Row],[data]]&amp;Ocupacao_DW[[#This Row],[profissional_id]]&amp;Ocupacao_DW[[#This Row],[local_id]]</f>
        <v>4463528248</v>
      </c>
      <c r="H4319" s="1">
        <f>_xlfn.XLOOKUP(Ocupacao_DW[[#This Row],[Concat]],Vagas!$H:$H,Vagas!$D:$D,"",0)</f>
        <v>0</v>
      </c>
    </row>
    <row r="4320" spans="1:8" x14ac:dyDescent="0.25">
      <c r="A4320" s="2">
        <v>44646</v>
      </c>
      <c r="B4320" s="1" t="s">
        <v>60</v>
      </c>
      <c r="C4320">
        <v>117</v>
      </c>
      <c r="D4320" s="1" t="s">
        <v>180</v>
      </c>
      <c r="E4320" s="1" t="s">
        <v>4</v>
      </c>
      <c r="F4320">
        <v>48</v>
      </c>
      <c r="G4320" s="1" t="str">
        <f>Ocupacao_DW[[#This Row],[data]]&amp;Ocupacao_DW[[#This Row],[profissional_id]]&amp;Ocupacao_DW[[#This Row],[local_id]]</f>
        <v>4464611748</v>
      </c>
      <c r="H4320" s="1">
        <f>_xlfn.XLOOKUP(Ocupacao_DW[[#This Row],[Concat]],Vagas!$H:$H,Vagas!$D:$D,"",0)</f>
        <v>0</v>
      </c>
    </row>
    <row r="4321" spans="1:8" x14ac:dyDescent="0.25">
      <c r="A4321" s="2">
        <v>44643</v>
      </c>
      <c r="B4321" s="1" t="s">
        <v>72</v>
      </c>
      <c r="C4321">
        <v>1794</v>
      </c>
      <c r="D4321" s="1" t="s">
        <v>235</v>
      </c>
      <c r="E4321" s="1" t="s">
        <v>4</v>
      </c>
      <c r="F4321">
        <v>49</v>
      </c>
      <c r="G4321" s="1" t="str">
        <f>Ocupacao_DW[[#This Row],[data]]&amp;Ocupacao_DW[[#This Row],[profissional_id]]&amp;Ocupacao_DW[[#This Row],[local_id]]</f>
        <v>44643179449</v>
      </c>
      <c r="H4321" s="1">
        <f>_xlfn.XLOOKUP(Ocupacao_DW[[#This Row],[Concat]],Vagas!$H:$H,Vagas!$D:$D,"",0)</f>
        <v>0</v>
      </c>
    </row>
    <row r="4322" spans="1:8" x14ac:dyDescent="0.25">
      <c r="A4322" s="2">
        <v>44635</v>
      </c>
      <c r="B4322" s="1" t="s">
        <v>47</v>
      </c>
      <c r="C4322">
        <v>9111</v>
      </c>
      <c r="D4322" s="1" t="s">
        <v>206</v>
      </c>
      <c r="E4322" s="1" t="s">
        <v>4</v>
      </c>
      <c r="F4322">
        <v>335</v>
      </c>
      <c r="G4322" s="1" t="str">
        <f>Ocupacao_DW[[#This Row],[data]]&amp;Ocupacao_DW[[#This Row],[profissional_id]]&amp;Ocupacao_DW[[#This Row],[local_id]]</f>
        <v>446359111335</v>
      </c>
      <c r="H4322" s="1">
        <f>_xlfn.XLOOKUP(Ocupacao_DW[[#This Row],[Concat]],Vagas!$H:$H,Vagas!$D:$D,"",0)</f>
        <v>0</v>
      </c>
    </row>
    <row r="4323" spans="1:8" x14ac:dyDescent="0.25">
      <c r="A4323" s="2">
        <v>44643</v>
      </c>
      <c r="B4323" s="1" t="s">
        <v>49</v>
      </c>
      <c r="C4323">
        <v>6430</v>
      </c>
      <c r="D4323" s="1" t="s">
        <v>188</v>
      </c>
      <c r="E4323" s="1" t="s">
        <v>4</v>
      </c>
      <c r="F4323">
        <v>42</v>
      </c>
      <c r="G4323" s="1" t="str">
        <f>Ocupacao_DW[[#This Row],[data]]&amp;Ocupacao_DW[[#This Row],[profissional_id]]&amp;Ocupacao_DW[[#This Row],[local_id]]</f>
        <v>44643643042</v>
      </c>
      <c r="H4323" s="1">
        <f>_xlfn.XLOOKUP(Ocupacao_DW[[#This Row],[Concat]],Vagas!$H:$H,Vagas!$D:$D,"",0)</f>
        <v>0</v>
      </c>
    </row>
    <row r="4324" spans="1:8" x14ac:dyDescent="0.25">
      <c r="A4324" s="2">
        <v>44641</v>
      </c>
      <c r="B4324" s="1" t="s">
        <v>55</v>
      </c>
      <c r="C4324">
        <v>60</v>
      </c>
      <c r="D4324" s="1" t="s">
        <v>217</v>
      </c>
      <c r="E4324" s="1" t="s">
        <v>167</v>
      </c>
      <c r="F4324">
        <v>345</v>
      </c>
      <c r="G4324" s="1" t="str">
        <f>Ocupacao_DW[[#This Row],[data]]&amp;Ocupacao_DW[[#This Row],[profissional_id]]&amp;Ocupacao_DW[[#This Row],[local_id]]</f>
        <v>4464160345</v>
      </c>
      <c r="H4324" s="1">
        <f>_xlfn.XLOOKUP(Ocupacao_DW[[#This Row],[Concat]],Vagas!$H:$H,Vagas!$D:$D,"",0)</f>
        <v>0</v>
      </c>
    </row>
    <row r="4325" spans="1:8" x14ac:dyDescent="0.25">
      <c r="A4325" s="2">
        <v>44643</v>
      </c>
      <c r="B4325" s="1" t="s">
        <v>66</v>
      </c>
      <c r="C4325">
        <v>1343</v>
      </c>
      <c r="D4325" s="1" t="s">
        <v>263</v>
      </c>
      <c r="E4325" s="1" t="s">
        <v>7</v>
      </c>
      <c r="F4325">
        <v>64</v>
      </c>
      <c r="G4325" s="1" t="str">
        <f>Ocupacao_DW[[#This Row],[data]]&amp;Ocupacao_DW[[#This Row],[profissional_id]]&amp;Ocupacao_DW[[#This Row],[local_id]]</f>
        <v>44643134364</v>
      </c>
      <c r="H4325" s="1">
        <f>_xlfn.XLOOKUP(Ocupacao_DW[[#This Row],[Concat]],Vagas!$H:$H,Vagas!$D:$D,"",0)</f>
        <v>0</v>
      </c>
    </row>
    <row r="4326" spans="1:8" x14ac:dyDescent="0.25">
      <c r="A4326" s="2">
        <v>44637</v>
      </c>
      <c r="B4326" s="1" t="s">
        <v>62</v>
      </c>
      <c r="C4326">
        <v>2567</v>
      </c>
      <c r="D4326" s="1" t="s">
        <v>198</v>
      </c>
      <c r="E4326" s="1" t="s">
        <v>5</v>
      </c>
      <c r="F4326">
        <v>18</v>
      </c>
      <c r="G4326" s="1" t="str">
        <f>Ocupacao_DW[[#This Row],[data]]&amp;Ocupacao_DW[[#This Row],[profissional_id]]&amp;Ocupacao_DW[[#This Row],[local_id]]</f>
        <v>44637256718</v>
      </c>
      <c r="H4326" s="1">
        <f>_xlfn.XLOOKUP(Ocupacao_DW[[#This Row],[Concat]],Vagas!$H:$H,Vagas!$D:$D,"",0)</f>
        <v>0</v>
      </c>
    </row>
    <row r="4327" spans="1:8" x14ac:dyDescent="0.25">
      <c r="A4327" s="2">
        <v>44643</v>
      </c>
      <c r="B4327" s="1" t="s">
        <v>51</v>
      </c>
      <c r="C4327">
        <v>7551</v>
      </c>
      <c r="D4327" s="1" t="s">
        <v>246</v>
      </c>
      <c r="E4327" s="1" t="s">
        <v>5</v>
      </c>
      <c r="F4327">
        <v>15</v>
      </c>
      <c r="G4327" s="1" t="str">
        <f>Ocupacao_DW[[#This Row],[data]]&amp;Ocupacao_DW[[#This Row],[profissional_id]]&amp;Ocupacao_DW[[#This Row],[local_id]]</f>
        <v>44643755115</v>
      </c>
      <c r="H4327" s="1">
        <f>_xlfn.XLOOKUP(Ocupacao_DW[[#This Row],[Concat]],Vagas!$H:$H,Vagas!$D:$D,"",0)</f>
        <v>0</v>
      </c>
    </row>
    <row r="4328" spans="1:8" x14ac:dyDescent="0.25">
      <c r="A4328" s="2">
        <v>44644</v>
      </c>
      <c r="B4328" s="1" t="s">
        <v>52</v>
      </c>
      <c r="C4328">
        <v>9217</v>
      </c>
      <c r="D4328" s="1" t="s">
        <v>191</v>
      </c>
      <c r="E4328" s="1" t="s">
        <v>6</v>
      </c>
      <c r="F4328">
        <v>7</v>
      </c>
      <c r="G4328" s="1" t="str">
        <f>Ocupacao_DW[[#This Row],[data]]&amp;Ocupacao_DW[[#This Row],[profissional_id]]&amp;Ocupacao_DW[[#This Row],[local_id]]</f>
        <v>4464492177</v>
      </c>
      <c r="H4328" s="1">
        <f>_xlfn.XLOOKUP(Ocupacao_DW[[#This Row],[Concat]],Vagas!$H:$H,Vagas!$D:$D,"",0)</f>
        <v>0</v>
      </c>
    </row>
    <row r="4329" spans="1:8" x14ac:dyDescent="0.25">
      <c r="A4329" s="2">
        <v>44638</v>
      </c>
      <c r="B4329" s="1" t="s">
        <v>52</v>
      </c>
      <c r="C4329">
        <v>55</v>
      </c>
      <c r="D4329" s="1" t="s">
        <v>244</v>
      </c>
      <c r="E4329" s="1" t="s">
        <v>7</v>
      </c>
      <c r="F4329">
        <v>68</v>
      </c>
      <c r="G4329" s="1" t="str">
        <f>Ocupacao_DW[[#This Row],[data]]&amp;Ocupacao_DW[[#This Row],[profissional_id]]&amp;Ocupacao_DW[[#This Row],[local_id]]</f>
        <v>446385568</v>
      </c>
      <c r="H4329" s="1">
        <f>_xlfn.XLOOKUP(Ocupacao_DW[[#This Row],[Concat]],Vagas!$H:$H,Vagas!$D:$D,"",0)</f>
        <v>0</v>
      </c>
    </row>
    <row r="4330" spans="1:8" x14ac:dyDescent="0.25">
      <c r="A4330" s="2">
        <v>44641</v>
      </c>
      <c r="B4330" s="1" t="s">
        <v>54</v>
      </c>
      <c r="C4330">
        <v>70</v>
      </c>
      <c r="D4330" s="1" t="s">
        <v>187</v>
      </c>
      <c r="E4330" s="1" t="s">
        <v>5</v>
      </c>
      <c r="F4330">
        <v>13</v>
      </c>
      <c r="G4330" s="1" t="str">
        <f>Ocupacao_DW[[#This Row],[data]]&amp;Ocupacao_DW[[#This Row],[profissional_id]]&amp;Ocupacao_DW[[#This Row],[local_id]]</f>
        <v>446417013</v>
      </c>
      <c r="H4330" s="1">
        <f>_xlfn.XLOOKUP(Ocupacao_DW[[#This Row],[Concat]],Vagas!$H:$H,Vagas!$D:$D,"",0)</f>
        <v>0</v>
      </c>
    </row>
    <row r="4331" spans="1:8" x14ac:dyDescent="0.25">
      <c r="A4331" s="2">
        <v>44638</v>
      </c>
      <c r="B4331" s="1" t="s">
        <v>49</v>
      </c>
      <c r="C4331">
        <v>81</v>
      </c>
      <c r="D4331" s="1" t="s">
        <v>170</v>
      </c>
      <c r="E4331" s="1" t="s">
        <v>4</v>
      </c>
      <c r="F4331">
        <v>41</v>
      </c>
      <c r="G4331" s="1" t="str">
        <f>Ocupacao_DW[[#This Row],[data]]&amp;Ocupacao_DW[[#This Row],[profissional_id]]&amp;Ocupacao_DW[[#This Row],[local_id]]</f>
        <v>446388141</v>
      </c>
      <c r="H4331" s="1">
        <f>_xlfn.XLOOKUP(Ocupacao_DW[[#This Row],[Concat]],Vagas!$H:$H,Vagas!$D:$D,"",0)</f>
        <v>0</v>
      </c>
    </row>
    <row r="4332" spans="1:8" x14ac:dyDescent="0.25">
      <c r="A4332" s="2">
        <v>44656</v>
      </c>
      <c r="B4332" s="1" t="s">
        <v>67</v>
      </c>
      <c r="C4332">
        <v>7290</v>
      </c>
      <c r="D4332" s="1" t="s">
        <v>247</v>
      </c>
      <c r="E4332" s="1" t="s">
        <v>5</v>
      </c>
      <c r="F4332">
        <v>18</v>
      </c>
      <c r="G4332" s="1" t="str">
        <f>Ocupacao_DW[[#This Row],[data]]&amp;Ocupacao_DW[[#This Row],[profissional_id]]&amp;Ocupacao_DW[[#This Row],[local_id]]</f>
        <v>44656729018</v>
      </c>
      <c r="H4332" s="1">
        <f>_xlfn.XLOOKUP(Ocupacao_DW[[#This Row],[Concat]],Vagas!$H:$H,Vagas!$D:$D,"",0)</f>
        <v>0</v>
      </c>
    </row>
    <row r="4333" spans="1:8" x14ac:dyDescent="0.25">
      <c r="A4333" s="2">
        <v>44638</v>
      </c>
      <c r="B4333" s="1" t="s">
        <v>67</v>
      </c>
      <c r="C4333">
        <v>10717</v>
      </c>
      <c r="D4333" s="1" t="s">
        <v>245</v>
      </c>
      <c r="E4333" s="1" t="s">
        <v>5</v>
      </c>
      <c r="F4333">
        <v>18</v>
      </c>
      <c r="G4333" s="1" t="str">
        <f>Ocupacao_DW[[#This Row],[data]]&amp;Ocupacao_DW[[#This Row],[profissional_id]]&amp;Ocupacao_DW[[#This Row],[local_id]]</f>
        <v>446381071718</v>
      </c>
      <c r="H4333" s="1">
        <f>_xlfn.XLOOKUP(Ocupacao_DW[[#This Row],[Concat]],Vagas!$H:$H,Vagas!$D:$D,"",0)</f>
        <v>0</v>
      </c>
    </row>
    <row r="4334" spans="1:8" x14ac:dyDescent="0.25">
      <c r="A4334" s="2">
        <v>44643</v>
      </c>
      <c r="B4334" s="1" t="s">
        <v>72</v>
      </c>
      <c r="C4334">
        <v>1794</v>
      </c>
      <c r="D4334" s="1" t="s">
        <v>235</v>
      </c>
      <c r="E4334" s="1" t="s">
        <v>4</v>
      </c>
      <c r="F4334">
        <v>49</v>
      </c>
      <c r="G4334" s="1" t="str">
        <f>Ocupacao_DW[[#This Row],[data]]&amp;Ocupacao_DW[[#This Row],[profissional_id]]&amp;Ocupacao_DW[[#This Row],[local_id]]</f>
        <v>44643179449</v>
      </c>
      <c r="H4334" s="1">
        <f>_xlfn.XLOOKUP(Ocupacao_DW[[#This Row],[Concat]],Vagas!$H:$H,Vagas!$D:$D,"",0)</f>
        <v>0</v>
      </c>
    </row>
    <row r="4335" spans="1:8" x14ac:dyDescent="0.25">
      <c r="A4335" s="2">
        <v>44635</v>
      </c>
      <c r="B4335" s="1" t="s">
        <v>49</v>
      </c>
      <c r="C4335">
        <v>10600</v>
      </c>
      <c r="D4335" s="1" t="s">
        <v>248</v>
      </c>
      <c r="E4335" s="1" t="s">
        <v>200</v>
      </c>
      <c r="F4335">
        <v>86</v>
      </c>
      <c r="G4335" s="1" t="str">
        <f>Ocupacao_DW[[#This Row],[data]]&amp;Ocupacao_DW[[#This Row],[profissional_id]]&amp;Ocupacao_DW[[#This Row],[local_id]]</f>
        <v>446351060086</v>
      </c>
      <c r="H4335" s="1">
        <f>_xlfn.XLOOKUP(Ocupacao_DW[[#This Row],[Concat]],Vagas!$H:$H,Vagas!$D:$D,"",0)</f>
        <v>0</v>
      </c>
    </row>
    <row r="4336" spans="1:8" x14ac:dyDescent="0.25">
      <c r="A4336" s="2">
        <v>44636</v>
      </c>
      <c r="B4336" s="1" t="s">
        <v>57</v>
      </c>
      <c r="C4336">
        <v>80</v>
      </c>
      <c r="D4336" s="1" t="s">
        <v>179</v>
      </c>
      <c r="E4336" s="1" t="s">
        <v>167</v>
      </c>
      <c r="F4336">
        <v>346</v>
      </c>
      <c r="G4336" s="1" t="str">
        <f>Ocupacao_DW[[#This Row],[data]]&amp;Ocupacao_DW[[#This Row],[profissional_id]]&amp;Ocupacao_DW[[#This Row],[local_id]]</f>
        <v>4463680346</v>
      </c>
      <c r="H4336" s="1">
        <f>_xlfn.XLOOKUP(Ocupacao_DW[[#This Row],[Concat]],Vagas!$H:$H,Vagas!$D:$D,"",0)</f>
        <v>0</v>
      </c>
    </row>
    <row r="4337" spans="1:8" x14ac:dyDescent="0.25">
      <c r="A4337" s="2">
        <v>44657</v>
      </c>
      <c r="B4337" s="1" t="s">
        <v>70</v>
      </c>
      <c r="C4337">
        <v>12825</v>
      </c>
      <c r="D4337" s="1" t="s">
        <v>177</v>
      </c>
      <c r="E4337" s="1" t="s">
        <v>4</v>
      </c>
      <c r="F4337">
        <v>45</v>
      </c>
      <c r="G4337" s="1" t="str">
        <f>Ocupacao_DW[[#This Row],[data]]&amp;Ocupacao_DW[[#This Row],[profissional_id]]&amp;Ocupacao_DW[[#This Row],[local_id]]</f>
        <v>446571282545</v>
      </c>
      <c r="H4337" s="1">
        <f>_xlfn.XLOOKUP(Ocupacao_DW[[#This Row],[Concat]],Vagas!$H:$H,Vagas!$D:$D,"",0)</f>
        <v>0</v>
      </c>
    </row>
    <row r="4338" spans="1:8" x14ac:dyDescent="0.25">
      <c r="A4338" s="2">
        <v>44643</v>
      </c>
      <c r="B4338" s="1" t="s">
        <v>49</v>
      </c>
      <c r="C4338">
        <v>6430</v>
      </c>
      <c r="D4338" s="1" t="s">
        <v>188</v>
      </c>
      <c r="E4338" s="1" t="s">
        <v>4</v>
      </c>
      <c r="F4338">
        <v>42</v>
      </c>
      <c r="G4338" s="1" t="str">
        <f>Ocupacao_DW[[#This Row],[data]]&amp;Ocupacao_DW[[#This Row],[profissional_id]]&amp;Ocupacao_DW[[#This Row],[local_id]]</f>
        <v>44643643042</v>
      </c>
      <c r="H4338" s="1">
        <f>_xlfn.XLOOKUP(Ocupacao_DW[[#This Row],[Concat]],Vagas!$H:$H,Vagas!$D:$D,"",0)</f>
        <v>0</v>
      </c>
    </row>
    <row r="4339" spans="1:8" x14ac:dyDescent="0.25">
      <c r="A4339" s="2">
        <v>44635</v>
      </c>
      <c r="B4339" s="1" t="s">
        <v>49</v>
      </c>
      <c r="C4339">
        <v>81</v>
      </c>
      <c r="D4339" s="1" t="s">
        <v>170</v>
      </c>
      <c r="E4339" s="1" t="s">
        <v>4</v>
      </c>
      <c r="F4339">
        <v>41</v>
      </c>
      <c r="G4339" s="1" t="str">
        <f>Ocupacao_DW[[#This Row],[data]]&amp;Ocupacao_DW[[#This Row],[profissional_id]]&amp;Ocupacao_DW[[#This Row],[local_id]]</f>
        <v>446358141</v>
      </c>
      <c r="H4339" s="1">
        <f>_xlfn.XLOOKUP(Ocupacao_DW[[#This Row],[Concat]],Vagas!$H:$H,Vagas!$D:$D,"",0)</f>
        <v>0</v>
      </c>
    </row>
    <row r="4340" spans="1:8" x14ac:dyDescent="0.25">
      <c r="A4340" s="2">
        <v>44635</v>
      </c>
      <c r="B4340" s="1" t="s">
        <v>62</v>
      </c>
      <c r="C4340">
        <v>3502</v>
      </c>
      <c r="D4340" s="1" t="s">
        <v>214</v>
      </c>
      <c r="E4340" s="1" t="s">
        <v>5</v>
      </c>
      <c r="F4340">
        <v>16</v>
      </c>
      <c r="G4340" s="1" t="str">
        <f>Ocupacao_DW[[#This Row],[data]]&amp;Ocupacao_DW[[#This Row],[profissional_id]]&amp;Ocupacao_DW[[#This Row],[local_id]]</f>
        <v>44635350216</v>
      </c>
      <c r="H4340" s="1">
        <f>_xlfn.XLOOKUP(Ocupacao_DW[[#This Row],[Concat]],Vagas!$H:$H,Vagas!$D:$D,"",0)</f>
        <v>0</v>
      </c>
    </row>
    <row r="4341" spans="1:8" x14ac:dyDescent="0.25">
      <c r="A4341" s="2">
        <v>44638</v>
      </c>
      <c r="B4341" s="1" t="s">
        <v>49</v>
      </c>
      <c r="C4341">
        <v>6430</v>
      </c>
      <c r="D4341" s="1" t="s">
        <v>188</v>
      </c>
      <c r="E4341" s="1" t="s">
        <v>4</v>
      </c>
      <c r="F4341">
        <v>42</v>
      </c>
      <c r="G4341" s="1" t="str">
        <f>Ocupacao_DW[[#This Row],[data]]&amp;Ocupacao_DW[[#This Row],[profissional_id]]&amp;Ocupacao_DW[[#This Row],[local_id]]</f>
        <v>44638643042</v>
      </c>
      <c r="H4341" s="1">
        <f>_xlfn.XLOOKUP(Ocupacao_DW[[#This Row],[Concat]],Vagas!$H:$H,Vagas!$D:$D,"",0)</f>
        <v>0</v>
      </c>
    </row>
    <row r="4342" spans="1:8" x14ac:dyDescent="0.25">
      <c r="A4342" s="2">
        <v>44638</v>
      </c>
      <c r="B4342" s="1" t="s">
        <v>50</v>
      </c>
      <c r="C4342">
        <v>10785</v>
      </c>
      <c r="D4342" s="1" t="s">
        <v>237</v>
      </c>
      <c r="E4342" s="1" t="s">
        <v>5</v>
      </c>
      <c r="F4342">
        <v>15</v>
      </c>
      <c r="G4342" s="1" t="str">
        <f>Ocupacao_DW[[#This Row],[data]]&amp;Ocupacao_DW[[#This Row],[profissional_id]]&amp;Ocupacao_DW[[#This Row],[local_id]]</f>
        <v>446381078515</v>
      </c>
      <c r="H4342" s="1">
        <f>_xlfn.XLOOKUP(Ocupacao_DW[[#This Row],[Concat]],Vagas!$H:$H,Vagas!$D:$D,"",0)</f>
        <v>0</v>
      </c>
    </row>
    <row r="4343" spans="1:8" x14ac:dyDescent="0.25">
      <c r="A4343" s="2">
        <v>44645</v>
      </c>
      <c r="B4343" s="1" t="s">
        <v>52</v>
      </c>
      <c r="C4343">
        <v>57</v>
      </c>
      <c r="D4343" s="1" t="s">
        <v>169</v>
      </c>
      <c r="E4343" s="1" t="s">
        <v>6</v>
      </c>
      <c r="F4343">
        <v>8</v>
      </c>
      <c r="G4343" s="1" t="str">
        <f>Ocupacao_DW[[#This Row],[data]]&amp;Ocupacao_DW[[#This Row],[profissional_id]]&amp;Ocupacao_DW[[#This Row],[local_id]]</f>
        <v>44645578</v>
      </c>
      <c r="H4343" s="1">
        <f>_xlfn.XLOOKUP(Ocupacao_DW[[#This Row],[Concat]],Vagas!$H:$H,Vagas!$D:$D,"",0)</f>
        <v>0</v>
      </c>
    </row>
    <row r="4344" spans="1:8" x14ac:dyDescent="0.25">
      <c r="A4344" s="2">
        <v>44641</v>
      </c>
      <c r="B4344" s="1" t="s">
        <v>52</v>
      </c>
      <c r="C4344">
        <v>10691</v>
      </c>
      <c r="D4344" s="1" t="s">
        <v>181</v>
      </c>
      <c r="E4344" s="1" t="s">
        <v>6</v>
      </c>
      <c r="F4344">
        <v>9</v>
      </c>
      <c r="G4344" s="1" t="str">
        <f>Ocupacao_DW[[#This Row],[data]]&amp;Ocupacao_DW[[#This Row],[profissional_id]]&amp;Ocupacao_DW[[#This Row],[local_id]]</f>
        <v>44641106919</v>
      </c>
      <c r="H4344" s="1">
        <f>_xlfn.XLOOKUP(Ocupacao_DW[[#This Row],[Concat]],Vagas!$H:$H,Vagas!$D:$D,"",0)</f>
        <v>0</v>
      </c>
    </row>
    <row r="4345" spans="1:8" x14ac:dyDescent="0.25">
      <c r="A4345" s="2">
        <v>44636</v>
      </c>
      <c r="B4345" s="1" t="s">
        <v>71</v>
      </c>
      <c r="C4345">
        <v>282</v>
      </c>
      <c r="D4345" s="1" t="s">
        <v>210</v>
      </c>
      <c r="E4345" s="1" t="s">
        <v>4</v>
      </c>
      <c r="F4345">
        <v>46</v>
      </c>
      <c r="G4345" s="1" t="str">
        <f>Ocupacao_DW[[#This Row],[data]]&amp;Ocupacao_DW[[#This Row],[profissional_id]]&amp;Ocupacao_DW[[#This Row],[local_id]]</f>
        <v>4463628246</v>
      </c>
      <c r="H4345" s="1">
        <f>_xlfn.XLOOKUP(Ocupacao_DW[[#This Row],[Concat]],Vagas!$H:$H,Vagas!$D:$D,"",0)</f>
        <v>0</v>
      </c>
    </row>
    <row r="4346" spans="1:8" x14ac:dyDescent="0.25">
      <c r="A4346" s="2">
        <v>44637</v>
      </c>
      <c r="B4346" s="1" t="s">
        <v>52</v>
      </c>
      <c r="C4346">
        <v>60</v>
      </c>
      <c r="D4346" s="1" t="s">
        <v>217</v>
      </c>
      <c r="E4346" s="1" t="s">
        <v>167</v>
      </c>
      <c r="F4346">
        <v>346</v>
      </c>
      <c r="G4346" s="1" t="str">
        <f>Ocupacao_DW[[#This Row],[data]]&amp;Ocupacao_DW[[#This Row],[profissional_id]]&amp;Ocupacao_DW[[#This Row],[local_id]]</f>
        <v>4463760346</v>
      </c>
      <c r="H4346" s="1">
        <f>_xlfn.XLOOKUP(Ocupacao_DW[[#This Row],[Concat]],Vagas!$H:$H,Vagas!$D:$D,"",0)</f>
        <v>0</v>
      </c>
    </row>
    <row r="4347" spans="1:8" x14ac:dyDescent="0.25">
      <c r="A4347" s="2">
        <v>44650</v>
      </c>
      <c r="B4347" s="1" t="s">
        <v>70</v>
      </c>
      <c r="C4347">
        <v>12519</v>
      </c>
      <c r="D4347" s="1" t="s">
        <v>176</v>
      </c>
      <c r="E4347" s="1" t="s">
        <v>4</v>
      </c>
      <c r="F4347">
        <v>48</v>
      </c>
      <c r="G4347" s="1" t="str">
        <f>Ocupacao_DW[[#This Row],[data]]&amp;Ocupacao_DW[[#This Row],[profissional_id]]&amp;Ocupacao_DW[[#This Row],[local_id]]</f>
        <v>446501251948</v>
      </c>
      <c r="H4347" s="1">
        <f>_xlfn.XLOOKUP(Ocupacao_DW[[#This Row],[Concat]],Vagas!$H:$H,Vagas!$D:$D,"",0)</f>
        <v>0</v>
      </c>
    </row>
    <row r="4348" spans="1:8" x14ac:dyDescent="0.25">
      <c r="A4348" s="2">
        <v>44635</v>
      </c>
      <c r="B4348" s="1" t="s">
        <v>65</v>
      </c>
      <c r="C4348">
        <v>11652</v>
      </c>
      <c r="D4348" s="1" t="s">
        <v>242</v>
      </c>
      <c r="E4348" s="1" t="s">
        <v>4</v>
      </c>
      <c r="F4348">
        <v>47</v>
      </c>
      <c r="G4348" s="1" t="str">
        <f>Ocupacao_DW[[#This Row],[data]]&amp;Ocupacao_DW[[#This Row],[profissional_id]]&amp;Ocupacao_DW[[#This Row],[local_id]]</f>
        <v>446351165247</v>
      </c>
      <c r="H4348" s="1">
        <f>_xlfn.XLOOKUP(Ocupacao_DW[[#This Row],[Concat]],Vagas!$H:$H,Vagas!$D:$D,"",0)</f>
        <v>0</v>
      </c>
    </row>
    <row r="4349" spans="1:8" x14ac:dyDescent="0.25">
      <c r="A4349" s="2">
        <v>44637</v>
      </c>
      <c r="B4349" s="1" t="s">
        <v>54</v>
      </c>
      <c r="C4349">
        <v>69</v>
      </c>
      <c r="D4349" s="1" t="s">
        <v>238</v>
      </c>
      <c r="E4349" s="1" t="s">
        <v>200</v>
      </c>
      <c r="F4349">
        <v>82</v>
      </c>
      <c r="G4349" s="1" t="str">
        <f>Ocupacao_DW[[#This Row],[data]]&amp;Ocupacao_DW[[#This Row],[profissional_id]]&amp;Ocupacao_DW[[#This Row],[local_id]]</f>
        <v>446376982</v>
      </c>
      <c r="H4349" s="1">
        <f>_xlfn.XLOOKUP(Ocupacao_DW[[#This Row],[Concat]],Vagas!$H:$H,Vagas!$D:$D,"",0)</f>
        <v>0</v>
      </c>
    </row>
    <row r="4350" spans="1:8" x14ac:dyDescent="0.25">
      <c r="A4350" s="2">
        <v>44643</v>
      </c>
      <c r="B4350" s="1" t="s">
        <v>60</v>
      </c>
      <c r="C4350">
        <v>14326</v>
      </c>
      <c r="D4350" s="1" t="s">
        <v>220</v>
      </c>
      <c r="E4350" s="1" t="s">
        <v>4</v>
      </c>
      <c r="F4350">
        <v>43</v>
      </c>
      <c r="G4350" s="1" t="str">
        <f>Ocupacao_DW[[#This Row],[data]]&amp;Ocupacao_DW[[#This Row],[profissional_id]]&amp;Ocupacao_DW[[#This Row],[local_id]]</f>
        <v>446431432643</v>
      </c>
      <c r="H4350" s="1">
        <f>_xlfn.XLOOKUP(Ocupacao_DW[[#This Row],[Concat]],Vagas!$H:$H,Vagas!$D:$D,"",0)</f>
        <v>0</v>
      </c>
    </row>
    <row r="4351" spans="1:8" x14ac:dyDescent="0.25">
      <c r="A4351" s="2">
        <v>44635</v>
      </c>
      <c r="B4351" s="1" t="s">
        <v>55</v>
      </c>
      <c r="C4351">
        <v>60</v>
      </c>
      <c r="D4351" s="1" t="s">
        <v>217</v>
      </c>
      <c r="E4351" s="1" t="s">
        <v>167</v>
      </c>
      <c r="F4351">
        <v>345</v>
      </c>
      <c r="G4351" s="1" t="str">
        <f>Ocupacao_DW[[#This Row],[data]]&amp;Ocupacao_DW[[#This Row],[profissional_id]]&amp;Ocupacao_DW[[#This Row],[local_id]]</f>
        <v>4463560345</v>
      </c>
      <c r="H4351" s="1">
        <f>_xlfn.XLOOKUP(Ocupacao_DW[[#This Row],[Concat]],Vagas!$H:$H,Vagas!$D:$D,"",0)</f>
        <v>0</v>
      </c>
    </row>
    <row r="4352" spans="1:8" x14ac:dyDescent="0.25">
      <c r="A4352" s="2">
        <v>44635</v>
      </c>
      <c r="B4352" s="1" t="s">
        <v>64</v>
      </c>
      <c r="C4352">
        <v>85</v>
      </c>
      <c r="D4352" s="1" t="s">
        <v>211</v>
      </c>
      <c r="E4352" s="1" t="s">
        <v>5</v>
      </c>
      <c r="F4352">
        <v>349</v>
      </c>
      <c r="G4352" s="1" t="str">
        <f>Ocupacao_DW[[#This Row],[data]]&amp;Ocupacao_DW[[#This Row],[profissional_id]]&amp;Ocupacao_DW[[#This Row],[local_id]]</f>
        <v>4463585349</v>
      </c>
      <c r="H4352" s="1">
        <f>_xlfn.XLOOKUP(Ocupacao_DW[[#This Row],[Concat]],Vagas!$H:$H,Vagas!$D:$D,"",0)</f>
        <v>0</v>
      </c>
    </row>
    <row r="4353" spans="1:8" x14ac:dyDescent="0.25">
      <c r="A4353" s="2">
        <v>44635</v>
      </c>
      <c r="B4353" s="1" t="s">
        <v>64</v>
      </c>
      <c r="C4353">
        <v>85</v>
      </c>
      <c r="D4353" s="1" t="s">
        <v>211</v>
      </c>
      <c r="E4353" s="1" t="s">
        <v>5</v>
      </c>
      <c r="F4353">
        <v>349</v>
      </c>
      <c r="G4353" s="1" t="str">
        <f>Ocupacao_DW[[#This Row],[data]]&amp;Ocupacao_DW[[#This Row],[profissional_id]]&amp;Ocupacao_DW[[#This Row],[local_id]]</f>
        <v>4463585349</v>
      </c>
      <c r="H4353" s="1">
        <f>_xlfn.XLOOKUP(Ocupacao_DW[[#This Row],[Concat]],Vagas!$H:$H,Vagas!$D:$D,"",0)</f>
        <v>0</v>
      </c>
    </row>
    <row r="4354" spans="1:8" x14ac:dyDescent="0.25">
      <c r="A4354" s="2">
        <v>44646</v>
      </c>
      <c r="B4354" s="1" t="s">
        <v>60</v>
      </c>
      <c r="C4354">
        <v>117</v>
      </c>
      <c r="D4354" s="1" t="s">
        <v>180</v>
      </c>
      <c r="E4354" s="1" t="s">
        <v>5</v>
      </c>
      <c r="F4354">
        <v>13</v>
      </c>
      <c r="G4354" s="1" t="str">
        <f>Ocupacao_DW[[#This Row],[data]]&amp;Ocupacao_DW[[#This Row],[profissional_id]]&amp;Ocupacao_DW[[#This Row],[local_id]]</f>
        <v>4464611713</v>
      </c>
      <c r="H4354" s="1" t="str">
        <f>_xlfn.XLOOKUP(Ocupacao_DW[[#This Row],[Concat]],Vagas!$H:$H,Vagas!$D:$D,"",0)</f>
        <v/>
      </c>
    </row>
    <row r="4355" spans="1:8" x14ac:dyDescent="0.25">
      <c r="A4355" s="2">
        <v>44657</v>
      </c>
      <c r="B4355" s="1" t="s">
        <v>70</v>
      </c>
      <c r="C4355">
        <v>12825</v>
      </c>
      <c r="D4355" s="1" t="s">
        <v>177</v>
      </c>
      <c r="E4355" s="1" t="s">
        <v>4</v>
      </c>
      <c r="F4355">
        <v>45</v>
      </c>
      <c r="G4355" s="1" t="str">
        <f>Ocupacao_DW[[#This Row],[data]]&amp;Ocupacao_DW[[#This Row],[profissional_id]]&amp;Ocupacao_DW[[#This Row],[local_id]]</f>
        <v>446571282545</v>
      </c>
      <c r="H4355" s="1">
        <f>_xlfn.XLOOKUP(Ocupacao_DW[[#This Row],[Concat]],Vagas!$H:$H,Vagas!$D:$D,"",0)</f>
        <v>0</v>
      </c>
    </row>
    <row r="4356" spans="1:8" x14ac:dyDescent="0.25">
      <c r="A4356" s="2">
        <v>44635</v>
      </c>
      <c r="B4356" s="1" t="s">
        <v>54</v>
      </c>
      <c r="C4356">
        <v>10941</v>
      </c>
      <c r="D4356" s="1" t="s">
        <v>224</v>
      </c>
      <c r="E4356" s="1" t="s">
        <v>5</v>
      </c>
      <c r="F4356">
        <v>12</v>
      </c>
      <c r="G4356" s="1" t="str">
        <f>Ocupacao_DW[[#This Row],[data]]&amp;Ocupacao_DW[[#This Row],[profissional_id]]&amp;Ocupacao_DW[[#This Row],[local_id]]</f>
        <v>446351094112</v>
      </c>
      <c r="H4356" s="1">
        <f>_xlfn.XLOOKUP(Ocupacao_DW[[#This Row],[Concat]],Vagas!$H:$H,Vagas!$D:$D,"",0)</f>
        <v>0</v>
      </c>
    </row>
    <row r="4357" spans="1:8" x14ac:dyDescent="0.25">
      <c r="A4357" s="2">
        <v>44635</v>
      </c>
      <c r="B4357" s="1" t="s">
        <v>71</v>
      </c>
      <c r="C4357">
        <v>282</v>
      </c>
      <c r="D4357" s="1" t="s">
        <v>210</v>
      </c>
      <c r="E4357" s="1" t="s">
        <v>4</v>
      </c>
      <c r="F4357">
        <v>48</v>
      </c>
      <c r="G4357" s="1" t="str">
        <f>Ocupacao_DW[[#This Row],[data]]&amp;Ocupacao_DW[[#This Row],[profissional_id]]&amp;Ocupacao_DW[[#This Row],[local_id]]</f>
        <v>4463528248</v>
      </c>
      <c r="H4357" s="1">
        <f>_xlfn.XLOOKUP(Ocupacao_DW[[#This Row],[Concat]],Vagas!$H:$H,Vagas!$D:$D,"",0)</f>
        <v>0</v>
      </c>
    </row>
    <row r="4358" spans="1:8" x14ac:dyDescent="0.25">
      <c r="A4358" s="2">
        <v>44650</v>
      </c>
      <c r="B4358" s="1" t="s">
        <v>51</v>
      </c>
      <c r="C4358">
        <v>12679</v>
      </c>
      <c r="D4358" s="1" t="s">
        <v>192</v>
      </c>
      <c r="E4358" s="1" t="s">
        <v>5</v>
      </c>
      <c r="F4358">
        <v>11</v>
      </c>
      <c r="G4358" s="1" t="str">
        <f>Ocupacao_DW[[#This Row],[data]]&amp;Ocupacao_DW[[#This Row],[profissional_id]]&amp;Ocupacao_DW[[#This Row],[local_id]]</f>
        <v>446501267911</v>
      </c>
      <c r="H4358" s="1">
        <f>_xlfn.XLOOKUP(Ocupacao_DW[[#This Row],[Concat]],Vagas!$H:$H,Vagas!$D:$D,"",0)</f>
        <v>0</v>
      </c>
    </row>
    <row r="4359" spans="1:8" x14ac:dyDescent="0.25">
      <c r="A4359" s="2">
        <v>44642</v>
      </c>
      <c r="B4359" s="1" t="s">
        <v>68</v>
      </c>
      <c r="C4359">
        <v>8239</v>
      </c>
      <c r="D4359" s="1" t="s">
        <v>257</v>
      </c>
      <c r="E4359" s="1" t="s">
        <v>5</v>
      </c>
      <c r="F4359">
        <v>14</v>
      </c>
      <c r="G4359" s="1" t="str">
        <f>Ocupacao_DW[[#This Row],[data]]&amp;Ocupacao_DW[[#This Row],[profissional_id]]&amp;Ocupacao_DW[[#This Row],[local_id]]</f>
        <v>44642823914</v>
      </c>
      <c r="H4359" s="1">
        <f>_xlfn.XLOOKUP(Ocupacao_DW[[#This Row],[Concat]],Vagas!$H:$H,Vagas!$D:$D,"",0)</f>
        <v>0</v>
      </c>
    </row>
    <row r="4360" spans="1:8" x14ac:dyDescent="0.25">
      <c r="A4360" s="2">
        <v>44636</v>
      </c>
      <c r="B4360" s="1" t="s">
        <v>47</v>
      </c>
      <c r="C4360">
        <v>110</v>
      </c>
      <c r="D4360" s="1" t="s">
        <v>193</v>
      </c>
      <c r="E4360" s="1" t="s">
        <v>4</v>
      </c>
      <c r="F4360">
        <v>334</v>
      </c>
      <c r="G4360" s="1" t="str">
        <f>Ocupacao_DW[[#This Row],[data]]&amp;Ocupacao_DW[[#This Row],[profissional_id]]&amp;Ocupacao_DW[[#This Row],[local_id]]</f>
        <v>44636110334</v>
      </c>
      <c r="H4360" s="1">
        <f>_xlfn.XLOOKUP(Ocupacao_DW[[#This Row],[Concat]],Vagas!$H:$H,Vagas!$D:$D,"",0)</f>
        <v>0</v>
      </c>
    </row>
    <row r="4361" spans="1:8" x14ac:dyDescent="0.25">
      <c r="A4361" s="2">
        <v>44643</v>
      </c>
      <c r="B4361" s="1" t="s">
        <v>49</v>
      </c>
      <c r="C4361">
        <v>6430</v>
      </c>
      <c r="D4361" s="1" t="s">
        <v>188</v>
      </c>
      <c r="E4361" s="1" t="s">
        <v>4</v>
      </c>
      <c r="F4361">
        <v>42</v>
      </c>
      <c r="G4361" s="1" t="str">
        <f>Ocupacao_DW[[#This Row],[data]]&amp;Ocupacao_DW[[#This Row],[profissional_id]]&amp;Ocupacao_DW[[#This Row],[local_id]]</f>
        <v>44643643042</v>
      </c>
      <c r="H4361" s="1">
        <f>_xlfn.XLOOKUP(Ocupacao_DW[[#This Row],[Concat]],Vagas!$H:$H,Vagas!$D:$D,"",0)</f>
        <v>0</v>
      </c>
    </row>
    <row r="4362" spans="1:8" x14ac:dyDescent="0.25">
      <c r="A4362" s="2">
        <v>44645</v>
      </c>
      <c r="B4362" s="1" t="s">
        <v>55</v>
      </c>
      <c r="C4362">
        <v>2984</v>
      </c>
      <c r="D4362" s="1" t="s">
        <v>185</v>
      </c>
      <c r="E4362" s="1" t="s">
        <v>6</v>
      </c>
      <c r="F4362">
        <v>7</v>
      </c>
      <c r="G4362" s="1" t="str">
        <f>Ocupacao_DW[[#This Row],[data]]&amp;Ocupacao_DW[[#This Row],[profissional_id]]&amp;Ocupacao_DW[[#This Row],[local_id]]</f>
        <v>4464529847</v>
      </c>
      <c r="H4362" s="1">
        <f>_xlfn.XLOOKUP(Ocupacao_DW[[#This Row],[Concat]],Vagas!$H:$H,Vagas!$D:$D,"",0)</f>
        <v>0</v>
      </c>
    </row>
    <row r="4363" spans="1:8" x14ac:dyDescent="0.25">
      <c r="A4363" s="2">
        <v>44643</v>
      </c>
      <c r="B4363" s="1"/>
      <c r="C4363">
        <v>14326</v>
      </c>
      <c r="D4363" s="1" t="s">
        <v>220</v>
      </c>
      <c r="E4363" s="1" t="s">
        <v>4</v>
      </c>
      <c r="F4363">
        <v>43</v>
      </c>
      <c r="G4363" s="1" t="str">
        <f>Ocupacao_DW[[#This Row],[data]]&amp;Ocupacao_DW[[#This Row],[profissional_id]]&amp;Ocupacao_DW[[#This Row],[local_id]]</f>
        <v>446431432643</v>
      </c>
      <c r="H4363" s="1">
        <f>_xlfn.XLOOKUP(Ocupacao_DW[[#This Row],[Concat]],Vagas!$H:$H,Vagas!$D:$D,"",0)</f>
        <v>0</v>
      </c>
    </row>
    <row r="4364" spans="1:8" x14ac:dyDescent="0.25">
      <c r="A4364" s="2">
        <v>44636</v>
      </c>
      <c r="B4364" s="1" t="s">
        <v>54</v>
      </c>
      <c r="C4364">
        <v>70</v>
      </c>
      <c r="D4364" s="1" t="s">
        <v>187</v>
      </c>
      <c r="E4364" s="1" t="s">
        <v>5</v>
      </c>
      <c r="F4364">
        <v>13</v>
      </c>
      <c r="G4364" s="1" t="str">
        <f>Ocupacao_DW[[#This Row],[data]]&amp;Ocupacao_DW[[#This Row],[profissional_id]]&amp;Ocupacao_DW[[#This Row],[local_id]]</f>
        <v>446367013</v>
      </c>
      <c r="H4364" s="1">
        <f>_xlfn.XLOOKUP(Ocupacao_DW[[#This Row],[Concat]],Vagas!$H:$H,Vagas!$D:$D,"",0)</f>
        <v>0</v>
      </c>
    </row>
    <row r="4365" spans="1:8" x14ac:dyDescent="0.25">
      <c r="A4365" s="2">
        <v>44638</v>
      </c>
      <c r="B4365" s="1" t="s">
        <v>49</v>
      </c>
      <c r="C4365">
        <v>6430</v>
      </c>
      <c r="D4365" s="1" t="s">
        <v>188</v>
      </c>
      <c r="E4365" s="1" t="s">
        <v>4</v>
      </c>
      <c r="F4365">
        <v>42</v>
      </c>
      <c r="G4365" s="1" t="str">
        <f>Ocupacao_DW[[#This Row],[data]]&amp;Ocupacao_DW[[#This Row],[profissional_id]]&amp;Ocupacao_DW[[#This Row],[local_id]]</f>
        <v>44638643042</v>
      </c>
      <c r="H4365" s="1">
        <f>_xlfn.XLOOKUP(Ocupacao_DW[[#This Row],[Concat]],Vagas!$H:$H,Vagas!$D:$D,"",0)</f>
        <v>0</v>
      </c>
    </row>
    <row r="4366" spans="1:8" x14ac:dyDescent="0.25">
      <c r="A4366" s="2">
        <v>44636</v>
      </c>
      <c r="B4366" s="1" t="s">
        <v>42</v>
      </c>
      <c r="C4366">
        <v>282</v>
      </c>
      <c r="D4366" s="1" t="s">
        <v>210</v>
      </c>
      <c r="E4366" s="1" t="s">
        <v>4</v>
      </c>
      <c r="F4366">
        <v>39</v>
      </c>
      <c r="G4366" s="1" t="str">
        <f>Ocupacao_DW[[#This Row],[data]]&amp;Ocupacao_DW[[#This Row],[profissional_id]]&amp;Ocupacao_DW[[#This Row],[local_id]]</f>
        <v>4463628239</v>
      </c>
      <c r="H4366" s="1">
        <f>_xlfn.XLOOKUP(Ocupacao_DW[[#This Row],[Concat]],Vagas!$H:$H,Vagas!$D:$D,"",0)</f>
        <v>50</v>
      </c>
    </row>
    <row r="4367" spans="1:8" x14ac:dyDescent="0.25">
      <c r="A4367" s="2">
        <v>44642</v>
      </c>
      <c r="B4367" s="1" t="s">
        <v>70</v>
      </c>
      <c r="C4367">
        <v>12825</v>
      </c>
      <c r="D4367" s="1" t="s">
        <v>177</v>
      </c>
      <c r="E4367" s="1" t="s">
        <v>7</v>
      </c>
      <c r="F4367">
        <v>63</v>
      </c>
      <c r="G4367" s="1" t="str">
        <f>Ocupacao_DW[[#This Row],[data]]&amp;Ocupacao_DW[[#This Row],[profissional_id]]&amp;Ocupacao_DW[[#This Row],[local_id]]</f>
        <v>446421282563</v>
      </c>
      <c r="H4367" s="1">
        <f>_xlfn.XLOOKUP(Ocupacao_DW[[#This Row],[Concat]],Vagas!$H:$H,Vagas!$D:$D,"",0)</f>
        <v>0</v>
      </c>
    </row>
    <row r="4368" spans="1:8" x14ac:dyDescent="0.25">
      <c r="A4368" s="2">
        <v>44635</v>
      </c>
      <c r="B4368" s="1" t="s">
        <v>47</v>
      </c>
      <c r="C4368">
        <v>111</v>
      </c>
      <c r="D4368" s="1" t="s">
        <v>199</v>
      </c>
      <c r="E4368" s="1" t="s">
        <v>4</v>
      </c>
      <c r="F4368">
        <v>51</v>
      </c>
      <c r="G4368" s="1" t="str">
        <f>Ocupacao_DW[[#This Row],[data]]&amp;Ocupacao_DW[[#This Row],[profissional_id]]&amp;Ocupacao_DW[[#This Row],[local_id]]</f>
        <v>4463511151</v>
      </c>
      <c r="H4368" s="1">
        <f>_xlfn.XLOOKUP(Ocupacao_DW[[#This Row],[Concat]],Vagas!$H:$H,Vagas!$D:$D,"",0)</f>
        <v>0</v>
      </c>
    </row>
    <row r="4369" spans="1:8" x14ac:dyDescent="0.25">
      <c r="A4369" s="2">
        <v>44639</v>
      </c>
      <c r="B4369" s="1" t="s">
        <v>52</v>
      </c>
      <c r="C4369">
        <v>60</v>
      </c>
      <c r="D4369" s="1" t="s">
        <v>217</v>
      </c>
      <c r="E4369" s="1" t="s">
        <v>6</v>
      </c>
      <c r="F4369">
        <v>8</v>
      </c>
      <c r="G4369" s="1" t="str">
        <f>Ocupacao_DW[[#This Row],[data]]&amp;Ocupacao_DW[[#This Row],[profissional_id]]&amp;Ocupacao_DW[[#This Row],[local_id]]</f>
        <v>44639608</v>
      </c>
      <c r="H4369" s="1">
        <f>_xlfn.XLOOKUP(Ocupacao_DW[[#This Row],[Concat]],Vagas!$H:$H,Vagas!$D:$D,"",0)</f>
        <v>0</v>
      </c>
    </row>
    <row r="4370" spans="1:8" x14ac:dyDescent="0.25">
      <c r="A4370" s="2">
        <v>44635</v>
      </c>
      <c r="B4370" s="1" t="s">
        <v>50</v>
      </c>
      <c r="C4370">
        <v>4814</v>
      </c>
      <c r="D4370" s="1" t="s">
        <v>189</v>
      </c>
      <c r="E4370" s="1" t="s">
        <v>5</v>
      </c>
      <c r="F4370">
        <v>17</v>
      </c>
      <c r="G4370" s="1" t="str">
        <f>Ocupacao_DW[[#This Row],[data]]&amp;Ocupacao_DW[[#This Row],[profissional_id]]&amp;Ocupacao_DW[[#This Row],[local_id]]</f>
        <v>44635481417</v>
      </c>
      <c r="H4370" s="1">
        <f>_xlfn.XLOOKUP(Ocupacao_DW[[#This Row],[Concat]],Vagas!$H:$H,Vagas!$D:$D,"",0)</f>
        <v>0</v>
      </c>
    </row>
    <row r="4371" spans="1:8" x14ac:dyDescent="0.25">
      <c r="A4371" s="2">
        <v>44650</v>
      </c>
      <c r="B4371" s="1" t="s">
        <v>55</v>
      </c>
      <c r="C4371">
        <v>73</v>
      </c>
      <c r="D4371" s="1" t="s">
        <v>171</v>
      </c>
      <c r="E4371" s="1" t="s">
        <v>6</v>
      </c>
      <c r="F4371">
        <v>5</v>
      </c>
      <c r="G4371" s="1" t="str">
        <f>Ocupacao_DW[[#This Row],[data]]&amp;Ocupacao_DW[[#This Row],[profissional_id]]&amp;Ocupacao_DW[[#This Row],[local_id]]</f>
        <v>44650735</v>
      </c>
      <c r="H4371" s="1">
        <f>_xlfn.XLOOKUP(Ocupacao_DW[[#This Row],[Concat]],Vagas!$H:$H,Vagas!$D:$D,"",0)</f>
        <v>0</v>
      </c>
    </row>
    <row r="4372" spans="1:8" x14ac:dyDescent="0.25">
      <c r="A4372" s="2">
        <v>44639</v>
      </c>
      <c r="B4372" s="1" t="s">
        <v>49</v>
      </c>
      <c r="C4372">
        <v>13756</v>
      </c>
      <c r="D4372" s="1" t="s">
        <v>202</v>
      </c>
      <c r="E4372" s="1" t="s">
        <v>4</v>
      </c>
      <c r="F4372">
        <v>43</v>
      </c>
      <c r="G4372" s="1" t="str">
        <f>Ocupacao_DW[[#This Row],[data]]&amp;Ocupacao_DW[[#This Row],[profissional_id]]&amp;Ocupacao_DW[[#This Row],[local_id]]</f>
        <v>446391375643</v>
      </c>
      <c r="H4372" s="1">
        <f>_xlfn.XLOOKUP(Ocupacao_DW[[#This Row],[Concat]],Vagas!$H:$H,Vagas!$D:$D,"",0)</f>
        <v>0</v>
      </c>
    </row>
    <row r="4373" spans="1:8" x14ac:dyDescent="0.25">
      <c r="A4373" s="2">
        <v>44635</v>
      </c>
      <c r="B4373" s="1" t="s">
        <v>65</v>
      </c>
      <c r="C4373">
        <v>11652</v>
      </c>
      <c r="D4373" s="1" t="s">
        <v>242</v>
      </c>
      <c r="E4373" s="1" t="s">
        <v>4</v>
      </c>
      <c r="F4373">
        <v>47</v>
      </c>
      <c r="G4373" s="1" t="str">
        <f>Ocupacao_DW[[#This Row],[data]]&amp;Ocupacao_DW[[#This Row],[profissional_id]]&amp;Ocupacao_DW[[#This Row],[local_id]]</f>
        <v>446351165247</v>
      </c>
      <c r="H4373" s="1">
        <f>_xlfn.XLOOKUP(Ocupacao_DW[[#This Row],[Concat]],Vagas!$H:$H,Vagas!$D:$D,"",0)</f>
        <v>0</v>
      </c>
    </row>
    <row r="4374" spans="1:8" x14ac:dyDescent="0.25">
      <c r="A4374" s="2">
        <v>44635</v>
      </c>
      <c r="B4374" s="1" t="s">
        <v>47</v>
      </c>
      <c r="C4374">
        <v>111</v>
      </c>
      <c r="D4374" s="1" t="s">
        <v>199</v>
      </c>
      <c r="E4374" s="1" t="s">
        <v>4</v>
      </c>
      <c r="F4374">
        <v>51</v>
      </c>
      <c r="G4374" s="1" t="str">
        <f>Ocupacao_DW[[#This Row],[data]]&amp;Ocupacao_DW[[#This Row],[profissional_id]]&amp;Ocupacao_DW[[#This Row],[local_id]]</f>
        <v>4463511151</v>
      </c>
      <c r="H4374" s="1">
        <f>_xlfn.XLOOKUP(Ocupacao_DW[[#This Row],[Concat]],Vagas!$H:$H,Vagas!$D:$D,"",0)</f>
        <v>0</v>
      </c>
    </row>
    <row r="4375" spans="1:8" x14ac:dyDescent="0.25">
      <c r="A4375" s="2">
        <v>44637</v>
      </c>
      <c r="B4375" s="1" t="s">
        <v>51</v>
      </c>
      <c r="C4375">
        <v>12582</v>
      </c>
      <c r="D4375" s="1" t="s">
        <v>190</v>
      </c>
      <c r="E4375" s="1" t="s">
        <v>5</v>
      </c>
      <c r="F4375">
        <v>15</v>
      </c>
      <c r="G4375" s="1" t="str">
        <f>Ocupacao_DW[[#This Row],[data]]&amp;Ocupacao_DW[[#This Row],[profissional_id]]&amp;Ocupacao_DW[[#This Row],[local_id]]</f>
        <v>446371258215</v>
      </c>
      <c r="H4375" s="1">
        <f>_xlfn.XLOOKUP(Ocupacao_DW[[#This Row],[Concat]],Vagas!$H:$H,Vagas!$D:$D,"",0)</f>
        <v>0</v>
      </c>
    </row>
    <row r="4376" spans="1:8" x14ac:dyDescent="0.25">
      <c r="A4376" s="2">
        <v>44637</v>
      </c>
      <c r="B4376" s="1" t="s">
        <v>52</v>
      </c>
      <c r="C4376">
        <v>9217</v>
      </c>
      <c r="D4376" s="1" t="s">
        <v>191</v>
      </c>
      <c r="E4376" s="1" t="s">
        <v>6</v>
      </c>
      <c r="F4376">
        <v>7</v>
      </c>
      <c r="G4376" s="1" t="str">
        <f>Ocupacao_DW[[#This Row],[data]]&amp;Ocupacao_DW[[#This Row],[profissional_id]]&amp;Ocupacao_DW[[#This Row],[local_id]]</f>
        <v>4463792177</v>
      </c>
      <c r="H4376" s="1">
        <f>_xlfn.XLOOKUP(Ocupacao_DW[[#This Row],[Concat]],Vagas!$H:$H,Vagas!$D:$D,"",0)</f>
        <v>0</v>
      </c>
    </row>
    <row r="4377" spans="1:8" x14ac:dyDescent="0.25">
      <c r="A4377" s="2">
        <v>44637</v>
      </c>
      <c r="B4377" s="1" t="s">
        <v>49</v>
      </c>
      <c r="C4377">
        <v>3092</v>
      </c>
      <c r="D4377" s="1" t="s">
        <v>262</v>
      </c>
      <c r="E4377" s="1" t="s">
        <v>4</v>
      </c>
      <c r="F4377">
        <v>43</v>
      </c>
      <c r="G4377" s="1" t="str">
        <f>Ocupacao_DW[[#This Row],[data]]&amp;Ocupacao_DW[[#This Row],[profissional_id]]&amp;Ocupacao_DW[[#This Row],[local_id]]</f>
        <v>44637309243</v>
      </c>
      <c r="H4377" s="1">
        <f>_xlfn.XLOOKUP(Ocupacao_DW[[#This Row],[Concat]],Vagas!$H:$H,Vagas!$D:$D,"",0)</f>
        <v>0</v>
      </c>
    </row>
    <row r="4378" spans="1:8" x14ac:dyDescent="0.25">
      <c r="A4378" s="2">
        <v>44646</v>
      </c>
      <c r="B4378" s="1" t="s">
        <v>49</v>
      </c>
      <c r="C4378">
        <v>81</v>
      </c>
      <c r="D4378" s="1" t="s">
        <v>170</v>
      </c>
      <c r="E4378" s="1" t="s">
        <v>4</v>
      </c>
      <c r="F4378">
        <v>41</v>
      </c>
      <c r="G4378" s="1" t="str">
        <f>Ocupacao_DW[[#This Row],[data]]&amp;Ocupacao_DW[[#This Row],[profissional_id]]&amp;Ocupacao_DW[[#This Row],[local_id]]</f>
        <v>446468141</v>
      </c>
      <c r="H4378" s="1">
        <f>_xlfn.XLOOKUP(Ocupacao_DW[[#This Row],[Concat]],Vagas!$H:$H,Vagas!$D:$D,"",0)</f>
        <v>0</v>
      </c>
    </row>
    <row r="4379" spans="1:8" x14ac:dyDescent="0.25">
      <c r="A4379" s="2">
        <v>44636</v>
      </c>
      <c r="B4379" s="1" t="s">
        <v>56</v>
      </c>
      <c r="C4379">
        <v>5927</v>
      </c>
      <c r="D4379" s="1" t="s">
        <v>226</v>
      </c>
      <c r="E4379" s="1" t="s">
        <v>5</v>
      </c>
      <c r="F4379">
        <v>17</v>
      </c>
      <c r="G4379" s="1" t="str">
        <f>Ocupacao_DW[[#This Row],[data]]&amp;Ocupacao_DW[[#This Row],[profissional_id]]&amp;Ocupacao_DW[[#This Row],[local_id]]</f>
        <v>44636592717</v>
      </c>
      <c r="H4379" s="1">
        <f>_xlfn.XLOOKUP(Ocupacao_DW[[#This Row],[Concat]],Vagas!$H:$H,Vagas!$D:$D,"",0)</f>
        <v>0</v>
      </c>
    </row>
    <row r="4380" spans="1:8" x14ac:dyDescent="0.25">
      <c r="A4380" s="2">
        <v>44643</v>
      </c>
      <c r="B4380" s="1" t="s">
        <v>70</v>
      </c>
      <c r="C4380">
        <v>12825</v>
      </c>
      <c r="D4380" s="1" t="s">
        <v>177</v>
      </c>
      <c r="E4380" s="1" t="s">
        <v>4</v>
      </c>
      <c r="F4380">
        <v>45</v>
      </c>
      <c r="G4380" s="1" t="str">
        <f>Ocupacao_DW[[#This Row],[data]]&amp;Ocupacao_DW[[#This Row],[profissional_id]]&amp;Ocupacao_DW[[#This Row],[local_id]]</f>
        <v>446431282545</v>
      </c>
      <c r="H4380" s="1">
        <f>_xlfn.XLOOKUP(Ocupacao_DW[[#This Row],[Concat]],Vagas!$H:$H,Vagas!$D:$D,"",0)</f>
        <v>0</v>
      </c>
    </row>
    <row r="4381" spans="1:8" x14ac:dyDescent="0.25">
      <c r="A4381" s="2">
        <v>44638</v>
      </c>
      <c r="B4381" s="1" t="s">
        <v>52</v>
      </c>
      <c r="C4381">
        <v>60</v>
      </c>
      <c r="D4381" s="1" t="s">
        <v>217</v>
      </c>
      <c r="E4381" s="1" t="s">
        <v>167</v>
      </c>
      <c r="F4381">
        <v>348</v>
      </c>
      <c r="G4381" s="1" t="str">
        <f>Ocupacao_DW[[#This Row],[data]]&amp;Ocupacao_DW[[#This Row],[profissional_id]]&amp;Ocupacao_DW[[#This Row],[local_id]]</f>
        <v>4463860348</v>
      </c>
      <c r="H4381" s="1">
        <f>_xlfn.XLOOKUP(Ocupacao_DW[[#This Row],[Concat]],Vagas!$H:$H,Vagas!$D:$D,"",0)</f>
        <v>0</v>
      </c>
    </row>
    <row r="4382" spans="1:8" x14ac:dyDescent="0.25">
      <c r="A4382" s="2">
        <v>44635</v>
      </c>
      <c r="B4382" s="1" t="s">
        <v>56</v>
      </c>
      <c r="C4382">
        <v>1586</v>
      </c>
      <c r="D4382" s="1" t="s">
        <v>261</v>
      </c>
      <c r="E4382" s="1" t="s">
        <v>7</v>
      </c>
      <c r="F4382">
        <v>67</v>
      </c>
      <c r="G4382" s="1" t="str">
        <f>Ocupacao_DW[[#This Row],[data]]&amp;Ocupacao_DW[[#This Row],[profissional_id]]&amp;Ocupacao_DW[[#This Row],[local_id]]</f>
        <v>44635158667</v>
      </c>
      <c r="H4382" s="1">
        <f>_xlfn.XLOOKUP(Ocupacao_DW[[#This Row],[Concat]],Vagas!$H:$H,Vagas!$D:$D,"",0)</f>
        <v>0</v>
      </c>
    </row>
    <row r="4383" spans="1:8" x14ac:dyDescent="0.25">
      <c r="A4383" s="2">
        <v>44641</v>
      </c>
      <c r="B4383" s="1" t="s">
        <v>49</v>
      </c>
      <c r="C4383">
        <v>6430</v>
      </c>
      <c r="D4383" s="1" t="s">
        <v>188</v>
      </c>
      <c r="E4383" s="1" t="s">
        <v>200</v>
      </c>
      <c r="F4383">
        <v>86</v>
      </c>
      <c r="G4383" s="1" t="str">
        <f>Ocupacao_DW[[#This Row],[data]]&amp;Ocupacao_DW[[#This Row],[profissional_id]]&amp;Ocupacao_DW[[#This Row],[local_id]]</f>
        <v>44641643086</v>
      </c>
      <c r="H4383" s="1">
        <f>_xlfn.XLOOKUP(Ocupacao_DW[[#This Row],[Concat]],Vagas!$H:$H,Vagas!$D:$D,"",0)</f>
        <v>0</v>
      </c>
    </row>
    <row r="4384" spans="1:8" x14ac:dyDescent="0.25">
      <c r="A4384" s="2">
        <v>44642</v>
      </c>
      <c r="B4384" s="1" t="s">
        <v>47</v>
      </c>
      <c r="C4384">
        <v>12752</v>
      </c>
      <c r="D4384" s="1" t="s">
        <v>253</v>
      </c>
      <c r="E4384" s="1" t="s">
        <v>7</v>
      </c>
      <c r="F4384">
        <v>60</v>
      </c>
      <c r="G4384" s="1" t="str">
        <f>Ocupacao_DW[[#This Row],[data]]&amp;Ocupacao_DW[[#This Row],[profissional_id]]&amp;Ocupacao_DW[[#This Row],[local_id]]</f>
        <v>446421275260</v>
      </c>
      <c r="H4384" s="1">
        <f>_xlfn.XLOOKUP(Ocupacao_DW[[#This Row],[Concat]],Vagas!$H:$H,Vagas!$D:$D,"",0)</f>
        <v>0</v>
      </c>
    </row>
    <row r="4385" spans="1:8" x14ac:dyDescent="0.25">
      <c r="A4385" s="2">
        <v>44637</v>
      </c>
      <c r="B4385" s="1" t="s">
        <v>47</v>
      </c>
      <c r="C4385">
        <v>11207</v>
      </c>
      <c r="D4385" s="1" t="s">
        <v>251</v>
      </c>
      <c r="E4385" s="1" t="s">
        <v>4</v>
      </c>
      <c r="F4385">
        <v>51</v>
      </c>
      <c r="G4385" s="1" t="str">
        <f>Ocupacao_DW[[#This Row],[data]]&amp;Ocupacao_DW[[#This Row],[profissional_id]]&amp;Ocupacao_DW[[#This Row],[local_id]]</f>
        <v>446371120751</v>
      </c>
      <c r="H4385" s="1">
        <f>_xlfn.XLOOKUP(Ocupacao_DW[[#This Row],[Concat]],Vagas!$H:$H,Vagas!$D:$D,"",0)</f>
        <v>0</v>
      </c>
    </row>
    <row r="4386" spans="1:8" x14ac:dyDescent="0.25">
      <c r="A4386" s="2">
        <v>44637</v>
      </c>
      <c r="B4386" s="1" t="s">
        <v>47</v>
      </c>
      <c r="C4386">
        <v>11207</v>
      </c>
      <c r="D4386" s="1" t="s">
        <v>251</v>
      </c>
      <c r="E4386" s="1" t="s">
        <v>4</v>
      </c>
      <c r="F4386">
        <v>51</v>
      </c>
      <c r="G4386" s="1" t="str">
        <f>Ocupacao_DW[[#This Row],[data]]&amp;Ocupacao_DW[[#This Row],[profissional_id]]&amp;Ocupacao_DW[[#This Row],[local_id]]</f>
        <v>446371120751</v>
      </c>
      <c r="H4386" s="1">
        <f>_xlfn.XLOOKUP(Ocupacao_DW[[#This Row],[Concat]],Vagas!$H:$H,Vagas!$D:$D,"",0)</f>
        <v>0</v>
      </c>
    </row>
    <row r="4387" spans="1:8" x14ac:dyDescent="0.25">
      <c r="A4387" s="2">
        <v>44638</v>
      </c>
      <c r="B4387" s="1" t="s">
        <v>47</v>
      </c>
      <c r="C4387">
        <v>9111</v>
      </c>
      <c r="D4387" s="1" t="s">
        <v>206</v>
      </c>
      <c r="E4387" s="1" t="s">
        <v>4</v>
      </c>
      <c r="F4387">
        <v>51</v>
      </c>
      <c r="G4387" s="1" t="str">
        <f>Ocupacao_DW[[#This Row],[data]]&amp;Ocupacao_DW[[#This Row],[profissional_id]]&amp;Ocupacao_DW[[#This Row],[local_id]]</f>
        <v>44638911151</v>
      </c>
      <c r="H4387" s="1">
        <f>_xlfn.XLOOKUP(Ocupacao_DW[[#This Row],[Concat]],Vagas!$H:$H,Vagas!$D:$D,"",0)</f>
        <v>0</v>
      </c>
    </row>
    <row r="4388" spans="1:8" x14ac:dyDescent="0.25">
      <c r="A4388" s="2">
        <v>44636</v>
      </c>
      <c r="B4388" s="1"/>
      <c r="C4388">
        <v>0</v>
      </c>
      <c r="D4388" s="1"/>
      <c r="E4388" s="1" t="s">
        <v>167</v>
      </c>
      <c r="F4388">
        <v>25</v>
      </c>
      <c r="G4388" s="1" t="str">
        <f>Ocupacao_DW[[#This Row],[data]]&amp;Ocupacao_DW[[#This Row],[profissional_id]]&amp;Ocupacao_DW[[#This Row],[local_id]]</f>
        <v>44636025</v>
      </c>
      <c r="H4388" s="1" t="str">
        <f>_xlfn.XLOOKUP(Ocupacao_DW[[#This Row],[Concat]],Vagas!$H:$H,Vagas!$D:$D,"",0)</f>
        <v/>
      </c>
    </row>
    <row r="4389" spans="1:8" x14ac:dyDescent="0.25">
      <c r="A4389" s="2">
        <v>44643</v>
      </c>
      <c r="B4389" s="1" t="s">
        <v>70</v>
      </c>
      <c r="C4389">
        <v>12825</v>
      </c>
      <c r="D4389" s="1" t="s">
        <v>177</v>
      </c>
      <c r="E4389" s="1" t="s">
        <v>4</v>
      </c>
      <c r="F4389">
        <v>45</v>
      </c>
      <c r="G4389" s="1" t="str">
        <f>Ocupacao_DW[[#This Row],[data]]&amp;Ocupacao_DW[[#This Row],[profissional_id]]&amp;Ocupacao_DW[[#This Row],[local_id]]</f>
        <v>446431282545</v>
      </c>
      <c r="H4389" s="1">
        <f>_xlfn.XLOOKUP(Ocupacao_DW[[#This Row],[Concat]],Vagas!$H:$H,Vagas!$D:$D,"",0)</f>
        <v>0</v>
      </c>
    </row>
    <row r="4390" spans="1:8" x14ac:dyDescent="0.25">
      <c r="A4390" s="2">
        <v>44642</v>
      </c>
      <c r="B4390" s="1" t="s">
        <v>47</v>
      </c>
      <c r="C4390">
        <v>110</v>
      </c>
      <c r="D4390" s="1" t="s">
        <v>193</v>
      </c>
      <c r="E4390" s="1" t="s">
        <v>4</v>
      </c>
      <c r="F4390">
        <v>334</v>
      </c>
      <c r="G4390" s="1" t="str">
        <f>Ocupacao_DW[[#This Row],[data]]&amp;Ocupacao_DW[[#This Row],[profissional_id]]&amp;Ocupacao_DW[[#This Row],[local_id]]</f>
        <v>44642110334</v>
      </c>
      <c r="H4390" s="1">
        <f>_xlfn.XLOOKUP(Ocupacao_DW[[#This Row],[Concat]],Vagas!$H:$H,Vagas!$D:$D,"",0)</f>
        <v>0</v>
      </c>
    </row>
    <row r="4391" spans="1:8" x14ac:dyDescent="0.25">
      <c r="A4391" s="2">
        <v>44636</v>
      </c>
      <c r="B4391" s="1"/>
      <c r="C4391">
        <v>0</v>
      </c>
      <c r="D4391" s="1"/>
      <c r="E4391" s="1" t="s">
        <v>167</v>
      </c>
      <c r="F4391">
        <v>24</v>
      </c>
      <c r="G4391" s="1" t="str">
        <f>Ocupacao_DW[[#This Row],[data]]&amp;Ocupacao_DW[[#This Row],[profissional_id]]&amp;Ocupacao_DW[[#This Row],[local_id]]</f>
        <v>44636024</v>
      </c>
      <c r="H4391" s="1" t="str">
        <f>_xlfn.XLOOKUP(Ocupacao_DW[[#This Row],[Concat]],Vagas!$H:$H,Vagas!$D:$D,"",0)</f>
        <v/>
      </c>
    </row>
    <row r="4392" spans="1:8" x14ac:dyDescent="0.25">
      <c r="A4392" s="2">
        <v>44648</v>
      </c>
      <c r="B4392" s="1" t="s">
        <v>69</v>
      </c>
      <c r="C4392">
        <v>13249</v>
      </c>
      <c r="D4392" s="1" t="s">
        <v>178</v>
      </c>
      <c r="E4392" s="1" t="s">
        <v>4</v>
      </c>
      <c r="F4392">
        <v>45</v>
      </c>
      <c r="G4392" s="1" t="str">
        <f>Ocupacao_DW[[#This Row],[data]]&amp;Ocupacao_DW[[#This Row],[profissional_id]]&amp;Ocupacao_DW[[#This Row],[local_id]]</f>
        <v>446481324945</v>
      </c>
      <c r="H4392" s="1">
        <f>_xlfn.XLOOKUP(Ocupacao_DW[[#This Row],[Concat]],Vagas!$H:$H,Vagas!$D:$D,"",0)</f>
        <v>0</v>
      </c>
    </row>
    <row r="4393" spans="1:8" x14ac:dyDescent="0.25">
      <c r="A4393" s="2">
        <v>44641</v>
      </c>
      <c r="B4393" s="1" t="s">
        <v>60</v>
      </c>
      <c r="C4393">
        <v>117</v>
      </c>
      <c r="D4393" s="1" t="s">
        <v>180</v>
      </c>
      <c r="E4393" s="1" t="s">
        <v>4</v>
      </c>
      <c r="F4393">
        <v>48</v>
      </c>
      <c r="G4393" s="1" t="str">
        <f>Ocupacao_DW[[#This Row],[data]]&amp;Ocupacao_DW[[#This Row],[profissional_id]]&amp;Ocupacao_DW[[#This Row],[local_id]]</f>
        <v>4464111748</v>
      </c>
      <c r="H4393" s="1">
        <f>_xlfn.XLOOKUP(Ocupacao_DW[[#This Row],[Concat]],Vagas!$H:$H,Vagas!$D:$D,"",0)</f>
        <v>0</v>
      </c>
    </row>
    <row r="4394" spans="1:8" x14ac:dyDescent="0.25">
      <c r="A4394" s="2">
        <v>44636</v>
      </c>
      <c r="B4394" s="1"/>
      <c r="C4394">
        <v>17859</v>
      </c>
      <c r="D4394" s="1" t="s">
        <v>212</v>
      </c>
      <c r="E4394" s="1" t="s">
        <v>4</v>
      </c>
      <c r="F4394">
        <v>336</v>
      </c>
      <c r="G4394" s="1" t="str">
        <f>Ocupacao_DW[[#This Row],[data]]&amp;Ocupacao_DW[[#This Row],[profissional_id]]&amp;Ocupacao_DW[[#This Row],[local_id]]</f>
        <v>4463617859336</v>
      </c>
      <c r="H4394" s="1">
        <f>_xlfn.XLOOKUP(Ocupacao_DW[[#This Row],[Concat]],Vagas!$H:$H,Vagas!$D:$D,"",0)</f>
        <v>0</v>
      </c>
    </row>
    <row r="4395" spans="1:8" x14ac:dyDescent="0.25">
      <c r="A4395" s="2">
        <v>44636</v>
      </c>
      <c r="B4395" s="1" t="s">
        <v>62</v>
      </c>
      <c r="C4395">
        <v>10799</v>
      </c>
      <c r="D4395" s="1" t="s">
        <v>204</v>
      </c>
      <c r="E4395" s="1" t="s">
        <v>5</v>
      </c>
      <c r="F4395">
        <v>18</v>
      </c>
      <c r="G4395" s="1" t="str">
        <f>Ocupacao_DW[[#This Row],[data]]&amp;Ocupacao_DW[[#This Row],[profissional_id]]&amp;Ocupacao_DW[[#This Row],[local_id]]</f>
        <v>446361079918</v>
      </c>
      <c r="H4395" s="1">
        <f>_xlfn.XLOOKUP(Ocupacao_DW[[#This Row],[Concat]],Vagas!$H:$H,Vagas!$D:$D,"",0)</f>
        <v>0</v>
      </c>
    </row>
    <row r="4396" spans="1:8" x14ac:dyDescent="0.25">
      <c r="A4396" s="2">
        <v>44636</v>
      </c>
      <c r="B4396" s="1" t="s">
        <v>43</v>
      </c>
      <c r="C4396">
        <v>57</v>
      </c>
      <c r="D4396" s="1" t="s">
        <v>169</v>
      </c>
      <c r="E4396" s="1" t="s">
        <v>6</v>
      </c>
      <c r="F4396">
        <v>2</v>
      </c>
      <c r="G4396" s="1" t="str">
        <f>Ocupacao_DW[[#This Row],[data]]&amp;Ocupacao_DW[[#This Row],[profissional_id]]&amp;Ocupacao_DW[[#This Row],[local_id]]</f>
        <v>44636572</v>
      </c>
      <c r="H4396" s="1">
        <f>_xlfn.XLOOKUP(Ocupacao_DW[[#This Row],[Concat]],Vagas!$H:$H,Vagas!$D:$D,"",0)</f>
        <v>2</v>
      </c>
    </row>
    <row r="4397" spans="1:8" x14ac:dyDescent="0.25">
      <c r="A4397" s="2">
        <v>44644</v>
      </c>
      <c r="B4397" s="1" t="s">
        <v>67</v>
      </c>
      <c r="C4397">
        <v>10717</v>
      </c>
      <c r="D4397" s="1" t="s">
        <v>245</v>
      </c>
      <c r="E4397" s="1" t="s">
        <v>7</v>
      </c>
      <c r="F4397">
        <v>69</v>
      </c>
      <c r="G4397" s="1" t="str">
        <f>Ocupacao_DW[[#This Row],[data]]&amp;Ocupacao_DW[[#This Row],[profissional_id]]&amp;Ocupacao_DW[[#This Row],[local_id]]</f>
        <v>446441071769</v>
      </c>
      <c r="H4397" s="1">
        <f>_xlfn.XLOOKUP(Ocupacao_DW[[#This Row],[Concat]],Vagas!$H:$H,Vagas!$D:$D,"",0)</f>
        <v>0</v>
      </c>
    </row>
    <row r="4398" spans="1:8" x14ac:dyDescent="0.25">
      <c r="A4398" s="2">
        <v>44638</v>
      </c>
      <c r="B4398" s="1" t="s">
        <v>47</v>
      </c>
      <c r="C4398">
        <v>9111</v>
      </c>
      <c r="D4398" s="1" t="s">
        <v>206</v>
      </c>
      <c r="E4398" s="1" t="s">
        <v>4</v>
      </c>
      <c r="F4398">
        <v>51</v>
      </c>
      <c r="G4398" s="1" t="str">
        <f>Ocupacao_DW[[#This Row],[data]]&amp;Ocupacao_DW[[#This Row],[profissional_id]]&amp;Ocupacao_DW[[#This Row],[local_id]]</f>
        <v>44638911151</v>
      </c>
      <c r="H4398" s="1">
        <f>_xlfn.XLOOKUP(Ocupacao_DW[[#This Row],[Concat]],Vagas!$H:$H,Vagas!$D:$D,"",0)</f>
        <v>0</v>
      </c>
    </row>
    <row r="4399" spans="1:8" x14ac:dyDescent="0.25">
      <c r="A4399" s="2">
        <v>44643</v>
      </c>
      <c r="B4399" s="1" t="s">
        <v>47</v>
      </c>
      <c r="C4399">
        <v>12684</v>
      </c>
      <c r="D4399" s="1" t="s">
        <v>236</v>
      </c>
      <c r="E4399" s="1" t="s">
        <v>4</v>
      </c>
      <c r="F4399">
        <v>51</v>
      </c>
      <c r="G4399" s="1" t="str">
        <f>Ocupacao_DW[[#This Row],[data]]&amp;Ocupacao_DW[[#This Row],[profissional_id]]&amp;Ocupacao_DW[[#This Row],[local_id]]</f>
        <v>446431268451</v>
      </c>
      <c r="H4399" s="1">
        <f>_xlfn.XLOOKUP(Ocupacao_DW[[#This Row],[Concat]],Vagas!$H:$H,Vagas!$D:$D,"",0)</f>
        <v>0</v>
      </c>
    </row>
    <row r="4400" spans="1:8" x14ac:dyDescent="0.25">
      <c r="A4400" s="2">
        <v>44653</v>
      </c>
      <c r="B4400" s="1" t="s">
        <v>62</v>
      </c>
      <c r="C4400">
        <v>4887</v>
      </c>
      <c r="D4400" s="1" t="s">
        <v>168</v>
      </c>
      <c r="E4400" s="1" t="s">
        <v>5</v>
      </c>
      <c r="F4400">
        <v>18</v>
      </c>
      <c r="G4400" s="1" t="str">
        <f>Ocupacao_DW[[#This Row],[data]]&amp;Ocupacao_DW[[#This Row],[profissional_id]]&amp;Ocupacao_DW[[#This Row],[local_id]]</f>
        <v>44653488718</v>
      </c>
      <c r="H4400" s="1">
        <f>_xlfn.XLOOKUP(Ocupacao_DW[[#This Row],[Concat]],Vagas!$H:$H,Vagas!$D:$D,"",0)</f>
        <v>0</v>
      </c>
    </row>
    <row r="4401" spans="1:8" x14ac:dyDescent="0.25">
      <c r="A4401" s="2">
        <v>44635</v>
      </c>
      <c r="B4401" s="1" t="s">
        <v>54</v>
      </c>
      <c r="C4401">
        <v>10941</v>
      </c>
      <c r="D4401" s="1" t="s">
        <v>224</v>
      </c>
      <c r="E4401" s="1" t="s">
        <v>5</v>
      </c>
      <c r="F4401">
        <v>12</v>
      </c>
      <c r="G4401" s="1" t="str">
        <f>Ocupacao_DW[[#This Row],[data]]&amp;Ocupacao_DW[[#This Row],[profissional_id]]&amp;Ocupacao_DW[[#This Row],[local_id]]</f>
        <v>446351094112</v>
      </c>
      <c r="H4401" s="1">
        <f>_xlfn.XLOOKUP(Ocupacao_DW[[#This Row],[Concat]],Vagas!$H:$H,Vagas!$D:$D,"",0)</f>
        <v>0</v>
      </c>
    </row>
    <row r="4402" spans="1:8" x14ac:dyDescent="0.25">
      <c r="A4402" s="2">
        <v>44643</v>
      </c>
      <c r="B4402" s="1" t="s">
        <v>50</v>
      </c>
      <c r="C4402">
        <v>13552</v>
      </c>
      <c r="D4402" s="1" t="s">
        <v>281</v>
      </c>
      <c r="E4402" s="1" t="s">
        <v>7</v>
      </c>
      <c r="F4402">
        <v>64</v>
      </c>
      <c r="G4402" s="1" t="str">
        <f>Ocupacao_DW[[#This Row],[data]]&amp;Ocupacao_DW[[#This Row],[profissional_id]]&amp;Ocupacao_DW[[#This Row],[local_id]]</f>
        <v>446431355264</v>
      </c>
      <c r="H4402" s="1">
        <f>_xlfn.XLOOKUP(Ocupacao_DW[[#This Row],[Concat]],Vagas!$H:$H,Vagas!$D:$D,"",0)</f>
        <v>0</v>
      </c>
    </row>
    <row r="4403" spans="1:8" x14ac:dyDescent="0.25">
      <c r="A4403" s="2">
        <v>44637</v>
      </c>
      <c r="B4403" s="1" t="s">
        <v>49</v>
      </c>
      <c r="C4403">
        <v>266</v>
      </c>
      <c r="D4403" s="1" t="s">
        <v>201</v>
      </c>
      <c r="E4403" s="1" t="s">
        <v>4</v>
      </c>
      <c r="F4403">
        <v>42</v>
      </c>
      <c r="G4403" s="1" t="str">
        <f>Ocupacao_DW[[#This Row],[data]]&amp;Ocupacao_DW[[#This Row],[profissional_id]]&amp;Ocupacao_DW[[#This Row],[local_id]]</f>
        <v>4463726642</v>
      </c>
      <c r="H4403" s="1">
        <f>_xlfn.XLOOKUP(Ocupacao_DW[[#This Row],[Concat]],Vagas!$H:$H,Vagas!$D:$D,"",0)</f>
        <v>0</v>
      </c>
    </row>
    <row r="4404" spans="1:8" x14ac:dyDescent="0.25">
      <c r="A4404" s="2">
        <v>44638</v>
      </c>
      <c r="B4404" s="1" t="s">
        <v>47</v>
      </c>
      <c r="C4404">
        <v>13371</v>
      </c>
      <c r="D4404" s="1" t="s">
        <v>205</v>
      </c>
      <c r="E4404" s="1" t="s">
        <v>4</v>
      </c>
      <c r="F4404">
        <v>336</v>
      </c>
      <c r="G4404" s="1" t="str">
        <f>Ocupacao_DW[[#This Row],[data]]&amp;Ocupacao_DW[[#This Row],[profissional_id]]&amp;Ocupacao_DW[[#This Row],[local_id]]</f>
        <v>4463813371336</v>
      </c>
      <c r="H4404" s="1" t="str">
        <f>_xlfn.XLOOKUP(Ocupacao_DW[[#This Row],[Concat]],Vagas!$H:$H,Vagas!$D:$D,"",0)</f>
        <v/>
      </c>
    </row>
    <row r="4405" spans="1:8" x14ac:dyDescent="0.25">
      <c r="A4405" s="2">
        <v>44642</v>
      </c>
      <c r="B4405" s="1" t="s">
        <v>52</v>
      </c>
      <c r="C4405">
        <v>13061</v>
      </c>
      <c r="D4405" s="1" t="s">
        <v>232</v>
      </c>
      <c r="E4405" s="1" t="s">
        <v>6</v>
      </c>
      <c r="F4405">
        <v>9</v>
      </c>
      <c r="G4405" s="1" t="str">
        <f>Ocupacao_DW[[#This Row],[data]]&amp;Ocupacao_DW[[#This Row],[profissional_id]]&amp;Ocupacao_DW[[#This Row],[local_id]]</f>
        <v>44642130619</v>
      </c>
      <c r="H4405" s="1">
        <f>_xlfn.XLOOKUP(Ocupacao_DW[[#This Row],[Concat]],Vagas!$H:$H,Vagas!$D:$D,"",0)</f>
        <v>0</v>
      </c>
    </row>
    <row r="4406" spans="1:8" x14ac:dyDescent="0.25">
      <c r="A4406" s="2">
        <v>44641</v>
      </c>
      <c r="B4406" s="1" t="s">
        <v>54</v>
      </c>
      <c r="C4406">
        <v>10941</v>
      </c>
      <c r="D4406" s="1" t="s">
        <v>224</v>
      </c>
      <c r="E4406" s="1" t="s">
        <v>5</v>
      </c>
      <c r="F4406">
        <v>11</v>
      </c>
      <c r="G4406" s="1" t="str">
        <f>Ocupacao_DW[[#This Row],[data]]&amp;Ocupacao_DW[[#This Row],[profissional_id]]&amp;Ocupacao_DW[[#This Row],[local_id]]</f>
        <v>446411094111</v>
      </c>
      <c r="H4406" s="1">
        <f>_xlfn.XLOOKUP(Ocupacao_DW[[#This Row],[Concat]],Vagas!$H:$H,Vagas!$D:$D,"",0)</f>
        <v>0</v>
      </c>
    </row>
    <row r="4407" spans="1:8" x14ac:dyDescent="0.25">
      <c r="A4407" s="2">
        <v>44635</v>
      </c>
      <c r="B4407" s="1" t="s">
        <v>49</v>
      </c>
      <c r="C4407">
        <v>266</v>
      </c>
      <c r="D4407" s="1" t="s">
        <v>201</v>
      </c>
      <c r="E4407" s="1" t="s">
        <v>4</v>
      </c>
      <c r="F4407">
        <v>42</v>
      </c>
      <c r="G4407" s="1" t="str">
        <f>Ocupacao_DW[[#This Row],[data]]&amp;Ocupacao_DW[[#This Row],[profissional_id]]&amp;Ocupacao_DW[[#This Row],[local_id]]</f>
        <v>4463526642</v>
      </c>
      <c r="H4407" s="1">
        <f>_xlfn.XLOOKUP(Ocupacao_DW[[#This Row],[Concat]],Vagas!$H:$H,Vagas!$D:$D,"",0)</f>
        <v>0</v>
      </c>
    </row>
    <row r="4408" spans="1:8" x14ac:dyDescent="0.25">
      <c r="A4408" s="2">
        <v>44641</v>
      </c>
      <c r="B4408" s="1" t="s">
        <v>47</v>
      </c>
      <c r="C4408">
        <v>11241</v>
      </c>
      <c r="D4408" s="1" t="s">
        <v>252</v>
      </c>
      <c r="E4408" s="1" t="s">
        <v>4</v>
      </c>
      <c r="F4408">
        <v>51</v>
      </c>
      <c r="G4408" s="1" t="str">
        <f>Ocupacao_DW[[#This Row],[data]]&amp;Ocupacao_DW[[#This Row],[profissional_id]]&amp;Ocupacao_DW[[#This Row],[local_id]]</f>
        <v>446411124151</v>
      </c>
      <c r="H4408" s="1">
        <f>_xlfn.XLOOKUP(Ocupacao_DW[[#This Row],[Concat]],Vagas!$H:$H,Vagas!$D:$D,"",0)</f>
        <v>0</v>
      </c>
    </row>
    <row r="4409" spans="1:8" x14ac:dyDescent="0.25">
      <c r="A4409" s="2">
        <v>44635</v>
      </c>
      <c r="B4409" s="1" t="s">
        <v>49</v>
      </c>
      <c r="C4409">
        <v>266</v>
      </c>
      <c r="D4409" s="1" t="s">
        <v>201</v>
      </c>
      <c r="E4409" s="1" t="s">
        <v>4</v>
      </c>
      <c r="F4409">
        <v>42</v>
      </c>
      <c r="G4409" s="1" t="str">
        <f>Ocupacao_DW[[#This Row],[data]]&amp;Ocupacao_DW[[#This Row],[profissional_id]]&amp;Ocupacao_DW[[#This Row],[local_id]]</f>
        <v>4463526642</v>
      </c>
      <c r="H4409" s="1">
        <f>_xlfn.XLOOKUP(Ocupacao_DW[[#This Row],[Concat]],Vagas!$H:$H,Vagas!$D:$D,"",0)</f>
        <v>0</v>
      </c>
    </row>
    <row r="4410" spans="1:8" x14ac:dyDescent="0.25">
      <c r="A4410" s="2">
        <v>44638</v>
      </c>
      <c r="B4410" s="1" t="s">
        <v>47</v>
      </c>
      <c r="C4410">
        <v>9111</v>
      </c>
      <c r="D4410" s="1" t="s">
        <v>206</v>
      </c>
      <c r="E4410" s="1" t="s">
        <v>4</v>
      </c>
      <c r="F4410">
        <v>51</v>
      </c>
      <c r="G4410" s="1" t="str">
        <f>Ocupacao_DW[[#This Row],[data]]&amp;Ocupacao_DW[[#This Row],[profissional_id]]&amp;Ocupacao_DW[[#This Row],[local_id]]</f>
        <v>44638911151</v>
      </c>
      <c r="H4410" s="1">
        <f>_xlfn.XLOOKUP(Ocupacao_DW[[#This Row],[Concat]],Vagas!$H:$H,Vagas!$D:$D,"",0)</f>
        <v>0</v>
      </c>
    </row>
    <row r="4411" spans="1:8" x14ac:dyDescent="0.25">
      <c r="A4411" s="2">
        <v>44656</v>
      </c>
      <c r="B4411" s="1" t="s">
        <v>50</v>
      </c>
      <c r="C4411">
        <v>4814</v>
      </c>
      <c r="D4411" s="1" t="s">
        <v>189</v>
      </c>
      <c r="E4411" s="1" t="s">
        <v>5</v>
      </c>
      <c r="F4411">
        <v>17</v>
      </c>
      <c r="G4411" s="1" t="str">
        <f>Ocupacao_DW[[#This Row],[data]]&amp;Ocupacao_DW[[#This Row],[profissional_id]]&amp;Ocupacao_DW[[#This Row],[local_id]]</f>
        <v>44656481417</v>
      </c>
      <c r="H4411" s="1">
        <f>_xlfn.XLOOKUP(Ocupacao_DW[[#This Row],[Concat]],Vagas!$H:$H,Vagas!$D:$D,"",0)</f>
        <v>0</v>
      </c>
    </row>
    <row r="4412" spans="1:8" x14ac:dyDescent="0.25">
      <c r="A4412" s="2">
        <v>44635</v>
      </c>
      <c r="B4412" s="1" t="s">
        <v>65</v>
      </c>
      <c r="C4412">
        <v>11237</v>
      </c>
      <c r="D4412" s="1" t="s">
        <v>229</v>
      </c>
      <c r="E4412" s="1" t="s">
        <v>4</v>
      </c>
      <c r="F4412">
        <v>46</v>
      </c>
      <c r="G4412" s="1" t="str">
        <f>Ocupacao_DW[[#This Row],[data]]&amp;Ocupacao_DW[[#This Row],[profissional_id]]&amp;Ocupacao_DW[[#This Row],[local_id]]</f>
        <v>446351123746</v>
      </c>
      <c r="H4412" s="1">
        <f>_xlfn.XLOOKUP(Ocupacao_DW[[#This Row],[Concat]],Vagas!$H:$H,Vagas!$D:$D,"",0)</f>
        <v>0</v>
      </c>
    </row>
    <row r="4413" spans="1:8" x14ac:dyDescent="0.25">
      <c r="A4413" s="2">
        <v>44635</v>
      </c>
      <c r="B4413" s="1" t="s">
        <v>67</v>
      </c>
      <c r="C4413">
        <v>7290</v>
      </c>
      <c r="D4413" s="1" t="s">
        <v>247</v>
      </c>
      <c r="E4413" s="1" t="s">
        <v>5</v>
      </c>
      <c r="F4413">
        <v>18</v>
      </c>
      <c r="G4413" s="1" t="str">
        <f>Ocupacao_DW[[#This Row],[data]]&amp;Ocupacao_DW[[#This Row],[profissional_id]]&amp;Ocupacao_DW[[#This Row],[local_id]]</f>
        <v>44635729018</v>
      </c>
      <c r="H4413" s="1">
        <f>_xlfn.XLOOKUP(Ocupacao_DW[[#This Row],[Concat]],Vagas!$H:$H,Vagas!$D:$D,"",0)</f>
        <v>0</v>
      </c>
    </row>
    <row r="4414" spans="1:8" x14ac:dyDescent="0.25">
      <c r="A4414" s="2">
        <v>44640</v>
      </c>
      <c r="B4414" s="1" t="s">
        <v>62</v>
      </c>
      <c r="C4414">
        <v>4887</v>
      </c>
      <c r="D4414" s="1" t="s">
        <v>168</v>
      </c>
      <c r="E4414" s="1" t="s">
        <v>167</v>
      </c>
      <c r="F4414">
        <v>340</v>
      </c>
      <c r="G4414" s="1" t="str">
        <f>Ocupacao_DW[[#This Row],[data]]&amp;Ocupacao_DW[[#This Row],[profissional_id]]&amp;Ocupacao_DW[[#This Row],[local_id]]</f>
        <v>446404887340</v>
      </c>
      <c r="H4414" s="1">
        <f>_xlfn.XLOOKUP(Ocupacao_DW[[#This Row],[Concat]],Vagas!$H:$H,Vagas!$D:$D,"",0)</f>
        <v>0</v>
      </c>
    </row>
    <row r="4415" spans="1:8" x14ac:dyDescent="0.25">
      <c r="A4415" s="2">
        <v>44639</v>
      </c>
      <c r="B4415" s="1" t="s">
        <v>52</v>
      </c>
      <c r="C4415">
        <v>60</v>
      </c>
      <c r="D4415" s="1" t="s">
        <v>217</v>
      </c>
      <c r="E4415" s="1" t="s">
        <v>6</v>
      </c>
      <c r="F4415">
        <v>8</v>
      </c>
      <c r="G4415" s="1" t="str">
        <f>Ocupacao_DW[[#This Row],[data]]&amp;Ocupacao_DW[[#This Row],[profissional_id]]&amp;Ocupacao_DW[[#This Row],[local_id]]</f>
        <v>44639608</v>
      </c>
      <c r="H4415" s="1">
        <f>_xlfn.XLOOKUP(Ocupacao_DW[[#This Row],[Concat]],Vagas!$H:$H,Vagas!$D:$D,"",0)</f>
        <v>0</v>
      </c>
    </row>
    <row r="4416" spans="1:8" x14ac:dyDescent="0.25">
      <c r="A4416" s="2">
        <v>44636</v>
      </c>
      <c r="B4416" s="1" t="s">
        <v>57</v>
      </c>
      <c r="C4416">
        <v>80</v>
      </c>
      <c r="D4416" s="1" t="s">
        <v>179</v>
      </c>
      <c r="E4416" s="1" t="s">
        <v>167</v>
      </c>
      <c r="F4416">
        <v>346</v>
      </c>
      <c r="G4416" s="1" t="str">
        <f>Ocupacao_DW[[#This Row],[data]]&amp;Ocupacao_DW[[#This Row],[profissional_id]]&amp;Ocupacao_DW[[#This Row],[local_id]]</f>
        <v>4463680346</v>
      </c>
      <c r="H4416" s="1">
        <f>_xlfn.XLOOKUP(Ocupacao_DW[[#This Row],[Concat]],Vagas!$H:$H,Vagas!$D:$D,"",0)</f>
        <v>0</v>
      </c>
    </row>
    <row r="4417" spans="1:8" x14ac:dyDescent="0.25">
      <c r="A4417" s="2">
        <v>44653</v>
      </c>
      <c r="B4417" s="1" t="s">
        <v>62</v>
      </c>
      <c r="C4417">
        <v>4887</v>
      </c>
      <c r="D4417" s="1" t="s">
        <v>168</v>
      </c>
      <c r="E4417" s="1" t="s">
        <v>5</v>
      </c>
      <c r="F4417">
        <v>18</v>
      </c>
      <c r="G4417" s="1" t="str">
        <f>Ocupacao_DW[[#This Row],[data]]&amp;Ocupacao_DW[[#This Row],[profissional_id]]&amp;Ocupacao_DW[[#This Row],[local_id]]</f>
        <v>44653488718</v>
      </c>
      <c r="H4417" s="1">
        <f>_xlfn.XLOOKUP(Ocupacao_DW[[#This Row],[Concat]],Vagas!$H:$H,Vagas!$D:$D,"",0)</f>
        <v>0</v>
      </c>
    </row>
    <row r="4418" spans="1:8" x14ac:dyDescent="0.25">
      <c r="A4418" s="2">
        <v>44636</v>
      </c>
      <c r="B4418" s="1" t="s">
        <v>24</v>
      </c>
      <c r="C4418">
        <v>13061</v>
      </c>
      <c r="D4418" s="1" t="s">
        <v>232</v>
      </c>
      <c r="E4418" s="1" t="s">
        <v>6</v>
      </c>
      <c r="F4418">
        <v>3</v>
      </c>
      <c r="G4418" s="1" t="str">
        <f>Ocupacao_DW[[#This Row],[data]]&amp;Ocupacao_DW[[#This Row],[profissional_id]]&amp;Ocupacao_DW[[#This Row],[local_id]]</f>
        <v>44636130613</v>
      </c>
      <c r="H4418" s="1">
        <f>_xlfn.XLOOKUP(Ocupacao_DW[[#This Row],[Concat]],Vagas!$H:$H,Vagas!$D:$D,"",0)</f>
        <v>0</v>
      </c>
    </row>
    <row r="4419" spans="1:8" x14ac:dyDescent="0.25">
      <c r="A4419" s="2">
        <v>44643</v>
      </c>
      <c r="B4419" s="1" t="s">
        <v>51</v>
      </c>
      <c r="C4419">
        <v>12679</v>
      </c>
      <c r="D4419" s="1" t="s">
        <v>192</v>
      </c>
      <c r="E4419" s="1" t="s">
        <v>5</v>
      </c>
      <c r="F4419">
        <v>11</v>
      </c>
      <c r="G4419" s="1" t="str">
        <f>Ocupacao_DW[[#This Row],[data]]&amp;Ocupacao_DW[[#This Row],[profissional_id]]&amp;Ocupacao_DW[[#This Row],[local_id]]</f>
        <v>446431267911</v>
      </c>
      <c r="H4419" s="1">
        <f>_xlfn.XLOOKUP(Ocupacao_DW[[#This Row],[Concat]],Vagas!$H:$H,Vagas!$D:$D,"",0)</f>
        <v>0</v>
      </c>
    </row>
    <row r="4420" spans="1:8" x14ac:dyDescent="0.25">
      <c r="A4420" s="2">
        <v>44638</v>
      </c>
      <c r="B4420" s="1" t="s">
        <v>54</v>
      </c>
      <c r="C4420">
        <v>69</v>
      </c>
      <c r="D4420" s="1" t="s">
        <v>238</v>
      </c>
      <c r="E4420" s="1" t="s">
        <v>5</v>
      </c>
      <c r="F4420">
        <v>13</v>
      </c>
      <c r="G4420" s="1" t="str">
        <f>Ocupacao_DW[[#This Row],[data]]&amp;Ocupacao_DW[[#This Row],[profissional_id]]&amp;Ocupacao_DW[[#This Row],[local_id]]</f>
        <v>446386913</v>
      </c>
      <c r="H4420" s="1">
        <f>_xlfn.XLOOKUP(Ocupacao_DW[[#This Row],[Concat]],Vagas!$H:$H,Vagas!$D:$D,"",0)</f>
        <v>0</v>
      </c>
    </row>
    <row r="4421" spans="1:8" x14ac:dyDescent="0.25">
      <c r="A4421" s="2">
        <v>44637</v>
      </c>
      <c r="B4421" s="1" t="s">
        <v>52</v>
      </c>
      <c r="C4421">
        <v>9217</v>
      </c>
      <c r="D4421" s="1" t="s">
        <v>191</v>
      </c>
      <c r="E4421" s="1" t="s">
        <v>6</v>
      </c>
      <c r="F4421">
        <v>7</v>
      </c>
      <c r="G4421" s="1" t="str">
        <f>Ocupacao_DW[[#This Row],[data]]&amp;Ocupacao_DW[[#This Row],[profissional_id]]&amp;Ocupacao_DW[[#This Row],[local_id]]</f>
        <v>4463792177</v>
      </c>
      <c r="H4421" s="1">
        <f>_xlfn.XLOOKUP(Ocupacao_DW[[#This Row],[Concat]],Vagas!$H:$H,Vagas!$D:$D,"",0)</f>
        <v>0</v>
      </c>
    </row>
    <row r="4422" spans="1:8" x14ac:dyDescent="0.25">
      <c r="A4422" s="2">
        <v>44656</v>
      </c>
      <c r="B4422" s="1" t="s">
        <v>55</v>
      </c>
      <c r="C4422">
        <v>73</v>
      </c>
      <c r="D4422" s="1" t="s">
        <v>171</v>
      </c>
      <c r="E4422" s="1" t="s">
        <v>6</v>
      </c>
      <c r="F4422">
        <v>5</v>
      </c>
      <c r="G4422" s="1" t="str">
        <f>Ocupacao_DW[[#This Row],[data]]&amp;Ocupacao_DW[[#This Row],[profissional_id]]&amp;Ocupacao_DW[[#This Row],[local_id]]</f>
        <v>44656735</v>
      </c>
      <c r="H4422" s="1">
        <f>_xlfn.XLOOKUP(Ocupacao_DW[[#This Row],[Concat]],Vagas!$H:$H,Vagas!$D:$D,"",0)</f>
        <v>0</v>
      </c>
    </row>
    <row r="4423" spans="1:8" x14ac:dyDescent="0.25">
      <c r="A4423" s="2">
        <v>44636</v>
      </c>
      <c r="B4423" s="1" t="s">
        <v>60</v>
      </c>
      <c r="C4423">
        <v>14326</v>
      </c>
      <c r="D4423" s="1" t="s">
        <v>220</v>
      </c>
      <c r="E4423" s="1" t="s">
        <v>4</v>
      </c>
      <c r="F4423">
        <v>43</v>
      </c>
      <c r="G4423" s="1" t="str">
        <f>Ocupacao_DW[[#This Row],[data]]&amp;Ocupacao_DW[[#This Row],[profissional_id]]&amp;Ocupacao_DW[[#This Row],[local_id]]</f>
        <v>446361432643</v>
      </c>
      <c r="H4423" s="1">
        <f>_xlfn.XLOOKUP(Ocupacao_DW[[#This Row],[Concat]],Vagas!$H:$H,Vagas!$D:$D,"",0)</f>
        <v>0</v>
      </c>
    </row>
    <row r="4424" spans="1:8" x14ac:dyDescent="0.25">
      <c r="A4424" s="2">
        <v>44635</v>
      </c>
      <c r="B4424" s="1" t="s">
        <v>54</v>
      </c>
      <c r="C4424">
        <v>10941</v>
      </c>
      <c r="D4424" s="1" t="s">
        <v>224</v>
      </c>
      <c r="E4424" s="1" t="s">
        <v>5</v>
      </c>
      <c r="F4424">
        <v>12</v>
      </c>
      <c r="G4424" s="1" t="str">
        <f>Ocupacao_DW[[#This Row],[data]]&amp;Ocupacao_DW[[#This Row],[profissional_id]]&amp;Ocupacao_DW[[#This Row],[local_id]]</f>
        <v>446351094112</v>
      </c>
      <c r="H4424" s="1">
        <f>_xlfn.XLOOKUP(Ocupacao_DW[[#This Row],[Concat]],Vagas!$H:$H,Vagas!$D:$D,"",0)</f>
        <v>0</v>
      </c>
    </row>
    <row r="4425" spans="1:8" x14ac:dyDescent="0.25">
      <c r="A4425" s="2">
        <v>44636</v>
      </c>
      <c r="B4425" s="1" t="s">
        <v>50</v>
      </c>
      <c r="C4425">
        <v>10785</v>
      </c>
      <c r="D4425" s="1" t="s">
        <v>237</v>
      </c>
      <c r="E4425" s="1" t="s">
        <v>5</v>
      </c>
      <c r="F4425">
        <v>14</v>
      </c>
      <c r="G4425" s="1" t="str">
        <f>Ocupacao_DW[[#This Row],[data]]&amp;Ocupacao_DW[[#This Row],[profissional_id]]&amp;Ocupacao_DW[[#This Row],[local_id]]</f>
        <v>446361078514</v>
      </c>
      <c r="H4425" s="1">
        <f>_xlfn.XLOOKUP(Ocupacao_DW[[#This Row],[Concat]],Vagas!$H:$H,Vagas!$D:$D,"",0)</f>
        <v>8</v>
      </c>
    </row>
    <row r="4426" spans="1:8" x14ac:dyDescent="0.25">
      <c r="A4426" s="2">
        <v>44642</v>
      </c>
      <c r="B4426" s="1" t="s">
        <v>54</v>
      </c>
      <c r="C4426">
        <v>10941</v>
      </c>
      <c r="D4426" s="1" t="s">
        <v>224</v>
      </c>
      <c r="E4426" s="1" t="s">
        <v>5</v>
      </c>
      <c r="F4426">
        <v>13</v>
      </c>
      <c r="G4426" s="1" t="str">
        <f>Ocupacao_DW[[#This Row],[data]]&amp;Ocupacao_DW[[#This Row],[profissional_id]]&amp;Ocupacao_DW[[#This Row],[local_id]]</f>
        <v>446421094113</v>
      </c>
      <c r="H4426" s="1">
        <f>_xlfn.XLOOKUP(Ocupacao_DW[[#This Row],[Concat]],Vagas!$H:$H,Vagas!$D:$D,"",0)</f>
        <v>0</v>
      </c>
    </row>
    <row r="4427" spans="1:8" x14ac:dyDescent="0.25">
      <c r="A4427" s="2">
        <v>44649</v>
      </c>
      <c r="B4427" s="1" t="s">
        <v>70</v>
      </c>
      <c r="C4427">
        <v>14237</v>
      </c>
      <c r="D4427" s="1" t="s">
        <v>186</v>
      </c>
      <c r="E4427" s="1" t="s">
        <v>4</v>
      </c>
      <c r="F4427">
        <v>47</v>
      </c>
      <c r="G4427" s="1" t="str">
        <f>Ocupacao_DW[[#This Row],[data]]&amp;Ocupacao_DW[[#This Row],[profissional_id]]&amp;Ocupacao_DW[[#This Row],[local_id]]</f>
        <v>446491423747</v>
      </c>
      <c r="H4427" s="1">
        <f>_xlfn.XLOOKUP(Ocupacao_DW[[#This Row],[Concat]],Vagas!$H:$H,Vagas!$D:$D,"",0)</f>
        <v>0</v>
      </c>
    </row>
    <row r="4428" spans="1:8" x14ac:dyDescent="0.25">
      <c r="A4428" s="2">
        <v>44635</v>
      </c>
      <c r="B4428" s="1"/>
      <c r="C4428">
        <v>0</v>
      </c>
      <c r="D4428" s="1"/>
      <c r="E4428" s="1" t="s">
        <v>167</v>
      </c>
      <c r="F4428">
        <v>24</v>
      </c>
      <c r="G4428" s="1" t="str">
        <f>Ocupacao_DW[[#This Row],[data]]&amp;Ocupacao_DW[[#This Row],[profissional_id]]&amp;Ocupacao_DW[[#This Row],[local_id]]</f>
        <v>44635024</v>
      </c>
      <c r="H4428" s="1" t="str">
        <f>_xlfn.XLOOKUP(Ocupacao_DW[[#This Row],[Concat]],Vagas!$H:$H,Vagas!$D:$D,"",0)</f>
        <v/>
      </c>
    </row>
    <row r="4429" spans="1:8" x14ac:dyDescent="0.25">
      <c r="A4429" s="2">
        <v>44635</v>
      </c>
      <c r="B4429" s="1" t="s">
        <v>49</v>
      </c>
      <c r="C4429">
        <v>81</v>
      </c>
      <c r="D4429" s="1" t="s">
        <v>170</v>
      </c>
      <c r="E4429" s="1" t="s">
        <v>4</v>
      </c>
      <c r="F4429">
        <v>41</v>
      </c>
      <c r="G4429" s="1" t="str">
        <f>Ocupacao_DW[[#This Row],[data]]&amp;Ocupacao_DW[[#This Row],[profissional_id]]&amp;Ocupacao_DW[[#This Row],[local_id]]</f>
        <v>446358141</v>
      </c>
      <c r="H4429" s="1">
        <f>_xlfn.XLOOKUP(Ocupacao_DW[[#This Row],[Concat]],Vagas!$H:$H,Vagas!$D:$D,"",0)</f>
        <v>0</v>
      </c>
    </row>
    <row r="4430" spans="1:8" x14ac:dyDescent="0.25">
      <c r="A4430" s="2">
        <v>44635</v>
      </c>
      <c r="B4430" s="1"/>
      <c r="C4430">
        <v>9111</v>
      </c>
      <c r="D4430" s="1" t="s">
        <v>206</v>
      </c>
      <c r="E4430" s="1" t="s">
        <v>4</v>
      </c>
      <c r="F4430">
        <v>335</v>
      </c>
      <c r="G4430" s="1" t="str">
        <f>Ocupacao_DW[[#This Row],[data]]&amp;Ocupacao_DW[[#This Row],[profissional_id]]&amp;Ocupacao_DW[[#This Row],[local_id]]</f>
        <v>446359111335</v>
      </c>
      <c r="H4430" s="1">
        <f>_xlfn.XLOOKUP(Ocupacao_DW[[#This Row],[Concat]],Vagas!$H:$H,Vagas!$D:$D,"",0)</f>
        <v>0</v>
      </c>
    </row>
    <row r="4431" spans="1:8" x14ac:dyDescent="0.25">
      <c r="A4431" s="2">
        <v>44642</v>
      </c>
      <c r="B4431" s="1" t="s">
        <v>68</v>
      </c>
      <c r="C4431">
        <v>8239</v>
      </c>
      <c r="D4431" s="1" t="s">
        <v>257</v>
      </c>
      <c r="E4431" s="1" t="s">
        <v>5</v>
      </c>
      <c r="F4431">
        <v>14</v>
      </c>
      <c r="G4431" s="1" t="str">
        <f>Ocupacao_DW[[#This Row],[data]]&amp;Ocupacao_DW[[#This Row],[profissional_id]]&amp;Ocupacao_DW[[#This Row],[local_id]]</f>
        <v>44642823914</v>
      </c>
      <c r="H4431" s="1">
        <f>_xlfn.XLOOKUP(Ocupacao_DW[[#This Row],[Concat]],Vagas!$H:$H,Vagas!$D:$D,"",0)</f>
        <v>0</v>
      </c>
    </row>
    <row r="4432" spans="1:8" x14ac:dyDescent="0.25">
      <c r="A4432" s="2">
        <v>44635</v>
      </c>
      <c r="B4432" s="1" t="s">
        <v>47</v>
      </c>
      <c r="C4432">
        <v>9111</v>
      </c>
      <c r="D4432" s="1" t="s">
        <v>206</v>
      </c>
      <c r="E4432" s="1" t="s">
        <v>4</v>
      </c>
      <c r="F4432">
        <v>335</v>
      </c>
      <c r="G4432" s="1" t="str">
        <f>Ocupacao_DW[[#This Row],[data]]&amp;Ocupacao_DW[[#This Row],[profissional_id]]&amp;Ocupacao_DW[[#This Row],[local_id]]</f>
        <v>446359111335</v>
      </c>
      <c r="H4432" s="1">
        <f>_xlfn.XLOOKUP(Ocupacao_DW[[#This Row],[Concat]],Vagas!$H:$H,Vagas!$D:$D,"",0)</f>
        <v>0</v>
      </c>
    </row>
    <row r="4433" spans="1:8" x14ac:dyDescent="0.25">
      <c r="A4433" s="2">
        <v>44638</v>
      </c>
      <c r="B4433" s="1" t="s">
        <v>62</v>
      </c>
      <c r="C4433">
        <v>2567</v>
      </c>
      <c r="D4433" s="1" t="s">
        <v>198</v>
      </c>
      <c r="E4433" s="1" t="s">
        <v>5</v>
      </c>
      <c r="F4433">
        <v>16</v>
      </c>
      <c r="G4433" s="1" t="str">
        <f>Ocupacao_DW[[#This Row],[data]]&amp;Ocupacao_DW[[#This Row],[profissional_id]]&amp;Ocupacao_DW[[#This Row],[local_id]]</f>
        <v>44638256716</v>
      </c>
      <c r="H4433" s="1" t="str">
        <f>_xlfn.XLOOKUP(Ocupacao_DW[[#This Row],[Concat]],Vagas!$H:$H,Vagas!$D:$D,"",0)</f>
        <v/>
      </c>
    </row>
    <row r="4434" spans="1:8" x14ac:dyDescent="0.25">
      <c r="A4434" s="2">
        <v>44636</v>
      </c>
      <c r="B4434" s="1" t="s">
        <v>52</v>
      </c>
      <c r="C4434">
        <v>57</v>
      </c>
      <c r="D4434" s="1" t="s">
        <v>169</v>
      </c>
      <c r="E4434" s="1" t="s">
        <v>6</v>
      </c>
      <c r="F4434">
        <v>4</v>
      </c>
      <c r="G4434" s="1" t="str">
        <f>Ocupacao_DW[[#This Row],[data]]&amp;Ocupacao_DW[[#This Row],[profissional_id]]&amp;Ocupacao_DW[[#This Row],[local_id]]</f>
        <v>44636574</v>
      </c>
      <c r="H4434" s="1">
        <f>_xlfn.XLOOKUP(Ocupacao_DW[[#This Row],[Concat]],Vagas!$H:$H,Vagas!$D:$D,"",0)</f>
        <v>0</v>
      </c>
    </row>
    <row r="4435" spans="1:8" x14ac:dyDescent="0.25">
      <c r="A4435" s="2">
        <v>44643</v>
      </c>
      <c r="B4435" s="1" t="s">
        <v>70</v>
      </c>
      <c r="C4435">
        <v>12825</v>
      </c>
      <c r="D4435" s="1" t="s">
        <v>177</v>
      </c>
      <c r="E4435" s="1" t="s">
        <v>4</v>
      </c>
      <c r="F4435">
        <v>45</v>
      </c>
      <c r="G4435" s="1" t="str">
        <f>Ocupacao_DW[[#This Row],[data]]&amp;Ocupacao_DW[[#This Row],[profissional_id]]&amp;Ocupacao_DW[[#This Row],[local_id]]</f>
        <v>446431282545</v>
      </c>
      <c r="H4435" s="1">
        <f>_xlfn.XLOOKUP(Ocupacao_DW[[#This Row],[Concat]],Vagas!$H:$H,Vagas!$D:$D,"",0)</f>
        <v>0</v>
      </c>
    </row>
    <row r="4436" spans="1:8" x14ac:dyDescent="0.25">
      <c r="A4436" s="2">
        <v>44636</v>
      </c>
      <c r="B4436" s="1" t="s">
        <v>56</v>
      </c>
      <c r="C4436">
        <v>13660</v>
      </c>
      <c r="D4436" s="1" t="s">
        <v>250</v>
      </c>
      <c r="E4436" s="1" t="s">
        <v>200</v>
      </c>
      <c r="F4436">
        <v>78</v>
      </c>
      <c r="G4436" s="1" t="str">
        <f>Ocupacao_DW[[#This Row],[data]]&amp;Ocupacao_DW[[#This Row],[profissional_id]]&amp;Ocupacao_DW[[#This Row],[local_id]]</f>
        <v>446361366078</v>
      </c>
      <c r="H4436" s="1">
        <f>_xlfn.XLOOKUP(Ocupacao_DW[[#This Row],[Concat]],Vagas!$H:$H,Vagas!$D:$D,"",0)</f>
        <v>3</v>
      </c>
    </row>
    <row r="4437" spans="1:8" x14ac:dyDescent="0.25">
      <c r="A4437" s="2">
        <v>44655</v>
      </c>
      <c r="B4437" s="1" t="s">
        <v>55</v>
      </c>
      <c r="C4437">
        <v>6392</v>
      </c>
      <c r="D4437" s="1" t="s">
        <v>173</v>
      </c>
      <c r="E4437" s="1" t="s">
        <v>6</v>
      </c>
      <c r="F4437">
        <v>5</v>
      </c>
      <c r="G4437" s="1" t="str">
        <f>Ocupacao_DW[[#This Row],[data]]&amp;Ocupacao_DW[[#This Row],[profissional_id]]&amp;Ocupacao_DW[[#This Row],[local_id]]</f>
        <v>4465563925</v>
      </c>
      <c r="H4437" s="1">
        <f>_xlfn.XLOOKUP(Ocupacao_DW[[#This Row],[Concat]],Vagas!$H:$H,Vagas!$D:$D,"",0)</f>
        <v>0</v>
      </c>
    </row>
    <row r="4438" spans="1:8" x14ac:dyDescent="0.25">
      <c r="A4438" s="2">
        <v>44638</v>
      </c>
      <c r="B4438" s="1" t="s">
        <v>49</v>
      </c>
      <c r="C4438">
        <v>12142</v>
      </c>
      <c r="D4438" s="1" t="s">
        <v>219</v>
      </c>
      <c r="E4438" s="1" t="s">
        <v>4</v>
      </c>
      <c r="F4438">
        <v>44</v>
      </c>
      <c r="G4438" s="1" t="str">
        <f>Ocupacao_DW[[#This Row],[data]]&amp;Ocupacao_DW[[#This Row],[profissional_id]]&amp;Ocupacao_DW[[#This Row],[local_id]]</f>
        <v>446381214244</v>
      </c>
      <c r="H4438" s="1">
        <f>_xlfn.XLOOKUP(Ocupacao_DW[[#This Row],[Concat]],Vagas!$H:$H,Vagas!$D:$D,"",0)</f>
        <v>0</v>
      </c>
    </row>
    <row r="4439" spans="1:8" x14ac:dyDescent="0.25">
      <c r="A4439" s="2">
        <v>44635</v>
      </c>
      <c r="B4439" s="1" t="s">
        <v>52</v>
      </c>
      <c r="C4439">
        <v>60</v>
      </c>
      <c r="D4439" s="1" t="s">
        <v>217</v>
      </c>
      <c r="E4439" s="1" t="s">
        <v>167</v>
      </c>
      <c r="F4439">
        <v>345</v>
      </c>
      <c r="G4439" s="1" t="str">
        <f>Ocupacao_DW[[#This Row],[data]]&amp;Ocupacao_DW[[#This Row],[profissional_id]]&amp;Ocupacao_DW[[#This Row],[local_id]]</f>
        <v>4463560345</v>
      </c>
      <c r="H4439" s="1">
        <f>_xlfn.XLOOKUP(Ocupacao_DW[[#This Row],[Concat]],Vagas!$H:$H,Vagas!$D:$D,"",0)</f>
        <v>0</v>
      </c>
    </row>
    <row r="4440" spans="1:8" x14ac:dyDescent="0.25">
      <c r="A4440" s="2">
        <v>44637</v>
      </c>
      <c r="B4440" s="1" t="s">
        <v>62</v>
      </c>
      <c r="C4440">
        <v>3502</v>
      </c>
      <c r="D4440" s="1" t="s">
        <v>214</v>
      </c>
      <c r="E4440" s="1" t="s">
        <v>5</v>
      </c>
      <c r="F4440">
        <v>16</v>
      </c>
      <c r="G4440" s="1" t="str">
        <f>Ocupacao_DW[[#This Row],[data]]&amp;Ocupacao_DW[[#This Row],[profissional_id]]&amp;Ocupacao_DW[[#This Row],[local_id]]</f>
        <v>44637350216</v>
      </c>
      <c r="H4440" s="1">
        <f>_xlfn.XLOOKUP(Ocupacao_DW[[#This Row],[Concat]],Vagas!$H:$H,Vagas!$D:$D,"",0)</f>
        <v>0</v>
      </c>
    </row>
    <row r="4441" spans="1:8" x14ac:dyDescent="0.25">
      <c r="A4441" s="2">
        <v>44636</v>
      </c>
      <c r="B4441" s="1" t="s">
        <v>65</v>
      </c>
      <c r="C4441">
        <v>13058</v>
      </c>
      <c r="D4441" s="1" t="s">
        <v>256</v>
      </c>
      <c r="E4441" s="1" t="s">
        <v>4</v>
      </c>
      <c r="F4441">
        <v>47</v>
      </c>
      <c r="G4441" s="1" t="str">
        <f>Ocupacao_DW[[#This Row],[data]]&amp;Ocupacao_DW[[#This Row],[profissional_id]]&amp;Ocupacao_DW[[#This Row],[local_id]]</f>
        <v>446361305847</v>
      </c>
      <c r="H4441" s="1">
        <f>_xlfn.XLOOKUP(Ocupacao_DW[[#This Row],[Concat]],Vagas!$H:$H,Vagas!$D:$D,"",0)</f>
        <v>0</v>
      </c>
    </row>
    <row r="4442" spans="1:8" x14ac:dyDescent="0.25">
      <c r="A4442" s="2">
        <v>44644</v>
      </c>
      <c r="B4442" s="1" t="s">
        <v>55</v>
      </c>
      <c r="C4442">
        <v>12426</v>
      </c>
      <c r="D4442" s="1" t="s">
        <v>215</v>
      </c>
      <c r="E4442" s="1" t="s">
        <v>6</v>
      </c>
      <c r="F4442">
        <v>5</v>
      </c>
      <c r="G4442" s="1" t="str">
        <f>Ocupacao_DW[[#This Row],[data]]&amp;Ocupacao_DW[[#This Row],[profissional_id]]&amp;Ocupacao_DW[[#This Row],[local_id]]</f>
        <v>44644124265</v>
      </c>
      <c r="H4442" s="1">
        <f>_xlfn.XLOOKUP(Ocupacao_DW[[#This Row],[Concat]],Vagas!$H:$H,Vagas!$D:$D,"",0)</f>
        <v>0</v>
      </c>
    </row>
    <row r="4443" spans="1:8" x14ac:dyDescent="0.25">
      <c r="A4443" s="2">
        <v>44650</v>
      </c>
      <c r="B4443" s="1" t="s">
        <v>52</v>
      </c>
      <c r="C4443">
        <v>57</v>
      </c>
      <c r="D4443" s="1" t="s">
        <v>169</v>
      </c>
      <c r="E4443" s="1" t="s">
        <v>6</v>
      </c>
      <c r="F4443">
        <v>4</v>
      </c>
      <c r="G4443" s="1" t="str">
        <f>Ocupacao_DW[[#This Row],[data]]&amp;Ocupacao_DW[[#This Row],[profissional_id]]&amp;Ocupacao_DW[[#This Row],[local_id]]</f>
        <v>44650574</v>
      </c>
      <c r="H4443" s="1">
        <f>_xlfn.XLOOKUP(Ocupacao_DW[[#This Row],[Concat]],Vagas!$H:$H,Vagas!$D:$D,"",0)</f>
        <v>0</v>
      </c>
    </row>
    <row r="4444" spans="1:8" x14ac:dyDescent="0.25">
      <c r="A4444" s="2">
        <v>44637</v>
      </c>
      <c r="B4444" s="1" t="s">
        <v>47</v>
      </c>
      <c r="C4444">
        <v>9111</v>
      </c>
      <c r="D4444" s="1" t="s">
        <v>206</v>
      </c>
      <c r="E4444" s="1" t="s">
        <v>4</v>
      </c>
      <c r="F4444">
        <v>334</v>
      </c>
      <c r="G4444" s="1" t="str">
        <f>Ocupacao_DW[[#This Row],[data]]&amp;Ocupacao_DW[[#This Row],[profissional_id]]&amp;Ocupacao_DW[[#This Row],[local_id]]</f>
        <v>446379111334</v>
      </c>
      <c r="H4444" s="1">
        <f>_xlfn.XLOOKUP(Ocupacao_DW[[#This Row],[Concat]],Vagas!$H:$H,Vagas!$D:$D,"",0)</f>
        <v>0</v>
      </c>
    </row>
    <row r="4445" spans="1:8" x14ac:dyDescent="0.25">
      <c r="A4445" s="2">
        <v>44641</v>
      </c>
      <c r="B4445" s="1" t="s">
        <v>60</v>
      </c>
      <c r="C4445">
        <v>117</v>
      </c>
      <c r="D4445" s="1" t="s">
        <v>180</v>
      </c>
      <c r="E4445" s="1" t="s">
        <v>4</v>
      </c>
      <c r="F4445">
        <v>48</v>
      </c>
      <c r="G4445" s="1" t="str">
        <f>Ocupacao_DW[[#This Row],[data]]&amp;Ocupacao_DW[[#This Row],[profissional_id]]&amp;Ocupacao_DW[[#This Row],[local_id]]</f>
        <v>4464111748</v>
      </c>
      <c r="H4445" s="1">
        <f>_xlfn.XLOOKUP(Ocupacao_DW[[#This Row],[Concat]],Vagas!$H:$H,Vagas!$D:$D,"",0)</f>
        <v>0</v>
      </c>
    </row>
    <row r="4446" spans="1:8" x14ac:dyDescent="0.25">
      <c r="A4446" s="2">
        <v>44644</v>
      </c>
      <c r="B4446" s="1" t="s">
        <v>67</v>
      </c>
      <c r="C4446">
        <v>10717</v>
      </c>
      <c r="D4446" s="1" t="s">
        <v>245</v>
      </c>
      <c r="E4446" s="1" t="s">
        <v>7</v>
      </c>
      <c r="F4446">
        <v>69</v>
      </c>
      <c r="G4446" s="1" t="str">
        <f>Ocupacao_DW[[#This Row],[data]]&amp;Ocupacao_DW[[#This Row],[profissional_id]]&amp;Ocupacao_DW[[#This Row],[local_id]]</f>
        <v>446441071769</v>
      </c>
      <c r="H4446" s="1">
        <f>_xlfn.XLOOKUP(Ocupacao_DW[[#This Row],[Concat]],Vagas!$H:$H,Vagas!$D:$D,"",0)</f>
        <v>0</v>
      </c>
    </row>
    <row r="4447" spans="1:8" x14ac:dyDescent="0.25">
      <c r="A4447" s="2">
        <v>44650</v>
      </c>
      <c r="B4447" s="1" t="s">
        <v>43</v>
      </c>
      <c r="C4447">
        <v>2396</v>
      </c>
      <c r="D4447" s="1" t="s">
        <v>197</v>
      </c>
      <c r="E4447" s="1" t="s">
        <v>6</v>
      </c>
      <c r="F4447">
        <v>2</v>
      </c>
      <c r="G4447" s="1" t="str">
        <f>Ocupacao_DW[[#This Row],[data]]&amp;Ocupacao_DW[[#This Row],[profissional_id]]&amp;Ocupacao_DW[[#This Row],[local_id]]</f>
        <v>4465023962</v>
      </c>
      <c r="H4447" s="1">
        <f>_xlfn.XLOOKUP(Ocupacao_DW[[#This Row],[Concat]],Vagas!$H:$H,Vagas!$D:$D,"",0)</f>
        <v>0</v>
      </c>
    </row>
    <row r="4448" spans="1:8" x14ac:dyDescent="0.25">
      <c r="A4448" s="2">
        <v>44636</v>
      </c>
      <c r="B4448" s="1" t="s">
        <v>60</v>
      </c>
      <c r="C4448">
        <v>14326</v>
      </c>
      <c r="D4448" s="1" t="s">
        <v>220</v>
      </c>
      <c r="E4448" s="1" t="s">
        <v>4</v>
      </c>
      <c r="F4448">
        <v>43</v>
      </c>
      <c r="G4448" s="1" t="str">
        <f>Ocupacao_DW[[#This Row],[data]]&amp;Ocupacao_DW[[#This Row],[profissional_id]]&amp;Ocupacao_DW[[#This Row],[local_id]]</f>
        <v>446361432643</v>
      </c>
      <c r="H4448" s="1">
        <f>_xlfn.XLOOKUP(Ocupacao_DW[[#This Row],[Concat]],Vagas!$H:$H,Vagas!$D:$D,"",0)</f>
        <v>0</v>
      </c>
    </row>
    <row r="4449" spans="1:8" x14ac:dyDescent="0.25">
      <c r="A4449" s="2">
        <v>44650</v>
      </c>
      <c r="B4449" s="1" t="s">
        <v>47</v>
      </c>
      <c r="C4449">
        <v>110</v>
      </c>
      <c r="D4449" s="1" t="s">
        <v>193</v>
      </c>
      <c r="E4449" s="1" t="s">
        <v>4</v>
      </c>
      <c r="F4449">
        <v>334</v>
      </c>
      <c r="G4449" s="1" t="str">
        <f>Ocupacao_DW[[#This Row],[data]]&amp;Ocupacao_DW[[#This Row],[profissional_id]]&amp;Ocupacao_DW[[#This Row],[local_id]]</f>
        <v>44650110334</v>
      </c>
      <c r="H4449" s="1">
        <f>_xlfn.XLOOKUP(Ocupacao_DW[[#This Row],[Concat]],Vagas!$H:$H,Vagas!$D:$D,"",0)</f>
        <v>0</v>
      </c>
    </row>
    <row r="4450" spans="1:8" x14ac:dyDescent="0.25">
      <c r="A4450" s="2">
        <v>44641</v>
      </c>
      <c r="B4450" s="1" t="s">
        <v>49</v>
      </c>
      <c r="C4450">
        <v>6430</v>
      </c>
      <c r="D4450" s="1" t="s">
        <v>188</v>
      </c>
      <c r="E4450" s="1" t="s">
        <v>200</v>
      </c>
      <c r="F4450">
        <v>86</v>
      </c>
      <c r="G4450" s="1" t="str">
        <f>Ocupacao_DW[[#This Row],[data]]&amp;Ocupacao_DW[[#This Row],[profissional_id]]&amp;Ocupacao_DW[[#This Row],[local_id]]</f>
        <v>44641643086</v>
      </c>
      <c r="H4450" s="1">
        <f>_xlfn.XLOOKUP(Ocupacao_DW[[#This Row],[Concat]],Vagas!$H:$H,Vagas!$D:$D,"",0)</f>
        <v>0</v>
      </c>
    </row>
    <row r="4451" spans="1:8" x14ac:dyDescent="0.25">
      <c r="A4451" s="2">
        <v>44637</v>
      </c>
      <c r="B4451" s="1"/>
      <c r="C4451">
        <v>0</v>
      </c>
      <c r="D4451" s="1"/>
      <c r="E4451" s="1" t="s">
        <v>4</v>
      </c>
      <c r="F4451">
        <v>40</v>
      </c>
      <c r="G4451" s="1" t="str">
        <f>Ocupacao_DW[[#This Row],[data]]&amp;Ocupacao_DW[[#This Row],[profissional_id]]&amp;Ocupacao_DW[[#This Row],[local_id]]</f>
        <v>44637040</v>
      </c>
      <c r="H4451" s="1" t="str">
        <f>_xlfn.XLOOKUP(Ocupacao_DW[[#This Row],[Concat]],Vagas!$H:$H,Vagas!$D:$D,"",0)</f>
        <v/>
      </c>
    </row>
    <row r="4452" spans="1:8" x14ac:dyDescent="0.25">
      <c r="A4452" s="2">
        <v>44653</v>
      </c>
      <c r="B4452" s="1" t="s">
        <v>62</v>
      </c>
      <c r="C4452">
        <v>4887</v>
      </c>
      <c r="D4452" s="1" t="s">
        <v>168</v>
      </c>
      <c r="E4452" s="1" t="s">
        <v>5</v>
      </c>
      <c r="F4452">
        <v>18</v>
      </c>
      <c r="G4452" s="1" t="str">
        <f>Ocupacao_DW[[#This Row],[data]]&amp;Ocupacao_DW[[#This Row],[profissional_id]]&amp;Ocupacao_DW[[#This Row],[local_id]]</f>
        <v>44653488718</v>
      </c>
      <c r="H4452" s="1">
        <f>_xlfn.XLOOKUP(Ocupacao_DW[[#This Row],[Concat]],Vagas!$H:$H,Vagas!$D:$D,"",0)</f>
        <v>0</v>
      </c>
    </row>
    <row r="4453" spans="1:8" x14ac:dyDescent="0.25">
      <c r="A4453" s="2">
        <v>44636</v>
      </c>
      <c r="B4453" s="1" t="s">
        <v>54</v>
      </c>
      <c r="C4453">
        <v>70</v>
      </c>
      <c r="D4453" s="1" t="s">
        <v>187</v>
      </c>
      <c r="E4453" s="1" t="s">
        <v>5</v>
      </c>
      <c r="F4453">
        <v>13</v>
      </c>
      <c r="G4453" s="1" t="str">
        <f>Ocupacao_DW[[#This Row],[data]]&amp;Ocupacao_DW[[#This Row],[profissional_id]]&amp;Ocupacao_DW[[#This Row],[local_id]]</f>
        <v>446367013</v>
      </c>
      <c r="H4453" s="1">
        <f>_xlfn.XLOOKUP(Ocupacao_DW[[#This Row],[Concat]],Vagas!$H:$H,Vagas!$D:$D,"",0)</f>
        <v>0</v>
      </c>
    </row>
    <row r="4454" spans="1:8" x14ac:dyDescent="0.25">
      <c r="A4454" s="2">
        <v>44635</v>
      </c>
      <c r="B4454" s="1" t="s">
        <v>65</v>
      </c>
      <c r="C4454">
        <v>11652</v>
      </c>
      <c r="D4454" s="1" t="s">
        <v>242</v>
      </c>
      <c r="E4454" s="1" t="s">
        <v>4</v>
      </c>
      <c r="F4454">
        <v>47</v>
      </c>
      <c r="G4454" s="1" t="str">
        <f>Ocupacao_DW[[#This Row],[data]]&amp;Ocupacao_DW[[#This Row],[profissional_id]]&amp;Ocupacao_DW[[#This Row],[local_id]]</f>
        <v>446351165247</v>
      </c>
      <c r="H4454" s="1">
        <f>_xlfn.XLOOKUP(Ocupacao_DW[[#This Row],[Concat]],Vagas!$H:$H,Vagas!$D:$D,"",0)</f>
        <v>0</v>
      </c>
    </row>
    <row r="4455" spans="1:8" x14ac:dyDescent="0.25">
      <c r="A4455" s="2">
        <v>44644</v>
      </c>
      <c r="B4455" s="1" t="s">
        <v>52</v>
      </c>
      <c r="C4455">
        <v>10691</v>
      </c>
      <c r="D4455" s="1" t="s">
        <v>181</v>
      </c>
      <c r="E4455" s="1" t="s">
        <v>6</v>
      </c>
      <c r="F4455">
        <v>9</v>
      </c>
      <c r="G4455" s="1" t="str">
        <f>Ocupacao_DW[[#This Row],[data]]&amp;Ocupacao_DW[[#This Row],[profissional_id]]&amp;Ocupacao_DW[[#This Row],[local_id]]</f>
        <v>44644106919</v>
      </c>
      <c r="H4455" s="1">
        <f>_xlfn.XLOOKUP(Ocupacao_DW[[#This Row],[Concat]],Vagas!$H:$H,Vagas!$D:$D,"",0)</f>
        <v>0</v>
      </c>
    </row>
    <row r="4456" spans="1:8" x14ac:dyDescent="0.25">
      <c r="A4456" s="2">
        <v>44639</v>
      </c>
      <c r="B4456" s="1" t="s">
        <v>47</v>
      </c>
      <c r="C4456">
        <v>111</v>
      </c>
      <c r="D4456" s="1" t="s">
        <v>199</v>
      </c>
      <c r="E4456" s="1" t="s">
        <v>4</v>
      </c>
      <c r="F4456">
        <v>51</v>
      </c>
      <c r="G4456" s="1" t="str">
        <f>Ocupacao_DW[[#This Row],[data]]&amp;Ocupacao_DW[[#This Row],[profissional_id]]&amp;Ocupacao_DW[[#This Row],[local_id]]</f>
        <v>4463911151</v>
      </c>
      <c r="H4456" s="1">
        <f>_xlfn.XLOOKUP(Ocupacao_DW[[#This Row],[Concat]],Vagas!$H:$H,Vagas!$D:$D,"",0)</f>
        <v>0</v>
      </c>
    </row>
    <row r="4457" spans="1:8" x14ac:dyDescent="0.25">
      <c r="A4457" s="2">
        <v>44645</v>
      </c>
      <c r="B4457" s="1" t="s">
        <v>49</v>
      </c>
      <c r="C4457">
        <v>6430</v>
      </c>
      <c r="D4457" s="1" t="s">
        <v>188</v>
      </c>
      <c r="E4457" s="1" t="s">
        <v>4</v>
      </c>
      <c r="F4457">
        <v>42</v>
      </c>
      <c r="G4457" s="1" t="str">
        <f>Ocupacao_DW[[#This Row],[data]]&amp;Ocupacao_DW[[#This Row],[profissional_id]]&amp;Ocupacao_DW[[#This Row],[local_id]]</f>
        <v>44645643042</v>
      </c>
      <c r="H4457" s="1">
        <f>_xlfn.XLOOKUP(Ocupacao_DW[[#This Row],[Concat]],Vagas!$H:$H,Vagas!$D:$D,"",0)</f>
        <v>0</v>
      </c>
    </row>
    <row r="4458" spans="1:8" x14ac:dyDescent="0.25">
      <c r="A4458" s="2">
        <v>44635</v>
      </c>
      <c r="B4458" s="1"/>
      <c r="C4458">
        <v>0</v>
      </c>
      <c r="D4458" s="1"/>
      <c r="E4458" s="1" t="s">
        <v>4</v>
      </c>
      <c r="F4458">
        <v>40</v>
      </c>
      <c r="G4458" s="1" t="str">
        <f>Ocupacao_DW[[#This Row],[data]]&amp;Ocupacao_DW[[#This Row],[profissional_id]]&amp;Ocupacao_DW[[#This Row],[local_id]]</f>
        <v>44635040</v>
      </c>
      <c r="H4458" s="1" t="str">
        <f>_xlfn.XLOOKUP(Ocupacao_DW[[#This Row],[Concat]],Vagas!$H:$H,Vagas!$D:$D,"",0)</f>
        <v/>
      </c>
    </row>
    <row r="4459" spans="1:8" x14ac:dyDescent="0.25">
      <c r="A4459" s="2">
        <v>44638</v>
      </c>
      <c r="B4459" s="1" t="s">
        <v>52</v>
      </c>
      <c r="C4459">
        <v>10691</v>
      </c>
      <c r="D4459" s="1" t="s">
        <v>181</v>
      </c>
      <c r="E4459" s="1" t="s">
        <v>200</v>
      </c>
      <c r="F4459">
        <v>78</v>
      </c>
      <c r="G4459" s="1" t="str">
        <f>Ocupacao_DW[[#This Row],[data]]&amp;Ocupacao_DW[[#This Row],[profissional_id]]&amp;Ocupacao_DW[[#This Row],[local_id]]</f>
        <v>446381069178</v>
      </c>
      <c r="H4459" s="1">
        <f>_xlfn.XLOOKUP(Ocupacao_DW[[#This Row],[Concat]],Vagas!$H:$H,Vagas!$D:$D,"",0)</f>
        <v>0</v>
      </c>
    </row>
    <row r="4460" spans="1:8" x14ac:dyDescent="0.25">
      <c r="A4460" s="2">
        <v>44636</v>
      </c>
      <c r="B4460" s="1" t="s">
        <v>72</v>
      </c>
      <c r="C4460">
        <v>1794</v>
      </c>
      <c r="D4460" s="1" t="s">
        <v>235</v>
      </c>
      <c r="E4460" s="1" t="s">
        <v>4</v>
      </c>
      <c r="F4460">
        <v>49</v>
      </c>
      <c r="G4460" s="1" t="str">
        <f>Ocupacao_DW[[#This Row],[data]]&amp;Ocupacao_DW[[#This Row],[profissional_id]]&amp;Ocupacao_DW[[#This Row],[local_id]]</f>
        <v>44636179449</v>
      </c>
      <c r="H4460" s="1">
        <f>_xlfn.XLOOKUP(Ocupacao_DW[[#This Row],[Concat]],Vagas!$H:$H,Vagas!$D:$D,"",0)</f>
        <v>0</v>
      </c>
    </row>
    <row r="4461" spans="1:8" x14ac:dyDescent="0.25">
      <c r="A4461" s="2">
        <v>44642</v>
      </c>
      <c r="B4461" s="1" t="s">
        <v>47</v>
      </c>
      <c r="C4461">
        <v>9111</v>
      </c>
      <c r="D4461" s="1" t="s">
        <v>206</v>
      </c>
      <c r="E4461" s="1" t="s">
        <v>4</v>
      </c>
      <c r="F4461">
        <v>335</v>
      </c>
      <c r="G4461" s="1" t="str">
        <f>Ocupacao_DW[[#This Row],[data]]&amp;Ocupacao_DW[[#This Row],[profissional_id]]&amp;Ocupacao_DW[[#This Row],[local_id]]</f>
        <v>446429111335</v>
      </c>
      <c r="H4461" s="1">
        <f>_xlfn.XLOOKUP(Ocupacao_DW[[#This Row],[Concat]],Vagas!$H:$H,Vagas!$D:$D,"",0)</f>
        <v>0</v>
      </c>
    </row>
    <row r="4462" spans="1:8" x14ac:dyDescent="0.25">
      <c r="A4462" s="2">
        <v>44648</v>
      </c>
      <c r="B4462" s="1" t="s">
        <v>62</v>
      </c>
      <c r="C4462">
        <v>2567</v>
      </c>
      <c r="D4462" s="1" t="s">
        <v>198</v>
      </c>
      <c r="E4462" s="1" t="s">
        <v>5</v>
      </c>
      <c r="F4462">
        <v>18</v>
      </c>
      <c r="G4462" s="1" t="str">
        <f>Ocupacao_DW[[#This Row],[data]]&amp;Ocupacao_DW[[#This Row],[profissional_id]]&amp;Ocupacao_DW[[#This Row],[local_id]]</f>
        <v>44648256718</v>
      </c>
      <c r="H4462" s="1">
        <f>_xlfn.XLOOKUP(Ocupacao_DW[[#This Row],[Concat]],Vagas!$H:$H,Vagas!$D:$D,"",0)</f>
        <v>0</v>
      </c>
    </row>
    <row r="4463" spans="1:8" x14ac:dyDescent="0.25">
      <c r="A4463" s="2">
        <v>44644</v>
      </c>
      <c r="B4463" s="1" t="s">
        <v>51</v>
      </c>
      <c r="C4463">
        <v>12582</v>
      </c>
      <c r="D4463" s="1" t="s">
        <v>190</v>
      </c>
      <c r="E4463" s="1" t="s">
        <v>5</v>
      </c>
      <c r="F4463">
        <v>15</v>
      </c>
      <c r="G4463" s="1" t="str">
        <f>Ocupacao_DW[[#This Row],[data]]&amp;Ocupacao_DW[[#This Row],[profissional_id]]&amp;Ocupacao_DW[[#This Row],[local_id]]</f>
        <v>446441258215</v>
      </c>
      <c r="H4463" s="1">
        <f>_xlfn.XLOOKUP(Ocupacao_DW[[#This Row],[Concat]],Vagas!$H:$H,Vagas!$D:$D,"",0)</f>
        <v>0</v>
      </c>
    </row>
    <row r="4464" spans="1:8" x14ac:dyDescent="0.25">
      <c r="A4464" s="2">
        <v>44635</v>
      </c>
      <c r="B4464" s="1" t="s">
        <v>51</v>
      </c>
      <c r="C4464">
        <v>12582</v>
      </c>
      <c r="D4464" s="1" t="s">
        <v>190</v>
      </c>
      <c r="E4464" s="1" t="s">
        <v>7</v>
      </c>
      <c r="F4464">
        <v>62</v>
      </c>
      <c r="G4464" s="1" t="str">
        <f>Ocupacao_DW[[#This Row],[data]]&amp;Ocupacao_DW[[#This Row],[profissional_id]]&amp;Ocupacao_DW[[#This Row],[local_id]]</f>
        <v>446351258262</v>
      </c>
      <c r="H4464" s="1">
        <f>_xlfn.XLOOKUP(Ocupacao_DW[[#This Row],[Concat]],Vagas!$H:$H,Vagas!$D:$D,"",0)</f>
        <v>0</v>
      </c>
    </row>
    <row r="4465" spans="1:8" x14ac:dyDescent="0.25">
      <c r="A4465" s="2">
        <v>44635</v>
      </c>
      <c r="B4465" s="1" t="s">
        <v>50</v>
      </c>
      <c r="C4465">
        <v>4814</v>
      </c>
      <c r="D4465" s="1" t="s">
        <v>189</v>
      </c>
      <c r="E4465" s="1" t="s">
        <v>5</v>
      </c>
      <c r="F4465">
        <v>17</v>
      </c>
      <c r="G4465" s="1" t="str">
        <f>Ocupacao_DW[[#This Row],[data]]&amp;Ocupacao_DW[[#This Row],[profissional_id]]&amp;Ocupacao_DW[[#This Row],[local_id]]</f>
        <v>44635481417</v>
      </c>
      <c r="H4465" s="1">
        <f>_xlfn.XLOOKUP(Ocupacao_DW[[#This Row],[Concat]],Vagas!$H:$H,Vagas!$D:$D,"",0)</f>
        <v>0</v>
      </c>
    </row>
    <row r="4466" spans="1:8" x14ac:dyDescent="0.25">
      <c r="A4466" s="2">
        <v>44643</v>
      </c>
      <c r="B4466" s="1" t="s">
        <v>52</v>
      </c>
      <c r="C4466">
        <v>60</v>
      </c>
      <c r="D4466" s="1" t="s">
        <v>217</v>
      </c>
      <c r="E4466" s="1" t="s">
        <v>6</v>
      </c>
      <c r="F4466">
        <v>8</v>
      </c>
      <c r="G4466" s="1" t="str">
        <f>Ocupacao_DW[[#This Row],[data]]&amp;Ocupacao_DW[[#This Row],[profissional_id]]&amp;Ocupacao_DW[[#This Row],[local_id]]</f>
        <v>44643608</v>
      </c>
      <c r="H4466" s="1">
        <f>_xlfn.XLOOKUP(Ocupacao_DW[[#This Row],[Concat]],Vagas!$H:$H,Vagas!$D:$D,"",0)</f>
        <v>0</v>
      </c>
    </row>
    <row r="4467" spans="1:8" x14ac:dyDescent="0.25">
      <c r="A4467" s="2">
        <v>44635</v>
      </c>
      <c r="B4467" s="1" t="s">
        <v>20</v>
      </c>
      <c r="C4467">
        <v>174</v>
      </c>
      <c r="D4467" s="1" t="s">
        <v>230</v>
      </c>
      <c r="E4467" s="1" t="s">
        <v>167</v>
      </c>
      <c r="F4467">
        <v>24</v>
      </c>
      <c r="G4467" s="1" t="str">
        <f>Ocupacao_DW[[#This Row],[data]]&amp;Ocupacao_DW[[#This Row],[profissional_id]]&amp;Ocupacao_DW[[#This Row],[local_id]]</f>
        <v>4463517424</v>
      </c>
      <c r="H4467" s="1">
        <f>_xlfn.XLOOKUP(Ocupacao_DW[[#This Row],[Concat]],Vagas!$H:$H,Vagas!$D:$D,"",0)</f>
        <v>66</v>
      </c>
    </row>
    <row r="4468" spans="1:8" x14ac:dyDescent="0.25">
      <c r="A4468" s="2">
        <v>44651</v>
      </c>
      <c r="B4468" s="1" t="s">
        <v>55</v>
      </c>
      <c r="C4468">
        <v>74</v>
      </c>
      <c r="D4468" s="1" t="s">
        <v>182</v>
      </c>
      <c r="E4468" s="1" t="s">
        <v>6</v>
      </c>
      <c r="F4468">
        <v>7</v>
      </c>
      <c r="G4468" s="1" t="str">
        <f>Ocupacao_DW[[#This Row],[data]]&amp;Ocupacao_DW[[#This Row],[profissional_id]]&amp;Ocupacao_DW[[#This Row],[local_id]]</f>
        <v>44651747</v>
      </c>
      <c r="H4468" s="1">
        <f>_xlfn.XLOOKUP(Ocupacao_DW[[#This Row],[Concat]],Vagas!$H:$H,Vagas!$D:$D,"",0)</f>
        <v>0</v>
      </c>
    </row>
    <row r="4469" spans="1:8" x14ac:dyDescent="0.25">
      <c r="A4469" s="2">
        <v>44643</v>
      </c>
      <c r="B4469" s="1" t="s">
        <v>52</v>
      </c>
      <c r="C4469">
        <v>10691</v>
      </c>
      <c r="D4469" s="1" t="s">
        <v>181</v>
      </c>
      <c r="E4469" s="1" t="s">
        <v>6</v>
      </c>
      <c r="F4469">
        <v>9</v>
      </c>
      <c r="G4469" s="1" t="str">
        <f>Ocupacao_DW[[#This Row],[data]]&amp;Ocupacao_DW[[#This Row],[profissional_id]]&amp;Ocupacao_DW[[#This Row],[local_id]]</f>
        <v>44643106919</v>
      </c>
      <c r="H4469" s="1">
        <f>_xlfn.XLOOKUP(Ocupacao_DW[[#This Row],[Concat]],Vagas!$H:$H,Vagas!$D:$D,"",0)</f>
        <v>0</v>
      </c>
    </row>
    <row r="4470" spans="1:8" x14ac:dyDescent="0.25">
      <c r="A4470" s="2">
        <v>44635</v>
      </c>
      <c r="B4470" s="1" t="s">
        <v>64</v>
      </c>
      <c r="C4470">
        <v>85</v>
      </c>
      <c r="D4470" s="1" t="s">
        <v>211</v>
      </c>
      <c r="E4470" s="1" t="s">
        <v>5</v>
      </c>
      <c r="F4470">
        <v>349</v>
      </c>
      <c r="G4470" s="1" t="str">
        <f>Ocupacao_DW[[#This Row],[data]]&amp;Ocupacao_DW[[#This Row],[profissional_id]]&amp;Ocupacao_DW[[#This Row],[local_id]]</f>
        <v>4463585349</v>
      </c>
      <c r="H4470" s="1">
        <f>_xlfn.XLOOKUP(Ocupacao_DW[[#This Row],[Concat]],Vagas!$H:$H,Vagas!$D:$D,"",0)</f>
        <v>0</v>
      </c>
    </row>
    <row r="4471" spans="1:8" x14ac:dyDescent="0.25">
      <c r="A4471" s="2">
        <v>44638</v>
      </c>
      <c r="B4471" s="1" t="s">
        <v>72</v>
      </c>
      <c r="C4471">
        <v>1794</v>
      </c>
      <c r="D4471" s="1" t="s">
        <v>235</v>
      </c>
      <c r="E4471" s="1" t="s">
        <v>4</v>
      </c>
      <c r="F4471">
        <v>46</v>
      </c>
      <c r="G4471" s="1" t="str">
        <f>Ocupacao_DW[[#This Row],[data]]&amp;Ocupacao_DW[[#This Row],[profissional_id]]&amp;Ocupacao_DW[[#This Row],[local_id]]</f>
        <v>44638179446</v>
      </c>
      <c r="H4471" s="1">
        <f>_xlfn.XLOOKUP(Ocupacao_DW[[#This Row],[Concat]],Vagas!$H:$H,Vagas!$D:$D,"",0)</f>
        <v>0</v>
      </c>
    </row>
    <row r="4472" spans="1:8" x14ac:dyDescent="0.25">
      <c r="A4472" s="2">
        <v>44635</v>
      </c>
      <c r="B4472" s="1" t="s">
        <v>49</v>
      </c>
      <c r="C4472">
        <v>81</v>
      </c>
      <c r="D4472" s="1" t="s">
        <v>170</v>
      </c>
      <c r="E4472" s="1" t="s">
        <v>4</v>
      </c>
      <c r="F4472">
        <v>41</v>
      </c>
      <c r="G4472" s="1" t="str">
        <f>Ocupacao_DW[[#This Row],[data]]&amp;Ocupacao_DW[[#This Row],[profissional_id]]&amp;Ocupacao_DW[[#This Row],[local_id]]</f>
        <v>446358141</v>
      </c>
      <c r="H4472" s="1">
        <f>_xlfn.XLOOKUP(Ocupacao_DW[[#This Row],[Concat]],Vagas!$H:$H,Vagas!$D:$D,"",0)</f>
        <v>0</v>
      </c>
    </row>
    <row r="4473" spans="1:8" x14ac:dyDescent="0.25">
      <c r="A4473" s="2">
        <v>44641</v>
      </c>
      <c r="B4473" s="1" t="s">
        <v>60</v>
      </c>
      <c r="C4473">
        <v>117</v>
      </c>
      <c r="D4473" s="1" t="s">
        <v>180</v>
      </c>
      <c r="E4473" s="1" t="s">
        <v>4</v>
      </c>
      <c r="F4473">
        <v>48</v>
      </c>
      <c r="G4473" s="1" t="str">
        <f>Ocupacao_DW[[#This Row],[data]]&amp;Ocupacao_DW[[#This Row],[profissional_id]]&amp;Ocupacao_DW[[#This Row],[local_id]]</f>
        <v>4464111748</v>
      </c>
      <c r="H4473" s="1">
        <f>_xlfn.XLOOKUP(Ocupacao_DW[[#This Row],[Concat]],Vagas!$H:$H,Vagas!$D:$D,"",0)</f>
        <v>0</v>
      </c>
    </row>
    <row r="4474" spans="1:8" x14ac:dyDescent="0.25">
      <c r="A4474" s="2">
        <v>44635</v>
      </c>
      <c r="B4474" s="1" t="s">
        <v>70</v>
      </c>
      <c r="C4474">
        <v>12825</v>
      </c>
      <c r="D4474" s="1" t="s">
        <v>177</v>
      </c>
      <c r="E4474" s="1" t="s">
        <v>7</v>
      </c>
      <c r="F4474">
        <v>63</v>
      </c>
      <c r="G4474" s="1" t="str">
        <f>Ocupacao_DW[[#This Row],[data]]&amp;Ocupacao_DW[[#This Row],[profissional_id]]&amp;Ocupacao_DW[[#This Row],[local_id]]</f>
        <v>446351282563</v>
      </c>
      <c r="H4474" s="1">
        <f>_xlfn.XLOOKUP(Ocupacao_DW[[#This Row],[Concat]],Vagas!$H:$H,Vagas!$D:$D,"",0)</f>
        <v>0</v>
      </c>
    </row>
    <row r="4475" spans="1:8" x14ac:dyDescent="0.25">
      <c r="A4475" s="2">
        <v>44638</v>
      </c>
      <c r="B4475" s="1" t="s">
        <v>54</v>
      </c>
      <c r="C4475">
        <v>69</v>
      </c>
      <c r="D4475" s="1" t="s">
        <v>238</v>
      </c>
      <c r="E4475" s="1" t="s">
        <v>5</v>
      </c>
      <c r="F4475">
        <v>13</v>
      </c>
      <c r="G4475" s="1" t="str">
        <f>Ocupacao_DW[[#This Row],[data]]&amp;Ocupacao_DW[[#This Row],[profissional_id]]&amp;Ocupacao_DW[[#This Row],[local_id]]</f>
        <v>446386913</v>
      </c>
      <c r="H4475" s="1">
        <f>_xlfn.XLOOKUP(Ocupacao_DW[[#This Row],[Concat]],Vagas!$H:$H,Vagas!$D:$D,"",0)</f>
        <v>0</v>
      </c>
    </row>
    <row r="4476" spans="1:8" x14ac:dyDescent="0.25">
      <c r="A4476" s="2">
        <v>44638</v>
      </c>
      <c r="B4476" s="1" t="s">
        <v>54</v>
      </c>
      <c r="C4476">
        <v>69</v>
      </c>
      <c r="D4476" s="1" t="s">
        <v>238</v>
      </c>
      <c r="E4476" s="1" t="s">
        <v>5</v>
      </c>
      <c r="F4476">
        <v>13</v>
      </c>
      <c r="G4476" s="1" t="str">
        <f>Ocupacao_DW[[#This Row],[data]]&amp;Ocupacao_DW[[#This Row],[profissional_id]]&amp;Ocupacao_DW[[#This Row],[local_id]]</f>
        <v>446386913</v>
      </c>
      <c r="H4476" s="1">
        <f>_xlfn.XLOOKUP(Ocupacao_DW[[#This Row],[Concat]],Vagas!$H:$H,Vagas!$D:$D,"",0)</f>
        <v>0</v>
      </c>
    </row>
    <row r="4477" spans="1:8" x14ac:dyDescent="0.25">
      <c r="A4477" s="2">
        <v>44636</v>
      </c>
      <c r="B4477" s="1" t="s">
        <v>56</v>
      </c>
      <c r="C4477">
        <v>5927</v>
      </c>
      <c r="D4477" s="1" t="s">
        <v>226</v>
      </c>
      <c r="E4477" s="1" t="s">
        <v>5</v>
      </c>
      <c r="F4477">
        <v>17</v>
      </c>
      <c r="G4477" s="1" t="str">
        <f>Ocupacao_DW[[#This Row],[data]]&amp;Ocupacao_DW[[#This Row],[profissional_id]]&amp;Ocupacao_DW[[#This Row],[local_id]]</f>
        <v>44636592717</v>
      </c>
      <c r="H4477" s="1">
        <f>_xlfn.XLOOKUP(Ocupacao_DW[[#This Row],[Concat]],Vagas!$H:$H,Vagas!$D:$D,"",0)</f>
        <v>0</v>
      </c>
    </row>
    <row r="4478" spans="1:8" x14ac:dyDescent="0.25">
      <c r="A4478" s="2">
        <v>44636</v>
      </c>
      <c r="B4478" s="1" t="s">
        <v>47</v>
      </c>
      <c r="C4478">
        <v>111</v>
      </c>
      <c r="D4478" s="1" t="s">
        <v>199</v>
      </c>
      <c r="E4478" s="1" t="s">
        <v>4</v>
      </c>
      <c r="F4478">
        <v>51</v>
      </c>
      <c r="G4478" s="1" t="str">
        <f>Ocupacao_DW[[#This Row],[data]]&amp;Ocupacao_DW[[#This Row],[profissional_id]]&amp;Ocupacao_DW[[#This Row],[local_id]]</f>
        <v>4463611151</v>
      </c>
      <c r="H4478" s="1">
        <f>_xlfn.XLOOKUP(Ocupacao_DW[[#This Row],[Concat]],Vagas!$H:$H,Vagas!$D:$D,"",0)</f>
        <v>1</v>
      </c>
    </row>
    <row r="4479" spans="1:8" x14ac:dyDescent="0.25">
      <c r="A4479" s="2">
        <v>44636</v>
      </c>
      <c r="B4479" s="1" t="s">
        <v>62</v>
      </c>
      <c r="C4479">
        <v>2567</v>
      </c>
      <c r="D4479" s="1" t="s">
        <v>198</v>
      </c>
      <c r="E4479" s="1" t="s">
        <v>5</v>
      </c>
      <c r="F4479">
        <v>349</v>
      </c>
      <c r="G4479" s="1" t="str">
        <f>Ocupacao_DW[[#This Row],[data]]&amp;Ocupacao_DW[[#This Row],[profissional_id]]&amp;Ocupacao_DW[[#This Row],[local_id]]</f>
        <v>446362567349</v>
      </c>
      <c r="H4479" s="1">
        <f>_xlfn.XLOOKUP(Ocupacao_DW[[#This Row],[Concat]],Vagas!$H:$H,Vagas!$D:$D,"",0)</f>
        <v>0</v>
      </c>
    </row>
    <row r="4480" spans="1:8" x14ac:dyDescent="0.25">
      <c r="A4480" s="2">
        <v>44637</v>
      </c>
      <c r="B4480" s="1" t="s">
        <v>67</v>
      </c>
      <c r="C4480">
        <v>10717</v>
      </c>
      <c r="D4480" s="1" t="s">
        <v>245</v>
      </c>
      <c r="E4480" s="1" t="s">
        <v>200</v>
      </c>
      <c r="F4480">
        <v>78</v>
      </c>
      <c r="G4480" s="1" t="str">
        <f>Ocupacao_DW[[#This Row],[data]]&amp;Ocupacao_DW[[#This Row],[profissional_id]]&amp;Ocupacao_DW[[#This Row],[local_id]]</f>
        <v>446371071778</v>
      </c>
      <c r="H4480" s="1">
        <f>_xlfn.XLOOKUP(Ocupacao_DW[[#This Row],[Concat]],Vagas!$H:$H,Vagas!$D:$D,"",0)</f>
        <v>0</v>
      </c>
    </row>
    <row r="4481" spans="1:8" x14ac:dyDescent="0.25">
      <c r="A4481" s="2">
        <v>44636</v>
      </c>
      <c r="B4481" s="1" t="s">
        <v>72</v>
      </c>
      <c r="C4481">
        <v>6046</v>
      </c>
      <c r="D4481" s="1" t="s">
        <v>222</v>
      </c>
      <c r="E4481" s="1" t="s">
        <v>167</v>
      </c>
      <c r="F4481">
        <v>344</v>
      </c>
      <c r="G4481" s="1" t="str">
        <f>Ocupacao_DW[[#This Row],[data]]&amp;Ocupacao_DW[[#This Row],[profissional_id]]&amp;Ocupacao_DW[[#This Row],[local_id]]</f>
        <v>446366046344</v>
      </c>
      <c r="H4481" s="1">
        <f>_xlfn.XLOOKUP(Ocupacao_DW[[#This Row],[Concat]],Vagas!$H:$H,Vagas!$D:$D,"",0)</f>
        <v>0</v>
      </c>
    </row>
    <row r="4482" spans="1:8" x14ac:dyDescent="0.25">
      <c r="A4482" s="2">
        <v>44644</v>
      </c>
      <c r="B4482" s="1" t="s">
        <v>55</v>
      </c>
      <c r="C4482">
        <v>8598</v>
      </c>
      <c r="D4482" s="1" t="s">
        <v>228</v>
      </c>
      <c r="E4482" s="1" t="s">
        <v>6</v>
      </c>
      <c r="F4482">
        <v>3</v>
      </c>
      <c r="G4482" s="1" t="str">
        <f>Ocupacao_DW[[#This Row],[data]]&amp;Ocupacao_DW[[#This Row],[profissional_id]]&amp;Ocupacao_DW[[#This Row],[local_id]]</f>
        <v>4464485983</v>
      </c>
      <c r="H4482" s="1">
        <f>_xlfn.XLOOKUP(Ocupacao_DW[[#This Row],[Concat]],Vagas!$H:$H,Vagas!$D:$D,"",0)</f>
        <v>0</v>
      </c>
    </row>
    <row r="4483" spans="1:8" x14ac:dyDescent="0.25">
      <c r="A4483" s="2">
        <v>44649</v>
      </c>
      <c r="B4483" s="1" t="s">
        <v>50</v>
      </c>
      <c r="C4483">
        <v>4814</v>
      </c>
      <c r="D4483" s="1" t="s">
        <v>189</v>
      </c>
      <c r="E4483" s="1" t="s">
        <v>5</v>
      </c>
      <c r="F4483">
        <v>17</v>
      </c>
      <c r="G4483" s="1" t="str">
        <f>Ocupacao_DW[[#This Row],[data]]&amp;Ocupacao_DW[[#This Row],[profissional_id]]&amp;Ocupacao_DW[[#This Row],[local_id]]</f>
        <v>44649481417</v>
      </c>
      <c r="H4483" s="1">
        <f>_xlfn.XLOOKUP(Ocupacao_DW[[#This Row],[Concat]],Vagas!$H:$H,Vagas!$D:$D,"",0)</f>
        <v>0</v>
      </c>
    </row>
    <row r="4484" spans="1:8" x14ac:dyDescent="0.25">
      <c r="A4484" s="2">
        <v>44635</v>
      </c>
      <c r="B4484" s="1" t="s">
        <v>70</v>
      </c>
      <c r="C4484">
        <v>12825</v>
      </c>
      <c r="D4484" s="1" t="s">
        <v>177</v>
      </c>
      <c r="E4484" s="1" t="s">
        <v>7</v>
      </c>
      <c r="F4484">
        <v>63</v>
      </c>
      <c r="G4484" s="1" t="str">
        <f>Ocupacao_DW[[#This Row],[data]]&amp;Ocupacao_DW[[#This Row],[profissional_id]]&amp;Ocupacao_DW[[#This Row],[local_id]]</f>
        <v>446351282563</v>
      </c>
      <c r="H4484" s="1">
        <f>_xlfn.XLOOKUP(Ocupacao_DW[[#This Row],[Concat]],Vagas!$H:$H,Vagas!$D:$D,"",0)</f>
        <v>0</v>
      </c>
    </row>
    <row r="4485" spans="1:8" x14ac:dyDescent="0.25">
      <c r="A4485" s="2">
        <v>44649</v>
      </c>
      <c r="B4485" s="1"/>
      <c r="C4485">
        <v>0</v>
      </c>
      <c r="D4485" s="1"/>
      <c r="E4485" s="1" t="s">
        <v>4</v>
      </c>
      <c r="F4485">
        <v>40</v>
      </c>
      <c r="G4485" s="1" t="str">
        <f>Ocupacao_DW[[#This Row],[data]]&amp;Ocupacao_DW[[#This Row],[profissional_id]]&amp;Ocupacao_DW[[#This Row],[local_id]]</f>
        <v>44649040</v>
      </c>
      <c r="H4485" s="1" t="str">
        <f>_xlfn.XLOOKUP(Ocupacao_DW[[#This Row],[Concat]],Vagas!$H:$H,Vagas!$D:$D,"",0)</f>
        <v/>
      </c>
    </row>
    <row r="4486" spans="1:8" x14ac:dyDescent="0.25">
      <c r="A4486" s="2">
        <v>44636</v>
      </c>
      <c r="B4486" s="1"/>
      <c r="C4486">
        <v>17888</v>
      </c>
      <c r="D4486" s="1" t="s">
        <v>255</v>
      </c>
      <c r="E4486" s="1" t="s">
        <v>4</v>
      </c>
      <c r="F4486">
        <v>40</v>
      </c>
      <c r="G4486" s="1" t="str">
        <f>Ocupacao_DW[[#This Row],[data]]&amp;Ocupacao_DW[[#This Row],[profissional_id]]&amp;Ocupacao_DW[[#This Row],[local_id]]</f>
        <v>446361788840</v>
      </c>
      <c r="H4486" s="1">
        <f>_xlfn.XLOOKUP(Ocupacao_DW[[#This Row],[Concat]],Vagas!$H:$H,Vagas!$D:$D,"",0)</f>
        <v>17</v>
      </c>
    </row>
    <row r="4487" spans="1:8" x14ac:dyDescent="0.25">
      <c r="A4487" s="2">
        <v>44641</v>
      </c>
      <c r="B4487" s="1" t="s">
        <v>60</v>
      </c>
      <c r="C4487">
        <v>117</v>
      </c>
      <c r="D4487" s="1" t="s">
        <v>180</v>
      </c>
      <c r="E4487" s="1" t="s">
        <v>4</v>
      </c>
      <c r="F4487">
        <v>48</v>
      </c>
      <c r="G4487" s="1" t="str">
        <f>Ocupacao_DW[[#This Row],[data]]&amp;Ocupacao_DW[[#This Row],[profissional_id]]&amp;Ocupacao_DW[[#This Row],[local_id]]</f>
        <v>4464111748</v>
      </c>
      <c r="H4487" s="1">
        <f>_xlfn.XLOOKUP(Ocupacao_DW[[#This Row],[Concat]],Vagas!$H:$H,Vagas!$D:$D,"",0)</f>
        <v>0</v>
      </c>
    </row>
    <row r="4488" spans="1:8" x14ac:dyDescent="0.25">
      <c r="A4488" s="2">
        <v>44638</v>
      </c>
      <c r="B4488" s="1" t="s">
        <v>49</v>
      </c>
      <c r="C4488">
        <v>81</v>
      </c>
      <c r="D4488" s="1" t="s">
        <v>170</v>
      </c>
      <c r="E4488" s="1" t="s">
        <v>4</v>
      </c>
      <c r="F4488">
        <v>41</v>
      </c>
      <c r="G4488" s="1" t="str">
        <f>Ocupacao_DW[[#This Row],[data]]&amp;Ocupacao_DW[[#This Row],[profissional_id]]&amp;Ocupacao_DW[[#This Row],[local_id]]</f>
        <v>446388141</v>
      </c>
      <c r="H4488" s="1">
        <f>_xlfn.XLOOKUP(Ocupacao_DW[[#This Row],[Concat]],Vagas!$H:$H,Vagas!$D:$D,"",0)</f>
        <v>0</v>
      </c>
    </row>
    <row r="4489" spans="1:8" x14ac:dyDescent="0.25">
      <c r="A4489" s="2">
        <v>44641</v>
      </c>
      <c r="B4489" s="1" t="s">
        <v>56</v>
      </c>
      <c r="C4489">
        <v>75</v>
      </c>
      <c r="D4489" s="1" t="s">
        <v>208</v>
      </c>
      <c r="E4489" s="1" t="s">
        <v>5</v>
      </c>
      <c r="F4489">
        <v>15</v>
      </c>
      <c r="G4489" s="1" t="str">
        <f>Ocupacao_DW[[#This Row],[data]]&amp;Ocupacao_DW[[#This Row],[profissional_id]]&amp;Ocupacao_DW[[#This Row],[local_id]]</f>
        <v>446417515</v>
      </c>
      <c r="H4489" s="1">
        <f>_xlfn.XLOOKUP(Ocupacao_DW[[#This Row],[Concat]],Vagas!$H:$H,Vagas!$D:$D,"",0)</f>
        <v>0</v>
      </c>
    </row>
    <row r="4490" spans="1:8" x14ac:dyDescent="0.25">
      <c r="A4490" s="2">
        <v>44636</v>
      </c>
      <c r="B4490" s="1" t="s">
        <v>43</v>
      </c>
      <c r="C4490">
        <v>57</v>
      </c>
      <c r="D4490" s="1" t="s">
        <v>169</v>
      </c>
      <c r="E4490" s="1" t="s">
        <v>6</v>
      </c>
      <c r="F4490">
        <v>2</v>
      </c>
      <c r="G4490" s="1" t="str">
        <f>Ocupacao_DW[[#This Row],[data]]&amp;Ocupacao_DW[[#This Row],[profissional_id]]&amp;Ocupacao_DW[[#This Row],[local_id]]</f>
        <v>44636572</v>
      </c>
      <c r="H4490" s="1">
        <f>_xlfn.XLOOKUP(Ocupacao_DW[[#This Row],[Concat]],Vagas!$H:$H,Vagas!$D:$D,"",0)</f>
        <v>2</v>
      </c>
    </row>
    <row r="4491" spans="1:8" x14ac:dyDescent="0.25">
      <c r="A4491" s="2">
        <v>44646</v>
      </c>
      <c r="B4491" s="1" t="s">
        <v>55</v>
      </c>
      <c r="C4491">
        <v>17879</v>
      </c>
      <c r="D4491" s="1" t="s">
        <v>233</v>
      </c>
      <c r="E4491" s="1" t="s">
        <v>6</v>
      </c>
      <c r="F4491">
        <v>3</v>
      </c>
      <c r="G4491" s="1" t="str">
        <f>Ocupacao_DW[[#This Row],[data]]&amp;Ocupacao_DW[[#This Row],[profissional_id]]&amp;Ocupacao_DW[[#This Row],[local_id]]</f>
        <v>44646178793</v>
      </c>
      <c r="H4491" s="1">
        <f>_xlfn.XLOOKUP(Ocupacao_DW[[#This Row],[Concat]],Vagas!$H:$H,Vagas!$D:$D,"",0)</f>
        <v>0</v>
      </c>
    </row>
    <row r="4492" spans="1:8" x14ac:dyDescent="0.25">
      <c r="A4492" s="2">
        <v>44643</v>
      </c>
      <c r="B4492" s="1" t="s">
        <v>24</v>
      </c>
      <c r="C4492">
        <v>13061</v>
      </c>
      <c r="D4492" s="1" t="s">
        <v>232</v>
      </c>
      <c r="E4492" s="1" t="s">
        <v>6</v>
      </c>
      <c r="F4492">
        <v>3</v>
      </c>
      <c r="G4492" s="1" t="str">
        <f>Ocupacao_DW[[#This Row],[data]]&amp;Ocupacao_DW[[#This Row],[profissional_id]]&amp;Ocupacao_DW[[#This Row],[local_id]]</f>
        <v>44643130613</v>
      </c>
      <c r="H4492" s="1">
        <f>_xlfn.XLOOKUP(Ocupacao_DW[[#This Row],[Concat]],Vagas!$H:$H,Vagas!$D:$D,"",0)</f>
        <v>0</v>
      </c>
    </row>
    <row r="4493" spans="1:8" x14ac:dyDescent="0.25">
      <c r="A4493" s="2">
        <v>44641</v>
      </c>
      <c r="B4493" s="1" t="s">
        <v>52</v>
      </c>
      <c r="C4493">
        <v>10691</v>
      </c>
      <c r="D4493" s="1" t="s">
        <v>181</v>
      </c>
      <c r="E4493" s="1" t="s">
        <v>6</v>
      </c>
      <c r="F4493">
        <v>9</v>
      </c>
      <c r="G4493" s="1" t="str">
        <f>Ocupacao_DW[[#This Row],[data]]&amp;Ocupacao_DW[[#This Row],[profissional_id]]&amp;Ocupacao_DW[[#This Row],[local_id]]</f>
        <v>44641106919</v>
      </c>
      <c r="H4493" s="1">
        <f>_xlfn.XLOOKUP(Ocupacao_DW[[#This Row],[Concat]],Vagas!$H:$H,Vagas!$D:$D,"",0)</f>
        <v>0</v>
      </c>
    </row>
    <row r="4494" spans="1:8" x14ac:dyDescent="0.25">
      <c r="A4494" s="2">
        <v>44636</v>
      </c>
      <c r="B4494" s="1" t="s">
        <v>47</v>
      </c>
      <c r="C4494">
        <v>111</v>
      </c>
      <c r="D4494" s="1" t="s">
        <v>199</v>
      </c>
      <c r="E4494" s="1" t="s">
        <v>4</v>
      </c>
      <c r="F4494">
        <v>51</v>
      </c>
      <c r="G4494" s="1" t="str">
        <f>Ocupacao_DW[[#This Row],[data]]&amp;Ocupacao_DW[[#This Row],[profissional_id]]&amp;Ocupacao_DW[[#This Row],[local_id]]</f>
        <v>4463611151</v>
      </c>
      <c r="H4494" s="1">
        <f>_xlfn.XLOOKUP(Ocupacao_DW[[#This Row],[Concat]],Vagas!$H:$H,Vagas!$D:$D,"",0)</f>
        <v>1</v>
      </c>
    </row>
    <row r="4495" spans="1:8" x14ac:dyDescent="0.25">
      <c r="A4495" s="2">
        <v>44644</v>
      </c>
      <c r="B4495" s="1" t="s">
        <v>55</v>
      </c>
      <c r="C4495">
        <v>8598</v>
      </c>
      <c r="D4495" s="1" t="s">
        <v>228</v>
      </c>
      <c r="E4495" s="1" t="s">
        <v>6</v>
      </c>
      <c r="F4495">
        <v>3</v>
      </c>
      <c r="G4495" s="1" t="str">
        <f>Ocupacao_DW[[#This Row],[data]]&amp;Ocupacao_DW[[#This Row],[profissional_id]]&amp;Ocupacao_DW[[#This Row],[local_id]]</f>
        <v>4464485983</v>
      </c>
      <c r="H4495" s="1">
        <f>_xlfn.XLOOKUP(Ocupacao_DW[[#This Row],[Concat]],Vagas!$H:$H,Vagas!$D:$D,"",0)</f>
        <v>0</v>
      </c>
    </row>
    <row r="4496" spans="1:8" x14ac:dyDescent="0.25">
      <c r="A4496" s="2">
        <v>44636</v>
      </c>
      <c r="B4496" s="1" t="s">
        <v>49</v>
      </c>
      <c r="C4496">
        <v>81</v>
      </c>
      <c r="D4496" s="1" t="s">
        <v>170</v>
      </c>
      <c r="E4496" s="1" t="s">
        <v>4</v>
      </c>
      <c r="F4496">
        <v>41</v>
      </c>
      <c r="G4496" s="1" t="str">
        <f>Ocupacao_DW[[#This Row],[data]]&amp;Ocupacao_DW[[#This Row],[profissional_id]]&amp;Ocupacao_DW[[#This Row],[local_id]]</f>
        <v>446368141</v>
      </c>
      <c r="H4496" s="1">
        <f>_xlfn.XLOOKUP(Ocupacao_DW[[#This Row],[Concat]],Vagas!$H:$H,Vagas!$D:$D,"",0)</f>
        <v>0</v>
      </c>
    </row>
    <row r="4497" spans="1:8" x14ac:dyDescent="0.25">
      <c r="A4497" s="2">
        <v>44636</v>
      </c>
      <c r="B4497" s="1" t="s">
        <v>64</v>
      </c>
      <c r="C4497">
        <v>86</v>
      </c>
      <c r="D4497" s="1" t="s">
        <v>175</v>
      </c>
      <c r="E4497" s="1" t="s">
        <v>7</v>
      </c>
      <c r="F4497">
        <v>66</v>
      </c>
      <c r="G4497" s="1" t="str">
        <f>Ocupacao_DW[[#This Row],[data]]&amp;Ocupacao_DW[[#This Row],[profissional_id]]&amp;Ocupacao_DW[[#This Row],[local_id]]</f>
        <v>446368666</v>
      </c>
      <c r="H4497" s="1">
        <f>_xlfn.XLOOKUP(Ocupacao_DW[[#This Row],[Concat]],Vagas!$H:$H,Vagas!$D:$D,"",0)</f>
        <v>0</v>
      </c>
    </row>
    <row r="4498" spans="1:8" x14ac:dyDescent="0.25">
      <c r="A4498" s="2">
        <v>44643</v>
      </c>
      <c r="B4498" s="1" t="s">
        <v>70</v>
      </c>
      <c r="C4498">
        <v>12825</v>
      </c>
      <c r="D4498" s="1" t="s">
        <v>177</v>
      </c>
      <c r="E4498" s="1" t="s">
        <v>4</v>
      </c>
      <c r="F4498">
        <v>45</v>
      </c>
      <c r="G4498" s="1" t="str">
        <f>Ocupacao_DW[[#This Row],[data]]&amp;Ocupacao_DW[[#This Row],[profissional_id]]&amp;Ocupacao_DW[[#This Row],[local_id]]</f>
        <v>446431282545</v>
      </c>
      <c r="H4498" s="1">
        <f>_xlfn.XLOOKUP(Ocupacao_DW[[#This Row],[Concat]],Vagas!$H:$H,Vagas!$D:$D,"",0)</f>
        <v>0</v>
      </c>
    </row>
    <row r="4499" spans="1:8" x14ac:dyDescent="0.25">
      <c r="A4499" s="2">
        <v>44636</v>
      </c>
      <c r="B4499" s="1" t="s">
        <v>57</v>
      </c>
      <c r="C4499">
        <v>80</v>
      </c>
      <c r="D4499" s="1" t="s">
        <v>179</v>
      </c>
      <c r="E4499" s="1" t="s">
        <v>167</v>
      </c>
      <c r="F4499">
        <v>346</v>
      </c>
      <c r="G4499" s="1" t="str">
        <f>Ocupacao_DW[[#This Row],[data]]&amp;Ocupacao_DW[[#This Row],[profissional_id]]&amp;Ocupacao_DW[[#This Row],[local_id]]</f>
        <v>4463680346</v>
      </c>
      <c r="H4499" s="1">
        <f>_xlfn.XLOOKUP(Ocupacao_DW[[#This Row],[Concat]],Vagas!$H:$H,Vagas!$D:$D,"",0)</f>
        <v>0</v>
      </c>
    </row>
    <row r="4500" spans="1:8" x14ac:dyDescent="0.25">
      <c r="A4500" s="2">
        <v>44635</v>
      </c>
      <c r="B4500" s="1" t="s">
        <v>71</v>
      </c>
      <c r="C4500">
        <v>282</v>
      </c>
      <c r="D4500" s="1" t="s">
        <v>210</v>
      </c>
      <c r="E4500" s="1" t="s">
        <v>4</v>
      </c>
      <c r="F4500">
        <v>48</v>
      </c>
      <c r="G4500" s="1" t="str">
        <f>Ocupacao_DW[[#This Row],[data]]&amp;Ocupacao_DW[[#This Row],[profissional_id]]&amp;Ocupacao_DW[[#This Row],[local_id]]</f>
        <v>4463528248</v>
      </c>
      <c r="H4500" s="1">
        <f>_xlfn.XLOOKUP(Ocupacao_DW[[#This Row],[Concat]],Vagas!$H:$H,Vagas!$D:$D,"",0)</f>
        <v>0</v>
      </c>
    </row>
    <row r="4501" spans="1:8" x14ac:dyDescent="0.25">
      <c r="A4501" s="2">
        <v>44636</v>
      </c>
      <c r="B4501" s="1" t="s">
        <v>47</v>
      </c>
      <c r="C4501">
        <v>111</v>
      </c>
      <c r="D4501" s="1" t="s">
        <v>199</v>
      </c>
      <c r="E4501" s="1" t="s">
        <v>4</v>
      </c>
      <c r="F4501">
        <v>51</v>
      </c>
      <c r="G4501" s="1" t="str">
        <f>Ocupacao_DW[[#This Row],[data]]&amp;Ocupacao_DW[[#This Row],[profissional_id]]&amp;Ocupacao_DW[[#This Row],[local_id]]</f>
        <v>4463611151</v>
      </c>
      <c r="H4501" s="1">
        <f>_xlfn.XLOOKUP(Ocupacao_DW[[#This Row],[Concat]],Vagas!$H:$H,Vagas!$D:$D,"",0)</f>
        <v>1</v>
      </c>
    </row>
    <row r="4502" spans="1:8" x14ac:dyDescent="0.25">
      <c r="A4502" s="2">
        <v>44639</v>
      </c>
      <c r="B4502" s="1" t="s">
        <v>47</v>
      </c>
      <c r="C4502">
        <v>111</v>
      </c>
      <c r="D4502" s="1" t="s">
        <v>199</v>
      </c>
      <c r="E4502" s="1" t="s">
        <v>4</v>
      </c>
      <c r="F4502">
        <v>51</v>
      </c>
      <c r="G4502" s="1" t="str">
        <f>Ocupacao_DW[[#This Row],[data]]&amp;Ocupacao_DW[[#This Row],[profissional_id]]&amp;Ocupacao_DW[[#This Row],[local_id]]</f>
        <v>4463911151</v>
      </c>
      <c r="H4502" s="1">
        <f>_xlfn.XLOOKUP(Ocupacao_DW[[#This Row],[Concat]],Vagas!$H:$H,Vagas!$D:$D,"",0)</f>
        <v>0</v>
      </c>
    </row>
    <row r="4503" spans="1:8" x14ac:dyDescent="0.25">
      <c r="A4503" s="2">
        <v>44635</v>
      </c>
      <c r="B4503" s="1" t="s">
        <v>71</v>
      </c>
      <c r="C4503">
        <v>282</v>
      </c>
      <c r="D4503" s="1" t="s">
        <v>210</v>
      </c>
      <c r="E4503" s="1" t="s">
        <v>4</v>
      </c>
      <c r="F4503">
        <v>48</v>
      </c>
      <c r="G4503" s="1" t="str">
        <f>Ocupacao_DW[[#This Row],[data]]&amp;Ocupacao_DW[[#This Row],[profissional_id]]&amp;Ocupacao_DW[[#This Row],[local_id]]</f>
        <v>4463528248</v>
      </c>
      <c r="H4503" s="1">
        <f>_xlfn.XLOOKUP(Ocupacao_DW[[#This Row],[Concat]],Vagas!$H:$H,Vagas!$D:$D,"",0)</f>
        <v>0</v>
      </c>
    </row>
    <row r="4504" spans="1:8" x14ac:dyDescent="0.25">
      <c r="A4504" s="2">
        <v>44651</v>
      </c>
      <c r="B4504" s="1" t="s">
        <v>55</v>
      </c>
      <c r="C4504">
        <v>74</v>
      </c>
      <c r="D4504" s="1" t="s">
        <v>182</v>
      </c>
      <c r="E4504" s="1" t="s">
        <v>6</v>
      </c>
      <c r="F4504">
        <v>7</v>
      </c>
      <c r="G4504" s="1" t="str">
        <f>Ocupacao_DW[[#This Row],[data]]&amp;Ocupacao_DW[[#This Row],[profissional_id]]&amp;Ocupacao_DW[[#This Row],[local_id]]</f>
        <v>44651747</v>
      </c>
      <c r="H4504" s="1">
        <f>_xlfn.XLOOKUP(Ocupacao_DW[[#This Row],[Concat]],Vagas!$H:$H,Vagas!$D:$D,"",0)</f>
        <v>0</v>
      </c>
    </row>
    <row r="4505" spans="1:8" x14ac:dyDescent="0.25">
      <c r="A4505" s="2">
        <v>44637</v>
      </c>
      <c r="B4505" s="1" t="s">
        <v>49</v>
      </c>
      <c r="C4505">
        <v>81</v>
      </c>
      <c r="D4505" s="1" t="s">
        <v>170</v>
      </c>
      <c r="E4505" s="1" t="s">
        <v>4</v>
      </c>
      <c r="F4505">
        <v>41</v>
      </c>
      <c r="G4505" s="1" t="str">
        <f>Ocupacao_DW[[#This Row],[data]]&amp;Ocupacao_DW[[#This Row],[profissional_id]]&amp;Ocupacao_DW[[#This Row],[local_id]]</f>
        <v>446378141</v>
      </c>
      <c r="H4505" s="1">
        <f>_xlfn.XLOOKUP(Ocupacao_DW[[#This Row],[Concat]],Vagas!$H:$H,Vagas!$D:$D,"",0)</f>
        <v>0</v>
      </c>
    </row>
    <row r="4506" spans="1:8" x14ac:dyDescent="0.25">
      <c r="A4506" s="2">
        <v>44635</v>
      </c>
      <c r="B4506" s="1" t="s">
        <v>49</v>
      </c>
      <c r="C4506">
        <v>10600</v>
      </c>
      <c r="D4506" s="1" t="s">
        <v>248</v>
      </c>
      <c r="E4506" s="1" t="s">
        <v>200</v>
      </c>
      <c r="F4506">
        <v>86</v>
      </c>
      <c r="G4506" s="1" t="str">
        <f>Ocupacao_DW[[#This Row],[data]]&amp;Ocupacao_DW[[#This Row],[profissional_id]]&amp;Ocupacao_DW[[#This Row],[local_id]]</f>
        <v>446351060086</v>
      </c>
      <c r="H4506" s="1">
        <f>_xlfn.XLOOKUP(Ocupacao_DW[[#This Row],[Concat]],Vagas!$H:$H,Vagas!$D:$D,"",0)</f>
        <v>0</v>
      </c>
    </row>
    <row r="4507" spans="1:8" x14ac:dyDescent="0.25">
      <c r="A4507" s="2">
        <v>44635</v>
      </c>
      <c r="B4507" s="1" t="s">
        <v>52</v>
      </c>
      <c r="C4507">
        <v>60</v>
      </c>
      <c r="D4507" s="1" t="s">
        <v>217</v>
      </c>
      <c r="E4507" s="1" t="s">
        <v>167</v>
      </c>
      <c r="F4507">
        <v>345</v>
      </c>
      <c r="G4507" s="1" t="str">
        <f>Ocupacao_DW[[#This Row],[data]]&amp;Ocupacao_DW[[#This Row],[profissional_id]]&amp;Ocupacao_DW[[#This Row],[local_id]]</f>
        <v>4463560345</v>
      </c>
      <c r="H4507" s="1">
        <f>_xlfn.XLOOKUP(Ocupacao_DW[[#This Row],[Concat]],Vagas!$H:$H,Vagas!$D:$D,"",0)</f>
        <v>0</v>
      </c>
    </row>
    <row r="4508" spans="1:8" x14ac:dyDescent="0.25">
      <c r="A4508" s="2">
        <v>44635</v>
      </c>
      <c r="B4508" s="1" t="s">
        <v>50</v>
      </c>
      <c r="C4508">
        <v>4814</v>
      </c>
      <c r="D4508" s="1" t="s">
        <v>189</v>
      </c>
      <c r="E4508" s="1" t="s">
        <v>5</v>
      </c>
      <c r="F4508">
        <v>17</v>
      </c>
      <c r="G4508" s="1" t="str">
        <f>Ocupacao_DW[[#This Row],[data]]&amp;Ocupacao_DW[[#This Row],[profissional_id]]&amp;Ocupacao_DW[[#This Row],[local_id]]</f>
        <v>44635481417</v>
      </c>
      <c r="H4508" s="1">
        <f>_xlfn.XLOOKUP(Ocupacao_DW[[#This Row],[Concat]],Vagas!$H:$H,Vagas!$D:$D,"",0)</f>
        <v>0</v>
      </c>
    </row>
    <row r="4509" spans="1:8" x14ac:dyDescent="0.25">
      <c r="A4509" s="2">
        <v>44637</v>
      </c>
      <c r="B4509" s="1" t="s">
        <v>49</v>
      </c>
      <c r="C4509">
        <v>81</v>
      </c>
      <c r="D4509" s="1" t="s">
        <v>170</v>
      </c>
      <c r="E4509" s="1" t="s">
        <v>4</v>
      </c>
      <c r="F4509">
        <v>41</v>
      </c>
      <c r="G4509" s="1" t="str">
        <f>Ocupacao_DW[[#This Row],[data]]&amp;Ocupacao_DW[[#This Row],[profissional_id]]&amp;Ocupacao_DW[[#This Row],[local_id]]</f>
        <v>446378141</v>
      </c>
      <c r="H4509" s="1">
        <f>_xlfn.XLOOKUP(Ocupacao_DW[[#This Row],[Concat]],Vagas!$H:$H,Vagas!$D:$D,"",0)</f>
        <v>0</v>
      </c>
    </row>
    <row r="4510" spans="1:8" x14ac:dyDescent="0.25">
      <c r="A4510" s="2">
        <v>44651</v>
      </c>
      <c r="B4510" s="1" t="s">
        <v>55</v>
      </c>
      <c r="C4510">
        <v>74</v>
      </c>
      <c r="D4510" s="1" t="s">
        <v>182</v>
      </c>
      <c r="E4510" s="1" t="s">
        <v>6</v>
      </c>
      <c r="F4510">
        <v>7</v>
      </c>
      <c r="G4510" s="1" t="str">
        <f>Ocupacao_DW[[#This Row],[data]]&amp;Ocupacao_DW[[#This Row],[profissional_id]]&amp;Ocupacao_DW[[#This Row],[local_id]]</f>
        <v>44651747</v>
      </c>
      <c r="H4510" s="1">
        <f>_xlfn.XLOOKUP(Ocupacao_DW[[#This Row],[Concat]],Vagas!$H:$H,Vagas!$D:$D,"",0)</f>
        <v>0</v>
      </c>
    </row>
    <row r="4511" spans="1:8" x14ac:dyDescent="0.25">
      <c r="A4511" s="2">
        <v>44651</v>
      </c>
      <c r="B4511" s="1" t="s">
        <v>56</v>
      </c>
      <c r="C4511">
        <v>5822</v>
      </c>
      <c r="D4511" s="1" t="s">
        <v>194</v>
      </c>
      <c r="E4511" s="1" t="s">
        <v>5</v>
      </c>
      <c r="F4511">
        <v>11</v>
      </c>
      <c r="G4511" s="1" t="str">
        <f>Ocupacao_DW[[#This Row],[data]]&amp;Ocupacao_DW[[#This Row],[profissional_id]]&amp;Ocupacao_DW[[#This Row],[local_id]]</f>
        <v>44651582211</v>
      </c>
      <c r="H4511" s="1">
        <f>_xlfn.XLOOKUP(Ocupacao_DW[[#This Row],[Concat]],Vagas!$H:$H,Vagas!$D:$D,"",0)</f>
        <v>0</v>
      </c>
    </row>
    <row r="4512" spans="1:8" x14ac:dyDescent="0.25">
      <c r="A4512" s="2">
        <v>44638</v>
      </c>
      <c r="B4512" s="1" t="s">
        <v>47</v>
      </c>
      <c r="C4512">
        <v>12679</v>
      </c>
      <c r="D4512" s="1" t="s">
        <v>192</v>
      </c>
      <c r="E4512" s="1" t="s">
        <v>4</v>
      </c>
      <c r="F4512">
        <v>336</v>
      </c>
      <c r="G4512" s="1" t="str">
        <f>Ocupacao_DW[[#This Row],[data]]&amp;Ocupacao_DW[[#This Row],[profissional_id]]&amp;Ocupacao_DW[[#This Row],[local_id]]</f>
        <v>4463812679336</v>
      </c>
      <c r="H4512" s="1">
        <f>_xlfn.XLOOKUP(Ocupacao_DW[[#This Row],[Concat]],Vagas!$H:$H,Vagas!$D:$D,"",0)</f>
        <v>0</v>
      </c>
    </row>
    <row r="4513" spans="1:8" x14ac:dyDescent="0.25">
      <c r="A4513" s="2">
        <v>44643</v>
      </c>
      <c r="B4513" s="1" t="s">
        <v>50</v>
      </c>
      <c r="C4513">
        <v>10785</v>
      </c>
      <c r="D4513" s="1" t="s">
        <v>237</v>
      </c>
      <c r="E4513" s="1" t="s">
        <v>5</v>
      </c>
      <c r="F4513">
        <v>14</v>
      </c>
      <c r="G4513" s="1" t="str">
        <f>Ocupacao_DW[[#This Row],[data]]&amp;Ocupacao_DW[[#This Row],[profissional_id]]&amp;Ocupacao_DW[[#This Row],[local_id]]</f>
        <v>446431078514</v>
      </c>
      <c r="H4513" s="1">
        <f>_xlfn.XLOOKUP(Ocupacao_DW[[#This Row],[Concat]],Vagas!$H:$H,Vagas!$D:$D,"",0)</f>
        <v>22</v>
      </c>
    </row>
    <row r="4514" spans="1:8" x14ac:dyDescent="0.25">
      <c r="A4514" s="2">
        <v>44636</v>
      </c>
      <c r="B4514" s="1" t="s">
        <v>47</v>
      </c>
      <c r="C4514">
        <v>111</v>
      </c>
      <c r="D4514" s="1" t="s">
        <v>199</v>
      </c>
      <c r="E4514" s="1" t="s">
        <v>4</v>
      </c>
      <c r="F4514">
        <v>51</v>
      </c>
      <c r="G4514" s="1" t="str">
        <f>Ocupacao_DW[[#This Row],[data]]&amp;Ocupacao_DW[[#This Row],[profissional_id]]&amp;Ocupacao_DW[[#This Row],[local_id]]</f>
        <v>4463611151</v>
      </c>
      <c r="H4514" s="1">
        <f>_xlfn.XLOOKUP(Ocupacao_DW[[#This Row],[Concat]],Vagas!$H:$H,Vagas!$D:$D,"",0)</f>
        <v>1</v>
      </c>
    </row>
    <row r="4515" spans="1:8" x14ac:dyDescent="0.25">
      <c r="A4515" s="2">
        <v>44635</v>
      </c>
      <c r="B4515" s="1" t="s">
        <v>52</v>
      </c>
      <c r="C4515">
        <v>60</v>
      </c>
      <c r="D4515" s="1" t="s">
        <v>217</v>
      </c>
      <c r="E4515" s="1" t="s">
        <v>167</v>
      </c>
      <c r="F4515">
        <v>345</v>
      </c>
      <c r="G4515" s="1" t="str">
        <f>Ocupacao_DW[[#This Row],[data]]&amp;Ocupacao_DW[[#This Row],[profissional_id]]&amp;Ocupacao_DW[[#This Row],[local_id]]</f>
        <v>4463560345</v>
      </c>
      <c r="H4515" s="1">
        <f>_xlfn.XLOOKUP(Ocupacao_DW[[#This Row],[Concat]],Vagas!$H:$H,Vagas!$D:$D,"",0)</f>
        <v>0</v>
      </c>
    </row>
    <row r="4516" spans="1:8" x14ac:dyDescent="0.25">
      <c r="A4516" s="2">
        <v>44636</v>
      </c>
      <c r="B4516" s="1" t="s">
        <v>52</v>
      </c>
      <c r="C4516">
        <v>60</v>
      </c>
      <c r="D4516" s="1" t="s">
        <v>217</v>
      </c>
      <c r="E4516" s="1" t="s">
        <v>167</v>
      </c>
      <c r="F4516">
        <v>346</v>
      </c>
      <c r="G4516" s="1" t="str">
        <f>Ocupacao_DW[[#This Row],[data]]&amp;Ocupacao_DW[[#This Row],[profissional_id]]&amp;Ocupacao_DW[[#This Row],[local_id]]</f>
        <v>4463660346</v>
      </c>
      <c r="H4516" s="1">
        <f>_xlfn.XLOOKUP(Ocupacao_DW[[#This Row],[Concat]],Vagas!$H:$H,Vagas!$D:$D,"",0)</f>
        <v>0</v>
      </c>
    </row>
    <row r="4517" spans="1:8" x14ac:dyDescent="0.25">
      <c r="A4517" s="2">
        <v>44644</v>
      </c>
      <c r="B4517" s="1" t="s">
        <v>70</v>
      </c>
      <c r="C4517">
        <v>12519</v>
      </c>
      <c r="D4517" s="1" t="s">
        <v>176</v>
      </c>
      <c r="E4517" s="1" t="s">
        <v>4</v>
      </c>
      <c r="F4517">
        <v>42</v>
      </c>
      <c r="G4517" s="1" t="str">
        <f>Ocupacao_DW[[#This Row],[data]]&amp;Ocupacao_DW[[#This Row],[profissional_id]]&amp;Ocupacao_DW[[#This Row],[local_id]]</f>
        <v>446441251942</v>
      </c>
      <c r="H4517" s="1">
        <f>_xlfn.XLOOKUP(Ocupacao_DW[[#This Row],[Concat]],Vagas!$H:$H,Vagas!$D:$D,"",0)</f>
        <v>0</v>
      </c>
    </row>
    <row r="4518" spans="1:8" x14ac:dyDescent="0.25">
      <c r="A4518" s="2">
        <v>44638</v>
      </c>
      <c r="B4518" s="1" t="s">
        <v>49</v>
      </c>
      <c r="C4518">
        <v>81</v>
      </c>
      <c r="D4518" s="1" t="s">
        <v>170</v>
      </c>
      <c r="E4518" s="1" t="s">
        <v>4</v>
      </c>
      <c r="F4518">
        <v>41</v>
      </c>
      <c r="G4518" s="1" t="str">
        <f>Ocupacao_DW[[#This Row],[data]]&amp;Ocupacao_DW[[#This Row],[profissional_id]]&amp;Ocupacao_DW[[#This Row],[local_id]]</f>
        <v>446388141</v>
      </c>
      <c r="H4518" s="1">
        <f>_xlfn.XLOOKUP(Ocupacao_DW[[#This Row],[Concat]],Vagas!$H:$H,Vagas!$D:$D,"",0)</f>
        <v>0</v>
      </c>
    </row>
    <row r="4519" spans="1:8" x14ac:dyDescent="0.25">
      <c r="A4519" s="2">
        <v>44635</v>
      </c>
      <c r="B4519" s="1" t="s">
        <v>70</v>
      </c>
      <c r="C4519">
        <v>12825</v>
      </c>
      <c r="D4519" s="1" t="s">
        <v>177</v>
      </c>
      <c r="E4519" s="1" t="s">
        <v>7</v>
      </c>
      <c r="F4519">
        <v>63</v>
      </c>
      <c r="G4519" s="1" t="str">
        <f>Ocupacao_DW[[#This Row],[data]]&amp;Ocupacao_DW[[#This Row],[profissional_id]]&amp;Ocupacao_DW[[#This Row],[local_id]]</f>
        <v>446351282563</v>
      </c>
      <c r="H4519" s="1">
        <f>_xlfn.XLOOKUP(Ocupacao_DW[[#This Row],[Concat]],Vagas!$H:$H,Vagas!$D:$D,"",0)</f>
        <v>0</v>
      </c>
    </row>
    <row r="4520" spans="1:8" x14ac:dyDescent="0.25">
      <c r="A4520" s="2">
        <v>44642</v>
      </c>
      <c r="B4520" s="1" t="s">
        <v>69</v>
      </c>
      <c r="C4520">
        <v>13249</v>
      </c>
      <c r="D4520" s="1" t="s">
        <v>178</v>
      </c>
      <c r="E4520" s="1" t="s">
        <v>4</v>
      </c>
      <c r="F4520">
        <v>45</v>
      </c>
      <c r="G4520" s="1" t="str">
        <f>Ocupacao_DW[[#This Row],[data]]&amp;Ocupacao_DW[[#This Row],[profissional_id]]&amp;Ocupacao_DW[[#This Row],[local_id]]</f>
        <v>446421324945</v>
      </c>
      <c r="H4520" s="1">
        <f>_xlfn.XLOOKUP(Ocupacao_DW[[#This Row],[Concat]],Vagas!$H:$H,Vagas!$D:$D,"",0)</f>
        <v>0</v>
      </c>
    </row>
    <row r="4521" spans="1:8" x14ac:dyDescent="0.25">
      <c r="A4521" s="2">
        <v>44651</v>
      </c>
      <c r="B4521" s="1" t="s">
        <v>55</v>
      </c>
      <c r="C4521">
        <v>74</v>
      </c>
      <c r="D4521" s="1" t="s">
        <v>182</v>
      </c>
      <c r="E4521" s="1" t="s">
        <v>6</v>
      </c>
      <c r="F4521">
        <v>7</v>
      </c>
      <c r="G4521" s="1" t="str">
        <f>Ocupacao_DW[[#This Row],[data]]&amp;Ocupacao_DW[[#This Row],[profissional_id]]&amp;Ocupacao_DW[[#This Row],[local_id]]</f>
        <v>44651747</v>
      </c>
      <c r="H4521" s="1">
        <f>_xlfn.XLOOKUP(Ocupacao_DW[[#This Row],[Concat]],Vagas!$H:$H,Vagas!$D:$D,"",0)</f>
        <v>0</v>
      </c>
    </row>
    <row r="4522" spans="1:8" x14ac:dyDescent="0.25">
      <c r="A4522" s="2">
        <v>44644</v>
      </c>
      <c r="B4522" s="1" t="s">
        <v>49</v>
      </c>
      <c r="C4522">
        <v>266</v>
      </c>
      <c r="D4522" s="1" t="s">
        <v>201</v>
      </c>
      <c r="E4522" s="1" t="s">
        <v>4</v>
      </c>
      <c r="F4522">
        <v>42</v>
      </c>
      <c r="G4522" s="1" t="str">
        <f>Ocupacao_DW[[#This Row],[data]]&amp;Ocupacao_DW[[#This Row],[profissional_id]]&amp;Ocupacao_DW[[#This Row],[local_id]]</f>
        <v>4464426642</v>
      </c>
      <c r="H4522" s="1">
        <f>_xlfn.XLOOKUP(Ocupacao_DW[[#This Row],[Concat]],Vagas!$H:$H,Vagas!$D:$D,"",0)</f>
        <v>0</v>
      </c>
    </row>
    <row r="4523" spans="1:8" x14ac:dyDescent="0.25">
      <c r="A4523" s="2">
        <v>44635</v>
      </c>
      <c r="B4523" s="1" t="s">
        <v>49</v>
      </c>
      <c r="C4523">
        <v>10600</v>
      </c>
      <c r="D4523" s="1" t="s">
        <v>248</v>
      </c>
      <c r="E4523" s="1" t="s">
        <v>200</v>
      </c>
      <c r="F4523">
        <v>86</v>
      </c>
      <c r="G4523" s="1" t="str">
        <f>Ocupacao_DW[[#This Row],[data]]&amp;Ocupacao_DW[[#This Row],[profissional_id]]&amp;Ocupacao_DW[[#This Row],[local_id]]</f>
        <v>446351060086</v>
      </c>
      <c r="H4523" s="1">
        <f>_xlfn.XLOOKUP(Ocupacao_DW[[#This Row],[Concat]],Vagas!$H:$H,Vagas!$D:$D,"",0)</f>
        <v>0</v>
      </c>
    </row>
    <row r="4524" spans="1:8" x14ac:dyDescent="0.25">
      <c r="A4524" s="2">
        <v>44637</v>
      </c>
      <c r="B4524" s="1" t="s">
        <v>47</v>
      </c>
      <c r="C4524">
        <v>9111</v>
      </c>
      <c r="D4524" s="1" t="s">
        <v>206</v>
      </c>
      <c r="E4524" s="1" t="s">
        <v>4</v>
      </c>
      <c r="F4524">
        <v>334</v>
      </c>
      <c r="G4524" s="1" t="str">
        <f>Ocupacao_DW[[#This Row],[data]]&amp;Ocupacao_DW[[#This Row],[profissional_id]]&amp;Ocupacao_DW[[#This Row],[local_id]]</f>
        <v>446379111334</v>
      </c>
      <c r="H4524" s="1">
        <f>_xlfn.XLOOKUP(Ocupacao_DW[[#This Row],[Concat]],Vagas!$H:$H,Vagas!$D:$D,"",0)</f>
        <v>0</v>
      </c>
    </row>
    <row r="4525" spans="1:8" x14ac:dyDescent="0.25">
      <c r="A4525" s="2">
        <v>44635</v>
      </c>
      <c r="B4525" s="1" t="s">
        <v>43</v>
      </c>
      <c r="C4525">
        <v>57</v>
      </c>
      <c r="D4525" s="1" t="s">
        <v>169</v>
      </c>
      <c r="E4525" s="1" t="s">
        <v>6</v>
      </c>
      <c r="F4525">
        <v>2</v>
      </c>
      <c r="G4525" s="1" t="str">
        <f>Ocupacao_DW[[#This Row],[data]]&amp;Ocupacao_DW[[#This Row],[profissional_id]]&amp;Ocupacao_DW[[#This Row],[local_id]]</f>
        <v>44635572</v>
      </c>
      <c r="H4525" s="1">
        <f>_xlfn.XLOOKUP(Ocupacao_DW[[#This Row],[Concat]],Vagas!$H:$H,Vagas!$D:$D,"",0)</f>
        <v>0</v>
      </c>
    </row>
    <row r="4526" spans="1:8" x14ac:dyDescent="0.25">
      <c r="A4526" s="2">
        <v>44635</v>
      </c>
      <c r="B4526" s="1" t="s">
        <v>55</v>
      </c>
      <c r="C4526">
        <v>14452</v>
      </c>
      <c r="D4526" s="1" t="s">
        <v>266</v>
      </c>
      <c r="E4526" s="1" t="s">
        <v>200</v>
      </c>
      <c r="F4526">
        <v>78</v>
      </c>
      <c r="G4526" s="1" t="str">
        <f>Ocupacao_DW[[#This Row],[data]]&amp;Ocupacao_DW[[#This Row],[profissional_id]]&amp;Ocupacao_DW[[#This Row],[local_id]]</f>
        <v>446351445278</v>
      </c>
      <c r="H4526" s="1">
        <f>_xlfn.XLOOKUP(Ocupacao_DW[[#This Row],[Concat]],Vagas!$H:$H,Vagas!$D:$D,"",0)</f>
        <v>0</v>
      </c>
    </row>
    <row r="4527" spans="1:8" x14ac:dyDescent="0.25">
      <c r="A4527" s="2">
        <v>44644</v>
      </c>
      <c r="B4527" s="1" t="s">
        <v>47</v>
      </c>
      <c r="C4527">
        <v>9111</v>
      </c>
      <c r="D4527" s="1" t="s">
        <v>206</v>
      </c>
      <c r="E4527" s="1" t="s">
        <v>4</v>
      </c>
      <c r="F4527">
        <v>334</v>
      </c>
      <c r="G4527" s="1" t="str">
        <f>Ocupacao_DW[[#This Row],[data]]&amp;Ocupacao_DW[[#This Row],[profissional_id]]&amp;Ocupacao_DW[[#This Row],[local_id]]</f>
        <v>446449111334</v>
      </c>
      <c r="H4527" s="1">
        <f>_xlfn.XLOOKUP(Ocupacao_DW[[#This Row],[Concat]],Vagas!$H:$H,Vagas!$D:$D,"",0)</f>
        <v>0</v>
      </c>
    </row>
    <row r="4528" spans="1:8" x14ac:dyDescent="0.25">
      <c r="A4528" s="2">
        <v>44636</v>
      </c>
      <c r="B4528" s="1" t="s">
        <v>49</v>
      </c>
      <c r="C4528">
        <v>81</v>
      </c>
      <c r="D4528" s="1" t="s">
        <v>170</v>
      </c>
      <c r="E4528" s="1" t="s">
        <v>4</v>
      </c>
      <c r="F4528">
        <v>41</v>
      </c>
      <c r="G4528" s="1" t="str">
        <f>Ocupacao_DW[[#This Row],[data]]&amp;Ocupacao_DW[[#This Row],[profissional_id]]&amp;Ocupacao_DW[[#This Row],[local_id]]</f>
        <v>446368141</v>
      </c>
      <c r="H4528" s="1">
        <f>_xlfn.XLOOKUP(Ocupacao_DW[[#This Row],[Concat]],Vagas!$H:$H,Vagas!$D:$D,"",0)</f>
        <v>0</v>
      </c>
    </row>
    <row r="4529" spans="1:8" x14ac:dyDescent="0.25">
      <c r="A4529" s="2">
        <v>44639</v>
      </c>
      <c r="B4529" s="1" t="s">
        <v>49</v>
      </c>
      <c r="C4529">
        <v>13756</v>
      </c>
      <c r="D4529" s="1" t="s">
        <v>202</v>
      </c>
      <c r="E4529" s="1" t="s">
        <v>4</v>
      </c>
      <c r="F4529">
        <v>43</v>
      </c>
      <c r="G4529" s="1" t="str">
        <f>Ocupacao_DW[[#This Row],[data]]&amp;Ocupacao_DW[[#This Row],[profissional_id]]&amp;Ocupacao_DW[[#This Row],[local_id]]</f>
        <v>446391375643</v>
      </c>
      <c r="H4529" s="1">
        <f>_xlfn.XLOOKUP(Ocupacao_DW[[#This Row],[Concat]],Vagas!$H:$H,Vagas!$D:$D,"",0)</f>
        <v>0</v>
      </c>
    </row>
    <row r="4530" spans="1:8" x14ac:dyDescent="0.25">
      <c r="A4530" s="2">
        <v>44641</v>
      </c>
      <c r="B4530" s="1" t="s">
        <v>54</v>
      </c>
      <c r="C4530">
        <v>10941</v>
      </c>
      <c r="D4530" s="1" t="s">
        <v>224</v>
      </c>
      <c r="E4530" s="1" t="s">
        <v>7</v>
      </c>
      <c r="F4530">
        <v>67</v>
      </c>
      <c r="G4530" s="1" t="str">
        <f>Ocupacao_DW[[#This Row],[data]]&amp;Ocupacao_DW[[#This Row],[profissional_id]]&amp;Ocupacao_DW[[#This Row],[local_id]]</f>
        <v>446411094167</v>
      </c>
      <c r="H4530" s="1">
        <f>_xlfn.XLOOKUP(Ocupacao_DW[[#This Row],[Concat]],Vagas!$H:$H,Vagas!$D:$D,"",0)</f>
        <v>0</v>
      </c>
    </row>
    <row r="4531" spans="1:8" x14ac:dyDescent="0.25">
      <c r="A4531" s="2">
        <v>44641</v>
      </c>
      <c r="B4531" s="1" t="s">
        <v>55</v>
      </c>
      <c r="C4531">
        <v>12669</v>
      </c>
      <c r="D4531" s="1" t="s">
        <v>223</v>
      </c>
      <c r="E4531" s="1" t="s">
        <v>6</v>
      </c>
      <c r="F4531">
        <v>6</v>
      </c>
      <c r="G4531" s="1" t="str">
        <f>Ocupacao_DW[[#This Row],[data]]&amp;Ocupacao_DW[[#This Row],[profissional_id]]&amp;Ocupacao_DW[[#This Row],[local_id]]</f>
        <v>44641126696</v>
      </c>
      <c r="H4531" s="1">
        <f>_xlfn.XLOOKUP(Ocupacao_DW[[#This Row],[Concat]],Vagas!$H:$H,Vagas!$D:$D,"",0)</f>
        <v>0</v>
      </c>
    </row>
    <row r="4532" spans="1:8" x14ac:dyDescent="0.25">
      <c r="A4532" s="2">
        <v>44636</v>
      </c>
      <c r="B4532" s="1" t="s">
        <v>62</v>
      </c>
      <c r="C4532">
        <v>3502</v>
      </c>
      <c r="D4532" s="1" t="s">
        <v>214</v>
      </c>
      <c r="E4532" s="1" t="s">
        <v>5</v>
      </c>
      <c r="F4532">
        <v>16</v>
      </c>
      <c r="G4532" s="1" t="str">
        <f>Ocupacao_DW[[#This Row],[data]]&amp;Ocupacao_DW[[#This Row],[profissional_id]]&amp;Ocupacao_DW[[#This Row],[local_id]]</f>
        <v>44636350216</v>
      </c>
      <c r="H4532" s="1">
        <f>_xlfn.XLOOKUP(Ocupacao_DW[[#This Row],[Concat]],Vagas!$H:$H,Vagas!$D:$D,"",0)</f>
        <v>0</v>
      </c>
    </row>
    <row r="4533" spans="1:8" x14ac:dyDescent="0.25">
      <c r="A4533" s="2">
        <v>44636</v>
      </c>
      <c r="B4533" s="1" t="s">
        <v>71</v>
      </c>
      <c r="C4533">
        <v>282</v>
      </c>
      <c r="D4533" s="1" t="s">
        <v>210</v>
      </c>
      <c r="E4533" s="1" t="s">
        <v>4</v>
      </c>
      <c r="F4533">
        <v>46</v>
      </c>
      <c r="G4533" s="1" t="str">
        <f>Ocupacao_DW[[#This Row],[data]]&amp;Ocupacao_DW[[#This Row],[profissional_id]]&amp;Ocupacao_DW[[#This Row],[local_id]]</f>
        <v>4463628246</v>
      </c>
      <c r="H4533" s="1">
        <f>_xlfn.XLOOKUP(Ocupacao_DW[[#This Row],[Concat]],Vagas!$H:$H,Vagas!$D:$D,"",0)</f>
        <v>0</v>
      </c>
    </row>
    <row r="4534" spans="1:8" x14ac:dyDescent="0.25">
      <c r="A4534" s="2">
        <v>44635</v>
      </c>
      <c r="B4534" s="1" t="s">
        <v>49</v>
      </c>
      <c r="C4534">
        <v>81</v>
      </c>
      <c r="D4534" s="1" t="s">
        <v>170</v>
      </c>
      <c r="E4534" s="1" t="s">
        <v>4</v>
      </c>
      <c r="F4534">
        <v>41</v>
      </c>
      <c r="G4534" s="1" t="str">
        <f>Ocupacao_DW[[#This Row],[data]]&amp;Ocupacao_DW[[#This Row],[profissional_id]]&amp;Ocupacao_DW[[#This Row],[local_id]]</f>
        <v>446358141</v>
      </c>
      <c r="H4534" s="1">
        <f>_xlfn.XLOOKUP(Ocupacao_DW[[#This Row],[Concat]],Vagas!$H:$H,Vagas!$D:$D,"",0)</f>
        <v>0</v>
      </c>
    </row>
    <row r="4535" spans="1:8" x14ac:dyDescent="0.25">
      <c r="A4535" s="2">
        <v>44635</v>
      </c>
      <c r="B4535" s="1" t="s">
        <v>70</v>
      </c>
      <c r="C4535">
        <v>12825</v>
      </c>
      <c r="D4535" s="1" t="s">
        <v>177</v>
      </c>
      <c r="E4535" s="1" t="s">
        <v>7</v>
      </c>
      <c r="F4535">
        <v>63</v>
      </c>
      <c r="G4535" s="1" t="str">
        <f>Ocupacao_DW[[#This Row],[data]]&amp;Ocupacao_DW[[#This Row],[profissional_id]]&amp;Ocupacao_DW[[#This Row],[local_id]]</f>
        <v>446351282563</v>
      </c>
      <c r="H4535" s="1">
        <f>_xlfn.XLOOKUP(Ocupacao_DW[[#This Row],[Concat]],Vagas!$H:$H,Vagas!$D:$D,"",0)</f>
        <v>0</v>
      </c>
    </row>
    <row r="4536" spans="1:8" x14ac:dyDescent="0.25">
      <c r="A4536" s="2">
        <v>44637</v>
      </c>
      <c r="B4536" s="1" t="s">
        <v>49</v>
      </c>
      <c r="C4536">
        <v>81</v>
      </c>
      <c r="D4536" s="1" t="s">
        <v>170</v>
      </c>
      <c r="E4536" s="1" t="s">
        <v>4</v>
      </c>
      <c r="F4536">
        <v>41</v>
      </c>
      <c r="G4536" s="1" t="str">
        <f>Ocupacao_DW[[#This Row],[data]]&amp;Ocupacao_DW[[#This Row],[profissional_id]]&amp;Ocupacao_DW[[#This Row],[local_id]]</f>
        <v>446378141</v>
      </c>
      <c r="H4536" s="1">
        <f>_xlfn.XLOOKUP(Ocupacao_DW[[#This Row],[Concat]],Vagas!$H:$H,Vagas!$D:$D,"",0)</f>
        <v>0</v>
      </c>
    </row>
    <row r="4537" spans="1:8" x14ac:dyDescent="0.25">
      <c r="A4537" s="2">
        <v>44644</v>
      </c>
      <c r="B4537" s="1" t="s">
        <v>55</v>
      </c>
      <c r="C4537">
        <v>8598</v>
      </c>
      <c r="D4537" s="1" t="s">
        <v>228</v>
      </c>
      <c r="E4537" s="1" t="s">
        <v>6</v>
      </c>
      <c r="F4537">
        <v>3</v>
      </c>
      <c r="G4537" s="1" t="str">
        <f>Ocupacao_DW[[#This Row],[data]]&amp;Ocupacao_DW[[#This Row],[profissional_id]]&amp;Ocupacao_DW[[#This Row],[local_id]]</f>
        <v>4464485983</v>
      </c>
      <c r="H4537" s="1">
        <f>_xlfn.XLOOKUP(Ocupacao_DW[[#This Row],[Concat]],Vagas!$H:$H,Vagas!$D:$D,"",0)</f>
        <v>0</v>
      </c>
    </row>
    <row r="4538" spans="1:8" x14ac:dyDescent="0.25">
      <c r="A4538" s="2">
        <v>44641</v>
      </c>
      <c r="B4538" s="1" t="s">
        <v>52</v>
      </c>
      <c r="C4538">
        <v>10691</v>
      </c>
      <c r="D4538" s="1" t="s">
        <v>181</v>
      </c>
      <c r="E4538" s="1" t="s">
        <v>6</v>
      </c>
      <c r="F4538">
        <v>9</v>
      </c>
      <c r="G4538" s="1" t="str">
        <f>Ocupacao_DW[[#This Row],[data]]&amp;Ocupacao_DW[[#This Row],[profissional_id]]&amp;Ocupacao_DW[[#This Row],[local_id]]</f>
        <v>44641106919</v>
      </c>
      <c r="H4538" s="1">
        <f>_xlfn.XLOOKUP(Ocupacao_DW[[#This Row],[Concat]],Vagas!$H:$H,Vagas!$D:$D,"",0)</f>
        <v>0</v>
      </c>
    </row>
    <row r="4539" spans="1:8" x14ac:dyDescent="0.25">
      <c r="A4539" s="2">
        <v>44644</v>
      </c>
      <c r="B4539" s="1" t="s">
        <v>47</v>
      </c>
      <c r="C4539">
        <v>11312</v>
      </c>
      <c r="D4539" s="1" t="s">
        <v>207</v>
      </c>
      <c r="E4539" s="1" t="s">
        <v>4</v>
      </c>
      <c r="F4539">
        <v>336</v>
      </c>
      <c r="G4539" s="1" t="str">
        <f>Ocupacao_DW[[#This Row],[data]]&amp;Ocupacao_DW[[#This Row],[profissional_id]]&amp;Ocupacao_DW[[#This Row],[local_id]]</f>
        <v>4464411312336</v>
      </c>
      <c r="H4539" s="1">
        <f>_xlfn.XLOOKUP(Ocupacao_DW[[#This Row],[Concat]],Vagas!$H:$H,Vagas!$D:$D,"",0)</f>
        <v>20</v>
      </c>
    </row>
    <row r="4540" spans="1:8" x14ac:dyDescent="0.25">
      <c r="A4540" s="2">
        <v>44635</v>
      </c>
      <c r="B4540" s="1" t="s">
        <v>49</v>
      </c>
      <c r="C4540">
        <v>10600</v>
      </c>
      <c r="D4540" s="1" t="s">
        <v>248</v>
      </c>
      <c r="E4540" s="1" t="s">
        <v>200</v>
      </c>
      <c r="F4540">
        <v>86</v>
      </c>
      <c r="G4540" s="1" t="str">
        <f>Ocupacao_DW[[#This Row],[data]]&amp;Ocupacao_DW[[#This Row],[profissional_id]]&amp;Ocupacao_DW[[#This Row],[local_id]]</f>
        <v>446351060086</v>
      </c>
      <c r="H4540" s="1">
        <f>_xlfn.XLOOKUP(Ocupacao_DW[[#This Row],[Concat]],Vagas!$H:$H,Vagas!$D:$D,"",0)</f>
        <v>0</v>
      </c>
    </row>
    <row r="4541" spans="1:8" x14ac:dyDescent="0.25">
      <c r="A4541" s="2">
        <v>44648</v>
      </c>
      <c r="B4541" s="1" t="s">
        <v>54</v>
      </c>
      <c r="C4541">
        <v>10941</v>
      </c>
      <c r="D4541" s="1" t="s">
        <v>224</v>
      </c>
      <c r="E4541" s="1" t="s">
        <v>5</v>
      </c>
      <c r="F4541">
        <v>11</v>
      </c>
      <c r="G4541" s="1" t="str">
        <f>Ocupacao_DW[[#This Row],[data]]&amp;Ocupacao_DW[[#This Row],[profissional_id]]&amp;Ocupacao_DW[[#This Row],[local_id]]</f>
        <v>446481094111</v>
      </c>
      <c r="H4541" s="1">
        <f>_xlfn.XLOOKUP(Ocupacao_DW[[#This Row],[Concat]],Vagas!$H:$H,Vagas!$D:$D,"",0)</f>
        <v>0</v>
      </c>
    </row>
    <row r="4542" spans="1:8" x14ac:dyDescent="0.25">
      <c r="A4542" s="2">
        <v>44635</v>
      </c>
      <c r="B4542" s="1" t="s">
        <v>65</v>
      </c>
      <c r="C4542">
        <v>11652</v>
      </c>
      <c r="D4542" s="1" t="s">
        <v>242</v>
      </c>
      <c r="E4542" s="1" t="s">
        <v>4</v>
      </c>
      <c r="F4542">
        <v>47</v>
      </c>
      <c r="G4542" s="1" t="str">
        <f>Ocupacao_DW[[#This Row],[data]]&amp;Ocupacao_DW[[#This Row],[profissional_id]]&amp;Ocupacao_DW[[#This Row],[local_id]]</f>
        <v>446351165247</v>
      </c>
      <c r="H4542" s="1">
        <f>_xlfn.XLOOKUP(Ocupacao_DW[[#This Row],[Concat]],Vagas!$H:$H,Vagas!$D:$D,"",0)</f>
        <v>0</v>
      </c>
    </row>
    <row r="4543" spans="1:8" x14ac:dyDescent="0.25">
      <c r="A4543" s="2">
        <v>44635</v>
      </c>
      <c r="B4543" s="1" t="s">
        <v>49</v>
      </c>
      <c r="C4543">
        <v>81</v>
      </c>
      <c r="D4543" s="1" t="s">
        <v>170</v>
      </c>
      <c r="E4543" s="1" t="s">
        <v>4</v>
      </c>
      <c r="F4543">
        <v>41</v>
      </c>
      <c r="G4543" s="1" t="str">
        <f>Ocupacao_DW[[#This Row],[data]]&amp;Ocupacao_DW[[#This Row],[profissional_id]]&amp;Ocupacao_DW[[#This Row],[local_id]]</f>
        <v>446358141</v>
      </c>
      <c r="H4543" s="1">
        <f>_xlfn.XLOOKUP(Ocupacao_DW[[#This Row],[Concat]],Vagas!$H:$H,Vagas!$D:$D,"",0)</f>
        <v>0</v>
      </c>
    </row>
    <row r="4544" spans="1:8" x14ac:dyDescent="0.25">
      <c r="A4544" s="2">
        <v>44635</v>
      </c>
      <c r="B4544" s="1" t="s">
        <v>43</v>
      </c>
      <c r="C4544">
        <v>57</v>
      </c>
      <c r="D4544" s="1" t="s">
        <v>169</v>
      </c>
      <c r="E4544" s="1" t="s">
        <v>6</v>
      </c>
      <c r="F4544">
        <v>2</v>
      </c>
      <c r="G4544" s="1" t="str">
        <f>Ocupacao_DW[[#This Row],[data]]&amp;Ocupacao_DW[[#This Row],[profissional_id]]&amp;Ocupacao_DW[[#This Row],[local_id]]</f>
        <v>44635572</v>
      </c>
      <c r="H4544" s="1">
        <f>_xlfn.XLOOKUP(Ocupacao_DW[[#This Row],[Concat]],Vagas!$H:$H,Vagas!$D:$D,"",0)</f>
        <v>0</v>
      </c>
    </row>
    <row r="4545" spans="1:8" x14ac:dyDescent="0.25">
      <c r="A4545" s="2">
        <v>44635</v>
      </c>
      <c r="B4545" s="1"/>
      <c r="C4545">
        <v>0</v>
      </c>
      <c r="D4545" s="1"/>
      <c r="E4545" s="1" t="s">
        <v>167</v>
      </c>
      <c r="F4545">
        <v>24</v>
      </c>
      <c r="G4545" s="1" t="str">
        <f>Ocupacao_DW[[#This Row],[data]]&amp;Ocupacao_DW[[#This Row],[profissional_id]]&amp;Ocupacao_DW[[#This Row],[local_id]]</f>
        <v>44635024</v>
      </c>
      <c r="H4545" s="1" t="str">
        <f>_xlfn.XLOOKUP(Ocupacao_DW[[#This Row],[Concat]],Vagas!$H:$H,Vagas!$D:$D,"",0)</f>
        <v/>
      </c>
    </row>
    <row r="4546" spans="1:8" x14ac:dyDescent="0.25">
      <c r="A4546" s="2">
        <v>44636</v>
      </c>
      <c r="B4546" s="1" t="s">
        <v>64</v>
      </c>
      <c r="C4546">
        <v>531</v>
      </c>
      <c r="D4546" s="1" t="s">
        <v>213</v>
      </c>
      <c r="E4546" s="1" t="s">
        <v>5</v>
      </c>
      <c r="F4546">
        <v>12</v>
      </c>
      <c r="G4546" s="1" t="str">
        <f>Ocupacao_DW[[#This Row],[data]]&amp;Ocupacao_DW[[#This Row],[profissional_id]]&amp;Ocupacao_DW[[#This Row],[local_id]]</f>
        <v>4463653112</v>
      </c>
      <c r="H4546" s="1">
        <f>_xlfn.XLOOKUP(Ocupacao_DW[[#This Row],[Concat]],Vagas!$H:$H,Vagas!$D:$D,"",0)</f>
        <v>0</v>
      </c>
    </row>
    <row r="4547" spans="1:8" x14ac:dyDescent="0.25">
      <c r="A4547" s="2">
        <v>44641</v>
      </c>
      <c r="B4547" s="1" t="s">
        <v>55</v>
      </c>
      <c r="C4547">
        <v>12669</v>
      </c>
      <c r="D4547" s="1" t="s">
        <v>223</v>
      </c>
      <c r="E4547" s="1" t="s">
        <v>6</v>
      </c>
      <c r="F4547">
        <v>6</v>
      </c>
      <c r="G4547" s="1" t="str">
        <f>Ocupacao_DW[[#This Row],[data]]&amp;Ocupacao_DW[[#This Row],[profissional_id]]&amp;Ocupacao_DW[[#This Row],[local_id]]</f>
        <v>44641126696</v>
      </c>
      <c r="H4547" s="1">
        <f>_xlfn.XLOOKUP(Ocupacao_DW[[#This Row],[Concat]],Vagas!$H:$H,Vagas!$D:$D,"",0)</f>
        <v>0</v>
      </c>
    </row>
    <row r="4548" spans="1:8" x14ac:dyDescent="0.25">
      <c r="A4548" s="2">
        <v>44641</v>
      </c>
      <c r="B4548" s="1" t="s">
        <v>52</v>
      </c>
      <c r="C4548">
        <v>10691</v>
      </c>
      <c r="D4548" s="1" t="s">
        <v>181</v>
      </c>
      <c r="E4548" s="1" t="s">
        <v>6</v>
      </c>
      <c r="F4548">
        <v>9</v>
      </c>
      <c r="G4548" s="1" t="str">
        <f>Ocupacao_DW[[#This Row],[data]]&amp;Ocupacao_DW[[#This Row],[profissional_id]]&amp;Ocupacao_DW[[#This Row],[local_id]]</f>
        <v>44641106919</v>
      </c>
      <c r="H4548" s="1">
        <f>_xlfn.XLOOKUP(Ocupacao_DW[[#This Row],[Concat]],Vagas!$H:$H,Vagas!$D:$D,"",0)</f>
        <v>0</v>
      </c>
    </row>
    <row r="4549" spans="1:8" x14ac:dyDescent="0.25">
      <c r="A4549" s="2">
        <v>44636</v>
      </c>
      <c r="B4549" s="1" t="s">
        <v>66</v>
      </c>
      <c r="C4549">
        <v>1343</v>
      </c>
      <c r="D4549" s="1" t="s">
        <v>263</v>
      </c>
      <c r="E4549" s="1" t="s">
        <v>7</v>
      </c>
      <c r="F4549">
        <v>64</v>
      </c>
      <c r="G4549" s="1" t="str">
        <f>Ocupacao_DW[[#This Row],[data]]&amp;Ocupacao_DW[[#This Row],[profissional_id]]&amp;Ocupacao_DW[[#This Row],[local_id]]</f>
        <v>44636134364</v>
      </c>
      <c r="H4549" s="1">
        <f>_xlfn.XLOOKUP(Ocupacao_DW[[#This Row],[Concat]],Vagas!$H:$H,Vagas!$D:$D,"",0)</f>
        <v>0</v>
      </c>
    </row>
    <row r="4550" spans="1:8" x14ac:dyDescent="0.25">
      <c r="A4550" s="2">
        <v>44635</v>
      </c>
      <c r="B4550" s="1" t="s">
        <v>43</v>
      </c>
      <c r="C4550">
        <v>57</v>
      </c>
      <c r="D4550" s="1" t="s">
        <v>169</v>
      </c>
      <c r="E4550" s="1" t="s">
        <v>6</v>
      </c>
      <c r="F4550">
        <v>2</v>
      </c>
      <c r="G4550" s="1" t="str">
        <f>Ocupacao_DW[[#This Row],[data]]&amp;Ocupacao_DW[[#This Row],[profissional_id]]&amp;Ocupacao_DW[[#This Row],[local_id]]</f>
        <v>44635572</v>
      </c>
      <c r="H4550" s="1">
        <f>_xlfn.XLOOKUP(Ocupacao_DW[[#This Row],[Concat]],Vagas!$H:$H,Vagas!$D:$D,"",0)</f>
        <v>0</v>
      </c>
    </row>
    <row r="4551" spans="1:8" x14ac:dyDescent="0.25">
      <c r="A4551" s="2">
        <v>44636</v>
      </c>
      <c r="B4551" s="1" t="s">
        <v>64</v>
      </c>
      <c r="C4551">
        <v>531</v>
      </c>
      <c r="D4551" s="1" t="s">
        <v>213</v>
      </c>
      <c r="E4551" s="1" t="s">
        <v>5</v>
      </c>
      <c r="F4551">
        <v>12</v>
      </c>
      <c r="G4551" s="1" t="str">
        <f>Ocupacao_DW[[#This Row],[data]]&amp;Ocupacao_DW[[#This Row],[profissional_id]]&amp;Ocupacao_DW[[#This Row],[local_id]]</f>
        <v>4463653112</v>
      </c>
      <c r="H4551" s="1">
        <f>_xlfn.XLOOKUP(Ocupacao_DW[[#This Row],[Concat]],Vagas!$H:$H,Vagas!$D:$D,"",0)</f>
        <v>0</v>
      </c>
    </row>
    <row r="4552" spans="1:8" x14ac:dyDescent="0.25">
      <c r="A4552" s="2">
        <v>44644</v>
      </c>
      <c r="B4552" s="1" t="s">
        <v>70</v>
      </c>
      <c r="C4552">
        <v>12519</v>
      </c>
      <c r="D4552" s="1" t="s">
        <v>176</v>
      </c>
      <c r="E4552" s="1" t="s">
        <v>4</v>
      </c>
      <c r="F4552">
        <v>42</v>
      </c>
      <c r="G4552" s="1" t="str">
        <f>Ocupacao_DW[[#This Row],[data]]&amp;Ocupacao_DW[[#This Row],[profissional_id]]&amp;Ocupacao_DW[[#This Row],[local_id]]</f>
        <v>446441251942</v>
      </c>
      <c r="H4552" s="1">
        <f>_xlfn.XLOOKUP(Ocupacao_DW[[#This Row],[Concat]],Vagas!$H:$H,Vagas!$D:$D,"",0)</f>
        <v>0</v>
      </c>
    </row>
    <row r="4553" spans="1:8" x14ac:dyDescent="0.25">
      <c r="A4553" s="2">
        <v>44643</v>
      </c>
      <c r="B4553" s="1" t="s">
        <v>47</v>
      </c>
      <c r="C4553">
        <v>12684</v>
      </c>
      <c r="D4553" s="1" t="s">
        <v>236</v>
      </c>
      <c r="E4553" s="1" t="s">
        <v>4</v>
      </c>
      <c r="F4553">
        <v>51</v>
      </c>
      <c r="G4553" s="1" t="str">
        <f>Ocupacao_DW[[#This Row],[data]]&amp;Ocupacao_DW[[#This Row],[profissional_id]]&amp;Ocupacao_DW[[#This Row],[local_id]]</f>
        <v>446431268451</v>
      </c>
      <c r="H4553" s="1">
        <f>_xlfn.XLOOKUP(Ocupacao_DW[[#This Row],[Concat]],Vagas!$H:$H,Vagas!$D:$D,"",0)</f>
        <v>0</v>
      </c>
    </row>
    <row r="4554" spans="1:8" x14ac:dyDescent="0.25">
      <c r="A4554" s="2">
        <v>44639</v>
      </c>
      <c r="B4554" s="1" t="s">
        <v>43</v>
      </c>
      <c r="C4554">
        <v>57</v>
      </c>
      <c r="D4554" s="1" t="s">
        <v>169</v>
      </c>
      <c r="E4554" s="1" t="s">
        <v>6</v>
      </c>
      <c r="F4554">
        <v>2</v>
      </c>
      <c r="G4554" s="1" t="str">
        <f>Ocupacao_DW[[#This Row],[data]]&amp;Ocupacao_DW[[#This Row],[profissional_id]]&amp;Ocupacao_DW[[#This Row],[local_id]]</f>
        <v>44639572</v>
      </c>
      <c r="H4554" s="1">
        <f>_xlfn.XLOOKUP(Ocupacao_DW[[#This Row],[Concat]],Vagas!$H:$H,Vagas!$D:$D,"",0)</f>
        <v>0</v>
      </c>
    </row>
    <row r="4555" spans="1:8" x14ac:dyDescent="0.25">
      <c r="A4555" s="2">
        <v>44635</v>
      </c>
      <c r="B4555" s="1" t="s">
        <v>49</v>
      </c>
      <c r="C4555">
        <v>10600</v>
      </c>
      <c r="D4555" s="1" t="s">
        <v>248</v>
      </c>
      <c r="E4555" s="1" t="s">
        <v>200</v>
      </c>
      <c r="F4555">
        <v>86</v>
      </c>
      <c r="G4555" s="1" t="str">
        <f>Ocupacao_DW[[#This Row],[data]]&amp;Ocupacao_DW[[#This Row],[profissional_id]]&amp;Ocupacao_DW[[#This Row],[local_id]]</f>
        <v>446351060086</v>
      </c>
      <c r="H4555" s="1">
        <f>_xlfn.XLOOKUP(Ocupacao_DW[[#This Row],[Concat]],Vagas!$H:$H,Vagas!$D:$D,"",0)</f>
        <v>0</v>
      </c>
    </row>
    <row r="4556" spans="1:8" x14ac:dyDescent="0.25">
      <c r="A4556" s="2">
        <v>44636</v>
      </c>
      <c r="B4556" s="1" t="s">
        <v>72</v>
      </c>
      <c r="C4556">
        <v>1794</v>
      </c>
      <c r="D4556" s="1" t="s">
        <v>235</v>
      </c>
      <c r="E4556" s="1" t="s">
        <v>4</v>
      </c>
      <c r="F4556">
        <v>49</v>
      </c>
      <c r="G4556" s="1" t="str">
        <f>Ocupacao_DW[[#This Row],[data]]&amp;Ocupacao_DW[[#This Row],[profissional_id]]&amp;Ocupacao_DW[[#This Row],[local_id]]</f>
        <v>44636179449</v>
      </c>
      <c r="H4556" s="1">
        <f>_xlfn.XLOOKUP(Ocupacao_DW[[#This Row],[Concat]],Vagas!$H:$H,Vagas!$D:$D,"",0)</f>
        <v>0</v>
      </c>
    </row>
    <row r="4557" spans="1:8" x14ac:dyDescent="0.25">
      <c r="A4557" s="2">
        <v>44637</v>
      </c>
      <c r="B4557" s="1" t="s">
        <v>72</v>
      </c>
      <c r="C4557">
        <v>6046</v>
      </c>
      <c r="D4557" s="1" t="s">
        <v>222</v>
      </c>
      <c r="E4557" s="1" t="s">
        <v>4</v>
      </c>
      <c r="F4557">
        <v>46</v>
      </c>
      <c r="G4557" s="1" t="str">
        <f>Ocupacao_DW[[#This Row],[data]]&amp;Ocupacao_DW[[#This Row],[profissional_id]]&amp;Ocupacao_DW[[#This Row],[local_id]]</f>
        <v>44637604646</v>
      </c>
      <c r="H4557" s="1">
        <f>_xlfn.XLOOKUP(Ocupacao_DW[[#This Row],[Concat]],Vagas!$H:$H,Vagas!$D:$D,"",0)</f>
        <v>0</v>
      </c>
    </row>
    <row r="4558" spans="1:8" x14ac:dyDescent="0.25">
      <c r="A4558" s="2">
        <v>44635</v>
      </c>
      <c r="B4558" s="1"/>
      <c r="C4558">
        <v>0</v>
      </c>
      <c r="D4558" s="1"/>
      <c r="E4558" s="1" t="s">
        <v>4</v>
      </c>
      <c r="F4558">
        <v>39</v>
      </c>
      <c r="G4558" s="1" t="str">
        <f>Ocupacao_DW[[#This Row],[data]]&amp;Ocupacao_DW[[#This Row],[profissional_id]]&amp;Ocupacao_DW[[#This Row],[local_id]]</f>
        <v>44635039</v>
      </c>
      <c r="H4558" s="1" t="str">
        <f>_xlfn.XLOOKUP(Ocupacao_DW[[#This Row],[Concat]],Vagas!$H:$H,Vagas!$D:$D,"",0)</f>
        <v/>
      </c>
    </row>
    <row r="4559" spans="1:8" x14ac:dyDescent="0.25">
      <c r="A4559" s="2">
        <v>44636</v>
      </c>
      <c r="B4559" s="1" t="s">
        <v>56</v>
      </c>
      <c r="C4559">
        <v>5927</v>
      </c>
      <c r="D4559" s="1" t="s">
        <v>226</v>
      </c>
      <c r="E4559" s="1" t="s">
        <v>5</v>
      </c>
      <c r="F4559">
        <v>17</v>
      </c>
      <c r="G4559" s="1" t="str">
        <f>Ocupacao_DW[[#This Row],[data]]&amp;Ocupacao_DW[[#This Row],[profissional_id]]&amp;Ocupacao_DW[[#This Row],[local_id]]</f>
        <v>44636592717</v>
      </c>
      <c r="H4559" s="1">
        <f>_xlfn.XLOOKUP(Ocupacao_DW[[#This Row],[Concat]],Vagas!$H:$H,Vagas!$D:$D,"",0)</f>
        <v>0</v>
      </c>
    </row>
    <row r="4560" spans="1:8" x14ac:dyDescent="0.25">
      <c r="A4560" s="2">
        <v>44635</v>
      </c>
      <c r="B4560" s="1" t="s">
        <v>20</v>
      </c>
      <c r="C4560">
        <v>174</v>
      </c>
      <c r="D4560" s="1" t="s">
        <v>230</v>
      </c>
      <c r="E4560" s="1" t="s">
        <v>167</v>
      </c>
      <c r="F4560">
        <v>24</v>
      </c>
      <c r="G4560" s="1" t="str">
        <f>Ocupacao_DW[[#This Row],[data]]&amp;Ocupacao_DW[[#This Row],[profissional_id]]&amp;Ocupacao_DW[[#This Row],[local_id]]</f>
        <v>4463517424</v>
      </c>
      <c r="H4560" s="1">
        <f>_xlfn.XLOOKUP(Ocupacao_DW[[#This Row],[Concat]],Vagas!$H:$H,Vagas!$D:$D,"",0)</f>
        <v>66</v>
      </c>
    </row>
    <row r="4561" spans="1:8" x14ac:dyDescent="0.25">
      <c r="A4561" s="2">
        <v>44657</v>
      </c>
      <c r="B4561" s="1" t="s">
        <v>55</v>
      </c>
      <c r="C4561">
        <v>73</v>
      </c>
      <c r="D4561" s="1" t="s">
        <v>171</v>
      </c>
      <c r="E4561" s="1" t="s">
        <v>6</v>
      </c>
      <c r="F4561">
        <v>5</v>
      </c>
      <c r="G4561" s="1" t="str">
        <f>Ocupacao_DW[[#This Row],[data]]&amp;Ocupacao_DW[[#This Row],[profissional_id]]&amp;Ocupacao_DW[[#This Row],[local_id]]</f>
        <v>44657735</v>
      </c>
      <c r="H4561" s="1">
        <f>_xlfn.XLOOKUP(Ocupacao_DW[[#This Row],[Concat]],Vagas!$H:$H,Vagas!$D:$D,"",0)</f>
        <v>0</v>
      </c>
    </row>
    <row r="4562" spans="1:8" x14ac:dyDescent="0.25">
      <c r="A4562" s="2">
        <v>44651</v>
      </c>
      <c r="B4562" s="1" t="s">
        <v>66</v>
      </c>
      <c r="C4562">
        <v>100</v>
      </c>
      <c r="D4562" s="1" t="s">
        <v>166</v>
      </c>
      <c r="E4562" s="1" t="s">
        <v>167</v>
      </c>
      <c r="F4562">
        <v>342</v>
      </c>
      <c r="G4562" s="1" t="str">
        <f>Ocupacao_DW[[#This Row],[data]]&amp;Ocupacao_DW[[#This Row],[profissional_id]]&amp;Ocupacao_DW[[#This Row],[local_id]]</f>
        <v>44651100342</v>
      </c>
      <c r="H4562" s="1">
        <f>_xlfn.XLOOKUP(Ocupacao_DW[[#This Row],[Concat]],Vagas!$H:$H,Vagas!$D:$D,"",0)</f>
        <v>0</v>
      </c>
    </row>
    <row r="4563" spans="1:8" x14ac:dyDescent="0.25">
      <c r="A4563" s="2">
        <v>44643</v>
      </c>
      <c r="B4563" s="1" t="s">
        <v>70</v>
      </c>
      <c r="C4563">
        <v>12825</v>
      </c>
      <c r="D4563" s="1" t="s">
        <v>177</v>
      </c>
      <c r="E4563" s="1" t="s">
        <v>4</v>
      </c>
      <c r="F4563">
        <v>45</v>
      </c>
      <c r="G4563" s="1" t="str">
        <f>Ocupacao_DW[[#This Row],[data]]&amp;Ocupacao_DW[[#This Row],[profissional_id]]&amp;Ocupacao_DW[[#This Row],[local_id]]</f>
        <v>446431282545</v>
      </c>
      <c r="H4563" s="1">
        <f>_xlfn.XLOOKUP(Ocupacao_DW[[#This Row],[Concat]],Vagas!$H:$H,Vagas!$D:$D,"",0)</f>
        <v>0</v>
      </c>
    </row>
    <row r="4564" spans="1:8" x14ac:dyDescent="0.25">
      <c r="A4564" s="2">
        <v>44635</v>
      </c>
      <c r="B4564" s="1" t="s">
        <v>49</v>
      </c>
      <c r="C4564">
        <v>81</v>
      </c>
      <c r="D4564" s="1" t="s">
        <v>170</v>
      </c>
      <c r="E4564" s="1" t="s">
        <v>4</v>
      </c>
      <c r="F4564">
        <v>41</v>
      </c>
      <c r="G4564" s="1" t="str">
        <f>Ocupacao_DW[[#This Row],[data]]&amp;Ocupacao_DW[[#This Row],[profissional_id]]&amp;Ocupacao_DW[[#This Row],[local_id]]</f>
        <v>446358141</v>
      </c>
      <c r="H4564" s="1">
        <f>_xlfn.XLOOKUP(Ocupacao_DW[[#This Row],[Concat]],Vagas!$H:$H,Vagas!$D:$D,"",0)</f>
        <v>0</v>
      </c>
    </row>
    <row r="4565" spans="1:8" x14ac:dyDescent="0.25">
      <c r="A4565" s="2">
        <v>44638</v>
      </c>
      <c r="B4565" s="1" t="s">
        <v>56</v>
      </c>
      <c r="C4565">
        <v>5927</v>
      </c>
      <c r="D4565" s="1" t="s">
        <v>226</v>
      </c>
      <c r="E4565" s="1" t="s">
        <v>5</v>
      </c>
      <c r="F4565">
        <v>17</v>
      </c>
      <c r="G4565" s="1" t="str">
        <f>Ocupacao_DW[[#This Row],[data]]&amp;Ocupacao_DW[[#This Row],[profissional_id]]&amp;Ocupacao_DW[[#This Row],[local_id]]</f>
        <v>44638592717</v>
      </c>
      <c r="H4565" s="1">
        <f>_xlfn.XLOOKUP(Ocupacao_DW[[#This Row],[Concat]],Vagas!$H:$H,Vagas!$D:$D,"",0)</f>
        <v>0</v>
      </c>
    </row>
    <row r="4566" spans="1:8" x14ac:dyDescent="0.25">
      <c r="A4566" s="2">
        <v>44638</v>
      </c>
      <c r="B4566" s="1" t="s">
        <v>66</v>
      </c>
      <c r="C4566">
        <v>3158</v>
      </c>
      <c r="D4566" s="1" t="s">
        <v>267</v>
      </c>
      <c r="E4566" s="1" t="s">
        <v>167</v>
      </c>
      <c r="F4566">
        <v>342</v>
      </c>
      <c r="G4566" s="1" t="str">
        <f>Ocupacao_DW[[#This Row],[data]]&amp;Ocupacao_DW[[#This Row],[profissional_id]]&amp;Ocupacao_DW[[#This Row],[local_id]]</f>
        <v>446383158342</v>
      </c>
      <c r="H4566" s="1">
        <f>_xlfn.XLOOKUP(Ocupacao_DW[[#This Row],[Concat]],Vagas!$H:$H,Vagas!$D:$D,"",0)</f>
        <v>0</v>
      </c>
    </row>
    <row r="4567" spans="1:8" x14ac:dyDescent="0.25">
      <c r="A4567" s="2">
        <v>44638</v>
      </c>
      <c r="B4567" s="1" t="s">
        <v>47</v>
      </c>
      <c r="C4567">
        <v>13371</v>
      </c>
      <c r="D4567" s="1" t="s">
        <v>205</v>
      </c>
      <c r="E4567" s="1" t="s">
        <v>4</v>
      </c>
      <c r="F4567">
        <v>336</v>
      </c>
      <c r="G4567" s="1" t="str">
        <f>Ocupacao_DW[[#This Row],[data]]&amp;Ocupacao_DW[[#This Row],[profissional_id]]&amp;Ocupacao_DW[[#This Row],[local_id]]</f>
        <v>4463813371336</v>
      </c>
      <c r="H4567" s="1" t="str">
        <f>_xlfn.XLOOKUP(Ocupacao_DW[[#This Row],[Concat]],Vagas!$H:$H,Vagas!$D:$D,"",0)</f>
        <v/>
      </c>
    </row>
    <row r="4568" spans="1:8" x14ac:dyDescent="0.25">
      <c r="A4568" s="2">
        <v>44635</v>
      </c>
      <c r="B4568" s="1" t="s">
        <v>53</v>
      </c>
      <c r="C4568">
        <v>9138</v>
      </c>
      <c r="D4568" s="1" t="s">
        <v>184</v>
      </c>
      <c r="E4568" s="1" t="s">
        <v>167</v>
      </c>
      <c r="F4568">
        <v>344</v>
      </c>
      <c r="G4568" s="1" t="str">
        <f>Ocupacao_DW[[#This Row],[data]]&amp;Ocupacao_DW[[#This Row],[profissional_id]]&amp;Ocupacao_DW[[#This Row],[local_id]]</f>
        <v>446359138344</v>
      </c>
      <c r="H4568" s="1">
        <f>_xlfn.XLOOKUP(Ocupacao_DW[[#This Row],[Concat]],Vagas!$H:$H,Vagas!$D:$D,"",0)</f>
        <v>0</v>
      </c>
    </row>
    <row r="4569" spans="1:8" x14ac:dyDescent="0.25">
      <c r="A4569" s="2">
        <v>44638</v>
      </c>
      <c r="B4569" s="1" t="s">
        <v>62</v>
      </c>
      <c r="C4569">
        <v>2567</v>
      </c>
      <c r="D4569" s="1" t="s">
        <v>198</v>
      </c>
      <c r="E4569" s="1" t="s">
        <v>5</v>
      </c>
      <c r="F4569">
        <v>18</v>
      </c>
      <c r="G4569" s="1" t="str">
        <f>Ocupacao_DW[[#This Row],[data]]&amp;Ocupacao_DW[[#This Row],[profissional_id]]&amp;Ocupacao_DW[[#This Row],[local_id]]</f>
        <v>44638256718</v>
      </c>
      <c r="H4569" s="1">
        <f>_xlfn.XLOOKUP(Ocupacao_DW[[#This Row],[Concat]],Vagas!$H:$H,Vagas!$D:$D,"",0)</f>
        <v>0</v>
      </c>
    </row>
    <row r="4570" spans="1:8" x14ac:dyDescent="0.25">
      <c r="A4570" s="2">
        <v>44643</v>
      </c>
      <c r="B4570" s="1" t="s">
        <v>49</v>
      </c>
      <c r="C4570">
        <v>81</v>
      </c>
      <c r="D4570" s="1" t="s">
        <v>170</v>
      </c>
      <c r="E4570" s="1" t="s">
        <v>4</v>
      </c>
      <c r="F4570">
        <v>41</v>
      </c>
      <c r="G4570" s="1" t="str">
        <f>Ocupacao_DW[[#This Row],[data]]&amp;Ocupacao_DW[[#This Row],[profissional_id]]&amp;Ocupacao_DW[[#This Row],[local_id]]</f>
        <v>446438141</v>
      </c>
      <c r="H4570" s="1">
        <f>_xlfn.XLOOKUP(Ocupacao_DW[[#This Row],[Concat]],Vagas!$H:$H,Vagas!$D:$D,"",0)</f>
        <v>0</v>
      </c>
    </row>
    <row r="4571" spans="1:8" x14ac:dyDescent="0.25">
      <c r="A4571" s="2">
        <v>44636</v>
      </c>
      <c r="B4571" s="1" t="s">
        <v>52</v>
      </c>
      <c r="C4571">
        <v>60</v>
      </c>
      <c r="D4571" s="1" t="s">
        <v>217</v>
      </c>
      <c r="E4571" s="1" t="s">
        <v>6</v>
      </c>
      <c r="F4571">
        <v>8</v>
      </c>
      <c r="G4571" s="1" t="str">
        <f>Ocupacao_DW[[#This Row],[data]]&amp;Ocupacao_DW[[#This Row],[profissional_id]]&amp;Ocupacao_DW[[#This Row],[local_id]]</f>
        <v>44636608</v>
      </c>
      <c r="H4571" s="1">
        <f>_xlfn.XLOOKUP(Ocupacao_DW[[#This Row],[Concat]],Vagas!$H:$H,Vagas!$D:$D,"",0)</f>
        <v>0</v>
      </c>
    </row>
    <row r="4572" spans="1:8" x14ac:dyDescent="0.25">
      <c r="A4572" s="2">
        <v>44650</v>
      </c>
      <c r="B4572" s="1" t="s">
        <v>43</v>
      </c>
      <c r="C4572">
        <v>2396</v>
      </c>
      <c r="D4572" s="1" t="s">
        <v>197</v>
      </c>
      <c r="E4572" s="1" t="s">
        <v>6</v>
      </c>
      <c r="F4572">
        <v>2</v>
      </c>
      <c r="G4572" s="1" t="str">
        <f>Ocupacao_DW[[#This Row],[data]]&amp;Ocupacao_DW[[#This Row],[profissional_id]]&amp;Ocupacao_DW[[#This Row],[local_id]]</f>
        <v>4465023962</v>
      </c>
      <c r="H4572" s="1">
        <f>_xlfn.XLOOKUP(Ocupacao_DW[[#This Row],[Concat]],Vagas!$H:$H,Vagas!$D:$D,"",0)</f>
        <v>0</v>
      </c>
    </row>
    <row r="4573" spans="1:8" x14ac:dyDescent="0.25">
      <c r="A4573" s="2">
        <v>44635</v>
      </c>
      <c r="B4573" s="1" t="s">
        <v>65</v>
      </c>
      <c r="C4573">
        <v>11652</v>
      </c>
      <c r="D4573" s="1" t="s">
        <v>242</v>
      </c>
      <c r="E4573" s="1" t="s">
        <v>4</v>
      </c>
      <c r="F4573">
        <v>47</v>
      </c>
      <c r="G4573" s="1" t="str">
        <f>Ocupacao_DW[[#This Row],[data]]&amp;Ocupacao_DW[[#This Row],[profissional_id]]&amp;Ocupacao_DW[[#This Row],[local_id]]</f>
        <v>446351165247</v>
      </c>
      <c r="H4573" s="1">
        <f>_xlfn.XLOOKUP(Ocupacao_DW[[#This Row],[Concat]],Vagas!$H:$H,Vagas!$D:$D,"",0)</f>
        <v>0</v>
      </c>
    </row>
    <row r="4574" spans="1:8" x14ac:dyDescent="0.25">
      <c r="A4574" s="2">
        <v>44649</v>
      </c>
      <c r="B4574" s="1" t="s">
        <v>47</v>
      </c>
      <c r="C4574">
        <v>111</v>
      </c>
      <c r="D4574" s="1" t="s">
        <v>199</v>
      </c>
      <c r="E4574" s="1" t="s">
        <v>4</v>
      </c>
      <c r="F4574">
        <v>51</v>
      </c>
      <c r="G4574" s="1" t="str">
        <f>Ocupacao_DW[[#This Row],[data]]&amp;Ocupacao_DW[[#This Row],[profissional_id]]&amp;Ocupacao_DW[[#This Row],[local_id]]</f>
        <v>4464911151</v>
      </c>
      <c r="H4574" s="1">
        <f>_xlfn.XLOOKUP(Ocupacao_DW[[#This Row],[Concat]],Vagas!$H:$H,Vagas!$D:$D,"",0)</f>
        <v>39</v>
      </c>
    </row>
    <row r="4575" spans="1:8" x14ac:dyDescent="0.25">
      <c r="A4575" s="2">
        <v>44637</v>
      </c>
      <c r="B4575" s="1" t="s">
        <v>47</v>
      </c>
      <c r="C4575">
        <v>9111</v>
      </c>
      <c r="D4575" s="1" t="s">
        <v>206</v>
      </c>
      <c r="E4575" s="1" t="s">
        <v>4</v>
      </c>
      <c r="F4575">
        <v>334</v>
      </c>
      <c r="G4575" s="1" t="str">
        <f>Ocupacao_DW[[#This Row],[data]]&amp;Ocupacao_DW[[#This Row],[profissional_id]]&amp;Ocupacao_DW[[#This Row],[local_id]]</f>
        <v>446379111334</v>
      </c>
      <c r="H4575" s="1">
        <f>_xlfn.XLOOKUP(Ocupacao_DW[[#This Row],[Concat]],Vagas!$H:$H,Vagas!$D:$D,"",0)</f>
        <v>0</v>
      </c>
    </row>
    <row r="4576" spans="1:8" x14ac:dyDescent="0.25">
      <c r="A4576" s="2">
        <v>44642</v>
      </c>
      <c r="B4576" s="1" t="s">
        <v>52</v>
      </c>
      <c r="C4576">
        <v>13061</v>
      </c>
      <c r="D4576" s="1" t="s">
        <v>232</v>
      </c>
      <c r="E4576" s="1" t="s">
        <v>6</v>
      </c>
      <c r="F4576">
        <v>9</v>
      </c>
      <c r="G4576" s="1" t="str">
        <f>Ocupacao_DW[[#This Row],[data]]&amp;Ocupacao_DW[[#This Row],[profissional_id]]&amp;Ocupacao_DW[[#This Row],[local_id]]</f>
        <v>44642130619</v>
      </c>
      <c r="H4576" s="1">
        <f>_xlfn.XLOOKUP(Ocupacao_DW[[#This Row],[Concat]],Vagas!$H:$H,Vagas!$D:$D,"",0)</f>
        <v>0</v>
      </c>
    </row>
    <row r="4577" spans="1:8" x14ac:dyDescent="0.25">
      <c r="A4577" s="2">
        <v>44637</v>
      </c>
      <c r="B4577" s="1" t="s">
        <v>55</v>
      </c>
      <c r="C4577">
        <v>8598</v>
      </c>
      <c r="D4577" s="1" t="s">
        <v>228</v>
      </c>
      <c r="E4577" s="1" t="s">
        <v>6</v>
      </c>
      <c r="F4577">
        <v>3</v>
      </c>
      <c r="G4577" s="1" t="str">
        <f>Ocupacao_DW[[#This Row],[data]]&amp;Ocupacao_DW[[#This Row],[profissional_id]]&amp;Ocupacao_DW[[#This Row],[local_id]]</f>
        <v>4463785983</v>
      </c>
      <c r="H4577" s="1">
        <f>_xlfn.XLOOKUP(Ocupacao_DW[[#This Row],[Concat]],Vagas!$H:$H,Vagas!$D:$D,"",0)</f>
        <v>0</v>
      </c>
    </row>
    <row r="4578" spans="1:8" x14ac:dyDescent="0.25">
      <c r="A4578" s="2">
        <v>44639</v>
      </c>
      <c r="B4578" s="1" t="s">
        <v>47</v>
      </c>
      <c r="C4578">
        <v>111</v>
      </c>
      <c r="D4578" s="1" t="s">
        <v>199</v>
      </c>
      <c r="E4578" s="1" t="s">
        <v>4</v>
      </c>
      <c r="F4578">
        <v>51</v>
      </c>
      <c r="G4578" s="1" t="str">
        <f>Ocupacao_DW[[#This Row],[data]]&amp;Ocupacao_DW[[#This Row],[profissional_id]]&amp;Ocupacao_DW[[#This Row],[local_id]]</f>
        <v>4463911151</v>
      </c>
      <c r="H4578" s="1">
        <f>_xlfn.XLOOKUP(Ocupacao_DW[[#This Row],[Concat]],Vagas!$H:$H,Vagas!$D:$D,"",0)</f>
        <v>0</v>
      </c>
    </row>
    <row r="4579" spans="1:8" x14ac:dyDescent="0.25">
      <c r="A4579" s="2">
        <v>44643</v>
      </c>
      <c r="B4579" s="1" t="s">
        <v>51</v>
      </c>
      <c r="C4579">
        <v>17859</v>
      </c>
      <c r="D4579" s="1" t="s">
        <v>212</v>
      </c>
      <c r="E4579" s="1" t="s">
        <v>6</v>
      </c>
      <c r="F4579">
        <v>7</v>
      </c>
      <c r="G4579" s="1" t="str">
        <f>Ocupacao_DW[[#This Row],[data]]&amp;Ocupacao_DW[[#This Row],[profissional_id]]&amp;Ocupacao_DW[[#This Row],[local_id]]</f>
        <v>44643178597</v>
      </c>
      <c r="H4579" s="1">
        <f>_xlfn.XLOOKUP(Ocupacao_DW[[#This Row],[Concat]],Vagas!$H:$H,Vagas!$D:$D,"",0)</f>
        <v>0</v>
      </c>
    </row>
    <row r="4580" spans="1:8" x14ac:dyDescent="0.25">
      <c r="A4580" s="2">
        <v>44639</v>
      </c>
      <c r="B4580" s="1" t="s">
        <v>42</v>
      </c>
      <c r="C4580">
        <v>282</v>
      </c>
      <c r="D4580" s="1" t="s">
        <v>210</v>
      </c>
      <c r="E4580" s="1" t="s">
        <v>4</v>
      </c>
      <c r="F4580">
        <v>39</v>
      </c>
      <c r="G4580" s="1" t="str">
        <f>Ocupacao_DW[[#This Row],[data]]&amp;Ocupacao_DW[[#This Row],[profissional_id]]&amp;Ocupacao_DW[[#This Row],[local_id]]</f>
        <v>4463928239</v>
      </c>
      <c r="H4580" s="1">
        <f>_xlfn.XLOOKUP(Ocupacao_DW[[#This Row],[Concat]],Vagas!$H:$H,Vagas!$D:$D,"",0)</f>
        <v>23</v>
      </c>
    </row>
    <row r="4581" spans="1:8" x14ac:dyDescent="0.25">
      <c r="A4581" s="2">
        <v>44644</v>
      </c>
      <c r="B4581" s="1" t="s">
        <v>70</v>
      </c>
      <c r="C4581">
        <v>12519</v>
      </c>
      <c r="D4581" s="1" t="s">
        <v>176</v>
      </c>
      <c r="E4581" s="1" t="s">
        <v>4</v>
      </c>
      <c r="F4581">
        <v>42</v>
      </c>
      <c r="G4581" s="1" t="str">
        <f>Ocupacao_DW[[#This Row],[data]]&amp;Ocupacao_DW[[#This Row],[profissional_id]]&amp;Ocupacao_DW[[#This Row],[local_id]]</f>
        <v>446441251942</v>
      </c>
      <c r="H4581" s="1">
        <f>_xlfn.XLOOKUP(Ocupacao_DW[[#This Row],[Concat]],Vagas!$H:$H,Vagas!$D:$D,"",0)</f>
        <v>0</v>
      </c>
    </row>
    <row r="4582" spans="1:8" x14ac:dyDescent="0.25">
      <c r="A4582" s="2">
        <v>44648</v>
      </c>
      <c r="B4582" s="1" t="s">
        <v>69</v>
      </c>
      <c r="C4582">
        <v>13249</v>
      </c>
      <c r="D4582" s="1" t="s">
        <v>178</v>
      </c>
      <c r="E4582" s="1" t="s">
        <v>4</v>
      </c>
      <c r="F4582">
        <v>45</v>
      </c>
      <c r="G4582" s="1" t="str">
        <f>Ocupacao_DW[[#This Row],[data]]&amp;Ocupacao_DW[[#This Row],[profissional_id]]&amp;Ocupacao_DW[[#This Row],[local_id]]</f>
        <v>446481324945</v>
      </c>
      <c r="H4582" s="1">
        <f>_xlfn.XLOOKUP(Ocupacao_DW[[#This Row],[Concat]],Vagas!$H:$H,Vagas!$D:$D,"",0)</f>
        <v>0</v>
      </c>
    </row>
    <row r="4583" spans="1:8" x14ac:dyDescent="0.25">
      <c r="A4583" s="2">
        <v>44637</v>
      </c>
      <c r="B4583" s="1" t="s">
        <v>52</v>
      </c>
      <c r="C4583">
        <v>60</v>
      </c>
      <c r="D4583" s="1" t="s">
        <v>217</v>
      </c>
      <c r="E4583" s="1" t="s">
        <v>167</v>
      </c>
      <c r="F4583">
        <v>346</v>
      </c>
      <c r="G4583" s="1" t="str">
        <f>Ocupacao_DW[[#This Row],[data]]&amp;Ocupacao_DW[[#This Row],[profissional_id]]&amp;Ocupacao_DW[[#This Row],[local_id]]</f>
        <v>4463760346</v>
      </c>
      <c r="H4583" s="1">
        <f>_xlfn.XLOOKUP(Ocupacao_DW[[#This Row],[Concat]],Vagas!$H:$H,Vagas!$D:$D,"",0)</f>
        <v>0</v>
      </c>
    </row>
    <row r="4584" spans="1:8" x14ac:dyDescent="0.25">
      <c r="A4584" s="2">
        <v>44642</v>
      </c>
      <c r="B4584" s="1" t="s">
        <v>55</v>
      </c>
      <c r="C4584">
        <v>73</v>
      </c>
      <c r="D4584" s="1" t="s">
        <v>171</v>
      </c>
      <c r="E4584" s="1" t="s">
        <v>6</v>
      </c>
      <c r="F4584">
        <v>5</v>
      </c>
      <c r="G4584" s="1" t="str">
        <f>Ocupacao_DW[[#This Row],[data]]&amp;Ocupacao_DW[[#This Row],[profissional_id]]&amp;Ocupacao_DW[[#This Row],[local_id]]</f>
        <v>44642735</v>
      </c>
      <c r="H4584" s="1">
        <f>_xlfn.XLOOKUP(Ocupacao_DW[[#This Row],[Concat]],Vagas!$H:$H,Vagas!$D:$D,"",0)</f>
        <v>0</v>
      </c>
    </row>
    <row r="4585" spans="1:8" x14ac:dyDescent="0.25">
      <c r="A4585" s="2">
        <v>44656</v>
      </c>
      <c r="B4585" s="1" t="s">
        <v>55</v>
      </c>
      <c r="C4585">
        <v>73</v>
      </c>
      <c r="D4585" s="1" t="s">
        <v>171</v>
      </c>
      <c r="E4585" s="1" t="s">
        <v>6</v>
      </c>
      <c r="F4585">
        <v>5</v>
      </c>
      <c r="G4585" s="1" t="str">
        <f>Ocupacao_DW[[#This Row],[data]]&amp;Ocupacao_DW[[#This Row],[profissional_id]]&amp;Ocupacao_DW[[#This Row],[local_id]]</f>
        <v>44656735</v>
      </c>
      <c r="H4585" s="1">
        <f>_xlfn.XLOOKUP(Ocupacao_DW[[#This Row],[Concat]],Vagas!$H:$H,Vagas!$D:$D,"",0)</f>
        <v>0</v>
      </c>
    </row>
    <row r="4586" spans="1:8" x14ac:dyDescent="0.25">
      <c r="A4586" s="2">
        <v>44636</v>
      </c>
      <c r="B4586" s="1" t="s">
        <v>52</v>
      </c>
      <c r="C4586">
        <v>60</v>
      </c>
      <c r="D4586" s="1" t="s">
        <v>217</v>
      </c>
      <c r="E4586" s="1" t="s">
        <v>167</v>
      </c>
      <c r="F4586">
        <v>346</v>
      </c>
      <c r="G4586" s="1" t="str">
        <f>Ocupacao_DW[[#This Row],[data]]&amp;Ocupacao_DW[[#This Row],[profissional_id]]&amp;Ocupacao_DW[[#This Row],[local_id]]</f>
        <v>4463660346</v>
      </c>
      <c r="H4586" s="1">
        <f>_xlfn.XLOOKUP(Ocupacao_DW[[#This Row],[Concat]],Vagas!$H:$H,Vagas!$D:$D,"",0)</f>
        <v>0</v>
      </c>
    </row>
    <row r="4587" spans="1:8" x14ac:dyDescent="0.25">
      <c r="A4587" s="2">
        <v>44636</v>
      </c>
      <c r="B4587" s="1" t="s">
        <v>62</v>
      </c>
      <c r="C4587">
        <v>10799</v>
      </c>
      <c r="D4587" s="1" t="s">
        <v>204</v>
      </c>
      <c r="E4587" s="1" t="s">
        <v>5</v>
      </c>
      <c r="F4587">
        <v>18</v>
      </c>
      <c r="G4587" s="1" t="str">
        <f>Ocupacao_DW[[#This Row],[data]]&amp;Ocupacao_DW[[#This Row],[profissional_id]]&amp;Ocupacao_DW[[#This Row],[local_id]]</f>
        <v>446361079918</v>
      </c>
      <c r="H4587" s="1">
        <f>_xlfn.XLOOKUP(Ocupacao_DW[[#This Row],[Concat]],Vagas!$H:$H,Vagas!$D:$D,"",0)</f>
        <v>0</v>
      </c>
    </row>
    <row r="4588" spans="1:8" x14ac:dyDescent="0.25">
      <c r="A4588" s="2">
        <v>44638</v>
      </c>
      <c r="B4588" s="1" t="s">
        <v>72</v>
      </c>
      <c r="C4588">
        <v>13479</v>
      </c>
      <c r="D4588" s="1" t="s">
        <v>203</v>
      </c>
      <c r="E4588" s="1" t="s">
        <v>200</v>
      </c>
      <c r="F4588">
        <v>83</v>
      </c>
      <c r="G4588" s="1" t="str">
        <f>Ocupacao_DW[[#This Row],[data]]&amp;Ocupacao_DW[[#This Row],[profissional_id]]&amp;Ocupacao_DW[[#This Row],[local_id]]</f>
        <v>446381347983</v>
      </c>
      <c r="H4588" s="1">
        <f>_xlfn.XLOOKUP(Ocupacao_DW[[#This Row],[Concat]],Vagas!$H:$H,Vagas!$D:$D,"",0)</f>
        <v>0</v>
      </c>
    </row>
    <row r="4589" spans="1:8" x14ac:dyDescent="0.25">
      <c r="A4589" s="2">
        <v>44636</v>
      </c>
      <c r="B4589" s="1" t="s">
        <v>69</v>
      </c>
      <c r="C4589">
        <v>17878</v>
      </c>
      <c r="D4589" s="1" t="s">
        <v>183</v>
      </c>
      <c r="E4589" s="1" t="s">
        <v>7</v>
      </c>
      <c r="F4589">
        <v>63</v>
      </c>
      <c r="G4589" s="1" t="str">
        <f>Ocupacao_DW[[#This Row],[data]]&amp;Ocupacao_DW[[#This Row],[profissional_id]]&amp;Ocupacao_DW[[#This Row],[local_id]]</f>
        <v>446361787863</v>
      </c>
      <c r="H4589" s="1">
        <f>_xlfn.XLOOKUP(Ocupacao_DW[[#This Row],[Concat]],Vagas!$H:$H,Vagas!$D:$D,"",0)</f>
        <v>0</v>
      </c>
    </row>
    <row r="4590" spans="1:8" x14ac:dyDescent="0.25">
      <c r="A4590" s="2">
        <v>44641</v>
      </c>
      <c r="B4590" s="1" t="s">
        <v>55</v>
      </c>
      <c r="C4590">
        <v>12669</v>
      </c>
      <c r="D4590" s="1" t="s">
        <v>223</v>
      </c>
      <c r="E4590" s="1" t="s">
        <v>6</v>
      </c>
      <c r="F4590">
        <v>6</v>
      </c>
      <c r="G4590" s="1" t="str">
        <f>Ocupacao_DW[[#This Row],[data]]&amp;Ocupacao_DW[[#This Row],[profissional_id]]&amp;Ocupacao_DW[[#This Row],[local_id]]</f>
        <v>44641126696</v>
      </c>
      <c r="H4590" s="1">
        <f>_xlfn.XLOOKUP(Ocupacao_DW[[#This Row],[Concat]],Vagas!$H:$H,Vagas!$D:$D,"",0)</f>
        <v>0</v>
      </c>
    </row>
    <row r="4591" spans="1:8" x14ac:dyDescent="0.25">
      <c r="A4591" s="2">
        <v>44636</v>
      </c>
      <c r="B4591" s="1" t="s">
        <v>72</v>
      </c>
      <c r="C4591">
        <v>1794</v>
      </c>
      <c r="D4591" s="1" t="s">
        <v>235</v>
      </c>
      <c r="E4591" s="1" t="s">
        <v>4</v>
      </c>
      <c r="F4591">
        <v>49</v>
      </c>
      <c r="G4591" s="1" t="str">
        <f>Ocupacao_DW[[#This Row],[data]]&amp;Ocupacao_DW[[#This Row],[profissional_id]]&amp;Ocupacao_DW[[#This Row],[local_id]]</f>
        <v>44636179449</v>
      </c>
      <c r="H4591" s="1">
        <f>_xlfn.XLOOKUP(Ocupacao_DW[[#This Row],[Concat]],Vagas!$H:$H,Vagas!$D:$D,"",0)</f>
        <v>0</v>
      </c>
    </row>
    <row r="4592" spans="1:8" x14ac:dyDescent="0.25">
      <c r="A4592" s="2">
        <v>44644</v>
      </c>
      <c r="B4592" s="1" t="s">
        <v>56</v>
      </c>
      <c r="C4592">
        <v>5822</v>
      </c>
      <c r="D4592" s="1" t="s">
        <v>194</v>
      </c>
      <c r="E4592" s="1" t="s">
        <v>5</v>
      </c>
      <c r="F4592">
        <v>11</v>
      </c>
      <c r="G4592" s="1" t="str">
        <f>Ocupacao_DW[[#This Row],[data]]&amp;Ocupacao_DW[[#This Row],[profissional_id]]&amp;Ocupacao_DW[[#This Row],[local_id]]</f>
        <v>44644582211</v>
      </c>
      <c r="H4592" s="1">
        <f>_xlfn.XLOOKUP(Ocupacao_DW[[#This Row],[Concat]],Vagas!$H:$H,Vagas!$D:$D,"",0)</f>
        <v>0</v>
      </c>
    </row>
    <row r="4593" spans="1:8" x14ac:dyDescent="0.25">
      <c r="A4593" s="2">
        <v>44636</v>
      </c>
      <c r="B4593" s="1" t="s">
        <v>52</v>
      </c>
      <c r="C4593">
        <v>60</v>
      </c>
      <c r="D4593" s="1" t="s">
        <v>217</v>
      </c>
      <c r="E4593" s="1" t="s">
        <v>167</v>
      </c>
      <c r="F4593">
        <v>346</v>
      </c>
      <c r="G4593" s="1" t="str">
        <f>Ocupacao_DW[[#This Row],[data]]&amp;Ocupacao_DW[[#This Row],[profissional_id]]&amp;Ocupacao_DW[[#This Row],[local_id]]</f>
        <v>4463660346</v>
      </c>
      <c r="H4593" s="1">
        <f>_xlfn.XLOOKUP(Ocupacao_DW[[#This Row],[Concat]],Vagas!$H:$H,Vagas!$D:$D,"",0)</f>
        <v>0</v>
      </c>
    </row>
    <row r="4594" spans="1:8" x14ac:dyDescent="0.25">
      <c r="A4594" s="2">
        <v>44636</v>
      </c>
      <c r="B4594" s="1" t="s">
        <v>65</v>
      </c>
      <c r="C4594">
        <v>13058</v>
      </c>
      <c r="D4594" s="1" t="s">
        <v>256</v>
      </c>
      <c r="E4594" s="1" t="s">
        <v>4</v>
      </c>
      <c r="F4594">
        <v>47</v>
      </c>
      <c r="G4594" s="1" t="str">
        <f>Ocupacao_DW[[#This Row],[data]]&amp;Ocupacao_DW[[#This Row],[profissional_id]]&amp;Ocupacao_DW[[#This Row],[local_id]]</f>
        <v>446361305847</v>
      </c>
      <c r="H4594" s="1">
        <f>_xlfn.XLOOKUP(Ocupacao_DW[[#This Row],[Concat]],Vagas!$H:$H,Vagas!$D:$D,"",0)</f>
        <v>0</v>
      </c>
    </row>
    <row r="4595" spans="1:8" x14ac:dyDescent="0.25">
      <c r="A4595" s="2">
        <v>44641</v>
      </c>
      <c r="B4595" s="1" t="s">
        <v>49</v>
      </c>
      <c r="C4595">
        <v>6430</v>
      </c>
      <c r="D4595" s="1" t="s">
        <v>188</v>
      </c>
      <c r="E4595" s="1" t="s">
        <v>200</v>
      </c>
      <c r="F4595">
        <v>86</v>
      </c>
      <c r="G4595" s="1" t="str">
        <f>Ocupacao_DW[[#This Row],[data]]&amp;Ocupacao_DW[[#This Row],[profissional_id]]&amp;Ocupacao_DW[[#This Row],[local_id]]</f>
        <v>44641643086</v>
      </c>
      <c r="H4595" s="1">
        <f>_xlfn.XLOOKUP(Ocupacao_DW[[#This Row],[Concat]],Vagas!$H:$H,Vagas!$D:$D,"",0)</f>
        <v>0</v>
      </c>
    </row>
    <row r="4596" spans="1:8" x14ac:dyDescent="0.25">
      <c r="A4596" s="2">
        <v>44641</v>
      </c>
      <c r="B4596" s="1" t="s">
        <v>60</v>
      </c>
      <c r="C4596">
        <v>117</v>
      </c>
      <c r="D4596" s="1" t="s">
        <v>180</v>
      </c>
      <c r="E4596" s="1" t="s">
        <v>4</v>
      </c>
      <c r="F4596">
        <v>48</v>
      </c>
      <c r="G4596" s="1" t="str">
        <f>Ocupacao_DW[[#This Row],[data]]&amp;Ocupacao_DW[[#This Row],[profissional_id]]&amp;Ocupacao_DW[[#This Row],[local_id]]</f>
        <v>4464111748</v>
      </c>
      <c r="H4596" s="1">
        <f>_xlfn.XLOOKUP(Ocupacao_DW[[#This Row],[Concat]],Vagas!$H:$H,Vagas!$D:$D,"",0)</f>
        <v>0</v>
      </c>
    </row>
    <row r="4597" spans="1:8" x14ac:dyDescent="0.25">
      <c r="A4597" s="2">
        <v>44636</v>
      </c>
      <c r="B4597" s="1" t="s">
        <v>49</v>
      </c>
      <c r="C4597">
        <v>81</v>
      </c>
      <c r="D4597" s="1" t="s">
        <v>170</v>
      </c>
      <c r="E4597" s="1" t="s">
        <v>4</v>
      </c>
      <c r="F4597">
        <v>41</v>
      </c>
      <c r="G4597" s="1" t="str">
        <f>Ocupacao_DW[[#This Row],[data]]&amp;Ocupacao_DW[[#This Row],[profissional_id]]&amp;Ocupacao_DW[[#This Row],[local_id]]</f>
        <v>446368141</v>
      </c>
      <c r="H4597" s="1">
        <f>_xlfn.XLOOKUP(Ocupacao_DW[[#This Row],[Concat]],Vagas!$H:$H,Vagas!$D:$D,"",0)</f>
        <v>0</v>
      </c>
    </row>
    <row r="4598" spans="1:8" x14ac:dyDescent="0.25">
      <c r="A4598" s="2">
        <v>44636</v>
      </c>
      <c r="B4598" s="1" t="s">
        <v>24</v>
      </c>
      <c r="C4598">
        <v>13061</v>
      </c>
      <c r="D4598" s="1" t="s">
        <v>232</v>
      </c>
      <c r="E4598" s="1" t="s">
        <v>6</v>
      </c>
      <c r="F4598">
        <v>3</v>
      </c>
      <c r="G4598" s="1" t="str">
        <f>Ocupacao_DW[[#This Row],[data]]&amp;Ocupacao_DW[[#This Row],[profissional_id]]&amp;Ocupacao_DW[[#This Row],[local_id]]</f>
        <v>44636130613</v>
      </c>
      <c r="H4598" s="1">
        <f>_xlfn.XLOOKUP(Ocupacao_DW[[#This Row],[Concat]],Vagas!$H:$H,Vagas!$D:$D,"",0)</f>
        <v>0</v>
      </c>
    </row>
    <row r="4599" spans="1:8" x14ac:dyDescent="0.25">
      <c r="A4599" s="2">
        <v>44635</v>
      </c>
      <c r="B4599" s="1" t="s">
        <v>71</v>
      </c>
      <c r="C4599">
        <v>282</v>
      </c>
      <c r="D4599" s="1" t="s">
        <v>210</v>
      </c>
      <c r="E4599" s="1" t="s">
        <v>4</v>
      </c>
      <c r="F4599">
        <v>48</v>
      </c>
      <c r="G4599" s="1" t="str">
        <f>Ocupacao_DW[[#This Row],[data]]&amp;Ocupacao_DW[[#This Row],[profissional_id]]&amp;Ocupacao_DW[[#This Row],[local_id]]</f>
        <v>4463528248</v>
      </c>
      <c r="H4599" s="1">
        <f>_xlfn.XLOOKUP(Ocupacao_DW[[#This Row],[Concat]],Vagas!$H:$H,Vagas!$D:$D,"",0)</f>
        <v>0</v>
      </c>
    </row>
    <row r="4600" spans="1:8" x14ac:dyDescent="0.25">
      <c r="A4600" s="2">
        <v>44648</v>
      </c>
      <c r="B4600" s="1" t="s">
        <v>47</v>
      </c>
      <c r="C4600">
        <v>111</v>
      </c>
      <c r="D4600" s="1" t="s">
        <v>199</v>
      </c>
      <c r="E4600" s="1" t="s">
        <v>4</v>
      </c>
      <c r="F4600">
        <v>51</v>
      </c>
      <c r="G4600" s="1" t="str">
        <f>Ocupacao_DW[[#This Row],[data]]&amp;Ocupacao_DW[[#This Row],[profissional_id]]&amp;Ocupacao_DW[[#This Row],[local_id]]</f>
        <v>4464811151</v>
      </c>
      <c r="H4600" s="1" t="str">
        <f>_xlfn.XLOOKUP(Ocupacao_DW[[#This Row],[Concat]],Vagas!$H:$H,Vagas!$D:$D,"",0)</f>
        <v/>
      </c>
    </row>
    <row r="4601" spans="1:8" x14ac:dyDescent="0.25">
      <c r="A4601" s="2">
        <v>44636</v>
      </c>
      <c r="B4601" s="1" t="s">
        <v>47</v>
      </c>
      <c r="C4601">
        <v>110</v>
      </c>
      <c r="D4601" s="1" t="s">
        <v>193</v>
      </c>
      <c r="E4601" s="1" t="s">
        <v>4</v>
      </c>
      <c r="F4601">
        <v>334</v>
      </c>
      <c r="G4601" s="1" t="str">
        <f>Ocupacao_DW[[#This Row],[data]]&amp;Ocupacao_DW[[#This Row],[profissional_id]]&amp;Ocupacao_DW[[#This Row],[local_id]]</f>
        <v>44636110334</v>
      </c>
      <c r="H4601" s="1">
        <f>_xlfn.XLOOKUP(Ocupacao_DW[[#This Row],[Concat]],Vagas!$H:$H,Vagas!$D:$D,"",0)</f>
        <v>0</v>
      </c>
    </row>
    <row r="4602" spans="1:8" x14ac:dyDescent="0.25">
      <c r="A4602" s="2">
        <v>44641</v>
      </c>
      <c r="B4602" s="1" t="s">
        <v>52</v>
      </c>
      <c r="C4602">
        <v>10595</v>
      </c>
      <c r="D4602" s="1" t="s">
        <v>218</v>
      </c>
      <c r="E4602" s="1" t="s">
        <v>200</v>
      </c>
      <c r="F4602">
        <v>78</v>
      </c>
      <c r="G4602" s="1" t="str">
        <f>Ocupacao_DW[[#This Row],[data]]&amp;Ocupacao_DW[[#This Row],[profissional_id]]&amp;Ocupacao_DW[[#This Row],[local_id]]</f>
        <v>446411059578</v>
      </c>
      <c r="H4602" s="1">
        <f>_xlfn.XLOOKUP(Ocupacao_DW[[#This Row],[Concat]],Vagas!$H:$H,Vagas!$D:$D,"",0)</f>
        <v>0</v>
      </c>
    </row>
    <row r="4603" spans="1:8" x14ac:dyDescent="0.25">
      <c r="A4603" s="2">
        <v>44635</v>
      </c>
      <c r="B4603" s="1" t="s">
        <v>67</v>
      </c>
      <c r="C4603">
        <v>7290</v>
      </c>
      <c r="D4603" s="1" t="s">
        <v>247</v>
      </c>
      <c r="E4603" s="1" t="s">
        <v>5</v>
      </c>
      <c r="F4603">
        <v>18</v>
      </c>
      <c r="G4603" s="1" t="str">
        <f>Ocupacao_DW[[#This Row],[data]]&amp;Ocupacao_DW[[#This Row],[profissional_id]]&amp;Ocupacao_DW[[#This Row],[local_id]]</f>
        <v>44635729018</v>
      </c>
      <c r="H4603" s="1">
        <f>_xlfn.XLOOKUP(Ocupacao_DW[[#This Row],[Concat]],Vagas!$H:$H,Vagas!$D:$D,"",0)</f>
        <v>0</v>
      </c>
    </row>
    <row r="4604" spans="1:8" x14ac:dyDescent="0.25">
      <c r="A4604" s="2">
        <v>44648</v>
      </c>
      <c r="B4604" s="1" t="s">
        <v>60</v>
      </c>
      <c r="C4604">
        <v>117</v>
      </c>
      <c r="D4604" s="1" t="s">
        <v>180</v>
      </c>
      <c r="E4604" s="1" t="s">
        <v>4</v>
      </c>
      <c r="F4604">
        <v>48</v>
      </c>
      <c r="G4604" s="1" t="str">
        <f>Ocupacao_DW[[#This Row],[data]]&amp;Ocupacao_DW[[#This Row],[profissional_id]]&amp;Ocupacao_DW[[#This Row],[local_id]]</f>
        <v>4464811748</v>
      </c>
      <c r="H4604" s="1">
        <f>_xlfn.XLOOKUP(Ocupacao_DW[[#This Row],[Concat]],Vagas!$H:$H,Vagas!$D:$D,"",0)</f>
        <v>0</v>
      </c>
    </row>
    <row r="4605" spans="1:8" x14ac:dyDescent="0.25">
      <c r="A4605" s="2">
        <v>44636</v>
      </c>
      <c r="B4605" s="1" t="s">
        <v>62</v>
      </c>
      <c r="C4605">
        <v>2567</v>
      </c>
      <c r="D4605" s="1" t="s">
        <v>198</v>
      </c>
      <c r="E4605" s="1" t="s">
        <v>5</v>
      </c>
      <c r="F4605">
        <v>18</v>
      </c>
      <c r="G4605" s="1" t="str">
        <f>Ocupacao_DW[[#This Row],[data]]&amp;Ocupacao_DW[[#This Row],[profissional_id]]&amp;Ocupacao_DW[[#This Row],[local_id]]</f>
        <v>44636256718</v>
      </c>
      <c r="H4605" s="1" t="str">
        <f>_xlfn.XLOOKUP(Ocupacao_DW[[#This Row],[Concat]],Vagas!$H:$H,Vagas!$D:$D,"",0)</f>
        <v/>
      </c>
    </row>
    <row r="4606" spans="1:8" x14ac:dyDescent="0.25">
      <c r="A4606" s="2">
        <v>44636</v>
      </c>
      <c r="B4606" s="1" t="s">
        <v>62</v>
      </c>
      <c r="C4606">
        <v>2567</v>
      </c>
      <c r="D4606" s="1" t="s">
        <v>198</v>
      </c>
      <c r="E4606" s="1" t="s">
        <v>5</v>
      </c>
      <c r="F4606">
        <v>349</v>
      </c>
      <c r="G4606" s="1" t="str">
        <f>Ocupacao_DW[[#This Row],[data]]&amp;Ocupacao_DW[[#This Row],[profissional_id]]&amp;Ocupacao_DW[[#This Row],[local_id]]</f>
        <v>446362567349</v>
      </c>
      <c r="H4606" s="1">
        <f>_xlfn.XLOOKUP(Ocupacao_DW[[#This Row],[Concat]],Vagas!$H:$H,Vagas!$D:$D,"",0)</f>
        <v>0</v>
      </c>
    </row>
    <row r="4607" spans="1:8" x14ac:dyDescent="0.25">
      <c r="A4607" s="2">
        <v>44650</v>
      </c>
      <c r="B4607" s="1" t="s">
        <v>43</v>
      </c>
      <c r="C4607">
        <v>2396</v>
      </c>
      <c r="D4607" s="1" t="s">
        <v>197</v>
      </c>
      <c r="E4607" s="1" t="s">
        <v>6</v>
      </c>
      <c r="F4607">
        <v>2</v>
      </c>
      <c r="G4607" s="1" t="str">
        <f>Ocupacao_DW[[#This Row],[data]]&amp;Ocupacao_DW[[#This Row],[profissional_id]]&amp;Ocupacao_DW[[#This Row],[local_id]]</f>
        <v>4465023962</v>
      </c>
      <c r="H4607" s="1">
        <f>_xlfn.XLOOKUP(Ocupacao_DW[[#This Row],[Concat]],Vagas!$H:$H,Vagas!$D:$D,"",0)</f>
        <v>0</v>
      </c>
    </row>
    <row r="4608" spans="1:8" x14ac:dyDescent="0.25">
      <c r="A4608" s="2">
        <v>44638</v>
      </c>
      <c r="B4608" s="1" t="s">
        <v>49</v>
      </c>
      <c r="C4608">
        <v>12142</v>
      </c>
      <c r="D4608" s="1" t="s">
        <v>219</v>
      </c>
      <c r="E4608" s="1" t="s">
        <v>4</v>
      </c>
      <c r="F4608">
        <v>44</v>
      </c>
      <c r="G4608" s="1" t="str">
        <f>Ocupacao_DW[[#This Row],[data]]&amp;Ocupacao_DW[[#This Row],[profissional_id]]&amp;Ocupacao_DW[[#This Row],[local_id]]</f>
        <v>446381214244</v>
      </c>
      <c r="H4608" s="1">
        <f>_xlfn.XLOOKUP(Ocupacao_DW[[#This Row],[Concat]],Vagas!$H:$H,Vagas!$D:$D,"",0)</f>
        <v>0</v>
      </c>
    </row>
    <row r="4609" spans="1:8" x14ac:dyDescent="0.25">
      <c r="A4609" s="2">
        <v>44651</v>
      </c>
      <c r="B4609" s="1" t="s">
        <v>55</v>
      </c>
      <c r="C4609">
        <v>12426</v>
      </c>
      <c r="D4609" s="1" t="s">
        <v>215</v>
      </c>
      <c r="E4609" s="1" t="s">
        <v>6</v>
      </c>
      <c r="F4609">
        <v>5</v>
      </c>
      <c r="G4609" s="1" t="str">
        <f>Ocupacao_DW[[#This Row],[data]]&amp;Ocupacao_DW[[#This Row],[profissional_id]]&amp;Ocupacao_DW[[#This Row],[local_id]]</f>
        <v>44651124265</v>
      </c>
      <c r="H4609" s="1">
        <f>_xlfn.XLOOKUP(Ocupacao_DW[[#This Row],[Concat]],Vagas!$H:$H,Vagas!$D:$D,"",0)</f>
        <v>0</v>
      </c>
    </row>
    <row r="4610" spans="1:8" x14ac:dyDescent="0.25">
      <c r="A4610" s="2">
        <v>44636</v>
      </c>
      <c r="B4610" s="1" t="s">
        <v>47</v>
      </c>
      <c r="C4610">
        <v>110</v>
      </c>
      <c r="D4610" s="1" t="s">
        <v>193</v>
      </c>
      <c r="E4610" s="1" t="s">
        <v>4</v>
      </c>
      <c r="F4610">
        <v>334</v>
      </c>
      <c r="G4610" s="1" t="str">
        <f>Ocupacao_DW[[#This Row],[data]]&amp;Ocupacao_DW[[#This Row],[profissional_id]]&amp;Ocupacao_DW[[#This Row],[local_id]]</f>
        <v>44636110334</v>
      </c>
      <c r="H4610" s="1">
        <f>_xlfn.XLOOKUP(Ocupacao_DW[[#This Row],[Concat]],Vagas!$H:$H,Vagas!$D:$D,"",0)</f>
        <v>0</v>
      </c>
    </row>
    <row r="4611" spans="1:8" x14ac:dyDescent="0.25">
      <c r="A4611" s="2">
        <v>44636</v>
      </c>
      <c r="B4611" s="1" t="s">
        <v>47</v>
      </c>
      <c r="C4611">
        <v>110</v>
      </c>
      <c r="D4611" s="1" t="s">
        <v>193</v>
      </c>
      <c r="E4611" s="1" t="s">
        <v>4</v>
      </c>
      <c r="F4611">
        <v>334</v>
      </c>
      <c r="G4611" s="1" t="str">
        <f>Ocupacao_DW[[#This Row],[data]]&amp;Ocupacao_DW[[#This Row],[profissional_id]]&amp;Ocupacao_DW[[#This Row],[local_id]]</f>
        <v>44636110334</v>
      </c>
      <c r="H4611" s="1">
        <f>_xlfn.XLOOKUP(Ocupacao_DW[[#This Row],[Concat]],Vagas!$H:$H,Vagas!$D:$D,"",0)</f>
        <v>0</v>
      </c>
    </row>
    <row r="4612" spans="1:8" x14ac:dyDescent="0.25">
      <c r="A4612" s="2">
        <v>44644</v>
      </c>
      <c r="B4612" s="1" t="s">
        <v>47</v>
      </c>
      <c r="C4612">
        <v>11312</v>
      </c>
      <c r="D4612" s="1" t="s">
        <v>207</v>
      </c>
      <c r="E4612" s="1" t="s">
        <v>4</v>
      </c>
      <c r="F4612">
        <v>336</v>
      </c>
      <c r="G4612" s="1" t="str">
        <f>Ocupacao_DW[[#This Row],[data]]&amp;Ocupacao_DW[[#This Row],[profissional_id]]&amp;Ocupacao_DW[[#This Row],[local_id]]</f>
        <v>4464411312336</v>
      </c>
      <c r="H4612" s="1">
        <f>_xlfn.XLOOKUP(Ocupacao_DW[[#This Row],[Concat]],Vagas!$H:$H,Vagas!$D:$D,"",0)</f>
        <v>20</v>
      </c>
    </row>
    <row r="4613" spans="1:8" x14ac:dyDescent="0.25">
      <c r="A4613" s="2">
        <v>44641</v>
      </c>
      <c r="B4613" s="1" t="s">
        <v>54</v>
      </c>
      <c r="C4613">
        <v>10941</v>
      </c>
      <c r="D4613" s="1" t="s">
        <v>224</v>
      </c>
      <c r="E4613" s="1" t="s">
        <v>5</v>
      </c>
      <c r="F4613">
        <v>11</v>
      </c>
      <c r="G4613" s="1" t="str">
        <f>Ocupacao_DW[[#This Row],[data]]&amp;Ocupacao_DW[[#This Row],[profissional_id]]&amp;Ocupacao_DW[[#This Row],[local_id]]</f>
        <v>446411094111</v>
      </c>
      <c r="H4613" s="1">
        <f>_xlfn.XLOOKUP(Ocupacao_DW[[#This Row],[Concat]],Vagas!$H:$H,Vagas!$D:$D,"",0)</f>
        <v>0</v>
      </c>
    </row>
    <row r="4614" spans="1:8" x14ac:dyDescent="0.25">
      <c r="A4614" s="2">
        <v>44653</v>
      </c>
      <c r="B4614" s="1" t="s">
        <v>62</v>
      </c>
      <c r="C4614">
        <v>4887</v>
      </c>
      <c r="D4614" s="1" t="s">
        <v>168</v>
      </c>
      <c r="E4614" s="1" t="s">
        <v>5</v>
      </c>
      <c r="F4614">
        <v>18</v>
      </c>
      <c r="G4614" s="1" t="str">
        <f>Ocupacao_DW[[#This Row],[data]]&amp;Ocupacao_DW[[#This Row],[profissional_id]]&amp;Ocupacao_DW[[#This Row],[local_id]]</f>
        <v>44653488718</v>
      </c>
      <c r="H4614" s="1">
        <f>_xlfn.XLOOKUP(Ocupacao_DW[[#This Row],[Concat]],Vagas!$H:$H,Vagas!$D:$D,"",0)</f>
        <v>0</v>
      </c>
    </row>
    <row r="4615" spans="1:8" x14ac:dyDescent="0.25">
      <c r="A4615" s="2">
        <v>44638</v>
      </c>
      <c r="B4615" s="1" t="s">
        <v>49</v>
      </c>
      <c r="C4615">
        <v>6430</v>
      </c>
      <c r="D4615" s="1" t="s">
        <v>188</v>
      </c>
      <c r="E4615" s="1" t="s">
        <v>4</v>
      </c>
      <c r="F4615">
        <v>42</v>
      </c>
      <c r="G4615" s="1" t="str">
        <f>Ocupacao_DW[[#This Row],[data]]&amp;Ocupacao_DW[[#This Row],[profissional_id]]&amp;Ocupacao_DW[[#This Row],[local_id]]</f>
        <v>44638643042</v>
      </c>
      <c r="H4615" s="1">
        <f>_xlfn.XLOOKUP(Ocupacao_DW[[#This Row],[Concat]],Vagas!$H:$H,Vagas!$D:$D,"",0)</f>
        <v>0</v>
      </c>
    </row>
    <row r="4616" spans="1:8" x14ac:dyDescent="0.25">
      <c r="A4616" s="2">
        <v>44638</v>
      </c>
      <c r="B4616" s="1" t="s">
        <v>49</v>
      </c>
      <c r="C4616">
        <v>6430</v>
      </c>
      <c r="D4616" s="1" t="s">
        <v>188</v>
      </c>
      <c r="E4616" s="1" t="s">
        <v>4</v>
      </c>
      <c r="F4616">
        <v>42</v>
      </c>
      <c r="G4616" s="1" t="str">
        <f>Ocupacao_DW[[#This Row],[data]]&amp;Ocupacao_DW[[#This Row],[profissional_id]]&amp;Ocupacao_DW[[#This Row],[local_id]]</f>
        <v>44638643042</v>
      </c>
      <c r="H4616" s="1">
        <f>_xlfn.XLOOKUP(Ocupacao_DW[[#This Row],[Concat]],Vagas!$H:$H,Vagas!$D:$D,"",0)</f>
        <v>0</v>
      </c>
    </row>
    <row r="4617" spans="1:8" x14ac:dyDescent="0.25">
      <c r="A4617" s="2">
        <v>44657</v>
      </c>
      <c r="B4617" s="1" t="s">
        <v>50</v>
      </c>
      <c r="C4617">
        <v>10785</v>
      </c>
      <c r="D4617" s="1" t="s">
        <v>237</v>
      </c>
      <c r="E4617" s="1" t="s">
        <v>5</v>
      </c>
      <c r="F4617">
        <v>14</v>
      </c>
      <c r="G4617" s="1" t="str">
        <f>Ocupacao_DW[[#This Row],[data]]&amp;Ocupacao_DW[[#This Row],[profissional_id]]&amp;Ocupacao_DW[[#This Row],[local_id]]</f>
        <v>446571078514</v>
      </c>
      <c r="H4617" s="1">
        <f>_xlfn.XLOOKUP(Ocupacao_DW[[#This Row],[Concat]],Vagas!$H:$H,Vagas!$D:$D,"",0)</f>
        <v>23</v>
      </c>
    </row>
    <row r="4618" spans="1:8" x14ac:dyDescent="0.25">
      <c r="A4618" s="2">
        <v>44638</v>
      </c>
      <c r="B4618" s="1" t="s">
        <v>43</v>
      </c>
      <c r="C4618">
        <v>17864</v>
      </c>
      <c r="D4618" s="1" t="s">
        <v>234</v>
      </c>
      <c r="E4618" s="1" t="s">
        <v>7</v>
      </c>
      <c r="F4618">
        <v>60</v>
      </c>
      <c r="G4618" s="1" t="str">
        <f>Ocupacao_DW[[#This Row],[data]]&amp;Ocupacao_DW[[#This Row],[profissional_id]]&amp;Ocupacao_DW[[#This Row],[local_id]]</f>
        <v>446381786460</v>
      </c>
      <c r="H4618" s="1">
        <f>_xlfn.XLOOKUP(Ocupacao_DW[[#This Row],[Concat]],Vagas!$H:$H,Vagas!$D:$D,"",0)</f>
        <v>0</v>
      </c>
    </row>
    <row r="4619" spans="1:8" x14ac:dyDescent="0.25">
      <c r="A4619" s="2">
        <v>44643</v>
      </c>
      <c r="B4619" s="1" t="s">
        <v>51</v>
      </c>
      <c r="C4619">
        <v>12679</v>
      </c>
      <c r="D4619" s="1" t="s">
        <v>192</v>
      </c>
      <c r="E4619" s="1" t="s">
        <v>5</v>
      </c>
      <c r="F4619">
        <v>11</v>
      </c>
      <c r="G4619" s="1" t="str">
        <f>Ocupacao_DW[[#This Row],[data]]&amp;Ocupacao_DW[[#This Row],[profissional_id]]&amp;Ocupacao_DW[[#This Row],[local_id]]</f>
        <v>446431267911</v>
      </c>
      <c r="H4619" s="1">
        <f>_xlfn.XLOOKUP(Ocupacao_DW[[#This Row],[Concat]],Vagas!$H:$H,Vagas!$D:$D,"",0)</f>
        <v>0</v>
      </c>
    </row>
    <row r="4620" spans="1:8" x14ac:dyDescent="0.25">
      <c r="A4620" s="2">
        <v>44638</v>
      </c>
      <c r="B4620" s="1" t="s">
        <v>52</v>
      </c>
      <c r="C4620">
        <v>55</v>
      </c>
      <c r="D4620" s="1" t="s">
        <v>244</v>
      </c>
      <c r="E4620" s="1" t="s">
        <v>7</v>
      </c>
      <c r="F4620">
        <v>68</v>
      </c>
      <c r="G4620" s="1" t="str">
        <f>Ocupacao_DW[[#This Row],[data]]&amp;Ocupacao_DW[[#This Row],[profissional_id]]&amp;Ocupacao_DW[[#This Row],[local_id]]</f>
        <v>446385568</v>
      </c>
      <c r="H4620" s="1">
        <f>_xlfn.XLOOKUP(Ocupacao_DW[[#This Row],[Concat]],Vagas!$H:$H,Vagas!$D:$D,"",0)</f>
        <v>0</v>
      </c>
    </row>
    <row r="4621" spans="1:8" x14ac:dyDescent="0.25">
      <c r="A4621" s="2">
        <v>44652</v>
      </c>
      <c r="B4621" s="1" t="s">
        <v>24</v>
      </c>
      <c r="C4621">
        <v>60</v>
      </c>
      <c r="D4621" s="1" t="s">
        <v>217</v>
      </c>
      <c r="E4621" s="1" t="s">
        <v>6</v>
      </c>
      <c r="F4621">
        <v>1</v>
      </c>
      <c r="G4621" s="1" t="str">
        <f>Ocupacao_DW[[#This Row],[data]]&amp;Ocupacao_DW[[#This Row],[profissional_id]]&amp;Ocupacao_DW[[#This Row],[local_id]]</f>
        <v>44652601</v>
      </c>
      <c r="H4621" s="1">
        <f>_xlfn.XLOOKUP(Ocupacao_DW[[#This Row],[Concat]],Vagas!$H:$H,Vagas!$D:$D,"",0)</f>
        <v>0</v>
      </c>
    </row>
    <row r="4622" spans="1:8" x14ac:dyDescent="0.25">
      <c r="A4622" s="2">
        <v>44641</v>
      </c>
      <c r="B4622" s="1" t="s">
        <v>72</v>
      </c>
      <c r="C4622">
        <v>13479</v>
      </c>
      <c r="D4622" s="1" t="s">
        <v>203</v>
      </c>
      <c r="E4622" s="1" t="s">
        <v>4</v>
      </c>
      <c r="F4622">
        <v>46</v>
      </c>
      <c r="G4622" s="1" t="str">
        <f>Ocupacao_DW[[#This Row],[data]]&amp;Ocupacao_DW[[#This Row],[profissional_id]]&amp;Ocupacao_DW[[#This Row],[local_id]]</f>
        <v>446411347946</v>
      </c>
      <c r="H4622" s="1">
        <f>_xlfn.XLOOKUP(Ocupacao_DW[[#This Row],[Concat]],Vagas!$H:$H,Vagas!$D:$D,"",0)</f>
        <v>0</v>
      </c>
    </row>
    <row r="4623" spans="1:8" x14ac:dyDescent="0.25">
      <c r="A4623" s="2">
        <v>44638</v>
      </c>
      <c r="B4623" s="1" t="s">
        <v>49</v>
      </c>
      <c r="C4623">
        <v>81</v>
      </c>
      <c r="D4623" s="1" t="s">
        <v>170</v>
      </c>
      <c r="E4623" s="1" t="s">
        <v>4</v>
      </c>
      <c r="F4623">
        <v>41</v>
      </c>
      <c r="G4623" s="1" t="str">
        <f>Ocupacao_DW[[#This Row],[data]]&amp;Ocupacao_DW[[#This Row],[profissional_id]]&amp;Ocupacao_DW[[#This Row],[local_id]]</f>
        <v>446388141</v>
      </c>
      <c r="H4623" s="1">
        <f>_xlfn.XLOOKUP(Ocupacao_DW[[#This Row],[Concat]],Vagas!$H:$H,Vagas!$D:$D,"",0)</f>
        <v>0</v>
      </c>
    </row>
    <row r="4624" spans="1:8" x14ac:dyDescent="0.25">
      <c r="A4624" s="2">
        <v>44643</v>
      </c>
      <c r="B4624" s="1" t="s">
        <v>49</v>
      </c>
      <c r="C4624">
        <v>17918</v>
      </c>
      <c r="D4624" s="1" t="s">
        <v>265</v>
      </c>
      <c r="E4624" s="1" t="s">
        <v>4</v>
      </c>
      <c r="F4624">
        <v>42</v>
      </c>
      <c r="G4624" s="1" t="str">
        <f>Ocupacao_DW[[#This Row],[data]]&amp;Ocupacao_DW[[#This Row],[profissional_id]]&amp;Ocupacao_DW[[#This Row],[local_id]]</f>
        <v>446431791842</v>
      </c>
      <c r="H4624" s="1">
        <f>_xlfn.XLOOKUP(Ocupacao_DW[[#This Row],[Concat]],Vagas!$H:$H,Vagas!$D:$D,"",0)</f>
        <v>0</v>
      </c>
    </row>
    <row r="4625" spans="1:8" x14ac:dyDescent="0.25">
      <c r="A4625" s="2">
        <v>44637</v>
      </c>
      <c r="B4625" s="1" t="s">
        <v>47</v>
      </c>
      <c r="C4625">
        <v>9111</v>
      </c>
      <c r="D4625" s="1" t="s">
        <v>206</v>
      </c>
      <c r="E4625" s="1" t="s">
        <v>4</v>
      </c>
      <c r="F4625">
        <v>334</v>
      </c>
      <c r="G4625" s="1" t="str">
        <f>Ocupacao_DW[[#This Row],[data]]&amp;Ocupacao_DW[[#This Row],[profissional_id]]&amp;Ocupacao_DW[[#This Row],[local_id]]</f>
        <v>446379111334</v>
      </c>
      <c r="H4625" s="1">
        <f>_xlfn.XLOOKUP(Ocupacao_DW[[#This Row],[Concat]],Vagas!$H:$H,Vagas!$D:$D,"",0)</f>
        <v>0</v>
      </c>
    </row>
    <row r="4626" spans="1:8" x14ac:dyDescent="0.25">
      <c r="A4626" s="2">
        <v>44656</v>
      </c>
      <c r="B4626" s="1" t="s">
        <v>64</v>
      </c>
      <c r="C4626">
        <v>12230</v>
      </c>
      <c r="D4626" s="1" t="s">
        <v>269</v>
      </c>
      <c r="E4626" s="1" t="s">
        <v>5</v>
      </c>
      <c r="F4626">
        <v>17</v>
      </c>
      <c r="G4626" s="1" t="str">
        <f>Ocupacao_DW[[#This Row],[data]]&amp;Ocupacao_DW[[#This Row],[profissional_id]]&amp;Ocupacao_DW[[#This Row],[local_id]]</f>
        <v>446561223017</v>
      </c>
      <c r="H4626" s="1">
        <f>_xlfn.XLOOKUP(Ocupacao_DW[[#This Row],[Concat]],Vagas!$H:$H,Vagas!$D:$D,"",0)</f>
        <v>0</v>
      </c>
    </row>
    <row r="4627" spans="1:8" x14ac:dyDescent="0.25">
      <c r="A4627" s="2">
        <v>44656</v>
      </c>
      <c r="B4627" s="1" t="s">
        <v>55</v>
      </c>
      <c r="C4627">
        <v>73</v>
      </c>
      <c r="D4627" s="1" t="s">
        <v>171</v>
      </c>
      <c r="E4627" s="1" t="s">
        <v>6</v>
      </c>
      <c r="F4627">
        <v>5</v>
      </c>
      <c r="G4627" s="1" t="str">
        <f>Ocupacao_DW[[#This Row],[data]]&amp;Ocupacao_DW[[#This Row],[profissional_id]]&amp;Ocupacao_DW[[#This Row],[local_id]]</f>
        <v>44656735</v>
      </c>
      <c r="H4627" s="1">
        <f>_xlfn.XLOOKUP(Ocupacao_DW[[#This Row],[Concat]],Vagas!$H:$H,Vagas!$D:$D,"",0)</f>
        <v>0</v>
      </c>
    </row>
    <row r="4628" spans="1:8" x14ac:dyDescent="0.25">
      <c r="A4628" s="2">
        <v>44635</v>
      </c>
      <c r="B4628" s="1" t="s">
        <v>53</v>
      </c>
      <c r="C4628">
        <v>9138</v>
      </c>
      <c r="D4628" s="1" t="s">
        <v>184</v>
      </c>
      <c r="E4628" s="1" t="s">
        <v>167</v>
      </c>
      <c r="F4628">
        <v>344</v>
      </c>
      <c r="G4628" s="1" t="str">
        <f>Ocupacao_DW[[#This Row],[data]]&amp;Ocupacao_DW[[#This Row],[profissional_id]]&amp;Ocupacao_DW[[#This Row],[local_id]]</f>
        <v>446359138344</v>
      </c>
      <c r="H4628" s="1">
        <f>_xlfn.XLOOKUP(Ocupacao_DW[[#This Row],[Concat]],Vagas!$H:$H,Vagas!$D:$D,"",0)</f>
        <v>0</v>
      </c>
    </row>
    <row r="4629" spans="1:8" x14ac:dyDescent="0.25">
      <c r="A4629" s="2">
        <v>44638</v>
      </c>
      <c r="B4629" s="1" t="s">
        <v>52</v>
      </c>
      <c r="C4629">
        <v>10691</v>
      </c>
      <c r="D4629" s="1" t="s">
        <v>181</v>
      </c>
      <c r="E4629" s="1" t="s">
        <v>200</v>
      </c>
      <c r="F4629">
        <v>78</v>
      </c>
      <c r="G4629" s="1" t="str">
        <f>Ocupacao_DW[[#This Row],[data]]&amp;Ocupacao_DW[[#This Row],[profissional_id]]&amp;Ocupacao_DW[[#This Row],[local_id]]</f>
        <v>446381069178</v>
      </c>
      <c r="H4629" s="1">
        <f>_xlfn.XLOOKUP(Ocupacao_DW[[#This Row],[Concat]],Vagas!$H:$H,Vagas!$D:$D,"",0)</f>
        <v>0</v>
      </c>
    </row>
    <row r="4630" spans="1:8" x14ac:dyDescent="0.25">
      <c r="A4630" s="2">
        <v>44636</v>
      </c>
      <c r="B4630" s="1" t="s">
        <v>52</v>
      </c>
      <c r="C4630">
        <v>10946</v>
      </c>
      <c r="D4630" s="1" t="s">
        <v>209</v>
      </c>
      <c r="E4630" s="1" t="s">
        <v>7</v>
      </c>
      <c r="F4630">
        <v>60</v>
      </c>
      <c r="G4630" s="1" t="str">
        <f>Ocupacao_DW[[#This Row],[data]]&amp;Ocupacao_DW[[#This Row],[profissional_id]]&amp;Ocupacao_DW[[#This Row],[local_id]]</f>
        <v>446361094660</v>
      </c>
      <c r="H4630" s="1">
        <f>_xlfn.XLOOKUP(Ocupacao_DW[[#This Row],[Concat]],Vagas!$H:$H,Vagas!$D:$D,"",0)</f>
        <v>0</v>
      </c>
    </row>
    <row r="4631" spans="1:8" x14ac:dyDescent="0.25">
      <c r="A4631" s="2">
        <v>44641</v>
      </c>
      <c r="B4631" s="1" t="s">
        <v>52</v>
      </c>
      <c r="C4631">
        <v>10691</v>
      </c>
      <c r="D4631" s="1" t="s">
        <v>181</v>
      </c>
      <c r="E4631" s="1" t="s">
        <v>6</v>
      </c>
      <c r="F4631">
        <v>9</v>
      </c>
      <c r="G4631" s="1" t="str">
        <f>Ocupacao_DW[[#This Row],[data]]&amp;Ocupacao_DW[[#This Row],[profissional_id]]&amp;Ocupacao_DW[[#This Row],[local_id]]</f>
        <v>44641106919</v>
      </c>
      <c r="H4631" s="1">
        <f>_xlfn.XLOOKUP(Ocupacao_DW[[#This Row],[Concat]],Vagas!$H:$H,Vagas!$D:$D,"",0)</f>
        <v>0</v>
      </c>
    </row>
    <row r="4632" spans="1:8" x14ac:dyDescent="0.25">
      <c r="A4632" s="2">
        <v>44637</v>
      </c>
      <c r="B4632" s="1" t="s">
        <v>47</v>
      </c>
      <c r="C4632">
        <v>9111</v>
      </c>
      <c r="D4632" s="1" t="s">
        <v>206</v>
      </c>
      <c r="E4632" s="1" t="s">
        <v>4</v>
      </c>
      <c r="F4632">
        <v>334</v>
      </c>
      <c r="G4632" s="1" t="str">
        <f>Ocupacao_DW[[#This Row],[data]]&amp;Ocupacao_DW[[#This Row],[profissional_id]]&amp;Ocupacao_DW[[#This Row],[local_id]]</f>
        <v>446379111334</v>
      </c>
      <c r="H4632" s="1">
        <f>_xlfn.XLOOKUP(Ocupacao_DW[[#This Row],[Concat]],Vagas!$H:$H,Vagas!$D:$D,"",0)</f>
        <v>0</v>
      </c>
    </row>
    <row r="4633" spans="1:8" x14ac:dyDescent="0.25">
      <c r="A4633" s="2">
        <v>44638</v>
      </c>
      <c r="B4633" s="1" t="s">
        <v>47</v>
      </c>
      <c r="C4633">
        <v>12684</v>
      </c>
      <c r="D4633" s="1" t="s">
        <v>236</v>
      </c>
      <c r="E4633" s="1" t="s">
        <v>200</v>
      </c>
      <c r="F4633">
        <v>85</v>
      </c>
      <c r="G4633" s="1" t="str">
        <f>Ocupacao_DW[[#This Row],[data]]&amp;Ocupacao_DW[[#This Row],[profissional_id]]&amp;Ocupacao_DW[[#This Row],[local_id]]</f>
        <v>446381268485</v>
      </c>
      <c r="H4633" s="1">
        <f>_xlfn.XLOOKUP(Ocupacao_DW[[#This Row],[Concat]],Vagas!$H:$H,Vagas!$D:$D,"",0)</f>
        <v>0</v>
      </c>
    </row>
    <row r="4634" spans="1:8" x14ac:dyDescent="0.25">
      <c r="A4634" s="2">
        <v>44638</v>
      </c>
      <c r="B4634" s="1" t="s">
        <v>47</v>
      </c>
      <c r="C4634">
        <v>9111</v>
      </c>
      <c r="D4634" s="1" t="s">
        <v>206</v>
      </c>
      <c r="E4634" s="1" t="s">
        <v>4</v>
      </c>
      <c r="F4634">
        <v>51</v>
      </c>
      <c r="G4634" s="1" t="str">
        <f>Ocupacao_DW[[#This Row],[data]]&amp;Ocupacao_DW[[#This Row],[profissional_id]]&amp;Ocupacao_DW[[#This Row],[local_id]]</f>
        <v>44638911151</v>
      </c>
      <c r="H4634" s="1">
        <f>_xlfn.XLOOKUP(Ocupacao_DW[[#This Row],[Concat]],Vagas!$H:$H,Vagas!$D:$D,"",0)</f>
        <v>0</v>
      </c>
    </row>
    <row r="4635" spans="1:8" x14ac:dyDescent="0.25">
      <c r="A4635" s="2">
        <v>44642</v>
      </c>
      <c r="B4635" s="1" t="s">
        <v>47</v>
      </c>
      <c r="C4635">
        <v>110</v>
      </c>
      <c r="D4635" s="1" t="s">
        <v>193</v>
      </c>
      <c r="E4635" s="1" t="s">
        <v>4</v>
      </c>
      <c r="F4635">
        <v>334</v>
      </c>
      <c r="G4635" s="1" t="str">
        <f>Ocupacao_DW[[#This Row],[data]]&amp;Ocupacao_DW[[#This Row],[profissional_id]]&amp;Ocupacao_DW[[#This Row],[local_id]]</f>
        <v>44642110334</v>
      </c>
      <c r="H4635" s="1">
        <f>_xlfn.XLOOKUP(Ocupacao_DW[[#This Row],[Concat]],Vagas!$H:$H,Vagas!$D:$D,"",0)</f>
        <v>0</v>
      </c>
    </row>
    <row r="4636" spans="1:8" x14ac:dyDescent="0.25">
      <c r="A4636" s="2">
        <v>44642</v>
      </c>
      <c r="B4636" s="1" t="s">
        <v>68</v>
      </c>
      <c r="C4636">
        <v>8239</v>
      </c>
      <c r="D4636" s="1" t="s">
        <v>257</v>
      </c>
      <c r="E4636" s="1" t="s">
        <v>5</v>
      </c>
      <c r="F4636">
        <v>14</v>
      </c>
      <c r="G4636" s="1" t="str">
        <f>Ocupacao_DW[[#This Row],[data]]&amp;Ocupacao_DW[[#This Row],[profissional_id]]&amp;Ocupacao_DW[[#This Row],[local_id]]</f>
        <v>44642823914</v>
      </c>
      <c r="H4636" s="1">
        <f>_xlfn.XLOOKUP(Ocupacao_DW[[#This Row],[Concat]],Vagas!$H:$H,Vagas!$D:$D,"",0)</f>
        <v>0</v>
      </c>
    </row>
    <row r="4637" spans="1:8" x14ac:dyDescent="0.25">
      <c r="A4637" s="2">
        <v>44639</v>
      </c>
      <c r="B4637" s="1" t="s">
        <v>49</v>
      </c>
      <c r="C4637">
        <v>13756</v>
      </c>
      <c r="D4637" s="1" t="s">
        <v>202</v>
      </c>
      <c r="E4637" s="1" t="s">
        <v>4</v>
      </c>
      <c r="F4637">
        <v>43</v>
      </c>
      <c r="G4637" s="1" t="str">
        <f>Ocupacao_DW[[#This Row],[data]]&amp;Ocupacao_DW[[#This Row],[profissional_id]]&amp;Ocupacao_DW[[#This Row],[local_id]]</f>
        <v>446391375643</v>
      </c>
      <c r="H4637" s="1">
        <f>_xlfn.XLOOKUP(Ocupacao_DW[[#This Row],[Concat]],Vagas!$H:$H,Vagas!$D:$D,"",0)</f>
        <v>0</v>
      </c>
    </row>
    <row r="4638" spans="1:8" x14ac:dyDescent="0.25">
      <c r="A4638" s="2">
        <v>44646</v>
      </c>
      <c r="B4638" s="1" t="s">
        <v>52</v>
      </c>
      <c r="C4638">
        <v>60</v>
      </c>
      <c r="D4638" s="1" t="s">
        <v>217</v>
      </c>
      <c r="E4638" s="1" t="s">
        <v>6</v>
      </c>
      <c r="F4638">
        <v>8</v>
      </c>
      <c r="G4638" s="1" t="str">
        <f>Ocupacao_DW[[#This Row],[data]]&amp;Ocupacao_DW[[#This Row],[profissional_id]]&amp;Ocupacao_DW[[#This Row],[local_id]]</f>
        <v>44646608</v>
      </c>
      <c r="H4638" s="1" t="str">
        <f>_xlfn.XLOOKUP(Ocupacao_DW[[#This Row],[Concat]],Vagas!$H:$H,Vagas!$D:$D,"",0)</f>
        <v/>
      </c>
    </row>
    <row r="4639" spans="1:8" x14ac:dyDescent="0.25">
      <c r="A4639" s="2">
        <v>44645</v>
      </c>
      <c r="B4639" s="1" t="s">
        <v>49</v>
      </c>
      <c r="C4639">
        <v>12142</v>
      </c>
      <c r="D4639" s="1" t="s">
        <v>219</v>
      </c>
      <c r="E4639" s="1" t="s">
        <v>4</v>
      </c>
      <c r="F4639">
        <v>44</v>
      </c>
      <c r="G4639" s="1" t="str">
        <f>Ocupacao_DW[[#This Row],[data]]&amp;Ocupacao_DW[[#This Row],[profissional_id]]&amp;Ocupacao_DW[[#This Row],[local_id]]</f>
        <v>446451214244</v>
      </c>
      <c r="H4639" s="1">
        <f>_xlfn.XLOOKUP(Ocupacao_DW[[#This Row],[Concat]],Vagas!$H:$H,Vagas!$D:$D,"",0)</f>
        <v>0</v>
      </c>
    </row>
    <row r="4640" spans="1:8" x14ac:dyDescent="0.25">
      <c r="A4640" s="2">
        <v>44638</v>
      </c>
      <c r="B4640" s="1" t="s">
        <v>47</v>
      </c>
      <c r="C4640">
        <v>9111</v>
      </c>
      <c r="D4640" s="1" t="s">
        <v>206</v>
      </c>
      <c r="E4640" s="1" t="s">
        <v>4</v>
      </c>
      <c r="F4640">
        <v>51</v>
      </c>
      <c r="G4640" s="1" t="str">
        <f>Ocupacao_DW[[#This Row],[data]]&amp;Ocupacao_DW[[#This Row],[profissional_id]]&amp;Ocupacao_DW[[#This Row],[local_id]]</f>
        <v>44638911151</v>
      </c>
      <c r="H4640" s="1">
        <f>_xlfn.XLOOKUP(Ocupacao_DW[[#This Row],[Concat]],Vagas!$H:$H,Vagas!$D:$D,"",0)</f>
        <v>0</v>
      </c>
    </row>
    <row r="4641" spans="1:8" x14ac:dyDescent="0.25">
      <c r="A4641" s="2">
        <v>44636</v>
      </c>
      <c r="B4641" s="1" t="s">
        <v>47</v>
      </c>
      <c r="C4641">
        <v>111</v>
      </c>
      <c r="D4641" s="1" t="s">
        <v>199</v>
      </c>
      <c r="E4641" s="1" t="s">
        <v>4</v>
      </c>
      <c r="F4641">
        <v>51</v>
      </c>
      <c r="G4641" s="1" t="str">
        <f>Ocupacao_DW[[#This Row],[data]]&amp;Ocupacao_DW[[#This Row],[profissional_id]]&amp;Ocupacao_DW[[#This Row],[local_id]]</f>
        <v>4463611151</v>
      </c>
      <c r="H4641" s="1">
        <f>_xlfn.XLOOKUP(Ocupacao_DW[[#This Row],[Concat]],Vagas!$H:$H,Vagas!$D:$D,"",0)</f>
        <v>1</v>
      </c>
    </row>
    <row r="4642" spans="1:8" x14ac:dyDescent="0.25">
      <c r="A4642" s="2">
        <v>44639</v>
      </c>
      <c r="B4642" s="1" t="s">
        <v>43</v>
      </c>
      <c r="C4642">
        <v>57</v>
      </c>
      <c r="D4642" s="1" t="s">
        <v>169</v>
      </c>
      <c r="E4642" s="1" t="s">
        <v>6</v>
      </c>
      <c r="F4642">
        <v>2</v>
      </c>
      <c r="G4642" s="1" t="str">
        <f>Ocupacao_DW[[#This Row],[data]]&amp;Ocupacao_DW[[#This Row],[profissional_id]]&amp;Ocupacao_DW[[#This Row],[local_id]]</f>
        <v>44639572</v>
      </c>
      <c r="H4642" s="1">
        <f>_xlfn.XLOOKUP(Ocupacao_DW[[#This Row],[Concat]],Vagas!$H:$H,Vagas!$D:$D,"",0)</f>
        <v>0</v>
      </c>
    </row>
    <row r="4643" spans="1:8" x14ac:dyDescent="0.25">
      <c r="A4643" s="2">
        <v>44642</v>
      </c>
      <c r="B4643" s="1" t="s">
        <v>54</v>
      </c>
      <c r="C4643">
        <v>10941</v>
      </c>
      <c r="D4643" s="1" t="s">
        <v>224</v>
      </c>
      <c r="E4643" s="1" t="s">
        <v>200</v>
      </c>
      <c r="F4643">
        <v>83</v>
      </c>
      <c r="G4643" s="1" t="str">
        <f>Ocupacao_DW[[#This Row],[data]]&amp;Ocupacao_DW[[#This Row],[profissional_id]]&amp;Ocupacao_DW[[#This Row],[local_id]]</f>
        <v>446421094183</v>
      </c>
      <c r="H4643" s="1">
        <f>_xlfn.XLOOKUP(Ocupacao_DW[[#This Row],[Concat]],Vagas!$H:$H,Vagas!$D:$D,"",0)</f>
        <v>0</v>
      </c>
    </row>
    <row r="4644" spans="1:8" x14ac:dyDescent="0.25">
      <c r="A4644" s="2">
        <v>44643</v>
      </c>
      <c r="B4644" s="1" t="s">
        <v>24</v>
      </c>
      <c r="C4644">
        <v>13061</v>
      </c>
      <c r="D4644" s="1" t="s">
        <v>232</v>
      </c>
      <c r="E4644" s="1" t="s">
        <v>6</v>
      </c>
      <c r="F4644">
        <v>3</v>
      </c>
      <c r="G4644" s="1" t="str">
        <f>Ocupacao_DW[[#This Row],[data]]&amp;Ocupacao_DW[[#This Row],[profissional_id]]&amp;Ocupacao_DW[[#This Row],[local_id]]</f>
        <v>44643130613</v>
      </c>
      <c r="H4644" s="1">
        <f>_xlfn.XLOOKUP(Ocupacao_DW[[#This Row],[Concat]],Vagas!$H:$H,Vagas!$D:$D,"",0)</f>
        <v>0</v>
      </c>
    </row>
    <row r="4645" spans="1:8" x14ac:dyDescent="0.25">
      <c r="A4645" s="2">
        <v>44638</v>
      </c>
      <c r="B4645" s="1" t="s">
        <v>54</v>
      </c>
      <c r="C4645">
        <v>69</v>
      </c>
      <c r="D4645" s="1" t="s">
        <v>238</v>
      </c>
      <c r="E4645" s="1" t="s">
        <v>5</v>
      </c>
      <c r="F4645">
        <v>13</v>
      </c>
      <c r="G4645" s="1" t="str">
        <f>Ocupacao_DW[[#This Row],[data]]&amp;Ocupacao_DW[[#This Row],[profissional_id]]&amp;Ocupacao_DW[[#This Row],[local_id]]</f>
        <v>446386913</v>
      </c>
      <c r="H4645" s="1">
        <f>_xlfn.XLOOKUP(Ocupacao_DW[[#This Row],[Concat]],Vagas!$H:$H,Vagas!$D:$D,"",0)</f>
        <v>0</v>
      </c>
    </row>
    <row r="4646" spans="1:8" x14ac:dyDescent="0.25">
      <c r="A4646" s="2">
        <v>44635</v>
      </c>
      <c r="B4646" s="1" t="s">
        <v>47</v>
      </c>
      <c r="C4646">
        <v>12752</v>
      </c>
      <c r="D4646" s="1" t="s">
        <v>253</v>
      </c>
      <c r="E4646" s="1" t="s">
        <v>7</v>
      </c>
      <c r="F4646">
        <v>60</v>
      </c>
      <c r="G4646" s="1" t="str">
        <f>Ocupacao_DW[[#This Row],[data]]&amp;Ocupacao_DW[[#This Row],[profissional_id]]&amp;Ocupacao_DW[[#This Row],[local_id]]</f>
        <v>446351275260</v>
      </c>
      <c r="H4646" s="1">
        <f>_xlfn.XLOOKUP(Ocupacao_DW[[#This Row],[Concat]],Vagas!$H:$H,Vagas!$D:$D,"",0)</f>
        <v>0</v>
      </c>
    </row>
    <row r="4647" spans="1:8" x14ac:dyDescent="0.25">
      <c r="A4647" s="2">
        <v>44636</v>
      </c>
      <c r="B4647" s="1" t="s">
        <v>47</v>
      </c>
      <c r="C4647">
        <v>111</v>
      </c>
      <c r="D4647" s="1" t="s">
        <v>199</v>
      </c>
      <c r="E4647" s="1" t="s">
        <v>4</v>
      </c>
      <c r="F4647">
        <v>51</v>
      </c>
      <c r="G4647" s="1" t="str">
        <f>Ocupacao_DW[[#This Row],[data]]&amp;Ocupacao_DW[[#This Row],[profissional_id]]&amp;Ocupacao_DW[[#This Row],[local_id]]</f>
        <v>4463611151</v>
      </c>
      <c r="H4647" s="1">
        <f>_xlfn.XLOOKUP(Ocupacao_DW[[#This Row],[Concat]],Vagas!$H:$H,Vagas!$D:$D,"",0)</f>
        <v>1</v>
      </c>
    </row>
    <row r="4648" spans="1:8" x14ac:dyDescent="0.25">
      <c r="A4648" s="2">
        <v>44649</v>
      </c>
      <c r="B4648" s="1" t="s">
        <v>54</v>
      </c>
      <c r="C4648">
        <v>69</v>
      </c>
      <c r="D4648" s="1" t="s">
        <v>238</v>
      </c>
      <c r="E4648" s="1" t="s">
        <v>5</v>
      </c>
      <c r="F4648">
        <v>13</v>
      </c>
      <c r="G4648" s="1" t="str">
        <f>Ocupacao_DW[[#This Row],[data]]&amp;Ocupacao_DW[[#This Row],[profissional_id]]&amp;Ocupacao_DW[[#This Row],[local_id]]</f>
        <v>446496913</v>
      </c>
      <c r="H4648" s="1">
        <f>_xlfn.XLOOKUP(Ocupacao_DW[[#This Row],[Concat]],Vagas!$H:$H,Vagas!$D:$D,"",0)</f>
        <v>0</v>
      </c>
    </row>
    <row r="4649" spans="1:8" x14ac:dyDescent="0.25">
      <c r="A4649" s="2">
        <v>44643</v>
      </c>
      <c r="B4649" s="1" t="s">
        <v>71</v>
      </c>
      <c r="C4649">
        <v>282</v>
      </c>
      <c r="D4649" s="1" t="s">
        <v>210</v>
      </c>
      <c r="E4649" s="1" t="s">
        <v>4</v>
      </c>
      <c r="F4649">
        <v>46</v>
      </c>
      <c r="G4649" s="1" t="str">
        <f>Ocupacao_DW[[#This Row],[data]]&amp;Ocupacao_DW[[#This Row],[profissional_id]]&amp;Ocupacao_DW[[#This Row],[local_id]]</f>
        <v>4464328246</v>
      </c>
      <c r="H4649" s="1">
        <f>_xlfn.XLOOKUP(Ocupacao_DW[[#This Row],[Concat]],Vagas!$H:$H,Vagas!$D:$D,"",0)</f>
        <v>0</v>
      </c>
    </row>
    <row r="4650" spans="1:8" x14ac:dyDescent="0.25">
      <c r="A4650" s="2">
        <v>44636</v>
      </c>
      <c r="B4650" s="1" t="s">
        <v>65</v>
      </c>
      <c r="C4650">
        <v>13058</v>
      </c>
      <c r="D4650" s="1" t="s">
        <v>256</v>
      </c>
      <c r="E4650" s="1" t="s">
        <v>4</v>
      </c>
      <c r="F4650">
        <v>47</v>
      </c>
      <c r="G4650" s="1" t="str">
        <f>Ocupacao_DW[[#This Row],[data]]&amp;Ocupacao_DW[[#This Row],[profissional_id]]&amp;Ocupacao_DW[[#This Row],[local_id]]</f>
        <v>446361305847</v>
      </c>
      <c r="H4650" s="1">
        <f>_xlfn.XLOOKUP(Ocupacao_DW[[#This Row],[Concat]],Vagas!$H:$H,Vagas!$D:$D,"",0)</f>
        <v>0</v>
      </c>
    </row>
    <row r="4651" spans="1:8" x14ac:dyDescent="0.25">
      <c r="A4651" s="2">
        <v>44636</v>
      </c>
      <c r="B4651" s="1" t="s">
        <v>62</v>
      </c>
      <c r="C4651">
        <v>2567</v>
      </c>
      <c r="D4651" s="1" t="s">
        <v>198</v>
      </c>
      <c r="E4651" s="1" t="s">
        <v>5</v>
      </c>
      <c r="F4651">
        <v>349</v>
      </c>
      <c r="G4651" s="1" t="str">
        <f>Ocupacao_DW[[#This Row],[data]]&amp;Ocupacao_DW[[#This Row],[profissional_id]]&amp;Ocupacao_DW[[#This Row],[local_id]]</f>
        <v>446362567349</v>
      </c>
      <c r="H4651" s="1">
        <f>_xlfn.XLOOKUP(Ocupacao_DW[[#This Row],[Concat]],Vagas!$H:$H,Vagas!$D:$D,"",0)</f>
        <v>0</v>
      </c>
    </row>
    <row r="4652" spans="1:8" x14ac:dyDescent="0.25">
      <c r="A4652" s="2">
        <v>44641</v>
      </c>
      <c r="B4652" s="1" t="s">
        <v>52</v>
      </c>
      <c r="C4652">
        <v>10691</v>
      </c>
      <c r="D4652" s="1" t="s">
        <v>181</v>
      </c>
      <c r="E4652" s="1" t="s">
        <v>6</v>
      </c>
      <c r="F4652">
        <v>9</v>
      </c>
      <c r="G4652" s="1" t="str">
        <f>Ocupacao_DW[[#This Row],[data]]&amp;Ocupacao_DW[[#This Row],[profissional_id]]&amp;Ocupacao_DW[[#This Row],[local_id]]</f>
        <v>44641106919</v>
      </c>
      <c r="H4652" s="1">
        <f>_xlfn.XLOOKUP(Ocupacao_DW[[#This Row],[Concat]],Vagas!$H:$H,Vagas!$D:$D,"",0)</f>
        <v>0</v>
      </c>
    </row>
    <row r="4653" spans="1:8" x14ac:dyDescent="0.25">
      <c r="A4653" s="2">
        <v>44635</v>
      </c>
      <c r="B4653" s="1" t="s">
        <v>49</v>
      </c>
      <c r="C4653">
        <v>266</v>
      </c>
      <c r="D4653" s="1" t="s">
        <v>201</v>
      </c>
      <c r="E4653" s="1" t="s">
        <v>4</v>
      </c>
      <c r="F4653">
        <v>42</v>
      </c>
      <c r="G4653" s="1" t="str">
        <f>Ocupacao_DW[[#This Row],[data]]&amp;Ocupacao_DW[[#This Row],[profissional_id]]&amp;Ocupacao_DW[[#This Row],[local_id]]</f>
        <v>4463526642</v>
      </c>
      <c r="H4653" s="1">
        <f>_xlfn.XLOOKUP(Ocupacao_DW[[#This Row],[Concat]],Vagas!$H:$H,Vagas!$D:$D,"",0)</f>
        <v>0</v>
      </c>
    </row>
    <row r="4654" spans="1:8" x14ac:dyDescent="0.25">
      <c r="A4654" s="2">
        <v>44635</v>
      </c>
      <c r="B4654" s="1" t="s">
        <v>49</v>
      </c>
      <c r="C4654">
        <v>81</v>
      </c>
      <c r="D4654" s="1" t="s">
        <v>170</v>
      </c>
      <c r="E4654" s="1" t="s">
        <v>7</v>
      </c>
      <c r="F4654">
        <v>71</v>
      </c>
      <c r="G4654" s="1" t="str">
        <f>Ocupacao_DW[[#This Row],[data]]&amp;Ocupacao_DW[[#This Row],[profissional_id]]&amp;Ocupacao_DW[[#This Row],[local_id]]</f>
        <v>446358171</v>
      </c>
      <c r="H4654" s="1">
        <f>_xlfn.XLOOKUP(Ocupacao_DW[[#This Row],[Concat]],Vagas!$H:$H,Vagas!$D:$D,"",0)</f>
        <v>0</v>
      </c>
    </row>
    <row r="4655" spans="1:8" x14ac:dyDescent="0.25">
      <c r="A4655" s="2">
        <v>44642</v>
      </c>
      <c r="B4655" s="1" t="s">
        <v>49</v>
      </c>
      <c r="C4655">
        <v>81</v>
      </c>
      <c r="D4655" s="1" t="s">
        <v>170</v>
      </c>
      <c r="E4655" s="1" t="s">
        <v>4</v>
      </c>
      <c r="F4655">
        <v>41</v>
      </c>
      <c r="G4655" s="1" t="str">
        <f>Ocupacao_DW[[#This Row],[data]]&amp;Ocupacao_DW[[#This Row],[profissional_id]]&amp;Ocupacao_DW[[#This Row],[local_id]]</f>
        <v>446428141</v>
      </c>
      <c r="H4655" s="1">
        <f>_xlfn.XLOOKUP(Ocupacao_DW[[#This Row],[Concat]],Vagas!$H:$H,Vagas!$D:$D,"",0)</f>
        <v>0</v>
      </c>
    </row>
    <row r="4656" spans="1:8" x14ac:dyDescent="0.25">
      <c r="A4656" s="2">
        <v>44635</v>
      </c>
      <c r="B4656" s="1" t="s">
        <v>66</v>
      </c>
      <c r="C4656">
        <v>100</v>
      </c>
      <c r="D4656" s="1" t="s">
        <v>166</v>
      </c>
      <c r="E4656" s="1" t="s">
        <v>167</v>
      </c>
      <c r="F4656">
        <v>342</v>
      </c>
      <c r="G4656" s="1" t="str">
        <f>Ocupacao_DW[[#This Row],[data]]&amp;Ocupacao_DW[[#This Row],[profissional_id]]&amp;Ocupacao_DW[[#This Row],[local_id]]</f>
        <v>44635100342</v>
      </c>
      <c r="H4656" s="1">
        <f>_xlfn.XLOOKUP(Ocupacao_DW[[#This Row],[Concat]],Vagas!$H:$H,Vagas!$D:$D,"",0)</f>
        <v>0</v>
      </c>
    </row>
    <row r="4657" spans="1:8" x14ac:dyDescent="0.25">
      <c r="A4657" s="2">
        <v>44636</v>
      </c>
      <c r="B4657" s="1" t="s">
        <v>47</v>
      </c>
      <c r="C4657">
        <v>111</v>
      </c>
      <c r="D4657" s="1" t="s">
        <v>199</v>
      </c>
      <c r="E4657" s="1" t="s">
        <v>4</v>
      </c>
      <c r="F4657">
        <v>51</v>
      </c>
      <c r="G4657" s="1" t="str">
        <f>Ocupacao_DW[[#This Row],[data]]&amp;Ocupacao_DW[[#This Row],[profissional_id]]&amp;Ocupacao_DW[[#This Row],[local_id]]</f>
        <v>4463611151</v>
      </c>
      <c r="H4657" s="1">
        <f>_xlfn.XLOOKUP(Ocupacao_DW[[#This Row],[Concat]],Vagas!$H:$H,Vagas!$D:$D,"",0)</f>
        <v>1</v>
      </c>
    </row>
    <row r="4658" spans="1:8" x14ac:dyDescent="0.25">
      <c r="A4658" s="2">
        <v>44656</v>
      </c>
      <c r="B4658" s="1" t="s">
        <v>70</v>
      </c>
      <c r="C4658">
        <v>12825</v>
      </c>
      <c r="D4658" s="1" t="s">
        <v>177</v>
      </c>
      <c r="E4658" s="1" t="s">
        <v>7</v>
      </c>
      <c r="F4658">
        <v>63</v>
      </c>
      <c r="G4658" s="1" t="str">
        <f>Ocupacao_DW[[#This Row],[data]]&amp;Ocupacao_DW[[#This Row],[profissional_id]]&amp;Ocupacao_DW[[#This Row],[local_id]]</f>
        <v>446561282563</v>
      </c>
      <c r="H4658" s="1">
        <f>_xlfn.XLOOKUP(Ocupacao_DW[[#This Row],[Concat]],Vagas!$H:$H,Vagas!$D:$D,"",0)</f>
        <v>0</v>
      </c>
    </row>
    <row r="4659" spans="1:8" x14ac:dyDescent="0.25">
      <c r="A4659" s="2">
        <v>44646</v>
      </c>
      <c r="B4659" s="1" t="s">
        <v>55</v>
      </c>
      <c r="C4659">
        <v>17879</v>
      </c>
      <c r="D4659" s="1" t="s">
        <v>233</v>
      </c>
      <c r="E4659" s="1" t="s">
        <v>6</v>
      </c>
      <c r="F4659">
        <v>3</v>
      </c>
      <c r="G4659" s="1" t="str">
        <f>Ocupacao_DW[[#This Row],[data]]&amp;Ocupacao_DW[[#This Row],[profissional_id]]&amp;Ocupacao_DW[[#This Row],[local_id]]</f>
        <v>44646178793</v>
      </c>
      <c r="H4659" s="1">
        <f>_xlfn.XLOOKUP(Ocupacao_DW[[#This Row],[Concat]],Vagas!$H:$H,Vagas!$D:$D,"",0)</f>
        <v>0</v>
      </c>
    </row>
    <row r="4660" spans="1:8" x14ac:dyDescent="0.25">
      <c r="A4660" s="2">
        <v>44637</v>
      </c>
      <c r="B4660" s="1" t="s">
        <v>52</v>
      </c>
      <c r="C4660">
        <v>60</v>
      </c>
      <c r="D4660" s="1" t="s">
        <v>217</v>
      </c>
      <c r="E4660" s="1" t="s">
        <v>167</v>
      </c>
      <c r="F4660">
        <v>346</v>
      </c>
      <c r="G4660" s="1" t="str">
        <f>Ocupacao_DW[[#This Row],[data]]&amp;Ocupacao_DW[[#This Row],[profissional_id]]&amp;Ocupacao_DW[[#This Row],[local_id]]</f>
        <v>4463760346</v>
      </c>
      <c r="H4660" s="1">
        <f>_xlfn.XLOOKUP(Ocupacao_DW[[#This Row],[Concat]],Vagas!$H:$H,Vagas!$D:$D,"",0)</f>
        <v>0</v>
      </c>
    </row>
    <row r="4661" spans="1:8" x14ac:dyDescent="0.25">
      <c r="A4661" s="2">
        <v>44637</v>
      </c>
      <c r="B4661" s="1" t="s">
        <v>47</v>
      </c>
      <c r="C4661">
        <v>9111</v>
      </c>
      <c r="D4661" s="1" t="s">
        <v>206</v>
      </c>
      <c r="E4661" s="1" t="s">
        <v>4</v>
      </c>
      <c r="F4661">
        <v>334</v>
      </c>
      <c r="G4661" s="1" t="str">
        <f>Ocupacao_DW[[#This Row],[data]]&amp;Ocupacao_DW[[#This Row],[profissional_id]]&amp;Ocupacao_DW[[#This Row],[local_id]]</f>
        <v>446379111334</v>
      </c>
      <c r="H4661" s="1">
        <f>_xlfn.XLOOKUP(Ocupacao_DW[[#This Row],[Concat]],Vagas!$H:$H,Vagas!$D:$D,"",0)</f>
        <v>0</v>
      </c>
    </row>
    <row r="4662" spans="1:8" x14ac:dyDescent="0.25">
      <c r="A4662" s="2">
        <v>44653</v>
      </c>
      <c r="B4662" s="1" t="s">
        <v>62</v>
      </c>
      <c r="C4662">
        <v>4887</v>
      </c>
      <c r="D4662" s="1" t="s">
        <v>168</v>
      </c>
      <c r="E4662" s="1" t="s">
        <v>5</v>
      </c>
      <c r="F4662">
        <v>18</v>
      </c>
      <c r="G4662" s="1" t="str">
        <f>Ocupacao_DW[[#This Row],[data]]&amp;Ocupacao_DW[[#This Row],[profissional_id]]&amp;Ocupacao_DW[[#This Row],[local_id]]</f>
        <v>44653488718</v>
      </c>
      <c r="H4662" s="1">
        <f>_xlfn.XLOOKUP(Ocupacao_DW[[#This Row],[Concat]],Vagas!$H:$H,Vagas!$D:$D,"",0)</f>
        <v>0</v>
      </c>
    </row>
    <row r="4663" spans="1:8" x14ac:dyDescent="0.25">
      <c r="A4663" s="2">
        <v>44642</v>
      </c>
      <c r="B4663" s="1" t="s">
        <v>55</v>
      </c>
      <c r="C4663">
        <v>14452</v>
      </c>
      <c r="D4663" s="1" t="s">
        <v>266</v>
      </c>
      <c r="E4663" s="1" t="s">
        <v>200</v>
      </c>
      <c r="F4663">
        <v>78</v>
      </c>
      <c r="G4663" s="1" t="str">
        <f>Ocupacao_DW[[#This Row],[data]]&amp;Ocupacao_DW[[#This Row],[profissional_id]]&amp;Ocupacao_DW[[#This Row],[local_id]]</f>
        <v>446421445278</v>
      </c>
      <c r="H4663" s="1">
        <f>_xlfn.XLOOKUP(Ocupacao_DW[[#This Row],[Concat]],Vagas!$H:$H,Vagas!$D:$D,"",0)</f>
        <v>0</v>
      </c>
    </row>
    <row r="4664" spans="1:8" x14ac:dyDescent="0.25">
      <c r="A4664" s="2">
        <v>44646</v>
      </c>
      <c r="B4664" s="1" t="s">
        <v>55</v>
      </c>
      <c r="C4664">
        <v>17879</v>
      </c>
      <c r="D4664" s="1" t="s">
        <v>233</v>
      </c>
      <c r="E4664" s="1" t="s">
        <v>6</v>
      </c>
      <c r="F4664">
        <v>3</v>
      </c>
      <c r="G4664" s="1" t="str">
        <f>Ocupacao_DW[[#This Row],[data]]&amp;Ocupacao_DW[[#This Row],[profissional_id]]&amp;Ocupacao_DW[[#This Row],[local_id]]</f>
        <v>44646178793</v>
      </c>
      <c r="H4664" s="1">
        <f>_xlfn.XLOOKUP(Ocupacao_DW[[#This Row],[Concat]],Vagas!$H:$H,Vagas!$D:$D,"",0)</f>
        <v>0</v>
      </c>
    </row>
    <row r="4665" spans="1:8" x14ac:dyDescent="0.25">
      <c r="A4665" s="2">
        <v>44635</v>
      </c>
      <c r="B4665" s="1" t="s">
        <v>55</v>
      </c>
      <c r="C4665">
        <v>14452</v>
      </c>
      <c r="D4665" s="1" t="s">
        <v>266</v>
      </c>
      <c r="E4665" s="1" t="s">
        <v>200</v>
      </c>
      <c r="F4665">
        <v>78</v>
      </c>
      <c r="G4665" s="1" t="str">
        <f>Ocupacao_DW[[#This Row],[data]]&amp;Ocupacao_DW[[#This Row],[profissional_id]]&amp;Ocupacao_DW[[#This Row],[local_id]]</f>
        <v>446351445278</v>
      </c>
      <c r="H4665" s="1">
        <f>_xlfn.XLOOKUP(Ocupacao_DW[[#This Row],[Concat]],Vagas!$H:$H,Vagas!$D:$D,"",0)</f>
        <v>0</v>
      </c>
    </row>
    <row r="4666" spans="1:8" x14ac:dyDescent="0.25">
      <c r="A4666" s="2">
        <v>44636</v>
      </c>
      <c r="B4666" s="1"/>
      <c r="C4666">
        <v>110</v>
      </c>
      <c r="D4666" s="1" t="s">
        <v>193</v>
      </c>
      <c r="E4666" s="1" t="s">
        <v>4</v>
      </c>
      <c r="F4666">
        <v>334</v>
      </c>
      <c r="G4666" s="1" t="str">
        <f>Ocupacao_DW[[#This Row],[data]]&amp;Ocupacao_DW[[#This Row],[profissional_id]]&amp;Ocupacao_DW[[#This Row],[local_id]]</f>
        <v>44636110334</v>
      </c>
      <c r="H4666" s="1">
        <f>_xlfn.XLOOKUP(Ocupacao_DW[[#This Row],[Concat]],Vagas!$H:$H,Vagas!$D:$D,"",0)</f>
        <v>0</v>
      </c>
    </row>
    <row r="4667" spans="1:8" x14ac:dyDescent="0.25">
      <c r="A4667" s="2">
        <v>44650</v>
      </c>
      <c r="B4667" s="1" t="s">
        <v>47</v>
      </c>
      <c r="C4667">
        <v>110</v>
      </c>
      <c r="D4667" s="1" t="s">
        <v>193</v>
      </c>
      <c r="E4667" s="1" t="s">
        <v>4</v>
      </c>
      <c r="F4667">
        <v>334</v>
      </c>
      <c r="G4667" s="1" t="str">
        <f>Ocupacao_DW[[#This Row],[data]]&amp;Ocupacao_DW[[#This Row],[profissional_id]]&amp;Ocupacao_DW[[#This Row],[local_id]]</f>
        <v>44650110334</v>
      </c>
      <c r="H4667" s="1">
        <f>_xlfn.XLOOKUP(Ocupacao_DW[[#This Row],[Concat]],Vagas!$H:$H,Vagas!$D:$D,"",0)</f>
        <v>0</v>
      </c>
    </row>
    <row r="4668" spans="1:8" x14ac:dyDescent="0.25">
      <c r="A4668" s="2">
        <v>44656</v>
      </c>
      <c r="B4668" s="1" t="s">
        <v>55</v>
      </c>
      <c r="C4668">
        <v>73</v>
      </c>
      <c r="D4668" s="1" t="s">
        <v>171</v>
      </c>
      <c r="E4668" s="1" t="s">
        <v>6</v>
      </c>
      <c r="F4668">
        <v>5</v>
      </c>
      <c r="G4668" s="1" t="str">
        <f>Ocupacao_DW[[#This Row],[data]]&amp;Ocupacao_DW[[#This Row],[profissional_id]]&amp;Ocupacao_DW[[#This Row],[local_id]]</f>
        <v>44656735</v>
      </c>
      <c r="H4668" s="1">
        <f>_xlfn.XLOOKUP(Ocupacao_DW[[#This Row],[Concat]],Vagas!$H:$H,Vagas!$D:$D,"",0)</f>
        <v>0</v>
      </c>
    </row>
    <row r="4669" spans="1:8" x14ac:dyDescent="0.25">
      <c r="A4669" s="2">
        <v>44657</v>
      </c>
      <c r="B4669" s="1" t="s">
        <v>55</v>
      </c>
      <c r="C4669">
        <v>74</v>
      </c>
      <c r="D4669" s="1" t="s">
        <v>182</v>
      </c>
      <c r="E4669" s="1" t="s">
        <v>6</v>
      </c>
      <c r="F4669">
        <v>7</v>
      </c>
      <c r="G4669" s="1" t="str">
        <f>Ocupacao_DW[[#This Row],[data]]&amp;Ocupacao_DW[[#This Row],[profissional_id]]&amp;Ocupacao_DW[[#This Row],[local_id]]</f>
        <v>44657747</v>
      </c>
      <c r="H4669" s="1">
        <f>_xlfn.XLOOKUP(Ocupacao_DW[[#This Row],[Concat]],Vagas!$H:$H,Vagas!$D:$D,"",0)</f>
        <v>0</v>
      </c>
    </row>
    <row r="4670" spans="1:8" x14ac:dyDescent="0.25">
      <c r="A4670" s="2">
        <v>44643</v>
      </c>
      <c r="B4670" s="1" t="s">
        <v>52</v>
      </c>
      <c r="C4670">
        <v>10691</v>
      </c>
      <c r="D4670" s="1" t="s">
        <v>181</v>
      </c>
      <c r="E4670" s="1" t="s">
        <v>6</v>
      </c>
      <c r="F4670">
        <v>9</v>
      </c>
      <c r="G4670" s="1" t="str">
        <f>Ocupacao_DW[[#This Row],[data]]&amp;Ocupacao_DW[[#This Row],[profissional_id]]&amp;Ocupacao_DW[[#This Row],[local_id]]</f>
        <v>44643106919</v>
      </c>
      <c r="H4670" s="1">
        <f>_xlfn.XLOOKUP(Ocupacao_DW[[#This Row],[Concat]],Vagas!$H:$H,Vagas!$D:$D,"",0)</f>
        <v>0</v>
      </c>
    </row>
    <row r="4671" spans="1:8" x14ac:dyDescent="0.25">
      <c r="A4671" s="2">
        <v>44635</v>
      </c>
      <c r="B4671" s="1" t="s">
        <v>70</v>
      </c>
      <c r="C4671">
        <v>12825</v>
      </c>
      <c r="D4671" s="1" t="s">
        <v>177</v>
      </c>
      <c r="E4671" s="1" t="s">
        <v>7</v>
      </c>
      <c r="F4671">
        <v>63</v>
      </c>
      <c r="G4671" s="1" t="str">
        <f>Ocupacao_DW[[#This Row],[data]]&amp;Ocupacao_DW[[#This Row],[profissional_id]]&amp;Ocupacao_DW[[#This Row],[local_id]]</f>
        <v>446351282563</v>
      </c>
      <c r="H4671" s="1">
        <f>_xlfn.XLOOKUP(Ocupacao_DW[[#This Row],[Concat]],Vagas!$H:$H,Vagas!$D:$D,"",0)</f>
        <v>0</v>
      </c>
    </row>
    <row r="4672" spans="1:8" x14ac:dyDescent="0.25">
      <c r="A4672" s="2">
        <v>44638</v>
      </c>
      <c r="B4672" s="1" t="s">
        <v>72</v>
      </c>
      <c r="C4672">
        <v>13479</v>
      </c>
      <c r="D4672" s="1" t="s">
        <v>203</v>
      </c>
      <c r="E4672" s="1" t="s">
        <v>200</v>
      </c>
      <c r="F4672">
        <v>83</v>
      </c>
      <c r="G4672" s="1" t="str">
        <f>Ocupacao_DW[[#This Row],[data]]&amp;Ocupacao_DW[[#This Row],[profissional_id]]&amp;Ocupacao_DW[[#This Row],[local_id]]</f>
        <v>446381347983</v>
      </c>
      <c r="H4672" s="1">
        <f>_xlfn.XLOOKUP(Ocupacao_DW[[#This Row],[Concat]],Vagas!$H:$H,Vagas!$D:$D,"",0)</f>
        <v>0</v>
      </c>
    </row>
    <row r="4673" spans="1:8" x14ac:dyDescent="0.25">
      <c r="A4673" s="2">
        <v>44651</v>
      </c>
      <c r="B4673" s="1" t="s">
        <v>70</v>
      </c>
      <c r="C4673">
        <v>12519</v>
      </c>
      <c r="D4673" s="1" t="s">
        <v>176</v>
      </c>
      <c r="E4673" s="1" t="s">
        <v>4</v>
      </c>
      <c r="F4673">
        <v>42</v>
      </c>
      <c r="G4673" s="1" t="str">
        <f>Ocupacao_DW[[#This Row],[data]]&amp;Ocupacao_DW[[#This Row],[profissional_id]]&amp;Ocupacao_DW[[#This Row],[local_id]]</f>
        <v>446511251942</v>
      </c>
      <c r="H4673" s="1">
        <f>_xlfn.XLOOKUP(Ocupacao_DW[[#This Row],[Concat]],Vagas!$H:$H,Vagas!$D:$D,"",0)</f>
        <v>0</v>
      </c>
    </row>
    <row r="4674" spans="1:8" x14ac:dyDescent="0.25">
      <c r="A4674" s="2">
        <v>44636</v>
      </c>
      <c r="B4674" s="1" t="s">
        <v>62</v>
      </c>
      <c r="C4674">
        <v>3502</v>
      </c>
      <c r="D4674" s="1" t="s">
        <v>214</v>
      </c>
      <c r="E4674" s="1" t="s">
        <v>5</v>
      </c>
      <c r="F4674">
        <v>16</v>
      </c>
      <c r="G4674" s="1" t="str">
        <f>Ocupacao_DW[[#This Row],[data]]&amp;Ocupacao_DW[[#This Row],[profissional_id]]&amp;Ocupacao_DW[[#This Row],[local_id]]</f>
        <v>44636350216</v>
      </c>
      <c r="H4674" s="1">
        <f>_xlfn.XLOOKUP(Ocupacao_DW[[#This Row],[Concat]],Vagas!$H:$H,Vagas!$D:$D,"",0)</f>
        <v>0</v>
      </c>
    </row>
    <row r="4675" spans="1:8" x14ac:dyDescent="0.25">
      <c r="A4675" s="2">
        <v>44657</v>
      </c>
      <c r="B4675" s="1" t="s">
        <v>55</v>
      </c>
      <c r="C4675">
        <v>74</v>
      </c>
      <c r="D4675" s="1" t="s">
        <v>182</v>
      </c>
      <c r="E4675" s="1" t="s">
        <v>6</v>
      </c>
      <c r="F4675">
        <v>7</v>
      </c>
      <c r="G4675" s="1" t="str">
        <f>Ocupacao_DW[[#This Row],[data]]&amp;Ocupacao_DW[[#This Row],[profissional_id]]&amp;Ocupacao_DW[[#This Row],[local_id]]</f>
        <v>44657747</v>
      </c>
      <c r="H4675" s="1">
        <f>_xlfn.XLOOKUP(Ocupacao_DW[[#This Row],[Concat]],Vagas!$H:$H,Vagas!$D:$D,"",0)</f>
        <v>0</v>
      </c>
    </row>
    <row r="4676" spans="1:8" x14ac:dyDescent="0.25">
      <c r="A4676" s="2">
        <v>44644</v>
      </c>
      <c r="B4676" s="1" t="s">
        <v>56</v>
      </c>
      <c r="C4676">
        <v>5822</v>
      </c>
      <c r="D4676" s="1" t="s">
        <v>194</v>
      </c>
      <c r="E4676" s="1" t="s">
        <v>5</v>
      </c>
      <c r="F4676">
        <v>11</v>
      </c>
      <c r="G4676" s="1" t="str">
        <f>Ocupacao_DW[[#This Row],[data]]&amp;Ocupacao_DW[[#This Row],[profissional_id]]&amp;Ocupacao_DW[[#This Row],[local_id]]</f>
        <v>44644582211</v>
      </c>
      <c r="H4676" s="1">
        <f>_xlfn.XLOOKUP(Ocupacao_DW[[#This Row],[Concat]],Vagas!$H:$H,Vagas!$D:$D,"",0)</f>
        <v>0</v>
      </c>
    </row>
    <row r="4677" spans="1:8" x14ac:dyDescent="0.25">
      <c r="A4677" s="2">
        <v>44635</v>
      </c>
      <c r="B4677" s="1" t="s">
        <v>70</v>
      </c>
      <c r="C4677">
        <v>12825</v>
      </c>
      <c r="D4677" s="1" t="s">
        <v>177</v>
      </c>
      <c r="E4677" s="1" t="s">
        <v>7</v>
      </c>
      <c r="F4677">
        <v>63</v>
      </c>
      <c r="G4677" s="1" t="str">
        <f>Ocupacao_DW[[#This Row],[data]]&amp;Ocupacao_DW[[#This Row],[profissional_id]]&amp;Ocupacao_DW[[#This Row],[local_id]]</f>
        <v>446351282563</v>
      </c>
      <c r="H4677" s="1">
        <f>_xlfn.XLOOKUP(Ocupacao_DW[[#This Row],[Concat]],Vagas!$H:$H,Vagas!$D:$D,"",0)</f>
        <v>0</v>
      </c>
    </row>
    <row r="4678" spans="1:8" x14ac:dyDescent="0.25">
      <c r="A4678" s="2">
        <v>44651</v>
      </c>
      <c r="B4678" s="1" t="s">
        <v>70</v>
      </c>
      <c r="C4678">
        <v>12519</v>
      </c>
      <c r="D4678" s="1" t="s">
        <v>176</v>
      </c>
      <c r="E4678" s="1" t="s">
        <v>4</v>
      </c>
      <c r="F4678">
        <v>42</v>
      </c>
      <c r="G4678" s="1" t="str">
        <f>Ocupacao_DW[[#This Row],[data]]&amp;Ocupacao_DW[[#This Row],[profissional_id]]&amp;Ocupacao_DW[[#This Row],[local_id]]</f>
        <v>446511251942</v>
      </c>
      <c r="H4678" s="1">
        <f>_xlfn.XLOOKUP(Ocupacao_DW[[#This Row],[Concat]],Vagas!$H:$H,Vagas!$D:$D,"",0)</f>
        <v>0</v>
      </c>
    </row>
    <row r="4679" spans="1:8" x14ac:dyDescent="0.25">
      <c r="A4679" s="2">
        <v>44638</v>
      </c>
      <c r="B4679" s="1" t="s">
        <v>47</v>
      </c>
      <c r="C4679">
        <v>13371</v>
      </c>
      <c r="D4679" s="1" t="s">
        <v>205</v>
      </c>
      <c r="E4679" s="1" t="s">
        <v>4</v>
      </c>
      <c r="F4679">
        <v>336</v>
      </c>
      <c r="G4679" s="1" t="str">
        <f>Ocupacao_DW[[#This Row],[data]]&amp;Ocupacao_DW[[#This Row],[profissional_id]]&amp;Ocupacao_DW[[#This Row],[local_id]]</f>
        <v>4463813371336</v>
      </c>
      <c r="H4679" s="1" t="str">
        <f>_xlfn.XLOOKUP(Ocupacao_DW[[#This Row],[Concat]],Vagas!$H:$H,Vagas!$D:$D,"",0)</f>
        <v/>
      </c>
    </row>
    <row r="4680" spans="1:8" x14ac:dyDescent="0.25">
      <c r="A4680" s="2">
        <v>44636</v>
      </c>
      <c r="B4680" s="1" t="s">
        <v>66</v>
      </c>
      <c r="C4680">
        <v>1343</v>
      </c>
      <c r="D4680" s="1" t="s">
        <v>263</v>
      </c>
      <c r="E4680" s="1" t="s">
        <v>167</v>
      </c>
      <c r="F4680">
        <v>342</v>
      </c>
      <c r="G4680" s="1" t="str">
        <f>Ocupacao_DW[[#This Row],[data]]&amp;Ocupacao_DW[[#This Row],[profissional_id]]&amp;Ocupacao_DW[[#This Row],[local_id]]</f>
        <v>446361343342</v>
      </c>
      <c r="H4680" s="1">
        <f>_xlfn.XLOOKUP(Ocupacao_DW[[#This Row],[Concat]],Vagas!$H:$H,Vagas!$D:$D,"",0)</f>
        <v>0</v>
      </c>
    </row>
    <row r="4681" spans="1:8" x14ac:dyDescent="0.25">
      <c r="A4681" s="2">
        <v>44657</v>
      </c>
      <c r="B4681" s="1"/>
      <c r="C4681">
        <v>5767</v>
      </c>
      <c r="D4681" s="1" t="s">
        <v>239</v>
      </c>
      <c r="E4681" s="1" t="s">
        <v>4</v>
      </c>
      <c r="F4681">
        <v>44</v>
      </c>
      <c r="G4681" s="1" t="str">
        <f>Ocupacao_DW[[#This Row],[data]]&amp;Ocupacao_DW[[#This Row],[profissional_id]]&amp;Ocupacao_DW[[#This Row],[local_id]]</f>
        <v>44657576744</v>
      </c>
      <c r="H4681" s="1">
        <f>_xlfn.XLOOKUP(Ocupacao_DW[[#This Row],[Concat]],Vagas!$H:$H,Vagas!$D:$D,"",0)</f>
        <v>13</v>
      </c>
    </row>
    <row r="4682" spans="1:8" x14ac:dyDescent="0.25">
      <c r="A4682" s="2">
        <v>44638</v>
      </c>
      <c r="B4682" s="1" t="s">
        <v>47</v>
      </c>
      <c r="C4682">
        <v>9111</v>
      </c>
      <c r="D4682" s="1" t="s">
        <v>206</v>
      </c>
      <c r="E4682" s="1" t="s">
        <v>4</v>
      </c>
      <c r="F4682">
        <v>51</v>
      </c>
      <c r="G4682" s="1" t="str">
        <f>Ocupacao_DW[[#This Row],[data]]&amp;Ocupacao_DW[[#This Row],[profissional_id]]&amp;Ocupacao_DW[[#This Row],[local_id]]</f>
        <v>44638911151</v>
      </c>
      <c r="H4682" s="1">
        <f>_xlfn.XLOOKUP(Ocupacao_DW[[#This Row],[Concat]],Vagas!$H:$H,Vagas!$D:$D,"",0)</f>
        <v>0</v>
      </c>
    </row>
    <row r="4683" spans="1:8" x14ac:dyDescent="0.25">
      <c r="A4683" s="2">
        <v>44637</v>
      </c>
      <c r="B4683" s="1"/>
      <c r="C4683">
        <v>0</v>
      </c>
      <c r="D4683" s="1"/>
      <c r="E4683" s="1" t="s">
        <v>167</v>
      </c>
      <c r="F4683">
        <v>24</v>
      </c>
      <c r="G4683" s="1" t="str">
        <f>Ocupacao_DW[[#This Row],[data]]&amp;Ocupacao_DW[[#This Row],[profissional_id]]&amp;Ocupacao_DW[[#This Row],[local_id]]</f>
        <v>44637024</v>
      </c>
      <c r="H4683" s="1" t="str">
        <f>_xlfn.XLOOKUP(Ocupacao_DW[[#This Row],[Concat]],Vagas!$H:$H,Vagas!$D:$D,"",0)</f>
        <v/>
      </c>
    </row>
    <row r="4684" spans="1:8" x14ac:dyDescent="0.25">
      <c r="A4684" s="2">
        <v>44637</v>
      </c>
      <c r="B4684" s="1"/>
      <c r="C4684">
        <v>0</v>
      </c>
      <c r="D4684" s="1"/>
      <c r="E4684" s="1" t="s">
        <v>167</v>
      </c>
      <c r="F4684">
        <v>24</v>
      </c>
      <c r="G4684" s="1" t="str">
        <f>Ocupacao_DW[[#This Row],[data]]&amp;Ocupacao_DW[[#This Row],[profissional_id]]&amp;Ocupacao_DW[[#This Row],[local_id]]</f>
        <v>44637024</v>
      </c>
      <c r="H4684" s="1" t="str">
        <f>_xlfn.XLOOKUP(Ocupacao_DW[[#This Row],[Concat]],Vagas!$H:$H,Vagas!$D:$D,"",0)</f>
        <v/>
      </c>
    </row>
    <row r="4685" spans="1:8" x14ac:dyDescent="0.25">
      <c r="A4685" s="2">
        <v>44635</v>
      </c>
      <c r="B4685" s="1" t="s">
        <v>54</v>
      </c>
      <c r="C4685">
        <v>12623</v>
      </c>
      <c r="D4685" s="1" t="s">
        <v>258</v>
      </c>
      <c r="E4685" s="1" t="s">
        <v>5</v>
      </c>
      <c r="F4685">
        <v>11</v>
      </c>
      <c r="G4685" s="1" t="str">
        <f>Ocupacao_DW[[#This Row],[data]]&amp;Ocupacao_DW[[#This Row],[profissional_id]]&amp;Ocupacao_DW[[#This Row],[local_id]]</f>
        <v>446351262311</v>
      </c>
      <c r="H4685" s="1">
        <f>_xlfn.XLOOKUP(Ocupacao_DW[[#This Row],[Concat]],Vagas!$H:$H,Vagas!$D:$D,"",0)</f>
        <v>0</v>
      </c>
    </row>
    <row r="4686" spans="1:8" x14ac:dyDescent="0.25">
      <c r="A4686" s="2">
        <v>44646</v>
      </c>
      <c r="B4686" s="1" t="s">
        <v>55</v>
      </c>
      <c r="C4686">
        <v>17879</v>
      </c>
      <c r="D4686" s="1" t="s">
        <v>233</v>
      </c>
      <c r="E4686" s="1" t="s">
        <v>6</v>
      </c>
      <c r="F4686">
        <v>3</v>
      </c>
      <c r="G4686" s="1" t="str">
        <f>Ocupacao_DW[[#This Row],[data]]&amp;Ocupacao_DW[[#This Row],[profissional_id]]&amp;Ocupacao_DW[[#This Row],[local_id]]</f>
        <v>44646178793</v>
      </c>
      <c r="H4686" s="1">
        <f>_xlfn.XLOOKUP(Ocupacao_DW[[#This Row],[Concat]],Vagas!$H:$H,Vagas!$D:$D,"",0)</f>
        <v>0</v>
      </c>
    </row>
    <row r="4687" spans="1:8" x14ac:dyDescent="0.25">
      <c r="A4687" s="2">
        <v>44635</v>
      </c>
      <c r="B4687" s="1" t="s">
        <v>55</v>
      </c>
      <c r="C4687">
        <v>14452</v>
      </c>
      <c r="D4687" s="1" t="s">
        <v>266</v>
      </c>
      <c r="E4687" s="1" t="s">
        <v>200</v>
      </c>
      <c r="F4687">
        <v>78</v>
      </c>
      <c r="G4687" s="1" t="str">
        <f>Ocupacao_DW[[#This Row],[data]]&amp;Ocupacao_DW[[#This Row],[profissional_id]]&amp;Ocupacao_DW[[#This Row],[local_id]]</f>
        <v>446351445278</v>
      </c>
      <c r="H4687" s="1">
        <f>_xlfn.XLOOKUP(Ocupacao_DW[[#This Row],[Concat]],Vagas!$H:$H,Vagas!$D:$D,"",0)</f>
        <v>0</v>
      </c>
    </row>
    <row r="4688" spans="1:8" x14ac:dyDescent="0.25">
      <c r="A4688" s="2">
        <v>44636</v>
      </c>
      <c r="B4688" s="1" t="s">
        <v>66</v>
      </c>
      <c r="C4688">
        <v>1343</v>
      </c>
      <c r="D4688" s="1" t="s">
        <v>263</v>
      </c>
      <c r="E4688" s="1" t="s">
        <v>167</v>
      </c>
      <c r="F4688">
        <v>342</v>
      </c>
      <c r="G4688" s="1" t="str">
        <f>Ocupacao_DW[[#This Row],[data]]&amp;Ocupacao_DW[[#This Row],[profissional_id]]&amp;Ocupacao_DW[[#This Row],[local_id]]</f>
        <v>446361343342</v>
      </c>
      <c r="H4688" s="1">
        <f>_xlfn.XLOOKUP(Ocupacao_DW[[#This Row],[Concat]],Vagas!$H:$H,Vagas!$D:$D,"",0)</f>
        <v>0</v>
      </c>
    </row>
    <row r="4689" spans="1:8" x14ac:dyDescent="0.25">
      <c r="A4689" s="2">
        <v>44656</v>
      </c>
      <c r="B4689" s="1" t="s">
        <v>55</v>
      </c>
      <c r="C4689">
        <v>73</v>
      </c>
      <c r="D4689" s="1" t="s">
        <v>171</v>
      </c>
      <c r="E4689" s="1" t="s">
        <v>6</v>
      </c>
      <c r="F4689">
        <v>5</v>
      </c>
      <c r="G4689" s="1" t="str">
        <f>Ocupacao_DW[[#This Row],[data]]&amp;Ocupacao_DW[[#This Row],[profissional_id]]&amp;Ocupacao_DW[[#This Row],[local_id]]</f>
        <v>44656735</v>
      </c>
      <c r="H4689" s="1">
        <f>_xlfn.XLOOKUP(Ocupacao_DW[[#This Row],[Concat]],Vagas!$H:$H,Vagas!$D:$D,"",0)</f>
        <v>0</v>
      </c>
    </row>
    <row r="4690" spans="1:8" x14ac:dyDescent="0.25">
      <c r="A4690" s="2">
        <v>44641</v>
      </c>
      <c r="B4690" s="1" t="s">
        <v>47</v>
      </c>
      <c r="C4690">
        <v>11241</v>
      </c>
      <c r="D4690" s="1" t="s">
        <v>252</v>
      </c>
      <c r="E4690" s="1" t="s">
        <v>4</v>
      </c>
      <c r="F4690">
        <v>51</v>
      </c>
      <c r="G4690" s="1" t="str">
        <f>Ocupacao_DW[[#This Row],[data]]&amp;Ocupacao_DW[[#This Row],[profissional_id]]&amp;Ocupacao_DW[[#This Row],[local_id]]</f>
        <v>446411124151</v>
      </c>
      <c r="H4690" s="1">
        <f>_xlfn.XLOOKUP(Ocupacao_DW[[#This Row],[Concat]],Vagas!$H:$H,Vagas!$D:$D,"",0)</f>
        <v>0</v>
      </c>
    </row>
    <row r="4691" spans="1:8" x14ac:dyDescent="0.25">
      <c r="A4691" s="2">
        <v>44641</v>
      </c>
      <c r="B4691" s="1" t="s">
        <v>56</v>
      </c>
      <c r="C4691">
        <v>5927</v>
      </c>
      <c r="D4691" s="1" t="s">
        <v>226</v>
      </c>
      <c r="E4691" s="1" t="s">
        <v>5</v>
      </c>
      <c r="F4691">
        <v>17</v>
      </c>
      <c r="G4691" s="1" t="str">
        <f>Ocupacao_DW[[#This Row],[data]]&amp;Ocupacao_DW[[#This Row],[profissional_id]]&amp;Ocupacao_DW[[#This Row],[local_id]]</f>
        <v>44641592717</v>
      </c>
      <c r="H4691" s="1">
        <f>_xlfn.XLOOKUP(Ocupacao_DW[[#This Row],[Concat]],Vagas!$H:$H,Vagas!$D:$D,"",0)</f>
        <v>0</v>
      </c>
    </row>
    <row r="4692" spans="1:8" x14ac:dyDescent="0.25">
      <c r="A4692" s="2">
        <v>44641</v>
      </c>
      <c r="B4692" s="1" t="s">
        <v>64</v>
      </c>
      <c r="C4692">
        <v>86</v>
      </c>
      <c r="D4692" s="1" t="s">
        <v>175</v>
      </c>
      <c r="E4692" s="1" t="s">
        <v>5</v>
      </c>
      <c r="F4692">
        <v>349</v>
      </c>
      <c r="G4692" s="1" t="str">
        <f>Ocupacao_DW[[#This Row],[data]]&amp;Ocupacao_DW[[#This Row],[profissional_id]]&amp;Ocupacao_DW[[#This Row],[local_id]]</f>
        <v>4464186349</v>
      </c>
      <c r="H4692" s="1">
        <f>_xlfn.XLOOKUP(Ocupacao_DW[[#This Row],[Concat]],Vagas!$H:$H,Vagas!$D:$D,"",0)</f>
        <v>0</v>
      </c>
    </row>
    <row r="4693" spans="1:8" x14ac:dyDescent="0.25">
      <c r="A4693" s="2">
        <v>44635</v>
      </c>
      <c r="B4693" s="1" t="s">
        <v>66</v>
      </c>
      <c r="C4693">
        <v>1343</v>
      </c>
      <c r="D4693" s="1" t="s">
        <v>263</v>
      </c>
      <c r="E4693" s="1" t="s">
        <v>200</v>
      </c>
      <c r="F4693">
        <v>80</v>
      </c>
      <c r="G4693" s="1" t="str">
        <f>Ocupacao_DW[[#This Row],[data]]&amp;Ocupacao_DW[[#This Row],[profissional_id]]&amp;Ocupacao_DW[[#This Row],[local_id]]</f>
        <v>44635134380</v>
      </c>
      <c r="H4693" s="1">
        <f>_xlfn.XLOOKUP(Ocupacao_DW[[#This Row],[Concat]],Vagas!$H:$H,Vagas!$D:$D,"",0)</f>
        <v>0</v>
      </c>
    </row>
    <row r="4694" spans="1:8" x14ac:dyDescent="0.25">
      <c r="A4694" s="2">
        <v>44639</v>
      </c>
      <c r="B4694" s="1"/>
      <c r="C4694">
        <v>17937</v>
      </c>
      <c r="D4694" s="1" t="s">
        <v>297</v>
      </c>
      <c r="E4694" s="1" t="s">
        <v>4</v>
      </c>
      <c r="F4694">
        <v>351</v>
      </c>
      <c r="G4694" s="1" t="str">
        <f>Ocupacao_DW[[#This Row],[data]]&amp;Ocupacao_DW[[#This Row],[profissional_id]]&amp;Ocupacao_DW[[#This Row],[local_id]]</f>
        <v>4463917937351</v>
      </c>
      <c r="H4694" s="1" t="str">
        <f>_xlfn.XLOOKUP(Ocupacao_DW[[#This Row],[Concat]],Vagas!$H:$H,Vagas!$D:$D,"",0)</f>
        <v/>
      </c>
    </row>
    <row r="4695" spans="1:8" x14ac:dyDescent="0.25">
      <c r="A4695" s="2">
        <v>44635</v>
      </c>
      <c r="B4695" s="1" t="s">
        <v>66</v>
      </c>
      <c r="C4695">
        <v>1343</v>
      </c>
      <c r="D4695" s="1" t="s">
        <v>263</v>
      </c>
      <c r="E4695" s="1" t="s">
        <v>200</v>
      </c>
      <c r="F4695">
        <v>80</v>
      </c>
      <c r="G4695" s="1" t="str">
        <f>Ocupacao_DW[[#This Row],[data]]&amp;Ocupacao_DW[[#This Row],[profissional_id]]&amp;Ocupacao_DW[[#This Row],[local_id]]</f>
        <v>44635134380</v>
      </c>
      <c r="H4695" s="1">
        <f>_xlfn.XLOOKUP(Ocupacao_DW[[#This Row],[Concat]],Vagas!$H:$H,Vagas!$D:$D,"",0)</f>
        <v>0</v>
      </c>
    </row>
    <row r="4696" spans="1:8" x14ac:dyDescent="0.25">
      <c r="A4696" s="2">
        <v>44650</v>
      </c>
      <c r="B4696" s="1" t="s">
        <v>43</v>
      </c>
      <c r="C4696">
        <v>2396</v>
      </c>
      <c r="D4696" s="1" t="s">
        <v>197</v>
      </c>
      <c r="E4696" s="1" t="s">
        <v>6</v>
      </c>
      <c r="F4696">
        <v>2</v>
      </c>
      <c r="G4696" s="1" t="str">
        <f>Ocupacao_DW[[#This Row],[data]]&amp;Ocupacao_DW[[#This Row],[profissional_id]]&amp;Ocupacao_DW[[#This Row],[local_id]]</f>
        <v>4465023962</v>
      </c>
      <c r="H4696" s="1">
        <f>_xlfn.XLOOKUP(Ocupacao_DW[[#This Row],[Concat]],Vagas!$H:$H,Vagas!$D:$D,"",0)</f>
        <v>0</v>
      </c>
    </row>
    <row r="4697" spans="1:8" x14ac:dyDescent="0.25">
      <c r="A4697" s="2">
        <v>44641</v>
      </c>
      <c r="B4697" s="1" t="s">
        <v>52</v>
      </c>
      <c r="C4697">
        <v>10946</v>
      </c>
      <c r="D4697" s="1" t="s">
        <v>209</v>
      </c>
      <c r="E4697" s="1" t="s">
        <v>6</v>
      </c>
      <c r="F4697">
        <v>3</v>
      </c>
      <c r="G4697" s="1" t="str">
        <f>Ocupacao_DW[[#This Row],[data]]&amp;Ocupacao_DW[[#This Row],[profissional_id]]&amp;Ocupacao_DW[[#This Row],[local_id]]</f>
        <v>44641109463</v>
      </c>
      <c r="H4697" s="1">
        <f>_xlfn.XLOOKUP(Ocupacao_DW[[#This Row],[Concat]],Vagas!$H:$H,Vagas!$D:$D,"",0)</f>
        <v>0</v>
      </c>
    </row>
    <row r="4698" spans="1:8" x14ac:dyDescent="0.25">
      <c r="A4698" s="2">
        <v>44638</v>
      </c>
      <c r="B4698" s="1" t="s">
        <v>47</v>
      </c>
      <c r="C4698">
        <v>12679</v>
      </c>
      <c r="D4698" s="1" t="s">
        <v>192</v>
      </c>
      <c r="E4698" s="1" t="s">
        <v>4</v>
      </c>
      <c r="F4698">
        <v>336</v>
      </c>
      <c r="G4698" s="1" t="str">
        <f>Ocupacao_DW[[#This Row],[data]]&amp;Ocupacao_DW[[#This Row],[profissional_id]]&amp;Ocupacao_DW[[#This Row],[local_id]]</f>
        <v>4463812679336</v>
      </c>
      <c r="H4698" s="1">
        <f>_xlfn.XLOOKUP(Ocupacao_DW[[#This Row],[Concat]],Vagas!$H:$H,Vagas!$D:$D,"",0)</f>
        <v>0</v>
      </c>
    </row>
    <row r="4699" spans="1:8" x14ac:dyDescent="0.25">
      <c r="A4699" s="2">
        <v>44636</v>
      </c>
      <c r="B4699" s="1" t="s">
        <v>47</v>
      </c>
      <c r="C4699">
        <v>111</v>
      </c>
      <c r="D4699" s="1" t="s">
        <v>199</v>
      </c>
      <c r="E4699" s="1" t="s">
        <v>4</v>
      </c>
      <c r="F4699">
        <v>51</v>
      </c>
      <c r="G4699" s="1" t="str">
        <f>Ocupacao_DW[[#This Row],[data]]&amp;Ocupacao_DW[[#This Row],[profissional_id]]&amp;Ocupacao_DW[[#This Row],[local_id]]</f>
        <v>4463611151</v>
      </c>
      <c r="H4699" s="1">
        <f>_xlfn.XLOOKUP(Ocupacao_DW[[#This Row],[Concat]],Vagas!$H:$H,Vagas!$D:$D,"",0)</f>
        <v>1</v>
      </c>
    </row>
    <row r="4700" spans="1:8" x14ac:dyDescent="0.25">
      <c r="A4700" s="2">
        <v>44642</v>
      </c>
      <c r="B4700" s="1" t="s">
        <v>64</v>
      </c>
      <c r="C4700">
        <v>86</v>
      </c>
      <c r="D4700" s="1" t="s">
        <v>175</v>
      </c>
      <c r="E4700" s="1" t="s">
        <v>200</v>
      </c>
      <c r="F4700">
        <v>82</v>
      </c>
      <c r="G4700" s="1" t="str">
        <f>Ocupacao_DW[[#This Row],[data]]&amp;Ocupacao_DW[[#This Row],[profissional_id]]&amp;Ocupacao_DW[[#This Row],[local_id]]</f>
        <v>446428682</v>
      </c>
      <c r="H4700" s="1">
        <f>_xlfn.XLOOKUP(Ocupacao_DW[[#This Row],[Concat]],Vagas!$H:$H,Vagas!$D:$D,"",0)</f>
        <v>14</v>
      </c>
    </row>
    <row r="4701" spans="1:8" x14ac:dyDescent="0.25">
      <c r="A4701" s="2">
        <v>44637</v>
      </c>
      <c r="B4701" s="1" t="s">
        <v>49</v>
      </c>
      <c r="C4701">
        <v>3092</v>
      </c>
      <c r="D4701" s="1" t="s">
        <v>262</v>
      </c>
      <c r="E4701" s="1" t="s">
        <v>4</v>
      </c>
      <c r="F4701">
        <v>43</v>
      </c>
      <c r="G4701" s="1" t="str">
        <f>Ocupacao_DW[[#This Row],[data]]&amp;Ocupacao_DW[[#This Row],[profissional_id]]&amp;Ocupacao_DW[[#This Row],[local_id]]</f>
        <v>44637309243</v>
      </c>
      <c r="H4701" s="1">
        <f>_xlfn.XLOOKUP(Ocupacao_DW[[#This Row],[Concat]],Vagas!$H:$H,Vagas!$D:$D,"",0)</f>
        <v>0</v>
      </c>
    </row>
    <row r="4702" spans="1:8" x14ac:dyDescent="0.25">
      <c r="A4702" s="2">
        <v>44636</v>
      </c>
      <c r="B4702" s="1" t="s">
        <v>56</v>
      </c>
      <c r="C4702">
        <v>5927</v>
      </c>
      <c r="D4702" s="1" t="s">
        <v>226</v>
      </c>
      <c r="E4702" s="1" t="s">
        <v>5</v>
      </c>
      <c r="F4702">
        <v>14</v>
      </c>
      <c r="G4702" s="1" t="str">
        <f>Ocupacao_DW[[#This Row],[data]]&amp;Ocupacao_DW[[#This Row],[profissional_id]]&amp;Ocupacao_DW[[#This Row],[local_id]]</f>
        <v>44636592714</v>
      </c>
      <c r="H4702" s="1">
        <f>_xlfn.XLOOKUP(Ocupacao_DW[[#This Row],[Concat]],Vagas!$H:$H,Vagas!$D:$D,"",0)</f>
        <v>0</v>
      </c>
    </row>
    <row r="4703" spans="1:8" x14ac:dyDescent="0.25">
      <c r="A4703" s="2">
        <v>44635</v>
      </c>
      <c r="B4703" s="1"/>
      <c r="C4703">
        <v>0</v>
      </c>
      <c r="D4703" s="1"/>
      <c r="E4703" s="1" t="s">
        <v>167</v>
      </c>
      <c r="F4703">
        <v>24</v>
      </c>
      <c r="G4703" s="1" t="str">
        <f>Ocupacao_DW[[#This Row],[data]]&amp;Ocupacao_DW[[#This Row],[profissional_id]]&amp;Ocupacao_DW[[#This Row],[local_id]]</f>
        <v>44635024</v>
      </c>
      <c r="H4703" s="1" t="str">
        <f>_xlfn.XLOOKUP(Ocupacao_DW[[#This Row],[Concat]],Vagas!$H:$H,Vagas!$D:$D,"",0)</f>
        <v/>
      </c>
    </row>
    <row r="4704" spans="1:8" x14ac:dyDescent="0.25">
      <c r="A4704" s="2">
        <v>44643</v>
      </c>
      <c r="B4704" s="1" t="s">
        <v>52</v>
      </c>
      <c r="C4704">
        <v>10691</v>
      </c>
      <c r="D4704" s="1" t="s">
        <v>181</v>
      </c>
      <c r="E4704" s="1" t="s">
        <v>6</v>
      </c>
      <c r="F4704">
        <v>9</v>
      </c>
      <c r="G4704" s="1" t="str">
        <f>Ocupacao_DW[[#This Row],[data]]&amp;Ocupacao_DW[[#This Row],[profissional_id]]&amp;Ocupacao_DW[[#This Row],[local_id]]</f>
        <v>44643106919</v>
      </c>
      <c r="H4704" s="1">
        <f>_xlfn.XLOOKUP(Ocupacao_DW[[#This Row],[Concat]],Vagas!$H:$H,Vagas!$D:$D,"",0)</f>
        <v>0</v>
      </c>
    </row>
    <row r="4705" spans="1:8" x14ac:dyDescent="0.25">
      <c r="A4705" s="2">
        <v>44635</v>
      </c>
      <c r="B4705" s="1" t="s">
        <v>67</v>
      </c>
      <c r="C4705">
        <v>7290</v>
      </c>
      <c r="D4705" s="1" t="s">
        <v>247</v>
      </c>
      <c r="E4705" s="1" t="s">
        <v>5</v>
      </c>
      <c r="F4705">
        <v>18</v>
      </c>
      <c r="G4705" s="1" t="str">
        <f>Ocupacao_DW[[#This Row],[data]]&amp;Ocupacao_DW[[#This Row],[profissional_id]]&amp;Ocupacao_DW[[#This Row],[local_id]]</f>
        <v>44635729018</v>
      </c>
      <c r="H4705" s="1">
        <f>_xlfn.XLOOKUP(Ocupacao_DW[[#This Row],[Concat]],Vagas!$H:$H,Vagas!$D:$D,"",0)</f>
        <v>0</v>
      </c>
    </row>
    <row r="4706" spans="1:8" x14ac:dyDescent="0.25">
      <c r="A4706" s="2">
        <v>44657</v>
      </c>
      <c r="B4706" s="1" t="s">
        <v>55</v>
      </c>
      <c r="C4706">
        <v>74</v>
      </c>
      <c r="D4706" s="1" t="s">
        <v>182</v>
      </c>
      <c r="E4706" s="1" t="s">
        <v>6</v>
      </c>
      <c r="F4706">
        <v>7</v>
      </c>
      <c r="G4706" s="1" t="str">
        <f>Ocupacao_DW[[#This Row],[data]]&amp;Ocupacao_DW[[#This Row],[profissional_id]]&amp;Ocupacao_DW[[#This Row],[local_id]]</f>
        <v>44657747</v>
      </c>
      <c r="H4706" s="1">
        <f>_xlfn.XLOOKUP(Ocupacao_DW[[#This Row],[Concat]],Vagas!$H:$H,Vagas!$D:$D,"",0)</f>
        <v>0</v>
      </c>
    </row>
    <row r="4707" spans="1:8" x14ac:dyDescent="0.25">
      <c r="A4707" s="2">
        <v>44636</v>
      </c>
      <c r="B4707" s="1" t="s">
        <v>57</v>
      </c>
      <c r="C4707">
        <v>80</v>
      </c>
      <c r="D4707" s="1" t="s">
        <v>179</v>
      </c>
      <c r="E4707" s="1" t="s">
        <v>167</v>
      </c>
      <c r="F4707">
        <v>346</v>
      </c>
      <c r="G4707" s="1" t="str">
        <f>Ocupacao_DW[[#This Row],[data]]&amp;Ocupacao_DW[[#This Row],[profissional_id]]&amp;Ocupacao_DW[[#This Row],[local_id]]</f>
        <v>4463680346</v>
      </c>
      <c r="H4707" s="1">
        <f>_xlfn.XLOOKUP(Ocupacao_DW[[#This Row],[Concat]],Vagas!$H:$H,Vagas!$D:$D,"",0)</f>
        <v>0</v>
      </c>
    </row>
    <row r="4708" spans="1:8" x14ac:dyDescent="0.25">
      <c r="A4708" s="2">
        <v>44638</v>
      </c>
      <c r="B4708" s="1" t="s">
        <v>64</v>
      </c>
      <c r="C4708">
        <v>86</v>
      </c>
      <c r="D4708" s="1" t="s">
        <v>175</v>
      </c>
      <c r="E4708" s="1" t="s">
        <v>5</v>
      </c>
      <c r="F4708">
        <v>349</v>
      </c>
      <c r="G4708" s="1" t="str">
        <f>Ocupacao_DW[[#This Row],[data]]&amp;Ocupacao_DW[[#This Row],[profissional_id]]&amp;Ocupacao_DW[[#This Row],[local_id]]</f>
        <v>4463886349</v>
      </c>
      <c r="H4708" s="1">
        <f>_xlfn.XLOOKUP(Ocupacao_DW[[#This Row],[Concat]],Vagas!$H:$H,Vagas!$D:$D,"",0)</f>
        <v>0</v>
      </c>
    </row>
    <row r="4709" spans="1:8" x14ac:dyDescent="0.25">
      <c r="A4709" s="2">
        <v>44638</v>
      </c>
      <c r="B4709" s="1" t="s">
        <v>43</v>
      </c>
      <c r="C4709">
        <v>17864</v>
      </c>
      <c r="D4709" s="1" t="s">
        <v>234</v>
      </c>
      <c r="E4709" s="1" t="s">
        <v>7</v>
      </c>
      <c r="F4709">
        <v>60</v>
      </c>
      <c r="G4709" s="1" t="str">
        <f>Ocupacao_DW[[#This Row],[data]]&amp;Ocupacao_DW[[#This Row],[profissional_id]]&amp;Ocupacao_DW[[#This Row],[local_id]]</f>
        <v>446381786460</v>
      </c>
      <c r="H4709" s="1">
        <f>_xlfn.XLOOKUP(Ocupacao_DW[[#This Row],[Concat]],Vagas!$H:$H,Vagas!$D:$D,"",0)</f>
        <v>0</v>
      </c>
    </row>
    <row r="4710" spans="1:8" x14ac:dyDescent="0.25">
      <c r="A4710" s="2">
        <v>44642</v>
      </c>
      <c r="B4710" s="1" t="s">
        <v>47</v>
      </c>
      <c r="C4710">
        <v>9111</v>
      </c>
      <c r="D4710" s="1" t="s">
        <v>206</v>
      </c>
      <c r="E4710" s="1" t="s">
        <v>4</v>
      </c>
      <c r="F4710">
        <v>335</v>
      </c>
      <c r="G4710" s="1" t="str">
        <f>Ocupacao_DW[[#This Row],[data]]&amp;Ocupacao_DW[[#This Row],[profissional_id]]&amp;Ocupacao_DW[[#This Row],[local_id]]</f>
        <v>446429111335</v>
      </c>
      <c r="H4710" s="1">
        <f>_xlfn.XLOOKUP(Ocupacao_DW[[#This Row],[Concat]],Vagas!$H:$H,Vagas!$D:$D,"",0)</f>
        <v>0</v>
      </c>
    </row>
    <row r="4711" spans="1:8" x14ac:dyDescent="0.25">
      <c r="A4711" s="2">
        <v>44645</v>
      </c>
      <c r="B4711" s="1" t="s">
        <v>24</v>
      </c>
      <c r="C4711">
        <v>60</v>
      </c>
      <c r="D4711" s="1" t="s">
        <v>217</v>
      </c>
      <c r="E4711" s="1" t="s">
        <v>6</v>
      </c>
      <c r="F4711">
        <v>1</v>
      </c>
      <c r="G4711" s="1" t="str">
        <f>Ocupacao_DW[[#This Row],[data]]&amp;Ocupacao_DW[[#This Row],[profissional_id]]&amp;Ocupacao_DW[[#This Row],[local_id]]</f>
        <v>44645601</v>
      </c>
      <c r="H4711" s="1">
        <f>_xlfn.XLOOKUP(Ocupacao_DW[[#This Row],[Concat]],Vagas!$H:$H,Vagas!$D:$D,"",0)</f>
        <v>0</v>
      </c>
    </row>
    <row r="4712" spans="1:8" x14ac:dyDescent="0.25">
      <c r="A4712" s="2">
        <v>44657</v>
      </c>
      <c r="B4712" s="1" t="s">
        <v>55</v>
      </c>
      <c r="C4712">
        <v>74</v>
      </c>
      <c r="D4712" s="1" t="s">
        <v>182</v>
      </c>
      <c r="E4712" s="1" t="s">
        <v>6</v>
      </c>
      <c r="F4712">
        <v>7</v>
      </c>
      <c r="G4712" s="1" t="str">
        <f>Ocupacao_DW[[#This Row],[data]]&amp;Ocupacao_DW[[#This Row],[profissional_id]]&amp;Ocupacao_DW[[#This Row],[local_id]]</f>
        <v>44657747</v>
      </c>
      <c r="H4712" s="1">
        <f>_xlfn.XLOOKUP(Ocupacao_DW[[#This Row],[Concat]],Vagas!$H:$H,Vagas!$D:$D,"",0)</f>
        <v>0</v>
      </c>
    </row>
    <row r="4713" spans="1:8" x14ac:dyDescent="0.25">
      <c r="A4713" s="2">
        <v>44638</v>
      </c>
      <c r="B4713" s="1" t="s">
        <v>56</v>
      </c>
      <c r="C4713">
        <v>5927</v>
      </c>
      <c r="D4713" s="1" t="s">
        <v>226</v>
      </c>
      <c r="E4713" s="1" t="s">
        <v>5</v>
      </c>
      <c r="F4713">
        <v>17</v>
      </c>
      <c r="G4713" s="1" t="str">
        <f>Ocupacao_DW[[#This Row],[data]]&amp;Ocupacao_DW[[#This Row],[profissional_id]]&amp;Ocupacao_DW[[#This Row],[local_id]]</f>
        <v>44638592717</v>
      </c>
      <c r="H4713" s="1">
        <f>_xlfn.XLOOKUP(Ocupacao_DW[[#This Row],[Concat]],Vagas!$H:$H,Vagas!$D:$D,"",0)</f>
        <v>0</v>
      </c>
    </row>
    <row r="4714" spans="1:8" x14ac:dyDescent="0.25">
      <c r="A4714" s="2">
        <v>44643</v>
      </c>
      <c r="B4714" s="1" t="s">
        <v>51</v>
      </c>
      <c r="C4714">
        <v>17859</v>
      </c>
      <c r="D4714" s="1" t="s">
        <v>212</v>
      </c>
      <c r="E4714" s="1" t="s">
        <v>6</v>
      </c>
      <c r="F4714">
        <v>7</v>
      </c>
      <c r="G4714" s="1" t="str">
        <f>Ocupacao_DW[[#This Row],[data]]&amp;Ocupacao_DW[[#This Row],[profissional_id]]&amp;Ocupacao_DW[[#This Row],[local_id]]</f>
        <v>44643178597</v>
      </c>
      <c r="H4714" s="1">
        <f>_xlfn.XLOOKUP(Ocupacao_DW[[#This Row],[Concat]],Vagas!$H:$H,Vagas!$D:$D,"",0)</f>
        <v>0</v>
      </c>
    </row>
    <row r="4715" spans="1:8" x14ac:dyDescent="0.25">
      <c r="A4715" s="2">
        <v>44636</v>
      </c>
      <c r="B4715" s="1" t="s">
        <v>69</v>
      </c>
      <c r="C4715">
        <v>17878</v>
      </c>
      <c r="D4715" s="1" t="s">
        <v>183</v>
      </c>
      <c r="E4715" s="1" t="s">
        <v>7</v>
      </c>
      <c r="F4715">
        <v>63</v>
      </c>
      <c r="G4715" s="1" t="str">
        <f>Ocupacao_DW[[#This Row],[data]]&amp;Ocupacao_DW[[#This Row],[profissional_id]]&amp;Ocupacao_DW[[#This Row],[local_id]]</f>
        <v>446361787863</v>
      </c>
      <c r="H4715" s="1">
        <f>_xlfn.XLOOKUP(Ocupacao_DW[[#This Row],[Concat]],Vagas!$H:$H,Vagas!$D:$D,"",0)</f>
        <v>0</v>
      </c>
    </row>
    <row r="4716" spans="1:8" x14ac:dyDescent="0.25">
      <c r="A4716" s="2">
        <v>44645</v>
      </c>
      <c r="B4716" s="1" t="s">
        <v>52</v>
      </c>
      <c r="C4716">
        <v>57</v>
      </c>
      <c r="D4716" s="1" t="s">
        <v>169</v>
      </c>
      <c r="E4716" s="1" t="s">
        <v>6</v>
      </c>
      <c r="F4716">
        <v>8</v>
      </c>
      <c r="G4716" s="1" t="str">
        <f>Ocupacao_DW[[#This Row],[data]]&amp;Ocupacao_DW[[#This Row],[profissional_id]]&amp;Ocupacao_DW[[#This Row],[local_id]]</f>
        <v>44645578</v>
      </c>
      <c r="H4716" s="1">
        <f>_xlfn.XLOOKUP(Ocupacao_DW[[#This Row],[Concat]],Vagas!$H:$H,Vagas!$D:$D,"",0)</f>
        <v>0</v>
      </c>
    </row>
    <row r="4717" spans="1:8" x14ac:dyDescent="0.25">
      <c r="A4717" s="2">
        <v>44644</v>
      </c>
      <c r="B4717" s="1" t="s">
        <v>52</v>
      </c>
      <c r="C4717">
        <v>10691</v>
      </c>
      <c r="D4717" s="1" t="s">
        <v>181</v>
      </c>
      <c r="E4717" s="1" t="s">
        <v>6</v>
      </c>
      <c r="F4717">
        <v>9</v>
      </c>
      <c r="G4717" s="1" t="str">
        <f>Ocupacao_DW[[#This Row],[data]]&amp;Ocupacao_DW[[#This Row],[profissional_id]]&amp;Ocupacao_DW[[#This Row],[local_id]]</f>
        <v>44644106919</v>
      </c>
      <c r="H4717" s="1">
        <f>_xlfn.XLOOKUP(Ocupacao_DW[[#This Row],[Concat]],Vagas!$H:$H,Vagas!$D:$D,"",0)</f>
        <v>0</v>
      </c>
    </row>
    <row r="4718" spans="1:8" x14ac:dyDescent="0.25">
      <c r="A4718" s="2">
        <v>44637</v>
      </c>
      <c r="B4718" s="1" t="s">
        <v>47</v>
      </c>
      <c r="C4718">
        <v>17928</v>
      </c>
      <c r="D4718" s="1" t="s">
        <v>268</v>
      </c>
      <c r="E4718" s="1" t="s">
        <v>4</v>
      </c>
      <c r="F4718">
        <v>51</v>
      </c>
      <c r="G4718" s="1" t="str">
        <f>Ocupacao_DW[[#This Row],[data]]&amp;Ocupacao_DW[[#This Row],[profissional_id]]&amp;Ocupacao_DW[[#This Row],[local_id]]</f>
        <v>446371792851</v>
      </c>
      <c r="H4718" s="1">
        <f>_xlfn.XLOOKUP(Ocupacao_DW[[#This Row],[Concat]],Vagas!$H:$H,Vagas!$D:$D,"",0)</f>
        <v>13</v>
      </c>
    </row>
    <row r="4719" spans="1:8" x14ac:dyDescent="0.25">
      <c r="A4719" s="2">
        <v>44643</v>
      </c>
      <c r="B4719" s="1" t="s">
        <v>51</v>
      </c>
      <c r="C4719">
        <v>17859</v>
      </c>
      <c r="D4719" s="1" t="s">
        <v>212</v>
      </c>
      <c r="E4719" s="1" t="s">
        <v>6</v>
      </c>
      <c r="F4719">
        <v>7</v>
      </c>
      <c r="G4719" s="1" t="str">
        <f>Ocupacao_DW[[#This Row],[data]]&amp;Ocupacao_DW[[#This Row],[profissional_id]]&amp;Ocupacao_DW[[#This Row],[local_id]]</f>
        <v>44643178597</v>
      </c>
      <c r="H4719" s="1">
        <f>_xlfn.XLOOKUP(Ocupacao_DW[[#This Row],[Concat]],Vagas!$H:$H,Vagas!$D:$D,"",0)</f>
        <v>0</v>
      </c>
    </row>
    <row r="4720" spans="1:8" x14ac:dyDescent="0.25">
      <c r="A4720" s="2">
        <v>44635</v>
      </c>
      <c r="B4720" s="1" t="s">
        <v>53</v>
      </c>
      <c r="C4720">
        <v>9138</v>
      </c>
      <c r="D4720" s="1" t="s">
        <v>184</v>
      </c>
      <c r="E4720" s="1" t="s">
        <v>167</v>
      </c>
      <c r="F4720">
        <v>344</v>
      </c>
      <c r="G4720" s="1" t="str">
        <f>Ocupacao_DW[[#This Row],[data]]&amp;Ocupacao_DW[[#This Row],[profissional_id]]&amp;Ocupacao_DW[[#This Row],[local_id]]</f>
        <v>446359138344</v>
      </c>
      <c r="H4720" s="1">
        <f>_xlfn.XLOOKUP(Ocupacao_DW[[#This Row],[Concat]],Vagas!$H:$H,Vagas!$D:$D,"",0)</f>
        <v>0</v>
      </c>
    </row>
    <row r="4721" spans="1:8" x14ac:dyDescent="0.25">
      <c r="A4721" s="2">
        <v>44643</v>
      </c>
      <c r="B4721" s="1" t="s">
        <v>60</v>
      </c>
      <c r="C4721">
        <v>14326</v>
      </c>
      <c r="D4721" s="1" t="s">
        <v>220</v>
      </c>
      <c r="E4721" s="1" t="s">
        <v>4</v>
      </c>
      <c r="F4721">
        <v>43</v>
      </c>
      <c r="G4721" s="1" t="str">
        <f>Ocupacao_DW[[#This Row],[data]]&amp;Ocupacao_DW[[#This Row],[profissional_id]]&amp;Ocupacao_DW[[#This Row],[local_id]]</f>
        <v>446431432643</v>
      </c>
      <c r="H4721" s="1">
        <f>_xlfn.XLOOKUP(Ocupacao_DW[[#This Row],[Concat]],Vagas!$H:$H,Vagas!$D:$D,"",0)</f>
        <v>0</v>
      </c>
    </row>
    <row r="4722" spans="1:8" x14ac:dyDescent="0.25">
      <c r="A4722" s="2">
        <v>44638</v>
      </c>
      <c r="B4722" s="1" t="s">
        <v>47</v>
      </c>
      <c r="C4722">
        <v>13371</v>
      </c>
      <c r="D4722" s="1" t="s">
        <v>205</v>
      </c>
      <c r="E4722" s="1" t="s">
        <v>4</v>
      </c>
      <c r="F4722">
        <v>336</v>
      </c>
      <c r="G4722" s="1" t="str">
        <f>Ocupacao_DW[[#This Row],[data]]&amp;Ocupacao_DW[[#This Row],[profissional_id]]&amp;Ocupacao_DW[[#This Row],[local_id]]</f>
        <v>4463813371336</v>
      </c>
      <c r="H4722" s="1" t="str">
        <f>_xlfn.XLOOKUP(Ocupacao_DW[[#This Row],[Concat]],Vagas!$H:$H,Vagas!$D:$D,"",0)</f>
        <v/>
      </c>
    </row>
    <row r="4723" spans="1:8" x14ac:dyDescent="0.25">
      <c r="A4723" s="2">
        <v>44648</v>
      </c>
      <c r="B4723" s="1" t="s">
        <v>55</v>
      </c>
      <c r="C4723">
        <v>12669</v>
      </c>
      <c r="D4723" s="1" t="s">
        <v>223</v>
      </c>
      <c r="E4723" s="1" t="s">
        <v>6</v>
      </c>
      <c r="F4723">
        <v>6</v>
      </c>
      <c r="G4723" s="1" t="str">
        <f>Ocupacao_DW[[#This Row],[data]]&amp;Ocupacao_DW[[#This Row],[profissional_id]]&amp;Ocupacao_DW[[#This Row],[local_id]]</f>
        <v>44648126696</v>
      </c>
      <c r="H4723" s="1">
        <f>_xlfn.XLOOKUP(Ocupacao_DW[[#This Row],[Concat]],Vagas!$H:$H,Vagas!$D:$D,"",0)</f>
        <v>0</v>
      </c>
    </row>
    <row r="4724" spans="1:8" x14ac:dyDescent="0.25">
      <c r="A4724" s="2">
        <v>44636</v>
      </c>
      <c r="B4724" s="1" t="s">
        <v>47</v>
      </c>
      <c r="C4724">
        <v>110</v>
      </c>
      <c r="D4724" s="1" t="s">
        <v>193</v>
      </c>
      <c r="E4724" s="1" t="s">
        <v>4</v>
      </c>
      <c r="F4724">
        <v>334</v>
      </c>
      <c r="G4724" s="1" t="str">
        <f>Ocupacao_DW[[#This Row],[data]]&amp;Ocupacao_DW[[#This Row],[profissional_id]]&amp;Ocupacao_DW[[#This Row],[local_id]]</f>
        <v>44636110334</v>
      </c>
      <c r="H4724" s="1">
        <f>_xlfn.XLOOKUP(Ocupacao_DW[[#This Row],[Concat]],Vagas!$H:$H,Vagas!$D:$D,"",0)</f>
        <v>0</v>
      </c>
    </row>
    <row r="4725" spans="1:8" x14ac:dyDescent="0.25">
      <c r="A4725" s="2">
        <v>44638</v>
      </c>
      <c r="B4725" s="1" t="s">
        <v>56</v>
      </c>
      <c r="C4725">
        <v>5927</v>
      </c>
      <c r="D4725" s="1" t="s">
        <v>226</v>
      </c>
      <c r="E4725" s="1" t="s">
        <v>5</v>
      </c>
      <c r="F4725">
        <v>17</v>
      </c>
      <c r="G4725" s="1" t="str">
        <f>Ocupacao_DW[[#This Row],[data]]&amp;Ocupacao_DW[[#This Row],[profissional_id]]&amp;Ocupacao_DW[[#This Row],[local_id]]</f>
        <v>44638592717</v>
      </c>
      <c r="H4725" s="1">
        <f>_xlfn.XLOOKUP(Ocupacao_DW[[#This Row],[Concat]],Vagas!$H:$H,Vagas!$D:$D,"",0)</f>
        <v>0</v>
      </c>
    </row>
    <row r="4726" spans="1:8" x14ac:dyDescent="0.25">
      <c r="A4726" s="2">
        <v>44646</v>
      </c>
      <c r="B4726" s="1" t="s">
        <v>47</v>
      </c>
      <c r="C4726">
        <v>111</v>
      </c>
      <c r="D4726" s="1" t="s">
        <v>199</v>
      </c>
      <c r="E4726" s="1" t="s">
        <v>4</v>
      </c>
      <c r="F4726">
        <v>51</v>
      </c>
      <c r="G4726" s="1" t="str">
        <f>Ocupacao_DW[[#This Row],[data]]&amp;Ocupacao_DW[[#This Row],[profissional_id]]&amp;Ocupacao_DW[[#This Row],[local_id]]</f>
        <v>4464611151</v>
      </c>
      <c r="H4726" s="1">
        <f>_xlfn.XLOOKUP(Ocupacao_DW[[#This Row],[Concat]],Vagas!$H:$H,Vagas!$D:$D,"",0)</f>
        <v>31</v>
      </c>
    </row>
    <row r="4727" spans="1:8" x14ac:dyDescent="0.25">
      <c r="A4727" s="2">
        <v>44645</v>
      </c>
      <c r="B4727" s="1" t="s">
        <v>52</v>
      </c>
      <c r="C4727">
        <v>55</v>
      </c>
      <c r="D4727" s="1" t="s">
        <v>244</v>
      </c>
      <c r="E4727" s="1" t="s">
        <v>7</v>
      </c>
      <c r="F4727">
        <v>68</v>
      </c>
      <c r="G4727" s="1" t="str">
        <f>Ocupacao_DW[[#This Row],[data]]&amp;Ocupacao_DW[[#This Row],[profissional_id]]&amp;Ocupacao_DW[[#This Row],[local_id]]</f>
        <v>446455568</v>
      </c>
      <c r="H4727" s="1">
        <f>_xlfn.XLOOKUP(Ocupacao_DW[[#This Row],[Concat]],Vagas!$H:$H,Vagas!$D:$D,"",0)</f>
        <v>0</v>
      </c>
    </row>
    <row r="4728" spans="1:8" x14ac:dyDescent="0.25">
      <c r="A4728" s="2">
        <v>44636</v>
      </c>
      <c r="B4728" s="1" t="s">
        <v>71</v>
      </c>
      <c r="C4728">
        <v>282</v>
      </c>
      <c r="D4728" s="1" t="s">
        <v>210</v>
      </c>
      <c r="E4728" s="1" t="s">
        <v>4</v>
      </c>
      <c r="F4728">
        <v>46</v>
      </c>
      <c r="G4728" s="1" t="str">
        <f>Ocupacao_DW[[#This Row],[data]]&amp;Ocupacao_DW[[#This Row],[profissional_id]]&amp;Ocupacao_DW[[#This Row],[local_id]]</f>
        <v>4463628246</v>
      </c>
      <c r="H4728" s="1">
        <f>_xlfn.XLOOKUP(Ocupacao_DW[[#This Row],[Concat]],Vagas!$H:$H,Vagas!$D:$D,"",0)</f>
        <v>0</v>
      </c>
    </row>
    <row r="4729" spans="1:8" x14ac:dyDescent="0.25">
      <c r="A4729" s="2">
        <v>44657</v>
      </c>
      <c r="B4729" s="1" t="s">
        <v>52</v>
      </c>
      <c r="C4729">
        <v>67</v>
      </c>
      <c r="D4729" s="1" t="s">
        <v>172</v>
      </c>
      <c r="E4729" s="1" t="s">
        <v>6</v>
      </c>
      <c r="F4729">
        <v>8</v>
      </c>
      <c r="G4729" s="1" t="str">
        <f>Ocupacao_DW[[#This Row],[data]]&amp;Ocupacao_DW[[#This Row],[profissional_id]]&amp;Ocupacao_DW[[#This Row],[local_id]]</f>
        <v>44657678</v>
      </c>
      <c r="H4729" s="1">
        <f>_xlfn.XLOOKUP(Ocupacao_DW[[#This Row],[Concat]],Vagas!$H:$H,Vagas!$D:$D,"",0)</f>
        <v>0</v>
      </c>
    </row>
    <row r="4730" spans="1:8" x14ac:dyDescent="0.25">
      <c r="A4730" s="2">
        <v>44637</v>
      </c>
      <c r="B4730" s="1" t="s">
        <v>47</v>
      </c>
      <c r="C4730">
        <v>9111</v>
      </c>
      <c r="D4730" s="1" t="s">
        <v>206</v>
      </c>
      <c r="E4730" s="1" t="s">
        <v>4</v>
      </c>
      <c r="F4730">
        <v>334</v>
      </c>
      <c r="G4730" s="1" t="str">
        <f>Ocupacao_DW[[#This Row],[data]]&amp;Ocupacao_DW[[#This Row],[profissional_id]]&amp;Ocupacao_DW[[#This Row],[local_id]]</f>
        <v>446379111334</v>
      </c>
      <c r="H4730" s="1">
        <f>_xlfn.XLOOKUP(Ocupacao_DW[[#This Row],[Concat]],Vagas!$H:$H,Vagas!$D:$D,"",0)</f>
        <v>0</v>
      </c>
    </row>
    <row r="4731" spans="1:8" x14ac:dyDescent="0.25">
      <c r="A4731" s="2">
        <v>44637</v>
      </c>
      <c r="B4731" s="1" t="s">
        <v>52</v>
      </c>
      <c r="C4731">
        <v>60</v>
      </c>
      <c r="D4731" s="1" t="s">
        <v>217</v>
      </c>
      <c r="E4731" s="1" t="s">
        <v>167</v>
      </c>
      <c r="F4731">
        <v>346</v>
      </c>
      <c r="G4731" s="1" t="str">
        <f>Ocupacao_DW[[#This Row],[data]]&amp;Ocupacao_DW[[#This Row],[profissional_id]]&amp;Ocupacao_DW[[#This Row],[local_id]]</f>
        <v>4463760346</v>
      </c>
      <c r="H4731" s="1">
        <f>_xlfn.XLOOKUP(Ocupacao_DW[[#This Row],[Concat]],Vagas!$H:$H,Vagas!$D:$D,"",0)</f>
        <v>0</v>
      </c>
    </row>
    <row r="4732" spans="1:8" x14ac:dyDescent="0.25">
      <c r="A4732" s="2">
        <v>44641</v>
      </c>
      <c r="B4732" s="1" t="s">
        <v>54</v>
      </c>
      <c r="C4732">
        <v>10941</v>
      </c>
      <c r="D4732" s="1" t="s">
        <v>224</v>
      </c>
      <c r="E4732" s="1" t="s">
        <v>5</v>
      </c>
      <c r="F4732">
        <v>11</v>
      </c>
      <c r="G4732" s="1" t="str">
        <f>Ocupacao_DW[[#This Row],[data]]&amp;Ocupacao_DW[[#This Row],[profissional_id]]&amp;Ocupacao_DW[[#This Row],[local_id]]</f>
        <v>446411094111</v>
      </c>
      <c r="H4732" s="1">
        <f>_xlfn.XLOOKUP(Ocupacao_DW[[#This Row],[Concat]],Vagas!$H:$H,Vagas!$D:$D,"",0)</f>
        <v>0</v>
      </c>
    </row>
    <row r="4733" spans="1:8" x14ac:dyDescent="0.25">
      <c r="A4733" s="2">
        <v>44635</v>
      </c>
      <c r="B4733" s="1" t="s">
        <v>71</v>
      </c>
      <c r="C4733">
        <v>282</v>
      </c>
      <c r="D4733" s="1" t="s">
        <v>210</v>
      </c>
      <c r="E4733" s="1" t="s">
        <v>4</v>
      </c>
      <c r="F4733">
        <v>48</v>
      </c>
      <c r="G4733" s="1" t="str">
        <f>Ocupacao_DW[[#This Row],[data]]&amp;Ocupacao_DW[[#This Row],[profissional_id]]&amp;Ocupacao_DW[[#This Row],[local_id]]</f>
        <v>4463528248</v>
      </c>
      <c r="H4733" s="1">
        <f>_xlfn.XLOOKUP(Ocupacao_DW[[#This Row],[Concat]],Vagas!$H:$H,Vagas!$D:$D,"",0)</f>
        <v>0</v>
      </c>
    </row>
    <row r="4734" spans="1:8" x14ac:dyDescent="0.25">
      <c r="A4734" s="2">
        <v>44638</v>
      </c>
      <c r="B4734" s="1" t="s">
        <v>72</v>
      </c>
      <c r="C4734">
        <v>13479</v>
      </c>
      <c r="D4734" s="1" t="s">
        <v>203</v>
      </c>
      <c r="E4734" s="1" t="s">
        <v>200</v>
      </c>
      <c r="F4734">
        <v>83</v>
      </c>
      <c r="G4734" s="1" t="str">
        <f>Ocupacao_DW[[#This Row],[data]]&amp;Ocupacao_DW[[#This Row],[profissional_id]]&amp;Ocupacao_DW[[#This Row],[local_id]]</f>
        <v>446381347983</v>
      </c>
      <c r="H4734" s="1">
        <f>_xlfn.XLOOKUP(Ocupacao_DW[[#This Row],[Concat]],Vagas!$H:$H,Vagas!$D:$D,"",0)</f>
        <v>0</v>
      </c>
    </row>
    <row r="4735" spans="1:8" x14ac:dyDescent="0.25">
      <c r="A4735" s="2">
        <v>44635</v>
      </c>
      <c r="B4735" s="1" t="s">
        <v>66</v>
      </c>
      <c r="C4735">
        <v>1343</v>
      </c>
      <c r="D4735" s="1" t="s">
        <v>263</v>
      </c>
      <c r="E4735" s="1" t="s">
        <v>200</v>
      </c>
      <c r="F4735">
        <v>80</v>
      </c>
      <c r="G4735" s="1" t="str">
        <f>Ocupacao_DW[[#This Row],[data]]&amp;Ocupacao_DW[[#This Row],[profissional_id]]&amp;Ocupacao_DW[[#This Row],[local_id]]</f>
        <v>44635134380</v>
      </c>
      <c r="H4735" s="1">
        <f>_xlfn.XLOOKUP(Ocupacao_DW[[#This Row],[Concat]],Vagas!$H:$H,Vagas!$D:$D,"",0)</f>
        <v>0</v>
      </c>
    </row>
    <row r="4736" spans="1:8" x14ac:dyDescent="0.25">
      <c r="A4736" s="2">
        <v>44638</v>
      </c>
      <c r="B4736" s="1" t="s">
        <v>49</v>
      </c>
      <c r="C4736">
        <v>6430</v>
      </c>
      <c r="D4736" s="1" t="s">
        <v>188</v>
      </c>
      <c r="E4736" s="1" t="s">
        <v>4</v>
      </c>
      <c r="F4736">
        <v>42</v>
      </c>
      <c r="G4736" s="1" t="str">
        <f>Ocupacao_DW[[#This Row],[data]]&amp;Ocupacao_DW[[#This Row],[profissional_id]]&amp;Ocupacao_DW[[#This Row],[local_id]]</f>
        <v>44638643042</v>
      </c>
      <c r="H4736" s="1">
        <f>_xlfn.XLOOKUP(Ocupacao_DW[[#This Row],[Concat]],Vagas!$H:$H,Vagas!$D:$D,"",0)</f>
        <v>0</v>
      </c>
    </row>
    <row r="4737" spans="1:8" x14ac:dyDescent="0.25">
      <c r="A4737" s="2">
        <v>44635</v>
      </c>
      <c r="B4737" s="1" t="s">
        <v>52</v>
      </c>
      <c r="C4737">
        <v>60</v>
      </c>
      <c r="D4737" s="1" t="s">
        <v>217</v>
      </c>
      <c r="E4737" s="1" t="s">
        <v>167</v>
      </c>
      <c r="F4737">
        <v>345</v>
      </c>
      <c r="G4737" s="1" t="str">
        <f>Ocupacao_DW[[#This Row],[data]]&amp;Ocupacao_DW[[#This Row],[profissional_id]]&amp;Ocupacao_DW[[#This Row],[local_id]]</f>
        <v>4463560345</v>
      </c>
      <c r="H4737" s="1">
        <f>_xlfn.XLOOKUP(Ocupacao_DW[[#This Row],[Concat]],Vagas!$H:$H,Vagas!$D:$D,"",0)</f>
        <v>0</v>
      </c>
    </row>
    <row r="4738" spans="1:8" x14ac:dyDescent="0.25">
      <c r="A4738" s="2">
        <v>44645</v>
      </c>
      <c r="B4738" s="1" t="s">
        <v>24</v>
      </c>
      <c r="C4738">
        <v>60</v>
      </c>
      <c r="D4738" s="1" t="s">
        <v>217</v>
      </c>
      <c r="E4738" s="1" t="s">
        <v>6</v>
      </c>
      <c r="F4738">
        <v>1</v>
      </c>
      <c r="G4738" s="1" t="str">
        <f>Ocupacao_DW[[#This Row],[data]]&amp;Ocupacao_DW[[#This Row],[profissional_id]]&amp;Ocupacao_DW[[#This Row],[local_id]]</f>
        <v>44645601</v>
      </c>
      <c r="H4738" s="1">
        <f>_xlfn.XLOOKUP(Ocupacao_DW[[#This Row],[Concat]],Vagas!$H:$H,Vagas!$D:$D,"",0)</f>
        <v>0</v>
      </c>
    </row>
    <row r="4739" spans="1:8" x14ac:dyDescent="0.25">
      <c r="A4739" s="2">
        <v>44642</v>
      </c>
      <c r="B4739" s="1" t="s">
        <v>65</v>
      </c>
      <c r="C4739">
        <v>11652</v>
      </c>
      <c r="D4739" s="1" t="s">
        <v>242</v>
      </c>
      <c r="E4739" s="1" t="s">
        <v>4</v>
      </c>
      <c r="F4739">
        <v>47</v>
      </c>
      <c r="G4739" s="1" t="str">
        <f>Ocupacao_DW[[#This Row],[data]]&amp;Ocupacao_DW[[#This Row],[profissional_id]]&amp;Ocupacao_DW[[#This Row],[local_id]]</f>
        <v>446421165247</v>
      </c>
      <c r="H4739" s="1">
        <f>_xlfn.XLOOKUP(Ocupacao_DW[[#This Row],[Concat]],Vagas!$H:$H,Vagas!$D:$D,"",0)</f>
        <v>35</v>
      </c>
    </row>
    <row r="4740" spans="1:8" x14ac:dyDescent="0.25">
      <c r="A4740" s="2">
        <v>44642</v>
      </c>
      <c r="B4740" s="1" t="s">
        <v>54</v>
      </c>
      <c r="C4740">
        <v>10941</v>
      </c>
      <c r="D4740" s="1" t="s">
        <v>224</v>
      </c>
      <c r="E4740" s="1" t="s">
        <v>200</v>
      </c>
      <c r="F4740">
        <v>83</v>
      </c>
      <c r="G4740" s="1" t="str">
        <f>Ocupacao_DW[[#This Row],[data]]&amp;Ocupacao_DW[[#This Row],[profissional_id]]&amp;Ocupacao_DW[[#This Row],[local_id]]</f>
        <v>446421094183</v>
      </c>
      <c r="H4740" s="1">
        <f>_xlfn.XLOOKUP(Ocupacao_DW[[#This Row],[Concat]],Vagas!$H:$H,Vagas!$D:$D,"",0)</f>
        <v>0</v>
      </c>
    </row>
    <row r="4741" spans="1:8" x14ac:dyDescent="0.25">
      <c r="A4741" s="2">
        <v>44639</v>
      </c>
      <c r="B4741" s="1" t="s">
        <v>54</v>
      </c>
      <c r="C4741">
        <v>70</v>
      </c>
      <c r="D4741" s="1" t="s">
        <v>187</v>
      </c>
      <c r="E4741" s="1" t="s">
        <v>5</v>
      </c>
      <c r="F4741">
        <v>13</v>
      </c>
      <c r="G4741" s="1" t="str">
        <f>Ocupacao_DW[[#This Row],[data]]&amp;Ocupacao_DW[[#This Row],[profissional_id]]&amp;Ocupacao_DW[[#This Row],[local_id]]</f>
        <v>446397013</v>
      </c>
      <c r="H4741" s="1">
        <f>_xlfn.XLOOKUP(Ocupacao_DW[[#This Row],[Concat]],Vagas!$H:$H,Vagas!$D:$D,"",0)</f>
        <v>0</v>
      </c>
    </row>
    <row r="4742" spans="1:8" x14ac:dyDescent="0.25">
      <c r="A4742" s="2">
        <v>44641</v>
      </c>
      <c r="B4742" s="1" t="s">
        <v>52</v>
      </c>
      <c r="C4742">
        <v>10946</v>
      </c>
      <c r="D4742" s="1" t="s">
        <v>209</v>
      </c>
      <c r="E4742" s="1" t="s">
        <v>6</v>
      </c>
      <c r="F4742">
        <v>3</v>
      </c>
      <c r="G4742" s="1" t="str">
        <f>Ocupacao_DW[[#This Row],[data]]&amp;Ocupacao_DW[[#This Row],[profissional_id]]&amp;Ocupacao_DW[[#This Row],[local_id]]</f>
        <v>44641109463</v>
      </c>
      <c r="H4742" s="1">
        <f>_xlfn.XLOOKUP(Ocupacao_DW[[#This Row],[Concat]],Vagas!$H:$H,Vagas!$D:$D,"",0)</f>
        <v>0</v>
      </c>
    </row>
    <row r="4743" spans="1:8" x14ac:dyDescent="0.25">
      <c r="A4743" s="2">
        <v>44643</v>
      </c>
      <c r="B4743" s="1" t="s">
        <v>58</v>
      </c>
      <c r="C4743">
        <v>5767</v>
      </c>
      <c r="D4743" s="1" t="s">
        <v>239</v>
      </c>
      <c r="E4743" s="1" t="s">
        <v>4</v>
      </c>
      <c r="F4743">
        <v>44</v>
      </c>
      <c r="G4743" s="1" t="str">
        <f>Ocupacao_DW[[#This Row],[data]]&amp;Ocupacao_DW[[#This Row],[profissional_id]]&amp;Ocupacao_DW[[#This Row],[local_id]]</f>
        <v>44643576744</v>
      </c>
      <c r="H4743" s="1">
        <f>_xlfn.XLOOKUP(Ocupacao_DW[[#This Row],[Concat]],Vagas!$H:$H,Vagas!$D:$D,"",0)</f>
        <v>0</v>
      </c>
    </row>
    <row r="4744" spans="1:8" x14ac:dyDescent="0.25">
      <c r="A4744" s="2">
        <v>44638</v>
      </c>
      <c r="B4744" s="1" t="s">
        <v>72</v>
      </c>
      <c r="C4744">
        <v>13479</v>
      </c>
      <c r="D4744" s="1" t="s">
        <v>203</v>
      </c>
      <c r="E4744" s="1" t="s">
        <v>200</v>
      </c>
      <c r="F4744">
        <v>83</v>
      </c>
      <c r="G4744" s="1" t="str">
        <f>Ocupacao_DW[[#This Row],[data]]&amp;Ocupacao_DW[[#This Row],[profissional_id]]&amp;Ocupacao_DW[[#This Row],[local_id]]</f>
        <v>446381347983</v>
      </c>
      <c r="H4744" s="1">
        <f>_xlfn.XLOOKUP(Ocupacao_DW[[#This Row],[Concat]],Vagas!$H:$H,Vagas!$D:$D,"",0)</f>
        <v>0</v>
      </c>
    </row>
    <row r="4745" spans="1:8" x14ac:dyDescent="0.25">
      <c r="A4745" s="2">
        <v>44641</v>
      </c>
      <c r="B4745" s="1" t="s">
        <v>55</v>
      </c>
      <c r="C4745">
        <v>12669</v>
      </c>
      <c r="D4745" s="1" t="s">
        <v>223</v>
      </c>
      <c r="E4745" s="1" t="s">
        <v>6</v>
      </c>
      <c r="F4745">
        <v>6</v>
      </c>
      <c r="G4745" s="1" t="str">
        <f>Ocupacao_DW[[#This Row],[data]]&amp;Ocupacao_DW[[#This Row],[profissional_id]]&amp;Ocupacao_DW[[#This Row],[local_id]]</f>
        <v>44641126696</v>
      </c>
      <c r="H4745" s="1">
        <f>_xlfn.XLOOKUP(Ocupacao_DW[[#This Row],[Concat]],Vagas!$H:$H,Vagas!$D:$D,"",0)</f>
        <v>0</v>
      </c>
    </row>
    <row r="4746" spans="1:8" x14ac:dyDescent="0.25">
      <c r="A4746" s="2">
        <v>44638</v>
      </c>
      <c r="B4746" s="1" t="s">
        <v>64</v>
      </c>
      <c r="C4746">
        <v>86</v>
      </c>
      <c r="D4746" s="1" t="s">
        <v>175</v>
      </c>
      <c r="E4746" s="1" t="s">
        <v>5</v>
      </c>
      <c r="F4746">
        <v>349</v>
      </c>
      <c r="G4746" s="1" t="str">
        <f>Ocupacao_DW[[#This Row],[data]]&amp;Ocupacao_DW[[#This Row],[profissional_id]]&amp;Ocupacao_DW[[#This Row],[local_id]]</f>
        <v>4463886349</v>
      </c>
      <c r="H4746" s="1">
        <f>_xlfn.XLOOKUP(Ocupacao_DW[[#This Row],[Concat]],Vagas!$H:$H,Vagas!$D:$D,"",0)</f>
        <v>0</v>
      </c>
    </row>
    <row r="4747" spans="1:8" x14ac:dyDescent="0.25">
      <c r="A4747" s="2">
        <v>44638</v>
      </c>
      <c r="B4747" s="1" t="s">
        <v>64</v>
      </c>
      <c r="C4747">
        <v>86</v>
      </c>
      <c r="D4747" s="1" t="s">
        <v>175</v>
      </c>
      <c r="E4747" s="1" t="s">
        <v>5</v>
      </c>
      <c r="F4747">
        <v>349</v>
      </c>
      <c r="G4747" s="1" t="str">
        <f>Ocupacao_DW[[#This Row],[data]]&amp;Ocupacao_DW[[#This Row],[profissional_id]]&amp;Ocupacao_DW[[#This Row],[local_id]]</f>
        <v>4463886349</v>
      </c>
      <c r="H4747" s="1">
        <f>_xlfn.XLOOKUP(Ocupacao_DW[[#This Row],[Concat]],Vagas!$H:$H,Vagas!$D:$D,"",0)</f>
        <v>0</v>
      </c>
    </row>
    <row r="4748" spans="1:8" x14ac:dyDescent="0.25">
      <c r="A4748" s="2">
        <v>44641</v>
      </c>
      <c r="B4748" s="1" t="s">
        <v>52</v>
      </c>
      <c r="C4748">
        <v>10595</v>
      </c>
      <c r="D4748" s="1" t="s">
        <v>218</v>
      </c>
      <c r="E4748" s="1" t="s">
        <v>200</v>
      </c>
      <c r="F4748">
        <v>78</v>
      </c>
      <c r="G4748" s="1" t="str">
        <f>Ocupacao_DW[[#This Row],[data]]&amp;Ocupacao_DW[[#This Row],[profissional_id]]&amp;Ocupacao_DW[[#This Row],[local_id]]</f>
        <v>446411059578</v>
      </c>
      <c r="H4748" s="1">
        <f>_xlfn.XLOOKUP(Ocupacao_DW[[#This Row],[Concat]],Vagas!$H:$H,Vagas!$D:$D,"",0)</f>
        <v>0</v>
      </c>
    </row>
    <row r="4749" spans="1:8" x14ac:dyDescent="0.25">
      <c r="A4749" s="2">
        <v>44643</v>
      </c>
      <c r="B4749" s="1" t="s">
        <v>52</v>
      </c>
      <c r="C4749">
        <v>60</v>
      </c>
      <c r="D4749" s="1" t="s">
        <v>217</v>
      </c>
      <c r="E4749" s="1" t="s">
        <v>6</v>
      </c>
      <c r="F4749">
        <v>8</v>
      </c>
      <c r="G4749" s="1" t="str">
        <f>Ocupacao_DW[[#This Row],[data]]&amp;Ocupacao_DW[[#This Row],[profissional_id]]&amp;Ocupacao_DW[[#This Row],[local_id]]</f>
        <v>44643608</v>
      </c>
      <c r="H4749" s="1">
        <f>_xlfn.XLOOKUP(Ocupacao_DW[[#This Row],[Concat]],Vagas!$H:$H,Vagas!$D:$D,"",0)</f>
        <v>0</v>
      </c>
    </row>
    <row r="4750" spans="1:8" x14ac:dyDescent="0.25">
      <c r="A4750" s="2">
        <v>44646</v>
      </c>
      <c r="B4750" s="1" t="s">
        <v>52</v>
      </c>
      <c r="C4750">
        <v>60</v>
      </c>
      <c r="D4750" s="1" t="s">
        <v>217</v>
      </c>
      <c r="E4750" s="1" t="s">
        <v>6</v>
      </c>
      <c r="F4750">
        <v>8</v>
      </c>
      <c r="G4750" s="1" t="str">
        <f>Ocupacao_DW[[#This Row],[data]]&amp;Ocupacao_DW[[#This Row],[profissional_id]]&amp;Ocupacao_DW[[#This Row],[local_id]]</f>
        <v>44646608</v>
      </c>
      <c r="H4750" s="1" t="str">
        <f>_xlfn.XLOOKUP(Ocupacao_DW[[#This Row],[Concat]],Vagas!$H:$H,Vagas!$D:$D,"",0)</f>
        <v/>
      </c>
    </row>
    <row r="4751" spans="1:8" x14ac:dyDescent="0.25">
      <c r="A4751" s="2">
        <v>44649</v>
      </c>
      <c r="B4751" s="1" t="s">
        <v>70</v>
      </c>
      <c r="C4751">
        <v>14237</v>
      </c>
      <c r="D4751" s="1" t="s">
        <v>186</v>
      </c>
      <c r="E4751" s="1" t="s">
        <v>4</v>
      </c>
      <c r="F4751">
        <v>47</v>
      </c>
      <c r="G4751" s="1" t="str">
        <f>Ocupacao_DW[[#This Row],[data]]&amp;Ocupacao_DW[[#This Row],[profissional_id]]&amp;Ocupacao_DW[[#This Row],[local_id]]</f>
        <v>446491423747</v>
      </c>
      <c r="H4751" s="1">
        <f>_xlfn.XLOOKUP(Ocupacao_DW[[#This Row],[Concat]],Vagas!$H:$H,Vagas!$D:$D,"",0)</f>
        <v>0</v>
      </c>
    </row>
    <row r="4752" spans="1:8" x14ac:dyDescent="0.25">
      <c r="A4752" s="2">
        <v>44637</v>
      </c>
      <c r="B4752" s="1" t="s">
        <v>52</v>
      </c>
      <c r="C4752">
        <v>60</v>
      </c>
      <c r="D4752" s="1" t="s">
        <v>217</v>
      </c>
      <c r="E4752" s="1" t="s">
        <v>167</v>
      </c>
      <c r="F4752">
        <v>346</v>
      </c>
      <c r="G4752" s="1" t="str">
        <f>Ocupacao_DW[[#This Row],[data]]&amp;Ocupacao_DW[[#This Row],[profissional_id]]&amp;Ocupacao_DW[[#This Row],[local_id]]</f>
        <v>4463760346</v>
      </c>
      <c r="H4752" s="1">
        <f>_xlfn.XLOOKUP(Ocupacao_DW[[#This Row],[Concat]],Vagas!$H:$H,Vagas!$D:$D,"",0)</f>
        <v>0</v>
      </c>
    </row>
    <row r="4753" spans="1:8" x14ac:dyDescent="0.25">
      <c r="A4753" s="2">
        <v>44642</v>
      </c>
      <c r="B4753" s="1" t="s">
        <v>52</v>
      </c>
      <c r="C4753">
        <v>13061</v>
      </c>
      <c r="D4753" s="1" t="s">
        <v>232</v>
      </c>
      <c r="E4753" s="1" t="s">
        <v>6</v>
      </c>
      <c r="F4753">
        <v>9</v>
      </c>
      <c r="G4753" s="1" t="str">
        <f>Ocupacao_DW[[#This Row],[data]]&amp;Ocupacao_DW[[#This Row],[profissional_id]]&amp;Ocupacao_DW[[#This Row],[local_id]]</f>
        <v>44642130619</v>
      </c>
      <c r="H4753" s="1">
        <f>_xlfn.XLOOKUP(Ocupacao_DW[[#This Row],[Concat]],Vagas!$H:$H,Vagas!$D:$D,"",0)</f>
        <v>0</v>
      </c>
    </row>
    <row r="4754" spans="1:8" x14ac:dyDescent="0.25">
      <c r="A4754" s="2">
        <v>44638</v>
      </c>
      <c r="B4754" s="1" t="s">
        <v>52</v>
      </c>
      <c r="C4754">
        <v>55</v>
      </c>
      <c r="D4754" s="1" t="s">
        <v>244</v>
      </c>
      <c r="E4754" s="1" t="s">
        <v>7</v>
      </c>
      <c r="F4754">
        <v>68</v>
      </c>
      <c r="G4754" s="1" t="str">
        <f>Ocupacao_DW[[#This Row],[data]]&amp;Ocupacao_DW[[#This Row],[profissional_id]]&amp;Ocupacao_DW[[#This Row],[local_id]]</f>
        <v>446385568</v>
      </c>
      <c r="H4754" s="1">
        <f>_xlfn.XLOOKUP(Ocupacao_DW[[#This Row],[Concat]],Vagas!$H:$H,Vagas!$D:$D,"",0)</f>
        <v>0</v>
      </c>
    </row>
    <row r="4755" spans="1:8" x14ac:dyDescent="0.25">
      <c r="A4755" s="2">
        <v>44644</v>
      </c>
      <c r="B4755" s="1" t="s">
        <v>57</v>
      </c>
      <c r="C4755">
        <v>80</v>
      </c>
      <c r="D4755" s="1" t="s">
        <v>179</v>
      </c>
      <c r="E4755" s="1" t="s">
        <v>167</v>
      </c>
      <c r="F4755">
        <v>348</v>
      </c>
      <c r="G4755" s="1" t="str">
        <f>Ocupacao_DW[[#This Row],[data]]&amp;Ocupacao_DW[[#This Row],[profissional_id]]&amp;Ocupacao_DW[[#This Row],[local_id]]</f>
        <v>4464480348</v>
      </c>
      <c r="H4755" s="1">
        <f>_xlfn.XLOOKUP(Ocupacao_DW[[#This Row],[Concat]],Vagas!$H:$H,Vagas!$D:$D,"",0)</f>
        <v>0</v>
      </c>
    </row>
    <row r="4756" spans="1:8" x14ac:dyDescent="0.25">
      <c r="A4756" s="2">
        <v>44638</v>
      </c>
      <c r="B4756" s="1" t="s">
        <v>49</v>
      </c>
      <c r="C4756">
        <v>6430</v>
      </c>
      <c r="D4756" s="1" t="s">
        <v>188</v>
      </c>
      <c r="E4756" s="1" t="s">
        <v>4</v>
      </c>
      <c r="F4756">
        <v>42</v>
      </c>
      <c r="G4756" s="1" t="str">
        <f>Ocupacao_DW[[#This Row],[data]]&amp;Ocupacao_DW[[#This Row],[profissional_id]]&amp;Ocupacao_DW[[#This Row],[local_id]]</f>
        <v>44638643042</v>
      </c>
      <c r="H4756" s="1">
        <f>_xlfn.XLOOKUP(Ocupacao_DW[[#This Row],[Concat]],Vagas!$H:$H,Vagas!$D:$D,"",0)</f>
        <v>0</v>
      </c>
    </row>
    <row r="4757" spans="1:8" x14ac:dyDescent="0.25">
      <c r="A4757" s="2">
        <v>44636</v>
      </c>
      <c r="B4757" s="1" t="s">
        <v>54</v>
      </c>
      <c r="C4757">
        <v>70</v>
      </c>
      <c r="D4757" s="1" t="s">
        <v>187</v>
      </c>
      <c r="E4757" s="1" t="s">
        <v>5</v>
      </c>
      <c r="F4757">
        <v>13</v>
      </c>
      <c r="G4757" s="1" t="str">
        <f>Ocupacao_DW[[#This Row],[data]]&amp;Ocupacao_DW[[#This Row],[profissional_id]]&amp;Ocupacao_DW[[#This Row],[local_id]]</f>
        <v>446367013</v>
      </c>
      <c r="H4757" s="1">
        <f>_xlfn.XLOOKUP(Ocupacao_DW[[#This Row],[Concat]],Vagas!$H:$H,Vagas!$D:$D,"",0)</f>
        <v>0</v>
      </c>
    </row>
    <row r="4758" spans="1:8" x14ac:dyDescent="0.25">
      <c r="A4758" s="2">
        <v>44636</v>
      </c>
      <c r="B4758" s="1" t="s">
        <v>43</v>
      </c>
      <c r="C4758">
        <v>57</v>
      </c>
      <c r="D4758" s="1" t="s">
        <v>169</v>
      </c>
      <c r="E4758" s="1" t="s">
        <v>6</v>
      </c>
      <c r="F4758">
        <v>2</v>
      </c>
      <c r="G4758" s="1" t="str">
        <f>Ocupacao_DW[[#This Row],[data]]&amp;Ocupacao_DW[[#This Row],[profissional_id]]&amp;Ocupacao_DW[[#This Row],[local_id]]</f>
        <v>44636572</v>
      </c>
      <c r="H4758" s="1">
        <f>_xlfn.XLOOKUP(Ocupacao_DW[[#This Row],[Concat]],Vagas!$H:$H,Vagas!$D:$D,"",0)</f>
        <v>2</v>
      </c>
    </row>
    <row r="4759" spans="1:8" x14ac:dyDescent="0.25">
      <c r="A4759" s="2">
        <v>44642</v>
      </c>
      <c r="B4759" s="1" t="s">
        <v>55</v>
      </c>
      <c r="C4759">
        <v>14452</v>
      </c>
      <c r="D4759" s="1" t="s">
        <v>266</v>
      </c>
      <c r="E4759" s="1" t="s">
        <v>200</v>
      </c>
      <c r="F4759">
        <v>78</v>
      </c>
      <c r="G4759" s="1" t="str">
        <f>Ocupacao_DW[[#This Row],[data]]&amp;Ocupacao_DW[[#This Row],[profissional_id]]&amp;Ocupacao_DW[[#This Row],[local_id]]</f>
        <v>446421445278</v>
      </c>
      <c r="H4759" s="1">
        <f>_xlfn.XLOOKUP(Ocupacao_DW[[#This Row],[Concat]],Vagas!$H:$H,Vagas!$D:$D,"",0)</f>
        <v>0</v>
      </c>
    </row>
    <row r="4760" spans="1:8" x14ac:dyDescent="0.25">
      <c r="A4760" s="2">
        <v>44645</v>
      </c>
      <c r="B4760" s="1" t="s">
        <v>52</v>
      </c>
      <c r="C4760">
        <v>57</v>
      </c>
      <c r="D4760" s="1" t="s">
        <v>169</v>
      </c>
      <c r="E4760" s="1" t="s">
        <v>6</v>
      </c>
      <c r="F4760">
        <v>8</v>
      </c>
      <c r="G4760" s="1" t="str">
        <f>Ocupacao_DW[[#This Row],[data]]&amp;Ocupacao_DW[[#This Row],[profissional_id]]&amp;Ocupacao_DW[[#This Row],[local_id]]</f>
        <v>44645578</v>
      </c>
      <c r="H4760" s="1">
        <f>_xlfn.XLOOKUP(Ocupacao_DW[[#This Row],[Concat]],Vagas!$H:$H,Vagas!$D:$D,"",0)</f>
        <v>0</v>
      </c>
    </row>
    <row r="4761" spans="1:8" x14ac:dyDescent="0.25">
      <c r="A4761" s="2">
        <v>44638</v>
      </c>
      <c r="B4761" s="1" t="s">
        <v>47</v>
      </c>
      <c r="C4761">
        <v>12684</v>
      </c>
      <c r="D4761" s="1" t="s">
        <v>236</v>
      </c>
      <c r="E4761" s="1" t="s">
        <v>200</v>
      </c>
      <c r="F4761">
        <v>85</v>
      </c>
      <c r="G4761" s="1" t="str">
        <f>Ocupacao_DW[[#This Row],[data]]&amp;Ocupacao_DW[[#This Row],[profissional_id]]&amp;Ocupacao_DW[[#This Row],[local_id]]</f>
        <v>446381268485</v>
      </c>
      <c r="H4761" s="1">
        <f>_xlfn.XLOOKUP(Ocupacao_DW[[#This Row],[Concat]],Vagas!$H:$H,Vagas!$D:$D,"",0)</f>
        <v>0</v>
      </c>
    </row>
    <row r="4762" spans="1:8" x14ac:dyDescent="0.25">
      <c r="A4762" s="2">
        <v>44639</v>
      </c>
      <c r="B4762" s="1" t="s">
        <v>52</v>
      </c>
      <c r="C4762">
        <v>60</v>
      </c>
      <c r="D4762" s="1" t="s">
        <v>217</v>
      </c>
      <c r="E4762" s="1" t="s">
        <v>6</v>
      </c>
      <c r="F4762">
        <v>8</v>
      </c>
      <c r="G4762" s="1" t="str">
        <f>Ocupacao_DW[[#This Row],[data]]&amp;Ocupacao_DW[[#This Row],[profissional_id]]&amp;Ocupacao_DW[[#This Row],[local_id]]</f>
        <v>44639608</v>
      </c>
      <c r="H4762" s="1">
        <f>_xlfn.XLOOKUP(Ocupacao_DW[[#This Row],[Concat]],Vagas!$H:$H,Vagas!$D:$D,"",0)</f>
        <v>0</v>
      </c>
    </row>
    <row r="4763" spans="1:8" x14ac:dyDescent="0.25">
      <c r="A4763" s="2">
        <v>44641</v>
      </c>
      <c r="B4763" s="1" t="s">
        <v>56</v>
      </c>
      <c r="C4763">
        <v>75</v>
      </c>
      <c r="D4763" s="1" t="s">
        <v>208</v>
      </c>
      <c r="E4763" s="1" t="s">
        <v>5</v>
      </c>
      <c r="F4763">
        <v>15</v>
      </c>
      <c r="G4763" s="1" t="str">
        <f>Ocupacao_DW[[#This Row],[data]]&amp;Ocupacao_DW[[#This Row],[profissional_id]]&amp;Ocupacao_DW[[#This Row],[local_id]]</f>
        <v>446417515</v>
      </c>
      <c r="H4763" s="1">
        <f>_xlfn.XLOOKUP(Ocupacao_DW[[#This Row],[Concat]],Vagas!$H:$H,Vagas!$D:$D,"",0)</f>
        <v>0</v>
      </c>
    </row>
    <row r="4764" spans="1:8" x14ac:dyDescent="0.25">
      <c r="A4764" s="2">
        <v>44635</v>
      </c>
      <c r="B4764" s="1" t="s">
        <v>47</v>
      </c>
      <c r="C4764">
        <v>111</v>
      </c>
      <c r="D4764" s="1" t="s">
        <v>199</v>
      </c>
      <c r="E4764" s="1" t="s">
        <v>4</v>
      </c>
      <c r="F4764">
        <v>51</v>
      </c>
      <c r="G4764" s="1" t="str">
        <f>Ocupacao_DW[[#This Row],[data]]&amp;Ocupacao_DW[[#This Row],[profissional_id]]&amp;Ocupacao_DW[[#This Row],[local_id]]</f>
        <v>4463511151</v>
      </c>
      <c r="H4764" s="1">
        <f>_xlfn.XLOOKUP(Ocupacao_DW[[#This Row],[Concat]],Vagas!$H:$H,Vagas!$D:$D,"",0)</f>
        <v>0</v>
      </c>
    </row>
    <row r="4765" spans="1:8" x14ac:dyDescent="0.25">
      <c r="A4765" s="2">
        <v>44636</v>
      </c>
      <c r="B4765" s="1" t="s">
        <v>56</v>
      </c>
      <c r="C4765">
        <v>13660</v>
      </c>
      <c r="D4765" s="1" t="s">
        <v>250</v>
      </c>
      <c r="E4765" s="1" t="s">
        <v>200</v>
      </c>
      <c r="F4765">
        <v>78</v>
      </c>
      <c r="G4765" s="1" t="str">
        <f>Ocupacao_DW[[#This Row],[data]]&amp;Ocupacao_DW[[#This Row],[profissional_id]]&amp;Ocupacao_DW[[#This Row],[local_id]]</f>
        <v>446361366078</v>
      </c>
      <c r="H4765" s="1">
        <f>_xlfn.XLOOKUP(Ocupacao_DW[[#This Row],[Concat]],Vagas!$H:$H,Vagas!$D:$D,"",0)</f>
        <v>3</v>
      </c>
    </row>
    <row r="4766" spans="1:8" x14ac:dyDescent="0.25">
      <c r="A4766" s="2">
        <v>44643</v>
      </c>
      <c r="B4766" s="1" t="s">
        <v>62</v>
      </c>
      <c r="C4766">
        <v>10799</v>
      </c>
      <c r="D4766" s="1" t="s">
        <v>204</v>
      </c>
      <c r="E4766" s="1" t="s">
        <v>5</v>
      </c>
      <c r="F4766">
        <v>18</v>
      </c>
      <c r="G4766" s="1" t="str">
        <f>Ocupacao_DW[[#This Row],[data]]&amp;Ocupacao_DW[[#This Row],[profissional_id]]&amp;Ocupacao_DW[[#This Row],[local_id]]</f>
        <v>446431079918</v>
      </c>
      <c r="H4766" s="1">
        <f>_xlfn.XLOOKUP(Ocupacao_DW[[#This Row],[Concat]],Vagas!$H:$H,Vagas!$D:$D,"",0)</f>
        <v>0</v>
      </c>
    </row>
    <row r="4767" spans="1:8" x14ac:dyDescent="0.25">
      <c r="A4767" s="2">
        <v>44641</v>
      </c>
      <c r="B4767" s="1" t="s">
        <v>72</v>
      </c>
      <c r="C4767">
        <v>13479</v>
      </c>
      <c r="D4767" s="1" t="s">
        <v>203</v>
      </c>
      <c r="E4767" s="1" t="s">
        <v>4</v>
      </c>
      <c r="F4767">
        <v>46</v>
      </c>
      <c r="G4767" s="1" t="str">
        <f>Ocupacao_DW[[#This Row],[data]]&amp;Ocupacao_DW[[#This Row],[profissional_id]]&amp;Ocupacao_DW[[#This Row],[local_id]]</f>
        <v>446411347946</v>
      </c>
      <c r="H4767" s="1">
        <f>_xlfn.XLOOKUP(Ocupacao_DW[[#This Row],[Concat]],Vagas!$H:$H,Vagas!$D:$D,"",0)</f>
        <v>0</v>
      </c>
    </row>
    <row r="4768" spans="1:8" x14ac:dyDescent="0.25">
      <c r="A4768" s="2">
        <v>44636</v>
      </c>
      <c r="B4768" s="1" t="s">
        <v>65</v>
      </c>
      <c r="C4768">
        <v>13058</v>
      </c>
      <c r="D4768" s="1" t="s">
        <v>256</v>
      </c>
      <c r="E4768" s="1" t="s">
        <v>4</v>
      </c>
      <c r="F4768">
        <v>47</v>
      </c>
      <c r="G4768" s="1" t="str">
        <f>Ocupacao_DW[[#This Row],[data]]&amp;Ocupacao_DW[[#This Row],[profissional_id]]&amp;Ocupacao_DW[[#This Row],[local_id]]</f>
        <v>446361305847</v>
      </c>
      <c r="H4768" s="1">
        <f>_xlfn.XLOOKUP(Ocupacao_DW[[#This Row],[Concat]],Vagas!$H:$H,Vagas!$D:$D,"",0)</f>
        <v>0</v>
      </c>
    </row>
    <row r="4769" spans="1:8" x14ac:dyDescent="0.25">
      <c r="A4769" s="2">
        <v>44636</v>
      </c>
      <c r="B4769" s="1" t="s">
        <v>62</v>
      </c>
      <c r="C4769">
        <v>2567</v>
      </c>
      <c r="D4769" s="1" t="s">
        <v>198</v>
      </c>
      <c r="E4769" s="1" t="s">
        <v>5</v>
      </c>
      <c r="F4769">
        <v>349</v>
      </c>
      <c r="G4769" s="1" t="str">
        <f>Ocupacao_DW[[#This Row],[data]]&amp;Ocupacao_DW[[#This Row],[profissional_id]]&amp;Ocupacao_DW[[#This Row],[local_id]]</f>
        <v>446362567349</v>
      </c>
      <c r="H4769" s="1">
        <f>_xlfn.XLOOKUP(Ocupacao_DW[[#This Row],[Concat]],Vagas!$H:$H,Vagas!$D:$D,"",0)</f>
        <v>0</v>
      </c>
    </row>
    <row r="4770" spans="1:8" x14ac:dyDescent="0.25">
      <c r="A4770" s="2">
        <v>44640</v>
      </c>
      <c r="B4770" s="1" t="s">
        <v>62</v>
      </c>
      <c r="C4770">
        <v>4887</v>
      </c>
      <c r="D4770" s="1" t="s">
        <v>168</v>
      </c>
      <c r="E4770" s="1" t="s">
        <v>167</v>
      </c>
      <c r="F4770">
        <v>340</v>
      </c>
      <c r="G4770" s="1" t="str">
        <f>Ocupacao_DW[[#This Row],[data]]&amp;Ocupacao_DW[[#This Row],[profissional_id]]&amp;Ocupacao_DW[[#This Row],[local_id]]</f>
        <v>446404887340</v>
      </c>
      <c r="H4770" s="1">
        <f>_xlfn.XLOOKUP(Ocupacao_DW[[#This Row],[Concat]],Vagas!$H:$H,Vagas!$D:$D,"",0)</f>
        <v>0</v>
      </c>
    </row>
    <row r="4771" spans="1:8" x14ac:dyDescent="0.25">
      <c r="A4771" s="2">
        <v>44637</v>
      </c>
      <c r="B4771" s="1" t="s">
        <v>62</v>
      </c>
      <c r="C4771">
        <v>3502</v>
      </c>
      <c r="D4771" s="1" t="s">
        <v>214</v>
      </c>
      <c r="E4771" s="1" t="s">
        <v>5</v>
      </c>
      <c r="F4771">
        <v>16</v>
      </c>
      <c r="G4771" s="1" t="str">
        <f>Ocupacao_DW[[#This Row],[data]]&amp;Ocupacao_DW[[#This Row],[profissional_id]]&amp;Ocupacao_DW[[#This Row],[local_id]]</f>
        <v>44637350216</v>
      </c>
      <c r="H4771" s="1">
        <f>_xlfn.XLOOKUP(Ocupacao_DW[[#This Row],[Concat]],Vagas!$H:$H,Vagas!$D:$D,"",0)</f>
        <v>0</v>
      </c>
    </row>
    <row r="4772" spans="1:8" x14ac:dyDescent="0.25">
      <c r="A4772" s="2">
        <v>44640</v>
      </c>
      <c r="B4772" s="1" t="s">
        <v>62</v>
      </c>
      <c r="C4772">
        <v>4887</v>
      </c>
      <c r="D4772" s="1" t="s">
        <v>168</v>
      </c>
      <c r="E4772" s="1" t="s">
        <v>167</v>
      </c>
      <c r="F4772">
        <v>340</v>
      </c>
      <c r="G4772" s="1" t="str">
        <f>Ocupacao_DW[[#This Row],[data]]&amp;Ocupacao_DW[[#This Row],[profissional_id]]&amp;Ocupacao_DW[[#This Row],[local_id]]</f>
        <v>446404887340</v>
      </c>
      <c r="H4772" s="1">
        <f>_xlfn.XLOOKUP(Ocupacao_DW[[#This Row],[Concat]],Vagas!$H:$H,Vagas!$D:$D,"",0)</f>
        <v>0</v>
      </c>
    </row>
    <row r="4773" spans="1:8" x14ac:dyDescent="0.25">
      <c r="A4773" s="2">
        <v>44636</v>
      </c>
      <c r="B4773" s="1" t="s">
        <v>62</v>
      </c>
      <c r="C4773">
        <v>2567</v>
      </c>
      <c r="D4773" s="1" t="s">
        <v>198</v>
      </c>
      <c r="E4773" s="1" t="s">
        <v>5</v>
      </c>
      <c r="F4773">
        <v>349</v>
      </c>
      <c r="G4773" s="1" t="str">
        <f>Ocupacao_DW[[#This Row],[data]]&amp;Ocupacao_DW[[#This Row],[profissional_id]]&amp;Ocupacao_DW[[#This Row],[local_id]]</f>
        <v>446362567349</v>
      </c>
      <c r="H4773" s="1">
        <f>_xlfn.XLOOKUP(Ocupacao_DW[[#This Row],[Concat]],Vagas!$H:$H,Vagas!$D:$D,"",0)</f>
        <v>0</v>
      </c>
    </row>
    <row r="4774" spans="1:8" x14ac:dyDescent="0.25">
      <c r="A4774" s="2">
        <v>44641</v>
      </c>
      <c r="B4774" s="1" t="s">
        <v>52</v>
      </c>
      <c r="C4774">
        <v>10595</v>
      </c>
      <c r="D4774" s="1" t="s">
        <v>218</v>
      </c>
      <c r="E4774" s="1" t="s">
        <v>200</v>
      </c>
      <c r="F4774">
        <v>78</v>
      </c>
      <c r="G4774" s="1" t="str">
        <f>Ocupacao_DW[[#This Row],[data]]&amp;Ocupacao_DW[[#This Row],[profissional_id]]&amp;Ocupacao_DW[[#This Row],[local_id]]</f>
        <v>446411059578</v>
      </c>
      <c r="H4774" s="1">
        <f>_xlfn.XLOOKUP(Ocupacao_DW[[#This Row],[Concat]],Vagas!$H:$H,Vagas!$D:$D,"",0)</f>
        <v>0</v>
      </c>
    </row>
    <row r="4775" spans="1:8" x14ac:dyDescent="0.25">
      <c r="A4775" s="2">
        <v>44640</v>
      </c>
      <c r="B4775" s="1" t="s">
        <v>66</v>
      </c>
      <c r="C4775">
        <v>97</v>
      </c>
      <c r="D4775" s="1" t="s">
        <v>243</v>
      </c>
      <c r="E4775" s="1" t="s">
        <v>167</v>
      </c>
      <c r="F4775">
        <v>342</v>
      </c>
      <c r="G4775" s="1" t="str">
        <f>Ocupacao_DW[[#This Row],[data]]&amp;Ocupacao_DW[[#This Row],[profissional_id]]&amp;Ocupacao_DW[[#This Row],[local_id]]</f>
        <v>4464097342</v>
      </c>
      <c r="H4775" s="1">
        <f>_xlfn.XLOOKUP(Ocupacao_DW[[#This Row],[Concat]],Vagas!$H:$H,Vagas!$D:$D,"",0)</f>
        <v>0</v>
      </c>
    </row>
    <row r="4776" spans="1:8" x14ac:dyDescent="0.25">
      <c r="A4776" s="2">
        <v>44635</v>
      </c>
      <c r="B4776" s="1" t="s">
        <v>65</v>
      </c>
      <c r="C4776">
        <v>13058</v>
      </c>
      <c r="D4776" s="1" t="s">
        <v>256</v>
      </c>
      <c r="E4776" s="1" t="s">
        <v>4</v>
      </c>
      <c r="F4776">
        <v>47</v>
      </c>
      <c r="G4776" s="1" t="str">
        <f>Ocupacao_DW[[#This Row],[data]]&amp;Ocupacao_DW[[#This Row],[profissional_id]]&amp;Ocupacao_DW[[#This Row],[local_id]]</f>
        <v>446351305847</v>
      </c>
      <c r="H4776" s="1" t="str">
        <f>_xlfn.XLOOKUP(Ocupacao_DW[[#This Row],[Concat]],Vagas!$H:$H,Vagas!$D:$D,"",0)</f>
        <v/>
      </c>
    </row>
    <row r="4777" spans="1:8" x14ac:dyDescent="0.25">
      <c r="A4777" s="2">
        <v>44651</v>
      </c>
      <c r="B4777" s="1" t="s">
        <v>55</v>
      </c>
      <c r="C4777">
        <v>8598</v>
      </c>
      <c r="D4777" s="1" t="s">
        <v>228</v>
      </c>
      <c r="E4777" s="1" t="s">
        <v>6</v>
      </c>
      <c r="F4777">
        <v>3</v>
      </c>
      <c r="G4777" s="1" t="str">
        <f>Ocupacao_DW[[#This Row],[data]]&amp;Ocupacao_DW[[#This Row],[profissional_id]]&amp;Ocupacao_DW[[#This Row],[local_id]]</f>
        <v>4465185983</v>
      </c>
      <c r="H4777" s="1">
        <f>_xlfn.XLOOKUP(Ocupacao_DW[[#This Row],[Concat]],Vagas!$H:$H,Vagas!$D:$D,"",0)</f>
        <v>0</v>
      </c>
    </row>
    <row r="4778" spans="1:8" x14ac:dyDescent="0.25">
      <c r="A4778" s="2">
        <v>44645</v>
      </c>
      <c r="B4778" s="1" t="s">
        <v>43</v>
      </c>
      <c r="C4778">
        <v>57</v>
      </c>
      <c r="D4778" s="1" t="s">
        <v>169</v>
      </c>
      <c r="E4778" s="1" t="s">
        <v>6</v>
      </c>
      <c r="F4778">
        <v>2</v>
      </c>
      <c r="G4778" s="1" t="str">
        <f>Ocupacao_DW[[#This Row],[data]]&amp;Ocupacao_DW[[#This Row],[profissional_id]]&amp;Ocupacao_DW[[#This Row],[local_id]]</f>
        <v>44645572</v>
      </c>
      <c r="H4778" s="1">
        <f>_xlfn.XLOOKUP(Ocupacao_DW[[#This Row],[Concat]],Vagas!$H:$H,Vagas!$D:$D,"",0)</f>
        <v>21</v>
      </c>
    </row>
    <row r="4779" spans="1:8" x14ac:dyDescent="0.25">
      <c r="A4779" s="2">
        <v>44638</v>
      </c>
      <c r="B4779" s="1" t="s">
        <v>54</v>
      </c>
      <c r="C4779">
        <v>69</v>
      </c>
      <c r="D4779" s="1" t="s">
        <v>238</v>
      </c>
      <c r="E4779" s="1" t="s">
        <v>5</v>
      </c>
      <c r="F4779">
        <v>13</v>
      </c>
      <c r="G4779" s="1" t="str">
        <f>Ocupacao_DW[[#This Row],[data]]&amp;Ocupacao_DW[[#This Row],[profissional_id]]&amp;Ocupacao_DW[[#This Row],[local_id]]</f>
        <v>446386913</v>
      </c>
      <c r="H4779" s="1">
        <f>_xlfn.XLOOKUP(Ocupacao_DW[[#This Row],[Concat]],Vagas!$H:$H,Vagas!$D:$D,"",0)</f>
        <v>0</v>
      </c>
    </row>
    <row r="4780" spans="1:8" x14ac:dyDescent="0.25">
      <c r="A4780" s="2">
        <v>44635</v>
      </c>
      <c r="B4780" s="1" t="s">
        <v>47</v>
      </c>
      <c r="C4780">
        <v>111</v>
      </c>
      <c r="D4780" s="1" t="s">
        <v>199</v>
      </c>
      <c r="E4780" s="1" t="s">
        <v>4</v>
      </c>
      <c r="F4780">
        <v>51</v>
      </c>
      <c r="G4780" s="1" t="str">
        <f>Ocupacao_DW[[#This Row],[data]]&amp;Ocupacao_DW[[#This Row],[profissional_id]]&amp;Ocupacao_DW[[#This Row],[local_id]]</f>
        <v>4463511151</v>
      </c>
      <c r="H4780" s="1">
        <f>_xlfn.XLOOKUP(Ocupacao_DW[[#This Row],[Concat]],Vagas!$H:$H,Vagas!$D:$D,"",0)</f>
        <v>0</v>
      </c>
    </row>
    <row r="4781" spans="1:8" x14ac:dyDescent="0.25">
      <c r="A4781" s="2">
        <v>44653</v>
      </c>
      <c r="B4781" s="1" t="s">
        <v>54</v>
      </c>
      <c r="C4781">
        <v>70</v>
      </c>
      <c r="D4781" s="1" t="s">
        <v>187</v>
      </c>
      <c r="E4781" s="1" t="s">
        <v>5</v>
      </c>
      <c r="F4781">
        <v>13</v>
      </c>
      <c r="G4781" s="1" t="str">
        <f>Ocupacao_DW[[#This Row],[data]]&amp;Ocupacao_DW[[#This Row],[profissional_id]]&amp;Ocupacao_DW[[#This Row],[local_id]]</f>
        <v>446537013</v>
      </c>
      <c r="H4781" s="1">
        <f>_xlfn.XLOOKUP(Ocupacao_DW[[#This Row],[Concat]],Vagas!$H:$H,Vagas!$D:$D,"",0)</f>
        <v>0</v>
      </c>
    </row>
    <row r="4782" spans="1:8" x14ac:dyDescent="0.25">
      <c r="A4782" s="2">
        <v>44648</v>
      </c>
      <c r="B4782" s="1" t="s">
        <v>55</v>
      </c>
      <c r="C4782">
        <v>60</v>
      </c>
      <c r="D4782" s="1" t="s">
        <v>217</v>
      </c>
      <c r="E4782" s="1" t="s">
        <v>7</v>
      </c>
      <c r="F4782">
        <v>66</v>
      </c>
      <c r="G4782" s="1" t="str">
        <f>Ocupacao_DW[[#This Row],[data]]&amp;Ocupacao_DW[[#This Row],[profissional_id]]&amp;Ocupacao_DW[[#This Row],[local_id]]</f>
        <v>446486066</v>
      </c>
      <c r="H4782" s="1">
        <f>_xlfn.XLOOKUP(Ocupacao_DW[[#This Row],[Concat]],Vagas!$H:$H,Vagas!$D:$D,"",0)</f>
        <v>0</v>
      </c>
    </row>
    <row r="4783" spans="1:8" x14ac:dyDescent="0.25">
      <c r="A4783" s="2">
        <v>44635</v>
      </c>
      <c r="B4783" s="1" t="s">
        <v>47</v>
      </c>
      <c r="C4783">
        <v>12752</v>
      </c>
      <c r="D4783" s="1" t="s">
        <v>253</v>
      </c>
      <c r="E4783" s="1" t="s">
        <v>7</v>
      </c>
      <c r="F4783">
        <v>60</v>
      </c>
      <c r="G4783" s="1" t="str">
        <f>Ocupacao_DW[[#This Row],[data]]&amp;Ocupacao_DW[[#This Row],[profissional_id]]&amp;Ocupacao_DW[[#This Row],[local_id]]</f>
        <v>446351275260</v>
      </c>
      <c r="H4783" s="1">
        <f>_xlfn.XLOOKUP(Ocupacao_DW[[#This Row],[Concat]],Vagas!$H:$H,Vagas!$D:$D,"",0)</f>
        <v>0</v>
      </c>
    </row>
    <row r="4784" spans="1:8" x14ac:dyDescent="0.25">
      <c r="A4784" s="2">
        <v>44638</v>
      </c>
      <c r="B4784" s="1" t="s">
        <v>72</v>
      </c>
      <c r="C4784">
        <v>1794</v>
      </c>
      <c r="D4784" s="1" t="s">
        <v>235</v>
      </c>
      <c r="E4784" s="1" t="s">
        <v>4</v>
      </c>
      <c r="F4784">
        <v>46</v>
      </c>
      <c r="G4784" s="1" t="str">
        <f>Ocupacao_DW[[#This Row],[data]]&amp;Ocupacao_DW[[#This Row],[profissional_id]]&amp;Ocupacao_DW[[#This Row],[local_id]]</f>
        <v>44638179446</v>
      </c>
      <c r="H4784" s="1">
        <f>_xlfn.XLOOKUP(Ocupacao_DW[[#This Row],[Concat]],Vagas!$H:$H,Vagas!$D:$D,"",0)</f>
        <v>0</v>
      </c>
    </row>
    <row r="4785" spans="1:8" x14ac:dyDescent="0.25">
      <c r="A4785" s="2">
        <v>44643</v>
      </c>
      <c r="B4785" s="1" t="s">
        <v>62</v>
      </c>
      <c r="C4785">
        <v>10799</v>
      </c>
      <c r="D4785" s="1" t="s">
        <v>204</v>
      </c>
      <c r="E4785" s="1" t="s">
        <v>5</v>
      </c>
      <c r="F4785">
        <v>18</v>
      </c>
      <c r="G4785" s="1" t="str">
        <f>Ocupacao_DW[[#This Row],[data]]&amp;Ocupacao_DW[[#This Row],[profissional_id]]&amp;Ocupacao_DW[[#This Row],[local_id]]</f>
        <v>446431079918</v>
      </c>
      <c r="H4785" s="1">
        <f>_xlfn.XLOOKUP(Ocupacao_DW[[#This Row],[Concat]],Vagas!$H:$H,Vagas!$D:$D,"",0)</f>
        <v>0</v>
      </c>
    </row>
    <row r="4786" spans="1:8" x14ac:dyDescent="0.25">
      <c r="A4786" s="2">
        <v>44641</v>
      </c>
      <c r="B4786" s="1" t="s">
        <v>55</v>
      </c>
      <c r="C4786">
        <v>60</v>
      </c>
      <c r="D4786" s="1" t="s">
        <v>217</v>
      </c>
      <c r="E4786" s="1" t="s">
        <v>167</v>
      </c>
      <c r="F4786">
        <v>345</v>
      </c>
      <c r="G4786" s="1" t="str">
        <f>Ocupacao_DW[[#This Row],[data]]&amp;Ocupacao_DW[[#This Row],[profissional_id]]&amp;Ocupacao_DW[[#This Row],[local_id]]</f>
        <v>4464160345</v>
      </c>
      <c r="H4786" s="1">
        <f>_xlfn.XLOOKUP(Ocupacao_DW[[#This Row],[Concat]],Vagas!$H:$H,Vagas!$D:$D,"",0)</f>
        <v>0</v>
      </c>
    </row>
    <row r="4787" spans="1:8" x14ac:dyDescent="0.25">
      <c r="A4787" s="2">
        <v>44641</v>
      </c>
      <c r="B4787" s="1" t="s">
        <v>55</v>
      </c>
      <c r="C4787">
        <v>60</v>
      </c>
      <c r="D4787" s="1" t="s">
        <v>217</v>
      </c>
      <c r="E4787" s="1" t="s">
        <v>167</v>
      </c>
      <c r="F4787">
        <v>345</v>
      </c>
      <c r="G4787" s="1" t="str">
        <f>Ocupacao_DW[[#This Row],[data]]&amp;Ocupacao_DW[[#This Row],[profissional_id]]&amp;Ocupacao_DW[[#This Row],[local_id]]</f>
        <v>4464160345</v>
      </c>
      <c r="H4787" s="1">
        <f>_xlfn.XLOOKUP(Ocupacao_DW[[#This Row],[Concat]],Vagas!$H:$H,Vagas!$D:$D,"",0)</f>
        <v>0</v>
      </c>
    </row>
    <row r="4788" spans="1:8" x14ac:dyDescent="0.25">
      <c r="A4788" s="2">
        <v>44639</v>
      </c>
      <c r="B4788" s="1" t="s">
        <v>52</v>
      </c>
      <c r="C4788">
        <v>60</v>
      </c>
      <c r="D4788" s="1" t="s">
        <v>217</v>
      </c>
      <c r="E4788" s="1" t="s">
        <v>6</v>
      </c>
      <c r="F4788">
        <v>8</v>
      </c>
      <c r="G4788" s="1" t="str">
        <f>Ocupacao_DW[[#This Row],[data]]&amp;Ocupacao_DW[[#This Row],[profissional_id]]&amp;Ocupacao_DW[[#This Row],[local_id]]</f>
        <v>44639608</v>
      </c>
      <c r="H4788" s="1">
        <f>_xlfn.XLOOKUP(Ocupacao_DW[[#This Row],[Concat]],Vagas!$H:$H,Vagas!$D:$D,"",0)</f>
        <v>0</v>
      </c>
    </row>
    <row r="4789" spans="1:8" x14ac:dyDescent="0.25">
      <c r="A4789" s="2">
        <v>44637</v>
      </c>
      <c r="B4789" s="1" t="s">
        <v>47</v>
      </c>
      <c r="C4789">
        <v>9111</v>
      </c>
      <c r="D4789" s="1" t="s">
        <v>206</v>
      </c>
      <c r="E4789" s="1" t="s">
        <v>4</v>
      </c>
      <c r="F4789">
        <v>334</v>
      </c>
      <c r="G4789" s="1" t="str">
        <f>Ocupacao_DW[[#This Row],[data]]&amp;Ocupacao_DW[[#This Row],[profissional_id]]&amp;Ocupacao_DW[[#This Row],[local_id]]</f>
        <v>446379111334</v>
      </c>
      <c r="H4789" s="1">
        <f>_xlfn.XLOOKUP(Ocupacao_DW[[#This Row],[Concat]],Vagas!$H:$H,Vagas!$D:$D,"",0)</f>
        <v>0</v>
      </c>
    </row>
    <row r="4790" spans="1:8" x14ac:dyDescent="0.25">
      <c r="A4790" s="2">
        <v>44642</v>
      </c>
      <c r="B4790" s="1" t="s">
        <v>49</v>
      </c>
      <c r="C4790">
        <v>266</v>
      </c>
      <c r="D4790" s="1" t="s">
        <v>201</v>
      </c>
      <c r="E4790" s="1" t="s">
        <v>4</v>
      </c>
      <c r="F4790">
        <v>42</v>
      </c>
      <c r="G4790" s="1" t="str">
        <f>Ocupacao_DW[[#This Row],[data]]&amp;Ocupacao_DW[[#This Row],[profissional_id]]&amp;Ocupacao_DW[[#This Row],[local_id]]</f>
        <v>4464226642</v>
      </c>
      <c r="H4790" s="1">
        <f>_xlfn.XLOOKUP(Ocupacao_DW[[#This Row],[Concat]],Vagas!$H:$H,Vagas!$D:$D,"",0)</f>
        <v>0</v>
      </c>
    </row>
    <row r="4791" spans="1:8" x14ac:dyDescent="0.25">
      <c r="A4791" s="2">
        <v>44643</v>
      </c>
      <c r="B4791" s="1" t="s">
        <v>51</v>
      </c>
      <c r="C4791">
        <v>7551</v>
      </c>
      <c r="D4791" s="1" t="s">
        <v>246</v>
      </c>
      <c r="E4791" s="1" t="s">
        <v>5</v>
      </c>
      <c r="F4791">
        <v>15</v>
      </c>
      <c r="G4791" s="1" t="str">
        <f>Ocupacao_DW[[#This Row],[data]]&amp;Ocupacao_DW[[#This Row],[profissional_id]]&amp;Ocupacao_DW[[#This Row],[local_id]]</f>
        <v>44643755115</v>
      </c>
      <c r="H4791" s="1">
        <f>_xlfn.XLOOKUP(Ocupacao_DW[[#This Row],[Concat]],Vagas!$H:$H,Vagas!$D:$D,"",0)</f>
        <v>0</v>
      </c>
    </row>
    <row r="4792" spans="1:8" x14ac:dyDescent="0.25">
      <c r="A4792" s="2">
        <v>44636</v>
      </c>
      <c r="B4792" s="1" t="s">
        <v>62</v>
      </c>
      <c r="C4792">
        <v>10799</v>
      </c>
      <c r="D4792" s="1" t="s">
        <v>204</v>
      </c>
      <c r="E4792" s="1" t="s">
        <v>5</v>
      </c>
      <c r="F4792">
        <v>18</v>
      </c>
      <c r="G4792" s="1" t="str">
        <f>Ocupacao_DW[[#This Row],[data]]&amp;Ocupacao_DW[[#This Row],[profissional_id]]&amp;Ocupacao_DW[[#This Row],[local_id]]</f>
        <v>446361079918</v>
      </c>
      <c r="H4792" s="1">
        <f>_xlfn.XLOOKUP(Ocupacao_DW[[#This Row],[Concat]],Vagas!$H:$H,Vagas!$D:$D,"",0)</f>
        <v>0</v>
      </c>
    </row>
    <row r="4793" spans="1:8" x14ac:dyDescent="0.25">
      <c r="A4793" s="2">
        <v>44638</v>
      </c>
      <c r="B4793" s="1" t="s">
        <v>49</v>
      </c>
      <c r="C4793">
        <v>81</v>
      </c>
      <c r="D4793" s="1" t="s">
        <v>170</v>
      </c>
      <c r="E4793" s="1" t="s">
        <v>4</v>
      </c>
      <c r="F4793">
        <v>41</v>
      </c>
      <c r="G4793" s="1" t="str">
        <f>Ocupacao_DW[[#This Row],[data]]&amp;Ocupacao_DW[[#This Row],[profissional_id]]&amp;Ocupacao_DW[[#This Row],[local_id]]</f>
        <v>446388141</v>
      </c>
      <c r="H4793" s="1">
        <f>_xlfn.XLOOKUP(Ocupacao_DW[[#This Row],[Concat]],Vagas!$H:$H,Vagas!$D:$D,"",0)</f>
        <v>0</v>
      </c>
    </row>
    <row r="4794" spans="1:8" x14ac:dyDescent="0.25">
      <c r="A4794" s="2">
        <v>44636</v>
      </c>
      <c r="B4794" s="1" t="s">
        <v>62</v>
      </c>
      <c r="C4794">
        <v>3502</v>
      </c>
      <c r="D4794" s="1" t="s">
        <v>214</v>
      </c>
      <c r="E4794" s="1" t="s">
        <v>5</v>
      </c>
      <c r="F4794">
        <v>16</v>
      </c>
      <c r="G4794" s="1" t="str">
        <f>Ocupacao_DW[[#This Row],[data]]&amp;Ocupacao_DW[[#This Row],[profissional_id]]&amp;Ocupacao_DW[[#This Row],[local_id]]</f>
        <v>44636350216</v>
      </c>
      <c r="H4794" s="1">
        <f>_xlfn.XLOOKUP(Ocupacao_DW[[#This Row],[Concat]],Vagas!$H:$H,Vagas!$D:$D,"",0)</f>
        <v>0</v>
      </c>
    </row>
    <row r="4795" spans="1:8" x14ac:dyDescent="0.25">
      <c r="A4795" s="2">
        <v>44637</v>
      </c>
      <c r="B4795" s="1" t="s">
        <v>49</v>
      </c>
      <c r="C4795">
        <v>266</v>
      </c>
      <c r="D4795" s="1" t="s">
        <v>201</v>
      </c>
      <c r="E4795" s="1" t="s">
        <v>4</v>
      </c>
      <c r="F4795">
        <v>42</v>
      </c>
      <c r="G4795" s="1" t="str">
        <f>Ocupacao_DW[[#This Row],[data]]&amp;Ocupacao_DW[[#This Row],[profissional_id]]&amp;Ocupacao_DW[[#This Row],[local_id]]</f>
        <v>4463726642</v>
      </c>
      <c r="H4795" s="1">
        <f>_xlfn.XLOOKUP(Ocupacao_DW[[#This Row],[Concat]],Vagas!$H:$H,Vagas!$D:$D,"",0)</f>
        <v>0</v>
      </c>
    </row>
    <row r="4796" spans="1:8" x14ac:dyDescent="0.25">
      <c r="A4796" s="2">
        <v>44636</v>
      </c>
      <c r="B4796" s="1" t="s">
        <v>62</v>
      </c>
      <c r="C4796">
        <v>3502</v>
      </c>
      <c r="D4796" s="1" t="s">
        <v>214</v>
      </c>
      <c r="E4796" s="1" t="s">
        <v>5</v>
      </c>
      <c r="F4796">
        <v>16</v>
      </c>
      <c r="G4796" s="1" t="str">
        <f>Ocupacao_DW[[#This Row],[data]]&amp;Ocupacao_DW[[#This Row],[profissional_id]]&amp;Ocupacao_DW[[#This Row],[local_id]]</f>
        <v>44636350216</v>
      </c>
      <c r="H4796" s="1">
        <f>_xlfn.XLOOKUP(Ocupacao_DW[[#This Row],[Concat]],Vagas!$H:$H,Vagas!$D:$D,"",0)</f>
        <v>0</v>
      </c>
    </row>
    <row r="4797" spans="1:8" x14ac:dyDescent="0.25">
      <c r="A4797" s="2">
        <v>44646</v>
      </c>
      <c r="B4797" s="1" t="s">
        <v>60</v>
      </c>
      <c r="C4797">
        <v>117</v>
      </c>
      <c r="D4797" s="1" t="s">
        <v>180</v>
      </c>
      <c r="E4797" s="1" t="s">
        <v>4</v>
      </c>
      <c r="F4797">
        <v>48</v>
      </c>
      <c r="G4797" s="1" t="str">
        <f>Ocupacao_DW[[#This Row],[data]]&amp;Ocupacao_DW[[#This Row],[profissional_id]]&amp;Ocupacao_DW[[#This Row],[local_id]]</f>
        <v>4464611748</v>
      </c>
      <c r="H4797" s="1">
        <f>_xlfn.XLOOKUP(Ocupacao_DW[[#This Row],[Concat]],Vagas!$H:$H,Vagas!$D:$D,"",0)</f>
        <v>0</v>
      </c>
    </row>
    <row r="4798" spans="1:8" x14ac:dyDescent="0.25">
      <c r="A4798" s="2">
        <v>44637</v>
      </c>
      <c r="B4798" s="1" t="s">
        <v>62</v>
      </c>
      <c r="C4798">
        <v>3502</v>
      </c>
      <c r="D4798" s="1" t="s">
        <v>214</v>
      </c>
      <c r="E4798" s="1" t="s">
        <v>5</v>
      </c>
      <c r="F4798">
        <v>16</v>
      </c>
      <c r="G4798" s="1" t="str">
        <f>Ocupacao_DW[[#This Row],[data]]&amp;Ocupacao_DW[[#This Row],[profissional_id]]&amp;Ocupacao_DW[[#This Row],[local_id]]</f>
        <v>44637350216</v>
      </c>
      <c r="H4798" s="1">
        <f>_xlfn.XLOOKUP(Ocupacao_DW[[#This Row],[Concat]],Vagas!$H:$H,Vagas!$D:$D,"",0)</f>
        <v>0</v>
      </c>
    </row>
    <row r="4799" spans="1:8" x14ac:dyDescent="0.25">
      <c r="A4799" s="2">
        <v>44638</v>
      </c>
      <c r="B4799" s="1" t="s">
        <v>67</v>
      </c>
      <c r="C4799">
        <v>10717</v>
      </c>
      <c r="D4799" s="1" t="s">
        <v>245</v>
      </c>
      <c r="E4799" s="1" t="s">
        <v>5</v>
      </c>
      <c r="F4799">
        <v>18</v>
      </c>
      <c r="G4799" s="1" t="str">
        <f>Ocupacao_DW[[#This Row],[data]]&amp;Ocupacao_DW[[#This Row],[profissional_id]]&amp;Ocupacao_DW[[#This Row],[local_id]]</f>
        <v>446381071718</v>
      </c>
      <c r="H4799" s="1">
        <f>_xlfn.XLOOKUP(Ocupacao_DW[[#This Row],[Concat]],Vagas!$H:$H,Vagas!$D:$D,"",0)</f>
        <v>0</v>
      </c>
    </row>
    <row r="4800" spans="1:8" x14ac:dyDescent="0.25">
      <c r="A4800" s="2">
        <v>44638</v>
      </c>
      <c r="B4800" s="1" t="s">
        <v>50</v>
      </c>
      <c r="C4800">
        <v>10785</v>
      </c>
      <c r="D4800" s="1" t="s">
        <v>237</v>
      </c>
      <c r="E4800" s="1" t="s">
        <v>5</v>
      </c>
      <c r="F4800">
        <v>15</v>
      </c>
      <c r="G4800" s="1" t="str">
        <f>Ocupacao_DW[[#This Row],[data]]&amp;Ocupacao_DW[[#This Row],[profissional_id]]&amp;Ocupacao_DW[[#This Row],[local_id]]</f>
        <v>446381078515</v>
      </c>
      <c r="H4800" s="1">
        <f>_xlfn.XLOOKUP(Ocupacao_DW[[#This Row],[Concat]],Vagas!$H:$H,Vagas!$D:$D,"",0)</f>
        <v>0</v>
      </c>
    </row>
    <row r="4801" spans="1:8" x14ac:dyDescent="0.25">
      <c r="A4801" s="2">
        <v>44644</v>
      </c>
      <c r="B4801" s="1" t="s">
        <v>49</v>
      </c>
      <c r="C4801">
        <v>3092</v>
      </c>
      <c r="D4801" s="1" t="s">
        <v>262</v>
      </c>
      <c r="E4801" s="1" t="s">
        <v>4</v>
      </c>
      <c r="F4801">
        <v>43</v>
      </c>
      <c r="G4801" s="1" t="str">
        <f>Ocupacao_DW[[#This Row],[data]]&amp;Ocupacao_DW[[#This Row],[profissional_id]]&amp;Ocupacao_DW[[#This Row],[local_id]]</f>
        <v>44644309243</v>
      </c>
      <c r="H4801" s="1">
        <f>_xlfn.XLOOKUP(Ocupacao_DW[[#This Row],[Concat]],Vagas!$H:$H,Vagas!$D:$D,"",0)</f>
        <v>0</v>
      </c>
    </row>
    <row r="4802" spans="1:8" x14ac:dyDescent="0.25">
      <c r="A4802" s="2">
        <v>44637</v>
      </c>
      <c r="B4802" s="1" t="s">
        <v>62</v>
      </c>
      <c r="C4802">
        <v>2567</v>
      </c>
      <c r="D4802" s="1" t="s">
        <v>198</v>
      </c>
      <c r="E4802" s="1" t="s">
        <v>5</v>
      </c>
      <c r="F4802">
        <v>18</v>
      </c>
      <c r="G4802" s="1" t="str">
        <f>Ocupacao_DW[[#This Row],[data]]&amp;Ocupacao_DW[[#This Row],[profissional_id]]&amp;Ocupacao_DW[[#This Row],[local_id]]</f>
        <v>44637256718</v>
      </c>
      <c r="H4802" s="1">
        <f>_xlfn.XLOOKUP(Ocupacao_DW[[#This Row],[Concat]],Vagas!$H:$H,Vagas!$D:$D,"",0)</f>
        <v>0</v>
      </c>
    </row>
    <row r="4803" spans="1:8" x14ac:dyDescent="0.25">
      <c r="A4803" s="2">
        <v>44646</v>
      </c>
      <c r="B4803" s="1" t="s">
        <v>52</v>
      </c>
      <c r="C4803">
        <v>60</v>
      </c>
      <c r="D4803" s="1" t="s">
        <v>217</v>
      </c>
      <c r="E4803" s="1" t="s">
        <v>6</v>
      </c>
      <c r="F4803">
        <v>6</v>
      </c>
      <c r="G4803" s="1" t="str">
        <f>Ocupacao_DW[[#This Row],[data]]&amp;Ocupacao_DW[[#This Row],[profissional_id]]&amp;Ocupacao_DW[[#This Row],[local_id]]</f>
        <v>44646606</v>
      </c>
      <c r="H4803" s="1">
        <f>_xlfn.XLOOKUP(Ocupacao_DW[[#This Row],[Concat]],Vagas!$H:$H,Vagas!$D:$D,"",0)</f>
        <v>0</v>
      </c>
    </row>
    <row r="4804" spans="1:8" x14ac:dyDescent="0.25">
      <c r="A4804" s="2">
        <v>44637</v>
      </c>
      <c r="B4804" s="1" t="s">
        <v>47</v>
      </c>
      <c r="C4804">
        <v>11207</v>
      </c>
      <c r="D4804" s="1" t="s">
        <v>251</v>
      </c>
      <c r="E4804" s="1" t="s">
        <v>4</v>
      </c>
      <c r="F4804">
        <v>51</v>
      </c>
      <c r="G4804" s="1" t="str">
        <f>Ocupacao_DW[[#This Row],[data]]&amp;Ocupacao_DW[[#This Row],[profissional_id]]&amp;Ocupacao_DW[[#This Row],[local_id]]</f>
        <v>446371120751</v>
      </c>
      <c r="H4804" s="1">
        <f>_xlfn.XLOOKUP(Ocupacao_DW[[#This Row],[Concat]],Vagas!$H:$H,Vagas!$D:$D,"",0)</f>
        <v>0</v>
      </c>
    </row>
    <row r="4805" spans="1:8" x14ac:dyDescent="0.25">
      <c r="A4805" s="2">
        <v>44637</v>
      </c>
      <c r="B4805" s="1" t="s">
        <v>49</v>
      </c>
      <c r="C4805">
        <v>3092</v>
      </c>
      <c r="D4805" s="1" t="s">
        <v>262</v>
      </c>
      <c r="E4805" s="1" t="s">
        <v>4</v>
      </c>
      <c r="F4805">
        <v>43</v>
      </c>
      <c r="G4805" s="1" t="str">
        <f>Ocupacao_DW[[#This Row],[data]]&amp;Ocupacao_DW[[#This Row],[profissional_id]]&amp;Ocupacao_DW[[#This Row],[local_id]]</f>
        <v>44637309243</v>
      </c>
      <c r="H4805" s="1">
        <f>_xlfn.XLOOKUP(Ocupacao_DW[[#This Row],[Concat]],Vagas!$H:$H,Vagas!$D:$D,"",0)</f>
        <v>0</v>
      </c>
    </row>
    <row r="4806" spans="1:8" x14ac:dyDescent="0.25">
      <c r="A4806" s="2">
        <v>44637</v>
      </c>
      <c r="B4806" s="1" t="s">
        <v>44</v>
      </c>
      <c r="C4806">
        <v>17908</v>
      </c>
      <c r="D4806" s="1" t="s">
        <v>296</v>
      </c>
      <c r="E4806" s="1" t="s">
        <v>167</v>
      </c>
      <c r="F4806">
        <v>25</v>
      </c>
      <c r="G4806" s="1" t="str">
        <f>Ocupacao_DW[[#This Row],[data]]&amp;Ocupacao_DW[[#This Row],[profissional_id]]&amp;Ocupacao_DW[[#This Row],[local_id]]</f>
        <v>446371790825</v>
      </c>
      <c r="H4806" s="1">
        <f>_xlfn.XLOOKUP(Ocupacao_DW[[#This Row],[Concat]],Vagas!$H:$H,Vagas!$D:$D,"",0)</f>
        <v>14</v>
      </c>
    </row>
    <row r="4807" spans="1:8" x14ac:dyDescent="0.25">
      <c r="A4807" s="2">
        <v>44638</v>
      </c>
      <c r="B4807" s="1" t="s">
        <v>52</v>
      </c>
      <c r="C4807">
        <v>55</v>
      </c>
      <c r="D4807" s="1" t="s">
        <v>244</v>
      </c>
      <c r="E4807" s="1" t="s">
        <v>7</v>
      </c>
      <c r="F4807">
        <v>68</v>
      </c>
      <c r="G4807" s="1" t="str">
        <f>Ocupacao_DW[[#This Row],[data]]&amp;Ocupacao_DW[[#This Row],[profissional_id]]&amp;Ocupacao_DW[[#This Row],[local_id]]</f>
        <v>446385568</v>
      </c>
      <c r="H4807" s="1">
        <f>_xlfn.XLOOKUP(Ocupacao_DW[[#This Row],[Concat]],Vagas!$H:$H,Vagas!$D:$D,"",0)</f>
        <v>0</v>
      </c>
    </row>
    <row r="4808" spans="1:8" x14ac:dyDescent="0.25">
      <c r="A4808" s="2">
        <v>44641</v>
      </c>
      <c r="B4808" s="1" t="s">
        <v>52</v>
      </c>
      <c r="C4808">
        <v>10946</v>
      </c>
      <c r="D4808" s="1" t="s">
        <v>209</v>
      </c>
      <c r="E4808" s="1" t="s">
        <v>6</v>
      </c>
      <c r="F4808">
        <v>3</v>
      </c>
      <c r="G4808" s="1" t="str">
        <f>Ocupacao_DW[[#This Row],[data]]&amp;Ocupacao_DW[[#This Row],[profissional_id]]&amp;Ocupacao_DW[[#This Row],[local_id]]</f>
        <v>44641109463</v>
      </c>
      <c r="H4808" s="1">
        <f>_xlfn.XLOOKUP(Ocupacao_DW[[#This Row],[Concat]],Vagas!$H:$H,Vagas!$D:$D,"",0)</f>
        <v>0</v>
      </c>
    </row>
    <row r="4809" spans="1:8" x14ac:dyDescent="0.25">
      <c r="A4809" s="2">
        <v>44643</v>
      </c>
      <c r="B4809" s="1" t="s">
        <v>52</v>
      </c>
      <c r="C4809">
        <v>10691</v>
      </c>
      <c r="D4809" s="1" t="s">
        <v>181</v>
      </c>
      <c r="E4809" s="1" t="s">
        <v>6</v>
      </c>
      <c r="F4809">
        <v>9</v>
      </c>
      <c r="G4809" s="1" t="str">
        <f>Ocupacao_DW[[#This Row],[data]]&amp;Ocupacao_DW[[#This Row],[profissional_id]]&amp;Ocupacao_DW[[#This Row],[local_id]]</f>
        <v>44643106919</v>
      </c>
      <c r="H4809" s="1">
        <f>_xlfn.XLOOKUP(Ocupacao_DW[[#This Row],[Concat]],Vagas!$H:$H,Vagas!$D:$D,"",0)</f>
        <v>0</v>
      </c>
    </row>
    <row r="4810" spans="1:8" x14ac:dyDescent="0.25">
      <c r="A4810" s="2">
        <v>44643</v>
      </c>
      <c r="B4810" s="1" t="s">
        <v>52</v>
      </c>
      <c r="C4810">
        <v>10691</v>
      </c>
      <c r="D4810" s="1" t="s">
        <v>181</v>
      </c>
      <c r="E4810" s="1" t="s">
        <v>6</v>
      </c>
      <c r="F4810">
        <v>9</v>
      </c>
      <c r="G4810" s="1" t="str">
        <f>Ocupacao_DW[[#This Row],[data]]&amp;Ocupacao_DW[[#This Row],[profissional_id]]&amp;Ocupacao_DW[[#This Row],[local_id]]</f>
        <v>44643106919</v>
      </c>
      <c r="H4810" s="1">
        <f>_xlfn.XLOOKUP(Ocupacao_DW[[#This Row],[Concat]],Vagas!$H:$H,Vagas!$D:$D,"",0)</f>
        <v>0</v>
      </c>
    </row>
    <row r="4811" spans="1:8" x14ac:dyDescent="0.25">
      <c r="A4811" s="2">
        <v>44643</v>
      </c>
      <c r="B4811" s="1" t="s">
        <v>52</v>
      </c>
      <c r="C4811">
        <v>10691</v>
      </c>
      <c r="D4811" s="1" t="s">
        <v>181</v>
      </c>
      <c r="E4811" s="1" t="s">
        <v>6</v>
      </c>
      <c r="F4811">
        <v>9</v>
      </c>
      <c r="G4811" s="1" t="str">
        <f>Ocupacao_DW[[#This Row],[data]]&amp;Ocupacao_DW[[#This Row],[profissional_id]]&amp;Ocupacao_DW[[#This Row],[local_id]]</f>
        <v>44643106919</v>
      </c>
      <c r="H4811" s="1">
        <f>_xlfn.XLOOKUP(Ocupacao_DW[[#This Row],[Concat]],Vagas!$H:$H,Vagas!$D:$D,"",0)</f>
        <v>0</v>
      </c>
    </row>
    <row r="4812" spans="1:8" x14ac:dyDescent="0.25">
      <c r="A4812" s="2">
        <v>44636</v>
      </c>
      <c r="B4812" s="1" t="s">
        <v>62</v>
      </c>
      <c r="C4812">
        <v>3502</v>
      </c>
      <c r="D4812" s="1" t="s">
        <v>214</v>
      </c>
      <c r="E4812" s="1" t="s">
        <v>5</v>
      </c>
      <c r="F4812">
        <v>16</v>
      </c>
      <c r="G4812" s="1" t="str">
        <f>Ocupacao_DW[[#This Row],[data]]&amp;Ocupacao_DW[[#This Row],[profissional_id]]&amp;Ocupacao_DW[[#This Row],[local_id]]</f>
        <v>44636350216</v>
      </c>
      <c r="H4812" s="1">
        <f>_xlfn.XLOOKUP(Ocupacao_DW[[#This Row],[Concat]],Vagas!$H:$H,Vagas!$D:$D,"",0)</f>
        <v>0</v>
      </c>
    </row>
    <row r="4813" spans="1:8" x14ac:dyDescent="0.25">
      <c r="A4813" s="2">
        <v>44658</v>
      </c>
      <c r="B4813" s="1" t="s">
        <v>55</v>
      </c>
      <c r="C4813">
        <v>74</v>
      </c>
      <c r="D4813" s="1" t="s">
        <v>182</v>
      </c>
      <c r="E4813" s="1" t="s">
        <v>6</v>
      </c>
      <c r="F4813">
        <v>7</v>
      </c>
      <c r="G4813" s="1" t="str">
        <f>Ocupacao_DW[[#This Row],[data]]&amp;Ocupacao_DW[[#This Row],[profissional_id]]&amp;Ocupacao_DW[[#This Row],[local_id]]</f>
        <v>44658747</v>
      </c>
      <c r="H4813" s="1">
        <f>_xlfn.XLOOKUP(Ocupacao_DW[[#This Row],[Concat]],Vagas!$H:$H,Vagas!$D:$D,"",0)</f>
        <v>7</v>
      </c>
    </row>
    <row r="4814" spans="1:8" x14ac:dyDescent="0.25">
      <c r="A4814" s="2">
        <v>44637</v>
      </c>
      <c r="B4814" s="1" t="s">
        <v>47</v>
      </c>
      <c r="C4814">
        <v>9111</v>
      </c>
      <c r="D4814" s="1" t="s">
        <v>206</v>
      </c>
      <c r="E4814" s="1" t="s">
        <v>4</v>
      </c>
      <c r="F4814">
        <v>334</v>
      </c>
      <c r="G4814" s="1" t="str">
        <f>Ocupacao_DW[[#This Row],[data]]&amp;Ocupacao_DW[[#This Row],[profissional_id]]&amp;Ocupacao_DW[[#This Row],[local_id]]</f>
        <v>446379111334</v>
      </c>
      <c r="H4814" s="1">
        <f>_xlfn.XLOOKUP(Ocupacao_DW[[#This Row],[Concat]],Vagas!$H:$H,Vagas!$D:$D,"",0)</f>
        <v>0</v>
      </c>
    </row>
    <row r="4815" spans="1:8" x14ac:dyDescent="0.25">
      <c r="A4815" s="2">
        <v>44643</v>
      </c>
      <c r="B4815" s="1" t="s">
        <v>60</v>
      </c>
      <c r="C4815">
        <v>14326</v>
      </c>
      <c r="D4815" s="1" t="s">
        <v>220</v>
      </c>
      <c r="E4815" s="1" t="s">
        <v>4</v>
      </c>
      <c r="F4815">
        <v>43</v>
      </c>
      <c r="G4815" s="1" t="str">
        <f>Ocupacao_DW[[#This Row],[data]]&amp;Ocupacao_DW[[#This Row],[profissional_id]]&amp;Ocupacao_DW[[#This Row],[local_id]]</f>
        <v>446431432643</v>
      </c>
      <c r="H4815" s="1">
        <f>_xlfn.XLOOKUP(Ocupacao_DW[[#This Row],[Concat]],Vagas!$H:$H,Vagas!$D:$D,"",0)</f>
        <v>0</v>
      </c>
    </row>
    <row r="4816" spans="1:8" x14ac:dyDescent="0.25">
      <c r="A4816" s="2">
        <v>44635</v>
      </c>
      <c r="B4816" s="1" t="s">
        <v>21</v>
      </c>
      <c r="C4816">
        <v>17892</v>
      </c>
      <c r="D4816" s="1" t="s">
        <v>287</v>
      </c>
      <c r="E4816" s="1" t="s">
        <v>7</v>
      </c>
      <c r="F4816">
        <v>55</v>
      </c>
      <c r="G4816" s="1" t="str">
        <f>Ocupacao_DW[[#This Row],[data]]&amp;Ocupacao_DW[[#This Row],[profissional_id]]&amp;Ocupacao_DW[[#This Row],[local_id]]</f>
        <v>446351789255</v>
      </c>
      <c r="H4816" s="1">
        <f>_xlfn.XLOOKUP(Ocupacao_DW[[#This Row],[Concat]],Vagas!$H:$H,Vagas!$D:$D,"",0)</f>
        <v>1</v>
      </c>
    </row>
    <row r="4817" spans="1:8" x14ac:dyDescent="0.25">
      <c r="A4817" s="2">
        <v>44645</v>
      </c>
      <c r="B4817" s="1" t="s">
        <v>66</v>
      </c>
      <c r="C4817">
        <v>1343</v>
      </c>
      <c r="D4817" s="1" t="s">
        <v>263</v>
      </c>
      <c r="E4817" s="1" t="s">
        <v>167</v>
      </c>
      <c r="F4817">
        <v>342</v>
      </c>
      <c r="G4817" s="1" t="str">
        <f>Ocupacao_DW[[#This Row],[data]]&amp;Ocupacao_DW[[#This Row],[profissional_id]]&amp;Ocupacao_DW[[#This Row],[local_id]]</f>
        <v>446451343342</v>
      </c>
      <c r="H4817" s="1">
        <f>_xlfn.XLOOKUP(Ocupacao_DW[[#This Row],[Concat]],Vagas!$H:$H,Vagas!$D:$D,"",0)</f>
        <v>0</v>
      </c>
    </row>
    <row r="4818" spans="1:8" x14ac:dyDescent="0.25">
      <c r="A4818" s="2">
        <v>44646</v>
      </c>
      <c r="B4818" s="1" t="s">
        <v>47</v>
      </c>
      <c r="C4818">
        <v>111</v>
      </c>
      <c r="D4818" s="1" t="s">
        <v>199</v>
      </c>
      <c r="E4818" s="1" t="s">
        <v>4</v>
      </c>
      <c r="F4818">
        <v>51</v>
      </c>
      <c r="G4818" s="1" t="str">
        <f>Ocupacao_DW[[#This Row],[data]]&amp;Ocupacao_DW[[#This Row],[profissional_id]]&amp;Ocupacao_DW[[#This Row],[local_id]]</f>
        <v>4464611151</v>
      </c>
      <c r="H4818" s="1">
        <f>_xlfn.XLOOKUP(Ocupacao_DW[[#This Row],[Concat]],Vagas!$H:$H,Vagas!$D:$D,"",0)</f>
        <v>31</v>
      </c>
    </row>
    <row r="4819" spans="1:8" x14ac:dyDescent="0.25">
      <c r="A4819" s="2">
        <v>44635</v>
      </c>
      <c r="B4819" s="1" t="s">
        <v>46</v>
      </c>
      <c r="C4819">
        <v>17888</v>
      </c>
      <c r="D4819" s="1" t="s">
        <v>255</v>
      </c>
      <c r="E4819" s="1" t="s">
        <v>4</v>
      </c>
      <c r="F4819">
        <v>40</v>
      </c>
      <c r="G4819" s="1" t="str">
        <f>Ocupacao_DW[[#This Row],[data]]&amp;Ocupacao_DW[[#This Row],[profissional_id]]&amp;Ocupacao_DW[[#This Row],[local_id]]</f>
        <v>446351788840</v>
      </c>
      <c r="H4819" s="1">
        <f>_xlfn.XLOOKUP(Ocupacao_DW[[#This Row],[Concat]],Vagas!$H:$H,Vagas!$D:$D,"",0)</f>
        <v>11</v>
      </c>
    </row>
    <row r="4820" spans="1:8" x14ac:dyDescent="0.25">
      <c r="A4820" s="2">
        <v>44651</v>
      </c>
      <c r="B4820" s="1" t="s">
        <v>46</v>
      </c>
      <c r="C4820">
        <v>17888</v>
      </c>
      <c r="D4820" s="1" t="s">
        <v>255</v>
      </c>
      <c r="E4820" s="1" t="s">
        <v>4</v>
      </c>
      <c r="F4820">
        <v>40</v>
      </c>
      <c r="G4820" s="1" t="str">
        <f>Ocupacao_DW[[#This Row],[data]]&amp;Ocupacao_DW[[#This Row],[profissional_id]]&amp;Ocupacao_DW[[#This Row],[local_id]]</f>
        <v>446511788840</v>
      </c>
      <c r="H4820" s="1" t="str">
        <f>_xlfn.XLOOKUP(Ocupacao_DW[[#This Row],[Concat]],Vagas!$H:$H,Vagas!$D:$D,"",0)</f>
        <v/>
      </c>
    </row>
    <row r="4821" spans="1:8" x14ac:dyDescent="0.25">
      <c r="A4821" s="2">
        <v>44635</v>
      </c>
      <c r="B4821" s="1" t="s">
        <v>46</v>
      </c>
      <c r="C4821">
        <v>17889</v>
      </c>
      <c r="D4821" s="1" t="s">
        <v>280</v>
      </c>
      <c r="E4821" s="1" t="s">
        <v>7</v>
      </c>
      <c r="F4821">
        <v>59</v>
      </c>
      <c r="G4821" s="1" t="str">
        <f>Ocupacao_DW[[#This Row],[data]]&amp;Ocupacao_DW[[#This Row],[profissional_id]]&amp;Ocupacao_DW[[#This Row],[local_id]]</f>
        <v>446351788959</v>
      </c>
      <c r="H4821" s="1">
        <f>_xlfn.XLOOKUP(Ocupacao_DW[[#This Row],[Concat]],Vagas!$H:$H,Vagas!$D:$D,"",0)</f>
        <v>29</v>
      </c>
    </row>
    <row r="4822" spans="1:8" x14ac:dyDescent="0.25">
      <c r="A4822" s="2">
        <v>44637</v>
      </c>
      <c r="B4822" s="1" t="s">
        <v>66</v>
      </c>
      <c r="C4822">
        <v>100</v>
      </c>
      <c r="D4822" s="1" t="s">
        <v>166</v>
      </c>
      <c r="E4822" s="1" t="s">
        <v>167</v>
      </c>
      <c r="F4822">
        <v>342</v>
      </c>
      <c r="G4822" s="1" t="str">
        <f>Ocupacao_DW[[#This Row],[data]]&amp;Ocupacao_DW[[#This Row],[profissional_id]]&amp;Ocupacao_DW[[#This Row],[local_id]]</f>
        <v>44637100342</v>
      </c>
      <c r="H4822" s="1">
        <f>_xlfn.XLOOKUP(Ocupacao_DW[[#This Row],[Concat]],Vagas!$H:$H,Vagas!$D:$D,"",0)</f>
        <v>0</v>
      </c>
    </row>
    <row r="4823" spans="1:8" x14ac:dyDescent="0.25">
      <c r="A4823" s="2">
        <v>44639</v>
      </c>
      <c r="B4823" s="1" t="s">
        <v>46</v>
      </c>
      <c r="C4823">
        <v>17888</v>
      </c>
      <c r="D4823" s="1" t="s">
        <v>255</v>
      </c>
      <c r="E4823" s="1" t="s">
        <v>4</v>
      </c>
      <c r="F4823">
        <v>40</v>
      </c>
      <c r="G4823" s="1" t="str">
        <f>Ocupacao_DW[[#This Row],[data]]&amp;Ocupacao_DW[[#This Row],[profissional_id]]&amp;Ocupacao_DW[[#This Row],[local_id]]</f>
        <v>446391788840</v>
      </c>
      <c r="H4823" s="1">
        <f>_xlfn.XLOOKUP(Ocupacao_DW[[#This Row],[Concat]],Vagas!$H:$H,Vagas!$D:$D,"",0)</f>
        <v>10</v>
      </c>
    </row>
    <row r="4824" spans="1:8" x14ac:dyDescent="0.25">
      <c r="A4824" s="2">
        <v>44641</v>
      </c>
      <c r="B4824" s="1" t="s">
        <v>55</v>
      </c>
      <c r="C4824">
        <v>60</v>
      </c>
      <c r="D4824" s="1" t="s">
        <v>217</v>
      </c>
      <c r="E4824" s="1" t="s">
        <v>167</v>
      </c>
      <c r="F4824">
        <v>345</v>
      </c>
      <c r="G4824" s="1" t="str">
        <f>Ocupacao_DW[[#This Row],[data]]&amp;Ocupacao_DW[[#This Row],[profissional_id]]&amp;Ocupacao_DW[[#This Row],[local_id]]</f>
        <v>4464160345</v>
      </c>
      <c r="H4824" s="1">
        <f>_xlfn.XLOOKUP(Ocupacao_DW[[#This Row],[Concat]],Vagas!$H:$H,Vagas!$D:$D,"",0)</f>
        <v>0</v>
      </c>
    </row>
    <row r="4825" spans="1:8" x14ac:dyDescent="0.25">
      <c r="A4825" s="2">
        <v>44638</v>
      </c>
      <c r="B4825" s="1" t="s">
        <v>52</v>
      </c>
      <c r="C4825">
        <v>60</v>
      </c>
      <c r="D4825" s="1" t="s">
        <v>217</v>
      </c>
      <c r="E4825" s="1" t="s">
        <v>167</v>
      </c>
      <c r="F4825">
        <v>348</v>
      </c>
      <c r="G4825" s="1" t="str">
        <f>Ocupacao_DW[[#This Row],[data]]&amp;Ocupacao_DW[[#This Row],[profissional_id]]&amp;Ocupacao_DW[[#This Row],[local_id]]</f>
        <v>4463860348</v>
      </c>
      <c r="H4825" s="1">
        <f>_xlfn.XLOOKUP(Ocupacao_DW[[#This Row],[Concat]],Vagas!$H:$H,Vagas!$D:$D,"",0)</f>
        <v>0</v>
      </c>
    </row>
    <row r="4826" spans="1:8" x14ac:dyDescent="0.25">
      <c r="A4826" s="2">
        <v>44638</v>
      </c>
      <c r="B4826" s="1" t="s">
        <v>72</v>
      </c>
      <c r="C4826">
        <v>13479</v>
      </c>
      <c r="D4826" s="1" t="s">
        <v>203</v>
      </c>
      <c r="E4826" s="1" t="s">
        <v>200</v>
      </c>
      <c r="F4826">
        <v>83</v>
      </c>
      <c r="G4826" s="1" t="str">
        <f>Ocupacao_DW[[#This Row],[data]]&amp;Ocupacao_DW[[#This Row],[profissional_id]]&amp;Ocupacao_DW[[#This Row],[local_id]]</f>
        <v>446381347983</v>
      </c>
      <c r="H4826" s="1">
        <f>_xlfn.XLOOKUP(Ocupacao_DW[[#This Row],[Concat]],Vagas!$H:$H,Vagas!$D:$D,"",0)</f>
        <v>0</v>
      </c>
    </row>
    <row r="4827" spans="1:8" x14ac:dyDescent="0.25">
      <c r="A4827" s="2">
        <v>44643</v>
      </c>
      <c r="B4827" s="1" t="s">
        <v>70</v>
      </c>
      <c r="C4827">
        <v>12825</v>
      </c>
      <c r="D4827" s="1" t="s">
        <v>177</v>
      </c>
      <c r="E4827" s="1" t="s">
        <v>4</v>
      </c>
      <c r="F4827">
        <v>45</v>
      </c>
      <c r="G4827" s="1" t="str">
        <f>Ocupacao_DW[[#This Row],[data]]&amp;Ocupacao_DW[[#This Row],[profissional_id]]&amp;Ocupacao_DW[[#This Row],[local_id]]</f>
        <v>446431282545</v>
      </c>
      <c r="H4827" s="1">
        <f>_xlfn.XLOOKUP(Ocupacao_DW[[#This Row],[Concat]],Vagas!$H:$H,Vagas!$D:$D,"",0)</f>
        <v>0</v>
      </c>
    </row>
    <row r="4828" spans="1:8" x14ac:dyDescent="0.25">
      <c r="A4828" s="2">
        <v>44638</v>
      </c>
      <c r="B4828" s="1" t="s">
        <v>46</v>
      </c>
      <c r="C4828">
        <v>17888</v>
      </c>
      <c r="D4828" s="1" t="s">
        <v>255</v>
      </c>
      <c r="E4828" s="1" t="s">
        <v>4</v>
      </c>
      <c r="F4828">
        <v>40</v>
      </c>
      <c r="G4828" s="1" t="str">
        <f>Ocupacao_DW[[#This Row],[data]]&amp;Ocupacao_DW[[#This Row],[profissional_id]]&amp;Ocupacao_DW[[#This Row],[local_id]]</f>
        <v>446381788840</v>
      </c>
      <c r="H4828" s="1">
        <f>_xlfn.XLOOKUP(Ocupacao_DW[[#This Row],[Concat]],Vagas!$H:$H,Vagas!$D:$D,"",0)</f>
        <v>21</v>
      </c>
    </row>
    <row r="4829" spans="1:8" x14ac:dyDescent="0.25">
      <c r="A4829" s="2">
        <v>44642</v>
      </c>
      <c r="B4829" s="1" t="s">
        <v>47</v>
      </c>
      <c r="C4829">
        <v>111</v>
      </c>
      <c r="D4829" s="1" t="s">
        <v>199</v>
      </c>
      <c r="E4829" s="1" t="s">
        <v>4</v>
      </c>
      <c r="F4829">
        <v>51</v>
      </c>
      <c r="G4829" s="1" t="str">
        <f>Ocupacao_DW[[#This Row],[data]]&amp;Ocupacao_DW[[#This Row],[profissional_id]]&amp;Ocupacao_DW[[#This Row],[local_id]]</f>
        <v>4464211151</v>
      </c>
      <c r="H4829" s="1">
        <f>_xlfn.XLOOKUP(Ocupacao_DW[[#This Row],[Concat]],Vagas!$H:$H,Vagas!$D:$D,"",0)</f>
        <v>25</v>
      </c>
    </row>
    <row r="4830" spans="1:8" x14ac:dyDescent="0.25">
      <c r="A4830" s="2">
        <v>44636</v>
      </c>
      <c r="B4830" s="1" t="s">
        <v>21</v>
      </c>
      <c r="C4830">
        <v>17890</v>
      </c>
      <c r="D4830" s="1" t="s">
        <v>270</v>
      </c>
      <c r="E4830" s="1" t="s">
        <v>6</v>
      </c>
      <c r="F4830">
        <v>4</v>
      </c>
      <c r="G4830" s="1" t="str">
        <f>Ocupacao_DW[[#This Row],[data]]&amp;Ocupacao_DW[[#This Row],[profissional_id]]&amp;Ocupacao_DW[[#This Row],[local_id]]</f>
        <v>44636178904</v>
      </c>
      <c r="H4830" s="1">
        <f>_xlfn.XLOOKUP(Ocupacao_DW[[#This Row],[Concat]],Vagas!$H:$H,Vagas!$D:$D,"",0)</f>
        <v>5</v>
      </c>
    </row>
    <row r="4831" spans="1:8" x14ac:dyDescent="0.25">
      <c r="A4831" s="2">
        <v>44637</v>
      </c>
      <c r="B4831" s="1" t="s">
        <v>46</v>
      </c>
      <c r="C4831">
        <v>17888</v>
      </c>
      <c r="D4831" s="1" t="s">
        <v>255</v>
      </c>
      <c r="E4831" s="1" t="s">
        <v>4</v>
      </c>
      <c r="F4831">
        <v>40</v>
      </c>
      <c r="G4831" s="1" t="str">
        <f>Ocupacao_DW[[#This Row],[data]]&amp;Ocupacao_DW[[#This Row],[profissional_id]]&amp;Ocupacao_DW[[#This Row],[local_id]]</f>
        <v>446371788840</v>
      </c>
      <c r="H4831" s="1">
        <f>_xlfn.XLOOKUP(Ocupacao_DW[[#This Row],[Concat]],Vagas!$H:$H,Vagas!$D:$D,"",0)</f>
        <v>20</v>
      </c>
    </row>
    <row r="4832" spans="1:8" x14ac:dyDescent="0.25">
      <c r="A4832" s="2">
        <v>44649</v>
      </c>
      <c r="B4832" s="1" t="s">
        <v>49</v>
      </c>
      <c r="C4832">
        <v>17918</v>
      </c>
      <c r="D4832" s="1" t="s">
        <v>265</v>
      </c>
      <c r="E4832" s="1" t="s">
        <v>288</v>
      </c>
      <c r="F4832">
        <v>378</v>
      </c>
      <c r="G4832" s="1" t="str">
        <f>Ocupacao_DW[[#This Row],[data]]&amp;Ocupacao_DW[[#This Row],[profissional_id]]&amp;Ocupacao_DW[[#This Row],[local_id]]</f>
        <v>4464917918378</v>
      </c>
      <c r="H4832" s="1">
        <f>_xlfn.XLOOKUP(Ocupacao_DW[[#This Row],[Concat]],Vagas!$H:$H,Vagas!$D:$D,"",0)</f>
        <v>0</v>
      </c>
    </row>
    <row r="4833" spans="1:8" x14ac:dyDescent="0.25">
      <c r="A4833" s="2">
        <v>44635</v>
      </c>
      <c r="B4833" s="1" t="s">
        <v>46</v>
      </c>
      <c r="C4833">
        <v>17888</v>
      </c>
      <c r="D4833" s="1" t="s">
        <v>255</v>
      </c>
      <c r="E4833" s="1" t="s">
        <v>4</v>
      </c>
      <c r="F4833">
        <v>40</v>
      </c>
      <c r="G4833" s="1" t="str">
        <f>Ocupacao_DW[[#This Row],[data]]&amp;Ocupacao_DW[[#This Row],[profissional_id]]&amp;Ocupacao_DW[[#This Row],[local_id]]</f>
        <v>446351788840</v>
      </c>
      <c r="H4833" s="1">
        <f>_xlfn.XLOOKUP(Ocupacao_DW[[#This Row],[Concat]],Vagas!$H:$H,Vagas!$D:$D,"",0)</f>
        <v>11</v>
      </c>
    </row>
    <row r="4834" spans="1:8" x14ac:dyDescent="0.25">
      <c r="A4834" s="2">
        <v>44635</v>
      </c>
      <c r="B4834" s="1" t="s">
        <v>46</v>
      </c>
      <c r="C4834">
        <v>17888</v>
      </c>
      <c r="D4834" s="1" t="s">
        <v>255</v>
      </c>
      <c r="E4834" s="1" t="s">
        <v>4</v>
      </c>
      <c r="F4834">
        <v>40</v>
      </c>
      <c r="G4834" s="1" t="str">
        <f>Ocupacao_DW[[#This Row],[data]]&amp;Ocupacao_DW[[#This Row],[profissional_id]]&amp;Ocupacao_DW[[#This Row],[local_id]]</f>
        <v>446351788840</v>
      </c>
      <c r="H4834" s="1">
        <f>_xlfn.XLOOKUP(Ocupacao_DW[[#This Row],[Concat]],Vagas!$H:$H,Vagas!$D:$D,"",0)</f>
        <v>11</v>
      </c>
    </row>
    <row r="4835" spans="1:8" x14ac:dyDescent="0.25">
      <c r="A4835" s="2">
        <v>44639</v>
      </c>
      <c r="B4835" s="1" t="s">
        <v>46</v>
      </c>
      <c r="C4835">
        <v>17888</v>
      </c>
      <c r="D4835" s="1" t="s">
        <v>255</v>
      </c>
      <c r="E4835" s="1" t="s">
        <v>4</v>
      </c>
      <c r="F4835">
        <v>40</v>
      </c>
      <c r="G4835" s="1" t="str">
        <f>Ocupacao_DW[[#This Row],[data]]&amp;Ocupacao_DW[[#This Row],[profissional_id]]&amp;Ocupacao_DW[[#This Row],[local_id]]</f>
        <v>446391788840</v>
      </c>
      <c r="H4835" s="1">
        <f>_xlfn.XLOOKUP(Ocupacao_DW[[#This Row],[Concat]],Vagas!$H:$H,Vagas!$D:$D,"",0)</f>
        <v>10</v>
      </c>
    </row>
    <row r="4836" spans="1:8" x14ac:dyDescent="0.25">
      <c r="A4836" s="2">
        <v>44635</v>
      </c>
      <c r="B4836" s="1" t="s">
        <v>64</v>
      </c>
      <c r="C4836">
        <v>85</v>
      </c>
      <c r="D4836" s="1" t="s">
        <v>211</v>
      </c>
      <c r="E4836" s="1" t="s">
        <v>5</v>
      </c>
      <c r="F4836">
        <v>349</v>
      </c>
      <c r="G4836" s="1" t="str">
        <f>Ocupacao_DW[[#This Row],[data]]&amp;Ocupacao_DW[[#This Row],[profissional_id]]&amp;Ocupacao_DW[[#This Row],[local_id]]</f>
        <v>4463585349</v>
      </c>
      <c r="H4836" s="1">
        <f>_xlfn.XLOOKUP(Ocupacao_DW[[#This Row],[Concat]],Vagas!$H:$H,Vagas!$D:$D,"",0)</f>
        <v>0</v>
      </c>
    </row>
    <row r="4837" spans="1:8" x14ac:dyDescent="0.25">
      <c r="A4837" s="2">
        <v>44639</v>
      </c>
      <c r="B4837" s="1" t="s">
        <v>20</v>
      </c>
      <c r="C4837">
        <v>174</v>
      </c>
      <c r="D4837" s="1" t="s">
        <v>230</v>
      </c>
      <c r="E4837" s="1" t="s">
        <v>167</v>
      </c>
      <c r="F4837">
        <v>24</v>
      </c>
      <c r="G4837" s="1" t="str">
        <f>Ocupacao_DW[[#This Row],[data]]&amp;Ocupacao_DW[[#This Row],[profissional_id]]&amp;Ocupacao_DW[[#This Row],[local_id]]</f>
        <v>4463917424</v>
      </c>
      <c r="H4837" s="1">
        <f>_xlfn.XLOOKUP(Ocupacao_DW[[#This Row],[Concat]],Vagas!$H:$H,Vagas!$D:$D,"",0)</f>
        <v>53</v>
      </c>
    </row>
    <row r="4838" spans="1:8" x14ac:dyDescent="0.25">
      <c r="A4838" s="2">
        <v>44635</v>
      </c>
      <c r="B4838" s="1" t="s">
        <v>20</v>
      </c>
      <c r="C4838">
        <v>174</v>
      </c>
      <c r="D4838" s="1" t="s">
        <v>230</v>
      </c>
      <c r="E4838" s="1" t="s">
        <v>167</v>
      </c>
      <c r="F4838">
        <v>24</v>
      </c>
      <c r="G4838" s="1" t="str">
        <f>Ocupacao_DW[[#This Row],[data]]&amp;Ocupacao_DW[[#This Row],[profissional_id]]&amp;Ocupacao_DW[[#This Row],[local_id]]</f>
        <v>4463517424</v>
      </c>
      <c r="H4838" s="1">
        <f>_xlfn.XLOOKUP(Ocupacao_DW[[#This Row],[Concat]],Vagas!$H:$H,Vagas!$D:$D,"",0)</f>
        <v>66</v>
      </c>
    </row>
    <row r="4839" spans="1:8" x14ac:dyDescent="0.25">
      <c r="A4839" s="2">
        <v>44643</v>
      </c>
      <c r="B4839" s="1" t="s">
        <v>47</v>
      </c>
      <c r="C4839">
        <v>110</v>
      </c>
      <c r="D4839" s="1" t="s">
        <v>193</v>
      </c>
      <c r="E4839" s="1" t="s">
        <v>4</v>
      </c>
      <c r="F4839">
        <v>334</v>
      </c>
      <c r="G4839" s="1" t="str">
        <f>Ocupacao_DW[[#This Row],[data]]&amp;Ocupacao_DW[[#This Row],[profissional_id]]&amp;Ocupacao_DW[[#This Row],[local_id]]</f>
        <v>44643110334</v>
      </c>
      <c r="H4839" s="1">
        <f>_xlfn.XLOOKUP(Ocupacao_DW[[#This Row],[Concat]],Vagas!$H:$H,Vagas!$D:$D,"",0)</f>
        <v>0</v>
      </c>
    </row>
    <row r="4840" spans="1:8" x14ac:dyDescent="0.25">
      <c r="A4840" s="2">
        <v>44635</v>
      </c>
      <c r="B4840" s="1" t="s">
        <v>20</v>
      </c>
      <c r="C4840">
        <v>174</v>
      </c>
      <c r="D4840" s="1" t="s">
        <v>230</v>
      </c>
      <c r="E4840" s="1" t="s">
        <v>167</v>
      </c>
      <c r="F4840">
        <v>24</v>
      </c>
      <c r="G4840" s="1" t="str">
        <f>Ocupacao_DW[[#This Row],[data]]&amp;Ocupacao_DW[[#This Row],[profissional_id]]&amp;Ocupacao_DW[[#This Row],[local_id]]</f>
        <v>4463517424</v>
      </c>
      <c r="H4840" s="1">
        <f>_xlfn.XLOOKUP(Ocupacao_DW[[#This Row],[Concat]],Vagas!$H:$H,Vagas!$D:$D,"",0)</f>
        <v>66</v>
      </c>
    </row>
    <row r="4841" spans="1:8" x14ac:dyDescent="0.25">
      <c r="A4841" s="2">
        <v>44635</v>
      </c>
      <c r="B4841" s="1" t="s">
        <v>42</v>
      </c>
      <c r="C4841">
        <v>17902</v>
      </c>
      <c r="D4841" s="1" t="s">
        <v>264</v>
      </c>
      <c r="E4841" s="1" t="s">
        <v>4</v>
      </c>
      <c r="F4841">
        <v>39</v>
      </c>
      <c r="G4841" s="1" t="str">
        <f>Ocupacao_DW[[#This Row],[data]]&amp;Ocupacao_DW[[#This Row],[profissional_id]]&amp;Ocupacao_DW[[#This Row],[local_id]]</f>
        <v>446351790239</v>
      </c>
      <c r="H4841" s="1">
        <f>_xlfn.XLOOKUP(Ocupacao_DW[[#This Row],[Concat]],Vagas!$H:$H,Vagas!$D:$D,"",0)</f>
        <v>39</v>
      </c>
    </row>
    <row r="4842" spans="1:8" x14ac:dyDescent="0.25">
      <c r="A4842" s="2">
        <v>44635</v>
      </c>
      <c r="B4842" s="1" t="s">
        <v>42</v>
      </c>
      <c r="C4842">
        <v>17902</v>
      </c>
      <c r="D4842" s="1" t="s">
        <v>264</v>
      </c>
      <c r="E4842" s="1" t="s">
        <v>4</v>
      </c>
      <c r="F4842">
        <v>39</v>
      </c>
      <c r="G4842" s="1" t="str">
        <f>Ocupacao_DW[[#This Row],[data]]&amp;Ocupacao_DW[[#This Row],[profissional_id]]&amp;Ocupacao_DW[[#This Row],[local_id]]</f>
        <v>446351790239</v>
      </c>
      <c r="H4842" s="1">
        <f>_xlfn.XLOOKUP(Ocupacao_DW[[#This Row],[Concat]],Vagas!$H:$H,Vagas!$D:$D,"",0)</f>
        <v>39</v>
      </c>
    </row>
    <row r="4843" spans="1:8" x14ac:dyDescent="0.25">
      <c r="A4843" s="2">
        <v>44642</v>
      </c>
      <c r="B4843" s="1" t="s">
        <v>55</v>
      </c>
      <c r="C4843">
        <v>60</v>
      </c>
      <c r="D4843" s="1" t="s">
        <v>217</v>
      </c>
      <c r="E4843" s="1" t="s">
        <v>167</v>
      </c>
      <c r="F4843">
        <v>345</v>
      </c>
      <c r="G4843" s="1" t="str">
        <f>Ocupacao_DW[[#This Row],[data]]&amp;Ocupacao_DW[[#This Row],[profissional_id]]&amp;Ocupacao_DW[[#This Row],[local_id]]</f>
        <v>4464260345</v>
      </c>
      <c r="H4843" s="1">
        <f>_xlfn.XLOOKUP(Ocupacao_DW[[#This Row],[Concat]],Vagas!$H:$H,Vagas!$D:$D,"",0)</f>
        <v>0</v>
      </c>
    </row>
    <row r="4844" spans="1:8" x14ac:dyDescent="0.25">
      <c r="A4844" s="2">
        <v>44635</v>
      </c>
      <c r="B4844" s="1" t="s">
        <v>42</v>
      </c>
      <c r="C4844">
        <v>17902</v>
      </c>
      <c r="D4844" s="1" t="s">
        <v>264</v>
      </c>
      <c r="E4844" s="1" t="s">
        <v>4</v>
      </c>
      <c r="F4844">
        <v>39</v>
      </c>
      <c r="G4844" s="1" t="str">
        <f>Ocupacao_DW[[#This Row],[data]]&amp;Ocupacao_DW[[#This Row],[profissional_id]]&amp;Ocupacao_DW[[#This Row],[local_id]]</f>
        <v>446351790239</v>
      </c>
      <c r="H4844" s="1">
        <f>_xlfn.XLOOKUP(Ocupacao_DW[[#This Row],[Concat]],Vagas!$H:$H,Vagas!$D:$D,"",0)</f>
        <v>39</v>
      </c>
    </row>
    <row r="4845" spans="1:8" x14ac:dyDescent="0.25">
      <c r="A4845" s="2">
        <v>44635</v>
      </c>
      <c r="B4845" s="1" t="s">
        <v>42</v>
      </c>
      <c r="C4845">
        <v>17902</v>
      </c>
      <c r="D4845" s="1" t="s">
        <v>264</v>
      </c>
      <c r="E4845" s="1" t="s">
        <v>4</v>
      </c>
      <c r="F4845">
        <v>39</v>
      </c>
      <c r="G4845" s="1" t="str">
        <f>Ocupacao_DW[[#This Row],[data]]&amp;Ocupacao_DW[[#This Row],[profissional_id]]&amp;Ocupacao_DW[[#This Row],[local_id]]</f>
        <v>446351790239</v>
      </c>
      <c r="H4845" s="1">
        <f>_xlfn.XLOOKUP(Ocupacao_DW[[#This Row],[Concat]],Vagas!$H:$H,Vagas!$D:$D,"",0)</f>
        <v>39</v>
      </c>
    </row>
    <row r="4846" spans="1:8" x14ac:dyDescent="0.25">
      <c r="A4846" s="2">
        <v>44636</v>
      </c>
      <c r="B4846" s="1" t="s">
        <v>42</v>
      </c>
      <c r="C4846">
        <v>17902</v>
      </c>
      <c r="D4846" s="1" t="s">
        <v>264</v>
      </c>
      <c r="E4846" s="1" t="s">
        <v>4</v>
      </c>
      <c r="F4846">
        <v>39</v>
      </c>
      <c r="G4846" s="1" t="str">
        <f>Ocupacao_DW[[#This Row],[data]]&amp;Ocupacao_DW[[#This Row],[profissional_id]]&amp;Ocupacao_DW[[#This Row],[local_id]]</f>
        <v>446361790239</v>
      </c>
      <c r="H4846" s="1">
        <f>_xlfn.XLOOKUP(Ocupacao_DW[[#This Row],[Concat]],Vagas!$H:$H,Vagas!$D:$D,"",0)</f>
        <v>47</v>
      </c>
    </row>
    <row r="4847" spans="1:8" x14ac:dyDescent="0.25">
      <c r="A4847" s="2">
        <v>44651</v>
      </c>
      <c r="B4847" s="1" t="s">
        <v>50</v>
      </c>
      <c r="C4847">
        <v>4814</v>
      </c>
      <c r="D4847" s="1" t="s">
        <v>189</v>
      </c>
      <c r="E4847" s="1" t="s">
        <v>5</v>
      </c>
      <c r="F4847">
        <v>14</v>
      </c>
      <c r="G4847" s="1" t="str">
        <f>Ocupacao_DW[[#This Row],[data]]&amp;Ocupacao_DW[[#This Row],[profissional_id]]&amp;Ocupacao_DW[[#This Row],[local_id]]</f>
        <v>44651481414</v>
      </c>
      <c r="H4847" s="1">
        <f>_xlfn.XLOOKUP(Ocupacao_DW[[#This Row],[Concat]],Vagas!$H:$H,Vagas!$D:$D,"",0)</f>
        <v>0</v>
      </c>
    </row>
    <row r="4848" spans="1:8" x14ac:dyDescent="0.25">
      <c r="A4848" s="2">
        <v>44639</v>
      </c>
      <c r="B4848" s="1" t="s">
        <v>72</v>
      </c>
      <c r="C4848">
        <v>6046</v>
      </c>
      <c r="D4848" s="1" t="s">
        <v>222</v>
      </c>
      <c r="E4848" s="1" t="s">
        <v>4</v>
      </c>
      <c r="F4848">
        <v>46</v>
      </c>
      <c r="G4848" s="1" t="str">
        <f>Ocupacao_DW[[#This Row],[data]]&amp;Ocupacao_DW[[#This Row],[profissional_id]]&amp;Ocupacao_DW[[#This Row],[local_id]]</f>
        <v>44639604646</v>
      </c>
      <c r="H4848" s="1">
        <f>_xlfn.XLOOKUP(Ocupacao_DW[[#This Row],[Concat]],Vagas!$H:$H,Vagas!$D:$D,"",0)</f>
        <v>0</v>
      </c>
    </row>
    <row r="4849" spans="1:8" x14ac:dyDescent="0.25">
      <c r="A4849" s="2">
        <v>44635</v>
      </c>
      <c r="B4849" s="1" t="s">
        <v>42</v>
      </c>
      <c r="C4849">
        <v>17902</v>
      </c>
      <c r="D4849" s="1" t="s">
        <v>264</v>
      </c>
      <c r="E4849" s="1" t="s">
        <v>4</v>
      </c>
      <c r="F4849">
        <v>39</v>
      </c>
      <c r="G4849" s="1" t="str">
        <f>Ocupacao_DW[[#This Row],[data]]&amp;Ocupacao_DW[[#This Row],[profissional_id]]&amp;Ocupacao_DW[[#This Row],[local_id]]</f>
        <v>446351790239</v>
      </c>
      <c r="H4849" s="1">
        <f>_xlfn.XLOOKUP(Ocupacao_DW[[#This Row],[Concat]],Vagas!$H:$H,Vagas!$D:$D,"",0)</f>
        <v>39</v>
      </c>
    </row>
    <row r="4850" spans="1:8" x14ac:dyDescent="0.25">
      <c r="A4850" s="2">
        <v>44636</v>
      </c>
      <c r="B4850" s="1" t="s">
        <v>71</v>
      </c>
      <c r="C4850">
        <v>282</v>
      </c>
      <c r="D4850" s="1" t="s">
        <v>210</v>
      </c>
      <c r="E4850" s="1" t="s">
        <v>4</v>
      </c>
      <c r="F4850">
        <v>46</v>
      </c>
      <c r="G4850" s="1" t="str">
        <f>Ocupacao_DW[[#This Row],[data]]&amp;Ocupacao_DW[[#This Row],[profissional_id]]&amp;Ocupacao_DW[[#This Row],[local_id]]</f>
        <v>4463628246</v>
      </c>
      <c r="H4850" s="1">
        <f>_xlfn.XLOOKUP(Ocupacao_DW[[#This Row],[Concat]],Vagas!$H:$H,Vagas!$D:$D,"",0)</f>
        <v>0</v>
      </c>
    </row>
    <row r="4851" spans="1:8" x14ac:dyDescent="0.25">
      <c r="A4851" s="2">
        <v>44656</v>
      </c>
      <c r="B4851" s="1" t="s">
        <v>20</v>
      </c>
      <c r="C4851">
        <v>174</v>
      </c>
      <c r="D4851" s="1" t="s">
        <v>230</v>
      </c>
      <c r="E4851" s="1" t="s">
        <v>167</v>
      </c>
      <c r="F4851">
        <v>24</v>
      </c>
      <c r="G4851" s="1" t="str">
        <f>Ocupacao_DW[[#This Row],[data]]&amp;Ocupacao_DW[[#This Row],[profissional_id]]&amp;Ocupacao_DW[[#This Row],[local_id]]</f>
        <v>4465617424</v>
      </c>
      <c r="H4851" s="1">
        <f>_xlfn.XLOOKUP(Ocupacao_DW[[#This Row],[Concat]],Vagas!$H:$H,Vagas!$D:$D,"",0)</f>
        <v>82</v>
      </c>
    </row>
    <row r="4852" spans="1:8" x14ac:dyDescent="0.25">
      <c r="A4852" s="2">
        <v>44658</v>
      </c>
      <c r="B4852" s="1" t="s">
        <v>55</v>
      </c>
      <c r="C4852">
        <v>74</v>
      </c>
      <c r="D4852" s="1" t="s">
        <v>182</v>
      </c>
      <c r="E4852" s="1" t="s">
        <v>6</v>
      </c>
      <c r="F4852">
        <v>7</v>
      </c>
      <c r="G4852" s="1" t="str">
        <f>Ocupacao_DW[[#This Row],[data]]&amp;Ocupacao_DW[[#This Row],[profissional_id]]&amp;Ocupacao_DW[[#This Row],[local_id]]</f>
        <v>44658747</v>
      </c>
      <c r="H4852" s="1">
        <f>_xlfn.XLOOKUP(Ocupacao_DW[[#This Row],[Concat]],Vagas!$H:$H,Vagas!$D:$D,"",0)</f>
        <v>7</v>
      </c>
    </row>
    <row r="4853" spans="1:8" x14ac:dyDescent="0.25">
      <c r="A4853" s="2">
        <v>44642</v>
      </c>
      <c r="B4853" s="1" t="s">
        <v>47</v>
      </c>
      <c r="C4853">
        <v>111</v>
      </c>
      <c r="D4853" s="1" t="s">
        <v>199</v>
      </c>
      <c r="E4853" s="1" t="s">
        <v>4</v>
      </c>
      <c r="F4853">
        <v>51</v>
      </c>
      <c r="G4853" s="1" t="str">
        <f>Ocupacao_DW[[#This Row],[data]]&amp;Ocupacao_DW[[#This Row],[profissional_id]]&amp;Ocupacao_DW[[#This Row],[local_id]]</f>
        <v>4464211151</v>
      </c>
      <c r="H4853" s="1">
        <f>_xlfn.XLOOKUP(Ocupacao_DW[[#This Row],[Concat]],Vagas!$H:$H,Vagas!$D:$D,"",0)</f>
        <v>25</v>
      </c>
    </row>
    <row r="4854" spans="1:8" x14ac:dyDescent="0.25">
      <c r="A4854" s="2">
        <v>44635</v>
      </c>
      <c r="B4854" s="1" t="s">
        <v>276</v>
      </c>
      <c r="C4854">
        <v>17883</v>
      </c>
      <c r="D4854" s="1" t="s">
        <v>277</v>
      </c>
      <c r="E4854" s="1" t="s">
        <v>4</v>
      </c>
      <c r="F4854">
        <v>351</v>
      </c>
      <c r="G4854" s="1" t="str">
        <f>Ocupacao_DW[[#This Row],[data]]&amp;Ocupacao_DW[[#This Row],[profissional_id]]&amp;Ocupacao_DW[[#This Row],[local_id]]</f>
        <v>4463517883351</v>
      </c>
      <c r="H4854" s="1">
        <f>_xlfn.XLOOKUP(Ocupacao_DW[[#This Row],[Concat]],Vagas!$H:$H,Vagas!$D:$D,"",0)</f>
        <v>0</v>
      </c>
    </row>
    <row r="4855" spans="1:8" x14ac:dyDescent="0.25">
      <c r="A4855" s="2">
        <v>44638</v>
      </c>
      <c r="B4855" s="1" t="s">
        <v>54</v>
      </c>
      <c r="C4855">
        <v>69</v>
      </c>
      <c r="D4855" s="1" t="s">
        <v>238</v>
      </c>
      <c r="E4855" s="1" t="s">
        <v>5</v>
      </c>
      <c r="F4855">
        <v>13</v>
      </c>
      <c r="G4855" s="1" t="str">
        <f>Ocupacao_DW[[#This Row],[data]]&amp;Ocupacao_DW[[#This Row],[profissional_id]]&amp;Ocupacao_DW[[#This Row],[local_id]]</f>
        <v>446386913</v>
      </c>
      <c r="H4855" s="1">
        <f>_xlfn.XLOOKUP(Ocupacao_DW[[#This Row],[Concat]],Vagas!$H:$H,Vagas!$D:$D,"",0)</f>
        <v>0</v>
      </c>
    </row>
    <row r="4856" spans="1:8" x14ac:dyDescent="0.25">
      <c r="A4856" s="2">
        <v>44635</v>
      </c>
      <c r="B4856" s="1" t="s">
        <v>70</v>
      </c>
      <c r="C4856">
        <v>12825</v>
      </c>
      <c r="D4856" s="1" t="s">
        <v>177</v>
      </c>
      <c r="E4856" s="1" t="s">
        <v>7</v>
      </c>
      <c r="F4856">
        <v>63</v>
      </c>
      <c r="G4856" s="1" t="str">
        <f>Ocupacao_DW[[#This Row],[data]]&amp;Ocupacao_DW[[#This Row],[profissional_id]]&amp;Ocupacao_DW[[#This Row],[local_id]]</f>
        <v>446351282563</v>
      </c>
      <c r="H4856" s="1">
        <f>_xlfn.XLOOKUP(Ocupacao_DW[[#This Row],[Concat]],Vagas!$H:$H,Vagas!$D:$D,"",0)</f>
        <v>0</v>
      </c>
    </row>
    <row r="4857" spans="1:8" x14ac:dyDescent="0.25">
      <c r="A4857" s="2">
        <v>44639</v>
      </c>
      <c r="B4857" s="1" t="s">
        <v>54</v>
      </c>
      <c r="C4857">
        <v>70</v>
      </c>
      <c r="D4857" s="1" t="s">
        <v>187</v>
      </c>
      <c r="E4857" s="1" t="s">
        <v>5</v>
      </c>
      <c r="F4857">
        <v>13</v>
      </c>
      <c r="G4857" s="1" t="str">
        <f>Ocupacao_DW[[#This Row],[data]]&amp;Ocupacao_DW[[#This Row],[profissional_id]]&amp;Ocupacao_DW[[#This Row],[local_id]]</f>
        <v>446397013</v>
      </c>
      <c r="H4857" s="1">
        <f>_xlfn.XLOOKUP(Ocupacao_DW[[#This Row],[Concat]],Vagas!$H:$H,Vagas!$D:$D,"",0)</f>
        <v>0</v>
      </c>
    </row>
    <row r="4858" spans="1:8" x14ac:dyDescent="0.25">
      <c r="A4858" s="2">
        <v>44638</v>
      </c>
      <c r="B4858" s="1" t="s">
        <v>47</v>
      </c>
      <c r="C4858">
        <v>12679</v>
      </c>
      <c r="D4858" s="1" t="s">
        <v>192</v>
      </c>
      <c r="E4858" s="1" t="s">
        <v>4</v>
      </c>
      <c r="F4858">
        <v>336</v>
      </c>
      <c r="G4858" s="1" t="str">
        <f>Ocupacao_DW[[#This Row],[data]]&amp;Ocupacao_DW[[#This Row],[profissional_id]]&amp;Ocupacao_DW[[#This Row],[local_id]]</f>
        <v>4463812679336</v>
      </c>
      <c r="H4858" s="1">
        <f>_xlfn.XLOOKUP(Ocupacao_DW[[#This Row],[Concat]],Vagas!$H:$H,Vagas!$D:$D,"",0)</f>
        <v>0</v>
      </c>
    </row>
    <row r="4859" spans="1:8" x14ac:dyDescent="0.25">
      <c r="A4859" s="2">
        <v>44636</v>
      </c>
      <c r="B4859" s="1" t="s">
        <v>71</v>
      </c>
      <c r="C4859">
        <v>282</v>
      </c>
      <c r="D4859" s="1" t="s">
        <v>210</v>
      </c>
      <c r="E4859" s="1" t="s">
        <v>4</v>
      </c>
      <c r="F4859">
        <v>46</v>
      </c>
      <c r="G4859" s="1" t="str">
        <f>Ocupacao_DW[[#This Row],[data]]&amp;Ocupacao_DW[[#This Row],[profissional_id]]&amp;Ocupacao_DW[[#This Row],[local_id]]</f>
        <v>4463628246</v>
      </c>
      <c r="H4859" s="1">
        <f>_xlfn.XLOOKUP(Ocupacao_DW[[#This Row],[Concat]],Vagas!$H:$H,Vagas!$D:$D,"",0)</f>
        <v>0</v>
      </c>
    </row>
    <row r="4860" spans="1:8" x14ac:dyDescent="0.25">
      <c r="A4860" s="2">
        <v>44636</v>
      </c>
      <c r="B4860" s="1" t="s">
        <v>69</v>
      </c>
      <c r="C4860">
        <v>17878</v>
      </c>
      <c r="D4860" s="1" t="s">
        <v>183</v>
      </c>
      <c r="E4860" s="1" t="s">
        <v>7</v>
      </c>
      <c r="F4860">
        <v>63</v>
      </c>
      <c r="G4860" s="1" t="str">
        <f>Ocupacao_DW[[#This Row],[data]]&amp;Ocupacao_DW[[#This Row],[profissional_id]]&amp;Ocupacao_DW[[#This Row],[local_id]]</f>
        <v>446361787863</v>
      </c>
      <c r="H4860" s="1">
        <f>_xlfn.XLOOKUP(Ocupacao_DW[[#This Row],[Concat]],Vagas!$H:$H,Vagas!$D:$D,"",0)</f>
        <v>0</v>
      </c>
    </row>
    <row r="4861" spans="1:8" x14ac:dyDescent="0.25">
      <c r="A4861" s="2">
        <v>44639</v>
      </c>
      <c r="B4861" s="1" t="s">
        <v>72</v>
      </c>
      <c r="C4861">
        <v>6046</v>
      </c>
      <c r="D4861" s="1" t="s">
        <v>222</v>
      </c>
      <c r="E4861" s="1" t="s">
        <v>4</v>
      </c>
      <c r="F4861">
        <v>46</v>
      </c>
      <c r="G4861" s="1" t="str">
        <f>Ocupacao_DW[[#This Row],[data]]&amp;Ocupacao_DW[[#This Row],[profissional_id]]&amp;Ocupacao_DW[[#This Row],[local_id]]</f>
        <v>44639604646</v>
      </c>
      <c r="H4861" s="1">
        <f>_xlfn.XLOOKUP(Ocupacao_DW[[#This Row],[Concat]],Vagas!$H:$H,Vagas!$D:$D,"",0)</f>
        <v>0</v>
      </c>
    </row>
    <row r="4862" spans="1:8" x14ac:dyDescent="0.25">
      <c r="A4862" s="2">
        <v>44641</v>
      </c>
      <c r="B4862" s="1" t="s">
        <v>52</v>
      </c>
      <c r="C4862">
        <v>10595</v>
      </c>
      <c r="D4862" s="1" t="s">
        <v>218</v>
      </c>
      <c r="E4862" s="1" t="s">
        <v>200</v>
      </c>
      <c r="F4862">
        <v>78</v>
      </c>
      <c r="G4862" s="1" t="str">
        <f>Ocupacao_DW[[#This Row],[data]]&amp;Ocupacao_DW[[#This Row],[profissional_id]]&amp;Ocupacao_DW[[#This Row],[local_id]]</f>
        <v>446411059578</v>
      </c>
      <c r="H4862" s="1">
        <f>_xlfn.XLOOKUP(Ocupacao_DW[[#This Row],[Concat]],Vagas!$H:$H,Vagas!$D:$D,"",0)</f>
        <v>0</v>
      </c>
    </row>
    <row r="4863" spans="1:8" x14ac:dyDescent="0.25">
      <c r="A4863" s="2">
        <v>44635</v>
      </c>
      <c r="B4863" s="1" t="s">
        <v>68</v>
      </c>
      <c r="C4863">
        <v>14371</v>
      </c>
      <c r="D4863" s="1" t="s">
        <v>273</v>
      </c>
      <c r="E4863" s="1" t="s">
        <v>7</v>
      </c>
      <c r="F4863">
        <v>60</v>
      </c>
      <c r="G4863" s="1" t="str">
        <f>Ocupacao_DW[[#This Row],[data]]&amp;Ocupacao_DW[[#This Row],[profissional_id]]&amp;Ocupacao_DW[[#This Row],[local_id]]</f>
        <v>446351437160</v>
      </c>
      <c r="H4863" s="1">
        <f>_xlfn.XLOOKUP(Ocupacao_DW[[#This Row],[Concat]],Vagas!$H:$H,Vagas!$D:$D,"",0)</f>
        <v>19</v>
      </c>
    </row>
    <row r="4864" spans="1:8" x14ac:dyDescent="0.25">
      <c r="A4864" s="2">
        <v>44635</v>
      </c>
      <c r="B4864" s="1" t="s">
        <v>53</v>
      </c>
      <c r="C4864">
        <v>9138</v>
      </c>
      <c r="D4864" s="1" t="s">
        <v>184</v>
      </c>
      <c r="E4864" s="1" t="s">
        <v>167</v>
      </c>
      <c r="F4864">
        <v>344</v>
      </c>
      <c r="G4864" s="1" t="str">
        <f>Ocupacao_DW[[#This Row],[data]]&amp;Ocupacao_DW[[#This Row],[profissional_id]]&amp;Ocupacao_DW[[#This Row],[local_id]]</f>
        <v>446359138344</v>
      </c>
      <c r="H4864" s="1">
        <f>_xlfn.XLOOKUP(Ocupacao_DW[[#This Row],[Concat]],Vagas!$H:$H,Vagas!$D:$D,"",0)</f>
        <v>0</v>
      </c>
    </row>
    <row r="4865" spans="1:8" x14ac:dyDescent="0.25">
      <c r="A4865" s="2">
        <v>44638</v>
      </c>
      <c r="B4865" s="1" t="s">
        <v>69</v>
      </c>
      <c r="C4865">
        <v>13249</v>
      </c>
      <c r="D4865" s="1" t="s">
        <v>178</v>
      </c>
      <c r="E4865" s="1" t="s">
        <v>7</v>
      </c>
      <c r="F4865">
        <v>66</v>
      </c>
      <c r="G4865" s="1" t="str">
        <f>Ocupacao_DW[[#This Row],[data]]&amp;Ocupacao_DW[[#This Row],[profissional_id]]&amp;Ocupacao_DW[[#This Row],[local_id]]</f>
        <v>446381324966</v>
      </c>
      <c r="H4865" s="1">
        <f>_xlfn.XLOOKUP(Ocupacao_DW[[#This Row],[Concat]],Vagas!$H:$H,Vagas!$D:$D,"",0)</f>
        <v>0</v>
      </c>
    </row>
    <row r="4866" spans="1:8" x14ac:dyDescent="0.25">
      <c r="A4866" s="2">
        <v>44643</v>
      </c>
      <c r="B4866" s="1" t="s">
        <v>70</v>
      </c>
      <c r="C4866">
        <v>12825</v>
      </c>
      <c r="D4866" s="1" t="s">
        <v>177</v>
      </c>
      <c r="E4866" s="1" t="s">
        <v>4</v>
      </c>
      <c r="F4866">
        <v>45</v>
      </c>
      <c r="G4866" s="1" t="str">
        <f>Ocupacao_DW[[#This Row],[data]]&amp;Ocupacao_DW[[#This Row],[profissional_id]]&amp;Ocupacao_DW[[#This Row],[local_id]]</f>
        <v>446431282545</v>
      </c>
      <c r="H4866" s="1">
        <f>_xlfn.XLOOKUP(Ocupacao_DW[[#This Row],[Concat]],Vagas!$H:$H,Vagas!$D:$D,"",0)</f>
        <v>0</v>
      </c>
    </row>
    <row r="4867" spans="1:8" x14ac:dyDescent="0.25">
      <c r="A4867" s="2">
        <v>44637</v>
      </c>
      <c r="B4867" s="1" t="s">
        <v>49</v>
      </c>
      <c r="C4867">
        <v>81</v>
      </c>
      <c r="D4867" s="1" t="s">
        <v>170</v>
      </c>
      <c r="E4867" s="1" t="s">
        <v>4</v>
      </c>
      <c r="F4867">
        <v>41</v>
      </c>
      <c r="G4867" s="1" t="str">
        <f>Ocupacao_DW[[#This Row],[data]]&amp;Ocupacao_DW[[#This Row],[profissional_id]]&amp;Ocupacao_DW[[#This Row],[local_id]]</f>
        <v>446378141</v>
      </c>
      <c r="H4867" s="1">
        <f>_xlfn.XLOOKUP(Ocupacao_DW[[#This Row],[Concat]],Vagas!$H:$H,Vagas!$D:$D,"",0)</f>
        <v>0</v>
      </c>
    </row>
    <row r="4868" spans="1:8" x14ac:dyDescent="0.25">
      <c r="A4868" s="2">
        <v>44635</v>
      </c>
      <c r="B4868" s="1" t="s">
        <v>276</v>
      </c>
      <c r="C4868">
        <v>17937</v>
      </c>
      <c r="D4868" s="1" t="s">
        <v>297</v>
      </c>
      <c r="E4868" s="1" t="s">
        <v>4</v>
      </c>
      <c r="F4868">
        <v>351</v>
      </c>
      <c r="G4868" s="1" t="str">
        <f>Ocupacao_DW[[#This Row],[data]]&amp;Ocupacao_DW[[#This Row],[profissional_id]]&amp;Ocupacao_DW[[#This Row],[local_id]]</f>
        <v>4463517937351</v>
      </c>
      <c r="H4868" s="1">
        <f>_xlfn.XLOOKUP(Ocupacao_DW[[#This Row],[Concat]],Vagas!$H:$H,Vagas!$D:$D,"",0)</f>
        <v>11</v>
      </c>
    </row>
    <row r="4869" spans="1:8" x14ac:dyDescent="0.25">
      <c r="A4869" s="2">
        <v>44636</v>
      </c>
      <c r="B4869" s="1" t="s">
        <v>65</v>
      </c>
      <c r="C4869">
        <v>13058</v>
      </c>
      <c r="D4869" s="1" t="s">
        <v>256</v>
      </c>
      <c r="E4869" s="1" t="s">
        <v>4</v>
      </c>
      <c r="F4869">
        <v>47</v>
      </c>
      <c r="G4869" s="1" t="str">
        <f>Ocupacao_DW[[#This Row],[data]]&amp;Ocupacao_DW[[#This Row],[profissional_id]]&amp;Ocupacao_DW[[#This Row],[local_id]]</f>
        <v>446361305847</v>
      </c>
      <c r="H4869" s="1">
        <f>_xlfn.XLOOKUP(Ocupacao_DW[[#This Row],[Concat]],Vagas!$H:$H,Vagas!$D:$D,"",0)</f>
        <v>0</v>
      </c>
    </row>
    <row r="4870" spans="1:8" x14ac:dyDescent="0.25">
      <c r="A4870" s="2">
        <v>44644</v>
      </c>
      <c r="B4870" s="1" t="s">
        <v>52</v>
      </c>
      <c r="C4870">
        <v>9217</v>
      </c>
      <c r="D4870" s="1" t="s">
        <v>191</v>
      </c>
      <c r="E4870" s="1" t="s">
        <v>6</v>
      </c>
      <c r="F4870">
        <v>7</v>
      </c>
      <c r="G4870" s="1" t="str">
        <f>Ocupacao_DW[[#This Row],[data]]&amp;Ocupacao_DW[[#This Row],[profissional_id]]&amp;Ocupacao_DW[[#This Row],[local_id]]</f>
        <v>4464492177</v>
      </c>
      <c r="H4870" s="1">
        <f>_xlfn.XLOOKUP(Ocupacao_DW[[#This Row],[Concat]],Vagas!$H:$H,Vagas!$D:$D,"",0)</f>
        <v>0</v>
      </c>
    </row>
    <row r="4871" spans="1:8" x14ac:dyDescent="0.25">
      <c r="A4871" s="2">
        <v>44645</v>
      </c>
      <c r="B4871" s="1" t="s">
        <v>47</v>
      </c>
      <c r="C4871">
        <v>12679</v>
      </c>
      <c r="D4871" s="1" t="s">
        <v>192</v>
      </c>
      <c r="E4871" s="1" t="s">
        <v>4</v>
      </c>
      <c r="F4871">
        <v>336</v>
      </c>
      <c r="G4871" s="1" t="str">
        <f>Ocupacao_DW[[#This Row],[data]]&amp;Ocupacao_DW[[#This Row],[profissional_id]]&amp;Ocupacao_DW[[#This Row],[local_id]]</f>
        <v>4464512679336</v>
      </c>
      <c r="H4871" s="1">
        <f>_xlfn.XLOOKUP(Ocupacao_DW[[#This Row],[Concat]],Vagas!$H:$H,Vagas!$D:$D,"",0)</f>
        <v>0</v>
      </c>
    </row>
    <row r="4872" spans="1:8" x14ac:dyDescent="0.25">
      <c r="A4872" s="2">
        <v>44645</v>
      </c>
      <c r="B4872" s="1" t="s">
        <v>52</v>
      </c>
      <c r="C4872">
        <v>57</v>
      </c>
      <c r="D4872" s="1" t="s">
        <v>169</v>
      </c>
      <c r="E4872" s="1" t="s">
        <v>6</v>
      </c>
      <c r="F4872">
        <v>8</v>
      </c>
      <c r="G4872" s="1" t="str">
        <f>Ocupacao_DW[[#This Row],[data]]&amp;Ocupacao_DW[[#This Row],[profissional_id]]&amp;Ocupacao_DW[[#This Row],[local_id]]</f>
        <v>44645578</v>
      </c>
      <c r="H4872" s="1">
        <f>_xlfn.XLOOKUP(Ocupacao_DW[[#This Row],[Concat]],Vagas!$H:$H,Vagas!$D:$D,"",0)</f>
        <v>0</v>
      </c>
    </row>
    <row r="4873" spans="1:8" x14ac:dyDescent="0.25">
      <c r="A4873" s="2">
        <v>44636</v>
      </c>
      <c r="B4873" s="1" t="s">
        <v>43</v>
      </c>
      <c r="C4873">
        <v>57</v>
      </c>
      <c r="D4873" s="1" t="s">
        <v>169</v>
      </c>
      <c r="E4873" s="1" t="s">
        <v>6</v>
      </c>
      <c r="F4873">
        <v>2</v>
      </c>
      <c r="G4873" s="1" t="str">
        <f>Ocupacao_DW[[#This Row],[data]]&amp;Ocupacao_DW[[#This Row],[profissional_id]]&amp;Ocupacao_DW[[#This Row],[local_id]]</f>
        <v>44636572</v>
      </c>
      <c r="H4873" s="1">
        <f>_xlfn.XLOOKUP(Ocupacao_DW[[#This Row],[Concat]],Vagas!$H:$H,Vagas!$D:$D,"",0)</f>
        <v>2</v>
      </c>
    </row>
    <row r="4874" spans="1:8" x14ac:dyDescent="0.25">
      <c r="A4874" s="2">
        <v>44635</v>
      </c>
      <c r="B4874" s="1" t="s">
        <v>66</v>
      </c>
      <c r="C4874">
        <v>1343</v>
      </c>
      <c r="D4874" s="1" t="s">
        <v>263</v>
      </c>
      <c r="E4874" s="1" t="s">
        <v>200</v>
      </c>
      <c r="F4874">
        <v>80</v>
      </c>
      <c r="G4874" s="1" t="str">
        <f>Ocupacao_DW[[#This Row],[data]]&amp;Ocupacao_DW[[#This Row],[profissional_id]]&amp;Ocupacao_DW[[#This Row],[local_id]]</f>
        <v>44635134380</v>
      </c>
      <c r="H4874" s="1">
        <f>_xlfn.XLOOKUP(Ocupacao_DW[[#This Row],[Concat]],Vagas!$H:$H,Vagas!$D:$D,"",0)</f>
        <v>0</v>
      </c>
    </row>
    <row r="4875" spans="1:8" x14ac:dyDescent="0.25">
      <c r="A4875" s="2">
        <v>44638</v>
      </c>
      <c r="B4875" s="1" t="s">
        <v>54</v>
      </c>
      <c r="C4875">
        <v>69</v>
      </c>
      <c r="D4875" s="1" t="s">
        <v>238</v>
      </c>
      <c r="E4875" s="1" t="s">
        <v>5</v>
      </c>
      <c r="F4875">
        <v>13</v>
      </c>
      <c r="G4875" s="1" t="str">
        <f>Ocupacao_DW[[#This Row],[data]]&amp;Ocupacao_DW[[#This Row],[profissional_id]]&amp;Ocupacao_DW[[#This Row],[local_id]]</f>
        <v>446386913</v>
      </c>
      <c r="H4875" s="1">
        <f>_xlfn.XLOOKUP(Ocupacao_DW[[#This Row],[Concat]],Vagas!$H:$H,Vagas!$D:$D,"",0)</f>
        <v>0</v>
      </c>
    </row>
    <row r="4876" spans="1:8" x14ac:dyDescent="0.25">
      <c r="A4876" s="2">
        <v>44639</v>
      </c>
      <c r="B4876" s="1" t="s">
        <v>63</v>
      </c>
      <c r="C4876">
        <v>4887</v>
      </c>
      <c r="D4876" s="1" t="s">
        <v>168</v>
      </c>
      <c r="E4876" s="1" t="s">
        <v>5</v>
      </c>
      <c r="F4876">
        <v>349</v>
      </c>
      <c r="G4876" s="1" t="str">
        <f>Ocupacao_DW[[#This Row],[data]]&amp;Ocupacao_DW[[#This Row],[profissional_id]]&amp;Ocupacao_DW[[#This Row],[local_id]]</f>
        <v>446394887349</v>
      </c>
      <c r="H4876" s="1" t="str">
        <f>_xlfn.XLOOKUP(Ocupacao_DW[[#This Row],[Concat]],Vagas!$H:$H,Vagas!$D:$D,"",0)</f>
        <v/>
      </c>
    </row>
    <row r="4877" spans="1:8" x14ac:dyDescent="0.25">
      <c r="A4877" s="2">
        <v>44639</v>
      </c>
      <c r="B4877" s="1" t="s">
        <v>43</v>
      </c>
      <c r="C4877">
        <v>57</v>
      </c>
      <c r="D4877" s="1" t="s">
        <v>169</v>
      </c>
      <c r="E4877" s="1" t="s">
        <v>6</v>
      </c>
      <c r="F4877">
        <v>2</v>
      </c>
      <c r="G4877" s="1" t="str">
        <f>Ocupacao_DW[[#This Row],[data]]&amp;Ocupacao_DW[[#This Row],[profissional_id]]&amp;Ocupacao_DW[[#This Row],[local_id]]</f>
        <v>44639572</v>
      </c>
      <c r="H4877" s="1">
        <f>_xlfn.XLOOKUP(Ocupacao_DW[[#This Row],[Concat]],Vagas!$H:$H,Vagas!$D:$D,"",0)</f>
        <v>0</v>
      </c>
    </row>
    <row r="4878" spans="1:8" x14ac:dyDescent="0.25">
      <c r="A4878" s="2">
        <v>44638</v>
      </c>
      <c r="B4878" s="1" t="s">
        <v>49</v>
      </c>
      <c r="C4878">
        <v>12142</v>
      </c>
      <c r="D4878" s="1" t="s">
        <v>219</v>
      </c>
      <c r="E4878" s="1" t="s">
        <v>4</v>
      </c>
      <c r="F4878">
        <v>44</v>
      </c>
      <c r="G4878" s="1" t="str">
        <f>Ocupacao_DW[[#This Row],[data]]&amp;Ocupacao_DW[[#This Row],[profissional_id]]&amp;Ocupacao_DW[[#This Row],[local_id]]</f>
        <v>446381214244</v>
      </c>
      <c r="H4878" s="1">
        <f>_xlfn.XLOOKUP(Ocupacao_DW[[#This Row],[Concat]],Vagas!$H:$H,Vagas!$D:$D,"",0)</f>
        <v>0</v>
      </c>
    </row>
    <row r="4879" spans="1:8" x14ac:dyDescent="0.25">
      <c r="A4879" s="2">
        <v>44636</v>
      </c>
      <c r="B4879" s="1" t="s">
        <v>65</v>
      </c>
      <c r="C4879">
        <v>13058</v>
      </c>
      <c r="D4879" s="1" t="s">
        <v>256</v>
      </c>
      <c r="E4879" s="1" t="s">
        <v>4</v>
      </c>
      <c r="F4879">
        <v>47</v>
      </c>
      <c r="G4879" s="1" t="str">
        <f>Ocupacao_DW[[#This Row],[data]]&amp;Ocupacao_DW[[#This Row],[profissional_id]]&amp;Ocupacao_DW[[#This Row],[local_id]]</f>
        <v>446361305847</v>
      </c>
      <c r="H4879" s="1">
        <f>_xlfn.XLOOKUP(Ocupacao_DW[[#This Row],[Concat]],Vagas!$H:$H,Vagas!$D:$D,"",0)</f>
        <v>0</v>
      </c>
    </row>
    <row r="4880" spans="1:8" x14ac:dyDescent="0.25">
      <c r="A4880" s="2">
        <v>44638</v>
      </c>
      <c r="B4880" s="1" t="s">
        <v>72</v>
      </c>
      <c r="C4880">
        <v>1794</v>
      </c>
      <c r="D4880" s="1" t="s">
        <v>235</v>
      </c>
      <c r="E4880" s="1" t="s">
        <v>4</v>
      </c>
      <c r="F4880">
        <v>46</v>
      </c>
      <c r="G4880" s="1" t="str">
        <f>Ocupacao_DW[[#This Row],[data]]&amp;Ocupacao_DW[[#This Row],[profissional_id]]&amp;Ocupacao_DW[[#This Row],[local_id]]</f>
        <v>44638179446</v>
      </c>
      <c r="H4880" s="1">
        <f>_xlfn.XLOOKUP(Ocupacao_DW[[#This Row],[Concat]],Vagas!$H:$H,Vagas!$D:$D,"",0)</f>
        <v>0</v>
      </c>
    </row>
    <row r="4881" spans="1:8" x14ac:dyDescent="0.25">
      <c r="A4881" s="2">
        <v>44638</v>
      </c>
      <c r="B4881" s="1" t="s">
        <v>52</v>
      </c>
      <c r="C4881">
        <v>60</v>
      </c>
      <c r="D4881" s="1" t="s">
        <v>217</v>
      </c>
      <c r="E4881" s="1" t="s">
        <v>167</v>
      </c>
      <c r="F4881">
        <v>348</v>
      </c>
      <c r="G4881" s="1" t="str">
        <f>Ocupacao_DW[[#This Row],[data]]&amp;Ocupacao_DW[[#This Row],[profissional_id]]&amp;Ocupacao_DW[[#This Row],[local_id]]</f>
        <v>4463860348</v>
      </c>
      <c r="H4881" s="1">
        <f>_xlfn.XLOOKUP(Ocupacao_DW[[#This Row],[Concat]],Vagas!$H:$H,Vagas!$D:$D,"",0)</f>
        <v>0</v>
      </c>
    </row>
    <row r="4882" spans="1:8" x14ac:dyDescent="0.25">
      <c r="A4882" s="2">
        <v>44644</v>
      </c>
      <c r="B4882" s="1" t="s">
        <v>51</v>
      </c>
      <c r="C4882">
        <v>12582</v>
      </c>
      <c r="D4882" s="1" t="s">
        <v>190</v>
      </c>
      <c r="E4882" s="1" t="s">
        <v>5</v>
      </c>
      <c r="F4882">
        <v>15</v>
      </c>
      <c r="G4882" s="1" t="str">
        <f>Ocupacao_DW[[#This Row],[data]]&amp;Ocupacao_DW[[#This Row],[profissional_id]]&amp;Ocupacao_DW[[#This Row],[local_id]]</f>
        <v>446441258215</v>
      </c>
      <c r="H4882" s="1">
        <f>_xlfn.XLOOKUP(Ocupacao_DW[[#This Row],[Concat]],Vagas!$H:$H,Vagas!$D:$D,"",0)</f>
        <v>0</v>
      </c>
    </row>
    <row r="4883" spans="1:8" x14ac:dyDescent="0.25">
      <c r="A4883" s="2">
        <v>44635</v>
      </c>
      <c r="B4883" s="1" t="s">
        <v>66</v>
      </c>
      <c r="C4883">
        <v>100</v>
      </c>
      <c r="D4883" s="1" t="s">
        <v>166</v>
      </c>
      <c r="E4883" s="1" t="s">
        <v>167</v>
      </c>
      <c r="F4883">
        <v>342</v>
      </c>
      <c r="G4883" s="1" t="str">
        <f>Ocupacao_DW[[#This Row],[data]]&amp;Ocupacao_DW[[#This Row],[profissional_id]]&amp;Ocupacao_DW[[#This Row],[local_id]]</f>
        <v>44635100342</v>
      </c>
      <c r="H4883" s="1">
        <f>_xlfn.XLOOKUP(Ocupacao_DW[[#This Row],[Concat]],Vagas!$H:$H,Vagas!$D:$D,"",0)</f>
        <v>0</v>
      </c>
    </row>
    <row r="4884" spans="1:8" x14ac:dyDescent="0.25">
      <c r="A4884" s="2">
        <v>44641</v>
      </c>
      <c r="B4884" s="1" t="s">
        <v>52</v>
      </c>
      <c r="C4884">
        <v>10595</v>
      </c>
      <c r="D4884" s="1" t="s">
        <v>218</v>
      </c>
      <c r="E4884" s="1" t="s">
        <v>200</v>
      </c>
      <c r="F4884">
        <v>78</v>
      </c>
      <c r="G4884" s="1" t="str">
        <f>Ocupacao_DW[[#This Row],[data]]&amp;Ocupacao_DW[[#This Row],[profissional_id]]&amp;Ocupacao_DW[[#This Row],[local_id]]</f>
        <v>446411059578</v>
      </c>
      <c r="H4884" s="1">
        <f>_xlfn.XLOOKUP(Ocupacao_DW[[#This Row],[Concat]],Vagas!$H:$H,Vagas!$D:$D,"",0)</f>
        <v>0</v>
      </c>
    </row>
    <row r="4885" spans="1:8" x14ac:dyDescent="0.25">
      <c r="A4885" s="2">
        <v>44637</v>
      </c>
      <c r="B4885" s="1" t="s">
        <v>57</v>
      </c>
      <c r="C4885">
        <v>80</v>
      </c>
      <c r="D4885" s="1" t="s">
        <v>179</v>
      </c>
      <c r="E4885" s="1" t="s">
        <v>167</v>
      </c>
      <c r="F4885">
        <v>348</v>
      </c>
      <c r="G4885" s="1" t="str">
        <f>Ocupacao_DW[[#This Row],[data]]&amp;Ocupacao_DW[[#This Row],[profissional_id]]&amp;Ocupacao_DW[[#This Row],[local_id]]</f>
        <v>4463780348</v>
      </c>
      <c r="H4885" s="1">
        <f>_xlfn.XLOOKUP(Ocupacao_DW[[#This Row],[Concat]],Vagas!$H:$H,Vagas!$D:$D,"",0)</f>
        <v>0</v>
      </c>
    </row>
    <row r="4886" spans="1:8" x14ac:dyDescent="0.25">
      <c r="A4886" s="2">
        <v>44635</v>
      </c>
      <c r="B4886" s="1" t="s">
        <v>51</v>
      </c>
      <c r="C4886">
        <v>12582</v>
      </c>
      <c r="D4886" s="1" t="s">
        <v>190</v>
      </c>
      <c r="E4886" s="1" t="s">
        <v>7</v>
      </c>
      <c r="F4886">
        <v>62</v>
      </c>
      <c r="G4886" s="1" t="str">
        <f>Ocupacao_DW[[#This Row],[data]]&amp;Ocupacao_DW[[#This Row],[profissional_id]]&amp;Ocupacao_DW[[#This Row],[local_id]]</f>
        <v>446351258262</v>
      </c>
      <c r="H4886" s="1">
        <f>_xlfn.XLOOKUP(Ocupacao_DW[[#This Row],[Concat]],Vagas!$H:$H,Vagas!$D:$D,"",0)</f>
        <v>0</v>
      </c>
    </row>
    <row r="4887" spans="1:8" x14ac:dyDescent="0.25">
      <c r="A4887" s="2">
        <v>44646</v>
      </c>
      <c r="B4887" s="1" t="s">
        <v>47</v>
      </c>
      <c r="C4887">
        <v>111</v>
      </c>
      <c r="D4887" s="1" t="s">
        <v>199</v>
      </c>
      <c r="E4887" s="1" t="s">
        <v>4</v>
      </c>
      <c r="F4887">
        <v>51</v>
      </c>
      <c r="G4887" s="1" t="str">
        <f>Ocupacao_DW[[#This Row],[data]]&amp;Ocupacao_DW[[#This Row],[profissional_id]]&amp;Ocupacao_DW[[#This Row],[local_id]]</f>
        <v>4464611151</v>
      </c>
      <c r="H4887" s="1">
        <f>_xlfn.XLOOKUP(Ocupacao_DW[[#This Row],[Concat]],Vagas!$H:$H,Vagas!$D:$D,"",0)</f>
        <v>31</v>
      </c>
    </row>
    <row r="4888" spans="1:8" x14ac:dyDescent="0.25">
      <c r="A4888" s="2">
        <v>44637</v>
      </c>
      <c r="B4888" s="1" t="s">
        <v>49</v>
      </c>
      <c r="C4888">
        <v>266</v>
      </c>
      <c r="D4888" s="1" t="s">
        <v>201</v>
      </c>
      <c r="E4888" s="1" t="s">
        <v>4</v>
      </c>
      <c r="F4888">
        <v>42</v>
      </c>
      <c r="G4888" s="1" t="str">
        <f>Ocupacao_DW[[#This Row],[data]]&amp;Ocupacao_DW[[#This Row],[profissional_id]]&amp;Ocupacao_DW[[#This Row],[local_id]]</f>
        <v>4463726642</v>
      </c>
      <c r="H4888" s="1">
        <f>_xlfn.XLOOKUP(Ocupacao_DW[[#This Row],[Concat]],Vagas!$H:$H,Vagas!$D:$D,"",0)</f>
        <v>0</v>
      </c>
    </row>
    <row r="4889" spans="1:8" x14ac:dyDescent="0.25">
      <c r="A4889" s="2">
        <v>44635</v>
      </c>
      <c r="B4889" s="1" t="s">
        <v>70</v>
      </c>
      <c r="C4889">
        <v>14237</v>
      </c>
      <c r="D4889" s="1" t="s">
        <v>186</v>
      </c>
      <c r="E4889" s="1" t="s">
        <v>4</v>
      </c>
      <c r="F4889">
        <v>47</v>
      </c>
      <c r="G4889" s="1" t="str">
        <f>Ocupacao_DW[[#This Row],[data]]&amp;Ocupacao_DW[[#This Row],[profissional_id]]&amp;Ocupacao_DW[[#This Row],[local_id]]</f>
        <v>446351423747</v>
      </c>
      <c r="H4889" s="1">
        <f>_xlfn.XLOOKUP(Ocupacao_DW[[#This Row],[Concat]],Vagas!$H:$H,Vagas!$D:$D,"",0)</f>
        <v>0</v>
      </c>
    </row>
    <row r="4890" spans="1:8" x14ac:dyDescent="0.25">
      <c r="A4890" s="2">
        <v>44636</v>
      </c>
      <c r="B4890" s="1" t="s">
        <v>51</v>
      </c>
      <c r="C4890">
        <v>12679</v>
      </c>
      <c r="D4890" s="1" t="s">
        <v>192</v>
      </c>
      <c r="E4890" s="1" t="s">
        <v>200</v>
      </c>
      <c r="F4890">
        <v>82</v>
      </c>
      <c r="G4890" s="1" t="str">
        <f>Ocupacao_DW[[#This Row],[data]]&amp;Ocupacao_DW[[#This Row],[profissional_id]]&amp;Ocupacao_DW[[#This Row],[local_id]]</f>
        <v>446361267982</v>
      </c>
      <c r="H4890" s="1">
        <f>_xlfn.XLOOKUP(Ocupacao_DW[[#This Row],[Concat]],Vagas!$H:$H,Vagas!$D:$D,"",0)</f>
        <v>0</v>
      </c>
    </row>
    <row r="4891" spans="1:8" x14ac:dyDescent="0.25">
      <c r="A4891" s="2">
        <v>44641</v>
      </c>
      <c r="B4891" s="1" t="s">
        <v>52</v>
      </c>
      <c r="C4891">
        <v>10595</v>
      </c>
      <c r="D4891" s="1" t="s">
        <v>218</v>
      </c>
      <c r="E4891" s="1" t="s">
        <v>200</v>
      </c>
      <c r="F4891">
        <v>78</v>
      </c>
      <c r="G4891" s="1" t="str">
        <f>Ocupacao_DW[[#This Row],[data]]&amp;Ocupacao_DW[[#This Row],[profissional_id]]&amp;Ocupacao_DW[[#This Row],[local_id]]</f>
        <v>446411059578</v>
      </c>
      <c r="H4891" s="1">
        <f>_xlfn.XLOOKUP(Ocupacao_DW[[#This Row],[Concat]],Vagas!$H:$H,Vagas!$D:$D,"",0)</f>
        <v>0</v>
      </c>
    </row>
    <row r="4892" spans="1:8" x14ac:dyDescent="0.25">
      <c r="A4892" s="2">
        <v>44650</v>
      </c>
      <c r="B4892" s="1" t="s">
        <v>72</v>
      </c>
      <c r="C4892">
        <v>1794</v>
      </c>
      <c r="D4892" s="1" t="s">
        <v>235</v>
      </c>
      <c r="E4892" s="1" t="s">
        <v>4</v>
      </c>
      <c r="F4892">
        <v>49</v>
      </c>
      <c r="G4892" s="1" t="str">
        <f>Ocupacao_DW[[#This Row],[data]]&amp;Ocupacao_DW[[#This Row],[profissional_id]]&amp;Ocupacao_DW[[#This Row],[local_id]]</f>
        <v>44650179449</v>
      </c>
      <c r="H4892" s="1">
        <f>_xlfn.XLOOKUP(Ocupacao_DW[[#This Row],[Concat]],Vagas!$H:$H,Vagas!$D:$D,"",0)</f>
        <v>0</v>
      </c>
    </row>
    <row r="4893" spans="1:8" x14ac:dyDescent="0.25">
      <c r="A4893" s="2">
        <v>44636</v>
      </c>
      <c r="B4893" s="1" t="s">
        <v>62</v>
      </c>
      <c r="C4893">
        <v>2567</v>
      </c>
      <c r="D4893" s="1" t="s">
        <v>198</v>
      </c>
      <c r="E4893" s="1" t="s">
        <v>5</v>
      </c>
      <c r="F4893">
        <v>349</v>
      </c>
      <c r="G4893" s="1" t="str">
        <f>Ocupacao_DW[[#This Row],[data]]&amp;Ocupacao_DW[[#This Row],[profissional_id]]&amp;Ocupacao_DW[[#This Row],[local_id]]</f>
        <v>446362567349</v>
      </c>
      <c r="H4893" s="1">
        <f>_xlfn.XLOOKUP(Ocupacao_DW[[#This Row],[Concat]],Vagas!$H:$H,Vagas!$D:$D,"",0)</f>
        <v>0</v>
      </c>
    </row>
    <row r="4894" spans="1:8" x14ac:dyDescent="0.25">
      <c r="A4894" s="2">
        <v>44643</v>
      </c>
      <c r="B4894" s="1" t="s">
        <v>57</v>
      </c>
      <c r="C4894">
        <v>80</v>
      </c>
      <c r="D4894" s="1" t="s">
        <v>179</v>
      </c>
      <c r="E4894" s="1" t="s">
        <v>167</v>
      </c>
      <c r="F4894">
        <v>346</v>
      </c>
      <c r="G4894" s="1" t="str">
        <f>Ocupacao_DW[[#This Row],[data]]&amp;Ocupacao_DW[[#This Row],[profissional_id]]&amp;Ocupacao_DW[[#This Row],[local_id]]</f>
        <v>4464380346</v>
      </c>
      <c r="H4894" s="1">
        <f>_xlfn.XLOOKUP(Ocupacao_DW[[#This Row],[Concat]],Vagas!$H:$H,Vagas!$D:$D,"",0)</f>
        <v>0</v>
      </c>
    </row>
    <row r="4895" spans="1:8" x14ac:dyDescent="0.25">
      <c r="A4895" s="2">
        <v>44635</v>
      </c>
      <c r="B4895" s="1" t="s">
        <v>55</v>
      </c>
      <c r="C4895">
        <v>60</v>
      </c>
      <c r="D4895" s="1" t="s">
        <v>217</v>
      </c>
      <c r="E4895" s="1" t="s">
        <v>167</v>
      </c>
      <c r="F4895">
        <v>345</v>
      </c>
      <c r="G4895" s="1" t="str">
        <f>Ocupacao_DW[[#This Row],[data]]&amp;Ocupacao_DW[[#This Row],[profissional_id]]&amp;Ocupacao_DW[[#This Row],[local_id]]</f>
        <v>4463560345</v>
      </c>
      <c r="H4895" s="1">
        <f>_xlfn.XLOOKUP(Ocupacao_DW[[#This Row],[Concat]],Vagas!$H:$H,Vagas!$D:$D,"",0)</f>
        <v>0</v>
      </c>
    </row>
    <row r="4896" spans="1:8" x14ac:dyDescent="0.25">
      <c r="A4896" s="2">
        <v>44641</v>
      </c>
      <c r="B4896" s="1" t="s">
        <v>54</v>
      </c>
      <c r="C4896">
        <v>70</v>
      </c>
      <c r="D4896" s="1" t="s">
        <v>187</v>
      </c>
      <c r="E4896" s="1" t="s">
        <v>5</v>
      </c>
      <c r="F4896">
        <v>13</v>
      </c>
      <c r="G4896" s="1" t="str">
        <f>Ocupacao_DW[[#This Row],[data]]&amp;Ocupacao_DW[[#This Row],[profissional_id]]&amp;Ocupacao_DW[[#This Row],[local_id]]</f>
        <v>446417013</v>
      </c>
      <c r="H4896" s="1">
        <f>_xlfn.XLOOKUP(Ocupacao_DW[[#This Row],[Concat]],Vagas!$H:$H,Vagas!$D:$D,"",0)</f>
        <v>0</v>
      </c>
    </row>
    <row r="4897" spans="1:8" x14ac:dyDescent="0.25">
      <c r="A4897" s="2">
        <v>44637</v>
      </c>
      <c r="B4897" s="1" t="s">
        <v>62</v>
      </c>
      <c r="C4897">
        <v>3502</v>
      </c>
      <c r="D4897" s="1" t="s">
        <v>214</v>
      </c>
      <c r="E4897" s="1" t="s">
        <v>5</v>
      </c>
      <c r="F4897">
        <v>16</v>
      </c>
      <c r="G4897" s="1" t="str">
        <f>Ocupacao_DW[[#This Row],[data]]&amp;Ocupacao_DW[[#This Row],[profissional_id]]&amp;Ocupacao_DW[[#This Row],[local_id]]</f>
        <v>44637350216</v>
      </c>
      <c r="H4897" s="1">
        <f>_xlfn.XLOOKUP(Ocupacao_DW[[#This Row],[Concat]],Vagas!$H:$H,Vagas!$D:$D,"",0)</f>
        <v>0</v>
      </c>
    </row>
    <row r="4898" spans="1:8" x14ac:dyDescent="0.25">
      <c r="A4898" s="2">
        <v>44638</v>
      </c>
      <c r="B4898" s="1" t="s">
        <v>54</v>
      </c>
      <c r="C4898">
        <v>69</v>
      </c>
      <c r="D4898" s="1" t="s">
        <v>238</v>
      </c>
      <c r="E4898" s="1" t="s">
        <v>5</v>
      </c>
      <c r="F4898">
        <v>13</v>
      </c>
      <c r="G4898" s="1" t="str">
        <f>Ocupacao_DW[[#This Row],[data]]&amp;Ocupacao_DW[[#This Row],[profissional_id]]&amp;Ocupacao_DW[[#This Row],[local_id]]</f>
        <v>446386913</v>
      </c>
      <c r="H4898" s="1">
        <f>_xlfn.XLOOKUP(Ocupacao_DW[[#This Row],[Concat]],Vagas!$H:$H,Vagas!$D:$D,"",0)</f>
        <v>0</v>
      </c>
    </row>
    <row r="4899" spans="1:8" x14ac:dyDescent="0.25">
      <c r="A4899" s="2">
        <v>44638</v>
      </c>
      <c r="B4899" s="1" t="s">
        <v>72</v>
      </c>
      <c r="C4899">
        <v>13479</v>
      </c>
      <c r="D4899" s="1" t="s">
        <v>203</v>
      </c>
      <c r="E4899" s="1" t="s">
        <v>200</v>
      </c>
      <c r="F4899">
        <v>83</v>
      </c>
      <c r="G4899" s="1" t="str">
        <f>Ocupacao_DW[[#This Row],[data]]&amp;Ocupacao_DW[[#This Row],[profissional_id]]&amp;Ocupacao_DW[[#This Row],[local_id]]</f>
        <v>446381347983</v>
      </c>
      <c r="H4899" s="1">
        <f>_xlfn.XLOOKUP(Ocupacao_DW[[#This Row],[Concat]],Vagas!$H:$H,Vagas!$D:$D,"",0)</f>
        <v>0</v>
      </c>
    </row>
    <row r="4900" spans="1:8" x14ac:dyDescent="0.25">
      <c r="A4900" s="2">
        <v>44636</v>
      </c>
      <c r="B4900" s="1" t="s">
        <v>51</v>
      </c>
      <c r="C4900">
        <v>12679</v>
      </c>
      <c r="D4900" s="1" t="s">
        <v>192</v>
      </c>
      <c r="E4900" s="1" t="s">
        <v>200</v>
      </c>
      <c r="F4900">
        <v>82</v>
      </c>
      <c r="G4900" s="1" t="str">
        <f>Ocupacao_DW[[#This Row],[data]]&amp;Ocupacao_DW[[#This Row],[profissional_id]]&amp;Ocupacao_DW[[#This Row],[local_id]]</f>
        <v>446361267982</v>
      </c>
      <c r="H4900" s="1">
        <f>_xlfn.XLOOKUP(Ocupacao_DW[[#This Row],[Concat]],Vagas!$H:$H,Vagas!$D:$D,"",0)</f>
        <v>0</v>
      </c>
    </row>
    <row r="4901" spans="1:8" x14ac:dyDescent="0.25">
      <c r="A4901" s="2">
        <v>44635</v>
      </c>
      <c r="B4901" s="1" t="s">
        <v>47</v>
      </c>
      <c r="C4901">
        <v>12752</v>
      </c>
      <c r="D4901" s="1" t="s">
        <v>253</v>
      </c>
      <c r="E4901" s="1" t="s">
        <v>7</v>
      </c>
      <c r="F4901">
        <v>60</v>
      </c>
      <c r="G4901" s="1" t="str">
        <f>Ocupacao_DW[[#This Row],[data]]&amp;Ocupacao_DW[[#This Row],[profissional_id]]&amp;Ocupacao_DW[[#This Row],[local_id]]</f>
        <v>446351275260</v>
      </c>
      <c r="H4901" s="1">
        <f>_xlfn.XLOOKUP(Ocupacao_DW[[#This Row],[Concat]],Vagas!$H:$H,Vagas!$D:$D,"",0)</f>
        <v>0</v>
      </c>
    </row>
    <row r="4902" spans="1:8" x14ac:dyDescent="0.25">
      <c r="A4902" s="2">
        <v>44648</v>
      </c>
      <c r="B4902" s="1" t="s">
        <v>60</v>
      </c>
      <c r="C4902">
        <v>117</v>
      </c>
      <c r="D4902" s="1" t="s">
        <v>180</v>
      </c>
      <c r="E4902" s="1" t="s">
        <v>4</v>
      </c>
      <c r="F4902">
        <v>48</v>
      </c>
      <c r="G4902" s="1" t="str">
        <f>Ocupacao_DW[[#This Row],[data]]&amp;Ocupacao_DW[[#This Row],[profissional_id]]&amp;Ocupacao_DW[[#This Row],[local_id]]</f>
        <v>4464811748</v>
      </c>
      <c r="H4902" s="1">
        <f>_xlfn.XLOOKUP(Ocupacao_DW[[#This Row],[Concat]],Vagas!$H:$H,Vagas!$D:$D,"",0)</f>
        <v>0</v>
      </c>
    </row>
    <row r="4903" spans="1:8" x14ac:dyDescent="0.25">
      <c r="A4903" s="2">
        <v>44642</v>
      </c>
      <c r="B4903" s="1" t="s">
        <v>47</v>
      </c>
      <c r="C4903">
        <v>9111</v>
      </c>
      <c r="D4903" s="1" t="s">
        <v>206</v>
      </c>
      <c r="E4903" s="1" t="s">
        <v>4</v>
      </c>
      <c r="F4903">
        <v>335</v>
      </c>
      <c r="G4903" s="1" t="str">
        <f>Ocupacao_DW[[#This Row],[data]]&amp;Ocupacao_DW[[#This Row],[profissional_id]]&amp;Ocupacao_DW[[#This Row],[local_id]]</f>
        <v>446429111335</v>
      </c>
      <c r="H4903" s="1">
        <f>_xlfn.XLOOKUP(Ocupacao_DW[[#This Row],[Concat]],Vagas!$H:$H,Vagas!$D:$D,"",0)</f>
        <v>0</v>
      </c>
    </row>
    <row r="4904" spans="1:8" x14ac:dyDescent="0.25">
      <c r="A4904" s="2">
        <v>44635</v>
      </c>
      <c r="B4904" s="1" t="s">
        <v>54</v>
      </c>
      <c r="C4904">
        <v>12623</v>
      </c>
      <c r="D4904" s="1" t="s">
        <v>258</v>
      </c>
      <c r="E4904" s="1" t="s">
        <v>5</v>
      </c>
      <c r="F4904">
        <v>11</v>
      </c>
      <c r="G4904" s="1" t="str">
        <f>Ocupacao_DW[[#This Row],[data]]&amp;Ocupacao_DW[[#This Row],[profissional_id]]&amp;Ocupacao_DW[[#This Row],[local_id]]</f>
        <v>446351262311</v>
      </c>
      <c r="H4904" s="1">
        <f>_xlfn.XLOOKUP(Ocupacao_DW[[#This Row],[Concat]],Vagas!$H:$H,Vagas!$D:$D,"",0)</f>
        <v>0</v>
      </c>
    </row>
    <row r="4905" spans="1:8" x14ac:dyDescent="0.25">
      <c r="A4905" s="2">
        <v>44643</v>
      </c>
      <c r="B4905" s="1" t="s">
        <v>52</v>
      </c>
      <c r="C4905">
        <v>10691</v>
      </c>
      <c r="D4905" s="1" t="s">
        <v>181</v>
      </c>
      <c r="E4905" s="1" t="s">
        <v>6</v>
      </c>
      <c r="F4905">
        <v>9</v>
      </c>
      <c r="G4905" s="1" t="str">
        <f>Ocupacao_DW[[#This Row],[data]]&amp;Ocupacao_DW[[#This Row],[profissional_id]]&amp;Ocupacao_DW[[#This Row],[local_id]]</f>
        <v>44643106919</v>
      </c>
      <c r="H4905" s="1">
        <f>_xlfn.XLOOKUP(Ocupacao_DW[[#This Row],[Concat]],Vagas!$H:$H,Vagas!$D:$D,"",0)</f>
        <v>0</v>
      </c>
    </row>
    <row r="4906" spans="1:8" x14ac:dyDescent="0.25">
      <c r="A4906" s="2">
        <v>44642</v>
      </c>
      <c r="B4906" s="1" t="s">
        <v>68</v>
      </c>
      <c r="C4906">
        <v>8239</v>
      </c>
      <c r="D4906" s="1" t="s">
        <v>257</v>
      </c>
      <c r="E4906" s="1" t="s">
        <v>5</v>
      </c>
      <c r="F4906">
        <v>14</v>
      </c>
      <c r="G4906" s="1" t="str">
        <f>Ocupacao_DW[[#This Row],[data]]&amp;Ocupacao_DW[[#This Row],[profissional_id]]&amp;Ocupacao_DW[[#This Row],[local_id]]</f>
        <v>44642823914</v>
      </c>
      <c r="H4906" s="1">
        <f>_xlfn.XLOOKUP(Ocupacao_DW[[#This Row],[Concat]],Vagas!$H:$H,Vagas!$D:$D,"",0)</f>
        <v>0</v>
      </c>
    </row>
    <row r="4907" spans="1:8" x14ac:dyDescent="0.25">
      <c r="A4907" s="2">
        <v>44642</v>
      </c>
      <c r="B4907" s="1" t="s">
        <v>47</v>
      </c>
      <c r="C4907">
        <v>111</v>
      </c>
      <c r="D4907" s="1" t="s">
        <v>199</v>
      </c>
      <c r="E4907" s="1" t="s">
        <v>4</v>
      </c>
      <c r="F4907">
        <v>51</v>
      </c>
      <c r="G4907" s="1" t="str">
        <f>Ocupacao_DW[[#This Row],[data]]&amp;Ocupacao_DW[[#This Row],[profissional_id]]&amp;Ocupacao_DW[[#This Row],[local_id]]</f>
        <v>4464211151</v>
      </c>
      <c r="H4907" s="1">
        <f>_xlfn.XLOOKUP(Ocupacao_DW[[#This Row],[Concat]],Vagas!$H:$H,Vagas!$D:$D,"",0)</f>
        <v>25</v>
      </c>
    </row>
    <row r="4908" spans="1:8" x14ac:dyDescent="0.25">
      <c r="A4908" s="2">
        <v>44636</v>
      </c>
      <c r="B4908" s="1" t="s">
        <v>62</v>
      </c>
      <c r="C4908">
        <v>3502</v>
      </c>
      <c r="D4908" s="1" t="s">
        <v>214</v>
      </c>
      <c r="E4908" s="1" t="s">
        <v>5</v>
      </c>
      <c r="F4908">
        <v>16</v>
      </c>
      <c r="G4908" s="1" t="str">
        <f>Ocupacao_DW[[#This Row],[data]]&amp;Ocupacao_DW[[#This Row],[profissional_id]]&amp;Ocupacao_DW[[#This Row],[local_id]]</f>
        <v>44636350216</v>
      </c>
      <c r="H4908" s="1">
        <f>_xlfn.XLOOKUP(Ocupacao_DW[[#This Row],[Concat]],Vagas!$H:$H,Vagas!$D:$D,"",0)</f>
        <v>0</v>
      </c>
    </row>
    <row r="4909" spans="1:8" x14ac:dyDescent="0.25">
      <c r="A4909" s="2">
        <v>44635</v>
      </c>
      <c r="B4909" s="1" t="s">
        <v>21</v>
      </c>
      <c r="C4909">
        <v>17890</v>
      </c>
      <c r="D4909" s="1" t="s">
        <v>270</v>
      </c>
      <c r="E4909" s="1" t="s">
        <v>6</v>
      </c>
      <c r="F4909">
        <v>4</v>
      </c>
      <c r="G4909" s="1" t="str">
        <f>Ocupacao_DW[[#This Row],[data]]&amp;Ocupacao_DW[[#This Row],[profissional_id]]&amp;Ocupacao_DW[[#This Row],[local_id]]</f>
        <v>44635178904</v>
      </c>
      <c r="H4909" s="1">
        <f>_xlfn.XLOOKUP(Ocupacao_DW[[#This Row],[Concat]],Vagas!$H:$H,Vagas!$D:$D,"",0)</f>
        <v>6</v>
      </c>
    </row>
    <row r="4910" spans="1:8" x14ac:dyDescent="0.25">
      <c r="A4910" s="2">
        <v>44637</v>
      </c>
      <c r="B4910" s="1" t="s">
        <v>59</v>
      </c>
      <c r="C4910">
        <v>10249</v>
      </c>
      <c r="D4910" s="1" t="s">
        <v>231</v>
      </c>
      <c r="E4910" s="1" t="s">
        <v>4</v>
      </c>
      <c r="F4910">
        <v>44</v>
      </c>
      <c r="G4910" s="1" t="str">
        <f>Ocupacao_DW[[#This Row],[data]]&amp;Ocupacao_DW[[#This Row],[profissional_id]]&amp;Ocupacao_DW[[#This Row],[local_id]]</f>
        <v>446371024944</v>
      </c>
      <c r="H4910" s="1">
        <f>_xlfn.XLOOKUP(Ocupacao_DW[[#This Row],[Concat]],Vagas!$H:$H,Vagas!$D:$D,"",0)</f>
        <v>0</v>
      </c>
    </row>
    <row r="4911" spans="1:8" x14ac:dyDescent="0.25">
      <c r="A4911" s="2">
        <v>44636</v>
      </c>
      <c r="B4911" s="1" t="s">
        <v>50</v>
      </c>
      <c r="C4911">
        <v>10785</v>
      </c>
      <c r="D4911" s="1" t="s">
        <v>237</v>
      </c>
      <c r="E4911" s="1" t="s">
        <v>5</v>
      </c>
      <c r="F4911">
        <v>14</v>
      </c>
      <c r="G4911" s="1" t="str">
        <f>Ocupacao_DW[[#This Row],[data]]&amp;Ocupacao_DW[[#This Row],[profissional_id]]&amp;Ocupacao_DW[[#This Row],[local_id]]</f>
        <v>446361078514</v>
      </c>
      <c r="H4911" s="1">
        <f>_xlfn.XLOOKUP(Ocupacao_DW[[#This Row],[Concat]],Vagas!$H:$H,Vagas!$D:$D,"",0)</f>
        <v>8</v>
      </c>
    </row>
    <row r="4912" spans="1:8" x14ac:dyDescent="0.25">
      <c r="A4912" s="2">
        <v>44643</v>
      </c>
      <c r="B4912" s="1" t="s">
        <v>52</v>
      </c>
      <c r="C4912">
        <v>10691</v>
      </c>
      <c r="D4912" s="1" t="s">
        <v>181</v>
      </c>
      <c r="E4912" s="1" t="s">
        <v>6</v>
      </c>
      <c r="F4912">
        <v>9</v>
      </c>
      <c r="G4912" s="1" t="str">
        <f>Ocupacao_DW[[#This Row],[data]]&amp;Ocupacao_DW[[#This Row],[profissional_id]]&amp;Ocupacao_DW[[#This Row],[local_id]]</f>
        <v>44643106919</v>
      </c>
      <c r="H4912" s="1">
        <f>_xlfn.XLOOKUP(Ocupacao_DW[[#This Row],[Concat]],Vagas!$H:$H,Vagas!$D:$D,"",0)</f>
        <v>0</v>
      </c>
    </row>
    <row r="4913" spans="1:8" x14ac:dyDescent="0.25">
      <c r="A4913" s="2">
        <v>44636</v>
      </c>
      <c r="B4913" s="1" t="s">
        <v>62</v>
      </c>
      <c r="C4913">
        <v>2567</v>
      </c>
      <c r="D4913" s="1" t="s">
        <v>198</v>
      </c>
      <c r="E4913" s="1" t="s">
        <v>5</v>
      </c>
      <c r="F4913">
        <v>349</v>
      </c>
      <c r="G4913" s="1" t="str">
        <f>Ocupacao_DW[[#This Row],[data]]&amp;Ocupacao_DW[[#This Row],[profissional_id]]&amp;Ocupacao_DW[[#This Row],[local_id]]</f>
        <v>446362567349</v>
      </c>
      <c r="H4913" s="1">
        <f>_xlfn.XLOOKUP(Ocupacao_DW[[#This Row],[Concat]],Vagas!$H:$H,Vagas!$D:$D,"",0)</f>
        <v>0</v>
      </c>
    </row>
    <row r="4914" spans="1:8" x14ac:dyDescent="0.25">
      <c r="A4914" s="2">
        <v>44638</v>
      </c>
      <c r="B4914" s="1" t="s">
        <v>52</v>
      </c>
      <c r="C4914">
        <v>60</v>
      </c>
      <c r="D4914" s="1" t="s">
        <v>217</v>
      </c>
      <c r="E4914" s="1" t="s">
        <v>167</v>
      </c>
      <c r="F4914">
        <v>348</v>
      </c>
      <c r="G4914" s="1" t="str">
        <f>Ocupacao_DW[[#This Row],[data]]&amp;Ocupacao_DW[[#This Row],[profissional_id]]&amp;Ocupacao_DW[[#This Row],[local_id]]</f>
        <v>4463860348</v>
      </c>
      <c r="H4914" s="1">
        <f>_xlfn.XLOOKUP(Ocupacao_DW[[#This Row],[Concat]],Vagas!$H:$H,Vagas!$D:$D,"",0)</f>
        <v>0</v>
      </c>
    </row>
    <row r="4915" spans="1:8" x14ac:dyDescent="0.25">
      <c r="A4915" s="2">
        <v>44636</v>
      </c>
      <c r="B4915" s="1" t="s">
        <v>62</v>
      </c>
      <c r="C4915">
        <v>10799</v>
      </c>
      <c r="D4915" s="1" t="s">
        <v>204</v>
      </c>
      <c r="E4915" s="1" t="s">
        <v>5</v>
      </c>
      <c r="F4915">
        <v>18</v>
      </c>
      <c r="G4915" s="1" t="str">
        <f>Ocupacao_DW[[#This Row],[data]]&amp;Ocupacao_DW[[#This Row],[profissional_id]]&amp;Ocupacao_DW[[#This Row],[local_id]]</f>
        <v>446361079918</v>
      </c>
      <c r="H4915" s="1">
        <f>_xlfn.XLOOKUP(Ocupacao_DW[[#This Row],[Concat]],Vagas!$H:$H,Vagas!$D:$D,"",0)</f>
        <v>0</v>
      </c>
    </row>
    <row r="4916" spans="1:8" x14ac:dyDescent="0.25">
      <c r="A4916" s="2">
        <v>44646</v>
      </c>
      <c r="B4916" s="1" t="s">
        <v>55</v>
      </c>
      <c r="C4916">
        <v>17879</v>
      </c>
      <c r="D4916" s="1" t="s">
        <v>233</v>
      </c>
      <c r="E4916" s="1" t="s">
        <v>6</v>
      </c>
      <c r="F4916">
        <v>3</v>
      </c>
      <c r="G4916" s="1" t="str">
        <f>Ocupacao_DW[[#This Row],[data]]&amp;Ocupacao_DW[[#This Row],[profissional_id]]&amp;Ocupacao_DW[[#This Row],[local_id]]</f>
        <v>44646178793</v>
      </c>
      <c r="H4916" s="1">
        <f>_xlfn.XLOOKUP(Ocupacao_DW[[#This Row],[Concat]],Vagas!$H:$H,Vagas!$D:$D,"",0)</f>
        <v>0</v>
      </c>
    </row>
    <row r="4917" spans="1:8" x14ac:dyDescent="0.25">
      <c r="A4917" s="2">
        <v>44636</v>
      </c>
      <c r="B4917" s="1" t="s">
        <v>65</v>
      </c>
      <c r="C4917">
        <v>13058</v>
      </c>
      <c r="D4917" s="1" t="s">
        <v>256</v>
      </c>
      <c r="E4917" s="1" t="s">
        <v>4</v>
      </c>
      <c r="F4917">
        <v>47</v>
      </c>
      <c r="G4917" s="1" t="str">
        <f>Ocupacao_DW[[#This Row],[data]]&amp;Ocupacao_DW[[#This Row],[profissional_id]]&amp;Ocupacao_DW[[#This Row],[local_id]]</f>
        <v>446361305847</v>
      </c>
      <c r="H4917" s="1">
        <f>_xlfn.XLOOKUP(Ocupacao_DW[[#This Row],[Concat]],Vagas!$H:$H,Vagas!$D:$D,"",0)</f>
        <v>0</v>
      </c>
    </row>
    <row r="4918" spans="1:8" x14ac:dyDescent="0.25">
      <c r="A4918" s="2">
        <v>44638</v>
      </c>
      <c r="B4918" s="1" t="s">
        <v>52</v>
      </c>
      <c r="C4918">
        <v>55</v>
      </c>
      <c r="D4918" s="1" t="s">
        <v>244</v>
      </c>
      <c r="E4918" s="1" t="s">
        <v>7</v>
      </c>
      <c r="F4918">
        <v>68</v>
      </c>
      <c r="G4918" s="1" t="str">
        <f>Ocupacao_DW[[#This Row],[data]]&amp;Ocupacao_DW[[#This Row],[profissional_id]]&amp;Ocupacao_DW[[#This Row],[local_id]]</f>
        <v>446385568</v>
      </c>
      <c r="H4918" s="1">
        <f>_xlfn.XLOOKUP(Ocupacao_DW[[#This Row],[Concat]],Vagas!$H:$H,Vagas!$D:$D,"",0)</f>
        <v>0</v>
      </c>
    </row>
    <row r="4919" spans="1:8" x14ac:dyDescent="0.25">
      <c r="A4919" s="2">
        <v>44638</v>
      </c>
      <c r="B4919" s="1" t="s">
        <v>56</v>
      </c>
      <c r="C4919">
        <v>5927</v>
      </c>
      <c r="D4919" s="1" t="s">
        <v>226</v>
      </c>
      <c r="E4919" s="1" t="s">
        <v>5</v>
      </c>
      <c r="F4919">
        <v>17</v>
      </c>
      <c r="G4919" s="1" t="str">
        <f>Ocupacao_DW[[#This Row],[data]]&amp;Ocupacao_DW[[#This Row],[profissional_id]]&amp;Ocupacao_DW[[#This Row],[local_id]]</f>
        <v>44638592717</v>
      </c>
      <c r="H4919" s="1">
        <f>_xlfn.XLOOKUP(Ocupacao_DW[[#This Row],[Concat]],Vagas!$H:$H,Vagas!$D:$D,"",0)</f>
        <v>0</v>
      </c>
    </row>
    <row r="4920" spans="1:8" x14ac:dyDescent="0.25">
      <c r="A4920" s="2">
        <v>44643</v>
      </c>
      <c r="B4920" s="1" t="s">
        <v>52</v>
      </c>
      <c r="C4920">
        <v>10691</v>
      </c>
      <c r="D4920" s="1" t="s">
        <v>181</v>
      </c>
      <c r="E4920" s="1" t="s">
        <v>6</v>
      </c>
      <c r="F4920">
        <v>9</v>
      </c>
      <c r="G4920" s="1" t="str">
        <f>Ocupacao_DW[[#This Row],[data]]&amp;Ocupacao_DW[[#This Row],[profissional_id]]&amp;Ocupacao_DW[[#This Row],[local_id]]</f>
        <v>44643106919</v>
      </c>
      <c r="H4920" s="1">
        <f>_xlfn.XLOOKUP(Ocupacao_DW[[#This Row],[Concat]],Vagas!$H:$H,Vagas!$D:$D,"",0)</f>
        <v>0</v>
      </c>
    </row>
    <row r="4921" spans="1:8" x14ac:dyDescent="0.25">
      <c r="A4921" s="2">
        <v>44642</v>
      </c>
      <c r="B4921" s="1" t="s">
        <v>52</v>
      </c>
      <c r="C4921">
        <v>60</v>
      </c>
      <c r="D4921" s="1" t="s">
        <v>217</v>
      </c>
      <c r="E4921" s="1" t="s">
        <v>167</v>
      </c>
      <c r="F4921">
        <v>345</v>
      </c>
      <c r="G4921" s="1" t="str">
        <f>Ocupacao_DW[[#This Row],[data]]&amp;Ocupacao_DW[[#This Row],[profissional_id]]&amp;Ocupacao_DW[[#This Row],[local_id]]</f>
        <v>4464260345</v>
      </c>
      <c r="H4921" s="1">
        <f>_xlfn.XLOOKUP(Ocupacao_DW[[#This Row],[Concat]],Vagas!$H:$H,Vagas!$D:$D,"",0)</f>
        <v>0</v>
      </c>
    </row>
    <row r="4922" spans="1:8" x14ac:dyDescent="0.25">
      <c r="A4922" s="2">
        <v>44643</v>
      </c>
      <c r="B4922" s="1" t="s">
        <v>51</v>
      </c>
      <c r="C4922">
        <v>17859</v>
      </c>
      <c r="D4922" s="1" t="s">
        <v>212</v>
      </c>
      <c r="E4922" s="1" t="s">
        <v>6</v>
      </c>
      <c r="F4922">
        <v>7</v>
      </c>
      <c r="G4922" s="1" t="str">
        <f>Ocupacao_DW[[#This Row],[data]]&amp;Ocupacao_DW[[#This Row],[profissional_id]]&amp;Ocupacao_DW[[#This Row],[local_id]]</f>
        <v>44643178597</v>
      </c>
      <c r="H4922" s="1">
        <f>_xlfn.XLOOKUP(Ocupacao_DW[[#This Row],[Concat]],Vagas!$H:$H,Vagas!$D:$D,"",0)</f>
        <v>0</v>
      </c>
    </row>
    <row r="4923" spans="1:8" x14ac:dyDescent="0.25">
      <c r="A4923" s="2">
        <v>44635</v>
      </c>
      <c r="B4923" s="1" t="s">
        <v>64</v>
      </c>
      <c r="C4923">
        <v>85</v>
      </c>
      <c r="D4923" s="1" t="s">
        <v>211</v>
      </c>
      <c r="E4923" s="1" t="s">
        <v>5</v>
      </c>
      <c r="F4923">
        <v>349</v>
      </c>
      <c r="G4923" s="1" t="str">
        <f>Ocupacao_DW[[#This Row],[data]]&amp;Ocupacao_DW[[#This Row],[profissional_id]]&amp;Ocupacao_DW[[#This Row],[local_id]]</f>
        <v>4463585349</v>
      </c>
      <c r="H4923" s="1">
        <f>_xlfn.XLOOKUP(Ocupacao_DW[[#This Row],[Concat]],Vagas!$H:$H,Vagas!$D:$D,"",0)</f>
        <v>0</v>
      </c>
    </row>
    <row r="4924" spans="1:8" x14ac:dyDescent="0.25">
      <c r="A4924" s="2">
        <v>44638</v>
      </c>
      <c r="B4924" s="1" t="s">
        <v>56</v>
      </c>
      <c r="C4924">
        <v>5927</v>
      </c>
      <c r="D4924" s="1" t="s">
        <v>226</v>
      </c>
      <c r="E4924" s="1" t="s">
        <v>5</v>
      </c>
      <c r="F4924">
        <v>17</v>
      </c>
      <c r="G4924" s="1" t="str">
        <f>Ocupacao_DW[[#This Row],[data]]&amp;Ocupacao_DW[[#This Row],[profissional_id]]&amp;Ocupacao_DW[[#This Row],[local_id]]</f>
        <v>44638592717</v>
      </c>
      <c r="H4924" s="1">
        <f>_xlfn.XLOOKUP(Ocupacao_DW[[#This Row],[Concat]],Vagas!$H:$H,Vagas!$D:$D,"",0)</f>
        <v>0</v>
      </c>
    </row>
    <row r="4925" spans="1:8" x14ac:dyDescent="0.25">
      <c r="A4925" s="2">
        <v>44648</v>
      </c>
      <c r="B4925" s="1" t="s">
        <v>49</v>
      </c>
      <c r="C4925">
        <v>6430</v>
      </c>
      <c r="D4925" s="1" t="s">
        <v>188</v>
      </c>
      <c r="E4925" s="1" t="s">
        <v>200</v>
      </c>
      <c r="F4925">
        <v>86</v>
      </c>
      <c r="G4925" s="1" t="str">
        <f>Ocupacao_DW[[#This Row],[data]]&amp;Ocupacao_DW[[#This Row],[profissional_id]]&amp;Ocupacao_DW[[#This Row],[local_id]]</f>
        <v>44648643086</v>
      </c>
      <c r="H4925" s="1">
        <f>_xlfn.XLOOKUP(Ocupacao_DW[[#This Row],[Concat]],Vagas!$H:$H,Vagas!$D:$D,"",0)</f>
        <v>0</v>
      </c>
    </row>
    <row r="4926" spans="1:8" x14ac:dyDescent="0.25">
      <c r="A4926" s="2">
        <v>44648</v>
      </c>
      <c r="B4926" s="1" t="s">
        <v>55</v>
      </c>
      <c r="C4926">
        <v>60</v>
      </c>
      <c r="D4926" s="1" t="s">
        <v>217</v>
      </c>
      <c r="E4926" s="1" t="s">
        <v>7</v>
      </c>
      <c r="F4926">
        <v>66</v>
      </c>
      <c r="G4926" s="1" t="str">
        <f>Ocupacao_DW[[#This Row],[data]]&amp;Ocupacao_DW[[#This Row],[profissional_id]]&amp;Ocupacao_DW[[#This Row],[local_id]]</f>
        <v>446486066</v>
      </c>
      <c r="H4926" s="1">
        <f>_xlfn.XLOOKUP(Ocupacao_DW[[#This Row],[Concat]],Vagas!$H:$H,Vagas!$D:$D,"",0)</f>
        <v>0</v>
      </c>
    </row>
    <row r="4927" spans="1:8" x14ac:dyDescent="0.25">
      <c r="A4927" s="2">
        <v>44635</v>
      </c>
      <c r="B4927" s="1" t="s">
        <v>47</v>
      </c>
      <c r="C4927">
        <v>111</v>
      </c>
      <c r="D4927" s="1" t="s">
        <v>199</v>
      </c>
      <c r="E4927" s="1" t="s">
        <v>4</v>
      </c>
      <c r="F4927">
        <v>51</v>
      </c>
      <c r="G4927" s="1" t="str">
        <f>Ocupacao_DW[[#This Row],[data]]&amp;Ocupacao_DW[[#This Row],[profissional_id]]&amp;Ocupacao_DW[[#This Row],[local_id]]</f>
        <v>4463511151</v>
      </c>
      <c r="H4927" s="1">
        <f>_xlfn.XLOOKUP(Ocupacao_DW[[#This Row],[Concat]],Vagas!$H:$H,Vagas!$D:$D,"",0)</f>
        <v>0</v>
      </c>
    </row>
    <row r="4928" spans="1:8" x14ac:dyDescent="0.25">
      <c r="A4928" s="2">
        <v>44638</v>
      </c>
      <c r="B4928" s="1" t="s">
        <v>52</v>
      </c>
      <c r="C4928">
        <v>55</v>
      </c>
      <c r="D4928" s="1" t="s">
        <v>244</v>
      </c>
      <c r="E4928" s="1" t="s">
        <v>7</v>
      </c>
      <c r="F4928">
        <v>68</v>
      </c>
      <c r="G4928" s="1" t="str">
        <f>Ocupacao_DW[[#This Row],[data]]&amp;Ocupacao_DW[[#This Row],[profissional_id]]&amp;Ocupacao_DW[[#This Row],[local_id]]</f>
        <v>446385568</v>
      </c>
      <c r="H4928" s="1">
        <f>_xlfn.XLOOKUP(Ocupacao_DW[[#This Row],[Concat]],Vagas!$H:$H,Vagas!$D:$D,"",0)</f>
        <v>0</v>
      </c>
    </row>
    <row r="4929" spans="1:8" x14ac:dyDescent="0.25">
      <c r="A4929" s="2">
        <v>44637</v>
      </c>
      <c r="B4929" s="1" t="s">
        <v>52</v>
      </c>
      <c r="C4929">
        <v>10691</v>
      </c>
      <c r="D4929" s="1" t="s">
        <v>181</v>
      </c>
      <c r="E4929" s="1" t="s">
        <v>6</v>
      </c>
      <c r="F4929">
        <v>9</v>
      </c>
      <c r="G4929" s="1" t="str">
        <f>Ocupacao_DW[[#This Row],[data]]&amp;Ocupacao_DW[[#This Row],[profissional_id]]&amp;Ocupacao_DW[[#This Row],[local_id]]</f>
        <v>44637106919</v>
      </c>
      <c r="H4929" s="1">
        <f>_xlfn.XLOOKUP(Ocupacao_DW[[#This Row],[Concat]],Vagas!$H:$H,Vagas!$D:$D,"",0)</f>
        <v>0</v>
      </c>
    </row>
    <row r="4930" spans="1:8" x14ac:dyDescent="0.25">
      <c r="A4930" s="2">
        <v>44637</v>
      </c>
      <c r="B4930" s="1" t="s">
        <v>49</v>
      </c>
      <c r="C4930">
        <v>266</v>
      </c>
      <c r="D4930" s="1" t="s">
        <v>201</v>
      </c>
      <c r="E4930" s="1" t="s">
        <v>4</v>
      </c>
      <c r="F4930">
        <v>42</v>
      </c>
      <c r="G4930" s="1" t="str">
        <f>Ocupacao_DW[[#This Row],[data]]&amp;Ocupacao_DW[[#This Row],[profissional_id]]&amp;Ocupacao_DW[[#This Row],[local_id]]</f>
        <v>4463726642</v>
      </c>
      <c r="H4930" s="1">
        <f>_xlfn.XLOOKUP(Ocupacao_DW[[#This Row],[Concat]],Vagas!$H:$H,Vagas!$D:$D,"",0)</f>
        <v>0</v>
      </c>
    </row>
    <row r="4931" spans="1:8" x14ac:dyDescent="0.25">
      <c r="A4931" s="2">
        <v>44642</v>
      </c>
      <c r="B4931" s="1" t="s">
        <v>47</v>
      </c>
      <c r="C4931">
        <v>111</v>
      </c>
      <c r="D4931" s="1" t="s">
        <v>199</v>
      </c>
      <c r="E4931" s="1" t="s">
        <v>4</v>
      </c>
      <c r="F4931">
        <v>51</v>
      </c>
      <c r="G4931" s="1" t="str">
        <f>Ocupacao_DW[[#This Row],[data]]&amp;Ocupacao_DW[[#This Row],[profissional_id]]&amp;Ocupacao_DW[[#This Row],[local_id]]</f>
        <v>4464211151</v>
      </c>
      <c r="H4931" s="1">
        <f>_xlfn.XLOOKUP(Ocupacao_DW[[#This Row],[Concat]],Vagas!$H:$H,Vagas!$D:$D,"",0)</f>
        <v>25</v>
      </c>
    </row>
    <row r="4932" spans="1:8" x14ac:dyDescent="0.25">
      <c r="A4932" s="2">
        <v>44643</v>
      </c>
      <c r="B4932" s="1" t="s">
        <v>72</v>
      </c>
      <c r="C4932">
        <v>1794</v>
      </c>
      <c r="D4932" s="1" t="s">
        <v>235</v>
      </c>
      <c r="E4932" s="1" t="s">
        <v>4</v>
      </c>
      <c r="F4932">
        <v>49</v>
      </c>
      <c r="G4932" s="1" t="str">
        <f>Ocupacao_DW[[#This Row],[data]]&amp;Ocupacao_DW[[#This Row],[profissional_id]]&amp;Ocupacao_DW[[#This Row],[local_id]]</f>
        <v>44643179449</v>
      </c>
      <c r="H4932" s="1">
        <f>_xlfn.XLOOKUP(Ocupacao_DW[[#This Row],[Concat]],Vagas!$H:$H,Vagas!$D:$D,"",0)</f>
        <v>0</v>
      </c>
    </row>
    <row r="4933" spans="1:8" x14ac:dyDescent="0.25">
      <c r="A4933" s="2">
        <v>44648</v>
      </c>
      <c r="B4933" s="1" t="s">
        <v>52</v>
      </c>
      <c r="C4933">
        <v>10595</v>
      </c>
      <c r="D4933" s="1" t="s">
        <v>218</v>
      </c>
      <c r="E4933" s="1" t="s">
        <v>200</v>
      </c>
      <c r="F4933">
        <v>78</v>
      </c>
      <c r="G4933" s="1" t="str">
        <f>Ocupacao_DW[[#This Row],[data]]&amp;Ocupacao_DW[[#This Row],[profissional_id]]&amp;Ocupacao_DW[[#This Row],[local_id]]</f>
        <v>446481059578</v>
      </c>
      <c r="H4933" s="1">
        <f>_xlfn.XLOOKUP(Ocupacao_DW[[#This Row],[Concat]],Vagas!$H:$H,Vagas!$D:$D,"",0)</f>
        <v>0</v>
      </c>
    </row>
    <row r="4934" spans="1:8" x14ac:dyDescent="0.25">
      <c r="A4934" s="2">
        <v>44636</v>
      </c>
      <c r="B4934" s="1" t="s">
        <v>56</v>
      </c>
      <c r="C4934">
        <v>13660</v>
      </c>
      <c r="D4934" s="1" t="s">
        <v>250</v>
      </c>
      <c r="E4934" s="1" t="s">
        <v>200</v>
      </c>
      <c r="F4934">
        <v>78</v>
      </c>
      <c r="G4934" s="1" t="str">
        <f>Ocupacao_DW[[#This Row],[data]]&amp;Ocupacao_DW[[#This Row],[profissional_id]]&amp;Ocupacao_DW[[#This Row],[local_id]]</f>
        <v>446361366078</v>
      </c>
      <c r="H4934" s="1">
        <f>_xlfn.XLOOKUP(Ocupacao_DW[[#This Row],[Concat]],Vagas!$H:$H,Vagas!$D:$D,"",0)</f>
        <v>3</v>
      </c>
    </row>
    <row r="4935" spans="1:8" x14ac:dyDescent="0.25">
      <c r="A4935" s="2">
        <v>44643</v>
      </c>
      <c r="B4935" s="1" t="s">
        <v>51</v>
      </c>
      <c r="C4935">
        <v>17859</v>
      </c>
      <c r="D4935" s="1" t="s">
        <v>212</v>
      </c>
      <c r="E4935" s="1" t="s">
        <v>6</v>
      </c>
      <c r="F4935">
        <v>7</v>
      </c>
      <c r="G4935" s="1" t="str">
        <f>Ocupacao_DW[[#This Row],[data]]&amp;Ocupacao_DW[[#This Row],[profissional_id]]&amp;Ocupacao_DW[[#This Row],[local_id]]</f>
        <v>44643178597</v>
      </c>
      <c r="H4935" s="1">
        <f>_xlfn.XLOOKUP(Ocupacao_DW[[#This Row],[Concat]],Vagas!$H:$H,Vagas!$D:$D,"",0)</f>
        <v>0</v>
      </c>
    </row>
    <row r="4936" spans="1:8" x14ac:dyDescent="0.25">
      <c r="A4936" s="2">
        <v>44637</v>
      </c>
      <c r="B4936" s="1" t="s">
        <v>46</v>
      </c>
      <c r="C4936">
        <v>17888</v>
      </c>
      <c r="D4936" s="1" t="s">
        <v>255</v>
      </c>
      <c r="E4936" s="1" t="s">
        <v>4</v>
      </c>
      <c r="F4936">
        <v>40</v>
      </c>
      <c r="G4936" s="1" t="str">
        <f>Ocupacao_DW[[#This Row],[data]]&amp;Ocupacao_DW[[#This Row],[profissional_id]]&amp;Ocupacao_DW[[#This Row],[local_id]]</f>
        <v>446371788840</v>
      </c>
      <c r="H4936" s="1">
        <f>_xlfn.XLOOKUP(Ocupacao_DW[[#This Row],[Concat]],Vagas!$H:$H,Vagas!$D:$D,"",0)</f>
        <v>20</v>
      </c>
    </row>
    <row r="4937" spans="1:8" x14ac:dyDescent="0.25">
      <c r="A4937" s="2">
        <v>44638</v>
      </c>
      <c r="B4937" s="1" t="s">
        <v>47</v>
      </c>
      <c r="C4937">
        <v>12684</v>
      </c>
      <c r="D4937" s="1" t="s">
        <v>236</v>
      </c>
      <c r="E4937" s="1" t="s">
        <v>200</v>
      </c>
      <c r="F4937">
        <v>85</v>
      </c>
      <c r="G4937" s="1" t="str">
        <f>Ocupacao_DW[[#This Row],[data]]&amp;Ocupacao_DW[[#This Row],[profissional_id]]&amp;Ocupacao_DW[[#This Row],[local_id]]</f>
        <v>446381268485</v>
      </c>
      <c r="H4937" s="1">
        <f>_xlfn.XLOOKUP(Ocupacao_DW[[#This Row],[Concat]],Vagas!$H:$H,Vagas!$D:$D,"",0)</f>
        <v>0</v>
      </c>
    </row>
    <row r="4938" spans="1:8" x14ac:dyDescent="0.25">
      <c r="A4938" s="2">
        <v>44638</v>
      </c>
      <c r="B4938" s="1" t="s">
        <v>56</v>
      </c>
      <c r="C4938">
        <v>5927</v>
      </c>
      <c r="D4938" s="1" t="s">
        <v>226</v>
      </c>
      <c r="E4938" s="1" t="s">
        <v>5</v>
      </c>
      <c r="F4938">
        <v>17</v>
      </c>
      <c r="G4938" s="1" t="str">
        <f>Ocupacao_DW[[#This Row],[data]]&amp;Ocupacao_DW[[#This Row],[profissional_id]]&amp;Ocupacao_DW[[#This Row],[local_id]]</f>
        <v>44638592717</v>
      </c>
      <c r="H4938" s="1">
        <f>_xlfn.XLOOKUP(Ocupacao_DW[[#This Row],[Concat]],Vagas!$H:$H,Vagas!$D:$D,"",0)</f>
        <v>0</v>
      </c>
    </row>
    <row r="4939" spans="1:8" x14ac:dyDescent="0.25">
      <c r="A4939" s="2">
        <v>44642</v>
      </c>
      <c r="B4939" s="1" t="s">
        <v>55</v>
      </c>
      <c r="C4939">
        <v>14452</v>
      </c>
      <c r="D4939" s="1" t="s">
        <v>266</v>
      </c>
      <c r="E4939" s="1" t="s">
        <v>200</v>
      </c>
      <c r="F4939">
        <v>78</v>
      </c>
      <c r="G4939" s="1" t="str">
        <f>Ocupacao_DW[[#This Row],[data]]&amp;Ocupacao_DW[[#This Row],[profissional_id]]&amp;Ocupacao_DW[[#This Row],[local_id]]</f>
        <v>446421445278</v>
      </c>
      <c r="H4939" s="1">
        <f>_xlfn.XLOOKUP(Ocupacao_DW[[#This Row],[Concat]],Vagas!$H:$H,Vagas!$D:$D,"",0)</f>
        <v>0</v>
      </c>
    </row>
    <row r="4940" spans="1:8" x14ac:dyDescent="0.25">
      <c r="A4940" s="2">
        <v>44642</v>
      </c>
      <c r="B4940" s="1" t="s">
        <v>65</v>
      </c>
      <c r="C4940">
        <v>11652</v>
      </c>
      <c r="D4940" s="1" t="s">
        <v>242</v>
      </c>
      <c r="E4940" s="1" t="s">
        <v>4</v>
      </c>
      <c r="F4940">
        <v>47</v>
      </c>
      <c r="G4940" s="1" t="str">
        <f>Ocupacao_DW[[#This Row],[data]]&amp;Ocupacao_DW[[#This Row],[profissional_id]]&amp;Ocupacao_DW[[#This Row],[local_id]]</f>
        <v>446421165247</v>
      </c>
      <c r="H4940" s="1">
        <f>_xlfn.XLOOKUP(Ocupacao_DW[[#This Row],[Concat]],Vagas!$H:$H,Vagas!$D:$D,"",0)</f>
        <v>35</v>
      </c>
    </row>
    <row r="4941" spans="1:8" x14ac:dyDescent="0.25">
      <c r="A4941" s="2">
        <v>44635</v>
      </c>
      <c r="B4941" s="1" t="s">
        <v>46</v>
      </c>
      <c r="C4941">
        <v>17888</v>
      </c>
      <c r="D4941" s="1" t="s">
        <v>255</v>
      </c>
      <c r="E4941" s="1" t="s">
        <v>4</v>
      </c>
      <c r="F4941">
        <v>40</v>
      </c>
      <c r="G4941" s="1" t="str">
        <f>Ocupacao_DW[[#This Row],[data]]&amp;Ocupacao_DW[[#This Row],[profissional_id]]&amp;Ocupacao_DW[[#This Row],[local_id]]</f>
        <v>446351788840</v>
      </c>
      <c r="H4941" s="1">
        <f>_xlfn.XLOOKUP(Ocupacao_DW[[#This Row],[Concat]],Vagas!$H:$H,Vagas!$D:$D,"",0)</f>
        <v>11</v>
      </c>
    </row>
    <row r="4942" spans="1:8" x14ac:dyDescent="0.25">
      <c r="A4942" s="2">
        <v>44645</v>
      </c>
      <c r="B4942" s="1" t="s">
        <v>47</v>
      </c>
      <c r="C4942">
        <v>9111</v>
      </c>
      <c r="D4942" s="1" t="s">
        <v>206</v>
      </c>
      <c r="E4942" s="1" t="s">
        <v>4</v>
      </c>
      <c r="F4942">
        <v>51</v>
      </c>
      <c r="G4942" s="1" t="str">
        <f>Ocupacao_DW[[#This Row],[data]]&amp;Ocupacao_DW[[#This Row],[profissional_id]]&amp;Ocupacao_DW[[#This Row],[local_id]]</f>
        <v>44645911151</v>
      </c>
      <c r="H4942" s="1">
        <f>_xlfn.XLOOKUP(Ocupacao_DW[[#This Row],[Concat]],Vagas!$H:$H,Vagas!$D:$D,"",0)</f>
        <v>0</v>
      </c>
    </row>
    <row r="4943" spans="1:8" x14ac:dyDescent="0.25">
      <c r="A4943" s="2">
        <v>44635</v>
      </c>
      <c r="B4943" s="1" t="s">
        <v>66</v>
      </c>
      <c r="C4943">
        <v>1343</v>
      </c>
      <c r="D4943" s="1" t="s">
        <v>263</v>
      </c>
      <c r="E4943" s="1" t="s">
        <v>200</v>
      </c>
      <c r="F4943">
        <v>80</v>
      </c>
      <c r="G4943" s="1" t="str">
        <f>Ocupacao_DW[[#This Row],[data]]&amp;Ocupacao_DW[[#This Row],[profissional_id]]&amp;Ocupacao_DW[[#This Row],[local_id]]</f>
        <v>44635134380</v>
      </c>
      <c r="H4943" s="1">
        <f>_xlfn.XLOOKUP(Ocupacao_DW[[#This Row],[Concat]],Vagas!$H:$H,Vagas!$D:$D,"",0)</f>
        <v>0</v>
      </c>
    </row>
    <row r="4944" spans="1:8" x14ac:dyDescent="0.25">
      <c r="A4944" s="2">
        <v>44637</v>
      </c>
      <c r="B4944" s="1" t="s">
        <v>49</v>
      </c>
      <c r="C4944">
        <v>266</v>
      </c>
      <c r="D4944" s="1" t="s">
        <v>201</v>
      </c>
      <c r="E4944" s="1" t="s">
        <v>4</v>
      </c>
      <c r="F4944">
        <v>42</v>
      </c>
      <c r="G4944" s="1" t="str">
        <f>Ocupacao_DW[[#This Row],[data]]&amp;Ocupacao_DW[[#This Row],[profissional_id]]&amp;Ocupacao_DW[[#This Row],[local_id]]</f>
        <v>4463726642</v>
      </c>
      <c r="H4944" s="1">
        <f>_xlfn.XLOOKUP(Ocupacao_DW[[#This Row],[Concat]],Vagas!$H:$H,Vagas!$D:$D,"",0)</f>
        <v>0</v>
      </c>
    </row>
    <row r="4945" spans="1:8" x14ac:dyDescent="0.25">
      <c r="A4945" s="2">
        <v>44648</v>
      </c>
      <c r="B4945" s="1" t="s">
        <v>55</v>
      </c>
      <c r="C4945">
        <v>60</v>
      </c>
      <c r="D4945" s="1" t="s">
        <v>217</v>
      </c>
      <c r="E4945" s="1" t="s">
        <v>7</v>
      </c>
      <c r="F4945">
        <v>66</v>
      </c>
      <c r="G4945" s="1" t="str">
        <f>Ocupacao_DW[[#This Row],[data]]&amp;Ocupacao_DW[[#This Row],[profissional_id]]&amp;Ocupacao_DW[[#This Row],[local_id]]</f>
        <v>446486066</v>
      </c>
      <c r="H4945" s="1">
        <f>_xlfn.XLOOKUP(Ocupacao_DW[[#This Row],[Concat]],Vagas!$H:$H,Vagas!$D:$D,"",0)</f>
        <v>0</v>
      </c>
    </row>
    <row r="4946" spans="1:8" x14ac:dyDescent="0.25">
      <c r="A4946" s="2">
        <v>44656</v>
      </c>
      <c r="B4946" s="1" t="s">
        <v>55</v>
      </c>
      <c r="C4946">
        <v>73</v>
      </c>
      <c r="D4946" s="1" t="s">
        <v>171</v>
      </c>
      <c r="E4946" s="1" t="s">
        <v>6</v>
      </c>
      <c r="F4946">
        <v>5</v>
      </c>
      <c r="G4946" s="1" t="str">
        <f>Ocupacao_DW[[#This Row],[data]]&amp;Ocupacao_DW[[#This Row],[profissional_id]]&amp;Ocupacao_DW[[#This Row],[local_id]]</f>
        <v>44656735</v>
      </c>
      <c r="H4946" s="1">
        <f>_xlfn.XLOOKUP(Ocupacao_DW[[#This Row],[Concat]],Vagas!$H:$H,Vagas!$D:$D,"",0)</f>
        <v>0</v>
      </c>
    </row>
    <row r="4947" spans="1:8" x14ac:dyDescent="0.25">
      <c r="A4947" s="2">
        <v>44636</v>
      </c>
      <c r="B4947" s="1" t="s">
        <v>62</v>
      </c>
      <c r="C4947">
        <v>3502</v>
      </c>
      <c r="D4947" s="1" t="s">
        <v>214</v>
      </c>
      <c r="E4947" s="1" t="s">
        <v>5</v>
      </c>
      <c r="F4947">
        <v>16</v>
      </c>
      <c r="G4947" s="1" t="str">
        <f>Ocupacao_DW[[#This Row],[data]]&amp;Ocupacao_DW[[#This Row],[profissional_id]]&amp;Ocupacao_DW[[#This Row],[local_id]]</f>
        <v>44636350216</v>
      </c>
      <c r="H4947" s="1">
        <f>_xlfn.XLOOKUP(Ocupacao_DW[[#This Row],[Concat]],Vagas!$H:$H,Vagas!$D:$D,"",0)</f>
        <v>0</v>
      </c>
    </row>
    <row r="4948" spans="1:8" x14ac:dyDescent="0.25">
      <c r="A4948" s="2">
        <v>44636</v>
      </c>
      <c r="B4948" s="1" t="s">
        <v>56</v>
      </c>
      <c r="C4948">
        <v>13660</v>
      </c>
      <c r="D4948" s="1" t="s">
        <v>250</v>
      </c>
      <c r="E4948" s="1" t="s">
        <v>200</v>
      </c>
      <c r="F4948">
        <v>78</v>
      </c>
      <c r="G4948" s="1" t="str">
        <f>Ocupacao_DW[[#This Row],[data]]&amp;Ocupacao_DW[[#This Row],[profissional_id]]&amp;Ocupacao_DW[[#This Row],[local_id]]</f>
        <v>446361366078</v>
      </c>
      <c r="H4948" s="1">
        <f>_xlfn.XLOOKUP(Ocupacao_DW[[#This Row],[Concat]],Vagas!$H:$H,Vagas!$D:$D,"",0)</f>
        <v>3</v>
      </c>
    </row>
    <row r="4949" spans="1:8" x14ac:dyDescent="0.25">
      <c r="A4949" s="2">
        <v>44635</v>
      </c>
      <c r="B4949" s="1" t="s">
        <v>70</v>
      </c>
      <c r="C4949">
        <v>12825</v>
      </c>
      <c r="D4949" s="1" t="s">
        <v>177</v>
      </c>
      <c r="E4949" s="1" t="s">
        <v>7</v>
      </c>
      <c r="F4949">
        <v>63</v>
      </c>
      <c r="G4949" s="1" t="str">
        <f>Ocupacao_DW[[#This Row],[data]]&amp;Ocupacao_DW[[#This Row],[profissional_id]]&amp;Ocupacao_DW[[#This Row],[local_id]]</f>
        <v>446351282563</v>
      </c>
      <c r="H4949" s="1">
        <f>_xlfn.XLOOKUP(Ocupacao_DW[[#This Row],[Concat]],Vagas!$H:$H,Vagas!$D:$D,"",0)</f>
        <v>0</v>
      </c>
    </row>
    <row r="4950" spans="1:8" x14ac:dyDescent="0.25">
      <c r="A4950" s="2">
        <v>44638</v>
      </c>
      <c r="B4950" s="1" t="s">
        <v>49</v>
      </c>
      <c r="C4950">
        <v>81</v>
      </c>
      <c r="D4950" s="1" t="s">
        <v>170</v>
      </c>
      <c r="E4950" s="1" t="s">
        <v>4</v>
      </c>
      <c r="F4950">
        <v>41</v>
      </c>
      <c r="G4950" s="1" t="str">
        <f>Ocupacao_DW[[#This Row],[data]]&amp;Ocupacao_DW[[#This Row],[profissional_id]]&amp;Ocupacao_DW[[#This Row],[local_id]]</f>
        <v>446388141</v>
      </c>
      <c r="H4950" s="1">
        <f>_xlfn.XLOOKUP(Ocupacao_DW[[#This Row],[Concat]],Vagas!$H:$H,Vagas!$D:$D,"",0)</f>
        <v>0</v>
      </c>
    </row>
    <row r="4951" spans="1:8" x14ac:dyDescent="0.25">
      <c r="A4951" s="2">
        <v>44657</v>
      </c>
      <c r="B4951" s="1" t="s">
        <v>64</v>
      </c>
      <c r="C4951">
        <v>86</v>
      </c>
      <c r="D4951" s="1" t="s">
        <v>175</v>
      </c>
      <c r="E4951" s="1" t="s">
        <v>7</v>
      </c>
      <c r="F4951">
        <v>66</v>
      </c>
      <c r="G4951" s="1" t="str">
        <f>Ocupacao_DW[[#This Row],[data]]&amp;Ocupacao_DW[[#This Row],[profissional_id]]&amp;Ocupacao_DW[[#This Row],[local_id]]</f>
        <v>446578666</v>
      </c>
      <c r="H4951" s="1">
        <f>_xlfn.XLOOKUP(Ocupacao_DW[[#This Row],[Concat]],Vagas!$H:$H,Vagas!$D:$D,"",0)</f>
        <v>0</v>
      </c>
    </row>
    <row r="4952" spans="1:8" x14ac:dyDescent="0.25">
      <c r="A4952" s="2">
        <v>44642</v>
      </c>
      <c r="B4952" s="1" t="s">
        <v>54</v>
      </c>
      <c r="C4952">
        <v>12623</v>
      </c>
      <c r="D4952" s="1" t="s">
        <v>258</v>
      </c>
      <c r="E4952" s="1" t="s">
        <v>5</v>
      </c>
      <c r="F4952">
        <v>11</v>
      </c>
      <c r="G4952" s="1" t="str">
        <f>Ocupacao_DW[[#This Row],[data]]&amp;Ocupacao_DW[[#This Row],[profissional_id]]&amp;Ocupacao_DW[[#This Row],[local_id]]</f>
        <v>446421262311</v>
      </c>
      <c r="H4952" s="1">
        <f>_xlfn.XLOOKUP(Ocupacao_DW[[#This Row],[Concat]],Vagas!$H:$H,Vagas!$D:$D,"",0)</f>
        <v>0</v>
      </c>
    </row>
    <row r="4953" spans="1:8" x14ac:dyDescent="0.25">
      <c r="A4953" s="2">
        <v>44641</v>
      </c>
      <c r="B4953" s="1" t="s">
        <v>64</v>
      </c>
      <c r="C4953">
        <v>86</v>
      </c>
      <c r="D4953" s="1" t="s">
        <v>175</v>
      </c>
      <c r="E4953" s="1" t="s">
        <v>5</v>
      </c>
      <c r="F4953">
        <v>349</v>
      </c>
      <c r="G4953" s="1" t="str">
        <f>Ocupacao_DW[[#This Row],[data]]&amp;Ocupacao_DW[[#This Row],[profissional_id]]&amp;Ocupacao_DW[[#This Row],[local_id]]</f>
        <v>4464186349</v>
      </c>
      <c r="H4953" s="1">
        <f>_xlfn.XLOOKUP(Ocupacao_DW[[#This Row],[Concat]],Vagas!$H:$H,Vagas!$D:$D,"",0)</f>
        <v>0</v>
      </c>
    </row>
    <row r="4954" spans="1:8" x14ac:dyDescent="0.25">
      <c r="A4954" s="2">
        <v>44643</v>
      </c>
      <c r="B4954" s="1" t="s">
        <v>65</v>
      </c>
      <c r="C4954">
        <v>11652</v>
      </c>
      <c r="D4954" s="1" t="s">
        <v>242</v>
      </c>
      <c r="E4954" s="1" t="s">
        <v>7</v>
      </c>
      <c r="F4954">
        <v>69</v>
      </c>
      <c r="G4954" s="1" t="str">
        <f>Ocupacao_DW[[#This Row],[data]]&amp;Ocupacao_DW[[#This Row],[profissional_id]]&amp;Ocupacao_DW[[#This Row],[local_id]]</f>
        <v>446431165269</v>
      </c>
      <c r="H4954" s="1">
        <f>_xlfn.XLOOKUP(Ocupacao_DW[[#This Row],[Concat]],Vagas!$H:$H,Vagas!$D:$D,"",0)</f>
        <v>0</v>
      </c>
    </row>
    <row r="4955" spans="1:8" x14ac:dyDescent="0.25">
      <c r="A4955" s="2">
        <v>44645</v>
      </c>
      <c r="B4955" s="1" t="s">
        <v>72</v>
      </c>
      <c r="C4955">
        <v>1794</v>
      </c>
      <c r="D4955" s="1" t="s">
        <v>235</v>
      </c>
      <c r="E4955" s="1" t="s">
        <v>4</v>
      </c>
      <c r="F4955">
        <v>46</v>
      </c>
      <c r="G4955" s="1" t="str">
        <f>Ocupacao_DW[[#This Row],[data]]&amp;Ocupacao_DW[[#This Row],[profissional_id]]&amp;Ocupacao_DW[[#This Row],[local_id]]</f>
        <v>44645179446</v>
      </c>
      <c r="H4955" s="1">
        <f>_xlfn.XLOOKUP(Ocupacao_DW[[#This Row],[Concat]],Vagas!$H:$H,Vagas!$D:$D,"",0)</f>
        <v>23</v>
      </c>
    </row>
    <row r="4956" spans="1:8" x14ac:dyDescent="0.25">
      <c r="A4956" s="2">
        <v>44636</v>
      </c>
      <c r="B4956" s="1" t="s">
        <v>47</v>
      </c>
      <c r="C4956">
        <v>110</v>
      </c>
      <c r="D4956" s="1" t="s">
        <v>193</v>
      </c>
      <c r="E4956" s="1" t="s">
        <v>4</v>
      </c>
      <c r="F4956">
        <v>334</v>
      </c>
      <c r="G4956" s="1" t="str">
        <f>Ocupacao_DW[[#This Row],[data]]&amp;Ocupacao_DW[[#This Row],[profissional_id]]&amp;Ocupacao_DW[[#This Row],[local_id]]</f>
        <v>44636110334</v>
      </c>
      <c r="H4956" s="1">
        <f>_xlfn.XLOOKUP(Ocupacao_DW[[#This Row],[Concat]],Vagas!$H:$H,Vagas!$D:$D,"",0)</f>
        <v>0</v>
      </c>
    </row>
    <row r="4957" spans="1:8" x14ac:dyDescent="0.25">
      <c r="A4957" s="2">
        <v>44648</v>
      </c>
      <c r="B4957" s="1" t="s">
        <v>55</v>
      </c>
      <c r="C4957">
        <v>12669</v>
      </c>
      <c r="D4957" s="1" t="s">
        <v>223</v>
      </c>
      <c r="E4957" s="1" t="s">
        <v>6</v>
      </c>
      <c r="F4957">
        <v>6</v>
      </c>
      <c r="G4957" s="1" t="str">
        <f>Ocupacao_DW[[#This Row],[data]]&amp;Ocupacao_DW[[#This Row],[profissional_id]]&amp;Ocupacao_DW[[#This Row],[local_id]]</f>
        <v>44648126696</v>
      </c>
      <c r="H4957" s="1">
        <f>_xlfn.XLOOKUP(Ocupacao_DW[[#This Row],[Concat]],Vagas!$H:$H,Vagas!$D:$D,"",0)</f>
        <v>0</v>
      </c>
    </row>
    <row r="4958" spans="1:8" x14ac:dyDescent="0.25">
      <c r="A4958" s="2">
        <v>44645</v>
      </c>
      <c r="B4958" s="1" t="s">
        <v>66</v>
      </c>
      <c r="C4958">
        <v>10593</v>
      </c>
      <c r="D4958" s="1" t="s">
        <v>241</v>
      </c>
      <c r="E4958" s="1" t="s">
        <v>200</v>
      </c>
      <c r="F4958">
        <v>80</v>
      </c>
      <c r="G4958" s="1" t="str">
        <f>Ocupacao_DW[[#This Row],[data]]&amp;Ocupacao_DW[[#This Row],[profissional_id]]&amp;Ocupacao_DW[[#This Row],[local_id]]</f>
        <v>446451059380</v>
      </c>
      <c r="H4958" s="1">
        <f>_xlfn.XLOOKUP(Ocupacao_DW[[#This Row],[Concat]],Vagas!$H:$H,Vagas!$D:$D,"",0)</f>
        <v>0</v>
      </c>
    </row>
    <row r="4959" spans="1:8" x14ac:dyDescent="0.25">
      <c r="A4959" s="2">
        <v>44635</v>
      </c>
      <c r="B4959" s="1" t="s">
        <v>71</v>
      </c>
      <c r="C4959">
        <v>282</v>
      </c>
      <c r="D4959" s="1" t="s">
        <v>210</v>
      </c>
      <c r="E4959" s="1" t="s">
        <v>4</v>
      </c>
      <c r="F4959">
        <v>48</v>
      </c>
      <c r="G4959" s="1" t="str">
        <f>Ocupacao_DW[[#This Row],[data]]&amp;Ocupacao_DW[[#This Row],[profissional_id]]&amp;Ocupacao_DW[[#This Row],[local_id]]</f>
        <v>4463528248</v>
      </c>
      <c r="H4959" s="1">
        <f>_xlfn.XLOOKUP(Ocupacao_DW[[#This Row],[Concat]],Vagas!$H:$H,Vagas!$D:$D,"",0)</f>
        <v>0</v>
      </c>
    </row>
    <row r="4960" spans="1:8" x14ac:dyDescent="0.25">
      <c r="A4960" s="2">
        <v>44638</v>
      </c>
      <c r="B4960" s="1"/>
      <c r="C4960">
        <v>6430</v>
      </c>
      <c r="D4960" s="1" t="s">
        <v>188</v>
      </c>
      <c r="E4960" s="1" t="s">
        <v>4</v>
      </c>
      <c r="F4960">
        <v>42</v>
      </c>
      <c r="G4960" s="1" t="str">
        <f>Ocupacao_DW[[#This Row],[data]]&amp;Ocupacao_DW[[#This Row],[profissional_id]]&amp;Ocupacao_DW[[#This Row],[local_id]]</f>
        <v>44638643042</v>
      </c>
      <c r="H4960" s="1">
        <f>_xlfn.XLOOKUP(Ocupacao_DW[[#This Row],[Concat]],Vagas!$H:$H,Vagas!$D:$D,"",0)</f>
        <v>0</v>
      </c>
    </row>
    <row r="4961" spans="1:8" x14ac:dyDescent="0.25">
      <c r="A4961" s="2">
        <v>44638</v>
      </c>
      <c r="B4961" s="1" t="s">
        <v>49</v>
      </c>
      <c r="C4961">
        <v>6430</v>
      </c>
      <c r="D4961" s="1" t="s">
        <v>188</v>
      </c>
      <c r="E4961" s="1" t="s">
        <v>4</v>
      </c>
      <c r="F4961">
        <v>42</v>
      </c>
      <c r="G4961" s="1" t="str">
        <f>Ocupacao_DW[[#This Row],[data]]&amp;Ocupacao_DW[[#This Row],[profissional_id]]&amp;Ocupacao_DW[[#This Row],[local_id]]</f>
        <v>44638643042</v>
      </c>
      <c r="H4961" s="1">
        <f>_xlfn.XLOOKUP(Ocupacao_DW[[#This Row],[Concat]],Vagas!$H:$H,Vagas!$D:$D,"",0)</f>
        <v>0</v>
      </c>
    </row>
    <row r="4962" spans="1:8" x14ac:dyDescent="0.25">
      <c r="A4962" s="2">
        <v>44643</v>
      </c>
      <c r="B4962" s="1" t="s">
        <v>70</v>
      </c>
      <c r="C4962">
        <v>12825</v>
      </c>
      <c r="D4962" s="1" t="s">
        <v>177</v>
      </c>
      <c r="E4962" s="1" t="s">
        <v>4</v>
      </c>
      <c r="F4962">
        <v>45</v>
      </c>
      <c r="G4962" s="1" t="str">
        <f>Ocupacao_DW[[#This Row],[data]]&amp;Ocupacao_DW[[#This Row],[profissional_id]]&amp;Ocupacao_DW[[#This Row],[local_id]]</f>
        <v>446431282545</v>
      </c>
      <c r="H4962" s="1">
        <f>_xlfn.XLOOKUP(Ocupacao_DW[[#This Row],[Concat]],Vagas!$H:$H,Vagas!$D:$D,"",0)</f>
        <v>0</v>
      </c>
    </row>
    <row r="4963" spans="1:8" x14ac:dyDescent="0.25">
      <c r="A4963" s="2">
        <v>44638</v>
      </c>
      <c r="B4963" s="1" t="s">
        <v>52</v>
      </c>
      <c r="C4963">
        <v>60</v>
      </c>
      <c r="D4963" s="1" t="s">
        <v>217</v>
      </c>
      <c r="E4963" s="1" t="s">
        <v>167</v>
      </c>
      <c r="F4963">
        <v>348</v>
      </c>
      <c r="G4963" s="1" t="str">
        <f>Ocupacao_DW[[#This Row],[data]]&amp;Ocupacao_DW[[#This Row],[profissional_id]]&amp;Ocupacao_DW[[#This Row],[local_id]]</f>
        <v>4463860348</v>
      </c>
      <c r="H4963" s="1">
        <f>_xlfn.XLOOKUP(Ocupacao_DW[[#This Row],[Concat]],Vagas!$H:$H,Vagas!$D:$D,"",0)</f>
        <v>0</v>
      </c>
    </row>
    <row r="4964" spans="1:8" x14ac:dyDescent="0.25">
      <c r="A4964" s="2">
        <v>44635</v>
      </c>
      <c r="B4964" s="1" t="s">
        <v>55</v>
      </c>
      <c r="C4964">
        <v>14452</v>
      </c>
      <c r="D4964" s="1" t="s">
        <v>266</v>
      </c>
      <c r="E4964" s="1" t="s">
        <v>200</v>
      </c>
      <c r="F4964">
        <v>78</v>
      </c>
      <c r="G4964" s="1" t="str">
        <f>Ocupacao_DW[[#This Row],[data]]&amp;Ocupacao_DW[[#This Row],[profissional_id]]&amp;Ocupacao_DW[[#This Row],[local_id]]</f>
        <v>446351445278</v>
      </c>
      <c r="H4964" s="1">
        <f>_xlfn.XLOOKUP(Ocupacao_DW[[#This Row],[Concat]],Vagas!$H:$H,Vagas!$D:$D,"",0)</f>
        <v>0</v>
      </c>
    </row>
    <row r="4965" spans="1:8" x14ac:dyDescent="0.25">
      <c r="A4965" s="2">
        <v>44638</v>
      </c>
      <c r="B4965" s="1" t="s">
        <v>52</v>
      </c>
      <c r="C4965">
        <v>55</v>
      </c>
      <c r="D4965" s="1" t="s">
        <v>244</v>
      </c>
      <c r="E4965" s="1" t="s">
        <v>7</v>
      </c>
      <c r="F4965">
        <v>68</v>
      </c>
      <c r="G4965" s="1" t="str">
        <f>Ocupacao_DW[[#This Row],[data]]&amp;Ocupacao_DW[[#This Row],[profissional_id]]&amp;Ocupacao_DW[[#This Row],[local_id]]</f>
        <v>446385568</v>
      </c>
      <c r="H4965" s="1">
        <f>_xlfn.XLOOKUP(Ocupacao_DW[[#This Row],[Concat]],Vagas!$H:$H,Vagas!$D:$D,"",0)</f>
        <v>0</v>
      </c>
    </row>
    <row r="4966" spans="1:8" x14ac:dyDescent="0.25">
      <c r="A4966" s="2">
        <v>44636</v>
      </c>
      <c r="B4966" s="1" t="s">
        <v>50</v>
      </c>
      <c r="C4966">
        <v>10785</v>
      </c>
      <c r="D4966" s="1" t="s">
        <v>237</v>
      </c>
      <c r="E4966" s="1" t="s">
        <v>5</v>
      </c>
      <c r="F4966">
        <v>14</v>
      </c>
      <c r="G4966" s="1" t="str">
        <f>Ocupacao_DW[[#This Row],[data]]&amp;Ocupacao_DW[[#This Row],[profissional_id]]&amp;Ocupacao_DW[[#This Row],[local_id]]</f>
        <v>446361078514</v>
      </c>
      <c r="H4966" s="1">
        <f>_xlfn.XLOOKUP(Ocupacao_DW[[#This Row],[Concat]],Vagas!$H:$H,Vagas!$D:$D,"",0)</f>
        <v>8</v>
      </c>
    </row>
    <row r="4967" spans="1:8" x14ac:dyDescent="0.25">
      <c r="A4967" s="2">
        <v>44640</v>
      </c>
      <c r="B4967" s="1" t="s">
        <v>62</v>
      </c>
      <c r="C4967">
        <v>4887</v>
      </c>
      <c r="D4967" s="1" t="s">
        <v>168</v>
      </c>
      <c r="E4967" s="1" t="s">
        <v>167</v>
      </c>
      <c r="F4967">
        <v>340</v>
      </c>
      <c r="G4967" s="1" t="str">
        <f>Ocupacao_DW[[#This Row],[data]]&amp;Ocupacao_DW[[#This Row],[profissional_id]]&amp;Ocupacao_DW[[#This Row],[local_id]]</f>
        <v>446404887340</v>
      </c>
      <c r="H4967" s="1">
        <f>_xlfn.XLOOKUP(Ocupacao_DW[[#This Row],[Concat]],Vagas!$H:$H,Vagas!$D:$D,"",0)</f>
        <v>0</v>
      </c>
    </row>
    <row r="4968" spans="1:8" x14ac:dyDescent="0.25">
      <c r="A4968" s="2">
        <v>44638</v>
      </c>
      <c r="B4968" s="1" t="s">
        <v>49</v>
      </c>
      <c r="C4968">
        <v>81</v>
      </c>
      <c r="D4968" s="1" t="s">
        <v>170</v>
      </c>
      <c r="E4968" s="1" t="s">
        <v>4</v>
      </c>
      <c r="F4968">
        <v>41</v>
      </c>
      <c r="G4968" s="1" t="str">
        <f>Ocupacao_DW[[#This Row],[data]]&amp;Ocupacao_DW[[#This Row],[profissional_id]]&amp;Ocupacao_DW[[#This Row],[local_id]]</f>
        <v>446388141</v>
      </c>
      <c r="H4968" s="1">
        <f>_xlfn.XLOOKUP(Ocupacao_DW[[#This Row],[Concat]],Vagas!$H:$H,Vagas!$D:$D,"",0)</f>
        <v>0</v>
      </c>
    </row>
    <row r="4969" spans="1:8" x14ac:dyDescent="0.25">
      <c r="A4969" s="2">
        <v>44638</v>
      </c>
      <c r="B4969" s="1" t="s">
        <v>64</v>
      </c>
      <c r="C4969">
        <v>86</v>
      </c>
      <c r="D4969" s="1" t="s">
        <v>175</v>
      </c>
      <c r="E4969" s="1" t="s">
        <v>5</v>
      </c>
      <c r="F4969">
        <v>349</v>
      </c>
      <c r="G4969" s="1" t="str">
        <f>Ocupacao_DW[[#This Row],[data]]&amp;Ocupacao_DW[[#This Row],[profissional_id]]&amp;Ocupacao_DW[[#This Row],[local_id]]</f>
        <v>4463886349</v>
      </c>
      <c r="H4969" s="1">
        <f>_xlfn.XLOOKUP(Ocupacao_DW[[#This Row],[Concat]],Vagas!$H:$H,Vagas!$D:$D,"",0)</f>
        <v>0</v>
      </c>
    </row>
    <row r="4970" spans="1:8" x14ac:dyDescent="0.25">
      <c r="A4970" s="2">
        <v>44642</v>
      </c>
      <c r="B4970" s="1" t="s">
        <v>65</v>
      </c>
      <c r="C4970">
        <v>11652</v>
      </c>
      <c r="D4970" s="1" t="s">
        <v>242</v>
      </c>
      <c r="E4970" s="1" t="s">
        <v>4</v>
      </c>
      <c r="F4970">
        <v>47</v>
      </c>
      <c r="G4970" s="1" t="str">
        <f>Ocupacao_DW[[#This Row],[data]]&amp;Ocupacao_DW[[#This Row],[profissional_id]]&amp;Ocupacao_DW[[#This Row],[local_id]]</f>
        <v>446421165247</v>
      </c>
      <c r="H4970" s="1">
        <f>_xlfn.XLOOKUP(Ocupacao_DW[[#This Row],[Concat]],Vagas!$H:$H,Vagas!$D:$D,"",0)</f>
        <v>35</v>
      </c>
    </row>
    <row r="4971" spans="1:8" x14ac:dyDescent="0.25">
      <c r="A4971" s="2">
        <v>44642</v>
      </c>
      <c r="B4971" s="1" t="s">
        <v>54</v>
      </c>
      <c r="C4971">
        <v>69</v>
      </c>
      <c r="D4971" s="1" t="s">
        <v>238</v>
      </c>
      <c r="E4971" s="1" t="s">
        <v>5</v>
      </c>
      <c r="F4971">
        <v>13</v>
      </c>
      <c r="G4971" s="1" t="str">
        <f>Ocupacao_DW[[#This Row],[data]]&amp;Ocupacao_DW[[#This Row],[profissional_id]]&amp;Ocupacao_DW[[#This Row],[local_id]]</f>
        <v>446426913</v>
      </c>
      <c r="H4971" s="1">
        <f>_xlfn.XLOOKUP(Ocupacao_DW[[#This Row],[Concat]],Vagas!$H:$H,Vagas!$D:$D,"",0)</f>
        <v>0</v>
      </c>
    </row>
    <row r="4972" spans="1:8" x14ac:dyDescent="0.25">
      <c r="A4972" s="2">
        <v>44642</v>
      </c>
      <c r="B4972" s="1" t="s">
        <v>47</v>
      </c>
      <c r="C4972">
        <v>111</v>
      </c>
      <c r="D4972" s="1" t="s">
        <v>199</v>
      </c>
      <c r="E4972" s="1" t="s">
        <v>4</v>
      </c>
      <c r="F4972">
        <v>51</v>
      </c>
      <c r="G4972" s="1" t="str">
        <f>Ocupacao_DW[[#This Row],[data]]&amp;Ocupacao_DW[[#This Row],[profissional_id]]&amp;Ocupacao_DW[[#This Row],[local_id]]</f>
        <v>4464211151</v>
      </c>
      <c r="H4972" s="1">
        <f>_xlfn.XLOOKUP(Ocupacao_DW[[#This Row],[Concat]],Vagas!$H:$H,Vagas!$D:$D,"",0)</f>
        <v>25</v>
      </c>
    </row>
    <row r="4973" spans="1:8" x14ac:dyDescent="0.25">
      <c r="A4973" s="2">
        <v>44637</v>
      </c>
      <c r="B4973" s="1" t="s">
        <v>64</v>
      </c>
      <c r="C4973">
        <v>531</v>
      </c>
      <c r="D4973" s="1" t="s">
        <v>213</v>
      </c>
      <c r="E4973" s="1" t="s">
        <v>5</v>
      </c>
      <c r="F4973">
        <v>12</v>
      </c>
      <c r="G4973" s="1" t="str">
        <f>Ocupacao_DW[[#This Row],[data]]&amp;Ocupacao_DW[[#This Row],[profissional_id]]&amp;Ocupacao_DW[[#This Row],[local_id]]</f>
        <v>4463753112</v>
      </c>
      <c r="H4973" s="1">
        <f>_xlfn.XLOOKUP(Ocupacao_DW[[#This Row],[Concat]],Vagas!$H:$H,Vagas!$D:$D,"",0)</f>
        <v>0</v>
      </c>
    </row>
    <row r="4974" spans="1:8" x14ac:dyDescent="0.25">
      <c r="A4974" s="2">
        <v>44635</v>
      </c>
      <c r="B4974" s="1" t="s">
        <v>51</v>
      </c>
      <c r="C4974">
        <v>12582</v>
      </c>
      <c r="D4974" s="1" t="s">
        <v>190</v>
      </c>
      <c r="E4974" s="1" t="s">
        <v>7</v>
      </c>
      <c r="F4974">
        <v>62</v>
      </c>
      <c r="G4974" s="1" t="str">
        <f>Ocupacao_DW[[#This Row],[data]]&amp;Ocupacao_DW[[#This Row],[profissional_id]]&amp;Ocupacao_DW[[#This Row],[local_id]]</f>
        <v>446351258262</v>
      </c>
      <c r="H4974" s="1">
        <f>_xlfn.XLOOKUP(Ocupacao_DW[[#This Row],[Concat]],Vagas!$H:$H,Vagas!$D:$D,"",0)</f>
        <v>0</v>
      </c>
    </row>
    <row r="4975" spans="1:8" x14ac:dyDescent="0.25">
      <c r="A4975" s="2">
        <v>44645</v>
      </c>
      <c r="B4975" s="1" t="s">
        <v>52</v>
      </c>
      <c r="C4975">
        <v>10691</v>
      </c>
      <c r="D4975" s="1" t="s">
        <v>181</v>
      </c>
      <c r="E4975" s="1" t="s">
        <v>6</v>
      </c>
      <c r="F4975">
        <v>6</v>
      </c>
      <c r="G4975" s="1" t="str">
        <f>Ocupacao_DW[[#This Row],[data]]&amp;Ocupacao_DW[[#This Row],[profissional_id]]&amp;Ocupacao_DW[[#This Row],[local_id]]</f>
        <v>44645106916</v>
      </c>
      <c r="H4975" s="1">
        <f>_xlfn.XLOOKUP(Ocupacao_DW[[#This Row],[Concat]],Vagas!$H:$H,Vagas!$D:$D,"",0)</f>
        <v>8</v>
      </c>
    </row>
    <row r="4976" spans="1:8" x14ac:dyDescent="0.25">
      <c r="A4976" s="2">
        <v>44641</v>
      </c>
      <c r="B4976" s="1" t="s">
        <v>54</v>
      </c>
      <c r="C4976">
        <v>10941</v>
      </c>
      <c r="D4976" s="1" t="s">
        <v>224</v>
      </c>
      <c r="E4976" s="1" t="s">
        <v>7</v>
      </c>
      <c r="F4976">
        <v>67</v>
      </c>
      <c r="G4976" s="1" t="str">
        <f>Ocupacao_DW[[#This Row],[data]]&amp;Ocupacao_DW[[#This Row],[profissional_id]]&amp;Ocupacao_DW[[#This Row],[local_id]]</f>
        <v>446411094167</v>
      </c>
      <c r="H4976" s="1">
        <f>_xlfn.XLOOKUP(Ocupacao_DW[[#This Row],[Concat]],Vagas!$H:$H,Vagas!$D:$D,"",0)</f>
        <v>0</v>
      </c>
    </row>
    <row r="4977" spans="1:8" x14ac:dyDescent="0.25">
      <c r="A4977" s="2">
        <v>44656</v>
      </c>
      <c r="B4977" s="1" t="s">
        <v>55</v>
      </c>
      <c r="C4977">
        <v>73</v>
      </c>
      <c r="D4977" s="1" t="s">
        <v>171</v>
      </c>
      <c r="E4977" s="1" t="s">
        <v>6</v>
      </c>
      <c r="F4977">
        <v>5</v>
      </c>
      <c r="G4977" s="1" t="str">
        <f>Ocupacao_DW[[#This Row],[data]]&amp;Ocupacao_DW[[#This Row],[profissional_id]]&amp;Ocupacao_DW[[#This Row],[local_id]]</f>
        <v>44656735</v>
      </c>
      <c r="H4977" s="1">
        <f>_xlfn.XLOOKUP(Ocupacao_DW[[#This Row],[Concat]],Vagas!$H:$H,Vagas!$D:$D,"",0)</f>
        <v>0</v>
      </c>
    </row>
    <row r="4978" spans="1:8" x14ac:dyDescent="0.25">
      <c r="A4978" s="2">
        <v>44648</v>
      </c>
      <c r="B4978" s="1" t="s">
        <v>72</v>
      </c>
      <c r="C4978">
        <v>13479</v>
      </c>
      <c r="D4978" s="1" t="s">
        <v>203</v>
      </c>
      <c r="E4978" s="1" t="s">
        <v>4</v>
      </c>
      <c r="F4978">
        <v>46</v>
      </c>
      <c r="G4978" s="1" t="str">
        <f>Ocupacao_DW[[#This Row],[data]]&amp;Ocupacao_DW[[#This Row],[profissional_id]]&amp;Ocupacao_DW[[#This Row],[local_id]]</f>
        <v>446481347946</v>
      </c>
      <c r="H4978" s="1">
        <f>_xlfn.XLOOKUP(Ocupacao_DW[[#This Row],[Concat]],Vagas!$H:$H,Vagas!$D:$D,"",0)</f>
        <v>0</v>
      </c>
    </row>
    <row r="4979" spans="1:8" x14ac:dyDescent="0.25">
      <c r="A4979" s="2">
        <v>44642</v>
      </c>
      <c r="B4979" s="1" t="s">
        <v>54</v>
      </c>
      <c r="C4979">
        <v>69</v>
      </c>
      <c r="D4979" s="1" t="s">
        <v>238</v>
      </c>
      <c r="E4979" s="1" t="s">
        <v>5</v>
      </c>
      <c r="F4979">
        <v>13</v>
      </c>
      <c r="G4979" s="1" t="str">
        <f>Ocupacao_DW[[#This Row],[data]]&amp;Ocupacao_DW[[#This Row],[profissional_id]]&amp;Ocupacao_DW[[#This Row],[local_id]]</f>
        <v>446426913</v>
      </c>
      <c r="H4979" s="1">
        <f>_xlfn.XLOOKUP(Ocupacao_DW[[#This Row],[Concat]],Vagas!$H:$H,Vagas!$D:$D,"",0)</f>
        <v>0</v>
      </c>
    </row>
    <row r="4980" spans="1:8" x14ac:dyDescent="0.25">
      <c r="A4980" s="2">
        <v>44641</v>
      </c>
      <c r="B4980" s="1" t="s">
        <v>62</v>
      </c>
      <c r="C4980">
        <v>2567</v>
      </c>
      <c r="D4980" s="1" t="s">
        <v>198</v>
      </c>
      <c r="E4980" s="1" t="s">
        <v>5</v>
      </c>
      <c r="F4980">
        <v>18</v>
      </c>
      <c r="G4980" s="1" t="str">
        <f>Ocupacao_DW[[#This Row],[data]]&amp;Ocupacao_DW[[#This Row],[profissional_id]]&amp;Ocupacao_DW[[#This Row],[local_id]]</f>
        <v>44641256718</v>
      </c>
      <c r="H4980" s="1">
        <f>_xlfn.XLOOKUP(Ocupacao_DW[[#This Row],[Concat]],Vagas!$H:$H,Vagas!$D:$D,"",0)</f>
        <v>0</v>
      </c>
    </row>
    <row r="4981" spans="1:8" x14ac:dyDescent="0.25">
      <c r="A4981" s="2">
        <v>44644</v>
      </c>
      <c r="B4981" s="1" t="s">
        <v>49</v>
      </c>
      <c r="C4981">
        <v>81</v>
      </c>
      <c r="D4981" s="1" t="s">
        <v>170</v>
      </c>
      <c r="E4981" s="1" t="s">
        <v>4</v>
      </c>
      <c r="F4981">
        <v>41</v>
      </c>
      <c r="G4981" s="1" t="str">
        <f>Ocupacao_DW[[#This Row],[data]]&amp;Ocupacao_DW[[#This Row],[profissional_id]]&amp;Ocupacao_DW[[#This Row],[local_id]]</f>
        <v>446448141</v>
      </c>
      <c r="H4981" s="1">
        <f>_xlfn.XLOOKUP(Ocupacao_DW[[#This Row],[Concat]],Vagas!$H:$H,Vagas!$D:$D,"",0)</f>
        <v>0</v>
      </c>
    </row>
    <row r="4982" spans="1:8" x14ac:dyDescent="0.25">
      <c r="A4982" s="2">
        <v>44648</v>
      </c>
      <c r="B4982" s="1" t="s">
        <v>60</v>
      </c>
      <c r="C4982">
        <v>117</v>
      </c>
      <c r="D4982" s="1" t="s">
        <v>180</v>
      </c>
      <c r="E4982" s="1" t="s">
        <v>4</v>
      </c>
      <c r="F4982">
        <v>48</v>
      </c>
      <c r="G4982" s="1" t="str">
        <f>Ocupacao_DW[[#This Row],[data]]&amp;Ocupacao_DW[[#This Row],[profissional_id]]&amp;Ocupacao_DW[[#This Row],[local_id]]</f>
        <v>4464811748</v>
      </c>
      <c r="H4982" s="1">
        <f>_xlfn.XLOOKUP(Ocupacao_DW[[#This Row],[Concat]],Vagas!$H:$H,Vagas!$D:$D,"",0)</f>
        <v>0</v>
      </c>
    </row>
    <row r="4983" spans="1:8" x14ac:dyDescent="0.25">
      <c r="A4983" s="2">
        <v>44638</v>
      </c>
      <c r="B4983" s="1" t="s">
        <v>47</v>
      </c>
      <c r="C4983">
        <v>12684</v>
      </c>
      <c r="D4983" s="1" t="s">
        <v>236</v>
      </c>
      <c r="E4983" s="1" t="s">
        <v>200</v>
      </c>
      <c r="F4983">
        <v>85</v>
      </c>
      <c r="G4983" s="1" t="str">
        <f>Ocupacao_DW[[#This Row],[data]]&amp;Ocupacao_DW[[#This Row],[profissional_id]]&amp;Ocupacao_DW[[#This Row],[local_id]]</f>
        <v>446381268485</v>
      </c>
      <c r="H4983" s="1">
        <f>_xlfn.XLOOKUP(Ocupacao_DW[[#This Row],[Concat]],Vagas!$H:$H,Vagas!$D:$D,"",0)</f>
        <v>0</v>
      </c>
    </row>
    <row r="4984" spans="1:8" x14ac:dyDescent="0.25">
      <c r="A4984" s="2">
        <v>44641</v>
      </c>
      <c r="B4984" s="1" t="s">
        <v>55</v>
      </c>
      <c r="C4984">
        <v>60</v>
      </c>
      <c r="D4984" s="1" t="s">
        <v>217</v>
      </c>
      <c r="E4984" s="1" t="s">
        <v>167</v>
      </c>
      <c r="F4984">
        <v>345</v>
      </c>
      <c r="G4984" s="1" t="str">
        <f>Ocupacao_DW[[#This Row],[data]]&amp;Ocupacao_DW[[#This Row],[profissional_id]]&amp;Ocupacao_DW[[#This Row],[local_id]]</f>
        <v>4464160345</v>
      </c>
      <c r="H4984" s="1">
        <f>_xlfn.XLOOKUP(Ocupacao_DW[[#This Row],[Concat]],Vagas!$H:$H,Vagas!$D:$D,"",0)</f>
        <v>0</v>
      </c>
    </row>
    <row r="4985" spans="1:8" x14ac:dyDescent="0.25">
      <c r="A4985" s="2">
        <v>44648</v>
      </c>
      <c r="B4985" s="1" t="s">
        <v>54</v>
      </c>
      <c r="C4985">
        <v>10941</v>
      </c>
      <c r="D4985" s="1" t="s">
        <v>224</v>
      </c>
      <c r="E4985" s="1" t="s">
        <v>7</v>
      </c>
      <c r="F4985">
        <v>67</v>
      </c>
      <c r="G4985" s="1" t="str">
        <f>Ocupacao_DW[[#This Row],[data]]&amp;Ocupacao_DW[[#This Row],[profissional_id]]&amp;Ocupacao_DW[[#This Row],[local_id]]</f>
        <v>446481094167</v>
      </c>
      <c r="H4985" s="1">
        <f>_xlfn.XLOOKUP(Ocupacao_DW[[#This Row],[Concat]],Vagas!$H:$H,Vagas!$D:$D,"",0)</f>
        <v>0</v>
      </c>
    </row>
    <row r="4986" spans="1:8" x14ac:dyDescent="0.25">
      <c r="A4986" s="2">
        <v>44639</v>
      </c>
      <c r="B4986" s="1" t="s">
        <v>20</v>
      </c>
      <c r="C4986">
        <v>174</v>
      </c>
      <c r="D4986" s="1" t="s">
        <v>230</v>
      </c>
      <c r="E4986" s="1" t="s">
        <v>167</v>
      </c>
      <c r="F4986">
        <v>24</v>
      </c>
      <c r="G4986" s="1" t="str">
        <f>Ocupacao_DW[[#This Row],[data]]&amp;Ocupacao_DW[[#This Row],[profissional_id]]&amp;Ocupacao_DW[[#This Row],[local_id]]</f>
        <v>4463917424</v>
      </c>
      <c r="H4986" s="1">
        <f>_xlfn.XLOOKUP(Ocupacao_DW[[#This Row],[Concat]],Vagas!$H:$H,Vagas!$D:$D,"",0)</f>
        <v>53</v>
      </c>
    </row>
    <row r="4987" spans="1:8" x14ac:dyDescent="0.25">
      <c r="A4987" s="2">
        <v>44644</v>
      </c>
      <c r="B4987" s="1" t="s">
        <v>51</v>
      </c>
      <c r="C4987">
        <v>12582</v>
      </c>
      <c r="D4987" s="1" t="s">
        <v>190</v>
      </c>
      <c r="E4987" s="1" t="s">
        <v>5</v>
      </c>
      <c r="F4987">
        <v>15</v>
      </c>
      <c r="G4987" s="1" t="str">
        <f>Ocupacao_DW[[#This Row],[data]]&amp;Ocupacao_DW[[#This Row],[profissional_id]]&amp;Ocupacao_DW[[#This Row],[local_id]]</f>
        <v>446441258215</v>
      </c>
      <c r="H4987" s="1">
        <f>_xlfn.XLOOKUP(Ocupacao_DW[[#This Row],[Concat]],Vagas!$H:$H,Vagas!$D:$D,"",0)</f>
        <v>0</v>
      </c>
    </row>
    <row r="4988" spans="1:8" x14ac:dyDescent="0.25">
      <c r="A4988" s="2">
        <v>44635</v>
      </c>
      <c r="B4988" s="1" t="s">
        <v>67</v>
      </c>
      <c r="C4988">
        <v>7290</v>
      </c>
      <c r="D4988" s="1" t="s">
        <v>247</v>
      </c>
      <c r="E4988" s="1" t="s">
        <v>5</v>
      </c>
      <c r="F4988">
        <v>18</v>
      </c>
      <c r="G4988" s="1" t="str">
        <f>Ocupacao_DW[[#This Row],[data]]&amp;Ocupacao_DW[[#This Row],[profissional_id]]&amp;Ocupacao_DW[[#This Row],[local_id]]</f>
        <v>44635729018</v>
      </c>
      <c r="H4988" s="1">
        <f>_xlfn.XLOOKUP(Ocupacao_DW[[#This Row],[Concat]],Vagas!$H:$H,Vagas!$D:$D,"",0)</f>
        <v>0</v>
      </c>
    </row>
    <row r="4989" spans="1:8" x14ac:dyDescent="0.25">
      <c r="A4989" s="2">
        <v>44641</v>
      </c>
      <c r="B4989" s="1" t="s">
        <v>52</v>
      </c>
      <c r="C4989">
        <v>10595</v>
      </c>
      <c r="D4989" s="1" t="s">
        <v>218</v>
      </c>
      <c r="E4989" s="1" t="s">
        <v>200</v>
      </c>
      <c r="F4989">
        <v>78</v>
      </c>
      <c r="G4989" s="1" t="str">
        <f>Ocupacao_DW[[#This Row],[data]]&amp;Ocupacao_DW[[#This Row],[profissional_id]]&amp;Ocupacao_DW[[#This Row],[local_id]]</f>
        <v>446411059578</v>
      </c>
      <c r="H4989" s="1">
        <f>_xlfn.XLOOKUP(Ocupacao_DW[[#This Row],[Concat]],Vagas!$H:$H,Vagas!$D:$D,"",0)</f>
        <v>0</v>
      </c>
    </row>
    <row r="4990" spans="1:8" x14ac:dyDescent="0.25">
      <c r="A4990" s="2">
        <v>44641</v>
      </c>
      <c r="B4990" s="1" t="s">
        <v>55</v>
      </c>
      <c r="C4990">
        <v>60</v>
      </c>
      <c r="D4990" s="1" t="s">
        <v>217</v>
      </c>
      <c r="E4990" s="1" t="s">
        <v>167</v>
      </c>
      <c r="F4990">
        <v>345</v>
      </c>
      <c r="G4990" s="1" t="str">
        <f>Ocupacao_DW[[#This Row],[data]]&amp;Ocupacao_DW[[#This Row],[profissional_id]]&amp;Ocupacao_DW[[#This Row],[local_id]]</f>
        <v>4464160345</v>
      </c>
      <c r="H4990" s="1">
        <f>_xlfn.XLOOKUP(Ocupacao_DW[[#This Row],[Concat]],Vagas!$H:$H,Vagas!$D:$D,"",0)</f>
        <v>0</v>
      </c>
    </row>
    <row r="4991" spans="1:8" x14ac:dyDescent="0.25">
      <c r="A4991" s="2">
        <v>44644</v>
      </c>
      <c r="B4991" s="1" t="s">
        <v>52</v>
      </c>
      <c r="C4991">
        <v>10691</v>
      </c>
      <c r="D4991" s="1" t="s">
        <v>181</v>
      </c>
      <c r="E4991" s="1" t="s">
        <v>6</v>
      </c>
      <c r="F4991">
        <v>9</v>
      </c>
      <c r="G4991" s="1" t="str">
        <f>Ocupacao_DW[[#This Row],[data]]&amp;Ocupacao_DW[[#This Row],[profissional_id]]&amp;Ocupacao_DW[[#This Row],[local_id]]</f>
        <v>44644106919</v>
      </c>
      <c r="H4991" s="1">
        <f>_xlfn.XLOOKUP(Ocupacao_DW[[#This Row],[Concat]],Vagas!$H:$H,Vagas!$D:$D,"",0)</f>
        <v>0</v>
      </c>
    </row>
    <row r="4992" spans="1:8" x14ac:dyDescent="0.25">
      <c r="A4992" s="2">
        <v>44636</v>
      </c>
      <c r="B4992" s="1" t="s">
        <v>276</v>
      </c>
      <c r="C4992">
        <v>17937</v>
      </c>
      <c r="D4992" s="1" t="s">
        <v>297</v>
      </c>
      <c r="E4992" s="1" t="s">
        <v>4</v>
      </c>
      <c r="F4992">
        <v>351</v>
      </c>
      <c r="G4992" s="1" t="str">
        <f>Ocupacao_DW[[#This Row],[data]]&amp;Ocupacao_DW[[#This Row],[profissional_id]]&amp;Ocupacao_DW[[#This Row],[local_id]]</f>
        <v>4463617937351</v>
      </c>
      <c r="H4992" s="1">
        <f>_xlfn.XLOOKUP(Ocupacao_DW[[#This Row],[Concat]],Vagas!$H:$H,Vagas!$D:$D,"",0)</f>
        <v>11</v>
      </c>
    </row>
    <row r="4993" spans="1:8" x14ac:dyDescent="0.25">
      <c r="A4993" s="2">
        <v>44641</v>
      </c>
      <c r="B4993" s="1" t="s">
        <v>49</v>
      </c>
      <c r="C4993">
        <v>81</v>
      </c>
      <c r="D4993" s="1" t="s">
        <v>170</v>
      </c>
      <c r="E4993" s="1" t="s">
        <v>4</v>
      </c>
      <c r="F4993">
        <v>41</v>
      </c>
      <c r="G4993" s="1" t="str">
        <f>Ocupacao_DW[[#This Row],[data]]&amp;Ocupacao_DW[[#This Row],[profissional_id]]&amp;Ocupacao_DW[[#This Row],[local_id]]</f>
        <v>446418141</v>
      </c>
      <c r="H4993" s="1">
        <f>_xlfn.XLOOKUP(Ocupacao_DW[[#This Row],[Concat]],Vagas!$H:$H,Vagas!$D:$D,"",0)</f>
        <v>0</v>
      </c>
    </row>
    <row r="4994" spans="1:8" x14ac:dyDescent="0.25">
      <c r="A4994" s="2">
        <v>44643</v>
      </c>
      <c r="B4994" s="1" t="s">
        <v>60</v>
      </c>
      <c r="C4994">
        <v>14326</v>
      </c>
      <c r="D4994" s="1" t="s">
        <v>220</v>
      </c>
      <c r="E4994" s="1" t="s">
        <v>4</v>
      </c>
      <c r="F4994">
        <v>43</v>
      </c>
      <c r="G4994" s="1" t="str">
        <f>Ocupacao_DW[[#This Row],[data]]&amp;Ocupacao_DW[[#This Row],[profissional_id]]&amp;Ocupacao_DW[[#This Row],[local_id]]</f>
        <v>446431432643</v>
      </c>
      <c r="H4994" s="1">
        <f>_xlfn.XLOOKUP(Ocupacao_DW[[#This Row],[Concat]],Vagas!$H:$H,Vagas!$D:$D,"",0)</f>
        <v>0</v>
      </c>
    </row>
    <row r="4995" spans="1:8" x14ac:dyDescent="0.25">
      <c r="A4995" s="2">
        <v>44641</v>
      </c>
      <c r="B4995" s="1" t="s">
        <v>72</v>
      </c>
      <c r="C4995">
        <v>6046</v>
      </c>
      <c r="D4995" s="1" t="s">
        <v>222</v>
      </c>
      <c r="E4995" s="1" t="s">
        <v>4</v>
      </c>
      <c r="F4995">
        <v>46</v>
      </c>
      <c r="G4995" s="1" t="str">
        <f>Ocupacao_DW[[#This Row],[data]]&amp;Ocupacao_DW[[#This Row],[profissional_id]]&amp;Ocupacao_DW[[#This Row],[local_id]]</f>
        <v>44641604646</v>
      </c>
      <c r="H4995" s="1">
        <f>_xlfn.XLOOKUP(Ocupacao_DW[[#This Row],[Concat]],Vagas!$H:$H,Vagas!$D:$D,"",0)</f>
        <v>0</v>
      </c>
    </row>
    <row r="4996" spans="1:8" x14ac:dyDescent="0.25">
      <c r="A4996" s="2">
        <v>44639</v>
      </c>
      <c r="B4996" s="1" t="s">
        <v>54</v>
      </c>
      <c r="C4996">
        <v>70</v>
      </c>
      <c r="D4996" s="1" t="s">
        <v>187</v>
      </c>
      <c r="E4996" s="1" t="s">
        <v>5</v>
      </c>
      <c r="F4996">
        <v>13</v>
      </c>
      <c r="G4996" s="1" t="str">
        <f>Ocupacao_DW[[#This Row],[data]]&amp;Ocupacao_DW[[#This Row],[profissional_id]]&amp;Ocupacao_DW[[#This Row],[local_id]]</f>
        <v>446397013</v>
      </c>
      <c r="H4996" s="1">
        <f>_xlfn.XLOOKUP(Ocupacao_DW[[#This Row],[Concat]],Vagas!$H:$H,Vagas!$D:$D,"",0)</f>
        <v>0</v>
      </c>
    </row>
    <row r="4997" spans="1:8" x14ac:dyDescent="0.25">
      <c r="A4997" s="2">
        <v>44635</v>
      </c>
      <c r="B4997" s="1" t="s">
        <v>20</v>
      </c>
      <c r="C4997">
        <v>174</v>
      </c>
      <c r="D4997" s="1" t="s">
        <v>230</v>
      </c>
      <c r="E4997" s="1" t="s">
        <v>167</v>
      </c>
      <c r="F4997">
        <v>24</v>
      </c>
      <c r="G4997" s="1" t="str">
        <f>Ocupacao_DW[[#This Row],[data]]&amp;Ocupacao_DW[[#This Row],[profissional_id]]&amp;Ocupacao_DW[[#This Row],[local_id]]</f>
        <v>4463517424</v>
      </c>
      <c r="H4997" s="1">
        <f>_xlfn.XLOOKUP(Ocupacao_DW[[#This Row],[Concat]],Vagas!$H:$H,Vagas!$D:$D,"",0)</f>
        <v>66</v>
      </c>
    </row>
    <row r="4998" spans="1:8" x14ac:dyDescent="0.25">
      <c r="A4998" s="2">
        <v>44642</v>
      </c>
      <c r="B4998" s="1" t="s">
        <v>20</v>
      </c>
      <c r="C4998">
        <v>174</v>
      </c>
      <c r="D4998" s="1" t="s">
        <v>230</v>
      </c>
      <c r="E4998" s="1" t="s">
        <v>167</v>
      </c>
      <c r="F4998">
        <v>24</v>
      </c>
      <c r="G4998" s="1" t="str">
        <f>Ocupacao_DW[[#This Row],[data]]&amp;Ocupacao_DW[[#This Row],[profissional_id]]&amp;Ocupacao_DW[[#This Row],[local_id]]</f>
        <v>4464217424</v>
      </c>
      <c r="H4998" s="1">
        <f>_xlfn.XLOOKUP(Ocupacao_DW[[#This Row],[Concat]],Vagas!$H:$H,Vagas!$D:$D,"",0)</f>
        <v>81</v>
      </c>
    </row>
    <row r="4999" spans="1:8" x14ac:dyDescent="0.25">
      <c r="A4999" s="2">
        <v>44636</v>
      </c>
      <c r="B4999" s="1" t="s">
        <v>64</v>
      </c>
      <c r="C4999">
        <v>531</v>
      </c>
      <c r="D4999" s="1" t="s">
        <v>213</v>
      </c>
      <c r="E4999" s="1" t="s">
        <v>5</v>
      </c>
      <c r="F4999">
        <v>12</v>
      </c>
      <c r="G4999" s="1" t="str">
        <f>Ocupacao_DW[[#This Row],[data]]&amp;Ocupacao_DW[[#This Row],[profissional_id]]&amp;Ocupacao_DW[[#This Row],[local_id]]</f>
        <v>4463653112</v>
      </c>
      <c r="H4999" s="1">
        <f>_xlfn.XLOOKUP(Ocupacao_DW[[#This Row],[Concat]],Vagas!$H:$H,Vagas!$D:$D,"",0)</f>
        <v>0</v>
      </c>
    </row>
    <row r="5000" spans="1:8" x14ac:dyDescent="0.25">
      <c r="A5000" s="2">
        <v>44642</v>
      </c>
      <c r="B5000" s="1" t="s">
        <v>55</v>
      </c>
      <c r="C5000">
        <v>60</v>
      </c>
      <c r="D5000" s="1" t="s">
        <v>217</v>
      </c>
      <c r="E5000" s="1" t="s">
        <v>167</v>
      </c>
      <c r="F5000">
        <v>345</v>
      </c>
      <c r="G5000" s="1" t="str">
        <f>Ocupacao_DW[[#This Row],[data]]&amp;Ocupacao_DW[[#This Row],[profissional_id]]&amp;Ocupacao_DW[[#This Row],[local_id]]</f>
        <v>4464260345</v>
      </c>
      <c r="H5000" s="1">
        <f>_xlfn.XLOOKUP(Ocupacao_DW[[#This Row],[Concat]],Vagas!$H:$H,Vagas!$D:$D,"",0)</f>
        <v>0</v>
      </c>
    </row>
    <row r="5001" spans="1:8" x14ac:dyDescent="0.25">
      <c r="A5001" s="2">
        <v>44637</v>
      </c>
      <c r="B5001" s="1" t="s">
        <v>46</v>
      </c>
      <c r="C5001">
        <v>17888</v>
      </c>
      <c r="D5001" s="1" t="s">
        <v>255</v>
      </c>
      <c r="E5001" s="1" t="s">
        <v>4</v>
      </c>
      <c r="F5001">
        <v>40</v>
      </c>
      <c r="G5001" s="1" t="str">
        <f>Ocupacao_DW[[#This Row],[data]]&amp;Ocupacao_DW[[#This Row],[profissional_id]]&amp;Ocupacao_DW[[#This Row],[local_id]]</f>
        <v>446371788840</v>
      </c>
      <c r="H5001" s="1">
        <f>_xlfn.XLOOKUP(Ocupacao_DW[[#This Row],[Concat]],Vagas!$H:$H,Vagas!$D:$D,"",0)</f>
        <v>20</v>
      </c>
    </row>
    <row r="5002" spans="1:8" x14ac:dyDescent="0.25">
      <c r="A5002" s="2">
        <v>44639</v>
      </c>
      <c r="B5002" s="1" t="s">
        <v>66</v>
      </c>
      <c r="C5002">
        <v>12810</v>
      </c>
      <c r="D5002" s="1" t="s">
        <v>259</v>
      </c>
      <c r="E5002" s="1" t="s">
        <v>167</v>
      </c>
      <c r="F5002">
        <v>339</v>
      </c>
      <c r="G5002" s="1" t="str">
        <f>Ocupacao_DW[[#This Row],[data]]&amp;Ocupacao_DW[[#This Row],[profissional_id]]&amp;Ocupacao_DW[[#This Row],[local_id]]</f>
        <v>4463912810339</v>
      </c>
      <c r="H5002" s="1">
        <f>_xlfn.XLOOKUP(Ocupacao_DW[[#This Row],[Concat]],Vagas!$H:$H,Vagas!$D:$D,"",0)</f>
        <v>0</v>
      </c>
    </row>
    <row r="5003" spans="1:8" x14ac:dyDescent="0.25">
      <c r="A5003" s="2">
        <v>44652</v>
      </c>
      <c r="B5003" s="1" t="s">
        <v>24</v>
      </c>
      <c r="C5003">
        <v>60</v>
      </c>
      <c r="D5003" s="1" t="s">
        <v>217</v>
      </c>
      <c r="E5003" s="1" t="s">
        <v>6</v>
      </c>
      <c r="F5003">
        <v>1</v>
      </c>
      <c r="G5003" s="1" t="str">
        <f>Ocupacao_DW[[#This Row],[data]]&amp;Ocupacao_DW[[#This Row],[profissional_id]]&amp;Ocupacao_DW[[#This Row],[local_id]]</f>
        <v>44652601</v>
      </c>
      <c r="H5003" s="1">
        <f>_xlfn.XLOOKUP(Ocupacao_DW[[#This Row],[Concat]],Vagas!$H:$H,Vagas!$D:$D,"",0)</f>
        <v>0</v>
      </c>
    </row>
    <row r="5004" spans="1:8" x14ac:dyDescent="0.25">
      <c r="A5004" s="2">
        <v>44643</v>
      </c>
      <c r="B5004" s="1" t="s">
        <v>70</v>
      </c>
      <c r="C5004">
        <v>12825</v>
      </c>
      <c r="D5004" s="1" t="s">
        <v>177</v>
      </c>
      <c r="E5004" s="1" t="s">
        <v>4</v>
      </c>
      <c r="F5004">
        <v>45</v>
      </c>
      <c r="G5004" s="1" t="str">
        <f>Ocupacao_DW[[#This Row],[data]]&amp;Ocupacao_DW[[#This Row],[profissional_id]]&amp;Ocupacao_DW[[#This Row],[local_id]]</f>
        <v>446431282545</v>
      </c>
      <c r="H5004" s="1">
        <f>_xlfn.XLOOKUP(Ocupacao_DW[[#This Row],[Concat]],Vagas!$H:$H,Vagas!$D:$D,"",0)</f>
        <v>0</v>
      </c>
    </row>
    <row r="5005" spans="1:8" x14ac:dyDescent="0.25">
      <c r="A5005" s="2">
        <v>44638</v>
      </c>
      <c r="B5005" s="1" t="s">
        <v>52</v>
      </c>
      <c r="C5005">
        <v>55</v>
      </c>
      <c r="D5005" s="1" t="s">
        <v>244</v>
      </c>
      <c r="E5005" s="1" t="s">
        <v>7</v>
      </c>
      <c r="F5005">
        <v>68</v>
      </c>
      <c r="G5005" s="1" t="str">
        <f>Ocupacao_DW[[#This Row],[data]]&amp;Ocupacao_DW[[#This Row],[profissional_id]]&amp;Ocupacao_DW[[#This Row],[local_id]]</f>
        <v>446385568</v>
      </c>
      <c r="H5005" s="1">
        <f>_xlfn.XLOOKUP(Ocupacao_DW[[#This Row],[Concat]],Vagas!$H:$H,Vagas!$D:$D,"",0)</f>
        <v>0</v>
      </c>
    </row>
    <row r="5006" spans="1:8" x14ac:dyDescent="0.25">
      <c r="A5006" s="2">
        <v>44638</v>
      </c>
      <c r="B5006" s="1" t="s">
        <v>47</v>
      </c>
      <c r="C5006">
        <v>12684</v>
      </c>
      <c r="D5006" s="1" t="s">
        <v>236</v>
      </c>
      <c r="E5006" s="1" t="s">
        <v>200</v>
      </c>
      <c r="F5006">
        <v>85</v>
      </c>
      <c r="G5006" s="1" t="str">
        <f>Ocupacao_DW[[#This Row],[data]]&amp;Ocupacao_DW[[#This Row],[profissional_id]]&amp;Ocupacao_DW[[#This Row],[local_id]]</f>
        <v>446381268485</v>
      </c>
      <c r="H5006" s="1">
        <f>_xlfn.XLOOKUP(Ocupacao_DW[[#This Row],[Concat]],Vagas!$H:$H,Vagas!$D:$D,"",0)</f>
        <v>0</v>
      </c>
    </row>
    <row r="5007" spans="1:8" x14ac:dyDescent="0.25">
      <c r="A5007" s="2">
        <v>44635</v>
      </c>
      <c r="B5007" s="1" t="s">
        <v>276</v>
      </c>
      <c r="C5007">
        <v>17937</v>
      </c>
      <c r="D5007" s="1" t="s">
        <v>297</v>
      </c>
      <c r="E5007" s="1" t="s">
        <v>4</v>
      </c>
      <c r="F5007">
        <v>351</v>
      </c>
      <c r="G5007" s="1" t="str">
        <f>Ocupacao_DW[[#This Row],[data]]&amp;Ocupacao_DW[[#This Row],[profissional_id]]&amp;Ocupacao_DW[[#This Row],[local_id]]</f>
        <v>4463517937351</v>
      </c>
      <c r="H5007" s="1">
        <f>_xlfn.XLOOKUP(Ocupacao_DW[[#This Row],[Concat]],Vagas!$H:$H,Vagas!$D:$D,"",0)</f>
        <v>11</v>
      </c>
    </row>
    <row r="5008" spans="1:8" x14ac:dyDescent="0.25">
      <c r="A5008" s="2">
        <v>44643</v>
      </c>
      <c r="B5008" s="1" t="s">
        <v>52</v>
      </c>
      <c r="C5008">
        <v>60</v>
      </c>
      <c r="D5008" s="1" t="s">
        <v>217</v>
      </c>
      <c r="E5008" s="1" t="s">
        <v>6</v>
      </c>
      <c r="F5008">
        <v>8</v>
      </c>
      <c r="G5008" s="1" t="str">
        <f>Ocupacao_DW[[#This Row],[data]]&amp;Ocupacao_DW[[#This Row],[profissional_id]]&amp;Ocupacao_DW[[#This Row],[local_id]]</f>
        <v>44643608</v>
      </c>
      <c r="H5008" s="1">
        <f>_xlfn.XLOOKUP(Ocupacao_DW[[#This Row],[Concat]],Vagas!$H:$H,Vagas!$D:$D,"",0)</f>
        <v>0</v>
      </c>
    </row>
    <row r="5009" spans="1:8" x14ac:dyDescent="0.25">
      <c r="A5009" s="2">
        <v>44643</v>
      </c>
      <c r="B5009" s="1" t="s">
        <v>47</v>
      </c>
      <c r="C5009">
        <v>111</v>
      </c>
      <c r="D5009" s="1" t="s">
        <v>199</v>
      </c>
      <c r="E5009" s="1" t="s">
        <v>4</v>
      </c>
      <c r="F5009">
        <v>51</v>
      </c>
      <c r="G5009" s="1" t="str">
        <f>Ocupacao_DW[[#This Row],[data]]&amp;Ocupacao_DW[[#This Row],[profissional_id]]&amp;Ocupacao_DW[[#This Row],[local_id]]</f>
        <v>4464311151</v>
      </c>
      <c r="H5009" s="1">
        <f>_xlfn.XLOOKUP(Ocupacao_DW[[#This Row],[Concat]],Vagas!$H:$H,Vagas!$D:$D,"",0)</f>
        <v>0</v>
      </c>
    </row>
    <row r="5010" spans="1:8" x14ac:dyDescent="0.25">
      <c r="A5010" s="2">
        <v>44637</v>
      </c>
      <c r="B5010" s="1" t="s">
        <v>66</v>
      </c>
      <c r="C5010">
        <v>1343</v>
      </c>
      <c r="D5010" s="1" t="s">
        <v>263</v>
      </c>
      <c r="E5010" s="1" t="s">
        <v>200</v>
      </c>
      <c r="F5010">
        <v>80</v>
      </c>
      <c r="G5010" s="1" t="str">
        <f>Ocupacao_DW[[#This Row],[data]]&amp;Ocupacao_DW[[#This Row],[profissional_id]]&amp;Ocupacao_DW[[#This Row],[local_id]]</f>
        <v>44637134380</v>
      </c>
      <c r="H5010" s="1">
        <f>_xlfn.XLOOKUP(Ocupacao_DW[[#This Row],[Concat]],Vagas!$H:$H,Vagas!$D:$D,"",0)</f>
        <v>0</v>
      </c>
    </row>
    <row r="5011" spans="1:8" x14ac:dyDescent="0.25">
      <c r="A5011" s="2">
        <v>44638</v>
      </c>
      <c r="B5011" s="1" t="s">
        <v>49</v>
      </c>
      <c r="C5011">
        <v>81</v>
      </c>
      <c r="D5011" s="1" t="s">
        <v>170</v>
      </c>
      <c r="E5011" s="1" t="s">
        <v>4</v>
      </c>
      <c r="F5011">
        <v>41</v>
      </c>
      <c r="G5011" s="1" t="str">
        <f>Ocupacao_DW[[#This Row],[data]]&amp;Ocupacao_DW[[#This Row],[profissional_id]]&amp;Ocupacao_DW[[#This Row],[local_id]]</f>
        <v>446388141</v>
      </c>
      <c r="H5011" s="1">
        <f>_xlfn.XLOOKUP(Ocupacao_DW[[#This Row],[Concat]],Vagas!$H:$H,Vagas!$D:$D,"",0)</f>
        <v>0</v>
      </c>
    </row>
    <row r="5012" spans="1:8" x14ac:dyDescent="0.25">
      <c r="A5012" s="2">
        <v>44650</v>
      </c>
      <c r="B5012" s="1" t="s">
        <v>49</v>
      </c>
      <c r="C5012">
        <v>81</v>
      </c>
      <c r="D5012" s="1" t="s">
        <v>170</v>
      </c>
      <c r="E5012" s="1" t="s">
        <v>4</v>
      </c>
      <c r="F5012">
        <v>41</v>
      </c>
      <c r="G5012" s="1" t="str">
        <f>Ocupacao_DW[[#This Row],[data]]&amp;Ocupacao_DW[[#This Row],[profissional_id]]&amp;Ocupacao_DW[[#This Row],[local_id]]</f>
        <v>446508141</v>
      </c>
      <c r="H5012" s="1">
        <f>_xlfn.XLOOKUP(Ocupacao_DW[[#This Row],[Concat]],Vagas!$H:$H,Vagas!$D:$D,"",0)</f>
        <v>0</v>
      </c>
    </row>
    <row r="5013" spans="1:8" x14ac:dyDescent="0.25">
      <c r="A5013" s="2">
        <v>44637</v>
      </c>
      <c r="B5013" s="1" t="s">
        <v>66</v>
      </c>
      <c r="C5013">
        <v>1343</v>
      </c>
      <c r="D5013" s="1" t="s">
        <v>263</v>
      </c>
      <c r="E5013" s="1" t="s">
        <v>200</v>
      </c>
      <c r="F5013">
        <v>80</v>
      </c>
      <c r="G5013" s="1" t="str">
        <f>Ocupacao_DW[[#This Row],[data]]&amp;Ocupacao_DW[[#This Row],[profissional_id]]&amp;Ocupacao_DW[[#This Row],[local_id]]</f>
        <v>44637134380</v>
      </c>
      <c r="H5013" s="1">
        <f>_xlfn.XLOOKUP(Ocupacao_DW[[#This Row],[Concat]],Vagas!$H:$H,Vagas!$D:$D,"",0)</f>
        <v>0</v>
      </c>
    </row>
    <row r="5014" spans="1:8" x14ac:dyDescent="0.25">
      <c r="A5014" s="2">
        <v>44638</v>
      </c>
      <c r="B5014" s="1" t="s">
        <v>49</v>
      </c>
      <c r="C5014">
        <v>12142</v>
      </c>
      <c r="D5014" s="1" t="s">
        <v>219</v>
      </c>
      <c r="E5014" s="1" t="s">
        <v>4</v>
      </c>
      <c r="F5014">
        <v>44</v>
      </c>
      <c r="G5014" s="1" t="str">
        <f>Ocupacao_DW[[#This Row],[data]]&amp;Ocupacao_DW[[#This Row],[profissional_id]]&amp;Ocupacao_DW[[#This Row],[local_id]]</f>
        <v>446381214244</v>
      </c>
      <c r="H5014" s="1">
        <f>_xlfn.XLOOKUP(Ocupacao_DW[[#This Row],[Concat]],Vagas!$H:$H,Vagas!$D:$D,"",0)</f>
        <v>0</v>
      </c>
    </row>
    <row r="5015" spans="1:8" x14ac:dyDescent="0.25">
      <c r="A5015" s="2">
        <v>44635</v>
      </c>
      <c r="B5015" s="1"/>
      <c r="C5015">
        <v>174</v>
      </c>
      <c r="D5015" s="1" t="s">
        <v>230</v>
      </c>
      <c r="E5015" s="1" t="s">
        <v>167</v>
      </c>
      <c r="F5015">
        <v>24</v>
      </c>
      <c r="G5015" s="1" t="str">
        <f>Ocupacao_DW[[#This Row],[data]]&amp;Ocupacao_DW[[#This Row],[profissional_id]]&amp;Ocupacao_DW[[#This Row],[local_id]]</f>
        <v>4463517424</v>
      </c>
      <c r="H5015" s="1">
        <f>_xlfn.XLOOKUP(Ocupacao_DW[[#This Row],[Concat]],Vagas!$H:$H,Vagas!$D:$D,"",0)</f>
        <v>66</v>
      </c>
    </row>
    <row r="5016" spans="1:8" x14ac:dyDescent="0.25">
      <c r="A5016" s="2">
        <v>44635</v>
      </c>
      <c r="B5016" s="1" t="s">
        <v>71</v>
      </c>
      <c r="C5016">
        <v>282</v>
      </c>
      <c r="D5016" s="1" t="s">
        <v>210</v>
      </c>
      <c r="E5016" s="1" t="s">
        <v>4</v>
      </c>
      <c r="F5016">
        <v>48</v>
      </c>
      <c r="G5016" s="1" t="str">
        <f>Ocupacao_DW[[#This Row],[data]]&amp;Ocupacao_DW[[#This Row],[profissional_id]]&amp;Ocupacao_DW[[#This Row],[local_id]]</f>
        <v>4463528248</v>
      </c>
      <c r="H5016" s="1">
        <f>_xlfn.XLOOKUP(Ocupacao_DW[[#This Row],[Concat]],Vagas!$H:$H,Vagas!$D:$D,"",0)</f>
        <v>0</v>
      </c>
    </row>
    <row r="5017" spans="1:8" x14ac:dyDescent="0.25">
      <c r="A5017" s="2">
        <v>44635</v>
      </c>
      <c r="B5017" s="1" t="s">
        <v>20</v>
      </c>
      <c r="C5017">
        <v>174</v>
      </c>
      <c r="D5017" s="1" t="s">
        <v>230</v>
      </c>
      <c r="E5017" s="1" t="s">
        <v>167</v>
      </c>
      <c r="F5017">
        <v>24</v>
      </c>
      <c r="G5017" s="1" t="str">
        <f>Ocupacao_DW[[#This Row],[data]]&amp;Ocupacao_DW[[#This Row],[profissional_id]]&amp;Ocupacao_DW[[#This Row],[local_id]]</f>
        <v>4463517424</v>
      </c>
      <c r="H5017" s="1">
        <f>_xlfn.XLOOKUP(Ocupacao_DW[[#This Row],[Concat]],Vagas!$H:$H,Vagas!$D:$D,"",0)</f>
        <v>66</v>
      </c>
    </row>
    <row r="5018" spans="1:8" x14ac:dyDescent="0.25">
      <c r="A5018" s="2">
        <v>44650</v>
      </c>
      <c r="B5018" s="1" t="s">
        <v>43</v>
      </c>
      <c r="C5018">
        <v>2396</v>
      </c>
      <c r="D5018" s="1" t="s">
        <v>197</v>
      </c>
      <c r="E5018" s="1" t="s">
        <v>6</v>
      </c>
      <c r="F5018">
        <v>2</v>
      </c>
      <c r="G5018" s="1" t="str">
        <f>Ocupacao_DW[[#This Row],[data]]&amp;Ocupacao_DW[[#This Row],[profissional_id]]&amp;Ocupacao_DW[[#This Row],[local_id]]</f>
        <v>4465023962</v>
      </c>
      <c r="H5018" s="1">
        <f>_xlfn.XLOOKUP(Ocupacao_DW[[#This Row],[Concat]],Vagas!$H:$H,Vagas!$D:$D,"",0)</f>
        <v>0</v>
      </c>
    </row>
    <row r="5019" spans="1:8" x14ac:dyDescent="0.25">
      <c r="A5019" s="2">
        <v>44651</v>
      </c>
      <c r="B5019" s="1" t="s">
        <v>55</v>
      </c>
      <c r="C5019">
        <v>12426</v>
      </c>
      <c r="D5019" s="1" t="s">
        <v>215</v>
      </c>
      <c r="E5019" s="1" t="s">
        <v>6</v>
      </c>
      <c r="F5019">
        <v>5</v>
      </c>
      <c r="G5019" s="1" t="str">
        <f>Ocupacao_DW[[#This Row],[data]]&amp;Ocupacao_DW[[#This Row],[profissional_id]]&amp;Ocupacao_DW[[#This Row],[local_id]]</f>
        <v>44651124265</v>
      </c>
      <c r="H5019" s="1">
        <f>_xlfn.XLOOKUP(Ocupacao_DW[[#This Row],[Concat]],Vagas!$H:$H,Vagas!$D:$D,"",0)</f>
        <v>0</v>
      </c>
    </row>
    <row r="5020" spans="1:8" x14ac:dyDescent="0.25">
      <c r="A5020" s="2">
        <v>44645</v>
      </c>
      <c r="B5020" s="1" t="s">
        <v>66</v>
      </c>
      <c r="C5020">
        <v>10593</v>
      </c>
      <c r="D5020" s="1" t="s">
        <v>241</v>
      </c>
      <c r="E5020" s="1" t="s">
        <v>200</v>
      </c>
      <c r="F5020">
        <v>80</v>
      </c>
      <c r="G5020" s="1" t="str">
        <f>Ocupacao_DW[[#This Row],[data]]&amp;Ocupacao_DW[[#This Row],[profissional_id]]&amp;Ocupacao_DW[[#This Row],[local_id]]</f>
        <v>446451059380</v>
      </c>
      <c r="H5020" s="1">
        <f>_xlfn.XLOOKUP(Ocupacao_DW[[#This Row],[Concat]],Vagas!$H:$H,Vagas!$D:$D,"",0)</f>
        <v>0</v>
      </c>
    </row>
    <row r="5021" spans="1:8" x14ac:dyDescent="0.25">
      <c r="A5021" s="2">
        <v>44641</v>
      </c>
      <c r="B5021" s="1" t="s">
        <v>72</v>
      </c>
      <c r="C5021">
        <v>6046</v>
      </c>
      <c r="D5021" s="1" t="s">
        <v>222</v>
      </c>
      <c r="E5021" s="1" t="s">
        <v>4</v>
      </c>
      <c r="F5021">
        <v>46</v>
      </c>
      <c r="G5021" s="1" t="str">
        <f>Ocupacao_DW[[#This Row],[data]]&amp;Ocupacao_DW[[#This Row],[profissional_id]]&amp;Ocupacao_DW[[#This Row],[local_id]]</f>
        <v>44641604646</v>
      </c>
      <c r="H5021" s="1">
        <f>_xlfn.XLOOKUP(Ocupacao_DW[[#This Row],[Concat]],Vagas!$H:$H,Vagas!$D:$D,"",0)</f>
        <v>0</v>
      </c>
    </row>
    <row r="5022" spans="1:8" x14ac:dyDescent="0.25">
      <c r="A5022" s="2">
        <v>44648</v>
      </c>
      <c r="B5022" s="1" t="s">
        <v>60</v>
      </c>
      <c r="C5022">
        <v>117</v>
      </c>
      <c r="D5022" s="1" t="s">
        <v>180</v>
      </c>
      <c r="E5022" s="1" t="s">
        <v>4</v>
      </c>
      <c r="F5022">
        <v>48</v>
      </c>
      <c r="G5022" s="1" t="str">
        <f>Ocupacao_DW[[#This Row],[data]]&amp;Ocupacao_DW[[#This Row],[profissional_id]]&amp;Ocupacao_DW[[#This Row],[local_id]]</f>
        <v>4464811748</v>
      </c>
      <c r="H5022" s="1">
        <f>_xlfn.XLOOKUP(Ocupacao_DW[[#This Row],[Concat]],Vagas!$H:$H,Vagas!$D:$D,"",0)</f>
        <v>0</v>
      </c>
    </row>
    <row r="5023" spans="1:8" x14ac:dyDescent="0.25">
      <c r="A5023" s="2">
        <v>44643</v>
      </c>
      <c r="B5023" s="1" t="s">
        <v>51</v>
      </c>
      <c r="C5023">
        <v>17859</v>
      </c>
      <c r="D5023" s="1" t="s">
        <v>212</v>
      </c>
      <c r="E5023" s="1" t="s">
        <v>6</v>
      </c>
      <c r="F5023">
        <v>7</v>
      </c>
      <c r="G5023" s="1" t="str">
        <f>Ocupacao_DW[[#This Row],[data]]&amp;Ocupacao_DW[[#This Row],[profissional_id]]&amp;Ocupacao_DW[[#This Row],[local_id]]</f>
        <v>44643178597</v>
      </c>
      <c r="H5023" s="1">
        <f>_xlfn.XLOOKUP(Ocupacao_DW[[#This Row],[Concat]],Vagas!$H:$H,Vagas!$D:$D,"",0)</f>
        <v>0</v>
      </c>
    </row>
    <row r="5024" spans="1:8" x14ac:dyDescent="0.25">
      <c r="A5024" s="2">
        <v>44635</v>
      </c>
      <c r="B5024" s="1" t="s">
        <v>51</v>
      </c>
      <c r="C5024">
        <v>12582</v>
      </c>
      <c r="D5024" s="1" t="s">
        <v>190</v>
      </c>
      <c r="E5024" s="1" t="s">
        <v>7</v>
      </c>
      <c r="F5024">
        <v>62</v>
      </c>
      <c r="G5024" s="1" t="str">
        <f>Ocupacao_DW[[#This Row],[data]]&amp;Ocupacao_DW[[#This Row],[profissional_id]]&amp;Ocupacao_DW[[#This Row],[local_id]]</f>
        <v>446351258262</v>
      </c>
      <c r="H5024" s="1">
        <f>_xlfn.XLOOKUP(Ocupacao_DW[[#This Row],[Concat]],Vagas!$H:$H,Vagas!$D:$D,"",0)</f>
        <v>0</v>
      </c>
    </row>
    <row r="5025" spans="1:8" x14ac:dyDescent="0.25">
      <c r="A5025" s="2">
        <v>44652</v>
      </c>
      <c r="B5025" s="1" t="s">
        <v>24</v>
      </c>
      <c r="C5025">
        <v>60</v>
      </c>
      <c r="D5025" s="1" t="s">
        <v>217</v>
      </c>
      <c r="E5025" s="1" t="s">
        <v>6</v>
      </c>
      <c r="F5025">
        <v>1</v>
      </c>
      <c r="G5025" s="1" t="str">
        <f>Ocupacao_DW[[#This Row],[data]]&amp;Ocupacao_DW[[#This Row],[profissional_id]]&amp;Ocupacao_DW[[#This Row],[local_id]]</f>
        <v>44652601</v>
      </c>
      <c r="H5025" s="1">
        <f>_xlfn.XLOOKUP(Ocupacao_DW[[#This Row],[Concat]],Vagas!$H:$H,Vagas!$D:$D,"",0)</f>
        <v>0</v>
      </c>
    </row>
    <row r="5026" spans="1:8" x14ac:dyDescent="0.25">
      <c r="A5026" s="2">
        <v>44642</v>
      </c>
      <c r="B5026" s="1" t="s">
        <v>65</v>
      </c>
      <c r="C5026">
        <v>11652</v>
      </c>
      <c r="D5026" s="1" t="s">
        <v>242</v>
      </c>
      <c r="E5026" s="1" t="s">
        <v>4</v>
      </c>
      <c r="F5026">
        <v>47</v>
      </c>
      <c r="G5026" s="1" t="str">
        <f>Ocupacao_DW[[#This Row],[data]]&amp;Ocupacao_DW[[#This Row],[profissional_id]]&amp;Ocupacao_DW[[#This Row],[local_id]]</f>
        <v>446421165247</v>
      </c>
      <c r="H5026" s="1">
        <f>_xlfn.XLOOKUP(Ocupacao_DW[[#This Row],[Concat]],Vagas!$H:$H,Vagas!$D:$D,"",0)</f>
        <v>35</v>
      </c>
    </row>
    <row r="5027" spans="1:8" x14ac:dyDescent="0.25">
      <c r="A5027" s="2">
        <v>44642</v>
      </c>
      <c r="B5027" s="1" t="s">
        <v>71</v>
      </c>
      <c r="C5027">
        <v>282</v>
      </c>
      <c r="D5027" s="1" t="s">
        <v>210</v>
      </c>
      <c r="E5027" s="1" t="s">
        <v>4</v>
      </c>
      <c r="F5027">
        <v>48</v>
      </c>
      <c r="G5027" s="1" t="str">
        <f>Ocupacao_DW[[#This Row],[data]]&amp;Ocupacao_DW[[#This Row],[profissional_id]]&amp;Ocupacao_DW[[#This Row],[local_id]]</f>
        <v>4464228248</v>
      </c>
      <c r="H5027" s="1">
        <f>_xlfn.XLOOKUP(Ocupacao_DW[[#This Row],[Concat]],Vagas!$H:$H,Vagas!$D:$D,"",0)</f>
        <v>0</v>
      </c>
    </row>
    <row r="5028" spans="1:8" x14ac:dyDescent="0.25">
      <c r="A5028" s="2">
        <v>44635</v>
      </c>
      <c r="B5028" s="1" t="s">
        <v>47</v>
      </c>
      <c r="C5028">
        <v>12752</v>
      </c>
      <c r="D5028" s="1" t="s">
        <v>253</v>
      </c>
      <c r="E5028" s="1" t="s">
        <v>7</v>
      </c>
      <c r="F5028">
        <v>60</v>
      </c>
      <c r="G5028" s="1" t="str">
        <f>Ocupacao_DW[[#This Row],[data]]&amp;Ocupacao_DW[[#This Row],[profissional_id]]&amp;Ocupacao_DW[[#This Row],[local_id]]</f>
        <v>446351275260</v>
      </c>
      <c r="H5028" s="1">
        <f>_xlfn.XLOOKUP(Ocupacao_DW[[#This Row],[Concat]],Vagas!$H:$H,Vagas!$D:$D,"",0)</f>
        <v>0</v>
      </c>
    </row>
    <row r="5029" spans="1:8" x14ac:dyDescent="0.25">
      <c r="A5029" s="2">
        <v>44650</v>
      </c>
      <c r="B5029" s="1" t="s">
        <v>70</v>
      </c>
      <c r="C5029">
        <v>12825</v>
      </c>
      <c r="D5029" s="1" t="s">
        <v>177</v>
      </c>
      <c r="E5029" s="1" t="s">
        <v>4</v>
      </c>
      <c r="F5029">
        <v>45</v>
      </c>
      <c r="G5029" s="1" t="str">
        <f>Ocupacao_DW[[#This Row],[data]]&amp;Ocupacao_DW[[#This Row],[profissional_id]]&amp;Ocupacao_DW[[#This Row],[local_id]]</f>
        <v>446501282545</v>
      </c>
      <c r="H5029" s="1">
        <f>_xlfn.XLOOKUP(Ocupacao_DW[[#This Row],[Concat]],Vagas!$H:$H,Vagas!$D:$D,"",0)</f>
        <v>0</v>
      </c>
    </row>
    <row r="5030" spans="1:8" x14ac:dyDescent="0.25">
      <c r="A5030" s="2">
        <v>44635</v>
      </c>
      <c r="B5030" s="1" t="s">
        <v>68</v>
      </c>
      <c r="C5030">
        <v>8239</v>
      </c>
      <c r="D5030" s="1" t="s">
        <v>257</v>
      </c>
      <c r="E5030" s="1" t="s">
        <v>167</v>
      </c>
      <c r="F5030">
        <v>345</v>
      </c>
      <c r="G5030" s="1" t="str">
        <f>Ocupacao_DW[[#This Row],[data]]&amp;Ocupacao_DW[[#This Row],[profissional_id]]&amp;Ocupacao_DW[[#This Row],[local_id]]</f>
        <v>446358239345</v>
      </c>
      <c r="H5030" s="1">
        <f>_xlfn.XLOOKUP(Ocupacao_DW[[#This Row],[Concat]],Vagas!$H:$H,Vagas!$D:$D,"",0)</f>
        <v>0</v>
      </c>
    </row>
    <row r="5031" spans="1:8" x14ac:dyDescent="0.25">
      <c r="A5031" s="2">
        <v>44638</v>
      </c>
      <c r="B5031" s="1" t="s">
        <v>72</v>
      </c>
      <c r="C5031">
        <v>1794</v>
      </c>
      <c r="D5031" s="1" t="s">
        <v>235</v>
      </c>
      <c r="E5031" s="1" t="s">
        <v>4</v>
      </c>
      <c r="F5031">
        <v>46</v>
      </c>
      <c r="G5031" s="1" t="str">
        <f>Ocupacao_DW[[#This Row],[data]]&amp;Ocupacao_DW[[#This Row],[profissional_id]]&amp;Ocupacao_DW[[#This Row],[local_id]]</f>
        <v>44638179446</v>
      </c>
      <c r="H5031" s="1">
        <f>_xlfn.XLOOKUP(Ocupacao_DW[[#This Row],[Concat]],Vagas!$H:$H,Vagas!$D:$D,"",0)</f>
        <v>0</v>
      </c>
    </row>
    <row r="5032" spans="1:8" x14ac:dyDescent="0.25">
      <c r="A5032" s="2">
        <v>44655</v>
      </c>
      <c r="B5032" s="1" t="s">
        <v>55</v>
      </c>
      <c r="C5032">
        <v>6392</v>
      </c>
      <c r="D5032" s="1" t="s">
        <v>173</v>
      </c>
      <c r="E5032" s="1" t="s">
        <v>6</v>
      </c>
      <c r="F5032">
        <v>5</v>
      </c>
      <c r="G5032" s="1" t="str">
        <f>Ocupacao_DW[[#This Row],[data]]&amp;Ocupacao_DW[[#This Row],[profissional_id]]&amp;Ocupacao_DW[[#This Row],[local_id]]</f>
        <v>4465563925</v>
      </c>
      <c r="H5032" s="1">
        <f>_xlfn.XLOOKUP(Ocupacao_DW[[#This Row],[Concat]],Vagas!$H:$H,Vagas!$D:$D,"",0)</f>
        <v>0</v>
      </c>
    </row>
    <row r="5033" spans="1:8" x14ac:dyDescent="0.25">
      <c r="A5033" s="2">
        <v>44648</v>
      </c>
      <c r="B5033" s="1" t="s">
        <v>52</v>
      </c>
      <c r="C5033">
        <v>10691</v>
      </c>
      <c r="D5033" s="1" t="s">
        <v>181</v>
      </c>
      <c r="E5033" s="1" t="s">
        <v>6</v>
      </c>
      <c r="F5033">
        <v>9</v>
      </c>
      <c r="G5033" s="1" t="str">
        <f>Ocupacao_DW[[#This Row],[data]]&amp;Ocupacao_DW[[#This Row],[profissional_id]]&amp;Ocupacao_DW[[#This Row],[local_id]]</f>
        <v>44648106919</v>
      </c>
      <c r="H5033" s="1">
        <f>_xlfn.XLOOKUP(Ocupacao_DW[[#This Row],[Concat]],Vagas!$H:$H,Vagas!$D:$D,"",0)</f>
        <v>0</v>
      </c>
    </row>
    <row r="5034" spans="1:8" x14ac:dyDescent="0.25">
      <c r="A5034" s="2">
        <v>44657</v>
      </c>
      <c r="B5034" s="1" t="s">
        <v>55</v>
      </c>
      <c r="C5034">
        <v>73</v>
      </c>
      <c r="D5034" s="1" t="s">
        <v>171</v>
      </c>
      <c r="E5034" s="1" t="s">
        <v>6</v>
      </c>
      <c r="F5034">
        <v>5</v>
      </c>
      <c r="G5034" s="1" t="str">
        <f>Ocupacao_DW[[#This Row],[data]]&amp;Ocupacao_DW[[#This Row],[profissional_id]]&amp;Ocupacao_DW[[#This Row],[local_id]]</f>
        <v>44657735</v>
      </c>
      <c r="H5034" s="1">
        <f>_xlfn.XLOOKUP(Ocupacao_DW[[#This Row],[Concat]],Vagas!$H:$H,Vagas!$D:$D,"",0)</f>
        <v>0</v>
      </c>
    </row>
    <row r="5035" spans="1:8" x14ac:dyDescent="0.25">
      <c r="A5035" s="2">
        <v>44638</v>
      </c>
      <c r="B5035" s="1" t="s">
        <v>72</v>
      </c>
      <c r="C5035">
        <v>1794</v>
      </c>
      <c r="D5035" s="1" t="s">
        <v>235</v>
      </c>
      <c r="E5035" s="1" t="s">
        <v>4</v>
      </c>
      <c r="F5035">
        <v>46</v>
      </c>
      <c r="G5035" s="1" t="str">
        <f>Ocupacao_DW[[#This Row],[data]]&amp;Ocupacao_DW[[#This Row],[profissional_id]]&amp;Ocupacao_DW[[#This Row],[local_id]]</f>
        <v>44638179446</v>
      </c>
      <c r="H5035" s="1">
        <f>_xlfn.XLOOKUP(Ocupacao_DW[[#This Row],[Concat]],Vagas!$H:$H,Vagas!$D:$D,"",0)</f>
        <v>0</v>
      </c>
    </row>
    <row r="5036" spans="1:8" x14ac:dyDescent="0.25">
      <c r="A5036" s="2">
        <v>44636</v>
      </c>
      <c r="B5036" s="1" t="s">
        <v>64</v>
      </c>
      <c r="C5036">
        <v>86</v>
      </c>
      <c r="D5036" s="1" t="s">
        <v>175</v>
      </c>
      <c r="E5036" s="1" t="s">
        <v>7</v>
      </c>
      <c r="F5036">
        <v>66</v>
      </c>
      <c r="G5036" s="1" t="str">
        <f>Ocupacao_DW[[#This Row],[data]]&amp;Ocupacao_DW[[#This Row],[profissional_id]]&amp;Ocupacao_DW[[#This Row],[local_id]]</f>
        <v>446368666</v>
      </c>
      <c r="H5036" s="1">
        <f>_xlfn.XLOOKUP(Ocupacao_DW[[#This Row],[Concat]],Vagas!$H:$H,Vagas!$D:$D,"",0)</f>
        <v>0</v>
      </c>
    </row>
    <row r="5037" spans="1:8" x14ac:dyDescent="0.25">
      <c r="A5037" s="2">
        <v>44638</v>
      </c>
      <c r="B5037" s="1" t="s">
        <v>56</v>
      </c>
      <c r="C5037">
        <v>5927</v>
      </c>
      <c r="D5037" s="1" t="s">
        <v>226</v>
      </c>
      <c r="E5037" s="1" t="s">
        <v>5</v>
      </c>
      <c r="F5037">
        <v>17</v>
      </c>
      <c r="G5037" s="1" t="str">
        <f>Ocupacao_DW[[#This Row],[data]]&amp;Ocupacao_DW[[#This Row],[profissional_id]]&amp;Ocupacao_DW[[#This Row],[local_id]]</f>
        <v>44638592717</v>
      </c>
      <c r="H5037" s="1">
        <f>_xlfn.XLOOKUP(Ocupacao_DW[[#This Row],[Concat]],Vagas!$H:$H,Vagas!$D:$D,"",0)</f>
        <v>0</v>
      </c>
    </row>
    <row r="5038" spans="1:8" x14ac:dyDescent="0.25">
      <c r="A5038" s="2">
        <v>44635</v>
      </c>
      <c r="B5038" s="1" t="s">
        <v>55</v>
      </c>
      <c r="C5038">
        <v>14452</v>
      </c>
      <c r="D5038" s="1" t="s">
        <v>266</v>
      </c>
      <c r="E5038" s="1" t="s">
        <v>200</v>
      </c>
      <c r="F5038">
        <v>78</v>
      </c>
      <c r="G5038" s="1" t="str">
        <f>Ocupacao_DW[[#This Row],[data]]&amp;Ocupacao_DW[[#This Row],[profissional_id]]&amp;Ocupacao_DW[[#This Row],[local_id]]</f>
        <v>446351445278</v>
      </c>
      <c r="H5038" s="1">
        <f>_xlfn.XLOOKUP(Ocupacao_DW[[#This Row],[Concat]],Vagas!$H:$H,Vagas!$D:$D,"",0)</f>
        <v>0</v>
      </c>
    </row>
    <row r="5039" spans="1:8" x14ac:dyDescent="0.25">
      <c r="A5039" s="2">
        <v>44641</v>
      </c>
      <c r="B5039" s="1" t="s">
        <v>54</v>
      </c>
      <c r="C5039">
        <v>70</v>
      </c>
      <c r="D5039" s="1" t="s">
        <v>187</v>
      </c>
      <c r="E5039" s="1" t="s">
        <v>5</v>
      </c>
      <c r="F5039">
        <v>13</v>
      </c>
      <c r="G5039" s="1" t="str">
        <f>Ocupacao_DW[[#This Row],[data]]&amp;Ocupacao_DW[[#This Row],[profissional_id]]&amp;Ocupacao_DW[[#This Row],[local_id]]</f>
        <v>446417013</v>
      </c>
      <c r="H5039" s="1">
        <f>_xlfn.XLOOKUP(Ocupacao_DW[[#This Row],[Concat]],Vagas!$H:$H,Vagas!$D:$D,"",0)</f>
        <v>0</v>
      </c>
    </row>
    <row r="5040" spans="1:8" x14ac:dyDescent="0.25">
      <c r="A5040" s="2">
        <v>44638</v>
      </c>
      <c r="B5040" s="1" t="s">
        <v>72</v>
      </c>
      <c r="C5040">
        <v>1794</v>
      </c>
      <c r="D5040" s="1" t="s">
        <v>235</v>
      </c>
      <c r="E5040" s="1" t="s">
        <v>4</v>
      </c>
      <c r="F5040">
        <v>46</v>
      </c>
      <c r="G5040" s="1" t="str">
        <f>Ocupacao_DW[[#This Row],[data]]&amp;Ocupacao_DW[[#This Row],[profissional_id]]&amp;Ocupacao_DW[[#This Row],[local_id]]</f>
        <v>44638179446</v>
      </c>
      <c r="H5040" s="1">
        <f>_xlfn.XLOOKUP(Ocupacao_DW[[#This Row],[Concat]],Vagas!$H:$H,Vagas!$D:$D,"",0)</f>
        <v>0</v>
      </c>
    </row>
    <row r="5041" spans="1:8" x14ac:dyDescent="0.25">
      <c r="A5041" s="2">
        <v>44637</v>
      </c>
      <c r="B5041" s="1" t="s">
        <v>47</v>
      </c>
      <c r="C5041">
        <v>11207</v>
      </c>
      <c r="D5041" s="1" t="s">
        <v>251</v>
      </c>
      <c r="E5041" s="1" t="s">
        <v>4</v>
      </c>
      <c r="F5041">
        <v>51</v>
      </c>
      <c r="G5041" s="1" t="str">
        <f>Ocupacao_DW[[#This Row],[data]]&amp;Ocupacao_DW[[#This Row],[profissional_id]]&amp;Ocupacao_DW[[#This Row],[local_id]]</f>
        <v>446371120751</v>
      </c>
      <c r="H5041" s="1">
        <f>_xlfn.XLOOKUP(Ocupacao_DW[[#This Row],[Concat]],Vagas!$H:$H,Vagas!$D:$D,"",0)</f>
        <v>0</v>
      </c>
    </row>
    <row r="5042" spans="1:8" x14ac:dyDescent="0.25">
      <c r="A5042" s="2">
        <v>44638</v>
      </c>
      <c r="B5042" s="1" t="s">
        <v>20</v>
      </c>
      <c r="C5042">
        <v>174</v>
      </c>
      <c r="D5042" s="1" t="s">
        <v>230</v>
      </c>
      <c r="E5042" s="1" t="s">
        <v>167</v>
      </c>
      <c r="F5042">
        <v>24</v>
      </c>
      <c r="G5042" s="1" t="str">
        <f>Ocupacao_DW[[#This Row],[data]]&amp;Ocupacao_DW[[#This Row],[profissional_id]]&amp;Ocupacao_DW[[#This Row],[local_id]]</f>
        <v>4463817424</v>
      </c>
      <c r="H5042" s="1">
        <f>_xlfn.XLOOKUP(Ocupacao_DW[[#This Row],[Concat]],Vagas!$H:$H,Vagas!$D:$D,"",0)</f>
        <v>80</v>
      </c>
    </row>
    <row r="5043" spans="1:8" x14ac:dyDescent="0.25">
      <c r="A5043" s="2">
        <v>44642</v>
      </c>
      <c r="B5043" s="1" t="s">
        <v>47</v>
      </c>
      <c r="C5043">
        <v>9111</v>
      </c>
      <c r="D5043" s="1" t="s">
        <v>206</v>
      </c>
      <c r="E5043" s="1" t="s">
        <v>4</v>
      </c>
      <c r="F5043">
        <v>335</v>
      </c>
      <c r="G5043" s="1" t="str">
        <f>Ocupacao_DW[[#This Row],[data]]&amp;Ocupacao_DW[[#This Row],[profissional_id]]&amp;Ocupacao_DW[[#This Row],[local_id]]</f>
        <v>446429111335</v>
      </c>
      <c r="H5043" s="1">
        <f>_xlfn.XLOOKUP(Ocupacao_DW[[#This Row],[Concat]],Vagas!$H:$H,Vagas!$D:$D,"",0)</f>
        <v>0</v>
      </c>
    </row>
    <row r="5044" spans="1:8" x14ac:dyDescent="0.25">
      <c r="A5044" s="2">
        <v>44648</v>
      </c>
      <c r="B5044" s="1" t="s">
        <v>52</v>
      </c>
      <c r="C5044">
        <v>10946</v>
      </c>
      <c r="D5044" s="1" t="s">
        <v>209</v>
      </c>
      <c r="E5044" s="1" t="s">
        <v>6</v>
      </c>
      <c r="F5044">
        <v>3</v>
      </c>
      <c r="G5044" s="1" t="str">
        <f>Ocupacao_DW[[#This Row],[data]]&amp;Ocupacao_DW[[#This Row],[profissional_id]]&amp;Ocupacao_DW[[#This Row],[local_id]]</f>
        <v>44648109463</v>
      </c>
      <c r="H5044" s="1">
        <f>_xlfn.XLOOKUP(Ocupacao_DW[[#This Row],[Concat]],Vagas!$H:$H,Vagas!$D:$D,"",0)</f>
        <v>0</v>
      </c>
    </row>
    <row r="5045" spans="1:8" x14ac:dyDescent="0.25">
      <c r="A5045" s="2">
        <v>44638</v>
      </c>
      <c r="B5045" s="1" t="s">
        <v>66</v>
      </c>
      <c r="C5045">
        <v>1343</v>
      </c>
      <c r="D5045" s="1" t="s">
        <v>263</v>
      </c>
      <c r="E5045" s="1" t="s">
        <v>167</v>
      </c>
      <c r="F5045">
        <v>342</v>
      </c>
      <c r="G5045" s="1" t="str">
        <f>Ocupacao_DW[[#This Row],[data]]&amp;Ocupacao_DW[[#This Row],[profissional_id]]&amp;Ocupacao_DW[[#This Row],[local_id]]</f>
        <v>446381343342</v>
      </c>
      <c r="H5045" s="1">
        <f>_xlfn.XLOOKUP(Ocupacao_DW[[#This Row],[Concat]],Vagas!$H:$H,Vagas!$D:$D,"",0)</f>
        <v>0</v>
      </c>
    </row>
    <row r="5046" spans="1:8" x14ac:dyDescent="0.25">
      <c r="A5046" s="2">
        <v>44638</v>
      </c>
      <c r="B5046" s="1" t="s">
        <v>66</v>
      </c>
      <c r="C5046">
        <v>1343</v>
      </c>
      <c r="D5046" s="1" t="s">
        <v>263</v>
      </c>
      <c r="E5046" s="1" t="s">
        <v>167</v>
      </c>
      <c r="F5046">
        <v>342</v>
      </c>
      <c r="G5046" s="1" t="str">
        <f>Ocupacao_DW[[#This Row],[data]]&amp;Ocupacao_DW[[#This Row],[profissional_id]]&amp;Ocupacao_DW[[#This Row],[local_id]]</f>
        <v>446381343342</v>
      </c>
      <c r="H5046" s="1">
        <f>_xlfn.XLOOKUP(Ocupacao_DW[[#This Row],[Concat]],Vagas!$H:$H,Vagas!$D:$D,"",0)</f>
        <v>0</v>
      </c>
    </row>
    <row r="5047" spans="1:8" x14ac:dyDescent="0.25">
      <c r="A5047" s="2">
        <v>44643</v>
      </c>
      <c r="B5047" s="1" t="s">
        <v>62</v>
      </c>
      <c r="C5047">
        <v>10799</v>
      </c>
      <c r="D5047" s="1" t="s">
        <v>204</v>
      </c>
      <c r="E5047" s="1" t="s">
        <v>5</v>
      </c>
      <c r="F5047">
        <v>18</v>
      </c>
      <c r="G5047" s="1" t="str">
        <f>Ocupacao_DW[[#This Row],[data]]&amp;Ocupacao_DW[[#This Row],[profissional_id]]&amp;Ocupacao_DW[[#This Row],[local_id]]</f>
        <v>446431079918</v>
      </c>
      <c r="H5047" s="1">
        <f>_xlfn.XLOOKUP(Ocupacao_DW[[#This Row],[Concat]],Vagas!$H:$H,Vagas!$D:$D,"",0)</f>
        <v>0</v>
      </c>
    </row>
    <row r="5048" spans="1:8" x14ac:dyDescent="0.25">
      <c r="A5048" s="2">
        <v>44643</v>
      </c>
      <c r="B5048" s="1" t="s">
        <v>52</v>
      </c>
      <c r="C5048">
        <v>60</v>
      </c>
      <c r="D5048" s="1" t="s">
        <v>217</v>
      </c>
      <c r="E5048" s="1" t="s">
        <v>6</v>
      </c>
      <c r="F5048">
        <v>8</v>
      </c>
      <c r="G5048" s="1" t="str">
        <f>Ocupacao_DW[[#This Row],[data]]&amp;Ocupacao_DW[[#This Row],[profissional_id]]&amp;Ocupacao_DW[[#This Row],[local_id]]</f>
        <v>44643608</v>
      </c>
      <c r="H5048" s="1">
        <f>_xlfn.XLOOKUP(Ocupacao_DW[[#This Row],[Concat]],Vagas!$H:$H,Vagas!$D:$D,"",0)</f>
        <v>0</v>
      </c>
    </row>
    <row r="5049" spans="1:8" x14ac:dyDescent="0.25">
      <c r="A5049" s="2">
        <v>44635</v>
      </c>
      <c r="B5049" s="1" t="s">
        <v>47</v>
      </c>
      <c r="C5049">
        <v>12752</v>
      </c>
      <c r="D5049" s="1" t="s">
        <v>253</v>
      </c>
      <c r="E5049" s="1" t="s">
        <v>7</v>
      </c>
      <c r="F5049">
        <v>60</v>
      </c>
      <c r="G5049" s="1" t="str">
        <f>Ocupacao_DW[[#This Row],[data]]&amp;Ocupacao_DW[[#This Row],[profissional_id]]&amp;Ocupacao_DW[[#This Row],[local_id]]</f>
        <v>446351275260</v>
      </c>
      <c r="H5049" s="1">
        <f>_xlfn.XLOOKUP(Ocupacao_DW[[#This Row],[Concat]],Vagas!$H:$H,Vagas!$D:$D,"",0)</f>
        <v>0</v>
      </c>
    </row>
    <row r="5050" spans="1:8" x14ac:dyDescent="0.25">
      <c r="A5050" s="2">
        <v>44642</v>
      </c>
      <c r="B5050" s="1" t="s">
        <v>47</v>
      </c>
      <c r="C5050">
        <v>110</v>
      </c>
      <c r="D5050" s="1" t="s">
        <v>193</v>
      </c>
      <c r="E5050" s="1" t="s">
        <v>4</v>
      </c>
      <c r="F5050">
        <v>334</v>
      </c>
      <c r="G5050" s="1" t="str">
        <f>Ocupacao_DW[[#This Row],[data]]&amp;Ocupacao_DW[[#This Row],[profissional_id]]&amp;Ocupacao_DW[[#This Row],[local_id]]</f>
        <v>44642110334</v>
      </c>
      <c r="H5050" s="1">
        <f>_xlfn.XLOOKUP(Ocupacao_DW[[#This Row],[Concat]],Vagas!$H:$H,Vagas!$D:$D,"",0)</f>
        <v>0</v>
      </c>
    </row>
    <row r="5051" spans="1:8" x14ac:dyDescent="0.25">
      <c r="A5051" s="2">
        <v>44638</v>
      </c>
      <c r="B5051" s="1" t="s">
        <v>42</v>
      </c>
      <c r="C5051">
        <v>17902</v>
      </c>
      <c r="D5051" s="1" t="s">
        <v>264</v>
      </c>
      <c r="E5051" s="1" t="s">
        <v>4</v>
      </c>
      <c r="F5051">
        <v>39</v>
      </c>
      <c r="G5051" s="1" t="str">
        <f>Ocupacao_DW[[#This Row],[data]]&amp;Ocupacao_DW[[#This Row],[profissional_id]]&amp;Ocupacao_DW[[#This Row],[local_id]]</f>
        <v>446381790239</v>
      </c>
      <c r="H5051" s="1">
        <f>_xlfn.XLOOKUP(Ocupacao_DW[[#This Row],[Concat]],Vagas!$H:$H,Vagas!$D:$D,"",0)</f>
        <v>51</v>
      </c>
    </row>
    <row r="5052" spans="1:8" x14ac:dyDescent="0.25">
      <c r="A5052" s="2">
        <v>44636</v>
      </c>
      <c r="B5052" s="1" t="s">
        <v>56</v>
      </c>
      <c r="C5052">
        <v>13660</v>
      </c>
      <c r="D5052" s="1" t="s">
        <v>250</v>
      </c>
      <c r="E5052" s="1" t="s">
        <v>200</v>
      </c>
      <c r="F5052">
        <v>78</v>
      </c>
      <c r="G5052" s="1" t="str">
        <f>Ocupacao_DW[[#This Row],[data]]&amp;Ocupacao_DW[[#This Row],[profissional_id]]&amp;Ocupacao_DW[[#This Row],[local_id]]</f>
        <v>446361366078</v>
      </c>
      <c r="H5052" s="1">
        <f>_xlfn.XLOOKUP(Ocupacao_DW[[#This Row],[Concat]],Vagas!$H:$H,Vagas!$D:$D,"",0)</f>
        <v>3</v>
      </c>
    </row>
    <row r="5053" spans="1:8" x14ac:dyDescent="0.25">
      <c r="A5053" s="2">
        <v>44638</v>
      </c>
      <c r="B5053" s="1" t="s">
        <v>47</v>
      </c>
      <c r="C5053">
        <v>12684</v>
      </c>
      <c r="D5053" s="1" t="s">
        <v>236</v>
      </c>
      <c r="E5053" s="1" t="s">
        <v>200</v>
      </c>
      <c r="F5053">
        <v>85</v>
      </c>
      <c r="G5053" s="1" t="str">
        <f>Ocupacao_DW[[#This Row],[data]]&amp;Ocupacao_DW[[#This Row],[profissional_id]]&amp;Ocupacao_DW[[#This Row],[local_id]]</f>
        <v>446381268485</v>
      </c>
      <c r="H5053" s="1">
        <f>_xlfn.XLOOKUP(Ocupacao_DW[[#This Row],[Concat]],Vagas!$H:$H,Vagas!$D:$D,"",0)</f>
        <v>0</v>
      </c>
    </row>
    <row r="5054" spans="1:8" x14ac:dyDescent="0.25">
      <c r="A5054" s="2">
        <v>44649</v>
      </c>
      <c r="B5054" s="1" t="s">
        <v>70</v>
      </c>
      <c r="C5054">
        <v>14237</v>
      </c>
      <c r="D5054" s="1" t="s">
        <v>186</v>
      </c>
      <c r="E5054" s="1" t="s">
        <v>4</v>
      </c>
      <c r="F5054">
        <v>47</v>
      </c>
      <c r="G5054" s="1" t="str">
        <f>Ocupacao_DW[[#This Row],[data]]&amp;Ocupacao_DW[[#This Row],[profissional_id]]&amp;Ocupacao_DW[[#This Row],[local_id]]</f>
        <v>446491423747</v>
      </c>
      <c r="H5054" s="1">
        <f>_xlfn.XLOOKUP(Ocupacao_DW[[#This Row],[Concat]],Vagas!$H:$H,Vagas!$D:$D,"",0)</f>
        <v>0</v>
      </c>
    </row>
    <row r="5055" spans="1:8" x14ac:dyDescent="0.25">
      <c r="A5055" s="2">
        <v>44637</v>
      </c>
      <c r="B5055" s="1"/>
      <c r="C5055">
        <v>0</v>
      </c>
      <c r="D5055" s="1"/>
      <c r="E5055" s="1" t="s">
        <v>167</v>
      </c>
      <c r="F5055">
        <v>24</v>
      </c>
      <c r="G5055" s="1" t="str">
        <f>Ocupacao_DW[[#This Row],[data]]&amp;Ocupacao_DW[[#This Row],[profissional_id]]&amp;Ocupacao_DW[[#This Row],[local_id]]</f>
        <v>44637024</v>
      </c>
      <c r="H5055" s="1" t="str">
        <f>_xlfn.XLOOKUP(Ocupacao_DW[[#This Row],[Concat]],Vagas!$H:$H,Vagas!$D:$D,"",0)</f>
        <v/>
      </c>
    </row>
    <row r="5056" spans="1:8" x14ac:dyDescent="0.25">
      <c r="A5056" s="2">
        <v>44648</v>
      </c>
      <c r="B5056" s="1" t="s">
        <v>49</v>
      </c>
      <c r="C5056">
        <v>6430</v>
      </c>
      <c r="D5056" s="1" t="s">
        <v>188</v>
      </c>
      <c r="E5056" s="1" t="s">
        <v>200</v>
      </c>
      <c r="F5056">
        <v>86</v>
      </c>
      <c r="G5056" s="1" t="str">
        <f>Ocupacao_DW[[#This Row],[data]]&amp;Ocupacao_DW[[#This Row],[profissional_id]]&amp;Ocupacao_DW[[#This Row],[local_id]]</f>
        <v>44648643086</v>
      </c>
      <c r="H5056" s="1">
        <f>_xlfn.XLOOKUP(Ocupacao_DW[[#This Row],[Concat]],Vagas!$H:$H,Vagas!$D:$D,"",0)</f>
        <v>0</v>
      </c>
    </row>
    <row r="5057" spans="1:8" x14ac:dyDescent="0.25">
      <c r="A5057" s="2">
        <v>44642</v>
      </c>
      <c r="B5057" s="1" t="s">
        <v>68</v>
      </c>
      <c r="C5057">
        <v>8239</v>
      </c>
      <c r="D5057" s="1" t="s">
        <v>257</v>
      </c>
      <c r="E5057" s="1" t="s">
        <v>5</v>
      </c>
      <c r="F5057">
        <v>14</v>
      </c>
      <c r="G5057" s="1" t="str">
        <f>Ocupacao_DW[[#This Row],[data]]&amp;Ocupacao_DW[[#This Row],[profissional_id]]&amp;Ocupacao_DW[[#This Row],[local_id]]</f>
        <v>44642823914</v>
      </c>
      <c r="H5057" s="1">
        <f>_xlfn.XLOOKUP(Ocupacao_DW[[#This Row],[Concat]],Vagas!$H:$H,Vagas!$D:$D,"",0)</f>
        <v>0</v>
      </c>
    </row>
    <row r="5058" spans="1:8" x14ac:dyDescent="0.25">
      <c r="A5058" s="2">
        <v>44636</v>
      </c>
      <c r="B5058" s="1" t="s">
        <v>47</v>
      </c>
      <c r="C5058">
        <v>17859</v>
      </c>
      <c r="D5058" s="1" t="s">
        <v>212</v>
      </c>
      <c r="E5058" s="1" t="s">
        <v>4</v>
      </c>
      <c r="F5058">
        <v>336</v>
      </c>
      <c r="G5058" s="1" t="str">
        <f>Ocupacao_DW[[#This Row],[data]]&amp;Ocupacao_DW[[#This Row],[profissional_id]]&amp;Ocupacao_DW[[#This Row],[local_id]]</f>
        <v>4463617859336</v>
      </c>
      <c r="H5058" s="1">
        <f>_xlfn.XLOOKUP(Ocupacao_DW[[#This Row],[Concat]],Vagas!$H:$H,Vagas!$D:$D,"",0)</f>
        <v>0</v>
      </c>
    </row>
    <row r="5059" spans="1:8" x14ac:dyDescent="0.25">
      <c r="A5059" s="2">
        <v>44636</v>
      </c>
      <c r="B5059" s="1" t="s">
        <v>43</v>
      </c>
      <c r="C5059">
        <v>57</v>
      </c>
      <c r="D5059" s="1" t="s">
        <v>169</v>
      </c>
      <c r="E5059" s="1" t="s">
        <v>6</v>
      </c>
      <c r="F5059">
        <v>2</v>
      </c>
      <c r="G5059" s="1" t="str">
        <f>Ocupacao_DW[[#This Row],[data]]&amp;Ocupacao_DW[[#This Row],[profissional_id]]&amp;Ocupacao_DW[[#This Row],[local_id]]</f>
        <v>44636572</v>
      </c>
      <c r="H5059" s="1">
        <f>_xlfn.XLOOKUP(Ocupacao_DW[[#This Row],[Concat]],Vagas!$H:$H,Vagas!$D:$D,"",0)</f>
        <v>2</v>
      </c>
    </row>
    <row r="5060" spans="1:8" x14ac:dyDescent="0.25">
      <c r="A5060" s="2">
        <v>44650</v>
      </c>
      <c r="B5060" s="1" t="s">
        <v>20</v>
      </c>
      <c r="C5060">
        <v>174</v>
      </c>
      <c r="D5060" s="1" t="s">
        <v>230</v>
      </c>
      <c r="E5060" s="1" t="s">
        <v>167</v>
      </c>
      <c r="F5060">
        <v>24</v>
      </c>
      <c r="G5060" s="1" t="str">
        <f>Ocupacao_DW[[#This Row],[data]]&amp;Ocupacao_DW[[#This Row],[profissional_id]]&amp;Ocupacao_DW[[#This Row],[local_id]]</f>
        <v>4465017424</v>
      </c>
      <c r="H5060" s="1" t="str">
        <f>_xlfn.XLOOKUP(Ocupacao_DW[[#This Row],[Concat]],Vagas!$H:$H,Vagas!$D:$D,"",0)</f>
        <v/>
      </c>
    </row>
    <row r="5061" spans="1:8" x14ac:dyDescent="0.25">
      <c r="A5061" s="2">
        <v>44635</v>
      </c>
      <c r="B5061" s="1" t="s">
        <v>20</v>
      </c>
      <c r="C5061">
        <v>174</v>
      </c>
      <c r="D5061" s="1" t="s">
        <v>230</v>
      </c>
      <c r="E5061" s="1" t="s">
        <v>167</v>
      </c>
      <c r="F5061">
        <v>24</v>
      </c>
      <c r="G5061" s="1" t="str">
        <f>Ocupacao_DW[[#This Row],[data]]&amp;Ocupacao_DW[[#This Row],[profissional_id]]&amp;Ocupacao_DW[[#This Row],[local_id]]</f>
        <v>4463517424</v>
      </c>
      <c r="H5061" s="1">
        <f>_xlfn.XLOOKUP(Ocupacao_DW[[#This Row],[Concat]],Vagas!$H:$H,Vagas!$D:$D,"",0)</f>
        <v>66</v>
      </c>
    </row>
    <row r="5062" spans="1:8" x14ac:dyDescent="0.25">
      <c r="A5062" s="2">
        <v>44636</v>
      </c>
      <c r="B5062" s="1" t="s">
        <v>62</v>
      </c>
      <c r="C5062">
        <v>3502</v>
      </c>
      <c r="D5062" s="1" t="s">
        <v>214</v>
      </c>
      <c r="E5062" s="1" t="s">
        <v>5</v>
      </c>
      <c r="F5062">
        <v>16</v>
      </c>
      <c r="G5062" s="1" t="str">
        <f>Ocupacao_DW[[#This Row],[data]]&amp;Ocupacao_DW[[#This Row],[profissional_id]]&amp;Ocupacao_DW[[#This Row],[local_id]]</f>
        <v>44636350216</v>
      </c>
      <c r="H5062" s="1">
        <f>_xlfn.XLOOKUP(Ocupacao_DW[[#This Row],[Concat]],Vagas!$H:$H,Vagas!$D:$D,"",0)</f>
        <v>0</v>
      </c>
    </row>
    <row r="5063" spans="1:8" x14ac:dyDescent="0.25">
      <c r="A5063" s="2">
        <v>44635</v>
      </c>
      <c r="B5063" s="1" t="s">
        <v>66</v>
      </c>
      <c r="C5063">
        <v>1343</v>
      </c>
      <c r="D5063" s="1" t="s">
        <v>263</v>
      </c>
      <c r="E5063" s="1" t="s">
        <v>200</v>
      </c>
      <c r="F5063">
        <v>80</v>
      </c>
      <c r="G5063" s="1" t="str">
        <f>Ocupacao_DW[[#This Row],[data]]&amp;Ocupacao_DW[[#This Row],[profissional_id]]&amp;Ocupacao_DW[[#This Row],[local_id]]</f>
        <v>44635134380</v>
      </c>
      <c r="H5063" s="1">
        <f>_xlfn.XLOOKUP(Ocupacao_DW[[#This Row],[Concat]],Vagas!$H:$H,Vagas!$D:$D,"",0)</f>
        <v>0</v>
      </c>
    </row>
    <row r="5064" spans="1:8" x14ac:dyDescent="0.25">
      <c r="A5064" s="2">
        <v>44642</v>
      </c>
      <c r="B5064" s="1" t="s">
        <v>54</v>
      </c>
      <c r="C5064">
        <v>69</v>
      </c>
      <c r="D5064" s="1" t="s">
        <v>238</v>
      </c>
      <c r="E5064" s="1" t="s">
        <v>5</v>
      </c>
      <c r="F5064">
        <v>13</v>
      </c>
      <c r="G5064" s="1" t="str">
        <f>Ocupacao_DW[[#This Row],[data]]&amp;Ocupacao_DW[[#This Row],[profissional_id]]&amp;Ocupacao_DW[[#This Row],[local_id]]</f>
        <v>446426913</v>
      </c>
      <c r="H5064" s="1">
        <f>_xlfn.XLOOKUP(Ocupacao_DW[[#This Row],[Concat]],Vagas!$H:$H,Vagas!$D:$D,"",0)</f>
        <v>0</v>
      </c>
    </row>
    <row r="5065" spans="1:8" x14ac:dyDescent="0.25">
      <c r="A5065" s="2">
        <v>44643</v>
      </c>
      <c r="B5065" s="1" t="s">
        <v>52</v>
      </c>
      <c r="C5065">
        <v>60</v>
      </c>
      <c r="D5065" s="1" t="s">
        <v>217</v>
      </c>
      <c r="E5065" s="1" t="s">
        <v>6</v>
      </c>
      <c r="F5065">
        <v>8</v>
      </c>
      <c r="G5065" s="1" t="str">
        <f>Ocupacao_DW[[#This Row],[data]]&amp;Ocupacao_DW[[#This Row],[profissional_id]]&amp;Ocupacao_DW[[#This Row],[local_id]]</f>
        <v>44643608</v>
      </c>
      <c r="H5065" s="1">
        <f>_xlfn.XLOOKUP(Ocupacao_DW[[#This Row],[Concat]],Vagas!$H:$H,Vagas!$D:$D,"",0)</f>
        <v>0</v>
      </c>
    </row>
    <row r="5066" spans="1:8" x14ac:dyDescent="0.25">
      <c r="A5066" s="2">
        <v>44638</v>
      </c>
      <c r="B5066" s="1" t="s">
        <v>56</v>
      </c>
      <c r="C5066">
        <v>13660</v>
      </c>
      <c r="D5066" s="1" t="s">
        <v>250</v>
      </c>
      <c r="E5066" s="1" t="s">
        <v>5</v>
      </c>
      <c r="F5066">
        <v>15</v>
      </c>
      <c r="G5066" s="1" t="str">
        <f>Ocupacao_DW[[#This Row],[data]]&amp;Ocupacao_DW[[#This Row],[profissional_id]]&amp;Ocupacao_DW[[#This Row],[local_id]]</f>
        <v>446381366015</v>
      </c>
      <c r="H5066" s="1">
        <f>_xlfn.XLOOKUP(Ocupacao_DW[[#This Row],[Concat]],Vagas!$H:$H,Vagas!$D:$D,"",0)</f>
        <v>0</v>
      </c>
    </row>
    <row r="5067" spans="1:8" x14ac:dyDescent="0.25">
      <c r="A5067" s="2">
        <v>44636</v>
      </c>
      <c r="B5067" s="1" t="s">
        <v>62</v>
      </c>
      <c r="C5067">
        <v>3502</v>
      </c>
      <c r="D5067" s="1" t="s">
        <v>214</v>
      </c>
      <c r="E5067" s="1" t="s">
        <v>5</v>
      </c>
      <c r="F5067">
        <v>16</v>
      </c>
      <c r="G5067" s="1" t="str">
        <f>Ocupacao_DW[[#This Row],[data]]&amp;Ocupacao_DW[[#This Row],[profissional_id]]&amp;Ocupacao_DW[[#This Row],[local_id]]</f>
        <v>44636350216</v>
      </c>
      <c r="H5067" s="1">
        <f>_xlfn.XLOOKUP(Ocupacao_DW[[#This Row],[Concat]],Vagas!$H:$H,Vagas!$D:$D,"",0)</f>
        <v>0</v>
      </c>
    </row>
    <row r="5068" spans="1:8" x14ac:dyDescent="0.25">
      <c r="A5068" s="2">
        <v>44643</v>
      </c>
      <c r="B5068" s="1" t="s">
        <v>62</v>
      </c>
      <c r="C5068">
        <v>10799</v>
      </c>
      <c r="D5068" s="1" t="s">
        <v>204</v>
      </c>
      <c r="E5068" s="1" t="s">
        <v>5</v>
      </c>
      <c r="F5068">
        <v>18</v>
      </c>
      <c r="G5068" s="1" t="str">
        <f>Ocupacao_DW[[#This Row],[data]]&amp;Ocupacao_DW[[#This Row],[profissional_id]]&amp;Ocupacao_DW[[#This Row],[local_id]]</f>
        <v>446431079918</v>
      </c>
      <c r="H5068" s="1">
        <f>_xlfn.XLOOKUP(Ocupacao_DW[[#This Row],[Concat]],Vagas!$H:$H,Vagas!$D:$D,"",0)</f>
        <v>0</v>
      </c>
    </row>
    <row r="5069" spans="1:8" x14ac:dyDescent="0.25">
      <c r="A5069" s="2">
        <v>44638</v>
      </c>
      <c r="B5069" s="1" t="s">
        <v>43</v>
      </c>
      <c r="C5069">
        <v>57</v>
      </c>
      <c r="D5069" s="1" t="s">
        <v>169</v>
      </c>
      <c r="E5069" s="1" t="s">
        <v>6</v>
      </c>
      <c r="F5069">
        <v>2</v>
      </c>
      <c r="G5069" s="1" t="str">
        <f>Ocupacao_DW[[#This Row],[data]]&amp;Ocupacao_DW[[#This Row],[profissional_id]]&amp;Ocupacao_DW[[#This Row],[local_id]]</f>
        <v>44638572</v>
      </c>
      <c r="H5069" s="1">
        <f>_xlfn.XLOOKUP(Ocupacao_DW[[#This Row],[Concat]],Vagas!$H:$H,Vagas!$D:$D,"",0)</f>
        <v>15</v>
      </c>
    </row>
    <row r="5070" spans="1:8" x14ac:dyDescent="0.25">
      <c r="A5070" s="2">
        <v>44641</v>
      </c>
      <c r="B5070" s="1" t="s">
        <v>56</v>
      </c>
      <c r="C5070">
        <v>75</v>
      </c>
      <c r="D5070" s="1" t="s">
        <v>208</v>
      </c>
      <c r="E5070" s="1" t="s">
        <v>5</v>
      </c>
      <c r="F5070">
        <v>15</v>
      </c>
      <c r="G5070" s="1" t="str">
        <f>Ocupacao_DW[[#This Row],[data]]&amp;Ocupacao_DW[[#This Row],[profissional_id]]&amp;Ocupacao_DW[[#This Row],[local_id]]</f>
        <v>446417515</v>
      </c>
      <c r="H5070" s="1">
        <f>_xlfn.XLOOKUP(Ocupacao_DW[[#This Row],[Concat]],Vagas!$H:$H,Vagas!$D:$D,"",0)</f>
        <v>0</v>
      </c>
    </row>
    <row r="5071" spans="1:8" x14ac:dyDescent="0.25">
      <c r="A5071" s="2">
        <v>44636</v>
      </c>
      <c r="B5071" s="1" t="s">
        <v>47</v>
      </c>
      <c r="C5071">
        <v>111</v>
      </c>
      <c r="D5071" s="1" t="s">
        <v>199</v>
      </c>
      <c r="E5071" s="1" t="s">
        <v>4</v>
      </c>
      <c r="F5071">
        <v>51</v>
      </c>
      <c r="G5071" s="1" t="str">
        <f>Ocupacao_DW[[#This Row],[data]]&amp;Ocupacao_DW[[#This Row],[profissional_id]]&amp;Ocupacao_DW[[#This Row],[local_id]]</f>
        <v>4463611151</v>
      </c>
      <c r="H5071" s="1">
        <f>_xlfn.XLOOKUP(Ocupacao_DW[[#This Row],[Concat]],Vagas!$H:$H,Vagas!$D:$D,"",0)</f>
        <v>1</v>
      </c>
    </row>
    <row r="5072" spans="1:8" x14ac:dyDescent="0.25">
      <c r="A5072" s="2">
        <v>44643</v>
      </c>
      <c r="B5072" s="1" t="s">
        <v>72</v>
      </c>
      <c r="C5072">
        <v>1794</v>
      </c>
      <c r="D5072" s="1" t="s">
        <v>235</v>
      </c>
      <c r="E5072" s="1" t="s">
        <v>4</v>
      </c>
      <c r="F5072">
        <v>49</v>
      </c>
      <c r="G5072" s="1" t="str">
        <f>Ocupacao_DW[[#This Row],[data]]&amp;Ocupacao_DW[[#This Row],[profissional_id]]&amp;Ocupacao_DW[[#This Row],[local_id]]</f>
        <v>44643179449</v>
      </c>
      <c r="H5072" s="1">
        <f>_xlfn.XLOOKUP(Ocupacao_DW[[#This Row],[Concat]],Vagas!$H:$H,Vagas!$D:$D,"",0)</f>
        <v>0</v>
      </c>
    </row>
    <row r="5073" spans="1:8" x14ac:dyDescent="0.25">
      <c r="A5073" s="2">
        <v>44642</v>
      </c>
      <c r="B5073" s="1" t="s">
        <v>54</v>
      </c>
      <c r="C5073">
        <v>10941</v>
      </c>
      <c r="D5073" s="1" t="s">
        <v>224</v>
      </c>
      <c r="E5073" s="1" t="s">
        <v>5</v>
      </c>
      <c r="F5073">
        <v>13</v>
      </c>
      <c r="G5073" s="1" t="str">
        <f>Ocupacao_DW[[#This Row],[data]]&amp;Ocupacao_DW[[#This Row],[profissional_id]]&amp;Ocupacao_DW[[#This Row],[local_id]]</f>
        <v>446421094113</v>
      </c>
      <c r="H5073" s="1">
        <f>_xlfn.XLOOKUP(Ocupacao_DW[[#This Row],[Concat]],Vagas!$H:$H,Vagas!$D:$D,"",0)</f>
        <v>0</v>
      </c>
    </row>
    <row r="5074" spans="1:8" x14ac:dyDescent="0.25">
      <c r="A5074" s="2">
        <v>44637</v>
      </c>
      <c r="B5074" s="1"/>
      <c r="C5074">
        <v>0</v>
      </c>
      <c r="D5074" s="1"/>
      <c r="E5074" s="1" t="s">
        <v>4</v>
      </c>
      <c r="F5074">
        <v>39</v>
      </c>
      <c r="G5074" s="1" t="str">
        <f>Ocupacao_DW[[#This Row],[data]]&amp;Ocupacao_DW[[#This Row],[profissional_id]]&amp;Ocupacao_DW[[#This Row],[local_id]]</f>
        <v>44637039</v>
      </c>
      <c r="H5074" s="1" t="str">
        <f>_xlfn.XLOOKUP(Ocupacao_DW[[#This Row],[Concat]],Vagas!$H:$H,Vagas!$D:$D,"",0)</f>
        <v/>
      </c>
    </row>
    <row r="5075" spans="1:8" x14ac:dyDescent="0.25">
      <c r="A5075" s="2">
        <v>44638</v>
      </c>
      <c r="B5075" s="1" t="s">
        <v>66</v>
      </c>
      <c r="C5075">
        <v>1343</v>
      </c>
      <c r="D5075" s="1" t="s">
        <v>263</v>
      </c>
      <c r="E5075" s="1" t="s">
        <v>167</v>
      </c>
      <c r="F5075">
        <v>342</v>
      </c>
      <c r="G5075" s="1" t="str">
        <f>Ocupacao_DW[[#This Row],[data]]&amp;Ocupacao_DW[[#This Row],[profissional_id]]&amp;Ocupacao_DW[[#This Row],[local_id]]</f>
        <v>446381343342</v>
      </c>
      <c r="H5075" s="1">
        <f>_xlfn.XLOOKUP(Ocupacao_DW[[#This Row],[Concat]],Vagas!$H:$H,Vagas!$D:$D,"",0)</f>
        <v>0</v>
      </c>
    </row>
    <row r="5076" spans="1:8" x14ac:dyDescent="0.25">
      <c r="A5076" s="2">
        <v>44648</v>
      </c>
      <c r="B5076" s="1" t="s">
        <v>60</v>
      </c>
      <c r="C5076">
        <v>117</v>
      </c>
      <c r="D5076" s="1" t="s">
        <v>180</v>
      </c>
      <c r="E5076" s="1" t="s">
        <v>4</v>
      </c>
      <c r="F5076">
        <v>48</v>
      </c>
      <c r="G5076" s="1" t="str">
        <f>Ocupacao_DW[[#This Row],[data]]&amp;Ocupacao_DW[[#This Row],[profissional_id]]&amp;Ocupacao_DW[[#This Row],[local_id]]</f>
        <v>4464811748</v>
      </c>
      <c r="H5076" s="1">
        <f>_xlfn.XLOOKUP(Ocupacao_DW[[#This Row],[Concat]],Vagas!$H:$H,Vagas!$D:$D,"",0)</f>
        <v>0</v>
      </c>
    </row>
    <row r="5077" spans="1:8" x14ac:dyDescent="0.25">
      <c r="A5077" s="2">
        <v>44641</v>
      </c>
      <c r="B5077" s="1" t="s">
        <v>20</v>
      </c>
      <c r="C5077">
        <v>174</v>
      </c>
      <c r="D5077" s="1" t="s">
        <v>230</v>
      </c>
      <c r="E5077" s="1" t="s">
        <v>167</v>
      </c>
      <c r="F5077">
        <v>24</v>
      </c>
      <c r="G5077" s="1" t="str">
        <f>Ocupacao_DW[[#This Row],[data]]&amp;Ocupacao_DW[[#This Row],[profissional_id]]&amp;Ocupacao_DW[[#This Row],[local_id]]</f>
        <v>4464117424</v>
      </c>
      <c r="H5077" s="1">
        <f>_xlfn.XLOOKUP(Ocupacao_DW[[#This Row],[Concat]],Vagas!$H:$H,Vagas!$D:$D,"",0)</f>
        <v>80</v>
      </c>
    </row>
    <row r="5078" spans="1:8" x14ac:dyDescent="0.25">
      <c r="A5078" s="2">
        <v>44642</v>
      </c>
      <c r="B5078" s="1" t="s">
        <v>64</v>
      </c>
      <c r="C5078">
        <v>12230</v>
      </c>
      <c r="D5078" s="1" t="s">
        <v>269</v>
      </c>
      <c r="E5078" s="1" t="s">
        <v>5</v>
      </c>
      <c r="F5078">
        <v>17</v>
      </c>
      <c r="G5078" s="1" t="str">
        <f>Ocupacao_DW[[#This Row],[data]]&amp;Ocupacao_DW[[#This Row],[profissional_id]]&amp;Ocupacao_DW[[#This Row],[local_id]]</f>
        <v>446421223017</v>
      </c>
      <c r="H5078" s="1">
        <f>_xlfn.XLOOKUP(Ocupacao_DW[[#This Row],[Concat]],Vagas!$H:$H,Vagas!$D:$D,"",0)</f>
        <v>0</v>
      </c>
    </row>
    <row r="5079" spans="1:8" x14ac:dyDescent="0.25">
      <c r="A5079" s="2">
        <v>44650</v>
      </c>
      <c r="B5079" s="1" t="s">
        <v>72</v>
      </c>
      <c r="C5079">
        <v>6046</v>
      </c>
      <c r="D5079" s="1" t="s">
        <v>222</v>
      </c>
      <c r="E5079" s="1" t="s">
        <v>167</v>
      </c>
      <c r="F5079">
        <v>344</v>
      </c>
      <c r="G5079" s="1" t="str">
        <f>Ocupacao_DW[[#This Row],[data]]&amp;Ocupacao_DW[[#This Row],[profissional_id]]&amp;Ocupacao_DW[[#This Row],[local_id]]</f>
        <v>446506046344</v>
      </c>
      <c r="H5079" s="1">
        <f>_xlfn.XLOOKUP(Ocupacao_DW[[#This Row],[Concat]],Vagas!$H:$H,Vagas!$D:$D,"",0)</f>
        <v>0</v>
      </c>
    </row>
    <row r="5080" spans="1:8" x14ac:dyDescent="0.25">
      <c r="A5080" s="2">
        <v>44637</v>
      </c>
      <c r="B5080" s="1" t="s">
        <v>66</v>
      </c>
      <c r="C5080">
        <v>100</v>
      </c>
      <c r="D5080" s="1" t="s">
        <v>166</v>
      </c>
      <c r="E5080" s="1" t="s">
        <v>167</v>
      </c>
      <c r="F5080">
        <v>342</v>
      </c>
      <c r="G5080" s="1" t="str">
        <f>Ocupacao_DW[[#This Row],[data]]&amp;Ocupacao_DW[[#This Row],[profissional_id]]&amp;Ocupacao_DW[[#This Row],[local_id]]</f>
        <v>44637100342</v>
      </c>
      <c r="H5080" s="1">
        <f>_xlfn.XLOOKUP(Ocupacao_DW[[#This Row],[Concat]],Vagas!$H:$H,Vagas!$D:$D,"",0)</f>
        <v>0</v>
      </c>
    </row>
    <row r="5081" spans="1:8" x14ac:dyDescent="0.25">
      <c r="A5081" s="2">
        <v>44641</v>
      </c>
      <c r="B5081" s="1" t="s">
        <v>49</v>
      </c>
      <c r="C5081">
        <v>81</v>
      </c>
      <c r="D5081" s="1" t="s">
        <v>170</v>
      </c>
      <c r="E5081" s="1" t="s">
        <v>4</v>
      </c>
      <c r="F5081">
        <v>41</v>
      </c>
      <c r="G5081" s="1" t="str">
        <f>Ocupacao_DW[[#This Row],[data]]&amp;Ocupacao_DW[[#This Row],[profissional_id]]&amp;Ocupacao_DW[[#This Row],[local_id]]</f>
        <v>446418141</v>
      </c>
      <c r="H5081" s="1">
        <f>_xlfn.XLOOKUP(Ocupacao_DW[[#This Row],[Concat]],Vagas!$H:$H,Vagas!$D:$D,"",0)</f>
        <v>0</v>
      </c>
    </row>
    <row r="5082" spans="1:8" x14ac:dyDescent="0.25">
      <c r="A5082" s="2">
        <v>44638</v>
      </c>
      <c r="B5082" s="1" t="s">
        <v>56</v>
      </c>
      <c r="C5082">
        <v>5927</v>
      </c>
      <c r="D5082" s="1" t="s">
        <v>226</v>
      </c>
      <c r="E5082" s="1" t="s">
        <v>5</v>
      </c>
      <c r="F5082">
        <v>17</v>
      </c>
      <c r="G5082" s="1" t="str">
        <f>Ocupacao_DW[[#This Row],[data]]&amp;Ocupacao_DW[[#This Row],[profissional_id]]&amp;Ocupacao_DW[[#This Row],[local_id]]</f>
        <v>44638592717</v>
      </c>
      <c r="H5082" s="1">
        <f>_xlfn.XLOOKUP(Ocupacao_DW[[#This Row],[Concat]],Vagas!$H:$H,Vagas!$D:$D,"",0)</f>
        <v>0</v>
      </c>
    </row>
    <row r="5083" spans="1:8" x14ac:dyDescent="0.25">
      <c r="A5083" s="2">
        <v>44644</v>
      </c>
      <c r="B5083" s="1" t="s">
        <v>62</v>
      </c>
      <c r="C5083">
        <v>2567</v>
      </c>
      <c r="D5083" s="1" t="s">
        <v>198</v>
      </c>
      <c r="E5083" s="1" t="s">
        <v>5</v>
      </c>
      <c r="F5083">
        <v>18</v>
      </c>
      <c r="G5083" s="1" t="str">
        <f>Ocupacao_DW[[#This Row],[data]]&amp;Ocupacao_DW[[#This Row],[profissional_id]]&amp;Ocupacao_DW[[#This Row],[local_id]]</f>
        <v>44644256718</v>
      </c>
      <c r="H5083" s="1">
        <f>_xlfn.XLOOKUP(Ocupacao_DW[[#This Row],[Concat]],Vagas!$H:$H,Vagas!$D:$D,"",0)</f>
        <v>0</v>
      </c>
    </row>
    <row r="5084" spans="1:8" x14ac:dyDescent="0.25">
      <c r="A5084" s="2">
        <v>44643</v>
      </c>
      <c r="B5084" s="1" t="s">
        <v>50</v>
      </c>
      <c r="C5084">
        <v>13552</v>
      </c>
      <c r="D5084" s="1" t="s">
        <v>281</v>
      </c>
      <c r="E5084" s="1" t="s">
        <v>7</v>
      </c>
      <c r="F5084">
        <v>64</v>
      </c>
      <c r="G5084" s="1" t="str">
        <f>Ocupacao_DW[[#This Row],[data]]&amp;Ocupacao_DW[[#This Row],[profissional_id]]&amp;Ocupacao_DW[[#This Row],[local_id]]</f>
        <v>446431355264</v>
      </c>
      <c r="H5084" s="1">
        <f>_xlfn.XLOOKUP(Ocupacao_DW[[#This Row],[Concat]],Vagas!$H:$H,Vagas!$D:$D,"",0)</f>
        <v>0</v>
      </c>
    </row>
    <row r="5085" spans="1:8" x14ac:dyDescent="0.25">
      <c r="A5085" s="2">
        <v>44637</v>
      </c>
      <c r="B5085" s="1" t="s">
        <v>57</v>
      </c>
      <c r="C5085">
        <v>80</v>
      </c>
      <c r="D5085" s="1" t="s">
        <v>179</v>
      </c>
      <c r="E5085" s="1" t="s">
        <v>167</v>
      </c>
      <c r="F5085">
        <v>348</v>
      </c>
      <c r="G5085" s="1" t="str">
        <f>Ocupacao_DW[[#This Row],[data]]&amp;Ocupacao_DW[[#This Row],[profissional_id]]&amp;Ocupacao_DW[[#This Row],[local_id]]</f>
        <v>4463780348</v>
      </c>
      <c r="H5085" s="1">
        <f>_xlfn.XLOOKUP(Ocupacao_DW[[#This Row],[Concat]],Vagas!$H:$H,Vagas!$D:$D,"",0)</f>
        <v>0</v>
      </c>
    </row>
    <row r="5086" spans="1:8" x14ac:dyDescent="0.25">
      <c r="A5086" s="2">
        <v>44641</v>
      </c>
      <c r="B5086" s="1" t="s">
        <v>72</v>
      </c>
      <c r="C5086">
        <v>6046</v>
      </c>
      <c r="D5086" s="1" t="s">
        <v>222</v>
      </c>
      <c r="E5086" s="1" t="s">
        <v>4</v>
      </c>
      <c r="F5086">
        <v>46</v>
      </c>
      <c r="G5086" s="1" t="str">
        <f>Ocupacao_DW[[#This Row],[data]]&amp;Ocupacao_DW[[#This Row],[profissional_id]]&amp;Ocupacao_DW[[#This Row],[local_id]]</f>
        <v>44641604646</v>
      </c>
      <c r="H5086" s="1">
        <f>_xlfn.XLOOKUP(Ocupacao_DW[[#This Row],[Concat]],Vagas!$H:$H,Vagas!$D:$D,"",0)</f>
        <v>0</v>
      </c>
    </row>
    <row r="5087" spans="1:8" x14ac:dyDescent="0.25">
      <c r="A5087" s="2">
        <v>44641</v>
      </c>
      <c r="B5087" s="1" t="s">
        <v>72</v>
      </c>
      <c r="C5087">
        <v>6046</v>
      </c>
      <c r="D5087" s="1" t="s">
        <v>222</v>
      </c>
      <c r="E5087" s="1" t="s">
        <v>4</v>
      </c>
      <c r="F5087">
        <v>46</v>
      </c>
      <c r="G5087" s="1" t="str">
        <f>Ocupacao_DW[[#This Row],[data]]&amp;Ocupacao_DW[[#This Row],[profissional_id]]&amp;Ocupacao_DW[[#This Row],[local_id]]</f>
        <v>44641604646</v>
      </c>
      <c r="H5087" s="1">
        <f>_xlfn.XLOOKUP(Ocupacao_DW[[#This Row],[Concat]],Vagas!$H:$H,Vagas!$D:$D,"",0)</f>
        <v>0</v>
      </c>
    </row>
    <row r="5088" spans="1:8" x14ac:dyDescent="0.25">
      <c r="A5088" s="2">
        <v>44637</v>
      </c>
      <c r="B5088" s="1" t="s">
        <v>50</v>
      </c>
      <c r="C5088">
        <v>4814</v>
      </c>
      <c r="D5088" s="1" t="s">
        <v>189</v>
      </c>
      <c r="E5088" s="1" t="s">
        <v>5</v>
      </c>
      <c r="F5088">
        <v>14</v>
      </c>
      <c r="G5088" s="1" t="str">
        <f>Ocupacao_DW[[#This Row],[data]]&amp;Ocupacao_DW[[#This Row],[profissional_id]]&amp;Ocupacao_DW[[#This Row],[local_id]]</f>
        <v>44637481414</v>
      </c>
      <c r="H5088" s="1">
        <f>_xlfn.XLOOKUP(Ocupacao_DW[[#This Row],[Concat]],Vagas!$H:$H,Vagas!$D:$D,"",0)</f>
        <v>0</v>
      </c>
    </row>
    <row r="5089" spans="1:8" x14ac:dyDescent="0.25">
      <c r="A5089" s="2">
        <v>44648</v>
      </c>
      <c r="B5089" s="1" t="s">
        <v>55</v>
      </c>
      <c r="C5089">
        <v>60</v>
      </c>
      <c r="D5089" s="1" t="s">
        <v>217</v>
      </c>
      <c r="E5089" s="1" t="s">
        <v>7</v>
      </c>
      <c r="F5089">
        <v>66</v>
      </c>
      <c r="G5089" s="1" t="str">
        <f>Ocupacao_DW[[#This Row],[data]]&amp;Ocupacao_DW[[#This Row],[profissional_id]]&amp;Ocupacao_DW[[#This Row],[local_id]]</f>
        <v>446486066</v>
      </c>
      <c r="H5089" s="1">
        <f>_xlfn.XLOOKUP(Ocupacao_DW[[#This Row],[Concat]],Vagas!$H:$H,Vagas!$D:$D,"",0)</f>
        <v>0</v>
      </c>
    </row>
    <row r="5090" spans="1:8" x14ac:dyDescent="0.25">
      <c r="A5090" s="2">
        <v>44644</v>
      </c>
      <c r="B5090" s="1" t="s">
        <v>52</v>
      </c>
      <c r="C5090">
        <v>10691</v>
      </c>
      <c r="D5090" s="1" t="s">
        <v>181</v>
      </c>
      <c r="E5090" s="1" t="s">
        <v>6</v>
      </c>
      <c r="F5090">
        <v>9</v>
      </c>
      <c r="G5090" s="1" t="str">
        <f>Ocupacao_DW[[#This Row],[data]]&amp;Ocupacao_DW[[#This Row],[profissional_id]]&amp;Ocupacao_DW[[#This Row],[local_id]]</f>
        <v>44644106919</v>
      </c>
      <c r="H5090" s="1">
        <f>_xlfn.XLOOKUP(Ocupacao_DW[[#This Row],[Concat]],Vagas!$H:$H,Vagas!$D:$D,"",0)</f>
        <v>0</v>
      </c>
    </row>
    <row r="5091" spans="1:8" x14ac:dyDescent="0.25">
      <c r="A5091" s="2">
        <v>44648</v>
      </c>
      <c r="B5091" s="1" t="s">
        <v>54</v>
      </c>
      <c r="C5091">
        <v>70</v>
      </c>
      <c r="D5091" s="1" t="s">
        <v>187</v>
      </c>
      <c r="E5091" s="1" t="s">
        <v>5</v>
      </c>
      <c r="F5091">
        <v>13</v>
      </c>
      <c r="G5091" s="1" t="str">
        <f>Ocupacao_DW[[#This Row],[data]]&amp;Ocupacao_DW[[#This Row],[profissional_id]]&amp;Ocupacao_DW[[#This Row],[local_id]]</f>
        <v>446487013</v>
      </c>
      <c r="H5091" s="1">
        <f>_xlfn.XLOOKUP(Ocupacao_DW[[#This Row],[Concat]],Vagas!$H:$H,Vagas!$D:$D,"",0)</f>
        <v>0</v>
      </c>
    </row>
    <row r="5092" spans="1:8" x14ac:dyDescent="0.25">
      <c r="A5092" s="2">
        <v>44641</v>
      </c>
      <c r="B5092" s="1" t="s">
        <v>47</v>
      </c>
      <c r="C5092">
        <v>11241</v>
      </c>
      <c r="D5092" s="1" t="s">
        <v>252</v>
      </c>
      <c r="E5092" s="1" t="s">
        <v>4</v>
      </c>
      <c r="F5092">
        <v>51</v>
      </c>
      <c r="G5092" s="1" t="str">
        <f>Ocupacao_DW[[#This Row],[data]]&amp;Ocupacao_DW[[#This Row],[profissional_id]]&amp;Ocupacao_DW[[#This Row],[local_id]]</f>
        <v>446411124151</v>
      </c>
      <c r="H5092" s="1">
        <f>_xlfn.XLOOKUP(Ocupacao_DW[[#This Row],[Concat]],Vagas!$H:$H,Vagas!$D:$D,"",0)</f>
        <v>0</v>
      </c>
    </row>
    <row r="5093" spans="1:8" x14ac:dyDescent="0.25">
      <c r="A5093" s="2">
        <v>44635</v>
      </c>
      <c r="B5093" s="1" t="s">
        <v>71</v>
      </c>
      <c r="C5093">
        <v>282</v>
      </c>
      <c r="D5093" s="1" t="s">
        <v>210</v>
      </c>
      <c r="E5093" s="1" t="s">
        <v>4</v>
      </c>
      <c r="F5093">
        <v>48</v>
      </c>
      <c r="G5093" s="1" t="str">
        <f>Ocupacao_DW[[#This Row],[data]]&amp;Ocupacao_DW[[#This Row],[profissional_id]]&amp;Ocupacao_DW[[#This Row],[local_id]]</f>
        <v>4463528248</v>
      </c>
      <c r="H5093" s="1">
        <f>_xlfn.XLOOKUP(Ocupacao_DW[[#This Row],[Concat]],Vagas!$H:$H,Vagas!$D:$D,"",0)</f>
        <v>0</v>
      </c>
    </row>
    <row r="5094" spans="1:8" x14ac:dyDescent="0.25">
      <c r="A5094" s="2">
        <v>44646</v>
      </c>
      <c r="B5094" s="1" t="s">
        <v>49</v>
      </c>
      <c r="C5094">
        <v>13756</v>
      </c>
      <c r="D5094" s="1" t="s">
        <v>202</v>
      </c>
      <c r="E5094" s="1" t="s">
        <v>4</v>
      </c>
      <c r="F5094">
        <v>43</v>
      </c>
      <c r="G5094" s="1" t="str">
        <f>Ocupacao_DW[[#This Row],[data]]&amp;Ocupacao_DW[[#This Row],[profissional_id]]&amp;Ocupacao_DW[[#This Row],[local_id]]</f>
        <v>446461375643</v>
      </c>
      <c r="H5094" s="1">
        <f>_xlfn.XLOOKUP(Ocupacao_DW[[#This Row],[Concat]],Vagas!$H:$H,Vagas!$D:$D,"",0)</f>
        <v>0</v>
      </c>
    </row>
    <row r="5095" spans="1:8" x14ac:dyDescent="0.25">
      <c r="A5095" s="2">
        <v>44636</v>
      </c>
      <c r="B5095" s="1" t="s">
        <v>49</v>
      </c>
      <c r="C5095">
        <v>17918</v>
      </c>
      <c r="D5095" s="1" t="s">
        <v>265</v>
      </c>
      <c r="E5095" s="1" t="s">
        <v>4</v>
      </c>
      <c r="F5095">
        <v>42</v>
      </c>
      <c r="G5095" s="1" t="str">
        <f>Ocupacao_DW[[#This Row],[data]]&amp;Ocupacao_DW[[#This Row],[profissional_id]]&amp;Ocupacao_DW[[#This Row],[local_id]]</f>
        <v>446361791842</v>
      </c>
      <c r="H5095" s="1">
        <f>_xlfn.XLOOKUP(Ocupacao_DW[[#This Row],[Concat]],Vagas!$H:$H,Vagas!$D:$D,"",0)</f>
        <v>0</v>
      </c>
    </row>
    <row r="5096" spans="1:8" x14ac:dyDescent="0.25">
      <c r="A5096" s="2">
        <v>44635</v>
      </c>
      <c r="B5096" s="1" t="s">
        <v>62</v>
      </c>
      <c r="C5096">
        <v>3502</v>
      </c>
      <c r="D5096" s="1" t="s">
        <v>214</v>
      </c>
      <c r="E5096" s="1" t="s">
        <v>5</v>
      </c>
      <c r="F5096">
        <v>16</v>
      </c>
      <c r="G5096" s="1" t="str">
        <f>Ocupacao_DW[[#This Row],[data]]&amp;Ocupacao_DW[[#This Row],[profissional_id]]&amp;Ocupacao_DW[[#This Row],[local_id]]</f>
        <v>44635350216</v>
      </c>
      <c r="H5096" s="1">
        <f>_xlfn.XLOOKUP(Ocupacao_DW[[#This Row],[Concat]],Vagas!$H:$H,Vagas!$D:$D,"",0)</f>
        <v>0</v>
      </c>
    </row>
    <row r="5097" spans="1:8" x14ac:dyDescent="0.25">
      <c r="A5097" s="2">
        <v>44644</v>
      </c>
      <c r="B5097" s="1" t="s">
        <v>51</v>
      </c>
      <c r="C5097">
        <v>12582</v>
      </c>
      <c r="D5097" s="1" t="s">
        <v>190</v>
      </c>
      <c r="E5097" s="1" t="s">
        <v>5</v>
      </c>
      <c r="F5097">
        <v>15</v>
      </c>
      <c r="G5097" s="1" t="str">
        <f>Ocupacao_DW[[#This Row],[data]]&amp;Ocupacao_DW[[#This Row],[profissional_id]]&amp;Ocupacao_DW[[#This Row],[local_id]]</f>
        <v>446441258215</v>
      </c>
      <c r="H5097" s="1">
        <f>_xlfn.XLOOKUP(Ocupacao_DW[[#This Row],[Concat]],Vagas!$H:$H,Vagas!$D:$D,"",0)</f>
        <v>0</v>
      </c>
    </row>
    <row r="5098" spans="1:8" x14ac:dyDescent="0.25">
      <c r="A5098" s="2">
        <v>44650</v>
      </c>
      <c r="B5098" s="1" t="s">
        <v>51</v>
      </c>
      <c r="C5098">
        <v>17859</v>
      </c>
      <c r="D5098" s="1" t="s">
        <v>212</v>
      </c>
      <c r="E5098" s="1" t="s">
        <v>6</v>
      </c>
      <c r="F5098">
        <v>7</v>
      </c>
      <c r="G5098" s="1" t="str">
        <f>Ocupacao_DW[[#This Row],[data]]&amp;Ocupacao_DW[[#This Row],[profissional_id]]&amp;Ocupacao_DW[[#This Row],[local_id]]</f>
        <v>44650178597</v>
      </c>
      <c r="H5098" s="1">
        <f>_xlfn.XLOOKUP(Ocupacao_DW[[#This Row],[Concat]],Vagas!$H:$H,Vagas!$D:$D,"",0)</f>
        <v>0</v>
      </c>
    </row>
    <row r="5099" spans="1:8" x14ac:dyDescent="0.25">
      <c r="A5099" s="2">
        <v>44635</v>
      </c>
      <c r="B5099" s="1" t="s">
        <v>46</v>
      </c>
      <c r="C5099">
        <v>17888</v>
      </c>
      <c r="D5099" s="1" t="s">
        <v>255</v>
      </c>
      <c r="E5099" s="1" t="s">
        <v>4</v>
      </c>
      <c r="F5099">
        <v>40</v>
      </c>
      <c r="G5099" s="1" t="str">
        <f>Ocupacao_DW[[#This Row],[data]]&amp;Ocupacao_DW[[#This Row],[profissional_id]]&amp;Ocupacao_DW[[#This Row],[local_id]]</f>
        <v>446351788840</v>
      </c>
      <c r="H5099" s="1">
        <f>_xlfn.XLOOKUP(Ocupacao_DW[[#This Row],[Concat]],Vagas!$H:$H,Vagas!$D:$D,"",0)</f>
        <v>11</v>
      </c>
    </row>
    <row r="5100" spans="1:8" x14ac:dyDescent="0.25">
      <c r="A5100" s="2">
        <v>44643</v>
      </c>
      <c r="B5100" s="1" t="s">
        <v>52</v>
      </c>
      <c r="C5100">
        <v>60</v>
      </c>
      <c r="D5100" s="1" t="s">
        <v>217</v>
      </c>
      <c r="E5100" s="1" t="s">
        <v>167</v>
      </c>
      <c r="F5100">
        <v>346</v>
      </c>
      <c r="G5100" s="1" t="str">
        <f>Ocupacao_DW[[#This Row],[data]]&amp;Ocupacao_DW[[#This Row],[profissional_id]]&amp;Ocupacao_DW[[#This Row],[local_id]]</f>
        <v>4464360346</v>
      </c>
      <c r="H5100" s="1">
        <f>_xlfn.XLOOKUP(Ocupacao_DW[[#This Row],[Concat]],Vagas!$H:$H,Vagas!$D:$D,"",0)</f>
        <v>0</v>
      </c>
    </row>
    <row r="5101" spans="1:8" x14ac:dyDescent="0.25">
      <c r="A5101" s="2">
        <v>44641</v>
      </c>
      <c r="B5101" s="1" t="s">
        <v>49</v>
      </c>
      <c r="C5101">
        <v>3092</v>
      </c>
      <c r="D5101" s="1" t="s">
        <v>262</v>
      </c>
      <c r="E5101" s="1" t="s">
        <v>4</v>
      </c>
      <c r="F5101">
        <v>43</v>
      </c>
      <c r="G5101" s="1" t="str">
        <f>Ocupacao_DW[[#This Row],[data]]&amp;Ocupacao_DW[[#This Row],[profissional_id]]&amp;Ocupacao_DW[[#This Row],[local_id]]</f>
        <v>44641309243</v>
      </c>
      <c r="H5101" s="1">
        <f>_xlfn.XLOOKUP(Ocupacao_DW[[#This Row],[Concat]],Vagas!$H:$H,Vagas!$D:$D,"",0)</f>
        <v>0</v>
      </c>
    </row>
    <row r="5102" spans="1:8" x14ac:dyDescent="0.25">
      <c r="A5102" s="2">
        <v>44641</v>
      </c>
      <c r="B5102" s="1" t="s">
        <v>64</v>
      </c>
      <c r="C5102">
        <v>86</v>
      </c>
      <c r="D5102" s="1" t="s">
        <v>175</v>
      </c>
      <c r="E5102" s="1" t="s">
        <v>5</v>
      </c>
      <c r="F5102">
        <v>349</v>
      </c>
      <c r="G5102" s="1" t="str">
        <f>Ocupacao_DW[[#This Row],[data]]&amp;Ocupacao_DW[[#This Row],[profissional_id]]&amp;Ocupacao_DW[[#This Row],[local_id]]</f>
        <v>4464186349</v>
      </c>
      <c r="H5102" s="1">
        <f>_xlfn.XLOOKUP(Ocupacao_DW[[#This Row],[Concat]],Vagas!$H:$H,Vagas!$D:$D,"",0)</f>
        <v>0</v>
      </c>
    </row>
    <row r="5103" spans="1:8" x14ac:dyDescent="0.25">
      <c r="A5103" s="2">
        <v>44644</v>
      </c>
      <c r="B5103" s="1" t="s">
        <v>71</v>
      </c>
      <c r="C5103">
        <v>282</v>
      </c>
      <c r="D5103" s="1" t="s">
        <v>210</v>
      </c>
      <c r="E5103" s="1" t="s">
        <v>200</v>
      </c>
      <c r="F5103">
        <v>82</v>
      </c>
      <c r="G5103" s="1" t="str">
        <f>Ocupacao_DW[[#This Row],[data]]&amp;Ocupacao_DW[[#This Row],[profissional_id]]&amp;Ocupacao_DW[[#This Row],[local_id]]</f>
        <v>4464428282</v>
      </c>
      <c r="H5103" s="1">
        <f>_xlfn.XLOOKUP(Ocupacao_DW[[#This Row],[Concat]],Vagas!$H:$H,Vagas!$D:$D,"",0)</f>
        <v>0</v>
      </c>
    </row>
    <row r="5104" spans="1:8" x14ac:dyDescent="0.25">
      <c r="A5104" s="2">
        <v>44650</v>
      </c>
      <c r="B5104" s="1" t="s">
        <v>70</v>
      </c>
      <c r="C5104">
        <v>12825</v>
      </c>
      <c r="D5104" s="1" t="s">
        <v>177</v>
      </c>
      <c r="E5104" s="1" t="s">
        <v>4</v>
      </c>
      <c r="F5104">
        <v>45</v>
      </c>
      <c r="G5104" s="1" t="str">
        <f>Ocupacao_DW[[#This Row],[data]]&amp;Ocupacao_DW[[#This Row],[profissional_id]]&amp;Ocupacao_DW[[#This Row],[local_id]]</f>
        <v>446501282545</v>
      </c>
      <c r="H5104" s="1">
        <f>_xlfn.XLOOKUP(Ocupacao_DW[[#This Row],[Concat]],Vagas!$H:$H,Vagas!$D:$D,"",0)</f>
        <v>0</v>
      </c>
    </row>
    <row r="5105" spans="1:8" x14ac:dyDescent="0.25">
      <c r="A5105" s="2">
        <v>44641</v>
      </c>
      <c r="B5105" s="1" t="s">
        <v>72</v>
      </c>
      <c r="C5105">
        <v>13479</v>
      </c>
      <c r="D5105" s="1" t="s">
        <v>203</v>
      </c>
      <c r="E5105" s="1" t="s">
        <v>4</v>
      </c>
      <c r="F5105">
        <v>46</v>
      </c>
      <c r="G5105" s="1" t="str">
        <f>Ocupacao_DW[[#This Row],[data]]&amp;Ocupacao_DW[[#This Row],[profissional_id]]&amp;Ocupacao_DW[[#This Row],[local_id]]</f>
        <v>446411347946</v>
      </c>
      <c r="H5105" s="1">
        <f>_xlfn.XLOOKUP(Ocupacao_DW[[#This Row],[Concat]],Vagas!$H:$H,Vagas!$D:$D,"",0)</f>
        <v>0</v>
      </c>
    </row>
    <row r="5106" spans="1:8" x14ac:dyDescent="0.25">
      <c r="A5106" s="2">
        <v>44635</v>
      </c>
      <c r="B5106" s="1" t="s">
        <v>71</v>
      </c>
      <c r="C5106">
        <v>282</v>
      </c>
      <c r="D5106" s="1" t="s">
        <v>210</v>
      </c>
      <c r="E5106" s="1" t="s">
        <v>4</v>
      </c>
      <c r="F5106">
        <v>48</v>
      </c>
      <c r="G5106" s="1" t="str">
        <f>Ocupacao_DW[[#This Row],[data]]&amp;Ocupacao_DW[[#This Row],[profissional_id]]&amp;Ocupacao_DW[[#This Row],[local_id]]</f>
        <v>4463528248</v>
      </c>
      <c r="H5106" s="1">
        <f>_xlfn.XLOOKUP(Ocupacao_DW[[#This Row],[Concat]],Vagas!$H:$H,Vagas!$D:$D,"",0)</f>
        <v>0</v>
      </c>
    </row>
    <row r="5107" spans="1:8" x14ac:dyDescent="0.25">
      <c r="A5107" s="2">
        <v>44638</v>
      </c>
      <c r="B5107" s="1" t="s">
        <v>53</v>
      </c>
      <c r="C5107">
        <v>9138</v>
      </c>
      <c r="D5107" s="1" t="s">
        <v>184</v>
      </c>
      <c r="E5107" s="1" t="s">
        <v>167</v>
      </c>
      <c r="F5107">
        <v>344</v>
      </c>
      <c r="G5107" s="1" t="str">
        <f>Ocupacao_DW[[#This Row],[data]]&amp;Ocupacao_DW[[#This Row],[profissional_id]]&amp;Ocupacao_DW[[#This Row],[local_id]]</f>
        <v>446389138344</v>
      </c>
      <c r="H5107" s="1">
        <f>_xlfn.XLOOKUP(Ocupacao_DW[[#This Row],[Concat]],Vagas!$H:$H,Vagas!$D:$D,"",0)</f>
        <v>0</v>
      </c>
    </row>
    <row r="5108" spans="1:8" x14ac:dyDescent="0.25">
      <c r="A5108" s="2">
        <v>44655</v>
      </c>
      <c r="B5108" s="1" t="s">
        <v>55</v>
      </c>
      <c r="C5108">
        <v>6392</v>
      </c>
      <c r="D5108" s="1" t="s">
        <v>173</v>
      </c>
      <c r="E5108" s="1" t="s">
        <v>6</v>
      </c>
      <c r="F5108">
        <v>5</v>
      </c>
      <c r="G5108" s="1" t="str">
        <f>Ocupacao_DW[[#This Row],[data]]&amp;Ocupacao_DW[[#This Row],[profissional_id]]&amp;Ocupacao_DW[[#This Row],[local_id]]</f>
        <v>4465563925</v>
      </c>
      <c r="H5108" s="1">
        <f>_xlfn.XLOOKUP(Ocupacao_DW[[#This Row],[Concat]],Vagas!$H:$H,Vagas!$D:$D,"",0)</f>
        <v>0</v>
      </c>
    </row>
    <row r="5109" spans="1:8" x14ac:dyDescent="0.25">
      <c r="A5109" s="2">
        <v>44643</v>
      </c>
      <c r="B5109" s="1" t="s">
        <v>51</v>
      </c>
      <c r="C5109">
        <v>12679</v>
      </c>
      <c r="D5109" s="1" t="s">
        <v>192</v>
      </c>
      <c r="E5109" s="1" t="s">
        <v>5</v>
      </c>
      <c r="F5109">
        <v>11</v>
      </c>
      <c r="G5109" s="1" t="str">
        <f>Ocupacao_DW[[#This Row],[data]]&amp;Ocupacao_DW[[#This Row],[profissional_id]]&amp;Ocupacao_DW[[#This Row],[local_id]]</f>
        <v>446431267911</v>
      </c>
      <c r="H5109" s="1">
        <f>_xlfn.XLOOKUP(Ocupacao_DW[[#This Row],[Concat]],Vagas!$H:$H,Vagas!$D:$D,"",0)</f>
        <v>0</v>
      </c>
    </row>
    <row r="5110" spans="1:8" x14ac:dyDescent="0.25">
      <c r="A5110" s="2">
        <v>44635</v>
      </c>
      <c r="B5110" s="1" t="s">
        <v>70</v>
      </c>
      <c r="C5110">
        <v>12825</v>
      </c>
      <c r="D5110" s="1" t="s">
        <v>177</v>
      </c>
      <c r="E5110" s="1" t="s">
        <v>7</v>
      </c>
      <c r="F5110">
        <v>63</v>
      </c>
      <c r="G5110" s="1" t="str">
        <f>Ocupacao_DW[[#This Row],[data]]&amp;Ocupacao_DW[[#This Row],[profissional_id]]&amp;Ocupacao_DW[[#This Row],[local_id]]</f>
        <v>446351282563</v>
      </c>
      <c r="H5110" s="1">
        <f>_xlfn.XLOOKUP(Ocupacao_DW[[#This Row],[Concat]],Vagas!$H:$H,Vagas!$D:$D,"",0)</f>
        <v>0</v>
      </c>
    </row>
    <row r="5111" spans="1:8" x14ac:dyDescent="0.25">
      <c r="A5111" s="2">
        <v>44645</v>
      </c>
      <c r="B5111" s="1" t="s">
        <v>43</v>
      </c>
      <c r="C5111">
        <v>17864</v>
      </c>
      <c r="D5111" s="1" t="s">
        <v>234</v>
      </c>
      <c r="E5111" s="1" t="s">
        <v>200</v>
      </c>
      <c r="F5111">
        <v>360</v>
      </c>
      <c r="G5111" s="1" t="str">
        <f>Ocupacao_DW[[#This Row],[data]]&amp;Ocupacao_DW[[#This Row],[profissional_id]]&amp;Ocupacao_DW[[#This Row],[local_id]]</f>
        <v>4464517864360</v>
      </c>
      <c r="H5111" s="1">
        <f>_xlfn.XLOOKUP(Ocupacao_DW[[#This Row],[Concat]],Vagas!$H:$H,Vagas!$D:$D,"",0)</f>
        <v>20</v>
      </c>
    </row>
    <row r="5112" spans="1:8" x14ac:dyDescent="0.25">
      <c r="A5112" s="2">
        <v>44645</v>
      </c>
      <c r="B5112" s="1" t="s">
        <v>69</v>
      </c>
      <c r="C5112">
        <v>13249</v>
      </c>
      <c r="D5112" s="1" t="s">
        <v>178</v>
      </c>
      <c r="E5112" s="1" t="s">
        <v>7</v>
      </c>
      <c r="F5112">
        <v>66</v>
      </c>
      <c r="G5112" s="1" t="str">
        <f>Ocupacao_DW[[#This Row],[data]]&amp;Ocupacao_DW[[#This Row],[profissional_id]]&amp;Ocupacao_DW[[#This Row],[local_id]]</f>
        <v>446451324966</v>
      </c>
      <c r="H5112" s="1">
        <f>_xlfn.XLOOKUP(Ocupacao_DW[[#This Row],[Concat]],Vagas!$H:$H,Vagas!$D:$D,"",0)</f>
        <v>0</v>
      </c>
    </row>
    <row r="5113" spans="1:8" x14ac:dyDescent="0.25">
      <c r="A5113" s="2">
        <v>44655</v>
      </c>
      <c r="B5113" s="1" t="s">
        <v>64</v>
      </c>
      <c r="C5113">
        <v>86</v>
      </c>
      <c r="D5113" s="1" t="s">
        <v>175</v>
      </c>
      <c r="E5113" s="1" t="s">
        <v>5</v>
      </c>
      <c r="F5113">
        <v>349</v>
      </c>
      <c r="G5113" s="1" t="str">
        <f>Ocupacao_DW[[#This Row],[data]]&amp;Ocupacao_DW[[#This Row],[profissional_id]]&amp;Ocupacao_DW[[#This Row],[local_id]]</f>
        <v>4465586349</v>
      </c>
      <c r="H5113" s="1">
        <f>_xlfn.XLOOKUP(Ocupacao_DW[[#This Row],[Concat]],Vagas!$H:$H,Vagas!$D:$D,"",0)</f>
        <v>0</v>
      </c>
    </row>
    <row r="5114" spans="1:8" x14ac:dyDescent="0.25">
      <c r="A5114" s="2">
        <v>44643</v>
      </c>
      <c r="B5114" s="1" t="s">
        <v>66</v>
      </c>
      <c r="C5114">
        <v>1343</v>
      </c>
      <c r="D5114" s="1" t="s">
        <v>263</v>
      </c>
      <c r="E5114" s="1" t="s">
        <v>7</v>
      </c>
      <c r="F5114">
        <v>64</v>
      </c>
      <c r="G5114" s="1" t="str">
        <f>Ocupacao_DW[[#This Row],[data]]&amp;Ocupacao_DW[[#This Row],[profissional_id]]&amp;Ocupacao_DW[[#This Row],[local_id]]</f>
        <v>44643134364</v>
      </c>
      <c r="H5114" s="1">
        <f>_xlfn.XLOOKUP(Ocupacao_DW[[#This Row],[Concat]],Vagas!$H:$H,Vagas!$D:$D,"",0)</f>
        <v>0</v>
      </c>
    </row>
    <row r="5115" spans="1:8" x14ac:dyDescent="0.25">
      <c r="A5115" s="2">
        <v>44650</v>
      </c>
      <c r="B5115" s="1" t="s">
        <v>52</v>
      </c>
      <c r="C5115">
        <v>57</v>
      </c>
      <c r="D5115" s="1" t="s">
        <v>169</v>
      </c>
      <c r="E5115" s="1" t="s">
        <v>6</v>
      </c>
      <c r="F5115">
        <v>4</v>
      </c>
      <c r="G5115" s="1" t="str">
        <f>Ocupacao_DW[[#This Row],[data]]&amp;Ocupacao_DW[[#This Row],[profissional_id]]&amp;Ocupacao_DW[[#This Row],[local_id]]</f>
        <v>44650574</v>
      </c>
      <c r="H5115" s="1">
        <f>_xlfn.XLOOKUP(Ocupacao_DW[[#This Row],[Concat]],Vagas!$H:$H,Vagas!$D:$D,"",0)</f>
        <v>0</v>
      </c>
    </row>
    <row r="5116" spans="1:8" x14ac:dyDescent="0.25">
      <c r="A5116" s="2">
        <v>44644</v>
      </c>
      <c r="B5116" s="1" t="s">
        <v>47</v>
      </c>
      <c r="C5116">
        <v>9111</v>
      </c>
      <c r="D5116" s="1" t="s">
        <v>206</v>
      </c>
      <c r="E5116" s="1" t="s">
        <v>4</v>
      </c>
      <c r="F5116">
        <v>334</v>
      </c>
      <c r="G5116" s="1" t="str">
        <f>Ocupacao_DW[[#This Row],[data]]&amp;Ocupacao_DW[[#This Row],[profissional_id]]&amp;Ocupacao_DW[[#This Row],[local_id]]</f>
        <v>446449111334</v>
      </c>
      <c r="H5116" s="1">
        <f>_xlfn.XLOOKUP(Ocupacao_DW[[#This Row],[Concat]],Vagas!$H:$H,Vagas!$D:$D,"",0)</f>
        <v>0</v>
      </c>
    </row>
    <row r="5117" spans="1:8" x14ac:dyDescent="0.25">
      <c r="A5117" s="2">
        <v>44635</v>
      </c>
      <c r="B5117" s="1" t="s">
        <v>276</v>
      </c>
      <c r="C5117">
        <v>17937</v>
      </c>
      <c r="D5117" s="1" t="s">
        <v>297</v>
      </c>
      <c r="E5117" s="1" t="s">
        <v>4</v>
      </c>
      <c r="F5117">
        <v>351</v>
      </c>
      <c r="G5117" s="1" t="str">
        <f>Ocupacao_DW[[#This Row],[data]]&amp;Ocupacao_DW[[#This Row],[profissional_id]]&amp;Ocupacao_DW[[#This Row],[local_id]]</f>
        <v>4463517937351</v>
      </c>
      <c r="H5117" s="1">
        <f>_xlfn.XLOOKUP(Ocupacao_DW[[#This Row],[Concat]],Vagas!$H:$H,Vagas!$D:$D,"",0)</f>
        <v>11</v>
      </c>
    </row>
    <row r="5118" spans="1:8" x14ac:dyDescent="0.25">
      <c r="A5118" s="2">
        <v>44641</v>
      </c>
      <c r="B5118" s="1" t="s">
        <v>49</v>
      </c>
      <c r="C5118">
        <v>81</v>
      </c>
      <c r="D5118" s="1" t="s">
        <v>170</v>
      </c>
      <c r="E5118" s="1" t="s">
        <v>4</v>
      </c>
      <c r="F5118">
        <v>41</v>
      </c>
      <c r="G5118" s="1" t="str">
        <f>Ocupacao_DW[[#This Row],[data]]&amp;Ocupacao_DW[[#This Row],[profissional_id]]&amp;Ocupacao_DW[[#This Row],[local_id]]</f>
        <v>446418141</v>
      </c>
      <c r="H5118" s="1">
        <f>_xlfn.XLOOKUP(Ocupacao_DW[[#This Row],[Concat]],Vagas!$H:$H,Vagas!$D:$D,"",0)</f>
        <v>0</v>
      </c>
    </row>
    <row r="5119" spans="1:8" x14ac:dyDescent="0.25">
      <c r="A5119" s="2">
        <v>44645</v>
      </c>
      <c r="B5119" s="1" t="s">
        <v>42</v>
      </c>
      <c r="C5119">
        <v>17902</v>
      </c>
      <c r="D5119" s="1" t="s">
        <v>264</v>
      </c>
      <c r="E5119" s="1" t="s">
        <v>4</v>
      </c>
      <c r="F5119">
        <v>39</v>
      </c>
      <c r="G5119" s="1" t="str">
        <f>Ocupacao_DW[[#This Row],[data]]&amp;Ocupacao_DW[[#This Row],[profissional_id]]&amp;Ocupacao_DW[[#This Row],[local_id]]</f>
        <v>446451790239</v>
      </c>
      <c r="H5119" s="1">
        <f>_xlfn.XLOOKUP(Ocupacao_DW[[#This Row],[Concat]],Vagas!$H:$H,Vagas!$D:$D,"",0)</f>
        <v>52</v>
      </c>
    </row>
    <row r="5120" spans="1:8" x14ac:dyDescent="0.25">
      <c r="A5120" s="2">
        <v>44635</v>
      </c>
      <c r="B5120" s="1" t="s">
        <v>276</v>
      </c>
      <c r="C5120">
        <v>17937</v>
      </c>
      <c r="D5120" s="1" t="s">
        <v>297</v>
      </c>
      <c r="E5120" s="1" t="s">
        <v>4</v>
      </c>
      <c r="F5120">
        <v>351</v>
      </c>
      <c r="G5120" s="1" t="str">
        <f>Ocupacao_DW[[#This Row],[data]]&amp;Ocupacao_DW[[#This Row],[profissional_id]]&amp;Ocupacao_DW[[#This Row],[local_id]]</f>
        <v>4463517937351</v>
      </c>
      <c r="H5120" s="1">
        <f>_xlfn.XLOOKUP(Ocupacao_DW[[#This Row],[Concat]],Vagas!$H:$H,Vagas!$D:$D,"",0)</f>
        <v>11</v>
      </c>
    </row>
    <row r="5121" spans="1:8" x14ac:dyDescent="0.25">
      <c r="A5121" s="2">
        <v>44635</v>
      </c>
      <c r="B5121" s="1" t="s">
        <v>276</v>
      </c>
      <c r="C5121">
        <v>17937</v>
      </c>
      <c r="D5121" s="1" t="s">
        <v>297</v>
      </c>
      <c r="E5121" s="1" t="s">
        <v>4</v>
      </c>
      <c r="F5121">
        <v>351</v>
      </c>
      <c r="G5121" s="1" t="str">
        <f>Ocupacao_DW[[#This Row],[data]]&amp;Ocupacao_DW[[#This Row],[profissional_id]]&amp;Ocupacao_DW[[#This Row],[local_id]]</f>
        <v>4463517937351</v>
      </c>
      <c r="H5121" s="1">
        <f>_xlfn.XLOOKUP(Ocupacao_DW[[#This Row],[Concat]],Vagas!$H:$H,Vagas!$D:$D,"",0)</f>
        <v>11</v>
      </c>
    </row>
    <row r="5122" spans="1:8" x14ac:dyDescent="0.25">
      <c r="A5122" s="2">
        <v>44635</v>
      </c>
      <c r="B5122" s="1" t="s">
        <v>20</v>
      </c>
      <c r="C5122">
        <v>174</v>
      </c>
      <c r="D5122" s="1" t="s">
        <v>230</v>
      </c>
      <c r="E5122" s="1" t="s">
        <v>167</v>
      </c>
      <c r="F5122">
        <v>24</v>
      </c>
      <c r="G5122" s="1" t="str">
        <f>Ocupacao_DW[[#This Row],[data]]&amp;Ocupacao_DW[[#This Row],[profissional_id]]&amp;Ocupacao_DW[[#This Row],[local_id]]</f>
        <v>4463517424</v>
      </c>
      <c r="H5122" s="1">
        <f>_xlfn.XLOOKUP(Ocupacao_DW[[#This Row],[Concat]],Vagas!$H:$H,Vagas!$D:$D,"",0)</f>
        <v>66</v>
      </c>
    </row>
    <row r="5123" spans="1:8" x14ac:dyDescent="0.25">
      <c r="A5123" s="2">
        <v>44635</v>
      </c>
      <c r="B5123" s="1" t="s">
        <v>276</v>
      </c>
      <c r="C5123">
        <v>17937</v>
      </c>
      <c r="D5123" s="1" t="s">
        <v>297</v>
      </c>
      <c r="E5123" s="1" t="s">
        <v>4</v>
      </c>
      <c r="F5123">
        <v>351</v>
      </c>
      <c r="G5123" s="1" t="str">
        <f>Ocupacao_DW[[#This Row],[data]]&amp;Ocupacao_DW[[#This Row],[profissional_id]]&amp;Ocupacao_DW[[#This Row],[local_id]]</f>
        <v>4463517937351</v>
      </c>
      <c r="H5123" s="1">
        <f>_xlfn.XLOOKUP(Ocupacao_DW[[#This Row],[Concat]],Vagas!$H:$H,Vagas!$D:$D,"",0)</f>
        <v>11</v>
      </c>
    </row>
    <row r="5124" spans="1:8" x14ac:dyDescent="0.25">
      <c r="A5124" s="2">
        <v>44641</v>
      </c>
      <c r="B5124" s="1" t="s">
        <v>49</v>
      </c>
      <c r="C5124">
        <v>81</v>
      </c>
      <c r="D5124" s="1" t="s">
        <v>170</v>
      </c>
      <c r="E5124" s="1" t="s">
        <v>4</v>
      </c>
      <c r="F5124">
        <v>41</v>
      </c>
      <c r="G5124" s="1" t="str">
        <f>Ocupacao_DW[[#This Row],[data]]&amp;Ocupacao_DW[[#This Row],[profissional_id]]&amp;Ocupacao_DW[[#This Row],[local_id]]</f>
        <v>446418141</v>
      </c>
      <c r="H5124" s="1">
        <f>_xlfn.XLOOKUP(Ocupacao_DW[[#This Row],[Concat]],Vagas!$H:$H,Vagas!$D:$D,"",0)</f>
        <v>0</v>
      </c>
    </row>
    <row r="5125" spans="1:8" x14ac:dyDescent="0.25">
      <c r="A5125" s="2">
        <v>44646</v>
      </c>
      <c r="B5125" s="1" t="s">
        <v>52</v>
      </c>
      <c r="C5125">
        <v>60</v>
      </c>
      <c r="D5125" s="1" t="s">
        <v>217</v>
      </c>
      <c r="E5125" s="1" t="s">
        <v>6</v>
      </c>
      <c r="F5125">
        <v>6</v>
      </c>
      <c r="G5125" s="1" t="str">
        <f>Ocupacao_DW[[#This Row],[data]]&amp;Ocupacao_DW[[#This Row],[profissional_id]]&amp;Ocupacao_DW[[#This Row],[local_id]]</f>
        <v>44646606</v>
      </c>
      <c r="H5125" s="1">
        <f>_xlfn.XLOOKUP(Ocupacao_DW[[#This Row],[Concat]],Vagas!$H:$H,Vagas!$D:$D,"",0)</f>
        <v>0</v>
      </c>
    </row>
    <row r="5126" spans="1:8" x14ac:dyDescent="0.25">
      <c r="A5126" s="2">
        <v>44639</v>
      </c>
      <c r="B5126" s="1" t="s">
        <v>49</v>
      </c>
      <c r="C5126">
        <v>13756</v>
      </c>
      <c r="D5126" s="1" t="s">
        <v>202</v>
      </c>
      <c r="E5126" s="1" t="s">
        <v>4</v>
      </c>
      <c r="F5126">
        <v>43</v>
      </c>
      <c r="G5126" s="1" t="str">
        <f>Ocupacao_DW[[#This Row],[data]]&amp;Ocupacao_DW[[#This Row],[profissional_id]]&amp;Ocupacao_DW[[#This Row],[local_id]]</f>
        <v>446391375643</v>
      </c>
      <c r="H5126" s="1">
        <f>_xlfn.XLOOKUP(Ocupacao_DW[[#This Row],[Concat]],Vagas!$H:$H,Vagas!$D:$D,"",0)</f>
        <v>0</v>
      </c>
    </row>
    <row r="5127" spans="1:8" x14ac:dyDescent="0.25">
      <c r="A5127" s="2">
        <v>44636</v>
      </c>
      <c r="B5127" s="1" t="s">
        <v>276</v>
      </c>
      <c r="C5127">
        <v>17937</v>
      </c>
      <c r="D5127" s="1" t="s">
        <v>297</v>
      </c>
      <c r="E5127" s="1" t="s">
        <v>4</v>
      </c>
      <c r="F5127">
        <v>351</v>
      </c>
      <c r="G5127" s="1" t="str">
        <f>Ocupacao_DW[[#This Row],[data]]&amp;Ocupacao_DW[[#This Row],[profissional_id]]&amp;Ocupacao_DW[[#This Row],[local_id]]</f>
        <v>4463617937351</v>
      </c>
      <c r="H5127" s="1">
        <f>_xlfn.XLOOKUP(Ocupacao_DW[[#This Row],[Concat]],Vagas!$H:$H,Vagas!$D:$D,"",0)</f>
        <v>11</v>
      </c>
    </row>
    <row r="5128" spans="1:8" x14ac:dyDescent="0.25">
      <c r="A5128" s="2">
        <v>44642</v>
      </c>
      <c r="B5128" s="1" t="s">
        <v>49</v>
      </c>
      <c r="C5128">
        <v>81</v>
      </c>
      <c r="D5128" s="1" t="s">
        <v>170</v>
      </c>
      <c r="E5128" s="1" t="s">
        <v>4</v>
      </c>
      <c r="F5128">
        <v>41</v>
      </c>
      <c r="G5128" s="1" t="str">
        <f>Ocupacao_DW[[#This Row],[data]]&amp;Ocupacao_DW[[#This Row],[profissional_id]]&amp;Ocupacao_DW[[#This Row],[local_id]]</f>
        <v>446428141</v>
      </c>
      <c r="H5128" s="1">
        <f>_xlfn.XLOOKUP(Ocupacao_DW[[#This Row],[Concat]],Vagas!$H:$H,Vagas!$D:$D,"",0)</f>
        <v>0</v>
      </c>
    </row>
    <row r="5129" spans="1:8" x14ac:dyDescent="0.25">
      <c r="A5129" s="2">
        <v>44648</v>
      </c>
      <c r="B5129" s="1" t="s">
        <v>62</v>
      </c>
      <c r="C5129">
        <v>2567</v>
      </c>
      <c r="D5129" s="1" t="s">
        <v>198</v>
      </c>
      <c r="E5129" s="1" t="s">
        <v>5</v>
      </c>
      <c r="F5129">
        <v>18</v>
      </c>
      <c r="G5129" s="1" t="str">
        <f>Ocupacao_DW[[#This Row],[data]]&amp;Ocupacao_DW[[#This Row],[profissional_id]]&amp;Ocupacao_DW[[#This Row],[local_id]]</f>
        <v>44648256718</v>
      </c>
      <c r="H5129" s="1">
        <f>_xlfn.XLOOKUP(Ocupacao_DW[[#This Row],[Concat]],Vagas!$H:$H,Vagas!$D:$D,"",0)</f>
        <v>0</v>
      </c>
    </row>
    <row r="5130" spans="1:8" x14ac:dyDescent="0.25">
      <c r="A5130" s="2">
        <v>44636</v>
      </c>
      <c r="B5130" s="1" t="s">
        <v>43</v>
      </c>
      <c r="C5130">
        <v>57</v>
      </c>
      <c r="D5130" s="1" t="s">
        <v>169</v>
      </c>
      <c r="E5130" s="1" t="s">
        <v>6</v>
      </c>
      <c r="F5130">
        <v>2</v>
      </c>
      <c r="G5130" s="1" t="str">
        <f>Ocupacao_DW[[#This Row],[data]]&amp;Ocupacao_DW[[#This Row],[profissional_id]]&amp;Ocupacao_DW[[#This Row],[local_id]]</f>
        <v>44636572</v>
      </c>
      <c r="H5130" s="1">
        <f>_xlfn.XLOOKUP(Ocupacao_DW[[#This Row],[Concat]],Vagas!$H:$H,Vagas!$D:$D,"",0)</f>
        <v>2</v>
      </c>
    </row>
    <row r="5131" spans="1:8" x14ac:dyDescent="0.25">
      <c r="A5131" s="2">
        <v>44644</v>
      </c>
      <c r="B5131" s="1" t="s">
        <v>46</v>
      </c>
      <c r="C5131">
        <v>17888</v>
      </c>
      <c r="D5131" s="1" t="s">
        <v>255</v>
      </c>
      <c r="E5131" s="1" t="s">
        <v>4</v>
      </c>
      <c r="F5131">
        <v>40</v>
      </c>
      <c r="G5131" s="1" t="str">
        <f>Ocupacao_DW[[#This Row],[data]]&amp;Ocupacao_DW[[#This Row],[profissional_id]]&amp;Ocupacao_DW[[#This Row],[local_id]]</f>
        <v>446441788840</v>
      </c>
      <c r="H5131" s="1">
        <f>_xlfn.XLOOKUP(Ocupacao_DW[[#This Row],[Concat]],Vagas!$H:$H,Vagas!$D:$D,"",0)</f>
        <v>27</v>
      </c>
    </row>
    <row r="5132" spans="1:8" x14ac:dyDescent="0.25">
      <c r="A5132" s="2">
        <v>44635</v>
      </c>
      <c r="B5132" s="1" t="s">
        <v>62</v>
      </c>
      <c r="C5132">
        <v>3502</v>
      </c>
      <c r="D5132" s="1" t="s">
        <v>214</v>
      </c>
      <c r="E5132" s="1" t="s">
        <v>5</v>
      </c>
      <c r="F5132">
        <v>16</v>
      </c>
      <c r="G5132" s="1" t="str">
        <f>Ocupacao_DW[[#This Row],[data]]&amp;Ocupacao_DW[[#This Row],[profissional_id]]&amp;Ocupacao_DW[[#This Row],[local_id]]</f>
        <v>44635350216</v>
      </c>
      <c r="H5132" s="1">
        <f>_xlfn.XLOOKUP(Ocupacao_DW[[#This Row],[Concat]],Vagas!$H:$H,Vagas!$D:$D,"",0)</f>
        <v>0</v>
      </c>
    </row>
    <row r="5133" spans="1:8" x14ac:dyDescent="0.25">
      <c r="A5133" s="2">
        <v>44635</v>
      </c>
      <c r="B5133" s="1" t="s">
        <v>65</v>
      </c>
      <c r="C5133">
        <v>11237</v>
      </c>
      <c r="D5133" s="1" t="s">
        <v>229</v>
      </c>
      <c r="E5133" s="1" t="s">
        <v>4</v>
      </c>
      <c r="F5133">
        <v>46</v>
      </c>
      <c r="G5133" s="1" t="str">
        <f>Ocupacao_DW[[#This Row],[data]]&amp;Ocupacao_DW[[#This Row],[profissional_id]]&amp;Ocupacao_DW[[#This Row],[local_id]]</f>
        <v>446351123746</v>
      </c>
      <c r="H5133" s="1">
        <f>_xlfn.XLOOKUP(Ocupacao_DW[[#This Row],[Concat]],Vagas!$H:$H,Vagas!$D:$D,"",0)</f>
        <v>0</v>
      </c>
    </row>
    <row r="5134" spans="1:8" x14ac:dyDescent="0.25">
      <c r="A5134" s="2">
        <v>44644</v>
      </c>
      <c r="B5134" s="1" t="s">
        <v>52</v>
      </c>
      <c r="C5134">
        <v>9217</v>
      </c>
      <c r="D5134" s="1" t="s">
        <v>191</v>
      </c>
      <c r="E5134" s="1" t="s">
        <v>6</v>
      </c>
      <c r="F5134">
        <v>7</v>
      </c>
      <c r="G5134" s="1" t="str">
        <f>Ocupacao_DW[[#This Row],[data]]&amp;Ocupacao_DW[[#This Row],[profissional_id]]&amp;Ocupacao_DW[[#This Row],[local_id]]</f>
        <v>4464492177</v>
      </c>
      <c r="H5134" s="1">
        <f>_xlfn.XLOOKUP(Ocupacao_DW[[#This Row],[Concat]],Vagas!$H:$H,Vagas!$D:$D,"",0)</f>
        <v>0</v>
      </c>
    </row>
    <row r="5135" spans="1:8" x14ac:dyDescent="0.25">
      <c r="A5135" s="2">
        <v>44644</v>
      </c>
      <c r="B5135" s="1" t="s">
        <v>51</v>
      </c>
      <c r="C5135">
        <v>12582</v>
      </c>
      <c r="D5135" s="1" t="s">
        <v>190</v>
      </c>
      <c r="E5135" s="1" t="s">
        <v>5</v>
      </c>
      <c r="F5135">
        <v>15</v>
      </c>
      <c r="G5135" s="1" t="str">
        <f>Ocupacao_DW[[#This Row],[data]]&amp;Ocupacao_DW[[#This Row],[profissional_id]]&amp;Ocupacao_DW[[#This Row],[local_id]]</f>
        <v>446441258215</v>
      </c>
      <c r="H5135" s="1">
        <f>_xlfn.XLOOKUP(Ocupacao_DW[[#This Row],[Concat]],Vagas!$H:$H,Vagas!$D:$D,"",0)</f>
        <v>0</v>
      </c>
    </row>
    <row r="5136" spans="1:8" x14ac:dyDescent="0.25">
      <c r="A5136" s="2">
        <v>44635</v>
      </c>
      <c r="B5136" s="1" t="s">
        <v>56</v>
      </c>
      <c r="C5136">
        <v>1586</v>
      </c>
      <c r="D5136" s="1" t="s">
        <v>261</v>
      </c>
      <c r="E5136" s="1" t="s">
        <v>7</v>
      </c>
      <c r="F5136">
        <v>67</v>
      </c>
      <c r="G5136" s="1" t="str">
        <f>Ocupacao_DW[[#This Row],[data]]&amp;Ocupacao_DW[[#This Row],[profissional_id]]&amp;Ocupacao_DW[[#This Row],[local_id]]</f>
        <v>44635158667</v>
      </c>
      <c r="H5136" s="1">
        <f>_xlfn.XLOOKUP(Ocupacao_DW[[#This Row],[Concat]],Vagas!$H:$H,Vagas!$D:$D,"",0)</f>
        <v>0</v>
      </c>
    </row>
    <row r="5137" spans="1:8" x14ac:dyDescent="0.25">
      <c r="A5137" s="2">
        <v>44642</v>
      </c>
      <c r="B5137" s="1" t="s">
        <v>54</v>
      </c>
      <c r="C5137">
        <v>10941</v>
      </c>
      <c r="D5137" s="1" t="s">
        <v>224</v>
      </c>
      <c r="E5137" s="1" t="s">
        <v>5</v>
      </c>
      <c r="F5137">
        <v>13</v>
      </c>
      <c r="G5137" s="1" t="str">
        <f>Ocupacao_DW[[#This Row],[data]]&amp;Ocupacao_DW[[#This Row],[profissional_id]]&amp;Ocupacao_DW[[#This Row],[local_id]]</f>
        <v>446421094113</v>
      </c>
      <c r="H5137" s="1">
        <f>_xlfn.XLOOKUP(Ocupacao_DW[[#This Row],[Concat]],Vagas!$H:$H,Vagas!$D:$D,"",0)</f>
        <v>0</v>
      </c>
    </row>
    <row r="5138" spans="1:8" x14ac:dyDescent="0.25">
      <c r="A5138" s="2">
        <v>44657</v>
      </c>
      <c r="B5138" s="1" t="s">
        <v>55</v>
      </c>
      <c r="C5138">
        <v>73</v>
      </c>
      <c r="D5138" s="1" t="s">
        <v>171</v>
      </c>
      <c r="E5138" s="1" t="s">
        <v>6</v>
      </c>
      <c r="F5138">
        <v>5</v>
      </c>
      <c r="G5138" s="1" t="str">
        <f>Ocupacao_DW[[#This Row],[data]]&amp;Ocupacao_DW[[#This Row],[profissional_id]]&amp;Ocupacao_DW[[#This Row],[local_id]]</f>
        <v>44657735</v>
      </c>
      <c r="H5138" s="1">
        <f>_xlfn.XLOOKUP(Ocupacao_DW[[#This Row],[Concat]],Vagas!$H:$H,Vagas!$D:$D,"",0)</f>
        <v>0</v>
      </c>
    </row>
    <row r="5139" spans="1:8" x14ac:dyDescent="0.25">
      <c r="A5139" s="2">
        <v>44638</v>
      </c>
      <c r="B5139" s="1" t="s">
        <v>47</v>
      </c>
      <c r="C5139">
        <v>13371</v>
      </c>
      <c r="D5139" s="1" t="s">
        <v>205</v>
      </c>
      <c r="E5139" s="1" t="s">
        <v>4</v>
      </c>
      <c r="F5139">
        <v>336</v>
      </c>
      <c r="G5139" s="1" t="str">
        <f>Ocupacao_DW[[#This Row],[data]]&amp;Ocupacao_DW[[#This Row],[profissional_id]]&amp;Ocupacao_DW[[#This Row],[local_id]]</f>
        <v>4463813371336</v>
      </c>
      <c r="H5139" s="1" t="str">
        <f>_xlfn.XLOOKUP(Ocupacao_DW[[#This Row],[Concat]],Vagas!$H:$H,Vagas!$D:$D,"",0)</f>
        <v/>
      </c>
    </row>
    <row r="5140" spans="1:8" x14ac:dyDescent="0.25">
      <c r="A5140" s="2">
        <v>44648</v>
      </c>
      <c r="B5140" s="1" t="s">
        <v>55</v>
      </c>
      <c r="C5140">
        <v>12669</v>
      </c>
      <c r="D5140" s="1" t="s">
        <v>223</v>
      </c>
      <c r="E5140" s="1" t="s">
        <v>6</v>
      </c>
      <c r="F5140">
        <v>6</v>
      </c>
      <c r="G5140" s="1" t="str">
        <f>Ocupacao_DW[[#This Row],[data]]&amp;Ocupacao_DW[[#This Row],[profissional_id]]&amp;Ocupacao_DW[[#This Row],[local_id]]</f>
        <v>44648126696</v>
      </c>
      <c r="H5140" s="1">
        <f>_xlfn.XLOOKUP(Ocupacao_DW[[#This Row],[Concat]],Vagas!$H:$H,Vagas!$D:$D,"",0)</f>
        <v>0</v>
      </c>
    </row>
    <row r="5141" spans="1:8" x14ac:dyDescent="0.25">
      <c r="A5141" s="2">
        <v>44643</v>
      </c>
      <c r="B5141" s="1" t="s">
        <v>72</v>
      </c>
      <c r="C5141">
        <v>1794</v>
      </c>
      <c r="D5141" s="1" t="s">
        <v>235</v>
      </c>
      <c r="E5141" s="1" t="s">
        <v>4</v>
      </c>
      <c r="F5141">
        <v>49</v>
      </c>
      <c r="G5141" s="1" t="str">
        <f>Ocupacao_DW[[#This Row],[data]]&amp;Ocupacao_DW[[#This Row],[profissional_id]]&amp;Ocupacao_DW[[#This Row],[local_id]]</f>
        <v>44643179449</v>
      </c>
      <c r="H5141" s="1">
        <f>_xlfn.XLOOKUP(Ocupacao_DW[[#This Row],[Concat]],Vagas!$H:$H,Vagas!$D:$D,"",0)</f>
        <v>0</v>
      </c>
    </row>
    <row r="5142" spans="1:8" x14ac:dyDescent="0.25">
      <c r="A5142" s="2">
        <v>44641</v>
      </c>
      <c r="B5142" s="1" t="s">
        <v>55</v>
      </c>
      <c r="C5142">
        <v>60</v>
      </c>
      <c r="D5142" s="1" t="s">
        <v>217</v>
      </c>
      <c r="E5142" s="1" t="s">
        <v>167</v>
      </c>
      <c r="F5142">
        <v>345</v>
      </c>
      <c r="G5142" s="1" t="str">
        <f>Ocupacao_DW[[#This Row],[data]]&amp;Ocupacao_DW[[#This Row],[profissional_id]]&amp;Ocupacao_DW[[#This Row],[local_id]]</f>
        <v>4464160345</v>
      </c>
      <c r="H5142" s="1">
        <f>_xlfn.XLOOKUP(Ocupacao_DW[[#This Row],[Concat]],Vagas!$H:$H,Vagas!$D:$D,"",0)</f>
        <v>0</v>
      </c>
    </row>
    <row r="5143" spans="1:8" x14ac:dyDescent="0.25">
      <c r="A5143" s="2">
        <v>44644</v>
      </c>
      <c r="B5143" s="1" t="s">
        <v>52</v>
      </c>
      <c r="C5143">
        <v>10691</v>
      </c>
      <c r="D5143" s="1" t="s">
        <v>181</v>
      </c>
      <c r="E5143" s="1" t="s">
        <v>6</v>
      </c>
      <c r="F5143">
        <v>9</v>
      </c>
      <c r="G5143" s="1" t="str">
        <f>Ocupacao_DW[[#This Row],[data]]&amp;Ocupacao_DW[[#This Row],[profissional_id]]&amp;Ocupacao_DW[[#This Row],[local_id]]</f>
        <v>44644106919</v>
      </c>
      <c r="H5143" s="1">
        <f>_xlfn.XLOOKUP(Ocupacao_DW[[#This Row],[Concat]],Vagas!$H:$H,Vagas!$D:$D,"",0)</f>
        <v>0</v>
      </c>
    </row>
    <row r="5144" spans="1:8" x14ac:dyDescent="0.25">
      <c r="A5144" s="2">
        <v>44638</v>
      </c>
      <c r="B5144" s="1" t="s">
        <v>66</v>
      </c>
      <c r="C5144">
        <v>3158</v>
      </c>
      <c r="D5144" s="1" t="s">
        <v>267</v>
      </c>
      <c r="E5144" s="1" t="s">
        <v>167</v>
      </c>
      <c r="F5144">
        <v>342</v>
      </c>
      <c r="G5144" s="1" t="str">
        <f>Ocupacao_DW[[#This Row],[data]]&amp;Ocupacao_DW[[#This Row],[profissional_id]]&amp;Ocupacao_DW[[#This Row],[local_id]]</f>
        <v>446383158342</v>
      </c>
      <c r="H5144" s="1">
        <f>_xlfn.XLOOKUP(Ocupacao_DW[[#This Row],[Concat]],Vagas!$H:$H,Vagas!$D:$D,"",0)</f>
        <v>0</v>
      </c>
    </row>
    <row r="5145" spans="1:8" x14ac:dyDescent="0.25">
      <c r="A5145" s="2">
        <v>44636</v>
      </c>
      <c r="B5145" s="1" t="s">
        <v>64</v>
      </c>
      <c r="C5145">
        <v>86</v>
      </c>
      <c r="D5145" s="1" t="s">
        <v>175</v>
      </c>
      <c r="E5145" s="1" t="s">
        <v>7</v>
      </c>
      <c r="F5145">
        <v>66</v>
      </c>
      <c r="G5145" s="1" t="str">
        <f>Ocupacao_DW[[#This Row],[data]]&amp;Ocupacao_DW[[#This Row],[profissional_id]]&amp;Ocupacao_DW[[#This Row],[local_id]]</f>
        <v>446368666</v>
      </c>
      <c r="H5145" s="1">
        <f>_xlfn.XLOOKUP(Ocupacao_DW[[#This Row],[Concat]],Vagas!$H:$H,Vagas!$D:$D,"",0)</f>
        <v>0</v>
      </c>
    </row>
    <row r="5146" spans="1:8" x14ac:dyDescent="0.25">
      <c r="A5146" s="2">
        <v>44644</v>
      </c>
      <c r="B5146" s="1" t="s">
        <v>47</v>
      </c>
      <c r="C5146">
        <v>9111</v>
      </c>
      <c r="D5146" s="1" t="s">
        <v>206</v>
      </c>
      <c r="E5146" s="1" t="s">
        <v>4</v>
      </c>
      <c r="F5146">
        <v>334</v>
      </c>
      <c r="G5146" s="1" t="str">
        <f>Ocupacao_DW[[#This Row],[data]]&amp;Ocupacao_DW[[#This Row],[profissional_id]]&amp;Ocupacao_DW[[#This Row],[local_id]]</f>
        <v>446449111334</v>
      </c>
      <c r="H5146" s="1">
        <f>_xlfn.XLOOKUP(Ocupacao_DW[[#This Row],[Concat]],Vagas!$H:$H,Vagas!$D:$D,"",0)</f>
        <v>0</v>
      </c>
    </row>
    <row r="5147" spans="1:8" x14ac:dyDescent="0.25">
      <c r="A5147" s="2">
        <v>44648</v>
      </c>
      <c r="B5147" s="1" t="s">
        <v>49</v>
      </c>
      <c r="C5147">
        <v>3092</v>
      </c>
      <c r="D5147" s="1" t="s">
        <v>262</v>
      </c>
      <c r="E5147" s="1" t="s">
        <v>4</v>
      </c>
      <c r="F5147">
        <v>43</v>
      </c>
      <c r="G5147" s="1" t="str">
        <f>Ocupacao_DW[[#This Row],[data]]&amp;Ocupacao_DW[[#This Row],[profissional_id]]&amp;Ocupacao_DW[[#This Row],[local_id]]</f>
        <v>44648309243</v>
      </c>
      <c r="H5147" s="1">
        <f>_xlfn.XLOOKUP(Ocupacao_DW[[#This Row],[Concat]],Vagas!$H:$H,Vagas!$D:$D,"",0)</f>
        <v>0</v>
      </c>
    </row>
    <row r="5148" spans="1:8" x14ac:dyDescent="0.25">
      <c r="A5148" s="2">
        <v>44638</v>
      </c>
      <c r="B5148" s="1" t="s">
        <v>64</v>
      </c>
      <c r="C5148">
        <v>86</v>
      </c>
      <c r="D5148" s="1" t="s">
        <v>175</v>
      </c>
      <c r="E5148" s="1" t="s">
        <v>5</v>
      </c>
      <c r="F5148">
        <v>349</v>
      </c>
      <c r="G5148" s="1" t="str">
        <f>Ocupacao_DW[[#This Row],[data]]&amp;Ocupacao_DW[[#This Row],[profissional_id]]&amp;Ocupacao_DW[[#This Row],[local_id]]</f>
        <v>4463886349</v>
      </c>
      <c r="H5148" s="1">
        <f>_xlfn.XLOOKUP(Ocupacao_DW[[#This Row],[Concat]],Vagas!$H:$H,Vagas!$D:$D,"",0)</f>
        <v>0</v>
      </c>
    </row>
    <row r="5149" spans="1:8" x14ac:dyDescent="0.25">
      <c r="A5149" s="2">
        <v>44636</v>
      </c>
      <c r="B5149" s="1" t="s">
        <v>62</v>
      </c>
      <c r="C5149">
        <v>3502</v>
      </c>
      <c r="D5149" s="1" t="s">
        <v>214</v>
      </c>
      <c r="E5149" s="1" t="s">
        <v>5</v>
      </c>
      <c r="F5149">
        <v>16</v>
      </c>
      <c r="G5149" s="1" t="str">
        <f>Ocupacao_DW[[#This Row],[data]]&amp;Ocupacao_DW[[#This Row],[profissional_id]]&amp;Ocupacao_DW[[#This Row],[local_id]]</f>
        <v>44636350216</v>
      </c>
      <c r="H5149" s="1">
        <f>_xlfn.XLOOKUP(Ocupacao_DW[[#This Row],[Concat]],Vagas!$H:$H,Vagas!$D:$D,"",0)</f>
        <v>0</v>
      </c>
    </row>
    <row r="5150" spans="1:8" x14ac:dyDescent="0.25">
      <c r="A5150" s="2">
        <v>44642</v>
      </c>
      <c r="B5150" s="1" t="s">
        <v>65</v>
      </c>
      <c r="C5150">
        <v>11237</v>
      </c>
      <c r="D5150" s="1" t="s">
        <v>229</v>
      </c>
      <c r="E5150" s="1" t="s">
        <v>4</v>
      </c>
      <c r="F5150">
        <v>46</v>
      </c>
      <c r="G5150" s="1" t="str">
        <f>Ocupacao_DW[[#This Row],[data]]&amp;Ocupacao_DW[[#This Row],[profissional_id]]&amp;Ocupacao_DW[[#This Row],[local_id]]</f>
        <v>446421123746</v>
      </c>
      <c r="H5150" s="1">
        <f>_xlfn.XLOOKUP(Ocupacao_DW[[#This Row],[Concat]],Vagas!$H:$H,Vagas!$D:$D,"",0)</f>
        <v>0</v>
      </c>
    </row>
    <row r="5151" spans="1:8" x14ac:dyDescent="0.25">
      <c r="A5151" s="2">
        <v>44637</v>
      </c>
      <c r="B5151" s="1" t="s">
        <v>66</v>
      </c>
      <c r="C5151">
        <v>100</v>
      </c>
      <c r="D5151" s="1" t="s">
        <v>166</v>
      </c>
      <c r="E5151" s="1" t="s">
        <v>167</v>
      </c>
      <c r="F5151">
        <v>342</v>
      </c>
      <c r="G5151" s="1" t="str">
        <f>Ocupacao_DW[[#This Row],[data]]&amp;Ocupacao_DW[[#This Row],[profissional_id]]&amp;Ocupacao_DW[[#This Row],[local_id]]</f>
        <v>44637100342</v>
      </c>
      <c r="H5151" s="1">
        <f>_xlfn.XLOOKUP(Ocupacao_DW[[#This Row],[Concat]],Vagas!$H:$H,Vagas!$D:$D,"",0)</f>
        <v>0</v>
      </c>
    </row>
    <row r="5152" spans="1:8" x14ac:dyDescent="0.25">
      <c r="A5152" s="2">
        <v>44641</v>
      </c>
      <c r="B5152" s="1" t="s">
        <v>55</v>
      </c>
      <c r="C5152">
        <v>60</v>
      </c>
      <c r="D5152" s="1" t="s">
        <v>217</v>
      </c>
      <c r="E5152" s="1" t="s">
        <v>167</v>
      </c>
      <c r="F5152">
        <v>345</v>
      </c>
      <c r="G5152" s="1" t="str">
        <f>Ocupacao_DW[[#This Row],[data]]&amp;Ocupacao_DW[[#This Row],[profissional_id]]&amp;Ocupacao_DW[[#This Row],[local_id]]</f>
        <v>4464160345</v>
      </c>
      <c r="H5152" s="1">
        <f>_xlfn.XLOOKUP(Ocupacao_DW[[#This Row],[Concat]],Vagas!$H:$H,Vagas!$D:$D,"",0)</f>
        <v>0</v>
      </c>
    </row>
    <row r="5153" spans="1:8" x14ac:dyDescent="0.25">
      <c r="A5153" s="2">
        <v>44641</v>
      </c>
      <c r="B5153" s="1" t="s">
        <v>49</v>
      </c>
      <c r="C5153">
        <v>6430</v>
      </c>
      <c r="D5153" s="1" t="s">
        <v>188</v>
      </c>
      <c r="E5153" s="1" t="s">
        <v>200</v>
      </c>
      <c r="F5153">
        <v>86</v>
      </c>
      <c r="G5153" s="1" t="str">
        <f>Ocupacao_DW[[#This Row],[data]]&amp;Ocupacao_DW[[#This Row],[profissional_id]]&amp;Ocupacao_DW[[#This Row],[local_id]]</f>
        <v>44641643086</v>
      </c>
      <c r="H5153" s="1">
        <f>_xlfn.XLOOKUP(Ocupacao_DW[[#This Row],[Concat]],Vagas!$H:$H,Vagas!$D:$D,"",0)</f>
        <v>0</v>
      </c>
    </row>
    <row r="5154" spans="1:8" x14ac:dyDescent="0.25">
      <c r="A5154" s="2">
        <v>44640</v>
      </c>
      <c r="B5154" s="1" t="s">
        <v>66</v>
      </c>
      <c r="C5154">
        <v>97</v>
      </c>
      <c r="D5154" s="1" t="s">
        <v>243</v>
      </c>
      <c r="E5154" s="1" t="s">
        <v>167</v>
      </c>
      <c r="F5154">
        <v>342</v>
      </c>
      <c r="G5154" s="1" t="str">
        <f>Ocupacao_DW[[#This Row],[data]]&amp;Ocupacao_DW[[#This Row],[profissional_id]]&amp;Ocupacao_DW[[#This Row],[local_id]]</f>
        <v>4464097342</v>
      </c>
      <c r="H5154" s="1">
        <f>_xlfn.XLOOKUP(Ocupacao_DW[[#This Row],[Concat]],Vagas!$H:$H,Vagas!$D:$D,"",0)</f>
        <v>0</v>
      </c>
    </row>
    <row r="5155" spans="1:8" x14ac:dyDescent="0.25">
      <c r="A5155" s="2">
        <v>44651</v>
      </c>
      <c r="B5155" s="1" t="s">
        <v>54</v>
      </c>
      <c r="C5155">
        <v>69</v>
      </c>
      <c r="D5155" s="1" t="s">
        <v>238</v>
      </c>
      <c r="E5155" s="1" t="s">
        <v>200</v>
      </c>
      <c r="F5155">
        <v>82</v>
      </c>
      <c r="G5155" s="1" t="str">
        <f>Ocupacao_DW[[#This Row],[data]]&amp;Ocupacao_DW[[#This Row],[profissional_id]]&amp;Ocupacao_DW[[#This Row],[local_id]]</f>
        <v>446516982</v>
      </c>
      <c r="H5155" s="1">
        <f>_xlfn.XLOOKUP(Ocupacao_DW[[#This Row],[Concat]],Vagas!$H:$H,Vagas!$D:$D,"",0)</f>
        <v>0</v>
      </c>
    </row>
    <row r="5156" spans="1:8" x14ac:dyDescent="0.25">
      <c r="A5156" s="2">
        <v>44646</v>
      </c>
      <c r="B5156" s="1" t="s">
        <v>49</v>
      </c>
      <c r="C5156">
        <v>81</v>
      </c>
      <c r="D5156" s="1" t="s">
        <v>170</v>
      </c>
      <c r="E5156" s="1" t="s">
        <v>4</v>
      </c>
      <c r="F5156">
        <v>41</v>
      </c>
      <c r="G5156" s="1" t="str">
        <f>Ocupacao_DW[[#This Row],[data]]&amp;Ocupacao_DW[[#This Row],[profissional_id]]&amp;Ocupacao_DW[[#This Row],[local_id]]</f>
        <v>446468141</v>
      </c>
      <c r="H5156" s="1">
        <f>_xlfn.XLOOKUP(Ocupacao_DW[[#This Row],[Concat]],Vagas!$H:$H,Vagas!$D:$D,"",0)</f>
        <v>0</v>
      </c>
    </row>
    <row r="5157" spans="1:8" x14ac:dyDescent="0.25">
      <c r="A5157" s="2">
        <v>44641</v>
      </c>
      <c r="B5157" s="1" t="s">
        <v>54</v>
      </c>
      <c r="C5157">
        <v>70</v>
      </c>
      <c r="D5157" s="1" t="s">
        <v>187</v>
      </c>
      <c r="E5157" s="1" t="s">
        <v>5</v>
      </c>
      <c r="F5157">
        <v>13</v>
      </c>
      <c r="G5157" s="1" t="str">
        <f>Ocupacao_DW[[#This Row],[data]]&amp;Ocupacao_DW[[#This Row],[profissional_id]]&amp;Ocupacao_DW[[#This Row],[local_id]]</f>
        <v>446417013</v>
      </c>
      <c r="H5157" s="1">
        <f>_xlfn.XLOOKUP(Ocupacao_DW[[#This Row],[Concat]],Vagas!$H:$H,Vagas!$D:$D,"",0)</f>
        <v>0</v>
      </c>
    </row>
    <row r="5158" spans="1:8" x14ac:dyDescent="0.25">
      <c r="A5158" s="2">
        <v>44636</v>
      </c>
      <c r="B5158" s="1" t="s">
        <v>71</v>
      </c>
      <c r="C5158">
        <v>282</v>
      </c>
      <c r="D5158" s="1" t="s">
        <v>210</v>
      </c>
      <c r="E5158" s="1" t="s">
        <v>4</v>
      </c>
      <c r="F5158">
        <v>46</v>
      </c>
      <c r="G5158" s="1" t="str">
        <f>Ocupacao_DW[[#This Row],[data]]&amp;Ocupacao_DW[[#This Row],[profissional_id]]&amp;Ocupacao_DW[[#This Row],[local_id]]</f>
        <v>4463628246</v>
      </c>
      <c r="H5158" s="1">
        <f>_xlfn.XLOOKUP(Ocupacao_DW[[#This Row],[Concat]],Vagas!$H:$H,Vagas!$D:$D,"",0)</f>
        <v>0</v>
      </c>
    </row>
    <row r="5159" spans="1:8" x14ac:dyDescent="0.25">
      <c r="A5159" s="2">
        <v>44636</v>
      </c>
      <c r="B5159" s="1" t="s">
        <v>276</v>
      </c>
      <c r="C5159">
        <v>17937</v>
      </c>
      <c r="D5159" s="1" t="s">
        <v>297</v>
      </c>
      <c r="E5159" s="1" t="s">
        <v>4</v>
      </c>
      <c r="F5159">
        <v>351</v>
      </c>
      <c r="G5159" s="1" t="str">
        <f>Ocupacao_DW[[#This Row],[data]]&amp;Ocupacao_DW[[#This Row],[profissional_id]]&amp;Ocupacao_DW[[#This Row],[local_id]]</f>
        <v>4463617937351</v>
      </c>
      <c r="H5159" s="1">
        <f>_xlfn.XLOOKUP(Ocupacao_DW[[#This Row],[Concat]],Vagas!$H:$H,Vagas!$D:$D,"",0)</f>
        <v>11</v>
      </c>
    </row>
    <row r="5160" spans="1:8" x14ac:dyDescent="0.25">
      <c r="A5160" s="2">
        <v>44641</v>
      </c>
      <c r="B5160" s="1" t="s">
        <v>56</v>
      </c>
      <c r="C5160">
        <v>5927</v>
      </c>
      <c r="D5160" s="1" t="s">
        <v>226</v>
      </c>
      <c r="E5160" s="1" t="s">
        <v>5</v>
      </c>
      <c r="F5160">
        <v>17</v>
      </c>
      <c r="G5160" s="1" t="str">
        <f>Ocupacao_DW[[#This Row],[data]]&amp;Ocupacao_DW[[#This Row],[profissional_id]]&amp;Ocupacao_DW[[#This Row],[local_id]]</f>
        <v>44641592717</v>
      </c>
      <c r="H5160" s="1">
        <f>_xlfn.XLOOKUP(Ocupacao_DW[[#This Row],[Concat]],Vagas!$H:$H,Vagas!$D:$D,"",0)</f>
        <v>0</v>
      </c>
    </row>
    <row r="5161" spans="1:8" x14ac:dyDescent="0.25">
      <c r="A5161" s="2">
        <v>44635</v>
      </c>
      <c r="B5161" s="1" t="s">
        <v>49</v>
      </c>
      <c r="C5161">
        <v>81</v>
      </c>
      <c r="D5161" s="1" t="s">
        <v>170</v>
      </c>
      <c r="E5161" s="1" t="s">
        <v>7</v>
      </c>
      <c r="F5161">
        <v>71</v>
      </c>
      <c r="G5161" s="1" t="str">
        <f>Ocupacao_DW[[#This Row],[data]]&amp;Ocupacao_DW[[#This Row],[profissional_id]]&amp;Ocupacao_DW[[#This Row],[local_id]]</f>
        <v>446358171</v>
      </c>
      <c r="H5161" s="1">
        <f>_xlfn.XLOOKUP(Ocupacao_DW[[#This Row],[Concat]],Vagas!$H:$H,Vagas!$D:$D,"",0)</f>
        <v>0</v>
      </c>
    </row>
    <row r="5162" spans="1:8" x14ac:dyDescent="0.25">
      <c r="A5162" s="2">
        <v>44641</v>
      </c>
      <c r="B5162" s="1" t="s">
        <v>72</v>
      </c>
      <c r="C5162">
        <v>6046</v>
      </c>
      <c r="D5162" s="1" t="s">
        <v>222</v>
      </c>
      <c r="E5162" s="1" t="s">
        <v>4</v>
      </c>
      <c r="F5162">
        <v>46</v>
      </c>
      <c r="G5162" s="1" t="str">
        <f>Ocupacao_DW[[#This Row],[data]]&amp;Ocupacao_DW[[#This Row],[profissional_id]]&amp;Ocupacao_DW[[#This Row],[local_id]]</f>
        <v>44641604646</v>
      </c>
      <c r="H5162" s="1">
        <f>_xlfn.XLOOKUP(Ocupacao_DW[[#This Row],[Concat]],Vagas!$H:$H,Vagas!$D:$D,"",0)</f>
        <v>0</v>
      </c>
    </row>
    <row r="5163" spans="1:8" x14ac:dyDescent="0.25">
      <c r="A5163" s="2">
        <v>44641</v>
      </c>
      <c r="B5163" s="1" t="s">
        <v>72</v>
      </c>
      <c r="C5163">
        <v>13479</v>
      </c>
      <c r="D5163" s="1" t="s">
        <v>203</v>
      </c>
      <c r="E5163" s="1" t="s">
        <v>4</v>
      </c>
      <c r="F5163">
        <v>46</v>
      </c>
      <c r="G5163" s="1" t="str">
        <f>Ocupacao_DW[[#This Row],[data]]&amp;Ocupacao_DW[[#This Row],[profissional_id]]&amp;Ocupacao_DW[[#This Row],[local_id]]</f>
        <v>446411347946</v>
      </c>
      <c r="H5163" s="1">
        <f>_xlfn.XLOOKUP(Ocupacao_DW[[#This Row],[Concat]],Vagas!$H:$H,Vagas!$D:$D,"",0)</f>
        <v>0</v>
      </c>
    </row>
    <row r="5164" spans="1:8" x14ac:dyDescent="0.25">
      <c r="A5164" s="2">
        <v>44636</v>
      </c>
      <c r="B5164" s="1" t="s">
        <v>60</v>
      </c>
      <c r="C5164">
        <v>14326</v>
      </c>
      <c r="D5164" s="1" t="s">
        <v>220</v>
      </c>
      <c r="E5164" s="1" t="s">
        <v>4</v>
      </c>
      <c r="F5164">
        <v>43</v>
      </c>
      <c r="G5164" s="1" t="str">
        <f>Ocupacao_DW[[#This Row],[data]]&amp;Ocupacao_DW[[#This Row],[profissional_id]]&amp;Ocupacao_DW[[#This Row],[local_id]]</f>
        <v>446361432643</v>
      </c>
      <c r="H5164" s="1">
        <f>_xlfn.XLOOKUP(Ocupacao_DW[[#This Row],[Concat]],Vagas!$H:$H,Vagas!$D:$D,"",0)</f>
        <v>0</v>
      </c>
    </row>
    <row r="5165" spans="1:8" x14ac:dyDescent="0.25">
      <c r="A5165" s="2">
        <v>44636</v>
      </c>
      <c r="B5165" s="1" t="s">
        <v>40</v>
      </c>
      <c r="C5165">
        <v>54</v>
      </c>
      <c r="D5165" s="1" t="s">
        <v>216</v>
      </c>
      <c r="E5165" s="1" t="s">
        <v>4</v>
      </c>
      <c r="F5165">
        <v>50</v>
      </c>
      <c r="G5165" s="1" t="str">
        <f>Ocupacao_DW[[#This Row],[data]]&amp;Ocupacao_DW[[#This Row],[profissional_id]]&amp;Ocupacao_DW[[#This Row],[local_id]]</f>
        <v>446365450</v>
      </c>
      <c r="H5165" s="1">
        <f>_xlfn.XLOOKUP(Ocupacao_DW[[#This Row],[Concat]],Vagas!$H:$H,Vagas!$D:$D,"",0)</f>
        <v>8</v>
      </c>
    </row>
    <row r="5166" spans="1:8" x14ac:dyDescent="0.25">
      <c r="A5166" s="2">
        <v>44638</v>
      </c>
      <c r="B5166" s="1" t="s">
        <v>49</v>
      </c>
      <c r="C5166">
        <v>12142</v>
      </c>
      <c r="D5166" s="1" t="s">
        <v>219</v>
      </c>
      <c r="E5166" s="1" t="s">
        <v>4</v>
      </c>
      <c r="F5166">
        <v>44</v>
      </c>
      <c r="G5166" s="1" t="str">
        <f>Ocupacao_DW[[#This Row],[data]]&amp;Ocupacao_DW[[#This Row],[profissional_id]]&amp;Ocupacao_DW[[#This Row],[local_id]]</f>
        <v>446381214244</v>
      </c>
      <c r="H5166" s="1">
        <f>_xlfn.XLOOKUP(Ocupacao_DW[[#This Row],[Concat]],Vagas!$H:$H,Vagas!$D:$D,"",0)</f>
        <v>0</v>
      </c>
    </row>
    <row r="5167" spans="1:8" x14ac:dyDescent="0.25">
      <c r="A5167" s="2">
        <v>44635</v>
      </c>
      <c r="B5167" s="1" t="s">
        <v>47</v>
      </c>
      <c r="C5167">
        <v>11207</v>
      </c>
      <c r="D5167" s="1" t="s">
        <v>251</v>
      </c>
      <c r="E5167" s="1" t="s">
        <v>4</v>
      </c>
      <c r="F5167">
        <v>51</v>
      </c>
      <c r="G5167" s="1" t="str">
        <f>Ocupacao_DW[[#This Row],[data]]&amp;Ocupacao_DW[[#This Row],[profissional_id]]&amp;Ocupacao_DW[[#This Row],[local_id]]</f>
        <v>446351120751</v>
      </c>
      <c r="H5167" s="1">
        <f>_xlfn.XLOOKUP(Ocupacao_DW[[#This Row],[Concat]],Vagas!$H:$H,Vagas!$D:$D,"",0)</f>
        <v>0</v>
      </c>
    </row>
    <row r="5168" spans="1:8" x14ac:dyDescent="0.25">
      <c r="A5168" s="2">
        <v>44638</v>
      </c>
      <c r="B5168" s="1" t="s">
        <v>49</v>
      </c>
      <c r="C5168">
        <v>81</v>
      </c>
      <c r="D5168" s="1" t="s">
        <v>170</v>
      </c>
      <c r="E5168" s="1" t="s">
        <v>4</v>
      </c>
      <c r="F5168">
        <v>41</v>
      </c>
      <c r="G5168" s="1" t="str">
        <f>Ocupacao_DW[[#This Row],[data]]&amp;Ocupacao_DW[[#This Row],[profissional_id]]&amp;Ocupacao_DW[[#This Row],[local_id]]</f>
        <v>446388141</v>
      </c>
      <c r="H5168" s="1">
        <f>_xlfn.XLOOKUP(Ocupacao_DW[[#This Row],[Concat]],Vagas!$H:$H,Vagas!$D:$D,"",0)</f>
        <v>0</v>
      </c>
    </row>
    <row r="5169" spans="1:8" x14ac:dyDescent="0.25">
      <c r="A5169" s="2">
        <v>44636</v>
      </c>
      <c r="B5169" s="1" t="s">
        <v>64</v>
      </c>
      <c r="C5169">
        <v>531</v>
      </c>
      <c r="D5169" s="1" t="s">
        <v>213</v>
      </c>
      <c r="E5169" s="1" t="s">
        <v>5</v>
      </c>
      <c r="F5169">
        <v>12</v>
      </c>
      <c r="G5169" s="1" t="str">
        <f>Ocupacao_DW[[#This Row],[data]]&amp;Ocupacao_DW[[#This Row],[profissional_id]]&amp;Ocupacao_DW[[#This Row],[local_id]]</f>
        <v>4463653112</v>
      </c>
      <c r="H5169" s="1">
        <f>_xlfn.XLOOKUP(Ocupacao_DW[[#This Row],[Concat]],Vagas!$H:$H,Vagas!$D:$D,"",0)</f>
        <v>0</v>
      </c>
    </row>
    <row r="5170" spans="1:8" x14ac:dyDescent="0.25">
      <c r="A5170" s="2">
        <v>44657</v>
      </c>
      <c r="B5170" s="1" t="s">
        <v>55</v>
      </c>
      <c r="C5170">
        <v>73</v>
      </c>
      <c r="D5170" s="1" t="s">
        <v>171</v>
      </c>
      <c r="E5170" s="1" t="s">
        <v>6</v>
      </c>
      <c r="F5170">
        <v>5</v>
      </c>
      <c r="G5170" s="1" t="str">
        <f>Ocupacao_DW[[#This Row],[data]]&amp;Ocupacao_DW[[#This Row],[profissional_id]]&amp;Ocupacao_DW[[#This Row],[local_id]]</f>
        <v>44657735</v>
      </c>
      <c r="H5170" s="1">
        <f>_xlfn.XLOOKUP(Ocupacao_DW[[#This Row],[Concat]],Vagas!$H:$H,Vagas!$D:$D,"",0)</f>
        <v>0</v>
      </c>
    </row>
    <row r="5171" spans="1:8" x14ac:dyDescent="0.25">
      <c r="A5171" s="2">
        <v>44651</v>
      </c>
      <c r="B5171" s="1" t="s">
        <v>59</v>
      </c>
      <c r="C5171">
        <v>10249</v>
      </c>
      <c r="D5171" s="1" t="s">
        <v>231</v>
      </c>
      <c r="E5171" s="1" t="s">
        <v>4</v>
      </c>
      <c r="F5171">
        <v>44</v>
      </c>
      <c r="G5171" s="1" t="str">
        <f>Ocupacao_DW[[#This Row],[data]]&amp;Ocupacao_DW[[#This Row],[profissional_id]]&amp;Ocupacao_DW[[#This Row],[local_id]]</f>
        <v>446511024944</v>
      </c>
      <c r="H5171" s="1">
        <f>_xlfn.XLOOKUP(Ocupacao_DW[[#This Row],[Concat]],Vagas!$H:$H,Vagas!$D:$D,"",0)</f>
        <v>0</v>
      </c>
    </row>
    <row r="5172" spans="1:8" x14ac:dyDescent="0.25">
      <c r="A5172" s="2">
        <v>44644</v>
      </c>
      <c r="B5172" s="1" t="s">
        <v>52</v>
      </c>
      <c r="C5172">
        <v>10691</v>
      </c>
      <c r="D5172" s="1" t="s">
        <v>181</v>
      </c>
      <c r="E5172" s="1" t="s">
        <v>6</v>
      </c>
      <c r="F5172">
        <v>9</v>
      </c>
      <c r="G5172" s="1" t="str">
        <f>Ocupacao_DW[[#This Row],[data]]&amp;Ocupacao_DW[[#This Row],[profissional_id]]&amp;Ocupacao_DW[[#This Row],[local_id]]</f>
        <v>44644106919</v>
      </c>
      <c r="H5172" s="1">
        <f>_xlfn.XLOOKUP(Ocupacao_DW[[#This Row],[Concat]],Vagas!$H:$H,Vagas!$D:$D,"",0)</f>
        <v>0</v>
      </c>
    </row>
    <row r="5173" spans="1:8" x14ac:dyDescent="0.25">
      <c r="A5173" s="2">
        <v>44657</v>
      </c>
      <c r="B5173" s="1" t="s">
        <v>55</v>
      </c>
      <c r="C5173">
        <v>73</v>
      </c>
      <c r="D5173" s="1" t="s">
        <v>171</v>
      </c>
      <c r="E5173" s="1" t="s">
        <v>6</v>
      </c>
      <c r="F5173">
        <v>5</v>
      </c>
      <c r="G5173" s="1" t="str">
        <f>Ocupacao_DW[[#This Row],[data]]&amp;Ocupacao_DW[[#This Row],[profissional_id]]&amp;Ocupacao_DW[[#This Row],[local_id]]</f>
        <v>44657735</v>
      </c>
      <c r="H5173" s="1">
        <f>_xlfn.XLOOKUP(Ocupacao_DW[[#This Row],[Concat]],Vagas!$H:$H,Vagas!$D:$D,"",0)</f>
        <v>0</v>
      </c>
    </row>
    <row r="5174" spans="1:8" x14ac:dyDescent="0.25">
      <c r="A5174" s="2">
        <v>44637</v>
      </c>
      <c r="B5174" s="1" t="s">
        <v>55</v>
      </c>
      <c r="C5174">
        <v>8598</v>
      </c>
      <c r="D5174" s="1" t="s">
        <v>228</v>
      </c>
      <c r="E5174" s="1" t="s">
        <v>6</v>
      </c>
      <c r="F5174">
        <v>3</v>
      </c>
      <c r="G5174" s="1" t="str">
        <f>Ocupacao_DW[[#This Row],[data]]&amp;Ocupacao_DW[[#This Row],[profissional_id]]&amp;Ocupacao_DW[[#This Row],[local_id]]</f>
        <v>4463785983</v>
      </c>
      <c r="H5174" s="1">
        <f>_xlfn.XLOOKUP(Ocupacao_DW[[#This Row],[Concat]],Vagas!$H:$H,Vagas!$D:$D,"",0)</f>
        <v>0</v>
      </c>
    </row>
    <row r="5175" spans="1:8" x14ac:dyDescent="0.25">
      <c r="A5175" s="2">
        <v>44644</v>
      </c>
      <c r="B5175" s="1" t="s">
        <v>52</v>
      </c>
      <c r="C5175">
        <v>9217</v>
      </c>
      <c r="D5175" s="1" t="s">
        <v>191</v>
      </c>
      <c r="E5175" s="1" t="s">
        <v>6</v>
      </c>
      <c r="F5175">
        <v>7</v>
      </c>
      <c r="G5175" s="1" t="str">
        <f>Ocupacao_DW[[#This Row],[data]]&amp;Ocupacao_DW[[#This Row],[profissional_id]]&amp;Ocupacao_DW[[#This Row],[local_id]]</f>
        <v>4464492177</v>
      </c>
      <c r="H5175" s="1">
        <f>_xlfn.XLOOKUP(Ocupacao_DW[[#This Row],[Concat]],Vagas!$H:$H,Vagas!$D:$D,"",0)</f>
        <v>0</v>
      </c>
    </row>
    <row r="5176" spans="1:8" x14ac:dyDescent="0.25">
      <c r="A5176" s="2">
        <v>44638</v>
      </c>
      <c r="B5176" s="1" t="s">
        <v>53</v>
      </c>
      <c r="C5176">
        <v>9138</v>
      </c>
      <c r="D5176" s="1" t="s">
        <v>184</v>
      </c>
      <c r="E5176" s="1" t="s">
        <v>167</v>
      </c>
      <c r="F5176">
        <v>344</v>
      </c>
      <c r="G5176" s="1" t="str">
        <f>Ocupacao_DW[[#This Row],[data]]&amp;Ocupacao_DW[[#This Row],[profissional_id]]&amp;Ocupacao_DW[[#This Row],[local_id]]</f>
        <v>446389138344</v>
      </c>
      <c r="H5176" s="1">
        <f>_xlfn.XLOOKUP(Ocupacao_DW[[#This Row],[Concat]],Vagas!$H:$H,Vagas!$D:$D,"",0)</f>
        <v>0</v>
      </c>
    </row>
    <row r="5177" spans="1:8" x14ac:dyDescent="0.25">
      <c r="A5177" s="2">
        <v>44650</v>
      </c>
      <c r="B5177" s="1" t="s">
        <v>71</v>
      </c>
      <c r="C5177">
        <v>282</v>
      </c>
      <c r="D5177" s="1" t="s">
        <v>210</v>
      </c>
      <c r="E5177" s="1" t="s">
        <v>4</v>
      </c>
      <c r="F5177">
        <v>46</v>
      </c>
      <c r="G5177" s="1" t="str">
        <f>Ocupacao_DW[[#This Row],[data]]&amp;Ocupacao_DW[[#This Row],[profissional_id]]&amp;Ocupacao_DW[[#This Row],[local_id]]</f>
        <v>4465028246</v>
      </c>
      <c r="H5177" s="1">
        <f>_xlfn.XLOOKUP(Ocupacao_DW[[#This Row],[Concat]],Vagas!$H:$H,Vagas!$D:$D,"",0)</f>
        <v>0</v>
      </c>
    </row>
    <row r="5178" spans="1:8" x14ac:dyDescent="0.25">
      <c r="A5178" s="2">
        <v>44638</v>
      </c>
      <c r="B5178" s="1" t="s">
        <v>49</v>
      </c>
      <c r="C5178">
        <v>81</v>
      </c>
      <c r="D5178" s="1" t="s">
        <v>170</v>
      </c>
      <c r="E5178" s="1" t="s">
        <v>4</v>
      </c>
      <c r="F5178">
        <v>41</v>
      </c>
      <c r="G5178" s="1" t="str">
        <f>Ocupacao_DW[[#This Row],[data]]&amp;Ocupacao_DW[[#This Row],[profissional_id]]&amp;Ocupacao_DW[[#This Row],[local_id]]</f>
        <v>446388141</v>
      </c>
      <c r="H5178" s="1">
        <f>_xlfn.XLOOKUP(Ocupacao_DW[[#This Row],[Concat]],Vagas!$H:$H,Vagas!$D:$D,"",0)</f>
        <v>0</v>
      </c>
    </row>
    <row r="5179" spans="1:8" x14ac:dyDescent="0.25">
      <c r="A5179" s="2">
        <v>44645</v>
      </c>
      <c r="B5179" s="1" t="s">
        <v>52</v>
      </c>
      <c r="C5179">
        <v>55</v>
      </c>
      <c r="D5179" s="1" t="s">
        <v>244</v>
      </c>
      <c r="E5179" s="1" t="s">
        <v>7</v>
      </c>
      <c r="F5179">
        <v>68</v>
      </c>
      <c r="G5179" s="1" t="str">
        <f>Ocupacao_DW[[#This Row],[data]]&amp;Ocupacao_DW[[#This Row],[profissional_id]]&amp;Ocupacao_DW[[#This Row],[local_id]]</f>
        <v>446455568</v>
      </c>
      <c r="H5179" s="1">
        <f>_xlfn.XLOOKUP(Ocupacao_DW[[#This Row],[Concat]],Vagas!$H:$H,Vagas!$D:$D,"",0)</f>
        <v>0</v>
      </c>
    </row>
    <row r="5180" spans="1:8" x14ac:dyDescent="0.25">
      <c r="A5180" s="2">
        <v>44635</v>
      </c>
      <c r="B5180" s="1"/>
      <c r="C5180">
        <v>17937</v>
      </c>
      <c r="D5180" s="1" t="s">
        <v>297</v>
      </c>
      <c r="E5180" s="1" t="s">
        <v>4</v>
      </c>
      <c r="F5180">
        <v>351</v>
      </c>
      <c r="G5180" s="1" t="str">
        <f>Ocupacao_DW[[#This Row],[data]]&amp;Ocupacao_DW[[#This Row],[profissional_id]]&amp;Ocupacao_DW[[#This Row],[local_id]]</f>
        <v>4463517937351</v>
      </c>
      <c r="H5180" s="1">
        <f>_xlfn.XLOOKUP(Ocupacao_DW[[#This Row],[Concat]],Vagas!$H:$H,Vagas!$D:$D,"",0)</f>
        <v>11</v>
      </c>
    </row>
    <row r="5181" spans="1:8" x14ac:dyDescent="0.25">
      <c r="A5181" s="2">
        <v>44638</v>
      </c>
      <c r="B5181" s="1" t="s">
        <v>43</v>
      </c>
      <c r="C5181">
        <v>57</v>
      </c>
      <c r="D5181" s="1" t="s">
        <v>169</v>
      </c>
      <c r="E5181" s="1" t="s">
        <v>6</v>
      </c>
      <c r="F5181">
        <v>2</v>
      </c>
      <c r="G5181" s="1" t="str">
        <f>Ocupacao_DW[[#This Row],[data]]&amp;Ocupacao_DW[[#This Row],[profissional_id]]&amp;Ocupacao_DW[[#This Row],[local_id]]</f>
        <v>44638572</v>
      </c>
      <c r="H5181" s="1">
        <f>_xlfn.XLOOKUP(Ocupacao_DW[[#This Row],[Concat]],Vagas!$H:$H,Vagas!$D:$D,"",0)</f>
        <v>15</v>
      </c>
    </row>
    <row r="5182" spans="1:8" x14ac:dyDescent="0.25">
      <c r="A5182" s="2">
        <v>44637</v>
      </c>
      <c r="B5182" s="1" t="s">
        <v>66</v>
      </c>
      <c r="C5182">
        <v>1343</v>
      </c>
      <c r="D5182" s="1" t="s">
        <v>263</v>
      </c>
      <c r="E5182" s="1" t="s">
        <v>200</v>
      </c>
      <c r="F5182">
        <v>80</v>
      </c>
      <c r="G5182" s="1" t="str">
        <f>Ocupacao_DW[[#This Row],[data]]&amp;Ocupacao_DW[[#This Row],[profissional_id]]&amp;Ocupacao_DW[[#This Row],[local_id]]</f>
        <v>44637134380</v>
      </c>
      <c r="H5182" s="1">
        <f>_xlfn.XLOOKUP(Ocupacao_DW[[#This Row],[Concat]],Vagas!$H:$H,Vagas!$D:$D,"",0)</f>
        <v>0</v>
      </c>
    </row>
    <row r="5183" spans="1:8" x14ac:dyDescent="0.25">
      <c r="A5183" s="2">
        <v>44642</v>
      </c>
      <c r="B5183" s="1" t="s">
        <v>54</v>
      </c>
      <c r="C5183">
        <v>10941</v>
      </c>
      <c r="D5183" s="1" t="s">
        <v>224</v>
      </c>
      <c r="E5183" s="1" t="s">
        <v>200</v>
      </c>
      <c r="F5183">
        <v>83</v>
      </c>
      <c r="G5183" s="1" t="str">
        <f>Ocupacao_DW[[#This Row],[data]]&amp;Ocupacao_DW[[#This Row],[profissional_id]]&amp;Ocupacao_DW[[#This Row],[local_id]]</f>
        <v>446421094183</v>
      </c>
      <c r="H5183" s="1">
        <f>_xlfn.XLOOKUP(Ocupacao_DW[[#This Row],[Concat]],Vagas!$H:$H,Vagas!$D:$D,"",0)</f>
        <v>0</v>
      </c>
    </row>
    <row r="5184" spans="1:8" x14ac:dyDescent="0.25">
      <c r="A5184" s="2">
        <v>44640</v>
      </c>
      <c r="B5184" s="1" t="s">
        <v>62</v>
      </c>
      <c r="C5184">
        <v>4887</v>
      </c>
      <c r="D5184" s="1" t="s">
        <v>168</v>
      </c>
      <c r="E5184" s="1" t="s">
        <v>167</v>
      </c>
      <c r="F5184">
        <v>340</v>
      </c>
      <c r="G5184" s="1" t="str">
        <f>Ocupacao_DW[[#This Row],[data]]&amp;Ocupacao_DW[[#This Row],[profissional_id]]&amp;Ocupacao_DW[[#This Row],[local_id]]</f>
        <v>446404887340</v>
      </c>
      <c r="H5184" s="1">
        <f>_xlfn.XLOOKUP(Ocupacao_DW[[#This Row],[Concat]],Vagas!$H:$H,Vagas!$D:$D,"",0)</f>
        <v>0</v>
      </c>
    </row>
    <row r="5185" spans="1:8" x14ac:dyDescent="0.25">
      <c r="A5185" s="2">
        <v>44645</v>
      </c>
      <c r="B5185" s="1" t="s">
        <v>52</v>
      </c>
      <c r="C5185">
        <v>10691</v>
      </c>
      <c r="D5185" s="1" t="s">
        <v>181</v>
      </c>
      <c r="E5185" s="1" t="s">
        <v>6</v>
      </c>
      <c r="F5185">
        <v>6</v>
      </c>
      <c r="G5185" s="1" t="str">
        <f>Ocupacao_DW[[#This Row],[data]]&amp;Ocupacao_DW[[#This Row],[profissional_id]]&amp;Ocupacao_DW[[#This Row],[local_id]]</f>
        <v>44645106916</v>
      </c>
      <c r="H5185" s="1">
        <f>_xlfn.XLOOKUP(Ocupacao_DW[[#This Row],[Concat]],Vagas!$H:$H,Vagas!$D:$D,"",0)</f>
        <v>8</v>
      </c>
    </row>
    <row r="5186" spans="1:8" x14ac:dyDescent="0.25">
      <c r="A5186" s="2">
        <v>44635</v>
      </c>
      <c r="B5186" s="1" t="s">
        <v>52</v>
      </c>
      <c r="C5186">
        <v>60</v>
      </c>
      <c r="D5186" s="1" t="s">
        <v>217</v>
      </c>
      <c r="E5186" s="1" t="s">
        <v>167</v>
      </c>
      <c r="F5186">
        <v>345</v>
      </c>
      <c r="G5186" s="1" t="str">
        <f>Ocupacao_DW[[#This Row],[data]]&amp;Ocupacao_DW[[#This Row],[profissional_id]]&amp;Ocupacao_DW[[#This Row],[local_id]]</f>
        <v>4463560345</v>
      </c>
      <c r="H5186" s="1">
        <f>_xlfn.XLOOKUP(Ocupacao_DW[[#This Row],[Concat]],Vagas!$H:$H,Vagas!$D:$D,"",0)</f>
        <v>0</v>
      </c>
    </row>
    <row r="5187" spans="1:8" x14ac:dyDescent="0.25">
      <c r="A5187" s="2">
        <v>44641</v>
      </c>
      <c r="B5187" s="1" t="s">
        <v>54</v>
      </c>
      <c r="C5187">
        <v>70</v>
      </c>
      <c r="D5187" s="1" t="s">
        <v>187</v>
      </c>
      <c r="E5187" s="1" t="s">
        <v>5</v>
      </c>
      <c r="F5187">
        <v>11</v>
      </c>
      <c r="G5187" s="1" t="str">
        <f>Ocupacao_DW[[#This Row],[data]]&amp;Ocupacao_DW[[#This Row],[profissional_id]]&amp;Ocupacao_DW[[#This Row],[local_id]]</f>
        <v>446417011</v>
      </c>
      <c r="H5187" s="1" t="str">
        <f>_xlfn.XLOOKUP(Ocupacao_DW[[#This Row],[Concat]],Vagas!$H:$H,Vagas!$D:$D,"",0)</f>
        <v/>
      </c>
    </row>
    <row r="5188" spans="1:8" x14ac:dyDescent="0.25">
      <c r="A5188" s="2">
        <v>44636</v>
      </c>
      <c r="B5188" s="1" t="s">
        <v>49</v>
      </c>
      <c r="C5188">
        <v>6430</v>
      </c>
      <c r="D5188" s="1" t="s">
        <v>188</v>
      </c>
      <c r="E5188" s="1" t="s">
        <v>4</v>
      </c>
      <c r="F5188">
        <v>42</v>
      </c>
      <c r="G5188" s="1" t="str">
        <f>Ocupacao_DW[[#This Row],[data]]&amp;Ocupacao_DW[[#This Row],[profissional_id]]&amp;Ocupacao_DW[[#This Row],[local_id]]</f>
        <v>44636643042</v>
      </c>
      <c r="H5188" s="1">
        <f>_xlfn.XLOOKUP(Ocupacao_DW[[#This Row],[Concat]],Vagas!$H:$H,Vagas!$D:$D,"",0)</f>
        <v>0</v>
      </c>
    </row>
    <row r="5189" spans="1:8" x14ac:dyDescent="0.25">
      <c r="A5189" s="2">
        <v>44637</v>
      </c>
      <c r="B5189" s="1" t="s">
        <v>62</v>
      </c>
      <c r="C5189">
        <v>3502</v>
      </c>
      <c r="D5189" s="1" t="s">
        <v>214</v>
      </c>
      <c r="E5189" s="1" t="s">
        <v>5</v>
      </c>
      <c r="F5189">
        <v>16</v>
      </c>
      <c r="G5189" s="1" t="str">
        <f>Ocupacao_DW[[#This Row],[data]]&amp;Ocupacao_DW[[#This Row],[profissional_id]]&amp;Ocupacao_DW[[#This Row],[local_id]]</f>
        <v>44637350216</v>
      </c>
      <c r="H5189" s="1">
        <f>_xlfn.XLOOKUP(Ocupacao_DW[[#This Row],[Concat]],Vagas!$H:$H,Vagas!$D:$D,"",0)</f>
        <v>0</v>
      </c>
    </row>
    <row r="5190" spans="1:8" x14ac:dyDescent="0.25">
      <c r="A5190" s="2">
        <v>44643</v>
      </c>
      <c r="B5190" s="1" t="s">
        <v>56</v>
      </c>
      <c r="C5190">
        <v>5927</v>
      </c>
      <c r="D5190" s="1" t="s">
        <v>226</v>
      </c>
      <c r="E5190" s="1" t="s">
        <v>5</v>
      </c>
      <c r="F5190">
        <v>14</v>
      </c>
      <c r="G5190" s="1" t="str">
        <f>Ocupacao_DW[[#This Row],[data]]&amp;Ocupacao_DW[[#This Row],[profissional_id]]&amp;Ocupacao_DW[[#This Row],[local_id]]</f>
        <v>44643592714</v>
      </c>
      <c r="H5190" s="1">
        <f>_xlfn.XLOOKUP(Ocupacao_DW[[#This Row],[Concat]],Vagas!$H:$H,Vagas!$D:$D,"",0)</f>
        <v>0</v>
      </c>
    </row>
    <row r="5191" spans="1:8" x14ac:dyDescent="0.25">
      <c r="A5191" s="2">
        <v>44636</v>
      </c>
      <c r="B5191" s="1" t="s">
        <v>66</v>
      </c>
      <c r="C5191">
        <v>1343</v>
      </c>
      <c r="D5191" s="1" t="s">
        <v>263</v>
      </c>
      <c r="E5191" s="1" t="s">
        <v>7</v>
      </c>
      <c r="F5191">
        <v>64</v>
      </c>
      <c r="G5191" s="1" t="str">
        <f>Ocupacao_DW[[#This Row],[data]]&amp;Ocupacao_DW[[#This Row],[profissional_id]]&amp;Ocupacao_DW[[#This Row],[local_id]]</f>
        <v>44636134364</v>
      </c>
      <c r="H5191" s="1">
        <f>_xlfn.XLOOKUP(Ocupacao_DW[[#This Row],[Concat]],Vagas!$H:$H,Vagas!$D:$D,"",0)</f>
        <v>0</v>
      </c>
    </row>
    <row r="5192" spans="1:8" x14ac:dyDescent="0.25">
      <c r="A5192" s="2">
        <v>44642</v>
      </c>
      <c r="B5192" s="1" t="s">
        <v>68</v>
      </c>
      <c r="C5192">
        <v>8239</v>
      </c>
      <c r="D5192" s="1" t="s">
        <v>257</v>
      </c>
      <c r="E5192" s="1" t="s">
        <v>167</v>
      </c>
      <c r="F5192">
        <v>345</v>
      </c>
      <c r="G5192" s="1" t="str">
        <f>Ocupacao_DW[[#This Row],[data]]&amp;Ocupacao_DW[[#This Row],[profissional_id]]&amp;Ocupacao_DW[[#This Row],[local_id]]</f>
        <v>446428239345</v>
      </c>
      <c r="H5192" s="1">
        <f>_xlfn.XLOOKUP(Ocupacao_DW[[#This Row],[Concat]],Vagas!$H:$H,Vagas!$D:$D,"",0)</f>
        <v>0</v>
      </c>
    </row>
    <row r="5193" spans="1:8" x14ac:dyDescent="0.25">
      <c r="A5193" s="2">
        <v>44637</v>
      </c>
      <c r="B5193" s="1" t="s">
        <v>47</v>
      </c>
      <c r="C5193">
        <v>11207</v>
      </c>
      <c r="D5193" s="1" t="s">
        <v>251</v>
      </c>
      <c r="E5193" s="1" t="s">
        <v>4</v>
      </c>
      <c r="F5193">
        <v>51</v>
      </c>
      <c r="G5193" s="1" t="str">
        <f>Ocupacao_DW[[#This Row],[data]]&amp;Ocupacao_DW[[#This Row],[profissional_id]]&amp;Ocupacao_DW[[#This Row],[local_id]]</f>
        <v>446371120751</v>
      </c>
      <c r="H5193" s="1">
        <f>_xlfn.XLOOKUP(Ocupacao_DW[[#This Row],[Concat]],Vagas!$H:$H,Vagas!$D:$D,"",0)</f>
        <v>0</v>
      </c>
    </row>
    <row r="5194" spans="1:8" x14ac:dyDescent="0.25">
      <c r="A5194" s="2">
        <v>44638</v>
      </c>
      <c r="B5194" s="1" t="s">
        <v>49</v>
      </c>
      <c r="C5194">
        <v>81</v>
      </c>
      <c r="D5194" s="1" t="s">
        <v>170</v>
      </c>
      <c r="E5194" s="1" t="s">
        <v>4</v>
      </c>
      <c r="F5194">
        <v>41</v>
      </c>
      <c r="G5194" s="1" t="str">
        <f>Ocupacao_DW[[#This Row],[data]]&amp;Ocupacao_DW[[#This Row],[profissional_id]]&amp;Ocupacao_DW[[#This Row],[local_id]]</f>
        <v>446388141</v>
      </c>
      <c r="H5194" s="1">
        <f>_xlfn.XLOOKUP(Ocupacao_DW[[#This Row],[Concat]],Vagas!$H:$H,Vagas!$D:$D,"",0)</f>
        <v>0</v>
      </c>
    </row>
    <row r="5195" spans="1:8" x14ac:dyDescent="0.25">
      <c r="A5195" s="2">
        <v>44636</v>
      </c>
      <c r="B5195" s="1" t="s">
        <v>64</v>
      </c>
      <c r="C5195">
        <v>531</v>
      </c>
      <c r="D5195" s="1" t="s">
        <v>213</v>
      </c>
      <c r="E5195" s="1" t="s">
        <v>5</v>
      </c>
      <c r="F5195">
        <v>12</v>
      </c>
      <c r="G5195" s="1" t="str">
        <f>Ocupacao_DW[[#This Row],[data]]&amp;Ocupacao_DW[[#This Row],[profissional_id]]&amp;Ocupacao_DW[[#This Row],[local_id]]</f>
        <v>4463653112</v>
      </c>
      <c r="H5195" s="1">
        <f>_xlfn.XLOOKUP(Ocupacao_DW[[#This Row],[Concat]],Vagas!$H:$H,Vagas!$D:$D,"",0)</f>
        <v>0</v>
      </c>
    </row>
    <row r="5196" spans="1:8" x14ac:dyDescent="0.25">
      <c r="A5196" s="2">
        <v>44644</v>
      </c>
      <c r="B5196" s="1" t="s">
        <v>42</v>
      </c>
      <c r="C5196">
        <v>17902</v>
      </c>
      <c r="D5196" s="1" t="s">
        <v>264</v>
      </c>
      <c r="E5196" s="1" t="s">
        <v>4</v>
      </c>
      <c r="F5196">
        <v>39</v>
      </c>
      <c r="G5196" s="1" t="str">
        <f>Ocupacao_DW[[#This Row],[data]]&amp;Ocupacao_DW[[#This Row],[profissional_id]]&amp;Ocupacao_DW[[#This Row],[local_id]]</f>
        <v>446441790239</v>
      </c>
      <c r="H5196" s="1">
        <f>_xlfn.XLOOKUP(Ocupacao_DW[[#This Row],[Concat]],Vagas!$H:$H,Vagas!$D:$D,"",0)</f>
        <v>52</v>
      </c>
    </row>
    <row r="5197" spans="1:8" x14ac:dyDescent="0.25">
      <c r="A5197" s="2">
        <v>44639</v>
      </c>
      <c r="B5197" s="1" t="s">
        <v>276</v>
      </c>
      <c r="C5197">
        <v>17937</v>
      </c>
      <c r="D5197" s="1" t="s">
        <v>297</v>
      </c>
      <c r="E5197" s="1" t="s">
        <v>4</v>
      </c>
      <c r="F5197">
        <v>351</v>
      </c>
      <c r="G5197" s="1" t="str">
        <f>Ocupacao_DW[[#This Row],[data]]&amp;Ocupacao_DW[[#This Row],[profissional_id]]&amp;Ocupacao_DW[[#This Row],[local_id]]</f>
        <v>4463917937351</v>
      </c>
      <c r="H5197" s="1" t="str">
        <f>_xlfn.XLOOKUP(Ocupacao_DW[[#This Row],[Concat]],Vagas!$H:$H,Vagas!$D:$D,"",0)</f>
        <v/>
      </c>
    </row>
    <row r="5198" spans="1:8" x14ac:dyDescent="0.25">
      <c r="A5198" s="2">
        <v>44638</v>
      </c>
      <c r="B5198" s="1" t="s">
        <v>276</v>
      </c>
      <c r="C5198">
        <v>17937</v>
      </c>
      <c r="D5198" s="1" t="s">
        <v>297</v>
      </c>
      <c r="E5198" s="1" t="s">
        <v>4</v>
      </c>
      <c r="F5198">
        <v>351</v>
      </c>
      <c r="G5198" s="1" t="str">
        <f>Ocupacao_DW[[#This Row],[data]]&amp;Ocupacao_DW[[#This Row],[profissional_id]]&amp;Ocupacao_DW[[#This Row],[local_id]]</f>
        <v>4463817937351</v>
      </c>
      <c r="H5198" s="1" t="str">
        <f>_xlfn.XLOOKUP(Ocupacao_DW[[#This Row],[Concat]],Vagas!$H:$H,Vagas!$D:$D,"",0)</f>
        <v/>
      </c>
    </row>
    <row r="5199" spans="1:8" x14ac:dyDescent="0.25">
      <c r="A5199" s="2">
        <v>44641</v>
      </c>
      <c r="B5199" s="1" t="s">
        <v>54</v>
      </c>
      <c r="C5199">
        <v>70</v>
      </c>
      <c r="D5199" s="1" t="s">
        <v>187</v>
      </c>
      <c r="E5199" s="1" t="s">
        <v>5</v>
      </c>
      <c r="F5199">
        <v>13</v>
      </c>
      <c r="G5199" s="1" t="str">
        <f>Ocupacao_DW[[#This Row],[data]]&amp;Ocupacao_DW[[#This Row],[profissional_id]]&amp;Ocupacao_DW[[#This Row],[local_id]]</f>
        <v>446417013</v>
      </c>
      <c r="H5199" s="1">
        <f>_xlfn.XLOOKUP(Ocupacao_DW[[#This Row],[Concat]],Vagas!$H:$H,Vagas!$D:$D,"",0)</f>
        <v>0</v>
      </c>
    </row>
    <row r="5200" spans="1:8" x14ac:dyDescent="0.25">
      <c r="A5200" s="2">
        <v>44636</v>
      </c>
      <c r="B5200" s="1" t="s">
        <v>20</v>
      </c>
      <c r="C5200">
        <v>174</v>
      </c>
      <c r="D5200" s="1" t="s">
        <v>230</v>
      </c>
      <c r="E5200" s="1" t="s">
        <v>167</v>
      </c>
      <c r="F5200">
        <v>24</v>
      </c>
      <c r="G5200" s="1" t="str">
        <f>Ocupacao_DW[[#This Row],[data]]&amp;Ocupacao_DW[[#This Row],[profissional_id]]&amp;Ocupacao_DW[[#This Row],[local_id]]</f>
        <v>4463617424</v>
      </c>
      <c r="H5200" s="1">
        <f>_xlfn.XLOOKUP(Ocupacao_DW[[#This Row],[Concat]],Vagas!$H:$H,Vagas!$D:$D,"",0)</f>
        <v>74</v>
      </c>
    </row>
    <row r="5201" spans="1:8" x14ac:dyDescent="0.25">
      <c r="A5201" s="2">
        <v>44641</v>
      </c>
      <c r="B5201" s="1" t="s">
        <v>49</v>
      </c>
      <c r="C5201">
        <v>3092</v>
      </c>
      <c r="D5201" s="1" t="s">
        <v>262</v>
      </c>
      <c r="E5201" s="1" t="s">
        <v>4</v>
      </c>
      <c r="F5201">
        <v>43</v>
      </c>
      <c r="G5201" s="1" t="str">
        <f>Ocupacao_DW[[#This Row],[data]]&amp;Ocupacao_DW[[#This Row],[profissional_id]]&amp;Ocupacao_DW[[#This Row],[local_id]]</f>
        <v>44641309243</v>
      </c>
      <c r="H5201" s="1">
        <f>_xlfn.XLOOKUP(Ocupacao_DW[[#This Row],[Concat]],Vagas!$H:$H,Vagas!$D:$D,"",0)</f>
        <v>0</v>
      </c>
    </row>
    <row r="5202" spans="1:8" x14ac:dyDescent="0.25">
      <c r="A5202" s="2">
        <v>44643</v>
      </c>
      <c r="B5202" s="1" t="s">
        <v>276</v>
      </c>
      <c r="C5202">
        <v>17937</v>
      </c>
      <c r="D5202" s="1" t="s">
        <v>297</v>
      </c>
      <c r="E5202" s="1" t="s">
        <v>4</v>
      </c>
      <c r="F5202">
        <v>351</v>
      </c>
      <c r="G5202" s="1" t="str">
        <f>Ocupacao_DW[[#This Row],[data]]&amp;Ocupacao_DW[[#This Row],[profissional_id]]&amp;Ocupacao_DW[[#This Row],[local_id]]</f>
        <v>4464317937351</v>
      </c>
      <c r="H5202" s="1" t="str">
        <f>_xlfn.XLOOKUP(Ocupacao_DW[[#This Row],[Concat]],Vagas!$H:$H,Vagas!$D:$D,"",0)</f>
        <v/>
      </c>
    </row>
    <row r="5203" spans="1:8" x14ac:dyDescent="0.25">
      <c r="A5203" s="2">
        <v>44636</v>
      </c>
      <c r="B5203" s="1" t="s">
        <v>47</v>
      </c>
      <c r="C5203">
        <v>111</v>
      </c>
      <c r="D5203" s="1" t="s">
        <v>199</v>
      </c>
      <c r="E5203" s="1" t="s">
        <v>4</v>
      </c>
      <c r="F5203">
        <v>51</v>
      </c>
      <c r="G5203" s="1" t="str">
        <f>Ocupacao_DW[[#This Row],[data]]&amp;Ocupacao_DW[[#This Row],[profissional_id]]&amp;Ocupacao_DW[[#This Row],[local_id]]</f>
        <v>4463611151</v>
      </c>
      <c r="H5203" s="1">
        <f>_xlfn.XLOOKUP(Ocupacao_DW[[#This Row],[Concat]],Vagas!$H:$H,Vagas!$D:$D,"",0)</f>
        <v>1</v>
      </c>
    </row>
    <row r="5204" spans="1:8" x14ac:dyDescent="0.25">
      <c r="A5204" s="2">
        <v>44643</v>
      </c>
      <c r="B5204" s="1" t="s">
        <v>276</v>
      </c>
      <c r="C5204">
        <v>17937</v>
      </c>
      <c r="D5204" s="1" t="s">
        <v>297</v>
      </c>
      <c r="E5204" s="1" t="s">
        <v>4</v>
      </c>
      <c r="F5204">
        <v>351</v>
      </c>
      <c r="G5204" s="1" t="str">
        <f>Ocupacao_DW[[#This Row],[data]]&amp;Ocupacao_DW[[#This Row],[profissional_id]]&amp;Ocupacao_DW[[#This Row],[local_id]]</f>
        <v>4464317937351</v>
      </c>
      <c r="H5204" s="1" t="str">
        <f>_xlfn.XLOOKUP(Ocupacao_DW[[#This Row],[Concat]],Vagas!$H:$H,Vagas!$D:$D,"",0)</f>
        <v/>
      </c>
    </row>
    <row r="5205" spans="1:8" x14ac:dyDescent="0.25">
      <c r="A5205" s="2">
        <v>44638</v>
      </c>
      <c r="B5205" s="1" t="s">
        <v>42</v>
      </c>
      <c r="C5205">
        <v>17902</v>
      </c>
      <c r="D5205" s="1" t="s">
        <v>264</v>
      </c>
      <c r="E5205" s="1" t="s">
        <v>4</v>
      </c>
      <c r="F5205">
        <v>39</v>
      </c>
      <c r="G5205" s="1" t="str">
        <f>Ocupacao_DW[[#This Row],[data]]&amp;Ocupacao_DW[[#This Row],[profissional_id]]&amp;Ocupacao_DW[[#This Row],[local_id]]</f>
        <v>446381790239</v>
      </c>
      <c r="H5205" s="1">
        <f>_xlfn.XLOOKUP(Ocupacao_DW[[#This Row],[Concat]],Vagas!$H:$H,Vagas!$D:$D,"",0)</f>
        <v>51</v>
      </c>
    </row>
    <row r="5206" spans="1:8" x14ac:dyDescent="0.25">
      <c r="A5206" s="2">
        <v>44641</v>
      </c>
      <c r="B5206" s="1" t="s">
        <v>54</v>
      </c>
      <c r="C5206">
        <v>70</v>
      </c>
      <c r="D5206" s="1" t="s">
        <v>187</v>
      </c>
      <c r="E5206" s="1" t="s">
        <v>5</v>
      </c>
      <c r="F5206">
        <v>13</v>
      </c>
      <c r="G5206" s="1" t="str">
        <f>Ocupacao_DW[[#This Row],[data]]&amp;Ocupacao_DW[[#This Row],[profissional_id]]&amp;Ocupacao_DW[[#This Row],[local_id]]</f>
        <v>446417013</v>
      </c>
      <c r="H5206" s="1">
        <f>_xlfn.XLOOKUP(Ocupacao_DW[[#This Row],[Concat]],Vagas!$H:$H,Vagas!$D:$D,"",0)</f>
        <v>0</v>
      </c>
    </row>
    <row r="5207" spans="1:8" x14ac:dyDescent="0.25">
      <c r="A5207" s="2">
        <v>44636</v>
      </c>
      <c r="B5207" s="1" t="s">
        <v>49</v>
      </c>
      <c r="C5207">
        <v>17918</v>
      </c>
      <c r="D5207" s="1" t="s">
        <v>265</v>
      </c>
      <c r="E5207" s="1" t="s">
        <v>4</v>
      </c>
      <c r="F5207">
        <v>42</v>
      </c>
      <c r="G5207" s="1" t="str">
        <f>Ocupacao_DW[[#This Row],[data]]&amp;Ocupacao_DW[[#This Row],[profissional_id]]&amp;Ocupacao_DW[[#This Row],[local_id]]</f>
        <v>446361791842</v>
      </c>
      <c r="H5207" s="1">
        <f>_xlfn.XLOOKUP(Ocupacao_DW[[#This Row],[Concat]],Vagas!$H:$H,Vagas!$D:$D,"",0)</f>
        <v>0</v>
      </c>
    </row>
    <row r="5208" spans="1:8" x14ac:dyDescent="0.25">
      <c r="A5208" s="2">
        <v>44650</v>
      </c>
      <c r="B5208" s="1" t="s">
        <v>70</v>
      </c>
      <c r="C5208">
        <v>12825</v>
      </c>
      <c r="D5208" s="1" t="s">
        <v>177</v>
      </c>
      <c r="E5208" s="1" t="s">
        <v>4</v>
      </c>
      <c r="F5208">
        <v>45</v>
      </c>
      <c r="G5208" s="1" t="str">
        <f>Ocupacao_DW[[#This Row],[data]]&amp;Ocupacao_DW[[#This Row],[profissional_id]]&amp;Ocupacao_DW[[#This Row],[local_id]]</f>
        <v>446501282545</v>
      </c>
      <c r="H5208" s="1">
        <f>_xlfn.XLOOKUP(Ocupacao_DW[[#This Row],[Concat]],Vagas!$H:$H,Vagas!$D:$D,"",0)</f>
        <v>0</v>
      </c>
    </row>
    <row r="5209" spans="1:8" x14ac:dyDescent="0.25">
      <c r="A5209" s="2">
        <v>44644</v>
      </c>
      <c r="B5209" s="1" t="s">
        <v>59</v>
      </c>
      <c r="C5209">
        <v>10249</v>
      </c>
      <c r="D5209" s="1" t="s">
        <v>231</v>
      </c>
      <c r="E5209" s="1" t="s">
        <v>4</v>
      </c>
      <c r="F5209">
        <v>44</v>
      </c>
      <c r="G5209" s="1" t="str">
        <f>Ocupacao_DW[[#This Row],[data]]&amp;Ocupacao_DW[[#This Row],[profissional_id]]&amp;Ocupacao_DW[[#This Row],[local_id]]</f>
        <v>446441024944</v>
      </c>
      <c r="H5209" s="1">
        <f>_xlfn.XLOOKUP(Ocupacao_DW[[#This Row],[Concat]],Vagas!$H:$H,Vagas!$D:$D,"",0)</f>
        <v>0</v>
      </c>
    </row>
    <row r="5210" spans="1:8" x14ac:dyDescent="0.25">
      <c r="A5210" s="2">
        <v>44642</v>
      </c>
      <c r="B5210" s="1" t="s">
        <v>49</v>
      </c>
      <c r="C5210">
        <v>266</v>
      </c>
      <c r="D5210" s="1" t="s">
        <v>201</v>
      </c>
      <c r="E5210" s="1" t="s">
        <v>4</v>
      </c>
      <c r="F5210">
        <v>42</v>
      </c>
      <c r="G5210" s="1" t="str">
        <f>Ocupacao_DW[[#This Row],[data]]&amp;Ocupacao_DW[[#This Row],[profissional_id]]&amp;Ocupacao_DW[[#This Row],[local_id]]</f>
        <v>4464226642</v>
      </c>
      <c r="H5210" s="1">
        <f>_xlfn.XLOOKUP(Ocupacao_DW[[#This Row],[Concat]],Vagas!$H:$H,Vagas!$D:$D,"",0)</f>
        <v>0</v>
      </c>
    </row>
    <row r="5211" spans="1:8" x14ac:dyDescent="0.25">
      <c r="A5211" s="2">
        <v>44644</v>
      </c>
      <c r="B5211" s="1" t="s">
        <v>49</v>
      </c>
      <c r="C5211">
        <v>266</v>
      </c>
      <c r="D5211" s="1" t="s">
        <v>201</v>
      </c>
      <c r="E5211" s="1" t="s">
        <v>4</v>
      </c>
      <c r="F5211">
        <v>42</v>
      </c>
      <c r="G5211" s="1" t="str">
        <f>Ocupacao_DW[[#This Row],[data]]&amp;Ocupacao_DW[[#This Row],[profissional_id]]&amp;Ocupacao_DW[[#This Row],[local_id]]</f>
        <v>4464426642</v>
      </c>
      <c r="H5211" s="1">
        <f>_xlfn.XLOOKUP(Ocupacao_DW[[#This Row],[Concat]],Vagas!$H:$H,Vagas!$D:$D,"",0)</f>
        <v>0</v>
      </c>
    </row>
    <row r="5212" spans="1:8" x14ac:dyDescent="0.25">
      <c r="A5212" s="2">
        <v>44641</v>
      </c>
      <c r="B5212" s="1" t="s">
        <v>56</v>
      </c>
      <c r="C5212">
        <v>5927</v>
      </c>
      <c r="D5212" s="1" t="s">
        <v>226</v>
      </c>
      <c r="E5212" s="1" t="s">
        <v>5</v>
      </c>
      <c r="F5212">
        <v>17</v>
      </c>
      <c r="G5212" s="1" t="str">
        <f>Ocupacao_DW[[#This Row],[data]]&amp;Ocupacao_DW[[#This Row],[profissional_id]]&amp;Ocupacao_DW[[#This Row],[local_id]]</f>
        <v>44641592717</v>
      </c>
      <c r="H5212" s="1">
        <f>_xlfn.XLOOKUP(Ocupacao_DW[[#This Row],[Concat]],Vagas!$H:$H,Vagas!$D:$D,"",0)</f>
        <v>0</v>
      </c>
    </row>
    <row r="5213" spans="1:8" x14ac:dyDescent="0.25">
      <c r="A5213" s="2">
        <v>44641</v>
      </c>
      <c r="B5213" s="1" t="s">
        <v>49</v>
      </c>
      <c r="C5213">
        <v>81</v>
      </c>
      <c r="D5213" s="1" t="s">
        <v>170</v>
      </c>
      <c r="E5213" s="1" t="s">
        <v>4</v>
      </c>
      <c r="F5213">
        <v>41</v>
      </c>
      <c r="G5213" s="1" t="str">
        <f>Ocupacao_DW[[#This Row],[data]]&amp;Ocupacao_DW[[#This Row],[profissional_id]]&amp;Ocupacao_DW[[#This Row],[local_id]]</f>
        <v>446418141</v>
      </c>
      <c r="H5213" s="1">
        <f>_xlfn.XLOOKUP(Ocupacao_DW[[#This Row],[Concat]],Vagas!$H:$H,Vagas!$D:$D,"",0)</f>
        <v>0</v>
      </c>
    </row>
    <row r="5214" spans="1:8" x14ac:dyDescent="0.25">
      <c r="A5214" s="2">
        <v>44650</v>
      </c>
      <c r="B5214" s="1" t="s">
        <v>49</v>
      </c>
      <c r="C5214">
        <v>6430</v>
      </c>
      <c r="D5214" s="1" t="s">
        <v>188</v>
      </c>
      <c r="E5214" s="1" t="s">
        <v>4</v>
      </c>
      <c r="F5214">
        <v>42</v>
      </c>
      <c r="G5214" s="1" t="str">
        <f>Ocupacao_DW[[#This Row],[data]]&amp;Ocupacao_DW[[#This Row],[profissional_id]]&amp;Ocupacao_DW[[#This Row],[local_id]]</f>
        <v>44650643042</v>
      </c>
      <c r="H5214" s="1">
        <f>_xlfn.XLOOKUP(Ocupacao_DW[[#This Row],[Concat]],Vagas!$H:$H,Vagas!$D:$D,"",0)</f>
        <v>0</v>
      </c>
    </row>
    <row r="5215" spans="1:8" x14ac:dyDescent="0.25">
      <c r="A5215" s="2">
        <v>44636</v>
      </c>
      <c r="B5215" s="1" t="s">
        <v>276</v>
      </c>
      <c r="C5215">
        <v>17937</v>
      </c>
      <c r="D5215" s="1" t="s">
        <v>297</v>
      </c>
      <c r="E5215" s="1" t="s">
        <v>4</v>
      </c>
      <c r="F5215">
        <v>351</v>
      </c>
      <c r="G5215" s="1" t="str">
        <f>Ocupacao_DW[[#This Row],[data]]&amp;Ocupacao_DW[[#This Row],[profissional_id]]&amp;Ocupacao_DW[[#This Row],[local_id]]</f>
        <v>4463617937351</v>
      </c>
      <c r="H5215" s="1">
        <f>_xlfn.XLOOKUP(Ocupacao_DW[[#This Row],[Concat]],Vagas!$H:$H,Vagas!$D:$D,"",0)</f>
        <v>11</v>
      </c>
    </row>
    <row r="5216" spans="1:8" x14ac:dyDescent="0.25">
      <c r="A5216" s="2">
        <v>44646</v>
      </c>
      <c r="B5216" s="1" t="s">
        <v>60</v>
      </c>
      <c r="C5216">
        <v>117</v>
      </c>
      <c r="D5216" s="1" t="s">
        <v>180</v>
      </c>
      <c r="E5216" s="1" t="s">
        <v>4</v>
      </c>
      <c r="F5216">
        <v>48</v>
      </c>
      <c r="G5216" s="1" t="str">
        <f>Ocupacao_DW[[#This Row],[data]]&amp;Ocupacao_DW[[#This Row],[profissional_id]]&amp;Ocupacao_DW[[#This Row],[local_id]]</f>
        <v>4464611748</v>
      </c>
      <c r="H5216" s="1">
        <f>_xlfn.XLOOKUP(Ocupacao_DW[[#This Row],[Concat]],Vagas!$H:$H,Vagas!$D:$D,"",0)</f>
        <v>0</v>
      </c>
    </row>
    <row r="5217" spans="1:8" x14ac:dyDescent="0.25">
      <c r="A5217" s="2">
        <v>44641</v>
      </c>
      <c r="B5217" s="1" t="s">
        <v>54</v>
      </c>
      <c r="C5217">
        <v>70</v>
      </c>
      <c r="D5217" s="1" t="s">
        <v>187</v>
      </c>
      <c r="E5217" s="1" t="s">
        <v>5</v>
      </c>
      <c r="F5217">
        <v>13</v>
      </c>
      <c r="G5217" s="1" t="str">
        <f>Ocupacao_DW[[#This Row],[data]]&amp;Ocupacao_DW[[#This Row],[profissional_id]]&amp;Ocupacao_DW[[#This Row],[local_id]]</f>
        <v>446417013</v>
      </c>
      <c r="H5217" s="1">
        <f>_xlfn.XLOOKUP(Ocupacao_DW[[#This Row],[Concat]],Vagas!$H:$H,Vagas!$D:$D,"",0)</f>
        <v>0</v>
      </c>
    </row>
    <row r="5218" spans="1:8" x14ac:dyDescent="0.25">
      <c r="A5218" s="2">
        <v>44641</v>
      </c>
      <c r="B5218" s="1" t="s">
        <v>56</v>
      </c>
      <c r="C5218">
        <v>5927</v>
      </c>
      <c r="D5218" s="1" t="s">
        <v>226</v>
      </c>
      <c r="E5218" s="1" t="s">
        <v>5</v>
      </c>
      <c r="F5218">
        <v>17</v>
      </c>
      <c r="G5218" s="1" t="str">
        <f>Ocupacao_DW[[#This Row],[data]]&amp;Ocupacao_DW[[#This Row],[profissional_id]]&amp;Ocupacao_DW[[#This Row],[local_id]]</f>
        <v>44641592717</v>
      </c>
      <c r="H5218" s="1">
        <f>_xlfn.XLOOKUP(Ocupacao_DW[[#This Row],[Concat]],Vagas!$H:$H,Vagas!$D:$D,"",0)</f>
        <v>0</v>
      </c>
    </row>
    <row r="5219" spans="1:8" x14ac:dyDescent="0.25">
      <c r="A5219" s="2">
        <v>44642</v>
      </c>
      <c r="B5219" s="1" t="s">
        <v>55</v>
      </c>
      <c r="C5219">
        <v>60</v>
      </c>
      <c r="D5219" s="1" t="s">
        <v>217</v>
      </c>
      <c r="E5219" s="1" t="s">
        <v>167</v>
      </c>
      <c r="F5219">
        <v>345</v>
      </c>
      <c r="G5219" s="1" t="str">
        <f>Ocupacao_DW[[#This Row],[data]]&amp;Ocupacao_DW[[#This Row],[profissional_id]]&amp;Ocupacao_DW[[#This Row],[local_id]]</f>
        <v>4464260345</v>
      </c>
      <c r="H5219" s="1">
        <f>_xlfn.XLOOKUP(Ocupacao_DW[[#This Row],[Concat]],Vagas!$H:$H,Vagas!$D:$D,"",0)</f>
        <v>0</v>
      </c>
    </row>
    <row r="5220" spans="1:8" x14ac:dyDescent="0.25">
      <c r="A5220" s="2">
        <v>44646</v>
      </c>
      <c r="B5220" s="1" t="s">
        <v>47</v>
      </c>
      <c r="C5220">
        <v>111</v>
      </c>
      <c r="D5220" s="1" t="s">
        <v>199</v>
      </c>
      <c r="E5220" s="1" t="s">
        <v>4</v>
      </c>
      <c r="F5220">
        <v>51</v>
      </c>
      <c r="G5220" s="1" t="str">
        <f>Ocupacao_DW[[#This Row],[data]]&amp;Ocupacao_DW[[#This Row],[profissional_id]]&amp;Ocupacao_DW[[#This Row],[local_id]]</f>
        <v>4464611151</v>
      </c>
      <c r="H5220" s="1">
        <f>_xlfn.XLOOKUP(Ocupacao_DW[[#This Row],[Concat]],Vagas!$H:$H,Vagas!$D:$D,"",0)</f>
        <v>31</v>
      </c>
    </row>
    <row r="5221" spans="1:8" x14ac:dyDescent="0.25">
      <c r="A5221" s="2">
        <v>44641</v>
      </c>
      <c r="B5221" s="1" t="s">
        <v>49</v>
      </c>
      <c r="C5221">
        <v>81</v>
      </c>
      <c r="D5221" s="1" t="s">
        <v>170</v>
      </c>
      <c r="E5221" s="1" t="s">
        <v>4</v>
      </c>
      <c r="F5221">
        <v>41</v>
      </c>
      <c r="G5221" s="1" t="str">
        <f>Ocupacao_DW[[#This Row],[data]]&amp;Ocupacao_DW[[#This Row],[profissional_id]]&amp;Ocupacao_DW[[#This Row],[local_id]]</f>
        <v>446418141</v>
      </c>
      <c r="H5221" s="1">
        <f>_xlfn.XLOOKUP(Ocupacao_DW[[#This Row],[Concat]],Vagas!$H:$H,Vagas!$D:$D,"",0)</f>
        <v>0</v>
      </c>
    </row>
    <row r="5222" spans="1:8" x14ac:dyDescent="0.25">
      <c r="A5222" s="2">
        <v>44636</v>
      </c>
      <c r="B5222" s="1" t="s">
        <v>64</v>
      </c>
      <c r="C5222">
        <v>531</v>
      </c>
      <c r="D5222" s="1" t="s">
        <v>213</v>
      </c>
      <c r="E5222" s="1" t="s">
        <v>5</v>
      </c>
      <c r="F5222">
        <v>12</v>
      </c>
      <c r="G5222" s="1" t="str">
        <f>Ocupacao_DW[[#This Row],[data]]&amp;Ocupacao_DW[[#This Row],[profissional_id]]&amp;Ocupacao_DW[[#This Row],[local_id]]</f>
        <v>4463653112</v>
      </c>
      <c r="H5222" s="1">
        <f>_xlfn.XLOOKUP(Ocupacao_DW[[#This Row],[Concat]],Vagas!$H:$H,Vagas!$D:$D,"",0)</f>
        <v>0</v>
      </c>
    </row>
    <row r="5223" spans="1:8" x14ac:dyDescent="0.25">
      <c r="A5223" s="2">
        <v>44648</v>
      </c>
      <c r="B5223" s="1" t="s">
        <v>66</v>
      </c>
      <c r="C5223">
        <v>100</v>
      </c>
      <c r="D5223" s="1" t="s">
        <v>166</v>
      </c>
      <c r="E5223" s="1" t="s">
        <v>167</v>
      </c>
      <c r="F5223">
        <v>342</v>
      </c>
      <c r="G5223" s="1" t="str">
        <f>Ocupacao_DW[[#This Row],[data]]&amp;Ocupacao_DW[[#This Row],[profissional_id]]&amp;Ocupacao_DW[[#This Row],[local_id]]</f>
        <v>44648100342</v>
      </c>
      <c r="H5223" s="1">
        <f>_xlfn.XLOOKUP(Ocupacao_DW[[#This Row],[Concat]],Vagas!$H:$H,Vagas!$D:$D,"",0)</f>
        <v>0</v>
      </c>
    </row>
    <row r="5224" spans="1:8" x14ac:dyDescent="0.25">
      <c r="A5224" s="2">
        <v>44639</v>
      </c>
      <c r="B5224" s="1"/>
      <c r="C5224">
        <v>4887</v>
      </c>
      <c r="D5224" s="1" t="s">
        <v>168</v>
      </c>
      <c r="E5224" s="1" t="s">
        <v>5</v>
      </c>
      <c r="F5224">
        <v>18</v>
      </c>
      <c r="G5224" s="1" t="str">
        <f>Ocupacao_DW[[#This Row],[data]]&amp;Ocupacao_DW[[#This Row],[profissional_id]]&amp;Ocupacao_DW[[#This Row],[local_id]]</f>
        <v>44639488718</v>
      </c>
      <c r="H5224" s="1">
        <f>_xlfn.XLOOKUP(Ocupacao_DW[[#This Row],[Concat]],Vagas!$H:$H,Vagas!$D:$D,"",0)</f>
        <v>0</v>
      </c>
    </row>
    <row r="5225" spans="1:8" x14ac:dyDescent="0.25">
      <c r="A5225" s="2">
        <v>44638</v>
      </c>
      <c r="B5225" s="1"/>
      <c r="C5225">
        <v>57</v>
      </c>
      <c r="D5225" s="1" t="s">
        <v>169</v>
      </c>
      <c r="E5225" s="1" t="s">
        <v>6</v>
      </c>
      <c r="F5225">
        <v>8</v>
      </c>
      <c r="G5225" s="1" t="str">
        <f>Ocupacao_DW[[#This Row],[data]]&amp;Ocupacao_DW[[#This Row],[profissional_id]]&amp;Ocupacao_DW[[#This Row],[local_id]]</f>
        <v>44638578</v>
      </c>
      <c r="H5225" s="1">
        <f>_xlfn.XLOOKUP(Ocupacao_DW[[#This Row],[Concat]],Vagas!$H:$H,Vagas!$D:$D,"",0)</f>
        <v>0</v>
      </c>
    </row>
    <row r="5226" spans="1:8" x14ac:dyDescent="0.25">
      <c r="A5226" s="2">
        <v>44635</v>
      </c>
      <c r="B5226" s="1"/>
      <c r="C5226">
        <v>73</v>
      </c>
      <c r="D5226" s="1" t="s">
        <v>171</v>
      </c>
      <c r="E5226" s="1" t="s">
        <v>6</v>
      </c>
      <c r="F5226">
        <v>5</v>
      </c>
      <c r="G5226" s="1" t="str">
        <f>Ocupacao_DW[[#This Row],[data]]&amp;Ocupacao_DW[[#This Row],[profissional_id]]&amp;Ocupacao_DW[[#This Row],[local_id]]</f>
        <v>44635735</v>
      </c>
      <c r="H5226" s="1">
        <f>_xlfn.XLOOKUP(Ocupacao_DW[[#This Row],[Concat]],Vagas!$H:$H,Vagas!$D:$D,"",0)</f>
        <v>0</v>
      </c>
    </row>
    <row r="5227" spans="1:8" x14ac:dyDescent="0.25">
      <c r="A5227" s="2">
        <v>44636</v>
      </c>
      <c r="B5227" s="1" t="s">
        <v>52</v>
      </c>
      <c r="C5227">
        <v>67</v>
      </c>
      <c r="D5227" s="1" t="s">
        <v>172</v>
      </c>
      <c r="E5227" s="1" t="s">
        <v>6</v>
      </c>
      <c r="F5227">
        <v>8</v>
      </c>
      <c r="G5227" s="1" t="str">
        <f>Ocupacao_DW[[#This Row],[data]]&amp;Ocupacao_DW[[#This Row],[profissional_id]]&amp;Ocupacao_DW[[#This Row],[local_id]]</f>
        <v>44636678</v>
      </c>
      <c r="H5227" s="1">
        <f>_xlfn.XLOOKUP(Ocupacao_DW[[#This Row],[Concat]],Vagas!$H:$H,Vagas!$D:$D,"",0)</f>
        <v>0</v>
      </c>
    </row>
    <row r="5228" spans="1:8" x14ac:dyDescent="0.25">
      <c r="A5228" s="2">
        <v>44648</v>
      </c>
      <c r="B5228" s="1"/>
      <c r="C5228">
        <v>6392</v>
      </c>
      <c r="D5228" s="1" t="s">
        <v>173</v>
      </c>
      <c r="E5228" s="1" t="s">
        <v>6</v>
      </c>
      <c r="F5228">
        <v>5</v>
      </c>
      <c r="G5228" s="1" t="str">
        <f>Ocupacao_DW[[#This Row],[data]]&amp;Ocupacao_DW[[#This Row],[profissional_id]]&amp;Ocupacao_DW[[#This Row],[local_id]]</f>
        <v>4464863925</v>
      </c>
      <c r="H5228" s="1">
        <f>_xlfn.XLOOKUP(Ocupacao_DW[[#This Row],[Concat]],Vagas!$H:$H,Vagas!$D:$D,"",0)</f>
        <v>0</v>
      </c>
    </row>
    <row r="5229" spans="1:8" x14ac:dyDescent="0.25">
      <c r="A5229" s="2">
        <v>44656</v>
      </c>
      <c r="B5229" s="1"/>
      <c r="C5229">
        <v>73</v>
      </c>
      <c r="D5229" s="1" t="s">
        <v>171</v>
      </c>
      <c r="E5229" s="1" t="s">
        <v>6</v>
      </c>
      <c r="F5229">
        <v>5</v>
      </c>
      <c r="G5229" s="1" t="str">
        <f>Ocupacao_DW[[#This Row],[data]]&amp;Ocupacao_DW[[#This Row],[profissional_id]]&amp;Ocupacao_DW[[#This Row],[local_id]]</f>
        <v>44656735</v>
      </c>
      <c r="H5229" s="1">
        <f>_xlfn.XLOOKUP(Ocupacao_DW[[#This Row],[Concat]],Vagas!$H:$H,Vagas!$D:$D,"",0)</f>
        <v>0</v>
      </c>
    </row>
    <row r="5230" spans="1:8" x14ac:dyDescent="0.25">
      <c r="A5230" s="2">
        <v>44636</v>
      </c>
      <c r="B5230" s="1"/>
      <c r="C5230">
        <v>1490</v>
      </c>
      <c r="D5230" s="1" t="s">
        <v>174</v>
      </c>
      <c r="E5230" s="1"/>
      <c r="F5230">
        <v>0</v>
      </c>
      <c r="G5230" s="1" t="str">
        <f>Ocupacao_DW[[#This Row],[data]]&amp;Ocupacao_DW[[#This Row],[profissional_id]]&amp;Ocupacao_DW[[#This Row],[local_id]]</f>
        <v>4463614900</v>
      </c>
      <c r="H5230" s="1" t="str">
        <f>_xlfn.XLOOKUP(Ocupacao_DW[[#This Row],[Concat]],Vagas!$H:$H,Vagas!$D:$D,"",0)</f>
        <v/>
      </c>
    </row>
    <row r="5231" spans="1:8" x14ac:dyDescent="0.25">
      <c r="A5231" s="2">
        <v>44638</v>
      </c>
      <c r="B5231" s="1"/>
      <c r="C5231">
        <v>86</v>
      </c>
      <c r="D5231" s="1" t="s">
        <v>175</v>
      </c>
      <c r="E5231" s="1" t="s">
        <v>5</v>
      </c>
      <c r="F5231">
        <v>349</v>
      </c>
      <c r="G5231" s="1" t="str">
        <f>Ocupacao_DW[[#This Row],[data]]&amp;Ocupacao_DW[[#This Row],[profissional_id]]&amp;Ocupacao_DW[[#This Row],[local_id]]</f>
        <v>4463886349</v>
      </c>
      <c r="H5231" s="1">
        <f>_xlfn.XLOOKUP(Ocupacao_DW[[#This Row],[Concat]],Vagas!$H:$H,Vagas!$D:$D,"",0)</f>
        <v>0</v>
      </c>
    </row>
    <row r="5232" spans="1:8" x14ac:dyDescent="0.25">
      <c r="A5232" s="2">
        <v>44643</v>
      </c>
      <c r="B5232" s="1" t="s">
        <v>70</v>
      </c>
      <c r="C5232">
        <v>12519</v>
      </c>
      <c r="D5232" s="1" t="s">
        <v>176</v>
      </c>
      <c r="E5232" s="1" t="s">
        <v>4</v>
      </c>
      <c r="F5232">
        <v>48</v>
      </c>
      <c r="G5232" s="1" t="str">
        <f>Ocupacao_DW[[#This Row],[data]]&amp;Ocupacao_DW[[#This Row],[profissional_id]]&amp;Ocupacao_DW[[#This Row],[local_id]]</f>
        <v>446431251948</v>
      </c>
      <c r="H5232" s="1">
        <f>_xlfn.XLOOKUP(Ocupacao_DW[[#This Row],[Concat]],Vagas!$H:$H,Vagas!$D:$D,"",0)</f>
        <v>0</v>
      </c>
    </row>
    <row r="5233" spans="1:8" x14ac:dyDescent="0.25">
      <c r="A5233" s="2">
        <v>44657</v>
      </c>
      <c r="B5233" s="1"/>
      <c r="C5233">
        <v>12519</v>
      </c>
      <c r="D5233" s="1" t="s">
        <v>176</v>
      </c>
      <c r="E5233" s="1" t="s">
        <v>4</v>
      </c>
      <c r="F5233">
        <v>48</v>
      </c>
      <c r="G5233" s="1" t="str">
        <f>Ocupacao_DW[[#This Row],[data]]&amp;Ocupacao_DW[[#This Row],[profissional_id]]&amp;Ocupacao_DW[[#This Row],[local_id]]</f>
        <v>446571251948</v>
      </c>
      <c r="H5233" s="1">
        <f>_xlfn.XLOOKUP(Ocupacao_DW[[#This Row],[Concat]],Vagas!$H:$H,Vagas!$D:$D,"",0)</f>
        <v>0</v>
      </c>
    </row>
    <row r="5234" spans="1:8" x14ac:dyDescent="0.25">
      <c r="A5234" s="2">
        <v>44644</v>
      </c>
      <c r="B5234" s="1" t="s">
        <v>70</v>
      </c>
      <c r="C5234">
        <v>12519</v>
      </c>
      <c r="D5234" s="1" t="s">
        <v>176</v>
      </c>
      <c r="E5234" s="1" t="s">
        <v>4</v>
      </c>
      <c r="F5234">
        <v>42</v>
      </c>
      <c r="G5234" s="1" t="str">
        <f>Ocupacao_DW[[#This Row],[data]]&amp;Ocupacao_DW[[#This Row],[profissional_id]]&amp;Ocupacao_DW[[#This Row],[local_id]]</f>
        <v>446441251942</v>
      </c>
      <c r="H5234" s="1">
        <f>_xlfn.XLOOKUP(Ocupacao_DW[[#This Row],[Concat]],Vagas!$H:$H,Vagas!$D:$D,"",0)</f>
        <v>0</v>
      </c>
    </row>
    <row r="5235" spans="1:8" x14ac:dyDescent="0.25">
      <c r="A5235" s="2">
        <v>44637</v>
      </c>
      <c r="B5235" s="1"/>
      <c r="C5235">
        <v>1490</v>
      </c>
      <c r="D5235" s="1" t="s">
        <v>174</v>
      </c>
      <c r="E5235" s="1" t="s">
        <v>167</v>
      </c>
      <c r="F5235">
        <v>344</v>
      </c>
      <c r="G5235" s="1" t="str">
        <f>Ocupacao_DW[[#This Row],[data]]&amp;Ocupacao_DW[[#This Row],[profissional_id]]&amp;Ocupacao_DW[[#This Row],[local_id]]</f>
        <v>446371490344</v>
      </c>
      <c r="H5235" s="1">
        <f>_xlfn.XLOOKUP(Ocupacao_DW[[#This Row],[Concat]],Vagas!$H:$H,Vagas!$D:$D,"",0)</f>
        <v>0</v>
      </c>
    </row>
    <row r="5236" spans="1:8" x14ac:dyDescent="0.25">
      <c r="A5236" s="2">
        <v>44657</v>
      </c>
      <c r="B5236" s="1"/>
      <c r="C5236">
        <v>1490</v>
      </c>
      <c r="D5236" s="1" t="s">
        <v>174</v>
      </c>
      <c r="E5236" s="1" t="s">
        <v>5</v>
      </c>
      <c r="F5236">
        <v>13</v>
      </c>
      <c r="G5236" s="1" t="str">
        <f>Ocupacao_DW[[#This Row],[data]]&amp;Ocupacao_DW[[#This Row],[profissional_id]]&amp;Ocupacao_DW[[#This Row],[local_id]]</f>
        <v>44657149013</v>
      </c>
      <c r="H5236" s="1">
        <f>_xlfn.XLOOKUP(Ocupacao_DW[[#This Row],[Concat]],Vagas!$H:$H,Vagas!$D:$D,"",0)</f>
        <v>0</v>
      </c>
    </row>
    <row r="5237" spans="1:8" x14ac:dyDescent="0.25">
      <c r="A5237" s="2">
        <v>44657</v>
      </c>
      <c r="B5237" s="1"/>
      <c r="C5237">
        <v>57</v>
      </c>
      <c r="D5237" s="1" t="s">
        <v>169</v>
      </c>
      <c r="E5237" s="1" t="s">
        <v>6</v>
      </c>
      <c r="F5237">
        <v>8</v>
      </c>
      <c r="G5237" s="1" t="str">
        <f>Ocupacao_DW[[#This Row],[data]]&amp;Ocupacao_DW[[#This Row],[profissional_id]]&amp;Ocupacao_DW[[#This Row],[local_id]]</f>
        <v>44657578</v>
      </c>
      <c r="H5237" s="1" t="str">
        <f>_xlfn.XLOOKUP(Ocupacao_DW[[#This Row],[Concat]],Vagas!$H:$H,Vagas!$D:$D,"",0)</f>
        <v/>
      </c>
    </row>
    <row r="5238" spans="1:8" x14ac:dyDescent="0.25">
      <c r="A5238" s="2">
        <v>44657</v>
      </c>
      <c r="B5238" s="1"/>
      <c r="C5238">
        <v>73</v>
      </c>
      <c r="D5238" s="1" t="s">
        <v>171</v>
      </c>
      <c r="E5238" s="1" t="s">
        <v>6</v>
      </c>
      <c r="F5238">
        <v>5</v>
      </c>
      <c r="G5238" s="1" t="str">
        <f>Ocupacao_DW[[#This Row],[data]]&amp;Ocupacao_DW[[#This Row],[profissional_id]]&amp;Ocupacao_DW[[#This Row],[local_id]]</f>
        <v>44657735</v>
      </c>
      <c r="H5238" s="1">
        <f>_xlfn.XLOOKUP(Ocupacao_DW[[#This Row],[Concat]],Vagas!$H:$H,Vagas!$D:$D,"",0)</f>
        <v>0</v>
      </c>
    </row>
    <row r="5239" spans="1:8" x14ac:dyDescent="0.25">
      <c r="A5239" s="2">
        <v>44657</v>
      </c>
      <c r="B5239" s="1"/>
      <c r="C5239">
        <v>12679</v>
      </c>
      <c r="D5239" s="1" t="s">
        <v>192</v>
      </c>
      <c r="E5239" s="1" t="s">
        <v>5</v>
      </c>
      <c r="F5239">
        <v>11</v>
      </c>
      <c r="G5239" s="1" t="str">
        <f>Ocupacao_DW[[#This Row],[data]]&amp;Ocupacao_DW[[#This Row],[profissional_id]]&amp;Ocupacao_DW[[#This Row],[local_id]]</f>
        <v>446571267911</v>
      </c>
      <c r="H5239" s="1">
        <f>_xlfn.XLOOKUP(Ocupacao_DW[[#This Row],[Concat]],Vagas!$H:$H,Vagas!$D:$D,"",0)</f>
        <v>0</v>
      </c>
    </row>
    <row r="5240" spans="1:8" x14ac:dyDescent="0.25">
      <c r="A5240" s="2">
        <v>44650</v>
      </c>
      <c r="B5240" s="1"/>
      <c r="C5240">
        <v>12825</v>
      </c>
      <c r="D5240" s="1" t="s">
        <v>177</v>
      </c>
      <c r="E5240" s="1"/>
      <c r="F5240">
        <v>0</v>
      </c>
      <c r="G5240" s="1" t="str">
        <f>Ocupacao_DW[[#This Row],[data]]&amp;Ocupacao_DW[[#This Row],[profissional_id]]&amp;Ocupacao_DW[[#This Row],[local_id]]</f>
        <v>44650128250</v>
      </c>
      <c r="H5240" s="1" t="str">
        <f>_xlfn.XLOOKUP(Ocupacao_DW[[#This Row],[Concat]],Vagas!$H:$H,Vagas!$D:$D,"",0)</f>
        <v/>
      </c>
    </row>
    <row r="5241" spans="1:8" x14ac:dyDescent="0.25">
      <c r="A5241" s="2">
        <v>44636</v>
      </c>
      <c r="B5241" s="1"/>
      <c r="C5241">
        <v>12825</v>
      </c>
      <c r="D5241" s="1" t="s">
        <v>177</v>
      </c>
      <c r="E5241" s="1"/>
      <c r="F5241">
        <v>0</v>
      </c>
      <c r="G5241" s="1" t="str">
        <f>Ocupacao_DW[[#This Row],[data]]&amp;Ocupacao_DW[[#This Row],[profissional_id]]&amp;Ocupacao_DW[[#This Row],[local_id]]</f>
        <v>44636128250</v>
      </c>
      <c r="H5241" s="1" t="str">
        <f>_xlfn.XLOOKUP(Ocupacao_DW[[#This Row],[Concat]],Vagas!$H:$H,Vagas!$D:$D,"",0)</f>
        <v/>
      </c>
    </row>
    <row r="5242" spans="1:8" x14ac:dyDescent="0.25">
      <c r="A5242" s="2">
        <v>44636</v>
      </c>
      <c r="B5242" s="1"/>
      <c r="C5242">
        <v>67</v>
      </c>
      <c r="D5242" s="1" t="s">
        <v>172</v>
      </c>
      <c r="E5242" s="1" t="s">
        <v>6</v>
      </c>
      <c r="F5242">
        <v>8</v>
      </c>
      <c r="G5242" s="1" t="str">
        <f>Ocupacao_DW[[#This Row],[data]]&amp;Ocupacao_DW[[#This Row],[profissional_id]]&amp;Ocupacao_DW[[#This Row],[local_id]]</f>
        <v>44636678</v>
      </c>
      <c r="H5242" s="1">
        <f>_xlfn.XLOOKUP(Ocupacao_DW[[#This Row],[Concat]],Vagas!$H:$H,Vagas!$D:$D,"",0)</f>
        <v>0</v>
      </c>
    </row>
    <row r="5243" spans="1:8" x14ac:dyDescent="0.25">
      <c r="A5243" s="2">
        <v>44643</v>
      </c>
      <c r="B5243" s="1"/>
      <c r="C5243">
        <v>80</v>
      </c>
      <c r="D5243" s="1" t="s">
        <v>179</v>
      </c>
      <c r="E5243" s="1" t="s">
        <v>167</v>
      </c>
      <c r="F5243">
        <v>346</v>
      </c>
      <c r="G5243" s="1" t="str">
        <f>Ocupacao_DW[[#This Row],[data]]&amp;Ocupacao_DW[[#This Row],[profissional_id]]&amp;Ocupacao_DW[[#This Row],[local_id]]</f>
        <v>4464380346</v>
      </c>
      <c r="H5243" s="1">
        <f>_xlfn.XLOOKUP(Ocupacao_DW[[#This Row],[Concat]],Vagas!$H:$H,Vagas!$D:$D,"",0)</f>
        <v>0</v>
      </c>
    </row>
    <row r="5244" spans="1:8" x14ac:dyDescent="0.25">
      <c r="A5244" s="2">
        <v>44651</v>
      </c>
      <c r="B5244" s="1"/>
      <c r="C5244">
        <v>1490</v>
      </c>
      <c r="D5244" s="1" t="s">
        <v>174</v>
      </c>
      <c r="E5244" s="1" t="s">
        <v>167</v>
      </c>
      <c r="F5244">
        <v>344</v>
      </c>
      <c r="G5244" s="1" t="str">
        <f>Ocupacao_DW[[#This Row],[data]]&amp;Ocupacao_DW[[#This Row],[profissional_id]]&amp;Ocupacao_DW[[#This Row],[local_id]]</f>
        <v>446511490344</v>
      </c>
      <c r="H5244" s="1">
        <f>_xlfn.XLOOKUP(Ocupacao_DW[[#This Row],[Concat]],Vagas!$H:$H,Vagas!$D:$D,"",0)</f>
        <v>0</v>
      </c>
    </row>
    <row r="5245" spans="1:8" x14ac:dyDescent="0.25">
      <c r="A5245" s="2">
        <v>44649</v>
      </c>
      <c r="B5245" s="1" t="s">
        <v>69</v>
      </c>
      <c r="C5245">
        <v>13249</v>
      </c>
      <c r="D5245" s="1" t="s">
        <v>178</v>
      </c>
      <c r="E5245" s="1" t="s">
        <v>4</v>
      </c>
      <c r="F5245">
        <v>45</v>
      </c>
      <c r="G5245" s="1" t="str">
        <f>Ocupacao_DW[[#This Row],[data]]&amp;Ocupacao_DW[[#This Row],[profissional_id]]&amp;Ocupacao_DW[[#This Row],[local_id]]</f>
        <v>446491324945</v>
      </c>
      <c r="H5245" s="1">
        <f>_xlfn.XLOOKUP(Ocupacao_DW[[#This Row],[Concat]],Vagas!$H:$H,Vagas!$D:$D,"",0)</f>
        <v>0</v>
      </c>
    </row>
    <row r="5246" spans="1:8" x14ac:dyDescent="0.25">
      <c r="A5246" s="2">
        <v>44650</v>
      </c>
      <c r="B5246" s="1"/>
      <c r="C5246">
        <v>57</v>
      </c>
      <c r="D5246" s="1" t="s">
        <v>169</v>
      </c>
      <c r="E5246" s="1" t="s">
        <v>6</v>
      </c>
      <c r="F5246">
        <v>8</v>
      </c>
      <c r="G5246" s="1" t="str">
        <f>Ocupacao_DW[[#This Row],[data]]&amp;Ocupacao_DW[[#This Row],[profissional_id]]&amp;Ocupacao_DW[[#This Row],[local_id]]</f>
        <v>44650578</v>
      </c>
      <c r="H5246" s="1">
        <f>_xlfn.XLOOKUP(Ocupacao_DW[[#This Row],[Concat]],Vagas!$H:$H,Vagas!$D:$D,"",0)</f>
        <v>24</v>
      </c>
    </row>
    <row r="5247" spans="1:8" x14ac:dyDescent="0.25">
      <c r="A5247" s="2">
        <v>44643</v>
      </c>
      <c r="B5247" s="1" t="s">
        <v>70</v>
      </c>
      <c r="C5247">
        <v>12519</v>
      </c>
      <c r="D5247" s="1" t="s">
        <v>176</v>
      </c>
      <c r="E5247" s="1" t="s">
        <v>4</v>
      </c>
      <c r="F5247">
        <v>48</v>
      </c>
      <c r="G5247" s="1" t="str">
        <f>Ocupacao_DW[[#This Row],[data]]&amp;Ocupacao_DW[[#This Row],[profissional_id]]&amp;Ocupacao_DW[[#This Row],[local_id]]</f>
        <v>446431251948</v>
      </c>
      <c r="H5247" s="1">
        <f>_xlfn.XLOOKUP(Ocupacao_DW[[#This Row],[Concat]],Vagas!$H:$H,Vagas!$D:$D,"",0)</f>
        <v>0</v>
      </c>
    </row>
    <row r="5248" spans="1:8" x14ac:dyDescent="0.25">
      <c r="A5248" s="2">
        <v>44646</v>
      </c>
      <c r="B5248" s="1"/>
      <c r="C5248">
        <v>4887</v>
      </c>
      <c r="D5248" s="1" t="s">
        <v>168</v>
      </c>
      <c r="E5248" s="1" t="s">
        <v>5</v>
      </c>
      <c r="F5248">
        <v>18</v>
      </c>
      <c r="G5248" s="1" t="str">
        <f>Ocupacao_DW[[#This Row],[data]]&amp;Ocupacao_DW[[#This Row],[profissional_id]]&amp;Ocupacao_DW[[#This Row],[local_id]]</f>
        <v>44646488718</v>
      </c>
      <c r="H5248" s="1">
        <f>_xlfn.XLOOKUP(Ocupacao_DW[[#This Row],[Concat]],Vagas!$H:$H,Vagas!$D:$D,"",0)</f>
        <v>0</v>
      </c>
    </row>
    <row r="5249" spans="1:8" x14ac:dyDescent="0.25">
      <c r="A5249" s="2">
        <v>44648</v>
      </c>
      <c r="B5249" s="1"/>
      <c r="C5249">
        <v>117</v>
      </c>
      <c r="D5249" s="1" t="s">
        <v>180</v>
      </c>
      <c r="E5249" s="1" t="s">
        <v>4</v>
      </c>
      <c r="F5249">
        <v>48</v>
      </c>
      <c r="G5249" s="1" t="str">
        <f>Ocupacao_DW[[#This Row],[data]]&amp;Ocupacao_DW[[#This Row],[profissional_id]]&amp;Ocupacao_DW[[#This Row],[local_id]]</f>
        <v>4464811748</v>
      </c>
      <c r="H5249" s="1">
        <f>_xlfn.XLOOKUP(Ocupacao_DW[[#This Row],[Concat]],Vagas!$H:$H,Vagas!$D:$D,"",0)</f>
        <v>0</v>
      </c>
    </row>
    <row r="5250" spans="1:8" x14ac:dyDescent="0.25">
      <c r="A5250" s="2">
        <v>44636</v>
      </c>
      <c r="B5250" s="1"/>
      <c r="C5250">
        <v>67</v>
      </c>
      <c r="D5250" s="1" t="s">
        <v>172</v>
      </c>
      <c r="E5250" s="1" t="s">
        <v>6</v>
      </c>
      <c r="F5250">
        <v>8</v>
      </c>
      <c r="G5250" s="1" t="str">
        <f>Ocupacao_DW[[#This Row],[data]]&amp;Ocupacao_DW[[#This Row],[profissional_id]]&amp;Ocupacao_DW[[#This Row],[local_id]]</f>
        <v>44636678</v>
      </c>
      <c r="H5250" s="1">
        <f>_xlfn.XLOOKUP(Ocupacao_DW[[#This Row],[Concat]],Vagas!$H:$H,Vagas!$D:$D,"",0)</f>
        <v>0</v>
      </c>
    </row>
    <row r="5251" spans="1:8" x14ac:dyDescent="0.25">
      <c r="A5251" s="2">
        <v>44636</v>
      </c>
      <c r="B5251" s="1"/>
      <c r="C5251">
        <v>67</v>
      </c>
      <c r="D5251" s="1" t="s">
        <v>172</v>
      </c>
      <c r="E5251" s="1" t="s">
        <v>6</v>
      </c>
      <c r="F5251">
        <v>8</v>
      </c>
      <c r="G5251" s="1" t="str">
        <f>Ocupacao_DW[[#This Row],[data]]&amp;Ocupacao_DW[[#This Row],[profissional_id]]&amp;Ocupacao_DW[[#This Row],[local_id]]</f>
        <v>44636678</v>
      </c>
      <c r="H5251" s="1">
        <f>_xlfn.XLOOKUP(Ocupacao_DW[[#This Row],[Concat]],Vagas!$H:$H,Vagas!$D:$D,"",0)</f>
        <v>0</v>
      </c>
    </row>
    <row r="5252" spans="1:8" x14ac:dyDescent="0.25">
      <c r="A5252" s="2">
        <v>44657</v>
      </c>
      <c r="B5252" s="1"/>
      <c r="C5252">
        <v>67</v>
      </c>
      <c r="D5252" s="1" t="s">
        <v>172</v>
      </c>
      <c r="E5252" s="1" t="s">
        <v>6</v>
      </c>
      <c r="F5252">
        <v>8</v>
      </c>
      <c r="G5252" s="1" t="str">
        <f>Ocupacao_DW[[#This Row],[data]]&amp;Ocupacao_DW[[#This Row],[profissional_id]]&amp;Ocupacao_DW[[#This Row],[local_id]]</f>
        <v>44657678</v>
      </c>
      <c r="H5252" s="1">
        <f>_xlfn.XLOOKUP(Ocupacao_DW[[#This Row],[Concat]],Vagas!$H:$H,Vagas!$D:$D,"",0)</f>
        <v>0</v>
      </c>
    </row>
    <row r="5253" spans="1:8" x14ac:dyDescent="0.25">
      <c r="A5253" s="2">
        <v>44636</v>
      </c>
      <c r="B5253" s="1" t="s">
        <v>70</v>
      </c>
      <c r="C5253">
        <v>12519</v>
      </c>
      <c r="D5253" s="1" t="s">
        <v>176</v>
      </c>
      <c r="E5253" s="1" t="s">
        <v>4</v>
      </c>
      <c r="F5253">
        <v>48</v>
      </c>
      <c r="G5253" s="1" t="str">
        <f>Ocupacao_DW[[#This Row],[data]]&amp;Ocupacao_DW[[#This Row],[profissional_id]]&amp;Ocupacao_DW[[#This Row],[local_id]]</f>
        <v>446361251948</v>
      </c>
      <c r="H5253" s="1">
        <f>_xlfn.XLOOKUP(Ocupacao_DW[[#This Row],[Concat]],Vagas!$H:$H,Vagas!$D:$D,"",0)</f>
        <v>0</v>
      </c>
    </row>
    <row r="5254" spans="1:8" x14ac:dyDescent="0.25">
      <c r="A5254" s="2">
        <v>44650</v>
      </c>
      <c r="B5254" s="1"/>
      <c r="C5254">
        <v>67</v>
      </c>
      <c r="D5254" s="1" t="s">
        <v>172</v>
      </c>
      <c r="E5254" s="1" t="s">
        <v>6</v>
      </c>
      <c r="F5254">
        <v>8</v>
      </c>
      <c r="G5254" s="1" t="str">
        <f>Ocupacao_DW[[#This Row],[data]]&amp;Ocupacao_DW[[#This Row],[profissional_id]]&amp;Ocupacao_DW[[#This Row],[local_id]]</f>
        <v>44650678</v>
      </c>
      <c r="H5254" s="1">
        <f>_xlfn.XLOOKUP(Ocupacao_DW[[#This Row],[Concat]],Vagas!$H:$H,Vagas!$D:$D,"",0)</f>
        <v>0</v>
      </c>
    </row>
    <row r="5255" spans="1:8" x14ac:dyDescent="0.25">
      <c r="A5255" s="2">
        <v>44636</v>
      </c>
      <c r="B5255" s="1"/>
      <c r="C5255">
        <v>1490</v>
      </c>
      <c r="D5255" s="1" t="s">
        <v>174</v>
      </c>
      <c r="E5255" s="1" t="s">
        <v>5</v>
      </c>
      <c r="F5255">
        <v>13</v>
      </c>
      <c r="G5255" s="1" t="str">
        <f>Ocupacao_DW[[#This Row],[data]]&amp;Ocupacao_DW[[#This Row],[profissional_id]]&amp;Ocupacao_DW[[#This Row],[local_id]]</f>
        <v>44636149013</v>
      </c>
      <c r="H5255" s="1">
        <f>_xlfn.XLOOKUP(Ocupacao_DW[[#This Row],[Concat]],Vagas!$H:$H,Vagas!$D:$D,"",0)</f>
        <v>0</v>
      </c>
    </row>
    <row r="5256" spans="1:8" x14ac:dyDescent="0.25">
      <c r="A5256" s="2">
        <v>44636</v>
      </c>
      <c r="B5256" s="1"/>
      <c r="C5256">
        <v>1490</v>
      </c>
      <c r="D5256" s="1" t="s">
        <v>174</v>
      </c>
      <c r="E5256" s="1" t="s">
        <v>5</v>
      </c>
      <c r="F5256">
        <v>13</v>
      </c>
      <c r="G5256" s="1" t="str">
        <f>Ocupacao_DW[[#This Row],[data]]&amp;Ocupacao_DW[[#This Row],[profissional_id]]&amp;Ocupacao_DW[[#This Row],[local_id]]</f>
        <v>44636149013</v>
      </c>
      <c r="H5256" s="1">
        <f>_xlfn.XLOOKUP(Ocupacao_DW[[#This Row],[Concat]],Vagas!$H:$H,Vagas!$D:$D,"",0)</f>
        <v>0</v>
      </c>
    </row>
    <row r="5257" spans="1:8" x14ac:dyDescent="0.25">
      <c r="A5257" s="2">
        <v>44658</v>
      </c>
      <c r="B5257" s="1" t="s">
        <v>51</v>
      </c>
      <c r="C5257">
        <v>53</v>
      </c>
      <c r="D5257" s="1" t="s">
        <v>254</v>
      </c>
      <c r="E5257" s="1" t="s">
        <v>5</v>
      </c>
      <c r="F5257">
        <v>14</v>
      </c>
      <c r="G5257" s="1" t="str">
        <f>Ocupacao_DW[[#This Row],[data]]&amp;Ocupacao_DW[[#This Row],[profissional_id]]&amp;Ocupacao_DW[[#This Row],[local_id]]</f>
        <v>446585314</v>
      </c>
      <c r="H5257" s="1">
        <f>_xlfn.XLOOKUP(Ocupacao_DW[[#This Row],[Concat]],Vagas!$H:$H,Vagas!$D:$D,"",0)</f>
        <v>0</v>
      </c>
    </row>
    <row r="5258" spans="1:8" x14ac:dyDescent="0.25">
      <c r="A5258" s="2">
        <v>44636</v>
      </c>
      <c r="B5258" s="1"/>
      <c r="C5258">
        <v>74</v>
      </c>
      <c r="D5258" s="1" t="s">
        <v>182</v>
      </c>
      <c r="E5258" s="1" t="s">
        <v>6</v>
      </c>
      <c r="F5258">
        <v>7</v>
      </c>
      <c r="G5258" s="1" t="str">
        <f>Ocupacao_DW[[#This Row],[data]]&amp;Ocupacao_DW[[#This Row],[profissional_id]]&amp;Ocupacao_DW[[#This Row],[local_id]]</f>
        <v>44636747</v>
      </c>
      <c r="H5258" s="1">
        <f>_xlfn.XLOOKUP(Ocupacao_DW[[#This Row],[Concat]],Vagas!$H:$H,Vagas!$D:$D,"",0)</f>
        <v>0</v>
      </c>
    </row>
    <row r="5259" spans="1:8" x14ac:dyDescent="0.25">
      <c r="A5259" s="2">
        <v>44636</v>
      </c>
      <c r="B5259" s="1"/>
      <c r="C5259">
        <v>17878</v>
      </c>
      <c r="D5259" s="1" t="s">
        <v>183</v>
      </c>
      <c r="E5259" s="1" t="s">
        <v>7</v>
      </c>
      <c r="F5259">
        <v>63</v>
      </c>
      <c r="G5259" s="1" t="str">
        <f>Ocupacao_DW[[#This Row],[data]]&amp;Ocupacao_DW[[#This Row],[profissional_id]]&amp;Ocupacao_DW[[#This Row],[local_id]]</f>
        <v>446361787863</v>
      </c>
      <c r="H5259" s="1">
        <f>_xlfn.XLOOKUP(Ocupacao_DW[[#This Row],[Concat]],Vagas!$H:$H,Vagas!$D:$D,"",0)</f>
        <v>0</v>
      </c>
    </row>
    <row r="5260" spans="1:8" x14ac:dyDescent="0.25">
      <c r="A5260" s="2">
        <v>44657</v>
      </c>
      <c r="B5260" s="1"/>
      <c r="C5260">
        <v>12825</v>
      </c>
      <c r="D5260" s="1" t="s">
        <v>177</v>
      </c>
      <c r="E5260" s="1"/>
      <c r="F5260">
        <v>0</v>
      </c>
      <c r="G5260" s="1" t="str">
        <f>Ocupacao_DW[[#This Row],[data]]&amp;Ocupacao_DW[[#This Row],[profissional_id]]&amp;Ocupacao_DW[[#This Row],[local_id]]</f>
        <v>44657128250</v>
      </c>
      <c r="H5260" s="1" t="str">
        <f>_xlfn.XLOOKUP(Ocupacao_DW[[#This Row],[Concat]],Vagas!$H:$H,Vagas!$D:$D,"",0)</f>
        <v/>
      </c>
    </row>
    <row r="5261" spans="1:8" x14ac:dyDescent="0.25">
      <c r="A5261" s="2">
        <v>44643</v>
      </c>
      <c r="B5261" s="1"/>
      <c r="C5261">
        <v>74</v>
      </c>
      <c r="D5261" s="1" t="s">
        <v>182</v>
      </c>
      <c r="E5261" s="1" t="s">
        <v>6</v>
      </c>
      <c r="F5261">
        <v>7</v>
      </c>
      <c r="G5261" s="1" t="str">
        <f>Ocupacao_DW[[#This Row],[data]]&amp;Ocupacao_DW[[#This Row],[profissional_id]]&amp;Ocupacao_DW[[#This Row],[local_id]]</f>
        <v>44643747</v>
      </c>
      <c r="H5261" s="1">
        <f>_xlfn.XLOOKUP(Ocupacao_DW[[#This Row],[Concat]],Vagas!$H:$H,Vagas!$D:$D,"",0)</f>
        <v>0</v>
      </c>
    </row>
    <row r="5262" spans="1:8" x14ac:dyDescent="0.25">
      <c r="A5262" s="2">
        <v>44636</v>
      </c>
      <c r="B5262" s="1"/>
      <c r="C5262">
        <v>67</v>
      </c>
      <c r="D5262" s="1" t="s">
        <v>172</v>
      </c>
      <c r="E5262" s="1" t="s">
        <v>6</v>
      </c>
      <c r="F5262">
        <v>8</v>
      </c>
      <c r="G5262" s="1" t="str">
        <f>Ocupacao_DW[[#This Row],[data]]&amp;Ocupacao_DW[[#This Row],[profissional_id]]&amp;Ocupacao_DW[[#This Row],[local_id]]</f>
        <v>44636678</v>
      </c>
      <c r="H5262" s="1">
        <f>_xlfn.XLOOKUP(Ocupacao_DW[[#This Row],[Concat]],Vagas!$H:$H,Vagas!$D:$D,"",0)</f>
        <v>0</v>
      </c>
    </row>
    <row r="5263" spans="1:8" x14ac:dyDescent="0.25">
      <c r="A5263" s="2">
        <v>44643</v>
      </c>
      <c r="B5263" s="1"/>
      <c r="C5263">
        <v>74</v>
      </c>
      <c r="D5263" s="1" t="s">
        <v>182</v>
      </c>
      <c r="E5263" s="1" t="s">
        <v>6</v>
      </c>
      <c r="F5263">
        <v>7</v>
      </c>
      <c r="G5263" s="1" t="str">
        <f>Ocupacao_DW[[#This Row],[data]]&amp;Ocupacao_DW[[#This Row],[profissional_id]]&amp;Ocupacao_DW[[#This Row],[local_id]]</f>
        <v>44643747</v>
      </c>
      <c r="H5263" s="1">
        <f>_xlfn.XLOOKUP(Ocupacao_DW[[#This Row],[Concat]],Vagas!$H:$H,Vagas!$D:$D,"",0)</f>
        <v>0</v>
      </c>
    </row>
    <row r="5264" spans="1:8" x14ac:dyDescent="0.25">
      <c r="A5264" s="2">
        <v>44636</v>
      </c>
      <c r="B5264" s="1"/>
      <c r="C5264">
        <v>67</v>
      </c>
      <c r="D5264" s="1" t="s">
        <v>172</v>
      </c>
      <c r="E5264" s="1" t="s">
        <v>6</v>
      </c>
      <c r="F5264">
        <v>8</v>
      </c>
      <c r="G5264" s="1" t="str">
        <f>Ocupacao_DW[[#This Row],[data]]&amp;Ocupacao_DW[[#This Row],[profissional_id]]&amp;Ocupacao_DW[[#This Row],[local_id]]</f>
        <v>44636678</v>
      </c>
      <c r="H5264" s="1">
        <f>_xlfn.XLOOKUP(Ocupacao_DW[[#This Row],[Concat]],Vagas!$H:$H,Vagas!$D:$D,"",0)</f>
        <v>0</v>
      </c>
    </row>
    <row r="5265" spans="1:8" x14ac:dyDescent="0.25">
      <c r="A5265" s="2">
        <v>44657</v>
      </c>
      <c r="B5265" s="1"/>
      <c r="C5265">
        <v>67</v>
      </c>
      <c r="D5265" s="1" t="s">
        <v>172</v>
      </c>
      <c r="E5265" s="1" t="s">
        <v>6</v>
      </c>
      <c r="F5265">
        <v>8</v>
      </c>
      <c r="G5265" s="1" t="str">
        <f>Ocupacao_DW[[#This Row],[data]]&amp;Ocupacao_DW[[#This Row],[profissional_id]]&amp;Ocupacao_DW[[#This Row],[local_id]]</f>
        <v>44657678</v>
      </c>
      <c r="H5265" s="1">
        <f>_xlfn.XLOOKUP(Ocupacao_DW[[#This Row],[Concat]],Vagas!$H:$H,Vagas!$D:$D,"",0)</f>
        <v>0</v>
      </c>
    </row>
    <row r="5266" spans="1:8" x14ac:dyDescent="0.25">
      <c r="A5266" s="2">
        <v>44638</v>
      </c>
      <c r="B5266" s="1" t="s">
        <v>64</v>
      </c>
      <c r="C5266">
        <v>86</v>
      </c>
      <c r="D5266" s="1" t="s">
        <v>175</v>
      </c>
      <c r="E5266" s="1" t="s">
        <v>5</v>
      </c>
      <c r="F5266">
        <v>349</v>
      </c>
      <c r="G5266" s="1" t="str">
        <f>Ocupacao_DW[[#This Row],[data]]&amp;Ocupacao_DW[[#This Row],[profissional_id]]&amp;Ocupacao_DW[[#This Row],[local_id]]</f>
        <v>4463886349</v>
      </c>
      <c r="H5266" s="1">
        <f>_xlfn.XLOOKUP(Ocupacao_DW[[#This Row],[Concat]],Vagas!$H:$H,Vagas!$D:$D,"",0)</f>
        <v>0</v>
      </c>
    </row>
    <row r="5267" spans="1:8" x14ac:dyDescent="0.25">
      <c r="A5267" s="2">
        <v>44637</v>
      </c>
      <c r="B5267" s="1"/>
      <c r="C5267">
        <v>1490</v>
      </c>
      <c r="D5267" s="1" t="s">
        <v>174</v>
      </c>
      <c r="E5267" s="1"/>
      <c r="F5267">
        <v>0</v>
      </c>
      <c r="G5267" s="1" t="str">
        <f>Ocupacao_DW[[#This Row],[data]]&amp;Ocupacao_DW[[#This Row],[profissional_id]]&amp;Ocupacao_DW[[#This Row],[local_id]]</f>
        <v>4463714900</v>
      </c>
      <c r="H5267" s="1" t="str">
        <f>_xlfn.XLOOKUP(Ocupacao_DW[[#This Row],[Concat]],Vagas!$H:$H,Vagas!$D:$D,"",0)</f>
        <v/>
      </c>
    </row>
    <row r="5268" spans="1:8" x14ac:dyDescent="0.25">
      <c r="A5268" s="2">
        <v>44643</v>
      </c>
      <c r="B5268" s="1"/>
      <c r="C5268">
        <v>73</v>
      </c>
      <c r="D5268" s="1" t="s">
        <v>171</v>
      </c>
      <c r="E5268" s="1" t="s">
        <v>6</v>
      </c>
      <c r="F5268">
        <v>5</v>
      </c>
      <c r="G5268" s="1" t="str">
        <f>Ocupacao_DW[[#This Row],[data]]&amp;Ocupacao_DW[[#This Row],[profissional_id]]&amp;Ocupacao_DW[[#This Row],[local_id]]</f>
        <v>44643735</v>
      </c>
      <c r="H5268" s="1">
        <f>_xlfn.XLOOKUP(Ocupacao_DW[[#This Row],[Concat]],Vagas!$H:$H,Vagas!$D:$D,"",0)</f>
        <v>0</v>
      </c>
    </row>
    <row r="5269" spans="1:8" x14ac:dyDescent="0.25">
      <c r="A5269" s="2">
        <v>44658</v>
      </c>
      <c r="B5269" s="1"/>
      <c r="C5269">
        <v>12825</v>
      </c>
      <c r="D5269" s="1" t="s">
        <v>177</v>
      </c>
      <c r="E5269" s="1" t="s">
        <v>4</v>
      </c>
      <c r="F5269">
        <v>45</v>
      </c>
      <c r="G5269" s="1" t="str">
        <f>Ocupacao_DW[[#This Row],[data]]&amp;Ocupacao_DW[[#This Row],[profissional_id]]&amp;Ocupacao_DW[[#This Row],[local_id]]</f>
        <v>446581282545</v>
      </c>
      <c r="H5269" s="1" t="str">
        <f>_xlfn.XLOOKUP(Ocupacao_DW[[#This Row],[Concat]],Vagas!$H:$H,Vagas!$D:$D,"",0)</f>
        <v/>
      </c>
    </row>
    <row r="5270" spans="1:8" x14ac:dyDescent="0.25">
      <c r="A5270" s="2">
        <v>44658</v>
      </c>
      <c r="B5270" s="1"/>
      <c r="C5270">
        <v>12825</v>
      </c>
      <c r="D5270" s="1" t="s">
        <v>177</v>
      </c>
      <c r="E5270" s="1" t="s">
        <v>4</v>
      </c>
      <c r="F5270">
        <v>45</v>
      </c>
      <c r="G5270" s="1" t="str">
        <f>Ocupacao_DW[[#This Row],[data]]&amp;Ocupacao_DW[[#This Row],[profissional_id]]&amp;Ocupacao_DW[[#This Row],[local_id]]</f>
        <v>446581282545</v>
      </c>
      <c r="H5270" s="1" t="str">
        <f>_xlfn.XLOOKUP(Ocupacao_DW[[#This Row],[Concat]],Vagas!$H:$H,Vagas!$D:$D,"",0)</f>
        <v/>
      </c>
    </row>
    <row r="5271" spans="1:8" x14ac:dyDescent="0.25">
      <c r="A5271" s="2">
        <v>44641</v>
      </c>
      <c r="B5271" s="1"/>
      <c r="C5271">
        <v>2984</v>
      </c>
      <c r="D5271" s="1" t="s">
        <v>185</v>
      </c>
      <c r="E5271" s="1" t="s">
        <v>6</v>
      </c>
      <c r="F5271">
        <v>7</v>
      </c>
      <c r="G5271" s="1" t="str">
        <f>Ocupacao_DW[[#This Row],[data]]&amp;Ocupacao_DW[[#This Row],[profissional_id]]&amp;Ocupacao_DW[[#This Row],[local_id]]</f>
        <v>4464129847</v>
      </c>
      <c r="H5271" s="1">
        <f>_xlfn.XLOOKUP(Ocupacao_DW[[#This Row],[Concat]],Vagas!$H:$H,Vagas!$D:$D,"",0)</f>
        <v>0</v>
      </c>
    </row>
    <row r="5272" spans="1:8" x14ac:dyDescent="0.25">
      <c r="A5272" s="2">
        <v>44644</v>
      </c>
      <c r="B5272" s="1"/>
      <c r="C5272">
        <v>1490</v>
      </c>
      <c r="D5272" s="1" t="s">
        <v>174</v>
      </c>
      <c r="E5272" s="1" t="s">
        <v>5</v>
      </c>
      <c r="F5272">
        <v>12</v>
      </c>
      <c r="G5272" s="1" t="str">
        <f>Ocupacao_DW[[#This Row],[data]]&amp;Ocupacao_DW[[#This Row],[profissional_id]]&amp;Ocupacao_DW[[#This Row],[local_id]]</f>
        <v>44644149012</v>
      </c>
      <c r="H5272" s="1">
        <f>_xlfn.XLOOKUP(Ocupacao_DW[[#This Row],[Concat]],Vagas!$H:$H,Vagas!$D:$D,"",0)</f>
        <v>0</v>
      </c>
    </row>
    <row r="5273" spans="1:8" x14ac:dyDescent="0.25">
      <c r="A5273" s="2">
        <v>44643</v>
      </c>
      <c r="B5273" s="1"/>
      <c r="C5273">
        <v>1490</v>
      </c>
      <c r="D5273" s="1" t="s">
        <v>174</v>
      </c>
      <c r="E5273" s="1" t="s">
        <v>5</v>
      </c>
      <c r="F5273">
        <v>13</v>
      </c>
      <c r="G5273" s="1" t="str">
        <f>Ocupacao_DW[[#This Row],[data]]&amp;Ocupacao_DW[[#This Row],[profissional_id]]&amp;Ocupacao_DW[[#This Row],[local_id]]</f>
        <v>44643149013</v>
      </c>
      <c r="H5273" s="1">
        <f>_xlfn.XLOOKUP(Ocupacao_DW[[#This Row],[Concat]],Vagas!$H:$H,Vagas!$D:$D,"",0)</f>
        <v>0</v>
      </c>
    </row>
    <row r="5274" spans="1:8" x14ac:dyDescent="0.25">
      <c r="A5274" s="2">
        <v>44636</v>
      </c>
      <c r="B5274" s="1"/>
      <c r="C5274">
        <v>67</v>
      </c>
      <c r="D5274" s="1" t="s">
        <v>172</v>
      </c>
      <c r="E5274" s="1" t="s">
        <v>6</v>
      </c>
      <c r="F5274">
        <v>8</v>
      </c>
      <c r="G5274" s="1" t="str">
        <f>Ocupacao_DW[[#This Row],[data]]&amp;Ocupacao_DW[[#This Row],[profissional_id]]&amp;Ocupacao_DW[[#This Row],[local_id]]</f>
        <v>44636678</v>
      </c>
      <c r="H5274" s="1">
        <f>_xlfn.XLOOKUP(Ocupacao_DW[[#This Row],[Concat]],Vagas!$H:$H,Vagas!$D:$D,"",0)</f>
        <v>0</v>
      </c>
    </row>
    <row r="5275" spans="1:8" x14ac:dyDescent="0.25">
      <c r="A5275" s="2">
        <v>44643</v>
      </c>
      <c r="B5275" s="1"/>
      <c r="C5275">
        <v>1490</v>
      </c>
      <c r="D5275" s="1" t="s">
        <v>174</v>
      </c>
      <c r="E5275" s="1" t="s">
        <v>5</v>
      </c>
      <c r="F5275">
        <v>13</v>
      </c>
      <c r="G5275" s="1" t="str">
        <f>Ocupacao_DW[[#This Row],[data]]&amp;Ocupacao_DW[[#This Row],[profissional_id]]&amp;Ocupacao_DW[[#This Row],[local_id]]</f>
        <v>44643149013</v>
      </c>
      <c r="H5275" s="1">
        <f>_xlfn.XLOOKUP(Ocupacao_DW[[#This Row],[Concat]],Vagas!$H:$H,Vagas!$D:$D,"",0)</f>
        <v>0</v>
      </c>
    </row>
    <row r="5276" spans="1:8" x14ac:dyDescent="0.25">
      <c r="A5276" s="2">
        <v>44636</v>
      </c>
      <c r="B5276" s="1" t="s">
        <v>70</v>
      </c>
      <c r="C5276">
        <v>12519</v>
      </c>
      <c r="D5276" s="1" t="s">
        <v>176</v>
      </c>
      <c r="E5276" s="1" t="s">
        <v>4</v>
      </c>
      <c r="F5276">
        <v>48</v>
      </c>
      <c r="G5276" s="1" t="str">
        <f>Ocupacao_DW[[#This Row],[data]]&amp;Ocupacao_DW[[#This Row],[profissional_id]]&amp;Ocupacao_DW[[#This Row],[local_id]]</f>
        <v>446361251948</v>
      </c>
      <c r="H5276" s="1">
        <f>_xlfn.XLOOKUP(Ocupacao_DW[[#This Row],[Concat]],Vagas!$H:$H,Vagas!$D:$D,"",0)</f>
        <v>0</v>
      </c>
    </row>
    <row r="5277" spans="1:8" x14ac:dyDescent="0.25">
      <c r="A5277" s="2">
        <v>44636</v>
      </c>
      <c r="B5277" s="1"/>
      <c r="C5277">
        <v>67</v>
      </c>
      <c r="D5277" s="1" t="s">
        <v>172</v>
      </c>
      <c r="E5277" s="1" t="s">
        <v>6</v>
      </c>
      <c r="F5277">
        <v>8</v>
      </c>
      <c r="G5277" s="1" t="str">
        <f>Ocupacao_DW[[#This Row],[data]]&amp;Ocupacao_DW[[#This Row],[profissional_id]]&amp;Ocupacao_DW[[#This Row],[local_id]]</f>
        <v>44636678</v>
      </c>
      <c r="H5277" s="1">
        <f>_xlfn.XLOOKUP(Ocupacao_DW[[#This Row],[Concat]],Vagas!$H:$H,Vagas!$D:$D,"",0)</f>
        <v>0</v>
      </c>
    </row>
    <row r="5278" spans="1:8" x14ac:dyDescent="0.25">
      <c r="A5278" s="2">
        <v>44641</v>
      </c>
      <c r="B5278" s="1"/>
      <c r="C5278">
        <v>13249</v>
      </c>
      <c r="D5278" s="1" t="s">
        <v>178</v>
      </c>
      <c r="E5278" s="1" t="s">
        <v>4</v>
      </c>
      <c r="F5278">
        <v>45</v>
      </c>
      <c r="G5278" s="1" t="str">
        <f>Ocupacao_DW[[#This Row],[data]]&amp;Ocupacao_DW[[#This Row],[profissional_id]]&amp;Ocupacao_DW[[#This Row],[local_id]]</f>
        <v>446411324945</v>
      </c>
      <c r="H5278" s="1">
        <f>_xlfn.XLOOKUP(Ocupacao_DW[[#This Row],[Concat]],Vagas!$H:$H,Vagas!$D:$D,"",0)</f>
        <v>0</v>
      </c>
    </row>
    <row r="5279" spans="1:8" x14ac:dyDescent="0.25">
      <c r="A5279" s="2">
        <v>44643</v>
      </c>
      <c r="B5279" s="1"/>
      <c r="C5279">
        <v>1490</v>
      </c>
      <c r="D5279" s="1" t="s">
        <v>174</v>
      </c>
      <c r="E5279" s="1" t="s">
        <v>5</v>
      </c>
      <c r="F5279">
        <v>13</v>
      </c>
      <c r="G5279" s="1" t="str">
        <f>Ocupacao_DW[[#This Row],[data]]&amp;Ocupacao_DW[[#This Row],[profissional_id]]&amp;Ocupacao_DW[[#This Row],[local_id]]</f>
        <v>44643149013</v>
      </c>
      <c r="H5279" s="1">
        <f>_xlfn.XLOOKUP(Ocupacao_DW[[#This Row],[Concat]],Vagas!$H:$H,Vagas!$D:$D,"",0)</f>
        <v>0</v>
      </c>
    </row>
    <row r="5280" spans="1:8" x14ac:dyDescent="0.25">
      <c r="A5280" s="2">
        <v>44657</v>
      </c>
      <c r="B5280" s="1"/>
      <c r="C5280">
        <v>67</v>
      </c>
      <c r="D5280" s="1" t="s">
        <v>172</v>
      </c>
      <c r="E5280" s="1" t="s">
        <v>6</v>
      </c>
      <c r="F5280">
        <v>8</v>
      </c>
      <c r="G5280" s="1" t="str">
        <f>Ocupacao_DW[[#This Row],[data]]&amp;Ocupacao_DW[[#This Row],[profissional_id]]&amp;Ocupacao_DW[[#This Row],[local_id]]</f>
        <v>44657678</v>
      </c>
      <c r="H5280" s="1">
        <f>_xlfn.XLOOKUP(Ocupacao_DW[[#This Row],[Concat]],Vagas!$H:$H,Vagas!$D:$D,"",0)</f>
        <v>0</v>
      </c>
    </row>
    <row r="5281" spans="1:8" x14ac:dyDescent="0.25">
      <c r="A5281" s="2">
        <v>44642</v>
      </c>
      <c r="B5281" s="1"/>
      <c r="C5281">
        <v>14237</v>
      </c>
      <c r="D5281" s="1" t="s">
        <v>186</v>
      </c>
      <c r="E5281" s="1" t="s">
        <v>4</v>
      </c>
      <c r="F5281">
        <v>47</v>
      </c>
      <c r="G5281" s="1" t="str">
        <f>Ocupacao_DW[[#This Row],[data]]&amp;Ocupacao_DW[[#This Row],[profissional_id]]&amp;Ocupacao_DW[[#This Row],[local_id]]</f>
        <v>446421423747</v>
      </c>
      <c r="H5281" s="1">
        <f>_xlfn.XLOOKUP(Ocupacao_DW[[#This Row],[Concat]],Vagas!$H:$H,Vagas!$D:$D,"",0)</f>
        <v>0</v>
      </c>
    </row>
    <row r="5282" spans="1:8" x14ac:dyDescent="0.25">
      <c r="A5282" s="2">
        <v>44643</v>
      </c>
      <c r="B5282" s="1"/>
      <c r="C5282">
        <v>74</v>
      </c>
      <c r="D5282" s="1" t="s">
        <v>182</v>
      </c>
      <c r="E5282" s="1" t="s">
        <v>6</v>
      </c>
      <c r="F5282">
        <v>7</v>
      </c>
      <c r="G5282" s="1" t="str">
        <f>Ocupacao_DW[[#This Row],[data]]&amp;Ocupacao_DW[[#This Row],[profissional_id]]&amp;Ocupacao_DW[[#This Row],[local_id]]</f>
        <v>44643747</v>
      </c>
      <c r="H5282" s="1">
        <f>_xlfn.XLOOKUP(Ocupacao_DW[[#This Row],[Concat]],Vagas!$H:$H,Vagas!$D:$D,"",0)</f>
        <v>0</v>
      </c>
    </row>
    <row r="5283" spans="1:8" x14ac:dyDescent="0.25">
      <c r="A5283" s="2">
        <v>44641</v>
      </c>
      <c r="B5283" s="1"/>
      <c r="C5283">
        <v>70</v>
      </c>
      <c r="D5283" s="1" t="s">
        <v>187</v>
      </c>
      <c r="E5283" s="1" t="s">
        <v>5</v>
      </c>
      <c r="F5283">
        <v>13</v>
      </c>
      <c r="G5283" s="1" t="str">
        <f>Ocupacao_DW[[#This Row],[data]]&amp;Ocupacao_DW[[#This Row],[profissional_id]]&amp;Ocupacao_DW[[#This Row],[local_id]]</f>
        <v>446417013</v>
      </c>
      <c r="H5283" s="1">
        <f>_xlfn.XLOOKUP(Ocupacao_DW[[#This Row],[Concat]],Vagas!$H:$H,Vagas!$D:$D,"",0)</f>
        <v>0</v>
      </c>
    </row>
    <row r="5284" spans="1:8" x14ac:dyDescent="0.25">
      <c r="A5284" s="2">
        <v>44635</v>
      </c>
      <c r="B5284" s="1"/>
      <c r="C5284">
        <v>4814</v>
      </c>
      <c r="D5284" s="1" t="s">
        <v>189</v>
      </c>
      <c r="E5284" s="1" t="s">
        <v>5</v>
      </c>
      <c r="F5284">
        <v>17</v>
      </c>
      <c r="G5284" s="1" t="str">
        <f>Ocupacao_DW[[#This Row],[data]]&amp;Ocupacao_DW[[#This Row],[profissional_id]]&amp;Ocupacao_DW[[#This Row],[local_id]]</f>
        <v>44635481417</v>
      </c>
      <c r="H5284" s="1">
        <f>_xlfn.XLOOKUP(Ocupacao_DW[[#This Row],[Concat]],Vagas!$H:$H,Vagas!$D:$D,"",0)</f>
        <v>0</v>
      </c>
    </row>
    <row r="5285" spans="1:8" x14ac:dyDescent="0.25">
      <c r="A5285" s="2">
        <v>44650</v>
      </c>
      <c r="B5285" s="1"/>
      <c r="C5285">
        <v>1490</v>
      </c>
      <c r="D5285" s="1" t="s">
        <v>174</v>
      </c>
      <c r="E5285" s="1" t="s">
        <v>5</v>
      </c>
      <c r="F5285">
        <v>13</v>
      </c>
      <c r="G5285" s="1" t="str">
        <f>Ocupacao_DW[[#This Row],[data]]&amp;Ocupacao_DW[[#This Row],[profissional_id]]&amp;Ocupacao_DW[[#This Row],[local_id]]</f>
        <v>44650149013</v>
      </c>
      <c r="H5285" s="1">
        <f>_xlfn.XLOOKUP(Ocupacao_DW[[#This Row],[Concat]],Vagas!$H:$H,Vagas!$D:$D,"",0)</f>
        <v>0</v>
      </c>
    </row>
    <row r="5286" spans="1:8" x14ac:dyDescent="0.25">
      <c r="A5286" s="2">
        <v>44650</v>
      </c>
      <c r="B5286" s="1"/>
      <c r="C5286">
        <v>1490</v>
      </c>
      <c r="D5286" s="1" t="s">
        <v>174</v>
      </c>
      <c r="E5286" s="1" t="s">
        <v>5</v>
      </c>
      <c r="F5286">
        <v>13</v>
      </c>
      <c r="G5286" s="1" t="str">
        <f>Ocupacao_DW[[#This Row],[data]]&amp;Ocupacao_DW[[#This Row],[profissional_id]]&amp;Ocupacao_DW[[#This Row],[local_id]]</f>
        <v>44650149013</v>
      </c>
      <c r="H5286" s="1">
        <f>_xlfn.XLOOKUP(Ocupacao_DW[[#This Row],[Concat]],Vagas!$H:$H,Vagas!$D:$D,"",0)</f>
        <v>0</v>
      </c>
    </row>
    <row r="5287" spans="1:8" x14ac:dyDescent="0.25">
      <c r="A5287" s="2">
        <v>44650</v>
      </c>
      <c r="B5287" s="1"/>
      <c r="C5287">
        <v>12825</v>
      </c>
      <c r="D5287" s="1" t="s">
        <v>177</v>
      </c>
      <c r="E5287" s="1"/>
      <c r="F5287">
        <v>0</v>
      </c>
      <c r="G5287" s="1" t="str">
        <f>Ocupacao_DW[[#This Row],[data]]&amp;Ocupacao_DW[[#This Row],[profissional_id]]&amp;Ocupacao_DW[[#This Row],[local_id]]</f>
        <v>44650128250</v>
      </c>
      <c r="H5287" s="1" t="str">
        <f>_xlfn.XLOOKUP(Ocupacao_DW[[#This Row],[Concat]],Vagas!$H:$H,Vagas!$D:$D,"",0)</f>
        <v/>
      </c>
    </row>
    <row r="5288" spans="1:8" x14ac:dyDescent="0.25">
      <c r="A5288" s="2">
        <v>44644</v>
      </c>
      <c r="B5288" s="1"/>
      <c r="C5288">
        <v>12582</v>
      </c>
      <c r="D5288" s="1" t="s">
        <v>190</v>
      </c>
      <c r="E5288" s="1" t="s">
        <v>6</v>
      </c>
      <c r="F5288">
        <v>6</v>
      </c>
      <c r="G5288" s="1" t="str">
        <f>Ocupacao_DW[[#This Row],[data]]&amp;Ocupacao_DW[[#This Row],[profissional_id]]&amp;Ocupacao_DW[[#This Row],[local_id]]</f>
        <v>44644125826</v>
      </c>
      <c r="H5288" s="1">
        <f>_xlfn.XLOOKUP(Ocupacao_DW[[#This Row],[Concat]],Vagas!$H:$H,Vagas!$D:$D,"",0)</f>
        <v>0</v>
      </c>
    </row>
    <row r="5289" spans="1:8" x14ac:dyDescent="0.25">
      <c r="A5289" s="2">
        <v>44657</v>
      </c>
      <c r="B5289" s="1"/>
      <c r="C5289">
        <v>12825</v>
      </c>
      <c r="D5289" s="1" t="s">
        <v>177</v>
      </c>
      <c r="E5289" s="1"/>
      <c r="F5289">
        <v>0</v>
      </c>
      <c r="G5289" s="1" t="str">
        <f>Ocupacao_DW[[#This Row],[data]]&amp;Ocupacao_DW[[#This Row],[profissional_id]]&amp;Ocupacao_DW[[#This Row],[local_id]]</f>
        <v>44657128250</v>
      </c>
      <c r="H5289" s="1" t="str">
        <f>_xlfn.XLOOKUP(Ocupacao_DW[[#This Row],[Concat]],Vagas!$H:$H,Vagas!$D:$D,"",0)</f>
        <v/>
      </c>
    </row>
    <row r="5290" spans="1:8" x14ac:dyDescent="0.25">
      <c r="A5290" s="2">
        <v>44640</v>
      </c>
      <c r="B5290" s="1"/>
      <c r="C5290">
        <v>4887</v>
      </c>
      <c r="D5290" s="1" t="s">
        <v>168</v>
      </c>
      <c r="E5290" s="1" t="s">
        <v>167</v>
      </c>
      <c r="F5290">
        <v>340</v>
      </c>
      <c r="G5290" s="1" t="str">
        <f>Ocupacao_DW[[#This Row],[data]]&amp;Ocupacao_DW[[#This Row],[profissional_id]]&amp;Ocupacao_DW[[#This Row],[local_id]]</f>
        <v>446404887340</v>
      </c>
      <c r="H5290" s="1">
        <f>_xlfn.XLOOKUP(Ocupacao_DW[[#This Row],[Concat]],Vagas!$H:$H,Vagas!$D:$D,"",0)</f>
        <v>0</v>
      </c>
    </row>
    <row r="5291" spans="1:8" x14ac:dyDescent="0.25">
      <c r="A5291" s="2">
        <v>44657</v>
      </c>
      <c r="B5291" s="1"/>
      <c r="C5291">
        <v>12825</v>
      </c>
      <c r="D5291" s="1" t="s">
        <v>177</v>
      </c>
      <c r="E5291" s="1"/>
      <c r="F5291">
        <v>0</v>
      </c>
      <c r="G5291" s="1" t="str">
        <f>Ocupacao_DW[[#This Row],[data]]&amp;Ocupacao_DW[[#This Row],[profissional_id]]&amp;Ocupacao_DW[[#This Row],[local_id]]</f>
        <v>44657128250</v>
      </c>
      <c r="H5291" s="1" t="str">
        <f>_xlfn.XLOOKUP(Ocupacao_DW[[#This Row],[Concat]],Vagas!$H:$H,Vagas!$D:$D,"",0)</f>
        <v/>
      </c>
    </row>
    <row r="5292" spans="1:8" x14ac:dyDescent="0.25">
      <c r="A5292" s="2">
        <v>44638</v>
      </c>
      <c r="B5292" s="1" t="s">
        <v>49</v>
      </c>
      <c r="C5292">
        <v>6430</v>
      </c>
      <c r="D5292" s="1" t="s">
        <v>188</v>
      </c>
      <c r="E5292" s="1" t="s">
        <v>4</v>
      </c>
      <c r="F5292">
        <v>42</v>
      </c>
      <c r="G5292" s="1" t="str">
        <f>Ocupacao_DW[[#This Row],[data]]&amp;Ocupacao_DW[[#This Row],[profissional_id]]&amp;Ocupacao_DW[[#This Row],[local_id]]</f>
        <v>44638643042</v>
      </c>
      <c r="H5292" s="1">
        <f>_xlfn.XLOOKUP(Ocupacao_DW[[#This Row],[Concat]],Vagas!$H:$H,Vagas!$D:$D,"",0)</f>
        <v>0</v>
      </c>
    </row>
    <row r="5293" spans="1:8" x14ac:dyDescent="0.25">
      <c r="A5293" s="2">
        <v>44645</v>
      </c>
      <c r="B5293" s="1" t="s">
        <v>49</v>
      </c>
      <c r="C5293">
        <v>6430</v>
      </c>
      <c r="D5293" s="1" t="s">
        <v>188</v>
      </c>
      <c r="E5293" s="1" t="s">
        <v>4</v>
      </c>
      <c r="F5293">
        <v>42</v>
      </c>
      <c r="G5293" s="1" t="str">
        <f>Ocupacao_DW[[#This Row],[data]]&amp;Ocupacao_DW[[#This Row],[profissional_id]]&amp;Ocupacao_DW[[#This Row],[local_id]]</f>
        <v>44645643042</v>
      </c>
      <c r="H5293" s="1">
        <f>_xlfn.XLOOKUP(Ocupacao_DW[[#This Row],[Concat]],Vagas!$H:$H,Vagas!$D:$D,"",0)</f>
        <v>0</v>
      </c>
    </row>
    <row r="5294" spans="1:8" x14ac:dyDescent="0.25">
      <c r="A5294" s="2">
        <v>44637</v>
      </c>
      <c r="B5294" s="1" t="s">
        <v>52</v>
      </c>
      <c r="C5294">
        <v>9217</v>
      </c>
      <c r="D5294" s="1" t="s">
        <v>191</v>
      </c>
      <c r="E5294" s="1" t="s">
        <v>6</v>
      </c>
      <c r="F5294">
        <v>6</v>
      </c>
      <c r="G5294" s="1" t="str">
        <f>Ocupacao_DW[[#This Row],[data]]&amp;Ocupacao_DW[[#This Row],[profissional_id]]&amp;Ocupacao_DW[[#This Row],[local_id]]</f>
        <v>4463792176</v>
      </c>
      <c r="H5294" s="1">
        <f>_xlfn.XLOOKUP(Ocupacao_DW[[#This Row],[Concat]],Vagas!$H:$H,Vagas!$D:$D,"",0)</f>
        <v>0</v>
      </c>
    </row>
    <row r="5295" spans="1:8" x14ac:dyDescent="0.25">
      <c r="A5295" s="2">
        <v>44636</v>
      </c>
      <c r="B5295" s="1"/>
      <c r="C5295">
        <v>12679</v>
      </c>
      <c r="D5295" s="1" t="s">
        <v>192</v>
      </c>
      <c r="E5295" s="1" t="s">
        <v>5</v>
      </c>
      <c r="F5295">
        <v>11</v>
      </c>
      <c r="G5295" s="1" t="str">
        <f>Ocupacao_DW[[#This Row],[data]]&amp;Ocupacao_DW[[#This Row],[profissional_id]]&amp;Ocupacao_DW[[#This Row],[local_id]]</f>
        <v>446361267911</v>
      </c>
      <c r="H5295" s="1">
        <f>_xlfn.XLOOKUP(Ocupacao_DW[[#This Row],[Concat]],Vagas!$H:$H,Vagas!$D:$D,"",0)</f>
        <v>0</v>
      </c>
    </row>
    <row r="5296" spans="1:8" x14ac:dyDescent="0.25">
      <c r="A5296" s="2">
        <v>44636</v>
      </c>
      <c r="B5296" s="1"/>
      <c r="C5296">
        <v>12679</v>
      </c>
      <c r="D5296" s="1" t="s">
        <v>192</v>
      </c>
      <c r="E5296" s="1" t="s">
        <v>5</v>
      </c>
      <c r="F5296">
        <v>11</v>
      </c>
      <c r="G5296" s="1" t="str">
        <f>Ocupacao_DW[[#This Row],[data]]&amp;Ocupacao_DW[[#This Row],[profissional_id]]&amp;Ocupacao_DW[[#This Row],[local_id]]</f>
        <v>446361267911</v>
      </c>
      <c r="H5296" s="1">
        <f>_xlfn.XLOOKUP(Ocupacao_DW[[#This Row],[Concat]],Vagas!$H:$H,Vagas!$D:$D,"",0)</f>
        <v>0</v>
      </c>
    </row>
    <row r="5297" spans="1:8" x14ac:dyDescent="0.25">
      <c r="A5297" s="2">
        <v>44635</v>
      </c>
      <c r="B5297" s="1" t="s">
        <v>55</v>
      </c>
      <c r="C5297">
        <v>73</v>
      </c>
      <c r="D5297" s="1" t="s">
        <v>171</v>
      </c>
      <c r="E5297" s="1" t="s">
        <v>6</v>
      </c>
      <c r="F5297">
        <v>5</v>
      </c>
      <c r="G5297" s="1" t="str">
        <f>Ocupacao_DW[[#This Row],[data]]&amp;Ocupacao_DW[[#This Row],[profissional_id]]&amp;Ocupacao_DW[[#This Row],[local_id]]</f>
        <v>44635735</v>
      </c>
      <c r="H5297" s="1">
        <f>_xlfn.XLOOKUP(Ocupacao_DW[[#This Row],[Concat]],Vagas!$H:$H,Vagas!$D:$D,"",0)</f>
        <v>0</v>
      </c>
    </row>
    <row r="5298" spans="1:8" x14ac:dyDescent="0.25">
      <c r="A5298" s="2">
        <v>44635</v>
      </c>
      <c r="B5298" s="1"/>
      <c r="C5298">
        <v>73</v>
      </c>
      <c r="D5298" s="1" t="s">
        <v>171</v>
      </c>
      <c r="E5298" s="1" t="s">
        <v>6</v>
      </c>
      <c r="F5298">
        <v>5</v>
      </c>
      <c r="G5298" s="1" t="str">
        <f>Ocupacao_DW[[#This Row],[data]]&amp;Ocupacao_DW[[#This Row],[profissional_id]]&amp;Ocupacao_DW[[#This Row],[local_id]]</f>
        <v>44635735</v>
      </c>
      <c r="H5298" s="1">
        <f>_xlfn.XLOOKUP(Ocupacao_DW[[#This Row],[Concat]],Vagas!$H:$H,Vagas!$D:$D,"",0)</f>
        <v>0</v>
      </c>
    </row>
    <row r="5299" spans="1:8" x14ac:dyDescent="0.25">
      <c r="A5299" s="2">
        <v>44636</v>
      </c>
      <c r="B5299" s="1" t="s">
        <v>49</v>
      </c>
      <c r="C5299">
        <v>6430</v>
      </c>
      <c r="D5299" s="1" t="s">
        <v>188</v>
      </c>
      <c r="E5299" s="1" t="s">
        <v>4</v>
      </c>
      <c r="F5299">
        <v>42</v>
      </c>
      <c r="G5299" s="1" t="str">
        <f>Ocupacao_DW[[#This Row],[data]]&amp;Ocupacao_DW[[#This Row],[profissional_id]]&amp;Ocupacao_DW[[#This Row],[local_id]]</f>
        <v>44636643042</v>
      </c>
      <c r="H5299" s="1">
        <f>_xlfn.XLOOKUP(Ocupacao_DW[[#This Row],[Concat]],Vagas!$H:$H,Vagas!$D:$D,"",0)</f>
        <v>0</v>
      </c>
    </row>
    <row r="5300" spans="1:8" x14ac:dyDescent="0.25">
      <c r="A5300" s="2">
        <v>44635</v>
      </c>
      <c r="B5300" s="1"/>
      <c r="C5300">
        <v>110</v>
      </c>
      <c r="D5300" s="1" t="s">
        <v>193</v>
      </c>
      <c r="E5300" s="1" t="s">
        <v>4</v>
      </c>
      <c r="F5300">
        <v>334</v>
      </c>
      <c r="G5300" s="1" t="str">
        <f>Ocupacao_DW[[#This Row],[data]]&amp;Ocupacao_DW[[#This Row],[profissional_id]]&amp;Ocupacao_DW[[#This Row],[local_id]]</f>
        <v>44635110334</v>
      </c>
      <c r="H5300" s="1">
        <f>_xlfn.XLOOKUP(Ocupacao_DW[[#This Row],[Concat]],Vagas!$H:$H,Vagas!$D:$D,"",0)</f>
        <v>0</v>
      </c>
    </row>
    <row r="5301" spans="1:8" x14ac:dyDescent="0.25">
      <c r="A5301" s="2">
        <v>44650</v>
      </c>
      <c r="B5301" s="1"/>
      <c r="C5301">
        <v>1490</v>
      </c>
      <c r="D5301" s="1" t="s">
        <v>174</v>
      </c>
      <c r="E5301" s="1" t="s">
        <v>5</v>
      </c>
      <c r="F5301">
        <v>13</v>
      </c>
      <c r="G5301" s="1" t="str">
        <f>Ocupacao_DW[[#This Row],[data]]&amp;Ocupacao_DW[[#This Row],[profissional_id]]&amp;Ocupacao_DW[[#This Row],[local_id]]</f>
        <v>44650149013</v>
      </c>
      <c r="H5301" s="1">
        <f>_xlfn.XLOOKUP(Ocupacao_DW[[#This Row],[Concat]],Vagas!$H:$H,Vagas!$D:$D,"",0)</f>
        <v>0</v>
      </c>
    </row>
    <row r="5302" spans="1:8" x14ac:dyDescent="0.25">
      <c r="A5302" s="2">
        <v>44650</v>
      </c>
      <c r="B5302" s="1"/>
      <c r="C5302">
        <v>1490</v>
      </c>
      <c r="D5302" s="1" t="s">
        <v>174</v>
      </c>
      <c r="E5302" s="1" t="s">
        <v>5</v>
      </c>
      <c r="F5302">
        <v>13</v>
      </c>
      <c r="G5302" s="1" t="str">
        <f>Ocupacao_DW[[#This Row],[data]]&amp;Ocupacao_DW[[#This Row],[profissional_id]]&amp;Ocupacao_DW[[#This Row],[local_id]]</f>
        <v>44650149013</v>
      </c>
      <c r="H5302" s="1">
        <f>_xlfn.XLOOKUP(Ocupacao_DW[[#This Row],[Concat]],Vagas!$H:$H,Vagas!$D:$D,"",0)</f>
        <v>0</v>
      </c>
    </row>
    <row r="5303" spans="1:8" x14ac:dyDescent="0.25">
      <c r="A5303" s="2">
        <v>44641</v>
      </c>
      <c r="B5303" s="1"/>
      <c r="C5303">
        <v>81</v>
      </c>
      <c r="D5303" s="1" t="s">
        <v>170</v>
      </c>
      <c r="E5303" s="1" t="s">
        <v>4</v>
      </c>
      <c r="F5303">
        <v>41</v>
      </c>
      <c r="G5303" s="1" t="str">
        <f>Ocupacao_DW[[#This Row],[data]]&amp;Ocupacao_DW[[#This Row],[profissional_id]]&amp;Ocupacao_DW[[#This Row],[local_id]]</f>
        <v>446418141</v>
      </c>
      <c r="H5303" s="1">
        <f>_xlfn.XLOOKUP(Ocupacao_DW[[#This Row],[Concat]],Vagas!$H:$H,Vagas!$D:$D,"",0)</f>
        <v>0</v>
      </c>
    </row>
    <row r="5304" spans="1:8" x14ac:dyDescent="0.25">
      <c r="A5304" s="2">
        <v>44637</v>
      </c>
      <c r="B5304" s="1"/>
      <c r="C5304">
        <v>5822</v>
      </c>
      <c r="D5304" s="1" t="s">
        <v>194</v>
      </c>
      <c r="E5304" s="1" t="s">
        <v>5</v>
      </c>
      <c r="F5304">
        <v>11</v>
      </c>
      <c r="G5304" s="1" t="str">
        <f>Ocupacao_DW[[#This Row],[data]]&amp;Ocupacao_DW[[#This Row],[profissional_id]]&amp;Ocupacao_DW[[#This Row],[local_id]]</f>
        <v>44637582211</v>
      </c>
      <c r="H5304" s="1">
        <f>_xlfn.XLOOKUP(Ocupacao_DW[[#This Row],[Concat]],Vagas!$H:$H,Vagas!$D:$D,"",0)</f>
        <v>0</v>
      </c>
    </row>
    <row r="5305" spans="1:8" x14ac:dyDescent="0.25">
      <c r="A5305" s="2">
        <v>44645</v>
      </c>
      <c r="B5305" s="1"/>
      <c r="C5305">
        <v>2984</v>
      </c>
      <c r="D5305" s="1" t="s">
        <v>185</v>
      </c>
      <c r="E5305" s="1" t="s">
        <v>6</v>
      </c>
      <c r="F5305">
        <v>7</v>
      </c>
      <c r="G5305" s="1" t="str">
        <f>Ocupacao_DW[[#This Row],[data]]&amp;Ocupacao_DW[[#This Row],[profissional_id]]&amp;Ocupacao_DW[[#This Row],[local_id]]</f>
        <v>4464529847</v>
      </c>
      <c r="H5305" s="1">
        <f>_xlfn.XLOOKUP(Ocupacao_DW[[#This Row],[Concat]],Vagas!$H:$H,Vagas!$D:$D,"",0)</f>
        <v>0</v>
      </c>
    </row>
    <row r="5306" spans="1:8" x14ac:dyDescent="0.25">
      <c r="A5306" s="2">
        <v>44655</v>
      </c>
      <c r="B5306" s="1"/>
      <c r="C5306">
        <v>13249</v>
      </c>
      <c r="D5306" s="1" t="s">
        <v>178</v>
      </c>
      <c r="E5306" s="1" t="s">
        <v>4</v>
      </c>
      <c r="F5306">
        <v>45</v>
      </c>
      <c r="G5306" s="1" t="str">
        <f>Ocupacao_DW[[#This Row],[data]]&amp;Ocupacao_DW[[#This Row],[profissional_id]]&amp;Ocupacao_DW[[#This Row],[local_id]]</f>
        <v>446551324945</v>
      </c>
      <c r="H5306" s="1" t="str">
        <f>_xlfn.XLOOKUP(Ocupacao_DW[[#This Row],[Concat]],Vagas!$H:$H,Vagas!$D:$D,"",0)</f>
        <v/>
      </c>
    </row>
    <row r="5307" spans="1:8" x14ac:dyDescent="0.25">
      <c r="A5307" s="2">
        <v>44638</v>
      </c>
      <c r="B5307" s="1"/>
      <c r="C5307">
        <v>86</v>
      </c>
      <c r="D5307" s="1" t="s">
        <v>175</v>
      </c>
      <c r="E5307" s="1" t="s">
        <v>5</v>
      </c>
      <c r="F5307">
        <v>349</v>
      </c>
      <c r="G5307" s="1" t="str">
        <f>Ocupacao_DW[[#This Row],[data]]&amp;Ocupacao_DW[[#This Row],[profissional_id]]&amp;Ocupacao_DW[[#This Row],[local_id]]</f>
        <v>4463886349</v>
      </c>
      <c r="H5307" s="1">
        <f>_xlfn.XLOOKUP(Ocupacao_DW[[#This Row],[Concat]],Vagas!$H:$H,Vagas!$D:$D,"",0)</f>
        <v>0</v>
      </c>
    </row>
    <row r="5308" spans="1:8" x14ac:dyDescent="0.25">
      <c r="A5308" s="2">
        <v>44651</v>
      </c>
      <c r="B5308" s="1"/>
      <c r="C5308">
        <v>1490</v>
      </c>
      <c r="D5308" s="1" t="s">
        <v>174</v>
      </c>
      <c r="E5308" s="1" t="s">
        <v>5</v>
      </c>
      <c r="F5308">
        <v>12</v>
      </c>
      <c r="G5308" s="1" t="str">
        <f>Ocupacao_DW[[#This Row],[data]]&amp;Ocupacao_DW[[#This Row],[profissional_id]]&amp;Ocupacao_DW[[#This Row],[local_id]]</f>
        <v>44651149012</v>
      </c>
      <c r="H5308" s="1">
        <f>_xlfn.XLOOKUP(Ocupacao_DW[[#This Row],[Concat]],Vagas!$H:$H,Vagas!$D:$D,"",0)</f>
        <v>0</v>
      </c>
    </row>
    <row r="5309" spans="1:8" x14ac:dyDescent="0.25">
      <c r="A5309" s="2">
        <v>44635</v>
      </c>
      <c r="B5309" s="1"/>
      <c r="C5309">
        <v>73</v>
      </c>
      <c r="D5309" s="1" t="s">
        <v>171</v>
      </c>
      <c r="E5309" s="1" t="s">
        <v>6</v>
      </c>
      <c r="F5309">
        <v>5</v>
      </c>
      <c r="G5309" s="1" t="str">
        <f>Ocupacao_DW[[#This Row],[data]]&amp;Ocupacao_DW[[#This Row],[profissional_id]]&amp;Ocupacao_DW[[#This Row],[local_id]]</f>
        <v>44635735</v>
      </c>
      <c r="H5309" s="1">
        <f>_xlfn.XLOOKUP(Ocupacao_DW[[#This Row],[Concat]],Vagas!$H:$H,Vagas!$D:$D,"",0)</f>
        <v>0</v>
      </c>
    </row>
    <row r="5310" spans="1:8" x14ac:dyDescent="0.25">
      <c r="A5310" s="2">
        <v>44642</v>
      </c>
      <c r="B5310" s="1"/>
      <c r="C5310">
        <v>12913</v>
      </c>
      <c r="D5310" s="1" t="s">
        <v>196</v>
      </c>
      <c r="E5310" s="1"/>
      <c r="F5310">
        <v>0</v>
      </c>
      <c r="G5310" s="1" t="str">
        <f>Ocupacao_DW[[#This Row],[data]]&amp;Ocupacao_DW[[#This Row],[profissional_id]]&amp;Ocupacao_DW[[#This Row],[local_id]]</f>
        <v>44642129130</v>
      </c>
      <c r="H5310" s="1" t="str">
        <f>_xlfn.XLOOKUP(Ocupacao_DW[[#This Row],[Concat]],Vagas!$H:$H,Vagas!$D:$D,"",0)</f>
        <v/>
      </c>
    </row>
    <row r="5311" spans="1:8" x14ac:dyDescent="0.25">
      <c r="A5311" s="2">
        <v>44636</v>
      </c>
      <c r="B5311" s="1" t="s">
        <v>49</v>
      </c>
      <c r="C5311">
        <v>81</v>
      </c>
      <c r="D5311" s="1" t="s">
        <v>170</v>
      </c>
      <c r="E5311" s="1" t="s">
        <v>4</v>
      </c>
      <c r="F5311">
        <v>41</v>
      </c>
      <c r="G5311" s="1" t="str">
        <f>Ocupacao_DW[[#This Row],[data]]&amp;Ocupacao_DW[[#This Row],[profissional_id]]&amp;Ocupacao_DW[[#This Row],[local_id]]</f>
        <v>446368141</v>
      </c>
      <c r="H5311" s="1">
        <f>_xlfn.XLOOKUP(Ocupacao_DW[[#This Row],[Concat]],Vagas!$H:$H,Vagas!$D:$D,"",0)</f>
        <v>0</v>
      </c>
    </row>
    <row r="5312" spans="1:8" x14ac:dyDescent="0.25">
      <c r="A5312" s="2">
        <v>44641</v>
      </c>
      <c r="B5312" s="1"/>
      <c r="C5312">
        <v>17878</v>
      </c>
      <c r="D5312" s="1" t="s">
        <v>183</v>
      </c>
      <c r="E5312" s="1" t="s">
        <v>4</v>
      </c>
      <c r="F5312">
        <v>47</v>
      </c>
      <c r="G5312" s="1" t="str">
        <f>Ocupacao_DW[[#This Row],[data]]&amp;Ocupacao_DW[[#This Row],[profissional_id]]&amp;Ocupacao_DW[[#This Row],[local_id]]</f>
        <v>446411787847</v>
      </c>
      <c r="H5312" s="1">
        <f>_xlfn.XLOOKUP(Ocupacao_DW[[#This Row],[Concat]],Vagas!$H:$H,Vagas!$D:$D,"",0)</f>
        <v>0</v>
      </c>
    </row>
    <row r="5313" spans="1:8" x14ac:dyDescent="0.25">
      <c r="A5313" s="2">
        <v>44635</v>
      </c>
      <c r="B5313" s="1"/>
      <c r="C5313">
        <v>73</v>
      </c>
      <c r="D5313" s="1" t="s">
        <v>171</v>
      </c>
      <c r="E5313" s="1" t="s">
        <v>6</v>
      </c>
      <c r="F5313">
        <v>5</v>
      </c>
      <c r="G5313" s="1" t="str">
        <f>Ocupacao_DW[[#This Row],[data]]&amp;Ocupacao_DW[[#This Row],[profissional_id]]&amp;Ocupacao_DW[[#This Row],[local_id]]</f>
        <v>44635735</v>
      </c>
      <c r="H5313" s="1">
        <f>_xlfn.XLOOKUP(Ocupacao_DW[[#This Row],[Concat]],Vagas!$H:$H,Vagas!$D:$D,"",0)</f>
        <v>0</v>
      </c>
    </row>
    <row r="5314" spans="1:8" x14ac:dyDescent="0.25">
      <c r="A5314" s="2">
        <v>44636</v>
      </c>
      <c r="B5314" s="1"/>
      <c r="C5314">
        <v>2396</v>
      </c>
      <c r="D5314" s="1" t="s">
        <v>197</v>
      </c>
      <c r="E5314" s="1"/>
      <c r="F5314">
        <v>0</v>
      </c>
      <c r="G5314" s="1" t="str">
        <f>Ocupacao_DW[[#This Row],[data]]&amp;Ocupacao_DW[[#This Row],[profissional_id]]&amp;Ocupacao_DW[[#This Row],[local_id]]</f>
        <v>4463623960</v>
      </c>
      <c r="H5314" s="1" t="str">
        <f>_xlfn.XLOOKUP(Ocupacao_DW[[#This Row],[Concat]],Vagas!$H:$H,Vagas!$D:$D,"",0)</f>
        <v/>
      </c>
    </row>
    <row r="5315" spans="1:8" x14ac:dyDescent="0.25">
      <c r="A5315" s="2">
        <v>44643</v>
      </c>
      <c r="B5315" s="1"/>
      <c r="C5315">
        <v>67</v>
      </c>
      <c r="D5315" s="1" t="s">
        <v>172</v>
      </c>
      <c r="E5315" s="1" t="s">
        <v>6</v>
      </c>
      <c r="F5315">
        <v>8</v>
      </c>
      <c r="G5315" s="1" t="str">
        <f>Ocupacao_DW[[#This Row],[data]]&amp;Ocupacao_DW[[#This Row],[profissional_id]]&amp;Ocupacao_DW[[#This Row],[local_id]]</f>
        <v>44643678</v>
      </c>
      <c r="H5315" s="1">
        <f>_xlfn.XLOOKUP(Ocupacao_DW[[#This Row],[Concat]],Vagas!$H:$H,Vagas!$D:$D,"",0)</f>
        <v>0</v>
      </c>
    </row>
    <row r="5316" spans="1:8" x14ac:dyDescent="0.25">
      <c r="A5316" s="2">
        <v>44645</v>
      </c>
      <c r="B5316" s="1" t="s">
        <v>43</v>
      </c>
      <c r="C5316">
        <v>57</v>
      </c>
      <c r="D5316" s="1" t="s">
        <v>169</v>
      </c>
      <c r="E5316" s="1" t="s">
        <v>6</v>
      </c>
      <c r="F5316">
        <v>2</v>
      </c>
      <c r="G5316" s="1" t="str">
        <f>Ocupacao_DW[[#This Row],[data]]&amp;Ocupacao_DW[[#This Row],[profissional_id]]&amp;Ocupacao_DW[[#This Row],[local_id]]</f>
        <v>44645572</v>
      </c>
      <c r="H5316" s="1">
        <f>_xlfn.XLOOKUP(Ocupacao_DW[[#This Row],[Concat]],Vagas!$H:$H,Vagas!$D:$D,"",0)</f>
        <v>21</v>
      </c>
    </row>
    <row r="5317" spans="1:8" x14ac:dyDescent="0.25">
      <c r="A5317" s="2">
        <v>44642</v>
      </c>
      <c r="B5317" s="1"/>
      <c r="C5317">
        <v>110</v>
      </c>
      <c r="D5317" s="1" t="s">
        <v>193</v>
      </c>
      <c r="E5317" s="1" t="s">
        <v>4</v>
      </c>
      <c r="F5317">
        <v>334</v>
      </c>
      <c r="G5317" s="1" t="str">
        <f>Ocupacao_DW[[#This Row],[data]]&amp;Ocupacao_DW[[#This Row],[profissional_id]]&amp;Ocupacao_DW[[#This Row],[local_id]]</f>
        <v>44642110334</v>
      </c>
      <c r="H5317" s="1">
        <f>_xlfn.XLOOKUP(Ocupacao_DW[[#This Row],[Concat]],Vagas!$H:$H,Vagas!$D:$D,"",0)</f>
        <v>0</v>
      </c>
    </row>
    <row r="5318" spans="1:8" x14ac:dyDescent="0.25">
      <c r="A5318" s="2">
        <v>44636</v>
      </c>
      <c r="B5318" s="1" t="s">
        <v>70</v>
      </c>
      <c r="C5318">
        <v>12519</v>
      </c>
      <c r="D5318" s="1" t="s">
        <v>176</v>
      </c>
      <c r="E5318" s="1" t="s">
        <v>4</v>
      </c>
      <c r="F5318">
        <v>48</v>
      </c>
      <c r="G5318" s="1" t="str">
        <f>Ocupacao_DW[[#This Row],[data]]&amp;Ocupacao_DW[[#This Row],[profissional_id]]&amp;Ocupacao_DW[[#This Row],[local_id]]</f>
        <v>446361251948</v>
      </c>
      <c r="H5318" s="1">
        <f>_xlfn.XLOOKUP(Ocupacao_DW[[#This Row],[Concat]],Vagas!$H:$H,Vagas!$D:$D,"",0)</f>
        <v>0</v>
      </c>
    </row>
    <row r="5319" spans="1:8" x14ac:dyDescent="0.25">
      <c r="A5319" s="2">
        <v>44635</v>
      </c>
      <c r="B5319" s="1"/>
      <c r="C5319">
        <v>73</v>
      </c>
      <c r="D5319" s="1" t="s">
        <v>171</v>
      </c>
      <c r="E5319" s="1" t="s">
        <v>6</v>
      </c>
      <c r="F5319">
        <v>5</v>
      </c>
      <c r="G5319" s="1" t="str">
        <f>Ocupacao_DW[[#This Row],[data]]&amp;Ocupacao_DW[[#This Row],[profissional_id]]&amp;Ocupacao_DW[[#This Row],[local_id]]</f>
        <v>44635735</v>
      </c>
      <c r="H5319" s="1">
        <f>_xlfn.XLOOKUP(Ocupacao_DW[[#This Row],[Concat]],Vagas!$H:$H,Vagas!$D:$D,"",0)</f>
        <v>0</v>
      </c>
    </row>
    <row r="5320" spans="1:8" x14ac:dyDescent="0.25">
      <c r="A5320" s="2">
        <v>44636</v>
      </c>
      <c r="B5320" s="1"/>
      <c r="C5320">
        <v>73</v>
      </c>
      <c r="D5320" s="1" t="s">
        <v>171</v>
      </c>
      <c r="E5320" s="1" t="s">
        <v>6</v>
      </c>
      <c r="F5320">
        <v>5</v>
      </c>
      <c r="G5320" s="1" t="str">
        <f>Ocupacao_DW[[#This Row],[data]]&amp;Ocupacao_DW[[#This Row],[profissional_id]]&amp;Ocupacao_DW[[#This Row],[local_id]]</f>
        <v>44636735</v>
      </c>
      <c r="H5320" s="1">
        <f>_xlfn.XLOOKUP(Ocupacao_DW[[#This Row],[Concat]],Vagas!$H:$H,Vagas!$D:$D,"",0)</f>
        <v>0</v>
      </c>
    </row>
    <row r="5321" spans="1:8" x14ac:dyDescent="0.25">
      <c r="A5321" s="2">
        <v>44635</v>
      </c>
      <c r="B5321" s="1"/>
      <c r="C5321">
        <v>73</v>
      </c>
      <c r="D5321" s="1" t="s">
        <v>171</v>
      </c>
      <c r="E5321" s="1" t="s">
        <v>6</v>
      </c>
      <c r="F5321">
        <v>5</v>
      </c>
      <c r="G5321" s="1" t="str">
        <f>Ocupacao_DW[[#This Row],[data]]&amp;Ocupacao_DW[[#This Row],[profissional_id]]&amp;Ocupacao_DW[[#This Row],[local_id]]</f>
        <v>44635735</v>
      </c>
      <c r="H5321" s="1">
        <f>_xlfn.XLOOKUP(Ocupacao_DW[[#This Row],[Concat]],Vagas!$H:$H,Vagas!$D:$D,"",0)</f>
        <v>0</v>
      </c>
    </row>
    <row r="5322" spans="1:8" x14ac:dyDescent="0.25">
      <c r="A5322" s="2">
        <v>44636</v>
      </c>
      <c r="B5322" s="1" t="s">
        <v>70</v>
      </c>
      <c r="C5322">
        <v>12519</v>
      </c>
      <c r="D5322" s="1" t="s">
        <v>176</v>
      </c>
      <c r="E5322" s="1" t="s">
        <v>4</v>
      </c>
      <c r="F5322">
        <v>48</v>
      </c>
      <c r="G5322" s="1" t="str">
        <f>Ocupacao_DW[[#This Row],[data]]&amp;Ocupacao_DW[[#This Row],[profissional_id]]&amp;Ocupacao_DW[[#This Row],[local_id]]</f>
        <v>446361251948</v>
      </c>
      <c r="H5322" s="1">
        <f>_xlfn.XLOOKUP(Ocupacao_DW[[#This Row],[Concat]],Vagas!$H:$H,Vagas!$D:$D,"",0)</f>
        <v>0</v>
      </c>
    </row>
    <row r="5323" spans="1:8" x14ac:dyDescent="0.25">
      <c r="A5323" s="2">
        <v>44641</v>
      </c>
      <c r="B5323" s="1"/>
      <c r="C5323">
        <v>117</v>
      </c>
      <c r="D5323" s="1" t="s">
        <v>180</v>
      </c>
      <c r="E5323" s="1" t="s">
        <v>4</v>
      </c>
      <c r="F5323">
        <v>48</v>
      </c>
      <c r="G5323" s="1" t="str">
        <f>Ocupacao_DW[[#This Row],[data]]&amp;Ocupacao_DW[[#This Row],[profissional_id]]&amp;Ocupacao_DW[[#This Row],[local_id]]</f>
        <v>4464111748</v>
      </c>
      <c r="H5323" s="1">
        <f>_xlfn.XLOOKUP(Ocupacao_DW[[#This Row],[Concat]],Vagas!$H:$H,Vagas!$D:$D,"",0)</f>
        <v>0</v>
      </c>
    </row>
    <row r="5324" spans="1:8" x14ac:dyDescent="0.25">
      <c r="A5324" s="2">
        <v>44650</v>
      </c>
      <c r="B5324" s="1"/>
      <c r="C5324">
        <v>1490</v>
      </c>
      <c r="D5324" s="1" t="s">
        <v>174</v>
      </c>
      <c r="E5324" s="1" t="s">
        <v>5</v>
      </c>
      <c r="F5324">
        <v>13</v>
      </c>
      <c r="G5324" s="1" t="str">
        <f>Ocupacao_DW[[#This Row],[data]]&amp;Ocupacao_DW[[#This Row],[profissional_id]]&amp;Ocupacao_DW[[#This Row],[local_id]]</f>
        <v>44650149013</v>
      </c>
      <c r="H5324" s="1">
        <f>_xlfn.XLOOKUP(Ocupacao_DW[[#This Row],[Concat]],Vagas!$H:$H,Vagas!$D:$D,"",0)</f>
        <v>0</v>
      </c>
    </row>
    <row r="5325" spans="1:8" x14ac:dyDescent="0.25">
      <c r="A5325" s="2">
        <v>44648</v>
      </c>
      <c r="B5325" s="1"/>
      <c r="C5325">
        <v>117</v>
      </c>
      <c r="D5325" s="1" t="s">
        <v>180</v>
      </c>
      <c r="E5325" s="1" t="s">
        <v>4</v>
      </c>
      <c r="F5325">
        <v>48</v>
      </c>
      <c r="G5325" s="1" t="str">
        <f>Ocupacao_DW[[#This Row],[data]]&amp;Ocupacao_DW[[#This Row],[profissional_id]]&amp;Ocupacao_DW[[#This Row],[local_id]]</f>
        <v>4464811748</v>
      </c>
      <c r="H5325" s="1">
        <f>_xlfn.XLOOKUP(Ocupacao_DW[[#This Row],[Concat]],Vagas!$H:$H,Vagas!$D:$D,"",0)</f>
        <v>0</v>
      </c>
    </row>
    <row r="5326" spans="1:8" x14ac:dyDescent="0.25">
      <c r="A5326" s="2">
        <v>44657</v>
      </c>
      <c r="B5326" s="1"/>
      <c r="C5326">
        <v>1490</v>
      </c>
      <c r="D5326" s="1" t="s">
        <v>174</v>
      </c>
      <c r="E5326" s="1" t="s">
        <v>5</v>
      </c>
      <c r="F5326">
        <v>13</v>
      </c>
      <c r="G5326" s="1" t="str">
        <f>Ocupacao_DW[[#This Row],[data]]&amp;Ocupacao_DW[[#This Row],[profissional_id]]&amp;Ocupacao_DW[[#This Row],[local_id]]</f>
        <v>44657149013</v>
      </c>
      <c r="H5326" s="1">
        <f>_xlfn.XLOOKUP(Ocupacao_DW[[#This Row],[Concat]],Vagas!$H:$H,Vagas!$D:$D,"",0)</f>
        <v>0</v>
      </c>
    </row>
    <row r="5327" spans="1:8" x14ac:dyDescent="0.25">
      <c r="A5327" s="2">
        <v>44657</v>
      </c>
      <c r="B5327" s="1"/>
      <c r="C5327">
        <v>73</v>
      </c>
      <c r="D5327" s="1" t="s">
        <v>171</v>
      </c>
      <c r="E5327" s="1" t="s">
        <v>6</v>
      </c>
      <c r="F5327">
        <v>5</v>
      </c>
      <c r="G5327" s="1" t="str">
        <f>Ocupacao_DW[[#This Row],[data]]&amp;Ocupacao_DW[[#This Row],[profissional_id]]&amp;Ocupacao_DW[[#This Row],[local_id]]</f>
        <v>44657735</v>
      </c>
      <c r="H5327" s="1">
        <f>_xlfn.XLOOKUP(Ocupacao_DW[[#This Row],[Concat]],Vagas!$H:$H,Vagas!$D:$D,"",0)</f>
        <v>0</v>
      </c>
    </row>
    <row r="5328" spans="1:8" x14ac:dyDescent="0.25">
      <c r="A5328" s="2">
        <v>44639</v>
      </c>
      <c r="B5328" s="1" t="s">
        <v>62</v>
      </c>
      <c r="C5328">
        <v>4887</v>
      </c>
      <c r="D5328" s="1" t="s">
        <v>168</v>
      </c>
      <c r="E5328" s="1" t="s">
        <v>5</v>
      </c>
      <c r="F5328">
        <v>18</v>
      </c>
      <c r="G5328" s="1" t="str">
        <f>Ocupacao_DW[[#This Row],[data]]&amp;Ocupacao_DW[[#This Row],[profissional_id]]&amp;Ocupacao_DW[[#This Row],[local_id]]</f>
        <v>44639488718</v>
      </c>
      <c r="H5328" s="1">
        <f>_xlfn.XLOOKUP(Ocupacao_DW[[#This Row],[Concat]],Vagas!$H:$H,Vagas!$D:$D,"",0)</f>
        <v>0</v>
      </c>
    </row>
    <row r="5329" spans="1:8" x14ac:dyDescent="0.25">
      <c r="A5329" s="2">
        <v>44639</v>
      </c>
      <c r="B5329" s="1"/>
      <c r="C5329">
        <v>4887</v>
      </c>
      <c r="D5329" s="1" t="s">
        <v>168</v>
      </c>
      <c r="E5329" s="1" t="s">
        <v>5</v>
      </c>
      <c r="F5329">
        <v>18</v>
      </c>
      <c r="G5329" s="1" t="str">
        <f>Ocupacao_DW[[#This Row],[data]]&amp;Ocupacao_DW[[#This Row],[profissional_id]]&amp;Ocupacao_DW[[#This Row],[local_id]]</f>
        <v>44639488718</v>
      </c>
      <c r="H5329" s="1">
        <f>_xlfn.XLOOKUP(Ocupacao_DW[[#This Row],[Concat]],Vagas!$H:$H,Vagas!$D:$D,"",0)</f>
        <v>0</v>
      </c>
    </row>
    <row r="5330" spans="1:8" x14ac:dyDescent="0.25">
      <c r="A5330" s="2">
        <v>44651</v>
      </c>
      <c r="B5330" s="1"/>
      <c r="C5330">
        <v>1490</v>
      </c>
      <c r="D5330" s="1" t="s">
        <v>174</v>
      </c>
      <c r="E5330" s="1" t="s">
        <v>5</v>
      </c>
      <c r="F5330">
        <v>12</v>
      </c>
      <c r="G5330" s="1" t="str">
        <f>Ocupacao_DW[[#This Row],[data]]&amp;Ocupacao_DW[[#This Row],[profissional_id]]&amp;Ocupacao_DW[[#This Row],[local_id]]</f>
        <v>44651149012</v>
      </c>
      <c r="H5330" s="1">
        <f>_xlfn.XLOOKUP(Ocupacao_DW[[#This Row],[Concat]],Vagas!$H:$H,Vagas!$D:$D,"",0)</f>
        <v>0</v>
      </c>
    </row>
    <row r="5331" spans="1:8" x14ac:dyDescent="0.25">
      <c r="A5331" s="2">
        <v>44639</v>
      </c>
      <c r="B5331" s="1"/>
      <c r="C5331">
        <v>111</v>
      </c>
      <c r="D5331" s="1" t="s">
        <v>199</v>
      </c>
      <c r="E5331" s="1" t="s">
        <v>4</v>
      </c>
      <c r="F5331">
        <v>51</v>
      </c>
      <c r="G5331" s="1" t="str">
        <f>Ocupacao_DW[[#This Row],[data]]&amp;Ocupacao_DW[[#This Row],[profissional_id]]&amp;Ocupacao_DW[[#This Row],[local_id]]</f>
        <v>4463911151</v>
      </c>
      <c r="H5331" s="1">
        <f>_xlfn.XLOOKUP(Ocupacao_DW[[#This Row],[Concat]],Vagas!$H:$H,Vagas!$D:$D,"",0)</f>
        <v>0</v>
      </c>
    </row>
    <row r="5332" spans="1:8" x14ac:dyDescent="0.25">
      <c r="A5332" s="2">
        <v>44636</v>
      </c>
      <c r="B5332" s="1"/>
      <c r="C5332">
        <v>17878</v>
      </c>
      <c r="D5332" s="1" t="s">
        <v>183</v>
      </c>
      <c r="E5332" s="1" t="s">
        <v>7</v>
      </c>
      <c r="F5332">
        <v>63</v>
      </c>
      <c r="G5332" s="1" t="str">
        <f>Ocupacao_DW[[#This Row],[data]]&amp;Ocupacao_DW[[#This Row],[profissional_id]]&amp;Ocupacao_DW[[#This Row],[local_id]]</f>
        <v>446361787863</v>
      </c>
      <c r="H5332" s="1">
        <f>_xlfn.XLOOKUP(Ocupacao_DW[[#This Row],[Concat]],Vagas!$H:$H,Vagas!$D:$D,"",0)</f>
        <v>0</v>
      </c>
    </row>
    <row r="5333" spans="1:8" x14ac:dyDescent="0.25">
      <c r="A5333" s="2">
        <v>44643</v>
      </c>
      <c r="B5333" s="1"/>
      <c r="C5333">
        <v>67</v>
      </c>
      <c r="D5333" s="1" t="s">
        <v>172</v>
      </c>
      <c r="E5333" s="1" t="s">
        <v>6</v>
      </c>
      <c r="F5333">
        <v>8</v>
      </c>
      <c r="G5333" s="1" t="str">
        <f>Ocupacao_DW[[#This Row],[data]]&amp;Ocupacao_DW[[#This Row],[profissional_id]]&amp;Ocupacao_DW[[#This Row],[local_id]]</f>
        <v>44643678</v>
      </c>
      <c r="H5333" s="1">
        <f>_xlfn.XLOOKUP(Ocupacao_DW[[#This Row],[Concat]],Vagas!$H:$H,Vagas!$D:$D,"",0)</f>
        <v>0</v>
      </c>
    </row>
    <row r="5334" spans="1:8" x14ac:dyDescent="0.25">
      <c r="A5334" s="2">
        <v>44651</v>
      </c>
      <c r="B5334" s="1"/>
      <c r="C5334">
        <v>1490</v>
      </c>
      <c r="D5334" s="1" t="s">
        <v>174</v>
      </c>
      <c r="E5334" s="1" t="s">
        <v>5</v>
      </c>
      <c r="F5334">
        <v>12</v>
      </c>
      <c r="G5334" s="1" t="str">
        <f>Ocupacao_DW[[#This Row],[data]]&amp;Ocupacao_DW[[#This Row],[profissional_id]]&amp;Ocupacao_DW[[#This Row],[local_id]]</f>
        <v>44651149012</v>
      </c>
      <c r="H5334" s="1">
        <f>_xlfn.XLOOKUP(Ocupacao_DW[[#This Row],[Concat]],Vagas!$H:$H,Vagas!$D:$D,"",0)</f>
        <v>0</v>
      </c>
    </row>
    <row r="5335" spans="1:8" x14ac:dyDescent="0.25">
      <c r="A5335" s="2">
        <v>44638</v>
      </c>
      <c r="B5335" s="1"/>
      <c r="C5335">
        <v>2984</v>
      </c>
      <c r="D5335" s="1" t="s">
        <v>185</v>
      </c>
      <c r="E5335" s="1" t="s">
        <v>6</v>
      </c>
      <c r="F5335">
        <v>7</v>
      </c>
      <c r="G5335" s="1" t="str">
        <f>Ocupacao_DW[[#This Row],[data]]&amp;Ocupacao_DW[[#This Row],[profissional_id]]&amp;Ocupacao_DW[[#This Row],[local_id]]</f>
        <v>4463829847</v>
      </c>
      <c r="H5335" s="1">
        <f>_xlfn.XLOOKUP(Ocupacao_DW[[#This Row],[Concat]],Vagas!$H:$H,Vagas!$D:$D,"",0)</f>
        <v>0</v>
      </c>
    </row>
    <row r="5336" spans="1:8" x14ac:dyDescent="0.25">
      <c r="A5336" s="2">
        <v>44636</v>
      </c>
      <c r="B5336" s="1" t="s">
        <v>70</v>
      </c>
      <c r="C5336">
        <v>12519</v>
      </c>
      <c r="D5336" s="1" t="s">
        <v>176</v>
      </c>
      <c r="E5336" s="1" t="s">
        <v>4</v>
      </c>
      <c r="F5336">
        <v>48</v>
      </c>
      <c r="G5336" s="1" t="str">
        <f>Ocupacao_DW[[#This Row],[data]]&amp;Ocupacao_DW[[#This Row],[profissional_id]]&amp;Ocupacao_DW[[#This Row],[local_id]]</f>
        <v>446361251948</v>
      </c>
      <c r="H5336" s="1">
        <f>_xlfn.XLOOKUP(Ocupacao_DW[[#This Row],[Concat]],Vagas!$H:$H,Vagas!$D:$D,"",0)</f>
        <v>0</v>
      </c>
    </row>
    <row r="5337" spans="1:8" x14ac:dyDescent="0.25">
      <c r="A5337" s="2">
        <v>44657</v>
      </c>
      <c r="B5337" s="1"/>
      <c r="C5337">
        <v>1490</v>
      </c>
      <c r="D5337" s="1" t="s">
        <v>174</v>
      </c>
      <c r="E5337" s="1" t="s">
        <v>5</v>
      </c>
      <c r="F5337">
        <v>13</v>
      </c>
      <c r="G5337" s="1" t="str">
        <f>Ocupacao_DW[[#This Row],[data]]&amp;Ocupacao_DW[[#This Row],[profissional_id]]&amp;Ocupacao_DW[[#This Row],[local_id]]</f>
        <v>44657149013</v>
      </c>
      <c r="H5337" s="1">
        <f>_xlfn.XLOOKUP(Ocupacao_DW[[#This Row],[Concat]],Vagas!$H:$H,Vagas!$D:$D,"",0)</f>
        <v>0</v>
      </c>
    </row>
    <row r="5338" spans="1:8" x14ac:dyDescent="0.25">
      <c r="A5338" s="2">
        <v>44636</v>
      </c>
      <c r="B5338" s="1"/>
      <c r="C5338">
        <v>12679</v>
      </c>
      <c r="D5338" s="1" t="s">
        <v>192</v>
      </c>
      <c r="E5338" s="1" t="s">
        <v>200</v>
      </c>
      <c r="F5338">
        <v>82</v>
      </c>
      <c r="G5338" s="1" t="str">
        <f>Ocupacao_DW[[#This Row],[data]]&amp;Ocupacao_DW[[#This Row],[profissional_id]]&amp;Ocupacao_DW[[#This Row],[local_id]]</f>
        <v>446361267982</v>
      </c>
      <c r="H5338" s="1">
        <f>_xlfn.XLOOKUP(Ocupacao_DW[[#This Row],[Concat]],Vagas!$H:$H,Vagas!$D:$D,"",0)</f>
        <v>0</v>
      </c>
    </row>
    <row r="5339" spans="1:8" x14ac:dyDescent="0.25">
      <c r="A5339" s="2">
        <v>44649</v>
      </c>
      <c r="B5339" s="1"/>
      <c r="C5339">
        <v>73</v>
      </c>
      <c r="D5339" s="1" t="s">
        <v>171</v>
      </c>
      <c r="E5339" s="1" t="s">
        <v>6</v>
      </c>
      <c r="F5339">
        <v>5</v>
      </c>
      <c r="G5339" s="1" t="str">
        <f>Ocupacao_DW[[#This Row],[data]]&amp;Ocupacao_DW[[#This Row],[profissional_id]]&amp;Ocupacao_DW[[#This Row],[local_id]]</f>
        <v>44649735</v>
      </c>
      <c r="H5339" s="1">
        <f>_xlfn.XLOOKUP(Ocupacao_DW[[#This Row],[Concat]],Vagas!$H:$H,Vagas!$D:$D,"",0)</f>
        <v>0</v>
      </c>
    </row>
    <row r="5340" spans="1:8" x14ac:dyDescent="0.25">
      <c r="A5340" s="2">
        <v>44636</v>
      </c>
      <c r="B5340" s="1"/>
      <c r="C5340">
        <v>73</v>
      </c>
      <c r="D5340" s="1" t="s">
        <v>171</v>
      </c>
      <c r="E5340" s="1" t="s">
        <v>6</v>
      </c>
      <c r="F5340">
        <v>5</v>
      </c>
      <c r="G5340" s="1" t="str">
        <f>Ocupacao_DW[[#This Row],[data]]&amp;Ocupacao_DW[[#This Row],[profissional_id]]&amp;Ocupacao_DW[[#This Row],[local_id]]</f>
        <v>44636735</v>
      </c>
      <c r="H5340" s="1">
        <f>_xlfn.XLOOKUP(Ocupacao_DW[[#This Row],[Concat]],Vagas!$H:$H,Vagas!$D:$D,"",0)</f>
        <v>0</v>
      </c>
    </row>
    <row r="5341" spans="1:8" x14ac:dyDescent="0.25">
      <c r="A5341" s="2">
        <v>44643</v>
      </c>
      <c r="B5341" s="1"/>
      <c r="C5341">
        <v>17878</v>
      </c>
      <c r="D5341" s="1" t="s">
        <v>183</v>
      </c>
      <c r="E5341" s="1" t="s">
        <v>7</v>
      </c>
      <c r="F5341">
        <v>63</v>
      </c>
      <c r="G5341" s="1" t="str">
        <f>Ocupacao_DW[[#This Row],[data]]&amp;Ocupacao_DW[[#This Row],[profissional_id]]&amp;Ocupacao_DW[[#This Row],[local_id]]</f>
        <v>446431787863</v>
      </c>
      <c r="H5341" s="1">
        <f>_xlfn.XLOOKUP(Ocupacao_DW[[#This Row],[Concat]],Vagas!$H:$H,Vagas!$D:$D,"",0)</f>
        <v>0</v>
      </c>
    </row>
    <row r="5342" spans="1:8" x14ac:dyDescent="0.25">
      <c r="A5342" s="2">
        <v>44636</v>
      </c>
      <c r="B5342" s="1"/>
      <c r="C5342">
        <v>74</v>
      </c>
      <c r="D5342" s="1" t="s">
        <v>182</v>
      </c>
      <c r="E5342" s="1" t="s">
        <v>6</v>
      </c>
      <c r="F5342">
        <v>7</v>
      </c>
      <c r="G5342" s="1" t="str">
        <f>Ocupacao_DW[[#This Row],[data]]&amp;Ocupacao_DW[[#This Row],[profissional_id]]&amp;Ocupacao_DW[[#This Row],[local_id]]</f>
        <v>44636747</v>
      </c>
      <c r="H5342" s="1">
        <f>_xlfn.XLOOKUP(Ocupacao_DW[[#This Row],[Concat]],Vagas!$H:$H,Vagas!$D:$D,"",0)</f>
        <v>0</v>
      </c>
    </row>
    <row r="5343" spans="1:8" x14ac:dyDescent="0.25">
      <c r="A5343" s="2">
        <v>44636</v>
      </c>
      <c r="B5343" s="1"/>
      <c r="C5343">
        <v>73</v>
      </c>
      <c r="D5343" s="1" t="s">
        <v>171</v>
      </c>
      <c r="E5343" s="1" t="s">
        <v>6</v>
      </c>
      <c r="F5343">
        <v>5</v>
      </c>
      <c r="G5343" s="1" t="str">
        <f>Ocupacao_DW[[#This Row],[data]]&amp;Ocupacao_DW[[#This Row],[profissional_id]]&amp;Ocupacao_DW[[#This Row],[local_id]]</f>
        <v>44636735</v>
      </c>
      <c r="H5343" s="1">
        <f>_xlfn.XLOOKUP(Ocupacao_DW[[#This Row],[Concat]],Vagas!$H:$H,Vagas!$D:$D,"",0)</f>
        <v>0</v>
      </c>
    </row>
    <row r="5344" spans="1:8" x14ac:dyDescent="0.25">
      <c r="A5344" s="2">
        <v>44636</v>
      </c>
      <c r="B5344" s="1"/>
      <c r="C5344">
        <v>10691</v>
      </c>
      <c r="D5344" s="1" t="s">
        <v>181</v>
      </c>
      <c r="E5344" s="1"/>
      <c r="F5344">
        <v>0</v>
      </c>
      <c r="G5344" s="1" t="str">
        <f>Ocupacao_DW[[#This Row],[data]]&amp;Ocupacao_DW[[#This Row],[profissional_id]]&amp;Ocupacao_DW[[#This Row],[local_id]]</f>
        <v>44636106910</v>
      </c>
      <c r="H5344" s="1" t="str">
        <f>_xlfn.XLOOKUP(Ocupacao_DW[[#This Row],[Concat]],Vagas!$H:$H,Vagas!$D:$D,"",0)</f>
        <v/>
      </c>
    </row>
    <row r="5345" spans="1:8" x14ac:dyDescent="0.25">
      <c r="A5345" s="2">
        <v>44643</v>
      </c>
      <c r="B5345" s="1"/>
      <c r="C5345">
        <v>67</v>
      </c>
      <c r="D5345" s="1" t="s">
        <v>172</v>
      </c>
      <c r="E5345" s="1" t="s">
        <v>6</v>
      </c>
      <c r="F5345">
        <v>8</v>
      </c>
      <c r="G5345" s="1" t="str">
        <f>Ocupacao_DW[[#This Row],[data]]&amp;Ocupacao_DW[[#This Row],[profissional_id]]&amp;Ocupacao_DW[[#This Row],[local_id]]</f>
        <v>44643678</v>
      </c>
      <c r="H5345" s="1">
        <f>_xlfn.XLOOKUP(Ocupacao_DW[[#This Row],[Concat]],Vagas!$H:$H,Vagas!$D:$D,"",0)</f>
        <v>0</v>
      </c>
    </row>
    <row r="5346" spans="1:8" x14ac:dyDescent="0.25">
      <c r="A5346" s="2">
        <v>44642</v>
      </c>
      <c r="B5346" s="1"/>
      <c r="C5346">
        <v>73</v>
      </c>
      <c r="D5346" s="1" t="s">
        <v>171</v>
      </c>
      <c r="E5346" s="1" t="s">
        <v>6</v>
      </c>
      <c r="F5346">
        <v>5</v>
      </c>
      <c r="G5346" s="1" t="str">
        <f>Ocupacao_DW[[#This Row],[data]]&amp;Ocupacao_DW[[#This Row],[profissional_id]]&amp;Ocupacao_DW[[#This Row],[local_id]]</f>
        <v>44642735</v>
      </c>
      <c r="H5346" s="1">
        <f>_xlfn.XLOOKUP(Ocupacao_DW[[#This Row],[Concat]],Vagas!$H:$H,Vagas!$D:$D,"",0)</f>
        <v>0</v>
      </c>
    </row>
    <row r="5347" spans="1:8" x14ac:dyDescent="0.25">
      <c r="A5347" s="2">
        <v>44635</v>
      </c>
      <c r="B5347" s="1"/>
      <c r="C5347">
        <v>266</v>
      </c>
      <c r="D5347" s="1" t="s">
        <v>201</v>
      </c>
      <c r="E5347" s="1"/>
      <c r="F5347">
        <v>0</v>
      </c>
      <c r="G5347" s="1" t="str">
        <f>Ocupacao_DW[[#This Row],[data]]&amp;Ocupacao_DW[[#This Row],[profissional_id]]&amp;Ocupacao_DW[[#This Row],[local_id]]</f>
        <v>446352660</v>
      </c>
      <c r="H5347" s="1" t="str">
        <f>_xlfn.XLOOKUP(Ocupacao_DW[[#This Row],[Concat]],Vagas!$H:$H,Vagas!$D:$D,"",0)</f>
        <v/>
      </c>
    </row>
    <row r="5348" spans="1:8" x14ac:dyDescent="0.25">
      <c r="A5348" s="2">
        <v>44636</v>
      </c>
      <c r="B5348" s="1"/>
      <c r="C5348">
        <v>10799</v>
      </c>
      <c r="D5348" s="1" t="s">
        <v>204</v>
      </c>
      <c r="E5348" s="1" t="s">
        <v>5</v>
      </c>
      <c r="F5348">
        <v>18</v>
      </c>
      <c r="G5348" s="1" t="str">
        <f>Ocupacao_DW[[#This Row],[data]]&amp;Ocupacao_DW[[#This Row],[profissional_id]]&amp;Ocupacao_DW[[#This Row],[local_id]]</f>
        <v>446361079918</v>
      </c>
      <c r="H5348" s="1">
        <f>_xlfn.XLOOKUP(Ocupacao_DW[[#This Row],[Concat]],Vagas!$H:$H,Vagas!$D:$D,"",0)</f>
        <v>0</v>
      </c>
    </row>
    <row r="5349" spans="1:8" x14ac:dyDescent="0.25">
      <c r="A5349" s="2">
        <v>44636</v>
      </c>
      <c r="B5349" s="1" t="s">
        <v>70</v>
      </c>
      <c r="C5349">
        <v>12519</v>
      </c>
      <c r="D5349" s="1" t="s">
        <v>176</v>
      </c>
      <c r="E5349" s="1" t="s">
        <v>4</v>
      </c>
      <c r="F5349">
        <v>48</v>
      </c>
      <c r="G5349" s="1" t="str">
        <f>Ocupacao_DW[[#This Row],[data]]&amp;Ocupacao_DW[[#This Row],[profissional_id]]&amp;Ocupacao_DW[[#This Row],[local_id]]</f>
        <v>446361251948</v>
      </c>
      <c r="H5349" s="1">
        <f>_xlfn.XLOOKUP(Ocupacao_DW[[#This Row],[Concat]],Vagas!$H:$H,Vagas!$D:$D,"",0)</f>
        <v>0</v>
      </c>
    </row>
    <row r="5350" spans="1:8" x14ac:dyDescent="0.25">
      <c r="A5350" s="2">
        <v>44657</v>
      </c>
      <c r="B5350" s="1"/>
      <c r="C5350">
        <v>1490</v>
      </c>
      <c r="D5350" s="1" t="s">
        <v>174</v>
      </c>
      <c r="E5350" s="1" t="s">
        <v>5</v>
      </c>
      <c r="F5350">
        <v>13</v>
      </c>
      <c r="G5350" s="1" t="str">
        <f>Ocupacao_DW[[#This Row],[data]]&amp;Ocupacao_DW[[#This Row],[profissional_id]]&amp;Ocupacao_DW[[#This Row],[local_id]]</f>
        <v>44657149013</v>
      </c>
      <c r="H5350" s="1">
        <f>_xlfn.XLOOKUP(Ocupacao_DW[[#This Row],[Concat]],Vagas!$H:$H,Vagas!$D:$D,"",0)</f>
        <v>0</v>
      </c>
    </row>
    <row r="5351" spans="1:8" x14ac:dyDescent="0.25">
      <c r="A5351" s="2">
        <v>44636</v>
      </c>
      <c r="B5351" s="1" t="s">
        <v>70</v>
      </c>
      <c r="C5351">
        <v>12519</v>
      </c>
      <c r="D5351" s="1" t="s">
        <v>176</v>
      </c>
      <c r="E5351" s="1" t="s">
        <v>4</v>
      </c>
      <c r="F5351">
        <v>48</v>
      </c>
      <c r="G5351" s="1" t="str">
        <f>Ocupacao_DW[[#This Row],[data]]&amp;Ocupacao_DW[[#This Row],[profissional_id]]&amp;Ocupacao_DW[[#This Row],[local_id]]</f>
        <v>446361251948</v>
      </c>
      <c r="H5351" s="1">
        <f>_xlfn.XLOOKUP(Ocupacao_DW[[#This Row],[Concat]],Vagas!$H:$H,Vagas!$D:$D,"",0)</f>
        <v>0</v>
      </c>
    </row>
    <row r="5352" spans="1:8" x14ac:dyDescent="0.25">
      <c r="A5352" s="2">
        <v>44635</v>
      </c>
      <c r="B5352" s="1" t="s">
        <v>49</v>
      </c>
      <c r="C5352">
        <v>266</v>
      </c>
      <c r="D5352" s="1" t="s">
        <v>201</v>
      </c>
      <c r="E5352" s="1" t="s">
        <v>4</v>
      </c>
      <c r="F5352">
        <v>42</v>
      </c>
      <c r="G5352" s="1" t="str">
        <f>Ocupacao_DW[[#This Row],[data]]&amp;Ocupacao_DW[[#This Row],[profissional_id]]&amp;Ocupacao_DW[[#This Row],[local_id]]</f>
        <v>4463526642</v>
      </c>
      <c r="H5352" s="1">
        <f>_xlfn.XLOOKUP(Ocupacao_DW[[#This Row],[Concat]],Vagas!$H:$H,Vagas!$D:$D,"",0)</f>
        <v>0</v>
      </c>
    </row>
    <row r="5353" spans="1:8" x14ac:dyDescent="0.25">
      <c r="A5353" s="2">
        <v>44636</v>
      </c>
      <c r="B5353" s="1"/>
      <c r="C5353">
        <v>12679</v>
      </c>
      <c r="D5353" s="1" t="s">
        <v>192</v>
      </c>
      <c r="E5353" s="1" t="s">
        <v>200</v>
      </c>
      <c r="F5353">
        <v>82</v>
      </c>
      <c r="G5353" s="1" t="str">
        <f>Ocupacao_DW[[#This Row],[data]]&amp;Ocupacao_DW[[#This Row],[profissional_id]]&amp;Ocupacao_DW[[#This Row],[local_id]]</f>
        <v>446361267982</v>
      </c>
      <c r="H5353" s="1">
        <f>_xlfn.XLOOKUP(Ocupacao_DW[[#This Row],[Concat]],Vagas!$H:$H,Vagas!$D:$D,"",0)</f>
        <v>0</v>
      </c>
    </row>
    <row r="5354" spans="1:8" x14ac:dyDescent="0.25">
      <c r="A5354" s="2">
        <v>44657</v>
      </c>
      <c r="B5354" s="1"/>
      <c r="C5354">
        <v>12825</v>
      </c>
      <c r="D5354" s="1" t="s">
        <v>177</v>
      </c>
      <c r="E5354" s="1"/>
      <c r="F5354">
        <v>0</v>
      </c>
      <c r="G5354" s="1" t="str">
        <f>Ocupacao_DW[[#This Row],[data]]&amp;Ocupacao_DW[[#This Row],[profissional_id]]&amp;Ocupacao_DW[[#This Row],[local_id]]</f>
        <v>44657128250</v>
      </c>
      <c r="H5354" s="1" t="str">
        <f>_xlfn.XLOOKUP(Ocupacao_DW[[#This Row],[Concat]],Vagas!$H:$H,Vagas!$D:$D,"",0)</f>
        <v/>
      </c>
    </row>
    <row r="5355" spans="1:8" x14ac:dyDescent="0.25">
      <c r="A5355" s="2">
        <v>44635</v>
      </c>
      <c r="B5355" s="1"/>
      <c r="C5355">
        <v>9111</v>
      </c>
      <c r="D5355" s="1" t="s">
        <v>206</v>
      </c>
      <c r="E5355" s="1" t="s">
        <v>4</v>
      </c>
      <c r="F5355">
        <v>335</v>
      </c>
      <c r="G5355" s="1" t="str">
        <f>Ocupacao_DW[[#This Row],[data]]&amp;Ocupacao_DW[[#This Row],[profissional_id]]&amp;Ocupacao_DW[[#This Row],[local_id]]</f>
        <v>446359111335</v>
      </c>
      <c r="H5355" s="1">
        <f>_xlfn.XLOOKUP(Ocupacao_DW[[#This Row],[Concat]],Vagas!$H:$H,Vagas!$D:$D,"",0)</f>
        <v>0</v>
      </c>
    </row>
    <row r="5356" spans="1:8" x14ac:dyDescent="0.25">
      <c r="A5356" s="2">
        <v>44637</v>
      </c>
      <c r="B5356" s="1"/>
      <c r="C5356">
        <v>11312</v>
      </c>
      <c r="D5356" s="1" t="s">
        <v>207</v>
      </c>
      <c r="E5356" s="1" t="s">
        <v>4</v>
      </c>
      <c r="F5356">
        <v>336</v>
      </c>
      <c r="G5356" s="1" t="str">
        <f>Ocupacao_DW[[#This Row],[data]]&amp;Ocupacao_DW[[#This Row],[profissional_id]]&amp;Ocupacao_DW[[#This Row],[local_id]]</f>
        <v>4463711312336</v>
      </c>
      <c r="H5356" s="1">
        <f>_xlfn.XLOOKUP(Ocupacao_DW[[#This Row],[Concat]],Vagas!$H:$H,Vagas!$D:$D,"",0)</f>
        <v>0</v>
      </c>
    </row>
    <row r="5357" spans="1:8" x14ac:dyDescent="0.25">
      <c r="A5357" s="2">
        <v>44636</v>
      </c>
      <c r="B5357" s="1"/>
      <c r="C5357">
        <v>74</v>
      </c>
      <c r="D5357" s="1" t="s">
        <v>182</v>
      </c>
      <c r="E5357" s="1" t="s">
        <v>6</v>
      </c>
      <c r="F5357">
        <v>7</v>
      </c>
      <c r="G5357" s="1" t="str">
        <f>Ocupacao_DW[[#This Row],[data]]&amp;Ocupacao_DW[[#This Row],[profissional_id]]&amp;Ocupacao_DW[[#This Row],[local_id]]</f>
        <v>44636747</v>
      </c>
      <c r="H5357" s="1">
        <f>_xlfn.XLOOKUP(Ocupacao_DW[[#This Row],[Concat]],Vagas!$H:$H,Vagas!$D:$D,"",0)</f>
        <v>0</v>
      </c>
    </row>
    <row r="5358" spans="1:8" x14ac:dyDescent="0.25">
      <c r="A5358" s="2">
        <v>44636</v>
      </c>
      <c r="B5358" s="1"/>
      <c r="C5358">
        <v>10946</v>
      </c>
      <c r="D5358" s="1" t="s">
        <v>209</v>
      </c>
      <c r="E5358" s="1"/>
      <c r="F5358">
        <v>0</v>
      </c>
      <c r="G5358" s="1" t="str">
        <f>Ocupacao_DW[[#This Row],[data]]&amp;Ocupacao_DW[[#This Row],[profissional_id]]&amp;Ocupacao_DW[[#This Row],[local_id]]</f>
        <v>44636109460</v>
      </c>
      <c r="H5358" s="1" t="str">
        <f>_xlfn.XLOOKUP(Ocupacao_DW[[#This Row],[Concat]],Vagas!$H:$H,Vagas!$D:$D,"",0)</f>
        <v/>
      </c>
    </row>
    <row r="5359" spans="1:8" x14ac:dyDescent="0.25">
      <c r="A5359" s="2">
        <v>44657</v>
      </c>
      <c r="B5359" s="1" t="s">
        <v>52</v>
      </c>
      <c r="C5359">
        <v>60</v>
      </c>
      <c r="D5359" s="1" t="s">
        <v>217</v>
      </c>
      <c r="E5359" s="1" t="s">
        <v>6</v>
      </c>
      <c r="F5359">
        <v>8</v>
      </c>
      <c r="G5359" s="1" t="str">
        <f>Ocupacao_DW[[#This Row],[data]]&amp;Ocupacao_DW[[#This Row],[profissional_id]]&amp;Ocupacao_DW[[#This Row],[local_id]]</f>
        <v>44657608</v>
      </c>
      <c r="H5359" s="1">
        <f>_xlfn.XLOOKUP(Ocupacao_DW[[#This Row],[Concat]],Vagas!$H:$H,Vagas!$D:$D,"",0)</f>
        <v>0</v>
      </c>
    </row>
    <row r="5360" spans="1:8" x14ac:dyDescent="0.25">
      <c r="A5360" s="2">
        <v>44636</v>
      </c>
      <c r="B5360" s="1"/>
      <c r="C5360">
        <v>12825</v>
      </c>
      <c r="D5360" s="1" t="s">
        <v>177</v>
      </c>
      <c r="E5360" s="1"/>
      <c r="F5360">
        <v>0</v>
      </c>
      <c r="G5360" s="1" t="str">
        <f>Ocupacao_DW[[#This Row],[data]]&amp;Ocupacao_DW[[#This Row],[profissional_id]]&amp;Ocupacao_DW[[#This Row],[local_id]]</f>
        <v>44636128250</v>
      </c>
      <c r="H5360" s="1" t="str">
        <f>_xlfn.XLOOKUP(Ocupacao_DW[[#This Row],[Concat]],Vagas!$H:$H,Vagas!$D:$D,"",0)</f>
        <v/>
      </c>
    </row>
    <row r="5361" spans="1:8" x14ac:dyDescent="0.25">
      <c r="A5361" s="2">
        <v>44645</v>
      </c>
      <c r="B5361" s="1" t="s">
        <v>52</v>
      </c>
      <c r="C5361">
        <v>67</v>
      </c>
      <c r="D5361" s="1" t="s">
        <v>172</v>
      </c>
      <c r="E5361" s="1" t="s">
        <v>6</v>
      </c>
      <c r="F5361">
        <v>3</v>
      </c>
      <c r="G5361" s="1" t="str">
        <f>Ocupacao_DW[[#This Row],[data]]&amp;Ocupacao_DW[[#This Row],[profissional_id]]&amp;Ocupacao_DW[[#This Row],[local_id]]</f>
        <v>44645673</v>
      </c>
      <c r="H5361" s="1" t="str">
        <f>_xlfn.XLOOKUP(Ocupacao_DW[[#This Row],[Concat]],Vagas!$H:$H,Vagas!$D:$D,"",0)</f>
        <v/>
      </c>
    </row>
    <row r="5362" spans="1:8" x14ac:dyDescent="0.25">
      <c r="A5362" s="2">
        <v>44636</v>
      </c>
      <c r="B5362" s="1"/>
      <c r="C5362">
        <v>74</v>
      </c>
      <c r="D5362" s="1" t="s">
        <v>182</v>
      </c>
      <c r="E5362" s="1" t="s">
        <v>6</v>
      </c>
      <c r="F5362">
        <v>7</v>
      </c>
      <c r="G5362" s="1" t="str">
        <f>Ocupacao_DW[[#This Row],[data]]&amp;Ocupacao_DW[[#This Row],[profissional_id]]&amp;Ocupacao_DW[[#This Row],[local_id]]</f>
        <v>44636747</v>
      </c>
      <c r="H5362" s="1">
        <f>_xlfn.XLOOKUP(Ocupacao_DW[[#This Row],[Concat]],Vagas!$H:$H,Vagas!$D:$D,"",0)</f>
        <v>0</v>
      </c>
    </row>
    <row r="5363" spans="1:8" x14ac:dyDescent="0.25">
      <c r="A5363" s="2">
        <v>44638</v>
      </c>
      <c r="B5363" s="1" t="s">
        <v>52</v>
      </c>
      <c r="C5363">
        <v>57</v>
      </c>
      <c r="D5363" s="1" t="s">
        <v>169</v>
      </c>
      <c r="E5363" s="1" t="s">
        <v>6</v>
      </c>
      <c r="F5363">
        <v>8</v>
      </c>
      <c r="G5363" s="1" t="str">
        <f>Ocupacao_DW[[#This Row],[data]]&amp;Ocupacao_DW[[#This Row],[profissional_id]]&amp;Ocupacao_DW[[#This Row],[local_id]]</f>
        <v>44638578</v>
      </c>
      <c r="H5363" s="1">
        <f>_xlfn.XLOOKUP(Ocupacao_DW[[#This Row],[Concat]],Vagas!$H:$H,Vagas!$D:$D,"",0)</f>
        <v>0</v>
      </c>
    </row>
    <row r="5364" spans="1:8" x14ac:dyDescent="0.25">
      <c r="A5364" s="2">
        <v>44637</v>
      </c>
      <c r="B5364" s="1"/>
      <c r="C5364">
        <v>282</v>
      </c>
      <c r="D5364" s="1" t="s">
        <v>210</v>
      </c>
      <c r="E5364" s="1" t="s">
        <v>4</v>
      </c>
      <c r="F5364">
        <v>39</v>
      </c>
      <c r="G5364" s="1" t="str">
        <f>Ocupacao_DW[[#This Row],[data]]&amp;Ocupacao_DW[[#This Row],[profissional_id]]&amp;Ocupacao_DW[[#This Row],[local_id]]</f>
        <v>4463728239</v>
      </c>
      <c r="H5364" s="1">
        <f>_xlfn.XLOOKUP(Ocupacao_DW[[#This Row],[Concat]],Vagas!$H:$H,Vagas!$D:$D,"",0)</f>
        <v>51</v>
      </c>
    </row>
    <row r="5365" spans="1:8" x14ac:dyDescent="0.25">
      <c r="A5365" s="2">
        <v>44642</v>
      </c>
      <c r="B5365" s="1"/>
      <c r="C5365">
        <v>85</v>
      </c>
      <c r="D5365" s="1" t="s">
        <v>211</v>
      </c>
      <c r="E5365" s="1" t="s">
        <v>5</v>
      </c>
      <c r="F5365">
        <v>349</v>
      </c>
      <c r="G5365" s="1" t="str">
        <f>Ocupacao_DW[[#This Row],[data]]&amp;Ocupacao_DW[[#This Row],[profissional_id]]&amp;Ocupacao_DW[[#This Row],[local_id]]</f>
        <v>4464285349</v>
      </c>
      <c r="H5365" s="1">
        <f>_xlfn.XLOOKUP(Ocupacao_DW[[#This Row],[Concat]],Vagas!$H:$H,Vagas!$D:$D,"",0)</f>
        <v>0</v>
      </c>
    </row>
    <row r="5366" spans="1:8" x14ac:dyDescent="0.25">
      <c r="A5366" s="2">
        <v>44638</v>
      </c>
      <c r="B5366" s="1"/>
      <c r="C5366">
        <v>13249</v>
      </c>
      <c r="D5366" s="1" t="s">
        <v>178</v>
      </c>
      <c r="E5366" s="1" t="s">
        <v>7</v>
      </c>
      <c r="F5366">
        <v>66</v>
      </c>
      <c r="G5366" s="1" t="str">
        <f>Ocupacao_DW[[#This Row],[data]]&amp;Ocupacao_DW[[#This Row],[profissional_id]]&amp;Ocupacao_DW[[#This Row],[local_id]]</f>
        <v>446381324966</v>
      </c>
      <c r="H5366" s="1">
        <f>_xlfn.XLOOKUP(Ocupacao_DW[[#This Row],[Concat]],Vagas!$H:$H,Vagas!$D:$D,"",0)</f>
        <v>0</v>
      </c>
    </row>
    <row r="5367" spans="1:8" x14ac:dyDescent="0.25">
      <c r="A5367" s="2">
        <v>44635</v>
      </c>
      <c r="B5367" s="1"/>
      <c r="C5367">
        <v>57</v>
      </c>
      <c r="D5367" s="1" t="s">
        <v>169</v>
      </c>
      <c r="E5367" s="1"/>
      <c r="F5367">
        <v>0</v>
      </c>
      <c r="G5367" s="1" t="str">
        <f>Ocupacao_DW[[#This Row],[data]]&amp;Ocupacao_DW[[#This Row],[profissional_id]]&amp;Ocupacao_DW[[#This Row],[local_id]]</f>
        <v>44635570</v>
      </c>
      <c r="H5367" s="1" t="str">
        <f>_xlfn.XLOOKUP(Ocupacao_DW[[#This Row],[Concat]],Vagas!$H:$H,Vagas!$D:$D,"",0)</f>
        <v/>
      </c>
    </row>
    <row r="5368" spans="1:8" x14ac:dyDescent="0.25">
      <c r="A5368" s="2">
        <v>44636</v>
      </c>
      <c r="B5368" s="1"/>
      <c r="C5368">
        <v>74</v>
      </c>
      <c r="D5368" s="1" t="s">
        <v>182</v>
      </c>
      <c r="E5368" s="1" t="s">
        <v>6</v>
      </c>
      <c r="F5368">
        <v>7</v>
      </c>
      <c r="G5368" s="1" t="str">
        <f>Ocupacao_DW[[#This Row],[data]]&amp;Ocupacao_DW[[#This Row],[profissional_id]]&amp;Ocupacao_DW[[#This Row],[local_id]]</f>
        <v>44636747</v>
      </c>
      <c r="H5368" s="1">
        <f>_xlfn.XLOOKUP(Ocupacao_DW[[#This Row],[Concat]],Vagas!$H:$H,Vagas!$D:$D,"",0)</f>
        <v>0</v>
      </c>
    </row>
    <row r="5369" spans="1:8" x14ac:dyDescent="0.25">
      <c r="A5369" s="2">
        <v>44636</v>
      </c>
      <c r="B5369" s="1"/>
      <c r="C5369">
        <v>17859</v>
      </c>
      <c r="D5369" s="1" t="s">
        <v>212</v>
      </c>
      <c r="E5369" s="1" t="s">
        <v>6</v>
      </c>
      <c r="F5369">
        <v>7</v>
      </c>
      <c r="G5369" s="1" t="str">
        <f>Ocupacao_DW[[#This Row],[data]]&amp;Ocupacao_DW[[#This Row],[profissional_id]]&amp;Ocupacao_DW[[#This Row],[local_id]]</f>
        <v>44636178597</v>
      </c>
      <c r="H5369" s="1">
        <f>_xlfn.XLOOKUP(Ocupacao_DW[[#This Row],[Concat]],Vagas!$H:$H,Vagas!$D:$D,"",0)</f>
        <v>0</v>
      </c>
    </row>
    <row r="5370" spans="1:8" x14ac:dyDescent="0.25">
      <c r="A5370" s="2">
        <v>44637</v>
      </c>
      <c r="B5370" s="1" t="s">
        <v>49</v>
      </c>
      <c r="C5370">
        <v>266</v>
      </c>
      <c r="D5370" s="1" t="s">
        <v>201</v>
      </c>
      <c r="E5370" s="1" t="s">
        <v>4</v>
      </c>
      <c r="F5370">
        <v>42</v>
      </c>
      <c r="G5370" s="1" t="str">
        <f>Ocupacao_DW[[#This Row],[data]]&amp;Ocupacao_DW[[#This Row],[profissional_id]]&amp;Ocupacao_DW[[#This Row],[local_id]]</f>
        <v>4463726642</v>
      </c>
      <c r="H5370" s="1">
        <f>_xlfn.XLOOKUP(Ocupacao_DW[[#This Row],[Concat]],Vagas!$H:$H,Vagas!$D:$D,"",0)</f>
        <v>0</v>
      </c>
    </row>
    <row r="5371" spans="1:8" x14ac:dyDescent="0.25">
      <c r="A5371" s="2">
        <v>44643</v>
      </c>
      <c r="B5371" s="1"/>
      <c r="C5371">
        <v>74</v>
      </c>
      <c r="D5371" s="1" t="s">
        <v>182</v>
      </c>
      <c r="E5371" s="1" t="s">
        <v>6</v>
      </c>
      <c r="F5371">
        <v>7</v>
      </c>
      <c r="G5371" s="1" t="str">
        <f>Ocupacao_DW[[#This Row],[data]]&amp;Ocupacao_DW[[#This Row],[profissional_id]]&amp;Ocupacao_DW[[#This Row],[local_id]]</f>
        <v>44643747</v>
      </c>
      <c r="H5371" s="1">
        <f>_xlfn.XLOOKUP(Ocupacao_DW[[#This Row],[Concat]],Vagas!$H:$H,Vagas!$D:$D,"",0)</f>
        <v>0</v>
      </c>
    </row>
    <row r="5372" spans="1:8" x14ac:dyDescent="0.25">
      <c r="A5372" s="2">
        <v>44650</v>
      </c>
      <c r="B5372" s="1"/>
      <c r="C5372">
        <v>282</v>
      </c>
      <c r="D5372" s="1" t="s">
        <v>210</v>
      </c>
      <c r="E5372" s="1" t="s">
        <v>4</v>
      </c>
      <c r="F5372">
        <v>39</v>
      </c>
      <c r="G5372" s="1" t="str">
        <f>Ocupacao_DW[[#This Row],[data]]&amp;Ocupacao_DW[[#This Row],[profissional_id]]&amp;Ocupacao_DW[[#This Row],[local_id]]</f>
        <v>4465028239</v>
      </c>
      <c r="H5372" s="1">
        <f>_xlfn.XLOOKUP(Ocupacao_DW[[#This Row],[Concat]],Vagas!$H:$H,Vagas!$D:$D,"",0)</f>
        <v>51</v>
      </c>
    </row>
    <row r="5373" spans="1:8" x14ac:dyDescent="0.25">
      <c r="A5373" s="2">
        <v>44636</v>
      </c>
      <c r="B5373" s="1"/>
      <c r="C5373">
        <v>74</v>
      </c>
      <c r="D5373" s="1" t="s">
        <v>182</v>
      </c>
      <c r="E5373" s="1" t="s">
        <v>6</v>
      </c>
      <c r="F5373">
        <v>7</v>
      </c>
      <c r="G5373" s="1" t="str">
        <f>Ocupacao_DW[[#This Row],[data]]&amp;Ocupacao_DW[[#This Row],[profissional_id]]&amp;Ocupacao_DW[[#This Row],[local_id]]</f>
        <v>44636747</v>
      </c>
      <c r="H5373" s="1">
        <f>_xlfn.XLOOKUP(Ocupacao_DW[[#This Row],[Concat]],Vagas!$H:$H,Vagas!$D:$D,"",0)</f>
        <v>0</v>
      </c>
    </row>
    <row r="5374" spans="1:8" x14ac:dyDescent="0.25">
      <c r="A5374" s="2">
        <v>44636</v>
      </c>
      <c r="B5374" s="1"/>
      <c r="C5374">
        <v>73</v>
      </c>
      <c r="D5374" s="1" t="s">
        <v>171</v>
      </c>
      <c r="E5374" s="1" t="s">
        <v>6</v>
      </c>
      <c r="F5374">
        <v>5</v>
      </c>
      <c r="G5374" s="1" t="str">
        <f>Ocupacao_DW[[#This Row],[data]]&amp;Ocupacao_DW[[#This Row],[profissional_id]]&amp;Ocupacao_DW[[#This Row],[local_id]]</f>
        <v>44636735</v>
      </c>
      <c r="H5374" s="1">
        <f>_xlfn.XLOOKUP(Ocupacao_DW[[#This Row],[Concat]],Vagas!$H:$H,Vagas!$D:$D,"",0)</f>
        <v>0</v>
      </c>
    </row>
    <row r="5375" spans="1:8" x14ac:dyDescent="0.25">
      <c r="A5375" s="2">
        <v>44636</v>
      </c>
      <c r="B5375" s="1" t="s">
        <v>70</v>
      </c>
      <c r="C5375">
        <v>12519</v>
      </c>
      <c r="D5375" s="1" t="s">
        <v>176</v>
      </c>
      <c r="E5375" s="1" t="s">
        <v>4</v>
      </c>
      <c r="F5375">
        <v>48</v>
      </c>
      <c r="G5375" s="1" t="str">
        <f>Ocupacao_DW[[#This Row],[data]]&amp;Ocupacao_DW[[#This Row],[profissional_id]]&amp;Ocupacao_DW[[#This Row],[local_id]]</f>
        <v>446361251948</v>
      </c>
      <c r="H5375" s="1">
        <f>_xlfn.XLOOKUP(Ocupacao_DW[[#This Row],[Concat]],Vagas!$H:$H,Vagas!$D:$D,"",0)</f>
        <v>0</v>
      </c>
    </row>
    <row r="5376" spans="1:8" x14ac:dyDescent="0.25">
      <c r="A5376" s="2">
        <v>44641</v>
      </c>
      <c r="B5376" s="1" t="s">
        <v>52</v>
      </c>
      <c r="C5376">
        <v>10691</v>
      </c>
      <c r="D5376" s="1" t="s">
        <v>181</v>
      </c>
      <c r="E5376" s="1" t="s">
        <v>6</v>
      </c>
      <c r="F5376">
        <v>3</v>
      </c>
      <c r="G5376" s="1" t="str">
        <f>Ocupacao_DW[[#This Row],[data]]&amp;Ocupacao_DW[[#This Row],[profissional_id]]&amp;Ocupacao_DW[[#This Row],[local_id]]</f>
        <v>44641106913</v>
      </c>
      <c r="H5376" s="1" t="str">
        <f>_xlfn.XLOOKUP(Ocupacao_DW[[#This Row],[Concat]],Vagas!$H:$H,Vagas!$D:$D,"",0)</f>
        <v/>
      </c>
    </row>
    <row r="5377" spans="1:8" x14ac:dyDescent="0.25">
      <c r="A5377" s="2">
        <v>44650</v>
      </c>
      <c r="B5377" s="1"/>
      <c r="C5377">
        <v>67</v>
      </c>
      <c r="D5377" s="1" t="s">
        <v>172</v>
      </c>
      <c r="E5377" s="1" t="s">
        <v>6</v>
      </c>
      <c r="F5377">
        <v>8</v>
      </c>
      <c r="G5377" s="1" t="str">
        <f>Ocupacao_DW[[#This Row],[data]]&amp;Ocupacao_DW[[#This Row],[profissional_id]]&amp;Ocupacao_DW[[#This Row],[local_id]]</f>
        <v>44650678</v>
      </c>
      <c r="H5377" s="1">
        <f>_xlfn.XLOOKUP(Ocupacao_DW[[#This Row],[Concat]],Vagas!$H:$H,Vagas!$D:$D,"",0)</f>
        <v>0</v>
      </c>
    </row>
    <row r="5378" spans="1:8" x14ac:dyDescent="0.25">
      <c r="A5378" s="2">
        <v>44644</v>
      </c>
      <c r="B5378" s="1" t="s">
        <v>55</v>
      </c>
      <c r="C5378">
        <v>12426</v>
      </c>
      <c r="D5378" s="1" t="s">
        <v>215</v>
      </c>
      <c r="E5378" s="1" t="s">
        <v>6</v>
      </c>
      <c r="F5378">
        <v>5</v>
      </c>
      <c r="G5378" s="1" t="str">
        <f>Ocupacao_DW[[#This Row],[data]]&amp;Ocupacao_DW[[#This Row],[profissional_id]]&amp;Ocupacao_DW[[#This Row],[local_id]]</f>
        <v>44644124265</v>
      </c>
      <c r="H5378" s="1">
        <f>_xlfn.XLOOKUP(Ocupacao_DW[[#This Row],[Concat]],Vagas!$H:$H,Vagas!$D:$D,"",0)</f>
        <v>0</v>
      </c>
    </row>
    <row r="5379" spans="1:8" x14ac:dyDescent="0.25">
      <c r="A5379" s="2">
        <v>44637</v>
      </c>
      <c r="B5379" s="1" t="s">
        <v>52</v>
      </c>
      <c r="C5379">
        <v>10691</v>
      </c>
      <c r="D5379" s="1" t="s">
        <v>181</v>
      </c>
      <c r="E5379" s="1" t="s">
        <v>6</v>
      </c>
      <c r="F5379">
        <v>9</v>
      </c>
      <c r="G5379" s="1" t="str">
        <f>Ocupacao_DW[[#This Row],[data]]&amp;Ocupacao_DW[[#This Row],[profissional_id]]&amp;Ocupacao_DW[[#This Row],[local_id]]</f>
        <v>44637106919</v>
      </c>
      <c r="H5379" s="1">
        <f>_xlfn.XLOOKUP(Ocupacao_DW[[#This Row],[Concat]],Vagas!$H:$H,Vagas!$D:$D,"",0)</f>
        <v>0</v>
      </c>
    </row>
    <row r="5380" spans="1:8" x14ac:dyDescent="0.25">
      <c r="A5380" s="2">
        <v>44636</v>
      </c>
      <c r="B5380" s="1"/>
      <c r="C5380">
        <v>12679</v>
      </c>
      <c r="D5380" s="1" t="s">
        <v>192</v>
      </c>
      <c r="E5380" s="1" t="s">
        <v>200</v>
      </c>
      <c r="F5380">
        <v>82</v>
      </c>
      <c r="G5380" s="1" t="str">
        <f>Ocupacao_DW[[#This Row],[data]]&amp;Ocupacao_DW[[#This Row],[profissional_id]]&amp;Ocupacao_DW[[#This Row],[local_id]]</f>
        <v>446361267982</v>
      </c>
      <c r="H5380" s="1">
        <f>_xlfn.XLOOKUP(Ocupacao_DW[[#This Row],[Concat]],Vagas!$H:$H,Vagas!$D:$D,"",0)</f>
        <v>0</v>
      </c>
    </row>
    <row r="5381" spans="1:8" x14ac:dyDescent="0.25">
      <c r="A5381" s="2">
        <v>44657</v>
      </c>
      <c r="B5381" s="1"/>
      <c r="C5381">
        <v>1490</v>
      </c>
      <c r="D5381" s="1" t="s">
        <v>174</v>
      </c>
      <c r="E5381" s="1" t="s">
        <v>5</v>
      </c>
      <c r="F5381">
        <v>13</v>
      </c>
      <c r="G5381" s="1" t="str">
        <f>Ocupacao_DW[[#This Row],[data]]&amp;Ocupacao_DW[[#This Row],[profissional_id]]&amp;Ocupacao_DW[[#This Row],[local_id]]</f>
        <v>44657149013</v>
      </c>
      <c r="H5381" s="1">
        <f>_xlfn.XLOOKUP(Ocupacao_DW[[#This Row],[Concat]],Vagas!$H:$H,Vagas!$D:$D,"",0)</f>
        <v>0</v>
      </c>
    </row>
    <row r="5382" spans="1:8" x14ac:dyDescent="0.25">
      <c r="A5382" s="2">
        <v>44636</v>
      </c>
      <c r="B5382" s="1"/>
      <c r="C5382">
        <v>2396</v>
      </c>
      <c r="D5382" s="1" t="s">
        <v>197</v>
      </c>
      <c r="E5382" s="1"/>
      <c r="F5382">
        <v>0</v>
      </c>
      <c r="G5382" s="1" t="str">
        <f>Ocupacao_DW[[#This Row],[data]]&amp;Ocupacao_DW[[#This Row],[profissional_id]]&amp;Ocupacao_DW[[#This Row],[local_id]]</f>
        <v>4463623960</v>
      </c>
      <c r="H5382" s="1" t="str">
        <f>_xlfn.XLOOKUP(Ocupacao_DW[[#This Row],[Concat]],Vagas!$H:$H,Vagas!$D:$D,"",0)</f>
        <v/>
      </c>
    </row>
    <row r="5383" spans="1:8" x14ac:dyDescent="0.25">
      <c r="A5383" s="2">
        <v>44638</v>
      </c>
      <c r="B5383" s="1"/>
      <c r="C5383">
        <v>10691</v>
      </c>
      <c r="D5383" s="1" t="s">
        <v>181</v>
      </c>
      <c r="E5383" s="1"/>
      <c r="F5383">
        <v>0</v>
      </c>
      <c r="G5383" s="1" t="str">
        <f>Ocupacao_DW[[#This Row],[data]]&amp;Ocupacao_DW[[#This Row],[profissional_id]]&amp;Ocupacao_DW[[#This Row],[local_id]]</f>
        <v>44638106910</v>
      </c>
      <c r="H5383" s="1" t="str">
        <f>_xlfn.XLOOKUP(Ocupacao_DW[[#This Row],[Concat]],Vagas!$H:$H,Vagas!$D:$D,"",0)</f>
        <v/>
      </c>
    </row>
    <row r="5384" spans="1:8" x14ac:dyDescent="0.25">
      <c r="A5384" s="2">
        <v>44642</v>
      </c>
      <c r="B5384" s="1"/>
      <c r="C5384">
        <v>73</v>
      </c>
      <c r="D5384" s="1" t="s">
        <v>171</v>
      </c>
      <c r="E5384" s="1" t="s">
        <v>6</v>
      </c>
      <c r="F5384">
        <v>5</v>
      </c>
      <c r="G5384" s="1" t="str">
        <f>Ocupacao_DW[[#This Row],[data]]&amp;Ocupacao_DW[[#This Row],[profissional_id]]&amp;Ocupacao_DW[[#This Row],[local_id]]</f>
        <v>44642735</v>
      </c>
      <c r="H5384" s="1">
        <f>_xlfn.XLOOKUP(Ocupacao_DW[[#This Row],[Concat]],Vagas!$H:$H,Vagas!$D:$D,"",0)</f>
        <v>0</v>
      </c>
    </row>
    <row r="5385" spans="1:8" x14ac:dyDescent="0.25">
      <c r="A5385" s="2">
        <v>44641</v>
      </c>
      <c r="B5385" s="1"/>
      <c r="C5385">
        <v>13249</v>
      </c>
      <c r="D5385" s="1" t="s">
        <v>178</v>
      </c>
      <c r="E5385" s="1" t="s">
        <v>4</v>
      </c>
      <c r="F5385">
        <v>45</v>
      </c>
      <c r="G5385" s="1" t="str">
        <f>Ocupacao_DW[[#This Row],[data]]&amp;Ocupacao_DW[[#This Row],[profissional_id]]&amp;Ocupacao_DW[[#This Row],[local_id]]</f>
        <v>446411324945</v>
      </c>
      <c r="H5385" s="1">
        <f>_xlfn.XLOOKUP(Ocupacao_DW[[#This Row],[Concat]],Vagas!$H:$H,Vagas!$D:$D,"",0)</f>
        <v>0</v>
      </c>
    </row>
    <row r="5386" spans="1:8" x14ac:dyDescent="0.25">
      <c r="A5386" s="2">
        <v>44642</v>
      </c>
      <c r="B5386" s="1"/>
      <c r="C5386">
        <v>73</v>
      </c>
      <c r="D5386" s="1" t="s">
        <v>171</v>
      </c>
      <c r="E5386" s="1" t="s">
        <v>6</v>
      </c>
      <c r="F5386">
        <v>5</v>
      </c>
      <c r="G5386" s="1" t="str">
        <f>Ocupacao_DW[[#This Row],[data]]&amp;Ocupacao_DW[[#This Row],[profissional_id]]&amp;Ocupacao_DW[[#This Row],[local_id]]</f>
        <v>44642735</v>
      </c>
      <c r="H5386" s="1">
        <f>_xlfn.XLOOKUP(Ocupacao_DW[[#This Row],[Concat]],Vagas!$H:$H,Vagas!$D:$D,"",0)</f>
        <v>0</v>
      </c>
    </row>
    <row r="5387" spans="1:8" x14ac:dyDescent="0.25">
      <c r="A5387" s="2">
        <v>44635</v>
      </c>
      <c r="B5387" s="1"/>
      <c r="C5387">
        <v>266</v>
      </c>
      <c r="D5387" s="1" t="s">
        <v>201</v>
      </c>
      <c r="E5387" s="1" t="s">
        <v>4</v>
      </c>
      <c r="F5387">
        <v>42</v>
      </c>
      <c r="G5387" s="1" t="str">
        <f>Ocupacao_DW[[#This Row],[data]]&amp;Ocupacao_DW[[#This Row],[profissional_id]]&amp;Ocupacao_DW[[#This Row],[local_id]]</f>
        <v>4463526642</v>
      </c>
      <c r="H5387" s="1">
        <f>_xlfn.XLOOKUP(Ocupacao_DW[[#This Row],[Concat]],Vagas!$H:$H,Vagas!$D:$D,"",0)</f>
        <v>0</v>
      </c>
    </row>
    <row r="5388" spans="1:8" x14ac:dyDescent="0.25">
      <c r="A5388" s="2">
        <v>44642</v>
      </c>
      <c r="B5388" s="1"/>
      <c r="C5388">
        <v>73</v>
      </c>
      <c r="D5388" s="1" t="s">
        <v>171</v>
      </c>
      <c r="E5388" s="1" t="s">
        <v>6</v>
      </c>
      <c r="F5388">
        <v>5</v>
      </c>
      <c r="G5388" s="1" t="str">
        <f>Ocupacao_DW[[#This Row],[data]]&amp;Ocupacao_DW[[#This Row],[profissional_id]]&amp;Ocupacao_DW[[#This Row],[local_id]]</f>
        <v>44642735</v>
      </c>
      <c r="H5388" s="1">
        <f>_xlfn.XLOOKUP(Ocupacao_DW[[#This Row],[Concat]],Vagas!$H:$H,Vagas!$D:$D,"",0)</f>
        <v>0</v>
      </c>
    </row>
    <row r="5389" spans="1:8" x14ac:dyDescent="0.25">
      <c r="A5389" s="2">
        <v>44642</v>
      </c>
      <c r="B5389" s="1"/>
      <c r="C5389">
        <v>73</v>
      </c>
      <c r="D5389" s="1" t="s">
        <v>171</v>
      </c>
      <c r="E5389" s="1" t="s">
        <v>6</v>
      </c>
      <c r="F5389">
        <v>5</v>
      </c>
      <c r="G5389" s="1" t="str">
        <f>Ocupacao_DW[[#This Row],[data]]&amp;Ocupacao_DW[[#This Row],[profissional_id]]&amp;Ocupacao_DW[[#This Row],[local_id]]</f>
        <v>44642735</v>
      </c>
      <c r="H5389" s="1">
        <f>_xlfn.XLOOKUP(Ocupacao_DW[[#This Row],[Concat]],Vagas!$H:$H,Vagas!$D:$D,"",0)</f>
        <v>0</v>
      </c>
    </row>
    <row r="5390" spans="1:8" x14ac:dyDescent="0.25">
      <c r="A5390" s="2">
        <v>44638</v>
      </c>
      <c r="B5390" s="1"/>
      <c r="C5390">
        <v>10691</v>
      </c>
      <c r="D5390" s="1" t="s">
        <v>181</v>
      </c>
      <c r="E5390" s="1" t="s">
        <v>200</v>
      </c>
      <c r="F5390">
        <v>78</v>
      </c>
      <c r="G5390" s="1" t="str">
        <f>Ocupacao_DW[[#This Row],[data]]&amp;Ocupacao_DW[[#This Row],[profissional_id]]&amp;Ocupacao_DW[[#This Row],[local_id]]</f>
        <v>446381069178</v>
      </c>
      <c r="H5390" s="1">
        <f>_xlfn.XLOOKUP(Ocupacao_DW[[#This Row],[Concat]],Vagas!$H:$H,Vagas!$D:$D,"",0)</f>
        <v>0</v>
      </c>
    </row>
    <row r="5391" spans="1:8" x14ac:dyDescent="0.25">
      <c r="A5391" s="2">
        <v>44650</v>
      </c>
      <c r="B5391" s="1"/>
      <c r="C5391">
        <v>67</v>
      </c>
      <c r="D5391" s="1" t="s">
        <v>172</v>
      </c>
      <c r="E5391" s="1" t="s">
        <v>6</v>
      </c>
      <c r="F5391">
        <v>8</v>
      </c>
      <c r="G5391" s="1" t="str">
        <f>Ocupacao_DW[[#This Row],[data]]&amp;Ocupacao_DW[[#This Row],[profissional_id]]&amp;Ocupacao_DW[[#This Row],[local_id]]</f>
        <v>44650678</v>
      </c>
      <c r="H5391" s="1">
        <f>_xlfn.XLOOKUP(Ocupacao_DW[[#This Row],[Concat]],Vagas!$H:$H,Vagas!$D:$D,"",0)</f>
        <v>0</v>
      </c>
    </row>
    <row r="5392" spans="1:8" x14ac:dyDescent="0.25">
      <c r="A5392" s="2">
        <v>44636</v>
      </c>
      <c r="B5392" s="1" t="s">
        <v>60</v>
      </c>
      <c r="C5392">
        <v>14326</v>
      </c>
      <c r="D5392" s="1" t="s">
        <v>220</v>
      </c>
      <c r="E5392" s="1" t="s">
        <v>4</v>
      </c>
      <c r="F5392">
        <v>41</v>
      </c>
      <c r="G5392" s="1" t="str">
        <f>Ocupacao_DW[[#This Row],[data]]&amp;Ocupacao_DW[[#This Row],[profissional_id]]&amp;Ocupacao_DW[[#This Row],[local_id]]</f>
        <v>446361432641</v>
      </c>
      <c r="H5392" s="1">
        <f>_xlfn.XLOOKUP(Ocupacao_DW[[#This Row],[Concat]],Vagas!$H:$H,Vagas!$D:$D,"",0)</f>
        <v>0</v>
      </c>
    </row>
    <row r="5393" spans="1:8" x14ac:dyDescent="0.25">
      <c r="A5393" s="2">
        <v>44641</v>
      </c>
      <c r="B5393" s="1"/>
      <c r="C5393">
        <v>10691</v>
      </c>
      <c r="D5393" s="1" t="s">
        <v>181</v>
      </c>
      <c r="E5393" s="1"/>
      <c r="F5393">
        <v>0</v>
      </c>
      <c r="G5393" s="1" t="str">
        <f>Ocupacao_DW[[#This Row],[data]]&amp;Ocupacao_DW[[#This Row],[profissional_id]]&amp;Ocupacao_DW[[#This Row],[local_id]]</f>
        <v>44641106910</v>
      </c>
      <c r="H5393" s="1" t="str">
        <f>_xlfn.XLOOKUP(Ocupacao_DW[[#This Row],[Concat]],Vagas!$H:$H,Vagas!$D:$D,"",0)</f>
        <v/>
      </c>
    </row>
    <row r="5394" spans="1:8" x14ac:dyDescent="0.25">
      <c r="A5394" s="2">
        <v>44641</v>
      </c>
      <c r="B5394" s="1"/>
      <c r="C5394">
        <v>2567</v>
      </c>
      <c r="D5394" s="1" t="s">
        <v>198</v>
      </c>
      <c r="E5394" s="1" t="s">
        <v>5</v>
      </c>
      <c r="F5394">
        <v>18</v>
      </c>
      <c r="G5394" s="1" t="str">
        <f>Ocupacao_DW[[#This Row],[data]]&amp;Ocupacao_DW[[#This Row],[profissional_id]]&amp;Ocupacao_DW[[#This Row],[local_id]]</f>
        <v>44641256718</v>
      </c>
      <c r="H5394" s="1">
        <f>_xlfn.XLOOKUP(Ocupacao_DW[[#This Row],[Concat]],Vagas!$H:$H,Vagas!$D:$D,"",0)</f>
        <v>0</v>
      </c>
    </row>
    <row r="5395" spans="1:8" x14ac:dyDescent="0.25">
      <c r="A5395" s="2">
        <v>44641</v>
      </c>
      <c r="B5395" s="1"/>
      <c r="C5395">
        <v>94</v>
      </c>
      <c r="D5395" s="1" t="s">
        <v>221</v>
      </c>
      <c r="E5395" s="1" t="s">
        <v>4</v>
      </c>
      <c r="F5395">
        <v>49</v>
      </c>
      <c r="G5395" s="1" t="str">
        <f>Ocupacao_DW[[#This Row],[data]]&amp;Ocupacao_DW[[#This Row],[profissional_id]]&amp;Ocupacao_DW[[#This Row],[local_id]]</f>
        <v>446419449</v>
      </c>
      <c r="H5395" s="1">
        <f>_xlfn.XLOOKUP(Ocupacao_DW[[#This Row],[Concat]],Vagas!$H:$H,Vagas!$D:$D,"",0)</f>
        <v>0</v>
      </c>
    </row>
    <row r="5396" spans="1:8" x14ac:dyDescent="0.25">
      <c r="A5396" s="2">
        <v>44648</v>
      </c>
      <c r="B5396" s="1"/>
      <c r="C5396">
        <v>13249</v>
      </c>
      <c r="D5396" s="1" t="s">
        <v>178</v>
      </c>
      <c r="E5396" s="1" t="s">
        <v>4</v>
      </c>
      <c r="F5396">
        <v>45</v>
      </c>
      <c r="G5396" s="1" t="str">
        <f>Ocupacao_DW[[#This Row],[data]]&amp;Ocupacao_DW[[#This Row],[profissional_id]]&amp;Ocupacao_DW[[#This Row],[local_id]]</f>
        <v>446481324945</v>
      </c>
      <c r="H5396" s="1">
        <f>_xlfn.XLOOKUP(Ocupacao_DW[[#This Row],[Concat]],Vagas!$H:$H,Vagas!$D:$D,"",0)</f>
        <v>0</v>
      </c>
    </row>
    <row r="5397" spans="1:8" x14ac:dyDescent="0.25">
      <c r="A5397" s="2">
        <v>44637</v>
      </c>
      <c r="B5397" s="1" t="s">
        <v>72</v>
      </c>
      <c r="C5397">
        <v>6046</v>
      </c>
      <c r="D5397" s="1" t="s">
        <v>222</v>
      </c>
      <c r="E5397" s="1" t="s">
        <v>4</v>
      </c>
      <c r="F5397">
        <v>46</v>
      </c>
      <c r="G5397" s="1" t="str">
        <f>Ocupacao_DW[[#This Row],[data]]&amp;Ocupacao_DW[[#This Row],[profissional_id]]&amp;Ocupacao_DW[[#This Row],[local_id]]</f>
        <v>44637604646</v>
      </c>
      <c r="H5397" s="1">
        <f>_xlfn.XLOOKUP(Ocupacao_DW[[#This Row],[Concat]],Vagas!$H:$H,Vagas!$D:$D,"",0)</f>
        <v>0</v>
      </c>
    </row>
    <row r="5398" spans="1:8" x14ac:dyDescent="0.25">
      <c r="A5398" s="2">
        <v>44646</v>
      </c>
      <c r="B5398" s="1"/>
      <c r="C5398">
        <v>4887</v>
      </c>
      <c r="D5398" s="1" t="s">
        <v>168</v>
      </c>
      <c r="E5398" s="1" t="s">
        <v>5</v>
      </c>
      <c r="F5398">
        <v>18</v>
      </c>
      <c r="G5398" s="1" t="str">
        <f>Ocupacao_DW[[#This Row],[data]]&amp;Ocupacao_DW[[#This Row],[profissional_id]]&amp;Ocupacao_DW[[#This Row],[local_id]]</f>
        <v>44646488718</v>
      </c>
      <c r="H5398" s="1">
        <f>_xlfn.XLOOKUP(Ocupacao_DW[[#This Row],[Concat]],Vagas!$H:$H,Vagas!$D:$D,"",0)</f>
        <v>0</v>
      </c>
    </row>
    <row r="5399" spans="1:8" x14ac:dyDescent="0.25">
      <c r="A5399" s="2">
        <v>44655</v>
      </c>
      <c r="B5399" s="1"/>
      <c r="C5399">
        <v>75</v>
      </c>
      <c r="D5399" s="1" t="s">
        <v>208</v>
      </c>
      <c r="E5399" s="1" t="s">
        <v>5</v>
      </c>
      <c r="F5399">
        <v>15</v>
      </c>
      <c r="G5399" s="1" t="str">
        <f>Ocupacao_DW[[#This Row],[data]]&amp;Ocupacao_DW[[#This Row],[profissional_id]]&amp;Ocupacao_DW[[#This Row],[local_id]]</f>
        <v>446557515</v>
      </c>
      <c r="H5399" s="1">
        <f>_xlfn.XLOOKUP(Ocupacao_DW[[#This Row],[Concat]],Vagas!$H:$H,Vagas!$D:$D,"",0)</f>
        <v>0</v>
      </c>
    </row>
    <row r="5400" spans="1:8" x14ac:dyDescent="0.25">
      <c r="A5400" s="2">
        <v>44636</v>
      </c>
      <c r="B5400" s="1"/>
      <c r="C5400">
        <v>74</v>
      </c>
      <c r="D5400" s="1" t="s">
        <v>182</v>
      </c>
      <c r="E5400" s="1" t="s">
        <v>6</v>
      </c>
      <c r="F5400">
        <v>7</v>
      </c>
      <c r="G5400" s="1" t="str">
        <f>Ocupacao_DW[[#This Row],[data]]&amp;Ocupacao_DW[[#This Row],[profissional_id]]&amp;Ocupacao_DW[[#This Row],[local_id]]</f>
        <v>44636747</v>
      </c>
      <c r="H5400" s="1">
        <f>_xlfn.XLOOKUP(Ocupacao_DW[[#This Row],[Concat]],Vagas!$H:$H,Vagas!$D:$D,"",0)</f>
        <v>0</v>
      </c>
    </row>
    <row r="5401" spans="1:8" x14ac:dyDescent="0.25">
      <c r="A5401" s="2">
        <v>44637</v>
      </c>
      <c r="B5401" s="1"/>
      <c r="C5401">
        <v>10691</v>
      </c>
      <c r="D5401" s="1" t="s">
        <v>181</v>
      </c>
      <c r="E5401" s="1"/>
      <c r="F5401">
        <v>0</v>
      </c>
      <c r="G5401" s="1" t="str">
        <f>Ocupacao_DW[[#This Row],[data]]&amp;Ocupacao_DW[[#This Row],[profissional_id]]&amp;Ocupacao_DW[[#This Row],[local_id]]</f>
        <v>44637106910</v>
      </c>
      <c r="H5401" s="1" t="str">
        <f>_xlfn.XLOOKUP(Ocupacao_DW[[#This Row],[Concat]],Vagas!$H:$H,Vagas!$D:$D,"",0)</f>
        <v/>
      </c>
    </row>
    <row r="5402" spans="1:8" x14ac:dyDescent="0.25">
      <c r="A5402" s="2">
        <v>44636</v>
      </c>
      <c r="B5402" s="1"/>
      <c r="C5402">
        <v>74</v>
      </c>
      <c r="D5402" s="1" t="s">
        <v>182</v>
      </c>
      <c r="E5402" s="1" t="s">
        <v>6</v>
      </c>
      <c r="F5402">
        <v>7</v>
      </c>
      <c r="G5402" s="1" t="str">
        <f>Ocupacao_DW[[#This Row],[data]]&amp;Ocupacao_DW[[#This Row],[profissional_id]]&amp;Ocupacao_DW[[#This Row],[local_id]]</f>
        <v>44636747</v>
      </c>
      <c r="H5402" s="1">
        <f>_xlfn.XLOOKUP(Ocupacao_DW[[#This Row],[Concat]],Vagas!$H:$H,Vagas!$D:$D,"",0)</f>
        <v>0</v>
      </c>
    </row>
    <row r="5403" spans="1:8" x14ac:dyDescent="0.25">
      <c r="A5403" s="2">
        <v>44638</v>
      </c>
      <c r="B5403" s="1" t="s">
        <v>52</v>
      </c>
      <c r="C5403">
        <v>57</v>
      </c>
      <c r="D5403" s="1" t="s">
        <v>169</v>
      </c>
      <c r="E5403" s="1" t="s">
        <v>6</v>
      </c>
      <c r="F5403">
        <v>8</v>
      </c>
      <c r="G5403" s="1" t="str">
        <f>Ocupacao_DW[[#This Row],[data]]&amp;Ocupacao_DW[[#This Row],[profissional_id]]&amp;Ocupacao_DW[[#This Row],[local_id]]</f>
        <v>44638578</v>
      </c>
      <c r="H5403" s="1">
        <f>_xlfn.XLOOKUP(Ocupacao_DW[[#This Row],[Concat]],Vagas!$H:$H,Vagas!$D:$D,"",0)</f>
        <v>0</v>
      </c>
    </row>
    <row r="5404" spans="1:8" x14ac:dyDescent="0.25">
      <c r="A5404" s="2">
        <v>44641</v>
      </c>
      <c r="B5404" s="1"/>
      <c r="C5404">
        <v>2984</v>
      </c>
      <c r="D5404" s="1" t="s">
        <v>185</v>
      </c>
      <c r="E5404" s="1" t="s">
        <v>6</v>
      </c>
      <c r="F5404">
        <v>7</v>
      </c>
      <c r="G5404" s="1" t="str">
        <f>Ocupacao_DW[[#This Row],[data]]&amp;Ocupacao_DW[[#This Row],[profissional_id]]&amp;Ocupacao_DW[[#This Row],[local_id]]</f>
        <v>4464129847</v>
      </c>
      <c r="H5404" s="1">
        <f>_xlfn.XLOOKUP(Ocupacao_DW[[#This Row],[Concat]],Vagas!$H:$H,Vagas!$D:$D,"",0)</f>
        <v>0</v>
      </c>
    </row>
    <row r="5405" spans="1:8" x14ac:dyDescent="0.25">
      <c r="A5405" s="2">
        <v>44635</v>
      </c>
      <c r="B5405" s="1"/>
      <c r="C5405">
        <v>14237</v>
      </c>
      <c r="D5405" s="1" t="s">
        <v>186</v>
      </c>
      <c r="E5405" s="1" t="s">
        <v>4</v>
      </c>
      <c r="F5405">
        <v>47</v>
      </c>
      <c r="G5405" s="1" t="str">
        <f>Ocupacao_DW[[#This Row],[data]]&amp;Ocupacao_DW[[#This Row],[profissional_id]]&amp;Ocupacao_DW[[#This Row],[local_id]]</f>
        <v>446351423747</v>
      </c>
      <c r="H5405" s="1">
        <f>_xlfn.XLOOKUP(Ocupacao_DW[[#This Row],[Concat]],Vagas!$H:$H,Vagas!$D:$D,"",0)</f>
        <v>0</v>
      </c>
    </row>
    <row r="5406" spans="1:8" x14ac:dyDescent="0.25">
      <c r="A5406" s="2">
        <v>44655</v>
      </c>
      <c r="B5406" s="1"/>
      <c r="C5406">
        <v>17878</v>
      </c>
      <c r="D5406" s="1" t="s">
        <v>183</v>
      </c>
      <c r="E5406" s="1" t="s">
        <v>4</v>
      </c>
      <c r="F5406">
        <v>47</v>
      </c>
      <c r="G5406" s="1" t="str">
        <f>Ocupacao_DW[[#This Row],[data]]&amp;Ocupacao_DW[[#This Row],[profissional_id]]&amp;Ocupacao_DW[[#This Row],[local_id]]</f>
        <v>446551787847</v>
      </c>
      <c r="H5406" s="1">
        <f>_xlfn.XLOOKUP(Ocupacao_DW[[#This Row],[Concat]],Vagas!$H:$H,Vagas!$D:$D,"",0)</f>
        <v>6</v>
      </c>
    </row>
    <row r="5407" spans="1:8" x14ac:dyDescent="0.25">
      <c r="A5407" s="2">
        <v>44658</v>
      </c>
      <c r="B5407" s="1"/>
      <c r="C5407">
        <v>1490</v>
      </c>
      <c r="D5407" s="1" t="s">
        <v>174</v>
      </c>
      <c r="E5407" s="1" t="s">
        <v>5</v>
      </c>
      <c r="F5407">
        <v>12</v>
      </c>
      <c r="G5407" s="1" t="str">
        <f>Ocupacao_DW[[#This Row],[data]]&amp;Ocupacao_DW[[#This Row],[profissional_id]]&amp;Ocupacao_DW[[#This Row],[local_id]]</f>
        <v>44658149012</v>
      </c>
      <c r="H5407" s="1" t="str">
        <f>_xlfn.XLOOKUP(Ocupacao_DW[[#This Row],[Concat]],Vagas!$H:$H,Vagas!$D:$D,"",0)</f>
        <v/>
      </c>
    </row>
    <row r="5408" spans="1:8" x14ac:dyDescent="0.25">
      <c r="A5408" s="2">
        <v>44639</v>
      </c>
      <c r="B5408" s="1"/>
      <c r="C5408">
        <v>4887</v>
      </c>
      <c r="D5408" s="1" t="s">
        <v>168</v>
      </c>
      <c r="E5408" s="1" t="s">
        <v>5</v>
      </c>
      <c r="F5408">
        <v>18</v>
      </c>
      <c r="G5408" s="1" t="str">
        <f>Ocupacao_DW[[#This Row],[data]]&amp;Ocupacao_DW[[#This Row],[profissional_id]]&amp;Ocupacao_DW[[#This Row],[local_id]]</f>
        <v>44639488718</v>
      </c>
      <c r="H5408" s="1">
        <f>_xlfn.XLOOKUP(Ocupacao_DW[[#This Row],[Concat]],Vagas!$H:$H,Vagas!$D:$D,"",0)</f>
        <v>0</v>
      </c>
    </row>
    <row r="5409" spans="1:8" x14ac:dyDescent="0.25">
      <c r="A5409" s="2">
        <v>44641</v>
      </c>
      <c r="B5409" s="1"/>
      <c r="C5409">
        <v>13371</v>
      </c>
      <c r="D5409" s="1" t="s">
        <v>205</v>
      </c>
      <c r="E5409" s="1" t="s">
        <v>4</v>
      </c>
      <c r="F5409">
        <v>335</v>
      </c>
      <c r="G5409" s="1" t="str">
        <f>Ocupacao_DW[[#This Row],[data]]&amp;Ocupacao_DW[[#This Row],[profissional_id]]&amp;Ocupacao_DW[[#This Row],[local_id]]</f>
        <v>4464113371335</v>
      </c>
      <c r="H5409" s="1" t="str">
        <f>_xlfn.XLOOKUP(Ocupacao_DW[[#This Row],[Concat]],Vagas!$H:$H,Vagas!$D:$D,"",0)</f>
        <v/>
      </c>
    </row>
    <row r="5410" spans="1:8" x14ac:dyDescent="0.25">
      <c r="A5410" s="2">
        <v>44641</v>
      </c>
      <c r="B5410" s="1"/>
      <c r="C5410">
        <v>13371</v>
      </c>
      <c r="D5410" s="1" t="s">
        <v>205</v>
      </c>
      <c r="E5410" s="1" t="s">
        <v>4</v>
      </c>
      <c r="F5410">
        <v>335</v>
      </c>
      <c r="G5410" s="1" t="str">
        <f>Ocupacao_DW[[#This Row],[data]]&amp;Ocupacao_DW[[#This Row],[profissional_id]]&amp;Ocupacao_DW[[#This Row],[local_id]]</f>
        <v>4464113371335</v>
      </c>
      <c r="H5410" s="1" t="str">
        <f>_xlfn.XLOOKUP(Ocupacao_DW[[#This Row],[Concat]],Vagas!$H:$H,Vagas!$D:$D,"",0)</f>
        <v/>
      </c>
    </row>
    <row r="5411" spans="1:8" x14ac:dyDescent="0.25">
      <c r="A5411" s="2">
        <v>44638</v>
      </c>
      <c r="B5411" s="1"/>
      <c r="C5411">
        <v>3502</v>
      </c>
      <c r="D5411" s="1" t="s">
        <v>214</v>
      </c>
      <c r="E5411" s="1" t="s">
        <v>7</v>
      </c>
      <c r="F5411">
        <v>63</v>
      </c>
      <c r="G5411" s="1" t="str">
        <f>Ocupacao_DW[[#This Row],[data]]&amp;Ocupacao_DW[[#This Row],[profissional_id]]&amp;Ocupacao_DW[[#This Row],[local_id]]</f>
        <v>44638350263</v>
      </c>
      <c r="H5411" s="1" t="str">
        <f>_xlfn.XLOOKUP(Ocupacao_DW[[#This Row],[Concat]],Vagas!$H:$H,Vagas!$D:$D,"",0)</f>
        <v/>
      </c>
    </row>
    <row r="5412" spans="1:8" x14ac:dyDescent="0.25">
      <c r="A5412" s="2">
        <v>44637</v>
      </c>
      <c r="B5412" s="1"/>
      <c r="C5412">
        <v>266</v>
      </c>
      <c r="D5412" s="1" t="s">
        <v>201</v>
      </c>
      <c r="E5412" s="1" t="s">
        <v>4</v>
      </c>
      <c r="F5412">
        <v>42</v>
      </c>
      <c r="G5412" s="1" t="str">
        <f>Ocupacao_DW[[#This Row],[data]]&amp;Ocupacao_DW[[#This Row],[profissional_id]]&amp;Ocupacao_DW[[#This Row],[local_id]]</f>
        <v>4463726642</v>
      </c>
      <c r="H5412" s="1">
        <f>_xlfn.XLOOKUP(Ocupacao_DW[[#This Row],[Concat]],Vagas!$H:$H,Vagas!$D:$D,"",0)</f>
        <v>0</v>
      </c>
    </row>
    <row r="5413" spans="1:8" x14ac:dyDescent="0.25">
      <c r="A5413" s="2">
        <v>44650</v>
      </c>
      <c r="B5413" s="1"/>
      <c r="C5413">
        <v>67</v>
      </c>
      <c r="D5413" s="1" t="s">
        <v>172</v>
      </c>
      <c r="E5413" s="1" t="s">
        <v>6</v>
      </c>
      <c r="F5413">
        <v>8</v>
      </c>
      <c r="G5413" s="1" t="str">
        <f>Ocupacao_DW[[#This Row],[data]]&amp;Ocupacao_DW[[#This Row],[profissional_id]]&amp;Ocupacao_DW[[#This Row],[local_id]]</f>
        <v>44650678</v>
      </c>
      <c r="H5413" s="1">
        <f>_xlfn.XLOOKUP(Ocupacao_DW[[#This Row],[Concat]],Vagas!$H:$H,Vagas!$D:$D,"",0)</f>
        <v>0</v>
      </c>
    </row>
    <row r="5414" spans="1:8" x14ac:dyDescent="0.25">
      <c r="A5414" s="2">
        <v>44651</v>
      </c>
      <c r="B5414" s="1" t="s">
        <v>71</v>
      </c>
      <c r="C5414">
        <v>76</v>
      </c>
      <c r="D5414" s="1" t="s">
        <v>227</v>
      </c>
      <c r="E5414" s="1" t="s">
        <v>4</v>
      </c>
      <c r="F5414">
        <v>48</v>
      </c>
      <c r="G5414" s="1" t="str">
        <f>Ocupacao_DW[[#This Row],[data]]&amp;Ocupacao_DW[[#This Row],[profissional_id]]&amp;Ocupacao_DW[[#This Row],[local_id]]</f>
        <v>446517648</v>
      </c>
      <c r="H5414" s="1">
        <f>_xlfn.XLOOKUP(Ocupacao_DW[[#This Row],[Concat]],Vagas!$H:$H,Vagas!$D:$D,"",0)</f>
        <v>0</v>
      </c>
    </row>
    <row r="5415" spans="1:8" x14ac:dyDescent="0.25">
      <c r="A5415" s="2">
        <v>44639</v>
      </c>
      <c r="B5415" s="1"/>
      <c r="C5415">
        <v>70</v>
      </c>
      <c r="D5415" s="1" t="s">
        <v>187</v>
      </c>
      <c r="E5415" s="1" t="s">
        <v>5</v>
      </c>
      <c r="F5415">
        <v>13</v>
      </c>
      <c r="G5415" s="1" t="str">
        <f>Ocupacao_DW[[#This Row],[data]]&amp;Ocupacao_DW[[#This Row],[profissional_id]]&amp;Ocupacao_DW[[#This Row],[local_id]]</f>
        <v>446397013</v>
      </c>
      <c r="H5415" s="1">
        <f>_xlfn.XLOOKUP(Ocupacao_DW[[#This Row],[Concat]],Vagas!$H:$H,Vagas!$D:$D,"",0)</f>
        <v>0</v>
      </c>
    </row>
    <row r="5416" spans="1:8" x14ac:dyDescent="0.25">
      <c r="A5416" s="2">
        <v>44636</v>
      </c>
      <c r="B5416" s="1" t="s">
        <v>70</v>
      </c>
      <c r="C5416">
        <v>12519</v>
      </c>
      <c r="D5416" s="1" t="s">
        <v>176</v>
      </c>
      <c r="E5416" s="1" t="s">
        <v>4</v>
      </c>
      <c r="F5416">
        <v>48</v>
      </c>
      <c r="G5416" s="1" t="str">
        <f>Ocupacao_DW[[#This Row],[data]]&amp;Ocupacao_DW[[#This Row],[profissional_id]]&amp;Ocupacao_DW[[#This Row],[local_id]]</f>
        <v>446361251948</v>
      </c>
      <c r="H5416" s="1">
        <f>_xlfn.XLOOKUP(Ocupacao_DW[[#This Row],[Concat]],Vagas!$H:$H,Vagas!$D:$D,"",0)</f>
        <v>0</v>
      </c>
    </row>
    <row r="5417" spans="1:8" x14ac:dyDescent="0.25">
      <c r="A5417" s="2">
        <v>44636</v>
      </c>
      <c r="B5417" s="1" t="s">
        <v>49</v>
      </c>
      <c r="C5417">
        <v>6430</v>
      </c>
      <c r="D5417" s="1" t="s">
        <v>188</v>
      </c>
      <c r="E5417" s="1" t="s">
        <v>4</v>
      </c>
      <c r="F5417">
        <v>42</v>
      </c>
      <c r="G5417" s="1" t="str">
        <f>Ocupacao_DW[[#This Row],[data]]&amp;Ocupacao_DW[[#This Row],[profissional_id]]&amp;Ocupacao_DW[[#This Row],[local_id]]</f>
        <v>44636643042</v>
      </c>
      <c r="H5417" s="1">
        <f>_xlfn.XLOOKUP(Ocupacao_DW[[#This Row],[Concat]],Vagas!$H:$H,Vagas!$D:$D,"",0)</f>
        <v>0</v>
      </c>
    </row>
    <row r="5418" spans="1:8" x14ac:dyDescent="0.25">
      <c r="A5418" s="2">
        <v>44637</v>
      </c>
      <c r="B5418" s="1"/>
      <c r="C5418">
        <v>74</v>
      </c>
      <c r="D5418" s="1" t="s">
        <v>182</v>
      </c>
      <c r="E5418" s="1" t="s">
        <v>6</v>
      </c>
      <c r="F5418">
        <v>7</v>
      </c>
      <c r="G5418" s="1" t="str">
        <f>Ocupacao_DW[[#This Row],[data]]&amp;Ocupacao_DW[[#This Row],[profissional_id]]&amp;Ocupacao_DW[[#This Row],[local_id]]</f>
        <v>44637747</v>
      </c>
      <c r="H5418" s="1">
        <f>_xlfn.XLOOKUP(Ocupacao_DW[[#This Row],[Concat]],Vagas!$H:$H,Vagas!$D:$D,"",0)</f>
        <v>0</v>
      </c>
    </row>
    <row r="5419" spans="1:8" x14ac:dyDescent="0.25">
      <c r="A5419" s="2">
        <v>44637</v>
      </c>
      <c r="B5419" s="1"/>
      <c r="C5419">
        <v>8598</v>
      </c>
      <c r="D5419" s="1" t="s">
        <v>228</v>
      </c>
      <c r="E5419" s="1"/>
      <c r="F5419">
        <v>0</v>
      </c>
      <c r="G5419" s="1" t="str">
        <f>Ocupacao_DW[[#This Row],[data]]&amp;Ocupacao_DW[[#This Row],[profissional_id]]&amp;Ocupacao_DW[[#This Row],[local_id]]</f>
        <v>4463785980</v>
      </c>
      <c r="H5419" s="1" t="str">
        <f>_xlfn.XLOOKUP(Ocupacao_DW[[#This Row],[Concat]],Vagas!$H:$H,Vagas!$D:$D,"",0)</f>
        <v/>
      </c>
    </row>
    <row r="5420" spans="1:8" x14ac:dyDescent="0.25">
      <c r="A5420" s="2">
        <v>44635</v>
      </c>
      <c r="B5420" s="1"/>
      <c r="C5420">
        <v>11237</v>
      </c>
      <c r="D5420" s="1" t="s">
        <v>229</v>
      </c>
      <c r="E5420" s="1" t="s">
        <v>4</v>
      </c>
      <c r="F5420">
        <v>46</v>
      </c>
      <c r="G5420" s="1" t="str">
        <f>Ocupacao_DW[[#This Row],[data]]&amp;Ocupacao_DW[[#This Row],[profissional_id]]&amp;Ocupacao_DW[[#This Row],[local_id]]</f>
        <v>446351123746</v>
      </c>
      <c r="H5420" s="1">
        <f>_xlfn.XLOOKUP(Ocupacao_DW[[#This Row],[Concat]],Vagas!$H:$H,Vagas!$D:$D,"",0)</f>
        <v>0</v>
      </c>
    </row>
    <row r="5421" spans="1:8" x14ac:dyDescent="0.25">
      <c r="A5421" s="2">
        <v>44643</v>
      </c>
      <c r="B5421" s="1"/>
      <c r="C5421">
        <v>73</v>
      </c>
      <c r="D5421" s="1" t="s">
        <v>171</v>
      </c>
      <c r="E5421" s="1" t="s">
        <v>6</v>
      </c>
      <c r="F5421">
        <v>5</v>
      </c>
      <c r="G5421" s="1" t="str">
        <f>Ocupacao_DW[[#This Row],[data]]&amp;Ocupacao_DW[[#This Row],[profissional_id]]&amp;Ocupacao_DW[[#This Row],[local_id]]</f>
        <v>44643735</v>
      </c>
      <c r="H5421" s="1">
        <f>_xlfn.XLOOKUP(Ocupacao_DW[[#This Row],[Concat]],Vagas!$H:$H,Vagas!$D:$D,"",0)</f>
        <v>0</v>
      </c>
    </row>
    <row r="5422" spans="1:8" x14ac:dyDescent="0.25">
      <c r="A5422" s="2">
        <v>44642</v>
      </c>
      <c r="B5422" s="1"/>
      <c r="C5422">
        <v>73</v>
      </c>
      <c r="D5422" s="1" t="s">
        <v>171</v>
      </c>
      <c r="E5422" s="1" t="s">
        <v>6</v>
      </c>
      <c r="F5422">
        <v>5</v>
      </c>
      <c r="G5422" s="1" t="str">
        <f>Ocupacao_DW[[#This Row],[data]]&amp;Ocupacao_DW[[#This Row],[profissional_id]]&amp;Ocupacao_DW[[#This Row],[local_id]]</f>
        <v>44642735</v>
      </c>
      <c r="H5422" s="1">
        <f>_xlfn.XLOOKUP(Ocupacao_DW[[#This Row],[Concat]],Vagas!$H:$H,Vagas!$D:$D,"",0)</f>
        <v>0</v>
      </c>
    </row>
    <row r="5423" spans="1:8" x14ac:dyDescent="0.25">
      <c r="A5423" s="2">
        <v>44635</v>
      </c>
      <c r="B5423" s="1" t="s">
        <v>47</v>
      </c>
      <c r="C5423">
        <v>111</v>
      </c>
      <c r="D5423" s="1" t="s">
        <v>199</v>
      </c>
      <c r="E5423" s="1" t="s">
        <v>4</v>
      </c>
      <c r="F5423">
        <v>51</v>
      </c>
      <c r="G5423" s="1" t="str">
        <f>Ocupacao_DW[[#This Row],[data]]&amp;Ocupacao_DW[[#This Row],[profissional_id]]&amp;Ocupacao_DW[[#This Row],[local_id]]</f>
        <v>4463511151</v>
      </c>
      <c r="H5423" s="1">
        <f>_xlfn.XLOOKUP(Ocupacao_DW[[#This Row],[Concat]],Vagas!$H:$H,Vagas!$D:$D,"",0)</f>
        <v>0</v>
      </c>
    </row>
    <row r="5424" spans="1:8" x14ac:dyDescent="0.25">
      <c r="A5424" s="2">
        <v>44642</v>
      </c>
      <c r="B5424" s="1"/>
      <c r="C5424">
        <v>73</v>
      </c>
      <c r="D5424" s="1" t="s">
        <v>171</v>
      </c>
      <c r="E5424" s="1" t="s">
        <v>6</v>
      </c>
      <c r="F5424">
        <v>5</v>
      </c>
      <c r="G5424" s="1" t="str">
        <f>Ocupacao_DW[[#This Row],[data]]&amp;Ocupacao_DW[[#This Row],[profissional_id]]&amp;Ocupacao_DW[[#This Row],[local_id]]</f>
        <v>44642735</v>
      </c>
      <c r="H5424" s="1">
        <f>_xlfn.XLOOKUP(Ocupacao_DW[[#This Row],[Concat]],Vagas!$H:$H,Vagas!$D:$D,"",0)</f>
        <v>0</v>
      </c>
    </row>
    <row r="5425" spans="1:8" x14ac:dyDescent="0.25">
      <c r="A5425" s="2">
        <v>44646</v>
      </c>
      <c r="B5425" s="1"/>
      <c r="C5425">
        <v>174</v>
      </c>
      <c r="D5425" s="1" t="s">
        <v>230</v>
      </c>
      <c r="E5425" s="1"/>
      <c r="F5425">
        <v>0</v>
      </c>
      <c r="G5425" s="1" t="str">
        <f>Ocupacao_DW[[#This Row],[data]]&amp;Ocupacao_DW[[#This Row],[profissional_id]]&amp;Ocupacao_DW[[#This Row],[local_id]]</f>
        <v>446461740</v>
      </c>
      <c r="H5425" s="1" t="str">
        <f>_xlfn.XLOOKUP(Ocupacao_DW[[#This Row],[Concat]],Vagas!$H:$H,Vagas!$D:$D,"",0)</f>
        <v/>
      </c>
    </row>
    <row r="5426" spans="1:8" x14ac:dyDescent="0.25">
      <c r="A5426" s="2">
        <v>44642</v>
      </c>
      <c r="B5426" s="1"/>
      <c r="C5426">
        <v>73</v>
      </c>
      <c r="D5426" s="1" t="s">
        <v>171</v>
      </c>
      <c r="E5426" s="1" t="s">
        <v>6</v>
      </c>
      <c r="F5426">
        <v>5</v>
      </c>
      <c r="G5426" s="1" t="str">
        <f>Ocupacao_DW[[#This Row],[data]]&amp;Ocupacao_DW[[#This Row],[profissional_id]]&amp;Ocupacao_DW[[#This Row],[local_id]]</f>
        <v>44642735</v>
      </c>
      <c r="H5426" s="1">
        <f>_xlfn.XLOOKUP(Ocupacao_DW[[#This Row],[Concat]],Vagas!$H:$H,Vagas!$D:$D,"",0)</f>
        <v>0</v>
      </c>
    </row>
    <row r="5427" spans="1:8" x14ac:dyDescent="0.25">
      <c r="A5427" s="2">
        <v>44642</v>
      </c>
      <c r="B5427" s="1"/>
      <c r="C5427">
        <v>73</v>
      </c>
      <c r="D5427" s="1" t="s">
        <v>171</v>
      </c>
      <c r="E5427" s="1" t="s">
        <v>6</v>
      </c>
      <c r="F5427">
        <v>5</v>
      </c>
      <c r="G5427" s="1" t="str">
        <f>Ocupacao_DW[[#This Row],[data]]&amp;Ocupacao_DW[[#This Row],[profissional_id]]&amp;Ocupacao_DW[[#This Row],[local_id]]</f>
        <v>44642735</v>
      </c>
      <c r="H5427" s="1">
        <f>_xlfn.XLOOKUP(Ocupacao_DW[[#This Row],[Concat]],Vagas!$H:$H,Vagas!$D:$D,"",0)</f>
        <v>0</v>
      </c>
    </row>
    <row r="5428" spans="1:8" x14ac:dyDescent="0.25">
      <c r="A5428" s="2">
        <v>44638</v>
      </c>
      <c r="B5428" s="1"/>
      <c r="C5428">
        <v>3502</v>
      </c>
      <c r="D5428" s="1" t="s">
        <v>214</v>
      </c>
      <c r="E5428" s="1" t="s">
        <v>7</v>
      </c>
      <c r="F5428">
        <v>63</v>
      </c>
      <c r="G5428" s="1" t="str">
        <f>Ocupacao_DW[[#This Row],[data]]&amp;Ocupacao_DW[[#This Row],[profissional_id]]&amp;Ocupacao_DW[[#This Row],[local_id]]</f>
        <v>44638350263</v>
      </c>
      <c r="H5428" s="1" t="str">
        <f>_xlfn.XLOOKUP(Ocupacao_DW[[#This Row],[Concat]],Vagas!$H:$H,Vagas!$D:$D,"",0)</f>
        <v/>
      </c>
    </row>
    <row r="5429" spans="1:8" x14ac:dyDescent="0.25">
      <c r="A5429" s="2">
        <v>44641</v>
      </c>
      <c r="B5429" s="1"/>
      <c r="C5429">
        <v>60</v>
      </c>
      <c r="D5429" s="1" t="s">
        <v>217</v>
      </c>
      <c r="E5429" s="1"/>
      <c r="F5429">
        <v>0</v>
      </c>
      <c r="G5429" s="1" t="str">
        <f>Ocupacao_DW[[#This Row],[data]]&amp;Ocupacao_DW[[#This Row],[profissional_id]]&amp;Ocupacao_DW[[#This Row],[local_id]]</f>
        <v>44641600</v>
      </c>
      <c r="H5429" s="1" t="str">
        <f>_xlfn.XLOOKUP(Ocupacao_DW[[#This Row],[Concat]],Vagas!$H:$H,Vagas!$D:$D,"",0)</f>
        <v/>
      </c>
    </row>
    <row r="5430" spans="1:8" x14ac:dyDescent="0.25">
      <c r="A5430" s="2">
        <v>44637</v>
      </c>
      <c r="B5430" s="1"/>
      <c r="C5430">
        <v>74</v>
      </c>
      <c r="D5430" s="1" t="s">
        <v>182</v>
      </c>
      <c r="E5430" s="1" t="s">
        <v>6</v>
      </c>
      <c r="F5430">
        <v>7</v>
      </c>
      <c r="G5430" s="1" t="str">
        <f>Ocupacao_DW[[#This Row],[data]]&amp;Ocupacao_DW[[#This Row],[profissional_id]]&amp;Ocupacao_DW[[#This Row],[local_id]]</f>
        <v>44637747</v>
      </c>
      <c r="H5430" s="1">
        <f>_xlfn.XLOOKUP(Ocupacao_DW[[#This Row],[Concat]],Vagas!$H:$H,Vagas!$D:$D,"",0)</f>
        <v>0</v>
      </c>
    </row>
    <row r="5431" spans="1:8" x14ac:dyDescent="0.25">
      <c r="A5431" s="2">
        <v>44641</v>
      </c>
      <c r="B5431" s="1"/>
      <c r="C5431">
        <v>17878</v>
      </c>
      <c r="D5431" s="1" t="s">
        <v>183</v>
      </c>
      <c r="E5431" s="1" t="s">
        <v>4</v>
      </c>
      <c r="F5431">
        <v>47</v>
      </c>
      <c r="G5431" s="1" t="str">
        <f>Ocupacao_DW[[#This Row],[data]]&amp;Ocupacao_DW[[#This Row],[profissional_id]]&amp;Ocupacao_DW[[#This Row],[local_id]]</f>
        <v>446411787847</v>
      </c>
      <c r="H5431" s="1">
        <f>_xlfn.XLOOKUP(Ocupacao_DW[[#This Row],[Concat]],Vagas!$H:$H,Vagas!$D:$D,"",0)</f>
        <v>0</v>
      </c>
    </row>
    <row r="5432" spans="1:8" x14ac:dyDescent="0.25">
      <c r="A5432" s="2">
        <v>44644</v>
      </c>
      <c r="B5432" s="1"/>
      <c r="C5432">
        <v>10249</v>
      </c>
      <c r="D5432" s="1" t="s">
        <v>231</v>
      </c>
      <c r="E5432" s="1" t="s">
        <v>4</v>
      </c>
      <c r="F5432">
        <v>44</v>
      </c>
      <c r="G5432" s="1" t="str">
        <f>Ocupacao_DW[[#This Row],[data]]&amp;Ocupacao_DW[[#This Row],[profissional_id]]&amp;Ocupacao_DW[[#This Row],[local_id]]</f>
        <v>446441024944</v>
      </c>
      <c r="H5432" s="1">
        <f>_xlfn.XLOOKUP(Ocupacao_DW[[#This Row],[Concat]],Vagas!$H:$H,Vagas!$D:$D,"",0)</f>
        <v>0</v>
      </c>
    </row>
    <row r="5433" spans="1:8" x14ac:dyDescent="0.25">
      <c r="A5433" s="2">
        <v>44636</v>
      </c>
      <c r="B5433" s="1"/>
      <c r="C5433">
        <v>73</v>
      </c>
      <c r="D5433" s="1" t="s">
        <v>171</v>
      </c>
      <c r="E5433" s="1" t="s">
        <v>6</v>
      </c>
      <c r="F5433">
        <v>5</v>
      </c>
      <c r="G5433" s="1" t="str">
        <f>Ocupacao_DW[[#This Row],[data]]&amp;Ocupacao_DW[[#This Row],[profissional_id]]&amp;Ocupacao_DW[[#This Row],[local_id]]</f>
        <v>44636735</v>
      </c>
      <c r="H5433" s="1">
        <f>_xlfn.XLOOKUP(Ocupacao_DW[[#This Row],[Concat]],Vagas!$H:$H,Vagas!$D:$D,"",0)</f>
        <v>0</v>
      </c>
    </row>
    <row r="5434" spans="1:8" x14ac:dyDescent="0.25">
      <c r="A5434" s="2">
        <v>44650</v>
      </c>
      <c r="B5434" s="1"/>
      <c r="C5434">
        <v>67</v>
      </c>
      <c r="D5434" s="1" t="s">
        <v>172</v>
      </c>
      <c r="E5434" s="1" t="s">
        <v>6</v>
      </c>
      <c r="F5434">
        <v>8</v>
      </c>
      <c r="G5434" s="1" t="str">
        <f>Ocupacao_DW[[#This Row],[data]]&amp;Ocupacao_DW[[#This Row],[profissional_id]]&amp;Ocupacao_DW[[#This Row],[local_id]]</f>
        <v>44650678</v>
      </c>
      <c r="H5434" s="1">
        <f>_xlfn.XLOOKUP(Ocupacao_DW[[#This Row],[Concat]],Vagas!$H:$H,Vagas!$D:$D,"",0)</f>
        <v>0</v>
      </c>
    </row>
    <row r="5435" spans="1:8" x14ac:dyDescent="0.25">
      <c r="A5435" s="2">
        <v>44635</v>
      </c>
      <c r="B5435" s="1" t="s">
        <v>52</v>
      </c>
      <c r="C5435">
        <v>13061</v>
      </c>
      <c r="D5435" s="1" t="s">
        <v>232</v>
      </c>
      <c r="E5435" s="1" t="s">
        <v>6</v>
      </c>
      <c r="F5435">
        <v>9</v>
      </c>
      <c r="G5435" s="1" t="str">
        <f>Ocupacao_DW[[#This Row],[data]]&amp;Ocupacao_DW[[#This Row],[profissional_id]]&amp;Ocupacao_DW[[#This Row],[local_id]]</f>
        <v>44635130619</v>
      </c>
      <c r="H5435" s="1">
        <f>_xlfn.XLOOKUP(Ocupacao_DW[[#This Row],[Concat]],Vagas!$H:$H,Vagas!$D:$D,"",0)</f>
        <v>0</v>
      </c>
    </row>
    <row r="5436" spans="1:8" x14ac:dyDescent="0.25">
      <c r="A5436" s="2">
        <v>44655</v>
      </c>
      <c r="B5436" s="1"/>
      <c r="C5436">
        <v>13249</v>
      </c>
      <c r="D5436" s="1" t="s">
        <v>178</v>
      </c>
      <c r="E5436" s="1" t="s">
        <v>4</v>
      </c>
      <c r="F5436">
        <v>45</v>
      </c>
      <c r="G5436" s="1" t="str">
        <f>Ocupacao_DW[[#This Row],[data]]&amp;Ocupacao_DW[[#This Row],[profissional_id]]&amp;Ocupacao_DW[[#This Row],[local_id]]</f>
        <v>446551324945</v>
      </c>
      <c r="H5436" s="1" t="str">
        <f>_xlfn.XLOOKUP(Ocupacao_DW[[#This Row],[Concat]],Vagas!$H:$H,Vagas!$D:$D,"",0)</f>
        <v/>
      </c>
    </row>
    <row r="5437" spans="1:8" x14ac:dyDescent="0.25">
      <c r="A5437" s="2">
        <v>44642</v>
      </c>
      <c r="B5437" s="1"/>
      <c r="C5437">
        <v>73</v>
      </c>
      <c r="D5437" s="1" t="s">
        <v>171</v>
      </c>
      <c r="E5437" s="1" t="s">
        <v>6</v>
      </c>
      <c r="F5437">
        <v>5</v>
      </c>
      <c r="G5437" s="1" t="str">
        <f>Ocupacao_DW[[#This Row],[data]]&amp;Ocupacao_DW[[#This Row],[profissional_id]]&amp;Ocupacao_DW[[#This Row],[local_id]]</f>
        <v>44642735</v>
      </c>
      <c r="H5437" s="1">
        <f>_xlfn.XLOOKUP(Ocupacao_DW[[#This Row],[Concat]],Vagas!$H:$H,Vagas!$D:$D,"",0)</f>
        <v>0</v>
      </c>
    </row>
    <row r="5438" spans="1:8" x14ac:dyDescent="0.25">
      <c r="A5438" s="2">
        <v>44635</v>
      </c>
      <c r="B5438" s="1"/>
      <c r="C5438">
        <v>12913</v>
      </c>
      <c r="D5438" s="1" t="s">
        <v>196</v>
      </c>
      <c r="E5438" s="1"/>
      <c r="F5438">
        <v>0</v>
      </c>
      <c r="G5438" s="1" t="str">
        <f>Ocupacao_DW[[#This Row],[data]]&amp;Ocupacao_DW[[#This Row],[profissional_id]]&amp;Ocupacao_DW[[#This Row],[local_id]]</f>
        <v>44635129130</v>
      </c>
      <c r="H5438" s="1" t="str">
        <f>_xlfn.XLOOKUP(Ocupacao_DW[[#This Row],[Concat]],Vagas!$H:$H,Vagas!$D:$D,"",0)</f>
        <v/>
      </c>
    </row>
    <row r="5439" spans="1:8" x14ac:dyDescent="0.25">
      <c r="A5439" s="2">
        <v>44635</v>
      </c>
      <c r="B5439" s="1"/>
      <c r="C5439">
        <v>14237</v>
      </c>
      <c r="D5439" s="1" t="s">
        <v>186</v>
      </c>
      <c r="E5439" s="1" t="s">
        <v>4</v>
      </c>
      <c r="F5439">
        <v>47</v>
      </c>
      <c r="G5439" s="1" t="str">
        <f>Ocupacao_DW[[#This Row],[data]]&amp;Ocupacao_DW[[#This Row],[profissional_id]]&amp;Ocupacao_DW[[#This Row],[local_id]]</f>
        <v>446351423747</v>
      </c>
      <c r="H5439" s="1">
        <f>_xlfn.XLOOKUP(Ocupacao_DW[[#This Row],[Concat]],Vagas!$H:$H,Vagas!$D:$D,"",0)</f>
        <v>0</v>
      </c>
    </row>
    <row r="5440" spans="1:8" x14ac:dyDescent="0.25">
      <c r="A5440" s="2">
        <v>44641</v>
      </c>
      <c r="B5440" s="1"/>
      <c r="C5440">
        <v>2984</v>
      </c>
      <c r="D5440" s="1" t="s">
        <v>185</v>
      </c>
      <c r="E5440" s="1" t="s">
        <v>6</v>
      </c>
      <c r="F5440">
        <v>7</v>
      </c>
      <c r="G5440" s="1" t="str">
        <f>Ocupacao_DW[[#This Row],[data]]&amp;Ocupacao_DW[[#This Row],[profissional_id]]&amp;Ocupacao_DW[[#This Row],[local_id]]</f>
        <v>4464129847</v>
      </c>
      <c r="H5440" s="1">
        <f>_xlfn.XLOOKUP(Ocupacao_DW[[#This Row],[Concat]],Vagas!$H:$H,Vagas!$D:$D,"",0)</f>
        <v>0</v>
      </c>
    </row>
    <row r="5441" spans="1:8" x14ac:dyDescent="0.25">
      <c r="A5441" s="2">
        <v>44635</v>
      </c>
      <c r="B5441" s="1"/>
      <c r="C5441">
        <v>13249</v>
      </c>
      <c r="D5441" s="1" t="s">
        <v>178</v>
      </c>
      <c r="E5441" s="1" t="s">
        <v>4</v>
      </c>
      <c r="F5441">
        <v>45</v>
      </c>
      <c r="G5441" s="1" t="str">
        <f>Ocupacao_DW[[#This Row],[data]]&amp;Ocupacao_DW[[#This Row],[profissional_id]]&amp;Ocupacao_DW[[#This Row],[local_id]]</f>
        <v>446351324945</v>
      </c>
      <c r="H5441" s="1">
        <f>_xlfn.XLOOKUP(Ocupacao_DW[[#This Row],[Concat]],Vagas!$H:$H,Vagas!$D:$D,"",0)</f>
        <v>0</v>
      </c>
    </row>
    <row r="5442" spans="1:8" x14ac:dyDescent="0.25">
      <c r="A5442" s="2">
        <v>44649</v>
      </c>
      <c r="B5442" s="1"/>
      <c r="C5442">
        <v>13249</v>
      </c>
      <c r="D5442" s="1" t="s">
        <v>178</v>
      </c>
      <c r="E5442" s="1" t="s">
        <v>4</v>
      </c>
      <c r="F5442">
        <v>45</v>
      </c>
      <c r="G5442" s="1" t="str">
        <f>Ocupacao_DW[[#This Row],[data]]&amp;Ocupacao_DW[[#This Row],[profissional_id]]&amp;Ocupacao_DW[[#This Row],[local_id]]</f>
        <v>446491324945</v>
      </c>
      <c r="H5442" s="1">
        <f>_xlfn.XLOOKUP(Ocupacao_DW[[#This Row],[Concat]],Vagas!$H:$H,Vagas!$D:$D,"",0)</f>
        <v>0</v>
      </c>
    </row>
    <row r="5443" spans="1:8" x14ac:dyDescent="0.25">
      <c r="A5443" s="2">
        <v>44636</v>
      </c>
      <c r="B5443" s="1"/>
      <c r="C5443">
        <v>17859</v>
      </c>
      <c r="D5443" s="1" t="s">
        <v>212</v>
      </c>
      <c r="E5443" s="1" t="s">
        <v>6</v>
      </c>
      <c r="F5443">
        <v>7</v>
      </c>
      <c r="G5443" s="1" t="str">
        <f>Ocupacao_DW[[#This Row],[data]]&amp;Ocupacao_DW[[#This Row],[profissional_id]]&amp;Ocupacao_DW[[#This Row],[local_id]]</f>
        <v>44636178597</v>
      </c>
      <c r="H5443" s="1">
        <f>_xlfn.XLOOKUP(Ocupacao_DW[[#This Row],[Concat]],Vagas!$H:$H,Vagas!$D:$D,"",0)</f>
        <v>0</v>
      </c>
    </row>
    <row r="5444" spans="1:8" x14ac:dyDescent="0.25">
      <c r="A5444" s="2">
        <v>44638</v>
      </c>
      <c r="B5444" s="1"/>
      <c r="C5444">
        <v>17864</v>
      </c>
      <c r="D5444" s="1" t="s">
        <v>234</v>
      </c>
      <c r="E5444" s="1" t="s">
        <v>7</v>
      </c>
      <c r="F5444">
        <v>60</v>
      </c>
      <c r="G5444" s="1" t="str">
        <f>Ocupacao_DW[[#This Row],[data]]&amp;Ocupacao_DW[[#This Row],[profissional_id]]&amp;Ocupacao_DW[[#This Row],[local_id]]</f>
        <v>446381786460</v>
      </c>
      <c r="H5444" s="1">
        <f>_xlfn.XLOOKUP(Ocupacao_DW[[#This Row],[Concat]],Vagas!$H:$H,Vagas!$D:$D,"",0)</f>
        <v>0</v>
      </c>
    </row>
    <row r="5445" spans="1:8" x14ac:dyDescent="0.25">
      <c r="A5445" s="2">
        <v>44645</v>
      </c>
      <c r="B5445" s="1"/>
      <c r="C5445">
        <v>1794</v>
      </c>
      <c r="D5445" s="1" t="s">
        <v>235</v>
      </c>
      <c r="E5445" s="1" t="s">
        <v>4</v>
      </c>
      <c r="F5445">
        <v>46</v>
      </c>
      <c r="G5445" s="1" t="str">
        <f>Ocupacao_DW[[#This Row],[data]]&amp;Ocupacao_DW[[#This Row],[profissional_id]]&amp;Ocupacao_DW[[#This Row],[local_id]]</f>
        <v>44645179446</v>
      </c>
      <c r="H5445" s="1">
        <f>_xlfn.XLOOKUP(Ocupacao_DW[[#This Row],[Concat]],Vagas!$H:$H,Vagas!$D:$D,"",0)</f>
        <v>23</v>
      </c>
    </row>
    <row r="5446" spans="1:8" x14ac:dyDescent="0.25">
      <c r="A5446" s="2">
        <v>44636</v>
      </c>
      <c r="B5446" s="1"/>
      <c r="C5446">
        <v>10785</v>
      </c>
      <c r="D5446" s="1" t="s">
        <v>237</v>
      </c>
      <c r="E5446" s="1" t="s">
        <v>5</v>
      </c>
      <c r="F5446">
        <v>14</v>
      </c>
      <c r="G5446" s="1" t="str">
        <f>Ocupacao_DW[[#This Row],[data]]&amp;Ocupacao_DW[[#This Row],[profissional_id]]&amp;Ocupacao_DW[[#This Row],[local_id]]</f>
        <v>446361078514</v>
      </c>
      <c r="H5446" s="1">
        <f>_xlfn.XLOOKUP(Ocupacao_DW[[#This Row],[Concat]],Vagas!$H:$H,Vagas!$D:$D,"",0)</f>
        <v>8</v>
      </c>
    </row>
    <row r="5447" spans="1:8" x14ac:dyDescent="0.25">
      <c r="A5447" s="2">
        <v>44635</v>
      </c>
      <c r="B5447" s="1"/>
      <c r="C5447">
        <v>13249</v>
      </c>
      <c r="D5447" s="1" t="s">
        <v>178</v>
      </c>
      <c r="E5447" s="1" t="s">
        <v>4</v>
      </c>
      <c r="F5447">
        <v>45</v>
      </c>
      <c r="G5447" s="1" t="str">
        <f>Ocupacao_DW[[#This Row],[data]]&amp;Ocupacao_DW[[#This Row],[profissional_id]]&amp;Ocupacao_DW[[#This Row],[local_id]]</f>
        <v>446351324945</v>
      </c>
      <c r="H5447" s="1">
        <f>_xlfn.XLOOKUP(Ocupacao_DW[[#This Row],[Concat]],Vagas!$H:$H,Vagas!$D:$D,"",0)</f>
        <v>0</v>
      </c>
    </row>
    <row r="5448" spans="1:8" x14ac:dyDescent="0.25">
      <c r="A5448" s="2">
        <v>44642</v>
      </c>
      <c r="B5448" s="1"/>
      <c r="C5448">
        <v>10941</v>
      </c>
      <c r="D5448" s="1" t="s">
        <v>224</v>
      </c>
      <c r="E5448" s="1" t="s">
        <v>200</v>
      </c>
      <c r="F5448">
        <v>83</v>
      </c>
      <c r="G5448" s="1" t="str">
        <f>Ocupacao_DW[[#This Row],[data]]&amp;Ocupacao_DW[[#This Row],[profissional_id]]&amp;Ocupacao_DW[[#This Row],[local_id]]</f>
        <v>446421094183</v>
      </c>
      <c r="H5448" s="1">
        <f>_xlfn.XLOOKUP(Ocupacao_DW[[#This Row],[Concat]],Vagas!$H:$H,Vagas!$D:$D,"",0)</f>
        <v>0</v>
      </c>
    </row>
    <row r="5449" spans="1:8" x14ac:dyDescent="0.25">
      <c r="A5449" s="2">
        <v>44639</v>
      </c>
      <c r="B5449" s="1"/>
      <c r="C5449">
        <v>4887</v>
      </c>
      <c r="D5449" s="1" t="s">
        <v>168</v>
      </c>
      <c r="E5449" s="1" t="s">
        <v>5</v>
      </c>
      <c r="F5449">
        <v>18</v>
      </c>
      <c r="G5449" s="1" t="str">
        <f>Ocupacao_DW[[#This Row],[data]]&amp;Ocupacao_DW[[#This Row],[profissional_id]]&amp;Ocupacao_DW[[#This Row],[local_id]]</f>
        <v>44639488718</v>
      </c>
      <c r="H5449" s="1">
        <f>_xlfn.XLOOKUP(Ocupacao_DW[[#This Row],[Concat]],Vagas!$H:$H,Vagas!$D:$D,"",0)</f>
        <v>0</v>
      </c>
    </row>
    <row r="5450" spans="1:8" x14ac:dyDescent="0.25">
      <c r="A5450" s="2">
        <v>44636</v>
      </c>
      <c r="B5450" s="1"/>
      <c r="C5450">
        <v>14326</v>
      </c>
      <c r="D5450" s="1" t="s">
        <v>220</v>
      </c>
      <c r="E5450" s="1"/>
      <c r="F5450">
        <v>0</v>
      </c>
      <c r="G5450" s="1" t="str">
        <f>Ocupacao_DW[[#This Row],[data]]&amp;Ocupacao_DW[[#This Row],[profissional_id]]&amp;Ocupacao_DW[[#This Row],[local_id]]</f>
        <v>44636143260</v>
      </c>
      <c r="H5450" s="1" t="str">
        <f>_xlfn.XLOOKUP(Ocupacao_DW[[#This Row],[Concat]],Vagas!$H:$H,Vagas!$D:$D,"",0)</f>
        <v/>
      </c>
    </row>
    <row r="5451" spans="1:8" x14ac:dyDescent="0.25">
      <c r="A5451" s="2">
        <v>44636</v>
      </c>
      <c r="B5451" s="1"/>
      <c r="C5451">
        <v>60</v>
      </c>
      <c r="D5451" s="1" t="s">
        <v>217</v>
      </c>
      <c r="E5451" s="1"/>
      <c r="F5451">
        <v>0</v>
      </c>
      <c r="G5451" s="1" t="str">
        <f>Ocupacao_DW[[#This Row],[data]]&amp;Ocupacao_DW[[#This Row],[profissional_id]]&amp;Ocupacao_DW[[#This Row],[local_id]]</f>
        <v>44636600</v>
      </c>
      <c r="H5451" s="1" t="str">
        <f>_xlfn.XLOOKUP(Ocupacao_DW[[#This Row],[Concat]],Vagas!$H:$H,Vagas!$D:$D,"",0)</f>
        <v/>
      </c>
    </row>
    <row r="5452" spans="1:8" x14ac:dyDescent="0.25">
      <c r="A5452" s="2">
        <v>44638</v>
      </c>
      <c r="B5452" s="1"/>
      <c r="C5452">
        <v>13249</v>
      </c>
      <c r="D5452" s="1" t="s">
        <v>178</v>
      </c>
      <c r="E5452" s="1" t="s">
        <v>7</v>
      </c>
      <c r="F5452">
        <v>66</v>
      </c>
      <c r="G5452" s="1" t="str">
        <f>Ocupacao_DW[[#This Row],[data]]&amp;Ocupacao_DW[[#This Row],[profissional_id]]&amp;Ocupacao_DW[[#This Row],[local_id]]</f>
        <v>446381324966</v>
      </c>
      <c r="H5452" s="1">
        <f>_xlfn.XLOOKUP(Ocupacao_DW[[#This Row],[Concat]],Vagas!$H:$H,Vagas!$D:$D,"",0)</f>
        <v>0</v>
      </c>
    </row>
    <row r="5453" spans="1:8" x14ac:dyDescent="0.25">
      <c r="A5453" s="2">
        <v>44637</v>
      </c>
      <c r="B5453" s="1"/>
      <c r="C5453">
        <v>266</v>
      </c>
      <c r="D5453" s="1" t="s">
        <v>201</v>
      </c>
      <c r="E5453" s="1" t="s">
        <v>4</v>
      </c>
      <c r="F5453">
        <v>42</v>
      </c>
      <c r="G5453" s="1" t="str">
        <f>Ocupacao_DW[[#This Row],[data]]&amp;Ocupacao_DW[[#This Row],[profissional_id]]&amp;Ocupacao_DW[[#This Row],[local_id]]</f>
        <v>4463726642</v>
      </c>
      <c r="H5453" s="1">
        <f>_xlfn.XLOOKUP(Ocupacao_DW[[#This Row],[Concat]],Vagas!$H:$H,Vagas!$D:$D,"",0)</f>
        <v>0</v>
      </c>
    </row>
    <row r="5454" spans="1:8" x14ac:dyDescent="0.25">
      <c r="A5454" s="2">
        <v>44636</v>
      </c>
      <c r="B5454" s="1"/>
      <c r="C5454">
        <v>2396</v>
      </c>
      <c r="D5454" s="1" t="s">
        <v>197</v>
      </c>
      <c r="E5454" s="1"/>
      <c r="F5454">
        <v>0</v>
      </c>
      <c r="G5454" s="1" t="str">
        <f>Ocupacao_DW[[#This Row],[data]]&amp;Ocupacao_DW[[#This Row],[profissional_id]]&amp;Ocupacao_DW[[#This Row],[local_id]]</f>
        <v>4463623960</v>
      </c>
      <c r="H5454" s="1" t="str">
        <f>_xlfn.XLOOKUP(Ocupacao_DW[[#This Row],[Concat]],Vagas!$H:$H,Vagas!$D:$D,"",0)</f>
        <v/>
      </c>
    </row>
    <row r="5455" spans="1:8" x14ac:dyDescent="0.25">
      <c r="A5455" s="2">
        <v>44635</v>
      </c>
      <c r="B5455" s="1"/>
      <c r="C5455">
        <v>12669</v>
      </c>
      <c r="D5455" s="1" t="s">
        <v>223</v>
      </c>
      <c r="E5455" s="1" t="s">
        <v>167</v>
      </c>
      <c r="F5455">
        <v>342</v>
      </c>
      <c r="G5455" s="1" t="str">
        <f>Ocupacao_DW[[#This Row],[data]]&amp;Ocupacao_DW[[#This Row],[profissional_id]]&amp;Ocupacao_DW[[#This Row],[local_id]]</f>
        <v>4463512669342</v>
      </c>
      <c r="H5455" s="1" t="str">
        <f>_xlfn.XLOOKUP(Ocupacao_DW[[#This Row],[Concat]],Vagas!$H:$H,Vagas!$D:$D,"",0)</f>
        <v/>
      </c>
    </row>
    <row r="5456" spans="1:8" x14ac:dyDescent="0.25">
      <c r="A5456" s="2">
        <v>44644</v>
      </c>
      <c r="B5456" s="1"/>
      <c r="C5456">
        <v>74</v>
      </c>
      <c r="D5456" s="1" t="s">
        <v>182</v>
      </c>
      <c r="E5456" s="1" t="s">
        <v>6</v>
      </c>
      <c r="F5456">
        <v>7</v>
      </c>
      <c r="G5456" s="1" t="str">
        <f>Ocupacao_DW[[#This Row],[data]]&amp;Ocupacao_DW[[#This Row],[profissional_id]]&amp;Ocupacao_DW[[#This Row],[local_id]]</f>
        <v>44644747</v>
      </c>
      <c r="H5456" s="1">
        <f>_xlfn.XLOOKUP(Ocupacao_DW[[#This Row],[Concat]],Vagas!$H:$H,Vagas!$D:$D,"",0)</f>
        <v>0</v>
      </c>
    </row>
    <row r="5457" spans="1:8" x14ac:dyDescent="0.25">
      <c r="A5457" s="2">
        <v>44635</v>
      </c>
      <c r="B5457" s="1"/>
      <c r="C5457">
        <v>2984</v>
      </c>
      <c r="D5457" s="1" t="s">
        <v>185</v>
      </c>
      <c r="E5457" s="1"/>
      <c r="F5457">
        <v>0</v>
      </c>
      <c r="G5457" s="1" t="str">
        <f>Ocupacao_DW[[#This Row],[data]]&amp;Ocupacao_DW[[#This Row],[profissional_id]]&amp;Ocupacao_DW[[#This Row],[local_id]]</f>
        <v>4463529840</v>
      </c>
      <c r="H5457" s="1" t="str">
        <f>_xlfn.XLOOKUP(Ocupacao_DW[[#This Row],[Concat]],Vagas!$H:$H,Vagas!$D:$D,"",0)</f>
        <v/>
      </c>
    </row>
    <row r="5458" spans="1:8" x14ac:dyDescent="0.25">
      <c r="A5458" s="2">
        <v>44643</v>
      </c>
      <c r="B5458" s="1"/>
      <c r="C5458">
        <v>2396</v>
      </c>
      <c r="D5458" s="1" t="s">
        <v>197</v>
      </c>
      <c r="E5458" s="1"/>
      <c r="F5458">
        <v>0</v>
      </c>
      <c r="G5458" s="1" t="str">
        <f>Ocupacao_DW[[#This Row],[data]]&amp;Ocupacao_DW[[#This Row],[profissional_id]]&amp;Ocupacao_DW[[#This Row],[local_id]]</f>
        <v>4464323960</v>
      </c>
      <c r="H5458" s="1" t="str">
        <f>_xlfn.XLOOKUP(Ocupacao_DW[[#This Row],[Concat]],Vagas!$H:$H,Vagas!$D:$D,"",0)</f>
        <v/>
      </c>
    </row>
    <row r="5459" spans="1:8" x14ac:dyDescent="0.25">
      <c r="A5459" s="2">
        <v>44643</v>
      </c>
      <c r="B5459" s="1"/>
      <c r="C5459">
        <v>2396</v>
      </c>
      <c r="D5459" s="1" t="s">
        <v>197</v>
      </c>
      <c r="E5459" s="1"/>
      <c r="F5459">
        <v>0</v>
      </c>
      <c r="G5459" s="1" t="str">
        <f>Ocupacao_DW[[#This Row],[data]]&amp;Ocupacao_DW[[#This Row],[profissional_id]]&amp;Ocupacao_DW[[#This Row],[local_id]]</f>
        <v>4464323960</v>
      </c>
      <c r="H5459" s="1" t="str">
        <f>_xlfn.XLOOKUP(Ocupacao_DW[[#This Row],[Concat]],Vagas!$H:$H,Vagas!$D:$D,"",0)</f>
        <v/>
      </c>
    </row>
    <row r="5460" spans="1:8" x14ac:dyDescent="0.25">
      <c r="A5460" s="2">
        <v>44643</v>
      </c>
      <c r="B5460" s="1"/>
      <c r="C5460">
        <v>2396</v>
      </c>
      <c r="D5460" s="1" t="s">
        <v>197</v>
      </c>
      <c r="E5460" s="1"/>
      <c r="F5460">
        <v>0</v>
      </c>
      <c r="G5460" s="1" t="str">
        <f>Ocupacao_DW[[#This Row],[data]]&amp;Ocupacao_DW[[#This Row],[profissional_id]]&amp;Ocupacao_DW[[#This Row],[local_id]]</f>
        <v>4464323960</v>
      </c>
      <c r="H5460" s="1" t="str">
        <f>_xlfn.XLOOKUP(Ocupacao_DW[[#This Row],[Concat]],Vagas!$H:$H,Vagas!$D:$D,"",0)</f>
        <v/>
      </c>
    </row>
    <row r="5461" spans="1:8" x14ac:dyDescent="0.25">
      <c r="A5461" s="2">
        <v>44635</v>
      </c>
      <c r="B5461" s="1" t="s">
        <v>55</v>
      </c>
      <c r="C5461">
        <v>2984</v>
      </c>
      <c r="D5461" s="1" t="s">
        <v>185</v>
      </c>
      <c r="E5461" s="1" t="s">
        <v>5</v>
      </c>
      <c r="F5461">
        <v>349</v>
      </c>
      <c r="G5461" s="1" t="str">
        <f>Ocupacao_DW[[#This Row],[data]]&amp;Ocupacao_DW[[#This Row],[profissional_id]]&amp;Ocupacao_DW[[#This Row],[local_id]]</f>
        <v>446352984349</v>
      </c>
      <c r="H5461" s="1" t="str">
        <f>_xlfn.XLOOKUP(Ocupacao_DW[[#This Row],[Concat]],Vagas!$H:$H,Vagas!$D:$D,"",0)</f>
        <v/>
      </c>
    </row>
    <row r="5462" spans="1:8" x14ac:dyDescent="0.25">
      <c r="A5462" s="2">
        <v>44636</v>
      </c>
      <c r="B5462" s="1" t="s">
        <v>24</v>
      </c>
      <c r="C5462">
        <v>13061</v>
      </c>
      <c r="D5462" s="1" t="s">
        <v>232</v>
      </c>
      <c r="E5462" s="1" t="s">
        <v>6</v>
      </c>
      <c r="F5462">
        <v>1</v>
      </c>
      <c r="G5462" s="1" t="str">
        <f>Ocupacao_DW[[#This Row],[data]]&amp;Ocupacao_DW[[#This Row],[profissional_id]]&amp;Ocupacao_DW[[#This Row],[local_id]]</f>
        <v>44636130611</v>
      </c>
      <c r="H5462" s="1" t="str">
        <f>_xlfn.XLOOKUP(Ocupacao_DW[[#This Row],[Concat]],Vagas!$H:$H,Vagas!$D:$D,"",0)</f>
        <v/>
      </c>
    </row>
    <row r="5463" spans="1:8" x14ac:dyDescent="0.25">
      <c r="A5463" s="2">
        <v>44635</v>
      </c>
      <c r="B5463" s="1"/>
      <c r="C5463">
        <v>9138</v>
      </c>
      <c r="D5463" s="1" t="s">
        <v>184</v>
      </c>
      <c r="E5463" s="1" t="s">
        <v>167</v>
      </c>
      <c r="F5463">
        <v>344</v>
      </c>
      <c r="G5463" s="1" t="str">
        <f>Ocupacao_DW[[#This Row],[data]]&amp;Ocupacao_DW[[#This Row],[profissional_id]]&amp;Ocupacao_DW[[#This Row],[local_id]]</f>
        <v>446359138344</v>
      </c>
      <c r="H5463" s="1">
        <f>_xlfn.XLOOKUP(Ocupacao_DW[[#This Row],[Concat]],Vagas!$H:$H,Vagas!$D:$D,"",0)</f>
        <v>0</v>
      </c>
    </row>
    <row r="5464" spans="1:8" x14ac:dyDescent="0.25">
      <c r="A5464" s="2">
        <v>44635</v>
      </c>
      <c r="B5464" s="1"/>
      <c r="C5464">
        <v>85</v>
      </c>
      <c r="D5464" s="1" t="s">
        <v>211</v>
      </c>
      <c r="E5464" s="1" t="s">
        <v>5</v>
      </c>
      <c r="F5464">
        <v>349</v>
      </c>
      <c r="G5464" s="1" t="str">
        <f>Ocupacao_DW[[#This Row],[data]]&amp;Ocupacao_DW[[#This Row],[profissional_id]]&amp;Ocupacao_DW[[#This Row],[local_id]]</f>
        <v>4463585349</v>
      </c>
      <c r="H5464" s="1">
        <f>_xlfn.XLOOKUP(Ocupacao_DW[[#This Row],[Concat]],Vagas!$H:$H,Vagas!$D:$D,"",0)</f>
        <v>0</v>
      </c>
    </row>
    <row r="5465" spans="1:8" x14ac:dyDescent="0.25">
      <c r="A5465" s="2">
        <v>44643</v>
      </c>
      <c r="B5465" s="1" t="s">
        <v>55</v>
      </c>
      <c r="C5465">
        <v>73</v>
      </c>
      <c r="D5465" s="1" t="s">
        <v>171</v>
      </c>
      <c r="E5465" s="1" t="s">
        <v>6</v>
      </c>
      <c r="F5465">
        <v>5</v>
      </c>
      <c r="G5465" s="1" t="str">
        <f>Ocupacao_DW[[#This Row],[data]]&amp;Ocupacao_DW[[#This Row],[profissional_id]]&amp;Ocupacao_DW[[#This Row],[local_id]]</f>
        <v>44643735</v>
      </c>
      <c r="H5465" s="1">
        <f>_xlfn.XLOOKUP(Ocupacao_DW[[#This Row],[Concat]],Vagas!$H:$H,Vagas!$D:$D,"",0)</f>
        <v>0</v>
      </c>
    </row>
    <row r="5466" spans="1:8" x14ac:dyDescent="0.25">
      <c r="A5466" s="2">
        <v>44637</v>
      </c>
      <c r="B5466" s="1"/>
      <c r="C5466">
        <v>8598</v>
      </c>
      <c r="D5466" s="1" t="s">
        <v>228</v>
      </c>
      <c r="E5466" s="1"/>
      <c r="F5466">
        <v>0</v>
      </c>
      <c r="G5466" s="1" t="str">
        <f>Ocupacao_DW[[#This Row],[data]]&amp;Ocupacao_DW[[#This Row],[profissional_id]]&amp;Ocupacao_DW[[#This Row],[local_id]]</f>
        <v>4463785980</v>
      </c>
      <c r="H5466" s="1" t="str">
        <f>_xlfn.XLOOKUP(Ocupacao_DW[[#This Row],[Concat]],Vagas!$H:$H,Vagas!$D:$D,"",0)</f>
        <v/>
      </c>
    </row>
    <row r="5467" spans="1:8" x14ac:dyDescent="0.25">
      <c r="A5467" s="2">
        <v>44635</v>
      </c>
      <c r="B5467" s="1"/>
      <c r="C5467">
        <v>2984</v>
      </c>
      <c r="D5467" s="1" t="s">
        <v>185</v>
      </c>
      <c r="E5467" s="1"/>
      <c r="F5467">
        <v>0</v>
      </c>
      <c r="G5467" s="1" t="str">
        <f>Ocupacao_DW[[#This Row],[data]]&amp;Ocupacao_DW[[#This Row],[profissional_id]]&amp;Ocupacao_DW[[#This Row],[local_id]]</f>
        <v>4463529840</v>
      </c>
      <c r="H5467" s="1" t="str">
        <f>_xlfn.XLOOKUP(Ocupacao_DW[[#This Row],[Concat]],Vagas!$H:$H,Vagas!$D:$D,"",0)</f>
        <v/>
      </c>
    </row>
    <row r="5468" spans="1:8" x14ac:dyDescent="0.25">
      <c r="A5468" s="2">
        <v>44635</v>
      </c>
      <c r="B5468" s="1"/>
      <c r="C5468">
        <v>3502</v>
      </c>
      <c r="D5468" s="1" t="s">
        <v>214</v>
      </c>
      <c r="E5468" s="1"/>
      <c r="F5468">
        <v>0</v>
      </c>
      <c r="G5468" s="1" t="str">
        <f>Ocupacao_DW[[#This Row],[data]]&amp;Ocupacao_DW[[#This Row],[profissional_id]]&amp;Ocupacao_DW[[#This Row],[local_id]]</f>
        <v>4463535020</v>
      </c>
      <c r="H5468" s="1" t="str">
        <f>_xlfn.XLOOKUP(Ocupacao_DW[[#This Row],[Concat]],Vagas!$H:$H,Vagas!$D:$D,"",0)</f>
        <v/>
      </c>
    </row>
    <row r="5469" spans="1:8" x14ac:dyDescent="0.25">
      <c r="A5469" s="2">
        <v>44643</v>
      </c>
      <c r="B5469" s="1"/>
      <c r="C5469">
        <v>60</v>
      </c>
      <c r="D5469" s="1" t="s">
        <v>217</v>
      </c>
      <c r="E5469" s="1"/>
      <c r="F5469">
        <v>0</v>
      </c>
      <c r="G5469" s="1" t="str">
        <f>Ocupacao_DW[[#This Row],[data]]&amp;Ocupacao_DW[[#This Row],[profissional_id]]&amp;Ocupacao_DW[[#This Row],[local_id]]</f>
        <v>44643600</v>
      </c>
      <c r="H5469" s="1" t="str">
        <f>_xlfn.XLOOKUP(Ocupacao_DW[[#This Row],[Concat]],Vagas!$H:$H,Vagas!$D:$D,"",0)</f>
        <v/>
      </c>
    </row>
    <row r="5470" spans="1:8" x14ac:dyDescent="0.25">
      <c r="A5470" s="2">
        <v>44644</v>
      </c>
      <c r="B5470" s="1" t="s">
        <v>55</v>
      </c>
      <c r="C5470">
        <v>12426</v>
      </c>
      <c r="D5470" s="1" t="s">
        <v>215</v>
      </c>
      <c r="E5470" s="1" t="s">
        <v>6</v>
      </c>
      <c r="F5470">
        <v>5</v>
      </c>
      <c r="G5470" s="1" t="str">
        <f>Ocupacao_DW[[#This Row],[data]]&amp;Ocupacao_DW[[#This Row],[profissional_id]]&amp;Ocupacao_DW[[#This Row],[local_id]]</f>
        <v>44644124265</v>
      </c>
      <c r="H5470" s="1">
        <f>_xlfn.XLOOKUP(Ocupacao_DW[[#This Row],[Concat]],Vagas!$H:$H,Vagas!$D:$D,"",0)</f>
        <v>0</v>
      </c>
    </row>
    <row r="5471" spans="1:8" x14ac:dyDescent="0.25">
      <c r="A5471" s="2">
        <v>44635</v>
      </c>
      <c r="B5471" s="1"/>
      <c r="C5471">
        <v>2984</v>
      </c>
      <c r="D5471" s="1" t="s">
        <v>185</v>
      </c>
      <c r="E5471" s="1"/>
      <c r="F5471">
        <v>0</v>
      </c>
      <c r="G5471" s="1" t="str">
        <f>Ocupacao_DW[[#This Row],[data]]&amp;Ocupacao_DW[[#This Row],[profissional_id]]&amp;Ocupacao_DW[[#This Row],[local_id]]</f>
        <v>4463529840</v>
      </c>
      <c r="H5471" s="1" t="str">
        <f>_xlfn.XLOOKUP(Ocupacao_DW[[#This Row],[Concat]],Vagas!$H:$H,Vagas!$D:$D,"",0)</f>
        <v/>
      </c>
    </row>
    <row r="5472" spans="1:8" x14ac:dyDescent="0.25">
      <c r="A5472" s="2">
        <v>44645</v>
      </c>
      <c r="B5472" s="1"/>
      <c r="C5472">
        <v>2984</v>
      </c>
      <c r="D5472" s="1" t="s">
        <v>185</v>
      </c>
      <c r="E5472" s="1" t="s">
        <v>6</v>
      </c>
      <c r="F5472">
        <v>7</v>
      </c>
      <c r="G5472" s="1" t="str">
        <f>Ocupacao_DW[[#This Row],[data]]&amp;Ocupacao_DW[[#This Row],[profissional_id]]&amp;Ocupacao_DW[[#This Row],[local_id]]</f>
        <v>4464529847</v>
      </c>
      <c r="H5472" s="1">
        <f>_xlfn.XLOOKUP(Ocupacao_DW[[#This Row],[Concat]],Vagas!$H:$H,Vagas!$D:$D,"",0)</f>
        <v>0</v>
      </c>
    </row>
    <row r="5473" spans="1:8" x14ac:dyDescent="0.25">
      <c r="A5473" s="2">
        <v>44641</v>
      </c>
      <c r="B5473" s="1"/>
      <c r="C5473">
        <v>6392</v>
      </c>
      <c r="D5473" s="1" t="s">
        <v>173</v>
      </c>
      <c r="E5473" s="1" t="s">
        <v>6</v>
      </c>
      <c r="F5473">
        <v>5</v>
      </c>
      <c r="G5473" s="1" t="str">
        <f>Ocupacao_DW[[#This Row],[data]]&amp;Ocupacao_DW[[#This Row],[profissional_id]]&amp;Ocupacao_DW[[#This Row],[local_id]]</f>
        <v>4464163925</v>
      </c>
      <c r="H5473" s="1">
        <f>_xlfn.XLOOKUP(Ocupacao_DW[[#This Row],[Concat]],Vagas!$H:$H,Vagas!$D:$D,"",0)</f>
        <v>0</v>
      </c>
    </row>
    <row r="5474" spans="1:8" x14ac:dyDescent="0.25">
      <c r="A5474" s="2">
        <v>44635</v>
      </c>
      <c r="B5474" s="1"/>
      <c r="C5474">
        <v>2984</v>
      </c>
      <c r="D5474" s="1" t="s">
        <v>185</v>
      </c>
      <c r="E5474" s="1"/>
      <c r="F5474">
        <v>0</v>
      </c>
      <c r="G5474" s="1" t="str">
        <f>Ocupacao_DW[[#This Row],[data]]&amp;Ocupacao_DW[[#This Row],[profissional_id]]&amp;Ocupacao_DW[[#This Row],[local_id]]</f>
        <v>4463529840</v>
      </c>
      <c r="H5474" s="1" t="str">
        <f>_xlfn.XLOOKUP(Ocupacao_DW[[#This Row],[Concat]],Vagas!$H:$H,Vagas!$D:$D,"",0)</f>
        <v/>
      </c>
    </row>
    <row r="5475" spans="1:8" x14ac:dyDescent="0.25">
      <c r="A5475" s="2">
        <v>44636</v>
      </c>
      <c r="B5475" s="1"/>
      <c r="C5475">
        <v>5767</v>
      </c>
      <c r="D5475" s="1" t="s">
        <v>239</v>
      </c>
      <c r="E5475" s="1" t="s">
        <v>4</v>
      </c>
      <c r="F5475">
        <v>43</v>
      </c>
      <c r="G5475" s="1" t="str">
        <f>Ocupacao_DW[[#This Row],[data]]&amp;Ocupacao_DW[[#This Row],[profissional_id]]&amp;Ocupacao_DW[[#This Row],[local_id]]</f>
        <v>44636576743</v>
      </c>
      <c r="H5475" s="1">
        <f>_xlfn.XLOOKUP(Ocupacao_DW[[#This Row],[Concat]],Vagas!$H:$H,Vagas!$D:$D,"",0)</f>
        <v>0</v>
      </c>
    </row>
    <row r="5476" spans="1:8" x14ac:dyDescent="0.25">
      <c r="A5476" s="2">
        <v>44635</v>
      </c>
      <c r="B5476" s="1"/>
      <c r="C5476">
        <v>2984</v>
      </c>
      <c r="D5476" s="1" t="s">
        <v>185</v>
      </c>
      <c r="E5476" s="1"/>
      <c r="F5476">
        <v>0</v>
      </c>
      <c r="G5476" s="1" t="str">
        <f>Ocupacao_DW[[#This Row],[data]]&amp;Ocupacao_DW[[#This Row],[profissional_id]]&amp;Ocupacao_DW[[#This Row],[local_id]]</f>
        <v>4463529840</v>
      </c>
      <c r="H5476" s="1" t="str">
        <f>_xlfn.XLOOKUP(Ocupacao_DW[[#This Row],[Concat]],Vagas!$H:$H,Vagas!$D:$D,"",0)</f>
        <v/>
      </c>
    </row>
    <row r="5477" spans="1:8" x14ac:dyDescent="0.25">
      <c r="A5477" s="2">
        <v>44639</v>
      </c>
      <c r="B5477" s="1"/>
      <c r="C5477">
        <v>54</v>
      </c>
      <c r="D5477" s="1" t="s">
        <v>216</v>
      </c>
      <c r="E5477" s="1" t="s">
        <v>4</v>
      </c>
      <c r="F5477">
        <v>50</v>
      </c>
      <c r="G5477" s="1" t="str">
        <f>Ocupacao_DW[[#This Row],[data]]&amp;Ocupacao_DW[[#This Row],[profissional_id]]&amp;Ocupacao_DW[[#This Row],[local_id]]</f>
        <v>446395450</v>
      </c>
      <c r="H5477" s="1">
        <f>_xlfn.XLOOKUP(Ocupacao_DW[[#This Row],[Concat]],Vagas!$H:$H,Vagas!$D:$D,"",0)</f>
        <v>7</v>
      </c>
    </row>
    <row r="5478" spans="1:8" x14ac:dyDescent="0.25">
      <c r="A5478" s="2">
        <v>44643</v>
      </c>
      <c r="B5478" s="1"/>
      <c r="C5478">
        <v>57</v>
      </c>
      <c r="D5478" s="1" t="s">
        <v>169</v>
      </c>
      <c r="E5478" s="1"/>
      <c r="F5478">
        <v>0</v>
      </c>
      <c r="G5478" s="1" t="str">
        <f>Ocupacao_DW[[#This Row],[data]]&amp;Ocupacao_DW[[#This Row],[profissional_id]]&amp;Ocupacao_DW[[#This Row],[local_id]]</f>
        <v>44643570</v>
      </c>
      <c r="H5478" s="1" t="str">
        <f>_xlfn.XLOOKUP(Ocupacao_DW[[#This Row],[Concat]],Vagas!$H:$H,Vagas!$D:$D,"",0)</f>
        <v/>
      </c>
    </row>
    <row r="5479" spans="1:8" x14ac:dyDescent="0.25">
      <c r="A5479" s="2">
        <v>44636</v>
      </c>
      <c r="B5479" s="1"/>
      <c r="C5479">
        <v>2396</v>
      </c>
      <c r="D5479" s="1" t="s">
        <v>197</v>
      </c>
      <c r="E5479" s="1"/>
      <c r="F5479">
        <v>0</v>
      </c>
      <c r="G5479" s="1" t="str">
        <f>Ocupacao_DW[[#This Row],[data]]&amp;Ocupacao_DW[[#This Row],[profissional_id]]&amp;Ocupacao_DW[[#This Row],[local_id]]</f>
        <v>4463623960</v>
      </c>
      <c r="H5479" s="1" t="str">
        <f>_xlfn.XLOOKUP(Ocupacao_DW[[#This Row],[Concat]],Vagas!$H:$H,Vagas!$D:$D,"",0)</f>
        <v/>
      </c>
    </row>
    <row r="5480" spans="1:8" x14ac:dyDescent="0.25">
      <c r="A5480" s="2">
        <v>44636</v>
      </c>
      <c r="B5480" s="1"/>
      <c r="C5480">
        <v>12712</v>
      </c>
      <c r="D5480" s="1" t="s">
        <v>240</v>
      </c>
      <c r="E5480" s="1"/>
      <c r="F5480">
        <v>0</v>
      </c>
      <c r="G5480" s="1" t="str">
        <f>Ocupacao_DW[[#This Row],[data]]&amp;Ocupacao_DW[[#This Row],[profissional_id]]&amp;Ocupacao_DW[[#This Row],[local_id]]</f>
        <v>44636127120</v>
      </c>
      <c r="H5480" s="1" t="str">
        <f>_xlfn.XLOOKUP(Ocupacao_DW[[#This Row],[Concat]],Vagas!$H:$H,Vagas!$D:$D,"",0)</f>
        <v/>
      </c>
    </row>
    <row r="5481" spans="1:8" x14ac:dyDescent="0.25">
      <c r="A5481" s="2">
        <v>44638</v>
      </c>
      <c r="B5481" s="1" t="s">
        <v>66</v>
      </c>
      <c r="C5481">
        <v>10593</v>
      </c>
      <c r="D5481" s="1" t="s">
        <v>241</v>
      </c>
      <c r="E5481" s="1" t="s">
        <v>7</v>
      </c>
      <c r="F5481">
        <v>64</v>
      </c>
      <c r="G5481" s="1" t="str">
        <f>Ocupacao_DW[[#This Row],[data]]&amp;Ocupacao_DW[[#This Row],[profissional_id]]&amp;Ocupacao_DW[[#This Row],[local_id]]</f>
        <v>446381059364</v>
      </c>
      <c r="H5481" s="1">
        <f>_xlfn.XLOOKUP(Ocupacao_DW[[#This Row],[Concat]],Vagas!$H:$H,Vagas!$D:$D,"",0)</f>
        <v>0</v>
      </c>
    </row>
    <row r="5482" spans="1:8" x14ac:dyDescent="0.25">
      <c r="A5482" s="2">
        <v>44643</v>
      </c>
      <c r="B5482" s="1" t="s">
        <v>52</v>
      </c>
      <c r="C5482">
        <v>57</v>
      </c>
      <c r="D5482" s="1" t="s">
        <v>169</v>
      </c>
      <c r="E5482" s="1" t="s">
        <v>6</v>
      </c>
      <c r="F5482">
        <v>4</v>
      </c>
      <c r="G5482" s="1" t="str">
        <f>Ocupacao_DW[[#This Row],[data]]&amp;Ocupacao_DW[[#This Row],[profissional_id]]&amp;Ocupacao_DW[[#This Row],[local_id]]</f>
        <v>44643574</v>
      </c>
      <c r="H5482" s="1">
        <f>_xlfn.XLOOKUP(Ocupacao_DW[[#This Row],[Concat]],Vagas!$H:$H,Vagas!$D:$D,"",0)</f>
        <v>0</v>
      </c>
    </row>
    <row r="5483" spans="1:8" x14ac:dyDescent="0.25">
      <c r="A5483" s="2">
        <v>44635</v>
      </c>
      <c r="B5483" s="1"/>
      <c r="C5483">
        <v>2984</v>
      </c>
      <c r="D5483" s="1" t="s">
        <v>185</v>
      </c>
      <c r="E5483" s="1"/>
      <c r="F5483">
        <v>0</v>
      </c>
      <c r="G5483" s="1" t="str">
        <f>Ocupacao_DW[[#This Row],[data]]&amp;Ocupacao_DW[[#This Row],[profissional_id]]&amp;Ocupacao_DW[[#This Row],[local_id]]</f>
        <v>4463529840</v>
      </c>
      <c r="H5483" s="1" t="str">
        <f>_xlfn.XLOOKUP(Ocupacao_DW[[#This Row],[Concat]],Vagas!$H:$H,Vagas!$D:$D,"",0)</f>
        <v/>
      </c>
    </row>
    <row r="5484" spans="1:8" x14ac:dyDescent="0.25">
      <c r="A5484" s="2">
        <v>44637</v>
      </c>
      <c r="B5484" s="1"/>
      <c r="C5484">
        <v>12426</v>
      </c>
      <c r="D5484" s="1" t="s">
        <v>215</v>
      </c>
      <c r="E5484" s="1" t="s">
        <v>6</v>
      </c>
      <c r="F5484">
        <v>5</v>
      </c>
      <c r="G5484" s="1" t="str">
        <f>Ocupacao_DW[[#This Row],[data]]&amp;Ocupacao_DW[[#This Row],[profissional_id]]&amp;Ocupacao_DW[[#This Row],[local_id]]</f>
        <v>44637124265</v>
      </c>
      <c r="H5484" s="1">
        <f>_xlfn.XLOOKUP(Ocupacao_DW[[#This Row],[Concat]],Vagas!$H:$H,Vagas!$D:$D,"",0)</f>
        <v>0</v>
      </c>
    </row>
    <row r="5485" spans="1:8" x14ac:dyDescent="0.25">
      <c r="A5485" s="2">
        <v>44646</v>
      </c>
      <c r="B5485" s="1"/>
      <c r="C5485">
        <v>4887</v>
      </c>
      <c r="D5485" s="1" t="s">
        <v>168</v>
      </c>
      <c r="E5485" s="1" t="s">
        <v>5</v>
      </c>
      <c r="F5485">
        <v>18</v>
      </c>
      <c r="G5485" s="1" t="str">
        <f>Ocupacao_DW[[#This Row],[data]]&amp;Ocupacao_DW[[#This Row],[profissional_id]]&amp;Ocupacao_DW[[#This Row],[local_id]]</f>
        <v>44646488718</v>
      </c>
      <c r="H5485" s="1">
        <f>_xlfn.XLOOKUP(Ocupacao_DW[[#This Row],[Concat]],Vagas!$H:$H,Vagas!$D:$D,"",0)</f>
        <v>0</v>
      </c>
    </row>
    <row r="5486" spans="1:8" x14ac:dyDescent="0.25">
      <c r="A5486" s="2">
        <v>44635</v>
      </c>
      <c r="B5486" s="1"/>
      <c r="C5486">
        <v>11652</v>
      </c>
      <c r="D5486" s="1" t="s">
        <v>242</v>
      </c>
      <c r="E5486" s="1" t="s">
        <v>4</v>
      </c>
      <c r="F5486">
        <v>47</v>
      </c>
      <c r="G5486" s="1" t="str">
        <f>Ocupacao_DW[[#This Row],[data]]&amp;Ocupacao_DW[[#This Row],[profissional_id]]&amp;Ocupacao_DW[[#This Row],[local_id]]</f>
        <v>446351165247</v>
      </c>
      <c r="H5486" s="1">
        <f>_xlfn.XLOOKUP(Ocupacao_DW[[#This Row],[Concat]],Vagas!$H:$H,Vagas!$D:$D,"",0)</f>
        <v>0</v>
      </c>
    </row>
    <row r="5487" spans="1:8" x14ac:dyDescent="0.25">
      <c r="A5487" s="2">
        <v>44641</v>
      </c>
      <c r="B5487" s="1" t="s">
        <v>55</v>
      </c>
      <c r="C5487">
        <v>6392</v>
      </c>
      <c r="D5487" s="1" t="s">
        <v>173</v>
      </c>
      <c r="E5487" s="1" t="s">
        <v>6</v>
      </c>
      <c r="F5487">
        <v>5</v>
      </c>
      <c r="G5487" s="1" t="str">
        <f>Ocupacao_DW[[#This Row],[data]]&amp;Ocupacao_DW[[#This Row],[profissional_id]]&amp;Ocupacao_DW[[#This Row],[local_id]]</f>
        <v>4464163925</v>
      </c>
      <c r="H5487" s="1">
        <f>_xlfn.XLOOKUP(Ocupacao_DW[[#This Row],[Concat]],Vagas!$H:$H,Vagas!$D:$D,"",0)</f>
        <v>0</v>
      </c>
    </row>
    <row r="5488" spans="1:8" x14ac:dyDescent="0.25">
      <c r="A5488" s="2">
        <v>44635</v>
      </c>
      <c r="B5488" s="1"/>
      <c r="C5488">
        <v>3502</v>
      </c>
      <c r="D5488" s="1" t="s">
        <v>214</v>
      </c>
      <c r="E5488" s="1"/>
      <c r="F5488">
        <v>0</v>
      </c>
      <c r="G5488" s="1" t="str">
        <f>Ocupacao_DW[[#This Row],[data]]&amp;Ocupacao_DW[[#This Row],[profissional_id]]&amp;Ocupacao_DW[[#This Row],[local_id]]</f>
        <v>4463535020</v>
      </c>
      <c r="H5488" s="1" t="str">
        <f>_xlfn.XLOOKUP(Ocupacao_DW[[#This Row],[Concat]],Vagas!$H:$H,Vagas!$D:$D,"",0)</f>
        <v/>
      </c>
    </row>
    <row r="5489" spans="1:8" x14ac:dyDescent="0.25">
      <c r="A5489" s="2">
        <v>44643</v>
      </c>
      <c r="B5489" s="1" t="s">
        <v>70</v>
      </c>
      <c r="C5489">
        <v>12519</v>
      </c>
      <c r="D5489" s="1" t="s">
        <v>176</v>
      </c>
      <c r="E5489" s="1" t="s">
        <v>4</v>
      </c>
      <c r="F5489">
        <v>48</v>
      </c>
      <c r="G5489" s="1" t="str">
        <f>Ocupacao_DW[[#This Row],[data]]&amp;Ocupacao_DW[[#This Row],[profissional_id]]&amp;Ocupacao_DW[[#This Row],[local_id]]</f>
        <v>446431251948</v>
      </c>
      <c r="H5489" s="1">
        <f>_xlfn.XLOOKUP(Ocupacao_DW[[#This Row],[Concat]],Vagas!$H:$H,Vagas!$D:$D,"",0)</f>
        <v>0</v>
      </c>
    </row>
    <row r="5490" spans="1:8" x14ac:dyDescent="0.25">
      <c r="A5490" s="2">
        <v>44657</v>
      </c>
      <c r="B5490" s="1"/>
      <c r="C5490">
        <v>67</v>
      </c>
      <c r="D5490" s="1" t="s">
        <v>172</v>
      </c>
      <c r="E5490" s="1" t="s">
        <v>6</v>
      </c>
      <c r="F5490">
        <v>8</v>
      </c>
      <c r="G5490" s="1" t="str">
        <f>Ocupacao_DW[[#This Row],[data]]&amp;Ocupacao_DW[[#This Row],[profissional_id]]&amp;Ocupacao_DW[[#This Row],[local_id]]</f>
        <v>44657678</v>
      </c>
      <c r="H5490" s="1">
        <f>_xlfn.XLOOKUP(Ocupacao_DW[[#This Row],[Concat]],Vagas!$H:$H,Vagas!$D:$D,"",0)</f>
        <v>0</v>
      </c>
    </row>
    <row r="5491" spans="1:8" x14ac:dyDescent="0.25">
      <c r="A5491" s="2">
        <v>44657</v>
      </c>
      <c r="B5491" s="1"/>
      <c r="C5491">
        <v>67</v>
      </c>
      <c r="D5491" s="1" t="s">
        <v>172</v>
      </c>
      <c r="E5491" s="1" t="s">
        <v>6</v>
      </c>
      <c r="F5491">
        <v>8</v>
      </c>
      <c r="G5491" s="1" t="str">
        <f>Ocupacao_DW[[#This Row],[data]]&amp;Ocupacao_DW[[#This Row],[profissional_id]]&amp;Ocupacao_DW[[#This Row],[local_id]]</f>
        <v>44657678</v>
      </c>
      <c r="H5491" s="1">
        <f>_xlfn.XLOOKUP(Ocupacao_DW[[#This Row],[Concat]],Vagas!$H:$H,Vagas!$D:$D,"",0)</f>
        <v>0</v>
      </c>
    </row>
    <row r="5492" spans="1:8" x14ac:dyDescent="0.25">
      <c r="A5492" s="2">
        <v>44635</v>
      </c>
      <c r="B5492" s="1"/>
      <c r="C5492">
        <v>11237</v>
      </c>
      <c r="D5492" s="1" t="s">
        <v>229</v>
      </c>
      <c r="E5492" s="1" t="s">
        <v>4</v>
      </c>
      <c r="F5492">
        <v>46</v>
      </c>
      <c r="G5492" s="1" t="str">
        <f>Ocupacao_DW[[#This Row],[data]]&amp;Ocupacao_DW[[#This Row],[profissional_id]]&amp;Ocupacao_DW[[#This Row],[local_id]]</f>
        <v>446351123746</v>
      </c>
      <c r="H5492" s="1">
        <f>_xlfn.XLOOKUP(Ocupacao_DW[[#This Row],[Concat]],Vagas!$H:$H,Vagas!$D:$D,"",0)</f>
        <v>0</v>
      </c>
    </row>
    <row r="5493" spans="1:8" x14ac:dyDescent="0.25">
      <c r="A5493" s="2">
        <v>44636</v>
      </c>
      <c r="B5493" s="1"/>
      <c r="C5493">
        <v>12679</v>
      </c>
      <c r="D5493" s="1" t="s">
        <v>192</v>
      </c>
      <c r="E5493" s="1" t="s">
        <v>200</v>
      </c>
      <c r="F5493">
        <v>82</v>
      </c>
      <c r="G5493" s="1" t="str">
        <f>Ocupacao_DW[[#This Row],[data]]&amp;Ocupacao_DW[[#This Row],[profissional_id]]&amp;Ocupacao_DW[[#This Row],[local_id]]</f>
        <v>446361267982</v>
      </c>
      <c r="H5493" s="1">
        <f>_xlfn.XLOOKUP(Ocupacao_DW[[#This Row],[Concat]],Vagas!$H:$H,Vagas!$D:$D,"",0)</f>
        <v>0</v>
      </c>
    </row>
    <row r="5494" spans="1:8" x14ac:dyDescent="0.25">
      <c r="A5494" s="2">
        <v>44636</v>
      </c>
      <c r="B5494" s="1" t="s">
        <v>52</v>
      </c>
      <c r="C5494">
        <v>13061</v>
      </c>
      <c r="D5494" s="1" t="s">
        <v>232</v>
      </c>
      <c r="E5494" s="1" t="s">
        <v>6</v>
      </c>
      <c r="F5494">
        <v>1</v>
      </c>
      <c r="G5494" s="1" t="str">
        <f>Ocupacao_DW[[#This Row],[data]]&amp;Ocupacao_DW[[#This Row],[profissional_id]]&amp;Ocupacao_DW[[#This Row],[local_id]]</f>
        <v>44636130611</v>
      </c>
      <c r="H5494" s="1" t="str">
        <f>_xlfn.XLOOKUP(Ocupacao_DW[[#This Row],[Concat]],Vagas!$H:$H,Vagas!$D:$D,"",0)</f>
        <v/>
      </c>
    </row>
    <row r="5495" spans="1:8" x14ac:dyDescent="0.25">
      <c r="A5495" s="2">
        <v>44643</v>
      </c>
      <c r="B5495" s="1"/>
      <c r="C5495">
        <v>74</v>
      </c>
      <c r="D5495" s="1" t="s">
        <v>182</v>
      </c>
      <c r="E5495" s="1" t="s">
        <v>6</v>
      </c>
      <c r="F5495">
        <v>7</v>
      </c>
      <c r="G5495" s="1" t="str">
        <f>Ocupacao_DW[[#This Row],[data]]&amp;Ocupacao_DW[[#This Row],[profissional_id]]&amp;Ocupacao_DW[[#This Row],[local_id]]</f>
        <v>44643747</v>
      </c>
      <c r="H5495" s="1">
        <f>_xlfn.XLOOKUP(Ocupacao_DW[[#This Row],[Concat]],Vagas!$H:$H,Vagas!$D:$D,"",0)</f>
        <v>0</v>
      </c>
    </row>
    <row r="5496" spans="1:8" x14ac:dyDescent="0.25">
      <c r="A5496" s="2">
        <v>44636</v>
      </c>
      <c r="B5496" s="1"/>
      <c r="C5496">
        <v>12825</v>
      </c>
      <c r="D5496" s="1" t="s">
        <v>177</v>
      </c>
      <c r="E5496" s="1"/>
      <c r="F5496">
        <v>0</v>
      </c>
      <c r="G5496" s="1" t="str">
        <f>Ocupacao_DW[[#This Row],[data]]&amp;Ocupacao_DW[[#This Row],[profissional_id]]&amp;Ocupacao_DW[[#This Row],[local_id]]</f>
        <v>44636128250</v>
      </c>
      <c r="H5496" s="1" t="str">
        <f>_xlfn.XLOOKUP(Ocupacao_DW[[#This Row],[Concat]],Vagas!$H:$H,Vagas!$D:$D,"",0)</f>
        <v/>
      </c>
    </row>
    <row r="5497" spans="1:8" x14ac:dyDescent="0.25">
      <c r="A5497" s="2">
        <v>44637</v>
      </c>
      <c r="B5497" s="1"/>
      <c r="C5497">
        <v>8598</v>
      </c>
      <c r="D5497" s="1" t="s">
        <v>228</v>
      </c>
      <c r="E5497" s="1"/>
      <c r="F5497">
        <v>0</v>
      </c>
      <c r="G5497" s="1" t="str">
        <f>Ocupacao_DW[[#This Row],[data]]&amp;Ocupacao_DW[[#This Row],[profissional_id]]&amp;Ocupacao_DW[[#This Row],[local_id]]</f>
        <v>4463785980</v>
      </c>
      <c r="H5497" s="1" t="str">
        <f>_xlfn.XLOOKUP(Ocupacao_DW[[#This Row],[Concat]],Vagas!$H:$H,Vagas!$D:$D,"",0)</f>
        <v/>
      </c>
    </row>
    <row r="5498" spans="1:8" x14ac:dyDescent="0.25">
      <c r="A5498" s="2">
        <v>44638</v>
      </c>
      <c r="B5498" s="1" t="s">
        <v>55</v>
      </c>
      <c r="C5498">
        <v>13835</v>
      </c>
      <c r="D5498" s="1" t="s">
        <v>225</v>
      </c>
      <c r="E5498" s="1" t="s">
        <v>6</v>
      </c>
      <c r="F5498">
        <v>3</v>
      </c>
      <c r="G5498" s="1" t="str">
        <f>Ocupacao_DW[[#This Row],[data]]&amp;Ocupacao_DW[[#This Row],[profissional_id]]&amp;Ocupacao_DW[[#This Row],[local_id]]</f>
        <v>44638138353</v>
      </c>
      <c r="H5498" s="1" t="str">
        <f>_xlfn.XLOOKUP(Ocupacao_DW[[#This Row],[Concat]],Vagas!$H:$H,Vagas!$D:$D,"",0)</f>
        <v/>
      </c>
    </row>
    <row r="5499" spans="1:8" x14ac:dyDescent="0.25">
      <c r="A5499" s="2">
        <v>44643</v>
      </c>
      <c r="B5499" s="1"/>
      <c r="C5499">
        <v>2396</v>
      </c>
      <c r="D5499" s="1" t="s">
        <v>197</v>
      </c>
      <c r="E5499" s="1"/>
      <c r="F5499">
        <v>0</v>
      </c>
      <c r="G5499" s="1" t="str">
        <f>Ocupacao_DW[[#This Row],[data]]&amp;Ocupacao_DW[[#This Row],[profissional_id]]&amp;Ocupacao_DW[[#This Row],[local_id]]</f>
        <v>4464323960</v>
      </c>
      <c r="H5499" s="1" t="str">
        <f>_xlfn.XLOOKUP(Ocupacao_DW[[#This Row],[Concat]],Vagas!$H:$H,Vagas!$D:$D,"",0)</f>
        <v/>
      </c>
    </row>
    <row r="5500" spans="1:8" x14ac:dyDescent="0.25">
      <c r="A5500" s="2">
        <v>44639</v>
      </c>
      <c r="B5500" s="1"/>
      <c r="C5500">
        <v>111</v>
      </c>
      <c r="D5500" s="1" t="s">
        <v>199</v>
      </c>
      <c r="E5500" s="1" t="s">
        <v>4</v>
      </c>
      <c r="F5500">
        <v>51</v>
      </c>
      <c r="G5500" s="1" t="str">
        <f>Ocupacao_DW[[#This Row],[data]]&amp;Ocupacao_DW[[#This Row],[profissional_id]]&amp;Ocupacao_DW[[#This Row],[local_id]]</f>
        <v>4463911151</v>
      </c>
      <c r="H5500" s="1">
        <f>_xlfn.XLOOKUP(Ocupacao_DW[[#This Row],[Concat]],Vagas!$H:$H,Vagas!$D:$D,"",0)</f>
        <v>0</v>
      </c>
    </row>
    <row r="5501" spans="1:8" x14ac:dyDescent="0.25">
      <c r="A5501" s="2">
        <v>44657</v>
      </c>
      <c r="B5501" s="1"/>
      <c r="C5501">
        <v>67</v>
      </c>
      <c r="D5501" s="1" t="s">
        <v>172</v>
      </c>
      <c r="E5501" s="1" t="s">
        <v>6</v>
      </c>
      <c r="F5501">
        <v>8</v>
      </c>
      <c r="G5501" s="1" t="str">
        <f>Ocupacao_DW[[#This Row],[data]]&amp;Ocupacao_DW[[#This Row],[profissional_id]]&amp;Ocupacao_DW[[#This Row],[local_id]]</f>
        <v>44657678</v>
      </c>
      <c r="H5501" s="1">
        <f>_xlfn.XLOOKUP(Ocupacao_DW[[#This Row],[Concat]],Vagas!$H:$H,Vagas!$D:$D,"",0)</f>
        <v>0</v>
      </c>
    </row>
    <row r="5502" spans="1:8" x14ac:dyDescent="0.25">
      <c r="A5502" s="2">
        <v>44636</v>
      </c>
      <c r="B5502" s="1"/>
      <c r="C5502">
        <v>57</v>
      </c>
      <c r="D5502" s="1" t="s">
        <v>169</v>
      </c>
      <c r="E5502" s="1" t="s">
        <v>6</v>
      </c>
      <c r="F5502">
        <v>8</v>
      </c>
      <c r="G5502" s="1" t="str">
        <f>Ocupacao_DW[[#This Row],[data]]&amp;Ocupacao_DW[[#This Row],[profissional_id]]&amp;Ocupacao_DW[[#This Row],[local_id]]</f>
        <v>44636578</v>
      </c>
      <c r="H5502" s="1">
        <f>_xlfn.XLOOKUP(Ocupacao_DW[[#This Row],[Concat]],Vagas!$H:$H,Vagas!$D:$D,"",0)</f>
        <v>14</v>
      </c>
    </row>
    <row r="5503" spans="1:8" x14ac:dyDescent="0.25">
      <c r="A5503" s="2">
        <v>44643</v>
      </c>
      <c r="B5503" s="1"/>
      <c r="C5503">
        <v>73</v>
      </c>
      <c r="D5503" s="1" t="s">
        <v>171</v>
      </c>
      <c r="E5503" s="1" t="s">
        <v>6</v>
      </c>
      <c r="F5503">
        <v>5</v>
      </c>
      <c r="G5503" s="1" t="str">
        <f>Ocupacao_DW[[#This Row],[data]]&amp;Ocupacao_DW[[#This Row],[profissional_id]]&amp;Ocupacao_DW[[#This Row],[local_id]]</f>
        <v>44643735</v>
      </c>
      <c r="H5503" s="1">
        <f>_xlfn.XLOOKUP(Ocupacao_DW[[#This Row],[Concat]],Vagas!$H:$H,Vagas!$D:$D,"",0)</f>
        <v>0</v>
      </c>
    </row>
    <row r="5504" spans="1:8" x14ac:dyDescent="0.25">
      <c r="A5504" s="2">
        <v>44645</v>
      </c>
      <c r="B5504" s="1"/>
      <c r="C5504">
        <v>81</v>
      </c>
      <c r="D5504" s="1" t="s">
        <v>170</v>
      </c>
      <c r="E5504" s="1" t="s">
        <v>4</v>
      </c>
      <c r="F5504">
        <v>41</v>
      </c>
      <c r="G5504" s="1" t="str">
        <f>Ocupacao_DW[[#This Row],[data]]&amp;Ocupacao_DW[[#This Row],[profissional_id]]&amp;Ocupacao_DW[[#This Row],[local_id]]</f>
        <v>446458141</v>
      </c>
      <c r="H5504" s="1">
        <f>_xlfn.XLOOKUP(Ocupacao_DW[[#This Row],[Concat]],Vagas!$H:$H,Vagas!$D:$D,"",0)</f>
        <v>0</v>
      </c>
    </row>
    <row r="5505" spans="1:8" x14ac:dyDescent="0.25">
      <c r="A5505" s="2">
        <v>44638</v>
      </c>
      <c r="B5505" s="1"/>
      <c r="C5505">
        <v>2567</v>
      </c>
      <c r="D5505" s="1" t="s">
        <v>198</v>
      </c>
      <c r="E5505" s="1" t="s">
        <v>5</v>
      </c>
      <c r="F5505">
        <v>18</v>
      </c>
      <c r="G5505" s="1" t="str">
        <f>Ocupacao_DW[[#This Row],[data]]&amp;Ocupacao_DW[[#This Row],[profissional_id]]&amp;Ocupacao_DW[[#This Row],[local_id]]</f>
        <v>44638256718</v>
      </c>
      <c r="H5505" s="1">
        <f>_xlfn.XLOOKUP(Ocupacao_DW[[#This Row],[Concat]],Vagas!$H:$H,Vagas!$D:$D,"",0)</f>
        <v>0</v>
      </c>
    </row>
    <row r="5506" spans="1:8" x14ac:dyDescent="0.25">
      <c r="A5506" s="2">
        <v>44636</v>
      </c>
      <c r="B5506" s="1"/>
      <c r="C5506">
        <v>5767</v>
      </c>
      <c r="D5506" s="1" t="s">
        <v>239</v>
      </c>
      <c r="E5506" s="1" t="s">
        <v>4</v>
      </c>
      <c r="F5506">
        <v>43</v>
      </c>
      <c r="G5506" s="1" t="str">
        <f>Ocupacao_DW[[#This Row],[data]]&amp;Ocupacao_DW[[#This Row],[profissional_id]]&amp;Ocupacao_DW[[#This Row],[local_id]]</f>
        <v>44636576743</v>
      </c>
      <c r="H5506" s="1">
        <f>_xlfn.XLOOKUP(Ocupacao_DW[[#This Row],[Concat]],Vagas!$H:$H,Vagas!$D:$D,"",0)</f>
        <v>0</v>
      </c>
    </row>
    <row r="5507" spans="1:8" x14ac:dyDescent="0.25">
      <c r="A5507" s="2">
        <v>44636</v>
      </c>
      <c r="B5507" s="1"/>
      <c r="C5507">
        <v>10691</v>
      </c>
      <c r="D5507" s="1" t="s">
        <v>181</v>
      </c>
      <c r="E5507" s="1"/>
      <c r="F5507">
        <v>0</v>
      </c>
      <c r="G5507" s="1" t="str">
        <f>Ocupacao_DW[[#This Row],[data]]&amp;Ocupacao_DW[[#This Row],[profissional_id]]&amp;Ocupacao_DW[[#This Row],[local_id]]</f>
        <v>44636106910</v>
      </c>
      <c r="H5507" s="1" t="str">
        <f>_xlfn.XLOOKUP(Ocupacao_DW[[#This Row],[Concat]],Vagas!$H:$H,Vagas!$D:$D,"",0)</f>
        <v/>
      </c>
    </row>
    <row r="5508" spans="1:8" x14ac:dyDescent="0.25">
      <c r="A5508" s="2">
        <v>44636</v>
      </c>
      <c r="B5508" s="1"/>
      <c r="C5508">
        <v>6430</v>
      </c>
      <c r="D5508" s="1" t="s">
        <v>188</v>
      </c>
      <c r="E5508" s="1" t="s">
        <v>4</v>
      </c>
      <c r="F5508">
        <v>42</v>
      </c>
      <c r="G5508" s="1" t="str">
        <f>Ocupacao_DW[[#This Row],[data]]&amp;Ocupacao_DW[[#This Row],[profissional_id]]&amp;Ocupacao_DW[[#This Row],[local_id]]</f>
        <v>44636643042</v>
      </c>
      <c r="H5508" s="1">
        <f>_xlfn.XLOOKUP(Ocupacao_DW[[#This Row],[Concat]],Vagas!$H:$H,Vagas!$D:$D,"",0)</f>
        <v>0</v>
      </c>
    </row>
    <row r="5509" spans="1:8" x14ac:dyDescent="0.25">
      <c r="A5509" s="2">
        <v>44636</v>
      </c>
      <c r="B5509" s="1"/>
      <c r="C5509">
        <v>5767</v>
      </c>
      <c r="D5509" s="1" t="s">
        <v>239</v>
      </c>
      <c r="E5509" s="1" t="s">
        <v>4</v>
      </c>
      <c r="F5509">
        <v>43</v>
      </c>
      <c r="G5509" s="1" t="str">
        <f>Ocupacao_DW[[#This Row],[data]]&amp;Ocupacao_DW[[#This Row],[profissional_id]]&amp;Ocupacao_DW[[#This Row],[local_id]]</f>
        <v>44636576743</v>
      </c>
      <c r="H5509" s="1">
        <f>_xlfn.XLOOKUP(Ocupacao_DW[[#This Row],[Concat]],Vagas!$H:$H,Vagas!$D:$D,"",0)</f>
        <v>0</v>
      </c>
    </row>
    <row r="5510" spans="1:8" x14ac:dyDescent="0.25">
      <c r="A5510" s="2">
        <v>44643</v>
      </c>
      <c r="B5510" s="1"/>
      <c r="C5510">
        <v>73</v>
      </c>
      <c r="D5510" s="1" t="s">
        <v>171</v>
      </c>
      <c r="E5510" s="1" t="s">
        <v>6</v>
      </c>
      <c r="F5510">
        <v>5</v>
      </c>
      <c r="G5510" s="1" t="str">
        <f>Ocupacao_DW[[#This Row],[data]]&amp;Ocupacao_DW[[#This Row],[profissional_id]]&amp;Ocupacao_DW[[#This Row],[local_id]]</f>
        <v>44643735</v>
      </c>
      <c r="H5510" s="1">
        <f>_xlfn.XLOOKUP(Ocupacao_DW[[#This Row],[Concat]],Vagas!$H:$H,Vagas!$D:$D,"",0)</f>
        <v>0</v>
      </c>
    </row>
    <row r="5511" spans="1:8" x14ac:dyDescent="0.25">
      <c r="A5511" s="2">
        <v>44635</v>
      </c>
      <c r="B5511" s="1"/>
      <c r="C5511">
        <v>14237</v>
      </c>
      <c r="D5511" s="1" t="s">
        <v>186</v>
      </c>
      <c r="E5511" s="1" t="s">
        <v>4</v>
      </c>
      <c r="F5511">
        <v>47</v>
      </c>
      <c r="G5511" s="1" t="str">
        <f>Ocupacao_DW[[#This Row],[data]]&amp;Ocupacao_DW[[#This Row],[profissional_id]]&amp;Ocupacao_DW[[#This Row],[local_id]]</f>
        <v>446351423747</v>
      </c>
      <c r="H5511" s="1">
        <f>_xlfn.XLOOKUP(Ocupacao_DW[[#This Row],[Concat]],Vagas!$H:$H,Vagas!$D:$D,"",0)</f>
        <v>0</v>
      </c>
    </row>
    <row r="5512" spans="1:8" x14ac:dyDescent="0.25">
      <c r="A5512" s="2">
        <v>44645</v>
      </c>
      <c r="B5512" s="1"/>
      <c r="C5512">
        <v>10593</v>
      </c>
      <c r="D5512" s="1" t="s">
        <v>241</v>
      </c>
      <c r="E5512" s="1" t="s">
        <v>7</v>
      </c>
      <c r="F5512">
        <v>64</v>
      </c>
      <c r="G5512" s="1" t="str">
        <f>Ocupacao_DW[[#This Row],[data]]&amp;Ocupacao_DW[[#This Row],[profissional_id]]&amp;Ocupacao_DW[[#This Row],[local_id]]</f>
        <v>446451059364</v>
      </c>
      <c r="H5512" s="1" t="str">
        <f>_xlfn.XLOOKUP(Ocupacao_DW[[#This Row],[Concat]],Vagas!$H:$H,Vagas!$D:$D,"",0)</f>
        <v/>
      </c>
    </row>
    <row r="5513" spans="1:8" x14ac:dyDescent="0.25">
      <c r="A5513" s="2">
        <v>44635</v>
      </c>
      <c r="B5513" s="1" t="s">
        <v>55</v>
      </c>
      <c r="C5513">
        <v>12669</v>
      </c>
      <c r="D5513" s="1" t="s">
        <v>223</v>
      </c>
      <c r="E5513" s="1" t="s">
        <v>167</v>
      </c>
      <c r="F5513">
        <v>342</v>
      </c>
      <c r="G5513" s="1" t="str">
        <f>Ocupacao_DW[[#This Row],[data]]&amp;Ocupacao_DW[[#This Row],[profissional_id]]&amp;Ocupacao_DW[[#This Row],[local_id]]</f>
        <v>4463512669342</v>
      </c>
      <c r="H5513" s="1" t="str">
        <f>_xlfn.XLOOKUP(Ocupacao_DW[[#This Row],[Concat]],Vagas!$H:$H,Vagas!$D:$D,"",0)</f>
        <v/>
      </c>
    </row>
    <row r="5514" spans="1:8" x14ac:dyDescent="0.25">
      <c r="A5514" s="2">
        <v>44636</v>
      </c>
      <c r="B5514" s="1"/>
      <c r="C5514">
        <v>12825</v>
      </c>
      <c r="D5514" s="1" t="s">
        <v>177</v>
      </c>
      <c r="E5514" s="1"/>
      <c r="F5514">
        <v>0</v>
      </c>
      <c r="G5514" s="1" t="str">
        <f>Ocupacao_DW[[#This Row],[data]]&amp;Ocupacao_DW[[#This Row],[profissional_id]]&amp;Ocupacao_DW[[#This Row],[local_id]]</f>
        <v>44636128250</v>
      </c>
      <c r="H5514" s="1" t="str">
        <f>_xlfn.XLOOKUP(Ocupacao_DW[[#This Row],[Concat]],Vagas!$H:$H,Vagas!$D:$D,"",0)</f>
        <v/>
      </c>
    </row>
    <row r="5515" spans="1:8" x14ac:dyDescent="0.25">
      <c r="A5515" s="2">
        <v>44643</v>
      </c>
      <c r="B5515" s="1"/>
      <c r="C5515">
        <v>73</v>
      </c>
      <c r="D5515" s="1" t="s">
        <v>171</v>
      </c>
      <c r="E5515" s="1" t="s">
        <v>6</v>
      </c>
      <c r="F5515">
        <v>5</v>
      </c>
      <c r="G5515" s="1" t="str">
        <f>Ocupacao_DW[[#This Row],[data]]&amp;Ocupacao_DW[[#This Row],[profissional_id]]&amp;Ocupacao_DW[[#This Row],[local_id]]</f>
        <v>44643735</v>
      </c>
      <c r="H5515" s="1">
        <f>_xlfn.XLOOKUP(Ocupacao_DW[[#This Row],[Concat]],Vagas!$H:$H,Vagas!$D:$D,"",0)</f>
        <v>0</v>
      </c>
    </row>
    <row r="5516" spans="1:8" x14ac:dyDescent="0.25">
      <c r="A5516" s="2">
        <v>44641</v>
      </c>
      <c r="B5516" s="1"/>
      <c r="C5516">
        <v>6392</v>
      </c>
      <c r="D5516" s="1" t="s">
        <v>173</v>
      </c>
      <c r="E5516" s="1" t="s">
        <v>6</v>
      </c>
      <c r="F5516">
        <v>5</v>
      </c>
      <c r="G5516" s="1" t="str">
        <f>Ocupacao_DW[[#This Row],[data]]&amp;Ocupacao_DW[[#This Row],[profissional_id]]&amp;Ocupacao_DW[[#This Row],[local_id]]</f>
        <v>4464163925</v>
      </c>
      <c r="H5516" s="1">
        <f>_xlfn.XLOOKUP(Ocupacao_DW[[#This Row],[Concat]],Vagas!$H:$H,Vagas!$D:$D,"",0)</f>
        <v>0</v>
      </c>
    </row>
    <row r="5517" spans="1:8" x14ac:dyDescent="0.25">
      <c r="A5517" s="2">
        <v>44645</v>
      </c>
      <c r="B5517" s="1"/>
      <c r="C5517">
        <v>2984</v>
      </c>
      <c r="D5517" s="1" t="s">
        <v>185</v>
      </c>
      <c r="E5517" s="1" t="s">
        <v>6</v>
      </c>
      <c r="F5517">
        <v>7</v>
      </c>
      <c r="G5517" s="1" t="str">
        <f>Ocupacao_DW[[#This Row],[data]]&amp;Ocupacao_DW[[#This Row],[profissional_id]]&amp;Ocupacao_DW[[#This Row],[local_id]]</f>
        <v>4464529847</v>
      </c>
      <c r="H5517" s="1">
        <f>_xlfn.XLOOKUP(Ocupacao_DW[[#This Row],[Concat]],Vagas!$H:$H,Vagas!$D:$D,"",0)</f>
        <v>0</v>
      </c>
    </row>
    <row r="5518" spans="1:8" x14ac:dyDescent="0.25">
      <c r="A5518" s="2">
        <v>44641</v>
      </c>
      <c r="B5518" s="1"/>
      <c r="C5518">
        <v>2984</v>
      </c>
      <c r="D5518" s="1" t="s">
        <v>185</v>
      </c>
      <c r="E5518" s="1" t="s">
        <v>6</v>
      </c>
      <c r="F5518">
        <v>7</v>
      </c>
      <c r="G5518" s="1" t="str">
        <f>Ocupacao_DW[[#This Row],[data]]&amp;Ocupacao_DW[[#This Row],[profissional_id]]&amp;Ocupacao_DW[[#This Row],[local_id]]</f>
        <v>4464129847</v>
      </c>
      <c r="H5518" s="1">
        <f>_xlfn.XLOOKUP(Ocupacao_DW[[#This Row],[Concat]],Vagas!$H:$H,Vagas!$D:$D,"",0)</f>
        <v>0</v>
      </c>
    </row>
    <row r="5519" spans="1:8" x14ac:dyDescent="0.25">
      <c r="A5519" s="2">
        <v>44643</v>
      </c>
      <c r="B5519" s="1" t="s">
        <v>70</v>
      </c>
      <c r="C5519">
        <v>12519</v>
      </c>
      <c r="D5519" s="1" t="s">
        <v>176</v>
      </c>
      <c r="E5519" s="1" t="s">
        <v>4</v>
      </c>
      <c r="F5519">
        <v>48</v>
      </c>
      <c r="G5519" s="1" t="str">
        <f>Ocupacao_DW[[#This Row],[data]]&amp;Ocupacao_DW[[#This Row],[profissional_id]]&amp;Ocupacao_DW[[#This Row],[local_id]]</f>
        <v>446431251948</v>
      </c>
      <c r="H5519" s="1">
        <f>_xlfn.XLOOKUP(Ocupacao_DW[[#This Row],[Concat]],Vagas!$H:$H,Vagas!$D:$D,"",0)</f>
        <v>0</v>
      </c>
    </row>
    <row r="5520" spans="1:8" x14ac:dyDescent="0.25">
      <c r="A5520" s="2">
        <v>44641</v>
      </c>
      <c r="B5520" s="1"/>
      <c r="C5520">
        <v>5927</v>
      </c>
      <c r="D5520" s="1" t="s">
        <v>226</v>
      </c>
      <c r="E5520" s="1" t="s">
        <v>5</v>
      </c>
      <c r="F5520">
        <v>17</v>
      </c>
      <c r="G5520" s="1" t="str">
        <f>Ocupacao_DW[[#This Row],[data]]&amp;Ocupacao_DW[[#This Row],[profissional_id]]&amp;Ocupacao_DW[[#This Row],[local_id]]</f>
        <v>44641592717</v>
      </c>
      <c r="H5520" s="1">
        <f>_xlfn.XLOOKUP(Ocupacao_DW[[#This Row],[Concat]],Vagas!$H:$H,Vagas!$D:$D,"",0)</f>
        <v>0</v>
      </c>
    </row>
    <row r="5521" spans="1:8" x14ac:dyDescent="0.25">
      <c r="A5521" s="2">
        <v>44635</v>
      </c>
      <c r="B5521" s="1" t="s">
        <v>55</v>
      </c>
      <c r="C5521">
        <v>12669</v>
      </c>
      <c r="D5521" s="1" t="s">
        <v>223</v>
      </c>
      <c r="E5521" s="1" t="s">
        <v>167</v>
      </c>
      <c r="F5521">
        <v>342</v>
      </c>
      <c r="G5521" s="1" t="str">
        <f>Ocupacao_DW[[#This Row],[data]]&amp;Ocupacao_DW[[#This Row],[profissional_id]]&amp;Ocupacao_DW[[#This Row],[local_id]]</f>
        <v>4463512669342</v>
      </c>
      <c r="H5521" s="1" t="str">
        <f>_xlfn.XLOOKUP(Ocupacao_DW[[#This Row],[Concat]],Vagas!$H:$H,Vagas!$D:$D,"",0)</f>
        <v/>
      </c>
    </row>
    <row r="5522" spans="1:8" x14ac:dyDescent="0.25">
      <c r="A5522" s="2">
        <v>44643</v>
      </c>
      <c r="B5522" s="1"/>
      <c r="C5522">
        <v>73</v>
      </c>
      <c r="D5522" s="1" t="s">
        <v>171</v>
      </c>
      <c r="E5522" s="1" t="s">
        <v>6</v>
      </c>
      <c r="F5522">
        <v>5</v>
      </c>
      <c r="G5522" s="1" t="str">
        <f>Ocupacao_DW[[#This Row],[data]]&amp;Ocupacao_DW[[#This Row],[profissional_id]]&amp;Ocupacao_DW[[#This Row],[local_id]]</f>
        <v>44643735</v>
      </c>
      <c r="H5522" s="1">
        <f>_xlfn.XLOOKUP(Ocupacao_DW[[#This Row],[Concat]],Vagas!$H:$H,Vagas!$D:$D,"",0)</f>
        <v>0</v>
      </c>
    </row>
    <row r="5523" spans="1:8" x14ac:dyDescent="0.25">
      <c r="A5523" s="2">
        <v>44637</v>
      </c>
      <c r="B5523" s="1" t="s">
        <v>46</v>
      </c>
      <c r="C5523">
        <v>17888</v>
      </c>
      <c r="D5523" s="1" t="s">
        <v>255</v>
      </c>
      <c r="E5523" s="1" t="s">
        <v>4</v>
      </c>
      <c r="F5523">
        <v>40</v>
      </c>
      <c r="G5523" s="1" t="str">
        <f>Ocupacao_DW[[#This Row],[data]]&amp;Ocupacao_DW[[#This Row],[profissional_id]]&amp;Ocupacao_DW[[#This Row],[local_id]]</f>
        <v>446371788840</v>
      </c>
      <c r="H5523" s="1">
        <f>_xlfn.XLOOKUP(Ocupacao_DW[[#This Row],[Concat]],Vagas!$H:$H,Vagas!$D:$D,"",0)</f>
        <v>20</v>
      </c>
    </row>
    <row r="5524" spans="1:8" x14ac:dyDescent="0.25">
      <c r="A5524" s="2">
        <v>44636</v>
      </c>
      <c r="B5524" s="1"/>
      <c r="C5524">
        <v>7551</v>
      </c>
      <c r="D5524" s="1" t="s">
        <v>246</v>
      </c>
      <c r="E5524" s="1" t="s">
        <v>5</v>
      </c>
      <c r="F5524">
        <v>15</v>
      </c>
      <c r="G5524" s="1" t="str">
        <f>Ocupacao_DW[[#This Row],[data]]&amp;Ocupacao_DW[[#This Row],[profissional_id]]&amp;Ocupacao_DW[[#This Row],[local_id]]</f>
        <v>44636755115</v>
      </c>
      <c r="H5524" s="1">
        <f>_xlfn.XLOOKUP(Ocupacao_DW[[#This Row],[Concat]],Vagas!$H:$H,Vagas!$D:$D,"",0)</f>
        <v>0</v>
      </c>
    </row>
    <row r="5525" spans="1:8" x14ac:dyDescent="0.25">
      <c r="A5525" s="2">
        <v>44636</v>
      </c>
      <c r="B5525" s="1"/>
      <c r="C5525">
        <v>12825</v>
      </c>
      <c r="D5525" s="1" t="s">
        <v>177</v>
      </c>
      <c r="E5525" s="1"/>
      <c r="F5525">
        <v>0</v>
      </c>
      <c r="G5525" s="1" t="str">
        <f>Ocupacao_DW[[#This Row],[data]]&amp;Ocupacao_DW[[#This Row],[profissional_id]]&amp;Ocupacao_DW[[#This Row],[local_id]]</f>
        <v>44636128250</v>
      </c>
      <c r="H5525" s="1" t="str">
        <f>_xlfn.XLOOKUP(Ocupacao_DW[[#This Row],[Concat]],Vagas!$H:$H,Vagas!$D:$D,"",0)</f>
        <v/>
      </c>
    </row>
    <row r="5526" spans="1:8" x14ac:dyDescent="0.25">
      <c r="A5526" s="2">
        <v>44636</v>
      </c>
      <c r="B5526" s="1"/>
      <c r="C5526">
        <v>7551</v>
      </c>
      <c r="D5526" s="1" t="s">
        <v>246</v>
      </c>
      <c r="E5526" s="1" t="s">
        <v>5</v>
      </c>
      <c r="F5526">
        <v>15</v>
      </c>
      <c r="G5526" s="1" t="str">
        <f>Ocupacao_DW[[#This Row],[data]]&amp;Ocupacao_DW[[#This Row],[profissional_id]]&amp;Ocupacao_DW[[#This Row],[local_id]]</f>
        <v>44636755115</v>
      </c>
      <c r="H5526" s="1">
        <f>_xlfn.XLOOKUP(Ocupacao_DW[[#This Row],[Concat]],Vagas!$H:$H,Vagas!$D:$D,"",0)</f>
        <v>0</v>
      </c>
    </row>
    <row r="5527" spans="1:8" x14ac:dyDescent="0.25">
      <c r="A5527" s="2">
        <v>44635</v>
      </c>
      <c r="B5527" s="1"/>
      <c r="C5527">
        <v>14237</v>
      </c>
      <c r="D5527" s="1" t="s">
        <v>186</v>
      </c>
      <c r="E5527" s="1" t="s">
        <v>4</v>
      </c>
      <c r="F5527">
        <v>47</v>
      </c>
      <c r="G5527" s="1" t="str">
        <f>Ocupacao_DW[[#This Row],[data]]&amp;Ocupacao_DW[[#This Row],[profissional_id]]&amp;Ocupacao_DW[[#This Row],[local_id]]</f>
        <v>446351423747</v>
      </c>
      <c r="H5527" s="1">
        <f>_xlfn.XLOOKUP(Ocupacao_DW[[#This Row],[Concat]],Vagas!$H:$H,Vagas!$D:$D,"",0)</f>
        <v>0</v>
      </c>
    </row>
    <row r="5528" spans="1:8" x14ac:dyDescent="0.25">
      <c r="A5528" s="2">
        <v>44643</v>
      </c>
      <c r="B5528" s="1" t="s">
        <v>70</v>
      </c>
      <c r="C5528">
        <v>12519</v>
      </c>
      <c r="D5528" s="1" t="s">
        <v>176</v>
      </c>
      <c r="E5528" s="1" t="s">
        <v>4</v>
      </c>
      <c r="F5528">
        <v>48</v>
      </c>
      <c r="G5528" s="1" t="str">
        <f>Ocupacao_DW[[#This Row],[data]]&amp;Ocupacao_DW[[#This Row],[profissional_id]]&amp;Ocupacao_DW[[#This Row],[local_id]]</f>
        <v>446431251948</v>
      </c>
      <c r="H5528" s="1">
        <f>_xlfn.XLOOKUP(Ocupacao_DW[[#This Row],[Concat]],Vagas!$H:$H,Vagas!$D:$D,"",0)</f>
        <v>0</v>
      </c>
    </row>
    <row r="5529" spans="1:8" x14ac:dyDescent="0.25">
      <c r="A5529" s="2">
        <v>44641</v>
      </c>
      <c r="B5529" s="1"/>
      <c r="C5529">
        <v>13249</v>
      </c>
      <c r="D5529" s="1" t="s">
        <v>178</v>
      </c>
      <c r="E5529" s="1" t="s">
        <v>4</v>
      </c>
      <c r="F5529">
        <v>45</v>
      </c>
      <c r="G5529" s="1" t="str">
        <f>Ocupacao_DW[[#This Row],[data]]&amp;Ocupacao_DW[[#This Row],[profissional_id]]&amp;Ocupacao_DW[[#This Row],[local_id]]</f>
        <v>446411324945</v>
      </c>
      <c r="H5529" s="1">
        <f>_xlfn.XLOOKUP(Ocupacao_DW[[#This Row],[Concat]],Vagas!$H:$H,Vagas!$D:$D,"",0)</f>
        <v>0</v>
      </c>
    </row>
    <row r="5530" spans="1:8" x14ac:dyDescent="0.25">
      <c r="A5530" s="2">
        <v>44643</v>
      </c>
      <c r="B5530" s="1"/>
      <c r="C5530">
        <v>60</v>
      </c>
      <c r="D5530" s="1" t="s">
        <v>217</v>
      </c>
      <c r="E5530" s="1"/>
      <c r="F5530">
        <v>0</v>
      </c>
      <c r="G5530" s="1" t="str">
        <f>Ocupacao_DW[[#This Row],[data]]&amp;Ocupacao_DW[[#This Row],[profissional_id]]&amp;Ocupacao_DW[[#This Row],[local_id]]</f>
        <v>44643600</v>
      </c>
      <c r="H5530" s="1" t="str">
        <f>_xlfn.XLOOKUP(Ocupacao_DW[[#This Row],[Concat]],Vagas!$H:$H,Vagas!$D:$D,"",0)</f>
        <v/>
      </c>
    </row>
    <row r="5531" spans="1:8" x14ac:dyDescent="0.25">
      <c r="A5531" s="2">
        <v>44635</v>
      </c>
      <c r="B5531" s="1"/>
      <c r="C5531">
        <v>110</v>
      </c>
      <c r="D5531" s="1" t="s">
        <v>193</v>
      </c>
      <c r="E5531" s="1" t="s">
        <v>4</v>
      </c>
      <c r="F5531">
        <v>334</v>
      </c>
      <c r="G5531" s="1" t="str">
        <f>Ocupacao_DW[[#This Row],[data]]&amp;Ocupacao_DW[[#This Row],[profissional_id]]&amp;Ocupacao_DW[[#This Row],[local_id]]</f>
        <v>44635110334</v>
      </c>
      <c r="H5531" s="1">
        <f>_xlfn.XLOOKUP(Ocupacao_DW[[#This Row],[Concat]],Vagas!$H:$H,Vagas!$D:$D,"",0)</f>
        <v>0</v>
      </c>
    </row>
    <row r="5532" spans="1:8" x14ac:dyDescent="0.25">
      <c r="A5532" s="2">
        <v>44639</v>
      </c>
      <c r="B5532" s="1"/>
      <c r="C5532">
        <v>70</v>
      </c>
      <c r="D5532" s="1" t="s">
        <v>187</v>
      </c>
      <c r="E5532" s="1" t="s">
        <v>5</v>
      </c>
      <c r="F5532">
        <v>13</v>
      </c>
      <c r="G5532" s="1" t="str">
        <f>Ocupacao_DW[[#This Row],[data]]&amp;Ocupacao_DW[[#This Row],[profissional_id]]&amp;Ocupacao_DW[[#This Row],[local_id]]</f>
        <v>446397013</v>
      </c>
      <c r="H5532" s="1">
        <f>_xlfn.XLOOKUP(Ocupacao_DW[[#This Row],[Concat]],Vagas!$H:$H,Vagas!$D:$D,"",0)</f>
        <v>0</v>
      </c>
    </row>
    <row r="5533" spans="1:8" x14ac:dyDescent="0.25">
      <c r="A5533" s="2">
        <v>44637</v>
      </c>
      <c r="B5533" s="1" t="s">
        <v>52</v>
      </c>
      <c r="C5533">
        <v>10691</v>
      </c>
      <c r="D5533" s="1" t="s">
        <v>181</v>
      </c>
      <c r="E5533" s="1" t="s">
        <v>6</v>
      </c>
      <c r="F5533">
        <v>9</v>
      </c>
      <c r="G5533" s="1" t="str">
        <f>Ocupacao_DW[[#This Row],[data]]&amp;Ocupacao_DW[[#This Row],[profissional_id]]&amp;Ocupacao_DW[[#This Row],[local_id]]</f>
        <v>44637106919</v>
      </c>
      <c r="H5533" s="1">
        <f>_xlfn.XLOOKUP(Ocupacao_DW[[#This Row],[Concat]],Vagas!$H:$H,Vagas!$D:$D,"",0)</f>
        <v>0</v>
      </c>
    </row>
    <row r="5534" spans="1:8" x14ac:dyDescent="0.25">
      <c r="A5534" s="2">
        <v>44635</v>
      </c>
      <c r="B5534" s="1" t="s">
        <v>67</v>
      </c>
      <c r="C5534">
        <v>7290</v>
      </c>
      <c r="D5534" s="1" t="s">
        <v>247</v>
      </c>
      <c r="E5534" s="1" t="s">
        <v>5</v>
      </c>
      <c r="F5534">
        <v>18</v>
      </c>
      <c r="G5534" s="1" t="str">
        <f>Ocupacao_DW[[#This Row],[data]]&amp;Ocupacao_DW[[#This Row],[profissional_id]]&amp;Ocupacao_DW[[#This Row],[local_id]]</f>
        <v>44635729018</v>
      </c>
      <c r="H5534" s="1">
        <f>_xlfn.XLOOKUP(Ocupacao_DW[[#This Row],[Concat]],Vagas!$H:$H,Vagas!$D:$D,"",0)</f>
        <v>0</v>
      </c>
    </row>
    <row r="5535" spans="1:8" x14ac:dyDescent="0.25">
      <c r="A5535" s="2">
        <v>44643</v>
      </c>
      <c r="B5535" s="1"/>
      <c r="C5535">
        <v>73</v>
      </c>
      <c r="D5535" s="1" t="s">
        <v>171</v>
      </c>
      <c r="E5535" s="1" t="s">
        <v>6</v>
      </c>
      <c r="F5535">
        <v>5</v>
      </c>
      <c r="G5535" s="1" t="str">
        <f>Ocupacao_DW[[#This Row],[data]]&amp;Ocupacao_DW[[#This Row],[profissional_id]]&amp;Ocupacao_DW[[#This Row],[local_id]]</f>
        <v>44643735</v>
      </c>
      <c r="H5535" s="1">
        <f>_xlfn.XLOOKUP(Ocupacao_DW[[#This Row],[Concat]],Vagas!$H:$H,Vagas!$D:$D,"",0)</f>
        <v>0</v>
      </c>
    </row>
    <row r="5536" spans="1:8" x14ac:dyDescent="0.25">
      <c r="A5536" s="2">
        <v>44637</v>
      </c>
      <c r="B5536" s="1"/>
      <c r="C5536">
        <v>12426</v>
      </c>
      <c r="D5536" s="1" t="s">
        <v>215</v>
      </c>
      <c r="E5536" s="1" t="s">
        <v>6</v>
      </c>
      <c r="F5536">
        <v>5</v>
      </c>
      <c r="G5536" s="1" t="str">
        <f>Ocupacao_DW[[#This Row],[data]]&amp;Ocupacao_DW[[#This Row],[profissional_id]]&amp;Ocupacao_DW[[#This Row],[local_id]]</f>
        <v>44637124265</v>
      </c>
      <c r="H5536" s="1">
        <f>_xlfn.XLOOKUP(Ocupacao_DW[[#This Row],[Concat]],Vagas!$H:$H,Vagas!$D:$D,"",0)</f>
        <v>0</v>
      </c>
    </row>
    <row r="5537" spans="1:8" x14ac:dyDescent="0.25">
      <c r="A5537" s="2">
        <v>44636</v>
      </c>
      <c r="B5537" s="1"/>
      <c r="C5537">
        <v>57</v>
      </c>
      <c r="D5537" s="1" t="s">
        <v>169</v>
      </c>
      <c r="E5537" s="1" t="s">
        <v>6</v>
      </c>
      <c r="F5537">
        <v>8</v>
      </c>
      <c r="G5537" s="1" t="str">
        <f>Ocupacao_DW[[#This Row],[data]]&amp;Ocupacao_DW[[#This Row],[profissional_id]]&amp;Ocupacao_DW[[#This Row],[local_id]]</f>
        <v>44636578</v>
      </c>
      <c r="H5537" s="1">
        <f>_xlfn.XLOOKUP(Ocupacao_DW[[#This Row],[Concat]],Vagas!$H:$H,Vagas!$D:$D,"",0)</f>
        <v>14</v>
      </c>
    </row>
    <row r="5538" spans="1:8" x14ac:dyDescent="0.25">
      <c r="A5538" s="2">
        <v>44646</v>
      </c>
      <c r="B5538" s="1"/>
      <c r="C5538">
        <v>4887</v>
      </c>
      <c r="D5538" s="1" t="s">
        <v>168</v>
      </c>
      <c r="E5538" s="1" t="s">
        <v>5</v>
      </c>
      <c r="F5538">
        <v>18</v>
      </c>
      <c r="G5538" s="1" t="str">
        <f>Ocupacao_DW[[#This Row],[data]]&amp;Ocupacao_DW[[#This Row],[profissional_id]]&amp;Ocupacao_DW[[#This Row],[local_id]]</f>
        <v>44646488718</v>
      </c>
      <c r="H5538" s="1">
        <f>_xlfn.XLOOKUP(Ocupacao_DW[[#This Row],[Concat]],Vagas!$H:$H,Vagas!$D:$D,"",0)</f>
        <v>0</v>
      </c>
    </row>
    <row r="5539" spans="1:8" x14ac:dyDescent="0.25">
      <c r="A5539" s="2">
        <v>44636</v>
      </c>
      <c r="B5539" s="1"/>
      <c r="C5539">
        <v>6430</v>
      </c>
      <c r="D5539" s="1" t="s">
        <v>188</v>
      </c>
      <c r="E5539" s="1" t="s">
        <v>4</v>
      </c>
      <c r="F5539">
        <v>42</v>
      </c>
      <c r="G5539" s="1" t="str">
        <f>Ocupacao_DW[[#This Row],[data]]&amp;Ocupacao_DW[[#This Row],[profissional_id]]&amp;Ocupacao_DW[[#This Row],[local_id]]</f>
        <v>44636643042</v>
      </c>
      <c r="H5539" s="1">
        <f>_xlfn.XLOOKUP(Ocupacao_DW[[#This Row],[Concat]],Vagas!$H:$H,Vagas!$D:$D,"",0)</f>
        <v>0</v>
      </c>
    </row>
    <row r="5540" spans="1:8" x14ac:dyDescent="0.25">
      <c r="A5540" s="2">
        <v>44635</v>
      </c>
      <c r="B5540" s="1"/>
      <c r="C5540">
        <v>110</v>
      </c>
      <c r="D5540" s="1" t="s">
        <v>193</v>
      </c>
      <c r="E5540" s="1" t="s">
        <v>4</v>
      </c>
      <c r="F5540">
        <v>334</v>
      </c>
      <c r="G5540" s="1" t="str">
        <f>Ocupacao_DW[[#This Row],[data]]&amp;Ocupacao_DW[[#This Row],[profissional_id]]&amp;Ocupacao_DW[[#This Row],[local_id]]</f>
        <v>44635110334</v>
      </c>
      <c r="H5540" s="1">
        <f>_xlfn.XLOOKUP(Ocupacao_DW[[#This Row],[Concat]],Vagas!$H:$H,Vagas!$D:$D,"",0)</f>
        <v>0</v>
      </c>
    </row>
    <row r="5541" spans="1:8" x14ac:dyDescent="0.25">
      <c r="A5541" s="2">
        <v>44637</v>
      </c>
      <c r="B5541" s="1"/>
      <c r="C5541">
        <v>8598</v>
      </c>
      <c r="D5541" s="1" t="s">
        <v>228</v>
      </c>
      <c r="E5541" s="1"/>
      <c r="F5541">
        <v>0</v>
      </c>
      <c r="G5541" s="1" t="str">
        <f>Ocupacao_DW[[#This Row],[data]]&amp;Ocupacao_DW[[#This Row],[profissional_id]]&amp;Ocupacao_DW[[#This Row],[local_id]]</f>
        <v>4463785980</v>
      </c>
      <c r="H5541" s="1" t="str">
        <f>_xlfn.XLOOKUP(Ocupacao_DW[[#This Row],[Concat]],Vagas!$H:$H,Vagas!$D:$D,"",0)</f>
        <v/>
      </c>
    </row>
    <row r="5542" spans="1:8" x14ac:dyDescent="0.25">
      <c r="A5542" s="2">
        <v>44641</v>
      </c>
      <c r="B5542" s="1"/>
      <c r="C5542">
        <v>117</v>
      </c>
      <c r="D5542" s="1" t="s">
        <v>180</v>
      </c>
      <c r="E5542" s="1" t="s">
        <v>4</v>
      </c>
      <c r="F5542">
        <v>48</v>
      </c>
      <c r="G5542" s="1" t="str">
        <f>Ocupacao_DW[[#This Row],[data]]&amp;Ocupacao_DW[[#This Row],[profissional_id]]&amp;Ocupacao_DW[[#This Row],[local_id]]</f>
        <v>4464111748</v>
      </c>
      <c r="H5542" s="1">
        <f>_xlfn.XLOOKUP(Ocupacao_DW[[#This Row],[Concat]],Vagas!$H:$H,Vagas!$D:$D,"",0)</f>
        <v>0</v>
      </c>
    </row>
    <row r="5543" spans="1:8" x14ac:dyDescent="0.25">
      <c r="A5543" s="2">
        <v>44643</v>
      </c>
      <c r="B5543" s="1"/>
      <c r="C5543">
        <v>73</v>
      </c>
      <c r="D5543" s="1" t="s">
        <v>171</v>
      </c>
      <c r="E5543" s="1" t="s">
        <v>6</v>
      </c>
      <c r="F5543">
        <v>5</v>
      </c>
      <c r="G5543" s="1" t="str">
        <f>Ocupacao_DW[[#This Row],[data]]&amp;Ocupacao_DW[[#This Row],[profissional_id]]&amp;Ocupacao_DW[[#This Row],[local_id]]</f>
        <v>44643735</v>
      </c>
      <c r="H5543" s="1">
        <f>_xlfn.XLOOKUP(Ocupacao_DW[[#This Row],[Concat]],Vagas!$H:$H,Vagas!$D:$D,"",0)</f>
        <v>0</v>
      </c>
    </row>
    <row r="5544" spans="1:8" x14ac:dyDescent="0.25">
      <c r="A5544" s="2">
        <v>44636</v>
      </c>
      <c r="B5544" s="1"/>
      <c r="C5544">
        <v>12825</v>
      </c>
      <c r="D5544" s="1" t="s">
        <v>177</v>
      </c>
      <c r="E5544" s="1"/>
      <c r="F5544">
        <v>0</v>
      </c>
      <c r="G5544" s="1" t="str">
        <f>Ocupacao_DW[[#This Row],[data]]&amp;Ocupacao_DW[[#This Row],[profissional_id]]&amp;Ocupacao_DW[[#This Row],[local_id]]</f>
        <v>44636128250</v>
      </c>
      <c r="H5544" s="1" t="str">
        <f>_xlfn.XLOOKUP(Ocupacao_DW[[#This Row],[Concat]],Vagas!$H:$H,Vagas!$D:$D,"",0)</f>
        <v/>
      </c>
    </row>
    <row r="5545" spans="1:8" x14ac:dyDescent="0.25">
      <c r="A5545" s="2">
        <v>44648</v>
      </c>
      <c r="B5545" s="1"/>
      <c r="C5545">
        <v>6392</v>
      </c>
      <c r="D5545" s="1" t="s">
        <v>173</v>
      </c>
      <c r="E5545" s="1" t="s">
        <v>6</v>
      </c>
      <c r="F5545">
        <v>5</v>
      </c>
      <c r="G5545" s="1" t="str">
        <f>Ocupacao_DW[[#This Row],[data]]&amp;Ocupacao_DW[[#This Row],[profissional_id]]&amp;Ocupacao_DW[[#This Row],[local_id]]</f>
        <v>4464863925</v>
      </c>
      <c r="H5545" s="1">
        <f>_xlfn.XLOOKUP(Ocupacao_DW[[#This Row],[Concat]],Vagas!$H:$H,Vagas!$D:$D,"",0)</f>
        <v>0</v>
      </c>
    </row>
    <row r="5546" spans="1:8" x14ac:dyDescent="0.25">
      <c r="A5546" s="2">
        <v>44643</v>
      </c>
      <c r="B5546" s="1"/>
      <c r="C5546">
        <v>73</v>
      </c>
      <c r="D5546" s="1" t="s">
        <v>171</v>
      </c>
      <c r="E5546" s="1" t="s">
        <v>6</v>
      </c>
      <c r="F5546">
        <v>5</v>
      </c>
      <c r="G5546" s="1" t="str">
        <f>Ocupacao_DW[[#This Row],[data]]&amp;Ocupacao_DW[[#This Row],[profissional_id]]&amp;Ocupacao_DW[[#This Row],[local_id]]</f>
        <v>44643735</v>
      </c>
      <c r="H5546" s="1">
        <f>_xlfn.XLOOKUP(Ocupacao_DW[[#This Row],[Concat]],Vagas!$H:$H,Vagas!$D:$D,"",0)</f>
        <v>0</v>
      </c>
    </row>
    <row r="5547" spans="1:8" x14ac:dyDescent="0.25">
      <c r="A5547" s="2">
        <v>44635</v>
      </c>
      <c r="B5547" s="1"/>
      <c r="C5547">
        <v>10600</v>
      </c>
      <c r="D5547" s="1" t="s">
        <v>248</v>
      </c>
      <c r="E5547" s="1"/>
      <c r="F5547">
        <v>0</v>
      </c>
      <c r="G5547" s="1" t="str">
        <f>Ocupacao_DW[[#This Row],[data]]&amp;Ocupacao_DW[[#This Row],[profissional_id]]&amp;Ocupacao_DW[[#This Row],[local_id]]</f>
        <v>44635106000</v>
      </c>
      <c r="H5547" s="1" t="str">
        <f>_xlfn.XLOOKUP(Ocupacao_DW[[#This Row],[Concat]],Vagas!$H:$H,Vagas!$D:$D,"",0)</f>
        <v/>
      </c>
    </row>
    <row r="5548" spans="1:8" x14ac:dyDescent="0.25">
      <c r="A5548" s="2">
        <v>44635</v>
      </c>
      <c r="B5548" s="1"/>
      <c r="C5548">
        <v>110</v>
      </c>
      <c r="D5548" s="1" t="s">
        <v>193</v>
      </c>
      <c r="E5548" s="1" t="s">
        <v>4</v>
      </c>
      <c r="F5548">
        <v>334</v>
      </c>
      <c r="G5548" s="1" t="str">
        <f>Ocupacao_DW[[#This Row],[data]]&amp;Ocupacao_DW[[#This Row],[profissional_id]]&amp;Ocupacao_DW[[#This Row],[local_id]]</f>
        <v>44635110334</v>
      </c>
      <c r="H5548" s="1">
        <f>_xlfn.XLOOKUP(Ocupacao_DW[[#This Row],[Concat]],Vagas!$H:$H,Vagas!$D:$D,"",0)</f>
        <v>0</v>
      </c>
    </row>
    <row r="5549" spans="1:8" x14ac:dyDescent="0.25">
      <c r="A5549" s="2">
        <v>44636</v>
      </c>
      <c r="B5549" s="1"/>
      <c r="C5549">
        <v>3502</v>
      </c>
      <c r="D5549" s="1" t="s">
        <v>214</v>
      </c>
      <c r="E5549" s="1" t="s">
        <v>5</v>
      </c>
      <c r="F5549">
        <v>16</v>
      </c>
      <c r="G5549" s="1" t="str">
        <f>Ocupacao_DW[[#This Row],[data]]&amp;Ocupacao_DW[[#This Row],[profissional_id]]&amp;Ocupacao_DW[[#This Row],[local_id]]</f>
        <v>44636350216</v>
      </c>
      <c r="H5549" s="1">
        <f>_xlfn.XLOOKUP(Ocupacao_DW[[#This Row],[Concat]],Vagas!$H:$H,Vagas!$D:$D,"",0)</f>
        <v>0</v>
      </c>
    </row>
    <row r="5550" spans="1:8" x14ac:dyDescent="0.25">
      <c r="A5550" s="2">
        <v>44636</v>
      </c>
      <c r="B5550" s="1"/>
      <c r="C5550">
        <v>3502</v>
      </c>
      <c r="D5550" s="1" t="s">
        <v>214</v>
      </c>
      <c r="E5550" s="1" t="s">
        <v>5</v>
      </c>
      <c r="F5550">
        <v>16</v>
      </c>
      <c r="G5550" s="1" t="str">
        <f>Ocupacao_DW[[#This Row],[data]]&amp;Ocupacao_DW[[#This Row],[profissional_id]]&amp;Ocupacao_DW[[#This Row],[local_id]]</f>
        <v>44636350216</v>
      </c>
      <c r="H5550" s="1">
        <f>_xlfn.XLOOKUP(Ocupacao_DW[[#This Row],[Concat]],Vagas!$H:$H,Vagas!$D:$D,"",0)</f>
        <v>0</v>
      </c>
    </row>
    <row r="5551" spans="1:8" x14ac:dyDescent="0.25">
      <c r="A5551" s="2">
        <v>44644</v>
      </c>
      <c r="B5551" s="1" t="s">
        <v>52</v>
      </c>
      <c r="C5551">
        <v>10691</v>
      </c>
      <c r="D5551" s="1" t="s">
        <v>181</v>
      </c>
      <c r="E5551" s="1" t="s">
        <v>6</v>
      </c>
      <c r="F5551">
        <v>9</v>
      </c>
      <c r="G5551" s="1" t="str">
        <f>Ocupacao_DW[[#This Row],[data]]&amp;Ocupacao_DW[[#This Row],[profissional_id]]&amp;Ocupacao_DW[[#This Row],[local_id]]</f>
        <v>44644106919</v>
      </c>
      <c r="H5551" s="1">
        <f>_xlfn.XLOOKUP(Ocupacao_DW[[#This Row],[Concat]],Vagas!$H:$H,Vagas!$D:$D,"",0)</f>
        <v>0</v>
      </c>
    </row>
    <row r="5552" spans="1:8" x14ac:dyDescent="0.25">
      <c r="A5552" s="2">
        <v>44643</v>
      </c>
      <c r="B5552" s="1"/>
      <c r="C5552">
        <v>12519</v>
      </c>
      <c r="D5552" s="1" t="s">
        <v>176</v>
      </c>
      <c r="E5552" s="1" t="s">
        <v>4</v>
      </c>
      <c r="F5552">
        <v>48</v>
      </c>
      <c r="G5552" s="1" t="str">
        <f>Ocupacao_DW[[#This Row],[data]]&amp;Ocupacao_DW[[#This Row],[profissional_id]]&amp;Ocupacao_DW[[#This Row],[local_id]]</f>
        <v>446431251948</v>
      </c>
      <c r="H5552" s="1">
        <f>_xlfn.XLOOKUP(Ocupacao_DW[[#This Row],[Concat]],Vagas!$H:$H,Vagas!$D:$D,"",0)</f>
        <v>0</v>
      </c>
    </row>
    <row r="5553" spans="1:8" x14ac:dyDescent="0.25">
      <c r="A5553" s="2">
        <v>44638</v>
      </c>
      <c r="B5553" s="1" t="s">
        <v>55</v>
      </c>
      <c r="C5553">
        <v>13835</v>
      </c>
      <c r="D5553" s="1" t="s">
        <v>225</v>
      </c>
      <c r="E5553" s="1" t="s">
        <v>167</v>
      </c>
      <c r="F5553">
        <v>352</v>
      </c>
      <c r="G5553" s="1" t="str">
        <f>Ocupacao_DW[[#This Row],[data]]&amp;Ocupacao_DW[[#This Row],[profissional_id]]&amp;Ocupacao_DW[[#This Row],[local_id]]</f>
        <v>4463813835352</v>
      </c>
      <c r="H5553" s="1" t="str">
        <f>_xlfn.XLOOKUP(Ocupacao_DW[[#This Row],[Concat]],Vagas!$H:$H,Vagas!$D:$D,"",0)</f>
        <v/>
      </c>
    </row>
    <row r="5554" spans="1:8" x14ac:dyDescent="0.25">
      <c r="A5554" s="2">
        <v>44649</v>
      </c>
      <c r="B5554" s="1"/>
      <c r="C5554">
        <v>73</v>
      </c>
      <c r="D5554" s="1" t="s">
        <v>171</v>
      </c>
      <c r="E5554" s="1" t="s">
        <v>6</v>
      </c>
      <c r="F5554">
        <v>5</v>
      </c>
      <c r="G5554" s="1" t="str">
        <f>Ocupacao_DW[[#This Row],[data]]&amp;Ocupacao_DW[[#This Row],[profissional_id]]&amp;Ocupacao_DW[[#This Row],[local_id]]</f>
        <v>44649735</v>
      </c>
      <c r="H5554" s="1">
        <f>_xlfn.XLOOKUP(Ocupacao_DW[[#This Row],[Concat]],Vagas!$H:$H,Vagas!$D:$D,"",0)</f>
        <v>0</v>
      </c>
    </row>
    <row r="5555" spans="1:8" x14ac:dyDescent="0.25">
      <c r="A5555" s="2">
        <v>44639</v>
      </c>
      <c r="B5555" s="1"/>
      <c r="C5555">
        <v>111</v>
      </c>
      <c r="D5555" s="1" t="s">
        <v>199</v>
      </c>
      <c r="E5555" s="1" t="s">
        <v>4</v>
      </c>
      <c r="F5555">
        <v>51</v>
      </c>
      <c r="G5555" s="1" t="str">
        <f>Ocupacao_DW[[#This Row],[data]]&amp;Ocupacao_DW[[#This Row],[profissional_id]]&amp;Ocupacao_DW[[#This Row],[local_id]]</f>
        <v>4463911151</v>
      </c>
      <c r="H5555" s="1">
        <f>_xlfn.XLOOKUP(Ocupacao_DW[[#This Row],[Concat]],Vagas!$H:$H,Vagas!$D:$D,"",0)</f>
        <v>0</v>
      </c>
    </row>
    <row r="5556" spans="1:8" x14ac:dyDescent="0.25">
      <c r="A5556" s="2">
        <v>44638</v>
      </c>
      <c r="B5556" s="1" t="s">
        <v>55</v>
      </c>
      <c r="C5556">
        <v>13835</v>
      </c>
      <c r="D5556" s="1" t="s">
        <v>225</v>
      </c>
      <c r="E5556" s="1" t="s">
        <v>5</v>
      </c>
      <c r="F5556">
        <v>11</v>
      </c>
      <c r="G5556" s="1" t="str">
        <f>Ocupacao_DW[[#This Row],[data]]&amp;Ocupacao_DW[[#This Row],[profissional_id]]&amp;Ocupacao_DW[[#This Row],[local_id]]</f>
        <v>446381383511</v>
      </c>
      <c r="H5556" s="1" t="str">
        <f>_xlfn.XLOOKUP(Ocupacao_DW[[#This Row],[Concat]],Vagas!$H:$H,Vagas!$D:$D,"",0)</f>
        <v/>
      </c>
    </row>
    <row r="5557" spans="1:8" x14ac:dyDescent="0.25">
      <c r="A5557" s="2">
        <v>44636</v>
      </c>
      <c r="B5557" s="1"/>
      <c r="C5557">
        <v>10785</v>
      </c>
      <c r="D5557" s="1" t="s">
        <v>237</v>
      </c>
      <c r="E5557" s="1" t="s">
        <v>5</v>
      </c>
      <c r="F5557">
        <v>14</v>
      </c>
      <c r="G5557" s="1" t="str">
        <f>Ocupacao_DW[[#This Row],[data]]&amp;Ocupacao_DW[[#This Row],[profissional_id]]&amp;Ocupacao_DW[[#This Row],[local_id]]</f>
        <v>446361078514</v>
      </c>
      <c r="H5557" s="1">
        <f>_xlfn.XLOOKUP(Ocupacao_DW[[#This Row],[Concat]],Vagas!$H:$H,Vagas!$D:$D,"",0)</f>
        <v>8</v>
      </c>
    </row>
    <row r="5558" spans="1:8" x14ac:dyDescent="0.25">
      <c r="A5558" s="2">
        <v>44636</v>
      </c>
      <c r="B5558" s="1"/>
      <c r="C5558">
        <v>17859</v>
      </c>
      <c r="D5558" s="1" t="s">
        <v>212</v>
      </c>
      <c r="E5558" s="1" t="s">
        <v>6</v>
      </c>
      <c r="F5558">
        <v>7</v>
      </c>
      <c r="G5558" s="1" t="str">
        <f>Ocupacao_DW[[#This Row],[data]]&amp;Ocupacao_DW[[#This Row],[profissional_id]]&amp;Ocupacao_DW[[#This Row],[local_id]]</f>
        <v>44636178597</v>
      </c>
      <c r="H5558" s="1">
        <f>_xlfn.XLOOKUP(Ocupacao_DW[[#This Row],[Concat]],Vagas!$H:$H,Vagas!$D:$D,"",0)</f>
        <v>0</v>
      </c>
    </row>
    <row r="5559" spans="1:8" x14ac:dyDescent="0.25">
      <c r="A5559" s="2">
        <v>44636</v>
      </c>
      <c r="B5559" s="1"/>
      <c r="C5559">
        <v>5767</v>
      </c>
      <c r="D5559" s="1" t="s">
        <v>239</v>
      </c>
      <c r="E5559" s="1" t="s">
        <v>4</v>
      </c>
      <c r="F5559">
        <v>43</v>
      </c>
      <c r="G5559" s="1" t="str">
        <f>Ocupacao_DW[[#This Row],[data]]&amp;Ocupacao_DW[[#This Row],[profissional_id]]&amp;Ocupacao_DW[[#This Row],[local_id]]</f>
        <v>44636576743</v>
      </c>
      <c r="H5559" s="1">
        <f>_xlfn.XLOOKUP(Ocupacao_DW[[#This Row],[Concat]],Vagas!$H:$H,Vagas!$D:$D,"",0)</f>
        <v>0</v>
      </c>
    </row>
    <row r="5560" spans="1:8" x14ac:dyDescent="0.25">
      <c r="A5560" s="2">
        <v>44636</v>
      </c>
      <c r="B5560" s="1"/>
      <c r="C5560">
        <v>17859</v>
      </c>
      <c r="D5560" s="1" t="s">
        <v>212</v>
      </c>
      <c r="E5560" s="1" t="s">
        <v>6</v>
      </c>
      <c r="F5560">
        <v>7</v>
      </c>
      <c r="G5560" s="1" t="str">
        <f>Ocupacao_DW[[#This Row],[data]]&amp;Ocupacao_DW[[#This Row],[profissional_id]]&amp;Ocupacao_DW[[#This Row],[local_id]]</f>
        <v>44636178597</v>
      </c>
      <c r="H5560" s="1">
        <f>_xlfn.XLOOKUP(Ocupacao_DW[[#This Row],[Concat]],Vagas!$H:$H,Vagas!$D:$D,"",0)</f>
        <v>0</v>
      </c>
    </row>
    <row r="5561" spans="1:8" x14ac:dyDescent="0.25">
      <c r="A5561" s="2">
        <v>44645</v>
      </c>
      <c r="B5561" s="1"/>
      <c r="C5561">
        <v>2984</v>
      </c>
      <c r="D5561" s="1" t="s">
        <v>185</v>
      </c>
      <c r="E5561" s="1" t="s">
        <v>6</v>
      </c>
      <c r="F5561">
        <v>7</v>
      </c>
      <c r="G5561" s="1" t="str">
        <f>Ocupacao_DW[[#This Row],[data]]&amp;Ocupacao_DW[[#This Row],[profissional_id]]&amp;Ocupacao_DW[[#This Row],[local_id]]</f>
        <v>4464529847</v>
      </c>
      <c r="H5561" s="1">
        <f>_xlfn.XLOOKUP(Ocupacao_DW[[#This Row],[Concat]],Vagas!$H:$H,Vagas!$D:$D,"",0)</f>
        <v>0</v>
      </c>
    </row>
    <row r="5562" spans="1:8" x14ac:dyDescent="0.25">
      <c r="A5562" s="2">
        <v>44648</v>
      </c>
      <c r="B5562" s="1"/>
      <c r="C5562">
        <v>6046</v>
      </c>
      <c r="D5562" s="1" t="s">
        <v>222</v>
      </c>
      <c r="E5562" s="1" t="s">
        <v>4</v>
      </c>
      <c r="F5562">
        <v>46</v>
      </c>
      <c r="G5562" s="1" t="str">
        <f>Ocupacao_DW[[#This Row],[data]]&amp;Ocupacao_DW[[#This Row],[profissional_id]]&amp;Ocupacao_DW[[#This Row],[local_id]]</f>
        <v>44648604646</v>
      </c>
      <c r="H5562" s="1">
        <f>_xlfn.XLOOKUP(Ocupacao_DW[[#This Row],[Concat]],Vagas!$H:$H,Vagas!$D:$D,"",0)</f>
        <v>0</v>
      </c>
    </row>
    <row r="5563" spans="1:8" x14ac:dyDescent="0.25">
      <c r="A5563" s="2">
        <v>44638</v>
      </c>
      <c r="B5563" s="1"/>
      <c r="C5563">
        <v>57</v>
      </c>
      <c r="D5563" s="1" t="s">
        <v>169</v>
      </c>
      <c r="E5563" s="1" t="s">
        <v>6</v>
      </c>
      <c r="F5563">
        <v>8</v>
      </c>
      <c r="G5563" s="1" t="str">
        <f>Ocupacao_DW[[#This Row],[data]]&amp;Ocupacao_DW[[#This Row],[profissional_id]]&amp;Ocupacao_DW[[#This Row],[local_id]]</f>
        <v>44638578</v>
      </c>
      <c r="H5563" s="1">
        <f>_xlfn.XLOOKUP(Ocupacao_DW[[#This Row],[Concat]],Vagas!$H:$H,Vagas!$D:$D,"",0)</f>
        <v>0</v>
      </c>
    </row>
    <row r="5564" spans="1:8" x14ac:dyDescent="0.25">
      <c r="A5564" s="2">
        <v>44637</v>
      </c>
      <c r="B5564" s="1" t="s">
        <v>71</v>
      </c>
      <c r="C5564">
        <v>76</v>
      </c>
      <c r="D5564" s="1" t="s">
        <v>227</v>
      </c>
      <c r="E5564" s="1" t="s">
        <v>4</v>
      </c>
      <c r="F5564">
        <v>48</v>
      </c>
      <c r="G5564" s="1" t="str">
        <f>Ocupacao_DW[[#This Row],[data]]&amp;Ocupacao_DW[[#This Row],[profissional_id]]&amp;Ocupacao_DW[[#This Row],[local_id]]</f>
        <v>446377648</v>
      </c>
      <c r="H5564" s="1">
        <f>_xlfn.XLOOKUP(Ocupacao_DW[[#This Row],[Concat]],Vagas!$H:$H,Vagas!$D:$D,"",0)</f>
        <v>0</v>
      </c>
    </row>
    <row r="5565" spans="1:8" x14ac:dyDescent="0.25">
      <c r="A5565" s="2">
        <v>44637</v>
      </c>
      <c r="B5565" s="1" t="s">
        <v>51</v>
      </c>
      <c r="C5565">
        <v>12582</v>
      </c>
      <c r="D5565" s="1" t="s">
        <v>190</v>
      </c>
      <c r="E5565" s="1" t="s">
        <v>6</v>
      </c>
      <c r="F5565">
        <v>6</v>
      </c>
      <c r="G5565" s="1" t="str">
        <f>Ocupacao_DW[[#This Row],[data]]&amp;Ocupacao_DW[[#This Row],[profissional_id]]&amp;Ocupacao_DW[[#This Row],[local_id]]</f>
        <v>44637125826</v>
      </c>
      <c r="H5565" s="1">
        <f>_xlfn.XLOOKUP(Ocupacao_DW[[#This Row],[Concat]],Vagas!$H:$H,Vagas!$D:$D,"",0)</f>
        <v>0</v>
      </c>
    </row>
    <row r="5566" spans="1:8" x14ac:dyDescent="0.25">
      <c r="A5566" s="2">
        <v>44643</v>
      </c>
      <c r="B5566" s="1" t="s">
        <v>51</v>
      </c>
      <c r="C5566">
        <v>7551</v>
      </c>
      <c r="D5566" s="1" t="s">
        <v>246</v>
      </c>
      <c r="E5566" s="1" t="s">
        <v>5</v>
      </c>
      <c r="F5566">
        <v>15</v>
      </c>
      <c r="G5566" s="1" t="str">
        <f>Ocupacao_DW[[#This Row],[data]]&amp;Ocupacao_DW[[#This Row],[profissional_id]]&amp;Ocupacao_DW[[#This Row],[local_id]]</f>
        <v>44643755115</v>
      </c>
      <c r="H5566" s="1">
        <f>_xlfn.XLOOKUP(Ocupacao_DW[[#This Row],[Concat]],Vagas!$H:$H,Vagas!$D:$D,"",0)</f>
        <v>0</v>
      </c>
    </row>
    <row r="5567" spans="1:8" x14ac:dyDescent="0.25">
      <c r="A5567" s="2">
        <v>44648</v>
      </c>
      <c r="B5567" s="1" t="s">
        <v>55</v>
      </c>
      <c r="C5567">
        <v>6392</v>
      </c>
      <c r="D5567" s="1" t="s">
        <v>173</v>
      </c>
      <c r="E5567" s="1" t="s">
        <v>6</v>
      </c>
      <c r="F5567">
        <v>5</v>
      </c>
      <c r="G5567" s="1" t="str">
        <f>Ocupacao_DW[[#This Row],[data]]&amp;Ocupacao_DW[[#This Row],[profissional_id]]&amp;Ocupacao_DW[[#This Row],[local_id]]</f>
        <v>4464863925</v>
      </c>
      <c r="H5567" s="1">
        <f>_xlfn.XLOOKUP(Ocupacao_DW[[#This Row],[Concat]],Vagas!$H:$H,Vagas!$D:$D,"",0)</f>
        <v>0</v>
      </c>
    </row>
    <row r="5568" spans="1:8" x14ac:dyDescent="0.25">
      <c r="A5568" s="2">
        <v>44641</v>
      </c>
      <c r="B5568" s="1" t="s">
        <v>64</v>
      </c>
      <c r="C5568">
        <v>86</v>
      </c>
      <c r="D5568" s="1" t="s">
        <v>175</v>
      </c>
      <c r="E5568" s="1" t="s">
        <v>5</v>
      </c>
      <c r="F5568">
        <v>349</v>
      </c>
      <c r="G5568" s="1" t="str">
        <f>Ocupacao_DW[[#This Row],[data]]&amp;Ocupacao_DW[[#This Row],[profissional_id]]&amp;Ocupacao_DW[[#This Row],[local_id]]</f>
        <v>4464186349</v>
      </c>
      <c r="H5568" s="1">
        <f>_xlfn.XLOOKUP(Ocupacao_DW[[#This Row],[Concat]],Vagas!$H:$H,Vagas!$D:$D,"",0)</f>
        <v>0</v>
      </c>
    </row>
    <row r="5569" spans="1:8" x14ac:dyDescent="0.25">
      <c r="A5569" s="2">
        <v>44641</v>
      </c>
      <c r="B5569" s="1" t="s">
        <v>55</v>
      </c>
      <c r="C5569">
        <v>60</v>
      </c>
      <c r="D5569" s="1" t="s">
        <v>217</v>
      </c>
      <c r="E5569" s="1" t="s">
        <v>167</v>
      </c>
      <c r="F5569">
        <v>345</v>
      </c>
      <c r="G5569" s="1" t="str">
        <f>Ocupacao_DW[[#This Row],[data]]&amp;Ocupacao_DW[[#This Row],[profissional_id]]&amp;Ocupacao_DW[[#This Row],[local_id]]</f>
        <v>4464160345</v>
      </c>
      <c r="H5569" s="1">
        <f>_xlfn.XLOOKUP(Ocupacao_DW[[#This Row],[Concat]],Vagas!$H:$H,Vagas!$D:$D,"",0)</f>
        <v>0</v>
      </c>
    </row>
    <row r="5570" spans="1:8" x14ac:dyDescent="0.25">
      <c r="A5570" s="2">
        <v>44638</v>
      </c>
      <c r="B5570" s="1" t="s">
        <v>52</v>
      </c>
      <c r="C5570">
        <v>59</v>
      </c>
      <c r="D5570" s="1" t="s">
        <v>249</v>
      </c>
      <c r="E5570" s="1" t="s">
        <v>7</v>
      </c>
      <c r="F5570">
        <v>60</v>
      </c>
      <c r="G5570" s="1" t="str">
        <f>Ocupacao_DW[[#This Row],[data]]&amp;Ocupacao_DW[[#This Row],[profissional_id]]&amp;Ocupacao_DW[[#This Row],[local_id]]</f>
        <v>446385960</v>
      </c>
      <c r="H5570" s="1" t="str">
        <f>_xlfn.XLOOKUP(Ocupacao_DW[[#This Row],[Concat]],Vagas!$H:$H,Vagas!$D:$D,"",0)</f>
        <v/>
      </c>
    </row>
    <row r="5571" spans="1:8" x14ac:dyDescent="0.25">
      <c r="A5571" s="2">
        <v>44656</v>
      </c>
      <c r="B5571" s="1" t="s">
        <v>70</v>
      </c>
      <c r="C5571">
        <v>14237</v>
      </c>
      <c r="D5571" s="1" t="s">
        <v>186</v>
      </c>
      <c r="E5571" s="1" t="s">
        <v>4</v>
      </c>
      <c r="F5571">
        <v>47</v>
      </c>
      <c r="G5571" s="1" t="str">
        <f>Ocupacao_DW[[#This Row],[data]]&amp;Ocupacao_DW[[#This Row],[profissional_id]]&amp;Ocupacao_DW[[#This Row],[local_id]]</f>
        <v>446561423747</v>
      </c>
      <c r="H5571" s="1">
        <f>_xlfn.XLOOKUP(Ocupacao_DW[[#This Row],[Concat]],Vagas!$H:$H,Vagas!$D:$D,"",0)</f>
        <v>0</v>
      </c>
    </row>
    <row r="5572" spans="1:8" x14ac:dyDescent="0.25">
      <c r="A5572" s="2">
        <v>44641</v>
      </c>
      <c r="B5572" s="1" t="s">
        <v>55</v>
      </c>
      <c r="C5572">
        <v>6392</v>
      </c>
      <c r="D5572" s="1" t="s">
        <v>173</v>
      </c>
      <c r="E5572" s="1" t="s">
        <v>6</v>
      </c>
      <c r="F5572">
        <v>5</v>
      </c>
      <c r="G5572" s="1" t="str">
        <f>Ocupacao_DW[[#This Row],[data]]&amp;Ocupacao_DW[[#This Row],[profissional_id]]&amp;Ocupacao_DW[[#This Row],[local_id]]</f>
        <v>4464163925</v>
      </c>
      <c r="H5572" s="1">
        <f>_xlfn.XLOOKUP(Ocupacao_DW[[#This Row],[Concat]],Vagas!$H:$H,Vagas!$D:$D,"",0)</f>
        <v>0</v>
      </c>
    </row>
    <row r="5573" spans="1:8" x14ac:dyDescent="0.25">
      <c r="A5573" s="2">
        <v>44636</v>
      </c>
      <c r="B5573" s="1" t="s">
        <v>70</v>
      </c>
      <c r="C5573">
        <v>12825</v>
      </c>
      <c r="D5573" s="1" t="s">
        <v>177</v>
      </c>
      <c r="E5573" s="1" t="s">
        <v>4</v>
      </c>
      <c r="F5573">
        <v>45</v>
      </c>
      <c r="G5573" s="1" t="str">
        <f>Ocupacao_DW[[#This Row],[data]]&amp;Ocupacao_DW[[#This Row],[profissional_id]]&amp;Ocupacao_DW[[#This Row],[local_id]]</f>
        <v>446361282545</v>
      </c>
      <c r="H5573" s="1">
        <f>_xlfn.XLOOKUP(Ocupacao_DW[[#This Row],[Concat]],Vagas!$H:$H,Vagas!$D:$D,"",0)</f>
        <v>0</v>
      </c>
    </row>
    <row r="5574" spans="1:8" x14ac:dyDescent="0.25">
      <c r="A5574" s="2">
        <v>44638</v>
      </c>
      <c r="B5574" s="1" t="s">
        <v>56</v>
      </c>
      <c r="C5574">
        <v>5927</v>
      </c>
      <c r="D5574" s="1" t="s">
        <v>226</v>
      </c>
      <c r="E5574" s="1" t="s">
        <v>5</v>
      </c>
      <c r="F5574">
        <v>17</v>
      </c>
      <c r="G5574" s="1" t="str">
        <f>Ocupacao_DW[[#This Row],[data]]&amp;Ocupacao_DW[[#This Row],[profissional_id]]&amp;Ocupacao_DW[[#This Row],[local_id]]</f>
        <v>44638592717</v>
      </c>
      <c r="H5574" s="1">
        <f>_xlfn.XLOOKUP(Ocupacao_DW[[#This Row],[Concat]],Vagas!$H:$H,Vagas!$D:$D,"",0)</f>
        <v>0</v>
      </c>
    </row>
    <row r="5575" spans="1:8" x14ac:dyDescent="0.25">
      <c r="A5575" s="2">
        <v>44636</v>
      </c>
      <c r="B5575" s="1" t="s">
        <v>72</v>
      </c>
      <c r="C5575">
        <v>6046</v>
      </c>
      <c r="D5575" s="1" t="s">
        <v>222</v>
      </c>
      <c r="E5575" s="1" t="s">
        <v>167</v>
      </c>
      <c r="F5575">
        <v>344</v>
      </c>
      <c r="G5575" s="1" t="str">
        <f>Ocupacao_DW[[#This Row],[data]]&amp;Ocupacao_DW[[#This Row],[profissional_id]]&amp;Ocupacao_DW[[#This Row],[local_id]]</f>
        <v>446366046344</v>
      </c>
      <c r="H5575" s="1">
        <f>_xlfn.XLOOKUP(Ocupacao_DW[[#This Row],[Concat]],Vagas!$H:$H,Vagas!$D:$D,"",0)</f>
        <v>0</v>
      </c>
    </row>
    <row r="5576" spans="1:8" x14ac:dyDescent="0.25">
      <c r="A5576" s="2">
        <v>44648</v>
      </c>
      <c r="B5576" s="1" t="s">
        <v>55</v>
      </c>
      <c r="C5576">
        <v>6392</v>
      </c>
      <c r="D5576" s="1" t="s">
        <v>173</v>
      </c>
      <c r="E5576" s="1" t="s">
        <v>6</v>
      </c>
      <c r="F5576">
        <v>5</v>
      </c>
      <c r="G5576" s="1" t="str">
        <f>Ocupacao_DW[[#This Row],[data]]&amp;Ocupacao_DW[[#This Row],[profissional_id]]&amp;Ocupacao_DW[[#This Row],[local_id]]</f>
        <v>4464863925</v>
      </c>
      <c r="H5576" s="1">
        <f>_xlfn.XLOOKUP(Ocupacao_DW[[#This Row],[Concat]],Vagas!$H:$H,Vagas!$D:$D,"",0)</f>
        <v>0</v>
      </c>
    </row>
    <row r="5577" spans="1:8" x14ac:dyDescent="0.25">
      <c r="A5577" s="2">
        <v>44636</v>
      </c>
      <c r="B5577" s="1" t="s">
        <v>51</v>
      </c>
      <c r="C5577">
        <v>12679</v>
      </c>
      <c r="D5577" s="1" t="s">
        <v>192</v>
      </c>
      <c r="E5577" s="1" t="s">
        <v>200</v>
      </c>
      <c r="F5577">
        <v>82</v>
      </c>
      <c r="G5577" s="1" t="str">
        <f>Ocupacao_DW[[#This Row],[data]]&amp;Ocupacao_DW[[#This Row],[profissional_id]]&amp;Ocupacao_DW[[#This Row],[local_id]]</f>
        <v>446361267982</v>
      </c>
      <c r="H5577" s="1">
        <f>_xlfn.XLOOKUP(Ocupacao_DW[[#This Row],[Concat]],Vagas!$H:$H,Vagas!$D:$D,"",0)</f>
        <v>0</v>
      </c>
    </row>
    <row r="5578" spans="1:8" x14ac:dyDescent="0.25">
      <c r="A5578" s="2">
        <v>44642</v>
      </c>
      <c r="B5578" s="1" t="s">
        <v>55</v>
      </c>
      <c r="C5578">
        <v>73</v>
      </c>
      <c r="D5578" s="1" t="s">
        <v>171</v>
      </c>
      <c r="E5578" s="1" t="s">
        <v>6</v>
      </c>
      <c r="F5578">
        <v>5</v>
      </c>
      <c r="G5578" s="1" t="str">
        <f>Ocupacao_DW[[#This Row],[data]]&amp;Ocupacao_DW[[#This Row],[profissional_id]]&amp;Ocupacao_DW[[#This Row],[local_id]]</f>
        <v>44642735</v>
      </c>
      <c r="H5578" s="1">
        <f>_xlfn.XLOOKUP(Ocupacao_DW[[#This Row],[Concat]],Vagas!$H:$H,Vagas!$D:$D,"",0)</f>
        <v>0</v>
      </c>
    </row>
    <row r="5579" spans="1:8" x14ac:dyDescent="0.25">
      <c r="A5579" s="2">
        <v>44635</v>
      </c>
      <c r="B5579" s="1" t="s">
        <v>47</v>
      </c>
      <c r="C5579">
        <v>110</v>
      </c>
      <c r="D5579" s="1" t="s">
        <v>193</v>
      </c>
      <c r="E5579" s="1" t="s">
        <v>4</v>
      </c>
      <c r="F5579">
        <v>334</v>
      </c>
      <c r="G5579" s="1" t="str">
        <f>Ocupacao_DW[[#This Row],[data]]&amp;Ocupacao_DW[[#This Row],[profissional_id]]&amp;Ocupacao_DW[[#This Row],[local_id]]</f>
        <v>44635110334</v>
      </c>
      <c r="H5579" s="1">
        <f>_xlfn.XLOOKUP(Ocupacao_DW[[#This Row],[Concat]],Vagas!$H:$H,Vagas!$D:$D,"",0)</f>
        <v>0</v>
      </c>
    </row>
    <row r="5580" spans="1:8" x14ac:dyDescent="0.25">
      <c r="A5580" s="2">
        <v>44635</v>
      </c>
      <c r="B5580" s="1"/>
      <c r="C5580">
        <v>0</v>
      </c>
      <c r="D5580" s="1"/>
      <c r="E5580" s="1" t="s">
        <v>4</v>
      </c>
      <c r="F5580">
        <v>39</v>
      </c>
      <c r="G5580" s="1" t="str">
        <f>Ocupacao_DW[[#This Row],[data]]&amp;Ocupacao_DW[[#This Row],[profissional_id]]&amp;Ocupacao_DW[[#This Row],[local_id]]</f>
        <v>44635039</v>
      </c>
      <c r="H5580" s="1" t="str">
        <f>_xlfn.XLOOKUP(Ocupacao_DW[[#This Row],[Concat]],Vagas!$H:$H,Vagas!$D:$D,"",0)</f>
        <v/>
      </c>
    </row>
    <row r="5581" spans="1:8" x14ac:dyDescent="0.25">
      <c r="A5581" s="2">
        <v>44644</v>
      </c>
      <c r="B5581" s="1" t="s">
        <v>71</v>
      </c>
      <c r="C5581">
        <v>282</v>
      </c>
      <c r="D5581" s="1" t="s">
        <v>210</v>
      </c>
      <c r="E5581" s="1" t="s">
        <v>200</v>
      </c>
      <c r="F5581">
        <v>82</v>
      </c>
      <c r="G5581" s="1" t="str">
        <f>Ocupacao_DW[[#This Row],[data]]&amp;Ocupacao_DW[[#This Row],[profissional_id]]&amp;Ocupacao_DW[[#This Row],[local_id]]</f>
        <v>4464428282</v>
      </c>
      <c r="H5581" s="1">
        <f>_xlfn.XLOOKUP(Ocupacao_DW[[#This Row],[Concat]],Vagas!$H:$H,Vagas!$D:$D,"",0)</f>
        <v>0</v>
      </c>
    </row>
    <row r="5582" spans="1:8" x14ac:dyDescent="0.25">
      <c r="A5582" s="2">
        <v>44637</v>
      </c>
      <c r="B5582" s="1" t="s">
        <v>55</v>
      </c>
      <c r="C5582">
        <v>12426</v>
      </c>
      <c r="D5582" s="1" t="s">
        <v>215</v>
      </c>
      <c r="E5582" s="1" t="s">
        <v>6</v>
      </c>
      <c r="F5582">
        <v>5</v>
      </c>
      <c r="G5582" s="1" t="str">
        <f>Ocupacao_DW[[#This Row],[data]]&amp;Ocupacao_DW[[#This Row],[profissional_id]]&amp;Ocupacao_DW[[#This Row],[local_id]]</f>
        <v>44637124265</v>
      </c>
      <c r="H5582" s="1">
        <f>_xlfn.XLOOKUP(Ocupacao_DW[[#This Row],[Concat]],Vagas!$H:$H,Vagas!$D:$D,"",0)</f>
        <v>0</v>
      </c>
    </row>
    <row r="5583" spans="1:8" x14ac:dyDescent="0.25">
      <c r="A5583" s="2">
        <v>44636</v>
      </c>
      <c r="B5583" s="1" t="s">
        <v>49</v>
      </c>
      <c r="C5583">
        <v>6430</v>
      </c>
      <c r="D5583" s="1" t="s">
        <v>188</v>
      </c>
      <c r="E5583" s="1" t="s">
        <v>4</v>
      </c>
      <c r="F5583">
        <v>42</v>
      </c>
      <c r="G5583" s="1" t="str">
        <f>Ocupacao_DW[[#This Row],[data]]&amp;Ocupacao_DW[[#This Row],[profissional_id]]&amp;Ocupacao_DW[[#This Row],[local_id]]</f>
        <v>44636643042</v>
      </c>
      <c r="H5583" s="1">
        <f>_xlfn.XLOOKUP(Ocupacao_DW[[#This Row],[Concat]],Vagas!$H:$H,Vagas!$D:$D,"",0)</f>
        <v>0</v>
      </c>
    </row>
    <row r="5584" spans="1:8" x14ac:dyDescent="0.25">
      <c r="A5584" s="2">
        <v>44643</v>
      </c>
      <c r="B5584" s="1" t="s">
        <v>51</v>
      </c>
      <c r="C5584">
        <v>17859</v>
      </c>
      <c r="D5584" s="1" t="s">
        <v>212</v>
      </c>
      <c r="E5584" s="1" t="s">
        <v>6</v>
      </c>
      <c r="F5584">
        <v>7</v>
      </c>
      <c r="G5584" s="1" t="str">
        <f>Ocupacao_DW[[#This Row],[data]]&amp;Ocupacao_DW[[#This Row],[profissional_id]]&amp;Ocupacao_DW[[#This Row],[local_id]]</f>
        <v>44643178597</v>
      </c>
      <c r="H5584" s="1">
        <f>_xlfn.XLOOKUP(Ocupacao_DW[[#This Row],[Concat]],Vagas!$H:$H,Vagas!$D:$D,"",0)</f>
        <v>0</v>
      </c>
    </row>
    <row r="5585" spans="1:8" x14ac:dyDescent="0.25">
      <c r="A5585" s="2">
        <v>44638</v>
      </c>
      <c r="B5585" s="1" t="s">
        <v>55</v>
      </c>
      <c r="C5585">
        <v>2984</v>
      </c>
      <c r="D5585" s="1" t="s">
        <v>185</v>
      </c>
      <c r="E5585" s="1" t="s">
        <v>6</v>
      </c>
      <c r="F5585">
        <v>7</v>
      </c>
      <c r="G5585" s="1" t="str">
        <f>Ocupacao_DW[[#This Row],[data]]&amp;Ocupacao_DW[[#This Row],[profissional_id]]&amp;Ocupacao_DW[[#This Row],[local_id]]</f>
        <v>4463829847</v>
      </c>
      <c r="H5585" s="1">
        <f>_xlfn.XLOOKUP(Ocupacao_DW[[#This Row],[Concat]],Vagas!$H:$H,Vagas!$D:$D,"",0)</f>
        <v>0</v>
      </c>
    </row>
    <row r="5586" spans="1:8" x14ac:dyDescent="0.25">
      <c r="A5586" s="2">
        <v>44638</v>
      </c>
      <c r="B5586" s="1" t="s">
        <v>69</v>
      </c>
      <c r="C5586">
        <v>13249</v>
      </c>
      <c r="D5586" s="1" t="s">
        <v>178</v>
      </c>
      <c r="E5586" s="1" t="s">
        <v>7</v>
      </c>
      <c r="F5586">
        <v>66</v>
      </c>
      <c r="G5586" s="1" t="str">
        <f>Ocupacao_DW[[#This Row],[data]]&amp;Ocupacao_DW[[#This Row],[profissional_id]]&amp;Ocupacao_DW[[#This Row],[local_id]]</f>
        <v>446381324966</v>
      </c>
      <c r="H5586" s="1">
        <f>_xlfn.XLOOKUP(Ocupacao_DW[[#This Row],[Concat]],Vagas!$H:$H,Vagas!$D:$D,"",0)</f>
        <v>0</v>
      </c>
    </row>
    <row r="5587" spans="1:8" x14ac:dyDescent="0.25">
      <c r="A5587" s="2">
        <v>44658</v>
      </c>
      <c r="B5587" s="1" t="s">
        <v>64</v>
      </c>
      <c r="C5587">
        <v>531</v>
      </c>
      <c r="D5587" s="1" t="s">
        <v>213</v>
      </c>
      <c r="E5587" s="1" t="s">
        <v>5</v>
      </c>
      <c r="F5587">
        <v>12</v>
      </c>
      <c r="G5587" s="1" t="str">
        <f>Ocupacao_DW[[#This Row],[data]]&amp;Ocupacao_DW[[#This Row],[profissional_id]]&amp;Ocupacao_DW[[#This Row],[local_id]]</f>
        <v>4465853112</v>
      </c>
      <c r="H5587" s="1">
        <f>_xlfn.XLOOKUP(Ocupacao_DW[[#This Row],[Concat]],Vagas!$H:$H,Vagas!$D:$D,"",0)</f>
        <v>0</v>
      </c>
    </row>
    <row r="5588" spans="1:8" x14ac:dyDescent="0.25">
      <c r="A5588" s="2">
        <v>44637</v>
      </c>
      <c r="B5588" s="1" t="s">
        <v>51</v>
      </c>
      <c r="C5588">
        <v>12582</v>
      </c>
      <c r="D5588" s="1" t="s">
        <v>190</v>
      </c>
      <c r="E5588" s="1" t="s">
        <v>6</v>
      </c>
      <c r="F5588">
        <v>6</v>
      </c>
      <c r="G5588" s="1" t="str">
        <f>Ocupacao_DW[[#This Row],[data]]&amp;Ocupacao_DW[[#This Row],[profissional_id]]&amp;Ocupacao_DW[[#This Row],[local_id]]</f>
        <v>44637125826</v>
      </c>
      <c r="H5588" s="1">
        <f>_xlfn.XLOOKUP(Ocupacao_DW[[#This Row],[Concat]],Vagas!$H:$H,Vagas!$D:$D,"",0)</f>
        <v>0</v>
      </c>
    </row>
    <row r="5589" spans="1:8" x14ac:dyDescent="0.25">
      <c r="A5589" s="2">
        <v>44638</v>
      </c>
      <c r="B5589" s="1" t="s">
        <v>47</v>
      </c>
      <c r="C5589">
        <v>9111</v>
      </c>
      <c r="D5589" s="1" t="s">
        <v>206</v>
      </c>
      <c r="E5589" s="1" t="s">
        <v>4</v>
      </c>
      <c r="F5589">
        <v>51</v>
      </c>
      <c r="G5589" s="1" t="str">
        <f>Ocupacao_DW[[#This Row],[data]]&amp;Ocupacao_DW[[#This Row],[profissional_id]]&amp;Ocupacao_DW[[#This Row],[local_id]]</f>
        <v>44638911151</v>
      </c>
      <c r="H5589" s="1">
        <f>_xlfn.XLOOKUP(Ocupacao_DW[[#This Row],[Concat]],Vagas!$H:$H,Vagas!$D:$D,"",0)</f>
        <v>0</v>
      </c>
    </row>
    <row r="5590" spans="1:8" x14ac:dyDescent="0.25">
      <c r="A5590" s="2">
        <v>44643</v>
      </c>
      <c r="B5590" s="1" t="s">
        <v>55</v>
      </c>
      <c r="C5590">
        <v>73</v>
      </c>
      <c r="D5590" s="1" t="s">
        <v>171</v>
      </c>
      <c r="E5590" s="1" t="s">
        <v>6</v>
      </c>
      <c r="F5590">
        <v>5</v>
      </c>
      <c r="G5590" s="1" t="str">
        <f>Ocupacao_DW[[#This Row],[data]]&amp;Ocupacao_DW[[#This Row],[profissional_id]]&amp;Ocupacao_DW[[#This Row],[local_id]]</f>
        <v>44643735</v>
      </c>
      <c r="H5590" s="1">
        <f>_xlfn.XLOOKUP(Ocupacao_DW[[#This Row],[Concat]],Vagas!$H:$H,Vagas!$D:$D,"",0)</f>
        <v>0</v>
      </c>
    </row>
    <row r="5591" spans="1:8" x14ac:dyDescent="0.25">
      <c r="A5591" s="2">
        <v>44638</v>
      </c>
      <c r="B5591" s="1" t="s">
        <v>62</v>
      </c>
      <c r="C5591">
        <v>3502</v>
      </c>
      <c r="D5591" s="1" t="s">
        <v>214</v>
      </c>
      <c r="E5591" s="1" t="s">
        <v>7</v>
      </c>
      <c r="F5591">
        <v>69</v>
      </c>
      <c r="G5591" s="1" t="str">
        <f>Ocupacao_DW[[#This Row],[data]]&amp;Ocupacao_DW[[#This Row],[profissional_id]]&amp;Ocupacao_DW[[#This Row],[local_id]]</f>
        <v>44638350269</v>
      </c>
      <c r="H5591" s="1">
        <f>_xlfn.XLOOKUP(Ocupacao_DW[[#This Row],[Concat]],Vagas!$H:$H,Vagas!$D:$D,"",0)</f>
        <v>0</v>
      </c>
    </row>
    <row r="5592" spans="1:8" x14ac:dyDescent="0.25">
      <c r="A5592" s="2">
        <v>44636</v>
      </c>
      <c r="B5592" s="1" t="s">
        <v>52</v>
      </c>
      <c r="C5592">
        <v>10691</v>
      </c>
      <c r="D5592" s="1" t="s">
        <v>181</v>
      </c>
      <c r="E5592" s="1" t="s">
        <v>6</v>
      </c>
      <c r="F5592">
        <v>9</v>
      </c>
      <c r="G5592" s="1" t="str">
        <f>Ocupacao_DW[[#This Row],[data]]&amp;Ocupacao_DW[[#This Row],[profissional_id]]&amp;Ocupacao_DW[[#This Row],[local_id]]</f>
        <v>44636106919</v>
      </c>
      <c r="H5592" s="1">
        <f>_xlfn.XLOOKUP(Ocupacao_DW[[#This Row],[Concat]],Vagas!$H:$H,Vagas!$D:$D,"",0)</f>
        <v>0</v>
      </c>
    </row>
    <row r="5593" spans="1:8" x14ac:dyDescent="0.25">
      <c r="A5593" s="2">
        <v>44637</v>
      </c>
      <c r="B5593" s="1" t="s">
        <v>51</v>
      </c>
      <c r="C5593">
        <v>12582</v>
      </c>
      <c r="D5593" s="1" t="s">
        <v>190</v>
      </c>
      <c r="E5593" s="1" t="s">
        <v>6</v>
      </c>
      <c r="F5593">
        <v>6</v>
      </c>
      <c r="G5593" s="1" t="str">
        <f>Ocupacao_DW[[#This Row],[data]]&amp;Ocupacao_DW[[#This Row],[profissional_id]]&amp;Ocupacao_DW[[#This Row],[local_id]]</f>
        <v>44637125826</v>
      </c>
      <c r="H5593" s="1">
        <f>_xlfn.XLOOKUP(Ocupacao_DW[[#This Row],[Concat]],Vagas!$H:$H,Vagas!$D:$D,"",0)</f>
        <v>0</v>
      </c>
    </row>
    <row r="5594" spans="1:8" x14ac:dyDescent="0.25">
      <c r="A5594" s="2">
        <v>44651</v>
      </c>
      <c r="B5594" s="1" t="s">
        <v>47</v>
      </c>
      <c r="C5594">
        <v>11207</v>
      </c>
      <c r="D5594" s="1" t="s">
        <v>251</v>
      </c>
      <c r="E5594" s="1" t="s">
        <v>4</v>
      </c>
      <c r="F5594">
        <v>51</v>
      </c>
      <c r="G5594" s="1" t="str">
        <f>Ocupacao_DW[[#This Row],[data]]&amp;Ocupacao_DW[[#This Row],[profissional_id]]&amp;Ocupacao_DW[[#This Row],[local_id]]</f>
        <v>446511120751</v>
      </c>
      <c r="H5594" s="1">
        <f>_xlfn.XLOOKUP(Ocupacao_DW[[#This Row],[Concat]],Vagas!$H:$H,Vagas!$D:$D,"",0)</f>
        <v>0</v>
      </c>
    </row>
    <row r="5595" spans="1:8" x14ac:dyDescent="0.25">
      <c r="A5595" s="2">
        <v>44636</v>
      </c>
      <c r="B5595" s="1" t="s">
        <v>72</v>
      </c>
      <c r="C5595">
        <v>1794</v>
      </c>
      <c r="D5595" s="1" t="s">
        <v>235</v>
      </c>
      <c r="E5595" s="1" t="s">
        <v>4</v>
      </c>
      <c r="F5595">
        <v>49</v>
      </c>
      <c r="G5595" s="1" t="str">
        <f>Ocupacao_DW[[#This Row],[data]]&amp;Ocupacao_DW[[#This Row],[profissional_id]]&amp;Ocupacao_DW[[#This Row],[local_id]]</f>
        <v>44636179449</v>
      </c>
      <c r="H5595" s="1">
        <f>_xlfn.XLOOKUP(Ocupacao_DW[[#This Row],[Concat]],Vagas!$H:$H,Vagas!$D:$D,"",0)</f>
        <v>0</v>
      </c>
    </row>
    <row r="5596" spans="1:8" x14ac:dyDescent="0.25">
      <c r="A5596" s="2">
        <v>44652</v>
      </c>
      <c r="B5596" s="1" t="s">
        <v>24</v>
      </c>
      <c r="C5596">
        <v>60</v>
      </c>
      <c r="D5596" s="1" t="s">
        <v>217</v>
      </c>
      <c r="E5596" s="1" t="s">
        <v>6</v>
      </c>
      <c r="F5596">
        <v>1</v>
      </c>
      <c r="G5596" s="1" t="str">
        <f>Ocupacao_DW[[#This Row],[data]]&amp;Ocupacao_DW[[#This Row],[profissional_id]]&amp;Ocupacao_DW[[#This Row],[local_id]]</f>
        <v>44652601</v>
      </c>
      <c r="H5596" s="1">
        <f>_xlfn.XLOOKUP(Ocupacao_DW[[#This Row],[Concat]],Vagas!$H:$H,Vagas!$D:$D,"",0)</f>
        <v>0</v>
      </c>
    </row>
    <row r="5597" spans="1:8" x14ac:dyDescent="0.25">
      <c r="A5597" s="2">
        <v>44642</v>
      </c>
      <c r="B5597" s="1" t="s">
        <v>55</v>
      </c>
      <c r="C5597">
        <v>73</v>
      </c>
      <c r="D5597" s="1" t="s">
        <v>171</v>
      </c>
      <c r="E5597" s="1" t="s">
        <v>6</v>
      </c>
      <c r="F5597">
        <v>5</v>
      </c>
      <c r="G5597" s="1" t="str">
        <f>Ocupacao_DW[[#This Row],[data]]&amp;Ocupacao_DW[[#This Row],[profissional_id]]&amp;Ocupacao_DW[[#This Row],[local_id]]</f>
        <v>44642735</v>
      </c>
      <c r="H5597" s="1">
        <f>_xlfn.XLOOKUP(Ocupacao_DW[[#This Row],[Concat]],Vagas!$H:$H,Vagas!$D:$D,"",0)</f>
        <v>0</v>
      </c>
    </row>
    <row r="5598" spans="1:8" x14ac:dyDescent="0.25">
      <c r="A5598" s="2">
        <v>44636</v>
      </c>
      <c r="B5598" s="1" t="s">
        <v>70</v>
      </c>
      <c r="C5598">
        <v>12825</v>
      </c>
      <c r="D5598" s="1" t="s">
        <v>177</v>
      </c>
      <c r="E5598" s="1" t="s">
        <v>4</v>
      </c>
      <c r="F5598">
        <v>45</v>
      </c>
      <c r="G5598" s="1" t="str">
        <f>Ocupacao_DW[[#This Row],[data]]&amp;Ocupacao_DW[[#This Row],[profissional_id]]&amp;Ocupacao_DW[[#This Row],[local_id]]</f>
        <v>446361282545</v>
      </c>
      <c r="H5598" s="1">
        <f>_xlfn.XLOOKUP(Ocupacao_DW[[#This Row],[Concat]],Vagas!$H:$H,Vagas!$D:$D,"",0)</f>
        <v>0</v>
      </c>
    </row>
    <row r="5599" spans="1:8" x14ac:dyDescent="0.25">
      <c r="A5599" s="2">
        <v>44650</v>
      </c>
      <c r="B5599" s="1" t="s">
        <v>52</v>
      </c>
      <c r="C5599">
        <v>60</v>
      </c>
      <c r="D5599" s="1" t="s">
        <v>217</v>
      </c>
      <c r="E5599" s="1" t="s">
        <v>6</v>
      </c>
      <c r="F5599">
        <v>8</v>
      </c>
      <c r="G5599" s="1" t="str">
        <f>Ocupacao_DW[[#This Row],[data]]&amp;Ocupacao_DW[[#This Row],[profissional_id]]&amp;Ocupacao_DW[[#This Row],[local_id]]</f>
        <v>44650608</v>
      </c>
      <c r="H5599" s="1" t="str">
        <f>_xlfn.XLOOKUP(Ocupacao_DW[[#This Row],[Concat]],Vagas!$H:$H,Vagas!$D:$D,"",0)</f>
        <v/>
      </c>
    </row>
    <row r="5600" spans="1:8" x14ac:dyDescent="0.25">
      <c r="A5600" s="2">
        <v>44636</v>
      </c>
      <c r="B5600" s="1" t="s">
        <v>55</v>
      </c>
      <c r="C5600">
        <v>73</v>
      </c>
      <c r="D5600" s="1" t="s">
        <v>171</v>
      </c>
      <c r="E5600" s="1" t="s">
        <v>6</v>
      </c>
      <c r="F5600">
        <v>5</v>
      </c>
      <c r="G5600" s="1" t="str">
        <f>Ocupacao_DW[[#This Row],[data]]&amp;Ocupacao_DW[[#This Row],[profissional_id]]&amp;Ocupacao_DW[[#This Row],[local_id]]</f>
        <v>44636735</v>
      </c>
      <c r="H5600" s="1">
        <f>_xlfn.XLOOKUP(Ocupacao_DW[[#This Row],[Concat]],Vagas!$H:$H,Vagas!$D:$D,"",0)</f>
        <v>0</v>
      </c>
    </row>
    <row r="5601" spans="1:8" x14ac:dyDescent="0.25">
      <c r="A5601" s="2">
        <v>44636</v>
      </c>
      <c r="B5601" s="1" t="s">
        <v>62</v>
      </c>
      <c r="C5601">
        <v>10799</v>
      </c>
      <c r="D5601" s="1" t="s">
        <v>204</v>
      </c>
      <c r="E5601" s="1" t="s">
        <v>5</v>
      </c>
      <c r="F5601">
        <v>18</v>
      </c>
      <c r="G5601" s="1" t="str">
        <f>Ocupacao_DW[[#This Row],[data]]&amp;Ocupacao_DW[[#This Row],[profissional_id]]&amp;Ocupacao_DW[[#This Row],[local_id]]</f>
        <v>446361079918</v>
      </c>
      <c r="H5601" s="1">
        <f>_xlfn.XLOOKUP(Ocupacao_DW[[#This Row],[Concat]],Vagas!$H:$H,Vagas!$D:$D,"",0)</f>
        <v>0</v>
      </c>
    </row>
    <row r="5602" spans="1:8" x14ac:dyDescent="0.25">
      <c r="A5602" s="2">
        <v>44646</v>
      </c>
      <c r="B5602" s="1"/>
      <c r="C5602">
        <v>0</v>
      </c>
      <c r="D5602" s="1"/>
      <c r="E5602" s="1" t="s">
        <v>167</v>
      </c>
      <c r="F5602">
        <v>24</v>
      </c>
      <c r="G5602" s="1" t="str">
        <f>Ocupacao_DW[[#This Row],[data]]&amp;Ocupacao_DW[[#This Row],[profissional_id]]&amp;Ocupacao_DW[[#This Row],[local_id]]</f>
        <v>44646024</v>
      </c>
      <c r="H5602" s="1" t="str">
        <f>_xlfn.XLOOKUP(Ocupacao_DW[[#This Row],[Concat]],Vagas!$H:$H,Vagas!$D:$D,"",0)</f>
        <v/>
      </c>
    </row>
    <row r="5603" spans="1:8" x14ac:dyDescent="0.25">
      <c r="A5603" s="2">
        <v>44646</v>
      </c>
      <c r="B5603" s="1" t="s">
        <v>43</v>
      </c>
      <c r="C5603">
        <v>57</v>
      </c>
      <c r="D5603" s="1" t="s">
        <v>169</v>
      </c>
      <c r="E5603" s="1" t="s">
        <v>6</v>
      </c>
      <c r="F5603">
        <v>2</v>
      </c>
      <c r="G5603" s="1" t="str">
        <f>Ocupacao_DW[[#This Row],[data]]&amp;Ocupacao_DW[[#This Row],[profissional_id]]&amp;Ocupacao_DW[[#This Row],[local_id]]</f>
        <v>44646572</v>
      </c>
      <c r="H5603" s="1">
        <f>_xlfn.XLOOKUP(Ocupacao_DW[[#This Row],[Concat]],Vagas!$H:$H,Vagas!$D:$D,"",0)</f>
        <v>0</v>
      </c>
    </row>
    <row r="5604" spans="1:8" x14ac:dyDescent="0.25">
      <c r="A5604" s="2">
        <v>44637</v>
      </c>
      <c r="B5604" s="1" t="s">
        <v>54</v>
      </c>
      <c r="C5604">
        <v>69</v>
      </c>
      <c r="D5604" s="1" t="s">
        <v>238</v>
      </c>
      <c r="E5604" s="1" t="s">
        <v>200</v>
      </c>
      <c r="F5604">
        <v>82</v>
      </c>
      <c r="G5604" s="1" t="str">
        <f>Ocupacao_DW[[#This Row],[data]]&amp;Ocupacao_DW[[#This Row],[profissional_id]]&amp;Ocupacao_DW[[#This Row],[local_id]]</f>
        <v>446376982</v>
      </c>
      <c r="H5604" s="1">
        <f>_xlfn.XLOOKUP(Ocupacao_DW[[#This Row],[Concat]],Vagas!$H:$H,Vagas!$D:$D,"",0)</f>
        <v>0</v>
      </c>
    </row>
    <row r="5605" spans="1:8" x14ac:dyDescent="0.25">
      <c r="A5605" s="2">
        <v>44636</v>
      </c>
      <c r="B5605" s="1" t="s">
        <v>47</v>
      </c>
      <c r="C5605">
        <v>17859</v>
      </c>
      <c r="D5605" s="1" t="s">
        <v>212</v>
      </c>
      <c r="E5605" s="1" t="s">
        <v>4</v>
      </c>
      <c r="F5605">
        <v>336</v>
      </c>
      <c r="G5605" s="1" t="str">
        <f>Ocupacao_DW[[#This Row],[data]]&amp;Ocupacao_DW[[#This Row],[profissional_id]]&amp;Ocupacao_DW[[#This Row],[local_id]]</f>
        <v>4463617859336</v>
      </c>
      <c r="H5605" s="1">
        <f>_xlfn.XLOOKUP(Ocupacao_DW[[#This Row],[Concat]],Vagas!$H:$H,Vagas!$D:$D,"",0)</f>
        <v>0</v>
      </c>
    </row>
    <row r="5606" spans="1:8" x14ac:dyDescent="0.25">
      <c r="A5606" s="2">
        <v>44638</v>
      </c>
      <c r="B5606" s="1" t="s">
        <v>62</v>
      </c>
      <c r="C5606">
        <v>3502</v>
      </c>
      <c r="D5606" s="1" t="s">
        <v>214</v>
      </c>
      <c r="E5606" s="1" t="s">
        <v>7</v>
      </c>
      <c r="F5606">
        <v>69</v>
      </c>
      <c r="G5606" s="1" t="str">
        <f>Ocupacao_DW[[#This Row],[data]]&amp;Ocupacao_DW[[#This Row],[profissional_id]]&amp;Ocupacao_DW[[#This Row],[local_id]]</f>
        <v>44638350269</v>
      </c>
      <c r="H5606" s="1">
        <f>_xlfn.XLOOKUP(Ocupacao_DW[[#This Row],[Concat]],Vagas!$H:$H,Vagas!$D:$D,"",0)</f>
        <v>0</v>
      </c>
    </row>
    <row r="5607" spans="1:8" x14ac:dyDescent="0.25">
      <c r="A5607" s="2">
        <v>44636</v>
      </c>
      <c r="B5607" s="1" t="s">
        <v>60</v>
      </c>
      <c r="C5607">
        <v>14326</v>
      </c>
      <c r="D5607" s="1" t="s">
        <v>220</v>
      </c>
      <c r="E5607" s="1" t="s">
        <v>4</v>
      </c>
      <c r="F5607">
        <v>41</v>
      </c>
      <c r="G5607" s="1" t="str">
        <f>Ocupacao_DW[[#This Row],[data]]&amp;Ocupacao_DW[[#This Row],[profissional_id]]&amp;Ocupacao_DW[[#This Row],[local_id]]</f>
        <v>446361432641</v>
      </c>
      <c r="H5607" s="1">
        <f>_xlfn.XLOOKUP(Ocupacao_DW[[#This Row],[Concat]],Vagas!$H:$H,Vagas!$D:$D,"",0)</f>
        <v>0</v>
      </c>
    </row>
    <row r="5608" spans="1:8" x14ac:dyDescent="0.25">
      <c r="A5608" s="2">
        <v>44643</v>
      </c>
      <c r="B5608" s="1" t="s">
        <v>55</v>
      </c>
      <c r="C5608">
        <v>74</v>
      </c>
      <c r="D5608" s="1" t="s">
        <v>182</v>
      </c>
      <c r="E5608" s="1" t="s">
        <v>6</v>
      </c>
      <c r="F5608">
        <v>7</v>
      </c>
      <c r="G5608" s="1" t="str">
        <f>Ocupacao_DW[[#This Row],[data]]&amp;Ocupacao_DW[[#This Row],[profissional_id]]&amp;Ocupacao_DW[[#This Row],[local_id]]</f>
        <v>44643747</v>
      </c>
      <c r="H5608" s="1">
        <f>_xlfn.XLOOKUP(Ocupacao_DW[[#This Row],[Concat]],Vagas!$H:$H,Vagas!$D:$D,"",0)</f>
        <v>0</v>
      </c>
    </row>
    <row r="5609" spans="1:8" x14ac:dyDescent="0.25">
      <c r="A5609" s="2">
        <v>44644</v>
      </c>
      <c r="B5609" s="1" t="s">
        <v>51</v>
      </c>
      <c r="C5609">
        <v>12582</v>
      </c>
      <c r="D5609" s="1" t="s">
        <v>190</v>
      </c>
      <c r="E5609" s="1" t="s">
        <v>6</v>
      </c>
      <c r="F5609">
        <v>6</v>
      </c>
      <c r="G5609" s="1" t="str">
        <f>Ocupacao_DW[[#This Row],[data]]&amp;Ocupacao_DW[[#This Row],[profissional_id]]&amp;Ocupacao_DW[[#This Row],[local_id]]</f>
        <v>44644125826</v>
      </c>
      <c r="H5609" s="1">
        <f>_xlfn.XLOOKUP(Ocupacao_DW[[#This Row],[Concat]],Vagas!$H:$H,Vagas!$D:$D,"",0)</f>
        <v>0</v>
      </c>
    </row>
    <row r="5610" spans="1:8" x14ac:dyDescent="0.25">
      <c r="A5610" s="2">
        <v>44636</v>
      </c>
      <c r="B5610" s="1" t="s">
        <v>52</v>
      </c>
      <c r="C5610">
        <v>60</v>
      </c>
      <c r="D5610" s="1" t="s">
        <v>217</v>
      </c>
      <c r="E5610" s="1" t="s">
        <v>6</v>
      </c>
      <c r="F5610">
        <v>8</v>
      </c>
      <c r="G5610" s="1" t="str">
        <f>Ocupacao_DW[[#This Row],[data]]&amp;Ocupacao_DW[[#This Row],[profissional_id]]&amp;Ocupacao_DW[[#This Row],[local_id]]</f>
        <v>44636608</v>
      </c>
      <c r="H5610" s="1">
        <f>_xlfn.XLOOKUP(Ocupacao_DW[[#This Row],[Concat]],Vagas!$H:$H,Vagas!$D:$D,"",0)</f>
        <v>0</v>
      </c>
    </row>
    <row r="5611" spans="1:8" x14ac:dyDescent="0.25">
      <c r="A5611" s="2">
        <v>44643</v>
      </c>
      <c r="B5611" s="1" t="s">
        <v>55</v>
      </c>
      <c r="C5611">
        <v>73</v>
      </c>
      <c r="D5611" s="1" t="s">
        <v>171</v>
      </c>
      <c r="E5611" s="1" t="s">
        <v>6</v>
      </c>
      <c r="F5611">
        <v>5</v>
      </c>
      <c r="G5611" s="1" t="str">
        <f>Ocupacao_DW[[#This Row],[data]]&amp;Ocupacao_DW[[#This Row],[profissional_id]]&amp;Ocupacao_DW[[#This Row],[local_id]]</f>
        <v>44643735</v>
      </c>
      <c r="H5611" s="1">
        <f>_xlfn.XLOOKUP(Ocupacao_DW[[#This Row],[Concat]],Vagas!$H:$H,Vagas!$D:$D,"",0)</f>
        <v>0</v>
      </c>
    </row>
    <row r="5612" spans="1:8" x14ac:dyDescent="0.25">
      <c r="A5612" s="2">
        <v>44645</v>
      </c>
      <c r="B5612" s="1" t="s">
        <v>64</v>
      </c>
      <c r="C5612">
        <v>86</v>
      </c>
      <c r="D5612" s="1" t="s">
        <v>175</v>
      </c>
      <c r="E5612" s="1" t="s">
        <v>5</v>
      </c>
      <c r="F5612">
        <v>349</v>
      </c>
      <c r="G5612" s="1" t="str">
        <f>Ocupacao_DW[[#This Row],[data]]&amp;Ocupacao_DW[[#This Row],[profissional_id]]&amp;Ocupacao_DW[[#This Row],[local_id]]</f>
        <v>4464586349</v>
      </c>
      <c r="H5612" s="1">
        <f>_xlfn.XLOOKUP(Ocupacao_DW[[#This Row],[Concat]],Vagas!$H:$H,Vagas!$D:$D,"",0)</f>
        <v>0</v>
      </c>
    </row>
    <row r="5613" spans="1:8" x14ac:dyDescent="0.25">
      <c r="A5613" s="2">
        <v>44635</v>
      </c>
      <c r="B5613" s="1" t="s">
        <v>43</v>
      </c>
      <c r="C5613">
        <v>57</v>
      </c>
      <c r="D5613" s="1" t="s">
        <v>169</v>
      </c>
      <c r="E5613" s="1" t="s">
        <v>6</v>
      </c>
      <c r="F5613">
        <v>2</v>
      </c>
      <c r="G5613" s="1" t="str">
        <f>Ocupacao_DW[[#This Row],[data]]&amp;Ocupacao_DW[[#This Row],[profissional_id]]&amp;Ocupacao_DW[[#This Row],[local_id]]</f>
        <v>44635572</v>
      </c>
      <c r="H5613" s="1">
        <f>_xlfn.XLOOKUP(Ocupacao_DW[[#This Row],[Concat]],Vagas!$H:$H,Vagas!$D:$D,"",0)</f>
        <v>0</v>
      </c>
    </row>
    <row r="5614" spans="1:8" x14ac:dyDescent="0.25">
      <c r="A5614" s="2">
        <v>44635</v>
      </c>
      <c r="B5614" s="1"/>
      <c r="C5614">
        <v>0</v>
      </c>
      <c r="D5614" s="1"/>
      <c r="E5614" s="1" t="s">
        <v>6</v>
      </c>
      <c r="F5614">
        <v>2</v>
      </c>
      <c r="G5614" s="1" t="str">
        <f>Ocupacao_DW[[#This Row],[data]]&amp;Ocupacao_DW[[#This Row],[profissional_id]]&amp;Ocupacao_DW[[#This Row],[local_id]]</f>
        <v>4463502</v>
      </c>
      <c r="H5614" s="1" t="str">
        <f>_xlfn.XLOOKUP(Ocupacao_DW[[#This Row],[Concat]],Vagas!$H:$H,Vagas!$D:$D,"",0)</f>
        <v/>
      </c>
    </row>
    <row r="5615" spans="1:8" x14ac:dyDescent="0.25">
      <c r="A5615" s="2">
        <v>44635</v>
      </c>
      <c r="B5615" s="1" t="s">
        <v>55</v>
      </c>
      <c r="C5615">
        <v>12669</v>
      </c>
      <c r="D5615" s="1" t="s">
        <v>223</v>
      </c>
      <c r="E5615" s="1" t="s">
        <v>6</v>
      </c>
      <c r="F5615">
        <v>6</v>
      </c>
      <c r="G5615" s="1" t="str">
        <f>Ocupacao_DW[[#This Row],[data]]&amp;Ocupacao_DW[[#This Row],[profissional_id]]&amp;Ocupacao_DW[[#This Row],[local_id]]</f>
        <v>44635126696</v>
      </c>
      <c r="H5615" s="1">
        <f>_xlfn.XLOOKUP(Ocupacao_DW[[#This Row],[Concat]],Vagas!$H:$H,Vagas!$D:$D,"",0)</f>
        <v>0</v>
      </c>
    </row>
    <row r="5616" spans="1:8" x14ac:dyDescent="0.25">
      <c r="A5616" s="2">
        <v>44636</v>
      </c>
      <c r="B5616" s="1" t="s">
        <v>43</v>
      </c>
      <c r="C5616">
        <v>2396</v>
      </c>
      <c r="D5616" s="1" t="s">
        <v>197</v>
      </c>
      <c r="E5616" s="1" t="s">
        <v>6</v>
      </c>
      <c r="F5616">
        <v>2</v>
      </c>
      <c r="G5616" s="1" t="str">
        <f>Ocupacao_DW[[#This Row],[data]]&amp;Ocupacao_DW[[#This Row],[profissional_id]]&amp;Ocupacao_DW[[#This Row],[local_id]]</f>
        <v>4463623962</v>
      </c>
      <c r="H5616" s="1">
        <f>_xlfn.XLOOKUP(Ocupacao_DW[[#This Row],[Concat]],Vagas!$H:$H,Vagas!$D:$D,"",0)</f>
        <v>0</v>
      </c>
    </row>
    <row r="5617" spans="1:8" x14ac:dyDescent="0.25">
      <c r="A5617" s="2">
        <v>44636</v>
      </c>
      <c r="B5617" s="1" t="s">
        <v>43</v>
      </c>
      <c r="C5617">
        <v>2396</v>
      </c>
      <c r="D5617" s="1" t="s">
        <v>197</v>
      </c>
      <c r="E5617" s="1" t="s">
        <v>6</v>
      </c>
      <c r="F5617">
        <v>2</v>
      </c>
      <c r="G5617" s="1" t="str">
        <f>Ocupacao_DW[[#This Row],[data]]&amp;Ocupacao_DW[[#This Row],[profissional_id]]&amp;Ocupacao_DW[[#This Row],[local_id]]</f>
        <v>4463623962</v>
      </c>
      <c r="H5617" s="1">
        <f>_xlfn.XLOOKUP(Ocupacao_DW[[#This Row],[Concat]],Vagas!$H:$H,Vagas!$D:$D,"",0)</f>
        <v>0</v>
      </c>
    </row>
    <row r="5618" spans="1:8" x14ac:dyDescent="0.25">
      <c r="A5618" s="2">
        <v>44643</v>
      </c>
      <c r="B5618" s="1" t="s">
        <v>55</v>
      </c>
      <c r="C5618">
        <v>74</v>
      </c>
      <c r="D5618" s="1" t="s">
        <v>182</v>
      </c>
      <c r="E5618" s="1" t="s">
        <v>6</v>
      </c>
      <c r="F5618">
        <v>7</v>
      </c>
      <c r="G5618" s="1" t="str">
        <f>Ocupacao_DW[[#This Row],[data]]&amp;Ocupacao_DW[[#This Row],[profissional_id]]&amp;Ocupacao_DW[[#This Row],[local_id]]</f>
        <v>44643747</v>
      </c>
      <c r="H5618" s="1">
        <f>_xlfn.XLOOKUP(Ocupacao_DW[[#This Row],[Concat]],Vagas!$H:$H,Vagas!$D:$D,"",0)</f>
        <v>0</v>
      </c>
    </row>
    <row r="5619" spans="1:8" x14ac:dyDescent="0.25">
      <c r="A5619" s="2">
        <v>44636</v>
      </c>
      <c r="B5619" s="1"/>
      <c r="C5619">
        <v>2396</v>
      </c>
      <c r="D5619" s="1" t="s">
        <v>197</v>
      </c>
      <c r="E5619" s="1" t="s">
        <v>6</v>
      </c>
      <c r="F5619">
        <v>2</v>
      </c>
      <c r="G5619" s="1" t="str">
        <f>Ocupacao_DW[[#This Row],[data]]&amp;Ocupacao_DW[[#This Row],[profissional_id]]&amp;Ocupacao_DW[[#This Row],[local_id]]</f>
        <v>4463623962</v>
      </c>
      <c r="H5619" s="1">
        <f>_xlfn.XLOOKUP(Ocupacao_DW[[#This Row],[Concat]],Vagas!$H:$H,Vagas!$D:$D,"",0)</f>
        <v>0</v>
      </c>
    </row>
    <row r="5620" spans="1:8" x14ac:dyDescent="0.25">
      <c r="A5620" s="2">
        <v>44636</v>
      </c>
      <c r="B5620" s="1" t="s">
        <v>43</v>
      </c>
      <c r="C5620">
        <v>2396</v>
      </c>
      <c r="D5620" s="1" t="s">
        <v>197</v>
      </c>
      <c r="E5620" s="1" t="s">
        <v>6</v>
      </c>
      <c r="F5620">
        <v>2</v>
      </c>
      <c r="G5620" s="1" t="str">
        <f>Ocupacao_DW[[#This Row],[data]]&amp;Ocupacao_DW[[#This Row],[profissional_id]]&amp;Ocupacao_DW[[#This Row],[local_id]]</f>
        <v>4463623962</v>
      </c>
      <c r="H5620" s="1">
        <f>_xlfn.XLOOKUP(Ocupacao_DW[[#This Row],[Concat]],Vagas!$H:$H,Vagas!$D:$D,"",0)</f>
        <v>0</v>
      </c>
    </row>
    <row r="5621" spans="1:8" x14ac:dyDescent="0.25">
      <c r="A5621" s="2">
        <v>44636</v>
      </c>
      <c r="B5621" s="1"/>
      <c r="C5621">
        <v>0</v>
      </c>
      <c r="D5621" s="1"/>
      <c r="E5621" s="1" t="s">
        <v>6</v>
      </c>
      <c r="F5621">
        <v>2</v>
      </c>
      <c r="G5621" s="1" t="str">
        <f>Ocupacao_DW[[#This Row],[data]]&amp;Ocupacao_DW[[#This Row],[profissional_id]]&amp;Ocupacao_DW[[#This Row],[local_id]]</f>
        <v>4463602</v>
      </c>
      <c r="H5621" s="1" t="str">
        <f>_xlfn.XLOOKUP(Ocupacao_DW[[#This Row],[Concat]],Vagas!$H:$H,Vagas!$D:$D,"",0)</f>
        <v/>
      </c>
    </row>
    <row r="5622" spans="1:8" x14ac:dyDescent="0.25">
      <c r="A5622" s="2">
        <v>44636</v>
      </c>
      <c r="B5622" s="1" t="s">
        <v>43</v>
      </c>
      <c r="C5622">
        <v>2396</v>
      </c>
      <c r="D5622" s="1" t="s">
        <v>197</v>
      </c>
      <c r="E5622" s="1" t="s">
        <v>6</v>
      </c>
      <c r="F5622">
        <v>2</v>
      </c>
      <c r="G5622" s="1" t="str">
        <f>Ocupacao_DW[[#This Row],[data]]&amp;Ocupacao_DW[[#This Row],[profissional_id]]&amp;Ocupacao_DW[[#This Row],[local_id]]</f>
        <v>4463623962</v>
      </c>
      <c r="H5622" s="1">
        <f>_xlfn.XLOOKUP(Ocupacao_DW[[#This Row],[Concat]],Vagas!$H:$H,Vagas!$D:$D,"",0)</f>
        <v>0</v>
      </c>
    </row>
    <row r="5623" spans="1:8" x14ac:dyDescent="0.25">
      <c r="A5623" s="2">
        <v>44636</v>
      </c>
      <c r="B5623" s="1"/>
      <c r="C5623">
        <v>2396</v>
      </c>
      <c r="D5623" s="1" t="s">
        <v>197</v>
      </c>
      <c r="E5623" s="1" t="s">
        <v>6</v>
      </c>
      <c r="F5623">
        <v>2</v>
      </c>
      <c r="G5623" s="1" t="str">
        <f>Ocupacao_DW[[#This Row],[data]]&amp;Ocupacao_DW[[#This Row],[profissional_id]]&amp;Ocupacao_DW[[#This Row],[local_id]]</f>
        <v>4463623962</v>
      </c>
      <c r="H5623" s="1">
        <f>_xlfn.XLOOKUP(Ocupacao_DW[[#This Row],[Concat]],Vagas!$H:$H,Vagas!$D:$D,"",0)</f>
        <v>0</v>
      </c>
    </row>
    <row r="5624" spans="1:8" x14ac:dyDescent="0.25">
      <c r="A5624" s="2">
        <v>44636</v>
      </c>
      <c r="B5624" s="1"/>
      <c r="C5624">
        <v>0</v>
      </c>
      <c r="D5624" s="1"/>
      <c r="E5624" s="1" t="s">
        <v>6</v>
      </c>
      <c r="F5624">
        <v>2</v>
      </c>
      <c r="G5624" s="1" t="str">
        <f>Ocupacao_DW[[#This Row],[data]]&amp;Ocupacao_DW[[#This Row],[profissional_id]]&amp;Ocupacao_DW[[#This Row],[local_id]]</f>
        <v>4463602</v>
      </c>
      <c r="H5624" s="1" t="str">
        <f>_xlfn.XLOOKUP(Ocupacao_DW[[#This Row],[Concat]],Vagas!$H:$H,Vagas!$D:$D,"",0)</f>
        <v/>
      </c>
    </row>
    <row r="5625" spans="1:8" x14ac:dyDescent="0.25">
      <c r="A5625" s="2">
        <v>44636</v>
      </c>
      <c r="B5625" s="1"/>
      <c r="C5625">
        <v>0</v>
      </c>
      <c r="D5625" s="1"/>
      <c r="E5625" s="1" t="s">
        <v>6</v>
      </c>
      <c r="F5625">
        <v>2</v>
      </c>
      <c r="G5625" s="1" t="str">
        <f>Ocupacao_DW[[#This Row],[data]]&amp;Ocupacao_DW[[#This Row],[profissional_id]]&amp;Ocupacao_DW[[#This Row],[local_id]]</f>
        <v>4463602</v>
      </c>
      <c r="H5625" s="1" t="str">
        <f>_xlfn.XLOOKUP(Ocupacao_DW[[#This Row],[Concat]],Vagas!$H:$H,Vagas!$D:$D,"",0)</f>
        <v/>
      </c>
    </row>
    <row r="5626" spans="1:8" x14ac:dyDescent="0.25">
      <c r="A5626" s="2">
        <v>44636</v>
      </c>
      <c r="B5626" s="1" t="s">
        <v>43</v>
      </c>
      <c r="C5626">
        <v>57</v>
      </c>
      <c r="D5626" s="1" t="s">
        <v>169</v>
      </c>
      <c r="E5626" s="1" t="s">
        <v>6</v>
      </c>
      <c r="F5626">
        <v>2</v>
      </c>
      <c r="G5626" s="1" t="str">
        <f>Ocupacao_DW[[#This Row],[data]]&amp;Ocupacao_DW[[#This Row],[profissional_id]]&amp;Ocupacao_DW[[#This Row],[local_id]]</f>
        <v>44636572</v>
      </c>
      <c r="H5626" s="1">
        <f>_xlfn.XLOOKUP(Ocupacao_DW[[#This Row],[Concat]],Vagas!$H:$H,Vagas!$D:$D,"",0)</f>
        <v>2</v>
      </c>
    </row>
    <row r="5627" spans="1:8" x14ac:dyDescent="0.25">
      <c r="A5627" s="2">
        <v>44643</v>
      </c>
      <c r="B5627" s="1" t="s">
        <v>43</v>
      </c>
      <c r="C5627">
        <v>2396</v>
      </c>
      <c r="D5627" s="1" t="s">
        <v>197</v>
      </c>
      <c r="E5627" s="1" t="s">
        <v>6</v>
      </c>
      <c r="F5627">
        <v>2</v>
      </c>
      <c r="G5627" s="1" t="str">
        <f>Ocupacao_DW[[#This Row],[data]]&amp;Ocupacao_DW[[#This Row],[profissional_id]]&amp;Ocupacao_DW[[#This Row],[local_id]]</f>
        <v>4464323962</v>
      </c>
      <c r="H5627" s="1">
        <f>_xlfn.XLOOKUP(Ocupacao_DW[[#This Row],[Concat]],Vagas!$H:$H,Vagas!$D:$D,"",0)</f>
        <v>0</v>
      </c>
    </row>
    <row r="5628" spans="1:8" x14ac:dyDescent="0.25">
      <c r="A5628" s="2">
        <v>44643</v>
      </c>
      <c r="B5628" s="1"/>
      <c r="C5628">
        <v>0</v>
      </c>
      <c r="D5628" s="1"/>
      <c r="E5628" s="1" t="s">
        <v>6</v>
      </c>
      <c r="F5628">
        <v>2</v>
      </c>
      <c r="G5628" s="1" t="str">
        <f>Ocupacao_DW[[#This Row],[data]]&amp;Ocupacao_DW[[#This Row],[profissional_id]]&amp;Ocupacao_DW[[#This Row],[local_id]]</f>
        <v>4464302</v>
      </c>
      <c r="H5628" s="1" t="str">
        <f>_xlfn.XLOOKUP(Ocupacao_DW[[#This Row],[Concat]],Vagas!$H:$H,Vagas!$D:$D,"",0)</f>
        <v/>
      </c>
    </row>
    <row r="5629" spans="1:8" x14ac:dyDescent="0.25">
      <c r="A5629" s="2">
        <v>44643</v>
      </c>
      <c r="B5629" s="1" t="s">
        <v>43</v>
      </c>
      <c r="C5629">
        <v>2396</v>
      </c>
      <c r="D5629" s="1" t="s">
        <v>197</v>
      </c>
      <c r="E5629" s="1" t="s">
        <v>6</v>
      </c>
      <c r="F5629">
        <v>2</v>
      </c>
      <c r="G5629" s="1" t="str">
        <f>Ocupacao_DW[[#This Row],[data]]&amp;Ocupacao_DW[[#This Row],[profissional_id]]&amp;Ocupacao_DW[[#This Row],[local_id]]</f>
        <v>4464323962</v>
      </c>
      <c r="H5629" s="1">
        <f>_xlfn.XLOOKUP(Ocupacao_DW[[#This Row],[Concat]],Vagas!$H:$H,Vagas!$D:$D,"",0)</f>
        <v>0</v>
      </c>
    </row>
    <row r="5630" spans="1:8" x14ac:dyDescent="0.25">
      <c r="A5630" s="2">
        <v>44643</v>
      </c>
      <c r="B5630" s="1" t="s">
        <v>43</v>
      </c>
      <c r="C5630">
        <v>2396</v>
      </c>
      <c r="D5630" s="1" t="s">
        <v>197</v>
      </c>
      <c r="E5630" s="1" t="s">
        <v>6</v>
      </c>
      <c r="F5630">
        <v>2</v>
      </c>
      <c r="G5630" s="1" t="str">
        <f>Ocupacao_DW[[#This Row],[data]]&amp;Ocupacao_DW[[#This Row],[profissional_id]]&amp;Ocupacao_DW[[#This Row],[local_id]]</f>
        <v>4464323962</v>
      </c>
      <c r="H5630" s="1">
        <f>_xlfn.XLOOKUP(Ocupacao_DW[[#This Row],[Concat]],Vagas!$H:$H,Vagas!$D:$D,"",0)</f>
        <v>0</v>
      </c>
    </row>
    <row r="5631" spans="1:8" x14ac:dyDescent="0.25">
      <c r="A5631" s="2">
        <v>44649</v>
      </c>
      <c r="B5631" s="1" t="s">
        <v>55</v>
      </c>
      <c r="C5631">
        <v>73</v>
      </c>
      <c r="D5631" s="1" t="s">
        <v>171</v>
      </c>
      <c r="E5631" s="1" t="s">
        <v>6</v>
      </c>
      <c r="F5631">
        <v>5</v>
      </c>
      <c r="G5631" s="1" t="str">
        <f>Ocupacao_DW[[#This Row],[data]]&amp;Ocupacao_DW[[#This Row],[profissional_id]]&amp;Ocupacao_DW[[#This Row],[local_id]]</f>
        <v>44649735</v>
      </c>
      <c r="H5631" s="1">
        <f>_xlfn.XLOOKUP(Ocupacao_DW[[#This Row],[Concat]],Vagas!$H:$H,Vagas!$D:$D,"",0)</f>
        <v>0</v>
      </c>
    </row>
    <row r="5632" spans="1:8" x14ac:dyDescent="0.25">
      <c r="A5632" s="2">
        <v>44638</v>
      </c>
      <c r="B5632" s="1" t="s">
        <v>52</v>
      </c>
      <c r="C5632">
        <v>57</v>
      </c>
      <c r="D5632" s="1" t="s">
        <v>169</v>
      </c>
      <c r="E5632" s="1" t="s">
        <v>6</v>
      </c>
      <c r="F5632">
        <v>8</v>
      </c>
      <c r="G5632" s="1" t="str">
        <f>Ocupacao_DW[[#This Row],[data]]&amp;Ocupacao_DW[[#This Row],[profissional_id]]&amp;Ocupacao_DW[[#This Row],[local_id]]</f>
        <v>44638578</v>
      </c>
      <c r="H5632" s="1">
        <f>_xlfn.XLOOKUP(Ocupacao_DW[[#This Row],[Concat]],Vagas!$H:$H,Vagas!$D:$D,"",0)</f>
        <v>0</v>
      </c>
    </row>
    <row r="5633" spans="1:8" x14ac:dyDescent="0.25">
      <c r="A5633" s="2">
        <v>44635</v>
      </c>
      <c r="B5633" s="1" t="s">
        <v>65</v>
      </c>
      <c r="C5633">
        <v>11237</v>
      </c>
      <c r="D5633" s="1" t="s">
        <v>229</v>
      </c>
      <c r="E5633" s="1" t="s">
        <v>4</v>
      </c>
      <c r="F5633">
        <v>46</v>
      </c>
      <c r="G5633" s="1" t="str">
        <f>Ocupacao_DW[[#This Row],[data]]&amp;Ocupacao_DW[[#This Row],[profissional_id]]&amp;Ocupacao_DW[[#This Row],[local_id]]</f>
        <v>446351123746</v>
      </c>
      <c r="H5633" s="1">
        <f>_xlfn.XLOOKUP(Ocupacao_DW[[#This Row],[Concat]],Vagas!$H:$H,Vagas!$D:$D,"",0)</f>
        <v>0</v>
      </c>
    </row>
    <row r="5634" spans="1:8" x14ac:dyDescent="0.25">
      <c r="A5634" s="2">
        <v>44644</v>
      </c>
      <c r="B5634" s="1" t="s">
        <v>55</v>
      </c>
      <c r="C5634">
        <v>74</v>
      </c>
      <c r="D5634" s="1" t="s">
        <v>182</v>
      </c>
      <c r="E5634" s="1" t="s">
        <v>6</v>
      </c>
      <c r="F5634">
        <v>7</v>
      </c>
      <c r="G5634" s="1" t="str">
        <f>Ocupacao_DW[[#This Row],[data]]&amp;Ocupacao_DW[[#This Row],[profissional_id]]&amp;Ocupacao_DW[[#This Row],[local_id]]</f>
        <v>44644747</v>
      </c>
      <c r="H5634" s="1">
        <f>_xlfn.XLOOKUP(Ocupacao_DW[[#This Row],[Concat]],Vagas!$H:$H,Vagas!$D:$D,"",0)</f>
        <v>0</v>
      </c>
    </row>
    <row r="5635" spans="1:8" x14ac:dyDescent="0.25">
      <c r="A5635" s="2">
        <v>44644</v>
      </c>
      <c r="B5635" s="1" t="s">
        <v>64</v>
      </c>
      <c r="C5635">
        <v>85</v>
      </c>
      <c r="D5635" s="1" t="s">
        <v>211</v>
      </c>
      <c r="E5635" s="1" t="s">
        <v>5</v>
      </c>
      <c r="F5635">
        <v>349</v>
      </c>
      <c r="G5635" s="1" t="str">
        <f>Ocupacao_DW[[#This Row],[data]]&amp;Ocupacao_DW[[#This Row],[profissional_id]]&amp;Ocupacao_DW[[#This Row],[local_id]]</f>
        <v>4464485349</v>
      </c>
      <c r="H5635" s="1">
        <f>_xlfn.XLOOKUP(Ocupacao_DW[[#This Row],[Concat]],Vagas!$H:$H,Vagas!$D:$D,"",0)</f>
        <v>0</v>
      </c>
    </row>
    <row r="5636" spans="1:8" x14ac:dyDescent="0.25">
      <c r="A5636" s="2">
        <v>44639</v>
      </c>
      <c r="B5636" s="1"/>
      <c r="C5636">
        <v>111</v>
      </c>
      <c r="D5636" s="1" t="s">
        <v>199</v>
      </c>
      <c r="E5636" s="1" t="s">
        <v>4</v>
      </c>
      <c r="F5636">
        <v>51</v>
      </c>
      <c r="G5636" s="1" t="str">
        <f>Ocupacao_DW[[#This Row],[data]]&amp;Ocupacao_DW[[#This Row],[profissional_id]]&amp;Ocupacao_DW[[#This Row],[local_id]]</f>
        <v>4463911151</v>
      </c>
      <c r="H5636" s="1">
        <f>_xlfn.XLOOKUP(Ocupacao_DW[[#This Row],[Concat]],Vagas!$H:$H,Vagas!$D:$D,"",0)</f>
        <v>0</v>
      </c>
    </row>
    <row r="5637" spans="1:8" x14ac:dyDescent="0.25">
      <c r="A5637" s="2">
        <v>44638</v>
      </c>
      <c r="B5637" s="1" t="s">
        <v>24</v>
      </c>
      <c r="C5637">
        <v>60</v>
      </c>
      <c r="D5637" s="1" t="s">
        <v>217</v>
      </c>
      <c r="E5637" s="1" t="s">
        <v>6</v>
      </c>
      <c r="F5637">
        <v>1</v>
      </c>
      <c r="G5637" s="1" t="str">
        <f>Ocupacao_DW[[#This Row],[data]]&amp;Ocupacao_DW[[#This Row],[profissional_id]]&amp;Ocupacao_DW[[#This Row],[local_id]]</f>
        <v>44638601</v>
      </c>
      <c r="H5637" s="1">
        <f>_xlfn.XLOOKUP(Ocupacao_DW[[#This Row],[Concat]],Vagas!$H:$H,Vagas!$D:$D,"",0)</f>
        <v>0</v>
      </c>
    </row>
    <row r="5638" spans="1:8" x14ac:dyDescent="0.25">
      <c r="A5638" s="2">
        <v>44635</v>
      </c>
      <c r="B5638" s="1" t="s">
        <v>47</v>
      </c>
      <c r="C5638">
        <v>12752</v>
      </c>
      <c r="D5638" s="1" t="s">
        <v>253</v>
      </c>
      <c r="E5638" s="1" t="s">
        <v>7</v>
      </c>
      <c r="F5638">
        <v>60</v>
      </c>
      <c r="G5638" s="1" t="str">
        <f>Ocupacao_DW[[#This Row],[data]]&amp;Ocupacao_DW[[#This Row],[profissional_id]]&amp;Ocupacao_DW[[#This Row],[local_id]]</f>
        <v>446351275260</v>
      </c>
      <c r="H5638" s="1">
        <f>_xlfn.XLOOKUP(Ocupacao_DW[[#This Row],[Concat]],Vagas!$H:$H,Vagas!$D:$D,"",0)</f>
        <v>0</v>
      </c>
    </row>
    <row r="5639" spans="1:8" x14ac:dyDescent="0.25">
      <c r="A5639" s="2">
        <v>44636</v>
      </c>
      <c r="B5639" s="1" t="s">
        <v>49</v>
      </c>
      <c r="C5639">
        <v>81</v>
      </c>
      <c r="D5639" s="1" t="s">
        <v>170</v>
      </c>
      <c r="E5639" s="1" t="s">
        <v>4</v>
      </c>
      <c r="F5639">
        <v>41</v>
      </c>
      <c r="G5639" s="1" t="str">
        <f>Ocupacao_DW[[#This Row],[data]]&amp;Ocupacao_DW[[#This Row],[profissional_id]]&amp;Ocupacao_DW[[#This Row],[local_id]]</f>
        <v>446368141</v>
      </c>
      <c r="H5639" s="1">
        <f>_xlfn.XLOOKUP(Ocupacao_DW[[#This Row],[Concat]],Vagas!$H:$H,Vagas!$D:$D,"",0)</f>
        <v>0</v>
      </c>
    </row>
    <row r="5640" spans="1:8" x14ac:dyDescent="0.25">
      <c r="A5640" s="2">
        <v>44636</v>
      </c>
      <c r="B5640" s="1" t="s">
        <v>51</v>
      </c>
      <c r="C5640">
        <v>7551</v>
      </c>
      <c r="D5640" s="1" t="s">
        <v>246</v>
      </c>
      <c r="E5640" s="1" t="s">
        <v>5</v>
      </c>
      <c r="F5640">
        <v>15</v>
      </c>
      <c r="G5640" s="1" t="str">
        <f>Ocupacao_DW[[#This Row],[data]]&amp;Ocupacao_DW[[#This Row],[profissional_id]]&amp;Ocupacao_DW[[#This Row],[local_id]]</f>
        <v>44636755115</v>
      </c>
      <c r="H5640" s="1">
        <f>_xlfn.XLOOKUP(Ocupacao_DW[[#This Row],[Concat]],Vagas!$H:$H,Vagas!$D:$D,"",0)</f>
        <v>0</v>
      </c>
    </row>
    <row r="5641" spans="1:8" x14ac:dyDescent="0.25">
      <c r="A5641" s="2">
        <v>44644</v>
      </c>
      <c r="B5641" s="1" t="s">
        <v>51</v>
      </c>
      <c r="C5641">
        <v>53</v>
      </c>
      <c r="D5641" s="1" t="s">
        <v>254</v>
      </c>
      <c r="E5641" s="1" t="s">
        <v>5</v>
      </c>
      <c r="F5641">
        <v>14</v>
      </c>
      <c r="G5641" s="1" t="str">
        <f>Ocupacao_DW[[#This Row],[data]]&amp;Ocupacao_DW[[#This Row],[profissional_id]]&amp;Ocupacao_DW[[#This Row],[local_id]]</f>
        <v>446445314</v>
      </c>
      <c r="H5641" s="1">
        <f>_xlfn.XLOOKUP(Ocupacao_DW[[#This Row],[Concat]],Vagas!$H:$H,Vagas!$D:$D,"",0)</f>
        <v>0</v>
      </c>
    </row>
    <row r="5642" spans="1:8" x14ac:dyDescent="0.25">
      <c r="A5642" s="2">
        <v>44635</v>
      </c>
      <c r="B5642" s="1" t="s">
        <v>54</v>
      </c>
      <c r="C5642">
        <v>69</v>
      </c>
      <c r="D5642" s="1" t="s">
        <v>238</v>
      </c>
      <c r="E5642" s="1" t="s">
        <v>5</v>
      </c>
      <c r="F5642">
        <v>13</v>
      </c>
      <c r="G5642" s="1" t="str">
        <f>Ocupacao_DW[[#This Row],[data]]&amp;Ocupacao_DW[[#This Row],[profissional_id]]&amp;Ocupacao_DW[[#This Row],[local_id]]</f>
        <v>446356913</v>
      </c>
      <c r="H5642" s="1">
        <f>_xlfn.XLOOKUP(Ocupacao_DW[[#This Row],[Concat]],Vagas!$H:$H,Vagas!$D:$D,"",0)</f>
        <v>0</v>
      </c>
    </row>
    <row r="5643" spans="1:8" x14ac:dyDescent="0.25">
      <c r="A5643" s="2">
        <v>44635</v>
      </c>
      <c r="B5643" s="1" t="s">
        <v>65</v>
      </c>
      <c r="C5643">
        <v>11652</v>
      </c>
      <c r="D5643" s="1" t="s">
        <v>242</v>
      </c>
      <c r="E5643" s="1" t="s">
        <v>4</v>
      </c>
      <c r="F5643">
        <v>47</v>
      </c>
      <c r="G5643" s="1" t="str">
        <f>Ocupacao_DW[[#This Row],[data]]&amp;Ocupacao_DW[[#This Row],[profissional_id]]&amp;Ocupacao_DW[[#This Row],[local_id]]</f>
        <v>446351165247</v>
      </c>
      <c r="H5643" s="1">
        <f>_xlfn.XLOOKUP(Ocupacao_DW[[#This Row],[Concat]],Vagas!$H:$H,Vagas!$D:$D,"",0)</f>
        <v>0</v>
      </c>
    </row>
    <row r="5644" spans="1:8" x14ac:dyDescent="0.25">
      <c r="A5644" s="2">
        <v>44637</v>
      </c>
      <c r="B5644" s="1" t="s">
        <v>71</v>
      </c>
      <c r="C5644">
        <v>282</v>
      </c>
      <c r="D5644" s="1" t="s">
        <v>210</v>
      </c>
      <c r="E5644" s="1" t="s">
        <v>7</v>
      </c>
      <c r="F5644">
        <v>68</v>
      </c>
      <c r="G5644" s="1" t="str">
        <f>Ocupacao_DW[[#This Row],[data]]&amp;Ocupacao_DW[[#This Row],[profissional_id]]&amp;Ocupacao_DW[[#This Row],[local_id]]</f>
        <v>4463728268</v>
      </c>
      <c r="H5644" s="1">
        <f>_xlfn.XLOOKUP(Ocupacao_DW[[#This Row],[Concat]],Vagas!$H:$H,Vagas!$D:$D,"",0)</f>
        <v>0</v>
      </c>
    </row>
    <row r="5645" spans="1:8" x14ac:dyDescent="0.25">
      <c r="A5645" s="2">
        <v>44650</v>
      </c>
      <c r="B5645" s="1" t="s">
        <v>70</v>
      </c>
      <c r="C5645">
        <v>12825</v>
      </c>
      <c r="D5645" s="1" t="s">
        <v>177</v>
      </c>
      <c r="E5645" s="1" t="s">
        <v>4</v>
      </c>
      <c r="F5645">
        <v>45</v>
      </c>
      <c r="G5645" s="1" t="str">
        <f>Ocupacao_DW[[#This Row],[data]]&amp;Ocupacao_DW[[#This Row],[profissional_id]]&amp;Ocupacao_DW[[#This Row],[local_id]]</f>
        <v>446501282545</v>
      </c>
      <c r="H5645" s="1">
        <f>_xlfn.XLOOKUP(Ocupacao_DW[[#This Row],[Concat]],Vagas!$H:$H,Vagas!$D:$D,"",0)</f>
        <v>0</v>
      </c>
    </row>
    <row r="5646" spans="1:8" x14ac:dyDescent="0.25">
      <c r="A5646" s="2">
        <v>44638</v>
      </c>
      <c r="B5646" s="1" t="s">
        <v>47</v>
      </c>
      <c r="C5646">
        <v>13371</v>
      </c>
      <c r="D5646" s="1" t="s">
        <v>205</v>
      </c>
      <c r="E5646" s="1" t="s">
        <v>4</v>
      </c>
      <c r="F5646">
        <v>336</v>
      </c>
      <c r="G5646" s="1" t="str">
        <f>Ocupacao_DW[[#This Row],[data]]&amp;Ocupacao_DW[[#This Row],[profissional_id]]&amp;Ocupacao_DW[[#This Row],[local_id]]</f>
        <v>4463813371336</v>
      </c>
      <c r="H5646" s="1" t="str">
        <f>_xlfn.XLOOKUP(Ocupacao_DW[[#This Row],[Concat]],Vagas!$H:$H,Vagas!$D:$D,"",0)</f>
        <v/>
      </c>
    </row>
    <row r="5647" spans="1:8" x14ac:dyDescent="0.25">
      <c r="A5647" s="2">
        <v>44636</v>
      </c>
      <c r="B5647" s="1" t="s">
        <v>62</v>
      </c>
      <c r="C5647">
        <v>3502</v>
      </c>
      <c r="D5647" s="1" t="s">
        <v>214</v>
      </c>
      <c r="E5647" s="1" t="s">
        <v>5</v>
      </c>
      <c r="F5647">
        <v>16</v>
      </c>
      <c r="G5647" s="1" t="str">
        <f>Ocupacao_DW[[#This Row],[data]]&amp;Ocupacao_DW[[#This Row],[profissional_id]]&amp;Ocupacao_DW[[#This Row],[local_id]]</f>
        <v>44636350216</v>
      </c>
      <c r="H5647" s="1">
        <f>_xlfn.XLOOKUP(Ocupacao_DW[[#This Row],[Concat]],Vagas!$H:$H,Vagas!$D:$D,"",0)</f>
        <v>0</v>
      </c>
    </row>
    <row r="5648" spans="1:8" x14ac:dyDescent="0.25">
      <c r="A5648" s="2">
        <v>44643</v>
      </c>
      <c r="B5648" s="1" t="s">
        <v>49</v>
      </c>
      <c r="C5648">
        <v>10600</v>
      </c>
      <c r="D5648" s="1" t="s">
        <v>248</v>
      </c>
      <c r="E5648" s="1" t="s">
        <v>7</v>
      </c>
      <c r="F5648">
        <v>71</v>
      </c>
      <c r="G5648" s="1" t="str">
        <f>Ocupacao_DW[[#This Row],[data]]&amp;Ocupacao_DW[[#This Row],[profissional_id]]&amp;Ocupacao_DW[[#This Row],[local_id]]</f>
        <v>446431060071</v>
      </c>
      <c r="H5648" s="1">
        <f>_xlfn.XLOOKUP(Ocupacao_DW[[#This Row],[Concat]],Vagas!$H:$H,Vagas!$D:$D,"",0)</f>
        <v>0</v>
      </c>
    </row>
    <row r="5649" spans="1:8" x14ac:dyDescent="0.25">
      <c r="A5649" s="2">
        <v>44637</v>
      </c>
      <c r="B5649" s="1" t="s">
        <v>54</v>
      </c>
      <c r="C5649">
        <v>1490</v>
      </c>
      <c r="D5649" s="1" t="s">
        <v>174</v>
      </c>
      <c r="E5649" s="1" t="s">
        <v>5</v>
      </c>
      <c r="F5649">
        <v>13</v>
      </c>
      <c r="G5649" s="1" t="str">
        <f>Ocupacao_DW[[#This Row],[data]]&amp;Ocupacao_DW[[#This Row],[profissional_id]]&amp;Ocupacao_DW[[#This Row],[local_id]]</f>
        <v>44637149013</v>
      </c>
      <c r="H5649" s="1">
        <f>_xlfn.XLOOKUP(Ocupacao_DW[[#This Row],[Concat]],Vagas!$H:$H,Vagas!$D:$D,"",0)</f>
        <v>0</v>
      </c>
    </row>
    <row r="5650" spans="1:8" x14ac:dyDescent="0.25">
      <c r="A5650" s="2">
        <v>44642</v>
      </c>
      <c r="B5650" s="1" t="s">
        <v>70</v>
      </c>
      <c r="C5650">
        <v>14237</v>
      </c>
      <c r="D5650" s="1" t="s">
        <v>186</v>
      </c>
      <c r="E5650" s="1" t="s">
        <v>4</v>
      </c>
      <c r="F5650">
        <v>47</v>
      </c>
      <c r="G5650" s="1" t="str">
        <f>Ocupacao_DW[[#This Row],[data]]&amp;Ocupacao_DW[[#This Row],[profissional_id]]&amp;Ocupacao_DW[[#This Row],[local_id]]</f>
        <v>446421423747</v>
      </c>
      <c r="H5650" s="1">
        <f>_xlfn.XLOOKUP(Ocupacao_DW[[#This Row],[Concat]],Vagas!$H:$H,Vagas!$D:$D,"",0)</f>
        <v>0</v>
      </c>
    </row>
    <row r="5651" spans="1:8" x14ac:dyDescent="0.25">
      <c r="A5651" s="2">
        <v>44643</v>
      </c>
      <c r="B5651" s="1" t="s">
        <v>52</v>
      </c>
      <c r="C5651">
        <v>57</v>
      </c>
      <c r="D5651" s="1" t="s">
        <v>169</v>
      </c>
      <c r="E5651" s="1" t="s">
        <v>6</v>
      </c>
      <c r="F5651">
        <v>4</v>
      </c>
      <c r="G5651" s="1" t="str">
        <f>Ocupacao_DW[[#This Row],[data]]&amp;Ocupacao_DW[[#This Row],[profissional_id]]&amp;Ocupacao_DW[[#This Row],[local_id]]</f>
        <v>44643574</v>
      </c>
      <c r="H5651" s="1">
        <f>_xlfn.XLOOKUP(Ocupacao_DW[[#This Row],[Concat]],Vagas!$H:$H,Vagas!$D:$D,"",0)</f>
        <v>0</v>
      </c>
    </row>
    <row r="5652" spans="1:8" x14ac:dyDescent="0.25">
      <c r="A5652" s="2">
        <v>44645</v>
      </c>
      <c r="B5652" s="1" t="s">
        <v>68</v>
      </c>
      <c r="C5652">
        <v>9138</v>
      </c>
      <c r="D5652" s="1" t="s">
        <v>184</v>
      </c>
      <c r="E5652" s="1" t="s">
        <v>5</v>
      </c>
      <c r="F5652">
        <v>14</v>
      </c>
      <c r="G5652" s="1" t="str">
        <f>Ocupacao_DW[[#This Row],[data]]&amp;Ocupacao_DW[[#This Row],[profissional_id]]&amp;Ocupacao_DW[[#This Row],[local_id]]</f>
        <v>44645913814</v>
      </c>
      <c r="H5652" s="1">
        <f>_xlfn.XLOOKUP(Ocupacao_DW[[#This Row],[Concat]],Vagas!$H:$H,Vagas!$D:$D,"",0)</f>
        <v>0</v>
      </c>
    </row>
    <row r="5653" spans="1:8" x14ac:dyDescent="0.25">
      <c r="A5653" s="2">
        <v>44650</v>
      </c>
      <c r="B5653" s="1" t="s">
        <v>52</v>
      </c>
      <c r="C5653">
        <v>67</v>
      </c>
      <c r="D5653" s="1" t="s">
        <v>172</v>
      </c>
      <c r="E5653" s="1" t="s">
        <v>6</v>
      </c>
      <c r="F5653">
        <v>8</v>
      </c>
      <c r="G5653" s="1" t="str">
        <f>Ocupacao_DW[[#This Row],[data]]&amp;Ocupacao_DW[[#This Row],[profissional_id]]&amp;Ocupacao_DW[[#This Row],[local_id]]</f>
        <v>44650678</v>
      </c>
      <c r="H5653" s="1">
        <f>_xlfn.XLOOKUP(Ocupacao_DW[[#This Row],[Concat]],Vagas!$H:$H,Vagas!$D:$D,"",0)</f>
        <v>0</v>
      </c>
    </row>
    <row r="5654" spans="1:8" x14ac:dyDescent="0.25">
      <c r="A5654" s="2">
        <v>44636</v>
      </c>
      <c r="B5654" s="1" t="s">
        <v>52</v>
      </c>
      <c r="C5654">
        <v>10691</v>
      </c>
      <c r="D5654" s="1" t="s">
        <v>181</v>
      </c>
      <c r="E5654" s="1" t="s">
        <v>6</v>
      </c>
      <c r="F5654">
        <v>9</v>
      </c>
      <c r="G5654" s="1" t="str">
        <f>Ocupacao_DW[[#This Row],[data]]&amp;Ocupacao_DW[[#This Row],[profissional_id]]&amp;Ocupacao_DW[[#This Row],[local_id]]</f>
        <v>44636106919</v>
      </c>
      <c r="H5654" s="1">
        <f>_xlfn.XLOOKUP(Ocupacao_DW[[#This Row],[Concat]],Vagas!$H:$H,Vagas!$D:$D,"",0)</f>
        <v>0</v>
      </c>
    </row>
    <row r="5655" spans="1:8" x14ac:dyDescent="0.25">
      <c r="A5655" s="2">
        <v>44643</v>
      </c>
      <c r="B5655" s="1" t="s">
        <v>64</v>
      </c>
      <c r="C5655">
        <v>531</v>
      </c>
      <c r="D5655" s="1" t="s">
        <v>213</v>
      </c>
      <c r="E5655" s="1" t="s">
        <v>5</v>
      </c>
      <c r="F5655">
        <v>12</v>
      </c>
      <c r="G5655" s="1" t="str">
        <f>Ocupacao_DW[[#This Row],[data]]&amp;Ocupacao_DW[[#This Row],[profissional_id]]&amp;Ocupacao_DW[[#This Row],[local_id]]</f>
        <v>4464353112</v>
      </c>
      <c r="H5655" s="1">
        <f>_xlfn.XLOOKUP(Ocupacao_DW[[#This Row],[Concat]],Vagas!$H:$H,Vagas!$D:$D,"",0)</f>
        <v>0</v>
      </c>
    </row>
    <row r="5656" spans="1:8" x14ac:dyDescent="0.25">
      <c r="A5656" s="2">
        <v>44636</v>
      </c>
      <c r="B5656" s="1" t="s">
        <v>70</v>
      </c>
      <c r="C5656">
        <v>12825</v>
      </c>
      <c r="D5656" s="1" t="s">
        <v>177</v>
      </c>
      <c r="E5656" s="1" t="s">
        <v>4</v>
      </c>
      <c r="F5656">
        <v>45</v>
      </c>
      <c r="G5656" s="1" t="str">
        <f>Ocupacao_DW[[#This Row],[data]]&amp;Ocupacao_DW[[#This Row],[profissional_id]]&amp;Ocupacao_DW[[#This Row],[local_id]]</f>
        <v>446361282545</v>
      </c>
      <c r="H5656" s="1">
        <f>_xlfn.XLOOKUP(Ocupacao_DW[[#This Row],[Concat]],Vagas!$H:$H,Vagas!$D:$D,"",0)</f>
        <v>0</v>
      </c>
    </row>
    <row r="5657" spans="1:8" x14ac:dyDescent="0.25">
      <c r="A5657" s="2">
        <v>44641</v>
      </c>
      <c r="B5657" s="1" t="s">
        <v>69</v>
      </c>
      <c r="C5657">
        <v>17878</v>
      </c>
      <c r="D5657" s="1" t="s">
        <v>183</v>
      </c>
      <c r="E5657" s="1" t="s">
        <v>4</v>
      </c>
      <c r="F5657">
        <v>47</v>
      </c>
      <c r="G5657" s="1" t="str">
        <f>Ocupacao_DW[[#This Row],[data]]&amp;Ocupacao_DW[[#This Row],[profissional_id]]&amp;Ocupacao_DW[[#This Row],[local_id]]</f>
        <v>446411787847</v>
      </c>
      <c r="H5657" s="1">
        <f>_xlfn.XLOOKUP(Ocupacao_DW[[#This Row],[Concat]],Vagas!$H:$H,Vagas!$D:$D,"",0)</f>
        <v>0</v>
      </c>
    </row>
    <row r="5658" spans="1:8" x14ac:dyDescent="0.25">
      <c r="A5658" s="2">
        <v>44641</v>
      </c>
      <c r="B5658" s="1" t="s">
        <v>55</v>
      </c>
      <c r="C5658">
        <v>60</v>
      </c>
      <c r="D5658" s="1" t="s">
        <v>217</v>
      </c>
      <c r="E5658" s="1" t="s">
        <v>167</v>
      </c>
      <c r="F5658">
        <v>345</v>
      </c>
      <c r="G5658" s="1" t="str">
        <f>Ocupacao_DW[[#This Row],[data]]&amp;Ocupacao_DW[[#This Row],[profissional_id]]&amp;Ocupacao_DW[[#This Row],[local_id]]</f>
        <v>4464160345</v>
      </c>
      <c r="H5658" s="1">
        <f>_xlfn.XLOOKUP(Ocupacao_DW[[#This Row],[Concat]],Vagas!$H:$H,Vagas!$D:$D,"",0)</f>
        <v>0</v>
      </c>
    </row>
    <row r="5659" spans="1:8" x14ac:dyDescent="0.25">
      <c r="A5659" s="2">
        <v>44638</v>
      </c>
      <c r="B5659" s="1" t="s">
        <v>52</v>
      </c>
      <c r="C5659">
        <v>57</v>
      </c>
      <c r="D5659" s="1" t="s">
        <v>169</v>
      </c>
      <c r="E5659" s="1" t="s">
        <v>6</v>
      </c>
      <c r="F5659">
        <v>8</v>
      </c>
      <c r="G5659" s="1" t="str">
        <f>Ocupacao_DW[[#This Row],[data]]&amp;Ocupacao_DW[[#This Row],[profissional_id]]&amp;Ocupacao_DW[[#This Row],[local_id]]</f>
        <v>44638578</v>
      </c>
      <c r="H5659" s="1">
        <f>_xlfn.XLOOKUP(Ocupacao_DW[[#This Row],[Concat]],Vagas!$H:$H,Vagas!$D:$D,"",0)</f>
        <v>0</v>
      </c>
    </row>
    <row r="5660" spans="1:8" x14ac:dyDescent="0.25">
      <c r="A5660" s="2">
        <v>44636</v>
      </c>
      <c r="B5660" s="1" t="s">
        <v>52</v>
      </c>
      <c r="C5660">
        <v>57</v>
      </c>
      <c r="D5660" s="1" t="s">
        <v>169</v>
      </c>
      <c r="E5660" s="1" t="s">
        <v>6</v>
      </c>
      <c r="F5660">
        <v>4</v>
      </c>
      <c r="G5660" s="1" t="str">
        <f>Ocupacao_DW[[#This Row],[data]]&amp;Ocupacao_DW[[#This Row],[profissional_id]]&amp;Ocupacao_DW[[#This Row],[local_id]]</f>
        <v>44636574</v>
      </c>
      <c r="H5660" s="1">
        <f>_xlfn.XLOOKUP(Ocupacao_DW[[#This Row],[Concat]],Vagas!$H:$H,Vagas!$D:$D,"",0)</f>
        <v>0</v>
      </c>
    </row>
    <row r="5661" spans="1:8" x14ac:dyDescent="0.25">
      <c r="A5661" s="2">
        <v>44635</v>
      </c>
      <c r="B5661" s="1" t="s">
        <v>65</v>
      </c>
      <c r="C5661">
        <v>11652</v>
      </c>
      <c r="D5661" s="1" t="s">
        <v>242</v>
      </c>
      <c r="E5661" s="1" t="s">
        <v>4</v>
      </c>
      <c r="F5661">
        <v>47</v>
      </c>
      <c r="G5661" s="1" t="str">
        <f>Ocupacao_DW[[#This Row],[data]]&amp;Ocupacao_DW[[#This Row],[profissional_id]]&amp;Ocupacao_DW[[#This Row],[local_id]]</f>
        <v>446351165247</v>
      </c>
      <c r="H5661" s="1">
        <f>_xlfn.XLOOKUP(Ocupacao_DW[[#This Row],[Concat]],Vagas!$H:$H,Vagas!$D:$D,"",0)</f>
        <v>0</v>
      </c>
    </row>
    <row r="5662" spans="1:8" x14ac:dyDescent="0.25">
      <c r="A5662" s="2">
        <v>44637</v>
      </c>
      <c r="B5662" s="1" t="s">
        <v>52</v>
      </c>
      <c r="C5662">
        <v>9217</v>
      </c>
      <c r="D5662" s="1" t="s">
        <v>191</v>
      </c>
      <c r="E5662" s="1" t="s">
        <v>6</v>
      </c>
      <c r="F5662">
        <v>7</v>
      </c>
      <c r="G5662" s="1" t="str">
        <f>Ocupacao_DW[[#This Row],[data]]&amp;Ocupacao_DW[[#This Row],[profissional_id]]&amp;Ocupacao_DW[[#This Row],[local_id]]</f>
        <v>4463792177</v>
      </c>
      <c r="H5662" s="1">
        <f>_xlfn.XLOOKUP(Ocupacao_DW[[#This Row],[Concat]],Vagas!$H:$H,Vagas!$D:$D,"",0)</f>
        <v>0</v>
      </c>
    </row>
    <row r="5663" spans="1:8" x14ac:dyDescent="0.25">
      <c r="A5663" s="2">
        <v>44644</v>
      </c>
      <c r="B5663" s="1" t="s">
        <v>70</v>
      </c>
      <c r="C5663">
        <v>12519</v>
      </c>
      <c r="D5663" s="1" t="s">
        <v>176</v>
      </c>
      <c r="E5663" s="1" t="s">
        <v>4</v>
      </c>
      <c r="F5663">
        <v>42</v>
      </c>
      <c r="G5663" s="1" t="str">
        <f>Ocupacao_DW[[#This Row],[data]]&amp;Ocupacao_DW[[#This Row],[profissional_id]]&amp;Ocupacao_DW[[#This Row],[local_id]]</f>
        <v>446441251942</v>
      </c>
      <c r="H5663" s="1">
        <f>_xlfn.XLOOKUP(Ocupacao_DW[[#This Row],[Concat]],Vagas!$H:$H,Vagas!$D:$D,"",0)</f>
        <v>0</v>
      </c>
    </row>
    <row r="5664" spans="1:8" x14ac:dyDescent="0.25">
      <c r="A5664" s="2">
        <v>44641</v>
      </c>
      <c r="B5664" s="1" t="s">
        <v>60</v>
      </c>
      <c r="C5664">
        <v>117</v>
      </c>
      <c r="D5664" s="1" t="s">
        <v>180</v>
      </c>
      <c r="E5664" s="1" t="s">
        <v>4</v>
      </c>
      <c r="F5664">
        <v>48</v>
      </c>
      <c r="G5664" s="1" t="str">
        <f>Ocupacao_DW[[#This Row],[data]]&amp;Ocupacao_DW[[#This Row],[profissional_id]]&amp;Ocupacao_DW[[#This Row],[local_id]]</f>
        <v>4464111748</v>
      </c>
      <c r="H5664" s="1">
        <f>_xlfn.XLOOKUP(Ocupacao_DW[[#This Row],[Concat]],Vagas!$H:$H,Vagas!$D:$D,"",0)</f>
        <v>0</v>
      </c>
    </row>
    <row r="5665" spans="1:8" x14ac:dyDescent="0.25">
      <c r="A5665" s="2">
        <v>44639</v>
      </c>
      <c r="B5665" s="1" t="s">
        <v>59</v>
      </c>
      <c r="C5665">
        <v>10249</v>
      </c>
      <c r="D5665" s="1" t="s">
        <v>231</v>
      </c>
      <c r="E5665" s="1" t="s">
        <v>4</v>
      </c>
      <c r="F5665">
        <v>43</v>
      </c>
      <c r="G5665" s="1" t="str">
        <f>Ocupacao_DW[[#This Row],[data]]&amp;Ocupacao_DW[[#This Row],[profissional_id]]&amp;Ocupacao_DW[[#This Row],[local_id]]</f>
        <v>446391024943</v>
      </c>
      <c r="H5665" s="1">
        <f>_xlfn.XLOOKUP(Ocupacao_DW[[#This Row],[Concat]],Vagas!$H:$H,Vagas!$D:$D,"",0)</f>
        <v>0</v>
      </c>
    </row>
    <row r="5666" spans="1:8" x14ac:dyDescent="0.25">
      <c r="A5666" s="2">
        <v>44646</v>
      </c>
      <c r="B5666" s="1" t="s">
        <v>62</v>
      </c>
      <c r="C5666">
        <v>4887</v>
      </c>
      <c r="D5666" s="1" t="s">
        <v>168</v>
      </c>
      <c r="E5666" s="1" t="s">
        <v>5</v>
      </c>
      <c r="F5666">
        <v>18</v>
      </c>
      <c r="G5666" s="1" t="str">
        <f>Ocupacao_DW[[#This Row],[data]]&amp;Ocupacao_DW[[#This Row],[profissional_id]]&amp;Ocupacao_DW[[#This Row],[local_id]]</f>
        <v>44646488718</v>
      </c>
      <c r="H5666" s="1">
        <f>_xlfn.XLOOKUP(Ocupacao_DW[[#This Row],[Concat]],Vagas!$H:$H,Vagas!$D:$D,"",0)</f>
        <v>0</v>
      </c>
    </row>
    <row r="5667" spans="1:8" x14ac:dyDescent="0.25">
      <c r="A5667" s="2">
        <v>44643</v>
      </c>
      <c r="B5667" s="1" t="s">
        <v>49</v>
      </c>
      <c r="C5667">
        <v>6430</v>
      </c>
      <c r="D5667" s="1" t="s">
        <v>188</v>
      </c>
      <c r="E5667" s="1" t="s">
        <v>4</v>
      </c>
      <c r="F5667">
        <v>42</v>
      </c>
      <c r="G5667" s="1" t="str">
        <f>Ocupacao_DW[[#This Row],[data]]&amp;Ocupacao_DW[[#This Row],[profissional_id]]&amp;Ocupacao_DW[[#This Row],[local_id]]</f>
        <v>44643643042</v>
      </c>
      <c r="H5667" s="1">
        <f>_xlfn.XLOOKUP(Ocupacao_DW[[#This Row],[Concat]],Vagas!$H:$H,Vagas!$D:$D,"",0)</f>
        <v>0</v>
      </c>
    </row>
    <row r="5668" spans="1:8" x14ac:dyDescent="0.25">
      <c r="A5668" s="2">
        <v>44642</v>
      </c>
      <c r="B5668" s="1" t="s">
        <v>69</v>
      </c>
      <c r="C5668">
        <v>13249</v>
      </c>
      <c r="D5668" s="1" t="s">
        <v>178</v>
      </c>
      <c r="E5668" s="1" t="s">
        <v>4</v>
      </c>
      <c r="F5668">
        <v>45</v>
      </c>
      <c r="G5668" s="1" t="str">
        <f>Ocupacao_DW[[#This Row],[data]]&amp;Ocupacao_DW[[#This Row],[profissional_id]]&amp;Ocupacao_DW[[#This Row],[local_id]]</f>
        <v>446421324945</v>
      </c>
      <c r="H5668" s="1">
        <f>_xlfn.XLOOKUP(Ocupacao_DW[[#This Row],[Concat]],Vagas!$H:$H,Vagas!$D:$D,"",0)</f>
        <v>0</v>
      </c>
    </row>
    <row r="5669" spans="1:8" x14ac:dyDescent="0.25">
      <c r="A5669" s="2">
        <v>44649</v>
      </c>
      <c r="B5669" s="1" t="s">
        <v>69</v>
      </c>
      <c r="C5669">
        <v>13249</v>
      </c>
      <c r="D5669" s="1" t="s">
        <v>178</v>
      </c>
      <c r="E5669" s="1" t="s">
        <v>4</v>
      </c>
      <c r="F5669">
        <v>45</v>
      </c>
      <c r="G5669" s="1" t="str">
        <f>Ocupacao_DW[[#This Row],[data]]&amp;Ocupacao_DW[[#This Row],[profissional_id]]&amp;Ocupacao_DW[[#This Row],[local_id]]</f>
        <v>446491324945</v>
      </c>
      <c r="H5669" s="1">
        <f>_xlfn.XLOOKUP(Ocupacao_DW[[#This Row],[Concat]],Vagas!$H:$H,Vagas!$D:$D,"",0)</f>
        <v>0</v>
      </c>
    </row>
    <row r="5670" spans="1:8" x14ac:dyDescent="0.25">
      <c r="A5670" s="2">
        <v>44635</v>
      </c>
      <c r="B5670" s="1"/>
      <c r="C5670">
        <v>0</v>
      </c>
      <c r="D5670" s="1"/>
      <c r="E5670" s="1" t="s">
        <v>7</v>
      </c>
      <c r="F5670">
        <v>60</v>
      </c>
      <c r="G5670" s="1" t="str">
        <f>Ocupacao_DW[[#This Row],[data]]&amp;Ocupacao_DW[[#This Row],[profissional_id]]&amp;Ocupacao_DW[[#This Row],[local_id]]</f>
        <v>44635060</v>
      </c>
      <c r="H5670" s="1" t="str">
        <f>_xlfn.XLOOKUP(Ocupacao_DW[[#This Row],[Concat]],Vagas!$H:$H,Vagas!$D:$D,"",0)</f>
        <v/>
      </c>
    </row>
    <row r="5671" spans="1:8" x14ac:dyDescent="0.25">
      <c r="A5671" s="2">
        <v>44641</v>
      </c>
      <c r="B5671" s="1" t="s">
        <v>49</v>
      </c>
      <c r="C5671">
        <v>12369</v>
      </c>
      <c r="D5671" s="1" t="s">
        <v>195</v>
      </c>
      <c r="E5671" s="1" t="s">
        <v>4</v>
      </c>
      <c r="F5671">
        <v>43</v>
      </c>
      <c r="G5671" s="1" t="str">
        <f>Ocupacao_DW[[#This Row],[data]]&amp;Ocupacao_DW[[#This Row],[profissional_id]]&amp;Ocupacao_DW[[#This Row],[local_id]]</f>
        <v>446411236943</v>
      </c>
      <c r="H5671" s="1">
        <f>_xlfn.XLOOKUP(Ocupacao_DW[[#This Row],[Concat]],Vagas!$H:$H,Vagas!$D:$D,"",0)</f>
        <v>0</v>
      </c>
    </row>
    <row r="5672" spans="1:8" x14ac:dyDescent="0.25">
      <c r="A5672" s="2">
        <v>44636</v>
      </c>
      <c r="B5672" s="1" t="s">
        <v>49</v>
      </c>
      <c r="C5672">
        <v>6430</v>
      </c>
      <c r="D5672" s="1" t="s">
        <v>188</v>
      </c>
      <c r="E5672" s="1" t="s">
        <v>4</v>
      </c>
      <c r="F5672">
        <v>42</v>
      </c>
      <c r="G5672" s="1" t="str">
        <f>Ocupacao_DW[[#This Row],[data]]&amp;Ocupacao_DW[[#This Row],[profissional_id]]&amp;Ocupacao_DW[[#This Row],[local_id]]</f>
        <v>44636643042</v>
      </c>
      <c r="H5672" s="1">
        <f>_xlfn.XLOOKUP(Ocupacao_DW[[#This Row],[Concat]],Vagas!$H:$H,Vagas!$D:$D,"",0)</f>
        <v>0</v>
      </c>
    </row>
    <row r="5673" spans="1:8" x14ac:dyDescent="0.25">
      <c r="A5673" s="2">
        <v>44649</v>
      </c>
      <c r="B5673" s="1" t="s">
        <v>64</v>
      </c>
      <c r="C5673">
        <v>85</v>
      </c>
      <c r="D5673" s="1" t="s">
        <v>211</v>
      </c>
      <c r="E5673" s="1" t="s">
        <v>5</v>
      </c>
      <c r="F5673">
        <v>349</v>
      </c>
      <c r="G5673" s="1" t="str">
        <f>Ocupacao_DW[[#This Row],[data]]&amp;Ocupacao_DW[[#This Row],[profissional_id]]&amp;Ocupacao_DW[[#This Row],[local_id]]</f>
        <v>4464985349</v>
      </c>
      <c r="H5673" s="1">
        <f>_xlfn.XLOOKUP(Ocupacao_DW[[#This Row],[Concat]],Vagas!$H:$H,Vagas!$D:$D,"",0)</f>
        <v>0</v>
      </c>
    </row>
    <row r="5674" spans="1:8" x14ac:dyDescent="0.25">
      <c r="A5674" s="2">
        <v>44649</v>
      </c>
      <c r="B5674" s="1" t="s">
        <v>55</v>
      </c>
      <c r="C5674">
        <v>73</v>
      </c>
      <c r="D5674" s="1" t="s">
        <v>171</v>
      </c>
      <c r="E5674" s="1" t="s">
        <v>6</v>
      </c>
      <c r="F5674">
        <v>5</v>
      </c>
      <c r="G5674" s="1" t="str">
        <f>Ocupacao_DW[[#This Row],[data]]&amp;Ocupacao_DW[[#This Row],[profissional_id]]&amp;Ocupacao_DW[[#This Row],[local_id]]</f>
        <v>44649735</v>
      </c>
      <c r="H5674" s="1">
        <f>_xlfn.XLOOKUP(Ocupacao_DW[[#This Row],[Concat]],Vagas!$H:$H,Vagas!$D:$D,"",0)</f>
        <v>0</v>
      </c>
    </row>
    <row r="5675" spans="1:8" x14ac:dyDescent="0.25">
      <c r="A5675" s="2">
        <v>44636</v>
      </c>
      <c r="B5675" s="1" t="s">
        <v>52</v>
      </c>
      <c r="C5675">
        <v>57</v>
      </c>
      <c r="D5675" s="1" t="s">
        <v>169</v>
      </c>
      <c r="E5675" s="1" t="s">
        <v>6</v>
      </c>
      <c r="F5675">
        <v>4</v>
      </c>
      <c r="G5675" s="1" t="str">
        <f>Ocupacao_DW[[#This Row],[data]]&amp;Ocupacao_DW[[#This Row],[profissional_id]]&amp;Ocupacao_DW[[#This Row],[local_id]]</f>
        <v>44636574</v>
      </c>
      <c r="H5675" s="1">
        <f>_xlfn.XLOOKUP(Ocupacao_DW[[#This Row],[Concat]],Vagas!$H:$H,Vagas!$D:$D,"",0)</f>
        <v>0</v>
      </c>
    </row>
    <row r="5676" spans="1:8" x14ac:dyDescent="0.25">
      <c r="A5676" s="2">
        <v>44649</v>
      </c>
      <c r="B5676" s="1" t="s">
        <v>55</v>
      </c>
      <c r="C5676">
        <v>73</v>
      </c>
      <c r="D5676" s="1" t="s">
        <v>171</v>
      </c>
      <c r="E5676" s="1" t="s">
        <v>6</v>
      </c>
      <c r="F5676">
        <v>5</v>
      </c>
      <c r="G5676" s="1" t="str">
        <f>Ocupacao_DW[[#This Row],[data]]&amp;Ocupacao_DW[[#This Row],[profissional_id]]&amp;Ocupacao_DW[[#This Row],[local_id]]</f>
        <v>44649735</v>
      </c>
      <c r="H5676" s="1">
        <f>_xlfn.XLOOKUP(Ocupacao_DW[[#This Row],[Concat]],Vagas!$H:$H,Vagas!$D:$D,"",0)</f>
        <v>0</v>
      </c>
    </row>
    <row r="5677" spans="1:8" x14ac:dyDescent="0.25">
      <c r="A5677" s="2">
        <v>44636</v>
      </c>
      <c r="B5677" s="1" t="s">
        <v>52</v>
      </c>
      <c r="C5677">
        <v>57</v>
      </c>
      <c r="D5677" s="1" t="s">
        <v>169</v>
      </c>
      <c r="E5677" s="1" t="s">
        <v>6</v>
      </c>
      <c r="F5677">
        <v>8</v>
      </c>
      <c r="G5677" s="1" t="str">
        <f>Ocupacao_DW[[#This Row],[data]]&amp;Ocupacao_DW[[#This Row],[profissional_id]]&amp;Ocupacao_DW[[#This Row],[local_id]]</f>
        <v>44636578</v>
      </c>
      <c r="H5677" s="1">
        <f>_xlfn.XLOOKUP(Ocupacao_DW[[#This Row],[Concat]],Vagas!$H:$H,Vagas!$D:$D,"",0)</f>
        <v>14</v>
      </c>
    </row>
    <row r="5678" spans="1:8" x14ac:dyDescent="0.25">
      <c r="A5678" s="2">
        <v>44635</v>
      </c>
      <c r="B5678" s="1" t="s">
        <v>47</v>
      </c>
      <c r="C5678">
        <v>9111</v>
      </c>
      <c r="D5678" s="1" t="s">
        <v>206</v>
      </c>
      <c r="E5678" s="1" t="s">
        <v>4</v>
      </c>
      <c r="F5678">
        <v>335</v>
      </c>
      <c r="G5678" s="1" t="str">
        <f>Ocupacao_DW[[#This Row],[data]]&amp;Ocupacao_DW[[#This Row],[profissional_id]]&amp;Ocupacao_DW[[#This Row],[local_id]]</f>
        <v>446359111335</v>
      </c>
      <c r="H5678" s="1">
        <f>_xlfn.XLOOKUP(Ocupacao_DW[[#This Row],[Concat]],Vagas!$H:$H,Vagas!$D:$D,"",0)</f>
        <v>0</v>
      </c>
    </row>
    <row r="5679" spans="1:8" x14ac:dyDescent="0.25">
      <c r="A5679" s="2">
        <v>44646</v>
      </c>
      <c r="B5679" s="1"/>
      <c r="C5679">
        <v>0</v>
      </c>
      <c r="D5679" s="1"/>
      <c r="E5679" s="1" t="s">
        <v>4</v>
      </c>
      <c r="F5679">
        <v>40</v>
      </c>
      <c r="G5679" s="1" t="str">
        <f>Ocupacao_DW[[#This Row],[data]]&amp;Ocupacao_DW[[#This Row],[profissional_id]]&amp;Ocupacao_DW[[#This Row],[local_id]]</f>
        <v>44646040</v>
      </c>
      <c r="H5679" s="1" t="str">
        <f>_xlfn.XLOOKUP(Ocupacao_DW[[#This Row],[Concat]],Vagas!$H:$H,Vagas!$D:$D,"",0)</f>
        <v/>
      </c>
    </row>
    <row r="5680" spans="1:8" x14ac:dyDescent="0.25">
      <c r="A5680" s="2">
        <v>44635</v>
      </c>
      <c r="B5680" s="1" t="s">
        <v>62</v>
      </c>
      <c r="C5680">
        <v>3502</v>
      </c>
      <c r="D5680" s="1" t="s">
        <v>214</v>
      </c>
      <c r="E5680" s="1" t="s">
        <v>5</v>
      </c>
      <c r="F5680">
        <v>16</v>
      </c>
      <c r="G5680" s="1" t="str">
        <f>Ocupacao_DW[[#This Row],[data]]&amp;Ocupacao_DW[[#This Row],[profissional_id]]&amp;Ocupacao_DW[[#This Row],[local_id]]</f>
        <v>44635350216</v>
      </c>
      <c r="H5680" s="1">
        <f>_xlfn.XLOOKUP(Ocupacao_DW[[#This Row],[Concat]],Vagas!$H:$H,Vagas!$D:$D,"",0)</f>
        <v>0</v>
      </c>
    </row>
    <row r="5681" spans="1:8" x14ac:dyDescent="0.25">
      <c r="A5681" s="2">
        <v>44638</v>
      </c>
      <c r="B5681" s="1" t="s">
        <v>52</v>
      </c>
      <c r="C5681">
        <v>57</v>
      </c>
      <c r="D5681" s="1" t="s">
        <v>169</v>
      </c>
      <c r="E5681" s="1" t="s">
        <v>6</v>
      </c>
      <c r="F5681">
        <v>8</v>
      </c>
      <c r="G5681" s="1" t="str">
        <f>Ocupacao_DW[[#This Row],[data]]&amp;Ocupacao_DW[[#This Row],[profissional_id]]&amp;Ocupacao_DW[[#This Row],[local_id]]</f>
        <v>44638578</v>
      </c>
      <c r="H5681" s="1">
        <f>_xlfn.XLOOKUP(Ocupacao_DW[[#This Row],[Concat]],Vagas!$H:$H,Vagas!$D:$D,"",0)</f>
        <v>0</v>
      </c>
    </row>
    <row r="5682" spans="1:8" x14ac:dyDescent="0.25">
      <c r="A5682" s="2">
        <v>44650</v>
      </c>
      <c r="B5682" s="1" t="s">
        <v>70</v>
      </c>
      <c r="C5682">
        <v>12519</v>
      </c>
      <c r="D5682" s="1" t="s">
        <v>176</v>
      </c>
      <c r="E5682" s="1" t="s">
        <v>4</v>
      </c>
      <c r="F5682">
        <v>48</v>
      </c>
      <c r="G5682" s="1" t="str">
        <f>Ocupacao_DW[[#This Row],[data]]&amp;Ocupacao_DW[[#This Row],[profissional_id]]&amp;Ocupacao_DW[[#This Row],[local_id]]</f>
        <v>446501251948</v>
      </c>
      <c r="H5682" s="1">
        <f>_xlfn.XLOOKUP(Ocupacao_DW[[#This Row],[Concat]],Vagas!$H:$H,Vagas!$D:$D,"",0)</f>
        <v>0</v>
      </c>
    </row>
    <row r="5683" spans="1:8" x14ac:dyDescent="0.25">
      <c r="A5683" s="2">
        <v>44636</v>
      </c>
      <c r="B5683" s="1" t="s">
        <v>51</v>
      </c>
      <c r="C5683">
        <v>7551</v>
      </c>
      <c r="D5683" s="1" t="s">
        <v>246</v>
      </c>
      <c r="E5683" s="1" t="s">
        <v>5</v>
      </c>
      <c r="F5683">
        <v>15</v>
      </c>
      <c r="G5683" s="1" t="str">
        <f>Ocupacao_DW[[#This Row],[data]]&amp;Ocupacao_DW[[#This Row],[profissional_id]]&amp;Ocupacao_DW[[#This Row],[local_id]]</f>
        <v>44636755115</v>
      </c>
      <c r="H5683" s="1">
        <f>_xlfn.XLOOKUP(Ocupacao_DW[[#This Row],[Concat]],Vagas!$H:$H,Vagas!$D:$D,"",0)</f>
        <v>0</v>
      </c>
    </row>
    <row r="5684" spans="1:8" x14ac:dyDescent="0.25">
      <c r="A5684" s="2">
        <v>44642</v>
      </c>
      <c r="B5684" s="1" t="s">
        <v>47</v>
      </c>
      <c r="C5684">
        <v>110</v>
      </c>
      <c r="D5684" s="1" t="s">
        <v>193</v>
      </c>
      <c r="E5684" s="1" t="s">
        <v>4</v>
      </c>
      <c r="F5684">
        <v>334</v>
      </c>
      <c r="G5684" s="1" t="str">
        <f>Ocupacao_DW[[#This Row],[data]]&amp;Ocupacao_DW[[#This Row],[profissional_id]]&amp;Ocupacao_DW[[#This Row],[local_id]]</f>
        <v>44642110334</v>
      </c>
      <c r="H5684" s="1">
        <f>_xlfn.XLOOKUP(Ocupacao_DW[[#This Row],[Concat]],Vagas!$H:$H,Vagas!$D:$D,"",0)</f>
        <v>0</v>
      </c>
    </row>
    <row r="5685" spans="1:8" x14ac:dyDescent="0.25">
      <c r="A5685" s="2">
        <v>44638</v>
      </c>
      <c r="B5685" s="1"/>
      <c r="C5685">
        <v>0</v>
      </c>
      <c r="D5685" s="1"/>
      <c r="E5685" s="1" t="s">
        <v>4</v>
      </c>
      <c r="F5685">
        <v>336</v>
      </c>
      <c r="G5685" s="1" t="str">
        <f>Ocupacao_DW[[#This Row],[data]]&amp;Ocupacao_DW[[#This Row],[profissional_id]]&amp;Ocupacao_DW[[#This Row],[local_id]]</f>
        <v>446380336</v>
      </c>
      <c r="H5685" s="1" t="str">
        <f>_xlfn.XLOOKUP(Ocupacao_DW[[#This Row],[Concat]],Vagas!$H:$H,Vagas!$D:$D,"",0)</f>
        <v/>
      </c>
    </row>
    <row r="5686" spans="1:8" x14ac:dyDescent="0.25">
      <c r="A5686" s="2">
        <v>44635</v>
      </c>
      <c r="B5686" s="1" t="s">
        <v>47</v>
      </c>
      <c r="C5686">
        <v>111</v>
      </c>
      <c r="D5686" s="1" t="s">
        <v>199</v>
      </c>
      <c r="E5686" s="1" t="s">
        <v>4</v>
      </c>
      <c r="F5686">
        <v>51</v>
      </c>
      <c r="G5686" s="1" t="str">
        <f>Ocupacao_DW[[#This Row],[data]]&amp;Ocupacao_DW[[#This Row],[profissional_id]]&amp;Ocupacao_DW[[#This Row],[local_id]]</f>
        <v>4463511151</v>
      </c>
      <c r="H5686" s="1">
        <f>_xlfn.XLOOKUP(Ocupacao_DW[[#This Row],[Concat]],Vagas!$H:$H,Vagas!$D:$D,"",0)</f>
        <v>0</v>
      </c>
    </row>
    <row r="5687" spans="1:8" x14ac:dyDescent="0.25">
      <c r="A5687" s="2">
        <v>44637</v>
      </c>
      <c r="B5687" s="1" t="s">
        <v>62</v>
      </c>
      <c r="C5687">
        <v>3502</v>
      </c>
      <c r="D5687" s="1" t="s">
        <v>214</v>
      </c>
      <c r="E5687" s="1" t="s">
        <v>5</v>
      </c>
      <c r="F5687">
        <v>16</v>
      </c>
      <c r="G5687" s="1" t="str">
        <f>Ocupacao_DW[[#This Row],[data]]&amp;Ocupacao_DW[[#This Row],[profissional_id]]&amp;Ocupacao_DW[[#This Row],[local_id]]</f>
        <v>44637350216</v>
      </c>
      <c r="H5687" s="1">
        <f>_xlfn.XLOOKUP(Ocupacao_DW[[#This Row],[Concat]],Vagas!$H:$H,Vagas!$D:$D,"",0)</f>
        <v>0</v>
      </c>
    </row>
    <row r="5688" spans="1:8" x14ac:dyDescent="0.25">
      <c r="A5688" s="2">
        <v>44643</v>
      </c>
      <c r="B5688" s="1" t="s">
        <v>43</v>
      </c>
      <c r="C5688">
        <v>57</v>
      </c>
      <c r="D5688" s="1" t="s">
        <v>169</v>
      </c>
      <c r="E5688" s="1" t="s">
        <v>6</v>
      </c>
      <c r="F5688">
        <v>4</v>
      </c>
      <c r="G5688" s="1" t="str">
        <f>Ocupacao_DW[[#This Row],[data]]&amp;Ocupacao_DW[[#This Row],[profissional_id]]&amp;Ocupacao_DW[[#This Row],[local_id]]</f>
        <v>44643574</v>
      </c>
      <c r="H5688" s="1">
        <f>_xlfn.XLOOKUP(Ocupacao_DW[[#This Row],[Concat]],Vagas!$H:$H,Vagas!$D:$D,"",0)</f>
        <v>0</v>
      </c>
    </row>
    <row r="5689" spans="1:8" x14ac:dyDescent="0.25">
      <c r="A5689" s="2">
        <v>44641</v>
      </c>
      <c r="B5689" s="1" t="s">
        <v>60</v>
      </c>
      <c r="C5689">
        <v>117</v>
      </c>
      <c r="D5689" s="1" t="s">
        <v>180</v>
      </c>
      <c r="E5689" s="1" t="s">
        <v>4</v>
      </c>
      <c r="F5689">
        <v>48</v>
      </c>
      <c r="G5689" s="1" t="str">
        <f>Ocupacao_DW[[#This Row],[data]]&amp;Ocupacao_DW[[#This Row],[profissional_id]]&amp;Ocupacao_DW[[#This Row],[local_id]]</f>
        <v>4464111748</v>
      </c>
      <c r="H5689" s="1">
        <f>_xlfn.XLOOKUP(Ocupacao_DW[[#This Row],[Concat]],Vagas!$H:$H,Vagas!$D:$D,"",0)</f>
        <v>0</v>
      </c>
    </row>
    <row r="5690" spans="1:8" x14ac:dyDescent="0.25">
      <c r="A5690" s="2">
        <v>44638</v>
      </c>
      <c r="B5690" s="1" t="s">
        <v>69</v>
      </c>
      <c r="C5690">
        <v>13249</v>
      </c>
      <c r="D5690" s="1" t="s">
        <v>178</v>
      </c>
      <c r="E5690" s="1" t="s">
        <v>7</v>
      </c>
      <c r="F5690">
        <v>66</v>
      </c>
      <c r="G5690" s="1" t="str">
        <f>Ocupacao_DW[[#This Row],[data]]&amp;Ocupacao_DW[[#This Row],[profissional_id]]&amp;Ocupacao_DW[[#This Row],[local_id]]</f>
        <v>446381324966</v>
      </c>
      <c r="H5690" s="1">
        <f>_xlfn.XLOOKUP(Ocupacao_DW[[#This Row],[Concat]],Vagas!$H:$H,Vagas!$D:$D,"",0)</f>
        <v>0</v>
      </c>
    </row>
    <row r="5691" spans="1:8" x14ac:dyDescent="0.25">
      <c r="A5691" s="2">
        <v>44636</v>
      </c>
      <c r="B5691" s="1" t="s">
        <v>57</v>
      </c>
      <c r="C5691">
        <v>80</v>
      </c>
      <c r="D5691" s="1" t="s">
        <v>179</v>
      </c>
      <c r="E5691" s="1" t="s">
        <v>167</v>
      </c>
      <c r="F5691">
        <v>346</v>
      </c>
      <c r="G5691" s="1" t="str">
        <f>Ocupacao_DW[[#This Row],[data]]&amp;Ocupacao_DW[[#This Row],[profissional_id]]&amp;Ocupacao_DW[[#This Row],[local_id]]</f>
        <v>4463680346</v>
      </c>
      <c r="H5691" s="1">
        <f>_xlfn.XLOOKUP(Ocupacao_DW[[#This Row],[Concat]],Vagas!$H:$H,Vagas!$D:$D,"",0)</f>
        <v>0</v>
      </c>
    </row>
    <row r="5692" spans="1:8" x14ac:dyDescent="0.25">
      <c r="A5692" s="2">
        <v>44636</v>
      </c>
      <c r="B5692" s="1" t="s">
        <v>60</v>
      </c>
      <c r="C5692">
        <v>14326</v>
      </c>
      <c r="D5692" s="1" t="s">
        <v>220</v>
      </c>
      <c r="E5692" s="1" t="s">
        <v>4</v>
      </c>
      <c r="F5692">
        <v>43</v>
      </c>
      <c r="G5692" s="1" t="str">
        <f>Ocupacao_DW[[#This Row],[data]]&amp;Ocupacao_DW[[#This Row],[profissional_id]]&amp;Ocupacao_DW[[#This Row],[local_id]]</f>
        <v>446361432643</v>
      </c>
      <c r="H5692" s="1">
        <f>_xlfn.XLOOKUP(Ocupacao_DW[[#This Row],[Concat]],Vagas!$H:$H,Vagas!$D:$D,"",0)</f>
        <v>0</v>
      </c>
    </row>
    <row r="5693" spans="1:8" x14ac:dyDescent="0.25">
      <c r="A5693" s="2">
        <v>44636</v>
      </c>
      <c r="B5693" s="1" t="s">
        <v>64</v>
      </c>
      <c r="C5693">
        <v>531</v>
      </c>
      <c r="D5693" s="1" t="s">
        <v>213</v>
      </c>
      <c r="E5693" s="1" t="s">
        <v>5</v>
      </c>
      <c r="F5693">
        <v>12</v>
      </c>
      <c r="G5693" s="1" t="str">
        <f>Ocupacao_DW[[#This Row],[data]]&amp;Ocupacao_DW[[#This Row],[profissional_id]]&amp;Ocupacao_DW[[#This Row],[local_id]]</f>
        <v>4463653112</v>
      </c>
      <c r="H5693" s="1">
        <f>_xlfn.XLOOKUP(Ocupacao_DW[[#This Row],[Concat]],Vagas!$H:$H,Vagas!$D:$D,"",0)</f>
        <v>0</v>
      </c>
    </row>
    <row r="5694" spans="1:8" x14ac:dyDescent="0.25">
      <c r="A5694" s="2">
        <v>44639</v>
      </c>
      <c r="B5694" s="1" t="s">
        <v>47</v>
      </c>
      <c r="C5694">
        <v>111</v>
      </c>
      <c r="D5694" s="1" t="s">
        <v>199</v>
      </c>
      <c r="E5694" s="1" t="s">
        <v>4</v>
      </c>
      <c r="F5694">
        <v>51</v>
      </c>
      <c r="G5694" s="1" t="str">
        <f>Ocupacao_DW[[#This Row],[data]]&amp;Ocupacao_DW[[#This Row],[profissional_id]]&amp;Ocupacao_DW[[#This Row],[local_id]]</f>
        <v>4463911151</v>
      </c>
      <c r="H5694" s="1">
        <f>_xlfn.XLOOKUP(Ocupacao_DW[[#This Row],[Concat]],Vagas!$H:$H,Vagas!$D:$D,"",0)</f>
        <v>0</v>
      </c>
    </row>
    <row r="5695" spans="1:8" x14ac:dyDescent="0.25">
      <c r="A5695" s="2">
        <v>44638</v>
      </c>
      <c r="B5695" s="1" t="s">
        <v>52</v>
      </c>
      <c r="C5695">
        <v>10691</v>
      </c>
      <c r="D5695" s="1" t="s">
        <v>181</v>
      </c>
      <c r="E5695" s="1" t="s">
        <v>200</v>
      </c>
      <c r="F5695">
        <v>78</v>
      </c>
      <c r="G5695" s="1" t="str">
        <f>Ocupacao_DW[[#This Row],[data]]&amp;Ocupacao_DW[[#This Row],[profissional_id]]&amp;Ocupacao_DW[[#This Row],[local_id]]</f>
        <v>446381069178</v>
      </c>
      <c r="H5695" s="1">
        <f>_xlfn.XLOOKUP(Ocupacao_DW[[#This Row],[Concat]],Vagas!$H:$H,Vagas!$D:$D,"",0)</f>
        <v>0</v>
      </c>
    </row>
    <row r="5696" spans="1:8" x14ac:dyDescent="0.25">
      <c r="A5696" s="2">
        <v>44637</v>
      </c>
      <c r="B5696" s="1" t="s">
        <v>64</v>
      </c>
      <c r="C5696">
        <v>85</v>
      </c>
      <c r="D5696" s="1" t="s">
        <v>211</v>
      </c>
      <c r="E5696" s="1" t="s">
        <v>5</v>
      </c>
      <c r="F5696">
        <v>349</v>
      </c>
      <c r="G5696" s="1" t="str">
        <f>Ocupacao_DW[[#This Row],[data]]&amp;Ocupacao_DW[[#This Row],[profissional_id]]&amp;Ocupacao_DW[[#This Row],[local_id]]</f>
        <v>4463785349</v>
      </c>
      <c r="H5696" s="1">
        <f>_xlfn.XLOOKUP(Ocupacao_DW[[#This Row],[Concat]],Vagas!$H:$H,Vagas!$D:$D,"",0)</f>
        <v>0</v>
      </c>
    </row>
    <row r="5697" spans="1:8" x14ac:dyDescent="0.25">
      <c r="A5697" s="2">
        <v>44636</v>
      </c>
      <c r="B5697" s="1" t="s">
        <v>62</v>
      </c>
      <c r="C5697">
        <v>2567</v>
      </c>
      <c r="D5697" s="1" t="s">
        <v>198</v>
      </c>
      <c r="E5697" s="1" t="s">
        <v>5</v>
      </c>
      <c r="F5697">
        <v>349</v>
      </c>
      <c r="G5697" s="1" t="str">
        <f>Ocupacao_DW[[#This Row],[data]]&amp;Ocupacao_DW[[#This Row],[profissional_id]]&amp;Ocupacao_DW[[#This Row],[local_id]]</f>
        <v>446362567349</v>
      </c>
      <c r="H5697" s="1">
        <f>_xlfn.XLOOKUP(Ocupacao_DW[[#This Row],[Concat]],Vagas!$H:$H,Vagas!$D:$D,"",0)</f>
        <v>0</v>
      </c>
    </row>
    <row r="5698" spans="1:8" x14ac:dyDescent="0.25">
      <c r="A5698" s="2">
        <v>44646</v>
      </c>
      <c r="B5698" s="1" t="s">
        <v>55</v>
      </c>
      <c r="C5698">
        <v>17879</v>
      </c>
      <c r="D5698" s="1" t="s">
        <v>233</v>
      </c>
      <c r="E5698" s="1" t="s">
        <v>6</v>
      </c>
      <c r="F5698">
        <v>3</v>
      </c>
      <c r="G5698" s="1" t="str">
        <f>Ocupacao_DW[[#This Row],[data]]&amp;Ocupacao_DW[[#This Row],[profissional_id]]&amp;Ocupacao_DW[[#This Row],[local_id]]</f>
        <v>44646178793</v>
      </c>
      <c r="H5698" s="1">
        <f>_xlfn.XLOOKUP(Ocupacao_DW[[#This Row],[Concat]],Vagas!$H:$H,Vagas!$D:$D,"",0)</f>
        <v>0</v>
      </c>
    </row>
    <row r="5699" spans="1:8" x14ac:dyDescent="0.25">
      <c r="A5699" s="2">
        <v>44649</v>
      </c>
      <c r="B5699" s="1" t="s">
        <v>55</v>
      </c>
      <c r="C5699">
        <v>73</v>
      </c>
      <c r="D5699" s="1" t="s">
        <v>171</v>
      </c>
      <c r="E5699" s="1" t="s">
        <v>6</v>
      </c>
      <c r="F5699">
        <v>5</v>
      </c>
      <c r="G5699" s="1" t="str">
        <f>Ocupacao_DW[[#This Row],[data]]&amp;Ocupacao_DW[[#This Row],[profissional_id]]&amp;Ocupacao_DW[[#This Row],[local_id]]</f>
        <v>44649735</v>
      </c>
      <c r="H5699" s="1">
        <f>_xlfn.XLOOKUP(Ocupacao_DW[[#This Row],[Concat]],Vagas!$H:$H,Vagas!$D:$D,"",0)</f>
        <v>0</v>
      </c>
    </row>
    <row r="5700" spans="1:8" x14ac:dyDescent="0.25">
      <c r="A5700" s="2">
        <v>44636</v>
      </c>
      <c r="B5700" s="1" t="s">
        <v>62</v>
      </c>
      <c r="C5700">
        <v>10799</v>
      </c>
      <c r="D5700" s="1" t="s">
        <v>204</v>
      </c>
      <c r="E5700" s="1" t="s">
        <v>5</v>
      </c>
      <c r="F5700">
        <v>18</v>
      </c>
      <c r="G5700" s="1" t="str">
        <f>Ocupacao_DW[[#This Row],[data]]&amp;Ocupacao_DW[[#This Row],[profissional_id]]&amp;Ocupacao_DW[[#This Row],[local_id]]</f>
        <v>446361079918</v>
      </c>
      <c r="H5700" s="1">
        <f>_xlfn.XLOOKUP(Ocupacao_DW[[#This Row],[Concat]],Vagas!$H:$H,Vagas!$D:$D,"",0)</f>
        <v>0</v>
      </c>
    </row>
    <row r="5701" spans="1:8" x14ac:dyDescent="0.25">
      <c r="A5701" s="2">
        <v>44635</v>
      </c>
      <c r="B5701" s="1" t="s">
        <v>49</v>
      </c>
      <c r="C5701">
        <v>10600</v>
      </c>
      <c r="D5701" s="1" t="s">
        <v>248</v>
      </c>
      <c r="E5701" s="1" t="s">
        <v>200</v>
      </c>
      <c r="F5701">
        <v>86</v>
      </c>
      <c r="G5701" s="1" t="str">
        <f>Ocupacao_DW[[#This Row],[data]]&amp;Ocupacao_DW[[#This Row],[profissional_id]]&amp;Ocupacao_DW[[#This Row],[local_id]]</f>
        <v>446351060086</v>
      </c>
      <c r="H5701" s="1">
        <f>_xlfn.XLOOKUP(Ocupacao_DW[[#This Row],[Concat]],Vagas!$H:$H,Vagas!$D:$D,"",0)</f>
        <v>0</v>
      </c>
    </row>
    <row r="5702" spans="1:8" x14ac:dyDescent="0.25">
      <c r="A5702" s="2">
        <v>44638</v>
      </c>
      <c r="B5702" s="1" t="s">
        <v>52</v>
      </c>
      <c r="C5702">
        <v>55</v>
      </c>
      <c r="D5702" s="1" t="s">
        <v>244</v>
      </c>
      <c r="E5702" s="1" t="s">
        <v>7</v>
      </c>
      <c r="F5702">
        <v>68</v>
      </c>
      <c r="G5702" s="1" t="str">
        <f>Ocupacao_DW[[#This Row],[data]]&amp;Ocupacao_DW[[#This Row],[profissional_id]]&amp;Ocupacao_DW[[#This Row],[local_id]]</f>
        <v>446385568</v>
      </c>
      <c r="H5702" s="1">
        <f>_xlfn.XLOOKUP(Ocupacao_DW[[#This Row],[Concat]],Vagas!$H:$H,Vagas!$D:$D,"",0)</f>
        <v>0</v>
      </c>
    </row>
    <row r="5703" spans="1:8" x14ac:dyDescent="0.25">
      <c r="A5703" s="2">
        <v>44639</v>
      </c>
      <c r="B5703" s="1" t="s">
        <v>62</v>
      </c>
      <c r="C5703">
        <v>4887</v>
      </c>
      <c r="D5703" s="1" t="s">
        <v>168</v>
      </c>
      <c r="E5703" s="1" t="s">
        <v>5</v>
      </c>
      <c r="F5703">
        <v>18</v>
      </c>
      <c r="G5703" s="1" t="str">
        <f>Ocupacao_DW[[#This Row],[data]]&amp;Ocupacao_DW[[#This Row],[profissional_id]]&amp;Ocupacao_DW[[#This Row],[local_id]]</f>
        <v>44639488718</v>
      </c>
      <c r="H5703" s="1">
        <f>_xlfn.XLOOKUP(Ocupacao_DW[[#This Row],[Concat]],Vagas!$H:$H,Vagas!$D:$D,"",0)</f>
        <v>0</v>
      </c>
    </row>
    <row r="5704" spans="1:8" x14ac:dyDescent="0.25">
      <c r="A5704" s="2">
        <v>44635</v>
      </c>
      <c r="B5704" s="1" t="s">
        <v>47</v>
      </c>
      <c r="C5704">
        <v>110</v>
      </c>
      <c r="D5704" s="1" t="s">
        <v>193</v>
      </c>
      <c r="E5704" s="1" t="s">
        <v>4</v>
      </c>
      <c r="F5704">
        <v>334</v>
      </c>
      <c r="G5704" s="1" t="str">
        <f>Ocupacao_DW[[#This Row],[data]]&amp;Ocupacao_DW[[#This Row],[profissional_id]]&amp;Ocupacao_DW[[#This Row],[local_id]]</f>
        <v>44635110334</v>
      </c>
      <c r="H5704" s="1">
        <f>_xlfn.XLOOKUP(Ocupacao_DW[[#This Row],[Concat]],Vagas!$H:$H,Vagas!$D:$D,"",0)</f>
        <v>0</v>
      </c>
    </row>
    <row r="5705" spans="1:8" x14ac:dyDescent="0.25">
      <c r="A5705" s="2">
        <v>44651</v>
      </c>
      <c r="B5705" s="1" t="s">
        <v>55</v>
      </c>
      <c r="C5705">
        <v>8598</v>
      </c>
      <c r="D5705" s="1" t="s">
        <v>228</v>
      </c>
      <c r="E5705" s="1" t="s">
        <v>6</v>
      </c>
      <c r="F5705">
        <v>3</v>
      </c>
      <c r="G5705" s="1" t="str">
        <f>Ocupacao_DW[[#This Row],[data]]&amp;Ocupacao_DW[[#This Row],[profissional_id]]&amp;Ocupacao_DW[[#This Row],[local_id]]</f>
        <v>4465185983</v>
      </c>
      <c r="H5705" s="1">
        <f>_xlfn.XLOOKUP(Ocupacao_DW[[#This Row],[Concat]],Vagas!$H:$H,Vagas!$D:$D,"",0)</f>
        <v>0</v>
      </c>
    </row>
    <row r="5706" spans="1:8" x14ac:dyDescent="0.25">
      <c r="A5706" s="2">
        <v>44635</v>
      </c>
      <c r="B5706" s="1" t="s">
        <v>65</v>
      </c>
      <c r="C5706">
        <v>11652</v>
      </c>
      <c r="D5706" s="1" t="s">
        <v>242</v>
      </c>
      <c r="E5706" s="1" t="s">
        <v>4</v>
      </c>
      <c r="F5706">
        <v>47</v>
      </c>
      <c r="G5706" s="1" t="str">
        <f>Ocupacao_DW[[#This Row],[data]]&amp;Ocupacao_DW[[#This Row],[profissional_id]]&amp;Ocupacao_DW[[#This Row],[local_id]]</f>
        <v>446351165247</v>
      </c>
      <c r="H5706" s="1">
        <f>_xlfn.XLOOKUP(Ocupacao_DW[[#This Row],[Concat]],Vagas!$H:$H,Vagas!$D:$D,"",0)</f>
        <v>0</v>
      </c>
    </row>
    <row r="5707" spans="1:8" x14ac:dyDescent="0.25">
      <c r="A5707" s="2">
        <v>44635</v>
      </c>
      <c r="B5707" s="1" t="s">
        <v>47</v>
      </c>
      <c r="C5707">
        <v>9111</v>
      </c>
      <c r="D5707" s="1" t="s">
        <v>206</v>
      </c>
      <c r="E5707" s="1" t="s">
        <v>4</v>
      </c>
      <c r="F5707">
        <v>335</v>
      </c>
      <c r="G5707" s="1" t="str">
        <f>Ocupacao_DW[[#This Row],[data]]&amp;Ocupacao_DW[[#This Row],[profissional_id]]&amp;Ocupacao_DW[[#This Row],[local_id]]</f>
        <v>446359111335</v>
      </c>
      <c r="H5707" s="1">
        <f>_xlfn.XLOOKUP(Ocupacao_DW[[#This Row],[Concat]],Vagas!$H:$H,Vagas!$D:$D,"",0)</f>
        <v>0</v>
      </c>
    </row>
    <row r="5708" spans="1:8" x14ac:dyDescent="0.25">
      <c r="A5708" s="2">
        <v>44635</v>
      </c>
      <c r="B5708" s="1"/>
      <c r="C5708">
        <v>0</v>
      </c>
      <c r="D5708" s="1"/>
      <c r="E5708" s="1" t="s">
        <v>4</v>
      </c>
      <c r="F5708">
        <v>40</v>
      </c>
      <c r="G5708" s="1" t="str">
        <f>Ocupacao_DW[[#This Row],[data]]&amp;Ocupacao_DW[[#This Row],[profissional_id]]&amp;Ocupacao_DW[[#This Row],[local_id]]</f>
        <v>44635040</v>
      </c>
      <c r="H5708" s="1" t="str">
        <f>_xlfn.XLOOKUP(Ocupacao_DW[[#This Row],[Concat]],Vagas!$H:$H,Vagas!$D:$D,"",0)</f>
        <v/>
      </c>
    </row>
    <row r="5709" spans="1:8" x14ac:dyDescent="0.25">
      <c r="A5709" s="2">
        <v>44636</v>
      </c>
      <c r="B5709" s="1" t="s">
        <v>65</v>
      </c>
      <c r="C5709">
        <v>13058</v>
      </c>
      <c r="D5709" s="1" t="s">
        <v>256</v>
      </c>
      <c r="E5709" s="1" t="s">
        <v>4</v>
      </c>
      <c r="F5709">
        <v>47</v>
      </c>
      <c r="G5709" s="1" t="str">
        <f>Ocupacao_DW[[#This Row],[data]]&amp;Ocupacao_DW[[#This Row],[profissional_id]]&amp;Ocupacao_DW[[#This Row],[local_id]]</f>
        <v>446361305847</v>
      </c>
      <c r="H5709" s="1">
        <f>_xlfn.XLOOKUP(Ocupacao_DW[[#This Row],[Concat]],Vagas!$H:$H,Vagas!$D:$D,"",0)</f>
        <v>0</v>
      </c>
    </row>
    <row r="5710" spans="1:8" x14ac:dyDescent="0.25">
      <c r="A5710" s="2">
        <v>44641</v>
      </c>
      <c r="B5710" s="1" t="s">
        <v>55</v>
      </c>
      <c r="C5710">
        <v>6392</v>
      </c>
      <c r="D5710" s="1" t="s">
        <v>173</v>
      </c>
      <c r="E5710" s="1" t="s">
        <v>6</v>
      </c>
      <c r="F5710">
        <v>5</v>
      </c>
      <c r="G5710" s="1" t="str">
        <f>Ocupacao_DW[[#This Row],[data]]&amp;Ocupacao_DW[[#This Row],[profissional_id]]&amp;Ocupacao_DW[[#This Row],[local_id]]</f>
        <v>4464163925</v>
      </c>
      <c r="H5710" s="1">
        <f>_xlfn.XLOOKUP(Ocupacao_DW[[#This Row],[Concat]],Vagas!$H:$H,Vagas!$D:$D,"",0)</f>
        <v>0</v>
      </c>
    </row>
    <row r="5711" spans="1:8" x14ac:dyDescent="0.25">
      <c r="A5711" s="2">
        <v>44636</v>
      </c>
      <c r="B5711" s="1" t="s">
        <v>24</v>
      </c>
      <c r="C5711">
        <v>13061</v>
      </c>
      <c r="D5711" s="1" t="s">
        <v>232</v>
      </c>
      <c r="E5711" s="1" t="s">
        <v>6</v>
      </c>
      <c r="F5711">
        <v>3</v>
      </c>
      <c r="G5711" s="1" t="str">
        <f>Ocupacao_DW[[#This Row],[data]]&amp;Ocupacao_DW[[#This Row],[profissional_id]]&amp;Ocupacao_DW[[#This Row],[local_id]]</f>
        <v>44636130613</v>
      </c>
      <c r="H5711" s="1">
        <f>_xlfn.XLOOKUP(Ocupacao_DW[[#This Row],[Concat]],Vagas!$H:$H,Vagas!$D:$D,"",0)</f>
        <v>0</v>
      </c>
    </row>
    <row r="5712" spans="1:8" x14ac:dyDescent="0.25">
      <c r="A5712" s="2">
        <v>44644</v>
      </c>
      <c r="B5712" s="1" t="s">
        <v>55</v>
      </c>
      <c r="C5712">
        <v>74</v>
      </c>
      <c r="D5712" s="1" t="s">
        <v>182</v>
      </c>
      <c r="E5712" s="1" t="s">
        <v>6</v>
      </c>
      <c r="F5712">
        <v>7</v>
      </c>
      <c r="G5712" s="1" t="str">
        <f>Ocupacao_DW[[#This Row],[data]]&amp;Ocupacao_DW[[#This Row],[profissional_id]]&amp;Ocupacao_DW[[#This Row],[local_id]]</f>
        <v>44644747</v>
      </c>
      <c r="H5712" s="1">
        <f>_xlfn.XLOOKUP(Ocupacao_DW[[#This Row],[Concat]],Vagas!$H:$H,Vagas!$D:$D,"",0)</f>
        <v>0</v>
      </c>
    </row>
    <row r="5713" spans="1:8" x14ac:dyDescent="0.25">
      <c r="A5713" s="2">
        <v>44637</v>
      </c>
      <c r="B5713" s="1" t="s">
        <v>51</v>
      </c>
      <c r="C5713">
        <v>12582</v>
      </c>
      <c r="D5713" s="1" t="s">
        <v>190</v>
      </c>
      <c r="E5713" s="1" t="s">
        <v>5</v>
      </c>
      <c r="F5713">
        <v>15</v>
      </c>
      <c r="G5713" s="1" t="str">
        <f>Ocupacao_DW[[#This Row],[data]]&amp;Ocupacao_DW[[#This Row],[profissional_id]]&amp;Ocupacao_DW[[#This Row],[local_id]]</f>
        <v>446371258215</v>
      </c>
      <c r="H5713" s="1">
        <f>_xlfn.XLOOKUP(Ocupacao_DW[[#This Row],[Concat]],Vagas!$H:$H,Vagas!$D:$D,"",0)</f>
        <v>0</v>
      </c>
    </row>
    <row r="5714" spans="1:8" x14ac:dyDescent="0.25">
      <c r="A5714" s="2">
        <v>44643</v>
      </c>
      <c r="B5714" s="1" t="s">
        <v>24</v>
      </c>
      <c r="C5714">
        <v>13061</v>
      </c>
      <c r="D5714" s="1" t="s">
        <v>232</v>
      </c>
      <c r="E5714" s="1" t="s">
        <v>6</v>
      </c>
      <c r="F5714">
        <v>3</v>
      </c>
      <c r="G5714" s="1" t="str">
        <f>Ocupacao_DW[[#This Row],[data]]&amp;Ocupacao_DW[[#This Row],[profissional_id]]&amp;Ocupacao_DW[[#This Row],[local_id]]</f>
        <v>44643130613</v>
      </c>
      <c r="H5714" s="1">
        <f>_xlfn.XLOOKUP(Ocupacao_DW[[#This Row],[Concat]],Vagas!$H:$H,Vagas!$D:$D,"",0)</f>
        <v>0</v>
      </c>
    </row>
    <row r="5715" spans="1:8" x14ac:dyDescent="0.25">
      <c r="A5715" s="2">
        <v>44642</v>
      </c>
      <c r="B5715" s="1" t="s">
        <v>70</v>
      </c>
      <c r="C5715">
        <v>14237</v>
      </c>
      <c r="D5715" s="1" t="s">
        <v>186</v>
      </c>
      <c r="E5715" s="1" t="s">
        <v>4</v>
      </c>
      <c r="F5715">
        <v>47</v>
      </c>
      <c r="G5715" s="1" t="str">
        <f>Ocupacao_DW[[#This Row],[data]]&amp;Ocupacao_DW[[#This Row],[profissional_id]]&amp;Ocupacao_DW[[#This Row],[local_id]]</f>
        <v>446421423747</v>
      </c>
      <c r="H5715" s="1">
        <f>_xlfn.XLOOKUP(Ocupacao_DW[[#This Row],[Concat]],Vagas!$H:$H,Vagas!$D:$D,"",0)</f>
        <v>0</v>
      </c>
    </row>
    <row r="5716" spans="1:8" x14ac:dyDescent="0.25">
      <c r="A5716" s="2">
        <v>44643</v>
      </c>
      <c r="B5716" s="1" t="s">
        <v>55</v>
      </c>
      <c r="C5716">
        <v>73</v>
      </c>
      <c r="D5716" s="1" t="s">
        <v>171</v>
      </c>
      <c r="E5716" s="1" t="s">
        <v>6</v>
      </c>
      <c r="F5716">
        <v>5</v>
      </c>
      <c r="G5716" s="1" t="str">
        <f>Ocupacao_DW[[#This Row],[data]]&amp;Ocupacao_DW[[#This Row],[profissional_id]]&amp;Ocupacao_DW[[#This Row],[local_id]]</f>
        <v>44643735</v>
      </c>
      <c r="H5716" s="1">
        <f>_xlfn.XLOOKUP(Ocupacao_DW[[#This Row],[Concat]],Vagas!$H:$H,Vagas!$D:$D,"",0)</f>
        <v>0</v>
      </c>
    </row>
    <row r="5717" spans="1:8" x14ac:dyDescent="0.25">
      <c r="A5717" s="2">
        <v>44643</v>
      </c>
      <c r="B5717" s="1" t="s">
        <v>52</v>
      </c>
      <c r="C5717">
        <v>60</v>
      </c>
      <c r="D5717" s="1" t="s">
        <v>217</v>
      </c>
      <c r="E5717" s="1" t="s">
        <v>167</v>
      </c>
      <c r="F5717">
        <v>346</v>
      </c>
      <c r="G5717" s="1" t="str">
        <f>Ocupacao_DW[[#This Row],[data]]&amp;Ocupacao_DW[[#This Row],[profissional_id]]&amp;Ocupacao_DW[[#This Row],[local_id]]</f>
        <v>4464360346</v>
      </c>
      <c r="H5717" s="1">
        <f>_xlfn.XLOOKUP(Ocupacao_DW[[#This Row],[Concat]],Vagas!$H:$H,Vagas!$D:$D,"",0)</f>
        <v>0</v>
      </c>
    </row>
    <row r="5718" spans="1:8" x14ac:dyDescent="0.25">
      <c r="A5718" s="2">
        <v>44637</v>
      </c>
      <c r="B5718" s="1" t="s">
        <v>47</v>
      </c>
      <c r="C5718">
        <v>11207</v>
      </c>
      <c r="D5718" s="1" t="s">
        <v>251</v>
      </c>
      <c r="E5718" s="1" t="s">
        <v>4</v>
      </c>
      <c r="F5718">
        <v>51</v>
      </c>
      <c r="G5718" s="1" t="str">
        <f>Ocupacao_DW[[#This Row],[data]]&amp;Ocupacao_DW[[#This Row],[profissional_id]]&amp;Ocupacao_DW[[#This Row],[local_id]]</f>
        <v>446371120751</v>
      </c>
      <c r="H5718" s="1">
        <f>_xlfn.XLOOKUP(Ocupacao_DW[[#This Row],[Concat]],Vagas!$H:$H,Vagas!$D:$D,"",0)</f>
        <v>0</v>
      </c>
    </row>
    <row r="5719" spans="1:8" x14ac:dyDescent="0.25">
      <c r="A5719" s="2">
        <v>44637</v>
      </c>
      <c r="B5719" s="1" t="s">
        <v>66</v>
      </c>
      <c r="C5719">
        <v>100</v>
      </c>
      <c r="D5719" s="1" t="s">
        <v>166</v>
      </c>
      <c r="E5719" s="1" t="s">
        <v>167</v>
      </c>
      <c r="F5719">
        <v>342</v>
      </c>
      <c r="G5719" s="1" t="str">
        <f>Ocupacao_DW[[#This Row],[data]]&amp;Ocupacao_DW[[#This Row],[profissional_id]]&amp;Ocupacao_DW[[#This Row],[local_id]]</f>
        <v>44637100342</v>
      </c>
      <c r="H5719" s="1">
        <f>_xlfn.XLOOKUP(Ocupacao_DW[[#This Row],[Concat]],Vagas!$H:$H,Vagas!$D:$D,"",0)</f>
        <v>0</v>
      </c>
    </row>
    <row r="5720" spans="1:8" x14ac:dyDescent="0.25">
      <c r="A5720" s="2">
        <v>44649</v>
      </c>
      <c r="B5720" s="1" t="s">
        <v>50</v>
      </c>
      <c r="C5720">
        <v>4814</v>
      </c>
      <c r="D5720" s="1" t="s">
        <v>189</v>
      </c>
      <c r="E5720" s="1" t="s">
        <v>5</v>
      </c>
      <c r="F5720">
        <v>17</v>
      </c>
      <c r="G5720" s="1" t="str">
        <f>Ocupacao_DW[[#This Row],[data]]&amp;Ocupacao_DW[[#This Row],[profissional_id]]&amp;Ocupacao_DW[[#This Row],[local_id]]</f>
        <v>44649481417</v>
      </c>
      <c r="H5720" s="1">
        <f>_xlfn.XLOOKUP(Ocupacao_DW[[#This Row],[Concat]],Vagas!$H:$H,Vagas!$D:$D,"",0)</f>
        <v>0</v>
      </c>
    </row>
    <row r="5721" spans="1:8" x14ac:dyDescent="0.25">
      <c r="A5721" s="2">
        <v>44646</v>
      </c>
      <c r="B5721" s="1" t="s">
        <v>62</v>
      </c>
      <c r="C5721">
        <v>4887</v>
      </c>
      <c r="D5721" s="1" t="s">
        <v>168</v>
      </c>
      <c r="E5721" s="1" t="s">
        <v>5</v>
      </c>
      <c r="F5721">
        <v>18</v>
      </c>
      <c r="G5721" s="1" t="str">
        <f>Ocupacao_DW[[#This Row],[data]]&amp;Ocupacao_DW[[#This Row],[profissional_id]]&amp;Ocupacao_DW[[#This Row],[local_id]]</f>
        <v>44646488718</v>
      </c>
      <c r="H5721" s="1">
        <f>_xlfn.XLOOKUP(Ocupacao_DW[[#This Row],[Concat]],Vagas!$H:$H,Vagas!$D:$D,"",0)</f>
        <v>0</v>
      </c>
    </row>
    <row r="5722" spans="1:8" x14ac:dyDescent="0.25">
      <c r="A5722" s="2">
        <v>44636</v>
      </c>
      <c r="B5722" s="1" t="s">
        <v>60</v>
      </c>
      <c r="C5722">
        <v>14326</v>
      </c>
      <c r="D5722" s="1" t="s">
        <v>220</v>
      </c>
      <c r="E5722" s="1" t="s">
        <v>4</v>
      </c>
      <c r="F5722">
        <v>43</v>
      </c>
      <c r="G5722" s="1" t="str">
        <f>Ocupacao_DW[[#This Row],[data]]&amp;Ocupacao_DW[[#This Row],[profissional_id]]&amp;Ocupacao_DW[[#This Row],[local_id]]</f>
        <v>446361432643</v>
      </c>
      <c r="H5722" s="1">
        <f>_xlfn.XLOOKUP(Ocupacao_DW[[#This Row],[Concat]],Vagas!$H:$H,Vagas!$D:$D,"",0)</f>
        <v>0</v>
      </c>
    </row>
    <row r="5723" spans="1:8" x14ac:dyDescent="0.25">
      <c r="A5723" s="2">
        <v>44635</v>
      </c>
      <c r="B5723" s="1" t="s">
        <v>62</v>
      </c>
      <c r="C5723">
        <v>3502</v>
      </c>
      <c r="D5723" s="1" t="s">
        <v>214</v>
      </c>
      <c r="E5723" s="1" t="s">
        <v>5</v>
      </c>
      <c r="F5723">
        <v>16</v>
      </c>
      <c r="G5723" s="1" t="str">
        <f>Ocupacao_DW[[#This Row],[data]]&amp;Ocupacao_DW[[#This Row],[profissional_id]]&amp;Ocupacao_DW[[#This Row],[local_id]]</f>
        <v>44635350216</v>
      </c>
      <c r="H5723" s="1">
        <f>_xlfn.XLOOKUP(Ocupacao_DW[[#This Row],[Concat]],Vagas!$H:$H,Vagas!$D:$D,"",0)</f>
        <v>0</v>
      </c>
    </row>
    <row r="5724" spans="1:8" x14ac:dyDescent="0.25">
      <c r="A5724" s="2">
        <v>44635</v>
      </c>
      <c r="B5724" s="1" t="s">
        <v>65</v>
      </c>
      <c r="C5724">
        <v>11652</v>
      </c>
      <c r="D5724" s="1" t="s">
        <v>242</v>
      </c>
      <c r="E5724" s="1" t="s">
        <v>4</v>
      </c>
      <c r="F5724">
        <v>47</v>
      </c>
      <c r="G5724" s="1" t="str">
        <f>Ocupacao_DW[[#This Row],[data]]&amp;Ocupacao_DW[[#This Row],[profissional_id]]&amp;Ocupacao_DW[[#This Row],[local_id]]</f>
        <v>446351165247</v>
      </c>
      <c r="H5724" s="1">
        <f>_xlfn.XLOOKUP(Ocupacao_DW[[#This Row],[Concat]],Vagas!$H:$H,Vagas!$D:$D,"",0)</f>
        <v>0</v>
      </c>
    </row>
    <row r="5725" spans="1:8" x14ac:dyDescent="0.25">
      <c r="A5725" s="2">
        <v>44635</v>
      </c>
      <c r="B5725" s="1" t="s">
        <v>54</v>
      </c>
      <c r="C5725">
        <v>69</v>
      </c>
      <c r="D5725" s="1" t="s">
        <v>238</v>
      </c>
      <c r="E5725" s="1" t="s">
        <v>5</v>
      </c>
      <c r="F5725">
        <v>13</v>
      </c>
      <c r="G5725" s="1" t="str">
        <f>Ocupacao_DW[[#This Row],[data]]&amp;Ocupacao_DW[[#This Row],[profissional_id]]&amp;Ocupacao_DW[[#This Row],[local_id]]</f>
        <v>446356913</v>
      </c>
      <c r="H5725" s="1">
        <f>_xlfn.XLOOKUP(Ocupacao_DW[[#This Row],[Concat]],Vagas!$H:$H,Vagas!$D:$D,"",0)</f>
        <v>0</v>
      </c>
    </row>
    <row r="5726" spans="1:8" x14ac:dyDescent="0.25">
      <c r="A5726" s="2">
        <v>44652</v>
      </c>
      <c r="B5726" s="1" t="s">
        <v>49</v>
      </c>
      <c r="C5726">
        <v>12142</v>
      </c>
      <c r="D5726" s="1" t="s">
        <v>219</v>
      </c>
      <c r="E5726" s="1" t="s">
        <v>4</v>
      </c>
      <c r="F5726">
        <v>44</v>
      </c>
      <c r="G5726" s="1" t="str">
        <f>Ocupacao_DW[[#This Row],[data]]&amp;Ocupacao_DW[[#This Row],[profissional_id]]&amp;Ocupacao_DW[[#This Row],[local_id]]</f>
        <v>446521214244</v>
      </c>
      <c r="H5726" s="1">
        <f>_xlfn.XLOOKUP(Ocupacao_DW[[#This Row],[Concat]],Vagas!$H:$H,Vagas!$D:$D,"",0)</f>
        <v>0</v>
      </c>
    </row>
    <row r="5727" spans="1:8" x14ac:dyDescent="0.25">
      <c r="A5727" s="2">
        <v>44639</v>
      </c>
      <c r="B5727" s="1" t="s">
        <v>47</v>
      </c>
      <c r="C5727">
        <v>111</v>
      </c>
      <c r="D5727" s="1" t="s">
        <v>199</v>
      </c>
      <c r="E5727" s="1" t="s">
        <v>4</v>
      </c>
      <c r="F5727">
        <v>51</v>
      </c>
      <c r="G5727" s="1" t="str">
        <f>Ocupacao_DW[[#This Row],[data]]&amp;Ocupacao_DW[[#This Row],[profissional_id]]&amp;Ocupacao_DW[[#This Row],[local_id]]</f>
        <v>4463911151</v>
      </c>
      <c r="H5727" s="1">
        <f>_xlfn.XLOOKUP(Ocupacao_DW[[#This Row],[Concat]],Vagas!$H:$H,Vagas!$D:$D,"",0)</f>
        <v>0</v>
      </c>
    </row>
    <row r="5728" spans="1:8" x14ac:dyDescent="0.25">
      <c r="A5728" s="2">
        <v>44643</v>
      </c>
      <c r="B5728" s="1" t="s">
        <v>43</v>
      </c>
      <c r="C5728">
        <v>2396</v>
      </c>
      <c r="D5728" s="1" t="s">
        <v>197</v>
      </c>
      <c r="E5728" s="1" t="s">
        <v>6</v>
      </c>
      <c r="F5728">
        <v>2</v>
      </c>
      <c r="G5728" s="1" t="str">
        <f>Ocupacao_DW[[#This Row],[data]]&amp;Ocupacao_DW[[#This Row],[profissional_id]]&amp;Ocupacao_DW[[#This Row],[local_id]]</f>
        <v>4464323962</v>
      </c>
      <c r="H5728" s="1">
        <f>_xlfn.XLOOKUP(Ocupacao_DW[[#This Row],[Concat]],Vagas!$H:$H,Vagas!$D:$D,"",0)</f>
        <v>0</v>
      </c>
    </row>
    <row r="5729" spans="1:8" x14ac:dyDescent="0.25">
      <c r="A5729" s="2">
        <v>44643</v>
      </c>
      <c r="B5729" s="1" t="s">
        <v>49</v>
      </c>
      <c r="C5729">
        <v>10600</v>
      </c>
      <c r="D5729" s="1" t="s">
        <v>248</v>
      </c>
      <c r="E5729" s="1" t="s">
        <v>7</v>
      </c>
      <c r="F5729">
        <v>71</v>
      </c>
      <c r="G5729" s="1" t="str">
        <f>Ocupacao_DW[[#This Row],[data]]&amp;Ocupacao_DW[[#This Row],[profissional_id]]&amp;Ocupacao_DW[[#This Row],[local_id]]</f>
        <v>446431060071</v>
      </c>
      <c r="H5729" s="1">
        <f>_xlfn.XLOOKUP(Ocupacao_DW[[#This Row],[Concat]],Vagas!$H:$H,Vagas!$D:$D,"",0)</f>
        <v>0</v>
      </c>
    </row>
    <row r="5730" spans="1:8" x14ac:dyDescent="0.25">
      <c r="A5730" s="2">
        <v>44636</v>
      </c>
      <c r="B5730" s="1" t="s">
        <v>51</v>
      </c>
      <c r="C5730">
        <v>7551</v>
      </c>
      <c r="D5730" s="1" t="s">
        <v>246</v>
      </c>
      <c r="E5730" s="1" t="s">
        <v>5</v>
      </c>
      <c r="F5730">
        <v>15</v>
      </c>
      <c r="G5730" s="1" t="str">
        <f>Ocupacao_DW[[#This Row],[data]]&amp;Ocupacao_DW[[#This Row],[profissional_id]]&amp;Ocupacao_DW[[#This Row],[local_id]]</f>
        <v>44636755115</v>
      </c>
      <c r="H5730" s="1">
        <f>_xlfn.XLOOKUP(Ocupacao_DW[[#This Row],[Concat]],Vagas!$H:$H,Vagas!$D:$D,"",0)</f>
        <v>0</v>
      </c>
    </row>
    <row r="5731" spans="1:8" x14ac:dyDescent="0.25">
      <c r="A5731" s="2">
        <v>44635</v>
      </c>
      <c r="B5731" s="1" t="s">
        <v>49</v>
      </c>
      <c r="C5731">
        <v>10600</v>
      </c>
      <c r="D5731" s="1" t="s">
        <v>248</v>
      </c>
      <c r="E5731" s="1" t="s">
        <v>200</v>
      </c>
      <c r="F5731">
        <v>86</v>
      </c>
      <c r="G5731" s="1" t="str">
        <f>Ocupacao_DW[[#This Row],[data]]&amp;Ocupacao_DW[[#This Row],[profissional_id]]&amp;Ocupacao_DW[[#This Row],[local_id]]</f>
        <v>446351060086</v>
      </c>
      <c r="H5731" s="1">
        <f>_xlfn.XLOOKUP(Ocupacao_DW[[#This Row],[Concat]],Vagas!$H:$H,Vagas!$D:$D,"",0)</f>
        <v>0</v>
      </c>
    </row>
    <row r="5732" spans="1:8" x14ac:dyDescent="0.25">
      <c r="A5732" s="2">
        <v>44639</v>
      </c>
      <c r="B5732" s="1" t="s">
        <v>64</v>
      </c>
      <c r="C5732">
        <v>531</v>
      </c>
      <c r="D5732" s="1" t="s">
        <v>213</v>
      </c>
      <c r="E5732" s="1" t="s">
        <v>200</v>
      </c>
      <c r="F5732">
        <v>78</v>
      </c>
      <c r="G5732" s="1" t="str">
        <f>Ocupacao_DW[[#This Row],[data]]&amp;Ocupacao_DW[[#This Row],[profissional_id]]&amp;Ocupacao_DW[[#This Row],[local_id]]</f>
        <v>4463953178</v>
      </c>
      <c r="H5732" s="1">
        <f>_xlfn.XLOOKUP(Ocupacao_DW[[#This Row],[Concat]],Vagas!$H:$H,Vagas!$D:$D,"",0)</f>
        <v>0</v>
      </c>
    </row>
    <row r="5733" spans="1:8" x14ac:dyDescent="0.25">
      <c r="A5733" s="2">
        <v>44644</v>
      </c>
      <c r="B5733" s="1" t="s">
        <v>55</v>
      </c>
      <c r="C5733">
        <v>74</v>
      </c>
      <c r="D5733" s="1" t="s">
        <v>182</v>
      </c>
      <c r="E5733" s="1" t="s">
        <v>6</v>
      </c>
      <c r="F5733">
        <v>7</v>
      </c>
      <c r="G5733" s="1" t="str">
        <f>Ocupacao_DW[[#This Row],[data]]&amp;Ocupacao_DW[[#This Row],[profissional_id]]&amp;Ocupacao_DW[[#This Row],[local_id]]</f>
        <v>44644747</v>
      </c>
      <c r="H5733" s="1">
        <f>_xlfn.XLOOKUP(Ocupacao_DW[[#This Row],[Concat]],Vagas!$H:$H,Vagas!$D:$D,"",0)</f>
        <v>0</v>
      </c>
    </row>
    <row r="5734" spans="1:8" x14ac:dyDescent="0.25">
      <c r="A5734" s="2">
        <v>44649</v>
      </c>
      <c r="B5734" s="1" t="s">
        <v>49</v>
      </c>
      <c r="C5734">
        <v>266</v>
      </c>
      <c r="D5734" s="1" t="s">
        <v>201</v>
      </c>
      <c r="E5734" s="1" t="s">
        <v>4</v>
      </c>
      <c r="F5734">
        <v>42</v>
      </c>
      <c r="G5734" s="1" t="str">
        <f>Ocupacao_DW[[#This Row],[data]]&amp;Ocupacao_DW[[#This Row],[profissional_id]]&amp;Ocupacao_DW[[#This Row],[local_id]]</f>
        <v>4464926642</v>
      </c>
      <c r="H5734" s="1">
        <f>_xlfn.XLOOKUP(Ocupacao_DW[[#This Row],[Concat]],Vagas!$H:$H,Vagas!$D:$D,"",0)</f>
        <v>0</v>
      </c>
    </row>
    <row r="5735" spans="1:8" x14ac:dyDescent="0.25">
      <c r="A5735" s="2">
        <v>44636</v>
      </c>
      <c r="B5735" s="1" t="s">
        <v>51</v>
      </c>
      <c r="C5735">
        <v>7551</v>
      </c>
      <c r="D5735" s="1" t="s">
        <v>246</v>
      </c>
      <c r="E5735" s="1" t="s">
        <v>5</v>
      </c>
      <c r="F5735">
        <v>15</v>
      </c>
      <c r="G5735" s="1" t="str">
        <f>Ocupacao_DW[[#This Row],[data]]&amp;Ocupacao_DW[[#This Row],[profissional_id]]&amp;Ocupacao_DW[[#This Row],[local_id]]</f>
        <v>44636755115</v>
      </c>
      <c r="H5735" s="1">
        <f>_xlfn.XLOOKUP(Ocupacao_DW[[#This Row],[Concat]],Vagas!$H:$H,Vagas!$D:$D,"",0)</f>
        <v>0</v>
      </c>
    </row>
    <row r="5736" spans="1:8" x14ac:dyDescent="0.25">
      <c r="A5736" s="2">
        <v>44635</v>
      </c>
      <c r="B5736" s="1" t="s">
        <v>68</v>
      </c>
      <c r="C5736">
        <v>8239</v>
      </c>
      <c r="D5736" s="1" t="s">
        <v>257</v>
      </c>
      <c r="E5736" s="1" t="s">
        <v>5</v>
      </c>
      <c r="F5736">
        <v>14</v>
      </c>
      <c r="G5736" s="1" t="str">
        <f>Ocupacao_DW[[#This Row],[data]]&amp;Ocupacao_DW[[#This Row],[profissional_id]]&amp;Ocupacao_DW[[#This Row],[local_id]]</f>
        <v>44635823914</v>
      </c>
      <c r="H5736" s="1">
        <f>_xlfn.XLOOKUP(Ocupacao_DW[[#This Row],[Concat]],Vagas!$H:$H,Vagas!$D:$D,"",0)</f>
        <v>0</v>
      </c>
    </row>
    <row r="5737" spans="1:8" x14ac:dyDescent="0.25">
      <c r="A5737" s="2">
        <v>44643</v>
      </c>
      <c r="B5737" s="1" t="s">
        <v>60</v>
      </c>
      <c r="C5737">
        <v>14326</v>
      </c>
      <c r="D5737" s="1" t="s">
        <v>220</v>
      </c>
      <c r="E5737" s="1" t="s">
        <v>4</v>
      </c>
      <c r="F5737">
        <v>43</v>
      </c>
      <c r="G5737" s="1" t="str">
        <f>Ocupacao_DW[[#This Row],[data]]&amp;Ocupacao_DW[[#This Row],[profissional_id]]&amp;Ocupacao_DW[[#This Row],[local_id]]</f>
        <v>446431432643</v>
      </c>
      <c r="H5737" s="1">
        <f>_xlfn.XLOOKUP(Ocupacao_DW[[#This Row],[Concat]],Vagas!$H:$H,Vagas!$D:$D,"",0)</f>
        <v>0</v>
      </c>
    </row>
    <row r="5738" spans="1:8" x14ac:dyDescent="0.25">
      <c r="A5738" s="2">
        <v>44635</v>
      </c>
      <c r="B5738" s="1" t="s">
        <v>54</v>
      </c>
      <c r="C5738">
        <v>12623</v>
      </c>
      <c r="D5738" s="1" t="s">
        <v>258</v>
      </c>
      <c r="E5738" s="1" t="s">
        <v>5</v>
      </c>
      <c r="F5738">
        <v>11</v>
      </c>
      <c r="G5738" s="1" t="str">
        <f>Ocupacao_DW[[#This Row],[data]]&amp;Ocupacao_DW[[#This Row],[profissional_id]]&amp;Ocupacao_DW[[#This Row],[local_id]]</f>
        <v>446351262311</v>
      </c>
      <c r="H5738" s="1">
        <f>_xlfn.XLOOKUP(Ocupacao_DW[[#This Row],[Concat]],Vagas!$H:$H,Vagas!$D:$D,"",0)</f>
        <v>0</v>
      </c>
    </row>
    <row r="5739" spans="1:8" x14ac:dyDescent="0.25">
      <c r="A5739" s="2">
        <v>44648</v>
      </c>
      <c r="B5739" s="1" t="s">
        <v>55</v>
      </c>
      <c r="C5739">
        <v>6392</v>
      </c>
      <c r="D5739" s="1" t="s">
        <v>173</v>
      </c>
      <c r="E5739" s="1" t="s">
        <v>6</v>
      </c>
      <c r="F5739">
        <v>5</v>
      </c>
      <c r="G5739" s="1" t="str">
        <f>Ocupacao_DW[[#This Row],[data]]&amp;Ocupacao_DW[[#This Row],[profissional_id]]&amp;Ocupacao_DW[[#This Row],[local_id]]</f>
        <v>4464863925</v>
      </c>
      <c r="H5739" s="1">
        <f>_xlfn.XLOOKUP(Ocupacao_DW[[#This Row],[Concat]],Vagas!$H:$H,Vagas!$D:$D,"",0)</f>
        <v>0</v>
      </c>
    </row>
    <row r="5740" spans="1:8" x14ac:dyDescent="0.25">
      <c r="A5740" s="2">
        <v>44636</v>
      </c>
      <c r="B5740" s="1" t="s">
        <v>70</v>
      </c>
      <c r="C5740">
        <v>12825</v>
      </c>
      <c r="D5740" s="1" t="s">
        <v>177</v>
      </c>
      <c r="E5740" s="1" t="s">
        <v>4</v>
      </c>
      <c r="F5740">
        <v>45</v>
      </c>
      <c r="G5740" s="1" t="str">
        <f>Ocupacao_DW[[#This Row],[data]]&amp;Ocupacao_DW[[#This Row],[profissional_id]]&amp;Ocupacao_DW[[#This Row],[local_id]]</f>
        <v>446361282545</v>
      </c>
      <c r="H5740" s="1">
        <f>_xlfn.XLOOKUP(Ocupacao_DW[[#This Row],[Concat]],Vagas!$H:$H,Vagas!$D:$D,"",0)</f>
        <v>0</v>
      </c>
    </row>
    <row r="5741" spans="1:8" x14ac:dyDescent="0.25">
      <c r="A5741" s="2">
        <v>44650</v>
      </c>
      <c r="B5741" s="1" t="s">
        <v>70</v>
      </c>
      <c r="C5741">
        <v>12825</v>
      </c>
      <c r="D5741" s="1" t="s">
        <v>177</v>
      </c>
      <c r="E5741" s="1" t="s">
        <v>4</v>
      </c>
      <c r="F5741">
        <v>45</v>
      </c>
      <c r="G5741" s="1" t="str">
        <f>Ocupacao_DW[[#This Row],[data]]&amp;Ocupacao_DW[[#This Row],[profissional_id]]&amp;Ocupacao_DW[[#This Row],[local_id]]</f>
        <v>446501282545</v>
      </c>
      <c r="H5741" s="1">
        <f>_xlfn.XLOOKUP(Ocupacao_DW[[#This Row],[Concat]],Vagas!$H:$H,Vagas!$D:$D,"",0)</f>
        <v>0</v>
      </c>
    </row>
    <row r="5742" spans="1:8" x14ac:dyDescent="0.25">
      <c r="A5742" s="2">
        <v>44644</v>
      </c>
      <c r="B5742" s="1" t="s">
        <v>55</v>
      </c>
      <c r="C5742">
        <v>74</v>
      </c>
      <c r="D5742" s="1" t="s">
        <v>182</v>
      </c>
      <c r="E5742" s="1" t="s">
        <v>6</v>
      </c>
      <c r="F5742">
        <v>7</v>
      </c>
      <c r="G5742" s="1" t="str">
        <f>Ocupacao_DW[[#This Row],[data]]&amp;Ocupacao_DW[[#This Row],[profissional_id]]&amp;Ocupacao_DW[[#This Row],[local_id]]</f>
        <v>44644747</v>
      </c>
      <c r="H5742" s="1">
        <f>_xlfn.XLOOKUP(Ocupacao_DW[[#This Row],[Concat]],Vagas!$H:$H,Vagas!$D:$D,"",0)</f>
        <v>0</v>
      </c>
    </row>
    <row r="5743" spans="1:8" x14ac:dyDescent="0.25">
      <c r="A5743" s="2">
        <v>44643</v>
      </c>
      <c r="B5743" s="1" t="s">
        <v>58</v>
      </c>
      <c r="C5743">
        <v>5767</v>
      </c>
      <c r="D5743" s="1" t="s">
        <v>239</v>
      </c>
      <c r="E5743" s="1" t="s">
        <v>4</v>
      </c>
      <c r="F5743">
        <v>44</v>
      </c>
      <c r="G5743" s="1" t="str">
        <f>Ocupacao_DW[[#This Row],[data]]&amp;Ocupacao_DW[[#This Row],[profissional_id]]&amp;Ocupacao_DW[[#This Row],[local_id]]</f>
        <v>44643576744</v>
      </c>
      <c r="H5743" s="1">
        <f>_xlfn.XLOOKUP(Ocupacao_DW[[#This Row],[Concat]],Vagas!$H:$H,Vagas!$D:$D,"",0)</f>
        <v>0</v>
      </c>
    </row>
    <row r="5744" spans="1:8" x14ac:dyDescent="0.25">
      <c r="A5744" s="2">
        <v>44635</v>
      </c>
      <c r="B5744" s="1" t="s">
        <v>49</v>
      </c>
      <c r="C5744">
        <v>266</v>
      </c>
      <c r="D5744" s="1" t="s">
        <v>201</v>
      </c>
      <c r="E5744" s="1" t="s">
        <v>4</v>
      </c>
      <c r="F5744">
        <v>42</v>
      </c>
      <c r="G5744" s="1" t="str">
        <f>Ocupacao_DW[[#This Row],[data]]&amp;Ocupacao_DW[[#This Row],[profissional_id]]&amp;Ocupacao_DW[[#This Row],[local_id]]</f>
        <v>4463526642</v>
      </c>
      <c r="H5744" s="1">
        <f>_xlfn.XLOOKUP(Ocupacao_DW[[#This Row],[Concat]],Vagas!$H:$H,Vagas!$D:$D,"",0)</f>
        <v>0</v>
      </c>
    </row>
    <row r="5745" spans="1:8" x14ac:dyDescent="0.25">
      <c r="A5745" s="2">
        <v>44655</v>
      </c>
      <c r="B5745" s="1" t="s">
        <v>55</v>
      </c>
      <c r="C5745">
        <v>6392</v>
      </c>
      <c r="D5745" s="1" t="s">
        <v>173</v>
      </c>
      <c r="E5745" s="1" t="s">
        <v>6</v>
      </c>
      <c r="F5745">
        <v>5</v>
      </c>
      <c r="G5745" s="1" t="str">
        <f>Ocupacao_DW[[#This Row],[data]]&amp;Ocupacao_DW[[#This Row],[profissional_id]]&amp;Ocupacao_DW[[#This Row],[local_id]]</f>
        <v>4465563925</v>
      </c>
      <c r="H5745" s="1">
        <f>_xlfn.XLOOKUP(Ocupacao_DW[[#This Row],[Concat]],Vagas!$H:$H,Vagas!$D:$D,"",0)</f>
        <v>0</v>
      </c>
    </row>
    <row r="5746" spans="1:8" x14ac:dyDescent="0.25">
      <c r="A5746" s="2">
        <v>44636</v>
      </c>
      <c r="B5746" s="1" t="s">
        <v>51</v>
      </c>
      <c r="C5746">
        <v>17859</v>
      </c>
      <c r="D5746" s="1" t="s">
        <v>212</v>
      </c>
      <c r="E5746" s="1" t="s">
        <v>6</v>
      </c>
      <c r="F5746">
        <v>7</v>
      </c>
      <c r="G5746" s="1" t="str">
        <f>Ocupacao_DW[[#This Row],[data]]&amp;Ocupacao_DW[[#This Row],[profissional_id]]&amp;Ocupacao_DW[[#This Row],[local_id]]</f>
        <v>44636178597</v>
      </c>
      <c r="H5746" s="1">
        <f>_xlfn.XLOOKUP(Ocupacao_DW[[#This Row],[Concat]],Vagas!$H:$H,Vagas!$D:$D,"",0)</f>
        <v>0</v>
      </c>
    </row>
    <row r="5747" spans="1:8" x14ac:dyDescent="0.25">
      <c r="A5747" s="2">
        <v>44641</v>
      </c>
      <c r="B5747" s="1" t="s">
        <v>60</v>
      </c>
      <c r="C5747">
        <v>117</v>
      </c>
      <c r="D5747" s="1" t="s">
        <v>180</v>
      </c>
      <c r="E5747" s="1" t="s">
        <v>4</v>
      </c>
      <c r="F5747">
        <v>48</v>
      </c>
      <c r="G5747" s="1" t="str">
        <f>Ocupacao_DW[[#This Row],[data]]&amp;Ocupacao_DW[[#This Row],[profissional_id]]&amp;Ocupacao_DW[[#This Row],[local_id]]</f>
        <v>4464111748</v>
      </c>
      <c r="H5747" s="1">
        <f>_xlfn.XLOOKUP(Ocupacao_DW[[#This Row],[Concat]],Vagas!$H:$H,Vagas!$D:$D,"",0)</f>
        <v>0</v>
      </c>
    </row>
    <row r="5748" spans="1:8" x14ac:dyDescent="0.25">
      <c r="A5748" s="2">
        <v>44635</v>
      </c>
      <c r="B5748" s="1" t="s">
        <v>50</v>
      </c>
      <c r="C5748">
        <v>4814</v>
      </c>
      <c r="D5748" s="1" t="s">
        <v>189</v>
      </c>
      <c r="E5748" s="1" t="s">
        <v>5</v>
      </c>
      <c r="F5748">
        <v>17</v>
      </c>
      <c r="G5748" s="1" t="str">
        <f>Ocupacao_DW[[#This Row],[data]]&amp;Ocupacao_DW[[#This Row],[profissional_id]]&amp;Ocupacao_DW[[#This Row],[local_id]]</f>
        <v>44635481417</v>
      </c>
      <c r="H5748" s="1">
        <f>_xlfn.XLOOKUP(Ocupacao_DW[[#This Row],[Concat]],Vagas!$H:$H,Vagas!$D:$D,"",0)</f>
        <v>0</v>
      </c>
    </row>
    <row r="5749" spans="1:8" x14ac:dyDescent="0.25">
      <c r="A5749" s="2">
        <v>44644</v>
      </c>
      <c r="B5749" s="1" t="s">
        <v>55</v>
      </c>
      <c r="C5749">
        <v>74</v>
      </c>
      <c r="D5749" s="1" t="s">
        <v>182</v>
      </c>
      <c r="E5749" s="1" t="s">
        <v>6</v>
      </c>
      <c r="F5749">
        <v>7</v>
      </c>
      <c r="G5749" s="1" t="str">
        <f>Ocupacao_DW[[#This Row],[data]]&amp;Ocupacao_DW[[#This Row],[profissional_id]]&amp;Ocupacao_DW[[#This Row],[local_id]]</f>
        <v>44644747</v>
      </c>
      <c r="H5749" s="1">
        <f>_xlfn.XLOOKUP(Ocupacao_DW[[#This Row],[Concat]],Vagas!$H:$H,Vagas!$D:$D,"",0)</f>
        <v>0</v>
      </c>
    </row>
    <row r="5750" spans="1:8" x14ac:dyDescent="0.25">
      <c r="A5750" s="2">
        <v>44638</v>
      </c>
      <c r="B5750" s="1" t="s">
        <v>64</v>
      </c>
      <c r="C5750">
        <v>86</v>
      </c>
      <c r="D5750" s="1" t="s">
        <v>175</v>
      </c>
      <c r="E5750" s="1" t="s">
        <v>5</v>
      </c>
      <c r="F5750">
        <v>349</v>
      </c>
      <c r="G5750" s="1" t="str">
        <f>Ocupacao_DW[[#This Row],[data]]&amp;Ocupacao_DW[[#This Row],[profissional_id]]&amp;Ocupacao_DW[[#This Row],[local_id]]</f>
        <v>4463886349</v>
      </c>
      <c r="H5750" s="1">
        <f>_xlfn.XLOOKUP(Ocupacao_DW[[#This Row],[Concat]],Vagas!$H:$H,Vagas!$D:$D,"",0)</f>
        <v>0</v>
      </c>
    </row>
    <row r="5751" spans="1:8" x14ac:dyDescent="0.25">
      <c r="A5751" s="2">
        <v>44649</v>
      </c>
      <c r="B5751" s="1" t="s">
        <v>55</v>
      </c>
      <c r="C5751">
        <v>73</v>
      </c>
      <c r="D5751" s="1" t="s">
        <v>171</v>
      </c>
      <c r="E5751" s="1" t="s">
        <v>6</v>
      </c>
      <c r="F5751">
        <v>5</v>
      </c>
      <c r="G5751" s="1" t="str">
        <f>Ocupacao_DW[[#This Row],[data]]&amp;Ocupacao_DW[[#This Row],[profissional_id]]&amp;Ocupacao_DW[[#This Row],[local_id]]</f>
        <v>44649735</v>
      </c>
      <c r="H5751" s="1">
        <f>_xlfn.XLOOKUP(Ocupacao_DW[[#This Row],[Concat]],Vagas!$H:$H,Vagas!$D:$D,"",0)</f>
        <v>0</v>
      </c>
    </row>
    <row r="5752" spans="1:8" x14ac:dyDescent="0.25">
      <c r="A5752" s="2">
        <v>44642</v>
      </c>
      <c r="B5752" s="1" t="s">
        <v>49</v>
      </c>
      <c r="C5752">
        <v>266</v>
      </c>
      <c r="D5752" s="1" t="s">
        <v>201</v>
      </c>
      <c r="E5752" s="1" t="s">
        <v>4</v>
      </c>
      <c r="F5752">
        <v>42</v>
      </c>
      <c r="G5752" s="1" t="str">
        <f>Ocupacao_DW[[#This Row],[data]]&amp;Ocupacao_DW[[#This Row],[profissional_id]]&amp;Ocupacao_DW[[#This Row],[local_id]]</f>
        <v>4464226642</v>
      </c>
      <c r="H5752" s="1">
        <f>_xlfn.XLOOKUP(Ocupacao_DW[[#This Row],[Concat]],Vagas!$H:$H,Vagas!$D:$D,"",0)</f>
        <v>0</v>
      </c>
    </row>
    <row r="5753" spans="1:8" x14ac:dyDescent="0.25">
      <c r="A5753" s="2">
        <v>44637</v>
      </c>
      <c r="B5753" s="1" t="s">
        <v>52</v>
      </c>
      <c r="C5753">
        <v>9217</v>
      </c>
      <c r="D5753" s="1" t="s">
        <v>191</v>
      </c>
      <c r="E5753" s="1" t="s">
        <v>6</v>
      </c>
      <c r="F5753">
        <v>7</v>
      </c>
      <c r="G5753" s="1" t="str">
        <f>Ocupacao_DW[[#This Row],[data]]&amp;Ocupacao_DW[[#This Row],[profissional_id]]&amp;Ocupacao_DW[[#This Row],[local_id]]</f>
        <v>4463792177</v>
      </c>
      <c r="H5753" s="1">
        <f>_xlfn.XLOOKUP(Ocupacao_DW[[#This Row],[Concat]],Vagas!$H:$H,Vagas!$D:$D,"",0)</f>
        <v>0</v>
      </c>
    </row>
    <row r="5754" spans="1:8" x14ac:dyDescent="0.25">
      <c r="A5754" s="2">
        <v>44635</v>
      </c>
      <c r="B5754" s="1" t="s">
        <v>47</v>
      </c>
      <c r="C5754">
        <v>110</v>
      </c>
      <c r="D5754" s="1" t="s">
        <v>193</v>
      </c>
      <c r="E5754" s="1" t="s">
        <v>4</v>
      </c>
      <c r="F5754">
        <v>334</v>
      </c>
      <c r="G5754" s="1" t="str">
        <f>Ocupacao_DW[[#This Row],[data]]&amp;Ocupacao_DW[[#This Row],[profissional_id]]&amp;Ocupacao_DW[[#This Row],[local_id]]</f>
        <v>44635110334</v>
      </c>
      <c r="H5754" s="1">
        <f>_xlfn.XLOOKUP(Ocupacao_DW[[#This Row],[Concat]],Vagas!$H:$H,Vagas!$D:$D,"",0)</f>
        <v>0</v>
      </c>
    </row>
    <row r="5755" spans="1:8" x14ac:dyDescent="0.25">
      <c r="A5755" s="2">
        <v>44649</v>
      </c>
      <c r="B5755" s="1" t="s">
        <v>55</v>
      </c>
      <c r="C5755">
        <v>73</v>
      </c>
      <c r="D5755" s="1" t="s">
        <v>171</v>
      </c>
      <c r="E5755" s="1" t="s">
        <v>6</v>
      </c>
      <c r="F5755">
        <v>5</v>
      </c>
      <c r="G5755" s="1" t="str">
        <f>Ocupacao_DW[[#This Row],[data]]&amp;Ocupacao_DW[[#This Row],[profissional_id]]&amp;Ocupacao_DW[[#This Row],[local_id]]</f>
        <v>44649735</v>
      </c>
      <c r="H5755" s="1">
        <f>_xlfn.XLOOKUP(Ocupacao_DW[[#This Row],[Concat]],Vagas!$H:$H,Vagas!$D:$D,"",0)</f>
        <v>0</v>
      </c>
    </row>
    <row r="5756" spans="1:8" x14ac:dyDescent="0.25">
      <c r="A5756" s="2">
        <v>44643</v>
      </c>
      <c r="B5756" s="1" t="s">
        <v>70</v>
      </c>
      <c r="C5756">
        <v>12519</v>
      </c>
      <c r="D5756" s="1" t="s">
        <v>176</v>
      </c>
      <c r="E5756" s="1" t="s">
        <v>4</v>
      </c>
      <c r="F5756">
        <v>48</v>
      </c>
      <c r="G5756" s="1" t="str">
        <f>Ocupacao_DW[[#This Row],[data]]&amp;Ocupacao_DW[[#This Row],[profissional_id]]&amp;Ocupacao_DW[[#This Row],[local_id]]</f>
        <v>446431251948</v>
      </c>
      <c r="H5756" s="1">
        <f>_xlfn.XLOOKUP(Ocupacao_DW[[#This Row],[Concat]],Vagas!$H:$H,Vagas!$D:$D,"",0)</f>
        <v>0</v>
      </c>
    </row>
    <row r="5757" spans="1:8" x14ac:dyDescent="0.25">
      <c r="A5757" s="2">
        <v>44635</v>
      </c>
      <c r="B5757" s="1" t="s">
        <v>50</v>
      </c>
      <c r="C5757">
        <v>4814</v>
      </c>
      <c r="D5757" s="1" t="s">
        <v>189</v>
      </c>
      <c r="E5757" s="1" t="s">
        <v>5</v>
      </c>
      <c r="F5757">
        <v>17</v>
      </c>
      <c r="G5757" s="1" t="str">
        <f>Ocupacao_DW[[#This Row],[data]]&amp;Ocupacao_DW[[#This Row],[profissional_id]]&amp;Ocupacao_DW[[#This Row],[local_id]]</f>
        <v>44635481417</v>
      </c>
      <c r="H5757" s="1">
        <f>_xlfn.XLOOKUP(Ocupacao_DW[[#This Row],[Concat]],Vagas!$H:$H,Vagas!$D:$D,"",0)</f>
        <v>0</v>
      </c>
    </row>
    <row r="5758" spans="1:8" x14ac:dyDescent="0.25">
      <c r="A5758" s="2">
        <v>44637</v>
      </c>
      <c r="B5758" s="1" t="s">
        <v>72</v>
      </c>
      <c r="C5758">
        <v>6046</v>
      </c>
      <c r="D5758" s="1" t="s">
        <v>222</v>
      </c>
      <c r="E5758" s="1" t="s">
        <v>4</v>
      </c>
      <c r="F5758">
        <v>46</v>
      </c>
      <c r="G5758" s="1" t="str">
        <f>Ocupacao_DW[[#This Row],[data]]&amp;Ocupacao_DW[[#This Row],[profissional_id]]&amp;Ocupacao_DW[[#This Row],[local_id]]</f>
        <v>44637604646</v>
      </c>
      <c r="H5758" s="1">
        <f>_xlfn.XLOOKUP(Ocupacao_DW[[#This Row],[Concat]],Vagas!$H:$H,Vagas!$D:$D,"",0)</f>
        <v>0</v>
      </c>
    </row>
    <row r="5759" spans="1:8" x14ac:dyDescent="0.25">
      <c r="A5759" s="2">
        <v>44636</v>
      </c>
      <c r="B5759" s="1" t="s">
        <v>70</v>
      </c>
      <c r="C5759">
        <v>12825</v>
      </c>
      <c r="D5759" s="1" t="s">
        <v>177</v>
      </c>
      <c r="E5759" s="1" t="s">
        <v>4</v>
      </c>
      <c r="F5759">
        <v>45</v>
      </c>
      <c r="G5759" s="1" t="str">
        <f>Ocupacao_DW[[#This Row],[data]]&amp;Ocupacao_DW[[#This Row],[profissional_id]]&amp;Ocupacao_DW[[#This Row],[local_id]]</f>
        <v>446361282545</v>
      </c>
      <c r="H5759" s="1">
        <f>_xlfn.XLOOKUP(Ocupacao_DW[[#This Row],[Concat]],Vagas!$H:$H,Vagas!$D:$D,"",0)</f>
        <v>0</v>
      </c>
    </row>
    <row r="5760" spans="1:8" x14ac:dyDescent="0.25">
      <c r="A5760" s="2">
        <v>44637</v>
      </c>
      <c r="B5760" s="1" t="s">
        <v>54</v>
      </c>
      <c r="C5760">
        <v>69</v>
      </c>
      <c r="D5760" s="1" t="s">
        <v>238</v>
      </c>
      <c r="E5760" s="1" t="s">
        <v>200</v>
      </c>
      <c r="F5760">
        <v>82</v>
      </c>
      <c r="G5760" s="1" t="str">
        <f>Ocupacao_DW[[#This Row],[data]]&amp;Ocupacao_DW[[#This Row],[profissional_id]]&amp;Ocupacao_DW[[#This Row],[local_id]]</f>
        <v>446376982</v>
      </c>
      <c r="H5760" s="1">
        <f>_xlfn.XLOOKUP(Ocupacao_DW[[#This Row],[Concat]],Vagas!$H:$H,Vagas!$D:$D,"",0)</f>
        <v>0</v>
      </c>
    </row>
    <row r="5761" spans="1:8" x14ac:dyDescent="0.25">
      <c r="A5761" s="2">
        <v>44636</v>
      </c>
      <c r="B5761" s="1" t="s">
        <v>72</v>
      </c>
      <c r="C5761">
        <v>6046</v>
      </c>
      <c r="D5761" s="1" t="s">
        <v>222</v>
      </c>
      <c r="E5761" s="1" t="s">
        <v>167</v>
      </c>
      <c r="F5761">
        <v>344</v>
      </c>
      <c r="G5761" s="1" t="str">
        <f>Ocupacao_DW[[#This Row],[data]]&amp;Ocupacao_DW[[#This Row],[profissional_id]]&amp;Ocupacao_DW[[#This Row],[local_id]]</f>
        <v>446366046344</v>
      </c>
      <c r="H5761" s="1">
        <f>_xlfn.XLOOKUP(Ocupacao_DW[[#This Row],[Concat]],Vagas!$H:$H,Vagas!$D:$D,"",0)</f>
        <v>0</v>
      </c>
    </row>
    <row r="5762" spans="1:8" x14ac:dyDescent="0.25">
      <c r="A5762" s="2">
        <v>44636</v>
      </c>
      <c r="B5762" s="1" t="s">
        <v>43</v>
      </c>
      <c r="C5762">
        <v>2396</v>
      </c>
      <c r="D5762" s="1" t="s">
        <v>197</v>
      </c>
      <c r="E5762" s="1" t="s">
        <v>6</v>
      </c>
      <c r="F5762">
        <v>2</v>
      </c>
      <c r="G5762" s="1" t="str">
        <f>Ocupacao_DW[[#This Row],[data]]&amp;Ocupacao_DW[[#This Row],[profissional_id]]&amp;Ocupacao_DW[[#This Row],[local_id]]</f>
        <v>4463623962</v>
      </c>
      <c r="H5762" s="1">
        <f>_xlfn.XLOOKUP(Ocupacao_DW[[#This Row],[Concat]],Vagas!$H:$H,Vagas!$D:$D,"",0)</f>
        <v>0</v>
      </c>
    </row>
    <row r="5763" spans="1:8" x14ac:dyDescent="0.25">
      <c r="A5763" s="2">
        <v>44651</v>
      </c>
      <c r="B5763" s="1" t="s">
        <v>55</v>
      </c>
      <c r="C5763">
        <v>8598</v>
      </c>
      <c r="D5763" s="1" t="s">
        <v>228</v>
      </c>
      <c r="E5763" s="1" t="s">
        <v>6</v>
      </c>
      <c r="F5763">
        <v>3</v>
      </c>
      <c r="G5763" s="1" t="str">
        <f>Ocupacao_DW[[#This Row],[data]]&amp;Ocupacao_DW[[#This Row],[profissional_id]]&amp;Ocupacao_DW[[#This Row],[local_id]]</f>
        <v>4465185983</v>
      </c>
      <c r="H5763" s="1">
        <f>_xlfn.XLOOKUP(Ocupacao_DW[[#This Row],[Concat]],Vagas!$H:$H,Vagas!$D:$D,"",0)</f>
        <v>0</v>
      </c>
    </row>
    <row r="5764" spans="1:8" x14ac:dyDescent="0.25">
      <c r="A5764" s="2">
        <v>44650</v>
      </c>
      <c r="B5764" s="1" t="s">
        <v>70</v>
      </c>
      <c r="C5764">
        <v>12519</v>
      </c>
      <c r="D5764" s="1" t="s">
        <v>176</v>
      </c>
      <c r="E5764" s="1" t="s">
        <v>4</v>
      </c>
      <c r="F5764">
        <v>48</v>
      </c>
      <c r="G5764" s="1" t="str">
        <f>Ocupacao_DW[[#This Row],[data]]&amp;Ocupacao_DW[[#This Row],[profissional_id]]&amp;Ocupacao_DW[[#This Row],[local_id]]</f>
        <v>446501251948</v>
      </c>
      <c r="H5764" s="1">
        <f>_xlfn.XLOOKUP(Ocupacao_DW[[#This Row],[Concat]],Vagas!$H:$H,Vagas!$D:$D,"",0)</f>
        <v>0</v>
      </c>
    </row>
    <row r="5765" spans="1:8" x14ac:dyDescent="0.25">
      <c r="A5765" s="2">
        <v>44646</v>
      </c>
      <c r="B5765" s="1" t="s">
        <v>62</v>
      </c>
      <c r="C5765">
        <v>4887</v>
      </c>
      <c r="D5765" s="1" t="s">
        <v>168</v>
      </c>
      <c r="E5765" s="1" t="s">
        <v>5</v>
      </c>
      <c r="F5765">
        <v>18</v>
      </c>
      <c r="G5765" s="1" t="str">
        <f>Ocupacao_DW[[#This Row],[data]]&amp;Ocupacao_DW[[#This Row],[profissional_id]]&amp;Ocupacao_DW[[#This Row],[local_id]]</f>
        <v>44646488718</v>
      </c>
      <c r="H5765" s="1">
        <f>_xlfn.XLOOKUP(Ocupacao_DW[[#This Row],[Concat]],Vagas!$H:$H,Vagas!$D:$D,"",0)</f>
        <v>0</v>
      </c>
    </row>
    <row r="5766" spans="1:8" x14ac:dyDescent="0.25">
      <c r="A5766" s="2">
        <v>44635</v>
      </c>
      <c r="B5766" s="1" t="s">
        <v>52</v>
      </c>
      <c r="C5766">
        <v>60</v>
      </c>
      <c r="D5766" s="1" t="s">
        <v>217</v>
      </c>
      <c r="E5766" s="1" t="s">
        <v>167</v>
      </c>
      <c r="F5766">
        <v>345</v>
      </c>
      <c r="G5766" s="1" t="str">
        <f>Ocupacao_DW[[#This Row],[data]]&amp;Ocupacao_DW[[#This Row],[profissional_id]]&amp;Ocupacao_DW[[#This Row],[local_id]]</f>
        <v>4463560345</v>
      </c>
      <c r="H5766" s="1">
        <f>_xlfn.XLOOKUP(Ocupacao_DW[[#This Row],[Concat]],Vagas!$H:$H,Vagas!$D:$D,"",0)</f>
        <v>0</v>
      </c>
    </row>
    <row r="5767" spans="1:8" x14ac:dyDescent="0.25">
      <c r="A5767" s="2">
        <v>44648</v>
      </c>
      <c r="B5767" s="1" t="s">
        <v>52</v>
      </c>
      <c r="C5767">
        <v>10691</v>
      </c>
      <c r="D5767" s="1" t="s">
        <v>181</v>
      </c>
      <c r="E5767" s="1" t="s">
        <v>6</v>
      </c>
      <c r="F5767">
        <v>9</v>
      </c>
      <c r="G5767" s="1" t="str">
        <f>Ocupacao_DW[[#This Row],[data]]&amp;Ocupacao_DW[[#This Row],[profissional_id]]&amp;Ocupacao_DW[[#This Row],[local_id]]</f>
        <v>44648106919</v>
      </c>
      <c r="H5767" s="1">
        <f>_xlfn.XLOOKUP(Ocupacao_DW[[#This Row],[Concat]],Vagas!$H:$H,Vagas!$D:$D,"",0)</f>
        <v>0</v>
      </c>
    </row>
    <row r="5768" spans="1:8" x14ac:dyDescent="0.25">
      <c r="A5768" s="2">
        <v>44650</v>
      </c>
      <c r="B5768" s="1" t="s">
        <v>55</v>
      </c>
      <c r="C5768">
        <v>73</v>
      </c>
      <c r="D5768" s="1" t="s">
        <v>171</v>
      </c>
      <c r="E5768" s="1" t="s">
        <v>6</v>
      </c>
      <c r="F5768">
        <v>5</v>
      </c>
      <c r="G5768" s="1" t="str">
        <f>Ocupacao_DW[[#This Row],[data]]&amp;Ocupacao_DW[[#This Row],[profissional_id]]&amp;Ocupacao_DW[[#This Row],[local_id]]</f>
        <v>44650735</v>
      </c>
      <c r="H5768" s="1">
        <f>_xlfn.XLOOKUP(Ocupacao_DW[[#This Row],[Concat]],Vagas!$H:$H,Vagas!$D:$D,"",0)</f>
        <v>0</v>
      </c>
    </row>
    <row r="5769" spans="1:8" x14ac:dyDescent="0.25">
      <c r="A5769" s="2">
        <v>44636</v>
      </c>
      <c r="B5769" s="1" t="s">
        <v>49</v>
      </c>
      <c r="C5769">
        <v>6430</v>
      </c>
      <c r="D5769" s="1" t="s">
        <v>188</v>
      </c>
      <c r="E5769" s="1" t="s">
        <v>4</v>
      </c>
      <c r="F5769">
        <v>42</v>
      </c>
      <c r="G5769" s="1" t="str">
        <f>Ocupacao_DW[[#This Row],[data]]&amp;Ocupacao_DW[[#This Row],[profissional_id]]&amp;Ocupacao_DW[[#This Row],[local_id]]</f>
        <v>44636643042</v>
      </c>
      <c r="H5769" s="1">
        <f>_xlfn.XLOOKUP(Ocupacao_DW[[#This Row],[Concat]],Vagas!$H:$H,Vagas!$D:$D,"",0)</f>
        <v>0</v>
      </c>
    </row>
    <row r="5770" spans="1:8" x14ac:dyDescent="0.25">
      <c r="A5770" s="2">
        <v>44635</v>
      </c>
      <c r="B5770" s="1" t="s">
        <v>65</v>
      </c>
      <c r="C5770">
        <v>11652</v>
      </c>
      <c r="D5770" s="1" t="s">
        <v>242</v>
      </c>
      <c r="E5770" s="1" t="s">
        <v>4</v>
      </c>
      <c r="F5770">
        <v>47</v>
      </c>
      <c r="G5770" s="1" t="str">
        <f>Ocupacao_DW[[#This Row],[data]]&amp;Ocupacao_DW[[#This Row],[profissional_id]]&amp;Ocupacao_DW[[#This Row],[local_id]]</f>
        <v>446351165247</v>
      </c>
      <c r="H5770" s="1">
        <f>_xlfn.XLOOKUP(Ocupacao_DW[[#This Row],[Concat]],Vagas!$H:$H,Vagas!$D:$D,"",0)</f>
        <v>0</v>
      </c>
    </row>
    <row r="5771" spans="1:8" x14ac:dyDescent="0.25">
      <c r="A5771" s="2">
        <v>44639</v>
      </c>
      <c r="B5771" s="1" t="s">
        <v>47</v>
      </c>
      <c r="C5771">
        <v>111</v>
      </c>
      <c r="D5771" s="1" t="s">
        <v>199</v>
      </c>
      <c r="E5771" s="1" t="s">
        <v>4</v>
      </c>
      <c r="F5771">
        <v>51</v>
      </c>
      <c r="G5771" s="1" t="str">
        <f>Ocupacao_DW[[#This Row],[data]]&amp;Ocupacao_DW[[#This Row],[profissional_id]]&amp;Ocupacao_DW[[#This Row],[local_id]]</f>
        <v>4463911151</v>
      </c>
      <c r="H5771" s="1">
        <f>_xlfn.XLOOKUP(Ocupacao_DW[[#This Row],[Concat]],Vagas!$H:$H,Vagas!$D:$D,"",0)</f>
        <v>0</v>
      </c>
    </row>
    <row r="5772" spans="1:8" x14ac:dyDescent="0.25">
      <c r="A5772" s="2">
        <v>44641</v>
      </c>
      <c r="B5772" s="1" t="s">
        <v>55</v>
      </c>
      <c r="C5772">
        <v>12669</v>
      </c>
      <c r="D5772" s="1" t="s">
        <v>223</v>
      </c>
      <c r="E5772" s="1" t="s">
        <v>6</v>
      </c>
      <c r="F5772">
        <v>6</v>
      </c>
      <c r="G5772" s="1" t="str">
        <f>Ocupacao_DW[[#This Row],[data]]&amp;Ocupacao_DW[[#This Row],[profissional_id]]&amp;Ocupacao_DW[[#This Row],[local_id]]</f>
        <v>44641126696</v>
      </c>
      <c r="H5772" s="1">
        <f>_xlfn.XLOOKUP(Ocupacao_DW[[#This Row],[Concat]],Vagas!$H:$H,Vagas!$D:$D,"",0)</f>
        <v>0</v>
      </c>
    </row>
    <row r="5773" spans="1:8" x14ac:dyDescent="0.25">
      <c r="A5773" s="2">
        <v>44644</v>
      </c>
      <c r="B5773" s="1" t="s">
        <v>55</v>
      </c>
      <c r="C5773">
        <v>74</v>
      </c>
      <c r="D5773" s="1" t="s">
        <v>182</v>
      </c>
      <c r="E5773" s="1" t="s">
        <v>6</v>
      </c>
      <c r="F5773">
        <v>7</v>
      </c>
      <c r="G5773" s="1" t="str">
        <f>Ocupacao_DW[[#This Row],[data]]&amp;Ocupacao_DW[[#This Row],[profissional_id]]&amp;Ocupacao_DW[[#This Row],[local_id]]</f>
        <v>44644747</v>
      </c>
      <c r="H5773" s="1">
        <f>_xlfn.XLOOKUP(Ocupacao_DW[[#This Row],[Concat]],Vagas!$H:$H,Vagas!$D:$D,"",0)</f>
        <v>0</v>
      </c>
    </row>
    <row r="5774" spans="1:8" x14ac:dyDescent="0.25">
      <c r="A5774" s="2">
        <v>44635</v>
      </c>
      <c r="B5774" s="1" t="s">
        <v>68</v>
      </c>
      <c r="C5774">
        <v>8239</v>
      </c>
      <c r="D5774" s="1" t="s">
        <v>257</v>
      </c>
      <c r="E5774" s="1" t="s">
        <v>5</v>
      </c>
      <c r="F5774">
        <v>14</v>
      </c>
      <c r="G5774" s="1" t="str">
        <f>Ocupacao_DW[[#This Row],[data]]&amp;Ocupacao_DW[[#This Row],[profissional_id]]&amp;Ocupacao_DW[[#This Row],[local_id]]</f>
        <v>44635823914</v>
      </c>
      <c r="H5774" s="1">
        <f>_xlfn.XLOOKUP(Ocupacao_DW[[#This Row],[Concat]],Vagas!$H:$H,Vagas!$D:$D,"",0)</f>
        <v>0</v>
      </c>
    </row>
    <row r="5775" spans="1:8" x14ac:dyDescent="0.25">
      <c r="A5775" s="2">
        <v>44639</v>
      </c>
      <c r="B5775" s="1" t="s">
        <v>47</v>
      </c>
      <c r="C5775">
        <v>111</v>
      </c>
      <c r="D5775" s="1" t="s">
        <v>199</v>
      </c>
      <c r="E5775" s="1" t="s">
        <v>4</v>
      </c>
      <c r="F5775">
        <v>51</v>
      </c>
      <c r="G5775" s="1" t="str">
        <f>Ocupacao_DW[[#This Row],[data]]&amp;Ocupacao_DW[[#This Row],[profissional_id]]&amp;Ocupacao_DW[[#This Row],[local_id]]</f>
        <v>4463911151</v>
      </c>
      <c r="H5775" s="1">
        <f>_xlfn.XLOOKUP(Ocupacao_DW[[#This Row],[Concat]],Vagas!$H:$H,Vagas!$D:$D,"",0)</f>
        <v>0</v>
      </c>
    </row>
    <row r="5776" spans="1:8" x14ac:dyDescent="0.25">
      <c r="A5776" s="2">
        <v>44635</v>
      </c>
      <c r="B5776" s="1" t="s">
        <v>54</v>
      </c>
      <c r="C5776">
        <v>69</v>
      </c>
      <c r="D5776" s="1" t="s">
        <v>238</v>
      </c>
      <c r="E5776" s="1" t="s">
        <v>5</v>
      </c>
      <c r="F5776">
        <v>13</v>
      </c>
      <c r="G5776" s="1" t="str">
        <f>Ocupacao_DW[[#This Row],[data]]&amp;Ocupacao_DW[[#This Row],[profissional_id]]&amp;Ocupacao_DW[[#This Row],[local_id]]</f>
        <v>446356913</v>
      </c>
      <c r="H5776" s="1">
        <f>_xlfn.XLOOKUP(Ocupacao_DW[[#This Row],[Concat]],Vagas!$H:$H,Vagas!$D:$D,"",0)</f>
        <v>0</v>
      </c>
    </row>
    <row r="5777" spans="1:8" x14ac:dyDescent="0.25">
      <c r="A5777" s="2">
        <v>44636</v>
      </c>
      <c r="B5777" s="1" t="s">
        <v>52</v>
      </c>
      <c r="C5777">
        <v>10691</v>
      </c>
      <c r="D5777" s="1" t="s">
        <v>181</v>
      </c>
      <c r="E5777" s="1" t="s">
        <v>6</v>
      </c>
      <c r="F5777">
        <v>9</v>
      </c>
      <c r="G5777" s="1" t="str">
        <f>Ocupacao_DW[[#This Row],[data]]&amp;Ocupacao_DW[[#This Row],[profissional_id]]&amp;Ocupacao_DW[[#This Row],[local_id]]</f>
        <v>44636106919</v>
      </c>
      <c r="H5777" s="1">
        <f>_xlfn.XLOOKUP(Ocupacao_DW[[#This Row],[Concat]],Vagas!$H:$H,Vagas!$D:$D,"",0)</f>
        <v>0</v>
      </c>
    </row>
    <row r="5778" spans="1:8" x14ac:dyDescent="0.25">
      <c r="A5778" s="2">
        <v>44635</v>
      </c>
      <c r="B5778" s="1" t="s">
        <v>62</v>
      </c>
      <c r="C5778">
        <v>3502</v>
      </c>
      <c r="D5778" s="1" t="s">
        <v>214</v>
      </c>
      <c r="E5778" s="1" t="s">
        <v>5</v>
      </c>
      <c r="F5778">
        <v>16</v>
      </c>
      <c r="G5778" s="1" t="str">
        <f>Ocupacao_DW[[#This Row],[data]]&amp;Ocupacao_DW[[#This Row],[profissional_id]]&amp;Ocupacao_DW[[#This Row],[local_id]]</f>
        <v>44635350216</v>
      </c>
      <c r="H5778" s="1">
        <f>_xlfn.XLOOKUP(Ocupacao_DW[[#This Row],[Concat]],Vagas!$H:$H,Vagas!$D:$D,"",0)</f>
        <v>0</v>
      </c>
    </row>
    <row r="5779" spans="1:8" x14ac:dyDescent="0.25">
      <c r="A5779" s="2">
        <v>44636</v>
      </c>
      <c r="B5779" s="1" t="s">
        <v>62</v>
      </c>
      <c r="C5779">
        <v>3502</v>
      </c>
      <c r="D5779" s="1" t="s">
        <v>214</v>
      </c>
      <c r="E5779" s="1" t="s">
        <v>5</v>
      </c>
      <c r="F5779">
        <v>16</v>
      </c>
      <c r="G5779" s="1" t="str">
        <f>Ocupacao_DW[[#This Row],[data]]&amp;Ocupacao_DW[[#This Row],[profissional_id]]&amp;Ocupacao_DW[[#This Row],[local_id]]</f>
        <v>44636350216</v>
      </c>
      <c r="H5779" s="1">
        <f>_xlfn.XLOOKUP(Ocupacao_DW[[#This Row],[Concat]],Vagas!$H:$H,Vagas!$D:$D,"",0)</f>
        <v>0</v>
      </c>
    </row>
    <row r="5780" spans="1:8" x14ac:dyDescent="0.25">
      <c r="A5780" s="2">
        <v>44638</v>
      </c>
      <c r="B5780" s="1" t="s">
        <v>52</v>
      </c>
      <c r="C5780">
        <v>57</v>
      </c>
      <c r="D5780" s="1" t="s">
        <v>169</v>
      </c>
      <c r="E5780" s="1" t="s">
        <v>6</v>
      </c>
      <c r="F5780">
        <v>8</v>
      </c>
      <c r="G5780" s="1" t="str">
        <f>Ocupacao_DW[[#This Row],[data]]&amp;Ocupacao_DW[[#This Row],[profissional_id]]&amp;Ocupacao_DW[[#This Row],[local_id]]</f>
        <v>44638578</v>
      </c>
      <c r="H5780" s="1">
        <f>_xlfn.XLOOKUP(Ocupacao_DW[[#This Row],[Concat]],Vagas!$H:$H,Vagas!$D:$D,"",0)</f>
        <v>0</v>
      </c>
    </row>
    <row r="5781" spans="1:8" x14ac:dyDescent="0.25">
      <c r="A5781" s="2">
        <v>44641</v>
      </c>
      <c r="B5781" s="1" t="s">
        <v>54</v>
      </c>
      <c r="C5781">
        <v>10941</v>
      </c>
      <c r="D5781" s="1" t="s">
        <v>224</v>
      </c>
      <c r="E5781" s="1" t="s">
        <v>7</v>
      </c>
      <c r="F5781">
        <v>67</v>
      </c>
      <c r="G5781" s="1" t="str">
        <f>Ocupacao_DW[[#This Row],[data]]&amp;Ocupacao_DW[[#This Row],[profissional_id]]&amp;Ocupacao_DW[[#This Row],[local_id]]</f>
        <v>446411094167</v>
      </c>
      <c r="H5781" s="1">
        <f>_xlfn.XLOOKUP(Ocupacao_DW[[#This Row],[Concat]],Vagas!$H:$H,Vagas!$D:$D,"",0)</f>
        <v>0</v>
      </c>
    </row>
    <row r="5782" spans="1:8" x14ac:dyDescent="0.25">
      <c r="A5782" s="2">
        <v>44635</v>
      </c>
      <c r="B5782" s="1" t="s">
        <v>54</v>
      </c>
      <c r="C5782">
        <v>10941</v>
      </c>
      <c r="D5782" s="1" t="s">
        <v>224</v>
      </c>
      <c r="E5782" s="1" t="s">
        <v>5</v>
      </c>
      <c r="F5782">
        <v>11</v>
      </c>
      <c r="G5782" s="1" t="str">
        <f>Ocupacao_DW[[#This Row],[data]]&amp;Ocupacao_DW[[#This Row],[profissional_id]]&amp;Ocupacao_DW[[#This Row],[local_id]]</f>
        <v>446351094111</v>
      </c>
      <c r="H5782" s="1">
        <f>_xlfn.XLOOKUP(Ocupacao_DW[[#This Row],[Concat]],Vagas!$H:$H,Vagas!$D:$D,"",0)</f>
        <v>16</v>
      </c>
    </row>
    <row r="5783" spans="1:8" x14ac:dyDescent="0.25">
      <c r="A5783" s="2">
        <v>44648</v>
      </c>
      <c r="B5783" s="1" t="s">
        <v>55</v>
      </c>
      <c r="C5783">
        <v>6392</v>
      </c>
      <c r="D5783" s="1" t="s">
        <v>173</v>
      </c>
      <c r="E5783" s="1" t="s">
        <v>6</v>
      </c>
      <c r="F5783">
        <v>5</v>
      </c>
      <c r="G5783" s="1" t="str">
        <f>Ocupacao_DW[[#This Row],[data]]&amp;Ocupacao_DW[[#This Row],[profissional_id]]&amp;Ocupacao_DW[[#This Row],[local_id]]</f>
        <v>4464863925</v>
      </c>
      <c r="H5783" s="1">
        <f>_xlfn.XLOOKUP(Ocupacao_DW[[#This Row],[Concat]],Vagas!$H:$H,Vagas!$D:$D,"",0)</f>
        <v>0</v>
      </c>
    </row>
    <row r="5784" spans="1:8" x14ac:dyDescent="0.25">
      <c r="A5784" s="2">
        <v>44644</v>
      </c>
      <c r="B5784" s="1" t="s">
        <v>55</v>
      </c>
      <c r="C5784">
        <v>74</v>
      </c>
      <c r="D5784" s="1" t="s">
        <v>182</v>
      </c>
      <c r="E5784" s="1" t="s">
        <v>6</v>
      </c>
      <c r="F5784">
        <v>7</v>
      </c>
      <c r="G5784" s="1" t="str">
        <f>Ocupacao_DW[[#This Row],[data]]&amp;Ocupacao_DW[[#This Row],[profissional_id]]&amp;Ocupacao_DW[[#This Row],[local_id]]</f>
        <v>44644747</v>
      </c>
      <c r="H5784" s="1">
        <f>_xlfn.XLOOKUP(Ocupacao_DW[[#This Row],[Concat]],Vagas!$H:$H,Vagas!$D:$D,"",0)</f>
        <v>0</v>
      </c>
    </row>
    <row r="5785" spans="1:8" x14ac:dyDescent="0.25">
      <c r="A5785" s="2">
        <v>44638</v>
      </c>
      <c r="B5785" s="1" t="s">
        <v>52</v>
      </c>
      <c r="C5785">
        <v>57</v>
      </c>
      <c r="D5785" s="1" t="s">
        <v>169</v>
      </c>
      <c r="E5785" s="1" t="s">
        <v>6</v>
      </c>
      <c r="F5785">
        <v>8</v>
      </c>
      <c r="G5785" s="1" t="str">
        <f>Ocupacao_DW[[#This Row],[data]]&amp;Ocupacao_DW[[#This Row],[profissional_id]]&amp;Ocupacao_DW[[#This Row],[local_id]]</f>
        <v>44638578</v>
      </c>
      <c r="H5785" s="1">
        <f>_xlfn.XLOOKUP(Ocupacao_DW[[#This Row],[Concat]],Vagas!$H:$H,Vagas!$D:$D,"",0)</f>
        <v>0</v>
      </c>
    </row>
    <row r="5786" spans="1:8" x14ac:dyDescent="0.25">
      <c r="A5786" s="2">
        <v>44641</v>
      </c>
      <c r="B5786" s="1" t="s">
        <v>60</v>
      </c>
      <c r="C5786">
        <v>117</v>
      </c>
      <c r="D5786" s="1" t="s">
        <v>180</v>
      </c>
      <c r="E5786" s="1" t="s">
        <v>4</v>
      </c>
      <c r="F5786">
        <v>48</v>
      </c>
      <c r="G5786" s="1" t="str">
        <f>Ocupacao_DW[[#This Row],[data]]&amp;Ocupacao_DW[[#This Row],[profissional_id]]&amp;Ocupacao_DW[[#This Row],[local_id]]</f>
        <v>4464111748</v>
      </c>
      <c r="H5786" s="1">
        <f>_xlfn.XLOOKUP(Ocupacao_DW[[#This Row],[Concat]],Vagas!$H:$H,Vagas!$D:$D,"",0)</f>
        <v>0</v>
      </c>
    </row>
    <row r="5787" spans="1:8" x14ac:dyDescent="0.25">
      <c r="A5787" s="2">
        <v>44635</v>
      </c>
      <c r="B5787" s="1" t="s">
        <v>68</v>
      </c>
      <c r="C5787">
        <v>8239</v>
      </c>
      <c r="D5787" s="1" t="s">
        <v>257</v>
      </c>
      <c r="E5787" s="1" t="s">
        <v>5</v>
      </c>
      <c r="F5787">
        <v>14</v>
      </c>
      <c r="G5787" s="1" t="str">
        <f>Ocupacao_DW[[#This Row],[data]]&amp;Ocupacao_DW[[#This Row],[profissional_id]]&amp;Ocupacao_DW[[#This Row],[local_id]]</f>
        <v>44635823914</v>
      </c>
      <c r="H5787" s="1">
        <f>_xlfn.XLOOKUP(Ocupacao_DW[[#This Row],[Concat]],Vagas!$H:$H,Vagas!$D:$D,"",0)</f>
        <v>0</v>
      </c>
    </row>
    <row r="5788" spans="1:8" x14ac:dyDescent="0.25">
      <c r="A5788" s="2">
        <v>44636</v>
      </c>
      <c r="B5788" s="1" t="s">
        <v>52</v>
      </c>
      <c r="C5788">
        <v>10946</v>
      </c>
      <c r="D5788" s="1" t="s">
        <v>209</v>
      </c>
      <c r="E5788" s="1" t="s">
        <v>7</v>
      </c>
      <c r="F5788">
        <v>60</v>
      </c>
      <c r="G5788" s="1" t="str">
        <f>Ocupacao_DW[[#This Row],[data]]&amp;Ocupacao_DW[[#This Row],[profissional_id]]&amp;Ocupacao_DW[[#This Row],[local_id]]</f>
        <v>446361094660</v>
      </c>
      <c r="H5788" s="1">
        <f>_xlfn.XLOOKUP(Ocupacao_DW[[#This Row],[Concat]],Vagas!$H:$H,Vagas!$D:$D,"",0)</f>
        <v>0</v>
      </c>
    </row>
    <row r="5789" spans="1:8" x14ac:dyDescent="0.25">
      <c r="A5789" s="2">
        <v>44635</v>
      </c>
      <c r="B5789" s="1" t="s">
        <v>68</v>
      </c>
      <c r="C5789">
        <v>8239</v>
      </c>
      <c r="D5789" s="1" t="s">
        <v>257</v>
      </c>
      <c r="E5789" s="1" t="s">
        <v>167</v>
      </c>
      <c r="F5789">
        <v>345</v>
      </c>
      <c r="G5789" s="1" t="str">
        <f>Ocupacao_DW[[#This Row],[data]]&amp;Ocupacao_DW[[#This Row],[profissional_id]]&amp;Ocupacao_DW[[#This Row],[local_id]]</f>
        <v>446358239345</v>
      </c>
      <c r="H5789" s="1">
        <f>_xlfn.XLOOKUP(Ocupacao_DW[[#This Row],[Concat]],Vagas!$H:$H,Vagas!$D:$D,"",0)</f>
        <v>0</v>
      </c>
    </row>
    <row r="5790" spans="1:8" x14ac:dyDescent="0.25">
      <c r="A5790" s="2">
        <v>44636</v>
      </c>
      <c r="B5790" s="1" t="s">
        <v>47</v>
      </c>
      <c r="C5790">
        <v>110</v>
      </c>
      <c r="D5790" s="1" t="s">
        <v>193</v>
      </c>
      <c r="E5790" s="1" t="s">
        <v>4</v>
      </c>
      <c r="F5790">
        <v>51</v>
      </c>
      <c r="G5790" s="1" t="str">
        <f>Ocupacao_DW[[#This Row],[data]]&amp;Ocupacao_DW[[#This Row],[profissional_id]]&amp;Ocupacao_DW[[#This Row],[local_id]]</f>
        <v>4463611051</v>
      </c>
      <c r="H5790" s="1" t="str">
        <f>_xlfn.XLOOKUP(Ocupacao_DW[[#This Row],[Concat]],Vagas!$H:$H,Vagas!$D:$D,"",0)</f>
        <v/>
      </c>
    </row>
    <row r="5791" spans="1:8" x14ac:dyDescent="0.25">
      <c r="A5791" s="2">
        <v>44635</v>
      </c>
      <c r="B5791" s="1" t="s">
        <v>68</v>
      </c>
      <c r="C5791">
        <v>8239</v>
      </c>
      <c r="D5791" s="1" t="s">
        <v>257</v>
      </c>
      <c r="E5791" s="1" t="s">
        <v>5</v>
      </c>
      <c r="F5791">
        <v>14</v>
      </c>
      <c r="G5791" s="1" t="str">
        <f>Ocupacao_DW[[#This Row],[data]]&amp;Ocupacao_DW[[#This Row],[profissional_id]]&amp;Ocupacao_DW[[#This Row],[local_id]]</f>
        <v>44635823914</v>
      </c>
      <c r="H5791" s="1">
        <f>_xlfn.XLOOKUP(Ocupacao_DW[[#This Row],[Concat]],Vagas!$H:$H,Vagas!$D:$D,"",0)</f>
        <v>0</v>
      </c>
    </row>
    <row r="5792" spans="1:8" x14ac:dyDescent="0.25">
      <c r="A5792" s="2">
        <v>44635</v>
      </c>
      <c r="B5792" s="1" t="s">
        <v>47</v>
      </c>
      <c r="C5792">
        <v>12752</v>
      </c>
      <c r="D5792" s="1" t="s">
        <v>253</v>
      </c>
      <c r="E5792" s="1" t="s">
        <v>7</v>
      </c>
      <c r="F5792">
        <v>72</v>
      </c>
      <c r="G5792" s="1" t="str">
        <f>Ocupacao_DW[[#This Row],[data]]&amp;Ocupacao_DW[[#This Row],[profissional_id]]&amp;Ocupacao_DW[[#This Row],[local_id]]</f>
        <v>446351275272</v>
      </c>
      <c r="H5792" s="1" t="str">
        <f>_xlfn.XLOOKUP(Ocupacao_DW[[#This Row],[Concat]],Vagas!$H:$H,Vagas!$D:$D,"",0)</f>
        <v/>
      </c>
    </row>
    <row r="5793" spans="1:8" x14ac:dyDescent="0.25">
      <c r="A5793" s="2">
        <v>44635</v>
      </c>
      <c r="B5793" s="1" t="s">
        <v>54</v>
      </c>
      <c r="C5793">
        <v>69</v>
      </c>
      <c r="D5793" s="1" t="s">
        <v>238</v>
      </c>
      <c r="E5793" s="1" t="s">
        <v>5</v>
      </c>
      <c r="F5793">
        <v>13</v>
      </c>
      <c r="G5793" s="1" t="str">
        <f>Ocupacao_DW[[#This Row],[data]]&amp;Ocupacao_DW[[#This Row],[profissional_id]]&amp;Ocupacao_DW[[#This Row],[local_id]]</f>
        <v>446356913</v>
      </c>
      <c r="H5793" s="1">
        <f>_xlfn.XLOOKUP(Ocupacao_DW[[#This Row],[Concat]],Vagas!$H:$H,Vagas!$D:$D,"",0)</f>
        <v>0</v>
      </c>
    </row>
    <row r="5794" spans="1:8" x14ac:dyDescent="0.25">
      <c r="A5794" s="2">
        <v>44636</v>
      </c>
      <c r="B5794" s="1" t="s">
        <v>52</v>
      </c>
      <c r="C5794">
        <v>10691</v>
      </c>
      <c r="D5794" s="1" t="s">
        <v>181</v>
      </c>
      <c r="E5794" s="1" t="s">
        <v>6</v>
      </c>
      <c r="F5794">
        <v>9</v>
      </c>
      <c r="G5794" s="1" t="str">
        <f>Ocupacao_DW[[#This Row],[data]]&amp;Ocupacao_DW[[#This Row],[profissional_id]]&amp;Ocupacao_DW[[#This Row],[local_id]]</f>
        <v>44636106919</v>
      </c>
      <c r="H5794" s="1">
        <f>_xlfn.XLOOKUP(Ocupacao_DW[[#This Row],[Concat]],Vagas!$H:$H,Vagas!$D:$D,"",0)</f>
        <v>0</v>
      </c>
    </row>
    <row r="5795" spans="1:8" x14ac:dyDescent="0.25">
      <c r="A5795" s="2">
        <v>44636</v>
      </c>
      <c r="B5795" s="1" t="s">
        <v>24</v>
      </c>
      <c r="C5795">
        <v>13061</v>
      </c>
      <c r="D5795" s="1" t="s">
        <v>232</v>
      </c>
      <c r="E5795" s="1" t="s">
        <v>6</v>
      </c>
      <c r="F5795">
        <v>3</v>
      </c>
      <c r="G5795" s="1" t="str">
        <f>Ocupacao_DW[[#This Row],[data]]&amp;Ocupacao_DW[[#This Row],[profissional_id]]&amp;Ocupacao_DW[[#This Row],[local_id]]</f>
        <v>44636130613</v>
      </c>
      <c r="H5795" s="1">
        <f>_xlfn.XLOOKUP(Ocupacao_DW[[#This Row],[Concat]],Vagas!$H:$H,Vagas!$D:$D,"",0)</f>
        <v>0</v>
      </c>
    </row>
    <row r="5796" spans="1:8" x14ac:dyDescent="0.25">
      <c r="A5796" s="2">
        <v>44641</v>
      </c>
      <c r="B5796" s="1" t="s">
        <v>60</v>
      </c>
      <c r="C5796">
        <v>117</v>
      </c>
      <c r="D5796" s="1" t="s">
        <v>180</v>
      </c>
      <c r="E5796" s="1" t="s">
        <v>4</v>
      </c>
      <c r="F5796">
        <v>48</v>
      </c>
      <c r="G5796" s="1" t="str">
        <f>Ocupacao_DW[[#This Row],[data]]&amp;Ocupacao_DW[[#This Row],[profissional_id]]&amp;Ocupacao_DW[[#This Row],[local_id]]</f>
        <v>4464111748</v>
      </c>
      <c r="H5796" s="1">
        <f>_xlfn.XLOOKUP(Ocupacao_DW[[#This Row],[Concat]],Vagas!$H:$H,Vagas!$D:$D,"",0)</f>
        <v>0</v>
      </c>
    </row>
    <row r="5797" spans="1:8" x14ac:dyDescent="0.25">
      <c r="A5797" s="2">
        <v>44649</v>
      </c>
      <c r="B5797" s="1" t="s">
        <v>56</v>
      </c>
      <c r="C5797">
        <v>1586</v>
      </c>
      <c r="D5797" s="1" t="s">
        <v>261</v>
      </c>
      <c r="E5797" s="1" t="s">
        <v>7</v>
      </c>
      <c r="F5797">
        <v>67</v>
      </c>
      <c r="G5797" s="1" t="str">
        <f>Ocupacao_DW[[#This Row],[data]]&amp;Ocupacao_DW[[#This Row],[profissional_id]]&amp;Ocupacao_DW[[#This Row],[local_id]]</f>
        <v>44649158667</v>
      </c>
      <c r="H5797" s="1">
        <f>_xlfn.XLOOKUP(Ocupacao_DW[[#This Row],[Concat]],Vagas!$H:$H,Vagas!$D:$D,"",0)</f>
        <v>0</v>
      </c>
    </row>
    <row r="5798" spans="1:8" x14ac:dyDescent="0.25">
      <c r="A5798" s="2">
        <v>44641</v>
      </c>
      <c r="B5798" s="1" t="s">
        <v>49</v>
      </c>
      <c r="C5798">
        <v>81</v>
      </c>
      <c r="D5798" s="1" t="s">
        <v>170</v>
      </c>
      <c r="E5798" s="1" t="s">
        <v>4</v>
      </c>
      <c r="F5798">
        <v>41</v>
      </c>
      <c r="G5798" s="1" t="str">
        <f>Ocupacao_DW[[#This Row],[data]]&amp;Ocupacao_DW[[#This Row],[profissional_id]]&amp;Ocupacao_DW[[#This Row],[local_id]]</f>
        <v>446418141</v>
      </c>
      <c r="H5798" s="1">
        <f>_xlfn.XLOOKUP(Ocupacao_DW[[#This Row],[Concat]],Vagas!$H:$H,Vagas!$D:$D,"",0)</f>
        <v>0</v>
      </c>
    </row>
    <row r="5799" spans="1:8" x14ac:dyDescent="0.25">
      <c r="A5799" s="2">
        <v>44636</v>
      </c>
      <c r="B5799" s="1" t="s">
        <v>60</v>
      </c>
      <c r="C5799">
        <v>14326</v>
      </c>
      <c r="D5799" s="1" t="s">
        <v>220</v>
      </c>
      <c r="E5799" s="1" t="s">
        <v>4</v>
      </c>
      <c r="F5799">
        <v>43</v>
      </c>
      <c r="G5799" s="1" t="str">
        <f>Ocupacao_DW[[#This Row],[data]]&amp;Ocupacao_DW[[#This Row],[profissional_id]]&amp;Ocupacao_DW[[#This Row],[local_id]]</f>
        <v>446361432643</v>
      </c>
      <c r="H5799" s="1">
        <f>_xlfn.XLOOKUP(Ocupacao_DW[[#This Row],[Concat]],Vagas!$H:$H,Vagas!$D:$D,"",0)</f>
        <v>0</v>
      </c>
    </row>
    <row r="5800" spans="1:8" x14ac:dyDescent="0.25">
      <c r="A5800" s="2">
        <v>44635</v>
      </c>
      <c r="B5800" s="1" t="s">
        <v>47</v>
      </c>
      <c r="C5800">
        <v>110</v>
      </c>
      <c r="D5800" s="1" t="s">
        <v>193</v>
      </c>
      <c r="E5800" s="1" t="s">
        <v>4</v>
      </c>
      <c r="F5800">
        <v>334</v>
      </c>
      <c r="G5800" s="1" t="str">
        <f>Ocupacao_DW[[#This Row],[data]]&amp;Ocupacao_DW[[#This Row],[profissional_id]]&amp;Ocupacao_DW[[#This Row],[local_id]]</f>
        <v>44635110334</v>
      </c>
      <c r="H5800" s="1">
        <f>_xlfn.XLOOKUP(Ocupacao_DW[[#This Row],[Concat]],Vagas!$H:$H,Vagas!$D:$D,"",0)</f>
        <v>0</v>
      </c>
    </row>
    <row r="5801" spans="1:8" x14ac:dyDescent="0.25">
      <c r="A5801" s="2">
        <v>44655</v>
      </c>
      <c r="B5801" s="1" t="s">
        <v>56</v>
      </c>
      <c r="C5801">
        <v>75</v>
      </c>
      <c r="D5801" s="1" t="s">
        <v>208</v>
      </c>
      <c r="E5801" s="1" t="s">
        <v>5</v>
      </c>
      <c r="F5801">
        <v>15</v>
      </c>
      <c r="G5801" s="1" t="str">
        <f>Ocupacao_DW[[#This Row],[data]]&amp;Ocupacao_DW[[#This Row],[profissional_id]]&amp;Ocupacao_DW[[#This Row],[local_id]]</f>
        <v>446557515</v>
      </c>
      <c r="H5801" s="1">
        <f>_xlfn.XLOOKUP(Ocupacao_DW[[#This Row],[Concat]],Vagas!$H:$H,Vagas!$D:$D,"",0)</f>
        <v>0</v>
      </c>
    </row>
    <row r="5802" spans="1:8" x14ac:dyDescent="0.25">
      <c r="A5802" s="2">
        <v>44638</v>
      </c>
      <c r="B5802" s="1" t="s">
        <v>62</v>
      </c>
      <c r="C5802">
        <v>3502</v>
      </c>
      <c r="D5802" s="1" t="s">
        <v>214</v>
      </c>
      <c r="E5802" s="1" t="s">
        <v>7</v>
      </c>
      <c r="F5802">
        <v>69</v>
      </c>
      <c r="G5802" s="1" t="str">
        <f>Ocupacao_DW[[#This Row],[data]]&amp;Ocupacao_DW[[#This Row],[profissional_id]]&amp;Ocupacao_DW[[#This Row],[local_id]]</f>
        <v>44638350269</v>
      </c>
      <c r="H5802" s="1">
        <f>_xlfn.XLOOKUP(Ocupacao_DW[[#This Row],[Concat]],Vagas!$H:$H,Vagas!$D:$D,"",0)</f>
        <v>0</v>
      </c>
    </row>
    <row r="5803" spans="1:8" x14ac:dyDescent="0.25">
      <c r="A5803" s="2">
        <v>44637</v>
      </c>
      <c r="B5803" s="1" t="s">
        <v>64</v>
      </c>
      <c r="C5803">
        <v>85</v>
      </c>
      <c r="D5803" s="1" t="s">
        <v>211</v>
      </c>
      <c r="E5803" s="1" t="s">
        <v>5</v>
      </c>
      <c r="F5803">
        <v>349</v>
      </c>
      <c r="G5803" s="1" t="str">
        <f>Ocupacao_DW[[#This Row],[data]]&amp;Ocupacao_DW[[#This Row],[profissional_id]]&amp;Ocupacao_DW[[#This Row],[local_id]]</f>
        <v>4463785349</v>
      </c>
      <c r="H5803" s="1">
        <f>_xlfn.XLOOKUP(Ocupacao_DW[[#This Row],[Concat]],Vagas!$H:$H,Vagas!$D:$D,"",0)</f>
        <v>0</v>
      </c>
    </row>
    <row r="5804" spans="1:8" x14ac:dyDescent="0.25">
      <c r="A5804" s="2">
        <v>44638</v>
      </c>
      <c r="B5804" s="1" t="s">
        <v>55</v>
      </c>
      <c r="C5804">
        <v>2984</v>
      </c>
      <c r="D5804" s="1" t="s">
        <v>185</v>
      </c>
      <c r="E5804" s="1" t="s">
        <v>6</v>
      </c>
      <c r="F5804">
        <v>7</v>
      </c>
      <c r="G5804" s="1" t="str">
        <f>Ocupacao_DW[[#This Row],[data]]&amp;Ocupacao_DW[[#This Row],[profissional_id]]&amp;Ocupacao_DW[[#This Row],[local_id]]</f>
        <v>4463829847</v>
      </c>
      <c r="H5804" s="1">
        <f>_xlfn.XLOOKUP(Ocupacao_DW[[#This Row],[Concat]],Vagas!$H:$H,Vagas!$D:$D,"",0)</f>
        <v>0</v>
      </c>
    </row>
    <row r="5805" spans="1:8" x14ac:dyDescent="0.25">
      <c r="A5805" s="2">
        <v>44642</v>
      </c>
      <c r="B5805" s="1" t="s">
        <v>69</v>
      </c>
      <c r="C5805">
        <v>13249</v>
      </c>
      <c r="D5805" s="1" t="s">
        <v>178</v>
      </c>
      <c r="E5805" s="1" t="s">
        <v>4</v>
      </c>
      <c r="F5805">
        <v>45</v>
      </c>
      <c r="G5805" s="1" t="str">
        <f>Ocupacao_DW[[#This Row],[data]]&amp;Ocupacao_DW[[#This Row],[profissional_id]]&amp;Ocupacao_DW[[#This Row],[local_id]]</f>
        <v>446421324945</v>
      </c>
      <c r="H5805" s="1">
        <f>_xlfn.XLOOKUP(Ocupacao_DW[[#This Row],[Concat]],Vagas!$H:$H,Vagas!$D:$D,"",0)</f>
        <v>0</v>
      </c>
    </row>
    <row r="5806" spans="1:8" x14ac:dyDescent="0.25">
      <c r="A5806" s="2">
        <v>44650</v>
      </c>
      <c r="B5806" s="1" t="s">
        <v>70</v>
      </c>
      <c r="C5806">
        <v>12519</v>
      </c>
      <c r="D5806" s="1" t="s">
        <v>176</v>
      </c>
      <c r="E5806" s="1" t="s">
        <v>4</v>
      </c>
      <c r="F5806">
        <v>48</v>
      </c>
      <c r="G5806" s="1" t="str">
        <f>Ocupacao_DW[[#This Row],[data]]&amp;Ocupacao_DW[[#This Row],[profissional_id]]&amp;Ocupacao_DW[[#This Row],[local_id]]</f>
        <v>446501251948</v>
      </c>
      <c r="H5806" s="1">
        <f>_xlfn.XLOOKUP(Ocupacao_DW[[#This Row],[Concat]],Vagas!$H:$H,Vagas!$D:$D,"",0)</f>
        <v>0</v>
      </c>
    </row>
    <row r="5807" spans="1:8" x14ac:dyDescent="0.25">
      <c r="A5807" s="2">
        <v>44637</v>
      </c>
      <c r="B5807" s="1" t="s">
        <v>51</v>
      </c>
      <c r="C5807">
        <v>12582</v>
      </c>
      <c r="D5807" s="1" t="s">
        <v>190</v>
      </c>
      <c r="E5807" s="1" t="s">
        <v>5</v>
      </c>
      <c r="F5807">
        <v>15</v>
      </c>
      <c r="G5807" s="1" t="str">
        <f>Ocupacao_DW[[#This Row],[data]]&amp;Ocupacao_DW[[#This Row],[profissional_id]]&amp;Ocupacao_DW[[#This Row],[local_id]]</f>
        <v>446371258215</v>
      </c>
      <c r="H5807" s="1">
        <f>_xlfn.XLOOKUP(Ocupacao_DW[[#This Row],[Concat]],Vagas!$H:$H,Vagas!$D:$D,"",0)</f>
        <v>0</v>
      </c>
    </row>
    <row r="5808" spans="1:8" x14ac:dyDescent="0.25">
      <c r="A5808" s="2">
        <v>44642</v>
      </c>
      <c r="B5808" s="1" t="s">
        <v>70</v>
      </c>
      <c r="C5808">
        <v>14237</v>
      </c>
      <c r="D5808" s="1" t="s">
        <v>186</v>
      </c>
      <c r="E5808" s="1" t="s">
        <v>4</v>
      </c>
      <c r="F5808">
        <v>47</v>
      </c>
      <c r="G5808" s="1" t="str">
        <f>Ocupacao_DW[[#This Row],[data]]&amp;Ocupacao_DW[[#This Row],[profissional_id]]&amp;Ocupacao_DW[[#This Row],[local_id]]</f>
        <v>446421423747</v>
      </c>
      <c r="H5808" s="1">
        <f>_xlfn.XLOOKUP(Ocupacao_DW[[#This Row],[Concat]],Vagas!$H:$H,Vagas!$D:$D,"",0)</f>
        <v>0</v>
      </c>
    </row>
    <row r="5809" spans="1:8" x14ac:dyDescent="0.25">
      <c r="A5809" s="2">
        <v>44636</v>
      </c>
      <c r="B5809" s="1" t="s">
        <v>24</v>
      </c>
      <c r="C5809">
        <v>13061</v>
      </c>
      <c r="D5809" s="1" t="s">
        <v>232</v>
      </c>
      <c r="E5809" s="1" t="s">
        <v>6</v>
      </c>
      <c r="F5809">
        <v>3</v>
      </c>
      <c r="G5809" s="1" t="str">
        <f>Ocupacao_DW[[#This Row],[data]]&amp;Ocupacao_DW[[#This Row],[profissional_id]]&amp;Ocupacao_DW[[#This Row],[local_id]]</f>
        <v>44636130613</v>
      </c>
      <c r="H5809" s="1">
        <f>_xlfn.XLOOKUP(Ocupacao_DW[[#This Row],[Concat]],Vagas!$H:$H,Vagas!$D:$D,"",0)</f>
        <v>0</v>
      </c>
    </row>
    <row r="5810" spans="1:8" x14ac:dyDescent="0.25">
      <c r="A5810" s="2">
        <v>44649</v>
      </c>
      <c r="B5810" s="1" t="s">
        <v>70</v>
      </c>
      <c r="C5810">
        <v>14237</v>
      </c>
      <c r="D5810" s="1" t="s">
        <v>186</v>
      </c>
      <c r="E5810" s="1" t="s">
        <v>4</v>
      </c>
      <c r="F5810">
        <v>47</v>
      </c>
      <c r="G5810" s="1" t="str">
        <f>Ocupacao_DW[[#This Row],[data]]&amp;Ocupacao_DW[[#This Row],[profissional_id]]&amp;Ocupacao_DW[[#This Row],[local_id]]</f>
        <v>446491423747</v>
      </c>
      <c r="H5810" s="1">
        <f>_xlfn.XLOOKUP(Ocupacao_DW[[#This Row],[Concat]],Vagas!$H:$H,Vagas!$D:$D,"",0)</f>
        <v>0</v>
      </c>
    </row>
    <row r="5811" spans="1:8" x14ac:dyDescent="0.25">
      <c r="A5811" s="2">
        <v>44635</v>
      </c>
      <c r="B5811" s="1" t="s">
        <v>62</v>
      </c>
      <c r="C5811">
        <v>3502</v>
      </c>
      <c r="D5811" s="1" t="s">
        <v>214</v>
      </c>
      <c r="E5811" s="1" t="s">
        <v>5</v>
      </c>
      <c r="F5811">
        <v>16</v>
      </c>
      <c r="G5811" s="1" t="str">
        <f>Ocupacao_DW[[#This Row],[data]]&amp;Ocupacao_DW[[#This Row],[profissional_id]]&amp;Ocupacao_DW[[#This Row],[local_id]]</f>
        <v>44635350216</v>
      </c>
      <c r="H5811" s="1">
        <f>_xlfn.XLOOKUP(Ocupacao_DW[[#This Row],[Concat]],Vagas!$H:$H,Vagas!$D:$D,"",0)</f>
        <v>0</v>
      </c>
    </row>
    <row r="5812" spans="1:8" x14ac:dyDescent="0.25">
      <c r="A5812" s="2">
        <v>44635</v>
      </c>
      <c r="B5812" s="1" t="s">
        <v>49</v>
      </c>
      <c r="C5812">
        <v>81</v>
      </c>
      <c r="D5812" s="1" t="s">
        <v>170</v>
      </c>
      <c r="E5812" s="1" t="s">
        <v>7</v>
      </c>
      <c r="F5812">
        <v>71</v>
      </c>
      <c r="G5812" s="1" t="str">
        <f>Ocupacao_DW[[#This Row],[data]]&amp;Ocupacao_DW[[#This Row],[profissional_id]]&amp;Ocupacao_DW[[#This Row],[local_id]]</f>
        <v>446358171</v>
      </c>
      <c r="H5812" s="1">
        <f>_xlfn.XLOOKUP(Ocupacao_DW[[#This Row],[Concat]],Vagas!$H:$H,Vagas!$D:$D,"",0)</f>
        <v>0</v>
      </c>
    </row>
    <row r="5813" spans="1:8" x14ac:dyDescent="0.25">
      <c r="A5813" s="2">
        <v>44650</v>
      </c>
      <c r="B5813" s="1" t="s">
        <v>55</v>
      </c>
      <c r="C5813">
        <v>74</v>
      </c>
      <c r="D5813" s="1" t="s">
        <v>182</v>
      </c>
      <c r="E5813" s="1" t="s">
        <v>6</v>
      </c>
      <c r="F5813">
        <v>7</v>
      </c>
      <c r="G5813" s="1" t="str">
        <f>Ocupacao_DW[[#This Row],[data]]&amp;Ocupacao_DW[[#This Row],[profissional_id]]&amp;Ocupacao_DW[[#This Row],[local_id]]</f>
        <v>44650747</v>
      </c>
      <c r="H5813" s="1">
        <f>_xlfn.XLOOKUP(Ocupacao_DW[[#This Row],[Concat]],Vagas!$H:$H,Vagas!$D:$D,"",0)</f>
        <v>0</v>
      </c>
    </row>
    <row r="5814" spans="1:8" x14ac:dyDescent="0.25">
      <c r="A5814" s="2">
        <v>44641</v>
      </c>
      <c r="B5814" s="1" t="s">
        <v>55</v>
      </c>
      <c r="C5814">
        <v>60</v>
      </c>
      <c r="D5814" s="1" t="s">
        <v>217</v>
      </c>
      <c r="E5814" s="1" t="s">
        <v>7</v>
      </c>
      <c r="F5814">
        <v>66</v>
      </c>
      <c r="G5814" s="1" t="str">
        <f>Ocupacao_DW[[#This Row],[data]]&amp;Ocupacao_DW[[#This Row],[profissional_id]]&amp;Ocupacao_DW[[#This Row],[local_id]]</f>
        <v>446416066</v>
      </c>
      <c r="H5814" s="1">
        <f>_xlfn.XLOOKUP(Ocupacao_DW[[#This Row],[Concat]],Vagas!$H:$H,Vagas!$D:$D,"",0)</f>
        <v>0</v>
      </c>
    </row>
    <row r="5815" spans="1:8" x14ac:dyDescent="0.25">
      <c r="A5815" s="2">
        <v>44645</v>
      </c>
      <c r="B5815" s="1" t="s">
        <v>55</v>
      </c>
      <c r="C5815">
        <v>2984</v>
      </c>
      <c r="D5815" s="1" t="s">
        <v>185</v>
      </c>
      <c r="E5815" s="1" t="s">
        <v>6</v>
      </c>
      <c r="F5815">
        <v>7</v>
      </c>
      <c r="G5815" s="1" t="str">
        <f>Ocupacao_DW[[#This Row],[data]]&amp;Ocupacao_DW[[#This Row],[profissional_id]]&amp;Ocupacao_DW[[#This Row],[local_id]]</f>
        <v>4464529847</v>
      </c>
      <c r="H5815" s="1">
        <f>_xlfn.XLOOKUP(Ocupacao_DW[[#This Row],[Concat]],Vagas!$H:$H,Vagas!$D:$D,"",0)</f>
        <v>0</v>
      </c>
    </row>
    <row r="5816" spans="1:8" x14ac:dyDescent="0.25">
      <c r="A5816" s="2">
        <v>44638</v>
      </c>
      <c r="B5816" s="1" t="s">
        <v>54</v>
      </c>
      <c r="C5816">
        <v>69</v>
      </c>
      <c r="D5816" s="1" t="s">
        <v>238</v>
      </c>
      <c r="E5816" s="1" t="s">
        <v>5</v>
      </c>
      <c r="F5816">
        <v>13</v>
      </c>
      <c r="G5816" s="1" t="str">
        <f>Ocupacao_DW[[#This Row],[data]]&amp;Ocupacao_DW[[#This Row],[profissional_id]]&amp;Ocupacao_DW[[#This Row],[local_id]]</f>
        <v>446386913</v>
      </c>
      <c r="H5816" s="1">
        <f>_xlfn.XLOOKUP(Ocupacao_DW[[#This Row],[Concat]],Vagas!$H:$H,Vagas!$D:$D,"",0)</f>
        <v>0</v>
      </c>
    </row>
    <row r="5817" spans="1:8" x14ac:dyDescent="0.25">
      <c r="A5817" s="2">
        <v>44636</v>
      </c>
      <c r="B5817" s="1" t="s">
        <v>52</v>
      </c>
      <c r="C5817">
        <v>10691</v>
      </c>
      <c r="D5817" s="1" t="s">
        <v>181</v>
      </c>
      <c r="E5817" s="1" t="s">
        <v>6</v>
      </c>
      <c r="F5817">
        <v>9</v>
      </c>
      <c r="G5817" s="1" t="str">
        <f>Ocupacao_DW[[#This Row],[data]]&amp;Ocupacao_DW[[#This Row],[profissional_id]]&amp;Ocupacao_DW[[#This Row],[local_id]]</f>
        <v>44636106919</v>
      </c>
      <c r="H5817" s="1">
        <f>_xlfn.XLOOKUP(Ocupacao_DW[[#This Row],[Concat]],Vagas!$H:$H,Vagas!$D:$D,"",0)</f>
        <v>0</v>
      </c>
    </row>
    <row r="5818" spans="1:8" x14ac:dyDescent="0.25">
      <c r="A5818" s="2">
        <v>44638</v>
      </c>
      <c r="B5818" s="1" t="s">
        <v>49</v>
      </c>
      <c r="C5818">
        <v>6430</v>
      </c>
      <c r="D5818" s="1" t="s">
        <v>188</v>
      </c>
      <c r="E5818" s="1" t="s">
        <v>4</v>
      </c>
      <c r="F5818">
        <v>42</v>
      </c>
      <c r="G5818" s="1" t="str">
        <f>Ocupacao_DW[[#This Row],[data]]&amp;Ocupacao_DW[[#This Row],[profissional_id]]&amp;Ocupacao_DW[[#This Row],[local_id]]</f>
        <v>44638643042</v>
      </c>
      <c r="H5818" s="1">
        <f>_xlfn.XLOOKUP(Ocupacao_DW[[#This Row],[Concat]],Vagas!$H:$H,Vagas!$D:$D,"",0)</f>
        <v>0</v>
      </c>
    </row>
    <row r="5819" spans="1:8" x14ac:dyDescent="0.25">
      <c r="A5819" s="2">
        <v>44641</v>
      </c>
      <c r="B5819" s="1" t="s">
        <v>52</v>
      </c>
      <c r="C5819">
        <v>10691</v>
      </c>
      <c r="D5819" s="1" t="s">
        <v>181</v>
      </c>
      <c r="E5819" s="1" t="s">
        <v>6</v>
      </c>
      <c r="F5819">
        <v>9</v>
      </c>
      <c r="G5819" s="1" t="str">
        <f>Ocupacao_DW[[#This Row],[data]]&amp;Ocupacao_DW[[#This Row],[profissional_id]]&amp;Ocupacao_DW[[#This Row],[local_id]]</f>
        <v>44641106919</v>
      </c>
      <c r="H5819" s="1">
        <f>_xlfn.XLOOKUP(Ocupacao_DW[[#This Row],[Concat]],Vagas!$H:$H,Vagas!$D:$D,"",0)</f>
        <v>0</v>
      </c>
    </row>
    <row r="5820" spans="1:8" x14ac:dyDescent="0.25">
      <c r="A5820" s="2">
        <v>44635</v>
      </c>
      <c r="B5820" s="1" t="s">
        <v>54</v>
      </c>
      <c r="C5820">
        <v>10941</v>
      </c>
      <c r="D5820" s="1" t="s">
        <v>224</v>
      </c>
      <c r="E5820" s="1" t="s">
        <v>5</v>
      </c>
      <c r="F5820">
        <v>12</v>
      </c>
      <c r="G5820" s="1" t="str">
        <f>Ocupacao_DW[[#This Row],[data]]&amp;Ocupacao_DW[[#This Row],[profissional_id]]&amp;Ocupacao_DW[[#This Row],[local_id]]</f>
        <v>446351094112</v>
      </c>
      <c r="H5820" s="1">
        <f>_xlfn.XLOOKUP(Ocupacao_DW[[#This Row],[Concat]],Vagas!$H:$H,Vagas!$D:$D,"",0)</f>
        <v>0</v>
      </c>
    </row>
    <row r="5821" spans="1:8" x14ac:dyDescent="0.25">
      <c r="A5821" s="2">
        <v>44635</v>
      </c>
      <c r="B5821" s="1" t="s">
        <v>52</v>
      </c>
      <c r="C5821">
        <v>13061</v>
      </c>
      <c r="D5821" s="1" t="s">
        <v>232</v>
      </c>
      <c r="E5821" s="1" t="s">
        <v>6</v>
      </c>
      <c r="F5821">
        <v>9</v>
      </c>
      <c r="G5821" s="1" t="str">
        <f>Ocupacao_DW[[#This Row],[data]]&amp;Ocupacao_DW[[#This Row],[profissional_id]]&amp;Ocupacao_DW[[#This Row],[local_id]]</f>
        <v>44635130619</v>
      </c>
      <c r="H5821" s="1">
        <f>_xlfn.XLOOKUP(Ocupacao_DW[[#This Row],[Concat]],Vagas!$H:$H,Vagas!$D:$D,"",0)</f>
        <v>0</v>
      </c>
    </row>
    <row r="5822" spans="1:8" x14ac:dyDescent="0.25">
      <c r="A5822" s="2">
        <v>44643</v>
      </c>
      <c r="B5822" s="1" t="s">
        <v>58</v>
      </c>
      <c r="C5822">
        <v>5767</v>
      </c>
      <c r="D5822" s="1" t="s">
        <v>239</v>
      </c>
      <c r="E5822" s="1" t="s">
        <v>4</v>
      </c>
      <c r="F5822">
        <v>44</v>
      </c>
      <c r="G5822" s="1" t="str">
        <f>Ocupacao_DW[[#This Row],[data]]&amp;Ocupacao_DW[[#This Row],[profissional_id]]&amp;Ocupacao_DW[[#This Row],[local_id]]</f>
        <v>44643576744</v>
      </c>
      <c r="H5822" s="1">
        <f>_xlfn.XLOOKUP(Ocupacao_DW[[#This Row],[Concat]],Vagas!$H:$H,Vagas!$D:$D,"",0)</f>
        <v>0</v>
      </c>
    </row>
    <row r="5823" spans="1:8" x14ac:dyDescent="0.25">
      <c r="A5823" s="2">
        <v>44638</v>
      </c>
      <c r="B5823" s="1" t="s">
        <v>62</v>
      </c>
      <c r="C5823">
        <v>3502</v>
      </c>
      <c r="D5823" s="1" t="s">
        <v>214</v>
      </c>
      <c r="E5823" s="1" t="s">
        <v>7</v>
      </c>
      <c r="F5823">
        <v>69</v>
      </c>
      <c r="G5823" s="1" t="str">
        <f>Ocupacao_DW[[#This Row],[data]]&amp;Ocupacao_DW[[#This Row],[profissional_id]]&amp;Ocupacao_DW[[#This Row],[local_id]]</f>
        <v>44638350269</v>
      </c>
      <c r="H5823" s="1">
        <f>_xlfn.XLOOKUP(Ocupacao_DW[[#This Row],[Concat]],Vagas!$H:$H,Vagas!$D:$D,"",0)</f>
        <v>0</v>
      </c>
    </row>
    <row r="5824" spans="1:8" x14ac:dyDescent="0.25">
      <c r="A5824" s="2">
        <v>44657</v>
      </c>
      <c r="B5824" s="1" t="s">
        <v>70</v>
      </c>
      <c r="C5824">
        <v>12519</v>
      </c>
      <c r="D5824" s="1" t="s">
        <v>176</v>
      </c>
      <c r="E5824" s="1" t="s">
        <v>4</v>
      </c>
      <c r="F5824">
        <v>48</v>
      </c>
      <c r="G5824" s="1" t="str">
        <f>Ocupacao_DW[[#This Row],[data]]&amp;Ocupacao_DW[[#This Row],[profissional_id]]&amp;Ocupacao_DW[[#This Row],[local_id]]</f>
        <v>446571251948</v>
      </c>
      <c r="H5824" s="1">
        <f>_xlfn.XLOOKUP(Ocupacao_DW[[#This Row],[Concat]],Vagas!$H:$H,Vagas!$D:$D,"",0)</f>
        <v>0</v>
      </c>
    </row>
    <row r="5825" spans="1:8" x14ac:dyDescent="0.25">
      <c r="A5825" s="2">
        <v>44635</v>
      </c>
      <c r="B5825" s="1" t="s">
        <v>49</v>
      </c>
      <c r="C5825">
        <v>266</v>
      </c>
      <c r="D5825" s="1" t="s">
        <v>201</v>
      </c>
      <c r="E5825" s="1" t="s">
        <v>4</v>
      </c>
      <c r="F5825">
        <v>42</v>
      </c>
      <c r="G5825" s="1" t="str">
        <f>Ocupacao_DW[[#This Row],[data]]&amp;Ocupacao_DW[[#This Row],[profissional_id]]&amp;Ocupacao_DW[[#This Row],[local_id]]</f>
        <v>4463526642</v>
      </c>
      <c r="H5825" s="1">
        <f>_xlfn.XLOOKUP(Ocupacao_DW[[#This Row],[Concat]],Vagas!$H:$H,Vagas!$D:$D,"",0)</f>
        <v>0</v>
      </c>
    </row>
    <row r="5826" spans="1:8" x14ac:dyDescent="0.25">
      <c r="A5826" s="2">
        <v>44635</v>
      </c>
      <c r="B5826" s="1" t="s">
        <v>49</v>
      </c>
      <c r="C5826">
        <v>266</v>
      </c>
      <c r="D5826" s="1" t="s">
        <v>201</v>
      </c>
      <c r="E5826" s="1" t="s">
        <v>4</v>
      </c>
      <c r="F5826">
        <v>42</v>
      </c>
      <c r="G5826" s="1" t="str">
        <f>Ocupacao_DW[[#This Row],[data]]&amp;Ocupacao_DW[[#This Row],[profissional_id]]&amp;Ocupacao_DW[[#This Row],[local_id]]</f>
        <v>4463526642</v>
      </c>
      <c r="H5826" s="1">
        <f>_xlfn.XLOOKUP(Ocupacao_DW[[#This Row],[Concat]],Vagas!$H:$H,Vagas!$D:$D,"",0)</f>
        <v>0</v>
      </c>
    </row>
    <row r="5827" spans="1:8" x14ac:dyDescent="0.25">
      <c r="A5827" s="2">
        <v>44635</v>
      </c>
      <c r="B5827" s="1" t="s">
        <v>67</v>
      </c>
      <c r="C5827">
        <v>7290</v>
      </c>
      <c r="D5827" s="1" t="s">
        <v>247</v>
      </c>
      <c r="E5827" s="1" t="s">
        <v>5</v>
      </c>
      <c r="F5827">
        <v>18</v>
      </c>
      <c r="G5827" s="1" t="str">
        <f>Ocupacao_DW[[#This Row],[data]]&amp;Ocupacao_DW[[#This Row],[profissional_id]]&amp;Ocupacao_DW[[#This Row],[local_id]]</f>
        <v>44635729018</v>
      </c>
      <c r="H5827" s="1">
        <f>_xlfn.XLOOKUP(Ocupacao_DW[[#This Row],[Concat]],Vagas!$H:$H,Vagas!$D:$D,"",0)</f>
        <v>0</v>
      </c>
    </row>
    <row r="5828" spans="1:8" x14ac:dyDescent="0.25">
      <c r="A5828" s="2">
        <v>44644</v>
      </c>
      <c r="B5828" s="1" t="s">
        <v>55</v>
      </c>
      <c r="C5828">
        <v>12426</v>
      </c>
      <c r="D5828" s="1" t="s">
        <v>215</v>
      </c>
      <c r="E5828" s="1" t="s">
        <v>6</v>
      </c>
      <c r="F5828">
        <v>5</v>
      </c>
      <c r="G5828" s="1" t="str">
        <f>Ocupacao_DW[[#This Row],[data]]&amp;Ocupacao_DW[[#This Row],[profissional_id]]&amp;Ocupacao_DW[[#This Row],[local_id]]</f>
        <v>44644124265</v>
      </c>
      <c r="H5828" s="1">
        <f>_xlfn.XLOOKUP(Ocupacao_DW[[#This Row],[Concat]],Vagas!$H:$H,Vagas!$D:$D,"",0)</f>
        <v>0</v>
      </c>
    </row>
    <row r="5829" spans="1:8" x14ac:dyDescent="0.25">
      <c r="A5829" s="2">
        <v>44645</v>
      </c>
      <c r="B5829" s="1" t="s">
        <v>55</v>
      </c>
      <c r="C5829">
        <v>2984</v>
      </c>
      <c r="D5829" s="1" t="s">
        <v>185</v>
      </c>
      <c r="E5829" s="1" t="s">
        <v>6</v>
      </c>
      <c r="F5829">
        <v>7</v>
      </c>
      <c r="G5829" s="1" t="str">
        <f>Ocupacao_DW[[#This Row],[data]]&amp;Ocupacao_DW[[#This Row],[profissional_id]]&amp;Ocupacao_DW[[#This Row],[local_id]]</f>
        <v>4464529847</v>
      </c>
      <c r="H5829" s="1">
        <f>_xlfn.XLOOKUP(Ocupacao_DW[[#This Row],[Concat]],Vagas!$H:$H,Vagas!$D:$D,"",0)</f>
        <v>0</v>
      </c>
    </row>
    <row r="5830" spans="1:8" x14ac:dyDescent="0.25">
      <c r="A5830" s="2">
        <v>44635</v>
      </c>
      <c r="B5830" s="1" t="s">
        <v>47</v>
      </c>
      <c r="C5830">
        <v>111</v>
      </c>
      <c r="D5830" s="1" t="s">
        <v>199</v>
      </c>
      <c r="E5830" s="1" t="s">
        <v>4</v>
      </c>
      <c r="F5830">
        <v>51</v>
      </c>
      <c r="G5830" s="1" t="str">
        <f>Ocupacao_DW[[#This Row],[data]]&amp;Ocupacao_DW[[#This Row],[profissional_id]]&amp;Ocupacao_DW[[#This Row],[local_id]]</f>
        <v>4463511151</v>
      </c>
      <c r="H5830" s="1">
        <f>_xlfn.XLOOKUP(Ocupacao_DW[[#This Row],[Concat]],Vagas!$H:$H,Vagas!$D:$D,"",0)</f>
        <v>0</v>
      </c>
    </row>
    <row r="5831" spans="1:8" x14ac:dyDescent="0.25">
      <c r="A5831" s="2">
        <v>44636</v>
      </c>
      <c r="B5831" s="1" t="s">
        <v>49</v>
      </c>
      <c r="C5831">
        <v>81</v>
      </c>
      <c r="D5831" s="1" t="s">
        <v>170</v>
      </c>
      <c r="E5831" s="1" t="s">
        <v>4</v>
      </c>
      <c r="F5831">
        <v>41</v>
      </c>
      <c r="G5831" s="1" t="str">
        <f>Ocupacao_DW[[#This Row],[data]]&amp;Ocupacao_DW[[#This Row],[profissional_id]]&amp;Ocupacao_DW[[#This Row],[local_id]]</f>
        <v>446368141</v>
      </c>
      <c r="H5831" s="1">
        <f>_xlfn.XLOOKUP(Ocupacao_DW[[#This Row],[Concat]],Vagas!$H:$H,Vagas!$D:$D,"",0)</f>
        <v>0</v>
      </c>
    </row>
    <row r="5832" spans="1:8" x14ac:dyDescent="0.25">
      <c r="A5832" s="2">
        <v>44636</v>
      </c>
      <c r="B5832" s="1" t="s">
        <v>47</v>
      </c>
      <c r="C5832">
        <v>111</v>
      </c>
      <c r="D5832" s="1" t="s">
        <v>199</v>
      </c>
      <c r="E5832" s="1" t="s">
        <v>4</v>
      </c>
      <c r="F5832">
        <v>51</v>
      </c>
      <c r="G5832" s="1" t="str">
        <f>Ocupacao_DW[[#This Row],[data]]&amp;Ocupacao_DW[[#This Row],[profissional_id]]&amp;Ocupacao_DW[[#This Row],[local_id]]</f>
        <v>4463611151</v>
      </c>
      <c r="H5832" s="1">
        <f>_xlfn.XLOOKUP(Ocupacao_DW[[#This Row],[Concat]],Vagas!$H:$H,Vagas!$D:$D,"",0)</f>
        <v>1</v>
      </c>
    </row>
    <row r="5833" spans="1:8" x14ac:dyDescent="0.25">
      <c r="A5833" s="2">
        <v>44650</v>
      </c>
      <c r="B5833" s="1" t="s">
        <v>43</v>
      </c>
      <c r="C5833">
        <v>2396</v>
      </c>
      <c r="D5833" s="1" t="s">
        <v>197</v>
      </c>
      <c r="E5833" s="1" t="s">
        <v>6</v>
      </c>
      <c r="F5833">
        <v>2</v>
      </c>
      <c r="G5833" s="1" t="str">
        <f>Ocupacao_DW[[#This Row],[data]]&amp;Ocupacao_DW[[#This Row],[profissional_id]]&amp;Ocupacao_DW[[#This Row],[local_id]]</f>
        <v>4465023962</v>
      </c>
      <c r="H5833" s="1">
        <f>_xlfn.XLOOKUP(Ocupacao_DW[[#This Row],[Concat]],Vagas!$H:$H,Vagas!$D:$D,"",0)</f>
        <v>0</v>
      </c>
    </row>
    <row r="5834" spans="1:8" x14ac:dyDescent="0.25">
      <c r="A5834" s="2">
        <v>44635</v>
      </c>
      <c r="B5834" s="1"/>
      <c r="C5834">
        <v>0</v>
      </c>
      <c r="D5834" s="1"/>
      <c r="E5834" s="1" t="s">
        <v>4</v>
      </c>
      <c r="F5834">
        <v>40</v>
      </c>
      <c r="G5834" s="1" t="str">
        <f>Ocupacao_DW[[#This Row],[data]]&amp;Ocupacao_DW[[#This Row],[profissional_id]]&amp;Ocupacao_DW[[#This Row],[local_id]]</f>
        <v>44635040</v>
      </c>
      <c r="H5834" s="1" t="str">
        <f>_xlfn.XLOOKUP(Ocupacao_DW[[#This Row],[Concat]],Vagas!$H:$H,Vagas!$D:$D,"",0)</f>
        <v/>
      </c>
    </row>
    <row r="5835" spans="1:8" x14ac:dyDescent="0.25">
      <c r="A5835" s="2">
        <v>44635</v>
      </c>
      <c r="B5835" s="1" t="s">
        <v>62</v>
      </c>
      <c r="C5835">
        <v>3502</v>
      </c>
      <c r="D5835" s="1" t="s">
        <v>214</v>
      </c>
      <c r="E5835" s="1" t="s">
        <v>5</v>
      </c>
      <c r="F5835">
        <v>16</v>
      </c>
      <c r="G5835" s="1" t="str">
        <f>Ocupacao_DW[[#This Row],[data]]&amp;Ocupacao_DW[[#This Row],[profissional_id]]&amp;Ocupacao_DW[[#This Row],[local_id]]</f>
        <v>44635350216</v>
      </c>
      <c r="H5835" s="1">
        <f>_xlfn.XLOOKUP(Ocupacao_DW[[#This Row],[Concat]],Vagas!$H:$H,Vagas!$D:$D,"",0)</f>
        <v>0</v>
      </c>
    </row>
    <row r="5836" spans="1:8" x14ac:dyDescent="0.25">
      <c r="A5836" s="2">
        <v>44643</v>
      </c>
      <c r="B5836" s="1" t="s">
        <v>58</v>
      </c>
      <c r="C5836">
        <v>5767</v>
      </c>
      <c r="D5836" s="1" t="s">
        <v>239</v>
      </c>
      <c r="E5836" s="1" t="s">
        <v>4</v>
      </c>
      <c r="F5836">
        <v>44</v>
      </c>
      <c r="G5836" s="1" t="str">
        <f>Ocupacao_DW[[#This Row],[data]]&amp;Ocupacao_DW[[#This Row],[profissional_id]]&amp;Ocupacao_DW[[#This Row],[local_id]]</f>
        <v>44643576744</v>
      </c>
      <c r="H5836" s="1">
        <f>_xlfn.XLOOKUP(Ocupacao_DW[[#This Row],[Concat]],Vagas!$H:$H,Vagas!$D:$D,"",0)</f>
        <v>0</v>
      </c>
    </row>
    <row r="5837" spans="1:8" x14ac:dyDescent="0.25">
      <c r="A5837" s="2">
        <v>44637</v>
      </c>
      <c r="B5837" s="1" t="s">
        <v>56</v>
      </c>
      <c r="C5837">
        <v>5822</v>
      </c>
      <c r="D5837" s="1" t="s">
        <v>194</v>
      </c>
      <c r="E5837" s="1" t="s">
        <v>5</v>
      </c>
      <c r="F5837">
        <v>11</v>
      </c>
      <c r="G5837" s="1" t="str">
        <f>Ocupacao_DW[[#This Row],[data]]&amp;Ocupacao_DW[[#This Row],[profissional_id]]&amp;Ocupacao_DW[[#This Row],[local_id]]</f>
        <v>44637582211</v>
      </c>
      <c r="H5837" s="1">
        <f>_xlfn.XLOOKUP(Ocupacao_DW[[#This Row],[Concat]],Vagas!$H:$H,Vagas!$D:$D,"",0)</f>
        <v>0</v>
      </c>
    </row>
    <row r="5838" spans="1:8" x14ac:dyDescent="0.25">
      <c r="A5838" s="2">
        <v>44636</v>
      </c>
      <c r="B5838" s="1" t="s">
        <v>42</v>
      </c>
      <c r="C5838">
        <v>17902</v>
      </c>
      <c r="D5838" s="1" t="s">
        <v>264</v>
      </c>
      <c r="E5838" s="1" t="s">
        <v>4</v>
      </c>
      <c r="F5838">
        <v>39</v>
      </c>
      <c r="G5838" s="1" t="str">
        <f>Ocupacao_DW[[#This Row],[data]]&amp;Ocupacao_DW[[#This Row],[profissional_id]]&amp;Ocupacao_DW[[#This Row],[local_id]]</f>
        <v>446361790239</v>
      </c>
      <c r="H5838" s="1">
        <f>_xlfn.XLOOKUP(Ocupacao_DW[[#This Row],[Concat]],Vagas!$H:$H,Vagas!$D:$D,"",0)</f>
        <v>47</v>
      </c>
    </row>
    <row r="5839" spans="1:8" x14ac:dyDescent="0.25">
      <c r="A5839" s="2">
        <v>44638</v>
      </c>
      <c r="B5839" s="1" t="s">
        <v>64</v>
      </c>
      <c r="C5839">
        <v>86</v>
      </c>
      <c r="D5839" s="1" t="s">
        <v>175</v>
      </c>
      <c r="E5839" s="1" t="s">
        <v>5</v>
      </c>
      <c r="F5839">
        <v>349</v>
      </c>
      <c r="G5839" s="1" t="str">
        <f>Ocupacao_DW[[#This Row],[data]]&amp;Ocupacao_DW[[#This Row],[profissional_id]]&amp;Ocupacao_DW[[#This Row],[local_id]]</f>
        <v>4463886349</v>
      </c>
      <c r="H5839" s="1">
        <f>_xlfn.XLOOKUP(Ocupacao_DW[[#This Row],[Concat]],Vagas!$H:$H,Vagas!$D:$D,"",0)</f>
        <v>0</v>
      </c>
    </row>
    <row r="5840" spans="1:8" x14ac:dyDescent="0.25">
      <c r="A5840" s="2">
        <v>44635</v>
      </c>
      <c r="B5840" s="1" t="s">
        <v>55</v>
      </c>
      <c r="C5840">
        <v>60</v>
      </c>
      <c r="D5840" s="1" t="s">
        <v>217</v>
      </c>
      <c r="E5840" s="1" t="s">
        <v>167</v>
      </c>
      <c r="F5840">
        <v>345</v>
      </c>
      <c r="G5840" s="1" t="str">
        <f>Ocupacao_DW[[#This Row],[data]]&amp;Ocupacao_DW[[#This Row],[profissional_id]]&amp;Ocupacao_DW[[#This Row],[local_id]]</f>
        <v>4463560345</v>
      </c>
      <c r="H5840" s="1">
        <f>_xlfn.XLOOKUP(Ocupacao_DW[[#This Row],[Concat]],Vagas!$H:$H,Vagas!$D:$D,"",0)</f>
        <v>0</v>
      </c>
    </row>
    <row r="5841" spans="1:8" x14ac:dyDescent="0.25">
      <c r="A5841" s="2">
        <v>44650</v>
      </c>
      <c r="B5841" s="1" t="s">
        <v>55</v>
      </c>
      <c r="C5841">
        <v>73</v>
      </c>
      <c r="D5841" s="1" t="s">
        <v>171</v>
      </c>
      <c r="E5841" s="1" t="s">
        <v>6</v>
      </c>
      <c r="F5841">
        <v>5</v>
      </c>
      <c r="G5841" s="1" t="str">
        <f>Ocupacao_DW[[#This Row],[data]]&amp;Ocupacao_DW[[#This Row],[profissional_id]]&amp;Ocupacao_DW[[#This Row],[local_id]]</f>
        <v>44650735</v>
      </c>
      <c r="H5841" s="1">
        <f>_xlfn.XLOOKUP(Ocupacao_DW[[#This Row],[Concat]],Vagas!$H:$H,Vagas!$D:$D,"",0)</f>
        <v>0</v>
      </c>
    </row>
    <row r="5842" spans="1:8" x14ac:dyDescent="0.25">
      <c r="A5842" s="2">
        <v>44635</v>
      </c>
      <c r="B5842" s="1" t="s">
        <v>66</v>
      </c>
      <c r="C5842">
        <v>1343</v>
      </c>
      <c r="D5842" s="1" t="s">
        <v>263</v>
      </c>
      <c r="E5842" s="1" t="s">
        <v>200</v>
      </c>
      <c r="F5842">
        <v>80</v>
      </c>
      <c r="G5842" s="1" t="str">
        <f>Ocupacao_DW[[#This Row],[data]]&amp;Ocupacao_DW[[#This Row],[profissional_id]]&amp;Ocupacao_DW[[#This Row],[local_id]]</f>
        <v>44635134380</v>
      </c>
      <c r="H5842" s="1">
        <f>_xlfn.XLOOKUP(Ocupacao_DW[[#This Row],[Concat]],Vagas!$H:$H,Vagas!$D:$D,"",0)</f>
        <v>0</v>
      </c>
    </row>
    <row r="5843" spans="1:8" x14ac:dyDescent="0.25">
      <c r="A5843" s="2">
        <v>44635</v>
      </c>
      <c r="B5843" s="1" t="s">
        <v>47</v>
      </c>
      <c r="C5843">
        <v>111</v>
      </c>
      <c r="D5843" s="1" t="s">
        <v>199</v>
      </c>
      <c r="E5843" s="1" t="s">
        <v>4</v>
      </c>
      <c r="F5843">
        <v>51</v>
      </c>
      <c r="G5843" s="1" t="str">
        <f>Ocupacao_DW[[#This Row],[data]]&amp;Ocupacao_DW[[#This Row],[profissional_id]]&amp;Ocupacao_DW[[#This Row],[local_id]]</f>
        <v>4463511151</v>
      </c>
      <c r="H5843" s="1">
        <f>_xlfn.XLOOKUP(Ocupacao_DW[[#This Row],[Concat]],Vagas!$H:$H,Vagas!$D:$D,"",0)</f>
        <v>0</v>
      </c>
    </row>
    <row r="5844" spans="1:8" x14ac:dyDescent="0.25">
      <c r="A5844" s="2">
        <v>44643</v>
      </c>
      <c r="B5844" s="1" t="s">
        <v>52</v>
      </c>
      <c r="C5844">
        <v>57</v>
      </c>
      <c r="D5844" s="1" t="s">
        <v>169</v>
      </c>
      <c r="E5844" s="1" t="s">
        <v>6</v>
      </c>
      <c r="F5844">
        <v>4</v>
      </c>
      <c r="G5844" s="1" t="str">
        <f>Ocupacao_DW[[#This Row],[data]]&amp;Ocupacao_DW[[#This Row],[profissional_id]]&amp;Ocupacao_DW[[#This Row],[local_id]]</f>
        <v>44643574</v>
      </c>
      <c r="H5844" s="1">
        <f>_xlfn.XLOOKUP(Ocupacao_DW[[#This Row],[Concat]],Vagas!$H:$H,Vagas!$D:$D,"",0)</f>
        <v>0</v>
      </c>
    </row>
    <row r="5845" spans="1:8" x14ac:dyDescent="0.25">
      <c r="A5845" s="2">
        <v>44635</v>
      </c>
      <c r="B5845" s="1" t="s">
        <v>71</v>
      </c>
      <c r="C5845">
        <v>282</v>
      </c>
      <c r="D5845" s="1" t="s">
        <v>210</v>
      </c>
      <c r="E5845" s="1" t="s">
        <v>4</v>
      </c>
      <c r="F5845">
        <v>48</v>
      </c>
      <c r="G5845" s="1" t="str">
        <f>Ocupacao_DW[[#This Row],[data]]&amp;Ocupacao_DW[[#This Row],[profissional_id]]&amp;Ocupacao_DW[[#This Row],[local_id]]</f>
        <v>4463528248</v>
      </c>
      <c r="H5845" s="1">
        <f>_xlfn.XLOOKUP(Ocupacao_DW[[#This Row],[Concat]],Vagas!$H:$H,Vagas!$D:$D,"",0)</f>
        <v>0</v>
      </c>
    </row>
    <row r="5846" spans="1:8" x14ac:dyDescent="0.25">
      <c r="A5846" s="2">
        <v>44649</v>
      </c>
      <c r="B5846" s="1" t="s">
        <v>70</v>
      </c>
      <c r="C5846">
        <v>14237</v>
      </c>
      <c r="D5846" s="1" t="s">
        <v>186</v>
      </c>
      <c r="E5846" s="1" t="s">
        <v>4</v>
      </c>
      <c r="F5846">
        <v>47</v>
      </c>
      <c r="G5846" s="1" t="str">
        <f>Ocupacao_DW[[#This Row],[data]]&amp;Ocupacao_DW[[#This Row],[profissional_id]]&amp;Ocupacao_DW[[#This Row],[local_id]]</f>
        <v>446491423747</v>
      </c>
      <c r="H5846" s="1">
        <f>_xlfn.XLOOKUP(Ocupacao_DW[[#This Row],[Concat]],Vagas!$H:$H,Vagas!$D:$D,"",0)</f>
        <v>0</v>
      </c>
    </row>
    <row r="5847" spans="1:8" x14ac:dyDescent="0.25">
      <c r="A5847" s="2">
        <v>44641</v>
      </c>
      <c r="B5847" s="1" t="s">
        <v>49</v>
      </c>
      <c r="C5847">
        <v>17918</v>
      </c>
      <c r="D5847" s="1" t="s">
        <v>265</v>
      </c>
      <c r="E5847" s="1" t="s">
        <v>4</v>
      </c>
      <c r="F5847">
        <v>42</v>
      </c>
      <c r="G5847" s="1" t="str">
        <f>Ocupacao_DW[[#This Row],[data]]&amp;Ocupacao_DW[[#This Row],[profissional_id]]&amp;Ocupacao_DW[[#This Row],[local_id]]</f>
        <v>446411791842</v>
      </c>
      <c r="H5847" s="1">
        <f>_xlfn.XLOOKUP(Ocupacao_DW[[#This Row],[Concat]],Vagas!$H:$H,Vagas!$D:$D,"",0)</f>
        <v>0</v>
      </c>
    </row>
    <row r="5848" spans="1:8" x14ac:dyDescent="0.25">
      <c r="A5848" s="2">
        <v>44636</v>
      </c>
      <c r="B5848" s="1" t="s">
        <v>72</v>
      </c>
      <c r="C5848">
        <v>6046</v>
      </c>
      <c r="D5848" s="1" t="s">
        <v>222</v>
      </c>
      <c r="E5848" s="1" t="s">
        <v>167</v>
      </c>
      <c r="F5848">
        <v>344</v>
      </c>
      <c r="G5848" s="1" t="str">
        <f>Ocupacao_DW[[#This Row],[data]]&amp;Ocupacao_DW[[#This Row],[profissional_id]]&amp;Ocupacao_DW[[#This Row],[local_id]]</f>
        <v>446366046344</v>
      </c>
      <c r="H5848" s="1">
        <f>_xlfn.XLOOKUP(Ocupacao_DW[[#This Row],[Concat]],Vagas!$H:$H,Vagas!$D:$D,"",0)</f>
        <v>0</v>
      </c>
    </row>
    <row r="5849" spans="1:8" x14ac:dyDescent="0.25">
      <c r="A5849" s="2">
        <v>44639</v>
      </c>
      <c r="B5849" s="1" t="s">
        <v>47</v>
      </c>
      <c r="C5849">
        <v>111</v>
      </c>
      <c r="D5849" s="1" t="s">
        <v>199</v>
      </c>
      <c r="E5849" s="1" t="s">
        <v>4</v>
      </c>
      <c r="F5849">
        <v>51</v>
      </c>
      <c r="G5849" s="1" t="str">
        <f>Ocupacao_DW[[#This Row],[data]]&amp;Ocupacao_DW[[#This Row],[profissional_id]]&amp;Ocupacao_DW[[#This Row],[local_id]]</f>
        <v>4463911151</v>
      </c>
      <c r="H5849" s="1">
        <f>_xlfn.XLOOKUP(Ocupacao_DW[[#This Row],[Concat]],Vagas!$H:$H,Vagas!$D:$D,"",0)</f>
        <v>0</v>
      </c>
    </row>
    <row r="5850" spans="1:8" x14ac:dyDescent="0.25">
      <c r="A5850" s="2">
        <v>44636</v>
      </c>
      <c r="B5850" s="1" t="s">
        <v>72</v>
      </c>
      <c r="C5850">
        <v>1794</v>
      </c>
      <c r="D5850" s="1" t="s">
        <v>235</v>
      </c>
      <c r="E5850" s="1" t="s">
        <v>4</v>
      </c>
      <c r="F5850">
        <v>49</v>
      </c>
      <c r="G5850" s="1" t="str">
        <f>Ocupacao_DW[[#This Row],[data]]&amp;Ocupacao_DW[[#This Row],[profissional_id]]&amp;Ocupacao_DW[[#This Row],[local_id]]</f>
        <v>44636179449</v>
      </c>
      <c r="H5850" s="1">
        <f>_xlfn.XLOOKUP(Ocupacao_DW[[#This Row],[Concat]],Vagas!$H:$H,Vagas!$D:$D,"",0)</f>
        <v>0</v>
      </c>
    </row>
    <row r="5851" spans="1:8" x14ac:dyDescent="0.25">
      <c r="A5851" s="2">
        <v>44644</v>
      </c>
      <c r="B5851" s="1" t="s">
        <v>55</v>
      </c>
      <c r="C5851">
        <v>12426</v>
      </c>
      <c r="D5851" s="1" t="s">
        <v>215</v>
      </c>
      <c r="E5851" s="1" t="s">
        <v>6</v>
      </c>
      <c r="F5851">
        <v>5</v>
      </c>
      <c r="G5851" s="1" t="str">
        <f>Ocupacao_DW[[#This Row],[data]]&amp;Ocupacao_DW[[#This Row],[profissional_id]]&amp;Ocupacao_DW[[#This Row],[local_id]]</f>
        <v>44644124265</v>
      </c>
      <c r="H5851" s="1">
        <f>_xlfn.XLOOKUP(Ocupacao_DW[[#This Row],[Concat]],Vagas!$H:$H,Vagas!$D:$D,"",0)</f>
        <v>0</v>
      </c>
    </row>
    <row r="5852" spans="1:8" x14ac:dyDescent="0.25">
      <c r="A5852" s="2">
        <v>44635</v>
      </c>
      <c r="B5852" s="1" t="s">
        <v>54</v>
      </c>
      <c r="C5852">
        <v>69</v>
      </c>
      <c r="D5852" s="1" t="s">
        <v>238</v>
      </c>
      <c r="E5852" s="1" t="s">
        <v>5</v>
      </c>
      <c r="F5852">
        <v>13</v>
      </c>
      <c r="G5852" s="1" t="str">
        <f>Ocupacao_DW[[#This Row],[data]]&amp;Ocupacao_DW[[#This Row],[profissional_id]]&amp;Ocupacao_DW[[#This Row],[local_id]]</f>
        <v>446356913</v>
      </c>
      <c r="H5852" s="1">
        <f>_xlfn.XLOOKUP(Ocupacao_DW[[#This Row],[Concat]],Vagas!$H:$H,Vagas!$D:$D,"",0)</f>
        <v>0</v>
      </c>
    </row>
    <row r="5853" spans="1:8" x14ac:dyDescent="0.25">
      <c r="A5853" s="2">
        <v>44636</v>
      </c>
      <c r="B5853" s="1" t="s">
        <v>51</v>
      </c>
      <c r="C5853">
        <v>12679</v>
      </c>
      <c r="D5853" s="1" t="s">
        <v>192</v>
      </c>
      <c r="E5853" s="1" t="s">
        <v>5</v>
      </c>
      <c r="F5853">
        <v>11</v>
      </c>
      <c r="G5853" s="1" t="str">
        <f>Ocupacao_DW[[#This Row],[data]]&amp;Ocupacao_DW[[#This Row],[profissional_id]]&amp;Ocupacao_DW[[#This Row],[local_id]]</f>
        <v>446361267911</v>
      </c>
      <c r="H5853" s="1">
        <f>_xlfn.XLOOKUP(Ocupacao_DW[[#This Row],[Concat]],Vagas!$H:$H,Vagas!$D:$D,"",0)</f>
        <v>0</v>
      </c>
    </row>
    <row r="5854" spans="1:8" x14ac:dyDescent="0.25">
      <c r="A5854" s="2">
        <v>44636</v>
      </c>
      <c r="B5854" s="1" t="s">
        <v>49</v>
      </c>
      <c r="C5854">
        <v>81</v>
      </c>
      <c r="D5854" s="1" t="s">
        <v>170</v>
      </c>
      <c r="E5854" s="1" t="s">
        <v>4</v>
      </c>
      <c r="F5854">
        <v>41</v>
      </c>
      <c r="G5854" s="1" t="str">
        <f>Ocupacao_DW[[#This Row],[data]]&amp;Ocupacao_DW[[#This Row],[profissional_id]]&amp;Ocupacao_DW[[#This Row],[local_id]]</f>
        <v>446368141</v>
      </c>
      <c r="H5854" s="1">
        <f>_xlfn.XLOOKUP(Ocupacao_DW[[#This Row],[Concat]],Vagas!$H:$H,Vagas!$D:$D,"",0)</f>
        <v>0</v>
      </c>
    </row>
    <row r="5855" spans="1:8" x14ac:dyDescent="0.25">
      <c r="A5855" s="2">
        <v>44636</v>
      </c>
      <c r="B5855" s="1" t="s">
        <v>51</v>
      </c>
      <c r="C5855">
        <v>17859</v>
      </c>
      <c r="D5855" s="1" t="s">
        <v>212</v>
      </c>
      <c r="E5855" s="1" t="s">
        <v>6</v>
      </c>
      <c r="F5855">
        <v>7</v>
      </c>
      <c r="G5855" s="1" t="str">
        <f>Ocupacao_DW[[#This Row],[data]]&amp;Ocupacao_DW[[#This Row],[profissional_id]]&amp;Ocupacao_DW[[#This Row],[local_id]]</f>
        <v>44636178597</v>
      </c>
      <c r="H5855" s="1">
        <f>_xlfn.XLOOKUP(Ocupacao_DW[[#This Row],[Concat]],Vagas!$H:$H,Vagas!$D:$D,"",0)</f>
        <v>0</v>
      </c>
    </row>
    <row r="5856" spans="1:8" x14ac:dyDescent="0.25">
      <c r="A5856" s="2">
        <v>44635</v>
      </c>
      <c r="B5856" s="1" t="s">
        <v>54</v>
      </c>
      <c r="C5856">
        <v>69</v>
      </c>
      <c r="D5856" s="1" t="s">
        <v>238</v>
      </c>
      <c r="E5856" s="1" t="s">
        <v>5</v>
      </c>
      <c r="F5856">
        <v>13</v>
      </c>
      <c r="G5856" s="1" t="str">
        <f>Ocupacao_DW[[#This Row],[data]]&amp;Ocupacao_DW[[#This Row],[profissional_id]]&amp;Ocupacao_DW[[#This Row],[local_id]]</f>
        <v>446356913</v>
      </c>
      <c r="H5856" s="1">
        <f>_xlfn.XLOOKUP(Ocupacao_DW[[#This Row],[Concat]],Vagas!$H:$H,Vagas!$D:$D,"",0)</f>
        <v>0</v>
      </c>
    </row>
    <row r="5857" spans="1:8" x14ac:dyDescent="0.25">
      <c r="A5857" s="2">
        <v>44636</v>
      </c>
      <c r="B5857" s="1" t="s">
        <v>70</v>
      </c>
      <c r="C5857">
        <v>12825</v>
      </c>
      <c r="D5857" s="1" t="s">
        <v>177</v>
      </c>
      <c r="E5857" s="1" t="s">
        <v>4</v>
      </c>
      <c r="F5857">
        <v>45</v>
      </c>
      <c r="G5857" s="1" t="str">
        <f>Ocupacao_DW[[#This Row],[data]]&amp;Ocupacao_DW[[#This Row],[profissional_id]]&amp;Ocupacao_DW[[#This Row],[local_id]]</f>
        <v>446361282545</v>
      </c>
      <c r="H5857" s="1">
        <f>_xlfn.XLOOKUP(Ocupacao_DW[[#This Row],[Concat]],Vagas!$H:$H,Vagas!$D:$D,"",0)</f>
        <v>0</v>
      </c>
    </row>
    <row r="5858" spans="1:8" x14ac:dyDescent="0.25">
      <c r="A5858" s="2">
        <v>44636</v>
      </c>
      <c r="B5858" s="1" t="s">
        <v>54</v>
      </c>
      <c r="C5858">
        <v>70</v>
      </c>
      <c r="D5858" s="1" t="s">
        <v>187</v>
      </c>
      <c r="E5858" s="1" t="s">
        <v>5</v>
      </c>
      <c r="F5858">
        <v>13</v>
      </c>
      <c r="G5858" s="1" t="str">
        <f>Ocupacao_DW[[#This Row],[data]]&amp;Ocupacao_DW[[#This Row],[profissional_id]]&amp;Ocupacao_DW[[#This Row],[local_id]]</f>
        <v>446367013</v>
      </c>
      <c r="H5858" s="1">
        <f>_xlfn.XLOOKUP(Ocupacao_DW[[#This Row],[Concat]],Vagas!$H:$H,Vagas!$D:$D,"",0)</f>
        <v>0</v>
      </c>
    </row>
    <row r="5859" spans="1:8" x14ac:dyDescent="0.25">
      <c r="A5859" s="2">
        <v>44637</v>
      </c>
      <c r="B5859" s="1" t="s">
        <v>51</v>
      </c>
      <c r="C5859">
        <v>12582</v>
      </c>
      <c r="D5859" s="1" t="s">
        <v>190</v>
      </c>
      <c r="E5859" s="1" t="s">
        <v>5</v>
      </c>
      <c r="F5859">
        <v>15</v>
      </c>
      <c r="G5859" s="1" t="str">
        <f>Ocupacao_DW[[#This Row],[data]]&amp;Ocupacao_DW[[#This Row],[profissional_id]]&amp;Ocupacao_DW[[#This Row],[local_id]]</f>
        <v>446371258215</v>
      </c>
      <c r="H5859" s="1">
        <f>_xlfn.XLOOKUP(Ocupacao_DW[[#This Row],[Concat]],Vagas!$H:$H,Vagas!$D:$D,"",0)</f>
        <v>0</v>
      </c>
    </row>
    <row r="5860" spans="1:8" x14ac:dyDescent="0.25">
      <c r="A5860" s="2">
        <v>44636</v>
      </c>
      <c r="B5860" s="1" t="s">
        <v>51</v>
      </c>
      <c r="C5860">
        <v>12679</v>
      </c>
      <c r="D5860" s="1" t="s">
        <v>192</v>
      </c>
      <c r="E5860" s="1" t="s">
        <v>5</v>
      </c>
      <c r="F5860">
        <v>11</v>
      </c>
      <c r="G5860" s="1" t="str">
        <f>Ocupacao_DW[[#This Row],[data]]&amp;Ocupacao_DW[[#This Row],[profissional_id]]&amp;Ocupacao_DW[[#This Row],[local_id]]</f>
        <v>446361267911</v>
      </c>
      <c r="H5860" s="1">
        <f>_xlfn.XLOOKUP(Ocupacao_DW[[#This Row],[Concat]],Vagas!$H:$H,Vagas!$D:$D,"",0)</f>
        <v>0</v>
      </c>
    </row>
    <row r="5861" spans="1:8" x14ac:dyDescent="0.25">
      <c r="A5861" s="2">
        <v>44639</v>
      </c>
      <c r="B5861" s="1" t="s">
        <v>47</v>
      </c>
      <c r="C5861">
        <v>111</v>
      </c>
      <c r="D5861" s="1" t="s">
        <v>199</v>
      </c>
      <c r="E5861" s="1" t="s">
        <v>4</v>
      </c>
      <c r="F5861">
        <v>51</v>
      </c>
      <c r="G5861" s="1" t="str">
        <f>Ocupacao_DW[[#This Row],[data]]&amp;Ocupacao_DW[[#This Row],[profissional_id]]&amp;Ocupacao_DW[[#This Row],[local_id]]</f>
        <v>4463911151</v>
      </c>
      <c r="H5861" s="1">
        <f>_xlfn.XLOOKUP(Ocupacao_DW[[#This Row],[Concat]],Vagas!$H:$H,Vagas!$D:$D,"",0)</f>
        <v>0</v>
      </c>
    </row>
    <row r="5862" spans="1:8" x14ac:dyDescent="0.25">
      <c r="A5862" s="2">
        <v>44637</v>
      </c>
      <c r="B5862" s="1" t="s">
        <v>52</v>
      </c>
      <c r="C5862">
        <v>9217</v>
      </c>
      <c r="D5862" s="1" t="s">
        <v>191</v>
      </c>
      <c r="E5862" s="1" t="s">
        <v>6</v>
      </c>
      <c r="F5862">
        <v>7</v>
      </c>
      <c r="G5862" s="1" t="str">
        <f>Ocupacao_DW[[#This Row],[data]]&amp;Ocupacao_DW[[#This Row],[profissional_id]]&amp;Ocupacao_DW[[#This Row],[local_id]]</f>
        <v>4463792177</v>
      </c>
      <c r="H5862" s="1">
        <f>_xlfn.XLOOKUP(Ocupacao_DW[[#This Row],[Concat]],Vagas!$H:$H,Vagas!$D:$D,"",0)</f>
        <v>0</v>
      </c>
    </row>
    <row r="5863" spans="1:8" x14ac:dyDescent="0.25">
      <c r="A5863" s="2">
        <v>44641</v>
      </c>
      <c r="B5863" s="1" t="s">
        <v>55</v>
      </c>
      <c r="C5863">
        <v>60</v>
      </c>
      <c r="D5863" s="1" t="s">
        <v>217</v>
      </c>
      <c r="E5863" s="1" t="s">
        <v>7</v>
      </c>
      <c r="F5863">
        <v>66</v>
      </c>
      <c r="G5863" s="1" t="str">
        <f>Ocupacao_DW[[#This Row],[data]]&amp;Ocupacao_DW[[#This Row],[profissional_id]]&amp;Ocupacao_DW[[#This Row],[local_id]]</f>
        <v>446416066</v>
      </c>
      <c r="H5863" s="1">
        <f>_xlfn.XLOOKUP(Ocupacao_DW[[#This Row],[Concat]],Vagas!$H:$H,Vagas!$D:$D,"",0)</f>
        <v>0</v>
      </c>
    </row>
    <row r="5864" spans="1:8" x14ac:dyDescent="0.25">
      <c r="A5864" s="2">
        <v>44635</v>
      </c>
      <c r="B5864" s="1" t="s">
        <v>70</v>
      </c>
      <c r="C5864">
        <v>12825</v>
      </c>
      <c r="D5864" s="1" t="s">
        <v>177</v>
      </c>
      <c r="E5864" s="1" t="s">
        <v>7</v>
      </c>
      <c r="F5864">
        <v>63</v>
      </c>
      <c r="G5864" s="1" t="str">
        <f>Ocupacao_DW[[#This Row],[data]]&amp;Ocupacao_DW[[#This Row],[profissional_id]]&amp;Ocupacao_DW[[#This Row],[local_id]]</f>
        <v>446351282563</v>
      </c>
      <c r="H5864" s="1">
        <f>_xlfn.XLOOKUP(Ocupacao_DW[[#This Row],[Concat]],Vagas!$H:$H,Vagas!$D:$D,"",0)</f>
        <v>0</v>
      </c>
    </row>
    <row r="5865" spans="1:8" x14ac:dyDescent="0.25">
      <c r="A5865" s="2">
        <v>44641</v>
      </c>
      <c r="B5865" s="1" t="s">
        <v>55</v>
      </c>
      <c r="C5865">
        <v>60</v>
      </c>
      <c r="D5865" s="1" t="s">
        <v>217</v>
      </c>
      <c r="E5865" s="1" t="s">
        <v>7</v>
      </c>
      <c r="F5865">
        <v>66</v>
      </c>
      <c r="G5865" s="1" t="str">
        <f>Ocupacao_DW[[#This Row],[data]]&amp;Ocupacao_DW[[#This Row],[profissional_id]]&amp;Ocupacao_DW[[#This Row],[local_id]]</f>
        <v>446416066</v>
      </c>
      <c r="H5865" s="1">
        <f>_xlfn.XLOOKUP(Ocupacao_DW[[#This Row],[Concat]],Vagas!$H:$H,Vagas!$D:$D,"",0)</f>
        <v>0</v>
      </c>
    </row>
    <row r="5866" spans="1:8" x14ac:dyDescent="0.25">
      <c r="A5866" s="2">
        <v>44637</v>
      </c>
      <c r="B5866" s="1" t="s">
        <v>73</v>
      </c>
      <c r="C5866">
        <v>10691</v>
      </c>
      <c r="D5866" s="1" t="s">
        <v>181</v>
      </c>
      <c r="E5866" s="1" t="s">
        <v>167</v>
      </c>
      <c r="F5866">
        <v>348</v>
      </c>
      <c r="G5866" s="1" t="str">
        <f>Ocupacao_DW[[#This Row],[data]]&amp;Ocupacao_DW[[#This Row],[profissional_id]]&amp;Ocupacao_DW[[#This Row],[local_id]]</f>
        <v>4463710691348</v>
      </c>
      <c r="H5866" s="1">
        <f>_xlfn.XLOOKUP(Ocupacao_DW[[#This Row],[Concat]],Vagas!$H:$H,Vagas!$D:$D,"",0)</f>
        <v>0</v>
      </c>
    </row>
    <row r="5867" spans="1:8" x14ac:dyDescent="0.25">
      <c r="A5867" s="2">
        <v>44641</v>
      </c>
      <c r="B5867" s="1" t="s">
        <v>54</v>
      </c>
      <c r="C5867">
        <v>70</v>
      </c>
      <c r="D5867" s="1" t="s">
        <v>187</v>
      </c>
      <c r="E5867" s="1" t="s">
        <v>5</v>
      </c>
      <c r="F5867">
        <v>13</v>
      </c>
      <c r="G5867" s="1" t="str">
        <f>Ocupacao_DW[[#This Row],[data]]&amp;Ocupacao_DW[[#This Row],[profissional_id]]&amp;Ocupacao_DW[[#This Row],[local_id]]</f>
        <v>446417013</v>
      </c>
      <c r="H5867" s="1">
        <f>_xlfn.XLOOKUP(Ocupacao_DW[[#This Row],[Concat]],Vagas!$H:$H,Vagas!$D:$D,"",0)</f>
        <v>0</v>
      </c>
    </row>
    <row r="5868" spans="1:8" x14ac:dyDescent="0.25">
      <c r="A5868" s="2">
        <v>44655</v>
      </c>
      <c r="B5868" s="1" t="s">
        <v>55</v>
      </c>
      <c r="C5868">
        <v>6392</v>
      </c>
      <c r="D5868" s="1" t="s">
        <v>173</v>
      </c>
      <c r="E5868" s="1" t="s">
        <v>6</v>
      </c>
      <c r="F5868">
        <v>5</v>
      </c>
      <c r="G5868" s="1" t="str">
        <f>Ocupacao_DW[[#This Row],[data]]&amp;Ocupacao_DW[[#This Row],[profissional_id]]&amp;Ocupacao_DW[[#This Row],[local_id]]</f>
        <v>4465563925</v>
      </c>
      <c r="H5868" s="1">
        <f>_xlfn.XLOOKUP(Ocupacao_DW[[#This Row],[Concat]],Vagas!$H:$H,Vagas!$D:$D,"",0)</f>
        <v>0</v>
      </c>
    </row>
    <row r="5869" spans="1:8" x14ac:dyDescent="0.25">
      <c r="A5869" s="2">
        <v>44637</v>
      </c>
      <c r="B5869" s="1" t="s">
        <v>47</v>
      </c>
      <c r="C5869">
        <v>9111</v>
      </c>
      <c r="D5869" s="1" t="s">
        <v>206</v>
      </c>
      <c r="E5869" s="1" t="s">
        <v>4</v>
      </c>
      <c r="F5869">
        <v>334</v>
      </c>
      <c r="G5869" s="1" t="str">
        <f>Ocupacao_DW[[#This Row],[data]]&amp;Ocupacao_DW[[#This Row],[profissional_id]]&amp;Ocupacao_DW[[#This Row],[local_id]]</f>
        <v>446379111334</v>
      </c>
      <c r="H5869" s="1">
        <f>_xlfn.XLOOKUP(Ocupacao_DW[[#This Row],[Concat]],Vagas!$H:$H,Vagas!$D:$D,"",0)</f>
        <v>0</v>
      </c>
    </row>
    <row r="5870" spans="1:8" x14ac:dyDescent="0.25">
      <c r="A5870" s="2">
        <v>44636</v>
      </c>
      <c r="B5870" s="1" t="s">
        <v>52</v>
      </c>
      <c r="C5870">
        <v>10691</v>
      </c>
      <c r="D5870" s="1" t="s">
        <v>181</v>
      </c>
      <c r="E5870" s="1" t="s">
        <v>6</v>
      </c>
      <c r="F5870">
        <v>9</v>
      </c>
      <c r="G5870" s="1" t="str">
        <f>Ocupacao_DW[[#This Row],[data]]&amp;Ocupacao_DW[[#This Row],[profissional_id]]&amp;Ocupacao_DW[[#This Row],[local_id]]</f>
        <v>44636106919</v>
      </c>
      <c r="H5870" s="1">
        <f>_xlfn.XLOOKUP(Ocupacao_DW[[#This Row],[Concat]],Vagas!$H:$H,Vagas!$D:$D,"",0)</f>
        <v>0</v>
      </c>
    </row>
    <row r="5871" spans="1:8" x14ac:dyDescent="0.25">
      <c r="A5871" s="2">
        <v>44637</v>
      </c>
      <c r="B5871" s="1" t="s">
        <v>57</v>
      </c>
      <c r="C5871">
        <v>80</v>
      </c>
      <c r="D5871" s="1" t="s">
        <v>179</v>
      </c>
      <c r="E5871" s="1" t="s">
        <v>167</v>
      </c>
      <c r="F5871">
        <v>348</v>
      </c>
      <c r="G5871" s="1" t="str">
        <f>Ocupacao_DW[[#This Row],[data]]&amp;Ocupacao_DW[[#This Row],[profissional_id]]&amp;Ocupacao_DW[[#This Row],[local_id]]</f>
        <v>4463780348</v>
      </c>
      <c r="H5871" s="1">
        <f>_xlfn.XLOOKUP(Ocupacao_DW[[#This Row],[Concat]],Vagas!$H:$H,Vagas!$D:$D,"",0)</f>
        <v>0</v>
      </c>
    </row>
    <row r="5872" spans="1:8" x14ac:dyDescent="0.25">
      <c r="A5872" s="2">
        <v>44644</v>
      </c>
      <c r="B5872" s="1" t="s">
        <v>49</v>
      </c>
      <c r="C5872">
        <v>81</v>
      </c>
      <c r="D5872" s="1" t="s">
        <v>170</v>
      </c>
      <c r="E5872" s="1" t="s">
        <v>4</v>
      </c>
      <c r="F5872">
        <v>41</v>
      </c>
      <c r="G5872" s="1" t="str">
        <f>Ocupacao_DW[[#This Row],[data]]&amp;Ocupacao_DW[[#This Row],[profissional_id]]&amp;Ocupacao_DW[[#This Row],[local_id]]</f>
        <v>446448141</v>
      </c>
      <c r="H5872" s="1">
        <f>_xlfn.XLOOKUP(Ocupacao_DW[[#This Row],[Concat]],Vagas!$H:$H,Vagas!$D:$D,"",0)</f>
        <v>0</v>
      </c>
    </row>
    <row r="5873" spans="1:8" x14ac:dyDescent="0.25">
      <c r="A5873" s="2">
        <v>44641</v>
      </c>
      <c r="B5873" s="1" t="s">
        <v>55</v>
      </c>
      <c r="C5873">
        <v>60</v>
      </c>
      <c r="D5873" s="1" t="s">
        <v>217</v>
      </c>
      <c r="E5873" s="1" t="s">
        <v>7</v>
      </c>
      <c r="F5873">
        <v>66</v>
      </c>
      <c r="G5873" s="1" t="str">
        <f>Ocupacao_DW[[#This Row],[data]]&amp;Ocupacao_DW[[#This Row],[profissional_id]]&amp;Ocupacao_DW[[#This Row],[local_id]]</f>
        <v>446416066</v>
      </c>
      <c r="H5873" s="1">
        <f>_xlfn.XLOOKUP(Ocupacao_DW[[#This Row],[Concat]],Vagas!$H:$H,Vagas!$D:$D,"",0)</f>
        <v>0</v>
      </c>
    </row>
    <row r="5874" spans="1:8" x14ac:dyDescent="0.25">
      <c r="A5874" s="2">
        <v>44635</v>
      </c>
      <c r="B5874" s="1" t="s">
        <v>47</v>
      </c>
      <c r="C5874">
        <v>111</v>
      </c>
      <c r="D5874" s="1" t="s">
        <v>199</v>
      </c>
      <c r="E5874" s="1" t="s">
        <v>4</v>
      </c>
      <c r="F5874">
        <v>51</v>
      </c>
      <c r="G5874" s="1" t="str">
        <f>Ocupacao_DW[[#This Row],[data]]&amp;Ocupacao_DW[[#This Row],[profissional_id]]&amp;Ocupacao_DW[[#This Row],[local_id]]</f>
        <v>4463511151</v>
      </c>
      <c r="H5874" s="1">
        <f>_xlfn.XLOOKUP(Ocupacao_DW[[#This Row],[Concat]],Vagas!$H:$H,Vagas!$D:$D,"",0)</f>
        <v>0</v>
      </c>
    </row>
    <row r="5875" spans="1:8" x14ac:dyDescent="0.25">
      <c r="A5875" s="2">
        <v>44636</v>
      </c>
      <c r="B5875" s="1" t="s">
        <v>70</v>
      </c>
      <c r="C5875">
        <v>12825</v>
      </c>
      <c r="D5875" s="1" t="s">
        <v>177</v>
      </c>
      <c r="E5875" s="1" t="s">
        <v>4</v>
      </c>
      <c r="F5875">
        <v>45</v>
      </c>
      <c r="G5875" s="1" t="str">
        <f>Ocupacao_DW[[#This Row],[data]]&amp;Ocupacao_DW[[#This Row],[profissional_id]]&amp;Ocupacao_DW[[#This Row],[local_id]]</f>
        <v>446361282545</v>
      </c>
      <c r="H5875" s="1">
        <f>_xlfn.XLOOKUP(Ocupacao_DW[[#This Row],[Concat]],Vagas!$H:$H,Vagas!$D:$D,"",0)</f>
        <v>0</v>
      </c>
    </row>
    <row r="5876" spans="1:8" x14ac:dyDescent="0.25">
      <c r="A5876" s="2">
        <v>44641</v>
      </c>
      <c r="B5876" s="1" t="s">
        <v>55</v>
      </c>
      <c r="C5876">
        <v>60</v>
      </c>
      <c r="D5876" s="1" t="s">
        <v>217</v>
      </c>
      <c r="E5876" s="1" t="s">
        <v>7</v>
      </c>
      <c r="F5876">
        <v>66</v>
      </c>
      <c r="G5876" s="1" t="str">
        <f>Ocupacao_DW[[#This Row],[data]]&amp;Ocupacao_DW[[#This Row],[profissional_id]]&amp;Ocupacao_DW[[#This Row],[local_id]]</f>
        <v>446416066</v>
      </c>
      <c r="H5876" s="1">
        <f>_xlfn.XLOOKUP(Ocupacao_DW[[#This Row],[Concat]],Vagas!$H:$H,Vagas!$D:$D,"",0)</f>
        <v>0</v>
      </c>
    </row>
    <row r="5877" spans="1:8" x14ac:dyDescent="0.25">
      <c r="A5877" s="2">
        <v>44635</v>
      </c>
      <c r="B5877" s="1" t="s">
        <v>51</v>
      </c>
      <c r="C5877">
        <v>12582</v>
      </c>
      <c r="D5877" s="1" t="s">
        <v>190</v>
      </c>
      <c r="E5877" s="1" t="s">
        <v>7</v>
      </c>
      <c r="F5877">
        <v>62</v>
      </c>
      <c r="G5877" s="1" t="str">
        <f>Ocupacao_DW[[#This Row],[data]]&amp;Ocupacao_DW[[#This Row],[profissional_id]]&amp;Ocupacao_DW[[#This Row],[local_id]]</f>
        <v>446351258262</v>
      </c>
      <c r="H5877" s="1">
        <f>_xlfn.XLOOKUP(Ocupacao_DW[[#This Row],[Concat]],Vagas!$H:$H,Vagas!$D:$D,"",0)</f>
        <v>0</v>
      </c>
    </row>
    <row r="5878" spans="1:8" x14ac:dyDescent="0.25">
      <c r="A5878" s="2">
        <v>44638</v>
      </c>
      <c r="B5878" s="1" t="s">
        <v>47</v>
      </c>
      <c r="C5878">
        <v>13371</v>
      </c>
      <c r="D5878" s="1" t="s">
        <v>205</v>
      </c>
      <c r="E5878" s="1" t="s">
        <v>4</v>
      </c>
      <c r="F5878">
        <v>336</v>
      </c>
      <c r="G5878" s="1" t="str">
        <f>Ocupacao_DW[[#This Row],[data]]&amp;Ocupacao_DW[[#This Row],[profissional_id]]&amp;Ocupacao_DW[[#This Row],[local_id]]</f>
        <v>4463813371336</v>
      </c>
      <c r="H5878" s="1" t="str">
        <f>_xlfn.XLOOKUP(Ocupacao_DW[[#This Row],[Concat]],Vagas!$H:$H,Vagas!$D:$D,"",0)</f>
        <v/>
      </c>
    </row>
    <row r="5879" spans="1:8" x14ac:dyDescent="0.25">
      <c r="A5879" s="2">
        <v>44635</v>
      </c>
      <c r="B5879" s="1" t="s">
        <v>47</v>
      </c>
      <c r="C5879">
        <v>9111</v>
      </c>
      <c r="D5879" s="1" t="s">
        <v>206</v>
      </c>
      <c r="E5879" s="1" t="s">
        <v>4</v>
      </c>
      <c r="F5879">
        <v>335</v>
      </c>
      <c r="G5879" s="1" t="str">
        <f>Ocupacao_DW[[#This Row],[data]]&amp;Ocupacao_DW[[#This Row],[profissional_id]]&amp;Ocupacao_DW[[#This Row],[local_id]]</f>
        <v>446359111335</v>
      </c>
      <c r="H5879" s="1">
        <f>_xlfn.XLOOKUP(Ocupacao_DW[[#This Row],[Concat]],Vagas!$H:$H,Vagas!$D:$D,"",0)</f>
        <v>0</v>
      </c>
    </row>
    <row r="5880" spans="1:8" x14ac:dyDescent="0.25">
      <c r="A5880" s="2">
        <v>44636</v>
      </c>
      <c r="B5880" s="1" t="s">
        <v>62</v>
      </c>
      <c r="C5880">
        <v>2567</v>
      </c>
      <c r="D5880" s="1" t="s">
        <v>198</v>
      </c>
      <c r="E5880" s="1" t="s">
        <v>5</v>
      </c>
      <c r="F5880">
        <v>349</v>
      </c>
      <c r="G5880" s="1" t="str">
        <f>Ocupacao_DW[[#This Row],[data]]&amp;Ocupacao_DW[[#This Row],[profissional_id]]&amp;Ocupacao_DW[[#This Row],[local_id]]</f>
        <v>446362567349</v>
      </c>
      <c r="H5880" s="1">
        <f>_xlfn.XLOOKUP(Ocupacao_DW[[#This Row],[Concat]],Vagas!$H:$H,Vagas!$D:$D,"",0)</f>
        <v>0</v>
      </c>
    </row>
    <row r="5881" spans="1:8" x14ac:dyDescent="0.25">
      <c r="A5881" s="2">
        <v>44643</v>
      </c>
      <c r="B5881" s="1" t="s">
        <v>52</v>
      </c>
      <c r="C5881">
        <v>57</v>
      </c>
      <c r="D5881" s="1" t="s">
        <v>169</v>
      </c>
      <c r="E5881" s="1" t="s">
        <v>6</v>
      </c>
      <c r="F5881">
        <v>4</v>
      </c>
      <c r="G5881" s="1" t="str">
        <f>Ocupacao_DW[[#This Row],[data]]&amp;Ocupacao_DW[[#This Row],[profissional_id]]&amp;Ocupacao_DW[[#This Row],[local_id]]</f>
        <v>44643574</v>
      </c>
      <c r="H5881" s="1">
        <f>_xlfn.XLOOKUP(Ocupacao_DW[[#This Row],[Concat]],Vagas!$H:$H,Vagas!$D:$D,"",0)</f>
        <v>0</v>
      </c>
    </row>
    <row r="5882" spans="1:8" x14ac:dyDescent="0.25">
      <c r="A5882" s="2">
        <v>44637</v>
      </c>
      <c r="B5882" s="1" t="s">
        <v>54</v>
      </c>
      <c r="C5882">
        <v>69</v>
      </c>
      <c r="D5882" s="1" t="s">
        <v>238</v>
      </c>
      <c r="E5882" s="1" t="s">
        <v>5</v>
      </c>
      <c r="F5882">
        <v>13</v>
      </c>
      <c r="G5882" s="1" t="str">
        <f>Ocupacao_DW[[#This Row],[data]]&amp;Ocupacao_DW[[#This Row],[profissional_id]]&amp;Ocupacao_DW[[#This Row],[local_id]]</f>
        <v>446376913</v>
      </c>
      <c r="H5882" s="1" t="str">
        <f>_xlfn.XLOOKUP(Ocupacao_DW[[#This Row],[Concat]],Vagas!$H:$H,Vagas!$D:$D,"",0)</f>
        <v/>
      </c>
    </row>
    <row r="5883" spans="1:8" x14ac:dyDescent="0.25">
      <c r="A5883" s="2">
        <v>44636</v>
      </c>
      <c r="B5883" s="1" t="s">
        <v>47</v>
      </c>
      <c r="C5883">
        <v>110</v>
      </c>
      <c r="D5883" s="1" t="s">
        <v>193</v>
      </c>
      <c r="E5883" s="1" t="s">
        <v>4</v>
      </c>
      <c r="F5883">
        <v>334</v>
      </c>
      <c r="G5883" s="1" t="str">
        <f>Ocupacao_DW[[#This Row],[data]]&amp;Ocupacao_DW[[#This Row],[profissional_id]]&amp;Ocupacao_DW[[#This Row],[local_id]]</f>
        <v>44636110334</v>
      </c>
      <c r="H5883" s="1">
        <f>_xlfn.XLOOKUP(Ocupacao_DW[[#This Row],[Concat]],Vagas!$H:$H,Vagas!$D:$D,"",0)</f>
        <v>0</v>
      </c>
    </row>
    <row r="5884" spans="1:8" x14ac:dyDescent="0.25">
      <c r="A5884" s="2">
        <v>44643</v>
      </c>
      <c r="B5884" s="1" t="s">
        <v>50</v>
      </c>
      <c r="C5884">
        <v>10785</v>
      </c>
      <c r="D5884" s="1" t="s">
        <v>237</v>
      </c>
      <c r="E5884" s="1" t="s">
        <v>5</v>
      </c>
      <c r="F5884">
        <v>14</v>
      </c>
      <c r="G5884" s="1" t="str">
        <f>Ocupacao_DW[[#This Row],[data]]&amp;Ocupacao_DW[[#This Row],[profissional_id]]&amp;Ocupacao_DW[[#This Row],[local_id]]</f>
        <v>446431078514</v>
      </c>
      <c r="H5884" s="1">
        <f>_xlfn.XLOOKUP(Ocupacao_DW[[#This Row],[Concat]],Vagas!$H:$H,Vagas!$D:$D,"",0)</f>
        <v>22</v>
      </c>
    </row>
    <row r="5885" spans="1:8" x14ac:dyDescent="0.25">
      <c r="A5885" s="2">
        <v>44638</v>
      </c>
      <c r="B5885" s="1" t="s">
        <v>49</v>
      </c>
      <c r="C5885">
        <v>81</v>
      </c>
      <c r="D5885" s="1" t="s">
        <v>170</v>
      </c>
      <c r="E5885" s="1" t="s">
        <v>4</v>
      </c>
      <c r="F5885">
        <v>41</v>
      </c>
      <c r="G5885" s="1" t="str">
        <f>Ocupacao_DW[[#This Row],[data]]&amp;Ocupacao_DW[[#This Row],[profissional_id]]&amp;Ocupacao_DW[[#This Row],[local_id]]</f>
        <v>446388141</v>
      </c>
      <c r="H5885" s="1">
        <f>_xlfn.XLOOKUP(Ocupacao_DW[[#This Row],[Concat]],Vagas!$H:$H,Vagas!$D:$D,"",0)</f>
        <v>0</v>
      </c>
    </row>
    <row r="5886" spans="1:8" x14ac:dyDescent="0.25">
      <c r="A5886" s="2">
        <v>44645</v>
      </c>
      <c r="B5886" s="1" t="s">
        <v>55</v>
      </c>
      <c r="C5886">
        <v>2984</v>
      </c>
      <c r="D5886" s="1" t="s">
        <v>185</v>
      </c>
      <c r="E5886" s="1" t="s">
        <v>6</v>
      </c>
      <c r="F5886">
        <v>7</v>
      </c>
      <c r="G5886" s="1" t="str">
        <f>Ocupacao_DW[[#This Row],[data]]&amp;Ocupacao_DW[[#This Row],[profissional_id]]&amp;Ocupacao_DW[[#This Row],[local_id]]</f>
        <v>4464529847</v>
      </c>
      <c r="H5886" s="1">
        <f>_xlfn.XLOOKUP(Ocupacao_DW[[#This Row],[Concat]],Vagas!$H:$H,Vagas!$D:$D,"",0)</f>
        <v>0</v>
      </c>
    </row>
    <row r="5887" spans="1:8" x14ac:dyDescent="0.25">
      <c r="A5887" s="2">
        <v>44636</v>
      </c>
      <c r="B5887" s="1" t="s">
        <v>24</v>
      </c>
      <c r="C5887">
        <v>13061</v>
      </c>
      <c r="D5887" s="1" t="s">
        <v>232</v>
      </c>
      <c r="E5887" s="1" t="s">
        <v>6</v>
      </c>
      <c r="F5887">
        <v>3</v>
      </c>
      <c r="G5887" s="1" t="str">
        <f>Ocupacao_DW[[#This Row],[data]]&amp;Ocupacao_DW[[#This Row],[profissional_id]]&amp;Ocupacao_DW[[#This Row],[local_id]]</f>
        <v>44636130613</v>
      </c>
      <c r="H5887" s="1">
        <f>_xlfn.XLOOKUP(Ocupacao_DW[[#This Row],[Concat]],Vagas!$H:$H,Vagas!$D:$D,"",0)</f>
        <v>0</v>
      </c>
    </row>
    <row r="5888" spans="1:8" x14ac:dyDescent="0.25">
      <c r="A5888" s="2">
        <v>44636</v>
      </c>
      <c r="B5888" s="1" t="s">
        <v>49</v>
      </c>
      <c r="C5888">
        <v>6430</v>
      </c>
      <c r="D5888" s="1" t="s">
        <v>188</v>
      </c>
      <c r="E5888" s="1" t="s">
        <v>4</v>
      </c>
      <c r="F5888">
        <v>42</v>
      </c>
      <c r="G5888" s="1" t="str">
        <f>Ocupacao_DW[[#This Row],[data]]&amp;Ocupacao_DW[[#This Row],[profissional_id]]&amp;Ocupacao_DW[[#This Row],[local_id]]</f>
        <v>44636643042</v>
      </c>
      <c r="H5888" s="1">
        <f>_xlfn.XLOOKUP(Ocupacao_DW[[#This Row],[Concat]],Vagas!$H:$H,Vagas!$D:$D,"",0)</f>
        <v>0</v>
      </c>
    </row>
    <row r="5889" spans="1:8" x14ac:dyDescent="0.25">
      <c r="A5889" s="2">
        <v>44643</v>
      </c>
      <c r="B5889" s="1" t="s">
        <v>52</v>
      </c>
      <c r="C5889">
        <v>10691</v>
      </c>
      <c r="D5889" s="1" t="s">
        <v>181</v>
      </c>
      <c r="E5889" s="1" t="s">
        <v>6</v>
      </c>
      <c r="F5889">
        <v>9</v>
      </c>
      <c r="G5889" s="1" t="str">
        <f>Ocupacao_DW[[#This Row],[data]]&amp;Ocupacao_DW[[#This Row],[profissional_id]]&amp;Ocupacao_DW[[#This Row],[local_id]]</f>
        <v>44643106919</v>
      </c>
      <c r="H5889" s="1">
        <f>_xlfn.XLOOKUP(Ocupacao_DW[[#This Row],[Concat]],Vagas!$H:$H,Vagas!$D:$D,"",0)</f>
        <v>0</v>
      </c>
    </row>
    <row r="5890" spans="1:8" x14ac:dyDescent="0.25">
      <c r="A5890" s="2">
        <v>44649</v>
      </c>
      <c r="B5890" s="1" t="s">
        <v>55</v>
      </c>
      <c r="C5890">
        <v>14452</v>
      </c>
      <c r="D5890" s="1" t="s">
        <v>266</v>
      </c>
      <c r="E5890" s="1" t="s">
        <v>200</v>
      </c>
      <c r="F5890">
        <v>78</v>
      </c>
      <c r="G5890" s="1" t="str">
        <f>Ocupacao_DW[[#This Row],[data]]&amp;Ocupacao_DW[[#This Row],[profissional_id]]&amp;Ocupacao_DW[[#This Row],[local_id]]</f>
        <v>446491445278</v>
      </c>
      <c r="H5890" s="1">
        <f>_xlfn.XLOOKUP(Ocupacao_DW[[#This Row],[Concat]],Vagas!$H:$H,Vagas!$D:$D,"",0)</f>
        <v>0</v>
      </c>
    </row>
    <row r="5891" spans="1:8" x14ac:dyDescent="0.25">
      <c r="A5891" s="2">
        <v>44636</v>
      </c>
      <c r="B5891" s="1" t="s">
        <v>55</v>
      </c>
      <c r="C5891">
        <v>14452</v>
      </c>
      <c r="D5891" s="1" t="s">
        <v>266</v>
      </c>
      <c r="E5891" s="1" t="s">
        <v>200</v>
      </c>
      <c r="F5891">
        <v>78</v>
      </c>
      <c r="G5891" s="1" t="str">
        <f>Ocupacao_DW[[#This Row],[data]]&amp;Ocupacao_DW[[#This Row],[profissional_id]]&amp;Ocupacao_DW[[#This Row],[local_id]]</f>
        <v>446361445278</v>
      </c>
      <c r="H5891" s="1" t="str">
        <f>_xlfn.XLOOKUP(Ocupacao_DW[[#This Row],[Concat]],Vagas!$H:$H,Vagas!$D:$D,"",0)</f>
        <v/>
      </c>
    </row>
    <row r="5892" spans="1:8" x14ac:dyDescent="0.25">
      <c r="A5892" s="2">
        <v>44644</v>
      </c>
      <c r="B5892" s="1" t="s">
        <v>55</v>
      </c>
      <c r="C5892">
        <v>12426</v>
      </c>
      <c r="D5892" s="1" t="s">
        <v>215</v>
      </c>
      <c r="E5892" s="1" t="s">
        <v>6</v>
      </c>
      <c r="F5892">
        <v>5</v>
      </c>
      <c r="G5892" s="1" t="str">
        <f>Ocupacao_DW[[#This Row],[data]]&amp;Ocupacao_DW[[#This Row],[profissional_id]]&amp;Ocupacao_DW[[#This Row],[local_id]]</f>
        <v>44644124265</v>
      </c>
      <c r="H5892" s="1">
        <f>_xlfn.XLOOKUP(Ocupacao_DW[[#This Row],[Concat]],Vagas!$H:$H,Vagas!$D:$D,"",0)</f>
        <v>0</v>
      </c>
    </row>
    <row r="5893" spans="1:8" x14ac:dyDescent="0.25">
      <c r="A5893" s="2">
        <v>44636</v>
      </c>
      <c r="B5893" s="1" t="s">
        <v>52</v>
      </c>
      <c r="C5893">
        <v>10691</v>
      </c>
      <c r="D5893" s="1" t="s">
        <v>181</v>
      </c>
      <c r="E5893" s="1" t="s">
        <v>6</v>
      </c>
      <c r="F5893">
        <v>9</v>
      </c>
      <c r="G5893" s="1" t="str">
        <f>Ocupacao_DW[[#This Row],[data]]&amp;Ocupacao_DW[[#This Row],[profissional_id]]&amp;Ocupacao_DW[[#This Row],[local_id]]</f>
        <v>44636106919</v>
      </c>
      <c r="H5893" s="1">
        <f>_xlfn.XLOOKUP(Ocupacao_DW[[#This Row],[Concat]],Vagas!$H:$H,Vagas!$D:$D,"",0)</f>
        <v>0</v>
      </c>
    </row>
    <row r="5894" spans="1:8" x14ac:dyDescent="0.25">
      <c r="A5894" s="2">
        <v>44643</v>
      </c>
      <c r="B5894" s="1" t="s">
        <v>70</v>
      </c>
      <c r="C5894">
        <v>12825</v>
      </c>
      <c r="D5894" s="1" t="s">
        <v>177</v>
      </c>
      <c r="E5894" s="1" t="s">
        <v>4</v>
      </c>
      <c r="F5894">
        <v>45</v>
      </c>
      <c r="G5894" s="1" t="str">
        <f>Ocupacao_DW[[#This Row],[data]]&amp;Ocupacao_DW[[#This Row],[profissional_id]]&amp;Ocupacao_DW[[#This Row],[local_id]]</f>
        <v>446431282545</v>
      </c>
      <c r="H5894" s="1">
        <f>_xlfn.XLOOKUP(Ocupacao_DW[[#This Row],[Concat]],Vagas!$H:$H,Vagas!$D:$D,"",0)</f>
        <v>0</v>
      </c>
    </row>
    <row r="5895" spans="1:8" x14ac:dyDescent="0.25">
      <c r="A5895" s="2">
        <v>44638</v>
      </c>
      <c r="B5895" s="1" t="s">
        <v>49</v>
      </c>
      <c r="C5895">
        <v>81</v>
      </c>
      <c r="D5895" s="1" t="s">
        <v>170</v>
      </c>
      <c r="E5895" s="1" t="s">
        <v>4</v>
      </c>
      <c r="F5895">
        <v>41</v>
      </c>
      <c r="G5895" s="1" t="str">
        <f>Ocupacao_DW[[#This Row],[data]]&amp;Ocupacao_DW[[#This Row],[profissional_id]]&amp;Ocupacao_DW[[#This Row],[local_id]]</f>
        <v>446388141</v>
      </c>
      <c r="H5895" s="1">
        <f>_xlfn.XLOOKUP(Ocupacao_DW[[#This Row],[Concat]],Vagas!$H:$H,Vagas!$D:$D,"",0)</f>
        <v>0</v>
      </c>
    </row>
    <row r="5896" spans="1:8" x14ac:dyDescent="0.25">
      <c r="A5896" s="2">
        <v>44641</v>
      </c>
      <c r="B5896" s="1" t="s">
        <v>62</v>
      </c>
      <c r="C5896">
        <v>2567</v>
      </c>
      <c r="D5896" s="1" t="s">
        <v>198</v>
      </c>
      <c r="E5896" s="1" t="s">
        <v>5</v>
      </c>
      <c r="F5896">
        <v>18</v>
      </c>
      <c r="G5896" s="1" t="str">
        <f>Ocupacao_DW[[#This Row],[data]]&amp;Ocupacao_DW[[#This Row],[profissional_id]]&amp;Ocupacao_DW[[#This Row],[local_id]]</f>
        <v>44641256718</v>
      </c>
      <c r="H5896" s="1">
        <f>_xlfn.XLOOKUP(Ocupacao_DW[[#This Row],[Concat]],Vagas!$H:$H,Vagas!$D:$D,"",0)</f>
        <v>0</v>
      </c>
    </row>
    <row r="5897" spans="1:8" x14ac:dyDescent="0.25">
      <c r="A5897" s="2">
        <v>44637</v>
      </c>
      <c r="B5897" s="1" t="s">
        <v>71</v>
      </c>
      <c r="C5897">
        <v>76</v>
      </c>
      <c r="D5897" s="1" t="s">
        <v>227</v>
      </c>
      <c r="E5897" s="1" t="s">
        <v>4</v>
      </c>
      <c r="F5897">
        <v>48</v>
      </c>
      <c r="G5897" s="1" t="str">
        <f>Ocupacao_DW[[#This Row],[data]]&amp;Ocupacao_DW[[#This Row],[profissional_id]]&amp;Ocupacao_DW[[#This Row],[local_id]]</f>
        <v>446377648</v>
      </c>
      <c r="H5897" s="1">
        <f>_xlfn.XLOOKUP(Ocupacao_DW[[#This Row],[Concat]],Vagas!$H:$H,Vagas!$D:$D,"",0)</f>
        <v>0</v>
      </c>
    </row>
    <row r="5898" spans="1:8" x14ac:dyDescent="0.25">
      <c r="A5898" s="2">
        <v>44642</v>
      </c>
      <c r="B5898" s="1" t="s">
        <v>55</v>
      </c>
      <c r="C5898">
        <v>12669</v>
      </c>
      <c r="D5898" s="1" t="s">
        <v>223</v>
      </c>
      <c r="E5898" s="1" t="s">
        <v>6</v>
      </c>
      <c r="F5898">
        <v>6</v>
      </c>
      <c r="G5898" s="1" t="str">
        <f>Ocupacao_DW[[#This Row],[data]]&amp;Ocupacao_DW[[#This Row],[profissional_id]]&amp;Ocupacao_DW[[#This Row],[local_id]]</f>
        <v>44642126696</v>
      </c>
      <c r="H5898" s="1">
        <f>_xlfn.XLOOKUP(Ocupacao_DW[[#This Row],[Concat]],Vagas!$H:$H,Vagas!$D:$D,"",0)</f>
        <v>0</v>
      </c>
    </row>
    <row r="5899" spans="1:8" x14ac:dyDescent="0.25">
      <c r="A5899" s="2">
        <v>44642</v>
      </c>
      <c r="B5899" s="1" t="s">
        <v>52</v>
      </c>
      <c r="C5899">
        <v>13061</v>
      </c>
      <c r="D5899" s="1" t="s">
        <v>232</v>
      </c>
      <c r="E5899" s="1" t="s">
        <v>6</v>
      </c>
      <c r="F5899">
        <v>9</v>
      </c>
      <c r="G5899" s="1" t="str">
        <f>Ocupacao_DW[[#This Row],[data]]&amp;Ocupacao_DW[[#This Row],[profissional_id]]&amp;Ocupacao_DW[[#This Row],[local_id]]</f>
        <v>44642130619</v>
      </c>
      <c r="H5899" s="1">
        <f>_xlfn.XLOOKUP(Ocupacao_DW[[#This Row],[Concat]],Vagas!$H:$H,Vagas!$D:$D,"",0)</f>
        <v>0</v>
      </c>
    </row>
    <row r="5900" spans="1:8" x14ac:dyDescent="0.25">
      <c r="A5900" s="2">
        <v>44635</v>
      </c>
      <c r="B5900" s="1" t="s">
        <v>49</v>
      </c>
      <c r="C5900">
        <v>266</v>
      </c>
      <c r="D5900" s="1" t="s">
        <v>201</v>
      </c>
      <c r="E5900" s="1" t="s">
        <v>4</v>
      </c>
      <c r="F5900">
        <v>42</v>
      </c>
      <c r="G5900" s="1" t="str">
        <f>Ocupacao_DW[[#This Row],[data]]&amp;Ocupacao_DW[[#This Row],[profissional_id]]&amp;Ocupacao_DW[[#This Row],[local_id]]</f>
        <v>4463526642</v>
      </c>
      <c r="H5900" s="1">
        <f>_xlfn.XLOOKUP(Ocupacao_DW[[#This Row],[Concat]],Vagas!$H:$H,Vagas!$D:$D,"",0)</f>
        <v>0</v>
      </c>
    </row>
    <row r="5901" spans="1:8" x14ac:dyDescent="0.25">
      <c r="A5901" s="2">
        <v>44642</v>
      </c>
      <c r="B5901" s="1" t="s">
        <v>49</v>
      </c>
      <c r="C5901">
        <v>266</v>
      </c>
      <c r="D5901" s="1" t="s">
        <v>201</v>
      </c>
      <c r="E5901" s="1" t="s">
        <v>4</v>
      </c>
      <c r="F5901">
        <v>42</v>
      </c>
      <c r="G5901" s="1" t="str">
        <f>Ocupacao_DW[[#This Row],[data]]&amp;Ocupacao_DW[[#This Row],[profissional_id]]&amp;Ocupacao_DW[[#This Row],[local_id]]</f>
        <v>4464226642</v>
      </c>
      <c r="H5901" s="1">
        <f>_xlfn.XLOOKUP(Ocupacao_DW[[#This Row],[Concat]],Vagas!$H:$H,Vagas!$D:$D,"",0)</f>
        <v>0</v>
      </c>
    </row>
    <row r="5902" spans="1:8" x14ac:dyDescent="0.25">
      <c r="A5902" s="2">
        <v>44635</v>
      </c>
      <c r="B5902" s="1" t="s">
        <v>42</v>
      </c>
      <c r="C5902">
        <v>17902</v>
      </c>
      <c r="D5902" s="1" t="s">
        <v>264</v>
      </c>
      <c r="E5902" s="1" t="s">
        <v>4</v>
      </c>
      <c r="F5902">
        <v>39</v>
      </c>
      <c r="G5902" s="1" t="str">
        <f>Ocupacao_DW[[#This Row],[data]]&amp;Ocupacao_DW[[#This Row],[profissional_id]]&amp;Ocupacao_DW[[#This Row],[local_id]]</f>
        <v>446351790239</v>
      </c>
      <c r="H5902" s="1">
        <f>_xlfn.XLOOKUP(Ocupacao_DW[[#This Row],[Concat]],Vagas!$H:$H,Vagas!$D:$D,"",0)</f>
        <v>39</v>
      </c>
    </row>
    <row r="5903" spans="1:8" x14ac:dyDescent="0.25">
      <c r="A5903" s="2">
        <v>44635</v>
      </c>
      <c r="B5903" s="1" t="s">
        <v>54</v>
      </c>
      <c r="C5903">
        <v>12623</v>
      </c>
      <c r="D5903" s="1" t="s">
        <v>258</v>
      </c>
      <c r="E5903" s="1" t="s">
        <v>5</v>
      </c>
      <c r="F5903">
        <v>11</v>
      </c>
      <c r="G5903" s="1" t="str">
        <f>Ocupacao_DW[[#This Row],[data]]&amp;Ocupacao_DW[[#This Row],[profissional_id]]&amp;Ocupacao_DW[[#This Row],[local_id]]</f>
        <v>446351262311</v>
      </c>
      <c r="H5903" s="1">
        <f>_xlfn.XLOOKUP(Ocupacao_DW[[#This Row],[Concat]],Vagas!$H:$H,Vagas!$D:$D,"",0)</f>
        <v>0</v>
      </c>
    </row>
    <row r="5904" spans="1:8" x14ac:dyDescent="0.25">
      <c r="A5904" s="2">
        <v>44635</v>
      </c>
      <c r="B5904" s="1" t="s">
        <v>47</v>
      </c>
      <c r="C5904">
        <v>12752</v>
      </c>
      <c r="D5904" s="1" t="s">
        <v>253</v>
      </c>
      <c r="E5904" s="1" t="s">
        <v>7</v>
      </c>
      <c r="F5904">
        <v>60</v>
      </c>
      <c r="G5904" s="1" t="str">
        <f>Ocupacao_DW[[#This Row],[data]]&amp;Ocupacao_DW[[#This Row],[profissional_id]]&amp;Ocupacao_DW[[#This Row],[local_id]]</f>
        <v>446351275260</v>
      </c>
      <c r="H5904" s="1">
        <f>_xlfn.XLOOKUP(Ocupacao_DW[[#This Row],[Concat]],Vagas!$H:$H,Vagas!$D:$D,"",0)</f>
        <v>0</v>
      </c>
    </row>
    <row r="5905" spans="1:8" x14ac:dyDescent="0.25">
      <c r="A5905" s="2">
        <v>44637</v>
      </c>
      <c r="B5905" s="1" t="s">
        <v>51</v>
      </c>
      <c r="C5905">
        <v>12582</v>
      </c>
      <c r="D5905" s="1" t="s">
        <v>190</v>
      </c>
      <c r="E5905" s="1" t="s">
        <v>5</v>
      </c>
      <c r="F5905">
        <v>15</v>
      </c>
      <c r="G5905" s="1" t="str">
        <f>Ocupacao_DW[[#This Row],[data]]&amp;Ocupacao_DW[[#This Row],[profissional_id]]&amp;Ocupacao_DW[[#This Row],[local_id]]</f>
        <v>446371258215</v>
      </c>
      <c r="H5905" s="1">
        <f>_xlfn.XLOOKUP(Ocupacao_DW[[#This Row],[Concat]],Vagas!$H:$H,Vagas!$D:$D,"",0)</f>
        <v>0</v>
      </c>
    </row>
    <row r="5906" spans="1:8" x14ac:dyDescent="0.25">
      <c r="A5906" s="2">
        <v>44636</v>
      </c>
      <c r="B5906" s="1" t="s">
        <v>49</v>
      </c>
      <c r="C5906">
        <v>6430</v>
      </c>
      <c r="D5906" s="1" t="s">
        <v>188</v>
      </c>
      <c r="E5906" s="1" t="s">
        <v>4</v>
      </c>
      <c r="F5906">
        <v>42</v>
      </c>
      <c r="G5906" s="1" t="str">
        <f>Ocupacao_DW[[#This Row],[data]]&amp;Ocupacao_DW[[#This Row],[profissional_id]]&amp;Ocupacao_DW[[#This Row],[local_id]]</f>
        <v>44636643042</v>
      </c>
      <c r="H5906" s="1">
        <f>_xlfn.XLOOKUP(Ocupacao_DW[[#This Row],[Concat]],Vagas!$H:$H,Vagas!$D:$D,"",0)</f>
        <v>0</v>
      </c>
    </row>
    <row r="5907" spans="1:8" x14ac:dyDescent="0.25">
      <c r="A5907" s="2">
        <v>44637</v>
      </c>
      <c r="B5907" s="1" t="s">
        <v>57</v>
      </c>
      <c r="C5907">
        <v>80</v>
      </c>
      <c r="D5907" s="1" t="s">
        <v>179</v>
      </c>
      <c r="E5907" s="1" t="s">
        <v>167</v>
      </c>
      <c r="F5907">
        <v>348</v>
      </c>
      <c r="G5907" s="1" t="str">
        <f>Ocupacao_DW[[#This Row],[data]]&amp;Ocupacao_DW[[#This Row],[profissional_id]]&amp;Ocupacao_DW[[#This Row],[local_id]]</f>
        <v>4463780348</v>
      </c>
      <c r="H5907" s="1">
        <f>_xlfn.XLOOKUP(Ocupacao_DW[[#This Row],[Concat]],Vagas!$H:$H,Vagas!$D:$D,"",0)</f>
        <v>0</v>
      </c>
    </row>
    <row r="5908" spans="1:8" x14ac:dyDescent="0.25">
      <c r="A5908" s="2">
        <v>44637</v>
      </c>
      <c r="B5908" s="1" t="s">
        <v>56</v>
      </c>
      <c r="C5908">
        <v>5822</v>
      </c>
      <c r="D5908" s="1" t="s">
        <v>194</v>
      </c>
      <c r="E5908" s="1" t="s">
        <v>5</v>
      </c>
      <c r="F5908">
        <v>11</v>
      </c>
      <c r="G5908" s="1" t="str">
        <f>Ocupacao_DW[[#This Row],[data]]&amp;Ocupacao_DW[[#This Row],[profissional_id]]&amp;Ocupacao_DW[[#This Row],[local_id]]</f>
        <v>44637582211</v>
      </c>
      <c r="H5908" s="1">
        <f>_xlfn.XLOOKUP(Ocupacao_DW[[#This Row],[Concat]],Vagas!$H:$H,Vagas!$D:$D,"",0)</f>
        <v>0</v>
      </c>
    </row>
    <row r="5909" spans="1:8" x14ac:dyDescent="0.25">
      <c r="A5909" s="2">
        <v>44650</v>
      </c>
      <c r="B5909" s="1" t="s">
        <v>70</v>
      </c>
      <c r="C5909">
        <v>12825</v>
      </c>
      <c r="D5909" s="1" t="s">
        <v>177</v>
      </c>
      <c r="E5909" s="1" t="s">
        <v>4</v>
      </c>
      <c r="F5909">
        <v>45</v>
      </c>
      <c r="G5909" s="1" t="str">
        <f>Ocupacao_DW[[#This Row],[data]]&amp;Ocupacao_DW[[#This Row],[profissional_id]]&amp;Ocupacao_DW[[#This Row],[local_id]]</f>
        <v>446501282545</v>
      </c>
      <c r="H5909" s="1">
        <f>_xlfn.XLOOKUP(Ocupacao_DW[[#This Row],[Concat]],Vagas!$H:$H,Vagas!$D:$D,"",0)</f>
        <v>0</v>
      </c>
    </row>
    <row r="5910" spans="1:8" x14ac:dyDescent="0.25">
      <c r="A5910" s="2">
        <v>44657</v>
      </c>
      <c r="B5910" s="1" t="s">
        <v>51</v>
      </c>
      <c r="C5910">
        <v>7551</v>
      </c>
      <c r="D5910" s="1" t="s">
        <v>246</v>
      </c>
      <c r="E5910" s="1" t="s">
        <v>5</v>
      </c>
      <c r="F5910">
        <v>15</v>
      </c>
      <c r="G5910" s="1" t="str">
        <f>Ocupacao_DW[[#This Row],[data]]&amp;Ocupacao_DW[[#This Row],[profissional_id]]&amp;Ocupacao_DW[[#This Row],[local_id]]</f>
        <v>44657755115</v>
      </c>
      <c r="H5910" s="1">
        <f>_xlfn.XLOOKUP(Ocupacao_DW[[#This Row],[Concat]],Vagas!$H:$H,Vagas!$D:$D,"",0)</f>
        <v>0</v>
      </c>
    </row>
    <row r="5911" spans="1:8" x14ac:dyDescent="0.25">
      <c r="A5911" s="2">
        <v>44635</v>
      </c>
      <c r="B5911" s="1" t="s">
        <v>53</v>
      </c>
      <c r="C5911">
        <v>9138</v>
      </c>
      <c r="D5911" s="1" t="s">
        <v>184</v>
      </c>
      <c r="E5911" s="1" t="s">
        <v>167</v>
      </c>
      <c r="F5911">
        <v>344</v>
      </c>
      <c r="G5911" s="1" t="str">
        <f>Ocupacao_DW[[#This Row],[data]]&amp;Ocupacao_DW[[#This Row],[profissional_id]]&amp;Ocupacao_DW[[#This Row],[local_id]]</f>
        <v>446359138344</v>
      </c>
      <c r="H5911" s="1">
        <f>_xlfn.XLOOKUP(Ocupacao_DW[[#This Row],[Concat]],Vagas!$H:$H,Vagas!$D:$D,"",0)</f>
        <v>0</v>
      </c>
    </row>
    <row r="5912" spans="1:8" x14ac:dyDescent="0.25">
      <c r="A5912" s="2">
        <v>44636</v>
      </c>
      <c r="B5912" s="1" t="s">
        <v>47</v>
      </c>
      <c r="C5912">
        <v>110</v>
      </c>
      <c r="D5912" s="1" t="s">
        <v>193</v>
      </c>
      <c r="E5912" s="1" t="s">
        <v>4</v>
      </c>
      <c r="F5912">
        <v>334</v>
      </c>
      <c r="G5912" s="1" t="str">
        <f>Ocupacao_DW[[#This Row],[data]]&amp;Ocupacao_DW[[#This Row],[profissional_id]]&amp;Ocupacao_DW[[#This Row],[local_id]]</f>
        <v>44636110334</v>
      </c>
      <c r="H5912" s="1">
        <f>_xlfn.XLOOKUP(Ocupacao_DW[[#This Row],[Concat]],Vagas!$H:$H,Vagas!$D:$D,"",0)</f>
        <v>0</v>
      </c>
    </row>
    <row r="5913" spans="1:8" x14ac:dyDescent="0.25">
      <c r="A5913" s="2">
        <v>44637</v>
      </c>
      <c r="B5913" s="1" t="s">
        <v>52</v>
      </c>
      <c r="C5913">
        <v>9217</v>
      </c>
      <c r="D5913" s="1" t="s">
        <v>191</v>
      </c>
      <c r="E5913" s="1" t="s">
        <v>6</v>
      </c>
      <c r="F5913">
        <v>7</v>
      </c>
      <c r="G5913" s="1" t="str">
        <f>Ocupacao_DW[[#This Row],[data]]&amp;Ocupacao_DW[[#This Row],[profissional_id]]&amp;Ocupacao_DW[[#This Row],[local_id]]</f>
        <v>4463792177</v>
      </c>
      <c r="H5913" s="1">
        <f>_xlfn.XLOOKUP(Ocupacao_DW[[#This Row],[Concat]],Vagas!$H:$H,Vagas!$D:$D,"",0)</f>
        <v>0</v>
      </c>
    </row>
    <row r="5914" spans="1:8" x14ac:dyDescent="0.25">
      <c r="A5914" s="2">
        <v>44635</v>
      </c>
      <c r="B5914" s="1" t="s">
        <v>65</v>
      </c>
      <c r="C5914">
        <v>11237</v>
      </c>
      <c r="D5914" s="1" t="s">
        <v>229</v>
      </c>
      <c r="E5914" s="1" t="s">
        <v>4</v>
      </c>
      <c r="F5914">
        <v>46</v>
      </c>
      <c r="G5914" s="1" t="str">
        <f>Ocupacao_DW[[#This Row],[data]]&amp;Ocupacao_DW[[#This Row],[profissional_id]]&amp;Ocupacao_DW[[#This Row],[local_id]]</f>
        <v>446351123746</v>
      </c>
      <c r="H5914" s="1">
        <f>_xlfn.XLOOKUP(Ocupacao_DW[[#This Row],[Concat]],Vagas!$H:$H,Vagas!$D:$D,"",0)</f>
        <v>0</v>
      </c>
    </row>
    <row r="5915" spans="1:8" x14ac:dyDescent="0.25">
      <c r="A5915" s="2">
        <v>44642</v>
      </c>
      <c r="B5915" s="1" t="s">
        <v>55</v>
      </c>
      <c r="C5915">
        <v>14452</v>
      </c>
      <c r="D5915" s="1" t="s">
        <v>266</v>
      </c>
      <c r="E5915" s="1" t="s">
        <v>200</v>
      </c>
      <c r="F5915">
        <v>78</v>
      </c>
      <c r="G5915" s="1" t="str">
        <f>Ocupacao_DW[[#This Row],[data]]&amp;Ocupacao_DW[[#This Row],[profissional_id]]&amp;Ocupacao_DW[[#This Row],[local_id]]</f>
        <v>446421445278</v>
      </c>
      <c r="H5915" s="1">
        <f>_xlfn.XLOOKUP(Ocupacao_DW[[#This Row],[Concat]],Vagas!$H:$H,Vagas!$D:$D,"",0)</f>
        <v>0</v>
      </c>
    </row>
    <row r="5916" spans="1:8" x14ac:dyDescent="0.25">
      <c r="A5916" s="2">
        <v>44643</v>
      </c>
      <c r="B5916" s="1" t="s">
        <v>52</v>
      </c>
      <c r="C5916">
        <v>57</v>
      </c>
      <c r="D5916" s="1" t="s">
        <v>169</v>
      </c>
      <c r="E5916" s="1" t="s">
        <v>6</v>
      </c>
      <c r="F5916">
        <v>4</v>
      </c>
      <c r="G5916" s="1" t="str">
        <f>Ocupacao_DW[[#This Row],[data]]&amp;Ocupacao_DW[[#This Row],[profissional_id]]&amp;Ocupacao_DW[[#This Row],[local_id]]</f>
        <v>44643574</v>
      </c>
      <c r="H5916" s="1">
        <f>_xlfn.XLOOKUP(Ocupacao_DW[[#This Row],[Concat]],Vagas!$H:$H,Vagas!$D:$D,"",0)</f>
        <v>0</v>
      </c>
    </row>
    <row r="5917" spans="1:8" x14ac:dyDescent="0.25">
      <c r="A5917" s="2">
        <v>44635</v>
      </c>
      <c r="B5917" s="1" t="s">
        <v>47</v>
      </c>
      <c r="C5917">
        <v>111</v>
      </c>
      <c r="D5917" s="1" t="s">
        <v>199</v>
      </c>
      <c r="E5917" s="1" t="s">
        <v>4</v>
      </c>
      <c r="F5917">
        <v>51</v>
      </c>
      <c r="G5917" s="1" t="str">
        <f>Ocupacao_DW[[#This Row],[data]]&amp;Ocupacao_DW[[#This Row],[profissional_id]]&amp;Ocupacao_DW[[#This Row],[local_id]]</f>
        <v>4463511151</v>
      </c>
      <c r="H5917" s="1">
        <f>_xlfn.XLOOKUP(Ocupacao_DW[[#This Row],[Concat]],Vagas!$H:$H,Vagas!$D:$D,"",0)</f>
        <v>0</v>
      </c>
    </row>
    <row r="5918" spans="1:8" x14ac:dyDescent="0.25">
      <c r="A5918" s="2">
        <v>44635</v>
      </c>
      <c r="B5918" s="1" t="s">
        <v>55</v>
      </c>
      <c r="C5918">
        <v>60</v>
      </c>
      <c r="D5918" s="1" t="s">
        <v>217</v>
      </c>
      <c r="E5918" s="1" t="s">
        <v>167</v>
      </c>
      <c r="F5918">
        <v>345</v>
      </c>
      <c r="G5918" s="1" t="str">
        <f>Ocupacao_DW[[#This Row],[data]]&amp;Ocupacao_DW[[#This Row],[profissional_id]]&amp;Ocupacao_DW[[#This Row],[local_id]]</f>
        <v>4463560345</v>
      </c>
      <c r="H5918" s="1">
        <f>_xlfn.XLOOKUP(Ocupacao_DW[[#This Row],[Concat]],Vagas!$H:$H,Vagas!$D:$D,"",0)</f>
        <v>0</v>
      </c>
    </row>
    <row r="5919" spans="1:8" x14ac:dyDescent="0.25">
      <c r="A5919" s="2">
        <v>44635</v>
      </c>
      <c r="B5919" s="1" t="s">
        <v>70</v>
      </c>
      <c r="C5919">
        <v>12825</v>
      </c>
      <c r="D5919" s="1" t="s">
        <v>177</v>
      </c>
      <c r="E5919" s="1" t="s">
        <v>7</v>
      </c>
      <c r="F5919">
        <v>63</v>
      </c>
      <c r="G5919" s="1" t="str">
        <f>Ocupacao_DW[[#This Row],[data]]&amp;Ocupacao_DW[[#This Row],[profissional_id]]&amp;Ocupacao_DW[[#This Row],[local_id]]</f>
        <v>446351282563</v>
      </c>
      <c r="H5919" s="1">
        <f>_xlfn.XLOOKUP(Ocupacao_DW[[#This Row],[Concat]],Vagas!$H:$H,Vagas!$D:$D,"",0)</f>
        <v>0</v>
      </c>
    </row>
    <row r="5920" spans="1:8" x14ac:dyDescent="0.25">
      <c r="A5920" s="2">
        <v>44637</v>
      </c>
      <c r="B5920" s="1" t="s">
        <v>71</v>
      </c>
      <c r="C5920">
        <v>76</v>
      </c>
      <c r="D5920" s="1" t="s">
        <v>227</v>
      </c>
      <c r="E5920" s="1" t="s">
        <v>4</v>
      </c>
      <c r="F5920">
        <v>48</v>
      </c>
      <c r="G5920" s="1" t="str">
        <f>Ocupacao_DW[[#This Row],[data]]&amp;Ocupacao_DW[[#This Row],[profissional_id]]&amp;Ocupacao_DW[[#This Row],[local_id]]</f>
        <v>446377648</v>
      </c>
      <c r="H5920" s="1">
        <f>_xlfn.XLOOKUP(Ocupacao_DW[[#This Row],[Concat]],Vagas!$H:$H,Vagas!$D:$D,"",0)</f>
        <v>0</v>
      </c>
    </row>
    <row r="5921" spans="1:8" x14ac:dyDescent="0.25">
      <c r="A5921" s="2">
        <v>44635</v>
      </c>
      <c r="B5921" s="1" t="s">
        <v>49</v>
      </c>
      <c r="C5921">
        <v>266</v>
      </c>
      <c r="D5921" s="1" t="s">
        <v>201</v>
      </c>
      <c r="E5921" s="1" t="s">
        <v>4</v>
      </c>
      <c r="F5921">
        <v>42</v>
      </c>
      <c r="G5921" s="1" t="str">
        <f>Ocupacao_DW[[#This Row],[data]]&amp;Ocupacao_DW[[#This Row],[profissional_id]]&amp;Ocupacao_DW[[#This Row],[local_id]]</f>
        <v>4463526642</v>
      </c>
      <c r="H5921" s="1">
        <f>_xlfn.XLOOKUP(Ocupacao_DW[[#This Row],[Concat]],Vagas!$H:$H,Vagas!$D:$D,"",0)</f>
        <v>0</v>
      </c>
    </row>
    <row r="5922" spans="1:8" x14ac:dyDescent="0.25">
      <c r="A5922" s="2">
        <v>44643</v>
      </c>
      <c r="B5922" s="1" t="s">
        <v>49</v>
      </c>
      <c r="C5922">
        <v>81</v>
      </c>
      <c r="D5922" s="1" t="s">
        <v>170</v>
      </c>
      <c r="E5922" s="1" t="s">
        <v>4</v>
      </c>
      <c r="F5922">
        <v>41</v>
      </c>
      <c r="G5922" s="1" t="str">
        <f>Ocupacao_DW[[#This Row],[data]]&amp;Ocupacao_DW[[#This Row],[profissional_id]]&amp;Ocupacao_DW[[#This Row],[local_id]]</f>
        <v>446438141</v>
      </c>
      <c r="H5922" s="1">
        <f>_xlfn.XLOOKUP(Ocupacao_DW[[#This Row],[Concat]],Vagas!$H:$H,Vagas!$D:$D,"",0)</f>
        <v>0</v>
      </c>
    </row>
    <row r="5923" spans="1:8" x14ac:dyDescent="0.25">
      <c r="A5923" s="2">
        <v>44636</v>
      </c>
      <c r="B5923" s="1" t="s">
        <v>47</v>
      </c>
      <c r="C5923">
        <v>111</v>
      </c>
      <c r="D5923" s="1" t="s">
        <v>199</v>
      </c>
      <c r="E5923" s="1" t="s">
        <v>4</v>
      </c>
      <c r="F5923">
        <v>51</v>
      </c>
      <c r="G5923" s="1" t="str">
        <f>Ocupacao_DW[[#This Row],[data]]&amp;Ocupacao_DW[[#This Row],[profissional_id]]&amp;Ocupacao_DW[[#This Row],[local_id]]</f>
        <v>4463611151</v>
      </c>
      <c r="H5923" s="1">
        <f>_xlfn.XLOOKUP(Ocupacao_DW[[#This Row],[Concat]],Vagas!$H:$H,Vagas!$D:$D,"",0)</f>
        <v>1</v>
      </c>
    </row>
    <row r="5924" spans="1:8" x14ac:dyDescent="0.25">
      <c r="A5924" s="2">
        <v>44648</v>
      </c>
      <c r="B5924" s="1" t="s">
        <v>69</v>
      </c>
      <c r="C5924">
        <v>17878</v>
      </c>
      <c r="D5924" s="1" t="s">
        <v>183</v>
      </c>
      <c r="E5924" s="1" t="s">
        <v>4</v>
      </c>
      <c r="F5924">
        <v>47</v>
      </c>
      <c r="G5924" s="1" t="str">
        <f>Ocupacao_DW[[#This Row],[data]]&amp;Ocupacao_DW[[#This Row],[profissional_id]]&amp;Ocupacao_DW[[#This Row],[local_id]]</f>
        <v>446481787847</v>
      </c>
      <c r="H5924" s="1">
        <f>_xlfn.XLOOKUP(Ocupacao_DW[[#This Row],[Concat]],Vagas!$H:$H,Vagas!$D:$D,"",0)</f>
        <v>2</v>
      </c>
    </row>
    <row r="5925" spans="1:8" x14ac:dyDescent="0.25">
      <c r="A5925" s="2">
        <v>44635</v>
      </c>
      <c r="B5925" s="1" t="s">
        <v>49</v>
      </c>
      <c r="C5925">
        <v>266</v>
      </c>
      <c r="D5925" s="1" t="s">
        <v>201</v>
      </c>
      <c r="E5925" s="1" t="s">
        <v>4</v>
      </c>
      <c r="F5925">
        <v>42</v>
      </c>
      <c r="G5925" s="1" t="str">
        <f>Ocupacao_DW[[#This Row],[data]]&amp;Ocupacao_DW[[#This Row],[profissional_id]]&amp;Ocupacao_DW[[#This Row],[local_id]]</f>
        <v>4463526642</v>
      </c>
      <c r="H5925" s="1">
        <f>_xlfn.XLOOKUP(Ocupacao_DW[[#This Row],[Concat]],Vagas!$H:$H,Vagas!$D:$D,"",0)</f>
        <v>0</v>
      </c>
    </row>
    <row r="5926" spans="1:8" x14ac:dyDescent="0.25">
      <c r="A5926" s="2">
        <v>44636</v>
      </c>
      <c r="B5926" s="1" t="s">
        <v>47</v>
      </c>
      <c r="C5926">
        <v>110</v>
      </c>
      <c r="D5926" s="1" t="s">
        <v>193</v>
      </c>
      <c r="E5926" s="1" t="s">
        <v>4</v>
      </c>
      <c r="F5926">
        <v>334</v>
      </c>
      <c r="G5926" s="1" t="str">
        <f>Ocupacao_DW[[#This Row],[data]]&amp;Ocupacao_DW[[#This Row],[profissional_id]]&amp;Ocupacao_DW[[#This Row],[local_id]]</f>
        <v>44636110334</v>
      </c>
      <c r="H5926" s="1">
        <f>_xlfn.XLOOKUP(Ocupacao_DW[[#This Row],[Concat]],Vagas!$H:$H,Vagas!$D:$D,"",0)</f>
        <v>0</v>
      </c>
    </row>
    <row r="5927" spans="1:8" x14ac:dyDescent="0.25">
      <c r="A5927" s="2">
        <v>44635</v>
      </c>
      <c r="B5927" s="1" t="s">
        <v>51</v>
      </c>
      <c r="C5927">
        <v>12582</v>
      </c>
      <c r="D5927" s="1" t="s">
        <v>190</v>
      </c>
      <c r="E5927" s="1" t="s">
        <v>7</v>
      </c>
      <c r="F5927">
        <v>62</v>
      </c>
      <c r="G5927" s="1" t="str">
        <f>Ocupacao_DW[[#This Row],[data]]&amp;Ocupacao_DW[[#This Row],[profissional_id]]&amp;Ocupacao_DW[[#This Row],[local_id]]</f>
        <v>446351258262</v>
      </c>
      <c r="H5927" s="1">
        <f>_xlfn.XLOOKUP(Ocupacao_DW[[#This Row],[Concat]],Vagas!$H:$H,Vagas!$D:$D,"",0)</f>
        <v>0</v>
      </c>
    </row>
    <row r="5928" spans="1:8" x14ac:dyDescent="0.25">
      <c r="A5928" s="2">
        <v>44637</v>
      </c>
      <c r="B5928" s="1" t="s">
        <v>54</v>
      </c>
      <c r="C5928">
        <v>69</v>
      </c>
      <c r="D5928" s="1" t="s">
        <v>238</v>
      </c>
      <c r="E5928" s="1" t="s">
        <v>200</v>
      </c>
      <c r="F5928">
        <v>82</v>
      </c>
      <c r="G5928" s="1" t="str">
        <f>Ocupacao_DW[[#This Row],[data]]&amp;Ocupacao_DW[[#This Row],[profissional_id]]&amp;Ocupacao_DW[[#This Row],[local_id]]</f>
        <v>446376982</v>
      </c>
      <c r="H5928" s="1">
        <f>_xlfn.XLOOKUP(Ocupacao_DW[[#This Row],[Concat]],Vagas!$H:$H,Vagas!$D:$D,"",0)</f>
        <v>0</v>
      </c>
    </row>
    <row r="5929" spans="1:8" x14ac:dyDescent="0.25">
      <c r="A5929" s="2">
        <v>44638</v>
      </c>
      <c r="B5929" s="1" t="s">
        <v>56</v>
      </c>
      <c r="C5929">
        <v>13660</v>
      </c>
      <c r="D5929" s="1" t="s">
        <v>250</v>
      </c>
      <c r="E5929" s="1" t="s">
        <v>5</v>
      </c>
      <c r="F5929">
        <v>15</v>
      </c>
      <c r="G5929" s="1" t="str">
        <f>Ocupacao_DW[[#This Row],[data]]&amp;Ocupacao_DW[[#This Row],[profissional_id]]&amp;Ocupacao_DW[[#This Row],[local_id]]</f>
        <v>446381366015</v>
      </c>
      <c r="H5929" s="1">
        <f>_xlfn.XLOOKUP(Ocupacao_DW[[#This Row],[Concat]],Vagas!$H:$H,Vagas!$D:$D,"",0)</f>
        <v>0</v>
      </c>
    </row>
    <row r="5930" spans="1:8" x14ac:dyDescent="0.25">
      <c r="A5930" s="2">
        <v>44636</v>
      </c>
      <c r="B5930" s="1" t="s">
        <v>57</v>
      </c>
      <c r="C5930">
        <v>80</v>
      </c>
      <c r="D5930" s="1" t="s">
        <v>179</v>
      </c>
      <c r="E5930" s="1" t="s">
        <v>167</v>
      </c>
      <c r="F5930">
        <v>346</v>
      </c>
      <c r="G5930" s="1" t="str">
        <f>Ocupacao_DW[[#This Row],[data]]&amp;Ocupacao_DW[[#This Row],[profissional_id]]&amp;Ocupacao_DW[[#This Row],[local_id]]</f>
        <v>4463680346</v>
      </c>
      <c r="H5930" s="1">
        <f>_xlfn.XLOOKUP(Ocupacao_DW[[#This Row],[Concat]],Vagas!$H:$H,Vagas!$D:$D,"",0)</f>
        <v>0</v>
      </c>
    </row>
    <row r="5931" spans="1:8" x14ac:dyDescent="0.25">
      <c r="A5931" s="2">
        <v>44635</v>
      </c>
      <c r="B5931" s="1" t="s">
        <v>65</v>
      </c>
      <c r="C5931">
        <v>11237</v>
      </c>
      <c r="D5931" s="1" t="s">
        <v>229</v>
      </c>
      <c r="E5931" s="1" t="s">
        <v>4</v>
      </c>
      <c r="F5931">
        <v>46</v>
      </c>
      <c r="G5931" s="1" t="str">
        <f>Ocupacao_DW[[#This Row],[data]]&amp;Ocupacao_DW[[#This Row],[profissional_id]]&amp;Ocupacao_DW[[#This Row],[local_id]]</f>
        <v>446351123746</v>
      </c>
      <c r="H5931" s="1">
        <f>_xlfn.XLOOKUP(Ocupacao_DW[[#This Row],[Concat]],Vagas!$H:$H,Vagas!$D:$D,"",0)</f>
        <v>0</v>
      </c>
    </row>
    <row r="5932" spans="1:8" x14ac:dyDescent="0.25">
      <c r="A5932" s="2">
        <v>44635</v>
      </c>
      <c r="B5932" s="1" t="s">
        <v>50</v>
      </c>
      <c r="C5932">
        <v>4814</v>
      </c>
      <c r="D5932" s="1" t="s">
        <v>189</v>
      </c>
      <c r="E5932" s="1" t="s">
        <v>5</v>
      </c>
      <c r="F5932">
        <v>17</v>
      </c>
      <c r="G5932" s="1" t="str">
        <f>Ocupacao_DW[[#This Row],[data]]&amp;Ocupacao_DW[[#This Row],[profissional_id]]&amp;Ocupacao_DW[[#This Row],[local_id]]</f>
        <v>44635481417</v>
      </c>
      <c r="H5932" s="1">
        <f>_xlfn.XLOOKUP(Ocupacao_DW[[#This Row],[Concat]],Vagas!$H:$H,Vagas!$D:$D,"",0)</f>
        <v>0</v>
      </c>
    </row>
    <row r="5933" spans="1:8" x14ac:dyDescent="0.25">
      <c r="A5933" s="2">
        <v>44637</v>
      </c>
      <c r="B5933" s="1" t="s">
        <v>49</v>
      </c>
      <c r="C5933">
        <v>3092</v>
      </c>
      <c r="D5933" s="1" t="s">
        <v>262</v>
      </c>
      <c r="E5933" s="1" t="s">
        <v>4</v>
      </c>
      <c r="F5933">
        <v>43</v>
      </c>
      <c r="G5933" s="1" t="str">
        <f>Ocupacao_DW[[#This Row],[data]]&amp;Ocupacao_DW[[#This Row],[profissional_id]]&amp;Ocupacao_DW[[#This Row],[local_id]]</f>
        <v>44637309243</v>
      </c>
      <c r="H5933" s="1">
        <f>_xlfn.XLOOKUP(Ocupacao_DW[[#This Row],[Concat]],Vagas!$H:$H,Vagas!$D:$D,"",0)</f>
        <v>0</v>
      </c>
    </row>
    <row r="5934" spans="1:8" x14ac:dyDescent="0.25">
      <c r="A5934" s="2">
        <v>44638</v>
      </c>
      <c r="B5934" s="1" t="s">
        <v>52</v>
      </c>
      <c r="C5934">
        <v>55</v>
      </c>
      <c r="D5934" s="1" t="s">
        <v>244</v>
      </c>
      <c r="E5934" s="1" t="s">
        <v>7</v>
      </c>
      <c r="F5934">
        <v>68</v>
      </c>
      <c r="G5934" s="1" t="str">
        <f>Ocupacao_DW[[#This Row],[data]]&amp;Ocupacao_DW[[#This Row],[profissional_id]]&amp;Ocupacao_DW[[#This Row],[local_id]]</f>
        <v>446385568</v>
      </c>
      <c r="H5934" s="1">
        <f>_xlfn.XLOOKUP(Ocupacao_DW[[#This Row],[Concat]],Vagas!$H:$H,Vagas!$D:$D,"",0)</f>
        <v>0</v>
      </c>
    </row>
    <row r="5935" spans="1:8" x14ac:dyDescent="0.25">
      <c r="A5935" s="2">
        <v>44635</v>
      </c>
      <c r="B5935" s="1" t="s">
        <v>47</v>
      </c>
      <c r="C5935">
        <v>111</v>
      </c>
      <c r="D5935" s="1" t="s">
        <v>199</v>
      </c>
      <c r="E5935" s="1" t="s">
        <v>4</v>
      </c>
      <c r="F5935">
        <v>51</v>
      </c>
      <c r="G5935" s="1" t="str">
        <f>Ocupacao_DW[[#This Row],[data]]&amp;Ocupacao_DW[[#This Row],[profissional_id]]&amp;Ocupacao_DW[[#This Row],[local_id]]</f>
        <v>4463511151</v>
      </c>
      <c r="H5935" s="1">
        <f>_xlfn.XLOOKUP(Ocupacao_DW[[#This Row],[Concat]],Vagas!$H:$H,Vagas!$D:$D,"",0)</f>
        <v>0</v>
      </c>
    </row>
    <row r="5936" spans="1:8" x14ac:dyDescent="0.25">
      <c r="A5936" s="2">
        <v>44635</v>
      </c>
      <c r="B5936" s="1" t="s">
        <v>49</v>
      </c>
      <c r="C5936">
        <v>266</v>
      </c>
      <c r="D5936" s="1" t="s">
        <v>201</v>
      </c>
      <c r="E5936" s="1" t="s">
        <v>4</v>
      </c>
      <c r="F5936">
        <v>42</v>
      </c>
      <c r="G5936" s="1" t="str">
        <f>Ocupacao_DW[[#This Row],[data]]&amp;Ocupacao_DW[[#This Row],[profissional_id]]&amp;Ocupacao_DW[[#This Row],[local_id]]</f>
        <v>4463526642</v>
      </c>
      <c r="H5936" s="1">
        <f>_xlfn.XLOOKUP(Ocupacao_DW[[#This Row],[Concat]],Vagas!$H:$H,Vagas!$D:$D,"",0)</f>
        <v>0</v>
      </c>
    </row>
    <row r="5937" spans="1:8" x14ac:dyDescent="0.25">
      <c r="A5937" s="2">
        <v>44650</v>
      </c>
      <c r="B5937" s="1" t="s">
        <v>55</v>
      </c>
      <c r="C5937">
        <v>74</v>
      </c>
      <c r="D5937" s="1" t="s">
        <v>182</v>
      </c>
      <c r="E5937" s="1" t="s">
        <v>6</v>
      </c>
      <c r="F5937">
        <v>7</v>
      </c>
      <c r="G5937" s="1" t="str">
        <f>Ocupacao_DW[[#This Row],[data]]&amp;Ocupacao_DW[[#This Row],[profissional_id]]&amp;Ocupacao_DW[[#This Row],[local_id]]</f>
        <v>44650747</v>
      </c>
      <c r="H5937" s="1">
        <f>_xlfn.XLOOKUP(Ocupacao_DW[[#This Row],[Concat]],Vagas!$H:$H,Vagas!$D:$D,"",0)</f>
        <v>0</v>
      </c>
    </row>
    <row r="5938" spans="1:8" x14ac:dyDescent="0.25">
      <c r="A5938" s="2">
        <v>44636</v>
      </c>
      <c r="B5938" s="1" t="s">
        <v>52</v>
      </c>
      <c r="C5938">
        <v>10691</v>
      </c>
      <c r="D5938" s="1" t="s">
        <v>181</v>
      </c>
      <c r="E5938" s="1" t="s">
        <v>6</v>
      </c>
      <c r="F5938">
        <v>9</v>
      </c>
      <c r="G5938" s="1" t="str">
        <f>Ocupacao_DW[[#This Row],[data]]&amp;Ocupacao_DW[[#This Row],[profissional_id]]&amp;Ocupacao_DW[[#This Row],[local_id]]</f>
        <v>44636106919</v>
      </c>
      <c r="H5938" s="1">
        <f>_xlfn.XLOOKUP(Ocupacao_DW[[#This Row],[Concat]],Vagas!$H:$H,Vagas!$D:$D,"",0)</f>
        <v>0</v>
      </c>
    </row>
    <row r="5939" spans="1:8" x14ac:dyDescent="0.25">
      <c r="A5939" s="2">
        <v>44635</v>
      </c>
      <c r="B5939" s="1" t="s">
        <v>43</v>
      </c>
      <c r="C5939">
        <v>57</v>
      </c>
      <c r="D5939" s="1" t="s">
        <v>169</v>
      </c>
      <c r="E5939" s="1" t="s">
        <v>6</v>
      </c>
      <c r="F5939">
        <v>2</v>
      </c>
      <c r="G5939" s="1" t="str">
        <f>Ocupacao_DW[[#This Row],[data]]&amp;Ocupacao_DW[[#This Row],[profissional_id]]&amp;Ocupacao_DW[[#This Row],[local_id]]</f>
        <v>44635572</v>
      </c>
      <c r="H5939" s="1">
        <f>_xlfn.XLOOKUP(Ocupacao_DW[[#This Row],[Concat]],Vagas!$H:$H,Vagas!$D:$D,"",0)</f>
        <v>0</v>
      </c>
    </row>
    <row r="5940" spans="1:8" x14ac:dyDescent="0.25">
      <c r="A5940" s="2">
        <v>44636</v>
      </c>
      <c r="B5940" s="1" t="s">
        <v>47</v>
      </c>
      <c r="C5940">
        <v>110</v>
      </c>
      <c r="D5940" s="1" t="s">
        <v>193</v>
      </c>
      <c r="E5940" s="1" t="s">
        <v>4</v>
      </c>
      <c r="F5940">
        <v>334</v>
      </c>
      <c r="G5940" s="1" t="str">
        <f>Ocupacao_DW[[#This Row],[data]]&amp;Ocupacao_DW[[#This Row],[profissional_id]]&amp;Ocupacao_DW[[#This Row],[local_id]]</f>
        <v>44636110334</v>
      </c>
      <c r="H5940" s="1">
        <f>_xlfn.XLOOKUP(Ocupacao_DW[[#This Row],[Concat]],Vagas!$H:$H,Vagas!$D:$D,"",0)</f>
        <v>0</v>
      </c>
    </row>
    <row r="5941" spans="1:8" x14ac:dyDescent="0.25">
      <c r="A5941" s="2">
        <v>44636</v>
      </c>
      <c r="B5941" s="1" t="s">
        <v>46</v>
      </c>
      <c r="C5941">
        <v>17888</v>
      </c>
      <c r="D5941" s="1" t="s">
        <v>255</v>
      </c>
      <c r="E5941" s="1" t="s">
        <v>4</v>
      </c>
      <c r="F5941">
        <v>40</v>
      </c>
      <c r="G5941" s="1" t="str">
        <f>Ocupacao_DW[[#This Row],[data]]&amp;Ocupacao_DW[[#This Row],[profissional_id]]&amp;Ocupacao_DW[[#This Row],[local_id]]</f>
        <v>446361788840</v>
      </c>
      <c r="H5941" s="1">
        <f>_xlfn.XLOOKUP(Ocupacao_DW[[#This Row],[Concat]],Vagas!$H:$H,Vagas!$D:$D,"",0)</f>
        <v>17</v>
      </c>
    </row>
    <row r="5942" spans="1:8" x14ac:dyDescent="0.25">
      <c r="A5942" s="2">
        <v>44638</v>
      </c>
      <c r="B5942" s="1" t="s">
        <v>52</v>
      </c>
      <c r="C5942">
        <v>55</v>
      </c>
      <c r="D5942" s="1" t="s">
        <v>244</v>
      </c>
      <c r="E5942" s="1" t="s">
        <v>7</v>
      </c>
      <c r="F5942">
        <v>68</v>
      </c>
      <c r="G5942" s="1" t="str">
        <f>Ocupacao_DW[[#This Row],[data]]&amp;Ocupacao_DW[[#This Row],[profissional_id]]&amp;Ocupacao_DW[[#This Row],[local_id]]</f>
        <v>446385568</v>
      </c>
      <c r="H5942" s="1">
        <f>_xlfn.XLOOKUP(Ocupacao_DW[[#This Row],[Concat]],Vagas!$H:$H,Vagas!$D:$D,"",0)</f>
        <v>0</v>
      </c>
    </row>
    <row r="5943" spans="1:8" x14ac:dyDescent="0.25">
      <c r="A5943" s="2">
        <v>44645</v>
      </c>
      <c r="B5943" s="1" t="s">
        <v>52</v>
      </c>
      <c r="C5943">
        <v>57</v>
      </c>
      <c r="D5943" s="1" t="s">
        <v>169</v>
      </c>
      <c r="E5943" s="1" t="s">
        <v>6</v>
      </c>
      <c r="F5943">
        <v>8</v>
      </c>
      <c r="G5943" s="1" t="str">
        <f>Ocupacao_DW[[#This Row],[data]]&amp;Ocupacao_DW[[#This Row],[profissional_id]]&amp;Ocupacao_DW[[#This Row],[local_id]]</f>
        <v>44645578</v>
      </c>
      <c r="H5943" s="1">
        <f>_xlfn.XLOOKUP(Ocupacao_DW[[#This Row],[Concat]],Vagas!$H:$H,Vagas!$D:$D,"",0)</f>
        <v>0</v>
      </c>
    </row>
    <row r="5944" spans="1:8" x14ac:dyDescent="0.25">
      <c r="A5944" s="2">
        <v>44642</v>
      </c>
      <c r="B5944" s="1" t="s">
        <v>70</v>
      </c>
      <c r="C5944">
        <v>14237</v>
      </c>
      <c r="D5944" s="1" t="s">
        <v>186</v>
      </c>
      <c r="E5944" s="1" t="s">
        <v>4</v>
      </c>
      <c r="F5944">
        <v>47</v>
      </c>
      <c r="G5944" s="1" t="str">
        <f>Ocupacao_DW[[#This Row],[data]]&amp;Ocupacao_DW[[#This Row],[profissional_id]]&amp;Ocupacao_DW[[#This Row],[local_id]]</f>
        <v>446421423747</v>
      </c>
      <c r="H5944" s="1">
        <f>_xlfn.XLOOKUP(Ocupacao_DW[[#This Row],[Concat]],Vagas!$H:$H,Vagas!$D:$D,"",0)</f>
        <v>0</v>
      </c>
    </row>
    <row r="5945" spans="1:8" x14ac:dyDescent="0.25">
      <c r="A5945" s="2">
        <v>44635</v>
      </c>
      <c r="B5945" s="1" t="s">
        <v>65</v>
      </c>
      <c r="C5945">
        <v>11237</v>
      </c>
      <c r="D5945" s="1" t="s">
        <v>229</v>
      </c>
      <c r="E5945" s="1" t="s">
        <v>4</v>
      </c>
      <c r="F5945">
        <v>46</v>
      </c>
      <c r="G5945" s="1" t="str">
        <f>Ocupacao_DW[[#This Row],[data]]&amp;Ocupacao_DW[[#This Row],[profissional_id]]&amp;Ocupacao_DW[[#This Row],[local_id]]</f>
        <v>446351123746</v>
      </c>
      <c r="H5945" s="1">
        <f>_xlfn.XLOOKUP(Ocupacao_DW[[#This Row],[Concat]],Vagas!$H:$H,Vagas!$D:$D,"",0)</f>
        <v>0</v>
      </c>
    </row>
    <row r="5946" spans="1:8" x14ac:dyDescent="0.25">
      <c r="A5946" s="2">
        <v>44635</v>
      </c>
      <c r="B5946" s="1" t="s">
        <v>68</v>
      </c>
      <c r="C5946">
        <v>8239</v>
      </c>
      <c r="D5946" s="1" t="s">
        <v>257</v>
      </c>
      <c r="E5946" s="1" t="s">
        <v>167</v>
      </c>
      <c r="F5946">
        <v>345</v>
      </c>
      <c r="G5946" s="1" t="str">
        <f>Ocupacao_DW[[#This Row],[data]]&amp;Ocupacao_DW[[#This Row],[profissional_id]]&amp;Ocupacao_DW[[#This Row],[local_id]]</f>
        <v>446358239345</v>
      </c>
      <c r="H5946" s="1">
        <f>_xlfn.XLOOKUP(Ocupacao_DW[[#This Row],[Concat]],Vagas!$H:$H,Vagas!$D:$D,"",0)</f>
        <v>0</v>
      </c>
    </row>
    <row r="5947" spans="1:8" x14ac:dyDescent="0.25">
      <c r="A5947" s="2">
        <v>44642</v>
      </c>
      <c r="B5947" s="1" t="s">
        <v>55</v>
      </c>
      <c r="C5947">
        <v>12669</v>
      </c>
      <c r="D5947" s="1" t="s">
        <v>223</v>
      </c>
      <c r="E5947" s="1" t="s">
        <v>6</v>
      </c>
      <c r="F5947">
        <v>6</v>
      </c>
      <c r="G5947" s="1" t="str">
        <f>Ocupacao_DW[[#This Row],[data]]&amp;Ocupacao_DW[[#This Row],[profissional_id]]&amp;Ocupacao_DW[[#This Row],[local_id]]</f>
        <v>44642126696</v>
      </c>
      <c r="H5947" s="1">
        <f>_xlfn.XLOOKUP(Ocupacao_DW[[#This Row],[Concat]],Vagas!$H:$H,Vagas!$D:$D,"",0)</f>
        <v>0</v>
      </c>
    </row>
    <row r="5948" spans="1:8" x14ac:dyDescent="0.25">
      <c r="A5948" s="2">
        <v>44641</v>
      </c>
      <c r="B5948" s="1" t="s">
        <v>52</v>
      </c>
      <c r="C5948">
        <v>10691</v>
      </c>
      <c r="D5948" s="1" t="s">
        <v>181</v>
      </c>
      <c r="E5948" s="1" t="s">
        <v>6</v>
      </c>
      <c r="F5948">
        <v>9</v>
      </c>
      <c r="G5948" s="1" t="str">
        <f>Ocupacao_DW[[#This Row],[data]]&amp;Ocupacao_DW[[#This Row],[profissional_id]]&amp;Ocupacao_DW[[#This Row],[local_id]]</f>
        <v>44641106919</v>
      </c>
      <c r="H5948" s="1">
        <f>_xlfn.XLOOKUP(Ocupacao_DW[[#This Row],[Concat]],Vagas!$H:$H,Vagas!$D:$D,"",0)</f>
        <v>0</v>
      </c>
    </row>
    <row r="5949" spans="1:8" x14ac:dyDescent="0.25">
      <c r="A5949" s="2">
        <v>44638</v>
      </c>
      <c r="B5949" s="1" t="s">
        <v>49</v>
      </c>
      <c r="C5949">
        <v>6430</v>
      </c>
      <c r="D5949" s="1" t="s">
        <v>188</v>
      </c>
      <c r="E5949" s="1" t="s">
        <v>4</v>
      </c>
      <c r="F5949">
        <v>42</v>
      </c>
      <c r="G5949" s="1" t="str">
        <f>Ocupacao_DW[[#This Row],[data]]&amp;Ocupacao_DW[[#This Row],[profissional_id]]&amp;Ocupacao_DW[[#This Row],[local_id]]</f>
        <v>44638643042</v>
      </c>
      <c r="H5949" s="1">
        <f>_xlfn.XLOOKUP(Ocupacao_DW[[#This Row],[Concat]],Vagas!$H:$H,Vagas!$D:$D,"",0)</f>
        <v>0</v>
      </c>
    </row>
    <row r="5950" spans="1:8" x14ac:dyDescent="0.25">
      <c r="A5950" s="2">
        <v>44636</v>
      </c>
      <c r="B5950" s="1" t="s">
        <v>47</v>
      </c>
      <c r="C5950">
        <v>110</v>
      </c>
      <c r="D5950" s="1" t="s">
        <v>193</v>
      </c>
      <c r="E5950" s="1" t="s">
        <v>4</v>
      </c>
      <c r="F5950">
        <v>334</v>
      </c>
      <c r="G5950" s="1" t="str">
        <f>Ocupacao_DW[[#This Row],[data]]&amp;Ocupacao_DW[[#This Row],[profissional_id]]&amp;Ocupacao_DW[[#This Row],[local_id]]</f>
        <v>44636110334</v>
      </c>
      <c r="H5950" s="1">
        <f>_xlfn.XLOOKUP(Ocupacao_DW[[#This Row],[Concat]],Vagas!$H:$H,Vagas!$D:$D,"",0)</f>
        <v>0</v>
      </c>
    </row>
    <row r="5951" spans="1:8" x14ac:dyDescent="0.25">
      <c r="A5951" s="2">
        <v>44635</v>
      </c>
      <c r="B5951" s="1" t="s">
        <v>47</v>
      </c>
      <c r="C5951">
        <v>111</v>
      </c>
      <c r="D5951" s="1" t="s">
        <v>199</v>
      </c>
      <c r="E5951" s="1" t="s">
        <v>4</v>
      </c>
      <c r="F5951">
        <v>51</v>
      </c>
      <c r="G5951" s="1" t="str">
        <f>Ocupacao_DW[[#This Row],[data]]&amp;Ocupacao_DW[[#This Row],[profissional_id]]&amp;Ocupacao_DW[[#This Row],[local_id]]</f>
        <v>4463511151</v>
      </c>
      <c r="H5951" s="1">
        <f>_xlfn.XLOOKUP(Ocupacao_DW[[#This Row],[Concat]],Vagas!$H:$H,Vagas!$D:$D,"",0)</f>
        <v>0</v>
      </c>
    </row>
    <row r="5952" spans="1:8" x14ac:dyDescent="0.25">
      <c r="A5952" s="2">
        <v>44650</v>
      </c>
      <c r="B5952" s="1" t="s">
        <v>66</v>
      </c>
      <c r="C5952">
        <v>1343</v>
      </c>
      <c r="D5952" s="1" t="s">
        <v>263</v>
      </c>
      <c r="E5952" s="1" t="s">
        <v>7</v>
      </c>
      <c r="F5952">
        <v>64</v>
      </c>
      <c r="G5952" s="1" t="str">
        <f>Ocupacao_DW[[#This Row],[data]]&amp;Ocupacao_DW[[#This Row],[profissional_id]]&amp;Ocupacao_DW[[#This Row],[local_id]]</f>
        <v>44650134364</v>
      </c>
      <c r="H5952" s="1">
        <f>_xlfn.XLOOKUP(Ocupacao_DW[[#This Row],[Concat]],Vagas!$H:$H,Vagas!$D:$D,"",0)</f>
        <v>0</v>
      </c>
    </row>
    <row r="5953" spans="1:8" x14ac:dyDescent="0.25">
      <c r="A5953" s="2">
        <v>44636</v>
      </c>
      <c r="B5953" s="1" t="s">
        <v>60</v>
      </c>
      <c r="C5953">
        <v>14326</v>
      </c>
      <c r="D5953" s="1" t="s">
        <v>220</v>
      </c>
      <c r="E5953" s="1" t="s">
        <v>4</v>
      </c>
      <c r="F5953">
        <v>43</v>
      </c>
      <c r="G5953" s="1" t="str">
        <f>Ocupacao_DW[[#This Row],[data]]&amp;Ocupacao_DW[[#This Row],[profissional_id]]&amp;Ocupacao_DW[[#This Row],[local_id]]</f>
        <v>446361432643</v>
      </c>
      <c r="H5953" s="1">
        <f>_xlfn.XLOOKUP(Ocupacao_DW[[#This Row],[Concat]],Vagas!$H:$H,Vagas!$D:$D,"",0)</f>
        <v>0</v>
      </c>
    </row>
    <row r="5954" spans="1:8" x14ac:dyDescent="0.25">
      <c r="A5954" s="2">
        <v>44638</v>
      </c>
      <c r="B5954" s="1" t="s">
        <v>47</v>
      </c>
      <c r="C5954">
        <v>9111</v>
      </c>
      <c r="D5954" s="1" t="s">
        <v>206</v>
      </c>
      <c r="E5954" s="1" t="s">
        <v>4</v>
      </c>
      <c r="F5954">
        <v>51</v>
      </c>
      <c r="G5954" s="1" t="str">
        <f>Ocupacao_DW[[#This Row],[data]]&amp;Ocupacao_DW[[#This Row],[profissional_id]]&amp;Ocupacao_DW[[#This Row],[local_id]]</f>
        <v>44638911151</v>
      </c>
      <c r="H5954" s="1">
        <f>_xlfn.XLOOKUP(Ocupacao_DW[[#This Row],[Concat]],Vagas!$H:$H,Vagas!$D:$D,"",0)</f>
        <v>0</v>
      </c>
    </row>
    <row r="5955" spans="1:8" x14ac:dyDescent="0.25">
      <c r="A5955" s="2">
        <v>44636</v>
      </c>
      <c r="B5955" s="1" t="s">
        <v>52</v>
      </c>
      <c r="C5955">
        <v>10691</v>
      </c>
      <c r="D5955" s="1" t="s">
        <v>181</v>
      </c>
      <c r="E5955" s="1" t="s">
        <v>6</v>
      </c>
      <c r="F5955">
        <v>9</v>
      </c>
      <c r="G5955" s="1" t="str">
        <f>Ocupacao_DW[[#This Row],[data]]&amp;Ocupacao_DW[[#This Row],[profissional_id]]&amp;Ocupacao_DW[[#This Row],[local_id]]</f>
        <v>44636106919</v>
      </c>
      <c r="H5955" s="1">
        <f>_xlfn.XLOOKUP(Ocupacao_DW[[#This Row],[Concat]],Vagas!$H:$H,Vagas!$D:$D,"",0)</f>
        <v>0</v>
      </c>
    </row>
    <row r="5956" spans="1:8" x14ac:dyDescent="0.25">
      <c r="A5956" s="2">
        <v>44636</v>
      </c>
      <c r="B5956" s="1" t="s">
        <v>24</v>
      </c>
      <c r="C5956">
        <v>13061</v>
      </c>
      <c r="D5956" s="1" t="s">
        <v>232</v>
      </c>
      <c r="E5956" s="1" t="s">
        <v>6</v>
      </c>
      <c r="F5956">
        <v>3</v>
      </c>
      <c r="G5956" s="1" t="str">
        <f>Ocupacao_DW[[#This Row],[data]]&amp;Ocupacao_DW[[#This Row],[profissional_id]]&amp;Ocupacao_DW[[#This Row],[local_id]]</f>
        <v>44636130613</v>
      </c>
      <c r="H5956" s="1">
        <f>_xlfn.XLOOKUP(Ocupacao_DW[[#This Row],[Concat]],Vagas!$H:$H,Vagas!$D:$D,"",0)</f>
        <v>0</v>
      </c>
    </row>
    <row r="5957" spans="1:8" x14ac:dyDescent="0.25">
      <c r="A5957" s="2">
        <v>44645</v>
      </c>
      <c r="B5957" s="1" t="s">
        <v>52</v>
      </c>
      <c r="C5957">
        <v>57</v>
      </c>
      <c r="D5957" s="1" t="s">
        <v>169</v>
      </c>
      <c r="E5957" s="1" t="s">
        <v>6</v>
      </c>
      <c r="F5957">
        <v>8</v>
      </c>
      <c r="G5957" s="1" t="str">
        <f>Ocupacao_DW[[#This Row],[data]]&amp;Ocupacao_DW[[#This Row],[profissional_id]]&amp;Ocupacao_DW[[#This Row],[local_id]]</f>
        <v>44645578</v>
      </c>
      <c r="H5957" s="1">
        <f>_xlfn.XLOOKUP(Ocupacao_DW[[#This Row],[Concat]],Vagas!$H:$H,Vagas!$D:$D,"",0)</f>
        <v>0</v>
      </c>
    </row>
    <row r="5958" spans="1:8" x14ac:dyDescent="0.25">
      <c r="A5958" s="2">
        <v>44638</v>
      </c>
      <c r="B5958" s="1" t="s">
        <v>49</v>
      </c>
      <c r="C5958">
        <v>6430</v>
      </c>
      <c r="D5958" s="1" t="s">
        <v>188</v>
      </c>
      <c r="E5958" s="1" t="s">
        <v>4</v>
      </c>
      <c r="F5958">
        <v>42</v>
      </c>
      <c r="G5958" s="1" t="str">
        <f>Ocupacao_DW[[#This Row],[data]]&amp;Ocupacao_DW[[#This Row],[profissional_id]]&amp;Ocupacao_DW[[#This Row],[local_id]]</f>
        <v>44638643042</v>
      </c>
      <c r="H5958" s="1">
        <f>_xlfn.XLOOKUP(Ocupacao_DW[[#This Row],[Concat]],Vagas!$H:$H,Vagas!$D:$D,"",0)</f>
        <v>0</v>
      </c>
    </row>
    <row r="5959" spans="1:8" x14ac:dyDescent="0.25">
      <c r="A5959" s="2">
        <v>44642</v>
      </c>
      <c r="B5959" s="1" t="s">
        <v>47</v>
      </c>
      <c r="C5959">
        <v>111</v>
      </c>
      <c r="D5959" s="1" t="s">
        <v>199</v>
      </c>
      <c r="E5959" s="1" t="s">
        <v>4</v>
      </c>
      <c r="F5959">
        <v>51</v>
      </c>
      <c r="G5959" s="1" t="str">
        <f>Ocupacao_DW[[#This Row],[data]]&amp;Ocupacao_DW[[#This Row],[profissional_id]]&amp;Ocupacao_DW[[#This Row],[local_id]]</f>
        <v>4464211151</v>
      </c>
      <c r="H5959" s="1">
        <f>_xlfn.XLOOKUP(Ocupacao_DW[[#This Row],[Concat]],Vagas!$H:$H,Vagas!$D:$D,"",0)</f>
        <v>25</v>
      </c>
    </row>
    <row r="5960" spans="1:8" x14ac:dyDescent="0.25">
      <c r="A5960" s="2">
        <v>44635</v>
      </c>
      <c r="B5960" s="1" t="s">
        <v>47</v>
      </c>
      <c r="C5960">
        <v>12752</v>
      </c>
      <c r="D5960" s="1" t="s">
        <v>253</v>
      </c>
      <c r="E5960" s="1" t="s">
        <v>7</v>
      </c>
      <c r="F5960">
        <v>60</v>
      </c>
      <c r="G5960" s="1" t="str">
        <f>Ocupacao_DW[[#This Row],[data]]&amp;Ocupacao_DW[[#This Row],[profissional_id]]&amp;Ocupacao_DW[[#This Row],[local_id]]</f>
        <v>446351275260</v>
      </c>
      <c r="H5960" s="1">
        <f>_xlfn.XLOOKUP(Ocupacao_DW[[#This Row],[Concat]],Vagas!$H:$H,Vagas!$D:$D,"",0)</f>
        <v>0</v>
      </c>
    </row>
    <row r="5961" spans="1:8" x14ac:dyDescent="0.25">
      <c r="A5961" s="2">
        <v>44637</v>
      </c>
      <c r="B5961" s="1" t="s">
        <v>52</v>
      </c>
      <c r="C5961">
        <v>10691</v>
      </c>
      <c r="D5961" s="1" t="s">
        <v>181</v>
      </c>
      <c r="E5961" s="1" t="s">
        <v>6</v>
      </c>
      <c r="F5961">
        <v>9</v>
      </c>
      <c r="G5961" s="1" t="str">
        <f>Ocupacao_DW[[#This Row],[data]]&amp;Ocupacao_DW[[#This Row],[profissional_id]]&amp;Ocupacao_DW[[#This Row],[local_id]]</f>
        <v>44637106919</v>
      </c>
      <c r="H5961" s="1">
        <f>_xlfn.XLOOKUP(Ocupacao_DW[[#This Row],[Concat]],Vagas!$H:$H,Vagas!$D:$D,"",0)</f>
        <v>0</v>
      </c>
    </row>
    <row r="5962" spans="1:8" x14ac:dyDescent="0.25">
      <c r="A5962" s="2">
        <v>44635</v>
      </c>
      <c r="B5962" s="1" t="s">
        <v>65</v>
      </c>
      <c r="C5962">
        <v>11652</v>
      </c>
      <c r="D5962" s="1" t="s">
        <v>242</v>
      </c>
      <c r="E5962" s="1" t="s">
        <v>4</v>
      </c>
      <c r="F5962">
        <v>47</v>
      </c>
      <c r="G5962" s="1" t="str">
        <f>Ocupacao_DW[[#This Row],[data]]&amp;Ocupacao_DW[[#This Row],[profissional_id]]&amp;Ocupacao_DW[[#This Row],[local_id]]</f>
        <v>446351165247</v>
      </c>
      <c r="H5962" s="1">
        <f>_xlfn.XLOOKUP(Ocupacao_DW[[#This Row],[Concat]],Vagas!$H:$H,Vagas!$D:$D,"",0)</f>
        <v>0</v>
      </c>
    </row>
    <row r="5963" spans="1:8" x14ac:dyDescent="0.25">
      <c r="A5963" s="2">
        <v>44637</v>
      </c>
      <c r="B5963" s="1"/>
      <c r="C5963">
        <v>12582</v>
      </c>
      <c r="D5963" s="1" t="s">
        <v>190</v>
      </c>
      <c r="E5963" s="1" t="s">
        <v>5</v>
      </c>
      <c r="F5963">
        <v>15</v>
      </c>
      <c r="G5963" s="1" t="str">
        <f>Ocupacao_DW[[#This Row],[data]]&amp;Ocupacao_DW[[#This Row],[profissional_id]]&amp;Ocupacao_DW[[#This Row],[local_id]]</f>
        <v>446371258215</v>
      </c>
      <c r="H5963" s="1">
        <f>_xlfn.XLOOKUP(Ocupacao_DW[[#This Row],[Concat]],Vagas!$H:$H,Vagas!$D:$D,"",0)</f>
        <v>0</v>
      </c>
    </row>
    <row r="5964" spans="1:8" x14ac:dyDescent="0.25">
      <c r="A5964" s="2">
        <v>44644</v>
      </c>
      <c r="B5964" s="1" t="s">
        <v>51</v>
      </c>
      <c r="C5964">
        <v>12582</v>
      </c>
      <c r="D5964" s="1" t="s">
        <v>190</v>
      </c>
      <c r="E5964" s="1" t="s">
        <v>5</v>
      </c>
      <c r="F5964">
        <v>15</v>
      </c>
      <c r="G5964" s="1" t="str">
        <f>Ocupacao_DW[[#This Row],[data]]&amp;Ocupacao_DW[[#This Row],[profissional_id]]&amp;Ocupacao_DW[[#This Row],[local_id]]</f>
        <v>446441258215</v>
      </c>
      <c r="H5964" s="1">
        <f>_xlfn.XLOOKUP(Ocupacao_DW[[#This Row],[Concat]],Vagas!$H:$H,Vagas!$D:$D,"",0)</f>
        <v>0</v>
      </c>
    </row>
    <row r="5965" spans="1:8" x14ac:dyDescent="0.25">
      <c r="A5965" s="2">
        <v>44656</v>
      </c>
      <c r="B5965" s="1" t="s">
        <v>68</v>
      </c>
      <c r="C5965">
        <v>14371</v>
      </c>
      <c r="D5965" s="1" t="s">
        <v>273</v>
      </c>
      <c r="E5965" s="1" t="s">
        <v>7</v>
      </c>
      <c r="F5965">
        <v>69</v>
      </c>
      <c r="G5965" s="1" t="str">
        <f>Ocupacao_DW[[#This Row],[data]]&amp;Ocupacao_DW[[#This Row],[profissional_id]]&amp;Ocupacao_DW[[#This Row],[local_id]]</f>
        <v>446561437169</v>
      </c>
      <c r="H5965" s="1" t="str">
        <f>_xlfn.XLOOKUP(Ocupacao_DW[[#This Row],[Concat]],Vagas!$H:$H,Vagas!$D:$D,"",0)</f>
        <v/>
      </c>
    </row>
    <row r="5966" spans="1:8" x14ac:dyDescent="0.25">
      <c r="A5966" s="2">
        <v>44642</v>
      </c>
      <c r="B5966" s="1" t="s">
        <v>55</v>
      </c>
      <c r="C5966">
        <v>12669</v>
      </c>
      <c r="D5966" s="1" t="s">
        <v>223</v>
      </c>
      <c r="E5966" s="1" t="s">
        <v>6</v>
      </c>
      <c r="F5966">
        <v>6</v>
      </c>
      <c r="G5966" s="1" t="str">
        <f>Ocupacao_DW[[#This Row],[data]]&amp;Ocupacao_DW[[#This Row],[profissional_id]]&amp;Ocupacao_DW[[#This Row],[local_id]]</f>
        <v>44642126696</v>
      </c>
      <c r="H5966" s="1">
        <f>_xlfn.XLOOKUP(Ocupacao_DW[[#This Row],[Concat]],Vagas!$H:$H,Vagas!$D:$D,"",0)</f>
        <v>0</v>
      </c>
    </row>
    <row r="5967" spans="1:8" x14ac:dyDescent="0.25">
      <c r="A5967" s="2">
        <v>44638</v>
      </c>
      <c r="B5967" s="1" t="s">
        <v>49</v>
      </c>
      <c r="C5967">
        <v>6430</v>
      </c>
      <c r="D5967" s="1" t="s">
        <v>188</v>
      </c>
      <c r="E5967" s="1" t="s">
        <v>4</v>
      </c>
      <c r="F5967">
        <v>42</v>
      </c>
      <c r="G5967" s="1" t="str">
        <f>Ocupacao_DW[[#This Row],[data]]&amp;Ocupacao_DW[[#This Row],[profissional_id]]&amp;Ocupacao_DW[[#This Row],[local_id]]</f>
        <v>44638643042</v>
      </c>
      <c r="H5967" s="1">
        <f>_xlfn.XLOOKUP(Ocupacao_DW[[#This Row],[Concat]],Vagas!$H:$H,Vagas!$D:$D,"",0)</f>
        <v>0</v>
      </c>
    </row>
    <row r="5968" spans="1:8" x14ac:dyDescent="0.25">
      <c r="A5968" s="2">
        <v>44657</v>
      </c>
      <c r="B5968" s="1" t="s">
        <v>65</v>
      </c>
      <c r="C5968">
        <v>13058</v>
      </c>
      <c r="D5968" s="1" t="s">
        <v>256</v>
      </c>
      <c r="E5968" s="1" t="s">
        <v>4</v>
      </c>
      <c r="F5968">
        <v>47</v>
      </c>
      <c r="G5968" s="1" t="str">
        <f>Ocupacao_DW[[#This Row],[data]]&amp;Ocupacao_DW[[#This Row],[profissional_id]]&amp;Ocupacao_DW[[#This Row],[local_id]]</f>
        <v>446571305847</v>
      </c>
      <c r="H5968" s="1">
        <f>_xlfn.XLOOKUP(Ocupacao_DW[[#This Row],[Concat]],Vagas!$H:$H,Vagas!$D:$D,"",0)</f>
        <v>0</v>
      </c>
    </row>
    <row r="5969" spans="1:8" x14ac:dyDescent="0.25">
      <c r="A5969" s="2">
        <v>44657</v>
      </c>
      <c r="B5969" s="1" t="s">
        <v>60</v>
      </c>
      <c r="C5969">
        <v>14326</v>
      </c>
      <c r="D5969" s="1" t="s">
        <v>220</v>
      </c>
      <c r="E5969" s="1" t="s">
        <v>4</v>
      </c>
      <c r="F5969">
        <v>43</v>
      </c>
      <c r="G5969" s="1" t="str">
        <f>Ocupacao_DW[[#This Row],[data]]&amp;Ocupacao_DW[[#This Row],[profissional_id]]&amp;Ocupacao_DW[[#This Row],[local_id]]</f>
        <v>446571432643</v>
      </c>
      <c r="H5969" s="1">
        <f>_xlfn.XLOOKUP(Ocupacao_DW[[#This Row],[Concat]],Vagas!$H:$H,Vagas!$D:$D,"",0)</f>
        <v>0</v>
      </c>
    </row>
    <row r="5970" spans="1:8" x14ac:dyDescent="0.25">
      <c r="A5970" s="2">
        <v>44635</v>
      </c>
      <c r="B5970" s="1" t="s">
        <v>66</v>
      </c>
      <c r="C5970">
        <v>1343</v>
      </c>
      <c r="D5970" s="1" t="s">
        <v>263</v>
      </c>
      <c r="E5970" s="1" t="s">
        <v>200</v>
      </c>
      <c r="F5970">
        <v>80</v>
      </c>
      <c r="G5970" s="1" t="str">
        <f>Ocupacao_DW[[#This Row],[data]]&amp;Ocupacao_DW[[#This Row],[profissional_id]]&amp;Ocupacao_DW[[#This Row],[local_id]]</f>
        <v>44635134380</v>
      </c>
      <c r="H5970" s="1">
        <f>_xlfn.XLOOKUP(Ocupacao_DW[[#This Row],[Concat]],Vagas!$H:$H,Vagas!$D:$D,"",0)</f>
        <v>0</v>
      </c>
    </row>
    <row r="5971" spans="1:8" x14ac:dyDescent="0.25">
      <c r="A5971" s="2">
        <v>44635</v>
      </c>
      <c r="B5971" s="1" t="s">
        <v>49</v>
      </c>
      <c r="C5971">
        <v>81</v>
      </c>
      <c r="D5971" s="1" t="s">
        <v>170</v>
      </c>
      <c r="E5971" s="1" t="s">
        <v>7</v>
      </c>
      <c r="F5971">
        <v>71</v>
      </c>
      <c r="G5971" s="1" t="str">
        <f>Ocupacao_DW[[#This Row],[data]]&amp;Ocupacao_DW[[#This Row],[profissional_id]]&amp;Ocupacao_DW[[#This Row],[local_id]]</f>
        <v>446358171</v>
      </c>
      <c r="H5971" s="1">
        <f>_xlfn.XLOOKUP(Ocupacao_DW[[#This Row],[Concat]],Vagas!$H:$H,Vagas!$D:$D,"",0)</f>
        <v>0</v>
      </c>
    </row>
    <row r="5972" spans="1:8" x14ac:dyDescent="0.25">
      <c r="A5972" s="2">
        <v>44635</v>
      </c>
      <c r="B5972" s="1"/>
      <c r="C5972">
        <v>266</v>
      </c>
      <c r="D5972" s="1" t="s">
        <v>201</v>
      </c>
      <c r="E5972" s="1" t="s">
        <v>4</v>
      </c>
      <c r="F5972">
        <v>42</v>
      </c>
      <c r="G5972" s="1" t="str">
        <f>Ocupacao_DW[[#This Row],[data]]&amp;Ocupacao_DW[[#This Row],[profissional_id]]&amp;Ocupacao_DW[[#This Row],[local_id]]</f>
        <v>4463526642</v>
      </c>
      <c r="H5972" s="1">
        <f>_xlfn.XLOOKUP(Ocupacao_DW[[#This Row],[Concat]],Vagas!$H:$H,Vagas!$D:$D,"",0)</f>
        <v>0</v>
      </c>
    </row>
    <row r="5973" spans="1:8" x14ac:dyDescent="0.25">
      <c r="A5973" s="2">
        <v>44638</v>
      </c>
      <c r="B5973" s="1" t="s">
        <v>43</v>
      </c>
      <c r="C5973">
        <v>17864</v>
      </c>
      <c r="D5973" s="1" t="s">
        <v>234</v>
      </c>
      <c r="E5973" s="1" t="s">
        <v>7</v>
      </c>
      <c r="F5973">
        <v>60</v>
      </c>
      <c r="G5973" s="1" t="str">
        <f>Ocupacao_DW[[#This Row],[data]]&amp;Ocupacao_DW[[#This Row],[profissional_id]]&amp;Ocupacao_DW[[#This Row],[local_id]]</f>
        <v>446381786460</v>
      </c>
      <c r="H5973" s="1">
        <f>_xlfn.XLOOKUP(Ocupacao_DW[[#This Row],[Concat]],Vagas!$H:$H,Vagas!$D:$D,"",0)</f>
        <v>0</v>
      </c>
    </row>
    <row r="5974" spans="1:8" x14ac:dyDescent="0.25">
      <c r="A5974" s="2">
        <v>44638</v>
      </c>
      <c r="B5974" s="1" t="s">
        <v>24</v>
      </c>
      <c r="C5974">
        <v>60</v>
      </c>
      <c r="D5974" s="1" t="s">
        <v>217</v>
      </c>
      <c r="E5974" s="1" t="s">
        <v>6</v>
      </c>
      <c r="F5974">
        <v>1</v>
      </c>
      <c r="G5974" s="1" t="str">
        <f>Ocupacao_DW[[#This Row],[data]]&amp;Ocupacao_DW[[#This Row],[profissional_id]]&amp;Ocupacao_DW[[#This Row],[local_id]]</f>
        <v>44638601</v>
      </c>
      <c r="H5974" s="1">
        <f>_xlfn.XLOOKUP(Ocupacao_DW[[#This Row],[Concat]],Vagas!$H:$H,Vagas!$D:$D,"",0)</f>
        <v>0</v>
      </c>
    </row>
    <row r="5975" spans="1:8" x14ac:dyDescent="0.25">
      <c r="A5975" s="2">
        <v>44636</v>
      </c>
      <c r="B5975" s="1" t="s">
        <v>47</v>
      </c>
      <c r="C5975">
        <v>110</v>
      </c>
      <c r="D5975" s="1" t="s">
        <v>193</v>
      </c>
      <c r="E5975" s="1" t="s">
        <v>4</v>
      </c>
      <c r="F5975">
        <v>334</v>
      </c>
      <c r="G5975" s="1" t="str">
        <f>Ocupacao_DW[[#This Row],[data]]&amp;Ocupacao_DW[[#This Row],[profissional_id]]&amp;Ocupacao_DW[[#This Row],[local_id]]</f>
        <v>44636110334</v>
      </c>
      <c r="H5975" s="1">
        <f>_xlfn.XLOOKUP(Ocupacao_DW[[#This Row],[Concat]],Vagas!$H:$H,Vagas!$D:$D,"",0)</f>
        <v>0</v>
      </c>
    </row>
    <row r="5976" spans="1:8" x14ac:dyDescent="0.25">
      <c r="A5976" s="2">
        <v>44635</v>
      </c>
      <c r="B5976" s="1" t="s">
        <v>70</v>
      </c>
      <c r="C5976">
        <v>12825</v>
      </c>
      <c r="D5976" s="1" t="s">
        <v>177</v>
      </c>
      <c r="E5976" s="1" t="s">
        <v>7</v>
      </c>
      <c r="F5976">
        <v>63</v>
      </c>
      <c r="G5976" s="1" t="str">
        <f>Ocupacao_DW[[#This Row],[data]]&amp;Ocupacao_DW[[#This Row],[profissional_id]]&amp;Ocupacao_DW[[#This Row],[local_id]]</f>
        <v>446351282563</v>
      </c>
      <c r="H5976" s="1">
        <f>_xlfn.XLOOKUP(Ocupacao_DW[[#This Row],[Concat]],Vagas!$H:$H,Vagas!$D:$D,"",0)</f>
        <v>0</v>
      </c>
    </row>
    <row r="5977" spans="1:8" x14ac:dyDescent="0.25">
      <c r="A5977" s="2">
        <v>44657</v>
      </c>
      <c r="B5977" s="1" t="s">
        <v>47</v>
      </c>
      <c r="C5977">
        <v>110</v>
      </c>
      <c r="D5977" s="1" t="s">
        <v>193</v>
      </c>
      <c r="E5977" s="1" t="s">
        <v>4</v>
      </c>
      <c r="F5977">
        <v>334</v>
      </c>
      <c r="G5977" s="1" t="str">
        <f>Ocupacao_DW[[#This Row],[data]]&amp;Ocupacao_DW[[#This Row],[profissional_id]]&amp;Ocupacao_DW[[#This Row],[local_id]]</f>
        <v>44657110334</v>
      </c>
      <c r="H5977" s="1">
        <f>_xlfn.XLOOKUP(Ocupacao_DW[[#This Row],[Concat]],Vagas!$H:$H,Vagas!$D:$D,"",0)</f>
        <v>0</v>
      </c>
    </row>
    <row r="5978" spans="1:8" x14ac:dyDescent="0.25">
      <c r="A5978" s="2">
        <v>44657</v>
      </c>
      <c r="B5978" s="1"/>
      <c r="C5978">
        <v>0</v>
      </c>
      <c r="D5978" s="1"/>
      <c r="E5978" s="1" t="s">
        <v>4</v>
      </c>
      <c r="F5978">
        <v>40</v>
      </c>
      <c r="G5978" s="1" t="str">
        <f>Ocupacao_DW[[#This Row],[data]]&amp;Ocupacao_DW[[#This Row],[profissional_id]]&amp;Ocupacao_DW[[#This Row],[local_id]]</f>
        <v>44657040</v>
      </c>
      <c r="H5978" s="1" t="str">
        <f>_xlfn.XLOOKUP(Ocupacao_DW[[#This Row],[Concat]],Vagas!$H:$H,Vagas!$D:$D,"",0)</f>
        <v/>
      </c>
    </row>
    <row r="5979" spans="1:8" x14ac:dyDescent="0.25">
      <c r="A5979" s="2">
        <v>44635</v>
      </c>
      <c r="B5979" s="1" t="s">
        <v>67</v>
      </c>
      <c r="C5979">
        <v>7290</v>
      </c>
      <c r="D5979" s="1" t="s">
        <v>247</v>
      </c>
      <c r="E5979" s="1" t="s">
        <v>5</v>
      </c>
      <c r="F5979">
        <v>18</v>
      </c>
      <c r="G5979" s="1" t="str">
        <f>Ocupacao_DW[[#This Row],[data]]&amp;Ocupacao_DW[[#This Row],[profissional_id]]&amp;Ocupacao_DW[[#This Row],[local_id]]</f>
        <v>44635729018</v>
      </c>
      <c r="H5979" s="1">
        <f>_xlfn.XLOOKUP(Ocupacao_DW[[#This Row],[Concat]],Vagas!$H:$H,Vagas!$D:$D,"",0)</f>
        <v>0</v>
      </c>
    </row>
    <row r="5980" spans="1:8" x14ac:dyDescent="0.25">
      <c r="A5980" s="2">
        <v>44636</v>
      </c>
      <c r="B5980" s="1" t="s">
        <v>47</v>
      </c>
      <c r="C5980">
        <v>110</v>
      </c>
      <c r="D5980" s="1" t="s">
        <v>193</v>
      </c>
      <c r="E5980" s="1" t="s">
        <v>4</v>
      </c>
      <c r="F5980">
        <v>334</v>
      </c>
      <c r="G5980" s="1" t="str">
        <f>Ocupacao_DW[[#This Row],[data]]&amp;Ocupacao_DW[[#This Row],[profissional_id]]&amp;Ocupacao_DW[[#This Row],[local_id]]</f>
        <v>44636110334</v>
      </c>
      <c r="H5980" s="1">
        <f>_xlfn.XLOOKUP(Ocupacao_DW[[#This Row],[Concat]],Vagas!$H:$H,Vagas!$D:$D,"",0)</f>
        <v>0</v>
      </c>
    </row>
    <row r="5981" spans="1:8" x14ac:dyDescent="0.25">
      <c r="A5981" s="2">
        <v>44635</v>
      </c>
      <c r="B5981" s="1" t="s">
        <v>51</v>
      </c>
      <c r="C5981">
        <v>12582</v>
      </c>
      <c r="D5981" s="1" t="s">
        <v>190</v>
      </c>
      <c r="E5981" s="1" t="s">
        <v>7</v>
      </c>
      <c r="F5981">
        <v>62</v>
      </c>
      <c r="G5981" s="1" t="str">
        <f>Ocupacao_DW[[#This Row],[data]]&amp;Ocupacao_DW[[#This Row],[profissional_id]]&amp;Ocupacao_DW[[#This Row],[local_id]]</f>
        <v>446351258262</v>
      </c>
      <c r="H5981" s="1">
        <f>_xlfn.XLOOKUP(Ocupacao_DW[[#This Row],[Concat]],Vagas!$H:$H,Vagas!$D:$D,"",0)</f>
        <v>0</v>
      </c>
    </row>
    <row r="5982" spans="1:8" x14ac:dyDescent="0.25">
      <c r="A5982" s="2">
        <v>44643</v>
      </c>
      <c r="B5982" s="1" t="s">
        <v>52</v>
      </c>
      <c r="C5982">
        <v>10691</v>
      </c>
      <c r="D5982" s="1" t="s">
        <v>181</v>
      </c>
      <c r="E5982" s="1" t="s">
        <v>6</v>
      </c>
      <c r="F5982">
        <v>9</v>
      </c>
      <c r="G5982" s="1" t="str">
        <f>Ocupacao_DW[[#This Row],[data]]&amp;Ocupacao_DW[[#This Row],[profissional_id]]&amp;Ocupacao_DW[[#This Row],[local_id]]</f>
        <v>44643106919</v>
      </c>
      <c r="H5982" s="1">
        <f>_xlfn.XLOOKUP(Ocupacao_DW[[#This Row],[Concat]],Vagas!$H:$H,Vagas!$D:$D,"",0)</f>
        <v>0</v>
      </c>
    </row>
    <row r="5983" spans="1:8" x14ac:dyDescent="0.25">
      <c r="A5983" s="2">
        <v>44635</v>
      </c>
      <c r="B5983" s="1" t="s">
        <v>64</v>
      </c>
      <c r="C5983">
        <v>85</v>
      </c>
      <c r="D5983" s="1" t="s">
        <v>211</v>
      </c>
      <c r="E5983" s="1" t="s">
        <v>5</v>
      </c>
      <c r="F5983">
        <v>349</v>
      </c>
      <c r="G5983" s="1" t="str">
        <f>Ocupacao_DW[[#This Row],[data]]&amp;Ocupacao_DW[[#This Row],[profissional_id]]&amp;Ocupacao_DW[[#This Row],[local_id]]</f>
        <v>4463585349</v>
      </c>
      <c r="H5983" s="1">
        <f>_xlfn.XLOOKUP(Ocupacao_DW[[#This Row],[Concat]],Vagas!$H:$H,Vagas!$D:$D,"",0)</f>
        <v>0</v>
      </c>
    </row>
    <row r="5984" spans="1:8" x14ac:dyDescent="0.25">
      <c r="A5984" s="2">
        <v>44638</v>
      </c>
      <c r="B5984" s="1" t="s">
        <v>69</v>
      </c>
      <c r="C5984">
        <v>13249</v>
      </c>
      <c r="D5984" s="1" t="s">
        <v>178</v>
      </c>
      <c r="E5984" s="1" t="s">
        <v>7</v>
      </c>
      <c r="F5984">
        <v>66</v>
      </c>
      <c r="G5984" s="1" t="str">
        <f>Ocupacao_DW[[#This Row],[data]]&amp;Ocupacao_DW[[#This Row],[profissional_id]]&amp;Ocupacao_DW[[#This Row],[local_id]]</f>
        <v>446381324966</v>
      </c>
      <c r="H5984" s="1">
        <f>_xlfn.XLOOKUP(Ocupacao_DW[[#This Row],[Concat]],Vagas!$H:$H,Vagas!$D:$D,"",0)</f>
        <v>0</v>
      </c>
    </row>
    <row r="5985" spans="1:8" x14ac:dyDescent="0.25">
      <c r="A5985" s="2">
        <v>44635</v>
      </c>
      <c r="B5985" s="1" t="s">
        <v>65</v>
      </c>
      <c r="C5985">
        <v>11237</v>
      </c>
      <c r="D5985" s="1" t="s">
        <v>229</v>
      </c>
      <c r="E5985" s="1" t="s">
        <v>4</v>
      </c>
      <c r="F5985">
        <v>46</v>
      </c>
      <c r="G5985" s="1" t="str">
        <f>Ocupacao_DW[[#This Row],[data]]&amp;Ocupacao_DW[[#This Row],[profissional_id]]&amp;Ocupacao_DW[[#This Row],[local_id]]</f>
        <v>446351123746</v>
      </c>
      <c r="H5985" s="1">
        <f>_xlfn.XLOOKUP(Ocupacao_DW[[#This Row],[Concat]],Vagas!$H:$H,Vagas!$D:$D,"",0)</f>
        <v>0</v>
      </c>
    </row>
    <row r="5986" spans="1:8" x14ac:dyDescent="0.25">
      <c r="A5986" s="2">
        <v>44656</v>
      </c>
      <c r="B5986" s="1" t="s">
        <v>55</v>
      </c>
      <c r="C5986">
        <v>73</v>
      </c>
      <c r="D5986" s="1" t="s">
        <v>171</v>
      </c>
      <c r="E5986" s="1" t="s">
        <v>6</v>
      </c>
      <c r="F5986">
        <v>5</v>
      </c>
      <c r="G5986" s="1" t="str">
        <f>Ocupacao_DW[[#This Row],[data]]&amp;Ocupacao_DW[[#This Row],[profissional_id]]&amp;Ocupacao_DW[[#This Row],[local_id]]</f>
        <v>44656735</v>
      </c>
      <c r="H5986" s="1">
        <f>_xlfn.XLOOKUP(Ocupacao_DW[[#This Row],[Concat]],Vagas!$H:$H,Vagas!$D:$D,"",0)</f>
        <v>0</v>
      </c>
    </row>
    <row r="5987" spans="1:8" x14ac:dyDescent="0.25">
      <c r="A5987" s="2">
        <v>44641</v>
      </c>
      <c r="B5987" s="1" t="s">
        <v>54</v>
      </c>
      <c r="C5987">
        <v>70</v>
      </c>
      <c r="D5987" s="1" t="s">
        <v>187</v>
      </c>
      <c r="E5987" s="1" t="s">
        <v>5</v>
      </c>
      <c r="F5987">
        <v>13</v>
      </c>
      <c r="G5987" s="1" t="str">
        <f>Ocupacao_DW[[#This Row],[data]]&amp;Ocupacao_DW[[#This Row],[profissional_id]]&amp;Ocupacao_DW[[#This Row],[local_id]]</f>
        <v>446417013</v>
      </c>
      <c r="H5987" s="1">
        <f>_xlfn.XLOOKUP(Ocupacao_DW[[#This Row],[Concat]],Vagas!$H:$H,Vagas!$D:$D,"",0)</f>
        <v>0</v>
      </c>
    </row>
    <row r="5988" spans="1:8" x14ac:dyDescent="0.25">
      <c r="A5988" s="2">
        <v>44636</v>
      </c>
      <c r="B5988" s="1" t="s">
        <v>47</v>
      </c>
      <c r="C5988">
        <v>110</v>
      </c>
      <c r="D5988" s="1" t="s">
        <v>193</v>
      </c>
      <c r="E5988" s="1" t="s">
        <v>4</v>
      </c>
      <c r="F5988">
        <v>334</v>
      </c>
      <c r="G5988" s="1" t="str">
        <f>Ocupacao_DW[[#This Row],[data]]&amp;Ocupacao_DW[[#This Row],[profissional_id]]&amp;Ocupacao_DW[[#This Row],[local_id]]</f>
        <v>44636110334</v>
      </c>
      <c r="H5988" s="1">
        <f>_xlfn.XLOOKUP(Ocupacao_DW[[#This Row],[Concat]],Vagas!$H:$H,Vagas!$D:$D,"",0)</f>
        <v>0</v>
      </c>
    </row>
    <row r="5989" spans="1:8" x14ac:dyDescent="0.25">
      <c r="A5989" s="2">
        <v>44638</v>
      </c>
      <c r="B5989" s="1" t="s">
        <v>47</v>
      </c>
      <c r="C5989">
        <v>9111</v>
      </c>
      <c r="D5989" s="1" t="s">
        <v>206</v>
      </c>
      <c r="E5989" s="1" t="s">
        <v>4</v>
      </c>
      <c r="F5989">
        <v>51</v>
      </c>
      <c r="G5989" s="1" t="str">
        <f>Ocupacao_DW[[#This Row],[data]]&amp;Ocupacao_DW[[#This Row],[profissional_id]]&amp;Ocupacao_DW[[#This Row],[local_id]]</f>
        <v>44638911151</v>
      </c>
      <c r="H5989" s="1">
        <f>_xlfn.XLOOKUP(Ocupacao_DW[[#This Row],[Concat]],Vagas!$H:$H,Vagas!$D:$D,"",0)</f>
        <v>0</v>
      </c>
    </row>
    <row r="5990" spans="1:8" x14ac:dyDescent="0.25">
      <c r="A5990" s="2">
        <v>44650</v>
      </c>
      <c r="B5990" s="1" t="s">
        <v>55</v>
      </c>
      <c r="C5990">
        <v>74</v>
      </c>
      <c r="D5990" s="1" t="s">
        <v>182</v>
      </c>
      <c r="E5990" s="1" t="s">
        <v>6</v>
      </c>
      <c r="F5990">
        <v>7</v>
      </c>
      <c r="G5990" s="1" t="str">
        <f>Ocupacao_DW[[#This Row],[data]]&amp;Ocupacao_DW[[#This Row],[profissional_id]]&amp;Ocupacao_DW[[#This Row],[local_id]]</f>
        <v>44650747</v>
      </c>
      <c r="H5990" s="1">
        <f>_xlfn.XLOOKUP(Ocupacao_DW[[#This Row],[Concat]],Vagas!$H:$H,Vagas!$D:$D,"",0)</f>
        <v>0</v>
      </c>
    </row>
    <row r="5991" spans="1:8" x14ac:dyDescent="0.25">
      <c r="A5991" s="2">
        <v>44636</v>
      </c>
      <c r="B5991" s="1" t="s">
        <v>42</v>
      </c>
      <c r="C5991">
        <v>17902</v>
      </c>
      <c r="D5991" s="1" t="s">
        <v>264</v>
      </c>
      <c r="E5991" s="1" t="s">
        <v>4</v>
      </c>
      <c r="F5991">
        <v>39</v>
      </c>
      <c r="G5991" s="1" t="str">
        <f>Ocupacao_DW[[#This Row],[data]]&amp;Ocupacao_DW[[#This Row],[profissional_id]]&amp;Ocupacao_DW[[#This Row],[local_id]]</f>
        <v>446361790239</v>
      </c>
      <c r="H5991" s="1">
        <f>_xlfn.XLOOKUP(Ocupacao_DW[[#This Row],[Concat]],Vagas!$H:$H,Vagas!$D:$D,"",0)</f>
        <v>47</v>
      </c>
    </row>
    <row r="5992" spans="1:8" x14ac:dyDescent="0.25">
      <c r="A5992" s="2">
        <v>44636</v>
      </c>
      <c r="B5992" s="1"/>
      <c r="C5992">
        <v>17888</v>
      </c>
      <c r="D5992" s="1" t="s">
        <v>255</v>
      </c>
      <c r="E5992" s="1" t="s">
        <v>4</v>
      </c>
      <c r="F5992">
        <v>40</v>
      </c>
      <c r="G5992" s="1" t="str">
        <f>Ocupacao_DW[[#This Row],[data]]&amp;Ocupacao_DW[[#This Row],[profissional_id]]&amp;Ocupacao_DW[[#This Row],[local_id]]</f>
        <v>446361788840</v>
      </c>
      <c r="H5992" s="1">
        <f>_xlfn.XLOOKUP(Ocupacao_DW[[#This Row],[Concat]],Vagas!$H:$H,Vagas!$D:$D,"",0)</f>
        <v>17</v>
      </c>
    </row>
    <row r="5993" spans="1:8" x14ac:dyDescent="0.25">
      <c r="A5993" s="2">
        <v>44643</v>
      </c>
      <c r="B5993" s="1" t="s">
        <v>52</v>
      </c>
      <c r="C5993">
        <v>57</v>
      </c>
      <c r="D5993" s="1" t="s">
        <v>169</v>
      </c>
      <c r="E5993" s="1" t="s">
        <v>6</v>
      </c>
      <c r="F5993">
        <v>4</v>
      </c>
      <c r="G5993" s="1" t="str">
        <f>Ocupacao_DW[[#This Row],[data]]&amp;Ocupacao_DW[[#This Row],[profissional_id]]&amp;Ocupacao_DW[[#This Row],[local_id]]</f>
        <v>44643574</v>
      </c>
      <c r="H5993" s="1">
        <f>_xlfn.XLOOKUP(Ocupacao_DW[[#This Row],[Concat]],Vagas!$H:$H,Vagas!$D:$D,"",0)</f>
        <v>0</v>
      </c>
    </row>
    <row r="5994" spans="1:8" x14ac:dyDescent="0.25">
      <c r="A5994" s="2">
        <v>44643</v>
      </c>
      <c r="B5994" s="1" t="s">
        <v>52</v>
      </c>
      <c r="C5994">
        <v>10691</v>
      </c>
      <c r="D5994" s="1" t="s">
        <v>181</v>
      </c>
      <c r="E5994" s="1" t="s">
        <v>6</v>
      </c>
      <c r="F5994">
        <v>9</v>
      </c>
      <c r="G5994" s="1" t="str">
        <f>Ocupacao_DW[[#This Row],[data]]&amp;Ocupacao_DW[[#This Row],[profissional_id]]&amp;Ocupacao_DW[[#This Row],[local_id]]</f>
        <v>44643106919</v>
      </c>
      <c r="H5994" s="1">
        <f>_xlfn.XLOOKUP(Ocupacao_DW[[#This Row],[Concat]],Vagas!$H:$H,Vagas!$D:$D,"",0)</f>
        <v>0</v>
      </c>
    </row>
    <row r="5995" spans="1:8" x14ac:dyDescent="0.25">
      <c r="A5995" s="2">
        <v>44635</v>
      </c>
      <c r="B5995" s="1" t="s">
        <v>55</v>
      </c>
      <c r="C5995">
        <v>60</v>
      </c>
      <c r="D5995" s="1" t="s">
        <v>217</v>
      </c>
      <c r="E5995" s="1" t="s">
        <v>167</v>
      </c>
      <c r="F5995">
        <v>345</v>
      </c>
      <c r="G5995" s="1" t="str">
        <f>Ocupacao_DW[[#This Row],[data]]&amp;Ocupacao_DW[[#This Row],[profissional_id]]&amp;Ocupacao_DW[[#This Row],[local_id]]</f>
        <v>4463560345</v>
      </c>
      <c r="H5995" s="1">
        <f>_xlfn.XLOOKUP(Ocupacao_DW[[#This Row],[Concat]],Vagas!$H:$H,Vagas!$D:$D,"",0)</f>
        <v>0</v>
      </c>
    </row>
    <row r="5996" spans="1:8" x14ac:dyDescent="0.25">
      <c r="A5996" s="2">
        <v>44636</v>
      </c>
      <c r="B5996" s="1" t="s">
        <v>47</v>
      </c>
      <c r="C5996">
        <v>110</v>
      </c>
      <c r="D5996" s="1" t="s">
        <v>193</v>
      </c>
      <c r="E5996" s="1" t="s">
        <v>4</v>
      </c>
      <c r="F5996">
        <v>334</v>
      </c>
      <c r="G5996" s="1" t="str">
        <f>Ocupacao_DW[[#This Row],[data]]&amp;Ocupacao_DW[[#This Row],[profissional_id]]&amp;Ocupacao_DW[[#This Row],[local_id]]</f>
        <v>44636110334</v>
      </c>
      <c r="H5996" s="1">
        <f>_xlfn.XLOOKUP(Ocupacao_DW[[#This Row],[Concat]],Vagas!$H:$H,Vagas!$D:$D,"",0)</f>
        <v>0</v>
      </c>
    </row>
    <row r="5997" spans="1:8" x14ac:dyDescent="0.25">
      <c r="A5997" s="2">
        <v>44635</v>
      </c>
      <c r="B5997" s="1" t="s">
        <v>53</v>
      </c>
      <c r="C5997">
        <v>9138</v>
      </c>
      <c r="D5997" s="1" t="s">
        <v>184</v>
      </c>
      <c r="E5997" s="1" t="s">
        <v>167</v>
      </c>
      <c r="F5997">
        <v>344</v>
      </c>
      <c r="G5997" s="1" t="str">
        <f>Ocupacao_DW[[#This Row],[data]]&amp;Ocupacao_DW[[#This Row],[profissional_id]]&amp;Ocupacao_DW[[#This Row],[local_id]]</f>
        <v>446359138344</v>
      </c>
      <c r="H5997" s="1">
        <f>_xlfn.XLOOKUP(Ocupacao_DW[[#This Row],[Concat]],Vagas!$H:$H,Vagas!$D:$D,"",0)</f>
        <v>0</v>
      </c>
    </row>
    <row r="5998" spans="1:8" x14ac:dyDescent="0.25">
      <c r="A5998" s="2">
        <v>44638</v>
      </c>
      <c r="B5998" s="1" t="s">
        <v>24</v>
      </c>
      <c r="C5998">
        <v>60</v>
      </c>
      <c r="D5998" s="1" t="s">
        <v>217</v>
      </c>
      <c r="E5998" s="1" t="s">
        <v>6</v>
      </c>
      <c r="F5998">
        <v>1</v>
      </c>
      <c r="G5998" s="1" t="str">
        <f>Ocupacao_DW[[#This Row],[data]]&amp;Ocupacao_DW[[#This Row],[profissional_id]]&amp;Ocupacao_DW[[#This Row],[local_id]]</f>
        <v>44638601</v>
      </c>
      <c r="H5998" s="1">
        <f>_xlfn.XLOOKUP(Ocupacao_DW[[#This Row],[Concat]],Vagas!$H:$H,Vagas!$D:$D,"",0)</f>
        <v>0</v>
      </c>
    </row>
    <row r="5999" spans="1:8" x14ac:dyDescent="0.25">
      <c r="A5999" s="2">
        <v>44656</v>
      </c>
      <c r="B5999" s="1" t="s">
        <v>70</v>
      </c>
      <c r="C5999">
        <v>14237</v>
      </c>
      <c r="D5999" s="1" t="s">
        <v>186</v>
      </c>
      <c r="E5999" s="1" t="s">
        <v>4</v>
      </c>
      <c r="F5999">
        <v>47</v>
      </c>
      <c r="G5999" s="1" t="str">
        <f>Ocupacao_DW[[#This Row],[data]]&amp;Ocupacao_DW[[#This Row],[profissional_id]]&amp;Ocupacao_DW[[#This Row],[local_id]]</f>
        <v>446561423747</v>
      </c>
      <c r="H5999" s="1">
        <f>_xlfn.XLOOKUP(Ocupacao_DW[[#This Row],[Concat]],Vagas!$H:$H,Vagas!$D:$D,"",0)</f>
        <v>0</v>
      </c>
    </row>
    <row r="6000" spans="1:8" x14ac:dyDescent="0.25">
      <c r="A6000" s="2">
        <v>44635</v>
      </c>
      <c r="B6000" s="1" t="s">
        <v>65</v>
      </c>
      <c r="C6000">
        <v>11652</v>
      </c>
      <c r="D6000" s="1" t="s">
        <v>242</v>
      </c>
      <c r="E6000" s="1" t="s">
        <v>4</v>
      </c>
      <c r="F6000">
        <v>47</v>
      </c>
      <c r="G6000" s="1" t="str">
        <f>Ocupacao_DW[[#This Row],[data]]&amp;Ocupacao_DW[[#This Row],[profissional_id]]&amp;Ocupacao_DW[[#This Row],[local_id]]</f>
        <v>446351165247</v>
      </c>
      <c r="H6000" s="1">
        <f>_xlfn.XLOOKUP(Ocupacao_DW[[#This Row],[Concat]],Vagas!$H:$H,Vagas!$D:$D,"",0)</f>
        <v>0</v>
      </c>
    </row>
    <row r="6001" spans="1:8" x14ac:dyDescent="0.25">
      <c r="A6001" s="2">
        <v>44650</v>
      </c>
      <c r="B6001" s="1" t="s">
        <v>55</v>
      </c>
      <c r="C6001">
        <v>74</v>
      </c>
      <c r="D6001" s="1" t="s">
        <v>182</v>
      </c>
      <c r="E6001" s="1" t="s">
        <v>6</v>
      </c>
      <c r="F6001">
        <v>7</v>
      </c>
      <c r="G6001" s="1" t="str">
        <f>Ocupacao_DW[[#This Row],[data]]&amp;Ocupacao_DW[[#This Row],[profissional_id]]&amp;Ocupacao_DW[[#This Row],[local_id]]</f>
        <v>44650747</v>
      </c>
      <c r="H6001" s="1">
        <f>_xlfn.XLOOKUP(Ocupacao_DW[[#This Row],[Concat]],Vagas!$H:$H,Vagas!$D:$D,"",0)</f>
        <v>0</v>
      </c>
    </row>
    <row r="6002" spans="1:8" x14ac:dyDescent="0.25">
      <c r="A6002" s="2">
        <v>44656</v>
      </c>
      <c r="B6002" s="1" t="s">
        <v>68</v>
      </c>
      <c r="C6002">
        <v>8239</v>
      </c>
      <c r="D6002" s="1" t="s">
        <v>257</v>
      </c>
      <c r="E6002" s="1" t="s">
        <v>167</v>
      </c>
      <c r="F6002">
        <v>345</v>
      </c>
      <c r="G6002" s="1" t="str">
        <f>Ocupacao_DW[[#This Row],[data]]&amp;Ocupacao_DW[[#This Row],[profissional_id]]&amp;Ocupacao_DW[[#This Row],[local_id]]</f>
        <v>446568239345</v>
      </c>
      <c r="H6002" s="1">
        <f>_xlfn.XLOOKUP(Ocupacao_DW[[#This Row],[Concat]],Vagas!$H:$H,Vagas!$D:$D,"",0)</f>
        <v>0</v>
      </c>
    </row>
    <row r="6003" spans="1:8" x14ac:dyDescent="0.25">
      <c r="A6003" s="2">
        <v>44636</v>
      </c>
      <c r="B6003" s="1" t="s">
        <v>62</v>
      </c>
      <c r="C6003">
        <v>10799</v>
      </c>
      <c r="D6003" s="1" t="s">
        <v>204</v>
      </c>
      <c r="E6003" s="1" t="s">
        <v>5</v>
      </c>
      <c r="F6003">
        <v>18</v>
      </c>
      <c r="G6003" s="1" t="str">
        <f>Ocupacao_DW[[#This Row],[data]]&amp;Ocupacao_DW[[#This Row],[profissional_id]]&amp;Ocupacao_DW[[#This Row],[local_id]]</f>
        <v>446361079918</v>
      </c>
      <c r="H6003" s="1">
        <f>_xlfn.XLOOKUP(Ocupacao_DW[[#This Row],[Concat]],Vagas!$H:$H,Vagas!$D:$D,"",0)</f>
        <v>0</v>
      </c>
    </row>
    <row r="6004" spans="1:8" x14ac:dyDescent="0.25">
      <c r="A6004" s="2">
        <v>44637</v>
      </c>
      <c r="B6004" s="1" t="s">
        <v>73</v>
      </c>
      <c r="C6004">
        <v>10691</v>
      </c>
      <c r="D6004" s="1" t="s">
        <v>181</v>
      </c>
      <c r="E6004" s="1" t="s">
        <v>167</v>
      </c>
      <c r="F6004">
        <v>348</v>
      </c>
      <c r="G6004" s="1" t="str">
        <f>Ocupacao_DW[[#This Row],[data]]&amp;Ocupacao_DW[[#This Row],[profissional_id]]&amp;Ocupacao_DW[[#This Row],[local_id]]</f>
        <v>4463710691348</v>
      </c>
      <c r="H6004" s="1">
        <f>_xlfn.XLOOKUP(Ocupacao_DW[[#This Row],[Concat]],Vagas!$H:$H,Vagas!$D:$D,"",0)</f>
        <v>0</v>
      </c>
    </row>
    <row r="6005" spans="1:8" x14ac:dyDescent="0.25">
      <c r="A6005" s="2">
        <v>44635</v>
      </c>
      <c r="B6005" s="1" t="s">
        <v>54</v>
      </c>
      <c r="C6005">
        <v>69</v>
      </c>
      <c r="D6005" s="1" t="s">
        <v>238</v>
      </c>
      <c r="E6005" s="1" t="s">
        <v>5</v>
      </c>
      <c r="F6005">
        <v>13</v>
      </c>
      <c r="G6005" s="1" t="str">
        <f>Ocupacao_DW[[#This Row],[data]]&amp;Ocupacao_DW[[#This Row],[profissional_id]]&amp;Ocupacao_DW[[#This Row],[local_id]]</f>
        <v>446356913</v>
      </c>
      <c r="H6005" s="1">
        <f>_xlfn.XLOOKUP(Ocupacao_DW[[#This Row],[Concat]],Vagas!$H:$H,Vagas!$D:$D,"",0)</f>
        <v>0</v>
      </c>
    </row>
    <row r="6006" spans="1:8" x14ac:dyDescent="0.25">
      <c r="A6006" s="2">
        <v>44644</v>
      </c>
      <c r="B6006" s="1" t="s">
        <v>70</v>
      </c>
      <c r="C6006">
        <v>12519</v>
      </c>
      <c r="D6006" s="1" t="s">
        <v>176</v>
      </c>
      <c r="E6006" s="1" t="s">
        <v>4</v>
      </c>
      <c r="F6006">
        <v>42</v>
      </c>
      <c r="G6006" s="1" t="str">
        <f>Ocupacao_DW[[#This Row],[data]]&amp;Ocupacao_DW[[#This Row],[profissional_id]]&amp;Ocupacao_DW[[#This Row],[local_id]]</f>
        <v>446441251942</v>
      </c>
      <c r="H6006" s="1">
        <f>_xlfn.XLOOKUP(Ocupacao_DW[[#This Row],[Concat]],Vagas!$H:$H,Vagas!$D:$D,"",0)</f>
        <v>0</v>
      </c>
    </row>
    <row r="6007" spans="1:8" x14ac:dyDescent="0.25">
      <c r="A6007" s="2">
        <v>44637</v>
      </c>
      <c r="B6007" s="1" t="s">
        <v>71</v>
      </c>
      <c r="C6007">
        <v>76</v>
      </c>
      <c r="D6007" s="1" t="s">
        <v>227</v>
      </c>
      <c r="E6007" s="1" t="s">
        <v>4</v>
      </c>
      <c r="F6007">
        <v>48</v>
      </c>
      <c r="G6007" s="1" t="str">
        <f>Ocupacao_DW[[#This Row],[data]]&amp;Ocupacao_DW[[#This Row],[profissional_id]]&amp;Ocupacao_DW[[#This Row],[local_id]]</f>
        <v>446377648</v>
      </c>
      <c r="H6007" s="1">
        <f>_xlfn.XLOOKUP(Ocupacao_DW[[#This Row],[Concat]],Vagas!$H:$H,Vagas!$D:$D,"",0)</f>
        <v>0</v>
      </c>
    </row>
    <row r="6008" spans="1:8" x14ac:dyDescent="0.25">
      <c r="A6008" s="2">
        <v>44635</v>
      </c>
      <c r="B6008" s="1" t="s">
        <v>62</v>
      </c>
      <c r="C6008">
        <v>3502</v>
      </c>
      <c r="D6008" s="1" t="s">
        <v>214</v>
      </c>
      <c r="E6008" s="1" t="s">
        <v>5</v>
      </c>
      <c r="F6008">
        <v>16</v>
      </c>
      <c r="G6008" s="1" t="str">
        <f>Ocupacao_DW[[#This Row],[data]]&amp;Ocupacao_DW[[#This Row],[profissional_id]]&amp;Ocupacao_DW[[#This Row],[local_id]]</f>
        <v>44635350216</v>
      </c>
      <c r="H6008" s="1">
        <f>_xlfn.XLOOKUP(Ocupacao_DW[[#This Row],[Concat]],Vagas!$H:$H,Vagas!$D:$D,"",0)</f>
        <v>0</v>
      </c>
    </row>
    <row r="6009" spans="1:8" x14ac:dyDescent="0.25">
      <c r="A6009" s="2">
        <v>44646</v>
      </c>
      <c r="B6009" s="1" t="s">
        <v>62</v>
      </c>
      <c r="C6009">
        <v>4887</v>
      </c>
      <c r="D6009" s="1" t="s">
        <v>168</v>
      </c>
      <c r="E6009" s="1" t="s">
        <v>5</v>
      </c>
      <c r="F6009">
        <v>18</v>
      </c>
      <c r="G6009" s="1" t="str">
        <f>Ocupacao_DW[[#This Row],[data]]&amp;Ocupacao_DW[[#This Row],[profissional_id]]&amp;Ocupacao_DW[[#This Row],[local_id]]</f>
        <v>44646488718</v>
      </c>
      <c r="H6009" s="1">
        <f>_xlfn.XLOOKUP(Ocupacao_DW[[#This Row],[Concat]],Vagas!$H:$H,Vagas!$D:$D,"",0)</f>
        <v>0</v>
      </c>
    </row>
    <row r="6010" spans="1:8" x14ac:dyDescent="0.25">
      <c r="A6010" s="2">
        <v>44650</v>
      </c>
      <c r="B6010" s="1" t="s">
        <v>52</v>
      </c>
      <c r="C6010">
        <v>60</v>
      </c>
      <c r="D6010" s="1" t="s">
        <v>217</v>
      </c>
      <c r="E6010" s="1" t="s">
        <v>6</v>
      </c>
      <c r="F6010">
        <v>8</v>
      </c>
      <c r="G6010" s="1" t="str">
        <f>Ocupacao_DW[[#This Row],[data]]&amp;Ocupacao_DW[[#This Row],[profissional_id]]&amp;Ocupacao_DW[[#This Row],[local_id]]</f>
        <v>44650608</v>
      </c>
      <c r="H6010" s="1" t="str">
        <f>_xlfn.XLOOKUP(Ocupacao_DW[[#This Row],[Concat]],Vagas!$H:$H,Vagas!$D:$D,"",0)</f>
        <v/>
      </c>
    </row>
    <row r="6011" spans="1:8" x14ac:dyDescent="0.25">
      <c r="A6011" s="2">
        <v>44641</v>
      </c>
      <c r="B6011" s="1" t="s">
        <v>60</v>
      </c>
      <c r="C6011">
        <v>117</v>
      </c>
      <c r="D6011" s="1" t="s">
        <v>180</v>
      </c>
      <c r="E6011" s="1" t="s">
        <v>4</v>
      </c>
      <c r="F6011">
        <v>48</v>
      </c>
      <c r="G6011" s="1" t="str">
        <f>Ocupacao_DW[[#This Row],[data]]&amp;Ocupacao_DW[[#This Row],[profissional_id]]&amp;Ocupacao_DW[[#This Row],[local_id]]</f>
        <v>4464111748</v>
      </c>
      <c r="H6011" s="1">
        <f>_xlfn.XLOOKUP(Ocupacao_DW[[#This Row],[Concat]],Vagas!$H:$H,Vagas!$D:$D,"",0)</f>
        <v>0</v>
      </c>
    </row>
    <row r="6012" spans="1:8" x14ac:dyDescent="0.25">
      <c r="A6012" s="2">
        <v>44636</v>
      </c>
      <c r="B6012" s="1"/>
      <c r="C6012">
        <v>0</v>
      </c>
      <c r="D6012" s="1"/>
      <c r="E6012" s="1" t="s">
        <v>4</v>
      </c>
      <c r="F6012">
        <v>39</v>
      </c>
      <c r="G6012" s="1" t="str">
        <f>Ocupacao_DW[[#This Row],[data]]&amp;Ocupacao_DW[[#This Row],[profissional_id]]&amp;Ocupacao_DW[[#This Row],[local_id]]</f>
        <v>44636039</v>
      </c>
      <c r="H6012" s="1" t="str">
        <f>_xlfn.XLOOKUP(Ocupacao_DW[[#This Row],[Concat]],Vagas!$H:$H,Vagas!$D:$D,"",0)</f>
        <v/>
      </c>
    </row>
    <row r="6013" spans="1:8" x14ac:dyDescent="0.25">
      <c r="A6013" s="2">
        <v>44636</v>
      </c>
      <c r="B6013" s="1" t="s">
        <v>57</v>
      </c>
      <c r="C6013">
        <v>80</v>
      </c>
      <c r="D6013" s="1" t="s">
        <v>179</v>
      </c>
      <c r="E6013" s="1" t="s">
        <v>167</v>
      </c>
      <c r="F6013">
        <v>346</v>
      </c>
      <c r="G6013" s="1" t="str">
        <f>Ocupacao_DW[[#This Row],[data]]&amp;Ocupacao_DW[[#This Row],[profissional_id]]&amp;Ocupacao_DW[[#This Row],[local_id]]</f>
        <v>4463680346</v>
      </c>
      <c r="H6013" s="1">
        <f>_xlfn.XLOOKUP(Ocupacao_DW[[#This Row],[Concat]],Vagas!$H:$H,Vagas!$D:$D,"",0)</f>
        <v>0</v>
      </c>
    </row>
    <row r="6014" spans="1:8" x14ac:dyDescent="0.25">
      <c r="A6014" s="2">
        <v>44638</v>
      </c>
      <c r="B6014" s="1" t="s">
        <v>72</v>
      </c>
      <c r="C6014">
        <v>1794</v>
      </c>
      <c r="D6014" s="1" t="s">
        <v>235</v>
      </c>
      <c r="E6014" s="1" t="s">
        <v>4</v>
      </c>
      <c r="F6014">
        <v>46</v>
      </c>
      <c r="G6014" s="1" t="str">
        <f>Ocupacao_DW[[#This Row],[data]]&amp;Ocupacao_DW[[#This Row],[profissional_id]]&amp;Ocupacao_DW[[#This Row],[local_id]]</f>
        <v>44638179446</v>
      </c>
      <c r="H6014" s="1">
        <f>_xlfn.XLOOKUP(Ocupacao_DW[[#This Row],[Concat]],Vagas!$H:$H,Vagas!$D:$D,"",0)</f>
        <v>0</v>
      </c>
    </row>
    <row r="6015" spans="1:8" x14ac:dyDescent="0.25">
      <c r="A6015" s="2">
        <v>44643</v>
      </c>
      <c r="B6015" s="1"/>
      <c r="C6015">
        <v>13061</v>
      </c>
      <c r="D6015" s="1" t="s">
        <v>232</v>
      </c>
      <c r="E6015" s="1" t="s">
        <v>6</v>
      </c>
      <c r="F6015">
        <v>3</v>
      </c>
      <c r="G6015" s="1" t="str">
        <f>Ocupacao_DW[[#This Row],[data]]&amp;Ocupacao_DW[[#This Row],[profissional_id]]&amp;Ocupacao_DW[[#This Row],[local_id]]</f>
        <v>44643130613</v>
      </c>
      <c r="H6015" s="1">
        <f>_xlfn.XLOOKUP(Ocupacao_DW[[#This Row],[Concat]],Vagas!$H:$H,Vagas!$D:$D,"",0)</f>
        <v>0</v>
      </c>
    </row>
    <row r="6016" spans="1:8" x14ac:dyDescent="0.25">
      <c r="A6016" s="2">
        <v>44635</v>
      </c>
      <c r="B6016" s="1" t="s">
        <v>51</v>
      </c>
      <c r="C6016">
        <v>12582</v>
      </c>
      <c r="D6016" s="1" t="s">
        <v>190</v>
      </c>
      <c r="E6016" s="1" t="s">
        <v>7</v>
      </c>
      <c r="F6016">
        <v>62</v>
      </c>
      <c r="G6016" s="1" t="str">
        <f>Ocupacao_DW[[#This Row],[data]]&amp;Ocupacao_DW[[#This Row],[profissional_id]]&amp;Ocupacao_DW[[#This Row],[local_id]]</f>
        <v>446351258262</v>
      </c>
      <c r="H6016" s="1">
        <f>_xlfn.XLOOKUP(Ocupacao_DW[[#This Row],[Concat]],Vagas!$H:$H,Vagas!$D:$D,"",0)</f>
        <v>0</v>
      </c>
    </row>
    <row r="6017" spans="1:8" x14ac:dyDescent="0.25">
      <c r="A6017" s="2">
        <v>44641</v>
      </c>
      <c r="B6017" s="1" t="s">
        <v>52</v>
      </c>
      <c r="C6017">
        <v>10691</v>
      </c>
      <c r="D6017" s="1" t="s">
        <v>181</v>
      </c>
      <c r="E6017" s="1" t="s">
        <v>6</v>
      </c>
      <c r="F6017">
        <v>9</v>
      </c>
      <c r="G6017" s="1" t="str">
        <f>Ocupacao_DW[[#This Row],[data]]&amp;Ocupacao_DW[[#This Row],[profissional_id]]&amp;Ocupacao_DW[[#This Row],[local_id]]</f>
        <v>44641106919</v>
      </c>
      <c r="H6017" s="1">
        <f>_xlfn.XLOOKUP(Ocupacao_DW[[#This Row],[Concat]],Vagas!$H:$H,Vagas!$D:$D,"",0)</f>
        <v>0</v>
      </c>
    </row>
    <row r="6018" spans="1:8" x14ac:dyDescent="0.25">
      <c r="A6018" s="2">
        <v>44644</v>
      </c>
      <c r="B6018" s="1" t="s">
        <v>47</v>
      </c>
      <c r="C6018">
        <v>9111</v>
      </c>
      <c r="D6018" s="1" t="s">
        <v>206</v>
      </c>
      <c r="E6018" s="1" t="s">
        <v>4</v>
      </c>
      <c r="F6018">
        <v>334</v>
      </c>
      <c r="G6018" s="1" t="str">
        <f>Ocupacao_DW[[#This Row],[data]]&amp;Ocupacao_DW[[#This Row],[profissional_id]]&amp;Ocupacao_DW[[#This Row],[local_id]]</f>
        <v>446449111334</v>
      </c>
      <c r="H6018" s="1">
        <f>_xlfn.XLOOKUP(Ocupacao_DW[[#This Row],[Concat]],Vagas!$H:$H,Vagas!$D:$D,"",0)</f>
        <v>0</v>
      </c>
    </row>
    <row r="6019" spans="1:8" x14ac:dyDescent="0.25">
      <c r="A6019" s="2">
        <v>44637</v>
      </c>
      <c r="B6019" s="1" t="s">
        <v>52</v>
      </c>
      <c r="C6019">
        <v>10691</v>
      </c>
      <c r="D6019" s="1" t="s">
        <v>181</v>
      </c>
      <c r="E6019" s="1" t="s">
        <v>6</v>
      </c>
      <c r="F6019">
        <v>9</v>
      </c>
      <c r="G6019" s="1" t="str">
        <f>Ocupacao_DW[[#This Row],[data]]&amp;Ocupacao_DW[[#This Row],[profissional_id]]&amp;Ocupacao_DW[[#This Row],[local_id]]</f>
        <v>44637106919</v>
      </c>
      <c r="H6019" s="1">
        <f>_xlfn.XLOOKUP(Ocupacao_DW[[#This Row],[Concat]],Vagas!$H:$H,Vagas!$D:$D,"",0)</f>
        <v>0</v>
      </c>
    </row>
    <row r="6020" spans="1:8" x14ac:dyDescent="0.25">
      <c r="A6020" s="2">
        <v>44643</v>
      </c>
      <c r="B6020" s="1" t="s">
        <v>51</v>
      </c>
      <c r="C6020">
        <v>12679</v>
      </c>
      <c r="D6020" s="1" t="s">
        <v>192</v>
      </c>
      <c r="E6020" s="1" t="s">
        <v>200</v>
      </c>
      <c r="F6020">
        <v>82</v>
      </c>
      <c r="G6020" s="1" t="str">
        <f>Ocupacao_DW[[#This Row],[data]]&amp;Ocupacao_DW[[#This Row],[profissional_id]]&amp;Ocupacao_DW[[#This Row],[local_id]]</f>
        <v>446431267982</v>
      </c>
      <c r="H6020" s="1">
        <f>_xlfn.XLOOKUP(Ocupacao_DW[[#This Row],[Concat]],Vagas!$H:$H,Vagas!$D:$D,"",0)</f>
        <v>0</v>
      </c>
    </row>
    <row r="6021" spans="1:8" x14ac:dyDescent="0.25">
      <c r="A6021" s="2">
        <v>44641</v>
      </c>
      <c r="B6021" s="1" t="s">
        <v>49</v>
      </c>
      <c r="C6021">
        <v>6430</v>
      </c>
      <c r="D6021" s="1" t="s">
        <v>188</v>
      </c>
      <c r="E6021" s="1" t="s">
        <v>200</v>
      </c>
      <c r="F6021">
        <v>86</v>
      </c>
      <c r="G6021" s="1" t="str">
        <f>Ocupacao_DW[[#This Row],[data]]&amp;Ocupacao_DW[[#This Row],[profissional_id]]&amp;Ocupacao_DW[[#This Row],[local_id]]</f>
        <v>44641643086</v>
      </c>
      <c r="H6021" s="1">
        <f>_xlfn.XLOOKUP(Ocupacao_DW[[#This Row],[Concat]],Vagas!$H:$H,Vagas!$D:$D,"",0)</f>
        <v>0</v>
      </c>
    </row>
    <row r="6022" spans="1:8" x14ac:dyDescent="0.25">
      <c r="A6022" s="2">
        <v>44648</v>
      </c>
      <c r="B6022" s="1" t="s">
        <v>55</v>
      </c>
      <c r="C6022">
        <v>6392</v>
      </c>
      <c r="D6022" s="1" t="s">
        <v>173</v>
      </c>
      <c r="E6022" s="1" t="s">
        <v>6</v>
      </c>
      <c r="F6022">
        <v>5</v>
      </c>
      <c r="G6022" s="1" t="str">
        <f>Ocupacao_DW[[#This Row],[data]]&amp;Ocupacao_DW[[#This Row],[profissional_id]]&amp;Ocupacao_DW[[#This Row],[local_id]]</f>
        <v>4464863925</v>
      </c>
      <c r="H6022" s="1">
        <f>_xlfn.XLOOKUP(Ocupacao_DW[[#This Row],[Concat]],Vagas!$H:$H,Vagas!$D:$D,"",0)</f>
        <v>0</v>
      </c>
    </row>
    <row r="6023" spans="1:8" x14ac:dyDescent="0.25">
      <c r="A6023" s="2">
        <v>44636</v>
      </c>
      <c r="B6023" s="1" t="s">
        <v>49</v>
      </c>
      <c r="C6023">
        <v>6430</v>
      </c>
      <c r="D6023" s="1" t="s">
        <v>188</v>
      </c>
      <c r="E6023" s="1" t="s">
        <v>4</v>
      </c>
      <c r="F6023">
        <v>42</v>
      </c>
      <c r="G6023" s="1" t="str">
        <f>Ocupacao_DW[[#This Row],[data]]&amp;Ocupacao_DW[[#This Row],[profissional_id]]&amp;Ocupacao_DW[[#This Row],[local_id]]</f>
        <v>44636643042</v>
      </c>
      <c r="H6023" s="1">
        <f>_xlfn.XLOOKUP(Ocupacao_DW[[#This Row],[Concat]],Vagas!$H:$H,Vagas!$D:$D,"",0)</f>
        <v>0</v>
      </c>
    </row>
    <row r="6024" spans="1:8" x14ac:dyDescent="0.25">
      <c r="A6024" s="2">
        <v>44642</v>
      </c>
      <c r="B6024" s="1" t="s">
        <v>65</v>
      </c>
      <c r="C6024">
        <v>11237</v>
      </c>
      <c r="D6024" s="1" t="s">
        <v>229</v>
      </c>
      <c r="E6024" s="1" t="s">
        <v>4</v>
      </c>
      <c r="F6024">
        <v>46</v>
      </c>
      <c r="G6024" s="1" t="str">
        <f>Ocupacao_DW[[#This Row],[data]]&amp;Ocupacao_DW[[#This Row],[profissional_id]]&amp;Ocupacao_DW[[#This Row],[local_id]]</f>
        <v>446421123746</v>
      </c>
      <c r="H6024" s="1">
        <f>_xlfn.XLOOKUP(Ocupacao_DW[[#This Row],[Concat]],Vagas!$H:$H,Vagas!$D:$D,"",0)</f>
        <v>0</v>
      </c>
    </row>
    <row r="6025" spans="1:8" x14ac:dyDescent="0.25">
      <c r="A6025" s="2">
        <v>44636</v>
      </c>
      <c r="B6025" s="1" t="s">
        <v>51</v>
      </c>
      <c r="C6025">
        <v>17859</v>
      </c>
      <c r="D6025" s="1" t="s">
        <v>212</v>
      </c>
      <c r="E6025" s="1" t="s">
        <v>6</v>
      </c>
      <c r="F6025">
        <v>7</v>
      </c>
      <c r="G6025" s="1" t="str">
        <f>Ocupacao_DW[[#This Row],[data]]&amp;Ocupacao_DW[[#This Row],[profissional_id]]&amp;Ocupacao_DW[[#This Row],[local_id]]</f>
        <v>44636178597</v>
      </c>
      <c r="H6025" s="1">
        <f>_xlfn.XLOOKUP(Ocupacao_DW[[#This Row],[Concat]],Vagas!$H:$H,Vagas!$D:$D,"",0)</f>
        <v>0</v>
      </c>
    </row>
    <row r="6026" spans="1:8" x14ac:dyDescent="0.25">
      <c r="A6026" s="2">
        <v>44642</v>
      </c>
      <c r="B6026" s="1" t="s">
        <v>47</v>
      </c>
      <c r="C6026">
        <v>12752</v>
      </c>
      <c r="D6026" s="1" t="s">
        <v>253</v>
      </c>
      <c r="E6026" s="1" t="s">
        <v>7</v>
      </c>
      <c r="F6026">
        <v>60</v>
      </c>
      <c r="G6026" s="1" t="str">
        <f>Ocupacao_DW[[#This Row],[data]]&amp;Ocupacao_DW[[#This Row],[profissional_id]]&amp;Ocupacao_DW[[#This Row],[local_id]]</f>
        <v>446421275260</v>
      </c>
      <c r="H6026" s="1">
        <f>_xlfn.XLOOKUP(Ocupacao_DW[[#This Row],[Concat]],Vagas!$H:$H,Vagas!$D:$D,"",0)</f>
        <v>0</v>
      </c>
    </row>
    <row r="6027" spans="1:8" x14ac:dyDescent="0.25">
      <c r="A6027" s="2">
        <v>44639</v>
      </c>
      <c r="B6027" s="1" t="s">
        <v>47</v>
      </c>
      <c r="C6027">
        <v>111</v>
      </c>
      <c r="D6027" s="1" t="s">
        <v>199</v>
      </c>
      <c r="E6027" s="1" t="s">
        <v>4</v>
      </c>
      <c r="F6027">
        <v>51</v>
      </c>
      <c r="G6027" s="1" t="str">
        <f>Ocupacao_DW[[#This Row],[data]]&amp;Ocupacao_DW[[#This Row],[profissional_id]]&amp;Ocupacao_DW[[#This Row],[local_id]]</f>
        <v>4463911151</v>
      </c>
      <c r="H6027" s="1">
        <f>_xlfn.XLOOKUP(Ocupacao_DW[[#This Row],[Concat]],Vagas!$H:$H,Vagas!$D:$D,"",0)</f>
        <v>0</v>
      </c>
    </row>
    <row r="6028" spans="1:8" x14ac:dyDescent="0.25">
      <c r="A6028" s="2">
        <v>44635</v>
      </c>
      <c r="B6028" s="1" t="s">
        <v>54</v>
      </c>
      <c r="C6028">
        <v>12623</v>
      </c>
      <c r="D6028" s="1" t="s">
        <v>258</v>
      </c>
      <c r="E6028" s="1" t="s">
        <v>5</v>
      </c>
      <c r="F6028">
        <v>11</v>
      </c>
      <c r="G6028" s="1" t="str">
        <f>Ocupacao_DW[[#This Row],[data]]&amp;Ocupacao_DW[[#This Row],[profissional_id]]&amp;Ocupacao_DW[[#This Row],[local_id]]</f>
        <v>446351262311</v>
      </c>
      <c r="H6028" s="1">
        <f>_xlfn.XLOOKUP(Ocupacao_DW[[#This Row],[Concat]],Vagas!$H:$H,Vagas!$D:$D,"",0)</f>
        <v>0</v>
      </c>
    </row>
    <row r="6029" spans="1:8" x14ac:dyDescent="0.25">
      <c r="A6029" s="2">
        <v>44636</v>
      </c>
      <c r="B6029" s="1" t="s">
        <v>62</v>
      </c>
      <c r="C6029">
        <v>10799</v>
      </c>
      <c r="D6029" s="1" t="s">
        <v>204</v>
      </c>
      <c r="E6029" s="1" t="s">
        <v>5</v>
      </c>
      <c r="F6029">
        <v>18</v>
      </c>
      <c r="G6029" s="1" t="str">
        <f>Ocupacao_DW[[#This Row],[data]]&amp;Ocupacao_DW[[#This Row],[profissional_id]]&amp;Ocupacao_DW[[#This Row],[local_id]]</f>
        <v>446361079918</v>
      </c>
      <c r="H6029" s="1">
        <f>_xlfn.XLOOKUP(Ocupacao_DW[[#This Row],[Concat]],Vagas!$H:$H,Vagas!$D:$D,"",0)</f>
        <v>0</v>
      </c>
    </row>
    <row r="6030" spans="1:8" x14ac:dyDescent="0.25">
      <c r="A6030" s="2">
        <v>44636</v>
      </c>
      <c r="B6030" s="1" t="s">
        <v>49</v>
      </c>
      <c r="C6030">
        <v>6430</v>
      </c>
      <c r="D6030" s="1" t="s">
        <v>188</v>
      </c>
      <c r="E6030" s="1" t="s">
        <v>4</v>
      </c>
      <c r="F6030">
        <v>42</v>
      </c>
      <c r="G6030" s="1" t="str">
        <f>Ocupacao_DW[[#This Row],[data]]&amp;Ocupacao_DW[[#This Row],[profissional_id]]&amp;Ocupacao_DW[[#This Row],[local_id]]</f>
        <v>44636643042</v>
      </c>
      <c r="H6030" s="1">
        <f>_xlfn.XLOOKUP(Ocupacao_DW[[#This Row],[Concat]],Vagas!$H:$H,Vagas!$D:$D,"",0)</f>
        <v>0</v>
      </c>
    </row>
    <row r="6031" spans="1:8" x14ac:dyDescent="0.25">
      <c r="A6031" s="2">
        <v>44652</v>
      </c>
      <c r="B6031" s="1" t="s">
        <v>49</v>
      </c>
      <c r="C6031">
        <v>81</v>
      </c>
      <c r="D6031" s="1" t="s">
        <v>170</v>
      </c>
      <c r="E6031" s="1" t="s">
        <v>4</v>
      </c>
      <c r="F6031">
        <v>41</v>
      </c>
      <c r="G6031" s="1" t="str">
        <f>Ocupacao_DW[[#This Row],[data]]&amp;Ocupacao_DW[[#This Row],[profissional_id]]&amp;Ocupacao_DW[[#This Row],[local_id]]</f>
        <v>446528141</v>
      </c>
      <c r="H6031" s="1">
        <f>_xlfn.XLOOKUP(Ocupacao_DW[[#This Row],[Concat]],Vagas!$H:$H,Vagas!$D:$D,"",0)</f>
        <v>0</v>
      </c>
    </row>
    <row r="6032" spans="1:8" x14ac:dyDescent="0.25">
      <c r="A6032" s="2">
        <v>44638</v>
      </c>
      <c r="B6032" s="1" t="s">
        <v>49</v>
      </c>
      <c r="C6032">
        <v>6430</v>
      </c>
      <c r="D6032" s="1" t="s">
        <v>188</v>
      </c>
      <c r="E6032" s="1" t="s">
        <v>4</v>
      </c>
      <c r="F6032">
        <v>42</v>
      </c>
      <c r="G6032" s="1" t="str">
        <f>Ocupacao_DW[[#This Row],[data]]&amp;Ocupacao_DW[[#This Row],[profissional_id]]&amp;Ocupacao_DW[[#This Row],[local_id]]</f>
        <v>44638643042</v>
      </c>
      <c r="H6032" s="1">
        <f>_xlfn.XLOOKUP(Ocupacao_DW[[#This Row],[Concat]],Vagas!$H:$H,Vagas!$D:$D,"",0)</f>
        <v>0</v>
      </c>
    </row>
    <row r="6033" spans="1:8" x14ac:dyDescent="0.25">
      <c r="A6033" s="2">
        <v>44636</v>
      </c>
      <c r="B6033" s="1" t="s">
        <v>52</v>
      </c>
      <c r="C6033">
        <v>60</v>
      </c>
      <c r="D6033" s="1" t="s">
        <v>217</v>
      </c>
      <c r="E6033" s="1" t="s">
        <v>167</v>
      </c>
      <c r="F6033">
        <v>346</v>
      </c>
      <c r="G6033" s="1" t="str">
        <f>Ocupacao_DW[[#This Row],[data]]&amp;Ocupacao_DW[[#This Row],[profissional_id]]&amp;Ocupacao_DW[[#This Row],[local_id]]</f>
        <v>4463660346</v>
      </c>
      <c r="H6033" s="1">
        <f>_xlfn.XLOOKUP(Ocupacao_DW[[#This Row],[Concat]],Vagas!$H:$H,Vagas!$D:$D,"",0)</f>
        <v>0</v>
      </c>
    </row>
    <row r="6034" spans="1:8" x14ac:dyDescent="0.25">
      <c r="A6034" s="2">
        <v>44637</v>
      </c>
      <c r="B6034" s="1" t="s">
        <v>47</v>
      </c>
      <c r="C6034">
        <v>17928</v>
      </c>
      <c r="D6034" s="1" t="s">
        <v>268</v>
      </c>
      <c r="E6034" s="1" t="s">
        <v>4</v>
      </c>
      <c r="F6034">
        <v>51</v>
      </c>
      <c r="G6034" s="1" t="str">
        <f>Ocupacao_DW[[#This Row],[data]]&amp;Ocupacao_DW[[#This Row],[profissional_id]]&amp;Ocupacao_DW[[#This Row],[local_id]]</f>
        <v>446371792851</v>
      </c>
      <c r="H6034" s="1">
        <f>_xlfn.XLOOKUP(Ocupacao_DW[[#This Row],[Concat]],Vagas!$H:$H,Vagas!$D:$D,"",0)</f>
        <v>13</v>
      </c>
    </row>
    <row r="6035" spans="1:8" x14ac:dyDescent="0.25">
      <c r="A6035" s="2">
        <v>44635</v>
      </c>
      <c r="B6035" s="1" t="s">
        <v>71</v>
      </c>
      <c r="C6035">
        <v>282</v>
      </c>
      <c r="D6035" s="1" t="s">
        <v>210</v>
      </c>
      <c r="E6035" s="1" t="s">
        <v>4</v>
      </c>
      <c r="F6035">
        <v>48</v>
      </c>
      <c r="G6035" s="1" t="str">
        <f>Ocupacao_DW[[#This Row],[data]]&amp;Ocupacao_DW[[#This Row],[profissional_id]]&amp;Ocupacao_DW[[#This Row],[local_id]]</f>
        <v>4463528248</v>
      </c>
      <c r="H6035" s="1">
        <f>_xlfn.XLOOKUP(Ocupacao_DW[[#This Row],[Concat]],Vagas!$H:$H,Vagas!$D:$D,"",0)</f>
        <v>0</v>
      </c>
    </row>
    <row r="6036" spans="1:8" x14ac:dyDescent="0.25">
      <c r="A6036" s="2">
        <v>44636</v>
      </c>
      <c r="B6036" s="1" t="s">
        <v>62</v>
      </c>
      <c r="C6036">
        <v>2567</v>
      </c>
      <c r="D6036" s="1" t="s">
        <v>198</v>
      </c>
      <c r="E6036" s="1" t="s">
        <v>5</v>
      </c>
      <c r="F6036">
        <v>349</v>
      </c>
      <c r="G6036" s="1" t="str">
        <f>Ocupacao_DW[[#This Row],[data]]&amp;Ocupacao_DW[[#This Row],[profissional_id]]&amp;Ocupacao_DW[[#This Row],[local_id]]</f>
        <v>446362567349</v>
      </c>
      <c r="H6036" s="1">
        <f>_xlfn.XLOOKUP(Ocupacao_DW[[#This Row],[Concat]],Vagas!$H:$H,Vagas!$D:$D,"",0)</f>
        <v>0</v>
      </c>
    </row>
    <row r="6037" spans="1:8" x14ac:dyDescent="0.25">
      <c r="A6037" s="2">
        <v>44638</v>
      </c>
      <c r="B6037" s="1" t="s">
        <v>49</v>
      </c>
      <c r="C6037">
        <v>6430</v>
      </c>
      <c r="D6037" s="1" t="s">
        <v>188</v>
      </c>
      <c r="E6037" s="1" t="s">
        <v>4</v>
      </c>
      <c r="F6037">
        <v>42</v>
      </c>
      <c r="G6037" s="1" t="str">
        <f>Ocupacao_DW[[#This Row],[data]]&amp;Ocupacao_DW[[#This Row],[profissional_id]]&amp;Ocupacao_DW[[#This Row],[local_id]]</f>
        <v>44638643042</v>
      </c>
      <c r="H6037" s="1">
        <f>_xlfn.XLOOKUP(Ocupacao_DW[[#This Row],[Concat]],Vagas!$H:$H,Vagas!$D:$D,"",0)</f>
        <v>0</v>
      </c>
    </row>
    <row r="6038" spans="1:8" x14ac:dyDescent="0.25">
      <c r="A6038" s="2">
        <v>44636</v>
      </c>
      <c r="B6038" s="1" t="s">
        <v>52</v>
      </c>
      <c r="C6038">
        <v>10691</v>
      </c>
      <c r="D6038" s="1" t="s">
        <v>181</v>
      </c>
      <c r="E6038" s="1" t="s">
        <v>6</v>
      </c>
      <c r="F6038">
        <v>9</v>
      </c>
      <c r="G6038" s="1" t="str">
        <f>Ocupacao_DW[[#This Row],[data]]&amp;Ocupacao_DW[[#This Row],[profissional_id]]&amp;Ocupacao_DW[[#This Row],[local_id]]</f>
        <v>44636106919</v>
      </c>
      <c r="H6038" s="1">
        <f>_xlfn.XLOOKUP(Ocupacao_DW[[#This Row],[Concat]],Vagas!$H:$H,Vagas!$D:$D,"",0)</f>
        <v>0</v>
      </c>
    </row>
    <row r="6039" spans="1:8" x14ac:dyDescent="0.25">
      <c r="A6039" s="2">
        <v>44636</v>
      </c>
      <c r="B6039" s="1" t="s">
        <v>49</v>
      </c>
      <c r="C6039">
        <v>81</v>
      </c>
      <c r="D6039" s="1" t="s">
        <v>170</v>
      </c>
      <c r="E6039" s="1" t="s">
        <v>4</v>
      </c>
      <c r="F6039">
        <v>41</v>
      </c>
      <c r="G6039" s="1" t="str">
        <f>Ocupacao_DW[[#This Row],[data]]&amp;Ocupacao_DW[[#This Row],[profissional_id]]&amp;Ocupacao_DW[[#This Row],[local_id]]</f>
        <v>446368141</v>
      </c>
      <c r="H6039" s="1">
        <f>_xlfn.XLOOKUP(Ocupacao_DW[[#This Row],[Concat]],Vagas!$H:$H,Vagas!$D:$D,"",0)</f>
        <v>0</v>
      </c>
    </row>
    <row r="6040" spans="1:8" x14ac:dyDescent="0.25">
      <c r="A6040" s="2">
        <v>44638</v>
      </c>
      <c r="B6040" s="1" t="s">
        <v>49</v>
      </c>
      <c r="C6040">
        <v>6430</v>
      </c>
      <c r="D6040" s="1" t="s">
        <v>188</v>
      </c>
      <c r="E6040" s="1" t="s">
        <v>4</v>
      </c>
      <c r="F6040">
        <v>42</v>
      </c>
      <c r="G6040" s="1" t="str">
        <f>Ocupacao_DW[[#This Row],[data]]&amp;Ocupacao_DW[[#This Row],[profissional_id]]&amp;Ocupacao_DW[[#This Row],[local_id]]</f>
        <v>44638643042</v>
      </c>
      <c r="H6040" s="1">
        <f>_xlfn.XLOOKUP(Ocupacao_DW[[#This Row],[Concat]],Vagas!$H:$H,Vagas!$D:$D,"",0)</f>
        <v>0</v>
      </c>
    </row>
    <row r="6041" spans="1:8" x14ac:dyDescent="0.25">
      <c r="A6041" s="2">
        <v>44636</v>
      </c>
      <c r="B6041" s="1" t="s">
        <v>49</v>
      </c>
      <c r="C6041">
        <v>6430</v>
      </c>
      <c r="D6041" s="1" t="s">
        <v>188</v>
      </c>
      <c r="E6041" s="1" t="s">
        <v>4</v>
      </c>
      <c r="F6041">
        <v>42</v>
      </c>
      <c r="G6041" s="1" t="str">
        <f>Ocupacao_DW[[#This Row],[data]]&amp;Ocupacao_DW[[#This Row],[profissional_id]]&amp;Ocupacao_DW[[#This Row],[local_id]]</f>
        <v>44636643042</v>
      </c>
      <c r="H6041" s="1">
        <f>_xlfn.XLOOKUP(Ocupacao_DW[[#This Row],[Concat]],Vagas!$H:$H,Vagas!$D:$D,"",0)</f>
        <v>0</v>
      </c>
    </row>
    <row r="6042" spans="1:8" x14ac:dyDescent="0.25">
      <c r="A6042" s="2">
        <v>44636</v>
      </c>
      <c r="B6042" s="1" t="s">
        <v>47</v>
      </c>
      <c r="C6042">
        <v>111</v>
      </c>
      <c r="D6042" s="1" t="s">
        <v>199</v>
      </c>
      <c r="E6042" s="1" t="s">
        <v>4</v>
      </c>
      <c r="F6042">
        <v>51</v>
      </c>
      <c r="G6042" s="1" t="str">
        <f>Ocupacao_DW[[#This Row],[data]]&amp;Ocupacao_DW[[#This Row],[profissional_id]]&amp;Ocupacao_DW[[#This Row],[local_id]]</f>
        <v>4463611151</v>
      </c>
      <c r="H6042" s="1">
        <f>_xlfn.XLOOKUP(Ocupacao_DW[[#This Row],[Concat]],Vagas!$H:$H,Vagas!$D:$D,"",0)</f>
        <v>1</v>
      </c>
    </row>
    <row r="6043" spans="1:8" x14ac:dyDescent="0.25">
      <c r="A6043" s="2">
        <v>44636</v>
      </c>
      <c r="B6043" s="1"/>
      <c r="C6043">
        <v>0</v>
      </c>
      <c r="D6043" s="1"/>
      <c r="E6043" s="1" t="s">
        <v>167</v>
      </c>
      <c r="F6043">
        <v>24</v>
      </c>
      <c r="G6043" s="1" t="str">
        <f>Ocupacao_DW[[#This Row],[data]]&amp;Ocupacao_DW[[#This Row],[profissional_id]]&amp;Ocupacao_DW[[#This Row],[local_id]]</f>
        <v>44636024</v>
      </c>
      <c r="H6043" s="1" t="str">
        <f>_xlfn.XLOOKUP(Ocupacao_DW[[#This Row],[Concat]],Vagas!$H:$H,Vagas!$D:$D,"",0)</f>
        <v/>
      </c>
    </row>
    <row r="6044" spans="1:8" x14ac:dyDescent="0.25">
      <c r="A6044" s="2">
        <v>44644</v>
      </c>
      <c r="B6044" s="1" t="s">
        <v>55</v>
      </c>
      <c r="C6044">
        <v>8598</v>
      </c>
      <c r="D6044" s="1" t="s">
        <v>228</v>
      </c>
      <c r="E6044" s="1" t="s">
        <v>6</v>
      </c>
      <c r="F6044">
        <v>3</v>
      </c>
      <c r="G6044" s="1" t="str">
        <f>Ocupacao_DW[[#This Row],[data]]&amp;Ocupacao_DW[[#This Row],[profissional_id]]&amp;Ocupacao_DW[[#This Row],[local_id]]</f>
        <v>4464485983</v>
      </c>
      <c r="H6044" s="1">
        <f>_xlfn.XLOOKUP(Ocupacao_DW[[#This Row],[Concat]],Vagas!$H:$H,Vagas!$D:$D,"",0)</f>
        <v>0</v>
      </c>
    </row>
    <row r="6045" spans="1:8" x14ac:dyDescent="0.25">
      <c r="A6045" s="2">
        <v>44637</v>
      </c>
      <c r="B6045" s="1" t="s">
        <v>52</v>
      </c>
      <c r="C6045">
        <v>9217</v>
      </c>
      <c r="D6045" s="1" t="s">
        <v>191</v>
      </c>
      <c r="E6045" s="1" t="s">
        <v>6</v>
      </c>
      <c r="F6045">
        <v>7</v>
      </c>
      <c r="G6045" s="1" t="str">
        <f>Ocupacao_DW[[#This Row],[data]]&amp;Ocupacao_DW[[#This Row],[profissional_id]]&amp;Ocupacao_DW[[#This Row],[local_id]]</f>
        <v>4463792177</v>
      </c>
      <c r="H6045" s="1">
        <f>_xlfn.XLOOKUP(Ocupacao_DW[[#This Row],[Concat]],Vagas!$H:$H,Vagas!$D:$D,"",0)</f>
        <v>0</v>
      </c>
    </row>
    <row r="6046" spans="1:8" x14ac:dyDescent="0.25">
      <c r="A6046" s="2">
        <v>44643</v>
      </c>
      <c r="B6046" s="1" t="s">
        <v>51</v>
      </c>
      <c r="C6046">
        <v>17859</v>
      </c>
      <c r="D6046" s="1" t="s">
        <v>212</v>
      </c>
      <c r="E6046" s="1" t="s">
        <v>6</v>
      </c>
      <c r="F6046">
        <v>7</v>
      </c>
      <c r="G6046" s="1" t="str">
        <f>Ocupacao_DW[[#This Row],[data]]&amp;Ocupacao_DW[[#This Row],[profissional_id]]&amp;Ocupacao_DW[[#This Row],[local_id]]</f>
        <v>44643178597</v>
      </c>
      <c r="H6046" s="1">
        <f>_xlfn.XLOOKUP(Ocupacao_DW[[#This Row],[Concat]],Vagas!$H:$H,Vagas!$D:$D,"",0)</f>
        <v>0</v>
      </c>
    </row>
    <row r="6047" spans="1:8" x14ac:dyDescent="0.25">
      <c r="A6047" s="2">
        <v>44637</v>
      </c>
      <c r="B6047" s="1" t="s">
        <v>66</v>
      </c>
      <c r="C6047">
        <v>100</v>
      </c>
      <c r="D6047" s="1" t="s">
        <v>166</v>
      </c>
      <c r="E6047" s="1" t="s">
        <v>167</v>
      </c>
      <c r="F6047">
        <v>342</v>
      </c>
      <c r="G6047" s="1" t="str">
        <f>Ocupacao_DW[[#This Row],[data]]&amp;Ocupacao_DW[[#This Row],[profissional_id]]&amp;Ocupacao_DW[[#This Row],[local_id]]</f>
        <v>44637100342</v>
      </c>
      <c r="H6047" s="1">
        <f>_xlfn.XLOOKUP(Ocupacao_DW[[#This Row],[Concat]],Vagas!$H:$H,Vagas!$D:$D,"",0)</f>
        <v>0</v>
      </c>
    </row>
    <row r="6048" spans="1:8" x14ac:dyDescent="0.25">
      <c r="A6048" s="2">
        <v>44636</v>
      </c>
      <c r="B6048" s="1" t="s">
        <v>60</v>
      </c>
      <c r="C6048">
        <v>14326</v>
      </c>
      <c r="D6048" s="1" t="s">
        <v>220</v>
      </c>
      <c r="E6048" s="1" t="s">
        <v>4</v>
      </c>
      <c r="F6048">
        <v>43</v>
      </c>
      <c r="G6048" s="1" t="str">
        <f>Ocupacao_DW[[#This Row],[data]]&amp;Ocupacao_DW[[#This Row],[profissional_id]]&amp;Ocupacao_DW[[#This Row],[local_id]]</f>
        <v>446361432643</v>
      </c>
      <c r="H6048" s="1">
        <f>_xlfn.XLOOKUP(Ocupacao_DW[[#This Row],[Concat]],Vagas!$H:$H,Vagas!$D:$D,"",0)</f>
        <v>0</v>
      </c>
    </row>
    <row r="6049" spans="1:8" x14ac:dyDescent="0.25">
      <c r="A6049" s="2">
        <v>44636</v>
      </c>
      <c r="B6049" s="1" t="s">
        <v>52</v>
      </c>
      <c r="C6049">
        <v>10946</v>
      </c>
      <c r="D6049" s="1" t="s">
        <v>209</v>
      </c>
      <c r="E6049" s="1" t="s">
        <v>7</v>
      </c>
      <c r="F6049">
        <v>60</v>
      </c>
      <c r="G6049" s="1" t="str">
        <f>Ocupacao_DW[[#This Row],[data]]&amp;Ocupacao_DW[[#This Row],[profissional_id]]&amp;Ocupacao_DW[[#This Row],[local_id]]</f>
        <v>446361094660</v>
      </c>
      <c r="H6049" s="1">
        <f>_xlfn.XLOOKUP(Ocupacao_DW[[#This Row],[Concat]],Vagas!$H:$H,Vagas!$D:$D,"",0)</f>
        <v>0</v>
      </c>
    </row>
    <row r="6050" spans="1:8" x14ac:dyDescent="0.25">
      <c r="A6050" s="2">
        <v>44637</v>
      </c>
      <c r="B6050" s="1" t="s">
        <v>51</v>
      </c>
      <c r="C6050">
        <v>12582</v>
      </c>
      <c r="D6050" s="1" t="s">
        <v>190</v>
      </c>
      <c r="E6050" s="1" t="s">
        <v>5</v>
      </c>
      <c r="F6050">
        <v>15</v>
      </c>
      <c r="G6050" s="1" t="str">
        <f>Ocupacao_DW[[#This Row],[data]]&amp;Ocupacao_DW[[#This Row],[profissional_id]]&amp;Ocupacao_DW[[#This Row],[local_id]]</f>
        <v>446371258215</v>
      </c>
      <c r="H6050" s="1">
        <f>_xlfn.XLOOKUP(Ocupacao_DW[[#This Row],[Concat]],Vagas!$H:$H,Vagas!$D:$D,"",0)</f>
        <v>0</v>
      </c>
    </row>
    <row r="6051" spans="1:8" x14ac:dyDescent="0.25">
      <c r="A6051" s="2">
        <v>44643</v>
      </c>
      <c r="B6051" s="1" t="s">
        <v>49</v>
      </c>
      <c r="C6051">
        <v>6430</v>
      </c>
      <c r="D6051" s="1" t="s">
        <v>188</v>
      </c>
      <c r="E6051" s="1" t="s">
        <v>4</v>
      </c>
      <c r="F6051">
        <v>42</v>
      </c>
      <c r="G6051" s="1" t="str">
        <f>Ocupacao_DW[[#This Row],[data]]&amp;Ocupacao_DW[[#This Row],[profissional_id]]&amp;Ocupacao_DW[[#This Row],[local_id]]</f>
        <v>44643643042</v>
      </c>
      <c r="H6051" s="1">
        <f>_xlfn.XLOOKUP(Ocupacao_DW[[#This Row],[Concat]],Vagas!$H:$H,Vagas!$D:$D,"",0)</f>
        <v>0</v>
      </c>
    </row>
    <row r="6052" spans="1:8" x14ac:dyDescent="0.25">
      <c r="A6052" s="2">
        <v>44641</v>
      </c>
      <c r="B6052" s="1" t="s">
        <v>56</v>
      </c>
      <c r="C6052">
        <v>5927</v>
      </c>
      <c r="D6052" s="1" t="s">
        <v>226</v>
      </c>
      <c r="E6052" s="1" t="s">
        <v>5</v>
      </c>
      <c r="F6052">
        <v>17</v>
      </c>
      <c r="G6052" s="1" t="str">
        <f>Ocupacao_DW[[#This Row],[data]]&amp;Ocupacao_DW[[#This Row],[profissional_id]]&amp;Ocupacao_DW[[#This Row],[local_id]]</f>
        <v>44641592717</v>
      </c>
      <c r="H6052" s="1">
        <f>_xlfn.XLOOKUP(Ocupacao_DW[[#This Row],[Concat]],Vagas!$H:$H,Vagas!$D:$D,"",0)</f>
        <v>0</v>
      </c>
    </row>
    <row r="6053" spans="1:8" x14ac:dyDescent="0.25">
      <c r="A6053" s="2">
        <v>44638</v>
      </c>
      <c r="B6053" s="1" t="s">
        <v>47</v>
      </c>
      <c r="C6053">
        <v>9111</v>
      </c>
      <c r="D6053" s="1" t="s">
        <v>206</v>
      </c>
      <c r="E6053" s="1" t="s">
        <v>4</v>
      </c>
      <c r="F6053">
        <v>51</v>
      </c>
      <c r="G6053" s="1" t="str">
        <f>Ocupacao_DW[[#This Row],[data]]&amp;Ocupacao_DW[[#This Row],[profissional_id]]&amp;Ocupacao_DW[[#This Row],[local_id]]</f>
        <v>44638911151</v>
      </c>
      <c r="H6053" s="1">
        <f>_xlfn.XLOOKUP(Ocupacao_DW[[#This Row],[Concat]],Vagas!$H:$H,Vagas!$D:$D,"",0)</f>
        <v>0</v>
      </c>
    </row>
    <row r="6054" spans="1:8" x14ac:dyDescent="0.25">
      <c r="A6054" s="2">
        <v>44657</v>
      </c>
      <c r="B6054" s="1" t="s">
        <v>54</v>
      </c>
      <c r="C6054">
        <v>1490</v>
      </c>
      <c r="D6054" s="1" t="s">
        <v>174</v>
      </c>
      <c r="E6054" s="1" t="s">
        <v>5</v>
      </c>
      <c r="F6054">
        <v>13</v>
      </c>
      <c r="G6054" s="1" t="str">
        <f>Ocupacao_DW[[#This Row],[data]]&amp;Ocupacao_DW[[#This Row],[profissional_id]]&amp;Ocupacao_DW[[#This Row],[local_id]]</f>
        <v>44657149013</v>
      </c>
      <c r="H6054" s="1">
        <f>_xlfn.XLOOKUP(Ocupacao_DW[[#This Row],[Concat]],Vagas!$H:$H,Vagas!$D:$D,"",0)</f>
        <v>0</v>
      </c>
    </row>
    <row r="6055" spans="1:8" x14ac:dyDescent="0.25">
      <c r="A6055" s="2">
        <v>44636</v>
      </c>
      <c r="B6055" s="1" t="s">
        <v>52</v>
      </c>
      <c r="C6055">
        <v>10691</v>
      </c>
      <c r="D6055" s="1" t="s">
        <v>181</v>
      </c>
      <c r="E6055" s="1" t="s">
        <v>6</v>
      </c>
      <c r="F6055">
        <v>9</v>
      </c>
      <c r="G6055" s="1" t="str">
        <f>Ocupacao_DW[[#This Row],[data]]&amp;Ocupacao_DW[[#This Row],[profissional_id]]&amp;Ocupacao_DW[[#This Row],[local_id]]</f>
        <v>44636106919</v>
      </c>
      <c r="H6055" s="1">
        <f>_xlfn.XLOOKUP(Ocupacao_DW[[#This Row],[Concat]],Vagas!$H:$H,Vagas!$D:$D,"",0)</f>
        <v>0</v>
      </c>
    </row>
    <row r="6056" spans="1:8" x14ac:dyDescent="0.25">
      <c r="A6056" s="2">
        <v>44643</v>
      </c>
      <c r="B6056" s="1" t="s">
        <v>51</v>
      </c>
      <c r="C6056">
        <v>7551</v>
      </c>
      <c r="D6056" s="1" t="s">
        <v>246</v>
      </c>
      <c r="E6056" s="1" t="s">
        <v>5</v>
      </c>
      <c r="F6056">
        <v>15</v>
      </c>
      <c r="G6056" s="1" t="str">
        <f>Ocupacao_DW[[#This Row],[data]]&amp;Ocupacao_DW[[#This Row],[profissional_id]]&amp;Ocupacao_DW[[#This Row],[local_id]]</f>
        <v>44643755115</v>
      </c>
      <c r="H6056" s="1">
        <f>_xlfn.XLOOKUP(Ocupacao_DW[[#This Row],[Concat]],Vagas!$H:$H,Vagas!$D:$D,"",0)</f>
        <v>0</v>
      </c>
    </row>
    <row r="6057" spans="1:8" x14ac:dyDescent="0.25">
      <c r="A6057" s="2">
        <v>44635</v>
      </c>
      <c r="B6057" s="1" t="s">
        <v>49</v>
      </c>
      <c r="C6057">
        <v>266</v>
      </c>
      <c r="D6057" s="1" t="s">
        <v>201</v>
      </c>
      <c r="E6057" s="1" t="s">
        <v>4</v>
      </c>
      <c r="F6057">
        <v>42</v>
      </c>
      <c r="G6057" s="1" t="str">
        <f>Ocupacao_DW[[#This Row],[data]]&amp;Ocupacao_DW[[#This Row],[profissional_id]]&amp;Ocupacao_DW[[#This Row],[local_id]]</f>
        <v>4463526642</v>
      </c>
      <c r="H6057" s="1">
        <f>_xlfn.XLOOKUP(Ocupacao_DW[[#This Row],[Concat]],Vagas!$H:$H,Vagas!$D:$D,"",0)</f>
        <v>0</v>
      </c>
    </row>
    <row r="6058" spans="1:8" x14ac:dyDescent="0.25">
      <c r="A6058" s="2">
        <v>44636</v>
      </c>
      <c r="B6058" s="1" t="s">
        <v>43</v>
      </c>
      <c r="C6058">
        <v>57</v>
      </c>
      <c r="D6058" s="1" t="s">
        <v>169</v>
      </c>
      <c r="E6058" s="1" t="s">
        <v>6</v>
      </c>
      <c r="F6058">
        <v>2</v>
      </c>
      <c r="G6058" s="1" t="str">
        <f>Ocupacao_DW[[#This Row],[data]]&amp;Ocupacao_DW[[#This Row],[profissional_id]]&amp;Ocupacao_DW[[#This Row],[local_id]]</f>
        <v>44636572</v>
      </c>
      <c r="H6058" s="1">
        <f>_xlfn.XLOOKUP(Ocupacao_DW[[#This Row],[Concat]],Vagas!$H:$H,Vagas!$D:$D,"",0)</f>
        <v>2</v>
      </c>
    </row>
    <row r="6059" spans="1:8" x14ac:dyDescent="0.25">
      <c r="A6059" s="2">
        <v>44653</v>
      </c>
      <c r="B6059" s="1" t="s">
        <v>62</v>
      </c>
      <c r="C6059">
        <v>4887</v>
      </c>
      <c r="D6059" s="1" t="s">
        <v>168</v>
      </c>
      <c r="E6059" s="1" t="s">
        <v>5</v>
      </c>
      <c r="F6059">
        <v>18</v>
      </c>
      <c r="G6059" s="1" t="str">
        <f>Ocupacao_DW[[#This Row],[data]]&amp;Ocupacao_DW[[#This Row],[profissional_id]]&amp;Ocupacao_DW[[#This Row],[local_id]]</f>
        <v>44653488718</v>
      </c>
      <c r="H6059" s="1">
        <f>_xlfn.XLOOKUP(Ocupacao_DW[[#This Row],[Concat]],Vagas!$H:$H,Vagas!$D:$D,"",0)</f>
        <v>0</v>
      </c>
    </row>
    <row r="6060" spans="1:8" x14ac:dyDescent="0.25">
      <c r="A6060" s="2">
        <v>44650</v>
      </c>
      <c r="B6060" s="1" t="s">
        <v>52</v>
      </c>
      <c r="C6060">
        <v>10691</v>
      </c>
      <c r="D6060" s="1" t="s">
        <v>181</v>
      </c>
      <c r="E6060" s="1" t="s">
        <v>6</v>
      </c>
      <c r="F6060">
        <v>9</v>
      </c>
      <c r="G6060" s="1" t="str">
        <f>Ocupacao_DW[[#This Row],[data]]&amp;Ocupacao_DW[[#This Row],[profissional_id]]&amp;Ocupacao_DW[[#This Row],[local_id]]</f>
        <v>44650106919</v>
      </c>
      <c r="H6060" s="1">
        <f>_xlfn.XLOOKUP(Ocupacao_DW[[#This Row],[Concat]],Vagas!$H:$H,Vagas!$D:$D,"",0)</f>
        <v>0</v>
      </c>
    </row>
    <row r="6061" spans="1:8" x14ac:dyDescent="0.25">
      <c r="A6061" s="2">
        <v>44650</v>
      </c>
      <c r="B6061" s="1" t="s">
        <v>43</v>
      </c>
      <c r="C6061">
        <v>2396</v>
      </c>
      <c r="D6061" s="1" t="s">
        <v>197</v>
      </c>
      <c r="E6061" s="1" t="s">
        <v>6</v>
      </c>
      <c r="F6061">
        <v>2</v>
      </c>
      <c r="G6061" s="1" t="str">
        <f>Ocupacao_DW[[#This Row],[data]]&amp;Ocupacao_DW[[#This Row],[profissional_id]]&amp;Ocupacao_DW[[#This Row],[local_id]]</f>
        <v>4465023962</v>
      </c>
      <c r="H6061" s="1">
        <f>_xlfn.XLOOKUP(Ocupacao_DW[[#This Row],[Concat]],Vagas!$H:$H,Vagas!$D:$D,"",0)</f>
        <v>0</v>
      </c>
    </row>
    <row r="6062" spans="1:8" x14ac:dyDescent="0.25">
      <c r="A6062" s="2">
        <v>44642</v>
      </c>
      <c r="B6062" s="1" t="s">
        <v>51</v>
      </c>
      <c r="C6062">
        <v>12582</v>
      </c>
      <c r="D6062" s="1" t="s">
        <v>190</v>
      </c>
      <c r="E6062" s="1" t="s">
        <v>7</v>
      </c>
      <c r="F6062">
        <v>62</v>
      </c>
      <c r="G6062" s="1" t="str">
        <f>Ocupacao_DW[[#This Row],[data]]&amp;Ocupacao_DW[[#This Row],[profissional_id]]&amp;Ocupacao_DW[[#This Row],[local_id]]</f>
        <v>446421258262</v>
      </c>
      <c r="H6062" s="1">
        <f>_xlfn.XLOOKUP(Ocupacao_DW[[#This Row],[Concat]],Vagas!$H:$H,Vagas!$D:$D,"",0)</f>
        <v>0</v>
      </c>
    </row>
    <row r="6063" spans="1:8" x14ac:dyDescent="0.25">
      <c r="A6063" s="2">
        <v>44641</v>
      </c>
      <c r="B6063" s="1" t="s">
        <v>55</v>
      </c>
      <c r="C6063">
        <v>60</v>
      </c>
      <c r="D6063" s="1" t="s">
        <v>217</v>
      </c>
      <c r="E6063" s="1" t="s">
        <v>167</v>
      </c>
      <c r="F6063">
        <v>345</v>
      </c>
      <c r="G6063" s="1" t="str">
        <f>Ocupacao_DW[[#This Row],[data]]&amp;Ocupacao_DW[[#This Row],[profissional_id]]&amp;Ocupacao_DW[[#This Row],[local_id]]</f>
        <v>4464160345</v>
      </c>
      <c r="H6063" s="1">
        <f>_xlfn.XLOOKUP(Ocupacao_DW[[#This Row],[Concat]],Vagas!$H:$H,Vagas!$D:$D,"",0)</f>
        <v>0</v>
      </c>
    </row>
    <row r="6064" spans="1:8" x14ac:dyDescent="0.25">
      <c r="A6064" s="2">
        <v>44650</v>
      </c>
      <c r="B6064" s="1" t="s">
        <v>55</v>
      </c>
      <c r="C6064">
        <v>74</v>
      </c>
      <c r="D6064" s="1" t="s">
        <v>182</v>
      </c>
      <c r="E6064" s="1" t="s">
        <v>6</v>
      </c>
      <c r="F6064">
        <v>7</v>
      </c>
      <c r="G6064" s="1" t="str">
        <f>Ocupacao_DW[[#This Row],[data]]&amp;Ocupacao_DW[[#This Row],[profissional_id]]&amp;Ocupacao_DW[[#This Row],[local_id]]</f>
        <v>44650747</v>
      </c>
      <c r="H6064" s="1">
        <f>_xlfn.XLOOKUP(Ocupacao_DW[[#This Row],[Concat]],Vagas!$H:$H,Vagas!$D:$D,"",0)</f>
        <v>0</v>
      </c>
    </row>
    <row r="6065" spans="1:8" x14ac:dyDescent="0.25">
      <c r="A6065" s="2">
        <v>44635</v>
      </c>
      <c r="B6065" s="1" t="s">
        <v>47</v>
      </c>
      <c r="C6065">
        <v>111</v>
      </c>
      <c r="D6065" s="1" t="s">
        <v>199</v>
      </c>
      <c r="E6065" s="1" t="s">
        <v>4</v>
      </c>
      <c r="F6065">
        <v>51</v>
      </c>
      <c r="G6065" s="1" t="str">
        <f>Ocupacao_DW[[#This Row],[data]]&amp;Ocupacao_DW[[#This Row],[profissional_id]]&amp;Ocupacao_DW[[#This Row],[local_id]]</f>
        <v>4463511151</v>
      </c>
      <c r="H6065" s="1">
        <f>_xlfn.XLOOKUP(Ocupacao_DW[[#This Row],[Concat]],Vagas!$H:$H,Vagas!$D:$D,"",0)</f>
        <v>0</v>
      </c>
    </row>
    <row r="6066" spans="1:8" x14ac:dyDescent="0.25">
      <c r="A6066" s="2">
        <v>44636</v>
      </c>
      <c r="B6066" s="1" t="s">
        <v>72</v>
      </c>
      <c r="C6066">
        <v>6046</v>
      </c>
      <c r="D6066" s="1" t="s">
        <v>222</v>
      </c>
      <c r="E6066" s="1" t="s">
        <v>167</v>
      </c>
      <c r="F6066">
        <v>344</v>
      </c>
      <c r="G6066" s="1" t="str">
        <f>Ocupacao_DW[[#This Row],[data]]&amp;Ocupacao_DW[[#This Row],[profissional_id]]&amp;Ocupacao_DW[[#This Row],[local_id]]</f>
        <v>446366046344</v>
      </c>
      <c r="H6066" s="1">
        <f>_xlfn.XLOOKUP(Ocupacao_DW[[#This Row],[Concat]],Vagas!$H:$H,Vagas!$D:$D,"",0)</f>
        <v>0</v>
      </c>
    </row>
    <row r="6067" spans="1:8" x14ac:dyDescent="0.25">
      <c r="A6067" s="2">
        <v>44635</v>
      </c>
      <c r="B6067" s="1" t="s">
        <v>56</v>
      </c>
      <c r="C6067">
        <v>1586</v>
      </c>
      <c r="D6067" s="1" t="s">
        <v>261</v>
      </c>
      <c r="E6067" s="1" t="s">
        <v>7</v>
      </c>
      <c r="F6067">
        <v>67</v>
      </c>
      <c r="G6067" s="1" t="str">
        <f>Ocupacao_DW[[#This Row],[data]]&amp;Ocupacao_DW[[#This Row],[profissional_id]]&amp;Ocupacao_DW[[#This Row],[local_id]]</f>
        <v>44635158667</v>
      </c>
      <c r="H6067" s="1">
        <f>_xlfn.XLOOKUP(Ocupacao_DW[[#This Row],[Concat]],Vagas!$H:$H,Vagas!$D:$D,"",0)</f>
        <v>0</v>
      </c>
    </row>
    <row r="6068" spans="1:8" x14ac:dyDescent="0.25">
      <c r="A6068" s="2">
        <v>44650</v>
      </c>
      <c r="B6068" s="1" t="s">
        <v>55</v>
      </c>
      <c r="C6068">
        <v>74</v>
      </c>
      <c r="D6068" s="1" t="s">
        <v>182</v>
      </c>
      <c r="E6068" s="1" t="s">
        <v>6</v>
      </c>
      <c r="F6068">
        <v>7</v>
      </c>
      <c r="G6068" s="1" t="str">
        <f>Ocupacao_DW[[#This Row],[data]]&amp;Ocupacao_DW[[#This Row],[profissional_id]]&amp;Ocupacao_DW[[#This Row],[local_id]]</f>
        <v>44650747</v>
      </c>
      <c r="H6068" s="1">
        <f>_xlfn.XLOOKUP(Ocupacao_DW[[#This Row],[Concat]],Vagas!$H:$H,Vagas!$D:$D,"",0)</f>
        <v>0</v>
      </c>
    </row>
    <row r="6069" spans="1:8" x14ac:dyDescent="0.25">
      <c r="A6069" s="2">
        <v>44635</v>
      </c>
      <c r="B6069" s="1" t="s">
        <v>47</v>
      </c>
      <c r="C6069">
        <v>9111</v>
      </c>
      <c r="D6069" s="1" t="s">
        <v>206</v>
      </c>
      <c r="E6069" s="1" t="s">
        <v>4</v>
      </c>
      <c r="F6069">
        <v>335</v>
      </c>
      <c r="G6069" s="1" t="str">
        <f>Ocupacao_DW[[#This Row],[data]]&amp;Ocupacao_DW[[#This Row],[profissional_id]]&amp;Ocupacao_DW[[#This Row],[local_id]]</f>
        <v>446359111335</v>
      </c>
      <c r="H6069" s="1">
        <f>_xlfn.XLOOKUP(Ocupacao_DW[[#This Row],[Concat]],Vagas!$H:$H,Vagas!$D:$D,"",0)</f>
        <v>0</v>
      </c>
    </row>
    <row r="6070" spans="1:8" x14ac:dyDescent="0.25">
      <c r="A6070" s="2">
        <v>44636</v>
      </c>
      <c r="B6070" s="1" t="s">
        <v>49</v>
      </c>
      <c r="C6070">
        <v>81</v>
      </c>
      <c r="D6070" s="1" t="s">
        <v>170</v>
      </c>
      <c r="E6070" s="1" t="s">
        <v>4</v>
      </c>
      <c r="F6070">
        <v>41</v>
      </c>
      <c r="G6070" s="1" t="str">
        <f>Ocupacao_DW[[#This Row],[data]]&amp;Ocupacao_DW[[#This Row],[profissional_id]]&amp;Ocupacao_DW[[#This Row],[local_id]]</f>
        <v>446368141</v>
      </c>
      <c r="H6070" s="1">
        <f>_xlfn.XLOOKUP(Ocupacao_DW[[#This Row],[Concat]],Vagas!$H:$H,Vagas!$D:$D,"",0)</f>
        <v>0</v>
      </c>
    </row>
    <row r="6071" spans="1:8" x14ac:dyDescent="0.25">
      <c r="A6071" s="2">
        <v>44642</v>
      </c>
      <c r="B6071" s="1" t="s">
        <v>69</v>
      </c>
      <c r="C6071">
        <v>13249</v>
      </c>
      <c r="D6071" s="1" t="s">
        <v>178</v>
      </c>
      <c r="E6071" s="1" t="s">
        <v>4</v>
      </c>
      <c r="F6071">
        <v>45</v>
      </c>
      <c r="G6071" s="1" t="str">
        <f>Ocupacao_DW[[#This Row],[data]]&amp;Ocupacao_DW[[#This Row],[profissional_id]]&amp;Ocupacao_DW[[#This Row],[local_id]]</f>
        <v>446421324945</v>
      </c>
      <c r="H6071" s="1">
        <f>_xlfn.XLOOKUP(Ocupacao_DW[[#This Row],[Concat]],Vagas!$H:$H,Vagas!$D:$D,"",0)</f>
        <v>0</v>
      </c>
    </row>
    <row r="6072" spans="1:8" x14ac:dyDescent="0.25">
      <c r="A6072" s="2">
        <v>44648</v>
      </c>
      <c r="B6072" s="1" t="s">
        <v>47</v>
      </c>
      <c r="C6072">
        <v>11241</v>
      </c>
      <c r="D6072" s="1" t="s">
        <v>252</v>
      </c>
      <c r="E6072" s="1" t="s">
        <v>4</v>
      </c>
      <c r="F6072">
        <v>51</v>
      </c>
      <c r="G6072" s="1" t="str">
        <f>Ocupacao_DW[[#This Row],[data]]&amp;Ocupacao_DW[[#This Row],[profissional_id]]&amp;Ocupacao_DW[[#This Row],[local_id]]</f>
        <v>446481124151</v>
      </c>
      <c r="H6072" s="1">
        <f>_xlfn.XLOOKUP(Ocupacao_DW[[#This Row],[Concat]],Vagas!$H:$H,Vagas!$D:$D,"",0)</f>
        <v>0</v>
      </c>
    </row>
    <row r="6073" spans="1:8" x14ac:dyDescent="0.25">
      <c r="A6073" s="2">
        <v>44635</v>
      </c>
      <c r="B6073" s="1" t="s">
        <v>47</v>
      </c>
      <c r="C6073">
        <v>111</v>
      </c>
      <c r="D6073" s="1" t="s">
        <v>199</v>
      </c>
      <c r="E6073" s="1" t="s">
        <v>4</v>
      </c>
      <c r="F6073">
        <v>51</v>
      </c>
      <c r="G6073" s="1" t="str">
        <f>Ocupacao_DW[[#This Row],[data]]&amp;Ocupacao_DW[[#This Row],[profissional_id]]&amp;Ocupacao_DW[[#This Row],[local_id]]</f>
        <v>4463511151</v>
      </c>
      <c r="H6073" s="1">
        <f>_xlfn.XLOOKUP(Ocupacao_DW[[#This Row],[Concat]],Vagas!$H:$H,Vagas!$D:$D,"",0)</f>
        <v>0</v>
      </c>
    </row>
    <row r="6074" spans="1:8" x14ac:dyDescent="0.25">
      <c r="A6074" s="2">
        <v>44650</v>
      </c>
      <c r="B6074" s="1" t="s">
        <v>55</v>
      </c>
      <c r="C6074">
        <v>73</v>
      </c>
      <c r="D6074" s="1" t="s">
        <v>171</v>
      </c>
      <c r="E6074" s="1" t="s">
        <v>6</v>
      </c>
      <c r="F6074">
        <v>5</v>
      </c>
      <c r="G6074" s="1" t="str">
        <f>Ocupacao_DW[[#This Row],[data]]&amp;Ocupacao_DW[[#This Row],[profissional_id]]&amp;Ocupacao_DW[[#This Row],[local_id]]</f>
        <v>44650735</v>
      </c>
      <c r="H6074" s="1">
        <f>_xlfn.XLOOKUP(Ocupacao_DW[[#This Row],[Concat]],Vagas!$H:$H,Vagas!$D:$D,"",0)</f>
        <v>0</v>
      </c>
    </row>
    <row r="6075" spans="1:8" x14ac:dyDescent="0.25">
      <c r="A6075" s="2">
        <v>44651</v>
      </c>
      <c r="B6075" s="1" t="s">
        <v>56</v>
      </c>
      <c r="C6075">
        <v>5822</v>
      </c>
      <c r="D6075" s="1" t="s">
        <v>194</v>
      </c>
      <c r="E6075" s="1" t="s">
        <v>5</v>
      </c>
      <c r="F6075">
        <v>11</v>
      </c>
      <c r="G6075" s="1" t="str">
        <f>Ocupacao_DW[[#This Row],[data]]&amp;Ocupacao_DW[[#This Row],[profissional_id]]&amp;Ocupacao_DW[[#This Row],[local_id]]</f>
        <v>44651582211</v>
      </c>
      <c r="H6075" s="1">
        <f>_xlfn.XLOOKUP(Ocupacao_DW[[#This Row],[Concat]],Vagas!$H:$H,Vagas!$D:$D,"",0)</f>
        <v>0</v>
      </c>
    </row>
    <row r="6076" spans="1:8" x14ac:dyDescent="0.25">
      <c r="A6076" s="2">
        <v>44636</v>
      </c>
      <c r="B6076" s="1" t="s">
        <v>57</v>
      </c>
      <c r="C6076">
        <v>80</v>
      </c>
      <c r="D6076" s="1" t="s">
        <v>179</v>
      </c>
      <c r="E6076" s="1" t="s">
        <v>167</v>
      </c>
      <c r="F6076">
        <v>346</v>
      </c>
      <c r="G6076" s="1" t="str">
        <f>Ocupacao_DW[[#This Row],[data]]&amp;Ocupacao_DW[[#This Row],[profissional_id]]&amp;Ocupacao_DW[[#This Row],[local_id]]</f>
        <v>4463680346</v>
      </c>
      <c r="H6076" s="1">
        <f>_xlfn.XLOOKUP(Ocupacao_DW[[#This Row],[Concat]],Vagas!$H:$H,Vagas!$D:$D,"",0)</f>
        <v>0</v>
      </c>
    </row>
    <row r="6077" spans="1:8" x14ac:dyDescent="0.25">
      <c r="A6077" s="2">
        <v>44636</v>
      </c>
      <c r="B6077" s="1" t="s">
        <v>47</v>
      </c>
      <c r="C6077">
        <v>111</v>
      </c>
      <c r="D6077" s="1" t="s">
        <v>199</v>
      </c>
      <c r="E6077" s="1" t="s">
        <v>4</v>
      </c>
      <c r="F6077">
        <v>51</v>
      </c>
      <c r="G6077" s="1" t="str">
        <f>Ocupacao_DW[[#This Row],[data]]&amp;Ocupacao_DW[[#This Row],[profissional_id]]&amp;Ocupacao_DW[[#This Row],[local_id]]</f>
        <v>4463611151</v>
      </c>
      <c r="H6077" s="1">
        <f>_xlfn.XLOOKUP(Ocupacao_DW[[#This Row],[Concat]],Vagas!$H:$H,Vagas!$D:$D,"",0)</f>
        <v>1</v>
      </c>
    </row>
    <row r="6078" spans="1:8" x14ac:dyDescent="0.25">
      <c r="A6078" s="2">
        <v>44637</v>
      </c>
      <c r="B6078" s="1" t="s">
        <v>47</v>
      </c>
      <c r="C6078">
        <v>9111</v>
      </c>
      <c r="D6078" s="1" t="s">
        <v>206</v>
      </c>
      <c r="E6078" s="1" t="s">
        <v>4</v>
      </c>
      <c r="F6078">
        <v>334</v>
      </c>
      <c r="G6078" s="1" t="str">
        <f>Ocupacao_DW[[#This Row],[data]]&amp;Ocupacao_DW[[#This Row],[profissional_id]]&amp;Ocupacao_DW[[#This Row],[local_id]]</f>
        <v>446379111334</v>
      </c>
      <c r="H6078" s="1">
        <f>_xlfn.XLOOKUP(Ocupacao_DW[[#This Row],[Concat]],Vagas!$H:$H,Vagas!$D:$D,"",0)</f>
        <v>0</v>
      </c>
    </row>
    <row r="6079" spans="1:8" x14ac:dyDescent="0.25">
      <c r="A6079" s="2">
        <v>44648</v>
      </c>
      <c r="B6079" s="1" t="s">
        <v>55</v>
      </c>
      <c r="C6079">
        <v>6392</v>
      </c>
      <c r="D6079" s="1" t="s">
        <v>173</v>
      </c>
      <c r="E6079" s="1" t="s">
        <v>6</v>
      </c>
      <c r="F6079">
        <v>5</v>
      </c>
      <c r="G6079" s="1" t="str">
        <f>Ocupacao_DW[[#This Row],[data]]&amp;Ocupacao_DW[[#This Row],[profissional_id]]&amp;Ocupacao_DW[[#This Row],[local_id]]</f>
        <v>4464863925</v>
      </c>
      <c r="H6079" s="1">
        <f>_xlfn.XLOOKUP(Ocupacao_DW[[#This Row],[Concat]],Vagas!$H:$H,Vagas!$D:$D,"",0)</f>
        <v>0</v>
      </c>
    </row>
    <row r="6080" spans="1:8" x14ac:dyDescent="0.25">
      <c r="A6080" s="2">
        <v>44645</v>
      </c>
      <c r="B6080" s="1" t="s">
        <v>52</v>
      </c>
      <c r="C6080">
        <v>57</v>
      </c>
      <c r="D6080" s="1" t="s">
        <v>169</v>
      </c>
      <c r="E6080" s="1" t="s">
        <v>6</v>
      </c>
      <c r="F6080">
        <v>8</v>
      </c>
      <c r="G6080" s="1" t="str">
        <f>Ocupacao_DW[[#This Row],[data]]&amp;Ocupacao_DW[[#This Row],[profissional_id]]&amp;Ocupacao_DW[[#This Row],[local_id]]</f>
        <v>44645578</v>
      </c>
      <c r="H6080" s="1">
        <f>_xlfn.XLOOKUP(Ocupacao_DW[[#This Row],[Concat]],Vagas!$H:$H,Vagas!$D:$D,"",0)</f>
        <v>0</v>
      </c>
    </row>
    <row r="6081" spans="1:8" x14ac:dyDescent="0.25">
      <c r="A6081" s="2">
        <v>44635</v>
      </c>
      <c r="B6081" s="1" t="s">
        <v>47</v>
      </c>
      <c r="C6081">
        <v>9111</v>
      </c>
      <c r="D6081" s="1" t="s">
        <v>206</v>
      </c>
      <c r="E6081" s="1" t="s">
        <v>4</v>
      </c>
      <c r="F6081">
        <v>335</v>
      </c>
      <c r="G6081" s="1" t="str">
        <f>Ocupacao_DW[[#This Row],[data]]&amp;Ocupacao_DW[[#This Row],[profissional_id]]&amp;Ocupacao_DW[[#This Row],[local_id]]</f>
        <v>446359111335</v>
      </c>
      <c r="H6081" s="1">
        <f>_xlfn.XLOOKUP(Ocupacao_DW[[#This Row],[Concat]],Vagas!$H:$H,Vagas!$D:$D,"",0)</f>
        <v>0</v>
      </c>
    </row>
    <row r="6082" spans="1:8" x14ac:dyDescent="0.25">
      <c r="A6082" s="2">
        <v>44636</v>
      </c>
      <c r="B6082" s="1" t="s">
        <v>52</v>
      </c>
      <c r="C6082">
        <v>10946</v>
      </c>
      <c r="D6082" s="1" t="s">
        <v>209</v>
      </c>
      <c r="E6082" s="1" t="s">
        <v>7</v>
      </c>
      <c r="F6082">
        <v>68</v>
      </c>
      <c r="G6082" s="1" t="str">
        <f>Ocupacao_DW[[#This Row],[data]]&amp;Ocupacao_DW[[#This Row],[profissional_id]]&amp;Ocupacao_DW[[#This Row],[local_id]]</f>
        <v>446361094668</v>
      </c>
      <c r="H6082" s="1" t="str">
        <f>_xlfn.XLOOKUP(Ocupacao_DW[[#This Row],[Concat]],Vagas!$H:$H,Vagas!$D:$D,"",0)</f>
        <v/>
      </c>
    </row>
    <row r="6083" spans="1:8" x14ac:dyDescent="0.25">
      <c r="A6083" s="2">
        <v>44636</v>
      </c>
      <c r="B6083" s="1" t="s">
        <v>64</v>
      </c>
      <c r="C6083">
        <v>86</v>
      </c>
      <c r="D6083" s="1" t="s">
        <v>175</v>
      </c>
      <c r="E6083" s="1" t="s">
        <v>7</v>
      </c>
      <c r="F6083">
        <v>66</v>
      </c>
      <c r="G6083" s="1" t="str">
        <f>Ocupacao_DW[[#This Row],[data]]&amp;Ocupacao_DW[[#This Row],[profissional_id]]&amp;Ocupacao_DW[[#This Row],[local_id]]</f>
        <v>446368666</v>
      </c>
      <c r="H6083" s="1">
        <f>_xlfn.XLOOKUP(Ocupacao_DW[[#This Row],[Concat]],Vagas!$H:$H,Vagas!$D:$D,"",0)</f>
        <v>0</v>
      </c>
    </row>
    <row r="6084" spans="1:8" x14ac:dyDescent="0.25">
      <c r="A6084" s="2">
        <v>44636</v>
      </c>
      <c r="B6084" s="1" t="s">
        <v>66</v>
      </c>
      <c r="C6084">
        <v>1343</v>
      </c>
      <c r="D6084" s="1" t="s">
        <v>263</v>
      </c>
      <c r="E6084" s="1" t="s">
        <v>167</v>
      </c>
      <c r="F6084">
        <v>342</v>
      </c>
      <c r="G6084" s="1" t="str">
        <f>Ocupacao_DW[[#This Row],[data]]&amp;Ocupacao_DW[[#This Row],[profissional_id]]&amp;Ocupacao_DW[[#This Row],[local_id]]</f>
        <v>446361343342</v>
      </c>
      <c r="H6084" s="1">
        <f>_xlfn.XLOOKUP(Ocupacao_DW[[#This Row],[Concat]],Vagas!$H:$H,Vagas!$D:$D,"",0)</f>
        <v>0</v>
      </c>
    </row>
    <row r="6085" spans="1:8" x14ac:dyDescent="0.25">
      <c r="A6085" s="2">
        <v>44643</v>
      </c>
      <c r="B6085" s="1" t="s">
        <v>43</v>
      </c>
      <c r="C6085">
        <v>57</v>
      </c>
      <c r="D6085" s="1" t="s">
        <v>169</v>
      </c>
      <c r="E6085" s="1" t="s">
        <v>6</v>
      </c>
      <c r="F6085">
        <v>2</v>
      </c>
      <c r="G6085" s="1" t="str">
        <f>Ocupacao_DW[[#This Row],[data]]&amp;Ocupacao_DW[[#This Row],[profissional_id]]&amp;Ocupacao_DW[[#This Row],[local_id]]</f>
        <v>44643572</v>
      </c>
      <c r="H6085" s="1">
        <f>_xlfn.XLOOKUP(Ocupacao_DW[[#This Row],[Concat]],Vagas!$H:$H,Vagas!$D:$D,"",0)</f>
        <v>21</v>
      </c>
    </row>
    <row r="6086" spans="1:8" x14ac:dyDescent="0.25">
      <c r="A6086" s="2">
        <v>44657</v>
      </c>
      <c r="B6086" s="1" t="s">
        <v>70</v>
      </c>
      <c r="C6086">
        <v>12519</v>
      </c>
      <c r="D6086" s="1" t="s">
        <v>176</v>
      </c>
      <c r="E6086" s="1" t="s">
        <v>4</v>
      </c>
      <c r="F6086">
        <v>48</v>
      </c>
      <c r="G6086" s="1" t="str">
        <f>Ocupacao_DW[[#This Row],[data]]&amp;Ocupacao_DW[[#This Row],[profissional_id]]&amp;Ocupacao_DW[[#This Row],[local_id]]</f>
        <v>446571251948</v>
      </c>
      <c r="H6086" s="1">
        <f>_xlfn.XLOOKUP(Ocupacao_DW[[#This Row],[Concat]],Vagas!$H:$H,Vagas!$D:$D,"",0)</f>
        <v>0</v>
      </c>
    </row>
    <row r="6087" spans="1:8" x14ac:dyDescent="0.25">
      <c r="A6087" s="2">
        <v>44655</v>
      </c>
      <c r="B6087" s="1" t="s">
        <v>55</v>
      </c>
      <c r="C6087">
        <v>60</v>
      </c>
      <c r="D6087" s="1" t="s">
        <v>217</v>
      </c>
      <c r="E6087" s="1" t="s">
        <v>7</v>
      </c>
      <c r="F6087">
        <v>66</v>
      </c>
      <c r="G6087" s="1" t="str">
        <f>Ocupacao_DW[[#This Row],[data]]&amp;Ocupacao_DW[[#This Row],[profissional_id]]&amp;Ocupacao_DW[[#This Row],[local_id]]</f>
        <v>446556066</v>
      </c>
      <c r="H6087" s="1">
        <f>_xlfn.XLOOKUP(Ocupacao_DW[[#This Row],[Concat]],Vagas!$H:$H,Vagas!$D:$D,"",0)</f>
        <v>0</v>
      </c>
    </row>
    <row r="6088" spans="1:8" x14ac:dyDescent="0.25">
      <c r="A6088" s="2">
        <v>44642</v>
      </c>
      <c r="B6088" s="1" t="s">
        <v>54</v>
      </c>
      <c r="C6088">
        <v>10941</v>
      </c>
      <c r="D6088" s="1" t="s">
        <v>224</v>
      </c>
      <c r="E6088" s="1" t="s">
        <v>200</v>
      </c>
      <c r="F6088">
        <v>83</v>
      </c>
      <c r="G6088" s="1" t="str">
        <f>Ocupacao_DW[[#This Row],[data]]&amp;Ocupacao_DW[[#This Row],[profissional_id]]&amp;Ocupacao_DW[[#This Row],[local_id]]</f>
        <v>446421094183</v>
      </c>
      <c r="H6088" s="1">
        <f>_xlfn.XLOOKUP(Ocupacao_DW[[#This Row],[Concat]],Vagas!$H:$H,Vagas!$D:$D,"",0)</f>
        <v>0</v>
      </c>
    </row>
    <row r="6089" spans="1:8" x14ac:dyDescent="0.25">
      <c r="A6089" s="2">
        <v>44635</v>
      </c>
      <c r="B6089" s="1" t="s">
        <v>55</v>
      </c>
      <c r="C6089">
        <v>73</v>
      </c>
      <c r="D6089" s="1" t="s">
        <v>171</v>
      </c>
      <c r="E6089" s="1" t="s">
        <v>6</v>
      </c>
      <c r="F6089">
        <v>5</v>
      </c>
      <c r="G6089" s="1" t="str">
        <f>Ocupacao_DW[[#This Row],[data]]&amp;Ocupacao_DW[[#This Row],[profissional_id]]&amp;Ocupacao_DW[[#This Row],[local_id]]</f>
        <v>44635735</v>
      </c>
      <c r="H6089" s="1">
        <f>_xlfn.XLOOKUP(Ocupacao_DW[[#This Row],[Concat]],Vagas!$H:$H,Vagas!$D:$D,"",0)</f>
        <v>0</v>
      </c>
    </row>
    <row r="6090" spans="1:8" x14ac:dyDescent="0.25">
      <c r="A6090" s="2">
        <v>44643</v>
      </c>
      <c r="B6090" s="1" t="s">
        <v>51</v>
      </c>
      <c r="C6090">
        <v>7551</v>
      </c>
      <c r="D6090" s="1" t="s">
        <v>246</v>
      </c>
      <c r="E6090" s="1" t="s">
        <v>5</v>
      </c>
      <c r="F6090">
        <v>15</v>
      </c>
      <c r="G6090" s="1" t="str">
        <f>Ocupacao_DW[[#This Row],[data]]&amp;Ocupacao_DW[[#This Row],[profissional_id]]&amp;Ocupacao_DW[[#This Row],[local_id]]</f>
        <v>44643755115</v>
      </c>
      <c r="H6090" s="1">
        <f>_xlfn.XLOOKUP(Ocupacao_DW[[#This Row],[Concat]],Vagas!$H:$H,Vagas!$D:$D,"",0)</f>
        <v>0</v>
      </c>
    </row>
    <row r="6091" spans="1:8" x14ac:dyDescent="0.25">
      <c r="A6091" s="2">
        <v>44635</v>
      </c>
      <c r="B6091" s="1" t="s">
        <v>54</v>
      </c>
      <c r="C6091">
        <v>12623</v>
      </c>
      <c r="D6091" s="1" t="s">
        <v>258</v>
      </c>
      <c r="E6091" s="1" t="s">
        <v>5</v>
      </c>
      <c r="F6091">
        <v>11</v>
      </c>
      <c r="G6091" s="1" t="str">
        <f>Ocupacao_DW[[#This Row],[data]]&amp;Ocupacao_DW[[#This Row],[profissional_id]]&amp;Ocupacao_DW[[#This Row],[local_id]]</f>
        <v>446351262311</v>
      </c>
      <c r="H6091" s="1">
        <f>_xlfn.XLOOKUP(Ocupacao_DW[[#This Row],[Concat]],Vagas!$H:$H,Vagas!$D:$D,"",0)</f>
        <v>0</v>
      </c>
    </row>
    <row r="6092" spans="1:8" x14ac:dyDescent="0.25">
      <c r="A6092" s="2">
        <v>44638</v>
      </c>
      <c r="B6092" s="1" t="s">
        <v>54</v>
      </c>
      <c r="C6092">
        <v>69</v>
      </c>
      <c r="D6092" s="1" t="s">
        <v>238</v>
      </c>
      <c r="E6092" s="1" t="s">
        <v>5</v>
      </c>
      <c r="F6092">
        <v>13</v>
      </c>
      <c r="G6092" s="1" t="str">
        <f>Ocupacao_DW[[#This Row],[data]]&amp;Ocupacao_DW[[#This Row],[profissional_id]]&amp;Ocupacao_DW[[#This Row],[local_id]]</f>
        <v>446386913</v>
      </c>
      <c r="H6092" s="1">
        <f>_xlfn.XLOOKUP(Ocupacao_DW[[#This Row],[Concat]],Vagas!$H:$H,Vagas!$D:$D,"",0)</f>
        <v>0</v>
      </c>
    </row>
    <row r="6093" spans="1:8" x14ac:dyDescent="0.25">
      <c r="A6093" s="2">
        <v>44642</v>
      </c>
      <c r="B6093" s="1"/>
      <c r="C6093">
        <v>0</v>
      </c>
      <c r="D6093" s="1"/>
      <c r="E6093" s="1" t="s">
        <v>167</v>
      </c>
      <c r="F6093">
        <v>24</v>
      </c>
      <c r="G6093" s="1" t="str">
        <f>Ocupacao_DW[[#This Row],[data]]&amp;Ocupacao_DW[[#This Row],[profissional_id]]&amp;Ocupacao_DW[[#This Row],[local_id]]</f>
        <v>44642024</v>
      </c>
      <c r="H6093" s="1" t="str">
        <f>_xlfn.XLOOKUP(Ocupacao_DW[[#This Row],[Concat]],Vagas!$H:$H,Vagas!$D:$D,"",0)</f>
        <v/>
      </c>
    </row>
    <row r="6094" spans="1:8" x14ac:dyDescent="0.25">
      <c r="A6094" s="2">
        <v>44657</v>
      </c>
      <c r="B6094" s="1" t="s">
        <v>70</v>
      </c>
      <c r="C6094">
        <v>12825</v>
      </c>
      <c r="D6094" s="1" t="s">
        <v>177</v>
      </c>
      <c r="E6094" s="1" t="s">
        <v>4</v>
      </c>
      <c r="F6094">
        <v>45</v>
      </c>
      <c r="G6094" s="1" t="str">
        <f>Ocupacao_DW[[#This Row],[data]]&amp;Ocupacao_DW[[#This Row],[profissional_id]]&amp;Ocupacao_DW[[#This Row],[local_id]]</f>
        <v>446571282545</v>
      </c>
      <c r="H6094" s="1">
        <f>_xlfn.XLOOKUP(Ocupacao_DW[[#This Row],[Concat]],Vagas!$H:$H,Vagas!$D:$D,"",0)</f>
        <v>0</v>
      </c>
    </row>
    <row r="6095" spans="1:8" x14ac:dyDescent="0.25">
      <c r="A6095" s="2">
        <v>44636</v>
      </c>
      <c r="B6095" s="1" t="s">
        <v>47</v>
      </c>
      <c r="C6095">
        <v>110</v>
      </c>
      <c r="D6095" s="1" t="s">
        <v>193</v>
      </c>
      <c r="E6095" s="1" t="s">
        <v>4</v>
      </c>
      <c r="F6095">
        <v>334</v>
      </c>
      <c r="G6095" s="1" t="str">
        <f>Ocupacao_DW[[#This Row],[data]]&amp;Ocupacao_DW[[#This Row],[profissional_id]]&amp;Ocupacao_DW[[#This Row],[local_id]]</f>
        <v>44636110334</v>
      </c>
      <c r="H6095" s="1">
        <f>_xlfn.XLOOKUP(Ocupacao_DW[[#This Row],[Concat]],Vagas!$H:$H,Vagas!$D:$D,"",0)</f>
        <v>0</v>
      </c>
    </row>
    <row r="6096" spans="1:8" x14ac:dyDescent="0.25">
      <c r="A6096" s="2">
        <v>44636</v>
      </c>
      <c r="B6096" s="1" t="s">
        <v>47</v>
      </c>
      <c r="C6096">
        <v>110</v>
      </c>
      <c r="D6096" s="1" t="s">
        <v>193</v>
      </c>
      <c r="E6096" s="1" t="s">
        <v>4</v>
      </c>
      <c r="F6096">
        <v>334</v>
      </c>
      <c r="G6096" s="1" t="str">
        <f>Ocupacao_DW[[#This Row],[data]]&amp;Ocupacao_DW[[#This Row],[profissional_id]]&amp;Ocupacao_DW[[#This Row],[local_id]]</f>
        <v>44636110334</v>
      </c>
      <c r="H6096" s="1">
        <f>_xlfn.XLOOKUP(Ocupacao_DW[[#This Row],[Concat]],Vagas!$H:$H,Vagas!$D:$D,"",0)</f>
        <v>0</v>
      </c>
    </row>
    <row r="6097" spans="1:8" x14ac:dyDescent="0.25">
      <c r="A6097" s="2">
        <v>44637</v>
      </c>
      <c r="B6097" s="1" t="s">
        <v>73</v>
      </c>
      <c r="C6097">
        <v>10691</v>
      </c>
      <c r="D6097" s="1" t="s">
        <v>181</v>
      </c>
      <c r="E6097" s="1" t="s">
        <v>167</v>
      </c>
      <c r="F6097">
        <v>348</v>
      </c>
      <c r="G6097" s="1" t="str">
        <f>Ocupacao_DW[[#This Row],[data]]&amp;Ocupacao_DW[[#This Row],[profissional_id]]&amp;Ocupacao_DW[[#This Row],[local_id]]</f>
        <v>4463710691348</v>
      </c>
      <c r="H6097" s="1">
        <f>_xlfn.XLOOKUP(Ocupacao_DW[[#This Row],[Concat]],Vagas!$H:$H,Vagas!$D:$D,"",0)</f>
        <v>0</v>
      </c>
    </row>
    <row r="6098" spans="1:8" x14ac:dyDescent="0.25">
      <c r="A6098" s="2">
        <v>44641</v>
      </c>
      <c r="B6098" s="1" t="s">
        <v>52</v>
      </c>
      <c r="C6098">
        <v>10595</v>
      </c>
      <c r="D6098" s="1" t="s">
        <v>218</v>
      </c>
      <c r="E6098" s="1" t="s">
        <v>200</v>
      </c>
      <c r="F6098">
        <v>78</v>
      </c>
      <c r="G6098" s="1" t="str">
        <f>Ocupacao_DW[[#This Row],[data]]&amp;Ocupacao_DW[[#This Row],[profissional_id]]&amp;Ocupacao_DW[[#This Row],[local_id]]</f>
        <v>446411059578</v>
      </c>
      <c r="H6098" s="1">
        <f>_xlfn.XLOOKUP(Ocupacao_DW[[#This Row],[Concat]],Vagas!$H:$H,Vagas!$D:$D,"",0)</f>
        <v>0</v>
      </c>
    </row>
    <row r="6099" spans="1:8" x14ac:dyDescent="0.25">
      <c r="A6099" s="2">
        <v>44636</v>
      </c>
      <c r="B6099" s="1" t="s">
        <v>65</v>
      </c>
      <c r="C6099">
        <v>13058</v>
      </c>
      <c r="D6099" s="1" t="s">
        <v>256</v>
      </c>
      <c r="E6099" s="1" t="s">
        <v>4</v>
      </c>
      <c r="F6099">
        <v>47</v>
      </c>
      <c r="G6099" s="1" t="str">
        <f>Ocupacao_DW[[#This Row],[data]]&amp;Ocupacao_DW[[#This Row],[profissional_id]]&amp;Ocupacao_DW[[#This Row],[local_id]]</f>
        <v>446361305847</v>
      </c>
      <c r="H6099" s="1">
        <f>_xlfn.XLOOKUP(Ocupacao_DW[[#This Row],[Concat]],Vagas!$H:$H,Vagas!$D:$D,"",0)</f>
        <v>0</v>
      </c>
    </row>
    <row r="6100" spans="1:8" x14ac:dyDescent="0.25">
      <c r="A6100" s="2">
        <v>44645</v>
      </c>
      <c r="B6100" s="1" t="s">
        <v>47</v>
      </c>
      <c r="C6100">
        <v>9111</v>
      </c>
      <c r="D6100" s="1" t="s">
        <v>206</v>
      </c>
      <c r="E6100" s="1" t="s">
        <v>4</v>
      </c>
      <c r="F6100">
        <v>51</v>
      </c>
      <c r="G6100" s="1" t="str">
        <f>Ocupacao_DW[[#This Row],[data]]&amp;Ocupacao_DW[[#This Row],[profissional_id]]&amp;Ocupacao_DW[[#This Row],[local_id]]</f>
        <v>44645911151</v>
      </c>
      <c r="H6100" s="1">
        <f>_xlfn.XLOOKUP(Ocupacao_DW[[#This Row],[Concat]],Vagas!$H:$H,Vagas!$D:$D,"",0)</f>
        <v>0</v>
      </c>
    </row>
    <row r="6101" spans="1:8" x14ac:dyDescent="0.25">
      <c r="A6101" s="2">
        <v>44635</v>
      </c>
      <c r="B6101" s="1" t="s">
        <v>49</v>
      </c>
      <c r="C6101">
        <v>81</v>
      </c>
      <c r="D6101" s="1" t="s">
        <v>170</v>
      </c>
      <c r="E6101" s="1" t="s">
        <v>4</v>
      </c>
      <c r="F6101">
        <v>41</v>
      </c>
      <c r="G6101" s="1" t="str">
        <f>Ocupacao_DW[[#This Row],[data]]&amp;Ocupacao_DW[[#This Row],[profissional_id]]&amp;Ocupacao_DW[[#This Row],[local_id]]</f>
        <v>446358141</v>
      </c>
      <c r="H6101" s="1">
        <f>_xlfn.XLOOKUP(Ocupacao_DW[[#This Row],[Concat]],Vagas!$H:$H,Vagas!$D:$D,"",0)</f>
        <v>0</v>
      </c>
    </row>
    <row r="6102" spans="1:8" x14ac:dyDescent="0.25">
      <c r="A6102" s="2">
        <v>44637</v>
      </c>
      <c r="B6102" s="1" t="s">
        <v>52</v>
      </c>
      <c r="C6102">
        <v>9217</v>
      </c>
      <c r="D6102" s="1" t="s">
        <v>191</v>
      </c>
      <c r="E6102" s="1" t="s">
        <v>6</v>
      </c>
      <c r="F6102">
        <v>7</v>
      </c>
      <c r="G6102" s="1" t="str">
        <f>Ocupacao_DW[[#This Row],[data]]&amp;Ocupacao_DW[[#This Row],[profissional_id]]&amp;Ocupacao_DW[[#This Row],[local_id]]</f>
        <v>4463792177</v>
      </c>
      <c r="H6102" s="1">
        <f>_xlfn.XLOOKUP(Ocupacao_DW[[#This Row],[Concat]],Vagas!$H:$H,Vagas!$D:$D,"",0)</f>
        <v>0</v>
      </c>
    </row>
    <row r="6103" spans="1:8" x14ac:dyDescent="0.25">
      <c r="A6103" s="2">
        <v>44636</v>
      </c>
      <c r="B6103" s="1" t="s">
        <v>72</v>
      </c>
      <c r="C6103">
        <v>1794</v>
      </c>
      <c r="D6103" s="1" t="s">
        <v>235</v>
      </c>
      <c r="E6103" s="1" t="s">
        <v>4</v>
      </c>
      <c r="F6103">
        <v>49</v>
      </c>
      <c r="G6103" s="1" t="str">
        <f>Ocupacao_DW[[#This Row],[data]]&amp;Ocupacao_DW[[#This Row],[profissional_id]]&amp;Ocupacao_DW[[#This Row],[local_id]]</f>
        <v>44636179449</v>
      </c>
      <c r="H6103" s="1">
        <f>_xlfn.XLOOKUP(Ocupacao_DW[[#This Row],[Concat]],Vagas!$H:$H,Vagas!$D:$D,"",0)</f>
        <v>0</v>
      </c>
    </row>
    <row r="6104" spans="1:8" x14ac:dyDescent="0.25">
      <c r="A6104" s="2">
        <v>44652</v>
      </c>
      <c r="B6104" s="1"/>
      <c r="C6104">
        <v>0</v>
      </c>
      <c r="D6104" s="1"/>
      <c r="E6104" s="1" t="s">
        <v>4</v>
      </c>
      <c r="F6104">
        <v>336</v>
      </c>
      <c r="G6104" s="1" t="str">
        <f>Ocupacao_DW[[#This Row],[data]]&amp;Ocupacao_DW[[#This Row],[profissional_id]]&amp;Ocupacao_DW[[#This Row],[local_id]]</f>
        <v>446520336</v>
      </c>
      <c r="H6104" s="1" t="str">
        <f>_xlfn.XLOOKUP(Ocupacao_DW[[#This Row],[Concat]],Vagas!$H:$H,Vagas!$D:$D,"",0)</f>
        <v/>
      </c>
    </row>
    <row r="6105" spans="1:8" x14ac:dyDescent="0.25">
      <c r="A6105" s="2">
        <v>44635</v>
      </c>
      <c r="B6105" s="1" t="s">
        <v>47</v>
      </c>
      <c r="C6105">
        <v>111</v>
      </c>
      <c r="D6105" s="1" t="s">
        <v>199</v>
      </c>
      <c r="E6105" s="1" t="s">
        <v>4</v>
      </c>
      <c r="F6105">
        <v>51</v>
      </c>
      <c r="G6105" s="1" t="str">
        <f>Ocupacao_DW[[#This Row],[data]]&amp;Ocupacao_DW[[#This Row],[profissional_id]]&amp;Ocupacao_DW[[#This Row],[local_id]]</f>
        <v>4463511151</v>
      </c>
      <c r="H6105" s="1">
        <f>_xlfn.XLOOKUP(Ocupacao_DW[[#This Row],[Concat]],Vagas!$H:$H,Vagas!$D:$D,"",0)</f>
        <v>0</v>
      </c>
    </row>
    <row r="6106" spans="1:8" x14ac:dyDescent="0.25">
      <c r="A6106" s="2">
        <v>44644</v>
      </c>
      <c r="B6106" s="1" t="s">
        <v>51</v>
      </c>
      <c r="C6106">
        <v>53</v>
      </c>
      <c r="D6106" s="1" t="s">
        <v>254</v>
      </c>
      <c r="E6106" s="1" t="s">
        <v>5</v>
      </c>
      <c r="F6106">
        <v>14</v>
      </c>
      <c r="G6106" s="1" t="str">
        <f>Ocupacao_DW[[#This Row],[data]]&amp;Ocupacao_DW[[#This Row],[profissional_id]]&amp;Ocupacao_DW[[#This Row],[local_id]]</f>
        <v>446445314</v>
      </c>
      <c r="H6106" s="1">
        <f>_xlfn.XLOOKUP(Ocupacao_DW[[#This Row],[Concat]],Vagas!$H:$H,Vagas!$D:$D,"",0)</f>
        <v>0</v>
      </c>
    </row>
    <row r="6107" spans="1:8" x14ac:dyDescent="0.25">
      <c r="A6107" s="2">
        <v>44657</v>
      </c>
      <c r="B6107" s="1" t="s">
        <v>70</v>
      </c>
      <c r="C6107">
        <v>12825</v>
      </c>
      <c r="D6107" s="1" t="s">
        <v>177</v>
      </c>
      <c r="E6107" s="1" t="s">
        <v>4</v>
      </c>
      <c r="F6107">
        <v>45</v>
      </c>
      <c r="G6107" s="1" t="str">
        <f>Ocupacao_DW[[#This Row],[data]]&amp;Ocupacao_DW[[#This Row],[profissional_id]]&amp;Ocupacao_DW[[#This Row],[local_id]]</f>
        <v>446571282545</v>
      </c>
      <c r="H6107" s="1">
        <f>_xlfn.XLOOKUP(Ocupacao_DW[[#This Row],[Concat]],Vagas!$H:$H,Vagas!$D:$D,"",0)</f>
        <v>0</v>
      </c>
    </row>
    <row r="6108" spans="1:8" x14ac:dyDescent="0.25">
      <c r="A6108" s="2">
        <v>44643</v>
      </c>
      <c r="B6108" s="1" t="s">
        <v>66</v>
      </c>
      <c r="C6108">
        <v>1343</v>
      </c>
      <c r="D6108" s="1" t="s">
        <v>263</v>
      </c>
      <c r="E6108" s="1" t="s">
        <v>167</v>
      </c>
      <c r="F6108">
        <v>342</v>
      </c>
      <c r="G6108" s="1" t="str">
        <f>Ocupacao_DW[[#This Row],[data]]&amp;Ocupacao_DW[[#This Row],[profissional_id]]&amp;Ocupacao_DW[[#This Row],[local_id]]</f>
        <v>446431343342</v>
      </c>
      <c r="H6108" s="1">
        <f>_xlfn.XLOOKUP(Ocupacao_DW[[#This Row],[Concat]],Vagas!$H:$H,Vagas!$D:$D,"",0)</f>
        <v>0</v>
      </c>
    </row>
    <row r="6109" spans="1:8" x14ac:dyDescent="0.25">
      <c r="A6109" s="2">
        <v>44636</v>
      </c>
      <c r="B6109" s="1" t="s">
        <v>57</v>
      </c>
      <c r="C6109">
        <v>80</v>
      </c>
      <c r="D6109" s="1" t="s">
        <v>179</v>
      </c>
      <c r="E6109" s="1" t="s">
        <v>167</v>
      </c>
      <c r="F6109">
        <v>346</v>
      </c>
      <c r="G6109" s="1" t="str">
        <f>Ocupacao_DW[[#This Row],[data]]&amp;Ocupacao_DW[[#This Row],[profissional_id]]&amp;Ocupacao_DW[[#This Row],[local_id]]</f>
        <v>4463680346</v>
      </c>
      <c r="H6109" s="1">
        <f>_xlfn.XLOOKUP(Ocupacao_DW[[#This Row],[Concat]],Vagas!$H:$H,Vagas!$D:$D,"",0)</f>
        <v>0</v>
      </c>
    </row>
    <row r="6110" spans="1:8" x14ac:dyDescent="0.25">
      <c r="A6110" s="2">
        <v>44635</v>
      </c>
      <c r="B6110" s="1" t="s">
        <v>68</v>
      </c>
      <c r="C6110">
        <v>8239</v>
      </c>
      <c r="D6110" s="1" t="s">
        <v>257</v>
      </c>
      <c r="E6110" s="1" t="s">
        <v>167</v>
      </c>
      <c r="F6110">
        <v>345</v>
      </c>
      <c r="G6110" s="1" t="str">
        <f>Ocupacao_DW[[#This Row],[data]]&amp;Ocupacao_DW[[#This Row],[profissional_id]]&amp;Ocupacao_DW[[#This Row],[local_id]]</f>
        <v>446358239345</v>
      </c>
      <c r="H6110" s="1">
        <f>_xlfn.XLOOKUP(Ocupacao_DW[[#This Row],[Concat]],Vagas!$H:$H,Vagas!$D:$D,"",0)</f>
        <v>0</v>
      </c>
    </row>
    <row r="6111" spans="1:8" x14ac:dyDescent="0.25">
      <c r="A6111" s="2">
        <v>44636</v>
      </c>
      <c r="B6111" s="1" t="s">
        <v>51</v>
      </c>
      <c r="C6111">
        <v>7551</v>
      </c>
      <c r="D6111" s="1" t="s">
        <v>246</v>
      </c>
      <c r="E6111" s="1" t="s">
        <v>5</v>
      </c>
      <c r="F6111">
        <v>15</v>
      </c>
      <c r="G6111" s="1" t="str">
        <f>Ocupacao_DW[[#This Row],[data]]&amp;Ocupacao_DW[[#This Row],[profissional_id]]&amp;Ocupacao_DW[[#This Row],[local_id]]</f>
        <v>44636755115</v>
      </c>
      <c r="H6111" s="1">
        <f>_xlfn.XLOOKUP(Ocupacao_DW[[#This Row],[Concat]],Vagas!$H:$H,Vagas!$D:$D,"",0)</f>
        <v>0</v>
      </c>
    </row>
    <row r="6112" spans="1:8" x14ac:dyDescent="0.25">
      <c r="A6112" s="2">
        <v>44635</v>
      </c>
      <c r="B6112" s="1" t="s">
        <v>49</v>
      </c>
      <c r="C6112">
        <v>81</v>
      </c>
      <c r="D6112" s="1" t="s">
        <v>170</v>
      </c>
      <c r="E6112" s="1" t="s">
        <v>4</v>
      </c>
      <c r="F6112">
        <v>41</v>
      </c>
      <c r="G6112" s="1" t="str">
        <f>Ocupacao_DW[[#This Row],[data]]&amp;Ocupacao_DW[[#This Row],[profissional_id]]&amp;Ocupacao_DW[[#This Row],[local_id]]</f>
        <v>446358141</v>
      </c>
      <c r="H6112" s="1">
        <f>_xlfn.XLOOKUP(Ocupacao_DW[[#This Row],[Concat]],Vagas!$H:$H,Vagas!$D:$D,"",0)</f>
        <v>0</v>
      </c>
    </row>
    <row r="6113" spans="1:8" x14ac:dyDescent="0.25">
      <c r="A6113" s="2">
        <v>44635</v>
      </c>
      <c r="B6113" s="1" t="s">
        <v>47</v>
      </c>
      <c r="C6113">
        <v>111</v>
      </c>
      <c r="D6113" s="1" t="s">
        <v>199</v>
      </c>
      <c r="E6113" s="1" t="s">
        <v>4</v>
      </c>
      <c r="F6113">
        <v>51</v>
      </c>
      <c r="G6113" s="1" t="str">
        <f>Ocupacao_DW[[#This Row],[data]]&amp;Ocupacao_DW[[#This Row],[profissional_id]]&amp;Ocupacao_DW[[#This Row],[local_id]]</f>
        <v>4463511151</v>
      </c>
      <c r="H6113" s="1">
        <f>_xlfn.XLOOKUP(Ocupacao_DW[[#This Row],[Concat]],Vagas!$H:$H,Vagas!$D:$D,"",0)</f>
        <v>0</v>
      </c>
    </row>
    <row r="6114" spans="1:8" x14ac:dyDescent="0.25">
      <c r="A6114" s="2">
        <v>44653</v>
      </c>
      <c r="B6114" s="1" t="s">
        <v>62</v>
      </c>
      <c r="C6114">
        <v>4887</v>
      </c>
      <c r="D6114" s="1" t="s">
        <v>168</v>
      </c>
      <c r="E6114" s="1" t="s">
        <v>5</v>
      </c>
      <c r="F6114">
        <v>18</v>
      </c>
      <c r="G6114" s="1" t="str">
        <f>Ocupacao_DW[[#This Row],[data]]&amp;Ocupacao_DW[[#This Row],[profissional_id]]&amp;Ocupacao_DW[[#This Row],[local_id]]</f>
        <v>44653488718</v>
      </c>
      <c r="H6114" s="1">
        <f>_xlfn.XLOOKUP(Ocupacao_DW[[#This Row],[Concat]],Vagas!$H:$H,Vagas!$D:$D,"",0)</f>
        <v>0</v>
      </c>
    </row>
    <row r="6115" spans="1:8" x14ac:dyDescent="0.25">
      <c r="A6115" s="2">
        <v>44636</v>
      </c>
      <c r="B6115" s="1" t="s">
        <v>47</v>
      </c>
      <c r="C6115">
        <v>111</v>
      </c>
      <c r="D6115" s="1" t="s">
        <v>199</v>
      </c>
      <c r="E6115" s="1" t="s">
        <v>4</v>
      </c>
      <c r="F6115">
        <v>51</v>
      </c>
      <c r="G6115" s="1" t="str">
        <f>Ocupacao_DW[[#This Row],[data]]&amp;Ocupacao_DW[[#This Row],[profissional_id]]&amp;Ocupacao_DW[[#This Row],[local_id]]</f>
        <v>4463611151</v>
      </c>
      <c r="H6115" s="1">
        <f>_xlfn.XLOOKUP(Ocupacao_DW[[#This Row],[Concat]],Vagas!$H:$H,Vagas!$D:$D,"",0)</f>
        <v>1</v>
      </c>
    </row>
    <row r="6116" spans="1:8" x14ac:dyDescent="0.25">
      <c r="A6116" s="2">
        <v>44635</v>
      </c>
      <c r="B6116" s="1" t="s">
        <v>67</v>
      </c>
      <c r="C6116">
        <v>7290</v>
      </c>
      <c r="D6116" s="1" t="s">
        <v>247</v>
      </c>
      <c r="E6116" s="1" t="s">
        <v>5</v>
      </c>
      <c r="F6116">
        <v>18</v>
      </c>
      <c r="G6116" s="1" t="str">
        <f>Ocupacao_DW[[#This Row],[data]]&amp;Ocupacao_DW[[#This Row],[profissional_id]]&amp;Ocupacao_DW[[#This Row],[local_id]]</f>
        <v>44635729018</v>
      </c>
      <c r="H6116" s="1">
        <f>_xlfn.XLOOKUP(Ocupacao_DW[[#This Row],[Concat]],Vagas!$H:$H,Vagas!$D:$D,"",0)</f>
        <v>0</v>
      </c>
    </row>
    <row r="6117" spans="1:8" x14ac:dyDescent="0.25">
      <c r="A6117" s="2">
        <v>44650</v>
      </c>
      <c r="B6117" s="1" t="s">
        <v>47</v>
      </c>
      <c r="C6117">
        <v>110</v>
      </c>
      <c r="D6117" s="1" t="s">
        <v>193</v>
      </c>
      <c r="E6117" s="1" t="s">
        <v>4</v>
      </c>
      <c r="F6117">
        <v>334</v>
      </c>
      <c r="G6117" s="1" t="str">
        <f>Ocupacao_DW[[#This Row],[data]]&amp;Ocupacao_DW[[#This Row],[profissional_id]]&amp;Ocupacao_DW[[#This Row],[local_id]]</f>
        <v>44650110334</v>
      </c>
      <c r="H6117" s="1">
        <f>_xlfn.XLOOKUP(Ocupacao_DW[[#This Row],[Concat]],Vagas!$H:$H,Vagas!$D:$D,"",0)</f>
        <v>0</v>
      </c>
    </row>
    <row r="6118" spans="1:8" x14ac:dyDescent="0.25">
      <c r="A6118" s="2">
        <v>44645</v>
      </c>
      <c r="B6118" s="1" t="s">
        <v>52</v>
      </c>
      <c r="C6118">
        <v>10691</v>
      </c>
      <c r="D6118" s="1" t="s">
        <v>181</v>
      </c>
      <c r="E6118" s="1" t="s">
        <v>6</v>
      </c>
      <c r="F6118">
        <v>6</v>
      </c>
      <c r="G6118" s="1" t="str">
        <f>Ocupacao_DW[[#This Row],[data]]&amp;Ocupacao_DW[[#This Row],[profissional_id]]&amp;Ocupacao_DW[[#This Row],[local_id]]</f>
        <v>44645106916</v>
      </c>
      <c r="H6118" s="1">
        <f>_xlfn.XLOOKUP(Ocupacao_DW[[#This Row],[Concat]],Vagas!$H:$H,Vagas!$D:$D,"",0)</f>
        <v>8</v>
      </c>
    </row>
    <row r="6119" spans="1:8" x14ac:dyDescent="0.25">
      <c r="A6119" s="2">
        <v>44642</v>
      </c>
      <c r="B6119" s="1" t="s">
        <v>64</v>
      </c>
      <c r="C6119">
        <v>12230</v>
      </c>
      <c r="D6119" s="1" t="s">
        <v>269</v>
      </c>
      <c r="E6119" s="1" t="s">
        <v>5</v>
      </c>
      <c r="F6119">
        <v>17</v>
      </c>
      <c r="G6119" s="1" t="str">
        <f>Ocupacao_DW[[#This Row],[data]]&amp;Ocupacao_DW[[#This Row],[profissional_id]]&amp;Ocupacao_DW[[#This Row],[local_id]]</f>
        <v>446421223017</v>
      </c>
      <c r="H6119" s="1">
        <f>_xlfn.XLOOKUP(Ocupacao_DW[[#This Row],[Concat]],Vagas!$H:$H,Vagas!$D:$D,"",0)</f>
        <v>0</v>
      </c>
    </row>
    <row r="6120" spans="1:8" x14ac:dyDescent="0.25">
      <c r="A6120" s="2">
        <v>44636</v>
      </c>
      <c r="B6120" s="1" t="s">
        <v>54</v>
      </c>
      <c r="C6120">
        <v>70</v>
      </c>
      <c r="D6120" s="1" t="s">
        <v>187</v>
      </c>
      <c r="E6120" s="1" t="s">
        <v>5</v>
      </c>
      <c r="F6120">
        <v>13</v>
      </c>
      <c r="G6120" s="1" t="str">
        <f>Ocupacao_DW[[#This Row],[data]]&amp;Ocupacao_DW[[#This Row],[profissional_id]]&amp;Ocupacao_DW[[#This Row],[local_id]]</f>
        <v>446367013</v>
      </c>
      <c r="H6120" s="1">
        <f>_xlfn.XLOOKUP(Ocupacao_DW[[#This Row],[Concat]],Vagas!$H:$H,Vagas!$D:$D,"",0)</f>
        <v>0</v>
      </c>
    </row>
    <row r="6121" spans="1:8" x14ac:dyDescent="0.25">
      <c r="A6121" s="2">
        <v>44638</v>
      </c>
      <c r="B6121" s="1" t="s">
        <v>49</v>
      </c>
      <c r="C6121">
        <v>81</v>
      </c>
      <c r="D6121" s="1" t="s">
        <v>170</v>
      </c>
      <c r="E6121" s="1" t="s">
        <v>4</v>
      </c>
      <c r="F6121">
        <v>41</v>
      </c>
      <c r="G6121" s="1" t="str">
        <f>Ocupacao_DW[[#This Row],[data]]&amp;Ocupacao_DW[[#This Row],[profissional_id]]&amp;Ocupacao_DW[[#This Row],[local_id]]</f>
        <v>446388141</v>
      </c>
      <c r="H6121" s="1">
        <f>_xlfn.XLOOKUP(Ocupacao_DW[[#This Row],[Concat]],Vagas!$H:$H,Vagas!$D:$D,"",0)</f>
        <v>0</v>
      </c>
    </row>
    <row r="6122" spans="1:8" x14ac:dyDescent="0.25">
      <c r="A6122" s="2">
        <v>44635</v>
      </c>
      <c r="B6122" s="1" t="s">
        <v>54</v>
      </c>
      <c r="C6122">
        <v>10941</v>
      </c>
      <c r="D6122" s="1" t="s">
        <v>224</v>
      </c>
      <c r="E6122" s="1" t="s">
        <v>5</v>
      </c>
      <c r="F6122">
        <v>12</v>
      </c>
      <c r="G6122" s="1" t="str">
        <f>Ocupacao_DW[[#This Row],[data]]&amp;Ocupacao_DW[[#This Row],[profissional_id]]&amp;Ocupacao_DW[[#This Row],[local_id]]</f>
        <v>446351094112</v>
      </c>
      <c r="H6122" s="1">
        <f>_xlfn.XLOOKUP(Ocupacao_DW[[#This Row],[Concat]],Vagas!$H:$H,Vagas!$D:$D,"",0)</f>
        <v>0</v>
      </c>
    </row>
    <row r="6123" spans="1:8" x14ac:dyDescent="0.25">
      <c r="A6123" s="2">
        <v>44637</v>
      </c>
      <c r="B6123" s="1" t="s">
        <v>49</v>
      </c>
      <c r="C6123">
        <v>81</v>
      </c>
      <c r="D6123" s="1" t="s">
        <v>170</v>
      </c>
      <c r="E6123" s="1" t="s">
        <v>4</v>
      </c>
      <c r="F6123">
        <v>41</v>
      </c>
      <c r="G6123" s="1" t="str">
        <f>Ocupacao_DW[[#This Row],[data]]&amp;Ocupacao_DW[[#This Row],[profissional_id]]&amp;Ocupacao_DW[[#This Row],[local_id]]</f>
        <v>446378141</v>
      </c>
      <c r="H6123" s="1">
        <f>_xlfn.XLOOKUP(Ocupacao_DW[[#This Row],[Concat]],Vagas!$H:$H,Vagas!$D:$D,"",0)</f>
        <v>0</v>
      </c>
    </row>
    <row r="6124" spans="1:8" x14ac:dyDescent="0.25">
      <c r="A6124" s="2">
        <v>44637</v>
      </c>
      <c r="B6124" s="1" t="s">
        <v>47</v>
      </c>
      <c r="C6124">
        <v>11207</v>
      </c>
      <c r="D6124" s="1" t="s">
        <v>251</v>
      </c>
      <c r="E6124" s="1" t="s">
        <v>4</v>
      </c>
      <c r="F6124">
        <v>51</v>
      </c>
      <c r="G6124" s="1" t="str">
        <f>Ocupacao_DW[[#This Row],[data]]&amp;Ocupacao_DW[[#This Row],[profissional_id]]&amp;Ocupacao_DW[[#This Row],[local_id]]</f>
        <v>446371120751</v>
      </c>
      <c r="H6124" s="1">
        <f>_xlfn.XLOOKUP(Ocupacao_DW[[#This Row],[Concat]],Vagas!$H:$H,Vagas!$D:$D,"",0)</f>
        <v>0</v>
      </c>
    </row>
    <row r="6125" spans="1:8" x14ac:dyDescent="0.25">
      <c r="A6125" s="2">
        <v>44635</v>
      </c>
      <c r="B6125" s="1" t="s">
        <v>47</v>
      </c>
      <c r="C6125">
        <v>12752</v>
      </c>
      <c r="D6125" s="1" t="s">
        <v>253</v>
      </c>
      <c r="E6125" s="1" t="s">
        <v>7</v>
      </c>
      <c r="F6125">
        <v>60</v>
      </c>
      <c r="G6125" s="1" t="str">
        <f>Ocupacao_DW[[#This Row],[data]]&amp;Ocupacao_DW[[#This Row],[profissional_id]]&amp;Ocupacao_DW[[#This Row],[local_id]]</f>
        <v>446351275260</v>
      </c>
      <c r="H6125" s="1">
        <f>_xlfn.XLOOKUP(Ocupacao_DW[[#This Row],[Concat]],Vagas!$H:$H,Vagas!$D:$D,"",0)</f>
        <v>0</v>
      </c>
    </row>
    <row r="6126" spans="1:8" x14ac:dyDescent="0.25">
      <c r="A6126" s="2">
        <v>44638</v>
      </c>
      <c r="B6126" s="1"/>
      <c r="C6126">
        <v>0</v>
      </c>
      <c r="D6126" s="1"/>
      <c r="E6126" s="1" t="s">
        <v>4</v>
      </c>
      <c r="F6126">
        <v>40</v>
      </c>
      <c r="G6126" s="1" t="str">
        <f>Ocupacao_DW[[#This Row],[data]]&amp;Ocupacao_DW[[#This Row],[profissional_id]]&amp;Ocupacao_DW[[#This Row],[local_id]]</f>
        <v>44638040</v>
      </c>
      <c r="H6126" s="1" t="str">
        <f>_xlfn.XLOOKUP(Ocupacao_DW[[#This Row],[Concat]],Vagas!$H:$H,Vagas!$D:$D,"",0)</f>
        <v/>
      </c>
    </row>
    <row r="6127" spans="1:8" x14ac:dyDescent="0.25">
      <c r="A6127" s="2">
        <v>44638</v>
      </c>
      <c r="B6127" s="1" t="s">
        <v>72</v>
      </c>
      <c r="C6127">
        <v>13479</v>
      </c>
      <c r="D6127" s="1" t="s">
        <v>203</v>
      </c>
      <c r="E6127" s="1" t="s">
        <v>200</v>
      </c>
      <c r="F6127">
        <v>83</v>
      </c>
      <c r="G6127" s="1" t="str">
        <f>Ocupacao_DW[[#This Row],[data]]&amp;Ocupacao_DW[[#This Row],[profissional_id]]&amp;Ocupacao_DW[[#This Row],[local_id]]</f>
        <v>446381347983</v>
      </c>
      <c r="H6127" s="1">
        <f>_xlfn.XLOOKUP(Ocupacao_DW[[#This Row],[Concat]],Vagas!$H:$H,Vagas!$D:$D,"",0)</f>
        <v>0</v>
      </c>
    </row>
    <row r="6128" spans="1:8" x14ac:dyDescent="0.25">
      <c r="A6128" s="2">
        <v>44643</v>
      </c>
      <c r="B6128" s="1" t="s">
        <v>51</v>
      </c>
      <c r="C6128">
        <v>12679</v>
      </c>
      <c r="D6128" s="1" t="s">
        <v>192</v>
      </c>
      <c r="E6128" s="1" t="s">
        <v>200</v>
      </c>
      <c r="F6128">
        <v>82</v>
      </c>
      <c r="G6128" s="1" t="str">
        <f>Ocupacao_DW[[#This Row],[data]]&amp;Ocupacao_DW[[#This Row],[profissional_id]]&amp;Ocupacao_DW[[#This Row],[local_id]]</f>
        <v>446431267982</v>
      </c>
      <c r="H6128" s="1">
        <f>_xlfn.XLOOKUP(Ocupacao_DW[[#This Row],[Concat]],Vagas!$H:$H,Vagas!$D:$D,"",0)</f>
        <v>0</v>
      </c>
    </row>
    <row r="6129" spans="1:8" x14ac:dyDescent="0.25">
      <c r="A6129" s="2">
        <v>44636</v>
      </c>
      <c r="B6129" s="1"/>
      <c r="C6129">
        <v>0</v>
      </c>
      <c r="D6129" s="1"/>
      <c r="E6129" s="1" t="s">
        <v>167</v>
      </c>
      <c r="F6129">
        <v>24</v>
      </c>
      <c r="G6129" s="1" t="str">
        <f>Ocupacao_DW[[#This Row],[data]]&amp;Ocupacao_DW[[#This Row],[profissional_id]]&amp;Ocupacao_DW[[#This Row],[local_id]]</f>
        <v>44636024</v>
      </c>
      <c r="H6129" s="1" t="str">
        <f>_xlfn.XLOOKUP(Ocupacao_DW[[#This Row],[Concat]],Vagas!$H:$H,Vagas!$D:$D,"",0)</f>
        <v/>
      </c>
    </row>
    <row r="6130" spans="1:8" x14ac:dyDescent="0.25">
      <c r="A6130" s="2">
        <v>44636</v>
      </c>
      <c r="B6130" s="1" t="s">
        <v>50</v>
      </c>
      <c r="C6130">
        <v>10785</v>
      </c>
      <c r="D6130" s="1" t="s">
        <v>237</v>
      </c>
      <c r="E6130" s="1" t="s">
        <v>5</v>
      </c>
      <c r="F6130">
        <v>14</v>
      </c>
      <c r="G6130" s="1" t="str">
        <f>Ocupacao_DW[[#This Row],[data]]&amp;Ocupacao_DW[[#This Row],[profissional_id]]&amp;Ocupacao_DW[[#This Row],[local_id]]</f>
        <v>446361078514</v>
      </c>
      <c r="H6130" s="1">
        <f>_xlfn.XLOOKUP(Ocupacao_DW[[#This Row],[Concat]],Vagas!$H:$H,Vagas!$D:$D,"",0)</f>
        <v>8</v>
      </c>
    </row>
    <row r="6131" spans="1:8" x14ac:dyDescent="0.25">
      <c r="A6131" s="2">
        <v>44635</v>
      </c>
      <c r="B6131" s="1" t="s">
        <v>53</v>
      </c>
      <c r="C6131">
        <v>9138</v>
      </c>
      <c r="D6131" s="1" t="s">
        <v>184</v>
      </c>
      <c r="E6131" s="1" t="s">
        <v>167</v>
      </c>
      <c r="F6131">
        <v>344</v>
      </c>
      <c r="G6131" s="1" t="str">
        <f>Ocupacao_DW[[#This Row],[data]]&amp;Ocupacao_DW[[#This Row],[profissional_id]]&amp;Ocupacao_DW[[#This Row],[local_id]]</f>
        <v>446359138344</v>
      </c>
      <c r="H6131" s="1">
        <f>_xlfn.XLOOKUP(Ocupacao_DW[[#This Row],[Concat]],Vagas!$H:$H,Vagas!$D:$D,"",0)</f>
        <v>0</v>
      </c>
    </row>
    <row r="6132" spans="1:8" x14ac:dyDescent="0.25">
      <c r="A6132" s="2">
        <v>44643</v>
      </c>
      <c r="B6132" s="1" t="s">
        <v>51</v>
      </c>
      <c r="C6132">
        <v>17859</v>
      </c>
      <c r="D6132" s="1" t="s">
        <v>212</v>
      </c>
      <c r="E6132" s="1" t="s">
        <v>6</v>
      </c>
      <c r="F6132">
        <v>7</v>
      </c>
      <c r="G6132" s="1" t="str">
        <f>Ocupacao_DW[[#This Row],[data]]&amp;Ocupacao_DW[[#This Row],[profissional_id]]&amp;Ocupacao_DW[[#This Row],[local_id]]</f>
        <v>44643178597</v>
      </c>
      <c r="H6132" s="1">
        <f>_xlfn.XLOOKUP(Ocupacao_DW[[#This Row],[Concat]],Vagas!$H:$H,Vagas!$D:$D,"",0)</f>
        <v>0</v>
      </c>
    </row>
    <row r="6133" spans="1:8" x14ac:dyDescent="0.25">
      <c r="A6133" s="2">
        <v>44638</v>
      </c>
      <c r="B6133" s="1" t="s">
        <v>47</v>
      </c>
      <c r="C6133">
        <v>9111</v>
      </c>
      <c r="D6133" s="1" t="s">
        <v>206</v>
      </c>
      <c r="E6133" s="1" t="s">
        <v>4</v>
      </c>
      <c r="F6133">
        <v>51</v>
      </c>
      <c r="G6133" s="1" t="str">
        <f>Ocupacao_DW[[#This Row],[data]]&amp;Ocupacao_DW[[#This Row],[profissional_id]]&amp;Ocupacao_DW[[#This Row],[local_id]]</f>
        <v>44638911151</v>
      </c>
      <c r="H6133" s="1">
        <f>_xlfn.XLOOKUP(Ocupacao_DW[[#This Row],[Concat]],Vagas!$H:$H,Vagas!$D:$D,"",0)</f>
        <v>0</v>
      </c>
    </row>
    <row r="6134" spans="1:8" x14ac:dyDescent="0.25">
      <c r="A6134" s="2">
        <v>44635</v>
      </c>
      <c r="B6134" s="1" t="s">
        <v>71</v>
      </c>
      <c r="C6134">
        <v>282</v>
      </c>
      <c r="D6134" s="1" t="s">
        <v>210</v>
      </c>
      <c r="E6134" s="1" t="s">
        <v>4</v>
      </c>
      <c r="F6134">
        <v>48</v>
      </c>
      <c r="G6134" s="1" t="str">
        <f>Ocupacao_DW[[#This Row],[data]]&amp;Ocupacao_DW[[#This Row],[profissional_id]]&amp;Ocupacao_DW[[#This Row],[local_id]]</f>
        <v>4463528248</v>
      </c>
      <c r="H6134" s="1">
        <f>_xlfn.XLOOKUP(Ocupacao_DW[[#This Row],[Concat]],Vagas!$H:$H,Vagas!$D:$D,"",0)</f>
        <v>0</v>
      </c>
    </row>
    <row r="6135" spans="1:8" x14ac:dyDescent="0.25">
      <c r="A6135" s="2">
        <v>44641</v>
      </c>
      <c r="B6135" s="1" t="s">
        <v>52</v>
      </c>
      <c r="C6135">
        <v>10691</v>
      </c>
      <c r="D6135" s="1" t="s">
        <v>181</v>
      </c>
      <c r="E6135" s="1" t="s">
        <v>6</v>
      </c>
      <c r="F6135">
        <v>9</v>
      </c>
      <c r="G6135" s="1" t="str">
        <f>Ocupacao_DW[[#This Row],[data]]&amp;Ocupacao_DW[[#This Row],[profissional_id]]&amp;Ocupacao_DW[[#This Row],[local_id]]</f>
        <v>44641106919</v>
      </c>
      <c r="H6135" s="1">
        <f>_xlfn.XLOOKUP(Ocupacao_DW[[#This Row],[Concat]],Vagas!$H:$H,Vagas!$D:$D,"",0)</f>
        <v>0</v>
      </c>
    </row>
    <row r="6136" spans="1:8" x14ac:dyDescent="0.25">
      <c r="A6136" s="2">
        <v>44636</v>
      </c>
      <c r="B6136" s="1" t="s">
        <v>65</v>
      </c>
      <c r="C6136">
        <v>13058</v>
      </c>
      <c r="D6136" s="1" t="s">
        <v>256</v>
      </c>
      <c r="E6136" s="1" t="s">
        <v>4</v>
      </c>
      <c r="F6136">
        <v>47</v>
      </c>
      <c r="G6136" s="1" t="str">
        <f>Ocupacao_DW[[#This Row],[data]]&amp;Ocupacao_DW[[#This Row],[profissional_id]]&amp;Ocupacao_DW[[#This Row],[local_id]]</f>
        <v>446361305847</v>
      </c>
      <c r="H6136" s="1">
        <f>_xlfn.XLOOKUP(Ocupacao_DW[[#This Row],[Concat]],Vagas!$H:$H,Vagas!$D:$D,"",0)</f>
        <v>0</v>
      </c>
    </row>
    <row r="6137" spans="1:8" x14ac:dyDescent="0.25">
      <c r="A6137" s="2">
        <v>44643</v>
      </c>
      <c r="B6137" s="1" t="s">
        <v>51</v>
      </c>
      <c r="C6137">
        <v>12679</v>
      </c>
      <c r="D6137" s="1" t="s">
        <v>192</v>
      </c>
      <c r="E6137" s="1" t="s">
        <v>200</v>
      </c>
      <c r="F6137">
        <v>82</v>
      </c>
      <c r="G6137" s="1" t="str">
        <f>Ocupacao_DW[[#This Row],[data]]&amp;Ocupacao_DW[[#This Row],[profissional_id]]&amp;Ocupacao_DW[[#This Row],[local_id]]</f>
        <v>446431267982</v>
      </c>
      <c r="H6137" s="1">
        <f>_xlfn.XLOOKUP(Ocupacao_DW[[#This Row],[Concat]],Vagas!$H:$H,Vagas!$D:$D,"",0)</f>
        <v>0</v>
      </c>
    </row>
    <row r="6138" spans="1:8" x14ac:dyDescent="0.25">
      <c r="A6138" s="2">
        <v>44636</v>
      </c>
      <c r="B6138" s="1" t="s">
        <v>56</v>
      </c>
      <c r="C6138">
        <v>13660</v>
      </c>
      <c r="D6138" s="1" t="s">
        <v>250</v>
      </c>
      <c r="E6138" s="1" t="s">
        <v>200</v>
      </c>
      <c r="F6138">
        <v>78</v>
      </c>
      <c r="G6138" s="1" t="str">
        <f>Ocupacao_DW[[#This Row],[data]]&amp;Ocupacao_DW[[#This Row],[profissional_id]]&amp;Ocupacao_DW[[#This Row],[local_id]]</f>
        <v>446361366078</v>
      </c>
      <c r="H6138" s="1">
        <f>_xlfn.XLOOKUP(Ocupacao_DW[[#This Row],[Concat]],Vagas!$H:$H,Vagas!$D:$D,"",0)</f>
        <v>3</v>
      </c>
    </row>
    <row r="6139" spans="1:8" x14ac:dyDescent="0.25">
      <c r="A6139" s="2">
        <v>44636</v>
      </c>
      <c r="B6139" s="1" t="s">
        <v>49</v>
      </c>
      <c r="C6139">
        <v>81</v>
      </c>
      <c r="D6139" s="1" t="s">
        <v>170</v>
      </c>
      <c r="E6139" s="1" t="s">
        <v>4</v>
      </c>
      <c r="F6139">
        <v>41</v>
      </c>
      <c r="G6139" s="1" t="str">
        <f>Ocupacao_DW[[#This Row],[data]]&amp;Ocupacao_DW[[#This Row],[profissional_id]]&amp;Ocupacao_DW[[#This Row],[local_id]]</f>
        <v>446368141</v>
      </c>
      <c r="H6139" s="1">
        <f>_xlfn.XLOOKUP(Ocupacao_DW[[#This Row],[Concat]],Vagas!$H:$H,Vagas!$D:$D,"",0)</f>
        <v>0</v>
      </c>
    </row>
    <row r="6140" spans="1:8" x14ac:dyDescent="0.25">
      <c r="A6140" s="2">
        <v>44636</v>
      </c>
      <c r="B6140" s="1" t="s">
        <v>52</v>
      </c>
      <c r="C6140">
        <v>60</v>
      </c>
      <c r="D6140" s="1" t="s">
        <v>217</v>
      </c>
      <c r="E6140" s="1" t="s">
        <v>167</v>
      </c>
      <c r="F6140">
        <v>346</v>
      </c>
      <c r="G6140" s="1" t="str">
        <f>Ocupacao_DW[[#This Row],[data]]&amp;Ocupacao_DW[[#This Row],[profissional_id]]&amp;Ocupacao_DW[[#This Row],[local_id]]</f>
        <v>4463660346</v>
      </c>
      <c r="H6140" s="1">
        <f>_xlfn.XLOOKUP(Ocupacao_DW[[#This Row],[Concat]],Vagas!$H:$H,Vagas!$D:$D,"",0)</f>
        <v>0</v>
      </c>
    </row>
    <row r="6141" spans="1:8" x14ac:dyDescent="0.25">
      <c r="A6141" s="2">
        <v>44638</v>
      </c>
      <c r="B6141" s="1" t="s">
        <v>52</v>
      </c>
      <c r="C6141">
        <v>10691</v>
      </c>
      <c r="D6141" s="1" t="s">
        <v>181</v>
      </c>
      <c r="E6141" s="1" t="s">
        <v>200</v>
      </c>
      <c r="F6141">
        <v>78</v>
      </c>
      <c r="G6141" s="1" t="str">
        <f>Ocupacao_DW[[#This Row],[data]]&amp;Ocupacao_DW[[#This Row],[profissional_id]]&amp;Ocupacao_DW[[#This Row],[local_id]]</f>
        <v>446381069178</v>
      </c>
      <c r="H6141" s="1">
        <f>_xlfn.XLOOKUP(Ocupacao_DW[[#This Row],[Concat]],Vagas!$H:$H,Vagas!$D:$D,"",0)</f>
        <v>0</v>
      </c>
    </row>
    <row r="6142" spans="1:8" x14ac:dyDescent="0.25">
      <c r="A6142" s="2">
        <v>44635</v>
      </c>
      <c r="B6142" s="1" t="s">
        <v>49</v>
      </c>
      <c r="C6142">
        <v>81</v>
      </c>
      <c r="D6142" s="1" t="s">
        <v>170</v>
      </c>
      <c r="E6142" s="1" t="s">
        <v>4</v>
      </c>
      <c r="F6142">
        <v>41</v>
      </c>
      <c r="G6142" s="1" t="str">
        <f>Ocupacao_DW[[#This Row],[data]]&amp;Ocupacao_DW[[#This Row],[profissional_id]]&amp;Ocupacao_DW[[#This Row],[local_id]]</f>
        <v>446358141</v>
      </c>
      <c r="H6142" s="1">
        <f>_xlfn.XLOOKUP(Ocupacao_DW[[#This Row],[Concat]],Vagas!$H:$H,Vagas!$D:$D,"",0)</f>
        <v>0</v>
      </c>
    </row>
    <row r="6143" spans="1:8" x14ac:dyDescent="0.25">
      <c r="A6143" s="2">
        <v>44636</v>
      </c>
      <c r="B6143" s="1" t="s">
        <v>47</v>
      </c>
      <c r="C6143">
        <v>111</v>
      </c>
      <c r="D6143" s="1" t="s">
        <v>199</v>
      </c>
      <c r="E6143" s="1" t="s">
        <v>4</v>
      </c>
      <c r="F6143">
        <v>51</v>
      </c>
      <c r="G6143" s="1" t="str">
        <f>Ocupacao_DW[[#This Row],[data]]&amp;Ocupacao_DW[[#This Row],[profissional_id]]&amp;Ocupacao_DW[[#This Row],[local_id]]</f>
        <v>4463611151</v>
      </c>
      <c r="H6143" s="1">
        <f>_xlfn.XLOOKUP(Ocupacao_DW[[#This Row],[Concat]],Vagas!$H:$H,Vagas!$D:$D,"",0)</f>
        <v>1</v>
      </c>
    </row>
    <row r="6144" spans="1:8" x14ac:dyDescent="0.25">
      <c r="A6144" s="2">
        <v>44642</v>
      </c>
      <c r="B6144" s="1" t="s">
        <v>55</v>
      </c>
      <c r="C6144">
        <v>14452</v>
      </c>
      <c r="D6144" s="1" t="s">
        <v>266</v>
      </c>
      <c r="E6144" s="1" t="s">
        <v>200</v>
      </c>
      <c r="F6144">
        <v>78</v>
      </c>
      <c r="G6144" s="1" t="str">
        <f>Ocupacao_DW[[#This Row],[data]]&amp;Ocupacao_DW[[#This Row],[profissional_id]]&amp;Ocupacao_DW[[#This Row],[local_id]]</f>
        <v>446421445278</v>
      </c>
      <c r="H6144" s="1">
        <f>_xlfn.XLOOKUP(Ocupacao_DW[[#This Row],[Concat]],Vagas!$H:$H,Vagas!$D:$D,"",0)</f>
        <v>0</v>
      </c>
    </row>
    <row r="6145" spans="1:8" x14ac:dyDescent="0.25">
      <c r="A6145" s="2">
        <v>44635</v>
      </c>
      <c r="B6145" s="1" t="s">
        <v>53</v>
      </c>
      <c r="C6145">
        <v>9138</v>
      </c>
      <c r="D6145" s="1" t="s">
        <v>184</v>
      </c>
      <c r="E6145" s="1" t="s">
        <v>167</v>
      </c>
      <c r="F6145">
        <v>344</v>
      </c>
      <c r="G6145" s="1" t="str">
        <f>Ocupacao_DW[[#This Row],[data]]&amp;Ocupacao_DW[[#This Row],[profissional_id]]&amp;Ocupacao_DW[[#This Row],[local_id]]</f>
        <v>446359138344</v>
      </c>
      <c r="H6145" s="1">
        <f>_xlfn.XLOOKUP(Ocupacao_DW[[#This Row],[Concat]],Vagas!$H:$H,Vagas!$D:$D,"",0)</f>
        <v>0</v>
      </c>
    </row>
    <row r="6146" spans="1:8" x14ac:dyDescent="0.25">
      <c r="A6146" s="2">
        <v>44642</v>
      </c>
      <c r="B6146" s="1" t="s">
        <v>54</v>
      </c>
      <c r="C6146">
        <v>10941</v>
      </c>
      <c r="D6146" s="1" t="s">
        <v>224</v>
      </c>
      <c r="E6146" s="1" t="s">
        <v>200</v>
      </c>
      <c r="F6146">
        <v>83</v>
      </c>
      <c r="G6146" s="1" t="str">
        <f>Ocupacao_DW[[#This Row],[data]]&amp;Ocupacao_DW[[#This Row],[profissional_id]]&amp;Ocupacao_DW[[#This Row],[local_id]]</f>
        <v>446421094183</v>
      </c>
      <c r="H6146" s="1">
        <f>_xlfn.XLOOKUP(Ocupacao_DW[[#This Row],[Concat]],Vagas!$H:$H,Vagas!$D:$D,"",0)</f>
        <v>0</v>
      </c>
    </row>
    <row r="6147" spans="1:8" x14ac:dyDescent="0.25">
      <c r="A6147" s="2">
        <v>44650</v>
      </c>
      <c r="B6147" s="1" t="s">
        <v>57</v>
      </c>
      <c r="C6147">
        <v>80</v>
      </c>
      <c r="D6147" s="1" t="s">
        <v>179</v>
      </c>
      <c r="E6147" s="1" t="s">
        <v>167</v>
      </c>
      <c r="F6147">
        <v>346</v>
      </c>
      <c r="G6147" s="1" t="str">
        <f>Ocupacao_DW[[#This Row],[data]]&amp;Ocupacao_DW[[#This Row],[profissional_id]]&amp;Ocupacao_DW[[#This Row],[local_id]]</f>
        <v>4465080346</v>
      </c>
      <c r="H6147" s="1">
        <f>_xlfn.XLOOKUP(Ocupacao_DW[[#This Row],[Concat]],Vagas!$H:$H,Vagas!$D:$D,"",0)</f>
        <v>0</v>
      </c>
    </row>
    <row r="6148" spans="1:8" x14ac:dyDescent="0.25">
      <c r="A6148" s="2">
        <v>44642</v>
      </c>
      <c r="B6148" s="1" t="s">
        <v>70</v>
      </c>
      <c r="C6148">
        <v>12825</v>
      </c>
      <c r="D6148" s="1" t="s">
        <v>177</v>
      </c>
      <c r="E6148" s="1" t="s">
        <v>7</v>
      </c>
      <c r="F6148">
        <v>63</v>
      </c>
      <c r="G6148" s="1" t="str">
        <f>Ocupacao_DW[[#This Row],[data]]&amp;Ocupacao_DW[[#This Row],[profissional_id]]&amp;Ocupacao_DW[[#This Row],[local_id]]</f>
        <v>446421282563</v>
      </c>
      <c r="H6148" s="1">
        <f>_xlfn.XLOOKUP(Ocupacao_DW[[#This Row],[Concat]],Vagas!$H:$H,Vagas!$D:$D,"",0)</f>
        <v>0</v>
      </c>
    </row>
    <row r="6149" spans="1:8" x14ac:dyDescent="0.25">
      <c r="A6149" s="2">
        <v>44643</v>
      </c>
      <c r="B6149" s="1" t="s">
        <v>51</v>
      </c>
      <c r="C6149">
        <v>17859</v>
      </c>
      <c r="D6149" s="1" t="s">
        <v>212</v>
      </c>
      <c r="E6149" s="1" t="s">
        <v>6</v>
      </c>
      <c r="F6149">
        <v>7</v>
      </c>
      <c r="G6149" s="1" t="str">
        <f>Ocupacao_DW[[#This Row],[data]]&amp;Ocupacao_DW[[#This Row],[profissional_id]]&amp;Ocupacao_DW[[#This Row],[local_id]]</f>
        <v>44643178597</v>
      </c>
      <c r="H6149" s="1">
        <f>_xlfn.XLOOKUP(Ocupacao_DW[[#This Row],[Concat]],Vagas!$H:$H,Vagas!$D:$D,"",0)</f>
        <v>0</v>
      </c>
    </row>
    <row r="6150" spans="1:8" x14ac:dyDescent="0.25">
      <c r="A6150" s="2">
        <v>44636</v>
      </c>
      <c r="B6150" s="1" t="s">
        <v>72</v>
      </c>
      <c r="C6150">
        <v>1794</v>
      </c>
      <c r="D6150" s="1" t="s">
        <v>235</v>
      </c>
      <c r="E6150" s="1" t="s">
        <v>4</v>
      </c>
      <c r="F6150">
        <v>49</v>
      </c>
      <c r="G6150" s="1" t="str">
        <f>Ocupacao_DW[[#This Row],[data]]&amp;Ocupacao_DW[[#This Row],[profissional_id]]&amp;Ocupacao_DW[[#This Row],[local_id]]</f>
        <v>44636179449</v>
      </c>
      <c r="H6150" s="1">
        <f>_xlfn.XLOOKUP(Ocupacao_DW[[#This Row],[Concat]],Vagas!$H:$H,Vagas!$D:$D,"",0)</f>
        <v>0</v>
      </c>
    </row>
    <row r="6151" spans="1:8" x14ac:dyDescent="0.25">
      <c r="A6151" s="2">
        <v>44648</v>
      </c>
      <c r="B6151" s="1" t="s">
        <v>55</v>
      </c>
      <c r="C6151">
        <v>60</v>
      </c>
      <c r="D6151" s="1" t="s">
        <v>217</v>
      </c>
      <c r="E6151" s="1" t="s">
        <v>7</v>
      </c>
      <c r="F6151">
        <v>66</v>
      </c>
      <c r="G6151" s="1" t="str">
        <f>Ocupacao_DW[[#This Row],[data]]&amp;Ocupacao_DW[[#This Row],[profissional_id]]&amp;Ocupacao_DW[[#This Row],[local_id]]</f>
        <v>446486066</v>
      </c>
      <c r="H6151" s="1">
        <f>_xlfn.XLOOKUP(Ocupacao_DW[[#This Row],[Concat]],Vagas!$H:$H,Vagas!$D:$D,"",0)</f>
        <v>0</v>
      </c>
    </row>
    <row r="6152" spans="1:8" x14ac:dyDescent="0.25">
      <c r="A6152" s="2">
        <v>44638</v>
      </c>
      <c r="B6152" s="1" t="s">
        <v>54</v>
      </c>
      <c r="C6152">
        <v>69</v>
      </c>
      <c r="D6152" s="1" t="s">
        <v>238</v>
      </c>
      <c r="E6152" s="1" t="s">
        <v>5</v>
      </c>
      <c r="F6152">
        <v>13</v>
      </c>
      <c r="G6152" s="1" t="str">
        <f>Ocupacao_DW[[#This Row],[data]]&amp;Ocupacao_DW[[#This Row],[profissional_id]]&amp;Ocupacao_DW[[#This Row],[local_id]]</f>
        <v>446386913</v>
      </c>
      <c r="H6152" s="1">
        <f>_xlfn.XLOOKUP(Ocupacao_DW[[#This Row],[Concat]],Vagas!$H:$H,Vagas!$D:$D,"",0)</f>
        <v>0</v>
      </c>
    </row>
    <row r="6153" spans="1:8" x14ac:dyDescent="0.25">
      <c r="A6153" s="2">
        <v>44657</v>
      </c>
      <c r="B6153" s="1" t="s">
        <v>51</v>
      </c>
      <c r="C6153">
        <v>12679</v>
      </c>
      <c r="D6153" s="1" t="s">
        <v>192</v>
      </c>
      <c r="E6153" s="1" t="s">
        <v>5</v>
      </c>
      <c r="F6153">
        <v>11</v>
      </c>
      <c r="G6153" s="1" t="str">
        <f>Ocupacao_DW[[#This Row],[data]]&amp;Ocupacao_DW[[#This Row],[profissional_id]]&amp;Ocupacao_DW[[#This Row],[local_id]]</f>
        <v>446571267911</v>
      </c>
      <c r="H6153" s="1">
        <f>_xlfn.XLOOKUP(Ocupacao_DW[[#This Row],[Concat]],Vagas!$H:$H,Vagas!$D:$D,"",0)</f>
        <v>0</v>
      </c>
    </row>
    <row r="6154" spans="1:8" x14ac:dyDescent="0.25">
      <c r="A6154" s="2">
        <v>44653</v>
      </c>
      <c r="B6154" s="1" t="s">
        <v>62</v>
      </c>
      <c r="C6154">
        <v>4887</v>
      </c>
      <c r="D6154" s="1" t="s">
        <v>168</v>
      </c>
      <c r="E6154" s="1" t="s">
        <v>5</v>
      </c>
      <c r="F6154">
        <v>18</v>
      </c>
      <c r="G6154" s="1" t="str">
        <f>Ocupacao_DW[[#This Row],[data]]&amp;Ocupacao_DW[[#This Row],[profissional_id]]&amp;Ocupacao_DW[[#This Row],[local_id]]</f>
        <v>44653488718</v>
      </c>
      <c r="H6154" s="1">
        <f>_xlfn.XLOOKUP(Ocupacao_DW[[#This Row],[Concat]],Vagas!$H:$H,Vagas!$D:$D,"",0)</f>
        <v>0</v>
      </c>
    </row>
    <row r="6155" spans="1:8" x14ac:dyDescent="0.25">
      <c r="A6155" s="2">
        <v>44643</v>
      </c>
      <c r="B6155" s="1" t="s">
        <v>52</v>
      </c>
      <c r="C6155">
        <v>57</v>
      </c>
      <c r="D6155" s="1" t="s">
        <v>169</v>
      </c>
      <c r="E6155" s="1" t="s">
        <v>6</v>
      </c>
      <c r="F6155">
        <v>4</v>
      </c>
      <c r="G6155" s="1" t="str">
        <f>Ocupacao_DW[[#This Row],[data]]&amp;Ocupacao_DW[[#This Row],[profissional_id]]&amp;Ocupacao_DW[[#This Row],[local_id]]</f>
        <v>44643574</v>
      </c>
      <c r="H6155" s="1">
        <f>_xlfn.XLOOKUP(Ocupacao_DW[[#This Row],[Concat]],Vagas!$H:$H,Vagas!$D:$D,"",0)</f>
        <v>0</v>
      </c>
    </row>
    <row r="6156" spans="1:8" x14ac:dyDescent="0.25">
      <c r="A6156" s="2">
        <v>44636</v>
      </c>
      <c r="B6156" s="1" t="s">
        <v>72</v>
      </c>
      <c r="C6156">
        <v>6046</v>
      </c>
      <c r="D6156" s="1" t="s">
        <v>222</v>
      </c>
      <c r="E6156" s="1" t="s">
        <v>167</v>
      </c>
      <c r="F6156">
        <v>344</v>
      </c>
      <c r="G6156" s="1" t="str">
        <f>Ocupacao_DW[[#This Row],[data]]&amp;Ocupacao_DW[[#This Row],[profissional_id]]&amp;Ocupacao_DW[[#This Row],[local_id]]</f>
        <v>446366046344</v>
      </c>
      <c r="H6156" s="1">
        <f>_xlfn.XLOOKUP(Ocupacao_DW[[#This Row],[Concat]],Vagas!$H:$H,Vagas!$D:$D,"",0)</f>
        <v>0</v>
      </c>
    </row>
    <row r="6157" spans="1:8" x14ac:dyDescent="0.25">
      <c r="A6157" s="2">
        <v>44636</v>
      </c>
      <c r="B6157" s="1" t="s">
        <v>62</v>
      </c>
      <c r="C6157">
        <v>2567</v>
      </c>
      <c r="D6157" s="1" t="s">
        <v>198</v>
      </c>
      <c r="E6157" s="1" t="s">
        <v>5</v>
      </c>
      <c r="F6157">
        <v>349</v>
      </c>
      <c r="G6157" s="1" t="str">
        <f>Ocupacao_DW[[#This Row],[data]]&amp;Ocupacao_DW[[#This Row],[profissional_id]]&amp;Ocupacao_DW[[#This Row],[local_id]]</f>
        <v>446362567349</v>
      </c>
      <c r="H6157" s="1">
        <f>_xlfn.XLOOKUP(Ocupacao_DW[[#This Row],[Concat]],Vagas!$H:$H,Vagas!$D:$D,"",0)</f>
        <v>0</v>
      </c>
    </row>
    <row r="6158" spans="1:8" x14ac:dyDescent="0.25">
      <c r="A6158" s="2">
        <v>44635</v>
      </c>
      <c r="B6158" s="1" t="s">
        <v>55</v>
      </c>
      <c r="C6158">
        <v>14452</v>
      </c>
      <c r="D6158" s="1" t="s">
        <v>266</v>
      </c>
      <c r="E6158" s="1" t="s">
        <v>200</v>
      </c>
      <c r="F6158">
        <v>78</v>
      </c>
      <c r="G6158" s="1" t="str">
        <f>Ocupacao_DW[[#This Row],[data]]&amp;Ocupacao_DW[[#This Row],[profissional_id]]&amp;Ocupacao_DW[[#This Row],[local_id]]</f>
        <v>446351445278</v>
      </c>
      <c r="H6158" s="1">
        <f>_xlfn.XLOOKUP(Ocupacao_DW[[#This Row],[Concat]],Vagas!$H:$H,Vagas!$D:$D,"",0)</f>
        <v>0</v>
      </c>
    </row>
    <row r="6159" spans="1:8" x14ac:dyDescent="0.25">
      <c r="A6159" s="2">
        <v>44641</v>
      </c>
      <c r="B6159" s="1" t="s">
        <v>56</v>
      </c>
      <c r="C6159">
        <v>5927</v>
      </c>
      <c r="D6159" s="1" t="s">
        <v>226</v>
      </c>
      <c r="E6159" s="1" t="s">
        <v>5</v>
      </c>
      <c r="F6159">
        <v>17</v>
      </c>
      <c r="G6159" s="1" t="str">
        <f>Ocupacao_DW[[#This Row],[data]]&amp;Ocupacao_DW[[#This Row],[profissional_id]]&amp;Ocupacao_DW[[#This Row],[local_id]]</f>
        <v>44641592717</v>
      </c>
      <c r="H6159" s="1">
        <f>_xlfn.XLOOKUP(Ocupacao_DW[[#This Row],[Concat]],Vagas!$H:$H,Vagas!$D:$D,"",0)</f>
        <v>0</v>
      </c>
    </row>
    <row r="6160" spans="1:8" x14ac:dyDescent="0.25">
      <c r="A6160" s="2">
        <v>44638</v>
      </c>
      <c r="B6160" s="1" t="s">
        <v>49</v>
      </c>
      <c r="C6160">
        <v>6430</v>
      </c>
      <c r="D6160" s="1" t="s">
        <v>188</v>
      </c>
      <c r="E6160" s="1" t="s">
        <v>4</v>
      </c>
      <c r="F6160">
        <v>42</v>
      </c>
      <c r="G6160" s="1" t="str">
        <f>Ocupacao_DW[[#This Row],[data]]&amp;Ocupacao_DW[[#This Row],[profissional_id]]&amp;Ocupacao_DW[[#This Row],[local_id]]</f>
        <v>44638643042</v>
      </c>
      <c r="H6160" s="1">
        <f>_xlfn.XLOOKUP(Ocupacao_DW[[#This Row],[Concat]],Vagas!$H:$H,Vagas!$D:$D,"",0)</f>
        <v>0</v>
      </c>
    </row>
    <row r="6161" spans="1:8" x14ac:dyDescent="0.25">
      <c r="A6161" s="2">
        <v>44650</v>
      </c>
      <c r="B6161" s="1" t="s">
        <v>55</v>
      </c>
      <c r="C6161">
        <v>73</v>
      </c>
      <c r="D6161" s="1" t="s">
        <v>171</v>
      </c>
      <c r="E6161" s="1" t="s">
        <v>6</v>
      </c>
      <c r="F6161">
        <v>5</v>
      </c>
      <c r="G6161" s="1" t="str">
        <f>Ocupacao_DW[[#This Row],[data]]&amp;Ocupacao_DW[[#This Row],[profissional_id]]&amp;Ocupacao_DW[[#This Row],[local_id]]</f>
        <v>44650735</v>
      </c>
      <c r="H6161" s="1">
        <f>_xlfn.XLOOKUP(Ocupacao_DW[[#This Row],[Concat]],Vagas!$H:$H,Vagas!$D:$D,"",0)</f>
        <v>0</v>
      </c>
    </row>
    <row r="6162" spans="1:8" x14ac:dyDescent="0.25">
      <c r="A6162" s="2">
        <v>44635</v>
      </c>
      <c r="B6162" s="1" t="s">
        <v>47</v>
      </c>
      <c r="C6162">
        <v>12752</v>
      </c>
      <c r="D6162" s="1" t="s">
        <v>253</v>
      </c>
      <c r="E6162" s="1" t="s">
        <v>7</v>
      </c>
      <c r="F6162">
        <v>60</v>
      </c>
      <c r="G6162" s="1" t="str">
        <f>Ocupacao_DW[[#This Row],[data]]&amp;Ocupacao_DW[[#This Row],[profissional_id]]&amp;Ocupacao_DW[[#This Row],[local_id]]</f>
        <v>446351275260</v>
      </c>
      <c r="H6162" s="1">
        <f>_xlfn.XLOOKUP(Ocupacao_DW[[#This Row],[Concat]],Vagas!$H:$H,Vagas!$D:$D,"",0)</f>
        <v>0</v>
      </c>
    </row>
    <row r="6163" spans="1:8" x14ac:dyDescent="0.25">
      <c r="A6163" s="2">
        <v>44638</v>
      </c>
      <c r="B6163" s="1" t="s">
        <v>56</v>
      </c>
      <c r="C6163">
        <v>5927</v>
      </c>
      <c r="D6163" s="1" t="s">
        <v>226</v>
      </c>
      <c r="E6163" s="1" t="s">
        <v>5</v>
      </c>
      <c r="F6163">
        <v>17</v>
      </c>
      <c r="G6163" s="1" t="str">
        <f>Ocupacao_DW[[#This Row],[data]]&amp;Ocupacao_DW[[#This Row],[profissional_id]]&amp;Ocupacao_DW[[#This Row],[local_id]]</f>
        <v>44638592717</v>
      </c>
      <c r="H6163" s="1">
        <f>_xlfn.XLOOKUP(Ocupacao_DW[[#This Row],[Concat]],Vagas!$H:$H,Vagas!$D:$D,"",0)</f>
        <v>0</v>
      </c>
    </row>
    <row r="6164" spans="1:8" x14ac:dyDescent="0.25">
      <c r="A6164" s="2">
        <v>44636</v>
      </c>
      <c r="B6164" s="1" t="s">
        <v>43</v>
      </c>
      <c r="C6164">
        <v>57</v>
      </c>
      <c r="D6164" s="1" t="s">
        <v>169</v>
      </c>
      <c r="E6164" s="1" t="s">
        <v>6</v>
      </c>
      <c r="F6164">
        <v>2</v>
      </c>
      <c r="G6164" s="1" t="str">
        <f>Ocupacao_DW[[#This Row],[data]]&amp;Ocupacao_DW[[#This Row],[profissional_id]]&amp;Ocupacao_DW[[#This Row],[local_id]]</f>
        <v>44636572</v>
      </c>
      <c r="H6164" s="1">
        <f>_xlfn.XLOOKUP(Ocupacao_DW[[#This Row],[Concat]],Vagas!$H:$H,Vagas!$D:$D,"",0)</f>
        <v>2</v>
      </c>
    </row>
    <row r="6165" spans="1:8" x14ac:dyDescent="0.25">
      <c r="A6165" s="2">
        <v>44636</v>
      </c>
      <c r="B6165" s="1" t="s">
        <v>49</v>
      </c>
      <c r="C6165">
        <v>81</v>
      </c>
      <c r="D6165" s="1" t="s">
        <v>170</v>
      </c>
      <c r="E6165" s="1" t="s">
        <v>4</v>
      </c>
      <c r="F6165">
        <v>41</v>
      </c>
      <c r="G6165" s="1" t="str">
        <f>Ocupacao_DW[[#This Row],[data]]&amp;Ocupacao_DW[[#This Row],[profissional_id]]&amp;Ocupacao_DW[[#This Row],[local_id]]</f>
        <v>446368141</v>
      </c>
      <c r="H6165" s="1">
        <f>_xlfn.XLOOKUP(Ocupacao_DW[[#This Row],[Concat]],Vagas!$H:$H,Vagas!$D:$D,"",0)</f>
        <v>0</v>
      </c>
    </row>
    <row r="6166" spans="1:8" x14ac:dyDescent="0.25">
      <c r="A6166" s="2">
        <v>44642</v>
      </c>
      <c r="B6166" s="1" t="s">
        <v>47</v>
      </c>
      <c r="C6166">
        <v>9111</v>
      </c>
      <c r="D6166" s="1" t="s">
        <v>206</v>
      </c>
      <c r="E6166" s="1" t="s">
        <v>4</v>
      </c>
      <c r="F6166">
        <v>335</v>
      </c>
      <c r="G6166" s="1" t="str">
        <f>Ocupacao_DW[[#This Row],[data]]&amp;Ocupacao_DW[[#This Row],[profissional_id]]&amp;Ocupacao_DW[[#This Row],[local_id]]</f>
        <v>446429111335</v>
      </c>
      <c r="H6166" s="1">
        <f>_xlfn.XLOOKUP(Ocupacao_DW[[#This Row],[Concat]],Vagas!$H:$H,Vagas!$D:$D,"",0)</f>
        <v>0</v>
      </c>
    </row>
    <row r="6167" spans="1:8" x14ac:dyDescent="0.25">
      <c r="A6167" s="2">
        <v>44657</v>
      </c>
      <c r="B6167" s="1" t="s">
        <v>55</v>
      </c>
      <c r="C6167">
        <v>73</v>
      </c>
      <c r="D6167" s="1" t="s">
        <v>171</v>
      </c>
      <c r="E6167" s="1" t="s">
        <v>6</v>
      </c>
      <c r="F6167">
        <v>5</v>
      </c>
      <c r="G6167" s="1" t="str">
        <f>Ocupacao_DW[[#This Row],[data]]&amp;Ocupacao_DW[[#This Row],[profissional_id]]&amp;Ocupacao_DW[[#This Row],[local_id]]</f>
        <v>44657735</v>
      </c>
      <c r="H6167" s="1">
        <f>_xlfn.XLOOKUP(Ocupacao_DW[[#This Row],[Concat]],Vagas!$H:$H,Vagas!$D:$D,"",0)</f>
        <v>0</v>
      </c>
    </row>
    <row r="6168" spans="1:8" x14ac:dyDescent="0.25">
      <c r="A6168" s="2">
        <v>44639</v>
      </c>
      <c r="B6168" s="1" t="s">
        <v>47</v>
      </c>
      <c r="C6168">
        <v>111</v>
      </c>
      <c r="D6168" s="1" t="s">
        <v>199</v>
      </c>
      <c r="E6168" s="1" t="s">
        <v>4</v>
      </c>
      <c r="F6168">
        <v>51</v>
      </c>
      <c r="G6168" s="1" t="str">
        <f>Ocupacao_DW[[#This Row],[data]]&amp;Ocupacao_DW[[#This Row],[profissional_id]]&amp;Ocupacao_DW[[#This Row],[local_id]]</f>
        <v>4463911151</v>
      </c>
      <c r="H6168" s="1">
        <f>_xlfn.XLOOKUP(Ocupacao_DW[[#This Row],[Concat]],Vagas!$H:$H,Vagas!$D:$D,"",0)</f>
        <v>0</v>
      </c>
    </row>
    <row r="6169" spans="1:8" x14ac:dyDescent="0.25">
      <c r="A6169" s="2">
        <v>44635</v>
      </c>
      <c r="B6169" s="1" t="s">
        <v>52</v>
      </c>
      <c r="C6169">
        <v>60</v>
      </c>
      <c r="D6169" s="1" t="s">
        <v>217</v>
      </c>
      <c r="E6169" s="1" t="s">
        <v>167</v>
      </c>
      <c r="F6169">
        <v>345</v>
      </c>
      <c r="G6169" s="1" t="str">
        <f>Ocupacao_DW[[#This Row],[data]]&amp;Ocupacao_DW[[#This Row],[profissional_id]]&amp;Ocupacao_DW[[#This Row],[local_id]]</f>
        <v>4463560345</v>
      </c>
      <c r="H6169" s="1">
        <f>_xlfn.XLOOKUP(Ocupacao_DW[[#This Row],[Concat]],Vagas!$H:$H,Vagas!$D:$D,"",0)</f>
        <v>0</v>
      </c>
    </row>
    <row r="6170" spans="1:8" x14ac:dyDescent="0.25">
      <c r="A6170" s="2">
        <v>44643</v>
      </c>
      <c r="B6170" s="1" t="s">
        <v>24</v>
      </c>
      <c r="C6170">
        <v>13061</v>
      </c>
      <c r="D6170" s="1" t="s">
        <v>232</v>
      </c>
      <c r="E6170" s="1" t="s">
        <v>6</v>
      </c>
      <c r="F6170">
        <v>3</v>
      </c>
      <c r="G6170" s="1" t="str">
        <f>Ocupacao_DW[[#This Row],[data]]&amp;Ocupacao_DW[[#This Row],[profissional_id]]&amp;Ocupacao_DW[[#This Row],[local_id]]</f>
        <v>44643130613</v>
      </c>
      <c r="H6170" s="1">
        <f>_xlfn.XLOOKUP(Ocupacao_DW[[#This Row],[Concat]],Vagas!$H:$H,Vagas!$D:$D,"",0)</f>
        <v>0</v>
      </c>
    </row>
    <row r="6171" spans="1:8" x14ac:dyDescent="0.25">
      <c r="A6171" s="2">
        <v>44635</v>
      </c>
      <c r="B6171" s="1" t="s">
        <v>49</v>
      </c>
      <c r="C6171">
        <v>266</v>
      </c>
      <c r="D6171" s="1" t="s">
        <v>201</v>
      </c>
      <c r="E6171" s="1" t="s">
        <v>4</v>
      </c>
      <c r="F6171">
        <v>42</v>
      </c>
      <c r="G6171" s="1" t="str">
        <f>Ocupacao_DW[[#This Row],[data]]&amp;Ocupacao_DW[[#This Row],[profissional_id]]&amp;Ocupacao_DW[[#This Row],[local_id]]</f>
        <v>4463526642</v>
      </c>
      <c r="H6171" s="1">
        <f>_xlfn.XLOOKUP(Ocupacao_DW[[#This Row],[Concat]],Vagas!$H:$H,Vagas!$D:$D,"",0)</f>
        <v>0</v>
      </c>
    </row>
    <row r="6172" spans="1:8" x14ac:dyDescent="0.25">
      <c r="A6172" s="2">
        <v>44646</v>
      </c>
      <c r="B6172" s="1" t="s">
        <v>55</v>
      </c>
      <c r="C6172">
        <v>17879</v>
      </c>
      <c r="D6172" s="1" t="s">
        <v>233</v>
      </c>
      <c r="E6172" s="1" t="s">
        <v>6</v>
      </c>
      <c r="F6172">
        <v>3</v>
      </c>
      <c r="G6172" s="1" t="str">
        <f>Ocupacao_DW[[#This Row],[data]]&amp;Ocupacao_DW[[#This Row],[profissional_id]]&amp;Ocupacao_DW[[#This Row],[local_id]]</f>
        <v>44646178793</v>
      </c>
      <c r="H6172" s="1">
        <f>_xlfn.XLOOKUP(Ocupacao_DW[[#This Row],[Concat]],Vagas!$H:$H,Vagas!$D:$D,"",0)</f>
        <v>0</v>
      </c>
    </row>
    <row r="6173" spans="1:8" x14ac:dyDescent="0.25">
      <c r="A6173" s="2">
        <v>44635</v>
      </c>
      <c r="B6173" s="1" t="s">
        <v>49</v>
      </c>
      <c r="C6173">
        <v>81</v>
      </c>
      <c r="D6173" s="1" t="s">
        <v>170</v>
      </c>
      <c r="E6173" s="1" t="s">
        <v>4</v>
      </c>
      <c r="F6173">
        <v>41</v>
      </c>
      <c r="G6173" s="1" t="str">
        <f>Ocupacao_DW[[#This Row],[data]]&amp;Ocupacao_DW[[#This Row],[profissional_id]]&amp;Ocupacao_DW[[#This Row],[local_id]]</f>
        <v>446358141</v>
      </c>
      <c r="H6173" s="1">
        <f>_xlfn.XLOOKUP(Ocupacao_DW[[#This Row],[Concat]],Vagas!$H:$H,Vagas!$D:$D,"",0)</f>
        <v>0</v>
      </c>
    </row>
    <row r="6174" spans="1:8" x14ac:dyDescent="0.25">
      <c r="A6174" s="2">
        <v>44637</v>
      </c>
      <c r="B6174" s="1" t="s">
        <v>47</v>
      </c>
      <c r="C6174">
        <v>9111</v>
      </c>
      <c r="D6174" s="1" t="s">
        <v>206</v>
      </c>
      <c r="E6174" s="1" t="s">
        <v>4</v>
      </c>
      <c r="F6174">
        <v>334</v>
      </c>
      <c r="G6174" s="1" t="str">
        <f>Ocupacao_DW[[#This Row],[data]]&amp;Ocupacao_DW[[#This Row],[profissional_id]]&amp;Ocupacao_DW[[#This Row],[local_id]]</f>
        <v>446379111334</v>
      </c>
      <c r="H6174" s="1">
        <f>_xlfn.XLOOKUP(Ocupacao_DW[[#This Row],[Concat]],Vagas!$H:$H,Vagas!$D:$D,"",0)</f>
        <v>0</v>
      </c>
    </row>
    <row r="6175" spans="1:8" x14ac:dyDescent="0.25">
      <c r="A6175" s="2">
        <v>44644</v>
      </c>
      <c r="B6175" s="1" t="s">
        <v>49</v>
      </c>
      <c r="C6175">
        <v>81</v>
      </c>
      <c r="D6175" s="1" t="s">
        <v>170</v>
      </c>
      <c r="E6175" s="1" t="s">
        <v>4</v>
      </c>
      <c r="F6175">
        <v>41</v>
      </c>
      <c r="G6175" s="1" t="str">
        <f>Ocupacao_DW[[#This Row],[data]]&amp;Ocupacao_DW[[#This Row],[profissional_id]]&amp;Ocupacao_DW[[#This Row],[local_id]]</f>
        <v>446448141</v>
      </c>
      <c r="H6175" s="1">
        <f>_xlfn.XLOOKUP(Ocupacao_DW[[#This Row],[Concat]],Vagas!$H:$H,Vagas!$D:$D,"",0)</f>
        <v>0</v>
      </c>
    </row>
    <row r="6176" spans="1:8" x14ac:dyDescent="0.25">
      <c r="A6176" s="2">
        <v>44642</v>
      </c>
      <c r="B6176" s="1" t="s">
        <v>47</v>
      </c>
      <c r="C6176">
        <v>12752</v>
      </c>
      <c r="D6176" s="1" t="s">
        <v>253</v>
      </c>
      <c r="E6176" s="1" t="s">
        <v>7</v>
      </c>
      <c r="F6176">
        <v>60</v>
      </c>
      <c r="G6176" s="1" t="str">
        <f>Ocupacao_DW[[#This Row],[data]]&amp;Ocupacao_DW[[#This Row],[profissional_id]]&amp;Ocupacao_DW[[#This Row],[local_id]]</f>
        <v>446421275260</v>
      </c>
      <c r="H6176" s="1">
        <f>_xlfn.XLOOKUP(Ocupacao_DW[[#This Row],[Concat]],Vagas!$H:$H,Vagas!$D:$D,"",0)</f>
        <v>0</v>
      </c>
    </row>
    <row r="6177" spans="1:8" x14ac:dyDescent="0.25">
      <c r="A6177" s="2">
        <v>44641</v>
      </c>
      <c r="B6177" s="1" t="s">
        <v>55</v>
      </c>
      <c r="C6177">
        <v>60</v>
      </c>
      <c r="D6177" s="1" t="s">
        <v>217</v>
      </c>
      <c r="E6177" s="1" t="s">
        <v>167</v>
      </c>
      <c r="F6177">
        <v>345</v>
      </c>
      <c r="G6177" s="1" t="str">
        <f>Ocupacao_DW[[#This Row],[data]]&amp;Ocupacao_DW[[#This Row],[profissional_id]]&amp;Ocupacao_DW[[#This Row],[local_id]]</f>
        <v>4464160345</v>
      </c>
      <c r="H6177" s="1">
        <f>_xlfn.XLOOKUP(Ocupacao_DW[[#This Row],[Concat]],Vagas!$H:$H,Vagas!$D:$D,"",0)</f>
        <v>0</v>
      </c>
    </row>
    <row r="6178" spans="1:8" x14ac:dyDescent="0.25">
      <c r="A6178" s="2">
        <v>44636</v>
      </c>
      <c r="B6178" s="1" t="s">
        <v>47</v>
      </c>
      <c r="C6178">
        <v>111</v>
      </c>
      <c r="D6178" s="1" t="s">
        <v>199</v>
      </c>
      <c r="E6178" s="1" t="s">
        <v>4</v>
      </c>
      <c r="F6178">
        <v>51</v>
      </c>
      <c r="G6178" s="1" t="str">
        <f>Ocupacao_DW[[#This Row],[data]]&amp;Ocupacao_DW[[#This Row],[profissional_id]]&amp;Ocupacao_DW[[#This Row],[local_id]]</f>
        <v>4463611151</v>
      </c>
      <c r="H6178" s="1">
        <f>_xlfn.XLOOKUP(Ocupacao_DW[[#This Row],[Concat]],Vagas!$H:$H,Vagas!$D:$D,"",0)</f>
        <v>1</v>
      </c>
    </row>
    <row r="6179" spans="1:8" x14ac:dyDescent="0.25">
      <c r="A6179" s="2">
        <v>44637</v>
      </c>
      <c r="B6179" s="1" t="s">
        <v>49</v>
      </c>
      <c r="C6179">
        <v>266</v>
      </c>
      <c r="D6179" s="1" t="s">
        <v>201</v>
      </c>
      <c r="E6179" s="1" t="s">
        <v>4</v>
      </c>
      <c r="F6179">
        <v>42</v>
      </c>
      <c r="G6179" s="1" t="str">
        <f>Ocupacao_DW[[#This Row],[data]]&amp;Ocupacao_DW[[#This Row],[profissional_id]]&amp;Ocupacao_DW[[#This Row],[local_id]]</f>
        <v>4463726642</v>
      </c>
      <c r="H6179" s="1">
        <f>_xlfn.XLOOKUP(Ocupacao_DW[[#This Row],[Concat]],Vagas!$H:$H,Vagas!$D:$D,"",0)</f>
        <v>0</v>
      </c>
    </row>
    <row r="6180" spans="1:8" x14ac:dyDescent="0.25">
      <c r="A6180" s="2">
        <v>44635</v>
      </c>
      <c r="B6180" s="1" t="s">
        <v>54</v>
      </c>
      <c r="C6180">
        <v>12623</v>
      </c>
      <c r="D6180" s="1" t="s">
        <v>258</v>
      </c>
      <c r="E6180" s="1" t="s">
        <v>5</v>
      </c>
      <c r="F6180">
        <v>11</v>
      </c>
      <c r="G6180" s="1" t="str">
        <f>Ocupacao_DW[[#This Row],[data]]&amp;Ocupacao_DW[[#This Row],[profissional_id]]&amp;Ocupacao_DW[[#This Row],[local_id]]</f>
        <v>446351262311</v>
      </c>
      <c r="H6180" s="1">
        <f>_xlfn.XLOOKUP(Ocupacao_DW[[#This Row],[Concat]],Vagas!$H:$H,Vagas!$D:$D,"",0)</f>
        <v>0</v>
      </c>
    </row>
    <row r="6181" spans="1:8" x14ac:dyDescent="0.25">
      <c r="A6181" s="2">
        <v>44639</v>
      </c>
      <c r="B6181" s="1"/>
      <c r="C6181">
        <v>0</v>
      </c>
      <c r="D6181" s="1"/>
      <c r="E6181" s="1" t="s">
        <v>4</v>
      </c>
      <c r="F6181">
        <v>40</v>
      </c>
      <c r="G6181" s="1" t="str">
        <f>Ocupacao_DW[[#This Row],[data]]&amp;Ocupacao_DW[[#This Row],[profissional_id]]&amp;Ocupacao_DW[[#This Row],[local_id]]</f>
        <v>44639040</v>
      </c>
      <c r="H6181" s="1" t="str">
        <f>_xlfn.XLOOKUP(Ocupacao_DW[[#This Row],[Concat]],Vagas!$H:$H,Vagas!$D:$D,"",0)</f>
        <v/>
      </c>
    </row>
    <row r="6182" spans="1:8" x14ac:dyDescent="0.25">
      <c r="A6182" s="2">
        <v>44650</v>
      </c>
      <c r="B6182" s="1" t="s">
        <v>65</v>
      </c>
      <c r="C6182">
        <v>13058</v>
      </c>
      <c r="D6182" s="1" t="s">
        <v>256</v>
      </c>
      <c r="E6182" s="1" t="s">
        <v>4</v>
      </c>
      <c r="F6182">
        <v>47</v>
      </c>
      <c r="G6182" s="1" t="str">
        <f>Ocupacao_DW[[#This Row],[data]]&amp;Ocupacao_DW[[#This Row],[profissional_id]]&amp;Ocupacao_DW[[#This Row],[local_id]]</f>
        <v>446501305847</v>
      </c>
      <c r="H6182" s="1">
        <f>_xlfn.XLOOKUP(Ocupacao_DW[[#This Row],[Concat]],Vagas!$H:$H,Vagas!$D:$D,"",0)</f>
        <v>0</v>
      </c>
    </row>
    <row r="6183" spans="1:8" x14ac:dyDescent="0.25">
      <c r="A6183" s="2">
        <v>44636</v>
      </c>
      <c r="B6183" s="1" t="s">
        <v>52</v>
      </c>
      <c r="C6183">
        <v>10946</v>
      </c>
      <c r="D6183" s="1" t="s">
        <v>209</v>
      </c>
      <c r="E6183" s="1" t="s">
        <v>7</v>
      </c>
      <c r="F6183">
        <v>60</v>
      </c>
      <c r="G6183" s="1" t="str">
        <f>Ocupacao_DW[[#This Row],[data]]&amp;Ocupacao_DW[[#This Row],[profissional_id]]&amp;Ocupacao_DW[[#This Row],[local_id]]</f>
        <v>446361094660</v>
      </c>
      <c r="H6183" s="1">
        <f>_xlfn.XLOOKUP(Ocupacao_DW[[#This Row],[Concat]],Vagas!$H:$H,Vagas!$D:$D,"",0)</f>
        <v>0</v>
      </c>
    </row>
    <row r="6184" spans="1:8" x14ac:dyDescent="0.25">
      <c r="A6184" s="2">
        <v>44637</v>
      </c>
      <c r="B6184" s="1" t="s">
        <v>71</v>
      </c>
      <c r="C6184">
        <v>76</v>
      </c>
      <c r="D6184" s="1" t="s">
        <v>227</v>
      </c>
      <c r="E6184" s="1" t="s">
        <v>4</v>
      </c>
      <c r="F6184">
        <v>48</v>
      </c>
      <c r="G6184" s="1" t="str">
        <f>Ocupacao_DW[[#This Row],[data]]&amp;Ocupacao_DW[[#This Row],[profissional_id]]&amp;Ocupacao_DW[[#This Row],[local_id]]</f>
        <v>446377648</v>
      </c>
      <c r="H6184" s="1">
        <f>_xlfn.XLOOKUP(Ocupacao_DW[[#This Row],[Concat]],Vagas!$H:$H,Vagas!$D:$D,"",0)</f>
        <v>0</v>
      </c>
    </row>
    <row r="6185" spans="1:8" x14ac:dyDescent="0.25">
      <c r="A6185" s="2">
        <v>44637</v>
      </c>
      <c r="B6185" s="1" t="s">
        <v>47</v>
      </c>
      <c r="C6185">
        <v>9111</v>
      </c>
      <c r="D6185" s="1" t="s">
        <v>206</v>
      </c>
      <c r="E6185" s="1" t="s">
        <v>4</v>
      </c>
      <c r="F6185">
        <v>334</v>
      </c>
      <c r="G6185" s="1" t="str">
        <f>Ocupacao_DW[[#This Row],[data]]&amp;Ocupacao_DW[[#This Row],[profissional_id]]&amp;Ocupacao_DW[[#This Row],[local_id]]</f>
        <v>446379111334</v>
      </c>
      <c r="H6185" s="1">
        <f>_xlfn.XLOOKUP(Ocupacao_DW[[#This Row],[Concat]],Vagas!$H:$H,Vagas!$D:$D,"",0)</f>
        <v>0</v>
      </c>
    </row>
    <row r="6186" spans="1:8" x14ac:dyDescent="0.25">
      <c r="A6186" s="2">
        <v>44638</v>
      </c>
      <c r="B6186" s="1"/>
      <c r="C6186">
        <v>17864</v>
      </c>
      <c r="D6186" s="1" t="s">
        <v>234</v>
      </c>
      <c r="E6186" s="1" t="s">
        <v>7</v>
      </c>
      <c r="F6186">
        <v>60</v>
      </c>
      <c r="G6186" s="1" t="str">
        <f>Ocupacao_DW[[#This Row],[data]]&amp;Ocupacao_DW[[#This Row],[profissional_id]]&amp;Ocupacao_DW[[#This Row],[local_id]]</f>
        <v>446381786460</v>
      </c>
      <c r="H6186" s="1">
        <f>_xlfn.XLOOKUP(Ocupacao_DW[[#This Row],[Concat]],Vagas!$H:$H,Vagas!$D:$D,"",0)</f>
        <v>0</v>
      </c>
    </row>
    <row r="6187" spans="1:8" x14ac:dyDescent="0.25">
      <c r="A6187" s="2">
        <v>44643</v>
      </c>
      <c r="B6187" s="1" t="s">
        <v>70</v>
      </c>
      <c r="C6187">
        <v>12825</v>
      </c>
      <c r="D6187" s="1" t="s">
        <v>177</v>
      </c>
      <c r="E6187" s="1" t="s">
        <v>4</v>
      </c>
      <c r="F6187">
        <v>45</v>
      </c>
      <c r="G6187" s="1" t="str">
        <f>Ocupacao_DW[[#This Row],[data]]&amp;Ocupacao_DW[[#This Row],[profissional_id]]&amp;Ocupacao_DW[[#This Row],[local_id]]</f>
        <v>446431282545</v>
      </c>
      <c r="H6187" s="1">
        <f>_xlfn.XLOOKUP(Ocupacao_DW[[#This Row],[Concat]],Vagas!$H:$H,Vagas!$D:$D,"",0)</f>
        <v>0</v>
      </c>
    </row>
    <row r="6188" spans="1:8" x14ac:dyDescent="0.25">
      <c r="A6188" s="2">
        <v>44638</v>
      </c>
      <c r="B6188" s="1" t="s">
        <v>52</v>
      </c>
      <c r="C6188">
        <v>55</v>
      </c>
      <c r="D6188" s="1" t="s">
        <v>244</v>
      </c>
      <c r="E6188" s="1" t="s">
        <v>7</v>
      </c>
      <c r="F6188">
        <v>68</v>
      </c>
      <c r="G6188" s="1" t="str">
        <f>Ocupacao_DW[[#This Row],[data]]&amp;Ocupacao_DW[[#This Row],[profissional_id]]&amp;Ocupacao_DW[[#This Row],[local_id]]</f>
        <v>446385568</v>
      </c>
      <c r="H6188" s="1">
        <f>_xlfn.XLOOKUP(Ocupacao_DW[[#This Row],[Concat]],Vagas!$H:$H,Vagas!$D:$D,"",0)</f>
        <v>0</v>
      </c>
    </row>
    <row r="6189" spans="1:8" x14ac:dyDescent="0.25">
      <c r="A6189" s="2">
        <v>44636</v>
      </c>
      <c r="B6189" s="1" t="s">
        <v>52</v>
      </c>
      <c r="C6189">
        <v>10691</v>
      </c>
      <c r="D6189" s="1" t="s">
        <v>181</v>
      </c>
      <c r="E6189" s="1" t="s">
        <v>6</v>
      </c>
      <c r="F6189">
        <v>9</v>
      </c>
      <c r="G6189" s="1" t="str">
        <f>Ocupacao_DW[[#This Row],[data]]&amp;Ocupacao_DW[[#This Row],[profissional_id]]&amp;Ocupacao_DW[[#This Row],[local_id]]</f>
        <v>44636106919</v>
      </c>
      <c r="H6189" s="1">
        <f>_xlfn.XLOOKUP(Ocupacao_DW[[#This Row],[Concat]],Vagas!$H:$H,Vagas!$D:$D,"",0)</f>
        <v>0</v>
      </c>
    </row>
    <row r="6190" spans="1:8" x14ac:dyDescent="0.25">
      <c r="A6190" s="2">
        <v>44635</v>
      </c>
      <c r="B6190" s="1" t="s">
        <v>55</v>
      </c>
      <c r="C6190">
        <v>14452</v>
      </c>
      <c r="D6190" s="1" t="s">
        <v>266</v>
      </c>
      <c r="E6190" s="1" t="s">
        <v>200</v>
      </c>
      <c r="F6190">
        <v>78</v>
      </c>
      <c r="G6190" s="1" t="str">
        <f>Ocupacao_DW[[#This Row],[data]]&amp;Ocupacao_DW[[#This Row],[profissional_id]]&amp;Ocupacao_DW[[#This Row],[local_id]]</f>
        <v>446351445278</v>
      </c>
      <c r="H6190" s="1">
        <f>_xlfn.XLOOKUP(Ocupacao_DW[[#This Row],[Concat]],Vagas!$H:$H,Vagas!$D:$D,"",0)</f>
        <v>0</v>
      </c>
    </row>
    <row r="6191" spans="1:8" x14ac:dyDescent="0.25">
      <c r="A6191" s="2">
        <v>44644</v>
      </c>
      <c r="B6191" s="1" t="s">
        <v>81</v>
      </c>
      <c r="C6191">
        <v>11312</v>
      </c>
      <c r="D6191" s="1" t="s">
        <v>207</v>
      </c>
      <c r="E6191" s="1" t="s">
        <v>167</v>
      </c>
      <c r="F6191">
        <v>340</v>
      </c>
      <c r="G6191" s="1" t="str">
        <f>Ocupacao_DW[[#This Row],[data]]&amp;Ocupacao_DW[[#This Row],[profissional_id]]&amp;Ocupacao_DW[[#This Row],[local_id]]</f>
        <v>4464411312340</v>
      </c>
      <c r="H6191" s="1">
        <f>_xlfn.XLOOKUP(Ocupacao_DW[[#This Row],[Concat]],Vagas!$H:$H,Vagas!$D:$D,"",0)</f>
        <v>0</v>
      </c>
    </row>
    <row r="6192" spans="1:8" x14ac:dyDescent="0.25">
      <c r="A6192" s="2">
        <v>44648</v>
      </c>
      <c r="B6192" s="1" t="s">
        <v>55</v>
      </c>
      <c r="C6192">
        <v>6392</v>
      </c>
      <c r="D6192" s="1" t="s">
        <v>173</v>
      </c>
      <c r="E6192" s="1" t="s">
        <v>6</v>
      </c>
      <c r="F6192">
        <v>5</v>
      </c>
      <c r="G6192" s="1" t="str">
        <f>Ocupacao_DW[[#This Row],[data]]&amp;Ocupacao_DW[[#This Row],[profissional_id]]&amp;Ocupacao_DW[[#This Row],[local_id]]</f>
        <v>4464863925</v>
      </c>
      <c r="H6192" s="1">
        <f>_xlfn.XLOOKUP(Ocupacao_DW[[#This Row],[Concat]],Vagas!$H:$H,Vagas!$D:$D,"",0)</f>
        <v>0</v>
      </c>
    </row>
    <row r="6193" spans="1:8" x14ac:dyDescent="0.25">
      <c r="A6193" s="2">
        <v>44648</v>
      </c>
      <c r="B6193" s="1" t="s">
        <v>49</v>
      </c>
      <c r="C6193">
        <v>3092</v>
      </c>
      <c r="D6193" s="1" t="s">
        <v>262</v>
      </c>
      <c r="E6193" s="1" t="s">
        <v>4</v>
      </c>
      <c r="F6193">
        <v>43</v>
      </c>
      <c r="G6193" s="1" t="str">
        <f>Ocupacao_DW[[#This Row],[data]]&amp;Ocupacao_DW[[#This Row],[profissional_id]]&amp;Ocupacao_DW[[#This Row],[local_id]]</f>
        <v>44648309243</v>
      </c>
      <c r="H6193" s="1">
        <f>_xlfn.XLOOKUP(Ocupacao_DW[[#This Row],[Concat]],Vagas!$H:$H,Vagas!$D:$D,"",0)</f>
        <v>0</v>
      </c>
    </row>
    <row r="6194" spans="1:8" x14ac:dyDescent="0.25">
      <c r="A6194" s="2">
        <v>44636</v>
      </c>
      <c r="B6194" s="1" t="s">
        <v>43</v>
      </c>
      <c r="C6194">
        <v>57</v>
      </c>
      <c r="D6194" s="1" t="s">
        <v>169</v>
      </c>
      <c r="E6194" s="1" t="s">
        <v>6</v>
      </c>
      <c r="F6194">
        <v>2</v>
      </c>
      <c r="G6194" s="1" t="str">
        <f>Ocupacao_DW[[#This Row],[data]]&amp;Ocupacao_DW[[#This Row],[profissional_id]]&amp;Ocupacao_DW[[#This Row],[local_id]]</f>
        <v>44636572</v>
      </c>
      <c r="H6194" s="1">
        <f>_xlfn.XLOOKUP(Ocupacao_DW[[#This Row],[Concat]],Vagas!$H:$H,Vagas!$D:$D,"",0)</f>
        <v>2</v>
      </c>
    </row>
    <row r="6195" spans="1:8" x14ac:dyDescent="0.25">
      <c r="A6195" s="2">
        <v>44635</v>
      </c>
      <c r="B6195" s="1" t="s">
        <v>49</v>
      </c>
      <c r="C6195">
        <v>266</v>
      </c>
      <c r="D6195" s="1" t="s">
        <v>201</v>
      </c>
      <c r="E6195" s="1" t="s">
        <v>4</v>
      </c>
      <c r="F6195">
        <v>42</v>
      </c>
      <c r="G6195" s="1" t="str">
        <f>Ocupacao_DW[[#This Row],[data]]&amp;Ocupacao_DW[[#This Row],[profissional_id]]&amp;Ocupacao_DW[[#This Row],[local_id]]</f>
        <v>4463526642</v>
      </c>
      <c r="H6195" s="1">
        <f>_xlfn.XLOOKUP(Ocupacao_DW[[#This Row],[Concat]],Vagas!$H:$H,Vagas!$D:$D,"",0)</f>
        <v>0</v>
      </c>
    </row>
    <row r="6196" spans="1:8" x14ac:dyDescent="0.25">
      <c r="A6196" s="2">
        <v>44638</v>
      </c>
      <c r="B6196" s="1" t="s">
        <v>54</v>
      </c>
      <c r="C6196">
        <v>69</v>
      </c>
      <c r="D6196" s="1" t="s">
        <v>238</v>
      </c>
      <c r="E6196" s="1" t="s">
        <v>5</v>
      </c>
      <c r="F6196">
        <v>13</v>
      </c>
      <c r="G6196" s="1" t="str">
        <f>Ocupacao_DW[[#This Row],[data]]&amp;Ocupacao_DW[[#This Row],[profissional_id]]&amp;Ocupacao_DW[[#This Row],[local_id]]</f>
        <v>446386913</v>
      </c>
      <c r="H6196" s="1">
        <f>_xlfn.XLOOKUP(Ocupacao_DW[[#This Row],[Concat]],Vagas!$H:$H,Vagas!$D:$D,"",0)</f>
        <v>0</v>
      </c>
    </row>
    <row r="6197" spans="1:8" x14ac:dyDescent="0.25">
      <c r="A6197" s="2">
        <v>44651</v>
      </c>
      <c r="B6197" s="1" t="s">
        <v>55</v>
      </c>
      <c r="C6197">
        <v>74</v>
      </c>
      <c r="D6197" s="1" t="s">
        <v>182</v>
      </c>
      <c r="E6197" s="1" t="s">
        <v>6</v>
      </c>
      <c r="F6197">
        <v>7</v>
      </c>
      <c r="G6197" s="1" t="str">
        <f>Ocupacao_DW[[#This Row],[data]]&amp;Ocupacao_DW[[#This Row],[profissional_id]]&amp;Ocupacao_DW[[#This Row],[local_id]]</f>
        <v>44651747</v>
      </c>
      <c r="H6197" s="1">
        <f>_xlfn.XLOOKUP(Ocupacao_DW[[#This Row],[Concat]],Vagas!$H:$H,Vagas!$D:$D,"",0)</f>
        <v>0</v>
      </c>
    </row>
    <row r="6198" spans="1:8" x14ac:dyDescent="0.25">
      <c r="A6198" s="2">
        <v>44642</v>
      </c>
      <c r="B6198" s="1" t="s">
        <v>47</v>
      </c>
      <c r="C6198">
        <v>9111</v>
      </c>
      <c r="D6198" s="1" t="s">
        <v>206</v>
      </c>
      <c r="E6198" s="1" t="s">
        <v>4</v>
      </c>
      <c r="F6198">
        <v>335</v>
      </c>
      <c r="G6198" s="1" t="str">
        <f>Ocupacao_DW[[#This Row],[data]]&amp;Ocupacao_DW[[#This Row],[profissional_id]]&amp;Ocupacao_DW[[#This Row],[local_id]]</f>
        <v>446429111335</v>
      </c>
      <c r="H6198" s="1">
        <f>_xlfn.XLOOKUP(Ocupacao_DW[[#This Row],[Concat]],Vagas!$H:$H,Vagas!$D:$D,"",0)</f>
        <v>0</v>
      </c>
    </row>
    <row r="6199" spans="1:8" x14ac:dyDescent="0.25">
      <c r="A6199" s="2">
        <v>44648</v>
      </c>
      <c r="B6199" s="1" t="s">
        <v>55</v>
      </c>
      <c r="C6199">
        <v>60</v>
      </c>
      <c r="D6199" s="1" t="s">
        <v>217</v>
      </c>
      <c r="E6199" s="1" t="s">
        <v>7</v>
      </c>
      <c r="F6199">
        <v>66</v>
      </c>
      <c r="G6199" s="1" t="str">
        <f>Ocupacao_DW[[#This Row],[data]]&amp;Ocupacao_DW[[#This Row],[profissional_id]]&amp;Ocupacao_DW[[#This Row],[local_id]]</f>
        <v>446486066</v>
      </c>
      <c r="H6199" s="1">
        <f>_xlfn.XLOOKUP(Ocupacao_DW[[#This Row],[Concat]],Vagas!$H:$H,Vagas!$D:$D,"",0)</f>
        <v>0</v>
      </c>
    </row>
    <row r="6200" spans="1:8" x14ac:dyDescent="0.25">
      <c r="A6200" s="2">
        <v>44648</v>
      </c>
      <c r="B6200" s="1" t="s">
        <v>60</v>
      </c>
      <c r="C6200">
        <v>117</v>
      </c>
      <c r="D6200" s="1" t="s">
        <v>180</v>
      </c>
      <c r="E6200" s="1" t="s">
        <v>4</v>
      </c>
      <c r="F6200">
        <v>48</v>
      </c>
      <c r="G6200" s="1" t="str">
        <f>Ocupacao_DW[[#This Row],[data]]&amp;Ocupacao_DW[[#This Row],[profissional_id]]&amp;Ocupacao_DW[[#This Row],[local_id]]</f>
        <v>4464811748</v>
      </c>
      <c r="H6200" s="1">
        <f>_xlfn.XLOOKUP(Ocupacao_DW[[#This Row],[Concat]],Vagas!$H:$H,Vagas!$D:$D,"",0)</f>
        <v>0</v>
      </c>
    </row>
    <row r="6201" spans="1:8" x14ac:dyDescent="0.25">
      <c r="A6201" s="2">
        <v>44643</v>
      </c>
      <c r="B6201" s="1" t="s">
        <v>54</v>
      </c>
      <c r="C6201">
        <v>70</v>
      </c>
      <c r="D6201" s="1" t="s">
        <v>187</v>
      </c>
      <c r="E6201" s="1" t="s">
        <v>5</v>
      </c>
      <c r="F6201">
        <v>13</v>
      </c>
      <c r="G6201" s="1" t="str">
        <f>Ocupacao_DW[[#This Row],[data]]&amp;Ocupacao_DW[[#This Row],[profissional_id]]&amp;Ocupacao_DW[[#This Row],[local_id]]</f>
        <v>446437013</v>
      </c>
      <c r="H6201" s="1">
        <f>_xlfn.XLOOKUP(Ocupacao_DW[[#This Row],[Concat]],Vagas!$H:$H,Vagas!$D:$D,"",0)</f>
        <v>0</v>
      </c>
    </row>
    <row r="6202" spans="1:8" x14ac:dyDescent="0.25">
      <c r="A6202" s="2">
        <v>44637</v>
      </c>
      <c r="B6202" s="1" t="s">
        <v>73</v>
      </c>
      <c r="C6202">
        <v>10691</v>
      </c>
      <c r="D6202" s="1" t="s">
        <v>181</v>
      </c>
      <c r="E6202" s="1" t="s">
        <v>167</v>
      </c>
      <c r="F6202">
        <v>348</v>
      </c>
      <c r="G6202" s="1" t="str">
        <f>Ocupacao_DW[[#This Row],[data]]&amp;Ocupacao_DW[[#This Row],[profissional_id]]&amp;Ocupacao_DW[[#This Row],[local_id]]</f>
        <v>4463710691348</v>
      </c>
      <c r="H6202" s="1">
        <f>_xlfn.XLOOKUP(Ocupacao_DW[[#This Row],[Concat]],Vagas!$H:$H,Vagas!$D:$D,"",0)</f>
        <v>0</v>
      </c>
    </row>
    <row r="6203" spans="1:8" x14ac:dyDescent="0.25">
      <c r="A6203" s="2">
        <v>44637</v>
      </c>
      <c r="B6203" s="1" t="s">
        <v>66</v>
      </c>
      <c r="C6203">
        <v>100</v>
      </c>
      <c r="D6203" s="1" t="s">
        <v>166</v>
      </c>
      <c r="E6203" s="1" t="s">
        <v>167</v>
      </c>
      <c r="F6203">
        <v>342</v>
      </c>
      <c r="G6203" s="1" t="str">
        <f>Ocupacao_DW[[#This Row],[data]]&amp;Ocupacao_DW[[#This Row],[profissional_id]]&amp;Ocupacao_DW[[#This Row],[local_id]]</f>
        <v>44637100342</v>
      </c>
      <c r="H6203" s="1">
        <f>_xlfn.XLOOKUP(Ocupacao_DW[[#This Row],[Concat]],Vagas!$H:$H,Vagas!$D:$D,"",0)</f>
        <v>0</v>
      </c>
    </row>
    <row r="6204" spans="1:8" x14ac:dyDescent="0.25">
      <c r="A6204" s="2">
        <v>44636</v>
      </c>
      <c r="B6204" s="1" t="s">
        <v>56</v>
      </c>
      <c r="C6204">
        <v>13660</v>
      </c>
      <c r="D6204" s="1" t="s">
        <v>250</v>
      </c>
      <c r="E6204" s="1" t="s">
        <v>200</v>
      </c>
      <c r="F6204">
        <v>78</v>
      </c>
      <c r="G6204" s="1" t="str">
        <f>Ocupacao_DW[[#This Row],[data]]&amp;Ocupacao_DW[[#This Row],[profissional_id]]&amp;Ocupacao_DW[[#This Row],[local_id]]</f>
        <v>446361366078</v>
      </c>
      <c r="H6204" s="1">
        <f>_xlfn.XLOOKUP(Ocupacao_DW[[#This Row],[Concat]],Vagas!$H:$H,Vagas!$D:$D,"",0)</f>
        <v>3</v>
      </c>
    </row>
    <row r="6205" spans="1:8" x14ac:dyDescent="0.25">
      <c r="A6205" s="2">
        <v>44637</v>
      </c>
      <c r="B6205" s="1" t="s">
        <v>51</v>
      </c>
      <c r="C6205">
        <v>12582</v>
      </c>
      <c r="D6205" s="1" t="s">
        <v>190</v>
      </c>
      <c r="E6205" s="1" t="s">
        <v>5</v>
      </c>
      <c r="F6205">
        <v>15</v>
      </c>
      <c r="G6205" s="1" t="str">
        <f>Ocupacao_DW[[#This Row],[data]]&amp;Ocupacao_DW[[#This Row],[profissional_id]]&amp;Ocupacao_DW[[#This Row],[local_id]]</f>
        <v>446371258215</v>
      </c>
      <c r="H6205" s="1">
        <f>_xlfn.XLOOKUP(Ocupacao_DW[[#This Row],[Concat]],Vagas!$H:$H,Vagas!$D:$D,"",0)</f>
        <v>0</v>
      </c>
    </row>
    <row r="6206" spans="1:8" x14ac:dyDescent="0.25">
      <c r="A6206" s="2">
        <v>44638</v>
      </c>
      <c r="B6206" s="1" t="s">
        <v>49</v>
      </c>
      <c r="C6206">
        <v>12142</v>
      </c>
      <c r="D6206" s="1" t="s">
        <v>219</v>
      </c>
      <c r="E6206" s="1" t="s">
        <v>4</v>
      </c>
      <c r="F6206">
        <v>44</v>
      </c>
      <c r="G6206" s="1" t="str">
        <f>Ocupacao_DW[[#This Row],[data]]&amp;Ocupacao_DW[[#This Row],[profissional_id]]&amp;Ocupacao_DW[[#This Row],[local_id]]</f>
        <v>446381214244</v>
      </c>
      <c r="H6206" s="1">
        <f>_xlfn.XLOOKUP(Ocupacao_DW[[#This Row],[Concat]],Vagas!$H:$H,Vagas!$D:$D,"",0)</f>
        <v>0</v>
      </c>
    </row>
    <row r="6207" spans="1:8" x14ac:dyDescent="0.25">
      <c r="A6207" s="2">
        <v>44643</v>
      </c>
      <c r="B6207" s="1" t="s">
        <v>49</v>
      </c>
      <c r="C6207">
        <v>6430</v>
      </c>
      <c r="D6207" s="1" t="s">
        <v>188</v>
      </c>
      <c r="E6207" s="1" t="s">
        <v>4</v>
      </c>
      <c r="F6207">
        <v>42</v>
      </c>
      <c r="G6207" s="1" t="str">
        <f>Ocupacao_DW[[#This Row],[data]]&amp;Ocupacao_DW[[#This Row],[profissional_id]]&amp;Ocupacao_DW[[#This Row],[local_id]]</f>
        <v>44643643042</v>
      </c>
      <c r="H6207" s="1">
        <f>_xlfn.XLOOKUP(Ocupacao_DW[[#This Row],[Concat]],Vagas!$H:$H,Vagas!$D:$D,"",0)</f>
        <v>0</v>
      </c>
    </row>
    <row r="6208" spans="1:8" x14ac:dyDescent="0.25">
      <c r="A6208" s="2">
        <v>44642</v>
      </c>
      <c r="B6208" s="1" t="s">
        <v>52</v>
      </c>
      <c r="C6208">
        <v>60</v>
      </c>
      <c r="D6208" s="1" t="s">
        <v>217</v>
      </c>
      <c r="E6208" s="1" t="s">
        <v>167</v>
      </c>
      <c r="F6208">
        <v>345</v>
      </c>
      <c r="G6208" s="1" t="str">
        <f>Ocupacao_DW[[#This Row],[data]]&amp;Ocupacao_DW[[#This Row],[profissional_id]]&amp;Ocupacao_DW[[#This Row],[local_id]]</f>
        <v>4464260345</v>
      </c>
      <c r="H6208" s="1">
        <f>_xlfn.XLOOKUP(Ocupacao_DW[[#This Row],[Concat]],Vagas!$H:$H,Vagas!$D:$D,"",0)</f>
        <v>0</v>
      </c>
    </row>
    <row r="6209" spans="1:8" x14ac:dyDescent="0.25">
      <c r="A6209" s="2">
        <v>44651</v>
      </c>
      <c r="B6209" s="1" t="s">
        <v>55</v>
      </c>
      <c r="C6209">
        <v>12426</v>
      </c>
      <c r="D6209" s="1" t="s">
        <v>215</v>
      </c>
      <c r="E6209" s="1" t="s">
        <v>6</v>
      </c>
      <c r="F6209">
        <v>5</v>
      </c>
      <c r="G6209" s="1" t="str">
        <f>Ocupacao_DW[[#This Row],[data]]&amp;Ocupacao_DW[[#This Row],[profissional_id]]&amp;Ocupacao_DW[[#This Row],[local_id]]</f>
        <v>44651124265</v>
      </c>
      <c r="H6209" s="1">
        <f>_xlfn.XLOOKUP(Ocupacao_DW[[#This Row],[Concat]],Vagas!$H:$H,Vagas!$D:$D,"",0)</f>
        <v>0</v>
      </c>
    </row>
    <row r="6210" spans="1:8" x14ac:dyDescent="0.25">
      <c r="A6210" s="2">
        <v>44636</v>
      </c>
      <c r="B6210" s="1" t="s">
        <v>65</v>
      </c>
      <c r="C6210">
        <v>13058</v>
      </c>
      <c r="D6210" s="1" t="s">
        <v>256</v>
      </c>
      <c r="E6210" s="1" t="s">
        <v>4</v>
      </c>
      <c r="F6210">
        <v>47</v>
      </c>
      <c r="G6210" s="1" t="str">
        <f>Ocupacao_DW[[#This Row],[data]]&amp;Ocupacao_DW[[#This Row],[profissional_id]]&amp;Ocupacao_DW[[#This Row],[local_id]]</f>
        <v>446361305847</v>
      </c>
      <c r="H6210" s="1">
        <f>_xlfn.XLOOKUP(Ocupacao_DW[[#This Row],[Concat]],Vagas!$H:$H,Vagas!$D:$D,"",0)</f>
        <v>0</v>
      </c>
    </row>
    <row r="6211" spans="1:8" x14ac:dyDescent="0.25">
      <c r="A6211" s="2">
        <v>44643</v>
      </c>
      <c r="B6211" s="1" t="s">
        <v>47</v>
      </c>
      <c r="C6211">
        <v>110</v>
      </c>
      <c r="D6211" s="1" t="s">
        <v>193</v>
      </c>
      <c r="E6211" s="1" t="s">
        <v>4</v>
      </c>
      <c r="F6211">
        <v>334</v>
      </c>
      <c r="G6211" s="1" t="str">
        <f>Ocupacao_DW[[#This Row],[data]]&amp;Ocupacao_DW[[#This Row],[profissional_id]]&amp;Ocupacao_DW[[#This Row],[local_id]]</f>
        <v>44643110334</v>
      </c>
      <c r="H6211" s="1">
        <f>_xlfn.XLOOKUP(Ocupacao_DW[[#This Row],[Concat]],Vagas!$H:$H,Vagas!$D:$D,"",0)</f>
        <v>0</v>
      </c>
    </row>
    <row r="6212" spans="1:8" x14ac:dyDescent="0.25">
      <c r="A6212" s="2">
        <v>44643</v>
      </c>
      <c r="B6212" s="1" t="s">
        <v>70</v>
      </c>
      <c r="C6212">
        <v>12825</v>
      </c>
      <c r="D6212" s="1" t="s">
        <v>177</v>
      </c>
      <c r="E6212" s="1" t="s">
        <v>4</v>
      </c>
      <c r="F6212">
        <v>45</v>
      </c>
      <c r="G6212" s="1" t="str">
        <f>Ocupacao_DW[[#This Row],[data]]&amp;Ocupacao_DW[[#This Row],[profissional_id]]&amp;Ocupacao_DW[[#This Row],[local_id]]</f>
        <v>446431282545</v>
      </c>
      <c r="H6212" s="1">
        <f>_xlfn.XLOOKUP(Ocupacao_DW[[#This Row],[Concat]],Vagas!$H:$H,Vagas!$D:$D,"",0)</f>
        <v>0</v>
      </c>
    </row>
    <row r="6213" spans="1:8" x14ac:dyDescent="0.25">
      <c r="A6213" s="2">
        <v>44642</v>
      </c>
      <c r="B6213" s="1" t="s">
        <v>68</v>
      </c>
      <c r="C6213">
        <v>8239</v>
      </c>
      <c r="D6213" s="1" t="s">
        <v>257</v>
      </c>
      <c r="E6213" s="1" t="s">
        <v>5</v>
      </c>
      <c r="F6213">
        <v>14</v>
      </c>
      <c r="G6213" s="1" t="str">
        <f>Ocupacao_DW[[#This Row],[data]]&amp;Ocupacao_DW[[#This Row],[profissional_id]]&amp;Ocupacao_DW[[#This Row],[local_id]]</f>
        <v>44642823914</v>
      </c>
      <c r="H6213" s="1">
        <f>_xlfn.XLOOKUP(Ocupacao_DW[[#This Row],[Concat]],Vagas!$H:$H,Vagas!$D:$D,"",0)</f>
        <v>0</v>
      </c>
    </row>
    <row r="6214" spans="1:8" x14ac:dyDescent="0.25">
      <c r="A6214" s="2">
        <v>44638</v>
      </c>
      <c r="B6214" s="1" t="s">
        <v>49</v>
      </c>
      <c r="C6214">
        <v>81</v>
      </c>
      <c r="D6214" s="1" t="s">
        <v>170</v>
      </c>
      <c r="E6214" s="1" t="s">
        <v>4</v>
      </c>
      <c r="F6214">
        <v>41</v>
      </c>
      <c r="G6214" s="1" t="str">
        <f>Ocupacao_DW[[#This Row],[data]]&amp;Ocupacao_DW[[#This Row],[profissional_id]]&amp;Ocupacao_DW[[#This Row],[local_id]]</f>
        <v>446388141</v>
      </c>
      <c r="H6214" s="1">
        <f>_xlfn.XLOOKUP(Ocupacao_DW[[#This Row],[Concat]],Vagas!$H:$H,Vagas!$D:$D,"",0)</f>
        <v>0</v>
      </c>
    </row>
    <row r="6215" spans="1:8" x14ac:dyDescent="0.25">
      <c r="A6215" s="2">
        <v>44637</v>
      </c>
      <c r="B6215" s="1" t="s">
        <v>57</v>
      </c>
      <c r="C6215">
        <v>80</v>
      </c>
      <c r="D6215" s="1" t="s">
        <v>179</v>
      </c>
      <c r="E6215" s="1" t="s">
        <v>167</v>
      </c>
      <c r="F6215">
        <v>348</v>
      </c>
      <c r="G6215" s="1" t="str">
        <f>Ocupacao_DW[[#This Row],[data]]&amp;Ocupacao_DW[[#This Row],[profissional_id]]&amp;Ocupacao_DW[[#This Row],[local_id]]</f>
        <v>4463780348</v>
      </c>
      <c r="H6215" s="1">
        <f>_xlfn.XLOOKUP(Ocupacao_DW[[#This Row],[Concat]],Vagas!$H:$H,Vagas!$D:$D,"",0)</f>
        <v>0</v>
      </c>
    </row>
    <row r="6216" spans="1:8" x14ac:dyDescent="0.25">
      <c r="A6216" s="2">
        <v>44636</v>
      </c>
      <c r="B6216" s="1" t="s">
        <v>47</v>
      </c>
      <c r="C6216">
        <v>111</v>
      </c>
      <c r="D6216" s="1" t="s">
        <v>199</v>
      </c>
      <c r="E6216" s="1" t="s">
        <v>4</v>
      </c>
      <c r="F6216">
        <v>51</v>
      </c>
      <c r="G6216" s="1" t="str">
        <f>Ocupacao_DW[[#This Row],[data]]&amp;Ocupacao_DW[[#This Row],[profissional_id]]&amp;Ocupacao_DW[[#This Row],[local_id]]</f>
        <v>4463611151</v>
      </c>
      <c r="H6216" s="1">
        <f>_xlfn.XLOOKUP(Ocupacao_DW[[#This Row],[Concat]],Vagas!$H:$H,Vagas!$D:$D,"",0)</f>
        <v>1</v>
      </c>
    </row>
    <row r="6217" spans="1:8" x14ac:dyDescent="0.25">
      <c r="A6217" s="2">
        <v>44642</v>
      </c>
      <c r="B6217" s="1" t="s">
        <v>54</v>
      </c>
      <c r="C6217">
        <v>10941</v>
      </c>
      <c r="D6217" s="1" t="s">
        <v>224</v>
      </c>
      <c r="E6217" s="1" t="s">
        <v>200</v>
      </c>
      <c r="F6217">
        <v>83</v>
      </c>
      <c r="G6217" s="1" t="str">
        <f>Ocupacao_DW[[#This Row],[data]]&amp;Ocupacao_DW[[#This Row],[profissional_id]]&amp;Ocupacao_DW[[#This Row],[local_id]]</f>
        <v>446421094183</v>
      </c>
      <c r="H6217" s="1">
        <f>_xlfn.XLOOKUP(Ocupacao_DW[[#This Row],[Concat]],Vagas!$H:$H,Vagas!$D:$D,"",0)</f>
        <v>0</v>
      </c>
    </row>
    <row r="6218" spans="1:8" x14ac:dyDescent="0.25">
      <c r="A6218" s="2">
        <v>44641</v>
      </c>
      <c r="B6218" s="1" t="s">
        <v>49</v>
      </c>
      <c r="C6218">
        <v>6430</v>
      </c>
      <c r="D6218" s="1" t="s">
        <v>188</v>
      </c>
      <c r="E6218" s="1" t="s">
        <v>200</v>
      </c>
      <c r="F6218">
        <v>86</v>
      </c>
      <c r="G6218" s="1" t="str">
        <f>Ocupacao_DW[[#This Row],[data]]&amp;Ocupacao_DW[[#This Row],[profissional_id]]&amp;Ocupacao_DW[[#This Row],[local_id]]</f>
        <v>44641643086</v>
      </c>
      <c r="H6218" s="1">
        <f>_xlfn.XLOOKUP(Ocupacao_DW[[#This Row],[Concat]],Vagas!$H:$H,Vagas!$D:$D,"",0)</f>
        <v>0</v>
      </c>
    </row>
    <row r="6219" spans="1:8" x14ac:dyDescent="0.25">
      <c r="A6219" s="2">
        <v>44645</v>
      </c>
      <c r="B6219" s="1" t="s">
        <v>52</v>
      </c>
      <c r="C6219">
        <v>57</v>
      </c>
      <c r="D6219" s="1" t="s">
        <v>169</v>
      </c>
      <c r="E6219" s="1" t="s">
        <v>6</v>
      </c>
      <c r="F6219">
        <v>8</v>
      </c>
      <c r="G6219" s="1" t="str">
        <f>Ocupacao_DW[[#This Row],[data]]&amp;Ocupacao_DW[[#This Row],[profissional_id]]&amp;Ocupacao_DW[[#This Row],[local_id]]</f>
        <v>44645578</v>
      </c>
      <c r="H6219" s="1">
        <f>_xlfn.XLOOKUP(Ocupacao_DW[[#This Row],[Concat]],Vagas!$H:$H,Vagas!$D:$D,"",0)</f>
        <v>0</v>
      </c>
    </row>
    <row r="6220" spans="1:8" x14ac:dyDescent="0.25">
      <c r="A6220" s="2">
        <v>44636</v>
      </c>
      <c r="B6220" s="1" t="s">
        <v>56</v>
      </c>
      <c r="C6220">
        <v>5927</v>
      </c>
      <c r="D6220" s="1" t="s">
        <v>226</v>
      </c>
      <c r="E6220" s="1" t="s">
        <v>5</v>
      </c>
      <c r="F6220">
        <v>17</v>
      </c>
      <c r="G6220" s="1" t="str">
        <f>Ocupacao_DW[[#This Row],[data]]&amp;Ocupacao_DW[[#This Row],[profissional_id]]&amp;Ocupacao_DW[[#This Row],[local_id]]</f>
        <v>44636592717</v>
      </c>
      <c r="H6220" s="1">
        <f>_xlfn.XLOOKUP(Ocupacao_DW[[#This Row],[Concat]],Vagas!$H:$H,Vagas!$D:$D,"",0)</f>
        <v>0</v>
      </c>
    </row>
    <row r="6221" spans="1:8" x14ac:dyDescent="0.25">
      <c r="A6221" s="2">
        <v>44648</v>
      </c>
      <c r="B6221" s="1" t="s">
        <v>55</v>
      </c>
      <c r="C6221">
        <v>2984</v>
      </c>
      <c r="D6221" s="1" t="s">
        <v>185</v>
      </c>
      <c r="E6221" s="1" t="s">
        <v>6</v>
      </c>
      <c r="F6221">
        <v>7</v>
      </c>
      <c r="G6221" s="1" t="str">
        <f>Ocupacao_DW[[#This Row],[data]]&amp;Ocupacao_DW[[#This Row],[profissional_id]]&amp;Ocupacao_DW[[#This Row],[local_id]]</f>
        <v>4464829847</v>
      </c>
      <c r="H6221" s="1">
        <f>_xlfn.XLOOKUP(Ocupacao_DW[[#This Row],[Concat]],Vagas!$H:$H,Vagas!$D:$D,"",0)</f>
        <v>0</v>
      </c>
    </row>
    <row r="6222" spans="1:8" x14ac:dyDescent="0.25">
      <c r="A6222" s="2">
        <v>44635</v>
      </c>
      <c r="B6222" s="1" t="s">
        <v>50</v>
      </c>
      <c r="C6222">
        <v>4814</v>
      </c>
      <c r="D6222" s="1" t="s">
        <v>189</v>
      </c>
      <c r="E6222" s="1" t="s">
        <v>5</v>
      </c>
      <c r="F6222">
        <v>17</v>
      </c>
      <c r="G6222" s="1" t="str">
        <f>Ocupacao_DW[[#This Row],[data]]&amp;Ocupacao_DW[[#This Row],[profissional_id]]&amp;Ocupacao_DW[[#This Row],[local_id]]</f>
        <v>44635481417</v>
      </c>
      <c r="H6222" s="1">
        <f>_xlfn.XLOOKUP(Ocupacao_DW[[#This Row],[Concat]],Vagas!$H:$H,Vagas!$D:$D,"",0)</f>
        <v>0</v>
      </c>
    </row>
    <row r="6223" spans="1:8" x14ac:dyDescent="0.25">
      <c r="A6223" s="2">
        <v>44636</v>
      </c>
      <c r="B6223" s="1" t="s">
        <v>72</v>
      </c>
      <c r="C6223">
        <v>1794</v>
      </c>
      <c r="D6223" s="1" t="s">
        <v>235</v>
      </c>
      <c r="E6223" s="1" t="s">
        <v>4</v>
      </c>
      <c r="F6223">
        <v>49</v>
      </c>
      <c r="G6223" s="1" t="str">
        <f>Ocupacao_DW[[#This Row],[data]]&amp;Ocupacao_DW[[#This Row],[profissional_id]]&amp;Ocupacao_DW[[#This Row],[local_id]]</f>
        <v>44636179449</v>
      </c>
      <c r="H6223" s="1">
        <f>_xlfn.XLOOKUP(Ocupacao_DW[[#This Row],[Concat]],Vagas!$H:$H,Vagas!$D:$D,"",0)</f>
        <v>0</v>
      </c>
    </row>
    <row r="6224" spans="1:8" x14ac:dyDescent="0.25">
      <c r="A6224" s="2">
        <v>44635</v>
      </c>
      <c r="B6224" s="1" t="s">
        <v>43</v>
      </c>
      <c r="C6224">
        <v>57</v>
      </c>
      <c r="D6224" s="1" t="s">
        <v>169</v>
      </c>
      <c r="E6224" s="1" t="s">
        <v>6</v>
      </c>
      <c r="F6224">
        <v>2</v>
      </c>
      <c r="G6224" s="1" t="str">
        <f>Ocupacao_DW[[#This Row],[data]]&amp;Ocupacao_DW[[#This Row],[profissional_id]]&amp;Ocupacao_DW[[#This Row],[local_id]]</f>
        <v>44635572</v>
      </c>
      <c r="H6224" s="1">
        <f>_xlfn.XLOOKUP(Ocupacao_DW[[#This Row],[Concat]],Vagas!$H:$H,Vagas!$D:$D,"",0)</f>
        <v>0</v>
      </c>
    </row>
    <row r="6225" spans="1:8" x14ac:dyDescent="0.25">
      <c r="A6225" s="2">
        <v>44636</v>
      </c>
      <c r="B6225" s="1" t="s">
        <v>43</v>
      </c>
      <c r="C6225">
        <v>57</v>
      </c>
      <c r="D6225" s="1" t="s">
        <v>169</v>
      </c>
      <c r="E6225" s="1" t="s">
        <v>6</v>
      </c>
      <c r="F6225">
        <v>2</v>
      </c>
      <c r="G6225" s="1" t="str">
        <f>Ocupacao_DW[[#This Row],[data]]&amp;Ocupacao_DW[[#This Row],[profissional_id]]&amp;Ocupacao_DW[[#This Row],[local_id]]</f>
        <v>44636572</v>
      </c>
      <c r="H6225" s="1">
        <f>_xlfn.XLOOKUP(Ocupacao_DW[[#This Row],[Concat]],Vagas!$H:$H,Vagas!$D:$D,"",0)</f>
        <v>2</v>
      </c>
    </row>
    <row r="6226" spans="1:8" x14ac:dyDescent="0.25">
      <c r="A6226" s="2">
        <v>44637</v>
      </c>
      <c r="B6226" s="1" t="s">
        <v>47</v>
      </c>
      <c r="C6226">
        <v>9111</v>
      </c>
      <c r="D6226" s="1" t="s">
        <v>206</v>
      </c>
      <c r="E6226" s="1" t="s">
        <v>4</v>
      </c>
      <c r="F6226">
        <v>334</v>
      </c>
      <c r="G6226" s="1" t="str">
        <f>Ocupacao_DW[[#This Row],[data]]&amp;Ocupacao_DW[[#This Row],[profissional_id]]&amp;Ocupacao_DW[[#This Row],[local_id]]</f>
        <v>446379111334</v>
      </c>
      <c r="H6226" s="1">
        <f>_xlfn.XLOOKUP(Ocupacao_DW[[#This Row],[Concat]],Vagas!$H:$H,Vagas!$D:$D,"",0)</f>
        <v>0</v>
      </c>
    </row>
    <row r="6227" spans="1:8" x14ac:dyDescent="0.25">
      <c r="A6227" s="2">
        <v>44642</v>
      </c>
      <c r="B6227" s="1" t="s">
        <v>54</v>
      </c>
      <c r="C6227">
        <v>12623</v>
      </c>
      <c r="D6227" s="1" t="s">
        <v>258</v>
      </c>
      <c r="E6227" s="1" t="s">
        <v>5</v>
      </c>
      <c r="F6227">
        <v>11</v>
      </c>
      <c r="G6227" s="1" t="str">
        <f>Ocupacao_DW[[#This Row],[data]]&amp;Ocupacao_DW[[#This Row],[profissional_id]]&amp;Ocupacao_DW[[#This Row],[local_id]]</f>
        <v>446421262311</v>
      </c>
      <c r="H6227" s="1">
        <f>_xlfn.XLOOKUP(Ocupacao_DW[[#This Row],[Concat]],Vagas!$H:$H,Vagas!$D:$D,"",0)</f>
        <v>0</v>
      </c>
    </row>
    <row r="6228" spans="1:8" x14ac:dyDescent="0.25">
      <c r="A6228" s="2">
        <v>44635</v>
      </c>
      <c r="B6228" s="1" t="s">
        <v>66</v>
      </c>
      <c r="C6228">
        <v>1343</v>
      </c>
      <c r="D6228" s="1" t="s">
        <v>263</v>
      </c>
      <c r="E6228" s="1" t="s">
        <v>200</v>
      </c>
      <c r="F6228">
        <v>80</v>
      </c>
      <c r="G6228" s="1" t="str">
        <f>Ocupacao_DW[[#This Row],[data]]&amp;Ocupacao_DW[[#This Row],[profissional_id]]&amp;Ocupacao_DW[[#This Row],[local_id]]</f>
        <v>44635134380</v>
      </c>
      <c r="H6228" s="1">
        <f>_xlfn.XLOOKUP(Ocupacao_DW[[#This Row],[Concat]],Vagas!$H:$H,Vagas!$D:$D,"",0)</f>
        <v>0</v>
      </c>
    </row>
    <row r="6229" spans="1:8" x14ac:dyDescent="0.25">
      <c r="A6229" s="2">
        <v>44635</v>
      </c>
      <c r="B6229" s="1" t="s">
        <v>65</v>
      </c>
      <c r="C6229">
        <v>11652</v>
      </c>
      <c r="D6229" s="1" t="s">
        <v>242</v>
      </c>
      <c r="E6229" s="1" t="s">
        <v>4</v>
      </c>
      <c r="F6229">
        <v>47</v>
      </c>
      <c r="G6229" s="1" t="str">
        <f>Ocupacao_DW[[#This Row],[data]]&amp;Ocupacao_DW[[#This Row],[profissional_id]]&amp;Ocupacao_DW[[#This Row],[local_id]]</f>
        <v>446351165247</v>
      </c>
      <c r="H6229" s="1">
        <f>_xlfn.XLOOKUP(Ocupacao_DW[[#This Row],[Concat]],Vagas!$H:$H,Vagas!$D:$D,"",0)</f>
        <v>0</v>
      </c>
    </row>
    <row r="6230" spans="1:8" x14ac:dyDescent="0.25">
      <c r="A6230" s="2">
        <v>44638</v>
      </c>
      <c r="B6230" s="1" t="s">
        <v>67</v>
      </c>
      <c r="C6230">
        <v>10717</v>
      </c>
      <c r="D6230" s="1" t="s">
        <v>245</v>
      </c>
      <c r="E6230" s="1" t="s">
        <v>5</v>
      </c>
      <c r="F6230">
        <v>18</v>
      </c>
      <c r="G6230" s="1" t="str">
        <f>Ocupacao_DW[[#This Row],[data]]&amp;Ocupacao_DW[[#This Row],[profissional_id]]&amp;Ocupacao_DW[[#This Row],[local_id]]</f>
        <v>446381071718</v>
      </c>
      <c r="H6230" s="1">
        <f>_xlfn.XLOOKUP(Ocupacao_DW[[#This Row],[Concat]],Vagas!$H:$H,Vagas!$D:$D,"",0)</f>
        <v>0</v>
      </c>
    </row>
    <row r="6231" spans="1:8" x14ac:dyDescent="0.25">
      <c r="A6231" s="2">
        <v>44638</v>
      </c>
      <c r="B6231" s="1" t="s">
        <v>47</v>
      </c>
      <c r="C6231">
        <v>9111</v>
      </c>
      <c r="D6231" s="1" t="s">
        <v>206</v>
      </c>
      <c r="E6231" s="1" t="s">
        <v>4</v>
      </c>
      <c r="F6231">
        <v>51</v>
      </c>
      <c r="G6231" s="1" t="str">
        <f>Ocupacao_DW[[#This Row],[data]]&amp;Ocupacao_DW[[#This Row],[profissional_id]]&amp;Ocupacao_DW[[#This Row],[local_id]]</f>
        <v>44638911151</v>
      </c>
      <c r="H6231" s="1">
        <f>_xlfn.XLOOKUP(Ocupacao_DW[[#This Row],[Concat]],Vagas!$H:$H,Vagas!$D:$D,"",0)</f>
        <v>0</v>
      </c>
    </row>
    <row r="6232" spans="1:8" x14ac:dyDescent="0.25">
      <c r="A6232" s="2">
        <v>44636</v>
      </c>
      <c r="B6232" s="1" t="s">
        <v>49</v>
      </c>
      <c r="C6232">
        <v>81</v>
      </c>
      <c r="D6232" s="1" t="s">
        <v>170</v>
      </c>
      <c r="E6232" s="1" t="s">
        <v>4</v>
      </c>
      <c r="F6232">
        <v>41</v>
      </c>
      <c r="G6232" s="1" t="str">
        <f>Ocupacao_DW[[#This Row],[data]]&amp;Ocupacao_DW[[#This Row],[profissional_id]]&amp;Ocupacao_DW[[#This Row],[local_id]]</f>
        <v>446368141</v>
      </c>
      <c r="H6232" s="1">
        <f>_xlfn.XLOOKUP(Ocupacao_DW[[#This Row],[Concat]],Vagas!$H:$H,Vagas!$D:$D,"",0)</f>
        <v>0</v>
      </c>
    </row>
    <row r="6233" spans="1:8" x14ac:dyDescent="0.25">
      <c r="A6233" s="2">
        <v>44648</v>
      </c>
      <c r="B6233" s="1" t="s">
        <v>56</v>
      </c>
      <c r="C6233">
        <v>5927</v>
      </c>
      <c r="D6233" s="1" t="s">
        <v>226</v>
      </c>
      <c r="E6233" s="1" t="s">
        <v>5</v>
      </c>
      <c r="F6233">
        <v>17</v>
      </c>
      <c r="G6233" s="1" t="str">
        <f>Ocupacao_DW[[#This Row],[data]]&amp;Ocupacao_DW[[#This Row],[profissional_id]]&amp;Ocupacao_DW[[#This Row],[local_id]]</f>
        <v>44648592717</v>
      </c>
      <c r="H6233" s="1">
        <f>_xlfn.XLOOKUP(Ocupacao_DW[[#This Row],[Concat]],Vagas!$H:$H,Vagas!$D:$D,"",0)</f>
        <v>0</v>
      </c>
    </row>
    <row r="6234" spans="1:8" x14ac:dyDescent="0.25">
      <c r="A6234" s="2">
        <v>44643</v>
      </c>
      <c r="B6234" s="1"/>
      <c r="C6234">
        <v>10691</v>
      </c>
      <c r="D6234" s="1" t="s">
        <v>181</v>
      </c>
      <c r="E6234" s="1" t="s">
        <v>6</v>
      </c>
      <c r="F6234">
        <v>9</v>
      </c>
      <c r="G6234" s="1" t="str">
        <f>Ocupacao_DW[[#This Row],[data]]&amp;Ocupacao_DW[[#This Row],[profissional_id]]&amp;Ocupacao_DW[[#This Row],[local_id]]</f>
        <v>44643106919</v>
      </c>
      <c r="H6234" s="1">
        <f>_xlfn.XLOOKUP(Ocupacao_DW[[#This Row],[Concat]],Vagas!$H:$H,Vagas!$D:$D,"",0)</f>
        <v>0</v>
      </c>
    </row>
    <row r="6235" spans="1:8" x14ac:dyDescent="0.25">
      <c r="A6235" s="2">
        <v>44638</v>
      </c>
      <c r="B6235" s="1" t="s">
        <v>59</v>
      </c>
      <c r="C6235">
        <v>10249</v>
      </c>
      <c r="D6235" s="1" t="s">
        <v>231</v>
      </c>
      <c r="E6235" s="1" t="s">
        <v>4</v>
      </c>
      <c r="F6235">
        <v>43</v>
      </c>
      <c r="G6235" s="1" t="str">
        <f>Ocupacao_DW[[#This Row],[data]]&amp;Ocupacao_DW[[#This Row],[profissional_id]]&amp;Ocupacao_DW[[#This Row],[local_id]]</f>
        <v>446381024943</v>
      </c>
      <c r="H6235" s="1">
        <f>_xlfn.XLOOKUP(Ocupacao_DW[[#This Row],[Concat]],Vagas!$H:$H,Vagas!$D:$D,"",0)</f>
        <v>0</v>
      </c>
    </row>
    <row r="6236" spans="1:8" x14ac:dyDescent="0.25">
      <c r="A6236" s="2">
        <v>44636</v>
      </c>
      <c r="B6236" s="1" t="s">
        <v>72</v>
      </c>
      <c r="C6236">
        <v>1794</v>
      </c>
      <c r="D6236" s="1" t="s">
        <v>235</v>
      </c>
      <c r="E6236" s="1" t="s">
        <v>4</v>
      </c>
      <c r="F6236">
        <v>49</v>
      </c>
      <c r="G6236" s="1" t="str">
        <f>Ocupacao_DW[[#This Row],[data]]&amp;Ocupacao_DW[[#This Row],[profissional_id]]&amp;Ocupacao_DW[[#This Row],[local_id]]</f>
        <v>44636179449</v>
      </c>
      <c r="H6236" s="1">
        <f>_xlfn.XLOOKUP(Ocupacao_DW[[#This Row],[Concat]],Vagas!$H:$H,Vagas!$D:$D,"",0)</f>
        <v>0</v>
      </c>
    </row>
    <row r="6237" spans="1:8" x14ac:dyDescent="0.25">
      <c r="A6237" s="2">
        <v>44650</v>
      </c>
      <c r="B6237" s="1" t="s">
        <v>55</v>
      </c>
      <c r="C6237">
        <v>73</v>
      </c>
      <c r="D6237" s="1" t="s">
        <v>171</v>
      </c>
      <c r="E6237" s="1" t="s">
        <v>6</v>
      </c>
      <c r="F6237">
        <v>5</v>
      </c>
      <c r="G6237" s="1" t="str">
        <f>Ocupacao_DW[[#This Row],[data]]&amp;Ocupacao_DW[[#This Row],[profissional_id]]&amp;Ocupacao_DW[[#This Row],[local_id]]</f>
        <v>44650735</v>
      </c>
      <c r="H6237" s="1">
        <f>_xlfn.XLOOKUP(Ocupacao_DW[[#This Row],[Concat]],Vagas!$H:$H,Vagas!$D:$D,"",0)</f>
        <v>0</v>
      </c>
    </row>
    <row r="6238" spans="1:8" x14ac:dyDescent="0.25">
      <c r="A6238" s="2">
        <v>44650</v>
      </c>
      <c r="B6238" s="1" t="s">
        <v>57</v>
      </c>
      <c r="C6238">
        <v>80</v>
      </c>
      <c r="D6238" s="1" t="s">
        <v>179</v>
      </c>
      <c r="E6238" s="1" t="s">
        <v>167</v>
      </c>
      <c r="F6238">
        <v>346</v>
      </c>
      <c r="G6238" s="1" t="str">
        <f>Ocupacao_DW[[#This Row],[data]]&amp;Ocupacao_DW[[#This Row],[profissional_id]]&amp;Ocupacao_DW[[#This Row],[local_id]]</f>
        <v>4465080346</v>
      </c>
      <c r="H6238" s="1">
        <f>_xlfn.XLOOKUP(Ocupacao_DW[[#This Row],[Concat]],Vagas!$H:$H,Vagas!$D:$D,"",0)</f>
        <v>0</v>
      </c>
    </row>
    <row r="6239" spans="1:8" x14ac:dyDescent="0.25">
      <c r="A6239" s="2">
        <v>44642</v>
      </c>
      <c r="B6239" s="1" t="s">
        <v>47</v>
      </c>
      <c r="C6239">
        <v>9111</v>
      </c>
      <c r="D6239" s="1" t="s">
        <v>206</v>
      </c>
      <c r="E6239" s="1" t="s">
        <v>4</v>
      </c>
      <c r="F6239">
        <v>335</v>
      </c>
      <c r="G6239" s="1" t="str">
        <f>Ocupacao_DW[[#This Row],[data]]&amp;Ocupacao_DW[[#This Row],[profissional_id]]&amp;Ocupacao_DW[[#This Row],[local_id]]</f>
        <v>446429111335</v>
      </c>
      <c r="H6239" s="1">
        <f>_xlfn.XLOOKUP(Ocupacao_DW[[#This Row],[Concat]],Vagas!$H:$H,Vagas!$D:$D,"",0)</f>
        <v>0</v>
      </c>
    </row>
    <row r="6240" spans="1:8" x14ac:dyDescent="0.25">
      <c r="A6240" s="2">
        <v>44636</v>
      </c>
      <c r="B6240" s="1" t="s">
        <v>62</v>
      </c>
      <c r="C6240">
        <v>3502</v>
      </c>
      <c r="D6240" s="1" t="s">
        <v>214</v>
      </c>
      <c r="E6240" s="1" t="s">
        <v>5</v>
      </c>
      <c r="F6240">
        <v>16</v>
      </c>
      <c r="G6240" s="1" t="str">
        <f>Ocupacao_DW[[#This Row],[data]]&amp;Ocupacao_DW[[#This Row],[profissional_id]]&amp;Ocupacao_DW[[#This Row],[local_id]]</f>
        <v>44636350216</v>
      </c>
      <c r="H6240" s="1">
        <f>_xlfn.XLOOKUP(Ocupacao_DW[[#This Row],[Concat]],Vagas!$H:$H,Vagas!$D:$D,"",0)</f>
        <v>0</v>
      </c>
    </row>
    <row r="6241" spans="1:8" x14ac:dyDescent="0.25">
      <c r="A6241" s="2">
        <v>44642</v>
      </c>
      <c r="B6241" s="1" t="s">
        <v>49</v>
      </c>
      <c r="C6241">
        <v>81</v>
      </c>
      <c r="D6241" s="1" t="s">
        <v>170</v>
      </c>
      <c r="E6241" s="1" t="s">
        <v>7</v>
      </c>
      <c r="F6241">
        <v>71</v>
      </c>
      <c r="G6241" s="1" t="str">
        <f>Ocupacao_DW[[#This Row],[data]]&amp;Ocupacao_DW[[#This Row],[profissional_id]]&amp;Ocupacao_DW[[#This Row],[local_id]]</f>
        <v>446428171</v>
      </c>
      <c r="H6241" s="1">
        <f>_xlfn.XLOOKUP(Ocupacao_DW[[#This Row],[Concat]],Vagas!$H:$H,Vagas!$D:$D,"",0)</f>
        <v>0</v>
      </c>
    </row>
    <row r="6242" spans="1:8" x14ac:dyDescent="0.25">
      <c r="A6242" s="2">
        <v>44651</v>
      </c>
      <c r="B6242" s="1" t="s">
        <v>55</v>
      </c>
      <c r="C6242">
        <v>74</v>
      </c>
      <c r="D6242" s="1" t="s">
        <v>182</v>
      </c>
      <c r="E6242" s="1" t="s">
        <v>6</v>
      </c>
      <c r="F6242">
        <v>7</v>
      </c>
      <c r="G6242" s="1" t="str">
        <f>Ocupacao_DW[[#This Row],[data]]&amp;Ocupacao_DW[[#This Row],[profissional_id]]&amp;Ocupacao_DW[[#This Row],[local_id]]</f>
        <v>44651747</v>
      </c>
      <c r="H6242" s="1">
        <f>_xlfn.XLOOKUP(Ocupacao_DW[[#This Row],[Concat]],Vagas!$H:$H,Vagas!$D:$D,"",0)</f>
        <v>0</v>
      </c>
    </row>
    <row r="6243" spans="1:8" x14ac:dyDescent="0.25">
      <c r="A6243" s="2">
        <v>44649</v>
      </c>
      <c r="B6243" s="1" t="s">
        <v>70</v>
      </c>
      <c r="C6243">
        <v>14237</v>
      </c>
      <c r="D6243" s="1" t="s">
        <v>186</v>
      </c>
      <c r="E6243" s="1" t="s">
        <v>4</v>
      </c>
      <c r="F6243">
        <v>47</v>
      </c>
      <c r="G6243" s="1" t="str">
        <f>Ocupacao_DW[[#This Row],[data]]&amp;Ocupacao_DW[[#This Row],[profissional_id]]&amp;Ocupacao_DW[[#This Row],[local_id]]</f>
        <v>446491423747</v>
      </c>
      <c r="H6243" s="1">
        <f>_xlfn.XLOOKUP(Ocupacao_DW[[#This Row],[Concat]],Vagas!$H:$H,Vagas!$D:$D,"",0)</f>
        <v>0</v>
      </c>
    </row>
    <row r="6244" spans="1:8" x14ac:dyDescent="0.25">
      <c r="A6244" s="2">
        <v>44637</v>
      </c>
      <c r="B6244" s="1" t="s">
        <v>72</v>
      </c>
      <c r="C6244">
        <v>6046</v>
      </c>
      <c r="D6244" s="1" t="s">
        <v>222</v>
      </c>
      <c r="E6244" s="1" t="s">
        <v>4</v>
      </c>
      <c r="F6244">
        <v>46</v>
      </c>
      <c r="G6244" s="1" t="str">
        <f>Ocupacao_DW[[#This Row],[data]]&amp;Ocupacao_DW[[#This Row],[profissional_id]]&amp;Ocupacao_DW[[#This Row],[local_id]]</f>
        <v>44637604646</v>
      </c>
      <c r="H6244" s="1">
        <f>_xlfn.XLOOKUP(Ocupacao_DW[[#This Row],[Concat]],Vagas!$H:$H,Vagas!$D:$D,"",0)</f>
        <v>0</v>
      </c>
    </row>
    <row r="6245" spans="1:8" x14ac:dyDescent="0.25">
      <c r="A6245" s="2">
        <v>44635</v>
      </c>
      <c r="B6245" s="1" t="s">
        <v>66</v>
      </c>
      <c r="C6245">
        <v>1343</v>
      </c>
      <c r="D6245" s="1" t="s">
        <v>263</v>
      </c>
      <c r="E6245" s="1" t="s">
        <v>200</v>
      </c>
      <c r="F6245">
        <v>80</v>
      </c>
      <c r="G6245" s="1" t="str">
        <f>Ocupacao_DW[[#This Row],[data]]&amp;Ocupacao_DW[[#This Row],[profissional_id]]&amp;Ocupacao_DW[[#This Row],[local_id]]</f>
        <v>44635134380</v>
      </c>
      <c r="H6245" s="1">
        <f>_xlfn.XLOOKUP(Ocupacao_DW[[#This Row],[Concat]],Vagas!$H:$H,Vagas!$D:$D,"",0)</f>
        <v>0</v>
      </c>
    </row>
    <row r="6246" spans="1:8" x14ac:dyDescent="0.25">
      <c r="A6246" s="2">
        <v>44635</v>
      </c>
      <c r="B6246" s="1" t="s">
        <v>62</v>
      </c>
      <c r="C6246">
        <v>3502</v>
      </c>
      <c r="D6246" s="1" t="s">
        <v>214</v>
      </c>
      <c r="E6246" s="1" t="s">
        <v>5</v>
      </c>
      <c r="F6246">
        <v>16</v>
      </c>
      <c r="G6246" s="1" t="str">
        <f>Ocupacao_DW[[#This Row],[data]]&amp;Ocupacao_DW[[#This Row],[profissional_id]]&amp;Ocupacao_DW[[#This Row],[local_id]]</f>
        <v>44635350216</v>
      </c>
      <c r="H6246" s="1">
        <f>_xlfn.XLOOKUP(Ocupacao_DW[[#This Row],[Concat]],Vagas!$H:$H,Vagas!$D:$D,"",0)</f>
        <v>0</v>
      </c>
    </row>
    <row r="6247" spans="1:8" x14ac:dyDescent="0.25">
      <c r="A6247" s="2">
        <v>44651</v>
      </c>
      <c r="B6247" s="1" t="s">
        <v>55</v>
      </c>
      <c r="C6247">
        <v>74</v>
      </c>
      <c r="D6247" s="1" t="s">
        <v>182</v>
      </c>
      <c r="E6247" s="1" t="s">
        <v>6</v>
      </c>
      <c r="F6247">
        <v>7</v>
      </c>
      <c r="G6247" s="1" t="str">
        <f>Ocupacao_DW[[#This Row],[data]]&amp;Ocupacao_DW[[#This Row],[profissional_id]]&amp;Ocupacao_DW[[#This Row],[local_id]]</f>
        <v>44651747</v>
      </c>
      <c r="H6247" s="1">
        <f>_xlfn.XLOOKUP(Ocupacao_DW[[#This Row],[Concat]],Vagas!$H:$H,Vagas!$D:$D,"",0)</f>
        <v>0</v>
      </c>
    </row>
    <row r="6248" spans="1:8" x14ac:dyDescent="0.25">
      <c r="A6248" s="2">
        <v>44643</v>
      </c>
      <c r="B6248" s="1" t="s">
        <v>70</v>
      </c>
      <c r="C6248">
        <v>12825</v>
      </c>
      <c r="D6248" s="1" t="s">
        <v>177</v>
      </c>
      <c r="E6248" s="1" t="s">
        <v>4</v>
      </c>
      <c r="F6248">
        <v>45</v>
      </c>
      <c r="G6248" s="1" t="str">
        <f>Ocupacao_DW[[#This Row],[data]]&amp;Ocupacao_DW[[#This Row],[profissional_id]]&amp;Ocupacao_DW[[#This Row],[local_id]]</f>
        <v>446431282545</v>
      </c>
      <c r="H6248" s="1">
        <f>_xlfn.XLOOKUP(Ocupacao_DW[[#This Row],[Concat]],Vagas!$H:$H,Vagas!$D:$D,"",0)</f>
        <v>0</v>
      </c>
    </row>
    <row r="6249" spans="1:8" x14ac:dyDescent="0.25">
      <c r="A6249" s="2">
        <v>44651</v>
      </c>
      <c r="B6249" s="1" t="s">
        <v>70</v>
      </c>
      <c r="C6249">
        <v>12519</v>
      </c>
      <c r="D6249" s="1" t="s">
        <v>176</v>
      </c>
      <c r="E6249" s="1" t="s">
        <v>4</v>
      </c>
      <c r="F6249">
        <v>42</v>
      </c>
      <c r="G6249" s="1" t="str">
        <f>Ocupacao_DW[[#This Row],[data]]&amp;Ocupacao_DW[[#This Row],[profissional_id]]&amp;Ocupacao_DW[[#This Row],[local_id]]</f>
        <v>446511251942</v>
      </c>
      <c r="H6249" s="1">
        <f>_xlfn.XLOOKUP(Ocupacao_DW[[#This Row],[Concat]],Vagas!$H:$H,Vagas!$D:$D,"",0)</f>
        <v>0</v>
      </c>
    </row>
    <row r="6250" spans="1:8" x14ac:dyDescent="0.25">
      <c r="A6250" s="2">
        <v>44636</v>
      </c>
      <c r="B6250" s="1" t="s">
        <v>64</v>
      </c>
      <c r="C6250">
        <v>531</v>
      </c>
      <c r="D6250" s="1" t="s">
        <v>213</v>
      </c>
      <c r="E6250" s="1" t="s">
        <v>5</v>
      </c>
      <c r="F6250">
        <v>12</v>
      </c>
      <c r="G6250" s="1" t="str">
        <f>Ocupacao_DW[[#This Row],[data]]&amp;Ocupacao_DW[[#This Row],[profissional_id]]&amp;Ocupacao_DW[[#This Row],[local_id]]</f>
        <v>4463653112</v>
      </c>
      <c r="H6250" s="1">
        <f>_xlfn.XLOOKUP(Ocupacao_DW[[#This Row],[Concat]],Vagas!$H:$H,Vagas!$D:$D,"",0)</f>
        <v>0</v>
      </c>
    </row>
    <row r="6251" spans="1:8" x14ac:dyDescent="0.25">
      <c r="A6251" s="2">
        <v>44636</v>
      </c>
      <c r="B6251" s="1" t="s">
        <v>72</v>
      </c>
      <c r="C6251">
        <v>1794</v>
      </c>
      <c r="D6251" s="1" t="s">
        <v>235</v>
      </c>
      <c r="E6251" s="1" t="s">
        <v>4</v>
      </c>
      <c r="F6251">
        <v>49</v>
      </c>
      <c r="G6251" s="1" t="str">
        <f>Ocupacao_DW[[#This Row],[data]]&amp;Ocupacao_DW[[#This Row],[profissional_id]]&amp;Ocupacao_DW[[#This Row],[local_id]]</f>
        <v>44636179449</v>
      </c>
      <c r="H6251" s="1">
        <f>_xlfn.XLOOKUP(Ocupacao_DW[[#This Row],[Concat]],Vagas!$H:$H,Vagas!$D:$D,"",0)</f>
        <v>0</v>
      </c>
    </row>
    <row r="6252" spans="1:8" x14ac:dyDescent="0.25">
      <c r="A6252" s="2">
        <v>44650</v>
      </c>
      <c r="B6252" s="1" t="s">
        <v>43</v>
      </c>
      <c r="C6252">
        <v>2396</v>
      </c>
      <c r="D6252" s="1" t="s">
        <v>197</v>
      </c>
      <c r="E6252" s="1" t="s">
        <v>6</v>
      </c>
      <c r="F6252">
        <v>2</v>
      </c>
      <c r="G6252" s="1" t="str">
        <f>Ocupacao_DW[[#This Row],[data]]&amp;Ocupacao_DW[[#This Row],[profissional_id]]&amp;Ocupacao_DW[[#This Row],[local_id]]</f>
        <v>4465023962</v>
      </c>
      <c r="H6252" s="1">
        <f>_xlfn.XLOOKUP(Ocupacao_DW[[#This Row],[Concat]],Vagas!$H:$H,Vagas!$D:$D,"",0)</f>
        <v>0</v>
      </c>
    </row>
    <row r="6253" spans="1:8" x14ac:dyDescent="0.25">
      <c r="A6253" s="2">
        <v>44635</v>
      </c>
      <c r="B6253" s="1" t="s">
        <v>65</v>
      </c>
      <c r="C6253">
        <v>11237</v>
      </c>
      <c r="D6253" s="1" t="s">
        <v>229</v>
      </c>
      <c r="E6253" s="1" t="s">
        <v>4</v>
      </c>
      <c r="F6253">
        <v>46</v>
      </c>
      <c r="G6253" s="1" t="str">
        <f>Ocupacao_DW[[#This Row],[data]]&amp;Ocupacao_DW[[#This Row],[profissional_id]]&amp;Ocupacao_DW[[#This Row],[local_id]]</f>
        <v>446351123746</v>
      </c>
      <c r="H6253" s="1">
        <f>_xlfn.XLOOKUP(Ocupacao_DW[[#This Row],[Concat]],Vagas!$H:$H,Vagas!$D:$D,"",0)</f>
        <v>0</v>
      </c>
    </row>
    <row r="6254" spans="1:8" x14ac:dyDescent="0.25">
      <c r="A6254" s="2">
        <v>44636</v>
      </c>
      <c r="B6254" s="1" t="s">
        <v>70</v>
      </c>
      <c r="C6254">
        <v>12825</v>
      </c>
      <c r="D6254" s="1" t="s">
        <v>177</v>
      </c>
      <c r="E6254" s="1" t="s">
        <v>4</v>
      </c>
      <c r="F6254">
        <v>45</v>
      </c>
      <c r="G6254" s="1" t="str">
        <f>Ocupacao_DW[[#This Row],[data]]&amp;Ocupacao_DW[[#This Row],[profissional_id]]&amp;Ocupacao_DW[[#This Row],[local_id]]</f>
        <v>446361282545</v>
      </c>
      <c r="H6254" s="1">
        <f>_xlfn.XLOOKUP(Ocupacao_DW[[#This Row],[Concat]],Vagas!$H:$H,Vagas!$D:$D,"",0)</f>
        <v>0</v>
      </c>
    </row>
    <row r="6255" spans="1:8" x14ac:dyDescent="0.25">
      <c r="A6255" s="2">
        <v>44642</v>
      </c>
      <c r="B6255" s="1" t="s">
        <v>55</v>
      </c>
      <c r="C6255">
        <v>60</v>
      </c>
      <c r="D6255" s="1" t="s">
        <v>217</v>
      </c>
      <c r="E6255" s="1" t="s">
        <v>167</v>
      </c>
      <c r="F6255">
        <v>345</v>
      </c>
      <c r="G6255" s="1" t="str">
        <f>Ocupacao_DW[[#This Row],[data]]&amp;Ocupacao_DW[[#This Row],[profissional_id]]&amp;Ocupacao_DW[[#This Row],[local_id]]</f>
        <v>4464260345</v>
      </c>
      <c r="H6255" s="1">
        <f>_xlfn.XLOOKUP(Ocupacao_DW[[#This Row],[Concat]],Vagas!$H:$H,Vagas!$D:$D,"",0)</f>
        <v>0</v>
      </c>
    </row>
    <row r="6256" spans="1:8" x14ac:dyDescent="0.25">
      <c r="A6256" s="2">
        <v>44638</v>
      </c>
      <c r="B6256" s="1" t="s">
        <v>52</v>
      </c>
      <c r="C6256">
        <v>10691</v>
      </c>
      <c r="D6256" s="1" t="s">
        <v>181</v>
      </c>
      <c r="E6256" s="1" t="s">
        <v>200</v>
      </c>
      <c r="F6256">
        <v>78</v>
      </c>
      <c r="G6256" s="1" t="str">
        <f>Ocupacao_DW[[#This Row],[data]]&amp;Ocupacao_DW[[#This Row],[profissional_id]]&amp;Ocupacao_DW[[#This Row],[local_id]]</f>
        <v>446381069178</v>
      </c>
      <c r="H6256" s="1">
        <f>_xlfn.XLOOKUP(Ocupacao_DW[[#This Row],[Concat]],Vagas!$H:$H,Vagas!$D:$D,"",0)</f>
        <v>0</v>
      </c>
    </row>
    <row r="6257" spans="1:8" x14ac:dyDescent="0.25">
      <c r="A6257" s="2">
        <v>44635</v>
      </c>
      <c r="B6257" s="1" t="s">
        <v>51</v>
      </c>
      <c r="C6257">
        <v>12582</v>
      </c>
      <c r="D6257" s="1" t="s">
        <v>190</v>
      </c>
      <c r="E6257" s="1" t="s">
        <v>7</v>
      </c>
      <c r="F6257">
        <v>62</v>
      </c>
      <c r="G6257" s="1" t="str">
        <f>Ocupacao_DW[[#This Row],[data]]&amp;Ocupacao_DW[[#This Row],[profissional_id]]&amp;Ocupacao_DW[[#This Row],[local_id]]</f>
        <v>446351258262</v>
      </c>
      <c r="H6257" s="1">
        <f>_xlfn.XLOOKUP(Ocupacao_DW[[#This Row],[Concat]],Vagas!$H:$H,Vagas!$D:$D,"",0)</f>
        <v>0</v>
      </c>
    </row>
    <row r="6258" spans="1:8" x14ac:dyDescent="0.25">
      <c r="A6258" s="2">
        <v>44648</v>
      </c>
      <c r="B6258" s="1" t="s">
        <v>55</v>
      </c>
      <c r="C6258">
        <v>12669</v>
      </c>
      <c r="D6258" s="1" t="s">
        <v>223</v>
      </c>
      <c r="E6258" s="1" t="s">
        <v>6</v>
      </c>
      <c r="F6258">
        <v>6</v>
      </c>
      <c r="G6258" s="1" t="str">
        <f>Ocupacao_DW[[#This Row],[data]]&amp;Ocupacao_DW[[#This Row],[profissional_id]]&amp;Ocupacao_DW[[#This Row],[local_id]]</f>
        <v>44648126696</v>
      </c>
      <c r="H6258" s="1">
        <f>_xlfn.XLOOKUP(Ocupacao_DW[[#This Row],[Concat]],Vagas!$H:$H,Vagas!$D:$D,"",0)</f>
        <v>0</v>
      </c>
    </row>
    <row r="6259" spans="1:8" x14ac:dyDescent="0.25">
      <c r="A6259" s="2">
        <v>44636</v>
      </c>
      <c r="B6259" s="1" t="s">
        <v>47</v>
      </c>
      <c r="C6259">
        <v>111</v>
      </c>
      <c r="D6259" s="1" t="s">
        <v>199</v>
      </c>
      <c r="E6259" s="1" t="s">
        <v>4</v>
      </c>
      <c r="F6259">
        <v>51</v>
      </c>
      <c r="G6259" s="1" t="str">
        <f>Ocupacao_DW[[#This Row],[data]]&amp;Ocupacao_DW[[#This Row],[profissional_id]]&amp;Ocupacao_DW[[#This Row],[local_id]]</f>
        <v>4463611151</v>
      </c>
      <c r="H6259" s="1">
        <f>_xlfn.XLOOKUP(Ocupacao_DW[[#This Row],[Concat]],Vagas!$H:$H,Vagas!$D:$D,"",0)</f>
        <v>1</v>
      </c>
    </row>
    <row r="6260" spans="1:8" x14ac:dyDescent="0.25">
      <c r="A6260" s="2">
        <v>44637</v>
      </c>
      <c r="B6260" s="1" t="s">
        <v>52</v>
      </c>
      <c r="C6260">
        <v>60</v>
      </c>
      <c r="D6260" s="1" t="s">
        <v>217</v>
      </c>
      <c r="E6260" s="1" t="s">
        <v>167</v>
      </c>
      <c r="F6260">
        <v>346</v>
      </c>
      <c r="G6260" s="1" t="str">
        <f>Ocupacao_DW[[#This Row],[data]]&amp;Ocupacao_DW[[#This Row],[profissional_id]]&amp;Ocupacao_DW[[#This Row],[local_id]]</f>
        <v>4463760346</v>
      </c>
      <c r="H6260" s="1">
        <f>_xlfn.XLOOKUP(Ocupacao_DW[[#This Row],[Concat]],Vagas!$H:$H,Vagas!$D:$D,"",0)</f>
        <v>0</v>
      </c>
    </row>
    <row r="6261" spans="1:8" x14ac:dyDescent="0.25">
      <c r="A6261" s="2">
        <v>44635</v>
      </c>
      <c r="B6261" s="1" t="s">
        <v>49</v>
      </c>
      <c r="C6261">
        <v>266</v>
      </c>
      <c r="D6261" s="1" t="s">
        <v>201</v>
      </c>
      <c r="E6261" s="1" t="s">
        <v>4</v>
      </c>
      <c r="F6261">
        <v>42</v>
      </c>
      <c r="G6261" s="1" t="str">
        <f>Ocupacao_DW[[#This Row],[data]]&amp;Ocupacao_DW[[#This Row],[profissional_id]]&amp;Ocupacao_DW[[#This Row],[local_id]]</f>
        <v>4463526642</v>
      </c>
      <c r="H6261" s="1">
        <f>_xlfn.XLOOKUP(Ocupacao_DW[[#This Row],[Concat]],Vagas!$H:$H,Vagas!$D:$D,"",0)</f>
        <v>0</v>
      </c>
    </row>
    <row r="6262" spans="1:8" x14ac:dyDescent="0.25">
      <c r="A6262" s="2">
        <v>44637</v>
      </c>
      <c r="B6262" s="1" t="s">
        <v>49</v>
      </c>
      <c r="C6262">
        <v>3092</v>
      </c>
      <c r="D6262" s="1" t="s">
        <v>262</v>
      </c>
      <c r="E6262" s="1" t="s">
        <v>4</v>
      </c>
      <c r="F6262">
        <v>43</v>
      </c>
      <c r="G6262" s="1" t="str">
        <f>Ocupacao_DW[[#This Row],[data]]&amp;Ocupacao_DW[[#This Row],[profissional_id]]&amp;Ocupacao_DW[[#This Row],[local_id]]</f>
        <v>44637309243</v>
      </c>
      <c r="H6262" s="1">
        <f>_xlfn.XLOOKUP(Ocupacao_DW[[#This Row],[Concat]],Vagas!$H:$H,Vagas!$D:$D,"",0)</f>
        <v>0</v>
      </c>
    </row>
    <row r="6263" spans="1:8" x14ac:dyDescent="0.25">
      <c r="A6263" s="2">
        <v>44643</v>
      </c>
      <c r="B6263" s="1" t="s">
        <v>52</v>
      </c>
      <c r="C6263">
        <v>57</v>
      </c>
      <c r="D6263" s="1" t="s">
        <v>169</v>
      </c>
      <c r="E6263" s="1" t="s">
        <v>6</v>
      </c>
      <c r="F6263">
        <v>4</v>
      </c>
      <c r="G6263" s="1" t="str">
        <f>Ocupacao_DW[[#This Row],[data]]&amp;Ocupacao_DW[[#This Row],[profissional_id]]&amp;Ocupacao_DW[[#This Row],[local_id]]</f>
        <v>44643574</v>
      </c>
      <c r="H6263" s="1">
        <f>_xlfn.XLOOKUP(Ocupacao_DW[[#This Row],[Concat]],Vagas!$H:$H,Vagas!$D:$D,"",0)</f>
        <v>0</v>
      </c>
    </row>
    <row r="6264" spans="1:8" x14ac:dyDescent="0.25">
      <c r="A6264" s="2">
        <v>44637</v>
      </c>
      <c r="B6264" s="1" t="s">
        <v>56</v>
      </c>
      <c r="C6264">
        <v>5822</v>
      </c>
      <c r="D6264" s="1" t="s">
        <v>194</v>
      </c>
      <c r="E6264" s="1" t="s">
        <v>5</v>
      </c>
      <c r="F6264">
        <v>11</v>
      </c>
      <c r="G6264" s="1" t="str">
        <f>Ocupacao_DW[[#This Row],[data]]&amp;Ocupacao_DW[[#This Row],[profissional_id]]&amp;Ocupacao_DW[[#This Row],[local_id]]</f>
        <v>44637582211</v>
      </c>
      <c r="H6264" s="1">
        <f>_xlfn.XLOOKUP(Ocupacao_DW[[#This Row],[Concat]],Vagas!$H:$H,Vagas!$D:$D,"",0)</f>
        <v>0</v>
      </c>
    </row>
    <row r="6265" spans="1:8" x14ac:dyDescent="0.25">
      <c r="A6265" s="2">
        <v>44651</v>
      </c>
      <c r="B6265" s="1" t="s">
        <v>55</v>
      </c>
      <c r="C6265">
        <v>74</v>
      </c>
      <c r="D6265" s="1" t="s">
        <v>182</v>
      </c>
      <c r="E6265" s="1" t="s">
        <v>6</v>
      </c>
      <c r="F6265">
        <v>7</v>
      </c>
      <c r="G6265" s="1" t="str">
        <f>Ocupacao_DW[[#This Row],[data]]&amp;Ocupacao_DW[[#This Row],[profissional_id]]&amp;Ocupacao_DW[[#This Row],[local_id]]</f>
        <v>44651747</v>
      </c>
      <c r="H6265" s="1">
        <f>_xlfn.XLOOKUP(Ocupacao_DW[[#This Row],[Concat]],Vagas!$H:$H,Vagas!$D:$D,"",0)</f>
        <v>0</v>
      </c>
    </row>
    <row r="6266" spans="1:8" x14ac:dyDescent="0.25">
      <c r="A6266" s="2">
        <v>44636</v>
      </c>
      <c r="B6266" s="1" t="s">
        <v>47</v>
      </c>
      <c r="C6266">
        <v>111</v>
      </c>
      <c r="D6266" s="1" t="s">
        <v>199</v>
      </c>
      <c r="E6266" s="1" t="s">
        <v>4</v>
      </c>
      <c r="F6266">
        <v>51</v>
      </c>
      <c r="G6266" s="1" t="str">
        <f>Ocupacao_DW[[#This Row],[data]]&amp;Ocupacao_DW[[#This Row],[profissional_id]]&amp;Ocupacao_DW[[#This Row],[local_id]]</f>
        <v>4463611151</v>
      </c>
      <c r="H6266" s="1">
        <f>_xlfn.XLOOKUP(Ocupacao_DW[[#This Row],[Concat]],Vagas!$H:$H,Vagas!$D:$D,"",0)</f>
        <v>1</v>
      </c>
    </row>
    <row r="6267" spans="1:8" x14ac:dyDescent="0.25">
      <c r="A6267" s="2">
        <v>44636</v>
      </c>
      <c r="B6267" s="1" t="s">
        <v>57</v>
      </c>
      <c r="C6267">
        <v>80</v>
      </c>
      <c r="D6267" s="1" t="s">
        <v>179</v>
      </c>
      <c r="E6267" s="1" t="s">
        <v>167</v>
      </c>
      <c r="F6267">
        <v>346</v>
      </c>
      <c r="G6267" s="1" t="str">
        <f>Ocupacao_DW[[#This Row],[data]]&amp;Ocupacao_DW[[#This Row],[profissional_id]]&amp;Ocupacao_DW[[#This Row],[local_id]]</f>
        <v>4463680346</v>
      </c>
      <c r="H6267" s="1">
        <f>_xlfn.XLOOKUP(Ocupacao_DW[[#This Row],[Concat]],Vagas!$H:$H,Vagas!$D:$D,"",0)</f>
        <v>0</v>
      </c>
    </row>
    <row r="6268" spans="1:8" x14ac:dyDescent="0.25">
      <c r="A6268" s="2">
        <v>44643</v>
      </c>
      <c r="B6268" s="1" t="s">
        <v>70</v>
      </c>
      <c r="C6268">
        <v>12825</v>
      </c>
      <c r="D6268" s="1" t="s">
        <v>177</v>
      </c>
      <c r="E6268" s="1" t="s">
        <v>4</v>
      </c>
      <c r="F6268">
        <v>45</v>
      </c>
      <c r="G6268" s="1" t="str">
        <f>Ocupacao_DW[[#This Row],[data]]&amp;Ocupacao_DW[[#This Row],[profissional_id]]&amp;Ocupacao_DW[[#This Row],[local_id]]</f>
        <v>446431282545</v>
      </c>
      <c r="H6268" s="1">
        <f>_xlfn.XLOOKUP(Ocupacao_DW[[#This Row],[Concat]],Vagas!$H:$H,Vagas!$D:$D,"",0)</f>
        <v>0</v>
      </c>
    </row>
    <row r="6269" spans="1:8" x14ac:dyDescent="0.25">
      <c r="A6269" s="2">
        <v>44636</v>
      </c>
      <c r="B6269" s="1" t="s">
        <v>69</v>
      </c>
      <c r="C6269">
        <v>17878</v>
      </c>
      <c r="D6269" s="1" t="s">
        <v>183</v>
      </c>
      <c r="E6269" s="1" t="s">
        <v>7</v>
      </c>
      <c r="F6269">
        <v>63</v>
      </c>
      <c r="G6269" s="1" t="str">
        <f>Ocupacao_DW[[#This Row],[data]]&amp;Ocupacao_DW[[#This Row],[profissional_id]]&amp;Ocupacao_DW[[#This Row],[local_id]]</f>
        <v>446361787863</v>
      </c>
      <c r="H6269" s="1">
        <f>_xlfn.XLOOKUP(Ocupacao_DW[[#This Row],[Concat]],Vagas!$H:$H,Vagas!$D:$D,"",0)</f>
        <v>0</v>
      </c>
    </row>
    <row r="6270" spans="1:8" x14ac:dyDescent="0.25">
      <c r="A6270" s="2">
        <v>44644</v>
      </c>
      <c r="B6270" s="1" t="s">
        <v>64</v>
      </c>
      <c r="C6270">
        <v>85</v>
      </c>
      <c r="D6270" s="1" t="s">
        <v>211</v>
      </c>
      <c r="E6270" s="1" t="s">
        <v>5</v>
      </c>
      <c r="F6270">
        <v>349</v>
      </c>
      <c r="G6270" s="1" t="str">
        <f>Ocupacao_DW[[#This Row],[data]]&amp;Ocupacao_DW[[#This Row],[profissional_id]]&amp;Ocupacao_DW[[#This Row],[local_id]]</f>
        <v>4464485349</v>
      </c>
      <c r="H6270" s="1">
        <f>_xlfn.XLOOKUP(Ocupacao_DW[[#This Row],[Concat]],Vagas!$H:$H,Vagas!$D:$D,"",0)</f>
        <v>0</v>
      </c>
    </row>
    <row r="6271" spans="1:8" x14ac:dyDescent="0.25">
      <c r="A6271" s="2">
        <v>44635</v>
      </c>
      <c r="B6271" s="1" t="s">
        <v>55</v>
      </c>
      <c r="C6271">
        <v>14452</v>
      </c>
      <c r="D6271" s="1" t="s">
        <v>266</v>
      </c>
      <c r="E6271" s="1" t="s">
        <v>200</v>
      </c>
      <c r="F6271">
        <v>78</v>
      </c>
      <c r="G6271" s="1" t="str">
        <f>Ocupacao_DW[[#This Row],[data]]&amp;Ocupacao_DW[[#This Row],[profissional_id]]&amp;Ocupacao_DW[[#This Row],[local_id]]</f>
        <v>446351445278</v>
      </c>
      <c r="H6271" s="1">
        <f>_xlfn.XLOOKUP(Ocupacao_DW[[#This Row],[Concat]],Vagas!$H:$H,Vagas!$D:$D,"",0)</f>
        <v>0</v>
      </c>
    </row>
    <row r="6272" spans="1:8" x14ac:dyDescent="0.25">
      <c r="A6272" s="2">
        <v>44638</v>
      </c>
      <c r="B6272" s="1" t="s">
        <v>24</v>
      </c>
      <c r="C6272">
        <v>60</v>
      </c>
      <c r="D6272" s="1" t="s">
        <v>217</v>
      </c>
      <c r="E6272" s="1" t="s">
        <v>6</v>
      </c>
      <c r="F6272">
        <v>1</v>
      </c>
      <c r="G6272" s="1" t="str">
        <f>Ocupacao_DW[[#This Row],[data]]&amp;Ocupacao_DW[[#This Row],[profissional_id]]&amp;Ocupacao_DW[[#This Row],[local_id]]</f>
        <v>44638601</v>
      </c>
      <c r="H6272" s="1">
        <f>_xlfn.XLOOKUP(Ocupacao_DW[[#This Row],[Concat]],Vagas!$H:$H,Vagas!$D:$D,"",0)</f>
        <v>0</v>
      </c>
    </row>
    <row r="6273" spans="1:8" x14ac:dyDescent="0.25">
      <c r="A6273" s="2">
        <v>44635</v>
      </c>
      <c r="B6273" s="1" t="s">
        <v>65</v>
      </c>
      <c r="C6273">
        <v>11652</v>
      </c>
      <c r="D6273" s="1" t="s">
        <v>242</v>
      </c>
      <c r="E6273" s="1" t="s">
        <v>4</v>
      </c>
      <c r="F6273">
        <v>47</v>
      </c>
      <c r="G6273" s="1" t="str">
        <f>Ocupacao_DW[[#This Row],[data]]&amp;Ocupacao_DW[[#This Row],[profissional_id]]&amp;Ocupacao_DW[[#This Row],[local_id]]</f>
        <v>446351165247</v>
      </c>
      <c r="H6273" s="1">
        <f>_xlfn.XLOOKUP(Ocupacao_DW[[#This Row],[Concat]],Vagas!$H:$H,Vagas!$D:$D,"",0)</f>
        <v>0</v>
      </c>
    </row>
    <row r="6274" spans="1:8" x14ac:dyDescent="0.25">
      <c r="A6274" s="2">
        <v>44656</v>
      </c>
      <c r="B6274" s="1" t="s">
        <v>55</v>
      </c>
      <c r="C6274">
        <v>73</v>
      </c>
      <c r="D6274" s="1" t="s">
        <v>171</v>
      </c>
      <c r="E6274" s="1" t="s">
        <v>6</v>
      </c>
      <c r="F6274">
        <v>5</v>
      </c>
      <c r="G6274" s="1" t="str">
        <f>Ocupacao_DW[[#This Row],[data]]&amp;Ocupacao_DW[[#This Row],[profissional_id]]&amp;Ocupacao_DW[[#This Row],[local_id]]</f>
        <v>44656735</v>
      </c>
      <c r="H6274" s="1">
        <f>_xlfn.XLOOKUP(Ocupacao_DW[[#This Row],[Concat]],Vagas!$H:$H,Vagas!$D:$D,"",0)</f>
        <v>0</v>
      </c>
    </row>
    <row r="6275" spans="1:8" x14ac:dyDescent="0.25">
      <c r="A6275" s="2">
        <v>44644</v>
      </c>
      <c r="B6275" s="1" t="s">
        <v>55</v>
      </c>
      <c r="C6275">
        <v>8598</v>
      </c>
      <c r="D6275" s="1" t="s">
        <v>228</v>
      </c>
      <c r="E6275" s="1" t="s">
        <v>6</v>
      </c>
      <c r="F6275">
        <v>3</v>
      </c>
      <c r="G6275" s="1" t="str">
        <f>Ocupacao_DW[[#This Row],[data]]&amp;Ocupacao_DW[[#This Row],[profissional_id]]&amp;Ocupacao_DW[[#This Row],[local_id]]</f>
        <v>4464485983</v>
      </c>
      <c r="H6275" s="1">
        <f>_xlfn.XLOOKUP(Ocupacao_DW[[#This Row],[Concat]],Vagas!$H:$H,Vagas!$D:$D,"",0)</f>
        <v>0</v>
      </c>
    </row>
    <row r="6276" spans="1:8" x14ac:dyDescent="0.25">
      <c r="A6276" s="2">
        <v>44651</v>
      </c>
      <c r="B6276" s="1" t="s">
        <v>52</v>
      </c>
      <c r="C6276">
        <v>9217</v>
      </c>
      <c r="D6276" s="1" t="s">
        <v>191</v>
      </c>
      <c r="E6276" s="1" t="s">
        <v>6</v>
      </c>
      <c r="F6276">
        <v>7</v>
      </c>
      <c r="G6276" s="1" t="str">
        <f>Ocupacao_DW[[#This Row],[data]]&amp;Ocupacao_DW[[#This Row],[profissional_id]]&amp;Ocupacao_DW[[#This Row],[local_id]]</f>
        <v>4465192177</v>
      </c>
      <c r="H6276" s="1">
        <f>_xlfn.XLOOKUP(Ocupacao_DW[[#This Row],[Concat]],Vagas!$H:$H,Vagas!$D:$D,"",0)</f>
        <v>0</v>
      </c>
    </row>
    <row r="6277" spans="1:8" x14ac:dyDescent="0.25">
      <c r="A6277" s="2">
        <v>44635</v>
      </c>
      <c r="B6277" s="1"/>
      <c r="C6277">
        <v>0</v>
      </c>
      <c r="D6277" s="1"/>
      <c r="E6277" s="1" t="s">
        <v>167</v>
      </c>
      <c r="F6277">
        <v>25</v>
      </c>
      <c r="G6277" s="1" t="str">
        <f>Ocupacao_DW[[#This Row],[data]]&amp;Ocupacao_DW[[#This Row],[profissional_id]]&amp;Ocupacao_DW[[#This Row],[local_id]]</f>
        <v>44635025</v>
      </c>
      <c r="H6277" s="1" t="str">
        <f>_xlfn.XLOOKUP(Ocupacao_DW[[#This Row],[Concat]],Vagas!$H:$H,Vagas!$D:$D,"",0)</f>
        <v/>
      </c>
    </row>
    <row r="6278" spans="1:8" x14ac:dyDescent="0.25">
      <c r="A6278" s="2">
        <v>44636</v>
      </c>
      <c r="B6278" s="1" t="s">
        <v>47</v>
      </c>
      <c r="C6278">
        <v>110</v>
      </c>
      <c r="D6278" s="1" t="s">
        <v>193</v>
      </c>
      <c r="E6278" s="1" t="s">
        <v>4</v>
      </c>
      <c r="F6278">
        <v>334</v>
      </c>
      <c r="G6278" s="1" t="str">
        <f>Ocupacao_DW[[#This Row],[data]]&amp;Ocupacao_DW[[#This Row],[profissional_id]]&amp;Ocupacao_DW[[#This Row],[local_id]]</f>
        <v>44636110334</v>
      </c>
      <c r="H6278" s="1">
        <f>_xlfn.XLOOKUP(Ocupacao_DW[[#This Row],[Concat]],Vagas!$H:$H,Vagas!$D:$D,"",0)</f>
        <v>0</v>
      </c>
    </row>
    <row r="6279" spans="1:8" x14ac:dyDescent="0.25">
      <c r="A6279" s="2">
        <v>44641</v>
      </c>
      <c r="B6279" s="1" t="s">
        <v>52</v>
      </c>
      <c r="C6279">
        <v>10946</v>
      </c>
      <c r="D6279" s="1" t="s">
        <v>209</v>
      </c>
      <c r="E6279" s="1" t="s">
        <v>6</v>
      </c>
      <c r="F6279">
        <v>3</v>
      </c>
      <c r="G6279" s="1" t="str">
        <f>Ocupacao_DW[[#This Row],[data]]&amp;Ocupacao_DW[[#This Row],[profissional_id]]&amp;Ocupacao_DW[[#This Row],[local_id]]</f>
        <v>44641109463</v>
      </c>
      <c r="H6279" s="1">
        <f>_xlfn.XLOOKUP(Ocupacao_DW[[#This Row],[Concat]],Vagas!$H:$H,Vagas!$D:$D,"",0)</f>
        <v>0</v>
      </c>
    </row>
    <row r="6280" spans="1:8" x14ac:dyDescent="0.25">
      <c r="A6280" s="2">
        <v>44651</v>
      </c>
      <c r="B6280" s="1" t="s">
        <v>55</v>
      </c>
      <c r="C6280">
        <v>8598</v>
      </c>
      <c r="D6280" s="1" t="s">
        <v>228</v>
      </c>
      <c r="E6280" s="1" t="s">
        <v>6</v>
      </c>
      <c r="F6280">
        <v>3</v>
      </c>
      <c r="G6280" s="1" t="str">
        <f>Ocupacao_DW[[#This Row],[data]]&amp;Ocupacao_DW[[#This Row],[profissional_id]]&amp;Ocupacao_DW[[#This Row],[local_id]]</f>
        <v>4465185983</v>
      </c>
      <c r="H6280" s="1">
        <f>_xlfn.XLOOKUP(Ocupacao_DW[[#This Row],[Concat]],Vagas!$H:$H,Vagas!$D:$D,"",0)</f>
        <v>0</v>
      </c>
    </row>
    <row r="6281" spans="1:8" x14ac:dyDescent="0.25">
      <c r="A6281" s="2">
        <v>44638</v>
      </c>
      <c r="B6281" s="1" t="s">
        <v>72</v>
      </c>
      <c r="C6281">
        <v>1794</v>
      </c>
      <c r="D6281" s="1" t="s">
        <v>235</v>
      </c>
      <c r="E6281" s="1" t="s">
        <v>4</v>
      </c>
      <c r="F6281">
        <v>46</v>
      </c>
      <c r="G6281" s="1" t="str">
        <f>Ocupacao_DW[[#This Row],[data]]&amp;Ocupacao_DW[[#This Row],[profissional_id]]&amp;Ocupacao_DW[[#This Row],[local_id]]</f>
        <v>44638179446</v>
      </c>
      <c r="H6281" s="1">
        <f>_xlfn.XLOOKUP(Ocupacao_DW[[#This Row],[Concat]],Vagas!$H:$H,Vagas!$D:$D,"",0)</f>
        <v>0</v>
      </c>
    </row>
    <row r="6282" spans="1:8" x14ac:dyDescent="0.25">
      <c r="A6282" s="2">
        <v>44651</v>
      </c>
      <c r="B6282" s="1" t="s">
        <v>64</v>
      </c>
      <c r="C6282">
        <v>85</v>
      </c>
      <c r="D6282" s="1" t="s">
        <v>211</v>
      </c>
      <c r="E6282" s="1" t="s">
        <v>5</v>
      </c>
      <c r="F6282">
        <v>349</v>
      </c>
      <c r="G6282" s="1" t="str">
        <f>Ocupacao_DW[[#This Row],[data]]&amp;Ocupacao_DW[[#This Row],[profissional_id]]&amp;Ocupacao_DW[[#This Row],[local_id]]</f>
        <v>4465185349</v>
      </c>
      <c r="H6282" s="1">
        <f>_xlfn.XLOOKUP(Ocupacao_DW[[#This Row],[Concat]],Vagas!$H:$H,Vagas!$D:$D,"",0)</f>
        <v>0</v>
      </c>
    </row>
    <row r="6283" spans="1:8" x14ac:dyDescent="0.25">
      <c r="A6283" s="2">
        <v>44644</v>
      </c>
      <c r="B6283" s="1" t="s">
        <v>71</v>
      </c>
      <c r="C6283">
        <v>76</v>
      </c>
      <c r="D6283" s="1" t="s">
        <v>227</v>
      </c>
      <c r="E6283" s="1" t="s">
        <v>4</v>
      </c>
      <c r="F6283">
        <v>48</v>
      </c>
      <c r="G6283" s="1" t="str">
        <f>Ocupacao_DW[[#This Row],[data]]&amp;Ocupacao_DW[[#This Row],[profissional_id]]&amp;Ocupacao_DW[[#This Row],[local_id]]</f>
        <v>446447648</v>
      </c>
      <c r="H6283" s="1">
        <f>_xlfn.XLOOKUP(Ocupacao_DW[[#This Row],[Concat]],Vagas!$H:$H,Vagas!$D:$D,"",0)</f>
        <v>0</v>
      </c>
    </row>
    <row r="6284" spans="1:8" x14ac:dyDescent="0.25">
      <c r="A6284" s="2">
        <v>44636</v>
      </c>
      <c r="B6284" s="1" t="s">
        <v>72</v>
      </c>
      <c r="C6284">
        <v>1794</v>
      </c>
      <c r="D6284" s="1" t="s">
        <v>235</v>
      </c>
      <c r="E6284" s="1" t="s">
        <v>4</v>
      </c>
      <c r="F6284">
        <v>49</v>
      </c>
      <c r="G6284" s="1" t="str">
        <f>Ocupacao_DW[[#This Row],[data]]&amp;Ocupacao_DW[[#This Row],[profissional_id]]&amp;Ocupacao_DW[[#This Row],[local_id]]</f>
        <v>44636179449</v>
      </c>
      <c r="H6284" s="1">
        <f>_xlfn.XLOOKUP(Ocupacao_DW[[#This Row],[Concat]],Vagas!$H:$H,Vagas!$D:$D,"",0)</f>
        <v>0</v>
      </c>
    </row>
    <row r="6285" spans="1:8" x14ac:dyDescent="0.25">
      <c r="A6285" s="2">
        <v>44644</v>
      </c>
      <c r="B6285" s="1" t="s">
        <v>55</v>
      </c>
      <c r="C6285">
        <v>12426</v>
      </c>
      <c r="D6285" s="1" t="s">
        <v>215</v>
      </c>
      <c r="E6285" s="1" t="s">
        <v>6</v>
      </c>
      <c r="F6285">
        <v>5</v>
      </c>
      <c r="G6285" s="1" t="str">
        <f>Ocupacao_DW[[#This Row],[data]]&amp;Ocupacao_DW[[#This Row],[profissional_id]]&amp;Ocupacao_DW[[#This Row],[local_id]]</f>
        <v>44644124265</v>
      </c>
      <c r="H6285" s="1">
        <f>_xlfn.XLOOKUP(Ocupacao_DW[[#This Row],[Concat]],Vagas!$H:$H,Vagas!$D:$D,"",0)</f>
        <v>0</v>
      </c>
    </row>
    <row r="6286" spans="1:8" x14ac:dyDescent="0.25">
      <c r="A6286" s="2">
        <v>44641</v>
      </c>
      <c r="B6286" s="1" t="s">
        <v>47</v>
      </c>
      <c r="C6286">
        <v>12679</v>
      </c>
      <c r="D6286" s="1" t="s">
        <v>192</v>
      </c>
      <c r="E6286" s="1" t="s">
        <v>4</v>
      </c>
      <c r="F6286">
        <v>334</v>
      </c>
      <c r="G6286" s="1" t="str">
        <f>Ocupacao_DW[[#This Row],[data]]&amp;Ocupacao_DW[[#This Row],[profissional_id]]&amp;Ocupacao_DW[[#This Row],[local_id]]</f>
        <v>4464112679334</v>
      </c>
      <c r="H6286" s="1">
        <f>_xlfn.XLOOKUP(Ocupacao_DW[[#This Row],[Concat]],Vagas!$H:$H,Vagas!$D:$D,"",0)</f>
        <v>0</v>
      </c>
    </row>
    <row r="6287" spans="1:8" x14ac:dyDescent="0.25">
      <c r="A6287" s="2">
        <v>44638</v>
      </c>
      <c r="B6287" s="1" t="s">
        <v>47</v>
      </c>
      <c r="C6287">
        <v>12684</v>
      </c>
      <c r="D6287" s="1" t="s">
        <v>236</v>
      </c>
      <c r="E6287" s="1" t="s">
        <v>200</v>
      </c>
      <c r="F6287">
        <v>85</v>
      </c>
      <c r="G6287" s="1" t="str">
        <f>Ocupacao_DW[[#This Row],[data]]&amp;Ocupacao_DW[[#This Row],[profissional_id]]&amp;Ocupacao_DW[[#This Row],[local_id]]</f>
        <v>446381268485</v>
      </c>
      <c r="H6287" s="1">
        <f>_xlfn.XLOOKUP(Ocupacao_DW[[#This Row],[Concat]],Vagas!$H:$H,Vagas!$D:$D,"",0)</f>
        <v>0</v>
      </c>
    </row>
    <row r="6288" spans="1:8" x14ac:dyDescent="0.25">
      <c r="A6288" s="2">
        <v>44636</v>
      </c>
      <c r="B6288" s="1" t="s">
        <v>47</v>
      </c>
      <c r="C6288">
        <v>17859</v>
      </c>
      <c r="D6288" s="1" t="s">
        <v>212</v>
      </c>
      <c r="E6288" s="1" t="s">
        <v>4</v>
      </c>
      <c r="F6288">
        <v>336</v>
      </c>
      <c r="G6288" s="1" t="str">
        <f>Ocupacao_DW[[#This Row],[data]]&amp;Ocupacao_DW[[#This Row],[profissional_id]]&amp;Ocupacao_DW[[#This Row],[local_id]]</f>
        <v>4463617859336</v>
      </c>
      <c r="H6288" s="1">
        <f>_xlfn.XLOOKUP(Ocupacao_DW[[#This Row],[Concat]],Vagas!$H:$H,Vagas!$D:$D,"",0)</f>
        <v>0</v>
      </c>
    </row>
    <row r="6289" spans="1:8" x14ac:dyDescent="0.25">
      <c r="A6289" s="2">
        <v>44635</v>
      </c>
      <c r="B6289" s="1" t="s">
        <v>67</v>
      </c>
      <c r="C6289">
        <v>7290</v>
      </c>
      <c r="D6289" s="1" t="s">
        <v>247</v>
      </c>
      <c r="E6289" s="1" t="s">
        <v>5</v>
      </c>
      <c r="F6289">
        <v>18</v>
      </c>
      <c r="G6289" s="1" t="str">
        <f>Ocupacao_DW[[#This Row],[data]]&amp;Ocupacao_DW[[#This Row],[profissional_id]]&amp;Ocupacao_DW[[#This Row],[local_id]]</f>
        <v>44635729018</v>
      </c>
      <c r="H6289" s="1">
        <f>_xlfn.XLOOKUP(Ocupacao_DW[[#This Row],[Concat]],Vagas!$H:$H,Vagas!$D:$D,"",0)</f>
        <v>0</v>
      </c>
    </row>
    <row r="6290" spans="1:8" x14ac:dyDescent="0.25">
      <c r="A6290" s="2">
        <v>44653</v>
      </c>
      <c r="B6290" s="1" t="s">
        <v>62</v>
      </c>
      <c r="C6290">
        <v>4887</v>
      </c>
      <c r="D6290" s="1" t="s">
        <v>168</v>
      </c>
      <c r="E6290" s="1" t="s">
        <v>5</v>
      </c>
      <c r="F6290">
        <v>18</v>
      </c>
      <c r="G6290" s="1" t="str">
        <f>Ocupacao_DW[[#This Row],[data]]&amp;Ocupacao_DW[[#This Row],[profissional_id]]&amp;Ocupacao_DW[[#This Row],[local_id]]</f>
        <v>44653488718</v>
      </c>
      <c r="H6290" s="1">
        <f>_xlfn.XLOOKUP(Ocupacao_DW[[#This Row],[Concat]],Vagas!$H:$H,Vagas!$D:$D,"",0)</f>
        <v>0</v>
      </c>
    </row>
    <row r="6291" spans="1:8" x14ac:dyDescent="0.25">
      <c r="A6291" s="2">
        <v>44641</v>
      </c>
      <c r="B6291" s="1" t="s">
        <v>52</v>
      </c>
      <c r="C6291">
        <v>10595</v>
      </c>
      <c r="D6291" s="1" t="s">
        <v>218</v>
      </c>
      <c r="E6291" s="1" t="s">
        <v>200</v>
      </c>
      <c r="F6291">
        <v>78</v>
      </c>
      <c r="G6291" s="1" t="str">
        <f>Ocupacao_DW[[#This Row],[data]]&amp;Ocupacao_DW[[#This Row],[profissional_id]]&amp;Ocupacao_DW[[#This Row],[local_id]]</f>
        <v>446411059578</v>
      </c>
      <c r="H6291" s="1">
        <f>_xlfn.XLOOKUP(Ocupacao_DW[[#This Row],[Concat]],Vagas!$H:$H,Vagas!$D:$D,"",0)</f>
        <v>0</v>
      </c>
    </row>
    <row r="6292" spans="1:8" x14ac:dyDescent="0.25">
      <c r="A6292" s="2">
        <v>44636</v>
      </c>
      <c r="B6292" s="1" t="s">
        <v>49</v>
      </c>
      <c r="C6292">
        <v>81</v>
      </c>
      <c r="D6292" s="1" t="s">
        <v>170</v>
      </c>
      <c r="E6292" s="1" t="s">
        <v>4</v>
      </c>
      <c r="F6292">
        <v>41</v>
      </c>
      <c r="G6292" s="1" t="str">
        <f>Ocupacao_DW[[#This Row],[data]]&amp;Ocupacao_DW[[#This Row],[profissional_id]]&amp;Ocupacao_DW[[#This Row],[local_id]]</f>
        <v>446368141</v>
      </c>
      <c r="H6292" s="1">
        <f>_xlfn.XLOOKUP(Ocupacao_DW[[#This Row],[Concat]],Vagas!$H:$H,Vagas!$D:$D,"",0)</f>
        <v>0</v>
      </c>
    </row>
    <row r="6293" spans="1:8" x14ac:dyDescent="0.25">
      <c r="A6293" s="2">
        <v>44637</v>
      </c>
      <c r="B6293" s="1" t="s">
        <v>64</v>
      </c>
      <c r="C6293">
        <v>85</v>
      </c>
      <c r="D6293" s="1" t="s">
        <v>211</v>
      </c>
      <c r="E6293" s="1" t="s">
        <v>5</v>
      </c>
      <c r="F6293">
        <v>349</v>
      </c>
      <c r="G6293" s="1" t="str">
        <f>Ocupacao_DW[[#This Row],[data]]&amp;Ocupacao_DW[[#This Row],[profissional_id]]&amp;Ocupacao_DW[[#This Row],[local_id]]</f>
        <v>4463785349</v>
      </c>
      <c r="H6293" s="1">
        <f>_xlfn.XLOOKUP(Ocupacao_DW[[#This Row],[Concat]],Vagas!$H:$H,Vagas!$D:$D,"",0)</f>
        <v>0</v>
      </c>
    </row>
    <row r="6294" spans="1:8" x14ac:dyDescent="0.25">
      <c r="A6294" s="2">
        <v>44639</v>
      </c>
      <c r="B6294" s="1" t="s">
        <v>72</v>
      </c>
      <c r="C6294">
        <v>6046</v>
      </c>
      <c r="D6294" s="1" t="s">
        <v>222</v>
      </c>
      <c r="E6294" s="1" t="s">
        <v>4</v>
      </c>
      <c r="F6294">
        <v>46</v>
      </c>
      <c r="G6294" s="1" t="str">
        <f>Ocupacao_DW[[#This Row],[data]]&amp;Ocupacao_DW[[#This Row],[profissional_id]]&amp;Ocupacao_DW[[#This Row],[local_id]]</f>
        <v>44639604646</v>
      </c>
      <c r="H6294" s="1">
        <f>_xlfn.XLOOKUP(Ocupacao_DW[[#This Row],[Concat]],Vagas!$H:$H,Vagas!$D:$D,"",0)</f>
        <v>0</v>
      </c>
    </row>
    <row r="6295" spans="1:8" x14ac:dyDescent="0.25">
      <c r="A6295" s="2">
        <v>44643</v>
      </c>
      <c r="B6295" s="1" t="s">
        <v>65</v>
      </c>
      <c r="C6295">
        <v>11652</v>
      </c>
      <c r="D6295" s="1" t="s">
        <v>242</v>
      </c>
      <c r="E6295" s="1" t="s">
        <v>7</v>
      </c>
      <c r="F6295">
        <v>69</v>
      </c>
      <c r="G6295" s="1" t="str">
        <f>Ocupacao_DW[[#This Row],[data]]&amp;Ocupacao_DW[[#This Row],[profissional_id]]&amp;Ocupacao_DW[[#This Row],[local_id]]</f>
        <v>446431165269</v>
      </c>
      <c r="H6295" s="1">
        <f>_xlfn.XLOOKUP(Ocupacao_DW[[#This Row],[Concat]],Vagas!$H:$H,Vagas!$D:$D,"",0)</f>
        <v>0</v>
      </c>
    </row>
    <row r="6296" spans="1:8" x14ac:dyDescent="0.25">
      <c r="A6296" s="2">
        <v>44637</v>
      </c>
      <c r="B6296" s="1" t="s">
        <v>50</v>
      </c>
      <c r="C6296">
        <v>4814</v>
      </c>
      <c r="D6296" s="1" t="s">
        <v>189</v>
      </c>
      <c r="E6296" s="1" t="s">
        <v>5</v>
      </c>
      <c r="F6296">
        <v>14</v>
      </c>
      <c r="G6296" s="1" t="str">
        <f>Ocupacao_DW[[#This Row],[data]]&amp;Ocupacao_DW[[#This Row],[profissional_id]]&amp;Ocupacao_DW[[#This Row],[local_id]]</f>
        <v>44637481414</v>
      </c>
      <c r="H6296" s="1">
        <f>_xlfn.XLOOKUP(Ocupacao_DW[[#This Row],[Concat]],Vagas!$H:$H,Vagas!$D:$D,"",0)</f>
        <v>0</v>
      </c>
    </row>
    <row r="6297" spans="1:8" x14ac:dyDescent="0.25">
      <c r="A6297" s="2">
        <v>44649</v>
      </c>
      <c r="B6297" s="1" t="s">
        <v>70</v>
      </c>
      <c r="C6297">
        <v>14237</v>
      </c>
      <c r="D6297" s="1" t="s">
        <v>186</v>
      </c>
      <c r="E6297" s="1" t="s">
        <v>4</v>
      </c>
      <c r="F6297">
        <v>47</v>
      </c>
      <c r="G6297" s="1" t="str">
        <f>Ocupacao_DW[[#This Row],[data]]&amp;Ocupacao_DW[[#This Row],[profissional_id]]&amp;Ocupacao_DW[[#This Row],[local_id]]</f>
        <v>446491423747</v>
      </c>
      <c r="H6297" s="1">
        <f>_xlfn.XLOOKUP(Ocupacao_DW[[#This Row],[Concat]],Vagas!$H:$H,Vagas!$D:$D,"",0)</f>
        <v>0</v>
      </c>
    </row>
    <row r="6298" spans="1:8" x14ac:dyDescent="0.25">
      <c r="A6298" s="2">
        <v>44637</v>
      </c>
      <c r="B6298" s="1"/>
      <c r="C6298">
        <v>0</v>
      </c>
      <c r="D6298" s="1"/>
      <c r="E6298" s="1" t="s">
        <v>4</v>
      </c>
      <c r="F6298">
        <v>39</v>
      </c>
      <c r="G6298" s="1" t="str">
        <f>Ocupacao_DW[[#This Row],[data]]&amp;Ocupacao_DW[[#This Row],[profissional_id]]&amp;Ocupacao_DW[[#This Row],[local_id]]</f>
        <v>44637039</v>
      </c>
      <c r="H6298" s="1" t="str">
        <f>_xlfn.XLOOKUP(Ocupacao_DW[[#This Row],[Concat]],Vagas!$H:$H,Vagas!$D:$D,"",0)</f>
        <v/>
      </c>
    </row>
    <row r="6299" spans="1:8" x14ac:dyDescent="0.25">
      <c r="A6299" s="2">
        <v>44641</v>
      </c>
      <c r="B6299" s="1" t="s">
        <v>60</v>
      </c>
      <c r="C6299">
        <v>117</v>
      </c>
      <c r="D6299" s="1" t="s">
        <v>180</v>
      </c>
      <c r="E6299" s="1" t="s">
        <v>4</v>
      </c>
      <c r="F6299">
        <v>48</v>
      </c>
      <c r="G6299" s="1" t="str">
        <f>Ocupacao_DW[[#This Row],[data]]&amp;Ocupacao_DW[[#This Row],[profissional_id]]&amp;Ocupacao_DW[[#This Row],[local_id]]</f>
        <v>4464111748</v>
      </c>
      <c r="H6299" s="1">
        <f>_xlfn.XLOOKUP(Ocupacao_DW[[#This Row],[Concat]],Vagas!$H:$H,Vagas!$D:$D,"",0)</f>
        <v>0</v>
      </c>
    </row>
    <row r="6300" spans="1:8" x14ac:dyDescent="0.25">
      <c r="A6300" s="2">
        <v>44643</v>
      </c>
      <c r="B6300" s="1" t="s">
        <v>49</v>
      </c>
      <c r="C6300">
        <v>6430</v>
      </c>
      <c r="D6300" s="1" t="s">
        <v>188</v>
      </c>
      <c r="E6300" s="1" t="s">
        <v>4</v>
      </c>
      <c r="F6300">
        <v>42</v>
      </c>
      <c r="G6300" s="1" t="str">
        <f>Ocupacao_DW[[#This Row],[data]]&amp;Ocupacao_DW[[#This Row],[profissional_id]]&amp;Ocupacao_DW[[#This Row],[local_id]]</f>
        <v>44643643042</v>
      </c>
      <c r="H6300" s="1">
        <f>_xlfn.XLOOKUP(Ocupacao_DW[[#This Row],[Concat]],Vagas!$H:$H,Vagas!$D:$D,"",0)</f>
        <v>0</v>
      </c>
    </row>
    <row r="6301" spans="1:8" x14ac:dyDescent="0.25">
      <c r="A6301" s="2">
        <v>44638</v>
      </c>
      <c r="B6301" s="1" t="s">
        <v>66</v>
      </c>
      <c r="C6301">
        <v>3158</v>
      </c>
      <c r="D6301" s="1" t="s">
        <v>267</v>
      </c>
      <c r="E6301" s="1" t="s">
        <v>167</v>
      </c>
      <c r="F6301">
        <v>342</v>
      </c>
      <c r="G6301" s="1" t="str">
        <f>Ocupacao_DW[[#This Row],[data]]&amp;Ocupacao_DW[[#This Row],[profissional_id]]&amp;Ocupacao_DW[[#This Row],[local_id]]</f>
        <v>446383158342</v>
      </c>
      <c r="H6301" s="1">
        <f>_xlfn.XLOOKUP(Ocupacao_DW[[#This Row],[Concat]],Vagas!$H:$H,Vagas!$D:$D,"",0)</f>
        <v>0</v>
      </c>
    </row>
    <row r="6302" spans="1:8" x14ac:dyDescent="0.25">
      <c r="A6302" s="2">
        <v>44643</v>
      </c>
      <c r="B6302" s="1" t="s">
        <v>62</v>
      </c>
      <c r="C6302">
        <v>10799</v>
      </c>
      <c r="D6302" s="1" t="s">
        <v>204</v>
      </c>
      <c r="E6302" s="1" t="s">
        <v>5</v>
      </c>
      <c r="F6302">
        <v>18</v>
      </c>
      <c r="G6302" s="1" t="str">
        <f>Ocupacao_DW[[#This Row],[data]]&amp;Ocupacao_DW[[#This Row],[profissional_id]]&amp;Ocupacao_DW[[#This Row],[local_id]]</f>
        <v>446431079918</v>
      </c>
      <c r="H6302" s="1">
        <f>_xlfn.XLOOKUP(Ocupacao_DW[[#This Row],[Concat]],Vagas!$H:$H,Vagas!$D:$D,"",0)</f>
        <v>0</v>
      </c>
    </row>
    <row r="6303" spans="1:8" x14ac:dyDescent="0.25">
      <c r="A6303" s="2">
        <v>44641</v>
      </c>
      <c r="B6303" s="1" t="s">
        <v>52</v>
      </c>
      <c r="C6303">
        <v>10946</v>
      </c>
      <c r="D6303" s="1" t="s">
        <v>209</v>
      </c>
      <c r="E6303" s="1" t="s">
        <v>6</v>
      </c>
      <c r="F6303">
        <v>3</v>
      </c>
      <c r="G6303" s="1" t="str">
        <f>Ocupacao_DW[[#This Row],[data]]&amp;Ocupacao_DW[[#This Row],[profissional_id]]&amp;Ocupacao_DW[[#This Row],[local_id]]</f>
        <v>44641109463</v>
      </c>
      <c r="H6303" s="1">
        <f>_xlfn.XLOOKUP(Ocupacao_DW[[#This Row],[Concat]],Vagas!$H:$H,Vagas!$D:$D,"",0)</f>
        <v>0</v>
      </c>
    </row>
    <row r="6304" spans="1:8" x14ac:dyDescent="0.25">
      <c r="A6304" s="2">
        <v>44636</v>
      </c>
      <c r="B6304" s="1"/>
      <c r="C6304">
        <v>0</v>
      </c>
      <c r="D6304" s="1"/>
      <c r="E6304" s="1" t="s">
        <v>167</v>
      </c>
      <c r="F6304">
        <v>24</v>
      </c>
      <c r="G6304" s="1" t="str">
        <f>Ocupacao_DW[[#This Row],[data]]&amp;Ocupacao_DW[[#This Row],[profissional_id]]&amp;Ocupacao_DW[[#This Row],[local_id]]</f>
        <v>44636024</v>
      </c>
      <c r="H6304" s="1" t="str">
        <f>_xlfn.XLOOKUP(Ocupacao_DW[[#This Row],[Concat]],Vagas!$H:$H,Vagas!$D:$D,"",0)</f>
        <v/>
      </c>
    </row>
    <row r="6305" spans="1:8" x14ac:dyDescent="0.25">
      <c r="A6305" s="2">
        <v>44638</v>
      </c>
      <c r="B6305" s="1" t="s">
        <v>47</v>
      </c>
      <c r="C6305">
        <v>9111</v>
      </c>
      <c r="D6305" s="1" t="s">
        <v>206</v>
      </c>
      <c r="E6305" s="1" t="s">
        <v>4</v>
      </c>
      <c r="F6305">
        <v>51</v>
      </c>
      <c r="G6305" s="1" t="str">
        <f>Ocupacao_DW[[#This Row],[data]]&amp;Ocupacao_DW[[#This Row],[profissional_id]]&amp;Ocupacao_DW[[#This Row],[local_id]]</f>
        <v>44638911151</v>
      </c>
      <c r="H6305" s="1">
        <f>_xlfn.XLOOKUP(Ocupacao_DW[[#This Row],[Concat]],Vagas!$H:$H,Vagas!$D:$D,"",0)</f>
        <v>0</v>
      </c>
    </row>
    <row r="6306" spans="1:8" x14ac:dyDescent="0.25">
      <c r="A6306" s="2">
        <v>44636</v>
      </c>
      <c r="B6306" s="1" t="s">
        <v>54</v>
      </c>
      <c r="C6306">
        <v>70</v>
      </c>
      <c r="D6306" s="1" t="s">
        <v>187</v>
      </c>
      <c r="E6306" s="1" t="s">
        <v>5</v>
      </c>
      <c r="F6306">
        <v>13</v>
      </c>
      <c r="G6306" s="1" t="str">
        <f>Ocupacao_DW[[#This Row],[data]]&amp;Ocupacao_DW[[#This Row],[profissional_id]]&amp;Ocupacao_DW[[#This Row],[local_id]]</f>
        <v>446367013</v>
      </c>
      <c r="H6306" s="1">
        <f>_xlfn.XLOOKUP(Ocupacao_DW[[#This Row],[Concat]],Vagas!$H:$H,Vagas!$D:$D,"",0)</f>
        <v>0</v>
      </c>
    </row>
    <row r="6307" spans="1:8" x14ac:dyDescent="0.25">
      <c r="A6307" s="2">
        <v>44638</v>
      </c>
      <c r="B6307" s="1" t="s">
        <v>72</v>
      </c>
      <c r="C6307">
        <v>13479</v>
      </c>
      <c r="D6307" s="1" t="s">
        <v>203</v>
      </c>
      <c r="E6307" s="1" t="s">
        <v>200</v>
      </c>
      <c r="F6307">
        <v>83</v>
      </c>
      <c r="G6307" s="1" t="str">
        <f>Ocupacao_DW[[#This Row],[data]]&amp;Ocupacao_DW[[#This Row],[profissional_id]]&amp;Ocupacao_DW[[#This Row],[local_id]]</f>
        <v>446381347983</v>
      </c>
      <c r="H6307" s="1">
        <f>_xlfn.XLOOKUP(Ocupacao_DW[[#This Row],[Concat]],Vagas!$H:$H,Vagas!$D:$D,"",0)</f>
        <v>0</v>
      </c>
    </row>
    <row r="6308" spans="1:8" x14ac:dyDescent="0.25">
      <c r="A6308" s="2">
        <v>44649</v>
      </c>
      <c r="B6308" s="1" t="s">
        <v>47</v>
      </c>
      <c r="C6308">
        <v>111</v>
      </c>
      <c r="D6308" s="1" t="s">
        <v>199</v>
      </c>
      <c r="E6308" s="1" t="s">
        <v>4</v>
      </c>
      <c r="F6308">
        <v>51</v>
      </c>
      <c r="G6308" s="1" t="str">
        <f>Ocupacao_DW[[#This Row],[data]]&amp;Ocupacao_DW[[#This Row],[profissional_id]]&amp;Ocupacao_DW[[#This Row],[local_id]]</f>
        <v>4464911151</v>
      </c>
      <c r="H6308" s="1">
        <f>_xlfn.XLOOKUP(Ocupacao_DW[[#This Row],[Concat]],Vagas!$H:$H,Vagas!$D:$D,"",0)</f>
        <v>39</v>
      </c>
    </row>
    <row r="6309" spans="1:8" x14ac:dyDescent="0.25">
      <c r="A6309" s="2">
        <v>44645</v>
      </c>
      <c r="B6309" s="1" t="s">
        <v>49</v>
      </c>
      <c r="C6309">
        <v>6430</v>
      </c>
      <c r="D6309" s="1" t="s">
        <v>188</v>
      </c>
      <c r="E6309" s="1" t="s">
        <v>4</v>
      </c>
      <c r="F6309">
        <v>42</v>
      </c>
      <c r="G6309" s="1" t="str">
        <f>Ocupacao_DW[[#This Row],[data]]&amp;Ocupacao_DW[[#This Row],[profissional_id]]&amp;Ocupacao_DW[[#This Row],[local_id]]</f>
        <v>44645643042</v>
      </c>
      <c r="H6309" s="1">
        <f>_xlfn.XLOOKUP(Ocupacao_DW[[#This Row],[Concat]],Vagas!$H:$H,Vagas!$D:$D,"",0)</f>
        <v>0</v>
      </c>
    </row>
    <row r="6310" spans="1:8" x14ac:dyDescent="0.25">
      <c r="A6310" s="2">
        <v>44657</v>
      </c>
      <c r="B6310" s="1" t="s">
        <v>55</v>
      </c>
      <c r="C6310">
        <v>74</v>
      </c>
      <c r="D6310" s="1" t="s">
        <v>182</v>
      </c>
      <c r="E6310" s="1" t="s">
        <v>6</v>
      </c>
      <c r="F6310">
        <v>7</v>
      </c>
      <c r="G6310" s="1" t="str">
        <f>Ocupacao_DW[[#This Row],[data]]&amp;Ocupacao_DW[[#This Row],[profissional_id]]&amp;Ocupacao_DW[[#This Row],[local_id]]</f>
        <v>44657747</v>
      </c>
      <c r="H6310" s="1">
        <f>_xlfn.XLOOKUP(Ocupacao_DW[[#This Row],[Concat]],Vagas!$H:$H,Vagas!$D:$D,"",0)</f>
        <v>0</v>
      </c>
    </row>
    <row r="6311" spans="1:8" x14ac:dyDescent="0.25">
      <c r="A6311" s="2">
        <v>44636</v>
      </c>
      <c r="B6311" s="1" t="s">
        <v>52</v>
      </c>
      <c r="C6311">
        <v>10946</v>
      </c>
      <c r="D6311" s="1" t="s">
        <v>209</v>
      </c>
      <c r="E6311" s="1" t="s">
        <v>7</v>
      </c>
      <c r="F6311">
        <v>60</v>
      </c>
      <c r="G6311" s="1" t="str">
        <f>Ocupacao_DW[[#This Row],[data]]&amp;Ocupacao_DW[[#This Row],[profissional_id]]&amp;Ocupacao_DW[[#This Row],[local_id]]</f>
        <v>446361094660</v>
      </c>
      <c r="H6311" s="1">
        <f>_xlfn.XLOOKUP(Ocupacao_DW[[#This Row],[Concat]],Vagas!$H:$H,Vagas!$D:$D,"",0)</f>
        <v>0</v>
      </c>
    </row>
    <row r="6312" spans="1:8" x14ac:dyDescent="0.25">
      <c r="A6312" s="2">
        <v>44636</v>
      </c>
      <c r="B6312" s="1" t="s">
        <v>50</v>
      </c>
      <c r="C6312">
        <v>10785</v>
      </c>
      <c r="D6312" s="1" t="s">
        <v>237</v>
      </c>
      <c r="E6312" s="1" t="s">
        <v>5</v>
      </c>
      <c r="F6312">
        <v>14</v>
      </c>
      <c r="G6312" s="1" t="str">
        <f>Ocupacao_DW[[#This Row],[data]]&amp;Ocupacao_DW[[#This Row],[profissional_id]]&amp;Ocupacao_DW[[#This Row],[local_id]]</f>
        <v>446361078514</v>
      </c>
      <c r="H6312" s="1">
        <f>_xlfn.XLOOKUP(Ocupacao_DW[[#This Row],[Concat]],Vagas!$H:$H,Vagas!$D:$D,"",0)</f>
        <v>8</v>
      </c>
    </row>
    <row r="6313" spans="1:8" x14ac:dyDescent="0.25">
      <c r="A6313" s="2">
        <v>44639</v>
      </c>
      <c r="B6313" s="1" t="s">
        <v>43</v>
      </c>
      <c r="C6313">
        <v>57</v>
      </c>
      <c r="D6313" s="1" t="s">
        <v>169</v>
      </c>
      <c r="E6313" s="1" t="s">
        <v>6</v>
      </c>
      <c r="F6313">
        <v>2</v>
      </c>
      <c r="G6313" s="1" t="str">
        <f>Ocupacao_DW[[#This Row],[data]]&amp;Ocupacao_DW[[#This Row],[profissional_id]]&amp;Ocupacao_DW[[#This Row],[local_id]]</f>
        <v>44639572</v>
      </c>
      <c r="H6313" s="1">
        <f>_xlfn.XLOOKUP(Ocupacao_DW[[#This Row],[Concat]],Vagas!$H:$H,Vagas!$D:$D,"",0)</f>
        <v>0</v>
      </c>
    </row>
    <row r="6314" spans="1:8" x14ac:dyDescent="0.25">
      <c r="A6314" s="2">
        <v>44639</v>
      </c>
      <c r="B6314" s="1" t="s">
        <v>54</v>
      </c>
      <c r="C6314">
        <v>70</v>
      </c>
      <c r="D6314" s="1" t="s">
        <v>187</v>
      </c>
      <c r="E6314" s="1" t="s">
        <v>5</v>
      </c>
      <c r="F6314">
        <v>13</v>
      </c>
      <c r="G6314" s="1" t="str">
        <f>Ocupacao_DW[[#This Row],[data]]&amp;Ocupacao_DW[[#This Row],[profissional_id]]&amp;Ocupacao_DW[[#This Row],[local_id]]</f>
        <v>446397013</v>
      </c>
      <c r="H6314" s="1">
        <f>_xlfn.XLOOKUP(Ocupacao_DW[[#This Row],[Concat]],Vagas!$H:$H,Vagas!$D:$D,"",0)</f>
        <v>0</v>
      </c>
    </row>
    <row r="6315" spans="1:8" x14ac:dyDescent="0.25">
      <c r="A6315" s="2">
        <v>44637</v>
      </c>
      <c r="B6315" s="1" t="s">
        <v>49</v>
      </c>
      <c r="C6315">
        <v>81</v>
      </c>
      <c r="D6315" s="1" t="s">
        <v>170</v>
      </c>
      <c r="E6315" s="1" t="s">
        <v>4</v>
      </c>
      <c r="F6315">
        <v>41</v>
      </c>
      <c r="G6315" s="1" t="str">
        <f>Ocupacao_DW[[#This Row],[data]]&amp;Ocupacao_DW[[#This Row],[profissional_id]]&amp;Ocupacao_DW[[#This Row],[local_id]]</f>
        <v>446378141</v>
      </c>
      <c r="H6315" s="1">
        <f>_xlfn.XLOOKUP(Ocupacao_DW[[#This Row],[Concat]],Vagas!$H:$H,Vagas!$D:$D,"",0)</f>
        <v>0</v>
      </c>
    </row>
    <row r="6316" spans="1:8" x14ac:dyDescent="0.25">
      <c r="A6316" s="2">
        <v>44637</v>
      </c>
      <c r="B6316" s="1" t="s">
        <v>47</v>
      </c>
      <c r="C6316">
        <v>9111</v>
      </c>
      <c r="D6316" s="1" t="s">
        <v>206</v>
      </c>
      <c r="E6316" s="1" t="s">
        <v>4</v>
      </c>
      <c r="F6316">
        <v>334</v>
      </c>
      <c r="G6316" s="1" t="str">
        <f>Ocupacao_DW[[#This Row],[data]]&amp;Ocupacao_DW[[#This Row],[profissional_id]]&amp;Ocupacao_DW[[#This Row],[local_id]]</f>
        <v>446379111334</v>
      </c>
      <c r="H6316" s="1">
        <f>_xlfn.XLOOKUP(Ocupacao_DW[[#This Row],[Concat]],Vagas!$H:$H,Vagas!$D:$D,"",0)</f>
        <v>0</v>
      </c>
    </row>
    <row r="6317" spans="1:8" x14ac:dyDescent="0.25">
      <c r="A6317" s="2">
        <v>44635</v>
      </c>
      <c r="B6317" s="1" t="s">
        <v>49</v>
      </c>
      <c r="C6317">
        <v>266</v>
      </c>
      <c r="D6317" s="1" t="s">
        <v>201</v>
      </c>
      <c r="E6317" s="1" t="s">
        <v>4</v>
      </c>
      <c r="F6317">
        <v>42</v>
      </c>
      <c r="G6317" s="1" t="str">
        <f>Ocupacao_DW[[#This Row],[data]]&amp;Ocupacao_DW[[#This Row],[profissional_id]]&amp;Ocupacao_DW[[#This Row],[local_id]]</f>
        <v>4463526642</v>
      </c>
      <c r="H6317" s="1">
        <f>_xlfn.XLOOKUP(Ocupacao_DW[[#This Row],[Concat]],Vagas!$H:$H,Vagas!$D:$D,"",0)</f>
        <v>0</v>
      </c>
    </row>
    <row r="6318" spans="1:8" x14ac:dyDescent="0.25">
      <c r="A6318" s="2">
        <v>44636</v>
      </c>
      <c r="B6318" s="1" t="s">
        <v>54</v>
      </c>
      <c r="C6318">
        <v>70</v>
      </c>
      <c r="D6318" s="1" t="s">
        <v>187</v>
      </c>
      <c r="E6318" s="1" t="s">
        <v>5</v>
      </c>
      <c r="F6318">
        <v>13</v>
      </c>
      <c r="G6318" s="1" t="str">
        <f>Ocupacao_DW[[#This Row],[data]]&amp;Ocupacao_DW[[#This Row],[profissional_id]]&amp;Ocupacao_DW[[#This Row],[local_id]]</f>
        <v>446367013</v>
      </c>
      <c r="H6318" s="1">
        <f>_xlfn.XLOOKUP(Ocupacao_DW[[#This Row],[Concat]],Vagas!$H:$H,Vagas!$D:$D,"",0)</f>
        <v>0</v>
      </c>
    </row>
    <row r="6319" spans="1:8" x14ac:dyDescent="0.25">
      <c r="A6319" s="2">
        <v>44656</v>
      </c>
      <c r="B6319" s="1" t="s">
        <v>55</v>
      </c>
      <c r="C6319">
        <v>73</v>
      </c>
      <c r="D6319" s="1" t="s">
        <v>171</v>
      </c>
      <c r="E6319" s="1" t="s">
        <v>6</v>
      </c>
      <c r="F6319">
        <v>5</v>
      </c>
      <c r="G6319" s="1" t="str">
        <f>Ocupacao_DW[[#This Row],[data]]&amp;Ocupacao_DW[[#This Row],[profissional_id]]&amp;Ocupacao_DW[[#This Row],[local_id]]</f>
        <v>44656735</v>
      </c>
      <c r="H6319" s="1">
        <f>_xlfn.XLOOKUP(Ocupacao_DW[[#This Row],[Concat]],Vagas!$H:$H,Vagas!$D:$D,"",0)</f>
        <v>0</v>
      </c>
    </row>
    <row r="6320" spans="1:8" x14ac:dyDescent="0.25">
      <c r="A6320" s="2">
        <v>44644</v>
      </c>
      <c r="B6320" s="1" t="s">
        <v>70</v>
      </c>
      <c r="C6320">
        <v>12519</v>
      </c>
      <c r="D6320" s="1" t="s">
        <v>176</v>
      </c>
      <c r="E6320" s="1" t="s">
        <v>4</v>
      </c>
      <c r="F6320">
        <v>42</v>
      </c>
      <c r="G6320" s="1" t="str">
        <f>Ocupacao_DW[[#This Row],[data]]&amp;Ocupacao_DW[[#This Row],[profissional_id]]&amp;Ocupacao_DW[[#This Row],[local_id]]</f>
        <v>446441251942</v>
      </c>
      <c r="H6320" s="1">
        <f>_xlfn.XLOOKUP(Ocupacao_DW[[#This Row],[Concat]],Vagas!$H:$H,Vagas!$D:$D,"",0)</f>
        <v>0</v>
      </c>
    </row>
    <row r="6321" spans="1:8" x14ac:dyDescent="0.25">
      <c r="A6321" s="2">
        <v>44636</v>
      </c>
      <c r="B6321" s="1" t="s">
        <v>65</v>
      </c>
      <c r="C6321">
        <v>13058</v>
      </c>
      <c r="D6321" s="1" t="s">
        <v>256</v>
      </c>
      <c r="E6321" s="1" t="s">
        <v>4</v>
      </c>
      <c r="F6321">
        <v>47</v>
      </c>
      <c r="G6321" s="1" t="str">
        <f>Ocupacao_DW[[#This Row],[data]]&amp;Ocupacao_DW[[#This Row],[profissional_id]]&amp;Ocupacao_DW[[#This Row],[local_id]]</f>
        <v>446361305847</v>
      </c>
      <c r="H6321" s="1">
        <f>_xlfn.XLOOKUP(Ocupacao_DW[[#This Row],[Concat]],Vagas!$H:$H,Vagas!$D:$D,"",0)</f>
        <v>0</v>
      </c>
    </row>
    <row r="6322" spans="1:8" x14ac:dyDescent="0.25">
      <c r="A6322" s="2">
        <v>44642</v>
      </c>
      <c r="B6322" s="1" t="s">
        <v>49</v>
      </c>
      <c r="C6322">
        <v>266</v>
      </c>
      <c r="D6322" s="1" t="s">
        <v>201</v>
      </c>
      <c r="E6322" s="1" t="s">
        <v>4</v>
      </c>
      <c r="F6322">
        <v>42</v>
      </c>
      <c r="G6322" s="1" t="str">
        <f>Ocupacao_DW[[#This Row],[data]]&amp;Ocupacao_DW[[#This Row],[profissional_id]]&amp;Ocupacao_DW[[#This Row],[local_id]]</f>
        <v>4464226642</v>
      </c>
      <c r="H6322" s="1">
        <f>_xlfn.XLOOKUP(Ocupacao_DW[[#This Row],[Concat]],Vagas!$H:$H,Vagas!$D:$D,"",0)</f>
        <v>0</v>
      </c>
    </row>
    <row r="6323" spans="1:8" x14ac:dyDescent="0.25">
      <c r="A6323" s="2">
        <v>44650</v>
      </c>
      <c r="B6323" s="1" t="s">
        <v>60</v>
      </c>
      <c r="C6323">
        <v>14326</v>
      </c>
      <c r="D6323" s="1" t="s">
        <v>220</v>
      </c>
      <c r="E6323" s="1" t="s">
        <v>4</v>
      </c>
      <c r="F6323">
        <v>43</v>
      </c>
      <c r="G6323" s="1" t="str">
        <f>Ocupacao_DW[[#This Row],[data]]&amp;Ocupacao_DW[[#This Row],[profissional_id]]&amp;Ocupacao_DW[[#This Row],[local_id]]</f>
        <v>446501432643</v>
      </c>
      <c r="H6323" s="1">
        <f>_xlfn.XLOOKUP(Ocupacao_DW[[#This Row],[Concat]],Vagas!$H:$H,Vagas!$D:$D,"",0)</f>
        <v>0</v>
      </c>
    </row>
    <row r="6324" spans="1:8" x14ac:dyDescent="0.25">
      <c r="A6324" s="2">
        <v>44645</v>
      </c>
      <c r="B6324" s="1" t="s">
        <v>47</v>
      </c>
      <c r="C6324">
        <v>12679</v>
      </c>
      <c r="D6324" s="1" t="s">
        <v>192</v>
      </c>
      <c r="E6324" s="1" t="s">
        <v>4</v>
      </c>
      <c r="F6324">
        <v>336</v>
      </c>
      <c r="G6324" s="1" t="str">
        <f>Ocupacao_DW[[#This Row],[data]]&amp;Ocupacao_DW[[#This Row],[profissional_id]]&amp;Ocupacao_DW[[#This Row],[local_id]]</f>
        <v>4464512679336</v>
      </c>
      <c r="H6324" s="1">
        <f>_xlfn.XLOOKUP(Ocupacao_DW[[#This Row],[Concat]],Vagas!$H:$H,Vagas!$D:$D,"",0)</f>
        <v>0</v>
      </c>
    </row>
    <row r="6325" spans="1:8" x14ac:dyDescent="0.25">
      <c r="A6325" s="2">
        <v>44636</v>
      </c>
      <c r="B6325" s="1" t="s">
        <v>49</v>
      </c>
      <c r="C6325">
        <v>81</v>
      </c>
      <c r="D6325" s="1" t="s">
        <v>170</v>
      </c>
      <c r="E6325" s="1" t="s">
        <v>4</v>
      </c>
      <c r="F6325">
        <v>41</v>
      </c>
      <c r="G6325" s="1" t="str">
        <f>Ocupacao_DW[[#This Row],[data]]&amp;Ocupacao_DW[[#This Row],[profissional_id]]&amp;Ocupacao_DW[[#This Row],[local_id]]</f>
        <v>446368141</v>
      </c>
      <c r="H6325" s="1">
        <f>_xlfn.XLOOKUP(Ocupacao_DW[[#This Row],[Concat]],Vagas!$H:$H,Vagas!$D:$D,"",0)</f>
        <v>0</v>
      </c>
    </row>
    <row r="6326" spans="1:8" x14ac:dyDescent="0.25">
      <c r="A6326" s="2">
        <v>44635</v>
      </c>
      <c r="B6326" s="1" t="s">
        <v>47</v>
      </c>
      <c r="C6326">
        <v>12752</v>
      </c>
      <c r="D6326" s="1" t="s">
        <v>253</v>
      </c>
      <c r="E6326" s="1" t="s">
        <v>7</v>
      </c>
      <c r="F6326">
        <v>60</v>
      </c>
      <c r="G6326" s="1" t="str">
        <f>Ocupacao_DW[[#This Row],[data]]&amp;Ocupacao_DW[[#This Row],[profissional_id]]&amp;Ocupacao_DW[[#This Row],[local_id]]</f>
        <v>446351275260</v>
      </c>
      <c r="H6326" s="1">
        <f>_xlfn.XLOOKUP(Ocupacao_DW[[#This Row],[Concat]],Vagas!$H:$H,Vagas!$D:$D,"",0)</f>
        <v>0</v>
      </c>
    </row>
    <row r="6327" spans="1:8" x14ac:dyDescent="0.25">
      <c r="A6327" s="2">
        <v>44636</v>
      </c>
      <c r="B6327" s="1" t="s">
        <v>57</v>
      </c>
      <c r="C6327">
        <v>80</v>
      </c>
      <c r="D6327" s="1" t="s">
        <v>179</v>
      </c>
      <c r="E6327" s="1" t="s">
        <v>167</v>
      </c>
      <c r="F6327">
        <v>346</v>
      </c>
      <c r="G6327" s="1" t="str">
        <f>Ocupacao_DW[[#This Row],[data]]&amp;Ocupacao_DW[[#This Row],[profissional_id]]&amp;Ocupacao_DW[[#This Row],[local_id]]</f>
        <v>4463680346</v>
      </c>
      <c r="H6327" s="1">
        <f>_xlfn.XLOOKUP(Ocupacao_DW[[#This Row],[Concat]],Vagas!$H:$H,Vagas!$D:$D,"",0)</f>
        <v>0</v>
      </c>
    </row>
    <row r="6328" spans="1:8" x14ac:dyDescent="0.25">
      <c r="A6328" s="2">
        <v>44649</v>
      </c>
      <c r="B6328" s="1" t="s">
        <v>70</v>
      </c>
      <c r="C6328">
        <v>14237</v>
      </c>
      <c r="D6328" s="1" t="s">
        <v>186</v>
      </c>
      <c r="E6328" s="1" t="s">
        <v>4</v>
      </c>
      <c r="F6328">
        <v>47</v>
      </c>
      <c r="G6328" s="1" t="str">
        <f>Ocupacao_DW[[#This Row],[data]]&amp;Ocupacao_DW[[#This Row],[profissional_id]]&amp;Ocupacao_DW[[#This Row],[local_id]]</f>
        <v>446491423747</v>
      </c>
      <c r="H6328" s="1">
        <f>_xlfn.XLOOKUP(Ocupacao_DW[[#This Row],[Concat]],Vagas!$H:$H,Vagas!$D:$D,"",0)</f>
        <v>0</v>
      </c>
    </row>
    <row r="6329" spans="1:8" x14ac:dyDescent="0.25">
      <c r="A6329" s="2">
        <v>44635</v>
      </c>
      <c r="B6329" s="1" t="s">
        <v>70</v>
      </c>
      <c r="C6329">
        <v>12825</v>
      </c>
      <c r="D6329" s="1" t="s">
        <v>177</v>
      </c>
      <c r="E6329" s="1" t="s">
        <v>7</v>
      </c>
      <c r="F6329">
        <v>63</v>
      </c>
      <c r="G6329" s="1" t="str">
        <f>Ocupacao_DW[[#This Row],[data]]&amp;Ocupacao_DW[[#This Row],[profissional_id]]&amp;Ocupacao_DW[[#This Row],[local_id]]</f>
        <v>446351282563</v>
      </c>
      <c r="H6329" s="1">
        <f>_xlfn.XLOOKUP(Ocupacao_DW[[#This Row],[Concat]],Vagas!$H:$H,Vagas!$D:$D,"",0)</f>
        <v>0</v>
      </c>
    </row>
    <row r="6330" spans="1:8" x14ac:dyDescent="0.25">
      <c r="A6330" s="2">
        <v>44635</v>
      </c>
      <c r="B6330" s="1" t="s">
        <v>51</v>
      </c>
      <c r="C6330">
        <v>12582</v>
      </c>
      <c r="D6330" s="1" t="s">
        <v>190</v>
      </c>
      <c r="E6330" s="1" t="s">
        <v>7</v>
      </c>
      <c r="F6330">
        <v>62</v>
      </c>
      <c r="G6330" s="1" t="str">
        <f>Ocupacao_DW[[#This Row],[data]]&amp;Ocupacao_DW[[#This Row],[profissional_id]]&amp;Ocupacao_DW[[#This Row],[local_id]]</f>
        <v>446351258262</v>
      </c>
      <c r="H6330" s="1">
        <f>_xlfn.XLOOKUP(Ocupacao_DW[[#This Row],[Concat]],Vagas!$H:$H,Vagas!$D:$D,"",0)</f>
        <v>0</v>
      </c>
    </row>
    <row r="6331" spans="1:8" x14ac:dyDescent="0.25">
      <c r="A6331" s="2">
        <v>44641</v>
      </c>
      <c r="B6331" s="1" t="s">
        <v>49</v>
      </c>
      <c r="C6331">
        <v>6430</v>
      </c>
      <c r="D6331" s="1" t="s">
        <v>188</v>
      </c>
      <c r="E6331" s="1" t="s">
        <v>200</v>
      </c>
      <c r="F6331">
        <v>86</v>
      </c>
      <c r="G6331" s="1" t="str">
        <f>Ocupacao_DW[[#This Row],[data]]&amp;Ocupacao_DW[[#This Row],[profissional_id]]&amp;Ocupacao_DW[[#This Row],[local_id]]</f>
        <v>44641643086</v>
      </c>
      <c r="H6331" s="1">
        <f>_xlfn.XLOOKUP(Ocupacao_DW[[#This Row],[Concat]],Vagas!$H:$H,Vagas!$D:$D,"",0)</f>
        <v>0</v>
      </c>
    </row>
    <row r="6332" spans="1:8" x14ac:dyDescent="0.25">
      <c r="A6332" s="2">
        <v>44635</v>
      </c>
      <c r="B6332" s="1" t="s">
        <v>43</v>
      </c>
      <c r="C6332">
        <v>72</v>
      </c>
      <c r="D6332" s="1" t="s">
        <v>271</v>
      </c>
      <c r="E6332" s="1" t="s">
        <v>4</v>
      </c>
      <c r="F6332">
        <v>334</v>
      </c>
      <c r="G6332" s="1" t="str">
        <f>Ocupacao_DW[[#This Row],[data]]&amp;Ocupacao_DW[[#This Row],[profissional_id]]&amp;Ocupacao_DW[[#This Row],[local_id]]</f>
        <v>4463572334</v>
      </c>
      <c r="H6332" s="1">
        <f>_xlfn.XLOOKUP(Ocupacao_DW[[#This Row],[Concat]],Vagas!$H:$H,Vagas!$D:$D,"",0)</f>
        <v>1</v>
      </c>
    </row>
    <row r="6333" spans="1:8" x14ac:dyDescent="0.25">
      <c r="A6333" s="2">
        <v>44635</v>
      </c>
      <c r="B6333" s="1" t="s">
        <v>64</v>
      </c>
      <c r="C6333">
        <v>85</v>
      </c>
      <c r="D6333" s="1" t="s">
        <v>211</v>
      </c>
      <c r="E6333" s="1" t="s">
        <v>5</v>
      </c>
      <c r="F6333">
        <v>349</v>
      </c>
      <c r="G6333" s="1" t="str">
        <f>Ocupacao_DW[[#This Row],[data]]&amp;Ocupacao_DW[[#This Row],[profissional_id]]&amp;Ocupacao_DW[[#This Row],[local_id]]</f>
        <v>4463585349</v>
      </c>
      <c r="H6333" s="1">
        <f>_xlfn.XLOOKUP(Ocupacao_DW[[#This Row],[Concat]],Vagas!$H:$H,Vagas!$D:$D,"",0)</f>
        <v>0</v>
      </c>
    </row>
    <row r="6334" spans="1:8" x14ac:dyDescent="0.25">
      <c r="A6334" s="2">
        <v>44636</v>
      </c>
      <c r="B6334" s="1" t="s">
        <v>47</v>
      </c>
      <c r="C6334">
        <v>111</v>
      </c>
      <c r="D6334" s="1" t="s">
        <v>199</v>
      </c>
      <c r="E6334" s="1" t="s">
        <v>4</v>
      </c>
      <c r="F6334">
        <v>51</v>
      </c>
      <c r="G6334" s="1" t="str">
        <f>Ocupacao_DW[[#This Row],[data]]&amp;Ocupacao_DW[[#This Row],[profissional_id]]&amp;Ocupacao_DW[[#This Row],[local_id]]</f>
        <v>4463611151</v>
      </c>
      <c r="H6334" s="1">
        <f>_xlfn.XLOOKUP(Ocupacao_DW[[#This Row],[Concat]],Vagas!$H:$H,Vagas!$D:$D,"",0)</f>
        <v>1</v>
      </c>
    </row>
    <row r="6335" spans="1:8" x14ac:dyDescent="0.25">
      <c r="A6335" s="2">
        <v>44648</v>
      </c>
      <c r="B6335" s="1" t="s">
        <v>55</v>
      </c>
      <c r="C6335">
        <v>12669</v>
      </c>
      <c r="D6335" s="1" t="s">
        <v>223</v>
      </c>
      <c r="E6335" s="1" t="s">
        <v>6</v>
      </c>
      <c r="F6335">
        <v>6</v>
      </c>
      <c r="G6335" s="1" t="str">
        <f>Ocupacao_DW[[#This Row],[data]]&amp;Ocupacao_DW[[#This Row],[profissional_id]]&amp;Ocupacao_DW[[#This Row],[local_id]]</f>
        <v>44648126696</v>
      </c>
      <c r="H6335" s="1">
        <f>_xlfn.XLOOKUP(Ocupacao_DW[[#This Row],[Concat]],Vagas!$H:$H,Vagas!$D:$D,"",0)</f>
        <v>0</v>
      </c>
    </row>
    <row r="6336" spans="1:8" x14ac:dyDescent="0.25">
      <c r="A6336" s="2">
        <v>44644</v>
      </c>
      <c r="B6336" s="1" t="s">
        <v>52</v>
      </c>
      <c r="C6336">
        <v>9217</v>
      </c>
      <c r="D6336" s="1" t="s">
        <v>191</v>
      </c>
      <c r="E6336" s="1" t="s">
        <v>6</v>
      </c>
      <c r="F6336">
        <v>7</v>
      </c>
      <c r="G6336" s="1" t="str">
        <f>Ocupacao_DW[[#This Row],[data]]&amp;Ocupacao_DW[[#This Row],[profissional_id]]&amp;Ocupacao_DW[[#This Row],[local_id]]</f>
        <v>4464492177</v>
      </c>
      <c r="H6336" s="1">
        <f>_xlfn.XLOOKUP(Ocupacao_DW[[#This Row],[Concat]],Vagas!$H:$H,Vagas!$D:$D,"",0)</f>
        <v>0</v>
      </c>
    </row>
    <row r="6337" spans="1:8" x14ac:dyDescent="0.25">
      <c r="A6337" s="2">
        <v>44636</v>
      </c>
      <c r="B6337" s="1" t="s">
        <v>47</v>
      </c>
      <c r="C6337">
        <v>110</v>
      </c>
      <c r="D6337" s="1" t="s">
        <v>193</v>
      </c>
      <c r="E6337" s="1" t="s">
        <v>4</v>
      </c>
      <c r="F6337">
        <v>334</v>
      </c>
      <c r="G6337" s="1" t="str">
        <f>Ocupacao_DW[[#This Row],[data]]&amp;Ocupacao_DW[[#This Row],[profissional_id]]&amp;Ocupacao_DW[[#This Row],[local_id]]</f>
        <v>44636110334</v>
      </c>
      <c r="H6337" s="1">
        <f>_xlfn.XLOOKUP(Ocupacao_DW[[#This Row],[Concat]],Vagas!$H:$H,Vagas!$D:$D,"",0)</f>
        <v>0</v>
      </c>
    </row>
    <row r="6338" spans="1:8" x14ac:dyDescent="0.25">
      <c r="A6338" s="2">
        <v>44637</v>
      </c>
      <c r="B6338" s="1" t="s">
        <v>72</v>
      </c>
      <c r="C6338">
        <v>6046</v>
      </c>
      <c r="D6338" s="1" t="s">
        <v>222</v>
      </c>
      <c r="E6338" s="1" t="s">
        <v>4</v>
      </c>
      <c r="F6338">
        <v>46</v>
      </c>
      <c r="G6338" s="1" t="str">
        <f>Ocupacao_DW[[#This Row],[data]]&amp;Ocupacao_DW[[#This Row],[profissional_id]]&amp;Ocupacao_DW[[#This Row],[local_id]]</f>
        <v>44637604646</v>
      </c>
      <c r="H6338" s="1">
        <f>_xlfn.XLOOKUP(Ocupacao_DW[[#This Row],[Concat]],Vagas!$H:$H,Vagas!$D:$D,"",0)</f>
        <v>0</v>
      </c>
    </row>
    <row r="6339" spans="1:8" x14ac:dyDescent="0.25">
      <c r="A6339" s="2">
        <v>44636</v>
      </c>
      <c r="B6339" s="1" t="s">
        <v>43</v>
      </c>
      <c r="C6339">
        <v>57</v>
      </c>
      <c r="D6339" s="1" t="s">
        <v>169</v>
      </c>
      <c r="E6339" s="1" t="s">
        <v>6</v>
      </c>
      <c r="F6339">
        <v>2</v>
      </c>
      <c r="G6339" s="1" t="str">
        <f>Ocupacao_DW[[#This Row],[data]]&amp;Ocupacao_DW[[#This Row],[profissional_id]]&amp;Ocupacao_DW[[#This Row],[local_id]]</f>
        <v>44636572</v>
      </c>
      <c r="H6339" s="1">
        <f>_xlfn.XLOOKUP(Ocupacao_DW[[#This Row],[Concat]],Vagas!$H:$H,Vagas!$D:$D,"",0)</f>
        <v>2</v>
      </c>
    </row>
    <row r="6340" spans="1:8" x14ac:dyDescent="0.25">
      <c r="A6340" s="2">
        <v>44639</v>
      </c>
      <c r="B6340" s="1" t="s">
        <v>43</v>
      </c>
      <c r="C6340">
        <v>57</v>
      </c>
      <c r="D6340" s="1" t="s">
        <v>169</v>
      </c>
      <c r="E6340" s="1" t="s">
        <v>6</v>
      </c>
      <c r="F6340">
        <v>2</v>
      </c>
      <c r="G6340" s="1" t="str">
        <f>Ocupacao_DW[[#This Row],[data]]&amp;Ocupacao_DW[[#This Row],[profissional_id]]&amp;Ocupacao_DW[[#This Row],[local_id]]</f>
        <v>44639572</v>
      </c>
      <c r="H6340" s="1">
        <f>_xlfn.XLOOKUP(Ocupacao_DW[[#This Row],[Concat]],Vagas!$H:$H,Vagas!$D:$D,"",0)</f>
        <v>0</v>
      </c>
    </row>
    <row r="6341" spans="1:8" x14ac:dyDescent="0.25">
      <c r="A6341" s="2">
        <v>44636</v>
      </c>
      <c r="B6341" s="1" t="s">
        <v>49</v>
      </c>
      <c r="C6341">
        <v>81</v>
      </c>
      <c r="D6341" s="1" t="s">
        <v>170</v>
      </c>
      <c r="E6341" s="1" t="s">
        <v>4</v>
      </c>
      <c r="F6341">
        <v>41</v>
      </c>
      <c r="G6341" s="1" t="str">
        <f>Ocupacao_DW[[#This Row],[data]]&amp;Ocupacao_DW[[#This Row],[profissional_id]]&amp;Ocupacao_DW[[#This Row],[local_id]]</f>
        <v>446368141</v>
      </c>
      <c r="H6341" s="1">
        <f>_xlfn.XLOOKUP(Ocupacao_DW[[#This Row],[Concat]],Vagas!$H:$H,Vagas!$D:$D,"",0)</f>
        <v>0</v>
      </c>
    </row>
    <row r="6342" spans="1:8" x14ac:dyDescent="0.25">
      <c r="A6342" s="2">
        <v>44645</v>
      </c>
      <c r="B6342" s="1" t="s">
        <v>24</v>
      </c>
      <c r="C6342">
        <v>60</v>
      </c>
      <c r="D6342" s="1" t="s">
        <v>217</v>
      </c>
      <c r="E6342" s="1" t="s">
        <v>6</v>
      </c>
      <c r="F6342">
        <v>1</v>
      </c>
      <c r="G6342" s="1" t="str">
        <f>Ocupacao_DW[[#This Row],[data]]&amp;Ocupacao_DW[[#This Row],[profissional_id]]&amp;Ocupacao_DW[[#This Row],[local_id]]</f>
        <v>44645601</v>
      </c>
      <c r="H6342" s="1">
        <f>_xlfn.XLOOKUP(Ocupacao_DW[[#This Row],[Concat]],Vagas!$H:$H,Vagas!$D:$D,"",0)</f>
        <v>0</v>
      </c>
    </row>
    <row r="6343" spans="1:8" x14ac:dyDescent="0.25">
      <c r="A6343" s="2">
        <v>44636</v>
      </c>
      <c r="B6343" s="1" t="s">
        <v>47</v>
      </c>
      <c r="C6343">
        <v>111</v>
      </c>
      <c r="D6343" s="1" t="s">
        <v>199</v>
      </c>
      <c r="E6343" s="1" t="s">
        <v>4</v>
      </c>
      <c r="F6343">
        <v>51</v>
      </c>
      <c r="G6343" s="1" t="str">
        <f>Ocupacao_DW[[#This Row],[data]]&amp;Ocupacao_DW[[#This Row],[profissional_id]]&amp;Ocupacao_DW[[#This Row],[local_id]]</f>
        <v>4463611151</v>
      </c>
      <c r="H6343" s="1">
        <f>_xlfn.XLOOKUP(Ocupacao_DW[[#This Row],[Concat]],Vagas!$H:$H,Vagas!$D:$D,"",0)</f>
        <v>1</v>
      </c>
    </row>
    <row r="6344" spans="1:8" x14ac:dyDescent="0.25">
      <c r="A6344" s="2">
        <v>44636</v>
      </c>
      <c r="B6344" s="1" t="s">
        <v>65</v>
      </c>
      <c r="C6344">
        <v>13058</v>
      </c>
      <c r="D6344" s="1" t="s">
        <v>256</v>
      </c>
      <c r="E6344" s="1" t="s">
        <v>4</v>
      </c>
      <c r="F6344">
        <v>47</v>
      </c>
      <c r="G6344" s="1" t="str">
        <f>Ocupacao_DW[[#This Row],[data]]&amp;Ocupacao_DW[[#This Row],[profissional_id]]&amp;Ocupacao_DW[[#This Row],[local_id]]</f>
        <v>446361305847</v>
      </c>
      <c r="H6344" s="1">
        <f>_xlfn.XLOOKUP(Ocupacao_DW[[#This Row],[Concat]],Vagas!$H:$H,Vagas!$D:$D,"",0)</f>
        <v>0</v>
      </c>
    </row>
    <row r="6345" spans="1:8" x14ac:dyDescent="0.25">
      <c r="A6345" s="2">
        <v>44641</v>
      </c>
      <c r="B6345" s="1" t="s">
        <v>55</v>
      </c>
      <c r="C6345">
        <v>12669</v>
      </c>
      <c r="D6345" s="1" t="s">
        <v>223</v>
      </c>
      <c r="E6345" s="1" t="s">
        <v>6</v>
      </c>
      <c r="F6345">
        <v>6</v>
      </c>
      <c r="G6345" s="1" t="str">
        <f>Ocupacao_DW[[#This Row],[data]]&amp;Ocupacao_DW[[#This Row],[profissional_id]]&amp;Ocupacao_DW[[#This Row],[local_id]]</f>
        <v>44641126696</v>
      </c>
      <c r="H6345" s="1">
        <f>_xlfn.XLOOKUP(Ocupacao_DW[[#This Row],[Concat]],Vagas!$H:$H,Vagas!$D:$D,"",0)</f>
        <v>0</v>
      </c>
    </row>
    <row r="6346" spans="1:8" x14ac:dyDescent="0.25">
      <c r="A6346" s="2">
        <v>44641</v>
      </c>
      <c r="B6346" s="1" t="s">
        <v>52</v>
      </c>
      <c r="C6346">
        <v>10691</v>
      </c>
      <c r="D6346" s="1" t="s">
        <v>181</v>
      </c>
      <c r="E6346" s="1" t="s">
        <v>6</v>
      </c>
      <c r="F6346">
        <v>9</v>
      </c>
      <c r="G6346" s="1" t="str">
        <f>Ocupacao_DW[[#This Row],[data]]&amp;Ocupacao_DW[[#This Row],[profissional_id]]&amp;Ocupacao_DW[[#This Row],[local_id]]</f>
        <v>44641106919</v>
      </c>
      <c r="H6346" s="1">
        <f>_xlfn.XLOOKUP(Ocupacao_DW[[#This Row],[Concat]],Vagas!$H:$H,Vagas!$D:$D,"",0)</f>
        <v>0</v>
      </c>
    </row>
    <row r="6347" spans="1:8" x14ac:dyDescent="0.25">
      <c r="A6347" s="2">
        <v>44638</v>
      </c>
      <c r="B6347" s="1" t="s">
        <v>56</v>
      </c>
      <c r="C6347">
        <v>13660</v>
      </c>
      <c r="D6347" s="1" t="s">
        <v>250</v>
      </c>
      <c r="E6347" s="1" t="s">
        <v>5</v>
      </c>
      <c r="F6347">
        <v>15</v>
      </c>
      <c r="G6347" s="1" t="str">
        <f>Ocupacao_DW[[#This Row],[data]]&amp;Ocupacao_DW[[#This Row],[profissional_id]]&amp;Ocupacao_DW[[#This Row],[local_id]]</f>
        <v>446381366015</v>
      </c>
      <c r="H6347" s="1">
        <f>_xlfn.XLOOKUP(Ocupacao_DW[[#This Row],[Concat]],Vagas!$H:$H,Vagas!$D:$D,"",0)</f>
        <v>0</v>
      </c>
    </row>
    <row r="6348" spans="1:8" x14ac:dyDescent="0.25">
      <c r="A6348" s="2">
        <v>44638</v>
      </c>
      <c r="B6348" s="1" t="s">
        <v>52</v>
      </c>
      <c r="C6348">
        <v>55</v>
      </c>
      <c r="D6348" s="1" t="s">
        <v>244</v>
      </c>
      <c r="E6348" s="1" t="s">
        <v>7</v>
      </c>
      <c r="F6348">
        <v>68</v>
      </c>
      <c r="G6348" s="1" t="str">
        <f>Ocupacao_DW[[#This Row],[data]]&amp;Ocupacao_DW[[#This Row],[profissional_id]]&amp;Ocupacao_DW[[#This Row],[local_id]]</f>
        <v>446385568</v>
      </c>
      <c r="H6348" s="1">
        <f>_xlfn.XLOOKUP(Ocupacao_DW[[#This Row],[Concat]],Vagas!$H:$H,Vagas!$D:$D,"",0)</f>
        <v>0</v>
      </c>
    </row>
    <row r="6349" spans="1:8" x14ac:dyDescent="0.25">
      <c r="A6349" s="2">
        <v>44651</v>
      </c>
      <c r="B6349" s="1" t="s">
        <v>55</v>
      </c>
      <c r="C6349">
        <v>12426</v>
      </c>
      <c r="D6349" s="1" t="s">
        <v>215</v>
      </c>
      <c r="E6349" s="1" t="s">
        <v>6</v>
      </c>
      <c r="F6349">
        <v>5</v>
      </c>
      <c r="G6349" s="1" t="str">
        <f>Ocupacao_DW[[#This Row],[data]]&amp;Ocupacao_DW[[#This Row],[profissional_id]]&amp;Ocupacao_DW[[#This Row],[local_id]]</f>
        <v>44651124265</v>
      </c>
      <c r="H6349" s="1">
        <f>_xlfn.XLOOKUP(Ocupacao_DW[[#This Row],[Concat]],Vagas!$H:$H,Vagas!$D:$D,"",0)</f>
        <v>0</v>
      </c>
    </row>
    <row r="6350" spans="1:8" x14ac:dyDescent="0.25">
      <c r="A6350" s="2">
        <v>44636</v>
      </c>
      <c r="B6350" s="1" t="s">
        <v>52</v>
      </c>
      <c r="C6350">
        <v>10946</v>
      </c>
      <c r="D6350" s="1" t="s">
        <v>209</v>
      </c>
      <c r="E6350" s="1" t="s">
        <v>7</v>
      </c>
      <c r="F6350">
        <v>68</v>
      </c>
      <c r="G6350" s="1" t="str">
        <f>Ocupacao_DW[[#This Row],[data]]&amp;Ocupacao_DW[[#This Row],[profissional_id]]&amp;Ocupacao_DW[[#This Row],[local_id]]</f>
        <v>446361094668</v>
      </c>
      <c r="H6350" s="1" t="str">
        <f>_xlfn.XLOOKUP(Ocupacao_DW[[#This Row],[Concat]],Vagas!$H:$H,Vagas!$D:$D,"",0)</f>
        <v/>
      </c>
    </row>
    <row r="6351" spans="1:8" x14ac:dyDescent="0.25">
      <c r="A6351" s="2">
        <v>44641</v>
      </c>
      <c r="B6351" s="1" t="s">
        <v>56</v>
      </c>
      <c r="C6351">
        <v>75</v>
      </c>
      <c r="D6351" s="1" t="s">
        <v>208</v>
      </c>
      <c r="E6351" s="1" t="s">
        <v>5</v>
      </c>
      <c r="F6351">
        <v>15</v>
      </c>
      <c r="G6351" s="1" t="str">
        <f>Ocupacao_DW[[#This Row],[data]]&amp;Ocupacao_DW[[#This Row],[profissional_id]]&amp;Ocupacao_DW[[#This Row],[local_id]]</f>
        <v>446417515</v>
      </c>
      <c r="H6351" s="1">
        <f>_xlfn.XLOOKUP(Ocupacao_DW[[#This Row],[Concat]],Vagas!$H:$H,Vagas!$D:$D,"",0)</f>
        <v>0</v>
      </c>
    </row>
    <row r="6352" spans="1:8" x14ac:dyDescent="0.25">
      <c r="A6352" s="2">
        <v>44638</v>
      </c>
      <c r="B6352" s="1" t="s">
        <v>54</v>
      </c>
      <c r="C6352">
        <v>69</v>
      </c>
      <c r="D6352" s="1" t="s">
        <v>238</v>
      </c>
      <c r="E6352" s="1" t="s">
        <v>5</v>
      </c>
      <c r="F6352">
        <v>13</v>
      </c>
      <c r="G6352" s="1" t="str">
        <f>Ocupacao_DW[[#This Row],[data]]&amp;Ocupacao_DW[[#This Row],[profissional_id]]&amp;Ocupacao_DW[[#This Row],[local_id]]</f>
        <v>446386913</v>
      </c>
      <c r="H6352" s="1">
        <f>_xlfn.XLOOKUP(Ocupacao_DW[[#This Row],[Concat]],Vagas!$H:$H,Vagas!$D:$D,"",0)</f>
        <v>0</v>
      </c>
    </row>
    <row r="6353" spans="1:8" x14ac:dyDescent="0.25">
      <c r="A6353" s="2">
        <v>44638</v>
      </c>
      <c r="B6353" s="1" t="s">
        <v>72</v>
      </c>
      <c r="C6353">
        <v>13479</v>
      </c>
      <c r="D6353" s="1" t="s">
        <v>203</v>
      </c>
      <c r="E6353" s="1" t="s">
        <v>200</v>
      </c>
      <c r="F6353">
        <v>83</v>
      </c>
      <c r="G6353" s="1" t="str">
        <f>Ocupacao_DW[[#This Row],[data]]&amp;Ocupacao_DW[[#This Row],[profissional_id]]&amp;Ocupacao_DW[[#This Row],[local_id]]</f>
        <v>446381347983</v>
      </c>
      <c r="H6353" s="1">
        <f>_xlfn.XLOOKUP(Ocupacao_DW[[#This Row],[Concat]],Vagas!$H:$H,Vagas!$D:$D,"",0)</f>
        <v>0</v>
      </c>
    </row>
    <row r="6354" spans="1:8" x14ac:dyDescent="0.25">
      <c r="A6354" s="2">
        <v>44638</v>
      </c>
      <c r="B6354" s="1" t="s">
        <v>52</v>
      </c>
      <c r="C6354">
        <v>55</v>
      </c>
      <c r="D6354" s="1" t="s">
        <v>244</v>
      </c>
      <c r="E6354" s="1" t="s">
        <v>7</v>
      </c>
      <c r="F6354">
        <v>68</v>
      </c>
      <c r="G6354" s="1" t="str">
        <f>Ocupacao_DW[[#This Row],[data]]&amp;Ocupacao_DW[[#This Row],[profissional_id]]&amp;Ocupacao_DW[[#This Row],[local_id]]</f>
        <v>446385568</v>
      </c>
      <c r="H6354" s="1">
        <f>_xlfn.XLOOKUP(Ocupacao_DW[[#This Row],[Concat]],Vagas!$H:$H,Vagas!$D:$D,"",0)</f>
        <v>0</v>
      </c>
    </row>
    <row r="6355" spans="1:8" x14ac:dyDescent="0.25">
      <c r="A6355" s="2">
        <v>44651</v>
      </c>
      <c r="B6355" s="1" t="s">
        <v>55</v>
      </c>
      <c r="C6355">
        <v>12426</v>
      </c>
      <c r="D6355" s="1" t="s">
        <v>215</v>
      </c>
      <c r="E6355" s="1" t="s">
        <v>6</v>
      </c>
      <c r="F6355">
        <v>5</v>
      </c>
      <c r="G6355" s="1" t="str">
        <f>Ocupacao_DW[[#This Row],[data]]&amp;Ocupacao_DW[[#This Row],[profissional_id]]&amp;Ocupacao_DW[[#This Row],[local_id]]</f>
        <v>44651124265</v>
      </c>
      <c r="H6355" s="1">
        <f>_xlfn.XLOOKUP(Ocupacao_DW[[#This Row],[Concat]],Vagas!$H:$H,Vagas!$D:$D,"",0)</f>
        <v>0</v>
      </c>
    </row>
    <row r="6356" spans="1:8" x14ac:dyDescent="0.25">
      <c r="A6356" s="2">
        <v>44635</v>
      </c>
      <c r="B6356" s="1" t="s">
        <v>53</v>
      </c>
      <c r="C6356">
        <v>9138</v>
      </c>
      <c r="D6356" s="1" t="s">
        <v>184</v>
      </c>
      <c r="E6356" s="1" t="s">
        <v>167</v>
      </c>
      <c r="F6356">
        <v>344</v>
      </c>
      <c r="G6356" s="1" t="str">
        <f>Ocupacao_DW[[#This Row],[data]]&amp;Ocupacao_DW[[#This Row],[profissional_id]]&amp;Ocupacao_DW[[#This Row],[local_id]]</f>
        <v>446359138344</v>
      </c>
      <c r="H6356" s="1">
        <f>_xlfn.XLOOKUP(Ocupacao_DW[[#This Row],[Concat]],Vagas!$H:$H,Vagas!$D:$D,"",0)</f>
        <v>0</v>
      </c>
    </row>
    <row r="6357" spans="1:8" x14ac:dyDescent="0.25">
      <c r="A6357" s="2">
        <v>44638</v>
      </c>
      <c r="B6357" s="1" t="s">
        <v>54</v>
      </c>
      <c r="C6357">
        <v>69</v>
      </c>
      <c r="D6357" s="1" t="s">
        <v>238</v>
      </c>
      <c r="E6357" s="1" t="s">
        <v>5</v>
      </c>
      <c r="F6357">
        <v>13</v>
      </c>
      <c r="G6357" s="1" t="str">
        <f>Ocupacao_DW[[#This Row],[data]]&amp;Ocupacao_DW[[#This Row],[profissional_id]]&amp;Ocupacao_DW[[#This Row],[local_id]]</f>
        <v>446386913</v>
      </c>
      <c r="H6357" s="1">
        <f>_xlfn.XLOOKUP(Ocupacao_DW[[#This Row],[Concat]],Vagas!$H:$H,Vagas!$D:$D,"",0)</f>
        <v>0</v>
      </c>
    </row>
    <row r="6358" spans="1:8" x14ac:dyDescent="0.25">
      <c r="A6358" s="2">
        <v>44636</v>
      </c>
      <c r="B6358" s="1" t="s">
        <v>47</v>
      </c>
      <c r="C6358">
        <v>110</v>
      </c>
      <c r="D6358" s="1" t="s">
        <v>193</v>
      </c>
      <c r="E6358" s="1" t="s">
        <v>4</v>
      </c>
      <c r="F6358">
        <v>334</v>
      </c>
      <c r="G6358" s="1" t="str">
        <f>Ocupacao_DW[[#This Row],[data]]&amp;Ocupacao_DW[[#This Row],[profissional_id]]&amp;Ocupacao_DW[[#This Row],[local_id]]</f>
        <v>44636110334</v>
      </c>
      <c r="H6358" s="1">
        <f>_xlfn.XLOOKUP(Ocupacao_DW[[#This Row],[Concat]],Vagas!$H:$H,Vagas!$D:$D,"",0)</f>
        <v>0</v>
      </c>
    </row>
    <row r="6359" spans="1:8" x14ac:dyDescent="0.25">
      <c r="A6359" s="2">
        <v>44637</v>
      </c>
      <c r="B6359" s="1" t="s">
        <v>52</v>
      </c>
      <c r="C6359">
        <v>60</v>
      </c>
      <c r="D6359" s="1" t="s">
        <v>217</v>
      </c>
      <c r="E6359" s="1" t="s">
        <v>167</v>
      </c>
      <c r="F6359">
        <v>346</v>
      </c>
      <c r="G6359" s="1" t="str">
        <f>Ocupacao_DW[[#This Row],[data]]&amp;Ocupacao_DW[[#This Row],[profissional_id]]&amp;Ocupacao_DW[[#This Row],[local_id]]</f>
        <v>4463760346</v>
      </c>
      <c r="H6359" s="1">
        <f>_xlfn.XLOOKUP(Ocupacao_DW[[#This Row],[Concat]],Vagas!$H:$H,Vagas!$D:$D,"",0)</f>
        <v>0</v>
      </c>
    </row>
    <row r="6360" spans="1:8" x14ac:dyDescent="0.25">
      <c r="A6360" s="2">
        <v>44637</v>
      </c>
      <c r="B6360" s="1" t="s">
        <v>71</v>
      </c>
      <c r="C6360">
        <v>76</v>
      </c>
      <c r="D6360" s="1" t="s">
        <v>227</v>
      </c>
      <c r="E6360" s="1" t="s">
        <v>4</v>
      </c>
      <c r="F6360">
        <v>48</v>
      </c>
      <c r="G6360" s="1" t="str">
        <f>Ocupacao_DW[[#This Row],[data]]&amp;Ocupacao_DW[[#This Row],[profissional_id]]&amp;Ocupacao_DW[[#This Row],[local_id]]</f>
        <v>446377648</v>
      </c>
      <c r="H6360" s="1">
        <f>_xlfn.XLOOKUP(Ocupacao_DW[[#This Row],[Concat]],Vagas!$H:$H,Vagas!$D:$D,"",0)</f>
        <v>0</v>
      </c>
    </row>
    <row r="6361" spans="1:8" x14ac:dyDescent="0.25">
      <c r="A6361" s="2">
        <v>44637</v>
      </c>
      <c r="B6361" s="1" t="s">
        <v>49</v>
      </c>
      <c r="C6361">
        <v>81</v>
      </c>
      <c r="D6361" s="1" t="s">
        <v>170</v>
      </c>
      <c r="E6361" s="1" t="s">
        <v>4</v>
      </c>
      <c r="F6361">
        <v>41</v>
      </c>
      <c r="G6361" s="1" t="str">
        <f>Ocupacao_DW[[#This Row],[data]]&amp;Ocupacao_DW[[#This Row],[profissional_id]]&amp;Ocupacao_DW[[#This Row],[local_id]]</f>
        <v>446378141</v>
      </c>
      <c r="H6361" s="1">
        <f>_xlfn.XLOOKUP(Ocupacao_DW[[#This Row],[Concat]],Vagas!$H:$H,Vagas!$D:$D,"",0)</f>
        <v>0</v>
      </c>
    </row>
    <row r="6362" spans="1:8" x14ac:dyDescent="0.25">
      <c r="A6362" s="2">
        <v>44658</v>
      </c>
      <c r="B6362" s="1" t="s">
        <v>52</v>
      </c>
      <c r="C6362">
        <v>60</v>
      </c>
      <c r="D6362" s="1" t="s">
        <v>217</v>
      </c>
      <c r="E6362" s="1" t="s">
        <v>167</v>
      </c>
      <c r="F6362">
        <v>346</v>
      </c>
      <c r="G6362" s="1" t="str">
        <f>Ocupacao_DW[[#This Row],[data]]&amp;Ocupacao_DW[[#This Row],[profissional_id]]&amp;Ocupacao_DW[[#This Row],[local_id]]</f>
        <v>4465860346</v>
      </c>
      <c r="H6362" s="1">
        <f>_xlfn.XLOOKUP(Ocupacao_DW[[#This Row],[Concat]],Vagas!$H:$H,Vagas!$D:$D,"",0)</f>
        <v>0</v>
      </c>
    </row>
    <row r="6363" spans="1:8" x14ac:dyDescent="0.25">
      <c r="A6363" s="2">
        <v>44638</v>
      </c>
      <c r="B6363" s="1" t="s">
        <v>52</v>
      </c>
      <c r="C6363">
        <v>55</v>
      </c>
      <c r="D6363" s="1" t="s">
        <v>244</v>
      </c>
      <c r="E6363" s="1" t="s">
        <v>7</v>
      </c>
      <c r="F6363">
        <v>68</v>
      </c>
      <c r="G6363" s="1" t="str">
        <f>Ocupacao_DW[[#This Row],[data]]&amp;Ocupacao_DW[[#This Row],[profissional_id]]&amp;Ocupacao_DW[[#This Row],[local_id]]</f>
        <v>446385568</v>
      </c>
      <c r="H6363" s="1">
        <f>_xlfn.XLOOKUP(Ocupacao_DW[[#This Row],[Concat]],Vagas!$H:$H,Vagas!$D:$D,"",0)</f>
        <v>0</v>
      </c>
    </row>
    <row r="6364" spans="1:8" x14ac:dyDescent="0.25">
      <c r="A6364" s="2">
        <v>44636</v>
      </c>
      <c r="B6364" s="1" t="s">
        <v>52</v>
      </c>
      <c r="C6364">
        <v>60</v>
      </c>
      <c r="D6364" s="1" t="s">
        <v>217</v>
      </c>
      <c r="E6364" s="1" t="s">
        <v>167</v>
      </c>
      <c r="F6364">
        <v>346</v>
      </c>
      <c r="G6364" s="1" t="str">
        <f>Ocupacao_DW[[#This Row],[data]]&amp;Ocupacao_DW[[#This Row],[profissional_id]]&amp;Ocupacao_DW[[#This Row],[local_id]]</f>
        <v>4463660346</v>
      </c>
      <c r="H6364" s="1">
        <f>_xlfn.XLOOKUP(Ocupacao_DW[[#This Row],[Concat]],Vagas!$H:$H,Vagas!$D:$D,"",0)</f>
        <v>0</v>
      </c>
    </row>
    <row r="6365" spans="1:8" x14ac:dyDescent="0.25">
      <c r="A6365" s="2">
        <v>44636</v>
      </c>
      <c r="B6365" s="1" t="s">
        <v>52</v>
      </c>
      <c r="C6365">
        <v>60</v>
      </c>
      <c r="D6365" s="1" t="s">
        <v>217</v>
      </c>
      <c r="E6365" s="1" t="s">
        <v>167</v>
      </c>
      <c r="F6365">
        <v>346</v>
      </c>
      <c r="G6365" s="1" t="str">
        <f>Ocupacao_DW[[#This Row],[data]]&amp;Ocupacao_DW[[#This Row],[profissional_id]]&amp;Ocupacao_DW[[#This Row],[local_id]]</f>
        <v>4463660346</v>
      </c>
      <c r="H6365" s="1">
        <f>_xlfn.XLOOKUP(Ocupacao_DW[[#This Row],[Concat]],Vagas!$H:$H,Vagas!$D:$D,"",0)</f>
        <v>0</v>
      </c>
    </row>
    <row r="6366" spans="1:8" x14ac:dyDescent="0.25">
      <c r="A6366" s="2">
        <v>44635</v>
      </c>
      <c r="B6366" s="1" t="s">
        <v>55</v>
      </c>
      <c r="C6366">
        <v>14452</v>
      </c>
      <c r="D6366" s="1" t="s">
        <v>266</v>
      </c>
      <c r="E6366" s="1" t="s">
        <v>200</v>
      </c>
      <c r="F6366">
        <v>78</v>
      </c>
      <c r="G6366" s="1" t="str">
        <f>Ocupacao_DW[[#This Row],[data]]&amp;Ocupacao_DW[[#This Row],[profissional_id]]&amp;Ocupacao_DW[[#This Row],[local_id]]</f>
        <v>446351445278</v>
      </c>
      <c r="H6366" s="1">
        <f>_xlfn.XLOOKUP(Ocupacao_DW[[#This Row],[Concat]],Vagas!$H:$H,Vagas!$D:$D,"",0)</f>
        <v>0</v>
      </c>
    </row>
    <row r="6367" spans="1:8" x14ac:dyDescent="0.25">
      <c r="A6367" s="2">
        <v>44642</v>
      </c>
      <c r="B6367" s="1" t="s">
        <v>46</v>
      </c>
      <c r="C6367">
        <v>17888</v>
      </c>
      <c r="D6367" s="1" t="s">
        <v>255</v>
      </c>
      <c r="E6367" s="1" t="s">
        <v>4</v>
      </c>
      <c r="F6367">
        <v>40</v>
      </c>
      <c r="G6367" s="1" t="str">
        <f>Ocupacao_DW[[#This Row],[data]]&amp;Ocupacao_DW[[#This Row],[profissional_id]]&amp;Ocupacao_DW[[#This Row],[local_id]]</f>
        <v>446421788840</v>
      </c>
      <c r="H6367" s="1">
        <f>_xlfn.XLOOKUP(Ocupacao_DW[[#This Row],[Concat]],Vagas!$H:$H,Vagas!$D:$D,"",0)</f>
        <v>25</v>
      </c>
    </row>
    <row r="6368" spans="1:8" x14ac:dyDescent="0.25">
      <c r="A6368" s="2">
        <v>44635</v>
      </c>
      <c r="B6368" s="1" t="s">
        <v>66</v>
      </c>
      <c r="C6368">
        <v>100</v>
      </c>
      <c r="D6368" s="1" t="s">
        <v>166</v>
      </c>
      <c r="E6368" s="1" t="s">
        <v>167</v>
      </c>
      <c r="F6368">
        <v>342</v>
      </c>
      <c r="G6368" s="1" t="str">
        <f>Ocupacao_DW[[#This Row],[data]]&amp;Ocupacao_DW[[#This Row],[profissional_id]]&amp;Ocupacao_DW[[#This Row],[local_id]]</f>
        <v>44635100342</v>
      </c>
      <c r="H6368" s="1">
        <f>_xlfn.XLOOKUP(Ocupacao_DW[[#This Row],[Concat]],Vagas!$H:$H,Vagas!$D:$D,"",0)</f>
        <v>0</v>
      </c>
    </row>
    <row r="6369" spans="1:8" x14ac:dyDescent="0.25">
      <c r="A6369" s="2">
        <v>44648</v>
      </c>
      <c r="B6369" s="1" t="s">
        <v>60</v>
      </c>
      <c r="C6369">
        <v>117</v>
      </c>
      <c r="D6369" s="1" t="s">
        <v>180</v>
      </c>
      <c r="E6369" s="1" t="s">
        <v>4</v>
      </c>
      <c r="F6369">
        <v>48</v>
      </c>
      <c r="G6369" s="1" t="str">
        <f>Ocupacao_DW[[#This Row],[data]]&amp;Ocupacao_DW[[#This Row],[profissional_id]]&amp;Ocupacao_DW[[#This Row],[local_id]]</f>
        <v>4464811748</v>
      </c>
      <c r="H6369" s="1">
        <f>_xlfn.XLOOKUP(Ocupacao_DW[[#This Row],[Concat]],Vagas!$H:$H,Vagas!$D:$D,"",0)</f>
        <v>0</v>
      </c>
    </row>
    <row r="6370" spans="1:8" x14ac:dyDescent="0.25">
      <c r="A6370" s="2">
        <v>44649</v>
      </c>
      <c r="B6370" s="1" t="s">
        <v>53</v>
      </c>
      <c r="C6370">
        <v>9138</v>
      </c>
      <c r="D6370" s="1" t="s">
        <v>184</v>
      </c>
      <c r="E6370" s="1" t="s">
        <v>167</v>
      </c>
      <c r="F6370">
        <v>344</v>
      </c>
      <c r="G6370" s="1" t="str">
        <f>Ocupacao_DW[[#This Row],[data]]&amp;Ocupacao_DW[[#This Row],[profissional_id]]&amp;Ocupacao_DW[[#This Row],[local_id]]</f>
        <v>446499138344</v>
      </c>
      <c r="H6370" s="1">
        <f>_xlfn.XLOOKUP(Ocupacao_DW[[#This Row],[Concat]],Vagas!$H:$H,Vagas!$D:$D,"",0)</f>
        <v>0</v>
      </c>
    </row>
    <row r="6371" spans="1:8" x14ac:dyDescent="0.25">
      <c r="A6371" s="2">
        <v>44635</v>
      </c>
      <c r="B6371" s="1" t="s">
        <v>64</v>
      </c>
      <c r="C6371">
        <v>85</v>
      </c>
      <c r="D6371" s="1" t="s">
        <v>211</v>
      </c>
      <c r="E6371" s="1" t="s">
        <v>5</v>
      </c>
      <c r="F6371">
        <v>349</v>
      </c>
      <c r="G6371" s="1" t="str">
        <f>Ocupacao_DW[[#This Row],[data]]&amp;Ocupacao_DW[[#This Row],[profissional_id]]&amp;Ocupacao_DW[[#This Row],[local_id]]</f>
        <v>4463585349</v>
      </c>
      <c r="H6371" s="1">
        <f>_xlfn.XLOOKUP(Ocupacao_DW[[#This Row],[Concat]],Vagas!$H:$H,Vagas!$D:$D,"",0)</f>
        <v>0</v>
      </c>
    </row>
    <row r="6372" spans="1:8" x14ac:dyDescent="0.25">
      <c r="A6372" s="2">
        <v>44656</v>
      </c>
      <c r="B6372" s="1" t="s">
        <v>55</v>
      </c>
      <c r="C6372">
        <v>73</v>
      </c>
      <c r="D6372" s="1" t="s">
        <v>171</v>
      </c>
      <c r="E6372" s="1" t="s">
        <v>6</v>
      </c>
      <c r="F6372">
        <v>5</v>
      </c>
      <c r="G6372" s="1" t="str">
        <f>Ocupacao_DW[[#This Row],[data]]&amp;Ocupacao_DW[[#This Row],[profissional_id]]&amp;Ocupacao_DW[[#This Row],[local_id]]</f>
        <v>44656735</v>
      </c>
      <c r="H6372" s="1">
        <f>_xlfn.XLOOKUP(Ocupacao_DW[[#This Row],[Concat]],Vagas!$H:$H,Vagas!$D:$D,"",0)</f>
        <v>0</v>
      </c>
    </row>
    <row r="6373" spans="1:8" x14ac:dyDescent="0.25">
      <c r="A6373" s="2">
        <v>44635</v>
      </c>
      <c r="B6373" s="1" t="s">
        <v>49</v>
      </c>
      <c r="C6373">
        <v>266</v>
      </c>
      <c r="D6373" s="1" t="s">
        <v>201</v>
      </c>
      <c r="E6373" s="1" t="s">
        <v>4</v>
      </c>
      <c r="F6373">
        <v>42</v>
      </c>
      <c r="G6373" s="1" t="str">
        <f>Ocupacao_DW[[#This Row],[data]]&amp;Ocupacao_DW[[#This Row],[profissional_id]]&amp;Ocupacao_DW[[#This Row],[local_id]]</f>
        <v>4463526642</v>
      </c>
      <c r="H6373" s="1">
        <f>_xlfn.XLOOKUP(Ocupacao_DW[[#This Row],[Concat]],Vagas!$H:$H,Vagas!$D:$D,"",0)</f>
        <v>0</v>
      </c>
    </row>
    <row r="6374" spans="1:8" x14ac:dyDescent="0.25">
      <c r="A6374" s="2">
        <v>44638</v>
      </c>
      <c r="B6374" s="1" t="s">
        <v>72</v>
      </c>
      <c r="C6374">
        <v>13479</v>
      </c>
      <c r="D6374" s="1" t="s">
        <v>203</v>
      </c>
      <c r="E6374" s="1" t="s">
        <v>200</v>
      </c>
      <c r="F6374">
        <v>83</v>
      </c>
      <c r="G6374" s="1" t="str">
        <f>Ocupacao_DW[[#This Row],[data]]&amp;Ocupacao_DW[[#This Row],[profissional_id]]&amp;Ocupacao_DW[[#This Row],[local_id]]</f>
        <v>446381347983</v>
      </c>
      <c r="H6374" s="1">
        <f>_xlfn.XLOOKUP(Ocupacao_DW[[#This Row],[Concat]],Vagas!$H:$H,Vagas!$D:$D,"",0)</f>
        <v>0</v>
      </c>
    </row>
    <row r="6375" spans="1:8" x14ac:dyDescent="0.25">
      <c r="A6375" s="2">
        <v>44655</v>
      </c>
      <c r="B6375" s="1" t="s">
        <v>56</v>
      </c>
      <c r="C6375">
        <v>75</v>
      </c>
      <c r="D6375" s="1" t="s">
        <v>208</v>
      </c>
      <c r="E6375" s="1" t="s">
        <v>5</v>
      </c>
      <c r="F6375">
        <v>15</v>
      </c>
      <c r="G6375" s="1" t="str">
        <f>Ocupacao_DW[[#This Row],[data]]&amp;Ocupacao_DW[[#This Row],[profissional_id]]&amp;Ocupacao_DW[[#This Row],[local_id]]</f>
        <v>446557515</v>
      </c>
      <c r="H6375" s="1">
        <f>_xlfn.XLOOKUP(Ocupacao_DW[[#This Row],[Concat]],Vagas!$H:$H,Vagas!$D:$D,"",0)</f>
        <v>0</v>
      </c>
    </row>
    <row r="6376" spans="1:8" x14ac:dyDescent="0.25">
      <c r="A6376" s="2">
        <v>44637</v>
      </c>
      <c r="B6376" s="1" t="s">
        <v>47</v>
      </c>
      <c r="C6376">
        <v>17928</v>
      </c>
      <c r="D6376" s="1" t="s">
        <v>268</v>
      </c>
      <c r="E6376" s="1" t="s">
        <v>4</v>
      </c>
      <c r="F6376">
        <v>51</v>
      </c>
      <c r="G6376" s="1" t="str">
        <f>Ocupacao_DW[[#This Row],[data]]&amp;Ocupacao_DW[[#This Row],[profissional_id]]&amp;Ocupacao_DW[[#This Row],[local_id]]</f>
        <v>446371792851</v>
      </c>
      <c r="H6376" s="1">
        <f>_xlfn.XLOOKUP(Ocupacao_DW[[#This Row],[Concat]],Vagas!$H:$H,Vagas!$D:$D,"",0)</f>
        <v>13</v>
      </c>
    </row>
    <row r="6377" spans="1:8" x14ac:dyDescent="0.25">
      <c r="A6377" s="2">
        <v>44635</v>
      </c>
      <c r="B6377" s="1" t="s">
        <v>70</v>
      </c>
      <c r="C6377">
        <v>12825</v>
      </c>
      <c r="D6377" s="1" t="s">
        <v>177</v>
      </c>
      <c r="E6377" s="1" t="s">
        <v>7</v>
      </c>
      <c r="F6377">
        <v>63</v>
      </c>
      <c r="G6377" s="1" t="str">
        <f>Ocupacao_DW[[#This Row],[data]]&amp;Ocupacao_DW[[#This Row],[profissional_id]]&amp;Ocupacao_DW[[#This Row],[local_id]]</f>
        <v>446351282563</v>
      </c>
      <c r="H6377" s="1">
        <f>_xlfn.XLOOKUP(Ocupacao_DW[[#This Row],[Concat]],Vagas!$H:$H,Vagas!$D:$D,"",0)</f>
        <v>0</v>
      </c>
    </row>
    <row r="6378" spans="1:8" x14ac:dyDescent="0.25">
      <c r="A6378" s="2">
        <v>44636</v>
      </c>
      <c r="B6378" s="1" t="s">
        <v>66</v>
      </c>
      <c r="C6378">
        <v>1343</v>
      </c>
      <c r="D6378" s="1" t="s">
        <v>263</v>
      </c>
      <c r="E6378" s="1" t="s">
        <v>167</v>
      </c>
      <c r="F6378">
        <v>342</v>
      </c>
      <c r="G6378" s="1" t="str">
        <f>Ocupacao_DW[[#This Row],[data]]&amp;Ocupacao_DW[[#This Row],[profissional_id]]&amp;Ocupacao_DW[[#This Row],[local_id]]</f>
        <v>446361343342</v>
      </c>
      <c r="H6378" s="1">
        <f>_xlfn.XLOOKUP(Ocupacao_DW[[#This Row],[Concat]],Vagas!$H:$H,Vagas!$D:$D,"",0)</f>
        <v>0</v>
      </c>
    </row>
    <row r="6379" spans="1:8" x14ac:dyDescent="0.25">
      <c r="A6379" s="2">
        <v>44635</v>
      </c>
      <c r="B6379" s="1" t="s">
        <v>64</v>
      </c>
      <c r="C6379">
        <v>85</v>
      </c>
      <c r="D6379" s="1" t="s">
        <v>211</v>
      </c>
      <c r="E6379" s="1" t="s">
        <v>5</v>
      </c>
      <c r="F6379">
        <v>349</v>
      </c>
      <c r="G6379" s="1" t="str">
        <f>Ocupacao_DW[[#This Row],[data]]&amp;Ocupacao_DW[[#This Row],[profissional_id]]&amp;Ocupacao_DW[[#This Row],[local_id]]</f>
        <v>4463585349</v>
      </c>
      <c r="H6379" s="1">
        <f>_xlfn.XLOOKUP(Ocupacao_DW[[#This Row],[Concat]],Vagas!$H:$H,Vagas!$D:$D,"",0)</f>
        <v>0</v>
      </c>
    </row>
    <row r="6380" spans="1:8" x14ac:dyDescent="0.25">
      <c r="A6380" s="2">
        <v>44636</v>
      </c>
      <c r="B6380" s="1" t="s">
        <v>65</v>
      </c>
      <c r="C6380">
        <v>13058</v>
      </c>
      <c r="D6380" s="1" t="s">
        <v>256</v>
      </c>
      <c r="E6380" s="1" t="s">
        <v>4</v>
      </c>
      <c r="F6380">
        <v>47</v>
      </c>
      <c r="G6380" s="1" t="str">
        <f>Ocupacao_DW[[#This Row],[data]]&amp;Ocupacao_DW[[#This Row],[profissional_id]]&amp;Ocupacao_DW[[#This Row],[local_id]]</f>
        <v>446361305847</v>
      </c>
      <c r="H6380" s="1">
        <f>_xlfn.XLOOKUP(Ocupacao_DW[[#This Row],[Concat]],Vagas!$H:$H,Vagas!$D:$D,"",0)</f>
        <v>0</v>
      </c>
    </row>
    <row r="6381" spans="1:8" x14ac:dyDescent="0.25">
      <c r="A6381" s="2">
        <v>44643</v>
      </c>
      <c r="B6381" s="1" t="s">
        <v>52</v>
      </c>
      <c r="C6381">
        <v>10691</v>
      </c>
      <c r="D6381" s="1" t="s">
        <v>181</v>
      </c>
      <c r="E6381" s="1" t="s">
        <v>6</v>
      </c>
      <c r="F6381">
        <v>9</v>
      </c>
      <c r="G6381" s="1" t="str">
        <f>Ocupacao_DW[[#This Row],[data]]&amp;Ocupacao_DW[[#This Row],[profissional_id]]&amp;Ocupacao_DW[[#This Row],[local_id]]</f>
        <v>44643106919</v>
      </c>
      <c r="H6381" s="1">
        <f>_xlfn.XLOOKUP(Ocupacao_DW[[#This Row],[Concat]],Vagas!$H:$H,Vagas!$D:$D,"",0)</f>
        <v>0</v>
      </c>
    </row>
    <row r="6382" spans="1:8" x14ac:dyDescent="0.25">
      <c r="A6382" s="2">
        <v>44636</v>
      </c>
      <c r="B6382" s="1" t="s">
        <v>64</v>
      </c>
      <c r="C6382">
        <v>531</v>
      </c>
      <c r="D6382" s="1" t="s">
        <v>213</v>
      </c>
      <c r="E6382" s="1" t="s">
        <v>5</v>
      </c>
      <c r="F6382">
        <v>12</v>
      </c>
      <c r="G6382" s="1" t="str">
        <f>Ocupacao_DW[[#This Row],[data]]&amp;Ocupacao_DW[[#This Row],[profissional_id]]&amp;Ocupacao_DW[[#This Row],[local_id]]</f>
        <v>4463653112</v>
      </c>
      <c r="H6382" s="1">
        <f>_xlfn.XLOOKUP(Ocupacao_DW[[#This Row],[Concat]],Vagas!$H:$H,Vagas!$D:$D,"",0)</f>
        <v>0</v>
      </c>
    </row>
    <row r="6383" spans="1:8" x14ac:dyDescent="0.25">
      <c r="A6383" s="2">
        <v>44646</v>
      </c>
      <c r="B6383" s="1" t="s">
        <v>60</v>
      </c>
      <c r="C6383">
        <v>117</v>
      </c>
      <c r="D6383" s="1" t="s">
        <v>180</v>
      </c>
      <c r="E6383" s="1" t="s">
        <v>4</v>
      </c>
      <c r="F6383">
        <v>48</v>
      </c>
      <c r="G6383" s="1" t="str">
        <f>Ocupacao_DW[[#This Row],[data]]&amp;Ocupacao_DW[[#This Row],[profissional_id]]&amp;Ocupacao_DW[[#This Row],[local_id]]</f>
        <v>4464611748</v>
      </c>
      <c r="H6383" s="1">
        <f>_xlfn.XLOOKUP(Ocupacao_DW[[#This Row],[Concat]],Vagas!$H:$H,Vagas!$D:$D,"",0)</f>
        <v>0</v>
      </c>
    </row>
    <row r="6384" spans="1:8" x14ac:dyDescent="0.25">
      <c r="A6384" s="2">
        <v>44635</v>
      </c>
      <c r="B6384" s="1" t="s">
        <v>70</v>
      </c>
      <c r="C6384">
        <v>12825</v>
      </c>
      <c r="D6384" s="1" t="s">
        <v>177</v>
      </c>
      <c r="E6384" s="1" t="s">
        <v>7</v>
      </c>
      <c r="F6384">
        <v>63</v>
      </c>
      <c r="G6384" s="1" t="str">
        <f>Ocupacao_DW[[#This Row],[data]]&amp;Ocupacao_DW[[#This Row],[profissional_id]]&amp;Ocupacao_DW[[#This Row],[local_id]]</f>
        <v>446351282563</v>
      </c>
      <c r="H6384" s="1">
        <f>_xlfn.XLOOKUP(Ocupacao_DW[[#This Row],[Concat]],Vagas!$H:$H,Vagas!$D:$D,"",0)</f>
        <v>0</v>
      </c>
    </row>
    <row r="6385" spans="1:8" x14ac:dyDescent="0.25">
      <c r="A6385" s="2">
        <v>44642</v>
      </c>
      <c r="B6385" s="1" t="s">
        <v>49</v>
      </c>
      <c r="C6385">
        <v>266</v>
      </c>
      <c r="D6385" s="1" t="s">
        <v>201</v>
      </c>
      <c r="E6385" s="1" t="s">
        <v>4</v>
      </c>
      <c r="F6385">
        <v>42</v>
      </c>
      <c r="G6385" s="1" t="str">
        <f>Ocupacao_DW[[#This Row],[data]]&amp;Ocupacao_DW[[#This Row],[profissional_id]]&amp;Ocupacao_DW[[#This Row],[local_id]]</f>
        <v>4464226642</v>
      </c>
      <c r="H6385" s="1">
        <f>_xlfn.XLOOKUP(Ocupacao_DW[[#This Row],[Concat]],Vagas!$H:$H,Vagas!$D:$D,"",0)</f>
        <v>0</v>
      </c>
    </row>
    <row r="6386" spans="1:8" x14ac:dyDescent="0.25">
      <c r="A6386" s="2">
        <v>44643</v>
      </c>
      <c r="B6386" s="1" t="s">
        <v>70</v>
      </c>
      <c r="C6386">
        <v>12825</v>
      </c>
      <c r="D6386" s="1" t="s">
        <v>177</v>
      </c>
      <c r="E6386" s="1" t="s">
        <v>4</v>
      </c>
      <c r="F6386">
        <v>45</v>
      </c>
      <c r="G6386" s="1" t="str">
        <f>Ocupacao_DW[[#This Row],[data]]&amp;Ocupacao_DW[[#This Row],[profissional_id]]&amp;Ocupacao_DW[[#This Row],[local_id]]</f>
        <v>446431282545</v>
      </c>
      <c r="H6386" s="1">
        <f>_xlfn.XLOOKUP(Ocupacao_DW[[#This Row],[Concat]],Vagas!$H:$H,Vagas!$D:$D,"",0)</f>
        <v>0</v>
      </c>
    </row>
    <row r="6387" spans="1:8" x14ac:dyDescent="0.25">
      <c r="A6387" s="2">
        <v>44644</v>
      </c>
      <c r="B6387" s="1" t="s">
        <v>47</v>
      </c>
      <c r="C6387">
        <v>11312</v>
      </c>
      <c r="D6387" s="1" t="s">
        <v>207</v>
      </c>
      <c r="E6387" s="1" t="s">
        <v>4</v>
      </c>
      <c r="F6387">
        <v>336</v>
      </c>
      <c r="G6387" s="1" t="str">
        <f>Ocupacao_DW[[#This Row],[data]]&amp;Ocupacao_DW[[#This Row],[profissional_id]]&amp;Ocupacao_DW[[#This Row],[local_id]]</f>
        <v>4464411312336</v>
      </c>
      <c r="H6387" s="1">
        <f>_xlfn.XLOOKUP(Ocupacao_DW[[#This Row],[Concat]],Vagas!$H:$H,Vagas!$D:$D,"",0)</f>
        <v>20</v>
      </c>
    </row>
    <row r="6388" spans="1:8" x14ac:dyDescent="0.25">
      <c r="A6388" s="2">
        <v>44641</v>
      </c>
      <c r="B6388" s="1" t="s">
        <v>52</v>
      </c>
      <c r="C6388">
        <v>10691</v>
      </c>
      <c r="D6388" s="1" t="s">
        <v>181</v>
      </c>
      <c r="E6388" s="1" t="s">
        <v>6</v>
      </c>
      <c r="F6388">
        <v>9</v>
      </c>
      <c r="G6388" s="1" t="str">
        <f>Ocupacao_DW[[#This Row],[data]]&amp;Ocupacao_DW[[#This Row],[profissional_id]]&amp;Ocupacao_DW[[#This Row],[local_id]]</f>
        <v>44641106919</v>
      </c>
      <c r="H6388" s="1">
        <f>_xlfn.XLOOKUP(Ocupacao_DW[[#This Row],[Concat]],Vagas!$H:$H,Vagas!$D:$D,"",0)</f>
        <v>0</v>
      </c>
    </row>
    <row r="6389" spans="1:8" x14ac:dyDescent="0.25">
      <c r="A6389" s="2">
        <v>44643</v>
      </c>
      <c r="B6389" s="1" t="s">
        <v>51</v>
      </c>
      <c r="C6389">
        <v>12679</v>
      </c>
      <c r="D6389" s="1" t="s">
        <v>192</v>
      </c>
      <c r="E6389" s="1" t="s">
        <v>5</v>
      </c>
      <c r="F6389">
        <v>11</v>
      </c>
      <c r="G6389" s="1" t="str">
        <f>Ocupacao_DW[[#This Row],[data]]&amp;Ocupacao_DW[[#This Row],[profissional_id]]&amp;Ocupacao_DW[[#This Row],[local_id]]</f>
        <v>446431267911</v>
      </c>
      <c r="H6389" s="1">
        <f>_xlfn.XLOOKUP(Ocupacao_DW[[#This Row],[Concat]],Vagas!$H:$H,Vagas!$D:$D,"",0)</f>
        <v>0</v>
      </c>
    </row>
    <row r="6390" spans="1:8" x14ac:dyDescent="0.25">
      <c r="A6390" s="2">
        <v>44635</v>
      </c>
      <c r="B6390" s="1" t="s">
        <v>66</v>
      </c>
      <c r="C6390">
        <v>100</v>
      </c>
      <c r="D6390" s="1" t="s">
        <v>166</v>
      </c>
      <c r="E6390" s="1" t="s">
        <v>167</v>
      </c>
      <c r="F6390">
        <v>342</v>
      </c>
      <c r="G6390" s="1" t="str">
        <f>Ocupacao_DW[[#This Row],[data]]&amp;Ocupacao_DW[[#This Row],[profissional_id]]&amp;Ocupacao_DW[[#This Row],[local_id]]</f>
        <v>44635100342</v>
      </c>
      <c r="H6390" s="1">
        <f>_xlfn.XLOOKUP(Ocupacao_DW[[#This Row],[Concat]],Vagas!$H:$H,Vagas!$D:$D,"",0)</f>
        <v>0</v>
      </c>
    </row>
    <row r="6391" spans="1:8" x14ac:dyDescent="0.25">
      <c r="A6391" s="2">
        <v>44636</v>
      </c>
      <c r="B6391" s="1" t="s">
        <v>47</v>
      </c>
      <c r="C6391">
        <v>110</v>
      </c>
      <c r="D6391" s="1" t="s">
        <v>193</v>
      </c>
      <c r="E6391" s="1" t="s">
        <v>4</v>
      </c>
      <c r="F6391">
        <v>334</v>
      </c>
      <c r="G6391" s="1" t="str">
        <f>Ocupacao_DW[[#This Row],[data]]&amp;Ocupacao_DW[[#This Row],[profissional_id]]&amp;Ocupacao_DW[[#This Row],[local_id]]</f>
        <v>44636110334</v>
      </c>
      <c r="H6391" s="1">
        <f>_xlfn.XLOOKUP(Ocupacao_DW[[#This Row],[Concat]],Vagas!$H:$H,Vagas!$D:$D,"",0)</f>
        <v>0</v>
      </c>
    </row>
    <row r="6392" spans="1:8" x14ac:dyDescent="0.25">
      <c r="A6392" s="2">
        <v>44645</v>
      </c>
      <c r="B6392" s="1" t="s">
        <v>64</v>
      </c>
      <c r="C6392">
        <v>86</v>
      </c>
      <c r="D6392" s="1" t="s">
        <v>175</v>
      </c>
      <c r="E6392" s="1" t="s">
        <v>5</v>
      </c>
      <c r="F6392">
        <v>349</v>
      </c>
      <c r="G6392" s="1" t="str">
        <f>Ocupacao_DW[[#This Row],[data]]&amp;Ocupacao_DW[[#This Row],[profissional_id]]&amp;Ocupacao_DW[[#This Row],[local_id]]</f>
        <v>4464586349</v>
      </c>
      <c r="H6392" s="1">
        <f>_xlfn.XLOOKUP(Ocupacao_DW[[#This Row],[Concat]],Vagas!$H:$H,Vagas!$D:$D,"",0)</f>
        <v>0</v>
      </c>
    </row>
    <row r="6393" spans="1:8" x14ac:dyDescent="0.25">
      <c r="A6393" s="2">
        <v>44636</v>
      </c>
      <c r="B6393" s="1" t="s">
        <v>49</v>
      </c>
      <c r="C6393">
        <v>6430</v>
      </c>
      <c r="D6393" s="1" t="s">
        <v>188</v>
      </c>
      <c r="E6393" s="1" t="s">
        <v>4</v>
      </c>
      <c r="F6393">
        <v>42</v>
      </c>
      <c r="G6393" s="1" t="str">
        <f>Ocupacao_DW[[#This Row],[data]]&amp;Ocupacao_DW[[#This Row],[profissional_id]]&amp;Ocupacao_DW[[#This Row],[local_id]]</f>
        <v>44636643042</v>
      </c>
      <c r="H6393" s="1">
        <f>_xlfn.XLOOKUP(Ocupacao_DW[[#This Row],[Concat]],Vagas!$H:$H,Vagas!$D:$D,"",0)</f>
        <v>0</v>
      </c>
    </row>
    <row r="6394" spans="1:8" x14ac:dyDescent="0.25">
      <c r="A6394" s="2">
        <v>44638</v>
      </c>
      <c r="B6394" s="1" t="s">
        <v>66</v>
      </c>
      <c r="C6394">
        <v>1343</v>
      </c>
      <c r="D6394" s="1" t="s">
        <v>263</v>
      </c>
      <c r="E6394" s="1" t="s">
        <v>167</v>
      </c>
      <c r="F6394">
        <v>342</v>
      </c>
      <c r="G6394" s="1" t="str">
        <f>Ocupacao_DW[[#This Row],[data]]&amp;Ocupacao_DW[[#This Row],[profissional_id]]&amp;Ocupacao_DW[[#This Row],[local_id]]</f>
        <v>446381343342</v>
      </c>
      <c r="H6394" s="1">
        <f>_xlfn.XLOOKUP(Ocupacao_DW[[#This Row],[Concat]],Vagas!$H:$H,Vagas!$D:$D,"",0)</f>
        <v>0</v>
      </c>
    </row>
    <row r="6395" spans="1:8" x14ac:dyDescent="0.25">
      <c r="A6395" s="2">
        <v>44635</v>
      </c>
      <c r="B6395" s="1" t="s">
        <v>51</v>
      </c>
      <c r="C6395">
        <v>12582</v>
      </c>
      <c r="D6395" s="1" t="s">
        <v>190</v>
      </c>
      <c r="E6395" s="1" t="s">
        <v>7</v>
      </c>
      <c r="F6395">
        <v>62</v>
      </c>
      <c r="G6395" s="1" t="str">
        <f>Ocupacao_DW[[#This Row],[data]]&amp;Ocupacao_DW[[#This Row],[profissional_id]]&amp;Ocupacao_DW[[#This Row],[local_id]]</f>
        <v>446351258262</v>
      </c>
      <c r="H6395" s="1">
        <f>_xlfn.XLOOKUP(Ocupacao_DW[[#This Row],[Concat]],Vagas!$H:$H,Vagas!$D:$D,"",0)</f>
        <v>0</v>
      </c>
    </row>
    <row r="6396" spans="1:8" x14ac:dyDescent="0.25">
      <c r="A6396" s="2">
        <v>44651</v>
      </c>
      <c r="B6396" s="1" t="s">
        <v>70</v>
      </c>
      <c r="C6396">
        <v>12519</v>
      </c>
      <c r="D6396" s="1" t="s">
        <v>176</v>
      </c>
      <c r="E6396" s="1" t="s">
        <v>4</v>
      </c>
      <c r="F6396">
        <v>42</v>
      </c>
      <c r="G6396" s="1" t="str">
        <f>Ocupacao_DW[[#This Row],[data]]&amp;Ocupacao_DW[[#This Row],[profissional_id]]&amp;Ocupacao_DW[[#This Row],[local_id]]</f>
        <v>446511251942</v>
      </c>
      <c r="H6396" s="1">
        <f>_xlfn.XLOOKUP(Ocupacao_DW[[#This Row],[Concat]],Vagas!$H:$H,Vagas!$D:$D,"",0)</f>
        <v>0</v>
      </c>
    </row>
    <row r="6397" spans="1:8" x14ac:dyDescent="0.25">
      <c r="A6397" s="2">
        <v>44639</v>
      </c>
      <c r="B6397" s="1" t="s">
        <v>72</v>
      </c>
      <c r="C6397">
        <v>6046</v>
      </c>
      <c r="D6397" s="1" t="s">
        <v>222</v>
      </c>
      <c r="E6397" s="1" t="s">
        <v>4</v>
      </c>
      <c r="F6397">
        <v>46</v>
      </c>
      <c r="G6397" s="1" t="str">
        <f>Ocupacao_DW[[#This Row],[data]]&amp;Ocupacao_DW[[#This Row],[profissional_id]]&amp;Ocupacao_DW[[#This Row],[local_id]]</f>
        <v>44639604646</v>
      </c>
      <c r="H6397" s="1">
        <f>_xlfn.XLOOKUP(Ocupacao_DW[[#This Row],[Concat]],Vagas!$H:$H,Vagas!$D:$D,"",0)</f>
        <v>0</v>
      </c>
    </row>
    <row r="6398" spans="1:8" x14ac:dyDescent="0.25">
      <c r="A6398" s="2">
        <v>44638</v>
      </c>
      <c r="B6398" s="1" t="s">
        <v>56</v>
      </c>
      <c r="C6398">
        <v>13660</v>
      </c>
      <c r="D6398" s="1" t="s">
        <v>250</v>
      </c>
      <c r="E6398" s="1" t="s">
        <v>5</v>
      </c>
      <c r="F6398">
        <v>15</v>
      </c>
      <c r="G6398" s="1" t="str">
        <f>Ocupacao_DW[[#This Row],[data]]&amp;Ocupacao_DW[[#This Row],[profissional_id]]&amp;Ocupacao_DW[[#This Row],[local_id]]</f>
        <v>446381366015</v>
      </c>
      <c r="H6398" s="1">
        <f>_xlfn.XLOOKUP(Ocupacao_DW[[#This Row],[Concat]],Vagas!$H:$H,Vagas!$D:$D,"",0)</f>
        <v>0</v>
      </c>
    </row>
    <row r="6399" spans="1:8" x14ac:dyDescent="0.25">
      <c r="A6399" s="2">
        <v>44635</v>
      </c>
      <c r="B6399" s="1" t="s">
        <v>43</v>
      </c>
      <c r="C6399">
        <v>57</v>
      </c>
      <c r="D6399" s="1" t="s">
        <v>169</v>
      </c>
      <c r="E6399" s="1" t="s">
        <v>6</v>
      </c>
      <c r="F6399">
        <v>2</v>
      </c>
      <c r="G6399" s="1" t="str">
        <f>Ocupacao_DW[[#This Row],[data]]&amp;Ocupacao_DW[[#This Row],[profissional_id]]&amp;Ocupacao_DW[[#This Row],[local_id]]</f>
        <v>44635572</v>
      </c>
      <c r="H6399" s="1">
        <f>_xlfn.XLOOKUP(Ocupacao_DW[[#This Row],[Concat]],Vagas!$H:$H,Vagas!$D:$D,"",0)</f>
        <v>0</v>
      </c>
    </row>
    <row r="6400" spans="1:8" x14ac:dyDescent="0.25">
      <c r="A6400" s="2">
        <v>44639</v>
      </c>
      <c r="B6400" s="1" t="s">
        <v>47</v>
      </c>
      <c r="C6400">
        <v>111</v>
      </c>
      <c r="D6400" s="1" t="s">
        <v>199</v>
      </c>
      <c r="E6400" s="1" t="s">
        <v>4</v>
      </c>
      <c r="F6400">
        <v>51</v>
      </c>
      <c r="G6400" s="1" t="str">
        <f>Ocupacao_DW[[#This Row],[data]]&amp;Ocupacao_DW[[#This Row],[profissional_id]]&amp;Ocupacao_DW[[#This Row],[local_id]]</f>
        <v>4463911151</v>
      </c>
      <c r="H6400" s="1">
        <f>_xlfn.XLOOKUP(Ocupacao_DW[[#This Row],[Concat]],Vagas!$H:$H,Vagas!$D:$D,"",0)</f>
        <v>0</v>
      </c>
    </row>
    <row r="6401" spans="1:8" x14ac:dyDescent="0.25">
      <c r="A6401" s="2">
        <v>44656</v>
      </c>
      <c r="B6401" s="1" t="s">
        <v>55</v>
      </c>
      <c r="C6401">
        <v>73</v>
      </c>
      <c r="D6401" s="1" t="s">
        <v>171</v>
      </c>
      <c r="E6401" s="1" t="s">
        <v>6</v>
      </c>
      <c r="F6401">
        <v>5</v>
      </c>
      <c r="G6401" s="1" t="str">
        <f>Ocupacao_DW[[#This Row],[data]]&amp;Ocupacao_DW[[#This Row],[profissional_id]]&amp;Ocupacao_DW[[#This Row],[local_id]]</f>
        <v>44656735</v>
      </c>
      <c r="H6401" s="1">
        <f>_xlfn.XLOOKUP(Ocupacao_DW[[#This Row],[Concat]],Vagas!$H:$H,Vagas!$D:$D,"",0)</f>
        <v>0</v>
      </c>
    </row>
    <row r="6402" spans="1:8" x14ac:dyDescent="0.25">
      <c r="A6402" s="2">
        <v>44638</v>
      </c>
      <c r="B6402" s="1" t="s">
        <v>52</v>
      </c>
      <c r="C6402">
        <v>10691</v>
      </c>
      <c r="D6402" s="1" t="s">
        <v>181</v>
      </c>
      <c r="E6402" s="1" t="s">
        <v>200</v>
      </c>
      <c r="F6402">
        <v>78</v>
      </c>
      <c r="G6402" s="1" t="str">
        <f>Ocupacao_DW[[#This Row],[data]]&amp;Ocupacao_DW[[#This Row],[profissional_id]]&amp;Ocupacao_DW[[#This Row],[local_id]]</f>
        <v>446381069178</v>
      </c>
      <c r="H6402" s="1">
        <f>_xlfn.XLOOKUP(Ocupacao_DW[[#This Row],[Concat]],Vagas!$H:$H,Vagas!$D:$D,"",0)</f>
        <v>0</v>
      </c>
    </row>
    <row r="6403" spans="1:8" x14ac:dyDescent="0.25">
      <c r="A6403" s="2">
        <v>44637</v>
      </c>
      <c r="B6403" s="1" t="s">
        <v>47</v>
      </c>
      <c r="C6403">
        <v>9111</v>
      </c>
      <c r="D6403" s="1" t="s">
        <v>206</v>
      </c>
      <c r="E6403" s="1" t="s">
        <v>4</v>
      </c>
      <c r="F6403">
        <v>334</v>
      </c>
      <c r="G6403" s="1" t="str">
        <f>Ocupacao_DW[[#This Row],[data]]&amp;Ocupacao_DW[[#This Row],[profissional_id]]&amp;Ocupacao_DW[[#This Row],[local_id]]</f>
        <v>446379111334</v>
      </c>
      <c r="H6403" s="1">
        <f>_xlfn.XLOOKUP(Ocupacao_DW[[#This Row],[Concat]],Vagas!$H:$H,Vagas!$D:$D,"",0)</f>
        <v>0</v>
      </c>
    </row>
    <row r="6404" spans="1:8" x14ac:dyDescent="0.25">
      <c r="A6404" s="2">
        <v>44643</v>
      </c>
      <c r="B6404" s="1" t="s">
        <v>51</v>
      </c>
      <c r="C6404">
        <v>7551</v>
      </c>
      <c r="D6404" s="1" t="s">
        <v>246</v>
      </c>
      <c r="E6404" s="1" t="s">
        <v>5</v>
      </c>
      <c r="F6404">
        <v>15</v>
      </c>
      <c r="G6404" s="1" t="str">
        <f>Ocupacao_DW[[#This Row],[data]]&amp;Ocupacao_DW[[#This Row],[profissional_id]]&amp;Ocupacao_DW[[#This Row],[local_id]]</f>
        <v>44643755115</v>
      </c>
      <c r="H6404" s="1">
        <f>_xlfn.XLOOKUP(Ocupacao_DW[[#This Row],[Concat]],Vagas!$H:$H,Vagas!$D:$D,"",0)</f>
        <v>0</v>
      </c>
    </row>
    <row r="6405" spans="1:8" x14ac:dyDescent="0.25">
      <c r="A6405" s="2">
        <v>44635</v>
      </c>
      <c r="B6405" s="1" t="s">
        <v>64</v>
      </c>
      <c r="C6405">
        <v>86</v>
      </c>
      <c r="D6405" s="1" t="s">
        <v>175</v>
      </c>
      <c r="E6405" s="1" t="s">
        <v>200</v>
      </c>
      <c r="F6405">
        <v>82</v>
      </c>
      <c r="G6405" s="1" t="str">
        <f>Ocupacao_DW[[#This Row],[data]]&amp;Ocupacao_DW[[#This Row],[profissional_id]]&amp;Ocupacao_DW[[#This Row],[local_id]]</f>
        <v>446358682</v>
      </c>
      <c r="H6405" s="1">
        <f>_xlfn.XLOOKUP(Ocupacao_DW[[#This Row],[Concat]],Vagas!$H:$H,Vagas!$D:$D,"",0)</f>
        <v>6</v>
      </c>
    </row>
    <row r="6406" spans="1:8" x14ac:dyDescent="0.25">
      <c r="A6406" s="2">
        <v>44651</v>
      </c>
      <c r="B6406" s="1" t="s">
        <v>70</v>
      </c>
      <c r="C6406">
        <v>12519</v>
      </c>
      <c r="D6406" s="1" t="s">
        <v>176</v>
      </c>
      <c r="E6406" s="1" t="s">
        <v>4</v>
      </c>
      <c r="F6406">
        <v>42</v>
      </c>
      <c r="G6406" s="1" t="str">
        <f>Ocupacao_DW[[#This Row],[data]]&amp;Ocupacao_DW[[#This Row],[profissional_id]]&amp;Ocupacao_DW[[#This Row],[local_id]]</f>
        <v>446511251942</v>
      </c>
      <c r="H6406" s="1">
        <f>_xlfn.XLOOKUP(Ocupacao_DW[[#This Row],[Concat]],Vagas!$H:$H,Vagas!$D:$D,"",0)</f>
        <v>0</v>
      </c>
    </row>
    <row r="6407" spans="1:8" x14ac:dyDescent="0.25">
      <c r="A6407" s="2">
        <v>44638</v>
      </c>
      <c r="B6407" s="1"/>
      <c r="C6407">
        <v>17937</v>
      </c>
      <c r="D6407" s="1" t="s">
        <v>297</v>
      </c>
      <c r="E6407" s="1" t="s">
        <v>4</v>
      </c>
      <c r="F6407">
        <v>351</v>
      </c>
      <c r="G6407" s="1" t="str">
        <f>Ocupacao_DW[[#This Row],[data]]&amp;Ocupacao_DW[[#This Row],[profissional_id]]&amp;Ocupacao_DW[[#This Row],[local_id]]</f>
        <v>4463817937351</v>
      </c>
      <c r="H6407" s="1" t="str">
        <f>_xlfn.XLOOKUP(Ocupacao_DW[[#This Row],[Concat]],Vagas!$H:$H,Vagas!$D:$D,"",0)</f>
        <v/>
      </c>
    </row>
    <row r="6408" spans="1:8" x14ac:dyDescent="0.25">
      <c r="A6408" s="2">
        <v>44636</v>
      </c>
      <c r="B6408" s="1" t="s">
        <v>62</v>
      </c>
      <c r="C6408">
        <v>3502</v>
      </c>
      <c r="D6408" s="1" t="s">
        <v>214</v>
      </c>
      <c r="E6408" s="1" t="s">
        <v>5</v>
      </c>
      <c r="F6408">
        <v>16</v>
      </c>
      <c r="G6408" s="1" t="str">
        <f>Ocupacao_DW[[#This Row],[data]]&amp;Ocupacao_DW[[#This Row],[profissional_id]]&amp;Ocupacao_DW[[#This Row],[local_id]]</f>
        <v>44636350216</v>
      </c>
      <c r="H6408" s="1">
        <f>_xlfn.XLOOKUP(Ocupacao_DW[[#This Row],[Concat]],Vagas!$H:$H,Vagas!$D:$D,"",0)</f>
        <v>0</v>
      </c>
    </row>
    <row r="6409" spans="1:8" x14ac:dyDescent="0.25">
      <c r="A6409" s="2">
        <v>44643</v>
      </c>
      <c r="B6409" s="1" t="s">
        <v>65</v>
      </c>
      <c r="C6409">
        <v>13058</v>
      </c>
      <c r="D6409" s="1" t="s">
        <v>256</v>
      </c>
      <c r="E6409" s="1" t="s">
        <v>4</v>
      </c>
      <c r="F6409">
        <v>47</v>
      </c>
      <c r="G6409" s="1" t="str">
        <f>Ocupacao_DW[[#This Row],[data]]&amp;Ocupacao_DW[[#This Row],[profissional_id]]&amp;Ocupacao_DW[[#This Row],[local_id]]</f>
        <v>446431305847</v>
      </c>
      <c r="H6409" s="1">
        <f>_xlfn.XLOOKUP(Ocupacao_DW[[#This Row],[Concat]],Vagas!$H:$H,Vagas!$D:$D,"",0)</f>
        <v>0</v>
      </c>
    </row>
    <row r="6410" spans="1:8" x14ac:dyDescent="0.25">
      <c r="A6410" s="2">
        <v>44641</v>
      </c>
      <c r="B6410" s="1" t="s">
        <v>54</v>
      </c>
      <c r="C6410">
        <v>10941</v>
      </c>
      <c r="D6410" s="1" t="s">
        <v>224</v>
      </c>
      <c r="E6410" s="1" t="s">
        <v>7</v>
      </c>
      <c r="F6410">
        <v>67</v>
      </c>
      <c r="G6410" s="1" t="str">
        <f>Ocupacao_DW[[#This Row],[data]]&amp;Ocupacao_DW[[#This Row],[profissional_id]]&amp;Ocupacao_DW[[#This Row],[local_id]]</f>
        <v>446411094167</v>
      </c>
      <c r="H6410" s="1">
        <f>_xlfn.XLOOKUP(Ocupacao_DW[[#This Row],[Concat]],Vagas!$H:$H,Vagas!$D:$D,"",0)</f>
        <v>0</v>
      </c>
    </row>
    <row r="6411" spans="1:8" x14ac:dyDescent="0.25">
      <c r="A6411" s="2">
        <v>44651</v>
      </c>
      <c r="B6411" s="1" t="s">
        <v>70</v>
      </c>
      <c r="C6411">
        <v>12519</v>
      </c>
      <c r="D6411" s="1" t="s">
        <v>176</v>
      </c>
      <c r="E6411" s="1" t="s">
        <v>4</v>
      </c>
      <c r="F6411">
        <v>42</v>
      </c>
      <c r="G6411" s="1" t="str">
        <f>Ocupacao_DW[[#This Row],[data]]&amp;Ocupacao_DW[[#This Row],[profissional_id]]&amp;Ocupacao_DW[[#This Row],[local_id]]</f>
        <v>446511251942</v>
      </c>
      <c r="H6411" s="1">
        <f>_xlfn.XLOOKUP(Ocupacao_DW[[#This Row],[Concat]],Vagas!$H:$H,Vagas!$D:$D,"",0)</f>
        <v>0</v>
      </c>
    </row>
    <row r="6412" spans="1:8" x14ac:dyDescent="0.25">
      <c r="A6412" s="2">
        <v>44636</v>
      </c>
      <c r="B6412" s="1" t="s">
        <v>62</v>
      </c>
      <c r="C6412">
        <v>3502</v>
      </c>
      <c r="D6412" s="1" t="s">
        <v>214</v>
      </c>
      <c r="E6412" s="1" t="s">
        <v>5</v>
      </c>
      <c r="F6412">
        <v>16</v>
      </c>
      <c r="G6412" s="1" t="str">
        <f>Ocupacao_DW[[#This Row],[data]]&amp;Ocupacao_DW[[#This Row],[profissional_id]]&amp;Ocupacao_DW[[#This Row],[local_id]]</f>
        <v>44636350216</v>
      </c>
      <c r="H6412" s="1">
        <f>_xlfn.XLOOKUP(Ocupacao_DW[[#This Row],[Concat]],Vagas!$H:$H,Vagas!$D:$D,"",0)</f>
        <v>0</v>
      </c>
    </row>
    <row r="6413" spans="1:8" x14ac:dyDescent="0.25">
      <c r="A6413" s="2">
        <v>44638</v>
      </c>
      <c r="B6413" s="1" t="s">
        <v>52</v>
      </c>
      <c r="C6413">
        <v>10691</v>
      </c>
      <c r="D6413" s="1" t="s">
        <v>181</v>
      </c>
      <c r="E6413" s="1" t="s">
        <v>200</v>
      </c>
      <c r="F6413">
        <v>78</v>
      </c>
      <c r="G6413" s="1" t="str">
        <f>Ocupacao_DW[[#This Row],[data]]&amp;Ocupacao_DW[[#This Row],[profissional_id]]&amp;Ocupacao_DW[[#This Row],[local_id]]</f>
        <v>446381069178</v>
      </c>
      <c r="H6413" s="1">
        <f>_xlfn.XLOOKUP(Ocupacao_DW[[#This Row],[Concat]],Vagas!$H:$H,Vagas!$D:$D,"",0)</f>
        <v>0</v>
      </c>
    </row>
    <row r="6414" spans="1:8" x14ac:dyDescent="0.25">
      <c r="A6414" s="2">
        <v>44656</v>
      </c>
      <c r="B6414" s="1" t="s">
        <v>47</v>
      </c>
      <c r="C6414">
        <v>110</v>
      </c>
      <c r="D6414" s="1" t="s">
        <v>193</v>
      </c>
      <c r="E6414" s="1" t="s">
        <v>4</v>
      </c>
      <c r="F6414">
        <v>334</v>
      </c>
      <c r="G6414" s="1" t="str">
        <f>Ocupacao_DW[[#This Row],[data]]&amp;Ocupacao_DW[[#This Row],[profissional_id]]&amp;Ocupacao_DW[[#This Row],[local_id]]</f>
        <v>44656110334</v>
      </c>
      <c r="H6414" s="1">
        <f>_xlfn.XLOOKUP(Ocupacao_DW[[#This Row],[Concat]],Vagas!$H:$H,Vagas!$D:$D,"",0)</f>
        <v>0</v>
      </c>
    </row>
    <row r="6415" spans="1:8" x14ac:dyDescent="0.25">
      <c r="A6415" s="2">
        <v>44643</v>
      </c>
      <c r="B6415" s="1" t="s">
        <v>70</v>
      </c>
      <c r="C6415">
        <v>12825</v>
      </c>
      <c r="D6415" s="1" t="s">
        <v>177</v>
      </c>
      <c r="E6415" s="1" t="s">
        <v>4</v>
      </c>
      <c r="F6415">
        <v>45</v>
      </c>
      <c r="G6415" s="1" t="str">
        <f>Ocupacao_DW[[#This Row],[data]]&amp;Ocupacao_DW[[#This Row],[profissional_id]]&amp;Ocupacao_DW[[#This Row],[local_id]]</f>
        <v>446431282545</v>
      </c>
      <c r="H6415" s="1">
        <f>_xlfn.XLOOKUP(Ocupacao_DW[[#This Row],[Concat]],Vagas!$H:$H,Vagas!$D:$D,"",0)</f>
        <v>0</v>
      </c>
    </row>
    <row r="6416" spans="1:8" x14ac:dyDescent="0.25">
      <c r="A6416" s="2">
        <v>44656</v>
      </c>
      <c r="B6416" s="1" t="s">
        <v>55</v>
      </c>
      <c r="C6416">
        <v>73</v>
      </c>
      <c r="D6416" s="1" t="s">
        <v>171</v>
      </c>
      <c r="E6416" s="1" t="s">
        <v>6</v>
      </c>
      <c r="F6416">
        <v>5</v>
      </c>
      <c r="G6416" s="1" t="str">
        <f>Ocupacao_DW[[#This Row],[data]]&amp;Ocupacao_DW[[#This Row],[profissional_id]]&amp;Ocupacao_DW[[#This Row],[local_id]]</f>
        <v>44656735</v>
      </c>
      <c r="H6416" s="1">
        <f>_xlfn.XLOOKUP(Ocupacao_DW[[#This Row],[Concat]],Vagas!$H:$H,Vagas!$D:$D,"",0)</f>
        <v>0</v>
      </c>
    </row>
    <row r="6417" spans="1:8" x14ac:dyDescent="0.25">
      <c r="A6417" s="2">
        <v>44657</v>
      </c>
      <c r="B6417" s="1" t="s">
        <v>72</v>
      </c>
      <c r="C6417">
        <v>1794</v>
      </c>
      <c r="D6417" s="1" t="s">
        <v>235</v>
      </c>
      <c r="E6417" s="1" t="s">
        <v>4</v>
      </c>
      <c r="F6417">
        <v>49</v>
      </c>
      <c r="G6417" s="1" t="str">
        <f>Ocupacao_DW[[#This Row],[data]]&amp;Ocupacao_DW[[#This Row],[profissional_id]]&amp;Ocupacao_DW[[#This Row],[local_id]]</f>
        <v>44657179449</v>
      </c>
      <c r="H6417" s="1">
        <f>_xlfn.XLOOKUP(Ocupacao_DW[[#This Row],[Concat]],Vagas!$H:$H,Vagas!$D:$D,"",0)</f>
        <v>0</v>
      </c>
    </row>
    <row r="6418" spans="1:8" x14ac:dyDescent="0.25">
      <c r="A6418" s="2">
        <v>44636</v>
      </c>
      <c r="B6418" s="1" t="s">
        <v>42</v>
      </c>
      <c r="C6418">
        <v>282</v>
      </c>
      <c r="D6418" s="1" t="s">
        <v>210</v>
      </c>
      <c r="E6418" s="1" t="s">
        <v>4</v>
      </c>
      <c r="F6418">
        <v>39</v>
      </c>
      <c r="G6418" s="1" t="str">
        <f>Ocupacao_DW[[#This Row],[data]]&amp;Ocupacao_DW[[#This Row],[profissional_id]]&amp;Ocupacao_DW[[#This Row],[local_id]]</f>
        <v>4463628239</v>
      </c>
      <c r="H6418" s="1">
        <f>_xlfn.XLOOKUP(Ocupacao_DW[[#This Row],[Concat]],Vagas!$H:$H,Vagas!$D:$D,"",0)</f>
        <v>50</v>
      </c>
    </row>
    <row r="6419" spans="1:8" x14ac:dyDescent="0.25">
      <c r="A6419" s="2">
        <v>44643</v>
      </c>
      <c r="B6419" s="1" t="s">
        <v>49</v>
      </c>
      <c r="C6419">
        <v>6430</v>
      </c>
      <c r="D6419" s="1" t="s">
        <v>188</v>
      </c>
      <c r="E6419" s="1" t="s">
        <v>4</v>
      </c>
      <c r="F6419">
        <v>42</v>
      </c>
      <c r="G6419" s="1" t="str">
        <f>Ocupacao_DW[[#This Row],[data]]&amp;Ocupacao_DW[[#This Row],[profissional_id]]&amp;Ocupacao_DW[[#This Row],[local_id]]</f>
        <v>44643643042</v>
      </c>
      <c r="H6419" s="1">
        <f>_xlfn.XLOOKUP(Ocupacao_DW[[#This Row],[Concat]],Vagas!$H:$H,Vagas!$D:$D,"",0)</f>
        <v>0</v>
      </c>
    </row>
    <row r="6420" spans="1:8" x14ac:dyDescent="0.25">
      <c r="A6420" s="2">
        <v>44638</v>
      </c>
      <c r="B6420" s="1" t="s">
        <v>54</v>
      </c>
      <c r="C6420">
        <v>69</v>
      </c>
      <c r="D6420" s="1" t="s">
        <v>238</v>
      </c>
      <c r="E6420" s="1" t="s">
        <v>5</v>
      </c>
      <c r="F6420">
        <v>13</v>
      </c>
      <c r="G6420" s="1" t="str">
        <f>Ocupacao_DW[[#This Row],[data]]&amp;Ocupacao_DW[[#This Row],[profissional_id]]&amp;Ocupacao_DW[[#This Row],[local_id]]</f>
        <v>446386913</v>
      </c>
      <c r="H6420" s="1">
        <f>_xlfn.XLOOKUP(Ocupacao_DW[[#This Row],[Concat]],Vagas!$H:$H,Vagas!$D:$D,"",0)</f>
        <v>0</v>
      </c>
    </row>
    <row r="6421" spans="1:8" x14ac:dyDescent="0.25">
      <c r="A6421" s="2">
        <v>44641</v>
      </c>
      <c r="B6421" s="1" t="s">
        <v>52</v>
      </c>
      <c r="C6421">
        <v>10595</v>
      </c>
      <c r="D6421" s="1" t="s">
        <v>218</v>
      </c>
      <c r="E6421" s="1" t="s">
        <v>200</v>
      </c>
      <c r="F6421">
        <v>78</v>
      </c>
      <c r="G6421" s="1" t="str">
        <f>Ocupacao_DW[[#This Row],[data]]&amp;Ocupacao_DW[[#This Row],[profissional_id]]&amp;Ocupacao_DW[[#This Row],[local_id]]</f>
        <v>446411059578</v>
      </c>
      <c r="H6421" s="1">
        <f>_xlfn.XLOOKUP(Ocupacao_DW[[#This Row],[Concat]],Vagas!$H:$H,Vagas!$D:$D,"",0)</f>
        <v>0</v>
      </c>
    </row>
    <row r="6422" spans="1:8" x14ac:dyDescent="0.25">
      <c r="A6422" s="2">
        <v>44638</v>
      </c>
      <c r="B6422" s="1" t="s">
        <v>66</v>
      </c>
      <c r="C6422">
        <v>1343</v>
      </c>
      <c r="D6422" s="1" t="s">
        <v>263</v>
      </c>
      <c r="E6422" s="1" t="s">
        <v>167</v>
      </c>
      <c r="F6422">
        <v>342</v>
      </c>
      <c r="G6422" s="1" t="str">
        <f>Ocupacao_DW[[#This Row],[data]]&amp;Ocupacao_DW[[#This Row],[profissional_id]]&amp;Ocupacao_DW[[#This Row],[local_id]]</f>
        <v>446381343342</v>
      </c>
      <c r="H6422" s="1">
        <f>_xlfn.XLOOKUP(Ocupacao_DW[[#This Row],[Concat]],Vagas!$H:$H,Vagas!$D:$D,"",0)</f>
        <v>0</v>
      </c>
    </row>
    <row r="6423" spans="1:8" x14ac:dyDescent="0.25">
      <c r="A6423" s="2">
        <v>44648</v>
      </c>
      <c r="B6423" s="1" t="s">
        <v>55</v>
      </c>
      <c r="C6423">
        <v>60</v>
      </c>
      <c r="D6423" s="1" t="s">
        <v>217</v>
      </c>
      <c r="E6423" s="1" t="s">
        <v>7</v>
      </c>
      <c r="F6423">
        <v>66</v>
      </c>
      <c r="G6423" s="1" t="str">
        <f>Ocupacao_DW[[#This Row],[data]]&amp;Ocupacao_DW[[#This Row],[profissional_id]]&amp;Ocupacao_DW[[#This Row],[local_id]]</f>
        <v>446486066</v>
      </c>
      <c r="H6423" s="1">
        <f>_xlfn.XLOOKUP(Ocupacao_DW[[#This Row],[Concat]],Vagas!$H:$H,Vagas!$D:$D,"",0)</f>
        <v>0</v>
      </c>
    </row>
    <row r="6424" spans="1:8" x14ac:dyDescent="0.25">
      <c r="A6424" s="2">
        <v>44636</v>
      </c>
      <c r="B6424" s="1" t="s">
        <v>62</v>
      </c>
      <c r="C6424">
        <v>3502</v>
      </c>
      <c r="D6424" s="1" t="s">
        <v>214</v>
      </c>
      <c r="E6424" s="1" t="s">
        <v>5</v>
      </c>
      <c r="F6424">
        <v>16</v>
      </c>
      <c r="G6424" s="1" t="str">
        <f>Ocupacao_DW[[#This Row],[data]]&amp;Ocupacao_DW[[#This Row],[profissional_id]]&amp;Ocupacao_DW[[#This Row],[local_id]]</f>
        <v>44636350216</v>
      </c>
      <c r="H6424" s="1">
        <f>_xlfn.XLOOKUP(Ocupacao_DW[[#This Row],[Concat]],Vagas!$H:$H,Vagas!$D:$D,"",0)</f>
        <v>0</v>
      </c>
    </row>
    <row r="6425" spans="1:8" x14ac:dyDescent="0.25">
      <c r="A6425" s="2">
        <v>44649</v>
      </c>
      <c r="B6425" s="1" t="s">
        <v>52</v>
      </c>
      <c r="C6425">
        <v>60</v>
      </c>
      <c r="D6425" s="1" t="s">
        <v>217</v>
      </c>
      <c r="E6425" s="1" t="s">
        <v>167</v>
      </c>
      <c r="F6425">
        <v>345</v>
      </c>
      <c r="G6425" s="1" t="str">
        <f>Ocupacao_DW[[#This Row],[data]]&amp;Ocupacao_DW[[#This Row],[profissional_id]]&amp;Ocupacao_DW[[#This Row],[local_id]]</f>
        <v>4464960345</v>
      </c>
      <c r="H6425" s="1">
        <f>_xlfn.XLOOKUP(Ocupacao_DW[[#This Row],[Concat]],Vagas!$H:$H,Vagas!$D:$D,"",0)</f>
        <v>0</v>
      </c>
    </row>
    <row r="6426" spans="1:8" x14ac:dyDescent="0.25">
      <c r="A6426" s="2">
        <v>44641</v>
      </c>
      <c r="B6426" s="1" t="s">
        <v>49</v>
      </c>
      <c r="C6426">
        <v>6430</v>
      </c>
      <c r="D6426" s="1" t="s">
        <v>188</v>
      </c>
      <c r="E6426" s="1" t="s">
        <v>200</v>
      </c>
      <c r="F6426">
        <v>86</v>
      </c>
      <c r="G6426" s="1" t="str">
        <f>Ocupacao_DW[[#This Row],[data]]&amp;Ocupacao_DW[[#This Row],[profissional_id]]&amp;Ocupacao_DW[[#This Row],[local_id]]</f>
        <v>44641643086</v>
      </c>
      <c r="H6426" s="1">
        <f>_xlfn.XLOOKUP(Ocupacao_DW[[#This Row],[Concat]],Vagas!$H:$H,Vagas!$D:$D,"",0)</f>
        <v>0</v>
      </c>
    </row>
    <row r="6427" spans="1:8" x14ac:dyDescent="0.25">
      <c r="A6427" s="2">
        <v>44643</v>
      </c>
      <c r="B6427" s="1" t="s">
        <v>70</v>
      </c>
      <c r="C6427">
        <v>12825</v>
      </c>
      <c r="D6427" s="1" t="s">
        <v>177</v>
      </c>
      <c r="E6427" s="1" t="s">
        <v>4</v>
      </c>
      <c r="F6427">
        <v>45</v>
      </c>
      <c r="G6427" s="1" t="str">
        <f>Ocupacao_DW[[#This Row],[data]]&amp;Ocupacao_DW[[#This Row],[profissional_id]]&amp;Ocupacao_DW[[#This Row],[local_id]]</f>
        <v>446431282545</v>
      </c>
      <c r="H6427" s="1">
        <f>_xlfn.XLOOKUP(Ocupacao_DW[[#This Row],[Concat]],Vagas!$H:$H,Vagas!$D:$D,"",0)</f>
        <v>0</v>
      </c>
    </row>
    <row r="6428" spans="1:8" x14ac:dyDescent="0.25">
      <c r="A6428" s="2">
        <v>44636</v>
      </c>
      <c r="B6428" s="1" t="s">
        <v>65</v>
      </c>
      <c r="C6428">
        <v>13058</v>
      </c>
      <c r="D6428" s="1" t="s">
        <v>256</v>
      </c>
      <c r="E6428" s="1" t="s">
        <v>4</v>
      </c>
      <c r="F6428">
        <v>47</v>
      </c>
      <c r="G6428" s="1" t="str">
        <f>Ocupacao_DW[[#This Row],[data]]&amp;Ocupacao_DW[[#This Row],[profissional_id]]&amp;Ocupacao_DW[[#This Row],[local_id]]</f>
        <v>446361305847</v>
      </c>
      <c r="H6428" s="1">
        <f>_xlfn.XLOOKUP(Ocupacao_DW[[#This Row],[Concat]],Vagas!$H:$H,Vagas!$D:$D,"",0)</f>
        <v>0</v>
      </c>
    </row>
    <row r="6429" spans="1:8" x14ac:dyDescent="0.25">
      <c r="A6429" s="2">
        <v>44638</v>
      </c>
      <c r="B6429" s="1" t="s">
        <v>72</v>
      </c>
      <c r="C6429">
        <v>13479</v>
      </c>
      <c r="D6429" s="1" t="s">
        <v>203</v>
      </c>
      <c r="E6429" s="1" t="s">
        <v>200</v>
      </c>
      <c r="F6429">
        <v>83</v>
      </c>
      <c r="G6429" s="1" t="str">
        <f>Ocupacao_DW[[#This Row],[data]]&amp;Ocupacao_DW[[#This Row],[profissional_id]]&amp;Ocupacao_DW[[#This Row],[local_id]]</f>
        <v>446381347983</v>
      </c>
      <c r="H6429" s="1">
        <f>_xlfn.XLOOKUP(Ocupacao_DW[[#This Row],[Concat]],Vagas!$H:$H,Vagas!$D:$D,"",0)</f>
        <v>0</v>
      </c>
    </row>
    <row r="6430" spans="1:8" x14ac:dyDescent="0.25">
      <c r="A6430" s="2">
        <v>44636</v>
      </c>
      <c r="B6430" s="1" t="s">
        <v>72</v>
      </c>
      <c r="C6430">
        <v>1794</v>
      </c>
      <c r="D6430" s="1" t="s">
        <v>235</v>
      </c>
      <c r="E6430" s="1" t="s">
        <v>4</v>
      </c>
      <c r="F6430">
        <v>49</v>
      </c>
      <c r="G6430" s="1" t="str">
        <f>Ocupacao_DW[[#This Row],[data]]&amp;Ocupacao_DW[[#This Row],[profissional_id]]&amp;Ocupacao_DW[[#This Row],[local_id]]</f>
        <v>44636179449</v>
      </c>
      <c r="H6430" s="1">
        <f>_xlfn.XLOOKUP(Ocupacao_DW[[#This Row],[Concat]],Vagas!$H:$H,Vagas!$D:$D,"",0)</f>
        <v>0</v>
      </c>
    </row>
    <row r="6431" spans="1:8" x14ac:dyDescent="0.25">
      <c r="A6431" s="2">
        <v>44636</v>
      </c>
      <c r="B6431" s="1" t="s">
        <v>57</v>
      </c>
      <c r="C6431">
        <v>80</v>
      </c>
      <c r="D6431" s="1" t="s">
        <v>179</v>
      </c>
      <c r="E6431" s="1" t="s">
        <v>167</v>
      </c>
      <c r="F6431">
        <v>346</v>
      </c>
      <c r="G6431" s="1" t="str">
        <f>Ocupacao_DW[[#This Row],[data]]&amp;Ocupacao_DW[[#This Row],[profissional_id]]&amp;Ocupacao_DW[[#This Row],[local_id]]</f>
        <v>4463680346</v>
      </c>
      <c r="H6431" s="1">
        <f>_xlfn.XLOOKUP(Ocupacao_DW[[#This Row],[Concat]],Vagas!$H:$H,Vagas!$D:$D,"",0)</f>
        <v>0</v>
      </c>
    </row>
    <row r="6432" spans="1:8" x14ac:dyDescent="0.25">
      <c r="A6432" s="2">
        <v>44639</v>
      </c>
      <c r="B6432" s="1" t="s">
        <v>72</v>
      </c>
      <c r="C6432">
        <v>6046</v>
      </c>
      <c r="D6432" s="1" t="s">
        <v>222</v>
      </c>
      <c r="E6432" s="1" t="s">
        <v>4</v>
      </c>
      <c r="F6432">
        <v>46</v>
      </c>
      <c r="G6432" s="1" t="str">
        <f>Ocupacao_DW[[#This Row],[data]]&amp;Ocupacao_DW[[#This Row],[profissional_id]]&amp;Ocupacao_DW[[#This Row],[local_id]]</f>
        <v>44639604646</v>
      </c>
      <c r="H6432" s="1">
        <f>_xlfn.XLOOKUP(Ocupacao_DW[[#This Row],[Concat]],Vagas!$H:$H,Vagas!$D:$D,"",0)</f>
        <v>0</v>
      </c>
    </row>
    <row r="6433" spans="1:8" x14ac:dyDescent="0.25">
      <c r="A6433" s="2">
        <v>44649</v>
      </c>
      <c r="B6433" s="1" t="s">
        <v>54</v>
      </c>
      <c r="C6433">
        <v>69</v>
      </c>
      <c r="D6433" s="1" t="s">
        <v>238</v>
      </c>
      <c r="E6433" s="1" t="s">
        <v>5</v>
      </c>
      <c r="F6433">
        <v>13</v>
      </c>
      <c r="G6433" s="1" t="str">
        <f>Ocupacao_DW[[#This Row],[data]]&amp;Ocupacao_DW[[#This Row],[profissional_id]]&amp;Ocupacao_DW[[#This Row],[local_id]]</f>
        <v>446496913</v>
      </c>
      <c r="H6433" s="1">
        <f>_xlfn.XLOOKUP(Ocupacao_DW[[#This Row],[Concat]],Vagas!$H:$H,Vagas!$D:$D,"",0)</f>
        <v>0</v>
      </c>
    </row>
    <row r="6434" spans="1:8" x14ac:dyDescent="0.25">
      <c r="A6434" s="2">
        <v>44649</v>
      </c>
      <c r="B6434" s="1" t="s">
        <v>54</v>
      </c>
      <c r="C6434">
        <v>69</v>
      </c>
      <c r="D6434" s="1" t="s">
        <v>238</v>
      </c>
      <c r="E6434" s="1" t="s">
        <v>5</v>
      </c>
      <c r="F6434">
        <v>13</v>
      </c>
      <c r="G6434" s="1" t="str">
        <f>Ocupacao_DW[[#This Row],[data]]&amp;Ocupacao_DW[[#This Row],[profissional_id]]&amp;Ocupacao_DW[[#This Row],[local_id]]</f>
        <v>446496913</v>
      </c>
      <c r="H6434" s="1">
        <f>_xlfn.XLOOKUP(Ocupacao_DW[[#This Row],[Concat]],Vagas!$H:$H,Vagas!$D:$D,"",0)</f>
        <v>0</v>
      </c>
    </row>
    <row r="6435" spans="1:8" x14ac:dyDescent="0.25">
      <c r="A6435" s="2">
        <v>44657</v>
      </c>
      <c r="B6435" s="1" t="s">
        <v>55</v>
      </c>
      <c r="C6435">
        <v>74</v>
      </c>
      <c r="D6435" s="1" t="s">
        <v>182</v>
      </c>
      <c r="E6435" s="1" t="s">
        <v>6</v>
      </c>
      <c r="F6435">
        <v>7</v>
      </c>
      <c r="G6435" s="1" t="str">
        <f>Ocupacao_DW[[#This Row],[data]]&amp;Ocupacao_DW[[#This Row],[profissional_id]]&amp;Ocupacao_DW[[#This Row],[local_id]]</f>
        <v>44657747</v>
      </c>
      <c r="H6435" s="1">
        <f>_xlfn.XLOOKUP(Ocupacao_DW[[#This Row],[Concat]],Vagas!$H:$H,Vagas!$D:$D,"",0)</f>
        <v>0</v>
      </c>
    </row>
    <row r="6436" spans="1:8" x14ac:dyDescent="0.25">
      <c r="A6436" s="2">
        <v>44641</v>
      </c>
      <c r="B6436" s="1"/>
      <c r="C6436">
        <v>10946</v>
      </c>
      <c r="D6436" s="1" t="s">
        <v>209</v>
      </c>
      <c r="E6436" s="1" t="s">
        <v>6</v>
      </c>
      <c r="F6436">
        <v>3</v>
      </c>
      <c r="G6436" s="1" t="str">
        <f>Ocupacao_DW[[#This Row],[data]]&amp;Ocupacao_DW[[#This Row],[profissional_id]]&amp;Ocupacao_DW[[#This Row],[local_id]]</f>
        <v>44641109463</v>
      </c>
      <c r="H6436" s="1">
        <f>_xlfn.XLOOKUP(Ocupacao_DW[[#This Row],[Concat]],Vagas!$H:$H,Vagas!$D:$D,"",0)</f>
        <v>0</v>
      </c>
    </row>
    <row r="6437" spans="1:8" x14ac:dyDescent="0.25">
      <c r="A6437" s="2">
        <v>44635</v>
      </c>
      <c r="B6437" s="1" t="s">
        <v>43</v>
      </c>
      <c r="C6437">
        <v>57</v>
      </c>
      <c r="D6437" s="1" t="s">
        <v>169</v>
      </c>
      <c r="E6437" s="1" t="s">
        <v>6</v>
      </c>
      <c r="F6437">
        <v>2</v>
      </c>
      <c r="G6437" s="1" t="str">
        <f>Ocupacao_DW[[#This Row],[data]]&amp;Ocupacao_DW[[#This Row],[profissional_id]]&amp;Ocupacao_DW[[#This Row],[local_id]]</f>
        <v>44635572</v>
      </c>
      <c r="H6437" s="1">
        <f>_xlfn.XLOOKUP(Ocupacao_DW[[#This Row],[Concat]],Vagas!$H:$H,Vagas!$D:$D,"",0)</f>
        <v>0</v>
      </c>
    </row>
    <row r="6438" spans="1:8" x14ac:dyDescent="0.25">
      <c r="A6438" s="2">
        <v>44635</v>
      </c>
      <c r="B6438" s="1" t="s">
        <v>49</v>
      </c>
      <c r="C6438">
        <v>266</v>
      </c>
      <c r="D6438" s="1" t="s">
        <v>201</v>
      </c>
      <c r="E6438" s="1" t="s">
        <v>4</v>
      </c>
      <c r="F6438">
        <v>42</v>
      </c>
      <c r="G6438" s="1" t="str">
        <f>Ocupacao_DW[[#This Row],[data]]&amp;Ocupacao_DW[[#This Row],[profissional_id]]&amp;Ocupacao_DW[[#This Row],[local_id]]</f>
        <v>4463526642</v>
      </c>
      <c r="H6438" s="1">
        <f>_xlfn.XLOOKUP(Ocupacao_DW[[#This Row],[Concat]],Vagas!$H:$H,Vagas!$D:$D,"",0)</f>
        <v>0</v>
      </c>
    </row>
    <row r="6439" spans="1:8" x14ac:dyDescent="0.25">
      <c r="A6439" s="2">
        <v>44641</v>
      </c>
      <c r="B6439" s="1" t="s">
        <v>52</v>
      </c>
      <c r="C6439">
        <v>10691</v>
      </c>
      <c r="D6439" s="1" t="s">
        <v>181</v>
      </c>
      <c r="E6439" s="1" t="s">
        <v>6</v>
      </c>
      <c r="F6439">
        <v>9</v>
      </c>
      <c r="G6439" s="1" t="str">
        <f>Ocupacao_DW[[#This Row],[data]]&amp;Ocupacao_DW[[#This Row],[profissional_id]]&amp;Ocupacao_DW[[#This Row],[local_id]]</f>
        <v>44641106919</v>
      </c>
      <c r="H6439" s="1">
        <f>_xlfn.XLOOKUP(Ocupacao_DW[[#This Row],[Concat]],Vagas!$H:$H,Vagas!$D:$D,"",0)</f>
        <v>0</v>
      </c>
    </row>
    <row r="6440" spans="1:8" x14ac:dyDescent="0.25">
      <c r="A6440" s="2">
        <v>44657</v>
      </c>
      <c r="B6440" s="1" t="s">
        <v>55</v>
      </c>
      <c r="C6440">
        <v>74</v>
      </c>
      <c r="D6440" s="1" t="s">
        <v>182</v>
      </c>
      <c r="E6440" s="1" t="s">
        <v>6</v>
      </c>
      <c r="F6440">
        <v>7</v>
      </c>
      <c r="G6440" s="1" t="str">
        <f>Ocupacao_DW[[#This Row],[data]]&amp;Ocupacao_DW[[#This Row],[profissional_id]]&amp;Ocupacao_DW[[#This Row],[local_id]]</f>
        <v>44657747</v>
      </c>
      <c r="H6440" s="1">
        <f>_xlfn.XLOOKUP(Ocupacao_DW[[#This Row],[Concat]],Vagas!$H:$H,Vagas!$D:$D,"",0)</f>
        <v>0</v>
      </c>
    </row>
    <row r="6441" spans="1:8" x14ac:dyDescent="0.25">
      <c r="A6441" s="2">
        <v>44641</v>
      </c>
      <c r="B6441" s="1" t="s">
        <v>52</v>
      </c>
      <c r="C6441">
        <v>10691</v>
      </c>
      <c r="D6441" s="1" t="s">
        <v>181</v>
      </c>
      <c r="E6441" s="1" t="s">
        <v>6</v>
      </c>
      <c r="F6441">
        <v>9</v>
      </c>
      <c r="G6441" s="1" t="str">
        <f>Ocupacao_DW[[#This Row],[data]]&amp;Ocupacao_DW[[#This Row],[profissional_id]]&amp;Ocupacao_DW[[#This Row],[local_id]]</f>
        <v>44641106919</v>
      </c>
      <c r="H6441" s="1">
        <f>_xlfn.XLOOKUP(Ocupacao_DW[[#This Row],[Concat]],Vagas!$H:$H,Vagas!$D:$D,"",0)</f>
        <v>0</v>
      </c>
    </row>
    <row r="6442" spans="1:8" x14ac:dyDescent="0.25">
      <c r="A6442" s="2">
        <v>44638</v>
      </c>
      <c r="B6442" s="1" t="s">
        <v>54</v>
      </c>
      <c r="C6442">
        <v>69</v>
      </c>
      <c r="D6442" s="1" t="s">
        <v>238</v>
      </c>
      <c r="E6442" s="1" t="s">
        <v>5</v>
      </c>
      <c r="F6442">
        <v>13</v>
      </c>
      <c r="G6442" s="1" t="str">
        <f>Ocupacao_DW[[#This Row],[data]]&amp;Ocupacao_DW[[#This Row],[profissional_id]]&amp;Ocupacao_DW[[#This Row],[local_id]]</f>
        <v>446386913</v>
      </c>
      <c r="H6442" s="1">
        <f>_xlfn.XLOOKUP(Ocupacao_DW[[#This Row],[Concat]],Vagas!$H:$H,Vagas!$D:$D,"",0)</f>
        <v>0</v>
      </c>
    </row>
    <row r="6443" spans="1:8" x14ac:dyDescent="0.25">
      <c r="A6443" s="2">
        <v>44639</v>
      </c>
      <c r="B6443" s="1" t="s">
        <v>47</v>
      </c>
      <c r="C6443">
        <v>111</v>
      </c>
      <c r="D6443" s="1" t="s">
        <v>199</v>
      </c>
      <c r="E6443" s="1" t="s">
        <v>4</v>
      </c>
      <c r="F6443">
        <v>51</v>
      </c>
      <c r="G6443" s="1" t="str">
        <f>Ocupacao_DW[[#This Row],[data]]&amp;Ocupacao_DW[[#This Row],[profissional_id]]&amp;Ocupacao_DW[[#This Row],[local_id]]</f>
        <v>4463911151</v>
      </c>
      <c r="H6443" s="1">
        <f>_xlfn.XLOOKUP(Ocupacao_DW[[#This Row],[Concat]],Vagas!$H:$H,Vagas!$D:$D,"",0)</f>
        <v>0</v>
      </c>
    </row>
    <row r="6444" spans="1:8" x14ac:dyDescent="0.25">
      <c r="A6444" s="2">
        <v>44642</v>
      </c>
      <c r="B6444" s="1" t="s">
        <v>47</v>
      </c>
      <c r="C6444">
        <v>9111</v>
      </c>
      <c r="D6444" s="1" t="s">
        <v>206</v>
      </c>
      <c r="E6444" s="1" t="s">
        <v>4</v>
      </c>
      <c r="F6444">
        <v>335</v>
      </c>
      <c r="G6444" s="1" t="str">
        <f>Ocupacao_DW[[#This Row],[data]]&amp;Ocupacao_DW[[#This Row],[profissional_id]]&amp;Ocupacao_DW[[#This Row],[local_id]]</f>
        <v>446429111335</v>
      </c>
      <c r="H6444" s="1">
        <f>_xlfn.XLOOKUP(Ocupacao_DW[[#This Row],[Concat]],Vagas!$H:$H,Vagas!$D:$D,"",0)</f>
        <v>0</v>
      </c>
    </row>
    <row r="6445" spans="1:8" x14ac:dyDescent="0.25">
      <c r="A6445" s="2">
        <v>44642</v>
      </c>
      <c r="B6445" s="1"/>
      <c r="C6445">
        <v>0</v>
      </c>
      <c r="D6445" s="1"/>
      <c r="E6445" s="1" t="s">
        <v>4</v>
      </c>
      <c r="F6445">
        <v>40</v>
      </c>
      <c r="G6445" s="1" t="str">
        <f>Ocupacao_DW[[#This Row],[data]]&amp;Ocupacao_DW[[#This Row],[profissional_id]]&amp;Ocupacao_DW[[#This Row],[local_id]]</f>
        <v>44642040</v>
      </c>
      <c r="H6445" s="1" t="str">
        <f>_xlfn.XLOOKUP(Ocupacao_DW[[#This Row],[Concat]],Vagas!$H:$H,Vagas!$D:$D,"",0)</f>
        <v/>
      </c>
    </row>
    <row r="6446" spans="1:8" x14ac:dyDescent="0.25">
      <c r="A6446" s="2">
        <v>44641</v>
      </c>
      <c r="B6446" s="1"/>
      <c r="C6446">
        <v>10946</v>
      </c>
      <c r="D6446" s="1" t="s">
        <v>209</v>
      </c>
      <c r="E6446" s="1" t="s">
        <v>6</v>
      </c>
      <c r="F6446">
        <v>3</v>
      </c>
      <c r="G6446" s="1" t="str">
        <f>Ocupacao_DW[[#This Row],[data]]&amp;Ocupacao_DW[[#This Row],[profissional_id]]&amp;Ocupacao_DW[[#This Row],[local_id]]</f>
        <v>44641109463</v>
      </c>
      <c r="H6446" s="1">
        <f>_xlfn.XLOOKUP(Ocupacao_DW[[#This Row],[Concat]],Vagas!$H:$H,Vagas!$D:$D,"",0)</f>
        <v>0</v>
      </c>
    </row>
    <row r="6447" spans="1:8" x14ac:dyDescent="0.25">
      <c r="A6447" s="2">
        <v>44639</v>
      </c>
      <c r="B6447" s="1" t="s">
        <v>43</v>
      </c>
      <c r="C6447">
        <v>57</v>
      </c>
      <c r="D6447" s="1" t="s">
        <v>169</v>
      </c>
      <c r="E6447" s="1" t="s">
        <v>6</v>
      </c>
      <c r="F6447">
        <v>2</v>
      </c>
      <c r="G6447" s="1" t="str">
        <f>Ocupacao_DW[[#This Row],[data]]&amp;Ocupacao_DW[[#This Row],[profissional_id]]&amp;Ocupacao_DW[[#This Row],[local_id]]</f>
        <v>44639572</v>
      </c>
      <c r="H6447" s="1">
        <f>_xlfn.XLOOKUP(Ocupacao_DW[[#This Row],[Concat]],Vagas!$H:$H,Vagas!$D:$D,"",0)</f>
        <v>0</v>
      </c>
    </row>
    <row r="6448" spans="1:8" x14ac:dyDescent="0.25">
      <c r="A6448" s="2">
        <v>44644</v>
      </c>
      <c r="B6448" s="1" t="s">
        <v>52</v>
      </c>
      <c r="C6448">
        <v>9217</v>
      </c>
      <c r="D6448" s="1" t="s">
        <v>191</v>
      </c>
      <c r="E6448" s="1" t="s">
        <v>6</v>
      </c>
      <c r="F6448">
        <v>7</v>
      </c>
      <c r="G6448" s="1" t="str">
        <f>Ocupacao_DW[[#This Row],[data]]&amp;Ocupacao_DW[[#This Row],[profissional_id]]&amp;Ocupacao_DW[[#This Row],[local_id]]</f>
        <v>4464492177</v>
      </c>
      <c r="H6448" s="1">
        <f>_xlfn.XLOOKUP(Ocupacao_DW[[#This Row],[Concat]],Vagas!$H:$H,Vagas!$D:$D,"",0)</f>
        <v>0</v>
      </c>
    </row>
    <row r="6449" spans="1:8" x14ac:dyDescent="0.25">
      <c r="A6449" s="2">
        <v>44657</v>
      </c>
      <c r="B6449" s="1" t="s">
        <v>55</v>
      </c>
      <c r="C6449">
        <v>74</v>
      </c>
      <c r="D6449" s="1" t="s">
        <v>182</v>
      </c>
      <c r="E6449" s="1" t="s">
        <v>6</v>
      </c>
      <c r="F6449">
        <v>7</v>
      </c>
      <c r="G6449" s="1" t="str">
        <f>Ocupacao_DW[[#This Row],[data]]&amp;Ocupacao_DW[[#This Row],[profissional_id]]&amp;Ocupacao_DW[[#This Row],[local_id]]</f>
        <v>44657747</v>
      </c>
      <c r="H6449" s="1">
        <f>_xlfn.XLOOKUP(Ocupacao_DW[[#This Row],[Concat]],Vagas!$H:$H,Vagas!$D:$D,"",0)</f>
        <v>0</v>
      </c>
    </row>
    <row r="6450" spans="1:8" x14ac:dyDescent="0.25">
      <c r="A6450" s="2">
        <v>44637</v>
      </c>
      <c r="B6450" s="1" t="s">
        <v>49</v>
      </c>
      <c r="C6450">
        <v>81</v>
      </c>
      <c r="D6450" s="1" t="s">
        <v>170</v>
      </c>
      <c r="E6450" s="1" t="s">
        <v>4</v>
      </c>
      <c r="F6450">
        <v>41</v>
      </c>
      <c r="G6450" s="1" t="str">
        <f>Ocupacao_DW[[#This Row],[data]]&amp;Ocupacao_DW[[#This Row],[profissional_id]]&amp;Ocupacao_DW[[#This Row],[local_id]]</f>
        <v>446378141</v>
      </c>
      <c r="H6450" s="1">
        <f>_xlfn.XLOOKUP(Ocupacao_DW[[#This Row],[Concat]],Vagas!$H:$H,Vagas!$D:$D,"",0)</f>
        <v>0</v>
      </c>
    </row>
    <row r="6451" spans="1:8" x14ac:dyDescent="0.25">
      <c r="A6451" s="2">
        <v>44643</v>
      </c>
      <c r="B6451" s="1" t="s">
        <v>52</v>
      </c>
      <c r="C6451">
        <v>10691</v>
      </c>
      <c r="D6451" s="1" t="s">
        <v>181</v>
      </c>
      <c r="E6451" s="1" t="s">
        <v>6</v>
      </c>
      <c r="F6451">
        <v>9</v>
      </c>
      <c r="G6451" s="1" t="str">
        <f>Ocupacao_DW[[#This Row],[data]]&amp;Ocupacao_DW[[#This Row],[profissional_id]]&amp;Ocupacao_DW[[#This Row],[local_id]]</f>
        <v>44643106919</v>
      </c>
      <c r="H6451" s="1">
        <f>_xlfn.XLOOKUP(Ocupacao_DW[[#This Row],[Concat]],Vagas!$H:$H,Vagas!$D:$D,"",0)</f>
        <v>0</v>
      </c>
    </row>
    <row r="6452" spans="1:8" x14ac:dyDescent="0.25">
      <c r="A6452" s="2">
        <v>44635</v>
      </c>
      <c r="B6452" s="1" t="s">
        <v>71</v>
      </c>
      <c r="C6452">
        <v>282</v>
      </c>
      <c r="D6452" s="1" t="s">
        <v>210</v>
      </c>
      <c r="E6452" s="1" t="s">
        <v>4</v>
      </c>
      <c r="F6452">
        <v>48</v>
      </c>
      <c r="G6452" s="1" t="str">
        <f>Ocupacao_DW[[#This Row],[data]]&amp;Ocupacao_DW[[#This Row],[profissional_id]]&amp;Ocupacao_DW[[#This Row],[local_id]]</f>
        <v>4463528248</v>
      </c>
      <c r="H6452" s="1">
        <f>_xlfn.XLOOKUP(Ocupacao_DW[[#This Row],[Concat]],Vagas!$H:$H,Vagas!$D:$D,"",0)</f>
        <v>0</v>
      </c>
    </row>
    <row r="6453" spans="1:8" x14ac:dyDescent="0.25">
      <c r="A6453" s="2">
        <v>44643</v>
      </c>
      <c r="B6453" s="1" t="s">
        <v>70</v>
      </c>
      <c r="C6453">
        <v>12825</v>
      </c>
      <c r="D6453" s="1" t="s">
        <v>177</v>
      </c>
      <c r="E6453" s="1" t="s">
        <v>4</v>
      </c>
      <c r="F6453">
        <v>45</v>
      </c>
      <c r="G6453" s="1" t="str">
        <f>Ocupacao_DW[[#This Row],[data]]&amp;Ocupacao_DW[[#This Row],[profissional_id]]&amp;Ocupacao_DW[[#This Row],[local_id]]</f>
        <v>446431282545</v>
      </c>
      <c r="H6453" s="1">
        <f>_xlfn.XLOOKUP(Ocupacao_DW[[#This Row],[Concat]],Vagas!$H:$H,Vagas!$D:$D,"",0)</f>
        <v>0</v>
      </c>
    </row>
    <row r="6454" spans="1:8" x14ac:dyDescent="0.25">
      <c r="A6454" s="2">
        <v>44638</v>
      </c>
      <c r="B6454" s="1" t="s">
        <v>49</v>
      </c>
      <c r="C6454">
        <v>12142</v>
      </c>
      <c r="D6454" s="1" t="s">
        <v>219</v>
      </c>
      <c r="E6454" s="1" t="s">
        <v>4</v>
      </c>
      <c r="F6454">
        <v>44</v>
      </c>
      <c r="G6454" s="1" t="str">
        <f>Ocupacao_DW[[#This Row],[data]]&amp;Ocupacao_DW[[#This Row],[profissional_id]]&amp;Ocupacao_DW[[#This Row],[local_id]]</f>
        <v>446381214244</v>
      </c>
      <c r="H6454" s="1">
        <f>_xlfn.XLOOKUP(Ocupacao_DW[[#This Row],[Concat]],Vagas!$H:$H,Vagas!$D:$D,"",0)</f>
        <v>0</v>
      </c>
    </row>
    <row r="6455" spans="1:8" x14ac:dyDescent="0.25">
      <c r="A6455" s="2">
        <v>44636</v>
      </c>
      <c r="B6455" s="1" t="s">
        <v>65</v>
      </c>
      <c r="C6455">
        <v>13058</v>
      </c>
      <c r="D6455" s="1" t="s">
        <v>256</v>
      </c>
      <c r="E6455" s="1" t="s">
        <v>4</v>
      </c>
      <c r="F6455">
        <v>47</v>
      </c>
      <c r="G6455" s="1" t="str">
        <f>Ocupacao_DW[[#This Row],[data]]&amp;Ocupacao_DW[[#This Row],[profissional_id]]&amp;Ocupacao_DW[[#This Row],[local_id]]</f>
        <v>446361305847</v>
      </c>
      <c r="H6455" s="1">
        <f>_xlfn.XLOOKUP(Ocupacao_DW[[#This Row],[Concat]],Vagas!$H:$H,Vagas!$D:$D,"",0)</f>
        <v>0</v>
      </c>
    </row>
    <row r="6456" spans="1:8" x14ac:dyDescent="0.25">
      <c r="A6456" s="2">
        <v>44651</v>
      </c>
      <c r="B6456" s="1"/>
      <c r="C6456">
        <v>12519</v>
      </c>
      <c r="D6456" s="1" t="s">
        <v>176</v>
      </c>
      <c r="E6456" s="1" t="s">
        <v>4</v>
      </c>
      <c r="F6456">
        <v>42</v>
      </c>
      <c r="G6456" s="1" t="str">
        <f>Ocupacao_DW[[#This Row],[data]]&amp;Ocupacao_DW[[#This Row],[profissional_id]]&amp;Ocupacao_DW[[#This Row],[local_id]]</f>
        <v>446511251942</v>
      </c>
      <c r="H6456" s="1">
        <f>_xlfn.XLOOKUP(Ocupacao_DW[[#This Row],[Concat]],Vagas!$H:$H,Vagas!$D:$D,"",0)</f>
        <v>0</v>
      </c>
    </row>
    <row r="6457" spans="1:8" x14ac:dyDescent="0.25">
      <c r="A6457" s="2">
        <v>44637</v>
      </c>
      <c r="B6457" s="1" t="s">
        <v>64</v>
      </c>
      <c r="C6457">
        <v>85</v>
      </c>
      <c r="D6457" s="1" t="s">
        <v>211</v>
      </c>
      <c r="E6457" s="1" t="s">
        <v>5</v>
      </c>
      <c r="F6457">
        <v>349</v>
      </c>
      <c r="G6457" s="1" t="str">
        <f>Ocupacao_DW[[#This Row],[data]]&amp;Ocupacao_DW[[#This Row],[profissional_id]]&amp;Ocupacao_DW[[#This Row],[local_id]]</f>
        <v>4463785349</v>
      </c>
      <c r="H6457" s="1">
        <f>_xlfn.XLOOKUP(Ocupacao_DW[[#This Row],[Concat]],Vagas!$H:$H,Vagas!$D:$D,"",0)</f>
        <v>0</v>
      </c>
    </row>
    <row r="6458" spans="1:8" x14ac:dyDescent="0.25">
      <c r="A6458" s="2">
        <v>44637</v>
      </c>
      <c r="B6458" s="1" t="s">
        <v>57</v>
      </c>
      <c r="C6458">
        <v>80</v>
      </c>
      <c r="D6458" s="1" t="s">
        <v>179</v>
      </c>
      <c r="E6458" s="1" t="s">
        <v>167</v>
      </c>
      <c r="F6458">
        <v>348</v>
      </c>
      <c r="G6458" s="1" t="str">
        <f>Ocupacao_DW[[#This Row],[data]]&amp;Ocupacao_DW[[#This Row],[profissional_id]]&amp;Ocupacao_DW[[#This Row],[local_id]]</f>
        <v>4463780348</v>
      </c>
      <c r="H6458" s="1">
        <f>_xlfn.XLOOKUP(Ocupacao_DW[[#This Row],[Concat]],Vagas!$H:$H,Vagas!$D:$D,"",0)</f>
        <v>0</v>
      </c>
    </row>
    <row r="6459" spans="1:8" x14ac:dyDescent="0.25">
      <c r="A6459" s="2">
        <v>44637</v>
      </c>
      <c r="B6459" s="1" t="s">
        <v>47</v>
      </c>
      <c r="C6459">
        <v>9111</v>
      </c>
      <c r="D6459" s="1" t="s">
        <v>206</v>
      </c>
      <c r="E6459" s="1" t="s">
        <v>4</v>
      </c>
      <c r="F6459">
        <v>334</v>
      </c>
      <c r="G6459" s="1" t="str">
        <f>Ocupacao_DW[[#This Row],[data]]&amp;Ocupacao_DW[[#This Row],[profissional_id]]&amp;Ocupacao_DW[[#This Row],[local_id]]</f>
        <v>446379111334</v>
      </c>
      <c r="H6459" s="1">
        <f>_xlfn.XLOOKUP(Ocupacao_DW[[#This Row],[Concat]],Vagas!$H:$H,Vagas!$D:$D,"",0)</f>
        <v>0</v>
      </c>
    </row>
    <row r="6460" spans="1:8" x14ac:dyDescent="0.25">
      <c r="A6460" s="2">
        <v>44642</v>
      </c>
      <c r="B6460" s="1" t="s">
        <v>65</v>
      </c>
      <c r="C6460">
        <v>11237</v>
      </c>
      <c r="D6460" s="1" t="s">
        <v>229</v>
      </c>
      <c r="E6460" s="1" t="s">
        <v>4</v>
      </c>
      <c r="F6460">
        <v>46</v>
      </c>
      <c r="G6460" s="1" t="str">
        <f>Ocupacao_DW[[#This Row],[data]]&amp;Ocupacao_DW[[#This Row],[profissional_id]]&amp;Ocupacao_DW[[#This Row],[local_id]]</f>
        <v>446421123746</v>
      </c>
      <c r="H6460" s="1">
        <f>_xlfn.XLOOKUP(Ocupacao_DW[[#This Row],[Concat]],Vagas!$H:$H,Vagas!$D:$D,"",0)</f>
        <v>0</v>
      </c>
    </row>
    <row r="6461" spans="1:8" x14ac:dyDescent="0.25">
      <c r="A6461" s="2">
        <v>44646</v>
      </c>
      <c r="B6461" s="1"/>
      <c r="C6461">
        <v>0</v>
      </c>
      <c r="D6461" s="1"/>
      <c r="E6461" s="1" t="s">
        <v>4</v>
      </c>
      <c r="F6461">
        <v>40</v>
      </c>
      <c r="G6461" s="1" t="str">
        <f>Ocupacao_DW[[#This Row],[data]]&amp;Ocupacao_DW[[#This Row],[profissional_id]]&amp;Ocupacao_DW[[#This Row],[local_id]]</f>
        <v>44646040</v>
      </c>
      <c r="H6461" s="1" t="str">
        <f>_xlfn.XLOOKUP(Ocupacao_DW[[#This Row],[Concat]],Vagas!$H:$H,Vagas!$D:$D,"",0)</f>
        <v/>
      </c>
    </row>
    <row r="6462" spans="1:8" x14ac:dyDescent="0.25">
      <c r="A6462" s="2">
        <v>44642</v>
      </c>
      <c r="B6462" s="1" t="s">
        <v>70</v>
      </c>
      <c r="C6462">
        <v>12825</v>
      </c>
      <c r="D6462" s="1" t="s">
        <v>177</v>
      </c>
      <c r="E6462" s="1" t="s">
        <v>7</v>
      </c>
      <c r="F6462">
        <v>63</v>
      </c>
      <c r="G6462" s="1" t="str">
        <f>Ocupacao_DW[[#This Row],[data]]&amp;Ocupacao_DW[[#This Row],[profissional_id]]&amp;Ocupacao_DW[[#This Row],[local_id]]</f>
        <v>446421282563</v>
      </c>
      <c r="H6462" s="1">
        <f>_xlfn.XLOOKUP(Ocupacao_DW[[#This Row],[Concat]],Vagas!$H:$H,Vagas!$D:$D,"",0)</f>
        <v>0</v>
      </c>
    </row>
    <row r="6463" spans="1:8" x14ac:dyDescent="0.25">
      <c r="A6463" s="2">
        <v>44643</v>
      </c>
      <c r="B6463" s="1" t="s">
        <v>52</v>
      </c>
      <c r="C6463">
        <v>60</v>
      </c>
      <c r="D6463" s="1" t="s">
        <v>217</v>
      </c>
      <c r="E6463" s="1" t="s">
        <v>6</v>
      </c>
      <c r="F6463">
        <v>8</v>
      </c>
      <c r="G6463" s="1" t="str">
        <f>Ocupacao_DW[[#This Row],[data]]&amp;Ocupacao_DW[[#This Row],[profissional_id]]&amp;Ocupacao_DW[[#This Row],[local_id]]</f>
        <v>44643608</v>
      </c>
      <c r="H6463" s="1">
        <f>_xlfn.XLOOKUP(Ocupacao_DW[[#This Row],[Concat]],Vagas!$H:$H,Vagas!$D:$D,"",0)</f>
        <v>0</v>
      </c>
    </row>
    <row r="6464" spans="1:8" x14ac:dyDescent="0.25">
      <c r="A6464" s="2">
        <v>44637</v>
      </c>
      <c r="B6464" s="1" t="s">
        <v>59</v>
      </c>
      <c r="C6464">
        <v>10249</v>
      </c>
      <c r="D6464" s="1" t="s">
        <v>231</v>
      </c>
      <c r="E6464" s="1" t="s">
        <v>4</v>
      </c>
      <c r="F6464">
        <v>44</v>
      </c>
      <c r="G6464" s="1" t="str">
        <f>Ocupacao_DW[[#This Row],[data]]&amp;Ocupacao_DW[[#This Row],[profissional_id]]&amp;Ocupacao_DW[[#This Row],[local_id]]</f>
        <v>446371024944</v>
      </c>
      <c r="H6464" s="1">
        <f>_xlfn.XLOOKUP(Ocupacao_DW[[#This Row],[Concat]],Vagas!$H:$H,Vagas!$D:$D,"",0)</f>
        <v>0</v>
      </c>
    </row>
    <row r="6465" spans="1:8" x14ac:dyDescent="0.25">
      <c r="A6465" s="2">
        <v>44643</v>
      </c>
      <c r="B6465" s="1" t="s">
        <v>51</v>
      </c>
      <c r="C6465">
        <v>12679</v>
      </c>
      <c r="D6465" s="1" t="s">
        <v>192</v>
      </c>
      <c r="E6465" s="1" t="s">
        <v>5</v>
      </c>
      <c r="F6465">
        <v>11</v>
      </c>
      <c r="G6465" s="1" t="str">
        <f>Ocupacao_DW[[#This Row],[data]]&amp;Ocupacao_DW[[#This Row],[profissional_id]]&amp;Ocupacao_DW[[#This Row],[local_id]]</f>
        <v>446431267911</v>
      </c>
      <c r="H6465" s="1">
        <f>_xlfn.XLOOKUP(Ocupacao_DW[[#This Row],[Concat]],Vagas!$H:$H,Vagas!$D:$D,"",0)</f>
        <v>0</v>
      </c>
    </row>
    <row r="6466" spans="1:8" x14ac:dyDescent="0.25">
      <c r="A6466" s="2">
        <v>44637</v>
      </c>
      <c r="B6466" s="1"/>
      <c r="C6466">
        <v>0</v>
      </c>
      <c r="D6466" s="1"/>
      <c r="E6466" s="1" t="s">
        <v>4</v>
      </c>
      <c r="F6466">
        <v>335</v>
      </c>
      <c r="G6466" s="1" t="str">
        <f>Ocupacao_DW[[#This Row],[data]]&amp;Ocupacao_DW[[#This Row],[profissional_id]]&amp;Ocupacao_DW[[#This Row],[local_id]]</f>
        <v>446370335</v>
      </c>
      <c r="H6466" s="1" t="str">
        <f>_xlfn.XLOOKUP(Ocupacao_DW[[#This Row],[Concat]],Vagas!$H:$H,Vagas!$D:$D,"",0)</f>
        <v/>
      </c>
    </row>
    <row r="6467" spans="1:8" x14ac:dyDescent="0.25">
      <c r="A6467" s="2">
        <v>44642</v>
      </c>
      <c r="B6467" s="1" t="s">
        <v>52</v>
      </c>
      <c r="C6467">
        <v>13061</v>
      </c>
      <c r="D6467" s="1" t="s">
        <v>232</v>
      </c>
      <c r="E6467" s="1" t="s">
        <v>6</v>
      </c>
      <c r="F6467">
        <v>9</v>
      </c>
      <c r="G6467" s="1" t="str">
        <f>Ocupacao_DW[[#This Row],[data]]&amp;Ocupacao_DW[[#This Row],[profissional_id]]&amp;Ocupacao_DW[[#This Row],[local_id]]</f>
        <v>44642130619</v>
      </c>
      <c r="H6467" s="1">
        <f>_xlfn.XLOOKUP(Ocupacao_DW[[#This Row],[Concat]],Vagas!$H:$H,Vagas!$D:$D,"",0)</f>
        <v>0</v>
      </c>
    </row>
    <row r="6468" spans="1:8" x14ac:dyDescent="0.25">
      <c r="A6468" s="2">
        <v>44643</v>
      </c>
      <c r="B6468" s="1" t="s">
        <v>52</v>
      </c>
      <c r="C6468">
        <v>10691</v>
      </c>
      <c r="D6468" s="1" t="s">
        <v>181</v>
      </c>
      <c r="E6468" s="1" t="s">
        <v>6</v>
      </c>
      <c r="F6468">
        <v>9</v>
      </c>
      <c r="G6468" s="1" t="str">
        <f>Ocupacao_DW[[#This Row],[data]]&amp;Ocupacao_DW[[#This Row],[profissional_id]]&amp;Ocupacao_DW[[#This Row],[local_id]]</f>
        <v>44643106919</v>
      </c>
      <c r="H6468" s="1">
        <f>_xlfn.XLOOKUP(Ocupacao_DW[[#This Row],[Concat]],Vagas!$H:$H,Vagas!$D:$D,"",0)</f>
        <v>0</v>
      </c>
    </row>
    <row r="6469" spans="1:8" x14ac:dyDescent="0.25">
      <c r="A6469" s="2">
        <v>44657</v>
      </c>
      <c r="B6469" s="1" t="s">
        <v>24</v>
      </c>
      <c r="C6469">
        <v>13061</v>
      </c>
      <c r="D6469" s="1" t="s">
        <v>232</v>
      </c>
      <c r="E6469" s="1" t="s">
        <v>6</v>
      </c>
      <c r="F6469">
        <v>3</v>
      </c>
      <c r="G6469" s="1" t="str">
        <f>Ocupacao_DW[[#This Row],[data]]&amp;Ocupacao_DW[[#This Row],[profissional_id]]&amp;Ocupacao_DW[[#This Row],[local_id]]</f>
        <v>44657130613</v>
      </c>
      <c r="H6469" s="1">
        <f>_xlfn.XLOOKUP(Ocupacao_DW[[#This Row],[Concat]],Vagas!$H:$H,Vagas!$D:$D,"",0)</f>
        <v>0</v>
      </c>
    </row>
    <row r="6470" spans="1:8" x14ac:dyDescent="0.25">
      <c r="A6470" s="2">
        <v>44641</v>
      </c>
      <c r="B6470" s="1" t="s">
        <v>49</v>
      </c>
      <c r="C6470">
        <v>81</v>
      </c>
      <c r="D6470" s="1" t="s">
        <v>170</v>
      </c>
      <c r="E6470" s="1" t="s">
        <v>4</v>
      </c>
      <c r="F6470">
        <v>41</v>
      </c>
      <c r="G6470" s="1" t="str">
        <f>Ocupacao_DW[[#This Row],[data]]&amp;Ocupacao_DW[[#This Row],[profissional_id]]&amp;Ocupacao_DW[[#This Row],[local_id]]</f>
        <v>446418141</v>
      </c>
      <c r="H6470" s="1">
        <f>_xlfn.XLOOKUP(Ocupacao_DW[[#This Row],[Concat]],Vagas!$H:$H,Vagas!$D:$D,"",0)</f>
        <v>0</v>
      </c>
    </row>
    <row r="6471" spans="1:8" x14ac:dyDescent="0.25">
      <c r="A6471" s="2">
        <v>44641</v>
      </c>
      <c r="B6471" s="1" t="s">
        <v>72</v>
      </c>
      <c r="C6471">
        <v>6046</v>
      </c>
      <c r="D6471" s="1" t="s">
        <v>222</v>
      </c>
      <c r="E6471" s="1" t="s">
        <v>7</v>
      </c>
      <c r="F6471">
        <v>62</v>
      </c>
      <c r="G6471" s="1" t="str">
        <f>Ocupacao_DW[[#This Row],[data]]&amp;Ocupacao_DW[[#This Row],[profissional_id]]&amp;Ocupacao_DW[[#This Row],[local_id]]</f>
        <v>44641604662</v>
      </c>
      <c r="H6471" s="1">
        <f>_xlfn.XLOOKUP(Ocupacao_DW[[#This Row],[Concat]],Vagas!$H:$H,Vagas!$D:$D,"",0)</f>
        <v>0</v>
      </c>
    </row>
    <row r="6472" spans="1:8" x14ac:dyDescent="0.25">
      <c r="A6472" s="2">
        <v>44637</v>
      </c>
      <c r="B6472" s="1" t="s">
        <v>52</v>
      </c>
      <c r="C6472">
        <v>60</v>
      </c>
      <c r="D6472" s="1" t="s">
        <v>217</v>
      </c>
      <c r="E6472" s="1" t="s">
        <v>167</v>
      </c>
      <c r="F6472">
        <v>346</v>
      </c>
      <c r="G6472" s="1" t="str">
        <f>Ocupacao_DW[[#This Row],[data]]&amp;Ocupacao_DW[[#This Row],[profissional_id]]&amp;Ocupacao_DW[[#This Row],[local_id]]</f>
        <v>4463760346</v>
      </c>
      <c r="H6472" s="1">
        <f>_xlfn.XLOOKUP(Ocupacao_DW[[#This Row],[Concat]],Vagas!$H:$H,Vagas!$D:$D,"",0)</f>
        <v>0</v>
      </c>
    </row>
    <row r="6473" spans="1:8" x14ac:dyDescent="0.25">
      <c r="A6473" s="2">
        <v>44651</v>
      </c>
      <c r="B6473" s="1" t="s">
        <v>47</v>
      </c>
      <c r="C6473">
        <v>9111</v>
      </c>
      <c r="D6473" s="1" t="s">
        <v>206</v>
      </c>
      <c r="E6473" s="1" t="s">
        <v>4</v>
      </c>
      <c r="F6473">
        <v>334</v>
      </c>
      <c r="G6473" s="1" t="str">
        <f>Ocupacao_DW[[#This Row],[data]]&amp;Ocupacao_DW[[#This Row],[profissional_id]]&amp;Ocupacao_DW[[#This Row],[local_id]]</f>
        <v>446519111334</v>
      </c>
      <c r="H6473" s="1">
        <f>_xlfn.XLOOKUP(Ocupacao_DW[[#This Row],[Concat]],Vagas!$H:$H,Vagas!$D:$D,"",0)</f>
        <v>0</v>
      </c>
    </row>
    <row r="6474" spans="1:8" x14ac:dyDescent="0.25">
      <c r="A6474" s="2">
        <v>44648</v>
      </c>
      <c r="B6474" s="1" t="s">
        <v>51</v>
      </c>
      <c r="C6474">
        <v>17931</v>
      </c>
      <c r="D6474" s="1" t="s">
        <v>286</v>
      </c>
      <c r="E6474" s="1" t="s">
        <v>5</v>
      </c>
      <c r="F6474">
        <v>11</v>
      </c>
      <c r="G6474" s="1" t="str">
        <f>Ocupacao_DW[[#This Row],[data]]&amp;Ocupacao_DW[[#This Row],[profissional_id]]&amp;Ocupacao_DW[[#This Row],[local_id]]</f>
        <v>446481793111</v>
      </c>
      <c r="H6474" s="1">
        <f>_xlfn.XLOOKUP(Ocupacao_DW[[#This Row],[Concat]],Vagas!$H:$H,Vagas!$D:$D,"",0)</f>
        <v>0</v>
      </c>
    </row>
    <row r="6475" spans="1:8" x14ac:dyDescent="0.25">
      <c r="A6475" s="2">
        <v>44635</v>
      </c>
      <c r="B6475" s="1" t="s">
        <v>71</v>
      </c>
      <c r="C6475">
        <v>282</v>
      </c>
      <c r="D6475" s="1" t="s">
        <v>210</v>
      </c>
      <c r="E6475" s="1" t="s">
        <v>4</v>
      </c>
      <c r="F6475">
        <v>48</v>
      </c>
      <c r="G6475" s="1" t="str">
        <f>Ocupacao_DW[[#This Row],[data]]&amp;Ocupacao_DW[[#This Row],[profissional_id]]&amp;Ocupacao_DW[[#This Row],[local_id]]</f>
        <v>4463528248</v>
      </c>
      <c r="H6475" s="1">
        <f>_xlfn.XLOOKUP(Ocupacao_DW[[#This Row],[Concat]],Vagas!$H:$H,Vagas!$D:$D,"",0)</f>
        <v>0</v>
      </c>
    </row>
    <row r="6476" spans="1:8" x14ac:dyDescent="0.25">
      <c r="A6476" s="2">
        <v>44649</v>
      </c>
      <c r="B6476" s="1" t="s">
        <v>70</v>
      </c>
      <c r="C6476">
        <v>14237</v>
      </c>
      <c r="D6476" s="1" t="s">
        <v>186</v>
      </c>
      <c r="E6476" s="1" t="s">
        <v>4</v>
      </c>
      <c r="F6476">
        <v>47</v>
      </c>
      <c r="G6476" s="1" t="str">
        <f>Ocupacao_DW[[#This Row],[data]]&amp;Ocupacao_DW[[#This Row],[profissional_id]]&amp;Ocupacao_DW[[#This Row],[local_id]]</f>
        <v>446491423747</v>
      </c>
      <c r="H6476" s="1">
        <f>_xlfn.XLOOKUP(Ocupacao_DW[[#This Row],[Concat]],Vagas!$H:$H,Vagas!$D:$D,"",0)</f>
        <v>0</v>
      </c>
    </row>
    <row r="6477" spans="1:8" x14ac:dyDescent="0.25">
      <c r="A6477" s="2">
        <v>44635</v>
      </c>
      <c r="B6477" s="1" t="s">
        <v>67</v>
      </c>
      <c r="C6477">
        <v>7290</v>
      </c>
      <c r="D6477" s="1" t="s">
        <v>247</v>
      </c>
      <c r="E6477" s="1" t="s">
        <v>5</v>
      </c>
      <c r="F6477">
        <v>18</v>
      </c>
      <c r="G6477" s="1" t="str">
        <f>Ocupacao_DW[[#This Row],[data]]&amp;Ocupacao_DW[[#This Row],[profissional_id]]&amp;Ocupacao_DW[[#This Row],[local_id]]</f>
        <v>44635729018</v>
      </c>
      <c r="H6477" s="1">
        <f>_xlfn.XLOOKUP(Ocupacao_DW[[#This Row],[Concat]],Vagas!$H:$H,Vagas!$D:$D,"",0)</f>
        <v>0</v>
      </c>
    </row>
    <row r="6478" spans="1:8" x14ac:dyDescent="0.25">
      <c r="A6478" s="2">
        <v>44638</v>
      </c>
      <c r="B6478" s="1" t="s">
        <v>52</v>
      </c>
      <c r="C6478">
        <v>55</v>
      </c>
      <c r="D6478" s="1" t="s">
        <v>244</v>
      </c>
      <c r="E6478" s="1" t="s">
        <v>7</v>
      </c>
      <c r="F6478">
        <v>68</v>
      </c>
      <c r="G6478" s="1" t="str">
        <f>Ocupacao_DW[[#This Row],[data]]&amp;Ocupacao_DW[[#This Row],[profissional_id]]&amp;Ocupacao_DW[[#This Row],[local_id]]</f>
        <v>446385568</v>
      </c>
      <c r="H6478" s="1">
        <f>_xlfn.XLOOKUP(Ocupacao_DW[[#This Row],[Concat]],Vagas!$H:$H,Vagas!$D:$D,"",0)</f>
        <v>0</v>
      </c>
    </row>
    <row r="6479" spans="1:8" x14ac:dyDescent="0.25">
      <c r="A6479" s="2">
        <v>44641</v>
      </c>
      <c r="B6479" s="1" t="s">
        <v>72</v>
      </c>
      <c r="C6479">
        <v>6046</v>
      </c>
      <c r="D6479" s="1" t="s">
        <v>222</v>
      </c>
      <c r="E6479" s="1" t="s">
        <v>7</v>
      </c>
      <c r="F6479">
        <v>62</v>
      </c>
      <c r="G6479" s="1" t="str">
        <f>Ocupacao_DW[[#This Row],[data]]&amp;Ocupacao_DW[[#This Row],[profissional_id]]&amp;Ocupacao_DW[[#This Row],[local_id]]</f>
        <v>44641604662</v>
      </c>
      <c r="H6479" s="1">
        <f>_xlfn.XLOOKUP(Ocupacao_DW[[#This Row],[Concat]],Vagas!$H:$H,Vagas!$D:$D,"",0)</f>
        <v>0</v>
      </c>
    </row>
    <row r="6480" spans="1:8" x14ac:dyDescent="0.25">
      <c r="A6480" s="2">
        <v>44637</v>
      </c>
      <c r="B6480" s="1" t="s">
        <v>52</v>
      </c>
      <c r="C6480">
        <v>60</v>
      </c>
      <c r="D6480" s="1" t="s">
        <v>217</v>
      </c>
      <c r="E6480" s="1" t="s">
        <v>167</v>
      </c>
      <c r="F6480">
        <v>346</v>
      </c>
      <c r="G6480" s="1" t="str">
        <f>Ocupacao_DW[[#This Row],[data]]&amp;Ocupacao_DW[[#This Row],[profissional_id]]&amp;Ocupacao_DW[[#This Row],[local_id]]</f>
        <v>4463760346</v>
      </c>
      <c r="H6480" s="1">
        <f>_xlfn.XLOOKUP(Ocupacao_DW[[#This Row],[Concat]],Vagas!$H:$H,Vagas!$D:$D,"",0)</f>
        <v>0</v>
      </c>
    </row>
    <row r="6481" spans="1:8" x14ac:dyDescent="0.25">
      <c r="A6481" s="2">
        <v>44641</v>
      </c>
      <c r="B6481" s="1" t="s">
        <v>56</v>
      </c>
      <c r="C6481">
        <v>75</v>
      </c>
      <c r="D6481" s="1" t="s">
        <v>208</v>
      </c>
      <c r="E6481" s="1" t="s">
        <v>5</v>
      </c>
      <c r="F6481">
        <v>15</v>
      </c>
      <c r="G6481" s="1" t="str">
        <f>Ocupacao_DW[[#This Row],[data]]&amp;Ocupacao_DW[[#This Row],[profissional_id]]&amp;Ocupacao_DW[[#This Row],[local_id]]</f>
        <v>446417515</v>
      </c>
      <c r="H6481" s="1">
        <f>_xlfn.XLOOKUP(Ocupacao_DW[[#This Row],[Concat]],Vagas!$H:$H,Vagas!$D:$D,"",0)</f>
        <v>0</v>
      </c>
    </row>
    <row r="6482" spans="1:8" x14ac:dyDescent="0.25">
      <c r="A6482" s="2">
        <v>44635</v>
      </c>
      <c r="B6482" s="1" t="s">
        <v>67</v>
      </c>
      <c r="C6482">
        <v>7290</v>
      </c>
      <c r="D6482" s="1" t="s">
        <v>247</v>
      </c>
      <c r="E6482" s="1" t="s">
        <v>5</v>
      </c>
      <c r="F6482">
        <v>18</v>
      </c>
      <c r="G6482" s="1" t="str">
        <f>Ocupacao_DW[[#This Row],[data]]&amp;Ocupacao_DW[[#This Row],[profissional_id]]&amp;Ocupacao_DW[[#This Row],[local_id]]</f>
        <v>44635729018</v>
      </c>
      <c r="H6482" s="1">
        <f>_xlfn.XLOOKUP(Ocupacao_DW[[#This Row],[Concat]],Vagas!$H:$H,Vagas!$D:$D,"",0)</f>
        <v>0</v>
      </c>
    </row>
    <row r="6483" spans="1:8" x14ac:dyDescent="0.25">
      <c r="A6483" s="2">
        <v>44643</v>
      </c>
      <c r="B6483" s="1" t="s">
        <v>60</v>
      </c>
      <c r="C6483">
        <v>14326</v>
      </c>
      <c r="D6483" s="1" t="s">
        <v>220</v>
      </c>
      <c r="E6483" s="1" t="s">
        <v>4</v>
      </c>
      <c r="F6483">
        <v>43</v>
      </c>
      <c r="G6483" s="1" t="str">
        <f>Ocupacao_DW[[#This Row],[data]]&amp;Ocupacao_DW[[#This Row],[profissional_id]]&amp;Ocupacao_DW[[#This Row],[local_id]]</f>
        <v>446431432643</v>
      </c>
      <c r="H6483" s="1">
        <f>_xlfn.XLOOKUP(Ocupacao_DW[[#This Row],[Concat]],Vagas!$H:$H,Vagas!$D:$D,"",0)</f>
        <v>0</v>
      </c>
    </row>
    <row r="6484" spans="1:8" x14ac:dyDescent="0.25">
      <c r="A6484" s="2">
        <v>44637</v>
      </c>
      <c r="B6484" s="1" t="s">
        <v>57</v>
      </c>
      <c r="C6484">
        <v>80</v>
      </c>
      <c r="D6484" s="1" t="s">
        <v>179</v>
      </c>
      <c r="E6484" s="1" t="s">
        <v>167</v>
      </c>
      <c r="F6484">
        <v>348</v>
      </c>
      <c r="G6484" s="1" t="str">
        <f>Ocupacao_DW[[#This Row],[data]]&amp;Ocupacao_DW[[#This Row],[profissional_id]]&amp;Ocupacao_DW[[#This Row],[local_id]]</f>
        <v>4463780348</v>
      </c>
      <c r="H6484" s="1">
        <f>_xlfn.XLOOKUP(Ocupacao_DW[[#This Row],[Concat]],Vagas!$H:$H,Vagas!$D:$D,"",0)</f>
        <v>0</v>
      </c>
    </row>
    <row r="6485" spans="1:8" x14ac:dyDescent="0.25">
      <c r="A6485" s="2">
        <v>44642</v>
      </c>
      <c r="B6485" s="1" t="s">
        <v>68</v>
      </c>
      <c r="C6485">
        <v>8239</v>
      </c>
      <c r="D6485" s="1" t="s">
        <v>257</v>
      </c>
      <c r="E6485" s="1" t="s">
        <v>5</v>
      </c>
      <c r="F6485">
        <v>14</v>
      </c>
      <c r="G6485" s="1" t="str">
        <f>Ocupacao_DW[[#This Row],[data]]&amp;Ocupacao_DW[[#This Row],[profissional_id]]&amp;Ocupacao_DW[[#This Row],[local_id]]</f>
        <v>44642823914</v>
      </c>
      <c r="H6485" s="1">
        <f>_xlfn.XLOOKUP(Ocupacao_DW[[#This Row],[Concat]],Vagas!$H:$H,Vagas!$D:$D,"",0)</f>
        <v>0</v>
      </c>
    </row>
    <row r="6486" spans="1:8" x14ac:dyDescent="0.25">
      <c r="A6486" s="2">
        <v>44635</v>
      </c>
      <c r="B6486" s="1" t="s">
        <v>51</v>
      </c>
      <c r="C6486">
        <v>12582</v>
      </c>
      <c r="D6486" s="1" t="s">
        <v>190</v>
      </c>
      <c r="E6486" s="1" t="s">
        <v>7</v>
      </c>
      <c r="F6486">
        <v>62</v>
      </c>
      <c r="G6486" s="1" t="str">
        <f>Ocupacao_DW[[#This Row],[data]]&amp;Ocupacao_DW[[#This Row],[profissional_id]]&amp;Ocupacao_DW[[#This Row],[local_id]]</f>
        <v>446351258262</v>
      </c>
      <c r="H6486" s="1">
        <f>_xlfn.XLOOKUP(Ocupacao_DW[[#This Row],[Concat]],Vagas!$H:$H,Vagas!$D:$D,"",0)</f>
        <v>0</v>
      </c>
    </row>
    <row r="6487" spans="1:8" x14ac:dyDescent="0.25">
      <c r="A6487" s="2">
        <v>44648</v>
      </c>
      <c r="B6487" s="1" t="s">
        <v>55</v>
      </c>
      <c r="C6487">
        <v>2984</v>
      </c>
      <c r="D6487" s="1" t="s">
        <v>185</v>
      </c>
      <c r="E6487" s="1" t="s">
        <v>6</v>
      </c>
      <c r="F6487">
        <v>7</v>
      </c>
      <c r="G6487" s="1" t="str">
        <f>Ocupacao_DW[[#This Row],[data]]&amp;Ocupacao_DW[[#This Row],[profissional_id]]&amp;Ocupacao_DW[[#This Row],[local_id]]</f>
        <v>4464829847</v>
      </c>
      <c r="H6487" s="1">
        <f>_xlfn.XLOOKUP(Ocupacao_DW[[#This Row],[Concat]],Vagas!$H:$H,Vagas!$D:$D,"",0)</f>
        <v>0</v>
      </c>
    </row>
    <row r="6488" spans="1:8" x14ac:dyDescent="0.25">
      <c r="A6488" s="2">
        <v>44638</v>
      </c>
      <c r="B6488" s="1" t="s">
        <v>46</v>
      </c>
      <c r="C6488">
        <v>17888</v>
      </c>
      <c r="D6488" s="1" t="s">
        <v>255</v>
      </c>
      <c r="E6488" s="1" t="s">
        <v>4</v>
      </c>
      <c r="F6488">
        <v>40</v>
      </c>
      <c r="G6488" s="1" t="str">
        <f>Ocupacao_DW[[#This Row],[data]]&amp;Ocupacao_DW[[#This Row],[profissional_id]]&amp;Ocupacao_DW[[#This Row],[local_id]]</f>
        <v>446381788840</v>
      </c>
      <c r="H6488" s="1">
        <f>_xlfn.XLOOKUP(Ocupacao_DW[[#This Row],[Concat]],Vagas!$H:$H,Vagas!$D:$D,"",0)</f>
        <v>21</v>
      </c>
    </row>
    <row r="6489" spans="1:8" x14ac:dyDescent="0.25">
      <c r="A6489" s="2">
        <v>44644</v>
      </c>
      <c r="B6489" s="1" t="s">
        <v>64</v>
      </c>
      <c r="C6489">
        <v>531</v>
      </c>
      <c r="D6489" s="1" t="s">
        <v>213</v>
      </c>
      <c r="E6489" s="1" t="s">
        <v>5</v>
      </c>
      <c r="F6489">
        <v>12</v>
      </c>
      <c r="G6489" s="1" t="str">
        <f>Ocupacao_DW[[#This Row],[data]]&amp;Ocupacao_DW[[#This Row],[profissional_id]]&amp;Ocupacao_DW[[#This Row],[local_id]]</f>
        <v>4464453112</v>
      </c>
      <c r="H6489" s="1">
        <f>_xlfn.XLOOKUP(Ocupacao_DW[[#This Row],[Concat]],Vagas!$H:$H,Vagas!$D:$D,"",0)</f>
        <v>0</v>
      </c>
    </row>
    <row r="6490" spans="1:8" x14ac:dyDescent="0.25">
      <c r="A6490" s="2">
        <v>44645</v>
      </c>
      <c r="B6490" s="1" t="s">
        <v>24</v>
      </c>
      <c r="C6490">
        <v>60</v>
      </c>
      <c r="D6490" s="1" t="s">
        <v>217</v>
      </c>
      <c r="E6490" s="1" t="s">
        <v>6</v>
      </c>
      <c r="F6490">
        <v>1</v>
      </c>
      <c r="G6490" s="1" t="str">
        <f>Ocupacao_DW[[#This Row],[data]]&amp;Ocupacao_DW[[#This Row],[profissional_id]]&amp;Ocupacao_DW[[#This Row],[local_id]]</f>
        <v>44645601</v>
      </c>
      <c r="H6490" s="1">
        <f>_xlfn.XLOOKUP(Ocupacao_DW[[#This Row],[Concat]],Vagas!$H:$H,Vagas!$D:$D,"",0)</f>
        <v>0</v>
      </c>
    </row>
    <row r="6491" spans="1:8" x14ac:dyDescent="0.25">
      <c r="A6491" s="2">
        <v>44639</v>
      </c>
      <c r="B6491" s="1" t="s">
        <v>52</v>
      </c>
      <c r="C6491">
        <v>60</v>
      </c>
      <c r="D6491" s="1" t="s">
        <v>217</v>
      </c>
      <c r="E6491" s="1" t="s">
        <v>6</v>
      </c>
      <c r="F6491">
        <v>8</v>
      </c>
      <c r="G6491" s="1" t="str">
        <f>Ocupacao_DW[[#This Row],[data]]&amp;Ocupacao_DW[[#This Row],[profissional_id]]&amp;Ocupacao_DW[[#This Row],[local_id]]</f>
        <v>44639608</v>
      </c>
      <c r="H6491" s="1">
        <f>_xlfn.XLOOKUP(Ocupacao_DW[[#This Row],[Concat]],Vagas!$H:$H,Vagas!$D:$D,"",0)</f>
        <v>0</v>
      </c>
    </row>
    <row r="6492" spans="1:8" x14ac:dyDescent="0.25">
      <c r="A6492" s="2">
        <v>44636</v>
      </c>
      <c r="B6492" s="1" t="s">
        <v>43</v>
      </c>
      <c r="C6492">
        <v>57</v>
      </c>
      <c r="D6492" s="1" t="s">
        <v>169</v>
      </c>
      <c r="E6492" s="1" t="s">
        <v>6</v>
      </c>
      <c r="F6492">
        <v>2</v>
      </c>
      <c r="G6492" s="1" t="str">
        <f>Ocupacao_DW[[#This Row],[data]]&amp;Ocupacao_DW[[#This Row],[profissional_id]]&amp;Ocupacao_DW[[#This Row],[local_id]]</f>
        <v>44636572</v>
      </c>
      <c r="H6492" s="1">
        <f>_xlfn.XLOOKUP(Ocupacao_DW[[#This Row],[Concat]],Vagas!$H:$H,Vagas!$D:$D,"",0)</f>
        <v>2</v>
      </c>
    </row>
    <row r="6493" spans="1:8" x14ac:dyDescent="0.25">
      <c r="A6493" s="2">
        <v>44639</v>
      </c>
      <c r="B6493" s="1" t="s">
        <v>47</v>
      </c>
      <c r="C6493">
        <v>111</v>
      </c>
      <c r="D6493" s="1" t="s">
        <v>199</v>
      </c>
      <c r="E6493" s="1" t="s">
        <v>4</v>
      </c>
      <c r="F6493">
        <v>51</v>
      </c>
      <c r="G6493" s="1" t="str">
        <f>Ocupacao_DW[[#This Row],[data]]&amp;Ocupacao_DW[[#This Row],[profissional_id]]&amp;Ocupacao_DW[[#This Row],[local_id]]</f>
        <v>4463911151</v>
      </c>
      <c r="H6493" s="1">
        <f>_xlfn.XLOOKUP(Ocupacao_DW[[#This Row],[Concat]],Vagas!$H:$H,Vagas!$D:$D,"",0)</f>
        <v>0</v>
      </c>
    </row>
    <row r="6494" spans="1:8" x14ac:dyDescent="0.25">
      <c r="A6494" s="2">
        <v>44638</v>
      </c>
      <c r="B6494" s="1" t="s">
        <v>49</v>
      </c>
      <c r="C6494">
        <v>12142</v>
      </c>
      <c r="D6494" s="1" t="s">
        <v>219</v>
      </c>
      <c r="E6494" s="1" t="s">
        <v>4</v>
      </c>
      <c r="F6494">
        <v>44</v>
      </c>
      <c r="G6494" s="1" t="str">
        <f>Ocupacao_DW[[#This Row],[data]]&amp;Ocupacao_DW[[#This Row],[profissional_id]]&amp;Ocupacao_DW[[#This Row],[local_id]]</f>
        <v>446381214244</v>
      </c>
      <c r="H6494" s="1">
        <f>_xlfn.XLOOKUP(Ocupacao_DW[[#This Row],[Concat]],Vagas!$H:$H,Vagas!$D:$D,"",0)</f>
        <v>0</v>
      </c>
    </row>
    <row r="6495" spans="1:8" x14ac:dyDescent="0.25">
      <c r="A6495" s="2">
        <v>44641</v>
      </c>
      <c r="B6495" s="1" t="s">
        <v>54</v>
      </c>
      <c r="C6495">
        <v>70</v>
      </c>
      <c r="D6495" s="1" t="s">
        <v>187</v>
      </c>
      <c r="E6495" s="1" t="s">
        <v>5</v>
      </c>
      <c r="F6495">
        <v>13</v>
      </c>
      <c r="G6495" s="1" t="str">
        <f>Ocupacao_DW[[#This Row],[data]]&amp;Ocupacao_DW[[#This Row],[profissional_id]]&amp;Ocupacao_DW[[#This Row],[local_id]]</f>
        <v>446417013</v>
      </c>
      <c r="H6495" s="1">
        <f>_xlfn.XLOOKUP(Ocupacao_DW[[#This Row],[Concat]],Vagas!$H:$H,Vagas!$D:$D,"",0)</f>
        <v>0</v>
      </c>
    </row>
    <row r="6496" spans="1:8" x14ac:dyDescent="0.25">
      <c r="A6496" s="2">
        <v>44641</v>
      </c>
      <c r="B6496" s="1" t="s">
        <v>52</v>
      </c>
      <c r="C6496">
        <v>10595</v>
      </c>
      <c r="D6496" s="1" t="s">
        <v>218</v>
      </c>
      <c r="E6496" s="1" t="s">
        <v>200</v>
      </c>
      <c r="F6496">
        <v>78</v>
      </c>
      <c r="G6496" s="1" t="str">
        <f>Ocupacao_DW[[#This Row],[data]]&amp;Ocupacao_DW[[#This Row],[profissional_id]]&amp;Ocupacao_DW[[#This Row],[local_id]]</f>
        <v>446411059578</v>
      </c>
      <c r="H6496" s="1">
        <f>_xlfn.XLOOKUP(Ocupacao_DW[[#This Row],[Concat]],Vagas!$H:$H,Vagas!$D:$D,"",0)</f>
        <v>0</v>
      </c>
    </row>
    <row r="6497" spans="1:8" x14ac:dyDescent="0.25">
      <c r="A6497" s="2">
        <v>44640</v>
      </c>
      <c r="B6497" s="1" t="s">
        <v>66</v>
      </c>
      <c r="C6497">
        <v>97</v>
      </c>
      <c r="D6497" s="1" t="s">
        <v>243</v>
      </c>
      <c r="E6497" s="1" t="s">
        <v>167</v>
      </c>
      <c r="F6497">
        <v>342</v>
      </c>
      <c r="G6497" s="1" t="str">
        <f>Ocupacao_DW[[#This Row],[data]]&amp;Ocupacao_DW[[#This Row],[profissional_id]]&amp;Ocupacao_DW[[#This Row],[local_id]]</f>
        <v>4464097342</v>
      </c>
      <c r="H6497" s="1">
        <f>_xlfn.XLOOKUP(Ocupacao_DW[[#This Row],[Concat]],Vagas!$H:$H,Vagas!$D:$D,"",0)</f>
        <v>0</v>
      </c>
    </row>
    <row r="6498" spans="1:8" x14ac:dyDescent="0.25">
      <c r="A6498" s="2">
        <v>44637</v>
      </c>
      <c r="B6498" s="1" t="s">
        <v>52</v>
      </c>
      <c r="C6498">
        <v>60</v>
      </c>
      <c r="D6498" s="1" t="s">
        <v>217</v>
      </c>
      <c r="E6498" s="1" t="s">
        <v>167</v>
      </c>
      <c r="F6498">
        <v>346</v>
      </c>
      <c r="G6498" s="1" t="str">
        <f>Ocupacao_DW[[#This Row],[data]]&amp;Ocupacao_DW[[#This Row],[profissional_id]]&amp;Ocupacao_DW[[#This Row],[local_id]]</f>
        <v>4463760346</v>
      </c>
      <c r="H6498" s="1">
        <f>_xlfn.XLOOKUP(Ocupacao_DW[[#This Row],[Concat]],Vagas!$H:$H,Vagas!$D:$D,"",0)</f>
        <v>0</v>
      </c>
    </row>
    <row r="6499" spans="1:8" x14ac:dyDescent="0.25">
      <c r="A6499" s="2">
        <v>44643</v>
      </c>
      <c r="B6499" s="1" t="s">
        <v>62</v>
      </c>
      <c r="C6499">
        <v>2567</v>
      </c>
      <c r="D6499" s="1" t="s">
        <v>198</v>
      </c>
      <c r="E6499" s="1" t="s">
        <v>5</v>
      </c>
      <c r="F6499">
        <v>349</v>
      </c>
      <c r="G6499" s="1" t="str">
        <f>Ocupacao_DW[[#This Row],[data]]&amp;Ocupacao_DW[[#This Row],[profissional_id]]&amp;Ocupacao_DW[[#This Row],[local_id]]</f>
        <v>446432567349</v>
      </c>
      <c r="H6499" s="1">
        <f>_xlfn.XLOOKUP(Ocupacao_DW[[#This Row],[Concat]],Vagas!$H:$H,Vagas!$D:$D,"",0)</f>
        <v>0</v>
      </c>
    </row>
    <row r="6500" spans="1:8" x14ac:dyDescent="0.25">
      <c r="A6500" s="2">
        <v>44643</v>
      </c>
      <c r="B6500" s="1" t="s">
        <v>51</v>
      </c>
      <c r="C6500">
        <v>12679</v>
      </c>
      <c r="D6500" s="1" t="s">
        <v>192</v>
      </c>
      <c r="E6500" s="1" t="s">
        <v>5</v>
      </c>
      <c r="F6500">
        <v>11</v>
      </c>
      <c r="G6500" s="1" t="str">
        <f>Ocupacao_DW[[#This Row],[data]]&amp;Ocupacao_DW[[#This Row],[profissional_id]]&amp;Ocupacao_DW[[#This Row],[local_id]]</f>
        <v>446431267911</v>
      </c>
      <c r="H6500" s="1">
        <f>_xlfn.XLOOKUP(Ocupacao_DW[[#This Row],[Concat]],Vagas!$H:$H,Vagas!$D:$D,"",0)</f>
        <v>0</v>
      </c>
    </row>
    <row r="6501" spans="1:8" x14ac:dyDescent="0.25">
      <c r="A6501" s="2">
        <v>44636</v>
      </c>
      <c r="B6501" s="1" t="s">
        <v>62</v>
      </c>
      <c r="C6501">
        <v>2567</v>
      </c>
      <c r="D6501" s="1" t="s">
        <v>198</v>
      </c>
      <c r="E6501" s="1" t="s">
        <v>5</v>
      </c>
      <c r="F6501">
        <v>349</v>
      </c>
      <c r="G6501" s="1" t="str">
        <f>Ocupacao_DW[[#This Row],[data]]&amp;Ocupacao_DW[[#This Row],[profissional_id]]&amp;Ocupacao_DW[[#This Row],[local_id]]</f>
        <v>446362567349</v>
      </c>
      <c r="H6501" s="1">
        <f>_xlfn.XLOOKUP(Ocupacao_DW[[#This Row],[Concat]],Vagas!$H:$H,Vagas!$D:$D,"",0)</f>
        <v>0</v>
      </c>
    </row>
    <row r="6502" spans="1:8" x14ac:dyDescent="0.25">
      <c r="A6502" s="2">
        <v>44640</v>
      </c>
      <c r="B6502" s="1" t="s">
        <v>62</v>
      </c>
      <c r="C6502">
        <v>4887</v>
      </c>
      <c r="D6502" s="1" t="s">
        <v>168</v>
      </c>
      <c r="E6502" s="1" t="s">
        <v>167</v>
      </c>
      <c r="F6502">
        <v>340</v>
      </c>
      <c r="G6502" s="1" t="str">
        <f>Ocupacao_DW[[#This Row],[data]]&amp;Ocupacao_DW[[#This Row],[profissional_id]]&amp;Ocupacao_DW[[#This Row],[local_id]]</f>
        <v>446404887340</v>
      </c>
      <c r="H6502" s="1">
        <f>_xlfn.XLOOKUP(Ocupacao_DW[[#This Row],[Concat]],Vagas!$H:$H,Vagas!$D:$D,"",0)</f>
        <v>0</v>
      </c>
    </row>
    <row r="6503" spans="1:8" x14ac:dyDescent="0.25">
      <c r="A6503" s="2">
        <v>44640</v>
      </c>
      <c r="B6503" s="1" t="s">
        <v>62</v>
      </c>
      <c r="C6503">
        <v>4887</v>
      </c>
      <c r="D6503" s="1" t="s">
        <v>168</v>
      </c>
      <c r="E6503" s="1" t="s">
        <v>167</v>
      </c>
      <c r="F6503">
        <v>340</v>
      </c>
      <c r="G6503" s="1" t="str">
        <f>Ocupacao_DW[[#This Row],[data]]&amp;Ocupacao_DW[[#This Row],[profissional_id]]&amp;Ocupacao_DW[[#This Row],[local_id]]</f>
        <v>446404887340</v>
      </c>
      <c r="H6503" s="1">
        <f>_xlfn.XLOOKUP(Ocupacao_DW[[#This Row],[Concat]],Vagas!$H:$H,Vagas!$D:$D,"",0)</f>
        <v>0</v>
      </c>
    </row>
    <row r="6504" spans="1:8" x14ac:dyDescent="0.25">
      <c r="A6504" s="2">
        <v>44657</v>
      </c>
      <c r="B6504" s="1" t="s">
        <v>62</v>
      </c>
      <c r="C6504">
        <v>10799</v>
      </c>
      <c r="D6504" s="1" t="s">
        <v>204</v>
      </c>
      <c r="E6504" s="1" t="s">
        <v>5</v>
      </c>
      <c r="F6504">
        <v>18</v>
      </c>
      <c r="G6504" s="1" t="str">
        <f>Ocupacao_DW[[#This Row],[data]]&amp;Ocupacao_DW[[#This Row],[profissional_id]]&amp;Ocupacao_DW[[#This Row],[local_id]]</f>
        <v>446571079918</v>
      </c>
      <c r="H6504" s="1">
        <f>_xlfn.XLOOKUP(Ocupacao_DW[[#This Row],[Concat]],Vagas!$H:$H,Vagas!$D:$D,"",0)</f>
        <v>0</v>
      </c>
    </row>
    <row r="6505" spans="1:8" x14ac:dyDescent="0.25">
      <c r="A6505" s="2">
        <v>44638</v>
      </c>
      <c r="B6505" s="1" t="s">
        <v>52</v>
      </c>
      <c r="C6505">
        <v>60</v>
      </c>
      <c r="D6505" s="1" t="s">
        <v>217</v>
      </c>
      <c r="E6505" s="1" t="s">
        <v>167</v>
      </c>
      <c r="F6505">
        <v>348</v>
      </c>
      <c r="G6505" s="1" t="str">
        <f>Ocupacao_DW[[#This Row],[data]]&amp;Ocupacao_DW[[#This Row],[profissional_id]]&amp;Ocupacao_DW[[#This Row],[local_id]]</f>
        <v>4463860348</v>
      </c>
      <c r="H6505" s="1">
        <f>_xlfn.XLOOKUP(Ocupacao_DW[[#This Row],[Concat]],Vagas!$H:$H,Vagas!$D:$D,"",0)</f>
        <v>0</v>
      </c>
    </row>
    <row r="6506" spans="1:8" x14ac:dyDescent="0.25">
      <c r="A6506" s="2">
        <v>44642</v>
      </c>
      <c r="B6506" s="1" t="s">
        <v>70</v>
      </c>
      <c r="C6506">
        <v>12825</v>
      </c>
      <c r="D6506" s="1" t="s">
        <v>177</v>
      </c>
      <c r="E6506" s="1" t="s">
        <v>7</v>
      </c>
      <c r="F6506">
        <v>63</v>
      </c>
      <c r="G6506" s="1" t="str">
        <f>Ocupacao_DW[[#This Row],[data]]&amp;Ocupacao_DW[[#This Row],[profissional_id]]&amp;Ocupacao_DW[[#This Row],[local_id]]</f>
        <v>446421282563</v>
      </c>
      <c r="H6506" s="1">
        <f>_xlfn.XLOOKUP(Ocupacao_DW[[#This Row],[Concat]],Vagas!$H:$H,Vagas!$D:$D,"",0)</f>
        <v>0</v>
      </c>
    </row>
    <row r="6507" spans="1:8" x14ac:dyDescent="0.25">
      <c r="A6507" s="2">
        <v>44652</v>
      </c>
      <c r="B6507" s="1" t="s">
        <v>47</v>
      </c>
      <c r="C6507">
        <v>9111</v>
      </c>
      <c r="D6507" s="1" t="s">
        <v>206</v>
      </c>
      <c r="E6507" s="1" t="s">
        <v>4</v>
      </c>
      <c r="F6507">
        <v>51</v>
      </c>
      <c r="G6507" s="1" t="str">
        <f>Ocupacao_DW[[#This Row],[data]]&amp;Ocupacao_DW[[#This Row],[profissional_id]]&amp;Ocupacao_DW[[#This Row],[local_id]]</f>
        <v>44652911151</v>
      </c>
      <c r="H6507" s="1">
        <f>_xlfn.XLOOKUP(Ocupacao_DW[[#This Row],[Concat]],Vagas!$H:$H,Vagas!$D:$D,"",0)</f>
        <v>0</v>
      </c>
    </row>
    <row r="6508" spans="1:8" x14ac:dyDescent="0.25">
      <c r="A6508" s="2">
        <v>44637</v>
      </c>
      <c r="B6508" s="1" t="s">
        <v>52</v>
      </c>
      <c r="C6508">
        <v>60</v>
      </c>
      <c r="D6508" s="1" t="s">
        <v>217</v>
      </c>
      <c r="E6508" s="1" t="s">
        <v>167</v>
      </c>
      <c r="F6508">
        <v>346</v>
      </c>
      <c r="G6508" s="1" t="str">
        <f>Ocupacao_DW[[#This Row],[data]]&amp;Ocupacao_DW[[#This Row],[profissional_id]]&amp;Ocupacao_DW[[#This Row],[local_id]]</f>
        <v>4463760346</v>
      </c>
      <c r="H6508" s="1">
        <f>_xlfn.XLOOKUP(Ocupacao_DW[[#This Row],[Concat]],Vagas!$H:$H,Vagas!$D:$D,"",0)</f>
        <v>0</v>
      </c>
    </row>
    <row r="6509" spans="1:8" x14ac:dyDescent="0.25">
      <c r="A6509" s="2">
        <v>44636</v>
      </c>
      <c r="B6509" s="1" t="s">
        <v>49</v>
      </c>
      <c r="C6509">
        <v>17918</v>
      </c>
      <c r="D6509" s="1" t="s">
        <v>265</v>
      </c>
      <c r="E6509" s="1" t="s">
        <v>4</v>
      </c>
      <c r="F6509">
        <v>42</v>
      </c>
      <c r="G6509" s="1" t="str">
        <f>Ocupacao_DW[[#This Row],[data]]&amp;Ocupacao_DW[[#This Row],[profissional_id]]&amp;Ocupacao_DW[[#This Row],[local_id]]</f>
        <v>446361791842</v>
      </c>
      <c r="H6509" s="1">
        <f>_xlfn.XLOOKUP(Ocupacao_DW[[#This Row],[Concat]],Vagas!$H:$H,Vagas!$D:$D,"",0)</f>
        <v>0</v>
      </c>
    </row>
    <row r="6510" spans="1:8" x14ac:dyDescent="0.25">
      <c r="A6510" s="2">
        <v>44635</v>
      </c>
      <c r="B6510" s="1" t="s">
        <v>43</v>
      </c>
      <c r="C6510">
        <v>57</v>
      </c>
      <c r="D6510" s="1" t="s">
        <v>169</v>
      </c>
      <c r="E6510" s="1" t="s">
        <v>6</v>
      </c>
      <c r="F6510">
        <v>2</v>
      </c>
      <c r="G6510" s="1" t="str">
        <f>Ocupacao_DW[[#This Row],[data]]&amp;Ocupacao_DW[[#This Row],[profissional_id]]&amp;Ocupacao_DW[[#This Row],[local_id]]</f>
        <v>44635572</v>
      </c>
      <c r="H6510" s="1">
        <f>_xlfn.XLOOKUP(Ocupacao_DW[[#This Row],[Concat]],Vagas!$H:$H,Vagas!$D:$D,"",0)</f>
        <v>0</v>
      </c>
    </row>
    <row r="6511" spans="1:8" x14ac:dyDescent="0.25">
      <c r="A6511" s="2">
        <v>44638</v>
      </c>
      <c r="B6511" s="1" t="s">
        <v>72</v>
      </c>
      <c r="C6511">
        <v>1794</v>
      </c>
      <c r="D6511" s="1" t="s">
        <v>235</v>
      </c>
      <c r="E6511" s="1" t="s">
        <v>4</v>
      </c>
      <c r="F6511">
        <v>46</v>
      </c>
      <c r="G6511" s="1" t="str">
        <f>Ocupacao_DW[[#This Row],[data]]&amp;Ocupacao_DW[[#This Row],[profissional_id]]&amp;Ocupacao_DW[[#This Row],[local_id]]</f>
        <v>44638179446</v>
      </c>
      <c r="H6511" s="1">
        <f>_xlfn.XLOOKUP(Ocupacao_DW[[#This Row],[Concat]],Vagas!$H:$H,Vagas!$D:$D,"",0)</f>
        <v>0</v>
      </c>
    </row>
    <row r="6512" spans="1:8" x14ac:dyDescent="0.25">
      <c r="A6512" s="2">
        <v>44635</v>
      </c>
      <c r="B6512" s="1" t="s">
        <v>66</v>
      </c>
      <c r="C6512">
        <v>1343</v>
      </c>
      <c r="D6512" s="1" t="s">
        <v>263</v>
      </c>
      <c r="E6512" s="1" t="s">
        <v>200</v>
      </c>
      <c r="F6512">
        <v>80</v>
      </c>
      <c r="G6512" s="1" t="str">
        <f>Ocupacao_DW[[#This Row],[data]]&amp;Ocupacao_DW[[#This Row],[profissional_id]]&amp;Ocupacao_DW[[#This Row],[local_id]]</f>
        <v>44635134380</v>
      </c>
      <c r="H6512" s="1">
        <f>_xlfn.XLOOKUP(Ocupacao_DW[[#This Row],[Concat]],Vagas!$H:$H,Vagas!$D:$D,"",0)</f>
        <v>0</v>
      </c>
    </row>
    <row r="6513" spans="1:8" x14ac:dyDescent="0.25">
      <c r="A6513" s="2">
        <v>44637</v>
      </c>
      <c r="B6513" s="1" t="s">
        <v>52</v>
      </c>
      <c r="C6513">
        <v>60</v>
      </c>
      <c r="D6513" s="1" t="s">
        <v>217</v>
      </c>
      <c r="E6513" s="1" t="s">
        <v>167</v>
      </c>
      <c r="F6513">
        <v>346</v>
      </c>
      <c r="G6513" s="1" t="str">
        <f>Ocupacao_DW[[#This Row],[data]]&amp;Ocupacao_DW[[#This Row],[profissional_id]]&amp;Ocupacao_DW[[#This Row],[local_id]]</f>
        <v>4463760346</v>
      </c>
      <c r="H6513" s="1">
        <f>_xlfn.XLOOKUP(Ocupacao_DW[[#This Row],[Concat]],Vagas!$H:$H,Vagas!$D:$D,"",0)</f>
        <v>0</v>
      </c>
    </row>
    <row r="6514" spans="1:8" x14ac:dyDescent="0.25">
      <c r="A6514" s="2">
        <v>44643</v>
      </c>
      <c r="B6514" s="1" t="s">
        <v>60</v>
      </c>
      <c r="C6514">
        <v>14326</v>
      </c>
      <c r="D6514" s="1" t="s">
        <v>220</v>
      </c>
      <c r="E6514" s="1" t="s">
        <v>4</v>
      </c>
      <c r="F6514">
        <v>43</v>
      </c>
      <c r="G6514" s="1" t="str">
        <f>Ocupacao_DW[[#This Row],[data]]&amp;Ocupacao_DW[[#This Row],[profissional_id]]&amp;Ocupacao_DW[[#This Row],[local_id]]</f>
        <v>446431432643</v>
      </c>
      <c r="H6514" s="1">
        <f>_xlfn.XLOOKUP(Ocupacao_DW[[#This Row],[Concat]],Vagas!$H:$H,Vagas!$D:$D,"",0)</f>
        <v>0</v>
      </c>
    </row>
    <row r="6515" spans="1:8" x14ac:dyDescent="0.25">
      <c r="A6515" s="2">
        <v>44648</v>
      </c>
      <c r="B6515" s="1" t="s">
        <v>55</v>
      </c>
      <c r="C6515">
        <v>12669</v>
      </c>
      <c r="D6515" s="1" t="s">
        <v>223</v>
      </c>
      <c r="E6515" s="1" t="s">
        <v>6</v>
      </c>
      <c r="F6515">
        <v>6</v>
      </c>
      <c r="G6515" s="1" t="str">
        <f>Ocupacao_DW[[#This Row],[data]]&amp;Ocupacao_DW[[#This Row],[profissional_id]]&amp;Ocupacao_DW[[#This Row],[local_id]]</f>
        <v>44648126696</v>
      </c>
      <c r="H6515" s="1">
        <f>_xlfn.XLOOKUP(Ocupacao_DW[[#This Row],[Concat]],Vagas!$H:$H,Vagas!$D:$D,"",0)</f>
        <v>0</v>
      </c>
    </row>
    <row r="6516" spans="1:8" x14ac:dyDescent="0.25">
      <c r="A6516" s="2">
        <v>44645</v>
      </c>
      <c r="B6516" s="1" t="s">
        <v>52</v>
      </c>
      <c r="C6516">
        <v>57</v>
      </c>
      <c r="D6516" s="1" t="s">
        <v>169</v>
      </c>
      <c r="E6516" s="1" t="s">
        <v>6</v>
      </c>
      <c r="F6516">
        <v>8</v>
      </c>
      <c r="G6516" s="1" t="str">
        <f>Ocupacao_DW[[#This Row],[data]]&amp;Ocupacao_DW[[#This Row],[profissional_id]]&amp;Ocupacao_DW[[#This Row],[local_id]]</f>
        <v>44645578</v>
      </c>
      <c r="H6516" s="1">
        <f>_xlfn.XLOOKUP(Ocupacao_DW[[#This Row],[Concat]],Vagas!$H:$H,Vagas!$D:$D,"",0)</f>
        <v>0</v>
      </c>
    </row>
    <row r="6517" spans="1:8" x14ac:dyDescent="0.25">
      <c r="A6517" s="2">
        <v>44638</v>
      </c>
      <c r="B6517" s="1" t="s">
        <v>56</v>
      </c>
      <c r="C6517">
        <v>13660</v>
      </c>
      <c r="D6517" s="1" t="s">
        <v>250</v>
      </c>
      <c r="E6517" s="1" t="s">
        <v>5</v>
      </c>
      <c r="F6517">
        <v>15</v>
      </c>
      <c r="G6517" s="1" t="str">
        <f>Ocupacao_DW[[#This Row],[data]]&amp;Ocupacao_DW[[#This Row],[profissional_id]]&amp;Ocupacao_DW[[#This Row],[local_id]]</f>
        <v>446381366015</v>
      </c>
      <c r="H6517" s="1">
        <f>_xlfn.XLOOKUP(Ocupacao_DW[[#This Row],[Concat]],Vagas!$H:$H,Vagas!$D:$D,"",0)</f>
        <v>0</v>
      </c>
    </row>
    <row r="6518" spans="1:8" x14ac:dyDescent="0.25">
      <c r="A6518" s="2">
        <v>44641</v>
      </c>
      <c r="B6518" s="1" t="s">
        <v>55</v>
      </c>
      <c r="C6518">
        <v>60</v>
      </c>
      <c r="D6518" s="1" t="s">
        <v>217</v>
      </c>
      <c r="E6518" s="1" t="s">
        <v>167</v>
      </c>
      <c r="F6518">
        <v>345</v>
      </c>
      <c r="G6518" s="1" t="str">
        <f>Ocupacao_DW[[#This Row],[data]]&amp;Ocupacao_DW[[#This Row],[profissional_id]]&amp;Ocupacao_DW[[#This Row],[local_id]]</f>
        <v>4464160345</v>
      </c>
      <c r="H6518" s="1">
        <f>_xlfn.XLOOKUP(Ocupacao_DW[[#This Row],[Concat]],Vagas!$H:$H,Vagas!$D:$D,"",0)</f>
        <v>0</v>
      </c>
    </row>
    <row r="6519" spans="1:8" x14ac:dyDescent="0.25">
      <c r="A6519" s="2">
        <v>44641</v>
      </c>
      <c r="B6519" s="1" t="s">
        <v>56</v>
      </c>
      <c r="C6519">
        <v>5927</v>
      </c>
      <c r="D6519" s="1" t="s">
        <v>226</v>
      </c>
      <c r="E6519" s="1" t="s">
        <v>5</v>
      </c>
      <c r="F6519">
        <v>17</v>
      </c>
      <c r="G6519" s="1" t="str">
        <f>Ocupacao_DW[[#This Row],[data]]&amp;Ocupacao_DW[[#This Row],[profissional_id]]&amp;Ocupacao_DW[[#This Row],[local_id]]</f>
        <v>44641592717</v>
      </c>
      <c r="H6519" s="1">
        <f>_xlfn.XLOOKUP(Ocupacao_DW[[#This Row],[Concat]],Vagas!$H:$H,Vagas!$D:$D,"",0)</f>
        <v>0</v>
      </c>
    </row>
    <row r="6520" spans="1:8" x14ac:dyDescent="0.25">
      <c r="A6520" s="2">
        <v>44657</v>
      </c>
      <c r="B6520" s="1" t="s">
        <v>55</v>
      </c>
      <c r="C6520">
        <v>73</v>
      </c>
      <c r="D6520" s="1" t="s">
        <v>171</v>
      </c>
      <c r="E6520" s="1" t="s">
        <v>6</v>
      </c>
      <c r="F6520">
        <v>5</v>
      </c>
      <c r="G6520" s="1" t="str">
        <f>Ocupacao_DW[[#This Row],[data]]&amp;Ocupacao_DW[[#This Row],[profissional_id]]&amp;Ocupacao_DW[[#This Row],[local_id]]</f>
        <v>44657735</v>
      </c>
      <c r="H6520" s="1">
        <f>_xlfn.XLOOKUP(Ocupacao_DW[[#This Row],[Concat]],Vagas!$H:$H,Vagas!$D:$D,"",0)</f>
        <v>0</v>
      </c>
    </row>
    <row r="6521" spans="1:8" x14ac:dyDescent="0.25">
      <c r="A6521" s="2">
        <v>44640</v>
      </c>
      <c r="B6521" s="1" t="s">
        <v>66</v>
      </c>
      <c r="C6521">
        <v>97</v>
      </c>
      <c r="D6521" s="1" t="s">
        <v>243</v>
      </c>
      <c r="E6521" s="1" t="s">
        <v>167</v>
      </c>
      <c r="F6521">
        <v>342</v>
      </c>
      <c r="G6521" s="1" t="str">
        <f>Ocupacao_DW[[#This Row],[data]]&amp;Ocupacao_DW[[#This Row],[profissional_id]]&amp;Ocupacao_DW[[#This Row],[local_id]]</f>
        <v>4464097342</v>
      </c>
      <c r="H6521" s="1">
        <f>_xlfn.XLOOKUP(Ocupacao_DW[[#This Row],[Concat]],Vagas!$H:$H,Vagas!$D:$D,"",0)</f>
        <v>0</v>
      </c>
    </row>
    <row r="6522" spans="1:8" x14ac:dyDescent="0.25">
      <c r="A6522" s="2">
        <v>44641</v>
      </c>
      <c r="B6522" s="1" t="s">
        <v>55</v>
      </c>
      <c r="C6522">
        <v>60</v>
      </c>
      <c r="D6522" s="1" t="s">
        <v>217</v>
      </c>
      <c r="E6522" s="1" t="s">
        <v>167</v>
      </c>
      <c r="F6522">
        <v>345</v>
      </c>
      <c r="G6522" s="1" t="str">
        <f>Ocupacao_DW[[#This Row],[data]]&amp;Ocupacao_DW[[#This Row],[profissional_id]]&amp;Ocupacao_DW[[#This Row],[local_id]]</f>
        <v>4464160345</v>
      </c>
      <c r="H6522" s="1">
        <f>_xlfn.XLOOKUP(Ocupacao_DW[[#This Row],[Concat]],Vagas!$H:$H,Vagas!$D:$D,"",0)</f>
        <v>0</v>
      </c>
    </row>
    <row r="6523" spans="1:8" x14ac:dyDescent="0.25">
      <c r="A6523" s="2">
        <v>44641</v>
      </c>
      <c r="B6523" s="1" t="s">
        <v>72</v>
      </c>
      <c r="C6523">
        <v>6046</v>
      </c>
      <c r="D6523" s="1" t="s">
        <v>222</v>
      </c>
      <c r="E6523" s="1" t="s">
        <v>7</v>
      </c>
      <c r="F6523">
        <v>62</v>
      </c>
      <c r="G6523" s="1" t="str">
        <f>Ocupacao_DW[[#This Row],[data]]&amp;Ocupacao_DW[[#This Row],[profissional_id]]&amp;Ocupacao_DW[[#This Row],[local_id]]</f>
        <v>44641604662</v>
      </c>
      <c r="H6523" s="1">
        <f>_xlfn.XLOOKUP(Ocupacao_DW[[#This Row],[Concat]],Vagas!$H:$H,Vagas!$D:$D,"",0)</f>
        <v>0</v>
      </c>
    </row>
    <row r="6524" spans="1:8" x14ac:dyDescent="0.25">
      <c r="A6524" s="2">
        <v>44643</v>
      </c>
      <c r="B6524" s="1" t="s">
        <v>52</v>
      </c>
      <c r="C6524">
        <v>10691</v>
      </c>
      <c r="D6524" s="1" t="s">
        <v>181</v>
      </c>
      <c r="E6524" s="1" t="s">
        <v>6</v>
      </c>
      <c r="F6524">
        <v>9</v>
      </c>
      <c r="G6524" s="1" t="str">
        <f>Ocupacao_DW[[#This Row],[data]]&amp;Ocupacao_DW[[#This Row],[profissional_id]]&amp;Ocupacao_DW[[#This Row],[local_id]]</f>
        <v>44643106919</v>
      </c>
      <c r="H6524" s="1">
        <f>_xlfn.XLOOKUP(Ocupacao_DW[[#This Row],[Concat]],Vagas!$H:$H,Vagas!$D:$D,"",0)</f>
        <v>0</v>
      </c>
    </row>
    <row r="6525" spans="1:8" x14ac:dyDescent="0.25">
      <c r="A6525" s="2">
        <v>44636</v>
      </c>
      <c r="B6525" s="1" t="s">
        <v>62</v>
      </c>
      <c r="C6525">
        <v>3502</v>
      </c>
      <c r="D6525" s="1" t="s">
        <v>214</v>
      </c>
      <c r="E6525" s="1" t="s">
        <v>5</v>
      </c>
      <c r="F6525">
        <v>16</v>
      </c>
      <c r="G6525" s="1" t="str">
        <f>Ocupacao_DW[[#This Row],[data]]&amp;Ocupacao_DW[[#This Row],[profissional_id]]&amp;Ocupacao_DW[[#This Row],[local_id]]</f>
        <v>44636350216</v>
      </c>
      <c r="H6525" s="1">
        <f>_xlfn.XLOOKUP(Ocupacao_DW[[#This Row],[Concat]],Vagas!$H:$H,Vagas!$D:$D,"",0)</f>
        <v>0</v>
      </c>
    </row>
    <row r="6526" spans="1:8" x14ac:dyDescent="0.25">
      <c r="A6526" s="2">
        <v>44655</v>
      </c>
      <c r="B6526" s="1" t="s">
        <v>55</v>
      </c>
      <c r="C6526">
        <v>2984</v>
      </c>
      <c r="D6526" s="1" t="s">
        <v>185</v>
      </c>
      <c r="E6526" s="1" t="s">
        <v>6</v>
      </c>
      <c r="F6526">
        <v>7</v>
      </c>
      <c r="G6526" s="1" t="str">
        <f>Ocupacao_DW[[#This Row],[data]]&amp;Ocupacao_DW[[#This Row],[profissional_id]]&amp;Ocupacao_DW[[#This Row],[local_id]]</f>
        <v>4465529847</v>
      </c>
      <c r="H6526" s="1">
        <f>_xlfn.XLOOKUP(Ocupacao_DW[[#This Row],[Concat]],Vagas!$H:$H,Vagas!$D:$D,"",0)</f>
        <v>0</v>
      </c>
    </row>
    <row r="6527" spans="1:8" x14ac:dyDescent="0.25">
      <c r="A6527" s="2">
        <v>44635</v>
      </c>
      <c r="B6527" s="1" t="s">
        <v>47</v>
      </c>
      <c r="C6527">
        <v>11207</v>
      </c>
      <c r="D6527" s="1" t="s">
        <v>251</v>
      </c>
      <c r="E6527" s="1" t="s">
        <v>4</v>
      </c>
      <c r="F6527">
        <v>51</v>
      </c>
      <c r="G6527" s="1" t="str">
        <f>Ocupacao_DW[[#This Row],[data]]&amp;Ocupacao_DW[[#This Row],[profissional_id]]&amp;Ocupacao_DW[[#This Row],[local_id]]</f>
        <v>446351120751</v>
      </c>
      <c r="H6527" s="1">
        <f>_xlfn.XLOOKUP(Ocupacao_DW[[#This Row],[Concat]],Vagas!$H:$H,Vagas!$D:$D,"",0)</f>
        <v>0</v>
      </c>
    </row>
    <row r="6528" spans="1:8" x14ac:dyDescent="0.25">
      <c r="A6528" s="2">
        <v>44643</v>
      </c>
      <c r="B6528" s="1" t="s">
        <v>52</v>
      </c>
      <c r="C6528">
        <v>10691</v>
      </c>
      <c r="D6528" s="1" t="s">
        <v>181</v>
      </c>
      <c r="E6528" s="1" t="s">
        <v>6</v>
      </c>
      <c r="F6528">
        <v>9</v>
      </c>
      <c r="G6528" s="1" t="str">
        <f>Ocupacao_DW[[#This Row],[data]]&amp;Ocupacao_DW[[#This Row],[profissional_id]]&amp;Ocupacao_DW[[#This Row],[local_id]]</f>
        <v>44643106919</v>
      </c>
      <c r="H6528" s="1">
        <f>_xlfn.XLOOKUP(Ocupacao_DW[[#This Row],[Concat]],Vagas!$H:$H,Vagas!$D:$D,"",0)</f>
        <v>0</v>
      </c>
    </row>
    <row r="6529" spans="1:8" x14ac:dyDescent="0.25">
      <c r="A6529" s="2">
        <v>44635</v>
      </c>
      <c r="B6529" s="1" t="s">
        <v>49</v>
      </c>
      <c r="C6529">
        <v>10600</v>
      </c>
      <c r="D6529" s="1" t="s">
        <v>248</v>
      </c>
      <c r="E6529" s="1" t="s">
        <v>200</v>
      </c>
      <c r="F6529">
        <v>86</v>
      </c>
      <c r="G6529" s="1" t="str">
        <f>Ocupacao_DW[[#This Row],[data]]&amp;Ocupacao_DW[[#This Row],[profissional_id]]&amp;Ocupacao_DW[[#This Row],[local_id]]</f>
        <v>446351060086</v>
      </c>
      <c r="H6529" s="1">
        <f>_xlfn.XLOOKUP(Ocupacao_DW[[#This Row],[Concat]],Vagas!$H:$H,Vagas!$D:$D,"",0)</f>
        <v>0</v>
      </c>
    </row>
    <row r="6530" spans="1:8" x14ac:dyDescent="0.25">
      <c r="A6530" s="2">
        <v>44648</v>
      </c>
      <c r="B6530" s="1" t="s">
        <v>55</v>
      </c>
      <c r="C6530">
        <v>60</v>
      </c>
      <c r="D6530" s="1" t="s">
        <v>217</v>
      </c>
      <c r="E6530" s="1" t="s">
        <v>167</v>
      </c>
      <c r="F6530">
        <v>345</v>
      </c>
      <c r="G6530" s="1" t="str">
        <f>Ocupacao_DW[[#This Row],[data]]&amp;Ocupacao_DW[[#This Row],[profissional_id]]&amp;Ocupacao_DW[[#This Row],[local_id]]</f>
        <v>4464860345</v>
      </c>
      <c r="H6530" s="1">
        <f>_xlfn.XLOOKUP(Ocupacao_DW[[#This Row],[Concat]],Vagas!$H:$H,Vagas!$D:$D,"",0)</f>
        <v>0</v>
      </c>
    </row>
    <row r="6531" spans="1:8" x14ac:dyDescent="0.25">
      <c r="A6531" s="2">
        <v>44643</v>
      </c>
      <c r="B6531" s="1" t="s">
        <v>52</v>
      </c>
      <c r="C6531">
        <v>10691</v>
      </c>
      <c r="D6531" s="1" t="s">
        <v>181</v>
      </c>
      <c r="E6531" s="1" t="s">
        <v>6</v>
      </c>
      <c r="F6531">
        <v>9</v>
      </c>
      <c r="G6531" s="1" t="str">
        <f>Ocupacao_DW[[#This Row],[data]]&amp;Ocupacao_DW[[#This Row],[profissional_id]]&amp;Ocupacao_DW[[#This Row],[local_id]]</f>
        <v>44643106919</v>
      </c>
      <c r="H6531" s="1">
        <f>_xlfn.XLOOKUP(Ocupacao_DW[[#This Row],[Concat]],Vagas!$H:$H,Vagas!$D:$D,"",0)</f>
        <v>0</v>
      </c>
    </row>
    <row r="6532" spans="1:8" x14ac:dyDescent="0.25">
      <c r="A6532" s="2">
        <v>44637</v>
      </c>
      <c r="B6532" s="1" t="s">
        <v>62</v>
      </c>
      <c r="C6532">
        <v>3502</v>
      </c>
      <c r="D6532" s="1" t="s">
        <v>214</v>
      </c>
      <c r="E6532" s="1" t="s">
        <v>5</v>
      </c>
      <c r="F6532">
        <v>16</v>
      </c>
      <c r="G6532" s="1" t="str">
        <f>Ocupacao_DW[[#This Row],[data]]&amp;Ocupacao_DW[[#This Row],[profissional_id]]&amp;Ocupacao_DW[[#This Row],[local_id]]</f>
        <v>44637350216</v>
      </c>
      <c r="H6532" s="1">
        <f>_xlfn.XLOOKUP(Ocupacao_DW[[#This Row],[Concat]],Vagas!$H:$H,Vagas!$D:$D,"",0)</f>
        <v>0</v>
      </c>
    </row>
    <row r="6533" spans="1:8" x14ac:dyDescent="0.25">
      <c r="A6533" s="2">
        <v>44635</v>
      </c>
      <c r="B6533" s="1"/>
      <c r="C6533">
        <v>17883</v>
      </c>
      <c r="D6533" s="1" t="s">
        <v>277</v>
      </c>
      <c r="E6533" s="1" t="s">
        <v>4</v>
      </c>
      <c r="F6533">
        <v>351</v>
      </c>
      <c r="G6533" s="1" t="str">
        <f>Ocupacao_DW[[#This Row],[data]]&amp;Ocupacao_DW[[#This Row],[profissional_id]]&amp;Ocupacao_DW[[#This Row],[local_id]]</f>
        <v>4463517883351</v>
      </c>
      <c r="H6533" s="1">
        <f>_xlfn.XLOOKUP(Ocupacao_DW[[#This Row],[Concat]],Vagas!$H:$H,Vagas!$D:$D,"",0)</f>
        <v>0</v>
      </c>
    </row>
    <row r="6534" spans="1:8" x14ac:dyDescent="0.25">
      <c r="A6534" s="2">
        <v>44642</v>
      </c>
      <c r="B6534" s="1" t="s">
        <v>67</v>
      </c>
      <c r="C6534">
        <v>7290</v>
      </c>
      <c r="D6534" s="1" t="s">
        <v>247</v>
      </c>
      <c r="E6534" s="1" t="s">
        <v>5</v>
      </c>
      <c r="F6534">
        <v>18</v>
      </c>
      <c r="G6534" s="1" t="str">
        <f>Ocupacao_DW[[#This Row],[data]]&amp;Ocupacao_DW[[#This Row],[profissional_id]]&amp;Ocupacao_DW[[#This Row],[local_id]]</f>
        <v>44642729018</v>
      </c>
      <c r="H6534" s="1">
        <f>_xlfn.XLOOKUP(Ocupacao_DW[[#This Row],[Concat]],Vagas!$H:$H,Vagas!$D:$D,"",0)</f>
        <v>0</v>
      </c>
    </row>
    <row r="6535" spans="1:8" x14ac:dyDescent="0.25">
      <c r="A6535" s="2">
        <v>44641</v>
      </c>
      <c r="B6535" s="1" t="s">
        <v>52</v>
      </c>
      <c r="C6535">
        <v>10595</v>
      </c>
      <c r="D6535" s="1" t="s">
        <v>218</v>
      </c>
      <c r="E6535" s="1" t="s">
        <v>200</v>
      </c>
      <c r="F6535">
        <v>78</v>
      </c>
      <c r="G6535" s="1" t="str">
        <f>Ocupacao_DW[[#This Row],[data]]&amp;Ocupacao_DW[[#This Row],[profissional_id]]&amp;Ocupacao_DW[[#This Row],[local_id]]</f>
        <v>446411059578</v>
      </c>
      <c r="H6535" s="1">
        <f>_xlfn.XLOOKUP(Ocupacao_DW[[#This Row],[Concat]],Vagas!$H:$H,Vagas!$D:$D,"",0)</f>
        <v>0</v>
      </c>
    </row>
    <row r="6536" spans="1:8" x14ac:dyDescent="0.25">
      <c r="A6536" s="2">
        <v>44643</v>
      </c>
      <c r="B6536" s="1" t="s">
        <v>52</v>
      </c>
      <c r="C6536">
        <v>10691</v>
      </c>
      <c r="D6536" s="1" t="s">
        <v>181</v>
      </c>
      <c r="E6536" s="1" t="s">
        <v>6</v>
      </c>
      <c r="F6536">
        <v>9</v>
      </c>
      <c r="G6536" s="1" t="str">
        <f>Ocupacao_DW[[#This Row],[data]]&amp;Ocupacao_DW[[#This Row],[profissional_id]]&amp;Ocupacao_DW[[#This Row],[local_id]]</f>
        <v>44643106919</v>
      </c>
      <c r="H6536" s="1">
        <f>_xlfn.XLOOKUP(Ocupacao_DW[[#This Row],[Concat]],Vagas!$H:$H,Vagas!$D:$D,"",0)</f>
        <v>0</v>
      </c>
    </row>
    <row r="6537" spans="1:8" x14ac:dyDescent="0.25">
      <c r="A6537" s="2">
        <v>44636</v>
      </c>
      <c r="B6537" s="1" t="s">
        <v>44</v>
      </c>
      <c r="C6537">
        <v>17908</v>
      </c>
      <c r="D6537" s="1" t="s">
        <v>296</v>
      </c>
      <c r="E6537" s="1" t="s">
        <v>167</v>
      </c>
      <c r="F6537">
        <v>25</v>
      </c>
      <c r="G6537" s="1" t="str">
        <f>Ocupacao_DW[[#This Row],[data]]&amp;Ocupacao_DW[[#This Row],[profissional_id]]&amp;Ocupacao_DW[[#This Row],[local_id]]</f>
        <v>446361790825</v>
      </c>
      <c r="H6537" s="1">
        <f>_xlfn.XLOOKUP(Ocupacao_DW[[#This Row],[Concat]],Vagas!$H:$H,Vagas!$D:$D,"",0)</f>
        <v>12</v>
      </c>
    </row>
    <row r="6538" spans="1:8" x14ac:dyDescent="0.25">
      <c r="A6538" s="2">
        <v>44639</v>
      </c>
      <c r="B6538" s="1" t="s">
        <v>49</v>
      </c>
      <c r="C6538">
        <v>13756</v>
      </c>
      <c r="D6538" s="1" t="s">
        <v>202</v>
      </c>
      <c r="E6538" s="1" t="s">
        <v>4</v>
      </c>
      <c r="F6538">
        <v>43</v>
      </c>
      <c r="G6538" s="1" t="str">
        <f>Ocupacao_DW[[#This Row],[data]]&amp;Ocupacao_DW[[#This Row],[profissional_id]]&amp;Ocupacao_DW[[#This Row],[local_id]]</f>
        <v>446391375643</v>
      </c>
      <c r="H6538" s="1">
        <f>_xlfn.XLOOKUP(Ocupacao_DW[[#This Row],[Concat]],Vagas!$H:$H,Vagas!$D:$D,"",0)</f>
        <v>0</v>
      </c>
    </row>
    <row r="6539" spans="1:8" x14ac:dyDescent="0.25">
      <c r="A6539" s="2">
        <v>44641</v>
      </c>
      <c r="B6539" s="1" t="s">
        <v>49</v>
      </c>
      <c r="C6539">
        <v>81</v>
      </c>
      <c r="D6539" s="1" t="s">
        <v>170</v>
      </c>
      <c r="E6539" s="1" t="s">
        <v>4</v>
      </c>
      <c r="F6539">
        <v>41</v>
      </c>
      <c r="G6539" s="1" t="str">
        <f>Ocupacao_DW[[#This Row],[data]]&amp;Ocupacao_DW[[#This Row],[profissional_id]]&amp;Ocupacao_DW[[#This Row],[local_id]]</f>
        <v>446418141</v>
      </c>
      <c r="H6539" s="1">
        <f>_xlfn.XLOOKUP(Ocupacao_DW[[#This Row],[Concat]],Vagas!$H:$H,Vagas!$D:$D,"",0)</f>
        <v>0</v>
      </c>
    </row>
    <row r="6540" spans="1:8" x14ac:dyDescent="0.25">
      <c r="A6540" s="2">
        <v>44643</v>
      </c>
      <c r="B6540" s="1" t="s">
        <v>52</v>
      </c>
      <c r="C6540">
        <v>10691</v>
      </c>
      <c r="D6540" s="1" t="s">
        <v>181</v>
      </c>
      <c r="E6540" s="1" t="s">
        <v>6</v>
      </c>
      <c r="F6540">
        <v>9</v>
      </c>
      <c r="G6540" s="1" t="str">
        <f>Ocupacao_DW[[#This Row],[data]]&amp;Ocupacao_DW[[#This Row],[profissional_id]]&amp;Ocupacao_DW[[#This Row],[local_id]]</f>
        <v>44643106919</v>
      </c>
      <c r="H6540" s="1">
        <f>_xlfn.XLOOKUP(Ocupacao_DW[[#This Row],[Concat]],Vagas!$H:$H,Vagas!$D:$D,"",0)</f>
        <v>0</v>
      </c>
    </row>
    <row r="6541" spans="1:8" x14ac:dyDescent="0.25">
      <c r="A6541" s="2">
        <v>44648</v>
      </c>
      <c r="B6541" s="1" t="s">
        <v>68</v>
      </c>
      <c r="C6541">
        <v>9138</v>
      </c>
      <c r="D6541" s="1" t="s">
        <v>184</v>
      </c>
      <c r="E6541" s="1" t="s">
        <v>5</v>
      </c>
      <c r="F6541">
        <v>14</v>
      </c>
      <c r="G6541" s="1" t="str">
        <f>Ocupacao_DW[[#This Row],[data]]&amp;Ocupacao_DW[[#This Row],[profissional_id]]&amp;Ocupacao_DW[[#This Row],[local_id]]</f>
        <v>44648913814</v>
      </c>
      <c r="H6541" s="1">
        <f>_xlfn.XLOOKUP(Ocupacao_DW[[#This Row],[Concat]],Vagas!$H:$H,Vagas!$D:$D,"",0)</f>
        <v>0</v>
      </c>
    </row>
    <row r="6542" spans="1:8" x14ac:dyDescent="0.25">
      <c r="A6542" s="2">
        <v>44638</v>
      </c>
      <c r="B6542" s="1" t="s">
        <v>66</v>
      </c>
      <c r="C6542">
        <v>3158</v>
      </c>
      <c r="D6542" s="1" t="s">
        <v>267</v>
      </c>
      <c r="E6542" s="1" t="s">
        <v>167</v>
      </c>
      <c r="F6542">
        <v>342</v>
      </c>
      <c r="G6542" s="1" t="str">
        <f>Ocupacao_DW[[#This Row],[data]]&amp;Ocupacao_DW[[#This Row],[profissional_id]]&amp;Ocupacao_DW[[#This Row],[local_id]]</f>
        <v>446383158342</v>
      </c>
      <c r="H6542" s="1">
        <f>_xlfn.XLOOKUP(Ocupacao_DW[[#This Row],[Concat]],Vagas!$H:$H,Vagas!$D:$D,"",0)</f>
        <v>0</v>
      </c>
    </row>
    <row r="6543" spans="1:8" x14ac:dyDescent="0.25">
      <c r="A6543" s="2">
        <v>44643</v>
      </c>
      <c r="B6543" s="1" t="s">
        <v>52</v>
      </c>
      <c r="C6543">
        <v>10691</v>
      </c>
      <c r="D6543" s="1" t="s">
        <v>181</v>
      </c>
      <c r="E6543" s="1" t="s">
        <v>6</v>
      </c>
      <c r="F6543">
        <v>9</v>
      </c>
      <c r="G6543" s="1" t="str">
        <f>Ocupacao_DW[[#This Row],[data]]&amp;Ocupacao_DW[[#This Row],[profissional_id]]&amp;Ocupacao_DW[[#This Row],[local_id]]</f>
        <v>44643106919</v>
      </c>
      <c r="H6543" s="1">
        <f>_xlfn.XLOOKUP(Ocupacao_DW[[#This Row],[Concat]],Vagas!$H:$H,Vagas!$D:$D,"",0)</f>
        <v>0</v>
      </c>
    </row>
    <row r="6544" spans="1:8" x14ac:dyDescent="0.25">
      <c r="A6544" s="2">
        <v>44638</v>
      </c>
      <c r="B6544" s="1" t="s">
        <v>43</v>
      </c>
      <c r="C6544">
        <v>17864</v>
      </c>
      <c r="D6544" s="1" t="s">
        <v>234</v>
      </c>
      <c r="E6544" s="1" t="s">
        <v>7</v>
      </c>
      <c r="F6544">
        <v>60</v>
      </c>
      <c r="G6544" s="1" t="str">
        <f>Ocupacao_DW[[#This Row],[data]]&amp;Ocupacao_DW[[#This Row],[profissional_id]]&amp;Ocupacao_DW[[#This Row],[local_id]]</f>
        <v>446381786460</v>
      </c>
      <c r="H6544" s="1">
        <f>_xlfn.XLOOKUP(Ocupacao_DW[[#This Row],[Concat]],Vagas!$H:$H,Vagas!$D:$D,"",0)</f>
        <v>0</v>
      </c>
    </row>
    <row r="6545" spans="1:8" x14ac:dyDescent="0.25">
      <c r="A6545" s="2">
        <v>44643</v>
      </c>
      <c r="B6545" s="1" t="s">
        <v>52</v>
      </c>
      <c r="C6545">
        <v>10691</v>
      </c>
      <c r="D6545" s="1" t="s">
        <v>181</v>
      </c>
      <c r="E6545" s="1" t="s">
        <v>6</v>
      </c>
      <c r="F6545">
        <v>9</v>
      </c>
      <c r="G6545" s="1" t="str">
        <f>Ocupacao_DW[[#This Row],[data]]&amp;Ocupacao_DW[[#This Row],[profissional_id]]&amp;Ocupacao_DW[[#This Row],[local_id]]</f>
        <v>44643106919</v>
      </c>
      <c r="H6545" s="1">
        <f>_xlfn.XLOOKUP(Ocupacao_DW[[#This Row],[Concat]],Vagas!$H:$H,Vagas!$D:$D,"",0)</f>
        <v>0</v>
      </c>
    </row>
    <row r="6546" spans="1:8" x14ac:dyDescent="0.25">
      <c r="A6546" s="2">
        <v>44637</v>
      </c>
      <c r="B6546" s="1" t="s">
        <v>49</v>
      </c>
      <c r="C6546">
        <v>266</v>
      </c>
      <c r="D6546" s="1" t="s">
        <v>201</v>
      </c>
      <c r="E6546" s="1" t="s">
        <v>4</v>
      </c>
      <c r="F6546">
        <v>42</v>
      </c>
      <c r="G6546" s="1" t="str">
        <f>Ocupacao_DW[[#This Row],[data]]&amp;Ocupacao_DW[[#This Row],[profissional_id]]&amp;Ocupacao_DW[[#This Row],[local_id]]</f>
        <v>4463726642</v>
      </c>
      <c r="H6546" s="1">
        <f>_xlfn.XLOOKUP(Ocupacao_DW[[#This Row],[Concat]],Vagas!$H:$H,Vagas!$D:$D,"",0)</f>
        <v>0</v>
      </c>
    </row>
    <row r="6547" spans="1:8" x14ac:dyDescent="0.25">
      <c r="A6547" s="2">
        <v>44643</v>
      </c>
      <c r="B6547" s="1" t="s">
        <v>51</v>
      </c>
      <c r="C6547">
        <v>12679</v>
      </c>
      <c r="D6547" s="1" t="s">
        <v>192</v>
      </c>
      <c r="E6547" s="1" t="s">
        <v>5</v>
      </c>
      <c r="F6547">
        <v>11</v>
      </c>
      <c r="G6547" s="1" t="str">
        <f>Ocupacao_DW[[#This Row],[data]]&amp;Ocupacao_DW[[#This Row],[profissional_id]]&amp;Ocupacao_DW[[#This Row],[local_id]]</f>
        <v>446431267911</v>
      </c>
      <c r="H6547" s="1">
        <f>_xlfn.XLOOKUP(Ocupacao_DW[[#This Row],[Concat]],Vagas!$H:$H,Vagas!$D:$D,"",0)</f>
        <v>0</v>
      </c>
    </row>
    <row r="6548" spans="1:8" x14ac:dyDescent="0.25">
      <c r="A6548" s="2">
        <v>44636</v>
      </c>
      <c r="B6548" s="1" t="s">
        <v>21</v>
      </c>
      <c r="C6548">
        <v>17890</v>
      </c>
      <c r="D6548" s="1" t="s">
        <v>270</v>
      </c>
      <c r="E6548" s="1" t="s">
        <v>6</v>
      </c>
      <c r="F6548">
        <v>4</v>
      </c>
      <c r="G6548" s="1" t="str">
        <f>Ocupacao_DW[[#This Row],[data]]&amp;Ocupacao_DW[[#This Row],[profissional_id]]&amp;Ocupacao_DW[[#This Row],[local_id]]</f>
        <v>44636178904</v>
      </c>
      <c r="H6548" s="1">
        <f>_xlfn.XLOOKUP(Ocupacao_DW[[#This Row],[Concat]],Vagas!$H:$H,Vagas!$D:$D,"",0)</f>
        <v>5</v>
      </c>
    </row>
    <row r="6549" spans="1:8" x14ac:dyDescent="0.25">
      <c r="A6549" s="2">
        <v>44642</v>
      </c>
      <c r="B6549" s="1" t="s">
        <v>47</v>
      </c>
      <c r="C6549">
        <v>111</v>
      </c>
      <c r="D6549" s="1" t="s">
        <v>199</v>
      </c>
      <c r="E6549" s="1" t="s">
        <v>4</v>
      </c>
      <c r="F6549">
        <v>51</v>
      </c>
      <c r="G6549" s="1" t="str">
        <f>Ocupacao_DW[[#This Row],[data]]&amp;Ocupacao_DW[[#This Row],[profissional_id]]&amp;Ocupacao_DW[[#This Row],[local_id]]</f>
        <v>4464211151</v>
      </c>
      <c r="H6549" s="1">
        <f>_xlfn.XLOOKUP(Ocupacao_DW[[#This Row],[Concat]],Vagas!$H:$H,Vagas!$D:$D,"",0)</f>
        <v>25</v>
      </c>
    </row>
    <row r="6550" spans="1:8" x14ac:dyDescent="0.25">
      <c r="A6550" s="2">
        <v>44644</v>
      </c>
      <c r="B6550" s="1" t="s">
        <v>22</v>
      </c>
      <c r="C6550">
        <v>17893</v>
      </c>
      <c r="D6550" s="1" t="s">
        <v>275</v>
      </c>
      <c r="E6550" s="1" t="s">
        <v>6</v>
      </c>
      <c r="F6550">
        <v>4</v>
      </c>
      <c r="G6550" s="1" t="str">
        <f>Ocupacao_DW[[#This Row],[data]]&amp;Ocupacao_DW[[#This Row],[profissional_id]]&amp;Ocupacao_DW[[#This Row],[local_id]]</f>
        <v>44644178934</v>
      </c>
      <c r="H6550" s="1">
        <f>_xlfn.XLOOKUP(Ocupacao_DW[[#This Row],[Concat]],Vagas!$H:$H,Vagas!$D:$D,"",0)</f>
        <v>6</v>
      </c>
    </row>
    <row r="6551" spans="1:8" x14ac:dyDescent="0.25">
      <c r="A6551" s="2">
        <v>44637</v>
      </c>
      <c r="B6551" s="1" t="s">
        <v>22</v>
      </c>
      <c r="C6551">
        <v>17893</v>
      </c>
      <c r="D6551" s="1" t="s">
        <v>275</v>
      </c>
      <c r="E6551" s="1" t="s">
        <v>6</v>
      </c>
      <c r="F6551">
        <v>4</v>
      </c>
      <c r="G6551" s="1" t="str">
        <f>Ocupacao_DW[[#This Row],[data]]&amp;Ocupacao_DW[[#This Row],[profissional_id]]&amp;Ocupacao_DW[[#This Row],[local_id]]</f>
        <v>44637178934</v>
      </c>
      <c r="H6551" s="1">
        <f>_xlfn.XLOOKUP(Ocupacao_DW[[#This Row],[Concat]],Vagas!$H:$H,Vagas!$D:$D,"",0)</f>
        <v>5</v>
      </c>
    </row>
    <row r="6552" spans="1:8" x14ac:dyDescent="0.25">
      <c r="A6552" s="2">
        <v>44641</v>
      </c>
      <c r="B6552" s="1" t="s">
        <v>21</v>
      </c>
      <c r="C6552">
        <v>17890</v>
      </c>
      <c r="D6552" s="1" t="s">
        <v>270</v>
      </c>
      <c r="E6552" s="1" t="s">
        <v>6</v>
      </c>
      <c r="F6552">
        <v>4</v>
      </c>
      <c r="G6552" s="1" t="str">
        <f>Ocupacao_DW[[#This Row],[data]]&amp;Ocupacao_DW[[#This Row],[profissional_id]]&amp;Ocupacao_DW[[#This Row],[local_id]]</f>
        <v>44641178904</v>
      </c>
      <c r="H6552" s="1">
        <f>_xlfn.XLOOKUP(Ocupacao_DW[[#This Row],[Concat]],Vagas!$H:$H,Vagas!$D:$D,"",0)</f>
        <v>6</v>
      </c>
    </row>
    <row r="6553" spans="1:8" x14ac:dyDescent="0.25">
      <c r="A6553" s="2">
        <v>44643</v>
      </c>
      <c r="B6553" s="1" t="s">
        <v>52</v>
      </c>
      <c r="C6553">
        <v>10691</v>
      </c>
      <c r="D6553" s="1" t="s">
        <v>181</v>
      </c>
      <c r="E6553" s="1" t="s">
        <v>6</v>
      </c>
      <c r="F6553">
        <v>9</v>
      </c>
      <c r="G6553" s="1" t="str">
        <f>Ocupacao_DW[[#This Row],[data]]&amp;Ocupacao_DW[[#This Row],[profissional_id]]&amp;Ocupacao_DW[[#This Row],[local_id]]</f>
        <v>44643106919</v>
      </c>
      <c r="H6553" s="1">
        <f>_xlfn.XLOOKUP(Ocupacao_DW[[#This Row],[Concat]],Vagas!$H:$H,Vagas!$D:$D,"",0)</f>
        <v>0</v>
      </c>
    </row>
    <row r="6554" spans="1:8" x14ac:dyDescent="0.25">
      <c r="A6554" s="2">
        <v>44637</v>
      </c>
      <c r="B6554" s="1" t="s">
        <v>22</v>
      </c>
      <c r="C6554">
        <v>17893</v>
      </c>
      <c r="D6554" s="1" t="s">
        <v>275</v>
      </c>
      <c r="E6554" s="1" t="s">
        <v>6</v>
      </c>
      <c r="F6554">
        <v>4</v>
      </c>
      <c r="G6554" s="1" t="str">
        <f>Ocupacao_DW[[#This Row],[data]]&amp;Ocupacao_DW[[#This Row],[profissional_id]]&amp;Ocupacao_DW[[#This Row],[local_id]]</f>
        <v>44637178934</v>
      </c>
      <c r="H6554" s="1">
        <f>_xlfn.XLOOKUP(Ocupacao_DW[[#This Row],[Concat]],Vagas!$H:$H,Vagas!$D:$D,"",0)</f>
        <v>5</v>
      </c>
    </row>
    <row r="6555" spans="1:8" x14ac:dyDescent="0.25">
      <c r="A6555" s="2">
        <v>44636</v>
      </c>
      <c r="B6555" s="1" t="s">
        <v>62</v>
      </c>
      <c r="C6555">
        <v>10799</v>
      </c>
      <c r="D6555" s="1" t="s">
        <v>204</v>
      </c>
      <c r="E6555" s="1" t="s">
        <v>5</v>
      </c>
      <c r="F6555">
        <v>18</v>
      </c>
      <c r="G6555" s="1" t="str">
        <f>Ocupacao_DW[[#This Row],[data]]&amp;Ocupacao_DW[[#This Row],[profissional_id]]&amp;Ocupacao_DW[[#This Row],[local_id]]</f>
        <v>446361079918</v>
      </c>
      <c r="H6555" s="1">
        <f>_xlfn.XLOOKUP(Ocupacao_DW[[#This Row],[Concat]],Vagas!$H:$H,Vagas!$D:$D,"",0)</f>
        <v>0</v>
      </c>
    </row>
    <row r="6556" spans="1:8" x14ac:dyDescent="0.25">
      <c r="A6556" s="2">
        <v>44635</v>
      </c>
      <c r="B6556" s="1" t="s">
        <v>21</v>
      </c>
      <c r="C6556">
        <v>17892</v>
      </c>
      <c r="D6556" s="1" t="s">
        <v>287</v>
      </c>
      <c r="E6556" s="1" t="s">
        <v>7</v>
      </c>
      <c r="F6556">
        <v>55</v>
      </c>
      <c r="G6556" s="1" t="str">
        <f>Ocupacao_DW[[#This Row],[data]]&amp;Ocupacao_DW[[#This Row],[profissional_id]]&amp;Ocupacao_DW[[#This Row],[local_id]]</f>
        <v>446351789255</v>
      </c>
      <c r="H6556" s="1">
        <f>_xlfn.XLOOKUP(Ocupacao_DW[[#This Row],[Concat]],Vagas!$H:$H,Vagas!$D:$D,"",0)</f>
        <v>1</v>
      </c>
    </row>
    <row r="6557" spans="1:8" x14ac:dyDescent="0.25">
      <c r="A6557" s="2">
        <v>44636</v>
      </c>
      <c r="B6557" s="1" t="s">
        <v>52</v>
      </c>
      <c r="C6557">
        <v>60</v>
      </c>
      <c r="D6557" s="1" t="s">
        <v>217</v>
      </c>
      <c r="E6557" s="1" t="s">
        <v>6</v>
      </c>
      <c r="F6557">
        <v>8</v>
      </c>
      <c r="G6557" s="1" t="str">
        <f>Ocupacao_DW[[#This Row],[data]]&amp;Ocupacao_DW[[#This Row],[profissional_id]]&amp;Ocupacao_DW[[#This Row],[local_id]]</f>
        <v>44636608</v>
      </c>
      <c r="H6557" s="1">
        <f>_xlfn.XLOOKUP(Ocupacao_DW[[#This Row],[Concat]],Vagas!$H:$H,Vagas!$D:$D,"",0)</f>
        <v>0</v>
      </c>
    </row>
    <row r="6558" spans="1:8" x14ac:dyDescent="0.25">
      <c r="A6558" s="2">
        <v>44637</v>
      </c>
      <c r="B6558" s="1" t="s">
        <v>46</v>
      </c>
      <c r="C6558">
        <v>17888</v>
      </c>
      <c r="D6558" s="1" t="s">
        <v>255</v>
      </c>
      <c r="E6558" s="1" t="s">
        <v>4</v>
      </c>
      <c r="F6558">
        <v>40</v>
      </c>
      <c r="G6558" s="1" t="str">
        <f>Ocupacao_DW[[#This Row],[data]]&amp;Ocupacao_DW[[#This Row],[profissional_id]]&amp;Ocupacao_DW[[#This Row],[local_id]]</f>
        <v>446371788840</v>
      </c>
      <c r="H6558" s="1">
        <f>_xlfn.XLOOKUP(Ocupacao_DW[[#This Row],[Concat]],Vagas!$H:$H,Vagas!$D:$D,"",0)</f>
        <v>20</v>
      </c>
    </row>
    <row r="6559" spans="1:8" x14ac:dyDescent="0.25">
      <c r="A6559" s="2">
        <v>44638</v>
      </c>
      <c r="B6559" s="1" t="s">
        <v>72</v>
      </c>
      <c r="C6559">
        <v>1794</v>
      </c>
      <c r="D6559" s="1" t="s">
        <v>235</v>
      </c>
      <c r="E6559" s="1" t="s">
        <v>4</v>
      </c>
      <c r="F6559">
        <v>46</v>
      </c>
      <c r="G6559" s="1" t="str">
        <f>Ocupacao_DW[[#This Row],[data]]&amp;Ocupacao_DW[[#This Row],[profissional_id]]&amp;Ocupacao_DW[[#This Row],[local_id]]</f>
        <v>44638179446</v>
      </c>
      <c r="H6559" s="1">
        <f>_xlfn.XLOOKUP(Ocupacao_DW[[#This Row],[Concat]],Vagas!$H:$H,Vagas!$D:$D,"",0)</f>
        <v>0</v>
      </c>
    </row>
    <row r="6560" spans="1:8" x14ac:dyDescent="0.25">
      <c r="A6560" s="2">
        <v>44646</v>
      </c>
      <c r="B6560" s="1" t="s">
        <v>47</v>
      </c>
      <c r="C6560">
        <v>111</v>
      </c>
      <c r="D6560" s="1" t="s">
        <v>199</v>
      </c>
      <c r="E6560" s="1" t="s">
        <v>4</v>
      </c>
      <c r="F6560">
        <v>51</v>
      </c>
      <c r="G6560" s="1" t="str">
        <f>Ocupacao_DW[[#This Row],[data]]&amp;Ocupacao_DW[[#This Row],[profissional_id]]&amp;Ocupacao_DW[[#This Row],[local_id]]</f>
        <v>4464611151</v>
      </c>
      <c r="H6560" s="1">
        <f>_xlfn.XLOOKUP(Ocupacao_DW[[#This Row],[Concat]],Vagas!$H:$H,Vagas!$D:$D,"",0)</f>
        <v>31</v>
      </c>
    </row>
    <row r="6561" spans="1:8" x14ac:dyDescent="0.25">
      <c r="A6561" s="2">
        <v>44638</v>
      </c>
      <c r="B6561" s="1" t="s">
        <v>56</v>
      </c>
      <c r="C6561">
        <v>5927</v>
      </c>
      <c r="D6561" s="1" t="s">
        <v>226</v>
      </c>
      <c r="E6561" s="1" t="s">
        <v>5</v>
      </c>
      <c r="F6561">
        <v>17</v>
      </c>
      <c r="G6561" s="1" t="str">
        <f>Ocupacao_DW[[#This Row],[data]]&amp;Ocupacao_DW[[#This Row],[profissional_id]]&amp;Ocupacao_DW[[#This Row],[local_id]]</f>
        <v>44638592717</v>
      </c>
      <c r="H6561" s="1">
        <f>_xlfn.XLOOKUP(Ocupacao_DW[[#This Row],[Concat]],Vagas!$H:$H,Vagas!$D:$D,"",0)</f>
        <v>0</v>
      </c>
    </row>
    <row r="6562" spans="1:8" x14ac:dyDescent="0.25">
      <c r="A6562" s="2">
        <v>44635</v>
      </c>
      <c r="B6562" s="1" t="s">
        <v>43</v>
      </c>
      <c r="C6562">
        <v>57</v>
      </c>
      <c r="D6562" s="1" t="s">
        <v>169</v>
      </c>
      <c r="E6562" s="1" t="s">
        <v>6</v>
      </c>
      <c r="F6562">
        <v>2</v>
      </c>
      <c r="G6562" s="1" t="str">
        <f>Ocupacao_DW[[#This Row],[data]]&amp;Ocupacao_DW[[#This Row],[profissional_id]]&amp;Ocupacao_DW[[#This Row],[local_id]]</f>
        <v>44635572</v>
      </c>
      <c r="H6562" s="1">
        <f>_xlfn.XLOOKUP(Ocupacao_DW[[#This Row],[Concat]],Vagas!$H:$H,Vagas!$D:$D,"",0)</f>
        <v>0</v>
      </c>
    </row>
    <row r="6563" spans="1:8" x14ac:dyDescent="0.25">
      <c r="A6563" s="2">
        <v>44648</v>
      </c>
      <c r="B6563" s="1" t="s">
        <v>51</v>
      </c>
      <c r="C6563">
        <v>17931</v>
      </c>
      <c r="D6563" s="1" t="s">
        <v>286</v>
      </c>
      <c r="E6563" s="1" t="s">
        <v>5</v>
      </c>
      <c r="F6563">
        <v>11</v>
      </c>
      <c r="G6563" s="1" t="str">
        <f>Ocupacao_DW[[#This Row],[data]]&amp;Ocupacao_DW[[#This Row],[profissional_id]]&amp;Ocupacao_DW[[#This Row],[local_id]]</f>
        <v>446481793111</v>
      </c>
      <c r="H6563" s="1">
        <f>_xlfn.XLOOKUP(Ocupacao_DW[[#This Row],[Concat]],Vagas!$H:$H,Vagas!$D:$D,"",0)</f>
        <v>0</v>
      </c>
    </row>
    <row r="6564" spans="1:8" x14ac:dyDescent="0.25">
      <c r="A6564" s="2">
        <v>44638</v>
      </c>
      <c r="B6564" s="1" t="s">
        <v>47</v>
      </c>
      <c r="C6564">
        <v>13371</v>
      </c>
      <c r="D6564" s="1" t="s">
        <v>205</v>
      </c>
      <c r="E6564" s="1" t="s">
        <v>4</v>
      </c>
      <c r="F6564">
        <v>336</v>
      </c>
      <c r="G6564" s="1" t="str">
        <f>Ocupacao_DW[[#This Row],[data]]&amp;Ocupacao_DW[[#This Row],[profissional_id]]&amp;Ocupacao_DW[[#This Row],[local_id]]</f>
        <v>4463813371336</v>
      </c>
      <c r="H6564" s="1" t="str">
        <f>_xlfn.XLOOKUP(Ocupacao_DW[[#This Row],[Concat]],Vagas!$H:$H,Vagas!$D:$D,"",0)</f>
        <v/>
      </c>
    </row>
    <row r="6565" spans="1:8" x14ac:dyDescent="0.25">
      <c r="A6565" s="2">
        <v>44635</v>
      </c>
      <c r="B6565" s="1" t="s">
        <v>54</v>
      </c>
      <c r="C6565">
        <v>12623</v>
      </c>
      <c r="D6565" s="1" t="s">
        <v>258</v>
      </c>
      <c r="E6565" s="1" t="s">
        <v>5</v>
      </c>
      <c r="F6565">
        <v>11</v>
      </c>
      <c r="G6565" s="1" t="str">
        <f>Ocupacao_DW[[#This Row],[data]]&amp;Ocupacao_DW[[#This Row],[profissional_id]]&amp;Ocupacao_DW[[#This Row],[local_id]]</f>
        <v>446351262311</v>
      </c>
      <c r="H6565" s="1">
        <f>_xlfn.XLOOKUP(Ocupacao_DW[[#This Row],[Concat]],Vagas!$H:$H,Vagas!$D:$D,"",0)</f>
        <v>0</v>
      </c>
    </row>
    <row r="6566" spans="1:8" x14ac:dyDescent="0.25">
      <c r="A6566" s="2">
        <v>44638</v>
      </c>
      <c r="B6566" s="1" t="s">
        <v>52</v>
      </c>
      <c r="C6566">
        <v>55</v>
      </c>
      <c r="D6566" s="1" t="s">
        <v>244</v>
      </c>
      <c r="E6566" s="1" t="s">
        <v>7</v>
      </c>
      <c r="F6566">
        <v>68</v>
      </c>
      <c r="G6566" s="1" t="str">
        <f>Ocupacao_DW[[#This Row],[data]]&amp;Ocupacao_DW[[#This Row],[profissional_id]]&amp;Ocupacao_DW[[#This Row],[local_id]]</f>
        <v>446385568</v>
      </c>
      <c r="H6566" s="1">
        <f>_xlfn.XLOOKUP(Ocupacao_DW[[#This Row],[Concat]],Vagas!$H:$H,Vagas!$D:$D,"",0)</f>
        <v>0</v>
      </c>
    </row>
    <row r="6567" spans="1:8" x14ac:dyDescent="0.25">
      <c r="A6567" s="2">
        <v>44646</v>
      </c>
      <c r="B6567" s="1" t="s">
        <v>46</v>
      </c>
      <c r="C6567">
        <v>17888</v>
      </c>
      <c r="D6567" s="1" t="s">
        <v>255</v>
      </c>
      <c r="E6567" s="1" t="s">
        <v>4</v>
      </c>
      <c r="F6567">
        <v>40</v>
      </c>
      <c r="G6567" s="1" t="str">
        <f>Ocupacao_DW[[#This Row],[data]]&amp;Ocupacao_DW[[#This Row],[profissional_id]]&amp;Ocupacao_DW[[#This Row],[local_id]]</f>
        <v>446461788840</v>
      </c>
      <c r="H6567" s="1">
        <f>_xlfn.XLOOKUP(Ocupacao_DW[[#This Row],[Concat]],Vagas!$H:$H,Vagas!$D:$D,"",0)</f>
        <v>6</v>
      </c>
    </row>
    <row r="6568" spans="1:8" x14ac:dyDescent="0.25">
      <c r="A6568" s="2">
        <v>44646</v>
      </c>
      <c r="B6568" s="1" t="s">
        <v>43</v>
      </c>
      <c r="C6568">
        <v>57</v>
      </c>
      <c r="D6568" s="1" t="s">
        <v>169</v>
      </c>
      <c r="E6568" s="1" t="s">
        <v>6</v>
      </c>
      <c r="F6568">
        <v>2</v>
      </c>
      <c r="G6568" s="1" t="str">
        <f>Ocupacao_DW[[#This Row],[data]]&amp;Ocupacao_DW[[#This Row],[profissional_id]]&amp;Ocupacao_DW[[#This Row],[local_id]]</f>
        <v>44646572</v>
      </c>
      <c r="H6568" s="1">
        <f>_xlfn.XLOOKUP(Ocupacao_DW[[#This Row],[Concat]],Vagas!$H:$H,Vagas!$D:$D,"",0)</f>
        <v>0</v>
      </c>
    </row>
    <row r="6569" spans="1:8" x14ac:dyDescent="0.25">
      <c r="A6569" s="2">
        <v>44637</v>
      </c>
      <c r="B6569" s="1" t="s">
        <v>52</v>
      </c>
      <c r="C6569">
        <v>60</v>
      </c>
      <c r="D6569" s="1" t="s">
        <v>217</v>
      </c>
      <c r="E6569" s="1" t="s">
        <v>167</v>
      </c>
      <c r="F6569">
        <v>346</v>
      </c>
      <c r="G6569" s="1" t="str">
        <f>Ocupacao_DW[[#This Row],[data]]&amp;Ocupacao_DW[[#This Row],[profissional_id]]&amp;Ocupacao_DW[[#This Row],[local_id]]</f>
        <v>4463760346</v>
      </c>
      <c r="H6569" s="1">
        <f>_xlfn.XLOOKUP(Ocupacao_DW[[#This Row],[Concat]],Vagas!$H:$H,Vagas!$D:$D,"",0)</f>
        <v>0</v>
      </c>
    </row>
    <row r="6570" spans="1:8" x14ac:dyDescent="0.25">
      <c r="A6570" s="2">
        <v>44648</v>
      </c>
      <c r="B6570" s="1" t="s">
        <v>55</v>
      </c>
      <c r="C6570">
        <v>6392</v>
      </c>
      <c r="D6570" s="1" t="s">
        <v>173</v>
      </c>
      <c r="E6570" s="1" t="s">
        <v>6</v>
      </c>
      <c r="F6570">
        <v>5</v>
      </c>
      <c r="G6570" s="1" t="str">
        <f>Ocupacao_DW[[#This Row],[data]]&amp;Ocupacao_DW[[#This Row],[profissional_id]]&amp;Ocupacao_DW[[#This Row],[local_id]]</f>
        <v>4464863925</v>
      </c>
      <c r="H6570" s="1">
        <f>_xlfn.XLOOKUP(Ocupacao_DW[[#This Row],[Concat]],Vagas!$H:$H,Vagas!$D:$D,"",0)</f>
        <v>0</v>
      </c>
    </row>
    <row r="6571" spans="1:8" x14ac:dyDescent="0.25">
      <c r="A6571" s="2">
        <v>44641</v>
      </c>
      <c r="B6571" s="1" t="s">
        <v>54</v>
      </c>
      <c r="C6571">
        <v>10941</v>
      </c>
      <c r="D6571" s="1" t="s">
        <v>224</v>
      </c>
      <c r="E6571" s="1" t="s">
        <v>5</v>
      </c>
      <c r="F6571">
        <v>11</v>
      </c>
      <c r="G6571" s="1" t="str">
        <f>Ocupacao_DW[[#This Row],[data]]&amp;Ocupacao_DW[[#This Row],[profissional_id]]&amp;Ocupacao_DW[[#This Row],[local_id]]</f>
        <v>446411094111</v>
      </c>
      <c r="H6571" s="1">
        <f>_xlfn.XLOOKUP(Ocupacao_DW[[#This Row],[Concat]],Vagas!$H:$H,Vagas!$D:$D,"",0)</f>
        <v>0</v>
      </c>
    </row>
    <row r="6572" spans="1:8" x14ac:dyDescent="0.25">
      <c r="A6572" s="2">
        <v>44636</v>
      </c>
      <c r="B6572" s="1" t="s">
        <v>46</v>
      </c>
      <c r="C6572">
        <v>17888</v>
      </c>
      <c r="D6572" s="1" t="s">
        <v>255</v>
      </c>
      <c r="E6572" s="1" t="s">
        <v>4</v>
      </c>
      <c r="F6572">
        <v>40</v>
      </c>
      <c r="G6572" s="1" t="str">
        <f>Ocupacao_DW[[#This Row],[data]]&amp;Ocupacao_DW[[#This Row],[profissional_id]]&amp;Ocupacao_DW[[#This Row],[local_id]]</f>
        <v>446361788840</v>
      </c>
      <c r="H6572" s="1">
        <f>_xlfn.XLOOKUP(Ocupacao_DW[[#This Row],[Concat]],Vagas!$H:$H,Vagas!$D:$D,"",0)</f>
        <v>17</v>
      </c>
    </row>
    <row r="6573" spans="1:8" x14ac:dyDescent="0.25">
      <c r="A6573" s="2">
        <v>44638</v>
      </c>
      <c r="B6573" s="1" t="s">
        <v>49</v>
      </c>
      <c r="C6573">
        <v>81</v>
      </c>
      <c r="D6573" s="1" t="s">
        <v>170</v>
      </c>
      <c r="E6573" s="1" t="s">
        <v>4</v>
      </c>
      <c r="F6573">
        <v>41</v>
      </c>
      <c r="G6573" s="1" t="str">
        <f>Ocupacao_DW[[#This Row],[data]]&amp;Ocupacao_DW[[#This Row],[profissional_id]]&amp;Ocupacao_DW[[#This Row],[local_id]]</f>
        <v>446388141</v>
      </c>
      <c r="H6573" s="1">
        <f>_xlfn.XLOOKUP(Ocupacao_DW[[#This Row],[Concat]],Vagas!$H:$H,Vagas!$D:$D,"",0)</f>
        <v>0</v>
      </c>
    </row>
    <row r="6574" spans="1:8" x14ac:dyDescent="0.25">
      <c r="A6574" s="2">
        <v>44637</v>
      </c>
      <c r="B6574" s="1" t="s">
        <v>52</v>
      </c>
      <c r="C6574">
        <v>10691</v>
      </c>
      <c r="D6574" s="1" t="s">
        <v>181</v>
      </c>
      <c r="E6574" s="1" t="s">
        <v>6</v>
      </c>
      <c r="F6574">
        <v>9</v>
      </c>
      <c r="G6574" s="1" t="str">
        <f>Ocupacao_DW[[#This Row],[data]]&amp;Ocupacao_DW[[#This Row],[profissional_id]]&amp;Ocupacao_DW[[#This Row],[local_id]]</f>
        <v>44637106919</v>
      </c>
      <c r="H6574" s="1">
        <f>_xlfn.XLOOKUP(Ocupacao_DW[[#This Row],[Concat]],Vagas!$H:$H,Vagas!$D:$D,"",0)</f>
        <v>0</v>
      </c>
    </row>
    <row r="6575" spans="1:8" x14ac:dyDescent="0.25">
      <c r="A6575" s="2">
        <v>44638</v>
      </c>
      <c r="B6575" s="1" t="s">
        <v>49</v>
      </c>
      <c r="C6575">
        <v>6430</v>
      </c>
      <c r="D6575" s="1" t="s">
        <v>188</v>
      </c>
      <c r="E6575" s="1" t="s">
        <v>4</v>
      </c>
      <c r="F6575">
        <v>42</v>
      </c>
      <c r="G6575" s="1" t="str">
        <f>Ocupacao_DW[[#This Row],[data]]&amp;Ocupacao_DW[[#This Row],[profissional_id]]&amp;Ocupacao_DW[[#This Row],[local_id]]</f>
        <v>44638643042</v>
      </c>
      <c r="H6575" s="1">
        <f>_xlfn.XLOOKUP(Ocupacao_DW[[#This Row],[Concat]],Vagas!$H:$H,Vagas!$D:$D,"",0)</f>
        <v>0</v>
      </c>
    </row>
    <row r="6576" spans="1:8" x14ac:dyDescent="0.25">
      <c r="A6576" s="2">
        <v>44642</v>
      </c>
      <c r="B6576" s="1" t="s">
        <v>47</v>
      </c>
      <c r="C6576">
        <v>111</v>
      </c>
      <c r="D6576" s="1" t="s">
        <v>199</v>
      </c>
      <c r="E6576" s="1" t="s">
        <v>4</v>
      </c>
      <c r="F6576">
        <v>51</v>
      </c>
      <c r="G6576" s="1" t="str">
        <f>Ocupacao_DW[[#This Row],[data]]&amp;Ocupacao_DW[[#This Row],[profissional_id]]&amp;Ocupacao_DW[[#This Row],[local_id]]</f>
        <v>4464211151</v>
      </c>
      <c r="H6576" s="1">
        <f>_xlfn.XLOOKUP(Ocupacao_DW[[#This Row],[Concat]],Vagas!$H:$H,Vagas!$D:$D,"",0)</f>
        <v>25</v>
      </c>
    </row>
    <row r="6577" spans="1:8" x14ac:dyDescent="0.25">
      <c r="A6577" s="2">
        <v>44636</v>
      </c>
      <c r="B6577" s="1" t="s">
        <v>46</v>
      </c>
      <c r="C6577">
        <v>17888</v>
      </c>
      <c r="D6577" s="1" t="s">
        <v>255</v>
      </c>
      <c r="E6577" s="1" t="s">
        <v>4</v>
      </c>
      <c r="F6577">
        <v>40</v>
      </c>
      <c r="G6577" s="1" t="str">
        <f>Ocupacao_DW[[#This Row],[data]]&amp;Ocupacao_DW[[#This Row],[profissional_id]]&amp;Ocupacao_DW[[#This Row],[local_id]]</f>
        <v>446361788840</v>
      </c>
      <c r="H6577" s="1">
        <f>_xlfn.XLOOKUP(Ocupacao_DW[[#This Row],[Concat]],Vagas!$H:$H,Vagas!$D:$D,"",0)</f>
        <v>17</v>
      </c>
    </row>
    <row r="6578" spans="1:8" x14ac:dyDescent="0.25">
      <c r="A6578" s="2">
        <v>44644</v>
      </c>
      <c r="B6578" s="1" t="s">
        <v>67</v>
      </c>
      <c r="C6578">
        <v>10717</v>
      </c>
      <c r="D6578" s="1" t="s">
        <v>245</v>
      </c>
      <c r="E6578" s="1" t="s">
        <v>7</v>
      </c>
      <c r="F6578">
        <v>69</v>
      </c>
      <c r="G6578" s="1" t="str">
        <f>Ocupacao_DW[[#This Row],[data]]&amp;Ocupacao_DW[[#This Row],[profissional_id]]&amp;Ocupacao_DW[[#This Row],[local_id]]</f>
        <v>446441071769</v>
      </c>
      <c r="H6578" s="1">
        <f>_xlfn.XLOOKUP(Ocupacao_DW[[#This Row],[Concat]],Vagas!$H:$H,Vagas!$D:$D,"",0)</f>
        <v>0</v>
      </c>
    </row>
    <row r="6579" spans="1:8" x14ac:dyDescent="0.25">
      <c r="A6579" s="2">
        <v>44639</v>
      </c>
      <c r="B6579" s="1" t="s">
        <v>64</v>
      </c>
      <c r="C6579">
        <v>531</v>
      </c>
      <c r="D6579" s="1" t="s">
        <v>213</v>
      </c>
      <c r="E6579" s="1" t="s">
        <v>200</v>
      </c>
      <c r="F6579">
        <v>78</v>
      </c>
      <c r="G6579" s="1" t="str">
        <f>Ocupacao_DW[[#This Row],[data]]&amp;Ocupacao_DW[[#This Row],[profissional_id]]&amp;Ocupacao_DW[[#This Row],[local_id]]</f>
        <v>4463953178</v>
      </c>
      <c r="H6579" s="1">
        <f>_xlfn.XLOOKUP(Ocupacao_DW[[#This Row],[Concat]],Vagas!$H:$H,Vagas!$D:$D,"",0)</f>
        <v>0</v>
      </c>
    </row>
    <row r="6580" spans="1:8" x14ac:dyDescent="0.25">
      <c r="A6580" s="2">
        <v>44636</v>
      </c>
      <c r="B6580" s="1" t="s">
        <v>62</v>
      </c>
      <c r="C6580">
        <v>2567</v>
      </c>
      <c r="D6580" s="1" t="s">
        <v>198</v>
      </c>
      <c r="E6580" s="1" t="s">
        <v>5</v>
      </c>
      <c r="F6580">
        <v>349</v>
      </c>
      <c r="G6580" s="1" t="str">
        <f>Ocupacao_DW[[#This Row],[data]]&amp;Ocupacao_DW[[#This Row],[profissional_id]]&amp;Ocupacao_DW[[#This Row],[local_id]]</f>
        <v>446362567349</v>
      </c>
      <c r="H6580" s="1">
        <f>_xlfn.XLOOKUP(Ocupacao_DW[[#This Row],[Concat]],Vagas!$H:$H,Vagas!$D:$D,"",0)</f>
        <v>0</v>
      </c>
    </row>
    <row r="6581" spans="1:8" x14ac:dyDescent="0.25">
      <c r="A6581" s="2">
        <v>44636</v>
      </c>
      <c r="B6581" s="1" t="s">
        <v>43</v>
      </c>
      <c r="C6581">
        <v>57</v>
      </c>
      <c r="D6581" s="1" t="s">
        <v>169</v>
      </c>
      <c r="E6581" s="1" t="s">
        <v>6</v>
      </c>
      <c r="F6581">
        <v>2</v>
      </c>
      <c r="G6581" s="1" t="str">
        <f>Ocupacao_DW[[#This Row],[data]]&amp;Ocupacao_DW[[#This Row],[profissional_id]]&amp;Ocupacao_DW[[#This Row],[local_id]]</f>
        <v>44636572</v>
      </c>
      <c r="H6581" s="1">
        <f>_xlfn.XLOOKUP(Ocupacao_DW[[#This Row],[Concat]],Vagas!$H:$H,Vagas!$D:$D,"",0)</f>
        <v>2</v>
      </c>
    </row>
    <row r="6582" spans="1:8" x14ac:dyDescent="0.25">
      <c r="A6582" s="2">
        <v>44638</v>
      </c>
      <c r="B6582" s="1" t="s">
        <v>46</v>
      </c>
      <c r="C6582">
        <v>17888</v>
      </c>
      <c r="D6582" s="1" t="s">
        <v>255</v>
      </c>
      <c r="E6582" s="1" t="s">
        <v>4</v>
      </c>
      <c r="F6582">
        <v>40</v>
      </c>
      <c r="G6582" s="1" t="str">
        <f>Ocupacao_DW[[#This Row],[data]]&amp;Ocupacao_DW[[#This Row],[profissional_id]]&amp;Ocupacao_DW[[#This Row],[local_id]]</f>
        <v>446381788840</v>
      </c>
      <c r="H6582" s="1">
        <f>_xlfn.XLOOKUP(Ocupacao_DW[[#This Row],[Concat]],Vagas!$H:$H,Vagas!$D:$D,"",0)</f>
        <v>21</v>
      </c>
    </row>
    <row r="6583" spans="1:8" x14ac:dyDescent="0.25">
      <c r="A6583" s="2">
        <v>44636</v>
      </c>
      <c r="B6583" s="1" t="s">
        <v>46</v>
      </c>
      <c r="C6583">
        <v>17888</v>
      </c>
      <c r="D6583" s="1" t="s">
        <v>255</v>
      </c>
      <c r="E6583" s="1" t="s">
        <v>4</v>
      </c>
      <c r="F6583">
        <v>40</v>
      </c>
      <c r="G6583" s="1" t="str">
        <f>Ocupacao_DW[[#This Row],[data]]&amp;Ocupacao_DW[[#This Row],[profissional_id]]&amp;Ocupacao_DW[[#This Row],[local_id]]</f>
        <v>446361788840</v>
      </c>
      <c r="H6583" s="1">
        <f>_xlfn.XLOOKUP(Ocupacao_DW[[#This Row],[Concat]],Vagas!$H:$H,Vagas!$D:$D,"",0)</f>
        <v>17</v>
      </c>
    </row>
    <row r="6584" spans="1:8" x14ac:dyDescent="0.25">
      <c r="A6584" s="2">
        <v>44646</v>
      </c>
      <c r="B6584" s="1" t="s">
        <v>46</v>
      </c>
      <c r="C6584">
        <v>17888</v>
      </c>
      <c r="D6584" s="1" t="s">
        <v>255</v>
      </c>
      <c r="E6584" s="1" t="s">
        <v>4</v>
      </c>
      <c r="F6584">
        <v>40</v>
      </c>
      <c r="G6584" s="1" t="str">
        <f>Ocupacao_DW[[#This Row],[data]]&amp;Ocupacao_DW[[#This Row],[profissional_id]]&amp;Ocupacao_DW[[#This Row],[local_id]]</f>
        <v>446461788840</v>
      </c>
      <c r="H6584" s="1">
        <f>_xlfn.XLOOKUP(Ocupacao_DW[[#This Row],[Concat]],Vagas!$H:$H,Vagas!$D:$D,"",0)</f>
        <v>6</v>
      </c>
    </row>
    <row r="6585" spans="1:8" x14ac:dyDescent="0.25">
      <c r="A6585" s="2">
        <v>44646</v>
      </c>
      <c r="B6585" s="1" t="s">
        <v>49</v>
      </c>
      <c r="C6585">
        <v>13756</v>
      </c>
      <c r="D6585" s="1" t="s">
        <v>202</v>
      </c>
      <c r="E6585" s="1" t="s">
        <v>4</v>
      </c>
      <c r="F6585">
        <v>43</v>
      </c>
      <c r="G6585" s="1" t="str">
        <f>Ocupacao_DW[[#This Row],[data]]&amp;Ocupacao_DW[[#This Row],[profissional_id]]&amp;Ocupacao_DW[[#This Row],[local_id]]</f>
        <v>446461375643</v>
      </c>
      <c r="H6585" s="1">
        <f>_xlfn.XLOOKUP(Ocupacao_DW[[#This Row],[Concat]],Vagas!$H:$H,Vagas!$D:$D,"",0)</f>
        <v>0</v>
      </c>
    </row>
    <row r="6586" spans="1:8" x14ac:dyDescent="0.25">
      <c r="A6586" s="2">
        <v>44639</v>
      </c>
      <c r="B6586" s="1" t="s">
        <v>46</v>
      </c>
      <c r="C6586">
        <v>17888</v>
      </c>
      <c r="D6586" s="1" t="s">
        <v>255</v>
      </c>
      <c r="E6586" s="1" t="s">
        <v>4</v>
      </c>
      <c r="F6586">
        <v>40</v>
      </c>
      <c r="G6586" s="1" t="str">
        <f>Ocupacao_DW[[#This Row],[data]]&amp;Ocupacao_DW[[#This Row],[profissional_id]]&amp;Ocupacao_DW[[#This Row],[local_id]]</f>
        <v>446391788840</v>
      </c>
      <c r="H6586" s="1">
        <f>_xlfn.XLOOKUP(Ocupacao_DW[[#This Row],[Concat]],Vagas!$H:$H,Vagas!$D:$D,"",0)</f>
        <v>10</v>
      </c>
    </row>
    <row r="6587" spans="1:8" x14ac:dyDescent="0.25">
      <c r="A6587" s="2">
        <v>44635</v>
      </c>
      <c r="B6587" s="1" t="s">
        <v>46</v>
      </c>
      <c r="C6587">
        <v>17888</v>
      </c>
      <c r="D6587" s="1" t="s">
        <v>255</v>
      </c>
      <c r="E6587" s="1" t="s">
        <v>4</v>
      </c>
      <c r="F6587">
        <v>40</v>
      </c>
      <c r="G6587" s="1" t="str">
        <f>Ocupacao_DW[[#This Row],[data]]&amp;Ocupacao_DW[[#This Row],[profissional_id]]&amp;Ocupacao_DW[[#This Row],[local_id]]</f>
        <v>446351788840</v>
      </c>
      <c r="H6587" s="1">
        <f>_xlfn.XLOOKUP(Ocupacao_DW[[#This Row],[Concat]],Vagas!$H:$H,Vagas!$D:$D,"",0)</f>
        <v>11</v>
      </c>
    </row>
    <row r="6588" spans="1:8" x14ac:dyDescent="0.25">
      <c r="A6588" s="2">
        <v>44642</v>
      </c>
      <c r="B6588" s="1" t="s">
        <v>43</v>
      </c>
      <c r="C6588">
        <v>57</v>
      </c>
      <c r="D6588" s="1" t="s">
        <v>169</v>
      </c>
      <c r="E6588" s="1" t="s">
        <v>6</v>
      </c>
      <c r="F6588">
        <v>2</v>
      </c>
      <c r="G6588" s="1" t="str">
        <f>Ocupacao_DW[[#This Row],[data]]&amp;Ocupacao_DW[[#This Row],[profissional_id]]&amp;Ocupacao_DW[[#This Row],[local_id]]</f>
        <v>44642572</v>
      </c>
      <c r="H6588" s="1">
        <f>_xlfn.XLOOKUP(Ocupacao_DW[[#This Row],[Concat]],Vagas!$H:$H,Vagas!$D:$D,"",0)</f>
        <v>19</v>
      </c>
    </row>
    <row r="6589" spans="1:8" x14ac:dyDescent="0.25">
      <c r="A6589" s="2">
        <v>44635</v>
      </c>
      <c r="B6589" s="1" t="s">
        <v>20</v>
      </c>
      <c r="C6589">
        <v>174</v>
      </c>
      <c r="D6589" s="1" t="s">
        <v>230</v>
      </c>
      <c r="E6589" s="1" t="s">
        <v>167</v>
      </c>
      <c r="F6589">
        <v>24</v>
      </c>
      <c r="G6589" s="1" t="str">
        <f>Ocupacao_DW[[#This Row],[data]]&amp;Ocupacao_DW[[#This Row],[profissional_id]]&amp;Ocupacao_DW[[#This Row],[local_id]]</f>
        <v>4463517424</v>
      </c>
      <c r="H6589" s="1">
        <f>_xlfn.XLOOKUP(Ocupacao_DW[[#This Row],[Concat]],Vagas!$H:$H,Vagas!$D:$D,"",0)</f>
        <v>66</v>
      </c>
    </row>
    <row r="6590" spans="1:8" x14ac:dyDescent="0.25">
      <c r="A6590" s="2">
        <v>44635</v>
      </c>
      <c r="B6590" s="1" t="s">
        <v>42</v>
      </c>
      <c r="C6590">
        <v>17902</v>
      </c>
      <c r="D6590" s="1" t="s">
        <v>264</v>
      </c>
      <c r="E6590" s="1" t="s">
        <v>4</v>
      </c>
      <c r="F6590">
        <v>39</v>
      </c>
      <c r="G6590" s="1" t="str">
        <f>Ocupacao_DW[[#This Row],[data]]&amp;Ocupacao_DW[[#This Row],[profissional_id]]&amp;Ocupacao_DW[[#This Row],[local_id]]</f>
        <v>446351790239</v>
      </c>
      <c r="H6590" s="1">
        <f>_xlfn.XLOOKUP(Ocupacao_DW[[#This Row],[Concat]],Vagas!$H:$H,Vagas!$D:$D,"",0)</f>
        <v>39</v>
      </c>
    </row>
    <row r="6591" spans="1:8" x14ac:dyDescent="0.25">
      <c r="A6591" s="2">
        <v>44636</v>
      </c>
      <c r="B6591" s="1" t="s">
        <v>65</v>
      </c>
      <c r="C6591">
        <v>13058</v>
      </c>
      <c r="D6591" s="1" t="s">
        <v>256</v>
      </c>
      <c r="E6591" s="1" t="s">
        <v>4</v>
      </c>
      <c r="F6591">
        <v>47</v>
      </c>
      <c r="G6591" s="1" t="str">
        <f>Ocupacao_DW[[#This Row],[data]]&amp;Ocupacao_DW[[#This Row],[profissional_id]]&amp;Ocupacao_DW[[#This Row],[local_id]]</f>
        <v>446361305847</v>
      </c>
      <c r="H6591" s="1">
        <f>_xlfn.XLOOKUP(Ocupacao_DW[[#This Row],[Concat]],Vagas!$H:$H,Vagas!$D:$D,"",0)</f>
        <v>0</v>
      </c>
    </row>
    <row r="6592" spans="1:8" x14ac:dyDescent="0.25">
      <c r="A6592" s="2">
        <v>44635</v>
      </c>
      <c r="B6592" s="1" t="s">
        <v>46</v>
      </c>
      <c r="C6592">
        <v>17888</v>
      </c>
      <c r="D6592" s="1" t="s">
        <v>255</v>
      </c>
      <c r="E6592" s="1" t="s">
        <v>4</v>
      </c>
      <c r="F6592">
        <v>40</v>
      </c>
      <c r="G6592" s="1" t="str">
        <f>Ocupacao_DW[[#This Row],[data]]&amp;Ocupacao_DW[[#This Row],[profissional_id]]&amp;Ocupacao_DW[[#This Row],[local_id]]</f>
        <v>446351788840</v>
      </c>
      <c r="H6592" s="1">
        <f>_xlfn.XLOOKUP(Ocupacao_DW[[#This Row],[Concat]],Vagas!$H:$H,Vagas!$D:$D,"",0)</f>
        <v>11</v>
      </c>
    </row>
    <row r="6593" spans="1:8" x14ac:dyDescent="0.25">
      <c r="A6593" s="2">
        <v>44636</v>
      </c>
      <c r="B6593" s="1" t="s">
        <v>20</v>
      </c>
      <c r="C6593">
        <v>174</v>
      </c>
      <c r="D6593" s="1" t="s">
        <v>230</v>
      </c>
      <c r="E6593" s="1" t="s">
        <v>167</v>
      </c>
      <c r="F6593">
        <v>24</v>
      </c>
      <c r="G6593" s="1" t="str">
        <f>Ocupacao_DW[[#This Row],[data]]&amp;Ocupacao_DW[[#This Row],[profissional_id]]&amp;Ocupacao_DW[[#This Row],[local_id]]</f>
        <v>4463617424</v>
      </c>
      <c r="H6593" s="1">
        <f>_xlfn.XLOOKUP(Ocupacao_DW[[#This Row],[Concat]],Vagas!$H:$H,Vagas!$D:$D,"",0)</f>
        <v>74</v>
      </c>
    </row>
    <row r="6594" spans="1:8" x14ac:dyDescent="0.25">
      <c r="A6594" s="2">
        <v>44635</v>
      </c>
      <c r="B6594" s="1" t="s">
        <v>42</v>
      </c>
      <c r="C6594">
        <v>17902</v>
      </c>
      <c r="D6594" s="1" t="s">
        <v>264</v>
      </c>
      <c r="E6594" s="1" t="s">
        <v>4</v>
      </c>
      <c r="F6594">
        <v>39</v>
      </c>
      <c r="G6594" s="1" t="str">
        <f>Ocupacao_DW[[#This Row],[data]]&amp;Ocupacao_DW[[#This Row],[profissional_id]]&amp;Ocupacao_DW[[#This Row],[local_id]]</f>
        <v>446351790239</v>
      </c>
      <c r="H6594" s="1">
        <f>_xlfn.XLOOKUP(Ocupacao_DW[[#This Row],[Concat]],Vagas!$H:$H,Vagas!$D:$D,"",0)</f>
        <v>39</v>
      </c>
    </row>
    <row r="6595" spans="1:8" x14ac:dyDescent="0.25">
      <c r="A6595" s="2">
        <v>44638</v>
      </c>
      <c r="B6595" s="1" t="s">
        <v>64</v>
      </c>
      <c r="C6595">
        <v>86</v>
      </c>
      <c r="D6595" s="1" t="s">
        <v>175</v>
      </c>
      <c r="E6595" s="1" t="s">
        <v>5</v>
      </c>
      <c r="F6595">
        <v>349</v>
      </c>
      <c r="G6595" s="1" t="str">
        <f>Ocupacao_DW[[#This Row],[data]]&amp;Ocupacao_DW[[#This Row],[profissional_id]]&amp;Ocupacao_DW[[#This Row],[local_id]]</f>
        <v>4463886349</v>
      </c>
      <c r="H6595" s="1">
        <f>_xlfn.XLOOKUP(Ocupacao_DW[[#This Row],[Concat]],Vagas!$H:$H,Vagas!$D:$D,"",0)</f>
        <v>0</v>
      </c>
    </row>
    <row r="6596" spans="1:8" x14ac:dyDescent="0.25">
      <c r="A6596" s="2">
        <v>44639</v>
      </c>
      <c r="B6596" s="1" t="s">
        <v>43</v>
      </c>
      <c r="C6596">
        <v>57</v>
      </c>
      <c r="D6596" s="1" t="s">
        <v>169</v>
      </c>
      <c r="E6596" s="1" t="s">
        <v>6</v>
      </c>
      <c r="F6596">
        <v>2</v>
      </c>
      <c r="G6596" s="1" t="str">
        <f>Ocupacao_DW[[#This Row],[data]]&amp;Ocupacao_DW[[#This Row],[profissional_id]]&amp;Ocupacao_DW[[#This Row],[local_id]]</f>
        <v>44639572</v>
      </c>
      <c r="H6596" s="1">
        <f>_xlfn.XLOOKUP(Ocupacao_DW[[#This Row],[Concat]],Vagas!$H:$H,Vagas!$D:$D,"",0)</f>
        <v>0</v>
      </c>
    </row>
    <row r="6597" spans="1:8" x14ac:dyDescent="0.25">
      <c r="A6597" s="2">
        <v>44638</v>
      </c>
      <c r="B6597" s="1" t="s">
        <v>47</v>
      </c>
      <c r="C6597">
        <v>12684</v>
      </c>
      <c r="D6597" s="1" t="s">
        <v>236</v>
      </c>
      <c r="E6597" s="1" t="s">
        <v>200</v>
      </c>
      <c r="F6597">
        <v>85</v>
      </c>
      <c r="G6597" s="1" t="str">
        <f>Ocupacao_DW[[#This Row],[data]]&amp;Ocupacao_DW[[#This Row],[profissional_id]]&amp;Ocupacao_DW[[#This Row],[local_id]]</f>
        <v>446381268485</v>
      </c>
      <c r="H6597" s="1">
        <f>_xlfn.XLOOKUP(Ocupacao_DW[[#This Row],[Concat]],Vagas!$H:$H,Vagas!$D:$D,"",0)</f>
        <v>0</v>
      </c>
    </row>
    <row r="6598" spans="1:8" x14ac:dyDescent="0.25">
      <c r="A6598" s="2">
        <v>44637</v>
      </c>
      <c r="B6598" s="1" t="s">
        <v>20</v>
      </c>
      <c r="C6598">
        <v>174</v>
      </c>
      <c r="D6598" s="1" t="s">
        <v>230</v>
      </c>
      <c r="E6598" s="1" t="s">
        <v>167</v>
      </c>
      <c r="F6598">
        <v>24</v>
      </c>
      <c r="G6598" s="1" t="str">
        <f>Ocupacao_DW[[#This Row],[data]]&amp;Ocupacao_DW[[#This Row],[profissional_id]]&amp;Ocupacao_DW[[#This Row],[local_id]]</f>
        <v>4463717424</v>
      </c>
      <c r="H6598" s="1">
        <f>_xlfn.XLOOKUP(Ocupacao_DW[[#This Row],[Concat]],Vagas!$H:$H,Vagas!$D:$D,"",0)</f>
        <v>80</v>
      </c>
    </row>
    <row r="6599" spans="1:8" x14ac:dyDescent="0.25">
      <c r="A6599" s="2">
        <v>44637</v>
      </c>
      <c r="B6599" s="1" t="s">
        <v>42</v>
      </c>
      <c r="C6599">
        <v>17902</v>
      </c>
      <c r="D6599" s="1" t="s">
        <v>264</v>
      </c>
      <c r="E6599" s="1" t="s">
        <v>4</v>
      </c>
      <c r="F6599">
        <v>39</v>
      </c>
      <c r="G6599" s="1" t="str">
        <f>Ocupacao_DW[[#This Row],[data]]&amp;Ocupacao_DW[[#This Row],[profissional_id]]&amp;Ocupacao_DW[[#This Row],[local_id]]</f>
        <v>446371790239</v>
      </c>
      <c r="H6599" s="1">
        <f>_xlfn.XLOOKUP(Ocupacao_DW[[#This Row],[Concat]],Vagas!$H:$H,Vagas!$D:$D,"",0)</f>
        <v>47</v>
      </c>
    </row>
    <row r="6600" spans="1:8" x14ac:dyDescent="0.25">
      <c r="A6600" s="2">
        <v>44642</v>
      </c>
      <c r="B6600" s="1" t="s">
        <v>20</v>
      </c>
      <c r="C6600">
        <v>174</v>
      </c>
      <c r="D6600" s="1" t="s">
        <v>230</v>
      </c>
      <c r="E6600" s="1" t="s">
        <v>167</v>
      </c>
      <c r="F6600">
        <v>24</v>
      </c>
      <c r="G6600" s="1" t="str">
        <f>Ocupacao_DW[[#This Row],[data]]&amp;Ocupacao_DW[[#This Row],[profissional_id]]&amp;Ocupacao_DW[[#This Row],[local_id]]</f>
        <v>4464217424</v>
      </c>
      <c r="H6600" s="1">
        <f>_xlfn.XLOOKUP(Ocupacao_DW[[#This Row],[Concat]],Vagas!$H:$H,Vagas!$D:$D,"",0)</f>
        <v>81</v>
      </c>
    </row>
    <row r="6601" spans="1:8" x14ac:dyDescent="0.25">
      <c r="A6601" s="2">
        <v>44646</v>
      </c>
      <c r="B6601" s="1" t="s">
        <v>20</v>
      </c>
      <c r="C6601">
        <v>174</v>
      </c>
      <c r="D6601" s="1" t="s">
        <v>230</v>
      </c>
      <c r="E6601" s="1" t="s">
        <v>167</v>
      </c>
      <c r="F6601">
        <v>24</v>
      </c>
      <c r="G6601" s="1" t="str">
        <f>Ocupacao_DW[[#This Row],[data]]&amp;Ocupacao_DW[[#This Row],[profissional_id]]&amp;Ocupacao_DW[[#This Row],[local_id]]</f>
        <v>4464617424</v>
      </c>
      <c r="H6601" s="1">
        <f>_xlfn.XLOOKUP(Ocupacao_DW[[#This Row],[Concat]],Vagas!$H:$H,Vagas!$D:$D,"",0)</f>
        <v>52</v>
      </c>
    </row>
    <row r="6602" spans="1:8" x14ac:dyDescent="0.25">
      <c r="A6602" s="2">
        <v>44637</v>
      </c>
      <c r="B6602" s="1" t="s">
        <v>42</v>
      </c>
      <c r="C6602">
        <v>17902</v>
      </c>
      <c r="D6602" s="1" t="s">
        <v>264</v>
      </c>
      <c r="E6602" s="1" t="s">
        <v>4</v>
      </c>
      <c r="F6602">
        <v>39</v>
      </c>
      <c r="G6602" s="1" t="str">
        <f>Ocupacao_DW[[#This Row],[data]]&amp;Ocupacao_DW[[#This Row],[profissional_id]]&amp;Ocupacao_DW[[#This Row],[local_id]]</f>
        <v>446371790239</v>
      </c>
      <c r="H6602" s="1">
        <f>_xlfn.XLOOKUP(Ocupacao_DW[[#This Row],[Concat]],Vagas!$H:$H,Vagas!$D:$D,"",0)</f>
        <v>47</v>
      </c>
    </row>
    <row r="6603" spans="1:8" x14ac:dyDescent="0.25">
      <c r="A6603" s="2">
        <v>44636</v>
      </c>
      <c r="B6603" s="1" t="s">
        <v>42</v>
      </c>
      <c r="C6603">
        <v>17902</v>
      </c>
      <c r="D6603" s="1" t="s">
        <v>264</v>
      </c>
      <c r="E6603" s="1" t="s">
        <v>4</v>
      </c>
      <c r="F6603">
        <v>39</v>
      </c>
      <c r="G6603" s="1" t="str">
        <f>Ocupacao_DW[[#This Row],[data]]&amp;Ocupacao_DW[[#This Row],[profissional_id]]&amp;Ocupacao_DW[[#This Row],[local_id]]</f>
        <v>446361790239</v>
      </c>
      <c r="H6603" s="1">
        <f>_xlfn.XLOOKUP(Ocupacao_DW[[#This Row],[Concat]],Vagas!$H:$H,Vagas!$D:$D,"",0)</f>
        <v>47</v>
      </c>
    </row>
    <row r="6604" spans="1:8" x14ac:dyDescent="0.25">
      <c r="A6604" s="2">
        <v>44638</v>
      </c>
      <c r="B6604" s="1" t="s">
        <v>52</v>
      </c>
      <c r="C6604">
        <v>60</v>
      </c>
      <c r="D6604" s="1" t="s">
        <v>217</v>
      </c>
      <c r="E6604" s="1" t="s">
        <v>167</v>
      </c>
      <c r="F6604">
        <v>348</v>
      </c>
      <c r="G6604" s="1" t="str">
        <f>Ocupacao_DW[[#This Row],[data]]&amp;Ocupacao_DW[[#This Row],[profissional_id]]&amp;Ocupacao_DW[[#This Row],[local_id]]</f>
        <v>4463860348</v>
      </c>
      <c r="H6604" s="1">
        <f>_xlfn.XLOOKUP(Ocupacao_DW[[#This Row],[Concat]],Vagas!$H:$H,Vagas!$D:$D,"",0)</f>
        <v>0</v>
      </c>
    </row>
    <row r="6605" spans="1:8" x14ac:dyDescent="0.25">
      <c r="A6605" s="2">
        <v>44642</v>
      </c>
      <c r="B6605" s="1" t="s">
        <v>49</v>
      </c>
      <c r="C6605">
        <v>81</v>
      </c>
      <c r="D6605" s="1" t="s">
        <v>170</v>
      </c>
      <c r="E6605" s="1" t="s">
        <v>4</v>
      </c>
      <c r="F6605">
        <v>41</v>
      </c>
      <c r="G6605" s="1" t="str">
        <f>Ocupacao_DW[[#This Row],[data]]&amp;Ocupacao_DW[[#This Row],[profissional_id]]&amp;Ocupacao_DW[[#This Row],[local_id]]</f>
        <v>446428141</v>
      </c>
      <c r="H6605" s="1">
        <f>_xlfn.XLOOKUP(Ocupacao_DW[[#This Row],[Concat]],Vagas!$H:$H,Vagas!$D:$D,"",0)</f>
        <v>0</v>
      </c>
    </row>
    <row r="6606" spans="1:8" x14ac:dyDescent="0.25">
      <c r="A6606" s="2">
        <v>44649</v>
      </c>
      <c r="B6606" s="1" t="s">
        <v>70</v>
      </c>
      <c r="C6606">
        <v>14237</v>
      </c>
      <c r="D6606" s="1" t="s">
        <v>186</v>
      </c>
      <c r="E6606" s="1" t="s">
        <v>4</v>
      </c>
      <c r="F6606">
        <v>47</v>
      </c>
      <c r="G6606" s="1" t="str">
        <f>Ocupacao_DW[[#This Row],[data]]&amp;Ocupacao_DW[[#This Row],[profissional_id]]&amp;Ocupacao_DW[[#This Row],[local_id]]</f>
        <v>446491423747</v>
      </c>
      <c r="H6606" s="1">
        <f>_xlfn.XLOOKUP(Ocupacao_DW[[#This Row],[Concat]],Vagas!$H:$H,Vagas!$D:$D,"",0)</f>
        <v>0</v>
      </c>
    </row>
    <row r="6607" spans="1:8" x14ac:dyDescent="0.25">
      <c r="A6607" s="2">
        <v>44635</v>
      </c>
      <c r="B6607" s="1" t="s">
        <v>47</v>
      </c>
      <c r="C6607">
        <v>11207</v>
      </c>
      <c r="D6607" s="1" t="s">
        <v>251</v>
      </c>
      <c r="E6607" s="1" t="s">
        <v>4</v>
      </c>
      <c r="F6607">
        <v>51</v>
      </c>
      <c r="G6607" s="1" t="str">
        <f>Ocupacao_DW[[#This Row],[data]]&amp;Ocupacao_DW[[#This Row],[profissional_id]]&amp;Ocupacao_DW[[#This Row],[local_id]]</f>
        <v>446351120751</v>
      </c>
      <c r="H6607" s="1">
        <f>_xlfn.XLOOKUP(Ocupacao_DW[[#This Row],[Concat]],Vagas!$H:$H,Vagas!$D:$D,"",0)</f>
        <v>0</v>
      </c>
    </row>
    <row r="6608" spans="1:8" x14ac:dyDescent="0.25">
      <c r="A6608" s="2">
        <v>44636</v>
      </c>
      <c r="B6608" s="1" t="s">
        <v>52</v>
      </c>
      <c r="C6608">
        <v>10946</v>
      </c>
      <c r="D6608" s="1" t="s">
        <v>209</v>
      </c>
      <c r="E6608" s="1" t="s">
        <v>7</v>
      </c>
      <c r="F6608">
        <v>60</v>
      </c>
      <c r="G6608" s="1" t="str">
        <f>Ocupacao_DW[[#This Row],[data]]&amp;Ocupacao_DW[[#This Row],[profissional_id]]&amp;Ocupacao_DW[[#This Row],[local_id]]</f>
        <v>446361094660</v>
      </c>
      <c r="H6608" s="1">
        <f>_xlfn.XLOOKUP(Ocupacao_DW[[#This Row],[Concat]],Vagas!$H:$H,Vagas!$D:$D,"",0)</f>
        <v>0</v>
      </c>
    </row>
    <row r="6609" spans="1:8" x14ac:dyDescent="0.25">
      <c r="A6609" s="2">
        <v>44645</v>
      </c>
      <c r="B6609" s="1" t="s">
        <v>24</v>
      </c>
      <c r="C6609">
        <v>60</v>
      </c>
      <c r="D6609" s="1" t="s">
        <v>217</v>
      </c>
      <c r="E6609" s="1" t="s">
        <v>6</v>
      </c>
      <c r="F6609">
        <v>1</v>
      </c>
      <c r="G6609" s="1" t="str">
        <f>Ocupacao_DW[[#This Row],[data]]&amp;Ocupacao_DW[[#This Row],[profissional_id]]&amp;Ocupacao_DW[[#This Row],[local_id]]</f>
        <v>44645601</v>
      </c>
      <c r="H6609" s="1">
        <f>_xlfn.XLOOKUP(Ocupacao_DW[[#This Row],[Concat]],Vagas!$H:$H,Vagas!$D:$D,"",0)</f>
        <v>0</v>
      </c>
    </row>
    <row r="6610" spans="1:8" x14ac:dyDescent="0.25">
      <c r="A6610" s="2">
        <v>44646</v>
      </c>
      <c r="B6610" s="1" t="s">
        <v>52</v>
      </c>
      <c r="C6610">
        <v>60</v>
      </c>
      <c r="D6610" s="1" t="s">
        <v>217</v>
      </c>
      <c r="E6610" s="1" t="s">
        <v>6</v>
      </c>
      <c r="F6610">
        <v>6</v>
      </c>
      <c r="G6610" s="1" t="str">
        <f>Ocupacao_DW[[#This Row],[data]]&amp;Ocupacao_DW[[#This Row],[profissional_id]]&amp;Ocupacao_DW[[#This Row],[local_id]]</f>
        <v>44646606</v>
      </c>
      <c r="H6610" s="1">
        <f>_xlfn.XLOOKUP(Ocupacao_DW[[#This Row],[Concat]],Vagas!$H:$H,Vagas!$D:$D,"",0)</f>
        <v>0</v>
      </c>
    </row>
    <row r="6611" spans="1:8" x14ac:dyDescent="0.25">
      <c r="A6611" s="2">
        <v>44643</v>
      </c>
      <c r="B6611" s="1" t="s">
        <v>52</v>
      </c>
      <c r="C6611">
        <v>60</v>
      </c>
      <c r="D6611" s="1" t="s">
        <v>217</v>
      </c>
      <c r="E6611" s="1" t="s">
        <v>6</v>
      </c>
      <c r="F6611">
        <v>8</v>
      </c>
      <c r="G6611" s="1" t="str">
        <f>Ocupacao_DW[[#This Row],[data]]&amp;Ocupacao_DW[[#This Row],[profissional_id]]&amp;Ocupacao_DW[[#This Row],[local_id]]</f>
        <v>44643608</v>
      </c>
      <c r="H6611" s="1">
        <f>_xlfn.XLOOKUP(Ocupacao_DW[[#This Row],[Concat]],Vagas!$H:$H,Vagas!$D:$D,"",0)</f>
        <v>0</v>
      </c>
    </row>
    <row r="6612" spans="1:8" x14ac:dyDescent="0.25">
      <c r="A6612" s="2">
        <v>44635</v>
      </c>
      <c r="B6612" s="1" t="s">
        <v>49</v>
      </c>
      <c r="C6612">
        <v>81</v>
      </c>
      <c r="D6612" s="1" t="s">
        <v>170</v>
      </c>
      <c r="E6612" s="1" t="s">
        <v>7</v>
      </c>
      <c r="F6612">
        <v>71</v>
      </c>
      <c r="G6612" s="1" t="str">
        <f>Ocupacao_DW[[#This Row],[data]]&amp;Ocupacao_DW[[#This Row],[profissional_id]]&amp;Ocupacao_DW[[#This Row],[local_id]]</f>
        <v>446358171</v>
      </c>
      <c r="H6612" s="1">
        <f>_xlfn.XLOOKUP(Ocupacao_DW[[#This Row],[Concat]],Vagas!$H:$H,Vagas!$D:$D,"",0)</f>
        <v>0</v>
      </c>
    </row>
    <row r="6613" spans="1:8" x14ac:dyDescent="0.25">
      <c r="A6613" s="2">
        <v>44636</v>
      </c>
      <c r="B6613" s="1" t="s">
        <v>50</v>
      </c>
      <c r="C6613">
        <v>10785</v>
      </c>
      <c r="D6613" s="1" t="s">
        <v>237</v>
      </c>
      <c r="E6613" s="1" t="s">
        <v>5</v>
      </c>
      <c r="F6613">
        <v>14</v>
      </c>
      <c r="G6613" s="1" t="str">
        <f>Ocupacao_DW[[#This Row],[data]]&amp;Ocupacao_DW[[#This Row],[profissional_id]]&amp;Ocupacao_DW[[#This Row],[local_id]]</f>
        <v>446361078514</v>
      </c>
      <c r="H6613" s="1">
        <f>_xlfn.XLOOKUP(Ocupacao_DW[[#This Row],[Concat]],Vagas!$H:$H,Vagas!$D:$D,"",0)</f>
        <v>8</v>
      </c>
    </row>
    <row r="6614" spans="1:8" x14ac:dyDescent="0.25">
      <c r="A6614" s="2">
        <v>44637</v>
      </c>
      <c r="B6614" s="1" t="s">
        <v>42</v>
      </c>
      <c r="C6614">
        <v>17902</v>
      </c>
      <c r="D6614" s="1" t="s">
        <v>264</v>
      </c>
      <c r="E6614" s="1" t="s">
        <v>4</v>
      </c>
      <c r="F6614">
        <v>39</v>
      </c>
      <c r="G6614" s="1" t="str">
        <f>Ocupacao_DW[[#This Row],[data]]&amp;Ocupacao_DW[[#This Row],[profissional_id]]&amp;Ocupacao_DW[[#This Row],[local_id]]</f>
        <v>446371790239</v>
      </c>
      <c r="H6614" s="1">
        <f>_xlfn.XLOOKUP(Ocupacao_DW[[#This Row],[Concat]],Vagas!$H:$H,Vagas!$D:$D,"",0)</f>
        <v>47</v>
      </c>
    </row>
    <row r="6615" spans="1:8" x14ac:dyDescent="0.25">
      <c r="A6615" s="2">
        <v>44641</v>
      </c>
      <c r="B6615" s="1" t="s">
        <v>55</v>
      </c>
      <c r="C6615">
        <v>60</v>
      </c>
      <c r="D6615" s="1" t="s">
        <v>217</v>
      </c>
      <c r="E6615" s="1" t="s">
        <v>167</v>
      </c>
      <c r="F6615">
        <v>345</v>
      </c>
      <c r="G6615" s="1" t="str">
        <f>Ocupacao_DW[[#This Row],[data]]&amp;Ocupacao_DW[[#This Row],[profissional_id]]&amp;Ocupacao_DW[[#This Row],[local_id]]</f>
        <v>4464160345</v>
      </c>
      <c r="H6615" s="1">
        <f>_xlfn.XLOOKUP(Ocupacao_DW[[#This Row],[Concat]],Vagas!$H:$H,Vagas!$D:$D,"",0)</f>
        <v>0</v>
      </c>
    </row>
    <row r="6616" spans="1:8" x14ac:dyDescent="0.25">
      <c r="A6616" s="2">
        <v>44637</v>
      </c>
      <c r="B6616" s="1" t="s">
        <v>49</v>
      </c>
      <c r="C6616">
        <v>81</v>
      </c>
      <c r="D6616" s="1" t="s">
        <v>170</v>
      </c>
      <c r="E6616" s="1" t="s">
        <v>4</v>
      </c>
      <c r="F6616">
        <v>41</v>
      </c>
      <c r="G6616" s="1" t="str">
        <f>Ocupacao_DW[[#This Row],[data]]&amp;Ocupacao_DW[[#This Row],[profissional_id]]&amp;Ocupacao_DW[[#This Row],[local_id]]</f>
        <v>446378141</v>
      </c>
      <c r="H6616" s="1">
        <f>_xlfn.XLOOKUP(Ocupacao_DW[[#This Row],[Concat]],Vagas!$H:$H,Vagas!$D:$D,"",0)</f>
        <v>0</v>
      </c>
    </row>
    <row r="6617" spans="1:8" x14ac:dyDescent="0.25">
      <c r="A6617" s="2">
        <v>44639</v>
      </c>
      <c r="B6617" s="1" t="s">
        <v>49</v>
      </c>
      <c r="C6617">
        <v>13756</v>
      </c>
      <c r="D6617" s="1" t="s">
        <v>202</v>
      </c>
      <c r="E6617" s="1" t="s">
        <v>4</v>
      </c>
      <c r="F6617">
        <v>43</v>
      </c>
      <c r="G6617" s="1" t="str">
        <f>Ocupacao_DW[[#This Row],[data]]&amp;Ocupacao_DW[[#This Row],[profissional_id]]&amp;Ocupacao_DW[[#This Row],[local_id]]</f>
        <v>446391375643</v>
      </c>
      <c r="H6617" s="1">
        <f>_xlfn.XLOOKUP(Ocupacao_DW[[#This Row],[Concat]],Vagas!$H:$H,Vagas!$D:$D,"",0)</f>
        <v>0</v>
      </c>
    </row>
    <row r="6618" spans="1:8" x14ac:dyDescent="0.25">
      <c r="A6618" s="2">
        <v>44635</v>
      </c>
      <c r="B6618" s="1" t="s">
        <v>276</v>
      </c>
      <c r="C6618">
        <v>17883</v>
      </c>
      <c r="D6618" s="1" t="s">
        <v>277</v>
      </c>
      <c r="E6618" s="1" t="s">
        <v>4</v>
      </c>
      <c r="F6618">
        <v>351</v>
      </c>
      <c r="G6618" s="1" t="str">
        <f>Ocupacao_DW[[#This Row],[data]]&amp;Ocupacao_DW[[#This Row],[profissional_id]]&amp;Ocupacao_DW[[#This Row],[local_id]]</f>
        <v>4463517883351</v>
      </c>
      <c r="H6618" s="1">
        <f>_xlfn.XLOOKUP(Ocupacao_DW[[#This Row],[Concat]],Vagas!$H:$H,Vagas!$D:$D,"",0)</f>
        <v>0</v>
      </c>
    </row>
    <row r="6619" spans="1:8" x14ac:dyDescent="0.25">
      <c r="A6619" s="2">
        <v>44644</v>
      </c>
      <c r="B6619" s="1" t="s">
        <v>49</v>
      </c>
      <c r="C6619">
        <v>266</v>
      </c>
      <c r="D6619" s="1" t="s">
        <v>201</v>
      </c>
      <c r="E6619" s="1" t="s">
        <v>4</v>
      </c>
      <c r="F6619">
        <v>42</v>
      </c>
      <c r="G6619" s="1" t="str">
        <f>Ocupacao_DW[[#This Row],[data]]&amp;Ocupacao_DW[[#This Row],[profissional_id]]&amp;Ocupacao_DW[[#This Row],[local_id]]</f>
        <v>4464426642</v>
      </c>
      <c r="H6619" s="1">
        <f>_xlfn.XLOOKUP(Ocupacao_DW[[#This Row],[Concat]],Vagas!$H:$H,Vagas!$D:$D,"",0)</f>
        <v>0</v>
      </c>
    </row>
    <row r="6620" spans="1:8" x14ac:dyDescent="0.25">
      <c r="A6620" s="2">
        <v>44644</v>
      </c>
      <c r="B6620" s="1" t="s">
        <v>40</v>
      </c>
      <c r="C6620">
        <v>54</v>
      </c>
      <c r="D6620" s="1" t="s">
        <v>216</v>
      </c>
      <c r="E6620" s="1" t="s">
        <v>4</v>
      </c>
      <c r="F6620">
        <v>50</v>
      </c>
      <c r="G6620" s="1" t="str">
        <f>Ocupacao_DW[[#This Row],[data]]&amp;Ocupacao_DW[[#This Row],[profissional_id]]&amp;Ocupacao_DW[[#This Row],[local_id]]</f>
        <v>446445450</v>
      </c>
      <c r="H6620" s="1">
        <f>_xlfn.XLOOKUP(Ocupacao_DW[[#This Row],[Concat]],Vagas!$H:$H,Vagas!$D:$D,"",0)</f>
        <v>17</v>
      </c>
    </row>
    <row r="6621" spans="1:8" x14ac:dyDescent="0.25">
      <c r="A6621" s="2">
        <v>44648</v>
      </c>
      <c r="B6621" s="1" t="s">
        <v>55</v>
      </c>
      <c r="C6621">
        <v>12669</v>
      </c>
      <c r="D6621" s="1" t="s">
        <v>223</v>
      </c>
      <c r="E6621" s="1" t="s">
        <v>6</v>
      </c>
      <c r="F6621">
        <v>6</v>
      </c>
      <c r="G6621" s="1" t="str">
        <f>Ocupacao_DW[[#This Row],[data]]&amp;Ocupacao_DW[[#This Row],[profissional_id]]&amp;Ocupacao_DW[[#This Row],[local_id]]</f>
        <v>44648126696</v>
      </c>
      <c r="H6621" s="1">
        <f>_xlfn.XLOOKUP(Ocupacao_DW[[#This Row],[Concat]],Vagas!$H:$H,Vagas!$D:$D,"",0)</f>
        <v>0</v>
      </c>
    </row>
    <row r="6622" spans="1:8" x14ac:dyDescent="0.25">
      <c r="A6622" s="2">
        <v>44655</v>
      </c>
      <c r="B6622" s="1" t="s">
        <v>69</v>
      </c>
      <c r="C6622">
        <v>13249</v>
      </c>
      <c r="D6622" s="1" t="s">
        <v>178</v>
      </c>
      <c r="E6622" s="1" t="s">
        <v>4</v>
      </c>
      <c r="F6622">
        <v>45</v>
      </c>
      <c r="G6622" s="1" t="str">
        <f>Ocupacao_DW[[#This Row],[data]]&amp;Ocupacao_DW[[#This Row],[profissional_id]]&amp;Ocupacao_DW[[#This Row],[local_id]]</f>
        <v>446551324945</v>
      </c>
      <c r="H6622" s="1" t="str">
        <f>_xlfn.XLOOKUP(Ocupacao_DW[[#This Row],[Concat]],Vagas!$H:$H,Vagas!$D:$D,"",0)</f>
        <v/>
      </c>
    </row>
    <row r="6623" spans="1:8" x14ac:dyDescent="0.25">
      <c r="A6623" s="2">
        <v>44642</v>
      </c>
      <c r="B6623" s="1" t="s">
        <v>52</v>
      </c>
      <c r="C6623">
        <v>60</v>
      </c>
      <c r="D6623" s="1" t="s">
        <v>217</v>
      </c>
      <c r="E6623" s="1" t="s">
        <v>167</v>
      </c>
      <c r="F6623">
        <v>345</v>
      </c>
      <c r="G6623" s="1" t="str">
        <f>Ocupacao_DW[[#This Row],[data]]&amp;Ocupacao_DW[[#This Row],[profissional_id]]&amp;Ocupacao_DW[[#This Row],[local_id]]</f>
        <v>4464260345</v>
      </c>
      <c r="H6623" s="1">
        <f>_xlfn.XLOOKUP(Ocupacao_DW[[#This Row],[Concat]],Vagas!$H:$H,Vagas!$D:$D,"",0)</f>
        <v>0</v>
      </c>
    </row>
    <row r="6624" spans="1:8" x14ac:dyDescent="0.25">
      <c r="A6624" s="2">
        <v>44638</v>
      </c>
      <c r="B6624" s="1" t="s">
        <v>56</v>
      </c>
      <c r="C6624">
        <v>5927</v>
      </c>
      <c r="D6624" s="1" t="s">
        <v>226</v>
      </c>
      <c r="E6624" s="1" t="s">
        <v>5</v>
      </c>
      <c r="F6624">
        <v>17</v>
      </c>
      <c r="G6624" s="1" t="str">
        <f>Ocupacao_DW[[#This Row],[data]]&amp;Ocupacao_DW[[#This Row],[profissional_id]]&amp;Ocupacao_DW[[#This Row],[local_id]]</f>
        <v>44638592717</v>
      </c>
      <c r="H6624" s="1">
        <f>_xlfn.XLOOKUP(Ocupacao_DW[[#This Row],[Concat]],Vagas!$H:$H,Vagas!$D:$D,"",0)</f>
        <v>0</v>
      </c>
    </row>
    <row r="6625" spans="1:8" x14ac:dyDescent="0.25">
      <c r="A6625" s="2">
        <v>44636</v>
      </c>
      <c r="B6625" s="1" t="s">
        <v>62</v>
      </c>
      <c r="C6625">
        <v>3502</v>
      </c>
      <c r="D6625" s="1" t="s">
        <v>214</v>
      </c>
      <c r="E6625" s="1" t="s">
        <v>5</v>
      </c>
      <c r="F6625">
        <v>16</v>
      </c>
      <c r="G6625" s="1" t="str">
        <f>Ocupacao_DW[[#This Row],[data]]&amp;Ocupacao_DW[[#This Row],[profissional_id]]&amp;Ocupacao_DW[[#This Row],[local_id]]</f>
        <v>44636350216</v>
      </c>
      <c r="H6625" s="1">
        <f>_xlfn.XLOOKUP(Ocupacao_DW[[#This Row],[Concat]],Vagas!$H:$H,Vagas!$D:$D,"",0)</f>
        <v>0</v>
      </c>
    </row>
    <row r="6626" spans="1:8" x14ac:dyDescent="0.25">
      <c r="A6626" s="2">
        <v>44644</v>
      </c>
      <c r="B6626" s="1" t="s">
        <v>70</v>
      </c>
      <c r="C6626">
        <v>12519</v>
      </c>
      <c r="D6626" s="1" t="s">
        <v>176</v>
      </c>
      <c r="E6626" s="1" t="s">
        <v>4</v>
      </c>
      <c r="F6626">
        <v>42</v>
      </c>
      <c r="G6626" s="1" t="str">
        <f>Ocupacao_DW[[#This Row],[data]]&amp;Ocupacao_DW[[#This Row],[profissional_id]]&amp;Ocupacao_DW[[#This Row],[local_id]]</f>
        <v>446441251942</v>
      </c>
      <c r="H6626" s="1">
        <f>_xlfn.XLOOKUP(Ocupacao_DW[[#This Row],[Concat]],Vagas!$H:$H,Vagas!$D:$D,"",0)</f>
        <v>0</v>
      </c>
    </row>
    <row r="6627" spans="1:8" x14ac:dyDescent="0.25">
      <c r="A6627" s="2">
        <v>44636</v>
      </c>
      <c r="B6627" s="1" t="s">
        <v>47</v>
      </c>
      <c r="C6627">
        <v>17859</v>
      </c>
      <c r="D6627" s="1" t="s">
        <v>212</v>
      </c>
      <c r="E6627" s="1" t="s">
        <v>4</v>
      </c>
      <c r="F6627">
        <v>336</v>
      </c>
      <c r="G6627" s="1" t="str">
        <f>Ocupacao_DW[[#This Row],[data]]&amp;Ocupacao_DW[[#This Row],[profissional_id]]&amp;Ocupacao_DW[[#This Row],[local_id]]</f>
        <v>4463617859336</v>
      </c>
      <c r="H6627" s="1">
        <f>_xlfn.XLOOKUP(Ocupacao_DW[[#This Row],[Concat]],Vagas!$H:$H,Vagas!$D:$D,"",0)</f>
        <v>0</v>
      </c>
    </row>
    <row r="6628" spans="1:8" x14ac:dyDescent="0.25">
      <c r="A6628" s="2">
        <v>44635</v>
      </c>
      <c r="B6628" s="1" t="s">
        <v>71</v>
      </c>
      <c r="C6628">
        <v>282</v>
      </c>
      <c r="D6628" s="1" t="s">
        <v>210</v>
      </c>
      <c r="E6628" s="1" t="s">
        <v>4</v>
      </c>
      <c r="F6628">
        <v>48</v>
      </c>
      <c r="G6628" s="1" t="str">
        <f>Ocupacao_DW[[#This Row],[data]]&amp;Ocupacao_DW[[#This Row],[profissional_id]]&amp;Ocupacao_DW[[#This Row],[local_id]]</f>
        <v>4463528248</v>
      </c>
      <c r="H6628" s="1">
        <f>_xlfn.XLOOKUP(Ocupacao_DW[[#This Row],[Concat]],Vagas!$H:$H,Vagas!$D:$D,"",0)</f>
        <v>0</v>
      </c>
    </row>
    <row r="6629" spans="1:8" x14ac:dyDescent="0.25">
      <c r="A6629" s="2">
        <v>44636</v>
      </c>
      <c r="B6629" s="1" t="s">
        <v>50</v>
      </c>
      <c r="C6629">
        <v>10785</v>
      </c>
      <c r="D6629" s="1" t="s">
        <v>237</v>
      </c>
      <c r="E6629" s="1" t="s">
        <v>5</v>
      </c>
      <c r="F6629">
        <v>14</v>
      </c>
      <c r="G6629" s="1" t="str">
        <f>Ocupacao_DW[[#This Row],[data]]&amp;Ocupacao_DW[[#This Row],[profissional_id]]&amp;Ocupacao_DW[[#This Row],[local_id]]</f>
        <v>446361078514</v>
      </c>
      <c r="H6629" s="1">
        <f>_xlfn.XLOOKUP(Ocupacao_DW[[#This Row],[Concat]],Vagas!$H:$H,Vagas!$D:$D,"",0)</f>
        <v>8</v>
      </c>
    </row>
    <row r="6630" spans="1:8" x14ac:dyDescent="0.25">
      <c r="A6630" s="2">
        <v>44637</v>
      </c>
      <c r="B6630" s="1" t="s">
        <v>57</v>
      </c>
      <c r="C6630">
        <v>80</v>
      </c>
      <c r="D6630" s="1" t="s">
        <v>179</v>
      </c>
      <c r="E6630" s="1" t="s">
        <v>167</v>
      </c>
      <c r="F6630">
        <v>348</v>
      </c>
      <c r="G6630" s="1" t="str">
        <f>Ocupacao_DW[[#This Row],[data]]&amp;Ocupacao_DW[[#This Row],[profissional_id]]&amp;Ocupacao_DW[[#This Row],[local_id]]</f>
        <v>4463780348</v>
      </c>
      <c r="H6630" s="1">
        <f>_xlfn.XLOOKUP(Ocupacao_DW[[#This Row],[Concat]],Vagas!$H:$H,Vagas!$D:$D,"",0)</f>
        <v>0</v>
      </c>
    </row>
    <row r="6631" spans="1:8" x14ac:dyDescent="0.25">
      <c r="A6631" s="2">
        <v>44637</v>
      </c>
      <c r="B6631" s="1" t="s">
        <v>66</v>
      </c>
      <c r="C6631">
        <v>100</v>
      </c>
      <c r="D6631" s="1" t="s">
        <v>166</v>
      </c>
      <c r="E6631" s="1" t="s">
        <v>167</v>
      </c>
      <c r="F6631">
        <v>342</v>
      </c>
      <c r="G6631" s="1" t="str">
        <f>Ocupacao_DW[[#This Row],[data]]&amp;Ocupacao_DW[[#This Row],[profissional_id]]&amp;Ocupacao_DW[[#This Row],[local_id]]</f>
        <v>44637100342</v>
      </c>
      <c r="H6631" s="1">
        <f>_xlfn.XLOOKUP(Ocupacao_DW[[#This Row],[Concat]],Vagas!$H:$H,Vagas!$D:$D,"",0)</f>
        <v>0</v>
      </c>
    </row>
    <row r="6632" spans="1:8" x14ac:dyDescent="0.25">
      <c r="A6632" s="2">
        <v>44649</v>
      </c>
      <c r="B6632" s="1" t="s">
        <v>55</v>
      </c>
      <c r="C6632">
        <v>12669</v>
      </c>
      <c r="D6632" s="1" t="s">
        <v>223</v>
      </c>
      <c r="E6632" s="1" t="s">
        <v>6</v>
      </c>
      <c r="F6632">
        <v>6</v>
      </c>
      <c r="G6632" s="1" t="str">
        <f>Ocupacao_DW[[#This Row],[data]]&amp;Ocupacao_DW[[#This Row],[profissional_id]]&amp;Ocupacao_DW[[#This Row],[local_id]]</f>
        <v>44649126696</v>
      </c>
      <c r="H6632" s="1">
        <f>_xlfn.XLOOKUP(Ocupacao_DW[[#This Row],[Concat]],Vagas!$H:$H,Vagas!$D:$D,"",0)</f>
        <v>0</v>
      </c>
    </row>
    <row r="6633" spans="1:8" x14ac:dyDescent="0.25">
      <c r="A6633" s="2">
        <v>44637</v>
      </c>
      <c r="B6633" s="1" t="s">
        <v>49</v>
      </c>
      <c r="C6633">
        <v>81</v>
      </c>
      <c r="D6633" s="1" t="s">
        <v>170</v>
      </c>
      <c r="E6633" s="1" t="s">
        <v>4</v>
      </c>
      <c r="F6633">
        <v>41</v>
      </c>
      <c r="G6633" s="1" t="str">
        <f>Ocupacao_DW[[#This Row],[data]]&amp;Ocupacao_DW[[#This Row],[profissional_id]]&amp;Ocupacao_DW[[#This Row],[local_id]]</f>
        <v>446378141</v>
      </c>
      <c r="H6633" s="1">
        <f>_xlfn.XLOOKUP(Ocupacao_DW[[#This Row],[Concat]],Vagas!$H:$H,Vagas!$D:$D,"",0)</f>
        <v>0</v>
      </c>
    </row>
    <row r="6634" spans="1:8" x14ac:dyDescent="0.25">
      <c r="A6634" s="2">
        <v>44643</v>
      </c>
      <c r="B6634" s="1" t="s">
        <v>70</v>
      </c>
      <c r="C6634">
        <v>12825</v>
      </c>
      <c r="D6634" s="1" t="s">
        <v>177</v>
      </c>
      <c r="E6634" s="1" t="s">
        <v>4</v>
      </c>
      <c r="F6634">
        <v>45</v>
      </c>
      <c r="G6634" s="1" t="str">
        <f>Ocupacao_DW[[#This Row],[data]]&amp;Ocupacao_DW[[#This Row],[profissional_id]]&amp;Ocupacao_DW[[#This Row],[local_id]]</f>
        <v>446431282545</v>
      </c>
      <c r="H6634" s="1">
        <f>_xlfn.XLOOKUP(Ocupacao_DW[[#This Row],[Concat]],Vagas!$H:$H,Vagas!$D:$D,"",0)</f>
        <v>0</v>
      </c>
    </row>
    <row r="6635" spans="1:8" x14ac:dyDescent="0.25">
      <c r="A6635" s="2">
        <v>44641</v>
      </c>
      <c r="B6635" s="1" t="s">
        <v>44</v>
      </c>
      <c r="C6635">
        <v>17908</v>
      </c>
      <c r="D6635" s="1" t="s">
        <v>296</v>
      </c>
      <c r="E6635" s="1" t="s">
        <v>167</v>
      </c>
      <c r="F6635">
        <v>25</v>
      </c>
      <c r="G6635" s="1" t="str">
        <f>Ocupacao_DW[[#This Row],[data]]&amp;Ocupacao_DW[[#This Row],[profissional_id]]&amp;Ocupacao_DW[[#This Row],[local_id]]</f>
        <v>446411790825</v>
      </c>
      <c r="H6635" s="1">
        <f>_xlfn.XLOOKUP(Ocupacao_DW[[#This Row],[Concat]],Vagas!$H:$H,Vagas!$D:$D,"",0)</f>
        <v>12</v>
      </c>
    </row>
    <row r="6636" spans="1:8" x14ac:dyDescent="0.25">
      <c r="A6636" s="2">
        <v>44643</v>
      </c>
      <c r="B6636" s="1" t="s">
        <v>51</v>
      </c>
      <c r="C6636">
        <v>7551</v>
      </c>
      <c r="D6636" s="1" t="s">
        <v>246</v>
      </c>
      <c r="E6636" s="1" t="s">
        <v>5</v>
      </c>
      <c r="F6636">
        <v>15</v>
      </c>
      <c r="G6636" s="1" t="str">
        <f>Ocupacao_DW[[#This Row],[data]]&amp;Ocupacao_DW[[#This Row],[profissional_id]]&amp;Ocupacao_DW[[#This Row],[local_id]]</f>
        <v>44643755115</v>
      </c>
      <c r="H6636" s="1">
        <f>_xlfn.XLOOKUP(Ocupacao_DW[[#This Row],[Concat]],Vagas!$H:$H,Vagas!$D:$D,"",0)</f>
        <v>0</v>
      </c>
    </row>
    <row r="6637" spans="1:8" x14ac:dyDescent="0.25">
      <c r="A6637" s="2">
        <v>44635</v>
      </c>
      <c r="B6637" s="1" t="s">
        <v>44</v>
      </c>
      <c r="C6637">
        <v>17908</v>
      </c>
      <c r="D6637" s="1" t="s">
        <v>296</v>
      </c>
      <c r="E6637" s="1" t="s">
        <v>167</v>
      </c>
      <c r="F6637">
        <v>25</v>
      </c>
      <c r="G6637" s="1" t="str">
        <f>Ocupacao_DW[[#This Row],[data]]&amp;Ocupacao_DW[[#This Row],[profissional_id]]&amp;Ocupacao_DW[[#This Row],[local_id]]</f>
        <v>446351790825</v>
      </c>
      <c r="H6637" s="1">
        <f>_xlfn.XLOOKUP(Ocupacao_DW[[#This Row],[Concat]],Vagas!$H:$H,Vagas!$D:$D,"",0)</f>
        <v>8</v>
      </c>
    </row>
    <row r="6638" spans="1:8" x14ac:dyDescent="0.25">
      <c r="A6638" s="2">
        <v>44643</v>
      </c>
      <c r="B6638" s="1" t="s">
        <v>52</v>
      </c>
      <c r="C6638">
        <v>10691</v>
      </c>
      <c r="D6638" s="1" t="s">
        <v>181</v>
      </c>
      <c r="E6638" s="1" t="s">
        <v>6</v>
      </c>
      <c r="F6638">
        <v>9</v>
      </c>
      <c r="G6638" s="1" t="str">
        <f>Ocupacao_DW[[#This Row],[data]]&amp;Ocupacao_DW[[#This Row],[profissional_id]]&amp;Ocupacao_DW[[#This Row],[local_id]]</f>
        <v>44643106919</v>
      </c>
      <c r="H6638" s="1">
        <f>_xlfn.XLOOKUP(Ocupacao_DW[[#This Row],[Concat]],Vagas!$H:$H,Vagas!$D:$D,"",0)</f>
        <v>0</v>
      </c>
    </row>
    <row r="6639" spans="1:8" x14ac:dyDescent="0.25">
      <c r="A6639" s="2">
        <v>44643</v>
      </c>
      <c r="B6639" s="1" t="s">
        <v>51</v>
      </c>
      <c r="C6639">
        <v>17931</v>
      </c>
      <c r="D6639" s="1" t="s">
        <v>286</v>
      </c>
      <c r="E6639" s="1" t="s">
        <v>5</v>
      </c>
      <c r="F6639">
        <v>11</v>
      </c>
      <c r="G6639" s="1" t="str">
        <f>Ocupacao_DW[[#This Row],[data]]&amp;Ocupacao_DW[[#This Row],[profissional_id]]&amp;Ocupacao_DW[[#This Row],[local_id]]</f>
        <v>446431793111</v>
      </c>
      <c r="H6639" s="1">
        <f>_xlfn.XLOOKUP(Ocupacao_DW[[#This Row],[Concat]],Vagas!$H:$H,Vagas!$D:$D,"",0)</f>
        <v>0</v>
      </c>
    </row>
    <row r="6640" spans="1:8" x14ac:dyDescent="0.25">
      <c r="A6640" s="2">
        <v>44648</v>
      </c>
      <c r="B6640" s="1" t="s">
        <v>60</v>
      </c>
      <c r="C6640">
        <v>117</v>
      </c>
      <c r="D6640" s="1" t="s">
        <v>180</v>
      </c>
      <c r="E6640" s="1" t="s">
        <v>4</v>
      </c>
      <c r="F6640">
        <v>48</v>
      </c>
      <c r="G6640" s="1" t="str">
        <f>Ocupacao_DW[[#This Row],[data]]&amp;Ocupacao_DW[[#This Row],[profissional_id]]&amp;Ocupacao_DW[[#This Row],[local_id]]</f>
        <v>4464811748</v>
      </c>
      <c r="H6640" s="1">
        <f>_xlfn.XLOOKUP(Ocupacao_DW[[#This Row],[Concat]],Vagas!$H:$H,Vagas!$D:$D,"",0)</f>
        <v>0</v>
      </c>
    </row>
    <row r="6641" spans="1:8" x14ac:dyDescent="0.25">
      <c r="A6641" s="2">
        <v>44638</v>
      </c>
      <c r="B6641" s="1" t="s">
        <v>52</v>
      </c>
      <c r="C6641">
        <v>60</v>
      </c>
      <c r="D6641" s="1" t="s">
        <v>217</v>
      </c>
      <c r="E6641" s="1" t="s">
        <v>167</v>
      </c>
      <c r="F6641">
        <v>348</v>
      </c>
      <c r="G6641" s="1" t="str">
        <f>Ocupacao_DW[[#This Row],[data]]&amp;Ocupacao_DW[[#This Row],[profissional_id]]&amp;Ocupacao_DW[[#This Row],[local_id]]</f>
        <v>4463860348</v>
      </c>
      <c r="H6641" s="1">
        <f>_xlfn.XLOOKUP(Ocupacao_DW[[#This Row],[Concat]],Vagas!$H:$H,Vagas!$D:$D,"",0)</f>
        <v>0</v>
      </c>
    </row>
    <row r="6642" spans="1:8" x14ac:dyDescent="0.25">
      <c r="A6642" s="2">
        <v>44638</v>
      </c>
      <c r="B6642" s="1" t="s">
        <v>72</v>
      </c>
      <c r="C6642">
        <v>1794</v>
      </c>
      <c r="D6642" s="1" t="s">
        <v>235</v>
      </c>
      <c r="E6642" s="1" t="s">
        <v>4</v>
      </c>
      <c r="F6642">
        <v>46</v>
      </c>
      <c r="G6642" s="1" t="str">
        <f>Ocupacao_DW[[#This Row],[data]]&amp;Ocupacao_DW[[#This Row],[profissional_id]]&amp;Ocupacao_DW[[#This Row],[local_id]]</f>
        <v>44638179446</v>
      </c>
      <c r="H6642" s="1">
        <f>_xlfn.XLOOKUP(Ocupacao_DW[[#This Row],[Concat]],Vagas!$H:$H,Vagas!$D:$D,"",0)</f>
        <v>0</v>
      </c>
    </row>
    <row r="6643" spans="1:8" x14ac:dyDescent="0.25">
      <c r="A6643" s="2">
        <v>44635</v>
      </c>
      <c r="B6643" s="1" t="s">
        <v>68</v>
      </c>
      <c r="C6643">
        <v>14371</v>
      </c>
      <c r="D6643" s="1" t="s">
        <v>273</v>
      </c>
      <c r="E6643" s="1" t="s">
        <v>7</v>
      </c>
      <c r="F6643">
        <v>60</v>
      </c>
      <c r="G6643" s="1" t="str">
        <f>Ocupacao_DW[[#This Row],[data]]&amp;Ocupacao_DW[[#This Row],[profissional_id]]&amp;Ocupacao_DW[[#This Row],[local_id]]</f>
        <v>446351437160</v>
      </c>
      <c r="H6643" s="1">
        <f>_xlfn.XLOOKUP(Ocupacao_DW[[#This Row],[Concat]],Vagas!$H:$H,Vagas!$D:$D,"",0)</f>
        <v>19</v>
      </c>
    </row>
    <row r="6644" spans="1:8" x14ac:dyDescent="0.25">
      <c r="A6644" s="2">
        <v>44646</v>
      </c>
      <c r="B6644" s="1" t="s">
        <v>46</v>
      </c>
      <c r="C6644">
        <v>17888</v>
      </c>
      <c r="D6644" s="1" t="s">
        <v>255</v>
      </c>
      <c r="E6644" s="1" t="s">
        <v>4</v>
      </c>
      <c r="F6644">
        <v>40</v>
      </c>
      <c r="G6644" s="1" t="str">
        <f>Ocupacao_DW[[#This Row],[data]]&amp;Ocupacao_DW[[#This Row],[profissional_id]]&amp;Ocupacao_DW[[#This Row],[local_id]]</f>
        <v>446461788840</v>
      </c>
      <c r="H6644" s="1">
        <f>_xlfn.XLOOKUP(Ocupacao_DW[[#This Row],[Concat]],Vagas!$H:$H,Vagas!$D:$D,"",0)</f>
        <v>6</v>
      </c>
    </row>
    <row r="6645" spans="1:8" x14ac:dyDescent="0.25">
      <c r="A6645" s="2">
        <v>44642</v>
      </c>
      <c r="B6645" s="1" t="s">
        <v>65</v>
      </c>
      <c r="C6645">
        <v>11652</v>
      </c>
      <c r="D6645" s="1" t="s">
        <v>242</v>
      </c>
      <c r="E6645" s="1" t="s">
        <v>4</v>
      </c>
      <c r="F6645">
        <v>47</v>
      </c>
      <c r="G6645" s="1" t="str">
        <f>Ocupacao_DW[[#This Row],[data]]&amp;Ocupacao_DW[[#This Row],[profissional_id]]&amp;Ocupacao_DW[[#This Row],[local_id]]</f>
        <v>446421165247</v>
      </c>
      <c r="H6645" s="1">
        <f>_xlfn.XLOOKUP(Ocupacao_DW[[#This Row],[Concat]],Vagas!$H:$H,Vagas!$D:$D,"",0)</f>
        <v>35</v>
      </c>
    </row>
    <row r="6646" spans="1:8" x14ac:dyDescent="0.25">
      <c r="A6646" s="2">
        <v>44636</v>
      </c>
      <c r="B6646" s="1" t="s">
        <v>43</v>
      </c>
      <c r="C6646">
        <v>57</v>
      </c>
      <c r="D6646" s="1" t="s">
        <v>169</v>
      </c>
      <c r="E6646" s="1" t="s">
        <v>6</v>
      </c>
      <c r="F6646">
        <v>2</v>
      </c>
      <c r="G6646" s="1" t="str">
        <f>Ocupacao_DW[[#This Row],[data]]&amp;Ocupacao_DW[[#This Row],[profissional_id]]&amp;Ocupacao_DW[[#This Row],[local_id]]</f>
        <v>44636572</v>
      </c>
      <c r="H6646" s="1">
        <f>_xlfn.XLOOKUP(Ocupacao_DW[[#This Row],[Concat]],Vagas!$H:$H,Vagas!$D:$D,"",0)</f>
        <v>2</v>
      </c>
    </row>
    <row r="6647" spans="1:8" x14ac:dyDescent="0.25">
      <c r="A6647" s="2">
        <v>44636</v>
      </c>
      <c r="B6647" s="1" t="s">
        <v>43</v>
      </c>
      <c r="C6647">
        <v>57</v>
      </c>
      <c r="D6647" s="1" t="s">
        <v>169</v>
      </c>
      <c r="E6647" s="1" t="s">
        <v>6</v>
      </c>
      <c r="F6647">
        <v>2</v>
      </c>
      <c r="G6647" s="1" t="str">
        <f>Ocupacao_DW[[#This Row],[data]]&amp;Ocupacao_DW[[#This Row],[profissional_id]]&amp;Ocupacao_DW[[#This Row],[local_id]]</f>
        <v>44636572</v>
      </c>
      <c r="H6647" s="1">
        <f>_xlfn.XLOOKUP(Ocupacao_DW[[#This Row],[Concat]],Vagas!$H:$H,Vagas!$D:$D,"",0)</f>
        <v>2</v>
      </c>
    </row>
    <row r="6648" spans="1:8" x14ac:dyDescent="0.25">
      <c r="A6648" s="2">
        <v>44645</v>
      </c>
      <c r="B6648" s="1" t="s">
        <v>66</v>
      </c>
      <c r="C6648">
        <v>10593</v>
      </c>
      <c r="D6648" s="1" t="s">
        <v>241</v>
      </c>
      <c r="E6648" s="1" t="s">
        <v>200</v>
      </c>
      <c r="F6648">
        <v>80</v>
      </c>
      <c r="G6648" s="1" t="str">
        <f>Ocupacao_DW[[#This Row],[data]]&amp;Ocupacao_DW[[#This Row],[profissional_id]]&amp;Ocupacao_DW[[#This Row],[local_id]]</f>
        <v>446451059380</v>
      </c>
      <c r="H6648" s="1">
        <f>_xlfn.XLOOKUP(Ocupacao_DW[[#This Row],[Concat]],Vagas!$H:$H,Vagas!$D:$D,"",0)</f>
        <v>0</v>
      </c>
    </row>
    <row r="6649" spans="1:8" x14ac:dyDescent="0.25">
      <c r="A6649" s="2">
        <v>44645</v>
      </c>
      <c r="B6649" s="1" t="s">
        <v>66</v>
      </c>
      <c r="C6649">
        <v>10593</v>
      </c>
      <c r="D6649" s="1" t="s">
        <v>241</v>
      </c>
      <c r="E6649" s="1" t="s">
        <v>200</v>
      </c>
      <c r="F6649">
        <v>80</v>
      </c>
      <c r="G6649" s="1" t="str">
        <f>Ocupacao_DW[[#This Row],[data]]&amp;Ocupacao_DW[[#This Row],[profissional_id]]&amp;Ocupacao_DW[[#This Row],[local_id]]</f>
        <v>446451059380</v>
      </c>
      <c r="H6649" s="1">
        <f>_xlfn.XLOOKUP(Ocupacao_DW[[#This Row],[Concat]],Vagas!$H:$H,Vagas!$D:$D,"",0)</f>
        <v>0</v>
      </c>
    </row>
    <row r="6650" spans="1:8" x14ac:dyDescent="0.25">
      <c r="A6650" s="2">
        <v>44637</v>
      </c>
      <c r="B6650" s="1" t="s">
        <v>59</v>
      </c>
      <c r="C6650">
        <v>10249</v>
      </c>
      <c r="D6650" s="1" t="s">
        <v>231</v>
      </c>
      <c r="E6650" s="1" t="s">
        <v>4</v>
      </c>
      <c r="F6650">
        <v>44</v>
      </c>
      <c r="G6650" s="1" t="str">
        <f>Ocupacao_DW[[#This Row],[data]]&amp;Ocupacao_DW[[#This Row],[profissional_id]]&amp;Ocupacao_DW[[#This Row],[local_id]]</f>
        <v>446371024944</v>
      </c>
      <c r="H6650" s="1">
        <f>_xlfn.XLOOKUP(Ocupacao_DW[[#This Row],[Concat]],Vagas!$H:$H,Vagas!$D:$D,"",0)</f>
        <v>0</v>
      </c>
    </row>
    <row r="6651" spans="1:8" x14ac:dyDescent="0.25">
      <c r="A6651" s="2">
        <v>44650</v>
      </c>
      <c r="B6651" s="1" t="s">
        <v>52</v>
      </c>
      <c r="C6651">
        <v>57</v>
      </c>
      <c r="D6651" s="1" t="s">
        <v>169</v>
      </c>
      <c r="E6651" s="1" t="s">
        <v>6</v>
      </c>
      <c r="F6651">
        <v>4</v>
      </c>
      <c r="G6651" s="1" t="str">
        <f>Ocupacao_DW[[#This Row],[data]]&amp;Ocupacao_DW[[#This Row],[profissional_id]]&amp;Ocupacao_DW[[#This Row],[local_id]]</f>
        <v>44650574</v>
      </c>
      <c r="H6651" s="1">
        <f>_xlfn.XLOOKUP(Ocupacao_DW[[#This Row],[Concat]],Vagas!$H:$H,Vagas!$D:$D,"",0)</f>
        <v>0</v>
      </c>
    </row>
    <row r="6652" spans="1:8" x14ac:dyDescent="0.25">
      <c r="A6652" s="2">
        <v>44636</v>
      </c>
      <c r="B6652" s="1" t="s">
        <v>56</v>
      </c>
      <c r="C6652">
        <v>13660</v>
      </c>
      <c r="D6652" s="1" t="s">
        <v>250</v>
      </c>
      <c r="E6652" s="1" t="s">
        <v>200</v>
      </c>
      <c r="F6652">
        <v>78</v>
      </c>
      <c r="G6652" s="1" t="str">
        <f>Ocupacao_DW[[#This Row],[data]]&amp;Ocupacao_DW[[#This Row],[profissional_id]]&amp;Ocupacao_DW[[#This Row],[local_id]]</f>
        <v>446361366078</v>
      </c>
      <c r="H6652" s="1">
        <f>_xlfn.XLOOKUP(Ocupacao_DW[[#This Row],[Concat]],Vagas!$H:$H,Vagas!$D:$D,"",0)</f>
        <v>3</v>
      </c>
    </row>
    <row r="6653" spans="1:8" x14ac:dyDescent="0.25">
      <c r="A6653" s="2">
        <v>44637</v>
      </c>
      <c r="B6653" s="1" t="s">
        <v>73</v>
      </c>
      <c r="C6653">
        <v>10691</v>
      </c>
      <c r="D6653" s="1" t="s">
        <v>181</v>
      </c>
      <c r="E6653" s="1" t="s">
        <v>167</v>
      </c>
      <c r="F6653">
        <v>348</v>
      </c>
      <c r="G6653" s="1" t="str">
        <f>Ocupacao_DW[[#This Row],[data]]&amp;Ocupacao_DW[[#This Row],[profissional_id]]&amp;Ocupacao_DW[[#This Row],[local_id]]</f>
        <v>4463710691348</v>
      </c>
      <c r="H6653" s="1">
        <f>_xlfn.XLOOKUP(Ocupacao_DW[[#This Row],[Concat]],Vagas!$H:$H,Vagas!$D:$D,"",0)</f>
        <v>0</v>
      </c>
    </row>
    <row r="6654" spans="1:8" x14ac:dyDescent="0.25">
      <c r="A6654" s="2">
        <v>44635</v>
      </c>
      <c r="B6654" s="1" t="s">
        <v>49</v>
      </c>
      <c r="C6654">
        <v>10600</v>
      </c>
      <c r="D6654" s="1" t="s">
        <v>248</v>
      </c>
      <c r="E6654" s="1" t="s">
        <v>200</v>
      </c>
      <c r="F6654">
        <v>86</v>
      </c>
      <c r="G6654" s="1" t="str">
        <f>Ocupacao_DW[[#This Row],[data]]&amp;Ocupacao_DW[[#This Row],[profissional_id]]&amp;Ocupacao_DW[[#This Row],[local_id]]</f>
        <v>446351060086</v>
      </c>
      <c r="H6654" s="1">
        <f>_xlfn.XLOOKUP(Ocupacao_DW[[#This Row],[Concat]],Vagas!$H:$H,Vagas!$D:$D,"",0)</f>
        <v>0</v>
      </c>
    </row>
    <row r="6655" spans="1:8" x14ac:dyDescent="0.25">
      <c r="A6655" s="2">
        <v>44636</v>
      </c>
      <c r="B6655" s="1" t="s">
        <v>62</v>
      </c>
      <c r="C6655">
        <v>2567</v>
      </c>
      <c r="D6655" s="1" t="s">
        <v>198</v>
      </c>
      <c r="E6655" s="1" t="s">
        <v>5</v>
      </c>
      <c r="F6655">
        <v>349</v>
      </c>
      <c r="G6655" s="1" t="str">
        <f>Ocupacao_DW[[#This Row],[data]]&amp;Ocupacao_DW[[#This Row],[profissional_id]]&amp;Ocupacao_DW[[#This Row],[local_id]]</f>
        <v>446362567349</v>
      </c>
      <c r="H6655" s="1">
        <f>_xlfn.XLOOKUP(Ocupacao_DW[[#This Row],[Concat]],Vagas!$H:$H,Vagas!$D:$D,"",0)</f>
        <v>0</v>
      </c>
    </row>
    <row r="6656" spans="1:8" x14ac:dyDescent="0.25">
      <c r="A6656" s="2">
        <v>44636</v>
      </c>
      <c r="B6656" s="1" t="s">
        <v>47</v>
      </c>
      <c r="C6656">
        <v>111</v>
      </c>
      <c r="D6656" s="1" t="s">
        <v>199</v>
      </c>
      <c r="E6656" s="1" t="s">
        <v>4</v>
      </c>
      <c r="F6656">
        <v>51</v>
      </c>
      <c r="G6656" s="1" t="str">
        <f>Ocupacao_DW[[#This Row],[data]]&amp;Ocupacao_DW[[#This Row],[profissional_id]]&amp;Ocupacao_DW[[#This Row],[local_id]]</f>
        <v>4463611151</v>
      </c>
      <c r="H6656" s="1">
        <f>_xlfn.XLOOKUP(Ocupacao_DW[[#This Row],[Concat]],Vagas!$H:$H,Vagas!$D:$D,"",0)</f>
        <v>1</v>
      </c>
    </row>
    <row r="6657" spans="1:8" x14ac:dyDescent="0.25">
      <c r="A6657" s="2">
        <v>44638</v>
      </c>
      <c r="B6657" s="1" t="s">
        <v>56</v>
      </c>
      <c r="C6657">
        <v>13660</v>
      </c>
      <c r="D6657" s="1" t="s">
        <v>250</v>
      </c>
      <c r="E6657" s="1" t="s">
        <v>5</v>
      </c>
      <c r="F6657">
        <v>15</v>
      </c>
      <c r="G6657" s="1" t="str">
        <f>Ocupacao_DW[[#This Row],[data]]&amp;Ocupacao_DW[[#This Row],[profissional_id]]&amp;Ocupacao_DW[[#This Row],[local_id]]</f>
        <v>446381366015</v>
      </c>
      <c r="H6657" s="1">
        <f>_xlfn.XLOOKUP(Ocupacao_DW[[#This Row],[Concat]],Vagas!$H:$H,Vagas!$D:$D,"",0)</f>
        <v>0</v>
      </c>
    </row>
    <row r="6658" spans="1:8" x14ac:dyDescent="0.25">
      <c r="A6658" s="2">
        <v>44636</v>
      </c>
      <c r="B6658" s="1" t="s">
        <v>65</v>
      </c>
      <c r="C6658">
        <v>13058</v>
      </c>
      <c r="D6658" s="1" t="s">
        <v>256</v>
      </c>
      <c r="E6658" s="1" t="s">
        <v>4</v>
      </c>
      <c r="F6658">
        <v>47</v>
      </c>
      <c r="G6658" s="1" t="str">
        <f>Ocupacao_DW[[#This Row],[data]]&amp;Ocupacao_DW[[#This Row],[profissional_id]]&amp;Ocupacao_DW[[#This Row],[local_id]]</f>
        <v>446361305847</v>
      </c>
      <c r="H6658" s="1">
        <f>_xlfn.XLOOKUP(Ocupacao_DW[[#This Row],[Concat]],Vagas!$H:$H,Vagas!$D:$D,"",0)</f>
        <v>0</v>
      </c>
    </row>
    <row r="6659" spans="1:8" x14ac:dyDescent="0.25">
      <c r="A6659" s="2">
        <v>44642</v>
      </c>
      <c r="B6659" s="1" t="s">
        <v>54</v>
      </c>
      <c r="C6659">
        <v>69</v>
      </c>
      <c r="D6659" s="1" t="s">
        <v>238</v>
      </c>
      <c r="E6659" s="1" t="s">
        <v>5</v>
      </c>
      <c r="F6659">
        <v>13</v>
      </c>
      <c r="G6659" s="1" t="str">
        <f>Ocupacao_DW[[#This Row],[data]]&amp;Ocupacao_DW[[#This Row],[profissional_id]]&amp;Ocupacao_DW[[#This Row],[local_id]]</f>
        <v>446426913</v>
      </c>
      <c r="H6659" s="1">
        <f>_xlfn.XLOOKUP(Ocupacao_DW[[#This Row],[Concat]],Vagas!$H:$H,Vagas!$D:$D,"",0)</f>
        <v>0</v>
      </c>
    </row>
    <row r="6660" spans="1:8" x14ac:dyDescent="0.25">
      <c r="A6660" s="2">
        <v>44652</v>
      </c>
      <c r="B6660" s="1" t="s">
        <v>24</v>
      </c>
      <c r="C6660">
        <v>60</v>
      </c>
      <c r="D6660" s="1" t="s">
        <v>217</v>
      </c>
      <c r="E6660" s="1" t="s">
        <v>6</v>
      </c>
      <c r="F6660">
        <v>1</v>
      </c>
      <c r="G6660" s="1" t="str">
        <f>Ocupacao_DW[[#This Row],[data]]&amp;Ocupacao_DW[[#This Row],[profissional_id]]&amp;Ocupacao_DW[[#This Row],[local_id]]</f>
        <v>44652601</v>
      </c>
      <c r="H6660" s="1">
        <f>_xlfn.XLOOKUP(Ocupacao_DW[[#This Row],[Concat]],Vagas!$H:$H,Vagas!$D:$D,"",0)</f>
        <v>0</v>
      </c>
    </row>
    <row r="6661" spans="1:8" x14ac:dyDescent="0.25">
      <c r="A6661" s="2">
        <v>44638</v>
      </c>
      <c r="B6661" s="1" t="s">
        <v>56</v>
      </c>
      <c r="C6661">
        <v>13660</v>
      </c>
      <c r="D6661" s="1" t="s">
        <v>250</v>
      </c>
      <c r="E6661" s="1" t="s">
        <v>5</v>
      </c>
      <c r="F6661">
        <v>15</v>
      </c>
      <c r="G6661" s="1" t="str">
        <f>Ocupacao_DW[[#This Row],[data]]&amp;Ocupacao_DW[[#This Row],[profissional_id]]&amp;Ocupacao_DW[[#This Row],[local_id]]</f>
        <v>446381366015</v>
      </c>
      <c r="H6661" s="1">
        <f>_xlfn.XLOOKUP(Ocupacao_DW[[#This Row],[Concat]],Vagas!$H:$H,Vagas!$D:$D,"",0)</f>
        <v>0</v>
      </c>
    </row>
    <row r="6662" spans="1:8" x14ac:dyDescent="0.25">
      <c r="A6662" s="2">
        <v>44638</v>
      </c>
      <c r="B6662" s="1" t="s">
        <v>49</v>
      </c>
      <c r="C6662">
        <v>81</v>
      </c>
      <c r="D6662" s="1" t="s">
        <v>170</v>
      </c>
      <c r="E6662" s="1" t="s">
        <v>4</v>
      </c>
      <c r="F6662">
        <v>41</v>
      </c>
      <c r="G6662" s="1" t="str">
        <f>Ocupacao_DW[[#This Row],[data]]&amp;Ocupacao_DW[[#This Row],[profissional_id]]&amp;Ocupacao_DW[[#This Row],[local_id]]</f>
        <v>446388141</v>
      </c>
      <c r="H6662" s="1">
        <f>_xlfn.XLOOKUP(Ocupacao_DW[[#This Row],[Concat]],Vagas!$H:$H,Vagas!$D:$D,"",0)</f>
        <v>0</v>
      </c>
    </row>
    <row r="6663" spans="1:8" x14ac:dyDescent="0.25">
      <c r="A6663" s="2">
        <v>44641</v>
      </c>
      <c r="B6663" s="1" t="s">
        <v>46</v>
      </c>
      <c r="C6663">
        <v>17888</v>
      </c>
      <c r="D6663" s="1" t="s">
        <v>255</v>
      </c>
      <c r="E6663" s="1" t="s">
        <v>4</v>
      </c>
      <c r="F6663">
        <v>40</v>
      </c>
      <c r="G6663" s="1" t="str">
        <f>Ocupacao_DW[[#This Row],[data]]&amp;Ocupacao_DW[[#This Row],[profissional_id]]&amp;Ocupacao_DW[[#This Row],[local_id]]</f>
        <v>446411788840</v>
      </c>
      <c r="H6663" s="1">
        <f>_xlfn.XLOOKUP(Ocupacao_DW[[#This Row],[Concat]],Vagas!$H:$H,Vagas!$D:$D,"",0)</f>
        <v>26</v>
      </c>
    </row>
    <row r="6664" spans="1:8" x14ac:dyDescent="0.25">
      <c r="A6664" s="2">
        <v>44635</v>
      </c>
      <c r="B6664" s="1" t="s">
        <v>49</v>
      </c>
      <c r="C6664">
        <v>81</v>
      </c>
      <c r="D6664" s="1" t="s">
        <v>170</v>
      </c>
      <c r="E6664" s="1" t="s">
        <v>7</v>
      </c>
      <c r="F6664">
        <v>71</v>
      </c>
      <c r="G6664" s="1" t="str">
        <f>Ocupacao_DW[[#This Row],[data]]&amp;Ocupacao_DW[[#This Row],[profissional_id]]&amp;Ocupacao_DW[[#This Row],[local_id]]</f>
        <v>446358171</v>
      </c>
      <c r="H6664" s="1">
        <f>_xlfn.XLOOKUP(Ocupacao_DW[[#This Row],[Concat]],Vagas!$H:$H,Vagas!$D:$D,"",0)</f>
        <v>0</v>
      </c>
    </row>
    <row r="6665" spans="1:8" x14ac:dyDescent="0.25">
      <c r="A6665" s="2">
        <v>44641</v>
      </c>
      <c r="B6665" s="1" t="s">
        <v>56</v>
      </c>
      <c r="C6665">
        <v>75</v>
      </c>
      <c r="D6665" s="1" t="s">
        <v>208</v>
      </c>
      <c r="E6665" s="1" t="s">
        <v>5</v>
      </c>
      <c r="F6665">
        <v>15</v>
      </c>
      <c r="G6665" s="1" t="str">
        <f>Ocupacao_DW[[#This Row],[data]]&amp;Ocupacao_DW[[#This Row],[profissional_id]]&amp;Ocupacao_DW[[#This Row],[local_id]]</f>
        <v>446417515</v>
      </c>
      <c r="H6665" s="1">
        <f>_xlfn.XLOOKUP(Ocupacao_DW[[#This Row],[Concat]],Vagas!$H:$H,Vagas!$D:$D,"",0)</f>
        <v>0</v>
      </c>
    </row>
    <row r="6666" spans="1:8" x14ac:dyDescent="0.25">
      <c r="A6666" s="2">
        <v>44638</v>
      </c>
      <c r="B6666" s="1" t="s">
        <v>49</v>
      </c>
      <c r="C6666">
        <v>81</v>
      </c>
      <c r="D6666" s="1" t="s">
        <v>170</v>
      </c>
      <c r="E6666" s="1" t="s">
        <v>4</v>
      </c>
      <c r="F6666">
        <v>41</v>
      </c>
      <c r="G6666" s="1" t="str">
        <f>Ocupacao_DW[[#This Row],[data]]&amp;Ocupacao_DW[[#This Row],[profissional_id]]&amp;Ocupacao_DW[[#This Row],[local_id]]</f>
        <v>446388141</v>
      </c>
      <c r="H6666" s="1">
        <f>_xlfn.XLOOKUP(Ocupacao_DW[[#This Row],[Concat]],Vagas!$H:$H,Vagas!$D:$D,"",0)</f>
        <v>0</v>
      </c>
    </row>
    <row r="6667" spans="1:8" x14ac:dyDescent="0.25">
      <c r="A6667" s="2">
        <v>44641</v>
      </c>
      <c r="B6667" s="1" t="s">
        <v>56</v>
      </c>
      <c r="C6667">
        <v>75</v>
      </c>
      <c r="D6667" s="1" t="s">
        <v>208</v>
      </c>
      <c r="E6667" s="1" t="s">
        <v>5</v>
      </c>
      <c r="F6667">
        <v>15</v>
      </c>
      <c r="G6667" s="1" t="str">
        <f>Ocupacao_DW[[#This Row],[data]]&amp;Ocupacao_DW[[#This Row],[profissional_id]]&amp;Ocupacao_DW[[#This Row],[local_id]]</f>
        <v>446417515</v>
      </c>
      <c r="H6667" s="1">
        <f>_xlfn.XLOOKUP(Ocupacao_DW[[#This Row],[Concat]],Vagas!$H:$H,Vagas!$D:$D,"",0)</f>
        <v>0</v>
      </c>
    </row>
    <row r="6668" spans="1:8" x14ac:dyDescent="0.25">
      <c r="A6668" s="2">
        <v>44642</v>
      </c>
      <c r="B6668" s="1" t="s">
        <v>47</v>
      </c>
      <c r="C6668">
        <v>111</v>
      </c>
      <c r="D6668" s="1" t="s">
        <v>199</v>
      </c>
      <c r="E6668" s="1" t="s">
        <v>4</v>
      </c>
      <c r="F6668">
        <v>51</v>
      </c>
      <c r="G6668" s="1" t="str">
        <f>Ocupacao_DW[[#This Row],[data]]&amp;Ocupacao_DW[[#This Row],[profissional_id]]&amp;Ocupacao_DW[[#This Row],[local_id]]</f>
        <v>4464211151</v>
      </c>
      <c r="H6668" s="1">
        <f>_xlfn.XLOOKUP(Ocupacao_DW[[#This Row],[Concat]],Vagas!$H:$H,Vagas!$D:$D,"",0)</f>
        <v>25</v>
      </c>
    </row>
    <row r="6669" spans="1:8" x14ac:dyDescent="0.25">
      <c r="A6669" s="2">
        <v>44642</v>
      </c>
      <c r="B6669" s="1" t="s">
        <v>49</v>
      </c>
      <c r="C6669">
        <v>10600</v>
      </c>
      <c r="D6669" s="1" t="s">
        <v>248</v>
      </c>
      <c r="E6669" s="1" t="s">
        <v>200</v>
      </c>
      <c r="F6669">
        <v>86</v>
      </c>
      <c r="G6669" s="1" t="str">
        <f>Ocupacao_DW[[#This Row],[data]]&amp;Ocupacao_DW[[#This Row],[profissional_id]]&amp;Ocupacao_DW[[#This Row],[local_id]]</f>
        <v>446421060086</v>
      </c>
      <c r="H6669" s="1">
        <f>_xlfn.XLOOKUP(Ocupacao_DW[[#This Row],[Concat]],Vagas!$H:$H,Vagas!$D:$D,"",0)</f>
        <v>0</v>
      </c>
    </row>
    <row r="6670" spans="1:8" x14ac:dyDescent="0.25">
      <c r="A6670" s="2">
        <v>44636</v>
      </c>
      <c r="B6670" s="1" t="s">
        <v>52</v>
      </c>
      <c r="C6670">
        <v>10691</v>
      </c>
      <c r="D6670" s="1" t="s">
        <v>181</v>
      </c>
      <c r="E6670" s="1" t="s">
        <v>6</v>
      </c>
      <c r="F6670">
        <v>9</v>
      </c>
      <c r="G6670" s="1" t="str">
        <f>Ocupacao_DW[[#This Row],[data]]&amp;Ocupacao_DW[[#This Row],[profissional_id]]&amp;Ocupacao_DW[[#This Row],[local_id]]</f>
        <v>44636106919</v>
      </c>
      <c r="H6670" s="1">
        <f>_xlfn.XLOOKUP(Ocupacao_DW[[#This Row],[Concat]],Vagas!$H:$H,Vagas!$D:$D,"",0)</f>
        <v>0</v>
      </c>
    </row>
    <row r="6671" spans="1:8" x14ac:dyDescent="0.25">
      <c r="A6671" s="2">
        <v>44637</v>
      </c>
      <c r="B6671" s="1" t="s">
        <v>49</v>
      </c>
      <c r="C6671">
        <v>3092</v>
      </c>
      <c r="D6671" s="1" t="s">
        <v>262</v>
      </c>
      <c r="E6671" s="1" t="s">
        <v>4</v>
      </c>
      <c r="F6671">
        <v>43</v>
      </c>
      <c r="G6671" s="1" t="str">
        <f>Ocupacao_DW[[#This Row],[data]]&amp;Ocupacao_DW[[#This Row],[profissional_id]]&amp;Ocupacao_DW[[#This Row],[local_id]]</f>
        <v>44637309243</v>
      </c>
      <c r="H6671" s="1">
        <f>_xlfn.XLOOKUP(Ocupacao_DW[[#This Row],[Concat]],Vagas!$H:$H,Vagas!$D:$D,"",0)</f>
        <v>0</v>
      </c>
    </row>
    <row r="6672" spans="1:8" x14ac:dyDescent="0.25">
      <c r="A6672" s="2">
        <v>44638</v>
      </c>
      <c r="B6672" s="1" t="s">
        <v>67</v>
      </c>
      <c r="C6672">
        <v>10717</v>
      </c>
      <c r="D6672" s="1" t="s">
        <v>245</v>
      </c>
      <c r="E6672" s="1" t="s">
        <v>5</v>
      </c>
      <c r="F6672">
        <v>18</v>
      </c>
      <c r="G6672" s="1" t="str">
        <f>Ocupacao_DW[[#This Row],[data]]&amp;Ocupacao_DW[[#This Row],[profissional_id]]&amp;Ocupacao_DW[[#This Row],[local_id]]</f>
        <v>446381071718</v>
      </c>
      <c r="H6672" s="1">
        <f>_xlfn.XLOOKUP(Ocupacao_DW[[#This Row],[Concat]],Vagas!$H:$H,Vagas!$D:$D,"",0)</f>
        <v>0</v>
      </c>
    </row>
    <row r="6673" spans="1:8" x14ac:dyDescent="0.25">
      <c r="A6673" s="2">
        <v>44638</v>
      </c>
      <c r="B6673" s="1" t="s">
        <v>56</v>
      </c>
      <c r="C6673">
        <v>13660</v>
      </c>
      <c r="D6673" s="1" t="s">
        <v>250</v>
      </c>
      <c r="E6673" s="1" t="s">
        <v>5</v>
      </c>
      <c r="F6673">
        <v>15</v>
      </c>
      <c r="G6673" s="1" t="str">
        <f>Ocupacao_DW[[#This Row],[data]]&amp;Ocupacao_DW[[#This Row],[profissional_id]]&amp;Ocupacao_DW[[#This Row],[local_id]]</f>
        <v>446381366015</v>
      </c>
      <c r="H6673" s="1">
        <f>_xlfn.XLOOKUP(Ocupacao_DW[[#This Row],[Concat]],Vagas!$H:$H,Vagas!$D:$D,"",0)</f>
        <v>0</v>
      </c>
    </row>
    <row r="6674" spans="1:8" x14ac:dyDescent="0.25">
      <c r="A6674" s="2">
        <v>44638</v>
      </c>
      <c r="B6674" s="1" t="s">
        <v>47</v>
      </c>
      <c r="C6674">
        <v>13371</v>
      </c>
      <c r="D6674" s="1" t="s">
        <v>205</v>
      </c>
      <c r="E6674" s="1" t="s">
        <v>4</v>
      </c>
      <c r="F6674">
        <v>336</v>
      </c>
      <c r="G6674" s="1" t="str">
        <f>Ocupacao_DW[[#This Row],[data]]&amp;Ocupacao_DW[[#This Row],[profissional_id]]&amp;Ocupacao_DW[[#This Row],[local_id]]</f>
        <v>4463813371336</v>
      </c>
      <c r="H6674" s="1" t="str">
        <f>_xlfn.XLOOKUP(Ocupacao_DW[[#This Row],[Concat]],Vagas!$H:$H,Vagas!$D:$D,"",0)</f>
        <v/>
      </c>
    </row>
    <row r="6675" spans="1:8" x14ac:dyDescent="0.25">
      <c r="A6675" s="2">
        <v>44638</v>
      </c>
      <c r="B6675" s="1" t="s">
        <v>56</v>
      </c>
      <c r="C6675">
        <v>13660</v>
      </c>
      <c r="D6675" s="1" t="s">
        <v>250</v>
      </c>
      <c r="E6675" s="1" t="s">
        <v>5</v>
      </c>
      <c r="F6675">
        <v>15</v>
      </c>
      <c r="G6675" s="1" t="str">
        <f>Ocupacao_DW[[#This Row],[data]]&amp;Ocupacao_DW[[#This Row],[profissional_id]]&amp;Ocupacao_DW[[#This Row],[local_id]]</f>
        <v>446381366015</v>
      </c>
      <c r="H6675" s="1">
        <f>_xlfn.XLOOKUP(Ocupacao_DW[[#This Row],[Concat]],Vagas!$H:$H,Vagas!$D:$D,"",0)</f>
        <v>0</v>
      </c>
    </row>
    <row r="6676" spans="1:8" x14ac:dyDescent="0.25">
      <c r="A6676" s="2">
        <v>44643</v>
      </c>
      <c r="B6676" s="1" t="s">
        <v>60</v>
      </c>
      <c r="C6676">
        <v>14326</v>
      </c>
      <c r="D6676" s="1" t="s">
        <v>220</v>
      </c>
      <c r="E6676" s="1" t="s">
        <v>4</v>
      </c>
      <c r="F6676">
        <v>43</v>
      </c>
      <c r="G6676" s="1" t="str">
        <f>Ocupacao_DW[[#This Row],[data]]&amp;Ocupacao_DW[[#This Row],[profissional_id]]&amp;Ocupacao_DW[[#This Row],[local_id]]</f>
        <v>446431432643</v>
      </c>
      <c r="H6676" s="1">
        <f>_xlfn.XLOOKUP(Ocupacao_DW[[#This Row],[Concat]],Vagas!$H:$H,Vagas!$D:$D,"",0)</f>
        <v>0</v>
      </c>
    </row>
    <row r="6677" spans="1:8" x14ac:dyDescent="0.25">
      <c r="A6677" s="2">
        <v>44643</v>
      </c>
      <c r="B6677" s="1" t="s">
        <v>52</v>
      </c>
      <c r="C6677">
        <v>60</v>
      </c>
      <c r="D6677" s="1" t="s">
        <v>217</v>
      </c>
      <c r="E6677" s="1" t="s">
        <v>6</v>
      </c>
      <c r="F6677">
        <v>8</v>
      </c>
      <c r="G6677" s="1" t="str">
        <f>Ocupacao_DW[[#This Row],[data]]&amp;Ocupacao_DW[[#This Row],[profissional_id]]&amp;Ocupacao_DW[[#This Row],[local_id]]</f>
        <v>44643608</v>
      </c>
      <c r="H6677" s="1">
        <f>_xlfn.XLOOKUP(Ocupacao_DW[[#This Row],[Concat]],Vagas!$H:$H,Vagas!$D:$D,"",0)</f>
        <v>0</v>
      </c>
    </row>
    <row r="6678" spans="1:8" x14ac:dyDescent="0.25">
      <c r="A6678" s="2">
        <v>44646</v>
      </c>
      <c r="B6678" s="1" t="s">
        <v>52</v>
      </c>
      <c r="C6678">
        <v>60</v>
      </c>
      <c r="D6678" s="1" t="s">
        <v>217</v>
      </c>
      <c r="E6678" s="1" t="s">
        <v>6</v>
      </c>
      <c r="F6678">
        <v>6</v>
      </c>
      <c r="G6678" s="1" t="str">
        <f>Ocupacao_DW[[#This Row],[data]]&amp;Ocupacao_DW[[#This Row],[profissional_id]]&amp;Ocupacao_DW[[#This Row],[local_id]]</f>
        <v>44646606</v>
      </c>
      <c r="H6678" s="1">
        <f>_xlfn.XLOOKUP(Ocupacao_DW[[#This Row],[Concat]],Vagas!$H:$H,Vagas!$D:$D,"",0)</f>
        <v>0</v>
      </c>
    </row>
    <row r="6679" spans="1:8" x14ac:dyDescent="0.25">
      <c r="A6679" s="2">
        <v>44643</v>
      </c>
      <c r="B6679" s="1" t="s">
        <v>52</v>
      </c>
      <c r="C6679">
        <v>10691</v>
      </c>
      <c r="D6679" s="1" t="s">
        <v>181</v>
      </c>
      <c r="E6679" s="1" t="s">
        <v>6</v>
      </c>
      <c r="F6679">
        <v>9</v>
      </c>
      <c r="G6679" s="1" t="str">
        <f>Ocupacao_DW[[#This Row],[data]]&amp;Ocupacao_DW[[#This Row],[profissional_id]]&amp;Ocupacao_DW[[#This Row],[local_id]]</f>
        <v>44643106919</v>
      </c>
      <c r="H6679" s="1">
        <f>_xlfn.XLOOKUP(Ocupacao_DW[[#This Row],[Concat]],Vagas!$H:$H,Vagas!$D:$D,"",0)</f>
        <v>0</v>
      </c>
    </row>
    <row r="6680" spans="1:8" x14ac:dyDescent="0.25">
      <c r="A6680" s="2">
        <v>44637</v>
      </c>
      <c r="B6680" s="1" t="s">
        <v>50</v>
      </c>
      <c r="C6680">
        <v>4814</v>
      </c>
      <c r="D6680" s="1" t="s">
        <v>189</v>
      </c>
      <c r="E6680" s="1" t="s">
        <v>5</v>
      </c>
      <c r="F6680">
        <v>14</v>
      </c>
      <c r="G6680" s="1" t="str">
        <f>Ocupacao_DW[[#This Row],[data]]&amp;Ocupacao_DW[[#This Row],[profissional_id]]&amp;Ocupacao_DW[[#This Row],[local_id]]</f>
        <v>44637481414</v>
      </c>
      <c r="H6680" s="1">
        <f>_xlfn.XLOOKUP(Ocupacao_DW[[#This Row],[Concat]],Vagas!$H:$H,Vagas!$D:$D,"",0)</f>
        <v>0</v>
      </c>
    </row>
    <row r="6681" spans="1:8" x14ac:dyDescent="0.25">
      <c r="A6681" s="2">
        <v>44638</v>
      </c>
      <c r="B6681" s="1" t="s">
        <v>47</v>
      </c>
      <c r="C6681">
        <v>12684</v>
      </c>
      <c r="D6681" s="1" t="s">
        <v>236</v>
      </c>
      <c r="E6681" s="1" t="s">
        <v>200</v>
      </c>
      <c r="F6681">
        <v>85</v>
      </c>
      <c r="G6681" s="1" t="str">
        <f>Ocupacao_DW[[#This Row],[data]]&amp;Ocupacao_DW[[#This Row],[profissional_id]]&amp;Ocupacao_DW[[#This Row],[local_id]]</f>
        <v>446381268485</v>
      </c>
      <c r="H6681" s="1">
        <f>_xlfn.XLOOKUP(Ocupacao_DW[[#This Row],[Concat]],Vagas!$H:$H,Vagas!$D:$D,"",0)</f>
        <v>0</v>
      </c>
    </row>
    <row r="6682" spans="1:8" x14ac:dyDescent="0.25">
      <c r="A6682" s="2">
        <v>44637</v>
      </c>
      <c r="B6682" s="1" t="s">
        <v>62</v>
      </c>
      <c r="C6682">
        <v>2567</v>
      </c>
      <c r="D6682" s="1" t="s">
        <v>198</v>
      </c>
      <c r="E6682" s="1" t="s">
        <v>5</v>
      </c>
      <c r="F6682">
        <v>18</v>
      </c>
      <c r="G6682" s="1" t="str">
        <f>Ocupacao_DW[[#This Row],[data]]&amp;Ocupacao_DW[[#This Row],[profissional_id]]&amp;Ocupacao_DW[[#This Row],[local_id]]</f>
        <v>44637256718</v>
      </c>
      <c r="H6682" s="1">
        <f>_xlfn.XLOOKUP(Ocupacao_DW[[#This Row],[Concat]],Vagas!$H:$H,Vagas!$D:$D,"",0)</f>
        <v>0</v>
      </c>
    </row>
    <row r="6683" spans="1:8" x14ac:dyDescent="0.25">
      <c r="A6683" s="2">
        <v>44638</v>
      </c>
      <c r="B6683" s="1" t="s">
        <v>47</v>
      </c>
      <c r="C6683">
        <v>12684</v>
      </c>
      <c r="D6683" s="1" t="s">
        <v>236</v>
      </c>
      <c r="E6683" s="1" t="s">
        <v>200</v>
      </c>
      <c r="F6683">
        <v>85</v>
      </c>
      <c r="G6683" s="1" t="str">
        <f>Ocupacao_DW[[#This Row],[data]]&amp;Ocupacao_DW[[#This Row],[profissional_id]]&amp;Ocupacao_DW[[#This Row],[local_id]]</f>
        <v>446381268485</v>
      </c>
      <c r="H6683" s="1">
        <f>_xlfn.XLOOKUP(Ocupacao_DW[[#This Row],[Concat]],Vagas!$H:$H,Vagas!$D:$D,"",0)</f>
        <v>0</v>
      </c>
    </row>
    <row r="6684" spans="1:8" x14ac:dyDescent="0.25">
      <c r="A6684" s="2">
        <v>44638</v>
      </c>
      <c r="B6684" s="1" t="s">
        <v>47</v>
      </c>
      <c r="C6684">
        <v>9111</v>
      </c>
      <c r="D6684" s="1" t="s">
        <v>206</v>
      </c>
      <c r="E6684" s="1" t="s">
        <v>4</v>
      </c>
      <c r="F6684">
        <v>51</v>
      </c>
      <c r="G6684" s="1" t="str">
        <f>Ocupacao_DW[[#This Row],[data]]&amp;Ocupacao_DW[[#This Row],[profissional_id]]&amp;Ocupacao_DW[[#This Row],[local_id]]</f>
        <v>44638911151</v>
      </c>
      <c r="H6684" s="1">
        <f>_xlfn.XLOOKUP(Ocupacao_DW[[#This Row],[Concat]],Vagas!$H:$H,Vagas!$D:$D,"",0)</f>
        <v>0</v>
      </c>
    </row>
    <row r="6685" spans="1:8" x14ac:dyDescent="0.25">
      <c r="A6685" s="2">
        <v>44641</v>
      </c>
      <c r="B6685" s="1" t="s">
        <v>72</v>
      </c>
      <c r="C6685">
        <v>6046</v>
      </c>
      <c r="D6685" s="1" t="s">
        <v>222</v>
      </c>
      <c r="E6685" s="1" t="s">
        <v>7</v>
      </c>
      <c r="F6685">
        <v>62</v>
      </c>
      <c r="G6685" s="1" t="str">
        <f>Ocupacao_DW[[#This Row],[data]]&amp;Ocupacao_DW[[#This Row],[profissional_id]]&amp;Ocupacao_DW[[#This Row],[local_id]]</f>
        <v>44641604662</v>
      </c>
      <c r="H6685" s="1">
        <f>_xlfn.XLOOKUP(Ocupacao_DW[[#This Row],[Concat]],Vagas!$H:$H,Vagas!$D:$D,"",0)</f>
        <v>0</v>
      </c>
    </row>
    <row r="6686" spans="1:8" x14ac:dyDescent="0.25">
      <c r="A6686" s="2">
        <v>44635</v>
      </c>
      <c r="B6686" s="1" t="s">
        <v>68</v>
      </c>
      <c r="C6686">
        <v>14371</v>
      </c>
      <c r="D6686" s="1" t="s">
        <v>273</v>
      </c>
      <c r="E6686" s="1" t="s">
        <v>7</v>
      </c>
      <c r="F6686">
        <v>60</v>
      </c>
      <c r="G6686" s="1" t="str">
        <f>Ocupacao_DW[[#This Row],[data]]&amp;Ocupacao_DW[[#This Row],[profissional_id]]&amp;Ocupacao_DW[[#This Row],[local_id]]</f>
        <v>446351437160</v>
      </c>
      <c r="H6686" s="1">
        <f>_xlfn.XLOOKUP(Ocupacao_DW[[#This Row],[Concat]],Vagas!$H:$H,Vagas!$D:$D,"",0)</f>
        <v>19</v>
      </c>
    </row>
    <row r="6687" spans="1:8" x14ac:dyDescent="0.25">
      <c r="A6687" s="2">
        <v>44635</v>
      </c>
      <c r="B6687" s="1" t="s">
        <v>82</v>
      </c>
      <c r="C6687">
        <v>17881</v>
      </c>
      <c r="D6687" s="1" t="s">
        <v>292</v>
      </c>
      <c r="E6687" s="1" t="s">
        <v>167</v>
      </c>
      <c r="F6687">
        <v>20</v>
      </c>
      <c r="G6687" s="1" t="str">
        <f>Ocupacao_DW[[#This Row],[data]]&amp;Ocupacao_DW[[#This Row],[profissional_id]]&amp;Ocupacao_DW[[#This Row],[local_id]]</f>
        <v>446351788120</v>
      </c>
      <c r="H6687" s="1">
        <f>_xlfn.XLOOKUP(Ocupacao_DW[[#This Row],[Concat]],Vagas!$H:$H,Vagas!$D:$D,"",0)</f>
        <v>180</v>
      </c>
    </row>
    <row r="6688" spans="1:8" x14ac:dyDescent="0.25">
      <c r="A6688" s="2">
        <v>44638</v>
      </c>
      <c r="B6688" s="1" t="s">
        <v>52</v>
      </c>
      <c r="C6688">
        <v>55</v>
      </c>
      <c r="D6688" s="1" t="s">
        <v>244</v>
      </c>
      <c r="E6688" s="1" t="s">
        <v>7</v>
      </c>
      <c r="F6688">
        <v>68</v>
      </c>
      <c r="G6688" s="1" t="str">
        <f>Ocupacao_DW[[#This Row],[data]]&amp;Ocupacao_DW[[#This Row],[profissional_id]]&amp;Ocupacao_DW[[#This Row],[local_id]]</f>
        <v>446385568</v>
      </c>
      <c r="H6688" s="1">
        <f>_xlfn.XLOOKUP(Ocupacao_DW[[#This Row],[Concat]],Vagas!$H:$H,Vagas!$D:$D,"",0)</f>
        <v>0</v>
      </c>
    </row>
    <row r="6689" spans="1:8" x14ac:dyDescent="0.25">
      <c r="A6689" s="2">
        <v>44638</v>
      </c>
      <c r="B6689" s="1" t="s">
        <v>56</v>
      </c>
      <c r="C6689">
        <v>13660</v>
      </c>
      <c r="D6689" s="1" t="s">
        <v>250</v>
      </c>
      <c r="E6689" s="1" t="s">
        <v>5</v>
      </c>
      <c r="F6689">
        <v>15</v>
      </c>
      <c r="G6689" s="1" t="str">
        <f>Ocupacao_DW[[#This Row],[data]]&amp;Ocupacao_DW[[#This Row],[profissional_id]]&amp;Ocupacao_DW[[#This Row],[local_id]]</f>
        <v>446381366015</v>
      </c>
      <c r="H6689" s="1">
        <f>_xlfn.XLOOKUP(Ocupacao_DW[[#This Row],[Concat]],Vagas!$H:$H,Vagas!$D:$D,"",0)</f>
        <v>0</v>
      </c>
    </row>
    <row r="6690" spans="1:8" x14ac:dyDescent="0.25">
      <c r="A6690" s="2">
        <v>44638</v>
      </c>
      <c r="B6690" s="1" t="s">
        <v>69</v>
      </c>
      <c r="C6690">
        <v>13249</v>
      </c>
      <c r="D6690" s="1" t="s">
        <v>178</v>
      </c>
      <c r="E6690" s="1" t="s">
        <v>7</v>
      </c>
      <c r="F6690">
        <v>66</v>
      </c>
      <c r="G6690" s="1" t="str">
        <f>Ocupacao_DW[[#This Row],[data]]&amp;Ocupacao_DW[[#This Row],[profissional_id]]&amp;Ocupacao_DW[[#This Row],[local_id]]</f>
        <v>446381324966</v>
      </c>
      <c r="H6690" s="1">
        <f>_xlfn.XLOOKUP(Ocupacao_DW[[#This Row],[Concat]],Vagas!$H:$H,Vagas!$D:$D,"",0)</f>
        <v>0</v>
      </c>
    </row>
    <row r="6691" spans="1:8" x14ac:dyDescent="0.25">
      <c r="A6691" s="2">
        <v>44645</v>
      </c>
      <c r="B6691" s="1" t="s">
        <v>43</v>
      </c>
      <c r="C6691">
        <v>17864</v>
      </c>
      <c r="D6691" s="1" t="s">
        <v>234</v>
      </c>
      <c r="E6691" s="1" t="s">
        <v>200</v>
      </c>
      <c r="F6691">
        <v>360</v>
      </c>
      <c r="G6691" s="1" t="str">
        <f>Ocupacao_DW[[#This Row],[data]]&amp;Ocupacao_DW[[#This Row],[profissional_id]]&amp;Ocupacao_DW[[#This Row],[local_id]]</f>
        <v>4464517864360</v>
      </c>
      <c r="H6691" s="1">
        <f>_xlfn.XLOOKUP(Ocupacao_DW[[#This Row],[Concat]],Vagas!$H:$H,Vagas!$D:$D,"",0)</f>
        <v>20</v>
      </c>
    </row>
    <row r="6692" spans="1:8" x14ac:dyDescent="0.25">
      <c r="A6692" s="2">
        <v>44635</v>
      </c>
      <c r="B6692" s="1" t="s">
        <v>64</v>
      </c>
      <c r="C6692">
        <v>85</v>
      </c>
      <c r="D6692" s="1" t="s">
        <v>211</v>
      </c>
      <c r="E6692" s="1" t="s">
        <v>5</v>
      </c>
      <c r="F6692">
        <v>349</v>
      </c>
      <c r="G6692" s="1" t="str">
        <f>Ocupacao_DW[[#This Row],[data]]&amp;Ocupacao_DW[[#This Row],[profissional_id]]&amp;Ocupacao_DW[[#This Row],[local_id]]</f>
        <v>4463585349</v>
      </c>
      <c r="H6692" s="1">
        <f>_xlfn.XLOOKUP(Ocupacao_DW[[#This Row],[Concat]],Vagas!$H:$H,Vagas!$D:$D,"",0)</f>
        <v>0</v>
      </c>
    </row>
    <row r="6693" spans="1:8" x14ac:dyDescent="0.25">
      <c r="A6693" s="2">
        <v>44638</v>
      </c>
      <c r="B6693" s="1" t="s">
        <v>64</v>
      </c>
      <c r="C6693">
        <v>86</v>
      </c>
      <c r="D6693" s="1" t="s">
        <v>175</v>
      </c>
      <c r="E6693" s="1" t="s">
        <v>5</v>
      </c>
      <c r="F6693">
        <v>349</v>
      </c>
      <c r="G6693" s="1" t="str">
        <f>Ocupacao_DW[[#This Row],[data]]&amp;Ocupacao_DW[[#This Row],[profissional_id]]&amp;Ocupacao_DW[[#This Row],[local_id]]</f>
        <v>4463886349</v>
      </c>
      <c r="H6693" s="1">
        <f>_xlfn.XLOOKUP(Ocupacao_DW[[#This Row],[Concat]],Vagas!$H:$H,Vagas!$D:$D,"",0)</f>
        <v>0</v>
      </c>
    </row>
    <row r="6694" spans="1:8" x14ac:dyDescent="0.25">
      <c r="A6694" s="2">
        <v>44635</v>
      </c>
      <c r="B6694" s="1" t="s">
        <v>71</v>
      </c>
      <c r="C6694">
        <v>282</v>
      </c>
      <c r="D6694" s="1" t="s">
        <v>210</v>
      </c>
      <c r="E6694" s="1" t="s">
        <v>4</v>
      </c>
      <c r="F6694">
        <v>48</v>
      </c>
      <c r="G6694" s="1" t="str">
        <f>Ocupacao_DW[[#This Row],[data]]&amp;Ocupacao_DW[[#This Row],[profissional_id]]&amp;Ocupacao_DW[[#This Row],[local_id]]</f>
        <v>4463528248</v>
      </c>
      <c r="H6694" s="1">
        <f>_xlfn.XLOOKUP(Ocupacao_DW[[#This Row],[Concat]],Vagas!$H:$H,Vagas!$D:$D,"",0)</f>
        <v>0</v>
      </c>
    </row>
    <row r="6695" spans="1:8" x14ac:dyDescent="0.25">
      <c r="A6695" s="2">
        <v>44658</v>
      </c>
      <c r="B6695" s="1" t="s">
        <v>55</v>
      </c>
      <c r="C6695">
        <v>74</v>
      </c>
      <c r="D6695" s="1" t="s">
        <v>182</v>
      </c>
      <c r="E6695" s="1" t="s">
        <v>6</v>
      </c>
      <c r="F6695">
        <v>7</v>
      </c>
      <c r="G6695" s="1" t="str">
        <f>Ocupacao_DW[[#This Row],[data]]&amp;Ocupacao_DW[[#This Row],[profissional_id]]&amp;Ocupacao_DW[[#This Row],[local_id]]</f>
        <v>44658747</v>
      </c>
      <c r="H6695" s="1">
        <f>_xlfn.XLOOKUP(Ocupacao_DW[[#This Row],[Concat]],Vagas!$H:$H,Vagas!$D:$D,"",0)</f>
        <v>7</v>
      </c>
    </row>
    <row r="6696" spans="1:8" x14ac:dyDescent="0.25">
      <c r="A6696" s="2">
        <v>44643</v>
      </c>
      <c r="B6696" s="1" t="s">
        <v>52</v>
      </c>
      <c r="C6696">
        <v>10691</v>
      </c>
      <c r="D6696" s="1" t="s">
        <v>181</v>
      </c>
      <c r="E6696" s="1" t="s">
        <v>6</v>
      </c>
      <c r="F6696">
        <v>9</v>
      </c>
      <c r="G6696" s="1" t="str">
        <f>Ocupacao_DW[[#This Row],[data]]&amp;Ocupacao_DW[[#This Row],[profissional_id]]&amp;Ocupacao_DW[[#This Row],[local_id]]</f>
        <v>44643106919</v>
      </c>
      <c r="H6696" s="1">
        <f>_xlfn.XLOOKUP(Ocupacao_DW[[#This Row],[Concat]],Vagas!$H:$H,Vagas!$D:$D,"",0)</f>
        <v>0</v>
      </c>
    </row>
    <row r="6697" spans="1:8" x14ac:dyDescent="0.25">
      <c r="A6697" s="2">
        <v>44642</v>
      </c>
      <c r="B6697" s="1" t="s">
        <v>55</v>
      </c>
      <c r="C6697">
        <v>14452</v>
      </c>
      <c r="D6697" s="1" t="s">
        <v>266</v>
      </c>
      <c r="E6697" s="1" t="s">
        <v>200</v>
      </c>
      <c r="F6697">
        <v>78</v>
      </c>
      <c r="G6697" s="1" t="str">
        <f>Ocupacao_DW[[#This Row],[data]]&amp;Ocupacao_DW[[#This Row],[profissional_id]]&amp;Ocupacao_DW[[#This Row],[local_id]]</f>
        <v>446421445278</v>
      </c>
      <c r="H6697" s="1">
        <f>_xlfn.XLOOKUP(Ocupacao_DW[[#This Row],[Concat]],Vagas!$H:$H,Vagas!$D:$D,"",0)</f>
        <v>0</v>
      </c>
    </row>
    <row r="6698" spans="1:8" x14ac:dyDescent="0.25">
      <c r="A6698" s="2">
        <v>44650</v>
      </c>
      <c r="B6698" s="1" t="s">
        <v>58</v>
      </c>
      <c r="C6698">
        <v>5767</v>
      </c>
      <c r="D6698" s="1" t="s">
        <v>239</v>
      </c>
      <c r="E6698" s="1" t="s">
        <v>4</v>
      </c>
      <c r="F6698">
        <v>44</v>
      </c>
      <c r="G6698" s="1" t="str">
        <f>Ocupacao_DW[[#This Row],[data]]&amp;Ocupacao_DW[[#This Row],[profissional_id]]&amp;Ocupacao_DW[[#This Row],[local_id]]</f>
        <v>44650576744</v>
      </c>
      <c r="H6698" s="1">
        <f>_xlfn.XLOOKUP(Ocupacao_DW[[#This Row],[Concat]],Vagas!$H:$H,Vagas!$D:$D,"",0)</f>
        <v>14</v>
      </c>
    </row>
    <row r="6699" spans="1:8" x14ac:dyDescent="0.25">
      <c r="A6699" s="2">
        <v>44641</v>
      </c>
      <c r="B6699" s="1" t="s">
        <v>49</v>
      </c>
      <c r="C6699">
        <v>81</v>
      </c>
      <c r="D6699" s="1" t="s">
        <v>170</v>
      </c>
      <c r="E6699" s="1" t="s">
        <v>4</v>
      </c>
      <c r="F6699">
        <v>41</v>
      </c>
      <c r="G6699" s="1" t="str">
        <f>Ocupacao_DW[[#This Row],[data]]&amp;Ocupacao_DW[[#This Row],[profissional_id]]&amp;Ocupacao_DW[[#This Row],[local_id]]</f>
        <v>446418141</v>
      </c>
      <c r="H6699" s="1">
        <f>_xlfn.XLOOKUP(Ocupacao_DW[[#This Row],[Concat]],Vagas!$H:$H,Vagas!$D:$D,"",0)</f>
        <v>0</v>
      </c>
    </row>
    <row r="6700" spans="1:8" x14ac:dyDescent="0.25">
      <c r="A6700" s="2">
        <v>44643</v>
      </c>
      <c r="B6700" s="1" t="s">
        <v>51</v>
      </c>
      <c r="C6700">
        <v>12679</v>
      </c>
      <c r="D6700" s="1" t="s">
        <v>192</v>
      </c>
      <c r="E6700" s="1" t="s">
        <v>5</v>
      </c>
      <c r="F6700">
        <v>11</v>
      </c>
      <c r="G6700" s="1" t="str">
        <f>Ocupacao_DW[[#This Row],[data]]&amp;Ocupacao_DW[[#This Row],[profissional_id]]&amp;Ocupacao_DW[[#This Row],[local_id]]</f>
        <v>446431267911</v>
      </c>
      <c r="H6700" s="1">
        <f>_xlfn.XLOOKUP(Ocupacao_DW[[#This Row],[Concat]],Vagas!$H:$H,Vagas!$D:$D,"",0)</f>
        <v>0</v>
      </c>
    </row>
    <row r="6701" spans="1:8" x14ac:dyDescent="0.25">
      <c r="A6701" s="2">
        <v>44638</v>
      </c>
      <c r="B6701" s="1" t="s">
        <v>43</v>
      </c>
      <c r="C6701">
        <v>17864</v>
      </c>
      <c r="D6701" s="1" t="s">
        <v>234</v>
      </c>
      <c r="E6701" s="1" t="s">
        <v>7</v>
      </c>
      <c r="F6701">
        <v>60</v>
      </c>
      <c r="G6701" s="1" t="str">
        <f>Ocupacao_DW[[#This Row],[data]]&amp;Ocupacao_DW[[#This Row],[profissional_id]]&amp;Ocupacao_DW[[#This Row],[local_id]]</f>
        <v>446381786460</v>
      </c>
      <c r="H6701" s="1">
        <f>_xlfn.XLOOKUP(Ocupacao_DW[[#This Row],[Concat]],Vagas!$H:$H,Vagas!$D:$D,"",0)</f>
        <v>0</v>
      </c>
    </row>
    <row r="6702" spans="1:8" x14ac:dyDescent="0.25">
      <c r="A6702" s="2">
        <v>44641</v>
      </c>
      <c r="B6702" s="1" t="s">
        <v>52</v>
      </c>
      <c r="C6702">
        <v>10595</v>
      </c>
      <c r="D6702" s="1" t="s">
        <v>218</v>
      </c>
      <c r="E6702" s="1" t="s">
        <v>200</v>
      </c>
      <c r="F6702">
        <v>78</v>
      </c>
      <c r="G6702" s="1" t="str">
        <f>Ocupacao_DW[[#This Row],[data]]&amp;Ocupacao_DW[[#This Row],[profissional_id]]&amp;Ocupacao_DW[[#This Row],[local_id]]</f>
        <v>446411059578</v>
      </c>
      <c r="H6702" s="1">
        <f>_xlfn.XLOOKUP(Ocupacao_DW[[#This Row],[Concat]],Vagas!$H:$H,Vagas!$D:$D,"",0)</f>
        <v>0</v>
      </c>
    </row>
    <row r="6703" spans="1:8" x14ac:dyDescent="0.25">
      <c r="A6703" s="2">
        <v>44636</v>
      </c>
      <c r="B6703" s="1" t="s">
        <v>42</v>
      </c>
      <c r="C6703">
        <v>17902</v>
      </c>
      <c r="D6703" s="1" t="s">
        <v>264</v>
      </c>
      <c r="E6703" s="1" t="s">
        <v>4</v>
      </c>
      <c r="F6703">
        <v>39</v>
      </c>
      <c r="G6703" s="1" t="str">
        <f>Ocupacao_DW[[#This Row],[data]]&amp;Ocupacao_DW[[#This Row],[profissional_id]]&amp;Ocupacao_DW[[#This Row],[local_id]]</f>
        <v>446361790239</v>
      </c>
      <c r="H6703" s="1">
        <f>_xlfn.XLOOKUP(Ocupacao_DW[[#This Row],[Concat]],Vagas!$H:$H,Vagas!$D:$D,"",0)</f>
        <v>47</v>
      </c>
    </row>
    <row r="6704" spans="1:8" x14ac:dyDescent="0.25">
      <c r="A6704" s="2">
        <v>44648</v>
      </c>
      <c r="B6704" s="1" t="s">
        <v>52</v>
      </c>
      <c r="C6704">
        <v>10691</v>
      </c>
      <c r="D6704" s="1" t="s">
        <v>181</v>
      </c>
      <c r="E6704" s="1" t="s">
        <v>6</v>
      </c>
      <c r="F6704">
        <v>9</v>
      </c>
      <c r="G6704" s="1" t="str">
        <f>Ocupacao_DW[[#This Row],[data]]&amp;Ocupacao_DW[[#This Row],[profissional_id]]&amp;Ocupacao_DW[[#This Row],[local_id]]</f>
        <v>44648106919</v>
      </c>
      <c r="H6704" s="1">
        <f>_xlfn.XLOOKUP(Ocupacao_DW[[#This Row],[Concat]],Vagas!$H:$H,Vagas!$D:$D,"",0)</f>
        <v>0</v>
      </c>
    </row>
    <row r="6705" spans="1:8" x14ac:dyDescent="0.25">
      <c r="A6705" s="2">
        <v>44636</v>
      </c>
      <c r="B6705" s="1" t="s">
        <v>46</v>
      </c>
      <c r="C6705">
        <v>17888</v>
      </c>
      <c r="D6705" s="1" t="s">
        <v>255</v>
      </c>
      <c r="E6705" s="1" t="s">
        <v>4</v>
      </c>
      <c r="F6705">
        <v>40</v>
      </c>
      <c r="G6705" s="1" t="str">
        <f>Ocupacao_DW[[#This Row],[data]]&amp;Ocupacao_DW[[#This Row],[profissional_id]]&amp;Ocupacao_DW[[#This Row],[local_id]]</f>
        <v>446361788840</v>
      </c>
      <c r="H6705" s="1">
        <f>_xlfn.XLOOKUP(Ocupacao_DW[[#This Row],[Concat]],Vagas!$H:$H,Vagas!$D:$D,"",0)</f>
        <v>17</v>
      </c>
    </row>
    <row r="6706" spans="1:8" x14ac:dyDescent="0.25">
      <c r="A6706" s="2">
        <v>44638</v>
      </c>
      <c r="B6706" s="1" t="s">
        <v>64</v>
      </c>
      <c r="C6706">
        <v>86</v>
      </c>
      <c r="D6706" s="1" t="s">
        <v>175</v>
      </c>
      <c r="E6706" s="1" t="s">
        <v>5</v>
      </c>
      <c r="F6706">
        <v>349</v>
      </c>
      <c r="G6706" s="1" t="str">
        <f>Ocupacao_DW[[#This Row],[data]]&amp;Ocupacao_DW[[#This Row],[profissional_id]]&amp;Ocupacao_DW[[#This Row],[local_id]]</f>
        <v>4463886349</v>
      </c>
      <c r="H6706" s="1">
        <f>_xlfn.XLOOKUP(Ocupacao_DW[[#This Row],[Concat]],Vagas!$H:$H,Vagas!$D:$D,"",0)</f>
        <v>0</v>
      </c>
    </row>
    <row r="6707" spans="1:8" x14ac:dyDescent="0.25">
      <c r="A6707" s="2">
        <v>44657</v>
      </c>
      <c r="B6707" s="1" t="s">
        <v>55</v>
      </c>
      <c r="C6707">
        <v>73</v>
      </c>
      <c r="D6707" s="1" t="s">
        <v>171</v>
      </c>
      <c r="E6707" s="1" t="s">
        <v>6</v>
      </c>
      <c r="F6707">
        <v>5</v>
      </c>
      <c r="G6707" s="1" t="str">
        <f>Ocupacao_DW[[#This Row],[data]]&amp;Ocupacao_DW[[#This Row],[profissional_id]]&amp;Ocupacao_DW[[#This Row],[local_id]]</f>
        <v>44657735</v>
      </c>
      <c r="H6707" s="1">
        <f>_xlfn.XLOOKUP(Ocupacao_DW[[#This Row],[Concat]],Vagas!$H:$H,Vagas!$D:$D,"",0)</f>
        <v>0</v>
      </c>
    </row>
    <row r="6708" spans="1:8" x14ac:dyDescent="0.25">
      <c r="A6708" s="2">
        <v>44650</v>
      </c>
      <c r="B6708" s="1" t="s">
        <v>72</v>
      </c>
      <c r="C6708">
        <v>6046</v>
      </c>
      <c r="D6708" s="1" t="s">
        <v>222</v>
      </c>
      <c r="E6708" s="1" t="s">
        <v>167</v>
      </c>
      <c r="F6708">
        <v>344</v>
      </c>
      <c r="G6708" s="1" t="str">
        <f>Ocupacao_DW[[#This Row],[data]]&amp;Ocupacao_DW[[#This Row],[profissional_id]]&amp;Ocupacao_DW[[#This Row],[local_id]]</f>
        <v>446506046344</v>
      </c>
      <c r="H6708" s="1">
        <f>_xlfn.XLOOKUP(Ocupacao_DW[[#This Row],[Concat]],Vagas!$H:$H,Vagas!$D:$D,"",0)</f>
        <v>0</v>
      </c>
    </row>
    <row r="6709" spans="1:8" x14ac:dyDescent="0.25">
      <c r="A6709" s="2">
        <v>44635</v>
      </c>
      <c r="B6709" s="1" t="s">
        <v>47</v>
      </c>
      <c r="C6709">
        <v>9111</v>
      </c>
      <c r="D6709" s="1" t="s">
        <v>206</v>
      </c>
      <c r="E6709" s="1" t="s">
        <v>4</v>
      </c>
      <c r="F6709">
        <v>335</v>
      </c>
      <c r="G6709" s="1" t="str">
        <f>Ocupacao_DW[[#This Row],[data]]&amp;Ocupacao_DW[[#This Row],[profissional_id]]&amp;Ocupacao_DW[[#This Row],[local_id]]</f>
        <v>446359111335</v>
      </c>
      <c r="H6709" s="1">
        <f>_xlfn.XLOOKUP(Ocupacao_DW[[#This Row],[Concat]],Vagas!$H:$H,Vagas!$D:$D,"",0)</f>
        <v>0</v>
      </c>
    </row>
    <row r="6710" spans="1:8" x14ac:dyDescent="0.25">
      <c r="A6710" s="2">
        <v>44642</v>
      </c>
      <c r="B6710" s="1" t="s">
        <v>65</v>
      </c>
      <c r="C6710">
        <v>11652</v>
      </c>
      <c r="D6710" s="1" t="s">
        <v>242</v>
      </c>
      <c r="E6710" s="1" t="s">
        <v>4</v>
      </c>
      <c r="F6710">
        <v>47</v>
      </c>
      <c r="G6710" s="1" t="str">
        <f>Ocupacao_DW[[#This Row],[data]]&amp;Ocupacao_DW[[#This Row],[profissional_id]]&amp;Ocupacao_DW[[#This Row],[local_id]]</f>
        <v>446421165247</v>
      </c>
      <c r="H6710" s="1">
        <f>_xlfn.XLOOKUP(Ocupacao_DW[[#This Row],[Concat]],Vagas!$H:$H,Vagas!$D:$D,"",0)</f>
        <v>35</v>
      </c>
    </row>
    <row r="6711" spans="1:8" x14ac:dyDescent="0.25">
      <c r="A6711" s="2">
        <v>44656</v>
      </c>
      <c r="B6711" s="1" t="s">
        <v>55</v>
      </c>
      <c r="C6711">
        <v>73</v>
      </c>
      <c r="D6711" s="1" t="s">
        <v>171</v>
      </c>
      <c r="E6711" s="1" t="s">
        <v>6</v>
      </c>
      <c r="F6711">
        <v>5</v>
      </c>
      <c r="G6711" s="1" t="str">
        <f>Ocupacao_DW[[#This Row],[data]]&amp;Ocupacao_DW[[#This Row],[profissional_id]]&amp;Ocupacao_DW[[#This Row],[local_id]]</f>
        <v>44656735</v>
      </c>
      <c r="H6711" s="1">
        <f>_xlfn.XLOOKUP(Ocupacao_DW[[#This Row],[Concat]],Vagas!$H:$H,Vagas!$D:$D,"",0)</f>
        <v>0</v>
      </c>
    </row>
    <row r="6712" spans="1:8" x14ac:dyDescent="0.25">
      <c r="A6712" s="2">
        <v>44637</v>
      </c>
      <c r="B6712" s="1" t="s">
        <v>64</v>
      </c>
      <c r="C6712">
        <v>85</v>
      </c>
      <c r="D6712" s="1" t="s">
        <v>211</v>
      </c>
      <c r="E6712" s="1" t="s">
        <v>5</v>
      </c>
      <c r="F6712">
        <v>349</v>
      </c>
      <c r="G6712" s="1" t="str">
        <f>Ocupacao_DW[[#This Row],[data]]&amp;Ocupacao_DW[[#This Row],[profissional_id]]&amp;Ocupacao_DW[[#This Row],[local_id]]</f>
        <v>4463785349</v>
      </c>
      <c r="H6712" s="1">
        <f>_xlfn.XLOOKUP(Ocupacao_DW[[#This Row],[Concat]],Vagas!$H:$H,Vagas!$D:$D,"",0)</f>
        <v>0</v>
      </c>
    </row>
    <row r="6713" spans="1:8" x14ac:dyDescent="0.25">
      <c r="A6713" s="2">
        <v>44637</v>
      </c>
      <c r="B6713" s="1" t="s">
        <v>52</v>
      </c>
      <c r="C6713">
        <v>60</v>
      </c>
      <c r="D6713" s="1" t="s">
        <v>217</v>
      </c>
      <c r="E6713" s="1" t="s">
        <v>167</v>
      </c>
      <c r="F6713">
        <v>346</v>
      </c>
      <c r="G6713" s="1" t="str">
        <f>Ocupacao_DW[[#This Row],[data]]&amp;Ocupacao_DW[[#This Row],[profissional_id]]&amp;Ocupacao_DW[[#This Row],[local_id]]</f>
        <v>4463760346</v>
      </c>
      <c r="H6713" s="1">
        <f>_xlfn.XLOOKUP(Ocupacao_DW[[#This Row],[Concat]],Vagas!$H:$H,Vagas!$D:$D,"",0)</f>
        <v>0</v>
      </c>
    </row>
    <row r="6714" spans="1:8" x14ac:dyDescent="0.25">
      <c r="A6714" s="2">
        <v>44641</v>
      </c>
      <c r="B6714" s="1" t="s">
        <v>54</v>
      </c>
      <c r="C6714">
        <v>70</v>
      </c>
      <c r="D6714" s="1" t="s">
        <v>187</v>
      </c>
      <c r="E6714" s="1" t="s">
        <v>5</v>
      </c>
      <c r="F6714">
        <v>13</v>
      </c>
      <c r="G6714" s="1" t="str">
        <f>Ocupacao_DW[[#This Row],[data]]&amp;Ocupacao_DW[[#This Row],[profissional_id]]&amp;Ocupacao_DW[[#This Row],[local_id]]</f>
        <v>446417013</v>
      </c>
      <c r="H6714" s="1">
        <f>_xlfn.XLOOKUP(Ocupacao_DW[[#This Row],[Concat]],Vagas!$H:$H,Vagas!$D:$D,"",0)</f>
        <v>0</v>
      </c>
    </row>
    <row r="6715" spans="1:8" x14ac:dyDescent="0.25">
      <c r="A6715" s="2">
        <v>44638</v>
      </c>
      <c r="B6715" s="1" t="s">
        <v>72</v>
      </c>
      <c r="C6715">
        <v>1794</v>
      </c>
      <c r="D6715" s="1" t="s">
        <v>235</v>
      </c>
      <c r="E6715" s="1" t="s">
        <v>4</v>
      </c>
      <c r="F6715">
        <v>46</v>
      </c>
      <c r="G6715" s="1" t="str">
        <f>Ocupacao_DW[[#This Row],[data]]&amp;Ocupacao_DW[[#This Row],[profissional_id]]&amp;Ocupacao_DW[[#This Row],[local_id]]</f>
        <v>44638179446</v>
      </c>
      <c r="H6715" s="1">
        <f>_xlfn.XLOOKUP(Ocupacao_DW[[#This Row],[Concat]],Vagas!$H:$H,Vagas!$D:$D,"",0)</f>
        <v>0</v>
      </c>
    </row>
    <row r="6716" spans="1:8" x14ac:dyDescent="0.25">
      <c r="A6716" s="2">
        <v>44635</v>
      </c>
      <c r="B6716" s="1" t="s">
        <v>51</v>
      </c>
      <c r="C6716">
        <v>12582</v>
      </c>
      <c r="D6716" s="1" t="s">
        <v>190</v>
      </c>
      <c r="E6716" s="1" t="s">
        <v>7</v>
      </c>
      <c r="F6716">
        <v>62</v>
      </c>
      <c r="G6716" s="1" t="str">
        <f>Ocupacao_DW[[#This Row],[data]]&amp;Ocupacao_DW[[#This Row],[profissional_id]]&amp;Ocupacao_DW[[#This Row],[local_id]]</f>
        <v>446351258262</v>
      </c>
      <c r="H6716" s="1">
        <f>_xlfn.XLOOKUP(Ocupacao_DW[[#This Row],[Concat]],Vagas!$H:$H,Vagas!$D:$D,"",0)</f>
        <v>0</v>
      </c>
    </row>
    <row r="6717" spans="1:8" x14ac:dyDescent="0.25">
      <c r="A6717" s="2">
        <v>44652</v>
      </c>
      <c r="B6717" s="1" t="s">
        <v>24</v>
      </c>
      <c r="C6717">
        <v>60</v>
      </c>
      <c r="D6717" s="1" t="s">
        <v>217</v>
      </c>
      <c r="E6717" s="1" t="s">
        <v>6</v>
      </c>
      <c r="F6717">
        <v>1</v>
      </c>
      <c r="G6717" s="1" t="str">
        <f>Ocupacao_DW[[#This Row],[data]]&amp;Ocupacao_DW[[#This Row],[profissional_id]]&amp;Ocupacao_DW[[#This Row],[local_id]]</f>
        <v>44652601</v>
      </c>
      <c r="H6717" s="1">
        <f>_xlfn.XLOOKUP(Ocupacao_DW[[#This Row],[Concat]],Vagas!$H:$H,Vagas!$D:$D,"",0)</f>
        <v>0</v>
      </c>
    </row>
    <row r="6718" spans="1:8" x14ac:dyDescent="0.25">
      <c r="A6718" s="2">
        <v>44635</v>
      </c>
      <c r="B6718" s="1" t="s">
        <v>65</v>
      </c>
      <c r="C6718">
        <v>11237</v>
      </c>
      <c r="D6718" s="1" t="s">
        <v>229</v>
      </c>
      <c r="E6718" s="1" t="s">
        <v>4</v>
      </c>
      <c r="F6718">
        <v>46</v>
      </c>
      <c r="G6718" s="1" t="str">
        <f>Ocupacao_DW[[#This Row],[data]]&amp;Ocupacao_DW[[#This Row],[profissional_id]]&amp;Ocupacao_DW[[#This Row],[local_id]]</f>
        <v>446351123746</v>
      </c>
      <c r="H6718" s="1">
        <f>_xlfn.XLOOKUP(Ocupacao_DW[[#This Row],[Concat]],Vagas!$H:$H,Vagas!$D:$D,"",0)</f>
        <v>0</v>
      </c>
    </row>
    <row r="6719" spans="1:8" x14ac:dyDescent="0.25">
      <c r="A6719" s="2">
        <v>44657</v>
      </c>
      <c r="B6719" s="1" t="s">
        <v>43</v>
      </c>
      <c r="C6719">
        <v>2396</v>
      </c>
      <c r="D6719" s="1" t="s">
        <v>197</v>
      </c>
      <c r="E6719" s="1" t="s">
        <v>6</v>
      </c>
      <c r="F6719">
        <v>2</v>
      </c>
      <c r="G6719" s="1" t="str">
        <f>Ocupacao_DW[[#This Row],[data]]&amp;Ocupacao_DW[[#This Row],[profissional_id]]&amp;Ocupacao_DW[[#This Row],[local_id]]</f>
        <v>4465723962</v>
      </c>
      <c r="H6719" s="1">
        <f>_xlfn.XLOOKUP(Ocupacao_DW[[#This Row],[Concat]],Vagas!$H:$H,Vagas!$D:$D,"",0)</f>
        <v>0</v>
      </c>
    </row>
    <row r="6720" spans="1:8" x14ac:dyDescent="0.25">
      <c r="A6720" s="2">
        <v>44643</v>
      </c>
      <c r="B6720" s="1" t="s">
        <v>47</v>
      </c>
      <c r="C6720">
        <v>12684</v>
      </c>
      <c r="D6720" s="1" t="s">
        <v>236</v>
      </c>
      <c r="E6720" s="1" t="s">
        <v>4</v>
      </c>
      <c r="F6720">
        <v>51</v>
      </c>
      <c r="G6720" s="1" t="str">
        <f>Ocupacao_DW[[#This Row],[data]]&amp;Ocupacao_DW[[#This Row],[profissional_id]]&amp;Ocupacao_DW[[#This Row],[local_id]]</f>
        <v>446431268451</v>
      </c>
      <c r="H6720" s="1">
        <f>_xlfn.XLOOKUP(Ocupacao_DW[[#This Row],[Concat]],Vagas!$H:$H,Vagas!$D:$D,"",0)</f>
        <v>0</v>
      </c>
    </row>
    <row r="6721" spans="1:8" x14ac:dyDescent="0.25">
      <c r="A6721" s="2">
        <v>44643</v>
      </c>
      <c r="B6721" s="1" t="s">
        <v>47</v>
      </c>
      <c r="C6721">
        <v>12684</v>
      </c>
      <c r="D6721" s="1" t="s">
        <v>236</v>
      </c>
      <c r="E6721" s="1" t="s">
        <v>4</v>
      </c>
      <c r="F6721">
        <v>51</v>
      </c>
      <c r="G6721" s="1" t="str">
        <f>Ocupacao_DW[[#This Row],[data]]&amp;Ocupacao_DW[[#This Row],[profissional_id]]&amp;Ocupacao_DW[[#This Row],[local_id]]</f>
        <v>446431268451</v>
      </c>
      <c r="H6721" s="1">
        <f>_xlfn.XLOOKUP(Ocupacao_DW[[#This Row],[Concat]],Vagas!$H:$H,Vagas!$D:$D,"",0)</f>
        <v>0</v>
      </c>
    </row>
    <row r="6722" spans="1:8" x14ac:dyDescent="0.25">
      <c r="A6722" s="2">
        <v>44636</v>
      </c>
      <c r="B6722" s="1" t="s">
        <v>66</v>
      </c>
      <c r="C6722">
        <v>1343</v>
      </c>
      <c r="D6722" s="1" t="s">
        <v>263</v>
      </c>
      <c r="E6722" s="1" t="s">
        <v>7</v>
      </c>
      <c r="F6722">
        <v>64</v>
      </c>
      <c r="G6722" s="1" t="str">
        <f>Ocupacao_DW[[#This Row],[data]]&amp;Ocupacao_DW[[#This Row],[profissional_id]]&amp;Ocupacao_DW[[#This Row],[local_id]]</f>
        <v>44636134364</v>
      </c>
      <c r="H6722" s="1">
        <f>_xlfn.XLOOKUP(Ocupacao_DW[[#This Row],[Concat]],Vagas!$H:$H,Vagas!$D:$D,"",0)</f>
        <v>0</v>
      </c>
    </row>
    <row r="6723" spans="1:8" x14ac:dyDescent="0.25">
      <c r="A6723" s="2">
        <v>44646</v>
      </c>
      <c r="B6723" s="1" t="s">
        <v>47</v>
      </c>
      <c r="C6723">
        <v>111</v>
      </c>
      <c r="D6723" s="1" t="s">
        <v>199</v>
      </c>
      <c r="E6723" s="1" t="s">
        <v>4</v>
      </c>
      <c r="F6723">
        <v>51</v>
      </c>
      <c r="G6723" s="1" t="str">
        <f>Ocupacao_DW[[#This Row],[data]]&amp;Ocupacao_DW[[#This Row],[profissional_id]]&amp;Ocupacao_DW[[#This Row],[local_id]]</f>
        <v>4464611151</v>
      </c>
      <c r="H6723" s="1">
        <f>_xlfn.XLOOKUP(Ocupacao_DW[[#This Row],[Concat]],Vagas!$H:$H,Vagas!$D:$D,"",0)</f>
        <v>31</v>
      </c>
    </row>
    <row r="6724" spans="1:8" x14ac:dyDescent="0.25">
      <c r="A6724" s="2">
        <v>44638</v>
      </c>
      <c r="B6724" s="1" t="s">
        <v>49</v>
      </c>
      <c r="C6724">
        <v>12142</v>
      </c>
      <c r="D6724" s="1" t="s">
        <v>219</v>
      </c>
      <c r="E6724" s="1" t="s">
        <v>4</v>
      </c>
      <c r="F6724">
        <v>44</v>
      </c>
      <c r="G6724" s="1" t="str">
        <f>Ocupacao_DW[[#This Row],[data]]&amp;Ocupacao_DW[[#This Row],[profissional_id]]&amp;Ocupacao_DW[[#This Row],[local_id]]</f>
        <v>446381214244</v>
      </c>
      <c r="H6724" s="1">
        <f>_xlfn.XLOOKUP(Ocupacao_DW[[#This Row],[Concat]],Vagas!$H:$H,Vagas!$D:$D,"",0)</f>
        <v>0</v>
      </c>
    </row>
    <row r="6725" spans="1:8" x14ac:dyDescent="0.25">
      <c r="A6725" s="2">
        <v>44637</v>
      </c>
      <c r="B6725" s="1" t="s">
        <v>71</v>
      </c>
      <c r="C6725">
        <v>282</v>
      </c>
      <c r="D6725" s="1" t="s">
        <v>210</v>
      </c>
      <c r="E6725" s="1" t="s">
        <v>7</v>
      </c>
      <c r="F6725">
        <v>68</v>
      </c>
      <c r="G6725" s="1" t="str">
        <f>Ocupacao_DW[[#This Row],[data]]&amp;Ocupacao_DW[[#This Row],[profissional_id]]&amp;Ocupacao_DW[[#This Row],[local_id]]</f>
        <v>4463728268</v>
      </c>
      <c r="H6725" s="1">
        <f>_xlfn.XLOOKUP(Ocupacao_DW[[#This Row],[Concat]],Vagas!$H:$H,Vagas!$D:$D,"",0)</f>
        <v>0</v>
      </c>
    </row>
    <row r="6726" spans="1:8" x14ac:dyDescent="0.25">
      <c r="A6726" s="2">
        <v>44650</v>
      </c>
      <c r="B6726" s="1" t="s">
        <v>70</v>
      </c>
      <c r="C6726">
        <v>12825</v>
      </c>
      <c r="D6726" s="1" t="s">
        <v>177</v>
      </c>
      <c r="E6726" s="1" t="s">
        <v>4</v>
      </c>
      <c r="F6726">
        <v>45</v>
      </c>
      <c r="G6726" s="1" t="str">
        <f>Ocupacao_DW[[#This Row],[data]]&amp;Ocupacao_DW[[#This Row],[profissional_id]]&amp;Ocupacao_DW[[#This Row],[local_id]]</f>
        <v>446501282545</v>
      </c>
      <c r="H6726" s="1">
        <f>_xlfn.XLOOKUP(Ocupacao_DW[[#This Row],[Concat]],Vagas!$H:$H,Vagas!$D:$D,"",0)</f>
        <v>0</v>
      </c>
    </row>
    <row r="6727" spans="1:8" x14ac:dyDescent="0.25">
      <c r="A6727" s="2">
        <v>44635</v>
      </c>
      <c r="B6727" s="1" t="s">
        <v>66</v>
      </c>
      <c r="C6727">
        <v>1343</v>
      </c>
      <c r="D6727" s="1" t="s">
        <v>263</v>
      </c>
      <c r="E6727" s="1" t="s">
        <v>200</v>
      </c>
      <c r="F6727">
        <v>80</v>
      </c>
      <c r="G6727" s="1" t="str">
        <f>Ocupacao_DW[[#This Row],[data]]&amp;Ocupacao_DW[[#This Row],[profissional_id]]&amp;Ocupacao_DW[[#This Row],[local_id]]</f>
        <v>44635134380</v>
      </c>
      <c r="H6727" s="1">
        <f>_xlfn.XLOOKUP(Ocupacao_DW[[#This Row],[Concat]],Vagas!$H:$H,Vagas!$D:$D,"",0)</f>
        <v>0</v>
      </c>
    </row>
    <row r="6728" spans="1:8" x14ac:dyDescent="0.25">
      <c r="A6728" s="2">
        <v>44642</v>
      </c>
      <c r="B6728" s="1" t="s">
        <v>55</v>
      </c>
      <c r="C6728">
        <v>60</v>
      </c>
      <c r="D6728" s="1" t="s">
        <v>217</v>
      </c>
      <c r="E6728" s="1" t="s">
        <v>167</v>
      </c>
      <c r="F6728">
        <v>345</v>
      </c>
      <c r="G6728" s="1" t="str">
        <f>Ocupacao_DW[[#This Row],[data]]&amp;Ocupacao_DW[[#This Row],[profissional_id]]&amp;Ocupacao_DW[[#This Row],[local_id]]</f>
        <v>4464260345</v>
      </c>
      <c r="H6728" s="1">
        <f>_xlfn.XLOOKUP(Ocupacao_DW[[#This Row],[Concat]],Vagas!$H:$H,Vagas!$D:$D,"",0)</f>
        <v>0</v>
      </c>
    </row>
    <row r="6729" spans="1:8" x14ac:dyDescent="0.25">
      <c r="A6729" s="2">
        <v>44638</v>
      </c>
      <c r="B6729" s="1" t="s">
        <v>49</v>
      </c>
      <c r="C6729">
        <v>12142</v>
      </c>
      <c r="D6729" s="1" t="s">
        <v>219</v>
      </c>
      <c r="E6729" s="1" t="s">
        <v>4</v>
      </c>
      <c r="F6729">
        <v>44</v>
      </c>
      <c r="G6729" s="1" t="str">
        <f>Ocupacao_DW[[#This Row],[data]]&amp;Ocupacao_DW[[#This Row],[profissional_id]]&amp;Ocupacao_DW[[#This Row],[local_id]]</f>
        <v>446381214244</v>
      </c>
      <c r="H6729" s="1">
        <f>_xlfn.XLOOKUP(Ocupacao_DW[[#This Row],[Concat]],Vagas!$H:$H,Vagas!$D:$D,"",0)</f>
        <v>0</v>
      </c>
    </row>
    <row r="6730" spans="1:8" x14ac:dyDescent="0.25">
      <c r="A6730" s="2">
        <v>44638</v>
      </c>
      <c r="B6730" s="1" t="s">
        <v>72</v>
      </c>
      <c r="C6730">
        <v>1794</v>
      </c>
      <c r="D6730" s="1" t="s">
        <v>235</v>
      </c>
      <c r="E6730" s="1" t="s">
        <v>4</v>
      </c>
      <c r="F6730">
        <v>46</v>
      </c>
      <c r="G6730" s="1" t="str">
        <f>Ocupacao_DW[[#This Row],[data]]&amp;Ocupacao_DW[[#This Row],[profissional_id]]&amp;Ocupacao_DW[[#This Row],[local_id]]</f>
        <v>44638179446</v>
      </c>
      <c r="H6730" s="1">
        <f>_xlfn.XLOOKUP(Ocupacao_DW[[#This Row],[Concat]],Vagas!$H:$H,Vagas!$D:$D,"",0)</f>
        <v>0</v>
      </c>
    </row>
    <row r="6731" spans="1:8" x14ac:dyDescent="0.25">
      <c r="A6731" s="2">
        <v>44641</v>
      </c>
      <c r="B6731" s="1" t="s">
        <v>49</v>
      </c>
      <c r="C6731">
        <v>6430</v>
      </c>
      <c r="D6731" s="1" t="s">
        <v>188</v>
      </c>
      <c r="E6731" s="1" t="s">
        <v>200</v>
      </c>
      <c r="F6731">
        <v>86</v>
      </c>
      <c r="G6731" s="1" t="str">
        <f>Ocupacao_DW[[#This Row],[data]]&amp;Ocupacao_DW[[#This Row],[profissional_id]]&amp;Ocupacao_DW[[#This Row],[local_id]]</f>
        <v>44641643086</v>
      </c>
      <c r="H6731" s="1">
        <f>_xlfn.XLOOKUP(Ocupacao_DW[[#This Row],[Concat]],Vagas!$H:$H,Vagas!$D:$D,"",0)</f>
        <v>0</v>
      </c>
    </row>
    <row r="6732" spans="1:8" x14ac:dyDescent="0.25">
      <c r="A6732" s="2">
        <v>44638</v>
      </c>
      <c r="B6732" s="1" t="s">
        <v>64</v>
      </c>
      <c r="C6732">
        <v>86</v>
      </c>
      <c r="D6732" s="1" t="s">
        <v>175</v>
      </c>
      <c r="E6732" s="1" t="s">
        <v>5</v>
      </c>
      <c r="F6732">
        <v>349</v>
      </c>
      <c r="G6732" s="1" t="str">
        <f>Ocupacao_DW[[#This Row],[data]]&amp;Ocupacao_DW[[#This Row],[profissional_id]]&amp;Ocupacao_DW[[#This Row],[local_id]]</f>
        <v>4463886349</v>
      </c>
      <c r="H6732" s="1">
        <f>_xlfn.XLOOKUP(Ocupacao_DW[[#This Row],[Concat]],Vagas!$H:$H,Vagas!$D:$D,"",0)</f>
        <v>0</v>
      </c>
    </row>
    <row r="6733" spans="1:8" x14ac:dyDescent="0.25">
      <c r="A6733" s="2">
        <v>44637</v>
      </c>
      <c r="B6733" s="1" t="s">
        <v>57</v>
      </c>
      <c r="C6733">
        <v>80</v>
      </c>
      <c r="D6733" s="1" t="s">
        <v>179</v>
      </c>
      <c r="E6733" s="1" t="s">
        <v>167</v>
      </c>
      <c r="F6733">
        <v>348</v>
      </c>
      <c r="G6733" s="1" t="str">
        <f>Ocupacao_DW[[#This Row],[data]]&amp;Ocupacao_DW[[#This Row],[profissional_id]]&amp;Ocupacao_DW[[#This Row],[local_id]]</f>
        <v>4463780348</v>
      </c>
      <c r="H6733" s="1">
        <f>_xlfn.XLOOKUP(Ocupacao_DW[[#This Row],[Concat]],Vagas!$H:$H,Vagas!$D:$D,"",0)</f>
        <v>0</v>
      </c>
    </row>
    <row r="6734" spans="1:8" x14ac:dyDescent="0.25">
      <c r="A6734" s="2">
        <v>44636</v>
      </c>
      <c r="B6734" s="1" t="s">
        <v>66</v>
      </c>
      <c r="C6734">
        <v>1343</v>
      </c>
      <c r="D6734" s="1" t="s">
        <v>263</v>
      </c>
      <c r="E6734" s="1" t="s">
        <v>167</v>
      </c>
      <c r="F6734">
        <v>342</v>
      </c>
      <c r="G6734" s="1" t="str">
        <f>Ocupacao_DW[[#This Row],[data]]&amp;Ocupacao_DW[[#This Row],[profissional_id]]&amp;Ocupacao_DW[[#This Row],[local_id]]</f>
        <v>446361343342</v>
      </c>
      <c r="H6734" s="1">
        <f>_xlfn.XLOOKUP(Ocupacao_DW[[#This Row],[Concat]],Vagas!$H:$H,Vagas!$D:$D,"",0)</f>
        <v>0</v>
      </c>
    </row>
    <row r="6735" spans="1:8" x14ac:dyDescent="0.25">
      <c r="A6735" s="2">
        <v>44644</v>
      </c>
      <c r="B6735" s="1" t="s">
        <v>49</v>
      </c>
      <c r="C6735">
        <v>81</v>
      </c>
      <c r="D6735" s="1" t="s">
        <v>170</v>
      </c>
      <c r="E6735" s="1" t="s">
        <v>4</v>
      </c>
      <c r="F6735">
        <v>41</v>
      </c>
      <c r="G6735" s="1" t="str">
        <f>Ocupacao_DW[[#This Row],[data]]&amp;Ocupacao_DW[[#This Row],[profissional_id]]&amp;Ocupacao_DW[[#This Row],[local_id]]</f>
        <v>446448141</v>
      </c>
      <c r="H6735" s="1">
        <f>_xlfn.XLOOKUP(Ocupacao_DW[[#This Row],[Concat]],Vagas!$H:$H,Vagas!$D:$D,"",0)</f>
        <v>0</v>
      </c>
    </row>
    <row r="6736" spans="1:8" x14ac:dyDescent="0.25">
      <c r="A6736" s="2">
        <v>44641</v>
      </c>
      <c r="B6736" s="1" t="s">
        <v>49</v>
      </c>
      <c r="C6736">
        <v>6430</v>
      </c>
      <c r="D6736" s="1" t="s">
        <v>188</v>
      </c>
      <c r="E6736" s="1" t="s">
        <v>200</v>
      </c>
      <c r="F6736">
        <v>86</v>
      </c>
      <c r="G6736" s="1" t="str">
        <f>Ocupacao_DW[[#This Row],[data]]&amp;Ocupacao_DW[[#This Row],[profissional_id]]&amp;Ocupacao_DW[[#This Row],[local_id]]</f>
        <v>44641643086</v>
      </c>
      <c r="H6736" s="1">
        <f>_xlfn.XLOOKUP(Ocupacao_DW[[#This Row],[Concat]],Vagas!$H:$H,Vagas!$D:$D,"",0)</f>
        <v>0</v>
      </c>
    </row>
    <row r="6737" spans="1:8" x14ac:dyDescent="0.25">
      <c r="A6737" s="2">
        <v>44638</v>
      </c>
      <c r="B6737" s="1" t="s">
        <v>47</v>
      </c>
      <c r="C6737">
        <v>12684</v>
      </c>
      <c r="D6737" s="1" t="s">
        <v>236</v>
      </c>
      <c r="E6737" s="1" t="s">
        <v>200</v>
      </c>
      <c r="F6737">
        <v>85</v>
      </c>
      <c r="G6737" s="1" t="str">
        <f>Ocupacao_DW[[#This Row],[data]]&amp;Ocupacao_DW[[#This Row],[profissional_id]]&amp;Ocupacao_DW[[#This Row],[local_id]]</f>
        <v>446381268485</v>
      </c>
      <c r="H6737" s="1">
        <f>_xlfn.XLOOKUP(Ocupacao_DW[[#This Row],[Concat]],Vagas!$H:$H,Vagas!$D:$D,"",0)</f>
        <v>0</v>
      </c>
    </row>
    <row r="6738" spans="1:8" x14ac:dyDescent="0.25">
      <c r="A6738" s="2">
        <v>44642</v>
      </c>
      <c r="B6738" s="1" t="s">
        <v>52</v>
      </c>
      <c r="C6738">
        <v>60</v>
      </c>
      <c r="D6738" s="1" t="s">
        <v>217</v>
      </c>
      <c r="E6738" s="1" t="s">
        <v>167</v>
      </c>
      <c r="F6738">
        <v>345</v>
      </c>
      <c r="G6738" s="1" t="str">
        <f>Ocupacao_DW[[#This Row],[data]]&amp;Ocupacao_DW[[#This Row],[profissional_id]]&amp;Ocupacao_DW[[#This Row],[local_id]]</f>
        <v>4464260345</v>
      </c>
      <c r="H6738" s="1">
        <f>_xlfn.XLOOKUP(Ocupacao_DW[[#This Row],[Concat]],Vagas!$H:$H,Vagas!$D:$D,"",0)</f>
        <v>0</v>
      </c>
    </row>
    <row r="6739" spans="1:8" x14ac:dyDescent="0.25">
      <c r="A6739" s="2">
        <v>44658</v>
      </c>
      <c r="B6739" s="1" t="s">
        <v>55</v>
      </c>
      <c r="C6739">
        <v>74</v>
      </c>
      <c r="D6739" s="1" t="s">
        <v>182</v>
      </c>
      <c r="E6739" s="1" t="s">
        <v>6</v>
      </c>
      <c r="F6739">
        <v>7</v>
      </c>
      <c r="G6739" s="1" t="str">
        <f>Ocupacao_DW[[#This Row],[data]]&amp;Ocupacao_DW[[#This Row],[profissional_id]]&amp;Ocupacao_DW[[#This Row],[local_id]]</f>
        <v>44658747</v>
      </c>
      <c r="H6739" s="1">
        <f>_xlfn.XLOOKUP(Ocupacao_DW[[#This Row],[Concat]],Vagas!$H:$H,Vagas!$D:$D,"",0)</f>
        <v>7</v>
      </c>
    </row>
    <row r="6740" spans="1:8" x14ac:dyDescent="0.25">
      <c r="A6740" s="2">
        <v>44642</v>
      </c>
      <c r="B6740" s="1" t="s">
        <v>52</v>
      </c>
      <c r="C6740">
        <v>60</v>
      </c>
      <c r="D6740" s="1" t="s">
        <v>217</v>
      </c>
      <c r="E6740" s="1" t="s">
        <v>167</v>
      </c>
      <c r="F6740">
        <v>345</v>
      </c>
      <c r="G6740" s="1" t="str">
        <f>Ocupacao_DW[[#This Row],[data]]&amp;Ocupacao_DW[[#This Row],[profissional_id]]&amp;Ocupacao_DW[[#This Row],[local_id]]</f>
        <v>4464260345</v>
      </c>
      <c r="H6740" s="1">
        <f>_xlfn.XLOOKUP(Ocupacao_DW[[#This Row],[Concat]],Vagas!$H:$H,Vagas!$D:$D,"",0)</f>
        <v>0</v>
      </c>
    </row>
    <row r="6741" spans="1:8" x14ac:dyDescent="0.25">
      <c r="A6741" s="2">
        <v>44641</v>
      </c>
      <c r="B6741" s="1" t="s">
        <v>62</v>
      </c>
      <c r="C6741">
        <v>2567</v>
      </c>
      <c r="D6741" s="1" t="s">
        <v>198</v>
      </c>
      <c r="E6741" s="1" t="s">
        <v>5</v>
      </c>
      <c r="F6741">
        <v>18</v>
      </c>
      <c r="G6741" s="1" t="str">
        <f>Ocupacao_DW[[#This Row],[data]]&amp;Ocupacao_DW[[#This Row],[profissional_id]]&amp;Ocupacao_DW[[#This Row],[local_id]]</f>
        <v>44641256718</v>
      </c>
      <c r="H6741" s="1">
        <f>_xlfn.XLOOKUP(Ocupacao_DW[[#This Row],[Concat]],Vagas!$H:$H,Vagas!$D:$D,"",0)</f>
        <v>0</v>
      </c>
    </row>
    <row r="6742" spans="1:8" x14ac:dyDescent="0.25">
      <c r="A6742" s="2">
        <v>44650</v>
      </c>
      <c r="B6742" s="1" t="s">
        <v>72</v>
      </c>
      <c r="C6742">
        <v>6046</v>
      </c>
      <c r="D6742" s="1" t="s">
        <v>222</v>
      </c>
      <c r="E6742" s="1" t="s">
        <v>167</v>
      </c>
      <c r="F6742">
        <v>344</v>
      </c>
      <c r="G6742" s="1" t="str">
        <f>Ocupacao_DW[[#This Row],[data]]&amp;Ocupacao_DW[[#This Row],[profissional_id]]&amp;Ocupacao_DW[[#This Row],[local_id]]</f>
        <v>446506046344</v>
      </c>
      <c r="H6742" s="1">
        <f>_xlfn.XLOOKUP(Ocupacao_DW[[#This Row],[Concat]],Vagas!$H:$H,Vagas!$D:$D,"",0)</f>
        <v>0</v>
      </c>
    </row>
    <row r="6743" spans="1:8" x14ac:dyDescent="0.25">
      <c r="A6743" s="2">
        <v>44644</v>
      </c>
      <c r="B6743" s="1" t="s">
        <v>52</v>
      </c>
      <c r="C6743">
        <v>10691</v>
      </c>
      <c r="D6743" s="1" t="s">
        <v>181</v>
      </c>
      <c r="E6743" s="1" t="s">
        <v>6</v>
      </c>
      <c r="F6743">
        <v>9</v>
      </c>
      <c r="G6743" s="1" t="str">
        <f>Ocupacao_DW[[#This Row],[data]]&amp;Ocupacao_DW[[#This Row],[profissional_id]]&amp;Ocupacao_DW[[#This Row],[local_id]]</f>
        <v>44644106919</v>
      </c>
      <c r="H6743" s="1">
        <f>_xlfn.XLOOKUP(Ocupacao_DW[[#This Row],[Concat]],Vagas!$H:$H,Vagas!$D:$D,"",0)</f>
        <v>0</v>
      </c>
    </row>
    <row r="6744" spans="1:8" x14ac:dyDescent="0.25">
      <c r="A6744" s="2">
        <v>44640</v>
      </c>
      <c r="B6744" s="1" t="s">
        <v>66</v>
      </c>
      <c r="C6744">
        <v>97</v>
      </c>
      <c r="D6744" s="1" t="s">
        <v>243</v>
      </c>
      <c r="E6744" s="1" t="s">
        <v>167</v>
      </c>
      <c r="F6744">
        <v>342</v>
      </c>
      <c r="G6744" s="1" t="str">
        <f>Ocupacao_DW[[#This Row],[data]]&amp;Ocupacao_DW[[#This Row],[profissional_id]]&amp;Ocupacao_DW[[#This Row],[local_id]]</f>
        <v>4464097342</v>
      </c>
      <c r="H6744" s="1">
        <f>_xlfn.XLOOKUP(Ocupacao_DW[[#This Row],[Concat]],Vagas!$H:$H,Vagas!$D:$D,"",0)</f>
        <v>0</v>
      </c>
    </row>
    <row r="6745" spans="1:8" x14ac:dyDescent="0.25">
      <c r="A6745" s="2">
        <v>44648</v>
      </c>
      <c r="B6745" s="1" t="s">
        <v>56</v>
      </c>
      <c r="C6745">
        <v>5927</v>
      </c>
      <c r="D6745" s="1" t="s">
        <v>226</v>
      </c>
      <c r="E6745" s="1" t="s">
        <v>288</v>
      </c>
      <c r="F6745">
        <v>371</v>
      </c>
      <c r="G6745" s="1" t="str">
        <f>Ocupacao_DW[[#This Row],[data]]&amp;Ocupacao_DW[[#This Row],[profissional_id]]&amp;Ocupacao_DW[[#This Row],[local_id]]</f>
        <v>446485927371</v>
      </c>
      <c r="H6745" s="1">
        <f>_xlfn.XLOOKUP(Ocupacao_DW[[#This Row],[Concat]],Vagas!$H:$H,Vagas!$D:$D,"",0)</f>
        <v>0</v>
      </c>
    </row>
    <row r="6746" spans="1:8" x14ac:dyDescent="0.25">
      <c r="A6746" s="2">
        <v>44656</v>
      </c>
      <c r="B6746" s="1" t="s">
        <v>55</v>
      </c>
      <c r="C6746">
        <v>73</v>
      </c>
      <c r="D6746" s="1" t="s">
        <v>171</v>
      </c>
      <c r="E6746" s="1" t="s">
        <v>6</v>
      </c>
      <c r="F6746">
        <v>5</v>
      </c>
      <c r="G6746" s="1" t="str">
        <f>Ocupacao_DW[[#This Row],[data]]&amp;Ocupacao_DW[[#This Row],[profissional_id]]&amp;Ocupacao_DW[[#This Row],[local_id]]</f>
        <v>44656735</v>
      </c>
      <c r="H6746" s="1">
        <f>_xlfn.XLOOKUP(Ocupacao_DW[[#This Row],[Concat]],Vagas!$H:$H,Vagas!$D:$D,"",0)</f>
        <v>0</v>
      </c>
    </row>
    <row r="6747" spans="1:8" x14ac:dyDescent="0.25">
      <c r="A6747" s="2">
        <v>44644</v>
      </c>
      <c r="B6747" s="1" t="s">
        <v>56</v>
      </c>
      <c r="C6747">
        <v>5822</v>
      </c>
      <c r="D6747" s="1" t="s">
        <v>194</v>
      </c>
      <c r="E6747" s="1" t="s">
        <v>5</v>
      </c>
      <c r="F6747">
        <v>11</v>
      </c>
      <c r="G6747" s="1" t="str">
        <f>Ocupacao_DW[[#This Row],[data]]&amp;Ocupacao_DW[[#This Row],[profissional_id]]&amp;Ocupacao_DW[[#This Row],[local_id]]</f>
        <v>44644582211</v>
      </c>
      <c r="H6747" s="1">
        <f>_xlfn.XLOOKUP(Ocupacao_DW[[#This Row],[Concat]],Vagas!$H:$H,Vagas!$D:$D,"",0)</f>
        <v>0</v>
      </c>
    </row>
    <row r="6748" spans="1:8" x14ac:dyDescent="0.25">
      <c r="A6748" s="2">
        <v>44641</v>
      </c>
      <c r="B6748" s="1" t="s">
        <v>49</v>
      </c>
      <c r="C6748">
        <v>6430</v>
      </c>
      <c r="D6748" s="1" t="s">
        <v>188</v>
      </c>
      <c r="E6748" s="1" t="s">
        <v>200</v>
      </c>
      <c r="F6748">
        <v>86</v>
      </c>
      <c r="G6748" s="1" t="str">
        <f>Ocupacao_DW[[#This Row],[data]]&amp;Ocupacao_DW[[#This Row],[profissional_id]]&amp;Ocupacao_DW[[#This Row],[local_id]]</f>
        <v>44641643086</v>
      </c>
      <c r="H6748" s="1">
        <f>_xlfn.XLOOKUP(Ocupacao_DW[[#This Row],[Concat]],Vagas!$H:$H,Vagas!$D:$D,"",0)</f>
        <v>0</v>
      </c>
    </row>
    <row r="6749" spans="1:8" x14ac:dyDescent="0.25">
      <c r="A6749" s="2">
        <v>44637</v>
      </c>
      <c r="B6749" s="1" t="s">
        <v>49</v>
      </c>
      <c r="C6749">
        <v>81</v>
      </c>
      <c r="D6749" s="1" t="s">
        <v>170</v>
      </c>
      <c r="E6749" s="1" t="s">
        <v>4</v>
      </c>
      <c r="F6749">
        <v>41</v>
      </c>
      <c r="G6749" s="1" t="str">
        <f>Ocupacao_DW[[#This Row],[data]]&amp;Ocupacao_DW[[#This Row],[profissional_id]]&amp;Ocupacao_DW[[#This Row],[local_id]]</f>
        <v>446378141</v>
      </c>
      <c r="H6749" s="1">
        <f>_xlfn.XLOOKUP(Ocupacao_DW[[#This Row],[Concat]],Vagas!$H:$H,Vagas!$D:$D,"",0)</f>
        <v>0</v>
      </c>
    </row>
    <row r="6750" spans="1:8" x14ac:dyDescent="0.25">
      <c r="A6750" s="2">
        <v>44644</v>
      </c>
      <c r="B6750" s="1" t="s">
        <v>70</v>
      </c>
      <c r="C6750">
        <v>12519</v>
      </c>
      <c r="D6750" s="1" t="s">
        <v>176</v>
      </c>
      <c r="E6750" s="1" t="s">
        <v>4</v>
      </c>
      <c r="F6750">
        <v>42</v>
      </c>
      <c r="G6750" s="1" t="str">
        <f>Ocupacao_DW[[#This Row],[data]]&amp;Ocupacao_DW[[#This Row],[profissional_id]]&amp;Ocupacao_DW[[#This Row],[local_id]]</f>
        <v>446441251942</v>
      </c>
      <c r="H6750" s="1">
        <f>_xlfn.XLOOKUP(Ocupacao_DW[[#This Row],[Concat]],Vagas!$H:$H,Vagas!$D:$D,"",0)</f>
        <v>0</v>
      </c>
    </row>
    <row r="6751" spans="1:8" x14ac:dyDescent="0.25">
      <c r="A6751" s="2">
        <v>44635</v>
      </c>
      <c r="B6751" s="1" t="s">
        <v>66</v>
      </c>
      <c r="C6751">
        <v>100</v>
      </c>
      <c r="D6751" s="1" t="s">
        <v>166</v>
      </c>
      <c r="E6751" s="1" t="s">
        <v>167</v>
      </c>
      <c r="F6751">
        <v>342</v>
      </c>
      <c r="G6751" s="1" t="str">
        <f>Ocupacao_DW[[#This Row],[data]]&amp;Ocupacao_DW[[#This Row],[profissional_id]]&amp;Ocupacao_DW[[#This Row],[local_id]]</f>
        <v>44635100342</v>
      </c>
      <c r="H6751" s="1">
        <f>_xlfn.XLOOKUP(Ocupacao_DW[[#This Row],[Concat]],Vagas!$H:$H,Vagas!$D:$D,"",0)</f>
        <v>0</v>
      </c>
    </row>
    <row r="6752" spans="1:8" x14ac:dyDescent="0.25">
      <c r="A6752" s="2">
        <v>44636</v>
      </c>
      <c r="B6752" s="1" t="s">
        <v>51</v>
      </c>
      <c r="C6752">
        <v>12679</v>
      </c>
      <c r="D6752" s="1" t="s">
        <v>192</v>
      </c>
      <c r="E6752" s="1" t="s">
        <v>200</v>
      </c>
      <c r="F6752">
        <v>82</v>
      </c>
      <c r="G6752" s="1" t="str">
        <f>Ocupacao_DW[[#This Row],[data]]&amp;Ocupacao_DW[[#This Row],[profissional_id]]&amp;Ocupacao_DW[[#This Row],[local_id]]</f>
        <v>446361267982</v>
      </c>
      <c r="H6752" s="1">
        <f>_xlfn.XLOOKUP(Ocupacao_DW[[#This Row],[Concat]],Vagas!$H:$H,Vagas!$D:$D,"",0)</f>
        <v>0</v>
      </c>
    </row>
    <row r="6753" spans="1:8" x14ac:dyDescent="0.25">
      <c r="A6753" s="2">
        <v>44641</v>
      </c>
      <c r="B6753" s="1" t="s">
        <v>47</v>
      </c>
      <c r="C6753">
        <v>13371</v>
      </c>
      <c r="D6753" s="1" t="s">
        <v>205</v>
      </c>
      <c r="E6753" s="1" t="s">
        <v>4</v>
      </c>
      <c r="F6753">
        <v>335</v>
      </c>
      <c r="G6753" s="1" t="str">
        <f>Ocupacao_DW[[#This Row],[data]]&amp;Ocupacao_DW[[#This Row],[profissional_id]]&amp;Ocupacao_DW[[#This Row],[local_id]]</f>
        <v>4464113371335</v>
      </c>
      <c r="H6753" s="1" t="str">
        <f>_xlfn.XLOOKUP(Ocupacao_DW[[#This Row],[Concat]],Vagas!$H:$H,Vagas!$D:$D,"",0)</f>
        <v/>
      </c>
    </row>
    <row r="6754" spans="1:8" x14ac:dyDescent="0.25">
      <c r="A6754" s="2">
        <v>44635</v>
      </c>
      <c r="B6754" s="1" t="s">
        <v>67</v>
      </c>
      <c r="C6754">
        <v>7290</v>
      </c>
      <c r="D6754" s="1" t="s">
        <v>247</v>
      </c>
      <c r="E6754" s="1" t="s">
        <v>5</v>
      </c>
      <c r="F6754">
        <v>18</v>
      </c>
      <c r="G6754" s="1" t="str">
        <f>Ocupacao_DW[[#This Row],[data]]&amp;Ocupacao_DW[[#This Row],[profissional_id]]&amp;Ocupacao_DW[[#This Row],[local_id]]</f>
        <v>44635729018</v>
      </c>
      <c r="H6754" s="1">
        <f>_xlfn.XLOOKUP(Ocupacao_DW[[#This Row],[Concat]],Vagas!$H:$H,Vagas!$D:$D,"",0)</f>
        <v>0</v>
      </c>
    </row>
    <row r="6755" spans="1:8" x14ac:dyDescent="0.25">
      <c r="A6755" s="2">
        <v>44642</v>
      </c>
      <c r="B6755" s="1" t="s">
        <v>47</v>
      </c>
      <c r="C6755">
        <v>111</v>
      </c>
      <c r="D6755" s="1" t="s">
        <v>199</v>
      </c>
      <c r="E6755" s="1" t="s">
        <v>4</v>
      </c>
      <c r="F6755">
        <v>51</v>
      </c>
      <c r="G6755" s="1" t="str">
        <f>Ocupacao_DW[[#This Row],[data]]&amp;Ocupacao_DW[[#This Row],[profissional_id]]&amp;Ocupacao_DW[[#This Row],[local_id]]</f>
        <v>4464211151</v>
      </c>
      <c r="H6755" s="1">
        <f>_xlfn.XLOOKUP(Ocupacao_DW[[#This Row],[Concat]],Vagas!$H:$H,Vagas!$D:$D,"",0)</f>
        <v>25</v>
      </c>
    </row>
    <row r="6756" spans="1:8" x14ac:dyDescent="0.25">
      <c r="A6756" s="2">
        <v>44642</v>
      </c>
      <c r="B6756" s="1" t="s">
        <v>50</v>
      </c>
      <c r="C6756">
        <v>4814</v>
      </c>
      <c r="D6756" s="1" t="s">
        <v>189</v>
      </c>
      <c r="E6756" s="1" t="s">
        <v>5</v>
      </c>
      <c r="F6756">
        <v>17</v>
      </c>
      <c r="G6756" s="1" t="str">
        <f>Ocupacao_DW[[#This Row],[data]]&amp;Ocupacao_DW[[#This Row],[profissional_id]]&amp;Ocupacao_DW[[#This Row],[local_id]]</f>
        <v>44642481417</v>
      </c>
      <c r="H6756" s="1">
        <f>_xlfn.XLOOKUP(Ocupacao_DW[[#This Row],[Concat]],Vagas!$H:$H,Vagas!$D:$D,"",0)</f>
        <v>0</v>
      </c>
    </row>
    <row r="6757" spans="1:8" x14ac:dyDescent="0.25">
      <c r="A6757" s="2">
        <v>44638</v>
      </c>
      <c r="B6757" s="1" t="s">
        <v>47</v>
      </c>
      <c r="C6757">
        <v>12684</v>
      </c>
      <c r="D6757" s="1" t="s">
        <v>236</v>
      </c>
      <c r="E6757" s="1" t="s">
        <v>200</v>
      </c>
      <c r="F6757">
        <v>85</v>
      </c>
      <c r="G6757" s="1" t="str">
        <f>Ocupacao_DW[[#This Row],[data]]&amp;Ocupacao_DW[[#This Row],[profissional_id]]&amp;Ocupacao_DW[[#This Row],[local_id]]</f>
        <v>446381268485</v>
      </c>
      <c r="H6757" s="1">
        <f>_xlfn.XLOOKUP(Ocupacao_DW[[#This Row],[Concat]],Vagas!$H:$H,Vagas!$D:$D,"",0)</f>
        <v>0</v>
      </c>
    </row>
    <row r="6758" spans="1:8" x14ac:dyDescent="0.25">
      <c r="A6758" s="2">
        <v>44635</v>
      </c>
      <c r="B6758" s="1" t="s">
        <v>62</v>
      </c>
      <c r="C6758">
        <v>3502</v>
      </c>
      <c r="D6758" s="1" t="s">
        <v>214</v>
      </c>
      <c r="E6758" s="1" t="s">
        <v>5</v>
      </c>
      <c r="F6758">
        <v>16</v>
      </c>
      <c r="G6758" s="1" t="str">
        <f>Ocupacao_DW[[#This Row],[data]]&amp;Ocupacao_DW[[#This Row],[profissional_id]]&amp;Ocupacao_DW[[#This Row],[local_id]]</f>
        <v>44635350216</v>
      </c>
      <c r="H6758" s="1">
        <f>_xlfn.XLOOKUP(Ocupacao_DW[[#This Row],[Concat]],Vagas!$H:$H,Vagas!$D:$D,"",0)</f>
        <v>0</v>
      </c>
    </row>
    <row r="6759" spans="1:8" x14ac:dyDescent="0.25">
      <c r="A6759" s="2">
        <v>44641</v>
      </c>
      <c r="B6759" s="1" t="s">
        <v>62</v>
      </c>
      <c r="C6759">
        <v>2567</v>
      </c>
      <c r="D6759" s="1" t="s">
        <v>198</v>
      </c>
      <c r="E6759" s="1" t="s">
        <v>5</v>
      </c>
      <c r="F6759">
        <v>18</v>
      </c>
      <c r="G6759" s="1" t="str">
        <f>Ocupacao_DW[[#This Row],[data]]&amp;Ocupacao_DW[[#This Row],[profissional_id]]&amp;Ocupacao_DW[[#This Row],[local_id]]</f>
        <v>44641256718</v>
      </c>
      <c r="H6759" s="1">
        <f>_xlfn.XLOOKUP(Ocupacao_DW[[#This Row],[Concat]],Vagas!$H:$H,Vagas!$D:$D,"",0)</f>
        <v>0</v>
      </c>
    </row>
    <row r="6760" spans="1:8" x14ac:dyDescent="0.25">
      <c r="A6760" s="2">
        <v>44642</v>
      </c>
      <c r="B6760" s="1" t="s">
        <v>52</v>
      </c>
      <c r="C6760">
        <v>60</v>
      </c>
      <c r="D6760" s="1" t="s">
        <v>217</v>
      </c>
      <c r="E6760" s="1" t="s">
        <v>167</v>
      </c>
      <c r="F6760">
        <v>345</v>
      </c>
      <c r="G6760" s="1" t="str">
        <f>Ocupacao_DW[[#This Row],[data]]&amp;Ocupacao_DW[[#This Row],[profissional_id]]&amp;Ocupacao_DW[[#This Row],[local_id]]</f>
        <v>4464260345</v>
      </c>
      <c r="H6760" s="1">
        <f>_xlfn.XLOOKUP(Ocupacao_DW[[#This Row],[Concat]],Vagas!$H:$H,Vagas!$D:$D,"",0)</f>
        <v>0</v>
      </c>
    </row>
    <row r="6761" spans="1:8" x14ac:dyDescent="0.25">
      <c r="A6761" s="2">
        <v>44635</v>
      </c>
      <c r="B6761" s="1" t="s">
        <v>49</v>
      </c>
      <c r="C6761">
        <v>81</v>
      </c>
      <c r="D6761" s="1" t="s">
        <v>170</v>
      </c>
      <c r="E6761" s="1" t="s">
        <v>7</v>
      </c>
      <c r="F6761">
        <v>71</v>
      </c>
      <c r="G6761" s="1" t="str">
        <f>Ocupacao_DW[[#This Row],[data]]&amp;Ocupacao_DW[[#This Row],[profissional_id]]&amp;Ocupacao_DW[[#This Row],[local_id]]</f>
        <v>446358171</v>
      </c>
      <c r="H6761" s="1">
        <f>_xlfn.XLOOKUP(Ocupacao_DW[[#This Row],[Concat]],Vagas!$H:$H,Vagas!$D:$D,"",0)</f>
        <v>0</v>
      </c>
    </row>
    <row r="6762" spans="1:8" x14ac:dyDescent="0.25">
      <c r="A6762" s="2">
        <v>44651</v>
      </c>
      <c r="B6762" s="1" t="s">
        <v>70</v>
      </c>
      <c r="C6762">
        <v>12519</v>
      </c>
      <c r="D6762" s="1" t="s">
        <v>176</v>
      </c>
      <c r="E6762" s="1" t="s">
        <v>4</v>
      </c>
      <c r="F6762">
        <v>42</v>
      </c>
      <c r="G6762" s="1" t="str">
        <f>Ocupacao_DW[[#This Row],[data]]&amp;Ocupacao_DW[[#This Row],[profissional_id]]&amp;Ocupacao_DW[[#This Row],[local_id]]</f>
        <v>446511251942</v>
      </c>
      <c r="H6762" s="1">
        <f>_xlfn.XLOOKUP(Ocupacao_DW[[#This Row],[Concat]],Vagas!$H:$H,Vagas!$D:$D,"",0)</f>
        <v>0</v>
      </c>
    </row>
    <row r="6763" spans="1:8" x14ac:dyDescent="0.25">
      <c r="A6763" s="2">
        <v>44649</v>
      </c>
      <c r="B6763" s="1" t="s">
        <v>65</v>
      </c>
      <c r="C6763">
        <v>11237</v>
      </c>
      <c r="D6763" s="1" t="s">
        <v>229</v>
      </c>
      <c r="E6763" s="1" t="s">
        <v>4</v>
      </c>
      <c r="F6763">
        <v>46</v>
      </c>
      <c r="G6763" s="1" t="str">
        <f>Ocupacao_DW[[#This Row],[data]]&amp;Ocupacao_DW[[#This Row],[profissional_id]]&amp;Ocupacao_DW[[#This Row],[local_id]]</f>
        <v>446491123746</v>
      </c>
      <c r="H6763" s="1">
        <f>_xlfn.XLOOKUP(Ocupacao_DW[[#This Row],[Concat]],Vagas!$H:$H,Vagas!$D:$D,"",0)</f>
        <v>0</v>
      </c>
    </row>
    <row r="6764" spans="1:8" x14ac:dyDescent="0.25">
      <c r="A6764" s="2">
        <v>44638</v>
      </c>
      <c r="B6764" s="1" t="s">
        <v>72</v>
      </c>
      <c r="C6764">
        <v>1794</v>
      </c>
      <c r="D6764" s="1" t="s">
        <v>235</v>
      </c>
      <c r="E6764" s="1" t="s">
        <v>4</v>
      </c>
      <c r="F6764">
        <v>46</v>
      </c>
      <c r="G6764" s="1" t="str">
        <f>Ocupacao_DW[[#This Row],[data]]&amp;Ocupacao_DW[[#This Row],[profissional_id]]&amp;Ocupacao_DW[[#This Row],[local_id]]</f>
        <v>44638179446</v>
      </c>
      <c r="H6764" s="1">
        <f>_xlfn.XLOOKUP(Ocupacao_DW[[#This Row],[Concat]],Vagas!$H:$H,Vagas!$D:$D,"",0)</f>
        <v>0</v>
      </c>
    </row>
    <row r="6765" spans="1:8" x14ac:dyDescent="0.25">
      <c r="A6765" s="2">
        <v>44638</v>
      </c>
      <c r="B6765" s="1" t="s">
        <v>56</v>
      </c>
      <c r="C6765">
        <v>13660</v>
      </c>
      <c r="D6765" s="1" t="s">
        <v>250</v>
      </c>
      <c r="E6765" s="1" t="s">
        <v>5</v>
      </c>
      <c r="F6765">
        <v>15</v>
      </c>
      <c r="G6765" s="1" t="str">
        <f>Ocupacao_DW[[#This Row],[data]]&amp;Ocupacao_DW[[#This Row],[profissional_id]]&amp;Ocupacao_DW[[#This Row],[local_id]]</f>
        <v>446381366015</v>
      </c>
      <c r="H6765" s="1">
        <f>_xlfn.XLOOKUP(Ocupacao_DW[[#This Row],[Concat]],Vagas!$H:$H,Vagas!$D:$D,"",0)</f>
        <v>0</v>
      </c>
    </row>
    <row r="6766" spans="1:8" x14ac:dyDescent="0.25">
      <c r="A6766" s="2">
        <v>44639</v>
      </c>
      <c r="B6766" s="1" t="s">
        <v>49</v>
      </c>
      <c r="C6766">
        <v>13756</v>
      </c>
      <c r="D6766" s="1" t="s">
        <v>202</v>
      </c>
      <c r="E6766" s="1" t="s">
        <v>4</v>
      </c>
      <c r="F6766">
        <v>43</v>
      </c>
      <c r="G6766" s="1" t="str">
        <f>Ocupacao_DW[[#This Row],[data]]&amp;Ocupacao_DW[[#This Row],[profissional_id]]&amp;Ocupacao_DW[[#This Row],[local_id]]</f>
        <v>446391375643</v>
      </c>
      <c r="H6766" s="1">
        <f>_xlfn.XLOOKUP(Ocupacao_DW[[#This Row],[Concat]],Vagas!$H:$H,Vagas!$D:$D,"",0)</f>
        <v>0</v>
      </c>
    </row>
    <row r="6767" spans="1:8" x14ac:dyDescent="0.25">
      <c r="A6767" s="2">
        <v>44638</v>
      </c>
      <c r="B6767" s="1" t="s">
        <v>49</v>
      </c>
      <c r="C6767">
        <v>81</v>
      </c>
      <c r="D6767" s="1" t="s">
        <v>170</v>
      </c>
      <c r="E6767" s="1" t="s">
        <v>4</v>
      </c>
      <c r="F6767">
        <v>41</v>
      </c>
      <c r="G6767" s="1" t="str">
        <f>Ocupacao_DW[[#This Row],[data]]&amp;Ocupacao_DW[[#This Row],[profissional_id]]&amp;Ocupacao_DW[[#This Row],[local_id]]</f>
        <v>446388141</v>
      </c>
      <c r="H6767" s="1">
        <f>_xlfn.XLOOKUP(Ocupacao_DW[[#This Row],[Concat]],Vagas!$H:$H,Vagas!$D:$D,"",0)</f>
        <v>0</v>
      </c>
    </row>
    <row r="6768" spans="1:8" x14ac:dyDescent="0.25">
      <c r="A6768" s="2">
        <v>44638</v>
      </c>
      <c r="B6768" s="1" t="s">
        <v>49</v>
      </c>
      <c r="C6768">
        <v>81</v>
      </c>
      <c r="D6768" s="1" t="s">
        <v>170</v>
      </c>
      <c r="E6768" s="1" t="s">
        <v>4</v>
      </c>
      <c r="F6768">
        <v>41</v>
      </c>
      <c r="G6768" s="1" t="str">
        <f>Ocupacao_DW[[#This Row],[data]]&amp;Ocupacao_DW[[#This Row],[profissional_id]]&amp;Ocupacao_DW[[#This Row],[local_id]]</f>
        <v>446388141</v>
      </c>
      <c r="H6768" s="1">
        <f>_xlfn.XLOOKUP(Ocupacao_DW[[#This Row],[Concat]],Vagas!$H:$H,Vagas!$D:$D,"",0)</f>
        <v>0</v>
      </c>
    </row>
    <row r="6769" spans="1:8" x14ac:dyDescent="0.25">
      <c r="A6769" s="2">
        <v>44657</v>
      </c>
      <c r="B6769" s="1" t="s">
        <v>55</v>
      </c>
      <c r="C6769">
        <v>73</v>
      </c>
      <c r="D6769" s="1" t="s">
        <v>171</v>
      </c>
      <c r="E6769" s="1" t="s">
        <v>6</v>
      </c>
      <c r="F6769">
        <v>5</v>
      </c>
      <c r="G6769" s="1" t="str">
        <f>Ocupacao_DW[[#This Row],[data]]&amp;Ocupacao_DW[[#This Row],[profissional_id]]&amp;Ocupacao_DW[[#This Row],[local_id]]</f>
        <v>44657735</v>
      </c>
      <c r="H6769" s="1">
        <f>_xlfn.XLOOKUP(Ocupacao_DW[[#This Row],[Concat]],Vagas!$H:$H,Vagas!$D:$D,"",0)</f>
        <v>0</v>
      </c>
    </row>
    <row r="6770" spans="1:8" x14ac:dyDescent="0.25">
      <c r="A6770" s="2">
        <v>44645</v>
      </c>
      <c r="B6770" s="1" t="s">
        <v>68</v>
      </c>
      <c r="C6770">
        <v>9138</v>
      </c>
      <c r="D6770" s="1" t="s">
        <v>184</v>
      </c>
      <c r="E6770" s="1" t="s">
        <v>5</v>
      </c>
      <c r="F6770">
        <v>14</v>
      </c>
      <c r="G6770" s="1" t="str">
        <f>Ocupacao_DW[[#This Row],[data]]&amp;Ocupacao_DW[[#This Row],[profissional_id]]&amp;Ocupacao_DW[[#This Row],[local_id]]</f>
        <v>44645913814</v>
      </c>
      <c r="H6770" s="1">
        <f>_xlfn.XLOOKUP(Ocupacao_DW[[#This Row],[Concat]],Vagas!$H:$H,Vagas!$D:$D,"",0)</f>
        <v>0</v>
      </c>
    </row>
    <row r="6771" spans="1:8" x14ac:dyDescent="0.25">
      <c r="A6771" s="2">
        <v>44644</v>
      </c>
      <c r="B6771" s="1" t="s">
        <v>73</v>
      </c>
      <c r="C6771">
        <v>10691</v>
      </c>
      <c r="D6771" s="1" t="s">
        <v>181</v>
      </c>
      <c r="E6771" s="1" t="s">
        <v>167</v>
      </c>
      <c r="F6771">
        <v>348</v>
      </c>
      <c r="G6771" s="1" t="str">
        <f>Ocupacao_DW[[#This Row],[data]]&amp;Ocupacao_DW[[#This Row],[profissional_id]]&amp;Ocupacao_DW[[#This Row],[local_id]]</f>
        <v>4464410691348</v>
      </c>
      <c r="H6771" s="1">
        <f>_xlfn.XLOOKUP(Ocupacao_DW[[#This Row],[Concat]],Vagas!$H:$H,Vagas!$D:$D,"",0)</f>
        <v>0</v>
      </c>
    </row>
    <row r="6772" spans="1:8" x14ac:dyDescent="0.25">
      <c r="A6772" s="2">
        <v>44639</v>
      </c>
      <c r="B6772" s="1" t="s">
        <v>49</v>
      </c>
      <c r="C6772">
        <v>13756</v>
      </c>
      <c r="D6772" s="1" t="s">
        <v>202</v>
      </c>
      <c r="E6772" s="1" t="s">
        <v>4</v>
      </c>
      <c r="F6772">
        <v>43</v>
      </c>
      <c r="G6772" s="1" t="str">
        <f>Ocupacao_DW[[#This Row],[data]]&amp;Ocupacao_DW[[#This Row],[profissional_id]]&amp;Ocupacao_DW[[#This Row],[local_id]]</f>
        <v>446391375643</v>
      </c>
      <c r="H6772" s="1">
        <f>_xlfn.XLOOKUP(Ocupacao_DW[[#This Row],[Concat]],Vagas!$H:$H,Vagas!$D:$D,"",0)</f>
        <v>0</v>
      </c>
    </row>
    <row r="6773" spans="1:8" x14ac:dyDescent="0.25">
      <c r="A6773" s="2">
        <v>44635</v>
      </c>
      <c r="B6773" s="1" t="s">
        <v>42</v>
      </c>
      <c r="C6773">
        <v>17902</v>
      </c>
      <c r="D6773" s="1" t="s">
        <v>264</v>
      </c>
      <c r="E6773" s="1" t="s">
        <v>4</v>
      </c>
      <c r="F6773">
        <v>39</v>
      </c>
      <c r="G6773" s="1" t="str">
        <f>Ocupacao_DW[[#This Row],[data]]&amp;Ocupacao_DW[[#This Row],[profissional_id]]&amp;Ocupacao_DW[[#This Row],[local_id]]</f>
        <v>446351790239</v>
      </c>
      <c r="H6773" s="1">
        <f>_xlfn.XLOOKUP(Ocupacao_DW[[#This Row],[Concat]],Vagas!$H:$H,Vagas!$D:$D,"",0)</f>
        <v>39</v>
      </c>
    </row>
    <row r="6774" spans="1:8" x14ac:dyDescent="0.25">
      <c r="A6774" s="2">
        <v>44638</v>
      </c>
      <c r="B6774" s="1" t="s">
        <v>49</v>
      </c>
      <c r="C6774">
        <v>81</v>
      </c>
      <c r="D6774" s="1" t="s">
        <v>170</v>
      </c>
      <c r="E6774" s="1" t="s">
        <v>4</v>
      </c>
      <c r="F6774">
        <v>41</v>
      </c>
      <c r="G6774" s="1" t="str">
        <f>Ocupacao_DW[[#This Row],[data]]&amp;Ocupacao_DW[[#This Row],[profissional_id]]&amp;Ocupacao_DW[[#This Row],[local_id]]</f>
        <v>446388141</v>
      </c>
      <c r="H6774" s="1">
        <f>_xlfn.XLOOKUP(Ocupacao_DW[[#This Row],[Concat]],Vagas!$H:$H,Vagas!$D:$D,"",0)</f>
        <v>0</v>
      </c>
    </row>
    <row r="6775" spans="1:8" x14ac:dyDescent="0.25">
      <c r="A6775" s="2">
        <v>44642</v>
      </c>
      <c r="B6775" s="1" t="s">
        <v>65</v>
      </c>
      <c r="C6775">
        <v>11652</v>
      </c>
      <c r="D6775" s="1" t="s">
        <v>242</v>
      </c>
      <c r="E6775" s="1" t="s">
        <v>4</v>
      </c>
      <c r="F6775">
        <v>47</v>
      </c>
      <c r="G6775" s="1" t="str">
        <f>Ocupacao_DW[[#This Row],[data]]&amp;Ocupacao_DW[[#This Row],[profissional_id]]&amp;Ocupacao_DW[[#This Row],[local_id]]</f>
        <v>446421165247</v>
      </c>
      <c r="H6775" s="1">
        <f>_xlfn.XLOOKUP(Ocupacao_DW[[#This Row],[Concat]],Vagas!$H:$H,Vagas!$D:$D,"",0)</f>
        <v>35</v>
      </c>
    </row>
    <row r="6776" spans="1:8" x14ac:dyDescent="0.25">
      <c r="A6776" s="2">
        <v>44641</v>
      </c>
      <c r="B6776" s="1" t="s">
        <v>55</v>
      </c>
      <c r="C6776">
        <v>60</v>
      </c>
      <c r="D6776" s="1" t="s">
        <v>217</v>
      </c>
      <c r="E6776" s="1" t="s">
        <v>167</v>
      </c>
      <c r="F6776">
        <v>345</v>
      </c>
      <c r="G6776" s="1" t="str">
        <f>Ocupacao_DW[[#This Row],[data]]&amp;Ocupacao_DW[[#This Row],[profissional_id]]&amp;Ocupacao_DW[[#This Row],[local_id]]</f>
        <v>4464160345</v>
      </c>
      <c r="H6776" s="1">
        <f>_xlfn.XLOOKUP(Ocupacao_DW[[#This Row],[Concat]],Vagas!$H:$H,Vagas!$D:$D,"",0)</f>
        <v>0</v>
      </c>
    </row>
    <row r="6777" spans="1:8" x14ac:dyDescent="0.25">
      <c r="A6777" s="2">
        <v>44635</v>
      </c>
      <c r="B6777" s="1" t="s">
        <v>64</v>
      </c>
      <c r="C6777">
        <v>85</v>
      </c>
      <c r="D6777" s="1" t="s">
        <v>211</v>
      </c>
      <c r="E6777" s="1" t="s">
        <v>5</v>
      </c>
      <c r="F6777">
        <v>349</v>
      </c>
      <c r="G6777" s="1" t="str">
        <f>Ocupacao_DW[[#This Row],[data]]&amp;Ocupacao_DW[[#This Row],[profissional_id]]&amp;Ocupacao_DW[[#This Row],[local_id]]</f>
        <v>4463585349</v>
      </c>
      <c r="H6777" s="1">
        <f>_xlfn.XLOOKUP(Ocupacao_DW[[#This Row],[Concat]],Vagas!$H:$H,Vagas!$D:$D,"",0)</f>
        <v>0</v>
      </c>
    </row>
    <row r="6778" spans="1:8" x14ac:dyDescent="0.25">
      <c r="A6778" s="2">
        <v>44648</v>
      </c>
      <c r="B6778" s="1" t="s">
        <v>62</v>
      </c>
      <c r="C6778">
        <v>2567</v>
      </c>
      <c r="D6778" s="1" t="s">
        <v>198</v>
      </c>
      <c r="E6778" s="1" t="s">
        <v>5</v>
      </c>
      <c r="F6778">
        <v>18</v>
      </c>
      <c r="G6778" s="1" t="str">
        <f>Ocupacao_DW[[#This Row],[data]]&amp;Ocupacao_DW[[#This Row],[profissional_id]]&amp;Ocupacao_DW[[#This Row],[local_id]]</f>
        <v>44648256718</v>
      </c>
      <c r="H6778" s="1">
        <f>_xlfn.XLOOKUP(Ocupacao_DW[[#This Row],[Concat]],Vagas!$H:$H,Vagas!$D:$D,"",0)</f>
        <v>0</v>
      </c>
    </row>
    <row r="6779" spans="1:8" x14ac:dyDescent="0.25">
      <c r="A6779" s="2">
        <v>44637</v>
      </c>
      <c r="B6779" s="1" t="s">
        <v>62</v>
      </c>
      <c r="C6779">
        <v>3502</v>
      </c>
      <c r="D6779" s="1" t="s">
        <v>214</v>
      </c>
      <c r="E6779" s="1" t="s">
        <v>5</v>
      </c>
      <c r="F6779">
        <v>16</v>
      </c>
      <c r="G6779" s="1" t="str">
        <f>Ocupacao_DW[[#This Row],[data]]&amp;Ocupacao_DW[[#This Row],[profissional_id]]&amp;Ocupacao_DW[[#This Row],[local_id]]</f>
        <v>44637350216</v>
      </c>
      <c r="H6779" s="1">
        <f>_xlfn.XLOOKUP(Ocupacao_DW[[#This Row],[Concat]],Vagas!$H:$H,Vagas!$D:$D,"",0)</f>
        <v>0</v>
      </c>
    </row>
    <row r="6780" spans="1:8" x14ac:dyDescent="0.25">
      <c r="A6780" s="2">
        <v>44655</v>
      </c>
      <c r="B6780" s="1" t="s">
        <v>55</v>
      </c>
      <c r="C6780">
        <v>6392</v>
      </c>
      <c r="D6780" s="1" t="s">
        <v>173</v>
      </c>
      <c r="E6780" s="1" t="s">
        <v>6</v>
      </c>
      <c r="F6780">
        <v>5</v>
      </c>
      <c r="G6780" s="1" t="str">
        <f>Ocupacao_DW[[#This Row],[data]]&amp;Ocupacao_DW[[#This Row],[profissional_id]]&amp;Ocupacao_DW[[#This Row],[local_id]]</f>
        <v>4465563925</v>
      </c>
      <c r="H6780" s="1">
        <f>_xlfn.XLOOKUP(Ocupacao_DW[[#This Row],[Concat]],Vagas!$H:$H,Vagas!$D:$D,"",0)</f>
        <v>0</v>
      </c>
    </row>
    <row r="6781" spans="1:8" x14ac:dyDescent="0.25">
      <c r="A6781" s="2">
        <v>44636</v>
      </c>
      <c r="B6781" s="1" t="s">
        <v>70</v>
      </c>
      <c r="C6781">
        <v>12825</v>
      </c>
      <c r="D6781" s="1" t="s">
        <v>177</v>
      </c>
      <c r="E6781" s="1" t="s">
        <v>4</v>
      </c>
      <c r="F6781">
        <v>45</v>
      </c>
      <c r="G6781" s="1" t="str">
        <f>Ocupacao_DW[[#This Row],[data]]&amp;Ocupacao_DW[[#This Row],[profissional_id]]&amp;Ocupacao_DW[[#This Row],[local_id]]</f>
        <v>446361282545</v>
      </c>
      <c r="H6781" s="1">
        <f>_xlfn.XLOOKUP(Ocupacao_DW[[#This Row],[Concat]],Vagas!$H:$H,Vagas!$D:$D,"",0)</f>
        <v>0</v>
      </c>
    </row>
    <row r="6782" spans="1:8" x14ac:dyDescent="0.25">
      <c r="A6782" s="2">
        <v>44642</v>
      </c>
      <c r="B6782" s="1" t="s">
        <v>55</v>
      </c>
      <c r="C6782">
        <v>60</v>
      </c>
      <c r="D6782" s="1" t="s">
        <v>217</v>
      </c>
      <c r="E6782" s="1" t="s">
        <v>167</v>
      </c>
      <c r="F6782">
        <v>345</v>
      </c>
      <c r="G6782" s="1" t="str">
        <f>Ocupacao_DW[[#This Row],[data]]&amp;Ocupacao_DW[[#This Row],[profissional_id]]&amp;Ocupacao_DW[[#This Row],[local_id]]</f>
        <v>4464260345</v>
      </c>
      <c r="H6782" s="1">
        <f>_xlfn.XLOOKUP(Ocupacao_DW[[#This Row],[Concat]],Vagas!$H:$H,Vagas!$D:$D,"",0)</f>
        <v>0</v>
      </c>
    </row>
    <row r="6783" spans="1:8" x14ac:dyDescent="0.25">
      <c r="A6783" s="2">
        <v>44649</v>
      </c>
      <c r="B6783" s="1" t="s">
        <v>70</v>
      </c>
      <c r="C6783">
        <v>14237</v>
      </c>
      <c r="D6783" s="1" t="s">
        <v>186</v>
      </c>
      <c r="E6783" s="1" t="s">
        <v>4</v>
      </c>
      <c r="F6783">
        <v>47</v>
      </c>
      <c r="G6783" s="1" t="str">
        <f>Ocupacao_DW[[#This Row],[data]]&amp;Ocupacao_DW[[#This Row],[profissional_id]]&amp;Ocupacao_DW[[#This Row],[local_id]]</f>
        <v>446491423747</v>
      </c>
      <c r="H6783" s="1">
        <f>_xlfn.XLOOKUP(Ocupacao_DW[[#This Row],[Concat]],Vagas!$H:$H,Vagas!$D:$D,"",0)</f>
        <v>0</v>
      </c>
    </row>
    <row r="6784" spans="1:8" x14ac:dyDescent="0.25">
      <c r="A6784" s="2">
        <v>44636</v>
      </c>
      <c r="B6784" s="1" t="s">
        <v>52</v>
      </c>
      <c r="C6784">
        <v>10691</v>
      </c>
      <c r="D6784" s="1" t="s">
        <v>181</v>
      </c>
      <c r="E6784" s="1" t="s">
        <v>6</v>
      </c>
      <c r="F6784">
        <v>9</v>
      </c>
      <c r="G6784" s="1" t="str">
        <f>Ocupacao_DW[[#This Row],[data]]&amp;Ocupacao_DW[[#This Row],[profissional_id]]&amp;Ocupacao_DW[[#This Row],[local_id]]</f>
        <v>44636106919</v>
      </c>
      <c r="H6784" s="1">
        <f>_xlfn.XLOOKUP(Ocupacao_DW[[#This Row],[Concat]],Vagas!$H:$H,Vagas!$D:$D,"",0)</f>
        <v>0</v>
      </c>
    </row>
    <row r="6785" spans="1:8" x14ac:dyDescent="0.25">
      <c r="A6785" s="2">
        <v>44637</v>
      </c>
      <c r="B6785" s="1" t="s">
        <v>47</v>
      </c>
      <c r="C6785">
        <v>17928</v>
      </c>
      <c r="D6785" s="1" t="s">
        <v>268</v>
      </c>
      <c r="E6785" s="1" t="s">
        <v>4</v>
      </c>
      <c r="F6785">
        <v>51</v>
      </c>
      <c r="G6785" s="1" t="str">
        <f>Ocupacao_DW[[#This Row],[data]]&amp;Ocupacao_DW[[#This Row],[profissional_id]]&amp;Ocupacao_DW[[#This Row],[local_id]]</f>
        <v>446371792851</v>
      </c>
      <c r="H6785" s="1">
        <f>_xlfn.XLOOKUP(Ocupacao_DW[[#This Row],[Concat]],Vagas!$H:$H,Vagas!$D:$D,"",0)</f>
        <v>13</v>
      </c>
    </row>
    <row r="6786" spans="1:8" x14ac:dyDescent="0.25">
      <c r="A6786" s="2">
        <v>44641</v>
      </c>
      <c r="B6786" s="1" t="s">
        <v>52</v>
      </c>
      <c r="C6786">
        <v>10595</v>
      </c>
      <c r="D6786" s="1" t="s">
        <v>218</v>
      </c>
      <c r="E6786" s="1" t="s">
        <v>200</v>
      </c>
      <c r="F6786">
        <v>78</v>
      </c>
      <c r="G6786" s="1" t="str">
        <f>Ocupacao_DW[[#This Row],[data]]&amp;Ocupacao_DW[[#This Row],[profissional_id]]&amp;Ocupacao_DW[[#This Row],[local_id]]</f>
        <v>446411059578</v>
      </c>
      <c r="H6786" s="1">
        <f>_xlfn.XLOOKUP(Ocupacao_DW[[#This Row],[Concat]],Vagas!$H:$H,Vagas!$D:$D,"",0)</f>
        <v>0</v>
      </c>
    </row>
    <row r="6787" spans="1:8" x14ac:dyDescent="0.25">
      <c r="A6787" s="2">
        <v>44636</v>
      </c>
      <c r="B6787" s="1" t="s">
        <v>62</v>
      </c>
      <c r="C6787">
        <v>3502</v>
      </c>
      <c r="D6787" s="1" t="s">
        <v>214</v>
      </c>
      <c r="E6787" s="1" t="s">
        <v>5</v>
      </c>
      <c r="F6787">
        <v>16</v>
      </c>
      <c r="G6787" s="1" t="str">
        <f>Ocupacao_DW[[#This Row],[data]]&amp;Ocupacao_DW[[#This Row],[profissional_id]]&amp;Ocupacao_DW[[#This Row],[local_id]]</f>
        <v>44636350216</v>
      </c>
      <c r="H6787" s="1">
        <f>_xlfn.XLOOKUP(Ocupacao_DW[[#This Row],[Concat]],Vagas!$H:$H,Vagas!$D:$D,"",0)</f>
        <v>0</v>
      </c>
    </row>
    <row r="6788" spans="1:8" x14ac:dyDescent="0.25">
      <c r="A6788" s="2">
        <v>44636</v>
      </c>
      <c r="B6788" s="1" t="s">
        <v>56</v>
      </c>
      <c r="C6788">
        <v>13660</v>
      </c>
      <c r="D6788" s="1" t="s">
        <v>250</v>
      </c>
      <c r="E6788" s="1" t="s">
        <v>200</v>
      </c>
      <c r="F6788">
        <v>78</v>
      </c>
      <c r="G6788" s="1" t="str">
        <f>Ocupacao_DW[[#This Row],[data]]&amp;Ocupacao_DW[[#This Row],[profissional_id]]&amp;Ocupacao_DW[[#This Row],[local_id]]</f>
        <v>446361366078</v>
      </c>
      <c r="H6788" s="1">
        <f>_xlfn.XLOOKUP(Ocupacao_DW[[#This Row],[Concat]],Vagas!$H:$H,Vagas!$D:$D,"",0)</f>
        <v>3</v>
      </c>
    </row>
    <row r="6789" spans="1:8" x14ac:dyDescent="0.25">
      <c r="A6789" s="2">
        <v>44644</v>
      </c>
      <c r="B6789" s="1" t="s">
        <v>71</v>
      </c>
      <c r="C6789">
        <v>282</v>
      </c>
      <c r="D6789" s="1" t="s">
        <v>210</v>
      </c>
      <c r="E6789" s="1" t="s">
        <v>200</v>
      </c>
      <c r="F6789">
        <v>82</v>
      </c>
      <c r="G6789" s="1" t="str">
        <f>Ocupacao_DW[[#This Row],[data]]&amp;Ocupacao_DW[[#This Row],[profissional_id]]&amp;Ocupacao_DW[[#This Row],[local_id]]</f>
        <v>4464428282</v>
      </c>
      <c r="H6789" s="1">
        <f>_xlfn.XLOOKUP(Ocupacao_DW[[#This Row],[Concat]],Vagas!$H:$H,Vagas!$D:$D,"",0)</f>
        <v>0</v>
      </c>
    </row>
    <row r="6790" spans="1:8" x14ac:dyDescent="0.25">
      <c r="A6790" s="2">
        <v>44657</v>
      </c>
      <c r="B6790" s="1" t="s">
        <v>55</v>
      </c>
      <c r="C6790">
        <v>73</v>
      </c>
      <c r="D6790" s="1" t="s">
        <v>171</v>
      </c>
      <c r="E6790" s="1" t="s">
        <v>6</v>
      </c>
      <c r="F6790">
        <v>5</v>
      </c>
      <c r="G6790" s="1" t="str">
        <f>Ocupacao_DW[[#This Row],[data]]&amp;Ocupacao_DW[[#This Row],[profissional_id]]&amp;Ocupacao_DW[[#This Row],[local_id]]</f>
        <v>44657735</v>
      </c>
      <c r="H6790" s="1">
        <f>_xlfn.XLOOKUP(Ocupacao_DW[[#This Row],[Concat]],Vagas!$H:$H,Vagas!$D:$D,"",0)</f>
        <v>0</v>
      </c>
    </row>
    <row r="6791" spans="1:8" x14ac:dyDescent="0.25">
      <c r="A6791" s="2">
        <v>44643</v>
      </c>
      <c r="B6791" s="1" t="s">
        <v>49</v>
      </c>
      <c r="C6791">
        <v>6430</v>
      </c>
      <c r="D6791" s="1" t="s">
        <v>188</v>
      </c>
      <c r="E6791" s="1" t="s">
        <v>4</v>
      </c>
      <c r="F6791">
        <v>42</v>
      </c>
      <c r="G6791" s="1" t="str">
        <f>Ocupacao_DW[[#This Row],[data]]&amp;Ocupacao_DW[[#This Row],[profissional_id]]&amp;Ocupacao_DW[[#This Row],[local_id]]</f>
        <v>44643643042</v>
      </c>
      <c r="H6791" s="1">
        <f>_xlfn.XLOOKUP(Ocupacao_DW[[#This Row],[Concat]],Vagas!$H:$H,Vagas!$D:$D,"",0)</f>
        <v>0</v>
      </c>
    </row>
    <row r="6792" spans="1:8" x14ac:dyDescent="0.25">
      <c r="A6792" s="2">
        <v>44638</v>
      </c>
      <c r="B6792" s="1" t="s">
        <v>47</v>
      </c>
      <c r="C6792">
        <v>9111</v>
      </c>
      <c r="D6792" s="1" t="s">
        <v>206</v>
      </c>
      <c r="E6792" s="1" t="s">
        <v>4</v>
      </c>
      <c r="F6792">
        <v>51</v>
      </c>
      <c r="G6792" s="1" t="str">
        <f>Ocupacao_DW[[#This Row],[data]]&amp;Ocupacao_DW[[#This Row],[profissional_id]]&amp;Ocupacao_DW[[#This Row],[local_id]]</f>
        <v>44638911151</v>
      </c>
      <c r="H6792" s="1">
        <f>_xlfn.XLOOKUP(Ocupacao_DW[[#This Row],[Concat]],Vagas!$H:$H,Vagas!$D:$D,"",0)</f>
        <v>0</v>
      </c>
    </row>
    <row r="6793" spans="1:8" x14ac:dyDescent="0.25">
      <c r="A6793" s="2">
        <v>44646</v>
      </c>
      <c r="B6793" s="1" t="s">
        <v>43</v>
      </c>
      <c r="C6793">
        <v>57</v>
      </c>
      <c r="D6793" s="1" t="s">
        <v>169</v>
      </c>
      <c r="E6793" s="1" t="s">
        <v>6</v>
      </c>
      <c r="F6793">
        <v>2</v>
      </c>
      <c r="G6793" s="1" t="str">
        <f>Ocupacao_DW[[#This Row],[data]]&amp;Ocupacao_DW[[#This Row],[profissional_id]]&amp;Ocupacao_DW[[#This Row],[local_id]]</f>
        <v>44646572</v>
      </c>
      <c r="H6793" s="1">
        <f>_xlfn.XLOOKUP(Ocupacao_DW[[#This Row],[Concat]],Vagas!$H:$H,Vagas!$D:$D,"",0)</f>
        <v>0</v>
      </c>
    </row>
    <row r="6794" spans="1:8" x14ac:dyDescent="0.25">
      <c r="A6794" s="2">
        <v>44636</v>
      </c>
      <c r="B6794" s="1" t="s">
        <v>71</v>
      </c>
      <c r="C6794">
        <v>282</v>
      </c>
      <c r="D6794" s="1" t="s">
        <v>210</v>
      </c>
      <c r="E6794" s="1" t="s">
        <v>4</v>
      </c>
      <c r="F6794">
        <v>46</v>
      </c>
      <c r="G6794" s="1" t="str">
        <f>Ocupacao_DW[[#This Row],[data]]&amp;Ocupacao_DW[[#This Row],[profissional_id]]&amp;Ocupacao_DW[[#This Row],[local_id]]</f>
        <v>4463628246</v>
      </c>
      <c r="H6794" s="1">
        <f>_xlfn.XLOOKUP(Ocupacao_DW[[#This Row],[Concat]],Vagas!$H:$H,Vagas!$D:$D,"",0)</f>
        <v>0</v>
      </c>
    </row>
    <row r="6795" spans="1:8" x14ac:dyDescent="0.25">
      <c r="A6795" s="2">
        <v>44637</v>
      </c>
      <c r="B6795" s="1" t="s">
        <v>47</v>
      </c>
      <c r="C6795">
        <v>11207</v>
      </c>
      <c r="D6795" s="1" t="s">
        <v>251</v>
      </c>
      <c r="E6795" s="1" t="s">
        <v>4</v>
      </c>
      <c r="F6795">
        <v>51</v>
      </c>
      <c r="G6795" s="1" t="str">
        <f>Ocupacao_DW[[#This Row],[data]]&amp;Ocupacao_DW[[#This Row],[profissional_id]]&amp;Ocupacao_DW[[#This Row],[local_id]]</f>
        <v>446371120751</v>
      </c>
      <c r="H6795" s="1">
        <f>_xlfn.XLOOKUP(Ocupacao_DW[[#This Row],[Concat]],Vagas!$H:$H,Vagas!$D:$D,"",0)</f>
        <v>0</v>
      </c>
    </row>
    <row r="6796" spans="1:8" x14ac:dyDescent="0.25">
      <c r="A6796" s="2">
        <v>44637</v>
      </c>
      <c r="B6796" s="1" t="s">
        <v>47</v>
      </c>
      <c r="C6796">
        <v>11207</v>
      </c>
      <c r="D6796" s="1" t="s">
        <v>251</v>
      </c>
      <c r="E6796" s="1" t="s">
        <v>4</v>
      </c>
      <c r="F6796">
        <v>51</v>
      </c>
      <c r="G6796" s="1" t="str">
        <f>Ocupacao_DW[[#This Row],[data]]&amp;Ocupacao_DW[[#This Row],[profissional_id]]&amp;Ocupacao_DW[[#This Row],[local_id]]</f>
        <v>446371120751</v>
      </c>
      <c r="H6796" s="1">
        <f>_xlfn.XLOOKUP(Ocupacao_DW[[#This Row],[Concat]],Vagas!$H:$H,Vagas!$D:$D,"",0)</f>
        <v>0</v>
      </c>
    </row>
    <row r="6797" spans="1:8" x14ac:dyDescent="0.25">
      <c r="A6797" s="2">
        <v>44638</v>
      </c>
      <c r="B6797" s="1" t="s">
        <v>62</v>
      </c>
      <c r="C6797">
        <v>2567</v>
      </c>
      <c r="D6797" s="1" t="s">
        <v>198</v>
      </c>
      <c r="E6797" s="1" t="s">
        <v>5</v>
      </c>
      <c r="F6797">
        <v>18</v>
      </c>
      <c r="G6797" s="1" t="str">
        <f>Ocupacao_DW[[#This Row],[data]]&amp;Ocupacao_DW[[#This Row],[profissional_id]]&amp;Ocupacao_DW[[#This Row],[local_id]]</f>
        <v>44638256718</v>
      </c>
      <c r="H6797" s="1">
        <f>_xlfn.XLOOKUP(Ocupacao_DW[[#This Row],[Concat]],Vagas!$H:$H,Vagas!$D:$D,"",0)</f>
        <v>0</v>
      </c>
    </row>
    <row r="6798" spans="1:8" x14ac:dyDescent="0.25">
      <c r="A6798" s="2">
        <v>44636</v>
      </c>
      <c r="B6798" s="1" t="s">
        <v>62</v>
      </c>
      <c r="C6798">
        <v>3502</v>
      </c>
      <c r="D6798" s="1" t="s">
        <v>214</v>
      </c>
      <c r="E6798" s="1" t="s">
        <v>5</v>
      </c>
      <c r="F6798">
        <v>16</v>
      </c>
      <c r="G6798" s="1" t="str">
        <f>Ocupacao_DW[[#This Row],[data]]&amp;Ocupacao_DW[[#This Row],[profissional_id]]&amp;Ocupacao_DW[[#This Row],[local_id]]</f>
        <v>44636350216</v>
      </c>
      <c r="H6798" s="1">
        <f>_xlfn.XLOOKUP(Ocupacao_DW[[#This Row],[Concat]],Vagas!$H:$H,Vagas!$D:$D,"",0)</f>
        <v>0</v>
      </c>
    </row>
    <row r="6799" spans="1:8" x14ac:dyDescent="0.25">
      <c r="A6799" s="2">
        <v>44641</v>
      </c>
      <c r="B6799" s="1" t="s">
        <v>49</v>
      </c>
      <c r="C6799">
        <v>12369</v>
      </c>
      <c r="D6799" s="1" t="s">
        <v>195</v>
      </c>
      <c r="E6799" s="1" t="s">
        <v>4</v>
      </c>
      <c r="F6799">
        <v>44</v>
      </c>
      <c r="G6799" s="1" t="str">
        <f>Ocupacao_DW[[#This Row],[data]]&amp;Ocupacao_DW[[#This Row],[profissional_id]]&amp;Ocupacao_DW[[#This Row],[local_id]]</f>
        <v>446411236944</v>
      </c>
      <c r="H6799" s="1">
        <f>_xlfn.XLOOKUP(Ocupacao_DW[[#This Row],[Concat]],Vagas!$H:$H,Vagas!$D:$D,"",0)</f>
        <v>0</v>
      </c>
    </row>
    <row r="6800" spans="1:8" x14ac:dyDescent="0.25">
      <c r="A6800" s="2">
        <v>44638</v>
      </c>
      <c r="B6800" s="1" t="s">
        <v>66</v>
      </c>
      <c r="C6800">
        <v>1343</v>
      </c>
      <c r="D6800" s="1" t="s">
        <v>263</v>
      </c>
      <c r="E6800" s="1" t="s">
        <v>167</v>
      </c>
      <c r="F6800">
        <v>342</v>
      </c>
      <c r="G6800" s="1" t="str">
        <f>Ocupacao_DW[[#This Row],[data]]&amp;Ocupacao_DW[[#This Row],[profissional_id]]&amp;Ocupacao_DW[[#This Row],[local_id]]</f>
        <v>446381343342</v>
      </c>
      <c r="H6800" s="1">
        <f>_xlfn.XLOOKUP(Ocupacao_DW[[#This Row],[Concat]],Vagas!$H:$H,Vagas!$D:$D,"",0)</f>
        <v>0</v>
      </c>
    </row>
    <row r="6801" spans="1:8" x14ac:dyDescent="0.25">
      <c r="A6801" s="2">
        <v>44636</v>
      </c>
      <c r="B6801" s="1" t="s">
        <v>62</v>
      </c>
      <c r="C6801">
        <v>10799</v>
      </c>
      <c r="D6801" s="1" t="s">
        <v>204</v>
      </c>
      <c r="E6801" s="1" t="s">
        <v>5</v>
      </c>
      <c r="F6801">
        <v>18</v>
      </c>
      <c r="G6801" s="1" t="str">
        <f>Ocupacao_DW[[#This Row],[data]]&amp;Ocupacao_DW[[#This Row],[profissional_id]]&amp;Ocupacao_DW[[#This Row],[local_id]]</f>
        <v>446361079918</v>
      </c>
      <c r="H6801" s="1">
        <f>_xlfn.XLOOKUP(Ocupacao_DW[[#This Row],[Concat]],Vagas!$H:$H,Vagas!$D:$D,"",0)</f>
        <v>0</v>
      </c>
    </row>
    <row r="6802" spans="1:8" x14ac:dyDescent="0.25">
      <c r="A6802" s="2">
        <v>44642</v>
      </c>
      <c r="B6802" s="1" t="s">
        <v>47</v>
      </c>
      <c r="C6802">
        <v>110</v>
      </c>
      <c r="D6802" s="1" t="s">
        <v>193</v>
      </c>
      <c r="E6802" s="1" t="s">
        <v>4</v>
      </c>
      <c r="F6802">
        <v>334</v>
      </c>
      <c r="G6802" s="1" t="str">
        <f>Ocupacao_DW[[#This Row],[data]]&amp;Ocupacao_DW[[#This Row],[profissional_id]]&amp;Ocupacao_DW[[#This Row],[local_id]]</f>
        <v>44642110334</v>
      </c>
      <c r="H6802" s="1">
        <f>_xlfn.XLOOKUP(Ocupacao_DW[[#This Row],[Concat]],Vagas!$H:$H,Vagas!$D:$D,"",0)</f>
        <v>0</v>
      </c>
    </row>
    <row r="6803" spans="1:8" x14ac:dyDescent="0.25">
      <c r="A6803" s="2">
        <v>44636</v>
      </c>
      <c r="B6803" s="1" t="s">
        <v>64</v>
      </c>
      <c r="C6803">
        <v>531</v>
      </c>
      <c r="D6803" s="1" t="s">
        <v>213</v>
      </c>
      <c r="E6803" s="1" t="s">
        <v>5</v>
      </c>
      <c r="F6803">
        <v>12</v>
      </c>
      <c r="G6803" s="1" t="str">
        <f>Ocupacao_DW[[#This Row],[data]]&amp;Ocupacao_DW[[#This Row],[profissional_id]]&amp;Ocupacao_DW[[#This Row],[local_id]]</f>
        <v>4463653112</v>
      </c>
      <c r="H6803" s="1">
        <f>_xlfn.XLOOKUP(Ocupacao_DW[[#This Row],[Concat]],Vagas!$H:$H,Vagas!$D:$D,"",0)</f>
        <v>0</v>
      </c>
    </row>
    <row r="6804" spans="1:8" x14ac:dyDescent="0.25">
      <c r="A6804" s="2">
        <v>44637</v>
      </c>
      <c r="B6804" s="1" t="s">
        <v>62</v>
      </c>
      <c r="C6804">
        <v>3502</v>
      </c>
      <c r="D6804" s="1" t="s">
        <v>214</v>
      </c>
      <c r="E6804" s="1" t="s">
        <v>5</v>
      </c>
      <c r="F6804">
        <v>16</v>
      </c>
      <c r="G6804" s="1" t="str">
        <f>Ocupacao_DW[[#This Row],[data]]&amp;Ocupacao_DW[[#This Row],[profissional_id]]&amp;Ocupacao_DW[[#This Row],[local_id]]</f>
        <v>44637350216</v>
      </c>
      <c r="H6804" s="1">
        <f>_xlfn.XLOOKUP(Ocupacao_DW[[#This Row],[Concat]],Vagas!$H:$H,Vagas!$D:$D,"",0)</f>
        <v>0</v>
      </c>
    </row>
    <row r="6805" spans="1:8" x14ac:dyDescent="0.25">
      <c r="A6805" s="2">
        <v>44641</v>
      </c>
      <c r="B6805" s="1" t="s">
        <v>49</v>
      </c>
      <c r="C6805">
        <v>6430</v>
      </c>
      <c r="D6805" s="1" t="s">
        <v>188</v>
      </c>
      <c r="E6805" s="1" t="s">
        <v>200</v>
      </c>
      <c r="F6805">
        <v>86</v>
      </c>
      <c r="G6805" s="1" t="str">
        <f>Ocupacao_DW[[#This Row],[data]]&amp;Ocupacao_DW[[#This Row],[profissional_id]]&amp;Ocupacao_DW[[#This Row],[local_id]]</f>
        <v>44641643086</v>
      </c>
      <c r="H6805" s="1">
        <f>_xlfn.XLOOKUP(Ocupacao_DW[[#This Row],[Concat]],Vagas!$H:$H,Vagas!$D:$D,"",0)</f>
        <v>0</v>
      </c>
    </row>
    <row r="6806" spans="1:8" x14ac:dyDescent="0.25">
      <c r="A6806" s="2">
        <v>44637</v>
      </c>
      <c r="B6806" s="1" t="s">
        <v>62</v>
      </c>
      <c r="C6806">
        <v>2567</v>
      </c>
      <c r="D6806" s="1" t="s">
        <v>198</v>
      </c>
      <c r="E6806" s="1" t="s">
        <v>5</v>
      </c>
      <c r="F6806">
        <v>18</v>
      </c>
      <c r="G6806" s="1" t="str">
        <f>Ocupacao_DW[[#This Row],[data]]&amp;Ocupacao_DW[[#This Row],[profissional_id]]&amp;Ocupacao_DW[[#This Row],[local_id]]</f>
        <v>44637256718</v>
      </c>
      <c r="H6806" s="1">
        <f>_xlfn.XLOOKUP(Ocupacao_DW[[#This Row],[Concat]],Vagas!$H:$H,Vagas!$D:$D,"",0)</f>
        <v>0</v>
      </c>
    </row>
    <row r="6807" spans="1:8" x14ac:dyDescent="0.25">
      <c r="A6807" s="2">
        <v>44642</v>
      </c>
      <c r="B6807" s="1" t="s">
        <v>43</v>
      </c>
      <c r="C6807">
        <v>57</v>
      </c>
      <c r="D6807" s="1" t="s">
        <v>169</v>
      </c>
      <c r="E6807" s="1" t="s">
        <v>6</v>
      </c>
      <c r="F6807">
        <v>2</v>
      </c>
      <c r="G6807" s="1" t="str">
        <f>Ocupacao_DW[[#This Row],[data]]&amp;Ocupacao_DW[[#This Row],[profissional_id]]&amp;Ocupacao_DW[[#This Row],[local_id]]</f>
        <v>44642572</v>
      </c>
      <c r="H6807" s="1">
        <f>_xlfn.XLOOKUP(Ocupacao_DW[[#This Row],[Concat]],Vagas!$H:$H,Vagas!$D:$D,"",0)</f>
        <v>19</v>
      </c>
    </row>
    <row r="6808" spans="1:8" x14ac:dyDescent="0.25">
      <c r="A6808" s="2">
        <v>44639</v>
      </c>
      <c r="B6808" s="1" t="s">
        <v>49</v>
      </c>
      <c r="C6808">
        <v>13756</v>
      </c>
      <c r="D6808" s="1" t="s">
        <v>202</v>
      </c>
      <c r="E6808" s="1" t="s">
        <v>4</v>
      </c>
      <c r="F6808">
        <v>43</v>
      </c>
      <c r="G6808" s="1" t="str">
        <f>Ocupacao_DW[[#This Row],[data]]&amp;Ocupacao_DW[[#This Row],[profissional_id]]&amp;Ocupacao_DW[[#This Row],[local_id]]</f>
        <v>446391375643</v>
      </c>
      <c r="H6808" s="1">
        <f>_xlfn.XLOOKUP(Ocupacao_DW[[#This Row],[Concat]],Vagas!$H:$H,Vagas!$D:$D,"",0)</f>
        <v>0</v>
      </c>
    </row>
    <row r="6809" spans="1:8" x14ac:dyDescent="0.25">
      <c r="A6809" s="2">
        <v>44637</v>
      </c>
      <c r="B6809" s="1" t="s">
        <v>20</v>
      </c>
      <c r="C6809">
        <v>174</v>
      </c>
      <c r="D6809" s="1" t="s">
        <v>230</v>
      </c>
      <c r="E6809" s="1" t="s">
        <v>167</v>
      </c>
      <c r="F6809">
        <v>24</v>
      </c>
      <c r="G6809" s="1" t="str">
        <f>Ocupacao_DW[[#This Row],[data]]&amp;Ocupacao_DW[[#This Row],[profissional_id]]&amp;Ocupacao_DW[[#This Row],[local_id]]</f>
        <v>4463717424</v>
      </c>
      <c r="H6809" s="1">
        <f>_xlfn.XLOOKUP(Ocupacao_DW[[#This Row],[Concat]],Vagas!$H:$H,Vagas!$D:$D,"",0)</f>
        <v>80</v>
      </c>
    </row>
    <row r="6810" spans="1:8" x14ac:dyDescent="0.25">
      <c r="A6810" s="2">
        <v>44637</v>
      </c>
      <c r="B6810" s="1" t="s">
        <v>51</v>
      </c>
      <c r="C6810">
        <v>12582</v>
      </c>
      <c r="D6810" s="1" t="s">
        <v>190</v>
      </c>
      <c r="E6810" s="1" t="s">
        <v>5</v>
      </c>
      <c r="F6810">
        <v>15</v>
      </c>
      <c r="G6810" s="1" t="str">
        <f>Ocupacao_DW[[#This Row],[data]]&amp;Ocupacao_DW[[#This Row],[profissional_id]]&amp;Ocupacao_DW[[#This Row],[local_id]]</f>
        <v>446371258215</v>
      </c>
      <c r="H6810" s="1">
        <f>_xlfn.XLOOKUP(Ocupacao_DW[[#This Row],[Concat]],Vagas!$H:$H,Vagas!$D:$D,"",0)</f>
        <v>0</v>
      </c>
    </row>
    <row r="6811" spans="1:8" x14ac:dyDescent="0.25">
      <c r="A6811" s="2">
        <v>44642</v>
      </c>
      <c r="B6811" s="1" t="s">
        <v>68</v>
      </c>
      <c r="C6811">
        <v>14371</v>
      </c>
      <c r="D6811" s="1" t="s">
        <v>273</v>
      </c>
      <c r="E6811" s="1" t="s">
        <v>7</v>
      </c>
      <c r="F6811">
        <v>60</v>
      </c>
      <c r="G6811" s="1" t="str">
        <f>Ocupacao_DW[[#This Row],[data]]&amp;Ocupacao_DW[[#This Row],[profissional_id]]&amp;Ocupacao_DW[[#This Row],[local_id]]</f>
        <v>446421437160</v>
      </c>
      <c r="H6811" s="1">
        <f>_xlfn.XLOOKUP(Ocupacao_DW[[#This Row],[Concat]],Vagas!$H:$H,Vagas!$D:$D,"",0)</f>
        <v>22</v>
      </c>
    </row>
    <row r="6812" spans="1:8" x14ac:dyDescent="0.25">
      <c r="A6812" s="2">
        <v>44644</v>
      </c>
      <c r="B6812" s="1" t="s">
        <v>51</v>
      </c>
      <c r="C6812">
        <v>12582</v>
      </c>
      <c r="D6812" s="1" t="s">
        <v>190</v>
      </c>
      <c r="E6812" s="1" t="s">
        <v>5</v>
      </c>
      <c r="F6812">
        <v>15</v>
      </c>
      <c r="G6812" s="1" t="str">
        <f>Ocupacao_DW[[#This Row],[data]]&amp;Ocupacao_DW[[#This Row],[profissional_id]]&amp;Ocupacao_DW[[#This Row],[local_id]]</f>
        <v>446441258215</v>
      </c>
      <c r="H6812" s="1">
        <f>_xlfn.XLOOKUP(Ocupacao_DW[[#This Row],[Concat]],Vagas!$H:$H,Vagas!$D:$D,"",0)</f>
        <v>0</v>
      </c>
    </row>
    <row r="6813" spans="1:8" x14ac:dyDescent="0.25">
      <c r="A6813" s="2">
        <v>44645</v>
      </c>
      <c r="B6813" s="1" t="s">
        <v>52</v>
      </c>
      <c r="C6813">
        <v>10691</v>
      </c>
      <c r="D6813" s="1" t="s">
        <v>181</v>
      </c>
      <c r="E6813" s="1" t="s">
        <v>6</v>
      </c>
      <c r="F6813">
        <v>6</v>
      </c>
      <c r="G6813" s="1" t="str">
        <f>Ocupacao_DW[[#This Row],[data]]&amp;Ocupacao_DW[[#This Row],[profissional_id]]&amp;Ocupacao_DW[[#This Row],[local_id]]</f>
        <v>44645106916</v>
      </c>
      <c r="H6813" s="1">
        <f>_xlfn.XLOOKUP(Ocupacao_DW[[#This Row],[Concat]],Vagas!$H:$H,Vagas!$D:$D,"",0)</f>
        <v>8</v>
      </c>
    </row>
    <row r="6814" spans="1:8" x14ac:dyDescent="0.25">
      <c r="A6814" s="2">
        <v>44643</v>
      </c>
      <c r="B6814" s="1" t="s">
        <v>54</v>
      </c>
      <c r="C6814">
        <v>70</v>
      </c>
      <c r="D6814" s="1" t="s">
        <v>187</v>
      </c>
      <c r="E6814" s="1" t="s">
        <v>5</v>
      </c>
      <c r="F6814">
        <v>13</v>
      </c>
      <c r="G6814" s="1" t="str">
        <f>Ocupacao_DW[[#This Row],[data]]&amp;Ocupacao_DW[[#This Row],[profissional_id]]&amp;Ocupacao_DW[[#This Row],[local_id]]</f>
        <v>446437013</v>
      </c>
      <c r="H6814" s="1">
        <f>_xlfn.XLOOKUP(Ocupacao_DW[[#This Row],[Concat]],Vagas!$H:$H,Vagas!$D:$D,"",0)</f>
        <v>0</v>
      </c>
    </row>
    <row r="6815" spans="1:8" x14ac:dyDescent="0.25">
      <c r="A6815" s="2">
        <v>44638</v>
      </c>
      <c r="B6815" s="1" t="s">
        <v>52</v>
      </c>
      <c r="C6815">
        <v>55</v>
      </c>
      <c r="D6815" s="1" t="s">
        <v>244</v>
      </c>
      <c r="E6815" s="1" t="s">
        <v>7</v>
      </c>
      <c r="F6815">
        <v>68</v>
      </c>
      <c r="G6815" s="1" t="str">
        <f>Ocupacao_DW[[#This Row],[data]]&amp;Ocupacao_DW[[#This Row],[profissional_id]]&amp;Ocupacao_DW[[#This Row],[local_id]]</f>
        <v>446385568</v>
      </c>
      <c r="H6815" s="1">
        <f>_xlfn.XLOOKUP(Ocupacao_DW[[#This Row],[Concat]],Vagas!$H:$H,Vagas!$D:$D,"",0)</f>
        <v>0</v>
      </c>
    </row>
    <row r="6816" spans="1:8" x14ac:dyDescent="0.25">
      <c r="A6816" s="2">
        <v>44636</v>
      </c>
      <c r="B6816" s="1" t="s">
        <v>64</v>
      </c>
      <c r="C6816">
        <v>531</v>
      </c>
      <c r="D6816" s="1" t="s">
        <v>213</v>
      </c>
      <c r="E6816" s="1" t="s">
        <v>5</v>
      </c>
      <c r="F6816">
        <v>12</v>
      </c>
      <c r="G6816" s="1" t="str">
        <f>Ocupacao_DW[[#This Row],[data]]&amp;Ocupacao_DW[[#This Row],[profissional_id]]&amp;Ocupacao_DW[[#This Row],[local_id]]</f>
        <v>4463653112</v>
      </c>
      <c r="H6816" s="1">
        <f>_xlfn.XLOOKUP(Ocupacao_DW[[#This Row],[Concat]],Vagas!$H:$H,Vagas!$D:$D,"",0)</f>
        <v>0</v>
      </c>
    </row>
    <row r="6817" spans="1:8" x14ac:dyDescent="0.25">
      <c r="A6817" s="2">
        <v>44635</v>
      </c>
      <c r="B6817" s="1" t="s">
        <v>276</v>
      </c>
      <c r="C6817">
        <v>17937</v>
      </c>
      <c r="D6817" s="1" t="s">
        <v>297</v>
      </c>
      <c r="E6817" s="1" t="s">
        <v>4</v>
      </c>
      <c r="F6817">
        <v>351</v>
      </c>
      <c r="G6817" s="1" t="str">
        <f>Ocupacao_DW[[#This Row],[data]]&amp;Ocupacao_DW[[#This Row],[profissional_id]]&amp;Ocupacao_DW[[#This Row],[local_id]]</f>
        <v>4463517937351</v>
      </c>
      <c r="H6817" s="1">
        <f>_xlfn.XLOOKUP(Ocupacao_DW[[#This Row],[Concat]],Vagas!$H:$H,Vagas!$D:$D,"",0)</f>
        <v>11</v>
      </c>
    </row>
    <row r="6818" spans="1:8" x14ac:dyDescent="0.25">
      <c r="A6818" s="2">
        <v>44642</v>
      </c>
      <c r="B6818" s="1" t="s">
        <v>47</v>
      </c>
      <c r="C6818">
        <v>111</v>
      </c>
      <c r="D6818" s="1" t="s">
        <v>199</v>
      </c>
      <c r="E6818" s="1" t="s">
        <v>4</v>
      </c>
      <c r="F6818">
        <v>51</v>
      </c>
      <c r="G6818" s="1" t="str">
        <f>Ocupacao_DW[[#This Row],[data]]&amp;Ocupacao_DW[[#This Row],[profissional_id]]&amp;Ocupacao_DW[[#This Row],[local_id]]</f>
        <v>4464211151</v>
      </c>
      <c r="H6818" s="1">
        <f>_xlfn.XLOOKUP(Ocupacao_DW[[#This Row],[Concat]],Vagas!$H:$H,Vagas!$D:$D,"",0)</f>
        <v>25</v>
      </c>
    </row>
    <row r="6819" spans="1:8" x14ac:dyDescent="0.25">
      <c r="A6819" s="2">
        <v>44642</v>
      </c>
      <c r="B6819" s="1" t="s">
        <v>65</v>
      </c>
      <c r="C6819">
        <v>11237</v>
      </c>
      <c r="D6819" s="1" t="s">
        <v>229</v>
      </c>
      <c r="E6819" s="1" t="s">
        <v>4</v>
      </c>
      <c r="F6819">
        <v>46</v>
      </c>
      <c r="G6819" s="1" t="str">
        <f>Ocupacao_DW[[#This Row],[data]]&amp;Ocupacao_DW[[#This Row],[profissional_id]]&amp;Ocupacao_DW[[#This Row],[local_id]]</f>
        <v>446421123746</v>
      </c>
      <c r="H6819" s="1">
        <f>_xlfn.XLOOKUP(Ocupacao_DW[[#This Row],[Concat]],Vagas!$H:$H,Vagas!$D:$D,"",0)</f>
        <v>0</v>
      </c>
    </row>
    <row r="6820" spans="1:8" x14ac:dyDescent="0.25">
      <c r="A6820" s="2">
        <v>44642</v>
      </c>
      <c r="B6820" s="1" t="s">
        <v>47</v>
      </c>
      <c r="C6820">
        <v>111</v>
      </c>
      <c r="D6820" s="1" t="s">
        <v>199</v>
      </c>
      <c r="E6820" s="1" t="s">
        <v>4</v>
      </c>
      <c r="F6820">
        <v>51</v>
      </c>
      <c r="G6820" s="1" t="str">
        <f>Ocupacao_DW[[#This Row],[data]]&amp;Ocupacao_DW[[#This Row],[profissional_id]]&amp;Ocupacao_DW[[#This Row],[local_id]]</f>
        <v>4464211151</v>
      </c>
      <c r="H6820" s="1">
        <f>_xlfn.XLOOKUP(Ocupacao_DW[[#This Row],[Concat]],Vagas!$H:$H,Vagas!$D:$D,"",0)</f>
        <v>25</v>
      </c>
    </row>
    <row r="6821" spans="1:8" x14ac:dyDescent="0.25">
      <c r="A6821" s="2">
        <v>44643</v>
      </c>
      <c r="B6821" s="1" t="s">
        <v>51</v>
      </c>
      <c r="C6821">
        <v>7551</v>
      </c>
      <c r="D6821" s="1" t="s">
        <v>246</v>
      </c>
      <c r="E6821" s="1" t="s">
        <v>5</v>
      </c>
      <c r="F6821">
        <v>15</v>
      </c>
      <c r="G6821" s="1" t="str">
        <f>Ocupacao_DW[[#This Row],[data]]&amp;Ocupacao_DW[[#This Row],[profissional_id]]&amp;Ocupacao_DW[[#This Row],[local_id]]</f>
        <v>44643755115</v>
      </c>
      <c r="H6821" s="1">
        <f>_xlfn.XLOOKUP(Ocupacao_DW[[#This Row],[Concat]],Vagas!$H:$H,Vagas!$D:$D,"",0)</f>
        <v>0</v>
      </c>
    </row>
    <row r="6822" spans="1:8" x14ac:dyDescent="0.25">
      <c r="A6822" s="2">
        <v>44641</v>
      </c>
      <c r="B6822" s="1" t="s">
        <v>47</v>
      </c>
      <c r="C6822">
        <v>13371</v>
      </c>
      <c r="D6822" s="1" t="s">
        <v>205</v>
      </c>
      <c r="E6822" s="1" t="s">
        <v>4</v>
      </c>
      <c r="F6822">
        <v>335</v>
      </c>
      <c r="G6822" s="1" t="str">
        <f>Ocupacao_DW[[#This Row],[data]]&amp;Ocupacao_DW[[#This Row],[profissional_id]]&amp;Ocupacao_DW[[#This Row],[local_id]]</f>
        <v>4464113371335</v>
      </c>
      <c r="H6822" s="1" t="str">
        <f>_xlfn.XLOOKUP(Ocupacao_DW[[#This Row],[Concat]],Vagas!$H:$H,Vagas!$D:$D,"",0)</f>
        <v/>
      </c>
    </row>
    <row r="6823" spans="1:8" x14ac:dyDescent="0.25">
      <c r="A6823" s="2">
        <v>44649</v>
      </c>
      <c r="B6823" s="1" t="s">
        <v>49</v>
      </c>
      <c r="C6823">
        <v>17918</v>
      </c>
      <c r="D6823" s="1" t="s">
        <v>265</v>
      </c>
      <c r="E6823" s="1" t="s">
        <v>288</v>
      </c>
      <c r="F6823">
        <v>378</v>
      </c>
      <c r="G6823" s="1" t="str">
        <f>Ocupacao_DW[[#This Row],[data]]&amp;Ocupacao_DW[[#This Row],[profissional_id]]&amp;Ocupacao_DW[[#This Row],[local_id]]</f>
        <v>4464917918378</v>
      </c>
      <c r="H6823" s="1">
        <f>_xlfn.XLOOKUP(Ocupacao_DW[[#This Row],[Concat]],Vagas!$H:$H,Vagas!$D:$D,"",0)</f>
        <v>0</v>
      </c>
    </row>
    <row r="6824" spans="1:8" x14ac:dyDescent="0.25">
      <c r="A6824" s="2">
        <v>44641</v>
      </c>
      <c r="B6824" s="1" t="s">
        <v>52</v>
      </c>
      <c r="C6824">
        <v>10691</v>
      </c>
      <c r="D6824" s="1" t="s">
        <v>181</v>
      </c>
      <c r="E6824" s="1" t="s">
        <v>6</v>
      </c>
      <c r="F6824">
        <v>9</v>
      </c>
      <c r="G6824" s="1" t="str">
        <f>Ocupacao_DW[[#This Row],[data]]&amp;Ocupacao_DW[[#This Row],[profissional_id]]&amp;Ocupacao_DW[[#This Row],[local_id]]</f>
        <v>44641106919</v>
      </c>
      <c r="H6824" s="1">
        <f>_xlfn.XLOOKUP(Ocupacao_DW[[#This Row],[Concat]],Vagas!$H:$H,Vagas!$D:$D,"",0)</f>
        <v>0</v>
      </c>
    </row>
    <row r="6825" spans="1:8" x14ac:dyDescent="0.25">
      <c r="A6825" s="2">
        <v>44636</v>
      </c>
      <c r="B6825" s="1" t="s">
        <v>62</v>
      </c>
      <c r="C6825">
        <v>10799</v>
      </c>
      <c r="D6825" s="1" t="s">
        <v>204</v>
      </c>
      <c r="E6825" s="1" t="s">
        <v>5</v>
      </c>
      <c r="F6825">
        <v>18</v>
      </c>
      <c r="G6825" s="1" t="str">
        <f>Ocupacao_DW[[#This Row],[data]]&amp;Ocupacao_DW[[#This Row],[profissional_id]]&amp;Ocupacao_DW[[#This Row],[local_id]]</f>
        <v>446361079918</v>
      </c>
      <c r="H6825" s="1">
        <f>_xlfn.XLOOKUP(Ocupacao_DW[[#This Row],[Concat]],Vagas!$H:$H,Vagas!$D:$D,"",0)</f>
        <v>0</v>
      </c>
    </row>
    <row r="6826" spans="1:8" x14ac:dyDescent="0.25">
      <c r="A6826" s="2">
        <v>44645</v>
      </c>
      <c r="B6826" s="1" t="s">
        <v>49</v>
      </c>
      <c r="C6826">
        <v>81</v>
      </c>
      <c r="D6826" s="1" t="s">
        <v>170</v>
      </c>
      <c r="E6826" s="1" t="s">
        <v>4</v>
      </c>
      <c r="F6826">
        <v>41</v>
      </c>
      <c r="G6826" s="1" t="str">
        <f>Ocupacao_DW[[#This Row],[data]]&amp;Ocupacao_DW[[#This Row],[profissional_id]]&amp;Ocupacao_DW[[#This Row],[local_id]]</f>
        <v>446458141</v>
      </c>
      <c r="H6826" s="1">
        <f>_xlfn.XLOOKUP(Ocupacao_DW[[#This Row],[Concat]],Vagas!$H:$H,Vagas!$D:$D,"",0)</f>
        <v>0</v>
      </c>
    </row>
    <row r="6827" spans="1:8" x14ac:dyDescent="0.25">
      <c r="A6827" s="2">
        <v>44643</v>
      </c>
      <c r="B6827" s="1" t="s">
        <v>51</v>
      </c>
      <c r="C6827">
        <v>7551</v>
      </c>
      <c r="D6827" s="1" t="s">
        <v>246</v>
      </c>
      <c r="E6827" s="1" t="s">
        <v>5</v>
      </c>
      <c r="F6827">
        <v>15</v>
      </c>
      <c r="G6827" s="1" t="str">
        <f>Ocupacao_DW[[#This Row],[data]]&amp;Ocupacao_DW[[#This Row],[profissional_id]]&amp;Ocupacao_DW[[#This Row],[local_id]]</f>
        <v>44643755115</v>
      </c>
      <c r="H6827" s="1">
        <f>_xlfn.XLOOKUP(Ocupacao_DW[[#This Row],[Concat]],Vagas!$H:$H,Vagas!$D:$D,"",0)</f>
        <v>0</v>
      </c>
    </row>
    <row r="6828" spans="1:8" x14ac:dyDescent="0.25">
      <c r="A6828" s="2">
        <v>44644</v>
      </c>
      <c r="B6828" s="1" t="s">
        <v>47</v>
      </c>
      <c r="C6828">
        <v>9111</v>
      </c>
      <c r="D6828" s="1" t="s">
        <v>206</v>
      </c>
      <c r="E6828" s="1" t="s">
        <v>4</v>
      </c>
      <c r="F6828">
        <v>334</v>
      </c>
      <c r="G6828" s="1" t="str">
        <f>Ocupacao_DW[[#This Row],[data]]&amp;Ocupacao_DW[[#This Row],[profissional_id]]&amp;Ocupacao_DW[[#This Row],[local_id]]</f>
        <v>446449111334</v>
      </c>
      <c r="H6828" s="1">
        <f>_xlfn.XLOOKUP(Ocupacao_DW[[#This Row],[Concat]],Vagas!$H:$H,Vagas!$D:$D,"",0)</f>
        <v>0</v>
      </c>
    </row>
    <row r="6829" spans="1:8" x14ac:dyDescent="0.25">
      <c r="A6829" s="2">
        <v>44641</v>
      </c>
      <c r="B6829" s="1" t="s">
        <v>72</v>
      </c>
      <c r="C6829">
        <v>13479</v>
      </c>
      <c r="D6829" s="1" t="s">
        <v>203</v>
      </c>
      <c r="E6829" s="1" t="s">
        <v>4</v>
      </c>
      <c r="F6829">
        <v>46</v>
      </c>
      <c r="G6829" s="1" t="str">
        <f>Ocupacao_DW[[#This Row],[data]]&amp;Ocupacao_DW[[#This Row],[profissional_id]]&amp;Ocupacao_DW[[#This Row],[local_id]]</f>
        <v>446411347946</v>
      </c>
      <c r="H6829" s="1">
        <f>_xlfn.XLOOKUP(Ocupacao_DW[[#This Row],[Concat]],Vagas!$H:$H,Vagas!$D:$D,"",0)</f>
        <v>0</v>
      </c>
    </row>
    <row r="6830" spans="1:8" x14ac:dyDescent="0.25">
      <c r="A6830" s="2">
        <v>44642</v>
      </c>
      <c r="B6830" s="1" t="s">
        <v>49</v>
      </c>
      <c r="C6830">
        <v>81</v>
      </c>
      <c r="D6830" s="1" t="s">
        <v>170</v>
      </c>
      <c r="E6830" s="1" t="s">
        <v>4</v>
      </c>
      <c r="F6830">
        <v>41</v>
      </c>
      <c r="G6830" s="1" t="str">
        <f>Ocupacao_DW[[#This Row],[data]]&amp;Ocupacao_DW[[#This Row],[profissional_id]]&amp;Ocupacao_DW[[#This Row],[local_id]]</f>
        <v>446428141</v>
      </c>
      <c r="H6830" s="1">
        <f>_xlfn.XLOOKUP(Ocupacao_DW[[#This Row],[Concat]],Vagas!$H:$H,Vagas!$D:$D,"",0)</f>
        <v>0</v>
      </c>
    </row>
    <row r="6831" spans="1:8" x14ac:dyDescent="0.25">
      <c r="A6831" s="2">
        <v>44638</v>
      </c>
      <c r="B6831" s="1" t="s">
        <v>47</v>
      </c>
      <c r="C6831">
        <v>12684</v>
      </c>
      <c r="D6831" s="1" t="s">
        <v>236</v>
      </c>
      <c r="E6831" s="1" t="s">
        <v>200</v>
      </c>
      <c r="F6831">
        <v>85</v>
      </c>
      <c r="G6831" s="1" t="str">
        <f>Ocupacao_DW[[#This Row],[data]]&amp;Ocupacao_DW[[#This Row],[profissional_id]]&amp;Ocupacao_DW[[#This Row],[local_id]]</f>
        <v>446381268485</v>
      </c>
      <c r="H6831" s="1">
        <f>_xlfn.XLOOKUP(Ocupacao_DW[[#This Row],[Concat]],Vagas!$H:$H,Vagas!$D:$D,"",0)</f>
        <v>0</v>
      </c>
    </row>
    <row r="6832" spans="1:8" x14ac:dyDescent="0.25">
      <c r="A6832" s="2">
        <v>44638</v>
      </c>
      <c r="B6832" s="1" t="s">
        <v>47</v>
      </c>
      <c r="C6832">
        <v>12679</v>
      </c>
      <c r="D6832" s="1" t="s">
        <v>192</v>
      </c>
      <c r="E6832" s="1" t="s">
        <v>4</v>
      </c>
      <c r="F6832">
        <v>336</v>
      </c>
      <c r="G6832" s="1" t="str">
        <f>Ocupacao_DW[[#This Row],[data]]&amp;Ocupacao_DW[[#This Row],[profissional_id]]&amp;Ocupacao_DW[[#This Row],[local_id]]</f>
        <v>4463812679336</v>
      </c>
      <c r="H6832" s="1">
        <f>_xlfn.XLOOKUP(Ocupacao_DW[[#This Row],[Concat]],Vagas!$H:$H,Vagas!$D:$D,"",0)</f>
        <v>0</v>
      </c>
    </row>
    <row r="6833" spans="1:8" x14ac:dyDescent="0.25">
      <c r="A6833" s="2">
        <v>44638</v>
      </c>
      <c r="B6833" s="1" t="s">
        <v>47</v>
      </c>
      <c r="C6833">
        <v>9111</v>
      </c>
      <c r="D6833" s="1" t="s">
        <v>206</v>
      </c>
      <c r="E6833" s="1" t="s">
        <v>4</v>
      </c>
      <c r="F6833">
        <v>51</v>
      </c>
      <c r="G6833" s="1" t="str">
        <f>Ocupacao_DW[[#This Row],[data]]&amp;Ocupacao_DW[[#This Row],[profissional_id]]&amp;Ocupacao_DW[[#This Row],[local_id]]</f>
        <v>44638911151</v>
      </c>
      <c r="H6833" s="1">
        <f>_xlfn.XLOOKUP(Ocupacao_DW[[#This Row],[Concat]],Vagas!$H:$H,Vagas!$D:$D,"",0)</f>
        <v>0</v>
      </c>
    </row>
    <row r="6834" spans="1:8" x14ac:dyDescent="0.25">
      <c r="A6834" s="2">
        <v>44636</v>
      </c>
      <c r="B6834" s="1" t="s">
        <v>65</v>
      </c>
      <c r="C6834">
        <v>13058</v>
      </c>
      <c r="D6834" s="1" t="s">
        <v>256</v>
      </c>
      <c r="E6834" s="1" t="s">
        <v>4</v>
      </c>
      <c r="F6834">
        <v>47</v>
      </c>
      <c r="G6834" s="1" t="str">
        <f>Ocupacao_DW[[#This Row],[data]]&amp;Ocupacao_DW[[#This Row],[profissional_id]]&amp;Ocupacao_DW[[#This Row],[local_id]]</f>
        <v>446361305847</v>
      </c>
      <c r="H6834" s="1">
        <f>_xlfn.XLOOKUP(Ocupacao_DW[[#This Row],[Concat]],Vagas!$H:$H,Vagas!$D:$D,"",0)</f>
        <v>0</v>
      </c>
    </row>
    <row r="6835" spans="1:8" x14ac:dyDescent="0.25">
      <c r="A6835" s="2">
        <v>44638</v>
      </c>
      <c r="B6835" s="1" t="s">
        <v>47</v>
      </c>
      <c r="C6835">
        <v>12684</v>
      </c>
      <c r="D6835" s="1" t="s">
        <v>236</v>
      </c>
      <c r="E6835" s="1" t="s">
        <v>200</v>
      </c>
      <c r="F6835">
        <v>85</v>
      </c>
      <c r="G6835" s="1" t="str">
        <f>Ocupacao_DW[[#This Row],[data]]&amp;Ocupacao_DW[[#This Row],[profissional_id]]&amp;Ocupacao_DW[[#This Row],[local_id]]</f>
        <v>446381268485</v>
      </c>
      <c r="H6835" s="1">
        <f>_xlfn.XLOOKUP(Ocupacao_DW[[#This Row],[Concat]],Vagas!$H:$H,Vagas!$D:$D,"",0)</f>
        <v>0</v>
      </c>
    </row>
    <row r="6836" spans="1:8" x14ac:dyDescent="0.25">
      <c r="A6836" s="2">
        <v>44641</v>
      </c>
      <c r="B6836" s="1" t="s">
        <v>54</v>
      </c>
      <c r="C6836">
        <v>10941</v>
      </c>
      <c r="D6836" s="1" t="s">
        <v>224</v>
      </c>
      <c r="E6836" s="1" t="s">
        <v>5</v>
      </c>
      <c r="F6836">
        <v>11</v>
      </c>
      <c r="G6836" s="1" t="str">
        <f>Ocupacao_DW[[#This Row],[data]]&amp;Ocupacao_DW[[#This Row],[profissional_id]]&amp;Ocupacao_DW[[#This Row],[local_id]]</f>
        <v>446411094111</v>
      </c>
      <c r="H6836" s="1">
        <f>_xlfn.XLOOKUP(Ocupacao_DW[[#This Row],[Concat]],Vagas!$H:$H,Vagas!$D:$D,"",0)</f>
        <v>0</v>
      </c>
    </row>
    <row r="6837" spans="1:8" x14ac:dyDescent="0.25">
      <c r="A6837" s="2">
        <v>44638</v>
      </c>
      <c r="B6837" s="1" t="s">
        <v>47</v>
      </c>
      <c r="C6837">
        <v>13371</v>
      </c>
      <c r="D6837" s="1" t="s">
        <v>205</v>
      </c>
      <c r="E6837" s="1" t="s">
        <v>4</v>
      </c>
      <c r="F6837">
        <v>336</v>
      </c>
      <c r="G6837" s="1" t="str">
        <f>Ocupacao_DW[[#This Row],[data]]&amp;Ocupacao_DW[[#This Row],[profissional_id]]&amp;Ocupacao_DW[[#This Row],[local_id]]</f>
        <v>4463813371336</v>
      </c>
      <c r="H6837" s="1" t="str">
        <f>_xlfn.XLOOKUP(Ocupacao_DW[[#This Row],[Concat]],Vagas!$H:$H,Vagas!$D:$D,"",0)</f>
        <v/>
      </c>
    </row>
    <row r="6838" spans="1:8" x14ac:dyDescent="0.25">
      <c r="A6838" s="2">
        <v>44639</v>
      </c>
      <c r="B6838" s="1" t="s">
        <v>49</v>
      </c>
      <c r="C6838">
        <v>13756</v>
      </c>
      <c r="D6838" s="1" t="s">
        <v>202</v>
      </c>
      <c r="E6838" s="1" t="s">
        <v>4</v>
      </c>
      <c r="F6838">
        <v>43</v>
      </c>
      <c r="G6838" s="1" t="str">
        <f>Ocupacao_DW[[#This Row],[data]]&amp;Ocupacao_DW[[#This Row],[profissional_id]]&amp;Ocupacao_DW[[#This Row],[local_id]]</f>
        <v>446391375643</v>
      </c>
      <c r="H6838" s="1">
        <f>_xlfn.XLOOKUP(Ocupacao_DW[[#This Row],[Concat]],Vagas!$H:$H,Vagas!$D:$D,"",0)</f>
        <v>0</v>
      </c>
    </row>
    <row r="6839" spans="1:8" x14ac:dyDescent="0.25">
      <c r="A6839" s="2">
        <v>44648</v>
      </c>
      <c r="B6839" s="1" t="s">
        <v>60</v>
      </c>
      <c r="C6839">
        <v>117</v>
      </c>
      <c r="D6839" s="1" t="s">
        <v>180</v>
      </c>
      <c r="E6839" s="1" t="s">
        <v>4</v>
      </c>
      <c r="F6839">
        <v>48</v>
      </c>
      <c r="G6839" s="1" t="str">
        <f>Ocupacao_DW[[#This Row],[data]]&amp;Ocupacao_DW[[#This Row],[profissional_id]]&amp;Ocupacao_DW[[#This Row],[local_id]]</f>
        <v>4464811748</v>
      </c>
      <c r="H6839" s="1">
        <f>_xlfn.XLOOKUP(Ocupacao_DW[[#This Row],[Concat]],Vagas!$H:$H,Vagas!$D:$D,"",0)</f>
        <v>0</v>
      </c>
    </row>
    <row r="6840" spans="1:8" x14ac:dyDescent="0.25">
      <c r="A6840" s="2">
        <v>44641</v>
      </c>
      <c r="B6840" s="1" t="s">
        <v>49</v>
      </c>
      <c r="C6840">
        <v>12369</v>
      </c>
      <c r="D6840" s="1" t="s">
        <v>195</v>
      </c>
      <c r="E6840" s="1" t="s">
        <v>4</v>
      </c>
      <c r="F6840">
        <v>44</v>
      </c>
      <c r="G6840" s="1" t="str">
        <f>Ocupacao_DW[[#This Row],[data]]&amp;Ocupacao_DW[[#This Row],[profissional_id]]&amp;Ocupacao_DW[[#This Row],[local_id]]</f>
        <v>446411236944</v>
      </c>
      <c r="H6840" s="1">
        <f>_xlfn.XLOOKUP(Ocupacao_DW[[#This Row],[Concat]],Vagas!$H:$H,Vagas!$D:$D,"",0)</f>
        <v>0</v>
      </c>
    </row>
    <row r="6841" spans="1:8" x14ac:dyDescent="0.25">
      <c r="A6841" s="2">
        <v>44643</v>
      </c>
      <c r="B6841" s="1" t="s">
        <v>72</v>
      </c>
      <c r="C6841">
        <v>1794</v>
      </c>
      <c r="D6841" s="1" t="s">
        <v>235</v>
      </c>
      <c r="E6841" s="1" t="s">
        <v>4</v>
      </c>
      <c r="F6841">
        <v>49</v>
      </c>
      <c r="G6841" s="1" t="str">
        <f>Ocupacao_DW[[#This Row],[data]]&amp;Ocupacao_DW[[#This Row],[profissional_id]]&amp;Ocupacao_DW[[#This Row],[local_id]]</f>
        <v>44643179449</v>
      </c>
      <c r="H6841" s="1">
        <f>_xlfn.XLOOKUP(Ocupacao_DW[[#This Row],[Concat]],Vagas!$H:$H,Vagas!$D:$D,"",0)</f>
        <v>0</v>
      </c>
    </row>
    <row r="6842" spans="1:8" x14ac:dyDescent="0.25">
      <c r="A6842" s="2">
        <v>44650</v>
      </c>
      <c r="B6842" s="1" t="s">
        <v>70</v>
      </c>
      <c r="C6842">
        <v>12825</v>
      </c>
      <c r="D6842" s="1" t="s">
        <v>177</v>
      </c>
      <c r="E6842" s="1" t="s">
        <v>4</v>
      </c>
      <c r="F6842">
        <v>45</v>
      </c>
      <c r="G6842" s="1" t="str">
        <f>Ocupacao_DW[[#This Row],[data]]&amp;Ocupacao_DW[[#This Row],[profissional_id]]&amp;Ocupacao_DW[[#This Row],[local_id]]</f>
        <v>446501282545</v>
      </c>
      <c r="H6842" s="1">
        <f>_xlfn.XLOOKUP(Ocupacao_DW[[#This Row],[Concat]],Vagas!$H:$H,Vagas!$D:$D,"",0)</f>
        <v>0</v>
      </c>
    </row>
    <row r="6843" spans="1:8" x14ac:dyDescent="0.25">
      <c r="A6843" s="2">
        <v>44644</v>
      </c>
      <c r="B6843" s="1" t="s">
        <v>52</v>
      </c>
      <c r="C6843">
        <v>10691</v>
      </c>
      <c r="D6843" s="1" t="s">
        <v>181</v>
      </c>
      <c r="E6843" s="1" t="s">
        <v>6</v>
      </c>
      <c r="F6843">
        <v>9</v>
      </c>
      <c r="G6843" s="1" t="str">
        <f>Ocupacao_DW[[#This Row],[data]]&amp;Ocupacao_DW[[#This Row],[profissional_id]]&amp;Ocupacao_DW[[#This Row],[local_id]]</f>
        <v>44644106919</v>
      </c>
      <c r="H6843" s="1">
        <f>_xlfn.XLOOKUP(Ocupacao_DW[[#This Row],[Concat]],Vagas!$H:$H,Vagas!$D:$D,"",0)</f>
        <v>0</v>
      </c>
    </row>
    <row r="6844" spans="1:8" x14ac:dyDescent="0.25">
      <c r="A6844" s="2">
        <v>44643</v>
      </c>
      <c r="B6844" s="1" t="s">
        <v>71</v>
      </c>
      <c r="C6844">
        <v>282</v>
      </c>
      <c r="D6844" s="1" t="s">
        <v>210</v>
      </c>
      <c r="E6844" s="1" t="s">
        <v>4</v>
      </c>
      <c r="F6844">
        <v>46</v>
      </c>
      <c r="G6844" s="1" t="str">
        <f>Ocupacao_DW[[#This Row],[data]]&amp;Ocupacao_DW[[#This Row],[profissional_id]]&amp;Ocupacao_DW[[#This Row],[local_id]]</f>
        <v>4464328246</v>
      </c>
      <c r="H6844" s="1">
        <f>_xlfn.XLOOKUP(Ocupacao_DW[[#This Row],[Concat]],Vagas!$H:$H,Vagas!$D:$D,"",0)</f>
        <v>0</v>
      </c>
    </row>
    <row r="6845" spans="1:8" x14ac:dyDescent="0.25">
      <c r="A6845" s="2">
        <v>44641</v>
      </c>
      <c r="B6845" s="1" t="s">
        <v>47</v>
      </c>
      <c r="C6845">
        <v>11241</v>
      </c>
      <c r="D6845" s="1" t="s">
        <v>252</v>
      </c>
      <c r="E6845" s="1" t="s">
        <v>4</v>
      </c>
      <c r="F6845">
        <v>51</v>
      </c>
      <c r="G6845" s="1" t="str">
        <f>Ocupacao_DW[[#This Row],[data]]&amp;Ocupacao_DW[[#This Row],[profissional_id]]&amp;Ocupacao_DW[[#This Row],[local_id]]</f>
        <v>446411124151</v>
      </c>
      <c r="H6845" s="1">
        <f>_xlfn.XLOOKUP(Ocupacao_DW[[#This Row],[Concat]],Vagas!$H:$H,Vagas!$D:$D,"",0)</f>
        <v>0</v>
      </c>
    </row>
    <row r="6846" spans="1:8" x14ac:dyDescent="0.25">
      <c r="A6846" s="2">
        <v>44641</v>
      </c>
      <c r="B6846" s="1" t="s">
        <v>54</v>
      </c>
      <c r="C6846">
        <v>10941</v>
      </c>
      <c r="D6846" s="1" t="s">
        <v>224</v>
      </c>
      <c r="E6846" s="1" t="s">
        <v>5</v>
      </c>
      <c r="F6846">
        <v>11</v>
      </c>
      <c r="G6846" s="1" t="str">
        <f>Ocupacao_DW[[#This Row],[data]]&amp;Ocupacao_DW[[#This Row],[profissional_id]]&amp;Ocupacao_DW[[#This Row],[local_id]]</f>
        <v>446411094111</v>
      </c>
      <c r="H6846" s="1">
        <f>_xlfn.XLOOKUP(Ocupacao_DW[[#This Row],[Concat]],Vagas!$H:$H,Vagas!$D:$D,"",0)</f>
        <v>0</v>
      </c>
    </row>
    <row r="6847" spans="1:8" x14ac:dyDescent="0.25">
      <c r="A6847" s="2">
        <v>44637</v>
      </c>
      <c r="B6847" s="1" t="s">
        <v>59</v>
      </c>
      <c r="C6847">
        <v>10249</v>
      </c>
      <c r="D6847" s="1" t="s">
        <v>231</v>
      </c>
      <c r="E6847" s="1" t="s">
        <v>4</v>
      </c>
      <c r="F6847">
        <v>44</v>
      </c>
      <c r="G6847" s="1" t="str">
        <f>Ocupacao_DW[[#This Row],[data]]&amp;Ocupacao_DW[[#This Row],[profissional_id]]&amp;Ocupacao_DW[[#This Row],[local_id]]</f>
        <v>446371024944</v>
      </c>
      <c r="H6847" s="1">
        <f>_xlfn.XLOOKUP(Ocupacao_DW[[#This Row],[Concat]],Vagas!$H:$H,Vagas!$D:$D,"",0)</f>
        <v>0</v>
      </c>
    </row>
    <row r="6848" spans="1:8" x14ac:dyDescent="0.25">
      <c r="A6848" s="2">
        <v>44648</v>
      </c>
      <c r="B6848" s="1" t="s">
        <v>69</v>
      </c>
      <c r="C6848">
        <v>17878</v>
      </c>
      <c r="D6848" s="1" t="s">
        <v>183</v>
      </c>
      <c r="E6848" s="1" t="s">
        <v>4</v>
      </c>
      <c r="F6848">
        <v>47</v>
      </c>
      <c r="G6848" s="1" t="str">
        <f>Ocupacao_DW[[#This Row],[data]]&amp;Ocupacao_DW[[#This Row],[profissional_id]]&amp;Ocupacao_DW[[#This Row],[local_id]]</f>
        <v>446481787847</v>
      </c>
      <c r="H6848" s="1">
        <f>_xlfn.XLOOKUP(Ocupacao_DW[[#This Row],[Concat]],Vagas!$H:$H,Vagas!$D:$D,"",0)</f>
        <v>2</v>
      </c>
    </row>
    <row r="6849" spans="1:8" x14ac:dyDescent="0.25">
      <c r="A6849" s="2">
        <v>44638</v>
      </c>
      <c r="B6849" s="1" t="s">
        <v>64</v>
      </c>
      <c r="C6849">
        <v>86</v>
      </c>
      <c r="D6849" s="1" t="s">
        <v>175</v>
      </c>
      <c r="E6849" s="1" t="s">
        <v>5</v>
      </c>
      <c r="F6849">
        <v>349</v>
      </c>
      <c r="G6849" s="1" t="str">
        <f>Ocupacao_DW[[#This Row],[data]]&amp;Ocupacao_DW[[#This Row],[profissional_id]]&amp;Ocupacao_DW[[#This Row],[local_id]]</f>
        <v>4463886349</v>
      </c>
      <c r="H6849" s="1">
        <f>_xlfn.XLOOKUP(Ocupacao_DW[[#This Row],[Concat]],Vagas!$H:$H,Vagas!$D:$D,"",0)</f>
        <v>0</v>
      </c>
    </row>
    <row r="6850" spans="1:8" x14ac:dyDescent="0.25">
      <c r="A6850" s="2">
        <v>44650</v>
      </c>
      <c r="B6850" s="1" t="s">
        <v>52</v>
      </c>
      <c r="C6850">
        <v>57</v>
      </c>
      <c r="D6850" s="1" t="s">
        <v>169</v>
      </c>
      <c r="E6850" s="1" t="s">
        <v>6</v>
      </c>
      <c r="F6850">
        <v>4</v>
      </c>
      <c r="G6850" s="1" t="str">
        <f>Ocupacao_DW[[#This Row],[data]]&amp;Ocupacao_DW[[#This Row],[profissional_id]]&amp;Ocupacao_DW[[#This Row],[local_id]]</f>
        <v>44650574</v>
      </c>
      <c r="H6850" s="1">
        <f>_xlfn.XLOOKUP(Ocupacao_DW[[#This Row],[Concat]],Vagas!$H:$H,Vagas!$D:$D,"",0)</f>
        <v>0</v>
      </c>
    </row>
    <row r="6851" spans="1:8" x14ac:dyDescent="0.25">
      <c r="A6851" s="2">
        <v>44636</v>
      </c>
      <c r="B6851" s="1" t="s">
        <v>62</v>
      </c>
      <c r="C6851">
        <v>3502</v>
      </c>
      <c r="D6851" s="1" t="s">
        <v>214</v>
      </c>
      <c r="E6851" s="1" t="s">
        <v>5</v>
      </c>
      <c r="F6851">
        <v>16</v>
      </c>
      <c r="G6851" s="1" t="str">
        <f>Ocupacao_DW[[#This Row],[data]]&amp;Ocupacao_DW[[#This Row],[profissional_id]]&amp;Ocupacao_DW[[#This Row],[local_id]]</f>
        <v>44636350216</v>
      </c>
      <c r="H6851" s="1">
        <f>_xlfn.XLOOKUP(Ocupacao_DW[[#This Row],[Concat]],Vagas!$H:$H,Vagas!$D:$D,"",0)</f>
        <v>0</v>
      </c>
    </row>
    <row r="6852" spans="1:8" x14ac:dyDescent="0.25">
      <c r="A6852" s="2">
        <v>44642</v>
      </c>
      <c r="B6852" s="1" t="s">
        <v>54</v>
      </c>
      <c r="C6852">
        <v>10941</v>
      </c>
      <c r="D6852" s="1" t="s">
        <v>224</v>
      </c>
      <c r="E6852" s="1" t="s">
        <v>200</v>
      </c>
      <c r="F6852">
        <v>83</v>
      </c>
      <c r="G6852" s="1" t="str">
        <f>Ocupacao_DW[[#This Row],[data]]&amp;Ocupacao_DW[[#This Row],[profissional_id]]&amp;Ocupacao_DW[[#This Row],[local_id]]</f>
        <v>446421094183</v>
      </c>
      <c r="H6852" s="1">
        <f>_xlfn.XLOOKUP(Ocupacao_DW[[#This Row],[Concat]],Vagas!$H:$H,Vagas!$D:$D,"",0)</f>
        <v>0</v>
      </c>
    </row>
    <row r="6853" spans="1:8" x14ac:dyDescent="0.25">
      <c r="A6853" s="2">
        <v>44655</v>
      </c>
      <c r="B6853" s="1" t="s">
        <v>55</v>
      </c>
      <c r="C6853">
        <v>2984</v>
      </c>
      <c r="D6853" s="1" t="s">
        <v>185</v>
      </c>
      <c r="E6853" s="1" t="s">
        <v>6</v>
      </c>
      <c r="F6853">
        <v>7</v>
      </c>
      <c r="G6853" s="1" t="str">
        <f>Ocupacao_DW[[#This Row],[data]]&amp;Ocupacao_DW[[#This Row],[profissional_id]]&amp;Ocupacao_DW[[#This Row],[local_id]]</f>
        <v>4465529847</v>
      </c>
      <c r="H6853" s="1">
        <f>_xlfn.XLOOKUP(Ocupacao_DW[[#This Row],[Concat]],Vagas!$H:$H,Vagas!$D:$D,"",0)</f>
        <v>0</v>
      </c>
    </row>
    <row r="6854" spans="1:8" x14ac:dyDescent="0.25">
      <c r="A6854" s="2">
        <v>44641</v>
      </c>
      <c r="B6854" s="1" t="s">
        <v>72</v>
      </c>
      <c r="C6854">
        <v>13479</v>
      </c>
      <c r="D6854" s="1" t="s">
        <v>203</v>
      </c>
      <c r="E6854" s="1" t="s">
        <v>4</v>
      </c>
      <c r="F6854">
        <v>46</v>
      </c>
      <c r="G6854" s="1" t="str">
        <f>Ocupacao_DW[[#This Row],[data]]&amp;Ocupacao_DW[[#This Row],[profissional_id]]&amp;Ocupacao_DW[[#This Row],[local_id]]</f>
        <v>446411347946</v>
      </c>
      <c r="H6854" s="1">
        <f>_xlfn.XLOOKUP(Ocupacao_DW[[#This Row],[Concat]],Vagas!$H:$H,Vagas!$D:$D,"",0)</f>
        <v>0</v>
      </c>
    </row>
    <row r="6855" spans="1:8" x14ac:dyDescent="0.25">
      <c r="A6855" s="2">
        <v>44644</v>
      </c>
      <c r="B6855" s="1" t="s">
        <v>71</v>
      </c>
      <c r="C6855">
        <v>282</v>
      </c>
      <c r="D6855" s="1" t="s">
        <v>210</v>
      </c>
      <c r="E6855" s="1" t="s">
        <v>200</v>
      </c>
      <c r="F6855">
        <v>82</v>
      </c>
      <c r="G6855" s="1" t="str">
        <f>Ocupacao_DW[[#This Row],[data]]&amp;Ocupacao_DW[[#This Row],[profissional_id]]&amp;Ocupacao_DW[[#This Row],[local_id]]</f>
        <v>4464428282</v>
      </c>
      <c r="H6855" s="1">
        <f>_xlfn.XLOOKUP(Ocupacao_DW[[#This Row],[Concat]],Vagas!$H:$H,Vagas!$D:$D,"",0)</f>
        <v>0</v>
      </c>
    </row>
    <row r="6856" spans="1:8" x14ac:dyDescent="0.25">
      <c r="A6856" s="2">
        <v>44641</v>
      </c>
      <c r="B6856" s="1" t="s">
        <v>64</v>
      </c>
      <c r="C6856">
        <v>86</v>
      </c>
      <c r="D6856" s="1" t="s">
        <v>175</v>
      </c>
      <c r="E6856" s="1" t="s">
        <v>5</v>
      </c>
      <c r="F6856">
        <v>349</v>
      </c>
      <c r="G6856" s="1" t="str">
        <f>Ocupacao_DW[[#This Row],[data]]&amp;Ocupacao_DW[[#This Row],[profissional_id]]&amp;Ocupacao_DW[[#This Row],[local_id]]</f>
        <v>4464186349</v>
      </c>
      <c r="H6856" s="1">
        <f>_xlfn.XLOOKUP(Ocupacao_DW[[#This Row],[Concat]],Vagas!$H:$H,Vagas!$D:$D,"",0)</f>
        <v>0</v>
      </c>
    </row>
    <row r="6857" spans="1:8" x14ac:dyDescent="0.25">
      <c r="A6857" s="2">
        <v>44635</v>
      </c>
      <c r="B6857" s="1" t="s">
        <v>22</v>
      </c>
      <c r="C6857">
        <v>17894</v>
      </c>
      <c r="D6857" s="1" t="s">
        <v>293</v>
      </c>
      <c r="E6857" s="1" t="s">
        <v>200</v>
      </c>
      <c r="F6857">
        <v>76</v>
      </c>
      <c r="G6857" s="1" t="str">
        <f>Ocupacao_DW[[#This Row],[data]]&amp;Ocupacao_DW[[#This Row],[profissional_id]]&amp;Ocupacao_DW[[#This Row],[local_id]]</f>
        <v>446351789476</v>
      </c>
      <c r="H6857" s="1">
        <f>_xlfn.XLOOKUP(Ocupacao_DW[[#This Row],[Concat]],Vagas!$H:$H,Vagas!$D:$D,"",0)</f>
        <v>0</v>
      </c>
    </row>
    <row r="6858" spans="1:8" x14ac:dyDescent="0.25">
      <c r="A6858" s="2">
        <v>44648</v>
      </c>
      <c r="B6858" s="1" t="s">
        <v>60</v>
      </c>
      <c r="C6858">
        <v>117</v>
      </c>
      <c r="D6858" s="1" t="s">
        <v>180</v>
      </c>
      <c r="E6858" s="1" t="s">
        <v>4</v>
      </c>
      <c r="F6858">
        <v>48</v>
      </c>
      <c r="G6858" s="1" t="str">
        <f>Ocupacao_DW[[#This Row],[data]]&amp;Ocupacao_DW[[#This Row],[profissional_id]]&amp;Ocupacao_DW[[#This Row],[local_id]]</f>
        <v>4464811748</v>
      </c>
      <c r="H6858" s="1">
        <f>_xlfn.XLOOKUP(Ocupacao_DW[[#This Row],[Concat]],Vagas!$H:$H,Vagas!$D:$D,"",0)</f>
        <v>0</v>
      </c>
    </row>
    <row r="6859" spans="1:8" x14ac:dyDescent="0.25">
      <c r="A6859" s="2">
        <v>44637</v>
      </c>
      <c r="B6859" s="1" t="s">
        <v>66</v>
      </c>
      <c r="C6859">
        <v>1343</v>
      </c>
      <c r="D6859" s="1" t="s">
        <v>263</v>
      </c>
      <c r="E6859" s="1" t="s">
        <v>200</v>
      </c>
      <c r="F6859">
        <v>80</v>
      </c>
      <c r="G6859" s="1" t="str">
        <f>Ocupacao_DW[[#This Row],[data]]&amp;Ocupacao_DW[[#This Row],[profissional_id]]&amp;Ocupacao_DW[[#This Row],[local_id]]</f>
        <v>44637134380</v>
      </c>
      <c r="H6859" s="1">
        <f>_xlfn.XLOOKUP(Ocupacao_DW[[#This Row],[Concat]],Vagas!$H:$H,Vagas!$D:$D,"",0)</f>
        <v>0</v>
      </c>
    </row>
    <row r="6860" spans="1:8" x14ac:dyDescent="0.25">
      <c r="A6860" s="2">
        <v>44636</v>
      </c>
      <c r="B6860" s="1" t="s">
        <v>40</v>
      </c>
      <c r="C6860">
        <v>54</v>
      </c>
      <c r="D6860" s="1" t="s">
        <v>216</v>
      </c>
      <c r="E6860" s="1" t="s">
        <v>4</v>
      </c>
      <c r="F6860">
        <v>50</v>
      </c>
      <c r="G6860" s="1" t="str">
        <f>Ocupacao_DW[[#This Row],[data]]&amp;Ocupacao_DW[[#This Row],[profissional_id]]&amp;Ocupacao_DW[[#This Row],[local_id]]</f>
        <v>446365450</v>
      </c>
      <c r="H6860" s="1">
        <f>_xlfn.XLOOKUP(Ocupacao_DW[[#This Row],[Concat]],Vagas!$H:$H,Vagas!$D:$D,"",0)</f>
        <v>8</v>
      </c>
    </row>
    <row r="6861" spans="1:8" x14ac:dyDescent="0.25">
      <c r="A6861" s="2">
        <v>44638</v>
      </c>
      <c r="B6861" s="1" t="s">
        <v>47</v>
      </c>
      <c r="C6861">
        <v>9111</v>
      </c>
      <c r="D6861" s="1" t="s">
        <v>206</v>
      </c>
      <c r="E6861" s="1" t="s">
        <v>4</v>
      </c>
      <c r="F6861">
        <v>51</v>
      </c>
      <c r="G6861" s="1" t="str">
        <f>Ocupacao_DW[[#This Row],[data]]&amp;Ocupacao_DW[[#This Row],[profissional_id]]&amp;Ocupacao_DW[[#This Row],[local_id]]</f>
        <v>44638911151</v>
      </c>
      <c r="H6861" s="1">
        <f>_xlfn.XLOOKUP(Ocupacao_DW[[#This Row],[Concat]],Vagas!$H:$H,Vagas!$D:$D,"",0)</f>
        <v>0</v>
      </c>
    </row>
    <row r="6862" spans="1:8" x14ac:dyDescent="0.25">
      <c r="A6862" s="2">
        <v>44638</v>
      </c>
      <c r="B6862" s="1" t="s">
        <v>47</v>
      </c>
      <c r="C6862">
        <v>13371</v>
      </c>
      <c r="D6862" s="1" t="s">
        <v>205</v>
      </c>
      <c r="E6862" s="1" t="s">
        <v>4</v>
      </c>
      <c r="F6862">
        <v>336</v>
      </c>
      <c r="G6862" s="1" t="str">
        <f>Ocupacao_DW[[#This Row],[data]]&amp;Ocupacao_DW[[#This Row],[profissional_id]]&amp;Ocupacao_DW[[#This Row],[local_id]]</f>
        <v>4463813371336</v>
      </c>
      <c r="H6862" s="1" t="str">
        <f>_xlfn.XLOOKUP(Ocupacao_DW[[#This Row],[Concat]],Vagas!$H:$H,Vagas!$D:$D,"",0)</f>
        <v/>
      </c>
    </row>
    <row r="6863" spans="1:8" x14ac:dyDescent="0.25">
      <c r="A6863" s="2">
        <v>44641</v>
      </c>
      <c r="B6863" s="1" t="s">
        <v>54</v>
      </c>
      <c r="C6863">
        <v>10941</v>
      </c>
      <c r="D6863" s="1" t="s">
        <v>224</v>
      </c>
      <c r="E6863" s="1" t="s">
        <v>5</v>
      </c>
      <c r="F6863">
        <v>11</v>
      </c>
      <c r="G6863" s="1" t="str">
        <f>Ocupacao_DW[[#This Row],[data]]&amp;Ocupacao_DW[[#This Row],[profissional_id]]&amp;Ocupacao_DW[[#This Row],[local_id]]</f>
        <v>446411094111</v>
      </c>
      <c r="H6863" s="1">
        <f>_xlfn.XLOOKUP(Ocupacao_DW[[#This Row],[Concat]],Vagas!$H:$H,Vagas!$D:$D,"",0)</f>
        <v>0</v>
      </c>
    </row>
    <row r="6864" spans="1:8" x14ac:dyDescent="0.25">
      <c r="A6864" s="2">
        <v>44657</v>
      </c>
      <c r="B6864" s="1" t="s">
        <v>55</v>
      </c>
      <c r="C6864">
        <v>73</v>
      </c>
      <c r="D6864" s="1" t="s">
        <v>171</v>
      </c>
      <c r="E6864" s="1" t="s">
        <v>6</v>
      </c>
      <c r="F6864">
        <v>5</v>
      </c>
      <c r="G6864" s="1" t="str">
        <f>Ocupacao_DW[[#This Row],[data]]&amp;Ocupacao_DW[[#This Row],[profissional_id]]&amp;Ocupacao_DW[[#This Row],[local_id]]</f>
        <v>44657735</v>
      </c>
      <c r="H6864" s="1">
        <f>_xlfn.XLOOKUP(Ocupacao_DW[[#This Row],[Concat]],Vagas!$H:$H,Vagas!$D:$D,"",0)</f>
        <v>0</v>
      </c>
    </row>
    <row r="6865" spans="1:8" x14ac:dyDescent="0.25">
      <c r="A6865" s="2">
        <v>44650</v>
      </c>
      <c r="B6865" s="1" t="s">
        <v>51</v>
      </c>
      <c r="C6865">
        <v>17859</v>
      </c>
      <c r="D6865" s="1" t="s">
        <v>212</v>
      </c>
      <c r="E6865" s="1" t="s">
        <v>6</v>
      </c>
      <c r="F6865">
        <v>7</v>
      </c>
      <c r="G6865" s="1" t="str">
        <f>Ocupacao_DW[[#This Row],[data]]&amp;Ocupacao_DW[[#This Row],[profissional_id]]&amp;Ocupacao_DW[[#This Row],[local_id]]</f>
        <v>44650178597</v>
      </c>
      <c r="H6865" s="1">
        <f>_xlfn.XLOOKUP(Ocupacao_DW[[#This Row],[Concat]],Vagas!$H:$H,Vagas!$D:$D,"",0)</f>
        <v>0</v>
      </c>
    </row>
    <row r="6866" spans="1:8" x14ac:dyDescent="0.25">
      <c r="A6866" s="2">
        <v>44655</v>
      </c>
      <c r="B6866" s="1" t="s">
        <v>55</v>
      </c>
      <c r="C6866">
        <v>2984</v>
      </c>
      <c r="D6866" s="1" t="s">
        <v>185</v>
      </c>
      <c r="E6866" s="1" t="s">
        <v>6</v>
      </c>
      <c r="F6866">
        <v>7</v>
      </c>
      <c r="G6866" s="1" t="str">
        <f>Ocupacao_DW[[#This Row],[data]]&amp;Ocupacao_DW[[#This Row],[profissional_id]]&amp;Ocupacao_DW[[#This Row],[local_id]]</f>
        <v>4465529847</v>
      </c>
      <c r="H6866" s="1">
        <f>_xlfn.XLOOKUP(Ocupacao_DW[[#This Row],[Concat]],Vagas!$H:$H,Vagas!$D:$D,"",0)</f>
        <v>0</v>
      </c>
    </row>
    <row r="6867" spans="1:8" x14ac:dyDescent="0.25">
      <c r="A6867" s="2">
        <v>44644</v>
      </c>
      <c r="B6867" s="1" t="s">
        <v>67</v>
      </c>
      <c r="C6867">
        <v>10717</v>
      </c>
      <c r="D6867" s="1" t="s">
        <v>245</v>
      </c>
      <c r="E6867" s="1" t="s">
        <v>7</v>
      </c>
      <c r="F6867">
        <v>69</v>
      </c>
      <c r="G6867" s="1" t="str">
        <f>Ocupacao_DW[[#This Row],[data]]&amp;Ocupacao_DW[[#This Row],[profissional_id]]&amp;Ocupacao_DW[[#This Row],[local_id]]</f>
        <v>446441071769</v>
      </c>
      <c r="H6867" s="1">
        <f>_xlfn.XLOOKUP(Ocupacao_DW[[#This Row],[Concat]],Vagas!$H:$H,Vagas!$D:$D,"",0)</f>
        <v>0</v>
      </c>
    </row>
    <row r="6868" spans="1:8" x14ac:dyDescent="0.25">
      <c r="A6868" s="2">
        <v>44637</v>
      </c>
      <c r="B6868" s="1" t="s">
        <v>57</v>
      </c>
      <c r="C6868">
        <v>80</v>
      </c>
      <c r="D6868" s="1" t="s">
        <v>179</v>
      </c>
      <c r="E6868" s="1" t="s">
        <v>167</v>
      </c>
      <c r="F6868">
        <v>348</v>
      </c>
      <c r="G6868" s="1" t="str">
        <f>Ocupacao_DW[[#This Row],[data]]&amp;Ocupacao_DW[[#This Row],[profissional_id]]&amp;Ocupacao_DW[[#This Row],[local_id]]</f>
        <v>4463780348</v>
      </c>
      <c r="H6868" s="1">
        <f>_xlfn.XLOOKUP(Ocupacao_DW[[#This Row],[Concat]],Vagas!$H:$H,Vagas!$D:$D,"",0)</f>
        <v>0</v>
      </c>
    </row>
    <row r="6869" spans="1:8" x14ac:dyDescent="0.25">
      <c r="A6869" s="2">
        <v>44643</v>
      </c>
      <c r="B6869" s="1" t="s">
        <v>57</v>
      </c>
      <c r="C6869">
        <v>80</v>
      </c>
      <c r="D6869" s="1" t="s">
        <v>179</v>
      </c>
      <c r="E6869" s="1" t="s">
        <v>167</v>
      </c>
      <c r="F6869">
        <v>346</v>
      </c>
      <c r="G6869" s="1" t="str">
        <f>Ocupacao_DW[[#This Row],[data]]&amp;Ocupacao_DW[[#This Row],[profissional_id]]&amp;Ocupacao_DW[[#This Row],[local_id]]</f>
        <v>4464380346</v>
      </c>
      <c r="H6869" s="1">
        <f>_xlfn.XLOOKUP(Ocupacao_DW[[#This Row],[Concat]],Vagas!$H:$H,Vagas!$D:$D,"",0)</f>
        <v>0</v>
      </c>
    </row>
    <row r="6870" spans="1:8" x14ac:dyDescent="0.25">
      <c r="A6870" s="2">
        <v>44641</v>
      </c>
      <c r="B6870" s="1" t="s">
        <v>56</v>
      </c>
      <c r="C6870">
        <v>5927</v>
      </c>
      <c r="D6870" s="1" t="s">
        <v>226</v>
      </c>
      <c r="E6870" s="1" t="s">
        <v>5</v>
      </c>
      <c r="F6870">
        <v>17</v>
      </c>
      <c r="G6870" s="1" t="str">
        <f>Ocupacao_DW[[#This Row],[data]]&amp;Ocupacao_DW[[#This Row],[profissional_id]]&amp;Ocupacao_DW[[#This Row],[local_id]]</f>
        <v>44641592717</v>
      </c>
      <c r="H6870" s="1">
        <f>_xlfn.XLOOKUP(Ocupacao_DW[[#This Row],[Concat]],Vagas!$H:$H,Vagas!$D:$D,"",0)</f>
        <v>0</v>
      </c>
    </row>
    <row r="6871" spans="1:8" x14ac:dyDescent="0.25">
      <c r="A6871" s="2">
        <v>44636</v>
      </c>
      <c r="B6871" s="1" t="s">
        <v>54</v>
      </c>
      <c r="C6871">
        <v>70</v>
      </c>
      <c r="D6871" s="1" t="s">
        <v>187</v>
      </c>
      <c r="E6871" s="1" t="s">
        <v>5</v>
      </c>
      <c r="F6871">
        <v>13</v>
      </c>
      <c r="G6871" s="1" t="str">
        <f>Ocupacao_DW[[#This Row],[data]]&amp;Ocupacao_DW[[#This Row],[profissional_id]]&amp;Ocupacao_DW[[#This Row],[local_id]]</f>
        <v>446367013</v>
      </c>
      <c r="H6871" s="1">
        <f>_xlfn.XLOOKUP(Ocupacao_DW[[#This Row],[Concat]],Vagas!$H:$H,Vagas!$D:$D,"",0)</f>
        <v>0</v>
      </c>
    </row>
    <row r="6872" spans="1:8" x14ac:dyDescent="0.25">
      <c r="A6872" s="2">
        <v>44635</v>
      </c>
      <c r="B6872" s="1" t="s">
        <v>276</v>
      </c>
      <c r="C6872">
        <v>17937</v>
      </c>
      <c r="D6872" s="1" t="s">
        <v>297</v>
      </c>
      <c r="E6872" s="1" t="s">
        <v>4</v>
      </c>
      <c r="F6872">
        <v>351</v>
      </c>
      <c r="G6872" s="1" t="str">
        <f>Ocupacao_DW[[#This Row],[data]]&amp;Ocupacao_DW[[#This Row],[profissional_id]]&amp;Ocupacao_DW[[#This Row],[local_id]]</f>
        <v>4463517937351</v>
      </c>
      <c r="H6872" s="1">
        <f>_xlfn.XLOOKUP(Ocupacao_DW[[#This Row],[Concat]],Vagas!$H:$H,Vagas!$D:$D,"",0)</f>
        <v>11</v>
      </c>
    </row>
    <row r="6873" spans="1:8" x14ac:dyDescent="0.25">
      <c r="A6873" s="2">
        <v>44635</v>
      </c>
      <c r="B6873" s="1" t="s">
        <v>67</v>
      </c>
      <c r="C6873">
        <v>7290</v>
      </c>
      <c r="D6873" s="1" t="s">
        <v>247</v>
      </c>
      <c r="E6873" s="1" t="s">
        <v>5</v>
      </c>
      <c r="F6873">
        <v>18</v>
      </c>
      <c r="G6873" s="1" t="str">
        <f>Ocupacao_DW[[#This Row],[data]]&amp;Ocupacao_DW[[#This Row],[profissional_id]]&amp;Ocupacao_DW[[#This Row],[local_id]]</f>
        <v>44635729018</v>
      </c>
      <c r="H6873" s="1">
        <f>_xlfn.XLOOKUP(Ocupacao_DW[[#This Row],[Concat]],Vagas!$H:$H,Vagas!$D:$D,"",0)</f>
        <v>0</v>
      </c>
    </row>
    <row r="6874" spans="1:8" x14ac:dyDescent="0.25">
      <c r="A6874" s="2">
        <v>44645</v>
      </c>
      <c r="B6874" s="1" t="s">
        <v>69</v>
      </c>
      <c r="C6874">
        <v>13249</v>
      </c>
      <c r="D6874" s="1" t="s">
        <v>178</v>
      </c>
      <c r="E6874" s="1" t="s">
        <v>7</v>
      </c>
      <c r="F6874">
        <v>66</v>
      </c>
      <c r="G6874" s="1" t="str">
        <f>Ocupacao_DW[[#This Row],[data]]&amp;Ocupacao_DW[[#This Row],[profissional_id]]&amp;Ocupacao_DW[[#This Row],[local_id]]</f>
        <v>446451324966</v>
      </c>
      <c r="H6874" s="1">
        <f>_xlfn.XLOOKUP(Ocupacao_DW[[#This Row],[Concat]],Vagas!$H:$H,Vagas!$D:$D,"",0)</f>
        <v>0</v>
      </c>
    </row>
    <row r="6875" spans="1:8" x14ac:dyDescent="0.25">
      <c r="A6875" s="2">
        <v>44644</v>
      </c>
      <c r="B6875" s="1" t="s">
        <v>52</v>
      </c>
      <c r="C6875">
        <v>10691</v>
      </c>
      <c r="D6875" s="1" t="s">
        <v>181</v>
      </c>
      <c r="E6875" s="1" t="s">
        <v>6</v>
      </c>
      <c r="F6875">
        <v>9</v>
      </c>
      <c r="G6875" s="1" t="str">
        <f>Ocupacao_DW[[#This Row],[data]]&amp;Ocupacao_DW[[#This Row],[profissional_id]]&amp;Ocupacao_DW[[#This Row],[local_id]]</f>
        <v>44644106919</v>
      </c>
      <c r="H6875" s="1">
        <f>_xlfn.XLOOKUP(Ocupacao_DW[[#This Row],[Concat]],Vagas!$H:$H,Vagas!$D:$D,"",0)</f>
        <v>0</v>
      </c>
    </row>
    <row r="6876" spans="1:8" x14ac:dyDescent="0.25">
      <c r="A6876" s="2">
        <v>44639</v>
      </c>
      <c r="B6876" s="1" t="s">
        <v>49</v>
      </c>
      <c r="C6876">
        <v>13756</v>
      </c>
      <c r="D6876" s="1" t="s">
        <v>202</v>
      </c>
      <c r="E6876" s="1" t="s">
        <v>4</v>
      </c>
      <c r="F6876">
        <v>43</v>
      </c>
      <c r="G6876" s="1" t="str">
        <f>Ocupacao_DW[[#This Row],[data]]&amp;Ocupacao_DW[[#This Row],[profissional_id]]&amp;Ocupacao_DW[[#This Row],[local_id]]</f>
        <v>446391375643</v>
      </c>
      <c r="H6876" s="1">
        <f>_xlfn.XLOOKUP(Ocupacao_DW[[#This Row],[Concat]],Vagas!$H:$H,Vagas!$D:$D,"",0)</f>
        <v>0</v>
      </c>
    </row>
    <row r="6877" spans="1:8" x14ac:dyDescent="0.25">
      <c r="A6877" s="2">
        <v>44641</v>
      </c>
      <c r="B6877" s="1" t="s">
        <v>76</v>
      </c>
      <c r="C6877">
        <v>4422</v>
      </c>
      <c r="D6877" s="1" t="s">
        <v>290</v>
      </c>
      <c r="E6877" s="1" t="s">
        <v>200</v>
      </c>
      <c r="F6877">
        <v>81</v>
      </c>
      <c r="G6877" s="1" t="str">
        <f>Ocupacao_DW[[#This Row],[data]]&amp;Ocupacao_DW[[#This Row],[profissional_id]]&amp;Ocupacao_DW[[#This Row],[local_id]]</f>
        <v>44641442281</v>
      </c>
      <c r="H6877" s="1">
        <f>_xlfn.XLOOKUP(Ocupacao_DW[[#This Row],[Concat]],Vagas!$H:$H,Vagas!$D:$D,"",0)</f>
        <v>48</v>
      </c>
    </row>
    <row r="6878" spans="1:8" x14ac:dyDescent="0.25">
      <c r="A6878" s="2">
        <v>44635</v>
      </c>
      <c r="B6878" s="1" t="s">
        <v>55</v>
      </c>
      <c r="C6878">
        <v>2984</v>
      </c>
      <c r="D6878" s="1" t="s">
        <v>185</v>
      </c>
      <c r="E6878" s="1" t="s">
        <v>6</v>
      </c>
      <c r="F6878">
        <v>7</v>
      </c>
      <c r="G6878" s="1" t="str">
        <f>Ocupacao_DW[[#This Row],[data]]&amp;Ocupacao_DW[[#This Row],[profissional_id]]&amp;Ocupacao_DW[[#This Row],[local_id]]</f>
        <v>4463529847</v>
      </c>
      <c r="H6878" s="1">
        <f>_xlfn.XLOOKUP(Ocupacao_DW[[#This Row],[Concat]],Vagas!$H:$H,Vagas!$D:$D,"",0)</f>
        <v>0</v>
      </c>
    </row>
    <row r="6879" spans="1:8" x14ac:dyDescent="0.25">
      <c r="A6879" s="2">
        <v>44642</v>
      </c>
      <c r="B6879" s="1" t="s">
        <v>49</v>
      </c>
      <c r="C6879">
        <v>81</v>
      </c>
      <c r="D6879" s="1" t="s">
        <v>170</v>
      </c>
      <c r="E6879" s="1" t="s">
        <v>4</v>
      </c>
      <c r="F6879">
        <v>41</v>
      </c>
      <c r="G6879" s="1" t="str">
        <f>Ocupacao_DW[[#This Row],[data]]&amp;Ocupacao_DW[[#This Row],[profissional_id]]&amp;Ocupacao_DW[[#This Row],[local_id]]</f>
        <v>446428141</v>
      </c>
      <c r="H6879" s="1">
        <f>_xlfn.XLOOKUP(Ocupacao_DW[[#This Row],[Concat]],Vagas!$H:$H,Vagas!$D:$D,"",0)</f>
        <v>0</v>
      </c>
    </row>
    <row r="6880" spans="1:8" x14ac:dyDescent="0.25">
      <c r="A6880" s="2">
        <v>44648</v>
      </c>
      <c r="B6880" s="1" t="s">
        <v>68</v>
      </c>
      <c r="C6880">
        <v>9138</v>
      </c>
      <c r="D6880" s="1" t="s">
        <v>184</v>
      </c>
      <c r="E6880" s="1" t="s">
        <v>5</v>
      </c>
      <c r="F6880">
        <v>14</v>
      </c>
      <c r="G6880" s="1" t="str">
        <f>Ocupacao_DW[[#This Row],[data]]&amp;Ocupacao_DW[[#This Row],[profissional_id]]&amp;Ocupacao_DW[[#This Row],[local_id]]</f>
        <v>44648913814</v>
      </c>
      <c r="H6880" s="1">
        <f>_xlfn.XLOOKUP(Ocupacao_DW[[#This Row],[Concat]],Vagas!$H:$H,Vagas!$D:$D,"",0)</f>
        <v>0</v>
      </c>
    </row>
    <row r="6881" spans="1:8" x14ac:dyDescent="0.25">
      <c r="A6881" s="2">
        <v>44641</v>
      </c>
      <c r="B6881" s="1" t="s">
        <v>49</v>
      </c>
      <c r="C6881">
        <v>12369</v>
      </c>
      <c r="D6881" s="1" t="s">
        <v>195</v>
      </c>
      <c r="E6881" s="1" t="s">
        <v>4</v>
      </c>
      <c r="F6881">
        <v>44</v>
      </c>
      <c r="G6881" s="1" t="str">
        <f>Ocupacao_DW[[#This Row],[data]]&amp;Ocupacao_DW[[#This Row],[profissional_id]]&amp;Ocupacao_DW[[#This Row],[local_id]]</f>
        <v>446411236944</v>
      </c>
      <c r="H6881" s="1">
        <f>_xlfn.XLOOKUP(Ocupacao_DW[[#This Row],[Concat]],Vagas!$H:$H,Vagas!$D:$D,"",0)</f>
        <v>0</v>
      </c>
    </row>
    <row r="6882" spans="1:8" x14ac:dyDescent="0.25">
      <c r="A6882" s="2">
        <v>44650</v>
      </c>
      <c r="B6882" s="1" t="s">
        <v>58</v>
      </c>
      <c r="C6882">
        <v>5767</v>
      </c>
      <c r="D6882" s="1" t="s">
        <v>239</v>
      </c>
      <c r="E6882" s="1" t="s">
        <v>4</v>
      </c>
      <c r="F6882">
        <v>44</v>
      </c>
      <c r="G6882" s="1" t="str">
        <f>Ocupacao_DW[[#This Row],[data]]&amp;Ocupacao_DW[[#This Row],[profissional_id]]&amp;Ocupacao_DW[[#This Row],[local_id]]</f>
        <v>44650576744</v>
      </c>
      <c r="H6882" s="1">
        <f>_xlfn.XLOOKUP(Ocupacao_DW[[#This Row],[Concat]],Vagas!$H:$H,Vagas!$D:$D,"",0)</f>
        <v>14</v>
      </c>
    </row>
    <row r="6883" spans="1:8" x14ac:dyDescent="0.25">
      <c r="A6883" s="2">
        <v>44644</v>
      </c>
      <c r="B6883" s="1" t="s">
        <v>47</v>
      </c>
      <c r="C6883">
        <v>9111</v>
      </c>
      <c r="D6883" s="1" t="s">
        <v>206</v>
      </c>
      <c r="E6883" s="1" t="s">
        <v>4</v>
      </c>
      <c r="F6883">
        <v>334</v>
      </c>
      <c r="G6883" s="1" t="str">
        <f>Ocupacao_DW[[#This Row],[data]]&amp;Ocupacao_DW[[#This Row],[profissional_id]]&amp;Ocupacao_DW[[#This Row],[local_id]]</f>
        <v>446449111334</v>
      </c>
      <c r="H6883" s="1">
        <f>_xlfn.XLOOKUP(Ocupacao_DW[[#This Row],[Concat]],Vagas!$H:$H,Vagas!$D:$D,"",0)</f>
        <v>0</v>
      </c>
    </row>
    <row r="6884" spans="1:8" x14ac:dyDescent="0.25">
      <c r="A6884" s="2">
        <v>44635</v>
      </c>
      <c r="B6884" s="1" t="s">
        <v>40</v>
      </c>
      <c r="C6884">
        <v>54</v>
      </c>
      <c r="D6884" s="1" t="s">
        <v>216</v>
      </c>
      <c r="E6884" s="1" t="s">
        <v>4</v>
      </c>
      <c r="F6884">
        <v>50</v>
      </c>
      <c r="G6884" s="1" t="str">
        <f>Ocupacao_DW[[#This Row],[data]]&amp;Ocupacao_DW[[#This Row],[profissional_id]]&amp;Ocupacao_DW[[#This Row],[local_id]]</f>
        <v>446355450</v>
      </c>
      <c r="H6884" s="1">
        <f>_xlfn.XLOOKUP(Ocupacao_DW[[#This Row],[Concat]],Vagas!$H:$H,Vagas!$D:$D,"",0)</f>
        <v>19</v>
      </c>
    </row>
    <row r="6885" spans="1:8" x14ac:dyDescent="0.25">
      <c r="A6885" s="2">
        <v>44637</v>
      </c>
      <c r="B6885" s="1" t="s">
        <v>276</v>
      </c>
      <c r="C6885">
        <v>17937</v>
      </c>
      <c r="D6885" s="1" t="s">
        <v>297</v>
      </c>
      <c r="E6885" s="1" t="s">
        <v>4</v>
      </c>
      <c r="F6885">
        <v>351</v>
      </c>
      <c r="G6885" s="1" t="str">
        <f>Ocupacao_DW[[#This Row],[data]]&amp;Ocupacao_DW[[#This Row],[profissional_id]]&amp;Ocupacao_DW[[#This Row],[local_id]]</f>
        <v>4463717937351</v>
      </c>
      <c r="H6885" s="1" t="str">
        <f>_xlfn.XLOOKUP(Ocupacao_DW[[#This Row],[Concat]],Vagas!$H:$H,Vagas!$D:$D,"",0)</f>
        <v/>
      </c>
    </row>
    <row r="6886" spans="1:8" x14ac:dyDescent="0.25">
      <c r="A6886" s="2">
        <v>44637</v>
      </c>
      <c r="B6886" s="1" t="s">
        <v>276</v>
      </c>
      <c r="C6886">
        <v>17937</v>
      </c>
      <c r="D6886" s="1" t="s">
        <v>297</v>
      </c>
      <c r="E6886" s="1" t="s">
        <v>4</v>
      </c>
      <c r="F6886">
        <v>351</v>
      </c>
      <c r="G6886" s="1" t="str">
        <f>Ocupacao_DW[[#This Row],[data]]&amp;Ocupacao_DW[[#This Row],[profissional_id]]&amp;Ocupacao_DW[[#This Row],[local_id]]</f>
        <v>4463717937351</v>
      </c>
      <c r="H6886" s="1" t="str">
        <f>_xlfn.XLOOKUP(Ocupacao_DW[[#This Row],[Concat]],Vagas!$H:$H,Vagas!$D:$D,"",0)</f>
        <v/>
      </c>
    </row>
    <row r="6887" spans="1:8" x14ac:dyDescent="0.25">
      <c r="A6887" s="2">
        <v>44658</v>
      </c>
      <c r="B6887" s="1" t="s">
        <v>55</v>
      </c>
      <c r="C6887">
        <v>74</v>
      </c>
      <c r="D6887" s="1" t="s">
        <v>182</v>
      </c>
      <c r="E6887" s="1" t="s">
        <v>6</v>
      </c>
      <c r="F6887">
        <v>7</v>
      </c>
      <c r="G6887" s="1" t="str">
        <f>Ocupacao_DW[[#This Row],[data]]&amp;Ocupacao_DW[[#This Row],[profissional_id]]&amp;Ocupacao_DW[[#This Row],[local_id]]</f>
        <v>44658747</v>
      </c>
      <c r="H6887" s="1">
        <f>_xlfn.XLOOKUP(Ocupacao_DW[[#This Row],[Concat]],Vagas!$H:$H,Vagas!$D:$D,"",0)</f>
        <v>7</v>
      </c>
    </row>
    <row r="6888" spans="1:8" x14ac:dyDescent="0.25">
      <c r="A6888" s="2">
        <v>44642</v>
      </c>
      <c r="B6888" s="1" t="s">
        <v>68</v>
      </c>
      <c r="C6888">
        <v>8239</v>
      </c>
      <c r="D6888" s="1" t="s">
        <v>257</v>
      </c>
      <c r="E6888" s="1" t="s">
        <v>167</v>
      </c>
      <c r="F6888">
        <v>345</v>
      </c>
      <c r="G6888" s="1" t="str">
        <f>Ocupacao_DW[[#This Row],[data]]&amp;Ocupacao_DW[[#This Row],[profissional_id]]&amp;Ocupacao_DW[[#This Row],[local_id]]</f>
        <v>446428239345</v>
      </c>
      <c r="H6888" s="1">
        <f>_xlfn.XLOOKUP(Ocupacao_DW[[#This Row],[Concat]],Vagas!$H:$H,Vagas!$D:$D,"",0)</f>
        <v>0</v>
      </c>
    </row>
    <row r="6889" spans="1:8" x14ac:dyDescent="0.25">
      <c r="A6889" s="2">
        <v>44646</v>
      </c>
      <c r="B6889" s="1" t="s">
        <v>52</v>
      </c>
      <c r="C6889">
        <v>60</v>
      </c>
      <c r="D6889" s="1" t="s">
        <v>217</v>
      </c>
      <c r="E6889" s="1" t="s">
        <v>6</v>
      </c>
      <c r="F6889">
        <v>6</v>
      </c>
      <c r="G6889" s="1" t="str">
        <f>Ocupacao_DW[[#This Row],[data]]&amp;Ocupacao_DW[[#This Row],[profissional_id]]&amp;Ocupacao_DW[[#This Row],[local_id]]</f>
        <v>44646606</v>
      </c>
      <c r="H6889" s="1">
        <f>_xlfn.XLOOKUP(Ocupacao_DW[[#This Row],[Concat]],Vagas!$H:$H,Vagas!$D:$D,"",0)</f>
        <v>0</v>
      </c>
    </row>
    <row r="6890" spans="1:8" x14ac:dyDescent="0.25">
      <c r="A6890" s="2">
        <v>44641</v>
      </c>
      <c r="B6890" s="1" t="s">
        <v>52</v>
      </c>
      <c r="C6890">
        <v>10595</v>
      </c>
      <c r="D6890" s="1" t="s">
        <v>218</v>
      </c>
      <c r="E6890" s="1" t="s">
        <v>200</v>
      </c>
      <c r="F6890">
        <v>78</v>
      </c>
      <c r="G6890" s="1" t="str">
        <f>Ocupacao_DW[[#This Row],[data]]&amp;Ocupacao_DW[[#This Row],[profissional_id]]&amp;Ocupacao_DW[[#This Row],[local_id]]</f>
        <v>446411059578</v>
      </c>
      <c r="H6890" s="1">
        <f>_xlfn.XLOOKUP(Ocupacao_DW[[#This Row],[Concat]],Vagas!$H:$H,Vagas!$D:$D,"",0)</f>
        <v>0</v>
      </c>
    </row>
    <row r="6891" spans="1:8" x14ac:dyDescent="0.25">
      <c r="A6891" s="2">
        <v>44643</v>
      </c>
      <c r="B6891" s="1" t="s">
        <v>51</v>
      </c>
      <c r="C6891">
        <v>7551</v>
      </c>
      <c r="D6891" s="1" t="s">
        <v>246</v>
      </c>
      <c r="E6891" s="1" t="s">
        <v>5</v>
      </c>
      <c r="F6891">
        <v>15</v>
      </c>
      <c r="G6891" s="1" t="str">
        <f>Ocupacao_DW[[#This Row],[data]]&amp;Ocupacao_DW[[#This Row],[profissional_id]]&amp;Ocupacao_DW[[#This Row],[local_id]]</f>
        <v>44643755115</v>
      </c>
      <c r="H6891" s="1">
        <f>_xlfn.XLOOKUP(Ocupacao_DW[[#This Row],[Concat]],Vagas!$H:$H,Vagas!$D:$D,"",0)</f>
        <v>0</v>
      </c>
    </row>
    <row r="6892" spans="1:8" x14ac:dyDescent="0.25">
      <c r="A6892" s="2">
        <v>44637</v>
      </c>
      <c r="B6892" s="1" t="s">
        <v>62</v>
      </c>
      <c r="C6892">
        <v>3502</v>
      </c>
      <c r="D6892" s="1" t="s">
        <v>214</v>
      </c>
      <c r="E6892" s="1" t="s">
        <v>5</v>
      </c>
      <c r="F6892">
        <v>16</v>
      </c>
      <c r="G6892" s="1" t="str">
        <f>Ocupacao_DW[[#This Row],[data]]&amp;Ocupacao_DW[[#This Row],[profissional_id]]&amp;Ocupacao_DW[[#This Row],[local_id]]</f>
        <v>44637350216</v>
      </c>
      <c r="H6892" s="1">
        <f>_xlfn.XLOOKUP(Ocupacao_DW[[#This Row],[Concat]],Vagas!$H:$H,Vagas!$D:$D,"",0)</f>
        <v>0</v>
      </c>
    </row>
    <row r="6893" spans="1:8" x14ac:dyDescent="0.25">
      <c r="A6893" s="2">
        <v>44642</v>
      </c>
      <c r="B6893" s="1" t="s">
        <v>49</v>
      </c>
      <c r="C6893">
        <v>10600</v>
      </c>
      <c r="D6893" s="1" t="s">
        <v>248</v>
      </c>
      <c r="E6893" s="1" t="s">
        <v>200</v>
      </c>
      <c r="F6893">
        <v>86</v>
      </c>
      <c r="G6893" s="1" t="str">
        <f>Ocupacao_DW[[#This Row],[data]]&amp;Ocupacao_DW[[#This Row],[profissional_id]]&amp;Ocupacao_DW[[#This Row],[local_id]]</f>
        <v>446421060086</v>
      </c>
      <c r="H6893" s="1">
        <f>_xlfn.XLOOKUP(Ocupacao_DW[[#This Row],[Concat]],Vagas!$H:$H,Vagas!$D:$D,"",0)</f>
        <v>0</v>
      </c>
    </row>
    <row r="6894" spans="1:8" x14ac:dyDescent="0.25">
      <c r="A6894" s="2">
        <v>44644</v>
      </c>
      <c r="B6894" s="1" t="s">
        <v>76</v>
      </c>
      <c r="C6894">
        <v>11312</v>
      </c>
      <c r="D6894" s="1" t="s">
        <v>207</v>
      </c>
      <c r="E6894" s="1" t="s">
        <v>167</v>
      </c>
      <c r="F6894">
        <v>340</v>
      </c>
      <c r="G6894" s="1" t="str">
        <f>Ocupacao_DW[[#This Row],[data]]&amp;Ocupacao_DW[[#This Row],[profissional_id]]&amp;Ocupacao_DW[[#This Row],[local_id]]</f>
        <v>4464411312340</v>
      </c>
      <c r="H6894" s="1">
        <f>_xlfn.XLOOKUP(Ocupacao_DW[[#This Row],[Concat]],Vagas!$H:$H,Vagas!$D:$D,"",0)</f>
        <v>0</v>
      </c>
    </row>
    <row r="6895" spans="1:8" x14ac:dyDescent="0.25">
      <c r="A6895" s="2">
        <v>44642</v>
      </c>
      <c r="B6895" s="1" t="s">
        <v>47</v>
      </c>
      <c r="C6895">
        <v>12752</v>
      </c>
      <c r="D6895" s="1" t="s">
        <v>253</v>
      </c>
      <c r="E6895" s="1" t="s">
        <v>7</v>
      </c>
      <c r="F6895">
        <v>60</v>
      </c>
      <c r="G6895" s="1" t="str">
        <f>Ocupacao_DW[[#This Row],[data]]&amp;Ocupacao_DW[[#This Row],[profissional_id]]&amp;Ocupacao_DW[[#This Row],[local_id]]</f>
        <v>446421275260</v>
      </c>
      <c r="H6895" s="1">
        <f>_xlfn.XLOOKUP(Ocupacao_DW[[#This Row],[Concat]],Vagas!$H:$H,Vagas!$D:$D,"",0)</f>
        <v>0</v>
      </c>
    </row>
    <row r="6896" spans="1:8" x14ac:dyDescent="0.25">
      <c r="A6896" s="2">
        <v>44637</v>
      </c>
      <c r="B6896" s="1" t="s">
        <v>46</v>
      </c>
      <c r="C6896">
        <v>17888</v>
      </c>
      <c r="D6896" s="1" t="s">
        <v>255</v>
      </c>
      <c r="E6896" s="1" t="s">
        <v>4</v>
      </c>
      <c r="F6896">
        <v>40</v>
      </c>
      <c r="G6896" s="1" t="str">
        <f>Ocupacao_DW[[#This Row],[data]]&amp;Ocupacao_DW[[#This Row],[profissional_id]]&amp;Ocupacao_DW[[#This Row],[local_id]]</f>
        <v>446371788840</v>
      </c>
      <c r="H6896" s="1">
        <f>_xlfn.XLOOKUP(Ocupacao_DW[[#This Row],[Concat]],Vagas!$H:$H,Vagas!$D:$D,"",0)</f>
        <v>20</v>
      </c>
    </row>
    <row r="6897" spans="1:8" x14ac:dyDescent="0.25">
      <c r="A6897" s="2">
        <v>44636</v>
      </c>
      <c r="B6897" s="1" t="s">
        <v>65</v>
      </c>
      <c r="C6897">
        <v>13058</v>
      </c>
      <c r="D6897" s="1" t="s">
        <v>256</v>
      </c>
      <c r="E6897" s="1" t="s">
        <v>4</v>
      </c>
      <c r="F6897">
        <v>47</v>
      </c>
      <c r="G6897" s="1" t="str">
        <f>Ocupacao_DW[[#This Row],[data]]&amp;Ocupacao_DW[[#This Row],[profissional_id]]&amp;Ocupacao_DW[[#This Row],[local_id]]</f>
        <v>446361305847</v>
      </c>
      <c r="H6897" s="1">
        <f>_xlfn.XLOOKUP(Ocupacao_DW[[#This Row],[Concat]],Vagas!$H:$H,Vagas!$D:$D,"",0)</f>
        <v>0</v>
      </c>
    </row>
    <row r="6898" spans="1:8" x14ac:dyDescent="0.25">
      <c r="A6898" s="2">
        <v>44642</v>
      </c>
      <c r="B6898" s="1" t="s">
        <v>43</v>
      </c>
      <c r="C6898">
        <v>57</v>
      </c>
      <c r="D6898" s="1" t="s">
        <v>169</v>
      </c>
      <c r="E6898" s="1" t="s">
        <v>6</v>
      </c>
      <c r="F6898">
        <v>2</v>
      </c>
      <c r="G6898" s="1" t="str">
        <f>Ocupacao_DW[[#This Row],[data]]&amp;Ocupacao_DW[[#This Row],[profissional_id]]&amp;Ocupacao_DW[[#This Row],[local_id]]</f>
        <v>44642572</v>
      </c>
      <c r="H6898" s="1">
        <f>_xlfn.XLOOKUP(Ocupacao_DW[[#This Row],[Concat]],Vagas!$H:$H,Vagas!$D:$D,"",0)</f>
        <v>19</v>
      </c>
    </row>
    <row r="6899" spans="1:8" x14ac:dyDescent="0.25">
      <c r="A6899" s="2">
        <v>44646</v>
      </c>
      <c r="B6899" s="1" t="s">
        <v>64</v>
      </c>
      <c r="C6899">
        <v>531</v>
      </c>
      <c r="D6899" s="1" t="s">
        <v>213</v>
      </c>
      <c r="E6899" s="1" t="s">
        <v>5</v>
      </c>
      <c r="F6899">
        <v>12</v>
      </c>
      <c r="G6899" s="1" t="str">
        <f>Ocupacao_DW[[#This Row],[data]]&amp;Ocupacao_DW[[#This Row],[profissional_id]]&amp;Ocupacao_DW[[#This Row],[local_id]]</f>
        <v>4464653112</v>
      </c>
      <c r="H6899" s="1">
        <f>_xlfn.XLOOKUP(Ocupacao_DW[[#This Row],[Concat]],Vagas!$H:$H,Vagas!$D:$D,"",0)</f>
        <v>0</v>
      </c>
    </row>
    <row r="6900" spans="1:8" x14ac:dyDescent="0.25">
      <c r="A6900" s="2">
        <v>44637</v>
      </c>
      <c r="B6900" s="1" t="s">
        <v>62</v>
      </c>
      <c r="C6900">
        <v>3502</v>
      </c>
      <c r="D6900" s="1" t="s">
        <v>214</v>
      </c>
      <c r="E6900" s="1" t="s">
        <v>5</v>
      </c>
      <c r="F6900">
        <v>16</v>
      </c>
      <c r="G6900" s="1" t="str">
        <f>Ocupacao_DW[[#This Row],[data]]&amp;Ocupacao_DW[[#This Row],[profissional_id]]&amp;Ocupacao_DW[[#This Row],[local_id]]</f>
        <v>44637350216</v>
      </c>
      <c r="H6900" s="1">
        <f>_xlfn.XLOOKUP(Ocupacao_DW[[#This Row],[Concat]],Vagas!$H:$H,Vagas!$D:$D,"",0)</f>
        <v>0</v>
      </c>
    </row>
    <row r="6901" spans="1:8" x14ac:dyDescent="0.25">
      <c r="A6901" s="2">
        <v>44650</v>
      </c>
      <c r="B6901" s="1" t="s">
        <v>49</v>
      </c>
      <c r="C6901">
        <v>6430</v>
      </c>
      <c r="D6901" s="1" t="s">
        <v>188</v>
      </c>
      <c r="E6901" s="1" t="s">
        <v>4</v>
      </c>
      <c r="F6901">
        <v>42</v>
      </c>
      <c r="G6901" s="1" t="str">
        <f>Ocupacao_DW[[#This Row],[data]]&amp;Ocupacao_DW[[#This Row],[profissional_id]]&amp;Ocupacao_DW[[#This Row],[local_id]]</f>
        <v>44650643042</v>
      </c>
      <c r="H6901" s="1">
        <f>_xlfn.XLOOKUP(Ocupacao_DW[[#This Row],[Concat]],Vagas!$H:$H,Vagas!$D:$D,"",0)</f>
        <v>0</v>
      </c>
    </row>
    <row r="6902" spans="1:8" x14ac:dyDescent="0.25">
      <c r="A6902" s="2">
        <v>44643</v>
      </c>
      <c r="B6902" s="1" t="s">
        <v>52</v>
      </c>
      <c r="C6902">
        <v>60</v>
      </c>
      <c r="D6902" s="1" t="s">
        <v>217</v>
      </c>
      <c r="E6902" s="1" t="s">
        <v>167</v>
      </c>
      <c r="F6902">
        <v>346</v>
      </c>
      <c r="G6902" s="1" t="str">
        <f>Ocupacao_DW[[#This Row],[data]]&amp;Ocupacao_DW[[#This Row],[profissional_id]]&amp;Ocupacao_DW[[#This Row],[local_id]]</f>
        <v>4464360346</v>
      </c>
      <c r="H6902" s="1">
        <f>_xlfn.XLOOKUP(Ocupacao_DW[[#This Row],[Concat]],Vagas!$H:$H,Vagas!$D:$D,"",0)</f>
        <v>0</v>
      </c>
    </row>
    <row r="6903" spans="1:8" x14ac:dyDescent="0.25">
      <c r="A6903" s="2">
        <v>44642</v>
      </c>
      <c r="B6903" s="1" t="s">
        <v>49</v>
      </c>
      <c r="C6903">
        <v>266</v>
      </c>
      <c r="D6903" s="1" t="s">
        <v>201</v>
      </c>
      <c r="E6903" s="1" t="s">
        <v>4</v>
      </c>
      <c r="F6903">
        <v>42</v>
      </c>
      <c r="G6903" s="1" t="str">
        <f>Ocupacao_DW[[#This Row],[data]]&amp;Ocupacao_DW[[#This Row],[profissional_id]]&amp;Ocupacao_DW[[#This Row],[local_id]]</f>
        <v>4464226642</v>
      </c>
      <c r="H6903" s="1">
        <f>_xlfn.XLOOKUP(Ocupacao_DW[[#This Row],[Concat]],Vagas!$H:$H,Vagas!$D:$D,"",0)</f>
        <v>0</v>
      </c>
    </row>
    <row r="6904" spans="1:8" x14ac:dyDescent="0.25">
      <c r="A6904" s="2">
        <v>44638</v>
      </c>
      <c r="B6904" s="1" t="s">
        <v>47</v>
      </c>
      <c r="C6904">
        <v>9111</v>
      </c>
      <c r="D6904" s="1" t="s">
        <v>206</v>
      </c>
      <c r="E6904" s="1" t="s">
        <v>4</v>
      </c>
      <c r="F6904">
        <v>51</v>
      </c>
      <c r="G6904" s="1" t="str">
        <f>Ocupacao_DW[[#This Row],[data]]&amp;Ocupacao_DW[[#This Row],[profissional_id]]&amp;Ocupacao_DW[[#This Row],[local_id]]</f>
        <v>44638911151</v>
      </c>
      <c r="H6904" s="1">
        <f>_xlfn.XLOOKUP(Ocupacao_DW[[#This Row],[Concat]],Vagas!$H:$H,Vagas!$D:$D,"",0)</f>
        <v>0</v>
      </c>
    </row>
    <row r="6905" spans="1:8" x14ac:dyDescent="0.25">
      <c r="A6905" s="2">
        <v>44641</v>
      </c>
      <c r="B6905" s="1" t="s">
        <v>49</v>
      </c>
      <c r="C6905">
        <v>6430</v>
      </c>
      <c r="D6905" s="1" t="s">
        <v>188</v>
      </c>
      <c r="E6905" s="1" t="s">
        <v>200</v>
      </c>
      <c r="F6905">
        <v>86</v>
      </c>
      <c r="G6905" s="1" t="str">
        <f>Ocupacao_DW[[#This Row],[data]]&amp;Ocupacao_DW[[#This Row],[profissional_id]]&amp;Ocupacao_DW[[#This Row],[local_id]]</f>
        <v>44641643086</v>
      </c>
      <c r="H6905" s="1">
        <f>_xlfn.XLOOKUP(Ocupacao_DW[[#This Row],[Concat]],Vagas!$H:$H,Vagas!$D:$D,"",0)</f>
        <v>0</v>
      </c>
    </row>
    <row r="6906" spans="1:8" x14ac:dyDescent="0.25">
      <c r="A6906" s="2">
        <v>44642</v>
      </c>
      <c r="B6906" s="1" t="s">
        <v>67</v>
      </c>
      <c r="C6906">
        <v>7290</v>
      </c>
      <c r="D6906" s="1" t="s">
        <v>247</v>
      </c>
      <c r="E6906" s="1" t="s">
        <v>5</v>
      </c>
      <c r="F6906">
        <v>18</v>
      </c>
      <c r="G6906" s="1" t="str">
        <f>Ocupacao_DW[[#This Row],[data]]&amp;Ocupacao_DW[[#This Row],[profissional_id]]&amp;Ocupacao_DW[[#This Row],[local_id]]</f>
        <v>44642729018</v>
      </c>
      <c r="H6906" s="1">
        <f>_xlfn.XLOOKUP(Ocupacao_DW[[#This Row],[Concat]],Vagas!$H:$H,Vagas!$D:$D,"",0)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D3AD2-A8D8-4650-B82D-91086BCDAD2A}">
  <sheetPr codeName="Planilha7"/>
  <dimension ref="A1:H2385"/>
  <sheetViews>
    <sheetView workbookViewId="0">
      <selection activeCell="H1" sqref="H1"/>
    </sheetView>
  </sheetViews>
  <sheetFormatPr defaultRowHeight="15" x14ac:dyDescent="0.25"/>
  <cols>
    <col min="1" max="1" width="10.7109375" bestFit="1" customWidth="1"/>
    <col min="2" max="2" width="16.5703125" bestFit="1" customWidth="1"/>
    <col min="3" max="3" width="10.140625" bestFit="1" customWidth="1"/>
    <col min="4" max="4" width="9.28515625" customWidth="1"/>
    <col min="5" max="5" width="14.85546875" bestFit="1" customWidth="1"/>
    <col min="6" max="6" width="21.28515625" bestFit="1" customWidth="1"/>
    <col min="7" max="7" width="19.5703125" bestFit="1" customWidth="1"/>
    <col min="8" max="8" width="14.140625" bestFit="1" customWidth="1"/>
  </cols>
  <sheetData>
    <row r="1" spans="1:8" x14ac:dyDescent="0.25">
      <c r="A1" t="s">
        <v>0</v>
      </c>
      <c r="B1" t="s">
        <v>2</v>
      </c>
      <c r="C1" t="s">
        <v>1</v>
      </c>
      <c r="D1" t="s">
        <v>163</v>
      </c>
      <c r="E1" t="s">
        <v>284</v>
      </c>
      <c r="F1" t="s">
        <v>283</v>
      </c>
      <c r="G1" t="s">
        <v>282</v>
      </c>
      <c r="H1" t="s">
        <v>289</v>
      </c>
    </row>
    <row r="2" spans="1:8" x14ac:dyDescent="0.25">
      <c r="A2" s="2">
        <v>44635</v>
      </c>
      <c r="B2">
        <v>54</v>
      </c>
      <c r="D2">
        <v>19</v>
      </c>
      <c r="E2">
        <v>0</v>
      </c>
      <c r="F2" s="1">
        <f t="shared" ref="F2:F65" si="0">IF(AND(A2=A1,B2=B1,D1&lt;&gt;0,D2=0),D1,0)</f>
        <v>0</v>
      </c>
      <c r="G2" s="1">
        <f>_xlfn.XLOOKUP(C2,'Ocupação DW'!$F:$F,'Ocupação DW'!$E:$E,"",0)</f>
        <v>0</v>
      </c>
      <c r="H2" t="str">
        <f>Vagas[[#This Row],[data]]&amp;Vagas[[#This Row],[profissional_id]]&amp;Vagas[[#This Row],[local_id]]</f>
        <v>4463554</v>
      </c>
    </row>
    <row r="3" spans="1:8" x14ac:dyDescent="0.25">
      <c r="A3" s="2">
        <v>44635</v>
      </c>
      <c r="B3">
        <v>54</v>
      </c>
      <c r="C3">
        <v>50</v>
      </c>
      <c r="D3">
        <v>19</v>
      </c>
      <c r="E3">
        <v>0</v>
      </c>
      <c r="F3" s="1">
        <f t="shared" si="0"/>
        <v>0</v>
      </c>
      <c r="G3" s="1" t="str">
        <f>_xlfn.XLOOKUP(C3,'Ocupação DW'!$F:$F,'Ocupação DW'!$E:$E,"",0)</f>
        <v>SEG - FILIAL I</v>
      </c>
      <c r="H3" t="str">
        <f>Vagas[[#This Row],[data]]&amp;Vagas[[#This Row],[profissional_id]]&amp;Vagas[[#This Row],[local_id]]</f>
        <v>446355450</v>
      </c>
    </row>
    <row r="4" spans="1:8" x14ac:dyDescent="0.25">
      <c r="A4" s="2">
        <v>44635</v>
      </c>
      <c r="B4">
        <v>55</v>
      </c>
      <c r="D4">
        <v>0</v>
      </c>
      <c r="E4">
        <v>0</v>
      </c>
      <c r="F4" s="1">
        <f t="shared" si="0"/>
        <v>0</v>
      </c>
      <c r="G4" s="1">
        <f>_xlfn.XLOOKUP(C4,'Ocupação DW'!$F:$F,'Ocupação DW'!$E:$E,"",0)</f>
        <v>0</v>
      </c>
      <c r="H4" t="str">
        <f>Vagas[[#This Row],[data]]&amp;Vagas[[#This Row],[profissional_id]]&amp;Vagas[[#This Row],[local_id]]</f>
        <v>4463555</v>
      </c>
    </row>
    <row r="5" spans="1:8" x14ac:dyDescent="0.25">
      <c r="A5" s="2">
        <v>44635</v>
      </c>
      <c r="B5">
        <v>57</v>
      </c>
      <c r="C5">
        <v>2</v>
      </c>
      <c r="D5">
        <v>0</v>
      </c>
      <c r="E5">
        <v>0</v>
      </c>
      <c r="F5" s="1">
        <f t="shared" si="0"/>
        <v>0</v>
      </c>
      <c r="G5" s="1" t="str">
        <f>_xlfn.XLOOKUP(C5,'Ocupação DW'!$F:$F,'Ocupação DW'!$E:$E,"",0)</f>
        <v>SEG - FILIAL II 10°</v>
      </c>
      <c r="H5" t="str">
        <f>Vagas[[#This Row],[data]]&amp;Vagas[[#This Row],[profissional_id]]&amp;Vagas[[#This Row],[local_id]]</f>
        <v>44635572</v>
      </c>
    </row>
    <row r="6" spans="1:8" x14ac:dyDescent="0.25">
      <c r="A6" s="2">
        <v>44635</v>
      </c>
      <c r="B6">
        <v>59</v>
      </c>
      <c r="D6">
        <v>7</v>
      </c>
      <c r="E6">
        <v>7</v>
      </c>
      <c r="F6" s="1">
        <f t="shared" si="0"/>
        <v>0</v>
      </c>
      <c r="G6" s="1">
        <f>_xlfn.XLOOKUP(C6,'Ocupação DW'!$F:$F,'Ocupação DW'!$E:$E,"",0)</f>
        <v>0</v>
      </c>
      <c r="H6" t="str">
        <f>Vagas[[#This Row],[data]]&amp;Vagas[[#This Row],[profissional_id]]&amp;Vagas[[#This Row],[local_id]]</f>
        <v>4463559</v>
      </c>
    </row>
    <row r="7" spans="1:8" x14ac:dyDescent="0.25">
      <c r="A7" s="2">
        <v>44635</v>
      </c>
      <c r="B7">
        <v>59</v>
      </c>
      <c r="C7">
        <v>367</v>
      </c>
      <c r="D7">
        <v>7</v>
      </c>
      <c r="E7">
        <v>0</v>
      </c>
      <c r="F7" s="1">
        <f t="shared" si="0"/>
        <v>0</v>
      </c>
      <c r="G7" s="1" t="str">
        <f>_xlfn.XLOOKUP(C7,'Ocupação DW'!$F:$F,'Ocupação DW'!$E:$E,"",0)</f>
        <v/>
      </c>
      <c r="H7" t="str">
        <f>Vagas[[#This Row],[data]]&amp;Vagas[[#This Row],[profissional_id]]&amp;Vagas[[#This Row],[local_id]]</f>
        <v>4463559367</v>
      </c>
    </row>
    <row r="8" spans="1:8" x14ac:dyDescent="0.25">
      <c r="A8" s="2">
        <v>44635</v>
      </c>
      <c r="B8">
        <v>60</v>
      </c>
      <c r="D8">
        <v>12</v>
      </c>
      <c r="E8">
        <v>0</v>
      </c>
      <c r="F8" s="1">
        <f t="shared" si="0"/>
        <v>0</v>
      </c>
      <c r="G8" s="1">
        <f>_xlfn.XLOOKUP(C8,'Ocupação DW'!$F:$F,'Ocupação DW'!$E:$E,"",0)</f>
        <v>0</v>
      </c>
      <c r="H8" t="str">
        <f>Vagas[[#This Row],[data]]&amp;Vagas[[#This Row],[profissional_id]]&amp;Vagas[[#This Row],[local_id]]</f>
        <v>4463560</v>
      </c>
    </row>
    <row r="9" spans="1:8" x14ac:dyDescent="0.25">
      <c r="A9" s="2">
        <v>44635</v>
      </c>
      <c r="B9">
        <v>60</v>
      </c>
      <c r="C9">
        <v>345</v>
      </c>
      <c r="D9">
        <v>0</v>
      </c>
      <c r="E9">
        <v>0</v>
      </c>
      <c r="F9" s="1">
        <f t="shared" si="0"/>
        <v>12</v>
      </c>
      <c r="G9" s="1" t="str">
        <f>_xlfn.XLOOKUP(C9,'Ocupação DW'!$F:$F,'Ocupação DW'!$E:$E,"",0)</f>
        <v>SEG - MATRIZ</v>
      </c>
      <c r="H9" t="str">
        <f>Vagas[[#This Row],[data]]&amp;Vagas[[#This Row],[profissional_id]]&amp;Vagas[[#This Row],[local_id]]</f>
        <v>4463560345</v>
      </c>
    </row>
    <row r="10" spans="1:8" x14ac:dyDescent="0.25">
      <c r="A10" s="2">
        <v>44635</v>
      </c>
      <c r="B10">
        <v>66</v>
      </c>
      <c r="D10">
        <v>109</v>
      </c>
      <c r="E10">
        <v>1</v>
      </c>
      <c r="F10" s="1">
        <f t="shared" si="0"/>
        <v>0</v>
      </c>
      <c r="G10" s="1">
        <f>_xlfn.XLOOKUP(C10,'Ocupação DW'!$F:$F,'Ocupação DW'!$E:$E,"",0)</f>
        <v>0</v>
      </c>
      <c r="H10" t="str">
        <f>Vagas[[#This Row],[data]]&amp;Vagas[[#This Row],[profissional_id]]&amp;Vagas[[#This Row],[local_id]]</f>
        <v>4463566</v>
      </c>
    </row>
    <row r="11" spans="1:8" x14ac:dyDescent="0.25">
      <c r="A11" s="2">
        <v>44635</v>
      </c>
      <c r="B11">
        <v>66</v>
      </c>
      <c r="C11">
        <v>345</v>
      </c>
      <c r="D11">
        <v>108</v>
      </c>
      <c r="E11">
        <v>12</v>
      </c>
      <c r="F11" s="1">
        <f t="shared" si="0"/>
        <v>0</v>
      </c>
      <c r="G11" s="1" t="str">
        <f>_xlfn.XLOOKUP(C11,'Ocupação DW'!$F:$F,'Ocupação DW'!$E:$E,"",0)</f>
        <v>SEG - MATRIZ</v>
      </c>
      <c r="H11" t="str">
        <f>Vagas[[#This Row],[data]]&amp;Vagas[[#This Row],[profissional_id]]&amp;Vagas[[#This Row],[local_id]]</f>
        <v>4463566345</v>
      </c>
    </row>
    <row r="12" spans="1:8" x14ac:dyDescent="0.25">
      <c r="A12" s="2">
        <v>44635</v>
      </c>
      <c r="B12">
        <v>67</v>
      </c>
      <c r="C12">
        <v>8</v>
      </c>
      <c r="D12">
        <v>0</v>
      </c>
      <c r="E12">
        <v>0</v>
      </c>
      <c r="F12" s="1">
        <f t="shared" si="0"/>
        <v>0</v>
      </c>
      <c r="G12" s="1" t="str">
        <f>_xlfn.XLOOKUP(C12,'Ocupação DW'!$F:$F,'Ocupação DW'!$E:$E,"",0)</f>
        <v>SEG - FILIAL II 10°</v>
      </c>
      <c r="H12" t="str">
        <f>Vagas[[#This Row],[data]]&amp;Vagas[[#This Row],[profissional_id]]&amp;Vagas[[#This Row],[local_id]]</f>
        <v>44635678</v>
      </c>
    </row>
    <row r="13" spans="1:8" x14ac:dyDescent="0.25">
      <c r="A13" s="2">
        <v>44635</v>
      </c>
      <c r="B13">
        <v>69</v>
      </c>
      <c r="D13">
        <v>33</v>
      </c>
      <c r="E13">
        <v>1</v>
      </c>
      <c r="F13" s="1">
        <f t="shared" si="0"/>
        <v>0</v>
      </c>
      <c r="G13" s="1">
        <f>_xlfn.XLOOKUP(C13,'Ocupação DW'!$F:$F,'Ocupação DW'!$E:$E,"",0)</f>
        <v>0</v>
      </c>
      <c r="H13" t="str">
        <f>Vagas[[#This Row],[data]]&amp;Vagas[[#This Row],[profissional_id]]&amp;Vagas[[#This Row],[local_id]]</f>
        <v>4463569</v>
      </c>
    </row>
    <row r="14" spans="1:8" x14ac:dyDescent="0.25">
      <c r="A14" s="2">
        <v>44635</v>
      </c>
      <c r="B14">
        <v>69</v>
      </c>
      <c r="C14">
        <v>13</v>
      </c>
      <c r="D14">
        <v>0</v>
      </c>
      <c r="E14">
        <v>4</v>
      </c>
      <c r="F14" s="1">
        <f t="shared" si="0"/>
        <v>33</v>
      </c>
      <c r="G14" s="1" t="str">
        <f>_xlfn.XLOOKUP(C14,'Ocupação DW'!$F:$F,'Ocupação DW'!$E:$E,"",0)</f>
        <v>SEG - FILIAL II 11°</v>
      </c>
      <c r="H14" t="str">
        <f>Vagas[[#This Row],[data]]&amp;Vagas[[#This Row],[profissional_id]]&amp;Vagas[[#This Row],[local_id]]</f>
        <v>446356913</v>
      </c>
    </row>
    <row r="15" spans="1:8" x14ac:dyDescent="0.25">
      <c r="A15" s="2">
        <v>44635</v>
      </c>
      <c r="B15">
        <v>70</v>
      </c>
      <c r="D15">
        <v>0</v>
      </c>
      <c r="E15">
        <v>0</v>
      </c>
      <c r="F15" s="1">
        <f t="shared" si="0"/>
        <v>0</v>
      </c>
      <c r="G15" s="1">
        <f>_xlfn.XLOOKUP(C15,'Ocupação DW'!$F:$F,'Ocupação DW'!$E:$E,"",0)</f>
        <v>0</v>
      </c>
      <c r="H15" t="str">
        <f>Vagas[[#This Row],[data]]&amp;Vagas[[#This Row],[profissional_id]]&amp;Vagas[[#This Row],[local_id]]</f>
        <v>4463570</v>
      </c>
    </row>
    <row r="16" spans="1:8" x14ac:dyDescent="0.25">
      <c r="A16" s="2">
        <v>44635</v>
      </c>
      <c r="B16">
        <v>72</v>
      </c>
      <c r="C16">
        <v>334</v>
      </c>
      <c r="D16">
        <v>1</v>
      </c>
      <c r="E16">
        <v>0</v>
      </c>
      <c r="F16" s="1">
        <f t="shared" si="0"/>
        <v>0</v>
      </c>
      <c r="G16" s="1" t="str">
        <f>_xlfn.XLOOKUP(C16,'Ocupação DW'!$F:$F,'Ocupação DW'!$E:$E,"",0)</f>
        <v>SEG - FILIAL I</v>
      </c>
      <c r="H16" t="str">
        <f>Vagas[[#This Row],[data]]&amp;Vagas[[#This Row],[profissional_id]]&amp;Vagas[[#This Row],[local_id]]</f>
        <v>4463572334</v>
      </c>
    </row>
    <row r="17" spans="1:8" x14ac:dyDescent="0.25">
      <c r="A17" s="2">
        <v>44635</v>
      </c>
      <c r="B17">
        <v>73</v>
      </c>
      <c r="D17">
        <v>33</v>
      </c>
      <c r="E17">
        <v>0</v>
      </c>
      <c r="F17" s="1">
        <f t="shared" si="0"/>
        <v>0</v>
      </c>
      <c r="G17" s="1">
        <f>_xlfn.XLOOKUP(C17,'Ocupação DW'!$F:$F,'Ocupação DW'!$E:$E,"",0)</f>
        <v>0</v>
      </c>
      <c r="H17" t="str">
        <f>Vagas[[#This Row],[data]]&amp;Vagas[[#This Row],[profissional_id]]&amp;Vagas[[#This Row],[local_id]]</f>
        <v>4463573</v>
      </c>
    </row>
    <row r="18" spans="1:8" x14ac:dyDescent="0.25">
      <c r="A18" s="2">
        <v>44635</v>
      </c>
      <c r="B18">
        <v>73</v>
      </c>
      <c r="C18">
        <v>5</v>
      </c>
      <c r="D18">
        <v>0</v>
      </c>
      <c r="E18">
        <v>0</v>
      </c>
      <c r="F18" s="1">
        <f t="shared" si="0"/>
        <v>33</v>
      </c>
      <c r="G18" s="1" t="str">
        <f>_xlfn.XLOOKUP(C18,'Ocupação DW'!$F:$F,'Ocupação DW'!$E:$E,"",0)</f>
        <v>SEG - FILIAL II 10°</v>
      </c>
      <c r="H18" t="str">
        <f>Vagas[[#This Row],[data]]&amp;Vagas[[#This Row],[profissional_id]]&amp;Vagas[[#This Row],[local_id]]</f>
        <v>44635735</v>
      </c>
    </row>
    <row r="19" spans="1:8" x14ac:dyDescent="0.25">
      <c r="A19" s="2">
        <v>44635</v>
      </c>
      <c r="B19">
        <v>81</v>
      </c>
      <c r="C19">
        <v>71</v>
      </c>
      <c r="D19">
        <v>0</v>
      </c>
      <c r="E19">
        <v>0</v>
      </c>
      <c r="F19" s="1">
        <f t="shared" si="0"/>
        <v>0</v>
      </c>
      <c r="G19" s="1" t="str">
        <f>_xlfn.XLOOKUP(C19,'Ocupação DW'!$F:$F,'Ocupação DW'!$E:$E,"",0)</f>
        <v>SEG - NILÓPOLIS</v>
      </c>
      <c r="H19" t="str">
        <f>Vagas[[#This Row],[data]]&amp;Vagas[[#This Row],[profissional_id]]&amp;Vagas[[#This Row],[local_id]]</f>
        <v>446358171</v>
      </c>
    </row>
    <row r="20" spans="1:8" x14ac:dyDescent="0.25">
      <c r="A20" s="2">
        <v>44635</v>
      </c>
      <c r="B20">
        <v>81</v>
      </c>
      <c r="C20">
        <v>41</v>
      </c>
      <c r="D20">
        <v>0</v>
      </c>
      <c r="E20">
        <v>0</v>
      </c>
      <c r="F20" s="1">
        <f t="shared" si="0"/>
        <v>0</v>
      </c>
      <c r="G20" s="1" t="str">
        <f>_xlfn.XLOOKUP(C20,'Ocupação DW'!$F:$F,'Ocupação DW'!$E:$E,"",0)</f>
        <v>SEG - FILIAL I</v>
      </c>
      <c r="H20" t="str">
        <f>Vagas[[#This Row],[data]]&amp;Vagas[[#This Row],[profissional_id]]&amp;Vagas[[#This Row],[local_id]]</f>
        <v>446358141</v>
      </c>
    </row>
    <row r="21" spans="1:8" x14ac:dyDescent="0.25">
      <c r="A21" s="2">
        <v>44635</v>
      </c>
      <c r="B21">
        <v>85</v>
      </c>
      <c r="C21">
        <v>349</v>
      </c>
      <c r="D21">
        <v>0</v>
      </c>
      <c r="E21">
        <v>4</v>
      </c>
      <c r="F21" s="1">
        <f t="shared" si="0"/>
        <v>0</v>
      </c>
      <c r="G21" s="1" t="str">
        <f>_xlfn.XLOOKUP(C21,'Ocupação DW'!$F:$F,'Ocupação DW'!$E:$E,"",0)</f>
        <v>SEG - FILIAL II 11°</v>
      </c>
      <c r="H21" t="str">
        <f>Vagas[[#This Row],[data]]&amp;Vagas[[#This Row],[profissional_id]]&amp;Vagas[[#This Row],[local_id]]</f>
        <v>4463585349</v>
      </c>
    </row>
    <row r="22" spans="1:8" x14ac:dyDescent="0.25">
      <c r="A22" s="2">
        <v>44635</v>
      </c>
      <c r="B22">
        <v>86</v>
      </c>
      <c r="D22">
        <v>13</v>
      </c>
      <c r="E22">
        <v>0</v>
      </c>
      <c r="F22" s="1">
        <f t="shared" si="0"/>
        <v>0</v>
      </c>
      <c r="G22" s="1">
        <f>_xlfn.XLOOKUP(C22,'Ocupação DW'!$F:$F,'Ocupação DW'!$E:$E,"",0)</f>
        <v>0</v>
      </c>
      <c r="H22" t="str">
        <f>Vagas[[#This Row],[data]]&amp;Vagas[[#This Row],[profissional_id]]&amp;Vagas[[#This Row],[local_id]]</f>
        <v>4463586</v>
      </c>
    </row>
    <row r="23" spans="1:8" x14ac:dyDescent="0.25">
      <c r="A23" s="2">
        <v>44635</v>
      </c>
      <c r="B23">
        <v>86</v>
      </c>
      <c r="C23">
        <v>82</v>
      </c>
      <c r="D23">
        <v>6</v>
      </c>
      <c r="E23">
        <v>0</v>
      </c>
      <c r="F23" s="1">
        <f t="shared" si="0"/>
        <v>0</v>
      </c>
      <c r="G23" s="1" t="str">
        <f>_xlfn.XLOOKUP(C23,'Ocupação DW'!$F:$F,'Ocupação DW'!$E:$E,"",0)</f>
        <v>SEG - MIGUEL COUTO</v>
      </c>
      <c r="H23" t="str">
        <f>Vagas[[#This Row],[data]]&amp;Vagas[[#This Row],[profissional_id]]&amp;Vagas[[#This Row],[local_id]]</f>
        <v>446358682</v>
      </c>
    </row>
    <row r="24" spans="1:8" x14ac:dyDescent="0.25">
      <c r="A24" s="2">
        <v>44635</v>
      </c>
      <c r="B24">
        <v>92</v>
      </c>
      <c r="C24">
        <v>340</v>
      </c>
      <c r="D24">
        <v>60</v>
      </c>
      <c r="E24">
        <v>0</v>
      </c>
      <c r="F24" s="1">
        <f t="shared" si="0"/>
        <v>0</v>
      </c>
      <c r="G24" s="1" t="str">
        <f>_xlfn.XLOOKUP(C24,'Ocupação DW'!$F:$F,'Ocupação DW'!$E:$E,"",0)</f>
        <v>SEG - MATRIZ</v>
      </c>
      <c r="H24" t="str">
        <f>Vagas[[#This Row],[data]]&amp;Vagas[[#This Row],[profissional_id]]&amp;Vagas[[#This Row],[local_id]]</f>
        <v>4463592340</v>
      </c>
    </row>
    <row r="25" spans="1:8" x14ac:dyDescent="0.25">
      <c r="A25" s="2">
        <v>44635</v>
      </c>
      <c r="B25">
        <v>100</v>
      </c>
      <c r="D25">
        <v>13</v>
      </c>
      <c r="E25">
        <v>0</v>
      </c>
      <c r="F25" s="1">
        <f t="shared" si="0"/>
        <v>0</v>
      </c>
      <c r="G25" s="1">
        <f>_xlfn.XLOOKUP(C25,'Ocupação DW'!$F:$F,'Ocupação DW'!$E:$E,"",0)</f>
        <v>0</v>
      </c>
      <c r="H25" t="str">
        <f>Vagas[[#This Row],[data]]&amp;Vagas[[#This Row],[profissional_id]]&amp;Vagas[[#This Row],[local_id]]</f>
        <v>44635100</v>
      </c>
    </row>
    <row r="26" spans="1:8" x14ac:dyDescent="0.25">
      <c r="A26" s="2">
        <v>44635</v>
      </c>
      <c r="B26">
        <v>100</v>
      </c>
      <c r="C26">
        <v>342</v>
      </c>
      <c r="D26">
        <v>0</v>
      </c>
      <c r="E26">
        <v>0</v>
      </c>
      <c r="F26" s="1">
        <f t="shared" si="0"/>
        <v>13</v>
      </c>
      <c r="G26" s="1" t="str">
        <f>_xlfn.XLOOKUP(C26,'Ocupação DW'!$F:$F,'Ocupação DW'!$E:$E,"",0)</f>
        <v>SEG - MATRIZ</v>
      </c>
      <c r="H26" t="str">
        <f>Vagas[[#This Row],[data]]&amp;Vagas[[#This Row],[profissional_id]]&amp;Vagas[[#This Row],[local_id]]</f>
        <v>44635100342</v>
      </c>
    </row>
    <row r="27" spans="1:8" x14ac:dyDescent="0.25">
      <c r="A27" s="2">
        <v>44635</v>
      </c>
      <c r="B27">
        <v>102</v>
      </c>
      <c r="C27">
        <v>365</v>
      </c>
      <c r="D27">
        <v>41</v>
      </c>
      <c r="E27">
        <v>0</v>
      </c>
      <c r="F27" s="1">
        <f t="shared" si="0"/>
        <v>0</v>
      </c>
      <c r="G27" s="1" t="str">
        <f>_xlfn.XLOOKUP(C27,'Ocupação DW'!$F:$F,'Ocupação DW'!$E:$E,"",0)</f>
        <v/>
      </c>
      <c r="H27" t="str">
        <f>Vagas[[#This Row],[data]]&amp;Vagas[[#This Row],[profissional_id]]&amp;Vagas[[#This Row],[local_id]]</f>
        <v>44635102365</v>
      </c>
    </row>
    <row r="28" spans="1:8" x14ac:dyDescent="0.25">
      <c r="A28" s="2">
        <v>44635</v>
      </c>
      <c r="B28">
        <v>103</v>
      </c>
      <c r="C28">
        <v>365</v>
      </c>
      <c r="D28">
        <v>41</v>
      </c>
      <c r="E28">
        <v>0</v>
      </c>
      <c r="F28" s="1">
        <f t="shared" si="0"/>
        <v>0</v>
      </c>
      <c r="G28" s="1" t="str">
        <f>_xlfn.XLOOKUP(C28,'Ocupação DW'!$F:$F,'Ocupação DW'!$E:$E,"",0)</f>
        <v/>
      </c>
      <c r="H28" t="str">
        <f>Vagas[[#This Row],[data]]&amp;Vagas[[#This Row],[profissional_id]]&amp;Vagas[[#This Row],[local_id]]</f>
        <v>44635103365</v>
      </c>
    </row>
    <row r="29" spans="1:8" x14ac:dyDescent="0.25">
      <c r="A29" s="2">
        <v>44635</v>
      </c>
      <c r="B29">
        <v>104</v>
      </c>
      <c r="C29">
        <v>365</v>
      </c>
      <c r="D29">
        <v>41</v>
      </c>
      <c r="E29">
        <v>0</v>
      </c>
      <c r="F29" s="1">
        <f t="shared" si="0"/>
        <v>0</v>
      </c>
      <c r="G29" s="1" t="str">
        <f>_xlfn.XLOOKUP(C29,'Ocupação DW'!$F:$F,'Ocupação DW'!$E:$E,"",0)</f>
        <v/>
      </c>
      <c r="H29" t="str">
        <f>Vagas[[#This Row],[data]]&amp;Vagas[[#This Row],[profissional_id]]&amp;Vagas[[#This Row],[local_id]]</f>
        <v>44635104365</v>
      </c>
    </row>
    <row r="30" spans="1:8" x14ac:dyDescent="0.25">
      <c r="A30" s="2">
        <v>44635</v>
      </c>
      <c r="B30">
        <v>110</v>
      </c>
      <c r="D30">
        <v>19</v>
      </c>
      <c r="E30">
        <v>0</v>
      </c>
      <c r="F30" s="1">
        <f t="shared" si="0"/>
        <v>0</v>
      </c>
      <c r="G30" s="1">
        <f>_xlfn.XLOOKUP(C30,'Ocupação DW'!$F:$F,'Ocupação DW'!$E:$E,"",0)</f>
        <v>0</v>
      </c>
      <c r="H30" t="str">
        <f>Vagas[[#This Row],[data]]&amp;Vagas[[#This Row],[profissional_id]]&amp;Vagas[[#This Row],[local_id]]</f>
        <v>44635110</v>
      </c>
    </row>
    <row r="31" spans="1:8" x14ac:dyDescent="0.25">
      <c r="A31" s="2">
        <v>44635</v>
      </c>
      <c r="B31">
        <v>110</v>
      </c>
      <c r="C31">
        <v>334</v>
      </c>
      <c r="D31">
        <v>0</v>
      </c>
      <c r="E31">
        <v>0</v>
      </c>
      <c r="F31" s="1">
        <f t="shared" si="0"/>
        <v>19</v>
      </c>
      <c r="G31" s="1" t="str">
        <f>_xlfn.XLOOKUP(C31,'Ocupação DW'!$F:$F,'Ocupação DW'!$E:$E,"",0)</f>
        <v>SEG - FILIAL I</v>
      </c>
      <c r="H31" t="str">
        <f>Vagas[[#This Row],[data]]&amp;Vagas[[#This Row],[profissional_id]]&amp;Vagas[[#This Row],[local_id]]</f>
        <v>44635110334</v>
      </c>
    </row>
    <row r="32" spans="1:8" x14ac:dyDescent="0.25">
      <c r="A32" s="2">
        <v>44635</v>
      </c>
      <c r="B32">
        <v>111</v>
      </c>
      <c r="C32">
        <v>51</v>
      </c>
      <c r="D32">
        <v>0</v>
      </c>
      <c r="E32">
        <v>0</v>
      </c>
      <c r="F32" s="1">
        <f t="shared" si="0"/>
        <v>0</v>
      </c>
      <c r="G32" s="1" t="str">
        <f>_xlfn.XLOOKUP(C32,'Ocupação DW'!$F:$F,'Ocupação DW'!$E:$E,"",0)</f>
        <v>SEG - FILIAL I</v>
      </c>
      <c r="H32" t="str">
        <f>Vagas[[#This Row],[data]]&amp;Vagas[[#This Row],[profissional_id]]&amp;Vagas[[#This Row],[local_id]]</f>
        <v>4463511151</v>
      </c>
    </row>
    <row r="33" spans="1:8" x14ac:dyDescent="0.25">
      <c r="A33" s="2">
        <v>44635</v>
      </c>
      <c r="B33">
        <v>118</v>
      </c>
      <c r="C33">
        <v>365</v>
      </c>
      <c r="D33">
        <v>41</v>
      </c>
      <c r="E33">
        <v>0</v>
      </c>
      <c r="F33" s="1">
        <f t="shared" si="0"/>
        <v>0</v>
      </c>
      <c r="G33" s="1" t="str">
        <f>_xlfn.XLOOKUP(C33,'Ocupação DW'!$F:$F,'Ocupação DW'!$E:$E,"",0)</f>
        <v/>
      </c>
      <c r="H33" t="str">
        <f>Vagas[[#This Row],[data]]&amp;Vagas[[#This Row],[profissional_id]]&amp;Vagas[[#This Row],[local_id]]</f>
        <v>44635118365</v>
      </c>
    </row>
    <row r="34" spans="1:8" x14ac:dyDescent="0.25">
      <c r="A34" s="2">
        <v>44635</v>
      </c>
      <c r="B34">
        <v>123</v>
      </c>
      <c r="D34">
        <v>11</v>
      </c>
      <c r="E34">
        <v>0</v>
      </c>
      <c r="F34" s="1">
        <f t="shared" si="0"/>
        <v>0</v>
      </c>
      <c r="G34" s="1">
        <f>_xlfn.XLOOKUP(C34,'Ocupação DW'!$F:$F,'Ocupação DW'!$E:$E,"",0)</f>
        <v>0</v>
      </c>
      <c r="H34" t="str">
        <f>Vagas[[#This Row],[data]]&amp;Vagas[[#This Row],[profissional_id]]&amp;Vagas[[#This Row],[local_id]]</f>
        <v>44635123</v>
      </c>
    </row>
    <row r="35" spans="1:8" x14ac:dyDescent="0.25">
      <c r="A35" s="2">
        <v>44635</v>
      </c>
      <c r="B35">
        <v>123</v>
      </c>
      <c r="C35">
        <v>351</v>
      </c>
      <c r="D35">
        <v>11</v>
      </c>
      <c r="E35">
        <v>0</v>
      </c>
      <c r="F35" s="1">
        <f t="shared" si="0"/>
        <v>0</v>
      </c>
      <c r="G35" s="1" t="str">
        <f>_xlfn.XLOOKUP(C35,'Ocupação DW'!$F:$F,'Ocupação DW'!$E:$E,"",0)</f>
        <v>SEG - FILIAL I</v>
      </c>
      <c r="H35" t="str">
        <f>Vagas[[#This Row],[data]]&amp;Vagas[[#This Row],[profissional_id]]&amp;Vagas[[#This Row],[local_id]]</f>
        <v>44635123351</v>
      </c>
    </row>
    <row r="36" spans="1:8" x14ac:dyDescent="0.25">
      <c r="A36" s="2">
        <v>44635</v>
      </c>
      <c r="B36">
        <v>129</v>
      </c>
      <c r="C36">
        <v>365</v>
      </c>
      <c r="D36">
        <v>41</v>
      </c>
      <c r="E36">
        <v>0</v>
      </c>
      <c r="F36" s="1">
        <f t="shared" si="0"/>
        <v>0</v>
      </c>
      <c r="G36" s="1" t="str">
        <f>_xlfn.XLOOKUP(C36,'Ocupação DW'!$F:$F,'Ocupação DW'!$E:$E,"",0)</f>
        <v/>
      </c>
      <c r="H36" t="str">
        <f>Vagas[[#This Row],[data]]&amp;Vagas[[#This Row],[profissional_id]]&amp;Vagas[[#This Row],[local_id]]</f>
        <v>44635129365</v>
      </c>
    </row>
    <row r="37" spans="1:8" x14ac:dyDescent="0.25">
      <c r="A37" s="2">
        <v>44635</v>
      </c>
      <c r="B37">
        <v>174</v>
      </c>
      <c r="C37">
        <v>24</v>
      </c>
      <c r="D37">
        <v>66</v>
      </c>
      <c r="E37">
        <v>0</v>
      </c>
      <c r="F37" s="1">
        <f t="shared" si="0"/>
        <v>0</v>
      </c>
      <c r="G37" s="1" t="str">
        <f>_xlfn.XLOOKUP(C37,'Ocupação DW'!$F:$F,'Ocupação DW'!$E:$E,"",0)</f>
        <v>SEG - MATRIZ</v>
      </c>
      <c r="H37" t="str">
        <f>Vagas[[#This Row],[data]]&amp;Vagas[[#This Row],[profissional_id]]&amp;Vagas[[#This Row],[local_id]]</f>
        <v>4463517424</v>
      </c>
    </row>
    <row r="38" spans="1:8" x14ac:dyDescent="0.25">
      <c r="A38" s="2">
        <v>44635</v>
      </c>
      <c r="B38">
        <v>266</v>
      </c>
      <c r="C38">
        <v>42</v>
      </c>
      <c r="D38">
        <v>0</v>
      </c>
      <c r="E38">
        <v>0</v>
      </c>
      <c r="F38" s="1">
        <f t="shared" si="0"/>
        <v>0</v>
      </c>
      <c r="G38" s="1" t="str">
        <f>_xlfn.XLOOKUP(C38,'Ocupação DW'!$F:$F,'Ocupação DW'!$E:$E,"",0)</f>
        <v>SEG - FILIAL I</v>
      </c>
      <c r="H38" t="str">
        <f>Vagas[[#This Row],[data]]&amp;Vagas[[#This Row],[profissional_id]]&amp;Vagas[[#This Row],[local_id]]</f>
        <v>4463526642</v>
      </c>
    </row>
    <row r="39" spans="1:8" x14ac:dyDescent="0.25">
      <c r="A39" s="2">
        <v>44635</v>
      </c>
      <c r="B39">
        <v>282</v>
      </c>
      <c r="D39">
        <v>134</v>
      </c>
      <c r="E39">
        <v>0</v>
      </c>
      <c r="F39" s="1">
        <f t="shared" si="0"/>
        <v>0</v>
      </c>
      <c r="G39" s="1">
        <f>_xlfn.XLOOKUP(C39,'Ocupação DW'!$F:$F,'Ocupação DW'!$E:$E,"",0)</f>
        <v>0</v>
      </c>
      <c r="H39" t="str">
        <f>Vagas[[#This Row],[data]]&amp;Vagas[[#This Row],[profissional_id]]&amp;Vagas[[#This Row],[local_id]]</f>
        <v>44635282</v>
      </c>
    </row>
    <row r="40" spans="1:8" x14ac:dyDescent="0.25">
      <c r="A40" s="2">
        <v>44635</v>
      </c>
      <c r="B40">
        <v>282</v>
      </c>
      <c r="C40">
        <v>39</v>
      </c>
      <c r="D40">
        <v>50</v>
      </c>
      <c r="E40">
        <v>0</v>
      </c>
      <c r="F40" s="1">
        <f t="shared" si="0"/>
        <v>0</v>
      </c>
      <c r="G40" s="1" t="str">
        <f>_xlfn.XLOOKUP(C40,'Ocupação DW'!$F:$F,'Ocupação DW'!$E:$E,"",0)</f>
        <v>SEG - FILIAL I</v>
      </c>
      <c r="H40" t="str">
        <f>Vagas[[#This Row],[data]]&amp;Vagas[[#This Row],[profissional_id]]&amp;Vagas[[#This Row],[local_id]]</f>
        <v>4463528239</v>
      </c>
    </row>
    <row r="41" spans="1:8" x14ac:dyDescent="0.25">
      <c r="A41" s="2">
        <v>44635</v>
      </c>
      <c r="B41">
        <v>282</v>
      </c>
      <c r="C41">
        <v>48</v>
      </c>
      <c r="D41">
        <v>0</v>
      </c>
      <c r="E41">
        <v>0</v>
      </c>
      <c r="F41" s="1">
        <f t="shared" si="0"/>
        <v>50</v>
      </c>
      <c r="G41" s="1" t="str">
        <f>_xlfn.XLOOKUP(C41,'Ocupação DW'!$F:$F,'Ocupação DW'!$E:$E,"",0)</f>
        <v>SEG - FILIAL I</v>
      </c>
      <c r="H41" t="str">
        <f>Vagas[[#This Row],[data]]&amp;Vagas[[#This Row],[profissional_id]]&amp;Vagas[[#This Row],[local_id]]</f>
        <v>4463528248</v>
      </c>
    </row>
    <row r="42" spans="1:8" x14ac:dyDescent="0.25">
      <c r="A42" s="2">
        <v>44635</v>
      </c>
      <c r="B42">
        <v>1343</v>
      </c>
      <c r="D42">
        <v>13</v>
      </c>
      <c r="E42">
        <v>0</v>
      </c>
      <c r="F42" s="1">
        <f t="shared" si="0"/>
        <v>0</v>
      </c>
      <c r="G42" s="1">
        <f>_xlfn.XLOOKUP(C42,'Ocupação DW'!$F:$F,'Ocupação DW'!$E:$E,"",0)</f>
        <v>0</v>
      </c>
      <c r="H42" t="str">
        <f>Vagas[[#This Row],[data]]&amp;Vagas[[#This Row],[profissional_id]]&amp;Vagas[[#This Row],[local_id]]</f>
        <v>446351343</v>
      </c>
    </row>
    <row r="43" spans="1:8" x14ac:dyDescent="0.25">
      <c r="A43" s="2">
        <v>44635</v>
      </c>
      <c r="B43">
        <v>1343</v>
      </c>
      <c r="C43">
        <v>80</v>
      </c>
      <c r="D43">
        <v>0</v>
      </c>
      <c r="E43">
        <v>0</v>
      </c>
      <c r="F43" s="1">
        <f t="shared" si="0"/>
        <v>13</v>
      </c>
      <c r="G43" s="1" t="str">
        <f>_xlfn.XLOOKUP(C43,'Ocupação DW'!$F:$F,'Ocupação DW'!$E:$E,"",0)</f>
        <v>SEG - MIGUEL COUTO</v>
      </c>
      <c r="H43" t="str">
        <f>Vagas[[#This Row],[data]]&amp;Vagas[[#This Row],[profissional_id]]&amp;Vagas[[#This Row],[local_id]]</f>
        <v>44635134380</v>
      </c>
    </row>
    <row r="44" spans="1:8" x14ac:dyDescent="0.25">
      <c r="A44" s="2">
        <v>44635</v>
      </c>
      <c r="B44">
        <v>1490</v>
      </c>
      <c r="D44">
        <v>0</v>
      </c>
      <c r="E44">
        <v>0</v>
      </c>
      <c r="F44" s="1">
        <f t="shared" si="0"/>
        <v>0</v>
      </c>
      <c r="G44" s="1">
        <f>_xlfn.XLOOKUP(C44,'Ocupação DW'!$F:$F,'Ocupação DW'!$E:$E,"",0)</f>
        <v>0</v>
      </c>
      <c r="H44" t="str">
        <f>Vagas[[#This Row],[data]]&amp;Vagas[[#This Row],[profissional_id]]&amp;Vagas[[#This Row],[local_id]]</f>
        <v>446351490</v>
      </c>
    </row>
    <row r="45" spans="1:8" x14ac:dyDescent="0.25">
      <c r="A45" s="2">
        <v>44635</v>
      </c>
      <c r="B45">
        <v>1586</v>
      </c>
      <c r="C45">
        <v>67</v>
      </c>
      <c r="D45">
        <v>0</v>
      </c>
      <c r="E45">
        <v>0</v>
      </c>
      <c r="F45" s="1">
        <f t="shared" si="0"/>
        <v>0</v>
      </c>
      <c r="G45" s="1" t="str">
        <f>_xlfn.XLOOKUP(C45,'Ocupação DW'!$F:$F,'Ocupação DW'!$E:$E,"",0)</f>
        <v>SEG - NILÓPOLIS</v>
      </c>
      <c r="H45" t="str">
        <f>Vagas[[#This Row],[data]]&amp;Vagas[[#This Row],[profissional_id]]&amp;Vagas[[#This Row],[local_id]]</f>
        <v>44635158667</v>
      </c>
    </row>
    <row r="46" spans="1:8" x14ac:dyDescent="0.25">
      <c r="A46" s="2">
        <v>44635</v>
      </c>
      <c r="B46">
        <v>2036</v>
      </c>
      <c r="C46">
        <v>368</v>
      </c>
      <c r="D46">
        <v>41</v>
      </c>
      <c r="E46">
        <v>0</v>
      </c>
      <c r="F46" s="1">
        <f t="shared" si="0"/>
        <v>0</v>
      </c>
      <c r="G46" s="1" t="str">
        <f>_xlfn.XLOOKUP(C46,'Ocupação DW'!$F:$F,'Ocupação DW'!$E:$E,"",0)</f>
        <v/>
      </c>
      <c r="H46" t="str">
        <f>Vagas[[#This Row],[data]]&amp;Vagas[[#This Row],[profissional_id]]&amp;Vagas[[#This Row],[local_id]]</f>
        <v>446352036368</v>
      </c>
    </row>
    <row r="47" spans="1:8" x14ac:dyDescent="0.25">
      <c r="A47" s="2">
        <v>44635</v>
      </c>
      <c r="B47">
        <v>2334</v>
      </c>
      <c r="D47">
        <v>0</v>
      </c>
      <c r="E47">
        <v>0</v>
      </c>
      <c r="F47" s="1">
        <f t="shared" si="0"/>
        <v>0</v>
      </c>
      <c r="G47" s="1">
        <f>_xlfn.XLOOKUP(C47,'Ocupação DW'!$F:$F,'Ocupação DW'!$E:$E,"",0)</f>
        <v>0</v>
      </c>
      <c r="H47" t="str">
        <f>Vagas[[#This Row],[data]]&amp;Vagas[[#This Row],[profissional_id]]&amp;Vagas[[#This Row],[local_id]]</f>
        <v>446352334</v>
      </c>
    </row>
    <row r="48" spans="1:8" x14ac:dyDescent="0.25">
      <c r="A48" s="2">
        <v>44635</v>
      </c>
      <c r="B48">
        <v>2730</v>
      </c>
      <c r="C48">
        <v>3</v>
      </c>
      <c r="D48">
        <v>15</v>
      </c>
      <c r="E48">
        <v>0</v>
      </c>
      <c r="F48" s="1">
        <f t="shared" si="0"/>
        <v>0</v>
      </c>
      <c r="G48" s="1" t="str">
        <f>_xlfn.XLOOKUP(C48,'Ocupação DW'!$F:$F,'Ocupação DW'!$E:$E,"",0)</f>
        <v>SEG - FILIAL II 10°</v>
      </c>
      <c r="H48" t="str">
        <f>Vagas[[#This Row],[data]]&amp;Vagas[[#This Row],[profissional_id]]&amp;Vagas[[#This Row],[local_id]]</f>
        <v>4463527303</v>
      </c>
    </row>
    <row r="49" spans="1:8" x14ac:dyDescent="0.25">
      <c r="A49" s="2">
        <v>44635</v>
      </c>
      <c r="B49">
        <v>2984</v>
      </c>
      <c r="C49">
        <v>7</v>
      </c>
      <c r="D49">
        <v>0</v>
      </c>
      <c r="E49">
        <v>0</v>
      </c>
      <c r="F49" s="1">
        <f t="shared" si="0"/>
        <v>0</v>
      </c>
      <c r="G49" s="1" t="str">
        <f>_xlfn.XLOOKUP(C49,'Ocupação DW'!$F:$F,'Ocupação DW'!$E:$E,"",0)</f>
        <v>SEG - FILIAL II 10°</v>
      </c>
      <c r="H49" t="str">
        <f>Vagas[[#This Row],[data]]&amp;Vagas[[#This Row],[profissional_id]]&amp;Vagas[[#This Row],[local_id]]</f>
        <v>4463529847</v>
      </c>
    </row>
    <row r="50" spans="1:8" x14ac:dyDescent="0.25">
      <c r="A50" s="2">
        <v>44635</v>
      </c>
      <c r="B50">
        <v>3092</v>
      </c>
      <c r="D50">
        <v>0</v>
      </c>
      <c r="E50">
        <v>0</v>
      </c>
      <c r="F50" s="1">
        <f t="shared" si="0"/>
        <v>0</v>
      </c>
      <c r="G50" s="1">
        <f>_xlfn.XLOOKUP(C50,'Ocupação DW'!$F:$F,'Ocupação DW'!$E:$E,"",0)</f>
        <v>0</v>
      </c>
      <c r="H50" t="str">
        <f>Vagas[[#This Row],[data]]&amp;Vagas[[#This Row],[profissional_id]]&amp;Vagas[[#This Row],[local_id]]</f>
        <v>446353092</v>
      </c>
    </row>
    <row r="51" spans="1:8" x14ac:dyDescent="0.25">
      <c r="A51" s="2">
        <v>44635</v>
      </c>
      <c r="B51">
        <v>3502</v>
      </c>
      <c r="D51">
        <v>61</v>
      </c>
      <c r="E51">
        <v>0</v>
      </c>
      <c r="F51" s="1">
        <f t="shared" si="0"/>
        <v>0</v>
      </c>
      <c r="G51" s="1">
        <f>_xlfn.XLOOKUP(C51,'Ocupação DW'!$F:$F,'Ocupação DW'!$E:$E,"",0)</f>
        <v>0</v>
      </c>
      <c r="H51" t="str">
        <f>Vagas[[#This Row],[data]]&amp;Vagas[[#This Row],[profissional_id]]&amp;Vagas[[#This Row],[local_id]]</f>
        <v>446353502</v>
      </c>
    </row>
    <row r="52" spans="1:8" x14ac:dyDescent="0.25">
      <c r="A52" s="2">
        <v>44635</v>
      </c>
      <c r="B52">
        <v>3502</v>
      </c>
      <c r="C52">
        <v>16</v>
      </c>
      <c r="D52">
        <v>0</v>
      </c>
      <c r="E52">
        <v>0</v>
      </c>
      <c r="F52" s="1">
        <f t="shared" si="0"/>
        <v>61</v>
      </c>
      <c r="G52" s="1" t="str">
        <f>_xlfn.XLOOKUP(C52,'Ocupação DW'!$F:$F,'Ocupação DW'!$E:$E,"",0)</f>
        <v>SEG - FILIAL II 11°</v>
      </c>
      <c r="H52" t="str">
        <f>Vagas[[#This Row],[data]]&amp;Vagas[[#This Row],[profissional_id]]&amp;Vagas[[#This Row],[local_id]]</f>
        <v>44635350216</v>
      </c>
    </row>
    <row r="53" spans="1:8" x14ac:dyDescent="0.25">
      <c r="A53" s="2">
        <v>44635</v>
      </c>
      <c r="B53">
        <v>4433</v>
      </c>
      <c r="C53">
        <v>341</v>
      </c>
      <c r="D53">
        <v>72</v>
      </c>
      <c r="E53">
        <v>0</v>
      </c>
      <c r="F53" s="1">
        <f t="shared" si="0"/>
        <v>0</v>
      </c>
      <c r="G53" s="1" t="str">
        <f>_xlfn.XLOOKUP(C53,'Ocupação DW'!$F:$F,'Ocupação DW'!$E:$E,"",0)</f>
        <v/>
      </c>
      <c r="H53" t="str">
        <f>Vagas[[#This Row],[data]]&amp;Vagas[[#This Row],[profissional_id]]&amp;Vagas[[#This Row],[local_id]]</f>
        <v>446354433341</v>
      </c>
    </row>
    <row r="54" spans="1:8" x14ac:dyDescent="0.25">
      <c r="A54" s="2">
        <v>44635</v>
      </c>
      <c r="B54">
        <v>4814</v>
      </c>
      <c r="C54">
        <v>17</v>
      </c>
      <c r="D54">
        <v>0</v>
      </c>
      <c r="E54">
        <v>0</v>
      </c>
      <c r="F54" s="1">
        <f t="shared" si="0"/>
        <v>0</v>
      </c>
      <c r="G54" s="1" t="str">
        <f>_xlfn.XLOOKUP(C54,'Ocupação DW'!$F:$F,'Ocupação DW'!$E:$E,"",0)</f>
        <v>SEG - FILIAL II 11°</v>
      </c>
      <c r="H54" t="str">
        <f>Vagas[[#This Row],[data]]&amp;Vagas[[#This Row],[profissional_id]]&amp;Vagas[[#This Row],[local_id]]</f>
        <v>44635481417</v>
      </c>
    </row>
    <row r="55" spans="1:8" x14ac:dyDescent="0.25">
      <c r="A55" s="2">
        <v>44635</v>
      </c>
      <c r="B55">
        <v>6046</v>
      </c>
      <c r="D55">
        <v>0</v>
      </c>
      <c r="E55">
        <v>0</v>
      </c>
      <c r="F55" s="1">
        <f t="shared" si="0"/>
        <v>0</v>
      </c>
      <c r="G55" s="1">
        <f>_xlfn.XLOOKUP(C55,'Ocupação DW'!$F:$F,'Ocupação DW'!$E:$E,"",0)</f>
        <v>0</v>
      </c>
      <c r="H55" t="str">
        <f>Vagas[[#This Row],[data]]&amp;Vagas[[#This Row],[profissional_id]]&amp;Vagas[[#This Row],[local_id]]</f>
        <v>446356046</v>
      </c>
    </row>
    <row r="56" spans="1:8" x14ac:dyDescent="0.25">
      <c r="A56" s="2">
        <v>44635</v>
      </c>
      <c r="B56">
        <v>6430</v>
      </c>
      <c r="D56">
        <v>0</v>
      </c>
      <c r="E56">
        <v>0</v>
      </c>
      <c r="F56" s="1">
        <f t="shared" si="0"/>
        <v>0</v>
      </c>
      <c r="G56" s="1">
        <f>_xlfn.XLOOKUP(C56,'Ocupação DW'!$F:$F,'Ocupação DW'!$E:$E,"",0)</f>
        <v>0</v>
      </c>
      <c r="H56" t="str">
        <f>Vagas[[#This Row],[data]]&amp;Vagas[[#This Row],[profissional_id]]&amp;Vagas[[#This Row],[local_id]]</f>
        <v>446356430</v>
      </c>
    </row>
    <row r="57" spans="1:8" x14ac:dyDescent="0.25">
      <c r="A57" s="2">
        <v>44635</v>
      </c>
      <c r="B57">
        <v>6839</v>
      </c>
      <c r="C57">
        <v>60</v>
      </c>
      <c r="D57">
        <v>60</v>
      </c>
      <c r="E57">
        <v>0</v>
      </c>
      <c r="F57" s="1">
        <f t="shared" si="0"/>
        <v>0</v>
      </c>
      <c r="G57" s="1" t="str">
        <f>_xlfn.XLOOKUP(C57,'Ocupação DW'!$F:$F,'Ocupação DW'!$E:$E,"",0)</f>
        <v>SEG - NILÓPOLIS</v>
      </c>
      <c r="H57" t="str">
        <f>Vagas[[#This Row],[data]]&amp;Vagas[[#This Row],[profissional_id]]&amp;Vagas[[#This Row],[local_id]]</f>
        <v>44635683960</v>
      </c>
    </row>
    <row r="58" spans="1:8" x14ac:dyDescent="0.25">
      <c r="A58" s="2">
        <v>44635</v>
      </c>
      <c r="B58">
        <v>7290</v>
      </c>
      <c r="C58">
        <v>18</v>
      </c>
      <c r="D58">
        <v>0</v>
      </c>
      <c r="E58">
        <v>6</v>
      </c>
      <c r="F58" s="1">
        <f t="shared" si="0"/>
        <v>0</v>
      </c>
      <c r="G58" s="1" t="str">
        <f>_xlfn.XLOOKUP(C58,'Ocupação DW'!$F:$F,'Ocupação DW'!$E:$E,"",0)</f>
        <v>SEG - FILIAL II 11°</v>
      </c>
      <c r="H58" t="str">
        <f>Vagas[[#This Row],[data]]&amp;Vagas[[#This Row],[profissional_id]]&amp;Vagas[[#This Row],[local_id]]</f>
        <v>44635729018</v>
      </c>
    </row>
    <row r="59" spans="1:8" x14ac:dyDescent="0.25">
      <c r="A59" s="2">
        <v>44635</v>
      </c>
      <c r="B59">
        <v>7900</v>
      </c>
      <c r="C59">
        <v>368</v>
      </c>
      <c r="D59">
        <v>41</v>
      </c>
      <c r="E59">
        <v>0</v>
      </c>
      <c r="F59" s="1">
        <f t="shared" si="0"/>
        <v>0</v>
      </c>
      <c r="G59" s="1" t="str">
        <f>_xlfn.XLOOKUP(C59,'Ocupação DW'!$F:$F,'Ocupação DW'!$E:$E,"",0)</f>
        <v/>
      </c>
      <c r="H59" t="str">
        <f>Vagas[[#This Row],[data]]&amp;Vagas[[#This Row],[profissional_id]]&amp;Vagas[[#This Row],[local_id]]</f>
        <v>446357900368</v>
      </c>
    </row>
    <row r="60" spans="1:8" x14ac:dyDescent="0.25">
      <c r="A60" s="2">
        <v>44635</v>
      </c>
      <c r="B60">
        <v>8223</v>
      </c>
      <c r="C60">
        <v>368</v>
      </c>
      <c r="D60">
        <v>41</v>
      </c>
      <c r="E60">
        <v>0</v>
      </c>
      <c r="F60" s="1">
        <f t="shared" si="0"/>
        <v>0</v>
      </c>
      <c r="G60" s="1" t="str">
        <f>_xlfn.XLOOKUP(C60,'Ocupação DW'!$F:$F,'Ocupação DW'!$E:$E,"",0)</f>
        <v/>
      </c>
      <c r="H60" t="str">
        <f>Vagas[[#This Row],[data]]&amp;Vagas[[#This Row],[profissional_id]]&amp;Vagas[[#This Row],[local_id]]</f>
        <v>446358223368</v>
      </c>
    </row>
    <row r="61" spans="1:8" x14ac:dyDescent="0.25">
      <c r="A61" s="2">
        <v>44635</v>
      </c>
      <c r="B61">
        <v>8239</v>
      </c>
      <c r="C61">
        <v>14</v>
      </c>
      <c r="D61">
        <v>0</v>
      </c>
      <c r="E61">
        <v>0</v>
      </c>
      <c r="F61" s="1">
        <f t="shared" si="0"/>
        <v>0</v>
      </c>
      <c r="G61" s="1" t="str">
        <f>_xlfn.XLOOKUP(C61,'Ocupação DW'!$F:$F,'Ocupação DW'!$E:$E,"",0)</f>
        <v>SEG - FILIAL II 11°</v>
      </c>
      <c r="H61" t="str">
        <f>Vagas[[#This Row],[data]]&amp;Vagas[[#This Row],[profissional_id]]&amp;Vagas[[#This Row],[local_id]]</f>
        <v>44635823914</v>
      </c>
    </row>
    <row r="62" spans="1:8" x14ac:dyDescent="0.25">
      <c r="A62" s="2">
        <v>44635</v>
      </c>
      <c r="B62">
        <v>8239</v>
      </c>
      <c r="C62">
        <v>345</v>
      </c>
      <c r="D62">
        <v>0</v>
      </c>
      <c r="E62">
        <v>0</v>
      </c>
      <c r="F62" s="1">
        <f t="shared" si="0"/>
        <v>0</v>
      </c>
      <c r="G62" s="1" t="str">
        <f>_xlfn.XLOOKUP(C62,'Ocupação DW'!$F:$F,'Ocupação DW'!$E:$E,"",0)</f>
        <v>SEG - MATRIZ</v>
      </c>
      <c r="H62" t="str">
        <f>Vagas[[#This Row],[data]]&amp;Vagas[[#This Row],[profissional_id]]&amp;Vagas[[#This Row],[local_id]]</f>
        <v>446358239345</v>
      </c>
    </row>
    <row r="63" spans="1:8" x14ac:dyDescent="0.25">
      <c r="A63" s="2">
        <v>44635</v>
      </c>
      <c r="B63">
        <v>8598</v>
      </c>
      <c r="D63">
        <v>0</v>
      </c>
      <c r="E63">
        <v>0</v>
      </c>
      <c r="F63" s="1">
        <f t="shared" si="0"/>
        <v>0</v>
      </c>
      <c r="G63" s="1">
        <f>_xlfn.XLOOKUP(C63,'Ocupação DW'!$F:$F,'Ocupação DW'!$E:$E,"",0)</f>
        <v>0</v>
      </c>
      <c r="H63" t="str">
        <f>Vagas[[#This Row],[data]]&amp;Vagas[[#This Row],[profissional_id]]&amp;Vagas[[#This Row],[local_id]]</f>
        <v>446358598</v>
      </c>
    </row>
    <row r="64" spans="1:8" x14ac:dyDescent="0.25">
      <c r="A64" s="2">
        <v>44635</v>
      </c>
      <c r="B64">
        <v>9111</v>
      </c>
      <c r="D64">
        <v>37</v>
      </c>
      <c r="E64">
        <v>0</v>
      </c>
      <c r="F64" s="1">
        <f t="shared" si="0"/>
        <v>0</v>
      </c>
      <c r="G64" s="1">
        <f>_xlfn.XLOOKUP(C64,'Ocupação DW'!$F:$F,'Ocupação DW'!$E:$E,"",0)</f>
        <v>0</v>
      </c>
      <c r="H64" t="str">
        <f>Vagas[[#This Row],[data]]&amp;Vagas[[#This Row],[profissional_id]]&amp;Vagas[[#This Row],[local_id]]</f>
        <v>446359111</v>
      </c>
    </row>
    <row r="65" spans="1:8" x14ac:dyDescent="0.25">
      <c r="A65" s="2">
        <v>44635</v>
      </c>
      <c r="B65">
        <v>9111</v>
      </c>
      <c r="C65">
        <v>335</v>
      </c>
      <c r="D65">
        <v>0</v>
      </c>
      <c r="E65">
        <v>0</v>
      </c>
      <c r="F65" s="1">
        <f t="shared" si="0"/>
        <v>37</v>
      </c>
      <c r="G65" s="1" t="str">
        <f>_xlfn.XLOOKUP(C65,'Ocupação DW'!$F:$F,'Ocupação DW'!$E:$E,"",0)</f>
        <v>SEG - FILIAL I</v>
      </c>
      <c r="H65" t="str">
        <f>Vagas[[#This Row],[data]]&amp;Vagas[[#This Row],[profissional_id]]&amp;Vagas[[#This Row],[local_id]]</f>
        <v>446359111335</v>
      </c>
    </row>
    <row r="66" spans="1:8" x14ac:dyDescent="0.25">
      <c r="A66" s="2">
        <v>44635</v>
      </c>
      <c r="B66">
        <v>9123</v>
      </c>
      <c r="C66">
        <v>368</v>
      </c>
      <c r="D66">
        <v>41</v>
      </c>
      <c r="E66">
        <v>0</v>
      </c>
      <c r="F66" s="1">
        <f t="shared" ref="F66:F129" si="1">IF(AND(A66=A65,B66=B65,D65&lt;&gt;0,D66=0),D65,0)</f>
        <v>0</v>
      </c>
      <c r="G66" s="1" t="str">
        <f>_xlfn.XLOOKUP(C66,'Ocupação DW'!$F:$F,'Ocupação DW'!$E:$E,"",0)</f>
        <v/>
      </c>
      <c r="H66" t="str">
        <f>Vagas[[#This Row],[data]]&amp;Vagas[[#This Row],[profissional_id]]&amp;Vagas[[#This Row],[local_id]]</f>
        <v>446359123368</v>
      </c>
    </row>
    <row r="67" spans="1:8" x14ac:dyDescent="0.25">
      <c r="A67" s="2">
        <v>44635</v>
      </c>
      <c r="B67">
        <v>9138</v>
      </c>
      <c r="C67">
        <v>344</v>
      </c>
      <c r="D67">
        <v>0</v>
      </c>
      <c r="E67">
        <v>0</v>
      </c>
      <c r="F67" s="1">
        <f t="shared" si="1"/>
        <v>0</v>
      </c>
      <c r="G67" s="1" t="str">
        <f>_xlfn.XLOOKUP(C67,'Ocupação DW'!$F:$F,'Ocupação DW'!$E:$E,"",0)</f>
        <v>SEG - MATRIZ</v>
      </c>
      <c r="H67" t="str">
        <f>Vagas[[#This Row],[data]]&amp;Vagas[[#This Row],[profissional_id]]&amp;Vagas[[#This Row],[local_id]]</f>
        <v>446359138344</v>
      </c>
    </row>
    <row r="68" spans="1:8" x14ac:dyDescent="0.25">
      <c r="A68" s="2">
        <v>44635</v>
      </c>
      <c r="B68">
        <v>9237</v>
      </c>
      <c r="C68">
        <v>343</v>
      </c>
      <c r="D68">
        <v>108</v>
      </c>
      <c r="E68">
        <v>12</v>
      </c>
      <c r="F68" s="1">
        <f t="shared" si="1"/>
        <v>0</v>
      </c>
      <c r="G68" s="1" t="str">
        <f>_xlfn.XLOOKUP(C68,'Ocupação DW'!$F:$F,'Ocupação DW'!$E:$E,"",0)</f>
        <v/>
      </c>
      <c r="H68" t="str">
        <f>Vagas[[#This Row],[data]]&amp;Vagas[[#This Row],[profissional_id]]&amp;Vagas[[#This Row],[local_id]]</f>
        <v>446359237343</v>
      </c>
    </row>
    <row r="69" spans="1:8" x14ac:dyDescent="0.25">
      <c r="A69" s="2">
        <v>44635</v>
      </c>
      <c r="B69">
        <v>9717</v>
      </c>
      <c r="D69">
        <v>0</v>
      </c>
      <c r="E69">
        <v>0</v>
      </c>
      <c r="F69" s="1">
        <f t="shared" si="1"/>
        <v>0</v>
      </c>
      <c r="G69" s="1">
        <f>_xlfn.XLOOKUP(C69,'Ocupação DW'!$F:$F,'Ocupação DW'!$E:$E,"",0)</f>
        <v>0</v>
      </c>
      <c r="H69" t="str">
        <f>Vagas[[#This Row],[data]]&amp;Vagas[[#This Row],[profissional_id]]&amp;Vagas[[#This Row],[local_id]]</f>
        <v>446359717</v>
      </c>
    </row>
    <row r="70" spans="1:8" x14ac:dyDescent="0.25">
      <c r="A70" s="2">
        <v>44635</v>
      </c>
      <c r="B70">
        <v>10249</v>
      </c>
      <c r="D70">
        <v>0</v>
      </c>
      <c r="E70">
        <v>0</v>
      </c>
      <c r="F70" s="1">
        <f t="shared" si="1"/>
        <v>0</v>
      </c>
      <c r="G70" s="1">
        <f>_xlfn.XLOOKUP(C70,'Ocupação DW'!$F:$F,'Ocupação DW'!$E:$E,"",0)</f>
        <v>0</v>
      </c>
      <c r="H70" t="str">
        <f>Vagas[[#This Row],[data]]&amp;Vagas[[#This Row],[profissional_id]]&amp;Vagas[[#This Row],[local_id]]</f>
        <v>4463510249</v>
      </c>
    </row>
    <row r="71" spans="1:8" x14ac:dyDescent="0.25">
      <c r="A71" s="2">
        <v>44635</v>
      </c>
      <c r="B71">
        <v>10595</v>
      </c>
      <c r="D71">
        <v>0</v>
      </c>
      <c r="E71">
        <v>0</v>
      </c>
      <c r="F71" s="1">
        <f t="shared" si="1"/>
        <v>0</v>
      </c>
      <c r="G71" s="1">
        <f>_xlfn.XLOOKUP(C71,'Ocupação DW'!$F:$F,'Ocupação DW'!$E:$E,"",0)</f>
        <v>0</v>
      </c>
      <c r="H71" t="str">
        <f>Vagas[[#This Row],[data]]&amp;Vagas[[#This Row],[profissional_id]]&amp;Vagas[[#This Row],[local_id]]</f>
        <v>4463510595</v>
      </c>
    </row>
    <row r="72" spans="1:8" x14ac:dyDescent="0.25">
      <c r="A72" s="2">
        <v>44635</v>
      </c>
      <c r="B72">
        <v>10600</v>
      </c>
      <c r="C72">
        <v>86</v>
      </c>
      <c r="D72">
        <v>0</v>
      </c>
      <c r="E72">
        <v>0</v>
      </c>
      <c r="F72" s="1">
        <f t="shared" si="1"/>
        <v>0</v>
      </c>
      <c r="G72" s="1" t="str">
        <f>_xlfn.XLOOKUP(C72,'Ocupação DW'!$F:$F,'Ocupação DW'!$E:$E,"",0)</f>
        <v>SEG - MIGUEL COUTO</v>
      </c>
      <c r="H72" t="str">
        <f>Vagas[[#This Row],[data]]&amp;Vagas[[#This Row],[profissional_id]]&amp;Vagas[[#This Row],[local_id]]</f>
        <v>446351060086</v>
      </c>
    </row>
    <row r="73" spans="1:8" x14ac:dyDescent="0.25">
      <c r="A73" s="2">
        <v>44635</v>
      </c>
      <c r="B73">
        <v>10691</v>
      </c>
      <c r="D73">
        <v>0</v>
      </c>
      <c r="E73">
        <v>0</v>
      </c>
      <c r="F73" s="1">
        <f t="shared" si="1"/>
        <v>0</v>
      </c>
      <c r="G73" s="1">
        <f>_xlfn.XLOOKUP(C73,'Ocupação DW'!$F:$F,'Ocupação DW'!$E:$E,"",0)</f>
        <v>0</v>
      </c>
      <c r="H73" t="str">
        <f>Vagas[[#This Row],[data]]&amp;Vagas[[#This Row],[profissional_id]]&amp;Vagas[[#This Row],[local_id]]</f>
        <v>4463510691</v>
      </c>
    </row>
    <row r="74" spans="1:8" x14ac:dyDescent="0.25">
      <c r="A74" s="2">
        <v>44635</v>
      </c>
      <c r="B74">
        <v>10941</v>
      </c>
      <c r="C74">
        <v>11</v>
      </c>
      <c r="D74">
        <v>16</v>
      </c>
      <c r="E74">
        <v>0</v>
      </c>
      <c r="F74" s="1">
        <f t="shared" si="1"/>
        <v>0</v>
      </c>
      <c r="G74" s="1" t="str">
        <f>_xlfn.XLOOKUP(C74,'Ocupação DW'!$F:$F,'Ocupação DW'!$E:$E,"",0)</f>
        <v>SEG - FILIAL II 11°</v>
      </c>
      <c r="H74" t="str">
        <f>Vagas[[#This Row],[data]]&amp;Vagas[[#This Row],[profissional_id]]&amp;Vagas[[#This Row],[local_id]]</f>
        <v>446351094111</v>
      </c>
    </row>
    <row r="75" spans="1:8" x14ac:dyDescent="0.25">
      <c r="A75" s="2">
        <v>44635</v>
      </c>
      <c r="B75">
        <v>10941</v>
      </c>
      <c r="C75">
        <v>12</v>
      </c>
      <c r="D75">
        <v>0</v>
      </c>
      <c r="E75">
        <v>0</v>
      </c>
      <c r="F75" s="1">
        <f t="shared" si="1"/>
        <v>16</v>
      </c>
      <c r="G75" s="1" t="str">
        <f>_xlfn.XLOOKUP(C75,'Ocupação DW'!$F:$F,'Ocupação DW'!$E:$E,"",0)</f>
        <v>SEG - FILIAL II 11°</v>
      </c>
      <c r="H75" t="str">
        <f>Vagas[[#This Row],[data]]&amp;Vagas[[#This Row],[profissional_id]]&amp;Vagas[[#This Row],[local_id]]</f>
        <v>446351094112</v>
      </c>
    </row>
    <row r="76" spans="1:8" x14ac:dyDescent="0.25">
      <c r="A76" s="2">
        <v>44635</v>
      </c>
      <c r="B76">
        <v>10946</v>
      </c>
      <c r="D76">
        <v>0</v>
      </c>
      <c r="E76">
        <v>0</v>
      </c>
      <c r="F76" s="1">
        <f t="shared" si="1"/>
        <v>0</v>
      </c>
      <c r="G76" s="1">
        <f>_xlfn.XLOOKUP(C76,'Ocupação DW'!$F:$F,'Ocupação DW'!$E:$E,"",0)</f>
        <v>0</v>
      </c>
      <c r="H76" t="str">
        <f>Vagas[[#This Row],[data]]&amp;Vagas[[#This Row],[profissional_id]]&amp;Vagas[[#This Row],[local_id]]</f>
        <v>4463510946</v>
      </c>
    </row>
    <row r="77" spans="1:8" x14ac:dyDescent="0.25">
      <c r="A77" s="2">
        <v>44635</v>
      </c>
      <c r="B77">
        <v>11207</v>
      </c>
      <c r="C77">
        <v>51</v>
      </c>
      <c r="D77">
        <v>0</v>
      </c>
      <c r="E77">
        <v>0</v>
      </c>
      <c r="F77" s="1">
        <f t="shared" si="1"/>
        <v>0</v>
      </c>
      <c r="G77" s="1" t="str">
        <f>_xlfn.XLOOKUP(C77,'Ocupação DW'!$F:$F,'Ocupação DW'!$E:$E,"",0)</f>
        <v>SEG - FILIAL I</v>
      </c>
      <c r="H77" t="str">
        <f>Vagas[[#This Row],[data]]&amp;Vagas[[#This Row],[profissional_id]]&amp;Vagas[[#This Row],[local_id]]</f>
        <v>446351120751</v>
      </c>
    </row>
    <row r="78" spans="1:8" x14ac:dyDescent="0.25">
      <c r="A78" s="2">
        <v>44635</v>
      </c>
      <c r="B78">
        <v>11237</v>
      </c>
      <c r="C78">
        <v>46</v>
      </c>
      <c r="D78">
        <v>0</v>
      </c>
      <c r="E78">
        <v>0</v>
      </c>
      <c r="F78" s="1">
        <f t="shared" si="1"/>
        <v>0</v>
      </c>
      <c r="G78" s="1" t="str">
        <f>_xlfn.XLOOKUP(C78,'Ocupação DW'!$F:$F,'Ocupação DW'!$E:$E,"",0)</f>
        <v>SEG - FILIAL I</v>
      </c>
      <c r="H78" t="str">
        <f>Vagas[[#This Row],[data]]&amp;Vagas[[#This Row],[profissional_id]]&amp;Vagas[[#This Row],[local_id]]</f>
        <v>446351123746</v>
      </c>
    </row>
    <row r="79" spans="1:8" x14ac:dyDescent="0.25">
      <c r="A79" s="2">
        <v>44635</v>
      </c>
      <c r="B79">
        <v>11242</v>
      </c>
      <c r="C79">
        <v>341</v>
      </c>
      <c r="D79">
        <v>60</v>
      </c>
      <c r="E79">
        <v>0</v>
      </c>
      <c r="F79" s="1">
        <f t="shared" si="1"/>
        <v>0</v>
      </c>
      <c r="G79" s="1" t="str">
        <f>_xlfn.XLOOKUP(C79,'Ocupação DW'!$F:$F,'Ocupação DW'!$E:$E,"",0)</f>
        <v/>
      </c>
      <c r="H79" t="str">
        <f>Vagas[[#This Row],[data]]&amp;Vagas[[#This Row],[profissional_id]]&amp;Vagas[[#This Row],[local_id]]</f>
        <v>4463511242341</v>
      </c>
    </row>
    <row r="80" spans="1:8" x14ac:dyDescent="0.25">
      <c r="A80" s="2">
        <v>44635</v>
      </c>
      <c r="B80">
        <v>11397</v>
      </c>
      <c r="C80">
        <v>344</v>
      </c>
      <c r="D80">
        <v>72</v>
      </c>
      <c r="E80">
        <v>0</v>
      </c>
      <c r="F80" s="1">
        <f t="shared" si="1"/>
        <v>0</v>
      </c>
      <c r="G80" s="1" t="str">
        <f>_xlfn.XLOOKUP(C80,'Ocupação DW'!$F:$F,'Ocupação DW'!$E:$E,"",0)</f>
        <v>SEG - MATRIZ</v>
      </c>
      <c r="H80" t="str">
        <f>Vagas[[#This Row],[data]]&amp;Vagas[[#This Row],[profissional_id]]&amp;Vagas[[#This Row],[local_id]]</f>
        <v>4463511397344</v>
      </c>
    </row>
    <row r="81" spans="1:8" x14ac:dyDescent="0.25">
      <c r="A81" s="2">
        <v>44635</v>
      </c>
      <c r="B81">
        <v>11634</v>
      </c>
      <c r="C81">
        <v>348</v>
      </c>
      <c r="D81">
        <v>120</v>
      </c>
      <c r="E81">
        <v>0</v>
      </c>
      <c r="F81" s="1">
        <f t="shared" si="1"/>
        <v>0</v>
      </c>
      <c r="G81" s="1" t="str">
        <f>_xlfn.XLOOKUP(C81,'Ocupação DW'!$F:$F,'Ocupação DW'!$E:$E,"",0)</f>
        <v>SEG - MATRIZ</v>
      </c>
      <c r="H81" t="str">
        <f>Vagas[[#This Row],[data]]&amp;Vagas[[#This Row],[profissional_id]]&amp;Vagas[[#This Row],[local_id]]</f>
        <v>4463511634348</v>
      </c>
    </row>
    <row r="82" spans="1:8" x14ac:dyDescent="0.25">
      <c r="A82" s="2">
        <v>44635</v>
      </c>
      <c r="B82">
        <v>11652</v>
      </c>
      <c r="C82">
        <v>47</v>
      </c>
      <c r="D82">
        <v>0</v>
      </c>
      <c r="E82">
        <v>0</v>
      </c>
      <c r="F82" s="1">
        <f t="shared" si="1"/>
        <v>0</v>
      </c>
      <c r="G82" s="1" t="str">
        <f>_xlfn.XLOOKUP(C82,'Ocupação DW'!$F:$F,'Ocupação DW'!$E:$E,"",0)</f>
        <v>SEG - FILIAL I</v>
      </c>
      <c r="H82" t="str">
        <f>Vagas[[#This Row],[data]]&amp;Vagas[[#This Row],[profissional_id]]&amp;Vagas[[#This Row],[local_id]]</f>
        <v>446351165247</v>
      </c>
    </row>
    <row r="83" spans="1:8" x14ac:dyDescent="0.25">
      <c r="A83" s="2">
        <v>44635</v>
      </c>
      <c r="B83">
        <v>12369</v>
      </c>
      <c r="D83">
        <v>0</v>
      </c>
      <c r="E83">
        <v>0</v>
      </c>
      <c r="F83" s="1">
        <f t="shared" si="1"/>
        <v>0</v>
      </c>
      <c r="G83" s="1">
        <f>_xlfn.XLOOKUP(C83,'Ocupação DW'!$F:$F,'Ocupação DW'!$E:$E,"",0)</f>
        <v>0</v>
      </c>
      <c r="H83" t="str">
        <f>Vagas[[#This Row],[data]]&amp;Vagas[[#This Row],[profissional_id]]&amp;Vagas[[#This Row],[local_id]]</f>
        <v>4463512369</v>
      </c>
    </row>
    <row r="84" spans="1:8" x14ac:dyDescent="0.25">
      <c r="A84" s="2">
        <v>44635</v>
      </c>
      <c r="B84">
        <v>12519</v>
      </c>
      <c r="D84">
        <v>0</v>
      </c>
      <c r="E84">
        <v>0</v>
      </c>
      <c r="F84" s="1">
        <f t="shared" si="1"/>
        <v>0</v>
      </c>
      <c r="G84" s="1">
        <f>_xlfn.XLOOKUP(C84,'Ocupação DW'!$F:$F,'Ocupação DW'!$E:$E,"",0)</f>
        <v>0</v>
      </c>
      <c r="H84" t="str">
        <f>Vagas[[#This Row],[data]]&amp;Vagas[[#This Row],[profissional_id]]&amp;Vagas[[#This Row],[local_id]]</f>
        <v>4463512519</v>
      </c>
    </row>
    <row r="85" spans="1:8" x14ac:dyDescent="0.25">
      <c r="A85" s="2">
        <v>44635</v>
      </c>
      <c r="B85">
        <v>12582</v>
      </c>
      <c r="C85">
        <v>62</v>
      </c>
      <c r="D85">
        <v>0</v>
      </c>
      <c r="E85">
        <v>4</v>
      </c>
      <c r="F85" s="1">
        <f t="shared" si="1"/>
        <v>0</v>
      </c>
      <c r="G85" s="1" t="str">
        <f>_xlfn.XLOOKUP(C85,'Ocupação DW'!$F:$F,'Ocupação DW'!$E:$E,"",0)</f>
        <v>SEG - NILÓPOLIS</v>
      </c>
      <c r="H85" t="str">
        <f>Vagas[[#This Row],[data]]&amp;Vagas[[#This Row],[profissional_id]]&amp;Vagas[[#This Row],[local_id]]</f>
        <v>446351258262</v>
      </c>
    </row>
    <row r="86" spans="1:8" x14ac:dyDescent="0.25">
      <c r="A86" s="2">
        <v>44635</v>
      </c>
      <c r="B86">
        <v>12623</v>
      </c>
      <c r="C86">
        <v>11</v>
      </c>
      <c r="D86">
        <v>0</v>
      </c>
      <c r="E86">
        <v>0</v>
      </c>
      <c r="F86" s="1">
        <f t="shared" si="1"/>
        <v>0</v>
      </c>
      <c r="G86" s="1" t="str">
        <f>_xlfn.XLOOKUP(C86,'Ocupação DW'!$F:$F,'Ocupação DW'!$E:$E,"",0)</f>
        <v>SEG - FILIAL II 11°</v>
      </c>
      <c r="H86" t="str">
        <f>Vagas[[#This Row],[data]]&amp;Vagas[[#This Row],[profissional_id]]&amp;Vagas[[#This Row],[local_id]]</f>
        <v>446351262311</v>
      </c>
    </row>
    <row r="87" spans="1:8" x14ac:dyDescent="0.25">
      <c r="A87" s="2">
        <v>44635</v>
      </c>
      <c r="B87">
        <v>12669</v>
      </c>
      <c r="C87">
        <v>6</v>
      </c>
      <c r="D87">
        <v>0</v>
      </c>
      <c r="E87">
        <v>0</v>
      </c>
      <c r="F87" s="1">
        <f t="shared" si="1"/>
        <v>0</v>
      </c>
      <c r="G87" s="1" t="str">
        <f>_xlfn.XLOOKUP(C87,'Ocupação DW'!$F:$F,'Ocupação DW'!$E:$E,"",0)</f>
        <v>SEG - FILIAL II 10°</v>
      </c>
      <c r="H87" t="str">
        <f>Vagas[[#This Row],[data]]&amp;Vagas[[#This Row],[profissional_id]]&amp;Vagas[[#This Row],[local_id]]</f>
        <v>44635126696</v>
      </c>
    </row>
    <row r="88" spans="1:8" x14ac:dyDescent="0.25">
      <c r="A88" s="2">
        <v>44635</v>
      </c>
      <c r="B88">
        <v>12679</v>
      </c>
      <c r="D88">
        <v>0</v>
      </c>
      <c r="E88">
        <v>0</v>
      </c>
      <c r="F88" s="1">
        <f t="shared" si="1"/>
        <v>0</v>
      </c>
      <c r="G88" s="1">
        <f>_xlfn.XLOOKUP(C88,'Ocupação DW'!$F:$F,'Ocupação DW'!$E:$E,"",0)</f>
        <v>0</v>
      </c>
      <c r="H88" t="str">
        <f>Vagas[[#This Row],[data]]&amp;Vagas[[#This Row],[profissional_id]]&amp;Vagas[[#This Row],[local_id]]</f>
        <v>4463512679</v>
      </c>
    </row>
    <row r="89" spans="1:8" x14ac:dyDescent="0.25">
      <c r="A89" s="2">
        <v>44635</v>
      </c>
      <c r="B89">
        <v>12684</v>
      </c>
      <c r="D89">
        <v>0</v>
      </c>
      <c r="E89">
        <v>0</v>
      </c>
      <c r="F89" s="1">
        <f t="shared" si="1"/>
        <v>0</v>
      </c>
      <c r="G89" s="1">
        <f>_xlfn.XLOOKUP(C89,'Ocupação DW'!$F:$F,'Ocupação DW'!$E:$E,"",0)</f>
        <v>0</v>
      </c>
      <c r="H89" t="str">
        <f>Vagas[[#This Row],[data]]&amp;Vagas[[#This Row],[profissional_id]]&amp;Vagas[[#This Row],[local_id]]</f>
        <v>4463512684</v>
      </c>
    </row>
    <row r="90" spans="1:8" x14ac:dyDescent="0.25">
      <c r="A90" s="2">
        <v>44635</v>
      </c>
      <c r="B90">
        <v>12711</v>
      </c>
      <c r="D90">
        <v>0</v>
      </c>
      <c r="E90">
        <v>0</v>
      </c>
      <c r="F90" s="1">
        <f t="shared" si="1"/>
        <v>0</v>
      </c>
      <c r="G90" s="1">
        <f>_xlfn.XLOOKUP(C90,'Ocupação DW'!$F:$F,'Ocupação DW'!$E:$E,"",0)</f>
        <v>0</v>
      </c>
      <c r="H90" t="str">
        <f>Vagas[[#This Row],[data]]&amp;Vagas[[#This Row],[profissional_id]]&amp;Vagas[[#This Row],[local_id]]</f>
        <v>4463512711</v>
      </c>
    </row>
    <row r="91" spans="1:8" x14ac:dyDescent="0.25">
      <c r="A91" s="2">
        <v>44635</v>
      </c>
      <c r="B91">
        <v>12752</v>
      </c>
      <c r="C91">
        <v>60</v>
      </c>
      <c r="D91">
        <v>0</v>
      </c>
      <c r="E91">
        <v>6</v>
      </c>
      <c r="F91" s="1">
        <f t="shared" si="1"/>
        <v>0</v>
      </c>
      <c r="G91" s="1" t="str">
        <f>_xlfn.XLOOKUP(C91,'Ocupação DW'!$F:$F,'Ocupação DW'!$E:$E,"",0)</f>
        <v>SEG - NILÓPOLIS</v>
      </c>
      <c r="H91" t="str">
        <f>Vagas[[#This Row],[data]]&amp;Vagas[[#This Row],[profissional_id]]&amp;Vagas[[#This Row],[local_id]]</f>
        <v>446351275260</v>
      </c>
    </row>
    <row r="92" spans="1:8" x14ac:dyDescent="0.25">
      <c r="A92" s="2">
        <v>44635</v>
      </c>
      <c r="B92">
        <v>12810</v>
      </c>
      <c r="D92">
        <v>0</v>
      </c>
      <c r="E92">
        <v>0</v>
      </c>
      <c r="F92" s="1">
        <f t="shared" si="1"/>
        <v>0</v>
      </c>
      <c r="G92" s="1">
        <f>_xlfn.XLOOKUP(C92,'Ocupação DW'!$F:$F,'Ocupação DW'!$E:$E,"",0)</f>
        <v>0</v>
      </c>
      <c r="H92" t="str">
        <f>Vagas[[#This Row],[data]]&amp;Vagas[[#This Row],[profissional_id]]&amp;Vagas[[#This Row],[local_id]]</f>
        <v>4463512810</v>
      </c>
    </row>
    <row r="93" spans="1:8" x14ac:dyDescent="0.25">
      <c r="A93" s="2">
        <v>44635</v>
      </c>
      <c r="B93">
        <v>12825</v>
      </c>
      <c r="D93">
        <v>37</v>
      </c>
      <c r="E93">
        <v>0</v>
      </c>
      <c r="F93" s="1">
        <f t="shared" si="1"/>
        <v>0</v>
      </c>
      <c r="G93" s="1">
        <f>_xlfn.XLOOKUP(C93,'Ocupação DW'!$F:$F,'Ocupação DW'!$E:$E,"",0)</f>
        <v>0</v>
      </c>
      <c r="H93" t="str">
        <f>Vagas[[#This Row],[data]]&amp;Vagas[[#This Row],[profissional_id]]&amp;Vagas[[#This Row],[local_id]]</f>
        <v>4463512825</v>
      </c>
    </row>
    <row r="94" spans="1:8" x14ac:dyDescent="0.25">
      <c r="A94" s="2">
        <v>44635</v>
      </c>
      <c r="B94">
        <v>12825</v>
      </c>
      <c r="C94">
        <v>63</v>
      </c>
      <c r="D94">
        <v>0</v>
      </c>
      <c r="E94">
        <v>0</v>
      </c>
      <c r="F94" s="1">
        <f t="shared" si="1"/>
        <v>37</v>
      </c>
      <c r="G94" s="1" t="str">
        <f>_xlfn.XLOOKUP(C94,'Ocupação DW'!$F:$F,'Ocupação DW'!$E:$E,"",0)</f>
        <v>SEG - NILÓPOLIS</v>
      </c>
      <c r="H94" t="str">
        <f>Vagas[[#This Row],[data]]&amp;Vagas[[#This Row],[profissional_id]]&amp;Vagas[[#This Row],[local_id]]</f>
        <v>446351282563</v>
      </c>
    </row>
    <row r="95" spans="1:8" x14ac:dyDescent="0.25">
      <c r="A95" s="2">
        <v>44635</v>
      </c>
      <c r="B95">
        <v>13061</v>
      </c>
      <c r="C95">
        <v>9</v>
      </c>
      <c r="D95">
        <v>0</v>
      </c>
      <c r="E95">
        <v>0</v>
      </c>
      <c r="F95" s="1">
        <f t="shared" si="1"/>
        <v>0</v>
      </c>
      <c r="G95" s="1" t="str">
        <f>_xlfn.XLOOKUP(C95,'Ocupação DW'!$F:$F,'Ocupação DW'!$E:$E,"",0)</f>
        <v>SEG - FILIAL II 10°</v>
      </c>
      <c r="H95" t="str">
        <f>Vagas[[#This Row],[data]]&amp;Vagas[[#This Row],[profissional_id]]&amp;Vagas[[#This Row],[local_id]]</f>
        <v>44635130619</v>
      </c>
    </row>
    <row r="96" spans="1:8" x14ac:dyDescent="0.25">
      <c r="A96" s="2">
        <v>44635</v>
      </c>
      <c r="B96">
        <v>13249</v>
      </c>
      <c r="C96">
        <v>45</v>
      </c>
      <c r="D96">
        <v>0</v>
      </c>
      <c r="E96">
        <v>0</v>
      </c>
      <c r="F96" s="1">
        <f t="shared" si="1"/>
        <v>0</v>
      </c>
      <c r="G96" s="1" t="str">
        <f>_xlfn.XLOOKUP(C96,'Ocupação DW'!$F:$F,'Ocupação DW'!$E:$E,"",0)</f>
        <v>SEG - FILIAL I</v>
      </c>
      <c r="H96" t="str">
        <f>Vagas[[#This Row],[data]]&amp;Vagas[[#This Row],[profissional_id]]&amp;Vagas[[#This Row],[local_id]]</f>
        <v>446351324945</v>
      </c>
    </row>
    <row r="97" spans="1:8" x14ac:dyDescent="0.25">
      <c r="A97" s="2">
        <v>44635</v>
      </c>
      <c r="B97">
        <v>13295</v>
      </c>
      <c r="C97">
        <v>79</v>
      </c>
      <c r="D97">
        <v>60</v>
      </c>
      <c r="E97">
        <v>0</v>
      </c>
      <c r="F97" s="1">
        <f t="shared" si="1"/>
        <v>0</v>
      </c>
      <c r="G97" s="1" t="str">
        <f>_xlfn.XLOOKUP(C97,'Ocupação DW'!$F:$F,'Ocupação DW'!$E:$E,"",0)</f>
        <v/>
      </c>
      <c r="H97" t="str">
        <f>Vagas[[#This Row],[data]]&amp;Vagas[[#This Row],[profissional_id]]&amp;Vagas[[#This Row],[local_id]]</f>
        <v>446351329579</v>
      </c>
    </row>
    <row r="98" spans="1:8" x14ac:dyDescent="0.25">
      <c r="A98" s="2">
        <v>44635</v>
      </c>
      <c r="B98">
        <v>13371</v>
      </c>
      <c r="D98">
        <v>0</v>
      </c>
      <c r="E98">
        <v>0</v>
      </c>
      <c r="F98" s="1">
        <f t="shared" si="1"/>
        <v>0</v>
      </c>
      <c r="G98" s="1">
        <f>_xlfn.XLOOKUP(C98,'Ocupação DW'!$F:$F,'Ocupação DW'!$E:$E,"",0)</f>
        <v>0</v>
      </c>
      <c r="H98" t="str">
        <f>Vagas[[#This Row],[data]]&amp;Vagas[[#This Row],[profissional_id]]&amp;Vagas[[#This Row],[local_id]]</f>
        <v>4463513371</v>
      </c>
    </row>
    <row r="99" spans="1:8" x14ac:dyDescent="0.25">
      <c r="A99" s="2">
        <v>44635</v>
      </c>
      <c r="B99">
        <v>13479</v>
      </c>
      <c r="D99">
        <v>121</v>
      </c>
      <c r="E99">
        <v>0</v>
      </c>
      <c r="F99" s="1">
        <f t="shared" si="1"/>
        <v>0</v>
      </c>
      <c r="G99" s="1">
        <f>_xlfn.XLOOKUP(C99,'Ocupação DW'!$F:$F,'Ocupação DW'!$E:$E,"",0)</f>
        <v>0</v>
      </c>
      <c r="H99" t="str">
        <f>Vagas[[#This Row],[data]]&amp;Vagas[[#This Row],[profissional_id]]&amp;Vagas[[#This Row],[local_id]]</f>
        <v>4463513479</v>
      </c>
    </row>
    <row r="100" spans="1:8" x14ac:dyDescent="0.25">
      <c r="A100" s="2">
        <v>44635</v>
      </c>
      <c r="B100">
        <v>13479</v>
      </c>
      <c r="C100">
        <v>339</v>
      </c>
      <c r="D100">
        <v>132</v>
      </c>
      <c r="E100">
        <v>0</v>
      </c>
      <c r="F100" s="1">
        <f t="shared" si="1"/>
        <v>0</v>
      </c>
      <c r="G100" s="1" t="str">
        <f>_xlfn.XLOOKUP(C100,'Ocupação DW'!$F:$F,'Ocupação DW'!$E:$E,"",0)</f>
        <v>SEG - MATRIZ</v>
      </c>
      <c r="H100" t="str">
        <f>Vagas[[#This Row],[data]]&amp;Vagas[[#This Row],[profissional_id]]&amp;Vagas[[#This Row],[local_id]]</f>
        <v>4463513479339</v>
      </c>
    </row>
    <row r="101" spans="1:8" x14ac:dyDescent="0.25">
      <c r="A101" s="2">
        <v>44635</v>
      </c>
      <c r="B101">
        <v>13645</v>
      </c>
      <c r="D101">
        <v>49</v>
      </c>
      <c r="E101">
        <v>0</v>
      </c>
      <c r="F101" s="1">
        <f t="shared" si="1"/>
        <v>0</v>
      </c>
      <c r="G101" s="1">
        <f>_xlfn.XLOOKUP(C101,'Ocupação DW'!$F:$F,'Ocupação DW'!$E:$E,"",0)</f>
        <v>0</v>
      </c>
      <c r="H101" t="str">
        <f>Vagas[[#This Row],[data]]&amp;Vagas[[#This Row],[profissional_id]]&amp;Vagas[[#This Row],[local_id]]</f>
        <v>4463513645</v>
      </c>
    </row>
    <row r="102" spans="1:8" x14ac:dyDescent="0.25">
      <c r="A102" s="2">
        <v>44635</v>
      </c>
      <c r="B102">
        <v>13645</v>
      </c>
      <c r="C102">
        <v>79</v>
      </c>
      <c r="D102">
        <v>60</v>
      </c>
      <c r="E102">
        <v>0</v>
      </c>
      <c r="F102" s="1">
        <f t="shared" si="1"/>
        <v>0</v>
      </c>
      <c r="G102" s="1" t="str">
        <f>_xlfn.XLOOKUP(C102,'Ocupação DW'!$F:$F,'Ocupação DW'!$E:$E,"",0)</f>
        <v/>
      </c>
      <c r="H102" t="str">
        <f>Vagas[[#This Row],[data]]&amp;Vagas[[#This Row],[profissional_id]]&amp;Vagas[[#This Row],[local_id]]</f>
        <v>446351364579</v>
      </c>
    </row>
    <row r="103" spans="1:8" x14ac:dyDescent="0.25">
      <c r="A103" s="2">
        <v>44635</v>
      </c>
      <c r="B103">
        <v>13835</v>
      </c>
      <c r="D103">
        <v>0</v>
      </c>
      <c r="E103">
        <v>0</v>
      </c>
      <c r="F103" s="1">
        <f t="shared" si="1"/>
        <v>0</v>
      </c>
      <c r="G103" s="1">
        <f>_xlfn.XLOOKUP(C103,'Ocupação DW'!$F:$F,'Ocupação DW'!$E:$E,"",0)</f>
        <v>0</v>
      </c>
      <c r="H103" t="str">
        <f>Vagas[[#This Row],[data]]&amp;Vagas[[#This Row],[profissional_id]]&amp;Vagas[[#This Row],[local_id]]</f>
        <v>4463513835</v>
      </c>
    </row>
    <row r="104" spans="1:8" x14ac:dyDescent="0.25">
      <c r="A104" s="2">
        <v>44635</v>
      </c>
      <c r="B104">
        <v>14237</v>
      </c>
      <c r="C104">
        <v>47</v>
      </c>
      <c r="D104">
        <v>0</v>
      </c>
      <c r="E104">
        <v>0</v>
      </c>
      <c r="F104" s="1">
        <f t="shared" si="1"/>
        <v>0</v>
      </c>
      <c r="G104" s="1" t="str">
        <f>_xlfn.XLOOKUP(C104,'Ocupação DW'!$F:$F,'Ocupação DW'!$E:$E,"",0)</f>
        <v>SEG - FILIAL I</v>
      </c>
      <c r="H104" t="str">
        <f>Vagas[[#This Row],[data]]&amp;Vagas[[#This Row],[profissional_id]]&amp;Vagas[[#This Row],[local_id]]</f>
        <v>446351423747</v>
      </c>
    </row>
    <row r="105" spans="1:8" x14ac:dyDescent="0.25">
      <c r="A105" s="2">
        <v>44635</v>
      </c>
      <c r="B105">
        <v>14371</v>
      </c>
      <c r="C105">
        <v>60</v>
      </c>
      <c r="D105">
        <v>19</v>
      </c>
      <c r="E105">
        <v>0</v>
      </c>
      <c r="F105" s="1">
        <f t="shared" si="1"/>
        <v>0</v>
      </c>
      <c r="G105" s="1" t="str">
        <f>_xlfn.XLOOKUP(C105,'Ocupação DW'!$F:$F,'Ocupação DW'!$E:$E,"",0)</f>
        <v>SEG - NILÓPOLIS</v>
      </c>
      <c r="H105" t="str">
        <f>Vagas[[#This Row],[data]]&amp;Vagas[[#This Row],[profissional_id]]&amp;Vagas[[#This Row],[local_id]]</f>
        <v>446351437160</v>
      </c>
    </row>
    <row r="106" spans="1:8" x14ac:dyDescent="0.25">
      <c r="A106" s="2">
        <v>44635</v>
      </c>
      <c r="B106">
        <v>14452</v>
      </c>
      <c r="D106">
        <v>21</v>
      </c>
      <c r="E106">
        <v>0</v>
      </c>
      <c r="F106" s="1">
        <f t="shared" si="1"/>
        <v>0</v>
      </c>
      <c r="G106" s="1">
        <f>_xlfn.XLOOKUP(C106,'Ocupação DW'!$F:$F,'Ocupação DW'!$E:$E,"",0)</f>
        <v>0</v>
      </c>
      <c r="H106" t="str">
        <f>Vagas[[#This Row],[data]]&amp;Vagas[[#This Row],[profissional_id]]&amp;Vagas[[#This Row],[local_id]]</f>
        <v>4463514452</v>
      </c>
    </row>
    <row r="107" spans="1:8" x14ac:dyDescent="0.25">
      <c r="A107" s="2">
        <v>44635</v>
      </c>
      <c r="B107">
        <v>14452</v>
      </c>
      <c r="C107">
        <v>78</v>
      </c>
      <c r="D107">
        <v>0</v>
      </c>
      <c r="E107">
        <v>0</v>
      </c>
      <c r="F107" s="1">
        <f t="shared" si="1"/>
        <v>21</v>
      </c>
      <c r="G107" s="1" t="str">
        <f>_xlfn.XLOOKUP(C107,'Ocupação DW'!$F:$F,'Ocupação DW'!$E:$E,"",0)</f>
        <v>SEG - MIGUEL COUTO</v>
      </c>
      <c r="H107" t="str">
        <f>Vagas[[#This Row],[data]]&amp;Vagas[[#This Row],[profissional_id]]&amp;Vagas[[#This Row],[local_id]]</f>
        <v>446351445278</v>
      </c>
    </row>
    <row r="108" spans="1:8" x14ac:dyDescent="0.25">
      <c r="A108" s="2">
        <v>44635</v>
      </c>
      <c r="B108">
        <v>17051</v>
      </c>
      <c r="C108">
        <v>3</v>
      </c>
      <c r="D108">
        <v>11</v>
      </c>
      <c r="E108">
        <v>0</v>
      </c>
      <c r="F108" s="1">
        <f t="shared" si="1"/>
        <v>0</v>
      </c>
      <c r="G108" s="1" t="str">
        <f>_xlfn.XLOOKUP(C108,'Ocupação DW'!$F:$F,'Ocupação DW'!$E:$E,"",0)</f>
        <v>SEG - FILIAL II 10°</v>
      </c>
      <c r="H108" t="str">
        <f>Vagas[[#This Row],[data]]&amp;Vagas[[#This Row],[profissional_id]]&amp;Vagas[[#This Row],[local_id]]</f>
        <v>44635170513</v>
      </c>
    </row>
    <row r="109" spans="1:8" x14ac:dyDescent="0.25">
      <c r="A109" s="2">
        <v>44635</v>
      </c>
      <c r="B109">
        <v>17059</v>
      </c>
      <c r="D109">
        <v>0</v>
      </c>
      <c r="E109">
        <v>0</v>
      </c>
      <c r="F109" s="1">
        <f t="shared" si="1"/>
        <v>0</v>
      </c>
      <c r="G109" s="1">
        <f>_xlfn.XLOOKUP(C109,'Ocupação DW'!$F:$F,'Ocupação DW'!$E:$E,"",0)</f>
        <v>0</v>
      </c>
      <c r="H109" t="str">
        <f>Vagas[[#This Row],[data]]&amp;Vagas[[#This Row],[profissional_id]]&amp;Vagas[[#This Row],[local_id]]</f>
        <v>4463517059</v>
      </c>
    </row>
    <row r="110" spans="1:8" x14ac:dyDescent="0.25">
      <c r="A110" s="2">
        <v>44635</v>
      </c>
      <c r="B110">
        <v>17742</v>
      </c>
      <c r="D110">
        <v>23</v>
      </c>
      <c r="E110">
        <v>0</v>
      </c>
      <c r="F110" s="1">
        <f t="shared" si="1"/>
        <v>0</v>
      </c>
      <c r="G110" s="1">
        <f>_xlfn.XLOOKUP(C110,'Ocupação DW'!$F:$F,'Ocupação DW'!$E:$E,"",0)</f>
        <v>0</v>
      </c>
      <c r="H110" t="str">
        <f>Vagas[[#This Row],[data]]&amp;Vagas[[#This Row],[profissional_id]]&amp;Vagas[[#This Row],[local_id]]</f>
        <v>4463517742</v>
      </c>
    </row>
    <row r="111" spans="1:8" x14ac:dyDescent="0.25">
      <c r="A111" s="2">
        <v>44635</v>
      </c>
      <c r="B111">
        <v>17742</v>
      </c>
      <c r="C111">
        <v>22</v>
      </c>
      <c r="D111">
        <v>23</v>
      </c>
      <c r="E111">
        <v>0</v>
      </c>
      <c r="F111" s="1">
        <f t="shared" si="1"/>
        <v>0</v>
      </c>
      <c r="G111" s="1" t="str">
        <f>_xlfn.XLOOKUP(C111,'Ocupação DW'!$F:$F,'Ocupação DW'!$E:$E,"",0)</f>
        <v>SEG - MATRIZ</v>
      </c>
      <c r="H111" t="str">
        <f>Vagas[[#This Row],[data]]&amp;Vagas[[#This Row],[profissional_id]]&amp;Vagas[[#This Row],[local_id]]</f>
        <v>446351774222</v>
      </c>
    </row>
    <row r="112" spans="1:8" x14ac:dyDescent="0.25">
      <c r="A112" s="2">
        <v>44635</v>
      </c>
      <c r="B112">
        <v>17858</v>
      </c>
      <c r="D112">
        <v>0</v>
      </c>
      <c r="E112">
        <v>0</v>
      </c>
      <c r="F112" s="1">
        <f t="shared" si="1"/>
        <v>0</v>
      </c>
      <c r="G112" s="1">
        <f>_xlfn.XLOOKUP(C112,'Ocupação DW'!$F:$F,'Ocupação DW'!$E:$E,"",0)</f>
        <v>0</v>
      </c>
      <c r="H112" t="str">
        <f>Vagas[[#This Row],[data]]&amp;Vagas[[#This Row],[profissional_id]]&amp;Vagas[[#This Row],[local_id]]</f>
        <v>4463517858</v>
      </c>
    </row>
    <row r="113" spans="1:8" x14ac:dyDescent="0.25">
      <c r="A113" s="2">
        <v>44635</v>
      </c>
      <c r="B113">
        <v>17863</v>
      </c>
      <c r="C113">
        <v>60</v>
      </c>
      <c r="D113">
        <v>57</v>
      </c>
      <c r="E113">
        <v>0</v>
      </c>
      <c r="F113" s="1">
        <f t="shared" si="1"/>
        <v>0</v>
      </c>
      <c r="G113" s="1" t="str">
        <f>_xlfn.XLOOKUP(C113,'Ocupação DW'!$F:$F,'Ocupação DW'!$E:$E,"",0)</f>
        <v>SEG - NILÓPOLIS</v>
      </c>
      <c r="H113" t="str">
        <f>Vagas[[#This Row],[data]]&amp;Vagas[[#This Row],[profissional_id]]&amp;Vagas[[#This Row],[local_id]]</f>
        <v>446351786360</v>
      </c>
    </row>
    <row r="114" spans="1:8" x14ac:dyDescent="0.25">
      <c r="A114" s="2">
        <v>44635</v>
      </c>
      <c r="B114">
        <v>17868</v>
      </c>
      <c r="C114">
        <v>73</v>
      </c>
      <c r="D114">
        <v>133</v>
      </c>
      <c r="E114">
        <v>0</v>
      </c>
      <c r="F114" s="1">
        <f t="shared" si="1"/>
        <v>0</v>
      </c>
      <c r="G114" s="1" t="str">
        <f>_xlfn.XLOOKUP(C114,'Ocupação DW'!$F:$F,'Ocupação DW'!$E:$E,"",0)</f>
        <v/>
      </c>
      <c r="H114" t="str">
        <f>Vagas[[#This Row],[data]]&amp;Vagas[[#This Row],[profissional_id]]&amp;Vagas[[#This Row],[local_id]]</f>
        <v>446351786873</v>
      </c>
    </row>
    <row r="115" spans="1:8" x14ac:dyDescent="0.25">
      <c r="A115" s="2">
        <v>44635</v>
      </c>
      <c r="B115">
        <v>17871</v>
      </c>
      <c r="D115">
        <v>0</v>
      </c>
      <c r="E115">
        <v>0</v>
      </c>
      <c r="F115" s="1">
        <f t="shared" si="1"/>
        <v>0</v>
      </c>
      <c r="G115" s="1">
        <f>_xlfn.XLOOKUP(C115,'Ocupação DW'!$F:$F,'Ocupação DW'!$E:$E,"",0)</f>
        <v>0</v>
      </c>
      <c r="H115" t="str">
        <f>Vagas[[#This Row],[data]]&amp;Vagas[[#This Row],[profissional_id]]&amp;Vagas[[#This Row],[local_id]]</f>
        <v>4463517871</v>
      </c>
    </row>
    <row r="116" spans="1:8" x14ac:dyDescent="0.25">
      <c r="A116" s="2">
        <v>44635</v>
      </c>
      <c r="B116">
        <v>17874</v>
      </c>
      <c r="D116">
        <v>0</v>
      </c>
      <c r="E116">
        <v>0</v>
      </c>
      <c r="F116" s="1">
        <f t="shared" si="1"/>
        <v>0</v>
      </c>
      <c r="G116" s="1">
        <f>_xlfn.XLOOKUP(C116,'Ocupação DW'!$F:$F,'Ocupação DW'!$E:$E,"",0)</f>
        <v>0</v>
      </c>
      <c r="H116" t="str">
        <f>Vagas[[#This Row],[data]]&amp;Vagas[[#This Row],[profissional_id]]&amp;Vagas[[#This Row],[local_id]]</f>
        <v>4463517874</v>
      </c>
    </row>
    <row r="117" spans="1:8" x14ac:dyDescent="0.25">
      <c r="A117" s="2">
        <v>44635</v>
      </c>
      <c r="B117">
        <v>17881</v>
      </c>
      <c r="C117">
        <v>20</v>
      </c>
      <c r="D117">
        <v>180</v>
      </c>
      <c r="E117">
        <v>0</v>
      </c>
      <c r="F117" s="1">
        <f t="shared" si="1"/>
        <v>0</v>
      </c>
      <c r="G117" s="1" t="str">
        <f>_xlfn.XLOOKUP(C117,'Ocupação DW'!$F:$F,'Ocupação DW'!$E:$E,"",0)</f>
        <v>SEG - MATRIZ</v>
      </c>
      <c r="H117" t="str">
        <f>Vagas[[#This Row],[data]]&amp;Vagas[[#This Row],[profissional_id]]&amp;Vagas[[#This Row],[local_id]]</f>
        <v>446351788120</v>
      </c>
    </row>
    <row r="118" spans="1:8" x14ac:dyDescent="0.25">
      <c r="A118" s="2">
        <v>44635</v>
      </c>
      <c r="B118">
        <v>17882</v>
      </c>
      <c r="C118">
        <v>21</v>
      </c>
      <c r="D118">
        <v>181</v>
      </c>
      <c r="E118">
        <v>0</v>
      </c>
      <c r="F118" s="1">
        <f t="shared" si="1"/>
        <v>0</v>
      </c>
      <c r="G118" s="1" t="str">
        <f>_xlfn.XLOOKUP(C118,'Ocupação DW'!$F:$F,'Ocupação DW'!$E:$E,"",0)</f>
        <v/>
      </c>
      <c r="H118" t="str">
        <f>Vagas[[#This Row],[data]]&amp;Vagas[[#This Row],[profissional_id]]&amp;Vagas[[#This Row],[local_id]]</f>
        <v>446351788221</v>
      </c>
    </row>
    <row r="119" spans="1:8" x14ac:dyDescent="0.25">
      <c r="A119" s="2">
        <v>44635</v>
      </c>
      <c r="B119">
        <v>17883</v>
      </c>
      <c r="D119">
        <v>11</v>
      </c>
      <c r="E119">
        <v>0</v>
      </c>
      <c r="F119" s="1">
        <f t="shared" si="1"/>
        <v>0</v>
      </c>
      <c r="G119" s="1">
        <f>_xlfn.XLOOKUP(C119,'Ocupação DW'!$F:$F,'Ocupação DW'!$E:$E,"",0)</f>
        <v>0</v>
      </c>
      <c r="H119" t="str">
        <f>Vagas[[#This Row],[data]]&amp;Vagas[[#This Row],[profissional_id]]&amp;Vagas[[#This Row],[local_id]]</f>
        <v>4463517883</v>
      </c>
    </row>
    <row r="120" spans="1:8" x14ac:dyDescent="0.25">
      <c r="A120" s="2">
        <v>44635</v>
      </c>
      <c r="B120">
        <v>17883</v>
      </c>
      <c r="C120">
        <v>351</v>
      </c>
      <c r="D120">
        <v>0</v>
      </c>
      <c r="E120">
        <v>0</v>
      </c>
      <c r="F120" s="1">
        <f t="shared" si="1"/>
        <v>11</v>
      </c>
      <c r="G120" s="1" t="str">
        <f>_xlfn.XLOOKUP(C120,'Ocupação DW'!$F:$F,'Ocupação DW'!$E:$E,"",0)</f>
        <v>SEG - FILIAL I</v>
      </c>
      <c r="H120" t="str">
        <f>Vagas[[#This Row],[data]]&amp;Vagas[[#This Row],[profissional_id]]&amp;Vagas[[#This Row],[local_id]]</f>
        <v>4463517883351</v>
      </c>
    </row>
    <row r="121" spans="1:8" x14ac:dyDescent="0.25">
      <c r="A121" s="2">
        <v>44635</v>
      </c>
      <c r="B121">
        <v>17884</v>
      </c>
      <c r="C121">
        <v>22</v>
      </c>
      <c r="D121">
        <v>22</v>
      </c>
      <c r="E121">
        <v>0</v>
      </c>
      <c r="F121" s="1">
        <f t="shared" si="1"/>
        <v>0</v>
      </c>
      <c r="G121" s="1" t="str">
        <f>_xlfn.XLOOKUP(C121,'Ocupação DW'!$F:$F,'Ocupação DW'!$E:$E,"",0)</f>
        <v>SEG - MATRIZ</v>
      </c>
      <c r="H121" t="str">
        <f>Vagas[[#This Row],[data]]&amp;Vagas[[#This Row],[profissional_id]]&amp;Vagas[[#This Row],[local_id]]</f>
        <v>446351788422</v>
      </c>
    </row>
    <row r="122" spans="1:8" x14ac:dyDescent="0.25">
      <c r="A122" s="2">
        <v>44635</v>
      </c>
      <c r="B122">
        <v>17885</v>
      </c>
      <c r="D122">
        <v>0</v>
      </c>
      <c r="E122">
        <v>0</v>
      </c>
      <c r="F122" s="1">
        <f t="shared" si="1"/>
        <v>0</v>
      </c>
      <c r="G122" s="1">
        <f>_xlfn.XLOOKUP(C122,'Ocupação DW'!$F:$F,'Ocupação DW'!$E:$E,"",0)</f>
        <v>0</v>
      </c>
      <c r="H122" t="str">
        <f>Vagas[[#This Row],[data]]&amp;Vagas[[#This Row],[profissional_id]]&amp;Vagas[[#This Row],[local_id]]</f>
        <v>4463517885</v>
      </c>
    </row>
    <row r="123" spans="1:8" x14ac:dyDescent="0.25">
      <c r="A123" s="2">
        <v>44635</v>
      </c>
      <c r="B123">
        <v>17885</v>
      </c>
      <c r="C123">
        <v>23</v>
      </c>
      <c r="D123">
        <v>61</v>
      </c>
      <c r="E123">
        <v>0</v>
      </c>
      <c r="F123" s="1">
        <f t="shared" si="1"/>
        <v>0</v>
      </c>
      <c r="G123" s="1" t="str">
        <f>_xlfn.XLOOKUP(C123,'Ocupação DW'!$F:$F,'Ocupação DW'!$E:$E,"",0)</f>
        <v/>
      </c>
      <c r="H123" t="str">
        <f>Vagas[[#This Row],[data]]&amp;Vagas[[#This Row],[profissional_id]]&amp;Vagas[[#This Row],[local_id]]</f>
        <v>446351788523</v>
      </c>
    </row>
    <row r="124" spans="1:8" x14ac:dyDescent="0.25">
      <c r="A124" s="2">
        <v>44635</v>
      </c>
      <c r="B124">
        <v>17886</v>
      </c>
      <c r="C124">
        <v>84</v>
      </c>
      <c r="D124">
        <v>60</v>
      </c>
      <c r="E124">
        <v>0</v>
      </c>
      <c r="F124" s="1">
        <f t="shared" si="1"/>
        <v>0</v>
      </c>
      <c r="G124" s="1" t="str">
        <f>_xlfn.XLOOKUP(C124,'Ocupação DW'!$F:$F,'Ocupação DW'!$E:$E,"",0)</f>
        <v/>
      </c>
      <c r="H124" t="str">
        <f>Vagas[[#This Row],[data]]&amp;Vagas[[#This Row],[profissional_id]]&amp;Vagas[[#This Row],[local_id]]</f>
        <v>446351788684</v>
      </c>
    </row>
    <row r="125" spans="1:8" x14ac:dyDescent="0.25">
      <c r="A125" s="2">
        <v>44635</v>
      </c>
      <c r="B125">
        <v>17887</v>
      </c>
      <c r="C125">
        <v>58</v>
      </c>
      <c r="D125">
        <v>60</v>
      </c>
      <c r="E125">
        <v>0</v>
      </c>
      <c r="F125" s="1">
        <f t="shared" si="1"/>
        <v>0</v>
      </c>
      <c r="G125" s="1" t="str">
        <f>_xlfn.XLOOKUP(C125,'Ocupação DW'!$F:$F,'Ocupação DW'!$E:$E,"",0)</f>
        <v/>
      </c>
      <c r="H125" t="str">
        <f>Vagas[[#This Row],[data]]&amp;Vagas[[#This Row],[profissional_id]]&amp;Vagas[[#This Row],[local_id]]</f>
        <v>446351788758</v>
      </c>
    </row>
    <row r="126" spans="1:8" x14ac:dyDescent="0.25">
      <c r="A126" s="2">
        <v>44635</v>
      </c>
      <c r="B126">
        <v>17888</v>
      </c>
      <c r="C126">
        <v>40</v>
      </c>
      <c r="D126">
        <v>11</v>
      </c>
      <c r="E126">
        <v>0</v>
      </c>
      <c r="F126" s="1">
        <f t="shared" si="1"/>
        <v>0</v>
      </c>
      <c r="G126" s="1" t="str">
        <f>_xlfn.XLOOKUP(C126,'Ocupação DW'!$F:$F,'Ocupação DW'!$E:$E,"",0)</f>
        <v>SEG - FILIAL I</v>
      </c>
      <c r="H126" t="str">
        <f>Vagas[[#This Row],[data]]&amp;Vagas[[#This Row],[profissional_id]]&amp;Vagas[[#This Row],[local_id]]</f>
        <v>446351788840</v>
      </c>
    </row>
    <row r="127" spans="1:8" x14ac:dyDescent="0.25">
      <c r="A127" s="2">
        <v>44635</v>
      </c>
      <c r="B127">
        <v>17889</v>
      </c>
      <c r="C127">
        <v>59</v>
      </c>
      <c r="D127">
        <v>29</v>
      </c>
      <c r="E127">
        <v>0</v>
      </c>
      <c r="F127" s="1">
        <f t="shared" si="1"/>
        <v>0</v>
      </c>
      <c r="G127" s="1" t="str">
        <f>_xlfn.XLOOKUP(C127,'Ocupação DW'!$F:$F,'Ocupação DW'!$E:$E,"",0)</f>
        <v>SEG - NILÓPOLIS</v>
      </c>
      <c r="H127" t="str">
        <f>Vagas[[#This Row],[data]]&amp;Vagas[[#This Row],[profissional_id]]&amp;Vagas[[#This Row],[local_id]]</f>
        <v>446351788959</v>
      </c>
    </row>
    <row r="128" spans="1:8" x14ac:dyDescent="0.25">
      <c r="A128" s="2">
        <v>44635</v>
      </c>
      <c r="B128">
        <v>17890</v>
      </c>
      <c r="C128">
        <v>4</v>
      </c>
      <c r="D128">
        <v>6</v>
      </c>
      <c r="E128">
        <v>0</v>
      </c>
      <c r="F128" s="1">
        <f t="shared" si="1"/>
        <v>0</v>
      </c>
      <c r="G128" s="1" t="str">
        <f>_xlfn.XLOOKUP(C128,'Ocupação DW'!$F:$F,'Ocupação DW'!$E:$E,"",0)</f>
        <v>SEG - FILIAL II 10°</v>
      </c>
      <c r="H128" t="str">
        <f>Vagas[[#This Row],[data]]&amp;Vagas[[#This Row],[profissional_id]]&amp;Vagas[[#This Row],[local_id]]</f>
        <v>44635178904</v>
      </c>
    </row>
    <row r="129" spans="1:8" x14ac:dyDescent="0.25">
      <c r="A129" s="2">
        <v>44635</v>
      </c>
      <c r="B129">
        <v>17891</v>
      </c>
      <c r="C129">
        <v>76</v>
      </c>
      <c r="D129">
        <v>0</v>
      </c>
      <c r="E129">
        <v>0</v>
      </c>
      <c r="F129" s="1">
        <f t="shared" si="1"/>
        <v>0</v>
      </c>
      <c r="G129" s="1" t="str">
        <f>_xlfn.XLOOKUP(C129,'Ocupação DW'!$F:$F,'Ocupação DW'!$E:$E,"",0)</f>
        <v>SEG - MIGUEL COUTO</v>
      </c>
      <c r="H129" t="str">
        <f>Vagas[[#This Row],[data]]&amp;Vagas[[#This Row],[profissional_id]]&amp;Vagas[[#This Row],[local_id]]</f>
        <v>446351789176</v>
      </c>
    </row>
    <row r="130" spans="1:8" x14ac:dyDescent="0.25">
      <c r="A130" s="2">
        <v>44635</v>
      </c>
      <c r="B130">
        <v>17892</v>
      </c>
      <c r="D130">
        <v>0</v>
      </c>
      <c r="E130">
        <v>0</v>
      </c>
      <c r="F130" s="1">
        <f t="shared" ref="F130:F193" si="2">IF(AND(A130=A129,B130=B129,D129&lt;&gt;0,D130=0),D129,0)</f>
        <v>0</v>
      </c>
      <c r="G130" s="1" t="str">
        <f>_xlfn.XLOOKUP(C130,'Ocupação DW'!$F:$F,'Ocupação DW'!$E:$E,"",0)</f>
        <v/>
      </c>
      <c r="H130" t="str">
        <f>Vagas[[#This Row],[data]]&amp;Vagas[[#This Row],[profissional_id]]&amp;Vagas[[#This Row],[local_id]]</f>
        <v>4463517892</v>
      </c>
    </row>
    <row r="131" spans="1:8" x14ac:dyDescent="0.25">
      <c r="A131" s="2">
        <v>44635</v>
      </c>
      <c r="B131">
        <v>17892</v>
      </c>
      <c r="C131">
        <v>55</v>
      </c>
      <c r="D131">
        <v>1</v>
      </c>
      <c r="E131">
        <v>0</v>
      </c>
      <c r="F131" s="1">
        <f t="shared" si="2"/>
        <v>0</v>
      </c>
      <c r="G131" s="1" t="str">
        <f>_xlfn.XLOOKUP(C131,'Ocupação DW'!$F:$F,'Ocupação DW'!$E:$E,"",0)</f>
        <v>SEG - NILÓPOLIS</v>
      </c>
      <c r="H131" t="str">
        <f>Vagas[[#This Row],[data]]&amp;Vagas[[#This Row],[profissional_id]]&amp;Vagas[[#This Row],[local_id]]</f>
        <v>446351789255</v>
      </c>
    </row>
    <row r="132" spans="1:8" x14ac:dyDescent="0.25">
      <c r="A132" s="2">
        <v>44635</v>
      </c>
      <c r="B132">
        <v>17893</v>
      </c>
      <c r="C132">
        <v>4</v>
      </c>
      <c r="D132">
        <v>5</v>
      </c>
      <c r="E132">
        <v>0</v>
      </c>
      <c r="F132" s="1">
        <f t="shared" si="2"/>
        <v>0</v>
      </c>
      <c r="G132" s="1" t="str">
        <f>_xlfn.XLOOKUP(C132,'Ocupação DW'!$F:$F,'Ocupação DW'!$E:$E,"",0)</f>
        <v>SEG - FILIAL II 10°</v>
      </c>
      <c r="H132" t="str">
        <f>Vagas[[#This Row],[data]]&amp;Vagas[[#This Row],[profissional_id]]&amp;Vagas[[#This Row],[local_id]]</f>
        <v>44635178934</v>
      </c>
    </row>
    <row r="133" spans="1:8" x14ac:dyDescent="0.25">
      <c r="A133" s="2">
        <v>44635</v>
      </c>
      <c r="B133">
        <v>17894</v>
      </c>
      <c r="C133">
        <v>76</v>
      </c>
      <c r="D133">
        <v>0</v>
      </c>
      <c r="E133">
        <v>0</v>
      </c>
      <c r="F133" s="1">
        <f t="shared" si="2"/>
        <v>0</v>
      </c>
      <c r="G133" s="1" t="str">
        <f>_xlfn.XLOOKUP(C133,'Ocupação DW'!$F:$F,'Ocupação DW'!$E:$E,"",0)</f>
        <v>SEG - MIGUEL COUTO</v>
      </c>
      <c r="H133" t="str">
        <f>Vagas[[#This Row],[data]]&amp;Vagas[[#This Row],[profissional_id]]&amp;Vagas[[#This Row],[local_id]]</f>
        <v>446351789476</v>
      </c>
    </row>
    <row r="134" spans="1:8" x14ac:dyDescent="0.25">
      <c r="A134" s="2">
        <v>44635</v>
      </c>
      <c r="B134">
        <v>17895</v>
      </c>
      <c r="C134">
        <v>55</v>
      </c>
      <c r="D134">
        <v>2</v>
      </c>
      <c r="E134">
        <v>0</v>
      </c>
      <c r="F134" s="1">
        <f t="shared" si="2"/>
        <v>0</v>
      </c>
      <c r="G134" s="1" t="str">
        <f>_xlfn.XLOOKUP(C134,'Ocupação DW'!$F:$F,'Ocupação DW'!$E:$E,"",0)</f>
        <v>SEG - NILÓPOLIS</v>
      </c>
      <c r="H134" t="str">
        <f>Vagas[[#This Row],[data]]&amp;Vagas[[#This Row],[profissional_id]]&amp;Vagas[[#This Row],[local_id]]</f>
        <v>446351789555</v>
      </c>
    </row>
    <row r="135" spans="1:8" x14ac:dyDescent="0.25">
      <c r="A135" s="2">
        <v>44635</v>
      </c>
      <c r="B135">
        <v>17898</v>
      </c>
      <c r="C135">
        <v>35</v>
      </c>
      <c r="D135">
        <v>78</v>
      </c>
      <c r="E135">
        <v>0</v>
      </c>
      <c r="F135" s="1">
        <f t="shared" si="2"/>
        <v>0</v>
      </c>
      <c r="G135" s="1" t="str">
        <f>_xlfn.XLOOKUP(C135,'Ocupação DW'!$F:$F,'Ocupação DW'!$E:$E,"",0)</f>
        <v/>
      </c>
      <c r="H135" t="str">
        <f>Vagas[[#This Row],[data]]&amp;Vagas[[#This Row],[profissional_id]]&amp;Vagas[[#This Row],[local_id]]</f>
        <v>446351789835</v>
      </c>
    </row>
    <row r="136" spans="1:8" x14ac:dyDescent="0.25">
      <c r="A136" s="2">
        <v>44635</v>
      </c>
      <c r="B136">
        <v>17899</v>
      </c>
      <c r="C136">
        <v>3</v>
      </c>
      <c r="D136">
        <v>66</v>
      </c>
      <c r="E136">
        <v>0</v>
      </c>
      <c r="F136" s="1">
        <f t="shared" si="2"/>
        <v>0</v>
      </c>
      <c r="G136" s="1" t="str">
        <f>_xlfn.XLOOKUP(C136,'Ocupação DW'!$F:$F,'Ocupação DW'!$E:$E,"",0)</f>
        <v>SEG - FILIAL II 10°</v>
      </c>
      <c r="H136" t="str">
        <f>Vagas[[#This Row],[data]]&amp;Vagas[[#This Row],[profissional_id]]&amp;Vagas[[#This Row],[local_id]]</f>
        <v>44635178993</v>
      </c>
    </row>
    <row r="137" spans="1:8" x14ac:dyDescent="0.25">
      <c r="A137" s="2">
        <v>44635</v>
      </c>
      <c r="B137">
        <v>17900</v>
      </c>
      <c r="C137">
        <v>77</v>
      </c>
      <c r="D137">
        <v>60</v>
      </c>
      <c r="E137">
        <v>0</v>
      </c>
      <c r="F137" s="1">
        <f t="shared" si="2"/>
        <v>0</v>
      </c>
      <c r="G137" s="1" t="str">
        <f>_xlfn.XLOOKUP(C137,'Ocupação DW'!$F:$F,'Ocupação DW'!$E:$E,"",0)</f>
        <v/>
      </c>
      <c r="H137" t="str">
        <f>Vagas[[#This Row],[data]]&amp;Vagas[[#This Row],[profissional_id]]&amp;Vagas[[#This Row],[local_id]]</f>
        <v>446351790077</v>
      </c>
    </row>
    <row r="138" spans="1:8" x14ac:dyDescent="0.25">
      <c r="A138" s="2">
        <v>44635</v>
      </c>
      <c r="B138">
        <v>17901</v>
      </c>
      <c r="C138">
        <v>55</v>
      </c>
      <c r="D138">
        <v>66</v>
      </c>
      <c r="E138">
        <v>0</v>
      </c>
      <c r="F138" s="1">
        <f t="shared" si="2"/>
        <v>0</v>
      </c>
      <c r="G138" s="1" t="str">
        <f>_xlfn.XLOOKUP(C138,'Ocupação DW'!$F:$F,'Ocupação DW'!$E:$E,"",0)</f>
        <v>SEG - NILÓPOLIS</v>
      </c>
      <c r="H138" t="str">
        <f>Vagas[[#This Row],[data]]&amp;Vagas[[#This Row],[profissional_id]]&amp;Vagas[[#This Row],[local_id]]</f>
        <v>446351790155</v>
      </c>
    </row>
    <row r="139" spans="1:8" x14ac:dyDescent="0.25">
      <c r="A139" s="2">
        <v>44635</v>
      </c>
      <c r="B139">
        <v>17902</v>
      </c>
      <c r="C139">
        <v>39</v>
      </c>
      <c r="D139">
        <v>39</v>
      </c>
      <c r="E139">
        <v>0</v>
      </c>
      <c r="F139" s="1">
        <f t="shared" si="2"/>
        <v>0</v>
      </c>
      <c r="G139" s="1" t="str">
        <f>_xlfn.XLOOKUP(C139,'Ocupação DW'!$F:$F,'Ocupação DW'!$E:$E,"",0)</f>
        <v>SEG - FILIAL I</v>
      </c>
      <c r="H139" t="str">
        <f>Vagas[[#This Row],[data]]&amp;Vagas[[#This Row],[profissional_id]]&amp;Vagas[[#This Row],[local_id]]</f>
        <v>446351790239</v>
      </c>
    </row>
    <row r="140" spans="1:8" x14ac:dyDescent="0.25">
      <c r="A140" s="2">
        <v>44635</v>
      </c>
      <c r="B140">
        <v>17903</v>
      </c>
      <c r="D140">
        <v>0</v>
      </c>
      <c r="E140">
        <v>0</v>
      </c>
      <c r="F140" s="1">
        <f t="shared" si="2"/>
        <v>0</v>
      </c>
      <c r="G140" s="1" t="str">
        <f>_xlfn.XLOOKUP(C140,'Ocupação DW'!$F:$F,'Ocupação DW'!$E:$E,"",0)</f>
        <v/>
      </c>
      <c r="H140" t="str">
        <f>Vagas[[#This Row],[data]]&amp;Vagas[[#This Row],[profissional_id]]&amp;Vagas[[#This Row],[local_id]]</f>
        <v>4463517903</v>
      </c>
    </row>
    <row r="141" spans="1:8" x14ac:dyDescent="0.25">
      <c r="A141" s="2">
        <v>44635</v>
      </c>
      <c r="B141">
        <v>17904</v>
      </c>
      <c r="D141">
        <v>0</v>
      </c>
      <c r="E141">
        <v>0</v>
      </c>
      <c r="F141" s="1">
        <f t="shared" si="2"/>
        <v>0</v>
      </c>
      <c r="G141" s="1" t="str">
        <f>_xlfn.XLOOKUP(C141,'Ocupação DW'!$F:$F,'Ocupação DW'!$E:$E,"",0)</f>
        <v/>
      </c>
      <c r="H141" t="str">
        <f>Vagas[[#This Row],[data]]&amp;Vagas[[#This Row],[profissional_id]]&amp;Vagas[[#This Row],[local_id]]</f>
        <v>4463517904</v>
      </c>
    </row>
    <row r="142" spans="1:8" x14ac:dyDescent="0.25">
      <c r="A142" s="2">
        <v>44635</v>
      </c>
      <c r="B142">
        <v>17907</v>
      </c>
      <c r="C142">
        <v>55</v>
      </c>
      <c r="D142">
        <v>13</v>
      </c>
      <c r="E142">
        <v>0</v>
      </c>
      <c r="F142" s="1">
        <f t="shared" si="2"/>
        <v>0</v>
      </c>
      <c r="G142" s="1" t="str">
        <f>_xlfn.XLOOKUP(C142,'Ocupação DW'!$F:$F,'Ocupação DW'!$E:$E,"",0)</f>
        <v>SEG - NILÓPOLIS</v>
      </c>
      <c r="H142" t="str">
        <f>Vagas[[#This Row],[data]]&amp;Vagas[[#This Row],[profissional_id]]&amp;Vagas[[#This Row],[local_id]]</f>
        <v>446351790755</v>
      </c>
    </row>
    <row r="143" spans="1:8" x14ac:dyDescent="0.25">
      <c r="A143" s="2">
        <v>44635</v>
      </c>
      <c r="B143">
        <v>17908</v>
      </c>
      <c r="C143">
        <v>25</v>
      </c>
      <c r="D143">
        <v>8</v>
      </c>
      <c r="E143">
        <v>0</v>
      </c>
      <c r="F143" s="1">
        <f t="shared" si="2"/>
        <v>0</v>
      </c>
      <c r="G143" s="1" t="str">
        <f>_xlfn.XLOOKUP(C143,'Ocupação DW'!$F:$F,'Ocupação DW'!$E:$E,"",0)</f>
        <v>SEG - MATRIZ</v>
      </c>
      <c r="H143" t="str">
        <f>Vagas[[#This Row],[data]]&amp;Vagas[[#This Row],[profissional_id]]&amp;Vagas[[#This Row],[local_id]]</f>
        <v>446351790825</v>
      </c>
    </row>
    <row r="144" spans="1:8" x14ac:dyDescent="0.25">
      <c r="A144" s="2">
        <v>44635</v>
      </c>
      <c r="B144">
        <v>17909</v>
      </c>
      <c r="C144">
        <v>4</v>
      </c>
      <c r="D144">
        <v>0</v>
      </c>
      <c r="E144">
        <v>0</v>
      </c>
      <c r="F144" s="1">
        <f t="shared" si="2"/>
        <v>0</v>
      </c>
      <c r="G144" s="1" t="str">
        <f>_xlfn.XLOOKUP(C144,'Ocupação DW'!$F:$F,'Ocupação DW'!$E:$E,"",0)</f>
        <v>SEG - FILIAL II 10°</v>
      </c>
      <c r="H144" t="str">
        <f>Vagas[[#This Row],[data]]&amp;Vagas[[#This Row],[profissional_id]]&amp;Vagas[[#This Row],[local_id]]</f>
        <v>44635179094</v>
      </c>
    </row>
    <row r="145" spans="1:8" x14ac:dyDescent="0.25">
      <c r="A145" s="2">
        <v>44635</v>
      </c>
      <c r="B145">
        <v>17922</v>
      </c>
      <c r="D145">
        <v>133</v>
      </c>
      <c r="E145">
        <v>0</v>
      </c>
      <c r="F145" s="1">
        <f t="shared" si="2"/>
        <v>0</v>
      </c>
      <c r="G145" s="1" t="str">
        <f>_xlfn.XLOOKUP(C145,'Ocupação DW'!$F:$F,'Ocupação DW'!$E:$E,"",0)</f>
        <v/>
      </c>
      <c r="H145" t="str">
        <f>Vagas[[#This Row],[data]]&amp;Vagas[[#This Row],[profissional_id]]&amp;Vagas[[#This Row],[local_id]]</f>
        <v>4463517922</v>
      </c>
    </row>
    <row r="146" spans="1:8" x14ac:dyDescent="0.25">
      <c r="A146" s="2">
        <v>44635</v>
      </c>
      <c r="B146">
        <v>17922</v>
      </c>
      <c r="C146">
        <v>74</v>
      </c>
      <c r="D146">
        <v>133</v>
      </c>
      <c r="E146">
        <v>0</v>
      </c>
      <c r="F146" s="1">
        <f t="shared" si="2"/>
        <v>0</v>
      </c>
      <c r="G146" s="1" t="str">
        <f>_xlfn.XLOOKUP(C146,'Ocupação DW'!$F:$F,'Ocupação DW'!$E:$E,"",0)</f>
        <v/>
      </c>
      <c r="H146" t="str">
        <f>Vagas[[#This Row],[data]]&amp;Vagas[[#This Row],[profissional_id]]&amp;Vagas[[#This Row],[local_id]]</f>
        <v>446351792274</v>
      </c>
    </row>
    <row r="147" spans="1:8" x14ac:dyDescent="0.25">
      <c r="A147" s="2">
        <v>44635</v>
      </c>
      <c r="B147">
        <v>17924</v>
      </c>
      <c r="C147">
        <v>52</v>
      </c>
      <c r="D147">
        <v>133</v>
      </c>
      <c r="E147">
        <v>0</v>
      </c>
      <c r="F147" s="1">
        <f t="shared" si="2"/>
        <v>0</v>
      </c>
      <c r="G147" s="1" t="str">
        <f>_xlfn.XLOOKUP(C147,'Ocupação DW'!$F:$F,'Ocupação DW'!$E:$E,"",0)</f>
        <v/>
      </c>
      <c r="H147" t="str">
        <f>Vagas[[#This Row],[data]]&amp;Vagas[[#This Row],[profissional_id]]&amp;Vagas[[#This Row],[local_id]]</f>
        <v>446351792452</v>
      </c>
    </row>
    <row r="148" spans="1:8" x14ac:dyDescent="0.25">
      <c r="A148" s="2">
        <v>44635</v>
      </c>
      <c r="B148">
        <v>17937</v>
      </c>
      <c r="C148">
        <v>351</v>
      </c>
      <c r="D148">
        <v>11</v>
      </c>
      <c r="E148">
        <v>0</v>
      </c>
      <c r="F148" s="1">
        <f t="shared" si="2"/>
        <v>0</v>
      </c>
      <c r="G148" s="1" t="str">
        <f>_xlfn.XLOOKUP(C148,'Ocupação DW'!$F:$F,'Ocupação DW'!$E:$E,"",0)</f>
        <v>SEG - FILIAL I</v>
      </c>
      <c r="H148" t="str">
        <f>Vagas[[#This Row],[data]]&amp;Vagas[[#This Row],[profissional_id]]&amp;Vagas[[#This Row],[local_id]]</f>
        <v>4463517937351</v>
      </c>
    </row>
    <row r="149" spans="1:8" x14ac:dyDescent="0.25">
      <c r="A149" s="2">
        <v>44635</v>
      </c>
      <c r="D149">
        <v>0</v>
      </c>
      <c r="E149">
        <v>0</v>
      </c>
      <c r="F149" s="1">
        <f t="shared" si="2"/>
        <v>0</v>
      </c>
      <c r="G149" s="1" t="str">
        <f>_xlfn.XLOOKUP(C149,'Ocupação DW'!$F:$F,'Ocupação DW'!$E:$E,"",0)</f>
        <v/>
      </c>
      <c r="H149" t="str">
        <f>Vagas[[#This Row],[data]]&amp;Vagas[[#This Row],[profissional_id]]&amp;Vagas[[#This Row],[local_id]]</f>
        <v>44635</v>
      </c>
    </row>
    <row r="150" spans="1:8" x14ac:dyDescent="0.25">
      <c r="A150" s="2">
        <v>44635</v>
      </c>
      <c r="D150">
        <v>0</v>
      </c>
      <c r="E150">
        <v>0</v>
      </c>
      <c r="F150" s="1">
        <f t="shared" si="2"/>
        <v>0</v>
      </c>
      <c r="G150" s="1" t="str">
        <f>_xlfn.XLOOKUP(C150,'Ocupação DW'!$F:$F,'Ocupação DW'!$E:$E,"",0)</f>
        <v/>
      </c>
      <c r="H150" t="str">
        <f>Vagas[[#This Row],[data]]&amp;Vagas[[#This Row],[profissional_id]]&amp;Vagas[[#This Row],[local_id]]</f>
        <v>44635</v>
      </c>
    </row>
    <row r="151" spans="1:8" x14ac:dyDescent="0.25">
      <c r="A151" s="2">
        <v>44635</v>
      </c>
      <c r="D151">
        <v>0</v>
      </c>
      <c r="E151">
        <v>0</v>
      </c>
      <c r="F151" s="1">
        <f t="shared" si="2"/>
        <v>0</v>
      </c>
      <c r="G151" s="1" t="str">
        <f>_xlfn.XLOOKUP(C151,'Ocupação DW'!$F:$F,'Ocupação DW'!$E:$E,"",0)</f>
        <v/>
      </c>
      <c r="H151" t="str">
        <f>Vagas[[#This Row],[data]]&amp;Vagas[[#This Row],[profissional_id]]&amp;Vagas[[#This Row],[local_id]]</f>
        <v>44635</v>
      </c>
    </row>
    <row r="152" spans="1:8" x14ac:dyDescent="0.25">
      <c r="A152" s="2">
        <v>44636</v>
      </c>
      <c r="B152">
        <v>54</v>
      </c>
      <c r="D152">
        <v>10</v>
      </c>
      <c r="E152">
        <v>0</v>
      </c>
      <c r="F152" s="1">
        <f t="shared" si="2"/>
        <v>0</v>
      </c>
      <c r="G152" s="1">
        <f>_xlfn.XLOOKUP(C152,'Ocupação DW'!$F:$F,'Ocupação DW'!$E:$E,"",0)</f>
        <v>0</v>
      </c>
      <c r="H152" t="str">
        <f>Vagas[[#This Row],[data]]&amp;Vagas[[#This Row],[profissional_id]]&amp;Vagas[[#This Row],[local_id]]</f>
        <v>4463654</v>
      </c>
    </row>
    <row r="153" spans="1:8" x14ac:dyDescent="0.25">
      <c r="A153" s="2">
        <v>44636</v>
      </c>
      <c r="B153">
        <v>54</v>
      </c>
      <c r="C153">
        <v>50</v>
      </c>
      <c r="D153">
        <v>8</v>
      </c>
      <c r="E153">
        <v>0</v>
      </c>
      <c r="F153" s="1">
        <f t="shared" si="2"/>
        <v>0</v>
      </c>
      <c r="G153" s="1" t="str">
        <f>_xlfn.XLOOKUP(C153,'Ocupação DW'!$F:$F,'Ocupação DW'!$E:$E,"",0)</f>
        <v>SEG - FILIAL I</v>
      </c>
      <c r="H153" t="str">
        <f>Vagas[[#This Row],[data]]&amp;Vagas[[#This Row],[profissional_id]]&amp;Vagas[[#This Row],[local_id]]</f>
        <v>446365450</v>
      </c>
    </row>
    <row r="154" spans="1:8" x14ac:dyDescent="0.25">
      <c r="A154" s="2">
        <v>44636</v>
      </c>
      <c r="B154">
        <v>55</v>
      </c>
      <c r="D154">
        <v>0</v>
      </c>
      <c r="E154">
        <v>0</v>
      </c>
      <c r="F154" s="1">
        <f t="shared" si="2"/>
        <v>0</v>
      </c>
      <c r="G154" s="1" t="str">
        <f>_xlfn.XLOOKUP(C154,'Ocupação DW'!$F:$F,'Ocupação DW'!$E:$E,"",0)</f>
        <v/>
      </c>
      <c r="H154" t="str">
        <f>Vagas[[#This Row],[data]]&amp;Vagas[[#This Row],[profissional_id]]&amp;Vagas[[#This Row],[local_id]]</f>
        <v>4463655</v>
      </c>
    </row>
    <row r="155" spans="1:8" x14ac:dyDescent="0.25">
      <c r="A155" s="2">
        <v>44636</v>
      </c>
      <c r="B155">
        <v>57</v>
      </c>
      <c r="C155">
        <v>8</v>
      </c>
      <c r="D155">
        <v>14</v>
      </c>
      <c r="E155">
        <v>0</v>
      </c>
      <c r="F155" s="1">
        <f t="shared" si="2"/>
        <v>0</v>
      </c>
      <c r="G155" s="1" t="str">
        <f>_xlfn.XLOOKUP(C155,'Ocupação DW'!$F:$F,'Ocupação DW'!$E:$E,"",0)</f>
        <v>SEG - FILIAL II 10°</v>
      </c>
      <c r="H155" t="str">
        <f>Vagas[[#This Row],[data]]&amp;Vagas[[#This Row],[profissional_id]]&amp;Vagas[[#This Row],[local_id]]</f>
        <v>44636578</v>
      </c>
    </row>
    <row r="156" spans="1:8" x14ac:dyDescent="0.25">
      <c r="A156" s="2">
        <v>44636</v>
      </c>
      <c r="B156">
        <v>57</v>
      </c>
      <c r="C156">
        <v>4</v>
      </c>
      <c r="D156">
        <v>0</v>
      </c>
      <c r="E156">
        <v>0</v>
      </c>
      <c r="F156" s="1">
        <f t="shared" si="2"/>
        <v>14</v>
      </c>
      <c r="G156" s="1" t="str">
        <f>_xlfn.XLOOKUP(C156,'Ocupação DW'!$F:$F,'Ocupação DW'!$E:$E,"",0)</f>
        <v>SEG - FILIAL II 10°</v>
      </c>
      <c r="H156" t="str">
        <f>Vagas[[#This Row],[data]]&amp;Vagas[[#This Row],[profissional_id]]&amp;Vagas[[#This Row],[local_id]]</f>
        <v>44636574</v>
      </c>
    </row>
    <row r="157" spans="1:8" x14ac:dyDescent="0.25">
      <c r="A157" s="2">
        <v>44636</v>
      </c>
      <c r="B157">
        <v>57</v>
      </c>
      <c r="C157">
        <v>2</v>
      </c>
      <c r="D157">
        <v>2</v>
      </c>
      <c r="E157">
        <v>0</v>
      </c>
      <c r="F157" s="1">
        <f t="shared" si="2"/>
        <v>0</v>
      </c>
      <c r="G157" s="1" t="str">
        <f>_xlfn.XLOOKUP(C157,'Ocupação DW'!$F:$F,'Ocupação DW'!$E:$E,"",0)</f>
        <v>SEG - FILIAL II 10°</v>
      </c>
      <c r="H157" t="str">
        <f>Vagas[[#This Row],[data]]&amp;Vagas[[#This Row],[profissional_id]]&amp;Vagas[[#This Row],[local_id]]</f>
        <v>44636572</v>
      </c>
    </row>
    <row r="158" spans="1:8" x14ac:dyDescent="0.25">
      <c r="A158" s="2">
        <v>44636</v>
      </c>
      <c r="B158">
        <v>59</v>
      </c>
      <c r="D158">
        <v>0</v>
      </c>
      <c r="E158">
        <v>0</v>
      </c>
      <c r="F158" s="1">
        <f t="shared" si="2"/>
        <v>0</v>
      </c>
      <c r="G158" s="1" t="str">
        <f>_xlfn.XLOOKUP(C158,'Ocupação DW'!$F:$F,'Ocupação DW'!$E:$E,"",0)</f>
        <v/>
      </c>
      <c r="H158" t="str">
        <f>Vagas[[#This Row],[data]]&amp;Vagas[[#This Row],[profissional_id]]&amp;Vagas[[#This Row],[local_id]]</f>
        <v>4463659</v>
      </c>
    </row>
    <row r="159" spans="1:8" x14ac:dyDescent="0.25">
      <c r="A159" s="2">
        <v>44636</v>
      </c>
      <c r="B159">
        <v>60</v>
      </c>
      <c r="D159">
        <v>32</v>
      </c>
      <c r="E159">
        <v>0</v>
      </c>
      <c r="F159" s="1">
        <f t="shared" si="2"/>
        <v>0</v>
      </c>
      <c r="G159" s="1" t="str">
        <f>_xlfn.XLOOKUP(C159,'Ocupação DW'!$F:$F,'Ocupação DW'!$E:$E,"",0)</f>
        <v/>
      </c>
      <c r="H159" t="str">
        <f>Vagas[[#This Row],[data]]&amp;Vagas[[#This Row],[profissional_id]]&amp;Vagas[[#This Row],[local_id]]</f>
        <v>4463660</v>
      </c>
    </row>
    <row r="160" spans="1:8" x14ac:dyDescent="0.25">
      <c r="A160" s="2">
        <v>44636</v>
      </c>
      <c r="B160">
        <v>60</v>
      </c>
      <c r="C160">
        <v>8</v>
      </c>
      <c r="D160">
        <v>0</v>
      </c>
      <c r="E160">
        <v>0</v>
      </c>
      <c r="F160" s="1">
        <f t="shared" si="2"/>
        <v>32</v>
      </c>
      <c r="G160" s="1" t="str">
        <f>_xlfn.XLOOKUP(C160,'Ocupação DW'!$F:$F,'Ocupação DW'!$E:$E,"",0)</f>
        <v>SEG - FILIAL II 10°</v>
      </c>
      <c r="H160" t="str">
        <f>Vagas[[#This Row],[data]]&amp;Vagas[[#This Row],[profissional_id]]&amp;Vagas[[#This Row],[local_id]]</f>
        <v>44636608</v>
      </c>
    </row>
    <row r="161" spans="1:8" x14ac:dyDescent="0.25">
      <c r="A161" s="2">
        <v>44636</v>
      </c>
      <c r="B161">
        <v>60</v>
      </c>
      <c r="C161">
        <v>346</v>
      </c>
      <c r="D161">
        <v>0</v>
      </c>
      <c r="E161">
        <v>0</v>
      </c>
      <c r="F161" s="1">
        <f t="shared" si="2"/>
        <v>0</v>
      </c>
      <c r="G161" s="1" t="str">
        <f>_xlfn.XLOOKUP(C161,'Ocupação DW'!$F:$F,'Ocupação DW'!$E:$E,"",0)</f>
        <v>SEG - MATRIZ</v>
      </c>
      <c r="H161" t="str">
        <f>Vagas[[#This Row],[data]]&amp;Vagas[[#This Row],[profissional_id]]&amp;Vagas[[#This Row],[local_id]]</f>
        <v>4463660346</v>
      </c>
    </row>
    <row r="162" spans="1:8" x14ac:dyDescent="0.25">
      <c r="A162" s="2">
        <v>44636</v>
      </c>
      <c r="B162">
        <v>66</v>
      </c>
      <c r="D162">
        <v>49</v>
      </c>
      <c r="E162">
        <v>0</v>
      </c>
      <c r="F162" s="1">
        <f t="shared" si="2"/>
        <v>0</v>
      </c>
      <c r="G162" s="1" t="str">
        <f>_xlfn.XLOOKUP(C162,'Ocupação DW'!$F:$F,'Ocupação DW'!$E:$E,"",0)</f>
        <v/>
      </c>
      <c r="H162" t="str">
        <f>Vagas[[#This Row],[data]]&amp;Vagas[[#This Row],[profissional_id]]&amp;Vagas[[#This Row],[local_id]]</f>
        <v>4463666</v>
      </c>
    </row>
    <row r="163" spans="1:8" x14ac:dyDescent="0.25">
      <c r="A163" s="2">
        <v>44636</v>
      </c>
      <c r="B163">
        <v>66</v>
      </c>
      <c r="C163">
        <v>345</v>
      </c>
      <c r="D163">
        <v>77</v>
      </c>
      <c r="E163">
        <v>0</v>
      </c>
      <c r="F163" s="1">
        <f t="shared" si="2"/>
        <v>0</v>
      </c>
      <c r="G163" s="1" t="str">
        <f>_xlfn.XLOOKUP(C163,'Ocupação DW'!$F:$F,'Ocupação DW'!$E:$E,"",0)</f>
        <v>SEG - MATRIZ</v>
      </c>
      <c r="H163" t="str">
        <f>Vagas[[#This Row],[data]]&amp;Vagas[[#This Row],[profissional_id]]&amp;Vagas[[#This Row],[local_id]]</f>
        <v>4463666345</v>
      </c>
    </row>
    <row r="164" spans="1:8" x14ac:dyDescent="0.25">
      <c r="A164" s="2">
        <v>44636</v>
      </c>
      <c r="B164">
        <v>67</v>
      </c>
      <c r="C164">
        <v>8</v>
      </c>
      <c r="D164">
        <v>0</v>
      </c>
      <c r="E164">
        <v>0</v>
      </c>
      <c r="F164" s="1">
        <f t="shared" si="2"/>
        <v>0</v>
      </c>
      <c r="G164" s="1" t="str">
        <f>_xlfn.XLOOKUP(C164,'Ocupação DW'!$F:$F,'Ocupação DW'!$E:$E,"",0)</f>
        <v>SEG - FILIAL II 10°</v>
      </c>
      <c r="H164" t="str">
        <f>Vagas[[#This Row],[data]]&amp;Vagas[[#This Row],[profissional_id]]&amp;Vagas[[#This Row],[local_id]]</f>
        <v>44636678</v>
      </c>
    </row>
    <row r="165" spans="1:8" x14ac:dyDescent="0.25">
      <c r="A165" s="2">
        <v>44636</v>
      </c>
      <c r="B165">
        <v>69</v>
      </c>
      <c r="D165">
        <v>0</v>
      </c>
      <c r="E165">
        <v>0</v>
      </c>
      <c r="F165" s="1">
        <f t="shared" si="2"/>
        <v>0</v>
      </c>
      <c r="G165" s="1" t="str">
        <f>_xlfn.XLOOKUP(C165,'Ocupação DW'!$F:$F,'Ocupação DW'!$E:$E,"",0)</f>
        <v/>
      </c>
      <c r="H165" t="str">
        <f>Vagas[[#This Row],[data]]&amp;Vagas[[#This Row],[profissional_id]]&amp;Vagas[[#This Row],[local_id]]</f>
        <v>4463669</v>
      </c>
    </row>
    <row r="166" spans="1:8" x14ac:dyDescent="0.25">
      <c r="A166" s="2">
        <v>44636</v>
      </c>
      <c r="B166">
        <v>70</v>
      </c>
      <c r="D166">
        <v>19</v>
      </c>
      <c r="E166">
        <v>0</v>
      </c>
      <c r="F166" s="1">
        <f t="shared" si="2"/>
        <v>0</v>
      </c>
      <c r="G166" s="1" t="str">
        <f>_xlfn.XLOOKUP(C166,'Ocupação DW'!$F:$F,'Ocupação DW'!$E:$E,"",0)</f>
        <v/>
      </c>
      <c r="H166" t="str">
        <f>Vagas[[#This Row],[data]]&amp;Vagas[[#This Row],[profissional_id]]&amp;Vagas[[#This Row],[local_id]]</f>
        <v>4463670</v>
      </c>
    </row>
    <row r="167" spans="1:8" x14ac:dyDescent="0.25">
      <c r="A167" s="2">
        <v>44636</v>
      </c>
      <c r="B167">
        <v>70</v>
      </c>
      <c r="C167">
        <v>13</v>
      </c>
      <c r="D167">
        <v>0</v>
      </c>
      <c r="E167">
        <v>0</v>
      </c>
      <c r="F167" s="1">
        <f t="shared" si="2"/>
        <v>19</v>
      </c>
      <c r="G167" s="1" t="str">
        <f>_xlfn.XLOOKUP(C167,'Ocupação DW'!$F:$F,'Ocupação DW'!$E:$E,"",0)</f>
        <v>SEG - FILIAL II 11°</v>
      </c>
      <c r="H167" t="str">
        <f>Vagas[[#This Row],[data]]&amp;Vagas[[#This Row],[profissional_id]]&amp;Vagas[[#This Row],[local_id]]</f>
        <v>446367013</v>
      </c>
    </row>
    <row r="168" spans="1:8" x14ac:dyDescent="0.25">
      <c r="A168" s="2">
        <v>44636</v>
      </c>
      <c r="B168">
        <v>73</v>
      </c>
      <c r="D168">
        <v>33</v>
      </c>
      <c r="E168">
        <v>0</v>
      </c>
      <c r="F168" s="1">
        <f t="shared" si="2"/>
        <v>0</v>
      </c>
      <c r="G168" s="1">
        <f>_xlfn.XLOOKUP(C168,'Ocupação DW'!$F:$F,'Ocupação DW'!$E:$E,"",0)</f>
        <v>0</v>
      </c>
      <c r="H168" t="str">
        <f>Vagas[[#This Row],[data]]&amp;Vagas[[#This Row],[profissional_id]]&amp;Vagas[[#This Row],[local_id]]</f>
        <v>4463673</v>
      </c>
    </row>
    <row r="169" spans="1:8" x14ac:dyDescent="0.25">
      <c r="A169" s="2">
        <v>44636</v>
      </c>
      <c r="B169">
        <v>73</v>
      </c>
      <c r="C169">
        <v>5</v>
      </c>
      <c r="D169">
        <v>0</v>
      </c>
      <c r="E169">
        <v>0</v>
      </c>
      <c r="F169" s="1">
        <f t="shared" si="2"/>
        <v>33</v>
      </c>
      <c r="G169" s="1" t="str">
        <f>_xlfn.XLOOKUP(C169,'Ocupação DW'!$F:$F,'Ocupação DW'!$E:$E,"",0)</f>
        <v>SEG - FILIAL II 10°</v>
      </c>
      <c r="H169" t="str">
        <f>Vagas[[#This Row],[data]]&amp;Vagas[[#This Row],[profissional_id]]&amp;Vagas[[#This Row],[local_id]]</f>
        <v>44636735</v>
      </c>
    </row>
    <row r="170" spans="1:8" x14ac:dyDescent="0.25">
      <c r="A170" s="2">
        <v>44636</v>
      </c>
      <c r="B170">
        <v>74</v>
      </c>
      <c r="C170">
        <v>7</v>
      </c>
      <c r="D170">
        <v>0</v>
      </c>
      <c r="E170">
        <v>2</v>
      </c>
      <c r="F170" s="1">
        <f t="shared" si="2"/>
        <v>0</v>
      </c>
      <c r="G170" s="1" t="str">
        <f>_xlfn.XLOOKUP(C170,'Ocupação DW'!$F:$F,'Ocupação DW'!$E:$E,"",0)</f>
        <v>SEG - FILIAL II 10°</v>
      </c>
      <c r="H170" t="str">
        <f>Vagas[[#This Row],[data]]&amp;Vagas[[#This Row],[profissional_id]]&amp;Vagas[[#This Row],[local_id]]</f>
        <v>44636747</v>
      </c>
    </row>
    <row r="171" spans="1:8" x14ac:dyDescent="0.25">
      <c r="A171" s="2">
        <v>44636</v>
      </c>
      <c r="B171">
        <v>80</v>
      </c>
      <c r="C171">
        <v>346</v>
      </c>
      <c r="D171">
        <v>0</v>
      </c>
      <c r="E171">
        <v>3</v>
      </c>
      <c r="F171" s="1">
        <f t="shared" si="2"/>
        <v>0</v>
      </c>
      <c r="G171" s="1" t="str">
        <f>_xlfn.XLOOKUP(C171,'Ocupação DW'!$F:$F,'Ocupação DW'!$E:$E,"",0)</f>
        <v>SEG - MATRIZ</v>
      </c>
      <c r="H171" t="str">
        <f>Vagas[[#This Row],[data]]&amp;Vagas[[#This Row],[profissional_id]]&amp;Vagas[[#This Row],[local_id]]</f>
        <v>4463680346</v>
      </c>
    </row>
    <row r="172" spans="1:8" x14ac:dyDescent="0.25">
      <c r="A172" s="2">
        <v>44636</v>
      </c>
      <c r="B172">
        <v>81</v>
      </c>
      <c r="C172">
        <v>41</v>
      </c>
      <c r="D172">
        <v>0</v>
      </c>
      <c r="E172">
        <v>4</v>
      </c>
      <c r="F172" s="1">
        <f t="shared" si="2"/>
        <v>0</v>
      </c>
      <c r="G172" s="1" t="str">
        <f>_xlfn.XLOOKUP(C172,'Ocupação DW'!$F:$F,'Ocupação DW'!$E:$E,"",0)</f>
        <v>SEG - FILIAL I</v>
      </c>
      <c r="H172" t="str">
        <f>Vagas[[#This Row],[data]]&amp;Vagas[[#This Row],[profissional_id]]&amp;Vagas[[#This Row],[local_id]]</f>
        <v>446368141</v>
      </c>
    </row>
    <row r="173" spans="1:8" x14ac:dyDescent="0.25">
      <c r="A173" s="2">
        <v>44636</v>
      </c>
      <c r="B173">
        <v>86</v>
      </c>
      <c r="D173">
        <v>13</v>
      </c>
      <c r="E173">
        <v>0</v>
      </c>
      <c r="F173" s="1">
        <f t="shared" si="2"/>
        <v>0</v>
      </c>
      <c r="G173" s="1" t="str">
        <f>_xlfn.XLOOKUP(C173,'Ocupação DW'!$F:$F,'Ocupação DW'!$E:$E,"",0)</f>
        <v/>
      </c>
      <c r="H173" t="str">
        <f>Vagas[[#This Row],[data]]&amp;Vagas[[#This Row],[profissional_id]]&amp;Vagas[[#This Row],[local_id]]</f>
        <v>4463686</v>
      </c>
    </row>
    <row r="174" spans="1:8" x14ac:dyDescent="0.25">
      <c r="A174" s="2">
        <v>44636</v>
      </c>
      <c r="B174">
        <v>86</v>
      </c>
      <c r="C174">
        <v>66</v>
      </c>
      <c r="D174">
        <v>0</v>
      </c>
      <c r="E174">
        <v>0</v>
      </c>
      <c r="F174" s="1">
        <f t="shared" si="2"/>
        <v>13</v>
      </c>
      <c r="G174" s="1" t="str">
        <f>_xlfn.XLOOKUP(C174,'Ocupação DW'!$F:$F,'Ocupação DW'!$E:$E,"",0)</f>
        <v>SEG - NILÓPOLIS</v>
      </c>
      <c r="H174" t="str">
        <f>Vagas[[#This Row],[data]]&amp;Vagas[[#This Row],[profissional_id]]&amp;Vagas[[#This Row],[local_id]]</f>
        <v>446368666</v>
      </c>
    </row>
    <row r="175" spans="1:8" x14ac:dyDescent="0.25">
      <c r="A175" s="2">
        <v>44636</v>
      </c>
      <c r="B175">
        <v>92</v>
      </c>
      <c r="C175">
        <v>340</v>
      </c>
      <c r="D175">
        <v>72</v>
      </c>
      <c r="E175">
        <v>0</v>
      </c>
      <c r="F175" s="1">
        <f t="shared" si="2"/>
        <v>0</v>
      </c>
      <c r="G175" s="1" t="str">
        <f>_xlfn.XLOOKUP(C175,'Ocupação DW'!$F:$F,'Ocupação DW'!$E:$E,"",0)</f>
        <v>SEG - MATRIZ</v>
      </c>
      <c r="H175" t="str">
        <f>Vagas[[#This Row],[data]]&amp;Vagas[[#This Row],[profissional_id]]&amp;Vagas[[#This Row],[local_id]]</f>
        <v>4463692340</v>
      </c>
    </row>
    <row r="176" spans="1:8" x14ac:dyDescent="0.25">
      <c r="A176" s="2">
        <v>44636</v>
      </c>
      <c r="B176">
        <v>100</v>
      </c>
      <c r="D176">
        <v>0</v>
      </c>
      <c r="E176">
        <v>0</v>
      </c>
      <c r="F176" s="1">
        <f t="shared" si="2"/>
        <v>0</v>
      </c>
      <c r="G176" s="1">
        <f>_xlfn.XLOOKUP(C176,'Ocupação DW'!$F:$F,'Ocupação DW'!$E:$E,"",0)</f>
        <v>0</v>
      </c>
      <c r="H176" t="str">
        <f>Vagas[[#This Row],[data]]&amp;Vagas[[#This Row],[profissional_id]]&amp;Vagas[[#This Row],[local_id]]</f>
        <v>44636100</v>
      </c>
    </row>
    <row r="177" spans="1:8" x14ac:dyDescent="0.25">
      <c r="A177" s="2">
        <v>44636</v>
      </c>
      <c r="B177">
        <v>102</v>
      </c>
      <c r="C177">
        <v>365</v>
      </c>
      <c r="D177">
        <v>41</v>
      </c>
      <c r="E177">
        <v>0</v>
      </c>
      <c r="F177" s="1">
        <f t="shared" si="2"/>
        <v>0</v>
      </c>
      <c r="G177" s="1" t="str">
        <f>_xlfn.XLOOKUP(C177,'Ocupação DW'!$F:$F,'Ocupação DW'!$E:$E,"",0)</f>
        <v/>
      </c>
      <c r="H177" t="str">
        <f>Vagas[[#This Row],[data]]&amp;Vagas[[#This Row],[profissional_id]]&amp;Vagas[[#This Row],[local_id]]</f>
        <v>44636102365</v>
      </c>
    </row>
    <row r="178" spans="1:8" x14ac:dyDescent="0.25">
      <c r="A178" s="2">
        <v>44636</v>
      </c>
      <c r="B178">
        <v>103</v>
      </c>
      <c r="C178">
        <v>365</v>
      </c>
      <c r="D178">
        <v>41</v>
      </c>
      <c r="E178">
        <v>0</v>
      </c>
      <c r="F178" s="1">
        <f t="shared" si="2"/>
        <v>0</v>
      </c>
      <c r="G178" s="1" t="str">
        <f>_xlfn.XLOOKUP(C178,'Ocupação DW'!$F:$F,'Ocupação DW'!$E:$E,"",0)</f>
        <v/>
      </c>
      <c r="H178" t="str">
        <f>Vagas[[#This Row],[data]]&amp;Vagas[[#This Row],[profissional_id]]&amp;Vagas[[#This Row],[local_id]]</f>
        <v>44636103365</v>
      </c>
    </row>
    <row r="179" spans="1:8" x14ac:dyDescent="0.25">
      <c r="A179" s="2">
        <v>44636</v>
      </c>
      <c r="B179">
        <v>104</v>
      </c>
      <c r="C179">
        <v>365</v>
      </c>
      <c r="D179">
        <v>41</v>
      </c>
      <c r="E179">
        <v>0</v>
      </c>
      <c r="F179" s="1">
        <f t="shared" si="2"/>
        <v>0</v>
      </c>
      <c r="G179" s="1" t="str">
        <f>_xlfn.XLOOKUP(C179,'Ocupação DW'!$F:$F,'Ocupação DW'!$E:$E,"",0)</f>
        <v/>
      </c>
      <c r="H179" t="str">
        <f>Vagas[[#This Row],[data]]&amp;Vagas[[#This Row],[profissional_id]]&amp;Vagas[[#This Row],[local_id]]</f>
        <v>44636104365</v>
      </c>
    </row>
    <row r="180" spans="1:8" x14ac:dyDescent="0.25">
      <c r="A180" s="2">
        <v>44636</v>
      </c>
      <c r="B180">
        <v>110</v>
      </c>
      <c r="D180">
        <v>43</v>
      </c>
      <c r="E180">
        <v>0</v>
      </c>
      <c r="F180" s="1">
        <f t="shared" si="2"/>
        <v>0</v>
      </c>
      <c r="G180" s="1" t="str">
        <f>_xlfn.XLOOKUP(C180,'Ocupação DW'!$F:$F,'Ocupação DW'!$E:$E,"",0)</f>
        <v/>
      </c>
      <c r="H180" t="str">
        <f>Vagas[[#This Row],[data]]&amp;Vagas[[#This Row],[profissional_id]]&amp;Vagas[[#This Row],[local_id]]</f>
        <v>44636110</v>
      </c>
    </row>
    <row r="181" spans="1:8" x14ac:dyDescent="0.25">
      <c r="A181" s="2">
        <v>44636</v>
      </c>
      <c r="B181">
        <v>110</v>
      </c>
      <c r="C181">
        <v>334</v>
      </c>
      <c r="D181">
        <v>0</v>
      </c>
      <c r="E181">
        <v>0</v>
      </c>
      <c r="F181" s="1">
        <f t="shared" si="2"/>
        <v>43</v>
      </c>
      <c r="G181" s="1" t="str">
        <f>_xlfn.XLOOKUP(C181,'Ocupação DW'!$F:$F,'Ocupação DW'!$E:$E,"",0)</f>
        <v>SEG - FILIAL I</v>
      </c>
      <c r="H181" t="str">
        <f>Vagas[[#This Row],[data]]&amp;Vagas[[#This Row],[profissional_id]]&amp;Vagas[[#This Row],[local_id]]</f>
        <v>44636110334</v>
      </c>
    </row>
    <row r="182" spans="1:8" x14ac:dyDescent="0.25">
      <c r="A182" s="2">
        <v>44636</v>
      </c>
      <c r="B182">
        <v>111</v>
      </c>
      <c r="C182">
        <v>51</v>
      </c>
      <c r="D182">
        <v>1</v>
      </c>
      <c r="E182">
        <v>0</v>
      </c>
      <c r="F182" s="1">
        <f t="shared" si="2"/>
        <v>0</v>
      </c>
      <c r="G182" s="1" t="str">
        <f>_xlfn.XLOOKUP(C182,'Ocupação DW'!$F:$F,'Ocupação DW'!$E:$E,"",0)</f>
        <v>SEG - FILIAL I</v>
      </c>
      <c r="H182" t="str">
        <f>Vagas[[#This Row],[data]]&amp;Vagas[[#This Row],[profissional_id]]&amp;Vagas[[#This Row],[local_id]]</f>
        <v>4463611151</v>
      </c>
    </row>
    <row r="183" spans="1:8" x14ac:dyDescent="0.25">
      <c r="A183" s="2">
        <v>44636</v>
      </c>
      <c r="B183">
        <v>118</v>
      </c>
      <c r="C183">
        <v>365</v>
      </c>
      <c r="D183">
        <v>41</v>
      </c>
      <c r="E183">
        <v>0</v>
      </c>
      <c r="F183" s="1">
        <f t="shared" si="2"/>
        <v>0</v>
      </c>
      <c r="G183" s="1" t="str">
        <f>_xlfn.XLOOKUP(C183,'Ocupação DW'!$F:$F,'Ocupação DW'!$E:$E,"",0)</f>
        <v/>
      </c>
      <c r="H183" t="str">
        <f>Vagas[[#This Row],[data]]&amp;Vagas[[#This Row],[profissional_id]]&amp;Vagas[[#This Row],[local_id]]</f>
        <v>44636118365</v>
      </c>
    </row>
    <row r="184" spans="1:8" x14ac:dyDescent="0.25">
      <c r="A184" s="2">
        <v>44636</v>
      </c>
      <c r="B184">
        <v>123</v>
      </c>
      <c r="D184">
        <v>11</v>
      </c>
      <c r="E184">
        <v>0</v>
      </c>
      <c r="F184" s="1">
        <f t="shared" si="2"/>
        <v>0</v>
      </c>
      <c r="G184" s="1">
        <f>_xlfn.XLOOKUP(C184,'Ocupação DW'!$F:$F,'Ocupação DW'!$E:$E,"",0)</f>
        <v>0</v>
      </c>
      <c r="H184" t="str">
        <f>Vagas[[#This Row],[data]]&amp;Vagas[[#This Row],[profissional_id]]&amp;Vagas[[#This Row],[local_id]]</f>
        <v>44636123</v>
      </c>
    </row>
    <row r="185" spans="1:8" x14ac:dyDescent="0.25">
      <c r="A185" s="2">
        <v>44636</v>
      </c>
      <c r="B185">
        <v>123</v>
      </c>
      <c r="C185">
        <v>351</v>
      </c>
      <c r="D185">
        <v>11</v>
      </c>
      <c r="E185">
        <v>0</v>
      </c>
      <c r="F185" s="1">
        <f t="shared" si="2"/>
        <v>0</v>
      </c>
      <c r="G185" s="1" t="str">
        <f>_xlfn.XLOOKUP(C185,'Ocupação DW'!$F:$F,'Ocupação DW'!$E:$E,"",0)</f>
        <v>SEG - FILIAL I</v>
      </c>
      <c r="H185" t="str">
        <f>Vagas[[#This Row],[data]]&amp;Vagas[[#This Row],[profissional_id]]&amp;Vagas[[#This Row],[local_id]]</f>
        <v>44636123351</v>
      </c>
    </row>
    <row r="186" spans="1:8" x14ac:dyDescent="0.25">
      <c r="A186" s="2">
        <v>44636</v>
      </c>
      <c r="B186">
        <v>129</v>
      </c>
      <c r="C186">
        <v>365</v>
      </c>
      <c r="D186">
        <v>41</v>
      </c>
      <c r="E186">
        <v>0</v>
      </c>
      <c r="F186" s="1">
        <f t="shared" si="2"/>
        <v>0</v>
      </c>
      <c r="G186" s="1" t="str">
        <f>_xlfn.XLOOKUP(C186,'Ocupação DW'!$F:$F,'Ocupação DW'!$E:$E,"",0)</f>
        <v/>
      </c>
      <c r="H186" t="str">
        <f>Vagas[[#This Row],[data]]&amp;Vagas[[#This Row],[profissional_id]]&amp;Vagas[[#This Row],[local_id]]</f>
        <v>44636129365</v>
      </c>
    </row>
    <row r="187" spans="1:8" x14ac:dyDescent="0.25">
      <c r="A187" s="2">
        <v>44636</v>
      </c>
      <c r="B187">
        <v>174</v>
      </c>
      <c r="C187">
        <v>24</v>
      </c>
      <c r="D187">
        <v>74</v>
      </c>
      <c r="E187">
        <v>0</v>
      </c>
      <c r="F187" s="1">
        <f t="shared" si="2"/>
        <v>0</v>
      </c>
      <c r="G187" s="1" t="str">
        <f>_xlfn.XLOOKUP(C187,'Ocupação DW'!$F:$F,'Ocupação DW'!$E:$E,"",0)</f>
        <v>SEG - MATRIZ</v>
      </c>
      <c r="H187" t="str">
        <f>Vagas[[#This Row],[data]]&amp;Vagas[[#This Row],[profissional_id]]&amp;Vagas[[#This Row],[local_id]]</f>
        <v>4463617424</v>
      </c>
    </row>
    <row r="188" spans="1:8" x14ac:dyDescent="0.25">
      <c r="A188" s="2">
        <v>44636</v>
      </c>
      <c r="B188">
        <v>282</v>
      </c>
      <c r="D188">
        <v>134</v>
      </c>
      <c r="E188">
        <v>0</v>
      </c>
      <c r="F188" s="1">
        <f t="shared" si="2"/>
        <v>0</v>
      </c>
      <c r="G188" s="1" t="str">
        <f>_xlfn.XLOOKUP(C188,'Ocupação DW'!$F:$F,'Ocupação DW'!$E:$E,"",0)</f>
        <v/>
      </c>
      <c r="H188" t="str">
        <f>Vagas[[#This Row],[data]]&amp;Vagas[[#This Row],[profissional_id]]&amp;Vagas[[#This Row],[local_id]]</f>
        <v>44636282</v>
      </c>
    </row>
    <row r="189" spans="1:8" x14ac:dyDescent="0.25">
      <c r="A189" s="2">
        <v>44636</v>
      </c>
      <c r="B189">
        <v>282</v>
      </c>
      <c r="C189">
        <v>39</v>
      </c>
      <c r="D189">
        <v>50</v>
      </c>
      <c r="E189">
        <v>0</v>
      </c>
      <c r="F189" s="1">
        <f t="shared" si="2"/>
        <v>0</v>
      </c>
      <c r="G189" s="1" t="str">
        <f>_xlfn.XLOOKUP(C189,'Ocupação DW'!$F:$F,'Ocupação DW'!$E:$E,"",0)</f>
        <v>SEG - FILIAL I</v>
      </c>
      <c r="H189" t="str">
        <f>Vagas[[#This Row],[data]]&amp;Vagas[[#This Row],[profissional_id]]&amp;Vagas[[#This Row],[local_id]]</f>
        <v>4463628239</v>
      </c>
    </row>
    <row r="190" spans="1:8" x14ac:dyDescent="0.25">
      <c r="A190" s="2">
        <v>44636</v>
      </c>
      <c r="B190">
        <v>282</v>
      </c>
      <c r="C190">
        <v>46</v>
      </c>
      <c r="D190">
        <v>0</v>
      </c>
      <c r="E190">
        <v>0</v>
      </c>
      <c r="F190" s="1">
        <f t="shared" si="2"/>
        <v>50</v>
      </c>
      <c r="G190" s="1" t="str">
        <f>_xlfn.XLOOKUP(C190,'Ocupação DW'!$F:$F,'Ocupação DW'!$E:$E,"",0)</f>
        <v>SEG - FILIAL I</v>
      </c>
      <c r="H190" t="str">
        <f>Vagas[[#This Row],[data]]&amp;Vagas[[#This Row],[profissional_id]]&amp;Vagas[[#This Row],[local_id]]</f>
        <v>4463628246</v>
      </c>
    </row>
    <row r="191" spans="1:8" x14ac:dyDescent="0.25">
      <c r="A191" s="2">
        <v>44636</v>
      </c>
      <c r="B191">
        <v>531</v>
      </c>
      <c r="C191">
        <v>12</v>
      </c>
      <c r="D191">
        <v>0</v>
      </c>
      <c r="E191">
        <v>4</v>
      </c>
      <c r="F191" s="1">
        <f t="shared" si="2"/>
        <v>0</v>
      </c>
      <c r="G191" s="1" t="str">
        <f>_xlfn.XLOOKUP(C191,'Ocupação DW'!$F:$F,'Ocupação DW'!$E:$E,"",0)</f>
        <v>SEG - FILIAL II 11°</v>
      </c>
      <c r="H191" t="str">
        <f>Vagas[[#This Row],[data]]&amp;Vagas[[#This Row],[profissional_id]]&amp;Vagas[[#This Row],[local_id]]</f>
        <v>4463653112</v>
      </c>
    </row>
    <row r="192" spans="1:8" x14ac:dyDescent="0.25">
      <c r="A192" s="2">
        <v>44636</v>
      </c>
      <c r="B192">
        <v>747</v>
      </c>
      <c r="C192">
        <v>6</v>
      </c>
      <c r="D192">
        <v>16</v>
      </c>
      <c r="E192">
        <v>0</v>
      </c>
      <c r="F192" s="1">
        <f t="shared" si="2"/>
        <v>0</v>
      </c>
      <c r="G192" s="1" t="str">
        <f>_xlfn.XLOOKUP(C192,'Ocupação DW'!$F:$F,'Ocupação DW'!$E:$E,"",0)</f>
        <v>SEG - FILIAL II 10°</v>
      </c>
      <c r="H192" t="str">
        <f>Vagas[[#This Row],[data]]&amp;Vagas[[#This Row],[profissional_id]]&amp;Vagas[[#This Row],[local_id]]</f>
        <v>446367476</v>
      </c>
    </row>
    <row r="193" spans="1:8" x14ac:dyDescent="0.25">
      <c r="A193" s="2">
        <v>44636</v>
      </c>
      <c r="B193">
        <v>1343</v>
      </c>
      <c r="D193">
        <v>26</v>
      </c>
      <c r="E193">
        <v>0</v>
      </c>
      <c r="F193" s="1">
        <f t="shared" si="2"/>
        <v>0</v>
      </c>
      <c r="G193" s="1" t="str">
        <f>_xlfn.XLOOKUP(C193,'Ocupação DW'!$F:$F,'Ocupação DW'!$E:$E,"",0)</f>
        <v/>
      </c>
      <c r="H193" t="str">
        <f>Vagas[[#This Row],[data]]&amp;Vagas[[#This Row],[profissional_id]]&amp;Vagas[[#This Row],[local_id]]</f>
        <v>446361343</v>
      </c>
    </row>
    <row r="194" spans="1:8" x14ac:dyDescent="0.25">
      <c r="A194" s="2">
        <v>44636</v>
      </c>
      <c r="B194">
        <v>1343</v>
      </c>
      <c r="C194">
        <v>64</v>
      </c>
      <c r="D194">
        <v>0</v>
      </c>
      <c r="E194">
        <v>0</v>
      </c>
      <c r="F194" s="1">
        <f t="shared" ref="F194:F257" si="3">IF(AND(A194=A193,B194=B193,D193&lt;&gt;0,D194=0),D193,0)</f>
        <v>26</v>
      </c>
      <c r="G194" s="1" t="str">
        <f>_xlfn.XLOOKUP(C194,'Ocupação DW'!$F:$F,'Ocupação DW'!$E:$E,"",0)</f>
        <v>SEG - NILÓPOLIS</v>
      </c>
      <c r="H194" t="str">
        <f>Vagas[[#This Row],[data]]&amp;Vagas[[#This Row],[profissional_id]]&amp;Vagas[[#This Row],[local_id]]</f>
        <v>44636134364</v>
      </c>
    </row>
    <row r="195" spans="1:8" x14ac:dyDescent="0.25">
      <c r="A195" s="2">
        <v>44636</v>
      </c>
      <c r="B195">
        <v>1343</v>
      </c>
      <c r="C195">
        <v>342</v>
      </c>
      <c r="D195">
        <v>0</v>
      </c>
      <c r="E195">
        <v>0</v>
      </c>
      <c r="F195" s="1">
        <f t="shared" si="3"/>
        <v>0</v>
      </c>
      <c r="G195" s="1" t="str">
        <f>_xlfn.XLOOKUP(C195,'Ocupação DW'!$F:$F,'Ocupação DW'!$E:$E,"",0)</f>
        <v>SEG - MATRIZ</v>
      </c>
      <c r="H195" t="str">
        <f>Vagas[[#This Row],[data]]&amp;Vagas[[#This Row],[profissional_id]]&amp;Vagas[[#This Row],[local_id]]</f>
        <v>446361343342</v>
      </c>
    </row>
    <row r="196" spans="1:8" x14ac:dyDescent="0.25">
      <c r="A196" s="2">
        <v>44636</v>
      </c>
      <c r="B196">
        <v>1490</v>
      </c>
      <c r="D196">
        <v>13</v>
      </c>
      <c r="E196">
        <v>0</v>
      </c>
      <c r="F196" s="1">
        <f t="shared" si="3"/>
        <v>0</v>
      </c>
      <c r="G196" s="1" t="str">
        <f>_xlfn.XLOOKUP(C196,'Ocupação DW'!$F:$F,'Ocupação DW'!$E:$E,"",0)</f>
        <v/>
      </c>
      <c r="H196" t="str">
        <f>Vagas[[#This Row],[data]]&amp;Vagas[[#This Row],[profissional_id]]&amp;Vagas[[#This Row],[local_id]]</f>
        <v>446361490</v>
      </c>
    </row>
    <row r="197" spans="1:8" x14ac:dyDescent="0.25">
      <c r="A197" s="2">
        <v>44636</v>
      </c>
      <c r="B197">
        <v>1490</v>
      </c>
      <c r="C197">
        <v>13</v>
      </c>
      <c r="D197">
        <v>0</v>
      </c>
      <c r="E197">
        <v>0</v>
      </c>
      <c r="F197" s="1">
        <f t="shared" si="3"/>
        <v>13</v>
      </c>
      <c r="G197" s="1" t="str">
        <f>_xlfn.XLOOKUP(C197,'Ocupação DW'!$F:$F,'Ocupação DW'!$E:$E,"",0)</f>
        <v>SEG - FILIAL II 11°</v>
      </c>
      <c r="H197" t="str">
        <f>Vagas[[#This Row],[data]]&amp;Vagas[[#This Row],[profissional_id]]&amp;Vagas[[#This Row],[local_id]]</f>
        <v>44636149013</v>
      </c>
    </row>
    <row r="198" spans="1:8" x14ac:dyDescent="0.25">
      <c r="A198" s="2">
        <v>44636</v>
      </c>
      <c r="B198">
        <v>1794</v>
      </c>
      <c r="C198">
        <v>49</v>
      </c>
      <c r="D198">
        <v>0</v>
      </c>
      <c r="E198">
        <v>0</v>
      </c>
      <c r="F198" s="1">
        <f t="shared" si="3"/>
        <v>0</v>
      </c>
      <c r="G198" s="1" t="str">
        <f>_xlfn.XLOOKUP(C198,'Ocupação DW'!$F:$F,'Ocupação DW'!$E:$E,"",0)</f>
        <v>SEG - FILIAL I</v>
      </c>
      <c r="H198" t="str">
        <f>Vagas[[#This Row],[data]]&amp;Vagas[[#This Row],[profissional_id]]&amp;Vagas[[#This Row],[local_id]]</f>
        <v>44636179449</v>
      </c>
    </row>
    <row r="199" spans="1:8" x14ac:dyDescent="0.25">
      <c r="A199" s="2">
        <v>44636</v>
      </c>
      <c r="B199">
        <v>2036</v>
      </c>
      <c r="C199">
        <v>7</v>
      </c>
      <c r="D199">
        <v>12</v>
      </c>
      <c r="E199">
        <v>0</v>
      </c>
      <c r="F199" s="1">
        <f t="shared" si="3"/>
        <v>0</v>
      </c>
      <c r="G199" s="1" t="str">
        <f>_xlfn.XLOOKUP(C199,'Ocupação DW'!$F:$F,'Ocupação DW'!$E:$E,"",0)</f>
        <v>SEG - FILIAL II 10°</v>
      </c>
      <c r="H199" t="str">
        <f>Vagas[[#This Row],[data]]&amp;Vagas[[#This Row],[profissional_id]]&amp;Vagas[[#This Row],[local_id]]</f>
        <v>4463620367</v>
      </c>
    </row>
    <row r="200" spans="1:8" x14ac:dyDescent="0.25">
      <c r="A200" s="2">
        <v>44636</v>
      </c>
      <c r="B200">
        <v>2036</v>
      </c>
      <c r="C200">
        <v>368</v>
      </c>
      <c r="D200">
        <v>41</v>
      </c>
      <c r="E200">
        <v>0</v>
      </c>
      <c r="F200" s="1">
        <f t="shared" si="3"/>
        <v>0</v>
      </c>
      <c r="G200" s="1" t="str">
        <f>_xlfn.XLOOKUP(C200,'Ocupação DW'!$F:$F,'Ocupação DW'!$E:$E,"",0)</f>
        <v/>
      </c>
      <c r="H200" t="str">
        <f>Vagas[[#This Row],[data]]&amp;Vagas[[#This Row],[profissional_id]]&amp;Vagas[[#This Row],[local_id]]</f>
        <v>446362036368</v>
      </c>
    </row>
    <row r="201" spans="1:8" x14ac:dyDescent="0.25">
      <c r="A201" s="2">
        <v>44636</v>
      </c>
      <c r="B201">
        <v>2334</v>
      </c>
      <c r="D201">
        <v>0</v>
      </c>
      <c r="E201">
        <v>0</v>
      </c>
      <c r="F201" s="1">
        <f t="shared" si="3"/>
        <v>0</v>
      </c>
      <c r="G201" s="1" t="str">
        <f>_xlfn.XLOOKUP(C201,'Ocupação DW'!$F:$F,'Ocupação DW'!$E:$E,"",0)</f>
        <v/>
      </c>
      <c r="H201" t="str">
        <f>Vagas[[#This Row],[data]]&amp;Vagas[[#This Row],[profissional_id]]&amp;Vagas[[#This Row],[local_id]]</f>
        <v>446362334</v>
      </c>
    </row>
    <row r="202" spans="1:8" x14ac:dyDescent="0.25">
      <c r="A202" s="2">
        <v>44636</v>
      </c>
      <c r="B202">
        <v>2396</v>
      </c>
      <c r="C202">
        <v>2</v>
      </c>
      <c r="D202">
        <v>0</v>
      </c>
      <c r="E202">
        <v>0</v>
      </c>
      <c r="F202" s="1">
        <f t="shared" si="3"/>
        <v>0</v>
      </c>
      <c r="G202" s="1" t="str">
        <f>_xlfn.XLOOKUP(C202,'Ocupação DW'!$F:$F,'Ocupação DW'!$E:$E,"",0)</f>
        <v>SEG - FILIAL II 10°</v>
      </c>
      <c r="H202" t="str">
        <f>Vagas[[#This Row],[data]]&amp;Vagas[[#This Row],[profissional_id]]&amp;Vagas[[#This Row],[local_id]]</f>
        <v>4463623962</v>
      </c>
    </row>
    <row r="203" spans="1:8" x14ac:dyDescent="0.25">
      <c r="A203" s="2">
        <v>44636</v>
      </c>
      <c r="B203">
        <v>2567</v>
      </c>
      <c r="C203">
        <v>349</v>
      </c>
      <c r="D203">
        <v>0</v>
      </c>
      <c r="E203">
        <v>0</v>
      </c>
      <c r="F203" s="1">
        <f t="shared" si="3"/>
        <v>0</v>
      </c>
      <c r="G203" s="1" t="str">
        <f>_xlfn.XLOOKUP(C203,'Ocupação DW'!$F:$F,'Ocupação DW'!$E:$E,"",0)</f>
        <v>SEG - FILIAL II 11°</v>
      </c>
      <c r="H203" t="str">
        <f>Vagas[[#This Row],[data]]&amp;Vagas[[#This Row],[profissional_id]]&amp;Vagas[[#This Row],[local_id]]</f>
        <v>446362567349</v>
      </c>
    </row>
    <row r="204" spans="1:8" x14ac:dyDescent="0.25">
      <c r="A204" s="2">
        <v>44636</v>
      </c>
      <c r="B204">
        <v>3092</v>
      </c>
      <c r="D204">
        <v>0</v>
      </c>
      <c r="E204">
        <v>0</v>
      </c>
      <c r="F204" s="1">
        <f t="shared" si="3"/>
        <v>0</v>
      </c>
      <c r="G204" s="1" t="str">
        <f>_xlfn.XLOOKUP(C204,'Ocupação DW'!$F:$F,'Ocupação DW'!$E:$E,"",0)</f>
        <v/>
      </c>
      <c r="H204" t="str">
        <f>Vagas[[#This Row],[data]]&amp;Vagas[[#This Row],[profissional_id]]&amp;Vagas[[#This Row],[local_id]]</f>
        <v>446363092</v>
      </c>
    </row>
    <row r="205" spans="1:8" x14ac:dyDescent="0.25">
      <c r="A205" s="2">
        <v>44636</v>
      </c>
      <c r="B205">
        <v>3502</v>
      </c>
      <c r="D205">
        <v>61</v>
      </c>
      <c r="E205">
        <v>0</v>
      </c>
      <c r="F205" s="1">
        <f t="shared" si="3"/>
        <v>0</v>
      </c>
      <c r="G205" s="1" t="str">
        <f>_xlfn.XLOOKUP(C205,'Ocupação DW'!$F:$F,'Ocupação DW'!$E:$E,"",0)</f>
        <v/>
      </c>
      <c r="H205" t="str">
        <f>Vagas[[#This Row],[data]]&amp;Vagas[[#This Row],[profissional_id]]&amp;Vagas[[#This Row],[local_id]]</f>
        <v>446363502</v>
      </c>
    </row>
    <row r="206" spans="1:8" x14ac:dyDescent="0.25">
      <c r="A206" s="2">
        <v>44636</v>
      </c>
      <c r="B206">
        <v>3502</v>
      </c>
      <c r="C206">
        <v>16</v>
      </c>
      <c r="D206">
        <v>0</v>
      </c>
      <c r="E206">
        <v>0</v>
      </c>
      <c r="F206" s="1">
        <f t="shared" si="3"/>
        <v>61</v>
      </c>
      <c r="G206" s="1" t="str">
        <f>_xlfn.XLOOKUP(C206,'Ocupação DW'!$F:$F,'Ocupação DW'!$E:$E,"",0)</f>
        <v>SEG - FILIAL II 11°</v>
      </c>
      <c r="H206" t="str">
        <f>Vagas[[#This Row],[data]]&amp;Vagas[[#This Row],[profissional_id]]&amp;Vagas[[#This Row],[local_id]]</f>
        <v>44636350216</v>
      </c>
    </row>
    <row r="207" spans="1:8" x14ac:dyDescent="0.25">
      <c r="A207" s="2">
        <v>44636</v>
      </c>
      <c r="B207">
        <v>5767</v>
      </c>
      <c r="C207">
        <v>43</v>
      </c>
      <c r="D207">
        <v>0</v>
      </c>
      <c r="E207">
        <v>0</v>
      </c>
      <c r="F207" s="1">
        <f t="shared" si="3"/>
        <v>0</v>
      </c>
      <c r="G207" s="1" t="str">
        <f>_xlfn.XLOOKUP(C207,'Ocupação DW'!$F:$F,'Ocupação DW'!$E:$E,"",0)</f>
        <v>SEG - FILIAL I</v>
      </c>
      <c r="H207" t="str">
        <f>Vagas[[#This Row],[data]]&amp;Vagas[[#This Row],[profissional_id]]&amp;Vagas[[#This Row],[local_id]]</f>
        <v>44636576743</v>
      </c>
    </row>
    <row r="208" spans="1:8" x14ac:dyDescent="0.25">
      <c r="A208" s="2">
        <v>44636</v>
      </c>
      <c r="B208">
        <v>5767</v>
      </c>
      <c r="C208">
        <v>44</v>
      </c>
      <c r="D208">
        <v>0</v>
      </c>
      <c r="E208">
        <v>0</v>
      </c>
      <c r="F208" s="1">
        <f t="shared" si="3"/>
        <v>0</v>
      </c>
      <c r="G208" s="1" t="str">
        <f>_xlfn.XLOOKUP(C208,'Ocupação DW'!$F:$F,'Ocupação DW'!$E:$E,"",0)</f>
        <v>SEG - FILIAL I</v>
      </c>
      <c r="H208" t="str">
        <f>Vagas[[#This Row],[data]]&amp;Vagas[[#This Row],[profissional_id]]&amp;Vagas[[#This Row],[local_id]]</f>
        <v>44636576744</v>
      </c>
    </row>
    <row r="209" spans="1:8" x14ac:dyDescent="0.25">
      <c r="A209" s="2">
        <v>44636</v>
      </c>
      <c r="B209">
        <v>5927</v>
      </c>
      <c r="C209">
        <v>17</v>
      </c>
      <c r="D209">
        <v>0</v>
      </c>
      <c r="E209">
        <v>0</v>
      </c>
      <c r="F209" s="1">
        <f t="shared" si="3"/>
        <v>0</v>
      </c>
      <c r="G209" s="1" t="str">
        <f>_xlfn.XLOOKUP(C209,'Ocupação DW'!$F:$F,'Ocupação DW'!$E:$E,"",0)</f>
        <v>SEG - FILIAL II 11°</v>
      </c>
      <c r="H209" t="str">
        <f>Vagas[[#This Row],[data]]&amp;Vagas[[#This Row],[profissional_id]]&amp;Vagas[[#This Row],[local_id]]</f>
        <v>44636592717</v>
      </c>
    </row>
    <row r="210" spans="1:8" x14ac:dyDescent="0.25">
      <c r="A210" s="2">
        <v>44636</v>
      </c>
      <c r="B210">
        <v>5927</v>
      </c>
      <c r="C210">
        <v>14</v>
      </c>
      <c r="D210">
        <v>0</v>
      </c>
      <c r="E210">
        <v>0</v>
      </c>
      <c r="F210" s="1">
        <f t="shared" si="3"/>
        <v>0</v>
      </c>
      <c r="G210" s="1" t="str">
        <f>_xlfn.XLOOKUP(C210,'Ocupação DW'!$F:$F,'Ocupação DW'!$E:$E,"",0)</f>
        <v>SEG - FILIAL II 11°</v>
      </c>
      <c r="H210" t="str">
        <f>Vagas[[#This Row],[data]]&amp;Vagas[[#This Row],[profissional_id]]&amp;Vagas[[#This Row],[local_id]]</f>
        <v>44636592714</v>
      </c>
    </row>
    <row r="211" spans="1:8" x14ac:dyDescent="0.25">
      <c r="A211" s="2">
        <v>44636</v>
      </c>
      <c r="B211">
        <v>6046</v>
      </c>
      <c r="D211">
        <v>5</v>
      </c>
      <c r="E211">
        <v>0</v>
      </c>
      <c r="F211" s="1">
        <f t="shared" si="3"/>
        <v>0</v>
      </c>
      <c r="G211" s="1" t="str">
        <f>_xlfn.XLOOKUP(C211,'Ocupação DW'!$F:$F,'Ocupação DW'!$E:$E,"",0)</f>
        <v/>
      </c>
      <c r="H211" t="str">
        <f>Vagas[[#This Row],[data]]&amp;Vagas[[#This Row],[profissional_id]]&amp;Vagas[[#This Row],[local_id]]</f>
        <v>446366046</v>
      </c>
    </row>
    <row r="212" spans="1:8" x14ac:dyDescent="0.25">
      <c r="A212" s="2">
        <v>44636</v>
      </c>
      <c r="B212">
        <v>6046</v>
      </c>
      <c r="C212">
        <v>344</v>
      </c>
      <c r="D212">
        <v>0</v>
      </c>
      <c r="E212">
        <v>0</v>
      </c>
      <c r="F212" s="1">
        <f t="shared" si="3"/>
        <v>5</v>
      </c>
      <c r="G212" s="1" t="str">
        <f>_xlfn.XLOOKUP(C212,'Ocupação DW'!$F:$F,'Ocupação DW'!$E:$E,"",0)</f>
        <v>SEG - MATRIZ</v>
      </c>
      <c r="H212" t="str">
        <f>Vagas[[#This Row],[data]]&amp;Vagas[[#This Row],[profissional_id]]&amp;Vagas[[#This Row],[local_id]]</f>
        <v>446366046344</v>
      </c>
    </row>
    <row r="213" spans="1:8" x14ac:dyDescent="0.25">
      <c r="A213" s="2">
        <v>44636</v>
      </c>
      <c r="B213">
        <v>6430</v>
      </c>
      <c r="D213">
        <v>49</v>
      </c>
      <c r="E213">
        <v>0</v>
      </c>
      <c r="F213" s="1">
        <f t="shared" si="3"/>
        <v>0</v>
      </c>
      <c r="G213" s="1" t="str">
        <f>_xlfn.XLOOKUP(C213,'Ocupação DW'!$F:$F,'Ocupação DW'!$E:$E,"",0)</f>
        <v/>
      </c>
      <c r="H213" t="str">
        <f>Vagas[[#This Row],[data]]&amp;Vagas[[#This Row],[profissional_id]]&amp;Vagas[[#This Row],[local_id]]</f>
        <v>446366430</v>
      </c>
    </row>
    <row r="214" spans="1:8" x14ac:dyDescent="0.25">
      <c r="A214" s="2">
        <v>44636</v>
      </c>
      <c r="B214">
        <v>6430</v>
      </c>
      <c r="C214">
        <v>42</v>
      </c>
      <c r="D214">
        <v>0</v>
      </c>
      <c r="E214">
        <v>0</v>
      </c>
      <c r="F214" s="1">
        <f t="shared" si="3"/>
        <v>49</v>
      </c>
      <c r="G214" s="1" t="str">
        <f>_xlfn.XLOOKUP(C214,'Ocupação DW'!$F:$F,'Ocupação DW'!$E:$E,"",0)</f>
        <v>SEG - FILIAL I</v>
      </c>
      <c r="H214" t="str">
        <f>Vagas[[#This Row],[data]]&amp;Vagas[[#This Row],[profissional_id]]&amp;Vagas[[#This Row],[local_id]]</f>
        <v>44636643042</v>
      </c>
    </row>
    <row r="215" spans="1:8" x14ac:dyDescent="0.25">
      <c r="A215" s="2">
        <v>44636</v>
      </c>
      <c r="B215">
        <v>6839</v>
      </c>
      <c r="C215">
        <v>81</v>
      </c>
      <c r="D215">
        <v>48</v>
      </c>
      <c r="E215">
        <v>0</v>
      </c>
      <c r="F215" s="1">
        <f t="shared" si="3"/>
        <v>0</v>
      </c>
      <c r="G215" s="1" t="str">
        <f>_xlfn.XLOOKUP(C215,'Ocupação DW'!$F:$F,'Ocupação DW'!$E:$E,"",0)</f>
        <v>SEG - MIGUEL COUTO</v>
      </c>
      <c r="H215" t="str">
        <f>Vagas[[#This Row],[data]]&amp;Vagas[[#This Row],[profissional_id]]&amp;Vagas[[#This Row],[local_id]]</f>
        <v>44636683981</v>
      </c>
    </row>
    <row r="216" spans="1:8" x14ac:dyDescent="0.25">
      <c r="A216" s="2">
        <v>44636</v>
      </c>
      <c r="B216">
        <v>7005</v>
      </c>
      <c r="C216">
        <v>43</v>
      </c>
      <c r="D216">
        <v>19</v>
      </c>
      <c r="E216">
        <v>0</v>
      </c>
      <c r="F216" s="1">
        <f t="shared" si="3"/>
        <v>0</v>
      </c>
      <c r="G216" s="1" t="str">
        <f>_xlfn.XLOOKUP(C216,'Ocupação DW'!$F:$F,'Ocupação DW'!$E:$E,"",0)</f>
        <v>SEG - FILIAL I</v>
      </c>
      <c r="H216" t="str">
        <f>Vagas[[#This Row],[data]]&amp;Vagas[[#This Row],[profissional_id]]&amp;Vagas[[#This Row],[local_id]]</f>
        <v>44636700543</v>
      </c>
    </row>
    <row r="217" spans="1:8" x14ac:dyDescent="0.25">
      <c r="A217" s="2">
        <v>44636</v>
      </c>
      <c r="B217">
        <v>7551</v>
      </c>
      <c r="C217">
        <v>15</v>
      </c>
      <c r="D217">
        <v>0</v>
      </c>
      <c r="E217">
        <v>0</v>
      </c>
      <c r="F217" s="1">
        <f t="shared" si="3"/>
        <v>0</v>
      </c>
      <c r="G217" s="1" t="str">
        <f>_xlfn.XLOOKUP(C217,'Ocupação DW'!$F:$F,'Ocupação DW'!$E:$E,"",0)</f>
        <v>SEG - FILIAL II 11°</v>
      </c>
      <c r="H217" t="str">
        <f>Vagas[[#This Row],[data]]&amp;Vagas[[#This Row],[profissional_id]]&amp;Vagas[[#This Row],[local_id]]</f>
        <v>44636755115</v>
      </c>
    </row>
    <row r="218" spans="1:8" x14ac:dyDescent="0.25">
      <c r="A218" s="2">
        <v>44636</v>
      </c>
      <c r="B218">
        <v>7900</v>
      </c>
      <c r="C218">
        <v>368</v>
      </c>
      <c r="D218">
        <v>41</v>
      </c>
      <c r="E218">
        <v>0</v>
      </c>
      <c r="F218" s="1">
        <f t="shared" si="3"/>
        <v>0</v>
      </c>
      <c r="G218" s="1" t="str">
        <f>_xlfn.XLOOKUP(C218,'Ocupação DW'!$F:$F,'Ocupação DW'!$E:$E,"",0)</f>
        <v/>
      </c>
      <c r="H218" t="str">
        <f>Vagas[[#This Row],[data]]&amp;Vagas[[#This Row],[profissional_id]]&amp;Vagas[[#This Row],[local_id]]</f>
        <v>446367900368</v>
      </c>
    </row>
    <row r="219" spans="1:8" x14ac:dyDescent="0.25">
      <c r="A219" s="2">
        <v>44636</v>
      </c>
      <c r="B219">
        <v>8223</v>
      </c>
      <c r="C219">
        <v>368</v>
      </c>
      <c r="D219">
        <v>41</v>
      </c>
      <c r="E219">
        <v>0</v>
      </c>
      <c r="F219" s="1">
        <f t="shared" si="3"/>
        <v>0</v>
      </c>
      <c r="G219" s="1" t="str">
        <f>_xlfn.XLOOKUP(C219,'Ocupação DW'!$F:$F,'Ocupação DW'!$E:$E,"",0)</f>
        <v/>
      </c>
      <c r="H219" t="str">
        <f>Vagas[[#This Row],[data]]&amp;Vagas[[#This Row],[profissional_id]]&amp;Vagas[[#This Row],[local_id]]</f>
        <v>446368223368</v>
      </c>
    </row>
    <row r="220" spans="1:8" x14ac:dyDescent="0.25">
      <c r="A220" s="2">
        <v>44636</v>
      </c>
      <c r="B220">
        <v>8598</v>
      </c>
      <c r="D220">
        <v>25</v>
      </c>
      <c r="E220">
        <v>0</v>
      </c>
      <c r="F220" s="1">
        <f t="shared" si="3"/>
        <v>0</v>
      </c>
      <c r="G220" s="1" t="str">
        <f>_xlfn.XLOOKUP(C220,'Ocupação DW'!$F:$F,'Ocupação DW'!$E:$E,"",0)</f>
        <v/>
      </c>
      <c r="H220" t="str">
        <f>Vagas[[#This Row],[data]]&amp;Vagas[[#This Row],[profissional_id]]&amp;Vagas[[#This Row],[local_id]]</f>
        <v>446368598</v>
      </c>
    </row>
    <row r="221" spans="1:8" x14ac:dyDescent="0.25">
      <c r="A221" s="2">
        <v>44636</v>
      </c>
      <c r="B221">
        <v>8598</v>
      </c>
      <c r="C221">
        <v>25</v>
      </c>
      <c r="D221">
        <v>30</v>
      </c>
      <c r="E221">
        <v>0</v>
      </c>
      <c r="F221" s="1">
        <f t="shared" si="3"/>
        <v>0</v>
      </c>
      <c r="G221" s="1" t="str">
        <f>_xlfn.XLOOKUP(C221,'Ocupação DW'!$F:$F,'Ocupação DW'!$E:$E,"",0)</f>
        <v>SEG - MATRIZ</v>
      </c>
      <c r="H221" t="str">
        <f>Vagas[[#This Row],[data]]&amp;Vagas[[#This Row],[profissional_id]]&amp;Vagas[[#This Row],[local_id]]</f>
        <v>44636859825</v>
      </c>
    </row>
    <row r="222" spans="1:8" x14ac:dyDescent="0.25">
      <c r="A222" s="2">
        <v>44636</v>
      </c>
      <c r="B222">
        <v>9111</v>
      </c>
      <c r="D222">
        <v>0</v>
      </c>
      <c r="E222">
        <v>0</v>
      </c>
      <c r="F222" s="1">
        <f t="shared" si="3"/>
        <v>0</v>
      </c>
      <c r="G222" s="1" t="str">
        <f>_xlfn.XLOOKUP(C222,'Ocupação DW'!$F:$F,'Ocupação DW'!$E:$E,"",0)</f>
        <v/>
      </c>
      <c r="H222" t="str">
        <f>Vagas[[#This Row],[data]]&amp;Vagas[[#This Row],[profissional_id]]&amp;Vagas[[#This Row],[local_id]]</f>
        <v>446369111</v>
      </c>
    </row>
    <row r="223" spans="1:8" x14ac:dyDescent="0.25">
      <c r="A223" s="2">
        <v>44636</v>
      </c>
      <c r="B223">
        <v>9123</v>
      </c>
      <c r="C223">
        <v>368</v>
      </c>
      <c r="D223">
        <v>41</v>
      </c>
      <c r="E223">
        <v>0</v>
      </c>
      <c r="F223" s="1">
        <f t="shared" si="3"/>
        <v>0</v>
      </c>
      <c r="G223" s="1" t="str">
        <f>_xlfn.XLOOKUP(C223,'Ocupação DW'!$F:$F,'Ocupação DW'!$E:$E,"",0)</f>
        <v/>
      </c>
      <c r="H223" t="str">
        <f>Vagas[[#This Row],[data]]&amp;Vagas[[#This Row],[profissional_id]]&amp;Vagas[[#This Row],[local_id]]</f>
        <v>446369123368</v>
      </c>
    </row>
    <row r="224" spans="1:8" x14ac:dyDescent="0.25">
      <c r="A224" s="2">
        <v>44636</v>
      </c>
      <c r="B224">
        <v>9207</v>
      </c>
      <c r="C224">
        <v>79</v>
      </c>
      <c r="D224">
        <v>108</v>
      </c>
      <c r="E224">
        <v>12</v>
      </c>
      <c r="F224" s="1">
        <f t="shared" si="3"/>
        <v>0</v>
      </c>
      <c r="G224" s="1" t="str">
        <f>_xlfn.XLOOKUP(C224,'Ocupação DW'!$F:$F,'Ocupação DW'!$E:$E,"",0)</f>
        <v/>
      </c>
      <c r="H224" t="str">
        <f>Vagas[[#This Row],[data]]&amp;Vagas[[#This Row],[profissional_id]]&amp;Vagas[[#This Row],[local_id]]</f>
        <v>44636920779</v>
      </c>
    </row>
    <row r="225" spans="1:8" x14ac:dyDescent="0.25">
      <c r="A225" s="2">
        <v>44636</v>
      </c>
      <c r="B225">
        <v>9237</v>
      </c>
      <c r="C225">
        <v>343</v>
      </c>
      <c r="D225">
        <v>60</v>
      </c>
      <c r="E225">
        <v>0</v>
      </c>
      <c r="F225" s="1">
        <f t="shared" si="3"/>
        <v>0</v>
      </c>
      <c r="G225" s="1" t="str">
        <f>_xlfn.XLOOKUP(C225,'Ocupação DW'!$F:$F,'Ocupação DW'!$E:$E,"",0)</f>
        <v/>
      </c>
      <c r="H225" t="str">
        <f>Vagas[[#This Row],[data]]&amp;Vagas[[#This Row],[profissional_id]]&amp;Vagas[[#This Row],[local_id]]</f>
        <v>446369237343</v>
      </c>
    </row>
    <row r="226" spans="1:8" x14ac:dyDescent="0.25">
      <c r="A226" s="2">
        <v>44636</v>
      </c>
      <c r="B226">
        <v>9717</v>
      </c>
      <c r="D226">
        <v>109</v>
      </c>
      <c r="E226">
        <v>1</v>
      </c>
      <c r="F226" s="1">
        <f t="shared" si="3"/>
        <v>0</v>
      </c>
      <c r="G226" s="1" t="str">
        <f>_xlfn.XLOOKUP(C226,'Ocupação DW'!$F:$F,'Ocupação DW'!$E:$E,"",0)</f>
        <v/>
      </c>
      <c r="H226" t="str">
        <f>Vagas[[#This Row],[data]]&amp;Vagas[[#This Row],[profissional_id]]&amp;Vagas[[#This Row],[local_id]]</f>
        <v>446369717</v>
      </c>
    </row>
    <row r="227" spans="1:8" x14ac:dyDescent="0.25">
      <c r="A227" s="2">
        <v>44636</v>
      </c>
      <c r="B227">
        <v>9717</v>
      </c>
      <c r="C227">
        <v>61</v>
      </c>
      <c r="D227">
        <v>108</v>
      </c>
      <c r="E227">
        <v>12</v>
      </c>
      <c r="F227" s="1">
        <f t="shared" si="3"/>
        <v>0</v>
      </c>
      <c r="G227" s="1" t="str">
        <f>_xlfn.XLOOKUP(C227,'Ocupação DW'!$F:$F,'Ocupação DW'!$E:$E,"",0)</f>
        <v/>
      </c>
      <c r="H227" t="str">
        <f>Vagas[[#This Row],[data]]&amp;Vagas[[#This Row],[profissional_id]]&amp;Vagas[[#This Row],[local_id]]</f>
        <v>44636971761</v>
      </c>
    </row>
    <row r="228" spans="1:8" x14ac:dyDescent="0.25">
      <c r="A228" s="2">
        <v>44636</v>
      </c>
      <c r="B228">
        <v>10249</v>
      </c>
      <c r="D228">
        <v>0</v>
      </c>
      <c r="E228">
        <v>0</v>
      </c>
      <c r="F228" s="1">
        <f t="shared" si="3"/>
        <v>0</v>
      </c>
      <c r="G228" s="1" t="str">
        <f>_xlfn.XLOOKUP(C228,'Ocupação DW'!$F:$F,'Ocupação DW'!$E:$E,"",0)</f>
        <v/>
      </c>
      <c r="H228" t="str">
        <f>Vagas[[#This Row],[data]]&amp;Vagas[[#This Row],[profissional_id]]&amp;Vagas[[#This Row],[local_id]]</f>
        <v>4463610249</v>
      </c>
    </row>
    <row r="229" spans="1:8" x14ac:dyDescent="0.25">
      <c r="A229" s="2">
        <v>44636</v>
      </c>
      <c r="B229">
        <v>10595</v>
      </c>
      <c r="D229">
        <v>0</v>
      </c>
      <c r="E229">
        <v>0</v>
      </c>
      <c r="F229" s="1">
        <f t="shared" si="3"/>
        <v>0</v>
      </c>
      <c r="G229" s="1" t="str">
        <f>_xlfn.XLOOKUP(C229,'Ocupação DW'!$F:$F,'Ocupação DW'!$E:$E,"",0)</f>
        <v/>
      </c>
      <c r="H229" t="str">
        <f>Vagas[[#This Row],[data]]&amp;Vagas[[#This Row],[profissional_id]]&amp;Vagas[[#This Row],[local_id]]</f>
        <v>4463610595</v>
      </c>
    </row>
    <row r="230" spans="1:8" x14ac:dyDescent="0.25">
      <c r="A230" s="2">
        <v>44636</v>
      </c>
      <c r="B230">
        <v>10691</v>
      </c>
      <c r="D230">
        <v>41</v>
      </c>
      <c r="E230">
        <v>0</v>
      </c>
      <c r="F230" s="1">
        <f t="shared" si="3"/>
        <v>0</v>
      </c>
      <c r="G230" s="1" t="str">
        <f>_xlfn.XLOOKUP(C230,'Ocupação DW'!$F:$F,'Ocupação DW'!$E:$E,"",0)</f>
        <v/>
      </c>
      <c r="H230" t="str">
        <f>Vagas[[#This Row],[data]]&amp;Vagas[[#This Row],[profissional_id]]&amp;Vagas[[#This Row],[local_id]]</f>
        <v>4463610691</v>
      </c>
    </row>
    <row r="231" spans="1:8" x14ac:dyDescent="0.25">
      <c r="A231" s="2">
        <v>44636</v>
      </c>
      <c r="B231">
        <v>10691</v>
      </c>
      <c r="C231">
        <v>9</v>
      </c>
      <c r="D231">
        <v>0</v>
      </c>
      <c r="E231">
        <v>0</v>
      </c>
      <c r="F231" s="1">
        <f t="shared" si="3"/>
        <v>41</v>
      </c>
      <c r="G231" s="1" t="str">
        <f>_xlfn.XLOOKUP(C231,'Ocupação DW'!$F:$F,'Ocupação DW'!$E:$E,"",0)</f>
        <v>SEG - FILIAL II 10°</v>
      </c>
      <c r="H231" t="str">
        <f>Vagas[[#This Row],[data]]&amp;Vagas[[#This Row],[profissional_id]]&amp;Vagas[[#This Row],[local_id]]</f>
        <v>44636106919</v>
      </c>
    </row>
    <row r="232" spans="1:8" x14ac:dyDescent="0.25">
      <c r="A232" s="2">
        <v>44636</v>
      </c>
      <c r="B232">
        <v>10785</v>
      </c>
      <c r="C232">
        <v>15</v>
      </c>
      <c r="D232">
        <v>24</v>
      </c>
      <c r="E232">
        <v>0</v>
      </c>
      <c r="F232" s="1">
        <f t="shared" si="3"/>
        <v>0</v>
      </c>
      <c r="G232" s="1" t="str">
        <f>_xlfn.XLOOKUP(C232,'Ocupação DW'!$F:$F,'Ocupação DW'!$E:$E,"",0)</f>
        <v>SEG - FILIAL II 11°</v>
      </c>
      <c r="H232" t="str">
        <f>Vagas[[#This Row],[data]]&amp;Vagas[[#This Row],[profissional_id]]&amp;Vagas[[#This Row],[local_id]]</f>
        <v>446361078515</v>
      </c>
    </row>
    <row r="233" spans="1:8" x14ac:dyDescent="0.25">
      <c r="A233" s="2">
        <v>44636</v>
      </c>
      <c r="B233">
        <v>10785</v>
      </c>
      <c r="C233">
        <v>14</v>
      </c>
      <c r="D233">
        <v>8</v>
      </c>
      <c r="E233">
        <v>0</v>
      </c>
      <c r="F233" s="1">
        <f t="shared" si="3"/>
        <v>0</v>
      </c>
      <c r="G233" s="1" t="str">
        <f>_xlfn.XLOOKUP(C233,'Ocupação DW'!$F:$F,'Ocupação DW'!$E:$E,"",0)</f>
        <v>SEG - FILIAL II 11°</v>
      </c>
      <c r="H233" t="str">
        <f>Vagas[[#This Row],[data]]&amp;Vagas[[#This Row],[profissional_id]]&amp;Vagas[[#This Row],[local_id]]</f>
        <v>446361078514</v>
      </c>
    </row>
    <row r="234" spans="1:8" x14ac:dyDescent="0.25">
      <c r="A234" s="2">
        <v>44636</v>
      </c>
      <c r="B234">
        <v>10799</v>
      </c>
      <c r="C234">
        <v>18</v>
      </c>
      <c r="D234">
        <v>0</v>
      </c>
      <c r="E234">
        <v>0</v>
      </c>
      <c r="F234" s="1">
        <f t="shared" si="3"/>
        <v>0</v>
      </c>
      <c r="G234" s="1" t="str">
        <f>_xlfn.XLOOKUP(C234,'Ocupação DW'!$F:$F,'Ocupação DW'!$E:$E,"",0)</f>
        <v>SEG - FILIAL II 11°</v>
      </c>
      <c r="H234" t="str">
        <f>Vagas[[#This Row],[data]]&amp;Vagas[[#This Row],[profissional_id]]&amp;Vagas[[#This Row],[local_id]]</f>
        <v>446361079918</v>
      </c>
    </row>
    <row r="235" spans="1:8" x14ac:dyDescent="0.25">
      <c r="A235" s="2">
        <v>44636</v>
      </c>
      <c r="B235">
        <v>10946</v>
      </c>
      <c r="D235">
        <v>0</v>
      </c>
      <c r="E235">
        <v>0</v>
      </c>
      <c r="F235" s="1">
        <f t="shared" si="3"/>
        <v>0</v>
      </c>
      <c r="G235" s="1" t="str">
        <f>_xlfn.XLOOKUP(C235,'Ocupação DW'!$F:$F,'Ocupação DW'!$E:$E,"",0)</f>
        <v/>
      </c>
      <c r="H235" t="str">
        <f>Vagas[[#This Row],[data]]&amp;Vagas[[#This Row],[profissional_id]]&amp;Vagas[[#This Row],[local_id]]</f>
        <v>4463610946</v>
      </c>
    </row>
    <row r="236" spans="1:8" x14ac:dyDescent="0.25">
      <c r="A236" s="2">
        <v>44636</v>
      </c>
      <c r="B236">
        <v>10946</v>
      </c>
      <c r="C236">
        <v>60</v>
      </c>
      <c r="D236">
        <v>0</v>
      </c>
      <c r="E236">
        <v>0</v>
      </c>
      <c r="F236" s="1">
        <f t="shared" si="3"/>
        <v>0</v>
      </c>
      <c r="G236" s="1" t="str">
        <f>_xlfn.XLOOKUP(C236,'Ocupação DW'!$F:$F,'Ocupação DW'!$E:$E,"",0)</f>
        <v>SEG - NILÓPOLIS</v>
      </c>
      <c r="H236" t="str">
        <f>Vagas[[#This Row],[data]]&amp;Vagas[[#This Row],[profissional_id]]&amp;Vagas[[#This Row],[local_id]]</f>
        <v>446361094660</v>
      </c>
    </row>
    <row r="237" spans="1:8" x14ac:dyDescent="0.25">
      <c r="A237" s="2">
        <v>44636</v>
      </c>
      <c r="B237">
        <v>12369</v>
      </c>
      <c r="D237">
        <v>0</v>
      </c>
      <c r="E237">
        <v>0</v>
      </c>
      <c r="F237" s="1">
        <f t="shared" si="3"/>
        <v>0</v>
      </c>
      <c r="G237" s="1" t="str">
        <f>_xlfn.XLOOKUP(C237,'Ocupação DW'!$F:$F,'Ocupação DW'!$E:$E,"",0)</f>
        <v/>
      </c>
      <c r="H237" t="str">
        <f>Vagas[[#This Row],[data]]&amp;Vagas[[#This Row],[profissional_id]]&amp;Vagas[[#This Row],[local_id]]</f>
        <v>4463612369</v>
      </c>
    </row>
    <row r="238" spans="1:8" x14ac:dyDescent="0.25">
      <c r="A238" s="2">
        <v>44636</v>
      </c>
      <c r="B238">
        <v>12482</v>
      </c>
      <c r="C238">
        <v>345</v>
      </c>
      <c r="D238">
        <v>60</v>
      </c>
      <c r="E238">
        <v>0</v>
      </c>
      <c r="F238" s="1">
        <f t="shared" si="3"/>
        <v>0</v>
      </c>
      <c r="G238" s="1" t="str">
        <f>_xlfn.XLOOKUP(C238,'Ocupação DW'!$F:$F,'Ocupação DW'!$E:$E,"",0)</f>
        <v>SEG - MATRIZ</v>
      </c>
      <c r="H238" t="str">
        <f>Vagas[[#This Row],[data]]&amp;Vagas[[#This Row],[profissional_id]]&amp;Vagas[[#This Row],[local_id]]</f>
        <v>4463612482345</v>
      </c>
    </row>
    <row r="239" spans="1:8" x14ac:dyDescent="0.25">
      <c r="A239" s="2">
        <v>44636</v>
      </c>
      <c r="B239">
        <v>12519</v>
      </c>
      <c r="D239">
        <v>29</v>
      </c>
      <c r="E239">
        <v>0</v>
      </c>
      <c r="F239" s="1">
        <f t="shared" si="3"/>
        <v>0</v>
      </c>
      <c r="G239" s="1" t="str">
        <f>_xlfn.XLOOKUP(C239,'Ocupação DW'!$F:$F,'Ocupação DW'!$E:$E,"",0)</f>
        <v/>
      </c>
      <c r="H239" t="str">
        <f>Vagas[[#This Row],[data]]&amp;Vagas[[#This Row],[profissional_id]]&amp;Vagas[[#This Row],[local_id]]</f>
        <v>4463612519</v>
      </c>
    </row>
    <row r="240" spans="1:8" x14ac:dyDescent="0.25">
      <c r="A240" s="2">
        <v>44636</v>
      </c>
      <c r="B240">
        <v>12519</v>
      </c>
      <c r="C240">
        <v>48</v>
      </c>
      <c r="D240">
        <v>0</v>
      </c>
      <c r="E240">
        <v>0</v>
      </c>
      <c r="F240" s="1">
        <f t="shared" si="3"/>
        <v>29</v>
      </c>
      <c r="G240" s="1" t="str">
        <f>_xlfn.XLOOKUP(C240,'Ocupação DW'!$F:$F,'Ocupação DW'!$E:$E,"",0)</f>
        <v>SEG - FILIAL I</v>
      </c>
      <c r="H240" t="str">
        <f>Vagas[[#This Row],[data]]&amp;Vagas[[#This Row],[profissional_id]]&amp;Vagas[[#This Row],[local_id]]</f>
        <v>446361251948</v>
      </c>
    </row>
    <row r="241" spans="1:8" x14ac:dyDescent="0.25">
      <c r="A241" s="2">
        <v>44636</v>
      </c>
      <c r="B241">
        <v>12679</v>
      </c>
      <c r="D241">
        <v>22</v>
      </c>
      <c r="E241">
        <v>0</v>
      </c>
      <c r="F241" s="1">
        <f t="shared" si="3"/>
        <v>0</v>
      </c>
      <c r="G241" s="1" t="str">
        <f>_xlfn.XLOOKUP(C241,'Ocupação DW'!$F:$F,'Ocupação DW'!$E:$E,"",0)</f>
        <v/>
      </c>
      <c r="H241" t="str">
        <f>Vagas[[#This Row],[data]]&amp;Vagas[[#This Row],[profissional_id]]&amp;Vagas[[#This Row],[local_id]]</f>
        <v>4463612679</v>
      </c>
    </row>
    <row r="242" spans="1:8" x14ac:dyDescent="0.25">
      <c r="A242" s="2">
        <v>44636</v>
      </c>
      <c r="B242">
        <v>12679</v>
      </c>
      <c r="C242">
        <v>11</v>
      </c>
      <c r="D242">
        <v>0</v>
      </c>
      <c r="E242">
        <v>0</v>
      </c>
      <c r="F242" s="1">
        <f t="shared" si="3"/>
        <v>22</v>
      </c>
      <c r="G242" s="1" t="str">
        <f>_xlfn.XLOOKUP(C242,'Ocupação DW'!$F:$F,'Ocupação DW'!$E:$E,"",0)</f>
        <v>SEG - FILIAL II 11°</v>
      </c>
      <c r="H242" t="str">
        <f>Vagas[[#This Row],[data]]&amp;Vagas[[#This Row],[profissional_id]]&amp;Vagas[[#This Row],[local_id]]</f>
        <v>446361267911</v>
      </c>
    </row>
    <row r="243" spans="1:8" x14ac:dyDescent="0.25">
      <c r="A243" s="2">
        <v>44636</v>
      </c>
      <c r="B243">
        <v>12679</v>
      </c>
      <c r="C243">
        <v>82</v>
      </c>
      <c r="D243">
        <v>0</v>
      </c>
      <c r="E243">
        <v>0</v>
      </c>
      <c r="F243" s="1">
        <f t="shared" si="3"/>
        <v>0</v>
      </c>
      <c r="G243" s="1" t="str">
        <f>_xlfn.XLOOKUP(C243,'Ocupação DW'!$F:$F,'Ocupação DW'!$E:$E,"",0)</f>
        <v>SEG - MIGUEL COUTO</v>
      </c>
      <c r="H243" t="str">
        <f>Vagas[[#This Row],[data]]&amp;Vagas[[#This Row],[profissional_id]]&amp;Vagas[[#This Row],[local_id]]</f>
        <v>446361267982</v>
      </c>
    </row>
    <row r="244" spans="1:8" x14ac:dyDescent="0.25">
      <c r="A244" s="2">
        <v>44636</v>
      </c>
      <c r="B244">
        <v>12684</v>
      </c>
      <c r="D244">
        <v>0</v>
      </c>
      <c r="E244">
        <v>0</v>
      </c>
      <c r="F244" s="1">
        <f t="shared" si="3"/>
        <v>0</v>
      </c>
      <c r="G244" s="1" t="str">
        <f>_xlfn.XLOOKUP(C244,'Ocupação DW'!$F:$F,'Ocupação DW'!$E:$E,"",0)</f>
        <v/>
      </c>
      <c r="H244" t="str">
        <f>Vagas[[#This Row],[data]]&amp;Vagas[[#This Row],[profissional_id]]&amp;Vagas[[#This Row],[local_id]]</f>
        <v>4463612684</v>
      </c>
    </row>
    <row r="245" spans="1:8" x14ac:dyDescent="0.25">
      <c r="A245" s="2">
        <v>44636</v>
      </c>
      <c r="B245">
        <v>12711</v>
      </c>
      <c r="D245">
        <v>0</v>
      </c>
      <c r="E245">
        <v>0</v>
      </c>
      <c r="F245" s="1">
        <f t="shared" si="3"/>
        <v>0</v>
      </c>
      <c r="G245" s="1" t="str">
        <f>_xlfn.XLOOKUP(C245,'Ocupação DW'!$F:$F,'Ocupação DW'!$E:$E,"",0)</f>
        <v/>
      </c>
      <c r="H245" t="str">
        <f>Vagas[[#This Row],[data]]&amp;Vagas[[#This Row],[profissional_id]]&amp;Vagas[[#This Row],[local_id]]</f>
        <v>4463612711</v>
      </c>
    </row>
    <row r="246" spans="1:8" x14ac:dyDescent="0.25">
      <c r="A246" s="2">
        <v>44636</v>
      </c>
      <c r="B246">
        <v>12810</v>
      </c>
      <c r="D246">
        <v>0</v>
      </c>
      <c r="E246">
        <v>0</v>
      </c>
      <c r="F246" s="1">
        <f t="shared" si="3"/>
        <v>0</v>
      </c>
      <c r="G246" s="1" t="str">
        <f>_xlfn.XLOOKUP(C246,'Ocupação DW'!$F:$F,'Ocupação DW'!$E:$E,"",0)</f>
        <v/>
      </c>
      <c r="H246" t="str">
        <f>Vagas[[#This Row],[data]]&amp;Vagas[[#This Row],[profissional_id]]&amp;Vagas[[#This Row],[local_id]]</f>
        <v>4463612810</v>
      </c>
    </row>
    <row r="247" spans="1:8" x14ac:dyDescent="0.25">
      <c r="A247" s="2">
        <v>44636</v>
      </c>
      <c r="B247">
        <v>12825</v>
      </c>
      <c r="D247">
        <v>17</v>
      </c>
      <c r="E247">
        <v>0</v>
      </c>
      <c r="F247" s="1">
        <f t="shared" si="3"/>
        <v>0</v>
      </c>
      <c r="G247" s="1" t="str">
        <f>_xlfn.XLOOKUP(C247,'Ocupação DW'!$F:$F,'Ocupação DW'!$E:$E,"",0)</f>
        <v/>
      </c>
      <c r="H247" t="str">
        <f>Vagas[[#This Row],[data]]&amp;Vagas[[#This Row],[profissional_id]]&amp;Vagas[[#This Row],[local_id]]</f>
        <v>4463612825</v>
      </c>
    </row>
    <row r="248" spans="1:8" x14ac:dyDescent="0.25">
      <c r="A248" s="2">
        <v>44636</v>
      </c>
      <c r="B248">
        <v>12825</v>
      </c>
      <c r="C248">
        <v>45</v>
      </c>
      <c r="D248">
        <v>0</v>
      </c>
      <c r="E248">
        <v>0</v>
      </c>
      <c r="F248" s="1">
        <f t="shared" si="3"/>
        <v>17</v>
      </c>
      <c r="G248" s="1" t="str">
        <f>_xlfn.XLOOKUP(C248,'Ocupação DW'!$F:$F,'Ocupação DW'!$E:$E,"",0)</f>
        <v>SEG - FILIAL I</v>
      </c>
      <c r="H248" t="str">
        <f>Vagas[[#This Row],[data]]&amp;Vagas[[#This Row],[profissional_id]]&amp;Vagas[[#This Row],[local_id]]</f>
        <v>446361282545</v>
      </c>
    </row>
    <row r="249" spans="1:8" x14ac:dyDescent="0.25">
      <c r="A249" s="2">
        <v>44636</v>
      </c>
      <c r="B249">
        <v>13058</v>
      </c>
      <c r="C249">
        <v>47</v>
      </c>
      <c r="D249">
        <v>0</v>
      </c>
      <c r="E249">
        <v>0</v>
      </c>
      <c r="F249" s="1">
        <f t="shared" si="3"/>
        <v>0</v>
      </c>
      <c r="G249" s="1" t="str">
        <f>_xlfn.XLOOKUP(C249,'Ocupação DW'!$F:$F,'Ocupação DW'!$E:$E,"",0)</f>
        <v>SEG - FILIAL I</v>
      </c>
      <c r="H249" t="str">
        <f>Vagas[[#This Row],[data]]&amp;Vagas[[#This Row],[profissional_id]]&amp;Vagas[[#This Row],[local_id]]</f>
        <v>446361305847</v>
      </c>
    </row>
    <row r="250" spans="1:8" x14ac:dyDescent="0.25">
      <c r="A250" s="2">
        <v>44636</v>
      </c>
      <c r="B250">
        <v>13061</v>
      </c>
      <c r="C250">
        <v>3</v>
      </c>
      <c r="D250">
        <v>0</v>
      </c>
      <c r="E250">
        <v>6</v>
      </c>
      <c r="F250" s="1">
        <f t="shared" si="3"/>
        <v>0</v>
      </c>
      <c r="G250" s="1" t="str">
        <f>_xlfn.XLOOKUP(C250,'Ocupação DW'!$F:$F,'Ocupação DW'!$E:$E,"",0)</f>
        <v>SEG - FILIAL II 10°</v>
      </c>
      <c r="H250" t="str">
        <f>Vagas[[#This Row],[data]]&amp;Vagas[[#This Row],[profissional_id]]&amp;Vagas[[#This Row],[local_id]]</f>
        <v>44636130613</v>
      </c>
    </row>
    <row r="251" spans="1:8" x14ac:dyDescent="0.25">
      <c r="A251" s="2">
        <v>44636</v>
      </c>
      <c r="B251">
        <v>13295</v>
      </c>
      <c r="C251">
        <v>346</v>
      </c>
      <c r="D251">
        <v>120</v>
      </c>
      <c r="E251">
        <v>0</v>
      </c>
      <c r="F251" s="1">
        <f t="shared" si="3"/>
        <v>0</v>
      </c>
      <c r="G251" s="1" t="str">
        <f>_xlfn.XLOOKUP(C251,'Ocupação DW'!$F:$F,'Ocupação DW'!$E:$E,"",0)</f>
        <v>SEG - MATRIZ</v>
      </c>
      <c r="H251" t="str">
        <f>Vagas[[#This Row],[data]]&amp;Vagas[[#This Row],[profissional_id]]&amp;Vagas[[#This Row],[local_id]]</f>
        <v>4463613295346</v>
      </c>
    </row>
    <row r="252" spans="1:8" x14ac:dyDescent="0.25">
      <c r="A252" s="2">
        <v>44636</v>
      </c>
      <c r="B252">
        <v>13371</v>
      </c>
      <c r="D252">
        <v>0</v>
      </c>
      <c r="E252">
        <v>0</v>
      </c>
      <c r="F252" s="1">
        <f t="shared" si="3"/>
        <v>0</v>
      </c>
      <c r="G252" s="1" t="str">
        <f>_xlfn.XLOOKUP(C252,'Ocupação DW'!$F:$F,'Ocupação DW'!$E:$E,"",0)</f>
        <v/>
      </c>
      <c r="H252" t="str">
        <f>Vagas[[#This Row],[data]]&amp;Vagas[[#This Row],[profissional_id]]&amp;Vagas[[#This Row],[local_id]]</f>
        <v>4463613371</v>
      </c>
    </row>
    <row r="253" spans="1:8" x14ac:dyDescent="0.25">
      <c r="A253" s="2">
        <v>44636</v>
      </c>
      <c r="B253">
        <v>13479</v>
      </c>
      <c r="D253">
        <v>230</v>
      </c>
      <c r="E253">
        <v>0</v>
      </c>
      <c r="F253" s="1">
        <f t="shared" si="3"/>
        <v>0</v>
      </c>
      <c r="G253" s="1" t="str">
        <f>_xlfn.XLOOKUP(C253,'Ocupação DW'!$F:$F,'Ocupação DW'!$E:$E,"",0)</f>
        <v/>
      </c>
      <c r="H253" t="str">
        <f>Vagas[[#This Row],[data]]&amp;Vagas[[#This Row],[profissional_id]]&amp;Vagas[[#This Row],[local_id]]</f>
        <v>4463613479</v>
      </c>
    </row>
    <row r="254" spans="1:8" x14ac:dyDescent="0.25">
      <c r="A254" s="2">
        <v>44636</v>
      </c>
      <c r="B254">
        <v>13479</v>
      </c>
      <c r="C254">
        <v>339</v>
      </c>
      <c r="D254">
        <v>252</v>
      </c>
      <c r="E254">
        <v>0</v>
      </c>
      <c r="F254" s="1">
        <f t="shared" si="3"/>
        <v>0</v>
      </c>
      <c r="G254" s="1" t="str">
        <f>_xlfn.XLOOKUP(C254,'Ocupação DW'!$F:$F,'Ocupação DW'!$E:$E,"",0)</f>
        <v>SEG - MATRIZ</v>
      </c>
      <c r="H254" t="str">
        <f>Vagas[[#This Row],[data]]&amp;Vagas[[#This Row],[profissional_id]]&amp;Vagas[[#This Row],[local_id]]</f>
        <v>4463613479339</v>
      </c>
    </row>
    <row r="255" spans="1:8" x14ac:dyDescent="0.25">
      <c r="A255" s="2">
        <v>44636</v>
      </c>
      <c r="B255">
        <v>13505</v>
      </c>
      <c r="C255">
        <v>341</v>
      </c>
      <c r="D255">
        <v>72</v>
      </c>
      <c r="E255">
        <v>0</v>
      </c>
      <c r="F255" s="1">
        <f t="shared" si="3"/>
        <v>0</v>
      </c>
      <c r="G255" s="1" t="str">
        <f>_xlfn.XLOOKUP(C255,'Ocupação DW'!$F:$F,'Ocupação DW'!$E:$E,"",0)</f>
        <v/>
      </c>
      <c r="H255" t="str">
        <f>Vagas[[#This Row],[data]]&amp;Vagas[[#This Row],[profissional_id]]&amp;Vagas[[#This Row],[local_id]]</f>
        <v>4463613505341</v>
      </c>
    </row>
    <row r="256" spans="1:8" x14ac:dyDescent="0.25">
      <c r="A256" s="2">
        <v>44636</v>
      </c>
      <c r="B256">
        <v>13645</v>
      </c>
      <c r="D256">
        <v>61</v>
      </c>
      <c r="E256">
        <v>0</v>
      </c>
      <c r="F256" s="1">
        <f t="shared" si="3"/>
        <v>0</v>
      </c>
      <c r="G256" s="1" t="str">
        <f>_xlfn.XLOOKUP(C256,'Ocupação DW'!$F:$F,'Ocupação DW'!$E:$E,"",0)</f>
        <v/>
      </c>
      <c r="H256" t="str">
        <f>Vagas[[#This Row],[data]]&amp;Vagas[[#This Row],[profissional_id]]&amp;Vagas[[#This Row],[local_id]]</f>
        <v>4463613645</v>
      </c>
    </row>
    <row r="257" spans="1:8" x14ac:dyDescent="0.25">
      <c r="A257" s="2">
        <v>44636</v>
      </c>
      <c r="B257">
        <v>13645</v>
      </c>
      <c r="C257">
        <v>341</v>
      </c>
      <c r="D257">
        <v>72</v>
      </c>
      <c r="E257">
        <v>0</v>
      </c>
      <c r="F257" s="1">
        <f t="shared" si="3"/>
        <v>0</v>
      </c>
      <c r="G257" s="1" t="str">
        <f>_xlfn.XLOOKUP(C257,'Ocupação DW'!$F:$F,'Ocupação DW'!$E:$E,"",0)</f>
        <v/>
      </c>
      <c r="H257" t="str">
        <f>Vagas[[#This Row],[data]]&amp;Vagas[[#This Row],[profissional_id]]&amp;Vagas[[#This Row],[local_id]]</f>
        <v>4463613645341</v>
      </c>
    </row>
    <row r="258" spans="1:8" x14ac:dyDescent="0.25">
      <c r="A258" s="2">
        <v>44636</v>
      </c>
      <c r="B258">
        <v>13660</v>
      </c>
      <c r="C258">
        <v>78</v>
      </c>
      <c r="D258">
        <v>3</v>
      </c>
      <c r="E258">
        <v>0</v>
      </c>
      <c r="F258" s="1">
        <f t="shared" ref="F258:F321" si="4">IF(AND(A258=A257,B258=B257,D257&lt;&gt;0,D258=0),D257,0)</f>
        <v>0</v>
      </c>
      <c r="G258" s="1" t="str">
        <f>_xlfn.XLOOKUP(C258,'Ocupação DW'!$F:$F,'Ocupação DW'!$E:$E,"",0)</f>
        <v>SEG - MIGUEL COUTO</v>
      </c>
      <c r="H258" t="str">
        <f>Vagas[[#This Row],[data]]&amp;Vagas[[#This Row],[profissional_id]]&amp;Vagas[[#This Row],[local_id]]</f>
        <v>446361366078</v>
      </c>
    </row>
    <row r="259" spans="1:8" x14ac:dyDescent="0.25">
      <c r="A259" s="2">
        <v>44636</v>
      </c>
      <c r="B259">
        <v>13835</v>
      </c>
      <c r="D259">
        <v>0</v>
      </c>
      <c r="E259">
        <v>0</v>
      </c>
      <c r="F259" s="1">
        <f t="shared" si="4"/>
        <v>0</v>
      </c>
      <c r="G259" s="1" t="str">
        <f>_xlfn.XLOOKUP(C259,'Ocupação DW'!$F:$F,'Ocupação DW'!$E:$E,"",0)</f>
        <v/>
      </c>
      <c r="H259" t="str">
        <f>Vagas[[#This Row],[data]]&amp;Vagas[[#This Row],[profissional_id]]&amp;Vagas[[#This Row],[local_id]]</f>
        <v>4463613835</v>
      </c>
    </row>
    <row r="260" spans="1:8" x14ac:dyDescent="0.25">
      <c r="A260" s="2">
        <v>44636</v>
      </c>
      <c r="B260">
        <v>14326</v>
      </c>
      <c r="C260">
        <v>41</v>
      </c>
      <c r="D260">
        <v>0</v>
      </c>
      <c r="E260">
        <v>0</v>
      </c>
      <c r="F260" s="1">
        <f t="shared" si="4"/>
        <v>0</v>
      </c>
      <c r="G260" s="1" t="str">
        <f>_xlfn.XLOOKUP(C260,'Ocupação DW'!$F:$F,'Ocupação DW'!$E:$E,"",0)</f>
        <v>SEG - FILIAL I</v>
      </c>
      <c r="H260" t="str">
        <f>Vagas[[#This Row],[data]]&amp;Vagas[[#This Row],[profissional_id]]&amp;Vagas[[#This Row],[local_id]]</f>
        <v>446361432641</v>
      </c>
    </row>
    <row r="261" spans="1:8" x14ac:dyDescent="0.25">
      <c r="A261" s="2">
        <v>44636</v>
      </c>
      <c r="B261">
        <v>14326</v>
      </c>
      <c r="C261">
        <v>43</v>
      </c>
      <c r="D261">
        <v>0</v>
      </c>
      <c r="E261">
        <v>0</v>
      </c>
      <c r="F261" s="1">
        <f t="shared" si="4"/>
        <v>0</v>
      </c>
      <c r="G261" s="1" t="str">
        <f>_xlfn.XLOOKUP(C261,'Ocupação DW'!$F:$F,'Ocupação DW'!$E:$E,"",0)</f>
        <v>SEG - FILIAL I</v>
      </c>
      <c r="H261" t="str">
        <f>Vagas[[#This Row],[data]]&amp;Vagas[[#This Row],[profissional_id]]&amp;Vagas[[#This Row],[local_id]]</f>
        <v>446361432643</v>
      </c>
    </row>
    <row r="262" spans="1:8" x14ac:dyDescent="0.25">
      <c r="A262" s="2">
        <v>44636</v>
      </c>
      <c r="B262">
        <v>14438</v>
      </c>
      <c r="C262">
        <v>342</v>
      </c>
      <c r="D262">
        <v>132</v>
      </c>
      <c r="E262">
        <v>0</v>
      </c>
      <c r="F262" s="1">
        <f t="shared" si="4"/>
        <v>0</v>
      </c>
      <c r="G262" s="1" t="str">
        <f>_xlfn.XLOOKUP(C262,'Ocupação DW'!$F:$F,'Ocupação DW'!$E:$E,"",0)</f>
        <v>SEG - MATRIZ</v>
      </c>
      <c r="H262" t="str">
        <f>Vagas[[#This Row],[data]]&amp;Vagas[[#This Row],[profissional_id]]&amp;Vagas[[#This Row],[local_id]]</f>
        <v>4463614438342</v>
      </c>
    </row>
    <row r="263" spans="1:8" x14ac:dyDescent="0.25">
      <c r="A263" s="2">
        <v>44636</v>
      </c>
      <c r="B263">
        <v>14452</v>
      </c>
      <c r="D263">
        <v>0</v>
      </c>
      <c r="E263">
        <v>0</v>
      </c>
      <c r="F263" s="1">
        <f t="shared" si="4"/>
        <v>0</v>
      </c>
      <c r="G263" s="1" t="str">
        <f>_xlfn.XLOOKUP(C263,'Ocupação DW'!$F:$F,'Ocupação DW'!$E:$E,"",0)</f>
        <v/>
      </c>
      <c r="H263" t="str">
        <f>Vagas[[#This Row],[data]]&amp;Vagas[[#This Row],[profissional_id]]&amp;Vagas[[#This Row],[local_id]]</f>
        <v>4463614452</v>
      </c>
    </row>
    <row r="264" spans="1:8" x14ac:dyDescent="0.25">
      <c r="A264" s="2">
        <v>44636</v>
      </c>
      <c r="B264">
        <v>17059</v>
      </c>
      <c r="D264">
        <v>0</v>
      </c>
      <c r="E264">
        <v>0</v>
      </c>
      <c r="F264" s="1">
        <f t="shared" si="4"/>
        <v>0</v>
      </c>
      <c r="G264" s="1" t="str">
        <f>_xlfn.XLOOKUP(C264,'Ocupação DW'!$F:$F,'Ocupação DW'!$E:$E,"",0)</f>
        <v/>
      </c>
      <c r="H264" t="str">
        <f>Vagas[[#This Row],[data]]&amp;Vagas[[#This Row],[profissional_id]]&amp;Vagas[[#This Row],[local_id]]</f>
        <v>4463617059</v>
      </c>
    </row>
    <row r="265" spans="1:8" x14ac:dyDescent="0.25">
      <c r="A265" s="2">
        <v>44636</v>
      </c>
      <c r="B265">
        <v>17742</v>
      </c>
      <c r="D265">
        <v>0</v>
      </c>
      <c r="E265">
        <v>0</v>
      </c>
      <c r="F265" s="1">
        <f t="shared" si="4"/>
        <v>0</v>
      </c>
      <c r="G265" s="1" t="str">
        <f>_xlfn.XLOOKUP(C265,'Ocupação DW'!$F:$F,'Ocupação DW'!$E:$E,"",0)</f>
        <v/>
      </c>
      <c r="H265" t="str">
        <f>Vagas[[#This Row],[data]]&amp;Vagas[[#This Row],[profissional_id]]&amp;Vagas[[#This Row],[local_id]]</f>
        <v>4463617742</v>
      </c>
    </row>
    <row r="266" spans="1:8" x14ac:dyDescent="0.25">
      <c r="A266" s="2">
        <v>44636</v>
      </c>
      <c r="B266">
        <v>17858</v>
      </c>
      <c r="D266">
        <v>0</v>
      </c>
      <c r="E266">
        <v>0</v>
      </c>
      <c r="F266" s="1">
        <f t="shared" si="4"/>
        <v>0</v>
      </c>
      <c r="G266" s="1" t="str">
        <f>_xlfn.XLOOKUP(C266,'Ocupação DW'!$F:$F,'Ocupação DW'!$E:$E,"",0)</f>
        <v/>
      </c>
      <c r="H266" t="str">
        <f>Vagas[[#This Row],[data]]&amp;Vagas[[#This Row],[profissional_id]]&amp;Vagas[[#This Row],[local_id]]</f>
        <v>4463617858</v>
      </c>
    </row>
    <row r="267" spans="1:8" x14ac:dyDescent="0.25">
      <c r="A267" s="2">
        <v>44636</v>
      </c>
      <c r="B267">
        <v>17859</v>
      </c>
      <c r="C267">
        <v>336</v>
      </c>
      <c r="D267">
        <v>0</v>
      </c>
      <c r="E267">
        <v>0</v>
      </c>
      <c r="F267" s="1">
        <f t="shared" si="4"/>
        <v>0</v>
      </c>
      <c r="G267" s="1" t="str">
        <f>_xlfn.XLOOKUP(C267,'Ocupação DW'!$F:$F,'Ocupação DW'!$E:$E,"",0)</f>
        <v>SEG - FILIAL I</v>
      </c>
      <c r="H267" t="str">
        <f>Vagas[[#This Row],[data]]&amp;Vagas[[#This Row],[profissional_id]]&amp;Vagas[[#This Row],[local_id]]</f>
        <v>4463617859336</v>
      </c>
    </row>
    <row r="268" spans="1:8" x14ac:dyDescent="0.25">
      <c r="A268" s="2">
        <v>44636</v>
      </c>
      <c r="B268">
        <v>17859</v>
      </c>
      <c r="C268">
        <v>7</v>
      </c>
      <c r="D268">
        <v>0</v>
      </c>
      <c r="E268">
        <v>0</v>
      </c>
      <c r="F268" s="1">
        <f t="shared" si="4"/>
        <v>0</v>
      </c>
      <c r="G268" s="1" t="str">
        <f>_xlfn.XLOOKUP(C268,'Ocupação DW'!$F:$F,'Ocupação DW'!$E:$E,"",0)</f>
        <v>SEG - FILIAL II 10°</v>
      </c>
      <c r="H268" t="str">
        <f>Vagas[[#This Row],[data]]&amp;Vagas[[#This Row],[profissional_id]]&amp;Vagas[[#This Row],[local_id]]</f>
        <v>44636178597</v>
      </c>
    </row>
    <row r="269" spans="1:8" x14ac:dyDescent="0.25">
      <c r="A269" s="2">
        <v>44636</v>
      </c>
      <c r="B269">
        <v>17866</v>
      </c>
      <c r="C269">
        <v>340</v>
      </c>
      <c r="D269">
        <v>60</v>
      </c>
      <c r="E269">
        <v>0</v>
      </c>
      <c r="F269" s="1">
        <f t="shared" si="4"/>
        <v>0</v>
      </c>
      <c r="G269" s="1" t="str">
        <f>_xlfn.XLOOKUP(C269,'Ocupação DW'!$F:$F,'Ocupação DW'!$E:$E,"",0)</f>
        <v>SEG - MATRIZ</v>
      </c>
      <c r="H269" t="str">
        <f>Vagas[[#This Row],[data]]&amp;Vagas[[#This Row],[profissional_id]]&amp;Vagas[[#This Row],[local_id]]</f>
        <v>4463617866340</v>
      </c>
    </row>
    <row r="270" spans="1:8" x14ac:dyDescent="0.25">
      <c r="A270" s="2">
        <v>44636</v>
      </c>
      <c r="B270">
        <v>17868</v>
      </c>
      <c r="C270">
        <v>73</v>
      </c>
      <c r="D270">
        <v>133</v>
      </c>
      <c r="E270">
        <v>0</v>
      </c>
      <c r="F270" s="1">
        <f t="shared" si="4"/>
        <v>0</v>
      </c>
      <c r="G270" s="1" t="str">
        <f>_xlfn.XLOOKUP(C270,'Ocupação DW'!$F:$F,'Ocupação DW'!$E:$E,"",0)</f>
        <v/>
      </c>
      <c r="H270" t="str">
        <f>Vagas[[#This Row],[data]]&amp;Vagas[[#This Row],[profissional_id]]&amp;Vagas[[#This Row],[local_id]]</f>
        <v>446361786873</v>
      </c>
    </row>
    <row r="271" spans="1:8" x14ac:dyDescent="0.25">
      <c r="A271" s="2">
        <v>44636</v>
      </c>
      <c r="B271">
        <v>17871</v>
      </c>
      <c r="D271">
        <v>0</v>
      </c>
      <c r="E271">
        <v>0</v>
      </c>
      <c r="F271" s="1">
        <f t="shared" si="4"/>
        <v>0</v>
      </c>
      <c r="G271" s="1" t="str">
        <f>_xlfn.XLOOKUP(C271,'Ocupação DW'!$F:$F,'Ocupação DW'!$E:$E,"",0)</f>
        <v/>
      </c>
      <c r="H271" t="str">
        <f>Vagas[[#This Row],[data]]&amp;Vagas[[#This Row],[profissional_id]]&amp;Vagas[[#This Row],[local_id]]</f>
        <v>4463617871</v>
      </c>
    </row>
    <row r="272" spans="1:8" x14ac:dyDescent="0.25">
      <c r="A272" s="2">
        <v>44636</v>
      </c>
      <c r="B272">
        <v>17874</v>
      </c>
      <c r="D272">
        <v>0</v>
      </c>
      <c r="E272">
        <v>0</v>
      </c>
      <c r="F272" s="1">
        <f t="shared" si="4"/>
        <v>0</v>
      </c>
      <c r="G272" s="1" t="str">
        <f>_xlfn.XLOOKUP(C272,'Ocupação DW'!$F:$F,'Ocupação DW'!$E:$E,"",0)</f>
        <v/>
      </c>
      <c r="H272" t="str">
        <f>Vagas[[#This Row],[data]]&amp;Vagas[[#This Row],[profissional_id]]&amp;Vagas[[#This Row],[local_id]]</f>
        <v>4463617874</v>
      </c>
    </row>
    <row r="273" spans="1:8" x14ac:dyDescent="0.25">
      <c r="A273" s="2">
        <v>44636</v>
      </c>
      <c r="B273">
        <v>17878</v>
      </c>
      <c r="C273">
        <v>63</v>
      </c>
      <c r="D273">
        <v>0</v>
      </c>
      <c r="E273">
        <v>0</v>
      </c>
      <c r="F273" s="1">
        <f t="shared" si="4"/>
        <v>0</v>
      </c>
      <c r="G273" s="1" t="str">
        <f>_xlfn.XLOOKUP(C273,'Ocupação DW'!$F:$F,'Ocupação DW'!$E:$E,"",0)</f>
        <v>SEG - NILÓPOLIS</v>
      </c>
      <c r="H273" t="str">
        <f>Vagas[[#This Row],[data]]&amp;Vagas[[#This Row],[profissional_id]]&amp;Vagas[[#This Row],[local_id]]</f>
        <v>446361787863</v>
      </c>
    </row>
    <row r="274" spans="1:8" x14ac:dyDescent="0.25">
      <c r="A274" s="2">
        <v>44636</v>
      </c>
      <c r="B274">
        <v>17881</v>
      </c>
      <c r="C274">
        <v>20</v>
      </c>
      <c r="D274">
        <v>181</v>
      </c>
      <c r="E274">
        <v>0</v>
      </c>
      <c r="F274" s="1">
        <f t="shared" si="4"/>
        <v>0</v>
      </c>
      <c r="G274" s="1" t="str">
        <f>_xlfn.XLOOKUP(C274,'Ocupação DW'!$F:$F,'Ocupação DW'!$E:$E,"",0)</f>
        <v>SEG - MATRIZ</v>
      </c>
      <c r="H274" t="str">
        <f>Vagas[[#This Row],[data]]&amp;Vagas[[#This Row],[profissional_id]]&amp;Vagas[[#This Row],[local_id]]</f>
        <v>446361788120</v>
      </c>
    </row>
    <row r="275" spans="1:8" x14ac:dyDescent="0.25">
      <c r="A275" s="2">
        <v>44636</v>
      </c>
      <c r="B275">
        <v>17882</v>
      </c>
      <c r="C275">
        <v>21</v>
      </c>
      <c r="D275">
        <v>181</v>
      </c>
      <c r="E275">
        <v>0</v>
      </c>
      <c r="F275" s="1">
        <f t="shared" si="4"/>
        <v>0</v>
      </c>
      <c r="G275" s="1" t="str">
        <f>_xlfn.XLOOKUP(C275,'Ocupação DW'!$F:$F,'Ocupação DW'!$E:$E,"",0)</f>
        <v/>
      </c>
      <c r="H275" t="str">
        <f>Vagas[[#This Row],[data]]&amp;Vagas[[#This Row],[profissional_id]]&amp;Vagas[[#This Row],[local_id]]</f>
        <v>446361788221</v>
      </c>
    </row>
    <row r="276" spans="1:8" x14ac:dyDescent="0.25">
      <c r="A276" s="2">
        <v>44636</v>
      </c>
      <c r="B276">
        <v>17883</v>
      </c>
      <c r="D276">
        <v>11</v>
      </c>
      <c r="E276">
        <v>0</v>
      </c>
      <c r="F276" s="1">
        <f t="shared" si="4"/>
        <v>0</v>
      </c>
      <c r="G276" s="1" t="str">
        <f>_xlfn.XLOOKUP(C276,'Ocupação DW'!$F:$F,'Ocupação DW'!$E:$E,"",0)</f>
        <v/>
      </c>
      <c r="H276" t="str">
        <f>Vagas[[#This Row],[data]]&amp;Vagas[[#This Row],[profissional_id]]&amp;Vagas[[#This Row],[local_id]]</f>
        <v>4463617883</v>
      </c>
    </row>
    <row r="277" spans="1:8" x14ac:dyDescent="0.25">
      <c r="A277" s="2">
        <v>44636</v>
      </c>
      <c r="B277">
        <v>17883</v>
      </c>
      <c r="C277">
        <v>351</v>
      </c>
      <c r="D277">
        <v>0</v>
      </c>
      <c r="E277">
        <v>0</v>
      </c>
      <c r="F277" s="1">
        <f t="shared" si="4"/>
        <v>11</v>
      </c>
      <c r="G277" s="1" t="str">
        <f>_xlfn.XLOOKUP(C277,'Ocupação DW'!$F:$F,'Ocupação DW'!$E:$E,"",0)</f>
        <v>SEG - FILIAL I</v>
      </c>
      <c r="H277" t="str">
        <f>Vagas[[#This Row],[data]]&amp;Vagas[[#This Row],[profissional_id]]&amp;Vagas[[#This Row],[local_id]]</f>
        <v>4463617883351</v>
      </c>
    </row>
    <row r="278" spans="1:8" x14ac:dyDescent="0.25">
      <c r="A278" s="2">
        <v>44636</v>
      </c>
      <c r="B278">
        <v>17885</v>
      </c>
      <c r="D278">
        <v>0</v>
      </c>
      <c r="E278">
        <v>0</v>
      </c>
      <c r="F278" s="1">
        <f t="shared" si="4"/>
        <v>0</v>
      </c>
      <c r="G278" s="1" t="str">
        <f>_xlfn.XLOOKUP(C278,'Ocupação DW'!$F:$F,'Ocupação DW'!$E:$E,"",0)</f>
        <v/>
      </c>
      <c r="H278" t="str">
        <f>Vagas[[#This Row],[data]]&amp;Vagas[[#This Row],[profissional_id]]&amp;Vagas[[#This Row],[local_id]]</f>
        <v>4463617885</v>
      </c>
    </row>
    <row r="279" spans="1:8" x14ac:dyDescent="0.25">
      <c r="A279" s="2">
        <v>44636</v>
      </c>
      <c r="B279">
        <v>17885</v>
      </c>
      <c r="C279">
        <v>23</v>
      </c>
      <c r="D279">
        <v>61</v>
      </c>
      <c r="E279">
        <v>0</v>
      </c>
      <c r="F279" s="1">
        <f t="shared" si="4"/>
        <v>0</v>
      </c>
      <c r="G279" s="1" t="str">
        <f>_xlfn.XLOOKUP(C279,'Ocupação DW'!$F:$F,'Ocupação DW'!$E:$E,"",0)</f>
        <v/>
      </c>
      <c r="H279" t="str">
        <f>Vagas[[#This Row],[data]]&amp;Vagas[[#This Row],[profissional_id]]&amp;Vagas[[#This Row],[local_id]]</f>
        <v>446361788523</v>
      </c>
    </row>
    <row r="280" spans="1:8" x14ac:dyDescent="0.25">
      <c r="A280" s="2">
        <v>44636</v>
      </c>
      <c r="B280">
        <v>17886</v>
      </c>
      <c r="C280">
        <v>84</v>
      </c>
      <c r="D280">
        <v>60</v>
      </c>
      <c r="E280">
        <v>0</v>
      </c>
      <c r="F280" s="1">
        <f t="shared" si="4"/>
        <v>0</v>
      </c>
      <c r="G280" s="1" t="str">
        <f>_xlfn.XLOOKUP(C280,'Ocupação DW'!$F:$F,'Ocupação DW'!$E:$E,"",0)</f>
        <v/>
      </c>
      <c r="H280" t="str">
        <f>Vagas[[#This Row],[data]]&amp;Vagas[[#This Row],[profissional_id]]&amp;Vagas[[#This Row],[local_id]]</f>
        <v>446361788684</v>
      </c>
    </row>
    <row r="281" spans="1:8" x14ac:dyDescent="0.25">
      <c r="A281" s="2">
        <v>44636</v>
      </c>
      <c r="B281">
        <v>17887</v>
      </c>
      <c r="C281">
        <v>58</v>
      </c>
      <c r="D281">
        <v>60</v>
      </c>
      <c r="E281">
        <v>0</v>
      </c>
      <c r="F281" s="1">
        <f t="shared" si="4"/>
        <v>0</v>
      </c>
      <c r="G281" s="1" t="str">
        <f>_xlfn.XLOOKUP(C281,'Ocupação DW'!$F:$F,'Ocupação DW'!$E:$E,"",0)</f>
        <v/>
      </c>
      <c r="H281" t="str">
        <f>Vagas[[#This Row],[data]]&amp;Vagas[[#This Row],[profissional_id]]&amp;Vagas[[#This Row],[local_id]]</f>
        <v>446361788758</v>
      </c>
    </row>
    <row r="282" spans="1:8" x14ac:dyDescent="0.25">
      <c r="A282" s="2">
        <v>44636</v>
      </c>
      <c r="B282">
        <v>17888</v>
      </c>
      <c r="C282">
        <v>40</v>
      </c>
      <c r="D282">
        <v>17</v>
      </c>
      <c r="E282">
        <v>0</v>
      </c>
      <c r="F282" s="1">
        <f t="shared" si="4"/>
        <v>0</v>
      </c>
      <c r="G282" s="1" t="str">
        <f>_xlfn.XLOOKUP(C282,'Ocupação DW'!$F:$F,'Ocupação DW'!$E:$E,"",0)</f>
        <v>SEG - FILIAL I</v>
      </c>
      <c r="H282" t="str">
        <f>Vagas[[#This Row],[data]]&amp;Vagas[[#This Row],[profissional_id]]&amp;Vagas[[#This Row],[local_id]]</f>
        <v>446361788840</v>
      </c>
    </row>
    <row r="283" spans="1:8" x14ac:dyDescent="0.25">
      <c r="A283" s="2">
        <v>44636</v>
      </c>
      <c r="B283">
        <v>17889</v>
      </c>
      <c r="C283">
        <v>59</v>
      </c>
      <c r="D283">
        <v>23</v>
      </c>
      <c r="E283">
        <v>0</v>
      </c>
      <c r="F283" s="1">
        <f t="shared" si="4"/>
        <v>0</v>
      </c>
      <c r="G283" s="1" t="str">
        <f>_xlfn.XLOOKUP(C283,'Ocupação DW'!$F:$F,'Ocupação DW'!$E:$E,"",0)</f>
        <v>SEG - NILÓPOLIS</v>
      </c>
      <c r="H283" t="str">
        <f>Vagas[[#This Row],[data]]&amp;Vagas[[#This Row],[profissional_id]]&amp;Vagas[[#This Row],[local_id]]</f>
        <v>446361788959</v>
      </c>
    </row>
    <row r="284" spans="1:8" x14ac:dyDescent="0.25">
      <c r="A284" s="2">
        <v>44636</v>
      </c>
      <c r="B284">
        <v>17890</v>
      </c>
      <c r="C284">
        <v>4</v>
      </c>
      <c r="D284">
        <v>5</v>
      </c>
      <c r="E284">
        <v>0</v>
      </c>
      <c r="F284" s="1">
        <f t="shared" si="4"/>
        <v>0</v>
      </c>
      <c r="G284" s="1" t="str">
        <f>_xlfn.XLOOKUP(C284,'Ocupação DW'!$F:$F,'Ocupação DW'!$E:$E,"",0)</f>
        <v>SEG - FILIAL II 10°</v>
      </c>
      <c r="H284" t="str">
        <f>Vagas[[#This Row],[data]]&amp;Vagas[[#This Row],[profissional_id]]&amp;Vagas[[#This Row],[local_id]]</f>
        <v>44636178904</v>
      </c>
    </row>
    <row r="285" spans="1:8" x14ac:dyDescent="0.25">
      <c r="A285" s="2">
        <v>44636</v>
      </c>
      <c r="B285">
        <v>17891</v>
      </c>
      <c r="C285">
        <v>76</v>
      </c>
      <c r="D285">
        <v>1</v>
      </c>
      <c r="E285">
        <v>0</v>
      </c>
      <c r="F285" s="1">
        <f t="shared" si="4"/>
        <v>0</v>
      </c>
      <c r="G285" s="1" t="str">
        <f>_xlfn.XLOOKUP(C285,'Ocupação DW'!$F:$F,'Ocupação DW'!$E:$E,"",0)</f>
        <v>SEG - MIGUEL COUTO</v>
      </c>
      <c r="H285" t="str">
        <f>Vagas[[#This Row],[data]]&amp;Vagas[[#This Row],[profissional_id]]&amp;Vagas[[#This Row],[local_id]]</f>
        <v>446361789176</v>
      </c>
    </row>
    <row r="286" spans="1:8" x14ac:dyDescent="0.25">
      <c r="A286" s="2">
        <v>44636</v>
      </c>
      <c r="B286">
        <v>17892</v>
      </c>
      <c r="D286">
        <v>0</v>
      </c>
      <c r="E286">
        <v>0</v>
      </c>
      <c r="F286" s="1">
        <f t="shared" si="4"/>
        <v>0</v>
      </c>
      <c r="G286" s="1" t="str">
        <f>_xlfn.XLOOKUP(C286,'Ocupação DW'!$F:$F,'Ocupação DW'!$E:$E,"",0)</f>
        <v/>
      </c>
      <c r="H286" t="str">
        <f>Vagas[[#This Row],[data]]&amp;Vagas[[#This Row],[profissional_id]]&amp;Vagas[[#This Row],[local_id]]</f>
        <v>4463617892</v>
      </c>
    </row>
    <row r="287" spans="1:8" x14ac:dyDescent="0.25">
      <c r="A287" s="2">
        <v>44636</v>
      </c>
      <c r="B287">
        <v>17892</v>
      </c>
      <c r="C287">
        <v>55</v>
      </c>
      <c r="D287">
        <v>2</v>
      </c>
      <c r="E287">
        <v>0</v>
      </c>
      <c r="F287" s="1">
        <f t="shared" si="4"/>
        <v>0</v>
      </c>
      <c r="G287" s="1" t="str">
        <f>_xlfn.XLOOKUP(C287,'Ocupação DW'!$F:$F,'Ocupação DW'!$E:$E,"",0)</f>
        <v>SEG - NILÓPOLIS</v>
      </c>
      <c r="H287" t="str">
        <f>Vagas[[#This Row],[data]]&amp;Vagas[[#This Row],[profissional_id]]&amp;Vagas[[#This Row],[local_id]]</f>
        <v>446361789255</v>
      </c>
    </row>
    <row r="288" spans="1:8" x14ac:dyDescent="0.25">
      <c r="A288" s="2">
        <v>44636</v>
      </c>
      <c r="B288">
        <v>17893</v>
      </c>
      <c r="C288">
        <v>4</v>
      </c>
      <c r="D288">
        <v>4</v>
      </c>
      <c r="E288">
        <v>0</v>
      </c>
      <c r="F288" s="1">
        <f t="shared" si="4"/>
        <v>0</v>
      </c>
      <c r="G288" s="1" t="str">
        <f>_xlfn.XLOOKUP(C288,'Ocupação DW'!$F:$F,'Ocupação DW'!$E:$E,"",0)</f>
        <v>SEG - FILIAL II 10°</v>
      </c>
      <c r="H288" t="str">
        <f>Vagas[[#This Row],[data]]&amp;Vagas[[#This Row],[profissional_id]]&amp;Vagas[[#This Row],[local_id]]</f>
        <v>44636178934</v>
      </c>
    </row>
    <row r="289" spans="1:8" x14ac:dyDescent="0.25">
      <c r="A289" s="2">
        <v>44636</v>
      </c>
      <c r="B289">
        <v>17894</v>
      </c>
      <c r="C289">
        <v>76</v>
      </c>
      <c r="D289">
        <v>1</v>
      </c>
      <c r="E289">
        <v>0</v>
      </c>
      <c r="F289" s="1">
        <f t="shared" si="4"/>
        <v>0</v>
      </c>
      <c r="G289" s="1" t="str">
        <f>_xlfn.XLOOKUP(C289,'Ocupação DW'!$F:$F,'Ocupação DW'!$E:$E,"",0)</f>
        <v>SEG - MIGUEL COUTO</v>
      </c>
      <c r="H289" t="str">
        <f>Vagas[[#This Row],[data]]&amp;Vagas[[#This Row],[profissional_id]]&amp;Vagas[[#This Row],[local_id]]</f>
        <v>446361789476</v>
      </c>
    </row>
    <row r="290" spans="1:8" x14ac:dyDescent="0.25">
      <c r="A290" s="2">
        <v>44636</v>
      </c>
      <c r="B290">
        <v>17895</v>
      </c>
      <c r="C290">
        <v>55</v>
      </c>
      <c r="D290">
        <v>2</v>
      </c>
      <c r="E290">
        <v>0</v>
      </c>
      <c r="F290" s="1">
        <f t="shared" si="4"/>
        <v>0</v>
      </c>
      <c r="G290" s="1" t="str">
        <f>_xlfn.XLOOKUP(C290,'Ocupação DW'!$F:$F,'Ocupação DW'!$E:$E,"",0)</f>
        <v>SEG - NILÓPOLIS</v>
      </c>
      <c r="H290" t="str">
        <f>Vagas[[#This Row],[data]]&amp;Vagas[[#This Row],[profissional_id]]&amp;Vagas[[#This Row],[local_id]]</f>
        <v>446361789555</v>
      </c>
    </row>
    <row r="291" spans="1:8" x14ac:dyDescent="0.25">
      <c r="A291" s="2">
        <v>44636</v>
      </c>
      <c r="B291">
        <v>17898</v>
      </c>
      <c r="C291">
        <v>35</v>
      </c>
      <c r="D291">
        <v>78</v>
      </c>
      <c r="E291">
        <v>0</v>
      </c>
      <c r="F291" s="1">
        <f t="shared" si="4"/>
        <v>0</v>
      </c>
      <c r="G291" s="1" t="str">
        <f>_xlfn.XLOOKUP(C291,'Ocupação DW'!$F:$F,'Ocupação DW'!$E:$E,"",0)</f>
        <v/>
      </c>
      <c r="H291" t="str">
        <f>Vagas[[#This Row],[data]]&amp;Vagas[[#This Row],[profissional_id]]&amp;Vagas[[#This Row],[local_id]]</f>
        <v>446361789835</v>
      </c>
    </row>
    <row r="292" spans="1:8" x14ac:dyDescent="0.25">
      <c r="A292" s="2">
        <v>44636</v>
      </c>
      <c r="B292">
        <v>17899</v>
      </c>
      <c r="C292">
        <v>3</v>
      </c>
      <c r="D292">
        <v>66</v>
      </c>
      <c r="E292">
        <v>0</v>
      </c>
      <c r="F292" s="1">
        <f t="shared" si="4"/>
        <v>0</v>
      </c>
      <c r="G292" s="1" t="str">
        <f>_xlfn.XLOOKUP(C292,'Ocupação DW'!$F:$F,'Ocupação DW'!$E:$E,"",0)</f>
        <v>SEG - FILIAL II 10°</v>
      </c>
      <c r="H292" t="str">
        <f>Vagas[[#This Row],[data]]&amp;Vagas[[#This Row],[profissional_id]]&amp;Vagas[[#This Row],[local_id]]</f>
        <v>44636178993</v>
      </c>
    </row>
    <row r="293" spans="1:8" x14ac:dyDescent="0.25">
      <c r="A293" s="2">
        <v>44636</v>
      </c>
      <c r="B293">
        <v>17900</v>
      </c>
      <c r="C293">
        <v>77</v>
      </c>
      <c r="D293">
        <v>60</v>
      </c>
      <c r="E293">
        <v>0</v>
      </c>
      <c r="F293" s="1">
        <f t="shared" si="4"/>
        <v>0</v>
      </c>
      <c r="G293" s="1" t="str">
        <f>_xlfn.XLOOKUP(C293,'Ocupação DW'!$F:$F,'Ocupação DW'!$E:$E,"",0)</f>
        <v/>
      </c>
      <c r="H293" t="str">
        <f>Vagas[[#This Row],[data]]&amp;Vagas[[#This Row],[profissional_id]]&amp;Vagas[[#This Row],[local_id]]</f>
        <v>446361790077</v>
      </c>
    </row>
    <row r="294" spans="1:8" x14ac:dyDescent="0.25">
      <c r="A294" s="2">
        <v>44636</v>
      </c>
      <c r="B294">
        <v>17901</v>
      </c>
      <c r="C294">
        <v>55</v>
      </c>
      <c r="D294">
        <v>66</v>
      </c>
      <c r="E294">
        <v>0</v>
      </c>
      <c r="F294" s="1">
        <f t="shared" si="4"/>
        <v>0</v>
      </c>
      <c r="G294" s="1" t="str">
        <f>_xlfn.XLOOKUP(C294,'Ocupação DW'!$F:$F,'Ocupação DW'!$E:$E,"",0)</f>
        <v>SEG - NILÓPOLIS</v>
      </c>
      <c r="H294" t="str">
        <f>Vagas[[#This Row],[data]]&amp;Vagas[[#This Row],[profissional_id]]&amp;Vagas[[#This Row],[local_id]]</f>
        <v>446361790155</v>
      </c>
    </row>
    <row r="295" spans="1:8" x14ac:dyDescent="0.25">
      <c r="A295" s="2">
        <v>44636</v>
      </c>
      <c r="B295">
        <v>17902</v>
      </c>
      <c r="C295">
        <v>39</v>
      </c>
      <c r="D295">
        <v>47</v>
      </c>
      <c r="E295">
        <v>0</v>
      </c>
      <c r="F295" s="1">
        <f t="shared" si="4"/>
        <v>0</v>
      </c>
      <c r="G295" s="1" t="str">
        <f>_xlfn.XLOOKUP(C295,'Ocupação DW'!$F:$F,'Ocupação DW'!$E:$E,"",0)</f>
        <v>SEG - FILIAL I</v>
      </c>
      <c r="H295" t="str">
        <f>Vagas[[#This Row],[data]]&amp;Vagas[[#This Row],[profissional_id]]&amp;Vagas[[#This Row],[local_id]]</f>
        <v>446361790239</v>
      </c>
    </row>
    <row r="296" spans="1:8" x14ac:dyDescent="0.25">
      <c r="A296" s="2">
        <v>44636</v>
      </c>
      <c r="B296">
        <v>17903</v>
      </c>
      <c r="D296">
        <v>0</v>
      </c>
      <c r="E296">
        <v>0</v>
      </c>
      <c r="F296" s="1">
        <f t="shared" si="4"/>
        <v>0</v>
      </c>
      <c r="G296" s="1" t="str">
        <f>_xlfn.XLOOKUP(C296,'Ocupação DW'!$F:$F,'Ocupação DW'!$E:$E,"",0)</f>
        <v/>
      </c>
      <c r="H296" t="str">
        <f>Vagas[[#This Row],[data]]&amp;Vagas[[#This Row],[profissional_id]]&amp;Vagas[[#This Row],[local_id]]</f>
        <v>4463617903</v>
      </c>
    </row>
    <row r="297" spans="1:8" x14ac:dyDescent="0.25">
      <c r="A297" s="2">
        <v>44636</v>
      </c>
      <c r="B297">
        <v>17904</v>
      </c>
      <c r="D297">
        <v>0</v>
      </c>
      <c r="E297">
        <v>0</v>
      </c>
      <c r="F297" s="1">
        <f t="shared" si="4"/>
        <v>0</v>
      </c>
      <c r="G297" s="1" t="str">
        <f>_xlfn.XLOOKUP(C297,'Ocupação DW'!$F:$F,'Ocupação DW'!$E:$E,"",0)</f>
        <v/>
      </c>
      <c r="H297" t="str">
        <f>Vagas[[#This Row],[data]]&amp;Vagas[[#This Row],[profissional_id]]&amp;Vagas[[#This Row],[local_id]]</f>
        <v>4463617904</v>
      </c>
    </row>
    <row r="298" spans="1:8" x14ac:dyDescent="0.25">
      <c r="A298" s="2">
        <v>44636</v>
      </c>
      <c r="B298">
        <v>17907</v>
      </c>
      <c r="C298">
        <v>55</v>
      </c>
      <c r="D298">
        <v>13</v>
      </c>
      <c r="E298">
        <v>0</v>
      </c>
      <c r="F298" s="1">
        <f t="shared" si="4"/>
        <v>0</v>
      </c>
      <c r="G298" s="1" t="str">
        <f>_xlfn.XLOOKUP(C298,'Ocupação DW'!$F:$F,'Ocupação DW'!$E:$E,"",0)</f>
        <v>SEG - NILÓPOLIS</v>
      </c>
      <c r="H298" t="str">
        <f>Vagas[[#This Row],[data]]&amp;Vagas[[#This Row],[profissional_id]]&amp;Vagas[[#This Row],[local_id]]</f>
        <v>446361790755</v>
      </c>
    </row>
    <row r="299" spans="1:8" x14ac:dyDescent="0.25">
      <c r="A299" s="2">
        <v>44636</v>
      </c>
      <c r="B299">
        <v>17908</v>
      </c>
      <c r="C299">
        <v>25</v>
      </c>
      <c r="D299">
        <v>12</v>
      </c>
      <c r="E299">
        <v>0</v>
      </c>
      <c r="F299" s="1">
        <f t="shared" si="4"/>
        <v>0</v>
      </c>
      <c r="G299" s="1" t="str">
        <f>_xlfn.XLOOKUP(C299,'Ocupação DW'!$F:$F,'Ocupação DW'!$E:$E,"",0)</f>
        <v>SEG - MATRIZ</v>
      </c>
      <c r="H299" t="str">
        <f>Vagas[[#This Row],[data]]&amp;Vagas[[#This Row],[profissional_id]]&amp;Vagas[[#This Row],[local_id]]</f>
        <v>446361790825</v>
      </c>
    </row>
    <row r="300" spans="1:8" x14ac:dyDescent="0.25">
      <c r="A300" s="2">
        <v>44636</v>
      </c>
      <c r="B300">
        <v>17909</v>
      </c>
      <c r="C300">
        <v>4</v>
      </c>
      <c r="D300">
        <v>0</v>
      </c>
      <c r="E300">
        <v>0</v>
      </c>
      <c r="F300" s="1">
        <f t="shared" si="4"/>
        <v>0</v>
      </c>
      <c r="G300" s="1" t="str">
        <f>_xlfn.XLOOKUP(C300,'Ocupação DW'!$F:$F,'Ocupação DW'!$E:$E,"",0)</f>
        <v>SEG - FILIAL II 10°</v>
      </c>
      <c r="H300" t="str">
        <f>Vagas[[#This Row],[data]]&amp;Vagas[[#This Row],[profissional_id]]&amp;Vagas[[#This Row],[local_id]]</f>
        <v>44636179094</v>
      </c>
    </row>
    <row r="301" spans="1:8" x14ac:dyDescent="0.25">
      <c r="A301" s="2">
        <v>44636</v>
      </c>
      <c r="B301">
        <v>17918</v>
      </c>
      <c r="C301">
        <v>42</v>
      </c>
      <c r="D301">
        <v>0</v>
      </c>
      <c r="E301">
        <v>0</v>
      </c>
      <c r="F301" s="1">
        <f t="shared" si="4"/>
        <v>0</v>
      </c>
      <c r="G301" s="1" t="str">
        <f>_xlfn.XLOOKUP(C301,'Ocupação DW'!$F:$F,'Ocupação DW'!$E:$E,"",0)</f>
        <v>SEG - FILIAL I</v>
      </c>
      <c r="H301" t="str">
        <f>Vagas[[#This Row],[data]]&amp;Vagas[[#This Row],[profissional_id]]&amp;Vagas[[#This Row],[local_id]]</f>
        <v>446361791842</v>
      </c>
    </row>
    <row r="302" spans="1:8" x14ac:dyDescent="0.25">
      <c r="A302" s="2">
        <v>44636</v>
      </c>
      <c r="B302">
        <v>17922</v>
      </c>
      <c r="D302">
        <v>133</v>
      </c>
      <c r="E302">
        <v>0</v>
      </c>
      <c r="F302" s="1">
        <f t="shared" si="4"/>
        <v>0</v>
      </c>
      <c r="G302" s="1" t="str">
        <f>_xlfn.XLOOKUP(C302,'Ocupação DW'!$F:$F,'Ocupação DW'!$E:$E,"",0)</f>
        <v/>
      </c>
      <c r="H302" t="str">
        <f>Vagas[[#This Row],[data]]&amp;Vagas[[#This Row],[profissional_id]]&amp;Vagas[[#This Row],[local_id]]</f>
        <v>4463617922</v>
      </c>
    </row>
    <row r="303" spans="1:8" x14ac:dyDescent="0.25">
      <c r="A303" s="2">
        <v>44636</v>
      </c>
      <c r="B303">
        <v>17922</v>
      </c>
      <c r="C303">
        <v>74</v>
      </c>
      <c r="D303">
        <v>133</v>
      </c>
      <c r="E303">
        <v>0</v>
      </c>
      <c r="F303" s="1">
        <f t="shared" si="4"/>
        <v>0</v>
      </c>
      <c r="G303" s="1" t="str">
        <f>_xlfn.XLOOKUP(C303,'Ocupação DW'!$F:$F,'Ocupação DW'!$E:$E,"",0)</f>
        <v/>
      </c>
      <c r="H303" t="str">
        <f>Vagas[[#This Row],[data]]&amp;Vagas[[#This Row],[profissional_id]]&amp;Vagas[[#This Row],[local_id]]</f>
        <v>446361792274</v>
      </c>
    </row>
    <row r="304" spans="1:8" x14ac:dyDescent="0.25">
      <c r="A304" s="2">
        <v>44636</v>
      </c>
      <c r="B304">
        <v>17924</v>
      </c>
      <c r="C304">
        <v>52</v>
      </c>
      <c r="D304">
        <v>133</v>
      </c>
      <c r="E304">
        <v>0</v>
      </c>
      <c r="F304" s="1">
        <f t="shared" si="4"/>
        <v>0</v>
      </c>
      <c r="G304" s="1" t="str">
        <f>_xlfn.XLOOKUP(C304,'Ocupação DW'!$F:$F,'Ocupação DW'!$E:$E,"",0)</f>
        <v/>
      </c>
      <c r="H304" t="str">
        <f>Vagas[[#This Row],[data]]&amp;Vagas[[#This Row],[profissional_id]]&amp;Vagas[[#This Row],[local_id]]</f>
        <v>446361792452</v>
      </c>
    </row>
    <row r="305" spans="1:8" x14ac:dyDescent="0.25">
      <c r="A305" s="2">
        <v>44636</v>
      </c>
      <c r="B305">
        <v>17937</v>
      </c>
      <c r="C305">
        <v>351</v>
      </c>
      <c r="D305">
        <v>11</v>
      </c>
      <c r="E305">
        <v>0</v>
      </c>
      <c r="F305" s="1">
        <f t="shared" si="4"/>
        <v>0</v>
      </c>
      <c r="G305" s="1" t="str">
        <f>_xlfn.XLOOKUP(C305,'Ocupação DW'!$F:$F,'Ocupação DW'!$E:$E,"",0)</f>
        <v>SEG - FILIAL I</v>
      </c>
      <c r="H305" t="str">
        <f>Vagas[[#This Row],[data]]&amp;Vagas[[#This Row],[profissional_id]]&amp;Vagas[[#This Row],[local_id]]</f>
        <v>4463617937351</v>
      </c>
    </row>
    <row r="306" spans="1:8" x14ac:dyDescent="0.25">
      <c r="A306" s="2">
        <v>44636</v>
      </c>
      <c r="D306">
        <v>0</v>
      </c>
      <c r="E306">
        <v>0</v>
      </c>
      <c r="F306" s="1">
        <f t="shared" si="4"/>
        <v>0</v>
      </c>
      <c r="G306" s="1" t="str">
        <f>_xlfn.XLOOKUP(C306,'Ocupação DW'!$F:$F,'Ocupação DW'!$E:$E,"",0)</f>
        <v/>
      </c>
      <c r="H306" t="str">
        <f>Vagas[[#This Row],[data]]&amp;Vagas[[#This Row],[profissional_id]]&amp;Vagas[[#This Row],[local_id]]</f>
        <v>44636</v>
      </c>
    </row>
    <row r="307" spans="1:8" x14ac:dyDescent="0.25">
      <c r="A307" s="2">
        <v>44636</v>
      </c>
      <c r="D307">
        <v>0</v>
      </c>
      <c r="E307">
        <v>0</v>
      </c>
      <c r="F307" s="1">
        <f t="shared" si="4"/>
        <v>0</v>
      </c>
      <c r="G307" s="1" t="str">
        <f>_xlfn.XLOOKUP(C307,'Ocupação DW'!$F:$F,'Ocupação DW'!$E:$E,"",0)</f>
        <v/>
      </c>
      <c r="H307" t="str">
        <f>Vagas[[#This Row],[data]]&amp;Vagas[[#This Row],[profissional_id]]&amp;Vagas[[#This Row],[local_id]]</f>
        <v>44636</v>
      </c>
    </row>
    <row r="308" spans="1:8" x14ac:dyDescent="0.25">
      <c r="A308" s="2">
        <v>44636</v>
      </c>
      <c r="D308">
        <v>0</v>
      </c>
      <c r="E308">
        <v>0</v>
      </c>
      <c r="F308" s="1">
        <f t="shared" si="4"/>
        <v>0</v>
      </c>
      <c r="G308" s="1" t="str">
        <f>_xlfn.XLOOKUP(C308,'Ocupação DW'!$F:$F,'Ocupação DW'!$E:$E,"",0)</f>
        <v/>
      </c>
      <c r="H308" t="str">
        <f>Vagas[[#This Row],[data]]&amp;Vagas[[#This Row],[profissional_id]]&amp;Vagas[[#This Row],[local_id]]</f>
        <v>44636</v>
      </c>
    </row>
    <row r="309" spans="1:8" x14ac:dyDescent="0.25">
      <c r="A309" s="2">
        <v>44637</v>
      </c>
      <c r="B309">
        <v>19</v>
      </c>
      <c r="C309">
        <v>41</v>
      </c>
      <c r="D309">
        <v>13</v>
      </c>
      <c r="E309">
        <v>0</v>
      </c>
      <c r="F309" s="1">
        <f t="shared" si="4"/>
        <v>0</v>
      </c>
      <c r="G309" s="1" t="str">
        <f>_xlfn.XLOOKUP(C309,'Ocupação DW'!$F:$F,'Ocupação DW'!$E:$E,"",0)</f>
        <v>SEG - FILIAL I</v>
      </c>
      <c r="H309" t="str">
        <f>Vagas[[#This Row],[data]]&amp;Vagas[[#This Row],[profissional_id]]&amp;Vagas[[#This Row],[local_id]]</f>
        <v>446371941</v>
      </c>
    </row>
    <row r="310" spans="1:8" x14ac:dyDescent="0.25">
      <c r="A310" s="2">
        <v>44637</v>
      </c>
      <c r="B310">
        <v>53</v>
      </c>
      <c r="C310">
        <v>5</v>
      </c>
      <c r="D310">
        <v>0</v>
      </c>
      <c r="E310">
        <v>17</v>
      </c>
      <c r="F310" s="1">
        <f t="shared" si="4"/>
        <v>0</v>
      </c>
      <c r="G310" s="1" t="str">
        <f>_xlfn.XLOOKUP(C310,'Ocupação DW'!$F:$F,'Ocupação DW'!$E:$E,"",0)</f>
        <v>SEG - FILIAL II 10°</v>
      </c>
      <c r="H310" t="str">
        <f>Vagas[[#This Row],[data]]&amp;Vagas[[#This Row],[profissional_id]]&amp;Vagas[[#This Row],[local_id]]</f>
        <v>44637535</v>
      </c>
    </row>
    <row r="311" spans="1:8" x14ac:dyDescent="0.25">
      <c r="A311" s="2">
        <v>44637</v>
      </c>
      <c r="B311">
        <v>53</v>
      </c>
      <c r="C311">
        <v>14</v>
      </c>
      <c r="D311">
        <v>0</v>
      </c>
      <c r="E311">
        <v>17</v>
      </c>
      <c r="F311" s="1">
        <f t="shared" si="4"/>
        <v>0</v>
      </c>
      <c r="G311" s="1" t="str">
        <f>_xlfn.XLOOKUP(C311,'Ocupação DW'!$F:$F,'Ocupação DW'!$E:$E,"",0)</f>
        <v>SEG - FILIAL II 11°</v>
      </c>
      <c r="H311" t="str">
        <f>Vagas[[#This Row],[data]]&amp;Vagas[[#This Row],[profissional_id]]&amp;Vagas[[#This Row],[local_id]]</f>
        <v>446375314</v>
      </c>
    </row>
    <row r="312" spans="1:8" x14ac:dyDescent="0.25">
      <c r="A312" s="2">
        <v>44637</v>
      </c>
      <c r="B312">
        <v>54</v>
      </c>
      <c r="D312">
        <v>13</v>
      </c>
      <c r="E312">
        <v>0</v>
      </c>
      <c r="F312" s="1">
        <f t="shared" si="4"/>
        <v>0</v>
      </c>
      <c r="G312" s="1" t="str">
        <f>_xlfn.XLOOKUP(C312,'Ocupação DW'!$F:$F,'Ocupação DW'!$E:$E,"",0)</f>
        <v/>
      </c>
      <c r="H312" t="str">
        <f>Vagas[[#This Row],[data]]&amp;Vagas[[#This Row],[profissional_id]]&amp;Vagas[[#This Row],[local_id]]</f>
        <v>4463754</v>
      </c>
    </row>
    <row r="313" spans="1:8" x14ac:dyDescent="0.25">
      <c r="A313" s="2">
        <v>44637</v>
      </c>
      <c r="B313">
        <v>54</v>
      </c>
      <c r="C313">
        <v>50</v>
      </c>
      <c r="D313">
        <v>16</v>
      </c>
      <c r="E313">
        <v>0</v>
      </c>
      <c r="F313" s="1">
        <f t="shared" si="4"/>
        <v>0</v>
      </c>
      <c r="G313" s="1" t="str">
        <f>_xlfn.XLOOKUP(C313,'Ocupação DW'!$F:$F,'Ocupação DW'!$E:$E,"",0)</f>
        <v>SEG - FILIAL I</v>
      </c>
      <c r="H313" t="str">
        <f>Vagas[[#This Row],[data]]&amp;Vagas[[#This Row],[profissional_id]]&amp;Vagas[[#This Row],[local_id]]</f>
        <v>446375450</v>
      </c>
    </row>
    <row r="314" spans="1:8" x14ac:dyDescent="0.25">
      <c r="A314" s="2">
        <v>44637</v>
      </c>
      <c r="B314">
        <v>55</v>
      </c>
      <c r="D314">
        <v>0</v>
      </c>
      <c r="E314">
        <v>0</v>
      </c>
      <c r="F314" s="1">
        <f t="shared" si="4"/>
        <v>0</v>
      </c>
      <c r="G314" s="1" t="str">
        <f>_xlfn.XLOOKUP(C314,'Ocupação DW'!$F:$F,'Ocupação DW'!$E:$E,"",0)</f>
        <v/>
      </c>
      <c r="H314" t="str">
        <f>Vagas[[#This Row],[data]]&amp;Vagas[[#This Row],[profissional_id]]&amp;Vagas[[#This Row],[local_id]]</f>
        <v>4463755</v>
      </c>
    </row>
    <row r="315" spans="1:8" x14ac:dyDescent="0.25">
      <c r="A315" s="2">
        <v>44637</v>
      </c>
      <c r="B315">
        <v>59</v>
      </c>
      <c r="D315">
        <v>0</v>
      </c>
      <c r="E315">
        <v>0</v>
      </c>
      <c r="F315" s="1">
        <f t="shared" si="4"/>
        <v>0</v>
      </c>
      <c r="G315" s="1" t="str">
        <f>_xlfn.XLOOKUP(C315,'Ocupação DW'!$F:$F,'Ocupação DW'!$E:$E,"",0)</f>
        <v/>
      </c>
      <c r="H315" t="str">
        <f>Vagas[[#This Row],[data]]&amp;Vagas[[#This Row],[profissional_id]]&amp;Vagas[[#This Row],[local_id]]</f>
        <v>4463759</v>
      </c>
    </row>
    <row r="316" spans="1:8" x14ac:dyDescent="0.25">
      <c r="A316" s="2">
        <v>44637</v>
      </c>
      <c r="B316">
        <v>60</v>
      </c>
      <c r="D316">
        <v>19</v>
      </c>
      <c r="E316">
        <v>0</v>
      </c>
      <c r="F316" s="1">
        <f t="shared" si="4"/>
        <v>0</v>
      </c>
      <c r="G316" s="1" t="str">
        <f>_xlfn.XLOOKUP(C316,'Ocupação DW'!$F:$F,'Ocupação DW'!$E:$E,"",0)</f>
        <v/>
      </c>
      <c r="H316" t="str">
        <f>Vagas[[#This Row],[data]]&amp;Vagas[[#This Row],[profissional_id]]&amp;Vagas[[#This Row],[local_id]]</f>
        <v>4463760</v>
      </c>
    </row>
    <row r="317" spans="1:8" x14ac:dyDescent="0.25">
      <c r="A317" s="2">
        <v>44637</v>
      </c>
      <c r="B317">
        <v>60</v>
      </c>
      <c r="C317">
        <v>346</v>
      </c>
      <c r="D317">
        <v>0</v>
      </c>
      <c r="E317">
        <v>0</v>
      </c>
      <c r="F317" s="1">
        <f t="shared" si="4"/>
        <v>19</v>
      </c>
      <c r="G317" s="1" t="str">
        <f>_xlfn.XLOOKUP(C317,'Ocupação DW'!$F:$F,'Ocupação DW'!$E:$E,"",0)</f>
        <v>SEG - MATRIZ</v>
      </c>
      <c r="H317" t="str">
        <f>Vagas[[#This Row],[data]]&amp;Vagas[[#This Row],[profissional_id]]&amp;Vagas[[#This Row],[local_id]]</f>
        <v>4463760346</v>
      </c>
    </row>
    <row r="318" spans="1:8" x14ac:dyDescent="0.25">
      <c r="A318" s="2">
        <v>44637</v>
      </c>
      <c r="B318">
        <v>66</v>
      </c>
      <c r="D318">
        <v>61</v>
      </c>
      <c r="E318">
        <v>0</v>
      </c>
      <c r="F318" s="1">
        <f t="shared" si="4"/>
        <v>0</v>
      </c>
      <c r="G318" s="1" t="str">
        <f>_xlfn.XLOOKUP(C318,'Ocupação DW'!$F:$F,'Ocupação DW'!$E:$E,"",0)</f>
        <v/>
      </c>
      <c r="H318" t="str">
        <f>Vagas[[#This Row],[data]]&amp;Vagas[[#This Row],[profissional_id]]&amp;Vagas[[#This Row],[local_id]]</f>
        <v>4463766</v>
      </c>
    </row>
    <row r="319" spans="1:8" x14ac:dyDescent="0.25">
      <c r="A319" s="2">
        <v>44637</v>
      </c>
      <c r="B319">
        <v>66</v>
      </c>
      <c r="C319">
        <v>345</v>
      </c>
      <c r="D319">
        <v>64</v>
      </c>
      <c r="E319">
        <v>0</v>
      </c>
      <c r="F319" s="1">
        <f t="shared" si="4"/>
        <v>0</v>
      </c>
      <c r="G319" s="1" t="str">
        <f>_xlfn.XLOOKUP(C319,'Ocupação DW'!$F:$F,'Ocupação DW'!$E:$E,"",0)</f>
        <v>SEG - MATRIZ</v>
      </c>
      <c r="H319" t="str">
        <f>Vagas[[#This Row],[data]]&amp;Vagas[[#This Row],[profissional_id]]&amp;Vagas[[#This Row],[local_id]]</f>
        <v>4463766345</v>
      </c>
    </row>
    <row r="320" spans="1:8" x14ac:dyDescent="0.25">
      <c r="A320" s="2">
        <v>44637</v>
      </c>
      <c r="B320">
        <v>69</v>
      </c>
      <c r="D320">
        <v>13</v>
      </c>
      <c r="E320">
        <v>0</v>
      </c>
      <c r="F320" s="1">
        <f t="shared" si="4"/>
        <v>0</v>
      </c>
      <c r="G320" s="1" t="str">
        <f>_xlfn.XLOOKUP(C320,'Ocupação DW'!$F:$F,'Ocupação DW'!$E:$E,"",0)</f>
        <v/>
      </c>
      <c r="H320" t="str">
        <f>Vagas[[#This Row],[data]]&amp;Vagas[[#This Row],[profissional_id]]&amp;Vagas[[#This Row],[local_id]]</f>
        <v>4463769</v>
      </c>
    </row>
    <row r="321" spans="1:8" x14ac:dyDescent="0.25">
      <c r="A321" s="2">
        <v>44637</v>
      </c>
      <c r="B321">
        <v>69</v>
      </c>
      <c r="C321">
        <v>82</v>
      </c>
      <c r="D321">
        <v>0</v>
      </c>
      <c r="E321">
        <v>0</v>
      </c>
      <c r="F321" s="1">
        <f t="shared" si="4"/>
        <v>13</v>
      </c>
      <c r="G321" s="1" t="str">
        <f>_xlfn.XLOOKUP(C321,'Ocupação DW'!$F:$F,'Ocupação DW'!$E:$E,"",0)</f>
        <v>SEG - MIGUEL COUTO</v>
      </c>
      <c r="H321" t="str">
        <f>Vagas[[#This Row],[data]]&amp;Vagas[[#This Row],[profissional_id]]&amp;Vagas[[#This Row],[local_id]]</f>
        <v>446376982</v>
      </c>
    </row>
    <row r="322" spans="1:8" x14ac:dyDescent="0.25">
      <c r="A322" s="2">
        <v>44637</v>
      </c>
      <c r="B322">
        <v>70</v>
      </c>
      <c r="D322">
        <v>0</v>
      </c>
      <c r="E322">
        <v>0</v>
      </c>
      <c r="F322" s="1">
        <f t="shared" ref="F322:F385" si="5">IF(AND(A322=A321,B322=B321,D321&lt;&gt;0,D322=0),D321,0)</f>
        <v>0</v>
      </c>
      <c r="G322" s="1" t="str">
        <f>_xlfn.XLOOKUP(C322,'Ocupação DW'!$F:$F,'Ocupação DW'!$E:$E,"",0)</f>
        <v/>
      </c>
      <c r="H322" t="str">
        <f>Vagas[[#This Row],[data]]&amp;Vagas[[#This Row],[profissional_id]]&amp;Vagas[[#This Row],[local_id]]</f>
        <v>4463770</v>
      </c>
    </row>
    <row r="323" spans="1:8" x14ac:dyDescent="0.25">
      <c r="A323" s="2">
        <v>44637</v>
      </c>
      <c r="B323">
        <v>73</v>
      </c>
      <c r="D323">
        <v>0</v>
      </c>
      <c r="E323">
        <v>0</v>
      </c>
      <c r="F323" s="1">
        <f t="shared" si="5"/>
        <v>0</v>
      </c>
      <c r="G323" s="1" t="str">
        <f>_xlfn.XLOOKUP(C323,'Ocupação DW'!$F:$F,'Ocupação DW'!$E:$E,"",0)</f>
        <v/>
      </c>
      <c r="H323" t="str">
        <f>Vagas[[#This Row],[data]]&amp;Vagas[[#This Row],[profissional_id]]&amp;Vagas[[#This Row],[local_id]]</f>
        <v>4463773</v>
      </c>
    </row>
    <row r="324" spans="1:8" x14ac:dyDescent="0.25">
      <c r="A324" s="2">
        <v>44637</v>
      </c>
      <c r="B324">
        <v>74</v>
      </c>
      <c r="C324">
        <v>7</v>
      </c>
      <c r="D324">
        <v>0</v>
      </c>
      <c r="E324">
        <v>0</v>
      </c>
      <c r="F324" s="1">
        <f t="shared" si="5"/>
        <v>0</v>
      </c>
      <c r="G324" s="1" t="str">
        <f>_xlfn.XLOOKUP(C324,'Ocupação DW'!$F:$F,'Ocupação DW'!$E:$E,"",0)</f>
        <v>SEG - FILIAL II 10°</v>
      </c>
      <c r="H324" t="str">
        <f>Vagas[[#This Row],[data]]&amp;Vagas[[#This Row],[profissional_id]]&amp;Vagas[[#This Row],[local_id]]</f>
        <v>44637747</v>
      </c>
    </row>
    <row r="325" spans="1:8" x14ac:dyDescent="0.25">
      <c r="A325" s="2">
        <v>44637</v>
      </c>
      <c r="B325">
        <v>76</v>
      </c>
      <c r="C325">
        <v>48</v>
      </c>
      <c r="D325">
        <v>0</v>
      </c>
      <c r="E325">
        <v>0</v>
      </c>
      <c r="F325" s="1">
        <f t="shared" si="5"/>
        <v>0</v>
      </c>
      <c r="G325" s="1" t="str">
        <f>_xlfn.XLOOKUP(C325,'Ocupação DW'!$F:$F,'Ocupação DW'!$E:$E,"",0)</f>
        <v>SEG - FILIAL I</v>
      </c>
      <c r="H325" t="str">
        <f>Vagas[[#This Row],[data]]&amp;Vagas[[#This Row],[profissional_id]]&amp;Vagas[[#This Row],[local_id]]</f>
        <v>446377648</v>
      </c>
    </row>
    <row r="326" spans="1:8" x14ac:dyDescent="0.25">
      <c r="A326" s="2">
        <v>44637</v>
      </c>
      <c r="B326">
        <v>80</v>
      </c>
      <c r="C326">
        <v>348</v>
      </c>
      <c r="D326">
        <v>0</v>
      </c>
      <c r="E326">
        <v>0</v>
      </c>
      <c r="F326" s="1">
        <f t="shared" si="5"/>
        <v>0</v>
      </c>
      <c r="G326" s="1" t="str">
        <f>_xlfn.XLOOKUP(C326,'Ocupação DW'!$F:$F,'Ocupação DW'!$E:$E,"",0)</f>
        <v>SEG - MATRIZ</v>
      </c>
      <c r="H326" t="str">
        <f>Vagas[[#This Row],[data]]&amp;Vagas[[#This Row],[profissional_id]]&amp;Vagas[[#This Row],[local_id]]</f>
        <v>4463780348</v>
      </c>
    </row>
    <row r="327" spans="1:8" x14ac:dyDescent="0.25">
      <c r="A327" s="2">
        <v>44637</v>
      </c>
      <c r="B327">
        <v>81</v>
      </c>
      <c r="C327">
        <v>41</v>
      </c>
      <c r="D327">
        <v>0</v>
      </c>
      <c r="E327">
        <v>0</v>
      </c>
      <c r="F327" s="1">
        <f t="shared" si="5"/>
        <v>0</v>
      </c>
      <c r="G327" s="1" t="str">
        <f>_xlfn.XLOOKUP(C327,'Ocupação DW'!$F:$F,'Ocupação DW'!$E:$E,"",0)</f>
        <v>SEG - FILIAL I</v>
      </c>
      <c r="H327" t="str">
        <f>Vagas[[#This Row],[data]]&amp;Vagas[[#This Row],[profissional_id]]&amp;Vagas[[#This Row],[local_id]]</f>
        <v>446378141</v>
      </c>
    </row>
    <row r="328" spans="1:8" x14ac:dyDescent="0.25">
      <c r="A328" s="2">
        <v>44637</v>
      </c>
      <c r="B328">
        <v>85</v>
      </c>
      <c r="C328">
        <v>349</v>
      </c>
      <c r="D328">
        <v>0</v>
      </c>
      <c r="E328">
        <v>4</v>
      </c>
      <c r="F328" s="1">
        <f t="shared" si="5"/>
        <v>0</v>
      </c>
      <c r="G328" s="1" t="str">
        <f>_xlfn.XLOOKUP(C328,'Ocupação DW'!$F:$F,'Ocupação DW'!$E:$E,"",0)</f>
        <v>SEG - FILIAL II 11°</v>
      </c>
      <c r="H328" t="str">
        <f>Vagas[[#This Row],[data]]&amp;Vagas[[#This Row],[profissional_id]]&amp;Vagas[[#This Row],[local_id]]</f>
        <v>4463785349</v>
      </c>
    </row>
    <row r="329" spans="1:8" x14ac:dyDescent="0.25">
      <c r="A329" s="2">
        <v>44637</v>
      </c>
      <c r="B329">
        <v>86</v>
      </c>
      <c r="D329">
        <v>0</v>
      </c>
      <c r="E329">
        <v>0</v>
      </c>
      <c r="F329" s="1">
        <f t="shared" si="5"/>
        <v>0</v>
      </c>
      <c r="G329" s="1" t="str">
        <f>_xlfn.XLOOKUP(C329,'Ocupação DW'!$F:$F,'Ocupação DW'!$E:$E,"",0)</f>
        <v/>
      </c>
      <c r="H329" t="str">
        <f>Vagas[[#This Row],[data]]&amp;Vagas[[#This Row],[profissional_id]]&amp;Vagas[[#This Row],[local_id]]</f>
        <v>4463786</v>
      </c>
    </row>
    <row r="330" spans="1:8" x14ac:dyDescent="0.25">
      <c r="A330" s="2">
        <v>44637</v>
      </c>
      <c r="B330">
        <v>92</v>
      </c>
      <c r="C330">
        <v>340</v>
      </c>
      <c r="D330">
        <v>72</v>
      </c>
      <c r="E330">
        <v>0</v>
      </c>
      <c r="F330" s="1">
        <f t="shared" si="5"/>
        <v>0</v>
      </c>
      <c r="G330" s="1" t="str">
        <f>_xlfn.XLOOKUP(C330,'Ocupação DW'!$F:$F,'Ocupação DW'!$E:$E,"",0)</f>
        <v>SEG - MATRIZ</v>
      </c>
      <c r="H330" t="str">
        <f>Vagas[[#This Row],[data]]&amp;Vagas[[#This Row],[profissional_id]]&amp;Vagas[[#This Row],[local_id]]</f>
        <v>4463792340</v>
      </c>
    </row>
    <row r="331" spans="1:8" x14ac:dyDescent="0.25">
      <c r="A331" s="2">
        <v>44637</v>
      </c>
      <c r="B331">
        <v>93</v>
      </c>
      <c r="C331">
        <v>343</v>
      </c>
      <c r="D331">
        <v>60</v>
      </c>
      <c r="E331">
        <v>0</v>
      </c>
      <c r="F331" s="1">
        <f t="shared" si="5"/>
        <v>0</v>
      </c>
      <c r="G331" s="1" t="str">
        <f>_xlfn.XLOOKUP(C331,'Ocupação DW'!$F:$F,'Ocupação DW'!$E:$E,"",0)</f>
        <v/>
      </c>
      <c r="H331" t="str">
        <f>Vagas[[#This Row],[data]]&amp;Vagas[[#This Row],[profissional_id]]&amp;Vagas[[#This Row],[local_id]]</f>
        <v>4463793343</v>
      </c>
    </row>
    <row r="332" spans="1:8" x14ac:dyDescent="0.25">
      <c r="A332" s="2">
        <v>44637</v>
      </c>
      <c r="B332">
        <v>100</v>
      </c>
      <c r="D332">
        <v>33</v>
      </c>
      <c r="E332">
        <v>5</v>
      </c>
      <c r="F332" s="1">
        <f t="shared" si="5"/>
        <v>0</v>
      </c>
      <c r="G332" s="1" t="str">
        <f>_xlfn.XLOOKUP(C332,'Ocupação DW'!$F:$F,'Ocupação DW'!$E:$E,"",0)</f>
        <v/>
      </c>
      <c r="H332" t="str">
        <f>Vagas[[#This Row],[data]]&amp;Vagas[[#This Row],[profissional_id]]&amp;Vagas[[#This Row],[local_id]]</f>
        <v>44637100</v>
      </c>
    </row>
    <row r="333" spans="1:8" x14ac:dyDescent="0.25">
      <c r="A333" s="2">
        <v>44637</v>
      </c>
      <c r="B333">
        <v>100</v>
      </c>
      <c r="C333">
        <v>342</v>
      </c>
      <c r="D333">
        <v>0</v>
      </c>
      <c r="E333">
        <v>4</v>
      </c>
      <c r="F333" s="1">
        <f t="shared" si="5"/>
        <v>33</v>
      </c>
      <c r="G333" s="1" t="str">
        <f>_xlfn.XLOOKUP(C333,'Ocupação DW'!$F:$F,'Ocupação DW'!$E:$E,"",0)</f>
        <v>SEG - MATRIZ</v>
      </c>
      <c r="H333" t="str">
        <f>Vagas[[#This Row],[data]]&amp;Vagas[[#This Row],[profissional_id]]&amp;Vagas[[#This Row],[local_id]]</f>
        <v>44637100342</v>
      </c>
    </row>
    <row r="334" spans="1:8" x14ac:dyDescent="0.25">
      <c r="A334" s="2">
        <v>44637</v>
      </c>
      <c r="B334">
        <v>110</v>
      </c>
      <c r="D334">
        <v>0</v>
      </c>
      <c r="E334">
        <v>0</v>
      </c>
      <c r="F334" s="1">
        <f t="shared" si="5"/>
        <v>0</v>
      </c>
      <c r="G334" s="1" t="str">
        <f>_xlfn.XLOOKUP(C334,'Ocupação DW'!$F:$F,'Ocupação DW'!$E:$E,"",0)</f>
        <v/>
      </c>
      <c r="H334" t="str">
        <f>Vagas[[#This Row],[data]]&amp;Vagas[[#This Row],[profissional_id]]&amp;Vagas[[#This Row],[local_id]]</f>
        <v>44637110</v>
      </c>
    </row>
    <row r="335" spans="1:8" x14ac:dyDescent="0.25">
      <c r="A335" s="2">
        <v>44637</v>
      </c>
      <c r="B335">
        <v>123</v>
      </c>
      <c r="D335">
        <v>72</v>
      </c>
      <c r="E335">
        <v>0</v>
      </c>
      <c r="F335" s="1">
        <f t="shared" si="5"/>
        <v>0</v>
      </c>
      <c r="G335" s="1" t="str">
        <f>_xlfn.XLOOKUP(C335,'Ocupação DW'!$F:$F,'Ocupação DW'!$E:$E,"",0)</f>
        <v/>
      </c>
      <c r="H335" t="str">
        <f>Vagas[[#This Row],[data]]&amp;Vagas[[#This Row],[profissional_id]]&amp;Vagas[[#This Row],[local_id]]</f>
        <v>44637123</v>
      </c>
    </row>
    <row r="336" spans="1:8" x14ac:dyDescent="0.25">
      <c r="A336" s="2">
        <v>44637</v>
      </c>
      <c r="B336">
        <v>123</v>
      </c>
      <c r="C336">
        <v>351</v>
      </c>
      <c r="D336">
        <v>11</v>
      </c>
      <c r="E336">
        <v>0</v>
      </c>
      <c r="F336" s="1">
        <f t="shared" si="5"/>
        <v>0</v>
      </c>
      <c r="G336" s="1" t="str">
        <f>_xlfn.XLOOKUP(C336,'Ocupação DW'!$F:$F,'Ocupação DW'!$E:$E,"",0)</f>
        <v>SEG - FILIAL I</v>
      </c>
      <c r="H336" t="str">
        <f>Vagas[[#This Row],[data]]&amp;Vagas[[#This Row],[profissional_id]]&amp;Vagas[[#This Row],[local_id]]</f>
        <v>44637123351</v>
      </c>
    </row>
    <row r="337" spans="1:8" x14ac:dyDescent="0.25">
      <c r="A337" s="2">
        <v>44637</v>
      </c>
      <c r="B337">
        <v>123</v>
      </c>
      <c r="C337">
        <v>339</v>
      </c>
      <c r="D337">
        <v>62</v>
      </c>
      <c r="E337">
        <v>0</v>
      </c>
      <c r="F337" s="1">
        <f t="shared" si="5"/>
        <v>0</v>
      </c>
      <c r="G337" s="1" t="str">
        <f>_xlfn.XLOOKUP(C337,'Ocupação DW'!$F:$F,'Ocupação DW'!$E:$E,"",0)</f>
        <v>SEG - MATRIZ</v>
      </c>
      <c r="H337" t="str">
        <f>Vagas[[#This Row],[data]]&amp;Vagas[[#This Row],[profissional_id]]&amp;Vagas[[#This Row],[local_id]]</f>
        <v>44637123339</v>
      </c>
    </row>
    <row r="338" spans="1:8" x14ac:dyDescent="0.25">
      <c r="A338" s="2">
        <v>44637</v>
      </c>
      <c r="B338">
        <v>174</v>
      </c>
      <c r="C338">
        <v>24</v>
      </c>
      <c r="D338">
        <v>80</v>
      </c>
      <c r="E338">
        <v>0</v>
      </c>
      <c r="F338" s="1">
        <f t="shared" si="5"/>
        <v>0</v>
      </c>
      <c r="G338" s="1" t="str">
        <f>_xlfn.XLOOKUP(C338,'Ocupação DW'!$F:$F,'Ocupação DW'!$E:$E,"",0)</f>
        <v>SEG - MATRIZ</v>
      </c>
      <c r="H338" t="str">
        <f>Vagas[[#This Row],[data]]&amp;Vagas[[#This Row],[profissional_id]]&amp;Vagas[[#This Row],[local_id]]</f>
        <v>4463717424</v>
      </c>
    </row>
    <row r="339" spans="1:8" x14ac:dyDescent="0.25">
      <c r="A339" s="2">
        <v>44637</v>
      </c>
      <c r="B339">
        <v>266</v>
      </c>
      <c r="C339">
        <v>42</v>
      </c>
      <c r="D339">
        <v>0</v>
      </c>
      <c r="E339">
        <v>0</v>
      </c>
      <c r="F339" s="1">
        <f t="shared" si="5"/>
        <v>0</v>
      </c>
      <c r="G339" s="1" t="str">
        <f>_xlfn.XLOOKUP(C339,'Ocupação DW'!$F:$F,'Ocupação DW'!$E:$E,"",0)</f>
        <v>SEG - FILIAL I</v>
      </c>
      <c r="H339" t="str">
        <f>Vagas[[#This Row],[data]]&amp;Vagas[[#This Row],[profissional_id]]&amp;Vagas[[#This Row],[local_id]]</f>
        <v>4463726642</v>
      </c>
    </row>
    <row r="340" spans="1:8" x14ac:dyDescent="0.25">
      <c r="A340" s="2">
        <v>44637</v>
      </c>
      <c r="B340">
        <v>282</v>
      </c>
      <c r="D340">
        <v>87</v>
      </c>
      <c r="E340">
        <v>0</v>
      </c>
      <c r="F340" s="1">
        <f t="shared" si="5"/>
        <v>0</v>
      </c>
      <c r="G340" s="1" t="str">
        <f>_xlfn.XLOOKUP(C340,'Ocupação DW'!$F:$F,'Ocupação DW'!$E:$E,"",0)</f>
        <v/>
      </c>
      <c r="H340" t="str">
        <f>Vagas[[#This Row],[data]]&amp;Vagas[[#This Row],[profissional_id]]&amp;Vagas[[#This Row],[local_id]]</f>
        <v>44637282</v>
      </c>
    </row>
    <row r="341" spans="1:8" x14ac:dyDescent="0.25">
      <c r="A341" s="2">
        <v>44637</v>
      </c>
      <c r="B341">
        <v>282</v>
      </c>
      <c r="C341">
        <v>39</v>
      </c>
      <c r="D341">
        <v>51</v>
      </c>
      <c r="E341">
        <v>0</v>
      </c>
      <c r="F341" s="1">
        <f t="shared" si="5"/>
        <v>0</v>
      </c>
      <c r="G341" s="1" t="str">
        <f>_xlfn.XLOOKUP(C341,'Ocupação DW'!$F:$F,'Ocupação DW'!$E:$E,"",0)</f>
        <v>SEG - FILIAL I</v>
      </c>
      <c r="H341" t="str">
        <f>Vagas[[#This Row],[data]]&amp;Vagas[[#This Row],[profissional_id]]&amp;Vagas[[#This Row],[local_id]]</f>
        <v>4463728239</v>
      </c>
    </row>
    <row r="342" spans="1:8" x14ac:dyDescent="0.25">
      <c r="A342" s="2">
        <v>44637</v>
      </c>
      <c r="B342">
        <v>282</v>
      </c>
      <c r="C342">
        <v>68</v>
      </c>
      <c r="D342">
        <v>0</v>
      </c>
      <c r="E342">
        <v>0</v>
      </c>
      <c r="F342" s="1">
        <f t="shared" si="5"/>
        <v>51</v>
      </c>
      <c r="G342" s="1" t="str">
        <f>_xlfn.XLOOKUP(C342,'Ocupação DW'!$F:$F,'Ocupação DW'!$E:$E,"",0)</f>
        <v>SEG - NILÓPOLIS</v>
      </c>
      <c r="H342" t="str">
        <f>Vagas[[#This Row],[data]]&amp;Vagas[[#This Row],[profissional_id]]&amp;Vagas[[#This Row],[local_id]]</f>
        <v>4463728268</v>
      </c>
    </row>
    <row r="343" spans="1:8" x14ac:dyDescent="0.25">
      <c r="A343" s="2">
        <v>44637</v>
      </c>
      <c r="B343">
        <v>531</v>
      </c>
      <c r="C343">
        <v>12</v>
      </c>
      <c r="D343">
        <v>0</v>
      </c>
      <c r="E343">
        <v>0</v>
      </c>
      <c r="F343" s="1">
        <f t="shared" si="5"/>
        <v>0</v>
      </c>
      <c r="G343" s="1" t="str">
        <f>_xlfn.XLOOKUP(C343,'Ocupação DW'!$F:$F,'Ocupação DW'!$E:$E,"",0)</f>
        <v>SEG - FILIAL II 11°</v>
      </c>
      <c r="H343" t="str">
        <f>Vagas[[#This Row],[data]]&amp;Vagas[[#This Row],[profissional_id]]&amp;Vagas[[#This Row],[local_id]]</f>
        <v>4463753112</v>
      </c>
    </row>
    <row r="344" spans="1:8" x14ac:dyDescent="0.25">
      <c r="A344" s="2">
        <v>44637</v>
      </c>
      <c r="B344">
        <v>1343</v>
      </c>
      <c r="D344">
        <v>13</v>
      </c>
      <c r="E344">
        <v>0</v>
      </c>
      <c r="F344" s="1">
        <f t="shared" si="5"/>
        <v>0</v>
      </c>
      <c r="G344" s="1" t="str">
        <f>_xlfn.XLOOKUP(C344,'Ocupação DW'!$F:$F,'Ocupação DW'!$E:$E,"",0)</f>
        <v/>
      </c>
      <c r="H344" t="str">
        <f>Vagas[[#This Row],[data]]&amp;Vagas[[#This Row],[profissional_id]]&amp;Vagas[[#This Row],[local_id]]</f>
        <v>446371343</v>
      </c>
    </row>
    <row r="345" spans="1:8" x14ac:dyDescent="0.25">
      <c r="A345" s="2">
        <v>44637</v>
      </c>
      <c r="B345">
        <v>1343</v>
      </c>
      <c r="C345">
        <v>80</v>
      </c>
      <c r="D345">
        <v>0</v>
      </c>
      <c r="E345">
        <v>0</v>
      </c>
      <c r="F345" s="1">
        <f t="shared" si="5"/>
        <v>13</v>
      </c>
      <c r="G345" s="1" t="str">
        <f>_xlfn.XLOOKUP(C345,'Ocupação DW'!$F:$F,'Ocupação DW'!$E:$E,"",0)</f>
        <v>SEG - MIGUEL COUTO</v>
      </c>
      <c r="H345" t="str">
        <f>Vagas[[#This Row],[data]]&amp;Vagas[[#This Row],[profissional_id]]&amp;Vagas[[#This Row],[local_id]]</f>
        <v>44637134380</v>
      </c>
    </row>
    <row r="346" spans="1:8" x14ac:dyDescent="0.25">
      <c r="A346" s="2">
        <v>44637</v>
      </c>
      <c r="B346">
        <v>1490</v>
      </c>
      <c r="D346">
        <v>12</v>
      </c>
      <c r="E346">
        <v>0</v>
      </c>
      <c r="F346" s="1">
        <f t="shared" si="5"/>
        <v>0</v>
      </c>
      <c r="G346" s="1" t="str">
        <f>_xlfn.XLOOKUP(C346,'Ocupação DW'!$F:$F,'Ocupação DW'!$E:$E,"",0)</f>
        <v/>
      </c>
      <c r="H346" t="str">
        <f>Vagas[[#This Row],[data]]&amp;Vagas[[#This Row],[profissional_id]]&amp;Vagas[[#This Row],[local_id]]</f>
        <v>446371490</v>
      </c>
    </row>
    <row r="347" spans="1:8" x14ac:dyDescent="0.25">
      <c r="A347" s="2">
        <v>44637</v>
      </c>
      <c r="B347">
        <v>1490</v>
      </c>
      <c r="C347">
        <v>12</v>
      </c>
      <c r="D347">
        <v>0</v>
      </c>
      <c r="E347">
        <v>0</v>
      </c>
      <c r="F347" s="1">
        <f t="shared" si="5"/>
        <v>12</v>
      </c>
      <c r="G347" s="1" t="str">
        <f>_xlfn.XLOOKUP(C347,'Ocupação DW'!$F:$F,'Ocupação DW'!$E:$E,"",0)</f>
        <v>SEG - FILIAL II 11°</v>
      </c>
      <c r="H347" t="str">
        <f>Vagas[[#This Row],[data]]&amp;Vagas[[#This Row],[profissional_id]]&amp;Vagas[[#This Row],[local_id]]</f>
        <v>44637149012</v>
      </c>
    </row>
    <row r="348" spans="1:8" x14ac:dyDescent="0.25">
      <c r="A348" s="2">
        <v>44637</v>
      </c>
      <c r="B348">
        <v>1490</v>
      </c>
      <c r="C348">
        <v>344</v>
      </c>
      <c r="D348">
        <v>0</v>
      </c>
      <c r="E348">
        <v>0</v>
      </c>
      <c r="F348" s="1">
        <f t="shared" si="5"/>
        <v>0</v>
      </c>
      <c r="G348" s="1" t="str">
        <f>_xlfn.XLOOKUP(C348,'Ocupação DW'!$F:$F,'Ocupação DW'!$E:$E,"",0)</f>
        <v>SEG - MATRIZ</v>
      </c>
      <c r="H348" t="str">
        <f>Vagas[[#This Row],[data]]&amp;Vagas[[#This Row],[profissional_id]]&amp;Vagas[[#This Row],[local_id]]</f>
        <v>446371490344</v>
      </c>
    </row>
    <row r="349" spans="1:8" x14ac:dyDescent="0.25">
      <c r="A349" s="2">
        <v>44637</v>
      </c>
      <c r="B349">
        <v>1490</v>
      </c>
      <c r="C349">
        <v>13</v>
      </c>
      <c r="D349">
        <v>0</v>
      </c>
      <c r="E349">
        <v>0</v>
      </c>
      <c r="F349" s="1">
        <f t="shared" si="5"/>
        <v>0</v>
      </c>
      <c r="G349" s="1" t="str">
        <f>_xlfn.XLOOKUP(C349,'Ocupação DW'!$F:$F,'Ocupação DW'!$E:$E,"",0)</f>
        <v>SEG - FILIAL II 11°</v>
      </c>
      <c r="H349" t="str">
        <f>Vagas[[#This Row],[data]]&amp;Vagas[[#This Row],[profissional_id]]&amp;Vagas[[#This Row],[local_id]]</f>
        <v>44637149013</v>
      </c>
    </row>
    <row r="350" spans="1:8" x14ac:dyDescent="0.25">
      <c r="A350" s="2">
        <v>44637</v>
      </c>
      <c r="B350">
        <v>2036</v>
      </c>
      <c r="C350">
        <v>368</v>
      </c>
      <c r="D350">
        <v>41</v>
      </c>
      <c r="E350">
        <v>0</v>
      </c>
      <c r="F350" s="1">
        <f t="shared" si="5"/>
        <v>0</v>
      </c>
      <c r="G350" s="1" t="str">
        <f>_xlfn.XLOOKUP(C350,'Ocupação DW'!$F:$F,'Ocupação DW'!$E:$E,"",0)</f>
        <v/>
      </c>
      <c r="H350" t="str">
        <f>Vagas[[#This Row],[data]]&amp;Vagas[[#This Row],[profissional_id]]&amp;Vagas[[#This Row],[local_id]]</f>
        <v>446372036368</v>
      </c>
    </row>
    <row r="351" spans="1:8" x14ac:dyDescent="0.25">
      <c r="A351" s="2">
        <v>44637</v>
      </c>
      <c r="B351">
        <v>2334</v>
      </c>
      <c r="D351">
        <v>0</v>
      </c>
      <c r="E351">
        <v>0</v>
      </c>
      <c r="F351" s="1">
        <f t="shared" si="5"/>
        <v>0</v>
      </c>
      <c r="G351" s="1" t="str">
        <f>_xlfn.XLOOKUP(C351,'Ocupação DW'!$F:$F,'Ocupação DW'!$E:$E,"",0)</f>
        <v/>
      </c>
      <c r="H351" t="str">
        <f>Vagas[[#This Row],[data]]&amp;Vagas[[#This Row],[profissional_id]]&amp;Vagas[[#This Row],[local_id]]</f>
        <v>446372334</v>
      </c>
    </row>
    <row r="352" spans="1:8" x14ac:dyDescent="0.25">
      <c r="A352" s="2">
        <v>44637</v>
      </c>
      <c r="B352">
        <v>2334</v>
      </c>
      <c r="C352">
        <v>335</v>
      </c>
      <c r="D352">
        <v>0</v>
      </c>
      <c r="E352">
        <v>0</v>
      </c>
      <c r="F352" s="1">
        <f t="shared" si="5"/>
        <v>0</v>
      </c>
      <c r="G352" s="1" t="str">
        <f>_xlfn.XLOOKUP(C352,'Ocupação DW'!$F:$F,'Ocupação DW'!$E:$E,"",0)</f>
        <v>SEG - FILIAL I</v>
      </c>
      <c r="H352" t="str">
        <f>Vagas[[#This Row],[data]]&amp;Vagas[[#This Row],[profissional_id]]&amp;Vagas[[#This Row],[local_id]]</f>
        <v>446372334335</v>
      </c>
    </row>
    <row r="353" spans="1:8" x14ac:dyDescent="0.25">
      <c r="A353" s="2">
        <v>44637</v>
      </c>
      <c r="B353">
        <v>2567</v>
      </c>
      <c r="C353">
        <v>18</v>
      </c>
      <c r="D353">
        <v>0</v>
      </c>
      <c r="E353">
        <v>0</v>
      </c>
      <c r="F353" s="1">
        <f t="shared" si="5"/>
        <v>0</v>
      </c>
      <c r="G353" s="1" t="str">
        <f>_xlfn.XLOOKUP(C353,'Ocupação DW'!$F:$F,'Ocupação DW'!$E:$E,"",0)</f>
        <v>SEG - FILIAL II 11°</v>
      </c>
      <c r="H353" t="str">
        <f>Vagas[[#This Row],[data]]&amp;Vagas[[#This Row],[profissional_id]]&amp;Vagas[[#This Row],[local_id]]</f>
        <v>44637256718</v>
      </c>
    </row>
    <row r="354" spans="1:8" x14ac:dyDescent="0.25">
      <c r="A354" s="2">
        <v>44637</v>
      </c>
      <c r="B354">
        <v>3092</v>
      </c>
      <c r="D354">
        <v>13</v>
      </c>
      <c r="E354">
        <v>0</v>
      </c>
      <c r="F354" s="1">
        <f t="shared" si="5"/>
        <v>0</v>
      </c>
      <c r="G354" s="1" t="str">
        <f>_xlfn.XLOOKUP(C354,'Ocupação DW'!$F:$F,'Ocupação DW'!$E:$E,"",0)</f>
        <v/>
      </c>
      <c r="H354" t="str">
        <f>Vagas[[#This Row],[data]]&amp;Vagas[[#This Row],[profissional_id]]&amp;Vagas[[#This Row],[local_id]]</f>
        <v>446373092</v>
      </c>
    </row>
    <row r="355" spans="1:8" x14ac:dyDescent="0.25">
      <c r="A355" s="2">
        <v>44637</v>
      </c>
      <c r="B355">
        <v>3092</v>
      </c>
      <c r="C355">
        <v>43</v>
      </c>
      <c r="D355">
        <v>0</v>
      </c>
      <c r="E355">
        <v>0</v>
      </c>
      <c r="F355" s="1">
        <f t="shared" si="5"/>
        <v>13</v>
      </c>
      <c r="G355" s="1" t="str">
        <f>_xlfn.XLOOKUP(C355,'Ocupação DW'!$F:$F,'Ocupação DW'!$E:$E,"",0)</f>
        <v>SEG - FILIAL I</v>
      </c>
      <c r="H355" t="str">
        <f>Vagas[[#This Row],[data]]&amp;Vagas[[#This Row],[profissional_id]]&amp;Vagas[[#This Row],[local_id]]</f>
        <v>44637309243</v>
      </c>
    </row>
    <row r="356" spans="1:8" x14ac:dyDescent="0.25">
      <c r="A356" s="2">
        <v>44637</v>
      </c>
      <c r="B356">
        <v>3502</v>
      </c>
      <c r="D356">
        <v>61</v>
      </c>
      <c r="E356">
        <v>0</v>
      </c>
      <c r="F356" s="1">
        <f t="shared" si="5"/>
        <v>0</v>
      </c>
      <c r="G356" s="1" t="str">
        <f>_xlfn.XLOOKUP(C356,'Ocupação DW'!$F:$F,'Ocupação DW'!$E:$E,"",0)</f>
        <v/>
      </c>
      <c r="H356" t="str">
        <f>Vagas[[#This Row],[data]]&amp;Vagas[[#This Row],[profissional_id]]&amp;Vagas[[#This Row],[local_id]]</f>
        <v>446373502</v>
      </c>
    </row>
    <row r="357" spans="1:8" x14ac:dyDescent="0.25">
      <c r="A357" s="2">
        <v>44637</v>
      </c>
      <c r="B357">
        <v>3502</v>
      </c>
      <c r="C357">
        <v>16</v>
      </c>
      <c r="D357">
        <v>0</v>
      </c>
      <c r="E357">
        <v>0</v>
      </c>
      <c r="F357" s="1">
        <f t="shared" si="5"/>
        <v>61</v>
      </c>
      <c r="G357" s="1" t="str">
        <f>_xlfn.XLOOKUP(C357,'Ocupação DW'!$F:$F,'Ocupação DW'!$E:$E,"",0)</f>
        <v>SEG - FILIAL II 11°</v>
      </c>
      <c r="H357" t="str">
        <f>Vagas[[#This Row],[data]]&amp;Vagas[[#This Row],[profissional_id]]&amp;Vagas[[#This Row],[local_id]]</f>
        <v>44637350216</v>
      </c>
    </row>
    <row r="358" spans="1:8" x14ac:dyDescent="0.25">
      <c r="A358" s="2">
        <v>44637</v>
      </c>
      <c r="B358">
        <v>4422</v>
      </c>
      <c r="C358">
        <v>343</v>
      </c>
      <c r="D358">
        <v>60</v>
      </c>
      <c r="E358">
        <v>0</v>
      </c>
      <c r="F358" s="1">
        <f t="shared" si="5"/>
        <v>0</v>
      </c>
      <c r="G358" s="1" t="str">
        <f>_xlfn.XLOOKUP(C358,'Ocupação DW'!$F:$F,'Ocupação DW'!$E:$E,"",0)</f>
        <v/>
      </c>
      <c r="H358" t="str">
        <f>Vagas[[#This Row],[data]]&amp;Vagas[[#This Row],[profissional_id]]&amp;Vagas[[#This Row],[local_id]]</f>
        <v>446374422343</v>
      </c>
    </row>
    <row r="359" spans="1:8" x14ac:dyDescent="0.25">
      <c r="A359" s="2">
        <v>44637</v>
      </c>
      <c r="B359">
        <v>4814</v>
      </c>
      <c r="C359">
        <v>15</v>
      </c>
      <c r="D359">
        <v>16</v>
      </c>
      <c r="E359">
        <v>0</v>
      </c>
      <c r="F359" s="1">
        <f t="shared" si="5"/>
        <v>0</v>
      </c>
      <c r="G359" s="1" t="str">
        <f>_xlfn.XLOOKUP(C359,'Ocupação DW'!$F:$F,'Ocupação DW'!$E:$E,"",0)</f>
        <v>SEG - FILIAL II 11°</v>
      </c>
      <c r="H359" t="str">
        <f>Vagas[[#This Row],[data]]&amp;Vagas[[#This Row],[profissional_id]]&amp;Vagas[[#This Row],[local_id]]</f>
        <v>44637481415</v>
      </c>
    </row>
    <row r="360" spans="1:8" x14ac:dyDescent="0.25">
      <c r="A360" s="2">
        <v>44637</v>
      </c>
      <c r="B360">
        <v>4814</v>
      </c>
      <c r="C360">
        <v>14</v>
      </c>
      <c r="D360">
        <v>0</v>
      </c>
      <c r="E360">
        <v>0</v>
      </c>
      <c r="F360" s="1">
        <f t="shared" si="5"/>
        <v>16</v>
      </c>
      <c r="G360" s="1" t="str">
        <f>_xlfn.XLOOKUP(C360,'Ocupação DW'!$F:$F,'Ocupação DW'!$E:$E,"",0)</f>
        <v>SEG - FILIAL II 11°</v>
      </c>
      <c r="H360" t="str">
        <f>Vagas[[#This Row],[data]]&amp;Vagas[[#This Row],[profissional_id]]&amp;Vagas[[#This Row],[local_id]]</f>
        <v>44637481414</v>
      </c>
    </row>
    <row r="361" spans="1:8" x14ac:dyDescent="0.25">
      <c r="A361" s="2">
        <v>44637</v>
      </c>
      <c r="B361">
        <v>5822</v>
      </c>
      <c r="C361">
        <v>11</v>
      </c>
      <c r="D361">
        <v>0</v>
      </c>
      <c r="E361">
        <v>0</v>
      </c>
      <c r="F361" s="1">
        <f t="shared" si="5"/>
        <v>0</v>
      </c>
      <c r="G361" s="1" t="str">
        <f>_xlfn.XLOOKUP(C361,'Ocupação DW'!$F:$F,'Ocupação DW'!$E:$E,"",0)</f>
        <v>SEG - FILIAL II 11°</v>
      </c>
      <c r="H361" t="str">
        <f>Vagas[[#This Row],[data]]&amp;Vagas[[#This Row],[profissional_id]]&amp;Vagas[[#This Row],[local_id]]</f>
        <v>44637582211</v>
      </c>
    </row>
    <row r="362" spans="1:8" x14ac:dyDescent="0.25">
      <c r="A362" s="2">
        <v>44637</v>
      </c>
      <c r="B362">
        <v>6046</v>
      </c>
      <c r="D362">
        <v>13</v>
      </c>
      <c r="E362">
        <v>0</v>
      </c>
      <c r="F362" s="1">
        <f t="shared" si="5"/>
        <v>0</v>
      </c>
      <c r="G362" s="1" t="str">
        <f>_xlfn.XLOOKUP(C362,'Ocupação DW'!$F:$F,'Ocupação DW'!$E:$E,"",0)</f>
        <v/>
      </c>
      <c r="H362" t="str">
        <f>Vagas[[#This Row],[data]]&amp;Vagas[[#This Row],[profissional_id]]&amp;Vagas[[#This Row],[local_id]]</f>
        <v>446376046</v>
      </c>
    </row>
    <row r="363" spans="1:8" x14ac:dyDescent="0.25">
      <c r="A363" s="2">
        <v>44637</v>
      </c>
      <c r="B363">
        <v>6046</v>
      </c>
      <c r="C363">
        <v>46</v>
      </c>
      <c r="D363">
        <v>0</v>
      </c>
      <c r="E363">
        <v>0</v>
      </c>
      <c r="F363" s="1">
        <f t="shared" si="5"/>
        <v>13</v>
      </c>
      <c r="G363" s="1" t="str">
        <f>_xlfn.XLOOKUP(C363,'Ocupação DW'!$F:$F,'Ocupação DW'!$E:$E,"",0)</f>
        <v>SEG - FILIAL I</v>
      </c>
      <c r="H363" t="str">
        <f>Vagas[[#This Row],[data]]&amp;Vagas[[#This Row],[profissional_id]]&amp;Vagas[[#This Row],[local_id]]</f>
        <v>44637604646</v>
      </c>
    </row>
    <row r="364" spans="1:8" x14ac:dyDescent="0.25">
      <c r="A364" s="2">
        <v>44637</v>
      </c>
      <c r="B364">
        <v>6430</v>
      </c>
      <c r="D364">
        <v>0</v>
      </c>
      <c r="E364">
        <v>0</v>
      </c>
      <c r="F364" s="1">
        <f t="shared" si="5"/>
        <v>0</v>
      </c>
      <c r="G364" s="1" t="str">
        <f>_xlfn.XLOOKUP(C364,'Ocupação DW'!$F:$F,'Ocupação DW'!$E:$E,"",0)</f>
        <v/>
      </c>
      <c r="H364" t="str">
        <f>Vagas[[#This Row],[data]]&amp;Vagas[[#This Row],[profissional_id]]&amp;Vagas[[#This Row],[local_id]]</f>
        <v>446376430</v>
      </c>
    </row>
    <row r="365" spans="1:8" x14ac:dyDescent="0.25">
      <c r="A365" s="2">
        <v>44637</v>
      </c>
      <c r="B365">
        <v>6839</v>
      </c>
      <c r="C365">
        <v>60</v>
      </c>
      <c r="D365">
        <v>60</v>
      </c>
      <c r="E365">
        <v>0</v>
      </c>
      <c r="F365" s="1">
        <f t="shared" si="5"/>
        <v>0</v>
      </c>
      <c r="G365" s="1" t="str">
        <f>_xlfn.XLOOKUP(C365,'Ocupação DW'!$F:$F,'Ocupação DW'!$E:$E,"",0)</f>
        <v>SEG - NILÓPOLIS</v>
      </c>
      <c r="H365" t="str">
        <f>Vagas[[#This Row],[data]]&amp;Vagas[[#This Row],[profissional_id]]&amp;Vagas[[#This Row],[local_id]]</f>
        <v>44637683960</v>
      </c>
    </row>
    <row r="366" spans="1:8" x14ac:dyDescent="0.25">
      <c r="A366" s="2">
        <v>44637</v>
      </c>
      <c r="B366">
        <v>7900</v>
      </c>
      <c r="C366">
        <v>368</v>
      </c>
      <c r="D366">
        <v>41</v>
      </c>
      <c r="E366">
        <v>0</v>
      </c>
      <c r="F366" s="1">
        <f t="shared" si="5"/>
        <v>0</v>
      </c>
      <c r="G366" s="1" t="str">
        <f>_xlfn.XLOOKUP(C366,'Ocupação DW'!$F:$F,'Ocupação DW'!$E:$E,"",0)</f>
        <v/>
      </c>
      <c r="H366" t="str">
        <f>Vagas[[#This Row],[data]]&amp;Vagas[[#This Row],[profissional_id]]&amp;Vagas[[#This Row],[local_id]]</f>
        <v>446377900368</v>
      </c>
    </row>
    <row r="367" spans="1:8" x14ac:dyDescent="0.25">
      <c r="A367" s="2">
        <v>44637</v>
      </c>
      <c r="B367">
        <v>8598</v>
      </c>
      <c r="D367">
        <v>0</v>
      </c>
      <c r="E367">
        <v>0</v>
      </c>
      <c r="F367" s="1">
        <f t="shared" si="5"/>
        <v>0</v>
      </c>
      <c r="G367" s="1" t="str">
        <f>_xlfn.XLOOKUP(C367,'Ocupação DW'!$F:$F,'Ocupação DW'!$E:$E,"",0)</f>
        <v/>
      </c>
      <c r="H367" t="str">
        <f>Vagas[[#This Row],[data]]&amp;Vagas[[#This Row],[profissional_id]]&amp;Vagas[[#This Row],[local_id]]</f>
        <v>446378598</v>
      </c>
    </row>
    <row r="368" spans="1:8" x14ac:dyDescent="0.25">
      <c r="A368" s="2">
        <v>44637</v>
      </c>
      <c r="B368">
        <v>8598</v>
      </c>
      <c r="C368">
        <v>3</v>
      </c>
      <c r="D368">
        <v>0</v>
      </c>
      <c r="E368">
        <v>0</v>
      </c>
      <c r="F368" s="1">
        <f t="shared" si="5"/>
        <v>0</v>
      </c>
      <c r="G368" s="1" t="str">
        <f>_xlfn.XLOOKUP(C368,'Ocupação DW'!$F:$F,'Ocupação DW'!$E:$E,"",0)</f>
        <v>SEG - FILIAL II 10°</v>
      </c>
      <c r="H368" t="str">
        <f>Vagas[[#This Row],[data]]&amp;Vagas[[#This Row],[profissional_id]]&amp;Vagas[[#This Row],[local_id]]</f>
        <v>4463785983</v>
      </c>
    </row>
    <row r="369" spans="1:8" x14ac:dyDescent="0.25">
      <c r="A369" s="2">
        <v>44637</v>
      </c>
      <c r="B369">
        <v>9111</v>
      </c>
      <c r="D369">
        <v>49</v>
      </c>
      <c r="E369">
        <v>0</v>
      </c>
      <c r="F369" s="1">
        <f t="shared" si="5"/>
        <v>0</v>
      </c>
      <c r="G369" s="1" t="str">
        <f>_xlfn.XLOOKUP(C369,'Ocupação DW'!$F:$F,'Ocupação DW'!$E:$E,"",0)</f>
        <v/>
      </c>
      <c r="H369" t="str">
        <f>Vagas[[#This Row],[data]]&amp;Vagas[[#This Row],[profissional_id]]&amp;Vagas[[#This Row],[local_id]]</f>
        <v>446379111</v>
      </c>
    </row>
    <row r="370" spans="1:8" x14ac:dyDescent="0.25">
      <c r="A370" s="2">
        <v>44637</v>
      </c>
      <c r="B370">
        <v>9111</v>
      </c>
      <c r="C370">
        <v>334</v>
      </c>
      <c r="D370">
        <v>0</v>
      </c>
      <c r="E370">
        <v>0</v>
      </c>
      <c r="F370" s="1">
        <f t="shared" si="5"/>
        <v>49</v>
      </c>
      <c r="G370" s="1" t="str">
        <f>_xlfn.XLOOKUP(C370,'Ocupação DW'!$F:$F,'Ocupação DW'!$E:$E,"",0)</f>
        <v>SEG - FILIAL I</v>
      </c>
      <c r="H370" t="str">
        <f>Vagas[[#This Row],[data]]&amp;Vagas[[#This Row],[profissional_id]]&amp;Vagas[[#This Row],[local_id]]</f>
        <v>446379111334</v>
      </c>
    </row>
    <row r="371" spans="1:8" x14ac:dyDescent="0.25">
      <c r="A371" s="2">
        <v>44637</v>
      </c>
      <c r="B371">
        <v>9207</v>
      </c>
      <c r="C371">
        <v>346</v>
      </c>
      <c r="D371">
        <v>108</v>
      </c>
      <c r="E371">
        <v>0</v>
      </c>
      <c r="F371" s="1">
        <f t="shared" si="5"/>
        <v>0</v>
      </c>
      <c r="G371" s="1" t="str">
        <f>_xlfn.XLOOKUP(C371,'Ocupação DW'!$F:$F,'Ocupação DW'!$E:$E,"",0)</f>
        <v>SEG - MATRIZ</v>
      </c>
      <c r="H371" t="str">
        <f>Vagas[[#This Row],[data]]&amp;Vagas[[#This Row],[profissional_id]]&amp;Vagas[[#This Row],[local_id]]</f>
        <v>446379207346</v>
      </c>
    </row>
    <row r="372" spans="1:8" x14ac:dyDescent="0.25">
      <c r="A372" s="2">
        <v>44637</v>
      </c>
      <c r="B372">
        <v>9217</v>
      </c>
      <c r="C372">
        <v>6</v>
      </c>
      <c r="D372">
        <v>0</v>
      </c>
      <c r="E372">
        <v>0</v>
      </c>
      <c r="F372" s="1">
        <f t="shared" si="5"/>
        <v>0</v>
      </c>
      <c r="G372" s="1" t="str">
        <f>_xlfn.XLOOKUP(C372,'Ocupação DW'!$F:$F,'Ocupação DW'!$E:$E,"",0)</f>
        <v>SEG - FILIAL II 10°</v>
      </c>
      <c r="H372" t="str">
        <f>Vagas[[#This Row],[data]]&amp;Vagas[[#This Row],[profissional_id]]&amp;Vagas[[#This Row],[local_id]]</f>
        <v>4463792176</v>
      </c>
    </row>
    <row r="373" spans="1:8" x14ac:dyDescent="0.25">
      <c r="A373" s="2">
        <v>44637</v>
      </c>
      <c r="B373">
        <v>9217</v>
      </c>
      <c r="C373">
        <v>7</v>
      </c>
      <c r="D373">
        <v>0</v>
      </c>
      <c r="E373">
        <v>0</v>
      </c>
      <c r="F373" s="1">
        <f t="shared" si="5"/>
        <v>0</v>
      </c>
      <c r="G373" s="1" t="str">
        <f>_xlfn.XLOOKUP(C373,'Ocupação DW'!$F:$F,'Ocupação DW'!$E:$E,"",0)</f>
        <v>SEG - FILIAL II 10°</v>
      </c>
      <c r="H373" t="str">
        <f>Vagas[[#This Row],[data]]&amp;Vagas[[#This Row],[profissional_id]]&amp;Vagas[[#This Row],[local_id]]</f>
        <v>4463792177</v>
      </c>
    </row>
    <row r="374" spans="1:8" x14ac:dyDescent="0.25">
      <c r="A374" s="2">
        <v>44637</v>
      </c>
      <c r="B374">
        <v>9717</v>
      </c>
      <c r="D374">
        <v>0</v>
      </c>
      <c r="E374">
        <v>0</v>
      </c>
      <c r="F374" s="1">
        <f t="shared" si="5"/>
        <v>0</v>
      </c>
      <c r="G374" s="1" t="str">
        <f>_xlfn.XLOOKUP(C374,'Ocupação DW'!$F:$F,'Ocupação DW'!$E:$E,"",0)</f>
        <v/>
      </c>
      <c r="H374" t="str">
        <f>Vagas[[#This Row],[data]]&amp;Vagas[[#This Row],[profissional_id]]&amp;Vagas[[#This Row],[local_id]]</f>
        <v>446379717</v>
      </c>
    </row>
    <row r="375" spans="1:8" x14ac:dyDescent="0.25">
      <c r="A375" s="2">
        <v>44637</v>
      </c>
      <c r="B375">
        <v>10249</v>
      </c>
      <c r="D375">
        <v>17</v>
      </c>
      <c r="E375">
        <v>0</v>
      </c>
      <c r="F375" s="1">
        <f t="shared" si="5"/>
        <v>0</v>
      </c>
      <c r="G375" s="1" t="str">
        <f>_xlfn.XLOOKUP(C375,'Ocupação DW'!$F:$F,'Ocupação DW'!$E:$E,"",0)</f>
        <v/>
      </c>
      <c r="H375" t="str">
        <f>Vagas[[#This Row],[data]]&amp;Vagas[[#This Row],[profissional_id]]&amp;Vagas[[#This Row],[local_id]]</f>
        <v>4463710249</v>
      </c>
    </row>
    <row r="376" spans="1:8" x14ac:dyDescent="0.25">
      <c r="A376" s="2">
        <v>44637</v>
      </c>
      <c r="B376">
        <v>10249</v>
      </c>
      <c r="C376">
        <v>44</v>
      </c>
      <c r="D376">
        <v>0</v>
      </c>
      <c r="E376">
        <v>0</v>
      </c>
      <c r="F376" s="1">
        <f t="shared" si="5"/>
        <v>17</v>
      </c>
      <c r="G376" s="1" t="str">
        <f>_xlfn.XLOOKUP(C376,'Ocupação DW'!$F:$F,'Ocupação DW'!$E:$E,"",0)</f>
        <v>SEG - FILIAL I</v>
      </c>
      <c r="H376" t="str">
        <f>Vagas[[#This Row],[data]]&amp;Vagas[[#This Row],[profissional_id]]&amp;Vagas[[#This Row],[local_id]]</f>
        <v>446371024944</v>
      </c>
    </row>
    <row r="377" spans="1:8" x14ac:dyDescent="0.25">
      <c r="A377" s="2">
        <v>44637</v>
      </c>
      <c r="B377">
        <v>10321</v>
      </c>
      <c r="C377">
        <v>11</v>
      </c>
      <c r="D377">
        <v>0</v>
      </c>
      <c r="E377">
        <v>0</v>
      </c>
      <c r="F377" s="1">
        <f t="shared" si="5"/>
        <v>0</v>
      </c>
      <c r="G377" s="1" t="str">
        <f>_xlfn.XLOOKUP(C377,'Ocupação DW'!$F:$F,'Ocupação DW'!$E:$E,"",0)</f>
        <v>SEG - FILIAL II 11°</v>
      </c>
      <c r="H377" t="str">
        <f>Vagas[[#This Row],[data]]&amp;Vagas[[#This Row],[profissional_id]]&amp;Vagas[[#This Row],[local_id]]</f>
        <v>446371032111</v>
      </c>
    </row>
    <row r="378" spans="1:8" x14ac:dyDescent="0.25">
      <c r="A378" s="2">
        <v>44637</v>
      </c>
      <c r="B378">
        <v>10595</v>
      </c>
      <c r="D378">
        <v>0</v>
      </c>
      <c r="E378">
        <v>0</v>
      </c>
      <c r="F378" s="1">
        <f t="shared" si="5"/>
        <v>0</v>
      </c>
      <c r="G378" s="1" t="str">
        <f>_xlfn.XLOOKUP(C378,'Ocupação DW'!$F:$F,'Ocupação DW'!$E:$E,"",0)</f>
        <v/>
      </c>
      <c r="H378" t="str">
        <f>Vagas[[#This Row],[data]]&amp;Vagas[[#This Row],[profissional_id]]&amp;Vagas[[#This Row],[local_id]]</f>
        <v>4463710595</v>
      </c>
    </row>
    <row r="379" spans="1:8" x14ac:dyDescent="0.25">
      <c r="A379" s="2">
        <v>44637</v>
      </c>
      <c r="B379">
        <v>10691</v>
      </c>
      <c r="D379">
        <v>30</v>
      </c>
      <c r="E379">
        <v>0</v>
      </c>
      <c r="F379" s="1">
        <f t="shared" si="5"/>
        <v>0</v>
      </c>
      <c r="G379" s="1" t="str">
        <f>_xlfn.XLOOKUP(C379,'Ocupação DW'!$F:$F,'Ocupação DW'!$E:$E,"",0)</f>
        <v/>
      </c>
      <c r="H379" t="str">
        <f>Vagas[[#This Row],[data]]&amp;Vagas[[#This Row],[profissional_id]]&amp;Vagas[[#This Row],[local_id]]</f>
        <v>4463710691</v>
      </c>
    </row>
    <row r="380" spans="1:8" x14ac:dyDescent="0.25">
      <c r="A380" s="2">
        <v>44637</v>
      </c>
      <c r="B380">
        <v>10691</v>
      </c>
      <c r="C380">
        <v>348</v>
      </c>
      <c r="D380">
        <v>0</v>
      </c>
      <c r="E380">
        <v>0</v>
      </c>
      <c r="F380" s="1">
        <f t="shared" si="5"/>
        <v>30</v>
      </c>
      <c r="G380" s="1" t="str">
        <f>_xlfn.XLOOKUP(C380,'Ocupação DW'!$F:$F,'Ocupação DW'!$E:$E,"",0)</f>
        <v>SEG - MATRIZ</v>
      </c>
      <c r="H380" t="str">
        <f>Vagas[[#This Row],[data]]&amp;Vagas[[#This Row],[profissional_id]]&amp;Vagas[[#This Row],[local_id]]</f>
        <v>4463710691348</v>
      </c>
    </row>
    <row r="381" spans="1:8" x14ac:dyDescent="0.25">
      <c r="A381" s="2">
        <v>44637</v>
      </c>
      <c r="B381">
        <v>10691</v>
      </c>
      <c r="C381">
        <v>9</v>
      </c>
      <c r="D381">
        <v>0</v>
      </c>
      <c r="E381">
        <v>0</v>
      </c>
      <c r="F381" s="1">
        <f t="shared" si="5"/>
        <v>0</v>
      </c>
      <c r="G381" s="1" t="str">
        <f>_xlfn.XLOOKUP(C381,'Ocupação DW'!$F:$F,'Ocupação DW'!$E:$E,"",0)</f>
        <v>SEG - FILIAL II 10°</v>
      </c>
      <c r="H381" t="str">
        <f>Vagas[[#This Row],[data]]&amp;Vagas[[#This Row],[profissional_id]]&amp;Vagas[[#This Row],[local_id]]</f>
        <v>44637106919</v>
      </c>
    </row>
    <row r="382" spans="1:8" x14ac:dyDescent="0.25">
      <c r="A382" s="2">
        <v>44637</v>
      </c>
      <c r="B382">
        <v>10717</v>
      </c>
      <c r="C382">
        <v>78</v>
      </c>
      <c r="D382">
        <v>0</v>
      </c>
      <c r="E382">
        <v>0</v>
      </c>
      <c r="F382" s="1">
        <f t="shared" si="5"/>
        <v>0</v>
      </c>
      <c r="G382" s="1" t="str">
        <f>_xlfn.XLOOKUP(C382,'Ocupação DW'!$F:$F,'Ocupação DW'!$E:$E,"",0)</f>
        <v>SEG - MIGUEL COUTO</v>
      </c>
      <c r="H382" t="str">
        <f>Vagas[[#This Row],[data]]&amp;Vagas[[#This Row],[profissional_id]]&amp;Vagas[[#This Row],[local_id]]</f>
        <v>446371071778</v>
      </c>
    </row>
    <row r="383" spans="1:8" x14ac:dyDescent="0.25">
      <c r="A383" s="2">
        <v>44637</v>
      </c>
      <c r="B383">
        <v>10946</v>
      </c>
      <c r="D383">
        <v>0</v>
      </c>
      <c r="E383">
        <v>0</v>
      </c>
      <c r="F383" s="1">
        <f t="shared" si="5"/>
        <v>0</v>
      </c>
      <c r="G383" s="1" t="str">
        <f>_xlfn.XLOOKUP(C383,'Ocupação DW'!$F:$F,'Ocupação DW'!$E:$E,"",0)</f>
        <v/>
      </c>
      <c r="H383" t="str">
        <f>Vagas[[#This Row],[data]]&amp;Vagas[[#This Row],[profissional_id]]&amp;Vagas[[#This Row],[local_id]]</f>
        <v>4463710946</v>
      </c>
    </row>
    <row r="384" spans="1:8" x14ac:dyDescent="0.25">
      <c r="A384" s="2">
        <v>44637</v>
      </c>
      <c r="B384">
        <v>11207</v>
      </c>
      <c r="C384">
        <v>51</v>
      </c>
      <c r="D384">
        <v>0</v>
      </c>
      <c r="E384">
        <v>0</v>
      </c>
      <c r="F384" s="1">
        <f t="shared" si="5"/>
        <v>0</v>
      </c>
      <c r="G384" s="1" t="str">
        <f>_xlfn.XLOOKUP(C384,'Ocupação DW'!$F:$F,'Ocupação DW'!$E:$E,"",0)</f>
        <v>SEG - FILIAL I</v>
      </c>
      <c r="H384" t="str">
        <f>Vagas[[#This Row],[data]]&amp;Vagas[[#This Row],[profissional_id]]&amp;Vagas[[#This Row],[local_id]]</f>
        <v>446371120751</v>
      </c>
    </row>
    <row r="385" spans="1:8" x14ac:dyDescent="0.25">
      <c r="A385" s="2">
        <v>44637</v>
      </c>
      <c r="B385">
        <v>11242</v>
      </c>
      <c r="C385">
        <v>79</v>
      </c>
      <c r="D385">
        <v>120</v>
      </c>
      <c r="E385">
        <v>0</v>
      </c>
      <c r="F385" s="1">
        <f t="shared" si="5"/>
        <v>0</v>
      </c>
      <c r="G385" s="1" t="str">
        <f>_xlfn.XLOOKUP(C385,'Ocupação DW'!$F:$F,'Ocupação DW'!$E:$E,"",0)</f>
        <v/>
      </c>
      <c r="H385" t="str">
        <f>Vagas[[#This Row],[data]]&amp;Vagas[[#This Row],[profissional_id]]&amp;Vagas[[#This Row],[local_id]]</f>
        <v>446371124279</v>
      </c>
    </row>
    <row r="386" spans="1:8" x14ac:dyDescent="0.25">
      <c r="A386" s="2">
        <v>44637</v>
      </c>
      <c r="B386">
        <v>11312</v>
      </c>
      <c r="C386">
        <v>340</v>
      </c>
      <c r="D386">
        <v>0</v>
      </c>
      <c r="E386">
        <v>31</v>
      </c>
      <c r="F386" s="1">
        <f t="shared" ref="F386:F449" si="6">IF(AND(A386=A385,B386=B385,D385&lt;&gt;0,D386=0),D385,0)</f>
        <v>0</v>
      </c>
      <c r="G386" s="1" t="str">
        <f>_xlfn.XLOOKUP(C386,'Ocupação DW'!$F:$F,'Ocupação DW'!$E:$E,"",0)</f>
        <v>SEG - MATRIZ</v>
      </c>
      <c r="H386" t="str">
        <f>Vagas[[#This Row],[data]]&amp;Vagas[[#This Row],[profissional_id]]&amp;Vagas[[#This Row],[local_id]]</f>
        <v>4463711312340</v>
      </c>
    </row>
    <row r="387" spans="1:8" x14ac:dyDescent="0.25">
      <c r="A387" s="2">
        <v>44637</v>
      </c>
      <c r="B387">
        <v>11312</v>
      </c>
      <c r="C387">
        <v>336</v>
      </c>
      <c r="D387">
        <v>0</v>
      </c>
      <c r="E387">
        <v>25</v>
      </c>
      <c r="F387" s="1">
        <f t="shared" si="6"/>
        <v>0</v>
      </c>
      <c r="G387" s="1" t="str">
        <f>_xlfn.XLOOKUP(C387,'Ocupação DW'!$F:$F,'Ocupação DW'!$E:$E,"",0)</f>
        <v>SEG - FILIAL I</v>
      </c>
      <c r="H387" t="str">
        <f>Vagas[[#This Row],[data]]&amp;Vagas[[#This Row],[profissional_id]]&amp;Vagas[[#This Row],[local_id]]</f>
        <v>4463711312336</v>
      </c>
    </row>
    <row r="388" spans="1:8" x14ac:dyDescent="0.25">
      <c r="A388" s="2">
        <v>44637</v>
      </c>
      <c r="B388">
        <v>11634</v>
      </c>
      <c r="C388">
        <v>339</v>
      </c>
      <c r="D388">
        <v>120</v>
      </c>
      <c r="E388">
        <v>0</v>
      </c>
      <c r="F388" s="1">
        <f t="shared" si="6"/>
        <v>0</v>
      </c>
      <c r="G388" s="1" t="str">
        <f>_xlfn.XLOOKUP(C388,'Ocupação DW'!$F:$F,'Ocupação DW'!$E:$E,"",0)</f>
        <v>SEG - MATRIZ</v>
      </c>
      <c r="H388" t="str">
        <f>Vagas[[#This Row],[data]]&amp;Vagas[[#This Row],[profissional_id]]&amp;Vagas[[#This Row],[local_id]]</f>
        <v>4463711634339</v>
      </c>
    </row>
    <row r="389" spans="1:8" x14ac:dyDescent="0.25">
      <c r="A389" s="2">
        <v>44637</v>
      </c>
      <c r="B389">
        <v>12369</v>
      </c>
      <c r="D389">
        <v>0</v>
      </c>
      <c r="E389">
        <v>0</v>
      </c>
      <c r="F389" s="1">
        <f t="shared" si="6"/>
        <v>0</v>
      </c>
      <c r="G389" s="1" t="str">
        <f>_xlfn.XLOOKUP(C389,'Ocupação DW'!$F:$F,'Ocupação DW'!$E:$E,"",0)</f>
        <v/>
      </c>
      <c r="H389" t="str">
        <f>Vagas[[#This Row],[data]]&amp;Vagas[[#This Row],[profissional_id]]&amp;Vagas[[#This Row],[local_id]]</f>
        <v>4463712369</v>
      </c>
    </row>
    <row r="390" spans="1:8" x14ac:dyDescent="0.25">
      <c r="A390" s="2">
        <v>44637</v>
      </c>
      <c r="B390">
        <v>12426</v>
      </c>
      <c r="C390">
        <v>5</v>
      </c>
      <c r="D390">
        <v>0</v>
      </c>
      <c r="E390">
        <v>0</v>
      </c>
      <c r="F390" s="1">
        <f t="shared" si="6"/>
        <v>0</v>
      </c>
      <c r="G390" s="1" t="str">
        <f>_xlfn.XLOOKUP(C390,'Ocupação DW'!$F:$F,'Ocupação DW'!$E:$E,"",0)</f>
        <v>SEG - FILIAL II 10°</v>
      </c>
      <c r="H390" t="str">
        <f>Vagas[[#This Row],[data]]&amp;Vagas[[#This Row],[profissional_id]]&amp;Vagas[[#This Row],[local_id]]</f>
        <v>44637124265</v>
      </c>
    </row>
    <row r="391" spans="1:8" x14ac:dyDescent="0.25">
      <c r="A391" s="2">
        <v>44637</v>
      </c>
      <c r="B391">
        <v>12482</v>
      </c>
      <c r="C391">
        <v>345</v>
      </c>
      <c r="D391">
        <v>60</v>
      </c>
      <c r="E391">
        <v>0</v>
      </c>
      <c r="F391" s="1">
        <f t="shared" si="6"/>
        <v>0</v>
      </c>
      <c r="G391" s="1" t="str">
        <f>_xlfn.XLOOKUP(C391,'Ocupação DW'!$F:$F,'Ocupação DW'!$E:$E,"",0)</f>
        <v>SEG - MATRIZ</v>
      </c>
      <c r="H391" t="str">
        <f>Vagas[[#This Row],[data]]&amp;Vagas[[#This Row],[profissional_id]]&amp;Vagas[[#This Row],[local_id]]</f>
        <v>4463712482345</v>
      </c>
    </row>
    <row r="392" spans="1:8" x14ac:dyDescent="0.25">
      <c r="A392" s="2">
        <v>44637</v>
      </c>
      <c r="B392">
        <v>12519</v>
      </c>
      <c r="D392">
        <v>0</v>
      </c>
      <c r="E392">
        <v>0</v>
      </c>
      <c r="F392" s="1">
        <f t="shared" si="6"/>
        <v>0</v>
      </c>
      <c r="G392" s="1" t="str">
        <f>_xlfn.XLOOKUP(C392,'Ocupação DW'!$F:$F,'Ocupação DW'!$E:$E,"",0)</f>
        <v/>
      </c>
      <c r="H392" t="str">
        <f>Vagas[[#This Row],[data]]&amp;Vagas[[#This Row],[profissional_id]]&amp;Vagas[[#This Row],[local_id]]</f>
        <v>4463712519</v>
      </c>
    </row>
    <row r="393" spans="1:8" x14ac:dyDescent="0.25">
      <c r="A393" s="2">
        <v>44637</v>
      </c>
      <c r="B393">
        <v>12582</v>
      </c>
      <c r="C393">
        <v>6</v>
      </c>
      <c r="D393">
        <v>0</v>
      </c>
      <c r="E393">
        <v>4</v>
      </c>
      <c r="F393" s="1">
        <f t="shared" si="6"/>
        <v>0</v>
      </c>
      <c r="G393" s="1" t="str">
        <f>_xlfn.XLOOKUP(C393,'Ocupação DW'!$F:$F,'Ocupação DW'!$E:$E,"",0)</f>
        <v>SEG - FILIAL II 10°</v>
      </c>
      <c r="H393" t="str">
        <f>Vagas[[#This Row],[data]]&amp;Vagas[[#This Row],[profissional_id]]&amp;Vagas[[#This Row],[local_id]]</f>
        <v>44637125826</v>
      </c>
    </row>
    <row r="394" spans="1:8" x14ac:dyDescent="0.25">
      <c r="A394" s="2">
        <v>44637</v>
      </c>
      <c r="B394">
        <v>12582</v>
      </c>
      <c r="C394">
        <v>15</v>
      </c>
      <c r="D394">
        <v>0</v>
      </c>
      <c r="E394">
        <v>0</v>
      </c>
      <c r="F394" s="1">
        <f t="shared" si="6"/>
        <v>0</v>
      </c>
      <c r="G394" s="1" t="str">
        <f>_xlfn.XLOOKUP(C394,'Ocupação DW'!$F:$F,'Ocupação DW'!$E:$E,"",0)</f>
        <v>SEG - FILIAL II 11°</v>
      </c>
      <c r="H394" t="str">
        <f>Vagas[[#This Row],[data]]&amp;Vagas[[#This Row],[profissional_id]]&amp;Vagas[[#This Row],[local_id]]</f>
        <v>446371258215</v>
      </c>
    </row>
    <row r="395" spans="1:8" x14ac:dyDescent="0.25">
      <c r="A395" s="2">
        <v>44637</v>
      </c>
      <c r="B395">
        <v>12679</v>
      </c>
      <c r="D395">
        <v>0</v>
      </c>
      <c r="E395">
        <v>0</v>
      </c>
      <c r="F395" s="1">
        <f t="shared" si="6"/>
        <v>0</v>
      </c>
      <c r="G395" s="1" t="str">
        <f>_xlfn.XLOOKUP(C395,'Ocupação DW'!$F:$F,'Ocupação DW'!$E:$E,"",0)</f>
        <v/>
      </c>
      <c r="H395" t="str">
        <f>Vagas[[#This Row],[data]]&amp;Vagas[[#This Row],[profissional_id]]&amp;Vagas[[#This Row],[local_id]]</f>
        <v>4463712679</v>
      </c>
    </row>
    <row r="396" spans="1:8" x14ac:dyDescent="0.25">
      <c r="A396" s="2">
        <v>44637</v>
      </c>
      <c r="B396">
        <v>12684</v>
      </c>
      <c r="D396">
        <v>0</v>
      </c>
      <c r="E396">
        <v>0</v>
      </c>
      <c r="F396" s="1">
        <f t="shared" si="6"/>
        <v>0</v>
      </c>
      <c r="G396" s="1" t="str">
        <f>_xlfn.XLOOKUP(C396,'Ocupação DW'!$F:$F,'Ocupação DW'!$E:$E,"",0)</f>
        <v/>
      </c>
      <c r="H396" t="str">
        <f>Vagas[[#This Row],[data]]&amp;Vagas[[#This Row],[profissional_id]]&amp;Vagas[[#This Row],[local_id]]</f>
        <v>4463712684</v>
      </c>
    </row>
    <row r="397" spans="1:8" x14ac:dyDescent="0.25">
      <c r="A397" s="2">
        <v>44637</v>
      </c>
      <c r="B397">
        <v>12711</v>
      </c>
      <c r="D397">
        <v>0</v>
      </c>
      <c r="E397">
        <v>0</v>
      </c>
      <c r="F397" s="1">
        <f t="shared" si="6"/>
        <v>0</v>
      </c>
      <c r="G397" s="1" t="str">
        <f>_xlfn.XLOOKUP(C397,'Ocupação DW'!$F:$F,'Ocupação DW'!$E:$E,"",0)</f>
        <v/>
      </c>
      <c r="H397" t="str">
        <f>Vagas[[#This Row],[data]]&amp;Vagas[[#This Row],[profissional_id]]&amp;Vagas[[#This Row],[local_id]]</f>
        <v>4463712711</v>
      </c>
    </row>
    <row r="398" spans="1:8" x14ac:dyDescent="0.25">
      <c r="A398" s="2">
        <v>44637</v>
      </c>
      <c r="B398">
        <v>12810</v>
      </c>
      <c r="D398">
        <v>0</v>
      </c>
      <c r="E398">
        <v>0</v>
      </c>
      <c r="F398" s="1">
        <f t="shared" si="6"/>
        <v>0</v>
      </c>
      <c r="G398" s="1" t="str">
        <f>_xlfn.XLOOKUP(C398,'Ocupação DW'!$F:$F,'Ocupação DW'!$E:$E,"",0)</f>
        <v/>
      </c>
      <c r="H398" t="str">
        <f>Vagas[[#This Row],[data]]&amp;Vagas[[#This Row],[profissional_id]]&amp;Vagas[[#This Row],[local_id]]</f>
        <v>4463712810</v>
      </c>
    </row>
    <row r="399" spans="1:8" x14ac:dyDescent="0.25">
      <c r="A399" s="2">
        <v>44637</v>
      </c>
      <c r="B399">
        <v>12825</v>
      </c>
      <c r="D399">
        <v>0</v>
      </c>
      <c r="E399">
        <v>0</v>
      </c>
      <c r="F399" s="1">
        <f t="shared" si="6"/>
        <v>0</v>
      </c>
      <c r="G399" s="1" t="str">
        <f>_xlfn.XLOOKUP(C399,'Ocupação DW'!$F:$F,'Ocupação DW'!$E:$E,"",0)</f>
        <v/>
      </c>
      <c r="H399" t="str">
        <f>Vagas[[#This Row],[data]]&amp;Vagas[[#This Row],[profissional_id]]&amp;Vagas[[#This Row],[local_id]]</f>
        <v>4463712825</v>
      </c>
    </row>
    <row r="400" spans="1:8" x14ac:dyDescent="0.25">
      <c r="A400" s="2">
        <v>44637</v>
      </c>
      <c r="B400">
        <v>13371</v>
      </c>
      <c r="D400">
        <v>0</v>
      </c>
      <c r="E400">
        <v>0</v>
      </c>
      <c r="F400" s="1">
        <f t="shared" si="6"/>
        <v>0</v>
      </c>
      <c r="G400" s="1" t="str">
        <f>_xlfn.XLOOKUP(C400,'Ocupação DW'!$F:$F,'Ocupação DW'!$E:$E,"",0)</f>
        <v/>
      </c>
      <c r="H400" t="str">
        <f>Vagas[[#This Row],[data]]&amp;Vagas[[#This Row],[profissional_id]]&amp;Vagas[[#This Row],[local_id]]</f>
        <v>4463713371</v>
      </c>
    </row>
    <row r="401" spans="1:8" x14ac:dyDescent="0.25">
      <c r="A401" s="2">
        <v>44637</v>
      </c>
      <c r="B401">
        <v>13479</v>
      </c>
      <c r="D401">
        <v>13</v>
      </c>
      <c r="E401">
        <v>0</v>
      </c>
      <c r="F401" s="1">
        <f t="shared" si="6"/>
        <v>0</v>
      </c>
      <c r="G401" s="1" t="str">
        <f>_xlfn.XLOOKUP(C401,'Ocupação DW'!$F:$F,'Ocupação DW'!$E:$E,"",0)</f>
        <v/>
      </c>
      <c r="H401" t="str">
        <f>Vagas[[#This Row],[data]]&amp;Vagas[[#This Row],[profissional_id]]&amp;Vagas[[#This Row],[local_id]]</f>
        <v>4463713479</v>
      </c>
    </row>
    <row r="402" spans="1:8" x14ac:dyDescent="0.25">
      <c r="A402" s="2">
        <v>44637</v>
      </c>
      <c r="B402">
        <v>13479</v>
      </c>
      <c r="C402">
        <v>339</v>
      </c>
      <c r="D402">
        <v>24</v>
      </c>
      <c r="E402">
        <v>0</v>
      </c>
      <c r="F402" s="1">
        <f t="shared" si="6"/>
        <v>0</v>
      </c>
      <c r="G402" s="1" t="str">
        <f>_xlfn.XLOOKUP(C402,'Ocupação DW'!$F:$F,'Ocupação DW'!$E:$E,"",0)</f>
        <v>SEG - MATRIZ</v>
      </c>
      <c r="H402" t="str">
        <f>Vagas[[#This Row],[data]]&amp;Vagas[[#This Row],[profissional_id]]&amp;Vagas[[#This Row],[local_id]]</f>
        <v>4463713479339</v>
      </c>
    </row>
    <row r="403" spans="1:8" x14ac:dyDescent="0.25">
      <c r="A403" s="2">
        <v>44637</v>
      </c>
      <c r="B403">
        <v>13487</v>
      </c>
      <c r="C403">
        <v>61</v>
      </c>
      <c r="D403">
        <v>120</v>
      </c>
      <c r="E403">
        <v>0</v>
      </c>
      <c r="F403" s="1">
        <f t="shared" si="6"/>
        <v>0</v>
      </c>
      <c r="G403" s="1" t="str">
        <f>_xlfn.XLOOKUP(C403,'Ocupação DW'!$F:$F,'Ocupação DW'!$E:$E,"",0)</f>
        <v/>
      </c>
      <c r="H403" t="str">
        <f>Vagas[[#This Row],[data]]&amp;Vagas[[#This Row],[profissional_id]]&amp;Vagas[[#This Row],[local_id]]</f>
        <v>446371348761</v>
      </c>
    </row>
    <row r="404" spans="1:8" x14ac:dyDescent="0.25">
      <c r="A404" s="2">
        <v>44637</v>
      </c>
      <c r="B404">
        <v>13645</v>
      </c>
      <c r="D404">
        <v>0</v>
      </c>
      <c r="E404">
        <v>0</v>
      </c>
      <c r="F404" s="1">
        <f t="shared" si="6"/>
        <v>0</v>
      </c>
      <c r="G404" s="1" t="str">
        <f>_xlfn.XLOOKUP(C404,'Ocupação DW'!$F:$F,'Ocupação DW'!$E:$E,"",0)</f>
        <v/>
      </c>
      <c r="H404" t="str">
        <f>Vagas[[#This Row],[data]]&amp;Vagas[[#This Row],[profissional_id]]&amp;Vagas[[#This Row],[local_id]]</f>
        <v>4463713645</v>
      </c>
    </row>
    <row r="405" spans="1:8" x14ac:dyDescent="0.25">
      <c r="A405" s="2">
        <v>44637</v>
      </c>
      <c r="B405">
        <v>13660</v>
      </c>
      <c r="C405">
        <v>341</v>
      </c>
      <c r="D405">
        <v>108</v>
      </c>
      <c r="E405">
        <v>0</v>
      </c>
      <c r="F405" s="1">
        <f t="shared" si="6"/>
        <v>0</v>
      </c>
      <c r="G405" s="1" t="str">
        <f>_xlfn.XLOOKUP(C405,'Ocupação DW'!$F:$F,'Ocupação DW'!$E:$E,"",0)</f>
        <v/>
      </c>
      <c r="H405" t="str">
        <f>Vagas[[#This Row],[data]]&amp;Vagas[[#This Row],[profissional_id]]&amp;Vagas[[#This Row],[local_id]]</f>
        <v>4463713660341</v>
      </c>
    </row>
    <row r="406" spans="1:8" x14ac:dyDescent="0.25">
      <c r="A406" s="2">
        <v>44637</v>
      </c>
      <c r="B406">
        <v>13835</v>
      </c>
      <c r="D406">
        <v>0</v>
      </c>
      <c r="E406">
        <v>0</v>
      </c>
      <c r="F406" s="1">
        <f t="shared" si="6"/>
        <v>0</v>
      </c>
      <c r="G406" s="1" t="str">
        <f>_xlfn.XLOOKUP(C406,'Ocupação DW'!$F:$F,'Ocupação DW'!$E:$E,"",0)</f>
        <v/>
      </c>
      <c r="H406" t="str">
        <f>Vagas[[#This Row],[data]]&amp;Vagas[[#This Row],[profissional_id]]&amp;Vagas[[#This Row],[local_id]]</f>
        <v>4463713835</v>
      </c>
    </row>
    <row r="407" spans="1:8" x14ac:dyDescent="0.25">
      <c r="A407" s="2">
        <v>44637</v>
      </c>
      <c r="B407">
        <v>14452</v>
      </c>
      <c r="D407">
        <v>0</v>
      </c>
      <c r="E407">
        <v>0</v>
      </c>
      <c r="F407" s="1">
        <f t="shared" si="6"/>
        <v>0</v>
      </c>
      <c r="G407" s="1" t="str">
        <f>_xlfn.XLOOKUP(C407,'Ocupação DW'!$F:$F,'Ocupação DW'!$E:$E,"",0)</f>
        <v/>
      </c>
      <c r="H407" t="str">
        <f>Vagas[[#This Row],[data]]&amp;Vagas[[#This Row],[profissional_id]]&amp;Vagas[[#This Row],[local_id]]</f>
        <v>4463714452</v>
      </c>
    </row>
    <row r="408" spans="1:8" x14ac:dyDescent="0.25">
      <c r="A408" s="2">
        <v>44637</v>
      </c>
      <c r="B408">
        <v>17059</v>
      </c>
      <c r="D408">
        <v>0</v>
      </c>
      <c r="E408">
        <v>0</v>
      </c>
      <c r="F408" s="1">
        <f t="shared" si="6"/>
        <v>0</v>
      </c>
      <c r="G408" s="1" t="str">
        <f>_xlfn.XLOOKUP(C408,'Ocupação DW'!$F:$F,'Ocupação DW'!$E:$E,"",0)</f>
        <v/>
      </c>
      <c r="H408" t="str">
        <f>Vagas[[#This Row],[data]]&amp;Vagas[[#This Row],[profissional_id]]&amp;Vagas[[#This Row],[local_id]]</f>
        <v>4463717059</v>
      </c>
    </row>
    <row r="409" spans="1:8" x14ac:dyDescent="0.25">
      <c r="A409" s="2">
        <v>44637</v>
      </c>
      <c r="B409">
        <v>17742</v>
      </c>
      <c r="D409">
        <v>0</v>
      </c>
      <c r="E409">
        <v>0</v>
      </c>
      <c r="F409" s="1">
        <f t="shared" si="6"/>
        <v>0</v>
      </c>
      <c r="G409" s="1" t="str">
        <f>_xlfn.XLOOKUP(C409,'Ocupação DW'!$F:$F,'Ocupação DW'!$E:$E,"",0)</f>
        <v/>
      </c>
      <c r="H409" t="str">
        <f>Vagas[[#This Row],[data]]&amp;Vagas[[#This Row],[profissional_id]]&amp;Vagas[[#This Row],[local_id]]</f>
        <v>4463717742</v>
      </c>
    </row>
    <row r="410" spans="1:8" x14ac:dyDescent="0.25">
      <c r="A410" s="2">
        <v>44637</v>
      </c>
      <c r="B410">
        <v>17858</v>
      </c>
      <c r="D410">
        <v>15</v>
      </c>
      <c r="E410">
        <v>0</v>
      </c>
      <c r="F410" s="1">
        <f t="shared" si="6"/>
        <v>0</v>
      </c>
      <c r="G410" s="1" t="str">
        <f>_xlfn.XLOOKUP(C410,'Ocupação DW'!$F:$F,'Ocupação DW'!$E:$E,"",0)</f>
        <v/>
      </c>
      <c r="H410" t="str">
        <f>Vagas[[#This Row],[data]]&amp;Vagas[[#This Row],[profissional_id]]&amp;Vagas[[#This Row],[local_id]]</f>
        <v>4463717858</v>
      </c>
    </row>
    <row r="411" spans="1:8" x14ac:dyDescent="0.25">
      <c r="A411" s="2">
        <v>44637</v>
      </c>
      <c r="B411">
        <v>17858</v>
      </c>
      <c r="C411">
        <v>12</v>
      </c>
      <c r="D411">
        <v>0</v>
      </c>
      <c r="E411">
        <v>0</v>
      </c>
      <c r="F411" s="1">
        <f t="shared" si="6"/>
        <v>15</v>
      </c>
      <c r="G411" s="1" t="str">
        <f>_xlfn.XLOOKUP(C411,'Ocupação DW'!$F:$F,'Ocupação DW'!$E:$E,"",0)</f>
        <v>SEG - FILIAL II 11°</v>
      </c>
      <c r="H411" t="str">
        <f>Vagas[[#This Row],[data]]&amp;Vagas[[#This Row],[profissional_id]]&amp;Vagas[[#This Row],[local_id]]</f>
        <v>446371785812</v>
      </c>
    </row>
    <row r="412" spans="1:8" x14ac:dyDescent="0.25">
      <c r="A412" s="2">
        <v>44637</v>
      </c>
      <c r="B412">
        <v>17868</v>
      </c>
      <c r="C412">
        <v>73</v>
      </c>
      <c r="D412">
        <v>133</v>
      </c>
      <c r="E412">
        <v>0</v>
      </c>
      <c r="F412" s="1">
        <f t="shared" si="6"/>
        <v>0</v>
      </c>
      <c r="G412" s="1" t="str">
        <f>_xlfn.XLOOKUP(C412,'Ocupação DW'!$F:$F,'Ocupação DW'!$E:$E,"",0)</f>
        <v/>
      </c>
      <c r="H412" t="str">
        <f>Vagas[[#This Row],[data]]&amp;Vagas[[#This Row],[profissional_id]]&amp;Vagas[[#This Row],[local_id]]</f>
        <v>446371786873</v>
      </c>
    </row>
    <row r="413" spans="1:8" x14ac:dyDescent="0.25">
      <c r="A413" s="2">
        <v>44637</v>
      </c>
      <c r="B413">
        <v>17871</v>
      </c>
      <c r="D413">
        <v>0</v>
      </c>
      <c r="E413">
        <v>0</v>
      </c>
      <c r="F413" s="1">
        <f t="shared" si="6"/>
        <v>0</v>
      </c>
      <c r="G413" s="1" t="str">
        <f>_xlfn.XLOOKUP(C413,'Ocupação DW'!$F:$F,'Ocupação DW'!$E:$E,"",0)</f>
        <v/>
      </c>
      <c r="H413" t="str">
        <f>Vagas[[#This Row],[data]]&amp;Vagas[[#This Row],[profissional_id]]&amp;Vagas[[#This Row],[local_id]]</f>
        <v>4463717871</v>
      </c>
    </row>
    <row r="414" spans="1:8" x14ac:dyDescent="0.25">
      <c r="A414" s="2">
        <v>44637</v>
      </c>
      <c r="B414">
        <v>17874</v>
      </c>
      <c r="D414">
        <v>0</v>
      </c>
      <c r="E414">
        <v>0</v>
      </c>
      <c r="F414" s="1">
        <f t="shared" si="6"/>
        <v>0</v>
      </c>
      <c r="G414" s="1" t="str">
        <f>_xlfn.XLOOKUP(C414,'Ocupação DW'!$F:$F,'Ocupação DW'!$E:$E,"",0)</f>
        <v/>
      </c>
      <c r="H414" t="str">
        <f>Vagas[[#This Row],[data]]&amp;Vagas[[#This Row],[profissional_id]]&amp;Vagas[[#This Row],[local_id]]</f>
        <v>4463717874</v>
      </c>
    </row>
    <row r="415" spans="1:8" x14ac:dyDescent="0.25">
      <c r="A415" s="2">
        <v>44637</v>
      </c>
      <c r="B415">
        <v>17881</v>
      </c>
      <c r="C415">
        <v>20</v>
      </c>
      <c r="D415">
        <v>181</v>
      </c>
      <c r="E415">
        <v>0</v>
      </c>
      <c r="F415" s="1">
        <f t="shared" si="6"/>
        <v>0</v>
      </c>
      <c r="G415" s="1" t="str">
        <f>_xlfn.XLOOKUP(C415,'Ocupação DW'!$F:$F,'Ocupação DW'!$E:$E,"",0)</f>
        <v>SEG - MATRIZ</v>
      </c>
      <c r="H415" t="str">
        <f>Vagas[[#This Row],[data]]&amp;Vagas[[#This Row],[profissional_id]]&amp;Vagas[[#This Row],[local_id]]</f>
        <v>446371788120</v>
      </c>
    </row>
    <row r="416" spans="1:8" x14ac:dyDescent="0.25">
      <c r="A416" s="2">
        <v>44637</v>
      </c>
      <c r="B416">
        <v>17882</v>
      </c>
      <c r="C416">
        <v>21</v>
      </c>
      <c r="D416">
        <v>181</v>
      </c>
      <c r="E416">
        <v>0</v>
      </c>
      <c r="F416" s="1">
        <f t="shared" si="6"/>
        <v>0</v>
      </c>
      <c r="G416" s="1" t="str">
        <f>_xlfn.XLOOKUP(C416,'Ocupação DW'!$F:$F,'Ocupação DW'!$E:$E,"",0)</f>
        <v/>
      </c>
      <c r="H416" t="str">
        <f>Vagas[[#This Row],[data]]&amp;Vagas[[#This Row],[profissional_id]]&amp;Vagas[[#This Row],[local_id]]</f>
        <v>446371788221</v>
      </c>
    </row>
    <row r="417" spans="1:8" x14ac:dyDescent="0.25">
      <c r="A417" s="2">
        <v>44637</v>
      </c>
      <c r="B417">
        <v>17883</v>
      </c>
      <c r="D417">
        <v>11</v>
      </c>
      <c r="E417">
        <v>0</v>
      </c>
      <c r="F417" s="1">
        <f t="shared" si="6"/>
        <v>0</v>
      </c>
      <c r="G417" s="1" t="str">
        <f>_xlfn.XLOOKUP(C417,'Ocupação DW'!$F:$F,'Ocupação DW'!$E:$E,"",0)</f>
        <v/>
      </c>
      <c r="H417" t="str">
        <f>Vagas[[#This Row],[data]]&amp;Vagas[[#This Row],[profissional_id]]&amp;Vagas[[#This Row],[local_id]]</f>
        <v>4463717883</v>
      </c>
    </row>
    <row r="418" spans="1:8" x14ac:dyDescent="0.25">
      <c r="A418" s="2">
        <v>44637</v>
      </c>
      <c r="B418">
        <v>17883</v>
      </c>
      <c r="C418">
        <v>351</v>
      </c>
      <c r="D418">
        <v>0</v>
      </c>
      <c r="E418">
        <v>0</v>
      </c>
      <c r="F418" s="1">
        <f t="shared" si="6"/>
        <v>11</v>
      </c>
      <c r="G418" s="1" t="str">
        <f>_xlfn.XLOOKUP(C418,'Ocupação DW'!$F:$F,'Ocupação DW'!$E:$E,"",0)</f>
        <v>SEG - FILIAL I</v>
      </c>
      <c r="H418" t="str">
        <f>Vagas[[#This Row],[data]]&amp;Vagas[[#This Row],[profissional_id]]&amp;Vagas[[#This Row],[local_id]]</f>
        <v>4463717883351</v>
      </c>
    </row>
    <row r="419" spans="1:8" x14ac:dyDescent="0.25">
      <c r="A419" s="2">
        <v>44637</v>
      </c>
      <c r="B419">
        <v>17885</v>
      </c>
      <c r="D419">
        <v>0</v>
      </c>
      <c r="E419">
        <v>0</v>
      </c>
      <c r="F419" s="1">
        <f t="shared" si="6"/>
        <v>0</v>
      </c>
      <c r="G419" s="1" t="str">
        <f>_xlfn.XLOOKUP(C419,'Ocupação DW'!$F:$F,'Ocupação DW'!$E:$E,"",0)</f>
        <v/>
      </c>
      <c r="H419" t="str">
        <f>Vagas[[#This Row],[data]]&amp;Vagas[[#This Row],[profissional_id]]&amp;Vagas[[#This Row],[local_id]]</f>
        <v>4463717885</v>
      </c>
    </row>
    <row r="420" spans="1:8" x14ac:dyDescent="0.25">
      <c r="A420" s="2">
        <v>44637</v>
      </c>
      <c r="B420">
        <v>17885</v>
      </c>
      <c r="C420">
        <v>23</v>
      </c>
      <c r="D420">
        <v>61</v>
      </c>
      <c r="E420">
        <v>0</v>
      </c>
      <c r="F420" s="1">
        <f t="shared" si="6"/>
        <v>0</v>
      </c>
      <c r="G420" s="1" t="str">
        <f>_xlfn.XLOOKUP(C420,'Ocupação DW'!$F:$F,'Ocupação DW'!$E:$E,"",0)</f>
        <v/>
      </c>
      <c r="H420" t="str">
        <f>Vagas[[#This Row],[data]]&amp;Vagas[[#This Row],[profissional_id]]&amp;Vagas[[#This Row],[local_id]]</f>
        <v>446371788523</v>
      </c>
    </row>
    <row r="421" spans="1:8" x14ac:dyDescent="0.25">
      <c r="A421" s="2">
        <v>44637</v>
      </c>
      <c r="B421">
        <v>17886</v>
      </c>
      <c r="C421">
        <v>84</v>
      </c>
      <c r="D421">
        <v>60</v>
      </c>
      <c r="E421">
        <v>0</v>
      </c>
      <c r="F421" s="1">
        <f t="shared" si="6"/>
        <v>0</v>
      </c>
      <c r="G421" s="1" t="str">
        <f>_xlfn.XLOOKUP(C421,'Ocupação DW'!$F:$F,'Ocupação DW'!$E:$E,"",0)</f>
        <v/>
      </c>
      <c r="H421" t="str">
        <f>Vagas[[#This Row],[data]]&amp;Vagas[[#This Row],[profissional_id]]&amp;Vagas[[#This Row],[local_id]]</f>
        <v>446371788684</v>
      </c>
    </row>
    <row r="422" spans="1:8" x14ac:dyDescent="0.25">
      <c r="A422" s="2">
        <v>44637</v>
      </c>
      <c r="B422">
        <v>17887</v>
      </c>
      <c r="C422">
        <v>58</v>
      </c>
      <c r="D422">
        <v>60</v>
      </c>
      <c r="E422">
        <v>0</v>
      </c>
      <c r="F422" s="1">
        <f t="shared" si="6"/>
        <v>0</v>
      </c>
      <c r="G422" s="1" t="str">
        <f>_xlfn.XLOOKUP(C422,'Ocupação DW'!$F:$F,'Ocupação DW'!$E:$E,"",0)</f>
        <v/>
      </c>
      <c r="H422" t="str">
        <f>Vagas[[#This Row],[data]]&amp;Vagas[[#This Row],[profissional_id]]&amp;Vagas[[#This Row],[local_id]]</f>
        <v>446371788758</v>
      </c>
    </row>
    <row r="423" spans="1:8" x14ac:dyDescent="0.25">
      <c r="A423" s="2">
        <v>44637</v>
      </c>
      <c r="B423">
        <v>17888</v>
      </c>
      <c r="C423">
        <v>40</v>
      </c>
      <c r="D423">
        <v>20</v>
      </c>
      <c r="E423">
        <v>0</v>
      </c>
      <c r="F423" s="1">
        <f t="shared" si="6"/>
        <v>0</v>
      </c>
      <c r="G423" s="1" t="str">
        <f>_xlfn.XLOOKUP(C423,'Ocupação DW'!$F:$F,'Ocupação DW'!$E:$E,"",0)</f>
        <v>SEG - FILIAL I</v>
      </c>
      <c r="H423" t="str">
        <f>Vagas[[#This Row],[data]]&amp;Vagas[[#This Row],[profissional_id]]&amp;Vagas[[#This Row],[local_id]]</f>
        <v>446371788840</v>
      </c>
    </row>
    <row r="424" spans="1:8" x14ac:dyDescent="0.25">
      <c r="A424" s="2">
        <v>44637</v>
      </c>
      <c r="B424">
        <v>17889</v>
      </c>
      <c r="C424">
        <v>59</v>
      </c>
      <c r="D424">
        <v>30</v>
      </c>
      <c r="E424">
        <v>0</v>
      </c>
      <c r="F424" s="1">
        <f t="shared" si="6"/>
        <v>0</v>
      </c>
      <c r="G424" s="1" t="str">
        <f>_xlfn.XLOOKUP(C424,'Ocupação DW'!$F:$F,'Ocupação DW'!$E:$E,"",0)</f>
        <v>SEG - NILÓPOLIS</v>
      </c>
      <c r="H424" t="str">
        <f>Vagas[[#This Row],[data]]&amp;Vagas[[#This Row],[profissional_id]]&amp;Vagas[[#This Row],[local_id]]</f>
        <v>446371788959</v>
      </c>
    </row>
    <row r="425" spans="1:8" x14ac:dyDescent="0.25">
      <c r="A425" s="2">
        <v>44637</v>
      </c>
      <c r="B425">
        <v>17890</v>
      </c>
      <c r="C425">
        <v>4</v>
      </c>
      <c r="D425">
        <v>5</v>
      </c>
      <c r="E425">
        <v>0</v>
      </c>
      <c r="F425" s="1">
        <f t="shared" si="6"/>
        <v>0</v>
      </c>
      <c r="G425" s="1" t="str">
        <f>_xlfn.XLOOKUP(C425,'Ocupação DW'!$F:$F,'Ocupação DW'!$E:$E,"",0)</f>
        <v>SEG - FILIAL II 10°</v>
      </c>
      <c r="H425" t="str">
        <f>Vagas[[#This Row],[data]]&amp;Vagas[[#This Row],[profissional_id]]&amp;Vagas[[#This Row],[local_id]]</f>
        <v>44637178904</v>
      </c>
    </row>
    <row r="426" spans="1:8" x14ac:dyDescent="0.25">
      <c r="A426" s="2">
        <v>44637</v>
      </c>
      <c r="B426">
        <v>17891</v>
      </c>
      <c r="C426">
        <v>76</v>
      </c>
      <c r="D426">
        <v>1</v>
      </c>
      <c r="E426">
        <v>0</v>
      </c>
      <c r="F426" s="1">
        <f t="shared" si="6"/>
        <v>0</v>
      </c>
      <c r="G426" s="1" t="str">
        <f>_xlfn.XLOOKUP(C426,'Ocupação DW'!$F:$F,'Ocupação DW'!$E:$E,"",0)</f>
        <v>SEG - MIGUEL COUTO</v>
      </c>
      <c r="H426" t="str">
        <f>Vagas[[#This Row],[data]]&amp;Vagas[[#This Row],[profissional_id]]&amp;Vagas[[#This Row],[local_id]]</f>
        <v>446371789176</v>
      </c>
    </row>
    <row r="427" spans="1:8" x14ac:dyDescent="0.25">
      <c r="A427" s="2">
        <v>44637</v>
      </c>
      <c r="B427">
        <v>17892</v>
      </c>
      <c r="D427">
        <v>0</v>
      </c>
      <c r="E427">
        <v>0</v>
      </c>
      <c r="F427" s="1">
        <f t="shared" si="6"/>
        <v>0</v>
      </c>
      <c r="G427" s="1" t="str">
        <f>_xlfn.XLOOKUP(C427,'Ocupação DW'!$F:$F,'Ocupação DW'!$E:$E,"",0)</f>
        <v/>
      </c>
      <c r="H427" t="str">
        <f>Vagas[[#This Row],[data]]&amp;Vagas[[#This Row],[profissional_id]]&amp;Vagas[[#This Row],[local_id]]</f>
        <v>4463717892</v>
      </c>
    </row>
    <row r="428" spans="1:8" x14ac:dyDescent="0.25">
      <c r="A428" s="2">
        <v>44637</v>
      </c>
      <c r="B428">
        <v>17892</v>
      </c>
      <c r="C428">
        <v>55</v>
      </c>
      <c r="D428">
        <v>3</v>
      </c>
      <c r="E428">
        <v>0</v>
      </c>
      <c r="F428" s="1">
        <f t="shared" si="6"/>
        <v>0</v>
      </c>
      <c r="G428" s="1" t="str">
        <f>_xlfn.XLOOKUP(C428,'Ocupação DW'!$F:$F,'Ocupação DW'!$E:$E,"",0)</f>
        <v>SEG - NILÓPOLIS</v>
      </c>
      <c r="H428" t="str">
        <f>Vagas[[#This Row],[data]]&amp;Vagas[[#This Row],[profissional_id]]&amp;Vagas[[#This Row],[local_id]]</f>
        <v>446371789255</v>
      </c>
    </row>
    <row r="429" spans="1:8" x14ac:dyDescent="0.25">
      <c r="A429" s="2">
        <v>44637</v>
      </c>
      <c r="B429">
        <v>17893</v>
      </c>
      <c r="C429">
        <v>4</v>
      </c>
      <c r="D429">
        <v>5</v>
      </c>
      <c r="E429">
        <v>0</v>
      </c>
      <c r="F429" s="1">
        <f t="shared" si="6"/>
        <v>0</v>
      </c>
      <c r="G429" s="1" t="str">
        <f>_xlfn.XLOOKUP(C429,'Ocupação DW'!$F:$F,'Ocupação DW'!$E:$E,"",0)</f>
        <v>SEG - FILIAL II 10°</v>
      </c>
      <c r="H429" t="str">
        <f>Vagas[[#This Row],[data]]&amp;Vagas[[#This Row],[profissional_id]]&amp;Vagas[[#This Row],[local_id]]</f>
        <v>44637178934</v>
      </c>
    </row>
    <row r="430" spans="1:8" x14ac:dyDescent="0.25">
      <c r="A430" s="2">
        <v>44637</v>
      </c>
      <c r="B430">
        <v>17894</v>
      </c>
      <c r="C430">
        <v>76</v>
      </c>
      <c r="D430">
        <v>1</v>
      </c>
      <c r="E430">
        <v>0</v>
      </c>
      <c r="F430" s="1">
        <f t="shared" si="6"/>
        <v>0</v>
      </c>
      <c r="G430" s="1" t="str">
        <f>_xlfn.XLOOKUP(C430,'Ocupação DW'!$F:$F,'Ocupação DW'!$E:$E,"",0)</f>
        <v>SEG - MIGUEL COUTO</v>
      </c>
      <c r="H430" t="str">
        <f>Vagas[[#This Row],[data]]&amp;Vagas[[#This Row],[profissional_id]]&amp;Vagas[[#This Row],[local_id]]</f>
        <v>446371789476</v>
      </c>
    </row>
    <row r="431" spans="1:8" x14ac:dyDescent="0.25">
      <c r="A431" s="2">
        <v>44637</v>
      </c>
      <c r="B431">
        <v>17895</v>
      </c>
      <c r="C431">
        <v>55</v>
      </c>
      <c r="D431">
        <v>2</v>
      </c>
      <c r="E431">
        <v>0</v>
      </c>
      <c r="F431" s="1">
        <f t="shared" si="6"/>
        <v>0</v>
      </c>
      <c r="G431" s="1" t="str">
        <f>_xlfn.XLOOKUP(C431,'Ocupação DW'!$F:$F,'Ocupação DW'!$E:$E,"",0)</f>
        <v>SEG - NILÓPOLIS</v>
      </c>
      <c r="H431" t="str">
        <f>Vagas[[#This Row],[data]]&amp;Vagas[[#This Row],[profissional_id]]&amp;Vagas[[#This Row],[local_id]]</f>
        <v>446371789555</v>
      </c>
    </row>
    <row r="432" spans="1:8" x14ac:dyDescent="0.25">
      <c r="A432" s="2">
        <v>44637</v>
      </c>
      <c r="B432">
        <v>17898</v>
      </c>
      <c r="C432">
        <v>35</v>
      </c>
      <c r="D432">
        <v>78</v>
      </c>
      <c r="E432">
        <v>0</v>
      </c>
      <c r="F432" s="1">
        <f t="shared" si="6"/>
        <v>0</v>
      </c>
      <c r="G432" s="1" t="str">
        <f>_xlfn.XLOOKUP(C432,'Ocupação DW'!$F:$F,'Ocupação DW'!$E:$E,"",0)</f>
        <v/>
      </c>
      <c r="H432" t="str">
        <f>Vagas[[#This Row],[data]]&amp;Vagas[[#This Row],[profissional_id]]&amp;Vagas[[#This Row],[local_id]]</f>
        <v>446371789835</v>
      </c>
    </row>
    <row r="433" spans="1:8" x14ac:dyDescent="0.25">
      <c r="A433" s="2">
        <v>44637</v>
      </c>
      <c r="B433">
        <v>17899</v>
      </c>
      <c r="C433">
        <v>3</v>
      </c>
      <c r="D433">
        <v>66</v>
      </c>
      <c r="E433">
        <v>0</v>
      </c>
      <c r="F433" s="1">
        <f t="shared" si="6"/>
        <v>0</v>
      </c>
      <c r="G433" s="1" t="str">
        <f>_xlfn.XLOOKUP(C433,'Ocupação DW'!$F:$F,'Ocupação DW'!$E:$E,"",0)</f>
        <v>SEG - FILIAL II 10°</v>
      </c>
      <c r="H433" t="str">
        <f>Vagas[[#This Row],[data]]&amp;Vagas[[#This Row],[profissional_id]]&amp;Vagas[[#This Row],[local_id]]</f>
        <v>44637178993</v>
      </c>
    </row>
    <row r="434" spans="1:8" x14ac:dyDescent="0.25">
      <c r="A434" s="2">
        <v>44637</v>
      </c>
      <c r="B434">
        <v>17900</v>
      </c>
      <c r="C434">
        <v>77</v>
      </c>
      <c r="D434">
        <v>60</v>
      </c>
      <c r="E434">
        <v>0</v>
      </c>
      <c r="F434" s="1">
        <f t="shared" si="6"/>
        <v>0</v>
      </c>
      <c r="G434" s="1" t="str">
        <f>_xlfn.XLOOKUP(C434,'Ocupação DW'!$F:$F,'Ocupação DW'!$E:$E,"",0)</f>
        <v/>
      </c>
      <c r="H434" t="str">
        <f>Vagas[[#This Row],[data]]&amp;Vagas[[#This Row],[profissional_id]]&amp;Vagas[[#This Row],[local_id]]</f>
        <v>446371790077</v>
      </c>
    </row>
    <row r="435" spans="1:8" x14ac:dyDescent="0.25">
      <c r="A435" s="2">
        <v>44637</v>
      </c>
      <c r="B435">
        <v>17901</v>
      </c>
      <c r="C435">
        <v>55</v>
      </c>
      <c r="D435">
        <v>66</v>
      </c>
      <c r="E435">
        <v>0</v>
      </c>
      <c r="F435" s="1">
        <f t="shared" si="6"/>
        <v>0</v>
      </c>
      <c r="G435" s="1" t="str">
        <f>_xlfn.XLOOKUP(C435,'Ocupação DW'!$F:$F,'Ocupação DW'!$E:$E,"",0)</f>
        <v>SEG - NILÓPOLIS</v>
      </c>
      <c r="H435" t="str">
        <f>Vagas[[#This Row],[data]]&amp;Vagas[[#This Row],[profissional_id]]&amp;Vagas[[#This Row],[local_id]]</f>
        <v>446371790155</v>
      </c>
    </row>
    <row r="436" spans="1:8" x14ac:dyDescent="0.25">
      <c r="A436" s="2">
        <v>44637</v>
      </c>
      <c r="B436">
        <v>17902</v>
      </c>
      <c r="C436">
        <v>39</v>
      </c>
      <c r="D436">
        <v>47</v>
      </c>
      <c r="E436">
        <v>0</v>
      </c>
      <c r="F436" s="1">
        <f t="shared" si="6"/>
        <v>0</v>
      </c>
      <c r="G436" s="1" t="str">
        <f>_xlfn.XLOOKUP(C436,'Ocupação DW'!$F:$F,'Ocupação DW'!$E:$E,"",0)</f>
        <v>SEG - FILIAL I</v>
      </c>
      <c r="H436" t="str">
        <f>Vagas[[#This Row],[data]]&amp;Vagas[[#This Row],[profissional_id]]&amp;Vagas[[#This Row],[local_id]]</f>
        <v>446371790239</v>
      </c>
    </row>
    <row r="437" spans="1:8" x14ac:dyDescent="0.25">
      <c r="A437" s="2">
        <v>44637</v>
      </c>
      <c r="B437">
        <v>17903</v>
      </c>
      <c r="D437">
        <v>0</v>
      </c>
      <c r="E437">
        <v>0</v>
      </c>
      <c r="F437" s="1">
        <f t="shared" si="6"/>
        <v>0</v>
      </c>
      <c r="G437" s="1" t="str">
        <f>_xlfn.XLOOKUP(C437,'Ocupação DW'!$F:$F,'Ocupação DW'!$E:$E,"",0)</f>
        <v/>
      </c>
      <c r="H437" t="str">
        <f>Vagas[[#This Row],[data]]&amp;Vagas[[#This Row],[profissional_id]]&amp;Vagas[[#This Row],[local_id]]</f>
        <v>4463717903</v>
      </c>
    </row>
    <row r="438" spans="1:8" x14ac:dyDescent="0.25">
      <c r="A438" s="2">
        <v>44637</v>
      </c>
      <c r="B438">
        <v>17904</v>
      </c>
      <c r="D438">
        <v>0</v>
      </c>
      <c r="E438">
        <v>0</v>
      </c>
      <c r="F438" s="1">
        <f t="shared" si="6"/>
        <v>0</v>
      </c>
      <c r="G438" s="1" t="str">
        <f>_xlfn.XLOOKUP(C438,'Ocupação DW'!$F:$F,'Ocupação DW'!$E:$E,"",0)</f>
        <v/>
      </c>
      <c r="H438" t="str">
        <f>Vagas[[#This Row],[data]]&amp;Vagas[[#This Row],[profissional_id]]&amp;Vagas[[#This Row],[local_id]]</f>
        <v>4463717904</v>
      </c>
    </row>
    <row r="439" spans="1:8" x14ac:dyDescent="0.25">
      <c r="A439" s="2">
        <v>44637</v>
      </c>
      <c r="B439">
        <v>17907</v>
      </c>
      <c r="C439">
        <v>55</v>
      </c>
      <c r="D439">
        <v>14</v>
      </c>
      <c r="E439">
        <v>0</v>
      </c>
      <c r="F439" s="1">
        <f t="shared" si="6"/>
        <v>0</v>
      </c>
      <c r="G439" s="1" t="str">
        <f>_xlfn.XLOOKUP(C439,'Ocupação DW'!$F:$F,'Ocupação DW'!$E:$E,"",0)</f>
        <v>SEG - NILÓPOLIS</v>
      </c>
      <c r="H439" t="str">
        <f>Vagas[[#This Row],[data]]&amp;Vagas[[#This Row],[profissional_id]]&amp;Vagas[[#This Row],[local_id]]</f>
        <v>446371790755</v>
      </c>
    </row>
    <row r="440" spans="1:8" x14ac:dyDescent="0.25">
      <c r="A440" s="2">
        <v>44637</v>
      </c>
      <c r="B440">
        <v>17908</v>
      </c>
      <c r="C440">
        <v>25</v>
      </c>
      <c r="D440">
        <v>14</v>
      </c>
      <c r="E440">
        <v>0</v>
      </c>
      <c r="F440" s="1">
        <f t="shared" si="6"/>
        <v>0</v>
      </c>
      <c r="G440" s="1" t="str">
        <f>_xlfn.XLOOKUP(C440,'Ocupação DW'!$F:$F,'Ocupação DW'!$E:$E,"",0)</f>
        <v>SEG - MATRIZ</v>
      </c>
      <c r="H440" t="str">
        <f>Vagas[[#This Row],[data]]&amp;Vagas[[#This Row],[profissional_id]]&amp;Vagas[[#This Row],[local_id]]</f>
        <v>446371790825</v>
      </c>
    </row>
    <row r="441" spans="1:8" x14ac:dyDescent="0.25">
      <c r="A441" s="2">
        <v>44637</v>
      </c>
      <c r="B441">
        <v>17909</v>
      </c>
      <c r="C441">
        <v>4</v>
      </c>
      <c r="D441">
        <v>0</v>
      </c>
      <c r="E441">
        <v>0</v>
      </c>
      <c r="F441" s="1">
        <f t="shared" si="6"/>
        <v>0</v>
      </c>
      <c r="G441" s="1" t="str">
        <f>_xlfn.XLOOKUP(C441,'Ocupação DW'!$F:$F,'Ocupação DW'!$E:$E,"",0)</f>
        <v>SEG - FILIAL II 10°</v>
      </c>
      <c r="H441" t="str">
        <f>Vagas[[#This Row],[data]]&amp;Vagas[[#This Row],[profissional_id]]&amp;Vagas[[#This Row],[local_id]]</f>
        <v>44637179094</v>
      </c>
    </row>
    <row r="442" spans="1:8" x14ac:dyDescent="0.25">
      <c r="A442" s="2">
        <v>44637</v>
      </c>
      <c r="B442">
        <v>17922</v>
      </c>
      <c r="D442">
        <v>133</v>
      </c>
      <c r="E442">
        <v>0</v>
      </c>
      <c r="F442" s="1">
        <f t="shared" si="6"/>
        <v>0</v>
      </c>
      <c r="G442" s="1" t="str">
        <f>_xlfn.XLOOKUP(C442,'Ocupação DW'!$F:$F,'Ocupação DW'!$E:$E,"",0)</f>
        <v/>
      </c>
      <c r="H442" t="str">
        <f>Vagas[[#This Row],[data]]&amp;Vagas[[#This Row],[profissional_id]]&amp;Vagas[[#This Row],[local_id]]</f>
        <v>4463717922</v>
      </c>
    </row>
    <row r="443" spans="1:8" x14ac:dyDescent="0.25">
      <c r="A443" s="2">
        <v>44637</v>
      </c>
      <c r="B443">
        <v>17922</v>
      </c>
      <c r="C443">
        <v>74</v>
      </c>
      <c r="D443">
        <v>133</v>
      </c>
      <c r="E443">
        <v>0</v>
      </c>
      <c r="F443" s="1">
        <f t="shared" si="6"/>
        <v>0</v>
      </c>
      <c r="G443" s="1" t="str">
        <f>_xlfn.XLOOKUP(C443,'Ocupação DW'!$F:$F,'Ocupação DW'!$E:$E,"",0)</f>
        <v/>
      </c>
      <c r="H443" t="str">
        <f>Vagas[[#This Row],[data]]&amp;Vagas[[#This Row],[profissional_id]]&amp;Vagas[[#This Row],[local_id]]</f>
        <v>446371792274</v>
      </c>
    </row>
    <row r="444" spans="1:8" x14ac:dyDescent="0.25">
      <c r="A444" s="2">
        <v>44637</v>
      </c>
      <c r="B444">
        <v>17924</v>
      </c>
      <c r="C444">
        <v>52</v>
      </c>
      <c r="D444">
        <v>133</v>
      </c>
      <c r="E444">
        <v>0</v>
      </c>
      <c r="F444" s="1">
        <f t="shared" si="6"/>
        <v>0</v>
      </c>
      <c r="G444" s="1" t="str">
        <f>_xlfn.XLOOKUP(C444,'Ocupação DW'!$F:$F,'Ocupação DW'!$E:$E,"",0)</f>
        <v/>
      </c>
      <c r="H444" t="str">
        <f>Vagas[[#This Row],[data]]&amp;Vagas[[#This Row],[profissional_id]]&amp;Vagas[[#This Row],[local_id]]</f>
        <v>446371792452</v>
      </c>
    </row>
    <row r="445" spans="1:8" x14ac:dyDescent="0.25">
      <c r="A445" s="2">
        <v>44637</v>
      </c>
      <c r="B445">
        <v>17928</v>
      </c>
      <c r="C445">
        <v>51</v>
      </c>
      <c r="D445">
        <v>13</v>
      </c>
      <c r="E445">
        <v>4</v>
      </c>
      <c r="F445" s="1">
        <f t="shared" si="6"/>
        <v>0</v>
      </c>
      <c r="G445" s="1" t="str">
        <f>_xlfn.XLOOKUP(C445,'Ocupação DW'!$F:$F,'Ocupação DW'!$E:$E,"",0)</f>
        <v>SEG - FILIAL I</v>
      </c>
      <c r="H445" t="str">
        <f>Vagas[[#This Row],[data]]&amp;Vagas[[#This Row],[profissional_id]]&amp;Vagas[[#This Row],[local_id]]</f>
        <v>446371792851</v>
      </c>
    </row>
    <row r="446" spans="1:8" x14ac:dyDescent="0.25">
      <c r="A446" s="2">
        <v>44637</v>
      </c>
      <c r="D446">
        <v>0</v>
      </c>
      <c r="E446">
        <v>0</v>
      </c>
      <c r="F446" s="1">
        <f t="shared" si="6"/>
        <v>0</v>
      </c>
      <c r="G446" s="1" t="str">
        <f>_xlfn.XLOOKUP(C446,'Ocupação DW'!$F:$F,'Ocupação DW'!$E:$E,"",0)</f>
        <v/>
      </c>
      <c r="H446" t="str">
        <f>Vagas[[#This Row],[data]]&amp;Vagas[[#This Row],[profissional_id]]&amp;Vagas[[#This Row],[local_id]]</f>
        <v>44637</v>
      </c>
    </row>
    <row r="447" spans="1:8" x14ac:dyDescent="0.25">
      <c r="A447" s="2">
        <v>44637</v>
      </c>
      <c r="D447">
        <v>0</v>
      </c>
      <c r="E447">
        <v>0</v>
      </c>
      <c r="F447" s="1">
        <f t="shared" si="6"/>
        <v>0</v>
      </c>
      <c r="G447" s="1" t="str">
        <f>_xlfn.XLOOKUP(C447,'Ocupação DW'!$F:$F,'Ocupação DW'!$E:$E,"",0)</f>
        <v/>
      </c>
      <c r="H447" t="str">
        <f>Vagas[[#This Row],[data]]&amp;Vagas[[#This Row],[profissional_id]]&amp;Vagas[[#This Row],[local_id]]</f>
        <v>44637</v>
      </c>
    </row>
    <row r="448" spans="1:8" x14ac:dyDescent="0.25">
      <c r="A448" s="2">
        <v>44637</v>
      </c>
      <c r="D448">
        <v>0</v>
      </c>
      <c r="E448">
        <v>0</v>
      </c>
      <c r="F448" s="1">
        <f t="shared" si="6"/>
        <v>0</v>
      </c>
      <c r="G448" s="1" t="str">
        <f>_xlfn.XLOOKUP(C448,'Ocupação DW'!$F:$F,'Ocupação DW'!$E:$E,"",0)</f>
        <v/>
      </c>
      <c r="H448" t="str">
        <f>Vagas[[#This Row],[data]]&amp;Vagas[[#This Row],[profissional_id]]&amp;Vagas[[#This Row],[local_id]]</f>
        <v>44637</v>
      </c>
    </row>
    <row r="449" spans="1:8" x14ac:dyDescent="0.25">
      <c r="A449" s="2">
        <v>44638</v>
      </c>
      <c r="B449">
        <v>54</v>
      </c>
      <c r="D449">
        <v>19</v>
      </c>
      <c r="E449">
        <v>0</v>
      </c>
      <c r="F449" s="1">
        <f t="shared" si="6"/>
        <v>0</v>
      </c>
      <c r="G449" s="1" t="str">
        <f>_xlfn.XLOOKUP(C449,'Ocupação DW'!$F:$F,'Ocupação DW'!$E:$E,"",0)</f>
        <v/>
      </c>
      <c r="H449" t="str">
        <f>Vagas[[#This Row],[data]]&amp;Vagas[[#This Row],[profissional_id]]&amp;Vagas[[#This Row],[local_id]]</f>
        <v>4463854</v>
      </c>
    </row>
    <row r="450" spans="1:8" x14ac:dyDescent="0.25">
      <c r="A450" s="2">
        <v>44638</v>
      </c>
      <c r="B450">
        <v>54</v>
      </c>
      <c r="C450">
        <v>50</v>
      </c>
      <c r="D450">
        <v>22</v>
      </c>
      <c r="E450">
        <v>0</v>
      </c>
      <c r="F450" s="1">
        <f t="shared" ref="F450:F513" si="7">IF(AND(A450=A449,B450=B449,D449&lt;&gt;0,D450=0),D449,0)</f>
        <v>0</v>
      </c>
      <c r="G450" s="1" t="str">
        <f>_xlfn.XLOOKUP(C450,'Ocupação DW'!$F:$F,'Ocupação DW'!$E:$E,"",0)</f>
        <v>SEG - FILIAL I</v>
      </c>
      <c r="H450" t="str">
        <f>Vagas[[#This Row],[data]]&amp;Vagas[[#This Row],[profissional_id]]&amp;Vagas[[#This Row],[local_id]]</f>
        <v>446385450</v>
      </c>
    </row>
    <row r="451" spans="1:8" x14ac:dyDescent="0.25">
      <c r="A451" s="2">
        <v>44638</v>
      </c>
      <c r="B451">
        <v>55</v>
      </c>
      <c r="D451">
        <v>33</v>
      </c>
      <c r="E451">
        <v>0</v>
      </c>
      <c r="F451" s="1">
        <f t="shared" si="7"/>
        <v>0</v>
      </c>
      <c r="G451" s="1" t="str">
        <f>_xlfn.XLOOKUP(C451,'Ocupação DW'!$F:$F,'Ocupação DW'!$E:$E,"",0)</f>
        <v/>
      </c>
      <c r="H451" t="str">
        <f>Vagas[[#This Row],[data]]&amp;Vagas[[#This Row],[profissional_id]]&amp;Vagas[[#This Row],[local_id]]</f>
        <v>4463855</v>
      </c>
    </row>
    <row r="452" spans="1:8" x14ac:dyDescent="0.25">
      <c r="A452" s="2">
        <v>44638</v>
      </c>
      <c r="B452">
        <v>55</v>
      </c>
      <c r="C452">
        <v>68</v>
      </c>
      <c r="D452">
        <v>0</v>
      </c>
      <c r="E452">
        <v>0</v>
      </c>
      <c r="F452" s="1">
        <f t="shared" si="7"/>
        <v>33</v>
      </c>
      <c r="G452" s="1" t="str">
        <f>_xlfn.XLOOKUP(C452,'Ocupação DW'!$F:$F,'Ocupação DW'!$E:$E,"",0)</f>
        <v>SEG - NILÓPOLIS</v>
      </c>
      <c r="H452" t="str">
        <f>Vagas[[#This Row],[data]]&amp;Vagas[[#This Row],[profissional_id]]&amp;Vagas[[#This Row],[local_id]]</f>
        <v>446385568</v>
      </c>
    </row>
    <row r="453" spans="1:8" x14ac:dyDescent="0.25">
      <c r="A453" s="2">
        <v>44638</v>
      </c>
      <c r="B453">
        <v>57</v>
      </c>
      <c r="C453">
        <v>8</v>
      </c>
      <c r="D453">
        <v>0</v>
      </c>
      <c r="E453">
        <v>0</v>
      </c>
      <c r="F453" s="1">
        <f t="shared" si="7"/>
        <v>0</v>
      </c>
      <c r="G453" s="1" t="str">
        <f>_xlfn.XLOOKUP(C453,'Ocupação DW'!$F:$F,'Ocupação DW'!$E:$E,"",0)</f>
        <v>SEG - FILIAL II 10°</v>
      </c>
      <c r="H453" t="str">
        <f>Vagas[[#This Row],[data]]&amp;Vagas[[#This Row],[profissional_id]]&amp;Vagas[[#This Row],[local_id]]</f>
        <v>44638578</v>
      </c>
    </row>
    <row r="454" spans="1:8" x14ac:dyDescent="0.25">
      <c r="A454" s="2">
        <v>44638</v>
      </c>
      <c r="B454">
        <v>57</v>
      </c>
      <c r="C454">
        <v>2</v>
      </c>
      <c r="D454">
        <v>15</v>
      </c>
      <c r="E454">
        <v>0</v>
      </c>
      <c r="F454" s="1">
        <f t="shared" si="7"/>
        <v>0</v>
      </c>
      <c r="G454" s="1" t="str">
        <f>_xlfn.XLOOKUP(C454,'Ocupação DW'!$F:$F,'Ocupação DW'!$E:$E,"",0)</f>
        <v>SEG - FILIAL II 10°</v>
      </c>
      <c r="H454" t="str">
        <f>Vagas[[#This Row],[data]]&amp;Vagas[[#This Row],[profissional_id]]&amp;Vagas[[#This Row],[local_id]]</f>
        <v>44638572</v>
      </c>
    </row>
    <row r="455" spans="1:8" x14ac:dyDescent="0.25">
      <c r="A455" s="2">
        <v>44638</v>
      </c>
      <c r="B455">
        <v>59</v>
      </c>
      <c r="D455">
        <v>21</v>
      </c>
      <c r="E455">
        <v>3</v>
      </c>
      <c r="F455" s="1">
        <f t="shared" si="7"/>
        <v>0</v>
      </c>
      <c r="G455" s="1" t="str">
        <f>_xlfn.XLOOKUP(C455,'Ocupação DW'!$F:$F,'Ocupação DW'!$E:$E,"",0)</f>
        <v/>
      </c>
      <c r="H455" t="str">
        <f>Vagas[[#This Row],[data]]&amp;Vagas[[#This Row],[profissional_id]]&amp;Vagas[[#This Row],[local_id]]</f>
        <v>4463859</v>
      </c>
    </row>
    <row r="456" spans="1:8" x14ac:dyDescent="0.25">
      <c r="A456" s="2">
        <v>44638</v>
      </c>
      <c r="B456">
        <v>59</v>
      </c>
      <c r="C456">
        <v>78</v>
      </c>
      <c r="D456">
        <v>19</v>
      </c>
      <c r="E456">
        <v>2</v>
      </c>
      <c r="F456" s="1">
        <f t="shared" si="7"/>
        <v>0</v>
      </c>
      <c r="G456" s="1" t="str">
        <f>_xlfn.XLOOKUP(C456,'Ocupação DW'!$F:$F,'Ocupação DW'!$E:$E,"",0)</f>
        <v>SEG - MIGUEL COUTO</v>
      </c>
      <c r="H456" t="str">
        <f>Vagas[[#This Row],[data]]&amp;Vagas[[#This Row],[profissional_id]]&amp;Vagas[[#This Row],[local_id]]</f>
        <v>446385978</v>
      </c>
    </row>
    <row r="457" spans="1:8" x14ac:dyDescent="0.25">
      <c r="A457" s="2">
        <v>44638</v>
      </c>
      <c r="B457">
        <v>60</v>
      </c>
      <c r="D457">
        <v>20</v>
      </c>
      <c r="E457">
        <v>0</v>
      </c>
      <c r="F457" s="1">
        <f t="shared" si="7"/>
        <v>0</v>
      </c>
      <c r="G457" s="1" t="str">
        <f>_xlfn.XLOOKUP(C457,'Ocupação DW'!$F:$F,'Ocupação DW'!$E:$E,"",0)</f>
        <v/>
      </c>
      <c r="H457" t="str">
        <f>Vagas[[#This Row],[data]]&amp;Vagas[[#This Row],[profissional_id]]&amp;Vagas[[#This Row],[local_id]]</f>
        <v>4463860</v>
      </c>
    </row>
    <row r="458" spans="1:8" x14ac:dyDescent="0.25">
      <c r="A458" s="2">
        <v>44638</v>
      </c>
      <c r="B458">
        <v>60</v>
      </c>
      <c r="C458">
        <v>348</v>
      </c>
      <c r="D458">
        <v>0</v>
      </c>
      <c r="E458">
        <v>0</v>
      </c>
      <c r="F458" s="1">
        <f t="shared" si="7"/>
        <v>20</v>
      </c>
      <c r="G458" s="1" t="str">
        <f>_xlfn.XLOOKUP(C458,'Ocupação DW'!$F:$F,'Ocupação DW'!$E:$E,"",0)</f>
        <v>SEG - MATRIZ</v>
      </c>
      <c r="H458" t="str">
        <f>Vagas[[#This Row],[data]]&amp;Vagas[[#This Row],[profissional_id]]&amp;Vagas[[#This Row],[local_id]]</f>
        <v>4463860348</v>
      </c>
    </row>
    <row r="459" spans="1:8" x14ac:dyDescent="0.25">
      <c r="A459" s="2">
        <v>44638</v>
      </c>
      <c r="B459">
        <v>60</v>
      </c>
      <c r="C459">
        <v>1</v>
      </c>
      <c r="D459">
        <v>0</v>
      </c>
      <c r="E459">
        <v>0</v>
      </c>
      <c r="F459" s="1">
        <f t="shared" si="7"/>
        <v>0</v>
      </c>
      <c r="G459" s="1" t="str">
        <f>_xlfn.XLOOKUP(C459,'Ocupação DW'!$F:$F,'Ocupação DW'!$E:$E,"",0)</f>
        <v>SEG - FILIAL II 10°</v>
      </c>
      <c r="H459" t="str">
        <f>Vagas[[#This Row],[data]]&amp;Vagas[[#This Row],[profissional_id]]&amp;Vagas[[#This Row],[local_id]]</f>
        <v>44638601</v>
      </c>
    </row>
    <row r="460" spans="1:8" x14ac:dyDescent="0.25">
      <c r="A460" s="2">
        <v>44638</v>
      </c>
      <c r="B460">
        <v>66</v>
      </c>
      <c r="D460">
        <v>73</v>
      </c>
      <c r="E460">
        <v>0</v>
      </c>
      <c r="F460" s="1">
        <f t="shared" si="7"/>
        <v>0</v>
      </c>
      <c r="G460" s="1" t="str">
        <f>_xlfn.XLOOKUP(C460,'Ocupação DW'!$F:$F,'Ocupação DW'!$E:$E,"",0)</f>
        <v/>
      </c>
      <c r="H460" t="str">
        <f>Vagas[[#This Row],[data]]&amp;Vagas[[#This Row],[profissional_id]]&amp;Vagas[[#This Row],[local_id]]</f>
        <v>4463866</v>
      </c>
    </row>
    <row r="461" spans="1:8" x14ac:dyDescent="0.25">
      <c r="A461" s="2">
        <v>44638</v>
      </c>
      <c r="B461">
        <v>66</v>
      </c>
      <c r="C461">
        <v>345</v>
      </c>
      <c r="D461">
        <v>78</v>
      </c>
      <c r="E461">
        <v>0</v>
      </c>
      <c r="F461" s="1">
        <f t="shared" si="7"/>
        <v>0</v>
      </c>
      <c r="G461" s="1" t="str">
        <f>_xlfn.XLOOKUP(C461,'Ocupação DW'!$F:$F,'Ocupação DW'!$E:$E,"",0)</f>
        <v>SEG - MATRIZ</v>
      </c>
      <c r="H461" t="str">
        <f>Vagas[[#This Row],[data]]&amp;Vagas[[#This Row],[profissional_id]]&amp;Vagas[[#This Row],[local_id]]</f>
        <v>4463866345</v>
      </c>
    </row>
    <row r="462" spans="1:8" x14ac:dyDescent="0.25">
      <c r="A462" s="2">
        <v>44638</v>
      </c>
      <c r="B462">
        <v>69</v>
      </c>
      <c r="D462">
        <v>33</v>
      </c>
      <c r="E462">
        <v>1</v>
      </c>
      <c r="F462" s="1">
        <f t="shared" si="7"/>
        <v>0</v>
      </c>
      <c r="G462" s="1" t="str">
        <f>_xlfn.XLOOKUP(C462,'Ocupação DW'!$F:$F,'Ocupação DW'!$E:$E,"",0)</f>
        <v/>
      </c>
      <c r="H462" t="str">
        <f>Vagas[[#This Row],[data]]&amp;Vagas[[#This Row],[profissional_id]]&amp;Vagas[[#This Row],[local_id]]</f>
        <v>4463869</v>
      </c>
    </row>
    <row r="463" spans="1:8" x14ac:dyDescent="0.25">
      <c r="A463" s="2">
        <v>44638</v>
      </c>
      <c r="B463">
        <v>69</v>
      </c>
      <c r="C463">
        <v>13</v>
      </c>
      <c r="D463">
        <v>0</v>
      </c>
      <c r="E463">
        <v>4</v>
      </c>
      <c r="F463" s="1">
        <f t="shared" si="7"/>
        <v>33</v>
      </c>
      <c r="G463" s="1" t="str">
        <f>_xlfn.XLOOKUP(C463,'Ocupação DW'!$F:$F,'Ocupação DW'!$E:$E,"",0)</f>
        <v>SEG - FILIAL II 11°</v>
      </c>
      <c r="H463" t="str">
        <f>Vagas[[#This Row],[data]]&amp;Vagas[[#This Row],[profissional_id]]&amp;Vagas[[#This Row],[local_id]]</f>
        <v>446386913</v>
      </c>
    </row>
    <row r="464" spans="1:8" x14ac:dyDescent="0.25">
      <c r="A464" s="2">
        <v>44638</v>
      </c>
      <c r="B464">
        <v>70</v>
      </c>
      <c r="D464">
        <v>0</v>
      </c>
      <c r="E464">
        <v>0</v>
      </c>
      <c r="F464" s="1">
        <f t="shared" si="7"/>
        <v>0</v>
      </c>
      <c r="G464" s="1" t="str">
        <f>_xlfn.XLOOKUP(C464,'Ocupação DW'!$F:$F,'Ocupação DW'!$E:$E,"",0)</f>
        <v/>
      </c>
      <c r="H464" t="str">
        <f>Vagas[[#This Row],[data]]&amp;Vagas[[#This Row],[profissional_id]]&amp;Vagas[[#This Row],[local_id]]</f>
        <v>4463870</v>
      </c>
    </row>
    <row r="465" spans="1:8" x14ac:dyDescent="0.25">
      <c r="A465" s="2">
        <v>44638</v>
      </c>
      <c r="B465">
        <v>73</v>
      </c>
      <c r="D465">
        <v>0</v>
      </c>
      <c r="E465">
        <v>0</v>
      </c>
      <c r="F465" s="1">
        <f t="shared" si="7"/>
        <v>0</v>
      </c>
      <c r="G465" s="1" t="str">
        <f>_xlfn.XLOOKUP(C465,'Ocupação DW'!$F:$F,'Ocupação DW'!$E:$E,"",0)</f>
        <v/>
      </c>
      <c r="H465" t="str">
        <f>Vagas[[#This Row],[data]]&amp;Vagas[[#This Row],[profissional_id]]&amp;Vagas[[#This Row],[local_id]]</f>
        <v>4463873</v>
      </c>
    </row>
    <row r="466" spans="1:8" x14ac:dyDescent="0.25">
      <c r="A466" s="2">
        <v>44638</v>
      </c>
      <c r="B466">
        <v>81</v>
      </c>
      <c r="C466">
        <v>41</v>
      </c>
      <c r="D466">
        <v>0</v>
      </c>
      <c r="E466">
        <v>16</v>
      </c>
      <c r="F466" s="1">
        <f t="shared" si="7"/>
        <v>0</v>
      </c>
      <c r="G466" s="1" t="str">
        <f>_xlfn.XLOOKUP(C466,'Ocupação DW'!$F:$F,'Ocupação DW'!$E:$E,"",0)</f>
        <v>SEG - FILIAL I</v>
      </c>
      <c r="H466" t="str">
        <f>Vagas[[#This Row],[data]]&amp;Vagas[[#This Row],[profissional_id]]&amp;Vagas[[#This Row],[local_id]]</f>
        <v>446388141</v>
      </c>
    </row>
    <row r="467" spans="1:8" x14ac:dyDescent="0.25">
      <c r="A467" s="2">
        <v>44638</v>
      </c>
      <c r="B467">
        <v>86</v>
      </c>
      <c r="D467">
        <v>33</v>
      </c>
      <c r="E467">
        <v>5</v>
      </c>
      <c r="F467" s="1">
        <f t="shared" si="7"/>
        <v>0</v>
      </c>
      <c r="G467" s="1" t="str">
        <f>_xlfn.XLOOKUP(C467,'Ocupação DW'!$F:$F,'Ocupação DW'!$E:$E,"",0)</f>
        <v/>
      </c>
      <c r="H467" t="str">
        <f>Vagas[[#This Row],[data]]&amp;Vagas[[#This Row],[profissional_id]]&amp;Vagas[[#This Row],[local_id]]</f>
        <v>4463886</v>
      </c>
    </row>
    <row r="468" spans="1:8" x14ac:dyDescent="0.25">
      <c r="A468" s="2">
        <v>44638</v>
      </c>
      <c r="B468">
        <v>86</v>
      </c>
      <c r="C468">
        <v>349</v>
      </c>
      <c r="D468">
        <v>0</v>
      </c>
      <c r="E468">
        <v>4</v>
      </c>
      <c r="F468" s="1">
        <f t="shared" si="7"/>
        <v>33</v>
      </c>
      <c r="G468" s="1" t="str">
        <f>_xlfn.XLOOKUP(C468,'Ocupação DW'!$F:$F,'Ocupação DW'!$E:$E,"",0)</f>
        <v>SEG - FILIAL II 11°</v>
      </c>
      <c r="H468" t="str">
        <f>Vagas[[#This Row],[data]]&amp;Vagas[[#This Row],[profissional_id]]&amp;Vagas[[#This Row],[local_id]]</f>
        <v>4463886349</v>
      </c>
    </row>
    <row r="469" spans="1:8" x14ac:dyDescent="0.25">
      <c r="A469" s="2">
        <v>44638</v>
      </c>
      <c r="B469">
        <v>92</v>
      </c>
      <c r="C469">
        <v>340</v>
      </c>
      <c r="D469">
        <v>108</v>
      </c>
      <c r="E469">
        <v>12</v>
      </c>
      <c r="F469" s="1">
        <f t="shared" si="7"/>
        <v>0</v>
      </c>
      <c r="G469" s="1" t="str">
        <f>_xlfn.XLOOKUP(C469,'Ocupação DW'!$F:$F,'Ocupação DW'!$E:$E,"",0)</f>
        <v>SEG - MATRIZ</v>
      </c>
      <c r="H469" t="str">
        <f>Vagas[[#This Row],[data]]&amp;Vagas[[#This Row],[profissional_id]]&amp;Vagas[[#This Row],[local_id]]</f>
        <v>4463892340</v>
      </c>
    </row>
    <row r="470" spans="1:8" x14ac:dyDescent="0.25">
      <c r="A470" s="2">
        <v>44638</v>
      </c>
      <c r="B470">
        <v>100</v>
      </c>
      <c r="D470">
        <v>0</v>
      </c>
      <c r="E470">
        <v>0</v>
      </c>
      <c r="F470" s="1">
        <f t="shared" si="7"/>
        <v>0</v>
      </c>
      <c r="G470" s="1" t="str">
        <f>_xlfn.XLOOKUP(C470,'Ocupação DW'!$F:$F,'Ocupação DW'!$E:$E,"",0)</f>
        <v/>
      </c>
      <c r="H470" t="str">
        <f>Vagas[[#This Row],[data]]&amp;Vagas[[#This Row],[profissional_id]]&amp;Vagas[[#This Row],[local_id]]</f>
        <v>44638100</v>
      </c>
    </row>
    <row r="471" spans="1:8" x14ac:dyDescent="0.25">
      <c r="A471" s="2">
        <v>44638</v>
      </c>
      <c r="B471">
        <v>110</v>
      </c>
      <c r="D471">
        <v>0</v>
      </c>
      <c r="E471">
        <v>0</v>
      </c>
      <c r="F471" s="1">
        <f t="shared" si="7"/>
        <v>0</v>
      </c>
      <c r="G471" s="1" t="str">
        <f>_xlfn.XLOOKUP(C471,'Ocupação DW'!$F:$F,'Ocupação DW'!$E:$E,"",0)</f>
        <v/>
      </c>
      <c r="H471" t="str">
        <f>Vagas[[#This Row],[data]]&amp;Vagas[[#This Row],[profissional_id]]&amp;Vagas[[#This Row],[local_id]]</f>
        <v>44638110</v>
      </c>
    </row>
    <row r="472" spans="1:8" x14ac:dyDescent="0.25">
      <c r="A472" s="2">
        <v>44638</v>
      </c>
      <c r="B472">
        <v>123</v>
      </c>
      <c r="D472">
        <v>11</v>
      </c>
      <c r="E472">
        <v>0</v>
      </c>
      <c r="F472" s="1">
        <f t="shared" si="7"/>
        <v>0</v>
      </c>
      <c r="G472" s="1" t="str">
        <f>_xlfn.XLOOKUP(C472,'Ocupação DW'!$F:$F,'Ocupação DW'!$E:$E,"",0)</f>
        <v/>
      </c>
      <c r="H472" t="str">
        <f>Vagas[[#This Row],[data]]&amp;Vagas[[#This Row],[profissional_id]]&amp;Vagas[[#This Row],[local_id]]</f>
        <v>44638123</v>
      </c>
    </row>
    <row r="473" spans="1:8" x14ac:dyDescent="0.25">
      <c r="A473" s="2">
        <v>44638</v>
      </c>
      <c r="B473">
        <v>123</v>
      </c>
      <c r="C473">
        <v>339</v>
      </c>
      <c r="D473">
        <v>11</v>
      </c>
      <c r="E473">
        <v>0</v>
      </c>
      <c r="F473" s="1">
        <f t="shared" si="7"/>
        <v>0</v>
      </c>
      <c r="G473" s="1" t="str">
        <f>_xlfn.XLOOKUP(C473,'Ocupação DW'!$F:$F,'Ocupação DW'!$E:$E,"",0)</f>
        <v>SEG - MATRIZ</v>
      </c>
      <c r="H473" t="str">
        <f>Vagas[[#This Row],[data]]&amp;Vagas[[#This Row],[profissional_id]]&amp;Vagas[[#This Row],[local_id]]</f>
        <v>44638123339</v>
      </c>
    </row>
    <row r="474" spans="1:8" x14ac:dyDescent="0.25">
      <c r="A474" s="2">
        <v>44638</v>
      </c>
      <c r="B474">
        <v>174</v>
      </c>
      <c r="C474">
        <v>24</v>
      </c>
      <c r="D474">
        <v>80</v>
      </c>
      <c r="E474">
        <v>0</v>
      </c>
      <c r="F474" s="1">
        <f t="shared" si="7"/>
        <v>0</v>
      </c>
      <c r="G474" s="1" t="str">
        <f>_xlfn.XLOOKUP(C474,'Ocupação DW'!$F:$F,'Ocupação DW'!$E:$E,"",0)</f>
        <v>SEG - MATRIZ</v>
      </c>
      <c r="H474" t="str">
        <f>Vagas[[#This Row],[data]]&amp;Vagas[[#This Row],[profissional_id]]&amp;Vagas[[#This Row],[local_id]]</f>
        <v>4463817424</v>
      </c>
    </row>
    <row r="475" spans="1:8" x14ac:dyDescent="0.25">
      <c r="A475" s="2">
        <v>44638</v>
      </c>
      <c r="B475">
        <v>282</v>
      </c>
      <c r="D475">
        <v>49</v>
      </c>
      <c r="E475">
        <v>0</v>
      </c>
      <c r="F475" s="1">
        <f t="shared" si="7"/>
        <v>0</v>
      </c>
      <c r="G475" s="1" t="str">
        <f>_xlfn.XLOOKUP(C475,'Ocupação DW'!$F:$F,'Ocupação DW'!$E:$E,"",0)</f>
        <v/>
      </c>
      <c r="H475" t="str">
        <f>Vagas[[#This Row],[data]]&amp;Vagas[[#This Row],[profissional_id]]&amp;Vagas[[#This Row],[local_id]]</f>
        <v>44638282</v>
      </c>
    </row>
    <row r="476" spans="1:8" x14ac:dyDescent="0.25">
      <c r="A476" s="2">
        <v>44638</v>
      </c>
      <c r="B476">
        <v>282</v>
      </c>
      <c r="C476">
        <v>39</v>
      </c>
      <c r="D476">
        <v>52</v>
      </c>
      <c r="E476">
        <v>0</v>
      </c>
      <c r="F476" s="1">
        <f t="shared" si="7"/>
        <v>0</v>
      </c>
      <c r="G476" s="1" t="str">
        <f>_xlfn.XLOOKUP(C476,'Ocupação DW'!$F:$F,'Ocupação DW'!$E:$E,"",0)</f>
        <v>SEG - FILIAL I</v>
      </c>
      <c r="H476" t="str">
        <f>Vagas[[#This Row],[data]]&amp;Vagas[[#This Row],[profissional_id]]&amp;Vagas[[#This Row],[local_id]]</f>
        <v>4463828239</v>
      </c>
    </row>
    <row r="477" spans="1:8" x14ac:dyDescent="0.25">
      <c r="A477" s="2">
        <v>44638</v>
      </c>
      <c r="B477">
        <v>531</v>
      </c>
      <c r="C477">
        <v>78</v>
      </c>
      <c r="D477">
        <v>0</v>
      </c>
      <c r="E477">
        <v>0</v>
      </c>
      <c r="F477" s="1">
        <f t="shared" si="7"/>
        <v>0</v>
      </c>
      <c r="G477" s="1" t="str">
        <f>_xlfn.XLOOKUP(C477,'Ocupação DW'!$F:$F,'Ocupação DW'!$E:$E,"",0)</f>
        <v>SEG - MIGUEL COUTO</v>
      </c>
      <c r="H477" t="str">
        <f>Vagas[[#This Row],[data]]&amp;Vagas[[#This Row],[profissional_id]]&amp;Vagas[[#This Row],[local_id]]</f>
        <v>4463853178</v>
      </c>
    </row>
    <row r="478" spans="1:8" x14ac:dyDescent="0.25">
      <c r="A478" s="2">
        <v>44638</v>
      </c>
      <c r="B478">
        <v>1343</v>
      </c>
      <c r="D478">
        <v>13</v>
      </c>
      <c r="E478">
        <v>0</v>
      </c>
      <c r="F478" s="1">
        <f t="shared" si="7"/>
        <v>0</v>
      </c>
      <c r="G478" s="1" t="str">
        <f>_xlfn.XLOOKUP(C478,'Ocupação DW'!$F:$F,'Ocupação DW'!$E:$E,"",0)</f>
        <v/>
      </c>
      <c r="H478" t="str">
        <f>Vagas[[#This Row],[data]]&amp;Vagas[[#This Row],[profissional_id]]&amp;Vagas[[#This Row],[local_id]]</f>
        <v>446381343</v>
      </c>
    </row>
    <row r="479" spans="1:8" x14ac:dyDescent="0.25">
      <c r="A479" s="2">
        <v>44638</v>
      </c>
      <c r="B479">
        <v>1343</v>
      </c>
      <c r="C479">
        <v>342</v>
      </c>
      <c r="D479">
        <v>0</v>
      </c>
      <c r="E479">
        <v>0</v>
      </c>
      <c r="F479" s="1">
        <f t="shared" si="7"/>
        <v>13</v>
      </c>
      <c r="G479" s="1" t="str">
        <f>_xlfn.XLOOKUP(C479,'Ocupação DW'!$F:$F,'Ocupação DW'!$E:$E,"",0)</f>
        <v>SEG - MATRIZ</v>
      </c>
      <c r="H479" t="str">
        <f>Vagas[[#This Row],[data]]&amp;Vagas[[#This Row],[profissional_id]]&amp;Vagas[[#This Row],[local_id]]</f>
        <v>446381343342</v>
      </c>
    </row>
    <row r="480" spans="1:8" x14ac:dyDescent="0.25">
      <c r="A480" s="2">
        <v>44638</v>
      </c>
      <c r="B480">
        <v>1490</v>
      </c>
      <c r="D480">
        <v>0</v>
      </c>
      <c r="E480">
        <v>0</v>
      </c>
      <c r="F480" s="1">
        <f t="shared" si="7"/>
        <v>0</v>
      </c>
      <c r="G480" s="1" t="str">
        <f>_xlfn.XLOOKUP(C480,'Ocupação DW'!$F:$F,'Ocupação DW'!$E:$E,"",0)</f>
        <v/>
      </c>
      <c r="H480" t="str">
        <f>Vagas[[#This Row],[data]]&amp;Vagas[[#This Row],[profissional_id]]&amp;Vagas[[#This Row],[local_id]]</f>
        <v>446381490</v>
      </c>
    </row>
    <row r="481" spans="1:8" x14ac:dyDescent="0.25">
      <c r="A481" s="2">
        <v>44638</v>
      </c>
      <c r="B481">
        <v>1794</v>
      </c>
      <c r="C481">
        <v>46</v>
      </c>
      <c r="D481">
        <v>0</v>
      </c>
      <c r="E481">
        <v>0</v>
      </c>
      <c r="F481" s="1">
        <f t="shared" si="7"/>
        <v>0</v>
      </c>
      <c r="G481" s="1" t="str">
        <f>_xlfn.XLOOKUP(C481,'Ocupação DW'!$F:$F,'Ocupação DW'!$E:$E,"",0)</f>
        <v>SEG - FILIAL I</v>
      </c>
      <c r="H481" t="str">
        <f>Vagas[[#This Row],[data]]&amp;Vagas[[#This Row],[profissional_id]]&amp;Vagas[[#This Row],[local_id]]</f>
        <v>44638179446</v>
      </c>
    </row>
    <row r="482" spans="1:8" x14ac:dyDescent="0.25">
      <c r="A482" s="2">
        <v>44638</v>
      </c>
      <c r="B482">
        <v>2036</v>
      </c>
      <c r="C482">
        <v>368</v>
      </c>
      <c r="D482">
        <v>41</v>
      </c>
      <c r="E482">
        <v>0</v>
      </c>
      <c r="F482" s="1">
        <f t="shared" si="7"/>
        <v>0</v>
      </c>
      <c r="G482" s="1" t="str">
        <f>_xlfn.XLOOKUP(C482,'Ocupação DW'!$F:$F,'Ocupação DW'!$E:$E,"",0)</f>
        <v/>
      </c>
      <c r="H482" t="str">
        <f>Vagas[[#This Row],[data]]&amp;Vagas[[#This Row],[profissional_id]]&amp;Vagas[[#This Row],[local_id]]</f>
        <v>446382036368</v>
      </c>
    </row>
    <row r="483" spans="1:8" x14ac:dyDescent="0.25">
      <c r="A483" s="2">
        <v>44638</v>
      </c>
      <c r="B483">
        <v>2334</v>
      </c>
      <c r="D483">
        <v>0</v>
      </c>
      <c r="E483">
        <v>0</v>
      </c>
      <c r="F483" s="1">
        <f t="shared" si="7"/>
        <v>0</v>
      </c>
      <c r="G483" s="1" t="str">
        <f>_xlfn.XLOOKUP(C483,'Ocupação DW'!$F:$F,'Ocupação DW'!$E:$E,"",0)</f>
        <v/>
      </c>
      <c r="H483" t="str">
        <f>Vagas[[#This Row],[data]]&amp;Vagas[[#This Row],[profissional_id]]&amp;Vagas[[#This Row],[local_id]]</f>
        <v>446382334</v>
      </c>
    </row>
    <row r="484" spans="1:8" x14ac:dyDescent="0.25">
      <c r="A484" s="2">
        <v>44638</v>
      </c>
      <c r="B484">
        <v>2567</v>
      </c>
      <c r="C484">
        <v>18</v>
      </c>
      <c r="D484">
        <v>0</v>
      </c>
      <c r="E484">
        <v>0</v>
      </c>
      <c r="F484" s="1">
        <f t="shared" si="7"/>
        <v>0</v>
      </c>
      <c r="G484" s="1" t="str">
        <f>_xlfn.XLOOKUP(C484,'Ocupação DW'!$F:$F,'Ocupação DW'!$E:$E,"",0)</f>
        <v>SEG - FILIAL II 11°</v>
      </c>
      <c r="H484" t="str">
        <f>Vagas[[#This Row],[data]]&amp;Vagas[[#This Row],[profissional_id]]&amp;Vagas[[#This Row],[local_id]]</f>
        <v>44638256718</v>
      </c>
    </row>
    <row r="485" spans="1:8" x14ac:dyDescent="0.25">
      <c r="A485" s="2">
        <v>44638</v>
      </c>
      <c r="B485">
        <v>2984</v>
      </c>
      <c r="C485">
        <v>7</v>
      </c>
      <c r="D485">
        <v>0</v>
      </c>
      <c r="E485">
        <v>0</v>
      </c>
      <c r="F485" s="1">
        <f t="shared" si="7"/>
        <v>0</v>
      </c>
      <c r="G485" s="1" t="str">
        <f>_xlfn.XLOOKUP(C485,'Ocupação DW'!$F:$F,'Ocupação DW'!$E:$E,"",0)</f>
        <v>SEG - FILIAL II 10°</v>
      </c>
      <c r="H485" t="str">
        <f>Vagas[[#This Row],[data]]&amp;Vagas[[#This Row],[profissional_id]]&amp;Vagas[[#This Row],[local_id]]</f>
        <v>4463829847</v>
      </c>
    </row>
    <row r="486" spans="1:8" x14ac:dyDescent="0.25">
      <c r="A486" s="2">
        <v>44638</v>
      </c>
      <c r="B486">
        <v>3092</v>
      </c>
      <c r="D486">
        <v>0</v>
      </c>
      <c r="E486">
        <v>0</v>
      </c>
      <c r="F486" s="1">
        <f t="shared" si="7"/>
        <v>0</v>
      </c>
      <c r="G486" s="1" t="str">
        <f>_xlfn.XLOOKUP(C486,'Ocupação DW'!$F:$F,'Ocupação DW'!$E:$E,"",0)</f>
        <v/>
      </c>
      <c r="H486" t="str">
        <f>Vagas[[#This Row],[data]]&amp;Vagas[[#This Row],[profissional_id]]&amp;Vagas[[#This Row],[local_id]]</f>
        <v>446383092</v>
      </c>
    </row>
    <row r="487" spans="1:8" x14ac:dyDescent="0.25">
      <c r="A487" s="2">
        <v>44638</v>
      </c>
      <c r="B487">
        <v>3158</v>
      </c>
      <c r="C487">
        <v>342</v>
      </c>
      <c r="D487">
        <v>0</v>
      </c>
      <c r="E487">
        <v>0</v>
      </c>
      <c r="F487" s="1">
        <f t="shared" si="7"/>
        <v>0</v>
      </c>
      <c r="G487" s="1" t="str">
        <f>_xlfn.XLOOKUP(C487,'Ocupação DW'!$F:$F,'Ocupação DW'!$E:$E,"",0)</f>
        <v>SEG - MATRIZ</v>
      </c>
      <c r="H487" t="str">
        <f>Vagas[[#This Row],[data]]&amp;Vagas[[#This Row],[profissional_id]]&amp;Vagas[[#This Row],[local_id]]</f>
        <v>446383158342</v>
      </c>
    </row>
    <row r="488" spans="1:8" x14ac:dyDescent="0.25">
      <c r="A488" s="2">
        <v>44638</v>
      </c>
      <c r="B488">
        <v>3502</v>
      </c>
      <c r="D488">
        <v>43</v>
      </c>
      <c r="E488">
        <v>0</v>
      </c>
      <c r="F488" s="1">
        <f t="shared" si="7"/>
        <v>0</v>
      </c>
      <c r="G488" s="1" t="str">
        <f>_xlfn.XLOOKUP(C488,'Ocupação DW'!$F:$F,'Ocupação DW'!$E:$E,"",0)</f>
        <v/>
      </c>
      <c r="H488" t="str">
        <f>Vagas[[#This Row],[data]]&amp;Vagas[[#This Row],[profissional_id]]&amp;Vagas[[#This Row],[local_id]]</f>
        <v>446383502</v>
      </c>
    </row>
    <row r="489" spans="1:8" x14ac:dyDescent="0.25">
      <c r="A489" s="2">
        <v>44638</v>
      </c>
      <c r="B489">
        <v>3502</v>
      </c>
      <c r="C489">
        <v>69</v>
      </c>
      <c r="D489">
        <v>0</v>
      </c>
      <c r="E489">
        <v>0</v>
      </c>
      <c r="F489" s="1">
        <f t="shared" si="7"/>
        <v>43</v>
      </c>
      <c r="G489" s="1" t="str">
        <f>_xlfn.XLOOKUP(C489,'Ocupação DW'!$F:$F,'Ocupação DW'!$E:$E,"",0)</f>
        <v>SEG - NILÓPOLIS</v>
      </c>
      <c r="H489" t="str">
        <f>Vagas[[#This Row],[data]]&amp;Vagas[[#This Row],[profissional_id]]&amp;Vagas[[#This Row],[local_id]]</f>
        <v>44638350269</v>
      </c>
    </row>
    <row r="490" spans="1:8" x14ac:dyDescent="0.25">
      <c r="A490" s="2">
        <v>44638</v>
      </c>
      <c r="B490">
        <v>3930</v>
      </c>
      <c r="C490">
        <v>10</v>
      </c>
      <c r="D490">
        <v>15</v>
      </c>
      <c r="E490">
        <v>0</v>
      </c>
      <c r="F490" s="1">
        <f t="shared" si="7"/>
        <v>0</v>
      </c>
      <c r="G490" s="1" t="str">
        <f>_xlfn.XLOOKUP(C490,'Ocupação DW'!$F:$F,'Ocupação DW'!$E:$E,"",0)</f>
        <v/>
      </c>
      <c r="H490" t="str">
        <f>Vagas[[#This Row],[data]]&amp;Vagas[[#This Row],[profissional_id]]&amp;Vagas[[#This Row],[local_id]]</f>
        <v>44638393010</v>
      </c>
    </row>
    <row r="491" spans="1:8" x14ac:dyDescent="0.25">
      <c r="A491" s="2">
        <v>44638</v>
      </c>
      <c r="B491">
        <v>5927</v>
      </c>
      <c r="C491">
        <v>17</v>
      </c>
      <c r="D491">
        <v>0</v>
      </c>
      <c r="E491">
        <v>0</v>
      </c>
      <c r="F491" s="1">
        <f t="shared" si="7"/>
        <v>0</v>
      </c>
      <c r="G491" s="1" t="str">
        <f>_xlfn.XLOOKUP(C491,'Ocupação DW'!$F:$F,'Ocupação DW'!$E:$E,"",0)</f>
        <v>SEG - FILIAL II 11°</v>
      </c>
      <c r="H491" t="str">
        <f>Vagas[[#This Row],[data]]&amp;Vagas[[#This Row],[profissional_id]]&amp;Vagas[[#This Row],[local_id]]</f>
        <v>44638592717</v>
      </c>
    </row>
    <row r="492" spans="1:8" x14ac:dyDescent="0.25">
      <c r="A492" s="2">
        <v>44638</v>
      </c>
      <c r="B492">
        <v>6046</v>
      </c>
      <c r="D492">
        <v>0</v>
      </c>
      <c r="E492">
        <v>0</v>
      </c>
      <c r="F492" s="1">
        <f t="shared" si="7"/>
        <v>0</v>
      </c>
      <c r="G492" s="1" t="str">
        <f>_xlfn.XLOOKUP(C492,'Ocupação DW'!$F:$F,'Ocupação DW'!$E:$E,"",0)</f>
        <v/>
      </c>
      <c r="H492" t="str">
        <f>Vagas[[#This Row],[data]]&amp;Vagas[[#This Row],[profissional_id]]&amp;Vagas[[#This Row],[local_id]]</f>
        <v>446386046</v>
      </c>
    </row>
    <row r="493" spans="1:8" x14ac:dyDescent="0.25">
      <c r="A493" s="2">
        <v>44638</v>
      </c>
      <c r="B493">
        <v>6430</v>
      </c>
      <c r="D493">
        <v>49</v>
      </c>
      <c r="E493">
        <v>0</v>
      </c>
      <c r="F493" s="1">
        <f t="shared" si="7"/>
        <v>0</v>
      </c>
      <c r="G493" s="1" t="str">
        <f>_xlfn.XLOOKUP(C493,'Ocupação DW'!$F:$F,'Ocupação DW'!$E:$E,"",0)</f>
        <v/>
      </c>
      <c r="H493" t="str">
        <f>Vagas[[#This Row],[data]]&amp;Vagas[[#This Row],[profissional_id]]&amp;Vagas[[#This Row],[local_id]]</f>
        <v>446386430</v>
      </c>
    </row>
    <row r="494" spans="1:8" x14ac:dyDescent="0.25">
      <c r="A494" s="2">
        <v>44638</v>
      </c>
      <c r="B494">
        <v>6430</v>
      </c>
      <c r="C494">
        <v>42</v>
      </c>
      <c r="D494">
        <v>0</v>
      </c>
      <c r="E494">
        <v>0</v>
      </c>
      <c r="F494" s="1">
        <f t="shared" si="7"/>
        <v>49</v>
      </c>
      <c r="G494" s="1" t="str">
        <f>_xlfn.XLOOKUP(C494,'Ocupação DW'!$F:$F,'Ocupação DW'!$E:$E,"",0)</f>
        <v>SEG - FILIAL I</v>
      </c>
      <c r="H494" t="str">
        <f>Vagas[[#This Row],[data]]&amp;Vagas[[#This Row],[profissional_id]]&amp;Vagas[[#This Row],[local_id]]</f>
        <v>44638643042</v>
      </c>
    </row>
    <row r="495" spans="1:8" x14ac:dyDescent="0.25">
      <c r="A495" s="2">
        <v>44638</v>
      </c>
      <c r="B495">
        <v>6839</v>
      </c>
      <c r="C495">
        <v>341</v>
      </c>
      <c r="D495">
        <v>60</v>
      </c>
      <c r="E495">
        <v>0</v>
      </c>
      <c r="F495" s="1">
        <f t="shared" si="7"/>
        <v>0</v>
      </c>
      <c r="G495" s="1" t="str">
        <f>_xlfn.XLOOKUP(C495,'Ocupação DW'!$F:$F,'Ocupação DW'!$E:$E,"",0)</f>
        <v/>
      </c>
      <c r="H495" t="str">
        <f>Vagas[[#This Row],[data]]&amp;Vagas[[#This Row],[profissional_id]]&amp;Vagas[[#This Row],[local_id]]</f>
        <v>446386839341</v>
      </c>
    </row>
    <row r="496" spans="1:8" x14ac:dyDescent="0.25">
      <c r="A496" s="2">
        <v>44638</v>
      </c>
      <c r="B496">
        <v>7900</v>
      </c>
      <c r="C496">
        <v>368</v>
      </c>
      <c r="D496">
        <v>41</v>
      </c>
      <c r="E496">
        <v>0</v>
      </c>
      <c r="F496" s="1">
        <f t="shared" si="7"/>
        <v>0</v>
      </c>
      <c r="G496" s="1" t="str">
        <f>_xlfn.XLOOKUP(C496,'Ocupação DW'!$F:$F,'Ocupação DW'!$E:$E,"",0)</f>
        <v/>
      </c>
      <c r="H496" t="str">
        <f>Vagas[[#This Row],[data]]&amp;Vagas[[#This Row],[profissional_id]]&amp;Vagas[[#This Row],[local_id]]</f>
        <v>446387900368</v>
      </c>
    </row>
    <row r="497" spans="1:8" x14ac:dyDescent="0.25">
      <c r="A497" s="2">
        <v>44638</v>
      </c>
      <c r="B497">
        <v>8598</v>
      </c>
      <c r="D497">
        <v>0</v>
      </c>
      <c r="E497">
        <v>0</v>
      </c>
      <c r="F497" s="1">
        <f t="shared" si="7"/>
        <v>0</v>
      </c>
      <c r="G497" s="1" t="str">
        <f>_xlfn.XLOOKUP(C497,'Ocupação DW'!$F:$F,'Ocupação DW'!$E:$E,"",0)</f>
        <v/>
      </c>
      <c r="H497" t="str">
        <f>Vagas[[#This Row],[data]]&amp;Vagas[[#This Row],[profissional_id]]&amp;Vagas[[#This Row],[local_id]]</f>
        <v>446388598</v>
      </c>
    </row>
    <row r="498" spans="1:8" x14ac:dyDescent="0.25">
      <c r="A498" s="2">
        <v>44638</v>
      </c>
      <c r="B498">
        <v>9111</v>
      </c>
      <c r="D498">
        <v>49</v>
      </c>
      <c r="E498">
        <v>0</v>
      </c>
      <c r="F498" s="1">
        <f t="shared" si="7"/>
        <v>0</v>
      </c>
      <c r="G498" s="1" t="str">
        <f>_xlfn.XLOOKUP(C498,'Ocupação DW'!$F:$F,'Ocupação DW'!$E:$E,"",0)</f>
        <v/>
      </c>
      <c r="H498" t="str">
        <f>Vagas[[#This Row],[data]]&amp;Vagas[[#This Row],[profissional_id]]&amp;Vagas[[#This Row],[local_id]]</f>
        <v>446389111</v>
      </c>
    </row>
    <row r="499" spans="1:8" x14ac:dyDescent="0.25">
      <c r="A499" s="2">
        <v>44638</v>
      </c>
      <c r="B499">
        <v>9111</v>
      </c>
      <c r="C499">
        <v>51</v>
      </c>
      <c r="D499">
        <v>0</v>
      </c>
      <c r="E499">
        <v>0</v>
      </c>
      <c r="F499" s="1">
        <f t="shared" si="7"/>
        <v>49</v>
      </c>
      <c r="G499" s="1" t="str">
        <f>_xlfn.XLOOKUP(C499,'Ocupação DW'!$F:$F,'Ocupação DW'!$E:$E,"",0)</f>
        <v>SEG - FILIAL I</v>
      </c>
      <c r="H499" t="str">
        <f>Vagas[[#This Row],[data]]&amp;Vagas[[#This Row],[profissional_id]]&amp;Vagas[[#This Row],[local_id]]</f>
        <v>44638911151</v>
      </c>
    </row>
    <row r="500" spans="1:8" x14ac:dyDescent="0.25">
      <c r="A500" s="2">
        <v>44638</v>
      </c>
      <c r="B500">
        <v>9138</v>
      </c>
      <c r="C500">
        <v>344</v>
      </c>
      <c r="D500">
        <v>0</v>
      </c>
      <c r="E500">
        <v>0</v>
      </c>
      <c r="F500" s="1">
        <f t="shared" si="7"/>
        <v>0</v>
      </c>
      <c r="G500" s="1" t="str">
        <f>_xlfn.XLOOKUP(C500,'Ocupação DW'!$F:$F,'Ocupação DW'!$E:$E,"",0)</f>
        <v>SEG - MATRIZ</v>
      </c>
      <c r="H500" t="str">
        <f>Vagas[[#This Row],[data]]&amp;Vagas[[#This Row],[profissional_id]]&amp;Vagas[[#This Row],[local_id]]</f>
        <v>446389138344</v>
      </c>
    </row>
    <row r="501" spans="1:8" x14ac:dyDescent="0.25">
      <c r="A501" s="2">
        <v>44638</v>
      </c>
      <c r="B501">
        <v>9207</v>
      </c>
      <c r="C501">
        <v>346</v>
      </c>
      <c r="D501">
        <v>96</v>
      </c>
      <c r="E501">
        <v>12</v>
      </c>
      <c r="F501" s="1">
        <f t="shared" si="7"/>
        <v>0</v>
      </c>
      <c r="G501" s="1" t="str">
        <f>_xlfn.XLOOKUP(C501,'Ocupação DW'!$F:$F,'Ocupação DW'!$E:$E,"",0)</f>
        <v>SEG - MATRIZ</v>
      </c>
      <c r="H501" t="str">
        <f>Vagas[[#This Row],[data]]&amp;Vagas[[#This Row],[profissional_id]]&amp;Vagas[[#This Row],[local_id]]</f>
        <v>446389207346</v>
      </c>
    </row>
    <row r="502" spans="1:8" x14ac:dyDescent="0.25">
      <c r="A502" s="2">
        <v>44638</v>
      </c>
      <c r="B502">
        <v>9237</v>
      </c>
      <c r="C502">
        <v>343</v>
      </c>
      <c r="D502">
        <v>108</v>
      </c>
      <c r="E502">
        <v>12</v>
      </c>
      <c r="F502" s="1">
        <f t="shared" si="7"/>
        <v>0</v>
      </c>
      <c r="G502" s="1" t="str">
        <f>_xlfn.XLOOKUP(C502,'Ocupação DW'!$F:$F,'Ocupação DW'!$E:$E,"",0)</f>
        <v/>
      </c>
      <c r="H502" t="str">
        <f>Vagas[[#This Row],[data]]&amp;Vagas[[#This Row],[profissional_id]]&amp;Vagas[[#This Row],[local_id]]</f>
        <v>446389237343</v>
      </c>
    </row>
    <row r="503" spans="1:8" x14ac:dyDescent="0.25">
      <c r="A503" s="2">
        <v>44638</v>
      </c>
      <c r="B503">
        <v>9654</v>
      </c>
      <c r="C503">
        <v>339</v>
      </c>
      <c r="D503">
        <v>132</v>
      </c>
      <c r="E503">
        <v>0</v>
      </c>
      <c r="F503" s="1">
        <f t="shared" si="7"/>
        <v>0</v>
      </c>
      <c r="G503" s="1" t="str">
        <f>_xlfn.XLOOKUP(C503,'Ocupação DW'!$F:$F,'Ocupação DW'!$E:$E,"",0)</f>
        <v>SEG - MATRIZ</v>
      </c>
      <c r="H503" t="str">
        <f>Vagas[[#This Row],[data]]&amp;Vagas[[#This Row],[profissional_id]]&amp;Vagas[[#This Row],[local_id]]</f>
        <v>446389654339</v>
      </c>
    </row>
    <row r="504" spans="1:8" x14ac:dyDescent="0.25">
      <c r="A504" s="2">
        <v>44638</v>
      </c>
      <c r="B504">
        <v>9717</v>
      </c>
      <c r="D504">
        <v>0</v>
      </c>
      <c r="E504">
        <v>0</v>
      </c>
      <c r="F504" s="1">
        <f t="shared" si="7"/>
        <v>0</v>
      </c>
      <c r="G504" s="1" t="str">
        <f>_xlfn.XLOOKUP(C504,'Ocupação DW'!$F:$F,'Ocupação DW'!$E:$E,"",0)</f>
        <v/>
      </c>
      <c r="H504" t="str">
        <f>Vagas[[#This Row],[data]]&amp;Vagas[[#This Row],[profissional_id]]&amp;Vagas[[#This Row],[local_id]]</f>
        <v>446389717</v>
      </c>
    </row>
    <row r="505" spans="1:8" x14ac:dyDescent="0.25">
      <c r="A505" s="2">
        <v>44638</v>
      </c>
      <c r="B505">
        <v>10249</v>
      </c>
      <c r="D505">
        <v>9</v>
      </c>
      <c r="E505">
        <v>0</v>
      </c>
      <c r="F505" s="1">
        <f t="shared" si="7"/>
        <v>0</v>
      </c>
      <c r="G505" s="1" t="str">
        <f>_xlfn.XLOOKUP(C505,'Ocupação DW'!$F:$F,'Ocupação DW'!$E:$E,"",0)</f>
        <v/>
      </c>
      <c r="H505" t="str">
        <f>Vagas[[#This Row],[data]]&amp;Vagas[[#This Row],[profissional_id]]&amp;Vagas[[#This Row],[local_id]]</f>
        <v>4463810249</v>
      </c>
    </row>
    <row r="506" spans="1:8" x14ac:dyDescent="0.25">
      <c r="A506" s="2">
        <v>44638</v>
      </c>
      <c r="B506">
        <v>10249</v>
      </c>
      <c r="C506">
        <v>44</v>
      </c>
      <c r="D506">
        <v>0</v>
      </c>
      <c r="E506">
        <v>0</v>
      </c>
      <c r="F506" s="1">
        <f t="shared" si="7"/>
        <v>9</v>
      </c>
      <c r="G506" s="1" t="str">
        <f>_xlfn.XLOOKUP(C506,'Ocupação DW'!$F:$F,'Ocupação DW'!$E:$E,"",0)</f>
        <v>SEG - FILIAL I</v>
      </c>
      <c r="H506" t="str">
        <f>Vagas[[#This Row],[data]]&amp;Vagas[[#This Row],[profissional_id]]&amp;Vagas[[#This Row],[local_id]]</f>
        <v>446381024944</v>
      </c>
    </row>
    <row r="507" spans="1:8" x14ac:dyDescent="0.25">
      <c r="A507" s="2">
        <v>44638</v>
      </c>
      <c r="B507">
        <v>10249</v>
      </c>
      <c r="C507">
        <v>43</v>
      </c>
      <c r="D507">
        <v>0</v>
      </c>
      <c r="E507">
        <v>0</v>
      </c>
      <c r="F507" s="1">
        <f t="shared" si="7"/>
        <v>0</v>
      </c>
      <c r="G507" s="1" t="str">
        <f>_xlfn.XLOOKUP(C507,'Ocupação DW'!$F:$F,'Ocupação DW'!$E:$E,"",0)</f>
        <v>SEG - FILIAL I</v>
      </c>
      <c r="H507" t="str">
        <f>Vagas[[#This Row],[data]]&amp;Vagas[[#This Row],[profissional_id]]&amp;Vagas[[#This Row],[local_id]]</f>
        <v>446381024943</v>
      </c>
    </row>
    <row r="508" spans="1:8" x14ac:dyDescent="0.25">
      <c r="A508" s="2">
        <v>44638</v>
      </c>
      <c r="B508">
        <v>10593</v>
      </c>
      <c r="C508">
        <v>64</v>
      </c>
      <c r="D508">
        <v>0</v>
      </c>
      <c r="E508">
        <v>0</v>
      </c>
      <c r="F508" s="1">
        <f t="shared" si="7"/>
        <v>0</v>
      </c>
      <c r="G508" s="1" t="str">
        <f>_xlfn.XLOOKUP(C508,'Ocupação DW'!$F:$F,'Ocupação DW'!$E:$E,"",0)</f>
        <v>SEG - NILÓPOLIS</v>
      </c>
      <c r="H508" t="str">
        <f>Vagas[[#This Row],[data]]&amp;Vagas[[#This Row],[profissional_id]]&amp;Vagas[[#This Row],[local_id]]</f>
        <v>446381059364</v>
      </c>
    </row>
    <row r="509" spans="1:8" x14ac:dyDescent="0.25">
      <c r="A509" s="2">
        <v>44638</v>
      </c>
      <c r="B509">
        <v>10595</v>
      </c>
      <c r="D509">
        <v>0</v>
      </c>
      <c r="E509">
        <v>0</v>
      </c>
      <c r="F509" s="1">
        <f t="shared" si="7"/>
        <v>0</v>
      </c>
      <c r="G509" s="1" t="str">
        <f>_xlfn.XLOOKUP(C509,'Ocupação DW'!$F:$F,'Ocupação DW'!$E:$E,"",0)</f>
        <v/>
      </c>
      <c r="H509" t="str">
        <f>Vagas[[#This Row],[data]]&amp;Vagas[[#This Row],[profissional_id]]&amp;Vagas[[#This Row],[local_id]]</f>
        <v>4463810595</v>
      </c>
    </row>
    <row r="510" spans="1:8" x14ac:dyDescent="0.25">
      <c r="A510" s="2">
        <v>44638</v>
      </c>
      <c r="B510">
        <v>10691</v>
      </c>
      <c r="D510">
        <v>21</v>
      </c>
      <c r="E510">
        <v>0</v>
      </c>
      <c r="F510" s="1">
        <f t="shared" si="7"/>
        <v>0</v>
      </c>
      <c r="G510" s="1" t="str">
        <f>_xlfn.XLOOKUP(C510,'Ocupação DW'!$F:$F,'Ocupação DW'!$E:$E,"",0)</f>
        <v/>
      </c>
      <c r="H510" t="str">
        <f>Vagas[[#This Row],[data]]&amp;Vagas[[#This Row],[profissional_id]]&amp;Vagas[[#This Row],[local_id]]</f>
        <v>4463810691</v>
      </c>
    </row>
    <row r="511" spans="1:8" x14ac:dyDescent="0.25">
      <c r="A511" s="2">
        <v>44638</v>
      </c>
      <c r="B511">
        <v>10691</v>
      </c>
      <c r="C511">
        <v>78</v>
      </c>
      <c r="D511">
        <v>0</v>
      </c>
      <c r="E511">
        <v>0</v>
      </c>
      <c r="F511" s="1">
        <f t="shared" si="7"/>
        <v>21</v>
      </c>
      <c r="G511" s="1" t="str">
        <f>_xlfn.XLOOKUP(C511,'Ocupação DW'!$F:$F,'Ocupação DW'!$E:$E,"",0)</f>
        <v>SEG - MIGUEL COUTO</v>
      </c>
      <c r="H511" t="str">
        <f>Vagas[[#This Row],[data]]&amp;Vagas[[#This Row],[profissional_id]]&amp;Vagas[[#This Row],[local_id]]</f>
        <v>446381069178</v>
      </c>
    </row>
    <row r="512" spans="1:8" x14ac:dyDescent="0.25">
      <c r="A512" s="2">
        <v>44638</v>
      </c>
      <c r="B512">
        <v>10717</v>
      </c>
      <c r="C512">
        <v>18</v>
      </c>
      <c r="D512">
        <v>0</v>
      </c>
      <c r="E512">
        <v>0</v>
      </c>
      <c r="F512" s="1">
        <f t="shared" si="7"/>
        <v>0</v>
      </c>
      <c r="G512" s="1" t="str">
        <f>_xlfn.XLOOKUP(C512,'Ocupação DW'!$F:$F,'Ocupação DW'!$E:$E,"",0)</f>
        <v>SEG - FILIAL II 11°</v>
      </c>
      <c r="H512" t="str">
        <f>Vagas[[#This Row],[data]]&amp;Vagas[[#This Row],[profissional_id]]&amp;Vagas[[#This Row],[local_id]]</f>
        <v>446381071718</v>
      </c>
    </row>
    <row r="513" spans="1:8" x14ac:dyDescent="0.25">
      <c r="A513" s="2">
        <v>44638</v>
      </c>
      <c r="B513">
        <v>10785</v>
      </c>
      <c r="C513">
        <v>15</v>
      </c>
      <c r="D513">
        <v>0</v>
      </c>
      <c r="E513">
        <v>0</v>
      </c>
      <c r="F513" s="1">
        <f t="shared" si="7"/>
        <v>0</v>
      </c>
      <c r="G513" s="1" t="str">
        <f>_xlfn.XLOOKUP(C513,'Ocupação DW'!$F:$F,'Ocupação DW'!$E:$E,"",0)</f>
        <v>SEG - FILIAL II 11°</v>
      </c>
      <c r="H513" t="str">
        <f>Vagas[[#This Row],[data]]&amp;Vagas[[#This Row],[profissional_id]]&amp;Vagas[[#This Row],[local_id]]</f>
        <v>446381078515</v>
      </c>
    </row>
    <row r="514" spans="1:8" x14ac:dyDescent="0.25">
      <c r="A514" s="2">
        <v>44638</v>
      </c>
      <c r="B514">
        <v>10946</v>
      </c>
      <c r="D514">
        <v>0</v>
      </c>
      <c r="E514">
        <v>0</v>
      </c>
      <c r="F514" s="1">
        <f t="shared" ref="F514:F577" si="8">IF(AND(A514=A513,B514=B513,D513&lt;&gt;0,D514=0),D513,0)</f>
        <v>0</v>
      </c>
      <c r="G514" s="1" t="str">
        <f>_xlfn.XLOOKUP(C514,'Ocupação DW'!$F:$F,'Ocupação DW'!$E:$E,"",0)</f>
        <v/>
      </c>
      <c r="H514" t="str">
        <f>Vagas[[#This Row],[data]]&amp;Vagas[[#This Row],[profissional_id]]&amp;Vagas[[#This Row],[local_id]]</f>
        <v>4463810946</v>
      </c>
    </row>
    <row r="515" spans="1:8" x14ac:dyDescent="0.25">
      <c r="A515" s="2">
        <v>44638</v>
      </c>
      <c r="B515">
        <v>11634</v>
      </c>
      <c r="C515">
        <v>345</v>
      </c>
      <c r="D515">
        <v>48</v>
      </c>
      <c r="E515">
        <v>0</v>
      </c>
      <c r="F515" s="1">
        <f t="shared" si="8"/>
        <v>0</v>
      </c>
      <c r="G515" s="1" t="str">
        <f>_xlfn.XLOOKUP(C515,'Ocupação DW'!$F:$F,'Ocupação DW'!$E:$E,"",0)</f>
        <v>SEG - MATRIZ</v>
      </c>
      <c r="H515" t="str">
        <f>Vagas[[#This Row],[data]]&amp;Vagas[[#This Row],[profissional_id]]&amp;Vagas[[#This Row],[local_id]]</f>
        <v>4463811634345</v>
      </c>
    </row>
    <row r="516" spans="1:8" x14ac:dyDescent="0.25">
      <c r="A516" s="2">
        <v>44638</v>
      </c>
      <c r="B516">
        <v>12142</v>
      </c>
      <c r="C516">
        <v>44</v>
      </c>
      <c r="D516">
        <v>0</v>
      </c>
      <c r="E516">
        <v>0</v>
      </c>
      <c r="F516" s="1">
        <f t="shared" si="8"/>
        <v>0</v>
      </c>
      <c r="G516" s="1" t="str">
        <f>_xlfn.XLOOKUP(C516,'Ocupação DW'!$F:$F,'Ocupação DW'!$E:$E,"",0)</f>
        <v>SEG - FILIAL I</v>
      </c>
      <c r="H516" t="str">
        <f>Vagas[[#This Row],[data]]&amp;Vagas[[#This Row],[profissional_id]]&amp;Vagas[[#This Row],[local_id]]</f>
        <v>446381214244</v>
      </c>
    </row>
    <row r="517" spans="1:8" x14ac:dyDescent="0.25">
      <c r="A517" s="2">
        <v>44638</v>
      </c>
      <c r="B517">
        <v>12369</v>
      </c>
      <c r="D517">
        <v>0</v>
      </c>
      <c r="E517">
        <v>0</v>
      </c>
      <c r="F517" s="1">
        <f t="shared" si="8"/>
        <v>0</v>
      </c>
      <c r="G517" s="1" t="str">
        <f>_xlfn.XLOOKUP(C517,'Ocupação DW'!$F:$F,'Ocupação DW'!$E:$E,"",0)</f>
        <v/>
      </c>
      <c r="H517" t="str">
        <f>Vagas[[#This Row],[data]]&amp;Vagas[[#This Row],[profissional_id]]&amp;Vagas[[#This Row],[local_id]]</f>
        <v>4463812369</v>
      </c>
    </row>
    <row r="518" spans="1:8" x14ac:dyDescent="0.25">
      <c r="A518" s="2">
        <v>44638</v>
      </c>
      <c r="B518">
        <v>12482</v>
      </c>
      <c r="C518">
        <v>348</v>
      </c>
      <c r="D518">
        <v>108</v>
      </c>
      <c r="E518">
        <v>0</v>
      </c>
      <c r="F518" s="1">
        <f t="shared" si="8"/>
        <v>0</v>
      </c>
      <c r="G518" s="1" t="str">
        <f>_xlfn.XLOOKUP(C518,'Ocupação DW'!$F:$F,'Ocupação DW'!$E:$E,"",0)</f>
        <v>SEG - MATRIZ</v>
      </c>
      <c r="H518" t="str">
        <f>Vagas[[#This Row],[data]]&amp;Vagas[[#This Row],[profissional_id]]&amp;Vagas[[#This Row],[local_id]]</f>
        <v>4463812482348</v>
      </c>
    </row>
    <row r="519" spans="1:8" x14ac:dyDescent="0.25">
      <c r="A519" s="2">
        <v>44638</v>
      </c>
      <c r="B519">
        <v>12519</v>
      </c>
      <c r="D519">
        <v>0</v>
      </c>
      <c r="E519">
        <v>0</v>
      </c>
      <c r="F519" s="1">
        <f t="shared" si="8"/>
        <v>0</v>
      </c>
      <c r="G519" s="1" t="str">
        <f>_xlfn.XLOOKUP(C519,'Ocupação DW'!$F:$F,'Ocupação DW'!$E:$E,"",0)</f>
        <v/>
      </c>
      <c r="H519" t="str">
        <f>Vagas[[#This Row],[data]]&amp;Vagas[[#This Row],[profissional_id]]&amp;Vagas[[#This Row],[local_id]]</f>
        <v>4463812519</v>
      </c>
    </row>
    <row r="520" spans="1:8" x14ac:dyDescent="0.25">
      <c r="A520" s="2">
        <v>44638</v>
      </c>
      <c r="B520">
        <v>12679</v>
      </c>
      <c r="D520">
        <v>19</v>
      </c>
      <c r="E520">
        <v>0</v>
      </c>
      <c r="F520" s="1">
        <f t="shared" si="8"/>
        <v>0</v>
      </c>
      <c r="G520" s="1" t="str">
        <f>_xlfn.XLOOKUP(C520,'Ocupação DW'!$F:$F,'Ocupação DW'!$E:$E,"",0)</f>
        <v/>
      </c>
      <c r="H520" t="str">
        <f>Vagas[[#This Row],[data]]&amp;Vagas[[#This Row],[profissional_id]]&amp;Vagas[[#This Row],[local_id]]</f>
        <v>4463812679</v>
      </c>
    </row>
    <row r="521" spans="1:8" x14ac:dyDescent="0.25">
      <c r="A521" s="2">
        <v>44638</v>
      </c>
      <c r="B521">
        <v>12679</v>
      </c>
      <c r="C521">
        <v>336</v>
      </c>
      <c r="D521">
        <v>0</v>
      </c>
      <c r="E521">
        <v>0</v>
      </c>
      <c r="F521" s="1">
        <f t="shared" si="8"/>
        <v>19</v>
      </c>
      <c r="G521" s="1" t="str">
        <f>_xlfn.XLOOKUP(C521,'Ocupação DW'!$F:$F,'Ocupação DW'!$E:$E,"",0)</f>
        <v>SEG - FILIAL I</v>
      </c>
      <c r="H521" t="str">
        <f>Vagas[[#This Row],[data]]&amp;Vagas[[#This Row],[profissional_id]]&amp;Vagas[[#This Row],[local_id]]</f>
        <v>4463812679336</v>
      </c>
    </row>
    <row r="522" spans="1:8" x14ac:dyDescent="0.25">
      <c r="A522" s="2">
        <v>44638</v>
      </c>
      <c r="B522">
        <v>12684</v>
      </c>
      <c r="D522">
        <v>17</v>
      </c>
      <c r="E522">
        <v>0</v>
      </c>
      <c r="F522" s="1">
        <f t="shared" si="8"/>
        <v>0</v>
      </c>
      <c r="G522" s="1" t="str">
        <f>_xlfn.XLOOKUP(C522,'Ocupação DW'!$F:$F,'Ocupação DW'!$E:$E,"",0)</f>
        <v/>
      </c>
      <c r="H522" t="str">
        <f>Vagas[[#This Row],[data]]&amp;Vagas[[#This Row],[profissional_id]]&amp;Vagas[[#This Row],[local_id]]</f>
        <v>4463812684</v>
      </c>
    </row>
    <row r="523" spans="1:8" x14ac:dyDescent="0.25">
      <c r="A523" s="2">
        <v>44638</v>
      </c>
      <c r="B523">
        <v>12684</v>
      </c>
      <c r="C523">
        <v>85</v>
      </c>
      <c r="D523">
        <v>0</v>
      </c>
      <c r="E523">
        <v>0</v>
      </c>
      <c r="F523" s="1">
        <f t="shared" si="8"/>
        <v>17</v>
      </c>
      <c r="G523" s="1" t="str">
        <f>_xlfn.XLOOKUP(C523,'Ocupação DW'!$F:$F,'Ocupação DW'!$E:$E,"",0)</f>
        <v>SEG - MIGUEL COUTO</v>
      </c>
      <c r="H523" t="str">
        <f>Vagas[[#This Row],[data]]&amp;Vagas[[#This Row],[profissional_id]]&amp;Vagas[[#This Row],[local_id]]</f>
        <v>446381268485</v>
      </c>
    </row>
    <row r="524" spans="1:8" x14ac:dyDescent="0.25">
      <c r="A524" s="2">
        <v>44638</v>
      </c>
      <c r="B524">
        <v>12711</v>
      </c>
      <c r="D524">
        <v>0</v>
      </c>
      <c r="E524">
        <v>0</v>
      </c>
      <c r="F524" s="1">
        <f t="shared" si="8"/>
        <v>0</v>
      </c>
      <c r="G524" s="1" t="str">
        <f>_xlfn.XLOOKUP(C524,'Ocupação DW'!$F:$F,'Ocupação DW'!$E:$E,"",0)</f>
        <v/>
      </c>
      <c r="H524" t="str">
        <f>Vagas[[#This Row],[data]]&amp;Vagas[[#This Row],[profissional_id]]&amp;Vagas[[#This Row],[local_id]]</f>
        <v>4463812711</v>
      </c>
    </row>
    <row r="525" spans="1:8" x14ac:dyDescent="0.25">
      <c r="A525" s="2">
        <v>44638</v>
      </c>
      <c r="B525">
        <v>12810</v>
      </c>
      <c r="D525">
        <v>0</v>
      </c>
      <c r="E525">
        <v>0</v>
      </c>
      <c r="F525" s="1">
        <f t="shared" si="8"/>
        <v>0</v>
      </c>
      <c r="G525" s="1" t="str">
        <f>_xlfn.XLOOKUP(C525,'Ocupação DW'!$F:$F,'Ocupação DW'!$E:$E,"",0)</f>
        <v/>
      </c>
      <c r="H525" t="str">
        <f>Vagas[[#This Row],[data]]&amp;Vagas[[#This Row],[profissional_id]]&amp;Vagas[[#This Row],[local_id]]</f>
        <v>4463812810</v>
      </c>
    </row>
    <row r="526" spans="1:8" x14ac:dyDescent="0.25">
      <c r="A526" s="2">
        <v>44638</v>
      </c>
      <c r="B526">
        <v>12825</v>
      </c>
      <c r="D526">
        <v>0</v>
      </c>
      <c r="E526">
        <v>0</v>
      </c>
      <c r="F526" s="1">
        <f t="shared" si="8"/>
        <v>0</v>
      </c>
      <c r="G526" s="1" t="str">
        <f>_xlfn.XLOOKUP(C526,'Ocupação DW'!$F:$F,'Ocupação DW'!$E:$E,"",0)</f>
        <v/>
      </c>
      <c r="H526" t="str">
        <f>Vagas[[#This Row],[data]]&amp;Vagas[[#This Row],[profissional_id]]&amp;Vagas[[#This Row],[local_id]]</f>
        <v>4463812825</v>
      </c>
    </row>
    <row r="527" spans="1:8" x14ac:dyDescent="0.25">
      <c r="A527" s="2">
        <v>44638</v>
      </c>
      <c r="B527">
        <v>13249</v>
      </c>
      <c r="C527">
        <v>66</v>
      </c>
      <c r="D527">
        <v>0</v>
      </c>
      <c r="E527">
        <v>0</v>
      </c>
      <c r="F527" s="1">
        <f t="shared" si="8"/>
        <v>0</v>
      </c>
      <c r="G527" s="1" t="str">
        <f>_xlfn.XLOOKUP(C527,'Ocupação DW'!$F:$F,'Ocupação DW'!$E:$E,"",0)</f>
        <v>SEG - NILÓPOLIS</v>
      </c>
      <c r="H527" t="str">
        <f>Vagas[[#This Row],[data]]&amp;Vagas[[#This Row],[profissional_id]]&amp;Vagas[[#This Row],[local_id]]</f>
        <v>446381324966</v>
      </c>
    </row>
    <row r="528" spans="1:8" x14ac:dyDescent="0.25">
      <c r="A528" s="2">
        <v>44638</v>
      </c>
      <c r="B528">
        <v>13295</v>
      </c>
      <c r="C528">
        <v>79</v>
      </c>
      <c r="D528">
        <v>120</v>
      </c>
      <c r="E528">
        <v>0</v>
      </c>
      <c r="F528" s="1">
        <f t="shared" si="8"/>
        <v>0</v>
      </c>
      <c r="G528" s="1" t="str">
        <f>_xlfn.XLOOKUP(C528,'Ocupação DW'!$F:$F,'Ocupação DW'!$E:$E,"",0)</f>
        <v/>
      </c>
      <c r="H528" t="str">
        <f>Vagas[[#This Row],[data]]&amp;Vagas[[#This Row],[profissional_id]]&amp;Vagas[[#This Row],[local_id]]</f>
        <v>446381329579</v>
      </c>
    </row>
    <row r="529" spans="1:8" x14ac:dyDescent="0.25">
      <c r="A529" s="2">
        <v>44638</v>
      </c>
      <c r="B529">
        <v>13371</v>
      </c>
      <c r="D529">
        <v>19</v>
      </c>
      <c r="E529">
        <v>0</v>
      </c>
      <c r="F529" s="1">
        <f t="shared" si="8"/>
        <v>0</v>
      </c>
      <c r="G529" s="1" t="str">
        <f>_xlfn.XLOOKUP(C529,'Ocupação DW'!$F:$F,'Ocupação DW'!$E:$E,"",0)</f>
        <v/>
      </c>
      <c r="H529" t="str">
        <f>Vagas[[#This Row],[data]]&amp;Vagas[[#This Row],[profissional_id]]&amp;Vagas[[#This Row],[local_id]]</f>
        <v>4463813371</v>
      </c>
    </row>
    <row r="530" spans="1:8" x14ac:dyDescent="0.25">
      <c r="A530" s="2">
        <v>44638</v>
      </c>
      <c r="B530">
        <v>13479</v>
      </c>
      <c r="D530">
        <v>19</v>
      </c>
      <c r="E530">
        <v>0</v>
      </c>
      <c r="F530" s="1">
        <f t="shared" si="8"/>
        <v>0</v>
      </c>
      <c r="G530" s="1" t="str">
        <f>_xlfn.XLOOKUP(C530,'Ocupação DW'!$F:$F,'Ocupação DW'!$E:$E,"",0)</f>
        <v/>
      </c>
      <c r="H530" t="str">
        <f>Vagas[[#This Row],[data]]&amp;Vagas[[#This Row],[profissional_id]]&amp;Vagas[[#This Row],[local_id]]</f>
        <v>4463813479</v>
      </c>
    </row>
    <row r="531" spans="1:8" x14ac:dyDescent="0.25">
      <c r="A531" s="2">
        <v>44638</v>
      </c>
      <c r="B531">
        <v>13479</v>
      </c>
      <c r="C531">
        <v>83</v>
      </c>
      <c r="D531">
        <v>0</v>
      </c>
      <c r="E531">
        <v>0</v>
      </c>
      <c r="F531" s="1">
        <f t="shared" si="8"/>
        <v>19</v>
      </c>
      <c r="G531" s="1" t="str">
        <f>_xlfn.XLOOKUP(C531,'Ocupação DW'!$F:$F,'Ocupação DW'!$E:$E,"",0)</f>
        <v>SEG - MIGUEL COUTO</v>
      </c>
      <c r="H531" t="str">
        <f>Vagas[[#This Row],[data]]&amp;Vagas[[#This Row],[profissional_id]]&amp;Vagas[[#This Row],[local_id]]</f>
        <v>446381347983</v>
      </c>
    </row>
    <row r="532" spans="1:8" x14ac:dyDescent="0.25">
      <c r="A532" s="2">
        <v>44638</v>
      </c>
      <c r="B532">
        <v>13645</v>
      </c>
      <c r="D532">
        <v>0</v>
      </c>
      <c r="E532">
        <v>0</v>
      </c>
      <c r="F532" s="1">
        <f t="shared" si="8"/>
        <v>0</v>
      </c>
      <c r="G532" s="1" t="str">
        <f>_xlfn.XLOOKUP(C532,'Ocupação DW'!$F:$F,'Ocupação DW'!$E:$E,"",0)</f>
        <v/>
      </c>
      <c r="H532" t="str">
        <f>Vagas[[#This Row],[data]]&amp;Vagas[[#This Row],[profissional_id]]&amp;Vagas[[#This Row],[local_id]]</f>
        <v>4463813645</v>
      </c>
    </row>
    <row r="533" spans="1:8" x14ac:dyDescent="0.25">
      <c r="A533" s="2">
        <v>44638</v>
      </c>
      <c r="B533">
        <v>13660</v>
      </c>
      <c r="C533">
        <v>17</v>
      </c>
      <c r="D533">
        <v>0</v>
      </c>
      <c r="E533">
        <v>0</v>
      </c>
      <c r="F533" s="1">
        <f t="shared" si="8"/>
        <v>0</v>
      </c>
      <c r="G533" s="1" t="str">
        <f>_xlfn.XLOOKUP(C533,'Ocupação DW'!$F:$F,'Ocupação DW'!$E:$E,"",0)</f>
        <v>SEG - FILIAL II 11°</v>
      </c>
      <c r="H533" t="str">
        <f>Vagas[[#This Row],[data]]&amp;Vagas[[#This Row],[profissional_id]]&amp;Vagas[[#This Row],[local_id]]</f>
        <v>446381366017</v>
      </c>
    </row>
    <row r="534" spans="1:8" x14ac:dyDescent="0.25">
      <c r="A534" s="2">
        <v>44638</v>
      </c>
      <c r="B534">
        <v>13660</v>
      </c>
      <c r="C534">
        <v>15</v>
      </c>
      <c r="D534">
        <v>0</v>
      </c>
      <c r="E534">
        <v>0</v>
      </c>
      <c r="F534" s="1">
        <f t="shared" si="8"/>
        <v>0</v>
      </c>
      <c r="G534" s="1" t="str">
        <f>_xlfn.XLOOKUP(C534,'Ocupação DW'!$F:$F,'Ocupação DW'!$E:$E,"",0)</f>
        <v>SEG - FILIAL II 11°</v>
      </c>
      <c r="H534" t="str">
        <f>Vagas[[#This Row],[data]]&amp;Vagas[[#This Row],[profissional_id]]&amp;Vagas[[#This Row],[local_id]]</f>
        <v>446381366015</v>
      </c>
    </row>
    <row r="535" spans="1:8" x14ac:dyDescent="0.25">
      <c r="A535" s="2">
        <v>44638</v>
      </c>
      <c r="B535">
        <v>13835</v>
      </c>
      <c r="D535">
        <v>25</v>
      </c>
      <c r="E535">
        <v>0</v>
      </c>
      <c r="F535" s="1">
        <f t="shared" si="8"/>
        <v>0</v>
      </c>
      <c r="G535" s="1" t="str">
        <f>_xlfn.XLOOKUP(C535,'Ocupação DW'!$F:$F,'Ocupação DW'!$E:$E,"",0)</f>
        <v/>
      </c>
      <c r="H535" t="str">
        <f>Vagas[[#This Row],[data]]&amp;Vagas[[#This Row],[profissional_id]]&amp;Vagas[[#This Row],[local_id]]</f>
        <v>4463813835</v>
      </c>
    </row>
    <row r="536" spans="1:8" x14ac:dyDescent="0.25">
      <c r="A536" s="2">
        <v>44638</v>
      </c>
      <c r="B536">
        <v>13835</v>
      </c>
      <c r="C536">
        <v>7</v>
      </c>
      <c r="D536">
        <v>0</v>
      </c>
      <c r="E536">
        <v>0</v>
      </c>
      <c r="F536" s="1">
        <f t="shared" si="8"/>
        <v>25</v>
      </c>
      <c r="G536" s="1" t="str">
        <f>_xlfn.XLOOKUP(C536,'Ocupação DW'!$F:$F,'Ocupação DW'!$E:$E,"",0)</f>
        <v>SEG - FILIAL II 10°</v>
      </c>
      <c r="H536" t="str">
        <f>Vagas[[#This Row],[data]]&amp;Vagas[[#This Row],[profissional_id]]&amp;Vagas[[#This Row],[local_id]]</f>
        <v>44638138357</v>
      </c>
    </row>
    <row r="537" spans="1:8" x14ac:dyDescent="0.25">
      <c r="A537" s="2">
        <v>44638</v>
      </c>
      <c r="B537">
        <v>14417</v>
      </c>
      <c r="C537">
        <v>60</v>
      </c>
      <c r="D537">
        <v>120</v>
      </c>
      <c r="E537">
        <v>0</v>
      </c>
      <c r="F537" s="1">
        <f t="shared" si="8"/>
        <v>0</v>
      </c>
      <c r="G537" s="1" t="str">
        <f>_xlfn.XLOOKUP(C537,'Ocupação DW'!$F:$F,'Ocupação DW'!$E:$E,"",0)</f>
        <v>SEG - NILÓPOLIS</v>
      </c>
      <c r="H537" t="str">
        <f>Vagas[[#This Row],[data]]&amp;Vagas[[#This Row],[profissional_id]]&amp;Vagas[[#This Row],[local_id]]</f>
        <v>446381441760</v>
      </c>
    </row>
    <row r="538" spans="1:8" x14ac:dyDescent="0.25">
      <c r="A538" s="2">
        <v>44638</v>
      </c>
      <c r="B538">
        <v>14452</v>
      </c>
      <c r="D538">
        <v>0</v>
      </c>
      <c r="E538">
        <v>0</v>
      </c>
      <c r="F538" s="1">
        <f t="shared" si="8"/>
        <v>0</v>
      </c>
      <c r="G538" s="1" t="str">
        <f>_xlfn.XLOOKUP(C538,'Ocupação DW'!$F:$F,'Ocupação DW'!$E:$E,"",0)</f>
        <v/>
      </c>
      <c r="H538" t="str">
        <f>Vagas[[#This Row],[data]]&amp;Vagas[[#This Row],[profissional_id]]&amp;Vagas[[#This Row],[local_id]]</f>
        <v>4463814452</v>
      </c>
    </row>
    <row r="539" spans="1:8" x14ac:dyDescent="0.25">
      <c r="A539" s="2">
        <v>44638</v>
      </c>
      <c r="B539">
        <v>17059</v>
      </c>
      <c r="D539">
        <v>0</v>
      </c>
      <c r="E539">
        <v>0</v>
      </c>
      <c r="F539" s="1">
        <f t="shared" si="8"/>
        <v>0</v>
      </c>
      <c r="G539" s="1" t="str">
        <f>_xlfn.XLOOKUP(C539,'Ocupação DW'!$F:$F,'Ocupação DW'!$E:$E,"",0)</f>
        <v/>
      </c>
      <c r="H539" t="str">
        <f>Vagas[[#This Row],[data]]&amp;Vagas[[#This Row],[profissional_id]]&amp;Vagas[[#This Row],[local_id]]</f>
        <v>4463817059</v>
      </c>
    </row>
    <row r="540" spans="1:8" x14ac:dyDescent="0.25">
      <c r="A540" s="2">
        <v>44638</v>
      </c>
      <c r="B540">
        <v>17742</v>
      </c>
      <c r="D540">
        <v>0</v>
      </c>
      <c r="E540">
        <v>0</v>
      </c>
      <c r="F540" s="1">
        <f t="shared" si="8"/>
        <v>0</v>
      </c>
      <c r="G540" s="1" t="str">
        <f>_xlfn.XLOOKUP(C540,'Ocupação DW'!$F:$F,'Ocupação DW'!$E:$E,"",0)</f>
        <v/>
      </c>
      <c r="H540" t="str">
        <f>Vagas[[#This Row],[data]]&amp;Vagas[[#This Row],[profissional_id]]&amp;Vagas[[#This Row],[local_id]]</f>
        <v>4463817742</v>
      </c>
    </row>
    <row r="541" spans="1:8" x14ac:dyDescent="0.25">
      <c r="A541" s="2">
        <v>44638</v>
      </c>
      <c r="B541">
        <v>17858</v>
      </c>
      <c r="D541">
        <v>0</v>
      </c>
      <c r="E541">
        <v>0</v>
      </c>
      <c r="F541" s="1">
        <f t="shared" si="8"/>
        <v>0</v>
      </c>
      <c r="G541" s="1" t="str">
        <f>_xlfn.XLOOKUP(C541,'Ocupação DW'!$F:$F,'Ocupação DW'!$E:$E,"",0)</f>
        <v/>
      </c>
      <c r="H541" t="str">
        <f>Vagas[[#This Row],[data]]&amp;Vagas[[#This Row],[profissional_id]]&amp;Vagas[[#This Row],[local_id]]</f>
        <v>4463817858</v>
      </c>
    </row>
    <row r="542" spans="1:8" x14ac:dyDescent="0.25">
      <c r="A542" s="2">
        <v>44638</v>
      </c>
      <c r="B542">
        <v>17864</v>
      </c>
      <c r="C542">
        <v>60</v>
      </c>
      <c r="D542">
        <v>0</v>
      </c>
      <c r="E542">
        <v>0</v>
      </c>
      <c r="F542" s="1">
        <f t="shared" si="8"/>
        <v>0</v>
      </c>
      <c r="G542" s="1" t="str">
        <f>_xlfn.XLOOKUP(C542,'Ocupação DW'!$F:$F,'Ocupação DW'!$E:$E,"",0)</f>
        <v>SEG - NILÓPOLIS</v>
      </c>
      <c r="H542" t="str">
        <f>Vagas[[#This Row],[data]]&amp;Vagas[[#This Row],[profissional_id]]&amp;Vagas[[#This Row],[local_id]]</f>
        <v>446381786460</v>
      </c>
    </row>
    <row r="543" spans="1:8" x14ac:dyDescent="0.25">
      <c r="A543" s="2">
        <v>44638</v>
      </c>
      <c r="B543">
        <v>17866</v>
      </c>
      <c r="C543">
        <v>81</v>
      </c>
      <c r="D543">
        <v>60</v>
      </c>
      <c r="E543">
        <v>0</v>
      </c>
      <c r="F543" s="1">
        <f t="shared" si="8"/>
        <v>0</v>
      </c>
      <c r="G543" s="1" t="str">
        <f>_xlfn.XLOOKUP(C543,'Ocupação DW'!$F:$F,'Ocupação DW'!$E:$E,"",0)</f>
        <v>SEG - MIGUEL COUTO</v>
      </c>
      <c r="H543" t="str">
        <f>Vagas[[#This Row],[data]]&amp;Vagas[[#This Row],[profissional_id]]&amp;Vagas[[#This Row],[local_id]]</f>
        <v>446381786681</v>
      </c>
    </row>
    <row r="544" spans="1:8" x14ac:dyDescent="0.25">
      <c r="A544" s="2">
        <v>44638</v>
      </c>
      <c r="B544">
        <v>17868</v>
      </c>
      <c r="C544">
        <v>73</v>
      </c>
      <c r="D544">
        <v>133</v>
      </c>
      <c r="E544">
        <v>0</v>
      </c>
      <c r="F544" s="1">
        <f t="shared" si="8"/>
        <v>0</v>
      </c>
      <c r="G544" s="1" t="str">
        <f>_xlfn.XLOOKUP(C544,'Ocupação DW'!$F:$F,'Ocupação DW'!$E:$E,"",0)</f>
        <v/>
      </c>
      <c r="H544" t="str">
        <f>Vagas[[#This Row],[data]]&amp;Vagas[[#This Row],[profissional_id]]&amp;Vagas[[#This Row],[local_id]]</f>
        <v>446381786873</v>
      </c>
    </row>
    <row r="545" spans="1:8" x14ac:dyDescent="0.25">
      <c r="A545" s="2">
        <v>44638</v>
      </c>
      <c r="B545">
        <v>17871</v>
      </c>
      <c r="D545">
        <v>0</v>
      </c>
      <c r="E545">
        <v>0</v>
      </c>
      <c r="F545" s="1">
        <f t="shared" si="8"/>
        <v>0</v>
      </c>
      <c r="G545" s="1" t="str">
        <f>_xlfn.XLOOKUP(C545,'Ocupação DW'!$F:$F,'Ocupação DW'!$E:$E,"",0)</f>
        <v/>
      </c>
      <c r="H545" t="str">
        <f>Vagas[[#This Row],[data]]&amp;Vagas[[#This Row],[profissional_id]]&amp;Vagas[[#This Row],[local_id]]</f>
        <v>4463817871</v>
      </c>
    </row>
    <row r="546" spans="1:8" x14ac:dyDescent="0.25">
      <c r="A546" s="2">
        <v>44638</v>
      </c>
      <c r="B546">
        <v>17874</v>
      </c>
      <c r="D546">
        <v>0</v>
      </c>
      <c r="E546">
        <v>0</v>
      </c>
      <c r="F546" s="1">
        <f t="shared" si="8"/>
        <v>0</v>
      </c>
      <c r="G546" s="1" t="str">
        <f>_xlfn.XLOOKUP(C546,'Ocupação DW'!$F:$F,'Ocupação DW'!$E:$E,"",0)</f>
        <v/>
      </c>
      <c r="H546" t="str">
        <f>Vagas[[#This Row],[data]]&amp;Vagas[[#This Row],[profissional_id]]&amp;Vagas[[#This Row],[local_id]]</f>
        <v>4463817874</v>
      </c>
    </row>
    <row r="547" spans="1:8" x14ac:dyDescent="0.25">
      <c r="A547" s="2">
        <v>44638</v>
      </c>
      <c r="B547">
        <v>17881</v>
      </c>
      <c r="C547">
        <v>20</v>
      </c>
      <c r="D547">
        <v>181</v>
      </c>
      <c r="E547">
        <v>0</v>
      </c>
      <c r="F547" s="1">
        <f t="shared" si="8"/>
        <v>0</v>
      </c>
      <c r="G547" s="1" t="str">
        <f>_xlfn.XLOOKUP(C547,'Ocupação DW'!$F:$F,'Ocupação DW'!$E:$E,"",0)</f>
        <v>SEG - MATRIZ</v>
      </c>
      <c r="H547" t="str">
        <f>Vagas[[#This Row],[data]]&amp;Vagas[[#This Row],[profissional_id]]&amp;Vagas[[#This Row],[local_id]]</f>
        <v>446381788120</v>
      </c>
    </row>
    <row r="548" spans="1:8" x14ac:dyDescent="0.25">
      <c r="A548" s="2">
        <v>44638</v>
      </c>
      <c r="B548">
        <v>17882</v>
      </c>
      <c r="C548">
        <v>21</v>
      </c>
      <c r="D548">
        <v>181</v>
      </c>
      <c r="E548">
        <v>0</v>
      </c>
      <c r="F548" s="1">
        <f t="shared" si="8"/>
        <v>0</v>
      </c>
      <c r="G548" s="1" t="str">
        <f>_xlfn.XLOOKUP(C548,'Ocupação DW'!$F:$F,'Ocupação DW'!$E:$E,"",0)</f>
        <v/>
      </c>
      <c r="H548" t="str">
        <f>Vagas[[#This Row],[data]]&amp;Vagas[[#This Row],[profissional_id]]&amp;Vagas[[#This Row],[local_id]]</f>
        <v>446381788221</v>
      </c>
    </row>
    <row r="549" spans="1:8" x14ac:dyDescent="0.25">
      <c r="A549" s="2">
        <v>44638</v>
      </c>
      <c r="B549">
        <v>17883</v>
      </c>
      <c r="D549">
        <v>11</v>
      </c>
      <c r="E549">
        <v>0</v>
      </c>
      <c r="F549" s="1">
        <f t="shared" si="8"/>
        <v>0</v>
      </c>
      <c r="G549" s="1" t="str">
        <f>_xlfn.XLOOKUP(C549,'Ocupação DW'!$F:$F,'Ocupação DW'!$E:$E,"",0)</f>
        <v/>
      </c>
      <c r="H549" t="str">
        <f>Vagas[[#This Row],[data]]&amp;Vagas[[#This Row],[profissional_id]]&amp;Vagas[[#This Row],[local_id]]</f>
        <v>4463817883</v>
      </c>
    </row>
    <row r="550" spans="1:8" x14ac:dyDescent="0.25">
      <c r="A550" s="2">
        <v>44638</v>
      </c>
      <c r="B550">
        <v>17883</v>
      </c>
      <c r="C550">
        <v>351</v>
      </c>
      <c r="D550">
        <v>0</v>
      </c>
      <c r="E550">
        <v>0</v>
      </c>
      <c r="F550" s="1">
        <f t="shared" si="8"/>
        <v>11</v>
      </c>
      <c r="G550" s="1" t="str">
        <f>_xlfn.XLOOKUP(C550,'Ocupação DW'!$F:$F,'Ocupação DW'!$E:$E,"",0)</f>
        <v>SEG - FILIAL I</v>
      </c>
      <c r="H550" t="str">
        <f>Vagas[[#This Row],[data]]&amp;Vagas[[#This Row],[profissional_id]]&amp;Vagas[[#This Row],[local_id]]</f>
        <v>4463817883351</v>
      </c>
    </row>
    <row r="551" spans="1:8" x14ac:dyDescent="0.25">
      <c r="A551" s="2">
        <v>44638</v>
      </c>
      <c r="B551">
        <v>17885</v>
      </c>
      <c r="D551">
        <v>0</v>
      </c>
      <c r="E551">
        <v>0</v>
      </c>
      <c r="F551" s="1">
        <f t="shared" si="8"/>
        <v>0</v>
      </c>
      <c r="G551" s="1" t="str">
        <f>_xlfn.XLOOKUP(C551,'Ocupação DW'!$F:$F,'Ocupação DW'!$E:$E,"",0)</f>
        <v/>
      </c>
      <c r="H551" t="str">
        <f>Vagas[[#This Row],[data]]&amp;Vagas[[#This Row],[profissional_id]]&amp;Vagas[[#This Row],[local_id]]</f>
        <v>4463817885</v>
      </c>
    </row>
    <row r="552" spans="1:8" x14ac:dyDescent="0.25">
      <c r="A552" s="2">
        <v>44638</v>
      </c>
      <c r="B552">
        <v>17885</v>
      </c>
      <c r="C552">
        <v>23</v>
      </c>
      <c r="D552">
        <v>61</v>
      </c>
      <c r="E552">
        <v>0</v>
      </c>
      <c r="F552" s="1">
        <f t="shared" si="8"/>
        <v>0</v>
      </c>
      <c r="G552" s="1" t="str">
        <f>_xlfn.XLOOKUP(C552,'Ocupação DW'!$F:$F,'Ocupação DW'!$E:$E,"",0)</f>
        <v/>
      </c>
      <c r="H552" t="str">
        <f>Vagas[[#This Row],[data]]&amp;Vagas[[#This Row],[profissional_id]]&amp;Vagas[[#This Row],[local_id]]</f>
        <v>446381788523</v>
      </c>
    </row>
    <row r="553" spans="1:8" x14ac:dyDescent="0.25">
      <c r="A553" s="2">
        <v>44638</v>
      </c>
      <c r="B553">
        <v>17886</v>
      </c>
      <c r="C553">
        <v>84</v>
      </c>
      <c r="D553">
        <v>36</v>
      </c>
      <c r="E553">
        <v>0</v>
      </c>
      <c r="F553" s="1">
        <f t="shared" si="8"/>
        <v>0</v>
      </c>
      <c r="G553" s="1" t="str">
        <f>_xlfn.XLOOKUP(C553,'Ocupação DW'!$F:$F,'Ocupação DW'!$E:$E,"",0)</f>
        <v/>
      </c>
      <c r="H553" t="str">
        <f>Vagas[[#This Row],[data]]&amp;Vagas[[#This Row],[profissional_id]]&amp;Vagas[[#This Row],[local_id]]</f>
        <v>446381788684</v>
      </c>
    </row>
    <row r="554" spans="1:8" x14ac:dyDescent="0.25">
      <c r="A554" s="2">
        <v>44638</v>
      </c>
      <c r="B554">
        <v>17887</v>
      </c>
      <c r="C554">
        <v>58</v>
      </c>
      <c r="D554">
        <v>60</v>
      </c>
      <c r="E554">
        <v>0</v>
      </c>
      <c r="F554" s="1">
        <f t="shared" si="8"/>
        <v>0</v>
      </c>
      <c r="G554" s="1" t="str">
        <f>_xlfn.XLOOKUP(C554,'Ocupação DW'!$F:$F,'Ocupação DW'!$E:$E,"",0)</f>
        <v/>
      </c>
      <c r="H554" t="str">
        <f>Vagas[[#This Row],[data]]&amp;Vagas[[#This Row],[profissional_id]]&amp;Vagas[[#This Row],[local_id]]</f>
        <v>446381788758</v>
      </c>
    </row>
    <row r="555" spans="1:8" x14ac:dyDescent="0.25">
      <c r="A555" s="2">
        <v>44638</v>
      </c>
      <c r="B555">
        <v>17888</v>
      </c>
      <c r="C555">
        <v>40</v>
      </c>
      <c r="D555">
        <v>21</v>
      </c>
      <c r="E555">
        <v>0</v>
      </c>
      <c r="F555" s="1">
        <f t="shared" si="8"/>
        <v>0</v>
      </c>
      <c r="G555" s="1" t="str">
        <f>_xlfn.XLOOKUP(C555,'Ocupação DW'!$F:$F,'Ocupação DW'!$E:$E,"",0)</f>
        <v>SEG - FILIAL I</v>
      </c>
      <c r="H555" t="str">
        <f>Vagas[[#This Row],[data]]&amp;Vagas[[#This Row],[profissional_id]]&amp;Vagas[[#This Row],[local_id]]</f>
        <v>446381788840</v>
      </c>
    </row>
    <row r="556" spans="1:8" x14ac:dyDescent="0.25">
      <c r="A556" s="2">
        <v>44638</v>
      </c>
      <c r="B556">
        <v>17889</v>
      </c>
      <c r="C556">
        <v>59</v>
      </c>
      <c r="D556">
        <v>24</v>
      </c>
      <c r="E556">
        <v>0</v>
      </c>
      <c r="F556" s="1">
        <f t="shared" si="8"/>
        <v>0</v>
      </c>
      <c r="G556" s="1" t="str">
        <f>_xlfn.XLOOKUP(C556,'Ocupação DW'!$F:$F,'Ocupação DW'!$E:$E,"",0)</f>
        <v>SEG - NILÓPOLIS</v>
      </c>
      <c r="H556" t="str">
        <f>Vagas[[#This Row],[data]]&amp;Vagas[[#This Row],[profissional_id]]&amp;Vagas[[#This Row],[local_id]]</f>
        <v>446381788959</v>
      </c>
    </row>
    <row r="557" spans="1:8" x14ac:dyDescent="0.25">
      <c r="A557" s="2">
        <v>44638</v>
      </c>
      <c r="B557">
        <v>17890</v>
      </c>
      <c r="C557">
        <v>4</v>
      </c>
      <c r="D557">
        <v>8</v>
      </c>
      <c r="E557">
        <v>0</v>
      </c>
      <c r="F557" s="1">
        <f t="shared" si="8"/>
        <v>0</v>
      </c>
      <c r="G557" s="1" t="str">
        <f>_xlfn.XLOOKUP(C557,'Ocupação DW'!$F:$F,'Ocupação DW'!$E:$E,"",0)</f>
        <v>SEG - FILIAL II 10°</v>
      </c>
      <c r="H557" t="str">
        <f>Vagas[[#This Row],[data]]&amp;Vagas[[#This Row],[profissional_id]]&amp;Vagas[[#This Row],[local_id]]</f>
        <v>44638178904</v>
      </c>
    </row>
    <row r="558" spans="1:8" x14ac:dyDescent="0.25">
      <c r="A558" s="2">
        <v>44638</v>
      </c>
      <c r="B558">
        <v>17891</v>
      </c>
      <c r="C558">
        <v>76</v>
      </c>
      <c r="D558">
        <v>1</v>
      </c>
      <c r="E558">
        <v>0</v>
      </c>
      <c r="F558" s="1">
        <f t="shared" si="8"/>
        <v>0</v>
      </c>
      <c r="G558" s="1" t="str">
        <f>_xlfn.XLOOKUP(C558,'Ocupação DW'!$F:$F,'Ocupação DW'!$E:$E,"",0)</f>
        <v>SEG - MIGUEL COUTO</v>
      </c>
      <c r="H558" t="str">
        <f>Vagas[[#This Row],[data]]&amp;Vagas[[#This Row],[profissional_id]]&amp;Vagas[[#This Row],[local_id]]</f>
        <v>446381789176</v>
      </c>
    </row>
    <row r="559" spans="1:8" x14ac:dyDescent="0.25">
      <c r="A559" s="2">
        <v>44638</v>
      </c>
      <c r="B559">
        <v>17892</v>
      </c>
      <c r="D559">
        <v>0</v>
      </c>
      <c r="E559">
        <v>0</v>
      </c>
      <c r="F559" s="1">
        <f t="shared" si="8"/>
        <v>0</v>
      </c>
      <c r="G559" s="1" t="str">
        <f>_xlfn.XLOOKUP(C559,'Ocupação DW'!$F:$F,'Ocupação DW'!$E:$E,"",0)</f>
        <v/>
      </c>
      <c r="H559" t="str">
        <f>Vagas[[#This Row],[data]]&amp;Vagas[[#This Row],[profissional_id]]&amp;Vagas[[#This Row],[local_id]]</f>
        <v>4463817892</v>
      </c>
    </row>
    <row r="560" spans="1:8" x14ac:dyDescent="0.25">
      <c r="A560" s="2">
        <v>44638</v>
      </c>
      <c r="B560">
        <v>17892</v>
      </c>
      <c r="C560">
        <v>55</v>
      </c>
      <c r="D560">
        <v>3</v>
      </c>
      <c r="E560">
        <v>0</v>
      </c>
      <c r="F560" s="1">
        <f t="shared" si="8"/>
        <v>0</v>
      </c>
      <c r="G560" s="1" t="str">
        <f>_xlfn.XLOOKUP(C560,'Ocupação DW'!$F:$F,'Ocupação DW'!$E:$E,"",0)</f>
        <v>SEG - NILÓPOLIS</v>
      </c>
      <c r="H560" t="str">
        <f>Vagas[[#This Row],[data]]&amp;Vagas[[#This Row],[profissional_id]]&amp;Vagas[[#This Row],[local_id]]</f>
        <v>446381789255</v>
      </c>
    </row>
    <row r="561" spans="1:8" x14ac:dyDescent="0.25">
      <c r="A561" s="2">
        <v>44638</v>
      </c>
      <c r="B561">
        <v>17893</v>
      </c>
      <c r="C561">
        <v>4</v>
      </c>
      <c r="D561">
        <v>6</v>
      </c>
      <c r="E561">
        <v>0</v>
      </c>
      <c r="F561" s="1">
        <f t="shared" si="8"/>
        <v>0</v>
      </c>
      <c r="G561" s="1" t="str">
        <f>_xlfn.XLOOKUP(C561,'Ocupação DW'!$F:$F,'Ocupação DW'!$E:$E,"",0)</f>
        <v>SEG - FILIAL II 10°</v>
      </c>
      <c r="H561" t="str">
        <f>Vagas[[#This Row],[data]]&amp;Vagas[[#This Row],[profissional_id]]&amp;Vagas[[#This Row],[local_id]]</f>
        <v>44638178934</v>
      </c>
    </row>
    <row r="562" spans="1:8" x14ac:dyDescent="0.25">
      <c r="A562" s="2">
        <v>44638</v>
      </c>
      <c r="B562">
        <v>17894</v>
      </c>
      <c r="C562">
        <v>76</v>
      </c>
      <c r="D562">
        <v>1</v>
      </c>
      <c r="E562">
        <v>0</v>
      </c>
      <c r="F562" s="1">
        <f t="shared" si="8"/>
        <v>0</v>
      </c>
      <c r="G562" s="1" t="str">
        <f>_xlfn.XLOOKUP(C562,'Ocupação DW'!$F:$F,'Ocupação DW'!$E:$E,"",0)</f>
        <v>SEG - MIGUEL COUTO</v>
      </c>
      <c r="H562" t="str">
        <f>Vagas[[#This Row],[data]]&amp;Vagas[[#This Row],[profissional_id]]&amp;Vagas[[#This Row],[local_id]]</f>
        <v>446381789476</v>
      </c>
    </row>
    <row r="563" spans="1:8" x14ac:dyDescent="0.25">
      <c r="A563" s="2">
        <v>44638</v>
      </c>
      <c r="B563">
        <v>17895</v>
      </c>
      <c r="C563">
        <v>55</v>
      </c>
      <c r="D563">
        <v>2</v>
      </c>
      <c r="E563">
        <v>0</v>
      </c>
      <c r="F563" s="1">
        <f t="shared" si="8"/>
        <v>0</v>
      </c>
      <c r="G563" s="1" t="str">
        <f>_xlfn.XLOOKUP(C563,'Ocupação DW'!$F:$F,'Ocupação DW'!$E:$E,"",0)</f>
        <v>SEG - NILÓPOLIS</v>
      </c>
      <c r="H563" t="str">
        <f>Vagas[[#This Row],[data]]&amp;Vagas[[#This Row],[profissional_id]]&amp;Vagas[[#This Row],[local_id]]</f>
        <v>446381789555</v>
      </c>
    </row>
    <row r="564" spans="1:8" x14ac:dyDescent="0.25">
      <c r="A564" s="2">
        <v>44638</v>
      </c>
      <c r="B564">
        <v>17898</v>
      </c>
      <c r="C564">
        <v>35</v>
      </c>
      <c r="D564">
        <v>78</v>
      </c>
      <c r="E564">
        <v>0</v>
      </c>
      <c r="F564" s="1">
        <f t="shared" si="8"/>
        <v>0</v>
      </c>
      <c r="G564" s="1" t="str">
        <f>_xlfn.XLOOKUP(C564,'Ocupação DW'!$F:$F,'Ocupação DW'!$E:$E,"",0)</f>
        <v/>
      </c>
      <c r="H564" t="str">
        <f>Vagas[[#This Row],[data]]&amp;Vagas[[#This Row],[profissional_id]]&amp;Vagas[[#This Row],[local_id]]</f>
        <v>446381789835</v>
      </c>
    </row>
    <row r="565" spans="1:8" x14ac:dyDescent="0.25">
      <c r="A565" s="2">
        <v>44638</v>
      </c>
      <c r="B565">
        <v>17899</v>
      </c>
      <c r="C565">
        <v>3</v>
      </c>
      <c r="D565">
        <v>66</v>
      </c>
      <c r="E565">
        <v>0</v>
      </c>
      <c r="F565" s="1">
        <f t="shared" si="8"/>
        <v>0</v>
      </c>
      <c r="G565" s="1" t="str">
        <f>_xlfn.XLOOKUP(C565,'Ocupação DW'!$F:$F,'Ocupação DW'!$E:$E,"",0)</f>
        <v>SEG - FILIAL II 10°</v>
      </c>
      <c r="H565" t="str">
        <f>Vagas[[#This Row],[data]]&amp;Vagas[[#This Row],[profissional_id]]&amp;Vagas[[#This Row],[local_id]]</f>
        <v>44638178993</v>
      </c>
    </row>
    <row r="566" spans="1:8" x14ac:dyDescent="0.25">
      <c r="A566" s="2">
        <v>44638</v>
      </c>
      <c r="B566">
        <v>17900</v>
      </c>
      <c r="C566">
        <v>77</v>
      </c>
      <c r="D566">
        <v>60</v>
      </c>
      <c r="E566">
        <v>0</v>
      </c>
      <c r="F566" s="1">
        <f t="shared" si="8"/>
        <v>0</v>
      </c>
      <c r="G566" s="1" t="str">
        <f>_xlfn.XLOOKUP(C566,'Ocupação DW'!$F:$F,'Ocupação DW'!$E:$E,"",0)</f>
        <v/>
      </c>
      <c r="H566" t="str">
        <f>Vagas[[#This Row],[data]]&amp;Vagas[[#This Row],[profissional_id]]&amp;Vagas[[#This Row],[local_id]]</f>
        <v>446381790077</v>
      </c>
    </row>
    <row r="567" spans="1:8" x14ac:dyDescent="0.25">
      <c r="A567" s="2">
        <v>44638</v>
      </c>
      <c r="B567">
        <v>17901</v>
      </c>
      <c r="C567">
        <v>55</v>
      </c>
      <c r="D567">
        <v>66</v>
      </c>
      <c r="E567">
        <v>0</v>
      </c>
      <c r="F567" s="1">
        <f t="shared" si="8"/>
        <v>0</v>
      </c>
      <c r="G567" s="1" t="str">
        <f>_xlfn.XLOOKUP(C567,'Ocupação DW'!$F:$F,'Ocupação DW'!$E:$E,"",0)</f>
        <v>SEG - NILÓPOLIS</v>
      </c>
      <c r="H567" t="str">
        <f>Vagas[[#This Row],[data]]&amp;Vagas[[#This Row],[profissional_id]]&amp;Vagas[[#This Row],[local_id]]</f>
        <v>446381790155</v>
      </c>
    </row>
    <row r="568" spans="1:8" x14ac:dyDescent="0.25">
      <c r="A568" s="2">
        <v>44638</v>
      </c>
      <c r="B568">
        <v>17902</v>
      </c>
      <c r="C568">
        <v>39</v>
      </c>
      <c r="D568">
        <v>51</v>
      </c>
      <c r="E568">
        <v>0</v>
      </c>
      <c r="F568" s="1">
        <f t="shared" si="8"/>
        <v>0</v>
      </c>
      <c r="G568" s="1" t="str">
        <f>_xlfn.XLOOKUP(C568,'Ocupação DW'!$F:$F,'Ocupação DW'!$E:$E,"",0)</f>
        <v>SEG - FILIAL I</v>
      </c>
      <c r="H568" t="str">
        <f>Vagas[[#This Row],[data]]&amp;Vagas[[#This Row],[profissional_id]]&amp;Vagas[[#This Row],[local_id]]</f>
        <v>446381790239</v>
      </c>
    </row>
    <row r="569" spans="1:8" x14ac:dyDescent="0.25">
      <c r="A569" s="2">
        <v>44638</v>
      </c>
      <c r="B569">
        <v>17903</v>
      </c>
      <c r="D569">
        <v>0</v>
      </c>
      <c r="E569">
        <v>0</v>
      </c>
      <c r="F569" s="1">
        <f t="shared" si="8"/>
        <v>0</v>
      </c>
      <c r="G569" s="1" t="str">
        <f>_xlfn.XLOOKUP(C569,'Ocupação DW'!$F:$F,'Ocupação DW'!$E:$E,"",0)</f>
        <v/>
      </c>
      <c r="H569" t="str">
        <f>Vagas[[#This Row],[data]]&amp;Vagas[[#This Row],[profissional_id]]&amp;Vagas[[#This Row],[local_id]]</f>
        <v>4463817903</v>
      </c>
    </row>
    <row r="570" spans="1:8" x14ac:dyDescent="0.25">
      <c r="A570" s="2">
        <v>44638</v>
      </c>
      <c r="B570">
        <v>17904</v>
      </c>
      <c r="D570">
        <v>0</v>
      </c>
      <c r="E570">
        <v>0</v>
      </c>
      <c r="F570" s="1">
        <f t="shared" si="8"/>
        <v>0</v>
      </c>
      <c r="G570" s="1" t="str">
        <f>_xlfn.XLOOKUP(C570,'Ocupação DW'!$F:$F,'Ocupação DW'!$E:$E,"",0)</f>
        <v/>
      </c>
      <c r="H570" t="str">
        <f>Vagas[[#This Row],[data]]&amp;Vagas[[#This Row],[profissional_id]]&amp;Vagas[[#This Row],[local_id]]</f>
        <v>4463817904</v>
      </c>
    </row>
    <row r="571" spans="1:8" x14ac:dyDescent="0.25">
      <c r="A571" s="2">
        <v>44638</v>
      </c>
      <c r="B571">
        <v>17907</v>
      </c>
      <c r="C571">
        <v>55</v>
      </c>
      <c r="D571">
        <v>14</v>
      </c>
      <c r="E571">
        <v>0</v>
      </c>
      <c r="F571" s="1">
        <f t="shared" si="8"/>
        <v>0</v>
      </c>
      <c r="G571" s="1" t="str">
        <f>_xlfn.XLOOKUP(C571,'Ocupação DW'!$F:$F,'Ocupação DW'!$E:$E,"",0)</f>
        <v>SEG - NILÓPOLIS</v>
      </c>
      <c r="H571" t="str">
        <f>Vagas[[#This Row],[data]]&amp;Vagas[[#This Row],[profissional_id]]&amp;Vagas[[#This Row],[local_id]]</f>
        <v>446381790755</v>
      </c>
    </row>
    <row r="572" spans="1:8" x14ac:dyDescent="0.25">
      <c r="A572" s="2">
        <v>44638</v>
      </c>
      <c r="B572">
        <v>17908</v>
      </c>
      <c r="C572">
        <v>25</v>
      </c>
      <c r="D572">
        <v>14</v>
      </c>
      <c r="E572">
        <v>0</v>
      </c>
      <c r="F572" s="1">
        <f t="shared" si="8"/>
        <v>0</v>
      </c>
      <c r="G572" s="1" t="str">
        <f>_xlfn.XLOOKUP(C572,'Ocupação DW'!$F:$F,'Ocupação DW'!$E:$E,"",0)</f>
        <v>SEG - MATRIZ</v>
      </c>
      <c r="H572" t="str">
        <f>Vagas[[#This Row],[data]]&amp;Vagas[[#This Row],[profissional_id]]&amp;Vagas[[#This Row],[local_id]]</f>
        <v>446381790825</v>
      </c>
    </row>
    <row r="573" spans="1:8" x14ac:dyDescent="0.25">
      <c r="A573" s="2">
        <v>44638</v>
      </c>
      <c r="B573">
        <v>17909</v>
      </c>
      <c r="C573">
        <v>4</v>
      </c>
      <c r="D573">
        <v>0</v>
      </c>
      <c r="E573">
        <v>0</v>
      </c>
      <c r="F573" s="1">
        <f t="shared" si="8"/>
        <v>0</v>
      </c>
      <c r="G573" s="1" t="str">
        <f>_xlfn.XLOOKUP(C573,'Ocupação DW'!$F:$F,'Ocupação DW'!$E:$E,"",0)</f>
        <v>SEG - FILIAL II 10°</v>
      </c>
      <c r="H573" t="str">
        <f>Vagas[[#This Row],[data]]&amp;Vagas[[#This Row],[profissional_id]]&amp;Vagas[[#This Row],[local_id]]</f>
        <v>44638179094</v>
      </c>
    </row>
    <row r="574" spans="1:8" x14ac:dyDescent="0.25">
      <c r="A574" s="2">
        <v>44638</v>
      </c>
      <c r="B574">
        <v>17922</v>
      </c>
      <c r="D574">
        <v>133</v>
      </c>
      <c r="E574">
        <v>0</v>
      </c>
      <c r="F574" s="1">
        <f t="shared" si="8"/>
        <v>0</v>
      </c>
      <c r="G574" s="1" t="str">
        <f>_xlfn.XLOOKUP(C574,'Ocupação DW'!$F:$F,'Ocupação DW'!$E:$E,"",0)</f>
        <v/>
      </c>
      <c r="H574" t="str">
        <f>Vagas[[#This Row],[data]]&amp;Vagas[[#This Row],[profissional_id]]&amp;Vagas[[#This Row],[local_id]]</f>
        <v>4463817922</v>
      </c>
    </row>
    <row r="575" spans="1:8" x14ac:dyDescent="0.25">
      <c r="A575" s="2">
        <v>44638</v>
      </c>
      <c r="B575">
        <v>17922</v>
      </c>
      <c r="C575">
        <v>74</v>
      </c>
      <c r="D575">
        <v>133</v>
      </c>
      <c r="E575">
        <v>0</v>
      </c>
      <c r="F575" s="1">
        <f t="shared" si="8"/>
        <v>0</v>
      </c>
      <c r="G575" s="1" t="str">
        <f>_xlfn.XLOOKUP(C575,'Ocupação DW'!$F:$F,'Ocupação DW'!$E:$E,"",0)</f>
        <v/>
      </c>
      <c r="H575" t="str">
        <f>Vagas[[#This Row],[data]]&amp;Vagas[[#This Row],[profissional_id]]&amp;Vagas[[#This Row],[local_id]]</f>
        <v>446381792274</v>
      </c>
    </row>
    <row r="576" spans="1:8" x14ac:dyDescent="0.25">
      <c r="A576" s="2">
        <v>44638</v>
      </c>
      <c r="B576">
        <v>17924</v>
      </c>
      <c r="C576">
        <v>52</v>
      </c>
      <c r="D576">
        <v>133</v>
      </c>
      <c r="E576">
        <v>0</v>
      </c>
      <c r="F576" s="1">
        <f t="shared" si="8"/>
        <v>0</v>
      </c>
      <c r="G576" s="1" t="str">
        <f>_xlfn.XLOOKUP(C576,'Ocupação DW'!$F:$F,'Ocupação DW'!$E:$E,"",0)</f>
        <v/>
      </c>
      <c r="H576" t="str">
        <f>Vagas[[#This Row],[data]]&amp;Vagas[[#This Row],[profissional_id]]&amp;Vagas[[#This Row],[local_id]]</f>
        <v>446381792452</v>
      </c>
    </row>
    <row r="577" spans="1:8" x14ac:dyDescent="0.25">
      <c r="A577" s="2">
        <v>44638</v>
      </c>
      <c r="D577">
        <v>0</v>
      </c>
      <c r="E577">
        <v>0</v>
      </c>
      <c r="F577" s="1">
        <f t="shared" si="8"/>
        <v>0</v>
      </c>
      <c r="G577" s="1" t="str">
        <f>_xlfn.XLOOKUP(C577,'Ocupação DW'!$F:$F,'Ocupação DW'!$E:$E,"",0)</f>
        <v/>
      </c>
      <c r="H577" t="str">
        <f>Vagas[[#This Row],[data]]&amp;Vagas[[#This Row],[profissional_id]]&amp;Vagas[[#This Row],[local_id]]</f>
        <v>44638</v>
      </c>
    </row>
    <row r="578" spans="1:8" x14ac:dyDescent="0.25">
      <c r="A578" s="2">
        <v>44638</v>
      </c>
      <c r="D578">
        <v>0</v>
      </c>
      <c r="E578">
        <v>0</v>
      </c>
      <c r="F578" s="1">
        <f t="shared" ref="F578:F641" si="9">IF(AND(A578=A577,B578=B577,D577&lt;&gt;0,D578=0),D577,0)</f>
        <v>0</v>
      </c>
      <c r="G578" s="1" t="str">
        <f>_xlfn.XLOOKUP(C578,'Ocupação DW'!$F:$F,'Ocupação DW'!$E:$E,"",0)</f>
        <v/>
      </c>
      <c r="H578" t="str">
        <f>Vagas[[#This Row],[data]]&amp;Vagas[[#This Row],[profissional_id]]&amp;Vagas[[#This Row],[local_id]]</f>
        <v>44638</v>
      </c>
    </row>
    <row r="579" spans="1:8" x14ac:dyDescent="0.25">
      <c r="A579" s="2">
        <v>44638</v>
      </c>
      <c r="D579">
        <v>0</v>
      </c>
      <c r="E579">
        <v>0</v>
      </c>
      <c r="F579" s="1">
        <f t="shared" si="9"/>
        <v>0</v>
      </c>
      <c r="G579" s="1" t="str">
        <f>_xlfn.XLOOKUP(C579,'Ocupação DW'!$F:$F,'Ocupação DW'!$E:$E,"",0)</f>
        <v/>
      </c>
      <c r="H579" t="str">
        <f>Vagas[[#This Row],[data]]&amp;Vagas[[#This Row],[profissional_id]]&amp;Vagas[[#This Row],[local_id]]</f>
        <v>44638</v>
      </c>
    </row>
    <row r="580" spans="1:8" x14ac:dyDescent="0.25">
      <c r="A580" s="2">
        <v>44639</v>
      </c>
      <c r="B580">
        <v>54</v>
      </c>
      <c r="D580">
        <v>7</v>
      </c>
      <c r="E580">
        <v>0</v>
      </c>
      <c r="F580" s="1">
        <f t="shared" si="9"/>
        <v>0</v>
      </c>
      <c r="G580" s="1" t="str">
        <f>_xlfn.XLOOKUP(C580,'Ocupação DW'!$F:$F,'Ocupação DW'!$E:$E,"",0)</f>
        <v/>
      </c>
      <c r="H580" t="str">
        <f>Vagas[[#This Row],[data]]&amp;Vagas[[#This Row],[profissional_id]]&amp;Vagas[[#This Row],[local_id]]</f>
        <v>4463954</v>
      </c>
    </row>
    <row r="581" spans="1:8" x14ac:dyDescent="0.25">
      <c r="A581" s="2">
        <v>44639</v>
      </c>
      <c r="B581">
        <v>54</v>
      </c>
      <c r="C581">
        <v>50</v>
      </c>
      <c r="D581">
        <v>7</v>
      </c>
      <c r="E581">
        <v>0</v>
      </c>
      <c r="F581" s="1">
        <f t="shared" si="9"/>
        <v>0</v>
      </c>
      <c r="G581" s="1" t="str">
        <f>_xlfn.XLOOKUP(C581,'Ocupação DW'!$F:$F,'Ocupação DW'!$E:$E,"",0)</f>
        <v>SEG - FILIAL I</v>
      </c>
      <c r="H581" t="str">
        <f>Vagas[[#This Row],[data]]&amp;Vagas[[#This Row],[profissional_id]]&amp;Vagas[[#This Row],[local_id]]</f>
        <v>446395450</v>
      </c>
    </row>
    <row r="582" spans="1:8" x14ac:dyDescent="0.25">
      <c r="A582" s="2">
        <v>44639</v>
      </c>
      <c r="B582">
        <v>55</v>
      </c>
      <c r="D582">
        <v>0</v>
      </c>
      <c r="E582">
        <v>0</v>
      </c>
      <c r="F582" s="1">
        <f t="shared" si="9"/>
        <v>0</v>
      </c>
      <c r="G582" s="1" t="str">
        <f>_xlfn.XLOOKUP(C582,'Ocupação DW'!$F:$F,'Ocupação DW'!$E:$E,"",0)</f>
        <v/>
      </c>
      <c r="H582" t="str">
        <f>Vagas[[#This Row],[data]]&amp;Vagas[[#This Row],[profissional_id]]&amp;Vagas[[#This Row],[local_id]]</f>
        <v>4463955</v>
      </c>
    </row>
    <row r="583" spans="1:8" x14ac:dyDescent="0.25">
      <c r="A583" s="2">
        <v>44639</v>
      </c>
      <c r="B583">
        <v>57</v>
      </c>
      <c r="C583">
        <v>2</v>
      </c>
      <c r="D583">
        <v>0</v>
      </c>
      <c r="E583">
        <v>0</v>
      </c>
      <c r="F583" s="1">
        <f t="shared" si="9"/>
        <v>0</v>
      </c>
      <c r="G583" s="1" t="str">
        <f>_xlfn.XLOOKUP(C583,'Ocupação DW'!$F:$F,'Ocupação DW'!$E:$E,"",0)</f>
        <v>SEG - FILIAL II 10°</v>
      </c>
      <c r="H583" t="str">
        <f>Vagas[[#This Row],[data]]&amp;Vagas[[#This Row],[profissional_id]]&amp;Vagas[[#This Row],[local_id]]</f>
        <v>44639572</v>
      </c>
    </row>
    <row r="584" spans="1:8" x14ac:dyDescent="0.25">
      <c r="A584" s="2">
        <v>44639</v>
      </c>
      <c r="B584">
        <v>59</v>
      </c>
      <c r="D584">
        <v>0</v>
      </c>
      <c r="E584">
        <v>0</v>
      </c>
      <c r="F584" s="1">
        <f t="shared" si="9"/>
        <v>0</v>
      </c>
      <c r="G584" s="1" t="str">
        <f>_xlfn.XLOOKUP(C584,'Ocupação DW'!$F:$F,'Ocupação DW'!$E:$E,"",0)</f>
        <v/>
      </c>
      <c r="H584" t="str">
        <f>Vagas[[#This Row],[data]]&amp;Vagas[[#This Row],[profissional_id]]&amp;Vagas[[#This Row],[local_id]]</f>
        <v>4463959</v>
      </c>
    </row>
    <row r="585" spans="1:8" x14ac:dyDescent="0.25">
      <c r="A585" s="2">
        <v>44639</v>
      </c>
      <c r="B585">
        <v>60</v>
      </c>
      <c r="D585">
        <v>7</v>
      </c>
      <c r="E585">
        <v>0</v>
      </c>
      <c r="F585" s="1">
        <f t="shared" si="9"/>
        <v>0</v>
      </c>
      <c r="G585" s="1" t="str">
        <f>_xlfn.XLOOKUP(C585,'Ocupação DW'!$F:$F,'Ocupação DW'!$E:$E,"",0)</f>
        <v/>
      </c>
      <c r="H585" t="str">
        <f>Vagas[[#This Row],[data]]&amp;Vagas[[#This Row],[profissional_id]]&amp;Vagas[[#This Row],[local_id]]</f>
        <v>4463960</v>
      </c>
    </row>
    <row r="586" spans="1:8" x14ac:dyDescent="0.25">
      <c r="A586" s="2">
        <v>44639</v>
      </c>
      <c r="B586">
        <v>60</v>
      </c>
      <c r="C586">
        <v>8</v>
      </c>
      <c r="D586">
        <v>0</v>
      </c>
      <c r="E586">
        <v>0</v>
      </c>
      <c r="F586" s="1">
        <f t="shared" si="9"/>
        <v>7</v>
      </c>
      <c r="G586" s="1" t="str">
        <f>_xlfn.XLOOKUP(C586,'Ocupação DW'!$F:$F,'Ocupação DW'!$E:$E,"",0)</f>
        <v>SEG - FILIAL II 10°</v>
      </c>
      <c r="H586" t="str">
        <f>Vagas[[#This Row],[data]]&amp;Vagas[[#This Row],[profissional_id]]&amp;Vagas[[#This Row],[local_id]]</f>
        <v>44639608</v>
      </c>
    </row>
    <row r="587" spans="1:8" x14ac:dyDescent="0.25">
      <c r="A587" s="2">
        <v>44639</v>
      </c>
      <c r="B587">
        <v>60</v>
      </c>
      <c r="C587">
        <v>6</v>
      </c>
      <c r="D587">
        <v>0</v>
      </c>
      <c r="E587">
        <v>0</v>
      </c>
      <c r="F587" s="1">
        <f t="shared" si="9"/>
        <v>0</v>
      </c>
      <c r="G587" s="1" t="str">
        <f>_xlfn.XLOOKUP(C587,'Ocupação DW'!$F:$F,'Ocupação DW'!$E:$E,"",0)</f>
        <v>SEG - FILIAL II 10°</v>
      </c>
      <c r="H587" t="str">
        <f>Vagas[[#This Row],[data]]&amp;Vagas[[#This Row],[profissional_id]]&amp;Vagas[[#This Row],[local_id]]</f>
        <v>44639606</v>
      </c>
    </row>
    <row r="588" spans="1:8" x14ac:dyDescent="0.25">
      <c r="A588" s="2">
        <v>44639</v>
      </c>
      <c r="B588">
        <v>66</v>
      </c>
      <c r="D588">
        <v>61</v>
      </c>
      <c r="E588">
        <v>0</v>
      </c>
      <c r="F588" s="1">
        <f t="shared" si="9"/>
        <v>0</v>
      </c>
      <c r="G588" s="1" t="str">
        <f>_xlfn.XLOOKUP(C588,'Ocupação DW'!$F:$F,'Ocupação DW'!$E:$E,"",0)</f>
        <v/>
      </c>
      <c r="H588" t="str">
        <f>Vagas[[#This Row],[data]]&amp;Vagas[[#This Row],[profissional_id]]&amp;Vagas[[#This Row],[local_id]]</f>
        <v>4463966</v>
      </c>
    </row>
    <row r="589" spans="1:8" x14ac:dyDescent="0.25">
      <c r="A589" s="2">
        <v>44639</v>
      </c>
      <c r="B589">
        <v>66</v>
      </c>
      <c r="C589">
        <v>345</v>
      </c>
      <c r="D589">
        <v>72</v>
      </c>
      <c r="E589">
        <v>0</v>
      </c>
      <c r="F589" s="1">
        <f t="shared" si="9"/>
        <v>0</v>
      </c>
      <c r="G589" s="1" t="str">
        <f>_xlfn.XLOOKUP(C589,'Ocupação DW'!$F:$F,'Ocupação DW'!$E:$E,"",0)</f>
        <v>SEG - MATRIZ</v>
      </c>
      <c r="H589" t="str">
        <f>Vagas[[#This Row],[data]]&amp;Vagas[[#This Row],[profissional_id]]&amp;Vagas[[#This Row],[local_id]]</f>
        <v>4463966345</v>
      </c>
    </row>
    <row r="590" spans="1:8" x14ac:dyDescent="0.25">
      <c r="A590" s="2">
        <v>44639</v>
      </c>
      <c r="B590">
        <v>69</v>
      </c>
      <c r="D590">
        <v>0</v>
      </c>
      <c r="E590">
        <v>0</v>
      </c>
      <c r="F590" s="1">
        <f t="shared" si="9"/>
        <v>0</v>
      </c>
      <c r="G590" s="1" t="str">
        <f>_xlfn.XLOOKUP(C590,'Ocupação DW'!$F:$F,'Ocupação DW'!$E:$E,"",0)</f>
        <v/>
      </c>
      <c r="H590" t="str">
        <f>Vagas[[#This Row],[data]]&amp;Vagas[[#This Row],[profissional_id]]&amp;Vagas[[#This Row],[local_id]]</f>
        <v>4463969</v>
      </c>
    </row>
    <row r="591" spans="1:8" x14ac:dyDescent="0.25">
      <c r="A591" s="2">
        <v>44639</v>
      </c>
      <c r="B591">
        <v>70</v>
      </c>
      <c r="D591">
        <v>13</v>
      </c>
      <c r="E591">
        <v>0</v>
      </c>
      <c r="F591" s="1">
        <f t="shared" si="9"/>
        <v>0</v>
      </c>
      <c r="G591" s="1" t="str">
        <f>_xlfn.XLOOKUP(C591,'Ocupação DW'!$F:$F,'Ocupação DW'!$E:$E,"",0)</f>
        <v/>
      </c>
      <c r="H591" t="str">
        <f>Vagas[[#This Row],[data]]&amp;Vagas[[#This Row],[profissional_id]]&amp;Vagas[[#This Row],[local_id]]</f>
        <v>4463970</v>
      </c>
    </row>
    <row r="592" spans="1:8" x14ac:dyDescent="0.25">
      <c r="A592" s="2">
        <v>44639</v>
      </c>
      <c r="B592">
        <v>70</v>
      </c>
      <c r="C592">
        <v>13</v>
      </c>
      <c r="D592">
        <v>0</v>
      </c>
      <c r="E592">
        <v>0</v>
      </c>
      <c r="F592" s="1">
        <f t="shared" si="9"/>
        <v>13</v>
      </c>
      <c r="G592" s="1" t="str">
        <f>_xlfn.XLOOKUP(C592,'Ocupação DW'!$F:$F,'Ocupação DW'!$E:$E,"",0)</f>
        <v>SEG - FILIAL II 11°</v>
      </c>
      <c r="H592" t="str">
        <f>Vagas[[#This Row],[data]]&amp;Vagas[[#This Row],[profissional_id]]&amp;Vagas[[#This Row],[local_id]]</f>
        <v>446397013</v>
      </c>
    </row>
    <row r="593" spans="1:8" x14ac:dyDescent="0.25">
      <c r="A593" s="2">
        <v>44639</v>
      </c>
      <c r="B593">
        <v>73</v>
      </c>
      <c r="D593">
        <v>0</v>
      </c>
      <c r="E593">
        <v>0</v>
      </c>
      <c r="F593" s="1">
        <f t="shared" si="9"/>
        <v>0</v>
      </c>
      <c r="G593" s="1" t="str">
        <f>_xlfn.XLOOKUP(C593,'Ocupação DW'!$F:$F,'Ocupação DW'!$E:$E,"",0)</f>
        <v/>
      </c>
      <c r="H593" t="str">
        <f>Vagas[[#This Row],[data]]&amp;Vagas[[#This Row],[profissional_id]]&amp;Vagas[[#This Row],[local_id]]</f>
        <v>4463973</v>
      </c>
    </row>
    <row r="594" spans="1:8" x14ac:dyDescent="0.25">
      <c r="A594" s="2">
        <v>44639</v>
      </c>
      <c r="B594">
        <v>86</v>
      </c>
      <c r="D594">
        <v>0</v>
      </c>
      <c r="E594">
        <v>0</v>
      </c>
      <c r="F594" s="1">
        <f t="shared" si="9"/>
        <v>0</v>
      </c>
      <c r="G594" s="1" t="str">
        <f>_xlfn.XLOOKUP(C594,'Ocupação DW'!$F:$F,'Ocupação DW'!$E:$E,"",0)</f>
        <v/>
      </c>
      <c r="H594" t="str">
        <f>Vagas[[#This Row],[data]]&amp;Vagas[[#This Row],[profissional_id]]&amp;Vagas[[#This Row],[local_id]]</f>
        <v>4463986</v>
      </c>
    </row>
    <row r="595" spans="1:8" x14ac:dyDescent="0.25">
      <c r="A595" s="2">
        <v>44639</v>
      </c>
      <c r="B595">
        <v>100</v>
      </c>
      <c r="D595">
        <v>0</v>
      </c>
      <c r="E595">
        <v>0</v>
      </c>
      <c r="F595" s="1">
        <f t="shared" si="9"/>
        <v>0</v>
      </c>
      <c r="G595" s="1" t="str">
        <f>_xlfn.XLOOKUP(C595,'Ocupação DW'!$F:$F,'Ocupação DW'!$E:$E,"",0)</f>
        <v/>
      </c>
      <c r="H595" t="str">
        <f>Vagas[[#This Row],[data]]&amp;Vagas[[#This Row],[profissional_id]]&amp;Vagas[[#This Row],[local_id]]</f>
        <v>44639100</v>
      </c>
    </row>
    <row r="596" spans="1:8" x14ac:dyDescent="0.25">
      <c r="A596" s="2">
        <v>44639</v>
      </c>
      <c r="B596">
        <v>110</v>
      </c>
      <c r="D596">
        <v>0</v>
      </c>
      <c r="E596">
        <v>0</v>
      </c>
      <c r="F596" s="1">
        <f t="shared" si="9"/>
        <v>0</v>
      </c>
      <c r="G596" s="1" t="str">
        <f>_xlfn.XLOOKUP(C596,'Ocupação DW'!$F:$F,'Ocupação DW'!$E:$E,"",0)</f>
        <v/>
      </c>
      <c r="H596" t="str">
        <f>Vagas[[#This Row],[data]]&amp;Vagas[[#This Row],[profissional_id]]&amp;Vagas[[#This Row],[local_id]]</f>
        <v>44639110</v>
      </c>
    </row>
    <row r="597" spans="1:8" x14ac:dyDescent="0.25">
      <c r="A597" s="2">
        <v>44639</v>
      </c>
      <c r="B597">
        <v>111</v>
      </c>
      <c r="C597">
        <v>51</v>
      </c>
      <c r="D597">
        <v>0</v>
      </c>
      <c r="E597">
        <v>0</v>
      </c>
      <c r="F597" s="1">
        <f t="shared" si="9"/>
        <v>0</v>
      </c>
      <c r="G597" s="1" t="str">
        <f>_xlfn.XLOOKUP(C597,'Ocupação DW'!$F:$F,'Ocupação DW'!$E:$E,"",0)</f>
        <v>SEG - FILIAL I</v>
      </c>
      <c r="H597" t="str">
        <f>Vagas[[#This Row],[data]]&amp;Vagas[[#This Row],[profissional_id]]&amp;Vagas[[#This Row],[local_id]]</f>
        <v>4463911151</v>
      </c>
    </row>
    <row r="598" spans="1:8" x14ac:dyDescent="0.25">
      <c r="A598" s="2">
        <v>44639</v>
      </c>
      <c r="B598">
        <v>123</v>
      </c>
      <c r="D598">
        <v>7</v>
      </c>
      <c r="E598">
        <v>0</v>
      </c>
      <c r="F598" s="1">
        <f t="shared" si="9"/>
        <v>0</v>
      </c>
      <c r="G598" s="1" t="str">
        <f>_xlfn.XLOOKUP(C598,'Ocupação DW'!$F:$F,'Ocupação DW'!$E:$E,"",0)</f>
        <v/>
      </c>
      <c r="H598" t="str">
        <f>Vagas[[#This Row],[data]]&amp;Vagas[[#This Row],[profissional_id]]&amp;Vagas[[#This Row],[local_id]]</f>
        <v>44639123</v>
      </c>
    </row>
    <row r="599" spans="1:8" x14ac:dyDescent="0.25">
      <c r="A599" s="2">
        <v>44639</v>
      </c>
      <c r="B599">
        <v>123</v>
      </c>
      <c r="C599">
        <v>351</v>
      </c>
      <c r="D599">
        <v>7</v>
      </c>
      <c r="E599">
        <v>0</v>
      </c>
      <c r="F599" s="1">
        <f t="shared" si="9"/>
        <v>0</v>
      </c>
      <c r="G599" s="1" t="str">
        <f>_xlfn.XLOOKUP(C599,'Ocupação DW'!$F:$F,'Ocupação DW'!$E:$E,"",0)</f>
        <v>SEG - FILIAL I</v>
      </c>
      <c r="H599" t="str">
        <f>Vagas[[#This Row],[data]]&amp;Vagas[[#This Row],[profissional_id]]&amp;Vagas[[#This Row],[local_id]]</f>
        <v>44639123351</v>
      </c>
    </row>
    <row r="600" spans="1:8" x14ac:dyDescent="0.25">
      <c r="A600" s="2">
        <v>44639</v>
      </c>
      <c r="B600">
        <v>174</v>
      </c>
      <c r="C600">
        <v>24</v>
      </c>
      <c r="D600">
        <v>53</v>
      </c>
      <c r="E600">
        <v>0</v>
      </c>
      <c r="F600" s="1">
        <f t="shared" si="9"/>
        <v>0</v>
      </c>
      <c r="G600" s="1" t="str">
        <f>_xlfn.XLOOKUP(C600,'Ocupação DW'!$F:$F,'Ocupação DW'!$E:$E,"",0)</f>
        <v>SEG - MATRIZ</v>
      </c>
      <c r="H600" t="str">
        <f>Vagas[[#This Row],[data]]&amp;Vagas[[#This Row],[profissional_id]]&amp;Vagas[[#This Row],[local_id]]</f>
        <v>4463917424</v>
      </c>
    </row>
    <row r="601" spans="1:8" x14ac:dyDescent="0.25">
      <c r="A601" s="2">
        <v>44639</v>
      </c>
      <c r="B601">
        <v>282</v>
      </c>
      <c r="D601">
        <v>19</v>
      </c>
      <c r="E601">
        <v>0</v>
      </c>
      <c r="F601" s="1">
        <f t="shared" si="9"/>
        <v>0</v>
      </c>
      <c r="G601" s="1" t="str">
        <f>_xlfn.XLOOKUP(C601,'Ocupação DW'!$F:$F,'Ocupação DW'!$E:$E,"",0)</f>
        <v/>
      </c>
      <c r="H601" t="str">
        <f>Vagas[[#This Row],[data]]&amp;Vagas[[#This Row],[profissional_id]]&amp;Vagas[[#This Row],[local_id]]</f>
        <v>44639282</v>
      </c>
    </row>
    <row r="602" spans="1:8" x14ac:dyDescent="0.25">
      <c r="A602" s="2">
        <v>44639</v>
      </c>
      <c r="B602">
        <v>282</v>
      </c>
      <c r="C602">
        <v>39</v>
      </c>
      <c r="D602">
        <v>23</v>
      </c>
      <c r="E602">
        <v>0</v>
      </c>
      <c r="F602" s="1">
        <f t="shared" si="9"/>
        <v>0</v>
      </c>
      <c r="G602" s="1" t="str">
        <f>_xlfn.XLOOKUP(C602,'Ocupação DW'!$F:$F,'Ocupação DW'!$E:$E,"",0)</f>
        <v>SEG - FILIAL I</v>
      </c>
      <c r="H602" t="str">
        <f>Vagas[[#This Row],[data]]&amp;Vagas[[#This Row],[profissional_id]]&amp;Vagas[[#This Row],[local_id]]</f>
        <v>4463928239</v>
      </c>
    </row>
    <row r="603" spans="1:8" x14ac:dyDescent="0.25">
      <c r="A603" s="2">
        <v>44639</v>
      </c>
      <c r="B603">
        <v>531</v>
      </c>
      <c r="C603">
        <v>78</v>
      </c>
      <c r="D603">
        <v>0</v>
      </c>
      <c r="E603">
        <v>0</v>
      </c>
      <c r="F603" s="1">
        <f t="shared" si="9"/>
        <v>0</v>
      </c>
      <c r="G603" s="1" t="str">
        <f>_xlfn.XLOOKUP(C603,'Ocupação DW'!$F:$F,'Ocupação DW'!$E:$E,"",0)</f>
        <v>SEG - MIGUEL COUTO</v>
      </c>
      <c r="H603" t="str">
        <f>Vagas[[#This Row],[data]]&amp;Vagas[[#This Row],[profissional_id]]&amp;Vagas[[#This Row],[local_id]]</f>
        <v>4463953178</v>
      </c>
    </row>
    <row r="604" spans="1:8" x14ac:dyDescent="0.25">
      <c r="A604" s="2">
        <v>44639</v>
      </c>
      <c r="B604">
        <v>1343</v>
      </c>
      <c r="D604">
        <v>0</v>
      </c>
      <c r="E604">
        <v>0</v>
      </c>
      <c r="F604" s="1">
        <f t="shared" si="9"/>
        <v>0</v>
      </c>
      <c r="G604" s="1" t="str">
        <f>_xlfn.XLOOKUP(C604,'Ocupação DW'!$F:$F,'Ocupação DW'!$E:$E,"",0)</f>
        <v/>
      </c>
      <c r="H604" t="str">
        <f>Vagas[[#This Row],[data]]&amp;Vagas[[#This Row],[profissional_id]]&amp;Vagas[[#This Row],[local_id]]</f>
        <v>446391343</v>
      </c>
    </row>
    <row r="605" spans="1:8" x14ac:dyDescent="0.25">
      <c r="A605" s="2">
        <v>44639</v>
      </c>
      <c r="B605">
        <v>1490</v>
      </c>
      <c r="D605">
        <v>0</v>
      </c>
      <c r="E605">
        <v>0</v>
      </c>
      <c r="F605" s="1">
        <f t="shared" si="9"/>
        <v>0</v>
      </c>
      <c r="G605" s="1" t="str">
        <f>_xlfn.XLOOKUP(C605,'Ocupação DW'!$F:$F,'Ocupação DW'!$E:$E,"",0)</f>
        <v/>
      </c>
      <c r="H605" t="str">
        <f>Vagas[[#This Row],[data]]&amp;Vagas[[#This Row],[profissional_id]]&amp;Vagas[[#This Row],[local_id]]</f>
        <v>446391490</v>
      </c>
    </row>
    <row r="606" spans="1:8" x14ac:dyDescent="0.25">
      <c r="A606" s="2">
        <v>44639</v>
      </c>
      <c r="B606">
        <v>2036</v>
      </c>
      <c r="C606">
        <v>368</v>
      </c>
      <c r="D606">
        <v>21</v>
      </c>
      <c r="E606">
        <v>0</v>
      </c>
      <c r="F606" s="1">
        <f t="shared" si="9"/>
        <v>0</v>
      </c>
      <c r="G606" s="1" t="str">
        <f>_xlfn.XLOOKUP(C606,'Ocupação DW'!$F:$F,'Ocupação DW'!$E:$E,"",0)</f>
        <v/>
      </c>
      <c r="H606" t="str">
        <f>Vagas[[#This Row],[data]]&amp;Vagas[[#This Row],[profissional_id]]&amp;Vagas[[#This Row],[local_id]]</f>
        <v>446392036368</v>
      </c>
    </row>
    <row r="607" spans="1:8" x14ac:dyDescent="0.25">
      <c r="A607" s="2">
        <v>44639</v>
      </c>
      <c r="B607">
        <v>2334</v>
      </c>
      <c r="D607">
        <v>0</v>
      </c>
      <c r="E607">
        <v>0</v>
      </c>
      <c r="F607" s="1">
        <f t="shared" si="9"/>
        <v>0</v>
      </c>
      <c r="G607" s="1" t="str">
        <f>_xlfn.XLOOKUP(C607,'Ocupação DW'!$F:$F,'Ocupação DW'!$E:$E,"",0)</f>
        <v/>
      </c>
      <c r="H607" t="str">
        <f>Vagas[[#This Row],[data]]&amp;Vagas[[#This Row],[profissional_id]]&amp;Vagas[[#This Row],[local_id]]</f>
        <v>446392334</v>
      </c>
    </row>
    <row r="608" spans="1:8" x14ac:dyDescent="0.25">
      <c r="A608" s="2">
        <v>44639</v>
      </c>
      <c r="B608">
        <v>3092</v>
      </c>
      <c r="D608">
        <v>0</v>
      </c>
      <c r="E608">
        <v>0</v>
      </c>
      <c r="F608" s="1">
        <f t="shared" si="9"/>
        <v>0</v>
      </c>
      <c r="G608" s="1" t="str">
        <f>_xlfn.XLOOKUP(C608,'Ocupação DW'!$F:$F,'Ocupação DW'!$E:$E,"",0)</f>
        <v/>
      </c>
      <c r="H608" t="str">
        <f>Vagas[[#This Row],[data]]&amp;Vagas[[#This Row],[profissional_id]]&amp;Vagas[[#This Row],[local_id]]</f>
        <v>446393092</v>
      </c>
    </row>
    <row r="609" spans="1:8" x14ac:dyDescent="0.25">
      <c r="A609" s="2">
        <v>44639</v>
      </c>
      <c r="B609">
        <v>3502</v>
      </c>
      <c r="D609">
        <v>0</v>
      </c>
      <c r="E609">
        <v>0</v>
      </c>
      <c r="F609" s="1">
        <f t="shared" si="9"/>
        <v>0</v>
      </c>
      <c r="G609" s="1" t="str">
        <f>_xlfn.XLOOKUP(C609,'Ocupação DW'!$F:$F,'Ocupação DW'!$E:$E,"",0)</f>
        <v/>
      </c>
      <c r="H609" t="str">
        <f>Vagas[[#This Row],[data]]&amp;Vagas[[#This Row],[profissional_id]]&amp;Vagas[[#This Row],[local_id]]</f>
        <v>446393502</v>
      </c>
    </row>
    <row r="610" spans="1:8" x14ac:dyDescent="0.25">
      <c r="A610" s="2">
        <v>44639</v>
      </c>
      <c r="B610">
        <v>4887</v>
      </c>
      <c r="C610">
        <v>18</v>
      </c>
      <c r="D610">
        <v>0</v>
      </c>
      <c r="E610">
        <v>0</v>
      </c>
      <c r="F610" s="1">
        <f t="shared" si="9"/>
        <v>0</v>
      </c>
      <c r="G610" s="1" t="str">
        <f>_xlfn.XLOOKUP(C610,'Ocupação DW'!$F:$F,'Ocupação DW'!$E:$E,"",0)</f>
        <v>SEG - FILIAL II 11°</v>
      </c>
      <c r="H610" t="str">
        <f>Vagas[[#This Row],[data]]&amp;Vagas[[#This Row],[profissional_id]]&amp;Vagas[[#This Row],[local_id]]</f>
        <v>44639488718</v>
      </c>
    </row>
    <row r="611" spans="1:8" x14ac:dyDescent="0.25">
      <c r="A611" s="2">
        <v>44639</v>
      </c>
      <c r="B611">
        <v>6046</v>
      </c>
      <c r="D611">
        <v>13</v>
      </c>
      <c r="E611">
        <v>0</v>
      </c>
      <c r="F611" s="1">
        <f t="shared" si="9"/>
        <v>0</v>
      </c>
      <c r="G611" s="1" t="str">
        <f>_xlfn.XLOOKUP(C611,'Ocupação DW'!$F:$F,'Ocupação DW'!$E:$E,"",0)</f>
        <v/>
      </c>
      <c r="H611" t="str">
        <f>Vagas[[#This Row],[data]]&amp;Vagas[[#This Row],[profissional_id]]&amp;Vagas[[#This Row],[local_id]]</f>
        <v>446396046</v>
      </c>
    </row>
    <row r="612" spans="1:8" x14ac:dyDescent="0.25">
      <c r="A612" s="2">
        <v>44639</v>
      </c>
      <c r="B612">
        <v>6046</v>
      </c>
      <c r="C612">
        <v>46</v>
      </c>
      <c r="D612">
        <v>0</v>
      </c>
      <c r="E612">
        <v>0</v>
      </c>
      <c r="F612" s="1">
        <f t="shared" si="9"/>
        <v>13</v>
      </c>
      <c r="G612" s="1" t="str">
        <f>_xlfn.XLOOKUP(C612,'Ocupação DW'!$F:$F,'Ocupação DW'!$E:$E,"",0)</f>
        <v>SEG - FILIAL I</v>
      </c>
      <c r="H612" t="str">
        <f>Vagas[[#This Row],[data]]&amp;Vagas[[#This Row],[profissional_id]]&amp;Vagas[[#This Row],[local_id]]</f>
        <v>44639604646</v>
      </c>
    </row>
    <row r="613" spans="1:8" x14ac:dyDescent="0.25">
      <c r="A613" s="2">
        <v>44639</v>
      </c>
      <c r="B613">
        <v>6430</v>
      </c>
      <c r="D613">
        <v>0</v>
      </c>
      <c r="E613">
        <v>0</v>
      </c>
      <c r="F613" s="1">
        <f t="shared" si="9"/>
        <v>0</v>
      </c>
      <c r="G613" s="1" t="str">
        <f>_xlfn.XLOOKUP(C613,'Ocupação DW'!$F:$F,'Ocupação DW'!$E:$E,"",0)</f>
        <v/>
      </c>
      <c r="H613" t="str">
        <f>Vagas[[#This Row],[data]]&amp;Vagas[[#This Row],[profissional_id]]&amp;Vagas[[#This Row],[local_id]]</f>
        <v>446396430</v>
      </c>
    </row>
    <row r="614" spans="1:8" x14ac:dyDescent="0.25">
      <c r="A614" s="2">
        <v>44639</v>
      </c>
      <c r="B614">
        <v>7900</v>
      </c>
      <c r="C614">
        <v>368</v>
      </c>
      <c r="D614">
        <v>21</v>
      </c>
      <c r="E614">
        <v>0</v>
      </c>
      <c r="F614" s="1">
        <f t="shared" si="9"/>
        <v>0</v>
      </c>
      <c r="G614" s="1" t="str">
        <f>_xlfn.XLOOKUP(C614,'Ocupação DW'!$F:$F,'Ocupação DW'!$E:$E,"",0)</f>
        <v/>
      </c>
      <c r="H614" t="str">
        <f>Vagas[[#This Row],[data]]&amp;Vagas[[#This Row],[profissional_id]]&amp;Vagas[[#This Row],[local_id]]</f>
        <v>446397900368</v>
      </c>
    </row>
    <row r="615" spans="1:8" x14ac:dyDescent="0.25">
      <c r="A615" s="2">
        <v>44639</v>
      </c>
      <c r="B615">
        <v>8598</v>
      </c>
      <c r="D615">
        <v>0</v>
      </c>
      <c r="E615">
        <v>0</v>
      </c>
      <c r="F615" s="1">
        <f t="shared" si="9"/>
        <v>0</v>
      </c>
      <c r="G615" s="1" t="str">
        <f>_xlfn.XLOOKUP(C615,'Ocupação DW'!$F:$F,'Ocupação DW'!$E:$E,"",0)</f>
        <v/>
      </c>
      <c r="H615" t="str">
        <f>Vagas[[#This Row],[data]]&amp;Vagas[[#This Row],[profissional_id]]&amp;Vagas[[#This Row],[local_id]]</f>
        <v>446398598</v>
      </c>
    </row>
    <row r="616" spans="1:8" x14ac:dyDescent="0.25">
      <c r="A616" s="2">
        <v>44639</v>
      </c>
      <c r="B616">
        <v>9111</v>
      </c>
      <c r="D616">
        <v>0</v>
      </c>
      <c r="E616">
        <v>0</v>
      </c>
      <c r="F616" s="1">
        <f t="shared" si="9"/>
        <v>0</v>
      </c>
      <c r="G616" s="1" t="str">
        <f>_xlfn.XLOOKUP(C616,'Ocupação DW'!$F:$F,'Ocupação DW'!$E:$E,"",0)</f>
        <v/>
      </c>
      <c r="H616" t="str">
        <f>Vagas[[#This Row],[data]]&amp;Vagas[[#This Row],[profissional_id]]&amp;Vagas[[#This Row],[local_id]]</f>
        <v>446399111</v>
      </c>
    </row>
    <row r="617" spans="1:8" x14ac:dyDescent="0.25">
      <c r="A617" s="2">
        <v>44639</v>
      </c>
      <c r="B617">
        <v>9207</v>
      </c>
      <c r="C617">
        <v>79</v>
      </c>
      <c r="D617">
        <v>72</v>
      </c>
      <c r="E617">
        <v>0</v>
      </c>
      <c r="F617" s="1">
        <f t="shared" si="9"/>
        <v>0</v>
      </c>
      <c r="G617" s="1" t="str">
        <f>_xlfn.XLOOKUP(C617,'Ocupação DW'!$F:$F,'Ocupação DW'!$E:$E,"",0)</f>
        <v/>
      </c>
      <c r="H617" t="str">
        <f>Vagas[[#This Row],[data]]&amp;Vagas[[#This Row],[profissional_id]]&amp;Vagas[[#This Row],[local_id]]</f>
        <v>44639920779</v>
      </c>
    </row>
    <row r="618" spans="1:8" x14ac:dyDescent="0.25">
      <c r="A618" s="2">
        <v>44639</v>
      </c>
      <c r="B618">
        <v>9654</v>
      </c>
      <c r="C618">
        <v>61</v>
      </c>
      <c r="D618">
        <v>72</v>
      </c>
      <c r="E618">
        <v>0</v>
      </c>
      <c r="F618" s="1">
        <f t="shared" si="9"/>
        <v>0</v>
      </c>
      <c r="G618" s="1" t="str">
        <f>_xlfn.XLOOKUP(C618,'Ocupação DW'!$F:$F,'Ocupação DW'!$E:$E,"",0)</f>
        <v/>
      </c>
      <c r="H618" t="str">
        <f>Vagas[[#This Row],[data]]&amp;Vagas[[#This Row],[profissional_id]]&amp;Vagas[[#This Row],[local_id]]</f>
        <v>44639965461</v>
      </c>
    </row>
    <row r="619" spans="1:8" x14ac:dyDescent="0.25">
      <c r="A619" s="2">
        <v>44639</v>
      </c>
      <c r="B619">
        <v>9717</v>
      </c>
      <c r="D619">
        <v>0</v>
      </c>
      <c r="E619">
        <v>0</v>
      </c>
      <c r="F619" s="1">
        <f t="shared" si="9"/>
        <v>0</v>
      </c>
      <c r="G619" s="1" t="str">
        <f>_xlfn.XLOOKUP(C619,'Ocupação DW'!$F:$F,'Ocupação DW'!$E:$E,"",0)</f>
        <v/>
      </c>
      <c r="H619" t="str">
        <f>Vagas[[#This Row],[data]]&amp;Vagas[[#This Row],[profissional_id]]&amp;Vagas[[#This Row],[local_id]]</f>
        <v>446399717</v>
      </c>
    </row>
    <row r="620" spans="1:8" x14ac:dyDescent="0.25">
      <c r="A620" s="2">
        <v>44639</v>
      </c>
      <c r="B620">
        <v>10249</v>
      </c>
      <c r="D620">
        <v>21</v>
      </c>
      <c r="E620">
        <v>0</v>
      </c>
      <c r="F620" s="1">
        <f t="shared" si="9"/>
        <v>0</v>
      </c>
      <c r="G620" s="1" t="str">
        <f>_xlfn.XLOOKUP(C620,'Ocupação DW'!$F:$F,'Ocupação DW'!$E:$E,"",0)</f>
        <v/>
      </c>
      <c r="H620" t="str">
        <f>Vagas[[#This Row],[data]]&amp;Vagas[[#This Row],[profissional_id]]&amp;Vagas[[#This Row],[local_id]]</f>
        <v>4463910249</v>
      </c>
    </row>
    <row r="621" spans="1:8" x14ac:dyDescent="0.25">
      <c r="A621" s="2">
        <v>44639</v>
      </c>
      <c r="B621">
        <v>10249</v>
      </c>
      <c r="C621">
        <v>43</v>
      </c>
      <c r="D621">
        <v>0</v>
      </c>
      <c r="E621">
        <v>0</v>
      </c>
      <c r="F621" s="1">
        <f t="shared" si="9"/>
        <v>21</v>
      </c>
      <c r="G621" s="1" t="str">
        <f>_xlfn.XLOOKUP(C621,'Ocupação DW'!$F:$F,'Ocupação DW'!$E:$E,"",0)</f>
        <v>SEG - FILIAL I</v>
      </c>
      <c r="H621" t="str">
        <f>Vagas[[#This Row],[data]]&amp;Vagas[[#This Row],[profissional_id]]&amp;Vagas[[#This Row],[local_id]]</f>
        <v>446391024943</v>
      </c>
    </row>
    <row r="622" spans="1:8" x14ac:dyDescent="0.25">
      <c r="A622" s="2">
        <v>44639</v>
      </c>
      <c r="B622">
        <v>10249</v>
      </c>
      <c r="C622">
        <v>44</v>
      </c>
      <c r="D622">
        <v>0</v>
      </c>
      <c r="E622">
        <v>0</v>
      </c>
      <c r="F622" s="1">
        <f t="shared" si="9"/>
        <v>0</v>
      </c>
      <c r="G622" s="1" t="str">
        <f>_xlfn.XLOOKUP(C622,'Ocupação DW'!$F:$F,'Ocupação DW'!$E:$E,"",0)</f>
        <v>SEG - FILIAL I</v>
      </c>
      <c r="H622" t="str">
        <f>Vagas[[#This Row],[data]]&amp;Vagas[[#This Row],[profissional_id]]&amp;Vagas[[#This Row],[local_id]]</f>
        <v>446391024944</v>
      </c>
    </row>
    <row r="623" spans="1:8" x14ac:dyDescent="0.25">
      <c r="A623" s="2">
        <v>44639</v>
      </c>
      <c r="B623">
        <v>10595</v>
      </c>
      <c r="D623">
        <v>0</v>
      </c>
      <c r="E623">
        <v>0</v>
      </c>
      <c r="F623" s="1">
        <f t="shared" si="9"/>
        <v>0</v>
      </c>
      <c r="G623" s="1" t="str">
        <f>_xlfn.XLOOKUP(C623,'Ocupação DW'!$F:$F,'Ocupação DW'!$E:$E,"",0)</f>
        <v/>
      </c>
      <c r="H623" t="str">
        <f>Vagas[[#This Row],[data]]&amp;Vagas[[#This Row],[profissional_id]]&amp;Vagas[[#This Row],[local_id]]</f>
        <v>4463910595</v>
      </c>
    </row>
    <row r="624" spans="1:8" x14ac:dyDescent="0.25">
      <c r="A624" s="2">
        <v>44639</v>
      </c>
      <c r="B624">
        <v>10691</v>
      </c>
      <c r="D624">
        <v>0</v>
      </c>
      <c r="E624">
        <v>0</v>
      </c>
      <c r="F624" s="1">
        <f t="shared" si="9"/>
        <v>0</v>
      </c>
      <c r="G624" s="1" t="str">
        <f>_xlfn.XLOOKUP(C624,'Ocupação DW'!$F:$F,'Ocupação DW'!$E:$E,"",0)</f>
        <v/>
      </c>
      <c r="H624" t="str">
        <f>Vagas[[#This Row],[data]]&amp;Vagas[[#This Row],[profissional_id]]&amp;Vagas[[#This Row],[local_id]]</f>
        <v>4463910691</v>
      </c>
    </row>
    <row r="625" spans="1:8" x14ac:dyDescent="0.25">
      <c r="A625" s="2">
        <v>44639</v>
      </c>
      <c r="B625">
        <v>10946</v>
      </c>
      <c r="D625">
        <v>0</v>
      </c>
      <c r="E625">
        <v>0</v>
      </c>
      <c r="F625" s="1">
        <f t="shared" si="9"/>
        <v>0</v>
      </c>
      <c r="G625" s="1" t="str">
        <f>_xlfn.XLOOKUP(C625,'Ocupação DW'!$F:$F,'Ocupação DW'!$E:$E,"",0)</f>
        <v/>
      </c>
      <c r="H625" t="str">
        <f>Vagas[[#This Row],[data]]&amp;Vagas[[#This Row],[profissional_id]]&amp;Vagas[[#This Row],[local_id]]</f>
        <v>4463910946</v>
      </c>
    </row>
    <row r="626" spans="1:8" x14ac:dyDescent="0.25">
      <c r="A626" s="2">
        <v>44639</v>
      </c>
      <c r="B626">
        <v>11312</v>
      </c>
      <c r="C626">
        <v>336</v>
      </c>
      <c r="D626">
        <v>22</v>
      </c>
      <c r="E626">
        <v>0</v>
      </c>
      <c r="F626" s="1">
        <f t="shared" si="9"/>
        <v>0</v>
      </c>
      <c r="G626" s="1" t="str">
        <f>_xlfn.XLOOKUP(C626,'Ocupação DW'!$F:$F,'Ocupação DW'!$E:$E,"",0)</f>
        <v>SEG - FILIAL I</v>
      </c>
      <c r="H626" t="str">
        <f>Vagas[[#This Row],[data]]&amp;Vagas[[#This Row],[profissional_id]]&amp;Vagas[[#This Row],[local_id]]</f>
        <v>4463911312336</v>
      </c>
    </row>
    <row r="627" spans="1:8" x14ac:dyDescent="0.25">
      <c r="A627" s="2">
        <v>44639</v>
      </c>
      <c r="B627">
        <v>11634</v>
      </c>
      <c r="C627">
        <v>339</v>
      </c>
      <c r="D627">
        <v>60</v>
      </c>
      <c r="E627">
        <v>0</v>
      </c>
      <c r="F627" s="1">
        <f t="shared" si="9"/>
        <v>0</v>
      </c>
      <c r="G627" s="1" t="str">
        <f>_xlfn.XLOOKUP(C627,'Ocupação DW'!$F:$F,'Ocupação DW'!$E:$E,"",0)</f>
        <v>SEG - MATRIZ</v>
      </c>
      <c r="H627" t="str">
        <f>Vagas[[#This Row],[data]]&amp;Vagas[[#This Row],[profissional_id]]&amp;Vagas[[#This Row],[local_id]]</f>
        <v>4463911634339</v>
      </c>
    </row>
    <row r="628" spans="1:8" x14ac:dyDescent="0.25">
      <c r="A628" s="2">
        <v>44639</v>
      </c>
      <c r="B628">
        <v>12369</v>
      </c>
      <c r="D628">
        <v>0</v>
      </c>
      <c r="E628">
        <v>0</v>
      </c>
      <c r="F628" s="1">
        <f t="shared" si="9"/>
        <v>0</v>
      </c>
      <c r="G628" s="1" t="str">
        <f>_xlfn.XLOOKUP(C628,'Ocupação DW'!$F:$F,'Ocupação DW'!$E:$E,"",0)</f>
        <v/>
      </c>
      <c r="H628" t="str">
        <f>Vagas[[#This Row],[data]]&amp;Vagas[[#This Row],[profissional_id]]&amp;Vagas[[#This Row],[local_id]]</f>
        <v>4463912369</v>
      </c>
    </row>
    <row r="629" spans="1:8" x14ac:dyDescent="0.25">
      <c r="A629" s="2">
        <v>44639</v>
      </c>
      <c r="B629">
        <v>12519</v>
      </c>
      <c r="D629">
        <v>0</v>
      </c>
      <c r="E629">
        <v>0</v>
      </c>
      <c r="F629" s="1">
        <f t="shared" si="9"/>
        <v>0</v>
      </c>
      <c r="G629" s="1" t="str">
        <f>_xlfn.XLOOKUP(C629,'Ocupação DW'!$F:$F,'Ocupação DW'!$E:$E,"",0)</f>
        <v/>
      </c>
      <c r="H629" t="str">
        <f>Vagas[[#This Row],[data]]&amp;Vagas[[#This Row],[profissional_id]]&amp;Vagas[[#This Row],[local_id]]</f>
        <v>4463912519</v>
      </c>
    </row>
    <row r="630" spans="1:8" x14ac:dyDescent="0.25">
      <c r="A630" s="2">
        <v>44639</v>
      </c>
      <c r="B630">
        <v>12679</v>
      </c>
      <c r="D630">
        <v>0</v>
      </c>
      <c r="E630">
        <v>0</v>
      </c>
      <c r="F630" s="1">
        <f t="shared" si="9"/>
        <v>0</v>
      </c>
      <c r="G630" s="1" t="str">
        <f>_xlfn.XLOOKUP(C630,'Ocupação DW'!$F:$F,'Ocupação DW'!$E:$E,"",0)</f>
        <v/>
      </c>
      <c r="H630" t="str">
        <f>Vagas[[#This Row],[data]]&amp;Vagas[[#This Row],[profissional_id]]&amp;Vagas[[#This Row],[local_id]]</f>
        <v>4463912679</v>
      </c>
    </row>
    <row r="631" spans="1:8" x14ac:dyDescent="0.25">
      <c r="A631" s="2">
        <v>44639</v>
      </c>
      <c r="B631">
        <v>12684</v>
      </c>
      <c r="D631">
        <v>0</v>
      </c>
      <c r="E631">
        <v>0</v>
      </c>
      <c r="F631" s="1">
        <f t="shared" si="9"/>
        <v>0</v>
      </c>
      <c r="G631" s="1" t="str">
        <f>_xlfn.XLOOKUP(C631,'Ocupação DW'!$F:$F,'Ocupação DW'!$E:$E,"",0)</f>
        <v/>
      </c>
      <c r="H631" t="str">
        <f>Vagas[[#This Row],[data]]&amp;Vagas[[#This Row],[profissional_id]]&amp;Vagas[[#This Row],[local_id]]</f>
        <v>4463912684</v>
      </c>
    </row>
    <row r="632" spans="1:8" x14ac:dyDescent="0.25">
      <c r="A632" s="2">
        <v>44639</v>
      </c>
      <c r="B632">
        <v>12711</v>
      </c>
      <c r="D632">
        <v>0</v>
      </c>
      <c r="E632">
        <v>0</v>
      </c>
      <c r="F632" s="1">
        <f t="shared" si="9"/>
        <v>0</v>
      </c>
      <c r="G632" s="1" t="str">
        <f>_xlfn.XLOOKUP(C632,'Ocupação DW'!$F:$F,'Ocupação DW'!$E:$E,"",0)</f>
        <v/>
      </c>
      <c r="H632" t="str">
        <f>Vagas[[#This Row],[data]]&amp;Vagas[[#This Row],[profissional_id]]&amp;Vagas[[#This Row],[local_id]]</f>
        <v>4463912711</v>
      </c>
    </row>
    <row r="633" spans="1:8" x14ac:dyDescent="0.25">
      <c r="A633" s="2">
        <v>44639</v>
      </c>
      <c r="B633">
        <v>12810</v>
      </c>
      <c r="D633">
        <v>19</v>
      </c>
      <c r="E633">
        <v>0</v>
      </c>
      <c r="F633" s="1">
        <f t="shared" si="9"/>
        <v>0</v>
      </c>
      <c r="G633" s="1" t="str">
        <f>_xlfn.XLOOKUP(C633,'Ocupação DW'!$F:$F,'Ocupação DW'!$E:$E,"",0)</f>
        <v/>
      </c>
      <c r="H633" t="str">
        <f>Vagas[[#This Row],[data]]&amp;Vagas[[#This Row],[profissional_id]]&amp;Vagas[[#This Row],[local_id]]</f>
        <v>4463912810</v>
      </c>
    </row>
    <row r="634" spans="1:8" x14ac:dyDescent="0.25">
      <c r="A634" s="2">
        <v>44639</v>
      </c>
      <c r="B634">
        <v>12810</v>
      </c>
      <c r="C634">
        <v>339</v>
      </c>
      <c r="D634">
        <v>0</v>
      </c>
      <c r="E634">
        <v>0</v>
      </c>
      <c r="F634" s="1">
        <f t="shared" si="9"/>
        <v>19</v>
      </c>
      <c r="G634" s="1" t="str">
        <f>_xlfn.XLOOKUP(C634,'Ocupação DW'!$F:$F,'Ocupação DW'!$E:$E,"",0)</f>
        <v>SEG - MATRIZ</v>
      </c>
      <c r="H634" t="str">
        <f>Vagas[[#This Row],[data]]&amp;Vagas[[#This Row],[profissional_id]]&amp;Vagas[[#This Row],[local_id]]</f>
        <v>4463912810339</v>
      </c>
    </row>
    <row r="635" spans="1:8" x14ac:dyDescent="0.25">
      <c r="A635" s="2">
        <v>44639</v>
      </c>
      <c r="B635">
        <v>12825</v>
      </c>
      <c r="D635">
        <v>0</v>
      </c>
      <c r="E635">
        <v>0</v>
      </c>
      <c r="F635" s="1">
        <f t="shared" si="9"/>
        <v>0</v>
      </c>
      <c r="G635" s="1" t="str">
        <f>_xlfn.XLOOKUP(C635,'Ocupação DW'!$F:$F,'Ocupação DW'!$E:$E,"",0)</f>
        <v/>
      </c>
      <c r="H635" t="str">
        <f>Vagas[[#This Row],[data]]&amp;Vagas[[#This Row],[profissional_id]]&amp;Vagas[[#This Row],[local_id]]</f>
        <v>4463912825</v>
      </c>
    </row>
    <row r="636" spans="1:8" x14ac:dyDescent="0.25">
      <c r="A636" s="2">
        <v>44639</v>
      </c>
      <c r="B636">
        <v>13371</v>
      </c>
      <c r="D636">
        <v>0</v>
      </c>
      <c r="E636">
        <v>0</v>
      </c>
      <c r="F636" s="1">
        <f t="shared" si="9"/>
        <v>0</v>
      </c>
      <c r="G636" s="1" t="str">
        <f>_xlfn.XLOOKUP(C636,'Ocupação DW'!$F:$F,'Ocupação DW'!$E:$E,"",0)</f>
        <v/>
      </c>
      <c r="H636" t="str">
        <f>Vagas[[#This Row],[data]]&amp;Vagas[[#This Row],[profissional_id]]&amp;Vagas[[#This Row],[local_id]]</f>
        <v>4463913371</v>
      </c>
    </row>
    <row r="637" spans="1:8" x14ac:dyDescent="0.25">
      <c r="A637" s="2">
        <v>44639</v>
      </c>
      <c r="B637">
        <v>13479</v>
      </c>
      <c r="D637">
        <v>0</v>
      </c>
      <c r="E637">
        <v>0</v>
      </c>
      <c r="F637" s="1">
        <f t="shared" si="9"/>
        <v>0</v>
      </c>
      <c r="G637" s="1" t="str">
        <f>_xlfn.XLOOKUP(C637,'Ocupação DW'!$F:$F,'Ocupação DW'!$E:$E,"",0)</f>
        <v/>
      </c>
      <c r="H637" t="str">
        <f>Vagas[[#This Row],[data]]&amp;Vagas[[#This Row],[profissional_id]]&amp;Vagas[[#This Row],[local_id]]</f>
        <v>4463913479</v>
      </c>
    </row>
    <row r="638" spans="1:8" x14ac:dyDescent="0.25">
      <c r="A638" s="2">
        <v>44639</v>
      </c>
      <c r="B638">
        <v>13645</v>
      </c>
      <c r="D638">
        <v>0</v>
      </c>
      <c r="E638">
        <v>0</v>
      </c>
      <c r="F638" s="1">
        <f t="shared" si="9"/>
        <v>0</v>
      </c>
      <c r="G638" s="1" t="str">
        <f>_xlfn.XLOOKUP(C638,'Ocupação DW'!$F:$F,'Ocupação DW'!$E:$E,"",0)</f>
        <v/>
      </c>
      <c r="H638" t="str">
        <f>Vagas[[#This Row],[data]]&amp;Vagas[[#This Row],[profissional_id]]&amp;Vagas[[#This Row],[local_id]]</f>
        <v>4463913645</v>
      </c>
    </row>
    <row r="639" spans="1:8" x14ac:dyDescent="0.25">
      <c r="A639" s="2">
        <v>44639</v>
      </c>
      <c r="B639">
        <v>13756</v>
      </c>
      <c r="C639">
        <v>44</v>
      </c>
      <c r="D639">
        <v>0</v>
      </c>
      <c r="E639">
        <v>0</v>
      </c>
      <c r="F639" s="1">
        <f t="shared" si="9"/>
        <v>0</v>
      </c>
      <c r="G639" s="1" t="str">
        <f>_xlfn.XLOOKUP(C639,'Ocupação DW'!$F:$F,'Ocupação DW'!$E:$E,"",0)</f>
        <v>SEG - FILIAL I</v>
      </c>
      <c r="H639" t="str">
        <f>Vagas[[#This Row],[data]]&amp;Vagas[[#This Row],[profissional_id]]&amp;Vagas[[#This Row],[local_id]]</f>
        <v>446391375644</v>
      </c>
    </row>
    <row r="640" spans="1:8" x14ac:dyDescent="0.25">
      <c r="A640" s="2">
        <v>44639</v>
      </c>
      <c r="B640">
        <v>13756</v>
      </c>
      <c r="C640">
        <v>43</v>
      </c>
      <c r="D640">
        <v>0</v>
      </c>
      <c r="E640">
        <v>0</v>
      </c>
      <c r="F640" s="1">
        <f t="shared" si="9"/>
        <v>0</v>
      </c>
      <c r="G640" s="1" t="str">
        <f>_xlfn.XLOOKUP(C640,'Ocupação DW'!$F:$F,'Ocupação DW'!$E:$E,"",0)</f>
        <v>SEG - FILIAL I</v>
      </c>
      <c r="H640" t="str">
        <f>Vagas[[#This Row],[data]]&amp;Vagas[[#This Row],[profissional_id]]&amp;Vagas[[#This Row],[local_id]]</f>
        <v>446391375643</v>
      </c>
    </row>
    <row r="641" spans="1:8" x14ac:dyDescent="0.25">
      <c r="A641" s="2">
        <v>44639</v>
      </c>
      <c r="B641">
        <v>13835</v>
      </c>
      <c r="D641">
        <v>0</v>
      </c>
      <c r="E641">
        <v>0</v>
      </c>
      <c r="F641" s="1">
        <f t="shared" si="9"/>
        <v>0</v>
      </c>
      <c r="G641" s="1" t="str">
        <f>_xlfn.XLOOKUP(C641,'Ocupação DW'!$F:$F,'Ocupação DW'!$E:$E,"",0)</f>
        <v/>
      </c>
      <c r="H641" t="str">
        <f>Vagas[[#This Row],[data]]&amp;Vagas[[#This Row],[profissional_id]]&amp;Vagas[[#This Row],[local_id]]</f>
        <v>4463913835</v>
      </c>
    </row>
    <row r="642" spans="1:8" x14ac:dyDescent="0.25">
      <c r="A642" s="2">
        <v>44639</v>
      </c>
      <c r="B642">
        <v>14172</v>
      </c>
      <c r="C642">
        <v>340</v>
      </c>
      <c r="D642">
        <v>120</v>
      </c>
      <c r="E642">
        <v>0</v>
      </c>
      <c r="F642" s="1">
        <f t="shared" ref="F642:F705" si="10">IF(AND(A642=A641,B642=B641,D641&lt;&gt;0,D642=0),D641,0)</f>
        <v>0</v>
      </c>
      <c r="G642" s="1" t="str">
        <f>_xlfn.XLOOKUP(C642,'Ocupação DW'!$F:$F,'Ocupação DW'!$E:$E,"",0)</f>
        <v>SEG - MATRIZ</v>
      </c>
      <c r="H642" t="str">
        <f>Vagas[[#This Row],[data]]&amp;Vagas[[#This Row],[profissional_id]]&amp;Vagas[[#This Row],[local_id]]</f>
        <v>4463914172340</v>
      </c>
    </row>
    <row r="643" spans="1:8" x14ac:dyDescent="0.25">
      <c r="A643" s="2">
        <v>44639</v>
      </c>
      <c r="B643">
        <v>14452</v>
      </c>
      <c r="D643">
        <v>0</v>
      </c>
      <c r="E643">
        <v>0</v>
      </c>
      <c r="F643" s="1">
        <f t="shared" si="10"/>
        <v>0</v>
      </c>
      <c r="G643" s="1" t="str">
        <f>_xlfn.XLOOKUP(C643,'Ocupação DW'!$F:$F,'Ocupação DW'!$E:$E,"",0)</f>
        <v/>
      </c>
      <c r="H643" t="str">
        <f>Vagas[[#This Row],[data]]&amp;Vagas[[#This Row],[profissional_id]]&amp;Vagas[[#This Row],[local_id]]</f>
        <v>4463914452</v>
      </c>
    </row>
    <row r="644" spans="1:8" x14ac:dyDescent="0.25">
      <c r="A644" s="2">
        <v>44639</v>
      </c>
      <c r="B644">
        <v>17059</v>
      </c>
      <c r="D644">
        <v>0</v>
      </c>
      <c r="E644">
        <v>0</v>
      </c>
      <c r="F644" s="1">
        <f t="shared" si="10"/>
        <v>0</v>
      </c>
      <c r="G644" s="1" t="str">
        <f>_xlfn.XLOOKUP(C644,'Ocupação DW'!$F:$F,'Ocupação DW'!$E:$E,"",0)</f>
        <v/>
      </c>
      <c r="H644" t="str">
        <f>Vagas[[#This Row],[data]]&amp;Vagas[[#This Row],[profissional_id]]&amp;Vagas[[#This Row],[local_id]]</f>
        <v>4463917059</v>
      </c>
    </row>
    <row r="645" spans="1:8" x14ac:dyDescent="0.25">
      <c r="A645" s="2">
        <v>44639</v>
      </c>
      <c r="B645">
        <v>17742</v>
      </c>
      <c r="D645">
        <v>0</v>
      </c>
      <c r="E645">
        <v>0</v>
      </c>
      <c r="F645" s="1">
        <f t="shared" si="10"/>
        <v>0</v>
      </c>
      <c r="G645" s="1" t="str">
        <f>_xlfn.XLOOKUP(C645,'Ocupação DW'!$F:$F,'Ocupação DW'!$E:$E,"",0)</f>
        <v/>
      </c>
      <c r="H645" t="str">
        <f>Vagas[[#This Row],[data]]&amp;Vagas[[#This Row],[profissional_id]]&amp;Vagas[[#This Row],[local_id]]</f>
        <v>4463917742</v>
      </c>
    </row>
    <row r="646" spans="1:8" x14ac:dyDescent="0.25">
      <c r="A646" s="2">
        <v>44639</v>
      </c>
      <c r="B646">
        <v>17858</v>
      </c>
      <c r="D646">
        <v>0</v>
      </c>
      <c r="E646">
        <v>0</v>
      </c>
      <c r="F646" s="1">
        <f t="shared" si="10"/>
        <v>0</v>
      </c>
      <c r="G646" s="1" t="str">
        <f>_xlfn.XLOOKUP(C646,'Ocupação DW'!$F:$F,'Ocupação DW'!$E:$E,"",0)</f>
        <v/>
      </c>
      <c r="H646" t="str">
        <f>Vagas[[#This Row],[data]]&amp;Vagas[[#This Row],[profissional_id]]&amp;Vagas[[#This Row],[local_id]]</f>
        <v>4463917858</v>
      </c>
    </row>
    <row r="647" spans="1:8" x14ac:dyDescent="0.25">
      <c r="A647" s="2">
        <v>44639</v>
      </c>
      <c r="B647">
        <v>17871</v>
      </c>
      <c r="D647">
        <v>0</v>
      </c>
      <c r="E647">
        <v>0</v>
      </c>
      <c r="F647" s="1">
        <f t="shared" si="10"/>
        <v>0</v>
      </c>
      <c r="G647" s="1" t="str">
        <f>_xlfn.XLOOKUP(C647,'Ocupação DW'!$F:$F,'Ocupação DW'!$E:$E,"",0)</f>
        <v/>
      </c>
      <c r="H647" t="str">
        <f>Vagas[[#This Row],[data]]&amp;Vagas[[#This Row],[profissional_id]]&amp;Vagas[[#This Row],[local_id]]</f>
        <v>4463917871</v>
      </c>
    </row>
    <row r="648" spans="1:8" x14ac:dyDescent="0.25">
      <c r="A648" s="2">
        <v>44639</v>
      </c>
      <c r="B648">
        <v>17874</v>
      </c>
      <c r="D648">
        <v>0</v>
      </c>
      <c r="E648">
        <v>0</v>
      </c>
      <c r="F648" s="1">
        <f t="shared" si="10"/>
        <v>0</v>
      </c>
      <c r="G648" s="1" t="str">
        <f>_xlfn.XLOOKUP(C648,'Ocupação DW'!$F:$F,'Ocupação DW'!$E:$E,"",0)</f>
        <v/>
      </c>
      <c r="H648" t="str">
        <f>Vagas[[#This Row],[data]]&amp;Vagas[[#This Row],[profissional_id]]&amp;Vagas[[#This Row],[local_id]]</f>
        <v>4463917874</v>
      </c>
    </row>
    <row r="649" spans="1:8" x14ac:dyDescent="0.25">
      <c r="A649" s="2">
        <v>44639</v>
      </c>
      <c r="B649">
        <v>17881</v>
      </c>
      <c r="C649">
        <v>20</v>
      </c>
      <c r="D649">
        <v>133</v>
      </c>
      <c r="E649">
        <v>0</v>
      </c>
      <c r="F649" s="1">
        <f t="shared" si="10"/>
        <v>0</v>
      </c>
      <c r="G649" s="1" t="str">
        <f>_xlfn.XLOOKUP(C649,'Ocupação DW'!$F:$F,'Ocupação DW'!$E:$E,"",0)</f>
        <v>SEG - MATRIZ</v>
      </c>
      <c r="H649" t="str">
        <f>Vagas[[#This Row],[data]]&amp;Vagas[[#This Row],[profissional_id]]&amp;Vagas[[#This Row],[local_id]]</f>
        <v>446391788120</v>
      </c>
    </row>
    <row r="650" spans="1:8" x14ac:dyDescent="0.25">
      <c r="A650" s="2">
        <v>44639</v>
      </c>
      <c r="B650">
        <v>17882</v>
      </c>
      <c r="C650">
        <v>21</v>
      </c>
      <c r="D650">
        <v>133</v>
      </c>
      <c r="E650">
        <v>0</v>
      </c>
      <c r="F650" s="1">
        <f t="shared" si="10"/>
        <v>0</v>
      </c>
      <c r="G650" s="1" t="str">
        <f>_xlfn.XLOOKUP(C650,'Ocupação DW'!$F:$F,'Ocupação DW'!$E:$E,"",0)</f>
        <v/>
      </c>
      <c r="H650" t="str">
        <f>Vagas[[#This Row],[data]]&amp;Vagas[[#This Row],[profissional_id]]&amp;Vagas[[#This Row],[local_id]]</f>
        <v>446391788221</v>
      </c>
    </row>
    <row r="651" spans="1:8" x14ac:dyDescent="0.25">
      <c r="A651" s="2">
        <v>44639</v>
      </c>
      <c r="B651">
        <v>17883</v>
      </c>
      <c r="D651">
        <v>7</v>
      </c>
      <c r="E651">
        <v>0</v>
      </c>
      <c r="F651" s="1">
        <f t="shared" si="10"/>
        <v>0</v>
      </c>
      <c r="G651" s="1" t="str">
        <f>_xlfn.XLOOKUP(C651,'Ocupação DW'!$F:$F,'Ocupação DW'!$E:$E,"",0)</f>
        <v/>
      </c>
      <c r="H651" t="str">
        <f>Vagas[[#This Row],[data]]&amp;Vagas[[#This Row],[profissional_id]]&amp;Vagas[[#This Row],[local_id]]</f>
        <v>4463917883</v>
      </c>
    </row>
    <row r="652" spans="1:8" x14ac:dyDescent="0.25">
      <c r="A652" s="2">
        <v>44639</v>
      </c>
      <c r="B652">
        <v>17883</v>
      </c>
      <c r="C652">
        <v>351</v>
      </c>
      <c r="D652">
        <v>0</v>
      </c>
      <c r="E652">
        <v>0</v>
      </c>
      <c r="F652" s="1">
        <f t="shared" si="10"/>
        <v>7</v>
      </c>
      <c r="G652" s="1" t="str">
        <f>_xlfn.XLOOKUP(C652,'Ocupação DW'!$F:$F,'Ocupação DW'!$E:$E,"",0)</f>
        <v>SEG - FILIAL I</v>
      </c>
      <c r="H652" t="str">
        <f>Vagas[[#This Row],[data]]&amp;Vagas[[#This Row],[profissional_id]]&amp;Vagas[[#This Row],[local_id]]</f>
        <v>4463917883351</v>
      </c>
    </row>
    <row r="653" spans="1:8" x14ac:dyDescent="0.25">
      <c r="A653" s="2">
        <v>44639</v>
      </c>
      <c r="B653">
        <v>17885</v>
      </c>
      <c r="D653">
        <v>0</v>
      </c>
      <c r="E653">
        <v>0</v>
      </c>
      <c r="F653" s="1">
        <f t="shared" si="10"/>
        <v>0</v>
      </c>
      <c r="G653" s="1" t="str">
        <f>_xlfn.XLOOKUP(C653,'Ocupação DW'!$F:$F,'Ocupação DW'!$E:$E,"",0)</f>
        <v/>
      </c>
      <c r="H653" t="str">
        <f>Vagas[[#This Row],[data]]&amp;Vagas[[#This Row],[profissional_id]]&amp;Vagas[[#This Row],[local_id]]</f>
        <v>4463917885</v>
      </c>
    </row>
    <row r="654" spans="1:8" x14ac:dyDescent="0.25">
      <c r="A654" s="2">
        <v>44639</v>
      </c>
      <c r="B654">
        <v>17885</v>
      </c>
      <c r="C654">
        <v>23</v>
      </c>
      <c r="D654">
        <v>55</v>
      </c>
      <c r="E654">
        <v>0</v>
      </c>
      <c r="F654" s="1">
        <f t="shared" si="10"/>
        <v>0</v>
      </c>
      <c r="G654" s="1" t="str">
        <f>_xlfn.XLOOKUP(C654,'Ocupação DW'!$F:$F,'Ocupação DW'!$E:$E,"",0)</f>
        <v/>
      </c>
      <c r="H654" t="str">
        <f>Vagas[[#This Row],[data]]&amp;Vagas[[#This Row],[profissional_id]]&amp;Vagas[[#This Row],[local_id]]</f>
        <v>446391788523</v>
      </c>
    </row>
    <row r="655" spans="1:8" x14ac:dyDescent="0.25">
      <c r="A655" s="2">
        <v>44639</v>
      </c>
      <c r="B655">
        <v>17888</v>
      </c>
      <c r="C655">
        <v>40</v>
      </c>
      <c r="D655">
        <v>10</v>
      </c>
      <c r="E655">
        <v>0</v>
      </c>
      <c r="F655" s="1">
        <f t="shared" si="10"/>
        <v>0</v>
      </c>
      <c r="G655" s="1" t="str">
        <f>_xlfn.XLOOKUP(C655,'Ocupação DW'!$F:$F,'Ocupação DW'!$E:$E,"",0)</f>
        <v>SEG - FILIAL I</v>
      </c>
      <c r="H655" t="str">
        <f>Vagas[[#This Row],[data]]&amp;Vagas[[#This Row],[profissional_id]]&amp;Vagas[[#This Row],[local_id]]</f>
        <v>446391788840</v>
      </c>
    </row>
    <row r="656" spans="1:8" x14ac:dyDescent="0.25">
      <c r="A656" s="2">
        <v>44639</v>
      </c>
      <c r="B656">
        <v>17892</v>
      </c>
      <c r="D656">
        <v>0</v>
      </c>
      <c r="E656">
        <v>0</v>
      </c>
      <c r="F656" s="1">
        <f t="shared" si="10"/>
        <v>0</v>
      </c>
      <c r="G656" s="1" t="str">
        <f>_xlfn.XLOOKUP(C656,'Ocupação DW'!$F:$F,'Ocupação DW'!$E:$E,"",0)</f>
        <v/>
      </c>
      <c r="H656" t="str">
        <f>Vagas[[#This Row],[data]]&amp;Vagas[[#This Row],[profissional_id]]&amp;Vagas[[#This Row],[local_id]]</f>
        <v>4463917892</v>
      </c>
    </row>
    <row r="657" spans="1:8" x14ac:dyDescent="0.25">
      <c r="A657" s="2">
        <v>44639</v>
      </c>
      <c r="B657">
        <v>17898</v>
      </c>
      <c r="C657">
        <v>35</v>
      </c>
      <c r="D657">
        <v>60</v>
      </c>
      <c r="E657">
        <v>0</v>
      </c>
      <c r="F657" s="1">
        <f t="shared" si="10"/>
        <v>0</v>
      </c>
      <c r="G657" s="1" t="str">
        <f>_xlfn.XLOOKUP(C657,'Ocupação DW'!$F:$F,'Ocupação DW'!$E:$E,"",0)</f>
        <v/>
      </c>
      <c r="H657" t="str">
        <f>Vagas[[#This Row],[data]]&amp;Vagas[[#This Row],[profissional_id]]&amp;Vagas[[#This Row],[local_id]]</f>
        <v>446391789835</v>
      </c>
    </row>
    <row r="658" spans="1:8" x14ac:dyDescent="0.25">
      <c r="A658" s="2">
        <v>44639</v>
      </c>
      <c r="B658">
        <v>17899</v>
      </c>
      <c r="C658">
        <v>3</v>
      </c>
      <c r="D658">
        <v>24</v>
      </c>
      <c r="E658">
        <v>0</v>
      </c>
      <c r="F658" s="1">
        <f t="shared" si="10"/>
        <v>0</v>
      </c>
      <c r="G658" s="1" t="str">
        <f>_xlfn.XLOOKUP(C658,'Ocupação DW'!$F:$F,'Ocupação DW'!$E:$E,"",0)</f>
        <v>SEG - FILIAL II 10°</v>
      </c>
      <c r="H658" t="str">
        <f>Vagas[[#This Row],[data]]&amp;Vagas[[#This Row],[profissional_id]]&amp;Vagas[[#This Row],[local_id]]</f>
        <v>44639178993</v>
      </c>
    </row>
    <row r="659" spans="1:8" x14ac:dyDescent="0.25">
      <c r="A659" s="2">
        <v>44639</v>
      </c>
      <c r="B659">
        <v>17903</v>
      </c>
      <c r="D659">
        <v>0</v>
      </c>
      <c r="E659">
        <v>0</v>
      </c>
      <c r="F659" s="1">
        <f t="shared" si="10"/>
        <v>0</v>
      </c>
      <c r="G659" s="1" t="str">
        <f>_xlfn.XLOOKUP(C659,'Ocupação DW'!$F:$F,'Ocupação DW'!$E:$E,"",0)</f>
        <v/>
      </c>
      <c r="H659" t="str">
        <f>Vagas[[#This Row],[data]]&amp;Vagas[[#This Row],[profissional_id]]&amp;Vagas[[#This Row],[local_id]]</f>
        <v>4463917903</v>
      </c>
    </row>
    <row r="660" spans="1:8" x14ac:dyDescent="0.25">
      <c r="A660" s="2">
        <v>44639</v>
      </c>
      <c r="B660">
        <v>17904</v>
      </c>
      <c r="D660">
        <v>0</v>
      </c>
      <c r="E660">
        <v>0</v>
      </c>
      <c r="F660" s="1">
        <f t="shared" si="10"/>
        <v>0</v>
      </c>
      <c r="G660" s="1" t="str">
        <f>_xlfn.XLOOKUP(C660,'Ocupação DW'!$F:$F,'Ocupação DW'!$E:$E,"",0)</f>
        <v/>
      </c>
      <c r="H660" t="str">
        <f>Vagas[[#This Row],[data]]&amp;Vagas[[#This Row],[profissional_id]]&amp;Vagas[[#This Row],[local_id]]</f>
        <v>4463917904</v>
      </c>
    </row>
    <row r="661" spans="1:8" x14ac:dyDescent="0.25">
      <c r="A661" s="2">
        <v>44639</v>
      </c>
      <c r="B661">
        <v>17907</v>
      </c>
      <c r="C661">
        <v>55</v>
      </c>
      <c r="D661">
        <v>14</v>
      </c>
      <c r="E661">
        <v>0</v>
      </c>
      <c r="F661" s="1">
        <f t="shared" si="10"/>
        <v>0</v>
      </c>
      <c r="G661" s="1" t="str">
        <f>_xlfn.XLOOKUP(C661,'Ocupação DW'!$F:$F,'Ocupação DW'!$E:$E,"",0)</f>
        <v>SEG - NILÓPOLIS</v>
      </c>
      <c r="H661" t="str">
        <f>Vagas[[#This Row],[data]]&amp;Vagas[[#This Row],[profissional_id]]&amp;Vagas[[#This Row],[local_id]]</f>
        <v>446391790755</v>
      </c>
    </row>
    <row r="662" spans="1:8" x14ac:dyDescent="0.25">
      <c r="A662" s="2">
        <v>44639</v>
      </c>
      <c r="B662">
        <v>17908</v>
      </c>
      <c r="C662">
        <v>25</v>
      </c>
      <c r="D662">
        <v>14</v>
      </c>
      <c r="E662">
        <v>0</v>
      </c>
      <c r="F662" s="1">
        <f t="shared" si="10"/>
        <v>0</v>
      </c>
      <c r="G662" s="1" t="str">
        <f>_xlfn.XLOOKUP(C662,'Ocupação DW'!$F:$F,'Ocupação DW'!$E:$E,"",0)</f>
        <v>SEG - MATRIZ</v>
      </c>
      <c r="H662" t="str">
        <f>Vagas[[#This Row],[data]]&amp;Vagas[[#This Row],[profissional_id]]&amp;Vagas[[#This Row],[local_id]]</f>
        <v>446391790825</v>
      </c>
    </row>
    <row r="663" spans="1:8" x14ac:dyDescent="0.25">
      <c r="A663" s="2">
        <v>44639</v>
      </c>
      <c r="B663">
        <v>17909</v>
      </c>
      <c r="C663">
        <v>4</v>
      </c>
      <c r="D663">
        <v>0</v>
      </c>
      <c r="E663">
        <v>0</v>
      </c>
      <c r="F663" s="1">
        <f t="shared" si="10"/>
        <v>0</v>
      </c>
      <c r="G663" s="1" t="str">
        <f>_xlfn.XLOOKUP(C663,'Ocupação DW'!$F:$F,'Ocupação DW'!$E:$E,"",0)</f>
        <v>SEG - FILIAL II 10°</v>
      </c>
      <c r="H663" t="str">
        <f>Vagas[[#This Row],[data]]&amp;Vagas[[#This Row],[profissional_id]]&amp;Vagas[[#This Row],[local_id]]</f>
        <v>44639179094</v>
      </c>
    </row>
    <row r="664" spans="1:8" x14ac:dyDescent="0.25">
      <c r="A664" s="2">
        <v>44639</v>
      </c>
      <c r="B664">
        <v>17922</v>
      </c>
      <c r="D664">
        <v>61</v>
      </c>
      <c r="E664">
        <v>0</v>
      </c>
      <c r="F664" s="1">
        <f t="shared" si="10"/>
        <v>0</v>
      </c>
      <c r="G664" s="1" t="str">
        <f>_xlfn.XLOOKUP(C664,'Ocupação DW'!$F:$F,'Ocupação DW'!$E:$E,"",0)</f>
        <v/>
      </c>
      <c r="H664" t="str">
        <f>Vagas[[#This Row],[data]]&amp;Vagas[[#This Row],[profissional_id]]&amp;Vagas[[#This Row],[local_id]]</f>
        <v>4463917922</v>
      </c>
    </row>
    <row r="665" spans="1:8" x14ac:dyDescent="0.25">
      <c r="A665" s="2">
        <v>44639</v>
      </c>
      <c r="D665">
        <v>0</v>
      </c>
      <c r="E665">
        <v>0</v>
      </c>
      <c r="F665" s="1">
        <f t="shared" si="10"/>
        <v>0</v>
      </c>
      <c r="G665" s="1" t="str">
        <f>_xlfn.XLOOKUP(C665,'Ocupação DW'!$F:$F,'Ocupação DW'!$E:$E,"",0)</f>
        <v/>
      </c>
      <c r="H665" t="str">
        <f>Vagas[[#This Row],[data]]&amp;Vagas[[#This Row],[profissional_id]]&amp;Vagas[[#This Row],[local_id]]</f>
        <v>44639</v>
      </c>
    </row>
    <row r="666" spans="1:8" x14ac:dyDescent="0.25">
      <c r="A666" s="2">
        <v>44639</v>
      </c>
      <c r="D666">
        <v>0</v>
      </c>
      <c r="E666">
        <v>0</v>
      </c>
      <c r="F666" s="1">
        <f t="shared" si="10"/>
        <v>0</v>
      </c>
      <c r="G666" s="1" t="str">
        <f>_xlfn.XLOOKUP(C666,'Ocupação DW'!$F:$F,'Ocupação DW'!$E:$E,"",0)</f>
        <v/>
      </c>
      <c r="H666" t="str">
        <f>Vagas[[#This Row],[data]]&amp;Vagas[[#This Row],[profissional_id]]&amp;Vagas[[#This Row],[local_id]]</f>
        <v>44639</v>
      </c>
    </row>
    <row r="667" spans="1:8" x14ac:dyDescent="0.25">
      <c r="A667" s="2">
        <v>44639</v>
      </c>
      <c r="D667">
        <v>0</v>
      </c>
      <c r="E667">
        <v>0</v>
      </c>
      <c r="F667" s="1">
        <f t="shared" si="10"/>
        <v>0</v>
      </c>
      <c r="G667" s="1" t="str">
        <f>_xlfn.XLOOKUP(C667,'Ocupação DW'!$F:$F,'Ocupação DW'!$E:$E,"",0)</f>
        <v/>
      </c>
      <c r="H667" t="str">
        <f>Vagas[[#This Row],[data]]&amp;Vagas[[#This Row],[profissional_id]]&amp;Vagas[[#This Row],[local_id]]</f>
        <v>44639</v>
      </c>
    </row>
    <row r="668" spans="1:8" x14ac:dyDescent="0.25">
      <c r="A668" s="2">
        <v>44640</v>
      </c>
      <c r="B668">
        <v>54</v>
      </c>
      <c r="D668">
        <v>0</v>
      </c>
      <c r="E668">
        <v>0</v>
      </c>
      <c r="F668" s="1">
        <f t="shared" si="10"/>
        <v>0</v>
      </c>
      <c r="G668" s="1" t="str">
        <f>_xlfn.XLOOKUP(C668,'Ocupação DW'!$F:$F,'Ocupação DW'!$E:$E,"",0)</f>
        <v/>
      </c>
      <c r="H668" t="str">
        <f>Vagas[[#This Row],[data]]&amp;Vagas[[#This Row],[profissional_id]]&amp;Vagas[[#This Row],[local_id]]</f>
        <v>4464054</v>
      </c>
    </row>
    <row r="669" spans="1:8" x14ac:dyDescent="0.25">
      <c r="A669" s="2">
        <v>44640</v>
      </c>
      <c r="B669">
        <v>55</v>
      </c>
      <c r="D669">
        <v>0</v>
      </c>
      <c r="E669">
        <v>0</v>
      </c>
      <c r="F669" s="1">
        <f t="shared" si="10"/>
        <v>0</v>
      </c>
      <c r="G669" s="1" t="str">
        <f>_xlfn.XLOOKUP(C669,'Ocupação DW'!$F:$F,'Ocupação DW'!$E:$E,"",0)</f>
        <v/>
      </c>
      <c r="H669" t="str">
        <f>Vagas[[#This Row],[data]]&amp;Vagas[[#This Row],[profissional_id]]&amp;Vagas[[#This Row],[local_id]]</f>
        <v>4464055</v>
      </c>
    </row>
    <row r="670" spans="1:8" x14ac:dyDescent="0.25">
      <c r="A670" s="2">
        <v>44640</v>
      </c>
      <c r="B670">
        <v>59</v>
      </c>
      <c r="D670">
        <v>0</v>
      </c>
      <c r="E670">
        <v>0</v>
      </c>
      <c r="F670" s="1">
        <f t="shared" si="10"/>
        <v>0</v>
      </c>
      <c r="G670" s="1" t="str">
        <f>_xlfn.XLOOKUP(C670,'Ocupação DW'!$F:$F,'Ocupação DW'!$E:$E,"",0)</f>
        <v/>
      </c>
      <c r="H670" t="str">
        <f>Vagas[[#This Row],[data]]&amp;Vagas[[#This Row],[profissional_id]]&amp;Vagas[[#This Row],[local_id]]</f>
        <v>4464059</v>
      </c>
    </row>
    <row r="671" spans="1:8" x14ac:dyDescent="0.25">
      <c r="A671" s="2">
        <v>44640</v>
      </c>
      <c r="B671">
        <v>60</v>
      </c>
      <c r="D671">
        <v>0</v>
      </c>
      <c r="E671">
        <v>0</v>
      </c>
      <c r="F671" s="1">
        <f t="shared" si="10"/>
        <v>0</v>
      </c>
      <c r="G671" s="1" t="str">
        <f>_xlfn.XLOOKUP(C671,'Ocupação DW'!$F:$F,'Ocupação DW'!$E:$E,"",0)</f>
        <v/>
      </c>
      <c r="H671" t="str">
        <f>Vagas[[#This Row],[data]]&amp;Vagas[[#This Row],[profissional_id]]&amp;Vagas[[#This Row],[local_id]]</f>
        <v>4464060</v>
      </c>
    </row>
    <row r="672" spans="1:8" x14ac:dyDescent="0.25">
      <c r="A672" s="2">
        <v>44640</v>
      </c>
      <c r="B672">
        <v>66</v>
      </c>
      <c r="D672">
        <v>0</v>
      </c>
      <c r="E672">
        <v>0</v>
      </c>
      <c r="F672" s="1">
        <f t="shared" si="10"/>
        <v>0</v>
      </c>
      <c r="G672" s="1" t="str">
        <f>_xlfn.XLOOKUP(C672,'Ocupação DW'!$F:$F,'Ocupação DW'!$E:$E,"",0)</f>
        <v/>
      </c>
      <c r="H672" t="str">
        <f>Vagas[[#This Row],[data]]&amp;Vagas[[#This Row],[profissional_id]]&amp;Vagas[[#This Row],[local_id]]</f>
        <v>4464066</v>
      </c>
    </row>
    <row r="673" spans="1:8" x14ac:dyDescent="0.25">
      <c r="A673" s="2">
        <v>44640</v>
      </c>
      <c r="B673">
        <v>69</v>
      </c>
      <c r="D673">
        <v>0</v>
      </c>
      <c r="E673">
        <v>0</v>
      </c>
      <c r="F673" s="1">
        <f t="shared" si="10"/>
        <v>0</v>
      </c>
      <c r="G673" s="1" t="str">
        <f>_xlfn.XLOOKUP(C673,'Ocupação DW'!$F:$F,'Ocupação DW'!$E:$E,"",0)</f>
        <v/>
      </c>
      <c r="H673" t="str">
        <f>Vagas[[#This Row],[data]]&amp;Vagas[[#This Row],[profissional_id]]&amp;Vagas[[#This Row],[local_id]]</f>
        <v>4464069</v>
      </c>
    </row>
    <row r="674" spans="1:8" x14ac:dyDescent="0.25">
      <c r="A674" s="2">
        <v>44640</v>
      </c>
      <c r="B674">
        <v>70</v>
      </c>
      <c r="D674">
        <v>0</v>
      </c>
      <c r="E674">
        <v>0</v>
      </c>
      <c r="F674" s="1">
        <f t="shared" si="10"/>
        <v>0</v>
      </c>
      <c r="G674" s="1" t="str">
        <f>_xlfn.XLOOKUP(C674,'Ocupação DW'!$F:$F,'Ocupação DW'!$E:$E,"",0)</f>
        <v/>
      </c>
      <c r="H674" t="str">
        <f>Vagas[[#This Row],[data]]&amp;Vagas[[#This Row],[profissional_id]]&amp;Vagas[[#This Row],[local_id]]</f>
        <v>4464070</v>
      </c>
    </row>
    <row r="675" spans="1:8" x14ac:dyDescent="0.25">
      <c r="A675" s="2">
        <v>44640</v>
      </c>
      <c r="B675">
        <v>73</v>
      </c>
      <c r="D675">
        <v>0</v>
      </c>
      <c r="E675">
        <v>0</v>
      </c>
      <c r="F675" s="1">
        <f t="shared" si="10"/>
        <v>0</v>
      </c>
      <c r="G675" s="1" t="str">
        <f>_xlfn.XLOOKUP(C675,'Ocupação DW'!$F:$F,'Ocupação DW'!$E:$E,"",0)</f>
        <v/>
      </c>
      <c r="H675" t="str">
        <f>Vagas[[#This Row],[data]]&amp;Vagas[[#This Row],[profissional_id]]&amp;Vagas[[#This Row],[local_id]]</f>
        <v>4464073</v>
      </c>
    </row>
    <row r="676" spans="1:8" x14ac:dyDescent="0.25">
      <c r="A676" s="2">
        <v>44640</v>
      </c>
      <c r="B676">
        <v>86</v>
      </c>
      <c r="D676">
        <v>0</v>
      </c>
      <c r="E676">
        <v>0</v>
      </c>
      <c r="F676" s="1">
        <f t="shared" si="10"/>
        <v>0</v>
      </c>
      <c r="G676" s="1" t="str">
        <f>_xlfn.XLOOKUP(C676,'Ocupação DW'!$F:$F,'Ocupação DW'!$E:$E,"",0)</f>
        <v/>
      </c>
      <c r="H676" t="str">
        <f>Vagas[[#This Row],[data]]&amp;Vagas[[#This Row],[profissional_id]]&amp;Vagas[[#This Row],[local_id]]</f>
        <v>4464086</v>
      </c>
    </row>
    <row r="677" spans="1:8" x14ac:dyDescent="0.25">
      <c r="A677" s="2">
        <v>44640</v>
      </c>
      <c r="B677">
        <v>97</v>
      </c>
      <c r="C677">
        <v>342</v>
      </c>
      <c r="D677">
        <v>0</v>
      </c>
      <c r="E677">
        <v>0</v>
      </c>
      <c r="F677" s="1">
        <f t="shared" si="10"/>
        <v>0</v>
      </c>
      <c r="G677" s="1" t="str">
        <f>_xlfn.XLOOKUP(C677,'Ocupação DW'!$F:$F,'Ocupação DW'!$E:$E,"",0)</f>
        <v>SEG - MATRIZ</v>
      </c>
      <c r="H677" t="str">
        <f>Vagas[[#This Row],[data]]&amp;Vagas[[#This Row],[profissional_id]]&amp;Vagas[[#This Row],[local_id]]</f>
        <v>4464097342</v>
      </c>
    </row>
    <row r="678" spans="1:8" x14ac:dyDescent="0.25">
      <c r="A678" s="2">
        <v>44640</v>
      </c>
      <c r="B678">
        <v>100</v>
      </c>
      <c r="D678">
        <v>0</v>
      </c>
      <c r="E678">
        <v>0</v>
      </c>
      <c r="F678" s="1">
        <f t="shared" si="10"/>
        <v>0</v>
      </c>
      <c r="G678" s="1" t="str">
        <f>_xlfn.XLOOKUP(C678,'Ocupação DW'!$F:$F,'Ocupação DW'!$E:$E,"",0)</f>
        <v/>
      </c>
      <c r="H678" t="str">
        <f>Vagas[[#This Row],[data]]&amp;Vagas[[#This Row],[profissional_id]]&amp;Vagas[[#This Row],[local_id]]</f>
        <v>44640100</v>
      </c>
    </row>
    <row r="679" spans="1:8" x14ac:dyDescent="0.25">
      <c r="A679" s="2">
        <v>44640</v>
      </c>
      <c r="B679">
        <v>110</v>
      </c>
      <c r="D679">
        <v>0</v>
      </c>
      <c r="E679">
        <v>0</v>
      </c>
      <c r="F679" s="1">
        <f t="shared" si="10"/>
        <v>0</v>
      </c>
      <c r="G679" s="1" t="str">
        <f>_xlfn.XLOOKUP(C679,'Ocupação DW'!$F:$F,'Ocupação DW'!$E:$E,"",0)</f>
        <v/>
      </c>
      <c r="H679" t="str">
        <f>Vagas[[#This Row],[data]]&amp;Vagas[[#This Row],[profissional_id]]&amp;Vagas[[#This Row],[local_id]]</f>
        <v>44640110</v>
      </c>
    </row>
    <row r="680" spans="1:8" x14ac:dyDescent="0.25">
      <c r="A680" s="2">
        <v>44640</v>
      </c>
      <c r="B680">
        <v>123</v>
      </c>
      <c r="D680">
        <v>301</v>
      </c>
      <c r="E680">
        <v>0</v>
      </c>
      <c r="F680" s="1">
        <f t="shared" si="10"/>
        <v>0</v>
      </c>
      <c r="G680" s="1" t="str">
        <f>_xlfn.XLOOKUP(C680,'Ocupação DW'!$F:$F,'Ocupação DW'!$E:$E,"",0)</f>
        <v/>
      </c>
      <c r="H680" t="str">
        <f>Vagas[[#This Row],[data]]&amp;Vagas[[#This Row],[profissional_id]]&amp;Vagas[[#This Row],[local_id]]</f>
        <v>44640123</v>
      </c>
    </row>
    <row r="681" spans="1:8" x14ac:dyDescent="0.25">
      <c r="A681" s="2">
        <v>44640</v>
      </c>
      <c r="B681">
        <v>123</v>
      </c>
      <c r="C681">
        <v>339</v>
      </c>
      <c r="D681">
        <v>357</v>
      </c>
      <c r="E681">
        <v>0</v>
      </c>
      <c r="F681" s="1">
        <f t="shared" si="10"/>
        <v>0</v>
      </c>
      <c r="G681" s="1" t="str">
        <f>_xlfn.XLOOKUP(C681,'Ocupação DW'!$F:$F,'Ocupação DW'!$E:$E,"",0)</f>
        <v>SEG - MATRIZ</v>
      </c>
      <c r="H681" t="str">
        <f>Vagas[[#This Row],[data]]&amp;Vagas[[#This Row],[profissional_id]]&amp;Vagas[[#This Row],[local_id]]</f>
        <v>44640123339</v>
      </c>
    </row>
    <row r="682" spans="1:8" x14ac:dyDescent="0.25">
      <c r="A682" s="2">
        <v>44640</v>
      </c>
      <c r="B682">
        <v>174</v>
      </c>
      <c r="C682">
        <v>24</v>
      </c>
      <c r="D682">
        <v>30</v>
      </c>
      <c r="E682">
        <v>0</v>
      </c>
      <c r="F682" s="1">
        <f t="shared" si="10"/>
        <v>0</v>
      </c>
      <c r="G682" s="1" t="str">
        <f>_xlfn.XLOOKUP(C682,'Ocupação DW'!$F:$F,'Ocupação DW'!$E:$E,"",0)</f>
        <v>SEG - MATRIZ</v>
      </c>
      <c r="H682" t="str">
        <f>Vagas[[#This Row],[data]]&amp;Vagas[[#This Row],[profissional_id]]&amp;Vagas[[#This Row],[local_id]]</f>
        <v>4464017424</v>
      </c>
    </row>
    <row r="683" spans="1:8" x14ac:dyDescent="0.25">
      <c r="A683" s="2">
        <v>44640</v>
      </c>
      <c r="B683">
        <v>282</v>
      </c>
      <c r="D683">
        <v>0</v>
      </c>
      <c r="E683">
        <v>0</v>
      </c>
      <c r="F683" s="1">
        <f t="shared" si="10"/>
        <v>0</v>
      </c>
      <c r="G683" s="1" t="str">
        <f>_xlfn.XLOOKUP(C683,'Ocupação DW'!$F:$F,'Ocupação DW'!$E:$E,"",0)</f>
        <v/>
      </c>
      <c r="H683" t="str">
        <f>Vagas[[#This Row],[data]]&amp;Vagas[[#This Row],[profissional_id]]&amp;Vagas[[#This Row],[local_id]]</f>
        <v>44640282</v>
      </c>
    </row>
    <row r="684" spans="1:8" x14ac:dyDescent="0.25">
      <c r="A684" s="2">
        <v>44640</v>
      </c>
      <c r="B684">
        <v>1343</v>
      </c>
      <c r="D684">
        <v>0</v>
      </c>
      <c r="E684">
        <v>0</v>
      </c>
      <c r="F684" s="1">
        <f t="shared" si="10"/>
        <v>0</v>
      </c>
      <c r="G684" s="1" t="str">
        <f>_xlfn.XLOOKUP(C684,'Ocupação DW'!$F:$F,'Ocupação DW'!$E:$E,"",0)</f>
        <v/>
      </c>
      <c r="H684" t="str">
        <f>Vagas[[#This Row],[data]]&amp;Vagas[[#This Row],[profissional_id]]&amp;Vagas[[#This Row],[local_id]]</f>
        <v>446401343</v>
      </c>
    </row>
    <row r="685" spans="1:8" x14ac:dyDescent="0.25">
      <c r="A685" s="2">
        <v>44640</v>
      </c>
      <c r="B685">
        <v>1490</v>
      </c>
      <c r="D685">
        <v>0</v>
      </c>
      <c r="E685">
        <v>0</v>
      </c>
      <c r="F685" s="1">
        <f t="shared" si="10"/>
        <v>0</v>
      </c>
      <c r="G685" s="1" t="str">
        <f>_xlfn.XLOOKUP(C685,'Ocupação DW'!$F:$F,'Ocupação DW'!$E:$E,"",0)</f>
        <v/>
      </c>
      <c r="H685" t="str">
        <f>Vagas[[#This Row],[data]]&amp;Vagas[[#This Row],[profissional_id]]&amp;Vagas[[#This Row],[local_id]]</f>
        <v>446401490</v>
      </c>
    </row>
    <row r="686" spans="1:8" x14ac:dyDescent="0.25">
      <c r="A686" s="2">
        <v>44640</v>
      </c>
      <c r="B686">
        <v>2334</v>
      </c>
      <c r="D686">
        <v>0</v>
      </c>
      <c r="E686">
        <v>0</v>
      </c>
      <c r="F686" s="1">
        <f t="shared" si="10"/>
        <v>0</v>
      </c>
      <c r="G686" s="1" t="str">
        <f>_xlfn.XLOOKUP(C686,'Ocupação DW'!$F:$F,'Ocupação DW'!$E:$E,"",0)</f>
        <v/>
      </c>
      <c r="H686" t="str">
        <f>Vagas[[#This Row],[data]]&amp;Vagas[[#This Row],[profissional_id]]&amp;Vagas[[#This Row],[local_id]]</f>
        <v>446402334</v>
      </c>
    </row>
    <row r="687" spans="1:8" x14ac:dyDescent="0.25">
      <c r="A687" s="2">
        <v>44640</v>
      </c>
      <c r="B687">
        <v>3092</v>
      </c>
      <c r="D687">
        <v>0</v>
      </c>
      <c r="E687">
        <v>0</v>
      </c>
      <c r="F687" s="1">
        <f t="shared" si="10"/>
        <v>0</v>
      </c>
      <c r="G687" s="1" t="str">
        <f>_xlfn.XLOOKUP(C687,'Ocupação DW'!$F:$F,'Ocupação DW'!$E:$E,"",0)</f>
        <v/>
      </c>
      <c r="H687" t="str">
        <f>Vagas[[#This Row],[data]]&amp;Vagas[[#This Row],[profissional_id]]&amp;Vagas[[#This Row],[local_id]]</f>
        <v>446403092</v>
      </c>
    </row>
    <row r="688" spans="1:8" x14ac:dyDescent="0.25">
      <c r="A688" s="2">
        <v>44640</v>
      </c>
      <c r="B688">
        <v>3502</v>
      </c>
      <c r="D688">
        <v>0</v>
      </c>
      <c r="E688">
        <v>0</v>
      </c>
      <c r="F688" s="1">
        <f t="shared" si="10"/>
        <v>0</v>
      </c>
      <c r="G688" s="1" t="str">
        <f>_xlfn.XLOOKUP(C688,'Ocupação DW'!$F:$F,'Ocupação DW'!$E:$E,"",0)</f>
        <v/>
      </c>
      <c r="H688" t="str">
        <f>Vagas[[#This Row],[data]]&amp;Vagas[[#This Row],[profissional_id]]&amp;Vagas[[#This Row],[local_id]]</f>
        <v>446403502</v>
      </c>
    </row>
    <row r="689" spans="1:8" x14ac:dyDescent="0.25">
      <c r="A689" s="2">
        <v>44640</v>
      </c>
      <c r="B689">
        <v>4887</v>
      </c>
      <c r="C689">
        <v>340</v>
      </c>
      <c r="D689">
        <v>0</v>
      </c>
      <c r="E689">
        <v>13</v>
      </c>
      <c r="F689" s="1">
        <f t="shared" si="10"/>
        <v>0</v>
      </c>
      <c r="G689" s="1" t="str">
        <f>_xlfn.XLOOKUP(C689,'Ocupação DW'!$F:$F,'Ocupação DW'!$E:$E,"",0)</f>
        <v>SEG - MATRIZ</v>
      </c>
      <c r="H689" t="str">
        <f>Vagas[[#This Row],[data]]&amp;Vagas[[#This Row],[profissional_id]]&amp;Vagas[[#This Row],[local_id]]</f>
        <v>446404887340</v>
      </c>
    </row>
    <row r="690" spans="1:8" x14ac:dyDescent="0.25">
      <c r="A690" s="2">
        <v>44640</v>
      </c>
      <c r="B690">
        <v>6046</v>
      </c>
      <c r="D690">
        <v>0</v>
      </c>
      <c r="E690">
        <v>0</v>
      </c>
      <c r="F690" s="1">
        <f t="shared" si="10"/>
        <v>0</v>
      </c>
      <c r="G690" s="1" t="str">
        <f>_xlfn.XLOOKUP(C690,'Ocupação DW'!$F:$F,'Ocupação DW'!$E:$E,"",0)</f>
        <v/>
      </c>
      <c r="H690" t="str">
        <f>Vagas[[#This Row],[data]]&amp;Vagas[[#This Row],[profissional_id]]&amp;Vagas[[#This Row],[local_id]]</f>
        <v>446406046</v>
      </c>
    </row>
    <row r="691" spans="1:8" x14ac:dyDescent="0.25">
      <c r="A691" s="2">
        <v>44640</v>
      </c>
      <c r="B691">
        <v>6430</v>
      </c>
      <c r="D691">
        <v>0</v>
      </c>
      <c r="E691">
        <v>0</v>
      </c>
      <c r="F691" s="1">
        <f t="shared" si="10"/>
        <v>0</v>
      </c>
      <c r="G691" s="1" t="str">
        <f>_xlfn.XLOOKUP(C691,'Ocupação DW'!$F:$F,'Ocupação DW'!$E:$E,"",0)</f>
        <v/>
      </c>
      <c r="H691" t="str">
        <f>Vagas[[#This Row],[data]]&amp;Vagas[[#This Row],[profissional_id]]&amp;Vagas[[#This Row],[local_id]]</f>
        <v>446406430</v>
      </c>
    </row>
    <row r="692" spans="1:8" x14ac:dyDescent="0.25">
      <c r="A692" s="2">
        <v>44640</v>
      </c>
      <c r="B692">
        <v>8598</v>
      </c>
      <c r="D692">
        <v>0</v>
      </c>
      <c r="E692">
        <v>0</v>
      </c>
      <c r="F692" s="1">
        <f t="shared" si="10"/>
        <v>0</v>
      </c>
      <c r="G692" s="1" t="str">
        <f>_xlfn.XLOOKUP(C692,'Ocupação DW'!$F:$F,'Ocupação DW'!$E:$E,"",0)</f>
        <v/>
      </c>
      <c r="H692" t="str">
        <f>Vagas[[#This Row],[data]]&amp;Vagas[[#This Row],[profissional_id]]&amp;Vagas[[#This Row],[local_id]]</f>
        <v>446408598</v>
      </c>
    </row>
    <row r="693" spans="1:8" x14ac:dyDescent="0.25">
      <c r="A693" s="2">
        <v>44640</v>
      </c>
      <c r="B693">
        <v>9111</v>
      </c>
      <c r="D693">
        <v>0</v>
      </c>
      <c r="E693">
        <v>0</v>
      </c>
      <c r="F693" s="1">
        <f t="shared" si="10"/>
        <v>0</v>
      </c>
      <c r="G693" s="1" t="str">
        <f>_xlfn.XLOOKUP(C693,'Ocupação DW'!$F:$F,'Ocupação DW'!$E:$E,"",0)</f>
        <v/>
      </c>
      <c r="H693" t="str">
        <f>Vagas[[#This Row],[data]]&amp;Vagas[[#This Row],[profissional_id]]&amp;Vagas[[#This Row],[local_id]]</f>
        <v>446409111</v>
      </c>
    </row>
    <row r="694" spans="1:8" x14ac:dyDescent="0.25">
      <c r="A694" s="2">
        <v>44640</v>
      </c>
      <c r="B694">
        <v>9654</v>
      </c>
      <c r="C694">
        <v>339</v>
      </c>
      <c r="D694">
        <v>108</v>
      </c>
      <c r="E694">
        <v>0</v>
      </c>
      <c r="F694" s="1">
        <f t="shared" si="10"/>
        <v>0</v>
      </c>
      <c r="G694" s="1" t="str">
        <f>_xlfn.XLOOKUP(C694,'Ocupação DW'!$F:$F,'Ocupação DW'!$E:$E,"",0)</f>
        <v>SEG - MATRIZ</v>
      </c>
      <c r="H694" t="str">
        <f>Vagas[[#This Row],[data]]&amp;Vagas[[#This Row],[profissional_id]]&amp;Vagas[[#This Row],[local_id]]</f>
        <v>446409654339</v>
      </c>
    </row>
    <row r="695" spans="1:8" x14ac:dyDescent="0.25">
      <c r="A695" s="2">
        <v>44640</v>
      </c>
      <c r="B695">
        <v>9717</v>
      </c>
      <c r="D695">
        <v>0</v>
      </c>
      <c r="E695">
        <v>0</v>
      </c>
      <c r="F695" s="1">
        <f t="shared" si="10"/>
        <v>0</v>
      </c>
      <c r="G695" s="1" t="str">
        <f>_xlfn.XLOOKUP(C695,'Ocupação DW'!$F:$F,'Ocupação DW'!$E:$E,"",0)</f>
        <v/>
      </c>
      <c r="H695" t="str">
        <f>Vagas[[#This Row],[data]]&amp;Vagas[[#This Row],[profissional_id]]&amp;Vagas[[#This Row],[local_id]]</f>
        <v>446409717</v>
      </c>
    </row>
    <row r="696" spans="1:8" x14ac:dyDescent="0.25">
      <c r="A696" s="2">
        <v>44640</v>
      </c>
      <c r="B696">
        <v>10249</v>
      </c>
      <c r="D696">
        <v>0</v>
      </c>
      <c r="E696">
        <v>0</v>
      </c>
      <c r="F696" s="1">
        <f t="shared" si="10"/>
        <v>0</v>
      </c>
      <c r="G696" s="1" t="str">
        <f>_xlfn.XLOOKUP(C696,'Ocupação DW'!$F:$F,'Ocupação DW'!$E:$E,"",0)</f>
        <v/>
      </c>
      <c r="H696" t="str">
        <f>Vagas[[#This Row],[data]]&amp;Vagas[[#This Row],[profissional_id]]&amp;Vagas[[#This Row],[local_id]]</f>
        <v>4464010249</v>
      </c>
    </row>
    <row r="697" spans="1:8" x14ac:dyDescent="0.25">
      <c r="A697" s="2">
        <v>44640</v>
      </c>
      <c r="B697">
        <v>10595</v>
      </c>
      <c r="D697">
        <v>0</v>
      </c>
      <c r="E697">
        <v>0</v>
      </c>
      <c r="F697" s="1">
        <f t="shared" si="10"/>
        <v>0</v>
      </c>
      <c r="G697" s="1" t="str">
        <f>_xlfn.XLOOKUP(C697,'Ocupação DW'!$F:$F,'Ocupação DW'!$E:$E,"",0)</f>
        <v/>
      </c>
      <c r="H697" t="str">
        <f>Vagas[[#This Row],[data]]&amp;Vagas[[#This Row],[profissional_id]]&amp;Vagas[[#This Row],[local_id]]</f>
        <v>4464010595</v>
      </c>
    </row>
    <row r="698" spans="1:8" x14ac:dyDescent="0.25">
      <c r="A698" s="2">
        <v>44640</v>
      </c>
      <c r="B698">
        <v>10691</v>
      </c>
      <c r="D698">
        <v>0</v>
      </c>
      <c r="E698">
        <v>0</v>
      </c>
      <c r="F698" s="1">
        <f t="shared" si="10"/>
        <v>0</v>
      </c>
      <c r="G698" s="1" t="str">
        <f>_xlfn.XLOOKUP(C698,'Ocupação DW'!$F:$F,'Ocupação DW'!$E:$E,"",0)</f>
        <v/>
      </c>
      <c r="H698" t="str">
        <f>Vagas[[#This Row],[data]]&amp;Vagas[[#This Row],[profissional_id]]&amp;Vagas[[#This Row],[local_id]]</f>
        <v>4464010691</v>
      </c>
    </row>
    <row r="699" spans="1:8" x14ac:dyDescent="0.25">
      <c r="A699" s="2">
        <v>44640</v>
      </c>
      <c r="B699">
        <v>10946</v>
      </c>
      <c r="D699">
        <v>0</v>
      </c>
      <c r="E699">
        <v>0</v>
      </c>
      <c r="F699" s="1">
        <f t="shared" si="10"/>
        <v>0</v>
      </c>
      <c r="G699" s="1" t="str">
        <f>_xlfn.XLOOKUP(C699,'Ocupação DW'!$F:$F,'Ocupação DW'!$E:$E,"",0)</f>
        <v/>
      </c>
      <c r="H699" t="str">
        <f>Vagas[[#This Row],[data]]&amp;Vagas[[#This Row],[profissional_id]]&amp;Vagas[[#This Row],[local_id]]</f>
        <v>4464010946</v>
      </c>
    </row>
    <row r="700" spans="1:8" x14ac:dyDescent="0.25">
      <c r="A700" s="2">
        <v>44640</v>
      </c>
      <c r="B700">
        <v>12369</v>
      </c>
      <c r="D700">
        <v>0</v>
      </c>
      <c r="E700">
        <v>0</v>
      </c>
      <c r="F700" s="1">
        <f t="shared" si="10"/>
        <v>0</v>
      </c>
      <c r="G700" s="1" t="str">
        <f>_xlfn.XLOOKUP(C700,'Ocupação DW'!$F:$F,'Ocupação DW'!$E:$E,"",0)</f>
        <v/>
      </c>
      <c r="H700" t="str">
        <f>Vagas[[#This Row],[data]]&amp;Vagas[[#This Row],[profissional_id]]&amp;Vagas[[#This Row],[local_id]]</f>
        <v>4464012369</v>
      </c>
    </row>
    <row r="701" spans="1:8" x14ac:dyDescent="0.25">
      <c r="A701" s="2">
        <v>44640</v>
      </c>
      <c r="B701">
        <v>12519</v>
      </c>
      <c r="D701">
        <v>0</v>
      </c>
      <c r="E701">
        <v>0</v>
      </c>
      <c r="F701" s="1">
        <f t="shared" si="10"/>
        <v>0</v>
      </c>
      <c r="G701" s="1" t="str">
        <f>_xlfn.XLOOKUP(C701,'Ocupação DW'!$F:$F,'Ocupação DW'!$E:$E,"",0)</f>
        <v/>
      </c>
      <c r="H701" t="str">
        <f>Vagas[[#This Row],[data]]&amp;Vagas[[#This Row],[profissional_id]]&amp;Vagas[[#This Row],[local_id]]</f>
        <v>4464012519</v>
      </c>
    </row>
    <row r="702" spans="1:8" x14ac:dyDescent="0.25">
      <c r="A702" s="2">
        <v>44640</v>
      </c>
      <c r="B702">
        <v>12679</v>
      </c>
      <c r="D702">
        <v>0</v>
      </c>
      <c r="E702">
        <v>0</v>
      </c>
      <c r="F702" s="1">
        <f t="shared" si="10"/>
        <v>0</v>
      </c>
      <c r="G702" s="1" t="str">
        <f>_xlfn.XLOOKUP(C702,'Ocupação DW'!$F:$F,'Ocupação DW'!$E:$E,"",0)</f>
        <v/>
      </c>
      <c r="H702" t="str">
        <f>Vagas[[#This Row],[data]]&amp;Vagas[[#This Row],[profissional_id]]&amp;Vagas[[#This Row],[local_id]]</f>
        <v>4464012679</v>
      </c>
    </row>
    <row r="703" spans="1:8" x14ac:dyDescent="0.25">
      <c r="A703" s="2">
        <v>44640</v>
      </c>
      <c r="B703">
        <v>12684</v>
      </c>
      <c r="D703">
        <v>0</v>
      </c>
      <c r="E703">
        <v>0</v>
      </c>
      <c r="F703" s="1">
        <f t="shared" si="10"/>
        <v>0</v>
      </c>
      <c r="G703" s="1" t="str">
        <f>_xlfn.XLOOKUP(C703,'Ocupação DW'!$F:$F,'Ocupação DW'!$E:$E,"",0)</f>
        <v/>
      </c>
      <c r="H703" t="str">
        <f>Vagas[[#This Row],[data]]&amp;Vagas[[#This Row],[profissional_id]]&amp;Vagas[[#This Row],[local_id]]</f>
        <v>4464012684</v>
      </c>
    </row>
    <row r="704" spans="1:8" x14ac:dyDescent="0.25">
      <c r="A704" s="2">
        <v>44640</v>
      </c>
      <c r="B704">
        <v>12711</v>
      </c>
      <c r="D704">
        <v>0</v>
      </c>
      <c r="E704">
        <v>0</v>
      </c>
      <c r="F704" s="1">
        <f t="shared" si="10"/>
        <v>0</v>
      </c>
      <c r="G704" s="1" t="str">
        <f>_xlfn.XLOOKUP(C704,'Ocupação DW'!$F:$F,'Ocupação DW'!$E:$E,"",0)</f>
        <v/>
      </c>
      <c r="H704" t="str">
        <f>Vagas[[#This Row],[data]]&amp;Vagas[[#This Row],[profissional_id]]&amp;Vagas[[#This Row],[local_id]]</f>
        <v>4464012711</v>
      </c>
    </row>
    <row r="705" spans="1:8" x14ac:dyDescent="0.25">
      <c r="A705" s="2">
        <v>44640</v>
      </c>
      <c r="B705">
        <v>12810</v>
      </c>
      <c r="D705">
        <v>0</v>
      </c>
      <c r="E705">
        <v>0</v>
      </c>
      <c r="F705" s="1">
        <f t="shared" si="10"/>
        <v>0</v>
      </c>
      <c r="G705" s="1" t="str">
        <f>_xlfn.XLOOKUP(C705,'Ocupação DW'!$F:$F,'Ocupação DW'!$E:$E,"",0)</f>
        <v/>
      </c>
      <c r="H705" t="str">
        <f>Vagas[[#This Row],[data]]&amp;Vagas[[#This Row],[profissional_id]]&amp;Vagas[[#This Row],[local_id]]</f>
        <v>4464012810</v>
      </c>
    </row>
    <row r="706" spans="1:8" x14ac:dyDescent="0.25">
      <c r="A706" s="2">
        <v>44640</v>
      </c>
      <c r="B706">
        <v>12825</v>
      </c>
      <c r="D706">
        <v>0</v>
      </c>
      <c r="E706">
        <v>0</v>
      </c>
      <c r="F706" s="1">
        <f t="shared" ref="F706:F769" si="11">IF(AND(A706=A705,B706=B705,D705&lt;&gt;0,D706=0),D705,0)</f>
        <v>0</v>
      </c>
      <c r="G706" s="1" t="str">
        <f>_xlfn.XLOOKUP(C706,'Ocupação DW'!$F:$F,'Ocupação DW'!$E:$E,"",0)</f>
        <v/>
      </c>
      <c r="H706" t="str">
        <f>Vagas[[#This Row],[data]]&amp;Vagas[[#This Row],[profissional_id]]&amp;Vagas[[#This Row],[local_id]]</f>
        <v>4464012825</v>
      </c>
    </row>
    <row r="707" spans="1:8" x14ac:dyDescent="0.25">
      <c r="A707" s="2">
        <v>44640</v>
      </c>
      <c r="B707">
        <v>13295</v>
      </c>
      <c r="C707">
        <v>340</v>
      </c>
      <c r="D707">
        <v>108</v>
      </c>
      <c r="E707">
        <v>0</v>
      </c>
      <c r="F707" s="1">
        <f t="shared" si="11"/>
        <v>0</v>
      </c>
      <c r="G707" s="1" t="str">
        <f>_xlfn.XLOOKUP(C707,'Ocupação DW'!$F:$F,'Ocupação DW'!$E:$E,"",0)</f>
        <v>SEG - MATRIZ</v>
      </c>
      <c r="H707" t="str">
        <f>Vagas[[#This Row],[data]]&amp;Vagas[[#This Row],[profissional_id]]&amp;Vagas[[#This Row],[local_id]]</f>
        <v>4464013295340</v>
      </c>
    </row>
    <row r="708" spans="1:8" x14ac:dyDescent="0.25">
      <c r="A708" s="2">
        <v>44640</v>
      </c>
      <c r="B708">
        <v>13371</v>
      </c>
      <c r="D708">
        <v>0</v>
      </c>
      <c r="E708">
        <v>0</v>
      </c>
      <c r="F708" s="1">
        <f t="shared" si="11"/>
        <v>0</v>
      </c>
      <c r="G708" s="1" t="str">
        <f>_xlfn.XLOOKUP(C708,'Ocupação DW'!$F:$F,'Ocupação DW'!$E:$E,"",0)</f>
        <v/>
      </c>
      <c r="H708" t="str">
        <f>Vagas[[#This Row],[data]]&amp;Vagas[[#This Row],[profissional_id]]&amp;Vagas[[#This Row],[local_id]]</f>
        <v>4464013371</v>
      </c>
    </row>
    <row r="709" spans="1:8" x14ac:dyDescent="0.25">
      <c r="A709" s="2">
        <v>44640</v>
      </c>
      <c r="B709">
        <v>13479</v>
      </c>
      <c r="D709">
        <v>0</v>
      </c>
      <c r="E709">
        <v>0</v>
      </c>
      <c r="F709" s="1">
        <f t="shared" si="11"/>
        <v>0</v>
      </c>
      <c r="G709" s="1" t="str">
        <f>_xlfn.XLOOKUP(C709,'Ocupação DW'!$F:$F,'Ocupação DW'!$E:$E,"",0)</f>
        <v/>
      </c>
      <c r="H709" t="str">
        <f>Vagas[[#This Row],[data]]&amp;Vagas[[#This Row],[profissional_id]]&amp;Vagas[[#This Row],[local_id]]</f>
        <v>4464013479</v>
      </c>
    </row>
    <row r="710" spans="1:8" x14ac:dyDescent="0.25">
      <c r="A710" s="2">
        <v>44640</v>
      </c>
      <c r="B710">
        <v>13645</v>
      </c>
      <c r="D710">
        <v>0</v>
      </c>
      <c r="E710">
        <v>0</v>
      </c>
      <c r="F710" s="1">
        <f t="shared" si="11"/>
        <v>0</v>
      </c>
      <c r="G710" s="1" t="str">
        <f>_xlfn.XLOOKUP(C710,'Ocupação DW'!$F:$F,'Ocupação DW'!$E:$E,"",0)</f>
        <v/>
      </c>
      <c r="H710" t="str">
        <f>Vagas[[#This Row],[data]]&amp;Vagas[[#This Row],[profissional_id]]&amp;Vagas[[#This Row],[local_id]]</f>
        <v>4464013645</v>
      </c>
    </row>
    <row r="711" spans="1:8" x14ac:dyDescent="0.25">
      <c r="A711" s="2">
        <v>44640</v>
      </c>
      <c r="B711">
        <v>13835</v>
      </c>
      <c r="D711">
        <v>0</v>
      </c>
      <c r="E711">
        <v>0</v>
      </c>
      <c r="F711" s="1">
        <f t="shared" si="11"/>
        <v>0</v>
      </c>
      <c r="G711" s="1" t="str">
        <f>_xlfn.XLOOKUP(C711,'Ocupação DW'!$F:$F,'Ocupação DW'!$E:$E,"",0)</f>
        <v/>
      </c>
      <c r="H711" t="str">
        <f>Vagas[[#This Row],[data]]&amp;Vagas[[#This Row],[profissional_id]]&amp;Vagas[[#This Row],[local_id]]</f>
        <v>4464013835</v>
      </c>
    </row>
    <row r="712" spans="1:8" x14ac:dyDescent="0.25">
      <c r="A712" s="2">
        <v>44640</v>
      </c>
      <c r="B712">
        <v>14452</v>
      </c>
      <c r="D712">
        <v>0</v>
      </c>
      <c r="E712">
        <v>0</v>
      </c>
      <c r="F712" s="1">
        <f t="shared" si="11"/>
        <v>0</v>
      </c>
      <c r="G712" s="1" t="str">
        <f>_xlfn.XLOOKUP(C712,'Ocupação DW'!$F:$F,'Ocupação DW'!$E:$E,"",0)</f>
        <v/>
      </c>
      <c r="H712" t="str">
        <f>Vagas[[#This Row],[data]]&amp;Vagas[[#This Row],[profissional_id]]&amp;Vagas[[#This Row],[local_id]]</f>
        <v>4464014452</v>
      </c>
    </row>
    <row r="713" spans="1:8" x14ac:dyDescent="0.25">
      <c r="A713" s="2">
        <v>44640</v>
      </c>
      <c r="B713">
        <v>17059</v>
      </c>
      <c r="D713">
        <v>0</v>
      </c>
      <c r="E713">
        <v>0</v>
      </c>
      <c r="F713" s="1">
        <f t="shared" si="11"/>
        <v>0</v>
      </c>
      <c r="G713" s="1" t="str">
        <f>_xlfn.XLOOKUP(C713,'Ocupação DW'!$F:$F,'Ocupação DW'!$E:$E,"",0)</f>
        <v/>
      </c>
      <c r="H713" t="str">
        <f>Vagas[[#This Row],[data]]&amp;Vagas[[#This Row],[profissional_id]]&amp;Vagas[[#This Row],[local_id]]</f>
        <v>4464017059</v>
      </c>
    </row>
    <row r="714" spans="1:8" x14ac:dyDescent="0.25">
      <c r="A714" s="2">
        <v>44640</v>
      </c>
      <c r="B714">
        <v>17742</v>
      </c>
      <c r="D714">
        <v>0</v>
      </c>
      <c r="E714">
        <v>0</v>
      </c>
      <c r="F714" s="1">
        <f t="shared" si="11"/>
        <v>0</v>
      </c>
      <c r="G714" s="1" t="str">
        <f>_xlfn.XLOOKUP(C714,'Ocupação DW'!$F:$F,'Ocupação DW'!$E:$E,"",0)</f>
        <v/>
      </c>
      <c r="H714" t="str">
        <f>Vagas[[#This Row],[data]]&amp;Vagas[[#This Row],[profissional_id]]&amp;Vagas[[#This Row],[local_id]]</f>
        <v>4464017742</v>
      </c>
    </row>
    <row r="715" spans="1:8" x14ac:dyDescent="0.25">
      <c r="A715" s="2">
        <v>44640</v>
      </c>
      <c r="B715">
        <v>17858</v>
      </c>
      <c r="D715">
        <v>0</v>
      </c>
      <c r="E715">
        <v>0</v>
      </c>
      <c r="F715" s="1">
        <f t="shared" si="11"/>
        <v>0</v>
      </c>
      <c r="G715" s="1" t="str">
        <f>_xlfn.XLOOKUP(C715,'Ocupação DW'!$F:$F,'Ocupação DW'!$E:$E,"",0)</f>
        <v/>
      </c>
      <c r="H715" t="str">
        <f>Vagas[[#This Row],[data]]&amp;Vagas[[#This Row],[profissional_id]]&amp;Vagas[[#This Row],[local_id]]</f>
        <v>4464017858</v>
      </c>
    </row>
    <row r="716" spans="1:8" x14ac:dyDescent="0.25">
      <c r="A716" s="2">
        <v>44640</v>
      </c>
      <c r="B716">
        <v>17871</v>
      </c>
      <c r="D716">
        <v>0</v>
      </c>
      <c r="E716">
        <v>0</v>
      </c>
      <c r="F716" s="1">
        <f t="shared" si="11"/>
        <v>0</v>
      </c>
      <c r="G716" s="1" t="str">
        <f>_xlfn.XLOOKUP(C716,'Ocupação DW'!$F:$F,'Ocupação DW'!$E:$E,"",0)</f>
        <v/>
      </c>
      <c r="H716" t="str">
        <f>Vagas[[#This Row],[data]]&amp;Vagas[[#This Row],[profissional_id]]&amp;Vagas[[#This Row],[local_id]]</f>
        <v>4464017871</v>
      </c>
    </row>
    <row r="717" spans="1:8" x14ac:dyDescent="0.25">
      <c r="A717" s="2">
        <v>44640</v>
      </c>
      <c r="B717">
        <v>17874</v>
      </c>
      <c r="D717">
        <v>0</v>
      </c>
      <c r="E717">
        <v>0</v>
      </c>
      <c r="F717" s="1">
        <f t="shared" si="11"/>
        <v>0</v>
      </c>
      <c r="G717" s="1" t="str">
        <f>_xlfn.XLOOKUP(C717,'Ocupação DW'!$F:$F,'Ocupação DW'!$E:$E,"",0)</f>
        <v/>
      </c>
      <c r="H717" t="str">
        <f>Vagas[[#This Row],[data]]&amp;Vagas[[#This Row],[profissional_id]]&amp;Vagas[[#This Row],[local_id]]</f>
        <v>4464017874</v>
      </c>
    </row>
    <row r="718" spans="1:8" x14ac:dyDescent="0.25">
      <c r="A718" s="2">
        <v>44640</v>
      </c>
      <c r="B718">
        <v>17881</v>
      </c>
      <c r="C718">
        <v>20</v>
      </c>
      <c r="D718">
        <v>61</v>
      </c>
      <c r="E718">
        <v>0</v>
      </c>
      <c r="F718" s="1">
        <f t="shared" si="11"/>
        <v>0</v>
      </c>
      <c r="G718" s="1" t="str">
        <f>_xlfn.XLOOKUP(C718,'Ocupação DW'!$F:$F,'Ocupação DW'!$E:$E,"",0)</f>
        <v>SEG - MATRIZ</v>
      </c>
      <c r="H718" t="str">
        <f>Vagas[[#This Row],[data]]&amp;Vagas[[#This Row],[profissional_id]]&amp;Vagas[[#This Row],[local_id]]</f>
        <v>446401788120</v>
      </c>
    </row>
    <row r="719" spans="1:8" x14ac:dyDescent="0.25">
      <c r="A719" s="2">
        <v>44640</v>
      </c>
      <c r="B719">
        <v>17883</v>
      </c>
      <c r="D719">
        <v>0</v>
      </c>
      <c r="E719">
        <v>0</v>
      </c>
      <c r="F719" s="1">
        <f t="shared" si="11"/>
        <v>0</v>
      </c>
      <c r="G719" s="1" t="str">
        <f>_xlfn.XLOOKUP(C719,'Ocupação DW'!$F:$F,'Ocupação DW'!$E:$E,"",0)</f>
        <v/>
      </c>
      <c r="H719" t="str">
        <f>Vagas[[#This Row],[data]]&amp;Vagas[[#This Row],[profissional_id]]&amp;Vagas[[#This Row],[local_id]]</f>
        <v>4464017883</v>
      </c>
    </row>
    <row r="720" spans="1:8" x14ac:dyDescent="0.25">
      <c r="A720" s="2">
        <v>44640</v>
      </c>
      <c r="B720">
        <v>17885</v>
      </c>
      <c r="D720">
        <v>0</v>
      </c>
      <c r="E720">
        <v>0</v>
      </c>
      <c r="F720" s="1">
        <f t="shared" si="11"/>
        <v>0</v>
      </c>
      <c r="G720" s="1" t="str">
        <f>_xlfn.XLOOKUP(C720,'Ocupação DW'!$F:$F,'Ocupação DW'!$E:$E,"",0)</f>
        <v/>
      </c>
      <c r="H720" t="str">
        <f>Vagas[[#This Row],[data]]&amp;Vagas[[#This Row],[profissional_id]]&amp;Vagas[[#This Row],[local_id]]</f>
        <v>4464017885</v>
      </c>
    </row>
    <row r="721" spans="1:8" x14ac:dyDescent="0.25">
      <c r="A721" s="2">
        <v>44640</v>
      </c>
      <c r="B721">
        <v>17885</v>
      </c>
      <c r="C721">
        <v>23</v>
      </c>
      <c r="D721">
        <v>37</v>
      </c>
      <c r="E721">
        <v>0</v>
      </c>
      <c r="F721" s="1">
        <f t="shared" si="11"/>
        <v>0</v>
      </c>
      <c r="G721" s="1" t="str">
        <f>_xlfn.XLOOKUP(C721,'Ocupação DW'!$F:$F,'Ocupação DW'!$E:$E,"",0)</f>
        <v/>
      </c>
      <c r="H721" t="str">
        <f>Vagas[[#This Row],[data]]&amp;Vagas[[#This Row],[profissional_id]]&amp;Vagas[[#This Row],[local_id]]</f>
        <v>446401788523</v>
      </c>
    </row>
    <row r="722" spans="1:8" x14ac:dyDescent="0.25">
      <c r="A722" s="2">
        <v>44640</v>
      </c>
      <c r="B722">
        <v>17892</v>
      </c>
      <c r="D722">
        <v>0</v>
      </c>
      <c r="E722">
        <v>0</v>
      </c>
      <c r="F722" s="1">
        <f t="shared" si="11"/>
        <v>0</v>
      </c>
      <c r="G722" s="1" t="str">
        <f>_xlfn.XLOOKUP(C722,'Ocupação DW'!$F:$F,'Ocupação DW'!$E:$E,"",0)</f>
        <v/>
      </c>
      <c r="H722" t="str">
        <f>Vagas[[#This Row],[data]]&amp;Vagas[[#This Row],[profissional_id]]&amp;Vagas[[#This Row],[local_id]]</f>
        <v>4464017892</v>
      </c>
    </row>
    <row r="723" spans="1:8" x14ac:dyDescent="0.25">
      <c r="A723" s="2">
        <v>44640</v>
      </c>
      <c r="B723">
        <v>17898</v>
      </c>
      <c r="C723">
        <v>35</v>
      </c>
      <c r="D723">
        <v>55</v>
      </c>
      <c r="E723">
        <v>0</v>
      </c>
      <c r="F723" s="1">
        <f t="shared" si="11"/>
        <v>0</v>
      </c>
      <c r="G723" s="1" t="str">
        <f>_xlfn.XLOOKUP(C723,'Ocupação DW'!$F:$F,'Ocupação DW'!$E:$E,"",0)</f>
        <v/>
      </c>
      <c r="H723" t="str">
        <f>Vagas[[#This Row],[data]]&amp;Vagas[[#This Row],[profissional_id]]&amp;Vagas[[#This Row],[local_id]]</f>
        <v>446401789835</v>
      </c>
    </row>
    <row r="724" spans="1:8" x14ac:dyDescent="0.25">
      <c r="A724" s="2">
        <v>44640</v>
      </c>
      <c r="B724">
        <v>17903</v>
      </c>
      <c r="D724">
        <v>0</v>
      </c>
      <c r="E724">
        <v>0</v>
      </c>
      <c r="F724" s="1">
        <f t="shared" si="11"/>
        <v>0</v>
      </c>
      <c r="G724" s="1" t="str">
        <f>_xlfn.XLOOKUP(C724,'Ocupação DW'!$F:$F,'Ocupação DW'!$E:$E,"",0)</f>
        <v/>
      </c>
      <c r="H724" t="str">
        <f>Vagas[[#This Row],[data]]&amp;Vagas[[#This Row],[profissional_id]]&amp;Vagas[[#This Row],[local_id]]</f>
        <v>4464017903</v>
      </c>
    </row>
    <row r="725" spans="1:8" x14ac:dyDescent="0.25">
      <c r="A725" s="2">
        <v>44640</v>
      </c>
      <c r="B725">
        <v>17904</v>
      </c>
      <c r="D725">
        <v>0</v>
      </c>
      <c r="E725">
        <v>0</v>
      </c>
      <c r="F725" s="1">
        <f t="shared" si="11"/>
        <v>0</v>
      </c>
      <c r="G725" s="1" t="str">
        <f>_xlfn.XLOOKUP(C725,'Ocupação DW'!$F:$F,'Ocupação DW'!$E:$E,"",0)</f>
        <v/>
      </c>
      <c r="H725" t="str">
        <f>Vagas[[#This Row],[data]]&amp;Vagas[[#This Row],[profissional_id]]&amp;Vagas[[#This Row],[local_id]]</f>
        <v>4464017904</v>
      </c>
    </row>
    <row r="726" spans="1:8" x14ac:dyDescent="0.25">
      <c r="A726" s="2">
        <v>44640</v>
      </c>
      <c r="B726">
        <v>17908</v>
      </c>
      <c r="C726">
        <v>25</v>
      </c>
      <c r="D726">
        <v>14</v>
      </c>
      <c r="E726">
        <v>0</v>
      </c>
      <c r="F726" s="1">
        <f t="shared" si="11"/>
        <v>0</v>
      </c>
      <c r="G726" s="1" t="str">
        <f>_xlfn.XLOOKUP(C726,'Ocupação DW'!$F:$F,'Ocupação DW'!$E:$E,"",0)</f>
        <v>SEG - MATRIZ</v>
      </c>
      <c r="H726" t="str">
        <f>Vagas[[#This Row],[data]]&amp;Vagas[[#This Row],[profissional_id]]&amp;Vagas[[#This Row],[local_id]]</f>
        <v>446401790825</v>
      </c>
    </row>
    <row r="727" spans="1:8" x14ac:dyDescent="0.25">
      <c r="A727" s="2">
        <v>44640</v>
      </c>
      <c r="B727">
        <v>17922</v>
      </c>
      <c r="D727">
        <v>0</v>
      </c>
      <c r="E727">
        <v>0</v>
      </c>
      <c r="F727" s="1">
        <f t="shared" si="11"/>
        <v>0</v>
      </c>
      <c r="G727" s="1" t="str">
        <f>_xlfn.XLOOKUP(C727,'Ocupação DW'!$F:$F,'Ocupação DW'!$E:$E,"",0)</f>
        <v/>
      </c>
      <c r="H727" t="str">
        <f>Vagas[[#This Row],[data]]&amp;Vagas[[#This Row],[profissional_id]]&amp;Vagas[[#This Row],[local_id]]</f>
        <v>4464017922</v>
      </c>
    </row>
    <row r="728" spans="1:8" x14ac:dyDescent="0.25">
      <c r="A728" s="2">
        <v>44640</v>
      </c>
      <c r="D728">
        <v>0</v>
      </c>
      <c r="E728">
        <v>0</v>
      </c>
      <c r="F728" s="1">
        <f t="shared" si="11"/>
        <v>0</v>
      </c>
      <c r="G728" s="1" t="str">
        <f>_xlfn.XLOOKUP(C728,'Ocupação DW'!$F:$F,'Ocupação DW'!$E:$E,"",0)</f>
        <v/>
      </c>
      <c r="H728" t="str">
        <f>Vagas[[#This Row],[data]]&amp;Vagas[[#This Row],[profissional_id]]&amp;Vagas[[#This Row],[local_id]]</f>
        <v>44640</v>
      </c>
    </row>
    <row r="729" spans="1:8" x14ac:dyDescent="0.25">
      <c r="A729" s="2">
        <v>44640</v>
      </c>
      <c r="D729">
        <v>0</v>
      </c>
      <c r="E729">
        <v>0</v>
      </c>
      <c r="F729" s="1">
        <f t="shared" si="11"/>
        <v>0</v>
      </c>
      <c r="G729" s="1" t="str">
        <f>_xlfn.XLOOKUP(C729,'Ocupação DW'!$F:$F,'Ocupação DW'!$E:$E,"",0)</f>
        <v/>
      </c>
      <c r="H729" t="str">
        <f>Vagas[[#This Row],[data]]&amp;Vagas[[#This Row],[profissional_id]]&amp;Vagas[[#This Row],[local_id]]</f>
        <v>44640</v>
      </c>
    </row>
    <row r="730" spans="1:8" x14ac:dyDescent="0.25">
      <c r="A730" s="2">
        <v>44640</v>
      </c>
      <c r="D730">
        <v>0</v>
      </c>
      <c r="E730">
        <v>0</v>
      </c>
      <c r="F730" s="1">
        <f t="shared" si="11"/>
        <v>0</v>
      </c>
      <c r="G730" s="1" t="str">
        <f>_xlfn.XLOOKUP(C730,'Ocupação DW'!$F:$F,'Ocupação DW'!$E:$E,"",0)</f>
        <v/>
      </c>
      <c r="H730" t="str">
        <f>Vagas[[#This Row],[data]]&amp;Vagas[[#This Row],[profissional_id]]&amp;Vagas[[#This Row],[local_id]]</f>
        <v>44640</v>
      </c>
    </row>
    <row r="731" spans="1:8" x14ac:dyDescent="0.25">
      <c r="A731" s="2">
        <v>44641</v>
      </c>
      <c r="B731">
        <v>54</v>
      </c>
      <c r="D731">
        <v>0</v>
      </c>
      <c r="E731">
        <v>0</v>
      </c>
      <c r="F731" s="1">
        <f t="shared" si="11"/>
        <v>0</v>
      </c>
      <c r="G731" s="1" t="str">
        <f>_xlfn.XLOOKUP(C731,'Ocupação DW'!$F:$F,'Ocupação DW'!$E:$E,"",0)</f>
        <v/>
      </c>
      <c r="H731" t="str">
        <f>Vagas[[#This Row],[data]]&amp;Vagas[[#This Row],[profissional_id]]&amp;Vagas[[#This Row],[local_id]]</f>
        <v>4464154</v>
      </c>
    </row>
    <row r="732" spans="1:8" x14ac:dyDescent="0.25">
      <c r="A732" s="2">
        <v>44641</v>
      </c>
      <c r="B732">
        <v>54</v>
      </c>
      <c r="C732">
        <v>50</v>
      </c>
      <c r="D732">
        <v>9</v>
      </c>
      <c r="E732">
        <v>0</v>
      </c>
      <c r="F732" s="1">
        <f t="shared" si="11"/>
        <v>0</v>
      </c>
      <c r="G732" s="1" t="str">
        <f>_xlfn.XLOOKUP(C732,'Ocupação DW'!$F:$F,'Ocupação DW'!$E:$E,"",0)</f>
        <v>SEG - FILIAL I</v>
      </c>
      <c r="H732" t="str">
        <f>Vagas[[#This Row],[data]]&amp;Vagas[[#This Row],[profissional_id]]&amp;Vagas[[#This Row],[local_id]]</f>
        <v>446415450</v>
      </c>
    </row>
    <row r="733" spans="1:8" x14ac:dyDescent="0.25">
      <c r="A733" s="2">
        <v>44641</v>
      </c>
      <c r="B733">
        <v>55</v>
      </c>
      <c r="D733">
        <v>0</v>
      </c>
      <c r="E733">
        <v>0</v>
      </c>
      <c r="F733" s="1">
        <f t="shared" si="11"/>
        <v>0</v>
      </c>
      <c r="G733" s="1" t="str">
        <f>_xlfn.XLOOKUP(C733,'Ocupação DW'!$F:$F,'Ocupação DW'!$E:$E,"",0)</f>
        <v/>
      </c>
      <c r="H733" t="str">
        <f>Vagas[[#This Row],[data]]&amp;Vagas[[#This Row],[profissional_id]]&amp;Vagas[[#This Row],[local_id]]</f>
        <v>4464155</v>
      </c>
    </row>
    <row r="734" spans="1:8" x14ac:dyDescent="0.25">
      <c r="A734" s="2">
        <v>44641</v>
      </c>
      <c r="B734">
        <v>59</v>
      </c>
      <c r="D734">
        <v>0</v>
      </c>
      <c r="E734">
        <v>0</v>
      </c>
      <c r="F734" s="1">
        <f t="shared" si="11"/>
        <v>0</v>
      </c>
      <c r="G734" s="1" t="str">
        <f>_xlfn.XLOOKUP(C734,'Ocupação DW'!$F:$F,'Ocupação DW'!$E:$E,"",0)</f>
        <v/>
      </c>
      <c r="H734" t="str">
        <f>Vagas[[#This Row],[data]]&amp;Vagas[[#This Row],[profissional_id]]&amp;Vagas[[#This Row],[local_id]]</f>
        <v>4464159</v>
      </c>
    </row>
    <row r="735" spans="1:8" x14ac:dyDescent="0.25">
      <c r="A735" s="2">
        <v>44641</v>
      </c>
      <c r="B735">
        <v>59</v>
      </c>
      <c r="C735">
        <v>60</v>
      </c>
      <c r="D735">
        <v>3</v>
      </c>
      <c r="E735">
        <v>0</v>
      </c>
      <c r="F735" s="1">
        <f t="shared" si="11"/>
        <v>0</v>
      </c>
      <c r="G735" s="1" t="str">
        <f>_xlfn.XLOOKUP(C735,'Ocupação DW'!$F:$F,'Ocupação DW'!$E:$E,"",0)</f>
        <v>SEG - NILÓPOLIS</v>
      </c>
      <c r="H735" t="str">
        <f>Vagas[[#This Row],[data]]&amp;Vagas[[#This Row],[profissional_id]]&amp;Vagas[[#This Row],[local_id]]</f>
        <v>446415960</v>
      </c>
    </row>
    <row r="736" spans="1:8" x14ac:dyDescent="0.25">
      <c r="A736" s="2">
        <v>44641</v>
      </c>
      <c r="B736">
        <v>60</v>
      </c>
      <c r="D736">
        <v>26</v>
      </c>
      <c r="E736">
        <v>0</v>
      </c>
      <c r="F736" s="1">
        <f t="shared" si="11"/>
        <v>0</v>
      </c>
      <c r="G736" s="1" t="str">
        <f>_xlfn.XLOOKUP(C736,'Ocupação DW'!$F:$F,'Ocupação DW'!$E:$E,"",0)</f>
        <v/>
      </c>
      <c r="H736" t="str">
        <f>Vagas[[#This Row],[data]]&amp;Vagas[[#This Row],[profissional_id]]&amp;Vagas[[#This Row],[local_id]]</f>
        <v>4464160</v>
      </c>
    </row>
    <row r="737" spans="1:8" x14ac:dyDescent="0.25">
      <c r="A737" s="2">
        <v>44641</v>
      </c>
      <c r="B737">
        <v>60</v>
      </c>
      <c r="C737">
        <v>66</v>
      </c>
      <c r="D737">
        <v>0</v>
      </c>
      <c r="E737">
        <v>0</v>
      </c>
      <c r="F737" s="1">
        <f t="shared" si="11"/>
        <v>26</v>
      </c>
      <c r="G737" s="1" t="str">
        <f>_xlfn.XLOOKUP(C737,'Ocupação DW'!$F:$F,'Ocupação DW'!$E:$E,"",0)</f>
        <v>SEG - NILÓPOLIS</v>
      </c>
      <c r="H737" t="str">
        <f>Vagas[[#This Row],[data]]&amp;Vagas[[#This Row],[profissional_id]]&amp;Vagas[[#This Row],[local_id]]</f>
        <v>446416066</v>
      </c>
    </row>
    <row r="738" spans="1:8" x14ac:dyDescent="0.25">
      <c r="A738" s="2">
        <v>44641</v>
      </c>
      <c r="B738">
        <v>60</v>
      </c>
      <c r="C738">
        <v>345</v>
      </c>
      <c r="D738">
        <v>0</v>
      </c>
      <c r="E738">
        <v>0</v>
      </c>
      <c r="F738" s="1">
        <f t="shared" si="11"/>
        <v>0</v>
      </c>
      <c r="G738" s="1" t="str">
        <f>_xlfn.XLOOKUP(C738,'Ocupação DW'!$F:$F,'Ocupação DW'!$E:$E,"",0)</f>
        <v>SEG - MATRIZ</v>
      </c>
      <c r="H738" t="str">
        <f>Vagas[[#This Row],[data]]&amp;Vagas[[#This Row],[profissional_id]]&amp;Vagas[[#This Row],[local_id]]</f>
        <v>4464160345</v>
      </c>
    </row>
    <row r="739" spans="1:8" x14ac:dyDescent="0.25">
      <c r="A739" s="2">
        <v>44641</v>
      </c>
      <c r="B739">
        <v>66</v>
      </c>
      <c r="D739">
        <v>49</v>
      </c>
      <c r="E739">
        <v>0</v>
      </c>
      <c r="F739" s="1">
        <f t="shared" si="11"/>
        <v>0</v>
      </c>
      <c r="G739" s="1" t="str">
        <f>_xlfn.XLOOKUP(C739,'Ocupação DW'!$F:$F,'Ocupação DW'!$E:$E,"",0)</f>
        <v/>
      </c>
      <c r="H739" t="str">
        <f>Vagas[[#This Row],[data]]&amp;Vagas[[#This Row],[profissional_id]]&amp;Vagas[[#This Row],[local_id]]</f>
        <v>4464166</v>
      </c>
    </row>
    <row r="740" spans="1:8" x14ac:dyDescent="0.25">
      <c r="A740" s="2">
        <v>44641</v>
      </c>
      <c r="B740">
        <v>66</v>
      </c>
      <c r="C740">
        <v>345</v>
      </c>
      <c r="D740">
        <v>60</v>
      </c>
      <c r="E740">
        <v>0</v>
      </c>
      <c r="F740" s="1">
        <f t="shared" si="11"/>
        <v>0</v>
      </c>
      <c r="G740" s="1" t="str">
        <f>_xlfn.XLOOKUP(C740,'Ocupação DW'!$F:$F,'Ocupação DW'!$E:$E,"",0)</f>
        <v>SEG - MATRIZ</v>
      </c>
      <c r="H740" t="str">
        <f>Vagas[[#This Row],[data]]&amp;Vagas[[#This Row],[profissional_id]]&amp;Vagas[[#This Row],[local_id]]</f>
        <v>4464166345</v>
      </c>
    </row>
    <row r="741" spans="1:8" x14ac:dyDescent="0.25">
      <c r="A741" s="2">
        <v>44641</v>
      </c>
      <c r="B741">
        <v>69</v>
      </c>
      <c r="D741">
        <v>0</v>
      </c>
      <c r="E741">
        <v>0</v>
      </c>
      <c r="F741" s="1">
        <f t="shared" si="11"/>
        <v>0</v>
      </c>
      <c r="G741" s="1" t="str">
        <f>_xlfn.XLOOKUP(C741,'Ocupação DW'!$F:$F,'Ocupação DW'!$E:$E,"",0)</f>
        <v/>
      </c>
      <c r="H741" t="str">
        <f>Vagas[[#This Row],[data]]&amp;Vagas[[#This Row],[profissional_id]]&amp;Vagas[[#This Row],[local_id]]</f>
        <v>4464169</v>
      </c>
    </row>
    <row r="742" spans="1:8" x14ac:dyDescent="0.25">
      <c r="A742" s="2">
        <v>44641</v>
      </c>
      <c r="B742">
        <v>70</v>
      </c>
      <c r="D742">
        <v>19</v>
      </c>
      <c r="E742">
        <v>0</v>
      </c>
      <c r="F742" s="1">
        <f t="shared" si="11"/>
        <v>0</v>
      </c>
      <c r="G742" s="1" t="str">
        <f>_xlfn.XLOOKUP(C742,'Ocupação DW'!$F:$F,'Ocupação DW'!$E:$E,"",0)</f>
        <v/>
      </c>
      <c r="H742" t="str">
        <f>Vagas[[#This Row],[data]]&amp;Vagas[[#This Row],[profissional_id]]&amp;Vagas[[#This Row],[local_id]]</f>
        <v>4464170</v>
      </c>
    </row>
    <row r="743" spans="1:8" x14ac:dyDescent="0.25">
      <c r="A743" s="2">
        <v>44641</v>
      </c>
      <c r="B743">
        <v>70</v>
      </c>
      <c r="C743">
        <v>13</v>
      </c>
      <c r="D743">
        <v>0</v>
      </c>
      <c r="E743">
        <v>0</v>
      </c>
      <c r="F743" s="1">
        <f t="shared" si="11"/>
        <v>19</v>
      </c>
      <c r="G743" s="1" t="str">
        <f>_xlfn.XLOOKUP(C743,'Ocupação DW'!$F:$F,'Ocupação DW'!$E:$E,"",0)</f>
        <v>SEG - FILIAL II 11°</v>
      </c>
      <c r="H743" t="str">
        <f>Vagas[[#This Row],[data]]&amp;Vagas[[#This Row],[profissional_id]]&amp;Vagas[[#This Row],[local_id]]</f>
        <v>446417013</v>
      </c>
    </row>
    <row r="744" spans="1:8" x14ac:dyDescent="0.25">
      <c r="A744" s="2">
        <v>44641</v>
      </c>
      <c r="B744">
        <v>73</v>
      </c>
      <c r="D744">
        <v>0</v>
      </c>
      <c r="E744">
        <v>0</v>
      </c>
      <c r="F744" s="1">
        <f t="shared" si="11"/>
        <v>0</v>
      </c>
      <c r="G744" s="1" t="str">
        <f>_xlfn.XLOOKUP(C744,'Ocupação DW'!$F:$F,'Ocupação DW'!$E:$E,"",0)</f>
        <v/>
      </c>
      <c r="H744" t="str">
        <f>Vagas[[#This Row],[data]]&amp;Vagas[[#This Row],[profissional_id]]&amp;Vagas[[#This Row],[local_id]]</f>
        <v>4464173</v>
      </c>
    </row>
    <row r="745" spans="1:8" x14ac:dyDescent="0.25">
      <c r="A745" s="2">
        <v>44641</v>
      </c>
      <c r="B745">
        <v>75</v>
      </c>
      <c r="C745">
        <v>6</v>
      </c>
      <c r="D745">
        <v>0</v>
      </c>
      <c r="E745">
        <v>0</v>
      </c>
      <c r="F745" s="1">
        <f t="shared" si="11"/>
        <v>0</v>
      </c>
      <c r="G745" s="1" t="str">
        <f>_xlfn.XLOOKUP(C745,'Ocupação DW'!$F:$F,'Ocupação DW'!$E:$E,"",0)</f>
        <v>SEG - FILIAL II 10°</v>
      </c>
      <c r="H745" t="str">
        <f>Vagas[[#This Row],[data]]&amp;Vagas[[#This Row],[profissional_id]]&amp;Vagas[[#This Row],[local_id]]</f>
        <v>44641756</v>
      </c>
    </row>
    <row r="746" spans="1:8" x14ac:dyDescent="0.25">
      <c r="A746" s="2">
        <v>44641</v>
      </c>
      <c r="B746">
        <v>75</v>
      </c>
      <c r="C746">
        <v>15</v>
      </c>
      <c r="D746">
        <v>0</v>
      </c>
      <c r="E746">
        <v>0</v>
      </c>
      <c r="F746" s="1">
        <f t="shared" si="11"/>
        <v>0</v>
      </c>
      <c r="G746" s="1" t="str">
        <f>_xlfn.XLOOKUP(C746,'Ocupação DW'!$F:$F,'Ocupação DW'!$E:$E,"",0)</f>
        <v>SEG - FILIAL II 11°</v>
      </c>
      <c r="H746" t="str">
        <f>Vagas[[#This Row],[data]]&amp;Vagas[[#This Row],[profissional_id]]&amp;Vagas[[#This Row],[local_id]]</f>
        <v>446417515</v>
      </c>
    </row>
    <row r="747" spans="1:8" x14ac:dyDescent="0.25">
      <c r="A747" s="2">
        <v>44641</v>
      </c>
      <c r="B747">
        <v>81</v>
      </c>
      <c r="C747">
        <v>41</v>
      </c>
      <c r="D747">
        <v>0</v>
      </c>
      <c r="E747">
        <v>0</v>
      </c>
      <c r="F747" s="1">
        <f t="shared" si="11"/>
        <v>0</v>
      </c>
      <c r="G747" s="1" t="str">
        <f>_xlfn.XLOOKUP(C747,'Ocupação DW'!$F:$F,'Ocupação DW'!$E:$E,"",0)</f>
        <v>SEG - FILIAL I</v>
      </c>
      <c r="H747" t="str">
        <f>Vagas[[#This Row],[data]]&amp;Vagas[[#This Row],[profissional_id]]&amp;Vagas[[#This Row],[local_id]]</f>
        <v>446418141</v>
      </c>
    </row>
    <row r="748" spans="1:8" x14ac:dyDescent="0.25">
      <c r="A748" s="2">
        <v>44641</v>
      </c>
      <c r="B748">
        <v>86</v>
      </c>
      <c r="D748">
        <v>33</v>
      </c>
      <c r="E748">
        <v>1</v>
      </c>
      <c r="F748" s="1">
        <f t="shared" si="11"/>
        <v>0</v>
      </c>
      <c r="G748" s="1" t="str">
        <f>_xlfn.XLOOKUP(C748,'Ocupação DW'!$F:$F,'Ocupação DW'!$E:$E,"",0)</f>
        <v/>
      </c>
      <c r="H748" t="str">
        <f>Vagas[[#This Row],[data]]&amp;Vagas[[#This Row],[profissional_id]]&amp;Vagas[[#This Row],[local_id]]</f>
        <v>4464186</v>
      </c>
    </row>
    <row r="749" spans="1:8" x14ac:dyDescent="0.25">
      <c r="A749" s="2">
        <v>44641</v>
      </c>
      <c r="B749">
        <v>86</v>
      </c>
      <c r="C749">
        <v>349</v>
      </c>
      <c r="D749">
        <v>0</v>
      </c>
      <c r="E749">
        <v>4</v>
      </c>
      <c r="F749" s="1">
        <f t="shared" si="11"/>
        <v>33</v>
      </c>
      <c r="G749" s="1" t="str">
        <f>_xlfn.XLOOKUP(C749,'Ocupação DW'!$F:$F,'Ocupação DW'!$E:$E,"",0)</f>
        <v>SEG - FILIAL II 11°</v>
      </c>
      <c r="H749" t="str">
        <f>Vagas[[#This Row],[data]]&amp;Vagas[[#This Row],[profissional_id]]&amp;Vagas[[#This Row],[local_id]]</f>
        <v>4464186349</v>
      </c>
    </row>
    <row r="750" spans="1:8" x14ac:dyDescent="0.25">
      <c r="A750" s="2">
        <v>44641</v>
      </c>
      <c r="B750">
        <v>92</v>
      </c>
      <c r="C750">
        <v>343</v>
      </c>
      <c r="D750">
        <v>96</v>
      </c>
      <c r="E750">
        <v>0</v>
      </c>
      <c r="F750" s="1">
        <f t="shared" si="11"/>
        <v>0</v>
      </c>
      <c r="G750" s="1" t="str">
        <f>_xlfn.XLOOKUP(C750,'Ocupação DW'!$F:$F,'Ocupação DW'!$E:$E,"",0)</f>
        <v/>
      </c>
      <c r="H750" t="str">
        <f>Vagas[[#This Row],[data]]&amp;Vagas[[#This Row],[profissional_id]]&amp;Vagas[[#This Row],[local_id]]</f>
        <v>4464192343</v>
      </c>
    </row>
    <row r="751" spans="1:8" x14ac:dyDescent="0.25">
      <c r="A751" s="2">
        <v>44641</v>
      </c>
      <c r="B751">
        <v>92</v>
      </c>
      <c r="C751">
        <v>340</v>
      </c>
      <c r="D751">
        <v>96</v>
      </c>
      <c r="E751">
        <v>12</v>
      </c>
      <c r="F751" s="1">
        <f t="shared" si="11"/>
        <v>0</v>
      </c>
      <c r="G751" s="1" t="str">
        <f>_xlfn.XLOOKUP(C751,'Ocupação DW'!$F:$F,'Ocupação DW'!$E:$E,"",0)</f>
        <v>SEG - MATRIZ</v>
      </c>
      <c r="H751" t="str">
        <f>Vagas[[#This Row],[data]]&amp;Vagas[[#This Row],[profissional_id]]&amp;Vagas[[#This Row],[local_id]]</f>
        <v>4464192340</v>
      </c>
    </row>
    <row r="752" spans="1:8" x14ac:dyDescent="0.25">
      <c r="A752" s="2">
        <v>44641</v>
      </c>
      <c r="B752">
        <v>93</v>
      </c>
      <c r="C752">
        <v>342</v>
      </c>
      <c r="D752">
        <v>60</v>
      </c>
      <c r="E752">
        <v>0</v>
      </c>
      <c r="F752" s="1">
        <f t="shared" si="11"/>
        <v>0</v>
      </c>
      <c r="G752" s="1" t="str">
        <f>_xlfn.XLOOKUP(C752,'Ocupação DW'!$F:$F,'Ocupação DW'!$E:$E,"",0)</f>
        <v>SEG - MATRIZ</v>
      </c>
      <c r="H752" t="str">
        <f>Vagas[[#This Row],[data]]&amp;Vagas[[#This Row],[profissional_id]]&amp;Vagas[[#This Row],[local_id]]</f>
        <v>4464193342</v>
      </c>
    </row>
    <row r="753" spans="1:8" x14ac:dyDescent="0.25">
      <c r="A753" s="2">
        <v>44641</v>
      </c>
      <c r="B753">
        <v>93</v>
      </c>
      <c r="C753">
        <v>343</v>
      </c>
      <c r="D753">
        <v>60</v>
      </c>
      <c r="E753">
        <v>0</v>
      </c>
      <c r="F753" s="1">
        <f t="shared" si="11"/>
        <v>0</v>
      </c>
      <c r="G753" s="1" t="str">
        <f>_xlfn.XLOOKUP(C753,'Ocupação DW'!$F:$F,'Ocupação DW'!$E:$E,"",0)</f>
        <v/>
      </c>
      <c r="H753" t="str">
        <f>Vagas[[#This Row],[data]]&amp;Vagas[[#This Row],[profissional_id]]&amp;Vagas[[#This Row],[local_id]]</f>
        <v>4464193343</v>
      </c>
    </row>
    <row r="754" spans="1:8" x14ac:dyDescent="0.25">
      <c r="A754" s="2">
        <v>44641</v>
      </c>
      <c r="B754">
        <v>94</v>
      </c>
      <c r="C754">
        <v>49</v>
      </c>
      <c r="D754">
        <v>0</v>
      </c>
      <c r="E754">
        <v>0</v>
      </c>
      <c r="F754" s="1">
        <f t="shared" si="11"/>
        <v>0</v>
      </c>
      <c r="G754" s="1" t="str">
        <f>_xlfn.XLOOKUP(C754,'Ocupação DW'!$F:$F,'Ocupação DW'!$E:$E,"",0)</f>
        <v>SEG - FILIAL I</v>
      </c>
      <c r="H754" t="str">
        <f>Vagas[[#This Row],[data]]&amp;Vagas[[#This Row],[profissional_id]]&amp;Vagas[[#This Row],[local_id]]</f>
        <v>446419449</v>
      </c>
    </row>
    <row r="755" spans="1:8" x14ac:dyDescent="0.25">
      <c r="A755" s="2">
        <v>44641</v>
      </c>
      <c r="B755">
        <v>100</v>
      </c>
      <c r="D755">
        <v>13</v>
      </c>
      <c r="E755">
        <v>0</v>
      </c>
      <c r="F755" s="1">
        <f t="shared" si="11"/>
        <v>0</v>
      </c>
      <c r="G755" s="1" t="str">
        <f>_xlfn.XLOOKUP(C755,'Ocupação DW'!$F:$F,'Ocupação DW'!$E:$E,"",0)</f>
        <v/>
      </c>
      <c r="H755" t="str">
        <f>Vagas[[#This Row],[data]]&amp;Vagas[[#This Row],[profissional_id]]&amp;Vagas[[#This Row],[local_id]]</f>
        <v>44641100</v>
      </c>
    </row>
    <row r="756" spans="1:8" x14ac:dyDescent="0.25">
      <c r="A756" s="2">
        <v>44641</v>
      </c>
      <c r="B756">
        <v>100</v>
      </c>
      <c r="C756">
        <v>342</v>
      </c>
      <c r="D756">
        <v>0</v>
      </c>
      <c r="E756">
        <v>0</v>
      </c>
      <c r="F756" s="1">
        <f t="shared" si="11"/>
        <v>13</v>
      </c>
      <c r="G756" s="1" t="str">
        <f>_xlfn.XLOOKUP(C756,'Ocupação DW'!$F:$F,'Ocupação DW'!$E:$E,"",0)</f>
        <v>SEG - MATRIZ</v>
      </c>
      <c r="H756" t="str">
        <f>Vagas[[#This Row],[data]]&amp;Vagas[[#This Row],[profissional_id]]&amp;Vagas[[#This Row],[local_id]]</f>
        <v>44641100342</v>
      </c>
    </row>
    <row r="757" spans="1:8" x14ac:dyDescent="0.25">
      <c r="A757" s="2">
        <v>44641</v>
      </c>
      <c r="B757">
        <v>102</v>
      </c>
      <c r="C757">
        <v>365</v>
      </c>
      <c r="D757">
        <v>41</v>
      </c>
      <c r="E757">
        <v>0</v>
      </c>
      <c r="F757" s="1">
        <f t="shared" si="11"/>
        <v>0</v>
      </c>
      <c r="G757" s="1" t="str">
        <f>_xlfn.XLOOKUP(C757,'Ocupação DW'!$F:$F,'Ocupação DW'!$E:$E,"",0)</f>
        <v/>
      </c>
      <c r="H757" t="str">
        <f>Vagas[[#This Row],[data]]&amp;Vagas[[#This Row],[profissional_id]]&amp;Vagas[[#This Row],[local_id]]</f>
        <v>44641102365</v>
      </c>
    </row>
    <row r="758" spans="1:8" x14ac:dyDescent="0.25">
      <c r="A758" s="2">
        <v>44641</v>
      </c>
      <c r="B758">
        <v>103</v>
      </c>
      <c r="C758">
        <v>365</v>
      </c>
      <c r="D758">
        <v>41</v>
      </c>
      <c r="E758">
        <v>0</v>
      </c>
      <c r="F758" s="1">
        <f t="shared" si="11"/>
        <v>0</v>
      </c>
      <c r="G758" s="1" t="str">
        <f>_xlfn.XLOOKUP(C758,'Ocupação DW'!$F:$F,'Ocupação DW'!$E:$E,"",0)</f>
        <v/>
      </c>
      <c r="H758" t="str">
        <f>Vagas[[#This Row],[data]]&amp;Vagas[[#This Row],[profissional_id]]&amp;Vagas[[#This Row],[local_id]]</f>
        <v>44641103365</v>
      </c>
    </row>
    <row r="759" spans="1:8" x14ac:dyDescent="0.25">
      <c r="A759" s="2">
        <v>44641</v>
      </c>
      <c r="B759">
        <v>104</v>
      </c>
      <c r="C759">
        <v>365</v>
      </c>
      <c r="D759">
        <v>41</v>
      </c>
      <c r="E759">
        <v>0</v>
      </c>
      <c r="F759" s="1">
        <f t="shared" si="11"/>
        <v>0</v>
      </c>
      <c r="G759" s="1" t="str">
        <f>_xlfn.XLOOKUP(C759,'Ocupação DW'!$F:$F,'Ocupação DW'!$E:$E,"",0)</f>
        <v/>
      </c>
      <c r="H759" t="str">
        <f>Vagas[[#This Row],[data]]&amp;Vagas[[#This Row],[profissional_id]]&amp;Vagas[[#This Row],[local_id]]</f>
        <v>44641104365</v>
      </c>
    </row>
    <row r="760" spans="1:8" x14ac:dyDescent="0.25">
      <c r="A760" s="2">
        <v>44641</v>
      </c>
      <c r="B760">
        <v>110</v>
      </c>
      <c r="D760">
        <v>0</v>
      </c>
      <c r="E760">
        <v>0</v>
      </c>
      <c r="F760" s="1">
        <f t="shared" si="11"/>
        <v>0</v>
      </c>
      <c r="G760" s="1" t="str">
        <f>_xlfn.XLOOKUP(C760,'Ocupação DW'!$F:$F,'Ocupação DW'!$E:$E,"",0)</f>
        <v/>
      </c>
      <c r="H760" t="str">
        <f>Vagas[[#This Row],[data]]&amp;Vagas[[#This Row],[profissional_id]]&amp;Vagas[[#This Row],[local_id]]</f>
        <v>44641110</v>
      </c>
    </row>
    <row r="761" spans="1:8" x14ac:dyDescent="0.25">
      <c r="A761" s="2">
        <v>44641</v>
      </c>
      <c r="B761">
        <v>117</v>
      </c>
      <c r="C761">
        <v>48</v>
      </c>
      <c r="D761">
        <v>0</v>
      </c>
      <c r="E761">
        <v>0</v>
      </c>
      <c r="F761" s="1">
        <f t="shared" si="11"/>
        <v>0</v>
      </c>
      <c r="G761" s="1" t="str">
        <f>_xlfn.XLOOKUP(C761,'Ocupação DW'!$F:$F,'Ocupação DW'!$E:$E,"",0)</f>
        <v>SEG - FILIAL I</v>
      </c>
      <c r="H761" t="str">
        <f>Vagas[[#This Row],[data]]&amp;Vagas[[#This Row],[profissional_id]]&amp;Vagas[[#This Row],[local_id]]</f>
        <v>4464111748</v>
      </c>
    </row>
    <row r="762" spans="1:8" x14ac:dyDescent="0.25">
      <c r="A762" s="2">
        <v>44641</v>
      </c>
      <c r="B762">
        <v>118</v>
      </c>
      <c r="C762">
        <v>365</v>
      </c>
      <c r="D762">
        <v>41</v>
      </c>
      <c r="E762">
        <v>0</v>
      </c>
      <c r="F762" s="1">
        <f t="shared" si="11"/>
        <v>0</v>
      </c>
      <c r="G762" s="1" t="str">
        <f>_xlfn.XLOOKUP(C762,'Ocupação DW'!$F:$F,'Ocupação DW'!$E:$E,"",0)</f>
        <v/>
      </c>
      <c r="H762" t="str">
        <f>Vagas[[#This Row],[data]]&amp;Vagas[[#This Row],[profissional_id]]&amp;Vagas[[#This Row],[local_id]]</f>
        <v>44641118365</v>
      </c>
    </row>
    <row r="763" spans="1:8" x14ac:dyDescent="0.25">
      <c r="A763" s="2">
        <v>44641</v>
      </c>
      <c r="B763">
        <v>123</v>
      </c>
      <c r="D763">
        <v>11</v>
      </c>
      <c r="E763">
        <v>0</v>
      </c>
      <c r="F763" s="1">
        <f t="shared" si="11"/>
        <v>0</v>
      </c>
      <c r="G763" s="1" t="str">
        <f>_xlfn.XLOOKUP(C763,'Ocupação DW'!$F:$F,'Ocupação DW'!$E:$E,"",0)</f>
        <v/>
      </c>
      <c r="H763" t="str">
        <f>Vagas[[#This Row],[data]]&amp;Vagas[[#This Row],[profissional_id]]&amp;Vagas[[#This Row],[local_id]]</f>
        <v>44641123</v>
      </c>
    </row>
    <row r="764" spans="1:8" x14ac:dyDescent="0.25">
      <c r="A764" s="2">
        <v>44641</v>
      </c>
      <c r="B764">
        <v>129</v>
      </c>
      <c r="C764">
        <v>365</v>
      </c>
      <c r="D764">
        <v>41</v>
      </c>
      <c r="E764">
        <v>0</v>
      </c>
      <c r="F764" s="1">
        <f t="shared" si="11"/>
        <v>0</v>
      </c>
      <c r="G764" s="1" t="str">
        <f>_xlfn.XLOOKUP(C764,'Ocupação DW'!$F:$F,'Ocupação DW'!$E:$E,"",0)</f>
        <v/>
      </c>
      <c r="H764" t="str">
        <f>Vagas[[#This Row],[data]]&amp;Vagas[[#This Row],[profissional_id]]&amp;Vagas[[#This Row],[local_id]]</f>
        <v>44641129365</v>
      </c>
    </row>
    <row r="765" spans="1:8" x14ac:dyDescent="0.25">
      <c r="A765" s="2">
        <v>44641</v>
      </c>
      <c r="B765">
        <v>174</v>
      </c>
      <c r="C765">
        <v>24</v>
      </c>
      <c r="D765">
        <v>80</v>
      </c>
      <c r="E765">
        <v>0</v>
      </c>
      <c r="F765" s="1">
        <f t="shared" si="11"/>
        <v>0</v>
      </c>
      <c r="G765" s="1" t="str">
        <f>_xlfn.XLOOKUP(C765,'Ocupação DW'!$F:$F,'Ocupação DW'!$E:$E,"",0)</f>
        <v>SEG - MATRIZ</v>
      </c>
      <c r="H765" t="str">
        <f>Vagas[[#This Row],[data]]&amp;Vagas[[#This Row],[profissional_id]]&amp;Vagas[[#This Row],[local_id]]</f>
        <v>4464117424</v>
      </c>
    </row>
    <row r="766" spans="1:8" x14ac:dyDescent="0.25">
      <c r="A766" s="2">
        <v>44641</v>
      </c>
      <c r="B766">
        <v>282</v>
      </c>
      <c r="D766">
        <v>49</v>
      </c>
      <c r="E766">
        <v>0</v>
      </c>
      <c r="F766" s="1">
        <f t="shared" si="11"/>
        <v>0</v>
      </c>
      <c r="G766" s="1" t="str">
        <f>_xlfn.XLOOKUP(C766,'Ocupação DW'!$F:$F,'Ocupação DW'!$E:$E,"",0)</f>
        <v/>
      </c>
      <c r="H766" t="str">
        <f>Vagas[[#This Row],[data]]&amp;Vagas[[#This Row],[profissional_id]]&amp;Vagas[[#This Row],[local_id]]</f>
        <v>44641282</v>
      </c>
    </row>
    <row r="767" spans="1:8" x14ac:dyDescent="0.25">
      <c r="A767" s="2">
        <v>44641</v>
      </c>
      <c r="B767">
        <v>282</v>
      </c>
      <c r="C767">
        <v>39</v>
      </c>
      <c r="D767">
        <v>51</v>
      </c>
      <c r="E767">
        <v>0</v>
      </c>
      <c r="F767" s="1">
        <f t="shared" si="11"/>
        <v>0</v>
      </c>
      <c r="G767" s="1" t="str">
        <f>_xlfn.XLOOKUP(C767,'Ocupação DW'!$F:$F,'Ocupação DW'!$E:$E,"",0)</f>
        <v>SEG - FILIAL I</v>
      </c>
      <c r="H767" t="str">
        <f>Vagas[[#This Row],[data]]&amp;Vagas[[#This Row],[profissional_id]]&amp;Vagas[[#This Row],[local_id]]</f>
        <v>4464128239</v>
      </c>
    </row>
    <row r="768" spans="1:8" x14ac:dyDescent="0.25">
      <c r="A768" s="2">
        <v>44641</v>
      </c>
      <c r="B768">
        <v>1343</v>
      </c>
      <c r="D768">
        <v>0</v>
      </c>
      <c r="E768">
        <v>0</v>
      </c>
      <c r="F768" s="1">
        <f t="shared" si="11"/>
        <v>0</v>
      </c>
      <c r="G768" s="1" t="str">
        <f>_xlfn.XLOOKUP(C768,'Ocupação DW'!$F:$F,'Ocupação DW'!$E:$E,"",0)</f>
        <v/>
      </c>
      <c r="H768" t="str">
        <f>Vagas[[#This Row],[data]]&amp;Vagas[[#This Row],[profissional_id]]&amp;Vagas[[#This Row],[local_id]]</f>
        <v>446411343</v>
      </c>
    </row>
    <row r="769" spans="1:8" x14ac:dyDescent="0.25">
      <c r="A769" s="2">
        <v>44641</v>
      </c>
      <c r="B769">
        <v>1490</v>
      </c>
      <c r="D769">
        <v>0</v>
      </c>
      <c r="E769">
        <v>0</v>
      </c>
      <c r="F769" s="1">
        <f t="shared" si="11"/>
        <v>0</v>
      </c>
      <c r="G769" s="1" t="str">
        <f>_xlfn.XLOOKUP(C769,'Ocupação DW'!$F:$F,'Ocupação DW'!$E:$E,"",0)</f>
        <v/>
      </c>
      <c r="H769" t="str">
        <f>Vagas[[#This Row],[data]]&amp;Vagas[[#This Row],[profissional_id]]&amp;Vagas[[#This Row],[local_id]]</f>
        <v>446411490</v>
      </c>
    </row>
    <row r="770" spans="1:8" x14ac:dyDescent="0.25">
      <c r="A770" s="2">
        <v>44641</v>
      </c>
      <c r="B770">
        <v>2036</v>
      </c>
      <c r="C770">
        <v>368</v>
      </c>
      <c r="D770">
        <v>41</v>
      </c>
      <c r="E770">
        <v>0</v>
      </c>
      <c r="F770" s="1">
        <f t="shared" ref="F770:F833" si="12">IF(AND(A770=A769,B770=B769,D769&lt;&gt;0,D770=0),D769,0)</f>
        <v>0</v>
      </c>
      <c r="G770" s="1" t="str">
        <f>_xlfn.XLOOKUP(C770,'Ocupação DW'!$F:$F,'Ocupação DW'!$E:$E,"",0)</f>
        <v/>
      </c>
      <c r="H770" t="str">
        <f>Vagas[[#This Row],[data]]&amp;Vagas[[#This Row],[profissional_id]]&amp;Vagas[[#This Row],[local_id]]</f>
        <v>446412036368</v>
      </c>
    </row>
    <row r="771" spans="1:8" x14ac:dyDescent="0.25">
      <c r="A771" s="2">
        <v>44641</v>
      </c>
      <c r="B771">
        <v>2334</v>
      </c>
      <c r="D771">
        <v>0</v>
      </c>
      <c r="E771">
        <v>0</v>
      </c>
      <c r="F771" s="1">
        <f t="shared" si="12"/>
        <v>0</v>
      </c>
      <c r="G771" s="1" t="str">
        <f>_xlfn.XLOOKUP(C771,'Ocupação DW'!$F:$F,'Ocupação DW'!$E:$E,"",0)</f>
        <v/>
      </c>
      <c r="H771" t="str">
        <f>Vagas[[#This Row],[data]]&amp;Vagas[[#This Row],[profissional_id]]&amp;Vagas[[#This Row],[local_id]]</f>
        <v>446412334</v>
      </c>
    </row>
    <row r="772" spans="1:8" x14ac:dyDescent="0.25">
      <c r="A772" s="2">
        <v>44641</v>
      </c>
      <c r="B772">
        <v>2567</v>
      </c>
      <c r="C772">
        <v>18</v>
      </c>
      <c r="D772">
        <v>0</v>
      </c>
      <c r="E772">
        <v>12</v>
      </c>
      <c r="F772" s="1">
        <f t="shared" si="12"/>
        <v>0</v>
      </c>
      <c r="G772" s="1" t="str">
        <f>_xlfn.XLOOKUP(C772,'Ocupação DW'!$F:$F,'Ocupação DW'!$E:$E,"",0)</f>
        <v>SEG - FILIAL II 11°</v>
      </c>
      <c r="H772" t="str">
        <f>Vagas[[#This Row],[data]]&amp;Vagas[[#This Row],[profissional_id]]&amp;Vagas[[#This Row],[local_id]]</f>
        <v>44641256718</v>
      </c>
    </row>
    <row r="773" spans="1:8" x14ac:dyDescent="0.25">
      <c r="A773" s="2">
        <v>44641</v>
      </c>
      <c r="B773">
        <v>2730</v>
      </c>
      <c r="C773">
        <v>3</v>
      </c>
      <c r="D773">
        <v>15</v>
      </c>
      <c r="E773">
        <v>0</v>
      </c>
      <c r="F773" s="1">
        <f t="shared" si="12"/>
        <v>0</v>
      </c>
      <c r="G773" s="1" t="str">
        <f>_xlfn.XLOOKUP(C773,'Ocupação DW'!$F:$F,'Ocupação DW'!$E:$E,"",0)</f>
        <v>SEG - FILIAL II 10°</v>
      </c>
      <c r="H773" t="str">
        <f>Vagas[[#This Row],[data]]&amp;Vagas[[#This Row],[profissional_id]]&amp;Vagas[[#This Row],[local_id]]</f>
        <v>4464127303</v>
      </c>
    </row>
    <row r="774" spans="1:8" x14ac:dyDescent="0.25">
      <c r="A774" s="2">
        <v>44641</v>
      </c>
      <c r="B774">
        <v>2984</v>
      </c>
      <c r="C774">
        <v>7</v>
      </c>
      <c r="D774">
        <v>0</v>
      </c>
      <c r="E774">
        <v>0</v>
      </c>
      <c r="F774" s="1">
        <f t="shared" si="12"/>
        <v>0</v>
      </c>
      <c r="G774" s="1" t="str">
        <f>_xlfn.XLOOKUP(C774,'Ocupação DW'!$F:$F,'Ocupação DW'!$E:$E,"",0)</f>
        <v>SEG - FILIAL II 10°</v>
      </c>
      <c r="H774" t="str">
        <f>Vagas[[#This Row],[data]]&amp;Vagas[[#This Row],[profissional_id]]&amp;Vagas[[#This Row],[local_id]]</f>
        <v>4464129847</v>
      </c>
    </row>
    <row r="775" spans="1:8" x14ac:dyDescent="0.25">
      <c r="A775" s="2">
        <v>44641</v>
      </c>
      <c r="B775">
        <v>3092</v>
      </c>
      <c r="D775">
        <v>13</v>
      </c>
      <c r="E775">
        <v>0</v>
      </c>
      <c r="F775" s="1">
        <f t="shared" si="12"/>
        <v>0</v>
      </c>
      <c r="G775" s="1" t="str">
        <f>_xlfn.XLOOKUP(C775,'Ocupação DW'!$F:$F,'Ocupação DW'!$E:$E,"",0)</f>
        <v/>
      </c>
      <c r="H775" t="str">
        <f>Vagas[[#This Row],[data]]&amp;Vagas[[#This Row],[profissional_id]]&amp;Vagas[[#This Row],[local_id]]</f>
        <v>446413092</v>
      </c>
    </row>
    <row r="776" spans="1:8" x14ac:dyDescent="0.25">
      <c r="A776" s="2">
        <v>44641</v>
      </c>
      <c r="B776">
        <v>3092</v>
      </c>
      <c r="C776">
        <v>44</v>
      </c>
      <c r="D776">
        <v>0</v>
      </c>
      <c r="E776">
        <v>0</v>
      </c>
      <c r="F776" s="1">
        <f t="shared" si="12"/>
        <v>13</v>
      </c>
      <c r="G776" s="1" t="str">
        <f>_xlfn.XLOOKUP(C776,'Ocupação DW'!$F:$F,'Ocupação DW'!$E:$E,"",0)</f>
        <v>SEG - FILIAL I</v>
      </c>
      <c r="H776" t="str">
        <f>Vagas[[#This Row],[data]]&amp;Vagas[[#This Row],[profissional_id]]&amp;Vagas[[#This Row],[local_id]]</f>
        <v>44641309244</v>
      </c>
    </row>
    <row r="777" spans="1:8" x14ac:dyDescent="0.25">
      <c r="A777" s="2">
        <v>44641</v>
      </c>
      <c r="B777">
        <v>3092</v>
      </c>
      <c r="C777">
        <v>43</v>
      </c>
      <c r="D777">
        <v>0</v>
      </c>
      <c r="E777">
        <v>0</v>
      </c>
      <c r="F777" s="1">
        <f t="shared" si="12"/>
        <v>0</v>
      </c>
      <c r="G777" s="1" t="str">
        <f>_xlfn.XLOOKUP(C777,'Ocupação DW'!$F:$F,'Ocupação DW'!$E:$E,"",0)</f>
        <v>SEG - FILIAL I</v>
      </c>
      <c r="H777" t="str">
        <f>Vagas[[#This Row],[data]]&amp;Vagas[[#This Row],[profissional_id]]&amp;Vagas[[#This Row],[local_id]]</f>
        <v>44641309243</v>
      </c>
    </row>
    <row r="778" spans="1:8" x14ac:dyDescent="0.25">
      <c r="A778" s="2">
        <v>44641</v>
      </c>
      <c r="B778">
        <v>3158</v>
      </c>
      <c r="C778">
        <v>342</v>
      </c>
      <c r="D778">
        <v>0</v>
      </c>
      <c r="E778">
        <v>0</v>
      </c>
      <c r="F778" s="1">
        <f t="shared" si="12"/>
        <v>0</v>
      </c>
      <c r="G778" s="1" t="str">
        <f>_xlfn.XLOOKUP(C778,'Ocupação DW'!$F:$F,'Ocupação DW'!$E:$E,"",0)</f>
        <v>SEG - MATRIZ</v>
      </c>
      <c r="H778" t="str">
        <f>Vagas[[#This Row],[data]]&amp;Vagas[[#This Row],[profissional_id]]&amp;Vagas[[#This Row],[local_id]]</f>
        <v>446413158342</v>
      </c>
    </row>
    <row r="779" spans="1:8" x14ac:dyDescent="0.25">
      <c r="A779" s="2">
        <v>44641</v>
      </c>
      <c r="B779">
        <v>3502</v>
      </c>
      <c r="D779">
        <v>0</v>
      </c>
      <c r="E779">
        <v>0</v>
      </c>
      <c r="F779" s="1">
        <f t="shared" si="12"/>
        <v>0</v>
      </c>
      <c r="G779" s="1" t="str">
        <f>_xlfn.XLOOKUP(C779,'Ocupação DW'!$F:$F,'Ocupação DW'!$E:$E,"",0)</f>
        <v/>
      </c>
      <c r="H779" t="str">
        <f>Vagas[[#This Row],[data]]&amp;Vagas[[#This Row],[profissional_id]]&amp;Vagas[[#This Row],[local_id]]</f>
        <v>446413502</v>
      </c>
    </row>
    <row r="780" spans="1:8" x14ac:dyDescent="0.25">
      <c r="A780" s="2">
        <v>44641</v>
      </c>
      <c r="B780">
        <v>4422</v>
      </c>
      <c r="C780">
        <v>81</v>
      </c>
      <c r="D780">
        <v>48</v>
      </c>
      <c r="E780">
        <v>0</v>
      </c>
      <c r="F780" s="1">
        <f t="shared" si="12"/>
        <v>0</v>
      </c>
      <c r="G780" s="1" t="str">
        <f>_xlfn.XLOOKUP(C780,'Ocupação DW'!$F:$F,'Ocupação DW'!$E:$E,"",0)</f>
        <v>SEG - MIGUEL COUTO</v>
      </c>
      <c r="H780" t="str">
        <f>Vagas[[#This Row],[data]]&amp;Vagas[[#This Row],[profissional_id]]&amp;Vagas[[#This Row],[local_id]]</f>
        <v>44641442281</v>
      </c>
    </row>
    <row r="781" spans="1:8" x14ac:dyDescent="0.25">
      <c r="A781" s="2">
        <v>44641</v>
      </c>
      <c r="B781">
        <v>5927</v>
      </c>
      <c r="C781">
        <v>17</v>
      </c>
      <c r="D781">
        <v>0</v>
      </c>
      <c r="E781">
        <v>0</v>
      </c>
      <c r="F781" s="1">
        <f t="shared" si="12"/>
        <v>0</v>
      </c>
      <c r="G781" s="1" t="str">
        <f>_xlfn.XLOOKUP(C781,'Ocupação DW'!$F:$F,'Ocupação DW'!$E:$E,"",0)</f>
        <v>SEG - FILIAL II 11°</v>
      </c>
      <c r="H781" t="str">
        <f>Vagas[[#This Row],[data]]&amp;Vagas[[#This Row],[profissional_id]]&amp;Vagas[[#This Row],[local_id]]</f>
        <v>44641592717</v>
      </c>
    </row>
    <row r="782" spans="1:8" x14ac:dyDescent="0.25">
      <c r="A782" s="2">
        <v>44641</v>
      </c>
      <c r="B782">
        <v>6046</v>
      </c>
      <c r="D782">
        <v>30</v>
      </c>
      <c r="E782">
        <v>0</v>
      </c>
      <c r="F782" s="1">
        <f t="shared" si="12"/>
        <v>0</v>
      </c>
      <c r="G782" s="1" t="str">
        <f>_xlfn.XLOOKUP(C782,'Ocupação DW'!$F:$F,'Ocupação DW'!$E:$E,"",0)</f>
        <v/>
      </c>
      <c r="H782" t="str">
        <f>Vagas[[#This Row],[data]]&amp;Vagas[[#This Row],[profissional_id]]&amp;Vagas[[#This Row],[local_id]]</f>
        <v>446416046</v>
      </c>
    </row>
    <row r="783" spans="1:8" x14ac:dyDescent="0.25">
      <c r="A783" s="2">
        <v>44641</v>
      </c>
      <c r="B783">
        <v>6046</v>
      </c>
      <c r="C783">
        <v>62</v>
      </c>
      <c r="D783">
        <v>0</v>
      </c>
      <c r="E783">
        <v>0</v>
      </c>
      <c r="F783" s="1">
        <f t="shared" si="12"/>
        <v>30</v>
      </c>
      <c r="G783" s="1" t="str">
        <f>_xlfn.XLOOKUP(C783,'Ocupação DW'!$F:$F,'Ocupação DW'!$E:$E,"",0)</f>
        <v>SEG - NILÓPOLIS</v>
      </c>
      <c r="H783" t="str">
        <f>Vagas[[#This Row],[data]]&amp;Vagas[[#This Row],[profissional_id]]&amp;Vagas[[#This Row],[local_id]]</f>
        <v>44641604662</v>
      </c>
    </row>
    <row r="784" spans="1:8" x14ac:dyDescent="0.25">
      <c r="A784" s="2">
        <v>44641</v>
      </c>
      <c r="B784">
        <v>6046</v>
      </c>
      <c r="C784">
        <v>46</v>
      </c>
      <c r="D784">
        <v>0</v>
      </c>
      <c r="E784">
        <v>0</v>
      </c>
      <c r="F784" s="1">
        <f t="shared" si="12"/>
        <v>0</v>
      </c>
      <c r="G784" s="1" t="str">
        <f>_xlfn.XLOOKUP(C784,'Ocupação DW'!$F:$F,'Ocupação DW'!$E:$E,"",0)</f>
        <v>SEG - FILIAL I</v>
      </c>
      <c r="H784" t="str">
        <f>Vagas[[#This Row],[data]]&amp;Vagas[[#This Row],[profissional_id]]&amp;Vagas[[#This Row],[local_id]]</f>
        <v>44641604646</v>
      </c>
    </row>
    <row r="785" spans="1:8" x14ac:dyDescent="0.25">
      <c r="A785" s="2">
        <v>44641</v>
      </c>
      <c r="B785">
        <v>6392</v>
      </c>
      <c r="C785">
        <v>342</v>
      </c>
      <c r="D785">
        <v>8</v>
      </c>
      <c r="E785">
        <v>0</v>
      </c>
      <c r="F785" s="1">
        <f t="shared" si="12"/>
        <v>0</v>
      </c>
      <c r="G785" s="1" t="str">
        <f>_xlfn.XLOOKUP(C785,'Ocupação DW'!$F:$F,'Ocupação DW'!$E:$E,"",0)</f>
        <v>SEG - MATRIZ</v>
      </c>
      <c r="H785" t="str">
        <f>Vagas[[#This Row],[data]]&amp;Vagas[[#This Row],[profissional_id]]&amp;Vagas[[#This Row],[local_id]]</f>
        <v>446416392342</v>
      </c>
    </row>
    <row r="786" spans="1:8" x14ac:dyDescent="0.25">
      <c r="A786" s="2">
        <v>44641</v>
      </c>
      <c r="B786">
        <v>6392</v>
      </c>
      <c r="C786">
        <v>5</v>
      </c>
      <c r="D786">
        <v>0</v>
      </c>
      <c r="E786">
        <v>0</v>
      </c>
      <c r="F786" s="1">
        <f t="shared" si="12"/>
        <v>8</v>
      </c>
      <c r="G786" s="1" t="str">
        <f>_xlfn.XLOOKUP(C786,'Ocupação DW'!$F:$F,'Ocupação DW'!$E:$E,"",0)</f>
        <v>SEG - FILIAL II 10°</v>
      </c>
      <c r="H786" t="str">
        <f>Vagas[[#This Row],[data]]&amp;Vagas[[#This Row],[profissional_id]]&amp;Vagas[[#This Row],[local_id]]</f>
        <v>4464163925</v>
      </c>
    </row>
    <row r="787" spans="1:8" x14ac:dyDescent="0.25">
      <c r="A787" s="2">
        <v>44641</v>
      </c>
      <c r="B787">
        <v>6430</v>
      </c>
      <c r="D787">
        <v>43</v>
      </c>
      <c r="E787">
        <v>0</v>
      </c>
      <c r="F787" s="1">
        <f t="shared" si="12"/>
        <v>0</v>
      </c>
      <c r="G787" s="1" t="str">
        <f>_xlfn.XLOOKUP(C787,'Ocupação DW'!$F:$F,'Ocupação DW'!$E:$E,"",0)</f>
        <v/>
      </c>
      <c r="H787" t="str">
        <f>Vagas[[#This Row],[data]]&amp;Vagas[[#This Row],[profissional_id]]&amp;Vagas[[#This Row],[local_id]]</f>
        <v>446416430</v>
      </c>
    </row>
    <row r="788" spans="1:8" x14ac:dyDescent="0.25">
      <c r="A788" s="2">
        <v>44641</v>
      </c>
      <c r="B788">
        <v>6430</v>
      </c>
      <c r="C788">
        <v>86</v>
      </c>
      <c r="D788">
        <v>0</v>
      </c>
      <c r="E788">
        <v>0</v>
      </c>
      <c r="F788" s="1">
        <f t="shared" si="12"/>
        <v>43</v>
      </c>
      <c r="G788" s="1" t="str">
        <f>_xlfn.XLOOKUP(C788,'Ocupação DW'!$F:$F,'Ocupação DW'!$E:$E,"",0)</f>
        <v>SEG - MIGUEL COUTO</v>
      </c>
      <c r="H788" t="str">
        <f>Vagas[[#This Row],[data]]&amp;Vagas[[#This Row],[profissional_id]]&amp;Vagas[[#This Row],[local_id]]</f>
        <v>44641643086</v>
      </c>
    </row>
    <row r="789" spans="1:8" x14ac:dyDescent="0.25">
      <c r="A789" s="2">
        <v>44641</v>
      </c>
      <c r="B789">
        <v>7900</v>
      </c>
      <c r="C789">
        <v>368</v>
      </c>
      <c r="D789">
        <v>41</v>
      </c>
      <c r="E789">
        <v>0</v>
      </c>
      <c r="F789" s="1">
        <f t="shared" si="12"/>
        <v>0</v>
      </c>
      <c r="G789" s="1" t="str">
        <f>_xlfn.XLOOKUP(C789,'Ocupação DW'!$F:$F,'Ocupação DW'!$E:$E,"",0)</f>
        <v/>
      </c>
      <c r="H789" t="str">
        <f>Vagas[[#This Row],[data]]&amp;Vagas[[#This Row],[profissional_id]]&amp;Vagas[[#This Row],[local_id]]</f>
        <v>446417900368</v>
      </c>
    </row>
    <row r="790" spans="1:8" x14ac:dyDescent="0.25">
      <c r="A790" s="2">
        <v>44641</v>
      </c>
      <c r="B790">
        <v>8223</v>
      </c>
      <c r="C790">
        <v>368</v>
      </c>
      <c r="D790">
        <v>41</v>
      </c>
      <c r="E790">
        <v>0</v>
      </c>
      <c r="F790" s="1">
        <f t="shared" si="12"/>
        <v>0</v>
      </c>
      <c r="G790" s="1" t="str">
        <f>_xlfn.XLOOKUP(C790,'Ocupação DW'!$F:$F,'Ocupação DW'!$E:$E,"",0)</f>
        <v/>
      </c>
      <c r="H790" t="str">
        <f>Vagas[[#This Row],[data]]&amp;Vagas[[#This Row],[profissional_id]]&amp;Vagas[[#This Row],[local_id]]</f>
        <v>446418223368</v>
      </c>
    </row>
    <row r="791" spans="1:8" x14ac:dyDescent="0.25">
      <c r="A791" s="2">
        <v>44641</v>
      </c>
      <c r="B791">
        <v>8598</v>
      </c>
      <c r="D791">
        <v>0</v>
      </c>
      <c r="E791">
        <v>0</v>
      </c>
      <c r="F791" s="1">
        <f t="shared" si="12"/>
        <v>0</v>
      </c>
      <c r="G791" s="1" t="str">
        <f>_xlfn.XLOOKUP(C791,'Ocupação DW'!$F:$F,'Ocupação DW'!$E:$E,"",0)</f>
        <v/>
      </c>
      <c r="H791" t="str">
        <f>Vagas[[#This Row],[data]]&amp;Vagas[[#This Row],[profissional_id]]&amp;Vagas[[#This Row],[local_id]]</f>
        <v>446418598</v>
      </c>
    </row>
    <row r="792" spans="1:8" x14ac:dyDescent="0.25">
      <c r="A792" s="2">
        <v>44641</v>
      </c>
      <c r="B792">
        <v>9111</v>
      </c>
      <c r="D792">
        <v>0</v>
      </c>
      <c r="E792">
        <v>0</v>
      </c>
      <c r="F792" s="1">
        <f t="shared" si="12"/>
        <v>0</v>
      </c>
      <c r="G792" s="1" t="str">
        <f>_xlfn.XLOOKUP(C792,'Ocupação DW'!$F:$F,'Ocupação DW'!$E:$E,"",0)</f>
        <v/>
      </c>
      <c r="H792" t="str">
        <f>Vagas[[#This Row],[data]]&amp;Vagas[[#This Row],[profissional_id]]&amp;Vagas[[#This Row],[local_id]]</f>
        <v>446419111</v>
      </c>
    </row>
    <row r="793" spans="1:8" x14ac:dyDescent="0.25">
      <c r="A793" s="2">
        <v>44641</v>
      </c>
      <c r="B793">
        <v>9123</v>
      </c>
      <c r="C793">
        <v>368</v>
      </c>
      <c r="D793">
        <v>41</v>
      </c>
      <c r="E793">
        <v>0</v>
      </c>
      <c r="F793" s="1">
        <f t="shared" si="12"/>
        <v>0</v>
      </c>
      <c r="G793" s="1" t="str">
        <f>_xlfn.XLOOKUP(C793,'Ocupação DW'!$F:$F,'Ocupação DW'!$E:$E,"",0)</f>
        <v/>
      </c>
      <c r="H793" t="str">
        <f>Vagas[[#This Row],[data]]&amp;Vagas[[#This Row],[profissional_id]]&amp;Vagas[[#This Row],[local_id]]</f>
        <v>446419123368</v>
      </c>
    </row>
    <row r="794" spans="1:8" x14ac:dyDescent="0.25">
      <c r="A794" s="2">
        <v>44641</v>
      </c>
      <c r="B794">
        <v>9207</v>
      </c>
      <c r="C794">
        <v>79</v>
      </c>
      <c r="D794">
        <v>108</v>
      </c>
      <c r="E794">
        <v>12</v>
      </c>
      <c r="F794" s="1">
        <f t="shared" si="12"/>
        <v>0</v>
      </c>
      <c r="G794" s="1" t="str">
        <f>_xlfn.XLOOKUP(C794,'Ocupação DW'!$F:$F,'Ocupação DW'!$E:$E,"",0)</f>
        <v/>
      </c>
      <c r="H794" t="str">
        <f>Vagas[[#This Row],[data]]&amp;Vagas[[#This Row],[profissional_id]]&amp;Vagas[[#This Row],[local_id]]</f>
        <v>44641920779</v>
      </c>
    </row>
    <row r="795" spans="1:8" x14ac:dyDescent="0.25">
      <c r="A795" s="2">
        <v>44641</v>
      </c>
      <c r="B795">
        <v>9237</v>
      </c>
      <c r="C795">
        <v>341</v>
      </c>
      <c r="D795">
        <v>60</v>
      </c>
      <c r="E795">
        <v>0</v>
      </c>
      <c r="F795" s="1">
        <f t="shared" si="12"/>
        <v>0</v>
      </c>
      <c r="G795" s="1" t="str">
        <f>_xlfn.XLOOKUP(C795,'Ocupação DW'!$F:$F,'Ocupação DW'!$E:$E,"",0)</f>
        <v/>
      </c>
      <c r="H795" t="str">
        <f>Vagas[[#This Row],[data]]&amp;Vagas[[#This Row],[profissional_id]]&amp;Vagas[[#This Row],[local_id]]</f>
        <v>446419237341</v>
      </c>
    </row>
    <row r="796" spans="1:8" x14ac:dyDescent="0.25">
      <c r="A796" s="2">
        <v>44641</v>
      </c>
      <c r="B796">
        <v>9237</v>
      </c>
      <c r="C796">
        <v>343</v>
      </c>
      <c r="D796">
        <v>60</v>
      </c>
      <c r="E796">
        <v>0</v>
      </c>
      <c r="F796" s="1">
        <f t="shared" si="12"/>
        <v>0</v>
      </c>
      <c r="G796" s="1" t="str">
        <f>_xlfn.XLOOKUP(C796,'Ocupação DW'!$F:$F,'Ocupação DW'!$E:$E,"",0)</f>
        <v/>
      </c>
      <c r="H796" t="str">
        <f>Vagas[[#This Row],[data]]&amp;Vagas[[#This Row],[profissional_id]]&amp;Vagas[[#This Row],[local_id]]</f>
        <v>446419237343</v>
      </c>
    </row>
    <row r="797" spans="1:8" x14ac:dyDescent="0.25">
      <c r="A797" s="2">
        <v>44641</v>
      </c>
      <c r="B797">
        <v>9717</v>
      </c>
      <c r="D797">
        <v>0</v>
      </c>
      <c r="E797">
        <v>0</v>
      </c>
      <c r="F797" s="1">
        <f t="shared" si="12"/>
        <v>0</v>
      </c>
      <c r="G797" s="1" t="str">
        <f>_xlfn.XLOOKUP(C797,'Ocupação DW'!$F:$F,'Ocupação DW'!$E:$E,"",0)</f>
        <v/>
      </c>
      <c r="H797" t="str">
        <f>Vagas[[#This Row],[data]]&amp;Vagas[[#This Row],[profissional_id]]&amp;Vagas[[#This Row],[local_id]]</f>
        <v>446419717</v>
      </c>
    </row>
    <row r="798" spans="1:8" x14ac:dyDescent="0.25">
      <c r="A798" s="2">
        <v>44641</v>
      </c>
      <c r="B798">
        <v>10249</v>
      </c>
      <c r="D798">
        <v>0</v>
      </c>
      <c r="E798">
        <v>0</v>
      </c>
      <c r="F798" s="1">
        <f t="shared" si="12"/>
        <v>0</v>
      </c>
      <c r="G798" s="1" t="str">
        <f>_xlfn.XLOOKUP(C798,'Ocupação DW'!$F:$F,'Ocupação DW'!$E:$E,"",0)</f>
        <v/>
      </c>
      <c r="H798" t="str">
        <f>Vagas[[#This Row],[data]]&amp;Vagas[[#This Row],[profissional_id]]&amp;Vagas[[#This Row],[local_id]]</f>
        <v>4464110249</v>
      </c>
    </row>
    <row r="799" spans="1:8" x14ac:dyDescent="0.25">
      <c r="A799" s="2">
        <v>44641</v>
      </c>
      <c r="B799">
        <v>10595</v>
      </c>
      <c r="D799">
        <v>41</v>
      </c>
      <c r="E799">
        <v>1</v>
      </c>
      <c r="F799" s="1">
        <f t="shared" si="12"/>
        <v>0</v>
      </c>
      <c r="G799" s="1" t="str">
        <f>_xlfn.XLOOKUP(C799,'Ocupação DW'!$F:$F,'Ocupação DW'!$E:$E,"",0)</f>
        <v/>
      </c>
      <c r="H799" t="str">
        <f>Vagas[[#This Row],[data]]&amp;Vagas[[#This Row],[profissional_id]]&amp;Vagas[[#This Row],[local_id]]</f>
        <v>4464110595</v>
      </c>
    </row>
    <row r="800" spans="1:8" x14ac:dyDescent="0.25">
      <c r="A800" s="2">
        <v>44641</v>
      </c>
      <c r="B800">
        <v>10595</v>
      </c>
      <c r="C800">
        <v>78</v>
      </c>
      <c r="D800">
        <v>0</v>
      </c>
      <c r="E800">
        <v>4</v>
      </c>
      <c r="F800" s="1">
        <f t="shared" si="12"/>
        <v>41</v>
      </c>
      <c r="G800" s="1" t="str">
        <f>_xlfn.XLOOKUP(C800,'Ocupação DW'!$F:$F,'Ocupação DW'!$E:$E,"",0)</f>
        <v>SEG - MIGUEL COUTO</v>
      </c>
      <c r="H800" t="str">
        <f>Vagas[[#This Row],[data]]&amp;Vagas[[#This Row],[profissional_id]]&amp;Vagas[[#This Row],[local_id]]</f>
        <v>446411059578</v>
      </c>
    </row>
    <row r="801" spans="1:8" x14ac:dyDescent="0.25">
      <c r="A801" s="2">
        <v>44641</v>
      </c>
      <c r="B801">
        <v>10691</v>
      </c>
      <c r="D801">
        <v>41</v>
      </c>
      <c r="E801">
        <v>0</v>
      </c>
      <c r="F801" s="1">
        <f t="shared" si="12"/>
        <v>0</v>
      </c>
      <c r="G801" s="1" t="str">
        <f>_xlfn.XLOOKUP(C801,'Ocupação DW'!$F:$F,'Ocupação DW'!$E:$E,"",0)</f>
        <v/>
      </c>
      <c r="H801" t="str">
        <f>Vagas[[#This Row],[data]]&amp;Vagas[[#This Row],[profissional_id]]&amp;Vagas[[#This Row],[local_id]]</f>
        <v>4464110691</v>
      </c>
    </row>
    <row r="802" spans="1:8" x14ac:dyDescent="0.25">
      <c r="A802" s="2">
        <v>44641</v>
      </c>
      <c r="B802">
        <v>10691</v>
      </c>
      <c r="C802">
        <v>9</v>
      </c>
      <c r="D802">
        <v>0</v>
      </c>
      <c r="E802">
        <v>0</v>
      </c>
      <c r="F802" s="1">
        <f t="shared" si="12"/>
        <v>41</v>
      </c>
      <c r="G802" s="1" t="str">
        <f>_xlfn.XLOOKUP(C802,'Ocupação DW'!$F:$F,'Ocupação DW'!$E:$E,"",0)</f>
        <v>SEG - FILIAL II 10°</v>
      </c>
      <c r="H802" t="str">
        <f>Vagas[[#This Row],[data]]&amp;Vagas[[#This Row],[profissional_id]]&amp;Vagas[[#This Row],[local_id]]</f>
        <v>44641106919</v>
      </c>
    </row>
    <row r="803" spans="1:8" x14ac:dyDescent="0.25">
      <c r="A803" s="2">
        <v>44641</v>
      </c>
      <c r="B803">
        <v>10941</v>
      </c>
      <c r="C803">
        <v>67</v>
      </c>
      <c r="D803">
        <v>0</v>
      </c>
      <c r="E803">
        <v>0</v>
      </c>
      <c r="F803" s="1">
        <f t="shared" si="12"/>
        <v>0</v>
      </c>
      <c r="G803" s="1" t="str">
        <f>_xlfn.XLOOKUP(C803,'Ocupação DW'!$F:$F,'Ocupação DW'!$E:$E,"",0)</f>
        <v>SEG - NILÓPOLIS</v>
      </c>
      <c r="H803" t="str">
        <f>Vagas[[#This Row],[data]]&amp;Vagas[[#This Row],[profissional_id]]&amp;Vagas[[#This Row],[local_id]]</f>
        <v>446411094167</v>
      </c>
    </row>
    <row r="804" spans="1:8" x14ac:dyDescent="0.25">
      <c r="A804" s="2">
        <v>44641</v>
      </c>
      <c r="B804">
        <v>10941</v>
      </c>
      <c r="C804">
        <v>11</v>
      </c>
      <c r="D804">
        <v>0</v>
      </c>
      <c r="E804">
        <v>0</v>
      </c>
      <c r="F804" s="1">
        <f t="shared" si="12"/>
        <v>0</v>
      </c>
      <c r="G804" s="1" t="str">
        <f>_xlfn.XLOOKUP(C804,'Ocupação DW'!$F:$F,'Ocupação DW'!$E:$E,"",0)</f>
        <v>SEG - FILIAL II 11°</v>
      </c>
      <c r="H804" t="str">
        <f>Vagas[[#This Row],[data]]&amp;Vagas[[#This Row],[profissional_id]]&amp;Vagas[[#This Row],[local_id]]</f>
        <v>446411094111</v>
      </c>
    </row>
    <row r="805" spans="1:8" x14ac:dyDescent="0.25">
      <c r="A805" s="2">
        <v>44641</v>
      </c>
      <c r="B805">
        <v>10946</v>
      </c>
      <c r="D805">
        <v>0</v>
      </c>
      <c r="E805">
        <v>0</v>
      </c>
      <c r="F805" s="1">
        <f t="shared" si="12"/>
        <v>0</v>
      </c>
      <c r="G805" s="1" t="str">
        <f>_xlfn.XLOOKUP(C805,'Ocupação DW'!$F:$F,'Ocupação DW'!$E:$E,"",0)</f>
        <v/>
      </c>
      <c r="H805" t="str">
        <f>Vagas[[#This Row],[data]]&amp;Vagas[[#This Row],[profissional_id]]&amp;Vagas[[#This Row],[local_id]]</f>
        <v>4464110946</v>
      </c>
    </row>
    <row r="806" spans="1:8" x14ac:dyDescent="0.25">
      <c r="A806" s="2">
        <v>44641</v>
      </c>
      <c r="B806">
        <v>10946</v>
      </c>
      <c r="C806">
        <v>3</v>
      </c>
      <c r="D806">
        <v>0</v>
      </c>
      <c r="E806">
        <v>0</v>
      </c>
      <c r="F806" s="1">
        <f t="shared" si="12"/>
        <v>0</v>
      </c>
      <c r="G806" s="1" t="str">
        <f>_xlfn.XLOOKUP(C806,'Ocupação DW'!$F:$F,'Ocupação DW'!$E:$E,"",0)</f>
        <v>SEG - FILIAL II 10°</v>
      </c>
      <c r="H806" t="str">
        <f>Vagas[[#This Row],[data]]&amp;Vagas[[#This Row],[profissional_id]]&amp;Vagas[[#This Row],[local_id]]</f>
        <v>44641109463</v>
      </c>
    </row>
    <row r="807" spans="1:8" x14ac:dyDescent="0.25">
      <c r="A807" s="2">
        <v>44641</v>
      </c>
      <c r="B807">
        <v>11241</v>
      </c>
      <c r="C807">
        <v>51</v>
      </c>
      <c r="D807">
        <v>0</v>
      </c>
      <c r="E807">
        <v>0</v>
      </c>
      <c r="F807" s="1">
        <f t="shared" si="12"/>
        <v>0</v>
      </c>
      <c r="G807" s="1" t="str">
        <f>_xlfn.XLOOKUP(C807,'Ocupação DW'!$F:$F,'Ocupação DW'!$E:$E,"",0)</f>
        <v>SEG - FILIAL I</v>
      </c>
      <c r="H807" t="str">
        <f>Vagas[[#This Row],[data]]&amp;Vagas[[#This Row],[profissional_id]]&amp;Vagas[[#This Row],[local_id]]</f>
        <v>446411124151</v>
      </c>
    </row>
    <row r="808" spans="1:8" x14ac:dyDescent="0.25">
      <c r="A808" s="2">
        <v>44641</v>
      </c>
      <c r="B808">
        <v>11312</v>
      </c>
      <c r="C808">
        <v>60</v>
      </c>
      <c r="D808">
        <v>60</v>
      </c>
      <c r="E808">
        <v>0</v>
      </c>
      <c r="F808" s="1">
        <f t="shared" si="12"/>
        <v>0</v>
      </c>
      <c r="G808" s="1" t="str">
        <f>_xlfn.XLOOKUP(C808,'Ocupação DW'!$F:$F,'Ocupação DW'!$E:$E,"",0)</f>
        <v>SEG - NILÓPOLIS</v>
      </c>
      <c r="H808" t="str">
        <f>Vagas[[#This Row],[data]]&amp;Vagas[[#This Row],[profissional_id]]&amp;Vagas[[#This Row],[local_id]]</f>
        <v>446411131260</v>
      </c>
    </row>
    <row r="809" spans="1:8" x14ac:dyDescent="0.25">
      <c r="A809" s="2">
        <v>44641</v>
      </c>
      <c r="B809">
        <v>11397</v>
      </c>
      <c r="C809">
        <v>340</v>
      </c>
      <c r="D809">
        <v>72</v>
      </c>
      <c r="E809">
        <v>0</v>
      </c>
      <c r="F809" s="1">
        <f t="shared" si="12"/>
        <v>0</v>
      </c>
      <c r="G809" s="1" t="str">
        <f>_xlfn.XLOOKUP(C809,'Ocupação DW'!$F:$F,'Ocupação DW'!$E:$E,"",0)</f>
        <v>SEG - MATRIZ</v>
      </c>
      <c r="H809" t="str">
        <f>Vagas[[#This Row],[data]]&amp;Vagas[[#This Row],[profissional_id]]&amp;Vagas[[#This Row],[local_id]]</f>
        <v>4464111397340</v>
      </c>
    </row>
    <row r="810" spans="1:8" x14ac:dyDescent="0.25">
      <c r="A810" s="2">
        <v>44641</v>
      </c>
      <c r="B810">
        <v>11397</v>
      </c>
      <c r="C810">
        <v>346</v>
      </c>
      <c r="D810">
        <v>72</v>
      </c>
      <c r="E810">
        <v>0</v>
      </c>
      <c r="F810" s="1">
        <f t="shared" si="12"/>
        <v>0</v>
      </c>
      <c r="G810" s="1" t="str">
        <f>_xlfn.XLOOKUP(C810,'Ocupação DW'!$F:$F,'Ocupação DW'!$E:$E,"",0)</f>
        <v>SEG - MATRIZ</v>
      </c>
      <c r="H810" t="str">
        <f>Vagas[[#This Row],[data]]&amp;Vagas[[#This Row],[profissional_id]]&amp;Vagas[[#This Row],[local_id]]</f>
        <v>4464111397346</v>
      </c>
    </row>
    <row r="811" spans="1:8" x14ac:dyDescent="0.25">
      <c r="A811" s="2">
        <v>44641</v>
      </c>
      <c r="B811">
        <v>11634</v>
      </c>
      <c r="C811">
        <v>343</v>
      </c>
      <c r="D811">
        <v>96</v>
      </c>
      <c r="E811">
        <v>0</v>
      </c>
      <c r="F811" s="1">
        <f t="shared" si="12"/>
        <v>0</v>
      </c>
      <c r="G811" s="1" t="str">
        <f>_xlfn.XLOOKUP(C811,'Ocupação DW'!$F:$F,'Ocupação DW'!$E:$E,"",0)</f>
        <v/>
      </c>
      <c r="H811" t="str">
        <f>Vagas[[#This Row],[data]]&amp;Vagas[[#This Row],[profissional_id]]&amp;Vagas[[#This Row],[local_id]]</f>
        <v>4464111634343</v>
      </c>
    </row>
    <row r="812" spans="1:8" x14ac:dyDescent="0.25">
      <c r="A812" s="2">
        <v>44641</v>
      </c>
      <c r="B812">
        <v>11634</v>
      </c>
      <c r="C812">
        <v>339</v>
      </c>
      <c r="D812">
        <v>120</v>
      </c>
      <c r="E812">
        <v>0</v>
      </c>
      <c r="F812" s="1">
        <f t="shared" si="12"/>
        <v>0</v>
      </c>
      <c r="G812" s="1" t="str">
        <f>_xlfn.XLOOKUP(C812,'Ocupação DW'!$F:$F,'Ocupação DW'!$E:$E,"",0)</f>
        <v>SEG - MATRIZ</v>
      </c>
      <c r="H812" t="str">
        <f>Vagas[[#This Row],[data]]&amp;Vagas[[#This Row],[profissional_id]]&amp;Vagas[[#This Row],[local_id]]</f>
        <v>4464111634339</v>
      </c>
    </row>
    <row r="813" spans="1:8" x14ac:dyDescent="0.25">
      <c r="A813" s="2">
        <v>44641</v>
      </c>
      <c r="B813">
        <v>12369</v>
      </c>
      <c r="D813">
        <v>9</v>
      </c>
      <c r="E813">
        <v>0</v>
      </c>
      <c r="F813" s="1">
        <f t="shared" si="12"/>
        <v>0</v>
      </c>
      <c r="G813" s="1" t="str">
        <f>_xlfn.XLOOKUP(C813,'Ocupação DW'!$F:$F,'Ocupação DW'!$E:$E,"",0)</f>
        <v/>
      </c>
      <c r="H813" t="str">
        <f>Vagas[[#This Row],[data]]&amp;Vagas[[#This Row],[profissional_id]]&amp;Vagas[[#This Row],[local_id]]</f>
        <v>4464112369</v>
      </c>
    </row>
    <row r="814" spans="1:8" x14ac:dyDescent="0.25">
      <c r="A814" s="2">
        <v>44641</v>
      </c>
      <c r="B814">
        <v>12369</v>
      </c>
      <c r="C814">
        <v>43</v>
      </c>
      <c r="D814">
        <v>0</v>
      </c>
      <c r="E814">
        <v>0</v>
      </c>
      <c r="F814" s="1">
        <f t="shared" si="12"/>
        <v>9</v>
      </c>
      <c r="G814" s="1" t="str">
        <f>_xlfn.XLOOKUP(C814,'Ocupação DW'!$F:$F,'Ocupação DW'!$E:$E,"",0)</f>
        <v>SEG - FILIAL I</v>
      </c>
      <c r="H814" t="str">
        <f>Vagas[[#This Row],[data]]&amp;Vagas[[#This Row],[profissional_id]]&amp;Vagas[[#This Row],[local_id]]</f>
        <v>446411236943</v>
      </c>
    </row>
    <row r="815" spans="1:8" x14ac:dyDescent="0.25">
      <c r="A815" s="2">
        <v>44641</v>
      </c>
      <c r="B815">
        <v>12369</v>
      </c>
      <c r="C815">
        <v>44</v>
      </c>
      <c r="D815">
        <v>0</v>
      </c>
      <c r="E815">
        <v>0</v>
      </c>
      <c r="F815" s="1">
        <f t="shared" si="12"/>
        <v>0</v>
      </c>
      <c r="G815" s="1" t="str">
        <f>_xlfn.XLOOKUP(C815,'Ocupação DW'!$F:$F,'Ocupação DW'!$E:$E,"",0)</f>
        <v>SEG - FILIAL I</v>
      </c>
      <c r="H815" t="str">
        <f>Vagas[[#This Row],[data]]&amp;Vagas[[#This Row],[profissional_id]]&amp;Vagas[[#This Row],[local_id]]</f>
        <v>446411236944</v>
      </c>
    </row>
    <row r="816" spans="1:8" x14ac:dyDescent="0.25">
      <c r="A816" s="2">
        <v>44641</v>
      </c>
      <c r="B816">
        <v>12519</v>
      </c>
      <c r="D816">
        <v>0</v>
      </c>
      <c r="E816">
        <v>0</v>
      </c>
      <c r="F816" s="1">
        <f t="shared" si="12"/>
        <v>0</v>
      </c>
      <c r="G816" s="1" t="str">
        <f>_xlfn.XLOOKUP(C816,'Ocupação DW'!$F:$F,'Ocupação DW'!$E:$E,"",0)</f>
        <v/>
      </c>
      <c r="H816" t="str">
        <f>Vagas[[#This Row],[data]]&amp;Vagas[[#This Row],[profissional_id]]&amp;Vagas[[#This Row],[local_id]]</f>
        <v>4464112519</v>
      </c>
    </row>
    <row r="817" spans="1:8" x14ac:dyDescent="0.25">
      <c r="A817" s="2">
        <v>44641</v>
      </c>
      <c r="B817">
        <v>12669</v>
      </c>
      <c r="C817">
        <v>6</v>
      </c>
      <c r="D817">
        <v>0</v>
      </c>
      <c r="E817">
        <v>0</v>
      </c>
      <c r="F817" s="1">
        <f t="shared" si="12"/>
        <v>0</v>
      </c>
      <c r="G817" s="1" t="str">
        <f>_xlfn.XLOOKUP(C817,'Ocupação DW'!$F:$F,'Ocupação DW'!$E:$E,"",0)</f>
        <v>SEG - FILIAL II 10°</v>
      </c>
      <c r="H817" t="str">
        <f>Vagas[[#This Row],[data]]&amp;Vagas[[#This Row],[profissional_id]]&amp;Vagas[[#This Row],[local_id]]</f>
        <v>44641126696</v>
      </c>
    </row>
    <row r="818" spans="1:8" x14ac:dyDescent="0.25">
      <c r="A818" s="2">
        <v>44641</v>
      </c>
      <c r="B818">
        <v>12679</v>
      </c>
      <c r="D818">
        <v>13</v>
      </c>
      <c r="E818">
        <v>0</v>
      </c>
      <c r="F818" s="1">
        <f t="shared" si="12"/>
        <v>0</v>
      </c>
      <c r="G818" s="1" t="str">
        <f>_xlfn.XLOOKUP(C818,'Ocupação DW'!$F:$F,'Ocupação DW'!$E:$E,"",0)</f>
        <v/>
      </c>
      <c r="H818" t="str">
        <f>Vagas[[#This Row],[data]]&amp;Vagas[[#This Row],[profissional_id]]&amp;Vagas[[#This Row],[local_id]]</f>
        <v>4464112679</v>
      </c>
    </row>
    <row r="819" spans="1:8" x14ac:dyDescent="0.25">
      <c r="A819" s="2">
        <v>44641</v>
      </c>
      <c r="B819">
        <v>12679</v>
      </c>
      <c r="C819">
        <v>334</v>
      </c>
      <c r="D819">
        <v>0</v>
      </c>
      <c r="E819">
        <v>0</v>
      </c>
      <c r="F819" s="1">
        <f t="shared" si="12"/>
        <v>13</v>
      </c>
      <c r="G819" s="1" t="str">
        <f>_xlfn.XLOOKUP(C819,'Ocupação DW'!$F:$F,'Ocupação DW'!$E:$E,"",0)</f>
        <v>SEG - FILIAL I</v>
      </c>
      <c r="H819" t="str">
        <f>Vagas[[#This Row],[data]]&amp;Vagas[[#This Row],[profissional_id]]&amp;Vagas[[#This Row],[local_id]]</f>
        <v>4464112679334</v>
      </c>
    </row>
    <row r="820" spans="1:8" x14ac:dyDescent="0.25">
      <c r="A820" s="2">
        <v>44641</v>
      </c>
      <c r="B820">
        <v>12684</v>
      </c>
      <c r="D820">
        <v>0</v>
      </c>
      <c r="E820">
        <v>0</v>
      </c>
      <c r="F820" s="1">
        <f t="shared" si="12"/>
        <v>0</v>
      </c>
      <c r="G820" s="1" t="str">
        <f>_xlfn.XLOOKUP(C820,'Ocupação DW'!$F:$F,'Ocupação DW'!$E:$E,"",0)</f>
        <v/>
      </c>
      <c r="H820" t="str">
        <f>Vagas[[#This Row],[data]]&amp;Vagas[[#This Row],[profissional_id]]&amp;Vagas[[#This Row],[local_id]]</f>
        <v>4464112684</v>
      </c>
    </row>
    <row r="821" spans="1:8" x14ac:dyDescent="0.25">
      <c r="A821" s="2">
        <v>44641</v>
      </c>
      <c r="B821">
        <v>12711</v>
      </c>
      <c r="D821">
        <v>0</v>
      </c>
      <c r="E821">
        <v>0</v>
      </c>
      <c r="F821" s="1">
        <f t="shared" si="12"/>
        <v>0</v>
      </c>
      <c r="G821" s="1" t="str">
        <f>_xlfn.XLOOKUP(C821,'Ocupação DW'!$F:$F,'Ocupação DW'!$E:$E,"",0)</f>
        <v/>
      </c>
      <c r="H821" t="str">
        <f>Vagas[[#This Row],[data]]&amp;Vagas[[#This Row],[profissional_id]]&amp;Vagas[[#This Row],[local_id]]</f>
        <v>4464112711</v>
      </c>
    </row>
    <row r="822" spans="1:8" x14ac:dyDescent="0.25">
      <c r="A822" s="2">
        <v>44641</v>
      </c>
      <c r="B822">
        <v>12810</v>
      </c>
      <c r="D822">
        <v>49</v>
      </c>
      <c r="E822">
        <v>0</v>
      </c>
      <c r="F822" s="1">
        <f t="shared" si="12"/>
        <v>0</v>
      </c>
      <c r="G822" s="1" t="str">
        <f>_xlfn.XLOOKUP(C822,'Ocupação DW'!$F:$F,'Ocupação DW'!$E:$E,"",0)</f>
        <v/>
      </c>
      <c r="H822" t="str">
        <f>Vagas[[#This Row],[data]]&amp;Vagas[[#This Row],[profissional_id]]&amp;Vagas[[#This Row],[local_id]]</f>
        <v>4464112810</v>
      </c>
    </row>
    <row r="823" spans="1:8" x14ac:dyDescent="0.25">
      <c r="A823" s="2">
        <v>44641</v>
      </c>
      <c r="B823">
        <v>12810</v>
      </c>
      <c r="C823">
        <v>339</v>
      </c>
      <c r="D823">
        <v>60</v>
      </c>
      <c r="E823">
        <v>0</v>
      </c>
      <c r="F823" s="1">
        <f t="shared" si="12"/>
        <v>0</v>
      </c>
      <c r="G823" s="1" t="str">
        <f>_xlfn.XLOOKUP(C823,'Ocupação DW'!$F:$F,'Ocupação DW'!$E:$E,"",0)</f>
        <v>SEG - MATRIZ</v>
      </c>
      <c r="H823" t="str">
        <f>Vagas[[#This Row],[data]]&amp;Vagas[[#This Row],[profissional_id]]&amp;Vagas[[#This Row],[local_id]]</f>
        <v>4464112810339</v>
      </c>
    </row>
    <row r="824" spans="1:8" x14ac:dyDescent="0.25">
      <c r="A824" s="2">
        <v>44641</v>
      </c>
      <c r="B824">
        <v>12825</v>
      </c>
      <c r="D824">
        <v>0</v>
      </c>
      <c r="E824">
        <v>0</v>
      </c>
      <c r="F824" s="1">
        <f t="shared" si="12"/>
        <v>0</v>
      </c>
      <c r="G824" s="1" t="str">
        <f>_xlfn.XLOOKUP(C824,'Ocupação DW'!$F:$F,'Ocupação DW'!$E:$E,"",0)</f>
        <v/>
      </c>
      <c r="H824" t="str">
        <f>Vagas[[#This Row],[data]]&amp;Vagas[[#This Row],[profissional_id]]&amp;Vagas[[#This Row],[local_id]]</f>
        <v>4464112825</v>
      </c>
    </row>
    <row r="825" spans="1:8" x14ac:dyDescent="0.25">
      <c r="A825" s="2">
        <v>44641</v>
      </c>
      <c r="B825">
        <v>13220</v>
      </c>
      <c r="C825">
        <v>61</v>
      </c>
      <c r="D825">
        <v>120</v>
      </c>
      <c r="E825">
        <v>0</v>
      </c>
      <c r="F825" s="1">
        <f t="shared" si="12"/>
        <v>0</v>
      </c>
      <c r="G825" s="1" t="str">
        <f>_xlfn.XLOOKUP(C825,'Ocupação DW'!$F:$F,'Ocupação DW'!$E:$E,"",0)</f>
        <v/>
      </c>
      <c r="H825" t="str">
        <f>Vagas[[#This Row],[data]]&amp;Vagas[[#This Row],[profissional_id]]&amp;Vagas[[#This Row],[local_id]]</f>
        <v>446411322061</v>
      </c>
    </row>
    <row r="826" spans="1:8" x14ac:dyDescent="0.25">
      <c r="A826" s="2">
        <v>44641</v>
      </c>
      <c r="B826">
        <v>13249</v>
      </c>
      <c r="C826">
        <v>45</v>
      </c>
      <c r="D826">
        <v>0</v>
      </c>
      <c r="E826">
        <v>0</v>
      </c>
      <c r="F826" s="1">
        <f t="shared" si="12"/>
        <v>0</v>
      </c>
      <c r="G826" s="1" t="str">
        <f>_xlfn.XLOOKUP(C826,'Ocupação DW'!$F:$F,'Ocupação DW'!$E:$E,"",0)</f>
        <v>SEG - FILIAL I</v>
      </c>
      <c r="H826" t="str">
        <f>Vagas[[#This Row],[data]]&amp;Vagas[[#This Row],[profissional_id]]&amp;Vagas[[#This Row],[local_id]]</f>
        <v>446411324945</v>
      </c>
    </row>
    <row r="827" spans="1:8" x14ac:dyDescent="0.25">
      <c r="A827" s="2">
        <v>44641</v>
      </c>
      <c r="B827">
        <v>13371</v>
      </c>
      <c r="D827">
        <v>19</v>
      </c>
      <c r="E827">
        <v>0</v>
      </c>
      <c r="F827" s="1">
        <f t="shared" si="12"/>
        <v>0</v>
      </c>
      <c r="G827" s="1" t="str">
        <f>_xlfn.XLOOKUP(C827,'Ocupação DW'!$F:$F,'Ocupação DW'!$E:$E,"",0)</f>
        <v/>
      </c>
      <c r="H827" t="str">
        <f>Vagas[[#This Row],[data]]&amp;Vagas[[#This Row],[profissional_id]]&amp;Vagas[[#This Row],[local_id]]</f>
        <v>4464113371</v>
      </c>
    </row>
    <row r="828" spans="1:8" x14ac:dyDescent="0.25">
      <c r="A828" s="2">
        <v>44641</v>
      </c>
      <c r="B828">
        <v>13479</v>
      </c>
      <c r="D828">
        <v>19</v>
      </c>
      <c r="E828">
        <v>0</v>
      </c>
      <c r="F828" s="1">
        <f t="shared" si="12"/>
        <v>0</v>
      </c>
      <c r="G828" s="1" t="str">
        <f>_xlfn.XLOOKUP(C828,'Ocupação DW'!$F:$F,'Ocupação DW'!$E:$E,"",0)</f>
        <v/>
      </c>
      <c r="H828" t="str">
        <f>Vagas[[#This Row],[data]]&amp;Vagas[[#This Row],[profissional_id]]&amp;Vagas[[#This Row],[local_id]]</f>
        <v>4464113479</v>
      </c>
    </row>
    <row r="829" spans="1:8" x14ac:dyDescent="0.25">
      <c r="A829" s="2">
        <v>44641</v>
      </c>
      <c r="B829">
        <v>13479</v>
      </c>
      <c r="C829">
        <v>46</v>
      </c>
      <c r="D829">
        <v>0</v>
      </c>
      <c r="E829">
        <v>0</v>
      </c>
      <c r="F829" s="1">
        <f t="shared" si="12"/>
        <v>19</v>
      </c>
      <c r="G829" s="1" t="str">
        <f>_xlfn.XLOOKUP(C829,'Ocupação DW'!$F:$F,'Ocupação DW'!$E:$E,"",0)</f>
        <v>SEG - FILIAL I</v>
      </c>
      <c r="H829" t="str">
        <f>Vagas[[#This Row],[data]]&amp;Vagas[[#This Row],[profissional_id]]&amp;Vagas[[#This Row],[local_id]]</f>
        <v>446411347946</v>
      </c>
    </row>
    <row r="830" spans="1:8" x14ac:dyDescent="0.25">
      <c r="A830" s="2">
        <v>44641</v>
      </c>
      <c r="B830">
        <v>13645</v>
      </c>
      <c r="D830">
        <v>0</v>
      </c>
      <c r="E830">
        <v>0</v>
      </c>
      <c r="F830" s="1">
        <f t="shared" si="12"/>
        <v>0</v>
      </c>
      <c r="G830" s="1" t="str">
        <f>_xlfn.XLOOKUP(C830,'Ocupação DW'!$F:$F,'Ocupação DW'!$E:$E,"",0)</f>
        <v/>
      </c>
      <c r="H830" t="str">
        <f>Vagas[[#This Row],[data]]&amp;Vagas[[#This Row],[profissional_id]]&amp;Vagas[[#This Row],[local_id]]</f>
        <v>4464113645</v>
      </c>
    </row>
    <row r="831" spans="1:8" x14ac:dyDescent="0.25">
      <c r="A831" s="2">
        <v>44641</v>
      </c>
      <c r="B831">
        <v>13659</v>
      </c>
      <c r="C831">
        <v>341</v>
      </c>
      <c r="D831">
        <v>108</v>
      </c>
      <c r="E831">
        <v>0</v>
      </c>
      <c r="F831" s="1">
        <f t="shared" si="12"/>
        <v>0</v>
      </c>
      <c r="G831" s="1" t="str">
        <f>_xlfn.XLOOKUP(C831,'Ocupação DW'!$F:$F,'Ocupação DW'!$E:$E,"",0)</f>
        <v/>
      </c>
      <c r="H831" t="str">
        <f>Vagas[[#This Row],[data]]&amp;Vagas[[#This Row],[profissional_id]]&amp;Vagas[[#This Row],[local_id]]</f>
        <v>4464113659341</v>
      </c>
    </row>
    <row r="832" spans="1:8" x14ac:dyDescent="0.25">
      <c r="A832" s="2">
        <v>44641</v>
      </c>
      <c r="B832">
        <v>13835</v>
      </c>
      <c r="D832">
        <v>0</v>
      </c>
      <c r="E832">
        <v>0</v>
      </c>
      <c r="F832" s="1">
        <f t="shared" si="12"/>
        <v>0</v>
      </c>
      <c r="G832" s="1" t="str">
        <f>_xlfn.XLOOKUP(C832,'Ocupação DW'!$F:$F,'Ocupação DW'!$E:$E,"",0)</f>
        <v/>
      </c>
      <c r="H832" t="str">
        <f>Vagas[[#This Row],[data]]&amp;Vagas[[#This Row],[profissional_id]]&amp;Vagas[[#This Row],[local_id]]</f>
        <v>4464113835</v>
      </c>
    </row>
    <row r="833" spans="1:8" x14ac:dyDescent="0.25">
      <c r="A833" s="2">
        <v>44641</v>
      </c>
      <c r="B833">
        <v>13992</v>
      </c>
      <c r="C833">
        <v>339</v>
      </c>
      <c r="D833">
        <v>120</v>
      </c>
      <c r="E833">
        <v>0</v>
      </c>
      <c r="F833" s="1">
        <f t="shared" si="12"/>
        <v>0</v>
      </c>
      <c r="G833" s="1" t="str">
        <f>_xlfn.XLOOKUP(C833,'Ocupação DW'!$F:$F,'Ocupação DW'!$E:$E,"",0)</f>
        <v>SEG - MATRIZ</v>
      </c>
      <c r="H833" t="str">
        <f>Vagas[[#This Row],[data]]&amp;Vagas[[#This Row],[profissional_id]]&amp;Vagas[[#This Row],[local_id]]</f>
        <v>4464113992339</v>
      </c>
    </row>
    <row r="834" spans="1:8" x14ac:dyDescent="0.25">
      <c r="A834" s="2">
        <v>44641</v>
      </c>
      <c r="B834">
        <v>14452</v>
      </c>
      <c r="D834">
        <v>0</v>
      </c>
      <c r="E834">
        <v>0</v>
      </c>
      <c r="F834" s="1">
        <f t="shared" ref="F834:F897" si="13">IF(AND(A834=A833,B834=B833,D833&lt;&gt;0,D834=0),D833,0)</f>
        <v>0</v>
      </c>
      <c r="G834" s="1" t="str">
        <f>_xlfn.XLOOKUP(C834,'Ocupação DW'!$F:$F,'Ocupação DW'!$E:$E,"",0)</f>
        <v/>
      </c>
      <c r="H834" t="str">
        <f>Vagas[[#This Row],[data]]&amp;Vagas[[#This Row],[profissional_id]]&amp;Vagas[[#This Row],[local_id]]</f>
        <v>4464114452</v>
      </c>
    </row>
    <row r="835" spans="1:8" x14ac:dyDescent="0.25">
      <c r="A835" s="2">
        <v>44641</v>
      </c>
      <c r="B835">
        <v>17059</v>
      </c>
      <c r="D835">
        <v>0</v>
      </c>
      <c r="E835">
        <v>0</v>
      </c>
      <c r="F835" s="1">
        <f t="shared" si="13"/>
        <v>0</v>
      </c>
      <c r="G835" s="1" t="str">
        <f>_xlfn.XLOOKUP(C835,'Ocupação DW'!$F:$F,'Ocupação DW'!$E:$E,"",0)</f>
        <v/>
      </c>
      <c r="H835" t="str">
        <f>Vagas[[#This Row],[data]]&amp;Vagas[[#This Row],[profissional_id]]&amp;Vagas[[#This Row],[local_id]]</f>
        <v>4464117059</v>
      </c>
    </row>
    <row r="836" spans="1:8" x14ac:dyDescent="0.25">
      <c r="A836" s="2">
        <v>44641</v>
      </c>
      <c r="B836">
        <v>17742</v>
      </c>
      <c r="D836">
        <v>0</v>
      </c>
      <c r="E836">
        <v>0</v>
      </c>
      <c r="F836" s="1">
        <f t="shared" si="13"/>
        <v>0</v>
      </c>
      <c r="G836" s="1" t="str">
        <f>_xlfn.XLOOKUP(C836,'Ocupação DW'!$F:$F,'Ocupação DW'!$E:$E,"",0)</f>
        <v/>
      </c>
      <c r="H836" t="str">
        <f>Vagas[[#This Row],[data]]&amp;Vagas[[#This Row],[profissional_id]]&amp;Vagas[[#This Row],[local_id]]</f>
        <v>4464117742</v>
      </c>
    </row>
    <row r="837" spans="1:8" x14ac:dyDescent="0.25">
      <c r="A837" s="2">
        <v>44641</v>
      </c>
      <c r="B837">
        <v>17858</v>
      </c>
      <c r="D837">
        <v>0</v>
      </c>
      <c r="E837">
        <v>0</v>
      </c>
      <c r="F837" s="1">
        <f t="shared" si="13"/>
        <v>0</v>
      </c>
      <c r="G837" s="1" t="str">
        <f>_xlfn.XLOOKUP(C837,'Ocupação DW'!$F:$F,'Ocupação DW'!$E:$E,"",0)</f>
        <v/>
      </c>
      <c r="H837" t="str">
        <f>Vagas[[#This Row],[data]]&amp;Vagas[[#This Row],[profissional_id]]&amp;Vagas[[#This Row],[local_id]]</f>
        <v>4464117858</v>
      </c>
    </row>
    <row r="838" spans="1:8" x14ac:dyDescent="0.25">
      <c r="A838" s="2">
        <v>44641</v>
      </c>
      <c r="B838">
        <v>17868</v>
      </c>
      <c r="C838">
        <v>73</v>
      </c>
      <c r="D838">
        <v>133</v>
      </c>
      <c r="E838">
        <v>0</v>
      </c>
      <c r="F838" s="1">
        <f t="shared" si="13"/>
        <v>0</v>
      </c>
      <c r="G838" s="1" t="str">
        <f>_xlfn.XLOOKUP(C838,'Ocupação DW'!$F:$F,'Ocupação DW'!$E:$E,"",0)</f>
        <v/>
      </c>
      <c r="H838" t="str">
        <f>Vagas[[#This Row],[data]]&amp;Vagas[[#This Row],[profissional_id]]&amp;Vagas[[#This Row],[local_id]]</f>
        <v>446411786873</v>
      </c>
    </row>
    <row r="839" spans="1:8" x14ac:dyDescent="0.25">
      <c r="A839" s="2">
        <v>44641</v>
      </c>
      <c r="B839">
        <v>17871</v>
      </c>
      <c r="D839">
        <v>0</v>
      </c>
      <c r="E839">
        <v>0</v>
      </c>
      <c r="F839" s="1">
        <f t="shared" si="13"/>
        <v>0</v>
      </c>
      <c r="G839" s="1" t="str">
        <f>_xlfn.XLOOKUP(C839,'Ocupação DW'!$F:$F,'Ocupação DW'!$E:$E,"",0)</f>
        <v/>
      </c>
      <c r="H839" t="str">
        <f>Vagas[[#This Row],[data]]&amp;Vagas[[#This Row],[profissional_id]]&amp;Vagas[[#This Row],[local_id]]</f>
        <v>4464117871</v>
      </c>
    </row>
    <row r="840" spans="1:8" x14ac:dyDescent="0.25">
      <c r="A840" s="2">
        <v>44641</v>
      </c>
      <c r="B840">
        <v>17874</v>
      </c>
      <c r="D840">
        <v>0</v>
      </c>
      <c r="E840">
        <v>0</v>
      </c>
      <c r="F840" s="1">
        <f t="shared" si="13"/>
        <v>0</v>
      </c>
      <c r="G840" s="1" t="str">
        <f>_xlfn.XLOOKUP(C840,'Ocupação DW'!$F:$F,'Ocupação DW'!$E:$E,"",0)</f>
        <v/>
      </c>
      <c r="H840" t="str">
        <f>Vagas[[#This Row],[data]]&amp;Vagas[[#This Row],[profissional_id]]&amp;Vagas[[#This Row],[local_id]]</f>
        <v>4464117874</v>
      </c>
    </row>
    <row r="841" spans="1:8" x14ac:dyDescent="0.25">
      <c r="A841" s="2">
        <v>44641</v>
      </c>
      <c r="B841">
        <v>17878</v>
      </c>
      <c r="C841">
        <v>47</v>
      </c>
      <c r="D841">
        <v>0</v>
      </c>
      <c r="E841">
        <v>0</v>
      </c>
      <c r="F841" s="1">
        <f t="shared" si="13"/>
        <v>0</v>
      </c>
      <c r="G841" s="1" t="str">
        <f>_xlfn.XLOOKUP(C841,'Ocupação DW'!$F:$F,'Ocupação DW'!$E:$E,"",0)</f>
        <v>SEG - FILIAL I</v>
      </c>
      <c r="H841" t="str">
        <f>Vagas[[#This Row],[data]]&amp;Vagas[[#This Row],[profissional_id]]&amp;Vagas[[#This Row],[local_id]]</f>
        <v>446411787847</v>
      </c>
    </row>
    <row r="842" spans="1:8" x14ac:dyDescent="0.25">
      <c r="A842" s="2">
        <v>44641</v>
      </c>
      <c r="B842">
        <v>17881</v>
      </c>
      <c r="C842">
        <v>20</v>
      </c>
      <c r="D842">
        <v>181</v>
      </c>
      <c r="E842">
        <v>0</v>
      </c>
      <c r="F842" s="1">
        <f t="shared" si="13"/>
        <v>0</v>
      </c>
      <c r="G842" s="1" t="str">
        <f>_xlfn.XLOOKUP(C842,'Ocupação DW'!$F:$F,'Ocupação DW'!$E:$E,"",0)</f>
        <v>SEG - MATRIZ</v>
      </c>
      <c r="H842" t="str">
        <f>Vagas[[#This Row],[data]]&amp;Vagas[[#This Row],[profissional_id]]&amp;Vagas[[#This Row],[local_id]]</f>
        <v>446411788120</v>
      </c>
    </row>
    <row r="843" spans="1:8" x14ac:dyDescent="0.25">
      <c r="A843" s="2">
        <v>44641</v>
      </c>
      <c r="B843">
        <v>17882</v>
      </c>
      <c r="C843">
        <v>21</v>
      </c>
      <c r="D843">
        <v>181</v>
      </c>
      <c r="E843">
        <v>0</v>
      </c>
      <c r="F843" s="1">
        <f t="shared" si="13"/>
        <v>0</v>
      </c>
      <c r="G843" s="1" t="str">
        <f>_xlfn.XLOOKUP(C843,'Ocupação DW'!$F:$F,'Ocupação DW'!$E:$E,"",0)</f>
        <v/>
      </c>
      <c r="H843" t="str">
        <f>Vagas[[#This Row],[data]]&amp;Vagas[[#This Row],[profissional_id]]&amp;Vagas[[#This Row],[local_id]]</f>
        <v>446411788221</v>
      </c>
    </row>
    <row r="844" spans="1:8" x14ac:dyDescent="0.25">
      <c r="A844" s="2">
        <v>44641</v>
      </c>
      <c r="B844">
        <v>17883</v>
      </c>
      <c r="D844">
        <v>11</v>
      </c>
      <c r="E844">
        <v>0</v>
      </c>
      <c r="F844" s="1">
        <f t="shared" si="13"/>
        <v>0</v>
      </c>
      <c r="G844" s="1" t="str">
        <f>_xlfn.XLOOKUP(C844,'Ocupação DW'!$F:$F,'Ocupação DW'!$E:$E,"",0)</f>
        <v/>
      </c>
      <c r="H844" t="str">
        <f>Vagas[[#This Row],[data]]&amp;Vagas[[#This Row],[profissional_id]]&amp;Vagas[[#This Row],[local_id]]</f>
        <v>4464117883</v>
      </c>
    </row>
    <row r="845" spans="1:8" x14ac:dyDescent="0.25">
      <c r="A845" s="2">
        <v>44641</v>
      </c>
      <c r="B845">
        <v>17883</v>
      </c>
      <c r="C845">
        <v>351</v>
      </c>
      <c r="D845">
        <v>0</v>
      </c>
      <c r="E845">
        <v>0</v>
      </c>
      <c r="F845" s="1">
        <f t="shared" si="13"/>
        <v>11</v>
      </c>
      <c r="G845" s="1" t="str">
        <f>_xlfn.XLOOKUP(C845,'Ocupação DW'!$F:$F,'Ocupação DW'!$E:$E,"",0)</f>
        <v>SEG - FILIAL I</v>
      </c>
      <c r="H845" t="str">
        <f>Vagas[[#This Row],[data]]&amp;Vagas[[#This Row],[profissional_id]]&amp;Vagas[[#This Row],[local_id]]</f>
        <v>4464117883351</v>
      </c>
    </row>
    <row r="846" spans="1:8" x14ac:dyDescent="0.25">
      <c r="A846" s="2">
        <v>44641</v>
      </c>
      <c r="B846">
        <v>17885</v>
      </c>
      <c r="D846">
        <v>0</v>
      </c>
      <c r="E846">
        <v>0</v>
      </c>
      <c r="F846" s="1">
        <f t="shared" si="13"/>
        <v>0</v>
      </c>
      <c r="G846" s="1" t="str">
        <f>_xlfn.XLOOKUP(C846,'Ocupação DW'!$F:$F,'Ocupação DW'!$E:$E,"",0)</f>
        <v/>
      </c>
      <c r="H846" t="str">
        <f>Vagas[[#This Row],[data]]&amp;Vagas[[#This Row],[profissional_id]]&amp;Vagas[[#This Row],[local_id]]</f>
        <v>4464117885</v>
      </c>
    </row>
    <row r="847" spans="1:8" x14ac:dyDescent="0.25">
      <c r="A847" s="2">
        <v>44641</v>
      </c>
      <c r="B847">
        <v>17885</v>
      </c>
      <c r="C847">
        <v>23</v>
      </c>
      <c r="D847">
        <v>61</v>
      </c>
      <c r="E847">
        <v>0</v>
      </c>
      <c r="F847" s="1">
        <f t="shared" si="13"/>
        <v>0</v>
      </c>
      <c r="G847" s="1" t="str">
        <f>_xlfn.XLOOKUP(C847,'Ocupação DW'!$F:$F,'Ocupação DW'!$E:$E,"",0)</f>
        <v/>
      </c>
      <c r="H847" t="str">
        <f>Vagas[[#This Row],[data]]&amp;Vagas[[#This Row],[profissional_id]]&amp;Vagas[[#This Row],[local_id]]</f>
        <v>446411788523</v>
      </c>
    </row>
    <row r="848" spans="1:8" x14ac:dyDescent="0.25">
      <c r="A848" s="2">
        <v>44641</v>
      </c>
      <c r="B848">
        <v>17886</v>
      </c>
      <c r="C848">
        <v>84</v>
      </c>
      <c r="D848">
        <v>60</v>
      </c>
      <c r="E848">
        <v>0</v>
      </c>
      <c r="F848" s="1">
        <f t="shared" si="13"/>
        <v>0</v>
      </c>
      <c r="G848" s="1" t="str">
        <f>_xlfn.XLOOKUP(C848,'Ocupação DW'!$F:$F,'Ocupação DW'!$E:$E,"",0)</f>
        <v/>
      </c>
      <c r="H848" t="str">
        <f>Vagas[[#This Row],[data]]&amp;Vagas[[#This Row],[profissional_id]]&amp;Vagas[[#This Row],[local_id]]</f>
        <v>446411788684</v>
      </c>
    </row>
    <row r="849" spans="1:8" x14ac:dyDescent="0.25">
      <c r="A849" s="2">
        <v>44641</v>
      </c>
      <c r="B849">
        <v>17887</v>
      </c>
      <c r="C849">
        <v>58</v>
      </c>
      <c r="D849">
        <v>60</v>
      </c>
      <c r="E849">
        <v>0</v>
      </c>
      <c r="F849" s="1">
        <f t="shared" si="13"/>
        <v>0</v>
      </c>
      <c r="G849" s="1" t="str">
        <f>_xlfn.XLOOKUP(C849,'Ocupação DW'!$F:$F,'Ocupação DW'!$E:$E,"",0)</f>
        <v/>
      </c>
      <c r="H849" t="str">
        <f>Vagas[[#This Row],[data]]&amp;Vagas[[#This Row],[profissional_id]]&amp;Vagas[[#This Row],[local_id]]</f>
        <v>446411788758</v>
      </c>
    </row>
    <row r="850" spans="1:8" x14ac:dyDescent="0.25">
      <c r="A850" s="2">
        <v>44641</v>
      </c>
      <c r="B850">
        <v>17888</v>
      </c>
      <c r="C850">
        <v>40</v>
      </c>
      <c r="D850">
        <v>26</v>
      </c>
      <c r="E850">
        <v>0</v>
      </c>
      <c r="F850" s="1">
        <f t="shared" si="13"/>
        <v>0</v>
      </c>
      <c r="G850" s="1" t="str">
        <f>_xlfn.XLOOKUP(C850,'Ocupação DW'!$F:$F,'Ocupação DW'!$E:$E,"",0)</f>
        <v>SEG - FILIAL I</v>
      </c>
      <c r="H850" t="str">
        <f>Vagas[[#This Row],[data]]&amp;Vagas[[#This Row],[profissional_id]]&amp;Vagas[[#This Row],[local_id]]</f>
        <v>446411788840</v>
      </c>
    </row>
    <row r="851" spans="1:8" x14ac:dyDescent="0.25">
      <c r="A851" s="2">
        <v>44641</v>
      </c>
      <c r="B851">
        <v>17889</v>
      </c>
      <c r="C851">
        <v>59</v>
      </c>
      <c r="D851">
        <v>30</v>
      </c>
      <c r="E851">
        <v>0</v>
      </c>
      <c r="F851" s="1">
        <f t="shared" si="13"/>
        <v>0</v>
      </c>
      <c r="G851" s="1" t="str">
        <f>_xlfn.XLOOKUP(C851,'Ocupação DW'!$F:$F,'Ocupação DW'!$E:$E,"",0)</f>
        <v>SEG - NILÓPOLIS</v>
      </c>
      <c r="H851" t="str">
        <f>Vagas[[#This Row],[data]]&amp;Vagas[[#This Row],[profissional_id]]&amp;Vagas[[#This Row],[local_id]]</f>
        <v>446411788959</v>
      </c>
    </row>
    <row r="852" spans="1:8" x14ac:dyDescent="0.25">
      <c r="A852" s="2">
        <v>44641</v>
      </c>
      <c r="B852">
        <v>17890</v>
      </c>
      <c r="C852">
        <v>4</v>
      </c>
      <c r="D852">
        <v>6</v>
      </c>
      <c r="E852">
        <v>0</v>
      </c>
      <c r="F852" s="1">
        <f t="shared" si="13"/>
        <v>0</v>
      </c>
      <c r="G852" s="1" t="str">
        <f>_xlfn.XLOOKUP(C852,'Ocupação DW'!$F:$F,'Ocupação DW'!$E:$E,"",0)</f>
        <v>SEG - FILIAL II 10°</v>
      </c>
      <c r="H852" t="str">
        <f>Vagas[[#This Row],[data]]&amp;Vagas[[#This Row],[profissional_id]]&amp;Vagas[[#This Row],[local_id]]</f>
        <v>44641178904</v>
      </c>
    </row>
    <row r="853" spans="1:8" x14ac:dyDescent="0.25">
      <c r="A853" s="2">
        <v>44641</v>
      </c>
      <c r="B853">
        <v>17891</v>
      </c>
      <c r="C853">
        <v>76</v>
      </c>
      <c r="D853">
        <v>1</v>
      </c>
      <c r="E853">
        <v>0</v>
      </c>
      <c r="F853" s="1">
        <f t="shared" si="13"/>
        <v>0</v>
      </c>
      <c r="G853" s="1" t="str">
        <f>_xlfn.XLOOKUP(C853,'Ocupação DW'!$F:$F,'Ocupação DW'!$E:$E,"",0)</f>
        <v>SEG - MIGUEL COUTO</v>
      </c>
      <c r="H853" t="str">
        <f>Vagas[[#This Row],[data]]&amp;Vagas[[#This Row],[profissional_id]]&amp;Vagas[[#This Row],[local_id]]</f>
        <v>446411789176</v>
      </c>
    </row>
    <row r="854" spans="1:8" x14ac:dyDescent="0.25">
      <c r="A854" s="2">
        <v>44641</v>
      </c>
      <c r="B854">
        <v>17892</v>
      </c>
      <c r="D854">
        <v>0</v>
      </c>
      <c r="E854">
        <v>0</v>
      </c>
      <c r="F854" s="1">
        <f t="shared" si="13"/>
        <v>0</v>
      </c>
      <c r="G854" s="1" t="str">
        <f>_xlfn.XLOOKUP(C854,'Ocupação DW'!$F:$F,'Ocupação DW'!$E:$E,"",0)</f>
        <v/>
      </c>
      <c r="H854" t="str">
        <f>Vagas[[#This Row],[data]]&amp;Vagas[[#This Row],[profissional_id]]&amp;Vagas[[#This Row],[local_id]]</f>
        <v>4464117892</v>
      </c>
    </row>
    <row r="855" spans="1:8" x14ac:dyDescent="0.25">
      <c r="A855" s="2">
        <v>44641</v>
      </c>
      <c r="B855">
        <v>17892</v>
      </c>
      <c r="C855">
        <v>55</v>
      </c>
      <c r="D855">
        <v>3</v>
      </c>
      <c r="E855">
        <v>0</v>
      </c>
      <c r="F855" s="1">
        <f t="shared" si="13"/>
        <v>0</v>
      </c>
      <c r="G855" s="1" t="str">
        <f>_xlfn.XLOOKUP(C855,'Ocupação DW'!$F:$F,'Ocupação DW'!$E:$E,"",0)</f>
        <v>SEG - NILÓPOLIS</v>
      </c>
      <c r="H855" t="str">
        <f>Vagas[[#This Row],[data]]&amp;Vagas[[#This Row],[profissional_id]]&amp;Vagas[[#This Row],[local_id]]</f>
        <v>446411789255</v>
      </c>
    </row>
    <row r="856" spans="1:8" x14ac:dyDescent="0.25">
      <c r="A856" s="2">
        <v>44641</v>
      </c>
      <c r="B856">
        <v>17893</v>
      </c>
      <c r="C856">
        <v>4</v>
      </c>
      <c r="D856">
        <v>6</v>
      </c>
      <c r="E856">
        <v>0</v>
      </c>
      <c r="F856" s="1">
        <f t="shared" si="13"/>
        <v>0</v>
      </c>
      <c r="G856" s="1" t="str">
        <f>_xlfn.XLOOKUP(C856,'Ocupação DW'!$F:$F,'Ocupação DW'!$E:$E,"",0)</f>
        <v>SEG - FILIAL II 10°</v>
      </c>
      <c r="H856" t="str">
        <f>Vagas[[#This Row],[data]]&amp;Vagas[[#This Row],[profissional_id]]&amp;Vagas[[#This Row],[local_id]]</f>
        <v>44641178934</v>
      </c>
    </row>
    <row r="857" spans="1:8" x14ac:dyDescent="0.25">
      <c r="A857" s="2">
        <v>44641</v>
      </c>
      <c r="B857">
        <v>17894</v>
      </c>
      <c r="C857">
        <v>76</v>
      </c>
      <c r="D857">
        <v>1</v>
      </c>
      <c r="E857">
        <v>0</v>
      </c>
      <c r="F857" s="1">
        <f t="shared" si="13"/>
        <v>0</v>
      </c>
      <c r="G857" s="1" t="str">
        <f>_xlfn.XLOOKUP(C857,'Ocupação DW'!$F:$F,'Ocupação DW'!$E:$E,"",0)</f>
        <v>SEG - MIGUEL COUTO</v>
      </c>
      <c r="H857" t="str">
        <f>Vagas[[#This Row],[data]]&amp;Vagas[[#This Row],[profissional_id]]&amp;Vagas[[#This Row],[local_id]]</f>
        <v>446411789476</v>
      </c>
    </row>
    <row r="858" spans="1:8" x14ac:dyDescent="0.25">
      <c r="A858" s="2">
        <v>44641</v>
      </c>
      <c r="B858">
        <v>17895</v>
      </c>
      <c r="C858">
        <v>55</v>
      </c>
      <c r="D858">
        <v>2</v>
      </c>
      <c r="E858">
        <v>0</v>
      </c>
      <c r="F858" s="1">
        <f t="shared" si="13"/>
        <v>0</v>
      </c>
      <c r="G858" s="1" t="str">
        <f>_xlfn.XLOOKUP(C858,'Ocupação DW'!$F:$F,'Ocupação DW'!$E:$E,"",0)</f>
        <v>SEG - NILÓPOLIS</v>
      </c>
      <c r="H858" t="str">
        <f>Vagas[[#This Row],[data]]&amp;Vagas[[#This Row],[profissional_id]]&amp;Vagas[[#This Row],[local_id]]</f>
        <v>446411789555</v>
      </c>
    </row>
    <row r="859" spans="1:8" x14ac:dyDescent="0.25">
      <c r="A859" s="2">
        <v>44641</v>
      </c>
      <c r="B859">
        <v>17898</v>
      </c>
      <c r="C859">
        <v>35</v>
      </c>
      <c r="D859">
        <v>78</v>
      </c>
      <c r="E859">
        <v>0</v>
      </c>
      <c r="F859" s="1">
        <f t="shared" si="13"/>
        <v>0</v>
      </c>
      <c r="G859" s="1" t="str">
        <f>_xlfn.XLOOKUP(C859,'Ocupação DW'!$F:$F,'Ocupação DW'!$E:$E,"",0)</f>
        <v/>
      </c>
      <c r="H859" t="str">
        <f>Vagas[[#This Row],[data]]&amp;Vagas[[#This Row],[profissional_id]]&amp;Vagas[[#This Row],[local_id]]</f>
        <v>446411789835</v>
      </c>
    </row>
    <row r="860" spans="1:8" x14ac:dyDescent="0.25">
      <c r="A860" s="2">
        <v>44641</v>
      </c>
      <c r="B860">
        <v>17899</v>
      </c>
      <c r="C860">
        <v>3</v>
      </c>
      <c r="D860">
        <v>66</v>
      </c>
      <c r="E860">
        <v>0</v>
      </c>
      <c r="F860" s="1">
        <f t="shared" si="13"/>
        <v>0</v>
      </c>
      <c r="G860" s="1" t="str">
        <f>_xlfn.XLOOKUP(C860,'Ocupação DW'!$F:$F,'Ocupação DW'!$E:$E,"",0)</f>
        <v>SEG - FILIAL II 10°</v>
      </c>
      <c r="H860" t="str">
        <f>Vagas[[#This Row],[data]]&amp;Vagas[[#This Row],[profissional_id]]&amp;Vagas[[#This Row],[local_id]]</f>
        <v>44641178993</v>
      </c>
    </row>
    <row r="861" spans="1:8" x14ac:dyDescent="0.25">
      <c r="A861" s="2">
        <v>44641</v>
      </c>
      <c r="B861">
        <v>17900</v>
      </c>
      <c r="C861">
        <v>77</v>
      </c>
      <c r="D861">
        <v>60</v>
      </c>
      <c r="E861">
        <v>0</v>
      </c>
      <c r="F861" s="1">
        <f t="shared" si="13"/>
        <v>0</v>
      </c>
      <c r="G861" s="1" t="str">
        <f>_xlfn.XLOOKUP(C861,'Ocupação DW'!$F:$F,'Ocupação DW'!$E:$E,"",0)</f>
        <v/>
      </c>
      <c r="H861" t="str">
        <f>Vagas[[#This Row],[data]]&amp;Vagas[[#This Row],[profissional_id]]&amp;Vagas[[#This Row],[local_id]]</f>
        <v>446411790077</v>
      </c>
    </row>
    <row r="862" spans="1:8" x14ac:dyDescent="0.25">
      <c r="A862" s="2">
        <v>44641</v>
      </c>
      <c r="B862">
        <v>17901</v>
      </c>
      <c r="C862">
        <v>55</v>
      </c>
      <c r="D862">
        <v>66</v>
      </c>
      <c r="E862">
        <v>0</v>
      </c>
      <c r="F862" s="1">
        <f t="shared" si="13"/>
        <v>0</v>
      </c>
      <c r="G862" s="1" t="str">
        <f>_xlfn.XLOOKUP(C862,'Ocupação DW'!$F:$F,'Ocupação DW'!$E:$E,"",0)</f>
        <v>SEG - NILÓPOLIS</v>
      </c>
      <c r="H862" t="str">
        <f>Vagas[[#This Row],[data]]&amp;Vagas[[#This Row],[profissional_id]]&amp;Vagas[[#This Row],[local_id]]</f>
        <v>446411790155</v>
      </c>
    </row>
    <row r="863" spans="1:8" x14ac:dyDescent="0.25">
      <c r="A863" s="2">
        <v>44641</v>
      </c>
      <c r="B863">
        <v>17902</v>
      </c>
      <c r="C863">
        <v>39</v>
      </c>
      <c r="D863">
        <v>52</v>
      </c>
      <c r="E863">
        <v>0</v>
      </c>
      <c r="F863" s="1">
        <f t="shared" si="13"/>
        <v>0</v>
      </c>
      <c r="G863" s="1" t="str">
        <f>_xlfn.XLOOKUP(C863,'Ocupação DW'!$F:$F,'Ocupação DW'!$E:$E,"",0)</f>
        <v>SEG - FILIAL I</v>
      </c>
      <c r="H863" t="str">
        <f>Vagas[[#This Row],[data]]&amp;Vagas[[#This Row],[profissional_id]]&amp;Vagas[[#This Row],[local_id]]</f>
        <v>446411790239</v>
      </c>
    </row>
    <row r="864" spans="1:8" x14ac:dyDescent="0.25">
      <c r="A864" s="2">
        <v>44641</v>
      </c>
      <c r="B864">
        <v>17903</v>
      </c>
      <c r="D864">
        <v>0</v>
      </c>
      <c r="E864">
        <v>0</v>
      </c>
      <c r="F864" s="1">
        <f t="shared" si="13"/>
        <v>0</v>
      </c>
      <c r="G864" s="1" t="str">
        <f>_xlfn.XLOOKUP(C864,'Ocupação DW'!$F:$F,'Ocupação DW'!$E:$E,"",0)</f>
        <v/>
      </c>
      <c r="H864" t="str">
        <f>Vagas[[#This Row],[data]]&amp;Vagas[[#This Row],[profissional_id]]&amp;Vagas[[#This Row],[local_id]]</f>
        <v>4464117903</v>
      </c>
    </row>
    <row r="865" spans="1:8" x14ac:dyDescent="0.25">
      <c r="A865" s="2">
        <v>44641</v>
      </c>
      <c r="B865">
        <v>17904</v>
      </c>
      <c r="D865">
        <v>0</v>
      </c>
      <c r="E865">
        <v>0</v>
      </c>
      <c r="F865" s="1">
        <f t="shared" si="13"/>
        <v>0</v>
      </c>
      <c r="G865" s="1" t="str">
        <f>_xlfn.XLOOKUP(C865,'Ocupação DW'!$F:$F,'Ocupação DW'!$E:$E,"",0)</f>
        <v/>
      </c>
      <c r="H865" t="str">
        <f>Vagas[[#This Row],[data]]&amp;Vagas[[#This Row],[profissional_id]]&amp;Vagas[[#This Row],[local_id]]</f>
        <v>4464117904</v>
      </c>
    </row>
    <row r="866" spans="1:8" x14ac:dyDescent="0.25">
      <c r="A866" s="2">
        <v>44641</v>
      </c>
      <c r="B866">
        <v>17907</v>
      </c>
      <c r="C866">
        <v>55</v>
      </c>
      <c r="D866">
        <v>14</v>
      </c>
      <c r="E866">
        <v>0</v>
      </c>
      <c r="F866" s="1">
        <f t="shared" si="13"/>
        <v>0</v>
      </c>
      <c r="G866" s="1" t="str">
        <f>_xlfn.XLOOKUP(C866,'Ocupação DW'!$F:$F,'Ocupação DW'!$E:$E,"",0)</f>
        <v>SEG - NILÓPOLIS</v>
      </c>
      <c r="H866" t="str">
        <f>Vagas[[#This Row],[data]]&amp;Vagas[[#This Row],[profissional_id]]&amp;Vagas[[#This Row],[local_id]]</f>
        <v>446411790755</v>
      </c>
    </row>
    <row r="867" spans="1:8" x14ac:dyDescent="0.25">
      <c r="A867" s="2">
        <v>44641</v>
      </c>
      <c r="B867">
        <v>17908</v>
      </c>
      <c r="C867">
        <v>25</v>
      </c>
      <c r="D867">
        <v>12</v>
      </c>
      <c r="E867">
        <v>0</v>
      </c>
      <c r="F867" s="1">
        <f t="shared" si="13"/>
        <v>0</v>
      </c>
      <c r="G867" s="1" t="str">
        <f>_xlfn.XLOOKUP(C867,'Ocupação DW'!$F:$F,'Ocupação DW'!$E:$E,"",0)</f>
        <v>SEG - MATRIZ</v>
      </c>
      <c r="H867" t="str">
        <f>Vagas[[#This Row],[data]]&amp;Vagas[[#This Row],[profissional_id]]&amp;Vagas[[#This Row],[local_id]]</f>
        <v>446411790825</v>
      </c>
    </row>
    <row r="868" spans="1:8" x14ac:dyDescent="0.25">
      <c r="A868" s="2">
        <v>44641</v>
      </c>
      <c r="B868">
        <v>17909</v>
      </c>
      <c r="C868">
        <v>4</v>
      </c>
      <c r="D868">
        <v>0</v>
      </c>
      <c r="E868">
        <v>0</v>
      </c>
      <c r="F868" s="1">
        <f t="shared" si="13"/>
        <v>0</v>
      </c>
      <c r="G868" s="1" t="str">
        <f>_xlfn.XLOOKUP(C868,'Ocupação DW'!$F:$F,'Ocupação DW'!$E:$E,"",0)</f>
        <v>SEG - FILIAL II 10°</v>
      </c>
      <c r="H868" t="str">
        <f>Vagas[[#This Row],[data]]&amp;Vagas[[#This Row],[profissional_id]]&amp;Vagas[[#This Row],[local_id]]</f>
        <v>44641179094</v>
      </c>
    </row>
    <row r="869" spans="1:8" x14ac:dyDescent="0.25">
      <c r="A869" s="2">
        <v>44641</v>
      </c>
      <c r="B869">
        <v>17911</v>
      </c>
      <c r="C869">
        <v>41</v>
      </c>
      <c r="D869">
        <v>5</v>
      </c>
      <c r="E869">
        <v>0</v>
      </c>
      <c r="F869" s="1">
        <f t="shared" si="13"/>
        <v>0</v>
      </c>
      <c r="G869" s="1" t="str">
        <f>_xlfn.XLOOKUP(C869,'Ocupação DW'!$F:$F,'Ocupação DW'!$E:$E,"",0)</f>
        <v>SEG - FILIAL I</v>
      </c>
      <c r="H869" t="str">
        <f>Vagas[[#This Row],[data]]&amp;Vagas[[#This Row],[profissional_id]]&amp;Vagas[[#This Row],[local_id]]</f>
        <v>446411791141</v>
      </c>
    </row>
    <row r="870" spans="1:8" x14ac:dyDescent="0.25">
      <c r="A870" s="2">
        <v>44641</v>
      </c>
      <c r="B870">
        <v>17918</v>
      </c>
      <c r="C870">
        <v>42</v>
      </c>
      <c r="D870">
        <v>0</v>
      </c>
      <c r="E870">
        <v>0</v>
      </c>
      <c r="F870" s="1">
        <f t="shared" si="13"/>
        <v>0</v>
      </c>
      <c r="G870" s="1" t="str">
        <f>_xlfn.XLOOKUP(C870,'Ocupação DW'!$F:$F,'Ocupação DW'!$E:$E,"",0)</f>
        <v>SEG - FILIAL I</v>
      </c>
      <c r="H870" t="str">
        <f>Vagas[[#This Row],[data]]&amp;Vagas[[#This Row],[profissional_id]]&amp;Vagas[[#This Row],[local_id]]</f>
        <v>446411791842</v>
      </c>
    </row>
    <row r="871" spans="1:8" x14ac:dyDescent="0.25">
      <c r="A871" s="2">
        <v>44641</v>
      </c>
      <c r="B871">
        <v>17922</v>
      </c>
      <c r="D871">
        <v>133</v>
      </c>
      <c r="E871">
        <v>0</v>
      </c>
      <c r="F871" s="1">
        <f t="shared" si="13"/>
        <v>0</v>
      </c>
      <c r="G871" s="1" t="str">
        <f>_xlfn.XLOOKUP(C871,'Ocupação DW'!$F:$F,'Ocupação DW'!$E:$E,"",0)</f>
        <v/>
      </c>
      <c r="H871" t="str">
        <f>Vagas[[#This Row],[data]]&amp;Vagas[[#This Row],[profissional_id]]&amp;Vagas[[#This Row],[local_id]]</f>
        <v>4464117922</v>
      </c>
    </row>
    <row r="872" spans="1:8" x14ac:dyDescent="0.25">
      <c r="A872" s="2">
        <v>44641</v>
      </c>
      <c r="B872">
        <v>17922</v>
      </c>
      <c r="C872">
        <v>74</v>
      </c>
      <c r="D872">
        <v>133</v>
      </c>
      <c r="E872">
        <v>0</v>
      </c>
      <c r="F872" s="1">
        <f t="shared" si="13"/>
        <v>0</v>
      </c>
      <c r="G872" s="1" t="str">
        <f>_xlfn.XLOOKUP(C872,'Ocupação DW'!$F:$F,'Ocupação DW'!$E:$E,"",0)</f>
        <v/>
      </c>
      <c r="H872" t="str">
        <f>Vagas[[#This Row],[data]]&amp;Vagas[[#This Row],[profissional_id]]&amp;Vagas[[#This Row],[local_id]]</f>
        <v>446411792274</v>
      </c>
    </row>
    <row r="873" spans="1:8" x14ac:dyDescent="0.25">
      <c r="A873" s="2">
        <v>44641</v>
      </c>
      <c r="B873">
        <v>17924</v>
      </c>
      <c r="C873">
        <v>52</v>
      </c>
      <c r="D873">
        <v>133</v>
      </c>
      <c r="E873">
        <v>0</v>
      </c>
      <c r="F873" s="1">
        <f t="shared" si="13"/>
        <v>0</v>
      </c>
      <c r="G873" s="1" t="str">
        <f>_xlfn.XLOOKUP(C873,'Ocupação DW'!$F:$F,'Ocupação DW'!$E:$E,"",0)</f>
        <v/>
      </c>
      <c r="H873" t="str">
        <f>Vagas[[#This Row],[data]]&amp;Vagas[[#This Row],[profissional_id]]&amp;Vagas[[#This Row],[local_id]]</f>
        <v>446411792452</v>
      </c>
    </row>
    <row r="874" spans="1:8" x14ac:dyDescent="0.25">
      <c r="A874" s="2">
        <v>44641</v>
      </c>
      <c r="B874">
        <v>17937</v>
      </c>
      <c r="C874">
        <v>351</v>
      </c>
      <c r="D874">
        <v>11</v>
      </c>
      <c r="E874">
        <v>0</v>
      </c>
      <c r="F874" s="1">
        <f t="shared" si="13"/>
        <v>0</v>
      </c>
      <c r="G874" s="1" t="str">
        <f>_xlfn.XLOOKUP(C874,'Ocupação DW'!$F:$F,'Ocupação DW'!$E:$E,"",0)</f>
        <v>SEG - FILIAL I</v>
      </c>
      <c r="H874" t="str">
        <f>Vagas[[#This Row],[data]]&amp;Vagas[[#This Row],[profissional_id]]&amp;Vagas[[#This Row],[local_id]]</f>
        <v>4464117937351</v>
      </c>
    </row>
    <row r="875" spans="1:8" x14ac:dyDescent="0.25">
      <c r="A875" s="2">
        <v>44641</v>
      </c>
      <c r="D875">
        <v>0</v>
      </c>
      <c r="E875">
        <v>0</v>
      </c>
      <c r="F875" s="1">
        <f t="shared" si="13"/>
        <v>0</v>
      </c>
      <c r="G875" s="1" t="str">
        <f>_xlfn.XLOOKUP(C875,'Ocupação DW'!$F:$F,'Ocupação DW'!$E:$E,"",0)</f>
        <v/>
      </c>
      <c r="H875" t="str">
        <f>Vagas[[#This Row],[data]]&amp;Vagas[[#This Row],[profissional_id]]&amp;Vagas[[#This Row],[local_id]]</f>
        <v>44641</v>
      </c>
    </row>
    <row r="876" spans="1:8" x14ac:dyDescent="0.25">
      <c r="A876" s="2">
        <v>44641</v>
      </c>
      <c r="D876">
        <v>0</v>
      </c>
      <c r="E876">
        <v>0</v>
      </c>
      <c r="F876" s="1">
        <f t="shared" si="13"/>
        <v>0</v>
      </c>
      <c r="G876" s="1" t="str">
        <f>_xlfn.XLOOKUP(C876,'Ocupação DW'!$F:$F,'Ocupação DW'!$E:$E,"",0)</f>
        <v/>
      </c>
      <c r="H876" t="str">
        <f>Vagas[[#This Row],[data]]&amp;Vagas[[#This Row],[profissional_id]]&amp;Vagas[[#This Row],[local_id]]</f>
        <v>44641</v>
      </c>
    </row>
    <row r="877" spans="1:8" x14ac:dyDescent="0.25">
      <c r="A877" s="2">
        <v>44641</v>
      </c>
      <c r="D877">
        <v>0</v>
      </c>
      <c r="E877">
        <v>0</v>
      </c>
      <c r="F877" s="1">
        <f t="shared" si="13"/>
        <v>0</v>
      </c>
      <c r="G877" s="1" t="str">
        <f>_xlfn.XLOOKUP(C877,'Ocupação DW'!$F:$F,'Ocupação DW'!$E:$E,"",0)</f>
        <v/>
      </c>
      <c r="H877" t="str">
        <f>Vagas[[#This Row],[data]]&amp;Vagas[[#This Row],[profissional_id]]&amp;Vagas[[#This Row],[local_id]]</f>
        <v>44641</v>
      </c>
    </row>
    <row r="878" spans="1:8" x14ac:dyDescent="0.25">
      <c r="A878" s="2">
        <v>44642</v>
      </c>
      <c r="B878">
        <v>54</v>
      </c>
      <c r="D878">
        <v>19</v>
      </c>
      <c r="E878">
        <v>0</v>
      </c>
      <c r="F878" s="1">
        <f t="shared" si="13"/>
        <v>0</v>
      </c>
      <c r="G878" s="1" t="str">
        <f>_xlfn.XLOOKUP(C878,'Ocupação DW'!$F:$F,'Ocupação DW'!$E:$E,"",0)</f>
        <v/>
      </c>
      <c r="H878" t="str">
        <f>Vagas[[#This Row],[data]]&amp;Vagas[[#This Row],[profissional_id]]&amp;Vagas[[#This Row],[local_id]]</f>
        <v>4464254</v>
      </c>
    </row>
    <row r="879" spans="1:8" x14ac:dyDescent="0.25">
      <c r="A879" s="2">
        <v>44642</v>
      </c>
      <c r="B879">
        <v>54</v>
      </c>
      <c r="C879">
        <v>50</v>
      </c>
      <c r="D879">
        <v>22</v>
      </c>
      <c r="E879">
        <v>0</v>
      </c>
      <c r="F879" s="1">
        <f t="shared" si="13"/>
        <v>0</v>
      </c>
      <c r="G879" s="1" t="str">
        <f>_xlfn.XLOOKUP(C879,'Ocupação DW'!$F:$F,'Ocupação DW'!$E:$E,"",0)</f>
        <v>SEG - FILIAL I</v>
      </c>
      <c r="H879" t="str">
        <f>Vagas[[#This Row],[data]]&amp;Vagas[[#This Row],[profissional_id]]&amp;Vagas[[#This Row],[local_id]]</f>
        <v>446425450</v>
      </c>
    </row>
    <row r="880" spans="1:8" x14ac:dyDescent="0.25">
      <c r="A880" s="2">
        <v>44642</v>
      </c>
      <c r="B880">
        <v>55</v>
      </c>
      <c r="D880">
        <v>0</v>
      </c>
      <c r="E880">
        <v>0</v>
      </c>
      <c r="F880" s="1">
        <f t="shared" si="13"/>
        <v>0</v>
      </c>
      <c r="G880" s="1" t="str">
        <f>_xlfn.XLOOKUP(C880,'Ocupação DW'!$F:$F,'Ocupação DW'!$E:$E,"",0)</f>
        <v/>
      </c>
      <c r="H880" t="str">
        <f>Vagas[[#This Row],[data]]&amp;Vagas[[#This Row],[profissional_id]]&amp;Vagas[[#This Row],[local_id]]</f>
        <v>4464255</v>
      </c>
    </row>
    <row r="881" spans="1:8" x14ac:dyDescent="0.25">
      <c r="A881" s="2">
        <v>44642</v>
      </c>
      <c r="B881">
        <v>57</v>
      </c>
      <c r="C881">
        <v>2</v>
      </c>
      <c r="D881">
        <v>19</v>
      </c>
      <c r="E881">
        <v>0</v>
      </c>
      <c r="F881" s="1">
        <f t="shared" si="13"/>
        <v>0</v>
      </c>
      <c r="G881" s="1" t="str">
        <f>_xlfn.XLOOKUP(C881,'Ocupação DW'!$F:$F,'Ocupação DW'!$E:$E,"",0)</f>
        <v>SEG - FILIAL II 10°</v>
      </c>
      <c r="H881" t="str">
        <f>Vagas[[#This Row],[data]]&amp;Vagas[[#This Row],[profissional_id]]&amp;Vagas[[#This Row],[local_id]]</f>
        <v>44642572</v>
      </c>
    </row>
    <row r="882" spans="1:8" x14ac:dyDescent="0.25">
      <c r="A882" s="2">
        <v>44642</v>
      </c>
      <c r="B882">
        <v>59</v>
      </c>
      <c r="D882">
        <v>7</v>
      </c>
      <c r="E882">
        <v>7</v>
      </c>
      <c r="F882" s="1">
        <f t="shared" si="13"/>
        <v>0</v>
      </c>
      <c r="G882" s="1" t="str">
        <f>_xlfn.XLOOKUP(C882,'Ocupação DW'!$F:$F,'Ocupação DW'!$E:$E,"",0)</f>
        <v/>
      </c>
      <c r="H882" t="str">
        <f>Vagas[[#This Row],[data]]&amp;Vagas[[#This Row],[profissional_id]]&amp;Vagas[[#This Row],[local_id]]</f>
        <v>4464259</v>
      </c>
    </row>
    <row r="883" spans="1:8" x14ac:dyDescent="0.25">
      <c r="A883" s="2">
        <v>44642</v>
      </c>
      <c r="B883">
        <v>59</v>
      </c>
      <c r="C883">
        <v>367</v>
      </c>
      <c r="D883">
        <v>7</v>
      </c>
      <c r="E883">
        <v>0</v>
      </c>
      <c r="F883" s="1">
        <f t="shared" si="13"/>
        <v>0</v>
      </c>
      <c r="G883" s="1" t="str">
        <f>_xlfn.XLOOKUP(C883,'Ocupação DW'!$F:$F,'Ocupação DW'!$E:$E,"",0)</f>
        <v/>
      </c>
      <c r="H883" t="str">
        <f>Vagas[[#This Row],[data]]&amp;Vagas[[#This Row],[profissional_id]]&amp;Vagas[[#This Row],[local_id]]</f>
        <v>4464259367</v>
      </c>
    </row>
    <row r="884" spans="1:8" x14ac:dyDescent="0.25">
      <c r="A884" s="2">
        <v>44642</v>
      </c>
      <c r="B884">
        <v>60</v>
      </c>
      <c r="D884">
        <v>12</v>
      </c>
      <c r="E884">
        <v>0</v>
      </c>
      <c r="F884" s="1">
        <f t="shared" si="13"/>
        <v>0</v>
      </c>
      <c r="G884" s="1" t="str">
        <f>_xlfn.XLOOKUP(C884,'Ocupação DW'!$F:$F,'Ocupação DW'!$E:$E,"",0)</f>
        <v/>
      </c>
      <c r="H884" t="str">
        <f>Vagas[[#This Row],[data]]&amp;Vagas[[#This Row],[profissional_id]]&amp;Vagas[[#This Row],[local_id]]</f>
        <v>4464260</v>
      </c>
    </row>
    <row r="885" spans="1:8" x14ac:dyDescent="0.25">
      <c r="A885" s="2">
        <v>44642</v>
      </c>
      <c r="B885">
        <v>60</v>
      </c>
      <c r="C885">
        <v>345</v>
      </c>
      <c r="D885">
        <v>0</v>
      </c>
      <c r="E885">
        <v>0</v>
      </c>
      <c r="F885" s="1">
        <f t="shared" si="13"/>
        <v>12</v>
      </c>
      <c r="G885" s="1" t="str">
        <f>_xlfn.XLOOKUP(C885,'Ocupação DW'!$F:$F,'Ocupação DW'!$E:$E,"",0)</f>
        <v>SEG - MATRIZ</v>
      </c>
      <c r="H885" t="str">
        <f>Vagas[[#This Row],[data]]&amp;Vagas[[#This Row],[profissional_id]]&amp;Vagas[[#This Row],[local_id]]</f>
        <v>4464260345</v>
      </c>
    </row>
    <row r="886" spans="1:8" x14ac:dyDescent="0.25">
      <c r="A886" s="2">
        <v>44642</v>
      </c>
      <c r="B886">
        <v>66</v>
      </c>
      <c r="D886">
        <v>109</v>
      </c>
      <c r="E886">
        <v>1</v>
      </c>
      <c r="F886" s="1">
        <f t="shared" si="13"/>
        <v>0</v>
      </c>
      <c r="G886" s="1" t="str">
        <f>_xlfn.XLOOKUP(C886,'Ocupação DW'!$F:$F,'Ocupação DW'!$E:$E,"",0)</f>
        <v/>
      </c>
      <c r="H886" t="str">
        <f>Vagas[[#This Row],[data]]&amp;Vagas[[#This Row],[profissional_id]]&amp;Vagas[[#This Row],[local_id]]</f>
        <v>4464266</v>
      </c>
    </row>
    <row r="887" spans="1:8" x14ac:dyDescent="0.25">
      <c r="A887" s="2">
        <v>44642</v>
      </c>
      <c r="B887">
        <v>66</v>
      </c>
      <c r="C887">
        <v>345</v>
      </c>
      <c r="D887">
        <v>108</v>
      </c>
      <c r="E887">
        <v>12</v>
      </c>
      <c r="F887" s="1">
        <f t="shared" si="13"/>
        <v>0</v>
      </c>
      <c r="G887" s="1" t="str">
        <f>_xlfn.XLOOKUP(C887,'Ocupação DW'!$F:$F,'Ocupação DW'!$E:$E,"",0)</f>
        <v>SEG - MATRIZ</v>
      </c>
      <c r="H887" t="str">
        <f>Vagas[[#This Row],[data]]&amp;Vagas[[#This Row],[profissional_id]]&amp;Vagas[[#This Row],[local_id]]</f>
        <v>4464266345</v>
      </c>
    </row>
    <row r="888" spans="1:8" x14ac:dyDescent="0.25">
      <c r="A888" s="2">
        <v>44642</v>
      </c>
      <c r="B888">
        <v>67</v>
      </c>
      <c r="C888">
        <v>8</v>
      </c>
      <c r="D888">
        <v>0</v>
      </c>
      <c r="E888">
        <v>0</v>
      </c>
      <c r="F888" s="1">
        <f t="shared" si="13"/>
        <v>0</v>
      </c>
      <c r="G888" s="1" t="str">
        <f>_xlfn.XLOOKUP(C888,'Ocupação DW'!$F:$F,'Ocupação DW'!$E:$E,"",0)</f>
        <v>SEG - FILIAL II 10°</v>
      </c>
      <c r="H888" t="str">
        <f>Vagas[[#This Row],[data]]&amp;Vagas[[#This Row],[profissional_id]]&amp;Vagas[[#This Row],[local_id]]</f>
        <v>44642678</v>
      </c>
    </row>
    <row r="889" spans="1:8" x14ac:dyDescent="0.25">
      <c r="A889" s="2">
        <v>44642</v>
      </c>
      <c r="B889">
        <v>69</v>
      </c>
      <c r="D889">
        <v>33</v>
      </c>
      <c r="E889">
        <v>1</v>
      </c>
      <c r="F889" s="1">
        <f t="shared" si="13"/>
        <v>0</v>
      </c>
      <c r="G889" s="1" t="str">
        <f>_xlfn.XLOOKUP(C889,'Ocupação DW'!$F:$F,'Ocupação DW'!$E:$E,"",0)</f>
        <v/>
      </c>
      <c r="H889" t="str">
        <f>Vagas[[#This Row],[data]]&amp;Vagas[[#This Row],[profissional_id]]&amp;Vagas[[#This Row],[local_id]]</f>
        <v>4464269</v>
      </c>
    </row>
    <row r="890" spans="1:8" x14ac:dyDescent="0.25">
      <c r="A890" s="2">
        <v>44642</v>
      </c>
      <c r="B890">
        <v>69</v>
      </c>
      <c r="C890">
        <v>13</v>
      </c>
      <c r="D890">
        <v>0</v>
      </c>
      <c r="E890">
        <v>4</v>
      </c>
      <c r="F890" s="1">
        <f t="shared" si="13"/>
        <v>33</v>
      </c>
      <c r="G890" s="1" t="str">
        <f>_xlfn.XLOOKUP(C890,'Ocupação DW'!$F:$F,'Ocupação DW'!$E:$E,"",0)</f>
        <v>SEG - FILIAL II 11°</v>
      </c>
      <c r="H890" t="str">
        <f>Vagas[[#This Row],[data]]&amp;Vagas[[#This Row],[profissional_id]]&amp;Vagas[[#This Row],[local_id]]</f>
        <v>446426913</v>
      </c>
    </row>
    <row r="891" spans="1:8" x14ac:dyDescent="0.25">
      <c r="A891" s="2">
        <v>44642</v>
      </c>
      <c r="B891">
        <v>70</v>
      </c>
      <c r="D891">
        <v>0</v>
      </c>
      <c r="E891">
        <v>0</v>
      </c>
      <c r="F891" s="1">
        <f t="shared" si="13"/>
        <v>0</v>
      </c>
      <c r="G891" s="1" t="str">
        <f>_xlfn.XLOOKUP(C891,'Ocupação DW'!$F:$F,'Ocupação DW'!$E:$E,"",0)</f>
        <v/>
      </c>
      <c r="H891" t="str">
        <f>Vagas[[#This Row],[data]]&amp;Vagas[[#This Row],[profissional_id]]&amp;Vagas[[#This Row],[local_id]]</f>
        <v>4464270</v>
      </c>
    </row>
    <row r="892" spans="1:8" x14ac:dyDescent="0.25">
      <c r="A892" s="2">
        <v>44642</v>
      </c>
      <c r="B892">
        <v>72</v>
      </c>
      <c r="C892">
        <v>334</v>
      </c>
      <c r="D892">
        <v>5</v>
      </c>
      <c r="E892">
        <v>0</v>
      </c>
      <c r="F892" s="1">
        <f t="shared" si="13"/>
        <v>0</v>
      </c>
      <c r="G892" s="1" t="str">
        <f>_xlfn.XLOOKUP(C892,'Ocupação DW'!$F:$F,'Ocupação DW'!$E:$E,"",0)</f>
        <v>SEG - FILIAL I</v>
      </c>
      <c r="H892" t="str">
        <f>Vagas[[#This Row],[data]]&amp;Vagas[[#This Row],[profissional_id]]&amp;Vagas[[#This Row],[local_id]]</f>
        <v>4464272334</v>
      </c>
    </row>
    <row r="893" spans="1:8" x14ac:dyDescent="0.25">
      <c r="A893" s="2">
        <v>44642</v>
      </c>
      <c r="B893">
        <v>73</v>
      </c>
      <c r="D893">
        <v>33</v>
      </c>
      <c r="E893">
        <v>0</v>
      </c>
      <c r="F893" s="1">
        <f t="shared" si="13"/>
        <v>0</v>
      </c>
      <c r="G893" s="1" t="str">
        <f>_xlfn.XLOOKUP(C893,'Ocupação DW'!$F:$F,'Ocupação DW'!$E:$E,"",0)</f>
        <v/>
      </c>
      <c r="H893" t="str">
        <f>Vagas[[#This Row],[data]]&amp;Vagas[[#This Row],[profissional_id]]&amp;Vagas[[#This Row],[local_id]]</f>
        <v>4464273</v>
      </c>
    </row>
    <row r="894" spans="1:8" x14ac:dyDescent="0.25">
      <c r="A894" s="2">
        <v>44642</v>
      </c>
      <c r="B894">
        <v>73</v>
      </c>
      <c r="C894">
        <v>5</v>
      </c>
      <c r="D894">
        <v>0</v>
      </c>
      <c r="E894">
        <v>0</v>
      </c>
      <c r="F894" s="1">
        <f t="shared" si="13"/>
        <v>33</v>
      </c>
      <c r="G894" s="1" t="str">
        <f>_xlfn.XLOOKUP(C894,'Ocupação DW'!$F:$F,'Ocupação DW'!$E:$E,"",0)</f>
        <v>SEG - FILIAL II 10°</v>
      </c>
      <c r="H894" t="str">
        <f>Vagas[[#This Row],[data]]&amp;Vagas[[#This Row],[profissional_id]]&amp;Vagas[[#This Row],[local_id]]</f>
        <v>44642735</v>
      </c>
    </row>
    <row r="895" spans="1:8" x14ac:dyDescent="0.25">
      <c r="A895" s="2">
        <v>44642</v>
      </c>
      <c r="B895">
        <v>81</v>
      </c>
      <c r="C895">
        <v>71</v>
      </c>
      <c r="D895">
        <v>0</v>
      </c>
      <c r="E895">
        <v>0</v>
      </c>
      <c r="F895" s="1">
        <f t="shared" si="13"/>
        <v>0</v>
      </c>
      <c r="G895" s="1" t="str">
        <f>_xlfn.XLOOKUP(C895,'Ocupação DW'!$F:$F,'Ocupação DW'!$E:$E,"",0)</f>
        <v>SEG - NILÓPOLIS</v>
      </c>
      <c r="H895" t="str">
        <f>Vagas[[#This Row],[data]]&amp;Vagas[[#This Row],[profissional_id]]&amp;Vagas[[#This Row],[local_id]]</f>
        <v>446428171</v>
      </c>
    </row>
    <row r="896" spans="1:8" x14ac:dyDescent="0.25">
      <c r="A896" s="2">
        <v>44642</v>
      </c>
      <c r="B896">
        <v>81</v>
      </c>
      <c r="C896">
        <v>41</v>
      </c>
      <c r="D896">
        <v>0</v>
      </c>
      <c r="E896">
        <v>0</v>
      </c>
      <c r="F896" s="1">
        <f t="shared" si="13"/>
        <v>0</v>
      </c>
      <c r="G896" s="1" t="str">
        <f>_xlfn.XLOOKUP(C896,'Ocupação DW'!$F:$F,'Ocupação DW'!$E:$E,"",0)</f>
        <v>SEG - FILIAL I</v>
      </c>
      <c r="H896" t="str">
        <f>Vagas[[#This Row],[data]]&amp;Vagas[[#This Row],[profissional_id]]&amp;Vagas[[#This Row],[local_id]]</f>
        <v>446428141</v>
      </c>
    </row>
    <row r="897" spans="1:8" x14ac:dyDescent="0.25">
      <c r="A897" s="2">
        <v>44642</v>
      </c>
      <c r="B897">
        <v>85</v>
      </c>
      <c r="C897">
        <v>349</v>
      </c>
      <c r="D897">
        <v>0</v>
      </c>
      <c r="E897">
        <v>4</v>
      </c>
      <c r="F897" s="1">
        <f t="shared" si="13"/>
        <v>0</v>
      </c>
      <c r="G897" s="1" t="str">
        <f>_xlfn.XLOOKUP(C897,'Ocupação DW'!$F:$F,'Ocupação DW'!$E:$E,"",0)</f>
        <v>SEG - FILIAL II 11°</v>
      </c>
      <c r="H897" t="str">
        <f>Vagas[[#This Row],[data]]&amp;Vagas[[#This Row],[profissional_id]]&amp;Vagas[[#This Row],[local_id]]</f>
        <v>4464285349</v>
      </c>
    </row>
    <row r="898" spans="1:8" x14ac:dyDescent="0.25">
      <c r="A898" s="2">
        <v>44642</v>
      </c>
      <c r="B898">
        <v>86</v>
      </c>
      <c r="D898">
        <v>13</v>
      </c>
      <c r="E898">
        <v>0</v>
      </c>
      <c r="F898" s="1">
        <f t="shared" ref="F898:F961" si="14">IF(AND(A898=A897,B898=B897,D897&lt;&gt;0,D898=0),D897,0)</f>
        <v>0</v>
      </c>
      <c r="G898" s="1" t="str">
        <f>_xlfn.XLOOKUP(C898,'Ocupação DW'!$F:$F,'Ocupação DW'!$E:$E,"",0)</f>
        <v/>
      </c>
      <c r="H898" t="str">
        <f>Vagas[[#This Row],[data]]&amp;Vagas[[#This Row],[profissional_id]]&amp;Vagas[[#This Row],[local_id]]</f>
        <v>4464286</v>
      </c>
    </row>
    <row r="899" spans="1:8" x14ac:dyDescent="0.25">
      <c r="A899" s="2">
        <v>44642</v>
      </c>
      <c r="B899">
        <v>86</v>
      </c>
      <c r="C899">
        <v>82</v>
      </c>
      <c r="D899">
        <v>14</v>
      </c>
      <c r="E899">
        <v>0</v>
      </c>
      <c r="F899" s="1">
        <f t="shared" si="14"/>
        <v>0</v>
      </c>
      <c r="G899" s="1" t="str">
        <f>_xlfn.XLOOKUP(C899,'Ocupação DW'!$F:$F,'Ocupação DW'!$E:$E,"",0)</f>
        <v>SEG - MIGUEL COUTO</v>
      </c>
      <c r="H899" t="str">
        <f>Vagas[[#This Row],[data]]&amp;Vagas[[#This Row],[profissional_id]]&amp;Vagas[[#This Row],[local_id]]</f>
        <v>446428682</v>
      </c>
    </row>
    <row r="900" spans="1:8" x14ac:dyDescent="0.25">
      <c r="A900" s="2">
        <v>44642</v>
      </c>
      <c r="B900">
        <v>92</v>
      </c>
      <c r="C900">
        <v>340</v>
      </c>
      <c r="D900">
        <v>60</v>
      </c>
      <c r="E900">
        <v>0</v>
      </c>
      <c r="F900" s="1">
        <f t="shared" si="14"/>
        <v>0</v>
      </c>
      <c r="G900" s="1" t="str">
        <f>_xlfn.XLOOKUP(C900,'Ocupação DW'!$F:$F,'Ocupação DW'!$E:$E,"",0)</f>
        <v>SEG - MATRIZ</v>
      </c>
      <c r="H900" t="str">
        <f>Vagas[[#This Row],[data]]&amp;Vagas[[#This Row],[profissional_id]]&amp;Vagas[[#This Row],[local_id]]</f>
        <v>4464292340</v>
      </c>
    </row>
    <row r="901" spans="1:8" x14ac:dyDescent="0.25">
      <c r="A901" s="2">
        <v>44642</v>
      </c>
      <c r="B901">
        <v>100</v>
      </c>
      <c r="D901">
        <v>13</v>
      </c>
      <c r="E901">
        <v>0</v>
      </c>
      <c r="F901" s="1">
        <f t="shared" si="14"/>
        <v>0</v>
      </c>
      <c r="G901" s="1" t="str">
        <f>_xlfn.XLOOKUP(C901,'Ocupação DW'!$F:$F,'Ocupação DW'!$E:$E,"",0)</f>
        <v/>
      </c>
      <c r="H901" t="str">
        <f>Vagas[[#This Row],[data]]&amp;Vagas[[#This Row],[profissional_id]]&amp;Vagas[[#This Row],[local_id]]</f>
        <v>44642100</v>
      </c>
    </row>
    <row r="902" spans="1:8" x14ac:dyDescent="0.25">
      <c r="A902" s="2">
        <v>44642</v>
      </c>
      <c r="B902">
        <v>100</v>
      </c>
      <c r="C902">
        <v>342</v>
      </c>
      <c r="D902">
        <v>15</v>
      </c>
      <c r="E902">
        <v>0</v>
      </c>
      <c r="F902" s="1">
        <f t="shared" si="14"/>
        <v>0</v>
      </c>
      <c r="G902" s="1" t="str">
        <f>_xlfn.XLOOKUP(C902,'Ocupação DW'!$F:$F,'Ocupação DW'!$E:$E,"",0)</f>
        <v>SEG - MATRIZ</v>
      </c>
      <c r="H902" t="str">
        <f>Vagas[[#This Row],[data]]&amp;Vagas[[#This Row],[profissional_id]]&amp;Vagas[[#This Row],[local_id]]</f>
        <v>44642100342</v>
      </c>
    </row>
    <row r="903" spans="1:8" x14ac:dyDescent="0.25">
      <c r="A903" s="2">
        <v>44642</v>
      </c>
      <c r="B903">
        <v>110</v>
      </c>
      <c r="D903">
        <v>19</v>
      </c>
      <c r="E903">
        <v>0</v>
      </c>
      <c r="F903" s="1">
        <f t="shared" si="14"/>
        <v>0</v>
      </c>
      <c r="G903" s="1" t="str">
        <f>_xlfn.XLOOKUP(C903,'Ocupação DW'!$F:$F,'Ocupação DW'!$E:$E,"",0)</f>
        <v/>
      </c>
      <c r="H903" t="str">
        <f>Vagas[[#This Row],[data]]&amp;Vagas[[#This Row],[profissional_id]]&amp;Vagas[[#This Row],[local_id]]</f>
        <v>44642110</v>
      </c>
    </row>
    <row r="904" spans="1:8" x14ac:dyDescent="0.25">
      <c r="A904" s="2">
        <v>44642</v>
      </c>
      <c r="B904">
        <v>110</v>
      </c>
      <c r="C904">
        <v>334</v>
      </c>
      <c r="D904">
        <v>0</v>
      </c>
      <c r="E904">
        <v>0</v>
      </c>
      <c r="F904" s="1">
        <f t="shared" si="14"/>
        <v>19</v>
      </c>
      <c r="G904" s="1" t="str">
        <f>_xlfn.XLOOKUP(C904,'Ocupação DW'!$F:$F,'Ocupação DW'!$E:$E,"",0)</f>
        <v>SEG - FILIAL I</v>
      </c>
      <c r="H904" t="str">
        <f>Vagas[[#This Row],[data]]&amp;Vagas[[#This Row],[profissional_id]]&amp;Vagas[[#This Row],[local_id]]</f>
        <v>44642110334</v>
      </c>
    </row>
    <row r="905" spans="1:8" x14ac:dyDescent="0.25">
      <c r="A905" s="2">
        <v>44642</v>
      </c>
      <c r="B905">
        <v>111</v>
      </c>
      <c r="C905">
        <v>51</v>
      </c>
      <c r="D905">
        <v>25</v>
      </c>
      <c r="E905">
        <v>0</v>
      </c>
      <c r="F905" s="1">
        <f t="shared" si="14"/>
        <v>0</v>
      </c>
      <c r="G905" s="1" t="str">
        <f>_xlfn.XLOOKUP(C905,'Ocupação DW'!$F:$F,'Ocupação DW'!$E:$E,"",0)</f>
        <v>SEG - FILIAL I</v>
      </c>
      <c r="H905" t="str">
        <f>Vagas[[#This Row],[data]]&amp;Vagas[[#This Row],[profissional_id]]&amp;Vagas[[#This Row],[local_id]]</f>
        <v>4464211151</v>
      </c>
    </row>
    <row r="906" spans="1:8" x14ac:dyDescent="0.25">
      <c r="A906" s="2">
        <v>44642</v>
      </c>
      <c r="B906">
        <v>123</v>
      </c>
      <c r="D906">
        <v>11</v>
      </c>
      <c r="E906">
        <v>0</v>
      </c>
      <c r="F906" s="1">
        <f t="shared" si="14"/>
        <v>0</v>
      </c>
      <c r="G906" s="1" t="str">
        <f>_xlfn.XLOOKUP(C906,'Ocupação DW'!$F:$F,'Ocupação DW'!$E:$E,"",0)</f>
        <v/>
      </c>
      <c r="H906" t="str">
        <f>Vagas[[#This Row],[data]]&amp;Vagas[[#This Row],[profissional_id]]&amp;Vagas[[#This Row],[local_id]]</f>
        <v>44642123</v>
      </c>
    </row>
    <row r="907" spans="1:8" x14ac:dyDescent="0.25">
      <c r="A907" s="2">
        <v>44642</v>
      </c>
      <c r="B907">
        <v>123</v>
      </c>
      <c r="C907">
        <v>351</v>
      </c>
      <c r="D907">
        <v>11</v>
      </c>
      <c r="E907">
        <v>0</v>
      </c>
      <c r="F907" s="1">
        <f t="shared" si="14"/>
        <v>0</v>
      </c>
      <c r="G907" s="1" t="str">
        <f>_xlfn.XLOOKUP(C907,'Ocupação DW'!$F:$F,'Ocupação DW'!$E:$E,"",0)</f>
        <v>SEG - FILIAL I</v>
      </c>
      <c r="H907" t="str">
        <f>Vagas[[#This Row],[data]]&amp;Vagas[[#This Row],[profissional_id]]&amp;Vagas[[#This Row],[local_id]]</f>
        <v>44642123351</v>
      </c>
    </row>
    <row r="908" spans="1:8" x14ac:dyDescent="0.25">
      <c r="A908" s="2">
        <v>44642</v>
      </c>
      <c r="B908">
        <v>174</v>
      </c>
      <c r="C908">
        <v>24</v>
      </c>
      <c r="D908">
        <v>81</v>
      </c>
      <c r="E908">
        <v>0</v>
      </c>
      <c r="F908" s="1">
        <f t="shared" si="14"/>
        <v>0</v>
      </c>
      <c r="G908" s="1" t="str">
        <f>_xlfn.XLOOKUP(C908,'Ocupação DW'!$F:$F,'Ocupação DW'!$E:$E,"",0)</f>
        <v>SEG - MATRIZ</v>
      </c>
      <c r="H908" t="str">
        <f>Vagas[[#This Row],[data]]&amp;Vagas[[#This Row],[profissional_id]]&amp;Vagas[[#This Row],[local_id]]</f>
        <v>4464217424</v>
      </c>
    </row>
    <row r="909" spans="1:8" x14ac:dyDescent="0.25">
      <c r="A909" s="2">
        <v>44642</v>
      </c>
      <c r="B909">
        <v>266</v>
      </c>
      <c r="C909">
        <v>42</v>
      </c>
      <c r="D909">
        <v>0</v>
      </c>
      <c r="E909">
        <v>0</v>
      </c>
      <c r="F909" s="1">
        <f t="shared" si="14"/>
        <v>0</v>
      </c>
      <c r="G909" s="1" t="str">
        <f>_xlfn.XLOOKUP(C909,'Ocupação DW'!$F:$F,'Ocupação DW'!$E:$E,"",0)</f>
        <v>SEG - FILIAL I</v>
      </c>
      <c r="H909" t="str">
        <f>Vagas[[#This Row],[data]]&amp;Vagas[[#This Row],[profissional_id]]&amp;Vagas[[#This Row],[local_id]]</f>
        <v>4464226642</v>
      </c>
    </row>
    <row r="910" spans="1:8" x14ac:dyDescent="0.25">
      <c r="A910" s="2">
        <v>44642</v>
      </c>
      <c r="B910">
        <v>282</v>
      </c>
      <c r="D910">
        <v>134</v>
      </c>
      <c r="E910">
        <v>0</v>
      </c>
      <c r="F910" s="1">
        <f t="shared" si="14"/>
        <v>0</v>
      </c>
      <c r="G910" s="1" t="str">
        <f>_xlfn.XLOOKUP(C910,'Ocupação DW'!$F:$F,'Ocupação DW'!$E:$E,"",0)</f>
        <v/>
      </c>
      <c r="H910" t="str">
        <f>Vagas[[#This Row],[data]]&amp;Vagas[[#This Row],[profissional_id]]&amp;Vagas[[#This Row],[local_id]]</f>
        <v>44642282</v>
      </c>
    </row>
    <row r="911" spans="1:8" x14ac:dyDescent="0.25">
      <c r="A911" s="2">
        <v>44642</v>
      </c>
      <c r="B911">
        <v>282</v>
      </c>
      <c r="C911">
        <v>48</v>
      </c>
      <c r="D911">
        <v>0</v>
      </c>
      <c r="E911">
        <v>0</v>
      </c>
      <c r="F911" s="1">
        <f t="shared" si="14"/>
        <v>134</v>
      </c>
      <c r="G911" s="1" t="str">
        <f>_xlfn.XLOOKUP(C911,'Ocupação DW'!$F:$F,'Ocupação DW'!$E:$E,"",0)</f>
        <v>SEG - FILIAL I</v>
      </c>
      <c r="H911" t="str">
        <f>Vagas[[#This Row],[data]]&amp;Vagas[[#This Row],[profissional_id]]&amp;Vagas[[#This Row],[local_id]]</f>
        <v>4464228248</v>
      </c>
    </row>
    <row r="912" spans="1:8" x14ac:dyDescent="0.25">
      <c r="A912" s="2">
        <v>44642</v>
      </c>
      <c r="B912">
        <v>282</v>
      </c>
      <c r="C912">
        <v>39</v>
      </c>
      <c r="D912">
        <v>50</v>
      </c>
      <c r="E912">
        <v>0</v>
      </c>
      <c r="F912" s="1">
        <f t="shared" si="14"/>
        <v>0</v>
      </c>
      <c r="G912" s="1" t="str">
        <f>_xlfn.XLOOKUP(C912,'Ocupação DW'!$F:$F,'Ocupação DW'!$E:$E,"",0)</f>
        <v>SEG - FILIAL I</v>
      </c>
      <c r="H912" t="str">
        <f>Vagas[[#This Row],[data]]&amp;Vagas[[#This Row],[profissional_id]]&amp;Vagas[[#This Row],[local_id]]</f>
        <v>4464228239</v>
      </c>
    </row>
    <row r="913" spans="1:8" x14ac:dyDescent="0.25">
      <c r="A913" s="2">
        <v>44642</v>
      </c>
      <c r="B913">
        <v>1343</v>
      </c>
      <c r="D913">
        <v>13</v>
      </c>
      <c r="E913">
        <v>0</v>
      </c>
      <c r="F913" s="1">
        <f t="shared" si="14"/>
        <v>0</v>
      </c>
      <c r="G913" s="1" t="str">
        <f>_xlfn.XLOOKUP(C913,'Ocupação DW'!$F:$F,'Ocupação DW'!$E:$E,"",0)</f>
        <v/>
      </c>
      <c r="H913" t="str">
        <f>Vagas[[#This Row],[data]]&amp;Vagas[[#This Row],[profissional_id]]&amp;Vagas[[#This Row],[local_id]]</f>
        <v>446421343</v>
      </c>
    </row>
    <row r="914" spans="1:8" x14ac:dyDescent="0.25">
      <c r="A914" s="2">
        <v>44642</v>
      </c>
      <c r="B914">
        <v>1343</v>
      </c>
      <c r="C914">
        <v>80</v>
      </c>
      <c r="D914">
        <v>0</v>
      </c>
      <c r="E914">
        <v>0</v>
      </c>
      <c r="F914" s="1">
        <f t="shared" si="14"/>
        <v>13</v>
      </c>
      <c r="G914" s="1" t="str">
        <f>_xlfn.XLOOKUP(C914,'Ocupação DW'!$F:$F,'Ocupação DW'!$E:$E,"",0)</f>
        <v>SEG - MIGUEL COUTO</v>
      </c>
      <c r="H914" t="str">
        <f>Vagas[[#This Row],[data]]&amp;Vagas[[#This Row],[profissional_id]]&amp;Vagas[[#This Row],[local_id]]</f>
        <v>44642134380</v>
      </c>
    </row>
    <row r="915" spans="1:8" x14ac:dyDescent="0.25">
      <c r="A915" s="2">
        <v>44642</v>
      </c>
      <c r="B915">
        <v>1490</v>
      </c>
      <c r="D915">
        <v>0</v>
      </c>
      <c r="E915">
        <v>0</v>
      </c>
      <c r="F915" s="1">
        <f t="shared" si="14"/>
        <v>0</v>
      </c>
      <c r="G915" s="1" t="str">
        <f>_xlfn.XLOOKUP(C915,'Ocupação DW'!$F:$F,'Ocupação DW'!$E:$E,"",0)</f>
        <v/>
      </c>
      <c r="H915" t="str">
        <f>Vagas[[#This Row],[data]]&amp;Vagas[[#This Row],[profissional_id]]&amp;Vagas[[#This Row],[local_id]]</f>
        <v>446421490</v>
      </c>
    </row>
    <row r="916" spans="1:8" x14ac:dyDescent="0.25">
      <c r="A916" s="2">
        <v>44642</v>
      </c>
      <c r="B916">
        <v>1586</v>
      </c>
      <c r="C916">
        <v>67</v>
      </c>
      <c r="D916">
        <v>0</v>
      </c>
      <c r="E916">
        <v>0</v>
      </c>
      <c r="F916" s="1">
        <f t="shared" si="14"/>
        <v>0</v>
      </c>
      <c r="G916" s="1" t="str">
        <f>_xlfn.XLOOKUP(C916,'Ocupação DW'!$F:$F,'Ocupação DW'!$E:$E,"",0)</f>
        <v>SEG - NILÓPOLIS</v>
      </c>
      <c r="H916" t="str">
        <f>Vagas[[#This Row],[data]]&amp;Vagas[[#This Row],[profissional_id]]&amp;Vagas[[#This Row],[local_id]]</f>
        <v>44642158667</v>
      </c>
    </row>
    <row r="917" spans="1:8" x14ac:dyDescent="0.25">
      <c r="A917" s="2">
        <v>44642</v>
      </c>
      <c r="B917">
        <v>2334</v>
      </c>
      <c r="D917">
        <v>0</v>
      </c>
      <c r="E917">
        <v>0</v>
      </c>
      <c r="F917" s="1">
        <f t="shared" si="14"/>
        <v>0</v>
      </c>
      <c r="G917" s="1" t="str">
        <f>_xlfn.XLOOKUP(C917,'Ocupação DW'!$F:$F,'Ocupação DW'!$E:$E,"",0)</f>
        <v/>
      </c>
      <c r="H917" t="str">
        <f>Vagas[[#This Row],[data]]&amp;Vagas[[#This Row],[profissional_id]]&amp;Vagas[[#This Row],[local_id]]</f>
        <v>446422334</v>
      </c>
    </row>
    <row r="918" spans="1:8" x14ac:dyDescent="0.25">
      <c r="A918" s="2">
        <v>44642</v>
      </c>
      <c r="B918">
        <v>3092</v>
      </c>
      <c r="D918">
        <v>0</v>
      </c>
      <c r="E918">
        <v>0</v>
      </c>
      <c r="F918" s="1">
        <f t="shared" si="14"/>
        <v>0</v>
      </c>
      <c r="G918" s="1" t="str">
        <f>_xlfn.XLOOKUP(C918,'Ocupação DW'!$F:$F,'Ocupação DW'!$E:$E,"",0)</f>
        <v/>
      </c>
      <c r="H918" t="str">
        <f>Vagas[[#This Row],[data]]&amp;Vagas[[#This Row],[profissional_id]]&amp;Vagas[[#This Row],[local_id]]</f>
        <v>446423092</v>
      </c>
    </row>
    <row r="919" spans="1:8" x14ac:dyDescent="0.25">
      <c r="A919" s="2">
        <v>44642</v>
      </c>
      <c r="B919">
        <v>3502</v>
      </c>
      <c r="D919">
        <v>0</v>
      </c>
      <c r="E919">
        <v>0</v>
      </c>
      <c r="F919" s="1">
        <f t="shared" si="14"/>
        <v>0</v>
      </c>
      <c r="G919" s="1" t="str">
        <f>_xlfn.XLOOKUP(C919,'Ocupação DW'!$F:$F,'Ocupação DW'!$E:$E,"",0)</f>
        <v/>
      </c>
      <c r="H919" t="str">
        <f>Vagas[[#This Row],[data]]&amp;Vagas[[#This Row],[profissional_id]]&amp;Vagas[[#This Row],[local_id]]</f>
        <v>446423502</v>
      </c>
    </row>
    <row r="920" spans="1:8" x14ac:dyDescent="0.25">
      <c r="A920" s="2">
        <v>44642</v>
      </c>
      <c r="B920">
        <v>4433</v>
      </c>
      <c r="C920">
        <v>341</v>
      </c>
      <c r="D920">
        <v>72</v>
      </c>
      <c r="E920">
        <v>0</v>
      </c>
      <c r="F920" s="1">
        <f t="shared" si="14"/>
        <v>0</v>
      </c>
      <c r="G920" s="1" t="str">
        <f>_xlfn.XLOOKUP(C920,'Ocupação DW'!$F:$F,'Ocupação DW'!$E:$E,"",0)</f>
        <v/>
      </c>
      <c r="H920" t="str">
        <f>Vagas[[#This Row],[data]]&amp;Vagas[[#This Row],[profissional_id]]&amp;Vagas[[#This Row],[local_id]]</f>
        <v>446424433341</v>
      </c>
    </row>
    <row r="921" spans="1:8" x14ac:dyDescent="0.25">
      <c r="A921" s="2">
        <v>44642</v>
      </c>
      <c r="B921">
        <v>4814</v>
      </c>
      <c r="C921">
        <v>17</v>
      </c>
      <c r="D921">
        <v>0</v>
      </c>
      <c r="E921">
        <v>0</v>
      </c>
      <c r="F921" s="1">
        <f t="shared" si="14"/>
        <v>0</v>
      </c>
      <c r="G921" s="1" t="str">
        <f>_xlfn.XLOOKUP(C921,'Ocupação DW'!$F:$F,'Ocupação DW'!$E:$E,"",0)</f>
        <v>SEG - FILIAL II 11°</v>
      </c>
      <c r="H921" t="str">
        <f>Vagas[[#This Row],[data]]&amp;Vagas[[#This Row],[profissional_id]]&amp;Vagas[[#This Row],[local_id]]</f>
        <v>44642481417</v>
      </c>
    </row>
    <row r="922" spans="1:8" x14ac:dyDescent="0.25">
      <c r="A922" s="2">
        <v>44642</v>
      </c>
      <c r="B922">
        <v>6046</v>
      </c>
      <c r="D922">
        <v>0</v>
      </c>
      <c r="E922">
        <v>0</v>
      </c>
      <c r="F922" s="1">
        <f t="shared" si="14"/>
        <v>0</v>
      </c>
      <c r="G922" s="1" t="str">
        <f>_xlfn.XLOOKUP(C922,'Ocupação DW'!$F:$F,'Ocupação DW'!$E:$E,"",0)</f>
        <v/>
      </c>
      <c r="H922" t="str">
        <f>Vagas[[#This Row],[data]]&amp;Vagas[[#This Row],[profissional_id]]&amp;Vagas[[#This Row],[local_id]]</f>
        <v>446426046</v>
      </c>
    </row>
    <row r="923" spans="1:8" x14ac:dyDescent="0.25">
      <c r="A923" s="2">
        <v>44642</v>
      </c>
      <c r="B923">
        <v>6430</v>
      </c>
      <c r="D923">
        <v>0</v>
      </c>
      <c r="E923">
        <v>0</v>
      </c>
      <c r="F923" s="1">
        <f t="shared" si="14"/>
        <v>0</v>
      </c>
      <c r="G923" s="1" t="str">
        <f>_xlfn.XLOOKUP(C923,'Ocupação DW'!$F:$F,'Ocupação DW'!$E:$E,"",0)</f>
        <v/>
      </c>
      <c r="H923" t="str">
        <f>Vagas[[#This Row],[data]]&amp;Vagas[[#This Row],[profissional_id]]&amp;Vagas[[#This Row],[local_id]]</f>
        <v>446426430</v>
      </c>
    </row>
    <row r="924" spans="1:8" x14ac:dyDescent="0.25">
      <c r="A924" s="2">
        <v>44642</v>
      </c>
      <c r="B924">
        <v>6839</v>
      </c>
      <c r="C924">
        <v>60</v>
      </c>
      <c r="D924">
        <v>60</v>
      </c>
      <c r="E924">
        <v>0</v>
      </c>
      <c r="F924" s="1">
        <f t="shared" si="14"/>
        <v>0</v>
      </c>
      <c r="G924" s="1" t="str">
        <f>_xlfn.XLOOKUP(C924,'Ocupação DW'!$F:$F,'Ocupação DW'!$E:$E,"",0)</f>
        <v>SEG - NILÓPOLIS</v>
      </c>
      <c r="H924" t="str">
        <f>Vagas[[#This Row],[data]]&amp;Vagas[[#This Row],[profissional_id]]&amp;Vagas[[#This Row],[local_id]]</f>
        <v>44642683960</v>
      </c>
    </row>
    <row r="925" spans="1:8" x14ac:dyDescent="0.25">
      <c r="A925" s="2">
        <v>44642</v>
      </c>
      <c r="B925">
        <v>7290</v>
      </c>
      <c r="C925">
        <v>18</v>
      </c>
      <c r="D925">
        <v>0</v>
      </c>
      <c r="E925">
        <v>6</v>
      </c>
      <c r="F925" s="1">
        <f t="shared" si="14"/>
        <v>0</v>
      </c>
      <c r="G925" s="1" t="str">
        <f>_xlfn.XLOOKUP(C925,'Ocupação DW'!$F:$F,'Ocupação DW'!$E:$E,"",0)</f>
        <v>SEG - FILIAL II 11°</v>
      </c>
      <c r="H925" t="str">
        <f>Vagas[[#This Row],[data]]&amp;Vagas[[#This Row],[profissional_id]]&amp;Vagas[[#This Row],[local_id]]</f>
        <v>44642729018</v>
      </c>
    </row>
    <row r="926" spans="1:8" x14ac:dyDescent="0.25">
      <c r="A926" s="2">
        <v>44642</v>
      </c>
      <c r="B926">
        <v>8239</v>
      </c>
      <c r="C926">
        <v>14</v>
      </c>
      <c r="D926">
        <v>0</v>
      </c>
      <c r="E926">
        <v>0</v>
      </c>
      <c r="F926" s="1">
        <f t="shared" si="14"/>
        <v>0</v>
      </c>
      <c r="G926" s="1" t="str">
        <f>_xlfn.XLOOKUP(C926,'Ocupação DW'!$F:$F,'Ocupação DW'!$E:$E,"",0)</f>
        <v>SEG - FILIAL II 11°</v>
      </c>
      <c r="H926" t="str">
        <f>Vagas[[#This Row],[data]]&amp;Vagas[[#This Row],[profissional_id]]&amp;Vagas[[#This Row],[local_id]]</f>
        <v>44642823914</v>
      </c>
    </row>
    <row r="927" spans="1:8" x14ac:dyDescent="0.25">
      <c r="A927" s="2">
        <v>44642</v>
      </c>
      <c r="B927">
        <v>8239</v>
      </c>
      <c r="C927">
        <v>345</v>
      </c>
      <c r="D927">
        <v>0</v>
      </c>
      <c r="E927">
        <v>0</v>
      </c>
      <c r="F927" s="1">
        <f t="shared" si="14"/>
        <v>0</v>
      </c>
      <c r="G927" s="1" t="str">
        <f>_xlfn.XLOOKUP(C927,'Ocupação DW'!$F:$F,'Ocupação DW'!$E:$E,"",0)</f>
        <v>SEG - MATRIZ</v>
      </c>
      <c r="H927" t="str">
        <f>Vagas[[#This Row],[data]]&amp;Vagas[[#This Row],[profissional_id]]&amp;Vagas[[#This Row],[local_id]]</f>
        <v>446428239345</v>
      </c>
    </row>
    <row r="928" spans="1:8" x14ac:dyDescent="0.25">
      <c r="A928" s="2">
        <v>44642</v>
      </c>
      <c r="B928">
        <v>8598</v>
      </c>
      <c r="D928">
        <v>0</v>
      </c>
      <c r="E928">
        <v>0</v>
      </c>
      <c r="F928" s="1">
        <f t="shared" si="14"/>
        <v>0</v>
      </c>
      <c r="G928" s="1" t="str">
        <f>_xlfn.XLOOKUP(C928,'Ocupação DW'!$F:$F,'Ocupação DW'!$E:$E,"",0)</f>
        <v/>
      </c>
      <c r="H928" t="str">
        <f>Vagas[[#This Row],[data]]&amp;Vagas[[#This Row],[profissional_id]]&amp;Vagas[[#This Row],[local_id]]</f>
        <v>446428598</v>
      </c>
    </row>
    <row r="929" spans="1:8" x14ac:dyDescent="0.25">
      <c r="A929" s="2">
        <v>44642</v>
      </c>
      <c r="B929">
        <v>9111</v>
      </c>
      <c r="D929">
        <v>37</v>
      </c>
      <c r="E929">
        <v>0</v>
      </c>
      <c r="F929" s="1">
        <f t="shared" si="14"/>
        <v>0</v>
      </c>
      <c r="G929" s="1" t="str">
        <f>_xlfn.XLOOKUP(C929,'Ocupação DW'!$F:$F,'Ocupação DW'!$E:$E,"",0)</f>
        <v/>
      </c>
      <c r="H929" t="str">
        <f>Vagas[[#This Row],[data]]&amp;Vagas[[#This Row],[profissional_id]]&amp;Vagas[[#This Row],[local_id]]</f>
        <v>446429111</v>
      </c>
    </row>
    <row r="930" spans="1:8" x14ac:dyDescent="0.25">
      <c r="A930" s="2">
        <v>44642</v>
      </c>
      <c r="B930">
        <v>9111</v>
      </c>
      <c r="C930">
        <v>335</v>
      </c>
      <c r="D930">
        <v>0</v>
      </c>
      <c r="E930">
        <v>0</v>
      </c>
      <c r="F930" s="1">
        <f t="shared" si="14"/>
        <v>37</v>
      </c>
      <c r="G930" s="1" t="str">
        <f>_xlfn.XLOOKUP(C930,'Ocupação DW'!$F:$F,'Ocupação DW'!$E:$E,"",0)</f>
        <v>SEG - FILIAL I</v>
      </c>
      <c r="H930" t="str">
        <f>Vagas[[#This Row],[data]]&amp;Vagas[[#This Row],[profissional_id]]&amp;Vagas[[#This Row],[local_id]]</f>
        <v>446429111335</v>
      </c>
    </row>
    <row r="931" spans="1:8" x14ac:dyDescent="0.25">
      <c r="A931" s="2">
        <v>44642</v>
      </c>
      <c r="B931">
        <v>9138</v>
      </c>
      <c r="C931">
        <v>344</v>
      </c>
      <c r="D931">
        <v>0</v>
      </c>
      <c r="E931">
        <v>0</v>
      </c>
      <c r="F931" s="1">
        <f t="shared" si="14"/>
        <v>0</v>
      </c>
      <c r="G931" s="1" t="str">
        <f>_xlfn.XLOOKUP(C931,'Ocupação DW'!$F:$F,'Ocupação DW'!$E:$E,"",0)</f>
        <v>SEG - MATRIZ</v>
      </c>
      <c r="H931" t="str">
        <f>Vagas[[#This Row],[data]]&amp;Vagas[[#This Row],[profissional_id]]&amp;Vagas[[#This Row],[local_id]]</f>
        <v>446429138344</v>
      </c>
    </row>
    <row r="932" spans="1:8" x14ac:dyDescent="0.25">
      <c r="A932" s="2">
        <v>44642</v>
      </c>
      <c r="B932">
        <v>9237</v>
      </c>
      <c r="C932">
        <v>343</v>
      </c>
      <c r="D932">
        <v>108</v>
      </c>
      <c r="E932">
        <v>12</v>
      </c>
      <c r="F932" s="1">
        <f t="shared" si="14"/>
        <v>0</v>
      </c>
      <c r="G932" s="1" t="str">
        <f>_xlfn.XLOOKUP(C932,'Ocupação DW'!$F:$F,'Ocupação DW'!$E:$E,"",0)</f>
        <v/>
      </c>
      <c r="H932" t="str">
        <f>Vagas[[#This Row],[data]]&amp;Vagas[[#This Row],[profissional_id]]&amp;Vagas[[#This Row],[local_id]]</f>
        <v>446429237343</v>
      </c>
    </row>
    <row r="933" spans="1:8" x14ac:dyDescent="0.25">
      <c r="A933" s="2">
        <v>44642</v>
      </c>
      <c r="B933">
        <v>9717</v>
      </c>
      <c r="D933">
        <v>0</v>
      </c>
      <c r="E933">
        <v>0</v>
      </c>
      <c r="F933" s="1">
        <f t="shared" si="14"/>
        <v>0</v>
      </c>
      <c r="G933" s="1" t="str">
        <f>_xlfn.XLOOKUP(C933,'Ocupação DW'!$F:$F,'Ocupação DW'!$E:$E,"",0)</f>
        <v/>
      </c>
      <c r="H933" t="str">
        <f>Vagas[[#This Row],[data]]&amp;Vagas[[#This Row],[profissional_id]]&amp;Vagas[[#This Row],[local_id]]</f>
        <v>446429717</v>
      </c>
    </row>
    <row r="934" spans="1:8" x14ac:dyDescent="0.25">
      <c r="A934" s="2">
        <v>44642</v>
      </c>
      <c r="B934">
        <v>10249</v>
      </c>
      <c r="D934">
        <v>0</v>
      </c>
      <c r="E934">
        <v>0</v>
      </c>
      <c r="F934" s="1">
        <f t="shared" si="14"/>
        <v>0</v>
      </c>
      <c r="G934" s="1" t="str">
        <f>_xlfn.XLOOKUP(C934,'Ocupação DW'!$F:$F,'Ocupação DW'!$E:$E,"",0)</f>
        <v/>
      </c>
      <c r="H934" t="str">
        <f>Vagas[[#This Row],[data]]&amp;Vagas[[#This Row],[profissional_id]]&amp;Vagas[[#This Row],[local_id]]</f>
        <v>4464210249</v>
      </c>
    </row>
    <row r="935" spans="1:8" x14ac:dyDescent="0.25">
      <c r="A935" s="2">
        <v>44642</v>
      </c>
      <c r="B935">
        <v>10595</v>
      </c>
      <c r="D935">
        <v>0</v>
      </c>
      <c r="E935">
        <v>0</v>
      </c>
      <c r="F935" s="1">
        <f t="shared" si="14"/>
        <v>0</v>
      </c>
      <c r="G935" s="1" t="str">
        <f>_xlfn.XLOOKUP(C935,'Ocupação DW'!$F:$F,'Ocupação DW'!$E:$E,"",0)</f>
        <v/>
      </c>
      <c r="H935" t="str">
        <f>Vagas[[#This Row],[data]]&amp;Vagas[[#This Row],[profissional_id]]&amp;Vagas[[#This Row],[local_id]]</f>
        <v>4464210595</v>
      </c>
    </row>
    <row r="936" spans="1:8" x14ac:dyDescent="0.25">
      <c r="A936" s="2">
        <v>44642</v>
      </c>
      <c r="B936">
        <v>10600</v>
      </c>
      <c r="C936">
        <v>86</v>
      </c>
      <c r="D936">
        <v>0</v>
      </c>
      <c r="E936">
        <v>0</v>
      </c>
      <c r="F936" s="1">
        <f t="shared" si="14"/>
        <v>0</v>
      </c>
      <c r="G936" s="1" t="str">
        <f>_xlfn.XLOOKUP(C936,'Ocupação DW'!$F:$F,'Ocupação DW'!$E:$E,"",0)</f>
        <v>SEG - MIGUEL COUTO</v>
      </c>
      <c r="H936" t="str">
        <f>Vagas[[#This Row],[data]]&amp;Vagas[[#This Row],[profissional_id]]&amp;Vagas[[#This Row],[local_id]]</f>
        <v>446421060086</v>
      </c>
    </row>
    <row r="937" spans="1:8" x14ac:dyDescent="0.25">
      <c r="A937" s="2">
        <v>44642</v>
      </c>
      <c r="B937">
        <v>10691</v>
      </c>
      <c r="D937">
        <v>0</v>
      </c>
      <c r="E937">
        <v>0</v>
      </c>
      <c r="F937" s="1">
        <f t="shared" si="14"/>
        <v>0</v>
      </c>
      <c r="G937" s="1" t="str">
        <f>_xlfn.XLOOKUP(C937,'Ocupação DW'!$F:$F,'Ocupação DW'!$E:$E,"",0)</f>
        <v/>
      </c>
      <c r="H937" t="str">
        <f>Vagas[[#This Row],[data]]&amp;Vagas[[#This Row],[profissional_id]]&amp;Vagas[[#This Row],[local_id]]</f>
        <v>4464210691</v>
      </c>
    </row>
    <row r="938" spans="1:8" x14ac:dyDescent="0.25">
      <c r="A938" s="2">
        <v>44642</v>
      </c>
      <c r="B938">
        <v>10941</v>
      </c>
      <c r="C938">
        <v>13</v>
      </c>
      <c r="D938">
        <v>0</v>
      </c>
      <c r="E938">
        <v>0</v>
      </c>
      <c r="F938" s="1">
        <f t="shared" si="14"/>
        <v>0</v>
      </c>
      <c r="G938" s="1" t="str">
        <f>_xlfn.XLOOKUP(C938,'Ocupação DW'!$F:$F,'Ocupação DW'!$E:$E,"",0)</f>
        <v>SEG - FILIAL II 11°</v>
      </c>
      <c r="H938" t="str">
        <f>Vagas[[#This Row],[data]]&amp;Vagas[[#This Row],[profissional_id]]&amp;Vagas[[#This Row],[local_id]]</f>
        <v>446421094113</v>
      </c>
    </row>
    <row r="939" spans="1:8" x14ac:dyDescent="0.25">
      <c r="A939" s="2">
        <v>44642</v>
      </c>
      <c r="B939">
        <v>10941</v>
      </c>
      <c r="C939">
        <v>83</v>
      </c>
      <c r="D939">
        <v>0</v>
      </c>
      <c r="E939">
        <v>0</v>
      </c>
      <c r="F939" s="1">
        <f t="shared" si="14"/>
        <v>0</v>
      </c>
      <c r="G939" s="1" t="str">
        <f>_xlfn.XLOOKUP(C939,'Ocupação DW'!$F:$F,'Ocupação DW'!$E:$E,"",0)</f>
        <v>SEG - MIGUEL COUTO</v>
      </c>
      <c r="H939" t="str">
        <f>Vagas[[#This Row],[data]]&amp;Vagas[[#This Row],[profissional_id]]&amp;Vagas[[#This Row],[local_id]]</f>
        <v>446421094183</v>
      </c>
    </row>
    <row r="940" spans="1:8" x14ac:dyDescent="0.25">
      <c r="A940" s="2">
        <v>44642</v>
      </c>
      <c r="B940">
        <v>10946</v>
      </c>
      <c r="D940">
        <v>0</v>
      </c>
      <c r="E940">
        <v>0</v>
      </c>
      <c r="F940" s="1">
        <f t="shared" si="14"/>
        <v>0</v>
      </c>
      <c r="G940" s="1" t="str">
        <f>_xlfn.XLOOKUP(C940,'Ocupação DW'!$F:$F,'Ocupação DW'!$E:$E,"",0)</f>
        <v/>
      </c>
      <c r="H940" t="str">
        <f>Vagas[[#This Row],[data]]&amp;Vagas[[#This Row],[profissional_id]]&amp;Vagas[[#This Row],[local_id]]</f>
        <v>4464210946</v>
      </c>
    </row>
    <row r="941" spans="1:8" x14ac:dyDescent="0.25">
      <c r="A941" s="2">
        <v>44642</v>
      </c>
      <c r="B941">
        <v>11207</v>
      </c>
      <c r="C941">
        <v>51</v>
      </c>
      <c r="D941">
        <v>0</v>
      </c>
      <c r="E941">
        <v>0</v>
      </c>
      <c r="F941" s="1">
        <f t="shared" si="14"/>
        <v>0</v>
      </c>
      <c r="G941" s="1" t="str">
        <f>_xlfn.XLOOKUP(C941,'Ocupação DW'!$F:$F,'Ocupação DW'!$E:$E,"",0)</f>
        <v>SEG - FILIAL I</v>
      </c>
      <c r="H941" t="str">
        <f>Vagas[[#This Row],[data]]&amp;Vagas[[#This Row],[profissional_id]]&amp;Vagas[[#This Row],[local_id]]</f>
        <v>446421120751</v>
      </c>
    </row>
    <row r="942" spans="1:8" x14ac:dyDescent="0.25">
      <c r="A942" s="2">
        <v>44642</v>
      </c>
      <c r="B942">
        <v>11237</v>
      </c>
      <c r="C942">
        <v>46</v>
      </c>
      <c r="D942">
        <v>0</v>
      </c>
      <c r="E942">
        <v>0</v>
      </c>
      <c r="F942" s="1">
        <f t="shared" si="14"/>
        <v>0</v>
      </c>
      <c r="G942" s="1" t="str">
        <f>_xlfn.XLOOKUP(C942,'Ocupação DW'!$F:$F,'Ocupação DW'!$E:$E,"",0)</f>
        <v>SEG - FILIAL I</v>
      </c>
      <c r="H942" t="str">
        <f>Vagas[[#This Row],[data]]&amp;Vagas[[#This Row],[profissional_id]]&amp;Vagas[[#This Row],[local_id]]</f>
        <v>446421123746</v>
      </c>
    </row>
    <row r="943" spans="1:8" x14ac:dyDescent="0.25">
      <c r="A943" s="2">
        <v>44642</v>
      </c>
      <c r="B943">
        <v>11242</v>
      </c>
      <c r="C943">
        <v>341</v>
      </c>
      <c r="D943">
        <v>60</v>
      </c>
      <c r="E943">
        <v>0</v>
      </c>
      <c r="F943" s="1">
        <f t="shared" si="14"/>
        <v>0</v>
      </c>
      <c r="G943" s="1" t="str">
        <f>_xlfn.XLOOKUP(C943,'Ocupação DW'!$F:$F,'Ocupação DW'!$E:$E,"",0)</f>
        <v/>
      </c>
      <c r="H943" t="str">
        <f>Vagas[[#This Row],[data]]&amp;Vagas[[#This Row],[profissional_id]]&amp;Vagas[[#This Row],[local_id]]</f>
        <v>4464211242341</v>
      </c>
    </row>
    <row r="944" spans="1:8" x14ac:dyDescent="0.25">
      <c r="A944" s="2">
        <v>44642</v>
      </c>
      <c r="B944">
        <v>11397</v>
      </c>
      <c r="C944">
        <v>344</v>
      </c>
      <c r="D944">
        <v>72</v>
      </c>
      <c r="E944">
        <v>0</v>
      </c>
      <c r="F944" s="1">
        <f t="shared" si="14"/>
        <v>0</v>
      </c>
      <c r="G944" s="1" t="str">
        <f>_xlfn.XLOOKUP(C944,'Ocupação DW'!$F:$F,'Ocupação DW'!$E:$E,"",0)</f>
        <v>SEG - MATRIZ</v>
      </c>
      <c r="H944" t="str">
        <f>Vagas[[#This Row],[data]]&amp;Vagas[[#This Row],[profissional_id]]&amp;Vagas[[#This Row],[local_id]]</f>
        <v>4464211397344</v>
      </c>
    </row>
    <row r="945" spans="1:8" x14ac:dyDescent="0.25">
      <c r="A945" s="2">
        <v>44642</v>
      </c>
      <c r="B945">
        <v>11634</v>
      </c>
      <c r="C945">
        <v>348</v>
      </c>
      <c r="D945">
        <v>120</v>
      </c>
      <c r="E945">
        <v>0</v>
      </c>
      <c r="F945" s="1">
        <f t="shared" si="14"/>
        <v>0</v>
      </c>
      <c r="G945" s="1" t="str">
        <f>_xlfn.XLOOKUP(C945,'Ocupação DW'!$F:$F,'Ocupação DW'!$E:$E,"",0)</f>
        <v>SEG - MATRIZ</v>
      </c>
      <c r="H945" t="str">
        <f>Vagas[[#This Row],[data]]&amp;Vagas[[#This Row],[profissional_id]]&amp;Vagas[[#This Row],[local_id]]</f>
        <v>4464211634348</v>
      </c>
    </row>
    <row r="946" spans="1:8" x14ac:dyDescent="0.25">
      <c r="A946" s="2">
        <v>44642</v>
      </c>
      <c r="B946">
        <v>11652</v>
      </c>
      <c r="C946">
        <v>47</v>
      </c>
      <c r="D946">
        <v>35</v>
      </c>
      <c r="E946">
        <v>0</v>
      </c>
      <c r="F946" s="1">
        <f t="shared" si="14"/>
        <v>0</v>
      </c>
      <c r="G946" s="1" t="str">
        <f>_xlfn.XLOOKUP(C946,'Ocupação DW'!$F:$F,'Ocupação DW'!$E:$E,"",0)</f>
        <v>SEG - FILIAL I</v>
      </c>
      <c r="H946" t="str">
        <f>Vagas[[#This Row],[data]]&amp;Vagas[[#This Row],[profissional_id]]&amp;Vagas[[#This Row],[local_id]]</f>
        <v>446421165247</v>
      </c>
    </row>
    <row r="947" spans="1:8" x14ac:dyDescent="0.25">
      <c r="A947" s="2">
        <v>44642</v>
      </c>
      <c r="B947">
        <v>12230</v>
      </c>
      <c r="C947">
        <v>17</v>
      </c>
      <c r="D947">
        <v>0</v>
      </c>
      <c r="E947">
        <v>0</v>
      </c>
      <c r="F947" s="1">
        <f t="shared" si="14"/>
        <v>0</v>
      </c>
      <c r="G947" s="1" t="str">
        <f>_xlfn.XLOOKUP(C947,'Ocupação DW'!$F:$F,'Ocupação DW'!$E:$E,"",0)</f>
        <v>SEG - FILIAL II 11°</v>
      </c>
      <c r="H947" t="str">
        <f>Vagas[[#This Row],[data]]&amp;Vagas[[#This Row],[profissional_id]]&amp;Vagas[[#This Row],[local_id]]</f>
        <v>446421223017</v>
      </c>
    </row>
    <row r="948" spans="1:8" x14ac:dyDescent="0.25">
      <c r="A948" s="2">
        <v>44642</v>
      </c>
      <c r="B948">
        <v>12369</v>
      </c>
      <c r="D948">
        <v>0</v>
      </c>
      <c r="E948">
        <v>0</v>
      </c>
      <c r="F948" s="1">
        <f t="shared" si="14"/>
        <v>0</v>
      </c>
      <c r="G948" s="1" t="str">
        <f>_xlfn.XLOOKUP(C948,'Ocupação DW'!$F:$F,'Ocupação DW'!$E:$E,"",0)</f>
        <v/>
      </c>
      <c r="H948" t="str">
        <f>Vagas[[#This Row],[data]]&amp;Vagas[[#This Row],[profissional_id]]&amp;Vagas[[#This Row],[local_id]]</f>
        <v>4464212369</v>
      </c>
    </row>
    <row r="949" spans="1:8" x14ac:dyDescent="0.25">
      <c r="A949" s="2">
        <v>44642</v>
      </c>
      <c r="B949">
        <v>12519</v>
      </c>
      <c r="D949">
        <v>0</v>
      </c>
      <c r="E949">
        <v>0</v>
      </c>
      <c r="F949" s="1">
        <f t="shared" si="14"/>
        <v>0</v>
      </c>
      <c r="G949" s="1" t="str">
        <f>_xlfn.XLOOKUP(C949,'Ocupação DW'!$F:$F,'Ocupação DW'!$E:$E,"",0)</f>
        <v/>
      </c>
      <c r="H949" t="str">
        <f>Vagas[[#This Row],[data]]&amp;Vagas[[#This Row],[profissional_id]]&amp;Vagas[[#This Row],[local_id]]</f>
        <v>4464212519</v>
      </c>
    </row>
    <row r="950" spans="1:8" x14ac:dyDescent="0.25">
      <c r="A950" s="2">
        <v>44642</v>
      </c>
      <c r="B950">
        <v>12582</v>
      </c>
      <c r="C950">
        <v>62</v>
      </c>
      <c r="D950">
        <v>0</v>
      </c>
      <c r="E950">
        <v>4</v>
      </c>
      <c r="F950" s="1">
        <f t="shared" si="14"/>
        <v>0</v>
      </c>
      <c r="G950" s="1" t="str">
        <f>_xlfn.XLOOKUP(C950,'Ocupação DW'!$F:$F,'Ocupação DW'!$E:$E,"",0)</f>
        <v>SEG - NILÓPOLIS</v>
      </c>
      <c r="H950" t="str">
        <f>Vagas[[#This Row],[data]]&amp;Vagas[[#This Row],[profissional_id]]&amp;Vagas[[#This Row],[local_id]]</f>
        <v>446421258262</v>
      </c>
    </row>
    <row r="951" spans="1:8" x14ac:dyDescent="0.25">
      <c r="A951" s="2">
        <v>44642</v>
      </c>
      <c r="B951">
        <v>12623</v>
      </c>
      <c r="C951">
        <v>11</v>
      </c>
      <c r="D951">
        <v>0</v>
      </c>
      <c r="E951">
        <v>0</v>
      </c>
      <c r="F951" s="1">
        <f t="shared" si="14"/>
        <v>0</v>
      </c>
      <c r="G951" s="1" t="str">
        <f>_xlfn.XLOOKUP(C951,'Ocupação DW'!$F:$F,'Ocupação DW'!$E:$E,"",0)</f>
        <v>SEG - FILIAL II 11°</v>
      </c>
      <c r="H951" t="str">
        <f>Vagas[[#This Row],[data]]&amp;Vagas[[#This Row],[profissional_id]]&amp;Vagas[[#This Row],[local_id]]</f>
        <v>446421262311</v>
      </c>
    </row>
    <row r="952" spans="1:8" x14ac:dyDescent="0.25">
      <c r="A952" s="2">
        <v>44642</v>
      </c>
      <c r="B952">
        <v>12669</v>
      </c>
      <c r="C952">
        <v>6</v>
      </c>
      <c r="D952">
        <v>0</v>
      </c>
      <c r="E952">
        <v>0</v>
      </c>
      <c r="F952" s="1">
        <f t="shared" si="14"/>
        <v>0</v>
      </c>
      <c r="G952" s="1" t="str">
        <f>_xlfn.XLOOKUP(C952,'Ocupação DW'!$F:$F,'Ocupação DW'!$E:$E,"",0)</f>
        <v>SEG - FILIAL II 10°</v>
      </c>
      <c r="H952" t="str">
        <f>Vagas[[#This Row],[data]]&amp;Vagas[[#This Row],[profissional_id]]&amp;Vagas[[#This Row],[local_id]]</f>
        <v>44642126696</v>
      </c>
    </row>
    <row r="953" spans="1:8" x14ac:dyDescent="0.25">
      <c r="A953" s="2">
        <v>44642</v>
      </c>
      <c r="B953">
        <v>12679</v>
      </c>
      <c r="D953">
        <v>0</v>
      </c>
      <c r="E953">
        <v>0</v>
      </c>
      <c r="F953" s="1">
        <f t="shared" si="14"/>
        <v>0</v>
      </c>
      <c r="G953" s="1" t="str">
        <f>_xlfn.XLOOKUP(C953,'Ocupação DW'!$F:$F,'Ocupação DW'!$E:$E,"",0)</f>
        <v/>
      </c>
      <c r="H953" t="str">
        <f>Vagas[[#This Row],[data]]&amp;Vagas[[#This Row],[profissional_id]]&amp;Vagas[[#This Row],[local_id]]</f>
        <v>4464212679</v>
      </c>
    </row>
    <row r="954" spans="1:8" x14ac:dyDescent="0.25">
      <c r="A954" s="2">
        <v>44642</v>
      </c>
      <c r="B954">
        <v>12684</v>
      </c>
      <c r="D954">
        <v>0</v>
      </c>
      <c r="E954">
        <v>0</v>
      </c>
      <c r="F954" s="1">
        <f t="shared" si="14"/>
        <v>0</v>
      </c>
      <c r="G954" s="1" t="str">
        <f>_xlfn.XLOOKUP(C954,'Ocupação DW'!$F:$F,'Ocupação DW'!$E:$E,"",0)</f>
        <v/>
      </c>
      <c r="H954" t="str">
        <f>Vagas[[#This Row],[data]]&amp;Vagas[[#This Row],[profissional_id]]&amp;Vagas[[#This Row],[local_id]]</f>
        <v>4464212684</v>
      </c>
    </row>
    <row r="955" spans="1:8" x14ac:dyDescent="0.25">
      <c r="A955" s="2">
        <v>44642</v>
      </c>
      <c r="B955">
        <v>12711</v>
      </c>
      <c r="D955">
        <v>0</v>
      </c>
      <c r="E955">
        <v>0</v>
      </c>
      <c r="F955" s="1">
        <f t="shared" si="14"/>
        <v>0</v>
      </c>
      <c r="G955" s="1" t="str">
        <f>_xlfn.XLOOKUP(C955,'Ocupação DW'!$F:$F,'Ocupação DW'!$E:$E,"",0)</f>
        <v/>
      </c>
      <c r="H955" t="str">
        <f>Vagas[[#This Row],[data]]&amp;Vagas[[#This Row],[profissional_id]]&amp;Vagas[[#This Row],[local_id]]</f>
        <v>4464212711</v>
      </c>
    </row>
    <row r="956" spans="1:8" x14ac:dyDescent="0.25">
      <c r="A956" s="2">
        <v>44642</v>
      </c>
      <c r="B956">
        <v>12752</v>
      </c>
      <c r="C956">
        <v>60</v>
      </c>
      <c r="D956">
        <v>0</v>
      </c>
      <c r="E956">
        <v>6</v>
      </c>
      <c r="F956" s="1">
        <f t="shared" si="14"/>
        <v>0</v>
      </c>
      <c r="G956" s="1" t="str">
        <f>_xlfn.XLOOKUP(C956,'Ocupação DW'!$F:$F,'Ocupação DW'!$E:$E,"",0)</f>
        <v>SEG - NILÓPOLIS</v>
      </c>
      <c r="H956" t="str">
        <f>Vagas[[#This Row],[data]]&amp;Vagas[[#This Row],[profissional_id]]&amp;Vagas[[#This Row],[local_id]]</f>
        <v>446421275260</v>
      </c>
    </row>
    <row r="957" spans="1:8" x14ac:dyDescent="0.25">
      <c r="A957" s="2">
        <v>44642</v>
      </c>
      <c r="B957">
        <v>12810</v>
      </c>
      <c r="D957">
        <v>0</v>
      </c>
      <c r="E957">
        <v>0</v>
      </c>
      <c r="F957" s="1">
        <f t="shared" si="14"/>
        <v>0</v>
      </c>
      <c r="G957" s="1" t="str">
        <f>_xlfn.XLOOKUP(C957,'Ocupação DW'!$F:$F,'Ocupação DW'!$E:$E,"",0)</f>
        <v/>
      </c>
      <c r="H957" t="str">
        <f>Vagas[[#This Row],[data]]&amp;Vagas[[#This Row],[profissional_id]]&amp;Vagas[[#This Row],[local_id]]</f>
        <v>4464212810</v>
      </c>
    </row>
    <row r="958" spans="1:8" x14ac:dyDescent="0.25">
      <c r="A958" s="2">
        <v>44642</v>
      </c>
      <c r="B958">
        <v>12825</v>
      </c>
      <c r="D958">
        <v>37</v>
      </c>
      <c r="E958">
        <v>0</v>
      </c>
      <c r="F958" s="1">
        <f t="shared" si="14"/>
        <v>0</v>
      </c>
      <c r="G958" s="1" t="str">
        <f>_xlfn.XLOOKUP(C958,'Ocupação DW'!$F:$F,'Ocupação DW'!$E:$E,"",0)</f>
        <v/>
      </c>
      <c r="H958" t="str">
        <f>Vagas[[#This Row],[data]]&amp;Vagas[[#This Row],[profissional_id]]&amp;Vagas[[#This Row],[local_id]]</f>
        <v>4464212825</v>
      </c>
    </row>
    <row r="959" spans="1:8" x14ac:dyDescent="0.25">
      <c r="A959" s="2">
        <v>44642</v>
      </c>
      <c r="B959">
        <v>12825</v>
      </c>
      <c r="C959">
        <v>63</v>
      </c>
      <c r="D959">
        <v>0</v>
      </c>
      <c r="E959">
        <v>0</v>
      </c>
      <c r="F959" s="1">
        <f t="shared" si="14"/>
        <v>37</v>
      </c>
      <c r="G959" s="1" t="str">
        <f>_xlfn.XLOOKUP(C959,'Ocupação DW'!$F:$F,'Ocupação DW'!$E:$E,"",0)</f>
        <v>SEG - NILÓPOLIS</v>
      </c>
      <c r="H959" t="str">
        <f>Vagas[[#This Row],[data]]&amp;Vagas[[#This Row],[profissional_id]]&amp;Vagas[[#This Row],[local_id]]</f>
        <v>446421282563</v>
      </c>
    </row>
    <row r="960" spans="1:8" x14ac:dyDescent="0.25">
      <c r="A960" s="2">
        <v>44642</v>
      </c>
      <c r="B960">
        <v>13061</v>
      </c>
      <c r="C960">
        <v>9</v>
      </c>
      <c r="D960">
        <v>0</v>
      </c>
      <c r="E960">
        <v>0</v>
      </c>
      <c r="F960" s="1">
        <f t="shared" si="14"/>
        <v>0</v>
      </c>
      <c r="G960" s="1" t="str">
        <f>_xlfn.XLOOKUP(C960,'Ocupação DW'!$F:$F,'Ocupação DW'!$E:$E,"",0)</f>
        <v>SEG - FILIAL II 10°</v>
      </c>
      <c r="H960" t="str">
        <f>Vagas[[#This Row],[data]]&amp;Vagas[[#This Row],[profissional_id]]&amp;Vagas[[#This Row],[local_id]]</f>
        <v>44642130619</v>
      </c>
    </row>
    <row r="961" spans="1:8" x14ac:dyDescent="0.25">
      <c r="A961" s="2">
        <v>44642</v>
      </c>
      <c r="B961">
        <v>13249</v>
      </c>
      <c r="C961">
        <v>45</v>
      </c>
      <c r="D961">
        <v>0</v>
      </c>
      <c r="E961">
        <v>0</v>
      </c>
      <c r="F961" s="1">
        <f t="shared" si="14"/>
        <v>0</v>
      </c>
      <c r="G961" s="1" t="str">
        <f>_xlfn.XLOOKUP(C961,'Ocupação DW'!$F:$F,'Ocupação DW'!$E:$E,"",0)</f>
        <v>SEG - FILIAL I</v>
      </c>
      <c r="H961" t="str">
        <f>Vagas[[#This Row],[data]]&amp;Vagas[[#This Row],[profissional_id]]&amp;Vagas[[#This Row],[local_id]]</f>
        <v>446421324945</v>
      </c>
    </row>
    <row r="962" spans="1:8" x14ac:dyDescent="0.25">
      <c r="A962" s="2">
        <v>44642</v>
      </c>
      <c r="B962">
        <v>13295</v>
      </c>
      <c r="C962">
        <v>79</v>
      </c>
      <c r="D962">
        <v>60</v>
      </c>
      <c r="E962">
        <v>0</v>
      </c>
      <c r="F962" s="1">
        <f t="shared" ref="F962:F1025" si="15">IF(AND(A962=A961,B962=B961,D961&lt;&gt;0,D962=0),D961,0)</f>
        <v>0</v>
      </c>
      <c r="G962" s="1" t="str">
        <f>_xlfn.XLOOKUP(C962,'Ocupação DW'!$F:$F,'Ocupação DW'!$E:$E,"",0)</f>
        <v/>
      </c>
      <c r="H962" t="str">
        <f>Vagas[[#This Row],[data]]&amp;Vagas[[#This Row],[profissional_id]]&amp;Vagas[[#This Row],[local_id]]</f>
        <v>446421329579</v>
      </c>
    </row>
    <row r="963" spans="1:8" x14ac:dyDescent="0.25">
      <c r="A963" s="2">
        <v>44642</v>
      </c>
      <c r="B963">
        <v>13371</v>
      </c>
      <c r="D963">
        <v>0</v>
      </c>
      <c r="E963">
        <v>0</v>
      </c>
      <c r="F963" s="1">
        <f t="shared" si="15"/>
        <v>0</v>
      </c>
      <c r="G963" s="1" t="str">
        <f>_xlfn.XLOOKUP(C963,'Ocupação DW'!$F:$F,'Ocupação DW'!$E:$E,"",0)</f>
        <v/>
      </c>
      <c r="H963" t="str">
        <f>Vagas[[#This Row],[data]]&amp;Vagas[[#This Row],[profissional_id]]&amp;Vagas[[#This Row],[local_id]]</f>
        <v>4464213371</v>
      </c>
    </row>
    <row r="964" spans="1:8" x14ac:dyDescent="0.25">
      <c r="A964" s="2">
        <v>44642</v>
      </c>
      <c r="B964">
        <v>13479</v>
      </c>
      <c r="D964">
        <v>121</v>
      </c>
      <c r="E964">
        <v>0</v>
      </c>
      <c r="F964" s="1">
        <f t="shared" si="15"/>
        <v>0</v>
      </c>
      <c r="G964" s="1" t="str">
        <f>_xlfn.XLOOKUP(C964,'Ocupação DW'!$F:$F,'Ocupação DW'!$E:$E,"",0)</f>
        <v/>
      </c>
      <c r="H964" t="str">
        <f>Vagas[[#This Row],[data]]&amp;Vagas[[#This Row],[profissional_id]]&amp;Vagas[[#This Row],[local_id]]</f>
        <v>4464213479</v>
      </c>
    </row>
    <row r="965" spans="1:8" x14ac:dyDescent="0.25">
      <c r="A965" s="2">
        <v>44642</v>
      </c>
      <c r="B965">
        <v>13479</v>
      </c>
      <c r="C965">
        <v>339</v>
      </c>
      <c r="D965">
        <v>132</v>
      </c>
      <c r="E965">
        <v>0</v>
      </c>
      <c r="F965" s="1">
        <f t="shared" si="15"/>
        <v>0</v>
      </c>
      <c r="G965" s="1" t="str">
        <f>_xlfn.XLOOKUP(C965,'Ocupação DW'!$F:$F,'Ocupação DW'!$E:$E,"",0)</f>
        <v>SEG - MATRIZ</v>
      </c>
      <c r="H965" t="str">
        <f>Vagas[[#This Row],[data]]&amp;Vagas[[#This Row],[profissional_id]]&amp;Vagas[[#This Row],[local_id]]</f>
        <v>4464213479339</v>
      </c>
    </row>
    <row r="966" spans="1:8" x14ac:dyDescent="0.25">
      <c r="A966" s="2">
        <v>44642</v>
      </c>
      <c r="B966">
        <v>13645</v>
      </c>
      <c r="D966">
        <v>49</v>
      </c>
      <c r="E966">
        <v>0</v>
      </c>
      <c r="F966" s="1">
        <f t="shared" si="15"/>
        <v>0</v>
      </c>
      <c r="G966" s="1" t="str">
        <f>_xlfn.XLOOKUP(C966,'Ocupação DW'!$F:$F,'Ocupação DW'!$E:$E,"",0)</f>
        <v/>
      </c>
      <c r="H966" t="str">
        <f>Vagas[[#This Row],[data]]&amp;Vagas[[#This Row],[profissional_id]]&amp;Vagas[[#This Row],[local_id]]</f>
        <v>4464213645</v>
      </c>
    </row>
    <row r="967" spans="1:8" x14ac:dyDescent="0.25">
      <c r="A967" s="2">
        <v>44642</v>
      </c>
      <c r="B967">
        <v>13645</v>
      </c>
      <c r="C967">
        <v>79</v>
      </c>
      <c r="D967">
        <v>60</v>
      </c>
      <c r="E967">
        <v>0</v>
      </c>
      <c r="F967" s="1">
        <f t="shared" si="15"/>
        <v>0</v>
      </c>
      <c r="G967" s="1" t="str">
        <f>_xlfn.XLOOKUP(C967,'Ocupação DW'!$F:$F,'Ocupação DW'!$E:$E,"",0)</f>
        <v/>
      </c>
      <c r="H967" t="str">
        <f>Vagas[[#This Row],[data]]&amp;Vagas[[#This Row],[profissional_id]]&amp;Vagas[[#This Row],[local_id]]</f>
        <v>446421364579</v>
      </c>
    </row>
    <row r="968" spans="1:8" x14ac:dyDescent="0.25">
      <c r="A968" s="2">
        <v>44642</v>
      </c>
      <c r="B968">
        <v>13835</v>
      </c>
      <c r="D968">
        <v>0</v>
      </c>
      <c r="E968">
        <v>0</v>
      </c>
      <c r="F968" s="1">
        <f t="shared" si="15"/>
        <v>0</v>
      </c>
      <c r="G968" s="1" t="str">
        <f>_xlfn.XLOOKUP(C968,'Ocupação DW'!$F:$F,'Ocupação DW'!$E:$E,"",0)</f>
        <v/>
      </c>
      <c r="H968" t="str">
        <f>Vagas[[#This Row],[data]]&amp;Vagas[[#This Row],[profissional_id]]&amp;Vagas[[#This Row],[local_id]]</f>
        <v>4464213835</v>
      </c>
    </row>
    <row r="969" spans="1:8" x14ac:dyDescent="0.25">
      <c r="A969" s="2">
        <v>44642</v>
      </c>
      <c r="B969">
        <v>14237</v>
      </c>
      <c r="C969">
        <v>47</v>
      </c>
      <c r="D969">
        <v>0</v>
      </c>
      <c r="E969">
        <v>0</v>
      </c>
      <c r="F969" s="1">
        <f t="shared" si="15"/>
        <v>0</v>
      </c>
      <c r="G969" s="1" t="str">
        <f>_xlfn.XLOOKUP(C969,'Ocupação DW'!$F:$F,'Ocupação DW'!$E:$E,"",0)</f>
        <v>SEG - FILIAL I</v>
      </c>
      <c r="H969" t="str">
        <f>Vagas[[#This Row],[data]]&amp;Vagas[[#This Row],[profissional_id]]&amp;Vagas[[#This Row],[local_id]]</f>
        <v>446421423747</v>
      </c>
    </row>
    <row r="970" spans="1:8" x14ac:dyDescent="0.25">
      <c r="A970" s="2">
        <v>44642</v>
      </c>
      <c r="B970">
        <v>14371</v>
      </c>
      <c r="C970">
        <v>60</v>
      </c>
      <c r="D970">
        <v>22</v>
      </c>
      <c r="E970">
        <v>0</v>
      </c>
      <c r="F970" s="1">
        <f t="shared" si="15"/>
        <v>0</v>
      </c>
      <c r="G970" s="1" t="str">
        <f>_xlfn.XLOOKUP(C970,'Ocupação DW'!$F:$F,'Ocupação DW'!$E:$E,"",0)</f>
        <v>SEG - NILÓPOLIS</v>
      </c>
      <c r="H970" t="str">
        <f>Vagas[[#This Row],[data]]&amp;Vagas[[#This Row],[profissional_id]]&amp;Vagas[[#This Row],[local_id]]</f>
        <v>446421437160</v>
      </c>
    </row>
    <row r="971" spans="1:8" x14ac:dyDescent="0.25">
      <c r="A971" s="2">
        <v>44642</v>
      </c>
      <c r="B971">
        <v>14452</v>
      </c>
      <c r="D971">
        <v>21</v>
      </c>
      <c r="E971">
        <v>0</v>
      </c>
      <c r="F971" s="1">
        <f t="shared" si="15"/>
        <v>0</v>
      </c>
      <c r="G971" s="1" t="str">
        <f>_xlfn.XLOOKUP(C971,'Ocupação DW'!$F:$F,'Ocupação DW'!$E:$E,"",0)</f>
        <v/>
      </c>
      <c r="H971" t="str">
        <f>Vagas[[#This Row],[data]]&amp;Vagas[[#This Row],[profissional_id]]&amp;Vagas[[#This Row],[local_id]]</f>
        <v>4464214452</v>
      </c>
    </row>
    <row r="972" spans="1:8" x14ac:dyDescent="0.25">
      <c r="A972" s="2">
        <v>44642</v>
      </c>
      <c r="B972">
        <v>14452</v>
      </c>
      <c r="C972">
        <v>78</v>
      </c>
      <c r="D972">
        <v>0</v>
      </c>
      <c r="E972">
        <v>0</v>
      </c>
      <c r="F972" s="1">
        <f t="shared" si="15"/>
        <v>21</v>
      </c>
      <c r="G972" s="1" t="str">
        <f>_xlfn.XLOOKUP(C972,'Ocupação DW'!$F:$F,'Ocupação DW'!$E:$E,"",0)</f>
        <v>SEG - MIGUEL COUTO</v>
      </c>
      <c r="H972" t="str">
        <f>Vagas[[#This Row],[data]]&amp;Vagas[[#This Row],[profissional_id]]&amp;Vagas[[#This Row],[local_id]]</f>
        <v>446421445278</v>
      </c>
    </row>
    <row r="973" spans="1:8" x14ac:dyDescent="0.25">
      <c r="A973" s="2">
        <v>44642</v>
      </c>
      <c r="B973">
        <v>17059</v>
      </c>
      <c r="D973">
        <v>0</v>
      </c>
      <c r="E973">
        <v>0</v>
      </c>
      <c r="F973" s="1">
        <f t="shared" si="15"/>
        <v>0</v>
      </c>
      <c r="G973" s="1" t="str">
        <f>_xlfn.XLOOKUP(C973,'Ocupação DW'!$F:$F,'Ocupação DW'!$E:$E,"",0)</f>
        <v/>
      </c>
      <c r="H973" t="str">
        <f>Vagas[[#This Row],[data]]&amp;Vagas[[#This Row],[profissional_id]]&amp;Vagas[[#This Row],[local_id]]</f>
        <v>4464217059</v>
      </c>
    </row>
    <row r="974" spans="1:8" x14ac:dyDescent="0.25">
      <c r="A974" s="2">
        <v>44642</v>
      </c>
      <c r="B974">
        <v>17742</v>
      </c>
      <c r="D974">
        <v>23</v>
      </c>
      <c r="E974">
        <v>0</v>
      </c>
      <c r="F974" s="1">
        <f t="shared" si="15"/>
        <v>0</v>
      </c>
      <c r="G974" s="1" t="str">
        <f>_xlfn.XLOOKUP(C974,'Ocupação DW'!$F:$F,'Ocupação DW'!$E:$E,"",0)</f>
        <v/>
      </c>
      <c r="H974" t="str">
        <f>Vagas[[#This Row],[data]]&amp;Vagas[[#This Row],[profissional_id]]&amp;Vagas[[#This Row],[local_id]]</f>
        <v>4464217742</v>
      </c>
    </row>
    <row r="975" spans="1:8" x14ac:dyDescent="0.25">
      <c r="A975" s="2">
        <v>44642</v>
      </c>
      <c r="B975">
        <v>17858</v>
      </c>
      <c r="D975">
        <v>0</v>
      </c>
      <c r="E975">
        <v>0</v>
      </c>
      <c r="F975" s="1">
        <f t="shared" si="15"/>
        <v>0</v>
      </c>
      <c r="G975" s="1" t="str">
        <f>_xlfn.XLOOKUP(C975,'Ocupação DW'!$F:$F,'Ocupação DW'!$E:$E,"",0)</f>
        <v/>
      </c>
      <c r="H975" t="str">
        <f>Vagas[[#This Row],[data]]&amp;Vagas[[#This Row],[profissional_id]]&amp;Vagas[[#This Row],[local_id]]</f>
        <v>4464217858</v>
      </c>
    </row>
    <row r="976" spans="1:8" x14ac:dyDescent="0.25">
      <c r="A976" s="2">
        <v>44642</v>
      </c>
      <c r="B976">
        <v>17863</v>
      </c>
      <c r="C976">
        <v>60</v>
      </c>
      <c r="D976">
        <v>59</v>
      </c>
      <c r="E976">
        <v>0</v>
      </c>
      <c r="F976" s="1">
        <f t="shared" si="15"/>
        <v>0</v>
      </c>
      <c r="G976" s="1" t="str">
        <f>_xlfn.XLOOKUP(C976,'Ocupação DW'!$F:$F,'Ocupação DW'!$E:$E,"",0)</f>
        <v>SEG - NILÓPOLIS</v>
      </c>
      <c r="H976" t="str">
        <f>Vagas[[#This Row],[data]]&amp;Vagas[[#This Row],[profissional_id]]&amp;Vagas[[#This Row],[local_id]]</f>
        <v>446421786360</v>
      </c>
    </row>
    <row r="977" spans="1:8" x14ac:dyDescent="0.25">
      <c r="A977" s="2">
        <v>44642</v>
      </c>
      <c r="B977">
        <v>17868</v>
      </c>
      <c r="C977">
        <v>73</v>
      </c>
      <c r="D977">
        <v>133</v>
      </c>
      <c r="E977">
        <v>0</v>
      </c>
      <c r="F977" s="1">
        <f t="shared" si="15"/>
        <v>0</v>
      </c>
      <c r="G977" s="1" t="str">
        <f>_xlfn.XLOOKUP(C977,'Ocupação DW'!$F:$F,'Ocupação DW'!$E:$E,"",0)</f>
        <v/>
      </c>
      <c r="H977" t="str">
        <f>Vagas[[#This Row],[data]]&amp;Vagas[[#This Row],[profissional_id]]&amp;Vagas[[#This Row],[local_id]]</f>
        <v>446421786873</v>
      </c>
    </row>
    <row r="978" spans="1:8" x14ac:dyDescent="0.25">
      <c r="A978" s="2">
        <v>44642</v>
      </c>
      <c r="B978">
        <v>17871</v>
      </c>
      <c r="D978">
        <v>0</v>
      </c>
      <c r="E978">
        <v>0</v>
      </c>
      <c r="F978" s="1">
        <f t="shared" si="15"/>
        <v>0</v>
      </c>
      <c r="G978" s="1" t="str">
        <f>_xlfn.XLOOKUP(C978,'Ocupação DW'!$F:$F,'Ocupação DW'!$E:$E,"",0)</f>
        <v/>
      </c>
      <c r="H978" t="str">
        <f>Vagas[[#This Row],[data]]&amp;Vagas[[#This Row],[profissional_id]]&amp;Vagas[[#This Row],[local_id]]</f>
        <v>4464217871</v>
      </c>
    </row>
    <row r="979" spans="1:8" x14ac:dyDescent="0.25">
      <c r="A979" s="2">
        <v>44642</v>
      </c>
      <c r="B979">
        <v>17874</v>
      </c>
      <c r="D979">
        <v>0</v>
      </c>
      <c r="E979">
        <v>0</v>
      </c>
      <c r="F979" s="1">
        <f t="shared" si="15"/>
        <v>0</v>
      </c>
      <c r="G979" s="1" t="str">
        <f>_xlfn.XLOOKUP(C979,'Ocupação DW'!$F:$F,'Ocupação DW'!$E:$E,"",0)</f>
        <v/>
      </c>
      <c r="H979" t="str">
        <f>Vagas[[#This Row],[data]]&amp;Vagas[[#This Row],[profissional_id]]&amp;Vagas[[#This Row],[local_id]]</f>
        <v>4464217874</v>
      </c>
    </row>
    <row r="980" spans="1:8" x14ac:dyDescent="0.25">
      <c r="A980" s="2">
        <v>44642</v>
      </c>
      <c r="B980">
        <v>17881</v>
      </c>
      <c r="C980">
        <v>20</v>
      </c>
      <c r="D980">
        <v>181</v>
      </c>
      <c r="E980">
        <v>0</v>
      </c>
      <c r="F980" s="1">
        <f t="shared" si="15"/>
        <v>0</v>
      </c>
      <c r="G980" s="1" t="str">
        <f>_xlfn.XLOOKUP(C980,'Ocupação DW'!$F:$F,'Ocupação DW'!$E:$E,"",0)</f>
        <v>SEG - MATRIZ</v>
      </c>
      <c r="H980" t="str">
        <f>Vagas[[#This Row],[data]]&amp;Vagas[[#This Row],[profissional_id]]&amp;Vagas[[#This Row],[local_id]]</f>
        <v>446421788120</v>
      </c>
    </row>
    <row r="981" spans="1:8" x14ac:dyDescent="0.25">
      <c r="A981" s="2">
        <v>44642</v>
      </c>
      <c r="B981">
        <v>17882</v>
      </c>
      <c r="C981">
        <v>21</v>
      </c>
      <c r="D981">
        <v>181</v>
      </c>
      <c r="E981">
        <v>0</v>
      </c>
      <c r="F981" s="1">
        <f t="shared" si="15"/>
        <v>0</v>
      </c>
      <c r="G981" s="1" t="str">
        <f>_xlfn.XLOOKUP(C981,'Ocupação DW'!$F:$F,'Ocupação DW'!$E:$E,"",0)</f>
        <v/>
      </c>
      <c r="H981" t="str">
        <f>Vagas[[#This Row],[data]]&amp;Vagas[[#This Row],[profissional_id]]&amp;Vagas[[#This Row],[local_id]]</f>
        <v>446421788221</v>
      </c>
    </row>
    <row r="982" spans="1:8" x14ac:dyDescent="0.25">
      <c r="A982" s="2">
        <v>44642</v>
      </c>
      <c r="B982">
        <v>17883</v>
      </c>
      <c r="D982">
        <v>11</v>
      </c>
      <c r="E982">
        <v>0</v>
      </c>
      <c r="F982" s="1">
        <f t="shared" si="15"/>
        <v>0</v>
      </c>
      <c r="G982" s="1" t="str">
        <f>_xlfn.XLOOKUP(C982,'Ocupação DW'!$F:$F,'Ocupação DW'!$E:$E,"",0)</f>
        <v/>
      </c>
      <c r="H982" t="str">
        <f>Vagas[[#This Row],[data]]&amp;Vagas[[#This Row],[profissional_id]]&amp;Vagas[[#This Row],[local_id]]</f>
        <v>4464217883</v>
      </c>
    </row>
    <row r="983" spans="1:8" x14ac:dyDescent="0.25">
      <c r="A983" s="2">
        <v>44642</v>
      </c>
      <c r="B983">
        <v>17883</v>
      </c>
      <c r="C983">
        <v>351</v>
      </c>
      <c r="D983">
        <v>0</v>
      </c>
      <c r="E983">
        <v>0</v>
      </c>
      <c r="F983" s="1">
        <f t="shared" si="15"/>
        <v>11</v>
      </c>
      <c r="G983" s="1" t="str">
        <f>_xlfn.XLOOKUP(C983,'Ocupação DW'!$F:$F,'Ocupação DW'!$E:$E,"",0)</f>
        <v>SEG - FILIAL I</v>
      </c>
      <c r="H983" t="str">
        <f>Vagas[[#This Row],[data]]&amp;Vagas[[#This Row],[profissional_id]]&amp;Vagas[[#This Row],[local_id]]</f>
        <v>4464217883351</v>
      </c>
    </row>
    <row r="984" spans="1:8" x14ac:dyDescent="0.25">
      <c r="A984" s="2">
        <v>44642</v>
      </c>
      <c r="B984">
        <v>17885</v>
      </c>
      <c r="D984">
        <v>0</v>
      </c>
      <c r="E984">
        <v>0</v>
      </c>
      <c r="F984" s="1">
        <f t="shared" si="15"/>
        <v>0</v>
      </c>
      <c r="G984" s="1" t="str">
        <f>_xlfn.XLOOKUP(C984,'Ocupação DW'!$F:$F,'Ocupação DW'!$E:$E,"",0)</f>
        <v/>
      </c>
      <c r="H984" t="str">
        <f>Vagas[[#This Row],[data]]&amp;Vagas[[#This Row],[profissional_id]]&amp;Vagas[[#This Row],[local_id]]</f>
        <v>4464217885</v>
      </c>
    </row>
    <row r="985" spans="1:8" x14ac:dyDescent="0.25">
      <c r="A985" s="2">
        <v>44642</v>
      </c>
      <c r="B985">
        <v>17885</v>
      </c>
      <c r="C985">
        <v>23</v>
      </c>
      <c r="D985">
        <v>61</v>
      </c>
      <c r="E985">
        <v>0</v>
      </c>
      <c r="F985" s="1">
        <f t="shared" si="15"/>
        <v>0</v>
      </c>
      <c r="G985" s="1" t="str">
        <f>_xlfn.XLOOKUP(C985,'Ocupação DW'!$F:$F,'Ocupação DW'!$E:$E,"",0)</f>
        <v/>
      </c>
      <c r="H985" t="str">
        <f>Vagas[[#This Row],[data]]&amp;Vagas[[#This Row],[profissional_id]]&amp;Vagas[[#This Row],[local_id]]</f>
        <v>446421788523</v>
      </c>
    </row>
    <row r="986" spans="1:8" x14ac:dyDescent="0.25">
      <c r="A986" s="2">
        <v>44642</v>
      </c>
      <c r="B986">
        <v>17887</v>
      </c>
      <c r="C986">
        <v>58</v>
      </c>
      <c r="D986">
        <v>60</v>
      </c>
      <c r="E986">
        <v>0</v>
      </c>
      <c r="F986" s="1">
        <f t="shared" si="15"/>
        <v>0</v>
      </c>
      <c r="G986" s="1" t="str">
        <f>_xlfn.XLOOKUP(C986,'Ocupação DW'!$F:$F,'Ocupação DW'!$E:$E,"",0)</f>
        <v/>
      </c>
      <c r="H986" t="str">
        <f>Vagas[[#This Row],[data]]&amp;Vagas[[#This Row],[profissional_id]]&amp;Vagas[[#This Row],[local_id]]</f>
        <v>446421788758</v>
      </c>
    </row>
    <row r="987" spans="1:8" x14ac:dyDescent="0.25">
      <c r="A987" s="2">
        <v>44642</v>
      </c>
      <c r="B987">
        <v>17888</v>
      </c>
      <c r="C987">
        <v>40</v>
      </c>
      <c r="D987">
        <v>25</v>
      </c>
      <c r="E987">
        <v>0</v>
      </c>
      <c r="F987" s="1">
        <f t="shared" si="15"/>
        <v>0</v>
      </c>
      <c r="G987" s="1" t="str">
        <f>_xlfn.XLOOKUP(C987,'Ocupação DW'!$F:$F,'Ocupação DW'!$E:$E,"",0)</f>
        <v>SEG - FILIAL I</v>
      </c>
      <c r="H987" t="str">
        <f>Vagas[[#This Row],[data]]&amp;Vagas[[#This Row],[profissional_id]]&amp;Vagas[[#This Row],[local_id]]</f>
        <v>446421788840</v>
      </c>
    </row>
    <row r="988" spans="1:8" x14ac:dyDescent="0.25">
      <c r="A988" s="2">
        <v>44642</v>
      </c>
      <c r="B988">
        <v>17889</v>
      </c>
      <c r="C988">
        <v>59</v>
      </c>
      <c r="D988">
        <v>30</v>
      </c>
      <c r="E988">
        <v>0</v>
      </c>
      <c r="F988" s="1">
        <f t="shared" si="15"/>
        <v>0</v>
      </c>
      <c r="G988" s="1" t="str">
        <f>_xlfn.XLOOKUP(C988,'Ocupação DW'!$F:$F,'Ocupação DW'!$E:$E,"",0)</f>
        <v>SEG - NILÓPOLIS</v>
      </c>
      <c r="H988" t="str">
        <f>Vagas[[#This Row],[data]]&amp;Vagas[[#This Row],[profissional_id]]&amp;Vagas[[#This Row],[local_id]]</f>
        <v>446421788959</v>
      </c>
    </row>
    <row r="989" spans="1:8" x14ac:dyDescent="0.25">
      <c r="A989" s="2">
        <v>44642</v>
      </c>
      <c r="B989">
        <v>17890</v>
      </c>
      <c r="C989">
        <v>4</v>
      </c>
      <c r="D989">
        <v>8</v>
      </c>
      <c r="E989">
        <v>0</v>
      </c>
      <c r="F989" s="1">
        <f t="shared" si="15"/>
        <v>0</v>
      </c>
      <c r="G989" s="1" t="str">
        <f>_xlfn.XLOOKUP(C989,'Ocupação DW'!$F:$F,'Ocupação DW'!$E:$E,"",0)</f>
        <v>SEG - FILIAL II 10°</v>
      </c>
      <c r="H989" t="str">
        <f>Vagas[[#This Row],[data]]&amp;Vagas[[#This Row],[profissional_id]]&amp;Vagas[[#This Row],[local_id]]</f>
        <v>44642178904</v>
      </c>
    </row>
    <row r="990" spans="1:8" x14ac:dyDescent="0.25">
      <c r="A990" s="2">
        <v>44642</v>
      </c>
      <c r="B990">
        <v>17891</v>
      </c>
      <c r="C990">
        <v>76</v>
      </c>
      <c r="D990">
        <v>1</v>
      </c>
      <c r="E990">
        <v>0</v>
      </c>
      <c r="F990" s="1">
        <f t="shared" si="15"/>
        <v>0</v>
      </c>
      <c r="G990" s="1" t="str">
        <f>_xlfn.XLOOKUP(C990,'Ocupação DW'!$F:$F,'Ocupação DW'!$E:$E,"",0)</f>
        <v>SEG - MIGUEL COUTO</v>
      </c>
      <c r="H990" t="str">
        <f>Vagas[[#This Row],[data]]&amp;Vagas[[#This Row],[profissional_id]]&amp;Vagas[[#This Row],[local_id]]</f>
        <v>446421789176</v>
      </c>
    </row>
    <row r="991" spans="1:8" x14ac:dyDescent="0.25">
      <c r="A991" s="2">
        <v>44642</v>
      </c>
      <c r="B991">
        <v>17892</v>
      </c>
      <c r="D991">
        <v>0</v>
      </c>
      <c r="E991">
        <v>0</v>
      </c>
      <c r="F991" s="1">
        <f t="shared" si="15"/>
        <v>0</v>
      </c>
      <c r="G991" s="1" t="str">
        <f>_xlfn.XLOOKUP(C991,'Ocupação DW'!$F:$F,'Ocupação DW'!$E:$E,"",0)</f>
        <v/>
      </c>
      <c r="H991" t="str">
        <f>Vagas[[#This Row],[data]]&amp;Vagas[[#This Row],[profissional_id]]&amp;Vagas[[#This Row],[local_id]]</f>
        <v>4464217892</v>
      </c>
    </row>
    <row r="992" spans="1:8" x14ac:dyDescent="0.25">
      <c r="A992" s="2">
        <v>44642</v>
      </c>
      <c r="B992">
        <v>17892</v>
      </c>
      <c r="C992">
        <v>55</v>
      </c>
      <c r="D992">
        <v>3</v>
      </c>
      <c r="E992">
        <v>0</v>
      </c>
      <c r="F992" s="1">
        <f t="shared" si="15"/>
        <v>0</v>
      </c>
      <c r="G992" s="1" t="str">
        <f>_xlfn.XLOOKUP(C992,'Ocupação DW'!$F:$F,'Ocupação DW'!$E:$E,"",0)</f>
        <v>SEG - NILÓPOLIS</v>
      </c>
      <c r="H992" t="str">
        <f>Vagas[[#This Row],[data]]&amp;Vagas[[#This Row],[profissional_id]]&amp;Vagas[[#This Row],[local_id]]</f>
        <v>446421789255</v>
      </c>
    </row>
    <row r="993" spans="1:8" x14ac:dyDescent="0.25">
      <c r="A993" s="2">
        <v>44642</v>
      </c>
      <c r="B993">
        <v>17893</v>
      </c>
      <c r="C993">
        <v>4</v>
      </c>
      <c r="D993">
        <v>6</v>
      </c>
      <c r="E993">
        <v>0</v>
      </c>
      <c r="F993" s="1">
        <f t="shared" si="15"/>
        <v>0</v>
      </c>
      <c r="G993" s="1" t="str">
        <f>_xlfn.XLOOKUP(C993,'Ocupação DW'!$F:$F,'Ocupação DW'!$E:$E,"",0)</f>
        <v>SEG - FILIAL II 10°</v>
      </c>
      <c r="H993" t="str">
        <f>Vagas[[#This Row],[data]]&amp;Vagas[[#This Row],[profissional_id]]&amp;Vagas[[#This Row],[local_id]]</f>
        <v>44642178934</v>
      </c>
    </row>
    <row r="994" spans="1:8" x14ac:dyDescent="0.25">
      <c r="A994" s="2">
        <v>44642</v>
      </c>
      <c r="B994">
        <v>17894</v>
      </c>
      <c r="C994">
        <v>76</v>
      </c>
      <c r="D994">
        <v>1</v>
      </c>
      <c r="E994">
        <v>0</v>
      </c>
      <c r="F994" s="1">
        <f t="shared" si="15"/>
        <v>0</v>
      </c>
      <c r="G994" s="1" t="str">
        <f>_xlfn.XLOOKUP(C994,'Ocupação DW'!$F:$F,'Ocupação DW'!$E:$E,"",0)</f>
        <v>SEG - MIGUEL COUTO</v>
      </c>
      <c r="H994" t="str">
        <f>Vagas[[#This Row],[data]]&amp;Vagas[[#This Row],[profissional_id]]&amp;Vagas[[#This Row],[local_id]]</f>
        <v>446421789476</v>
      </c>
    </row>
    <row r="995" spans="1:8" x14ac:dyDescent="0.25">
      <c r="A995" s="2">
        <v>44642</v>
      </c>
      <c r="B995">
        <v>17895</v>
      </c>
      <c r="C995">
        <v>55</v>
      </c>
      <c r="D995">
        <v>2</v>
      </c>
      <c r="E995">
        <v>0</v>
      </c>
      <c r="F995" s="1">
        <f t="shared" si="15"/>
        <v>0</v>
      </c>
      <c r="G995" s="1" t="str">
        <f>_xlfn.XLOOKUP(C995,'Ocupação DW'!$F:$F,'Ocupação DW'!$E:$E,"",0)</f>
        <v>SEG - NILÓPOLIS</v>
      </c>
      <c r="H995" t="str">
        <f>Vagas[[#This Row],[data]]&amp;Vagas[[#This Row],[profissional_id]]&amp;Vagas[[#This Row],[local_id]]</f>
        <v>446421789555</v>
      </c>
    </row>
    <row r="996" spans="1:8" x14ac:dyDescent="0.25">
      <c r="A996" s="2">
        <v>44642</v>
      </c>
      <c r="B996">
        <v>17898</v>
      </c>
      <c r="C996">
        <v>35</v>
      </c>
      <c r="D996">
        <v>78</v>
      </c>
      <c r="E996">
        <v>0</v>
      </c>
      <c r="F996" s="1">
        <f t="shared" si="15"/>
        <v>0</v>
      </c>
      <c r="G996" s="1" t="str">
        <f>_xlfn.XLOOKUP(C996,'Ocupação DW'!$F:$F,'Ocupação DW'!$E:$E,"",0)</f>
        <v/>
      </c>
      <c r="H996" t="str">
        <f>Vagas[[#This Row],[data]]&amp;Vagas[[#This Row],[profissional_id]]&amp;Vagas[[#This Row],[local_id]]</f>
        <v>446421789835</v>
      </c>
    </row>
    <row r="997" spans="1:8" x14ac:dyDescent="0.25">
      <c r="A997" s="2">
        <v>44642</v>
      </c>
      <c r="B997">
        <v>17899</v>
      </c>
      <c r="C997">
        <v>3</v>
      </c>
      <c r="D997">
        <v>66</v>
      </c>
      <c r="E997">
        <v>0</v>
      </c>
      <c r="F997" s="1">
        <f t="shared" si="15"/>
        <v>0</v>
      </c>
      <c r="G997" s="1" t="str">
        <f>_xlfn.XLOOKUP(C997,'Ocupação DW'!$F:$F,'Ocupação DW'!$E:$E,"",0)</f>
        <v>SEG - FILIAL II 10°</v>
      </c>
      <c r="H997" t="str">
        <f>Vagas[[#This Row],[data]]&amp;Vagas[[#This Row],[profissional_id]]&amp;Vagas[[#This Row],[local_id]]</f>
        <v>44642178993</v>
      </c>
    </row>
    <row r="998" spans="1:8" x14ac:dyDescent="0.25">
      <c r="A998" s="2">
        <v>44642</v>
      </c>
      <c r="B998">
        <v>17900</v>
      </c>
      <c r="C998">
        <v>77</v>
      </c>
      <c r="D998">
        <v>60</v>
      </c>
      <c r="E998">
        <v>0</v>
      </c>
      <c r="F998" s="1">
        <f t="shared" si="15"/>
        <v>0</v>
      </c>
      <c r="G998" s="1" t="str">
        <f>_xlfn.XLOOKUP(C998,'Ocupação DW'!$F:$F,'Ocupação DW'!$E:$E,"",0)</f>
        <v/>
      </c>
      <c r="H998" t="str">
        <f>Vagas[[#This Row],[data]]&amp;Vagas[[#This Row],[profissional_id]]&amp;Vagas[[#This Row],[local_id]]</f>
        <v>446421790077</v>
      </c>
    </row>
    <row r="999" spans="1:8" x14ac:dyDescent="0.25">
      <c r="A999" s="2">
        <v>44642</v>
      </c>
      <c r="B999">
        <v>17901</v>
      </c>
      <c r="C999">
        <v>55</v>
      </c>
      <c r="D999">
        <v>66</v>
      </c>
      <c r="E999">
        <v>0</v>
      </c>
      <c r="F999" s="1">
        <f t="shared" si="15"/>
        <v>0</v>
      </c>
      <c r="G999" s="1" t="str">
        <f>_xlfn.XLOOKUP(C999,'Ocupação DW'!$F:$F,'Ocupação DW'!$E:$E,"",0)</f>
        <v>SEG - NILÓPOLIS</v>
      </c>
      <c r="H999" t="str">
        <f>Vagas[[#This Row],[data]]&amp;Vagas[[#This Row],[profissional_id]]&amp;Vagas[[#This Row],[local_id]]</f>
        <v>446421790155</v>
      </c>
    </row>
    <row r="1000" spans="1:8" x14ac:dyDescent="0.25">
      <c r="A1000" s="2">
        <v>44642</v>
      </c>
      <c r="B1000">
        <v>17902</v>
      </c>
      <c r="C1000">
        <v>39</v>
      </c>
      <c r="D1000">
        <v>50</v>
      </c>
      <c r="E1000">
        <v>0</v>
      </c>
      <c r="F1000" s="1">
        <f t="shared" si="15"/>
        <v>0</v>
      </c>
      <c r="G1000" s="1" t="str">
        <f>_xlfn.XLOOKUP(C1000,'Ocupação DW'!$F:$F,'Ocupação DW'!$E:$E,"",0)</f>
        <v>SEG - FILIAL I</v>
      </c>
      <c r="H1000" t="str">
        <f>Vagas[[#This Row],[data]]&amp;Vagas[[#This Row],[profissional_id]]&amp;Vagas[[#This Row],[local_id]]</f>
        <v>446421790239</v>
      </c>
    </row>
    <row r="1001" spans="1:8" x14ac:dyDescent="0.25">
      <c r="A1001" s="2">
        <v>44642</v>
      </c>
      <c r="B1001">
        <v>17903</v>
      </c>
      <c r="D1001">
        <v>0</v>
      </c>
      <c r="E1001">
        <v>0</v>
      </c>
      <c r="F1001" s="1">
        <f t="shared" si="15"/>
        <v>0</v>
      </c>
      <c r="G1001" s="1" t="str">
        <f>_xlfn.XLOOKUP(C1001,'Ocupação DW'!$F:$F,'Ocupação DW'!$E:$E,"",0)</f>
        <v/>
      </c>
      <c r="H1001" t="str">
        <f>Vagas[[#This Row],[data]]&amp;Vagas[[#This Row],[profissional_id]]&amp;Vagas[[#This Row],[local_id]]</f>
        <v>4464217903</v>
      </c>
    </row>
    <row r="1002" spans="1:8" x14ac:dyDescent="0.25">
      <c r="A1002" s="2">
        <v>44642</v>
      </c>
      <c r="B1002">
        <v>17904</v>
      </c>
      <c r="D1002">
        <v>0</v>
      </c>
      <c r="E1002">
        <v>0</v>
      </c>
      <c r="F1002" s="1">
        <f t="shared" si="15"/>
        <v>0</v>
      </c>
      <c r="G1002" s="1" t="str">
        <f>_xlfn.XLOOKUP(C1002,'Ocupação DW'!$F:$F,'Ocupação DW'!$E:$E,"",0)</f>
        <v/>
      </c>
      <c r="H1002" t="str">
        <f>Vagas[[#This Row],[data]]&amp;Vagas[[#This Row],[profissional_id]]&amp;Vagas[[#This Row],[local_id]]</f>
        <v>4464217904</v>
      </c>
    </row>
    <row r="1003" spans="1:8" x14ac:dyDescent="0.25">
      <c r="A1003" s="2">
        <v>44642</v>
      </c>
      <c r="B1003">
        <v>17907</v>
      </c>
      <c r="C1003">
        <v>55</v>
      </c>
      <c r="D1003">
        <v>14</v>
      </c>
      <c r="E1003">
        <v>0</v>
      </c>
      <c r="F1003" s="1">
        <f t="shared" si="15"/>
        <v>0</v>
      </c>
      <c r="G1003" s="1" t="str">
        <f>_xlfn.XLOOKUP(C1003,'Ocupação DW'!$F:$F,'Ocupação DW'!$E:$E,"",0)</f>
        <v>SEG - NILÓPOLIS</v>
      </c>
      <c r="H1003" t="str">
        <f>Vagas[[#This Row],[data]]&amp;Vagas[[#This Row],[profissional_id]]&amp;Vagas[[#This Row],[local_id]]</f>
        <v>446421790755</v>
      </c>
    </row>
    <row r="1004" spans="1:8" x14ac:dyDescent="0.25">
      <c r="A1004" s="2">
        <v>44642</v>
      </c>
      <c r="B1004">
        <v>17908</v>
      </c>
      <c r="C1004">
        <v>25</v>
      </c>
      <c r="D1004">
        <v>14</v>
      </c>
      <c r="E1004">
        <v>0</v>
      </c>
      <c r="F1004" s="1">
        <f t="shared" si="15"/>
        <v>0</v>
      </c>
      <c r="G1004" s="1" t="str">
        <f>_xlfn.XLOOKUP(C1004,'Ocupação DW'!$F:$F,'Ocupação DW'!$E:$E,"",0)</f>
        <v>SEG - MATRIZ</v>
      </c>
      <c r="H1004" t="str">
        <f>Vagas[[#This Row],[data]]&amp;Vagas[[#This Row],[profissional_id]]&amp;Vagas[[#This Row],[local_id]]</f>
        <v>446421790825</v>
      </c>
    </row>
    <row r="1005" spans="1:8" x14ac:dyDescent="0.25">
      <c r="A1005" s="2">
        <v>44642</v>
      </c>
      <c r="B1005">
        <v>17909</v>
      </c>
      <c r="C1005">
        <v>4</v>
      </c>
      <c r="D1005">
        <v>0</v>
      </c>
      <c r="E1005">
        <v>0</v>
      </c>
      <c r="F1005" s="1">
        <f t="shared" si="15"/>
        <v>0</v>
      </c>
      <c r="G1005" s="1" t="str">
        <f>_xlfn.XLOOKUP(C1005,'Ocupação DW'!$F:$F,'Ocupação DW'!$E:$E,"",0)</f>
        <v>SEG - FILIAL II 10°</v>
      </c>
      <c r="H1005" t="str">
        <f>Vagas[[#This Row],[data]]&amp;Vagas[[#This Row],[profissional_id]]&amp;Vagas[[#This Row],[local_id]]</f>
        <v>44642179094</v>
      </c>
    </row>
    <row r="1006" spans="1:8" x14ac:dyDescent="0.25">
      <c r="A1006" s="2">
        <v>44642</v>
      </c>
      <c r="B1006">
        <v>17922</v>
      </c>
      <c r="D1006">
        <v>133</v>
      </c>
      <c r="E1006">
        <v>0</v>
      </c>
      <c r="F1006" s="1">
        <f t="shared" si="15"/>
        <v>0</v>
      </c>
      <c r="G1006" s="1" t="str">
        <f>_xlfn.XLOOKUP(C1006,'Ocupação DW'!$F:$F,'Ocupação DW'!$E:$E,"",0)</f>
        <v/>
      </c>
      <c r="H1006" t="str">
        <f>Vagas[[#This Row],[data]]&amp;Vagas[[#This Row],[profissional_id]]&amp;Vagas[[#This Row],[local_id]]</f>
        <v>4464217922</v>
      </c>
    </row>
    <row r="1007" spans="1:8" x14ac:dyDescent="0.25">
      <c r="A1007" s="2">
        <v>44642</v>
      </c>
      <c r="B1007">
        <v>17922</v>
      </c>
      <c r="C1007">
        <v>74</v>
      </c>
      <c r="D1007">
        <v>133</v>
      </c>
      <c r="E1007">
        <v>0</v>
      </c>
      <c r="F1007" s="1">
        <f t="shared" si="15"/>
        <v>0</v>
      </c>
      <c r="G1007" s="1" t="str">
        <f>_xlfn.XLOOKUP(C1007,'Ocupação DW'!$F:$F,'Ocupação DW'!$E:$E,"",0)</f>
        <v/>
      </c>
      <c r="H1007" t="str">
        <f>Vagas[[#This Row],[data]]&amp;Vagas[[#This Row],[profissional_id]]&amp;Vagas[[#This Row],[local_id]]</f>
        <v>446421792274</v>
      </c>
    </row>
    <row r="1008" spans="1:8" x14ac:dyDescent="0.25">
      <c r="A1008" s="2">
        <v>44642</v>
      </c>
      <c r="B1008">
        <v>17924</v>
      </c>
      <c r="C1008">
        <v>52</v>
      </c>
      <c r="D1008">
        <v>133</v>
      </c>
      <c r="E1008">
        <v>0</v>
      </c>
      <c r="F1008" s="1">
        <f t="shared" si="15"/>
        <v>0</v>
      </c>
      <c r="G1008" s="1" t="str">
        <f>_xlfn.XLOOKUP(C1008,'Ocupação DW'!$F:$F,'Ocupação DW'!$E:$E,"",0)</f>
        <v/>
      </c>
      <c r="H1008" t="str">
        <f>Vagas[[#This Row],[data]]&amp;Vagas[[#This Row],[profissional_id]]&amp;Vagas[[#This Row],[local_id]]</f>
        <v>446421792452</v>
      </c>
    </row>
    <row r="1009" spans="1:8" x14ac:dyDescent="0.25">
      <c r="A1009" s="2">
        <v>44642</v>
      </c>
      <c r="D1009">
        <v>0</v>
      </c>
      <c r="E1009">
        <v>0</v>
      </c>
      <c r="F1009" s="1">
        <f t="shared" si="15"/>
        <v>0</v>
      </c>
      <c r="G1009" s="1" t="str">
        <f>_xlfn.XLOOKUP(C1009,'Ocupação DW'!$F:$F,'Ocupação DW'!$E:$E,"",0)</f>
        <v/>
      </c>
      <c r="H1009" t="str">
        <f>Vagas[[#This Row],[data]]&amp;Vagas[[#This Row],[profissional_id]]&amp;Vagas[[#This Row],[local_id]]</f>
        <v>44642</v>
      </c>
    </row>
    <row r="1010" spans="1:8" x14ac:dyDescent="0.25">
      <c r="A1010" s="2">
        <v>44642</v>
      </c>
      <c r="D1010">
        <v>0</v>
      </c>
      <c r="E1010">
        <v>0</v>
      </c>
      <c r="F1010" s="1">
        <f t="shared" si="15"/>
        <v>0</v>
      </c>
      <c r="G1010" s="1" t="str">
        <f>_xlfn.XLOOKUP(C1010,'Ocupação DW'!$F:$F,'Ocupação DW'!$E:$E,"",0)</f>
        <v/>
      </c>
      <c r="H1010" t="str">
        <f>Vagas[[#This Row],[data]]&amp;Vagas[[#This Row],[profissional_id]]&amp;Vagas[[#This Row],[local_id]]</f>
        <v>44642</v>
      </c>
    </row>
    <row r="1011" spans="1:8" x14ac:dyDescent="0.25">
      <c r="A1011" s="2">
        <v>44642</v>
      </c>
      <c r="D1011">
        <v>0</v>
      </c>
      <c r="E1011">
        <v>0</v>
      </c>
      <c r="F1011" s="1">
        <f t="shared" si="15"/>
        <v>0</v>
      </c>
      <c r="G1011" s="1" t="str">
        <f>_xlfn.XLOOKUP(C1011,'Ocupação DW'!$F:$F,'Ocupação DW'!$E:$E,"",0)</f>
        <v/>
      </c>
      <c r="H1011" t="str">
        <f>Vagas[[#This Row],[data]]&amp;Vagas[[#This Row],[profissional_id]]&amp;Vagas[[#This Row],[local_id]]</f>
        <v>44642</v>
      </c>
    </row>
    <row r="1012" spans="1:8" x14ac:dyDescent="0.25">
      <c r="A1012" s="2">
        <v>44643</v>
      </c>
      <c r="B1012">
        <v>54</v>
      </c>
      <c r="D1012">
        <v>10</v>
      </c>
      <c r="E1012">
        <v>0</v>
      </c>
      <c r="F1012" s="1">
        <f t="shared" si="15"/>
        <v>0</v>
      </c>
      <c r="G1012" s="1" t="str">
        <f>_xlfn.XLOOKUP(C1012,'Ocupação DW'!$F:$F,'Ocupação DW'!$E:$E,"",0)</f>
        <v/>
      </c>
      <c r="H1012" t="str">
        <f>Vagas[[#This Row],[data]]&amp;Vagas[[#This Row],[profissional_id]]&amp;Vagas[[#This Row],[local_id]]</f>
        <v>4464354</v>
      </c>
    </row>
    <row r="1013" spans="1:8" x14ac:dyDescent="0.25">
      <c r="A1013" s="2">
        <v>44643</v>
      </c>
      <c r="B1013">
        <v>54</v>
      </c>
      <c r="C1013">
        <v>50</v>
      </c>
      <c r="D1013">
        <v>12</v>
      </c>
      <c r="E1013">
        <v>0</v>
      </c>
      <c r="F1013" s="1">
        <f t="shared" si="15"/>
        <v>0</v>
      </c>
      <c r="G1013" s="1" t="str">
        <f>_xlfn.XLOOKUP(C1013,'Ocupação DW'!$F:$F,'Ocupação DW'!$E:$E,"",0)</f>
        <v>SEG - FILIAL I</v>
      </c>
      <c r="H1013" t="str">
        <f>Vagas[[#This Row],[data]]&amp;Vagas[[#This Row],[profissional_id]]&amp;Vagas[[#This Row],[local_id]]</f>
        <v>446435450</v>
      </c>
    </row>
    <row r="1014" spans="1:8" x14ac:dyDescent="0.25">
      <c r="A1014" s="2">
        <v>44643</v>
      </c>
      <c r="B1014">
        <v>55</v>
      </c>
      <c r="D1014">
        <v>0</v>
      </c>
      <c r="E1014">
        <v>0</v>
      </c>
      <c r="F1014" s="1">
        <f t="shared" si="15"/>
        <v>0</v>
      </c>
      <c r="G1014" s="1" t="str">
        <f>_xlfn.XLOOKUP(C1014,'Ocupação DW'!$F:$F,'Ocupação DW'!$E:$E,"",0)</f>
        <v/>
      </c>
      <c r="H1014" t="str">
        <f>Vagas[[#This Row],[data]]&amp;Vagas[[#This Row],[profissional_id]]&amp;Vagas[[#This Row],[local_id]]</f>
        <v>4464355</v>
      </c>
    </row>
    <row r="1015" spans="1:8" x14ac:dyDescent="0.25">
      <c r="A1015" s="2">
        <v>44643</v>
      </c>
      <c r="B1015">
        <v>57</v>
      </c>
      <c r="C1015">
        <v>8</v>
      </c>
      <c r="D1015">
        <v>22</v>
      </c>
      <c r="E1015">
        <v>0</v>
      </c>
      <c r="F1015" s="1">
        <f t="shared" si="15"/>
        <v>0</v>
      </c>
      <c r="G1015" s="1" t="str">
        <f>_xlfn.XLOOKUP(C1015,'Ocupação DW'!$F:$F,'Ocupação DW'!$E:$E,"",0)</f>
        <v>SEG - FILIAL II 10°</v>
      </c>
      <c r="H1015" t="str">
        <f>Vagas[[#This Row],[data]]&amp;Vagas[[#This Row],[profissional_id]]&amp;Vagas[[#This Row],[local_id]]</f>
        <v>44643578</v>
      </c>
    </row>
    <row r="1016" spans="1:8" x14ac:dyDescent="0.25">
      <c r="A1016" s="2">
        <v>44643</v>
      </c>
      <c r="B1016">
        <v>57</v>
      </c>
      <c r="C1016">
        <v>4</v>
      </c>
      <c r="D1016">
        <v>0</v>
      </c>
      <c r="E1016">
        <v>0</v>
      </c>
      <c r="F1016" s="1">
        <f t="shared" si="15"/>
        <v>22</v>
      </c>
      <c r="G1016" s="1" t="str">
        <f>_xlfn.XLOOKUP(C1016,'Ocupação DW'!$F:$F,'Ocupação DW'!$E:$E,"",0)</f>
        <v>SEG - FILIAL II 10°</v>
      </c>
      <c r="H1016" t="str">
        <f>Vagas[[#This Row],[data]]&amp;Vagas[[#This Row],[profissional_id]]&amp;Vagas[[#This Row],[local_id]]</f>
        <v>44643574</v>
      </c>
    </row>
    <row r="1017" spans="1:8" x14ac:dyDescent="0.25">
      <c r="A1017" s="2">
        <v>44643</v>
      </c>
      <c r="B1017">
        <v>57</v>
      </c>
      <c r="C1017">
        <v>2</v>
      </c>
      <c r="D1017">
        <v>21</v>
      </c>
      <c r="E1017">
        <v>0</v>
      </c>
      <c r="F1017" s="1">
        <f t="shared" si="15"/>
        <v>0</v>
      </c>
      <c r="G1017" s="1" t="str">
        <f>_xlfn.XLOOKUP(C1017,'Ocupação DW'!$F:$F,'Ocupação DW'!$E:$E,"",0)</f>
        <v>SEG - FILIAL II 10°</v>
      </c>
      <c r="H1017" t="str">
        <f>Vagas[[#This Row],[data]]&amp;Vagas[[#This Row],[profissional_id]]&amp;Vagas[[#This Row],[local_id]]</f>
        <v>44643572</v>
      </c>
    </row>
    <row r="1018" spans="1:8" x14ac:dyDescent="0.25">
      <c r="A1018" s="2">
        <v>44643</v>
      </c>
      <c r="B1018">
        <v>59</v>
      </c>
      <c r="D1018">
        <v>0</v>
      </c>
      <c r="E1018">
        <v>0</v>
      </c>
      <c r="F1018" s="1">
        <f t="shared" si="15"/>
        <v>0</v>
      </c>
      <c r="G1018" s="1" t="str">
        <f>_xlfn.XLOOKUP(C1018,'Ocupação DW'!$F:$F,'Ocupação DW'!$E:$E,"",0)</f>
        <v/>
      </c>
      <c r="H1018" t="str">
        <f>Vagas[[#This Row],[data]]&amp;Vagas[[#This Row],[profissional_id]]&amp;Vagas[[#This Row],[local_id]]</f>
        <v>4464359</v>
      </c>
    </row>
    <row r="1019" spans="1:8" x14ac:dyDescent="0.25">
      <c r="A1019" s="2">
        <v>44643</v>
      </c>
      <c r="B1019">
        <v>60</v>
      </c>
      <c r="D1019">
        <v>32</v>
      </c>
      <c r="E1019">
        <v>0</v>
      </c>
      <c r="F1019" s="1">
        <f t="shared" si="15"/>
        <v>0</v>
      </c>
      <c r="G1019" s="1" t="str">
        <f>_xlfn.XLOOKUP(C1019,'Ocupação DW'!$F:$F,'Ocupação DW'!$E:$E,"",0)</f>
        <v/>
      </c>
      <c r="H1019" t="str">
        <f>Vagas[[#This Row],[data]]&amp;Vagas[[#This Row],[profissional_id]]&amp;Vagas[[#This Row],[local_id]]</f>
        <v>4464360</v>
      </c>
    </row>
    <row r="1020" spans="1:8" x14ac:dyDescent="0.25">
      <c r="A1020" s="2">
        <v>44643</v>
      </c>
      <c r="B1020">
        <v>60</v>
      </c>
      <c r="C1020">
        <v>8</v>
      </c>
      <c r="D1020">
        <v>0</v>
      </c>
      <c r="E1020">
        <v>0</v>
      </c>
      <c r="F1020" s="1">
        <f t="shared" si="15"/>
        <v>32</v>
      </c>
      <c r="G1020" s="1" t="str">
        <f>_xlfn.XLOOKUP(C1020,'Ocupação DW'!$F:$F,'Ocupação DW'!$E:$E,"",0)</f>
        <v>SEG - FILIAL II 10°</v>
      </c>
      <c r="H1020" t="str">
        <f>Vagas[[#This Row],[data]]&amp;Vagas[[#This Row],[profissional_id]]&amp;Vagas[[#This Row],[local_id]]</f>
        <v>44643608</v>
      </c>
    </row>
    <row r="1021" spans="1:8" x14ac:dyDescent="0.25">
      <c r="A1021" s="2">
        <v>44643</v>
      </c>
      <c r="B1021">
        <v>60</v>
      </c>
      <c r="C1021">
        <v>346</v>
      </c>
      <c r="D1021">
        <v>0</v>
      </c>
      <c r="E1021">
        <v>0</v>
      </c>
      <c r="F1021" s="1">
        <f t="shared" si="15"/>
        <v>0</v>
      </c>
      <c r="G1021" s="1" t="str">
        <f>_xlfn.XLOOKUP(C1021,'Ocupação DW'!$F:$F,'Ocupação DW'!$E:$E,"",0)</f>
        <v>SEG - MATRIZ</v>
      </c>
      <c r="H1021" t="str">
        <f>Vagas[[#This Row],[data]]&amp;Vagas[[#This Row],[profissional_id]]&amp;Vagas[[#This Row],[local_id]]</f>
        <v>4464360346</v>
      </c>
    </row>
    <row r="1022" spans="1:8" x14ac:dyDescent="0.25">
      <c r="A1022" s="2">
        <v>44643</v>
      </c>
      <c r="B1022">
        <v>66</v>
      </c>
      <c r="D1022">
        <v>49</v>
      </c>
      <c r="E1022">
        <v>0</v>
      </c>
      <c r="F1022" s="1">
        <f t="shared" si="15"/>
        <v>0</v>
      </c>
      <c r="G1022" s="1" t="str">
        <f>_xlfn.XLOOKUP(C1022,'Ocupação DW'!$F:$F,'Ocupação DW'!$E:$E,"",0)</f>
        <v/>
      </c>
      <c r="H1022" t="str">
        <f>Vagas[[#This Row],[data]]&amp;Vagas[[#This Row],[profissional_id]]&amp;Vagas[[#This Row],[local_id]]</f>
        <v>4464366</v>
      </c>
    </row>
    <row r="1023" spans="1:8" x14ac:dyDescent="0.25">
      <c r="A1023" s="2">
        <v>44643</v>
      </c>
      <c r="B1023">
        <v>66</v>
      </c>
      <c r="C1023">
        <v>345</v>
      </c>
      <c r="D1023">
        <v>77</v>
      </c>
      <c r="E1023">
        <v>0</v>
      </c>
      <c r="F1023" s="1">
        <f t="shared" si="15"/>
        <v>0</v>
      </c>
      <c r="G1023" s="1" t="str">
        <f>_xlfn.XLOOKUP(C1023,'Ocupação DW'!$F:$F,'Ocupação DW'!$E:$E,"",0)</f>
        <v>SEG - MATRIZ</v>
      </c>
      <c r="H1023" t="str">
        <f>Vagas[[#This Row],[data]]&amp;Vagas[[#This Row],[profissional_id]]&amp;Vagas[[#This Row],[local_id]]</f>
        <v>4464366345</v>
      </c>
    </row>
    <row r="1024" spans="1:8" x14ac:dyDescent="0.25">
      <c r="A1024" s="2">
        <v>44643</v>
      </c>
      <c r="B1024">
        <v>67</v>
      </c>
      <c r="C1024">
        <v>8</v>
      </c>
      <c r="D1024">
        <v>0</v>
      </c>
      <c r="E1024">
        <v>0</v>
      </c>
      <c r="F1024" s="1">
        <f t="shared" si="15"/>
        <v>0</v>
      </c>
      <c r="G1024" s="1" t="str">
        <f>_xlfn.XLOOKUP(C1024,'Ocupação DW'!$F:$F,'Ocupação DW'!$E:$E,"",0)</f>
        <v>SEG - FILIAL II 10°</v>
      </c>
      <c r="H1024" t="str">
        <f>Vagas[[#This Row],[data]]&amp;Vagas[[#This Row],[profissional_id]]&amp;Vagas[[#This Row],[local_id]]</f>
        <v>44643678</v>
      </c>
    </row>
    <row r="1025" spans="1:8" x14ac:dyDescent="0.25">
      <c r="A1025" s="2">
        <v>44643</v>
      </c>
      <c r="B1025">
        <v>69</v>
      </c>
      <c r="D1025">
        <v>0</v>
      </c>
      <c r="E1025">
        <v>0</v>
      </c>
      <c r="F1025" s="1">
        <f t="shared" si="15"/>
        <v>0</v>
      </c>
      <c r="G1025" s="1" t="str">
        <f>_xlfn.XLOOKUP(C1025,'Ocupação DW'!$F:$F,'Ocupação DW'!$E:$E,"",0)</f>
        <v/>
      </c>
      <c r="H1025" t="str">
        <f>Vagas[[#This Row],[data]]&amp;Vagas[[#This Row],[profissional_id]]&amp;Vagas[[#This Row],[local_id]]</f>
        <v>4464369</v>
      </c>
    </row>
    <row r="1026" spans="1:8" x14ac:dyDescent="0.25">
      <c r="A1026" s="2">
        <v>44643</v>
      </c>
      <c r="B1026">
        <v>70</v>
      </c>
      <c r="D1026">
        <v>19</v>
      </c>
      <c r="E1026">
        <v>0</v>
      </c>
      <c r="F1026" s="1">
        <f t="shared" ref="F1026:F1089" si="16">IF(AND(A1026=A1025,B1026=B1025,D1025&lt;&gt;0,D1026=0),D1025,0)</f>
        <v>0</v>
      </c>
      <c r="G1026" s="1" t="str">
        <f>_xlfn.XLOOKUP(C1026,'Ocupação DW'!$F:$F,'Ocupação DW'!$E:$E,"",0)</f>
        <v/>
      </c>
      <c r="H1026" t="str">
        <f>Vagas[[#This Row],[data]]&amp;Vagas[[#This Row],[profissional_id]]&amp;Vagas[[#This Row],[local_id]]</f>
        <v>4464370</v>
      </c>
    </row>
    <row r="1027" spans="1:8" x14ac:dyDescent="0.25">
      <c r="A1027" s="2">
        <v>44643</v>
      </c>
      <c r="B1027">
        <v>70</v>
      </c>
      <c r="C1027">
        <v>13</v>
      </c>
      <c r="D1027">
        <v>0</v>
      </c>
      <c r="E1027">
        <v>0</v>
      </c>
      <c r="F1027" s="1">
        <f t="shared" si="16"/>
        <v>19</v>
      </c>
      <c r="G1027" s="1" t="str">
        <f>_xlfn.XLOOKUP(C1027,'Ocupação DW'!$F:$F,'Ocupação DW'!$E:$E,"",0)</f>
        <v>SEG - FILIAL II 11°</v>
      </c>
      <c r="H1027" t="str">
        <f>Vagas[[#This Row],[data]]&amp;Vagas[[#This Row],[profissional_id]]&amp;Vagas[[#This Row],[local_id]]</f>
        <v>446437013</v>
      </c>
    </row>
    <row r="1028" spans="1:8" x14ac:dyDescent="0.25">
      <c r="A1028" s="2">
        <v>44643</v>
      </c>
      <c r="B1028">
        <v>73</v>
      </c>
      <c r="D1028">
        <v>33</v>
      </c>
      <c r="E1028">
        <v>0</v>
      </c>
      <c r="F1028" s="1">
        <f t="shared" si="16"/>
        <v>0</v>
      </c>
      <c r="G1028" s="1" t="str">
        <f>_xlfn.XLOOKUP(C1028,'Ocupação DW'!$F:$F,'Ocupação DW'!$E:$E,"",0)</f>
        <v/>
      </c>
      <c r="H1028" t="str">
        <f>Vagas[[#This Row],[data]]&amp;Vagas[[#This Row],[profissional_id]]&amp;Vagas[[#This Row],[local_id]]</f>
        <v>4464373</v>
      </c>
    </row>
    <row r="1029" spans="1:8" x14ac:dyDescent="0.25">
      <c r="A1029" s="2">
        <v>44643</v>
      </c>
      <c r="B1029">
        <v>73</v>
      </c>
      <c r="C1029">
        <v>5</v>
      </c>
      <c r="D1029">
        <v>0</v>
      </c>
      <c r="E1029">
        <v>0</v>
      </c>
      <c r="F1029" s="1">
        <f t="shared" si="16"/>
        <v>33</v>
      </c>
      <c r="G1029" s="1" t="str">
        <f>_xlfn.XLOOKUP(C1029,'Ocupação DW'!$F:$F,'Ocupação DW'!$E:$E,"",0)</f>
        <v>SEG - FILIAL II 10°</v>
      </c>
      <c r="H1029" t="str">
        <f>Vagas[[#This Row],[data]]&amp;Vagas[[#This Row],[profissional_id]]&amp;Vagas[[#This Row],[local_id]]</f>
        <v>44643735</v>
      </c>
    </row>
    <row r="1030" spans="1:8" x14ac:dyDescent="0.25">
      <c r="A1030" s="2">
        <v>44643</v>
      </c>
      <c r="B1030">
        <v>74</v>
      </c>
      <c r="C1030">
        <v>7</v>
      </c>
      <c r="D1030">
        <v>0</v>
      </c>
      <c r="E1030">
        <v>2</v>
      </c>
      <c r="F1030" s="1">
        <f t="shared" si="16"/>
        <v>0</v>
      </c>
      <c r="G1030" s="1" t="str">
        <f>_xlfn.XLOOKUP(C1030,'Ocupação DW'!$F:$F,'Ocupação DW'!$E:$E,"",0)</f>
        <v>SEG - FILIAL II 10°</v>
      </c>
      <c r="H1030" t="str">
        <f>Vagas[[#This Row],[data]]&amp;Vagas[[#This Row],[profissional_id]]&amp;Vagas[[#This Row],[local_id]]</f>
        <v>44643747</v>
      </c>
    </row>
    <row r="1031" spans="1:8" x14ac:dyDescent="0.25">
      <c r="A1031" s="2">
        <v>44643</v>
      </c>
      <c r="B1031">
        <v>80</v>
      </c>
      <c r="C1031">
        <v>348</v>
      </c>
      <c r="D1031">
        <v>0</v>
      </c>
      <c r="E1031">
        <v>0</v>
      </c>
      <c r="F1031" s="1">
        <f t="shared" si="16"/>
        <v>0</v>
      </c>
      <c r="G1031" s="1" t="str">
        <f>_xlfn.XLOOKUP(C1031,'Ocupação DW'!$F:$F,'Ocupação DW'!$E:$E,"",0)</f>
        <v>SEG - MATRIZ</v>
      </c>
      <c r="H1031" t="str">
        <f>Vagas[[#This Row],[data]]&amp;Vagas[[#This Row],[profissional_id]]&amp;Vagas[[#This Row],[local_id]]</f>
        <v>4464380348</v>
      </c>
    </row>
    <row r="1032" spans="1:8" x14ac:dyDescent="0.25">
      <c r="A1032" s="2">
        <v>44643</v>
      </c>
      <c r="B1032">
        <v>80</v>
      </c>
      <c r="C1032">
        <v>346</v>
      </c>
      <c r="D1032">
        <v>0</v>
      </c>
      <c r="E1032">
        <v>3</v>
      </c>
      <c r="F1032" s="1">
        <f t="shared" si="16"/>
        <v>0</v>
      </c>
      <c r="G1032" s="1" t="str">
        <f>_xlfn.XLOOKUP(C1032,'Ocupação DW'!$F:$F,'Ocupação DW'!$E:$E,"",0)</f>
        <v>SEG - MATRIZ</v>
      </c>
      <c r="H1032" t="str">
        <f>Vagas[[#This Row],[data]]&amp;Vagas[[#This Row],[profissional_id]]&amp;Vagas[[#This Row],[local_id]]</f>
        <v>4464380346</v>
      </c>
    </row>
    <row r="1033" spans="1:8" x14ac:dyDescent="0.25">
      <c r="A1033" s="2">
        <v>44643</v>
      </c>
      <c r="B1033">
        <v>81</v>
      </c>
      <c r="C1033">
        <v>41</v>
      </c>
      <c r="D1033">
        <v>0</v>
      </c>
      <c r="E1033">
        <v>0</v>
      </c>
      <c r="F1033" s="1">
        <f t="shared" si="16"/>
        <v>0</v>
      </c>
      <c r="G1033" s="1" t="str">
        <f>_xlfn.XLOOKUP(C1033,'Ocupação DW'!$F:$F,'Ocupação DW'!$E:$E,"",0)</f>
        <v>SEG - FILIAL I</v>
      </c>
      <c r="H1033" t="str">
        <f>Vagas[[#This Row],[data]]&amp;Vagas[[#This Row],[profissional_id]]&amp;Vagas[[#This Row],[local_id]]</f>
        <v>446438141</v>
      </c>
    </row>
    <row r="1034" spans="1:8" x14ac:dyDescent="0.25">
      <c r="A1034" s="2">
        <v>44643</v>
      </c>
      <c r="B1034">
        <v>86</v>
      </c>
      <c r="D1034">
        <v>13</v>
      </c>
      <c r="E1034">
        <v>0</v>
      </c>
      <c r="F1034" s="1">
        <f t="shared" si="16"/>
        <v>0</v>
      </c>
      <c r="G1034" s="1" t="str">
        <f>_xlfn.XLOOKUP(C1034,'Ocupação DW'!$F:$F,'Ocupação DW'!$E:$E,"",0)</f>
        <v/>
      </c>
      <c r="H1034" t="str">
        <f>Vagas[[#This Row],[data]]&amp;Vagas[[#This Row],[profissional_id]]&amp;Vagas[[#This Row],[local_id]]</f>
        <v>4464386</v>
      </c>
    </row>
    <row r="1035" spans="1:8" x14ac:dyDescent="0.25">
      <c r="A1035" s="2">
        <v>44643</v>
      </c>
      <c r="B1035">
        <v>86</v>
      </c>
      <c r="C1035">
        <v>66</v>
      </c>
      <c r="D1035">
        <v>0</v>
      </c>
      <c r="E1035">
        <v>0</v>
      </c>
      <c r="F1035" s="1">
        <f t="shared" si="16"/>
        <v>13</v>
      </c>
      <c r="G1035" s="1" t="str">
        <f>_xlfn.XLOOKUP(C1035,'Ocupação DW'!$F:$F,'Ocupação DW'!$E:$E,"",0)</f>
        <v>SEG - NILÓPOLIS</v>
      </c>
      <c r="H1035" t="str">
        <f>Vagas[[#This Row],[data]]&amp;Vagas[[#This Row],[profissional_id]]&amp;Vagas[[#This Row],[local_id]]</f>
        <v>446438666</v>
      </c>
    </row>
    <row r="1036" spans="1:8" x14ac:dyDescent="0.25">
      <c r="A1036" s="2">
        <v>44643</v>
      </c>
      <c r="B1036">
        <v>92</v>
      </c>
      <c r="C1036">
        <v>343</v>
      </c>
      <c r="D1036">
        <v>72</v>
      </c>
      <c r="E1036">
        <v>0</v>
      </c>
      <c r="F1036" s="1">
        <f t="shared" si="16"/>
        <v>0</v>
      </c>
      <c r="G1036" s="1" t="str">
        <f>_xlfn.XLOOKUP(C1036,'Ocupação DW'!$F:$F,'Ocupação DW'!$E:$E,"",0)</f>
        <v/>
      </c>
      <c r="H1036" t="str">
        <f>Vagas[[#This Row],[data]]&amp;Vagas[[#This Row],[profissional_id]]&amp;Vagas[[#This Row],[local_id]]</f>
        <v>4464392343</v>
      </c>
    </row>
    <row r="1037" spans="1:8" x14ac:dyDescent="0.25">
      <c r="A1037" s="2">
        <v>44643</v>
      </c>
      <c r="B1037">
        <v>92</v>
      </c>
      <c r="C1037">
        <v>340</v>
      </c>
      <c r="D1037">
        <v>72</v>
      </c>
      <c r="E1037">
        <v>0</v>
      </c>
      <c r="F1037" s="1">
        <f t="shared" si="16"/>
        <v>0</v>
      </c>
      <c r="G1037" s="1" t="str">
        <f>_xlfn.XLOOKUP(C1037,'Ocupação DW'!$F:$F,'Ocupação DW'!$E:$E,"",0)</f>
        <v>SEG - MATRIZ</v>
      </c>
      <c r="H1037" t="str">
        <f>Vagas[[#This Row],[data]]&amp;Vagas[[#This Row],[profissional_id]]&amp;Vagas[[#This Row],[local_id]]</f>
        <v>4464392340</v>
      </c>
    </row>
    <row r="1038" spans="1:8" x14ac:dyDescent="0.25">
      <c r="A1038" s="2">
        <v>44643</v>
      </c>
      <c r="B1038">
        <v>93</v>
      </c>
      <c r="C1038">
        <v>342</v>
      </c>
      <c r="D1038">
        <v>60</v>
      </c>
      <c r="E1038">
        <v>0</v>
      </c>
      <c r="F1038" s="1">
        <f t="shared" si="16"/>
        <v>0</v>
      </c>
      <c r="G1038" s="1" t="str">
        <f>_xlfn.XLOOKUP(C1038,'Ocupação DW'!$F:$F,'Ocupação DW'!$E:$E,"",0)</f>
        <v>SEG - MATRIZ</v>
      </c>
      <c r="H1038" t="str">
        <f>Vagas[[#This Row],[data]]&amp;Vagas[[#This Row],[profissional_id]]&amp;Vagas[[#This Row],[local_id]]</f>
        <v>4464393342</v>
      </c>
    </row>
    <row r="1039" spans="1:8" x14ac:dyDescent="0.25">
      <c r="A1039" s="2">
        <v>44643</v>
      </c>
      <c r="B1039">
        <v>100</v>
      </c>
      <c r="D1039">
        <v>0</v>
      </c>
      <c r="E1039">
        <v>0</v>
      </c>
      <c r="F1039" s="1">
        <f t="shared" si="16"/>
        <v>0</v>
      </c>
      <c r="G1039" s="1" t="str">
        <f>_xlfn.XLOOKUP(C1039,'Ocupação DW'!$F:$F,'Ocupação DW'!$E:$E,"",0)</f>
        <v/>
      </c>
      <c r="H1039" t="str">
        <f>Vagas[[#This Row],[data]]&amp;Vagas[[#This Row],[profissional_id]]&amp;Vagas[[#This Row],[local_id]]</f>
        <v>44643100</v>
      </c>
    </row>
    <row r="1040" spans="1:8" x14ac:dyDescent="0.25">
      <c r="A1040" s="2">
        <v>44643</v>
      </c>
      <c r="B1040">
        <v>110</v>
      </c>
      <c r="D1040">
        <v>43</v>
      </c>
      <c r="E1040">
        <v>0</v>
      </c>
      <c r="F1040" s="1">
        <f t="shared" si="16"/>
        <v>0</v>
      </c>
      <c r="G1040" s="1" t="str">
        <f>_xlfn.XLOOKUP(C1040,'Ocupação DW'!$F:$F,'Ocupação DW'!$E:$E,"",0)</f>
        <v/>
      </c>
      <c r="H1040" t="str">
        <f>Vagas[[#This Row],[data]]&amp;Vagas[[#This Row],[profissional_id]]&amp;Vagas[[#This Row],[local_id]]</f>
        <v>44643110</v>
      </c>
    </row>
    <row r="1041" spans="1:8" x14ac:dyDescent="0.25">
      <c r="A1041" s="2">
        <v>44643</v>
      </c>
      <c r="B1041">
        <v>110</v>
      </c>
      <c r="C1041">
        <v>334</v>
      </c>
      <c r="D1041">
        <v>0</v>
      </c>
      <c r="E1041">
        <v>0</v>
      </c>
      <c r="F1041" s="1">
        <f t="shared" si="16"/>
        <v>43</v>
      </c>
      <c r="G1041" s="1" t="str">
        <f>_xlfn.XLOOKUP(C1041,'Ocupação DW'!$F:$F,'Ocupação DW'!$E:$E,"",0)</f>
        <v>SEG - FILIAL I</v>
      </c>
      <c r="H1041" t="str">
        <f>Vagas[[#This Row],[data]]&amp;Vagas[[#This Row],[profissional_id]]&amp;Vagas[[#This Row],[local_id]]</f>
        <v>44643110334</v>
      </c>
    </row>
    <row r="1042" spans="1:8" x14ac:dyDescent="0.25">
      <c r="A1042" s="2">
        <v>44643</v>
      </c>
      <c r="B1042">
        <v>111</v>
      </c>
      <c r="C1042">
        <v>51</v>
      </c>
      <c r="D1042">
        <v>0</v>
      </c>
      <c r="E1042">
        <v>0</v>
      </c>
      <c r="F1042" s="1">
        <f t="shared" si="16"/>
        <v>0</v>
      </c>
      <c r="G1042" s="1" t="str">
        <f>_xlfn.XLOOKUP(C1042,'Ocupação DW'!$F:$F,'Ocupação DW'!$E:$E,"",0)</f>
        <v>SEG - FILIAL I</v>
      </c>
      <c r="H1042" t="str">
        <f>Vagas[[#This Row],[data]]&amp;Vagas[[#This Row],[profissional_id]]&amp;Vagas[[#This Row],[local_id]]</f>
        <v>4464311151</v>
      </c>
    </row>
    <row r="1043" spans="1:8" x14ac:dyDescent="0.25">
      <c r="A1043" s="2">
        <v>44643</v>
      </c>
      <c r="B1043">
        <v>123</v>
      </c>
      <c r="D1043">
        <v>11</v>
      </c>
      <c r="E1043">
        <v>0</v>
      </c>
      <c r="F1043" s="1">
        <f t="shared" si="16"/>
        <v>0</v>
      </c>
      <c r="G1043" s="1" t="str">
        <f>_xlfn.XLOOKUP(C1043,'Ocupação DW'!$F:$F,'Ocupação DW'!$E:$E,"",0)</f>
        <v/>
      </c>
      <c r="H1043" t="str">
        <f>Vagas[[#This Row],[data]]&amp;Vagas[[#This Row],[profissional_id]]&amp;Vagas[[#This Row],[local_id]]</f>
        <v>44643123</v>
      </c>
    </row>
    <row r="1044" spans="1:8" x14ac:dyDescent="0.25">
      <c r="A1044" s="2">
        <v>44643</v>
      </c>
      <c r="B1044">
        <v>123</v>
      </c>
      <c r="C1044">
        <v>351</v>
      </c>
      <c r="D1044">
        <v>11</v>
      </c>
      <c r="E1044">
        <v>0</v>
      </c>
      <c r="F1044" s="1">
        <f t="shared" si="16"/>
        <v>0</v>
      </c>
      <c r="G1044" s="1" t="str">
        <f>_xlfn.XLOOKUP(C1044,'Ocupação DW'!$F:$F,'Ocupação DW'!$E:$E,"",0)</f>
        <v>SEG - FILIAL I</v>
      </c>
      <c r="H1044" t="str">
        <f>Vagas[[#This Row],[data]]&amp;Vagas[[#This Row],[profissional_id]]&amp;Vagas[[#This Row],[local_id]]</f>
        <v>44643123351</v>
      </c>
    </row>
    <row r="1045" spans="1:8" x14ac:dyDescent="0.25">
      <c r="A1045" s="2">
        <v>44643</v>
      </c>
      <c r="B1045">
        <v>174</v>
      </c>
      <c r="C1045">
        <v>24</v>
      </c>
      <c r="D1045">
        <v>81</v>
      </c>
      <c r="E1045">
        <v>0</v>
      </c>
      <c r="F1045" s="1">
        <f t="shared" si="16"/>
        <v>0</v>
      </c>
      <c r="G1045" s="1" t="str">
        <f>_xlfn.XLOOKUP(C1045,'Ocupação DW'!$F:$F,'Ocupação DW'!$E:$E,"",0)</f>
        <v>SEG - MATRIZ</v>
      </c>
      <c r="H1045" t="str">
        <f>Vagas[[#This Row],[data]]&amp;Vagas[[#This Row],[profissional_id]]&amp;Vagas[[#This Row],[local_id]]</f>
        <v>4464317424</v>
      </c>
    </row>
    <row r="1046" spans="1:8" x14ac:dyDescent="0.25">
      <c r="A1046" s="2">
        <v>44643</v>
      </c>
      <c r="B1046">
        <v>282</v>
      </c>
      <c r="D1046">
        <v>134</v>
      </c>
      <c r="E1046">
        <v>0</v>
      </c>
      <c r="F1046" s="1">
        <f t="shared" si="16"/>
        <v>0</v>
      </c>
      <c r="G1046" s="1" t="str">
        <f>_xlfn.XLOOKUP(C1046,'Ocupação DW'!$F:$F,'Ocupação DW'!$E:$E,"",0)</f>
        <v/>
      </c>
      <c r="H1046" t="str">
        <f>Vagas[[#This Row],[data]]&amp;Vagas[[#This Row],[profissional_id]]&amp;Vagas[[#This Row],[local_id]]</f>
        <v>44643282</v>
      </c>
    </row>
    <row r="1047" spans="1:8" x14ac:dyDescent="0.25">
      <c r="A1047" s="2">
        <v>44643</v>
      </c>
      <c r="B1047">
        <v>282</v>
      </c>
      <c r="C1047">
        <v>46</v>
      </c>
      <c r="D1047">
        <v>0</v>
      </c>
      <c r="E1047">
        <v>0</v>
      </c>
      <c r="F1047" s="1">
        <f t="shared" si="16"/>
        <v>134</v>
      </c>
      <c r="G1047" s="1" t="str">
        <f>_xlfn.XLOOKUP(C1047,'Ocupação DW'!$F:$F,'Ocupação DW'!$E:$E,"",0)</f>
        <v>SEG - FILIAL I</v>
      </c>
      <c r="H1047" t="str">
        <f>Vagas[[#This Row],[data]]&amp;Vagas[[#This Row],[profissional_id]]&amp;Vagas[[#This Row],[local_id]]</f>
        <v>4464328246</v>
      </c>
    </row>
    <row r="1048" spans="1:8" x14ac:dyDescent="0.25">
      <c r="A1048" s="2">
        <v>44643</v>
      </c>
      <c r="B1048">
        <v>282</v>
      </c>
      <c r="C1048">
        <v>39</v>
      </c>
      <c r="D1048">
        <v>49</v>
      </c>
      <c r="E1048">
        <v>0</v>
      </c>
      <c r="F1048" s="1">
        <f t="shared" si="16"/>
        <v>0</v>
      </c>
      <c r="G1048" s="1" t="str">
        <f>_xlfn.XLOOKUP(C1048,'Ocupação DW'!$F:$F,'Ocupação DW'!$E:$E,"",0)</f>
        <v>SEG - FILIAL I</v>
      </c>
      <c r="H1048" t="str">
        <f>Vagas[[#This Row],[data]]&amp;Vagas[[#This Row],[profissional_id]]&amp;Vagas[[#This Row],[local_id]]</f>
        <v>4464328239</v>
      </c>
    </row>
    <row r="1049" spans="1:8" x14ac:dyDescent="0.25">
      <c r="A1049" s="2">
        <v>44643</v>
      </c>
      <c r="B1049">
        <v>531</v>
      </c>
      <c r="C1049">
        <v>12</v>
      </c>
      <c r="D1049">
        <v>0</v>
      </c>
      <c r="E1049">
        <v>0</v>
      </c>
      <c r="F1049" s="1">
        <f t="shared" si="16"/>
        <v>0</v>
      </c>
      <c r="G1049" s="1" t="str">
        <f>_xlfn.XLOOKUP(C1049,'Ocupação DW'!$F:$F,'Ocupação DW'!$E:$E,"",0)</f>
        <v>SEG - FILIAL II 11°</v>
      </c>
      <c r="H1049" t="str">
        <f>Vagas[[#This Row],[data]]&amp;Vagas[[#This Row],[profissional_id]]&amp;Vagas[[#This Row],[local_id]]</f>
        <v>4464353112</v>
      </c>
    </row>
    <row r="1050" spans="1:8" x14ac:dyDescent="0.25">
      <c r="A1050" s="2">
        <v>44643</v>
      </c>
      <c r="B1050">
        <v>747</v>
      </c>
      <c r="C1050">
        <v>6</v>
      </c>
      <c r="D1050">
        <v>16</v>
      </c>
      <c r="E1050">
        <v>0</v>
      </c>
      <c r="F1050" s="1">
        <f t="shared" si="16"/>
        <v>0</v>
      </c>
      <c r="G1050" s="1" t="str">
        <f>_xlfn.XLOOKUP(C1050,'Ocupação DW'!$F:$F,'Ocupação DW'!$E:$E,"",0)</f>
        <v>SEG - FILIAL II 10°</v>
      </c>
      <c r="H1050" t="str">
        <f>Vagas[[#This Row],[data]]&amp;Vagas[[#This Row],[profissional_id]]&amp;Vagas[[#This Row],[local_id]]</f>
        <v>446437476</v>
      </c>
    </row>
    <row r="1051" spans="1:8" x14ac:dyDescent="0.25">
      <c r="A1051" s="2">
        <v>44643</v>
      </c>
      <c r="B1051">
        <v>1343</v>
      </c>
      <c r="D1051">
        <v>26</v>
      </c>
      <c r="E1051">
        <v>0</v>
      </c>
      <c r="F1051" s="1">
        <f t="shared" si="16"/>
        <v>0</v>
      </c>
      <c r="G1051" s="1" t="str">
        <f>_xlfn.XLOOKUP(C1051,'Ocupação DW'!$F:$F,'Ocupação DW'!$E:$E,"",0)</f>
        <v/>
      </c>
      <c r="H1051" t="str">
        <f>Vagas[[#This Row],[data]]&amp;Vagas[[#This Row],[profissional_id]]&amp;Vagas[[#This Row],[local_id]]</f>
        <v>446431343</v>
      </c>
    </row>
    <row r="1052" spans="1:8" x14ac:dyDescent="0.25">
      <c r="A1052" s="2">
        <v>44643</v>
      </c>
      <c r="B1052">
        <v>1343</v>
      </c>
      <c r="C1052">
        <v>342</v>
      </c>
      <c r="D1052">
        <v>0</v>
      </c>
      <c r="E1052">
        <v>0</v>
      </c>
      <c r="F1052" s="1">
        <f t="shared" si="16"/>
        <v>26</v>
      </c>
      <c r="G1052" s="1" t="str">
        <f>_xlfn.XLOOKUP(C1052,'Ocupação DW'!$F:$F,'Ocupação DW'!$E:$E,"",0)</f>
        <v>SEG - MATRIZ</v>
      </c>
      <c r="H1052" t="str">
        <f>Vagas[[#This Row],[data]]&amp;Vagas[[#This Row],[profissional_id]]&amp;Vagas[[#This Row],[local_id]]</f>
        <v>446431343342</v>
      </c>
    </row>
    <row r="1053" spans="1:8" x14ac:dyDescent="0.25">
      <c r="A1053" s="2">
        <v>44643</v>
      </c>
      <c r="B1053">
        <v>1343</v>
      </c>
      <c r="C1053">
        <v>64</v>
      </c>
      <c r="D1053">
        <v>0</v>
      </c>
      <c r="E1053">
        <v>0</v>
      </c>
      <c r="F1053" s="1">
        <f t="shared" si="16"/>
        <v>0</v>
      </c>
      <c r="G1053" s="1" t="str">
        <f>_xlfn.XLOOKUP(C1053,'Ocupação DW'!$F:$F,'Ocupação DW'!$E:$E,"",0)</f>
        <v>SEG - NILÓPOLIS</v>
      </c>
      <c r="H1053" t="str">
        <f>Vagas[[#This Row],[data]]&amp;Vagas[[#This Row],[profissional_id]]&amp;Vagas[[#This Row],[local_id]]</f>
        <v>44643134364</v>
      </c>
    </row>
    <row r="1054" spans="1:8" x14ac:dyDescent="0.25">
      <c r="A1054" s="2">
        <v>44643</v>
      </c>
      <c r="B1054">
        <v>1490</v>
      </c>
      <c r="D1054">
        <v>13</v>
      </c>
      <c r="E1054">
        <v>0</v>
      </c>
      <c r="F1054" s="1">
        <f t="shared" si="16"/>
        <v>0</v>
      </c>
      <c r="G1054" s="1" t="str">
        <f>_xlfn.XLOOKUP(C1054,'Ocupação DW'!$F:$F,'Ocupação DW'!$E:$E,"",0)</f>
        <v/>
      </c>
      <c r="H1054" t="str">
        <f>Vagas[[#This Row],[data]]&amp;Vagas[[#This Row],[profissional_id]]&amp;Vagas[[#This Row],[local_id]]</f>
        <v>446431490</v>
      </c>
    </row>
    <row r="1055" spans="1:8" x14ac:dyDescent="0.25">
      <c r="A1055" s="2">
        <v>44643</v>
      </c>
      <c r="B1055">
        <v>1490</v>
      </c>
      <c r="C1055">
        <v>13</v>
      </c>
      <c r="D1055">
        <v>0</v>
      </c>
      <c r="E1055">
        <v>0</v>
      </c>
      <c r="F1055" s="1">
        <f t="shared" si="16"/>
        <v>13</v>
      </c>
      <c r="G1055" s="1" t="str">
        <f>_xlfn.XLOOKUP(C1055,'Ocupação DW'!$F:$F,'Ocupação DW'!$E:$E,"",0)</f>
        <v>SEG - FILIAL II 11°</v>
      </c>
      <c r="H1055" t="str">
        <f>Vagas[[#This Row],[data]]&amp;Vagas[[#This Row],[profissional_id]]&amp;Vagas[[#This Row],[local_id]]</f>
        <v>44643149013</v>
      </c>
    </row>
    <row r="1056" spans="1:8" x14ac:dyDescent="0.25">
      <c r="A1056" s="2">
        <v>44643</v>
      </c>
      <c r="B1056">
        <v>1794</v>
      </c>
      <c r="C1056">
        <v>49</v>
      </c>
      <c r="D1056">
        <v>0</v>
      </c>
      <c r="E1056">
        <v>0</v>
      </c>
      <c r="F1056" s="1">
        <f t="shared" si="16"/>
        <v>0</v>
      </c>
      <c r="G1056" s="1" t="str">
        <f>_xlfn.XLOOKUP(C1056,'Ocupação DW'!$F:$F,'Ocupação DW'!$E:$E,"",0)</f>
        <v>SEG - FILIAL I</v>
      </c>
      <c r="H1056" t="str">
        <f>Vagas[[#This Row],[data]]&amp;Vagas[[#This Row],[profissional_id]]&amp;Vagas[[#This Row],[local_id]]</f>
        <v>44643179449</v>
      </c>
    </row>
    <row r="1057" spans="1:8" x14ac:dyDescent="0.25">
      <c r="A1057" s="2">
        <v>44643</v>
      </c>
      <c r="B1057">
        <v>2036</v>
      </c>
      <c r="C1057">
        <v>7</v>
      </c>
      <c r="D1057">
        <v>12</v>
      </c>
      <c r="E1057">
        <v>0</v>
      </c>
      <c r="F1057" s="1">
        <f t="shared" si="16"/>
        <v>0</v>
      </c>
      <c r="G1057" s="1" t="str">
        <f>_xlfn.XLOOKUP(C1057,'Ocupação DW'!$F:$F,'Ocupação DW'!$E:$E,"",0)</f>
        <v>SEG - FILIAL II 10°</v>
      </c>
      <c r="H1057" t="str">
        <f>Vagas[[#This Row],[data]]&amp;Vagas[[#This Row],[profissional_id]]&amp;Vagas[[#This Row],[local_id]]</f>
        <v>4464320367</v>
      </c>
    </row>
    <row r="1058" spans="1:8" x14ac:dyDescent="0.25">
      <c r="A1058" s="2">
        <v>44643</v>
      </c>
      <c r="B1058">
        <v>2334</v>
      </c>
      <c r="D1058">
        <v>0</v>
      </c>
      <c r="E1058">
        <v>0</v>
      </c>
      <c r="F1058" s="1">
        <f t="shared" si="16"/>
        <v>0</v>
      </c>
      <c r="G1058" s="1" t="str">
        <f>_xlfn.XLOOKUP(C1058,'Ocupação DW'!$F:$F,'Ocupação DW'!$E:$E,"",0)</f>
        <v/>
      </c>
      <c r="H1058" t="str">
        <f>Vagas[[#This Row],[data]]&amp;Vagas[[#This Row],[profissional_id]]&amp;Vagas[[#This Row],[local_id]]</f>
        <v>446432334</v>
      </c>
    </row>
    <row r="1059" spans="1:8" x14ac:dyDescent="0.25">
      <c r="A1059" s="2">
        <v>44643</v>
      </c>
      <c r="B1059">
        <v>2396</v>
      </c>
      <c r="C1059">
        <v>2</v>
      </c>
      <c r="D1059">
        <v>0</v>
      </c>
      <c r="E1059">
        <v>0</v>
      </c>
      <c r="F1059" s="1">
        <f t="shared" si="16"/>
        <v>0</v>
      </c>
      <c r="G1059" s="1" t="str">
        <f>_xlfn.XLOOKUP(C1059,'Ocupação DW'!$F:$F,'Ocupação DW'!$E:$E,"",0)</f>
        <v>SEG - FILIAL II 10°</v>
      </c>
      <c r="H1059" t="str">
        <f>Vagas[[#This Row],[data]]&amp;Vagas[[#This Row],[profissional_id]]&amp;Vagas[[#This Row],[local_id]]</f>
        <v>4464323962</v>
      </c>
    </row>
    <row r="1060" spans="1:8" x14ac:dyDescent="0.25">
      <c r="A1060" s="2">
        <v>44643</v>
      </c>
      <c r="B1060">
        <v>2397</v>
      </c>
      <c r="C1060">
        <v>341</v>
      </c>
      <c r="D1060">
        <v>72</v>
      </c>
      <c r="E1060">
        <v>0</v>
      </c>
      <c r="F1060" s="1">
        <f t="shared" si="16"/>
        <v>0</v>
      </c>
      <c r="G1060" s="1" t="str">
        <f>_xlfn.XLOOKUP(C1060,'Ocupação DW'!$F:$F,'Ocupação DW'!$E:$E,"",0)</f>
        <v/>
      </c>
      <c r="H1060" t="str">
        <f>Vagas[[#This Row],[data]]&amp;Vagas[[#This Row],[profissional_id]]&amp;Vagas[[#This Row],[local_id]]</f>
        <v>446432397341</v>
      </c>
    </row>
    <row r="1061" spans="1:8" x14ac:dyDescent="0.25">
      <c r="A1061" s="2">
        <v>44643</v>
      </c>
      <c r="B1061">
        <v>2567</v>
      </c>
      <c r="C1061">
        <v>18</v>
      </c>
      <c r="D1061">
        <v>32</v>
      </c>
      <c r="E1061">
        <v>0</v>
      </c>
      <c r="F1061" s="1">
        <f t="shared" si="16"/>
        <v>0</v>
      </c>
      <c r="G1061" s="1" t="str">
        <f>_xlfn.XLOOKUP(C1061,'Ocupação DW'!$F:$F,'Ocupação DW'!$E:$E,"",0)</f>
        <v>SEG - FILIAL II 11°</v>
      </c>
      <c r="H1061" t="str">
        <f>Vagas[[#This Row],[data]]&amp;Vagas[[#This Row],[profissional_id]]&amp;Vagas[[#This Row],[local_id]]</f>
        <v>44643256718</v>
      </c>
    </row>
    <row r="1062" spans="1:8" x14ac:dyDescent="0.25">
      <c r="A1062" s="2">
        <v>44643</v>
      </c>
      <c r="B1062">
        <v>2567</v>
      </c>
      <c r="C1062">
        <v>349</v>
      </c>
      <c r="D1062">
        <v>0</v>
      </c>
      <c r="E1062">
        <v>0</v>
      </c>
      <c r="F1062" s="1">
        <f t="shared" si="16"/>
        <v>32</v>
      </c>
      <c r="G1062" s="1" t="str">
        <f>_xlfn.XLOOKUP(C1062,'Ocupação DW'!$F:$F,'Ocupação DW'!$E:$E,"",0)</f>
        <v>SEG - FILIAL II 11°</v>
      </c>
      <c r="H1062" t="str">
        <f>Vagas[[#This Row],[data]]&amp;Vagas[[#This Row],[profissional_id]]&amp;Vagas[[#This Row],[local_id]]</f>
        <v>446432567349</v>
      </c>
    </row>
    <row r="1063" spans="1:8" x14ac:dyDescent="0.25">
      <c r="A1063" s="2">
        <v>44643</v>
      </c>
      <c r="B1063">
        <v>3092</v>
      </c>
      <c r="D1063">
        <v>0</v>
      </c>
      <c r="E1063">
        <v>0</v>
      </c>
      <c r="F1063" s="1">
        <f t="shared" si="16"/>
        <v>0</v>
      </c>
      <c r="G1063" s="1" t="str">
        <f>_xlfn.XLOOKUP(C1063,'Ocupação DW'!$F:$F,'Ocupação DW'!$E:$E,"",0)</f>
        <v/>
      </c>
      <c r="H1063" t="str">
        <f>Vagas[[#This Row],[data]]&amp;Vagas[[#This Row],[profissional_id]]&amp;Vagas[[#This Row],[local_id]]</f>
        <v>446433092</v>
      </c>
    </row>
    <row r="1064" spans="1:8" x14ac:dyDescent="0.25">
      <c r="A1064" s="2">
        <v>44643</v>
      </c>
      <c r="B1064">
        <v>3502</v>
      </c>
      <c r="D1064">
        <v>0</v>
      </c>
      <c r="E1064">
        <v>0</v>
      </c>
      <c r="F1064" s="1">
        <f t="shared" si="16"/>
        <v>0</v>
      </c>
      <c r="G1064" s="1" t="str">
        <f>_xlfn.XLOOKUP(C1064,'Ocupação DW'!$F:$F,'Ocupação DW'!$E:$E,"",0)</f>
        <v/>
      </c>
      <c r="H1064" t="str">
        <f>Vagas[[#This Row],[data]]&amp;Vagas[[#This Row],[profissional_id]]&amp;Vagas[[#This Row],[local_id]]</f>
        <v>446433502</v>
      </c>
    </row>
    <row r="1065" spans="1:8" x14ac:dyDescent="0.25">
      <c r="A1065" s="2">
        <v>44643</v>
      </c>
      <c r="B1065">
        <v>5767</v>
      </c>
      <c r="C1065">
        <v>43</v>
      </c>
      <c r="D1065">
        <v>11</v>
      </c>
      <c r="E1065">
        <v>0</v>
      </c>
      <c r="F1065" s="1">
        <f t="shared" si="16"/>
        <v>0</v>
      </c>
      <c r="G1065" s="1" t="str">
        <f>_xlfn.XLOOKUP(C1065,'Ocupação DW'!$F:$F,'Ocupação DW'!$E:$E,"",0)</f>
        <v>SEG - FILIAL I</v>
      </c>
      <c r="H1065" t="str">
        <f>Vagas[[#This Row],[data]]&amp;Vagas[[#This Row],[profissional_id]]&amp;Vagas[[#This Row],[local_id]]</f>
        <v>44643576743</v>
      </c>
    </row>
    <row r="1066" spans="1:8" x14ac:dyDescent="0.25">
      <c r="A1066" s="2">
        <v>44643</v>
      </c>
      <c r="B1066">
        <v>5767</v>
      </c>
      <c r="C1066">
        <v>44</v>
      </c>
      <c r="D1066">
        <v>0</v>
      </c>
      <c r="E1066">
        <v>0</v>
      </c>
      <c r="F1066" s="1">
        <f t="shared" si="16"/>
        <v>11</v>
      </c>
      <c r="G1066" s="1" t="str">
        <f>_xlfn.XLOOKUP(C1066,'Ocupação DW'!$F:$F,'Ocupação DW'!$E:$E,"",0)</f>
        <v>SEG - FILIAL I</v>
      </c>
      <c r="H1066" t="str">
        <f>Vagas[[#This Row],[data]]&amp;Vagas[[#This Row],[profissional_id]]&amp;Vagas[[#This Row],[local_id]]</f>
        <v>44643576744</v>
      </c>
    </row>
    <row r="1067" spans="1:8" x14ac:dyDescent="0.25">
      <c r="A1067" s="2">
        <v>44643</v>
      </c>
      <c r="B1067">
        <v>5927</v>
      </c>
      <c r="C1067">
        <v>17</v>
      </c>
      <c r="D1067">
        <v>0</v>
      </c>
      <c r="E1067">
        <v>0</v>
      </c>
      <c r="F1067" s="1">
        <f t="shared" si="16"/>
        <v>0</v>
      </c>
      <c r="G1067" s="1" t="str">
        <f>_xlfn.XLOOKUP(C1067,'Ocupação DW'!$F:$F,'Ocupação DW'!$E:$E,"",0)</f>
        <v>SEG - FILIAL II 11°</v>
      </c>
      <c r="H1067" t="str">
        <f>Vagas[[#This Row],[data]]&amp;Vagas[[#This Row],[profissional_id]]&amp;Vagas[[#This Row],[local_id]]</f>
        <v>44643592717</v>
      </c>
    </row>
    <row r="1068" spans="1:8" x14ac:dyDescent="0.25">
      <c r="A1068" s="2">
        <v>44643</v>
      </c>
      <c r="B1068">
        <v>5927</v>
      </c>
      <c r="C1068">
        <v>14</v>
      </c>
      <c r="D1068">
        <v>0</v>
      </c>
      <c r="E1068">
        <v>0</v>
      </c>
      <c r="F1068" s="1">
        <f t="shared" si="16"/>
        <v>0</v>
      </c>
      <c r="G1068" s="1" t="str">
        <f>_xlfn.XLOOKUP(C1068,'Ocupação DW'!$F:$F,'Ocupação DW'!$E:$E,"",0)</f>
        <v>SEG - FILIAL II 11°</v>
      </c>
      <c r="H1068" t="str">
        <f>Vagas[[#This Row],[data]]&amp;Vagas[[#This Row],[profissional_id]]&amp;Vagas[[#This Row],[local_id]]</f>
        <v>44643592714</v>
      </c>
    </row>
    <row r="1069" spans="1:8" x14ac:dyDescent="0.25">
      <c r="A1069" s="2">
        <v>44643</v>
      </c>
      <c r="B1069">
        <v>6046</v>
      </c>
      <c r="D1069">
        <v>5</v>
      </c>
      <c r="E1069">
        <v>5</v>
      </c>
      <c r="F1069" s="1">
        <f t="shared" si="16"/>
        <v>0</v>
      </c>
      <c r="G1069" s="1" t="str">
        <f>_xlfn.XLOOKUP(C1069,'Ocupação DW'!$F:$F,'Ocupação DW'!$E:$E,"",0)</f>
        <v/>
      </c>
      <c r="H1069" t="str">
        <f>Vagas[[#This Row],[data]]&amp;Vagas[[#This Row],[profissional_id]]&amp;Vagas[[#This Row],[local_id]]</f>
        <v>446436046</v>
      </c>
    </row>
    <row r="1070" spans="1:8" x14ac:dyDescent="0.25">
      <c r="A1070" s="2">
        <v>44643</v>
      </c>
      <c r="B1070">
        <v>6046</v>
      </c>
      <c r="C1070">
        <v>344</v>
      </c>
      <c r="D1070">
        <v>0</v>
      </c>
      <c r="E1070">
        <v>19</v>
      </c>
      <c r="F1070" s="1">
        <f t="shared" si="16"/>
        <v>5</v>
      </c>
      <c r="G1070" s="1" t="str">
        <f>_xlfn.XLOOKUP(C1070,'Ocupação DW'!$F:$F,'Ocupação DW'!$E:$E,"",0)</f>
        <v>SEG - MATRIZ</v>
      </c>
      <c r="H1070" t="str">
        <f>Vagas[[#This Row],[data]]&amp;Vagas[[#This Row],[profissional_id]]&amp;Vagas[[#This Row],[local_id]]</f>
        <v>446436046344</v>
      </c>
    </row>
    <row r="1071" spans="1:8" x14ac:dyDescent="0.25">
      <c r="A1071" s="2">
        <v>44643</v>
      </c>
      <c r="B1071">
        <v>6430</v>
      </c>
      <c r="D1071">
        <v>49</v>
      </c>
      <c r="E1071">
        <v>0</v>
      </c>
      <c r="F1071" s="1">
        <f t="shared" si="16"/>
        <v>0</v>
      </c>
      <c r="G1071" s="1" t="str">
        <f>_xlfn.XLOOKUP(C1071,'Ocupação DW'!$F:$F,'Ocupação DW'!$E:$E,"",0)</f>
        <v/>
      </c>
      <c r="H1071" t="str">
        <f>Vagas[[#This Row],[data]]&amp;Vagas[[#This Row],[profissional_id]]&amp;Vagas[[#This Row],[local_id]]</f>
        <v>446436430</v>
      </c>
    </row>
    <row r="1072" spans="1:8" x14ac:dyDescent="0.25">
      <c r="A1072" s="2">
        <v>44643</v>
      </c>
      <c r="B1072">
        <v>6430</v>
      </c>
      <c r="C1072">
        <v>42</v>
      </c>
      <c r="D1072">
        <v>0</v>
      </c>
      <c r="E1072">
        <v>0</v>
      </c>
      <c r="F1072" s="1">
        <f t="shared" si="16"/>
        <v>49</v>
      </c>
      <c r="G1072" s="1" t="str">
        <f>_xlfn.XLOOKUP(C1072,'Ocupação DW'!$F:$F,'Ocupação DW'!$E:$E,"",0)</f>
        <v>SEG - FILIAL I</v>
      </c>
      <c r="H1072" t="str">
        <f>Vagas[[#This Row],[data]]&amp;Vagas[[#This Row],[profissional_id]]&amp;Vagas[[#This Row],[local_id]]</f>
        <v>44643643042</v>
      </c>
    </row>
    <row r="1073" spans="1:8" x14ac:dyDescent="0.25">
      <c r="A1073" s="2">
        <v>44643</v>
      </c>
      <c r="B1073">
        <v>6839</v>
      </c>
      <c r="C1073">
        <v>81</v>
      </c>
      <c r="D1073">
        <v>48</v>
      </c>
      <c r="E1073">
        <v>0</v>
      </c>
      <c r="F1073" s="1">
        <f t="shared" si="16"/>
        <v>0</v>
      </c>
      <c r="G1073" s="1" t="str">
        <f>_xlfn.XLOOKUP(C1073,'Ocupação DW'!$F:$F,'Ocupação DW'!$E:$E,"",0)</f>
        <v>SEG - MIGUEL COUTO</v>
      </c>
      <c r="H1073" t="str">
        <f>Vagas[[#This Row],[data]]&amp;Vagas[[#This Row],[profissional_id]]&amp;Vagas[[#This Row],[local_id]]</f>
        <v>44643683981</v>
      </c>
    </row>
    <row r="1074" spans="1:8" x14ac:dyDescent="0.25">
      <c r="A1074" s="2">
        <v>44643</v>
      </c>
      <c r="B1074">
        <v>7005</v>
      </c>
      <c r="C1074">
        <v>43</v>
      </c>
      <c r="D1074">
        <v>19</v>
      </c>
      <c r="E1074">
        <v>0</v>
      </c>
      <c r="F1074" s="1">
        <f t="shared" si="16"/>
        <v>0</v>
      </c>
      <c r="G1074" s="1" t="str">
        <f>_xlfn.XLOOKUP(C1074,'Ocupação DW'!$F:$F,'Ocupação DW'!$E:$E,"",0)</f>
        <v>SEG - FILIAL I</v>
      </c>
      <c r="H1074" t="str">
        <f>Vagas[[#This Row],[data]]&amp;Vagas[[#This Row],[profissional_id]]&amp;Vagas[[#This Row],[local_id]]</f>
        <v>44643700543</v>
      </c>
    </row>
    <row r="1075" spans="1:8" x14ac:dyDescent="0.25">
      <c r="A1075" s="2">
        <v>44643</v>
      </c>
      <c r="B1075">
        <v>7551</v>
      </c>
      <c r="C1075">
        <v>15</v>
      </c>
      <c r="D1075">
        <v>0</v>
      </c>
      <c r="E1075">
        <v>0</v>
      </c>
      <c r="F1075" s="1">
        <f t="shared" si="16"/>
        <v>0</v>
      </c>
      <c r="G1075" s="1" t="str">
        <f>_xlfn.XLOOKUP(C1075,'Ocupação DW'!$F:$F,'Ocupação DW'!$E:$E,"",0)</f>
        <v>SEG - FILIAL II 11°</v>
      </c>
      <c r="H1075" t="str">
        <f>Vagas[[#This Row],[data]]&amp;Vagas[[#This Row],[profissional_id]]&amp;Vagas[[#This Row],[local_id]]</f>
        <v>44643755115</v>
      </c>
    </row>
    <row r="1076" spans="1:8" x14ac:dyDescent="0.25">
      <c r="A1076" s="2">
        <v>44643</v>
      </c>
      <c r="B1076">
        <v>8598</v>
      </c>
      <c r="D1076">
        <v>25</v>
      </c>
      <c r="E1076">
        <v>0</v>
      </c>
      <c r="F1076" s="1">
        <f t="shared" si="16"/>
        <v>0</v>
      </c>
      <c r="G1076" s="1" t="str">
        <f>_xlfn.XLOOKUP(C1076,'Ocupação DW'!$F:$F,'Ocupação DW'!$E:$E,"",0)</f>
        <v/>
      </c>
      <c r="H1076" t="str">
        <f>Vagas[[#This Row],[data]]&amp;Vagas[[#This Row],[profissional_id]]&amp;Vagas[[#This Row],[local_id]]</f>
        <v>446438598</v>
      </c>
    </row>
    <row r="1077" spans="1:8" x14ac:dyDescent="0.25">
      <c r="A1077" s="2">
        <v>44643</v>
      </c>
      <c r="B1077">
        <v>8598</v>
      </c>
      <c r="C1077">
        <v>25</v>
      </c>
      <c r="D1077">
        <v>30</v>
      </c>
      <c r="E1077">
        <v>0</v>
      </c>
      <c r="F1077" s="1">
        <f t="shared" si="16"/>
        <v>0</v>
      </c>
      <c r="G1077" s="1" t="str">
        <f>_xlfn.XLOOKUP(C1077,'Ocupação DW'!$F:$F,'Ocupação DW'!$E:$E,"",0)</f>
        <v>SEG - MATRIZ</v>
      </c>
      <c r="H1077" t="str">
        <f>Vagas[[#This Row],[data]]&amp;Vagas[[#This Row],[profissional_id]]&amp;Vagas[[#This Row],[local_id]]</f>
        <v>44643859825</v>
      </c>
    </row>
    <row r="1078" spans="1:8" x14ac:dyDescent="0.25">
      <c r="A1078" s="2">
        <v>44643</v>
      </c>
      <c r="B1078">
        <v>9111</v>
      </c>
      <c r="D1078">
        <v>0</v>
      </c>
      <c r="E1078">
        <v>0</v>
      </c>
      <c r="F1078" s="1">
        <f t="shared" si="16"/>
        <v>0</v>
      </c>
      <c r="G1078" s="1" t="str">
        <f>_xlfn.XLOOKUP(C1078,'Ocupação DW'!$F:$F,'Ocupação DW'!$E:$E,"",0)</f>
        <v/>
      </c>
      <c r="H1078" t="str">
        <f>Vagas[[#This Row],[data]]&amp;Vagas[[#This Row],[profissional_id]]&amp;Vagas[[#This Row],[local_id]]</f>
        <v>446439111</v>
      </c>
    </row>
    <row r="1079" spans="1:8" x14ac:dyDescent="0.25">
      <c r="A1079" s="2">
        <v>44643</v>
      </c>
      <c r="B1079">
        <v>9207</v>
      </c>
      <c r="C1079">
        <v>79</v>
      </c>
      <c r="D1079">
        <v>108</v>
      </c>
      <c r="E1079">
        <v>12</v>
      </c>
      <c r="F1079" s="1">
        <f t="shared" si="16"/>
        <v>0</v>
      </c>
      <c r="G1079" s="1" t="str">
        <f>_xlfn.XLOOKUP(C1079,'Ocupação DW'!$F:$F,'Ocupação DW'!$E:$E,"",0)</f>
        <v/>
      </c>
      <c r="H1079" t="str">
        <f>Vagas[[#This Row],[data]]&amp;Vagas[[#This Row],[profissional_id]]&amp;Vagas[[#This Row],[local_id]]</f>
        <v>44643920779</v>
      </c>
    </row>
    <row r="1080" spans="1:8" x14ac:dyDescent="0.25">
      <c r="A1080" s="2">
        <v>44643</v>
      </c>
      <c r="B1080">
        <v>9237</v>
      </c>
      <c r="C1080">
        <v>341</v>
      </c>
      <c r="D1080">
        <v>72</v>
      </c>
      <c r="E1080">
        <v>0</v>
      </c>
      <c r="F1080" s="1">
        <f t="shared" si="16"/>
        <v>0</v>
      </c>
      <c r="G1080" s="1" t="str">
        <f>_xlfn.XLOOKUP(C1080,'Ocupação DW'!$F:$F,'Ocupação DW'!$E:$E,"",0)</f>
        <v/>
      </c>
      <c r="H1080" t="str">
        <f>Vagas[[#This Row],[data]]&amp;Vagas[[#This Row],[profissional_id]]&amp;Vagas[[#This Row],[local_id]]</f>
        <v>446439237341</v>
      </c>
    </row>
    <row r="1081" spans="1:8" x14ac:dyDescent="0.25">
      <c r="A1081" s="2">
        <v>44643</v>
      </c>
      <c r="B1081">
        <v>9237</v>
      </c>
      <c r="C1081">
        <v>343</v>
      </c>
      <c r="D1081">
        <v>60</v>
      </c>
      <c r="E1081">
        <v>0</v>
      </c>
      <c r="F1081" s="1">
        <f t="shared" si="16"/>
        <v>0</v>
      </c>
      <c r="G1081" s="1" t="str">
        <f>_xlfn.XLOOKUP(C1081,'Ocupação DW'!$F:$F,'Ocupação DW'!$E:$E,"",0)</f>
        <v/>
      </c>
      <c r="H1081" t="str">
        <f>Vagas[[#This Row],[data]]&amp;Vagas[[#This Row],[profissional_id]]&amp;Vagas[[#This Row],[local_id]]</f>
        <v>446439237343</v>
      </c>
    </row>
    <row r="1082" spans="1:8" x14ac:dyDescent="0.25">
      <c r="A1082" s="2">
        <v>44643</v>
      </c>
      <c r="B1082">
        <v>9717</v>
      </c>
      <c r="D1082">
        <v>109</v>
      </c>
      <c r="E1082">
        <v>1</v>
      </c>
      <c r="F1082" s="1">
        <f t="shared" si="16"/>
        <v>0</v>
      </c>
      <c r="G1082" s="1" t="str">
        <f>_xlfn.XLOOKUP(C1082,'Ocupação DW'!$F:$F,'Ocupação DW'!$E:$E,"",0)</f>
        <v/>
      </c>
      <c r="H1082" t="str">
        <f>Vagas[[#This Row],[data]]&amp;Vagas[[#This Row],[profissional_id]]&amp;Vagas[[#This Row],[local_id]]</f>
        <v>446439717</v>
      </c>
    </row>
    <row r="1083" spans="1:8" x14ac:dyDescent="0.25">
      <c r="A1083" s="2">
        <v>44643</v>
      </c>
      <c r="B1083">
        <v>9717</v>
      </c>
      <c r="C1083">
        <v>61</v>
      </c>
      <c r="D1083">
        <v>108</v>
      </c>
      <c r="E1083">
        <v>12</v>
      </c>
      <c r="F1083" s="1">
        <f t="shared" si="16"/>
        <v>0</v>
      </c>
      <c r="G1083" s="1" t="str">
        <f>_xlfn.XLOOKUP(C1083,'Ocupação DW'!$F:$F,'Ocupação DW'!$E:$E,"",0)</f>
        <v/>
      </c>
      <c r="H1083" t="str">
        <f>Vagas[[#This Row],[data]]&amp;Vagas[[#This Row],[profissional_id]]&amp;Vagas[[#This Row],[local_id]]</f>
        <v>44643971761</v>
      </c>
    </row>
    <row r="1084" spans="1:8" x14ac:dyDescent="0.25">
      <c r="A1084" s="2">
        <v>44643</v>
      </c>
      <c r="B1084">
        <v>10249</v>
      </c>
      <c r="D1084">
        <v>0</v>
      </c>
      <c r="E1084">
        <v>0</v>
      </c>
      <c r="F1084" s="1">
        <f t="shared" si="16"/>
        <v>0</v>
      </c>
      <c r="G1084" s="1" t="str">
        <f>_xlfn.XLOOKUP(C1084,'Ocupação DW'!$F:$F,'Ocupação DW'!$E:$E,"",0)</f>
        <v/>
      </c>
      <c r="H1084" t="str">
        <f>Vagas[[#This Row],[data]]&amp;Vagas[[#This Row],[profissional_id]]&amp;Vagas[[#This Row],[local_id]]</f>
        <v>4464310249</v>
      </c>
    </row>
    <row r="1085" spans="1:8" x14ac:dyDescent="0.25">
      <c r="A1085" s="2">
        <v>44643</v>
      </c>
      <c r="B1085">
        <v>10595</v>
      </c>
      <c r="D1085">
        <v>0</v>
      </c>
      <c r="E1085">
        <v>0</v>
      </c>
      <c r="F1085" s="1">
        <f t="shared" si="16"/>
        <v>0</v>
      </c>
      <c r="G1085" s="1" t="str">
        <f>_xlfn.XLOOKUP(C1085,'Ocupação DW'!$F:$F,'Ocupação DW'!$E:$E,"",0)</f>
        <v/>
      </c>
      <c r="H1085" t="str">
        <f>Vagas[[#This Row],[data]]&amp;Vagas[[#This Row],[profissional_id]]&amp;Vagas[[#This Row],[local_id]]</f>
        <v>4464310595</v>
      </c>
    </row>
    <row r="1086" spans="1:8" x14ac:dyDescent="0.25">
      <c r="A1086" s="2">
        <v>44643</v>
      </c>
      <c r="B1086">
        <v>10600</v>
      </c>
      <c r="C1086">
        <v>71</v>
      </c>
      <c r="D1086">
        <v>0</v>
      </c>
      <c r="E1086">
        <v>0</v>
      </c>
      <c r="F1086" s="1">
        <f t="shared" si="16"/>
        <v>0</v>
      </c>
      <c r="G1086" s="1" t="str">
        <f>_xlfn.XLOOKUP(C1086,'Ocupação DW'!$F:$F,'Ocupação DW'!$E:$E,"",0)</f>
        <v>SEG - NILÓPOLIS</v>
      </c>
      <c r="H1086" t="str">
        <f>Vagas[[#This Row],[data]]&amp;Vagas[[#This Row],[profissional_id]]&amp;Vagas[[#This Row],[local_id]]</f>
        <v>446431060071</v>
      </c>
    </row>
    <row r="1087" spans="1:8" x14ac:dyDescent="0.25">
      <c r="A1087" s="2">
        <v>44643</v>
      </c>
      <c r="B1087">
        <v>10691</v>
      </c>
      <c r="D1087">
        <v>41</v>
      </c>
      <c r="E1087">
        <v>0</v>
      </c>
      <c r="F1087" s="1">
        <f t="shared" si="16"/>
        <v>0</v>
      </c>
      <c r="G1087" s="1" t="str">
        <f>_xlfn.XLOOKUP(C1087,'Ocupação DW'!$F:$F,'Ocupação DW'!$E:$E,"",0)</f>
        <v/>
      </c>
      <c r="H1087" t="str">
        <f>Vagas[[#This Row],[data]]&amp;Vagas[[#This Row],[profissional_id]]&amp;Vagas[[#This Row],[local_id]]</f>
        <v>4464310691</v>
      </c>
    </row>
    <row r="1088" spans="1:8" x14ac:dyDescent="0.25">
      <c r="A1088" s="2">
        <v>44643</v>
      </c>
      <c r="B1088">
        <v>10691</v>
      </c>
      <c r="C1088">
        <v>9</v>
      </c>
      <c r="D1088">
        <v>0</v>
      </c>
      <c r="E1088">
        <v>0</v>
      </c>
      <c r="F1088" s="1">
        <f t="shared" si="16"/>
        <v>41</v>
      </c>
      <c r="G1088" s="1" t="str">
        <f>_xlfn.XLOOKUP(C1088,'Ocupação DW'!$F:$F,'Ocupação DW'!$E:$E,"",0)</f>
        <v>SEG - FILIAL II 10°</v>
      </c>
      <c r="H1088" t="str">
        <f>Vagas[[#This Row],[data]]&amp;Vagas[[#This Row],[profissional_id]]&amp;Vagas[[#This Row],[local_id]]</f>
        <v>44643106919</v>
      </c>
    </row>
    <row r="1089" spans="1:8" x14ac:dyDescent="0.25">
      <c r="A1089" s="2">
        <v>44643</v>
      </c>
      <c r="B1089">
        <v>10785</v>
      </c>
      <c r="C1089">
        <v>15</v>
      </c>
      <c r="D1089">
        <v>24</v>
      </c>
      <c r="E1089">
        <v>0</v>
      </c>
      <c r="F1089" s="1">
        <f t="shared" si="16"/>
        <v>0</v>
      </c>
      <c r="G1089" s="1" t="str">
        <f>_xlfn.XLOOKUP(C1089,'Ocupação DW'!$F:$F,'Ocupação DW'!$E:$E,"",0)</f>
        <v>SEG - FILIAL II 11°</v>
      </c>
      <c r="H1089" t="str">
        <f>Vagas[[#This Row],[data]]&amp;Vagas[[#This Row],[profissional_id]]&amp;Vagas[[#This Row],[local_id]]</f>
        <v>446431078515</v>
      </c>
    </row>
    <row r="1090" spans="1:8" x14ac:dyDescent="0.25">
      <c r="A1090" s="2">
        <v>44643</v>
      </c>
      <c r="B1090">
        <v>10785</v>
      </c>
      <c r="C1090">
        <v>14</v>
      </c>
      <c r="D1090">
        <v>22</v>
      </c>
      <c r="E1090">
        <v>0</v>
      </c>
      <c r="F1090" s="1">
        <f t="shared" ref="F1090:F1153" si="17">IF(AND(A1090=A1089,B1090=B1089,D1089&lt;&gt;0,D1090=0),D1089,0)</f>
        <v>0</v>
      </c>
      <c r="G1090" s="1" t="str">
        <f>_xlfn.XLOOKUP(C1090,'Ocupação DW'!$F:$F,'Ocupação DW'!$E:$E,"",0)</f>
        <v>SEG - FILIAL II 11°</v>
      </c>
      <c r="H1090" t="str">
        <f>Vagas[[#This Row],[data]]&amp;Vagas[[#This Row],[profissional_id]]&amp;Vagas[[#This Row],[local_id]]</f>
        <v>446431078514</v>
      </c>
    </row>
    <row r="1091" spans="1:8" x14ac:dyDescent="0.25">
      <c r="A1091" s="2">
        <v>44643</v>
      </c>
      <c r="B1091">
        <v>10799</v>
      </c>
      <c r="C1091">
        <v>14</v>
      </c>
      <c r="D1091">
        <v>18</v>
      </c>
      <c r="E1091">
        <v>0</v>
      </c>
      <c r="F1091" s="1">
        <f t="shared" si="17"/>
        <v>0</v>
      </c>
      <c r="G1091" s="1" t="str">
        <f>_xlfn.XLOOKUP(C1091,'Ocupação DW'!$F:$F,'Ocupação DW'!$E:$E,"",0)</f>
        <v>SEG - FILIAL II 11°</v>
      </c>
      <c r="H1091" t="str">
        <f>Vagas[[#This Row],[data]]&amp;Vagas[[#This Row],[profissional_id]]&amp;Vagas[[#This Row],[local_id]]</f>
        <v>446431079914</v>
      </c>
    </row>
    <row r="1092" spans="1:8" x14ac:dyDescent="0.25">
      <c r="A1092" s="2">
        <v>44643</v>
      </c>
      <c r="B1092">
        <v>10799</v>
      </c>
      <c r="C1092">
        <v>11</v>
      </c>
      <c r="D1092">
        <v>2</v>
      </c>
      <c r="E1092">
        <v>0</v>
      </c>
      <c r="F1092" s="1">
        <f t="shared" si="17"/>
        <v>0</v>
      </c>
      <c r="G1092" s="1" t="str">
        <f>_xlfn.XLOOKUP(C1092,'Ocupação DW'!$F:$F,'Ocupação DW'!$E:$E,"",0)</f>
        <v>SEG - FILIAL II 11°</v>
      </c>
      <c r="H1092" t="str">
        <f>Vagas[[#This Row],[data]]&amp;Vagas[[#This Row],[profissional_id]]&amp;Vagas[[#This Row],[local_id]]</f>
        <v>446431079911</v>
      </c>
    </row>
    <row r="1093" spans="1:8" x14ac:dyDescent="0.25">
      <c r="A1093" s="2">
        <v>44643</v>
      </c>
      <c r="B1093">
        <v>10799</v>
      </c>
      <c r="C1093">
        <v>18</v>
      </c>
      <c r="D1093">
        <v>0</v>
      </c>
      <c r="E1093">
        <v>0</v>
      </c>
      <c r="F1093" s="1">
        <f t="shared" si="17"/>
        <v>2</v>
      </c>
      <c r="G1093" s="1" t="str">
        <f>_xlfn.XLOOKUP(C1093,'Ocupação DW'!$F:$F,'Ocupação DW'!$E:$E,"",0)</f>
        <v>SEG - FILIAL II 11°</v>
      </c>
      <c r="H1093" t="str">
        <f>Vagas[[#This Row],[data]]&amp;Vagas[[#This Row],[profissional_id]]&amp;Vagas[[#This Row],[local_id]]</f>
        <v>446431079918</v>
      </c>
    </row>
    <row r="1094" spans="1:8" x14ac:dyDescent="0.25">
      <c r="A1094" s="2">
        <v>44643</v>
      </c>
      <c r="B1094">
        <v>10946</v>
      </c>
      <c r="D1094">
        <v>0</v>
      </c>
      <c r="E1094">
        <v>0</v>
      </c>
      <c r="F1094" s="1">
        <f t="shared" si="17"/>
        <v>0</v>
      </c>
      <c r="G1094" s="1" t="str">
        <f>_xlfn.XLOOKUP(C1094,'Ocupação DW'!$F:$F,'Ocupação DW'!$E:$E,"",0)</f>
        <v/>
      </c>
      <c r="H1094" t="str">
        <f>Vagas[[#This Row],[data]]&amp;Vagas[[#This Row],[profissional_id]]&amp;Vagas[[#This Row],[local_id]]</f>
        <v>4464310946</v>
      </c>
    </row>
    <row r="1095" spans="1:8" x14ac:dyDescent="0.25">
      <c r="A1095" s="2">
        <v>44643</v>
      </c>
      <c r="B1095">
        <v>11652</v>
      </c>
      <c r="C1095">
        <v>69</v>
      </c>
      <c r="D1095">
        <v>0</v>
      </c>
      <c r="E1095">
        <v>0</v>
      </c>
      <c r="F1095" s="1">
        <f t="shared" si="17"/>
        <v>0</v>
      </c>
      <c r="G1095" s="1" t="str">
        <f>_xlfn.XLOOKUP(C1095,'Ocupação DW'!$F:$F,'Ocupação DW'!$E:$E,"",0)</f>
        <v>SEG - NILÓPOLIS</v>
      </c>
      <c r="H1095" t="str">
        <f>Vagas[[#This Row],[data]]&amp;Vagas[[#This Row],[profissional_id]]&amp;Vagas[[#This Row],[local_id]]</f>
        <v>446431165269</v>
      </c>
    </row>
    <row r="1096" spans="1:8" x14ac:dyDescent="0.25">
      <c r="A1096" s="2">
        <v>44643</v>
      </c>
      <c r="B1096">
        <v>12369</v>
      </c>
      <c r="D1096">
        <v>0</v>
      </c>
      <c r="E1096">
        <v>0</v>
      </c>
      <c r="F1096" s="1">
        <f t="shared" si="17"/>
        <v>0</v>
      </c>
      <c r="G1096" s="1" t="str">
        <f>_xlfn.XLOOKUP(C1096,'Ocupação DW'!$F:$F,'Ocupação DW'!$E:$E,"",0)</f>
        <v/>
      </c>
      <c r="H1096" t="str">
        <f>Vagas[[#This Row],[data]]&amp;Vagas[[#This Row],[profissional_id]]&amp;Vagas[[#This Row],[local_id]]</f>
        <v>4464312369</v>
      </c>
    </row>
    <row r="1097" spans="1:8" x14ac:dyDescent="0.25">
      <c r="A1097" s="2">
        <v>44643</v>
      </c>
      <c r="B1097">
        <v>12482</v>
      </c>
      <c r="C1097">
        <v>30</v>
      </c>
      <c r="D1097">
        <v>48</v>
      </c>
      <c r="E1097">
        <v>0</v>
      </c>
      <c r="F1097" s="1">
        <f t="shared" si="17"/>
        <v>0</v>
      </c>
      <c r="G1097" s="1" t="str">
        <f>_xlfn.XLOOKUP(C1097,'Ocupação DW'!$F:$F,'Ocupação DW'!$E:$E,"",0)</f>
        <v/>
      </c>
      <c r="H1097" t="str">
        <f>Vagas[[#This Row],[data]]&amp;Vagas[[#This Row],[profissional_id]]&amp;Vagas[[#This Row],[local_id]]</f>
        <v>446431248230</v>
      </c>
    </row>
    <row r="1098" spans="1:8" x14ac:dyDescent="0.25">
      <c r="A1098" s="2">
        <v>44643</v>
      </c>
      <c r="B1098">
        <v>12482</v>
      </c>
      <c r="C1098">
        <v>345</v>
      </c>
      <c r="D1098">
        <v>60</v>
      </c>
      <c r="E1098">
        <v>0</v>
      </c>
      <c r="F1098" s="1">
        <f t="shared" si="17"/>
        <v>0</v>
      </c>
      <c r="G1098" s="1" t="str">
        <f>_xlfn.XLOOKUP(C1098,'Ocupação DW'!$F:$F,'Ocupação DW'!$E:$E,"",0)</f>
        <v>SEG - MATRIZ</v>
      </c>
      <c r="H1098" t="str">
        <f>Vagas[[#This Row],[data]]&amp;Vagas[[#This Row],[profissional_id]]&amp;Vagas[[#This Row],[local_id]]</f>
        <v>4464312482345</v>
      </c>
    </row>
    <row r="1099" spans="1:8" x14ac:dyDescent="0.25">
      <c r="A1099" s="2">
        <v>44643</v>
      </c>
      <c r="B1099">
        <v>12519</v>
      </c>
      <c r="D1099">
        <v>29</v>
      </c>
      <c r="E1099">
        <v>0</v>
      </c>
      <c r="F1099" s="1">
        <f t="shared" si="17"/>
        <v>0</v>
      </c>
      <c r="G1099" s="1" t="str">
        <f>_xlfn.XLOOKUP(C1099,'Ocupação DW'!$F:$F,'Ocupação DW'!$E:$E,"",0)</f>
        <v/>
      </c>
      <c r="H1099" t="str">
        <f>Vagas[[#This Row],[data]]&amp;Vagas[[#This Row],[profissional_id]]&amp;Vagas[[#This Row],[local_id]]</f>
        <v>4464312519</v>
      </c>
    </row>
    <row r="1100" spans="1:8" x14ac:dyDescent="0.25">
      <c r="A1100" s="2">
        <v>44643</v>
      </c>
      <c r="B1100">
        <v>12519</v>
      </c>
      <c r="C1100">
        <v>48</v>
      </c>
      <c r="D1100">
        <v>0</v>
      </c>
      <c r="E1100">
        <v>0</v>
      </c>
      <c r="F1100" s="1">
        <f t="shared" si="17"/>
        <v>29</v>
      </c>
      <c r="G1100" s="1" t="str">
        <f>_xlfn.XLOOKUP(C1100,'Ocupação DW'!$F:$F,'Ocupação DW'!$E:$E,"",0)</f>
        <v>SEG - FILIAL I</v>
      </c>
      <c r="H1100" t="str">
        <f>Vagas[[#This Row],[data]]&amp;Vagas[[#This Row],[profissional_id]]&amp;Vagas[[#This Row],[local_id]]</f>
        <v>446431251948</v>
      </c>
    </row>
    <row r="1101" spans="1:8" x14ac:dyDescent="0.25">
      <c r="A1101" s="2">
        <v>44643</v>
      </c>
      <c r="B1101">
        <v>12679</v>
      </c>
      <c r="D1101">
        <v>22</v>
      </c>
      <c r="E1101">
        <v>0</v>
      </c>
      <c r="F1101" s="1">
        <f t="shared" si="17"/>
        <v>0</v>
      </c>
      <c r="G1101" s="1" t="str">
        <f>_xlfn.XLOOKUP(C1101,'Ocupação DW'!$F:$F,'Ocupação DW'!$E:$E,"",0)</f>
        <v/>
      </c>
      <c r="H1101" t="str">
        <f>Vagas[[#This Row],[data]]&amp;Vagas[[#This Row],[profissional_id]]&amp;Vagas[[#This Row],[local_id]]</f>
        <v>4464312679</v>
      </c>
    </row>
    <row r="1102" spans="1:8" x14ac:dyDescent="0.25">
      <c r="A1102" s="2">
        <v>44643</v>
      </c>
      <c r="B1102">
        <v>12679</v>
      </c>
      <c r="C1102">
        <v>11</v>
      </c>
      <c r="D1102">
        <v>0</v>
      </c>
      <c r="E1102">
        <v>0</v>
      </c>
      <c r="F1102" s="1">
        <f t="shared" si="17"/>
        <v>22</v>
      </c>
      <c r="G1102" s="1" t="str">
        <f>_xlfn.XLOOKUP(C1102,'Ocupação DW'!$F:$F,'Ocupação DW'!$E:$E,"",0)</f>
        <v>SEG - FILIAL II 11°</v>
      </c>
      <c r="H1102" t="str">
        <f>Vagas[[#This Row],[data]]&amp;Vagas[[#This Row],[profissional_id]]&amp;Vagas[[#This Row],[local_id]]</f>
        <v>446431267911</v>
      </c>
    </row>
    <row r="1103" spans="1:8" x14ac:dyDescent="0.25">
      <c r="A1103" s="2">
        <v>44643</v>
      </c>
      <c r="B1103">
        <v>12679</v>
      </c>
      <c r="C1103">
        <v>82</v>
      </c>
      <c r="D1103">
        <v>0</v>
      </c>
      <c r="E1103">
        <v>0</v>
      </c>
      <c r="F1103" s="1">
        <f t="shared" si="17"/>
        <v>0</v>
      </c>
      <c r="G1103" s="1" t="str">
        <f>_xlfn.XLOOKUP(C1103,'Ocupação DW'!$F:$F,'Ocupação DW'!$E:$E,"",0)</f>
        <v>SEG - MIGUEL COUTO</v>
      </c>
      <c r="H1103" t="str">
        <f>Vagas[[#This Row],[data]]&amp;Vagas[[#This Row],[profissional_id]]&amp;Vagas[[#This Row],[local_id]]</f>
        <v>446431267982</v>
      </c>
    </row>
    <row r="1104" spans="1:8" x14ac:dyDescent="0.25">
      <c r="A1104" s="2">
        <v>44643</v>
      </c>
      <c r="B1104">
        <v>12684</v>
      </c>
      <c r="D1104">
        <v>13</v>
      </c>
      <c r="E1104">
        <v>0</v>
      </c>
      <c r="F1104" s="1">
        <f t="shared" si="17"/>
        <v>0</v>
      </c>
      <c r="G1104" s="1" t="str">
        <f>_xlfn.XLOOKUP(C1104,'Ocupação DW'!$F:$F,'Ocupação DW'!$E:$E,"",0)</f>
        <v/>
      </c>
      <c r="H1104" t="str">
        <f>Vagas[[#This Row],[data]]&amp;Vagas[[#This Row],[profissional_id]]&amp;Vagas[[#This Row],[local_id]]</f>
        <v>4464312684</v>
      </c>
    </row>
    <row r="1105" spans="1:8" x14ac:dyDescent="0.25">
      <c r="A1105" s="2">
        <v>44643</v>
      </c>
      <c r="B1105">
        <v>12684</v>
      </c>
      <c r="C1105">
        <v>51</v>
      </c>
      <c r="D1105">
        <v>0</v>
      </c>
      <c r="E1105">
        <v>0</v>
      </c>
      <c r="F1105" s="1">
        <f t="shared" si="17"/>
        <v>13</v>
      </c>
      <c r="G1105" s="1" t="str">
        <f>_xlfn.XLOOKUP(C1105,'Ocupação DW'!$F:$F,'Ocupação DW'!$E:$E,"",0)</f>
        <v>SEG - FILIAL I</v>
      </c>
      <c r="H1105" t="str">
        <f>Vagas[[#This Row],[data]]&amp;Vagas[[#This Row],[profissional_id]]&amp;Vagas[[#This Row],[local_id]]</f>
        <v>446431268451</v>
      </c>
    </row>
    <row r="1106" spans="1:8" x14ac:dyDescent="0.25">
      <c r="A1106" s="2">
        <v>44643</v>
      </c>
      <c r="B1106">
        <v>12711</v>
      </c>
      <c r="D1106">
        <v>0</v>
      </c>
      <c r="E1106">
        <v>0</v>
      </c>
      <c r="F1106" s="1">
        <f t="shared" si="17"/>
        <v>0</v>
      </c>
      <c r="G1106" s="1" t="str">
        <f>_xlfn.XLOOKUP(C1106,'Ocupação DW'!$F:$F,'Ocupação DW'!$E:$E,"",0)</f>
        <v/>
      </c>
      <c r="H1106" t="str">
        <f>Vagas[[#This Row],[data]]&amp;Vagas[[#This Row],[profissional_id]]&amp;Vagas[[#This Row],[local_id]]</f>
        <v>4464312711</v>
      </c>
    </row>
    <row r="1107" spans="1:8" x14ac:dyDescent="0.25">
      <c r="A1107" s="2">
        <v>44643</v>
      </c>
      <c r="B1107">
        <v>12810</v>
      </c>
      <c r="D1107">
        <v>0</v>
      </c>
      <c r="E1107">
        <v>0</v>
      </c>
      <c r="F1107" s="1">
        <f t="shared" si="17"/>
        <v>0</v>
      </c>
      <c r="G1107" s="1" t="str">
        <f>_xlfn.XLOOKUP(C1107,'Ocupação DW'!$F:$F,'Ocupação DW'!$E:$E,"",0)</f>
        <v/>
      </c>
      <c r="H1107" t="str">
        <f>Vagas[[#This Row],[data]]&amp;Vagas[[#This Row],[profissional_id]]&amp;Vagas[[#This Row],[local_id]]</f>
        <v>4464312810</v>
      </c>
    </row>
    <row r="1108" spans="1:8" x14ac:dyDescent="0.25">
      <c r="A1108" s="2">
        <v>44643</v>
      </c>
      <c r="B1108">
        <v>12825</v>
      </c>
      <c r="D1108">
        <v>17</v>
      </c>
      <c r="E1108">
        <v>0</v>
      </c>
      <c r="F1108" s="1">
        <f t="shared" si="17"/>
        <v>0</v>
      </c>
      <c r="G1108" s="1" t="str">
        <f>_xlfn.XLOOKUP(C1108,'Ocupação DW'!$F:$F,'Ocupação DW'!$E:$E,"",0)</f>
        <v/>
      </c>
      <c r="H1108" t="str">
        <f>Vagas[[#This Row],[data]]&amp;Vagas[[#This Row],[profissional_id]]&amp;Vagas[[#This Row],[local_id]]</f>
        <v>4464312825</v>
      </c>
    </row>
    <row r="1109" spans="1:8" x14ac:dyDescent="0.25">
      <c r="A1109" s="2">
        <v>44643</v>
      </c>
      <c r="B1109">
        <v>12825</v>
      </c>
      <c r="C1109">
        <v>45</v>
      </c>
      <c r="D1109">
        <v>0</v>
      </c>
      <c r="E1109">
        <v>0</v>
      </c>
      <c r="F1109" s="1">
        <f t="shared" si="17"/>
        <v>17</v>
      </c>
      <c r="G1109" s="1" t="str">
        <f>_xlfn.XLOOKUP(C1109,'Ocupação DW'!$F:$F,'Ocupação DW'!$E:$E,"",0)</f>
        <v>SEG - FILIAL I</v>
      </c>
      <c r="H1109" t="str">
        <f>Vagas[[#This Row],[data]]&amp;Vagas[[#This Row],[profissional_id]]&amp;Vagas[[#This Row],[local_id]]</f>
        <v>446431282545</v>
      </c>
    </row>
    <row r="1110" spans="1:8" x14ac:dyDescent="0.25">
      <c r="A1110" s="2">
        <v>44643</v>
      </c>
      <c r="B1110">
        <v>13058</v>
      </c>
      <c r="C1110">
        <v>47</v>
      </c>
      <c r="D1110">
        <v>0</v>
      </c>
      <c r="E1110">
        <v>0</v>
      </c>
      <c r="F1110" s="1">
        <f t="shared" si="17"/>
        <v>0</v>
      </c>
      <c r="G1110" s="1" t="str">
        <f>_xlfn.XLOOKUP(C1110,'Ocupação DW'!$F:$F,'Ocupação DW'!$E:$E,"",0)</f>
        <v>SEG - FILIAL I</v>
      </c>
      <c r="H1110" t="str">
        <f>Vagas[[#This Row],[data]]&amp;Vagas[[#This Row],[profissional_id]]&amp;Vagas[[#This Row],[local_id]]</f>
        <v>446431305847</v>
      </c>
    </row>
    <row r="1111" spans="1:8" x14ac:dyDescent="0.25">
      <c r="A1111" s="2">
        <v>44643</v>
      </c>
      <c r="B1111">
        <v>13061</v>
      </c>
      <c r="C1111">
        <v>3</v>
      </c>
      <c r="D1111">
        <v>0</v>
      </c>
      <c r="E1111">
        <v>7</v>
      </c>
      <c r="F1111" s="1">
        <f t="shared" si="17"/>
        <v>0</v>
      </c>
      <c r="G1111" s="1" t="str">
        <f>_xlfn.XLOOKUP(C1111,'Ocupação DW'!$F:$F,'Ocupação DW'!$E:$E,"",0)</f>
        <v>SEG - FILIAL II 10°</v>
      </c>
      <c r="H1111" t="str">
        <f>Vagas[[#This Row],[data]]&amp;Vagas[[#This Row],[profissional_id]]&amp;Vagas[[#This Row],[local_id]]</f>
        <v>44643130613</v>
      </c>
    </row>
    <row r="1112" spans="1:8" x14ac:dyDescent="0.25">
      <c r="A1112" s="2">
        <v>44643</v>
      </c>
      <c r="B1112">
        <v>13295</v>
      </c>
      <c r="C1112">
        <v>346</v>
      </c>
      <c r="D1112">
        <v>120</v>
      </c>
      <c r="E1112">
        <v>0</v>
      </c>
      <c r="F1112" s="1">
        <f t="shared" si="17"/>
        <v>0</v>
      </c>
      <c r="G1112" s="1" t="str">
        <f>_xlfn.XLOOKUP(C1112,'Ocupação DW'!$F:$F,'Ocupação DW'!$E:$E,"",0)</f>
        <v>SEG - MATRIZ</v>
      </c>
      <c r="H1112" t="str">
        <f>Vagas[[#This Row],[data]]&amp;Vagas[[#This Row],[profissional_id]]&amp;Vagas[[#This Row],[local_id]]</f>
        <v>4464313295346</v>
      </c>
    </row>
    <row r="1113" spans="1:8" x14ac:dyDescent="0.25">
      <c r="A1113" s="2">
        <v>44643</v>
      </c>
      <c r="B1113">
        <v>13371</v>
      </c>
      <c r="D1113">
        <v>0</v>
      </c>
      <c r="E1113">
        <v>0</v>
      </c>
      <c r="F1113" s="1">
        <f t="shared" si="17"/>
        <v>0</v>
      </c>
      <c r="G1113" s="1" t="str">
        <f>_xlfn.XLOOKUP(C1113,'Ocupação DW'!$F:$F,'Ocupação DW'!$E:$E,"",0)</f>
        <v/>
      </c>
      <c r="H1113" t="str">
        <f>Vagas[[#This Row],[data]]&amp;Vagas[[#This Row],[profissional_id]]&amp;Vagas[[#This Row],[local_id]]</f>
        <v>4464313371</v>
      </c>
    </row>
    <row r="1114" spans="1:8" x14ac:dyDescent="0.25">
      <c r="A1114" s="2">
        <v>44643</v>
      </c>
      <c r="B1114">
        <v>13479</v>
      </c>
      <c r="D1114">
        <v>230</v>
      </c>
      <c r="E1114">
        <v>0</v>
      </c>
      <c r="F1114" s="1">
        <f t="shared" si="17"/>
        <v>0</v>
      </c>
      <c r="G1114" s="1" t="str">
        <f>_xlfn.XLOOKUP(C1114,'Ocupação DW'!$F:$F,'Ocupação DW'!$E:$E,"",0)</f>
        <v/>
      </c>
      <c r="H1114" t="str">
        <f>Vagas[[#This Row],[data]]&amp;Vagas[[#This Row],[profissional_id]]&amp;Vagas[[#This Row],[local_id]]</f>
        <v>4464313479</v>
      </c>
    </row>
    <row r="1115" spans="1:8" x14ac:dyDescent="0.25">
      <c r="A1115" s="2">
        <v>44643</v>
      </c>
      <c r="B1115">
        <v>13479</v>
      </c>
      <c r="C1115">
        <v>339</v>
      </c>
      <c r="D1115">
        <v>252</v>
      </c>
      <c r="E1115">
        <v>0</v>
      </c>
      <c r="F1115" s="1">
        <f t="shared" si="17"/>
        <v>0</v>
      </c>
      <c r="G1115" s="1" t="str">
        <f>_xlfn.XLOOKUP(C1115,'Ocupação DW'!$F:$F,'Ocupação DW'!$E:$E,"",0)</f>
        <v>SEG - MATRIZ</v>
      </c>
      <c r="H1115" t="str">
        <f>Vagas[[#This Row],[data]]&amp;Vagas[[#This Row],[profissional_id]]&amp;Vagas[[#This Row],[local_id]]</f>
        <v>4464313479339</v>
      </c>
    </row>
    <row r="1116" spans="1:8" x14ac:dyDescent="0.25">
      <c r="A1116" s="2">
        <v>44643</v>
      </c>
      <c r="B1116">
        <v>13505</v>
      </c>
      <c r="C1116">
        <v>348</v>
      </c>
      <c r="D1116">
        <v>72</v>
      </c>
      <c r="E1116">
        <v>0</v>
      </c>
      <c r="F1116" s="1">
        <f t="shared" si="17"/>
        <v>0</v>
      </c>
      <c r="G1116" s="1" t="str">
        <f>_xlfn.XLOOKUP(C1116,'Ocupação DW'!$F:$F,'Ocupação DW'!$E:$E,"",0)</f>
        <v>SEG - MATRIZ</v>
      </c>
      <c r="H1116" t="str">
        <f>Vagas[[#This Row],[data]]&amp;Vagas[[#This Row],[profissional_id]]&amp;Vagas[[#This Row],[local_id]]</f>
        <v>4464313505348</v>
      </c>
    </row>
    <row r="1117" spans="1:8" x14ac:dyDescent="0.25">
      <c r="A1117" s="2">
        <v>44643</v>
      </c>
      <c r="B1117">
        <v>13505</v>
      </c>
      <c r="C1117">
        <v>341</v>
      </c>
      <c r="D1117">
        <v>72</v>
      </c>
      <c r="E1117">
        <v>0</v>
      </c>
      <c r="F1117" s="1">
        <f t="shared" si="17"/>
        <v>0</v>
      </c>
      <c r="G1117" s="1" t="str">
        <f>_xlfn.XLOOKUP(C1117,'Ocupação DW'!$F:$F,'Ocupação DW'!$E:$E,"",0)</f>
        <v/>
      </c>
      <c r="H1117" t="str">
        <f>Vagas[[#This Row],[data]]&amp;Vagas[[#This Row],[profissional_id]]&amp;Vagas[[#This Row],[local_id]]</f>
        <v>4464313505341</v>
      </c>
    </row>
    <row r="1118" spans="1:8" x14ac:dyDescent="0.25">
      <c r="A1118" s="2">
        <v>44643</v>
      </c>
      <c r="B1118">
        <v>13552</v>
      </c>
      <c r="C1118">
        <v>64</v>
      </c>
      <c r="D1118">
        <v>0</v>
      </c>
      <c r="E1118">
        <v>0</v>
      </c>
      <c r="F1118" s="1">
        <f t="shared" si="17"/>
        <v>0</v>
      </c>
      <c r="G1118" s="1" t="str">
        <f>_xlfn.XLOOKUP(C1118,'Ocupação DW'!$F:$F,'Ocupação DW'!$E:$E,"",0)</f>
        <v>SEG - NILÓPOLIS</v>
      </c>
      <c r="H1118" t="str">
        <f>Vagas[[#This Row],[data]]&amp;Vagas[[#This Row],[profissional_id]]&amp;Vagas[[#This Row],[local_id]]</f>
        <v>446431355264</v>
      </c>
    </row>
    <row r="1119" spans="1:8" x14ac:dyDescent="0.25">
      <c r="A1119" s="2">
        <v>44643</v>
      </c>
      <c r="B1119">
        <v>13645</v>
      </c>
      <c r="D1119">
        <v>61</v>
      </c>
      <c r="E1119">
        <v>0</v>
      </c>
      <c r="F1119" s="1">
        <f t="shared" si="17"/>
        <v>0</v>
      </c>
      <c r="G1119" s="1" t="str">
        <f>_xlfn.XLOOKUP(C1119,'Ocupação DW'!$F:$F,'Ocupação DW'!$E:$E,"",0)</f>
        <v/>
      </c>
      <c r="H1119" t="str">
        <f>Vagas[[#This Row],[data]]&amp;Vagas[[#This Row],[profissional_id]]&amp;Vagas[[#This Row],[local_id]]</f>
        <v>4464313645</v>
      </c>
    </row>
    <row r="1120" spans="1:8" x14ac:dyDescent="0.25">
      <c r="A1120" s="2">
        <v>44643</v>
      </c>
      <c r="B1120">
        <v>13645</v>
      </c>
      <c r="C1120">
        <v>341</v>
      </c>
      <c r="D1120">
        <v>72</v>
      </c>
      <c r="E1120">
        <v>0</v>
      </c>
      <c r="F1120" s="1">
        <f t="shared" si="17"/>
        <v>0</v>
      </c>
      <c r="G1120" s="1" t="str">
        <f>_xlfn.XLOOKUP(C1120,'Ocupação DW'!$F:$F,'Ocupação DW'!$E:$E,"",0)</f>
        <v/>
      </c>
      <c r="H1120" t="str">
        <f>Vagas[[#This Row],[data]]&amp;Vagas[[#This Row],[profissional_id]]&amp;Vagas[[#This Row],[local_id]]</f>
        <v>4464313645341</v>
      </c>
    </row>
    <row r="1121" spans="1:8" x14ac:dyDescent="0.25">
      <c r="A1121" s="2">
        <v>44643</v>
      </c>
      <c r="B1121">
        <v>13660</v>
      </c>
      <c r="C1121">
        <v>78</v>
      </c>
      <c r="D1121">
        <v>15</v>
      </c>
      <c r="E1121">
        <v>0</v>
      </c>
      <c r="F1121" s="1">
        <f t="shared" si="17"/>
        <v>0</v>
      </c>
      <c r="G1121" s="1" t="str">
        <f>_xlfn.XLOOKUP(C1121,'Ocupação DW'!$F:$F,'Ocupação DW'!$E:$E,"",0)</f>
        <v>SEG - MIGUEL COUTO</v>
      </c>
      <c r="H1121" t="str">
        <f>Vagas[[#This Row],[data]]&amp;Vagas[[#This Row],[profissional_id]]&amp;Vagas[[#This Row],[local_id]]</f>
        <v>446431366078</v>
      </c>
    </row>
    <row r="1122" spans="1:8" x14ac:dyDescent="0.25">
      <c r="A1122" s="2">
        <v>44643</v>
      </c>
      <c r="B1122">
        <v>13835</v>
      </c>
      <c r="D1122">
        <v>0</v>
      </c>
      <c r="E1122">
        <v>0</v>
      </c>
      <c r="F1122" s="1">
        <f t="shared" si="17"/>
        <v>0</v>
      </c>
      <c r="G1122" s="1" t="str">
        <f>_xlfn.XLOOKUP(C1122,'Ocupação DW'!$F:$F,'Ocupação DW'!$E:$E,"",0)</f>
        <v/>
      </c>
      <c r="H1122" t="str">
        <f>Vagas[[#This Row],[data]]&amp;Vagas[[#This Row],[profissional_id]]&amp;Vagas[[#This Row],[local_id]]</f>
        <v>4464313835</v>
      </c>
    </row>
    <row r="1123" spans="1:8" x14ac:dyDescent="0.25">
      <c r="A1123" s="2">
        <v>44643</v>
      </c>
      <c r="B1123">
        <v>14326</v>
      </c>
      <c r="C1123">
        <v>41</v>
      </c>
      <c r="D1123">
        <v>0</v>
      </c>
      <c r="E1123">
        <v>0</v>
      </c>
      <c r="F1123" s="1">
        <f t="shared" si="17"/>
        <v>0</v>
      </c>
      <c r="G1123" s="1" t="str">
        <f>_xlfn.XLOOKUP(C1123,'Ocupação DW'!$F:$F,'Ocupação DW'!$E:$E,"",0)</f>
        <v>SEG - FILIAL I</v>
      </c>
      <c r="H1123" t="str">
        <f>Vagas[[#This Row],[data]]&amp;Vagas[[#This Row],[profissional_id]]&amp;Vagas[[#This Row],[local_id]]</f>
        <v>446431432641</v>
      </c>
    </row>
    <row r="1124" spans="1:8" x14ac:dyDescent="0.25">
      <c r="A1124" s="2">
        <v>44643</v>
      </c>
      <c r="B1124">
        <v>14326</v>
      </c>
      <c r="C1124">
        <v>43</v>
      </c>
      <c r="D1124">
        <v>0</v>
      </c>
      <c r="E1124">
        <v>0</v>
      </c>
      <c r="F1124" s="1">
        <f t="shared" si="17"/>
        <v>0</v>
      </c>
      <c r="G1124" s="1" t="str">
        <f>_xlfn.XLOOKUP(C1124,'Ocupação DW'!$F:$F,'Ocupação DW'!$E:$E,"",0)</f>
        <v>SEG - FILIAL I</v>
      </c>
      <c r="H1124" t="str">
        <f>Vagas[[#This Row],[data]]&amp;Vagas[[#This Row],[profissional_id]]&amp;Vagas[[#This Row],[local_id]]</f>
        <v>446431432643</v>
      </c>
    </row>
    <row r="1125" spans="1:8" x14ac:dyDescent="0.25">
      <c r="A1125" s="2">
        <v>44643</v>
      </c>
      <c r="B1125">
        <v>14438</v>
      </c>
      <c r="C1125">
        <v>342</v>
      </c>
      <c r="D1125">
        <v>132</v>
      </c>
      <c r="E1125">
        <v>0</v>
      </c>
      <c r="F1125" s="1">
        <f t="shared" si="17"/>
        <v>0</v>
      </c>
      <c r="G1125" s="1" t="str">
        <f>_xlfn.XLOOKUP(C1125,'Ocupação DW'!$F:$F,'Ocupação DW'!$E:$E,"",0)</f>
        <v>SEG - MATRIZ</v>
      </c>
      <c r="H1125" t="str">
        <f>Vagas[[#This Row],[data]]&amp;Vagas[[#This Row],[profissional_id]]&amp;Vagas[[#This Row],[local_id]]</f>
        <v>4464314438342</v>
      </c>
    </row>
    <row r="1126" spans="1:8" x14ac:dyDescent="0.25">
      <c r="A1126" s="2">
        <v>44643</v>
      </c>
      <c r="B1126">
        <v>14452</v>
      </c>
      <c r="D1126">
        <v>0</v>
      </c>
      <c r="E1126">
        <v>0</v>
      </c>
      <c r="F1126" s="1">
        <f t="shared" si="17"/>
        <v>0</v>
      </c>
      <c r="G1126" s="1" t="str">
        <f>_xlfn.XLOOKUP(C1126,'Ocupação DW'!$F:$F,'Ocupação DW'!$E:$E,"",0)</f>
        <v/>
      </c>
      <c r="H1126" t="str">
        <f>Vagas[[#This Row],[data]]&amp;Vagas[[#This Row],[profissional_id]]&amp;Vagas[[#This Row],[local_id]]</f>
        <v>4464314452</v>
      </c>
    </row>
    <row r="1127" spans="1:8" x14ac:dyDescent="0.25">
      <c r="A1127" s="2">
        <v>44643</v>
      </c>
      <c r="B1127">
        <v>17059</v>
      </c>
      <c r="D1127">
        <v>0</v>
      </c>
      <c r="E1127">
        <v>0</v>
      </c>
      <c r="F1127" s="1">
        <f t="shared" si="17"/>
        <v>0</v>
      </c>
      <c r="G1127" s="1" t="str">
        <f>_xlfn.XLOOKUP(C1127,'Ocupação DW'!$F:$F,'Ocupação DW'!$E:$E,"",0)</f>
        <v/>
      </c>
      <c r="H1127" t="str">
        <f>Vagas[[#This Row],[data]]&amp;Vagas[[#This Row],[profissional_id]]&amp;Vagas[[#This Row],[local_id]]</f>
        <v>4464317059</v>
      </c>
    </row>
    <row r="1128" spans="1:8" x14ac:dyDescent="0.25">
      <c r="A1128" s="2">
        <v>44643</v>
      </c>
      <c r="B1128">
        <v>17742</v>
      </c>
      <c r="D1128">
        <v>0</v>
      </c>
      <c r="E1128">
        <v>0</v>
      </c>
      <c r="F1128" s="1">
        <f t="shared" si="17"/>
        <v>0</v>
      </c>
      <c r="G1128" s="1" t="str">
        <f>_xlfn.XLOOKUP(C1128,'Ocupação DW'!$F:$F,'Ocupação DW'!$E:$E,"",0)</f>
        <v/>
      </c>
      <c r="H1128" t="str">
        <f>Vagas[[#This Row],[data]]&amp;Vagas[[#This Row],[profissional_id]]&amp;Vagas[[#This Row],[local_id]]</f>
        <v>4464317742</v>
      </c>
    </row>
    <row r="1129" spans="1:8" x14ac:dyDescent="0.25">
      <c r="A1129" s="2">
        <v>44643</v>
      </c>
      <c r="B1129">
        <v>17858</v>
      </c>
      <c r="D1129">
        <v>0</v>
      </c>
      <c r="E1129">
        <v>0</v>
      </c>
      <c r="F1129" s="1">
        <f t="shared" si="17"/>
        <v>0</v>
      </c>
      <c r="G1129" s="1" t="str">
        <f>_xlfn.XLOOKUP(C1129,'Ocupação DW'!$F:$F,'Ocupação DW'!$E:$E,"",0)</f>
        <v/>
      </c>
      <c r="H1129" t="str">
        <f>Vagas[[#This Row],[data]]&amp;Vagas[[#This Row],[profissional_id]]&amp;Vagas[[#This Row],[local_id]]</f>
        <v>4464317858</v>
      </c>
    </row>
    <row r="1130" spans="1:8" x14ac:dyDescent="0.25">
      <c r="A1130" s="2">
        <v>44643</v>
      </c>
      <c r="B1130">
        <v>17859</v>
      </c>
      <c r="C1130">
        <v>336</v>
      </c>
      <c r="D1130">
        <v>0</v>
      </c>
      <c r="E1130">
        <v>0</v>
      </c>
      <c r="F1130" s="1">
        <f t="shared" si="17"/>
        <v>0</v>
      </c>
      <c r="G1130" s="1" t="str">
        <f>_xlfn.XLOOKUP(C1130,'Ocupação DW'!$F:$F,'Ocupação DW'!$E:$E,"",0)</f>
        <v>SEG - FILIAL I</v>
      </c>
      <c r="H1130" t="str">
        <f>Vagas[[#This Row],[data]]&amp;Vagas[[#This Row],[profissional_id]]&amp;Vagas[[#This Row],[local_id]]</f>
        <v>4464317859336</v>
      </c>
    </row>
    <row r="1131" spans="1:8" x14ac:dyDescent="0.25">
      <c r="A1131" s="2">
        <v>44643</v>
      </c>
      <c r="B1131">
        <v>17859</v>
      </c>
      <c r="C1131">
        <v>7</v>
      </c>
      <c r="D1131">
        <v>0</v>
      </c>
      <c r="E1131">
        <v>0</v>
      </c>
      <c r="F1131" s="1">
        <f t="shared" si="17"/>
        <v>0</v>
      </c>
      <c r="G1131" s="1" t="str">
        <f>_xlfn.XLOOKUP(C1131,'Ocupação DW'!$F:$F,'Ocupação DW'!$E:$E,"",0)</f>
        <v>SEG - FILIAL II 10°</v>
      </c>
      <c r="H1131" t="str">
        <f>Vagas[[#This Row],[data]]&amp;Vagas[[#This Row],[profissional_id]]&amp;Vagas[[#This Row],[local_id]]</f>
        <v>44643178597</v>
      </c>
    </row>
    <row r="1132" spans="1:8" x14ac:dyDescent="0.25">
      <c r="A1132" s="2">
        <v>44643</v>
      </c>
      <c r="B1132">
        <v>17866</v>
      </c>
      <c r="C1132">
        <v>340</v>
      </c>
      <c r="D1132">
        <v>60</v>
      </c>
      <c r="E1132">
        <v>0</v>
      </c>
      <c r="F1132" s="1">
        <f t="shared" si="17"/>
        <v>0</v>
      </c>
      <c r="G1132" s="1" t="str">
        <f>_xlfn.XLOOKUP(C1132,'Ocupação DW'!$F:$F,'Ocupação DW'!$E:$E,"",0)</f>
        <v>SEG - MATRIZ</v>
      </c>
      <c r="H1132" t="str">
        <f>Vagas[[#This Row],[data]]&amp;Vagas[[#This Row],[profissional_id]]&amp;Vagas[[#This Row],[local_id]]</f>
        <v>4464317866340</v>
      </c>
    </row>
    <row r="1133" spans="1:8" x14ac:dyDescent="0.25">
      <c r="A1133" s="2">
        <v>44643</v>
      </c>
      <c r="B1133">
        <v>17868</v>
      </c>
      <c r="C1133">
        <v>73</v>
      </c>
      <c r="D1133">
        <v>133</v>
      </c>
      <c r="E1133">
        <v>0</v>
      </c>
      <c r="F1133" s="1">
        <f t="shared" si="17"/>
        <v>0</v>
      </c>
      <c r="G1133" s="1" t="str">
        <f>_xlfn.XLOOKUP(C1133,'Ocupação DW'!$F:$F,'Ocupação DW'!$E:$E,"",0)</f>
        <v/>
      </c>
      <c r="H1133" t="str">
        <f>Vagas[[#This Row],[data]]&amp;Vagas[[#This Row],[profissional_id]]&amp;Vagas[[#This Row],[local_id]]</f>
        <v>446431786873</v>
      </c>
    </row>
    <row r="1134" spans="1:8" x14ac:dyDescent="0.25">
      <c r="A1134" s="2">
        <v>44643</v>
      </c>
      <c r="B1134">
        <v>17871</v>
      </c>
      <c r="D1134">
        <v>0</v>
      </c>
      <c r="E1134">
        <v>0</v>
      </c>
      <c r="F1134" s="1">
        <f t="shared" si="17"/>
        <v>0</v>
      </c>
      <c r="G1134" s="1" t="str">
        <f>_xlfn.XLOOKUP(C1134,'Ocupação DW'!$F:$F,'Ocupação DW'!$E:$E,"",0)</f>
        <v/>
      </c>
      <c r="H1134" t="str">
        <f>Vagas[[#This Row],[data]]&amp;Vagas[[#This Row],[profissional_id]]&amp;Vagas[[#This Row],[local_id]]</f>
        <v>4464317871</v>
      </c>
    </row>
    <row r="1135" spans="1:8" x14ac:dyDescent="0.25">
      <c r="A1135" s="2">
        <v>44643</v>
      </c>
      <c r="B1135">
        <v>17874</v>
      </c>
      <c r="D1135">
        <v>0</v>
      </c>
      <c r="E1135">
        <v>0</v>
      </c>
      <c r="F1135" s="1">
        <f t="shared" si="17"/>
        <v>0</v>
      </c>
      <c r="G1135" s="1" t="str">
        <f>_xlfn.XLOOKUP(C1135,'Ocupação DW'!$F:$F,'Ocupação DW'!$E:$E,"",0)</f>
        <v/>
      </c>
      <c r="H1135" t="str">
        <f>Vagas[[#This Row],[data]]&amp;Vagas[[#This Row],[profissional_id]]&amp;Vagas[[#This Row],[local_id]]</f>
        <v>4464317874</v>
      </c>
    </row>
    <row r="1136" spans="1:8" x14ac:dyDescent="0.25">
      <c r="A1136" s="2">
        <v>44643</v>
      </c>
      <c r="B1136">
        <v>17878</v>
      </c>
      <c r="C1136">
        <v>63</v>
      </c>
      <c r="D1136">
        <v>0</v>
      </c>
      <c r="E1136">
        <v>0</v>
      </c>
      <c r="F1136" s="1">
        <f t="shared" si="17"/>
        <v>0</v>
      </c>
      <c r="G1136" s="1" t="str">
        <f>_xlfn.XLOOKUP(C1136,'Ocupação DW'!$F:$F,'Ocupação DW'!$E:$E,"",0)</f>
        <v>SEG - NILÓPOLIS</v>
      </c>
      <c r="H1136" t="str">
        <f>Vagas[[#This Row],[data]]&amp;Vagas[[#This Row],[profissional_id]]&amp;Vagas[[#This Row],[local_id]]</f>
        <v>446431787863</v>
      </c>
    </row>
    <row r="1137" spans="1:8" x14ac:dyDescent="0.25">
      <c r="A1137" s="2">
        <v>44643</v>
      </c>
      <c r="B1137">
        <v>17881</v>
      </c>
      <c r="C1137">
        <v>20</v>
      </c>
      <c r="D1137">
        <v>181</v>
      </c>
      <c r="E1137">
        <v>0</v>
      </c>
      <c r="F1137" s="1">
        <f t="shared" si="17"/>
        <v>0</v>
      </c>
      <c r="G1137" s="1" t="str">
        <f>_xlfn.XLOOKUP(C1137,'Ocupação DW'!$F:$F,'Ocupação DW'!$E:$E,"",0)</f>
        <v>SEG - MATRIZ</v>
      </c>
      <c r="H1137" t="str">
        <f>Vagas[[#This Row],[data]]&amp;Vagas[[#This Row],[profissional_id]]&amp;Vagas[[#This Row],[local_id]]</f>
        <v>446431788120</v>
      </c>
    </row>
    <row r="1138" spans="1:8" x14ac:dyDescent="0.25">
      <c r="A1138" s="2">
        <v>44643</v>
      </c>
      <c r="B1138">
        <v>17882</v>
      </c>
      <c r="C1138">
        <v>21</v>
      </c>
      <c r="D1138">
        <v>181</v>
      </c>
      <c r="E1138">
        <v>0</v>
      </c>
      <c r="F1138" s="1">
        <f t="shared" si="17"/>
        <v>0</v>
      </c>
      <c r="G1138" s="1" t="str">
        <f>_xlfn.XLOOKUP(C1138,'Ocupação DW'!$F:$F,'Ocupação DW'!$E:$E,"",0)</f>
        <v/>
      </c>
      <c r="H1138" t="str">
        <f>Vagas[[#This Row],[data]]&amp;Vagas[[#This Row],[profissional_id]]&amp;Vagas[[#This Row],[local_id]]</f>
        <v>446431788221</v>
      </c>
    </row>
    <row r="1139" spans="1:8" x14ac:dyDescent="0.25">
      <c r="A1139" s="2">
        <v>44643</v>
      </c>
      <c r="B1139">
        <v>17883</v>
      </c>
      <c r="D1139">
        <v>11</v>
      </c>
      <c r="E1139">
        <v>0</v>
      </c>
      <c r="F1139" s="1">
        <f t="shared" si="17"/>
        <v>0</v>
      </c>
      <c r="G1139" s="1" t="str">
        <f>_xlfn.XLOOKUP(C1139,'Ocupação DW'!$F:$F,'Ocupação DW'!$E:$E,"",0)</f>
        <v/>
      </c>
      <c r="H1139" t="str">
        <f>Vagas[[#This Row],[data]]&amp;Vagas[[#This Row],[profissional_id]]&amp;Vagas[[#This Row],[local_id]]</f>
        <v>4464317883</v>
      </c>
    </row>
    <row r="1140" spans="1:8" x14ac:dyDescent="0.25">
      <c r="A1140" s="2">
        <v>44643</v>
      </c>
      <c r="B1140">
        <v>17883</v>
      </c>
      <c r="C1140">
        <v>351</v>
      </c>
      <c r="D1140">
        <v>0</v>
      </c>
      <c r="E1140">
        <v>0</v>
      </c>
      <c r="F1140" s="1">
        <f t="shared" si="17"/>
        <v>11</v>
      </c>
      <c r="G1140" s="1" t="str">
        <f>_xlfn.XLOOKUP(C1140,'Ocupação DW'!$F:$F,'Ocupação DW'!$E:$E,"",0)</f>
        <v>SEG - FILIAL I</v>
      </c>
      <c r="H1140" t="str">
        <f>Vagas[[#This Row],[data]]&amp;Vagas[[#This Row],[profissional_id]]&amp;Vagas[[#This Row],[local_id]]</f>
        <v>4464317883351</v>
      </c>
    </row>
    <row r="1141" spans="1:8" x14ac:dyDescent="0.25">
      <c r="A1141" s="2">
        <v>44643</v>
      </c>
      <c r="B1141">
        <v>17885</v>
      </c>
      <c r="D1141">
        <v>0</v>
      </c>
      <c r="E1141">
        <v>0</v>
      </c>
      <c r="F1141" s="1">
        <f t="shared" si="17"/>
        <v>0</v>
      </c>
      <c r="G1141" s="1" t="str">
        <f>_xlfn.XLOOKUP(C1141,'Ocupação DW'!$F:$F,'Ocupação DW'!$E:$E,"",0)</f>
        <v/>
      </c>
      <c r="H1141" t="str">
        <f>Vagas[[#This Row],[data]]&amp;Vagas[[#This Row],[profissional_id]]&amp;Vagas[[#This Row],[local_id]]</f>
        <v>4464317885</v>
      </c>
    </row>
    <row r="1142" spans="1:8" x14ac:dyDescent="0.25">
      <c r="A1142" s="2">
        <v>44643</v>
      </c>
      <c r="B1142">
        <v>17885</v>
      </c>
      <c r="C1142">
        <v>23</v>
      </c>
      <c r="D1142">
        <v>61</v>
      </c>
      <c r="E1142">
        <v>0</v>
      </c>
      <c r="F1142" s="1">
        <f t="shared" si="17"/>
        <v>0</v>
      </c>
      <c r="G1142" s="1" t="str">
        <f>_xlfn.XLOOKUP(C1142,'Ocupação DW'!$F:$F,'Ocupação DW'!$E:$E,"",0)</f>
        <v/>
      </c>
      <c r="H1142" t="str">
        <f>Vagas[[#This Row],[data]]&amp;Vagas[[#This Row],[profissional_id]]&amp;Vagas[[#This Row],[local_id]]</f>
        <v>446431788523</v>
      </c>
    </row>
    <row r="1143" spans="1:8" x14ac:dyDescent="0.25">
      <c r="A1143" s="2">
        <v>44643</v>
      </c>
      <c r="B1143">
        <v>17886</v>
      </c>
      <c r="C1143">
        <v>84</v>
      </c>
      <c r="D1143">
        <v>60</v>
      </c>
      <c r="E1143">
        <v>0</v>
      </c>
      <c r="F1143" s="1">
        <f t="shared" si="17"/>
        <v>0</v>
      </c>
      <c r="G1143" s="1" t="str">
        <f>_xlfn.XLOOKUP(C1143,'Ocupação DW'!$F:$F,'Ocupação DW'!$E:$E,"",0)</f>
        <v/>
      </c>
      <c r="H1143" t="str">
        <f>Vagas[[#This Row],[data]]&amp;Vagas[[#This Row],[profissional_id]]&amp;Vagas[[#This Row],[local_id]]</f>
        <v>446431788684</v>
      </c>
    </row>
    <row r="1144" spans="1:8" x14ac:dyDescent="0.25">
      <c r="A1144" s="2">
        <v>44643</v>
      </c>
      <c r="B1144">
        <v>17887</v>
      </c>
      <c r="C1144">
        <v>58</v>
      </c>
      <c r="D1144">
        <v>60</v>
      </c>
      <c r="E1144">
        <v>0</v>
      </c>
      <c r="F1144" s="1">
        <f t="shared" si="17"/>
        <v>0</v>
      </c>
      <c r="G1144" s="1" t="str">
        <f>_xlfn.XLOOKUP(C1144,'Ocupação DW'!$F:$F,'Ocupação DW'!$E:$E,"",0)</f>
        <v/>
      </c>
      <c r="H1144" t="str">
        <f>Vagas[[#This Row],[data]]&amp;Vagas[[#This Row],[profissional_id]]&amp;Vagas[[#This Row],[local_id]]</f>
        <v>446431788758</v>
      </c>
    </row>
    <row r="1145" spans="1:8" x14ac:dyDescent="0.25">
      <c r="A1145" s="2">
        <v>44643</v>
      </c>
      <c r="B1145">
        <v>17888</v>
      </c>
      <c r="C1145">
        <v>40</v>
      </c>
      <c r="D1145">
        <v>27</v>
      </c>
      <c r="E1145">
        <v>0</v>
      </c>
      <c r="F1145" s="1">
        <f t="shared" si="17"/>
        <v>0</v>
      </c>
      <c r="G1145" s="1" t="str">
        <f>_xlfn.XLOOKUP(C1145,'Ocupação DW'!$F:$F,'Ocupação DW'!$E:$E,"",0)</f>
        <v>SEG - FILIAL I</v>
      </c>
      <c r="H1145" t="str">
        <f>Vagas[[#This Row],[data]]&amp;Vagas[[#This Row],[profissional_id]]&amp;Vagas[[#This Row],[local_id]]</f>
        <v>446431788840</v>
      </c>
    </row>
    <row r="1146" spans="1:8" x14ac:dyDescent="0.25">
      <c r="A1146" s="2">
        <v>44643</v>
      </c>
      <c r="B1146">
        <v>17889</v>
      </c>
      <c r="C1146">
        <v>59</v>
      </c>
      <c r="D1146">
        <v>24</v>
      </c>
      <c r="E1146">
        <v>0</v>
      </c>
      <c r="F1146" s="1">
        <f t="shared" si="17"/>
        <v>0</v>
      </c>
      <c r="G1146" s="1" t="str">
        <f>_xlfn.XLOOKUP(C1146,'Ocupação DW'!$F:$F,'Ocupação DW'!$E:$E,"",0)</f>
        <v>SEG - NILÓPOLIS</v>
      </c>
      <c r="H1146" t="str">
        <f>Vagas[[#This Row],[data]]&amp;Vagas[[#This Row],[profissional_id]]&amp;Vagas[[#This Row],[local_id]]</f>
        <v>446431788959</v>
      </c>
    </row>
    <row r="1147" spans="1:8" x14ac:dyDescent="0.25">
      <c r="A1147" s="2">
        <v>44643</v>
      </c>
      <c r="B1147">
        <v>17890</v>
      </c>
      <c r="C1147">
        <v>4</v>
      </c>
      <c r="D1147">
        <v>8</v>
      </c>
      <c r="E1147">
        <v>0</v>
      </c>
      <c r="F1147" s="1">
        <f t="shared" si="17"/>
        <v>0</v>
      </c>
      <c r="G1147" s="1" t="str">
        <f>_xlfn.XLOOKUP(C1147,'Ocupação DW'!$F:$F,'Ocupação DW'!$E:$E,"",0)</f>
        <v>SEG - FILIAL II 10°</v>
      </c>
      <c r="H1147" t="str">
        <f>Vagas[[#This Row],[data]]&amp;Vagas[[#This Row],[profissional_id]]&amp;Vagas[[#This Row],[local_id]]</f>
        <v>44643178904</v>
      </c>
    </row>
    <row r="1148" spans="1:8" x14ac:dyDescent="0.25">
      <c r="A1148" s="2">
        <v>44643</v>
      </c>
      <c r="B1148">
        <v>17891</v>
      </c>
      <c r="C1148">
        <v>76</v>
      </c>
      <c r="D1148">
        <v>1</v>
      </c>
      <c r="E1148">
        <v>0</v>
      </c>
      <c r="F1148" s="1">
        <f t="shared" si="17"/>
        <v>0</v>
      </c>
      <c r="G1148" s="1" t="str">
        <f>_xlfn.XLOOKUP(C1148,'Ocupação DW'!$F:$F,'Ocupação DW'!$E:$E,"",0)</f>
        <v>SEG - MIGUEL COUTO</v>
      </c>
      <c r="H1148" t="str">
        <f>Vagas[[#This Row],[data]]&amp;Vagas[[#This Row],[profissional_id]]&amp;Vagas[[#This Row],[local_id]]</f>
        <v>446431789176</v>
      </c>
    </row>
    <row r="1149" spans="1:8" x14ac:dyDescent="0.25">
      <c r="A1149" s="2">
        <v>44643</v>
      </c>
      <c r="B1149">
        <v>17892</v>
      </c>
      <c r="D1149">
        <v>0</v>
      </c>
      <c r="E1149">
        <v>0</v>
      </c>
      <c r="F1149" s="1">
        <f t="shared" si="17"/>
        <v>0</v>
      </c>
      <c r="G1149" s="1" t="str">
        <f>_xlfn.XLOOKUP(C1149,'Ocupação DW'!$F:$F,'Ocupação DW'!$E:$E,"",0)</f>
        <v/>
      </c>
      <c r="H1149" t="str">
        <f>Vagas[[#This Row],[data]]&amp;Vagas[[#This Row],[profissional_id]]&amp;Vagas[[#This Row],[local_id]]</f>
        <v>4464317892</v>
      </c>
    </row>
    <row r="1150" spans="1:8" x14ac:dyDescent="0.25">
      <c r="A1150" s="2">
        <v>44643</v>
      </c>
      <c r="B1150">
        <v>17892</v>
      </c>
      <c r="C1150">
        <v>55</v>
      </c>
      <c r="D1150">
        <v>3</v>
      </c>
      <c r="E1150">
        <v>0</v>
      </c>
      <c r="F1150" s="1">
        <f t="shared" si="17"/>
        <v>0</v>
      </c>
      <c r="G1150" s="1" t="str">
        <f>_xlfn.XLOOKUP(C1150,'Ocupação DW'!$F:$F,'Ocupação DW'!$E:$E,"",0)</f>
        <v>SEG - NILÓPOLIS</v>
      </c>
      <c r="H1150" t="str">
        <f>Vagas[[#This Row],[data]]&amp;Vagas[[#This Row],[profissional_id]]&amp;Vagas[[#This Row],[local_id]]</f>
        <v>446431789255</v>
      </c>
    </row>
    <row r="1151" spans="1:8" x14ac:dyDescent="0.25">
      <c r="A1151" s="2">
        <v>44643</v>
      </c>
      <c r="B1151">
        <v>17893</v>
      </c>
      <c r="C1151">
        <v>4</v>
      </c>
      <c r="D1151">
        <v>5</v>
      </c>
      <c r="E1151">
        <v>0</v>
      </c>
      <c r="F1151" s="1">
        <f t="shared" si="17"/>
        <v>0</v>
      </c>
      <c r="G1151" s="1" t="str">
        <f>_xlfn.XLOOKUP(C1151,'Ocupação DW'!$F:$F,'Ocupação DW'!$E:$E,"",0)</f>
        <v>SEG - FILIAL II 10°</v>
      </c>
      <c r="H1151" t="str">
        <f>Vagas[[#This Row],[data]]&amp;Vagas[[#This Row],[profissional_id]]&amp;Vagas[[#This Row],[local_id]]</f>
        <v>44643178934</v>
      </c>
    </row>
    <row r="1152" spans="1:8" x14ac:dyDescent="0.25">
      <c r="A1152" s="2">
        <v>44643</v>
      </c>
      <c r="B1152">
        <v>17894</v>
      </c>
      <c r="C1152">
        <v>76</v>
      </c>
      <c r="D1152">
        <v>1</v>
      </c>
      <c r="E1152">
        <v>0</v>
      </c>
      <c r="F1152" s="1">
        <f t="shared" si="17"/>
        <v>0</v>
      </c>
      <c r="G1152" s="1" t="str">
        <f>_xlfn.XLOOKUP(C1152,'Ocupação DW'!$F:$F,'Ocupação DW'!$E:$E,"",0)</f>
        <v>SEG - MIGUEL COUTO</v>
      </c>
      <c r="H1152" t="str">
        <f>Vagas[[#This Row],[data]]&amp;Vagas[[#This Row],[profissional_id]]&amp;Vagas[[#This Row],[local_id]]</f>
        <v>446431789476</v>
      </c>
    </row>
    <row r="1153" spans="1:8" x14ac:dyDescent="0.25">
      <c r="A1153" s="2">
        <v>44643</v>
      </c>
      <c r="B1153">
        <v>17895</v>
      </c>
      <c r="C1153">
        <v>55</v>
      </c>
      <c r="D1153">
        <v>2</v>
      </c>
      <c r="E1153">
        <v>0</v>
      </c>
      <c r="F1153" s="1">
        <f t="shared" si="17"/>
        <v>0</v>
      </c>
      <c r="G1153" s="1" t="str">
        <f>_xlfn.XLOOKUP(C1153,'Ocupação DW'!$F:$F,'Ocupação DW'!$E:$E,"",0)</f>
        <v>SEG - NILÓPOLIS</v>
      </c>
      <c r="H1153" t="str">
        <f>Vagas[[#This Row],[data]]&amp;Vagas[[#This Row],[profissional_id]]&amp;Vagas[[#This Row],[local_id]]</f>
        <v>446431789555</v>
      </c>
    </row>
    <row r="1154" spans="1:8" x14ac:dyDescent="0.25">
      <c r="A1154" s="2">
        <v>44643</v>
      </c>
      <c r="B1154">
        <v>17898</v>
      </c>
      <c r="C1154">
        <v>35</v>
      </c>
      <c r="D1154">
        <v>78</v>
      </c>
      <c r="E1154">
        <v>0</v>
      </c>
      <c r="F1154" s="1">
        <f t="shared" ref="F1154:F1217" si="18">IF(AND(A1154=A1153,B1154=B1153,D1153&lt;&gt;0,D1154=0),D1153,0)</f>
        <v>0</v>
      </c>
      <c r="G1154" s="1" t="str">
        <f>_xlfn.XLOOKUP(C1154,'Ocupação DW'!$F:$F,'Ocupação DW'!$E:$E,"",0)</f>
        <v/>
      </c>
      <c r="H1154" t="str">
        <f>Vagas[[#This Row],[data]]&amp;Vagas[[#This Row],[profissional_id]]&amp;Vagas[[#This Row],[local_id]]</f>
        <v>446431789835</v>
      </c>
    </row>
    <row r="1155" spans="1:8" x14ac:dyDescent="0.25">
      <c r="A1155" s="2">
        <v>44643</v>
      </c>
      <c r="B1155">
        <v>17899</v>
      </c>
      <c r="C1155">
        <v>3</v>
      </c>
      <c r="D1155">
        <v>66</v>
      </c>
      <c r="E1155">
        <v>0</v>
      </c>
      <c r="F1155" s="1">
        <f t="shared" si="18"/>
        <v>0</v>
      </c>
      <c r="G1155" s="1" t="str">
        <f>_xlfn.XLOOKUP(C1155,'Ocupação DW'!$F:$F,'Ocupação DW'!$E:$E,"",0)</f>
        <v>SEG - FILIAL II 10°</v>
      </c>
      <c r="H1155" t="str">
        <f>Vagas[[#This Row],[data]]&amp;Vagas[[#This Row],[profissional_id]]&amp;Vagas[[#This Row],[local_id]]</f>
        <v>44643178993</v>
      </c>
    </row>
    <row r="1156" spans="1:8" x14ac:dyDescent="0.25">
      <c r="A1156" s="2">
        <v>44643</v>
      </c>
      <c r="B1156">
        <v>17900</v>
      </c>
      <c r="C1156">
        <v>77</v>
      </c>
      <c r="D1156">
        <v>60</v>
      </c>
      <c r="E1156">
        <v>0</v>
      </c>
      <c r="F1156" s="1">
        <f t="shared" si="18"/>
        <v>0</v>
      </c>
      <c r="G1156" s="1" t="str">
        <f>_xlfn.XLOOKUP(C1156,'Ocupação DW'!$F:$F,'Ocupação DW'!$E:$E,"",0)</f>
        <v/>
      </c>
      <c r="H1156" t="str">
        <f>Vagas[[#This Row],[data]]&amp;Vagas[[#This Row],[profissional_id]]&amp;Vagas[[#This Row],[local_id]]</f>
        <v>446431790077</v>
      </c>
    </row>
    <row r="1157" spans="1:8" x14ac:dyDescent="0.25">
      <c r="A1157" s="2">
        <v>44643</v>
      </c>
      <c r="B1157">
        <v>17901</v>
      </c>
      <c r="C1157">
        <v>55</v>
      </c>
      <c r="D1157">
        <v>66</v>
      </c>
      <c r="E1157">
        <v>0</v>
      </c>
      <c r="F1157" s="1">
        <f t="shared" si="18"/>
        <v>0</v>
      </c>
      <c r="G1157" s="1" t="str">
        <f>_xlfn.XLOOKUP(C1157,'Ocupação DW'!$F:$F,'Ocupação DW'!$E:$E,"",0)</f>
        <v>SEG - NILÓPOLIS</v>
      </c>
      <c r="H1157" t="str">
        <f>Vagas[[#This Row],[data]]&amp;Vagas[[#This Row],[profissional_id]]&amp;Vagas[[#This Row],[local_id]]</f>
        <v>446431790155</v>
      </c>
    </row>
    <row r="1158" spans="1:8" x14ac:dyDescent="0.25">
      <c r="A1158" s="2">
        <v>44643</v>
      </c>
      <c r="B1158">
        <v>17902</v>
      </c>
      <c r="C1158">
        <v>39</v>
      </c>
      <c r="D1158">
        <v>52</v>
      </c>
      <c r="E1158">
        <v>0</v>
      </c>
      <c r="F1158" s="1">
        <f t="shared" si="18"/>
        <v>0</v>
      </c>
      <c r="G1158" s="1" t="str">
        <f>_xlfn.XLOOKUP(C1158,'Ocupação DW'!$F:$F,'Ocupação DW'!$E:$E,"",0)</f>
        <v>SEG - FILIAL I</v>
      </c>
      <c r="H1158" t="str">
        <f>Vagas[[#This Row],[data]]&amp;Vagas[[#This Row],[profissional_id]]&amp;Vagas[[#This Row],[local_id]]</f>
        <v>446431790239</v>
      </c>
    </row>
    <row r="1159" spans="1:8" x14ac:dyDescent="0.25">
      <c r="A1159" s="2">
        <v>44643</v>
      </c>
      <c r="B1159">
        <v>17903</v>
      </c>
      <c r="D1159">
        <v>0</v>
      </c>
      <c r="E1159">
        <v>0</v>
      </c>
      <c r="F1159" s="1">
        <f t="shared" si="18"/>
        <v>0</v>
      </c>
      <c r="G1159" s="1" t="str">
        <f>_xlfn.XLOOKUP(C1159,'Ocupação DW'!$F:$F,'Ocupação DW'!$E:$E,"",0)</f>
        <v/>
      </c>
      <c r="H1159" t="str">
        <f>Vagas[[#This Row],[data]]&amp;Vagas[[#This Row],[profissional_id]]&amp;Vagas[[#This Row],[local_id]]</f>
        <v>4464317903</v>
      </c>
    </row>
    <row r="1160" spans="1:8" x14ac:dyDescent="0.25">
      <c r="A1160" s="2">
        <v>44643</v>
      </c>
      <c r="B1160">
        <v>17904</v>
      </c>
      <c r="D1160">
        <v>0</v>
      </c>
      <c r="E1160">
        <v>0</v>
      </c>
      <c r="F1160" s="1">
        <f t="shared" si="18"/>
        <v>0</v>
      </c>
      <c r="G1160" s="1" t="str">
        <f>_xlfn.XLOOKUP(C1160,'Ocupação DW'!$F:$F,'Ocupação DW'!$E:$E,"",0)</f>
        <v/>
      </c>
      <c r="H1160" t="str">
        <f>Vagas[[#This Row],[data]]&amp;Vagas[[#This Row],[profissional_id]]&amp;Vagas[[#This Row],[local_id]]</f>
        <v>4464317904</v>
      </c>
    </row>
    <row r="1161" spans="1:8" x14ac:dyDescent="0.25">
      <c r="A1161" s="2">
        <v>44643</v>
      </c>
      <c r="B1161">
        <v>17907</v>
      </c>
      <c r="C1161">
        <v>55</v>
      </c>
      <c r="D1161">
        <v>14</v>
      </c>
      <c r="E1161">
        <v>0</v>
      </c>
      <c r="F1161" s="1">
        <f t="shared" si="18"/>
        <v>0</v>
      </c>
      <c r="G1161" s="1" t="str">
        <f>_xlfn.XLOOKUP(C1161,'Ocupação DW'!$F:$F,'Ocupação DW'!$E:$E,"",0)</f>
        <v>SEG - NILÓPOLIS</v>
      </c>
      <c r="H1161" t="str">
        <f>Vagas[[#This Row],[data]]&amp;Vagas[[#This Row],[profissional_id]]&amp;Vagas[[#This Row],[local_id]]</f>
        <v>446431790755</v>
      </c>
    </row>
    <row r="1162" spans="1:8" x14ac:dyDescent="0.25">
      <c r="A1162" s="2">
        <v>44643</v>
      </c>
      <c r="B1162">
        <v>17908</v>
      </c>
      <c r="C1162">
        <v>25</v>
      </c>
      <c r="D1162">
        <v>14</v>
      </c>
      <c r="E1162">
        <v>0</v>
      </c>
      <c r="F1162" s="1">
        <f t="shared" si="18"/>
        <v>0</v>
      </c>
      <c r="G1162" s="1" t="str">
        <f>_xlfn.XLOOKUP(C1162,'Ocupação DW'!$F:$F,'Ocupação DW'!$E:$E,"",0)</f>
        <v>SEG - MATRIZ</v>
      </c>
      <c r="H1162" t="str">
        <f>Vagas[[#This Row],[data]]&amp;Vagas[[#This Row],[profissional_id]]&amp;Vagas[[#This Row],[local_id]]</f>
        <v>446431790825</v>
      </c>
    </row>
    <row r="1163" spans="1:8" x14ac:dyDescent="0.25">
      <c r="A1163" s="2">
        <v>44643</v>
      </c>
      <c r="B1163">
        <v>17909</v>
      </c>
      <c r="C1163">
        <v>4</v>
      </c>
      <c r="D1163">
        <v>0</v>
      </c>
      <c r="E1163">
        <v>0</v>
      </c>
      <c r="F1163" s="1">
        <f t="shared" si="18"/>
        <v>0</v>
      </c>
      <c r="G1163" s="1" t="str">
        <f>_xlfn.XLOOKUP(C1163,'Ocupação DW'!$F:$F,'Ocupação DW'!$E:$E,"",0)</f>
        <v>SEG - FILIAL II 10°</v>
      </c>
      <c r="H1163" t="str">
        <f>Vagas[[#This Row],[data]]&amp;Vagas[[#This Row],[profissional_id]]&amp;Vagas[[#This Row],[local_id]]</f>
        <v>44643179094</v>
      </c>
    </row>
    <row r="1164" spans="1:8" x14ac:dyDescent="0.25">
      <c r="A1164" s="2">
        <v>44643</v>
      </c>
      <c r="B1164">
        <v>17918</v>
      </c>
      <c r="C1164">
        <v>42</v>
      </c>
      <c r="D1164">
        <v>0</v>
      </c>
      <c r="E1164">
        <v>0</v>
      </c>
      <c r="F1164" s="1">
        <f t="shared" si="18"/>
        <v>0</v>
      </c>
      <c r="G1164" s="1" t="str">
        <f>_xlfn.XLOOKUP(C1164,'Ocupação DW'!$F:$F,'Ocupação DW'!$E:$E,"",0)</f>
        <v>SEG - FILIAL I</v>
      </c>
      <c r="H1164" t="str">
        <f>Vagas[[#This Row],[data]]&amp;Vagas[[#This Row],[profissional_id]]&amp;Vagas[[#This Row],[local_id]]</f>
        <v>446431791842</v>
      </c>
    </row>
    <row r="1165" spans="1:8" x14ac:dyDescent="0.25">
      <c r="A1165" s="2">
        <v>44643</v>
      </c>
      <c r="B1165">
        <v>17922</v>
      </c>
      <c r="D1165">
        <v>133</v>
      </c>
      <c r="E1165">
        <v>0</v>
      </c>
      <c r="F1165" s="1">
        <f t="shared" si="18"/>
        <v>0</v>
      </c>
      <c r="G1165" s="1" t="str">
        <f>_xlfn.XLOOKUP(C1165,'Ocupação DW'!$F:$F,'Ocupação DW'!$E:$E,"",0)</f>
        <v/>
      </c>
      <c r="H1165" t="str">
        <f>Vagas[[#This Row],[data]]&amp;Vagas[[#This Row],[profissional_id]]&amp;Vagas[[#This Row],[local_id]]</f>
        <v>4464317922</v>
      </c>
    </row>
    <row r="1166" spans="1:8" x14ac:dyDescent="0.25">
      <c r="A1166" s="2">
        <v>44643</v>
      </c>
      <c r="B1166">
        <v>17922</v>
      </c>
      <c r="C1166">
        <v>74</v>
      </c>
      <c r="D1166">
        <v>133</v>
      </c>
      <c r="E1166">
        <v>0</v>
      </c>
      <c r="F1166" s="1">
        <f t="shared" si="18"/>
        <v>0</v>
      </c>
      <c r="G1166" s="1" t="str">
        <f>_xlfn.XLOOKUP(C1166,'Ocupação DW'!$F:$F,'Ocupação DW'!$E:$E,"",0)</f>
        <v/>
      </c>
      <c r="H1166" t="str">
        <f>Vagas[[#This Row],[data]]&amp;Vagas[[#This Row],[profissional_id]]&amp;Vagas[[#This Row],[local_id]]</f>
        <v>446431792274</v>
      </c>
    </row>
    <row r="1167" spans="1:8" x14ac:dyDescent="0.25">
      <c r="A1167" s="2">
        <v>44643</v>
      </c>
      <c r="B1167">
        <v>17924</v>
      </c>
      <c r="C1167">
        <v>52</v>
      </c>
      <c r="D1167">
        <v>133</v>
      </c>
      <c r="E1167">
        <v>0</v>
      </c>
      <c r="F1167" s="1">
        <f t="shared" si="18"/>
        <v>0</v>
      </c>
      <c r="G1167" s="1" t="str">
        <f>_xlfn.XLOOKUP(C1167,'Ocupação DW'!$F:$F,'Ocupação DW'!$E:$E,"",0)</f>
        <v/>
      </c>
      <c r="H1167" t="str">
        <f>Vagas[[#This Row],[data]]&amp;Vagas[[#This Row],[profissional_id]]&amp;Vagas[[#This Row],[local_id]]</f>
        <v>446431792452</v>
      </c>
    </row>
    <row r="1168" spans="1:8" x14ac:dyDescent="0.25">
      <c r="A1168" s="2">
        <v>44643</v>
      </c>
      <c r="B1168">
        <v>17931</v>
      </c>
      <c r="C1168">
        <v>11</v>
      </c>
      <c r="D1168">
        <v>0</v>
      </c>
      <c r="E1168">
        <v>0</v>
      </c>
      <c r="F1168" s="1">
        <f t="shared" si="18"/>
        <v>0</v>
      </c>
      <c r="G1168" s="1" t="str">
        <f>_xlfn.XLOOKUP(C1168,'Ocupação DW'!$F:$F,'Ocupação DW'!$E:$E,"",0)</f>
        <v>SEG - FILIAL II 11°</v>
      </c>
      <c r="H1168" t="str">
        <f>Vagas[[#This Row],[data]]&amp;Vagas[[#This Row],[profissional_id]]&amp;Vagas[[#This Row],[local_id]]</f>
        <v>446431793111</v>
      </c>
    </row>
    <row r="1169" spans="1:8" x14ac:dyDescent="0.25">
      <c r="A1169" s="2">
        <v>44643</v>
      </c>
      <c r="D1169">
        <v>0</v>
      </c>
      <c r="E1169">
        <v>0</v>
      </c>
      <c r="F1169" s="1">
        <f t="shared" si="18"/>
        <v>0</v>
      </c>
      <c r="G1169" s="1" t="str">
        <f>_xlfn.XLOOKUP(C1169,'Ocupação DW'!$F:$F,'Ocupação DW'!$E:$E,"",0)</f>
        <v/>
      </c>
      <c r="H1169" t="str">
        <f>Vagas[[#This Row],[data]]&amp;Vagas[[#This Row],[profissional_id]]&amp;Vagas[[#This Row],[local_id]]</f>
        <v>44643</v>
      </c>
    </row>
    <row r="1170" spans="1:8" x14ac:dyDescent="0.25">
      <c r="A1170" s="2">
        <v>44643</v>
      </c>
      <c r="D1170">
        <v>0</v>
      </c>
      <c r="E1170">
        <v>0</v>
      </c>
      <c r="F1170" s="1">
        <f t="shared" si="18"/>
        <v>0</v>
      </c>
      <c r="G1170" s="1" t="str">
        <f>_xlfn.XLOOKUP(C1170,'Ocupação DW'!$F:$F,'Ocupação DW'!$E:$E,"",0)</f>
        <v/>
      </c>
      <c r="H1170" t="str">
        <f>Vagas[[#This Row],[data]]&amp;Vagas[[#This Row],[profissional_id]]&amp;Vagas[[#This Row],[local_id]]</f>
        <v>44643</v>
      </c>
    </row>
    <row r="1171" spans="1:8" x14ac:dyDescent="0.25">
      <c r="A1171" s="2">
        <v>44643</v>
      </c>
      <c r="D1171">
        <v>0</v>
      </c>
      <c r="E1171">
        <v>0</v>
      </c>
      <c r="F1171" s="1">
        <f t="shared" si="18"/>
        <v>0</v>
      </c>
      <c r="G1171" s="1" t="str">
        <f>_xlfn.XLOOKUP(C1171,'Ocupação DW'!$F:$F,'Ocupação DW'!$E:$E,"",0)</f>
        <v/>
      </c>
      <c r="H1171" t="str">
        <f>Vagas[[#This Row],[data]]&amp;Vagas[[#This Row],[profissional_id]]&amp;Vagas[[#This Row],[local_id]]</f>
        <v>44643</v>
      </c>
    </row>
    <row r="1172" spans="1:8" x14ac:dyDescent="0.25">
      <c r="A1172" s="2">
        <v>44644</v>
      </c>
      <c r="B1172">
        <v>19</v>
      </c>
      <c r="C1172">
        <v>41</v>
      </c>
      <c r="D1172">
        <v>13</v>
      </c>
      <c r="E1172">
        <v>0</v>
      </c>
      <c r="F1172" s="1">
        <f t="shared" si="18"/>
        <v>0</v>
      </c>
      <c r="G1172" s="1" t="str">
        <f>_xlfn.XLOOKUP(C1172,'Ocupação DW'!$F:$F,'Ocupação DW'!$E:$E,"",0)</f>
        <v>SEG - FILIAL I</v>
      </c>
      <c r="H1172" t="str">
        <f>Vagas[[#This Row],[data]]&amp;Vagas[[#This Row],[profissional_id]]&amp;Vagas[[#This Row],[local_id]]</f>
        <v>446441941</v>
      </c>
    </row>
    <row r="1173" spans="1:8" x14ac:dyDescent="0.25">
      <c r="A1173" s="2">
        <v>44644</v>
      </c>
      <c r="B1173">
        <v>53</v>
      </c>
      <c r="C1173">
        <v>3</v>
      </c>
      <c r="D1173">
        <v>17</v>
      </c>
      <c r="E1173">
        <v>0</v>
      </c>
      <c r="F1173" s="1">
        <f t="shared" si="18"/>
        <v>0</v>
      </c>
      <c r="G1173" s="1" t="str">
        <f>_xlfn.XLOOKUP(C1173,'Ocupação DW'!$F:$F,'Ocupação DW'!$E:$E,"",0)</f>
        <v>SEG - FILIAL II 10°</v>
      </c>
      <c r="H1173" t="str">
        <f>Vagas[[#This Row],[data]]&amp;Vagas[[#This Row],[profissional_id]]&amp;Vagas[[#This Row],[local_id]]</f>
        <v>44644533</v>
      </c>
    </row>
    <row r="1174" spans="1:8" x14ac:dyDescent="0.25">
      <c r="A1174" s="2">
        <v>44644</v>
      </c>
      <c r="B1174">
        <v>53</v>
      </c>
      <c r="C1174">
        <v>5</v>
      </c>
      <c r="D1174">
        <v>0</v>
      </c>
      <c r="E1174">
        <v>0</v>
      </c>
      <c r="F1174" s="1">
        <f t="shared" si="18"/>
        <v>17</v>
      </c>
      <c r="G1174" s="1" t="str">
        <f>_xlfn.XLOOKUP(C1174,'Ocupação DW'!$F:$F,'Ocupação DW'!$E:$E,"",0)</f>
        <v>SEG - FILIAL II 10°</v>
      </c>
      <c r="H1174" t="str">
        <f>Vagas[[#This Row],[data]]&amp;Vagas[[#This Row],[profissional_id]]&amp;Vagas[[#This Row],[local_id]]</f>
        <v>44644535</v>
      </c>
    </row>
    <row r="1175" spans="1:8" x14ac:dyDescent="0.25">
      <c r="A1175" s="2">
        <v>44644</v>
      </c>
      <c r="B1175">
        <v>53</v>
      </c>
      <c r="C1175">
        <v>14</v>
      </c>
      <c r="D1175">
        <v>0</v>
      </c>
      <c r="E1175">
        <v>0</v>
      </c>
      <c r="F1175" s="1">
        <f t="shared" si="18"/>
        <v>0</v>
      </c>
      <c r="G1175" s="1" t="str">
        <f>_xlfn.XLOOKUP(C1175,'Ocupação DW'!$F:$F,'Ocupação DW'!$E:$E,"",0)</f>
        <v>SEG - FILIAL II 11°</v>
      </c>
      <c r="H1175" t="str">
        <f>Vagas[[#This Row],[data]]&amp;Vagas[[#This Row],[profissional_id]]&amp;Vagas[[#This Row],[local_id]]</f>
        <v>446445314</v>
      </c>
    </row>
    <row r="1176" spans="1:8" x14ac:dyDescent="0.25">
      <c r="A1176" s="2">
        <v>44644</v>
      </c>
      <c r="B1176">
        <v>54</v>
      </c>
      <c r="D1176">
        <v>13</v>
      </c>
      <c r="E1176">
        <v>0</v>
      </c>
      <c r="F1176" s="1">
        <f t="shared" si="18"/>
        <v>0</v>
      </c>
      <c r="G1176" s="1" t="str">
        <f>_xlfn.XLOOKUP(C1176,'Ocupação DW'!$F:$F,'Ocupação DW'!$E:$E,"",0)</f>
        <v/>
      </c>
      <c r="H1176" t="str">
        <f>Vagas[[#This Row],[data]]&amp;Vagas[[#This Row],[profissional_id]]&amp;Vagas[[#This Row],[local_id]]</f>
        <v>4464454</v>
      </c>
    </row>
    <row r="1177" spans="1:8" x14ac:dyDescent="0.25">
      <c r="A1177" s="2">
        <v>44644</v>
      </c>
      <c r="B1177">
        <v>54</v>
      </c>
      <c r="C1177">
        <v>50</v>
      </c>
      <c r="D1177">
        <v>17</v>
      </c>
      <c r="E1177">
        <v>0</v>
      </c>
      <c r="F1177" s="1">
        <f t="shared" si="18"/>
        <v>0</v>
      </c>
      <c r="G1177" s="1" t="str">
        <f>_xlfn.XLOOKUP(C1177,'Ocupação DW'!$F:$F,'Ocupação DW'!$E:$E,"",0)</f>
        <v>SEG - FILIAL I</v>
      </c>
      <c r="H1177" t="str">
        <f>Vagas[[#This Row],[data]]&amp;Vagas[[#This Row],[profissional_id]]&amp;Vagas[[#This Row],[local_id]]</f>
        <v>446445450</v>
      </c>
    </row>
    <row r="1178" spans="1:8" x14ac:dyDescent="0.25">
      <c r="A1178" s="2">
        <v>44644</v>
      </c>
      <c r="B1178">
        <v>55</v>
      </c>
      <c r="D1178">
        <v>0</v>
      </c>
      <c r="E1178">
        <v>0</v>
      </c>
      <c r="F1178" s="1">
        <f t="shared" si="18"/>
        <v>0</v>
      </c>
      <c r="G1178" s="1" t="str">
        <f>_xlfn.XLOOKUP(C1178,'Ocupação DW'!$F:$F,'Ocupação DW'!$E:$E,"",0)</f>
        <v/>
      </c>
      <c r="H1178" t="str">
        <f>Vagas[[#This Row],[data]]&amp;Vagas[[#This Row],[profissional_id]]&amp;Vagas[[#This Row],[local_id]]</f>
        <v>4464455</v>
      </c>
    </row>
    <row r="1179" spans="1:8" x14ac:dyDescent="0.25">
      <c r="A1179" s="2">
        <v>44644</v>
      </c>
      <c r="B1179">
        <v>59</v>
      </c>
      <c r="D1179">
        <v>0</v>
      </c>
      <c r="E1179">
        <v>0</v>
      </c>
      <c r="F1179" s="1">
        <f t="shared" si="18"/>
        <v>0</v>
      </c>
      <c r="G1179" s="1" t="str">
        <f>_xlfn.XLOOKUP(C1179,'Ocupação DW'!$F:$F,'Ocupação DW'!$E:$E,"",0)</f>
        <v/>
      </c>
      <c r="H1179" t="str">
        <f>Vagas[[#This Row],[data]]&amp;Vagas[[#This Row],[profissional_id]]&amp;Vagas[[#This Row],[local_id]]</f>
        <v>4464459</v>
      </c>
    </row>
    <row r="1180" spans="1:8" x14ac:dyDescent="0.25">
      <c r="A1180" s="2">
        <v>44644</v>
      </c>
      <c r="B1180">
        <v>60</v>
      </c>
      <c r="D1180">
        <v>19</v>
      </c>
      <c r="E1180">
        <v>0</v>
      </c>
      <c r="F1180" s="1">
        <f t="shared" si="18"/>
        <v>0</v>
      </c>
      <c r="G1180" s="1" t="str">
        <f>_xlfn.XLOOKUP(C1180,'Ocupação DW'!$F:$F,'Ocupação DW'!$E:$E,"",0)</f>
        <v/>
      </c>
      <c r="H1180" t="str">
        <f>Vagas[[#This Row],[data]]&amp;Vagas[[#This Row],[profissional_id]]&amp;Vagas[[#This Row],[local_id]]</f>
        <v>4464460</v>
      </c>
    </row>
    <row r="1181" spans="1:8" x14ac:dyDescent="0.25">
      <c r="A1181" s="2">
        <v>44644</v>
      </c>
      <c r="B1181">
        <v>60</v>
      </c>
      <c r="C1181">
        <v>346</v>
      </c>
      <c r="D1181">
        <v>0</v>
      </c>
      <c r="E1181">
        <v>0</v>
      </c>
      <c r="F1181" s="1">
        <f t="shared" si="18"/>
        <v>19</v>
      </c>
      <c r="G1181" s="1" t="str">
        <f>_xlfn.XLOOKUP(C1181,'Ocupação DW'!$F:$F,'Ocupação DW'!$E:$E,"",0)</f>
        <v>SEG - MATRIZ</v>
      </c>
      <c r="H1181" t="str">
        <f>Vagas[[#This Row],[data]]&amp;Vagas[[#This Row],[profissional_id]]&amp;Vagas[[#This Row],[local_id]]</f>
        <v>4464460346</v>
      </c>
    </row>
    <row r="1182" spans="1:8" x14ac:dyDescent="0.25">
      <c r="A1182" s="2">
        <v>44644</v>
      </c>
      <c r="B1182">
        <v>66</v>
      </c>
      <c r="D1182">
        <v>61</v>
      </c>
      <c r="E1182">
        <v>0</v>
      </c>
      <c r="F1182" s="1">
        <f t="shared" si="18"/>
        <v>0</v>
      </c>
      <c r="G1182" s="1" t="str">
        <f>_xlfn.XLOOKUP(C1182,'Ocupação DW'!$F:$F,'Ocupação DW'!$E:$E,"",0)</f>
        <v/>
      </c>
      <c r="H1182" t="str">
        <f>Vagas[[#This Row],[data]]&amp;Vagas[[#This Row],[profissional_id]]&amp;Vagas[[#This Row],[local_id]]</f>
        <v>4464466</v>
      </c>
    </row>
    <row r="1183" spans="1:8" x14ac:dyDescent="0.25">
      <c r="A1183" s="2">
        <v>44644</v>
      </c>
      <c r="B1183">
        <v>66</v>
      </c>
      <c r="C1183">
        <v>345</v>
      </c>
      <c r="D1183">
        <v>64</v>
      </c>
      <c r="E1183">
        <v>0</v>
      </c>
      <c r="F1183" s="1">
        <f t="shared" si="18"/>
        <v>0</v>
      </c>
      <c r="G1183" s="1" t="str">
        <f>_xlfn.XLOOKUP(C1183,'Ocupação DW'!$F:$F,'Ocupação DW'!$E:$E,"",0)</f>
        <v>SEG - MATRIZ</v>
      </c>
      <c r="H1183" t="str">
        <f>Vagas[[#This Row],[data]]&amp;Vagas[[#This Row],[profissional_id]]&amp;Vagas[[#This Row],[local_id]]</f>
        <v>4464466345</v>
      </c>
    </row>
    <row r="1184" spans="1:8" x14ac:dyDescent="0.25">
      <c r="A1184" s="2">
        <v>44644</v>
      </c>
      <c r="B1184">
        <v>69</v>
      </c>
      <c r="D1184">
        <v>13</v>
      </c>
      <c r="E1184">
        <v>0</v>
      </c>
      <c r="F1184" s="1">
        <f t="shared" si="18"/>
        <v>0</v>
      </c>
      <c r="G1184" s="1" t="str">
        <f>_xlfn.XLOOKUP(C1184,'Ocupação DW'!$F:$F,'Ocupação DW'!$E:$E,"",0)</f>
        <v/>
      </c>
      <c r="H1184" t="str">
        <f>Vagas[[#This Row],[data]]&amp;Vagas[[#This Row],[profissional_id]]&amp;Vagas[[#This Row],[local_id]]</f>
        <v>4464469</v>
      </c>
    </row>
    <row r="1185" spans="1:8" x14ac:dyDescent="0.25">
      <c r="A1185" s="2">
        <v>44644</v>
      </c>
      <c r="B1185">
        <v>70</v>
      </c>
      <c r="D1185">
        <v>0</v>
      </c>
      <c r="E1185">
        <v>0</v>
      </c>
      <c r="F1185" s="1">
        <f t="shared" si="18"/>
        <v>0</v>
      </c>
      <c r="G1185" s="1" t="str">
        <f>_xlfn.XLOOKUP(C1185,'Ocupação DW'!$F:$F,'Ocupação DW'!$E:$E,"",0)</f>
        <v/>
      </c>
      <c r="H1185" t="str">
        <f>Vagas[[#This Row],[data]]&amp;Vagas[[#This Row],[profissional_id]]&amp;Vagas[[#This Row],[local_id]]</f>
        <v>4464470</v>
      </c>
    </row>
    <row r="1186" spans="1:8" x14ac:dyDescent="0.25">
      <c r="A1186" s="2">
        <v>44644</v>
      </c>
      <c r="B1186">
        <v>73</v>
      </c>
      <c r="D1186">
        <v>0</v>
      </c>
      <c r="E1186">
        <v>0</v>
      </c>
      <c r="F1186" s="1">
        <f t="shared" si="18"/>
        <v>0</v>
      </c>
      <c r="G1186" s="1" t="str">
        <f>_xlfn.XLOOKUP(C1186,'Ocupação DW'!$F:$F,'Ocupação DW'!$E:$E,"",0)</f>
        <v/>
      </c>
      <c r="H1186" t="str">
        <f>Vagas[[#This Row],[data]]&amp;Vagas[[#This Row],[profissional_id]]&amp;Vagas[[#This Row],[local_id]]</f>
        <v>4464473</v>
      </c>
    </row>
    <row r="1187" spans="1:8" x14ac:dyDescent="0.25">
      <c r="A1187" s="2">
        <v>44644</v>
      </c>
      <c r="B1187">
        <v>74</v>
      </c>
      <c r="C1187">
        <v>7</v>
      </c>
      <c r="D1187">
        <v>0</v>
      </c>
      <c r="E1187">
        <v>0</v>
      </c>
      <c r="F1187" s="1">
        <f t="shared" si="18"/>
        <v>0</v>
      </c>
      <c r="G1187" s="1" t="str">
        <f>_xlfn.XLOOKUP(C1187,'Ocupação DW'!$F:$F,'Ocupação DW'!$E:$E,"",0)</f>
        <v>SEG - FILIAL II 10°</v>
      </c>
      <c r="H1187" t="str">
        <f>Vagas[[#This Row],[data]]&amp;Vagas[[#This Row],[profissional_id]]&amp;Vagas[[#This Row],[local_id]]</f>
        <v>44644747</v>
      </c>
    </row>
    <row r="1188" spans="1:8" x14ac:dyDescent="0.25">
      <c r="A1188" s="2">
        <v>44644</v>
      </c>
      <c r="B1188">
        <v>76</v>
      </c>
      <c r="C1188">
        <v>48</v>
      </c>
      <c r="D1188">
        <v>0</v>
      </c>
      <c r="E1188">
        <v>0</v>
      </c>
      <c r="F1188" s="1">
        <f t="shared" si="18"/>
        <v>0</v>
      </c>
      <c r="G1188" s="1" t="str">
        <f>_xlfn.XLOOKUP(C1188,'Ocupação DW'!$F:$F,'Ocupação DW'!$E:$E,"",0)</f>
        <v>SEG - FILIAL I</v>
      </c>
      <c r="H1188" t="str">
        <f>Vagas[[#This Row],[data]]&amp;Vagas[[#This Row],[profissional_id]]&amp;Vagas[[#This Row],[local_id]]</f>
        <v>446447648</v>
      </c>
    </row>
    <row r="1189" spans="1:8" x14ac:dyDescent="0.25">
      <c r="A1189" s="2">
        <v>44644</v>
      </c>
      <c r="B1189">
        <v>80</v>
      </c>
      <c r="C1189">
        <v>348</v>
      </c>
      <c r="D1189">
        <v>0</v>
      </c>
      <c r="E1189">
        <v>0</v>
      </c>
      <c r="F1189" s="1">
        <f t="shared" si="18"/>
        <v>0</v>
      </c>
      <c r="G1189" s="1" t="str">
        <f>_xlfn.XLOOKUP(C1189,'Ocupação DW'!$F:$F,'Ocupação DW'!$E:$E,"",0)</f>
        <v>SEG - MATRIZ</v>
      </c>
      <c r="H1189" t="str">
        <f>Vagas[[#This Row],[data]]&amp;Vagas[[#This Row],[profissional_id]]&amp;Vagas[[#This Row],[local_id]]</f>
        <v>4464480348</v>
      </c>
    </row>
    <row r="1190" spans="1:8" x14ac:dyDescent="0.25">
      <c r="A1190" s="2">
        <v>44644</v>
      </c>
      <c r="B1190">
        <v>81</v>
      </c>
      <c r="C1190">
        <v>41</v>
      </c>
      <c r="D1190">
        <v>0</v>
      </c>
      <c r="E1190">
        <v>0</v>
      </c>
      <c r="F1190" s="1">
        <f t="shared" si="18"/>
        <v>0</v>
      </c>
      <c r="G1190" s="1" t="str">
        <f>_xlfn.XLOOKUP(C1190,'Ocupação DW'!$F:$F,'Ocupação DW'!$E:$E,"",0)</f>
        <v>SEG - FILIAL I</v>
      </c>
      <c r="H1190" t="str">
        <f>Vagas[[#This Row],[data]]&amp;Vagas[[#This Row],[profissional_id]]&amp;Vagas[[#This Row],[local_id]]</f>
        <v>446448141</v>
      </c>
    </row>
    <row r="1191" spans="1:8" x14ac:dyDescent="0.25">
      <c r="A1191" s="2">
        <v>44644</v>
      </c>
      <c r="B1191">
        <v>85</v>
      </c>
      <c r="C1191">
        <v>349</v>
      </c>
      <c r="D1191">
        <v>0</v>
      </c>
      <c r="E1191">
        <v>4</v>
      </c>
      <c r="F1191" s="1">
        <f t="shared" si="18"/>
        <v>0</v>
      </c>
      <c r="G1191" s="1" t="str">
        <f>_xlfn.XLOOKUP(C1191,'Ocupação DW'!$F:$F,'Ocupação DW'!$E:$E,"",0)</f>
        <v>SEG - FILIAL II 11°</v>
      </c>
      <c r="H1191" t="str">
        <f>Vagas[[#This Row],[data]]&amp;Vagas[[#This Row],[profissional_id]]&amp;Vagas[[#This Row],[local_id]]</f>
        <v>4464485349</v>
      </c>
    </row>
    <row r="1192" spans="1:8" x14ac:dyDescent="0.25">
      <c r="A1192" s="2">
        <v>44644</v>
      </c>
      <c r="B1192">
        <v>86</v>
      </c>
      <c r="D1192">
        <v>0</v>
      </c>
      <c r="E1192">
        <v>0</v>
      </c>
      <c r="F1192" s="1">
        <f t="shared" si="18"/>
        <v>0</v>
      </c>
      <c r="G1192" s="1" t="str">
        <f>_xlfn.XLOOKUP(C1192,'Ocupação DW'!$F:$F,'Ocupação DW'!$E:$E,"",0)</f>
        <v/>
      </c>
      <c r="H1192" t="str">
        <f>Vagas[[#This Row],[data]]&amp;Vagas[[#This Row],[profissional_id]]&amp;Vagas[[#This Row],[local_id]]</f>
        <v>4464486</v>
      </c>
    </row>
    <row r="1193" spans="1:8" x14ac:dyDescent="0.25">
      <c r="A1193" s="2">
        <v>44644</v>
      </c>
      <c r="B1193">
        <v>92</v>
      </c>
      <c r="C1193">
        <v>340</v>
      </c>
      <c r="D1193">
        <v>72</v>
      </c>
      <c r="E1193">
        <v>0</v>
      </c>
      <c r="F1193" s="1">
        <f t="shared" si="18"/>
        <v>0</v>
      </c>
      <c r="G1193" s="1" t="str">
        <f>_xlfn.XLOOKUP(C1193,'Ocupação DW'!$F:$F,'Ocupação DW'!$E:$E,"",0)</f>
        <v>SEG - MATRIZ</v>
      </c>
      <c r="H1193" t="str">
        <f>Vagas[[#This Row],[data]]&amp;Vagas[[#This Row],[profissional_id]]&amp;Vagas[[#This Row],[local_id]]</f>
        <v>4464492340</v>
      </c>
    </row>
    <row r="1194" spans="1:8" x14ac:dyDescent="0.25">
      <c r="A1194" s="2">
        <v>44644</v>
      </c>
      <c r="B1194">
        <v>93</v>
      </c>
      <c r="C1194">
        <v>343</v>
      </c>
      <c r="D1194">
        <v>60</v>
      </c>
      <c r="E1194">
        <v>0</v>
      </c>
      <c r="F1194" s="1">
        <f t="shared" si="18"/>
        <v>0</v>
      </c>
      <c r="G1194" s="1" t="str">
        <f>_xlfn.XLOOKUP(C1194,'Ocupação DW'!$F:$F,'Ocupação DW'!$E:$E,"",0)</f>
        <v/>
      </c>
      <c r="H1194" t="str">
        <f>Vagas[[#This Row],[data]]&amp;Vagas[[#This Row],[profissional_id]]&amp;Vagas[[#This Row],[local_id]]</f>
        <v>4464493343</v>
      </c>
    </row>
    <row r="1195" spans="1:8" x14ac:dyDescent="0.25">
      <c r="A1195" s="2">
        <v>44644</v>
      </c>
      <c r="B1195">
        <v>100</v>
      </c>
      <c r="D1195">
        <v>33</v>
      </c>
      <c r="E1195">
        <v>5</v>
      </c>
      <c r="F1195" s="1">
        <f t="shared" si="18"/>
        <v>0</v>
      </c>
      <c r="G1195" s="1" t="str">
        <f>_xlfn.XLOOKUP(C1195,'Ocupação DW'!$F:$F,'Ocupação DW'!$E:$E,"",0)</f>
        <v/>
      </c>
      <c r="H1195" t="str">
        <f>Vagas[[#This Row],[data]]&amp;Vagas[[#This Row],[profissional_id]]&amp;Vagas[[#This Row],[local_id]]</f>
        <v>44644100</v>
      </c>
    </row>
    <row r="1196" spans="1:8" x14ac:dyDescent="0.25">
      <c r="A1196" s="2">
        <v>44644</v>
      </c>
      <c r="B1196">
        <v>100</v>
      </c>
      <c r="C1196">
        <v>342</v>
      </c>
      <c r="D1196">
        <v>0</v>
      </c>
      <c r="E1196">
        <v>4</v>
      </c>
      <c r="F1196" s="1">
        <f t="shared" si="18"/>
        <v>33</v>
      </c>
      <c r="G1196" s="1" t="str">
        <f>_xlfn.XLOOKUP(C1196,'Ocupação DW'!$F:$F,'Ocupação DW'!$E:$E,"",0)</f>
        <v>SEG - MATRIZ</v>
      </c>
      <c r="H1196" t="str">
        <f>Vagas[[#This Row],[data]]&amp;Vagas[[#This Row],[profissional_id]]&amp;Vagas[[#This Row],[local_id]]</f>
        <v>44644100342</v>
      </c>
    </row>
    <row r="1197" spans="1:8" x14ac:dyDescent="0.25">
      <c r="A1197" s="2">
        <v>44644</v>
      </c>
      <c r="B1197">
        <v>110</v>
      </c>
      <c r="D1197">
        <v>0</v>
      </c>
      <c r="E1197">
        <v>0</v>
      </c>
      <c r="F1197" s="1">
        <f t="shared" si="18"/>
        <v>0</v>
      </c>
      <c r="G1197" s="1" t="str">
        <f>_xlfn.XLOOKUP(C1197,'Ocupação DW'!$F:$F,'Ocupação DW'!$E:$E,"",0)</f>
        <v/>
      </c>
      <c r="H1197" t="str">
        <f>Vagas[[#This Row],[data]]&amp;Vagas[[#This Row],[profissional_id]]&amp;Vagas[[#This Row],[local_id]]</f>
        <v>44644110</v>
      </c>
    </row>
    <row r="1198" spans="1:8" x14ac:dyDescent="0.25">
      <c r="A1198" s="2">
        <v>44644</v>
      </c>
      <c r="B1198">
        <v>123</v>
      </c>
      <c r="D1198">
        <v>72</v>
      </c>
      <c r="E1198">
        <v>0</v>
      </c>
      <c r="F1198" s="1">
        <f t="shared" si="18"/>
        <v>0</v>
      </c>
      <c r="G1198" s="1" t="str">
        <f>_xlfn.XLOOKUP(C1198,'Ocupação DW'!$F:$F,'Ocupação DW'!$E:$E,"",0)</f>
        <v/>
      </c>
      <c r="H1198" t="str">
        <f>Vagas[[#This Row],[data]]&amp;Vagas[[#This Row],[profissional_id]]&amp;Vagas[[#This Row],[local_id]]</f>
        <v>44644123</v>
      </c>
    </row>
    <row r="1199" spans="1:8" x14ac:dyDescent="0.25">
      <c r="A1199" s="2">
        <v>44644</v>
      </c>
      <c r="B1199">
        <v>123</v>
      </c>
      <c r="C1199">
        <v>351</v>
      </c>
      <c r="D1199">
        <v>11</v>
      </c>
      <c r="E1199">
        <v>0</v>
      </c>
      <c r="F1199" s="1">
        <f t="shared" si="18"/>
        <v>0</v>
      </c>
      <c r="G1199" s="1" t="str">
        <f>_xlfn.XLOOKUP(C1199,'Ocupação DW'!$F:$F,'Ocupação DW'!$E:$E,"",0)</f>
        <v>SEG - FILIAL I</v>
      </c>
      <c r="H1199" t="str">
        <f>Vagas[[#This Row],[data]]&amp;Vagas[[#This Row],[profissional_id]]&amp;Vagas[[#This Row],[local_id]]</f>
        <v>44644123351</v>
      </c>
    </row>
    <row r="1200" spans="1:8" x14ac:dyDescent="0.25">
      <c r="A1200" s="2">
        <v>44644</v>
      </c>
      <c r="B1200">
        <v>123</v>
      </c>
      <c r="C1200">
        <v>339</v>
      </c>
      <c r="D1200">
        <v>62</v>
      </c>
      <c r="E1200">
        <v>0</v>
      </c>
      <c r="F1200" s="1">
        <f t="shared" si="18"/>
        <v>0</v>
      </c>
      <c r="G1200" s="1" t="str">
        <f>_xlfn.XLOOKUP(C1200,'Ocupação DW'!$F:$F,'Ocupação DW'!$E:$E,"",0)</f>
        <v>SEG - MATRIZ</v>
      </c>
      <c r="H1200" t="str">
        <f>Vagas[[#This Row],[data]]&amp;Vagas[[#This Row],[profissional_id]]&amp;Vagas[[#This Row],[local_id]]</f>
        <v>44644123339</v>
      </c>
    </row>
    <row r="1201" spans="1:8" x14ac:dyDescent="0.25">
      <c r="A1201" s="2">
        <v>44644</v>
      </c>
      <c r="B1201">
        <v>174</v>
      </c>
      <c r="C1201">
        <v>24</v>
      </c>
      <c r="D1201">
        <v>82</v>
      </c>
      <c r="E1201">
        <v>0</v>
      </c>
      <c r="F1201" s="1">
        <f t="shared" si="18"/>
        <v>0</v>
      </c>
      <c r="G1201" s="1" t="str">
        <f>_xlfn.XLOOKUP(C1201,'Ocupação DW'!$F:$F,'Ocupação DW'!$E:$E,"",0)</f>
        <v>SEG - MATRIZ</v>
      </c>
      <c r="H1201" t="str">
        <f>Vagas[[#This Row],[data]]&amp;Vagas[[#This Row],[profissional_id]]&amp;Vagas[[#This Row],[local_id]]</f>
        <v>4464417424</v>
      </c>
    </row>
    <row r="1202" spans="1:8" x14ac:dyDescent="0.25">
      <c r="A1202" s="2">
        <v>44644</v>
      </c>
      <c r="B1202">
        <v>266</v>
      </c>
      <c r="C1202">
        <v>339</v>
      </c>
      <c r="D1202">
        <v>23</v>
      </c>
      <c r="E1202">
        <v>0</v>
      </c>
      <c r="F1202" s="1">
        <f t="shared" si="18"/>
        <v>0</v>
      </c>
      <c r="G1202" s="1" t="str">
        <f>_xlfn.XLOOKUP(C1202,'Ocupação DW'!$F:$F,'Ocupação DW'!$E:$E,"",0)</f>
        <v>SEG - MATRIZ</v>
      </c>
      <c r="H1202" t="str">
        <f>Vagas[[#This Row],[data]]&amp;Vagas[[#This Row],[profissional_id]]&amp;Vagas[[#This Row],[local_id]]</f>
        <v>44644266339</v>
      </c>
    </row>
    <row r="1203" spans="1:8" x14ac:dyDescent="0.25">
      <c r="A1203" s="2">
        <v>44644</v>
      </c>
      <c r="B1203">
        <v>266</v>
      </c>
      <c r="C1203">
        <v>42</v>
      </c>
      <c r="D1203">
        <v>0</v>
      </c>
      <c r="E1203">
        <v>0</v>
      </c>
      <c r="F1203" s="1">
        <f t="shared" si="18"/>
        <v>23</v>
      </c>
      <c r="G1203" s="1" t="str">
        <f>_xlfn.XLOOKUP(C1203,'Ocupação DW'!$F:$F,'Ocupação DW'!$E:$E,"",0)</f>
        <v>SEG - FILIAL I</v>
      </c>
      <c r="H1203" t="str">
        <f>Vagas[[#This Row],[data]]&amp;Vagas[[#This Row],[profissional_id]]&amp;Vagas[[#This Row],[local_id]]</f>
        <v>4464426642</v>
      </c>
    </row>
    <row r="1204" spans="1:8" x14ac:dyDescent="0.25">
      <c r="A1204" s="2">
        <v>44644</v>
      </c>
      <c r="B1204">
        <v>282</v>
      </c>
      <c r="D1204">
        <v>87</v>
      </c>
      <c r="E1204">
        <v>0</v>
      </c>
      <c r="F1204" s="1">
        <f t="shared" si="18"/>
        <v>0</v>
      </c>
      <c r="G1204" s="1" t="str">
        <f>_xlfn.XLOOKUP(C1204,'Ocupação DW'!$F:$F,'Ocupação DW'!$E:$E,"",0)</f>
        <v/>
      </c>
      <c r="H1204" t="str">
        <f>Vagas[[#This Row],[data]]&amp;Vagas[[#This Row],[profissional_id]]&amp;Vagas[[#This Row],[local_id]]</f>
        <v>44644282</v>
      </c>
    </row>
    <row r="1205" spans="1:8" x14ac:dyDescent="0.25">
      <c r="A1205" s="2">
        <v>44644</v>
      </c>
      <c r="B1205">
        <v>282</v>
      </c>
      <c r="C1205">
        <v>82</v>
      </c>
      <c r="D1205">
        <v>0</v>
      </c>
      <c r="E1205">
        <v>0</v>
      </c>
      <c r="F1205" s="1">
        <f t="shared" si="18"/>
        <v>87</v>
      </c>
      <c r="G1205" s="1" t="str">
        <f>_xlfn.XLOOKUP(C1205,'Ocupação DW'!$F:$F,'Ocupação DW'!$E:$E,"",0)</f>
        <v>SEG - MIGUEL COUTO</v>
      </c>
      <c r="H1205" t="str">
        <f>Vagas[[#This Row],[data]]&amp;Vagas[[#This Row],[profissional_id]]&amp;Vagas[[#This Row],[local_id]]</f>
        <v>4464428282</v>
      </c>
    </row>
    <row r="1206" spans="1:8" x14ac:dyDescent="0.25">
      <c r="A1206" s="2">
        <v>44644</v>
      </c>
      <c r="B1206">
        <v>282</v>
      </c>
      <c r="C1206">
        <v>39</v>
      </c>
      <c r="D1206">
        <v>52</v>
      </c>
      <c r="E1206">
        <v>0</v>
      </c>
      <c r="F1206" s="1">
        <f t="shared" si="18"/>
        <v>0</v>
      </c>
      <c r="G1206" s="1" t="str">
        <f>_xlfn.XLOOKUP(C1206,'Ocupação DW'!$F:$F,'Ocupação DW'!$E:$E,"",0)</f>
        <v>SEG - FILIAL I</v>
      </c>
      <c r="H1206" t="str">
        <f>Vagas[[#This Row],[data]]&amp;Vagas[[#This Row],[profissional_id]]&amp;Vagas[[#This Row],[local_id]]</f>
        <v>4464428239</v>
      </c>
    </row>
    <row r="1207" spans="1:8" x14ac:dyDescent="0.25">
      <c r="A1207" s="2">
        <v>44644</v>
      </c>
      <c r="B1207">
        <v>531</v>
      </c>
      <c r="C1207">
        <v>12</v>
      </c>
      <c r="D1207">
        <v>0</v>
      </c>
      <c r="E1207">
        <v>0</v>
      </c>
      <c r="F1207" s="1">
        <f t="shared" si="18"/>
        <v>0</v>
      </c>
      <c r="G1207" s="1" t="str">
        <f>_xlfn.XLOOKUP(C1207,'Ocupação DW'!$F:$F,'Ocupação DW'!$E:$E,"",0)</f>
        <v>SEG - FILIAL II 11°</v>
      </c>
      <c r="H1207" t="str">
        <f>Vagas[[#This Row],[data]]&amp;Vagas[[#This Row],[profissional_id]]&amp;Vagas[[#This Row],[local_id]]</f>
        <v>4464453112</v>
      </c>
    </row>
    <row r="1208" spans="1:8" x14ac:dyDescent="0.25">
      <c r="A1208" s="2">
        <v>44644</v>
      </c>
      <c r="B1208">
        <v>1343</v>
      </c>
      <c r="D1208">
        <v>13</v>
      </c>
      <c r="E1208">
        <v>0</v>
      </c>
      <c r="F1208" s="1">
        <f t="shared" si="18"/>
        <v>0</v>
      </c>
      <c r="G1208" s="1" t="str">
        <f>_xlfn.XLOOKUP(C1208,'Ocupação DW'!$F:$F,'Ocupação DW'!$E:$E,"",0)</f>
        <v/>
      </c>
      <c r="H1208" t="str">
        <f>Vagas[[#This Row],[data]]&amp;Vagas[[#This Row],[profissional_id]]&amp;Vagas[[#This Row],[local_id]]</f>
        <v>446441343</v>
      </c>
    </row>
    <row r="1209" spans="1:8" x14ac:dyDescent="0.25">
      <c r="A1209" s="2">
        <v>44644</v>
      </c>
      <c r="B1209">
        <v>1343</v>
      </c>
      <c r="C1209">
        <v>80</v>
      </c>
      <c r="D1209">
        <v>0</v>
      </c>
      <c r="E1209">
        <v>0</v>
      </c>
      <c r="F1209" s="1">
        <f t="shared" si="18"/>
        <v>13</v>
      </c>
      <c r="G1209" s="1" t="str">
        <f>_xlfn.XLOOKUP(C1209,'Ocupação DW'!$F:$F,'Ocupação DW'!$E:$E,"",0)</f>
        <v>SEG - MIGUEL COUTO</v>
      </c>
      <c r="H1209" t="str">
        <f>Vagas[[#This Row],[data]]&amp;Vagas[[#This Row],[profissional_id]]&amp;Vagas[[#This Row],[local_id]]</f>
        <v>44644134380</v>
      </c>
    </row>
    <row r="1210" spans="1:8" x14ac:dyDescent="0.25">
      <c r="A1210" s="2">
        <v>44644</v>
      </c>
      <c r="B1210">
        <v>1490</v>
      </c>
      <c r="D1210">
        <v>12</v>
      </c>
      <c r="E1210">
        <v>0</v>
      </c>
      <c r="F1210" s="1">
        <f t="shared" si="18"/>
        <v>0</v>
      </c>
      <c r="G1210" s="1" t="str">
        <f>_xlfn.XLOOKUP(C1210,'Ocupação DW'!$F:$F,'Ocupação DW'!$E:$E,"",0)</f>
        <v/>
      </c>
      <c r="H1210" t="str">
        <f>Vagas[[#This Row],[data]]&amp;Vagas[[#This Row],[profissional_id]]&amp;Vagas[[#This Row],[local_id]]</f>
        <v>446441490</v>
      </c>
    </row>
    <row r="1211" spans="1:8" x14ac:dyDescent="0.25">
      <c r="A1211" s="2">
        <v>44644</v>
      </c>
      <c r="B1211">
        <v>1490</v>
      </c>
      <c r="C1211">
        <v>12</v>
      </c>
      <c r="D1211">
        <v>0</v>
      </c>
      <c r="E1211">
        <v>0</v>
      </c>
      <c r="F1211" s="1">
        <f t="shared" si="18"/>
        <v>12</v>
      </c>
      <c r="G1211" s="1" t="str">
        <f>_xlfn.XLOOKUP(C1211,'Ocupação DW'!$F:$F,'Ocupação DW'!$E:$E,"",0)</f>
        <v>SEG - FILIAL II 11°</v>
      </c>
      <c r="H1211" t="str">
        <f>Vagas[[#This Row],[data]]&amp;Vagas[[#This Row],[profissional_id]]&amp;Vagas[[#This Row],[local_id]]</f>
        <v>44644149012</v>
      </c>
    </row>
    <row r="1212" spans="1:8" x14ac:dyDescent="0.25">
      <c r="A1212" s="2">
        <v>44644</v>
      </c>
      <c r="B1212">
        <v>1490</v>
      </c>
      <c r="C1212">
        <v>13</v>
      </c>
      <c r="D1212">
        <v>0</v>
      </c>
      <c r="E1212">
        <v>0</v>
      </c>
      <c r="F1212" s="1">
        <f t="shared" si="18"/>
        <v>0</v>
      </c>
      <c r="G1212" s="1" t="str">
        <f>_xlfn.XLOOKUP(C1212,'Ocupação DW'!$F:$F,'Ocupação DW'!$E:$E,"",0)</f>
        <v>SEG - FILIAL II 11°</v>
      </c>
      <c r="H1212" t="str">
        <f>Vagas[[#This Row],[data]]&amp;Vagas[[#This Row],[profissional_id]]&amp;Vagas[[#This Row],[local_id]]</f>
        <v>44644149013</v>
      </c>
    </row>
    <row r="1213" spans="1:8" x14ac:dyDescent="0.25">
      <c r="A1213" s="2">
        <v>44644</v>
      </c>
      <c r="B1213">
        <v>1490</v>
      </c>
      <c r="C1213">
        <v>344</v>
      </c>
      <c r="D1213">
        <v>0</v>
      </c>
      <c r="E1213">
        <v>0</v>
      </c>
      <c r="F1213" s="1">
        <f t="shared" si="18"/>
        <v>0</v>
      </c>
      <c r="G1213" s="1" t="str">
        <f>_xlfn.XLOOKUP(C1213,'Ocupação DW'!$F:$F,'Ocupação DW'!$E:$E,"",0)</f>
        <v>SEG - MATRIZ</v>
      </c>
      <c r="H1213" t="str">
        <f>Vagas[[#This Row],[data]]&amp;Vagas[[#This Row],[profissional_id]]&amp;Vagas[[#This Row],[local_id]]</f>
        <v>446441490344</v>
      </c>
    </row>
    <row r="1214" spans="1:8" x14ac:dyDescent="0.25">
      <c r="A1214" s="2">
        <v>44644</v>
      </c>
      <c r="B1214">
        <v>2334</v>
      </c>
      <c r="D1214">
        <v>0</v>
      </c>
      <c r="E1214">
        <v>0</v>
      </c>
      <c r="F1214" s="1">
        <f t="shared" si="18"/>
        <v>0</v>
      </c>
      <c r="G1214" s="1" t="str">
        <f>_xlfn.XLOOKUP(C1214,'Ocupação DW'!$F:$F,'Ocupação DW'!$E:$E,"",0)</f>
        <v/>
      </c>
      <c r="H1214" t="str">
        <f>Vagas[[#This Row],[data]]&amp;Vagas[[#This Row],[profissional_id]]&amp;Vagas[[#This Row],[local_id]]</f>
        <v>446442334</v>
      </c>
    </row>
    <row r="1215" spans="1:8" x14ac:dyDescent="0.25">
      <c r="A1215" s="2">
        <v>44644</v>
      </c>
      <c r="B1215">
        <v>2334</v>
      </c>
      <c r="C1215">
        <v>335</v>
      </c>
      <c r="D1215">
        <v>1</v>
      </c>
      <c r="E1215">
        <v>0</v>
      </c>
      <c r="F1215" s="1">
        <f t="shared" si="18"/>
        <v>0</v>
      </c>
      <c r="G1215" s="1" t="str">
        <f>_xlfn.XLOOKUP(C1215,'Ocupação DW'!$F:$F,'Ocupação DW'!$E:$E,"",0)</f>
        <v>SEG - FILIAL I</v>
      </c>
      <c r="H1215" t="str">
        <f>Vagas[[#This Row],[data]]&amp;Vagas[[#This Row],[profissional_id]]&amp;Vagas[[#This Row],[local_id]]</f>
        <v>446442334335</v>
      </c>
    </row>
    <row r="1216" spans="1:8" x14ac:dyDescent="0.25">
      <c r="A1216" s="2">
        <v>44644</v>
      </c>
      <c r="B1216">
        <v>2567</v>
      </c>
      <c r="C1216">
        <v>18</v>
      </c>
      <c r="D1216">
        <v>0</v>
      </c>
      <c r="E1216">
        <v>0</v>
      </c>
      <c r="F1216" s="1">
        <f t="shared" si="18"/>
        <v>0</v>
      </c>
      <c r="G1216" s="1" t="str">
        <f>_xlfn.XLOOKUP(C1216,'Ocupação DW'!$F:$F,'Ocupação DW'!$E:$E,"",0)</f>
        <v>SEG - FILIAL II 11°</v>
      </c>
      <c r="H1216" t="str">
        <f>Vagas[[#This Row],[data]]&amp;Vagas[[#This Row],[profissional_id]]&amp;Vagas[[#This Row],[local_id]]</f>
        <v>44644256718</v>
      </c>
    </row>
    <row r="1217" spans="1:8" x14ac:dyDescent="0.25">
      <c r="A1217" s="2">
        <v>44644</v>
      </c>
      <c r="B1217">
        <v>3092</v>
      </c>
      <c r="D1217">
        <v>13</v>
      </c>
      <c r="E1217">
        <v>0</v>
      </c>
      <c r="F1217" s="1">
        <f t="shared" si="18"/>
        <v>0</v>
      </c>
      <c r="G1217" s="1" t="str">
        <f>_xlfn.XLOOKUP(C1217,'Ocupação DW'!$F:$F,'Ocupação DW'!$E:$E,"",0)</f>
        <v/>
      </c>
      <c r="H1217" t="str">
        <f>Vagas[[#This Row],[data]]&amp;Vagas[[#This Row],[profissional_id]]&amp;Vagas[[#This Row],[local_id]]</f>
        <v>446443092</v>
      </c>
    </row>
    <row r="1218" spans="1:8" x14ac:dyDescent="0.25">
      <c r="A1218" s="2">
        <v>44644</v>
      </c>
      <c r="B1218">
        <v>3092</v>
      </c>
      <c r="C1218">
        <v>43</v>
      </c>
      <c r="D1218">
        <v>0</v>
      </c>
      <c r="E1218">
        <v>0</v>
      </c>
      <c r="F1218" s="1">
        <f t="shared" ref="F1218:F1281" si="19">IF(AND(A1218=A1217,B1218=B1217,D1217&lt;&gt;0,D1218=0),D1217,0)</f>
        <v>13</v>
      </c>
      <c r="G1218" s="1" t="str">
        <f>_xlfn.XLOOKUP(C1218,'Ocupação DW'!$F:$F,'Ocupação DW'!$E:$E,"",0)</f>
        <v>SEG - FILIAL I</v>
      </c>
      <c r="H1218" t="str">
        <f>Vagas[[#This Row],[data]]&amp;Vagas[[#This Row],[profissional_id]]&amp;Vagas[[#This Row],[local_id]]</f>
        <v>44644309243</v>
      </c>
    </row>
    <row r="1219" spans="1:8" x14ac:dyDescent="0.25">
      <c r="A1219" s="2">
        <v>44644</v>
      </c>
      <c r="B1219">
        <v>3502</v>
      </c>
      <c r="D1219">
        <v>0</v>
      </c>
      <c r="E1219">
        <v>0</v>
      </c>
      <c r="F1219" s="1">
        <f t="shared" si="19"/>
        <v>0</v>
      </c>
      <c r="G1219" s="1" t="str">
        <f>_xlfn.XLOOKUP(C1219,'Ocupação DW'!$F:$F,'Ocupação DW'!$E:$E,"",0)</f>
        <v/>
      </c>
      <c r="H1219" t="str">
        <f>Vagas[[#This Row],[data]]&amp;Vagas[[#This Row],[profissional_id]]&amp;Vagas[[#This Row],[local_id]]</f>
        <v>446443502</v>
      </c>
    </row>
    <row r="1220" spans="1:8" x14ac:dyDescent="0.25">
      <c r="A1220" s="2">
        <v>44644</v>
      </c>
      <c r="B1220">
        <v>4422</v>
      </c>
      <c r="C1220">
        <v>343</v>
      </c>
      <c r="D1220">
        <v>60</v>
      </c>
      <c r="E1220">
        <v>0</v>
      </c>
      <c r="F1220" s="1">
        <f t="shared" si="19"/>
        <v>0</v>
      </c>
      <c r="G1220" s="1" t="str">
        <f>_xlfn.XLOOKUP(C1220,'Ocupação DW'!$F:$F,'Ocupação DW'!$E:$E,"",0)</f>
        <v/>
      </c>
      <c r="H1220" t="str">
        <f>Vagas[[#This Row],[data]]&amp;Vagas[[#This Row],[profissional_id]]&amp;Vagas[[#This Row],[local_id]]</f>
        <v>446444422343</v>
      </c>
    </row>
    <row r="1221" spans="1:8" x14ac:dyDescent="0.25">
      <c r="A1221" s="2">
        <v>44644</v>
      </c>
      <c r="B1221">
        <v>4814</v>
      </c>
      <c r="C1221">
        <v>15</v>
      </c>
      <c r="D1221">
        <v>16</v>
      </c>
      <c r="E1221">
        <v>0</v>
      </c>
      <c r="F1221" s="1">
        <f t="shared" si="19"/>
        <v>0</v>
      </c>
      <c r="G1221" s="1" t="str">
        <f>_xlfn.XLOOKUP(C1221,'Ocupação DW'!$F:$F,'Ocupação DW'!$E:$E,"",0)</f>
        <v>SEG - FILIAL II 11°</v>
      </c>
      <c r="H1221" t="str">
        <f>Vagas[[#This Row],[data]]&amp;Vagas[[#This Row],[profissional_id]]&amp;Vagas[[#This Row],[local_id]]</f>
        <v>44644481415</v>
      </c>
    </row>
    <row r="1222" spans="1:8" x14ac:dyDescent="0.25">
      <c r="A1222" s="2">
        <v>44644</v>
      </c>
      <c r="B1222">
        <v>4814</v>
      </c>
      <c r="C1222">
        <v>14</v>
      </c>
      <c r="D1222">
        <v>0</v>
      </c>
      <c r="E1222">
        <v>0</v>
      </c>
      <c r="F1222" s="1">
        <f t="shared" si="19"/>
        <v>16</v>
      </c>
      <c r="G1222" s="1" t="str">
        <f>_xlfn.XLOOKUP(C1222,'Ocupação DW'!$F:$F,'Ocupação DW'!$E:$E,"",0)</f>
        <v>SEG - FILIAL II 11°</v>
      </c>
      <c r="H1222" t="str">
        <f>Vagas[[#This Row],[data]]&amp;Vagas[[#This Row],[profissional_id]]&amp;Vagas[[#This Row],[local_id]]</f>
        <v>44644481414</v>
      </c>
    </row>
    <row r="1223" spans="1:8" x14ac:dyDescent="0.25">
      <c r="A1223" s="2">
        <v>44644</v>
      </c>
      <c r="B1223">
        <v>5822</v>
      </c>
      <c r="C1223">
        <v>11</v>
      </c>
      <c r="D1223">
        <v>0</v>
      </c>
      <c r="E1223">
        <v>0</v>
      </c>
      <c r="F1223" s="1">
        <f t="shared" si="19"/>
        <v>0</v>
      </c>
      <c r="G1223" s="1" t="str">
        <f>_xlfn.XLOOKUP(C1223,'Ocupação DW'!$F:$F,'Ocupação DW'!$E:$E,"",0)</f>
        <v>SEG - FILIAL II 11°</v>
      </c>
      <c r="H1223" t="str">
        <f>Vagas[[#This Row],[data]]&amp;Vagas[[#This Row],[profissional_id]]&amp;Vagas[[#This Row],[local_id]]</f>
        <v>44644582211</v>
      </c>
    </row>
    <row r="1224" spans="1:8" x14ac:dyDescent="0.25">
      <c r="A1224" s="2">
        <v>44644</v>
      </c>
      <c r="B1224">
        <v>6046</v>
      </c>
      <c r="D1224">
        <v>13</v>
      </c>
      <c r="E1224">
        <v>0</v>
      </c>
      <c r="F1224" s="1">
        <f t="shared" si="19"/>
        <v>0</v>
      </c>
      <c r="G1224" s="1" t="str">
        <f>_xlfn.XLOOKUP(C1224,'Ocupação DW'!$F:$F,'Ocupação DW'!$E:$E,"",0)</f>
        <v/>
      </c>
      <c r="H1224" t="str">
        <f>Vagas[[#This Row],[data]]&amp;Vagas[[#This Row],[profissional_id]]&amp;Vagas[[#This Row],[local_id]]</f>
        <v>446446046</v>
      </c>
    </row>
    <row r="1225" spans="1:8" x14ac:dyDescent="0.25">
      <c r="A1225" s="2">
        <v>44644</v>
      </c>
      <c r="B1225">
        <v>6046</v>
      </c>
      <c r="C1225">
        <v>46</v>
      </c>
      <c r="D1225">
        <v>0</v>
      </c>
      <c r="E1225">
        <v>18</v>
      </c>
      <c r="F1225" s="1">
        <f t="shared" si="19"/>
        <v>13</v>
      </c>
      <c r="G1225" s="1" t="str">
        <f>_xlfn.XLOOKUP(C1225,'Ocupação DW'!$F:$F,'Ocupação DW'!$E:$E,"",0)</f>
        <v>SEG - FILIAL I</v>
      </c>
      <c r="H1225" t="str">
        <f>Vagas[[#This Row],[data]]&amp;Vagas[[#This Row],[profissional_id]]&amp;Vagas[[#This Row],[local_id]]</f>
        <v>44644604646</v>
      </c>
    </row>
    <row r="1226" spans="1:8" x14ac:dyDescent="0.25">
      <c r="A1226" s="2">
        <v>44644</v>
      </c>
      <c r="B1226">
        <v>6430</v>
      </c>
      <c r="D1226">
        <v>0</v>
      </c>
      <c r="E1226">
        <v>0</v>
      </c>
      <c r="F1226" s="1">
        <f t="shared" si="19"/>
        <v>0</v>
      </c>
      <c r="G1226" s="1" t="str">
        <f>_xlfn.XLOOKUP(C1226,'Ocupação DW'!$F:$F,'Ocupação DW'!$E:$E,"",0)</f>
        <v/>
      </c>
      <c r="H1226" t="str">
        <f>Vagas[[#This Row],[data]]&amp;Vagas[[#This Row],[profissional_id]]&amp;Vagas[[#This Row],[local_id]]</f>
        <v>446446430</v>
      </c>
    </row>
    <row r="1227" spans="1:8" x14ac:dyDescent="0.25">
      <c r="A1227" s="2">
        <v>44644</v>
      </c>
      <c r="B1227">
        <v>6839</v>
      </c>
      <c r="C1227">
        <v>60</v>
      </c>
      <c r="D1227">
        <v>60</v>
      </c>
      <c r="E1227">
        <v>0</v>
      </c>
      <c r="F1227" s="1">
        <f t="shared" si="19"/>
        <v>0</v>
      </c>
      <c r="G1227" s="1" t="str">
        <f>_xlfn.XLOOKUP(C1227,'Ocupação DW'!$F:$F,'Ocupação DW'!$E:$E,"",0)</f>
        <v>SEG - NILÓPOLIS</v>
      </c>
      <c r="H1227" t="str">
        <f>Vagas[[#This Row],[data]]&amp;Vagas[[#This Row],[profissional_id]]&amp;Vagas[[#This Row],[local_id]]</f>
        <v>44644683960</v>
      </c>
    </row>
    <row r="1228" spans="1:8" x14ac:dyDescent="0.25">
      <c r="A1228" s="2">
        <v>44644</v>
      </c>
      <c r="B1228">
        <v>8598</v>
      </c>
      <c r="D1228">
        <v>0</v>
      </c>
      <c r="E1228">
        <v>0</v>
      </c>
      <c r="F1228" s="1">
        <f t="shared" si="19"/>
        <v>0</v>
      </c>
      <c r="G1228" s="1" t="str">
        <f>_xlfn.XLOOKUP(C1228,'Ocupação DW'!$F:$F,'Ocupação DW'!$E:$E,"",0)</f>
        <v/>
      </c>
      <c r="H1228" t="str">
        <f>Vagas[[#This Row],[data]]&amp;Vagas[[#This Row],[profissional_id]]&amp;Vagas[[#This Row],[local_id]]</f>
        <v>446448598</v>
      </c>
    </row>
    <row r="1229" spans="1:8" x14ac:dyDescent="0.25">
      <c r="A1229" s="2">
        <v>44644</v>
      </c>
      <c r="B1229">
        <v>8598</v>
      </c>
      <c r="C1229">
        <v>3</v>
      </c>
      <c r="D1229">
        <v>0</v>
      </c>
      <c r="E1229">
        <v>0</v>
      </c>
      <c r="F1229" s="1">
        <f t="shared" si="19"/>
        <v>0</v>
      </c>
      <c r="G1229" s="1" t="str">
        <f>_xlfn.XLOOKUP(C1229,'Ocupação DW'!$F:$F,'Ocupação DW'!$E:$E,"",0)</f>
        <v>SEG - FILIAL II 10°</v>
      </c>
      <c r="H1229" t="str">
        <f>Vagas[[#This Row],[data]]&amp;Vagas[[#This Row],[profissional_id]]&amp;Vagas[[#This Row],[local_id]]</f>
        <v>4464485983</v>
      </c>
    </row>
    <row r="1230" spans="1:8" x14ac:dyDescent="0.25">
      <c r="A1230" s="2">
        <v>44644</v>
      </c>
      <c r="B1230">
        <v>9111</v>
      </c>
      <c r="D1230">
        <v>49</v>
      </c>
      <c r="E1230">
        <v>0</v>
      </c>
      <c r="F1230" s="1">
        <f t="shared" si="19"/>
        <v>0</v>
      </c>
      <c r="G1230" s="1" t="str">
        <f>_xlfn.XLOOKUP(C1230,'Ocupação DW'!$F:$F,'Ocupação DW'!$E:$E,"",0)</f>
        <v/>
      </c>
      <c r="H1230" t="str">
        <f>Vagas[[#This Row],[data]]&amp;Vagas[[#This Row],[profissional_id]]&amp;Vagas[[#This Row],[local_id]]</f>
        <v>446449111</v>
      </c>
    </row>
    <row r="1231" spans="1:8" x14ac:dyDescent="0.25">
      <c r="A1231" s="2">
        <v>44644</v>
      </c>
      <c r="B1231">
        <v>9111</v>
      </c>
      <c r="C1231">
        <v>334</v>
      </c>
      <c r="D1231">
        <v>0</v>
      </c>
      <c r="E1231">
        <v>0</v>
      </c>
      <c r="F1231" s="1">
        <f t="shared" si="19"/>
        <v>49</v>
      </c>
      <c r="G1231" s="1" t="str">
        <f>_xlfn.XLOOKUP(C1231,'Ocupação DW'!$F:$F,'Ocupação DW'!$E:$E,"",0)</f>
        <v>SEG - FILIAL I</v>
      </c>
      <c r="H1231" t="str">
        <f>Vagas[[#This Row],[data]]&amp;Vagas[[#This Row],[profissional_id]]&amp;Vagas[[#This Row],[local_id]]</f>
        <v>446449111334</v>
      </c>
    </row>
    <row r="1232" spans="1:8" x14ac:dyDescent="0.25">
      <c r="A1232" s="2">
        <v>44644</v>
      </c>
      <c r="B1232">
        <v>9207</v>
      </c>
      <c r="C1232">
        <v>346</v>
      </c>
      <c r="D1232">
        <v>108</v>
      </c>
      <c r="E1232">
        <v>0</v>
      </c>
      <c r="F1232" s="1">
        <f t="shared" si="19"/>
        <v>0</v>
      </c>
      <c r="G1232" s="1" t="str">
        <f>_xlfn.XLOOKUP(C1232,'Ocupação DW'!$F:$F,'Ocupação DW'!$E:$E,"",0)</f>
        <v>SEG - MATRIZ</v>
      </c>
      <c r="H1232" t="str">
        <f>Vagas[[#This Row],[data]]&amp;Vagas[[#This Row],[profissional_id]]&amp;Vagas[[#This Row],[local_id]]</f>
        <v>446449207346</v>
      </c>
    </row>
    <row r="1233" spans="1:8" x14ac:dyDescent="0.25">
      <c r="A1233" s="2">
        <v>44644</v>
      </c>
      <c r="B1233">
        <v>9217</v>
      </c>
      <c r="C1233">
        <v>6</v>
      </c>
      <c r="D1233">
        <v>24</v>
      </c>
      <c r="E1233">
        <v>0</v>
      </c>
      <c r="F1233" s="1">
        <f t="shared" si="19"/>
        <v>0</v>
      </c>
      <c r="G1233" s="1" t="str">
        <f>_xlfn.XLOOKUP(C1233,'Ocupação DW'!$F:$F,'Ocupação DW'!$E:$E,"",0)</f>
        <v>SEG - FILIAL II 10°</v>
      </c>
      <c r="H1233" t="str">
        <f>Vagas[[#This Row],[data]]&amp;Vagas[[#This Row],[profissional_id]]&amp;Vagas[[#This Row],[local_id]]</f>
        <v>4464492176</v>
      </c>
    </row>
    <row r="1234" spans="1:8" x14ac:dyDescent="0.25">
      <c r="A1234" s="2">
        <v>44644</v>
      </c>
      <c r="B1234">
        <v>9217</v>
      </c>
      <c r="C1234">
        <v>7</v>
      </c>
      <c r="D1234">
        <v>0</v>
      </c>
      <c r="E1234">
        <v>0</v>
      </c>
      <c r="F1234" s="1">
        <f t="shared" si="19"/>
        <v>24</v>
      </c>
      <c r="G1234" s="1" t="str">
        <f>_xlfn.XLOOKUP(C1234,'Ocupação DW'!$F:$F,'Ocupação DW'!$E:$E,"",0)</f>
        <v>SEG - FILIAL II 10°</v>
      </c>
      <c r="H1234" t="str">
        <f>Vagas[[#This Row],[data]]&amp;Vagas[[#This Row],[profissional_id]]&amp;Vagas[[#This Row],[local_id]]</f>
        <v>4464492177</v>
      </c>
    </row>
    <row r="1235" spans="1:8" x14ac:dyDescent="0.25">
      <c r="A1235" s="2">
        <v>44644</v>
      </c>
      <c r="B1235">
        <v>9717</v>
      </c>
      <c r="D1235">
        <v>0</v>
      </c>
      <c r="E1235">
        <v>0</v>
      </c>
      <c r="F1235" s="1">
        <f t="shared" si="19"/>
        <v>0</v>
      </c>
      <c r="G1235" s="1" t="str">
        <f>_xlfn.XLOOKUP(C1235,'Ocupação DW'!$F:$F,'Ocupação DW'!$E:$E,"",0)</f>
        <v/>
      </c>
      <c r="H1235" t="str">
        <f>Vagas[[#This Row],[data]]&amp;Vagas[[#This Row],[profissional_id]]&amp;Vagas[[#This Row],[local_id]]</f>
        <v>446449717</v>
      </c>
    </row>
    <row r="1236" spans="1:8" x14ac:dyDescent="0.25">
      <c r="A1236" s="2">
        <v>44644</v>
      </c>
      <c r="B1236">
        <v>10249</v>
      </c>
      <c r="D1236">
        <v>17</v>
      </c>
      <c r="E1236">
        <v>0</v>
      </c>
      <c r="F1236" s="1">
        <f t="shared" si="19"/>
        <v>0</v>
      </c>
      <c r="G1236" s="1" t="str">
        <f>_xlfn.XLOOKUP(C1236,'Ocupação DW'!$F:$F,'Ocupação DW'!$E:$E,"",0)</f>
        <v/>
      </c>
      <c r="H1236" t="str">
        <f>Vagas[[#This Row],[data]]&amp;Vagas[[#This Row],[profissional_id]]&amp;Vagas[[#This Row],[local_id]]</f>
        <v>4464410249</v>
      </c>
    </row>
    <row r="1237" spans="1:8" x14ac:dyDescent="0.25">
      <c r="A1237" s="2">
        <v>44644</v>
      </c>
      <c r="B1237">
        <v>10249</v>
      </c>
      <c r="C1237">
        <v>44</v>
      </c>
      <c r="D1237">
        <v>0</v>
      </c>
      <c r="E1237">
        <v>0</v>
      </c>
      <c r="F1237" s="1">
        <f t="shared" si="19"/>
        <v>17</v>
      </c>
      <c r="G1237" s="1" t="str">
        <f>_xlfn.XLOOKUP(C1237,'Ocupação DW'!$F:$F,'Ocupação DW'!$E:$E,"",0)</f>
        <v>SEG - FILIAL I</v>
      </c>
      <c r="H1237" t="str">
        <f>Vagas[[#This Row],[data]]&amp;Vagas[[#This Row],[profissional_id]]&amp;Vagas[[#This Row],[local_id]]</f>
        <v>446441024944</v>
      </c>
    </row>
    <row r="1238" spans="1:8" x14ac:dyDescent="0.25">
      <c r="A1238" s="2">
        <v>44644</v>
      </c>
      <c r="B1238">
        <v>10321</v>
      </c>
      <c r="C1238">
        <v>11</v>
      </c>
      <c r="D1238">
        <v>0</v>
      </c>
      <c r="E1238">
        <v>0</v>
      </c>
      <c r="F1238" s="1">
        <f t="shared" si="19"/>
        <v>0</v>
      </c>
      <c r="G1238" s="1" t="str">
        <f>_xlfn.XLOOKUP(C1238,'Ocupação DW'!$F:$F,'Ocupação DW'!$E:$E,"",0)</f>
        <v>SEG - FILIAL II 11°</v>
      </c>
      <c r="H1238" t="str">
        <f>Vagas[[#This Row],[data]]&amp;Vagas[[#This Row],[profissional_id]]&amp;Vagas[[#This Row],[local_id]]</f>
        <v>446441032111</v>
      </c>
    </row>
    <row r="1239" spans="1:8" x14ac:dyDescent="0.25">
      <c r="A1239" s="2">
        <v>44644</v>
      </c>
      <c r="B1239">
        <v>10595</v>
      </c>
      <c r="D1239">
        <v>0</v>
      </c>
      <c r="E1239">
        <v>0</v>
      </c>
      <c r="F1239" s="1">
        <f t="shared" si="19"/>
        <v>0</v>
      </c>
      <c r="G1239" s="1" t="str">
        <f>_xlfn.XLOOKUP(C1239,'Ocupação DW'!$F:$F,'Ocupação DW'!$E:$E,"",0)</f>
        <v/>
      </c>
      <c r="H1239" t="str">
        <f>Vagas[[#This Row],[data]]&amp;Vagas[[#This Row],[profissional_id]]&amp;Vagas[[#This Row],[local_id]]</f>
        <v>4464410595</v>
      </c>
    </row>
    <row r="1240" spans="1:8" x14ac:dyDescent="0.25">
      <c r="A1240" s="2">
        <v>44644</v>
      </c>
      <c r="B1240">
        <v>10691</v>
      </c>
      <c r="D1240">
        <v>30</v>
      </c>
      <c r="E1240">
        <v>0</v>
      </c>
      <c r="F1240" s="1">
        <f t="shared" si="19"/>
        <v>0</v>
      </c>
      <c r="G1240" s="1" t="str">
        <f>_xlfn.XLOOKUP(C1240,'Ocupação DW'!$F:$F,'Ocupação DW'!$E:$E,"",0)</f>
        <v/>
      </c>
      <c r="H1240" t="str">
        <f>Vagas[[#This Row],[data]]&amp;Vagas[[#This Row],[profissional_id]]&amp;Vagas[[#This Row],[local_id]]</f>
        <v>4464410691</v>
      </c>
    </row>
    <row r="1241" spans="1:8" x14ac:dyDescent="0.25">
      <c r="A1241" s="2">
        <v>44644</v>
      </c>
      <c r="B1241">
        <v>10691</v>
      </c>
      <c r="C1241">
        <v>348</v>
      </c>
      <c r="D1241">
        <v>0</v>
      </c>
      <c r="E1241">
        <v>0</v>
      </c>
      <c r="F1241" s="1">
        <f t="shared" si="19"/>
        <v>30</v>
      </c>
      <c r="G1241" s="1" t="str">
        <f>_xlfn.XLOOKUP(C1241,'Ocupação DW'!$F:$F,'Ocupação DW'!$E:$E,"",0)</f>
        <v>SEG - MATRIZ</v>
      </c>
      <c r="H1241" t="str">
        <f>Vagas[[#This Row],[data]]&amp;Vagas[[#This Row],[profissional_id]]&amp;Vagas[[#This Row],[local_id]]</f>
        <v>4464410691348</v>
      </c>
    </row>
    <row r="1242" spans="1:8" x14ac:dyDescent="0.25">
      <c r="A1242" s="2">
        <v>44644</v>
      </c>
      <c r="B1242">
        <v>10691</v>
      </c>
      <c r="C1242">
        <v>9</v>
      </c>
      <c r="D1242">
        <v>0</v>
      </c>
      <c r="E1242">
        <v>0</v>
      </c>
      <c r="F1242" s="1">
        <f t="shared" si="19"/>
        <v>0</v>
      </c>
      <c r="G1242" s="1" t="str">
        <f>_xlfn.XLOOKUP(C1242,'Ocupação DW'!$F:$F,'Ocupação DW'!$E:$E,"",0)</f>
        <v>SEG - FILIAL II 10°</v>
      </c>
      <c r="H1242" t="str">
        <f>Vagas[[#This Row],[data]]&amp;Vagas[[#This Row],[profissional_id]]&amp;Vagas[[#This Row],[local_id]]</f>
        <v>44644106919</v>
      </c>
    </row>
    <row r="1243" spans="1:8" x14ac:dyDescent="0.25">
      <c r="A1243" s="2">
        <v>44644</v>
      </c>
      <c r="B1243">
        <v>10717</v>
      </c>
      <c r="C1243">
        <v>69</v>
      </c>
      <c r="D1243">
        <v>0</v>
      </c>
      <c r="E1243">
        <v>0</v>
      </c>
      <c r="F1243" s="1">
        <f t="shared" si="19"/>
        <v>0</v>
      </c>
      <c r="G1243" s="1" t="str">
        <f>_xlfn.XLOOKUP(C1243,'Ocupação DW'!$F:$F,'Ocupação DW'!$E:$E,"",0)</f>
        <v>SEG - NILÓPOLIS</v>
      </c>
      <c r="H1243" t="str">
        <f>Vagas[[#This Row],[data]]&amp;Vagas[[#This Row],[profissional_id]]&amp;Vagas[[#This Row],[local_id]]</f>
        <v>446441071769</v>
      </c>
    </row>
    <row r="1244" spans="1:8" x14ac:dyDescent="0.25">
      <c r="A1244" s="2">
        <v>44644</v>
      </c>
      <c r="B1244">
        <v>10946</v>
      </c>
      <c r="D1244">
        <v>0</v>
      </c>
      <c r="E1244">
        <v>0</v>
      </c>
      <c r="F1244" s="1">
        <f t="shared" si="19"/>
        <v>0</v>
      </c>
      <c r="G1244" s="1" t="str">
        <f>_xlfn.XLOOKUP(C1244,'Ocupação DW'!$F:$F,'Ocupação DW'!$E:$E,"",0)</f>
        <v/>
      </c>
      <c r="H1244" t="str">
        <f>Vagas[[#This Row],[data]]&amp;Vagas[[#This Row],[profissional_id]]&amp;Vagas[[#This Row],[local_id]]</f>
        <v>4464410946</v>
      </c>
    </row>
    <row r="1245" spans="1:8" x14ac:dyDescent="0.25">
      <c r="A1245" s="2">
        <v>44644</v>
      </c>
      <c r="B1245">
        <v>11207</v>
      </c>
      <c r="C1245">
        <v>51</v>
      </c>
      <c r="D1245">
        <v>0</v>
      </c>
      <c r="E1245">
        <v>0</v>
      </c>
      <c r="F1245" s="1">
        <f t="shared" si="19"/>
        <v>0</v>
      </c>
      <c r="G1245" s="1" t="str">
        <f>_xlfn.XLOOKUP(C1245,'Ocupação DW'!$F:$F,'Ocupação DW'!$E:$E,"",0)</f>
        <v>SEG - FILIAL I</v>
      </c>
      <c r="H1245" t="str">
        <f>Vagas[[#This Row],[data]]&amp;Vagas[[#This Row],[profissional_id]]&amp;Vagas[[#This Row],[local_id]]</f>
        <v>446441120751</v>
      </c>
    </row>
    <row r="1246" spans="1:8" x14ac:dyDescent="0.25">
      <c r="A1246" s="2">
        <v>44644</v>
      </c>
      <c r="B1246">
        <v>11242</v>
      </c>
      <c r="C1246">
        <v>79</v>
      </c>
      <c r="D1246">
        <v>120</v>
      </c>
      <c r="E1246">
        <v>0</v>
      </c>
      <c r="F1246" s="1">
        <f t="shared" si="19"/>
        <v>0</v>
      </c>
      <c r="G1246" s="1" t="str">
        <f>_xlfn.XLOOKUP(C1246,'Ocupação DW'!$F:$F,'Ocupação DW'!$E:$E,"",0)</f>
        <v/>
      </c>
      <c r="H1246" t="str">
        <f>Vagas[[#This Row],[data]]&amp;Vagas[[#This Row],[profissional_id]]&amp;Vagas[[#This Row],[local_id]]</f>
        <v>446441124279</v>
      </c>
    </row>
    <row r="1247" spans="1:8" x14ac:dyDescent="0.25">
      <c r="A1247" s="2">
        <v>44644</v>
      </c>
      <c r="B1247">
        <v>11312</v>
      </c>
      <c r="C1247">
        <v>340</v>
      </c>
      <c r="D1247">
        <v>0</v>
      </c>
      <c r="E1247">
        <v>0</v>
      </c>
      <c r="F1247" s="1">
        <f t="shared" si="19"/>
        <v>0</v>
      </c>
      <c r="G1247" s="1" t="str">
        <f>_xlfn.XLOOKUP(C1247,'Ocupação DW'!$F:$F,'Ocupação DW'!$E:$E,"",0)</f>
        <v>SEG - MATRIZ</v>
      </c>
      <c r="H1247" t="str">
        <f>Vagas[[#This Row],[data]]&amp;Vagas[[#This Row],[profissional_id]]&amp;Vagas[[#This Row],[local_id]]</f>
        <v>4464411312340</v>
      </c>
    </row>
    <row r="1248" spans="1:8" x14ac:dyDescent="0.25">
      <c r="A1248" s="2">
        <v>44644</v>
      </c>
      <c r="B1248">
        <v>11312</v>
      </c>
      <c r="C1248">
        <v>336</v>
      </c>
      <c r="D1248">
        <v>20</v>
      </c>
      <c r="E1248">
        <v>0</v>
      </c>
      <c r="F1248" s="1">
        <f t="shared" si="19"/>
        <v>0</v>
      </c>
      <c r="G1248" s="1" t="str">
        <f>_xlfn.XLOOKUP(C1248,'Ocupação DW'!$F:$F,'Ocupação DW'!$E:$E,"",0)</f>
        <v>SEG - FILIAL I</v>
      </c>
      <c r="H1248" t="str">
        <f>Vagas[[#This Row],[data]]&amp;Vagas[[#This Row],[profissional_id]]&amp;Vagas[[#This Row],[local_id]]</f>
        <v>4464411312336</v>
      </c>
    </row>
    <row r="1249" spans="1:8" x14ac:dyDescent="0.25">
      <c r="A1249" s="2">
        <v>44644</v>
      </c>
      <c r="B1249">
        <v>11634</v>
      </c>
      <c r="C1249">
        <v>339</v>
      </c>
      <c r="D1249">
        <v>120</v>
      </c>
      <c r="E1249">
        <v>0</v>
      </c>
      <c r="F1249" s="1">
        <f t="shared" si="19"/>
        <v>0</v>
      </c>
      <c r="G1249" s="1" t="str">
        <f>_xlfn.XLOOKUP(C1249,'Ocupação DW'!$F:$F,'Ocupação DW'!$E:$E,"",0)</f>
        <v>SEG - MATRIZ</v>
      </c>
      <c r="H1249" t="str">
        <f>Vagas[[#This Row],[data]]&amp;Vagas[[#This Row],[profissional_id]]&amp;Vagas[[#This Row],[local_id]]</f>
        <v>4464411634339</v>
      </c>
    </row>
    <row r="1250" spans="1:8" x14ac:dyDescent="0.25">
      <c r="A1250" s="2">
        <v>44644</v>
      </c>
      <c r="B1250">
        <v>12369</v>
      </c>
      <c r="D1250">
        <v>0</v>
      </c>
      <c r="E1250">
        <v>0</v>
      </c>
      <c r="F1250" s="1">
        <f t="shared" si="19"/>
        <v>0</v>
      </c>
      <c r="G1250" s="1" t="str">
        <f>_xlfn.XLOOKUP(C1250,'Ocupação DW'!$F:$F,'Ocupação DW'!$E:$E,"",0)</f>
        <v/>
      </c>
      <c r="H1250" t="str">
        <f>Vagas[[#This Row],[data]]&amp;Vagas[[#This Row],[profissional_id]]&amp;Vagas[[#This Row],[local_id]]</f>
        <v>4464412369</v>
      </c>
    </row>
    <row r="1251" spans="1:8" x14ac:dyDescent="0.25">
      <c r="A1251" s="2">
        <v>44644</v>
      </c>
      <c r="B1251">
        <v>12426</v>
      </c>
      <c r="C1251">
        <v>5</v>
      </c>
      <c r="D1251">
        <v>0</v>
      </c>
      <c r="E1251">
        <v>0</v>
      </c>
      <c r="F1251" s="1">
        <f t="shared" si="19"/>
        <v>0</v>
      </c>
      <c r="G1251" s="1" t="str">
        <f>_xlfn.XLOOKUP(C1251,'Ocupação DW'!$F:$F,'Ocupação DW'!$E:$E,"",0)</f>
        <v>SEG - FILIAL II 10°</v>
      </c>
      <c r="H1251" t="str">
        <f>Vagas[[#This Row],[data]]&amp;Vagas[[#This Row],[profissional_id]]&amp;Vagas[[#This Row],[local_id]]</f>
        <v>44644124265</v>
      </c>
    </row>
    <row r="1252" spans="1:8" x14ac:dyDescent="0.25">
      <c r="A1252" s="2">
        <v>44644</v>
      </c>
      <c r="B1252">
        <v>12482</v>
      </c>
      <c r="C1252">
        <v>339</v>
      </c>
      <c r="D1252">
        <v>48</v>
      </c>
      <c r="E1252">
        <v>0</v>
      </c>
      <c r="F1252" s="1">
        <f t="shared" si="19"/>
        <v>0</v>
      </c>
      <c r="G1252" s="1" t="str">
        <f>_xlfn.XLOOKUP(C1252,'Ocupação DW'!$F:$F,'Ocupação DW'!$E:$E,"",0)</f>
        <v>SEG - MATRIZ</v>
      </c>
      <c r="H1252" t="str">
        <f>Vagas[[#This Row],[data]]&amp;Vagas[[#This Row],[profissional_id]]&amp;Vagas[[#This Row],[local_id]]</f>
        <v>4464412482339</v>
      </c>
    </row>
    <row r="1253" spans="1:8" x14ac:dyDescent="0.25">
      <c r="A1253" s="2">
        <v>44644</v>
      </c>
      <c r="B1253">
        <v>12482</v>
      </c>
      <c r="C1253">
        <v>345</v>
      </c>
      <c r="D1253">
        <v>60</v>
      </c>
      <c r="E1253">
        <v>0</v>
      </c>
      <c r="F1253" s="1">
        <f t="shared" si="19"/>
        <v>0</v>
      </c>
      <c r="G1253" s="1" t="str">
        <f>_xlfn.XLOOKUP(C1253,'Ocupação DW'!$F:$F,'Ocupação DW'!$E:$E,"",0)</f>
        <v>SEG - MATRIZ</v>
      </c>
      <c r="H1253" t="str">
        <f>Vagas[[#This Row],[data]]&amp;Vagas[[#This Row],[profissional_id]]&amp;Vagas[[#This Row],[local_id]]</f>
        <v>4464412482345</v>
      </c>
    </row>
    <row r="1254" spans="1:8" x14ac:dyDescent="0.25">
      <c r="A1254" s="2">
        <v>44644</v>
      </c>
      <c r="B1254">
        <v>12519</v>
      </c>
      <c r="D1254">
        <v>0</v>
      </c>
      <c r="E1254">
        <v>0</v>
      </c>
      <c r="F1254" s="1">
        <f t="shared" si="19"/>
        <v>0</v>
      </c>
      <c r="G1254" s="1" t="str">
        <f>_xlfn.XLOOKUP(C1254,'Ocupação DW'!$F:$F,'Ocupação DW'!$E:$E,"",0)</f>
        <v/>
      </c>
      <c r="H1254" t="str">
        <f>Vagas[[#This Row],[data]]&amp;Vagas[[#This Row],[profissional_id]]&amp;Vagas[[#This Row],[local_id]]</f>
        <v>4464412519</v>
      </c>
    </row>
    <row r="1255" spans="1:8" x14ac:dyDescent="0.25">
      <c r="A1255" s="2">
        <v>44644</v>
      </c>
      <c r="B1255">
        <v>12519</v>
      </c>
      <c r="C1255">
        <v>42</v>
      </c>
      <c r="D1255">
        <v>0</v>
      </c>
      <c r="E1255">
        <v>12</v>
      </c>
      <c r="F1255" s="1">
        <f t="shared" si="19"/>
        <v>0</v>
      </c>
      <c r="G1255" s="1" t="str">
        <f>_xlfn.XLOOKUP(C1255,'Ocupação DW'!$F:$F,'Ocupação DW'!$E:$E,"",0)</f>
        <v>SEG - FILIAL I</v>
      </c>
      <c r="H1255" t="str">
        <f>Vagas[[#This Row],[data]]&amp;Vagas[[#This Row],[profissional_id]]&amp;Vagas[[#This Row],[local_id]]</f>
        <v>446441251942</v>
      </c>
    </row>
    <row r="1256" spans="1:8" x14ac:dyDescent="0.25">
      <c r="A1256" s="2">
        <v>44644</v>
      </c>
      <c r="B1256">
        <v>12582</v>
      </c>
      <c r="C1256">
        <v>6</v>
      </c>
      <c r="D1256">
        <v>0</v>
      </c>
      <c r="E1256">
        <v>4</v>
      </c>
      <c r="F1256" s="1">
        <f t="shared" si="19"/>
        <v>0</v>
      </c>
      <c r="G1256" s="1" t="str">
        <f>_xlfn.XLOOKUP(C1256,'Ocupação DW'!$F:$F,'Ocupação DW'!$E:$E,"",0)</f>
        <v>SEG - FILIAL II 10°</v>
      </c>
      <c r="H1256" t="str">
        <f>Vagas[[#This Row],[data]]&amp;Vagas[[#This Row],[profissional_id]]&amp;Vagas[[#This Row],[local_id]]</f>
        <v>44644125826</v>
      </c>
    </row>
    <row r="1257" spans="1:8" x14ac:dyDescent="0.25">
      <c r="A1257" s="2">
        <v>44644</v>
      </c>
      <c r="B1257">
        <v>12582</v>
      </c>
      <c r="C1257">
        <v>15</v>
      </c>
      <c r="D1257">
        <v>0</v>
      </c>
      <c r="E1257">
        <v>4</v>
      </c>
      <c r="F1257" s="1">
        <f t="shared" si="19"/>
        <v>0</v>
      </c>
      <c r="G1257" s="1" t="str">
        <f>_xlfn.XLOOKUP(C1257,'Ocupação DW'!$F:$F,'Ocupação DW'!$E:$E,"",0)</f>
        <v>SEG - FILIAL II 11°</v>
      </c>
      <c r="H1257" t="str">
        <f>Vagas[[#This Row],[data]]&amp;Vagas[[#This Row],[profissional_id]]&amp;Vagas[[#This Row],[local_id]]</f>
        <v>446441258215</v>
      </c>
    </row>
    <row r="1258" spans="1:8" x14ac:dyDescent="0.25">
      <c r="A1258" s="2">
        <v>44644</v>
      </c>
      <c r="B1258">
        <v>12679</v>
      </c>
      <c r="D1258">
        <v>0</v>
      </c>
      <c r="E1258">
        <v>0</v>
      </c>
      <c r="F1258" s="1">
        <f t="shared" si="19"/>
        <v>0</v>
      </c>
      <c r="G1258" s="1" t="str">
        <f>_xlfn.XLOOKUP(C1258,'Ocupação DW'!$F:$F,'Ocupação DW'!$E:$E,"",0)</f>
        <v/>
      </c>
      <c r="H1258" t="str">
        <f>Vagas[[#This Row],[data]]&amp;Vagas[[#This Row],[profissional_id]]&amp;Vagas[[#This Row],[local_id]]</f>
        <v>4464412679</v>
      </c>
    </row>
    <row r="1259" spans="1:8" x14ac:dyDescent="0.25">
      <c r="A1259" s="2">
        <v>44644</v>
      </c>
      <c r="B1259">
        <v>12684</v>
      </c>
      <c r="D1259">
        <v>0</v>
      </c>
      <c r="E1259">
        <v>0</v>
      </c>
      <c r="F1259" s="1">
        <f t="shared" si="19"/>
        <v>0</v>
      </c>
      <c r="G1259" s="1" t="str">
        <f>_xlfn.XLOOKUP(C1259,'Ocupação DW'!$F:$F,'Ocupação DW'!$E:$E,"",0)</f>
        <v/>
      </c>
      <c r="H1259" t="str">
        <f>Vagas[[#This Row],[data]]&amp;Vagas[[#This Row],[profissional_id]]&amp;Vagas[[#This Row],[local_id]]</f>
        <v>4464412684</v>
      </c>
    </row>
    <row r="1260" spans="1:8" x14ac:dyDescent="0.25">
      <c r="A1260" s="2">
        <v>44644</v>
      </c>
      <c r="B1260">
        <v>12711</v>
      </c>
      <c r="D1260">
        <v>0</v>
      </c>
      <c r="E1260">
        <v>0</v>
      </c>
      <c r="F1260" s="1">
        <f t="shared" si="19"/>
        <v>0</v>
      </c>
      <c r="G1260" s="1" t="str">
        <f>_xlfn.XLOOKUP(C1260,'Ocupação DW'!$F:$F,'Ocupação DW'!$E:$E,"",0)</f>
        <v/>
      </c>
      <c r="H1260" t="str">
        <f>Vagas[[#This Row],[data]]&amp;Vagas[[#This Row],[profissional_id]]&amp;Vagas[[#This Row],[local_id]]</f>
        <v>4464412711</v>
      </c>
    </row>
    <row r="1261" spans="1:8" x14ac:dyDescent="0.25">
      <c r="A1261" s="2">
        <v>44644</v>
      </c>
      <c r="B1261">
        <v>12810</v>
      </c>
      <c r="D1261">
        <v>0</v>
      </c>
      <c r="E1261">
        <v>0</v>
      </c>
      <c r="F1261" s="1">
        <f t="shared" si="19"/>
        <v>0</v>
      </c>
      <c r="G1261" s="1" t="str">
        <f>_xlfn.XLOOKUP(C1261,'Ocupação DW'!$F:$F,'Ocupação DW'!$E:$E,"",0)</f>
        <v/>
      </c>
      <c r="H1261" t="str">
        <f>Vagas[[#This Row],[data]]&amp;Vagas[[#This Row],[profissional_id]]&amp;Vagas[[#This Row],[local_id]]</f>
        <v>4464412810</v>
      </c>
    </row>
    <row r="1262" spans="1:8" x14ac:dyDescent="0.25">
      <c r="A1262" s="2">
        <v>44644</v>
      </c>
      <c r="B1262">
        <v>12825</v>
      </c>
      <c r="D1262">
        <v>0</v>
      </c>
      <c r="E1262">
        <v>0</v>
      </c>
      <c r="F1262" s="1">
        <f t="shared" si="19"/>
        <v>0</v>
      </c>
      <c r="G1262" s="1" t="str">
        <f>_xlfn.XLOOKUP(C1262,'Ocupação DW'!$F:$F,'Ocupação DW'!$E:$E,"",0)</f>
        <v/>
      </c>
      <c r="H1262" t="str">
        <f>Vagas[[#This Row],[data]]&amp;Vagas[[#This Row],[profissional_id]]&amp;Vagas[[#This Row],[local_id]]</f>
        <v>4464412825</v>
      </c>
    </row>
    <row r="1263" spans="1:8" x14ac:dyDescent="0.25">
      <c r="A1263" s="2">
        <v>44644</v>
      </c>
      <c r="B1263">
        <v>13371</v>
      </c>
      <c r="D1263">
        <v>0</v>
      </c>
      <c r="E1263">
        <v>0</v>
      </c>
      <c r="F1263" s="1">
        <f t="shared" si="19"/>
        <v>0</v>
      </c>
      <c r="G1263" s="1" t="str">
        <f>_xlfn.XLOOKUP(C1263,'Ocupação DW'!$F:$F,'Ocupação DW'!$E:$E,"",0)</f>
        <v/>
      </c>
      <c r="H1263" t="str">
        <f>Vagas[[#This Row],[data]]&amp;Vagas[[#This Row],[profissional_id]]&amp;Vagas[[#This Row],[local_id]]</f>
        <v>4464413371</v>
      </c>
    </row>
    <row r="1264" spans="1:8" x14ac:dyDescent="0.25">
      <c r="A1264" s="2">
        <v>44644</v>
      </c>
      <c r="B1264">
        <v>13479</v>
      </c>
      <c r="D1264">
        <v>13</v>
      </c>
      <c r="E1264">
        <v>0</v>
      </c>
      <c r="F1264" s="1">
        <f t="shared" si="19"/>
        <v>0</v>
      </c>
      <c r="G1264" s="1" t="str">
        <f>_xlfn.XLOOKUP(C1264,'Ocupação DW'!$F:$F,'Ocupação DW'!$E:$E,"",0)</f>
        <v/>
      </c>
      <c r="H1264" t="str">
        <f>Vagas[[#This Row],[data]]&amp;Vagas[[#This Row],[profissional_id]]&amp;Vagas[[#This Row],[local_id]]</f>
        <v>4464413479</v>
      </c>
    </row>
    <row r="1265" spans="1:8" x14ac:dyDescent="0.25">
      <c r="A1265" s="2">
        <v>44644</v>
      </c>
      <c r="B1265">
        <v>13479</v>
      </c>
      <c r="C1265">
        <v>339</v>
      </c>
      <c r="D1265">
        <v>24</v>
      </c>
      <c r="E1265">
        <v>0</v>
      </c>
      <c r="F1265" s="1">
        <f t="shared" si="19"/>
        <v>0</v>
      </c>
      <c r="G1265" s="1" t="str">
        <f>_xlfn.XLOOKUP(C1265,'Ocupação DW'!$F:$F,'Ocupação DW'!$E:$E,"",0)</f>
        <v>SEG - MATRIZ</v>
      </c>
      <c r="H1265" t="str">
        <f>Vagas[[#This Row],[data]]&amp;Vagas[[#This Row],[profissional_id]]&amp;Vagas[[#This Row],[local_id]]</f>
        <v>4464413479339</v>
      </c>
    </row>
    <row r="1266" spans="1:8" x14ac:dyDescent="0.25">
      <c r="A1266" s="2">
        <v>44644</v>
      </c>
      <c r="B1266">
        <v>13487</v>
      </c>
      <c r="C1266">
        <v>61</v>
      </c>
      <c r="D1266">
        <v>120</v>
      </c>
      <c r="E1266">
        <v>0</v>
      </c>
      <c r="F1266" s="1">
        <f t="shared" si="19"/>
        <v>0</v>
      </c>
      <c r="G1266" s="1" t="str">
        <f>_xlfn.XLOOKUP(C1266,'Ocupação DW'!$F:$F,'Ocupação DW'!$E:$E,"",0)</f>
        <v/>
      </c>
      <c r="H1266" t="str">
        <f>Vagas[[#This Row],[data]]&amp;Vagas[[#This Row],[profissional_id]]&amp;Vagas[[#This Row],[local_id]]</f>
        <v>446441348761</v>
      </c>
    </row>
    <row r="1267" spans="1:8" x14ac:dyDescent="0.25">
      <c r="A1267" s="2">
        <v>44644</v>
      </c>
      <c r="B1267">
        <v>13645</v>
      </c>
      <c r="D1267">
        <v>0</v>
      </c>
      <c r="E1267">
        <v>0</v>
      </c>
      <c r="F1267" s="1">
        <f t="shared" si="19"/>
        <v>0</v>
      </c>
      <c r="G1267" s="1" t="str">
        <f>_xlfn.XLOOKUP(C1267,'Ocupação DW'!$F:$F,'Ocupação DW'!$E:$E,"",0)</f>
        <v/>
      </c>
      <c r="H1267" t="str">
        <f>Vagas[[#This Row],[data]]&amp;Vagas[[#This Row],[profissional_id]]&amp;Vagas[[#This Row],[local_id]]</f>
        <v>4464413645</v>
      </c>
    </row>
    <row r="1268" spans="1:8" x14ac:dyDescent="0.25">
      <c r="A1268" s="2">
        <v>44644</v>
      </c>
      <c r="B1268">
        <v>13660</v>
      </c>
      <c r="C1268">
        <v>341</v>
      </c>
      <c r="D1268">
        <v>108</v>
      </c>
      <c r="E1268">
        <v>0</v>
      </c>
      <c r="F1268" s="1">
        <f t="shared" si="19"/>
        <v>0</v>
      </c>
      <c r="G1268" s="1" t="str">
        <f>_xlfn.XLOOKUP(C1268,'Ocupação DW'!$F:$F,'Ocupação DW'!$E:$E,"",0)</f>
        <v/>
      </c>
      <c r="H1268" t="str">
        <f>Vagas[[#This Row],[data]]&amp;Vagas[[#This Row],[profissional_id]]&amp;Vagas[[#This Row],[local_id]]</f>
        <v>4464413660341</v>
      </c>
    </row>
    <row r="1269" spans="1:8" x14ac:dyDescent="0.25">
      <c r="A1269" s="2">
        <v>44644</v>
      </c>
      <c r="B1269">
        <v>13835</v>
      </c>
      <c r="D1269">
        <v>0</v>
      </c>
      <c r="E1269">
        <v>0</v>
      </c>
      <c r="F1269" s="1">
        <f t="shared" si="19"/>
        <v>0</v>
      </c>
      <c r="G1269" s="1" t="str">
        <f>_xlfn.XLOOKUP(C1269,'Ocupação DW'!$F:$F,'Ocupação DW'!$E:$E,"",0)</f>
        <v/>
      </c>
      <c r="H1269" t="str">
        <f>Vagas[[#This Row],[data]]&amp;Vagas[[#This Row],[profissional_id]]&amp;Vagas[[#This Row],[local_id]]</f>
        <v>4464413835</v>
      </c>
    </row>
    <row r="1270" spans="1:8" x14ac:dyDescent="0.25">
      <c r="A1270" s="2">
        <v>44644</v>
      </c>
      <c r="B1270">
        <v>14452</v>
      </c>
      <c r="D1270">
        <v>0</v>
      </c>
      <c r="E1270">
        <v>0</v>
      </c>
      <c r="F1270" s="1">
        <f t="shared" si="19"/>
        <v>0</v>
      </c>
      <c r="G1270" s="1" t="str">
        <f>_xlfn.XLOOKUP(C1270,'Ocupação DW'!$F:$F,'Ocupação DW'!$E:$E,"",0)</f>
        <v/>
      </c>
      <c r="H1270" t="str">
        <f>Vagas[[#This Row],[data]]&amp;Vagas[[#This Row],[profissional_id]]&amp;Vagas[[#This Row],[local_id]]</f>
        <v>4464414452</v>
      </c>
    </row>
    <row r="1271" spans="1:8" x14ac:dyDescent="0.25">
      <c r="A1271" s="2">
        <v>44644</v>
      </c>
      <c r="B1271">
        <v>17059</v>
      </c>
      <c r="D1271">
        <v>0</v>
      </c>
      <c r="E1271">
        <v>0</v>
      </c>
      <c r="F1271" s="1">
        <f t="shared" si="19"/>
        <v>0</v>
      </c>
      <c r="G1271" s="1" t="str">
        <f>_xlfn.XLOOKUP(C1271,'Ocupação DW'!$F:$F,'Ocupação DW'!$E:$E,"",0)</f>
        <v/>
      </c>
      <c r="H1271" t="str">
        <f>Vagas[[#This Row],[data]]&amp;Vagas[[#This Row],[profissional_id]]&amp;Vagas[[#This Row],[local_id]]</f>
        <v>4464417059</v>
      </c>
    </row>
    <row r="1272" spans="1:8" x14ac:dyDescent="0.25">
      <c r="A1272" s="2">
        <v>44644</v>
      </c>
      <c r="B1272">
        <v>17742</v>
      </c>
      <c r="D1272">
        <v>0</v>
      </c>
      <c r="E1272">
        <v>0</v>
      </c>
      <c r="F1272" s="1">
        <f t="shared" si="19"/>
        <v>0</v>
      </c>
      <c r="G1272" s="1" t="str">
        <f>_xlfn.XLOOKUP(C1272,'Ocupação DW'!$F:$F,'Ocupação DW'!$E:$E,"",0)</f>
        <v/>
      </c>
      <c r="H1272" t="str">
        <f>Vagas[[#This Row],[data]]&amp;Vagas[[#This Row],[profissional_id]]&amp;Vagas[[#This Row],[local_id]]</f>
        <v>4464417742</v>
      </c>
    </row>
    <row r="1273" spans="1:8" x14ac:dyDescent="0.25">
      <c r="A1273" s="2">
        <v>44644</v>
      </c>
      <c r="B1273">
        <v>17858</v>
      </c>
      <c r="D1273">
        <v>15</v>
      </c>
      <c r="E1273">
        <v>0</v>
      </c>
      <c r="F1273" s="1">
        <f t="shared" si="19"/>
        <v>0</v>
      </c>
      <c r="G1273" s="1" t="str">
        <f>_xlfn.XLOOKUP(C1273,'Ocupação DW'!$F:$F,'Ocupação DW'!$E:$E,"",0)</f>
        <v/>
      </c>
      <c r="H1273" t="str">
        <f>Vagas[[#This Row],[data]]&amp;Vagas[[#This Row],[profissional_id]]&amp;Vagas[[#This Row],[local_id]]</f>
        <v>4464417858</v>
      </c>
    </row>
    <row r="1274" spans="1:8" x14ac:dyDescent="0.25">
      <c r="A1274" s="2">
        <v>44644</v>
      </c>
      <c r="B1274">
        <v>17858</v>
      </c>
      <c r="C1274">
        <v>12</v>
      </c>
      <c r="D1274">
        <v>0</v>
      </c>
      <c r="E1274">
        <v>0</v>
      </c>
      <c r="F1274" s="1">
        <f t="shared" si="19"/>
        <v>15</v>
      </c>
      <c r="G1274" s="1" t="str">
        <f>_xlfn.XLOOKUP(C1274,'Ocupação DW'!$F:$F,'Ocupação DW'!$E:$E,"",0)</f>
        <v>SEG - FILIAL II 11°</v>
      </c>
      <c r="H1274" t="str">
        <f>Vagas[[#This Row],[data]]&amp;Vagas[[#This Row],[profissional_id]]&amp;Vagas[[#This Row],[local_id]]</f>
        <v>446441785812</v>
      </c>
    </row>
    <row r="1275" spans="1:8" x14ac:dyDescent="0.25">
      <c r="A1275" s="2">
        <v>44644</v>
      </c>
      <c r="B1275">
        <v>17868</v>
      </c>
      <c r="C1275">
        <v>73</v>
      </c>
      <c r="D1275">
        <v>133</v>
      </c>
      <c r="E1275">
        <v>0</v>
      </c>
      <c r="F1275" s="1">
        <f t="shared" si="19"/>
        <v>0</v>
      </c>
      <c r="G1275" s="1" t="str">
        <f>_xlfn.XLOOKUP(C1275,'Ocupação DW'!$F:$F,'Ocupação DW'!$E:$E,"",0)</f>
        <v/>
      </c>
      <c r="H1275" t="str">
        <f>Vagas[[#This Row],[data]]&amp;Vagas[[#This Row],[profissional_id]]&amp;Vagas[[#This Row],[local_id]]</f>
        <v>446441786873</v>
      </c>
    </row>
    <row r="1276" spans="1:8" x14ac:dyDescent="0.25">
      <c r="A1276" s="2">
        <v>44644</v>
      </c>
      <c r="B1276">
        <v>17871</v>
      </c>
      <c r="D1276">
        <v>0</v>
      </c>
      <c r="E1276">
        <v>0</v>
      </c>
      <c r="F1276" s="1">
        <f t="shared" si="19"/>
        <v>0</v>
      </c>
      <c r="G1276" s="1" t="str">
        <f>_xlfn.XLOOKUP(C1276,'Ocupação DW'!$F:$F,'Ocupação DW'!$E:$E,"",0)</f>
        <v/>
      </c>
      <c r="H1276" t="str">
        <f>Vagas[[#This Row],[data]]&amp;Vagas[[#This Row],[profissional_id]]&amp;Vagas[[#This Row],[local_id]]</f>
        <v>4464417871</v>
      </c>
    </row>
    <row r="1277" spans="1:8" x14ac:dyDescent="0.25">
      <c r="A1277" s="2">
        <v>44644</v>
      </c>
      <c r="B1277">
        <v>17874</v>
      </c>
      <c r="D1277">
        <v>0</v>
      </c>
      <c r="E1277">
        <v>0</v>
      </c>
      <c r="F1277" s="1">
        <f t="shared" si="19"/>
        <v>0</v>
      </c>
      <c r="G1277" s="1" t="str">
        <f>_xlfn.XLOOKUP(C1277,'Ocupação DW'!$F:$F,'Ocupação DW'!$E:$E,"",0)</f>
        <v/>
      </c>
      <c r="H1277" t="str">
        <f>Vagas[[#This Row],[data]]&amp;Vagas[[#This Row],[profissional_id]]&amp;Vagas[[#This Row],[local_id]]</f>
        <v>4464417874</v>
      </c>
    </row>
    <row r="1278" spans="1:8" x14ac:dyDescent="0.25">
      <c r="A1278" s="2">
        <v>44644</v>
      </c>
      <c r="B1278">
        <v>17881</v>
      </c>
      <c r="C1278">
        <v>20</v>
      </c>
      <c r="D1278">
        <v>181</v>
      </c>
      <c r="E1278">
        <v>0</v>
      </c>
      <c r="F1278" s="1">
        <f t="shared" si="19"/>
        <v>0</v>
      </c>
      <c r="G1278" s="1" t="str">
        <f>_xlfn.XLOOKUP(C1278,'Ocupação DW'!$F:$F,'Ocupação DW'!$E:$E,"",0)</f>
        <v>SEG - MATRIZ</v>
      </c>
      <c r="H1278" t="str">
        <f>Vagas[[#This Row],[data]]&amp;Vagas[[#This Row],[profissional_id]]&amp;Vagas[[#This Row],[local_id]]</f>
        <v>446441788120</v>
      </c>
    </row>
    <row r="1279" spans="1:8" x14ac:dyDescent="0.25">
      <c r="A1279" s="2">
        <v>44644</v>
      </c>
      <c r="B1279">
        <v>17882</v>
      </c>
      <c r="C1279">
        <v>21</v>
      </c>
      <c r="D1279">
        <v>181</v>
      </c>
      <c r="E1279">
        <v>0</v>
      </c>
      <c r="F1279" s="1">
        <f t="shared" si="19"/>
        <v>0</v>
      </c>
      <c r="G1279" s="1" t="str">
        <f>_xlfn.XLOOKUP(C1279,'Ocupação DW'!$F:$F,'Ocupação DW'!$E:$E,"",0)</f>
        <v/>
      </c>
      <c r="H1279" t="str">
        <f>Vagas[[#This Row],[data]]&amp;Vagas[[#This Row],[profissional_id]]&amp;Vagas[[#This Row],[local_id]]</f>
        <v>446441788221</v>
      </c>
    </row>
    <row r="1280" spans="1:8" x14ac:dyDescent="0.25">
      <c r="A1280" s="2">
        <v>44644</v>
      </c>
      <c r="B1280">
        <v>17883</v>
      </c>
      <c r="D1280">
        <v>11</v>
      </c>
      <c r="E1280">
        <v>0</v>
      </c>
      <c r="F1280" s="1">
        <f t="shared" si="19"/>
        <v>0</v>
      </c>
      <c r="G1280" s="1" t="str">
        <f>_xlfn.XLOOKUP(C1280,'Ocupação DW'!$F:$F,'Ocupação DW'!$E:$E,"",0)</f>
        <v/>
      </c>
      <c r="H1280" t="str">
        <f>Vagas[[#This Row],[data]]&amp;Vagas[[#This Row],[profissional_id]]&amp;Vagas[[#This Row],[local_id]]</f>
        <v>4464417883</v>
      </c>
    </row>
    <row r="1281" spans="1:8" x14ac:dyDescent="0.25">
      <c r="A1281" s="2">
        <v>44644</v>
      </c>
      <c r="B1281">
        <v>17883</v>
      </c>
      <c r="C1281">
        <v>351</v>
      </c>
      <c r="D1281">
        <v>0</v>
      </c>
      <c r="E1281">
        <v>0</v>
      </c>
      <c r="F1281" s="1">
        <f t="shared" si="19"/>
        <v>11</v>
      </c>
      <c r="G1281" s="1" t="str">
        <f>_xlfn.XLOOKUP(C1281,'Ocupação DW'!$F:$F,'Ocupação DW'!$E:$E,"",0)</f>
        <v>SEG - FILIAL I</v>
      </c>
      <c r="H1281" t="str">
        <f>Vagas[[#This Row],[data]]&amp;Vagas[[#This Row],[profissional_id]]&amp;Vagas[[#This Row],[local_id]]</f>
        <v>4464417883351</v>
      </c>
    </row>
    <row r="1282" spans="1:8" x14ac:dyDescent="0.25">
      <c r="A1282" s="2">
        <v>44644</v>
      </c>
      <c r="B1282">
        <v>17885</v>
      </c>
      <c r="D1282">
        <v>0</v>
      </c>
      <c r="E1282">
        <v>0</v>
      </c>
      <c r="F1282" s="1">
        <f t="shared" ref="F1282:F1345" si="20">IF(AND(A1282=A1281,B1282=B1281,D1281&lt;&gt;0,D1282=0),D1281,0)</f>
        <v>0</v>
      </c>
      <c r="G1282" s="1" t="str">
        <f>_xlfn.XLOOKUP(C1282,'Ocupação DW'!$F:$F,'Ocupação DW'!$E:$E,"",0)</f>
        <v/>
      </c>
      <c r="H1282" t="str">
        <f>Vagas[[#This Row],[data]]&amp;Vagas[[#This Row],[profissional_id]]&amp;Vagas[[#This Row],[local_id]]</f>
        <v>4464417885</v>
      </c>
    </row>
    <row r="1283" spans="1:8" x14ac:dyDescent="0.25">
      <c r="A1283" s="2">
        <v>44644</v>
      </c>
      <c r="B1283">
        <v>17885</v>
      </c>
      <c r="C1283">
        <v>23</v>
      </c>
      <c r="D1283">
        <v>61</v>
      </c>
      <c r="E1283">
        <v>0</v>
      </c>
      <c r="F1283" s="1">
        <f t="shared" si="20"/>
        <v>0</v>
      </c>
      <c r="G1283" s="1" t="str">
        <f>_xlfn.XLOOKUP(C1283,'Ocupação DW'!$F:$F,'Ocupação DW'!$E:$E,"",0)</f>
        <v/>
      </c>
      <c r="H1283" t="str">
        <f>Vagas[[#This Row],[data]]&amp;Vagas[[#This Row],[profissional_id]]&amp;Vagas[[#This Row],[local_id]]</f>
        <v>446441788523</v>
      </c>
    </row>
    <row r="1284" spans="1:8" x14ac:dyDescent="0.25">
      <c r="A1284" s="2">
        <v>44644</v>
      </c>
      <c r="B1284">
        <v>17886</v>
      </c>
      <c r="C1284">
        <v>84</v>
      </c>
      <c r="D1284">
        <v>60</v>
      </c>
      <c r="E1284">
        <v>0</v>
      </c>
      <c r="F1284" s="1">
        <f t="shared" si="20"/>
        <v>0</v>
      </c>
      <c r="G1284" s="1" t="str">
        <f>_xlfn.XLOOKUP(C1284,'Ocupação DW'!$F:$F,'Ocupação DW'!$E:$E,"",0)</f>
        <v/>
      </c>
      <c r="H1284" t="str">
        <f>Vagas[[#This Row],[data]]&amp;Vagas[[#This Row],[profissional_id]]&amp;Vagas[[#This Row],[local_id]]</f>
        <v>446441788684</v>
      </c>
    </row>
    <row r="1285" spans="1:8" x14ac:dyDescent="0.25">
      <c r="A1285" s="2">
        <v>44644</v>
      </c>
      <c r="B1285">
        <v>17887</v>
      </c>
      <c r="C1285">
        <v>58</v>
      </c>
      <c r="D1285">
        <v>60</v>
      </c>
      <c r="E1285">
        <v>0</v>
      </c>
      <c r="F1285" s="1">
        <f t="shared" si="20"/>
        <v>0</v>
      </c>
      <c r="G1285" s="1" t="str">
        <f>_xlfn.XLOOKUP(C1285,'Ocupação DW'!$F:$F,'Ocupação DW'!$E:$E,"",0)</f>
        <v/>
      </c>
      <c r="H1285" t="str">
        <f>Vagas[[#This Row],[data]]&amp;Vagas[[#This Row],[profissional_id]]&amp;Vagas[[#This Row],[local_id]]</f>
        <v>446441788758</v>
      </c>
    </row>
    <row r="1286" spans="1:8" x14ac:dyDescent="0.25">
      <c r="A1286" s="2">
        <v>44644</v>
      </c>
      <c r="B1286">
        <v>17888</v>
      </c>
      <c r="C1286">
        <v>40</v>
      </c>
      <c r="D1286">
        <v>27</v>
      </c>
      <c r="E1286">
        <v>0</v>
      </c>
      <c r="F1286" s="1">
        <f t="shared" si="20"/>
        <v>0</v>
      </c>
      <c r="G1286" s="1" t="str">
        <f>_xlfn.XLOOKUP(C1286,'Ocupação DW'!$F:$F,'Ocupação DW'!$E:$E,"",0)</f>
        <v>SEG - FILIAL I</v>
      </c>
      <c r="H1286" t="str">
        <f>Vagas[[#This Row],[data]]&amp;Vagas[[#This Row],[profissional_id]]&amp;Vagas[[#This Row],[local_id]]</f>
        <v>446441788840</v>
      </c>
    </row>
    <row r="1287" spans="1:8" x14ac:dyDescent="0.25">
      <c r="A1287" s="2">
        <v>44644</v>
      </c>
      <c r="B1287">
        <v>17889</v>
      </c>
      <c r="C1287">
        <v>59</v>
      </c>
      <c r="D1287">
        <v>30</v>
      </c>
      <c r="E1287">
        <v>0</v>
      </c>
      <c r="F1287" s="1">
        <f t="shared" si="20"/>
        <v>0</v>
      </c>
      <c r="G1287" s="1" t="str">
        <f>_xlfn.XLOOKUP(C1287,'Ocupação DW'!$F:$F,'Ocupação DW'!$E:$E,"",0)</f>
        <v>SEG - NILÓPOLIS</v>
      </c>
      <c r="H1287" t="str">
        <f>Vagas[[#This Row],[data]]&amp;Vagas[[#This Row],[profissional_id]]&amp;Vagas[[#This Row],[local_id]]</f>
        <v>446441788959</v>
      </c>
    </row>
    <row r="1288" spans="1:8" x14ac:dyDescent="0.25">
      <c r="A1288" s="2">
        <v>44644</v>
      </c>
      <c r="B1288">
        <v>17890</v>
      </c>
      <c r="C1288">
        <v>4</v>
      </c>
      <c r="D1288">
        <v>8</v>
      </c>
      <c r="E1288">
        <v>0</v>
      </c>
      <c r="F1288" s="1">
        <f t="shared" si="20"/>
        <v>0</v>
      </c>
      <c r="G1288" s="1" t="str">
        <f>_xlfn.XLOOKUP(C1288,'Ocupação DW'!$F:$F,'Ocupação DW'!$E:$E,"",0)</f>
        <v>SEG - FILIAL II 10°</v>
      </c>
      <c r="H1288" t="str">
        <f>Vagas[[#This Row],[data]]&amp;Vagas[[#This Row],[profissional_id]]&amp;Vagas[[#This Row],[local_id]]</f>
        <v>44644178904</v>
      </c>
    </row>
    <row r="1289" spans="1:8" x14ac:dyDescent="0.25">
      <c r="A1289" s="2">
        <v>44644</v>
      </c>
      <c r="B1289">
        <v>17891</v>
      </c>
      <c r="C1289">
        <v>76</v>
      </c>
      <c r="D1289">
        <v>1</v>
      </c>
      <c r="E1289">
        <v>0</v>
      </c>
      <c r="F1289" s="1">
        <f t="shared" si="20"/>
        <v>0</v>
      </c>
      <c r="G1289" s="1" t="str">
        <f>_xlfn.XLOOKUP(C1289,'Ocupação DW'!$F:$F,'Ocupação DW'!$E:$E,"",0)</f>
        <v>SEG - MIGUEL COUTO</v>
      </c>
      <c r="H1289" t="str">
        <f>Vagas[[#This Row],[data]]&amp;Vagas[[#This Row],[profissional_id]]&amp;Vagas[[#This Row],[local_id]]</f>
        <v>446441789176</v>
      </c>
    </row>
    <row r="1290" spans="1:8" x14ac:dyDescent="0.25">
      <c r="A1290" s="2">
        <v>44644</v>
      </c>
      <c r="B1290">
        <v>17892</v>
      </c>
      <c r="D1290">
        <v>0</v>
      </c>
      <c r="E1290">
        <v>0</v>
      </c>
      <c r="F1290" s="1">
        <f t="shared" si="20"/>
        <v>0</v>
      </c>
      <c r="G1290" s="1" t="str">
        <f>_xlfn.XLOOKUP(C1290,'Ocupação DW'!$F:$F,'Ocupação DW'!$E:$E,"",0)</f>
        <v/>
      </c>
      <c r="H1290" t="str">
        <f>Vagas[[#This Row],[data]]&amp;Vagas[[#This Row],[profissional_id]]&amp;Vagas[[#This Row],[local_id]]</f>
        <v>4464417892</v>
      </c>
    </row>
    <row r="1291" spans="1:8" x14ac:dyDescent="0.25">
      <c r="A1291" s="2">
        <v>44644</v>
      </c>
      <c r="B1291">
        <v>17892</v>
      </c>
      <c r="C1291">
        <v>55</v>
      </c>
      <c r="D1291">
        <v>3</v>
      </c>
      <c r="E1291">
        <v>0</v>
      </c>
      <c r="F1291" s="1">
        <f t="shared" si="20"/>
        <v>0</v>
      </c>
      <c r="G1291" s="1" t="str">
        <f>_xlfn.XLOOKUP(C1291,'Ocupação DW'!$F:$F,'Ocupação DW'!$E:$E,"",0)</f>
        <v>SEG - NILÓPOLIS</v>
      </c>
      <c r="H1291" t="str">
        <f>Vagas[[#This Row],[data]]&amp;Vagas[[#This Row],[profissional_id]]&amp;Vagas[[#This Row],[local_id]]</f>
        <v>446441789255</v>
      </c>
    </row>
    <row r="1292" spans="1:8" x14ac:dyDescent="0.25">
      <c r="A1292" s="2">
        <v>44644</v>
      </c>
      <c r="B1292">
        <v>17893</v>
      </c>
      <c r="C1292">
        <v>4</v>
      </c>
      <c r="D1292">
        <v>6</v>
      </c>
      <c r="E1292">
        <v>0</v>
      </c>
      <c r="F1292" s="1">
        <f t="shared" si="20"/>
        <v>0</v>
      </c>
      <c r="G1292" s="1" t="str">
        <f>_xlfn.XLOOKUP(C1292,'Ocupação DW'!$F:$F,'Ocupação DW'!$E:$E,"",0)</f>
        <v>SEG - FILIAL II 10°</v>
      </c>
      <c r="H1292" t="str">
        <f>Vagas[[#This Row],[data]]&amp;Vagas[[#This Row],[profissional_id]]&amp;Vagas[[#This Row],[local_id]]</f>
        <v>44644178934</v>
      </c>
    </row>
    <row r="1293" spans="1:8" x14ac:dyDescent="0.25">
      <c r="A1293" s="2">
        <v>44644</v>
      </c>
      <c r="B1293">
        <v>17894</v>
      </c>
      <c r="C1293">
        <v>76</v>
      </c>
      <c r="D1293">
        <v>1</v>
      </c>
      <c r="E1293">
        <v>0</v>
      </c>
      <c r="F1293" s="1">
        <f t="shared" si="20"/>
        <v>0</v>
      </c>
      <c r="G1293" s="1" t="str">
        <f>_xlfn.XLOOKUP(C1293,'Ocupação DW'!$F:$F,'Ocupação DW'!$E:$E,"",0)</f>
        <v>SEG - MIGUEL COUTO</v>
      </c>
      <c r="H1293" t="str">
        <f>Vagas[[#This Row],[data]]&amp;Vagas[[#This Row],[profissional_id]]&amp;Vagas[[#This Row],[local_id]]</f>
        <v>446441789476</v>
      </c>
    </row>
    <row r="1294" spans="1:8" x14ac:dyDescent="0.25">
      <c r="A1294" s="2">
        <v>44644</v>
      </c>
      <c r="B1294">
        <v>17895</v>
      </c>
      <c r="C1294">
        <v>55</v>
      </c>
      <c r="D1294">
        <v>2</v>
      </c>
      <c r="E1294">
        <v>0</v>
      </c>
      <c r="F1294" s="1">
        <f t="shared" si="20"/>
        <v>0</v>
      </c>
      <c r="G1294" s="1" t="str">
        <f>_xlfn.XLOOKUP(C1294,'Ocupação DW'!$F:$F,'Ocupação DW'!$E:$E,"",0)</f>
        <v>SEG - NILÓPOLIS</v>
      </c>
      <c r="H1294" t="str">
        <f>Vagas[[#This Row],[data]]&amp;Vagas[[#This Row],[profissional_id]]&amp;Vagas[[#This Row],[local_id]]</f>
        <v>446441789555</v>
      </c>
    </row>
    <row r="1295" spans="1:8" x14ac:dyDescent="0.25">
      <c r="A1295" s="2">
        <v>44644</v>
      </c>
      <c r="B1295">
        <v>17898</v>
      </c>
      <c r="C1295">
        <v>35</v>
      </c>
      <c r="D1295">
        <v>78</v>
      </c>
      <c r="E1295">
        <v>0</v>
      </c>
      <c r="F1295" s="1">
        <f t="shared" si="20"/>
        <v>0</v>
      </c>
      <c r="G1295" s="1" t="str">
        <f>_xlfn.XLOOKUP(C1295,'Ocupação DW'!$F:$F,'Ocupação DW'!$E:$E,"",0)</f>
        <v/>
      </c>
      <c r="H1295" t="str">
        <f>Vagas[[#This Row],[data]]&amp;Vagas[[#This Row],[profissional_id]]&amp;Vagas[[#This Row],[local_id]]</f>
        <v>446441789835</v>
      </c>
    </row>
    <row r="1296" spans="1:8" x14ac:dyDescent="0.25">
      <c r="A1296" s="2">
        <v>44644</v>
      </c>
      <c r="B1296">
        <v>17899</v>
      </c>
      <c r="C1296">
        <v>3</v>
      </c>
      <c r="D1296">
        <v>66</v>
      </c>
      <c r="E1296">
        <v>0</v>
      </c>
      <c r="F1296" s="1">
        <f t="shared" si="20"/>
        <v>0</v>
      </c>
      <c r="G1296" s="1" t="str">
        <f>_xlfn.XLOOKUP(C1296,'Ocupação DW'!$F:$F,'Ocupação DW'!$E:$E,"",0)</f>
        <v>SEG - FILIAL II 10°</v>
      </c>
      <c r="H1296" t="str">
        <f>Vagas[[#This Row],[data]]&amp;Vagas[[#This Row],[profissional_id]]&amp;Vagas[[#This Row],[local_id]]</f>
        <v>44644178993</v>
      </c>
    </row>
    <row r="1297" spans="1:8" x14ac:dyDescent="0.25">
      <c r="A1297" s="2">
        <v>44644</v>
      </c>
      <c r="B1297">
        <v>17900</v>
      </c>
      <c r="C1297">
        <v>77</v>
      </c>
      <c r="D1297">
        <v>60</v>
      </c>
      <c r="E1297">
        <v>0</v>
      </c>
      <c r="F1297" s="1">
        <f t="shared" si="20"/>
        <v>0</v>
      </c>
      <c r="G1297" s="1" t="str">
        <f>_xlfn.XLOOKUP(C1297,'Ocupação DW'!$F:$F,'Ocupação DW'!$E:$E,"",0)</f>
        <v/>
      </c>
      <c r="H1297" t="str">
        <f>Vagas[[#This Row],[data]]&amp;Vagas[[#This Row],[profissional_id]]&amp;Vagas[[#This Row],[local_id]]</f>
        <v>446441790077</v>
      </c>
    </row>
    <row r="1298" spans="1:8" x14ac:dyDescent="0.25">
      <c r="A1298" s="2">
        <v>44644</v>
      </c>
      <c r="B1298">
        <v>17901</v>
      </c>
      <c r="C1298">
        <v>55</v>
      </c>
      <c r="D1298">
        <v>66</v>
      </c>
      <c r="E1298">
        <v>0</v>
      </c>
      <c r="F1298" s="1">
        <f t="shared" si="20"/>
        <v>0</v>
      </c>
      <c r="G1298" s="1" t="str">
        <f>_xlfn.XLOOKUP(C1298,'Ocupação DW'!$F:$F,'Ocupação DW'!$E:$E,"",0)</f>
        <v>SEG - NILÓPOLIS</v>
      </c>
      <c r="H1298" t="str">
        <f>Vagas[[#This Row],[data]]&amp;Vagas[[#This Row],[profissional_id]]&amp;Vagas[[#This Row],[local_id]]</f>
        <v>446441790155</v>
      </c>
    </row>
    <row r="1299" spans="1:8" x14ac:dyDescent="0.25">
      <c r="A1299" s="2">
        <v>44644</v>
      </c>
      <c r="B1299">
        <v>17902</v>
      </c>
      <c r="C1299">
        <v>39</v>
      </c>
      <c r="D1299">
        <v>52</v>
      </c>
      <c r="E1299">
        <v>0</v>
      </c>
      <c r="F1299" s="1">
        <f t="shared" si="20"/>
        <v>0</v>
      </c>
      <c r="G1299" s="1" t="str">
        <f>_xlfn.XLOOKUP(C1299,'Ocupação DW'!$F:$F,'Ocupação DW'!$E:$E,"",0)</f>
        <v>SEG - FILIAL I</v>
      </c>
      <c r="H1299" t="str">
        <f>Vagas[[#This Row],[data]]&amp;Vagas[[#This Row],[profissional_id]]&amp;Vagas[[#This Row],[local_id]]</f>
        <v>446441790239</v>
      </c>
    </row>
    <row r="1300" spans="1:8" x14ac:dyDescent="0.25">
      <c r="A1300" s="2">
        <v>44644</v>
      </c>
      <c r="B1300">
        <v>17903</v>
      </c>
      <c r="D1300">
        <v>0</v>
      </c>
      <c r="E1300">
        <v>0</v>
      </c>
      <c r="F1300" s="1">
        <f t="shared" si="20"/>
        <v>0</v>
      </c>
      <c r="G1300" s="1" t="str">
        <f>_xlfn.XLOOKUP(C1300,'Ocupação DW'!$F:$F,'Ocupação DW'!$E:$E,"",0)</f>
        <v/>
      </c>
      <c r="H1300" t="str">
        <f>Vagas[[#This Row],[data]]&amp;Vagas[[#This Row],[profissional_id]]&amp;Vagas[[#This Row],[local_id]]</f>
        <v>4464417903</v>
      </c>
    </row>
    <row r="1301" spans="1:8" x14ac:dyDescent="0.25">
      <c r="A1301" s="2">
        <v>44644</v>
      </c>
      <c r="B1301">
        <v>17904</v>
      </c>
      <c r="D1301">
        <v>0</v>
      </c>
      <c r="E1301">
        <v>0</v>
      </c>
      <c r="F1301" s="1">
        <f t="shared" si="20"/>
        <v>0</v>
      </c>
      <c r="G1301" s="1" t="str">
        <f>_xlfn.XLOOKUP(C1301,'Ocupação DW'!$F:$F,'Ocupação DW'!$E:$E,"",0)</f>
        <v/>
      </c>
      <c r="H1301" t="str">
        <f>Vagas[[#This Row],[data]]&amp;Vagas[[#This Row],[profissional_id]]&amp;Vagas[[#This Row],[local_id]]</f>
        <v>4464417904</v>
      </c>
    </row>
    <row r="1302" spans="1:8" x14ac:dyDescent="0.25">
      <c r="A1302" s="2">
        <v>44644</v>
      </c>
      <c r="B1302">
        <v>17907</v>
      </c>
      <c r="C1302">
        <v>55</v>
      </c>
      <c r="D1302">
        <v>14</v>
      </c>
      <c r="E1302">
        <v>0</v>
      </c>
      <c r="F1302" s="1">
        <f t="shared" si="20"/>
        <v>0</v>
      </c>
      <c r="G1302" s="1" t="str">
        <f>_xlfn.XLOOKUP(C1302,'Ocupação DW'!$F:$F,'Ocupação DW'!$E:$E,"",0)</f>
        <v>SEG - NILÓPOLIS</v>
      </c>
      <c r="H1302" t="str">
        <f>Vagas[[#This Row],[data]]&amp;Vagas[[#This Row],[profissional_id]]&amp;Vagas[[#This Row],[local_id]]</f>
        <v>446441790755</v>
      </c>
    </row>
    <row r="1303" spans="1:8" x14ac:dyDescent="0.25">
      <c r="A1303" s="2">
        <v>44644</v>
      </c>
      <c r="B1303">
        <v>17908</v>
      </c>
      <c r="C1303">
        <v>25</v>
      </c>
      <c r="D1303">
        <v>14</v>
      </c>
      <c r="E1303">
        <v>0</v>
      </c>
      <c r="F1303" s="1">
        <f t="shared" si="20"/>
        <v>0</v>
      </c>
      <c r="G1303" s="1" t="str">
        <f>_xlfn.XLOOKUP(C1303,'Ocupação DW'!$F:$F,'Ocupação DW'!$E:$E,"",0)</f>
        <v>SEG - MATRIZ</v>
      </c>
      <c r="H1303" t="str">
        <f>Vagas[[#This Row],[data]]&amp;Vagas[[#This Row],[profissional_id]]&amp;Vagas[[#This Row],[local_id]]</f>
        <v>446441790825</v>
      </c>
    </row>
    <row r="1304" spans="1:8" x14ac:dyDescent="0.25">
      <c r="A1304" s="2">
        <v>44644</v>
      </c>
      <c r="B1304">
        <v>17909</v>
      </c>
      <c r="C1304">
        <v>4</v>
      </c>
      <c r="D1304">
        <v>0</v>
      </c>
      <c r="E1304">
        <v>0</v>
      </c>
      <c r="F1304" s="1">
        <f t="shared" si="20"/>
        <v>0</v>
      </c>
      <c r="G1304" s="1" t="str">
        <f>_xlfn.XLOOKUP(C1304,'Ocupação DW'!$F:$F,'Ocupação DW'!$E:$E,"",0)</f>
        <v>SEG - FILIAL II 10°</v>
      </c>
      <c r="H1304" t="str">
        <f>Vagas[[#This Row],[data]]&amp;Vagas[[#This Row],[profissional_id]]&amp;Vagas[[#This Row],[local_id]]</f>
        <v>44644179094</v>
      </c>
    </row>
    <row r="1305" spans="1:8" x14ac:dyDescent="0.25">
      <c r="A1305" s="2">
        <v>44644</v>
      </c>
      <c r="B1305">
        <v>17922</v>
      </c>
      <c r="D1305">
        <v>133</v>
      </c>
      <c r="E1305">
        <v>0</v>
      </c>
      <c r="F1305" s="1">
        <f t="shared" si="20"/>
        <v>0</v>
      </c>
      <c r="G1305" s="1" t="str">
        <f>_xlfn.XLOOKUP(C1305,'Ocupação DW'!$F:$F,'Ocupação DW'!$E:$E,"",0)</f>
        <v/>
      </c>
      <c r="H1305" t="str">
        <f>Vagas[[#This Row],[data]]&amp;Vagas[[#This Row],[profissional_id]]&amp;Vagas[[#This Row],[local_id]]</f>
        <v>4464417922</v>
      </c>
    </row>
    <row r="1306" spans="1:8" x14ac:dyDescent="0.25">
      <c r="A1306" s="2">
        <v>44644</v>
      </c>
      <c r="B1306">
        <v>17922</v>
      </c>
      <c r="C1306">
        <v>74</v>
      </c>
      <c r="D1306">
        <v>133</v>
      </c>
      <c r="E1306">
        <v>0</v>
      </c>
      <c r="F1306" s="1">
        <f t="shared" si="20"/>
        <v>0</v>
      </c>
      <c r="G1306" s="1" t="str">
        <f>_xlfn.XLOOKUP(C1306,'Ocupação DW'!$F:$F,'Ocupação DW'!$E:$E,"",0)</f>
        <v/>
      </c>
      <c r="H1306" t="str">
        <f>Vagas[[#This Row],[data]]&amp;Vagas[[#This Row],[profissional_id]]&amp;Vagas[[#This Row],[local_id]]</f>
        <v>446441792274</v>
      </c>
    </row>
    <row r="1307" spans="1:8" x14ac:dyDescent="0.25">
      <c r="A1307" s="2">
        <v>44644</v>
      </c>
      <c r="B1307">
        <v>17924</v>
      </c>
      <c r="C1307">
        <v>52</v>
      </c>
      <c r="D1307">
        <v>133</v>
      </c>
      <c r="E1307">
        <v>0</v>
      </c>
      <c r="F1307" s="1">
        <f t="shared" si="20"/>
        <v>0</v>
      </c>
      <c r="G1307" s="1" t="str">
        <f>_xlfn.XLOOKUP(C1307,'Ocupação DW'!$F:$F,'Ocupação DW'!$E:$E,"",0)</f>
        <v/>
      </c>
      <c r="H1307" t="str">
        <f>Vagas[[#This Row],[data]]&amp;Vagas[[#This Row],[profissional_id]]&amp;Vagas[[#This Row],[local_id]]</f>
        <v>446441792452</v>
      </c>
    </row>
    <row r="1308" spans="1:8" x14ac:dyDescent="0.25">
      <c r="A1308" s="2">
        <v>44644</v>
      </c>
      <c r="B1308">
        <v>17928</v>
      </c>
      <c r="C1308">
        <v>51</v>
      </c>
      <c r="D1308">
        <v>24</v>
      </c>
      <c r="E1308">
        <v>4</v>
      </c>
      <c r="F1308" s="1">
        <f t="shared" si="20"/>
        <v>0</v>
      </c>
      <c r="G1308" s="1" t="str">
        <f>_xlfn.XLOOKUP(C1308,'Ocupação DW'!$F:$F,'Ocupação DW'!$E:$E,"",0)</f>
        <v>SEG - FILIAL I</v>
      </c>
      <c r="H1308" t="str">
        <f>Vagas[[#This Row],[data]]&amp;Vagas[[#This Row],[profissional_id]]&amp;Vagas[[#This Row],[local_id]]</f>
        <v>446441792851</v>
      </c>
    </row>
    <row r="1309" spans="1:8" x14ac:dyDescent="0.25">
      <c r="A1309" s="2">
        <v>44644</v>
      </c>
      <c r="D1309">
        <v>0</v>
      </c>
      <c r="E1309">
        <v>0</v>
      </c>
      <c r="F1309" s="1">
        <f t="shared" si="20"/>
        <v>0</v>
      </c>
      <c r="G1309" s="1" t="str">
        <f>_xlfn.XLOOKUP(C1309,'Ocupação DW'!$F:$F,'Ocupação DW'!$E:$E,"",0)</f>
        <v/>
      </c>
      <c r="H1309" t="str">
        <f>Vagas[[#This Row],[data]]&amp;Vagas[[#This Row],[profissional_id]]&amp;Vagas[[#This Row],[local_id]]</f>
        <v>44644</v>
      </c>
    </row>
    <row r="1310" spans="1:8" x14ac:dyDescent="0.25">
      <c r="A1310" s="2">
        <v>44644</v>
      </c>
      <c r="D1310">
        <v>0</v>
      </c>
      <c r="E1310">
        <v>0</v>
      </c>
      <c r="F1310" s="1">
        <f t="shared" si="20"/>
        <v>0</v>
      </c>
      <c r="G1310" s="1" t="str">
        <f>_xlfn.XLOOKUP(C1310,'Ocupação DW'!$F:$F,'Ocupação DW'!$E:$E,"",0)</f>
        <v/>
      </c>
      <c r="H1310" t="str">
        <f>Vagas[[#This Row],[data]]&amp;Vagas[[#This Row],[profissional_id]]&amp;Vagas[[#This Row],[local_id]]</f>
        <v>44644</v>
      </c>
    </row>
    <row r="1311" spans="1:8" x14ac:dyDescent="0.25">
      <c r="A1311" s="2">
        <v>44644</v>
      </c>
      <c r="D1311">
        <v>0</v>
      </c>
      <c r="E1311">
        <v>0</v>
      </c>
      <c r="F1311" s="1">
        <f t="shared" si="20"/>
        <v>0</v>
      </c>
      <c r="G1311" s="1" t="str">
        <f>_xlfn.XLOOKUP(C1311,'Ocupação DW'!$F:$F,'Ocupação DW'!$E:$E,"",0)</f>
        <v/>
      </c>
      <c r="H1311" t="str">
        <f>Vagas[[#This Row],[data]]&amp;Vagas[[#This Row],[profissional_id]]&amp;Vagas[[#This Row],[local_id]]</f>
        <v>44644</v>
      </c>
    </row>
    <row r="1312" spans="1:8" x14ac:dyDescent="0.25">
      <c r="A1312" s="2">
        <v>44645</v>
      </c>
      <c r="B1312">
        <v>54</v>
      </c>
      <c r="D1312">
        <v>19</v>
      </c>
      <c r="E1312">
        <v>0</v>
      </c>
      <c r="F1312" s="1">
        <f t="shared" si="20"/>
        <v>0</v>
      </c>
      <c r="G1312" s="1" t="str">
        <f>_xlfn.XLOOKUP(C1312,'Ocupação DW'!$F:$F,'Ocupação DW'!$E:$E,"",0)</f>
        <v/>
      </c>
      <c r="H1312" t="str">
        <f>Vagas[[#This Row],[data]]&amp;Vagas[[#This Row],[profissional_id]]&amp;Vagas[[#This Row],[local_id]]</f>
        <v>4464554</v>
      </c>
    </row>
    <row r="1313" spans="1:8" x14ac:dyDescent="0.25">
      <c r="A1313" s="2">
        <v>44645</v>
      </c>
      <c r="B1313">
        <v>54</v>
      </c>
      <c r="C1313">
        <v>50</v>
      </c>
      <c r="D1313">
        <v>22</v>
      </c>
      <c r="E1313">
        <v>0</v>
      </c>
      <c r="F1313" s="1">
        <f t="shared" si="20"/>
        <v>0</v>
      </c>
      <c r="G1313" s="1" t="str">
        <f>_xlfn.XLOOKUP(C1313,'Ocupação DW'!$F:$F,'Ocupação DW'!$E:$E,"",0)</f>
        <v>SEG - FILIAL I</v>
      </c>
      <c r="H1313" t="str">
        <f>Vagas[[#This Row],[data]]&amp;Vagas[[#This Row],[profissional_id]]&amp;Vagas[[#This Row],[local_id]]</f>
        <v>446455450</v>
      </c>
    </row>
    <row r="1314" spans="1:8" x14ac:dyDescent="0.25">
      <c r="A1314" s="2">
        <v>44645</v>
      </c>
      <c r="B1314">
        <v>55</v>
      </c>
      <c r="D1314">
        <v>33</v>
      </c>
      <c r="E1314">
        <v>0</v>
      </c>
      <c r="F1314" s="1">
        <f t="shared" si="20"/>
        <v>0</v>
      </c>
      <c r="G1314" s="1" t="str">
        <f>_xlfn.XLOOKUP(C1314,'Ocupação DW'!$F:$F,'Ocupação DW'!$E:$E,"",0)</f>
        <v/>
      </c>
      <c r="H1314" t="str">
        <f>Vagas[[#This Row],[data]]&amp;Vagas[[#This Row],[profissional_id]]&amp;Vagas[[#This Row],[local_id]]</f>
        <v>4464555</v>
      </c>
    </row>
    <row r="1315" spans="1:8" x14ac:dyDescent="0.25">
      <c r="A1315" s="2">
        <v>44645</v>
      </c>
      <c r="B1315">
        <v>55</v>
      </c>
      <c r="C1315">
        <v>68</v>
      </c>
      <c r="D1315">
        <v>0</v>
      </c>
      <c r="E1315">
        <v>0</v>
      </c>
      <c r="F1315" s="1">
        <f t="shared" si="20"/>
        <v>33</v>
      </c>
      <c r="G1315" s="1" t="str">
        <f>_xlfn.XLOOKUP(C1315,'Ocupação DW'!$F:$F,'Ocupação DW'!$E:$E,"",0)</f>
        <v>SEG - NILÓPOLIS</v>
      </c>
      <c r="H1315" t="str">
        <f>Vagas[[#This Row],[data]]&amp;Vagas[[#This Row],[profissional_id]]&amp;Vagas[[#This Row],[local_id]]</f>
        <v>446455568</v>
      </c>
    </row>
    <row r="1316" spans="1:8" x14ac:dyDescent="0.25">
      <c r="A1316" s="2">
        <v>44645</v>
      </c>
      <c r="B1316">
        <v>57</v>
      </c>
      <c r="C1316">
        <v>8</v>
      </c>
      <c r="D1316">
        <v>0</v>
      </c>
      <c r="E1316">
        <v>0</v>
      </c>
      <c r="F1316" s="1">
        <f t="shared" si="20"/>
        <v>0</v>
      </c>
      <c r="G1316" s="1" t="str">
        <f>_xlfn.XLOOKUP(C1316,'Ocupação DW'!$F:$F,'Ocupação DW'!$E:$E,"",0)</f>
        <v>SEG - FILIAL II 10°</v>
      </c>
      <c r="H1316" t="str">
        <f>Vagas[[#This Row],[data]]&amp;Vagas[[#This Row],[profissional_id]]&amp;Vagas[[#This Row],[local_id]]</f>
        <v>44645578</v>
      </c>
    </row>
    <row r="1317" spans="1:8" x14ac:dyDescent="0.25">
      <c r="A1317" s="2">
        <v>44645</v>
      </c>
      <c r="B1317">
        <v>57</v>
      </c>
      <c r="C1317">
        <v>2</v>
      </c>
      <c r="D1317">
        <v>21</v>
      </c>
      <c r="E1317">
        <v>0</v>
      </c>
      <c r="F1317" s="1">
        <f t="shared" si="20"/>
        <v>0</v>
      </c>
      <c r="G1317" s="1" t="str">
        <f>_xlfn.XLOOKUP(C1317,'Ocupação DW'!$F:$F,'Ocupação DW'!$E:$E,"",0)</f>
        <v>SEG - FILIAL II 10°</v>
      </c>
      <c r="H1317" t="str">
        <f>Vagas[[#This Row],[data]]&amp;Vagas[[#This Row],[profissional_id]]&amp;Vagas[[#This Row],[local_id]]</f>
        <v>44645572</v>
      </c>
    </row>
    <row r="1318" spans="1:8" x14ac:dyDescent="0.25">
      <c r="A1318" s="2">
        <v>44645</v>
      </c>
      <c r="B1318">
        <v>59</v>
      </c>
      <c r="D1318">
        <v>21</v>
      </c>
      <c r="E1318">
        <v>3</v>
      </c>
      <c r="F1318" s="1">
        <f t="shared" si="20"/>
        <v>0</v>
      </c>
      <c r="G1318" s="1" t="str">
        <f>_xlfn.XLOOKUP(C1318,'Ocupação DW'!$F:$F,'Ocupação DW'!$E:$E,"",0)</f>
        <v/>
      </c>
      <c r="H1318" t="str">
        <f>Vagas[[#This Row],[data]]&amp;Vagas[[#This Row],[profissional_id]]&amp;Vagas[[#This Row],[local_id]]</f>
        <v>4464559</v>
      </c>
    </row>
    <row r="1319" spans="1:8" x14ac:dyDescent="0.25">
      <c r="A1319" s="2">
        <v>44645</v>
      </c>
      <c r="B1319">
        <v>59</v>
      </c>
      <c r="C1319">
        <v>78</v>
      </c>
      <c r="D1319">
        <v>19</v>
      </c>
      <c r="E1319">
        <v>2</v>
      </c>
      <c r="F1319" s="1">
        <f t="shared" si="20"/>
        <v>0</v>
      </c>
      <c r="G1319" s="1" t="str">
        <f>_xlfn.XLOOKUP(C1319,'Ocupação DW'!$F:$F,'Ocupação DW'!$E:$E,"",0)</f>
        <v>SEG - MIGUEL COUTO</v>
      </c>
      <c r="H1319" t="str">
        <f>Vagas[[#This Row],[data]]&amp;Vagas[[#This Row],[profissional_id]]&amp;Vagas[[#This Row],[local_id]]</f>
        <v>446455978</v>
      </c>
    </row>
    <row r="1320" spans="1:8" x14ac:dyDescent="0.25">
      <c r="A1320" s="2">
        <v>44645</v>
      </c>
      <c r="B1320">
        <v>60</v>
      </c>
      <c r="D1320">
        <v>20</v>
      </c>
      <c r="E1320">
        <v>0</v>
      </c>
      <c r="F1320" s="1">
        <f t="shared" si="20"/>
        <v>0</v>
      </c>
      <c r="G1320" s="1" t="str">
        <f>_xlfn.XLOOKUP(C1320,'Ocupação DW'!$F:$F,'Ocupação DW'!$E:$E,"",0)</f>
        <v/>
      </c>
      <c r="H1320" t="str">
        <f>Vagas[[#This Row],[data]]&amp;Vagas[[#This Row],[profissional_id]]&amp;Vagas[[#This Row],[local_id]]</f>
        <v>4464560</v>
      </c>
    </row>
    <row r="1321" spans="1:8" x14ac:dyDescent="0.25">
      <c r="A1321" s="2">
        <v>44645</v>
      </c>
      <c r="B1321">
        <v>60</v>
      </c>
      <c r="C1321">
        <v>348</v>
      </c>
      <c r="D1321">
        <v>0</v>
      </c>
      <c r="E1321">
        <v>0</v>
      </c>
      <c r="F1321" s="1">
        <f t="shared" si="20"/>
        <v>20</v>
      </c>
      <c r="G1321" s="1" t="str">
        <f>_xlfn.XLOOKUP(C1321,'Ocupação DW'!$F:$F,'Ocupação DW'!$E:$E,"",0)</f>
        <v>SEG - MATRIZ</v>
      </c>
      <c r="H1321" t="str">
        <f>Vagas[[#This Row],[data]]&amp;Vagas[[#This Row],[profissional_id]]&amp;Vagas[[#This Row],[local_id]]</f>
        <v>4464560348</v>
      </c>
    </row>
    <row r="1322" spans="1:8" x14ac:dyDescent="0.25">
      <c r="A1322" s="2">
        <v>44645</v>
      </c>
      <c r="B1322">
        <v>60</v>
      </c>
      <c r="C1322">
        <v>1</v>
      </c>
      <c r="D1322">
        <v>0</v>
      </c>
      <c r="E1322">
        <v>0</v>
      </c>
      <c r="F1322" s="1">
        <f t="shared" si="20"/>
        <v>0</v>
      </c>
      <c r="G1322" s="1" t="str">
        <f>_xlfn.XLOOKUP(C1322,'Ocupação DW'!$F:$F,'Ocupação DW'!$E:$E,"",0)</f>
        <v>SEG - FILIAL II 10°</v>
      </c>
      <c r="H1322" t="str">
        <f>Vagas[[#This Row],[data]]&amp;Vagas[[#This Row],[profissional_id]]&amp;Vagas[[#This Row],[local_id]]</f>
        <v>44645601</v>
      </c>
    </row>
    <row r="1323" spans="1:8" x14ac:dyDescent="0.25">
      <c r="A1323" s="2">
        <v>44645</v>
      </c>
      <c r="B1323">
        <v>66</v>
      </c>
      <c r="D1323">
        <v>73</v>
      </c>
      <c r="E1323">
        <v>0</v>
      </c>
      <c r="F1323" s="1">
        <f t="shared" si="20"/>
        <v>0</v>
      </c>
      <c r="G1323" s="1" t="str">
        <f>_xlfn.XLOOKUP(C1323,'Ocupação DW'!$F:$F,'Ocupação DW'!$E:$E,"",0)</f>
        <v/>
      </c>
      <c r="H1323" t="str">
        <f>Vagas[[#This Row],[data]]&amp;Vagas[[#This Row],[profissional_id]]&amp;Vagas[[#This Row],[local_id]]</f>
        <v>4464566</v>
      </c>
    </row>
    <row r="1324" spans="1:8" x14ac:dyDescent="0.25">
      <c r="A1324" s="2">
        <v>44645</v>
      </c>
      <c r="B1324">
        <v>66</v>
      </c>
      <c r="C1324">
        <v>345</v>
      </c>
      <c r="D1324">
        <v>78</v>
      </c>
      <c r="E1324">
        <v>0</v>
      </c>
      <c r="F1324" s="1">
        <f t="shared" si="20"/>
        <v>0</v>
      </c>
      <c r="G1324" s="1" t="str">
        <f>_xlfn.XLOOKUP(C1324,'Ocupação DW'!$F:$F,'Ocupação DW'!$E:$E,"",0)</f>
        <v>SEG - MATRIZ</v>
      </c>
      <c r="H1324" t="str">
        <f>Vagas[[#This Row],[data]]&amp;Vagas[[#This Row],[profissional_id]]&amp;Vagas[[#This Row],[local_id]]</f>
        <v>4464566345</v>
      </c>
    </row>
    <row r="1325" spans="1:8" x14ac:dyDescent="0.25">
      <c r="A1325" s="2">
        <v>44645</v>
      </c>
      <c r="B1325">
        <v>67</v>
      </c>
      <c r="C1325">
        <v>8</v>
      </c>
      <c r="D1325">
        <v>0</v>
      </c>
      <c r="E1325">
        <v>0</v>
      </c>
      <c r="F1325" s="1">
        <f t="shared" si="20"/>
        <v>0</v>
      </c>
      <c r="G1325" s="1" t="str">
        <f>_xlfn.XLOOKUP(C1325,'Ocupação DW'!$F:$F,'Ocupação DW'!$E:$E,"",0)</f>
        <v>SEG - FILIAL II 10°</v>
      </c>
      <c r="H1325" t="str">
        <f>Vagas[[#This Row],[data]]&amp;Vagas[[#This Row],[profissional_id]]&amp;Vagas[[#This Row],[local_id]]</f>
        <v>44645678</v>
      </c>
    </row>
    <row r="1326" spans="1:8" x14ac:dyDescent="0.25">
      <c r="A1326" s="2">
        <v>44645</v>
      </c>
      <c r="B1326">
        <v>69</v>
      </c>
      <c r="D1326">
        <v>33</v>
      </c>
      <c r="E1326">
        <v>1</v>
      </c>
      <c r="F1326" s="1">
        <f t="shared" si="20"/>
        <v>0</v>
      </c>
      <c r="G1326" s="1" t="str">
        <f>_xlfn.XLOOKUP(C1326,'Ocupação DW'!$F:$F,'Ocupação DW'!$E:$E,"",0)</f>
        <v/>
      </c>
      <c r="H1326" t="str">
        <f>Vagas[[#This Row],[data]]&amp;Vagas[[#This Row],[profissional_id]]&amp;Vagas[[#This Row],[local_id]]</f>
        <v>4464569</v>
      </c>
    </row>
    <row r="1327" spans="1:8" x14ac:dyDescent="0.25">
      <c r="A1327" s="2">
        <v>44645</v>
      </c>
      <c r="B1327">
        <v>69</v>
      </c>
      <c r="C1327">
        <v>13</v>
      </c>
      <c r="D1327">
        <v>0</v>
      </c>
      <c r="E1327">
        <v>4</v>
      </c>
      <c r="F1327" s="1">
        <f t="shared" si="20"/>
        <v>33</v>
      </c>
      <c r="G1327" s="1" t="str">
        <f>_xlfn.XLOOKUP(C1327,'Ocupação DW'!$F:$F,'Ocupação DW'!$E:$E,"",0)</f>
        <v>SEG - FILIAL II 11°</v>
      </c>
      <c r="H1327" t="str">
        <f>Vagas[[#This Row],[data]]&amp;Vagas[[#This Row],[profissional_id]]&amp;Vagas[[#This Row],[local_id]]</f>
        <v>446456913</v>
      </c>
    </row>
    <row r="1328" spans="1:8" x14ac:dyDescent="0.25">
      <c r="A1328" s="2">
        <v>44645</v>
      </c>
      <c r="B1328">
        <v>70</v>
      </c>
      <c r="D1328">
        <v>0</v>
      </c>
      <c r="E1328">
        <v>0</v>
      </c>
      <c r="F1328" s="1">
        <f t="shared" si="20"/>
        <v>0</v>
      </c>
      <c r="G1328" s="1" t="str">
        <f>_xlfn.XLOOKUP(C1328,'Ocupação DW'!$F:$F,'Ocupação DW'!$E:$E,"",0)</f>
        <v/>
      </c>
      <c r="H1328" t="str">
        <f>Vagas[[#This Row],[data]]&amp;Vagas[[#This Row],[profissional_id]]&amp;Vagas[[#This Row],[local_id]]</f>
        <v>4464570</v>
      </c>
    </row>
    <row r="1329" spans="1:8" x14ac:dyDescent="0.25">
      <c r="A1329" s="2">
        <v>44645</v>
      </c>
      <c r="B1329">
        <v>73</v>
      </c>
      <c r="D1329">
        <v>0</v>
      </c>
      <c r="E1329">
        <v>0</v>
      </c>
      <c r="F1329" s="1">
        <f t="shared" si="20"/>
        <v>0</v>
      </c>
      <c r="G1329" s="1" t="str">
        <f>_xlfn.XLOOKUP(C1329,'Ocupação DW'!$F:$F,'Ocupação DW'!$E:$E,"",0)</f>
        <v/>
      </c>
      <c r="H1329" t="str">
        <f>Vagas[[#This Row],[data]]&amp;Vagas[[#This Row],[profissional_id]]&amp;Vagas[[#This Row],[local_id]]</f>
        <v>4464573</v>
      </c>
    </row>
    <row r="1330" spans="1:8" x14ac:dyDescent="0.25">
      <c r="A1330" s="2">
        <v>44645</v>
      </c>
      <c r="B1330">
        <v>81</v>
      </c>
      <c r="C1330">
        <v>41</v>
      </c>
      <c r="D1330">
        <v>0</v>
      </c>
      <c r="E1330">
        <v>0</v>
      </c>
      <c r="F1330" s="1">
        <f t="shared" si="20"/>
        <v>0</v>
      </c>
      <c r="G1330" s="1" t="str">
        <f>_xlfn.XLOOKUP(C1330,'Ocupação DW'!$F:$F,'Ocupação DW'!$E:$E,"",0)</f>
        <v>SEG - FILIAL I</v>
      </c>
      <c r="H1330" t="str">
        <f>Vagas[[#This Row],[data]]&amp;Vagas[[#This Row],[profissional_id]]&amp;Vagas[[#This Row],[local_id]]</f>
        <v>446458141</v>
      </c>
    </row>
    <row r="1331" spans="1:8" x14ac:dyDescent="0.25">
      <c r="A1331" s="2">
        <v>44645</v>
      </c>
      <c r="B1331">
        <v>86</v>
      </c>
      <c r="D1331">
        <v>33</v>
      </c>
      <c r="E1331">
        <v>5</v>
      </c>
      <c r="F1331" s="1">
        <f t="shared" si="20"/>
        <v>0</v>
      </c>
      <c r="G1331" s="1" t="str">
        <f>_xlfn.XLOOKUP(C1331,'Ocupação DW'!$F:$F,'Ocupação DW'!$E:$E,"",0)</f>
        <v/>
      </c>
      <c r="H1331" t="str">
        <f>Vagas[[#This Row],[data]]&amp;Vagas[[#This Row],[profissional_id]]&amp;Vagas[[#This Row],[local_id]]</f>
        <v>4464586</v>
      </c>
    </row>
    <row r="1332" spans="1:8" x14ac:dyDescent="0.25">
      <c r="A1332" s="2">
        <v>44645</v>
      </c>
      <c r="B1332">
        <v>86</v>
      </c>
      <c r="C1332">
        <v>349</v>
      </c>
      <c r="D1332">
        <v>0</v>
      </c>
      <c r="E1332">
        <v>4</v>
      </c>
      <c r="F1332" s="1">
        <f t="shared" si="20"/>
        <v>33</v>
      </c>
      <c r="G1332" s="1" t="str">
        <f>_xlfn.XLOOKUP(C1332,'Ocupação DW'!$F:$F,'Ocupação DW'!$E:$E,"",0)</f>
        <v>SEG - FILIAL II 11°</v>
      </c>
      <c r="H1332" t="str">
        <f>Vagas[[#This Row],[data]]&amp;Vagas[[#This Row],[profissional_id]]&amp;Vagas[[#This Row],[local_id]]</f>
        <v>4464586349</v>
      </c>
    </row>
    <row r="1333" spans="1:8" x14ac:dyDescent="0.25">
      <c r="A1333" s="2">
        <v>44645</v>
      </c>
      <c r="B1333">
        <v>92</v>
      </c>
      <c r="C1333">
        <v>340</v>
      </c>
      <c r="D1333">
        <v>108</v>
      </c>
      <c r="E1333">
        <v>12</v>
      </c>
      <c r="F1333" s="1">
        <f t="shared" si="20"/>
        <v>0</v>
      </c>
      <c r="G1333" s="1" t="str">
        <f>_xlfn.XLOOKUP(C1333,'Ocupação DW'!$F:$F,'Ocupação DW'!$E:$E,"",0)</f>
        <v>SEG - MATRIZ</v>
      </c>
      <c r="H1333" t="str">
        <f>Vagas[[#This Row],[data]]&amp;Vagas[[#This Row],[profissional_id]]&amp;Vagas[[#This Row],[local_id]]</f>
        <v>4464592340</v>
      </c>
    </row>
    <row r="1334" spans="1:8" x14ac:dyDescent="0.25">
      <c r="A1334" s="2">
        <v>44645</v>
      </c>
      <c r="B1334">
        <v>100</v>
      </c>
      <c r="D1334">
        <v>0</v>
      </c>
      <c r="E1334">
        <v>0</v>
      </c>
      <c r="F1334" s="1">
        <f t="shared" si="20"/>
        <v>0</v>
      </c>
      <c r="G1334" s="1" t="str">
        <f>_xlfn.XLOOKUP(C1334,'Ocupação DW'!$F:$F,'Ocupação DW'!$E:$E,"",0)</f>
        <v/>
      </c>
      <c r="H1334" t="str">
        <f>Vagas[[#This Row],[data]]&amp;Vagas[[#This Row],[profissional_id]]&amp;Vagas[[#This Row],[local_id]]</f>
        <v>44645100</v>
      </c>
    </row>
    <row r="1335" spans="1:8" x14ac:dyDescent="0.25">
      <c r="A1335" s="2">
        <v>44645</v>
      </c>
      <c r="B1335">
        <v>110</v>
      </c>
      <c r="D1335">
        <v>0</v>
      </c>
      <c r="E1335">
        <v>0</v>
      </c>
      <c r="F1335" s="1">
        <f t="shared" si="20"/>
        <v>0</v>
      </c>
      <c r="G1335" s="1" t="str">
        <f>_xlfn.XLOOKUP(C1335,'Ocupação DW'!$F:$F,'Ocupação DW'!$E:$E,"",0)</f>
        <v/>
      </c>
      <c r="H1335" t="str">
        <f>Vagas[[#This Row],[data]]&amp;Vagas[[#This Row],[profissional_id]]&amp;Vagas[[#This Row],[local_id]]</f>
        <v>44645110</v>
      </c>
    </row>
    <row r="1336" spans="1:8" x14ac:dyDescent="0.25">
      <c r="A1336" s="2">
        <v>44645</v>
      </c>
      <c r="B1336">
        <v>123</v>
      </c>
      <c r="D1336">
        <v>11</v>
      </c>
      <c r="E1336">
        <v>0</v>
      </c>
      <c r="F1336" s="1">
        <f t="shared" si="20"/>
        <v>0</v>
      </c>
      <c r="G1336" s="1" t="str">
        <f>_xlfn.XLOOKUP(C1336,'Ocupação DW'!$F:$F,'Ocupação DW'!$E:$E,"",0)</f>
        <v/>
      </c>
      <c r="H1336" t="str">
        <f>Vagas[[#This Row],[data]]&amp;Vagas[[#This Row],[profissional_id]]&amp;Vagas[[#This Row],[local_id]]</f>
        <v>44645123</v>
      </c>
    </row>
    <row r="1337" spans="1:8" x14ac:dyDescent="0.25">
      <c r="A1337" s="2">
        <v>44645</v>
      </c>
      <c r="B1337">
        <v>123</v>
      </c>
      <c r="C1337">
        <v>339</v>
      </c>
      <c r="D1337">
        <v>11</v>
      </c>
      <c r="E1337">
        <v>0</v>
      </c>
      <c r="F1337" s="1">
        <f t="shared" si="20"/>
        <v>0</v>
      </c>
      <c r="G1337" s="1" t="str">
        <f>_xlfn.XLOOKUP(C1337,'Ocupação DW'!$F:$F,'Ocupação DW'!$E:$E,"",0)</f>
        <v>SEG - MATRIZ</v>
      </c>
      <c r="H1337" t="str">
        <f>Vagas[[#This Row],[data]]&amp;Vagas[[#This Row],[profissional_id]]&amp;Vagas[[#This Row],[local_id]]</f>
        <v>44645123339</v>
      </c>
    </row>
    <row r="1338" spans="1:8" x14ac:dyDescent="0.25">
      <c r="A1338" s="2">
        <v>44645</v>
      </c>
      <c r="B1338">
        <v>174</v>
      </c>
      <c r="C1338">
        <v>24</v>
      </c>
      <c r="D1338">
        <v>80</v>
      </c>
      <c r="E1338">
        <v>0</v>
      </c>
      <c r="F1338" s="1">
        <f t="shared" si="20"/>
        <v>0</v>
      </c>
      <c r="G1338" s="1" t="str">
        <f>_xlfn.XLOOKUP(C1338,'Ocupação DW'!$F:$F,'Ocupação DW'!$E:$E,"",0)</f>
        <v>SEG - MATRIZ</v>
      </c>
      <c r="H1338" t="str">
        <f>Vagas[[#This Row],[data]]&amp;Vagas[[#This Row],[profissional_id]]&amp;Vagas[[#This Row],[local_id]]</f>
        <v>4464517424</v>
      </c>
    </row>
    <row r="1339" spans="1:8" x14ac:dyDescent="0.25">
      <c r="A1339" s="2">
        <v>44645</v>
      </c>
      <c r="B1339">
        <v>282</v>
      </c>
      <c r="D1339">
        <v>49</v>
      </c>
      <c r="E1339">
        <v>0</v>
      </c>
      <c r="F1339" s="1">
        <f t="shared" si="20"/>
        <v>0</v>
      </c>
      <c r="G1339" s="1" t="str">
        <f>_xlfn.XLOOKUP(C1339,'Ocupação DW'!$F:$F,'Ocupação DW'!$E:$E,"",0)</f>
        <v/>
      </c>
      <c r="H1339" t="str">
        <f>Vagas[[#This Row],[data]]&amp;Vagas[[#This Row],[profissional_id]]&amp;Vagas[[#This Row],[local_id]]</f>
        <v>44645282</v>
      </c>
    </row>
    <row r="1340" spans="1:8" x14ac:dyDescent="0.25">
      <c r="A1340" s="2">
        <v>44645</v>
      </c>
      <c r="B1340">
        <v>282</v>
      </c>
      <c r="C1340">
        <v>39</v>
      </c>
      <c r="D1340">
        <v>52</v>
      </c>
      <c r="E1340">
        <v>0</v>
      </c>
      <c r="F1340" s="1">
        <f t="shared" si="20"/>
        <v>0</v>
      </c>
      <c r="G1340" s="1" t="str">
        <f>_xlfn.XLOOKUP(C1340,'Ocupação DW'!$F:$F,'Ocupação DW'!$E:$E,"",0)</f>
        <v>SEG - FILIAL I</v>
      </c>
      <c r="H1340" t="str">
        <f>Vagas[[#This Row],[data]]&amp;Vagas[[#This Row],[profissional_id]]&amp;Vagas[[#This Row],[local_id]]</f>
        <v>4464528239</v>
      </c>
    </row>
    <row r="1341" spans="1:8" x14ac:dyDescent="0.25">
      <c r="A1341" s="2">
        <v>44645</v>
      </c>
      <c r="B1341">
        <v>531</v>
      </c>
      <c r="C1341">
        <v>78</v>
      </c>
      <c r="D1341">
        <v>0</v>
      </c>
      <c r="E1341">
        <v>0</v>
      </c>
      <c r="F1341" s="1">
        <f t="shared" si="20"/>
        <v>0</v>
      </c>
      <c r="G1341" s="1" t="str">
        <f>_xlfn.XLOOKUP(C1341,'Ocupação DW'!$F:$F,'Ocupação DW'!$E:$E,"",0)</f>
        <v>SEG - MIGUEL COUTO</v>
      </c>
      <c r="H1341" t="str">
        <f>Vagas[[#This Row],[data]]&amp;Vagas[[#This Row],[profissional_id]]&amp;Vagas[[#This Row],[local_id]]</f>
        <v>4464553178</v>
      </c>
    </row>
    <row r="1342" spans="1:8" x14ac:dyDescent="0.25">
      <c r="A1342" s="2">
        <v>44645</v>
      </c>
      <c r="B1342">
        <v>1343</v>
      </c>
      <c r="D1342">
        <v>13</v>
      </c>
      <c r="E1342">
        <v>0</v>
      </c>
      <c r="F1342" s="1">
        <f t="shared" si="20"/>
        <v>0</v>
      </c>
      <c r="G1342" s="1" t="str">
        <f>_xlfn.XLOOKUP(C1342,'Ocupação DW'!$F:$F,'Ocupação DW'!$E:$E,"",0)</f>
        <v/>
      </c>
      <c r="H1342" t="str">
        <f>Vagas[[#This Row],[data]]&amp;Vagas[[#This Row],[profissional_id]]&amp;Vagas[[#This Row],[local_id]]</f>
        <v>446451343</v>
      </c>
    </row>
    <row r="1343" spans="1:8" x14ac:dyDescent="0.25">
      <c r="A1343" s="2">
        <v>44645</v>
      </c>
      <c r="B1343">
        <v>1343</v>
      </c>
      <c r="C1343">
        <v>342</v>
      </c>
      <c r="D1343">
        <v>0</v>
      </c>
      <c r="E1343">
        <v>0</v>
      </c>
      <c r="F1343" s="1">
        <f t="shared" si="20"/>
        <v>13</v>
      </c>
      <c r="G1343" s="1" t="str">
        <f>_xlfn.XLOOKUP(C1343,'Ocupação DW'!$F:$F,'Ocupação DW'!$E:$E,"",0)</f>
        <v>SEG - MATRIZ</v>
      </c>
      <c r="H1343" t="str">
        <f>Vagas[[#This Row],[data]]&amp;Vagas[[#This Row],[profissional_id]]&amp;Vagas[[#This Row],[local_id]]</f>
        <v>446451343342</v>
      </c>
    </row>
    <row r="1344" spans="1:8" x14ac:dyDescent="0.25">
      <c r="A1344" s="2">
        <v>44645</v>
      </c>
      <c r="B1344">
        <v>1490</v>
      </c>
      <c r="D1344">
        <v>0</v>
      </c>
      <c r="E1344">
        <v>0</v>
      </c>
      <c r="F1344" s="1">
        <f t="shared" si="20"/>
        <v>0</v>
      </c>
      <c r="G1344" s="1" t="str">
        <f>_xlfn.XLOOKUP(C1344,'Ocupação DW'!$F:$F,'Ocupação DW'!$E:$E,"",0)</f>
        <v/>
      </c>
      <c r="H1344" t="str">
        <f>Vagas[[#This Row],[data]]&amp;Vagas[[#This Row],[profissional_id]]&amp;Vagas[[#This Row],[local_id]]</f>
        <v>446451490</v>
      </c>
    </row>
    <row r="1345" spans="1:8" x14ac:dyDescent="0.25">
      <c r="A1345" s="2">
        <v>44645</v>
      </c>
      <c r="B1345">
        <v>1794</v>
      </c>
      <c r="C1345">
        <v>49</v>
      </c>
      <c r="D1345">
        <v>27</v>
      </c>
      <c r="E1345">
        <v>0</v>
      </c>
      <c r="F1345" s="1">
        <f t="shared" si="20"/>
        <v>0</v>
      </c>
      <c r="G1345" s="1" t="str">
        <f>_xlfn.XLOOKUP(C1345,'Ocupação DW'!$F:$F,'Ocupação DW'!$E:$E,"",0)</f>
        <v>SEG - FILIAL I</v>
      </c>
      <c r="H1345" t="str">
        <f>Vagas[[#This Row],[data]]&amp;Vagas[[#This Row],[profissional_id]]&amp;Vagas[[#This Row],[local_id]]</f>
        <v>44645179449</v>
      </c>
    </row>
    <row r="1346" spans="1:8" x14ac:dyDescent="0.25">
      <c r="A1346" s="2">
        <v>44645</v>
      </c>
      <c r="B1346">
        <v>1794</v>
      </c>
      <c r="C1346">
        <v>46</v>
      </c>
      <c r="D1346">
        <v>23</v>
      </c>
      <c r="E1346">
        <v>0</v>
      </c>
      <c r="F1346" s="1">
        <f t="shared" ref="F1346:F1409" si="21">IF(AND(A1346=A1345,B1346=B1345,D1345&lt;&gt;0,D1346=0),D1345,0)</f>
        <v>0</v>
      </c>
      <c r="G1346" s="1" t="str">
        <f>_xlfn.XLOOKUP(C1346,'Ocupação DW'!$F:$F,'Ocupação DW'!$E:$E,"",0)</f>
        <v>SEG - FILIAL I</v>
      </c>
      <c r="H1346" t="str">
        <f>Vagas[[#This Row],[data]]&amp;Vagas[[#This Row],[profissional_id]]&amp;Vagas[[#This Row],[local_id]]</f>
        <v>44645179446</v>
      </c>
    </row>
    <row r="1347" spans="1:8" x14ac:dyDescent="0.25">
      <c r="A1347" s="2">
        <v>44645</v>
      </c>
      <c r="B1347">
        <v>2334</v>
      </c>
      <c r="D1347">
        <v>0</v>
      </c>
      <c r="E1347">
        <v>0</v>
      </c>
      <c r="F1347" s="1">
        <f t="shared" si="21"/>
        <v>0</v>
      </c>
      <c r="G1347" s="1" t="str">
        <f>_xlfn.XLOOKUP(C1347,'Ocupação DW'!$F:$F,'Ocupação DW'!$E:$E,"",0)</f>
        <v/>
      </c>
      <c r="H1347" t="str">
        <f>Vagas[[#This Row],[data]]&amp;Vagas[[#This Row],[profissional_id]]&amp;Vagas[[#This Row],[local_id]]</f>
        <v>446452334</v>
      </c>
    </row>
    <row r="1348" spans="1:8" x14ac:dyDescent="0.25">
      <c r="A1348" s="2">
        <v>44645</v>
      </c>
      <c r="B1348">
        <v>2567</v>
      </c>
      <c r="C1348">
        <v>18</v>
      </c>
      <c r="D1348">
        <v>0</v>
      </c>
      <c r="E1348">
        <v>0</v>
      </c>
      <c r="F1348" s="1">
        <f t="shared" si="21"/>
        <v>0</v>
      </c>
      <c r="G1348" s="1" t="str">
        <f>_xlfn.XLOOKUP(C1348,'Ocupação DW'!$F:$F,'Ocupação DW'!$E:$E,"",0)</f>
        <v>SEG - FILIAL II 11°</v>
      </c>
      <c r="H1348" t="str">
        <f>Vagas[[#This Row],[data]]&amp;Vagas[[#This Row],[profissional_id]]&amp;Vagas[[#This Row],[local_id]]</f>
        <v>44645256718</v>
      </c>
    </row>
    <row r="1349" spans="1:8" x14ac:dyDescent="0.25">
      <c r="A1349" s="2">
        <v>44645</v>
      </c>
      <c r="B1349">
        <v>2984</v>
      </c>
      <c r="C1349">
        <v>7</v>
      </c>
      <c r="D1349">
        <v>0</v>
      </c>
      <c r="E1349">
        <v>0</v>
      </c>
      <c r="F1349" s="1">
        <f t="shared" si="21"/>
        <v>0</v>
      </c>
      <c r="G1349" s="1" t="str">
        <f>_xlfn.XLOOKUP(C1349,'Ocupação DW'!$F:$F,'Ocupação DW'!$E:$E,"",0)</f>
        <v>SEG - FILIAL II 10°</v>
      </c>
      <c r="H1349" t="str">
        <f>Vagas[[#This Row],[data]]&amp;Vagas[[#This Row],[profissional_id]]&amp;Vagas[[#This Row],[local_id]]</f>
        <v>4464529847</v>
      </c>
    </row>
    <row r="1350" spans="1:8" x14ac:dyDescent="0.25">
      <c r="A1350" s="2">
        <v>44645</v>
      </c>
      <c r="B1350">
        <v>3092</v>
      </c>
      <c r="D1350">
        <v>0</v>
      </c>
      <c r="E1350">
        <v>0</v>
      </c>
      <c r="F1350" s="1">
        <f t="shared" si="21"/>
        <v>0</v>
      </c>
      <c r="G1350" s="1" t="str">
        <f>_xlfn.XLOOKUP(C1350,'Ocupação DW'!$F:$F,'Ocupação DW'!$E:$E,"",0)</f>
        <v/>
      </c>
      <c r="H1350" t="str">
        <f>Vagas[[#This Row],[data]]&amp;Vagas[[#This Row],[profissional_id]]&amp;Vagas[[#This Row],[local_id]]</f>
        <v>446453092</v>
      </c>
    </row>
    <row r="1351" spans="1:8" x14ac:dyDescent="0.25">
      <c r="A1351" s="2">
        <v>44645</v>
      </c>
      <c r="B1351">
        <v>3158</v>
      </c>
      <c r="C1351">
        <v>342</v>
      </c>
      <c r="D1351">
        <v>0</v>
      </c>
      <c r="E1351">
        <v>0</v>
      </c>
      <c r="F1351" s="1">
        <f t="shared" si="21"/>
        <v>0</v>
      </c>
      <c r="G1351" s="1" t="str">
        <f>_xlfn.XLOOKUP(C1351,'Ocupação DW'!$F:$F,'Ocupação DW'!$E:$E,"",0)</f>
        <v>SEG - MATRIZ</v>
      </c>
      <c r="H1351" t="str">
        <f>Vagas[[#This Row],[data]]&amp;Vagas[[#This Row],[profissional_id]]&amp;Vagas[[#This Row],[local_id]]</f>
        <v>446453158342</v>
      </c>
    </row>
    <row r="1352" spans="1:8" x14ac:dyDescent="0.25">
      <c r="A1352" s="2">
        <v>44645</v>
      </c>
      <c r="B1352">
        <v>3502</v>
      </c>
      <c r="D1352">
        <v>0</v>
      </c>
      <c r="E1352">
        <v>0</v>
      </c>
      <c r="F1352" s="1">
        <f t="shared" si="21"/>
        <v>0</v>
      </c>
      <c r="G1352" s="1" t="str">
        <f>_xlfn.XLOOKUP(C1352,'Ocupação DW'!$F:$F,'Ocupação DW'!$E:$E,"",0)</f>
        <v/>
      </c>
      <c r="H1352" t="str">
        <f>Vagas[[#This Row],[data]]&amp;Vagas[[#This Row],[profissional_id]]&amp;Vagas[[#This Row],[local_id]]</f>
        <v>446453502</v>
      </c>
    </row>
    <row r="1353" spans="1:8" x14ac:dyDescent="0.25">
      <c r="A1353" s="2">
        <v>44645</v>
      </c>
      <c r="B1353">
        <v>3930</v>
      </c>
      <c r="C1353">
        <v>10</v>
      </c>
      <c r="D1353">
        <v>15</v>
      </c>
      <c r="E1353">
        <v>0</v>
      </c>
      <c r="F1353" s="1">
        <f t="shared" si="21"/>
        <v>0</v>
      </c>
      <c r="G1353" s="1" t="str">
        <f>_xlfn.XLOOKUP(C1353,'Ocupação DW'!$F:$F,'Ocupação DW'!$E:$E,"",0)</f>
        <v/>
      </c>
      <c r="H1353" t="str">
        <f>Vagas[[#This Row],[data]]&amp;Vagas[[#This Row],[profissional_id]]&amp;Vagas[[#This Row],[local_id]]</f>
        <v>44645393010</v>
      </c>
    </row>
    <row r="1354" spans="1:8" x14ac:dyDescent="0.25">
      <c r="A1354" s="2">
        <v>44645</v>
      </c>
      <c r="B1354">
        <v>5927</v>
      </c>
      <c r="C1354">
        <v>17</v>
      </c>
      <c r="D1354">
        <v>0</v>
      </c>
      <c r="E1354">
        <v>0</v>
      </c>
      <c r="F1354" s="1">
        <f t="shared" si="21"/>
        <v>0</v>
      </c>
      <c r="G1354" s="1" t="str">
        <f>_xlfn.XLOOKUP(C1354,'Ocupação DW'!$F:$F,'Ocupação DW'!$E:$E,"",0)</f>
        <v>SEG - FILIAL II 11°</v>
      </c>
      <c r="H1354" t="str">
        <f>Vagas[[#This Row],[data]]&amp;Vagas[[#This Row],[profissional_id]]&amp;Vagas[[#This Row],[local_id]]</f>
        <v>44645592717</v>
      </c>
    </row>
    <row r="1355" spans="1:8" x14ac:dyDescent="0.25">
      <c r="A1355" s="2">
        <v>44645</v>
      </c>
      <c r="B1355">
        <v>6046</v>
      </c>
      <c r="D1355">
        <v>0</v>
      </c>
      <c r="E1355">
        <v>0</v>
      </c>
      <c r="F1355" s="1">
        <f t="shared" si="21"/>
        <v>0</v>
      </c>
      <c r="G1355" s="1" t="str">
        <f>_xlfn.XLOOKUP(C1355,'Ocupação DW'!$F:$F,'Ocupação DW'!$E:$E,"",0)</f>
        <v/>
      </c>
      <c r="H1355" t="str">
        <f>Vagas[[#This Row],[data]]&amp;Vagas[[#This Row],[profissional_id]]&amp;Vagas[[#This Row],[local_id]]</f>
        <v>446456046</v>
      </c>
    </row>
    <row r="1356" spans="1:8" x14ac:dyDescent="0.25">
      <c r="A1356" s="2">
        <v>44645</v>
      </c>
      <c r="B1356">
        <v>6430</v>
      </c>
      <c r="D1356">
        <v>49</v>
      </c>
      <c r="E1356">
        <v>0</v>
      </c>
      <c r="F1356" s="1">
        <f t="shared" si="21"/>
        <v>0</v>
      </c>
      <c r="G1356" s="1" t="str">
        <f>_xlfn.XLOOKUP(C1356,'Ocupação DW'!$F:$F,'Ocupação DW'!$E:$E,"",0)</f>
        <v/>
      </c>
      <c r="H1356" t="str">
        <f>Vagas[[#This Row],[data]]&amp;Vagas[[#This Row],[profissional_id]]&amp;Vagas[[#This Row],[local_id]]</f>
        <v>446456430</v>
      </c>
    </row>
    <row r="1357" spans="1:8" x14ac:dyDescent="0.25">
      <c r="A1357" s="2">
        <v>44645</v>
      </c>
      <c r="B1357">
        <v>6430</v>
      </c>
      <c r="C1357">
        <v>42</v>
      </c>
      <c r="D1357">
        <v>0</v>
      </c>
      <c r="E1357">
        <v>0</v>
      </c>
      <c r="F1357" s="1">
        <f t="shared" si="21"/>
        <v>49</v>
      </c>
      <c r="G1357" s="1" t="str">
        <f>_xlfn.XLOOKUP(C1357,'Ocupação DW'!$F:$F,'Ocupação DW'!$E:$E,"",0)</f>
        <v>SEG - FILIAL I</v>
      </c>
      <c r="H1357" t="str">
        <f>Vagas[[#This Row],[data]]&amp;Vagas[[#This Row],[profissional_id]]&amp;Vagas[[#This Row],[local_id]]</f>
        <v>44645643042</v>
      </c>
    </row>
    <row r="1358" spans="1:8" x14ac:dyDescent="0.25">
      <c r="A1358" s="2">
        <v>44645</v>
      </c>
      <c r="B1358">
        <v>6839</v>
      </c>
      <c r="C1358">
        <v>341</v>
      </c>
      <c r="D1358">
        <v>60</v>
      </c>
      <c r="E1358">
        <v>0</v>
      </c>
      <c r="F1358" s="1">
        <f t="shared" si="21"/>
        <v>0</v>
      </c>
      <c r="G1358" s="1" t="str">
        <f>_xlfn.XLOOKUP(C1358,'Ocupação DW'!$F:$F,'Ocupação DW'!$E:$E,"",0)</f>
        <v/>
      </c>
      <c r="H1358" t="str">
        <f>Vagas[[#This Row],[data]]&amp;Vagas[[#This Row],[profissional_id]]&amp;Vagas[[#This Row],[local_id]]</f>
        <v>446456839341</v>
      </c>
    </row>
    <row r="1359" spans="1:8" x14ac:dyDescent="0.25">
      <c r="A1359" s="2">
        <v>44645</v>
      </c>
      <c r="B1359">
        <v>8598</v>
      </c>
      <c r="D1359">
        <v>0</v>
      </c>
      <c r="E1359">
        <v>0</v>
      </c>
      <c r="F1359" s="1">
        <f t="shared" si="21"/>
        <v>0</v>
      </c>
      <c r="G1359" s="1" t="str">
        <f>_xlfn.XLOOKUP(C1359,'Ocupação DW'!$F:$F,'Ocupação DW'!$E:$E,"",0)</f>
        <v/>
      </c>
      <c r="H1359" t="str">
        <f>Vagas[[#This Row],[data]]&amp;Vagas[[#This Row],[profissional_id]]&amp;Vagas[[#This Row],[local_id]]</f>
        <v>446458598</v>
      </c>
    </row>
    <row r="1360" spans="1:8" x14ac:dyDescent="0.25">
      <c r="A1360" s="2">
        <v>44645</v>
      </c>
      <c r="B1360">
        <v>9111</v>
      </c>
      <c r="D1360">
        <v>49</v>
      </c>
      <c r="E1360">
        <v>0</v>
      </c>
      <c r="F1360" s="1">
        <f t="shared" si="21"/>
        <v>0</v>
      </c>
      <c r="G1360" s="1" t="str">
        <f>_xlfn.XLOOKUP(C1360,'Ocupação DW'!$F:$F,'Ocupação DW'!$E:$E,"",0)</f>
        <v/>
      </c>
      <c r="H1360" t="str">
        <f>Vagas[[#This Row],[data]]&amp;Vagas[[#This Row],[profissional_id]]&amp;Vagas[[#This Row],[local_id]]</f>
        <v>446459111</v>
      </c>
    </row>
    <row r="1361" spans="1:8" x14ac:dyDescent="0.25">
      <c r="A1361" s="2">
        <v>44645</v>
      </c>
      <c r="B1361">
        <v>9111</v>
      </c>
      <c r="C1361">
        <v>51</v>
      </c>
      <c r="D1361">
        <v>0</v>
      </c>
      <c r="E1361">
        <v>0</v>
      </c>
      <c r="F1361" s="1">
        <f t="shared" si="21"/>
        <v>49</v>
      </c>
      <c r="G1361" s="1" t="str">
        <f>_xlfn.XLOOKUP(C1361,'Ocupação DW'!$F:$F,'Ocupação DW'!$E:$E,"",0)</f>
        <v>SEG - FILIAL I</v>
      </c>
      <c r="H1361" t="str">
        <f>Vagas[[#This Row],[data]]&amp;Vagas[[#This Row],[profissional_id]]&amp;Vagas[[#This Row],[local_id]]</f>
        <v>44645911151</v>
      </c>
    </row>
    <row r="1362" spans="1:8" x14ac:dyDescent="0.25">
      <c r="A1362" s="2">
        <v>44645</v>
      </c>
      <c r="B1362">
        <v>9138</v>
      </c>
      <c r="C1362">
        <v>17</v>
      </c>
      <c r="D1362">
        <v>2</v>
      </c>
      <c r="E1362">
        <v>0</v>
      </c>
      <c r="F1362" s="1">
        <f t="shared" si="21"/>
        <v>0</v>
      </c>
      <c r="G1362" s="1" t="str">
        <f>_xlfn.XLOOKUP(C1362,'Ocupação DW'!$F:$F,'Ocupação DW'!$E:$E,"",0)</f>
        <v>SEG - FILIAL II 11°</v>
      </c>
      <c r="H1362" t="str">
        <f>Vagas[[#This Row],[data]]&amp;Vagas[[#This Row],[profissional_id]]&amp;Vagas[[#This Row],[local_id]]</f>
        <v>44645913817</v>
      </c>
    </row>
    <row r="1363" spans="1:8" x14ac:dyDescent="0.25">
      <c r="A1363" s="2">
        <v>44645</v>
      </c>
      <c r="B1363">
        <v>9138</v>
      </c>
      <c r="C1363">
        <v>14</v>
      </c>
      <c r="D1363">
        <v>0</v>
      </c>
      <c r="E1363">
        <v>0</v>
      </c>
      <c r="F1363" s="1">
        <f t="shared" si="21"/>
        <v>2</v>
      </c>
      <c r="G1363" s="1" t="str">
        <f>_xlfn.XLOOKUP(C1363,'Ocupação DW'!$F:$F,'Ocupação DW'!$E:$E,"",0)</f>
        <v>SEG - FILIAL II 11°</v>
      </c>
      <c r="H1363" t="str">
        <f>Vagas[[#This Row],[data]]&amp;Vagas[[#This Row],[profissional_id]]&amp;Vagas[[#This Row],[local_id]]</f>
        <v>44645913814</v>
      </c>
    </row>
    <row r="1364" spans="1:8" x14ac:dyDescent="0.25">
      <c r="A1364" s="2">
        <v>44645</v>
      </c>
      <c r="B1364">
        <v>9207</v>
      </c>
      <c r="C1364">
        <v>346</v>
      </c>
      <c r="D1364">
        <v>96</v>
      </c>
      <c r="E1364">
        <v>12</v>
      </c>
      <c r="F1364" s="1">
        <f t="shared" si="21"/>
        <v>0</v>
      </c>
      <c r="G1364" s="1" t="str">
        <f>_xlfn.XLOOKUP(C1364,'Ocupação DW'!$F:$F,'Ocupação DW'!$E:$E,"",0)</f>
        <v>SEG - MATRIZ</v>
      </c>
      <c r="H1364" t="str">
        <f>Vagas[[#This Row],[data]]&amp;Vagas[[#This Row],[profissional_id]]&amp;Vagas[[#This Row],[local_id]]</f>
        <v>446459207346</v>
      </c>
    </row>
    <row r="1365" spans="1:8" x14ac:dyDescent="0.25">
      <c r="A1365" s="2">
        <v>44645</v>
      </c>
      <c r="B1365">
        <v>9237</v>
      </c>
      <c r="C1365">
        <v>343</v>
      </c>
      <c r="D1365">
        <v>108</v>
      </c>
      <c r="E1365">
        <v>12</v>
      </c>
      <c r="F1365" s="1">
        <f t="shared" si="21"/>
        <v>0</v>
      </c>
      <c r="G1365" s="1" t="str">
        <f>_xlfn.XLOOKUP(C1365,'Ocupação DW'!$F:$F,'Ocupação DW'!$E:$E,"",0)</f>
        <v/>
      </c>
      <c r="H1365" t="str">
        <f>Vagas[[#This Row],[data]]&amp;Vagas[[#This Row],[profissional_id]]&amp;Vagas[[#This Row],[local_id]]</f>
        <v>446459237343</v>
      </c>
    </row>
    <row r="1366" spans="1:8" x14ac:dyDescent="0.25">
      <c r="A1366" s="2">
        <v>44645</v>
      </c>
      <c r="B1366">
        <v>9654</v>
      </c>
      <c r="C1366">
        <v>339</v>
      </c>
      <c r="D1366">
        <v>132</v>
      </c>
      <c r="E1366">
        <v>0</v>
      </c>
      <c r="F1366" s="1">
        <f t="shared" si="21"/>
        <v>0</v>
      </c>
      <c r="G1366" s="1" t="str">
        <f>_xlfn.XLOOKUP(C1366,'Ocupação DW'!$F:$F,'Ocupação DW'!$E:$E,"",0)</f>
        <v>SEG - MATRIZ</v>
      </c>
      <c r="H1366" t="str">
        <f>Vagas[[#This Row],[data]]&amp;Vagas[[#This Row],[profissional_id]]&amp;Vagas[[#This Row],[local_id]]</f>
        <v>446459654339</v>
      </c>
    </row>
    <row r="1367" spans="1:8" x14ac:dyDescent="0.25">
      <c r="A1367" s="2">
        <v>44645</v>
      </c>
      <c r="B1367">
        <v>9717</v>
      </c>
      <c r="D1367">
        <v>0</v>
      </c>
      <c r="E1367">
        <v>0</v>
      </c>
      <c r="F1367" s="1">
        <f t="shared" si="21"/>
        <v>0</v>
      </c>
      <c r="G1367" s="1" t="str">
        <f>_xlfn.XLOOKUP(C1367,'Ocupação DW'!$F:$F,'Ocupação DW'!$E:$E,"",0)</f>
        <v/>
      </c>
      <c r="H1367" t="str">
        <f>Vagas[[#This Row],[data]]&amp;Vagas[[#This Row],[profissional_id]]&amp;Vagas[[#This Row],[local_id]]</f>
        <v>446459717</v>
      </c>
    </row>
    <row r="1368" spans="1:8" x14ac:dyDescent="0.25">
      <c r="A1368" s="2">
        <v>44645</v>
      </c>
      <c r="B1368">
        <v>10249</v>
      </c>
      <c r="D1368">
        <v>9</v>
      </c>
      <c r="E1368">
        <v>0</v>
      </c>
      <c r="F1368" s="1">
        <f t="shared" si="21"/>
        <v>0</v>
      </c>
      <c r="G1368" s="1" t="str">
        <f>_xlfn.XLOOKUP(C1368,'Ocupação DW'!$F:$F,'Ocupação DW'!$E:$E,"",0)</f>
        <v/>
      </c>
      <c r="H1368" t="str">
        <f>Vagas[[#This Row],[data]]&amp;Vagas[[#This Row],[profissional_id]]&amp;Vagas[[#This Row],[local_id]]</f>
        <v>4464510249</v>
      </c>
    </row>
    <row r="1369" spans="1:8" x14ac:dyDescent="0.25">
      <c r="A1369" s="2">
        <v>44645</v>
      </c>
      <c r="B1369">
        <v>10249</v>
      </c>
      <c r="C1369">
        <v>43</v>
      </c>
      <c r="D1369">
        <v>0</v>
      </c>
      <c r="E1369">
        <v>0</v>
      </c>
      <c r="F1369" s="1">
        <f t="shared" si="21"/>
        <v>9</v>
      </c>
      <c r="G1369" s="1" t="str">
        <f>_xlfn.XLOOKUP(C1369,'Ocupação DW'!$F:$F,'Ocupação DW'!$E:$E,"",0)</f>
        <v>SEG - FILIAL I</v>
      </c>
      <c r="H1369" t="str">
        <f>Vagas[[#This Row],[data]]&amp;Vagas[[#This Row],[profissional_id]]&amp;Vagas[[#This Row],[local_id]]</f>
        <v>446451024943</v>
      </c>
    </row>
    <row r="1370" spans="1:8" x14ac:dyDescent="0.25">
      <c r="A1370" s="2">
        <v>44645</v>
      </c>
      <c r="B1370">
        <v>10593</v>
      </c>
      <c r="C1370">
        <v>80</v>
      </c>
      <c r="D1370">
        <v>0</v>
      </c>
      <c r="E1370">
        <v>0</v>
      </c>
      <c r="F1370" s="1">
        <f t="shared" si="21"/>
        <v>0</v>
      </c>
      <c r="G1370" s="1" t="str">
        <f>_xlfn.XLOOKUP(C1370,'Ocupação DW'!$F:$F,'Ocupação DW'!$E:$E,"",0)</f>
        <v>SEG - MIGUEL COUTO</v>
      </c>
      <c r="H1370" t="str">
        <f>Vagas[[#This Row],[data]]&amp;Vagas[[#This Row],[profissional_id]]&amp;Vagas[[#This Row],[local_id]]</f>
        <v>446451059380</v>
      </c>
    </row>
    <row r="1371" spans="1:8" x14ac:dyDescent="0.25">
      <c r="A1371" s="2">
        <v>44645</v>
      </c>
      <c r="B1371">
        <v>10595</v>
      </c>
      <c r="D1371">
        <v>0</v>
      </c>
      <c r="E1371">
        <v>0</v>
      </c>
      <c r="F1371" s="1">
        <f t="shared" si="21"/>
        <v>0</v>
      </c>
      <c r="G1371" s="1" t="str">
        <f>_xlfn.XLOOKUP(C1371,'Ocupação DW'!$F:$F,'Ocupação DW'!$E:$E,"",0)</f>
        <v/>
      </c>
      <c r="H1371" t="str">
        <f>Vagas[[#This Row],[data]]&amp;Vagas[[#This Row],[profissional_id]]&amp;Vagas[[#This Row],[local_id]]</f>
        <v>4464510595</v>
      </c>
    </row>
    <row r="1372" spans="1:8" x14ac:dyDescent="0.25">
      <c r="A1372" s="2">
        <v>44645</v>
      </c>
      <c r="B1372">
        <v>10600</v>
      </c>
      <c r="C1372">
        <v>86</v>
      </c>
      <c r="D1372">
        <v>0</v>
      </c>
      <c r="E1372">
        <v>0</v>
      </c>
      <c r="F1372" s="1">
        <f t="shared" si="21"/>
        <v>0</v>
      </c>
      <c r="G1372" s="1" t="str">
        <f>_xlfn.XLOOKUP(C1372,'Ocupação DW'!$F:$F,'Ocupação DW'!$E:$E,"",0)</f>
        <v>SEG - MIGUEL COUTO</v>
      </c>
      <c r="H1372" t="str">
        <f>Vagas[[#This Row],[data]]&amp;Vagas[[#This Row],[profissional_id]]&amp;Vagas[[#This Row],[local_id]]</f>
        <v>446451060086</v>
      </c>
    </row>
    <row r="1373" spans="1:8" x14ac:dyDescent="0.25">
      <c r="A1373" s="2">
        <v>44645</v>
      </c>
      <c r="B1373">
        <v>10691</v>
      </c>
      <c r="D1373">
        <v>21</v>
      </c>
      <c r="E1373">
        <v>0</v>
      </c>
      <c r="F1373" s="1">
        <f t="shared" si="21"/>
        <v>0</v>
      </c>
      <c r="G1373" s="1" t="str">
        <f>_xlfn.XLOOKUP(C1373,'Ocupação DW'!$F:$F,'Ocupação DW'!$E:$E,"",0)</f>
        <v/>
      </c>
      <c r="H1373" t="str">
        <f>Vagas[[#This Row],[data]]&amp;Vagas[[#This Row],[profissional_id]]&amp;Vagas[[#This Row],[local_id]]</f>
        <v>4464510691</v>
      </c>
    </row>
    <row r="1374" spans="1:8" x14ac:dyDescent="0.25">
      <c r="A1374" s="2">
        <v>44645</v>
      </c>
      <c r="B1374">
        <v>10691</v>
      </c>
      <c r="C1374">
        <v>6</v>
      </c>
      <c r="D1374">
        <v>8</v>
      </c>
      <c r="E1374">
        <v>0</v>
      </c>
      <c r="F1374" s="1">
        <f t="shared" si="21"/>
        <v>0</v>
      </c>
      <c r="G1374" s="1" t="str">
        <f>_xlfn.XLOOKUP(C1374,'Ocupação DW'!$F:$F,'Ocupação DW'!$E:$E,"",0)</f>
        <v>SEG - FILIAL II 10°</v>
      </c>
      <c r="H1374" t="str">
        <f>Vagas[[#This Row],[data]]&amp;Vagas[[#This Row],[profissional_id]]&amp;Vagas[[#This Row],[local_id]]</f>
        <v>44645106916</v>
      </c>
    </row>
    <row r="1375" spans="1:8" x14ac:dyDescent="0.25">
      <c r="A1375" s="2">
        <v>44645</v>
      </c>
      <c r="B1375">
        <v>10717</v>
      </c>
      <c r="C1375">
        <v>18</v>
      </c>
      <c r="D1375">
        <v>0</v>
      </c>
      <c r="E1375">
        <v>0</v>
      </c>
      <c r="F1375" s="1">
        <f t="shared" si="21"/>
        <v>0</v>
      </c>
      <c r="G1375" s="1" t="str">
        <f>_xlfn.XLOOKUP(C1375,'Ocupação DW'!$F:$F,'Ocupação DW'!$E:$E,"",0)</f>
        <v>SEG - FILIAL II 11°</v>
      </c>
      <c r="H1375" t="str">
        <f>Vagas[[#This Row],[data]]&amp;Vagas[[#This Row],[profissional_id]]&amp;Vagas[[#This Row],[local_id]]</f>
        <v>446451071718</v>
      </c>
    </row>
    <row r="1376" spans="1:8" x14ac:dyDescent="0.25">
      <c r="A1376" s="2">
        <v>44645</v>
      </c>
      <c r="B1376">
        <v>10785</v>
      </c>
      <c r="C1376">
        <v>15</v>
      </c>
      <c r="D1376">
        <v>0</v>
      </c>
      <c r="E1376">
        <v>0</v>
      </c>
      <c r="F1376" s="1">
        <f t="shared" si="21"/>
        <v>0</v>
      </c>
      <c r="G1376" s="1" t="str">
        <f>_xlfn.XLOOKUP(C1376,'Ocupação DW'!$F:$F,'Ocupação DW'!$E:$E,"",0)</f>
        <v>SEG - FILIAL II 11°</v>
      </c>
      <c r="H1376" t="str">
        <f>Vagas[[#This Row],[data]]&amp;Vagas[[#This Row],[profissional_id]]&amp;Vagas[[#This Row],[local_id]]</f>
        <v>446451078515</v>
      </c>
    </row>
    <row r="1377" spans="1:8" x14ac:dyDescent="0.25">
      <c r="A1377" s="2">
        <v>44645</v>
      </c>
      <c r="B1377">
        <v>10946</v>
      </c>
      <c r="D1377">
        <v>0</v>
      </c>
      <c r="E1377">
        <v>0</v>
      </c>
      <c r="F1377" s="1">
        <f t="shared" si="21"/>
        <v>0</v>
      </c>
      <c r="G1377" s="1" t="str">
        <f>_xlfn.XLOOKUP(C1377,'Ocupação DW'!$F:$F,'Ocupação DW'!$E:$E,"",0)</f>
        <v/>
      </c>
      <c r="H1377" t="str">
        <f>Vagas[[#This Row],[data]]&amp;Vagas[[#This Row],[profissional_id]]&amp;Vagas[[#This Row],[local_id]]</f>
        <v>4464510946</v>
      </c>
    </row>
    <row r="1378" spans="1:8" x14ac:dyDescent="0.25">
      <c r="A1378" s="2">
        <v>44645</v>
      </c>
      <c r="B1378">
        <v>11634</v>
      </c>
      <c r="C1378">
        <v>345</v>
      </c>
      <c r="D1378">
        <v>48</v>
      </c>
      <c r="E1378">
        <v>0</v>
      </c>
      <c r="F1378" s="1">
        <f t="shared" si="21"/>
        <v>0</v>
      </c>
      <c r="G1378" s="1" t="str">
        <f>_xlfn.XLOOKUP(C1378,'Ocupação DW'!$F:$F,'Ocupação DW'!$E:$E,"",0)</f>
        <v>SEG - MATRIZ</v>
      </c>
      <c r="H1378" t="str">
        <f>Vagas[[#This Row],[data]]&amp;Vagas[[#This Row],[profissional_id]]&amp;Vagas[[#This Row],[local_id]]</f>
        <v>4464511634345</v>
      </c>
    </row>
    <row r="1379" spans="1:8" x14ac:dyDescent="0.25">
      <c r="A1379" s="2">
        <v>44645</v>
      </c>
      <c r="B1379">
        <v>12142</v>
      </c>
      <c r="C1379">
        <v>44</v>
      </c>
      <c r="D1379">
        <v>0</v>
      </c>
      <c r="E1379">
        <v>0</v>
      </c>
      <c r="F1379" s="1">
        <f t="shared" si="21"/>
        <v>0</v>
      </c>
      <c r="G1379" s="1" t="str">
        <f>_xlfn.XLOOKUP(C1379,'Ocupação DW'!$F:$F,'Ocupação DW'!$E:$E,"",0)</f>
        <v>SEG - FILIAL I</v>
      </c>
      <c r="H1379" t="str">
        <f>Vagas[[#This Row],[data]]&amp;Vagas[[#This Row],[profissional_id]]&amp;Vagas[[#This Row],[local_id]]</f>
        <v>446451214244</v>
      </c>
    </row>
    <row r="1380" spans="1:8" x14ac:dyDescent="0.25">
      <c r="A1380" s="2">
        <v>44645</v>
      </c>
      <c r="B1380">
        <v>12369</v>
      </c>
      <c r="D1380">
        <v>0</v>
      </c>
      <c r="E1380">
        <v>0</v>
      </c>
      <c r="F1380" s="1">
        <f t="shared" si="21"/>
        <v>0</v>
      </c>
      <c r="G1380" s="1" t="str">
        <f>_xlfn.XLOOKUP(C1380,'Ocupação DW'!$F:$F,'Ocupação DW'!$E:$E,"",0)</f>
        <v/>
      </c>
      <c r="H1380" t="str">
        <f>Vagas[[#This Row],[data]]&amp;Vagas[[#This Row],[profissional_id]]&amp;Vagas[[#This Row],[local_id]]</f>
        <v>4464512369</v>
      </c>
    </row>
    <row r="1381" spans="1:8" x14ac:dyDescent="0.25">
      <c r="A1381" s="2">
        <v>44645</v>
      </c>
      <c r="B1381">
        <v>12482</v>
      </c>
      <c r="C1381">
        <v>348</v>
      </c>
      <c r="D1381">
        <v>108</v>
      </c>
      <c r="E1381">
        <v>0</v>
      </c>
      <c r="F1381" s="1">
        <f t="shared" si="21"/>
        <v>0</v>
      </c>
      <c r="G1381" s="1" t="str">
        <f>_xlfn.XLOOKUP(C1381,'Ocupação DW'!$F:$F,'Ocupação DW'!$E:$E,"",0)</f>
        <v>SEG - MATRIZ</v>
      </c>
      <c r="H1381" t="str">
        <f>Vagas[[#This Row],[data]]&amp;Vagas[[#This Row],[profissional_id]]&amp;Vagas[[#This Row],[local_id]]</f>
        <v>4464512482348</v>
      </c>
    </row>
    <row r="1382" spans="1:8" x14ac:dyDescent="0.25">
      <c r="A1382" s="2">
        <v>44645</v>
      </c>
      <c r="B1382">
        <v>12519</v>
      </c>
      <c r="D1382">
        <v>0</v>
      </c>
      <c r="E1382">
        <v>0</v>
      </c>
      <c r="F1382" s="1">
        <f t="shared" si="21"/>
        <v>0</v>
      </c>
      <c r="G1382" s="1" t="str">
        <f>_xlfn.XLOOKUP(C1382,'Ocupação DW'!$F:$F,'Ocupação DW'!$E:$E,"",0)</f>
        <v/>
      </c>
      <c r="H1382" t="str">
        <f>Vagas[[#This Row],[data]]&amp;Vagas[[#This Row],[profissional_id]]&amp;Vagas[[#This Row],[local_id]]</f>
        <v>4464512519</v>
      </c>
    </row>
    <row r="1383" spans="1:8" x14ac:dyDescent="0.25">
      <c r="A1383" s="2">
        <v>44645</v>
      </c>
      <c r="B1383">
        <v>12679</v>
      </c>
      <c r="D1383">
        <v>19</v>
      </c>
      <c r="E1383">
        <v>0</v>
      </c>
      <c r="F1383" s="1">
        <f t="shared" si="21"/>
        <v>0</v>
      </c>
      <c r="G1383" s="1" t="str">
        <f>_xlfn.XLOOKUP(C1383,'Ocupação DW'!$F:$F,'Ocupação DW'!$E:$E,"",0)</f>
        <v/>
      </c>
      <c r="H1383" t="str">
        <f>Vagas[[#This Row],[data]]&amp;Vagas[[#This Row],[profissional_id]]&amp;Vagas[[#This Row],[local_id]]</f>
        <v>4464512679</v>
      </c>
    </row>
    <row r="1384" spans="1:8" x14ac:dyDescent="0.25">
      <c r="A1384" s="2">
        <v>44645</v>
      </c>
      <c r="B1384">
        <v>12679</v>
      </c>
      <c r="C1384">
        <v>336</v>
      </c>
      <c r="D1384">
        <v>0</v>
      </c>
      <c r="E1384">
        <v>0</v>
      </c>
      <c r="F1384" s="1">
        <f t="shared" si="21"/>
        <v>19</v>
      </c>
      <c r="G1384" s="1" t="str">
        <f>_xlfn.XLOOKUP(C1384,'Ocupação DW'!$F:$F,'Ocupação DW'!$E:$E,"",0)</f>
        <v>SEG - FILIAL I</v>
      </c>
      <c r="H1384" t="str">
        <f>Vagas[[#This Row],[data]]&amp;Vagas[[#This Row],[profissional_id]]&amp;Vagas[[#This Row],[local_id]]</f>
        <v>4464512679336</v>
      </c>
    </row>
    <row r="1385" spans="1:8" x14ac:dyDescent="0.25">
      <c r="A1385" s="2">
        <v>44645</v>
      </c>
      <c r="B1385">
        <v>12684</v>
      </c>
      <c r="D1385">
        <v>17</v>
      </c>
      <c r="E1385">
        <v>0</v>
      </c>
      <c r="F1385" s="1">
        <f t="shared" si="21"/>
        <v>0</v>
      </c>
      <c r="G1385" s="1" t="str">
        <f>_xlfn.XLOOKUP(C1385,'Ocupação DW'!$F:$F,'Ocupação DW'!$E:$E,"",0)</f>
        <v/>
      </c>
      <c r="H1385" t="str">
        <f>Vagas[[#This Row],[data]]&amp;Vagas[[#This Row],[profissional_id]]&amp;Vagas[[#This Row],[local_id]]</f>
        <v>4464512684</v>
      </c>
    </row>
    <row r="1386" spans="1:8" x14ac:dyDescent="0.25">
      <c r="A1386" s="2">
        <v>44645</v>
      </c>
      <c r="B1386">
        <v>12684</v>
      </c>
      <c r="C1386">
        <v>85</v>
      </c>
      <c r="D1386">
        <v>0</v>
      </c>
      <c r="E1386">
        <v>0</v>
      </c>
      <c r="F1386" s="1">
        <f t="shared" si="21"/>
        <v>17</v>
      </c>
      <c r="G1386" s="1" t="str">
        <f>_xlfn.XLOOKUP(C1386,'Ocupação DW'!$F:$F,'Ocupação DW'!$E:$E,"",0)</f>
        <v>SEG - MIGUEL COUTO</v>
      </c>
      <c r="H1386" t="str">
        <f>Vagas[[#This Row],[data]]&amp;Vagas[[#This Row],[profissional_id]]&amp;Vagas[[#This Row],[local_id]]</f>
        <v>446451268485</v>
      </c>
    </row>
    <row r="1387" spans="1:8" x14ac:dyDescent="0.25">
      <c r="A1387" s="2">
        <v>44645</v>
      </c>
      <c r="B1387">
        <v>12711</v>
      </c>
      <c r="D1387">
        <v>0</v>
      </c>
      <c r="E1387">
        <v>0</v>
      </c>
      <c r="F1387" s="1">
        <f t="shared" si="21"/>
        <v>0</v>
      </c>
      <c r="G1387" s="1" t="str">
        <f>_xlfn.XLOOKUP(C1387,'Ocupação DW'!$F:$F,'Ocupação DW'!$E:$E,"",0)</f>
        <v/>
      </c>
      <c r="H1387" t="str">
        <f>Vagas[[#This Row],[data]]&amp;Vagas[[#This Row],[profissional_id]]&amp;Vagas[[#This Row],[local_id]]</f>
        <v>4464512711</v>
      </c>
    </row>
    <row r="1388" spans="1:8" x14ac:dyDescent="0.25">
      <c r="A1388" s="2">
        <v>44645</v>
      </c>
      <c r="B1388">
        <v>12810</v>
      </c>
      <c r="D1388">
        <v>0</v>
      </c>
      <c r="E1388">
        <v>0</v>
      </c>
      <c r="F1388" s="1">
        <f t="shared" si="21"/>
        <v>0</v>
      </c>
      <c r="G1388" s="1" t="str">
        <f>_xlfn.XLOOKUP(C1388,'Ocupação DW'!$F:$F,'Ocupação DW'!$E:$E,"",0)</f>
        <v/>
      </c>
      <c r="H1388" t="str">
        <f>Vagas[[#This Row],[data]]&amp;Vagas[[#This Row],[profissional_id]]&amp;Vagas[[#This Row],[local_id]]</f>
        <v>4464512810</v>
      </c>
    </row>
    <row r="1389" spans="1:8" x14ac:dyDescent="0.25">
      <c r="A1389" s="2">
        <v>44645</v>
      </c>
      <c r="B1389">
        <v>12825</v>
      </c>
      <c r="D1389">
        <v>0</v>
      </c>
      <c r="E1389">
        <v>0</v>
      </c>
      <c r="F1389" s="1">
        <f t="shared" si="21"/>
        <v>0</v>
      </c>
      <c r="G1389" s="1" t="str">
        <f>_xlfn.XLOOKUP(C1389,'Ocupação DW'!$F:$F,'Ocupação DW'!$E:$E,"",0)</f>
        <v/>
      </c>
      <c r="H1389" t="str">
        <f>Vagas[[#This Row],[data]]&amp;Vagas[[#This Row],[profissional_id]]&amp;Vagas[[#This Row],[local_id]]</f>
        <v>4464512825</v>
      </c>
    </row>
    <row r="1390" spans="1:8" x14ac:dyDescent="0.25">
      <c r="A1390" s="2">
        <v>44645</v>
      </c>
      <c r="B1390">
        <v>13249</v>
      </c>
      <c r="C1390">
        <v>66</v>
      </c>
      <c r="D1390">
        <v>0</v>
      </c>
      <c r="E1390">
        <v>0</v>
      </c>
      <c r="F1390" s="1">
        <f t="shared" si="21"/>
        <v>0</v>
      </c>
      <c r="G1390" s="1" t="str">
        <f>_xlfn.XLOOKUP(C1390,'Ocupação DW'!$F:$F,'Ocupação DW'!$E:$E,"",0)</f>
        <v>SEG - NILÓPOLIS</v>
      </c>
      <c r="H1390" t="str">
        <f>Vagas[[#This Row],[data]]&amp;Vagas[[#This Row],[profissional_id]]&amp;Vagas[[#This Row],[local_id]]</f>
        <v>446451324966</v>
      </c>
    </row>
    <row r="1391" spans="1:8" x14ac:dyDescent="0.25">
      <c r="A1391" s="2">
        <v>44645</v>
      </c>
      <c r="B1391">
        <v>13295</v>
      </c>
      <c r="C1391">
        <v>79</v>
      </c>
      <c r="D1391">
        <v>120</v>
      </c>
      <c r="E1391">
        <v>0</v>
      </c>
      <c r="F1391" s="1">
        <f t="shared" si="21"/>
        <v>0</v>
      </c>
      <c r="G1391" s="1" t="str">
        <f>_xlfn.XLOOKUP(C1391,'Ocupação DW'!$F:$F,'Ocupação DW'!$E:$E,"",0)</f>
        <v/>
      </c>
      <c r="H1391" t="str">
        <f>Vagas[[#This Row],[data]]&amp;Vagas[[#This Row],[profissional_id]]&amp;Vagas[[#This Row],[local_id]]</f>
        <v>446451329579</v>
      </c>
    </row>
    <row r="1392" spans="1:8" x14ac:dyDescent="0.25">
      <c r="A1392" s="2">
        <v>44645</v>
      </c>
      <c r="B1392">
        <v>13371</v>
      </c>
      <c r="D1392">
        <v>19</v>
      </c>
      <c r="E1392">
        <v>0</v>
      </c>
      <c r="F1392" s="1">
        <f t="shared" si="21"/>
        <v>0</v>
      </c>
      <c r="G1392" s="1" t="str">
        <f>_xlfn.XLOOKUP(C1392,'Ocupação DW'!$F:$F,'Ocupação DW'!$E:$E,"",0)</f>
        <v/>
      </c>
      <c r="H1392" t="str">
        <f>Vagas[[#This Row],[data]]&amp;Vagas[[#This Row],[profissional_id]]&amp;Vagas[[#This Row],[local_id]]</f>
        <v>4464513371</v>
      </c>
    </row>
    <row r="1393" spans="1:8" x14ac:dyDescent="0.25">
      <c r="A1393" s="2">
        <v>44645</v>
      </c>
      <c r="B1393">
        <v>13479</v>
      </c>
      <c r="D1393">
        <v>19</v>
      </c>
      <c r="E1393">
        <v>0</v>
      </c>
      <c r="F1393" s="1">
        <f t="shared" si="21"/>
        <v>0</v>
      </c>
      <c r="G1393" s="1" t="str">
        <f>_xlfn.XLOOKUP(C1393,'Ocupação DW'!$F:$F,'Ocupação DW'!$E:$E,"",0)</f>
        <v/>
      </c>
      <c r="H1393" t="str">
        <f>Vagas[[#This Row],[data]]&amp;Vagas[[#This Row],[profissional_id]]&amp;Vagas[[#This Row],[local_id]]</f>
        <v>4464513479</v>
      </c>
    </row>
    <row r="1394" spans="1:8" x14ac:dyDescent="0.25">
      <c r="A1394" s="2">
        <v>44645</v>
      </c>
      <c r="B1394">
        <v>13479</v>
      </c>
      <c r="C1394">
        <v>83</v>
      </c>
      <c r="D1394">
        <v>0</v>
      </c>
      <c r="E1394">
        <v>0</v>
      </c>
      <c r="F1394" s="1">
        <f t="shared" si="21"/>
        <v>19</v>
      </c>
      <c r="G1394" s="1" t="str">
        <f>_xlfn.XLOOKUP(C1394,'Ocupação DW'!$F:$F,'Ocupação DW'!$E:$E,"",0)</f>
        <v>SEG - MIGUEL COUTO</v>
      </c>
      <c r="H1394" t="str">
        <f>Vagas[[#This Row],[data]]&amp;Vagas[[#This Row],[profissional_id]]&amp;Vagas[[#This Row],[local_id]]</f>
        <v>446451347983</v>
      </c>
    </row>
    <row r="1395" spans="1:8" x14ac:dyDescent="0.25">
      <c r="A1395" s="2">
        <v>44645</v>
      </c>
      <c r="B1395">
        <v>13645</v>
      </c>
      <c r="D1395">
        <v>0</v>
      </c>
      <c r="E1395">
        <v>0</v>
      </c>
      <c r="F1395" s="1">
        <f t="shared" si="21"/>
        <v>0</v>
      </c>
      <c r="G1395" s="1" t="str">
        <f>_xlfn.XLOOKUP(C1395,'Ocupação DW'!$F:$F,'Ocupação DW'!$E:$E,"",0)</f>
        <v/>
      </c>
      <c r="H1395" t="str">
        <f>Vagas[[#This Row],[data]]&amp;Vagas[[#This Row],[profissional_id]]&amp;Vagas[[#This Row],[local_id]]</f>
        <v>4464513645</v>
      </c>
    </row>
    <row r="1396" spans="1:8" x14ac:dyDescent="0.25">
      <c r="A1396" s="2">
        <v>44645</v>
      </c>
      <c r="B1396">
        <v>13660</v>
      </c>
      <c r="C1396">
        <v>17</v>
      </c>
      <c r="D1396">
        <v>0</v>
      </c>
      <c r="E1396">
        <v>0</v>
      </c>
      <c r="F1396" s="1">
        <f t="shared" si="21"/>
        <v>0</v>
      </c>
      <c r="G1396" s="1" t="str">
        <f>_xlfn.XLOOKUP(C1396,'Ocupação DW'!$F:$F,'Ocupação DW'!$E:$E,"",0)</f>
        <v>SEG - FILIAL II 11°</v>
      </c>
      <c r="H1396" t="str">
        <f>Vagas[[#This Row],[data]]&amp;Vagas[[#This Row],[profissional_id]]&amp;Vagas[[#This Row],[local_id]]</f>
        <v>446451366017</v>
      </c>
    </row>
    <row r="1397" spans="1:8" x14ac:dyDescent="0.25">
      <c r="A1397" s="2">
        <v>44645</v>
      </c>
      <c r="B1397">
        <v>13660</v>
      </c>
      <c r="C1397">
        <v>15</v>
      </c>
      <c r="D1397">
        <v>0</v>
      </c>
      <c r="E1397">
        <v>0</v>
      </c>
      <c r="F1397" s="1">
        <f t="shared" si="21"/>
        <v>0</v>
      </c>
      <c r="G1397" s="1" t="str">
        <f>_xlfn.XLOOKUP(C1397,'Ocupação DW'!$F:$F,'Ocupação DW'!$E:$E,"",0)</f>
        <v>SEG - FILIAL II 11°</v>
      </c>
      <c r="H1397" t="str">
        <f>Vagas[[#This Row],[data]]&amp;Vagas[[#This Row],[profissional_id]]&amp;Vagas[[#This Row],[local_id]]</f>
        <v>446451366015</v>
      </c>
    </row>
    <row r="1398" spans="1:8" x14ac:dyDescent="0.25">
      <c r="A1398" s="2">
        <v>44645</v>
      </c>
      <c r="B1398">
        <v>13835</v>
      </c>
      <c r="D1398">
        <v>25</v>
      </c>
      <c r="E1398">
        <v>0</v>
      </c>
      <c r="F1398" s="1">
        <f t="shared" si="21"/>
        <v>0</v>
      </c>
      <c r="G1398" s="1" t="str">
        <f>_xlfn.XLOOKUP(C1398,'Ocupação DW'!$F:$F,'Ocupação DW'!$E:$E,"",0)</f>
        <v/>
      </c>
      <c r="H1398" t="str">
        <f>Vagas[[#This Row],[data]]&amp;Vagas[[#This Row],[profissional_id]]&amp;Vagas[[#This Row],[local_id]]</f>
        <v>4464513835</v>
      </c>
    </row>
    <row r="1399" spans="1:8" x14ac:dyDescent="0.25">
      <c r="A1399" s="2">
        <v>44645</v>
      </c>
      <c r="B1399">
        <v>13835</v>
      </c>
      <c r="C1399">
        <v>7</v>
      </c>
      <c r="D1399">
        <v>0</v>
      </c>
      <c r="E1399">
        <v>0</v>
      </c>
      <c r="F1399" s="1">
        <f t="shared" si="21"/>
        <v>25</v>
      </c>
      <c r="G1399" s="1" t="str">
        <f>_xlfn.XLOOKUP(C1399,'Ocupação DW'!$F:$F,'Ocupação DW'!$E:$E,"",0)</f>
        <v>SEG - FILIAL II 10°</v>
      </c>
      <c r="H1399" t="str">
        <f>Vagas[[#This Row],[data]]&amp;Vagas[[#This Row],[profissional_id]]&amp;Vagas[[#This Row],[local_id]]</f>
        <v>44645138357</v>
      </c>
    </row>
    <row r="1400" spans="1:8" x14ac:dyDescent="0.25">
      <c r="A1400" s="2">
        <v>44645</v>
      </c>
      <c r="B1400">
        <v>14417</v>
      </c>
      <c r="C1400">
        <v>60</v>
      </c>
      <c r="D1400">
        <v>120</v>
      </c>
      <c r="E1400">
        <v>0</v>
      </c>
      <c r="F1400" s="1">
        <f t="shared" si="21"/>
        <v>0</v>
      </c>
      <c r="G1400" s="1" t="str">
        <f>_xlfn.XLOOKUP(C1400,'Ocupação DW'!$F:$F,'Ocupação DW'!$E:$E,"",0)</f>
        <v>SEG - NILÓPOLIS</v>
      </c>
      <c r="H1400" t="str">
        <f>Vagas[[#This Row],[data]]&amp;Vagas[[#This Row],[profissional_id]]&amp;Vagas[[#This Row],[local_id]]</f>
        <v>446451441760</v>
      </c>
    </row>
    <row r="1401" spans="1:8" x14ac:dyDescent="0.25">
      <c r="A1401" s="2">
        <v>44645</v>
      </c>
      <c r="B1401">
        <v>14452</v>
      </c>
      <c r="D1401">
        <v>0</v>
      </c>
      <c r="E1401">
        <v>0</v>
      </c>
      <c r="F1401" s="1">
        <f t="shared" si="21"/>
        <v>0</v>
      </c>
      <c r="G1401" s="1" t="str">
        <f>_xlfn.XLOOKUP(C1401,'Ocupação DW'!$F:$F,'Ocupação DW'!$E:$E,"",0)</f>
        <v/>
      </c>
      <c r="H1401" t="str">
        <f>Vagas[[#This Row],[data]]&amp;Vagas[[#This Row],[profissional_id]]&amp;Vagas[[#This Row],[local_id]]</f>
        <v>4464514452</v>
      </c>
    </row>
    <row r="1402" spans="1:8" x14ac:dyDescent="0.25">
      <c r="A1402" s="2">
        <v>44645</v>
      </c>
      <c r="B1402">
        <v>17059</v>
      </c>
      <c r="D1402">
        <v>0</v>
      </c>
      <c r="E1402">
        <v>0</v>
      </c>
      <c r="F1402" s="1">
        <f t="shared" si="21"/>
        <v>0</v>
      </c>
      <c r="G1402" s="1" t="str">
        <f>_xlfn.XLOOKUP(C1402,'Ocupação DW'!$F:$F,'Ocupação DW'!$E:$E,"",0)</f>
        <v/>
      </c>
      <c r="H1402" t="str">
        <f>Vagas[[#This Row],[data]]&amp;Vagas[[#This Row],[profissional_id]]&amp;Vagas[[#This Row],[local_id]]</f>
        <v>4464517059</v>
      </c>
    </row>
    <row r="1403" spans="1:8" x14ac:dyDescent="0.25">
      <c r="A1403" s="2">
        <v>44645</v>
      </c>
      <c r="B1403">
        <v>17742</v>
      </c>
      <c r="D1403">
        <v>0</v>
      </c>
      <c r="E1403">
        <v>0</v>
      </c>
      <c r="F1403" s="1">
        <f t="shared" si="21"/>
        <v>0</v>
      </c>
      <c r="G1403" s="1" t="str">
        <f>_xlfn.XLOOKUP(C1403,'Ocupação DW'!$F:$F,'Ocupação DW'!$E:$E,"",0)</f>
        <v/>
      </c>
      <c r="H1403" t="str">
        <f>Vagas[[#This Row],[data]]&amp;Vagas[[#This Row],[profissional_id]]&amp;Vagas[[#This Row],[local_id]]</f>
        <v>4464517742</v>
      </c>
    </row>
    <row r="1404" spans="1:8" x14ac:dyDescent="0.25">
      <c r="A1404" s="2">
        <v>44645</v>
      </c>
      <c r="B1404">
        <v>17858</v>
      </c>
      <c r="D1404">
        <v>0</v>
      </c>
      <c r="E1404">
        <v>0</v>
      </c>
      <c r="F1404" s="1">
        <f t="shared" si="21"/>
        <v>0</v>
      </c>
      <c r="G1404" s="1" t="str">
        <f>_xlfn.XLOOKUP(C1404,'Ocupação DW'!$F:$F,'Ocupação DW'!$E:$E,"",0)</f>
        <v/>
      </c>
      <c r="H1404" t="str">
        <f>Vagas[[#This Row],[data]]&amp;Vagas[[#This Row],[profissional_id]]&amp;Vagas[[#This Row],[local_id]]</f>
        <v>4464517858</v>
      </c>
    </row>
    <row r="1405" spans="1:8" x14ac:dyDescent="0.25">
      <c r="A1405" s="2">
        <v>44645</v>
      </c>
      <c r="B1405">
        <v>17864</v>
      </c>
      <c r="C1405">
        <v>360</v>
      </c>
      <c r="D1405">
        <v>20</v>
      </c>
      <c r="E1405">
        <v>0</v>
      </c>
      <c r="F1405" s="1">
        <f t="shared" si="21"/>
        <v>0</v>
      </c>
      <c r="G1405" s="1" t="str">
        <f>_xlfn.XLOOKUP(C1405,'Ocupação DW'!$F:$F,'Ocupação DW'!$E:$E,"",0)</f>
        <v>SEG - MIGUEL COUTO</v>
      </c>
      <c r="H1405" t="str">
        <f>Vagas[[#This Row],[data]]&amp;Vagas[[#This Row],[profissional_id]]&amp;Vagas[[#This Row],[local_id]]</f>
        <v>4464517864360</v>
      </c>
    </row>
    <row r="1406" spans="1:8" x14ac:dyDescent="0.25">
      <c r="A1406" s="2">
        <v>44645</v>
      </c>
      <c r="B1406">
        <v>17866</v>
      </c>
      <c r="C1406">
        <v>81</v>
      </c>
      <c r="D1406">
        <v>60</v>
      </c>
      <c r="E1406">
        <v>0</v>
      </c>
      <c r="F1406" s="1">
        <f t="shared" si="21"/>
        <v>0</v>
      </c>
      <c r="G1406" s="1" t="str">
        <f>_xlfn.XLOOKUP(C1406,'Ocupação DW'!$F:$F,'Ocupação DW'!$E:$E,"",0)</f>
        <v>SEG - MIGUEL COUTO</v>
      </c>
      <c r="H1406" t="str">
        <f>Vagas[[#This Row],[data]]&amp;Vagas[[#This Row],[profissional_id]]&amp;Vagas[[#This Row],[local_id]]</f>
        <v>446451786681</v>
      </c>
    </row>
    <row r="1407" spans="1:8" x14ac:dyDescent="0.25">
      <c r="A1407" s="2">
        <v>44645</v>
      </c>
      <c r="B1407">
        <v>17868</v>
      </c>
      <c r="C1407">
        <v>73</v>
      </c>
      <c r="D1407">
        <v>133</v>
      </c>
      <c r="E1407">
        <v>0</v>
      </c>
      <c r="F1407" s="1">
        <f t="shared" si="21"/>
        <v>0</v>
      </c>
      <c r="G1407" s="1" t="str">
        <f>_xlfn.XLOOKUP(C1407,'Ocupação DW'!$F:$F,'Ocupação DW'!$E:$E,"",0)</f>
        <v/>
      </c>
      <c r="H1407" t="str">
        <f>Vagas[[#This Row],[data]]&amp;Vagas[[#This Row],[profissional_id]]&amp;Vagas[[#This Row],[local_id]]</f>
        <v>446451786873</v>
      </c>
    </row>
    <row r="1408" spans="1:8" x14ac:dyDescent="0.25">
      <c r="A1408" s="2">
        <v>44645</v>
      </c>
      <c r="B1408">
        <v>17871</v>
      </c>
      <c r="D1408">
        <v>0</v>
      </c>
      <c r="E1408">
        <v>0</v>
      </c>
      <c r="F1408" s="1">
        <f t="shared" si="21"/>
        <v>0</v>
      </c>
      <c r="G1408" s="1" t="str">
        <f>_xlfn.XLOOKUP(C1408,'Ocupação DW'!$F:$F,'Ocupação DW'!$E:$E,"",0)</f>
        <v/>
      </c>
      <c r="H1408" t="str">
        <f>Vagas[[#This Row],[data]]&amp;Vagas[[#This Row],[profissional_id]]&amp;Vagas[[#This Row],[local_id]]</f>
        <v>4464517871</v>
      </c>
    </row>
    <row r="1409" spans="1:8" x14ac:dyDescent="0.25">
      <c r="A1409" s="2">
        <v>44645</v>
      </c>
      <c r="B1409">
        <v>17874</v>
      </c>
      <c r="D1409">
        <v>0</v>
      </c>
      <c r="E1409">
        <v>0</v>
      </c>
      <c r="F1409" s="1">
        <f t="shared" si="21"/>
        <v>0</v>
      </c>
      <c r="G1409" s="1" t="str">
        <f>_xlfn.XLOOKUP(C1409,'Ocupação DW'!$F:$F,'Ocupação DW'!$E:$E,"",0)</f>
        <v/>
      </c>
      <c r="H1409" t="str">
        <f>Vagas[[#This Row],[data]]&amp;Vagas[[#This Row],[profissional_id]]&amp;Vagas[[#This Row],[local_id]]</f>
        <v>4464517874</v>
      </c>
    </row>
    <row r="1410" spans="1:8" x14ac:dyDescent="0.25">
      <c r="A1410" s="2">
        <v>44645</v>
      </c>
      <c r="B1410">
        <v>17881</v>
      </c>
      <c r="C1410">
        <v>20</v>
      </c>
      <c r="D1410">
        <v>181</v>
      </c>
      <c r="E1410">
        <v>0</v>
      </c>
      <c r="F1410" s="1">
        <f t="shared" ref="F1410:F1473" si="22">IF(AND(A1410=A1409,B1410=B1409,D1409&lt;&gt;0,D1410=0),D1409,0)</f>
        <v>0</v>
      </c>
      <c r="G1410" s="1" t="str">
        <f>_xlfn.XLOOKUP(C1410,'Ocupação DW'!$F:$F,'Ocupação DW'!$E:$E,"",0)</f>
        <v>SEG - MATRIZ</v>
      </c>
      <c r="H1410" t="str">
        <f>Vagas[[#This Row],[data]]&amp;Vagas[[#This Row],[profissional_id]]&amp;Vagas[[#This Row],[local_id]]</f>
        <v>446451788120</v>
      </c>
    </row>
    <row r="1411" spans="1:8" x14ac:dyDescent="0.25">
      <c r="A1411" s="2">
        <v>44645</v>
      </c>
      <c r="B1411">
        <v>17882</v>
      </c>
      <c r="C1411">
        <v>21</v>
      </c>
      <c r="D1411">
        <v>181</v>
      </c>
      <c r="E1411">
        <v>0</v>
      </c>
      <c r="F1411" s="1">
        <f t="shared" si="22"/>
        <v>0</v>
      </c>
      <c r="G1411" s="1" t="str">
        <f>_xlfn.XLOOKUP(C1411,'Ocupação DW'!$F:$F,'Ocupação DW'!$E:$E,"",0)</f>
        <v/>
      </c>
      <c r="H1411" t="str">
        <f>Vagas[[#This Row],[data]]&amp;Vagas[[#This Row],[profissional_id]]&amp;Vagas[[#This Row],[local_id]]</f>
        <v>446451788221</v>
      </c>
    </row>
    <row r="1412" spans="1:8" x14ac:dyDescent="0.25">
      <c r="A1412" s="2">
        <v>44645</v>
      </c>
      <c r="B1412">
        <v>17883</v>
      </c>
      <c r="D1412">
        <v>11</v>
      </c>
      <c r="E1412">
        <v>0</v>
      </c>
      <c r="F1412" s="1">
        <f t="shared" si="22"/>
        <v>0</v>
      </c>
      <c r="G1412" s="1" t="str">
        <f>_xlfn.XLOOKUP(C1412,'Ocupação DW'!$F:$F,'Ocupação DW'!$E:$E,"",0)</f>
        <v/>
      </c>
      <c r="H1412" t="str">
        <f>Vagas[[#This Row],[data]]&amp;Vagas[[#This Row],[profissional_id]]&amp;Vagas[[#This Row],[local_id]]</f>
        <v>4464517883</v>
      </c>
    </row>
    <row r="1413" spans="1:8" x14ac:dyDescent="0.25">
      <c r="A1413" s="2">
        <v>44645</v>
      </c>
      <c r="B1413">
        <v>17883</v>
      </c>
      <c r="C1413">
        <v>351</v>
      </c>
      <c r="D1413">
        <v>0</v>
      </c>
      <c r="E1413">
        <v>0</v>
      </c>
      <c r="F1413" s="1">
        <f t="shared" si="22"/>
        <v>11</v>
      </c>
      <c r="G1413" s="1" t="str">
        <f>_xlfn.XLOOKUP(C1413,'Ocupação DW'!$F:$F,'Ocupação DW'!$E:$E,"",0)</f>
        <v>SEG - FILIAL I</v>
      </c>
      <c r="H1413" t="str">
        <f>Vagas[[#This Row],[data]]&amp;Vagas[[#This Row],[profissional_id]]&amp;Vagas[[#This Row],[local_id]]</f>
        <v>4464517883351</v>
      </c>
    </row>
    <row r="1414" spans="1:8" x14ac:dyDescent="0.25">
      <c r="A1414" s="2">
        <v>44645</v>
      </c>
      <c r="B1414">
        <v>17885</v>
      </c>
      <c r="D1414">
        <v>0</v>
      </c>
      <c r="E1414">
        <v>0</v>
      </c>
      <c r="F1414" s="1">
        <f t="shared" si="22"/>
        <v>0</v>
      </c>
      <c r="G1414" s="1" t="str">
        <f>_xlfn.XLOOKUP(C1414,'Ocupação DW'!$F:$F,'Ocupação DW'!$E:$E,"",0)</f>
        <v/>
      </c>
      <c r="H1414" t="str">
        <f>Vagas[[#This Row],[data]]&amp;Vagas[[#This Row],[profissional_id]]&amp;Vagas[[#This Row],[local_id]]</f>
        <v>4464517885</v>
      </c>
    </row>
    <row r="1415" spans="1:8" x14ac:dyDescent="0.25">
      <c r="A1415" s="2">
        <v>44645</v>
      </c>
      <c r="B1415">
        <v>17885</v>
      </c>
      <c r="C1415">
        <v>23</v>
      </c>
      <c r="D1415">
        <v>61</v>
      </c>
      <c r="E1415">
        <v>0</v>
      </c>
      <c r="F1415" s="1">
        <f t="shared" si="22"/>
        <v>0</v>
      </c>
      <c r="G1415" s="1" t="str">
        <f>_xlfn.XLOOKUP(C1415,'Ocupação DW'!$F:$F,'Ocupação DW'!$E:$E,"",0)</f>
        <v/>
      </c>
      <c r="H1415" t="str">
        <f>Vagas[[#This Row],[data]]&amp;Vagas[[#This Row],[profissional_id]]&amp;Vagas[[#This Row],[local_id]]</f>
        <v>446451788523</v>
      </c>
    </row>
    <row r="1416" spans="1:8" x14ac:dyDescent="0.25">
      <c r="A1416" s="2">
        <v>44645</v>
      </c>
      <c r="B1416">
        <v>17888</v>
      </c>
      <c r="C1416">
        <v>40</v>
      </c>
      <c r="D1416">
        <v>27</v>
      </c>
      <c r="E1416">
        <v>0</v>
      </c>
      <c r="F1416" s="1">
        <f t="shared" si="22"/>
        <v>0</v>
      </c>
      <c r="G1416" s="1" t="str">
        <f>_xlfn.XLOOKUP(C1416,'Ocupação DW'!$F:$F,'Ocupação DW'!$E:$E,"",0)</f>
        <v>SEG - FILIAL I</v>
      </c>
      <c r="H1416" t="str">
        <f>Vagas[[#This Row],[data]]&amp;Vagas[[#This Row],[profissional_id]]&amp;Vagas[[#This Row],[local_id]]</f>
        <v>446451788840</v>
      </c>
    </row>
    <row r="1417" spans="1:8" x14ac:dyDescent="0.25">
      <c r="A1417" s="2">
        <v>44645</v>
      </c>
      <c r="B1417">
        <v>17889</v>
      </c>
      <c r="C1417">
        <v>59</v>
      </c>
      <c r="D1417">
        <v>24</v>
      </c>
      <c r="E1417">
        <v>0</v>
      </c>
      <c r="F1417" s="1">
        <f t="shared" si="22"/>
        <v>0</v>
      </c>
      <c r="G1417" s="1" t="str">
        <f>_xlfn.XLOOKUP(C1417,'Ocupação DW'!$F:$F,'Ocupação DW'!$E:$E,"",0)</f>
        <v>SEG - NILÓPOLIS</v>
      </c>
      <c r="H1417" t="str">
        <f>Vagas[[#This Row],[data]]&amp;Vagas[[#This Row],[profissional_id]]&amp;Vagas[[#This Row],[local_id]]</f>
        <v>446451788959</v>
      </c>
    </row>
    <row r="1418" spans="1:8" x14ac:dyDescent="0.25">
      <c r="A1418" s="2">
        <v>44645</v>
      </c>
      <c r="B1418">
        <v>17890</v>
      </c>
      <c r="C1418">
        <v>4</v>
      </c>
      <c r="D1418">
        <v>8</v>
      </c>
      <c r="E1418">
        <v>0</v>
      </c>
      <c r="F1418" s="1">
        <f t="shared" si="22"/>
        <v>0</v>
      </c>
      <c r="G1418" s="1" t="str">
        <f>_xlfn.XLOOKUP(C1418,'Ocupação DW'!$F:$F,'Ocupação DW'!$E:$E,"",0)</f>
        <v>SEG - FILIAL II 10°</v>
      </c>
      <c r="H1418" t="str">
        <f>Vagas[[#This Row],[data]]&amp;Vagas[[#This Row],[profissional_id]]&amp;Vagas[[#This Row],[local_id]]</f>
        <v>44645178904</v>
      </c>
    </row>
    <row r="1419" spans="1:8" x14ac:dyDescent="0.25">
      <c r="A1419" s="2">
        <v>44645</v>
      </c>
      <c r="B1419">
        <v>17891</v>
      </c>
      <c r="C1419">
        <v>76</v>
      </c>
      <c r="D1419">
        <v>1</v>
      </c>
      <c r="E1419">
        <v>0</v>
      </c>
      <c r="F1419" s="1">
        <f t="shared" si="22"/>
        <v>0</v>
      </c>
      <c r="G1419" s="1" t="str">
        <f>_xlfn.XLOOKUP(C1419,'Ocupação DW'!$F:$F,'Ocupação DW'!$E:$E,"",0)</f>
        <v>SEG - MIGUEL COUTO</v>
      </c>
      <c r="H1419" t="str">
        <f>Vagas[[#This Row],[data]]&amp;Vagas[[#This Row],[profissional_id]]&amp;Vagas[[#This Row],[local_id]]</f>
        <v>446451789176</v>
      </c>
    </row>
    <row r="1420" spans="1:8" x14ac:dyDescent="0.25">
      <c r="A1420" s="2">
        <v>44645</v>
      </c>
      <c r="B1420">
        <v>17892</v>
      </c>
      <c r="D1420">
        <v>0</v>
      </c>
      <c r="E1420">
        <v>0</v>
      </c>
      <c r="F1420" s="1">
        <f t="shared" si="22"/>
        <v>0</v>
      </c>
      <c r="G1420" s="1" t="str">
        <f>_xlfn.XLOOKUP(C1420,'Ocupação DW'!$F:$F,'Ocupação DW'!$E:$E,"",0)</f>
        <v/>
      </c>
      <c r="H1420" t="str">
        <f>Vagas[[#This Row],[data]]&amp;Vagas[[#This Row],[profissional_id]]&amp;Vagas[[#This Row],[local_id]]</f>
        <v>4464517892</v>
      </c>
    </row>
    <row r="1421" spans="1:8" x14ac:dyDescent="0.25">
      <c r="A1421" s="2">
        <v>44645</v>
      </c>
      <c r="B1421">
        <v>17892</v>
      </c>
      <c r="C1421">
        <v>55</v>
      </c>
      <c r="D1421">
        <v>3</v>
      </c>
      <c r="E1421">
        <v>0</v>
      </c>
      <c r="F1421" s="1">
        <f t="shared" si="22"/>
        <v>0</v>
      </c>
      <c r="G1421" s="1" t="str">
        <f>_xlfn.XLOOKUP(C1421,'Ocupação DW'!$F:$F,'Ocupação DW'!$E:$E,"",0)</f>
        <v>SEG - NILÓPOLIS</v>
      </c>
      <c r="H1421" t="str">
        <f>Vagas[[#This Row],[data]]&amp;Vagas[[#This Row],[profissional_id]]&amp;Vagas[[#This Row],[local_id]]</f>
        <v>446451789255</v>
      </c>
    </row>
    <row r="1422" spans="1:8" x14ac:dyDescent="0.25">
      <c r="A1422" s="2">
        <v>44645</v>
      </c>
      <c r="B1422">
        <v>17893</v>
      </c>
      <c r="C1422">
        <v>4</v>
      </c>
      <c r="D1422">
        <v>6</v>
      </c>
      <c r="E1422">
        <v>0</v>
      </c>
      <c r="F1422" s="1">
        <f t="shared" si="22"/>
        <v>0</v>
      </c>
      <c r="G1422" s="1" t="str">
        <f>_xlfn.XLOOKUP(C1422,'Ocupação DW'!$F:$F,'Ocupação DW'!$E:$E,"",0)</f>
        <v>SEG - FILIAL II 10°</v>
      </c>
      <c r="H1422" t="str">
        <f>Vagas[[#This Row],[data]]&amp;Vagas[[#This Row],[profissional_id]]&amp;Vagas[[#This Row],[local_id]]</f>
        <v>44645178934</v>
      </c>
    </row>
    <row r="1423" spans="1:8" x14ac:dyDescent="0.25">
      <c r="A1423" s="2">
        <v>44645</v>
      </c>
      <c r="B1423">
        <v>17894</v>
      </c>
      <c r="C1423">
        <v>76</v>
      </c>
      <c r="D1423">
        <v>1</v>
      </c>
      <c r="E1423">
        <v>0</v>
      </c>
      <c r="F1423" s="1">
        <f t="shared" si="22"/>
        <v>0</v>
      </c>
      <c r="G1423" s="1" t="str">
        <f>_xlfn.XLOOKUP(C1423,'Ocupação DW'!$F:$F,'Ocupação DW'!$E:$E,"",0)</f>
        <v>SEG - MIGUEL COUTO</v>
      </c>
      <c r="H1423" t="str">
        <f>Vagas[[#This Row],[data]]&amp;Vagas[[#This Row],[profissional_id]]&amp;Vagas[[#This Row],[local_id]]</f>
        <v>446451789476</v>
      </c>
    </row>
    <row r="1424" spans="1:8" x14ac:dyDescent="0.25">
      <c r="A1424" s="2">
        <v>44645</v>
      </c>
      <c r="B1424">
        <v>17895</v>
      </c>
      <c r="C1424">
        <v>55</v>
      </c>
      <c r="D1424">
        <v>2</v>
      </c>
      <c r="E1424">
        <v>0</v>
      </c>
      <c r="F1424" s="1">
        <f t="shared" si="22"/>
        <v>0</v>
      </c>
      <c r="G1424" s="1" t="str">
        <f>_xlfn.XLOOKUP(C1424,'Ocupação DW'!$F:$F,'Ocupação DW'!$E:$E,"",0)</f>
        <v>SEG - NILÓPOLIS</v>
      </c>
      <c r="H1424" t="str">
        <f>Vagas[[#This Row],[data]]&amp;Vagas[[#This Row],[profissional_id]]&amp;Vagas[[#This Row],[local_id]]</f>
        <v>446451789555</v>
      </c>
    </row>
    <row r="1425" spans="1:8" x14ac:dyDescent="0.25">
      <c r="A1425" s="2">
        <v>44645</v>
      </c>
      <c r="B1425">
        <v>17898</v>
      </c>
      <c r="C1425">
        <v>35</v>
      </c>
      <c r="D1425">
        <v>78</v>
      </c>
      <c r="E1425">
        <v>0</v>
      </c>
      <c r="F1425" s="1">
        <f t="shared" si="22"/>
        <v>0</v>
      </c>
      <c r="G1425" s="1" t="str">
        <f>_xlfn.XLOOKUP(C1425,'Ocupação DW'!$F:$F,'Ocupação DW'!$E:$E,"",0)</f>
        <v/>
      </c>
      <c r="H1425" t="str">
        <f>Vagas[[#This Row],[data]]&amp;Vagas[[#This Row],[profissional_id]]&amp;Vagas[[#This Row],[local_id]]</f>
        <v>446451789835</v>
      </c>
    </row>
    <row r="1426" spans="1:8" x14ac:dyDescent="0.25">
      <c r="A1426" s="2">
        <v>44645</v>
      </c>
      <c r="B1426">
        <v>17899</v>
      </c>
      <c r="C1426">
        <v>3</v>
      </c>
      <c r="D1426">
        <v>66</v>
      </c>
      <c r="E1426">
        <v>0</v>
      </c>
      <c r="F1426" s="1">
        <f t="shared" si="22"/>
        <v>0</v>
      </c>
      <c r="G1426" s="1" t="str">
        <f>_xlfn.XLOOKUP(C1426,'Ocupação DW'!$F:$F,'Ocupação DW'!$E:$E,"",0)</f>
        <v>SEG - FILIAL II 10°</v>
      </c>
      <c r="H1426" t="str">
        <f>Vagas[[#This Row],[data]]&amp;Vagas[[#This Row],[profissional_id]]&amp;Vagas[[#This Row],[local_id]]</f>
        <v>44645178993</v>
      </c>
    </row>
    <row r="1427" spans="1:8" x14ac:dyDescent="0.25">
      <c r="A1427" s="2">
        <v>44645</v>
      </c>
      <c r="B1427">
        <v>17900</v>
      </c>
      <c r="C1427">
        <v>77</v>
      </c>
      <c r="D1427">
        <v>60</v>
      </c>
      <c r="E1427">
        <v>0</v>
      </c>
      <c r="F1427" s="1">
        <f t="shared" si="22"/>
        <v>0</v>
      </c>
      <c r="G1427" s="1" t="str">
        <f>_xlfn.XLOOKUP(C1427,'Ocupação DW'!$F:$F,'Ocupação DW'!$E:$E,"",0)</f>
        <v/>
      </c>
      <c r="H1427" t="str">
        <f>Vagas[[#This Row],[data]]&amp;Vagas[[#This Row],[profissional_id]]&amp;Vagas[[#This Row],[local_id]]</f>
        <v>446451790077</v>
      </c>
    </row>
    <row r="1428" spans="1:8" x14ac:dyDescent="0.25">
      <c r="A1428" s="2">
        <v>44645</v>
      </c>
      <c r="B1428">
        <v>17901</v>
      </c>
      <c r="C1428">
        <v>55</v>
      </c>
      <c r="D1428">
        <v>66</v>
      </c>
      <c r="E1428">
        <v>0</v>
      </c>
      <c r="F1428" s="1">
        <f t="shared" si="22"/>
        <v>0</v>
      </c>
      <c r="G1428" s="1" t="str">
        <f>_xlfn.XLOOKUP(C1428,'Ocupação DW'!$F:$F,'Ocupação DW'!$E:$E,"",0)</f>
        <v>SEG - NILÓPOLIS</v>
      </c>
      <c r="H1428" t="str">
        <f>Vagas[[#This Row],[data]]&amp;Vagas[[#This Row],[profissional_id]]&amp;Vagas[[#This Row],[local_id]]</f>
        <v>446451790155</v>
      </c>
    </row>
    <row r="1429" spans="1:8" x14ac:dyDescent="0.25">
      <c r="A1429" s="2">
        <v>44645</v>
      </c>
      <c r="B1429">
        <v>17902</v>
      </c>
      <c r="C1429">
        <v>39</v>
      </c>
      <c r="D1429">
        <v>52</v>
      </c>
      <c r="E1429">
        <v>0</v>
      </c>
      <c r="F1429" s="1">
        <f t="shared" si="22"/>
        <v>0</v>
      </c>
      <c r="G1429" s="1" t="str">
        <f>_xlfn.XLOOKUP(C1429,'Ocupação DW'!$F:$F,'Ocupação DW'!$E:$E,"",0)</f>
        <v>SEG - FILIAL I</v>
      </c>
      <c r="H1429" t="str">
        <f>Vagas[[#This Row],[data]]&amp;Vagas[[#This Row],[profissional_id]]&amp;Vagas[[#This Row],[local_id]]</f>
        <v>446451790239</v>
      </c>
    </row>
    <row r="1430" spans="1:8" x14ac:dyDescent="0.25">
      <c r="A1430" s="2">
        <v>44645</v>
      </c>
      <c r="B1430">
        <v>17903</v>
      </c>
      <c r="D1430">
        <v>0</v>
      </c>
      <c r="E1430">
        <v>0</v>
      </c>
      <c r="F1430" s="1">
        <f t="shared" si="22"/>
        <v>0</v>
      </c>
      <c r="G1430" s="1" t="str">
        <f>_xlfn.XLOOKUP(C1430,'Ocupação DW'!$F:$F,'Ocupação DW'!$E:$E,"",0)</f>
        <v/>
      </c>
      <c r="H1430" t="str">
        <f>Vagas[[#This Row],[data]]&amp;Vagas[[#This Row],[profissional_id]]&amp;Vagas[[#This Row],[local_id]]</f>
        <v>4464517903</v>
      </c>
    </row>
    <row r="1431" spans="1:8" x14ac:dyDescent="0.25">
      <c r="A1431" s="2">
        <v>44645</v>
      </c>
      <c r="B1431">
        <v>17904</v>
      </c>
      <c r="D1431">
        <v>0</v>
      </c>
      <c r="E1431">
        <v>0</v>
      </c>
      <c r="F1431" s="1">
        <f t="shared" si="22"/>
        <v>0</v>
      </c>
      <c r="G1431" s="1" t="str">
        <f>_xlfn.XLOOKUP(C1431,'Ocupação DW'!$F:$F,'Ocupação DW'!$E:$E,"",0)</f>
        <v/>
      </c>
      <c r="H1431" t="str">
        <f>Vagas[[#This Row],[data]]&amp;Vagas[[#This Row],[profissional_id]]&amp;Vagas[[#This Row],[local_id]]</f>
        <v>4464517904</v>
      </c>
    </row>
    <row r="1432" spans="1:8" x14ac:dyDescent="0.25">
      <c r="A1432" s="2">
        <v>44645</v>
      </c>
      <c r="B1432">
        <v>17907</v>
      </c>
      <c r="C1432">
        <v>55</v>
      </c>
      <c r="D1432">
        <v>14</v>
      </c>
      <c r="E1432">
        <v>0</v>
      </c>
      <c r="F1432" s="1">
        <f t="shared" si="22"/>
        <v>0</v>
      </c>
      <c r="G1432" s="1" t="str">
        <f>_xlfn.XLOOKUP(C1432,'Ocupação DW'!$F:$F,'Ocupação DW'!$E:$E,"",0)</f>
        <v>SEG - NILÓPOLIS</v>
      </c>
      <c r="H1432" t="str">
        <f>Vagas[[#This Row],[data]]&amp;Vagas[[#This Row],[profissional_id]]&amp;Vagas[[#This Row],[local_id]]</f>
        <v>446451790755</v>
      </c>
    </row>
    <row r="1433" spans="1:8" x14ac:dyDescent="0.25">
      <c r="A1433" s="2">
        <v>44645</v>
      </c>
      <c r="B1433">
        <v>17908</v>
      </c>
      <c r="C1433">
        <v>25</v>
      </c>
      <c r="D1433">
        <v>14</v>
      </c>
      <c r="E1433">
        <v>0</v>
      </c>
      <c r="F1433" s="1">
        <f t="shared" si="22"/>
        <v>0</v>
      </c>
      <c r="G1433" s="1" t="str">
        <f>_xlfn.XLOOKUP(C1433,'Ocupação DW'!$F:$F,'Ocupação DW'!$E:$E,"",0)</f>
        <v>SEG - MATRIZ</v>
      </c>
      <c r="H1433" t="str">
        <f>Vagas[[#This Row],[data]]&amp;Vagas[[#This Row],[profissional_id]]&amp;Vagas[[#This Row],[local_id]]</f>
        <v>446451790825</v>
      </c>
    </row>
    <row r="1434" spans="1:8" x14ac:dyDescent="0.25">
      <c r="A1434" s="2">
        <v>44645</v>
      </c>
      <c r="B1434">
        <v>17909</v>
      </c>
      <c r="C1434">
        <v>4</v>
      </c>
      <c r="D1434">
        <v>0</v>
      </c>
      <c r="E1434">
        <v>0</v>
      </c>
      <c r="F1434" s="1">
        <f t="shared" si="22"/>
        <v>0</v>
      </c>
      <c r="G1434" s="1" t="str">
        <f>_xlfn.XLOOKUP(C1434,'Ocupação DW'!$F:$F,'Ocupação DW'!$E:$E,"",0)</f>
        <v>SEG - FILIAL II 10°</v>
      </c>
      <c r="H1434" t="str">
        <f>Vagas[[#This Row],[data]]&amp;Vagas[[#This Row],[profissional_id]]&amp;Vagas[[#This Row],[local_id]]</f>
        <v>44645179094</v>
      </c>
    </row>
    <row r="1435" spans="1:8" x14ac:dyDescent="0.25">
      <c r="A1435" s="2">
        <v>44645</v>
      </c>
      <c r="B1435">
        <v>17922</v>
      </c>
      <c r="D1435">
        <v>133</v>
      </c>
      <c r="E1435">
        <v>0</v>
      </c>
      <c r="F1435" s="1">
        <f t="shared" si="22"/>
        <v>0</v>
      </c>
      <c r="G1435" s="1" t="str">
        <f>_xlfn.XLOOKUP(C1435,'Ocupação DW'!$F:$F,'Ocupação DW'!$E:$E,"",0)</f>
        <v/>
      </c>
      <c r="H1435" t="str">
        <f>Vagas[[#This Row],[data]]&amp;Vagas[[#This Row],[profissional_id]]&amp;Vagas[[#This Row],[local_id]]</f>
        <v>4464517922</v>
      </c>
    </row>
    <row r="1436" spans="1:8" x14ac:dyDescent="0.25">
      <c r="A1436" s="2">
        <v>44645</v>
      </c>
      <c r="B1436">
        <v>17922</v>
      </c>
      <c r="C1436">
        <v>74</v>
      </c>
      <c r="D1436">
        <v>133</v>
      </c>
      <c r="E1436">
        <v>0</v>
      </c>
      <c r="F1436" s="1">
        <f t="shared" si="22"/>
        <v>0</v>
      </c>
      <c r="G1436" s="1" t="str">
        <f>_xlfn.XLOOKUP(C1436,'Ocupação DW'!$F:$F,'Ocupação DW'!$E:$E,"",0)</f>
        <v/>
      </c>
      <c r="H1436" t="str">
        <f>Vagas[[#This Row],[data]]&amp;Vagas[[#This Row],[profissional_id]]&amp;Vagas[[#This Row],[local_id]]</f>
        <v>446451792274</v>
      </c>
    </row>
    <row r="1437" spans="1:8" x14ac:dyDescent="0.25">
      <c r="A1437" s="2">
        <v>44645</v>
      </c>
      <c r="B1437">
        <v>17924</v>
      </c>
      <c r="C1437">
        <v>52</v>
      </c>
      <c r="D1437">
        <v>133</v>
      </c>
      <c r="E1437">
        <v>0</v>
      </c>
      <c r="F1437" s="1">
        <f t="shared" si="22"/>
        <v>0</v>
      </c>
      <c r="G1437" s="1" t="str">
        <f>_xlfn.XLOOKUP(C1437,'Ocupação DW'!$F:$F,'Ocupação DW'!$E:$E,"",0)</f>
        <v/>
      </c>
      <c r="H1437" t="str">
        <f>Vagas[[#This Row],[data]]&amp;Vagas[[#This Row],[profissional_id]]&amp;Vagas[[#This Row],[local_id]]</f>
        <v>446451792452</v>
      </c>
    </row>
    <row r="1438" spans="1:8" x14ac:dyDescent="0.25">
      <c r="A1438" s="2">
        <v>44645</v>
      </c>
      <c r="D1438">
        <v>0</v>
      </c>
      <c r="E1438">
        <v>0</v>
      </c>
      <c r="F1438" s="1">
        <f t="shared" si="22"/>
        <v>0</v>
      </c>
      <c r="G1438" s="1" t="str">
        <f>_xlfn.XLOOKUP(C1438,'Ocupação DW'!$F:$F,'Ocupação DW'!$E:$E,"",0)</f>
        <v/>
      </c>
      <c r="H1438" t="str">
        <f>Vagas[[#This Row],[data]]&amp;Vagas[[#This Row],[profissional_id]]&amp;Vagas[[#This Row],[local_id]]</f>
        <v>44645</v>
      </c>
    </row>
    <row r="1439" spans="1:8" x14ac:dyDescent="0.25">
      <c r="A1439" s="2">
        <v>44645</v>
      </c>
      <c r="D1439">
        <v>0</v>
      </c>
      <c r="E1439">
        <v>0</v>
      </c>
      <c r="F1439" s="1">
        <f t="shared" si="22"/>
        <v>0</v>
      </c>
      <c r="G1439" s="1" t="str">
        <f>_xlfn.XLOOKUP(C1439,'Ocupação DW'!$F:$F,'Ocupação DW'!$E:$E,"",0)</f>
        <v/>
      </c>
      <c r="H1439" t="str">
        <f>Vagas[[#This Row],[data]]&amp;Vagas[[#This Row],[profissional_id]]&amp;Vagas[[#This Row],[local_id]]</f>
        <v>44645</v>
      </c>
    </row>
    <row r="1440" spans="1:8" x14ac:dyDescent="0.25">
      <c r="A1440" s="2">
        <v>44645</v>
      </c>
      <c r="D1440">
        <v>0</v>
      </c>
      <c r="E1440">
        <v>0</v>
      </c>
      <c r="F1440" s="1">
        <f t="shared" si="22"/>
        <v>0</v>
      </c>
      <c r="G1440" s="1" t="str">
        <f>_xlfn.XLOOKUP(C1440,'Ocupação DW'!$F:$F,'Ocupação DW'!$E:$E,"",0)</f>
        <v/>
      </c>
      <c r="H1440" t="str">
        <f>Vagas[[#This Row],[data]]&amp;Vagas[[#This Row],[profissional_id]]&amp;Vagas[[#This Row],[local_id]]</f>
        <v>44645</v>
      </c>
    </row>
    <row r="1441" spans="1:8" x14ac:dyDescent="0.25">
      <c r="A1441" s="2">
        <v>44646</v>
      </c>
      <c r="B1441">
        <v>54</v>
      </c>
      <c r="D1441">
        <v>7</v>
      </c>
      <c r="E1441">
        <v>0</v>
      </c>
      <c r="F1441" s="1">
        <f t="shared" si="22"/>
        <v>0</v>
      </c>
      <c r="G1441" s="1" t="str">
        <f>_xlfn.XLOOKUP(C1441,'Ocupação DW'!$F:$F,'Ocupação DW'!$E:$E,"",0)</f>
        <v/>
      </c>
      <c r="H1441" t="str">
        <f>Vagas[[#This Row],[data]]&amp;Vagas[[#This Row],[profissional_id]]&amp;Vagas[[#This Row],[local_id]]</f>
        <v>4464654</v>
      </c>
    </row>
    <row r="1442" spans="1:8" x14ac:dyDescent="0.25">
      <c r="A1442" s="2">
        <v>44646</v>
      </c>
      <c r="B1442">
        <v>55</v>
      </c>
      <c r="D1442">
        <v>0</v>
      </c>
      <c r="E1442">
        <v>0</v>
      </c>
      <c r="F1442" s="1">
        <f t="shared" si="22"/>
        <v>0</v>
      </c>
      <c r="G1442" s="1" t="str">
        <f>_xlfn.XLOOKUP(C1442,'Ocupação DW'!$F:$F,'Ocupação DW'!$E:$E,"",0)</f>
        <v/>
      </c>
      <c r="H1442" t="str">
        <f>Vagas[[#This Row],[data]]&amp;Vagas[[#This Row],[profissional_id]]&amp;Vagas[[#This Row],[local_id]]</f>
        <v>4464655</v>
      </c>
    </row>
    <row r="1443" spans="1:8" x14ac:dyDescent="0.25">
      <c r="A1443" s="2">
        <v>44646</v>
      </c>
      <c r="B1443">
        <v>57</v>
      </c>
      <c r="C1443">
        <v>2</v>
      </c>
      <c r="D1443">
        <v>0</v>
      </c>
      <c r="E1443">
        <v>0</v>
      </c>
      <c r="F1443" s="1">
        <f t="shared" si="22"/>
        <v>0</v>
      </c>
      <c r="G1443" s="1" t="str">
        <f>_xlfn.XLOOKUP(C1443,'Ocupação DW'!$F:$F,'Ocupação DW'!$E:$E,"",0)</f>
        <v>SEG - FILIAL II 10°</v>
      </c>
      <c r="H1443" t="str">
        <f>Vagas[[#This Row],[data]]&amp;Vagas[[#This Row],[profissional_id]]&amp;Vagas[[#This Row],[local_id]]</f>
        <v>44646572</v>
      </c>
    </row>
    <row r="1444" spans="1:8" x14ac:dyDescent="0.25">
      <c r="A1444" s="2">
        <v>44646</v>
      </c>
      <c r="B1444">
        <v>59</v>
      </c>
      <c r="D1444">
        <v>0</v>
      </c>
      <c r="E1444">
        <v>0</v>
      </c>
      <c r="F1444" s="1">
        <f t="shared" si="22"/>
        <v>0</v>
      </c>
      <c r="G1444" s="1" t="str">
        <f>_xlfn.XLOOKUP(C1444,'Ocupação DW'!$F:$F,'Ocupação DW'!$E:$E,"",0)</f>
        <v/>
      </c>
      <c r="H1444" t="str">
        <f>Vagas[[#This Row],[data]]&amp;Vagas[[#This Row],[profissional_id]]&amp;Vagas[[#This Row],[local_id]]</f>
        <v>4464659</v>
      </c>
    </row>
    <row r="1445" spans="1:8" x14ac:dyDescent="0.25">
      <c r="A1445" s="2">
        <v>44646</v>
      </c>
      <c r="B1445">
        <v>60</v>
      </c>
      <c r="D1445">
        <v>7</v>
      </c>
      <c r="E1445">
        <v>0</v>
      </c>
      <c r="F1445" s="1">
        <f t="shared" si="22"/>
        <v>0</v>
      </c>
      <c r="G1445" s="1" t="str">
        <f>_xlfn.XLOOKUP(C1445,'Ocupação DW'!$F:$F,'Ocupação DW'!$E:$E,"",0)</f>
        <v/>
      </c>
      <c r="H1445" t="str">
        <f>Vagas[[#This Row],[data]]&amp;Vagas[[#This Row],[profissional_id]]&amp;Vagas[[#This Row],[local_id]]</f>
        <v>4464660</v>
      </c>
    </row>
    <row r="1446" spans="1:8" x14ac:dyDescent="0.25">
      <c r="A1446" s="2">
        <v>44646</v>
      </c>
      <c r="B1446">
        <v>60</v>
      </c>
      <c r="C1446">
        <v>6</v>
      </c>
      <c r="D1446">
        <v>0</v>
      </c>
      <c r="E1446">
        <v>0</v>
      </c>
      <c r="F1446" s="1">
        <f t="shared" si="22"/>
        <v>7</v>
      </c>
      <c r="G1446" s="1" t="str">
        <f>_xlfn.XLOOKUP(C1446,'Ocupação DW'!$F:$F,'Ocupação DW'!$E:$E,"",0)</f>
        <v>SEG - FILIAL II 10°</v>
      </c>
      <c r="H1446" t="str">
        <f>Vagas[[#This Row],[data]]&amp;Vagas[[#This Row],[profissional_id]]&amp;Vagas[[#This Row],[local_id]]</f>
        <v>44646606</v>
      </c>
    </row>
    <row r="1447" spans="1:8" x14ac:dyDescent="0.25">
      <c r="A1447" s="2">
        <v>44646</v>
      </c>
      <c r="B1447">
        <v>66</v>
      </c>
      <c r="D1447">
        <v>61</v>
      </c>
      <c r="E1447">
        <v>0</v>
      </c>
      <c r="F1447" s="1">
        <f t="shared" si="22"/>
        <v>0</v>
      </c>
      <c r="G1447" s="1" t="str">
        <f>_xlfn.XLOOKUP(C1447,'Ocupação DW'!$F:$F,'Ocupação DW'!$E:$E,"",0)</f>
        <v/>
      </c>
      <c r="H1447" t="str">
        <f>Vagas[[#This Row],[data]]&amp;Vagas[[#This Row],[profissional_id]]&amp;Vagas[[#This Row],[local_id]]</f>
        <v>4464666</v>
      </c>
    </row>
    <row r="1448" spans="1:8" x14ac:dyDescent="0.25">
      <c r="A1448" s="2">
        <v>44646</v>
      </c>
      <c r="B1448">
        <v>66</v>
      </c>
      <c r="C1448">
        <v>345</v>
      </c>
      <c r="D1448">
        <v>72</v>
      </c>
      <c r="E1448">
        <v>0</v>
      </c>
      <c r="F1448" s="1">
        <f t="shared" si="22"/>
        <v>0</v>
      </c>
      <c r="G1448" s="1" t="str">
        <f>_xlfn.XLOOKUP(C1448,'Ocupação DW'!$F:$F,'Ocupação DW'!$E:$E,"",0)</f>
        <v>SEG - MATRIZ</v>
      </c>
      <c r="H1448" t="str">
        <f>Vagas[[#This Row],[data]]&amp;Vagas[[#This Row],[profissional_id]]&amp;Vagas[[#This Row],[local_id]]</f>
        <v>4464666345</v>
      </c>
    </row>
    <row r="1449" spans="1:8" x14ac:dyDescent="0.25">
      <c r="A1449" s="2">
        <v>44646</v>
      </c>
      <c r="B1449">
        <v>69</v>
      </c>
      <c r="D1449">
        <v>0</v>
      </c>
      <c r="E1449">
        <v>0</v>
      </c>
      <c r="F1449" s="1">
        <f t="shared" si="22"/>
        <v>0</v>
      </c>
      <c r="G1449" s="1" t="str">
        <f>_xlfn.XLOOKUP(C1449,'Ocupação DW'!$F:$F,'Ocupação DW'!$E:$E,"",0)</f>
        <v/>
      </c>
      <c r="H1449" t="str">
        <f>Vagas[[#This Row],[data]]&amp;Vagas[[#This Row],[profissional_id]]&amp;Vagas[[#This Row],[local_id]]</f>
        <v>4464669</v>
      </c>
    </row>
    <row r="1450" spans="1:8" x14ac:dyDescent="0.25">
      <c r="A1450" s="2">
        <v>44646</v>
      </c>
      <c r="B1450">
        <v>70</v>
      </c>
      <c r="D1450">
        <v>13</v>
      </c>
      <c r="E1450">
        <v>0</v>
      </c>
      <c r="F1450" s="1">
        <f t="shared" si="22"/>
        <v>0</v>
      </c>
      <c r="G1450" s="1" t="str">
        <f>_xlfn.XLOOKUP(C1450,'Ocupação DW'!$F:$F,'Ocupação DW'!$E:$E,"",0)</f>
        <v/>
      </c>
      <c r="H1450" t="str">
        <f>Vagas[[#This Row],[data]]&amp;Vagas[[#This Row],[profissional_id]]&amp;Vagas[[#This Row],[local_id]]</f>
        <v>4464670</v>
      </c>
    </row>
    <row r="1451" spans="1:8" x14ac:dyDescent="0.25">
      <c r="A1451" s="2">
        <v>44646</v>
      </c>
      <c r="B1451">
        <v>73</v>
      </c>
      <c r="D1451">
        <v>0</v>
      </c>
      <c r="E1451">
        <v>0</v>
      </c>
      <c r="F1451" s="1">
        <f t="shared" si="22"/>
        <v>0</v>
      </c>
      <c r="G1451" s="1" t="str">
        <f>_xlfn.XLOOKUP(C1451,'Ocupação DW'!$F:$F,'Ocupação DW'!$E:$E,"",0)</f>
        <v/>
      </c>
      <c r="H1451" t="str">
        <f>Vagas[[#This Row],[data]]&amp;Vagas[[#This Row],[profissional_id]]&amp;Vagas[[#This Row],[local_id]]</f>
        <v>4464673</v>
      </c>
    </row>
    <row r="1452" spans="1:8" x14ac:dyDescent="0.25">
      <c r="A1452" s="2">
        <v>44646</v>
      </c>
      <c r="B1452">
        <v>81</v>
      </c>
      <c r="C1452">
        <v>41</v>
      </c>
      <c r="D1452">
        <v>0</v>
      </c>
      <c r="E1452">
        <v>0</v>
      </c>
      <c r="F1452" s="1">
        <f t="shared" si="22"/>
        <v>0</v>
      </c>
      <c r="G1452" s="1" t="str">
        <f>_xlfn.XLOOKUP(C1452,'Ocupação DW'!$F:$F,'Ocupação DW'!$E:$E,"",0)</f>
        <v>SEG - FILIAL I</v>
      </c>
      <c r="H1452" t="str">
        <f>Vagas[[#This Row],[data]]&amp;Vagas[[#This Row],[profissional_id]]&amp;Vagas[[#This Row],[local_id]]</f>
        <v>446468141</v>
      </c>
    </row>
    <row r="1453" spans="1:8" x14ac:dyDescent="0.25">
      <c r="A1453" s="2">
        <v>44646</v>
      </c>
      <c r="B1453">
        <v>86</v>
      </c>
      <c r="D1453">
        <v>0</v>
      </c>
      <c r="E1453">
        <v>0</v>
      </c>
      <c r="F1453" s="1">
        <f t="shared" si="22"/>
        <v>0</v>
      </c>
      <c r="G1453" s="1" t="str">
        <f>_xlfn.XLOOKUP(C1453,'Ocupação DW'!$F:$F,'Ocupação DW'!$E:$E,"",0)</f>
        <v/>
      </c>
      <c r="H1453" t="str">
        <f>Vagas[[#This Row],[data]]&amp;Vagas[[#This Row],[profissional_id]]&amp;Vagas[[#This Row],[local_id]]</f>
        <v>4464686</v>
      </c>
    </row>
    <row r="1454" spans="1:8" x14ac:dyDescent="0.25">
      <c r="A1454" s="2">
        <v>44646</v>
      </c>
      <c r="B1454">
        <v>100</v>
      </c>
      <c r="D1454">
        <v>0</v>
      </c>
      <c r="E1454">
        <v>0</v>
      </c>
      <c r="F1454" s="1">
        <f t="shared" si="22"/>
        <v>0</v>
      </c>
      <c r="G1454" s="1" t="str">
        <f>_xlfn.XLOOKUP(C1454,'Ocupação DW'!$F:$F,'Ocupação DW'!$E:$E,"",0)</f>
        <v/>
      </c>
      <c r="H1454" t="str">
        <f>Vagas[[#This Row],[data]]&amp;Vagas[[#This Row],[profissional_id]]&amp;Vagas[[#This Row],[local_id]]</f>
        <v>44646100</v>
      </c>
    </row>
    <row r="1455" spans="1:8" x14ac:dyDescent="0.25">
      <c r="A1455" s="2">
        <v>44646</v>
      </c>
      <c r="B1455">
        <v>110</v>
      </c>
      <c r="D1455">
        <v>0</v>
      </c>
      <c r="E1455">
        <v>0</v>
      </c>
      <c r="F1455" s="1">
        <f t="shared" si="22"/>
        <v>0</v>
      </c>
      <c r="G1455" s="1" t="str">
        <f>_xlfn.XLOOKUP(C1455,'Ocupação DW'!$F:$F,'Ocupação DW'!$E:$E,"",0)</f>
        <v/>
      </c>
      <c r="H1455" t="str">
        <f>Vagas[[#This Row],[data]]&amp;Vagas[[#This Row],[profissional_id]]&amp;Vagas[[#This Row],[local_id]]</f>
        <v>44646110</v>
      </c>
    </row>
    <row r="1456" spans="1:8" x14ac:dyDescent="0.25">
      <c r="A1456" s="2">
        <v>44646</v>
      </c>
      <c r="B1456">
        <v>111</v>
      </c>
      <c r="C1456">
        <v>51</v>
      </c>
      <c r="D1456">
        <v>31</v>
      </c>
      <c r="E1456">
        <v>0</v>
      </c>
      <c r="F1456" s="1">
        <f t="shared" si="22"/>
        <v>0</v>
      </c>
      <c r="G1456" s="1" t="str">
        <f>_xlfn.XLOOKUP(C1456,'Ocupação DW'!$F:$F,'Ocupação DW'!$E:$E,"",0)</f>
        <v>SEG - FILIAL I</v>
      </c>
      <c r="H1456" t="str">
        <f>Vagas[[#This Row],[data]]&amp;Vagas[[#This Row],[profissional_id]]&amp;Vagas[[#This Row],[local_id]]</f>
        <v>4464611151</v>
      </c>
    </row>
    <row r="1457" spans="1:8" x14ac:dyDescent="0.25">
      <c r="A1457" s="2">
        <v>44646</v>
      </c>
      <c r="B1457">
        <v>117</v>
      </c>
      <c r="C1457">
        <v>48</v>
      </c>
      <c r="D1457">
        <v>0</v>
      </c>
      <c r="E1457">
        <v>0</v>
      </c>
      <c r="F1457" s="1">
        <f t="shared" si="22"/>
        <v>0</v>
      </c>
      <c r="G1457" s="1" t="str">
        <f>_xlfn.XLOOKUP(C1457,'Ocupação DW'!$F:$F,'Ocupação DW'!$E:$E,"",0)</f>
        <v>SEG - FILIAL I</v>
      </c>
      <c r="H1457" t="str">
        <f>Vagas[[#This Row],[data]]&amp;Vagas[[#This Row],[profissional_id]]&amp;Vagas[[#This Row],[local_id]]</f>
        <v>4464611748</v>
      </c>
    </row>
    <row r="1458" spans="1:8" x14ac:dyDescent="0.25">
      <c r="A1458" s="2">
        <v>44646</v>
      </c>
      <c r="B1458">
        <v>123</v>
      </c>
      <c r="D1458">
        <v>7</v>
      </c>
      <c r="E1458">
        <v>0</v>
      </c>
      <c r="F1458" s="1">
        <f t="shared" si="22"/>
        <v>0</v>
      </c>
      <c r="G1458" s="1" t="str">
        <f>_xlfn.XLOOKUP(C1458,'Ocupação DW'!$F:$F,'Ocupação DW'!$E:$E,"",0)</f>
        <v/>
      </c>
      <c r="H1458" t="str">
        <f>Vagas[[#This Row],[data]]&amp;Vagas[[#This Row],[profissional_id]]&amp;Vagas[[#This Row],[local_id]]</f>
        <v>44646123</v>
      </c>
    </row>
    <row r="1459" spans="1:8" x14ac:dyDescent="0.25">
      <c r="A1459" s="2">
        <v>44646</v>
      </c>
      <c r="B1459">
        <v>123</v>
      </c>
      <c r="C1459">
        <v>351</v>
      </c>
      <c r="D1459">
        <v>7</v>
      </c>
      <c r="E1459">
        <v>0</v>
      </c>
      <c r="F1459" s="1">
        <f t="shared" si="22"/>
        <v>0</v>
      </c>
      <c r="G1459" s="1" t="str">
        <f>_xlfn.XLOOKUP(C1459,'Ocupação DW'!$F:$F,'Ocupação DW'!$E:$E,"",0)</f>
        <v>SEG - FILIAL I</v>
      </c>
      <c r="H1459" t="str">
        <f>Vagas[[#This Row],[data]]&amp;Vagas[[#This Row],[profissional_id]]&amp;Vagas[[#This Row],[local_id]]</f>
        <v>44646123351</v>
      </c>
    </row>
    <row r="1460" spans="1:8" x14ac:dyDescent="0.25">
      <c r="A1460" s="2">
        <v>44646</v>
      </c>
      <c r="B1460">
        <v>174</v>
      </c>
      <c r="C1460">
        <v>24</v>
      </c>
      <c r="D1460">
        <v>52</v>
      </c>
      <c r="E1460">
        <v>0</v>
      </c>
      <c r="F1460" s="1">
        <f t="shared" si="22"/>
        <v>0</v>
      </c>
      <c r="G1460" s="1" t="str">
        <f>_xlfn.XLOOKUP(C1460,'Ocupação DW'!$F:$F,'Ocupação DW'!$E:$E,"",0)</f>
        <v>SEG - MATRIZ</v>
      </c>
      <c r="H1460" t="str">
        <f>Vagas[[#This Row],[data]]&amp;Vagas[[#This Row],[profissional_id]]&amp;Vagas[[#This Row],[local_id]]</f>
        <v>4464617424</v>
      </c>
    </row>
    <row r="1461" spans="1:8" x14ac:dyDescent="0.25">
      <c r="A1461" s="2">
        <v>44646</v>
      </c>
      <c r="B1461">
        <v>282</v>
      </c>
      <c r="D1461">
        <v>19</v>
      </c>
      <c r="E1461">
        <v>0</v>
      </c>
      <c r="F1461" s="1">
        <f t="shared" si="22"/>
        <v>0</v>
      </c>
      <c r="G1461" s="1" t="str">
        <f>_xlfn.XLOOKUP(C1461,'Ocupação DW'!$F:$F,'Ocupação DW'!$E:$E,"",0)</f>
        <v/>
      </c>
      <c r="H1461" t="str">
        <f>Vagas[[#This Row],[data]]&amp;Vagas[[#This Row],[profissional_id]]&amp;Vagas[[#This Row],[local_id]]</f>
        <v>44646282</v>
      </c>
    </row>
    <row r="1462" spans="1:8" x14ac:dyDescent="0.25">
      <c r="A1462" s="2">
        <v>44646</v>
      </c>
      <c r="B1462">
        <v>282</v>
      </c>
      <c r="C1462">
        <v>39</v>
      </c>
      <c r="D1462">
        <v>23</v>
      </c>
      <c r="E1462">
        <v>0</v>
      </c>
      <c r="F1462" s="1">
        <f t="shared" si="22"/>
        <v>0</v>
      </c>
      <c r="G1462" s="1" t="str">
        <f>_xlfn.XLOOKUP(C1462,'Ocupação DW'!$F:$F,'Ocupação DW'!$E:$E,"",0)</f>
        <v>SEG - FILIAL I</v>
      </c>
      <c r="H1462" t="str">
        <f>Vagas[[#This Row],[data]]&amp;Vagas[[#This Row],[profissional_id]]&amp;Vagas[[#This Row],[local_id]]</f>
        <v>4464628239</v>
      </c>
    </row>
    <row r="1463" spans="1:8" x14ac:dyDescent="0.25">
      <c r="A1463" s="2">
        <v>44646</v>
      </c>
      <c r="B1463">
        <v>531</v>
      </c>
      <c r="C1463">
        <v>12</v>
      </c>
      <c r="D1463">
        <v>0</v>
      </c>
      <c r="E1463">
        <v>0</v>
      </c>
      <c r="F1463" s="1">
        <f t="shared" si="22"/>
        <v>0</v>
      </c>
      <c r="G1463" s="1" t="str">
        <f>_xlfn.XLOOKUP(C1463,'Ocupação DW'!$F:$F,'Ocupação DW'!$E:$E,"",0)</f>
        <v>SEG - FILIAL II 11°</v>
      </c>
      <c r="H1463" t="str">
        <f>Vagas[[#This Row],[data]]&amp;Vagas[[#This Row],[profissional_id]]&amp;Vagas[[#This Row],[local_id]]</f>
        <v>4464653112</v>
      </c>
    </row>
    <row r="1464" spans="1:8" x14ac:dyDescent="0.25">
      <c r="A1464" s="2">
        <v>44646</v>
      </c>
      <c r="B1464">
        <v>747</v>
      </c>
      <c r="C1464">
        <v>6</v>
      </c>
      <c r="D1464">
        <v>16</v>
      </c>
      <c r="E1464">
        <v>0</v>
      </c>
      <c r="F1464" s="1">
        <f t="shared" si="22"/>
        <v>0</v>
      </c>
      <c r="G1464" s="1" t="str">
        <f>_xlfn.XLOOKUP(C1464,'Ocupação DW'!$F:$F,'Ocupação DW'!$E:$E,"",0)</f>
        <v>SEG - FILIAL II 10°</v>
      </c>
      <c r="H1464" t="str">
        <f>Vagas[[#This Row],[data]]&amp;Vagas[[#This Row],[profissional_id]]&amp;Vagas[[#This Row],[local_id]]</f>
        <v>446467476</v>
      </c>
    </row>
    <row r="1465" spans="1:8" x14ac:dyDescent="0.25">
      <c r="A1465" s="2">
        <v>44646</v>
      </c>
      <c r="B1465">
        <v>1343</v>
      </c>
      <c r="D1465">
        <v>0</v>
      </c>
      <c r="E1465">
        <v>0</v>
      </c>
      <c r="F1465" s="1">
        <f t="shared" si="22"/>
        <v>0</v>
      </c>
      <c r="G1465" s="1" t="str">
        <f>_xlfn.XLOOKUP(C1465,'Ocupação DW'!$F:$F,'Ocupação DW'!$E:$E,"",0)</f>
        <v/>
      </c>
      <c r="H1465" t="str">
        <f>Vagas[[#This Row],[data]]&amp;Vagas[[#This Row],[profissional_id]]&amp;Vagas[[#This Row],[local_id]]</f>
        <v>446461343</v>
      </c>
    </row>
    <row r="1466" spans="1:8" x14ac:dyDescent="0.25">
      <c r="A1466" s="2">
        <v>44646</v>
      </c>
      <c r="B1466">
        <v>1490</v>
      </c>
      <c r="D1466">
        <v>0</v>
      </c>
      <c r="E1466">
        <v>0</v>
      </c>
      <c r="F1466" s="1">
        <f t="shared" si="22"/>
        <v>0</v>
      </c>
      <c r="G1466" s="1" t="str">
        <f>_xlfn.XLOOKUP(C1466,'Ocupação DW'!$F:$F,'Ocupação DW'!$E:$E,"",0)</f>
        <v/>
      </c>
      <c r="H1466" t="str">
        <f>Vagas[[#This Row],[data]]&amp;Vagas[[#This Row],[profissional_id]]&amp;Vagas[[#This Row],[local_id]]</f>
        <v>446461490</v>
      </c>
    </row>
    <row r="1467" spans="1:8" x14ac:dyDescent="0.25">
      <c r="A1467" s="2">
        <v>44646</v>
      </c>
      <c r="B1467">
        <v>2334</v>
      </c>
      <c r="D1467">
        <v>0</v>
      </c>
      <c r="E1467">
        <v>0</v>
      </c>
      <c r="F1467" s="1">
        <f t="shared" si="22"/>
        <v>0</v>
      </c>
      <c r="G1467" s="1" t="str">
        <f>_xlfn.XLOOKUP(C1467,'Ocupação DW'!$F:$F,'Ocupação DW'!$E:$E,"",0)</f>
        <v/>
      </c>
      <c r="H1467" t="str">
        <f>Vagas[[#This Row],[data]]&amp;Vagas[[#This Row],[profissional_id]]&amp;Vagas[[#This Row],[local_id]]</f>
        <v>446462334</v>
      </c>
    </row>
    <row r="1468" spans="1:8" x14ac:dyDescent="0.25">
      <c r="A1468" s="2">
        <v>44646</v>
      </c>
      <c r="B1468">
        <v>3092</v>
      </c>
      <c r="D1468">
        <v>0</v>
      </c>
      <c r="E1468">
        <v>0</v>
      </c>
      <c r="F1468" s="1">
        <f t="shared" si="22"/>
        <v>0</v>
      </c>
      <c r="G1468" s="1" t="str">
        <f>_xlfn.XLOOKUP(C1468,'Ocupação DW'!$F:$F,'Ocupação DW'!$E:$E,"",0)</f>
        <v/>
      </c>
      <c r="H1468" t="str">
        <f>Vagas[[#This Row],[data]]&amp;Vagas[[#This Row],[profissional_id]]&amp;Vagas[[#This Row],[local_id]]</f>
        <v>446463092</v>
      </c>
    </row>
    <row r="1469" spans="1:8" x14ac:dyDescent="0.25">
      <c r="A1469" s="2">
        <v>44646</v>
      </c>
      <c r="B1469">
        <v>3502</v>
      </c>
      <c r="D1469">
        <v>0</v>
      </c>
      <c r="E1469">
        <v>0</v>
      </c>
      <c r="F1469" s="1">
        <f t="shared" si="22"/>
        <v>0</v>
      </c>
      <c r="G1469" s="1" t="str">
        <f>_xlfn.XLOOKUP(C1469,'Ocupação DW'!$F:$F,'Ocupação DW'!$E:$E,"",0)</f>
        <v/>
      </c>
      <c r="H1469" t="str">
        <f>Vagas[[#This Row],[data]]&amp;Vagas[[#This Row],[profissional_id]]&amp;Vagas[[#This Row],[local_id]]</f>
        <v>446463502</v>
      </c>
    </row>
    <row r="1470" spans="1:8" x14ac:dyDescent="0.25">
      <c r="A1470" s="2">
        <v>44646</v>
      </c>
      <c r="B1470">
        <v>4887</v>
      </c>
      <c r="C1470">
        <v>18</v>
      </c>
      <c r="D1470">
        <v>0</v>
      </c>
      <c r="E1470">
        <v>0</v>
      </c>
      <c r="F1470" s="1">
        <f t="shared" si="22"/>
        <v>0</v>
      </c>
      <c r="G1470" s="1" t="str">
        <f>_xlfn.XLOOKUP(C1470,'Ocupação DW'!$F:$F,'Ocupação DW'!$E:$E,"",0)</f>
        <v>SEG - FILIAL II 11°</v>
      </c>
      <c r="H1470" t="str">
        <f>Vagas[[#This Row],[data]]&amp;Vagas[[#This Row],[profissional_id]]&amp;Vagas[[#This Row],[local_id]]</f>
        <v>44646488718</v>
      </c>
    </row>
    <row r="1471" spans="1:8" x14ac:dyDescent="0.25">
      <c r="A1471" s="2">
        <v>44646</v>
      </c>
      <c r="B1471">
        <v>6046</v>
      </c>
      <c r="D1471">
        <v>13</v>
      </c>
      <c r="E1471">
        <v>0</v>
      </c>
      <c r="F1471" s="1">
        <f t="shared" si="22"/>
        <v>0</v>
      </c>
      <c r="G1471" s="1" t="str">
        <f>_xlfn.XLOOKUP(C1471,'Ocupação DW'!$F:$F,'Ocupação DW'!$E:$E,"",0)</f>
        <v/>
      </c>
      <c r="H1471" t="str">
        <f>Vagas[[#This Row],[data]]&amp;Vagas[[#This Row],[profissional_id]]&amp;Vagas[[#This Row],[local_id]]</f>
        <v>446466046</v>
      </c>
    </row>
    <row r="1472" spans="1:8" x14ac:dyDescent="0.25">
      <c r="A1472" s="2">
        <v>44646</v>
      </c>
      <c r="B1472">
        <v>6046</v>
      </c>
      <c r="C1472">
        <v>46</v>
      </c>
      <c r="D1472">
        <v>0</v>
      </c>
      <c r="E1472">
        <v>15</v>
      </c>
      <c r="F1472" s="1">
        <f t="shared" si="22"/>
        <v>13</v>
      </c>
      <c r="G1472" s="1" t="str">
        <f>_xlfn.XLOOKUP(C1472,'Ocupação DW'!$F:$F,'Ocupação DW'!$E:$E,"",0)</f>
        <v>SEG - FILIAL I</v>
      </c>
      <c r="H1472" t="str">
        <f>Vagas[[#This Row],[data]]&amp;Vagas[[#This Row],[profissional_id]]&amp;Vagas[[#This Row],[local_id]]</f>
        <v>44646604646</v>
      </c>
    </row>
    <row r="1473" spans="1:8" x14ac:dyDescent="0.25">
      <c r="A1473" s="2">
        <v>44646</v>
      </c>
      <c r="B1473">
        <v>6430</v>
      </c>
      <c r="D1473">
        <v>0</v>
      </c>
      <c r="E1473">
        <v>0</v>
      </c>
      <c r="F1473" s="1">
        <f t="shared" si="22"/>
        <v>0</v>
      </c>
      <c r="G1473" s="1" t="str">
        <f>_xlfn.XLOOKUP(C1473,'Ocupação DW'!$F:$F,'Ocupação DW'!$E:$E,"",0)</f>
        <v/>
      </c>
      <c r="H1473" t="str">
        <f>Vagas[[#This Row],[data]]&amp;Vagas[[#This Row],[profissional_id]]&amp;Vagas[[#This Row],[local_id]]</f>
        <v>446466430</v>
      </c>
    </row>
    <row r="1474" spans="1:8" x14ac:dyDescent="0.25">
      <c r="A1474" s="2">
        <v>44646</v>
      </c>
      <c r="B1474">
        <v>8598</v>
      </c>
      <c r="D1474">
        <v>0</v>
      </c>
      <c r="E1474">
        <v>0</v>
      </c>
      <c r="F1474" s="1">
        <f t="shared" ref="F1474:F1537" si="23">IF(AND(A1474=A1473,B1474=B1473,D1473&lt;&gt;0,D1474=0),D1473,0)</f>
        <v>0</v>
      </c>
      <c r="G1474" s="1" t="str">
        <f>_xlfn.XLOOKUP(C1474,'Ocupação DW'!$F:$F,'Ocupação DW'!$E:$E,"",0)</f>
        <v/>
      </c>
      <c r="H1474" t="str">
        <f>Vagas[[#This Row],[data]]&amp;Vagas[[#This Row],[profissional_id]]&amp;Vagas[[#This Row],[local_id]]</f>
        <v>446468598</v>
      </c>
    </row>
    <row r="1475" spans="1:8" x14ac:dyDescent="0.25">
      <c r="A1475" s="2">
        <v>44646</v>
      </c>
      <c r="B1475">
        <v>9111</v>
      </c>
      <c r="D1475">
        <v>0</v>
      </c>
      <c r="E1475">
        <v>0</v>
      </c>
      <c r="F1475" s="1">
        <f t="shared" si="23"/>
        <v>0</v>
      </c>
      <c r="G1475" s="1" t="str">
        <f>_xlfn.XLOOKUP(C1475,'Ocupação DW'!$F:$F,'Ocupação DW'!$E:$E,"",0)</f>
        <v/>
      </c>
      <c r="H1475" t="str">
        <f>Vagas[[#This Row],[data]]&amp;Vagas[[#This Row],[profissional_id]]&amp;Vagas[[#This Row],[local_id]]</f>
        <v>446469111</v>
      </c>
    </row>
    <row r="1476" spans="1:8" x14ac:dyDescent="0.25">
      <c r="A1476" s="2">
        <v>44646</v>
      </c>
      <c r="B1476">
        <v>9207</v>
      </c>
      <c r="C1476">
        <v>79</v>
      </c>
      <c r="D1476">
        <v>72</v>
      </c>
      <c r="E1476">
        <v>0</v>
      </c>
      <c r="F1476" s="1">
        <f t="shared" si="23"/>
        <v>0</v>
      </c>
      <c r="G1476" s="1" t="str">
        <f>_xlfn.XLOOKUP(C1476,'Ocupação DW'!$F:$F,'Ocupação DW'!$E:$E,"",0)</f>
        <v/>
      </c>
      <c r="H1476" t="str">
        <f>Vagas[[#This Row],[data]]&amp;Vagas[[#This Row],[profissional_id]]&amp;Vagas[[#This Row],[local_id]]</f>
        <v>44646920779</v>
      </c>
    </row>
    <row r="1477" spans="1:8" x14ac:dyDescent="0.25">
      <c r="A1477" s="2">
        <v>44646</v>
      </c>
      <c r="B1477">
        <v>9654</v>
      </c>
      <c r="C1477">
        <v>61</v>
      </c>
      <c r="D1477">
        <v>72</v>
      </c>
      <c r="E1477">
        <v>0</v>
      </c>
      <c r="F1477" s="1">
        <f t="shared" si="23"/>
        <v>0</v>
      </c>
      <c r="G1477" s="1" t="str">
        <f>_xlfn.XLOOKUP(C1477,'Ocupação DW'!$F:$F,'Ocupação DW'!$E:$E,"",0)</f>
        <v/>
      </c>
      <c r="H1477" t="str">
        <f>Vagas[[#This Row],[data]]&amp;Vagas[[#This Row],[profissional_id]]&amp;Vagas[[#This Row],[local_id]]</f>
        <v>44646965461</v>
      </c>
    </row>
    <row r="1478" spans="1:8" x14ac:dyDescent="0.25">
      <c r="A1478" s="2">
        <v>44646</v>
      </c>
      <c r="B1478">
        <v>9717</v>
      </c>
      <c r="D1478">
        <v>0</v>
      </c>
      <c r="E1478">
        <v>0</v>
      </c>
      <c r="F1478" s="1">
        <f t="shared" si="23"/>
        <v>0</v>
      </c>
      <c r="G1478" s="1" t="str">
        <f>_xlfn.XLOOKUP(C1478,'Ocupação DW'!$F:$F,'Ocupação DW'!$E:$E,"",0)</f>
        <v/>
      </c>
      <c r="H1478" t="str">
        <f>Vagas[[#This Row],[data]]&amp;Vagas[[#This Row],[profissional_id]]&amp;Vagas[[#This Row],[local_id]]</f>
        <v>446469717</v>
      </c>
    </row>
    <row r="1479" spans="1:8" x14ac:dyDescent="0.25">
      <c r="A1479" s="2">
        <v>44646</v>
      </c>
      <c r="B1479">
        <v>10249</v>
      </c>
      <c r="D1479">
        <v>21</v>
      </c>
      <c r="E1479">
        <v>0</v>
      </c>
      <c r="F1479" s="1">
        <f t="shared" si="23"/>
        <v>0</v>
      </c>
      <c r="G1479" s="1" t="str">
        <f>_xlfn.XLOOKUP(C1479,'Ocupação DW'!$F:$F,'Ocupação DW'!$E:$E,"",0)</f>
        <v/>
      </c>
      <c r="H1479" t="str">
        <f>Vagas[[#This Row],[data]]&amp;Vagas[[#This Row],[profissional_id]]&amp;Vagas[[#This Row],[local_id]]</f>
        <v>4464610249</v>
      </c>
    </row>
    <row r="1480" spans="1:8" x14ac:dyDescent="0.25">
      <c r="A1480" s="2">
        <v>44646</v>
      </c>
      <c r="B1480">
        <v>10595</v>
      </c>
      <c r="D1480">
        <v>0</v>
      </c>
      <c r="E1480">
        <v>0</v>
      </c>
      <c r="F1480" s="1">
        <f t="shared" si="23"/>
        <v>0</v>
      </c>
      <c r="G1480" s="1" t="str">
        <f>_xlfn.XLOOKUP(C1480,'Ocupação DW'!$F:$F,'Ocupação DW'!$E:$E,"",0)</f>
        <v/>
      </c>
      <c r="H1480" t="str">
        <f>Vagas[[#This Row],[data]]&amp;Vagas[[#This Row],[profissional_id]]&amp;Vagas[[#This Row],[local_id]]</f>
        <v>4464610595</v>
      </c>
    </row>
    <row r="1481" spans="1:8" x14ac:dyDescent="0.25">
      <c r="A1481" s="2">
        <v>44646</v>
      </c>
      <c r="B1481">
        <v>10691</v>
      </c>
      <c r="D1481">
        <v>0</v>
      </c>
      <c r="E1481">
        <v>0</v>
      </c>
      <c r="F1481" s="1">
        <f t="shared" si="23"/>
        <v>0</v>
      </c>
      <c r="G1481" s="1" t="str">
        <f>_xlfn.XLOOKUP(C1481,'Ocupação DW'!$F:$F,'Ocupação DW'!$E:$E,"",0)</f>
        <v/>
      </c>
      <c r="H1481" t="str">
        <f>Vagas[[#This Row],[data]]&amp;Vagas[[#This Row],[profissional_id]]&amp;Vagas[[#This Row],[local_id]]</f>
        <v>4464610691</v>
      </c>
    </row>
    <row r="1482" spans="1:8" x14ac:dyDescent="0.25">
      <c r="A1482" s="2">
        <v>44646</v>
      </c>
      <c r="B1482">
        <v>10946</v>
      </c>
      <c r="D1482">
        <v>0</v>
      </c>
      <c r="E1482">
        <v>0</v>
      </c>
      <c r="F1482" s="1">
        <f t="shared" si="23"/>
        <v>0</v>
      </c>
      <c r="G1482" s="1" t="str">
        <f>_xlfn.XLOOKUP(C1482,'Ocupação DW'!$F:$F,'Ocupação DW'!$E:$E,"",0)</f>
        <v/>
      </c>
      <c r="H1482" t="str">
        <f>Vagas[[#This Row],[data]]&amp;Vagas[[#This Row],[profissional_id]]&amp;Vagas[[#This Row],[local_id]]</f>
        <v>4464610946</v>
      </c>
    </row>
    <row r="1483" spans="1:8" x14ac:dyDescent="0.25">
      <c r="A1483" s="2">
        <v>44646</v>
      </c>
      <c r="B1483">
        <v>11634</v>
      </c>
      <c r="C1483">
        <v>339</v>
      </c>
      <c r="D1483">
        <v>60</v>
      </c>
      <c r="E1483">
        <v>0</v>
      </c>
      <c r="F1483" s="1">
        <f t="shared" si="23"/>
        <v>0</v>
      </c>
      <c r="G1483" s="1" t="str">
        <f>_xlfn.XLOOKUP(C1483,'Ocupação DW'!$F:$F,'Ocupação DW'!$E:$E,"",0)</f>
        <v>SEG - MATRIZ</v>
      </c>
      <c r="H1483" t="str">
        <f>Vagas[[#This Row],[data]]&amp;Vagas[[#This Row],[profissional_id]]&amp;Vagas[[#This Row],[local_id]]</f>
        <v>4464611634339</v>
      </c>
    </row>
    <row r="1484" spans="1:8" x14ac:dyDescent="0.25">
      <c r="A1484" s="2">
        <v>44646</v>
      </c>
      <c r="B1484">
        <v>12369</v>
      </c>
      <c r="D1484">
        <v>0</v>
      </c>
      <c r="E1484">
        <v>0</v>
      </c>
      <c r="F1484" s="1">
        <f t="shared" si="23"/>
        <v>0</v>
      </c>
      <c r="G1484" s="1" t="str">
        <f>_xlfn.XLOOKUP(C1484,'Ocupação DW'!$F:$F,'Ocupação DW'!$E:$E,"",0)</f>
        <v/>
      </c>
      <c r="H1484" t="str">
        <f>Vagas[[#This Row],[data]]&amp;Vagas[[#This Row],[profissional_id]]&amp;Vagas[[#This Row],[local_id]]</f>
        <v>4464612369</v>
      </c>
    </row>
    <row r="1485" spans="1:8" x14ac:dyDescent="0.25">
      <c r="A1485" s="2">
        <v>44646</v>
      </c>
      <c r="B1485">
        <v>12519</v>
      </c>
      <c r="D1485">
        <v>0</v>
      </c>
      <c r="E1485">
        <v>0</v>
      </c>
      <c r="F1485" s="1">
        <f t="shared" si="23"/>
        <v>0</v>
      </c>
      <c r="G1485" s="1" t="str">
        <f>_xlfn.XLOOKUP(C1485,'Ocupação DW'!$F:$F,'Ocupação DW'!$E:$E,"",0)</f>
        <v/>
      </c>
      <c r="H1485" t="str">
        <f>Vagas[[#This Row],[data]]&amp;Vagas[[#This Row],[profissional_id]]&amp;Vagas[[#This Row],[local_id]]</f>
        <v>4464612519</v>
      </c>
    </row>
    <row r="1486" spans="1:8" x14ac:dyDescent="0.25">
      <c r="A1486" s="2">
        <v>44646</v>
      </c>
      <c r="B1486">
        <v>12679</v>
      </c>
      <c r="D1486">
        <v>0</v>
      </c>
      <c r="E1486">
        <v>0</v>
      </c>
      <c r="F1486" s="1">
        <f t="shared" si="23"/>
        <v>0</v>
      </c>
      <c r="G1486" s="1" t="str">
        <f>_xlfn.XLOOKUP(C1486,'Ocupação DW'!$F:$F,'Ocupação DW'!$E:$E,"",0)</f>
        <v/>
      </c>
      <c r="H1486" t="str">
        <f>Vagas[[#This Row],[data]]&amp;Vagas[[#This Row],[profissional_id]]&amp;Vagas[[#This Row],[local_id]]</f>
        <v>4464612679</v>
      </c>
    </row>
    <row r="1487" spans="1:8" x14ac:dyDescent="0.25">
      <c r="A1487" s="2">
        <v>44646</v>
      </c>
      <c r="B1487">
        <v>12684</v>
      </c>
      <c r="D1487">
        <v>0</v>
      </c>
      <c r="E1487">
        <v>0</v>
      </c>
      <c r="F1487" s="1">
        <f t="shared" si="23"/>
        <v>0</v>
      </c>
      <c r="G1487" s="1" t="str">
        <f>_xlfn.XLOOKUP(C1487,'Ocupação DW'!$F:$F,'Ocupação DW'!$E:$E,"",0)</f>
        <v/>
      </c>
      <c r="H1487" t="str">
        <f>Vagas[[#This Row],[data]]&amp;Vagas[[#This Row],[profissional_id]]&amp;Vagas[[#This Row],[local_id]]</f>
        <v>4464612684</v>
      </c>
    </row>
    <row r="1488" spans="1:8" x14ac:dyDescent="0.25">
      <c r="A1488" s="2">
        <v>44646</v>
      </c>
      <c r="B1488">
        <v>12711</v>
      </c>
      <c r="D1488">
        <v>0</v>
      </c>
      <c r="E1488">
        <v>0</v>
      </c>
      <c r="F1488" s="1">
        <f t="shared" si="23"/>
        <v>0</v>
      </c>
      <c r="G1488" s="1" t="str">
        <f>_xlfn.XLOOKUP(C1488,'Ocupação DW'!$F:$F,'Ocupação DW'!$E:$E,"",0)</f>
        <v/>
      </c>
      <c r="H1488" t="str">
        <f>Vagas[[#This Row],[data]]&amp;Vagas[[#This Row],[profissional_id]]&amp;Vagas[[#This Row],[local_id]]</f>
        <v>4464612711</v>
      </c>
    </row>
    <row r="1489" spans="1:8" x14ac:dyDescent="0.25">
      <c r="A1489" s="2">
        <v>44646</v>
      </c>
      <c r="B1489">
        <v>12810</v>
      </c>
      <c r="D1489">
        <v>19</v>
      </c>
      <c r="E1489">
        <v>0</v>
      </c>
      <c r="F1489" s="1">
        <f t="shared" si="23"/>
        <v>0</v>
      </c>
      <c r="G1489" s="1" t="str">
        <f>_xlfn.XLOOKUP(C1489,'Ocupação DW'!$F:$F,'Ocupação DW'!$E:$E,"",0)</f>
        <v/>
      </c>
      <c r="H1489" t="str">
        <f>Vagas[[#This Row],[data]]&amp;Vagas[[#This Row],[profissional_id]]&amp;Vagas[[#This Row],[local_id]]</f>
        <v>4464612810</v>
      </c>
    </row>
    <row r="1490" spans="1:8" x14ac:dyDescent="0.25">
      <c r="A1490" s="2">
        <v>44646</v>
      </c>
      <c r="B1490">
        <v>12810</v>
      </c>
      <c r="C1490">
        <v>339</v>
      </c>
      <c r="D1490">
        <v>0</v>
      </c>
      <c r="E1490">
        <v>0</v>
      </c>
      <c r="F1490" s="1">
        <f t="shared" si="23"/>
        <v>19</v>
      </c>
      <c r="G1490" s="1" t="str">
        <f>_xlfn.XLOOKUP(C1490,'Ocupação DW'!$F:$F,'Ocupação DW'!$E:$E,"",0)</f>
        <v>SEG - MATRIZ</v>
      </c>
      <c r="H1490" t="str">
        <f>Vagas[[#This Row],[data]]&amp;Vagas[[#This Row],[profissional_id]]&amp;Vagas[[#This Row],[local_id]]</f>
        <v>4464612810339</v>
      </c>
    </row>
    <row r="1491" spans="1:8" x14ac:dyDescent="0.25">
      <c r="A1491" s="2">
        <v>44646</v>
      </c>
      <c r="B1491">
        <v>12825</v>
      </c>
      <c r="D1491">
        <v>0</v>
      </c>
      <c r="E1491">
        <v>0</v>
      </c>
      <c r="F1491" s="1">
        <f t="shared" si="23"/>
        <v>0</v>
      </c>
      <c r="G1491" s="1" t="str">
        <f>_xlfn.XLOOKUP(C1491,'Ocupação DW'!$F:$F,'Ocupação DW'!$E:$E,"",0)</f>
        <v/>
      </c>
      <c r="H1491" t="str">
        <f>Vagas[[#This Row],[data]]&amp;Vagas[[#This Row],[profissional_id]]&amp;Vagas[[#This Row],[local_id]]</f>
        <v>4464612825</v>
      </c>
    </row>
    <row r="1492" spans="1:8" x14ac:dyDescent="0.25">
      <c r="A1492" s="2">
        <v>44646</v>
      </c>
      <c r="B1492">
        <v>13295</v>
      </c>
      <c r="C1492">
        <v>340</v>
      </c>
      <c r="D1492">
        <v>120</v>
      </c>
      <c r="E1492">
        <v>0</v>
      </c>
      <c r="F1492" s="1">
        <f t="shared" si="23"/>
        <v>0</v>
      </c>
      <c r="G1492" s="1" t="str">
        <f>_xlfn.XLOOKUP(C1492,'Ocupação DW'!$F:$F,'Ocupação DW'!$E:$E,"",0)</f>
        <v>SEG - MATRIZ</v>
      </c>
      <c r="H1492" t="str">
        <f>Vagas[[#This Row],[data]]&amp;Vagas[[#This Row],[profissional_id]]&amp;Vagas[[#This Row],[local_id]]</f>
        <v>4464613295340</v>
      </c>
    </row>
    <row r="1493" spans="1:8" x14ac:dyDescent="0.25">
      <c r="A1493" s="2">
        <v>44646</v>
      </c>
      <c r="B1493">
        <v>13371</v>
      </c>
      <c r="D1493">
        <v>0</v>
      </c>
      <c r="E1493">
        <v>0</v>
      </c>
      <c r="F1493" s="1">
        <f t="shared" si="23"/>
        <v>0</v>
      </c>
      <c r="G1493" s="1" t="str">
        <f>_xlfn.XLOOKUP(C1493,'Ocupação DW'!$F:$F,'Ocupação DW'!$E:$E,"",0)</f>
        <v/>
      </c>
      <c r="H1493" t="str">
        <f>Vagas[[#This Row],[data]]&amp;Vagas[[#This Row],[profissional_id]]&amp;Vagas[[#This Row],[local_id]]</f>
        <v>4464613371</v>
      </c>
    </row>
    <row r="1494" spans="1:8" x14ac:dyDescent="0.25">
      <c r="A1494" s="2">
        <v>44646</v>
      </c>
      <c r="B1494">
        <v>13479</v>
      </c>
      <c r="D1494">
        <v>0</v>
      </c>
      <c r="E1494">
        <v>0</v>
      </c>
      <c r="F1494" s="1">
        <f t="shared" si="23"/>
        <v>0</v>
      </c>
      <c r="G1494" s="1" t="str">
        <f>_xlfn.XLOOKUP(C1494,'Ocupação DW'!$F:$F,'Ocupação DW'!$E:$E,"",0)</f>
        <v/>
      </c>
      <c r="H1494" t="str">
        <f>Vagas[[#This Row],[data]]&amp;Vagas[[#This Row],[profissional_id]]&amp;Vagas[[#This Row],[local_id]]</f>
        <v>4464613479</v>
      </c>
    </row>
    <row r="1495" spans="1:8" x14ac:dyDescent="0.25">
      <c r="A1495" s="2">
        <v>44646</v>
      </c>
      <c r="B1495">
        <v>13645</v>
      </c>
      <c r="D1495">
        <v>0</v>
      </c>
      <c r="E1495">
        <v>0</v>
      </c>
      <c r="F1495" s="1">
        <f t="shared" si="23"/>
        <v>0</v>
      </c>
      <c r="G1495" s="1" t="str">
        <f>_xlfn.XLOOKUP(C1495,'Ocupação DW'!$F:$F,'Ocupação DW'!$E:$E,"",0)</f>
        <v/>
      </c>
      <c r="H1495" t="str">
        <f>Vagas[[#This Row],[data]]&amp;Vagas[[#This Row],[profissional_id]]&amp;Vagas[[#This Row],[local_id]]</f>
        <v>4464613645</v>
      </c>
    </row>
    <row r="1496" spans="1:8" x14ac:dyDescent="0.25">
      <c r="A1496" s="2">
        <v>44646</v>
      </c>
      <c r="B1496">
        <v>13756</v>
      </c>
      <c r="C1496">
        <v>44</v>
      </c>
      <c r="D1496">
        <v>0</v>
      </c>
      <c r="E1496">
        <v>0</v>
      </c>
      <c r="F1496" s="1">
        <f t="shared" si="23"/>
        <v>0</v>
      </c>
      <c r="G1496" s="1" t="str">
        <f>_xlfn.XLOOKUP(C1496,'Ocupação DW'!$F:$F,'Ocupação DW'!$E:$E,"",0)</f>
        <v>SEG - FILIAL I</v>
      </c>
      <c r="H1496" t="str">
        <f>Vagas[[#This Row],[data]]&amp;Vagas[[#This Row],[profissional_id]]&amp;Vagas[[#This Row],[local_id]]</f>
        <v>446461375644</v>
      </c>
    </row>
    <row r="1497" spans="1:8" x14ac:dyDescent="0.25">
      <c r="A1497" s="2">
        <v>44646</v>
      </c>
      <c r="B1497">
        <v>13756</v>
      </c>
      <c r="C1497">
        <v>43</v>
      </c>
      <c r="D1497">
        <v>0</v>
      </c>
      <c r="E1497">
        <v>0</v>
      </c>
      <c r="F1497" s="1">
        <f t="shared" si="23"/>
        <v>0</v>
      </c>
      <c r="G1497" s="1" t="str">
        <f>_xlfn.XLOOKUP(C1497,'Ocupação DW'!$F:$F,'Ocupação DW'!$E:$E,"",0)</f>
        <v>SEG - FILIAL I</v>
      </c>
      <c r="H1497" t="str">
        <f>Vagas[[#This Row],[data]]&amp;Vagas[[#This Row],[profissional_id]]&amp;Vagas[[#This Row],[local_id]]</f>
        <v>446461375643</v>
      </c>
    </row>
    <row r="1498" spans="1:8" x14ac:dyDescent="0.25">
      <c r="A1498" s="2">
        <v>44646</v>
      </c>
      <c r="B1498">
        <v>13835</v>
      </c>
      <c r="D1498">
        <v>0</v>
      </c>
      <c r="E1498">
        <v>0</v>
      </c>
      <c r="F1498" s="1">
        <f t="shared" si="23"/>
        <v>0</v>
      </c>
      <c r="G1498" s="1" t="str">
        <f>_xlfn.XLOOKUP(C1498,'Ocupação DW'!$F:$F,'Ocupação DW'!$E:$E,"",0)</f>
        <v/>
      </c>
      <c r="H1498" t="str">
        <f>Vagas[[#This Row],[data]]&amp;Vagas[[#This Row],[profissional_id]]&amp;Vagas[[#This Row],[local_id]]</f>
        <v>4464613835</v>
      </c>
    </row>
    <row r="1499" spans="1:8" x14ac:dyDescent="0.25">
      <c r="A1499" s="2">
        <v>44646</v>
      </c>
      <c r="B1499">
        <v>14172</v>
      </c>
      <c r="C1499">
        <v>340</v>
      </c>
      <c r="D1499">
        <v>120</v>
      </c>
      <c r="E1499">
        <v>0</v>
      </c>
      <c r="F1499" s="1">
        <f t="shared" si="23"/>
        <v>0</v>
      </c>
      <c r="G1499" s="1" t="str">
        <f>_xlfn.XLOOKUP(C1499,'Ocupação DW'!$F:$F,'Ocupação DW'!$E:$E,"",0)</f>
        <v>SEG - MATRIZ</v>
      </c>
      <c r="H1499" t="str">
        <f>Vagas[[#This Row],[data]]&amp;Vagas[[#This Row],[profissional_id]]&amp;Vagas[[#This Row],[local_id]]</f>
        <v>4464614172340</v>
      </c>
    </row>
    <row r="1500" spans="1:8" x14ac:dyDescent="0.25">
      <c r="A1500" s="2">
        <v>44646</v>
      </c>
      <c r="B1500">
        <v>14452</v>
      </c>
      <c r="D1500">
        <v>0</v>
      </c>
      <c r="E1500">
        <v>0</v>
      </c>
      <c r="F1500" s="1">
        <f t="shared" si="23"/>
        <v>0</v>
      </c>
      <c r="G1500" s="1" t="str">
        <f>_xlfn.XLOOKUP(C1500,'Ocupação DW'!$F:$F,'Ocupação DW'!$E:$E,"",0)</f>
        <v/>
      </c>
      <c r="H1500" t="str">
        <f>Vagas[[#This Row],[data]]&amp;Vagas[[#This Row],[profissional_id]]&amp;Vagas[[#This Row],[local_id]]</f>
        <v>4464614452</v>
      </c>
    </row>
    <row r="1501" spans="1:8" x14ac:dyDescent="0.25">
      <c r="A1501" s="2">
        <v>44646</v>
      </c>
      <c r="B1501">
        <v>17059</v>
      </c>
      <c r="D1501">
        <v>0</v>
      </c>
      <c r="E1501">
        <v>0</v>
      </c>
      <c r="F1501" s="1">
        <f t="shared" si="23"/>
        <v>0</v>
      </c>
      <c r="G1501" s="1" t="str">
        <f>_xlfn.XLOOKUP(C1501,'Ocupação DW'!$F:$F,'Ocupação DW'!$E:$E,"",0)</f>
        <v/>
      </c>
      <c r="H1501" t="str">
        <f>Vagas[[#This Row],[data]]&amp;Vagas[[#This Row],[profissional_id]]&amp;Vagas[[#This Row],[local_id]]</f>
        <v>4464617059</v>
      </c>
    </row>
    <row r="1502" spans="1:8" x14ac:dyDescent="0.25">
      <c r="A1502" s="2">
        <v>44646</v>
      </c>
      <c r="B1502">
        <v>17742</v>
      </c>
      <c r="D1502">
        <v>0</v>
      </c>
      <c r="E1502">
        <v>0</v>
      </c>
      <c r="F1502" s="1">
        <f t="shared" si="23"/>
        <v>0</v>
      </c>
      <c r="G1502" s="1" t="str">
        <f>_xlfn.XLOOKUP(C1502,'Ocupação DW'!$F:$F,'Ocupação DW'!$E:$E,"",0)</f>
        <v/>
      </c>
      <c r="H1502" t="str">
        <f>Vagas[[#This Row],[data]]&amp;Vagas[[#This Row],[profissional_id]]&amp;Vagas[[#This Row],[local_id]]</f>
        <v>4464617742</v>
      </c>
    </row>
    <row r="1503" spans="1:8" x14ac:dyDescent="0.25">
      <c r="A1503" s="2">
        <v>44646</v>
      </c>
      <c r="B1503">
        <v>17858</v>
      </c>
      <c r="D1503">
        <v>0</v>
      </c>
      <c r="E1503">
        <v>0</v>
      </c>
      <c r="F1503" s="1">
        <f t="shared" si="23"/>
        <v>0</v>
      </c>
      <c r="G1503" s="1" t="str">
        <f>_xlfn.XLOOKUP(C1503,'Ocupação DW'!$F:$F,'Ocupação DW'!$E:$E,"",0)</f>
        <v/>
      </c>
      <c r="H1503" t="str">
        <f>Vagas[[#This Row],[data]]&amp;Vagas[[#This Row],[profissional_id]]&amp;Vagas[[#This Row],[local_id]]</f>
        <v>4464617858</v>
      </c>
    </row>
    <row r="1504" spans="1:8" x14ac:dyDescent="0.25">
      <c r="A1504" s="2">
        <v>44646</v>
      </c>
      <c r="B1504">
        <v>17868</v>
      </c>
      <c r="C1504">
        <v>73</v>
      </c>
      <c r="D1504">
        <v>61</v>
      </c>
      <c r="E1504">
        <v>0</v>
      </c>
      <c r="F1504" s="1">
        <f t="shared" si="23"/>
        <v>0</v>
      </c>
      <c r="G1504" s="1" t="str">
        <f>_xlfn.XLOOKUP(C1504,'Ocupação DW'!$F:$F,'Ocupação DW'!$E:$E,"",0)</f>
        <v/>
      </c>
      <c r="H1504" t="str">
        <f>Vagas[[#This Row],[data]]&amp;Vagas[[#This Row],[profissional_id]]&amp;Vagas[[#This Row],[local_id]]</f>
        <v>446461786873</v>
      </c>
    </row>
    <row r="1505" spans="1:8" x14ac:dyDescent="0.25">
      <c r="A1505" s="2">
        <v>44646</v>
      </c>
      <c r="B1505">
        <v>17871</v>
      </c>
      <c r="D1505">
        <v>0</v>
      </c>
      <c r="E1505">
        <v>0</v>
      </c>
      <c r="F1505" s="1">
        <f t="shared" si="23"/>
        <v>0</v>
      </c>
      <c r="G1505" s="1" t="str">
        <f>_xlfn.XLOOKUP(C1505,'Ocupação DW'!$F:$F,'Ocupação DW'!$E:$E,"",0)</f>
        <v/>
      </c>
      <c r="H1505" t="str">
        <f>Vagas[[#This Row],[data]]&amp;Vagas[[#This Row],[profissional_id]]&amp;Vagas[[#This Row],[local_id]]</f>
        <v>4464617871</v>
      </c>
    </row>
    <row r="1506" spans="1:8" x14ac:dyDescent="0.25">
      <c r="A1506" s="2">
        <v>44646</v>
      </c>
      <c r="B1506">
        <v>17874</v>
      </c>
      <c r="D1506">
        <v>0</v>
      </c>
      <c r="E1506">
        <v>0</v>
      </c>
      <c r="F1506" s="1">
        <f t="shared" si="23"/>
        <v>0</v>
      </c>
      <c r="G1506" s="1" t="str">
        <f>_xlfn.XLOOKUP(C1506,'Ocupação DW'!$F:$F,'Ocupação DW'!$E:$E,"",0)</f>
        <v/>
      </c>
      <c r="H1506" t="str">
        <f>Vagas[[#This Row],[data]]&amp;Vagas[[#This Row],[profissional_id]]&amp;Vagas[[#This Row],[local_id]]</f>
        <v>4464617874</v>
      </c>
    </row>
    <row r="1507" spans="1:8" x14ac:dyDescent="0.25">
      <c r="A1507" s="2">
        <v>44646</v>
      </c>
      <c r="B1507">
        <v>17879</v>
      </c>
      <c r="C1507">
        <v>3</v>
      </c>
      <c r="D1507">
        <v>0</v>
      </c>
      <c r="E1507">
        <v>0</v>
      </c>
      <c r="F1507" s="1">
        <f t="shared" si="23"/>
        <v>0</v>
      </c>
      <c r="G1507" s="1" t="str">
        <f>_xlfn.XLOOKUP(C1507,'Ocupação DW'!$F:$F,'Ocupação DW'!$E:$E,"",0)</f>
        <v>SEG - FILIAL II 10°</v>
      </c>
      <c r="H1507" t="str">
        <f>Vagas[[#This Row],[data]]&amp;Vagas[[#This Row],[profissional_id]]&amp;Vagas[[#This Row],[local_id]]</f>
        <v>44646178793</v>
      </c>
    </row>
    <row r="1508" spans="1:8" x14ac:dyDescent="0.25">
      <c r="A1508" s="2">
        <v>44646</v>
      </c>
      <c r="B1508">
        <v>17881</v>
      </c>
      <c r="C1508">
        <v>20</v>
      </c>
      <c r="D1508">
        <v>133</v>
      </c>
      <c r="E1508">
        <v>0</v>
      </c>
      <c r="F1508" s="1">
        <f t="shared" si="23"/>
        <v>0</v>
      </c>
      <c r="G1508" s="1" t="str">
        <f>_xlfn.XLOOKUP(C1508,'Ocupação DW'!$F:$F,'Ocupação DW'!$E:$E,"",0)</f>
        <v>SEG - MATRIZ</v>
      </c>
      <c r="H1508" t="str">
        <f>Vagas[[#This Row],[data]]&amp;Vagas[[#This Row],[profissional_id]]&amp;Vagas[[#This Row],[local_id]]</f>
        <v>446461788120</v>
      </c>
    </row>
    <row r="1509" spans="1:8" x14ac:dyDescent="0.25">
      <c r="A1509" s="2">
        <v>44646</v>
      </c>
      <c r="B1509">
        <v>17882</v>
      </c>
      <c r="C1509">
        <v>21</v>
      </c>
      <c r="D1509">
        <v>133</v>
      </c>
      <c r="E1509">
        <v>0</v>
      </c>
      <c r="F1509" s="1">
        <f t="shared" si="23"/>
        <v>0</v>
      </c>
      <c r="G1509" s="1" t="str">
        <f>_xlfn.XLOOKUP(C1509,'Ocupação DW'!$F:$F,'Ocupação DW'!$E:$E,"",0)</f>
        <v/>
      </c>
      <c r="H1509" t="str">
        <f>Vagas[[#This Row],[data]]&amp;Vagas[[#This Row],[profissional_id]]&amp;Vagas[[#This Row],[local_id]]</f>
        <v>446461788221</v>
      </c>
    </row>
    <row r="1510" spans="1:8" x14ac:dyDescent="0.25">
      <c r="A1510" s="2">
        <v>44646</v>
      </c>
      <c r="B1510">
        <v>17883</v>
      </c>
      <c r="D1510">
        <v>7</v>
      </c>
      <c r="E1510">
        <v>0</v>
      </c>
      <c r="F1510" s="1">
        <f t="shared" si="23"/>
        <v>0</v>
      </c>
      <c r="G1510" s="1" t="str">
        <f>_xlfn.XLOOKUP(C1510,'Ocupação DW'!$F:$F,'Ocupação DW'!$E:$E,"",0)</f>
        <v/>
      </c>
      <c r="H1510" t="str">
        <f>Vagas[[#This Row],[data]]&amp;Vagas[[#This Row],[profissional_id]]&amp;Vagas[[#This Row],[local_id]]</f>
        <v>4464617883</v>
      </c>
    </row>
    <row r="1511" spans="1:8" x14ac:dyDescent="0.25">
      <c r="A1511" s="2">
        <v>44646</v>
      </c>
      <c r="B1511">
        <v>17883</v>
      </c>
      <c r="C1511">
        <v>351</v>
      </c>
      <c r="D1511">
        <v>0</v>
      </c>
      <c r="E1511">
        <v>0</v>
      </c>
      <c r="F1511" s="1">
        <f t="shared" si="23"/>
        <v>7</v>
      </c>
      <c r="G1511" s="1" t="str">
        <f>_xlfn.XLOOKUP(C1511,'Ocupação DW'!$F:$F,'Ocupação DW'!$E:$E,"",0)</f>
        <v>SEG - FILIAL I</v>
      </c>
      <c r="H1511" t="str">
        <f>Vagas[[#This Row],[data]]&amp;Vagas[[#This Row],[profissional_id]]&amp;Vagas[[#This Row],[local_id]]</f>
        <v>4464617883351</v>
      </c>
    </row>
    <row r="1512" spans="1:8" x14ac:dyDescent="0.25">
      <c r="A1512" s="2">
        <v>44646</v>
      </c>
      <c r="B1512">
        <v>17885</v>
      </c>
      <c r="D1512">
        <v>0</v>
      </c>
      <c r="E1512">
        <v>0</v>
      </c>
      <c r="F1512" s="1">
        <f t="shared" si="23"/>
        <v>0</v>
      </c>
      <c r="G1512" s="1" t="str">
        <f>_xlfn.XLOOKUP(C1512,'Ocupação DW'!$F:$F,'Ocupação DW'!$E:$E,"",0)</f>
        <v/>
      </c>
      <c r="H1512" t="str">
        <f>Vagas[[#This Row],[data]]&amp;Vagas[[#This Row],[profissional_id]]&amp;Vagas[[#This Row],[local_id]]</f>
        <v>4464617885</v>
      </c>
    </row>
    <row r="1513" spans="1:8" x14ac:dyDescent="0.25">
      <c r="A1513" s="2">
        <v>44646</v>
      </c>
      <c r="B1513">
        <v>17885</v>
      </c>
      <c r="C1513">
        <v>23</v>
      </c>
      <c r="D1513">
        <v>55</v>
      </c>
      <c r="E1513">
        <v>0</v>
      </c>
      <c r="F1513" s="1">
        <f t="shared" si="23"/>
        <v>0</v>
      </c>
      <c r="G1513" s="1" t="str">
        <f>_xlfn.XLOOKUP(C1513,'Ocupação DW'!$F:$F,'Ocupação DW'!$E:$E,"",0)</f>
        <v/>
      </c>
      <c r="H1513" t="str">
        <f>Vagas[[#This Row],[data]]&amp;Vagas[[#This Row],[profissional_id]]&amp;Vagas[[#This Row],[local_id]]</f>
        <v>446461788523</v>
      </c>
    </row>
    <row r="1514" spans="1:8" x14ac:dyDescent="0.25">
      <c r="A1514" s="2">
        <v>44646</v>
      </c>
      <c r="B1514">
        <v>17887</v>
      </c>
      <c r="C1514">
        <v>58</v>
      </c>
      <c r="D1514">
        <v>36</v>
      </c>
      <c r="E1514">
        <v>0</v>
      </c>
      <c r="F1514" s="1">
        <f t="shared" si="23"/>
        <v>0</v>
      </c>
      <c r="G1514" s="1" t="str">
        <f>_xlfn.XLOOKUP(C1514,'Ocupação DW'!$F:$F,'Ocupação DW'!$E:$E,"",0)</f>
        <v/>
      </c>
      <c r="H1514" t="str">
        <f>Vagas[[#This Row],[data]]&amp;Vagas[[#This Row],[profissional_id]]&amp;Vagas[[#This Row],[local_id]]</f>
        <v>446461788758</v>
      </c>
    </row>
    <row r="1515" spans="1:8" x14ac:dyDescent="0.25">
      <c r="A1515" s="2">
        <v>44646</v>
      </c>
      <c r="B1515">
        <v>17888</v>
      </c>
      <c r="C1515">
        <v>40</v>
      </c>
      <c r="D1515">
        <v>6</v>
      </c>
      <c r="E1515">
        <v>0</v>
      </c>
      <c r="F1515" s="1">
        <f t="shared" si="23"/>
        <v>0</v>
      </c>
      <c r="G1515" s="1" t="str">
        <f>_xlfn.XLOOKUP(C1515,'Ocupação DW'!$F:$F,'Ocupação DW'!$E:$E,"",0)</f>
        <v>SEG - FILIAL I</v>
      </c>
      <c r="H1515" t="str">
        <f>Vagas[[#This Row],[data]]&amp;Vagas[[#This Row],[profissional_id]]&amp;Vagas[[#This Row],[local_id]]</f>
        <v>446461788840</v>
      </c>
    </row>
    <row r="1516" spans="1:8" x14ac:dyDescent="0.25">
      <c r="A1516" s="2">
        <v>44646</v>
      </c>
      <c r="B1516">
        <v>17892</v>
      </c>
      <c r="D1516">
        <v>0</v>
      </c>
      <c r="E1516">
        <v>0</v>
      </c>
      <c r="F1516" s="1">
        <f t="shared" si="23"/>
        <v>0</v>
      </c>
      <c r="G1516" s="1" t="str">
        <f>_xlfn.XLOOKUP(C1516,'Ocupação DW'!$F:$F,'Ocupação DW'!$E:$E,"",0)</f>
        <v/>
      </c>
      <c r="H1516" t="str">
        <f>Vagas[[#This Row],[data]]&amp;Vagas[[#This Row],[profissional_id]]&amp;Vagas[[#This Row],[local_id]]</f>
        <v>4464617892</v>
      </c>
    </row>
    <row r="1517" spans="1:8" x14ac:dyDescent="0.25">
      <c r="A1517" s="2">
        <v>44646</v>
      </c>
      <c r="B1517">
        <v>17898</v>
      </c>
      <c r="C1517">
        <v>35</v>
      </c>
      <c r="D1517">
        <v>60</v>
      </c>
      <c r="E1517">
        <v>0</v>
      </c>
      <c r="F1517" s="1">
        <f t="shared" si="23"/>
        <v>0</v>
      </c>
      <c r="G1517" s="1" t="str">
        <f>_xlfn.XLOOKUP(C1517,'Ocupação DW'!$F:$F,'Ocupação DW'!$E:$E,"",0)</f>
        <v/>
      </c>
      <c r="H1517" t="str">
        <f>Vagas[[#This Row],[data]]&amp;Vagas[[#This Row],[profissional_id]]&amp;Vagas[[#This Row],[local_id]]</f>
        <v>446461789835</v>
      </c>
    </row>
    <row r="1518" spans="1:8" x14ac:dyDescent="0.25">
      <c r="A1518" s="2">
        <v>44646</v>
      </c>
      <c r="B1518">
        <v>17899</v>
      </c>
      <c r="C1518">
        <v>3</v>
      </c>
      <c r="D1518">
        <v>24</v>
      </c>
      <c r="E1518">
        <v>0</v>
      </c>
      <c r="F1518" s="1">
        <f t="shared" si="23"/>
        <v>0</v>
      </c>
      <c r="G1518" s="1" t="str">
        <f>_xlfn.XLOOKUP(C1518,'Ocupação DW'!$F:$F,'Ocupação DW'!$E:$E,"",0)</f>
        <v>SEG - FILIAL II 10°</v>
      </c>
      <c r="H1518" t="str">
        <f>Vagas[[#This Row],[data]]&amp;Vagas[[#This Row],[profissional_id]]&amp;Vagas[[#This Row],[local_id]]</f>
        <v>44646178993</v>
      </c>
    </row>
    <row r="1519" spans="1:8" x14ac:dyDescent="0.25">
      <c r="A1519" s="2">
        <v>44646</v>
      </c>
      <c r="B1519">
        <v>17899</v>
      </c>
      <c r="C1519">
        <v>4</v>
      </c>
      <c r="D1519">
        <v>24</v>
      </c>
      <c r="E1519">
        <v>0</v>
      </c>
      <c r="F1519" s="1">
        <f t="shared" si="23"/>
        <v>0</v>
      </c>
      <c r="G1519" s="1" t="str">
        <f>_xlfn.XLOOKUP(C1519,'Ocupação DW'!$F:$F,'Ocupação DW'!$E:$E,"",0)</f>
        <v>SEG - FILIAL II 10°</v>
      </c>
      <c r="H1519" t="str">
        <f>Vagas[[#This Row],[data]]&amp;Vagas[[#This Row],[profissional_id]]&amp;Vagas[[#This Row],[local_id]]</f>
        <v>44646178994</v>
      </c>
    </row>
    <row r="1520" spans="1:8" x14ac:dyDescent="0.25">
      <c r="A1520" s="2">
        <v>44646</v>
      </c>
      <c r="B1520">
        <v>17900</v>
      </c>
      <c r="C1520">
        <v>77</v>
      </c>
      <c r="D1520">
        <v>30</v>
      </c>
      <c r="E1520">
        <v>0</v>
      </c>
      <c r="F1520" s="1">
        <f t="shared" si="23"/>
        <v>0</v>
      </c>
      <c r="G1520" s="1" t="str">
        <f>_xlfn.XLOOKUP(C1520,'Ocupação DW'!$F:$F,'Ocupação DW'!$E:$E,"",0)</f>
        <v/>
      </c>
      <c r="H1520" t="str">
        <f>Vagas[[#This Row],[data]]&amp;Vagas[[#This Row],[profissional_id]]&amp;Vagas[[#This Row],[local_id]]</f>
        <v>446461790077</v>
      </c>
    </row>
    <row r="1521" spans="1:8" x14ac:dyDescent="0.25">
      <c r="A1521" s="2">
        <v>44646</v>
      </c>
      <c r="B1521">
        <v>17901</v>
      </c>
      <c r="C1521">
        <v>55</v>
      </c>
      <c r="D1521">
        <v>36</v>
      </c>
      <c r="E1521">
        <v>0</v>
      </c>
      <c r="F1521" s="1">
        <f t="shared" si="23"/>
        <v>0</v>
      </c>
      <c r="G1521" s="1" t="str">
        <f>_xlfn.XLOOKUP(C1521,'Ocupação DW'!$F:$F,'Ocupação DW'!$E:$E,"",0)</f>
        <v>SEG - NILÓPOLIS</v>
      </c>
      <c r="H1521" t="str">
        <f>Vagas[[#This Row],[data]]&amp;Vagas[[#This Row],[profissional_id]]&amp;Vagas[[#This Row],[local_id]]</f>
        <v>446461790155</v>
      </c>
    </row>
    <row r="1522" spans="1:8" x14ac:dyDescent="0.25">
      <c r="A1522" s="2">
        <v>44646</v>
      </c>
      <c r="B1522">
        <v>17902</v>
      </c>
      <c r="C1522">
        <v>39</v>
      </c>
      <c r="D1522">
        <v>23</v>
      </c>
      <c r="E1522">
        <v>0</v>
      </c>
      <c r="F1522" s="1">
        <f t="shared" si="23"/>
        <v>0</v>
      </c>
      <c r="G1522" s="1" t="str">
        <f>_xlfn.XLOOKUP(C1522,'Ocupação DW'!$F:$F,'Ocupação DW'!$E:$E,"",0)</f>
        <v>SEG - FILIAL I</v>
      </c>
      <c r="H1522" t="str">
        <f>Vagas[[#This Row],[data]]&amp;Vagas[[#This Row],[profissional_id]]&amp;Vagas[[#This Row],[local_id]]</f>
        <v>446461790239</v>
      </c>
    </row>
    <row r="1523" spans="1:8" x14ac:dyDescent="0.25">
      <c r="A1523" s="2">
        <v>44646</v>
      </c>
      <c r="B1523">
        <v>17903</v>
      </c>
      <c r="D1523">
        <v>0</v>
      </c>
      <c r="E1523">
        <v>0</v>
      </c>
      <c r="F1523" s="1">
        <f t="shared" si="23"/>
        <v>0</v>
      </c>
      <c r="G1523" s="1" t="str">
        <f>_xlfn.XLOOKUP(C1523,'Ocupação DW'!$F:$F,'Ocupação DW'!$E:$E,"",0)</f>
        <v/>
      </c>
      <c r="H1523" t="str">
        <f>Vagas[[#This Row],[data]]&amp;Vagas[[#This Row],[profissional_id]]&amp;Vagas[[#This Row],[local_id]]</f>
        <v>4464617903</v>
      </c>
    </row>
    <row r="1524" spans="1:8" x14ac:dyDescent="0.25">
      <c r="A1524" s="2">
        <v>44646</v>
      </c>
      <c r="B1524">
        <v>17904</v>
      </c>
      <c r="D1524">
        <v>0</v>
      </c>
      <c r="E1524">
        <v>0</v>
      </c>
      <c r="F1524" s="1">
        <f t="shared" si="23"/>
        <v>0</v>
      </c>
      <c r="G1524" s="1" t="str">
        <f>_xlfn.XLOOKUP(C1524,'Ocupação DW'!$F:$F,'Ocupação DW'!$E:$E,"",0)</f>
        <v/>
      </c>
      <c r="H1524" t="str">
        <f>Vagas[[#This Row],[data]]&amp;Vagas[[#This Row],[profissional_id]]&amp;Vagas[[#This Row],[local_id]]</f>
        <v>4464617904</v>
      </c>
    </row>
    <row r="1525" spans="1:8" x14ac:dyDescent="0.25">
      <c r="A1525" s="2">
        <v>44646</v>
      </c>
      <c r="B1525">
        <v>17907</v>
      </c>
      <c r="C1525">
        <v>55</v>
      </c>
      <c r="D1525">
        <v>14</v>
      </c>
      <c r="E1525">
        <v>0</v>
      </c>
      <c r="F1525" s="1">
        <f t="shared" si="23"/>
        <v>0</v>
      </c>
      <c r="G1525" s="1" t="str">
        <f>_xlfn.XLOOKUP(C1525,'Ocupação DW'!$F:$F,'Ocupação DW'!$E:$E,"",0)</f>
        <v>SEG - NILÓPOLIS</v>
      </c>
      <c r="H1525" t="str">
        <f>Vagas[[#This Row],[data]]&amp;Vagas[[#This Row],[profissional_id]]&amp;Vagas[[#This Row],[local_id]]</f>
        <v>446461790755</v>
      </c>
    </row>
    <row r="1526" spans="1:8" x14ac:dyDescent="0.25">
      <c r="A1526" s="2">
        <v>44646</v>
      </c>
      <c r="B1526">
        <v>17908</v>
      </c>
      <c r="C1526">
        <v>25</v>
      </c>
      <c r="D1526">
        <v>14</v>
      </c>
      <c r="E1526">
        <v>0</v>
      </c>
      <c r="F1526" s="1">
        <f t="shared" si="23"/>
        <v>0</v>
      </c>
      <c r="G1526" s="1" t="str">
        <f>_xlfn.XLOOKUP(C1526,'Ocupação DW'!$F:$F,'Ocupação DW'!$E:$E,"",0)</f>
        <v>SEG - MATRIZ</v>
      </c>
      <c r="H1526" t="str">
        <f>Vagas[[#This Row],[data]]&amp;Vagas[[#This Row],[profissional_id]]&amp;Vagas[[#This Row],[local_id]]</f>
        <v>446461790825</v>
      </c>
    </row>
    <row r="1527" spans="1:8" x14ac:dyDescent="0.25">
      <c r="A1527" s="2">
        <v>44646</v>
      </c>
      <c r="B1527">
        <v>17909</v>
      </c>
      <c r="C1527">
        <v>4</v>
      </c>
      <c r="D1527">
        <v>0</v>
      </c>
      <c r="E1527">
        <v>0</v>
      </c>
      <c r="F1527" s="1">
        <f t="shared" si="23"/>
        <v>0</v>
      </c>
      <c r="G1527" s="1" t="str">
        <f>_xlfn.XLOOKUP(C1527,'Ocupação DW'!$F:$F,'Ocupação DW'!$E:$E,"",0)</f>
        <v>SEG - FILIAL II 10°</v>
      </c>
      <c r="H1527" t="str">
        <f>Vagas[[#This Row],[data]]&amp;Vagas[[#This Row],[profissional_id]]&amp;Vagas[[#This Row],[local_id]]</f>
        <v>44646179094</v>
      </c>
    </row>
    <row r="1528" spans="1:8" x14ac:dyDescent="0.25">
      <c r="A1528" s="2">
        <v>44646</v>
      </c>
      <c r="B1528">
        <v>17922</v>
      </c>
      <c r="D1528">
        <v>61</v>
      </c>
      <c r="E1528">
        <v>0</v>
      </c>
      <c r="F1528" s="1">
        <f t="shared" si="23"/>
        <v>0</v>
      </c>
      <c r="G1528" s="1" t="str">
        <f>_xlfn.XLOOKUP(C1528,'Ocupação DW'!$F:$F,'Ocupação DW'!$E:$E,"",0)</f>
        <v/>
      </c>
      <c r="H1528" t="str">
        <f>Vagas[[#This Row],[data]]&amp;Vagas[[#This Row],[profissional_id]]&amp;Vagas[[#This Row],[local_id]]</f>
        <v>4464617922</v>
      </c>
    </row>
    <row r="1529" spans="1:8" x14ac:dyDescent="0.25">
      <c r="A1529" s="2">
        <v>44646</v>
      </c>
      <c r="B1529">
        <v>17922</v>
      </c>
      <c r="C1529">
        <v>74</v>
      </c>
      <c r="D1529">
        <v>61</v>
      </c>
      <c r="E1529">
        <v>0</v>
      </c>
      <c r="F1529" s="1">
        <f t="shared" si="23"/>
        <v>0</v>
      </c>
      <c r="G1529" s="1" t="str">
        <f>_xlfn.XLOOKUP(C1529,'Ocupação DW'!$F:$F,'Ocupação DW'!$E:$E,"",0)</f>
        <v/>
      </c>
      <c r="H1529" t="str">
        <f>Vagas[[#This Row],[data]]&amp;Vagas[[#This Row],[profissional_id]]&amp;Vagas[[#This Row],[local_id]]</f>
        <v>446461792274</v>
      </c>
    </row>
    <row r="1530" spans="1:8" x14ac:dyDescent="0.25">
      <c r="A1530" s="2">
        <v>44646</v>
      </c>
      <c r="B1530">
        <v>17924</v>
      </c>
      <c r="C1530">
        <v>52</v>
      </c>
      <c r="D1530">
        <v>61</v>
      </c>
      <c r="E1530">
        <v>0</v>
      </c>
      <c r="F1530" s="1">
        <f t="shared" si="23"/>
        <v>0</v>
      </c>
      <c r="G1530" s="1" t="str">
        <f>_xlfn.XLOOKUP(C1530,'Ocupação DW'!$F:$F,'Ocupação DW'!$E:$E,"",0)</f>
        <v/>
      </c>
      <c r="H1530" t="str">
        <f>Vagas[[#This Row],[data]]&amp;Vagas[[#This Row],[profissional_id]]&amp;Vagas[[#This Row],[local_id]]</f>
        <v>446461792452</v>
      </c>
    </row>
    <row r="1531" spans="1:8" x14ac:dyDescent="0.25">
      <c r="A1531" s="2">
        <v>44646</v>
      </c>
      <c r="B1531">
        <v>17937</v>
      </c>
      <c r="C1531">
        <v>351</v>
      </c>
      <c r="D1531">
        <v>7</v>
      </c>
      <c r="E1531">
        <v>0</v>
      </c>
      <c r="F1531" s="1">
        <f t="shared" si="23"/>
        <v>0</v>
      </c>
      <c r="G1531" s="1" t="str">
        <f>_xlfn.XLOOKUP(C1531,'Ocupação DW'!$F:$F,'Ocupação DW'!$E:$E,"",0)</f>
        <v>SEG - FILIAL I</v>
      </c>
      <c r="H1531" t="str">
        <f>Vagas[[#This Row],[data]]&amp;Vagas[[#This Row],[profissional_id]]&amp;Vagas[[#This Row],[local_id]]</f>
        <v>4464617937351</v>
      </c>
    </row>
    <row r="1532" spans="1:8" x14ac:dyDescent="0.25">
      <c r="A1532" s="2">
        <v>44646</v>
      </c>
      <c r="D1532">
        <v>0</v>
      </c>
      <c r="E1532">
        <v>0</v>
      </c>
      <c r="F1532" s="1">
        <f t="shared" si="23"/>
        <v>0</v>
      </c>
      <c r="G1532" s="1" t="str">
        <f>_xlfn.XLOOKUP(C1532,'Ocupação DW'!$F:$F,'Ocupação DW'!$E:$E,"",0)</f>
        <v/>
      </c>
      <c r="H1532" t="str">
        <f>Vagas[[#This Row],[data]]&amp;Vagas[[#This Row],[profissional_id]]&amp;Vagas[[#This Row],[local_id]]</f>
        <v>44646</v>
      </c>
    </row>
    <row r="1533" spans="1:8" x14ac:dyDescent="0.25">
      <c r="A1533" s="2">
        <v>44646</v>
      </c>
      <c r="D1533">
        <v>0</v>
      </c>
      <c r="E1533">
        <v>0</v>
      </c>
      <c r="F1533" s="1">
        <f t="shared" si="23"/>
        <v>0</v>
      </c>
      <c r="G1533" s="1" t="str">
        <f>_xlfn.XLOOKUP(C1533,'Ocupação DW'!$F:$F,'Ocupação DW'!$E:$E,"",0)</f>
        <v/>
      </c>
      <c r="H1533" t="str">
        <f>Vagas[[#This Row],[data]]&amp;Vagas[[#This Row],[profissional_id]]&amp;Vagas[[#This Row],[local_id]]</f>
        <v>44646</v>
      </c>
    </row>
    <row r="1534" spans="1:8" x14ac:dyDescent="0.25">
      <c r="A1534" s="2">
        <v>44646</v>
      </c>
      <c r="D1534">
        <v>0</v>
      </c>
      <c r="E1534">
        <v>0</v>
      </c>
      <c r="F1534" s="1">
        <f t="shared" si="23"/>
        <v>0</v>
      </c>
      <c r="G1534" s="1" t="str">
        <f>_xlfn.XLOOKUP(C1534,'Ocupação DW'!$F:$F,'Ocupação DW'!$E:$E,"",0)</f>
        <v/>
      </c>
      <c r="H1534" t="str">
        <f>Vagas[[#This Row],[data]]&amp;Vagas[[#This Row],[profissional_id]]&amp;Vagas[[#This Row],[local_id]]</f>
        <v>44646</v>
      </c>
    </row>
    <row r="1535" spans="1:8" x14ac:dyDescent="0.25">
      <c r="A1535" s="2">
        <v>44647</v>
      </c>
      <c r="B1535">
        <v>54</v>
      </c>
      <c r="D1535">
        <v>0</v>
      </c>
      <c r="E1535">
        <v>0</v>
      </c>
      <c r="F1535" s="1">
        <f t="shared" si="23"/>
        <v>0</v>
      </c>
      <c r="G1535" s="1" t="str">
        <f>_xlfn.XLOOKUP(C1535,'Ocupação DW'!$F:$F,'Ocupação DW'!$E:$E,"",0)</f>
        <v/>
      </c>
      <c r="H1535" t="str">
        <f>Vagas[[#This Row],[data]]&amp;Vagas[[#This Row],[profissional_id]]&amp;Vagas[[#This Row],[local_id]]</f>
        <v>4464754</v>
      </c>
    </row>
    <row r="1536" spans="1:8" x14ac:dyDescent="0.25">
      <c r="A1536" s="2">
        <v>44647</v>
      </c>
      <c r="B1536">
        <v>55</v>
      </c>
      <c r="D1536">
        <v>0</v>
      </c>
      <c r="E1536">
        <v>0</v>
      </c>
      <c r="F1536" s="1">
        <f t="shared" si="23"/>
        <v>0</v>
      </c>
      <c r="G1536" s="1" t="str">
        <f>_xlfn.XLOOKUP(C1536,'Ocupação DW'!$F:$F,'Ocupação DW'!$E:$E,"",0)</f>
        <v/>
      </c>
      <c r="H1536" t="str">
        <f>Vagas[[#This Row],[data]]&amp;Vagas[[#This Row],[profissional_id]]&amp;Vagas[[#This Row],[local_id]]</f>
        <v>4464755</v>
      </c>
    </row>
    <row r="1537" spans="1:8" x14ac:dyDescent="0.25">
      <c r="A1537" s="2">
        <v>44647</v>
      </c>
      <c r="B1537">
        <v>59</v>
      </c>
      <c r="D1537">
        <v>0</v>
      </c>
      <c r="E1537">
        <v>0</v>
      </c>
      <c r="F1537" s="1">
        <f t="shared" si="23"/>
        <v>0</v>
      </c>
      <c r="G1537" s="1" t="str">
        <f>_xlfn.XLOOKUP(C1537,'Ocupação DW'!$F:$F,'Ocupação DW'!$E:$E,"",0)</f>
        <v/>
      </c>
      <c r="H1537" t="str">
        <f>Vagas[[#This Row],[data]]&amp;Vagas[[#This Row],[profissional_id]]&amp;Vagas[[#This Row],[local_id]]</f>
        <v>4464759</v>
      </c>
    </row>
    <row r="1538" spans="1:8" x14ac:dyDescent="0.25">
      <c r="A1538" s="2">
        <v>44647</v>
      </c>
      <c r="B1538">
        <v>60</v>
      </c>
      <c r="D1538">
        <v>0</v>
      </c>
      <c r="E1538">
        <v>0</v>
      </c>
      <c r="F1538" s="1">
        <f t="shared" ref="F1538:F1601" si="24">IF(AND(A1538=A1537,B1538=B1537,D1537&lt;&gt;0,D1538=0),D1537,0)</f>
        <v>0</v>
      </c>
      <c r="G1538" s="1" t="str">
        <f>_xlfn.XLOOKUP(C1538,'Ocupação DW'!$F:$F,'Ocupação DW'!$E:$E,"",0)</f>
        <v/>
      </c>
      <c r="H1538" t="str">
        <f>Vagas[[#This Row],[data]]&amp;Vagas[[#This Row],[profissional_id]]&amp;Vagas[[#This Row],[local_id]]</f>
        <v>4464760</v>
      </c>
    </row>
    <row r="1539" spans="1:8" x14ac:dyDescent="0.25">
      <c r="A1539" s="2">
        <v>44647</v>
      </c>
      <c r="B1539">
        <v>66</v>
      </c>
      <c r="D1539">
        <v>0</v>
      </c>
      <c r="E1539">
        <v>0</v>
      </c>
      <c r="F1539" s="1">
        <f t="shared" si="24"/>
        <v>0</v>
      </c>
      <c r="G1539" s="1" t="str">
        <f>_xlfn.XLOOKUP(C1539,'Ocupação DW'!$F:$F,'Ocupação DW'!$E:$E,"",0)</f>
        <v/>
      </c>
      <c r="H1539" t="str">
        <f>Vagas[[#This Row],[data]]&amp;Vagas[[#This Row],[profissional_id]]&amp;Vagas[[#This Row],[local_id]]</f>
        <v>4464766</v>
      </c>
    </row>
    <row r="1540" spans="1:8" x14ac:dyDescent="0.25">
      <c r="A1540" s="2">
        <v>44647</v>
      </c>
      <c r="B1540">
        <v>69</v>
      </c>
      <c r="D1540">
        <v>0</v>
      </c>
      <c r="E1540">
        <v>0</v>
      </c>
      <c r="F1540" s="1">
        <f t="shared" si="24"/>
        <v>0</v>
      </c>
      <c r="G1540" s="1" t="str">
        <f>_xlfn.XLOOKUP(C1540,'Ocupação DW'!$F:$F,'Ocupação DW'!$E:$E,"",0)</f>
        <v/>
      </c>
      <c r="H1540" t="str">
        <f>Vagas[[#This Row],[data]]&amp;Vagas[[#This Row],[profissional_id]]&amp;Vagas[[#This Row],[local_id]]</f>
        <v>4464769</v>
      </c>
    </row>
    <row r="1541" spans="1:8" x14ac:dyDescent="0.25">
      <c r="A1541" s="2">
        <v>44647</v>
      </c>
      <c r="B1541">
        <v>70</v>
      </c>
      <c r="D1541">
        <v>0</v>
      </c>
      <c r="E1541">
        <v>0</v>
      </c>
      <c r="F1541" s="1">
        <f t="shared" si="24"/>
        <v>0</v>
      </c>
      <c r="G1541" s="1" t="str">
        <f>_xlfn.XLOOKUP(C1541,'Ocupação DW'!$F:$F,'Ocupação DW'!$E:$E,"",0)</f>
        <v/>
      </c>
      <c r="H1541" t="str">
        <f>Vagas[[#This Row],[data]]&amp;Vagas[[#This Row],[profissional_id]]&amp;Vagas[[#This Row],[local_id]]</f>
        <v>4464770</v>
      </c>
    </row>
    <row r="1542" spans="1:8" x14ac:dyDescent="0.25">
      <c r="A1542" s="2">
        <v>44647</v>
      </c>
      <c r="B1542">
        <v>73</v>
      </c>
      <c r="D1542">
        <v>0</v>
      </c>
      <c r="E1542">
        <v>0</v>
      </c>
      <c r="F1542" s="1">
        <f t="shared" si="24"/>
        <v>0</v>
      </c>
      <c r="G1542" s="1" t="str">
        <f>_xlfn.XLOOKUP(C1542,'Ocupação DW'!$F:$F,'Ocupação DW'!$E:$E,"",0)</f>
        <v/>
      </c>
      <c r="H1542" t="str">
        <f>Vagas[[#This Row],[data]]&amp;Vagas[[#This Row],[profissional_id]]&amp;Vagas[[#This Row],[local_id]]</f>
        <v>4464773</v>
      </c>
    </row>
    <row r="1543" spans="1:8" x14ac:dyDescent="0.25">
      <c r="A1543" s="2">
        <v>44647</v>
      </c>
      <c r="B1543">
        <v>86</v>
      </c>
      <c r="D1543">
        <v>0</v>
      </c>
      <c r="E1543">
        <v>0</v>
      </c>
      <c r="F1543" s="1">
        <f t="shared" si="24"/>
        <v>0</v>
      </c>
      <c r="G1543" s="1" t="str">
        <f>_xlfn.XLOOKUP(C1543,'Ocupação DW'!$F:$F,'Ocupação DW'!$E:$E,"",0)</f>
        <v/>
      </c>
      <c r="H1543" t="str">
        <f>Vagas[[#This Row],[data]]&amp;Vagas[[#This Row],[profissional_id]]&amp;Vagas[[#This Row],[local_id]]</f>
        <v>4464786</v>
      </c>
    </row>
    <row r="1544" spans="1:8" x14ac:dyDescent="0.25">
      <c r="A1544" s="2">
        <v>44647</v>
      </c>
      <c r="B1544">
        <v>97</v>
      </c>
      <c r="C1544">
        <v>342</v>
      </c>
      <c r="D1544">
        <v>0</v>
      </c>
      <c r="E1544">
        <v>0</v>
      </c>
      <c r="F1544" s="1">
        <f t="shared" si="24"/>
        <v>0</v>
      </c>
      <c r="G1544" s="1" t="str">
        <f>_xlfn.XLOOKUP(C1544,'Ocupação DW'!$F:$F,'Ocupação DW'!$E:$E,"",0)</f>
        <v>SEG - MATRIZ</v>
      </c>
      <c r="H1544" t="str">
        <f>Vagas[[#This Row],[data]]&amp;Vagas[[#This Row],[profissional_id]]&amp;Vagas[[#This Row],[local_id]]</f>
        <v>4464797342</v>
      </c>
    </row>
    <row r="1545" spans="1:8" x14ac:dyDescent="0.25">
      <c r="A1545" s="2">
        <v>44647</v>
      </c>
      <c r="B1545">
        <v>100</v>
      </c>
      <c r="D1545">
        <v>0</v>
      </c>
      <c r="E1545">
        <v>0</v>
      </c>
      <c r="F1545" s="1">
        <f t="shared" si="24"/>
        <v>0</v>
      </c>
      <c r="G1545" s="1" t="str">
        <f>_xlfn.XLOOKUP(C1545,'Ocupação DW'!$F:$F,'Ocupação DW'!$E:$E,"",0)</f>
        <v/>
      </c>
      <c r="H1545" t="str">
        <f>Vagas[[#This Row],[data]]&amp;Vagas[[#This Row],[profissional_id]]&amp;Vagas[[#This Row],[local_id]]</f>
        <v>44647100</v>
      </c>
    </row>
    <row r="1546" spans="1:8" x14ac:dyDescent="0.25">
      <c r="A1546" s="2">
        <v>44647</v>
      </c>
      <c r="B1546">
        <v>110</v>
      </c>
      <c r="D1546">
        <v>0</v>
      </c>
      <c r="E1546">
        <v>0</v>
      </c>
      <c r="F1546" s="1">
        <f t="shared" si="24"/>
        <v>0</v>
      </c>
      <c r="G1546" s="1" t="str">
        <f>_xlfn.XLOOKUP(C1546,'Ocupação DW'!$F:$F,'Ocupação DW'!$E:$E,"",0)</f>
        <v/>
      </c>
      <c r="H1546" t="str">
        <f>Vagas[[#This Row],[data]]&amp;Vagas[[#This Row],[profissional_id]]&amp;Vagas[[#This Row],[local_id]]</f>
        <v>44647110</v>
      </c>
    </row>
    <row r="1547" spans="1:8" x14ac:dyDescent="0.25">
      <c r="A1547" s="2">
        <v>44647</v>
      </c>
      <c r="B1547">
        <v>123</v>
      </c>
      <c r="D1547">
        <v>301</v>
      </c>
      <c r="E1547">
        <v>0</v>
      </c>
      <c r="F1547" s="1">
        <f t="shared" si="24"/>
        <v>0</v>
      </c>
      <c r="G1547" s="1" t="str">
        <f>_xlfn.XLOOKUP(C1547,'Ocupação DW'!$F:$F,'Ocupação DW'!$E:$E,"",0)</f>
        <v/>
      </c>
      <c r="H1547" t="str">
        <f>Vagas[[#This Row],[data]]&amp;Vagas[[#This Row],[profissional_id]]&amp;Vagas[[#This Row],[local_id]]</f>
        <v>44647123</v>
      </c>
    </row>
    <row r="1548" spans="1:8" x14ac:dyDescent="0.25">
      <c r="A1548" s="2">
        <v>44647</v>
      </c>
      <c r="B1548">
        <v>123</v>
      </c>
      <c r="C1548">
        <v>339</v>
      </c>
      <c r="D1548">
        <v>357</v>
      </c>
      <c r="E1548">
        <v>0</v>
      </c>
      <c r="F1548" s="1">
        <f t="shared" si="24"/>
        <v>0</v>
      </c>
      <c r="G1548" s="1" t="str">
        <f>_xlfn.XLOOKUP(C1548,'Ocupação DW'!$F:$F,'Ocupação DW'!$E:$E,"",0)</f>
        <v>SEG - MATRIZ</v>
      </c>
      <c r="H1548" t="str">
        <f>Vagas[[#This Row],[data]]&amp;Vagas[[#This Row],[profissional_id]]&amp;Vagas[[#This Row],[local_id]]</f>
        <v>44647123339</v>
      </c>
    </row>
    <row r="1549" spans="1:8" x14ac:dyDescent="0.25">
      <c r="A1549" s="2">
        <v>44647</v>
      </c>
      <c r="B1549">
        <v>174</v>
      </c>
      <c r="C1549">
        <v>24</v>
      </c>
      <c r="D1549">
        <v>30</v>
      </c>
      <c r="E1549">
        <v>0</v>
      </c>
      <c r="F1549" s="1">
        <f t="shared" si="24"/>
        <v>0</v>
      </c>
      <c r="G1549" s="1" t="str">
        <f>_xlfn.XLOOKUP(C1549,'Ocupação DW'!$F:$F,'Ocupação DW'!$E:$E,"",0)</f>
        <v>SEG - MATRIZ</v>
      </c>
      <c r="H1549" t="str">
        <f>Vagas[[#This Row],[data]]&amp;Vagas[[#This Row],[profissional_id]]&amp;Vagas[[#This Row],[local_id]]</f>
        <v>4464717424</v>
      </c>
    </row>
    <row r="1550" spans="1:8" x14ac:dyDescent="0.25">
      <c r="A1550" s="2">
        <v>44647</v>
      </c>
      <c r="B1550">
        <v>282</v>
      </c>
      <c r="D1550">
        <v>0</v>
      </c>
      <c r="E1550">
        <v>0</v>
      </c>
      <c r="F1550" s="1">
        <f t="shared" si="24"/>
        <v>0</v>
      </c>
      <c r="G1550" s="1" t="str">
        <f>_xlfn.XLOOKUP(C1550,'Ocupação DW'!$F:$F,'Ocupação DW'!$E:$E,"",0)</f>
        <v/>
      </c>
      <c r="H1550" t="str">
        <f>Vagas[[#This Row],[data]]&amp;Vagas[[#This Row],[profissional_id]]&amp;Vagas[[#This Row],[local_id]]</f>
        <v>44647282</v>
      </c>
    </row>
    <row r="1551" spans="1:8" x14ac:dyDescent="0.25">
      <c r="A1551" s="2">
        <v>44647</v>
      </c>
      <c r="B1551">
        <v>1343</v>
      </c>
      <c r="D1551">
        <v>0</v>
      </c>
      <c r="E1551">
        <v>0</v>
      </c>
      <c r="F1551" s="1">
        <f t="shared" si="24"/>
        <v>0</v>
      </c>
      <c r="G1551" s="1" t="str">
        <f>_xlfn.XLOOKUP(C1551,'Ocupação DW'!$F:$F,'Ocupação DW'!$E:$E,"",0)</f>
        <v/>
      </c>
      <c r="H1551" t="str">
        <f>Vagas[[#This Row],[data]]&amp;Vagas[[#This Row],[profissional_id]]&amp;Vagas[[#This Row],[local_id]]</f>
        <v>446471343</v>
      </c>
    </row>
    <row r="1552" spans="1:8" x14ac:dyDescent="0.25">
      <c r="A1552" s="2">
        <v>44647</v>
      </c>
      <c r="B1552">
        <v>1490</v>
      </c>
      <c r="D1552">
        <v>0</v>
      </c>
      <c r="E1552">
        <v>0</v>
      </c>
      <c r="F1552" s="1">
        <f t="shared" si="24"/>
        <v>0</v>
      </c>
      <c r="G1552" s="1" t="str">
        <f>_xlfn.XLOOKUP(C1552,'Ocupação DW'!$F:$F,'Ocupação DW'!$E:$E,"",0)</f>
        <v/>
      </c>
      <c r="H1552" t="str">
        <f>Vagas[[#This Row],[data]]&amp;Vagas[[#This Row],[profissional_id]]&amp;Vagas[[#This Row],[local_id]]</f>
        <v>446471490</v>
      </c>
    </row>
    <row r="1553" spans="1:8" x14ac:dyDescent="0.25">
      <c r="A1553" s="2">
        <v>44647</v>
      </c>
      <c r="B1553">
        <v>2334</v>
      </c>
      <c r="D1553">
        <v>0</v>
      </c>
      <c r="E1553">
        <v>0</v>
      </c>
      <c r="F1553" s="1">
        <f t="shared" si="24"/>
        <v>0</v>
      </c>
      <c r="G1553" s="1" t="str">
        <f>_xlfn.XLOOKUP(C1553,'Ocupação DW'!$F:$F,'Ocupação DW'!$E:$E,"",0)</f>
        <v/>
      </c>
      <c r="H1553" t="str">
        <f>Vagas[[#This Row],[data]]&amp;Vagas[[#This Row],[profissional_id]]&amp;Vagas[[#This Row],[local_id]]</f>
        <v>446472334</v>
      </c>
    </row>
    <row r="1554" spans="1:8" x14ac:dyDescent="0.25">
      <c r="A1554" s="2">
        <v>44647</v>
      </c>
      <c r="B1554">
        <v>3092</v>
      </c>
      <c r="D1554">
        <v>0</v>
      </c>
      <c r="E1554">
        <v>0</v>
      </c>
      <c r="F1554" s="1">
        <f t="shared" si="24"/>
        <v>0</v>
      </c>
      <c r="G1554" s="1" t="str">
        <f>_xlfn.XLOOKUP(C1554,'Ocupação DW'!$F:$F,'Ocupação DW'!$E:$E,"",0)</f>
        <v/>
      </c>
      <c r="H1554" t="str">
        <f>Vagas[[#This Row],[data]]&amp;Vagas[[#This Row],[profissional_id]]&amp;Vagas[[#This Row],[local_id]]</f>
        <v>446473092</v>
      </c>
    </row>
    <row r="1555" spans="1:8" x14ac:dyDescent="0.25">
      <c r="A1555" s="2">
        <v>44647</v>
      </c>
      <c r="B1555">
        <v>3502</v>
      </c>
      <c r="D1555">
        <v>0</v>
      </c>
      <c r="E1555">
        <v>0</v>
      </c>
      <c r="F1555" s="1">
        <f t="shared" si="24"/>
        <v>0</v>
      </c>
      <c r="G1555" s="1" t="str">
        <f>_xlfn.XLOOKUP(C1555,'Ocupação DW'!$F:$F,'Ocupação DW'!$E:$E,"",0)</f>
        <v/>
      </c>
      <c r="H1555" t="str">
        <f>Vagas[[#This Row],[data]]&amp;Vagas[[#This Row],[profissional_id]]&amp;Vagas[[#This Row],[local_id]]</f>
        <v>446473502</v>
      </c>
    </row>
    <row r="1556" spans="1:8" x14ac:dyDescent="0.25">
      <c r="A1556" s="2">
        <v>44647</v>
      </c>
      <c r="B1556">
        <v>6046</v>
      </c>
      <c r="D1556">
        <v>0</v>
      </c>
      <c r="E1556">
        <v>0</v>
      </c>
      <c r="F1556" s="1">
        <f t="shared" si="24"/>
        <v>0</v>
      </c>
      <c r="G1556" s="1" t="str">
        <f>_xlfn.XLOOKUP(C1556,'Ocupação DW'!$F:$F,'Ocupação DW'!$E:$E,"",0)</f>
        <v/>
      </c>
      <c r="H1556" t="str">
        <f>Vagas[[#This Row],[data]]&amp;Vagas[[#This Row],[profissional_id]]&amp;Vagas[[#This Row],[local_id]]</f>
        <v>446476046</v>
      </c>
    </row>
    <row r="1557" spans="1:8" x14ac:dyDescent="0.25">
      <c r="A1557" s="2">
        <v>44647</v>
      </c>
      <c r="B1557">
        <v>6430</v>
      </c>
      <c r="D1557">
        <v>0</v>
      </c>
      <c r="E1557">
        <v>0</v>
      </c>
      <c r="F1557" s="1">
        <f t="shared" si="24"/>
        <v>0</v>
      </c>
      <c r="G1557" s="1" t="str">
        <f>_xlfn.XLOOKUP(C1557,'Ocupação DW'!$F:$F,'Ocupação DW'!$E:$E,"",0)</f>
        <v/>
      </c>
      <c r="H1557" t="str">
        <f>Vagas[[#This Row],[data]]&amp;Vagas[[#This Row],[profissional_id]]&amp;Vagas[[#This Row],[local_id]]</f>
        <v>446476430</v>
      </c>
    </row>
    <row r="1558" spans="1:8" x14ac:dyDescent="0.25">
      <c r="A1558" s="2">
        <v>44647</v>
      </c>
      <c r="B1558">
        <v>8598</v>
      </c>
      <c r="D1558">
        <v>0</v>
      </c>
      <c r="E1558">
        <v>0</v>
      </c>
      <c r="F1558" s="1">
        <f t="shared" si="24"/>
        <v>0</v>
      </c>
      <c r="G1558" s="1" t="str">
        <f>_xlfn.XLOOKUP(C1558,'Ocupação DW'!$F:$F,'Ocupação DW'!$E:$E,"",0)</f>
        <v/>
      </c>
      <c r="H1558" t="str">
        <f>Vagas[[#This Row],[data]]&amp;Vagas[[#This Row],[profissional_id]]&amp;Vagas[[#This Row],[local_id]]</f>
        <v>446478598</v>
      </c>
    </row>
    <row r="1559" spans="1:8" x14ac:dyDescent="0.25">
      <c r="A1559" s="2">
        <v>44647</v>
      </c>
      <c r="B1559">
        <v>9111</v>
      </c>
      <c r="D1559">
        <v>0</v>
      </c>
      <c r="E1559">
        <v>0</v>
      </c>
      <c r="F1559" s="1">
        <f t="shared" si="24"/>
        <v>0</v>
      </c>
      <c r="G1559" s="1" t="str">
        <f>_xlfn.XLOOKUP(C1559,'Ocupação DW'!$F:$F,'Ocupação DW'!$E:$E,"",0)</f>
        <v/>
      </c>
      <c r="H1559" t="str">
        <f>Vagas[[#This Row],[data]]&amp;Vagas[[#This Row],[profissional_id]]&amp;Vagas[[#This Row],[local_id]]</f>
        <v>446479111</v>
      </c>
    </row>
    <row r="1560" spans="1:8" x14ac:dyDescent="0.25">
      <c r="A1560" s="2">
        <v>44647</v>
      </c>
      <c r="B1560">
        <v>9654</v>
      </c>
      <c r="C1560">
        <v>339</v>
      </c>
      <c r="D1560">
        <v>108</v>
      </c>
      <c r="E1560">
        <v>0</v>
      </c>
      <c r="F1560" s="1">
        <f t="shared" si="24"/>
        <v>0</v>
      </c>
      <c r="G1560" s="1" t="str">
        <f>_xlfn.XLOOKUP(C1560,'Ocupação DW'!$F:$F,'Ocupação DW'!$E:$E,"",0)</f>
        <v>SEG - MATRIZ</v>
      </c>
      <c r="H1560" t="str">
        <f>Vagas[[#This Row],[data]]&amp;Vagas[[#This Row],[profissional_id]]&amp;Vagas[[#This Row],[local_id]]</f>
        <v>446479654339</v>
      </c>
    </row>
    <row r="1561" spans="1:8" x14ac:dyDescent="0.25">
      <c r="A1561" s="2">
        <v>44647</v>
      </c>
      <c r="B1561">
        <v>9717</v>
      </c>
      <c r="D1561">
        <v>0</v>
      </c>
      <c r="E1561">
        <v>0</v>
      </c>
      <c r="F1561" s="1">
        <f t="shared" si="24"/>
        <v>0</v>
      </c>
      <c r="G1561" s="1" t="str">
        <f>_xlfn.XLOOKUP(C1561,'Ocupação DW'!$F:$F,'Ocupação DW'!$E:$E,"",0)</f>
        <v/>
      </c>
      <c r="H1561" t="str">
        <f>Vagas[[#This Row],[data]]&amp;Vagas[[#This Row],[profissional_id]]&amp;Vagas[[#This Row],[local_id]]</f>
        <v>446479717</v>
      </c>
    </row>
    <row r="1562" spans="1:8" x14ac:dyDescent="0.25">
      <c r="A1562" s="2">
        <v>44647</v>
      </c>
      <c r="B1562">
        <v>10249</v>
      </c>
      <c r="D1562">
        <v>0</v>
      </c>
      <c r="E1562">
        <v>0</v>
      </c>
      <c r="F1562" s="1">
        <f t="shared" si="24"/>
        <v>0</v>
      </c>
      <c r="G1562" s="1" t="str">
        <f>_xlfn.XLOOKUP(C1562,'Ocupação DW'!$F:$F,'Ocupação DW'!$E:$E,"",0)</f>
        <v/>
      </c>
      <c r="H1562" t="str">
        <f>Vagas[[#This Row],[data]]&amp;Vagas[[#This Row],[profissional_id]]&amp;Vagas[[#This Row],[local_id]]</f>
        <v>4464710249</v>
      </c>
    </row>
    <row r="1563" spans="1:8" x14ac:dyDescent="0.25">
      <c r="A1563" s="2">
        <v>44647</v>
      </c>
      <c r="B1563">
        <v>10595</v>
      </c>
      <c r="D1563">
        <v>0</v>
      </c>
      <c r="E1563">
        <v>0</v>
      </c>
      <c r="F1563" s="1">
        <f t="shared" si="24"/>
        <v>0</v>
      </c>
      <c r="G1563" s="1" t="str">
        <f>_xlfn.XLOOKUP(C1563,'Ocupação DW'!$F:$F,'Ocupação DW'!$E:$E,"",0)</f>
        <v/>
      </c>
      <c r="H1563" t="str">
        <f>Vagas[[#This Row],[data]]&amp;Vagas[[#This Row],[profissional_id]]&amp;Vagas[[#This Row],[local_id]]</f>
        <v>4464710595</v>
      </c>
    </row>
    <row r="1564" spans="1:8" x14ac:dyDescent="0.25">
      <c r="A1564" s="2">
        <v>44647</v>
      </c>
      <c r="B1564">
        <v>10691</v>
      </c>
      <c r="D1564">
        <v>0</v>
      </c>
      <c r="E1564">
        <v>0</v>
      </c>
      <c r="F1564" s="1">
        <f t="shared" si="24"/>
        <v>0</v>
      </c>
      <c r="G1564" s="1" t="str">
        <f>_xlfn.XLOOKUP(C1564,'Ocupação DW'!$F:$F,'Ocupação DW'!$E:$E,"",0)</f>
        <v/>
      </c>
      <c r="H1564" t="str">
        <f>Vagas[[#This Row],[data]]&amp;Vagas[[#This Row],[profissional_id]]&amp;Vagas[[#This Row],[local_id]]</f>
        <v>4464710691</v>
      </c>
    </row>
    <row r="1565" spans="1:8" x14ac:dyDescent="0.25">
      <c r="A1565" s="2">
        <v>44647</v>
      </c>
      <c r="B1565">
        <v>10946</v>
      </c>
      <c r="D1565">
        <v>0</v>
      </c>
      <c r="E1565">
        <v>0</v>
      </c>
      <c r="F1565" s="1">
        <f t="shared" si="24"/>
        <v>0</v>
      </c>
      <c r="G1565" s="1" t="str">
        <f>_xlfn.XLOOKUP(C1565,'Ocupação DW'!$F:$F,'Ocupação DW'!$E:$E,"",0)</f>
        <v/>
      </c>
      <c r="H1565" t="str">
        <f>Vagas[[#This Row],[data]]&amp;Vagas[[#This Row],[profissional_id]]&amp;Vagas[[#This Row],[local_id]]</f>
        <v>4464710946</v>
      </c>
    </row>
    <row r="1566" spans="1:8" x14ac:dyDescent="0.25">
      <c r="A1566" s="2">
        <v>44647</v>
      </c>
      <c r="B1566">
        <v>12369</v>
      </c>
      <c r="D1566">
        <v>0</v>
      </c>
      <c r="E1566">
        <v>0</v>
      </c>
      <c r="F1566" s="1">
        <f t="shared" si="24"/>
        <v>0</v>
      </c>
      <c r="G1566" s="1" t="str">
        <f>_xlfn.XLOOKUP(C1566,'Ocupação DW'!$F:$F,'Ocupação DW'!$E:$E,"",0)</f>
        <v/>
      </c>
      <c r="H1566" t="str">
        <f>Vagas[[#This Row],[data]]&amp;Vagas[[#This Row],[profissional_id]]&amp;Vagas[[#This Row],[local_id]]</f>
        <v>4464712369</v>
      </c>
    </row>
    <row r="1567" spans="1:8" x14ac:dyDescent="0.25">
      <c r="A1567" s="2">
        <v>44647</v>
      </c>
      <c r="B1567">
        <v>12519</v>
      </c>
      <c r="D1567">
        <v>0</v>
      </c>
      <c r="E1567">
        <v>0</v>
      </c>
      <c r="F1567" s="1">
        <f t="shared" si="24"/>
        <v>0</v>
      </c>
      <c r="G1567" s="1" t="str">
        <f>_xlfn.XLOOKUP(C1567,'Ocupação DW'!$F:$F,'Ocupação DW'!$E:$E,"",0)</f>
        <v/>
      </c>
      <c r="H1567" t="str">
        <f>Vagas[[#This Row],[data]]&amp;Vagas[[#This Row],[profissional_id]]&amp;Vagas[[#This Row],[local_id]]</f>
        <v>4464712519</v>
      </c>
    </row>
    <row r="1568" spans="1:8" x14ac:dyDescent="0.25">
      <c r="A1568" s="2">
        <v>44647</v>
      </c>
      <c r="B1568">
        <v>12679</v>
      </c>
      <c r="D1568">
        <v>0</v>
      </c>
      <c r="E1568">
        <v>0</v>
      </c>
      <c r="F1568" s="1">
        <f t="shared" si="24"/>
        <v>0</v>
      </c>
      <c r="G1568" s="1" t="str">
        <f>_xlfn.XLOOKUP(C1568,'Ocupação DW'!$F:$F,'Ocupação DW'!$E:$E,"",0)</f>
        <v/>
      </c>
      <c r="H1568" t="str">
        <f>Vagas[[#This Row],[data]]&amp;Vagas[[#This Row],[profissional_id]]&amp;Vagas[[#This Row],[local_id]]</f>
        <v>4464712679</v>
      </c>
    </row>
    <row r="1569" spans="1:8" x14ac:dyDescent="0.25">
      <c r="A1569" s="2">
        <v>44647</v>
      </c>
      <c r="B1569">
        <v>12684</v>
      </c>
      <c r="D1569">
        <v>0</v>
      </c>
      <c r="E1569">
        <v>0</v>
      </c>
      <c r="F1569" s="1">
        <f t="shared" si="24"/>
        <v>0</v>
      </c>
      <c r="G1569" s="1" t="str">
        <f>_xlfn.XLOOKUP(C1569,'Ocupação DW'!$F:$F,'Ocupação DW'!$E:$E,"",0)</f>
        <v/>
      </c>
      <c r="H1569" t="str">
        <f>Vagas[[#This Row],[data]]&amp;Vagas[[#This Row],[profissional_id]]&amp;Vagas[[#This Row],[local_id]]</f>
        <v>4464712684</v>
      </c>
    </row>
    <row r="1570" spans="1:8" x14ac:dyDescent="0.25">
      <c r="A1570" s="2">
        <v>44647</v>
      </c>
      <c r="B1570">
        <v>12711</v>
      </c>
      <c r="D1570">
        <v>0</v>
      </c>
      <c r="E1570">
        <v>0</v>
      </c>
      <c r="F1570" s="1">
        <f t="shared" si="24"/>
        <v>0</v>
      </c>
      <c r="G1570" s="1" t="str">
        <f>_xlfn.XLOOKUP(C1570,'Ocupação DW'!$F:$F,'Ocupação DW'!$E:$E,"",0)</f>
        <v/>
      </c>
      <c r="H1570" t="str">
        <f>Vagas[[#This Row],[data]]&amp;Vagas[[#This Row],[profissional_id]]&amp;Vagas[[#This Row],[local_id]]</f>
        <v>4464712711</v>
      </c>
    </row>
    <row r="1571" spans="1:8" x14ac:dyDescent="0.25">
      <c r="A1571" s="2">
        <v>44647</v>
      </c>
      <c r="B1571">
        <v>12810</v>
      </c>
      <c r="D1571">
        <v>0</v>
      </c>
      <c r="E1571">
        <v>0</v>
      </c>
      <c r="F1571" s="1">
        <f t="shared" si="24"/>
        <v>0</v>
      </c>
      <c r="G1571" s="1" t="str">
        <f>_xlfn.XLOOKUP(C1571,'Ocupação DW'!$F:$F,'Ocupação DW'!$E:$E,"",0)</f>
        <v/>
      </c>
      <c r="H1571" t="str">
        <f>Vagas[[#This Row],[data]]&amp;Vagas[[#This Row],[profissional_id]]&amp;Vagas[[#This Row],[local_id]]</f>
        <v>4464712810</v>
      </c>
    </row>
    <row r="1572" spans="1:8" x14ac:dyDescent="0.25">
      <c r="A1572" s="2">
        <v>44647</v>
      </c>
      <c r="B1572">
        <v>12825</v>
      </c>
      <c r="D1572">
        <v>0</v>
      </c>
      <c r="E1572">
        <v>0</v>
      </c>
      <c r="F1572" s="1">
        <f t="shared" si="24"/>
        <v>0</v>
      </c>
      <c r="G1572" s="1" t="str">
        <f>_xlfn.XLOOKUP(C1572,'Ocupação DW'!$F:$F,'Ocupação DW'!$E:$E,"",0)</f>
        <v/>
      </c>
      <c r="H1572" t="str">
        <f>Vagas[[#This Row],[data]]&amp;Vagas[[#This Row],[profissional_id]]&amp;Vagas[[#This Row],[local_id]]</f>
        <v>4464712825</v>
      </c>
    </row>
    <row r="1573" spans="1:8" x14ac:dyDescent="0.25">
      <c r="A1573" s="2">
        <v>44647</v>
      </c>
      <c r="B1573">
        <v>13371</v>
      </c>
      <c r="D1573">
        <v>0</v>
      </c>
      <c r="E1573">
        <v>0</v>
      </c>
      <c r="F1573" s="1">
        <f t="shared" si="24"/>
        <v>0</v>
      </c>
      <c r="G1573" s="1" t="str">
        <f>_xlfn.XLOOKUP(C1573,'Ocupação DW'!$F:$F,'Ocupação DW'!$E:$E,"",0)</f>
        <v/>
      </c>
      <c r="H1573" t="str">
        <f>Vagas[[#This Row],[data]]&amp;Vagas[[#This Row],[profissional_id]]&amp;Vagas[[#This Row],[local_id]]</f>
        <v>4464713371</v>
      </c>
    </row>
    <row r="1574" spans="1:8" x14ac:dyDescent="0.25">
      <c r="A1574" s="2">
        <v>44647</v>
      </c>
      <c r="B1574">
        <v>13479</v>
      </c>
      <c r="D1574">
        <v>0</v>
      </c>
      <c r="E1574">
        <v>0</v>
      </c>
      <c r="F1574" s="1">
        <f t="shared" si="24"/>
        <v>0</v>
      </c>
      <c r="G1574" s="1" t="str">
        <f>_xlfn.XLOOKUP(C1574,'Ocupação DW'!$F:$F,'Ocupação DW'!$E:$E,"",0)</f>
        <v/>
      </c>
      <c r="H1574" t="str">
        <f>Vagas[[#This Row],[data]]&amp;Vagas[[#This Row],[profissional_id]]&amp;Vagas[[#This Row],[local_id]]</f>
        <v>4464713479</v>
      </c>
    </row>
    <row r="1575" spans="1:8" x14ac:dyDescent="0.25">
      <c r="A1575" s="2">
        <v>44647</v>
      </c>
      <c r="B1575">
        <v>13645</v>
      </c>
      <c r="D1575">
        <v>0</v>
      </c>
      <c r="E1575">
        <v>0</v>
      </c>
      <c r="F1575" s="1">
        <f t="shared" si="24"/>
        <v>0</v>
      </c>
      <c r="G1575" s="1" t="str">
        <f>_xlfn.XLOOKUP(C1575,'Ocupação DW'!$F:$F,'Ocupação DW'!$E:$E,"",0)</f>
        <v/>
      </c>
      <c r="H1575" t="str">
        <f>Vagas[[#This Row],[data]]&amp;Vagas[[#This Row],[profissional_id]]&amp;Vagas[[#This Row],[local_id]]</f>
        <v>4464713645</v>
      </c>
    </row>
    <row r="1576" spans="1:8" x14ac:dyDescent="0.25">
      <c r="A1576" s="2">
        <v>44647</v>
      </c>
      <c r="B1576">
        <v>13835</v>
      </c>
      <c r="D1576">
        <v>0</v>
      </c>
      <c r="E1576">
        <v>0</v>
      </c>
      <c r="F1576" s="1">
        <f t="shared" si="24"/>
        <v>0</v>
      </c>
      <c r="G1576" s="1" t="str">
        <f>_xlfn.XLOOKUP(C1576,'Ocupação DW'!$F:$F,'Ocupação DW'!$E:$E,"",0)</f>
        <v/>
      </c>
      <c r="H1576" t="str">
        <f>Vagas[[#This Row],[data]]&amp;Vagas[[#This Row],[profissional_id]]&amp;Vagas[[#This Row],[local_id]]</f>
        <v>4464713835</v>
      </c>
    </row>
    <row r="1577" spans="1:8" x14ac:dyDescent="0.25">
      <c r="A1577" s="2">
        <v>44647</v>
      </c>
      <c r="B1577">
        <v>14452</v>
      </c>
      <c r="D1577">
        <v>0</v>
      </c>
      <c r="E1577">
        <v>0</v>
      </c>
      <c r="F1577" s="1">
        <f t="shared" si="24"/>
        <v>0</v>
      </c>
      <c r="G1577" s="1" t="str">
        <f>_xlfn.XLOOKUP(C1577,'Ocupação DW'!$F:$F,'Ocupação DW'!$E:$E,"",0)</f>
        <v/>
      </c>
      <c r="H1577" t="str">
        <f>Vagas[[#This Row],[data]]&amp;Vagas[[#This Row],[profissional_id]]&amp;Vagas[[#This Row],[local_id]]</f>
        <v>4464714452</v>
      </c>
    </row>
    <row r="1578" spans="1:8" x14ac:dyDescent="0.25">
      <c r="A1578" s="2">
        <v>44647</v>
      </c>
      <c r="B1578">
        <v>17059</v>
      </c>
      <c r="D1578">
        <v>0</v>
      </c>
      <c r="E1578">
        <v>0</v>
      </c>
      <c r="F1578" s="1">
        <f t="shared" si="24"/>
        <v>0</v>
      </c>
      <c r="G1578" s="1" t="str">
        <f>_xlfn.XLOOKUP(C1578,'Ocupação DW'!$F:$F,'Ocupação DW'!$E:$E,"",0)</f>
        <v/>
      </c>
      <c r="H1578" t="str">
        <f>Vagas[[#This Row],[data]]&amp;Vagas[[#This Row],[profissional_id]]&amp;Vagas[[#This Row],[local_id]]</f>
        <v>4464717059</v>
      </c>
    </row>
    <row r="1579" spans="1:8" x14ac:dyDescent="0.25">
      <c r="A1579" s="2">
        <v>44647</v>
      </c>
      <c r="B1579">
        <v>17742</v>
      </c>
      <c r="D1579">
        <v>0</v>
      </c>
      <c r="E1579">
        <v>0</v>
      </c>
      <c r="F1579" s="1">
        <f t="shared" si="24"/>
        <v>0</v>
      </c>
      <c r="G1579" s="1" t="str">
        <f>_xlfn.XLOOKUP(C1579,'Ocupação DW'!$F:$F,'Ocupação DW'!$E:$E,"",0)</f>
        <v/>
      </c>
      <c r="H1579" t="str">
        <f>Vagas[[#This Row],[data]]&amp;Vagas[[#This Row],[profissional_id]]&amp;Vagas[[#This Row],[local_id]]</f>
        <v>4464717742</v>
      </c>
    </row>
    <row r="1580" spans="1:8" x14ac:dyDescent="0.25">
      <c r="A1580" s="2">
        <v>44647</v>
      </c>
      <c r="B1580">
        <v>17858</v>
      </c>
      <c r="D1580">
        <v>0</v>
      </c>
      <c r="E1580">
        <v>0</v>
      </c>
      <c r="F1580" s="1">
        <f t="shared" si="24"/>
        <v>0</v>
      </c>
      <c r="G1580" s="1" t="str">
        <f>_xlfn.XLOOKUP(C1580,'Ocupação DW'!$F:$F,'Ocupação DW'!$E:$E,"",0)</f>
        <v/>
      </c>
      <c r="H1580" t="str">
        <f>Vagas[[#This Row],[data]]&amp;Vagas[[#This Row],[profissional_id]]&amp;Vagas[[#This Row],[local_id]]</f>
        <v>4464717858</v>
      </c>
    </row>
    <row r="1581" spans="1:8" x14ac:dyDescent="0.25">
      <c r="A1581" s="2">
        <v>44647</v>
      </c>
      <c r="B1581">
        <v>17871</v>
      </c>
      <c r="D1581">
        <v>0</v>
      </c>
      <c r="E1581">
        <v>0</v>
      </c>
      <c r="F1581" s="1">
        <f t="shared" si="24"/>
        <v>0</v>
      </c>
      <c r="G1581" s="1" t="str">
        <f>_xlfn.XLOOKUP(C1581,'Ocupação DW'!$F:$F,'Ocupação DW'!$E:$E,"",0)</f>
        <v/>
      </c>
      <c r="H1581" t="str">
        <f>Vagas[[#This Row],[data]]&amp;Vagas[[#This Row],[profissional_id]]&amp;Vagas[[#This Row],[local_id]]</f>
        <v>4464717871</v>
      </c>
    </row>
    <row r="1582" spans="1:8" x14ac:dyDescent="0.25">
      <c r="A1582" s="2">
        <v>44647</v>
      </c>
      <c r="B1582">
        <v>17874</v>
      </c>
      <c r="D1582">
        <v>0</v>
      </c>
      <c r="E1582">
        <v>0</v>
      </c>
      <c r="F1582" s="1">
        <f t="shared" si="24"/>
        <v>0</v>
      </c>
      <c r="G1582" s="1" t="str">
        <f>_xlfn.XLOOKUP(C1582,'Ocupação DW'!$F:$F,'Ocupação DW'!$E:$E,"",0)</f>
        <v/>
      </c>
      <c r="H1582" t="str">
        <f>Vagas[[#This Row],[data]]&amp;Vagas[[#This Row],[profissional_id]]&amp;Vagas[[#This Row],[local_id]]</f>
        <v>4464717874</v>
      </c>
    </row>
    <row r="1583" spans="1:8" x14ac:dyDescent="0.25">
      <c r="A1583" s="2">
        <v>44647</v>
      </c>
      <c r="B1583">
        <v>17881</v>
      </c>
      <c r="C1583">
        <v>20</v>
      </c>
      <c r="D1583">
        <v>61</v>
      </c>
      <c r="E1583">
        <v>0</v>
      </c>
      <c r="F1583" s="1">
        <f t="shared" si="24"/>
        <v>0</v>
      </c>
      <c r="G1583" s="1" t="str">
        <f>_xlfn.XLOOKUP(C1583,'Ocupação DW'!$F:$F,'Ocupação DW'!$E:$E,"",0)</f>
        <v>SEG - MATRIZ</v>
      </c>
      <c r="H1583" t="str">
        <f>Vagas[[#This Row],[data]]&amp;Vagas[[#This Row],[profissional_id]]&amp;Vagas[[#This Row],[local_id]]</f>
        <v>446471788120</v>
      </c>
    </row>
    <row r="1584" spans="1:8" x14ac:dyDescent="0.25">
      <c r="A1584" s="2">
        <v>44647</v>
      </c>
      <c r="B1584">
        <v>17883</v>
      </c>
      <c r="D1584">
        <v>0</v>
      </c>
      <c r="E1584">
        <v>0</v>
      </c>
      <c r="F1584" s="1">
        <f t="shared" si="24"/>
        <v>0</v>
      </c>
      <c r="G1584" s="1" t="str">
        <f>_xlfn.XLOOKUP(C1584,'Ocupação DW'!$F:$F,'Ocupação DW'!$E:$E,"",0)</f>
        <v/>
      </c>
      <c r="H1584" t="str">
        <f>Vagas[[#This Row],[data]]&amp;Vagas[[#This Row],[profissional_id]]&amp;Vagas[[#This Row],[local_id]]</f>
        <v>4464717883</v>
      </c>
    </row>
    <row r="1585" spans="1:8" x14ac:dyDescent="0.25">
      <c r="A1585" s="2">
        <v>44647</v>
      </c>
      <c r="B1585">
        <v>17885</v>
      </c>
      <c r="D1585">
        <v>0</v>
      </c>
      <c r="E1585">
        <v>0</v>
      </c>
      <c r="F1585" s="1">
        <f t="shared" si="24"/>
        <v>0</v>
      </c>
      <c r="G1585" s="1" t="str">
        <f>_xlfn.XLOOKUP(C1585,'Ocupação DW'!$F:$F,'Ocupação DW'!$E:$E,"",0)</f>
        <v/>
      </c>
      <c r="H1585" t="str">
        <f>Vagas[[#This Row],[data]]&amp;Vagas[[#This Row],[profissional_id]]&amp;Vagas[[#This Row],[local_id]]</f>
        <v>4464717885</v>
      </c>
    </row>
    <row r="1586" spans="1:8" x14ac:dyDescent="0.25">
      <c r="A1586" s="2">
        <v>44647</v>
      </c>
      <c r="B1586">
        <v>17885</v>
      </c>
      <c r="C1586">
        <v>23</v>
      </c>
      <c r="D1586">
        <v>37</v>
      </c>
      <c r="E1586">
        <v>0</v>
      </c>
      <c r="F1586" s="1">
        <f t="shared" si="24"/>
        <v>0</v>
      </c>
      <c r="G1586" s="1" t="str">
        <f>_xlfn.XLOOKUP(C1586,'Ocupação DW'!$F:$F,'Ocupação DW'!$E:$E,"",0)</f>
        <v/>
      </c>
      <c r="H1586" t="str">
        <f>Vagas[[#This Row],[data]]&amp;Vagas[[#This Row],[profissional_id]]&amp;Vagas[[#This Row],[local_id]]</f>
        <v>446471788523</v>
      </c>
    </row>
    <row r="1587" spans="1:8" x14ac:dyDescent="0.25">
      <c r="A1587" s="2">
        <v>44647</v>
      </c>
      <c r="B1587">
        <v>17892</v>
      </c>
      <c r="D1587">
        <v>0</v>
      </c>
      <c r="E1587">
        <v>0</v>
      </c>
      <c r="F1587" s="1">
        <f t="shared" si="24"/>
        <v>0</v>
      </c>
      <c r="G1587" s="1" t="str">
        <f>_xlfn.XLOOKUP(C1587,'Ocupação DW'!$F:$F,'Ocupação DW'!$E:$E,"",0)</f>
        <v/>
      </c>
      <c r="H1587" t="str">
        <f>Vagas[[#This Row],[data]]&amp;Vagas[[#This Row],[profissional_id]]&amp;Vagas[[#This Row],[local_id]]</f>
        <v>4464717892</v>
      </c>
    </row>
    <row r="1588" spans="1:8" x14ac:dyDescent="0.25">
      <c r="A1588" s="2">
        <v>44647</v>
      </c>
      <c r="B1588">
        <v>17898</v>
      </c>
      <c r="C1588">
        <v>35</v>
      </c>
      <c r="D1588">
        <v>55</v>
      </c>
      <c r="E1588">
        <v>0</v>
      </c>
      <c r="F1588" s="1">
        <f t="shared" si="24"/>
        <v>0</v>
      </c>
      <c r="G1588" s="1" t="str">
        <f>_xlfn.XLOOKUP(C1588,'Ocupação DW'!$F:$F,'Ocupação DW'!$E:$E,"",0)</f>
        <v/>
      </c>
      <c r="H1588" t="str">
        <f>Vagas[[#This Row],[data]]&amp;Vagas[[#This Row],[profissional_id]]&amp;Vagas[[#This Row],[local_id]]</f>
        <v>446471789835</v>
      </c>
    </row>
    <row r="1589" spans="1:8" x14ac:dyDescent="0.25">
      <c r="A1589" s="2">
        <v>44647</v>
      </c>
      <c r="B1589">
        <v>17903</v>
      </c>
      <c r="D1589">
        <v>0</v>
      </c>
      <c r="E1589">
        <v>0</v>
      </c>
      <c r="F1589" s="1">
        <f t="shared" si="24"/>
        <v>0</v>
      </c>
      <c r="G1589" s="1" t="str">
        <f>_xlfn.XLOOKUP(C1589,'Ocupação DW'!$F:$F,'Ocupação DW'!$E:$E,"",0)</f>
        <v/>
      </c>
      <c r="H1589" t="str">
        <f>Vagas[[#This Row],[data]]&amp;Vagas[[#This Row],[profissional_id]]&amp;Vagas[[#This Row],[local_id]]</f>
        <v>4464717903</v>
      </c>
    </row>
    <row r="1590" spans="1:8" x14ac:dyDescent="0.25">
      <c r="A1590" s="2">
        <v>44647</v>
      </c>
      <c r="B1590">
        <v>17904</v>
      </c>
      <c r="D1590">
        <v>0</v>
      </c>
      <c r="E1590">
        <v>0</v>
      </c>
      <c r="F1590" s="1">
        <f t="shared" si="24"/>
        <v>0</v>
      </c>
      <c r="G1590" s="1" t="str">
        <f>_xlfn.XLOOKUP(C1590,'Ocupação DW'!$F:$F,'Ocupação DW'!$E:$E,"",0)</f>
        <v/>
      </c>
      <c r="H1590" t="str">
        <f>Vagas[[#This Row],[data]]&amp;Vagas[[#This Row],[profissional_id]]&amp;Vagas[[#This Row],[local_id]]</f>
        <v>4464717904</v>
      </c>
    </row>
    <row r="1591" spans="1:8" x14ac:dyDescent="0.25">
      <c r="A1591" s="2">
        <v>44647</v>
      </c>
      <c r="B1591">
        <v>17908</v>
      </c>
      <c r="C1591">
        <v>25</v>
      </c>
      <c r="D1591">
        <v>14</v>
      </c>
      <c r="E1591">
        <v>0</v>
      </c>
      <c r="F1591" s="1">
        <f t="shared" si="24"/>
        <v>0</v>
      </c>
      <c r="G1591" s="1" t="str">
        <f>_xlfn.XLOOKUP(C1591,'Ocupação DW'!$F:$F,'Ocupação DW'!$E:$E,"",0)</f>
        <v>SEG - MATRIZ</v>
      </c>
      <c r="H1591" t="str">
        <f>Vagas[[#This Row],[data]]&amp;Vagas[[#This Row],[profissional_id]]&amp;Vagas[[#This Row],[local_id]]</f>
        <v>446471790825</v>
      </c>
    </row>
    <row r="1592" spans="1:8" x14ac:dyDescent="0.25">
      <c r="A1592" s="2">
        <v>44647</v>
      </c>
      <c r="B1592">
        <v>17922</v>
      </c>
      <c r="D1592">
        <v>0</v>
      </c>
      <c r="E1592">
        <v>0</v>
      </c>
      <c r="F1592" s="1">
        <f t="shared" si="24"/>
        <v>0</v>
      </c>
      <c r="G1592" s="1" t="str">
        <f>_xlfn.XLOOKUP(C1592,'Ocupação DW'!$F:$F,'Ocupação DW'!$E:$E,"",0)</f>
        <v/>
      </c>
      <c r="H1592" t="str">
        <f>Vagas[[#This Row],[data]]&amp;Vagas[[#This Row],[profissional_id]]&amp;Vagas[[#This Row],[local_id]]</f>
        <v>4464717922</v>
      </c>
    </row>
    <row r="1593" spans="1:8" x14ac:dyDescent="0.25">
      <c r="A1593" s="2">
        <v>44647</v>
      </c>
      <c r="D1593">
        <v>0</v>
      </c>
      <c r="E1593">
        <v>0</v>
      </c>
      <c r="F1593" s="1">
        <f t="shared" si="24"/>
        <v>0</v>
      </c>
      <c r="G1593" s="1" t="str">
        <f>_xlfn.XLOOKUP(C1593,'Ocupação DW'!$F:$F,'Ocupação DW'!$E:$E,"",0)</f>
        <v/>
      </c>
      <c r="H1593" t="str">
        <f>Vagas[[#This Row],[data]]&amp;Vagas[[#This Row],[profissional_id]]&amp;Vagas[[#This Row],[local_id]]</f>
        <v>44647</v>
      </c>
    </row>
    <row r="1594" spans="1:8" x14ac:dyDescent="0.25">
      <c r="A1594" s="2">
        <v>44647</v>
      </c>
      <c r="D1594">
        <v>0</v>
      </c>
      <c r="E1594">
        <v>0</v>
      </c>
      <c r="F1594" s="1">
        <f t="shared" si="24"/>
        <v>0</v>
      </c>
      <c r="G1594" s="1" t="str">
        <f>_xlfn.XLOOKUP(C1594,'Ocupação DW'!$F:$F,'Ocupação DW'!$E:$E,"",0)</f>
        <v/>
      </c>
      <c r="H1594" t="str">
        <f>Vagas[[#This Row],[data]]&amp;Vagas[[#This Row],[profissional_id]]&amp;Vagas[[#This Row],[local_id]]</f>
        <v>44647</v>
      </c>
    </row>
    <row r="1595" spans="1:8" x14ac:dyDescent="0.25">
      <c r="A1595" s="2">
        <v>44647</v>
      </c>
      <c r="D1595">
        <v>0</v>
      </c>
      <c r="E1595">
        <v>0</v>
      </c>
      <c r="F1595" s="1">
        <f t="shared" si="24"/>
        <v>0</v>
      </c>
      <c r="G1595" s="1" t="str">
        <f>_xlfn.XLOOKUP(C1595,'Ocupação DW'!$F:$F,'Ocupação DW'!$E:$E,"",0)</f>
        <v/>
      </c>
      <c r="H1595" t="str">
        <f>Vagas[[#This Row],[data]]&amp;Vagas[[#This Row],[profissional_id]]&amp;Vagas[[#This Row],[local_id]]</f>
        <v>44647</v>
      </c>
    </row>
    <row r="1596" spans="1:8" x14ac:dyDescent="0.25">
      <c r="A1596" s="2">
        <v>44648</v>
      </c>
      <c r="B1596">
        <v>54</v>
      </c>
      <c r="D1596">
        <v>0</v>
      </c>
      <c r="E1596">
        <v>0</v>
      </c>
      <c r="F1596" s="1">
        <f t="shared" si="24"/>
        <v>0</v>
      </c>
      <c r="G1596" s="1" t="str">
        <f>_xlfn.XLOOKUP(C1596,'Ocupação DW'!$F:$F,'Ocupação DW'!$E:$E,"",0)</f>
        <v/>
      </c>
      <c r="H1596" t="str">
        <f>Vagas[[#This Row],[data]]&amp;Vagas[[#This Row],[profissional_id]]&amp;Vagas[[#This Row],[local_id]]</f>
        <v>4464854</v>
      </c>
    </row>
    <row r="1597" spans="1:8" x14ac:dyDescent="0.25">
      <c r="A1597" s="2">
        <v>44648</v>
      </c>
      <c r="B1597">
        <v>54</v>
      </c>
      <c r="C1597">
        <v>50</v>
      </c>
      <c r="D1597">
        <v>9</v>
      </c>
      <c r="E1597">
        <v>0</v>
      </c>
      <c r="F1597" s="1">
        <f t="shared" si="24"/>
        <v>0</v>
      </c>
      <c r="G1597" s="1" t="str">
        <f>_xlfn.XLOOKUP(C1597,'Ocupação DW'!$F:$F,'Ocupação DW'!$E:$E,"",0)</f>
        <v>SEG - FILIAL I</v>
      </c>
      <c r="H1597" t="str">
        <f>Vagas[[#This Row],[data]]&amp;Vagas[[#This Row],[profissional_id]]&amp;Vagas[[#This Row],[local_id]]</f>
        <v>446485450</v>
      </c>
    </row>
    <row r="1598" spans="1:8" x14ac:dyDescent="0.25">
      <c r="A1598" s="2">
        <v>44648</v>
      </c>
      <c r="B1598">
        <v>55</v>
      </c>
      <c r="D1598">
        <v>0</v>
      </c>
      <c r="E1598">
        <v>0</v>
      </c>
      <c r="F1598" s="1">
        <f t="shared" si="24"/>
        <v>0</v>
      </c>
      <c r="G1598" s="1" t="str">
        <f>_xlfn.XLOOKUP(C1598,'Ocupação DW'!$F:$F,'Ocupação DW'!$E:$E,"",0)</f>
        <v/>
      </c>
      <c r="H1598" t="str">
        <f>Vagas[[#This Row],[data]]&amp;Vagas[[#This Row],[profissional_id]]&amp;Vagas[[#This Row],[local_id]]</f>
        <v>4464855</v>
      </c>
    </row>
    <row r="1599" spans="1:8" x14ac:dyDescent="0.25">
      <c r="A1599" s="2">
        <v>44648</v>
      </c>
      <c r="B1599">
        <v>59</v>
      </c>
      <c r="D1599">
        <v>0</v>
      </c>
      <c r="E1599">
        <v>0</v>
      </c>
      <c r="F1599" s="1">
        <f t="shared" si="24"/>
        <v>0</v>
      </c>
      <c r="G1599" s="1" t="str">
        <f>_xlfn.XLOOKUP(C1599,'Ocupação DW'!$F:$F,'Ocupação DW'!$E:$E,"",0)</f>
        <v/>
      </c>
      <c r="H1599" t="str">
        <f>Vagas[[#This Row],[data]]&amp;Vagas[[#This Row],[profissional_id]]&amp;Vagas[[#This Row],[local_id]]</f>
        <v>4464859</v>
      </c>
    </row>
    <row r="1600" spans="1:8" x14ac:dyDescent="0.25">
      <c r="A1600" s="2">
        <v>44648</v>
      </c>
      <c r="B1600">
        <v>60</v>
      </c>
      <c r="D1600">
        <v>26</v>
      </c>
      <c r="E1600">
        <v>0</v>
      </c>
      <c r="F1600" s="1">
        <f t="shared" si="24"/>
        <v>0</v>
      </c>
      <c r="G1600" s="1" t="str">
        <f>_xlfn.XLOOKUP(C1600,'Ocupação DW'!$F:$F,'Ocupação DW'!$E:$E,"",0)</f>
        <v/>
      </c>
      <c r="H1600" t="str">
        <f>Vagas[[#This Row],[data]]&amp;Vagas[[#This Row],[profissional_id]]&amp;Vagas[[#This Row],[local_id]]</f>
        <v>4464860</v>
      </c>
    </row>
    <row r="1601" spans="1:8" x14ac:dyDescent="0.25">
      <c r="A1601" s="2">
        <v>44648</v>
      </c>
      <c r="B1601">
        <v>60</v>
      </c>
      <c r="C1601">
        <v>66</v>
      </c>
      <c r="D1601">
        <v>0</v>
      </c>
      <c r="E1601">
        <v>0</v>
      </c>
      <c r="F1601" s="1">
        <f t="shared" si="24"/>
        <v>26</v>
      </c>
      <c r="G1601" s="1" t="str">
        <f>_xlfn.XLOOKUP(C1601,'Ocupação DW'!$F:$F,'Ocupação DW'!$E:$E,"",0)</f>
        <v>SEG - NILÓPOLIS</v>
      </c>
      <c r="H1601" t="str">
        <f>Vagas[[#This Row],[data]]&amp;Vagas[[#This Row],[profissional_id]]&amp;Vagas[[#This Row],[local_id]]</f>
        <v>446486066</v>
      </c>
    </row>
    <row r="1602" spans="1:8" x14ac:dyDescent="0.25">
      <c r="A1602" s="2">
        <v>44648</v>
      </c>
      <c r="B1602">
        <v>60</v>
      </c>
      <c r="C1602">
        <v>345</v>
      </c>
      <c r="D1602">
        <v>0</v>
      </c>
      <c r="E1602">
        <v>0</v>
      </c>
      <c r="F1602" s="1">
        <f t="shared" ref="F1602:F1665" si="25">IF(AND(A1602=A1601,B1602=B1601,D1601&lt;&gt;0,D1602=0),D1601,0)</f>
        <v>0</v>
      </c>
      <c r="G1602" s="1" t="str">
        <f>_xlfn.XLOOKUP(C1602,'Ocupação DW'!$F:$F,'Ocupação DW'!$E:$E,"",0)</f>
        <v>SEG - MATRIZ</v>
      </c>
      <c r="H1602" t="str">
        <f>Vagas[[#This Row],[data]]&amp;Vagas[[#This Row],[profissional_id]]&amp;Vagas[[#This Row],[local_id]]</f>
        <v>4464860345</v>
      </c>
    </row>
    <row r="1603" spans="1:8" x14ac:dyDescent="0.25">
      <c r="A1603" s="2">
        <v>44648</v>
      </c>
      <c r="B1603">
        <v>66</v>
      </c>
      <c r="D1603">
        <v>49</v>
      </c>
      <c r="E1603">
        <v>0</v>
      </c>
      <c r="F1603" s="1">
        <f t="shared" si="25"/>
        <v>0</v>
      </c>
      <c r="G1603" s="1" t="str">
        <f>_xlfn.XLOOKUP(C1603,'Ocupação DW'!$F:$F,'Ocupação DW'!$E:$E,"",0)</f>
        <v/>
      </c>
      <c r="H1603" t="str">
        <f>Vagas[[#This Row],[data]]&amp;Vagas[[#This Row],[profissional_id]]&amp;Vagas[[#This Row],[local_id]]</f>
        <v>4464866</v>
      </c>
    </row>
    <row r="1604" spans="1:8" x14ac:dyDescent="0.25">
      <c r="A1604" s="2">
        <v>44648</v>
      </c>
      <c r="B1604">
        <v>66</v>
      </c>
      <c r="C1604">
        <v>345</v>
      </c>
      <c r="D1604">
        <v>60</v>
      </c>
      <c r="E1604">
        <v>0</v>
      </c>
      <c r="F1604" s="1">
        <f t="shared" si="25"/>
        <v>0</v>
      </c>
      <c r="G1604" s="1" t="str">
        <f>_xlfn.XLOOKUP(C1604,'Ocupação DW'!$F:$F,'Ocupação DW'!$E:$E,"",0)</f>
        <v>SEG - MATRIZ</v>
      </c>
      <c r="H1604" t="str">
        <f>Vagas[[#This Row],[data]]&amp;Vagas[[#This Row],[profissional_id]]&amp;Vagas[[#This Row],[local_id]]</f>
        <v>4464866345</v>
      </c>
    </row>
    <row r="1605" spans="1:8" x14ac:dyDescent="0.25">
      <c r="A1605" s="2">
        <v>44648</v>
      </c>
      <c r="B1605">
        <v>69</v>
      </c>
      <c r="D1605">
        <v>0</v>
      </c>
      <c r="E1605">
        <v>0</v>
      </c>
      <c r="F1605" s="1">
        <f t="shared" si="25"/>
        <v>0</v>
      </c>
      <c r="G1605" s="1" t="str">
        <f>_xlfn.XLOOKUP(C1605,'Ocupação DW'!$F:$F,'Ocupação DW'!$E:$E,"",0)</f>
        <v/>
      </c>
      <c r="H1605" t="str">
        <f>Vagas[[#This Row],[data]]&amp;Vagas[[#This Row],[profissional_id]]&amp;Vagas[[#This Row],[local_id]]</f>
        <v>4464869</v>
      </c>
    </row>
    <row r="1606" spans="1:8" x14ac:dyDescent="0.25">
      <c r="A1606" s="2">
        <v>44648</v>
      </c>
      <c r="B1606">
        <v>70</v>
      </c>
      <c r="D1606">
        <v>19</v>
      </c>
      <c r="E1606">
        <v>0</v>
      </c>
      <c r="F1606" s="1">
        <f t="shared" si="25"/>
        <v>0</v>
      </c>
      <c r="G1606" s="1" t="str">
        <f>_xlfn.XLOOKUP(C1606,'Ocupação DW'!$F:$F,'Ocupação DW'!$E:$E,"",0)</f>
        <v/>
      </c>
      <c r="H1606" t="str">
        <f>Vagas[[#This Row],[data]]&amp;Vagas[[#This Row],[profissional_id]]&amp;Vagas[[#This Row],[local_id]]</f>
        <v>4464870</v>
      </c>
    </row>
    <row r="1607" spans="1:8" x14ac:dyDescent="0.25">
      <c r="A1607" s="2">
        <v>44648</v>
      </c>
      <c r="B1607">
        <v>70</v>
      </c>
      <c r="C1607">
        <v>13</v>
      </c>
      <c r="D1607">
        <v>0</v>
      </c>
      <c r="E1607">
        <v>0</v>
      </c>
      <c r="F1607" s="1">
        <f t="shared" si="25"/>
        <v>19</v>
      </c>
      <c r="G1607" s="1" t="str">
        <f>_xlfn.XLOOKUP(C1607,'Ocupação DW'!$F:$F,'Ocupação DW'!$E:$E,"",0)</f>
        <v>SEG - FILIAL II 11°</v>
      </c>
      <c r="H1607" t="str">
        <f>Vagas[[#This Row],[data]]&amp;Vagas[[#This Row],[profissional_id]]&amp;Vagas[[#This Row],[local_id]]</f>
        <v>446487013</v>
      </c>
    </row>
    <row r="1608" spans="1:8" x14ac:dyDescent="0.25">
      <c r="A1608" s="2">
        <v>44648</v>
      </c>
      <c r="B1608">
        <v>73</v>
      </c>
      <c r="D1608">
        <v>0</v>
      </c>
      <c r="E1608">
        <v>0</v>
      </c>
      <c r="F1608" s="1">
        <f t="shared" si="25"/>
        <v>0</v>
      </c>
      <c r="G1608" s="1" t="str">
        <f>_xlfn.XLOOKUP(C1608,'Ocupação DW'!$F:$F,'Ocupação DW'!$E:$E,"",0)</f>
        <v/>
      </c>
      <c r="H1608" t="str">
        <f>Vagas[[#This Row],[data]]&amp;Vagas[[#This Row],[profissional_id]]&amp;Vagas[[#This Row],[local_id]]</f>
        <v>4464873</v>
      </c>
    </row>
    <row r="1609" spans="1:8" x14ac:dyDescent="0.25">
      <c r="A1609" s="2">
        <v>44648</v>
      </c>
      <c r="B1609">
        <v>75</v>
      </c>
      <c r="C1609">
        <v>15</v>
      </c>
      <c r="D1609">
        <v>0</v>
      </c>
      <c r="E1609">
        <v>0</v>
      </c>
      <c r="F1609" s="1">
        <f t="shared" si="25"/>
        <v>0</v>
      </c>
      <c r="G1609" s="1" t="str">
        <f>_xlfn.XLOOKUP(C1609,'Ocupação DW'!$F:$F,'Ocupação DW'!$E:$E,"",0)</f>
        <v>SEG - FILIAL II 11°</v>
      </c>
      <c r="H1609" t="str">
        <f>Vagas[[#This Row],[data]]&amp;Vagas[[#This Row],[profissional_id]]&amp;Vagas[[#This Row],[local_id]]</f>
        <v>446487515</v>
      </c>
    </row>
    <row r="1610" spans="1:8" x14ac:dyDescent="0.25">
      <c r="A1610" s="2">
        <v>44648</v>
      </c>
      <c r="B1610">
        <v>81</v>
      </c>
      <c r="C1610">
        <v>41</v>
      </c>
      <c r="D1610">
        <v>0</v>
      </c>
      <c r="E1610">
        <v>0</v>
      </c>
      <c r="F1610" s="1">
        <f t="shared" si="25"/>
        <v>0</v>
      </c>
      <c r="G1610" s="1" t="str">
        <f>_xlfn.XLOOKUP(C1610,'Ocupação DW'!$F:$F,'Ocupação DW'!$E:$E,"",0)</f>
        <v>SEG - FILIAL I</v>
      </c>
      <c r="H1610" t="str">
        <f>Vagas[[#This Row],[data]]&amp;Vagas[[#This Row],[profissional_id]]&amp;Vagas[[#This Row],[local_id]]</f>
        <v>446488141</v>
      </c>
    </row>
    <row r="1611" spans="1:8" x14ac:dyDescent="0.25">
      <c r="A1611" s="2">
        <v>44648</v>
      </c>
      <c r="B1611">
        <v>86</v>
      </c>
      <c r="D1611">
        <v>33</v>
      </c>
      <c r="E1611">
        <v>1</v>
      </c>
      <c r="F1611" s="1">
        <f t="shared" si="25"/>
        <v>0</v>
      </c>
      <c r="G1611" s="1" t="str">
        <f>_xlfn.XLOOKUP(C1611,'Ocupação DW'!$F:$F,'Ocupação DW'!$E:$E,"",0)</f>
        <v/>
      </c>
      <c r="H1611" t="str">
        <f>Vagas[[#This Row],[data]]&amp;Vagas[[#This Row],[profissional_id]]&amp;Vagas[[#This Row],[local_id]]</f>
        <v>4464886</v>
      </c>
    </row>
    <row r="1612" spans="1:8" x14ac:dyDescent="0.25">
      <c r="A1612" s="2">
        <v>44648</v>
      </c>
      <c r="B1612">
        <v>86</v>
      </c>
      <c r="C1612">
        <v>349</v>
      </c>
      <c r="D1612">
        <v>0</v>
      </c>
      <c r="E1612">
        <v>4</v>
      </c>
      <c r="F1612" s="1">
        <f t="shared" si="25"/>
        <v>33</v>
      </c>
      <c r="G1612" s="1" t="str">
        <f>_xlfn.XLOOKUP(C1612,'Ocupação DW'!$F:$F,'Ocupação DW'!$E:$E,"",0)</f>
        <v>SEG - FILIAL II 11°</v>
      </c>
      <c r="H1612" t="str">
        <f>Vagas[[#This Row],[data]]&amp;Vagas[[#This Row],[profissional_id]]&amp;Vagas[[#This Row],[local_id]]</f>
        <v>4464886349</v>
      </c>
    </row>
    <row r="1613" spans="1:8" x14ac:dyDescent="0.25">
      <c r="A1613" s="2">
        <v>44648</v>
      </c>
      <c r="B1613">
        <v>92</v>
      </c>
      <c r="C1613">
        <v>340</v>
      </c>
      <c r="D1613">
        <v>96</v>
      </c>
      <c r="E1613">
        <v>12</v>
      </c>
      <c r="F1613" s="1">
        <f t="shared" si="25"/>
        <v>0</v>
      </c>
      <c r="G1613" s="1" t="str">
        <f>_xlfn.XLOOKUP(C1613,'Ocupação DW'!$F:$F,'Ocupação DW'!$E:$E,"",0)</f>
        <v>SEG - MATRIZ</v>
      </c>
      <c r="H1613" t="str">
        <f>Vagas[[#This Row],[data]]&amp;Vagas[[#This Row],[profissional_id]]&amp;Vagas[[#This Row],[local_id]]</f>
        <v>4464892340</v>
      </c>
    </row>
    <row r="1614" spans="1:8" x14ac:dyDescent="0.25">
      <c r="A1614" s="2">
        <v>44648</v>
      </c>
      <c r="B1614">
        <v>93</v>
      </c>
      <c r="C1614">
        <v>343</v>
      </c>
      <c r="D1614">
        <v>60</v>
      </c>
      <c r="E1614">
        <v>0</v>
      </c>
      <c r="F1614" s="1">
        <f t="shared" si="25"/>
        <v>0</v>
      </c>
      <c r="G1614" s="1" t="str">
        <f>_xlfn.XLOOKUP(C1614,'Ocupação DW'!$F:$F,'Ocupação DW'!$E:$E,"",0)</f>
        <v/>
      </c>
      <c r="H1614" t="str">
        <f>Vagas[[#This Row],[data]]&amp;Vagas[[#This Row],[profissional_id]]&amp;Vagas[[#This Row],[local_id]]</f>
        <v>4464893343</v>
      </c>
    </row>
    <row r="1615" spans="1:8" x14ac:dyDescent="0.25">
      <c r="A1615" s="2">
        <v>44648</v>
      </c>
      <c r="B1615">
        <v>94</v>
      </c>
      <c r="C1615">
        <v>49</v>
      </c>
      <c r="D1615">
        <v>0</v>
      </c>
      <c r="E1615">
        <v>0</v>
      </c>
      <c r="F1615" s="1">
        <f t="shared" si="25"/>
        <v>0</v>
      </c>
      <c r="G1615" s="1" t="str">
        <f>_xlfn.XLOOKUP(C1615,'Ocupação DW'!$F:$F,'Ocupação DW'!$E:$E,"",0)</f>
        <v>SEG - FILIAL I</v>
      </c>
      <c r="H1615" t="str">
        <f>Vagas[[#This Row],[data]]&amp;Vagas[[#This Row],[profissional_id]]&amp;Vagas[[#This Row],[local_id]]</f>
        <v>446489449</v>
      </c>
    </row>
    <row r="1616" spans="1:8" x14ac:dyDescent="0.25">
      <c r="A1616" s="2">
        <v>44648</v>
      </c>
      <c r="B1616">
        <v>100</v>
      </c>
      <c r="D1616">
        <v>13</v>
      </c>
      <c r="E1616">
        <v>0</v>
      </c>
      <c r="F1616" s="1">
        <f t="shared" si="25"/>
        <v>0</v>
      </c>
      <c r="G1616" s="1" t="str">
        <f>_xlfn.XLOOKUP(C1616,'Ocupação DW'!$F:$F,'Ocupação DW'!$E:$E,"",0)</f>
        <v/>
      </c>
      <c r="H1616" t="str">
        <f>Vagas[[#This Row],[data]]&amp;Vagas[[#This Row],[profissional_id]]&amp;Vagas[[#This Row],[local_id]]</f>
        <v>44648100</v>
      </c>
    </row>
    <row r="1617" spans="1:8" x14ac:dyDescent="0.25">
      <c r="A1617" s="2">
        <v>44648</v>
      </c>
      <c r="B1617">
        <v>100</v>
      </c>
      <c r="C1617">
        <v>342</v>
      </c>
      <c r="D1617">
        <v>0</v>
      </c>
      <c r="E1617">
        <v>0</v>
      </c>
      <c r="F1617" s="1">
        <f t="shared" si="25"/>
        <v>13</v>
      </c>
      <c r="G1617" s="1" t="str">
        <f>_xlfn.XLOOKUP(C1617,'Ocupação DW'!$F:$F,'Ocupação DW'!$E:$E,"",0)</f>
        <v>SEG - MATRIZ</v>
      </c>
      <c r="H1617" t="str">
        <f>Vagas[[#This Row],[data]]&amp;Vagas[[#This Row],[profissional_id]]&amp;Vagas[[#This Row],[local_id]]</f>
        <v>44648100342</v>
      </c>
    </row>
    <row r="1618" spans="1:8" x14ac:dyDescent="0.25">
      <c r="A1618" s="2">
        <v>44648</v>
      </c>
      <c r="B1618">
        <v>110</v>
      </c>
      <c r="D1618">
        <v>0</v>
      </c>
      <c r="E1618">
        <v>0</v>
      </c>
      <c r="F1618" s="1">
        <f t="shared" si="25"/>
        <v>0</v>
      </c>
      <c r="G1618" s="1" t="str">
        <f>_xlfn.XLOOKUP(C1618,'Ocupação DW'!$F:$F,'Ocupação DW'!$E:$E,"",0)</f>
        <v/>
      </c>
      <c r="H1618" t="str">
        <f>Vagas[[#This Row],[data]]&amp;Vagas[[#This Row],[profissional_id]]&amp;Vagas[[#This Row],[local_id]]</f>
        <v>44648110</v>
      </c>
    </row>
    <row r="1619" spans="1:8" x14ac:dyDescent="0.25">
      <c r="A1619" s="2">
        <v>44648</v>
      </c>
      <c r="B1619">
        <v>117</v>
      </c>
      <c r="C1619">
        <v>48</v>
      </c>
      <c r="D1619">
        <v>0</v>
      </c>
      <c r="E1619">
        <v>0</v>
      </c>
      <c r="F1619" s="1">
        <f t="shared" si="25"/>
        <v>0</v>
      </c>
      <c r="G1619" s="1" t="str">
        <f>_xlfn.XLOOKUP(C1619,'Ocupação DW'!$F:$F,'Ocupação DW'!$E:$E,"",0)</f>
        <v>SEG - FILIAL I</v>
      </c>
      <c r="H1619" t="str">
        <f>Vagas[[#This Row],[data]]&amp;Vagas[[#This Row],[profissional_id]]&amp;Vagas[[#This Row],[local_id]]</f>
        <v>4464811748</v>
      </c>
    </row>
    <row r="1620" spans="1:8" x14ac:dyDescent="0.25">
      <c r="A1620" s="2">
        <v>44648</v>
      </c>
      <c r="B1620">
        <v>123</v>
      </c>
      <c r="D1620">
        <v>11</v>
      </c>
      <c r="E1620">
        <v>0</v>
      </c>
      <c r="F1620" s="1">
        <f t="shared" si="25"/>
        <v>0</v>
      </c>
      <c r="G1620" s="1" t="str">
        <f>_xlfn.XLOOKUP(C1620,'Ocupação DW'!$F:$F,'Ocupação DW'!$E:$E,"",0)</f>
        <v/>
      </c>
      <c r="H1620" t="str">
        <f>Vagas[[#This Row],[data]]&amp;Vagas[[#This Row],[profissional_id]]&amp;Vagas[[#This Row],[local_id]]</f>
        <v>44648123</v>
      </c>
    </row>
    <row r="1621" spans="1:8" x14ac:dyDescent="0.25">
      <c r="A1621" s="2">
        <v>44648</v>
      </c>
      <c r="B1621">
        <v>174</v>
      </c>
      <c r="C1621">
        <v>24</v>
      </c>
      <c r="D1621">
        <v>82</v>
      </c>
      <c r="E1621">
        <v>0</v>
      </c>
      <c r="F1621" s="1">
        <f t="shared" si="25"/>
        <v>0</v>
      </c>
      <c r="G1621" s="1" t="str">
        <f>_xlfn.XLOOKUP(C1621,'Ocupação DW'!$F:$F,'Ocupação DW'!$E:$E,"",0)</f>
        <v>SEG - MATRIZ</v>
      </c>
      <c r="H1621" t="str">
        <f>Vagas[[#This Row],[data]]&amp;Vagas[[#This Row],[profissional_id]]&amp;Vagas[[#This Row],[local_id]]</f>
        <v>4464817424</v>
      </c>
    </row>
    <row r="1622" spans="1:8" x14ac:dyDescent="0.25">
      <c r="A1622" s="2">
        <v>44648</v>
      </c>
      <c r="B1622">
        <v>282</v>
      </c>
      <c r="D1622">
        <v>49</v>
      </c>
      <c r="E1622">
        <v>0</v>
      </c>
      <c r="F1622" s="1">
        <f t="shared" si="25"/>
        <v>0</v>
      </c>
      <c r="G1622" s="1" t="str">
        <f>_xlfn.XLOOKUP(C1622,'Ocupação DW'!$F:$F,'Ocupação DW'!$E:$E,"",0)</f>
        <v/>
      </c>
      <c r="H1622" t="str">
        <f>Vagas[[#This Row],[data]]&amp;Vagas[[#This Row],[profissional_id]]&amp;Vagas[[#This Row],[local_id]]</f>
        <v>44648282</v>
      </c>
    </row>
    <row r="1623" spans="1:8" x14ac:dyDescent="0.25">
      <c r="A1623" s="2">
        <v>44648</v>
      </c>
      <c r="B1623">
        <v>282</v>
      </c>
      <c r="C1623">
        <v>39</v>
      </c>
      <c r="D1623">
        <v>52</v>
      </c>
      <c r="E1623">
        <v>0</v>
      </c>
      <c r="F1623" s="1">
        <f t="shared" si="25"/>
        <v>0</v>
      </c>
      <c r="G1623" s="1" t="str">
        <f>_xlfn.XLOOKUP(C1623,'Ocupação DW'!$F:$F,'Ocupação DW'!$E:$E,"",0)</f>
        <v>SEG - FILIAL I</v>
      </c>
      <c r="H1623" t="str">
        <f>Vagas[[#This Row],[data]]&amp;Vagas[[#This Row],[profissional_id]]&amp;Vagas[[#This Row],[local_id]]</f>
        <v>4464828239</v>
      </c>
    </row>
    <row r="1624" spans="1:8" x14ac:dyDescent="0.25">
      <c r="A1624" s="2">
        <v>44648</v>
      </c>
      <c r="B1624">
        <v>1343</v>
      </c>
      <c r="D1624">
        <v>0</v>
      </c>
      <c r="E1624">
        <v>0</v>
      </c>
      <c r="F1624" s="1">
        <f t="shared" si="25"/>
        <v>0</v>
      </c>
      <c r="G1624" s="1" t="str">
        <f>_xlfn.XLOOKUP(C1624,'Ocupação DW'!$F:$F,'Ocupação DW'!$E:$E,"",0)</f>
        <v/>
      </c>
      <c r="H1624" t="str">
        <f>Vagas[[#This Row],[data]]&amp;Vagas[[#This Row],[profissional_id]]&amp;Vagas[[#This Row],[local_id]]</f>
        <v>446481343</v>
      </c>
    </row>
    <row r="1625" spans="1:8" x14ac:dyDescent="0.25">
      <c r="A1625" s="2">
        <v>44648</v>
      </c>
      <c r="B1625">
        <v>1490</v>
      </c>
      <c r="D1625">
        <v>0</v>
      </c>
      <c r="E1625">
        <v>0</v>
      </c>
      <c r="F1625" s="1">
        <f t="shared" si="25"/>
        <v>0</v>
      </c>
      <c r="G1625" s="1" t="str">
        <f>_xlfn.XLOOKUP(C1625,'Ocupação DW'!$F:$F,'Ocupação DW'!$E:$E,"",0)</f>
        <v/>
      </c>
      <c r="H1625" t="str">
        <f>Vagas[[#This Row],[data]]&amp;Vagas[[#This Row],[profissional_id]]&amp;Vagas[[#This Row],[local_id]]</f>
        <v>446481490</v>
      </c>
    </row>
    <row r="1626" spans="1:8" x14ac:dyDescent="0.25">
      <c r="A1626" s="2">
        <v>44648</v>
      </c>
      <c r="B1626">
        <v>2334</v>
      </c>
      <c r="D1626">
        <v>0</v>
      </c>
      <c r="E1626">
        <v>0</v>
      </c>
      <c r="F1626" s="1">
        <f t="shared" si="25"/>
        <v>0</v>
      </c>
      <c r="G1626" s="1" t="str">
        <f>_xlfn.XLOOKUP(C1626,'Ocupação DW'!$F:$F,'Ocupação DW'!$E:$E,"",0)</f>
        <v/>
      </c>
      <c r="H1626" t="str">
        <f>Vagas[[#This Row],[data]]&amp;Vagas[[#This Row],[profissional_id]]&amp;Vagas[[#This Row],[local_id]]</f>
        <v>446482334</v>
      </c>
    </row>
    <row r="1627" spans="1:8" x14ac:dyDescent="0.25">
      <c r="A1627" s="2">
        <v>44648</v>
      </c>
      <c r="B1627">
        <v>2567</v>
      </c>
      <c r="C1627">
        <v>18</v>
      </c>
      <c r="D1627">
        <v>0</v>
      </c>
      <c r="E1627">
        <v>12</v>
      </c>
      <c r="F1627" s="1">
        <f t="shared" si="25"/>
        <v>0</v>
      </c>
      <c r="G1627" s="1" t="str">
        <f>_xlfn.XLOOKUP(C1627,'Ocupação DW'!$F:$F,'Ocupação DW'!$E:$E,"",0)</f>
        <v>SEG - FILIAL II 11°</v>
      </c>
      <c r="H1627" t="str">
        <f>Vagas[[#This Row],[data]]&amp;Vagas[[#This Row],[profissional_id]]&amp;Vagas[[#This Row],[local_id]]</f>
        <v>44648256718</v>
      </c>
    </row>
    <row r="1628" spans="1:8" x14ac:dyDescent="0.25">
      <c r="A1628" s="2">
        <v>44648</v>
      </c>
      <c r="B1628">
        <v>2730</v>
      </c>
      <c r="C1628">
        <v>3</v>
      </c>
      <c r="D1628">
        <v>15</v>
      </c>
      <c r="E1628">
        <v>0</v>
      </c>
      <c r="F1628" s="1">
        <f t="shared" si="25"/>
        <v>0</v>
      </c>
      <c r="G1628" s="1" t="str">
        <f>_xlfn.XLOOKUP(C1628,'Ocupação DW'!$F:$F,'Ocupação DW'!$E:$E,"",0)</f>
        <v>SEG - FILIAL II 10°</v>
      </c>
      <c r="H1628" t="str">
        <f>Vagas[[#This Row],[data]]&amp;Vagas[[#This Row],[profissional_id]]&amp;Vagas[[#This Row],[local_id]]</f>
        <v>4464827303</v>
      </c>
    </row>
    <row r="1629" spans="1:8" x14ac:dyDescent="0.25">
      <c r="A1629" s="2">
        <v>44648</v>
      </c>
      <c r="B1629">
        <v>2984</v>
      </c>
      <c r="C1629">
        <v>7</v>
      </c>
      <c r="D1629">
        <v>0</v>
      </c>
      <c r="E1629">
        <v>0</v>
      </c>
      <c r="F1629" s="1">
        <f t="shared" si="25"/>
        <v>0</v>
      </c>
      <c r="G1629" s="1" t="str">
        <f>_xlfn.XLOOKUP(C1629,'Ocupação DW'!$F:$F,'Ocupação DW'!$E:$E,"",0)</f>
        <v>SEG - FILIAL II 10°</v>
      </c>
      <c r="H1629" t="str">
        <f>Vagas[[#This Row],[data]]&amp;Vagas[[#This Row],[profissional_id]]&amp;Vagas[[#This Row],[local_id]]</f>
        <v>4464829847</v>
      </c>
    </row>
    <row r="1630" spans="1:8" x14ac:dyDescent="0.25">
      <c r="A1630" s="2">
        <v>44648</v>
      </c>
      <c r="B1630">
        <v>3092</v>
      </c>
      <c r="D1630">
        <v>13</v>
      </c>
      <c r="E1630">
        <v>0</v>
      </c>
      <c r="F1630" s="1">
        <f t="shared" si="25"/>
        <v>0</v>
      </c>
      <c r="G1630" s="1" t="str">
        <f>_xlfn.XLOOKUP(C1630,'Ocupação DW'!$F:$F,'Ocupação DW'!$E:$E,"",0)</f>
        <v/>
      </c>
      <c r="H1630" t="str">
        <f>Vagas[[#This Row],[data]]&amp;Vagas[[#This Row],[profissional_id]]&amp;Vagas[[#This Row],[local_id]]</f>
        <v>446483092</v>
      </c>
    </row>
    <row r="1631" spans="1:8" x14ac:dyDescent="0.25">
      <c r="A1631" s="2">
        <v>44648</v>
      </c>
      <c r="B1631">
        <v>3092</v>
      </c>
      <c r="C1631">
        <v>43</v>
      </c>
      <c r="D1631">
        <v>0</v>
      </c>
      <c r="E1631">
        <v>0</v>
      </c>
      <c r="F1631" s="1">
        <f t="shared" si="25"/>
        <v>13</v>
      </c>
      <c r="G1631" s="1" t="str">
        <f>_xlfn.XLOOKUP(C1631,'Ocupação DW'!$F:$F,'Ocupação DW'!$E:$E,"",0)</f>
        <v>SEG - FILIAL I</v>
      </c>
      <c r="H1631" t="str">
        <f>Vagas[[#This Row],[data]]&amp;Vagas[[#This Row],[profissional_id]]&amp;Vagas[[#This Row],[local_id]]</f>
        <v>44648309243</v>
      </c>
    </row>
    <row r="1632" spans="1:8" x14ac:dyDescent="0.25">
      <c r="A1632" s="2">
        <v>44648</v>
      </c>
      <c r="B1632">
        <v>3158</v>
      </c>
      <c r="C1632">
        <v>342</v>
      </c>
      <c r="D1632">
        <v>0</v>
      </c>
      <c r="E1632">
        <v>0</v>
      </c>
      <c r="F1632" s="1">
        <f t="shared" si="25"/>
        <v>0</v>
      </c>
      <c r="G1632" s="1" t="str">
        <f>_xlfn.XLOOKUP(C1632,'Ocupação DW'!$F:$F,'Ocupação DW'!$E:$E,"",0)</f>
        <v>SEG - MATRIZ</v>
      </c>
      <c r="H1632" t="str">
        <f>Vagas[[#This Row],[data]]&amp;Vagas[[#This Row],[profissional_id]]&amp;Vagas[[#This Row],[local_id]]</f>
        <v>446483158342</v>
      </c>
    </row>
    <row r="1633" spans="1:8" x14ac:dyDescent="0.25">
      <c r="A1633" s="2">
        <v>44648</v>
      </c>
      <c r="B1633">
        <v>3502</v>
      </c>
      <c r="D1633">
        <v>0</v>
      </c>
      <c r="E1633">
        <v>0</v>
      </c>
      <c r="F1633" s="1">
        <f t="shared" si="25"/>
        <v>0</v>
      </c>
      <c r="G1633" s="1" t="str">
        <f>_xlfn.XLOOKUP(C1633,'Ocupação DW'!$F:$F,'Ocupação DW'!$E:$E,"",0)</f>
        <v/>
      </c>
      <c r="H1633" t="str">
        <f>Vagas[[#This Row],[data]]&amp;Vagas[[#This Row],[profissional_id]]&amp;Vagas[[#This Row],[local_id]]</f>
        <v>446483502</v>
      </c>
    </row>
    <row r="1634" spans="1:8" x14ac:dyDescent="0.25">
      <c r="A1634" s="2">
        <v>44648</v>
      </c>
      <c r="B1634">
        <v>4422</v>
      </c>
      <c r="C1634">
        <v>81</v>
      </c>
      <c r="D1634">
        <v>48</v>
      </c>
      <c r="E1634">
        <v>0</v>
      </c>
      <c r="F1634" s="1">
        <f t="shared" si="25"/>
        <v>0</v>
      </c>
      <c r="G1634" s="1" t="str">
        <f>_xlfn.XLOOKUP(C1634,'Ocupação DW'!$F:$F,'Ocupação DW'!$E:$E,"",0)</f>
        <v>SEG - MIGUEL COUTO</v>
      </c>
      <c r="H1634" t="str">
        <f>Vagas[[#This Row],[data]]&amp;Vagas[[#This Row],[profissional_id]]&amp;Vagas[[#This Row],[local_id]]</f>
        <v>44648442281</v>
      </c>
    </row>
    <row r="1635" spans="1:8" x14ac:dyDescent="0.25">
      <c r="A1635" s="2">
        <v>44648</v>
      </c>
      <c r="B1635">
        <v>5927</v>
      </c>
      <c r="C1635">
        <v>371</v>
      </c>
      <c r="D1635">
        <v>0</v>
      </c>
      <c r="E1635">
        <v>0</v>
      </c>
      <c r="F1635" s="1">
        <f t="shared" si="25"/>
        <v>0</v>
      </c>
      <c r="G1635" s="1" t="str">
        <f>_xlfn.XLOOKUP(C1635,'Ocupação DW'!$F:$F,'Ocupação DW'!$E:$E,"",0)</f>
        <v>SEG - SÃO JOÃO</v>
      </c>
      <c r="H1635" t="str">
        <f>Vagas[[#This Row],[data]]&amp;Vagas[[#This Row],[profissional_id]]&amp;Vagas[[#This Row],[local_id]]</f>
        <v>446485927371</v>
      </c>
    </row>
    <row r="1636" spans="1:8" x14ac:dyDescent="0.25">
      <c r="A1636" s="2">
        <v>44648</v>
      </c>
      <c r="B1636">
        <v>5927</v>
      </c>
      <c r="C1636">
        <v>17</v>
      </c>
      <c r="D1636">
        <v>0</v>
      </c>
      <c r="E1636">
        <v>0</v>
      </c>
      <c r="F1636" s="1">
        <f t="shared" si="25"/>
        <v>0</v>
      </c>
      <c r="G1636" s="1" t="str">
        <f>_xlfn.XLOOKUP(C1636,'Ocupação DW'!$F:$F,'Ocupação DW'!$E:$E,"",0)</f>
        <v>SEG - FILIAL II 11°</v>
      </c>
      <c r="H1636" t="str">
        <f>Vagas[[#This Row],[data]]&amp;Vagas[[#This Row],[profissional_id]]&amp;Vagas[[#This Row],[local_id]]</f>
        <v>44648592717</v>
      </c>
    </row>
    <row r="1637" spans="1:8" x14ac:dyDescent="0.25">
      <c r="A1637" s="2">
        <v>44648</v>
      </c>
      <c r="B1637">
        <v>6046</v>
      </c>
      <c r="D1637">
        <v>30</v>
      </c>
      <c r="E1637">
        <v>0</v>
      </c>
      <c r="F1637" s="1">
        <f t="shared" si="25"/>
        <v>0</v>
      </c>
      <c r="G1637" s="1" t="str">
        <f>_xlfn.XLOOKUP(C1637,'Ocupação DW'!$F:$F,'Ocupação DW'!$E:$E,"",0)</f>
        <v/>
      </c>
      <c r="H1637" t="str">
        <f>Vagas[[#This Row],[data]]&amp;Vagas[[#This Row],[profissional_id]]&amp;Vagas[[#This Row],[local_id]]</f>
        <v>446486046</v>
      </c>
    </row>
    <row r="1638" spans="1:8" x14ac:dyDescent="0.25">
      <c r="A1638" s="2">
        <v>44648</v>
      </c>
      <c r="B1638">
        <v>6046</v>
      </c>
      <c r="C1638">
        <v>46</v>
      </c>
      <c r="D1638">
        <v>0</v>
      </c>
      <c r="E1638">
        <v>0</v>
      </c>
      <c r="F1638" s="1">
        <f t="shared" si="25"/>
        <v>30</v>
      </c>
      <c r="G1638" s="1" t="str">
        <f>_xlfn.XLOOKUP(C1638,'Ocupação DW'!$F:$F,'Ocupação DW'!$E:$E,"",0)</f>
        <v>SEG - FILIAL I</v>
      </c>
      <c r="H1638" t="str">
        <f>Vagas[[#This Row],[data]]&amp;Vagas[[#This Row],[profissional_id]]&amp;Vagas[[#This Row],[local_id]]</f>
        <v>44648604646</v>
      </c>
    </row>
    <row r="1639" spans="1:8" x14ac:dyDescent="0.25">
      <c r="A1639" s="2">
        <v>44648</v>
      </c>
      <c r="B1639">
        <v>6046</v>
      </c>
      <c r="C1639">
        <v>62</v>
      </c>
      <c r="D1639">
        <v>0</v>
      </c>
      <c r="E1639">
        <v>0</v>
      </c>
      <c r="F1639" s="1">
        <f t="shared" si="25"/>
        <v>0</v>
      </c>
      <c r="G1639" s="1" t="str">
        <f>_xlfn.XLOOKUP(C1639,'Ocupação DW'!$F:$F,'Ocupação DW'!$E:$E,"",0)</f>
        <v>SEG - NILÓPOLIS</v>
      </c>
      <c r="H1639" t="str">
        <f>Vagas[[#This Row],[data]]&amp;Vagas[[#This Row],[profissional_id]]&amp;Vagas[[#This Row],[local_id]]</f>
        <v>44648604662</v>
      </c>
    </row>
    <row r="1640" spans="1:8" x14ac:dyDescent="0.25">
      <c r="A1640" s="2">
        <v>44648</v>
      </c>
      <c r="B1640">
        <v>6392</v>
      </c>
      <c r="C1640">
        <v>342</v>
      </c>
      <c r="D1640">
        <v>8</v>
      </c>
      <c r="E1640">
        <v>0</v>
      </c>
      <c r="F1640" s="1">
        <f t="shared" si="25"/>
        <v>0</v>
      </c>
      <c r="G1640" s="1" t="str">
        <f>_xlfn.XLOOKUP(C1640,'Ocupação DW'!$F:$F,'Ocupação DW'!$E:$E,"",0)</f>
        <v>SEG - MATRIZ</v>
      </c>
      <c r="H1640" t="str">
        <f>Vagas[[#This Row],[data]]&amp;Vagas[[#This Row],[profissional_id]]&amp;Vagas[[#This Row],[local_id]]</f>
        <v>446486392342</v>
      </c>
    </row>
    <row r="1641" spans="1:8" x14ac:dyDescent="0.25">
      <c r="A1641" s="2">
        <v>44648</v>
      </c>
      <c r="B1641">
        <v>6392</v>
      </c>
      <c r="C1641">
        <v>5</v>
      </c>
      <c r="D1641">
        <v>0</v>
      </c>
      <c r="E1641">
        <v>0</v>
      </c>
      <c r="F1641" s="1">
        <f t="shared" si="25"/>
        <v>8</v>
      </c>
      <c r="G1641" s="1" t="str">
        <f>_xlfn.XLOOKUP(C1641,'Ocupação DW'!$F:$F,'Ocupação DW'!$E:$E,"",0)</f>
        <v>SEG - FILIAL II 10°</v>
      </c>
      <c r="H1641" t="str">
        <f>Vagas[[#This Row],[data]]&amp;Vagas[[#This Row],[profissional_id]]&amp;Vagas[[#This Row],[local_id]]</f>
        <v>4464863925</v>
      </c>
    </row>
    <row r="1642" spans="1:8" x14ac:dyDescent="0.25">
      <c r="A1642" s="2">
        <v>44648</v>
      </c>
      <c r="B1642">
        <v>6430</v>
      </c>
      <c r="D1642">
        <v>43</v>
      </c>
      <c r="E1642">
        <v>0</v>
      </c>
      <c r="F1642" s="1">
        <f t="shared" si="25"/>
        <v>0</v>
      </c>
      <c r="G1642" s="1" t="str">
        <f>_xlfn.XLOOKUP(C1642,'Ocupação DW'!$F:$F,'Ocupação DW'!$E:$E,"",0)</f>
        <v/>
      </c>
      <c r="H1642" t="str">
        <f>Vagas[[#This Row],[data]]&amp;Vagas[[#This Row],[profissional_id]]&amp;Vagas[[#This Row],[local_id]]</f>
        <v>446486430</v>
      </c>
    </row>
    <row r="1643" spans="1:8" x14ac:dyDescent="0.25">
      <c r="A1643" s="2">
        <v>44648</v>
      </c>
      <c r="B1643">
        <v>6430</v>
      </c>
      <c r="C1643">
        <v>86</v>
      </c>
      <c r="D1643">
        <v>0</v>
      </c>
      <c r="E1643">
        <v>0</v>
      </c>
      <c r="F1643" s="1">
        <f t="shared" si="25"/>
        <v>43</v>
      </c>
      <c r="G1643" s="1" t="str">
        <f>_xlfn.XLOOKUP(C1643,'Ocupação DW'!$F:$F,'Ocupação DW'!$E:$E,"",0)</f>
        <v>SEG - MIGUEL COUTO</v>
      </c>
      <c r="H1643" t="str">
        <f>Vagas[[#This Row],[data]]&amp;Vagas[[#This Row],[profissional_id]]&amp;Vagas[[#This Row],[local_id]]</f>
        <v>44648643086</v>
      </c>
    </row>
    <row r="1644" spans="1:8" x14ac:dyDescent="0.25">
      <c r="A1644" s="2">
        <v>44648</v>
      </c>
      <c r="B1644">
        <v>8598</v>
      </c>
      <c r="D1644">
        <v>0</v>
      </c>
      <c r="E1644">
        <v>0</v>
      </c>
      <c r="F1644" s="1">
        <f t="shared" si="25"/>
        <v>0</v>
      </c>
      <c r="G1644" s="1" t="str">
        <f>_xlfn.XLOOKUP(C1644,'Ocupação DW'!$F:$F,'Ocupação DW'!$E:$E,"",0)</f>
        <v/>
      </c>
      <c r="H1644" t="str">
        <f>Vagas[[#This Row],[data]]&amp;Vagas[[#This Row],[profissional_id]]&amp;Vagas[[#This Row],[local_id]]</f>
        <v>446488598</v>
      </c>
    </row>
    <row r="1645" spans="1:8" x14ac:dyDescent="0.25">
      <c r="A1645" s="2">
        <v>44648</v>
      </c>
      <c r="B1645">
        <v>9111</v>
      </c>
      <c r="D1645">
        <v>0</v>
      </c>
      <c r="E1645">
        <v>0</v>
      </c>
      <c r="F1645" s="1">
        <f t="shared" si="25"/>
        <v>0</v>
      </c>
      <c r="G1645" s="1" t="str">
        <f>_xlfn.XLOOKUP(C1645,'Ocupação DW'!$F:$F,'Ocupação DW'!$E:$E,"",0)</f>
        <v/>
      </c>
      <c r="H1645" t="str">
        <f>Vagas[[#This Row],[data]]&amp;Vagas[[#This Row],[profissional_id]]&amp;Vagas[[#This Row],[local_id]]</f>
        <v>446489111</v>
      </c>
    </row>
    <row r="1646" spans="1:8" x14ac:dyDescent="0.25">
      <c r="A1646" s="2">
        <v>44648</v>
      </c>
      <c r="B1646">
        <v>9138</v>
      </c>
      <c r="C1646">
        <v>14</v>
      </c>
      <c r="D1646">
        <v>0</v>
      </c>
      <c r="E1646">
        <v>0</v>
      </c>
      <c r="F1646" s="1">
        <f t="shared" si="25"/>
        <v>0</v>
      </c>
      <c r="G1646" s="1" t="str">
        <f>_xlfn.XLOOKUP(C1646,'Ocupação DW'!$F:$F,'Ocupação DW'!$E:$E,"",0)</f>
        <v>SEG - FILIAL II 11°</v>
      </c>
      <c r="H1646" t="str">
        <f>Vagas[[#This Row],[data]]&amp;Vagas[[#This Row],[profissional_id]]&amp;Vagas[[#This Row],[local_id]]</f>
        <v>44648913814</v>
      </c>
    </row>
    <row r="1647" spans="1:8" x14ac:dyDescent="0.25">
      <c r="A1647" s="2">
        <v>44648</v>
      </c>
      <c r="B1647">
        <v>9207</v>
      </c>
      <c r="C1647">
        <v>79</v>
      </c>
      <c r="D1647">
        <v>108</v>
      </c>
      <c r="E1647">
        <v>12</v>
      </c>
      <c r="F1647" s="1">
        <f t="shared" si="25"/>
        <v>0</v>
      </c>
      <c r="G1647" s="1" t="str">
        <f>_xlfn.XLOOKUP(C1647,'Ocupação DW'!$F:$F,'Ocupação DW'!$E:$E,"",0)</f>
        <v/>
      </c>
      <c r="H1647" t="str">
        <f>Vagas[[#This Row],[data]]&amp;Vagas[[#This Row],[profissional_id]]&amp;Vagas[[#This Row],[local_id]]</f>
        <v>44648920779</v>
      </c>
    </row>
    <row r="1648" spans="1:8" x14ac:dyDescent="0.25">
      <c r="A1648" s="2">
        <v>44648</v>
      </c>
      <c r="B1648">
        <v>9237</v>
      </c>
      <c r="C1648">
        <v>343</v>
      </c>
      <c r="D1648">
        <v>60</v>
      </c>
      <c r="E1648">
        <v>0</v>
      </c>
      <c r="F1648" s="1">
        <f t="shared" si="25"/>
        <v>0</v>
      </c>
      <c r="G1648" s="1" t="str">
        <f>_xlfn.XLOOKUP(C1648,'Ocupação DW'!$F:$F,'Ocupação DW'!$E:$E,"",0)</f>
        <v/>
      </c>
      <c r="H1648" t="str">
        <f>Vagas[[#This Row],[data]]&amp;Vagas[[#This Row],[profissional_id]]&amp;Vagas[[#This Row],[local_id]]</f>
        <v>446489237343</v>
      </c>
    </row>
    <row r="1649" spans="1:8" x14ac:dyDescent="0.25">
      <c r="A1649" s="2">
        <v>44648</v>
      </c>
      <c r="B1649">
        <v>9717</v>
      </c>
      <c r="D1649">
        <v>0</v>
      </c>
      <c r="E1649">
        <v>0</v>
      </c>
      <c r="F1649" s="1">
        <f t="shared" si="25"/>
        <v>0</v>
      </c>
      <c r="G1649" s="1" t="str">
        <f>_xlfn.XLOOKUP(C1649,'Ocupação DW'!$F:$F,'Ocupação DW'!$E:$E,"",0)</f>
        <v/>
      </c>
      <c r="H1649" t="str">
        <f>Vagas[[#This Row],[data]]&amp;Vagas[[#This Row],[profissional_id]]&amp;Vagas[[#This Row],[local_id]]</f>
        <v>446489717</v>
      </c>
    </row>
    <row r="1650" spans="1:8" x14ac:dyDescent="0.25">
      <c r="A1650" s="2">
        <v>44648</v>
      </c>
      <c r="B1650">
        <v>10249</v>
      </c>
      <c r="D1650">
        <v>0</v>
      </c>
      <c r="E1650">
        <v>0</v>
      </c>
      <c r="F1650" s="1">
        <f t="shared" si="25"/>
        <v>0</v>
      </c>
      <c r="G1650" s="1" t="str">
        <f>_xlfn.XLOOKUP(C1650,'Ocupação DW'!$F:$F,'Ocupação DW'!$E:$E,"",0)</f>
        <v/>
      </c>
      <c r="H1650" t="str">
        <f>Vagas[[#This Row],[data]]&amp;Vagas[[#This Row],[profissional_id]]&amp;Vagas[[#This Row],[local_id]]</f>
        <v>4464810249</v>
      </c>
    </row>
    <row r="1651" spans="1:8" x14ac:dyDescent="0.25">
      <c r="A1651" s="2">
        <v>44648</v>
      </c>
      <c r="B1651">
        <v>10595</v>
      </c>
      <c r="D1651">
        <v>41</v>
      </c>
      <c r="E1651">
        <v>1</v>
      </c>
      <c r="F1651" s="1">
        <f t="shared" si="25"/>
        <v>0</v>
      </c>
      <c r="G1651" s="1" t="str">
        <f>_xlfn.XLOOKUP(C1651,'Ocupação DW'!$F:$F,'Ocupação DW'!$E:$E,"",0)</f>
        <v/>
      </c>
      <c r="H1651" t="str">
        <f>Vagas[[#This Row],[data]]&amp;Vagas[[#This Row],[profissional_id]]&amp;Vagas[[#This Row],[local_id]]</f>
        <v>4464810595</v>
      </c>
    </row>
    <row r="1652" spans="1:8" x14ac:dyDescent="0.25">
      <c r="A1652" s="2">
        <v>44648</v>
      </c>
      <c r="B1652">
        <v>10595</v>
      </c>
      <c r="C1652">
        <v>78</v>
      </c>
      <c r="D1652">
        <v>0</v>
      </c>
      <c r="E1652">
        <v>4</v>
      </c>
      <c r="F1652" s="1">
        <f t="shared" si="25"/>
        <v>41</v>
      </c>
      <c r="G1652" s="1" t="str">
        <f>_xlfn.XLOOKUP(C1652,'Ocupação DW'!$F:$F,'Ocupação DW'!$E:$E,"",0)</f>
        <v>SEG - MIGUEL COUTO</v>
      </c>
      <c r="H1652" t="str">
        <f>Vagas[[#This Row],[data]]&amp;Vagas[[#This Row],[profissional_id]]&amp;Vagas[[#This Row],[local_id]]</f>
        <v>446481059578</v>
      </c>
    </row>
    <row r="1653" spans="1:8" x14ac:dyDescent="0.25">
      <c r="A1653" s="2">
        <v>44648</v>
      </c>
      <c r="B1653">
        <v>10691</v>
      </c>
      <c r="D1653">
        <v>41</v>
      </c>
      <c r="E1653">
        <v>0</v>
      </c>
      <c r="F1653" s="1">
        <f t="shared" si="25"/>
        <v>0</v>
      </c>
      <c r="G1653" s="1" t="str">
        <f>_xlfn.XLOOKUP(C1653,'Ocupação DW'!$F:$F,'Ocupação DW'!$E:$E,"",0)</f>
        <v/>
      </c>
      <c r="H1653" t="str">
        <f>Vagas[[#This Row],[data]]&amp;Vagas[[#This Row],[profissional_id]]&amp;Vagas[[#This Row],[local_id]]</f>
        <v>4464810691</v>
      </c>
    </row>
    <row r="1654" spans="1:8" x14ac:dyDescent="0.25">
      <c r="A1654" s="2">
        <v>44648</v>
      </c>
      <c r="B1654">
        <v>10691</v>
      </c>
      <c r="C1654">
        <v>9</v>
      </c>
      <c r="D1654">
        <v>0</v>
      </c>
      <c r="E1654">
        <v>0</v>
      </c>
      <c r="F1654" s="1">
        <f t="shared" si="25"/>
        <v>41</v>
      </c>
      <c r="G1654" s="1" t="str">
        <f>_xlfn.XLOOKUP(C1654,'Ocupação DW'!$F:$F,'Ocupação DW'!$E:$E,"",0)</f>
        <v>SEG - FILIAL II 10°</v>
      </c>
      <c r="H1654" t="str">
        <f>Vagas[[#This Row],[data]]&amp;Vagas[[#This Row],[profissional_id]]&amp;Vagas[[#This Row],[local_id]]</f>
        <v>44648106919</v>
      </c>
    </row>
    <row r="1655" spans="1:8" x14ac:dyDescent="0.25">
      <c r="A1655" s="2">
        <v>44648</v>
      </c>
      <c r="B1655">
        <v>10728</v>
      </c>
      <c r="C1655">
        <v>360</v>
      </c>
      <c r="D1655">
        <v>0</v>
      </c>
      <c r="E1655">
        <v>0</v>
      </c>
      <c r="F1655" s="1">
        <f t="shared" si="25"/>
        <v>0</v>
      </c>
      <c r="G1655" s="1" t="str">
        <f>_xlfn.XLOOKUP(C1655,'Ocupação DW'!$F:$F,'Ocupação DW'!$E:$E,"",0)</f>
        <v>SEG - MIGUEL COUTO</v>
      </c>
      <c r="H1655" t="str">
        <f>Vagas[[#This Row],[data]]&amp;Vagas[[#This Row],[profissional_id]]&amp;Vagas[[#This Row],[local_id]]</f>
        <v>4464810728360</v>
      </c>
    </row>
    <row r="1656" spans="1:8" x14ac:dyDescent="0.25">
      <c r="A1656" s="2">
        <v>44648</v>
      </c>
      <c r="B1656">
        <v>10941</v>
      </c>
      <c r="C1656">
        <v>13</v>
      </c>
      <c r="D1656">
        <v>0</v>
      </c>
      <c r="E1656">
        <v>0</v>
      </c>
      <c r="F1656" s="1">
        <f t="shared" si="25"/>
        <v>0</v>
      </c>
      <c r="G1656" s="1" t="str">
        <f>_xlfn.XLOOKUP(C1656,'Ocupação DW'!$F:$F,'Ocupação DW'!$E:$E,"",0)</f>
        <v>SEG - FILIAL II 11°</v>
      </c>
      <c r="H1656" t="str">
        <f>Vagas[[#This Row],[data]]&amp;Vagas[[#This Row],[profissional_id]]&amp;Vagas[[#This Row],[local_id]]</f>
        <v>446481094113</v>
      </c>
    </row>
    <row r="1657" spans="1:8" x14ac:dyDescent="0.25">
      <c r="A1657" s="2">
        <v>44648</v>
      </c>
      <c r="B1657">
        <v>10941</v>
      </c>
      <c r="C1657">
        <v>11</v>
      </c>
      <c r="D1657">
        <v>0</v>
      </c>
      <c r="E1657">
        <v>0</v>
      </c>
      <c r="F1657" s="1">
        <f t="shared" si="25"/>
        <v>0</v>
      </c>
      <c r="G1657" s="1" t="str">
        <f>_xlfn.XLOOKUP(C1657,'Ocupação DW'!$F:$F,'Ocupação DW'!$E:$E,"",0)</f>
        <v>SEG - FILIAL II 11°</v>
      </c>
      <c r="H1657" t="str">
        <f>Vagas[[#This Row],[data]]&amp;Vagas[[#This Row],[profissional_id]]&amp;Vagas[[#This Row],[local_id]]</f>
        <v>446481094111</v>
      </c>
    </row>
    <row r="1658" spans="1:8" x14ac:dyDescent="0.25">
      <c r="A1658" s="2">
        <v>44648</v>
      </c>
      <c r="B1658">
        <v>10941</v>
      </c>
      <c r="C1658">
        <v>67</v>
      </c>
      <c r="D1658">
        <v>0</v>
      </c>
      <c r="E1658">
        <v>0</v>
      </c>
      <c r="F1658" s="1">
        <f t="shared" si="25"/>
        <v>0</v>
      </c>
      <c r="G1658" s="1" t="str">
        <f>_xlfn.XLOOKUP(C1658,'Ocupação DW'!$F:$F,'Ocupação DW'!$E:$E,"",0)</f>
        <v>SEG - NILÓPOLIS</v>
      </c>
      <c r="H1658" t="str">
        <f>Vagas[[#This Row],[data]]&amp;Vagas[[#This Row],[profissional_id]]&amp;Vagas[[#This Row],[local_id]]</f>
        <v>446481094167</v>
      </c>
    </row>
    <row r="1659" spans="1:8" x14ac:dyDescent="0.25">
      <c r="A1659" s="2">
        <v>44648</v>
      </c>
      <c r="B1659">
        <v>10946</v>
      </c>
      <c r="D1659">
        <v>0</v>
      </c>
      <c r="E1659">
        <v>0</v>
      </c>
      <c r="F1659" s="1">
        <f t="shared" si="25"/>
        <v>0</v>
      </c>
      <c r="G1659" s="1" t="str">
        <f>_xlfn.XLOOKUP(C1659,'Ocupação DW'!$F:$F,'Ocupação DW'!$E:$E,"",0)</f>
        <v/>
      </c>
      <c r="H1659" t="str">
        <f>Vagas[[#This Row],[data]]&amp;Vagas[[#This Row],[profissional_id]]&amp;Vagas[[#This Row],[local_id]]</f>
        <v>4464810946</v>
      </c>
    </row>
    <row r="1660" spans="1:8" x14ac:dyDescent="0.25">
      <c r="A1660" s="2">
        <v>44648</v>
      </c>
      <c r="B1660">
        <v>10946</v>
      </c>
      <c r="C1660">
        <v>3</v>
      </c>
      <c r="D1660">
        <v>0</v>
      </c>
      <c r="E1660">
        <v>0</v>
      </c>
      <c r="F1660" s="1">
        <f t="shared" si="25"/>
        <v>0</v>
      </c>
      <c r="G1660" s="1" t="str">
        <f>_xlfn.XLOOKUP(C1660,'Ocupação DW'!$F:$F,'Ocupação DW'!$E:$E,"",0)</f>
        <v>SEG - FILIAL II 10°</v>
      </c>
      <c r="H1660" t="str">
        <f>Vagas[[#This Row],[data]]&amp;Vagas[[#This Row],[profissional_id]]&amp;Vagas[[#This Row],[local_id]]</f>
        <v>44648109463</v>
      </c>
    </row>
    <row r="1661" spans="1:8" x14ac:dyDescent="0.25">
      <c r="A1661" s="2">
        <v>44648</v>
      </c>
      <c r="B1661">
        <v>11241</v>
      </c>
      <c r="C1661">
        <v>51</v>
      </c>
      <c r="D1661">
        <v>0</v>
      </c>
      <c r="E1661">
        <v>0</v>
      </c>
      <c r="F1661" s="1">
        <f t="shared" si="25"/>
        <v>0</v>
      </c>
      <c r="G1661" s="1" t="str">
        <f>_xlfn.XLOOKUP(C1661,'Ocupação DW'!$F:$F,'Ocupação DW'!$E:$E,"",0)</f>
        <v>SEG - FILIAL I</v>
      </c>
      <c r="H1661" t="str">
        <f>Vagas[[#This Row],[data]]&amp;Vagas[[#This Row],[profissional_id]]&amp;Vagas[[#This Row],[local_id]]</f>
        <v>446481124151</v>
      </c>
    </row>
    <row r="1662" spans="1:8" x14ac:dyDescent="0.25">
      <c r="A1662" s="2">
        <v>44648</v>
      </c>
      <c r="B1662">
        <v>11312</v>
      </c>
      <c r="C1662">
        <v>60</v>
      </c>
      <c r="D1662">
        <v>60</v>
      </c>
      <c r="E1662">
        <v>0</v>
      </c>
      <c r="F1662" s="1">
        <f t="shared" si="25"/>
        <v>0</v>
      </c>
      <c r="G1662" s="1" t="str">
        <f>_xlfn.XLOOKUP(C1662,'Ocupação DW'!$F:$F,'Ocupação DW'!$E:$E,"",0)</f>
        <v>SEG - NILÓPOLIS</v>
      </c>
      <c r="H1662" t="str">
        <f>Vagas[[#This Row],[data]]&amp;Vagas[[#This Row],[profissional_id]]&amp;Vagas[[#This Row],[local_id]]</f>
        <v>446481131260</v>
      </c>
    </row>
    <row r="1663" spans="1:8" x14ac:dyDescent="0.25">
      <c r="A1663" s="2">
        <v>44648</v>
      </c>
      <c r="B1663">
        <v>11397</v>
      </c>
      <c r="C1663">
        <v>346</v>
      </c>
      <c r="D1663">
        <v>72</v>
      </c>
      <c r="E1663">
        <v>0</v>
      </c>
      <c r="F1663" s="1">
        <f t="shared" si="25"/>
        <v>0</v>
      </c>
      <c r="G1663" s="1" t="str">
        <f>_xlfn.XLOOKUP(C1663,'Ocupação DW'!$F:$F,'Ocupação DW'!$E:$E,"",0)</f>
        <v>SEG - MATRIZ</v>
      </c>
      <c r="H1663" t="str">
        <f>Vagas[[#This Row],[data]]&amp;Vagas[[#This Row],[profissional_id]]&amp;Vagas[[#This Row],[local_id]]</f>
        <v>4464811397346</v>
      </c>
    </row>
    <row r="1664" spans="1:8" x14ac:dyDescent="0.25">
      <c r="A1664" s="2">
        <v>44648</v>
      </c>
      <c r="B1664">
        <v>11634</v>
      </c>
      <c r="C1664">
        <v>339</v>
      </c>
      <c r="D1664">
        <v>120</v>
      </c>
      <c r="E1664">
        <v>0</v>
      </c>
      <c r="F1664" s="1">
        <f t="shared" si="25"/>
        <v>0</v>
      </c>
      <c r="G1664" s="1" t="str">
        <f>_xlfn.XLOOKUP(C1664,'Ocupação DW'!$F:$F,'Ocupação DW'!$E:$E,"",0)</f>
        <v>SEG - MATRIZ</v>
      </c>
      <c r="H1664" t="str">
        <f>Vagas[[#This Row],[data]]&amp;Vagas[[#This Row],[profissional_id]]&amp;Vagas[[#This Row],[local_id]]</f>
        <v>4464811634339</v>
      </c>
    </row>
    <row r="1665" spans="1:8" x14ac:dyDescent="0.25">
      <c r="A1665" s="2">
        <v>44648</v>
      </c>
      <c r="B1665">
        <v>12369</v>
      </c>
      <c r="D1665">
        <v>0</v>
      </c>
      <c r="E1665">
        <v>0</v>
      </c>
      <c r="F1665" s="1">
        <f t="shared" si="25"/>
        <v>0</v>
      </c>
      <c r="G1665" s="1" t="str">
        <f>_xlfn.XLOOKUP(C1665,'Ocupação DW'!$F:$F,'Ocupação DW'!$E:$E,"",0)</f>
        <v/>
      </c>
      <c r="H1665" t="str">
        <f>Vagas[[#This Row],[data]]&amp;Vagas[[#This Row],[profissional_id]]&amp;Vagas[[#This Row],[local_id]]</f>
        <v>4464812369</v>
      </c>
    </row>
    <row r="1666" spans="1:8" x14ac:dyDescent="0.25">
      <c r="A1666" s="2">
        <v>44648</v>
      </c>
      <c r="B1666">
        <v>12519</v>
      </c>
      <c r="D1666">
        <v>0</v>
      </c>
      <c r="E1666">
        <v>0</v>
      </c>
      <c r="F1666" s="1">
        <f t="shared" ref="F1666:F1729" si="26">IF(AND(A1666=A1665,B1666=B1665,D1665&lt;&gt;0,D1666=0),D1665,0)</f>
        <v>0</v>
      </c>
      <c r="G1666" s="1" t="str">
        <f>_xlfn.XLOOKUP(C1666,'Ocupação DW'!$F:$F,'Ocupação DW'!$E:$E,"",0)</f>
        <v/>
      </c>
      <c r="H1666" t="str">
        <f>Vagas[[#This Row],[data]]&amp;Vagas[[#This Row],[profissional_id]]&amp;Vagas[[#This Row],[local_id]]</f>
        <v>4464812519</v>
      </c>
    </row>
    <row r="1667" spans="1:8" x14ac:dyDescent="0.25">
      <c r="A1667" s="2">
        <v>44648</v>
      </c>
      <c r="B1667">
        <v>12669</v>
      </c>
      <c r="C1667">
        <v>6</v>
      </c>
      <c r="D1667">
        <v>0</v>
      </c>
      <c r="E1667">
        <v>0</v>
      </c>
      <c r="F1667" s="1">
        <f t="shared" si="26"/>
        <v>0</v>
      </c>
      <c r="G1667" s="1" t="str">
        <f>_xlfn.XLOOKUP(C1667,'Ocupação DW'!$F:$F,'Ocupação DW'!$E:$E,"",0)</f>
        <v>SEG - FILIAL II 10°</v>
      </c>
      <c r="H1667" t="str">
        <f>Vagas[[#This Row],[data]]&amp;Vagas[[#This Row],[profissional_id]]&amp;Vagas[[#This Row],[local_id]]</f>
        <v>44648126696</v>
      </c>
    </row>
    <row r="1668" spans="1:8" x14ac:dyDescent="0.25">
      <c r="A1668" s="2">
        <v>44648</v>
      </c>
      <c r="B1668">
        <v>12679</v>
      </c>
      <c r="D1668">
        <v>13</v>
      </c>
      <c r="E1668">
        <v>0</v>
      </c>
      <c r="F1668" s="1">
        <f t="shared" si="26"/>
        <v>0</v>
      </c>
      <c r="G1668" s="1" t="str">
        <f>_xlfn.XLOOKUP(C1668,'Ocupação DW'!$F:$F,'Ocupação DW'!$E:$E,"",0)</f>
        <v/>
      </c>
      <c r="H1668" t="str">
        <f>Vagas[[#This Row],[data]]&amp;Vagas[[#This Row],[profissional_id]]&amp;Vagas[[#This Row],[local_id]]</f>
        <v>4464812679</v>
      </c>
    </row>
    <row r="1669" spans="1:8" x14ac:dyDescent="0.25">
      <c r="A1669" s="2">
        <v>44648</v>
      </c>
      <c r="B1669">
        <v>12679</v>
      </c>
      <c r="C1669">
        <v>334</v>
      </c>
      <c r="D1669">
        <v>0</v>
      </c>
      <c r="E1669">
        <v>0</v>
      </c>
      <c r="F1669" s="1">
        <f t="shared" si="26"/>
        <v>13</v>
      </c>
      <c r="G1669" s="1" t="str">
        <f>_xlfn.XLOOKUP(C1669,'Ocupação DW'!$F:$F,'Ocupação DW'!$E:$E,"",0)</f>
        <v>SEG - FILIAL I</v>
      </c>
      <c r="H1669" t="str">
        <f>Vagas[[#This Row],[data]]&amp;Vagas[[#This Row],[profissional_id]]&amp;Vagas[[#This Row],[local_id]]</f>
        <v>4464812679334</v>
      </c>
    </row>
    <row r="1670" spans="1:8" x14ac:dyDescent="0.25">
      <c r="A1670" s="2">
        <v>44648</v>
      </c>
      <c r="B1670">
        <v>12684</v>
      </c>
      <c r="D1670">
        <v>0</v>
      </c>
      <c r="E1670">
        <v>0</v>
      </c>
      <c r="F1670" s="1">
        <f t="shared" si="26"/>
        <v>0</v>
      </c>
      <c r="G1670" s="1" t="str">
        <f>_xlfn.XLOOKUP(C1670,'Ocupação DW'!$F:$F,'Ocupação DW'!$E:$E,"",0)</f>
        <v/>
      </c>
      <c r="H1670" t="str">
        <f>Vagas[[#This Row],[data]]&amp;Vagas[[#This Row],[profissional_id]]&amp;Vagas[[#This Row],[local_id]]</f>
        <v>4464812684</v>
      </c>
    </row>
    <row r="1671" spans="1:8" x14ac:dyDescent="0.25">
      <c r="A1671" s="2">
        <v>44648</v>
      </c>
      <c r="B1671">
        <v>12711</v>
      </c>
      <c r="D1671">
        <v>0</v>
      </c>
      <c r="E1671">
        <v>0</v>
      </c>
      <c r="F1671" s="1">
        <f t="shared" si="26"/>
        <v>0</v>
      </c>
      <c r="G1671" s="1" t="str">
        <f>_xlfn.XLOOKUP(C1671,'Ocupação DW'!$F:$F,'Ocupação DW'!$E:$E,"",0)</f>
        <v/>
      </c>
      <c r="H1671" t="str">
        <f>Vagas[[#This Row],[data]]&amp;Vagas[[#This Row],[profissional_id]]&amp;Vagas[[#This Row],[local_id]]</f>
        <v>4464812711</v>
      </c>
    </row>
    <row r="1672" spans="1:8" x14ac:dyDescent="0.25">
      <c r="A1672" s="2">
        <v>44648</v>
      </c>
      <c r="B1672">
        <v>12810</v>
      </c>
      <c r="D1672">
        <v>49</v>
      </c>
      <c r="E1672">
        <v>0</v>
      </c>
      <c r="F1672" s="1">
        <f t="shared" si="26"/>
        <v>0</v>
      </c>
      <c r="G1672" s="1" t="str">
        <f>_xlfn.XLOOKUP(C1672,'Ocupação DW'!$F:$F,'Ocupação DW'!$E:$E,"",0)</f>
        <v/>
      </c>
      <c r="H1672" t="str">
        <f>Vagas[[#This Row],[data]]&amp;Vagas[[#This Row],[profissional_id]]&amp;Vagas[[#This Row],[local_id]]</f>
        <v>4464812810</v>
      </c>
    </row>
    <row r="1673" spans="1:8" x14ac:dyDescent="0.25">
      <c r="A1673" s="2">
        <v>44648</v>
      </c>
      <c r="B1673">
        <v>12810</v>
      </c>
      <c r="C1673">
        <v>339</v>
      </c>
      <c r="D1673">
        <v>60</v>
      </c>
      <c r="E1673">
        <v>0</v>
      </c>
      <c r="F1673" s="1">
        <f t="shared" si="26"/>
        <v>0</v>
      </c>
      <c r="G1673" s="1" t="str">
        <f>_xlfn.XLOOKUP(C1673,'Ocupação DW'!$F:$F,'Ocupação DW'!$E:$E,"",0)</f>
        <v>SEG - MATRIZ</v>
      </c>
      <c r="H1673" t="str">
        <f>Vagas[[#This Row],[data]]&amp;Vagas[[#This Row],[profissional_id]]&amp;Vagas[[#This Row],[local_id]]</f>
        <v>4464812810339</v>
      </c>
    </row>
    <row r="1674" spans="1:8" x14ac:dyDescent="0.25">
      <c r="A1674" s="2">
        <v>44648</v>
      </c>
      <c r="B1674">
        <v>12825</v>
      </c>
      <c r="D1674">
        <v>0</v>
      </c>
      <c r="E1674">
        <v>0</v>
      </c>
      <c r="F1674" s="1">
        <f t="shared" si="26"/>
        <v>0</v>
      </c>
      <c r="G1674" s="1" t="str">
        <f>_xlfn.XLOOKUP(C1674,'Ocupação DW'!$F:$F,'Ocupação DW'!$E:$E,"",0)</f>
        <v/>
      </c>
      <c r="H1674" t="str">
        <f>Vagas[[#This Row],[data]]&amp;Vagas[[#This Row],[profissional_id]]&amp;Vagas[[#This Row],[local_id]]</f>
        <v>4464812825</v>
      </c>
    </row>
    <row r="1675" spans="1:8" x14ac:dyDescent="0.25">
      <c r="A1675" s="2">
        <v>44648</v>
      </c>
      <c r="B1675">
        <v>13220</v>
      </c>
      <c r="C1675">
        <v>61</v>
      </c>
      <c r="D1675">
        <v>120</v>
      </c>
      <c r="E1675">
        <v>0</v>
      </c>
      <c r="F1675" s="1">
        <f t="shared" si="26"/>
        <v>0</v>
      </c>
      <c r="G1675" s="1" t="str">
        <f>_xlfn.XLOOKUP(C1675,'Ocupação DW'!$F:$F,'Ocupação DW'!$E:$E,"",0)</f>
        <v/>
      </c>
      <c r="H1675" t="str">
        <f>Vagas[[#This Row],[data]]&amp;Vagas[[#This Row],[profissional_id]]&amp;Vagas[[#This Row],[local_id]]</f>
        <v>446481322061</v>
      </c>
    </row>
    <row r="1676" spans="1:8" x14ac:dyDescent="0.25">
      <c r="A1676" s="2">
        <v>44648</v>
      </c>
      <c r="B1676">
        <v>13249</v>
      </c>
      <c r="C1676">
        <v>45</v>
      </c>
      <c r="D1676">
        <v>0</v>
      </c>
      <c r="E1676">
        <v>0</v>
      </c>
      <c r="F1676" s="1">
        <f t="shared" si="26"/>
        <v>0</v>
      </c>
      <c r="G1676" s="1" t="str">
        <f>_xlfn.XLOOKUP(C1676,'Ocupação DW'!$F:$F,'Ocupação DW'!$E:$E,"",0)</f>
        <v>SEG - FILIAL I</v>
      </c>
      <c r="H1676" t="str">
        <f>Vagas[[#This Row],[data]]&amp;Vagas[[#This Row],[profissional_id]]&amp;Vagas[[#This Row],[local_id]]</f>
        <v>446481324945</v>
      </c>
    </row>
    <row r="1677" spans="1:8" x14ac:dyDescent="0.25">
      <c r="A1677" s="2">
        <v>44648</v>
      </c>
      <c r="B1677">
        <v>13371</v>
      </c>
      <c r="D1677">
        <v>19</v>
      </c>
      <c r="E1677">
        <v>0</v>
      </c>
      <c r="F1677" s="1">
        <f t="shared" si="26"/>
        <v>0</v>
      </c>
      <c r="G1677" s="1" t="str">
        <f>_xlfn.XLOOKUP(C1677,'Ocupação DW'!$F:$F,'Ocupação DW'!$E:$E,"",0)</f>
        <v/>
      </c>
      <c r="H1677" t="str">
        <f>Vagas[[#This Row],[data]]&amp;Vagas[[#This Row],[profissional_id]]&amp;Vagas[[#This Row],[local_id]]</f>
        <v>4464813371</v>
      </c>
    </row>
    <row r="1678" spans="1:8" x14ac:dyDescent="0.25">
      <c r="A1678" s="2">
        <v>44648</v>
      </c>
      <c r="B1678">
        <v>13479</v>
      </c>
      <c r="D1678">
        <v>19</v>
      </c>
      <c r="E1678">
        <v>0</v>
      </c>
      <c r="F1678" s="1">
        <f t="shared" si="26"/>
        <v>0</v>
      </c>
      <c r="G1678" s="1" t="str">
        <f>_xlfn.XLOOKUP(C1678,'Ocupação DW'!$F:$F,'Ocupação DW'!$E:$E,"",0)</f>
        <v/>
      </c>
      <c r="H1678" t="str">
        <f>Vagas[[#This Row],[data]]&amp;Vagas[[#This Row],[profissional_id]]&amp;Vagas[[#This Row],[local_id]]</f>
        <v>4464813479</v>
      </c>
    </row>
    <row r="1679" spans="1:8" x14ac:dyDescent="0.25">
      <c r="A1679" s="2">
        <v>44648</v>
      </c>
      <c r="B1679">
        <v>13479</v>
      </c>
      <c r="C1679">
        <v>46</v>
      </c>
      <c r="D1679">
        <v>0</v>
      </c>
      <c r="E1679">
        <v>0</v>
      </c>
      <c r="F1679" s="1">
        <f t="shared" si="26"/>
        <v>19</v>
      </c>
      <c r="G1679" s="1" t="str">
        <f>_xlfn.XLOOKUP(C1679,'Ocupação DW'!$F:$F,'Ocupação DW'!$E:$E,"",0)</f>
        <v>SEG - FILIAL I</v>
      </c>
      <c r="H1679" t="str">
        <f>Vagas[[#This Row],[data]]&amp;Vagas[[#This Row],[profissional_id]]&amp;Vagas[[#This Row],[local_id]]</f>
        <v>446481347946</v>
      </c>
    </row>
    <row r="1680" spans="1:8" x14ac:dyDescent="0.25">
      <c r="A1680" s="2">
        <v>44648</v>
      </c>
      <c r="B1680">
        <v>13645</v>
      </c>
      <c r="D1680">
        <v>0</v>
      </c>
      <c r="E1680">
        <v>0</v>
      </c>
      <c r="F1680" s="1">
        <f t="shared" si="26"/>
        <v>0</v>
      </c>
      <c r="G1680" s="1" t="str">
        <f>_xlfn.XLOOKUP(C1680,'Ocupação DW'!$F:$F,'Ocupação DW'!$E:$E,"",0)</f>
        <v/>
      </c>
      <c r="H1680" t="str">
        <f>Vagas[[#This Row],[data]]&amp;Vagas[[#This Row],[profissional_id]]&amp;Vagas[[#This Row],[local_id]]</f>
        <v>4464813645</v>
      </c>
    </row>
    <row r="1681" spans="1:8" x14ac:dyDescent="0.25">
      <c r="A1681" s="2">
        <v>44648</v>
      </c>
      <c r="B1681">
        <v>13659</v>
      </c>
      <c r="C1681">
        <v>341</v>
      </c>
      <c r="D1681">
        <v>108</v>
      </c>
      <c r="E1681">
        <v>0</v>
      </c>
      <c r="F1681" s="1">
        <f t="shared" si="26"/>
        <v>0</v>
      </c>
      <c r="G1681" s="1" t="str">
        <f>_xlfn.XLOOKUP(C1681,'Ocupação DW'!$F:$F,'Ocupação DW'!$E:$E,"",0)</f>
        <v/>
      </c>
      <c r="H1681" t="str">
        <f>Vagas[[#This Row],[data]]&amp;Vagas[[#This Row],[profissional_id]]&amp;Vagas[[#This Row],[local_id]]</f>
        <v>4464813659341</v>
      </c>
    </row>
    <row r="1682" spans="1:8" x14ac:dyDescent="0.25">
      <c r="A1682" s="2">
        <v>44648</v>
      </c>
      <c r="B1682">
        <v>13835</v>
      </c>
      <c r="D1682">
        <v>0</v>
      </c>
      <c r="E1682">
        <v>0</v>
      </c>
      <c r="F1682" s="1">
        <f t="shared" si="26"/>
        <v>0</v>
      </c>
      <c r="G1682" s="1" t="str">
        <f>_xlfn.XLOOKUP(C1682,'Ocupação DW'!$F:$F,'Ocupação DW'!$E:$E,"",0)</f>
        <v/>
      </c>
      <c r="H1682" t="str">
        <f>Vagas[[#This Row],[data]]&amp;Vagas[[#This Row],[profissional_id]]&amp;Vagas[[#This Row],[local_id]]</f>
        <v>4464813835</v>
      </c>
    </row>
    <row r="1683" spans="1:8" x14ac:dyDescent="0.25">
      <c r="A1683" s="2">
        <v>44648</v>
      </c>
      <c r="B1683">
        <v>13992</v>
      </c>
      <c r="C1683">
        <v>339</v>
      </c>
      <c r="D1683">
        <v>120</v>
      </c>
      <c r="E1683">
        <v>0</v>
      </c>
      <c r="F1683" s="1">
        <f t="shared" si="26"/>
        <v>0</v>
      </c>
      <c r="G1683" s="1" t="str">
        <f>_xlfn.XLOOKUP(C1683,'Ocupação DW'!$F:$F,'Ocupação DW'!$E:$E,"",0)</f>
        <v>SEG - MATRIZ</v>
      </c>
      <c r="H1683" t="str">
        <f>Vagas[[#This Row],[data]]&amp;Vagas[[#This Row],[profissional_id]]&amp;Vagas[[#This Row],[local_id]]</f>
        <v>4464813992339</v>
      </c>
    </row>
    <row r="1684" spans="1:8" x14ac:dyDescent="0.25">
      <c r="A1684" s="2">
        <v>44648</v>
      </c>
      <c r="B1684">
        <v>14452</v>
      </c>
      <c r="D1684">
        <v>0</v>
      </c>
      <c r="E1684">
        <v>0</v>
      </c>
      <c r="F1684" s="1">
        <f t="shared" si="26"/>
        <v>0</v>
      </c>
      <c r="G1684" s="1" t="str">
        <f>_xlfn.XLOOKUP(C1684,'Ocupação DW'!$F:$F,'Ocupação DW'!$E:$E,"",0)</f>
        <v/>
      </c>
      <c r="H1684" t="str">
        <f>Vagas[[#This Row],[data]]&amp;Vagas[[#This Row],[profissional_id]]&amp;Vagas[[#This Row],[local_id]]</f>
        <v>4464814452</v>
      </c>
    </row>
    <row r="1685" spans="1:8" x14ac:dyDescent="0.25">
      <c r="A1685" s="2">
        <v>44648</v>
      </c>
      <c r="B1685">
        <v>17059</v>
      </c>
      <c r="D1685">
        <v>0</v>
      </c>
      <c r="E1685">
        <v>0</v>
      </c>
      <c r="F1685" s="1">
        <f t="shared" si="26"/>
        <v>0</v>
      </c>
      <c r="G1685" s="1" t="str">
        <f>_xlfn.XLOOKUP(C1685,'Ocupação DW'!$F:$F,'Ocupação DW'!$E:$E,"",0)</f>
        <v/>
      </c>
      <c r="H1685" t="str">
        <f>Vagas[[#This Row],[data]]&amp;Vagas[[#This Row],[profissional_id]]&amp;Vagas[[#This Row],[local_id]]</f>
        <v>4464817059</v>
      </c>
    </row>
    <row r="1686" spans="1:8" x14ac:dyDescent="0.25">
      <c r="A1686" s="2">
        <v>44648</v>
      </c>
      <c r="B1686">
        <v>17742</v>
      </c>
      <c r="D1686">
        <v>0</v>
      </c>
      <c r="E1686">
        <v>0</v>
      </c>
      <c r="F1686" s="1">
        <f t="shared" si="26"/>
        <v>0</v>
      </c>
      <c r="G1686" s="1" t="str">
        <f>_xlfn.XLOOKUP(C1686,'Ocupação DW'!$F:$F,'Ocupação DW'!$E:$E,"",0)</f>
        <v/>
      </c>
      <c r="H1686" t="str">
        <f>Vagas[[#This Row],[data]]&amp;Vagas[[#This Row],[profissional_id]]&amp;Vagas[[#This Row],[local_id]]</f>
        <v>4464817742</v>
      </c>
    </row>
    <row r="1687" spans="1:8" x14ac:dyDescent="0.25">
      <c r="A1687" s="2">
        <v>44648</v>
      </c>
      <c r="B1687">
        <v>17858</v>
      </c>
      <c r="D1687">
        <v>0</v>
      </c>
      <c r="E1687">
        <v>0</v>
      </c>
      <c r="F1687" s="1">
        <f t="shared" si="26"/>
        <v>0</v>
      </c>
      <c r="G1687" s="1" t="str">
        <f>_xlfn.XLOOKUP(C1687,'Ocupação DW'!$F:$F,'Ocupação DW'!$E:$E,"",0)</f>
        <v/>
      </c>
      <c r="H1687" t="str">
        <f>Vagas[[#This Row],[data]]&amp;Vagas[[#This Row],[profissional_id]]&amp;Vagas[[#This Row],[local_id]]</f>
        <v>4464817858</v>
      </c>
    </row>
    <row r="1688" spans="1:8" x14ac:dyDescent="0.25">
      <c r="A1688" s="2">
        <v>44648</v>
      </c>
      <c r="B1688">
        <v>17868</v>
      </c>
      <c r="C1688">
        <v>73</v>
      </c>
      <c r="D1688">
        <v>133</v>
      </c>
      <c r="E1688">
        <v>0</v>
      </c>
      <c r="F1688" s="1">
        <f t="shared" si="26"/>
        <v>0</v>
      </c>
      <c r="G1688" s="1" t="str">
        <f>_xlfn.XLOOKUP(C1688,'Ocupação DW'!$F:$F,'Ocupação DW'!$E:$E,"",0)</f>
        <v/>
      </c>
      <c r="H1688" t="str">
        <f>Vagas[[#This Row],[data]]&amp;Vagas[[#This Row],[profissional_id]]&amp;Vagas[[#This Row],[local_id]]</f>
        <v>446481786873</v>
      </c>
    </row>
    <row r="1689" spans="1:8" x14ac:dyDescent="0.25">
      <c r="A1689" s="2">
        <v>44648</v>
      </c>
      <c r="B1689">
        <v>17871</v>
      </c>
      <c r="D1689">
        <v>0</v>
      </c>
      <c r="E1689">
        <v>0</v>
      </c>
      <c r="F1689" s="1">
        <f t="shared" si="26"/>
        <v>0</v>
      </c>
      <c r="G1689" s="1" t="str">
        <f>_xlfn.XLOOKUP(C1689,'Ocupação DW'!$F:$F,'Ocupação DW'!$E:$E,"",0)</f>
        <v/>
      </c>
      <c r="H1689" t="str">
        <f>Vagas[[#This Row],[data]]&amp;Vagas[[#This Row],[profissional_id]]&amp;Vagas[[#This Row],[local_id]]</f>
        <v>4464817871</v>
      </c>
    </row>
    <row r="1690" spans="1:8" x14ac:dyDescent="0.25">
      <c r="A1690" s="2">
        <v>44648</v>
      </c>
      <c r="B1690">
        <v>17874</v>
      </c>
      <c r="D1690">
        <v>0</v>
      </c>
      <c r="E1690">
        <v>0</v>
      </c>
      <c r="F1690" s="1">
        <f t="shared" si="26"/>
        <v>0</v>
      </c>
      <c r="G1690" s="1" t="str">
        <f>_xlfn.XLOOKUP(C1690,'Ocupação DW'!$F:$F,'Ocupação DW'!$E:$E,"",0)</f>
        <v/>
      </c>
      <c r="H1690" t="str">
        <f>Vagas[[#This Row],[data]]&amp;Vagas[[#This Row],[profissional_id]]&amp;Vagas[[#This Row],[local_id]]</f>
        <v>4464817874</v>
      </c>
    </row>
    <row r="1691" spans="1:8" x14ac:dyDescent="0.25">
      <c r="A1691" s="2">
        <v>44648</v>
      </c>
      <c r="B1691">
        <v>17878</v>
      </c>
      <c r="C1691">
        <v>47</v>
      </c>
      <c r="D1691">
        <v>2</v>
      </c>
      <c r="E1691">
        <v>0</v>
      </c>
      <c r="F1691" s="1">
        <f t="shared" si="26"/>
        <v>0</v>
      </c>
      <c r="G1691" s="1" t="str">
        <f>_xlfn.XLOOKUP(C1691,'Ocupação DW'!$F:$F,'Ocupação DW'!$E:$E,"",0)</f>
        <v>SEG - FILIAL I</v>
      </c>
      <c r="H1691" t="str">
        <f>Vagas[[#This Row],[data]]&amp;Vagas[[#This Row],[profissional_id]]&amp;Vagas[[#This Row],[local_id]]</f>
        <v>446481787847</v>
      </c>
    </row>
    <row r="1692" spans="1:8" x14ac:dyDescent="0.25">
      <c r="A1692" s="2">
        <v>44648</v>
      </c>
      <c r="B1692">
        <v>17881</v>
      </c>
      <c r="C1692">
        <v>20</v>
      </c>
      <c r="D1692">
        <v>181</v>
      </c>
      <c r="E1692">
        <v>0</v>
      </c>
      <c r="F1692" s="1">
        <f t="shared" si="26"/>
        <v>0</v>
      </c>
      <c r="G1692" s="1" t="str">
        <f>_xlfn.XLOOKUP(C1692,'Ocupação DW'!$F:$F,'Ocupação DW'!$E:$E,"",0)</f>
        <v>SEG - MATRIZ</v>
      </c>
      <c r="H1692" t="str">
        <f>Vagas[[#This Row],[data]]&amp;Vagas[[#This Row],[profissional_id]]&amp;Vagas[[#This Row],[local_id]]</f>
        <v>446481788120</v>
      </c>
    </row>
    <row r="1693" spans="1:8" x14ac:dyDescent="0.25">
      <c r="A1693" s="2">
        <v>44648</v>
      </c>
      <c r="B1693">
        <v>17882</v>
      </c>
      <c r="C1693">
        <v>21</v>
      </c>
      <c r="D1693">
        <v>181</v>
      </c>
      <c r="E1693">
        <v>0</v>
      </c>
      <c r="F1693" s="1">
        <f t="shared" si="26"/>
        <v>0</v>
      </c>
      <c r="G1693" s="1" t="str">
        <f>_xlfn.XLOOKUP(C1693,'Ocupação DW'!$F:$F,'Ocupação DW'!$E:$E,"",0)</f>
        <v/>
      </c>
      <c r="H1693" t="str">
        <f>Vagas[[#This Row],[data]]&amp;Vagas[[#This Row],[profissional_id]]&amp;Vagas[[#This Row],[local_id]]</f>
        <v>446481788221</v>
      </c>
    </row>
    <row r="1694" spans="1:8" x14ac:dyDescent="0.25">
      <c r="A1694" s="2">
        <v>44648</v>
      </c>
      <c r="B1694">
        <v>17883</v>
      </c>
      <c r="D1694">
        <v>11</v>
      </c>
      <c r="E1694">
        <v>0</v>
      </c>
      <c r="F1694" s="1">
        <f t="shared" si="26"/>
        <v>0</v>
      </c>
      <c r="G1694" s="1" t="str">
        <f>_xlfn.XLOOKUP(C1694,'Ocupação DW'!$F:$F,'Ocupação DW'!$E:$E,"",0)</f>
        <v/>
      </c>
      <c r="H1694" t="str">
        <f>Vagas[[#This Row],[data]]&amp;Vagas[[#This Row],[profissional_id]]&amp;Vagas[[#This Row],[local_id]]</f>
        <v>4464817883</v>
      </c>
    </row>
    <row r="1695" spans="1:8" x14ac:dyDescent="0.25">
      <c r="A1695" s="2">
        <v>44648</v>
      </c>
      <c r="B1695">
        <v>17883</v>
      </c>
      <c r="C1695">
        <v>351</v>
      </c>
      <c r="D1695">
        <v>0</v>
      </c>
      <c r="E1695">
        <v>0</v>
      </c>
      <c r="F1695" s="1">
        <f t="shared" si="26"/>
        <v>11</v>
      </c>
      <c r="G1695" s="1" t="str">
        <f>_xlfn.XLOOKUP(C1695,'Ocupação DW'!$F:$F,'Ocupação DW'!$E:$E,"",0)</f>
        <v>SEG - FILIAL I</v>
      </c>
      <c r="H1695" t="str">
        <f>Vagas[[#This Row],[data]]&amp;Vagas[[#This Row],[profissional_id]]&amp;Vagas[[#This Row],[local_id]]</f>
        <v>4464817883351</v>
      </c>
    </row>
    <row r="1696" spans="1:8" x14ac:dyDescent="0.25">
      <c r="A1696" s="2">
        <v>44648</v>
      </c>
      <c r="B1696">
        <v>17885</v>
      </c>
      <c r="D1696">
        <v>0</v>
      </c>
      <c r="E1696">
        <v>0</v>
      </c>
      <c r="F1696" s="1">
        <f t="shared" si="26"/>
        <v>0</v>
      </c>
      <c r="G1696" s="1" t="str">
        <f>_xlfn.XLOOKUP(C1696,'Ocupação DW'!$F:$F,'Ocupação DW'!$E:$E,"",0)</f>
        <v/>
      </c>
      <c r="H1696" t="str">
        <f>Vagas[[#This Row],[data]]&amp;Vagas[[#This Row],[profissional_id]]&amp;Vagas[[#This Row],[local_id]]</f>
        <v>4464817885</v>
      </c>
    </row>
    <row r="1697" spans="1:8" x14ac:dyDescent="0.25">
      <c r="A1697" s="2">
        <v>44648</v>
      </c>
      <c r="B1697">
        <v>17885</v>
      </c>
      <c r="C1697">
        <v>23</v>
      </c>
      <c r="D1697">
        <v>61</v>
      </c>
      <c r="E1697">
        <v>0</v>
      </c>
      <c r="F1697" s="1">
        <f t="shared" si="26"/>
        <v>0</v>
      </c>
      <c r="G1697" s="1" t="str">
        <f>_xlfn.XLOOKUP(C1697,'Ocupação DW'!$F:$F,'Ocupação DW'!$E:$E,"",0)</f>
        <v/>
      </c>
      <c r="H1697" t="str">
        <f>Vagas[[#This Row],[data]]&amp;Vagas[[#This Row],[profissional_id]]&amp;Vagas[[#This Row],[local_id]]</f>
        <v>446481788523</v>
      </c>
    </row>
    <row r="1698" spans="1:8" x14ac:dyDescent="0.25">
      <c r="A1698" s="2">
        <v>44648</v>
      </c>
      <c r="B1698">
        <v>17888</v>
      </c>
      <c r="C1698">
        <v>40</v>
      </c>
      <c r="D1698">
        <v>27</v>
      </c>
      <c r="E1698">
        <v>0</v>
      </c>
      <c r="F1698" s="1">
        <f t="shared" si="26"/>
        <v>0</v>
      </c>
      <c r="G1698" s="1" t="str">
        <f>_xlfn.XLOOKUP(C1698,'Ocupação DW'!$F:$F,'Ocupação DW'!$E:$E,"",0)</f>
        <v>SEG - FILIAL I</v>
      </c>
      <c r="H1698" t="str">
        <f>Vagas[[#This Row],[data]]&amp;Vagas[[#This Row],[profissional_id]]&amp;Vagas[[#This Row],[local_id]]</f>
        <v>446481788840</v>
      </c>
    </row>
    <row r="1699" spans="1:8" x14ac:dyDescent="0.25">
      <c r="A1699" s="2">
        <v>44648</v>
      </c>
      <c r="B1699">
        <v>17889</v>
      </c>
      <c r="C1699">
        <v>59</v>
      </c>
      <c r="D1699">
        <v>30</v>
      </c>
      <c r="E1699">
        <v>0</v>
      </c>
      <c r="F1699" s="1">
        <f t="shared" si="26"/>
        <v>0</v>
      </c>
      <c r="G1699" s="1" t="str">
        <f>_xlfn.XLOOKUP(C1699,'Ocupação DW'!$F:$F,'Ocupação DW'!$E:$E,"",0)</f>
        <v>SEG - NILÓPOLIS</v>
      </c>
      <c r="H1699" t="str">
        <f>Vagas[[#This Row],[data]]&amp;Vagas[[#This Row],[profissional_id]]&amp;Vagas[[#This Row],[local_id]]</f>
        <v>446481788959</v>
      </c>
    </row>
    <row r="1700" spans="1:8" x14ac:dyDescent="0.25">
      <c r="A1700" s="2">
        <v>44648</v>
      </c>
      <c r="B1700">
        <v>17890</v>
      </c>
      <c r="C1700">
        <v>4</v>
      </c>
      <c r="D1700">
        <v>8</v>
      </c>
      <c r="E1700">
        <v>0</v>
      </c>
      <c r="F1700" s="1">
        <f t="shared" si="26"/>
        <v>0</v>
      </c>
      <c r="G1700" s="1" t="str">
        <f>_xlfn.XLOOKUP(C1700,'Ocupação DW'!$F:$F,'Ocupação DW'!$E:$E,"",0)</f>
        <v>SEG - FILIAL II 10°</v>
      </c>
      <c r="H1700" t="str">
        <f>Vagas[[#This Row],[data]]&amp;Vagas[[#This Row],[profissional_id]]&amp;Vagas[[#This Row],[local_id]]</f>
        <v>44648178904</v>
      </c>
    </row>
    <row r="1701" spans="1:8" x14ac:dyDescent="0.25">
      <c r="A1701" s="2">
        <v>44648</v>
      </c>
      <c r="B1701">
        <v>17891</v>
      </c>
      <c r="C1701">
        <v>76</v>
      </c>
      <c r="D1701">
        <v>1</v>
      </c>
      <c r="E1701">
        <v>0</v>
      </c>
      <c r="F1701" s="1">
        <f t="shared" si="26"/>
        <v>0</v>
      </c>
      <c r="G1701" s="1" t="str">
        <f>_xlfn.XLOOKUP(C1701,'Ocupação DW'!$F:$F,'Ocupação DW'!$E:$E,"",0)</f>
        <v>SEG - MIGUEL COUTO</v>
      </c>
      <c r="H1701" t="str">
        <f>Vagas[[#This Row],[data]]&amp;Vagas[[#This Row],[profissional_id]]&amp;Vagas[[#This Row],[local_id]]</f>
        <v>446481789176</v>
      </c>
    </row>
    <row r="1702" spans="1:8" x14ac:dyDescent="0.25">
      <c r="A1702" s="2">
        <v>44648</v>
      </c>
      <c r="B1702">
        <v>17892</v>
      </c>
      <c r="D1702">
        <v>0</v>
      </c>
      <c r="E1702">
        <v>0</v>
      </c>
      <c r="F1702" s="1">
        <f t="shared" si="26"/>
        <v>0</v>
      </c>
      <c r="G1702" s="1" t="str">
        <f>_xlfn.XLOOKUP(C1702,'Ocupação DW'!$F:$F,'Ocupação DW'!$E:$E,"",0)</f>
        <v/>
      </c>
      <c r="H1702" t="str">
        <f>Vagas[[#This Row],[data]]&amp;Vagas[[#This Row],[profissional_id]]&amp;Vagas[[#This Row],[local_id]]</f>
        <v>4464817892</v>
      </c>
    </row>
    <row r="1703" spans="1:8" x14ac:dyDescent="0.25">
      <c r="A1703" s="2">
        <v>44648</v>
      </c>
      <c r="B1703">
        <v>17892</v>
      </c>
      <c r="C1703">
        <v>55</v>
      </c>
      <c r="D1703">
        <v>3</v>
      </c>
      <c r="E1703">
        <v>0</v>
      </c>
      <c r="F1703" s="1">
        <f t="shared" si="26"/>
        <v>0</v>
      </c>
      <c r="G1703" s="1" t="str">
        <f>_xlfn.XLOOKUP(C1703,'Ocupação DW'!$F:$F,'Ocupação DW'!$E:$E,"",0)</f>
        <v>SEG - NILÓPOLIS</v>
      </c>
      <c r="H1703" t="str">
        <f>Vagas[[#This Row],[data]]&amp;Vagas[[#This Row],[profissional_id]]&amp;Vagas[[#This Row],[local_id]]</f>
        <v>446481789255</v>
      </c>
    </row>
    <row r="1704" spans="1:8" x14ac:dyDescent="0.25">
      <c r="A1704" s="2">
        <v>44648</v>
      </c>
      <c r="B1704">
        <v>17893</v>
      </c>
      <c r="C1704">
        <v>4</v>
      </c>
      <c r="D1704">
        <v>6</v>
      </c>
      <c r="E1704">
        <v>0</v>
      </c>
      <c r="F1704" s="1">
        <f t="shared" si="26"/>
        <v>0</v>
      </c>
      <c r="G1704" s="1" t="str">
        <f>_xlfn.XLOOKUP(C1704,'Ocupação DW'!$F:$F,'Ocupação DW'!$E:$E,"",0)</f>
        <v>SEG - FILIAL II 10°</v>
      </c>
      <c r="H1704" t="str">
        <f>Vagas[[#This Row],[data]]&amp;Vagas[[#This Row],[profissional_id]]&amp;Vagas[[#This Row],[local_id]]</f>
        <v>44648178934</v>
      </c>
    </row>
    <row r="1705" spans="1:8" x14ac:dyDescent="0.25">
      <c r="A1705" s="2">
        <v>44648</v>
      </c>
      <c r="B1705">
        <v>17894</v>
      </c>
      <c r="C1705">
        <v>76</v>
      </c>
      <c r="D1705">
        <v>1</v>
      </c>
      <c r="E1705">
        <v>0</v>
      </c>
      <c r="F1705" s="1">
        <f t="shared" si="26"/>
        <v>0</v>
      </c>
      <c r="G1705" s="1" t="str">
        <f>_xlfn.XLOOKUP(C1705,'Ocupação DW'!$F:$F,'Ocupação DW'!$E:$E,"",0)</f>
        <v>SEG - MIGUEL COUTO</v>
      </c>
      <c r="H1705" t="str">
        <f>Vagas[[#This Row],[data]]&amp;Vagas[[#This Row],[profissional_id]]&amp;Vagas[[#This Row],[local_id]]</f>
        <v>446481789476</v>
      </c>
    </row>
    <row r="1706" spans="1:8" x14ac:dyDescent="0.25">
      <c r="A1706" s="2">
        <v>44648</v>
      </c>
      <c r="B1706">
        <v>17895</v>
      </c>
      <c r="C1706">
        <v>55</v>
      </c>
      <c r="D1706">
        <v>2</v>
      </c>
      <c r="E1706">
        <v>0</v>
      </c>
      <c r="F1706" s="1">
        <f t="shared" si="26"/>
        <v>0</v>
      </c>
      <c r="G1706" s="1" t="str">
        <f>_xlfn.XLOOKUP(C1706,'Ocupação DW'!$F:$F,'Ocupação DW'!$E:$E,"",0)</f>
        <v>SEG - NILÓPOLIS</v>
      </c>
      <c r="H1706" t="str">
        <f>Vagas[[#This Row],[data]]&amp;Vagas[[#This Row],[profissional_id]]&amp;Vagas[[#This Row],[local_id]]</f>
        <v>446481789555</v>
      </c>
    </row>
    <row r="1707" spans="1:8" x14ac:dyDescent="0.25">
      <c r="A1707" s="2">
        <v>44648</v>
      </c>
      <c r="B1707">
        <v>17898</v>
      </c>
      <c r="C1707">
        <v>35</v>
      </c>
      <c r="D1707">
        <v>78</v>
      </c>
      <c r="E1707">
        <v>0</v>
      </c>
      <c r="F1707" s="1">
        <f t="shared" si="26"/>
        <v>0</v>
      </c>
      <c r="G1707" s="1" t="str">
        <f>_xlfn.XLOOKUP(C1707,'Ocupação DW'!$F:$F,'Ocupação DW'!$E:$E,"",0)</f>
        <v/>
      </c>
      <c r="H1707" t="str">
        <f>Vagas[[#This Row],[data]]&amp;Vagas[[#This Row],[profissional_id]]&amp;Vagas[[#This Row],[local_id]]</f>
        <v>446481789835</v>
      </c>
    </row>
    <row r="1708" spans="1:8" x14ac:dyDescent="0.25">
      <c r="A1708" s="2">
        <v>44648</v>
      </c>
      <c r="B1708">
        <v>17899</v>
      </c>
      <c r="C1708">
        <v>3</v>
      </c>
      <c r="D1708">
        <v>66</v>
      </c>
      <c r="E1708">
        <v>0</v>
      </c>
      <c r="F1708" s="1">
        <f t="shared" si="26"/>
        <v>0</v>
      </c>
      <c r="G1708" s="1" t="str">
        <f>_xlfn.XLOOKUP(C1708,'Ocupação DW'!$F:$F,'Ocupação DW'!$E:$E,"",0)</f>
        <v>SEG - FILIAL II 10°</v>
      </c>
      <c r="H1708" t="str">
        <f>Vagas[[#This Row],[data]]&amp;Vagas[[#This Row],[profissional_id]]&amp;Vagas[[#This Row],[local_id]]</f>
        <v>44648178993</v>
      </c>
    </row>
    <row r="1709" spans="1:8" x14ac:dyDescent="0.25">
      <c r="A1709" s="2">
        <v>44648</v>
      </c>
      <c r="B1709">
        <v>17900</v>
      </c>
      <c r="C1709">
        <v>77</v>
      </c>
      <c r="D1709">
        <v>60</v>
      </c>
      <c r="E1709">
        <v>0</v>
      </c>
      <c r="F1709" s="1">
        <f t="shared" si="26"/>
        <v>0</v>
      </c>
      <c r="G1709" s="1" t="str">
        <f>_xlfn.XLOOKUP(C1709,'Ocupação DW'!$F:$F,'Ocupação DW'!$E:$E,"",0)</f>
        <v/>
      </c>
      <c r="H1709" t="str">
        <f>Vagas[[#This Row],[data]]&amp;Vagas[[#This Row],[profissional_id]]&amp;Vagas[[#This Row],[local_id]]</f>
        <v>446481790077</v>
      </c>
    </row>
    <row r="1710" spans="1:8" x14ac:dyDescent="0.25">
      <c r="A1710" s="2">
        <v>44648</v>
      </c>
      <c r="B1710">
        <v>17901</v>
      </c>
      <c r="C1710">
        <v>55</v>
      </c>
      <c r="D1710">
        <v>66</v>
      </c>
      <c r="E1710">
        <v>0</v>
      </c>
      <c r="F1710" s="1">
        <f t="shared" si="26"/>
        <v>0</v>
      </c>
      <c r="G1710" s="1" t="str">
        <f>_xlfn.XLOOKUP(C1710,'Ocupação DW'!$F:$F,'Ocupação DW'!$E:$E,"",0)</f>
        <v>SEG - NILÓPOLIS</v>
      </c>
      <c r="H1710" t="str">
        <f>Vagas[[#This Row],[data]]&amp;Vagas[[#This Row],[profissional_id]]&amp;Vagas[[#This Row],[local_id]]</f>
        <v>446481790155</v>
      </c>
    </row>
    <row r="1711" spans="1:8" x14ac:dyDescent="0.25">
      <c r="A1711" s="2">
        <v>44648</v>
      </c>
      <c r="B1711">
        <v>17902</v>
      </c>
      <c r="C1711">
        <v>39</v>
      </c>
      <c r="D1711">
        <v>52</v>
      </c>
      <c r="E1711">
        <v>0</v>
      </c>
      <c r="F1711" s="1">
        <f t="shared" si="26"/>
        <v>0</v>
      </c>
      <c r="G1711" s="1" t="str">
        <f>_xlfn.XLOOKUP(C1711,'Ocupação DW'!$F:$F,'Ocupação DW'!$E:$E,"",0)</f>
        <v>SEG - FILIAL I</v>
      </c>
      <c r="H1711" t="str">
        <f>Vagas[[#This Row],[data]]&amp;Vagas[[#This Row],[profissional_id]]&amp;Vagas[[#This Row],[local_id]]</f>
        <v>446481790239</v>
      </c>
    </row>
    <row r="1712" spans="1:8" x14ac:dyDescent="0.25">
      <c r="A1712" s="2">
        <v>44648</v>
      </c>
      <c r="B1712">
        <v>17903</v>
      </c>
      <c r="D1712">
        <v>0</v>
      </c>
      <c r="E1712">
        <v>0</v>
      </c>
      <c r="F1712" s="1">
        <f t="shared" si="26"/>
        <v>0</v>
      </c>
      <c r="G1712" s="1" t="str">
        <f>_xlfn.XLOOKUP(C1712,'Ocupação DW'!$F:$F,'Ocupação DW'!$E:$E,"",0)</f>
        <v/>
      </c>
      <c r="H1712" t="str">
        <f>Vagas[[#This Row],[data]]&amp;Vagas[[#This Row],[profissional_id]]&amp;Vagas[[#This Row],[local_id]]</f>
        <v>4464817903</v>
      </c>
    </row>
    <row r="1713" spans="1:8" x14ac:dyDescent="0.25">
      <c r="A1713" s="2">
        <v>44648</v>
      </c>
      <c r="B1713">
        <v>17904</v>
      </c>
      <c r="D1713">
        <v>0</v>
      </c>
      <c r="E1713">
        <v>0</v>
      </c>
      <c r="F1713" s="1">
        <f t="shared" si="26"/>
        <v>0</v>
      </c>
      <c r="G1713" s="1" t="str">
        <f>_xlfn.XLOOKUP(C1713,'Ocupação DW'!$F:$F,'Ocupação DW'!$E:$E,"",0)</f>
        <v/>
      </c>
      <c r="H1713" t="str">
        <f>Vagas[[#This Row],[data]]&amp;Vagas[[#This Row],[profissional_id]]&amp;Vagas[[#This Row],[local_id]]</f>
        <v>4464817904</v>
      </c>
    </row>
    <row r="1714" spans="1:8" x14ac:dyDescent="0.25">
      <c r="A1714" s="2">
        <v>44648</v>
      </c>
      <c r="B1714">
        <v>17907</v>
      </c>
      <c r="C1714">
        <v>55</v>
      </c>
      <c r="D1714">
        <v>14</v>
      </c>
      <c r="E1714">
        <v>0</v>
      </c>
      <c r="F1714" s="1">
        <f t="shared" si="26"/>
        <v>0</v>
      </c>
      <c r="G1714" s="1" t="str">
        <f>_xlfn.XLOOKUP(C1714,'Ocupação DW'!$F:$F,'Ocupação DW'!$E:$E,"",0)</f>
        <v>SEG - NILÓPOLIS</v>
      </c>
      <c r="H1714" t="str">
        <f>Vagas[[#This Row],[data]]&amp;Vagas[[#This Row],[profissional_id]]&amp;Vagas[[#This Row],[local_id]]</f>
        <v>446481790755</v>
      </c>
    </row>
    <row r="1715" spans="1:8" x14ac:dyDescent="0.25">
      <c r="A1715" s="2">
        <v>44648</v>
      </c>
      <c r="B1715">
        <v>17908</v>
      </c>
      <c r="C1715">
        <v>25</v>
      </c>
      <c r="D1715">
        <v>14</v>
      </c>
      <c r="E1715">
        <v>0</v>
      </c>
      <c r="F1715" s="1">
        <f t="shared" si="26"/>
        <v>0</v>
      </c>
      <c r="G1715" s="1" t="str">
        <f>_xlfn.XLOOKUP(C1715,'Ocupação DW'!$F:$F,'Ocupação DW'!$E:$E,"",0)</f>
        <v>SEG - MATRIZ</v>
      </c>
      <c r="H1715" t="str">
        <f>Vagas[[#This Row],[data]]&amp;Vagas[[#This Row],[profissional_id]]&amp;Vagas[[#This Row],[local_id]]</f>
        <v>446481790825</v>
      </c>
    </row>
    <row r="1716" spans="1:8" x14ac:dyDescent="0.25">
      <c r="A1716" s="2">
        <v>44648</v>
      </c>
      <c r="B1716">
        <v>17909</v>
      </c>
      <c r="C1716">
        <v>4</v>
      </c>
      <c r="D1716">
        <v>0</v>
      </c>
      <c r="E1716">
        <v>0</v>
      </c>
      <c r="F1716" s="1">
        <f t="shared" si="26"/>
        <v>0</v>
      </c>
      <c r="G1716" s="1" t="str">
        <f>_xlfn.XLOOKUP(C1716,'Ocupação DW'!$F:$F,'Ocupação DW'!$E:$E,"",0)</f>
        <v>SEG - FILIAL II 10°</v>
      </c>
      <c r="H1716" t="str">
        <f>Vagas[[#This Row],[data]]&amp;Vagas[[#This Row],[profissional_id]]&amp;Vagas[[#This Row],[local_id]]</f>
        <v>44648179094</v>
      </c>
    </row>
    <row r="1717" spans="1:8" x14ac:dyDescent="0.25">
      <c r="A1717" s="2">
        <v>44648</v>
      </c>
      <c r="B1717">
        <v>17911</v>
      </c>
      <c r="C1717">
        <v>41</v>
      </c>
      <c r="D1717">
        <v>5</v>
      </c>
      <c r="E1717">
        <v>0</v>
      </c>
      <c r="F1717" s="1">
        <f t="shared" si="26"/>
        <v>0</v>
      </c>
      <c r="G1717" s="1" t="str">
        <f>_xlfn.XLOOKUP(C1717,'Ocupação DW'!$F:$F,'Ocupação DW'!$E:$E,"",0)</f>
        <v>SEG - FILIAL I</v>
      </c>
      <c r="H1717" t="str">
        <f>Vagas[[#This Row],[data]]&amp;Vagas[[#This Row],[profissional_id]]&amp;Vagas[[#This Row],[local_id]]</f>
        <v>446481791141</v>
      </c>
    </row>
    <row r="1718" spans="1:8" x14ac:dyDescent="0.25">
      <c r="A1718" s="2">
        <v>44648</v>
      </c>
      <c r="B1718">
        <v>17918</v>
      </c>
      <c r="C1718">
        <v>42</v>
      </c>
      <c r="D1718">
        <v>0</v>
      </c>
      <c r="E1718">
        <v>0</v>
      </c>
      <c r="F1718" s="1">
        <f t="shared" si="26"/>
        <v>0</v>
      </c>
      <c r="G1718" s="1" t="str">
        <f>_xlfn.XLOOKUP(C1718,'Ocupação DW'!$F:$F,'Ocupação DW'!$E:$E,"",0)</f>
        <v>SEG - FILIAL I</v>
      </c>
      <c r="H1718" t="str">
        <f>Vagas[[#This Row],[data]]&amp;Vagas[[#This Row],[profissional_id]]&amp;Vagas[[#This Row],[local_id]]</f>
        <v>446481791842</v>
      </c>
    </row>
    <row r="1719" spans="1:8" x14ac:dyDescent="0.25">
      <c r="A1719" s="2">
        <v>44648</v>
      </c>
      <c r="B1719">
        <v>17922</v>
      </c>
      <c r="D1719">
        <v>133</v>
      </c>
      <c r="E1719">
        <v>0</v>
      </c>
      <c r="F1719" s="1">
        <f t="shared" si="26"/>
        <v>0</v>
      </c>
      <c r="G1719" s="1" t="str">
        <f>_xlfn.XLOOKUP(C1719,'Ocupação DW'!$F:$F,'Ocupação DW'!$E:$E,"",0)</f>
        <v/>
      </c>
      <c r="H1719" t="str">
        <f>Vagas[[#This Row],[data]]&amp;Vagas[[#This Row],[profissional_id]]&amp;Vagas[[#This Row],[local_id]]</f>
        <v>4464817922</v>
      </c>
    </row>
    <row r="1720" spans="1:8" x14ac:dyDescent="0.25">
      <c r="A1720" s="2">
        <v>44648</v>
      </c>
      <c r="B1720">
        <v>17922</v>
      </c>
      <c r="C1720">
        <v>74</v>
      </c>
      <c r="D1720">
        <v>133</v>
      </c>
      <c r="E1720">
        <v>0</v>
      </c>
      <c r="F1720" s="1">
        <f t="shared" si="26"/>
        <v>0</v>
      </c>
      <c r="G1720" s="1" t="str">
        <f>_xlfn.XLOOKUP(C1720,'Ocupação DW'!$F:$F,'Ocupação DW'!$E:$E,"",0)</f>
        <v/>
      </c>
      <c r="H1720" t="str">
        <f>Vagas[[#This Row],[data]]&amp;Vagas[[#This Row],[profissional_id]]&amp;Vagas[[#This Row],[local_id]]</f>
        <v>446481792274</v>
      </c>
    </row>
    <row r="1721" spans="1:8" x14ac:dyDescent="0.25">
      <c r="A1721" s="2">
        <v>44648</v>
      </c>
      <c r="B1721">
        <v>17924</v>
      </c>
      <c r="C1721">
        <v>52</v>
      </c>
      <c r="D1721">
        <v>133</v>
      </c>
      <c r="E1721">
        <v>0</v>
      </c>
      <c r="F1721" s="1">
        <f t="shared" si="26"/>
        <v>0</v>
      </c>
      <c r="G1721" s="1" t="str">
        <f>_xlfn.XLOOKUP(C1721,'Ocupação DW'!$F:$F,'Ocupação DW'!$E:$E,"",0)</f>
        <v/>
      </c>
      <c r="H1721" t="str">
        <f>Vagas[[#This Row],[data]]&amp;Vagas[[#This Row],[profissional_id]]&amp;Vagas[[#This Row],[local_id]]</f>
        <v>446481792452</v>
      </c>
    </row>
    <row r="1722" spans="1:8" x14ac:dyDescent="0.25">
      <c r="A1722" s="2">
        <v>44648</v>
      </c>
      <c r="B1722">
        <v>17931</v>
      </c>
      <c r="C1722">
        <v>11</v>
      </c>
      <c r="D1722">
        <v>0</v>
      </c>
      <c r="E1722">
        <v>2</v>
      </c>
      <c r="F1722" s="1">
        <f t="shared" si="26"/>
        <v>0</v>
      </c>
      <c r="G1722" s="1" t="str">
        <f>_xlfn.XLOOKUP(C1722,'Ocupação DW'!$F:$F,'Ocupação DW'!$E:$E,"",0)</f>
        <v>SEG - FILIAL II 11°</v>
      </c>
      <c r="H1722" t="str">
        <f>Vagas[[#This Row],[data]]&amp;Vagas[[#This Row],[profissional_id]]&amp;Vagas[[#This Row],[local_id]]</f>
        <v>446481793111</v>
      </c>
    </row>
    <row r="1723" spans="1:8" x14ac:dyDescent="0.25">
      <c r="A1723" s="2">
        <v>44648</v>
      </c>
      <c r="D1723">
        <v>0</v>
      </c>
      <c r="E1723">
        <v>0</v>
      </c>
      <c r="F1723" s="1">
        <f t="shared" si="26"/>
        <v>0</v>
      </c>
      <c r="G1723" s="1" t="str">
        <f>_xlfn.XLOOKUP(C1723,'Ocupação DW'!$F:$F,'Ocupação DW'!$E:$E,"",0)</f>
        <v/>
      </c>
      <c r="H1723" t="str">
        <f>Vagas[[#This Row],[data]]&amp;Vagas[[#This Row],[profissional_id]]&amp;Vagas[[#This Row],[local_id]]</f>
        <v>44648</v>
      </c>
    </row>
    <row r="1724" spans="1:8" x14ac:dyDescent="0.25">
      <c r="A1724" s="2">
        <v>44648</v>
      </c>
      <c r="D1724">
        <v>0</v>
      </c>
      <c r="E1724">
        <v>0</v>
      </c>
      <c r="F1724" s="1">
        <f t="shared" si="26"/>
        <v>0</v>
      </c>
      <c r="G1724" s="1" t="str">
        <f>_xlfn.XLOOKUP(C1724,'Ocupação DW'!$F:$F,'Ocupação DW'!$E:$E,"",0)</f>
        <v/>
      </c>
      <c r="H1724" t="str">
        <f>Vagas[[#This Row],[data]]&amp;Vagas[[#This Row],[profissional_id]]&amp;Vagas[[#This Row],[local_id]]</f>
        <v>44648</v>
      </c>
    </row>
    <row r="1725" spans="1:8" x14ac:dyDescent="0.25">
      <c r="A1725" s="2">
        <v>44648</v>
      </c>
      <c r="D1725">
        <v>0</v>
      </c>
      <c r="E1725">
        <v>0</v>
      </c>
      <c r="F1725" s="1">
        <f t="shared" si="26"/>
        <v>0</v>
      </c>
      <c r="G1725" s="1" t="str">
        <f>_xlfn.XLOOKUP(C1725,'Ocupação DW'!$F:$F,'Ocupação DW'!$E:$E,"",0)</f>
        <v/>
      </c>
      <c r="H1725" t="str">
        <f>Vagas[[#This Row],[data]]&amp;Vagas[[#This Row],[profissional_id]]&amp;Vagas[[#This Row],[local_id]]</f>
        <v>44648</v>
      </c>
    </row>
    <row r="1726" spans="1:8" x14ac:dyDescent="0.25">
      <c r="A1726" s="2">
        <v>44649</v>
      </c>
      <c r="B1726">
        <v>54</v>
      </c>
      <c r="D1726">
        <v>19</v>
      </c>
      <c r="E1726">
        <v>0</v>
      </c>
      <c r="F1726" s="1">
        <f t="shared" si="26"/>
        <v>0</v>
      </c>
      <c r="G1726" s="1" t="str">
        <f>_xlfn.XLOOKUP(C1726,'Ocupação DW'!$F:$F,'Ocupação DW'!$E:$E,"",0)</f>
        <v/>
      </c>
      <c r="H1726" t="str">
        <f>Vagas[[#This Row],[data]]&amp;Vagas[[#This Row],[profissional_id]]&amp;Vagas[[#This Row],[local_id]]</f>
        <v>4464954</v>
      </c>
    </row>
    <row r="1727" spans="1:8" x14ac:dyDescent="0.25">
      <c r="A1727" s="2">
        <v>44649</v>
      </c>
      <c r="B1727">
        <v>54</v>
      </c>
      <c r="C1727">
        <v>50</v>
      </c>
      <c r="D1727">
        <v>22</v>
      </c>
      <c r="E1727">
        <v>0</v>
      </c>
      <c r="F1727" s="1">
        <f t="shared" si="26"/>
        <v>0</v>
      </c>
      <c r="G1727" s="1" t="str">
        <f>_xlfn.XLOOKUP(C1727,'Ocupação DW'!$F:$F,'Ocupação DW'!$E:$E,"",0)</f>
        <v>SEG - FILIAL I</v>
      </c>
      <c r="H1727" t="str">
        <f>Vagas[[#This Row],[data]]&amp;Vagas[[#This Row],[profissional_id]]&amp;Vagas[[#This Row],[local_id]]</f>
        <v>446495450</v>
      </c>
    </row>
    <row r="1728" spans="1:8" x14ac:dyDescent="0.25">
      <c r="A1728" s="2">
        <v>44649</v>
      </c>
      <c r="B1728">
        <v>55</v>
      </c>
      <c r="D1728">
        <v>0</v>
      </c>
      <c r="E1728">
        <v>0</v>
      </c>
      <c r="F1728" s="1">
        <f t="shared" si="26"/>
        <v>0</v>
      </c>
      <c r="G1728" s="1" t="str">
        <f>_xlfn.XLOOKUP(C1728,'Ocupação DW'!$F:$F,'Ocupação DW'!$E:$E,"",0)</f>
        <v/>
      </c>
      <c r="H1728" t="str">
        <f>Vagas[[#This Row],[data]]&amp;Vagas[[#This Row],[profissional_id]]&amp;Vagas[[#This Row],[local_id]]</f>
        <v>4464955</v>
      </c>
    </row>
    <row r="1729" spans="1:8" x14ac:dyDescent="0.25">
      <c r="A1729" s="2">
        <v>44649</v>
      </c>
      <c r="B1729">
        <v>57</v>
      </c>
      <c r="C1729">
        <v>2</v>
      </c>
      <c r="D1729">
        <v>24</v>
      </c>
      <c r="E1729">
        <v>0</v>
      </c>
      <c r="F1729" s="1">
        <f t="shared" si="26"/>
        <v>0</v>
      </c>
      <c r="G1729" s="1" t="str">
        <f>_xlfn.XLOOKUP(C1729,'Ocupação DW'!$F:$F,'Ocupação DW'!$E:$E,"",0)</f>
        <v>SEG - FILIAL II 10°</v>
      </c>
      <c r="H1729" t="str">
        <f>Vagas[[#This Row],[data]]&amp;Vagas[[#This Row],[profissional_id]]&amp;Vagas[[#This Row],[local_id]]</f>
        <v>44649572</v>
      </c>
    </row>
    <row r="1730" spans="1:8" x14ac:dyDescent="0.25">
      <c r="A1730" s="2">
        <v>44649</v>
      </c>
      <c r="B1730">
        <v>59</v>
      </c>
      <c r="D1730">
        <v>7</v>
      </c>
      <c r="E1730">
        <v>7</v>
      </c>
      <c r="F1730" s="1">
        <f t="shared" ref="F1730:F1793" si="27">IF(AND(A1730=A1729,B1730=B1729,D1729&lt;&gt;0,D1730=0),D1729,0)</f>
        <v>0</v>
      </c>
      <c r="G1730" s="1" t="str">
        <f>_xlfn.XLOOKUP(C1730,'Ocupação DW'!$F:$F,'Ocupação DW'!$E:$E,"",0)</f>
        <v/>
      </c>
      <c r="H1730" t="str">
        <f>Vagas[[#This Row],[data]]&amp;Vagas[[#This Row],[profissional_id]]&amp;Vagas[[#This Row],[local_id]]</f>
        <v>4464959</v>
      </c>
    </row>
    <row r="1731" spans="1:8" x14ac:dyDescent="0.25">
      <c r="A1731" s="2">
        <v>44649</v>
      </c>
      <c r="B1731">
        <v>59</v>
      </c>
      <c r="C1731">
        <v>367</v>
      </c>
      <c r="D1731">
        <v>7</v>
      </c>
      <c r="E1731">
        <v>0</v>
      </c>
      <c r="F1731" s="1">
        <f t="shared" si="27"/>
        <v>0</v>
      </c>
      <c r="G1731" s="1" t="str">
        <f>_xlfn.XLOOKUP(C1731,'Ocupação DW'!$F:$F,'Ocupação DW'!$E:$E,"",0)</f>
        <v/>
      </c>
      <c r="H1731" t="str">
        <f>Vagas[[#This Row],[data]]&amp;Vagas[[#This Row],[profissional_id]]&amp;Vagas[[#This Row],[local_id]]</f>
        <v>4464959367</v>
      </c>
    </row>
    <row r="1732" spans="1:8" x14ac:dyDescent="0.25">
      <c r="A1732" s="2">
        <v>44649</v>
      </c>
      <c r="B1732">
        <v>60</v>
      </c>
      <c r="D1732">
        <v>12</v>
      </c>
      <c r="E1732">
        <v>0</v>
      </c>
      <c r="F1732" s="1">
        <f t="shared" si="27"/>
        <v>0</v>
      </c>
      <c r="G1732" s="1" t="str">
        <f>_xlfn.XLOOKUP(C1732,'Ocupação DW'!$F:$F,'Ocupação DW'!$E:$E,"",0)</f>
        <v/>
      </c>
      <c r="H1732" t="str">
        <f>Vagas[[#This Row],[data]]&amp;Vagas[[#This Row],[profissional_id]]&amp;Vagas[[#This Row],[local_id]]</f>
        <v>4464960</v>
      </c>
    </row>
    <row r="1733" spans="1:8" x14ac:dyDescent="0.25">
      <c r="A1733" s="2">
        <v>44649</v>
      </c>
      <c r="B1733">
        <v>60</v>
      </c>
      <c r="C1733">
        <v>345</v>
      </c>
      <c r="D1733">
        <v>0</v>
      </c>
      <c r="E1733">
        <v>0</v>
      </c>
      <c r="F1733" s="1">
        <f t="shared" si="27"/>
        <v>12</v>
      </c>
      <c r="G1733" s="1" t="str">
        <f>_xlfn.XLOOKUP(C1733,'Ocupação DW'!$F:$F,'Ocupação DW'!$E:$E,"",0)</f>
        <v>SEG - MATRIZ</v>
      </c>
      <c r="H1733" t="str">
        <f>Vagas[[#This Row],[data]]&amp;Vagas[[#This Row],[profissional_id]]&amp;Vagas[[#This Row],[local_id]]</f>
        <v>4464960345</v>
      </c>
    </row>
    <row r="1734" spans="1:8" x14ac:dyDescent="0.25">
      <c r="A1734" s="2">
        <v>44649</v>
      </c>
      <c r="B1734">
        <v>66</v>
      </c>
      <c r="D1734">
        <v>109</v>
      </c>
      <c r="E1734">
        <v>1</v>
      </c>
      <c r="F1734" s="1">
        <f t="shared" si="27"/>
        <v>0</v>
      </c>
      <c r="G1734" s="1" t="str">
        <f>_xlfn.XLOOKUP(C1734,'Ocupação DW'!$F:$F,'Ocupação DW'!$E:$E,"",0)</f>
        <v/>
      </c>
      <c r="H1734" t="str">
        <f>Vagas[[#This Row],[data]]&amp;Vagas[[#This Row],[profissional_id]]&amp;Vagas[[#This Row],[local_id]]</f>
        <v>4464966</v>
      </c>
    </row>
    <row r="1735" spans="1:8" x14ac:dyDescent="0.25">
      <c r="A1735" s="2">
        <v>44649</v>
      </c>
      <c r="B1735">
        <v>66</v>
      </c>
      <c r="C1735">
        <v>345</v>
      </c>
      <c r="D1735">
        <v>108</v>
      </c>
      <c r="E1735">
        <v>12</v>
      </c>
      <c r="F1735" s="1">
        <f t="shared" si="27"/>
        <v>0</v>
      </c>
      <c r="G1735" s="1" t="str">
        <f>_xlfn.XLOOKUP(C1735,'Ocupação DW'!$F:$F,'Ocupação DW'!$E:$E,"",0)</f>
        <v>SEG - MATRIZ</v>
      </c>
      <c r="H1735" t="str">
        <f>Vagas[[#This Row],[data]]&amp;Vagas[[#This Row],[profissional_id]]&amp;Vagas[[#This Row],[local_id]]</f>
        <v>4464966345</v>
      </c>
    </row>
    <row r="1736" spans="1:8" x14ac:dyDescent="0.25">
      <c r="A1736" s="2">
        <v>44649</v>
      </c>
      <c r="B1736">
        <v>67</v>
      </c>
      <c r="C1736">
        <v>8</v>
      </c>
      <c r="D1736">
        <v>0</v>
      </c>
      <c r="E1736">
        <v>0</v>
      </c>
      <c r="F1736" s="1">
        <f t="shared" si="27"/>
        <v>0</v>
      </c>
      <c r="G1736" s="1" t="str">
        <f>_xlfn.XLOOKUP(C1736,'Ocupação DW'!$F:$F,'Ocupação DW'!$E:$E,"",0)</f>
        <v>SEG - FILIAL II 10°</v>
      </c>
      <c r="H1736" t="str">
        <f>Vagas[[#This Row],[data]]&amp;Vagas[[#This Row],[profissional_id]]&amp;Vagas[[#This Row],[local_id]]</f>
        <v>44649678</v>
      </c>
    </row>
    <row r="1737" spans="1:8" x14ac:dyDescent="0.25">
      <c r="A1737" s="2">
        <v>44649</v>
      </c>
      <c r="B1737">
        <v>69</v>
      </c>
      <c r="D1737">
        <v>33</v>
      </c>
      <c r="E1737">
        <v>1</v>
      </c>
      <c r="F1737" s="1">
        <f t="shared" si="27"/>
        <v>0</v>
      </c>
      <c r="G1737" s="1" t="str">
        <f>_xlfn.XLOOKUP(C1737,'Ocupação DW'!$F:$F,'Ocupação DW'!$E:$E,"",0)</f>
        <v/>
      </c>
      <c r="H1737" t="str">
        <f>Vagas[[#This Row],[data]]&amp;Vagas[[#This Row],[profissional_id]]&amp;Vagas[[#This Row],[local_id]]</f>
        <v>4464969</v>
      </c>
    </row>
    <row r="1738" spans="1:8" x14ac:dyDescent="0.25">
      <c r="A1738" s="2">
        <v>44649</v>
      </c>
      <c r="B1738">
        <v>69</v>
      </c>
      <c r="C1738">
        <v>13</v>
      </c>
      <c r="D1738">
        <v>0</v>
      </c>
      <c r="E1738">
        <v>4</v>
      </c>
      <c r="F1738" s="1">
        <f t="shared" si="27"/>
        <v>33</v>
      </c>
      <c r="G1738" s="1" t="str">
        <f>_xlfn.XLOOKUP(C1738,'Ocupação DW'!$F:$F,'Ocupação DW'!$E:$E,"",0)</f>
        <v>SEG - FILIAL II 11°</v>
      </c>
      <c r="H1738" t="str">
        <f>Vagas[[#This Row],[data]]&amp;Vagas[[#This Row],[profissional_id]]&amp;Vagas[[#This Row],[local_id]]</f>
        <v>446496913</v>
      </c>
    </row>
    <row r="1739" spans="1:8" x14ac:dyDescent="0.25">
      <c r="A1739" s="2">
        <v>44649</v>
      </c>
      <c r="B1739">
        <v>70</v>
      </c>
      <c r="D1739">
        <v>0</v>
      </c>
      <c r="E1739">
        <v>0</v>
      </c>
      <c r="F1739" s="1">
        <f t="shared" si="27"/>
        <v>0</v>
      </c>
      <c r="G1739" s="1" t="str">
        <f>_xlfn.XLOOKUP(C1739,'Ocupação DW'!$F:$F,'Ocupação DW'!$E:$E,"",0)</f>
        <v/>
      </c>
      <c r="H1739" t="str">
        <f>Vagas[[#This Row],[data]]&amp;Vagas[[#This Row],[profissional_id]]&amp;Vagas[[#This Row],[local_id]]</f>
        <v>4464970</v>
      </c>
    </row>
    <row r="1740" spans="1:8" x14ac:dyDescent="0.25">
      <c r="A1740" s="2">
        <v>44649</v>
      </c>
      <c r="B1740">
        <v>72</v>
      </c>
      <c r="C1740">
        <v>334</v>
      </c>
      <c r="D1740">
        <v>5</v>
      </c>
      <c r="E1740">
        <v>0</v>
      </c>
      <c r="F1740" s="1">
        <f t="shared" si="27"/>
        <v>0</v>
      </c>
      <c r="G1740" s="1" t="str">
        <f>_xlfn.XLOOKUP(C1740,'Ocupação DW'!$F:$F,'Ocupação DW'!$E:$E,"",0)</f>
        <v>SEG - FILIAL I</v>
      </c>
      <c r="H1740" t="str">
        <f>Vagas[[#This Row],[data]]&amp;Vagas[[#This Row],[profissional_id]]&amp;Vagas[[#This Row],[local_id]]</f>
        <v>4464972334</v>
      </c>
    </row>
    <row r="1741" spans="1:8" x14ac:dyDescent="0.25">
      <c r="A1741" s="2">
        <v>44649</v>
      </c>
      <c r="B1741">
        <v>73</v>
      </c>
      <c r="D1741">
        <v>33</v>
      </c>
      <c r="E1741">
        <v>0</v>
      </c>
      <c r="F1741" s="1">
        <f t="shared" si="27"/>
        <v>0</v>
      </c>
      <c r="G1741" s="1" t="str">
        <f>_xlfn.XLOOKUP(C1741,'Ocupação DW'!$F:$F,'Ocupação DW'!$E:$E,"",0)</f>
        <v/>
      </c>
      <c r="H1741" t="str">
        <f>Vagas[[#This Row],[data]]&amp;Vagas[[#This Row],[profissional_id]]&amp;Vagas[[#This Row],[local_id]]</f>
        <v>4464973</v>
      </c>
    </row>
    <row r="1742" spans="1:8" x14ac:dyDescent="0.25">
      <c r="A1742" s="2">
        <v>44649</v>
      </c>
      <c r="B1742">
        <v>73</v>
      </c>
      <c r="C1742">
        <v>5</v>
      </c>
      <c r="D1742">
        <v>0</v>
      </c>
      <c r="E1742">
        <v>0</v>
      </c>
      <c r="F1742" s="1">
        <f t="shared" si="27"/>
        <v>33</v>
      </c>
      <c r="G1742" s="1" t="str">
        <f>_xlfn.XLOOKUP(C1742,'Ocupação DW'!$F:$F,'Ocupação DW'!$E:$E,"",0)</f>
        <v>SEG - FILIAL II 10°</v>
      </c>
      <c r="H1742" t="str">
        <f>Vagas[[#This Row],[data]]&amp;Vagas[[#This Row],[profissional_id]]&amp;Vagas[[#This Row],[local_id]]</f>
        <v>44649735</v>
      </c>
    </row>
    <row r="1743" spans="1:8" x14ac:dyDescent="0.25">
      <c r="A1743" s="2">
        <v>44649</v>
      </c>
      <c r="B1743">
        <v>81</v>
      </c>
      <c r="C1743">
        <v>41</v>
      </c>
      <c r="D1743">
        <v>0</v>
      </c>
      <c r="E1743">
        <v>0</v>
      </c>
      <c r="F1743" s="1">
        <f t="shared" si="27"/>
        <v>0</v>
      </c>
      <c r="G1743" s="1" t="str">
        <f>_xlfn.XLOOKUP(C1743,'Ocupação DW'!$F:$F,'Ocupação DW'!$E:$E,"",0)</f>
        <v>SEG - FILIAL I</v>
      </c>
      <c r="H1743" t="str">
        <f>Vagas[[#This Row],[data]]&amp;Vagas[[#This Row],[profissional_id]]&amp;Vagas[[#This Row],[local_id]]</f>
        <v>446498141</v>
      </c>
    </row>
    <row r="1744" spans="1:8" x14ac:dyDescent="0.25">
      <c r="A1744" s="2">
        <v>44649</v>
      </c>
      <c r="B1744">
        <v>81</v>
      </c>
      <c r="C1744">
        <v>71</v>
      </c>
      <c r="D1744">
        <v>0</v>
      </c>
      <c r="E1744">
        <v>0</v>
      </c>
      <c r="F1744" s="1">
        <f t="shared" si="27"/>
        <v>0</v>
      </c>
      <c r="G1744" s="1" t="str">
        <f>_xlfn.XLOOKUP(C1744,'Ocupação DW'!$F:$F,'Ocupação DW'!$E:$E,"",0)</f>
        <v>SEG - NILÓPOLIS</v>
      </c>
      <c r="H1744" t="str">
        <f>Vagas[[#This Row],[data]]&amp;Vagas[[#This Row],[profissional_id]]&amp;Vagas[[#This Row],[local_id]]</f>
        <v>446498171</v>
      </c>
    </row>
    <row r="1745" spans="1:8" x14ac:dyDescent="0.25">
      <c r="A1745" s="2">
        <v>44649</v>
      </c>
      <c r="B1745">
        <v>85</v>
      </c>
      <c r="C1745">
        <v>349</v>
      </c>
      <c r="D1745">
        <v>0</v>
      </c>
      <c r="E1745">
        <v>4</v>
      </c>
      <c r="F1745" s="1">
        <f t="shared" si="27"/>
        <v>0</v>
      </c>
      <c r="G1745" s="1" t="str">
        <f>_xlfn.XLOOKUP(C1745,'Ocupação DW'!$F:$F,'Ocupação DW'!$E:$E,"",0)</f>
        <v>SEG - FILIAL II 11°</v>
      </c>
      <c r="H1745" t="str">
        <f>Vagas[[#This Row],[data]]&amp;Vagas[[#This Row],[profissional_id]]&amp;Vagas[[#This Row],[local_id]]</f>
        <v>4464985349</v>
      </c>
    </row>
    <row r="1746" spans="1:8" x14ac:dyDescent="0.25">
      <c r="A1746" s="2">
        <v>44649</v>
      </c>
      <c r="B1746">
        <v>86</v>
      </c>
      <c r="D1746">
        <v>13</v>
      </c>
      <c r="E1746">
        <v>0</v>
      </c>
      <c r="F1746" s="1">
        <f t="shared" si="27"/>
        <v>0</v>
      </c>
      <c r="G1746" s="1" t="str">
        <f>_xlfn.XLOOKUP(C1746,'Ocupação DW'!$F:$F,'Ocupação DW'!$E:$E,"",0)</f>
        <v/>
      </c>
      <c r="H1746" t="str">
        <f>Vagas[[#This Row],[data]]&amp;Vagas[[#This Row],[profissional_id]]&amp;Vagas[[#This Row],[local_id]]</f>
        <v>4464986</v>
      </c>
    </row>
    <row r="1747" spans="1:8" x14ac:dyDescent="0.25">
      <c r="A1747" s="2">
        <v>44649</v>
      </c>
      <c r="B1747">
        <v>86</v>
      </c>
      <c r="C1747">
        <v>82</v>
      </c>
      <c r="D1747">
        <v>15</v>
      </c>
      <c r="E1747">
        <v>0</v>
      </c>
      <c r="F1747" s="1">
        <f t="shared" si="27"/>
        <v>0</v>
      </c>
      <c r="G1747" s="1" t="str">
        <f>_xlfn.XLOOKUP(C1747,'Ocupação DW'!$F:$F,'Ocupação DW'!$E:$E,"",0)</f>
        <v>SEG - MIGUEL COUTO</v>
      </c>
      <c r="H1747" t="str">
        <f>Vagas[[#This Row],[data]]&amp;Vagas[[#This Row],[profissional_id]]&amp;Vagas[[#This Row],[local_id]]</f>
        <v>446498682</v>
      </c>
    </row>
    <row r="1748" spans="1:8" x14ac:dyDescent="0.25">
      <c r="A1748" s="2">
        <v>44649</v>
      </c>
      <c r="B1748">
        <v>92</v>
      </c>
      <c r="C1748">
        <v>340</v>
      </c>
      <c r="D1748">
        <v>60</v>
      </c>
      <c r="E1748">
        <v>0</v>
      </c>
      <c r="F1748" s="1">
        <f t="shared" si="27"/>
        <v>0</v>
      </c>
      <c r="G1748" s="1" t="str">
        <f>_xlfn.XLOOKUP(C1748,'Ocupação DW'!$F:$F,'Ocupação DW'!$E:$E,"",0)</f>
        <v>SEG - MATRIZ</v>
      </c>
      <c r="H1748" t="str">
        <f>Vagas[[#This Row],[data]]&amp;Vagas[[#This Row],[profissional_id]]&amp;Vagas[[#This Row],[local_id]]</f>
        <v>4464992340</v>
      </c>
    </row>
    <row r="1749" spans="1:8" x14ac:dyDescent="0.25">
      <c r="A1749" s="2">
        <v>44649</v>
      </c>
      <c r="B1749">
        <v>100</v>
      </c>
      <c r="D1749">
        <v>13</v>
      </c>
      <c r="E1749">
        <v>0</v>
      </c>
      <c r="F1749" s="1">
        <f t="shared" si="27"/>
        <v>0</v>
      </c>
      <c r="G1749" s="1" t="str">
        <f>_xlfn.XLOOKUP(C1749,'Ocupação DW'!$F:$F,'Ocupação DW'!$E:$E,"",0)</f>
        <v/>
      </c>
      <c r="H1749" t="str">
        <f>Vagas[[#This Row],[data]]&amp;Vagas[[#This Row],[profissional_id]]&amp;Vagas[[#This Row],[local_id]]</f>
        <v>44649100</v>
      </c>
    </row>
    <row r="1750" spans="1:8" x14ac:dyDescent="0.25">
      <c r="A1750" s="2">
        <v>44649</v>
      </c>
      <c r="B1750">
        <v>110</v>
      </c>
      <c r="D1750">
        <v>19</v>
      </c>
      <c r="E1750">
        <v>0</v>
      </c>
      <c r="F1750" s="1">
        <f t="shared" si="27"/>
        <v>0</v>
      </c>
      <c r="G1750" s="1" t="str">
        <f>_xlfn.XLOOKUP(C1750,'Ocupação DW'!$F:$F,'Ocupação DW'!$E:$E,"",0)</f>
        <v/>
      </c>
      <c r="H1750" t="str">
        <f>Vagas[[#This Row],[data]]&amp;Vagas[[#This Row],[profissional_id]]&amp;Vagas[[#This Row],[local_id]]</f>
        <v>44649110</v>
      </c>
    </row>
    <row r="1751" spans="1:8" x14ac:dyDescent="0.25">
      <c r="A1751" s="2">
        <v>44649</v>
      </c>
      <c r="B1751">
        <v>110</v>
      </c>
      <c r="C1751">
        <v>334</v>
      </c>
      <c r="D1751">
        <v>0</v>
      </c>
      <c r="E1751">
        <v>0</v>
      </c>
      <c r="F1751" s="1">
        <f t="shared" si="27"/>
        <v>19</v>
      </c>
      <c r="G1751" s="1" t="str">
        <f>_xlfn.XLOOKUP(C1751,'Ocupação DW'!$F:$F,'Ocupação DW'!$E:$E,"",0)</f>
        <v>SEG - FILIAL I</v>
      </c>
      <c r="H1751" t="str">
        <f>Vagas[[#This Row],[data]]&amp;Vagas[[#This Row],[profissional_id]]&amp;Vagas[[#This Row],[local_id]]</f>
        <v>44649110334</v>
      </c>
    </row>
    <row r="1752" spans="1:8" x14ac:dyDescent="0.25">
      <c r="A1752" s="2">
        <v>44649</v>
      </c>
      <c r="B1752">
        <v>111</v>
      </c>
      <c r="C1752">
        <v>51</v>
      </c>
      <c r="D1752">
        <v>39</v>
      </c>
      <c r="E1752">
        <v>0</v>
      </c>
      <c r="F1752" s="1">
        <f t="shared" si="27"/>
        <v>0</v>
      </c>
      <c r="G1752" s="1" t="str">
        <f>_xlfn.XLOOKUP(C1752,'Ocupação DW'!$F:$F,'Ocupação DW'!$E:$E,"",0)</f>
        <v>SEG - FILIAL I</v>
      </c>
      <c r="H1752" t="str">
        <f>Vagas[[#This Row],[data]]&amp;Vagas[[#This Row],[profissional_id]]&amp;Vagas[[#This Row],[local_id]]</f>
        <v>4464911151</v>
      </c>
    </row>
    <row r="1753" spans="1:8" x14ac:dyDescent="0.25">
      <c r="A1753" s="2">
        <v>44649</v>
      </c>
      <c r="B1753">
        <v>123</v>
      </c>
      <c r="D1753">
        <v>11</v>
      </c>
      <c r="E1753">
        <v>0</v>
      </c>
      <c r="F1753" s="1">
        <f t="shared" si="27"/>
        <v>0</v>
      </c>
      <c r="G1753" s="1" t="str">
        <f>_xlfn.XLOOKUP(C1753,'Ocupação DW'!$F:$F,'Ocupação DW'!$E:$E,"",0)</f>
        <v/>
      </c>
      <c r="H1753" t="str">
        <f>Vagas[[#This Row],[data]]&amp;Vagas[[#This Row],[profissional_id]]&amp;Vagas[[#This Row],[local_id]]</f>
        <v>44649123</v>
      </c>
    </row>
    <row r="1754" spans="1:8" x14ac:dyDescent="0.25">
      <c r="A1754" s="2">
        <v>44649</v>
      </c>
      <c r="B1754">
        <v>123</v>
      </c>
      <c r="C1754">
        <v>351</v>
      </c>
      <c r="D1754">
        <v>11</v>
      </c>
      <c r="E1754">
        <v>0</v>
      </c>
      <c r="F1754" s="1">
        <f t="shared" si="27"/>
        <v>0</v>
      </c>
      <c r="G1754" s="1" t="str">
        <f>_xlfn.XLOOKUP(C1754,'Ocupação DW'!$F:$F,'Ocupação DW'!$E:$E,"",0)</f>
        <v>SEG - FILIAL I</v>
      </c>
      <c r="H1754" t="str">
        <f>Vagas[[#This Row],[data]]&amp;Vagas[[#This Row],[profissional_id]]&amp;Vagas[[#This Row],[local_id]]</f>
        <v>44649123351</v>
      </c>
    </row>
    <row r="1755" spans="1:8" x14ac:dyDescent="0.25">
      <c r="A1755" s="2">
        <v>44649</v>
      </c>
      <c r="B1755">
        <v>266</v>
      </c>
      <c r="C1755">
        <v>42</v>
      </c>
      <c r="D1755">
        <v>0</v>
      </c>
      <c r="E1755">
        <v>0</v>
      </c>
      <c r="F1755" s="1">
        <f t="shared" si="27"/>
        <v>0</v>
      </c>
      <c r="G1755" s="1" t="str">
        <f>_xlfn.XLOOKUP(C1755,'Ocupação DW'!$F:$F,'Ocupação DW'!$E:$E,"",0)</f>
        <v>SEG - FILIAL I</v>
      </c>
      <c r="H1755" t="str">
        <f>Vagas[[#This Row],[data]]&amp;Vagas[[#This Row],[profissional_id]]&amp;Vagas[[#This Row],[local_id]]</f>
        <v>4464926642</v>
      </c>
    </row>
    <row r="1756" spans="1:8" x14ac:dyDescent="0.25">
      <c r="A1756" s="2">
        <v>44649</v>
      </c>
      <c r="B1756">
        <v>282</v>
      </c>
      <c r="D1756">
        <v>134</v>
      </c>
      <c r="E1756">
        <v>0</v>
      </c>
      <c r="F1756" s="1">
        <f t="shared" si="27"/>
        <v>0</v>
      </c>
      <c r="G1756" s="1" t="str">
        <f>_xlfn.XLOOKUP(C1756,'Ocupação DW'!$F:$F,'Ocupação DW'!$E:$E,"",0)</f>
        <v/>
      </c>
      <c r="H1756" t="str">
        <f>Vagas[[#This Row],[data]]&amp;Vagas[[#This Row],[profissional_id]]&amp;Vagas[[#This Row],[local_id]]</f>
        <v>44649282</v>
      </c>
    </row>
    <row r="1757" spans="1:8" x14ac:dyDescent="0.25">
      <c r="A1757" s="2">
        <v>44649</v>
      </c>
      <c r="B1757">
        <v>282</v>
      </c>
      <c r="C1757">
        <v>39</v>
      </c>
      <c r="D1757">
        <v>52</v>
      </c>
      <c r="E1757">
        <v>0</v>
      </c>
      <c r="F1757" s="1">
        <f t="shared" si="27"/>
        <v>0</v>
      </c>
      <c r="G1757" s="1" t="str">
        <f>_xlfn.XLOOKUP(C1757,'Ocupação DW'!$F:$F,'Ocupação DW'!$E:$E,"",0)</f>
        <v>SEG - FILIAL I</v>
      </c>
      <c r="H1757" t="str">
        <f>Vagas[[#This Row],[data]]&amp;Vagas[[#This Row],[profissional_id]]&amp;Vagas[[#This Row],[local_id]]</f>
        <v>4464928239</v>
      </c>
    </row>
    <row r="1758" spans="1:8" x14ac:dyDescent="0.25">
      <c r="A1758" s="2">
        <v>44649</v>
      </c>
      <c r="B1758">
        <v>282</v>
      </c>
      <c r="C1758">
        <v>48</v>
      </c>
      <c r="D1758">
        <v>0</v>
      </c>
      <c r="E1758">
        <v>0</v>
      </c>
      <c r="F1758" s="1">
        <f t="shared" si="27"/>
        <v>52</v>
      </c>
      <c r="G1758" s="1" t="str">
        <f>_xlfn.XLOOKUP(C1758,'Ocupação DW'!$F:$F,'Ocupação DW'!$E:$E,"",0)</f>
        <v>SEG - FILIAL I</v>
      </c>
      <c r="H1758" t="str">
        <f>Vagas[[#This Row],[data]]&amp;Vagas[[#This Row],[profissional_id]]&amp;Vagas[[#This Row],[local_id]]</f>
        <v>4464928248</v>
      </c>
    </row>
    <row r="1759" spans="1:8" x14ac:dyDescent="0.25">
      <c r="A1759" s="2">
        <v>44649</v>
      </c>
      <c r="B1759">
        <v>1343</v>
      </c>
      <c r="D1759">
        <v>13</v>
      </c>
      <c r="E1759">
        <v>0</v>
      </c>
      <c r="F1759" s="1">
        <f t="shared" si="27"/>
        <v>0</v>
      </c>
      <c r="G1759" s="1" t="str">
        <f>_xlfn.XLOOKUP(C1759,'Ocupação DW'!$F:$F,'Ocupação DW'!$E:$E,"",0)</f>
        <v/>
      </c>
      <c r="H1759" t="str">
        <f>Vagas[[#This Row],[data]]&amp;Vagas[[#This Row],[profissional_id]]&amp;Vagas[[#This Row],[local_id]]</f>
        <v>446491343</v>
      </c>
    </row>
    <row r="1760" spans="1:8" x14ac:dyDescent="0.25">
      <c r="A1760" s="2">
        <v>44649</v>
      </c>
      <c r="B1760">
        <v>1490</v>
      </c>
      <c r="D1760">
        <v>0</v>
      </c>
      <c r="E1760">
        <v>0</v>
      </c>
      <c r="F1760" s="1">
        <f t="shared" si="27"/>
        <v>0</v>
      </c>
      <c r="G1760" s="1" t="str">
        <f>_xlfn.XLOOKUP(C1760,'Ocupação DW'!$F:$F,'Ocupação DW'!$E:$E,"",0)</f>
        <v/>
      </c>
      <c r="H1760" t="str">
        <f>Vagas[[#This Row],[data]]&amp;Vagas[[#This Row],[profissional_id]]&amp;Vagas[[#This Row],[local_id]]</f>
        <v>446491490</v>
      </c>
    </row>
    <row r="1761" spans="1:8" x14ac:dyDescent="0.25">
      <c r="A1761" s="2">
        <v>44649</v>
      </c>
      <c r="B1761">
        <v>1586</v>
      </c>
      <c r="C1761">
        <v>67</v>
      </c>
      <c r="D1761">
        <v>0</v>
      </c>
      <c r="E1761">
        <v>0</v>
      </c>
      <c r="F1761" s="1">
        <f t="shared" si="27"/>
        <v>0</v>
      </c>
      <c r="G1761" s="1" t="str">
        <f>_xlfn.XLOOKUP(C1761,'Ocupação DW'!$F:$F,'Ocupação DW'!$E:$E,"",0)</f>
        <v>SEG - NILÓPOLIS</v>
      </c>
      <c r="H1761" t="str">
        <f>Vagas[[#This Row],[data]]&amp;Vagas[[#This Row],[profissional_id]]&amp;Vagas[[#This Row],[local_id]]</f>
        <v>44649158667</v>
      </c>
    </row>
    <row r="1762" spans="1:8" x14ac:dyDescent="0.25">
      <c r="A1762" s="2">
        <v>44649</v>
      </c>
      <c r="B1762">
        <v>2334</v>
      </c>
      <c r="D1762">
        <v>0</v>
      </c>
      <c r="E1762">
        <v>0</v>
      </c>
      <c r="F1762" s="1">
        <f t="shared" si="27"/>
        <v>0</v>
      </c>
      <c r="G1762" s="1" t="str">
        <f>_xlfn.XLOOKUP(C1762,'Ocupação DW'!$F:$F,'Ocupação DW'!$E:$E,"",0)</f>
        <v/>
      </c>
      <c r="H1762" t="str">
        <f>Vagas[[#This Row],[data]]&amp;Vagas[[#This Row],[profissional_id]]&amp;Vagas[[#This Row],[local_id]]</f>
        <v>446492334</v>
      </c>
    </row>
    <row r="1763" spans="1:8" x14ac:dyDescent="0.25">
      <c r="A1763" s="2">
        <v>44649</v>
      </c>
      <c r="B1763">
        <v>2730</v>
      </c>
      <c r="C1763">
        <v>3</v>
      </c>
      <c r="D1763">
        <v>15</v>
      </c>
      <c r="E1763">
        <v>0</v>
      </c>
      <c r="F1763" s="1">
        <f t="shared" si="27"/>
        <v>0</v>
      </c>
      <c r="G1763" s="1" t="str">
        <f>_xlfn.XLOOKUP(C1763,'Ocupação DW'!$F:$F,'Ocupação DW'!$E:$E,"",0)</f>
        <v>SEG - FILIAL II 10°</v>
      </c>
      <c r="H1763" t="str">
        <f>Vagas[[#This Row],[data]]&amp;Vagas[[#This Row],[profissional_id]]&amp;Vagas[[#This Row],[local_id]]</f>
        <v>4464927303</v>
      </c>
    </row>
    <row r="1764" spans="1:8" x14ac:dyDescent="0.25">
      <c r="A1764" s="2">
        <v>44649</v>
      </c>
      <c r="B1764">
        <v>3092</v>
      </c>
      <c r="D1764">
        <v>0</v>
      </c>
      <c r="E1764">
        <v>0</v>
      </c>
      <c r="F1764" s="1">
        <f t="shared" si="27"/>
        <v>0</v>
      </c>
      <c r="G1764" s="1" t="str">
        <f>_xlfn.XLOOKUP(C1764,'Ocupação DW'!$F:$F,'Ocupação DW'!$E:$E,"",0)</f>
        <v/>
      </c>
      <c r="H1764" t="str">
        <f>Vagas[[#This Row],[data]]&amp;Vagas[[#This Row],[profissional_id]]&amp;Vagas[[#This Row],[local_id]]</f>
        <v>446493092</v>
      </c>
    </row>
    <row r="1765" spans="1:8" x14ac:dyDescent="0.25">
      <c r="A1765" s="2">
        <v>44649</v>
      </c>
      <c r="B1765">
        <v>3502</v>
      </c>
      <c r="D1765">
        <v>0</v>
      </c>
      <c r="E1765">
        <v>0</v>
      </c>
      <c r="F1765" s="1">
        <f t="shared" si="27"/>
        <v>0</v>
      </c>
      <c r="G1765" s="1" t="str">
        <f>_xlfn.XLOOKUP(C1765,'Ocupação DW'!$F:$F,'Ocupação DW'!$E:$E,"",0)</f>
        <v/>
      </c>
      <c r="H1765" t="str">
        <f>Vagas[[#This Row],[data]]&amp;Vagas[[#This Row],[profissional_id]]&amp;Vagas[[#This Row],[local_id]]</f>
        <v>446493502</v>
      </c>
    </row>
    <row r="1766" spans="1:8" x14ac:dyDescent="0.25">
      <c r="A1766" s="2">
        <v>44649</v>
      </c>
      <c r="B1766">
        <v>4433</v>
      </c>
      <c r="C1766">
        <v>341</v>
      </c>
      <c r="D1766">
        <v>72</v>
      </c>
      <c r="E1766">
        <v>0</v>
      </c>
      <c r="F1766" s="1">
        <f t="shared" si="27"/>
        <v>0</v>
      </c>
      <c r="G1766" s="1" t="str">
        <f>_xlfn.XLOOKUP(C1766,'Ocupação DW'!$F:$F,'Ocupação DW'!$E:$E,"",0)</f>
        <v/>
      </c>
      <c r="H1766" t="str">
        <f>Vagas[[#This Row],[data]]&amp;Vagas[[#This Row],[profissional_id]]&amp;Vagas[[#This Row],[local_id]]</f>
        <v>446494433341</v>
      </c>
    </row>
    <row r="1767" spans="1:8" x14ac:dyDescent="0.25">
      <c r="A1767" s="2">
        <v>44649</v>
      </c>
      <c r="B1767">
        <v>4814</v>
      </c>
      <c r="C1767">
        <v>17</v>
      </c>
      <c r="D1767">
        <v>0</v>
      </c>
      <c r="E1767">
        <v>0</v>
      </c>
      <c r="F1767" s="1">
        <f t="shared" si="27"/>
        <v>0</v>
      </c>
      <c r="G1767" s="1" t="str">
        <f>_xlfn.XLOOKUP(C1767,'Ocupação DW'!$F:$F,'Ocupação DW'!$E:$E,"",0)</f>
        <v>SEG - FILIAL II 11°</v>
      </c>
      <c r="H1767" t="str">
        <f>Vagas[[#This Row],[data]]&amp;Vagas[[#This Row],[profissional_id]]&amp;Vagas[[#This Row],[local_id]]</f>
        <v>44649481417</v>
      </c>
    </row>
    <row r="1768" spans="1:8" x14ac:dyDescent="0.25">
      <c r="A1768" s="2">
        <v>44649</v>
      </c>
      <c r="B1768">
        <v>6046</v>
      </c>
      <c r="D1768">
        <v>0</v>
      </c>
      <c r="E1768">
        <v>0</v>
      </c>
      <c r="F1768" s="1">
        <f t="shared" si="27"/>
        <v>0</v>
      </c>
      <c r="G1768" s="1" t="str">
        <f>_xlfn.XLOOKUP(C1768,'Ocupação DW'!$F:$F,'Ocupação DW'!$E:$E,"",0)</f>
        <v/>
      </c>
      <c r="H1768" t="str">
        <f>Vagas[[#This Row],[data]]&amp;Vagas[[#This Row],[profissional_id]]&amp;Vagas[[#This Row],[local_id]]</f>
        <v>446496046</v>
      </c>
    </row>
    <row r="1769" spans="1:8" x14ac:dyDescent="0.25">
      <c r="A1769" s="2">
        <v>44649</v>
      </c>
      <c r="B1769">
        <v>6430</v>
      </c>
      <c r="D1769">
        <v>0</v>
      </c>
      <c r="E1769">
        <v>0</v>
      </c>
      <c r="F1769" s="1">
        <f t="shared" si="27"/>
        <v>0</v>
      </c>
      <c r="G1769" s="1" t="str">
        <f>_xlfn.XLOOKUP(C1769,'Ocupação DW'!$F:$F,'Ocupação DW'!$E:$E,"",0)</f>
        <v/>
      </c>
      <c r="H1769" t="str">
        <f>Vagas[[#This Row],[data]]&amp;Vagas[[#This Row],[profissional_id]]&amp;Vagas[[#This Row],[local_id]]</f>
        <v>446496430</v>
      </c>
    </row>
    <row r="1770" spans="1:8" x14ac:dyDescent="0.25">
      <c r="A1770" s="2">
        <v>44649</v>
      </c>
      <c r="B1770">
        <v>6839</v>
      </c>
      <c r="C1770">
        <v>60</v>
      </c>
      <c r="D1770">
        <v>60</v>
      </c>
      <c r="E1770">
        <v>0</v>
      </c>
      <c r="F1770" s="1">
        <f t="shared" si="27"/>
        <v>0</v>
      </c>
      <c r="G1770" s="1" t="str">
        <f>_xlfn.XLOOKUP(C1770,'Ocupação DW'!$F:$F,'Ocupação DW'!$E:$E,"",0)</f>
        <v>SEG - NILÓPOLIS</v>
      </c>
      <c r="H1770" t="str">
        <f>Vagas[[#This Row],[data]]&amp;Vagas[[#This Row],[profissional_id]]&amp;Vagas[[#This Row],[local_id]]</f>
        <v>44649683960</v>
      </c>
    </row>
    <row r="1771" spans="1:8" x14ac:dyDescent="0.25">
      <c r="A1771" s="2">
        <v>44649</v>
      </c>
      <c r="B1771">
        <v>6839</v>
      </c>
      <c r="C1771">
        <v>374</v>
      </c>
      <c r="D1771">
        <v>48</v>
      </c>
      <c r="E1771">
        <v>0</v>
      </c>
      <c r="F1771" s="1">
        <f t="shared" si="27"/>
        <v>0</v>
      </c>
      <c r="G1771" s="1" t="str">
        <f>_xlfn.XLOOKUP(C1771,'Ocupação DW'!$F:$F,'Ocupação DW'!$E:$E,"",0)</f>
        <v/>
      </c>
      <c r="H1771" t="str">
        <f>Vagas[[#This Row],[data]]&amp;Vagas[[#This Row],[profissional_id]]&amp;Vagas[[#This Row],[local_id]]</f>
        <v>446496839374</v>
      </c>
    </row>
    <row r="1772" spans="1:8" x14ac:dyDescent="0.25">
      <c r="A1772" s="2">
        <v>44649</v>
      </c>
      <c r="B1772">
        <v>7290</v>
      </c>
      <c r="C1772">
        <v>18</v>
      </c>
      <c r="D1772">
        <v>0</v>
      </c>
      <c r="E1772">
        <v>6</v>
      </c>
      <c r="F1772" s="1">
        <f t="shared" si="27"/>
        <v>0</v>
      </c>
      <c r="G1772" s="1" t="str">
        <f>_xlfn.XLOOKUP(C1772,'Ocupação DW'!$F:$F,'Ocupação DW'!$E:$E,"",0)</f>
        <v>SEG - FILIAL II 11°</v>
      </c>
      <c r="H1772" t="str">
        <f>Vagas[[#This Row],[data]]&amp;Vagas[[#This Row],[profissional_id]]&amp;Vagas[[#This Row],[local_id]]</f>
        <v>44649729018</v>
      </c>
    </row>
    <row r="1773" spans="1:8" x14ac:dyDescent="0.25">
      <c r="A1773" s="2">
        <v>44649</v>
      </c>
      <c r="B1773">
        <v>8239</v>
      </c>
      <c r="C1773">
        <v>345</v>
      </c>
      <c r="D1773">
        <v>0</v>
      </c>
      <c r="E1773">
        <v>0</v>
      </c>
      <c r="F1773" s="1">
        <f t="shared" si="27"/>
        <v>0</v>
      </c>
      <c r="G1773" s="1" t="str">
        <f>_xlfn.XLOOKUP(C1773,'Ocupação DW'!$F:$F,'Ocupação DW'!$E:$E,"",0)</f>
        <v>SEG - MATRIZ</v>
      </c>
      <c r="H1773" t="str">
        <f>Vagas[[#This Row],[data]]&amp;Vagas[[#This Row],[profissional_id]]&amp;Vagas[[#This Row],[local_id]]</f>
        <v>446498239345</v>
      </c>
    </row>
    <row r="1774" spans="1:8" x14ac:dyDescent="0.25">
      <c r="A1774" s="2">
        <v>44649</v>
      </c>
      <c r="B1774">
        <v>8239</v>
      </c>
      <c r="C1774">
        <v>14</v>
      </c>
      <c r="D1774">
        <v>0</v>
      </c>
      <c r="E1774">
        <v>0</v>
      </c>
      <c r="F1774" s="1">
        <f t="shared" si="27"/>
        <v>0</v>
      </c>
      <c r="G1774" s="1" t="str">
        <f>_xlfn.XLOOKUP(C1774,'Ocupação DW'!$F:$F,'Ocupação DW'!$E:$E,"",0)</f>
        <v>SEG - FILIAL II 11°</v>
      </c>
      <c r="H1774" t="str">
        <f>Vagas[[#This Row],[data]]&amp;Vagas[[#This Row],[profissional_id]]&amp;Vagas[[#This Row],[local_id]]</f>
        <v>44649823914</v>
      </c>
    </row>
    <row r="1775" spans="1:8" x14ac:dyDescent="0.25">
      <c r="A1775" s="2">
        <v>44649</v>
      </c>
      <c r="B1775">
        <v>8598</v>
      </c>
      <c r="D1775">
        <v>0</v>
      </c>
      <c r="E1775">
        <v>0</v>
      </c>
      <c r="F1775" s="1">
        <f t="shared" si="27"/>
        <v>0</v>
      </c>
      <c r="G1775" s="1" t="str">
        <f>_xlfn.XLOOKUP(C1775,'Ocupação DW'!$F:$F,'Ocupação DW'!$E:$E,"",0)</f>
        <v/>
      </c>
      <c r="H1775" t="str">
        <f>Vagas[[#This Row],[data]]&amp;Vagas[[#This Row],[profissional_id]]&amp;Vagas[[#This Row],[local_id]]</f>
        <v>446498598</v>
      </c>
    </row>
    <row r="1776" spans="1:8" x14ac:dyDescent="0.25">
      <c r="A1776" s="2">
        <v>44649</v>
      </c>
      <c r="B1776">
        <v>9111</v>
      </c>
      <c r="D1776">
        <v>37</v>
      </c>
      <c r="E1776">
        <v>0</v>
      </c>
      <c r="F1776" s="1">
        <f t="shared" si="27"/>
        <v>0</v>
      </c>
      <c r="G1776" s="1" t="str">
        <f>_xlfn.XLOOKUP(C1776,'Ocupação DW'!$F:$F,'Ocupação DW'!$E:$E,"",0)</f>
        <v/>
      </c>
      <c r="H1776" t="str">
        <f>Vagas[[#This Row],[data]]&amp;Vagas[[#This Row],[profissional_id]]&amp;Vagas[[#This Row],[local_id]]</f>
        <v>446499111</v>
      </c>
    </row>
    <row r="1777" spans="1:8" x14ac:dyDescent="0.25">
      <c r="A1777" s="2">
        <v>44649</v>
      </c>
      <c r="B1777">
        <v>9111</v>
      </c>
      <c r="C1777">
        <v>335</v>
      </c>
      <c r="D1777">
        <v>0</v>
      </c>
      <c r="E1777">
        <v>0</v>
      </c>
      <c r="F1777" s="1">
        <f t="shared" si="27"/>
        <v>37</v>
      </c>
      <c r="G1777" s="1" t="str">
        <f>_xlfn.XLOOKUP(C1777,'Ocupação DW'!$F:$F,'Ocupação DW'!$E:$E,"",0)</f>
        <v>SEG - FILIAL I</v>
      </c>
      <c r="H1777" t="str">
        <f>Vagas[[#This Row],[data]]&amp;Vagas[[#This Row],[profissional_id]]&amp;Vagas[[#This Row],[local_id]]</f>
        <v>446499111335</v>
      </c>
    </row>
    <row r="1778" spans="1:8" x14ac:dyDescent="0.25">
      <c r="A1778" s="2">
        <v>44649</v>
      </c>
      <c r="B1778">
        <v>9138</v>
      </c>
      <c r="C1778">
        <v>344</v>
      </c>
      <c r="D1778">
        <v>0</v>
      </c>
      <c r="E1778">
        <v>0</v>
      </c>
      <c r="F1778" s="1">
        <f t="shared" si="27"/>
        <v>0</v>
      </c>
      <c r="G1778" s="1" t="str">
        <f>_xlfn.XLOOKUP(C1778,'Ocupação DW'!$F:$F,'Ocupação DW'!$E:$E,"",0)</f>
        <v>SEG - MATRIZ</v>
      </c>
      <c r="H1778" t="str">
        <f>Vagas[[#This Row],[data]]&amp;Vagas[[#This Row],[profissional_id]]&amp;Vagas[[#This Row],[local_id]]</f>
        <v>446499138344</v>
      </c>
    </row>
    <row r="1779" spans="1:8" x14ac:dyDescent="0.25">
      <c r="A1779" s="2">
        <v>44649</v>
      </c>
      <c r="B1779">
        <v>9237</v>
      </c>
      <c r="C1779">
        <v>343</v>
      </c>
      <c r="D1779">
        <v>108</v>
      </c>
      <c r="E1779">
        <v>12</v>
      </c>
      <c r="F1779" s="1">
        <f t="shared" si="27"/>
        <v>0</v>
      </c>
      <c r="G1779" s="1" t="str">
        <f>_xlfn.XLOOKUP(C1779,'Ocupação DW'!$F:$F,'Ocupação DW'!$E:$E,"",0)</f>
        <v/>
      </c>
      <c r="H1779" t="str">
        <f>Vagas[[#This Row],[data]]&amp;Vagas[[#This Row],[profissional_id]]&amp;Vagas[[#This Row],[local_id]]</f>
        <v>446499237343</v>
      </c>
    </row>
    <row r="1780" spans="1:8" x14ac:dyDescent="0.25">
      <c r="A1780" s="2">
        <v>44649</v>
      </c>
      <c r="B1780">
        <v>9717</v>
      </c>
      <c r="D1780">
        <v>0</v>
      </c>
      <c r="E1780">
        <v>0</v>
      </c>
      <c r="F1780" s="1">
        <f t="shared" si="27"/>
        <v>0</v>
      </c>
      <c r="G1780" s="1" t="str">
        <f>_xlfn.XLOOKUP(C1780,'Ocupação DW'!$F:$F,'Ocupação DW'!$E:$E,"",0)</f>
        <v/>
      </c>
      <c r="H1780" t="str">
        <f>Vagas[[#This Row],[data]]&amp;Vagas[[#This Row],[profissional_id]]&amp;Vagas[[#This Row],[local_id]]</f>
        <v>446499717</v>
      </c>
    </row>
    <row r="1781" spans="1:8" x14ac:dyDescent="0.25">
      <c r="A1781" s="2">
        <v>44649</v>
      </c>
      <c r="B1781">
        <v>10249</v>
      </c>
      <c r="D1781">
        <v>0</v>
      </c>
      <c r="E1781">
        <v>0</v>
      </c>
      <c r="F1781" s="1">
        <f t="shared" si="27"/>
        <v>0</v>
      </c>
      <c r="G1781" s="1" t="str">
        <f>_xlfn.XLOOKUP(C1781,'Ocupação DW'!$F:$F,'Ocupação DW'!$E:$E,"",0)</f>
        <v/>
      </c>
      <c r="H1781" t="str">
        <f>Vagas[[#This Row],[data]]&amp;Vagas[[#This Row],[profissional_id]]&amp;Vagas[[#This Row],[local_id]]</f>
        <v>4464910249</v>
      </c>
    </row>
    <row r="1782" spans="1:8" x14ac:dyDescent="0.25">
      <c r="A1782" s="2">
        <v>44649</v>
      </c>
      <c r="B1782">
        <v>10595</v>
      </c>
      <c r="D1782">
        <v>0</v>
      </c>
      <c r="E1782">
        <v>0</v>
      </c>
      <c r="F1782" s="1">
        <f t="shared" si="27"/>
        <v>0</v>
      </c>
      <c r="G1782" s="1" t="str">
        <f>_xlfn.XLOOKUP(C1782,'Ocupação DW'!$F:$F,'Ocupação DW'!$E:$E,"",0)</f>
        <v/>
      </c>
      <c r="H1782" t="str">
        <f>Vagas[[#This Row],[data]]&amp;Vagas[[#This Row],[profissional_id]]&amp;Vagas[[#This Row],[local_id]]</f>
        <v>4464910595</v>
      </c>
    </row>
    <row r="1783" spans="1:8" x14ac:dyDescent="0.25">
      <c r="A1783" s="2">
        <v>44649</v>
      </c>
      <c r="B1783">
        <v>10600</v>
      </c>
      <c r="C1783">
        <v>86</v>
      </c>
      <c r="D1783">
        <v>0</v>
      </c>
      <c r="E1783">
        <v>0</v>
      </c>
      <c r="F1783" s="1">
        <f t="shared" si="27"/>
        <v>0</v>
      </c>
      <c r="G1783" s="1" t="str">
        <f>_xlfn.XLOOKUP(C1783,'Ocupação DW'!$F:$F,'Ocupação DW'!$E:$E,"",0)</f>
        <v>SEG - MIGUEL COUTO</v>
      </c>
      <c r="H1783" t="str">
        <f>Vagas[[#This Row],[data]]&amp;Vagas[[#This Row],[profissional_id]]&amp;Vagas[[#This Row],[local_id]]</f>
        <v>446491060086</v>
      </c>
    </row>
    <row r="1784" spans="1:8" x14ac:dyDescent="0.25">
      <c r="A1784" s="2">
        <v>44649</v>
      </c>
      <c r="B1784">
        <v>10691</v>
      </c>
      <c r="D1784">
        <v>0</v>
      </c>
      <c r="E1784">
        <v>0</v>
      </c>
      <c r="F1784" s="1">
        <f t="shared" si="27"/>
        <v>0</v>
      </c>
      <c r="G1784" s="1" t="str">
        <f>_xlfn.XLOOKUP(C1784,'Ocupação DW'!$F:$F,'Ocupação DW'!$E:$E,"",0)</f>
        <v/>
      </c>
      <c r="H1784" t="str">
        <f>Vagas[[#This Row],[data]]&amp;Vagas[[#This Row],[profissional_id]]&amp;Vagas[[#This Row],[local_id]]</f>
        <v>4464910691</v>
      </c>
    </row>
    <row r="1785" spans="1:8" x14ac:dyDescent="0.25">
      <c r="A1785" s="2">
        <v>44649</v>
      </c>
      <c r="B1785">
        <v>10941</v>
      </c>
      <c r="C1785">
        <v>11</v>
      </c>
      <c r="D1785">
        <v>23</v>
      </c>
      <c r="E1785">
        <v>0</v>
      </c>
      <c r="F1785" s="1">
        <f t="shared" si="27"/>
        <v>0</v>
      </c>
      <c r="G1785" s="1" t="str">
        <f>_xlfn.XLOOKUP(C1785,'Ocupação DW'!$F:$F,'Ocupação DW'!$E:$E,"",0)</f>
        <v>SEG - FILIAL II 11°</v>
      </c>
      <c r="H1785" t="str">
        <f>Vagas[[#This Row],[data]]&amp;Vagas[[#This Row],[profissional_id]]&amp;Vagas[[#This Row],[local_id]]</f>
        <v>446491094111</v>
      </c>
    </row>
    <row r="1786" spans="1:8" x14ac:dyDescent="0.25">
      <c r="A1786" s="2">
        <v>44649</v>
      </c>
      <c r="B1786">
        <v>10941</v>
      </c>
      <c r="C1786">
        <v>12</v>
      </c>
      <c r="D1786">
        <v>23</v>
      </c>
      <c r="E1786">
        <v>0</v>
      </c>
      <c r="F1786" s="1">
        <f t="shared" si="27"/>
        <v>0</v>
      </c>
      <c r="G1786" s="1" t="str">
        <f>_xlfn.XLOOKUP(C1786,'Ocupação DW'!$F:$F,'Ocupação DW'!$E:$E,"",0)</f>
        <v>SEG - FILIAL II 11°</v>
      </c>
      <c r="H1786" t="str">
        <f>Vagas[[#This Row],[data]]&amp;Vagas[[#This Row],[profissional_id]]&amp;Vagas[[#This Row],[local_id]]</f>
        <v>446491094112</v>
      </c>
    </row>
    <row r="1787" spans="1:8" x14ac:dyDescent="0.25">
      <c r="A1787" s="2">
        <v>44649</v>
      </c>
      <c r="B1787">
        <v>10946</v>
      </c>
      <c r="D1787">
        <v>0</v>
      </c>
      <c r="E1787">
        <v>0</v>
      </c>
      <c r="F1787" s="1">
        <f t="shared" si="27"/>
        <v>0</v>
      </c>
      <c r="G1787" s="1" t="str">
        <f>_xlfn.XLOOKUP(C1787,'Ocupação DW'!$F:$F,'Ocupação DW'!$E:$E,"",0)</f>
        <v/>
      </c>
      <c r="H1787" t="str">
        <f>Vagas[[#This Row],[data]]&amp;Vagas[[#This Row],[profissional_id]]&amp;Vagas[[#This Row],[local_id]]</f>
        <v>4464910946</v>
      </c>
    </row>
    <row r="1788" spans="1:8" x14ac:dyDescent="0.25">
      <c r="A1788" s="2">
        <v>44649</v>
      </c>
      <c r="B1788">
        <v>11207</v>
      </c>
      <c r="C1788">
        <v>51</v>
      </c>
      <c r="D1788">
        <v>0</v>
      </c>
      <c r="E1788">
        <v>0</v>
      </c>
      <c r="F1788" s="1">
        <f t="shared" si="27"/>
        <v>0</v>
      </c>
      <c r="G1788" s="1" t="str">
        <f>_xlfn.XLOOKUP(C1788,'Ocupação DW'!$F:$F,'Ocupação DW'!$E:$E,"",0)</f>
        <v>SEG - FILIAL I</v>
      </c>
      <c r="H1788" t="str">
        <f>Vagas[[#This Row],[data]]&amp;Vagas[[#This Row],[profissional_id]]&amp;Vagas[[#This Row],[local_id]]</f>
        <v>446491120751</v>
      </c>
    </row>
    <row r="1789" spans="1:8" x14ac:dyDescent="0.25">
      <c r="A1789" s="2">
        <v>44649</v>
      </c>
      <c r="B1789">
        <v>11237</v>
      </c>
      <c r="C1789">
        <v>46</v>
      </c>
      <c r="D1789">
        <v>0</v>
      </c>
      <c r="E1789">
        <v>0</v>
      </c>
      <c r="F1789" s="1">
        <f t="shared" si="27"/>
        <v>0</v>
      </c>
      <c r="G1789" s="1" t="str">
        <f>_xlfn.XLOOKUP(C1789,'Ocupação DW'!$F:$F,'Ocupação DW'!$E:$E,"",0)</f>
        <v>SEG - FILIAL I</v>
      </c>
      <c r="H1789" t="str">
        <f>Vagas[[#This Row],[data]]&amp;Vagas[[#This Row],[profissional_id]]&amp;Vagas[[#This Row],[local_id]]</f>
        <v>446491123746</v>
      </c>
    </row>
    <row r="1790" spans="1:8" x14ac:dyDescent="0.25">
      <c r="A1790" s="2">
        <v>44649</v>
      </c>
      <c r="B1790">
        <v>11242</v>
      </c>
      <c r="C1790">
        <v>341</v>
      </c>
      <c r="D1790">
        <v>60</v>
      </c>
      <c r="E1790">
        <v>0</v>
      </c>
      <c r="F1790" s="1">
        <f t="shared" si="27"/>
        <v>0</v>
      </c>
      <c r="G1790" s="1" t="str">
        <f>_xlfn.XLOOKUP(C1790,'Ocupação DW'!$F:$F,'Ocupação DW'!$E:$E,"",0)</f>
        <v/>
      </c>
      <c r="H1790" t="str">
        <f>Vagas[[#This Row],[data]]&amp;Vagas[[#This Row],[profissional_id]]&amp;Vagas[[#This Row],[local_id]]</f>
        <v>4464911242341</v>
      </c>
    </row>
    <row r="1791" spans="1:8" x14ac:dyDescent="0.25">
      <c r="A1791" s="2">
        <v>44649</v>
      </c>
      <c r="B1791">
        <v>11397</v>
      </c>
      <c r="C1791">
        <v>344</v>
      </c>
      <c r="D1791">
        <v>72</v>
      </c>
      <c r="E1791">
        <v>0</v>
      </c>
      <c r="F1791" s="1">
        <f t="shared" si="27"/>
        <v>0</v>
      </c>
      <c r="G1791" s="1" t="str">
        <f>_xlfn.XLOOKUP(C1791,'Ocupação DW'!$F:$F,'Ocupação DW'!$E:$E,"",0)</f>
        <v>SEG - MATRIZ</v>
      </c>
      <c r="H1791" t="str">
        <f>Vagas[[#This Row],[data]]&amp;Vagas[[#This Row],[profissional_id]]&amp;Vagas[[#This Row],[local_id]]</f>
        <v>4464911397344</v>
      </c>
    </row>
    <row r="1792" spans="1:8" x14ac:dyDescent="0.25">
      <c r="A1792" s="2">
        <v>44649</v>
      </c>
      <c r="B1792">
        <v>11634</v>
      </c>
      <c r="C1792">
        <v>348</v>
      </c>
      <c r="D1792">
        <v>120</v>
      </c>
      <c r="E1792">
        <v>0</v>
      </c>
      <c r="F1792" s="1">
        <f t="shared" si="27"/>
        <v>0</v>
      </c>
      <c r="G1792" s="1" t="str">
        <f>_xlfn.XLOOKUP(C1792,'Ocupação DW'!$F:$F,'Ocupação DW'!$E:$E,"",0)</f>
        <v>SEG - MATRIZ</v>
      </c>
      <c r="H1792" t="str">
        <f>Vagas[[#This Row],[data]]&amp;Vagas[[#This Row],[profissional_id]]&amp;Vagas[[#This Row],[local_id]]</f>
        <v>4464911634348</v>
      </c>
    </row>
    <row r="1793" spans="1:8" x14ac:dyDescent="0.25">
      <c r="A1793" s="2">
        <v>44649</v>
      </c>
      <c r="B1793">
        <v>11652</v>
      </c>
      <c r="C1793">
        <v>47</v>
      </c>
      <c r="D1793">
        <v>46</v>
      </c>
      <c r="E1793">
        <v>0</v>
      </c>
      <c r="F1793" s="1">
        <f t="shared" si="27"/>
        <v>0</v>
      </c>
      <c r="G1793" s="1" t="str">
        <f>_xlfn.XLOOKUP(C1793,'Ocupação DW'!$F:$F,'Ocupação DW'!$E:$E,"",0)</f>
        <v>SEG - FILIAL I</v>
      </c>
      <c r="H1793" t="str">
        <f>Vagas[[#This Row],[data]]&amp;Vagas[[#This Row],[profissional_id]]&amp;Vagas[[#This Row],[local_id]]</f>
        <v>446491165247</v>
      </c>
    </row>
    <row r="1794" spans="1:8" x14ac:dyDescent="0.25">
      <c r="A1794" s="2">
        <v>44649</v>
      </c>
      <c r="B1794">
        <v>12369</v>
      </c>
      <c r="D1794">
        <v>0</v>
      </c>
      <c r="E1794">
        <v>0</v>
      </c>
      <c r="F1794" s="1">
        <f t="shared" ref="F1794:F1857" si="28">IF(AND(A1794=A1793,B1794=B1793,D1793&lt;&gt;0,D1794=0),D1793,0)</f>
        <v>0</v>
      </c>
      <c r="G1794" s="1" t="str">
        <f>_xlfn.XLOOKUP(C1794,'Ocupação DW'!$F:$F,'Ocupação DW'!$E:$E,"",0)</f>
        <v/>
      </c>
      <c r="H1794" t="str">
        <f>Vagas[[#This Row],[data]]&amp;Vagas[[#This Row],[profissional_id]]&amp;Vagas[[#This Row],[local_id]]</f>
        <v>4464912369</v>
      </c>
    </row>
    <row r="1795" spans="1:8" x14ac:dyDescent="0.25">
      <c r="A1795" s="2">
        <v>44649</v>
      </c>
      <c r="B1795">
        <v>12519</v>
      </c>
      <c r="D1795">
        <v>0</v>
      </c>
      <c r="E1795">
        <v>0</v>
      </c>
      <c r="F1795" s="1">
        <f t="shared" si="28"/>
        <v>0</v>
      </c>
      <c r="G1795" s="1" t="str">
        <f>_xlfn.XLOOKUP(C1795,'Ocupação DW'!$F:$F,'Ocupação DW'!$E:$E,"",0)</f>
        <v/>
      </c>
      <c r="H1795" t="str">
        <f>Vagas[[#This Row],[data]]&amp;Vagas[[#This Row],[profissional_id]]&amp;Vagas[[#This Row],[local_id]]</f>
        <v>4464912519</v>
      </c>
    </row>
    <row r="1796" spans="1:8" x14ac:dyDescent="0.25">
      <c r="A1796" s="2">
        <v>44649</v>
      </c>
      <c r="B1796">
        <v>12582</v>
      </c>
      <c r="C1796">
        <v>62</v>
      </c>
      <c r="D1796">
        <v>0</v>
      </c>
      <c r="E1796">
        <v>4</v>
      </c>
      <c r="F1796" s="1">
        <f t="shared" si="28"/>
        <v>0</v>
      </c>
      <c r="G1796" s="1" t="str">
        <f>_xlfn.XLOOKUP(C1796,'Ocupação DW'!$F:$F,'Ocupação DW'!$E:$E,"",0)</f>
        <v>SEG - NILÓPOLIS</v>
      </c>
      <c r="H1796" t="str">
        <f>Vagas[[#This Row],[data]]&amp;Vagas[[#This Row],[profissional_id]]&amp;Vagas[[#This Row],[local_id]]</f>
        <v>446491258262</v>
      </c>
    </row>
    <row r="1797" spans="1:8" x14ac:dyDescent="0.25">
      <c r="A1797" s="2">
        <v>44649</v>
      </c>
      <c r="B1797">
        <v>12623</v>
      </c>
      <c r="C1797">
        <v>11</v>
      </c>
      <c r="D1797">
        <v>0</v>
      </c>
      <c r="E1797">
        <v>0</v>
      </c>
      <c r="F1797" s="1">
        <f t="shared" si="28"/>
        <v>0</v>
      </c>
      <c r="G1797" s="1" t="str">
        <f>_xlfn.XLOOKUP(C1797,'Ocupação DW'!$F:$F,'Ocupação DW'!$E:$E,"",0)</f>
        <v>SEG - FILIAL II 11°</v>
      </c>
      <c r="H1797" t="str">
        <f>Vagas[[#This Row],[data]]&amp;Vagas[[#This Row],[profissional_id]]&amp;Vagas[[#This Row],[local_id]]</f>
        <v>446491262311</v>
      </c>
    </row>
    <row r="1798" spans="1:8" x14ac:dyDescent="0.25">
      <c r="A1798" s="2">
        <v>44649</v>
      </c>
      <c r="B1798">
        <v>12669</v>
      </c>
      <c r="C1798">
        <v>6</v>
      </c>
      <c r="D1798">
        <v>0</v>
      </c>
      <c r="E1798">
        <v>4</v>
      </c>
      <c r="F1798" s="1">
        <f t="shared" si="28"/>
        <v>0</v>
      </c>
      <c r="G1798" s="1" t="str">
        <f>_xlfn.XLOOKUP(C1798,'Ocupação DW'!$F:$F,'Ocupação DW'!$E:$E,"",0)</f>
        <v>SEG - FILIAL II 10°</v>
      </c>
      <c r="H1798" t="str">
        <f>Vagas[[#This Row],[data]]&amp;Vagas[[#This Row],[profissional_id]]&amp;Vagas[[#This Row],[local_id]]</f>
        <v>44649126696</v>
      </c>
    </row>
    <row r="1799" spans="1:8" x14ac:dyDescent="0.25">
      <c r="A1799" s="2">
        <v>44649</v>
      </c>
      <c r="B1799">
        <v>12679</v>
      </c>
      <c r="D1799">
        <v>0</v>
      </c>
      <c r="E1799">
        <v>0</v>
      </c>
      <c r="F1799" s="1">
        <f t="shared" si="28"/>
        <v>0</v>
      </c>
      <c r="G1799" s="1" t="str">
        <f>_xlfn.XLOOKUP(C1799,'Ocupação DW'!$F:$F,'Ocupação DW'!$E:$E,"",0)</f>
        <v/>
      </c>
      <c r="H1799" t="str">
        <f>Vagas[[#This Row],[data]]&amp;Vagas[[#This Row],[profissional_id]]&amp;Vagas[[#This Row],[local_id]]</f>
        <v>4464912679</v>
      </c>
    </row>
    <row r="1800" spans="1:8" x14ac:dyDescent="0.25">
      <c r="A1800" s="2">
        <v>44649</v>
      </c>
      <c r="B1800">
        <v>12684</v>
      </c>
      <c r="D1800">
        <v>0</v>
      </c>
      <c r="E1800">
        <v>0</v>
      </c>
      <c r="F1800" s="1">
        <f t="shared" si="28"/>
        <v>0</v>
      </c>
      <c r="G1800" s="1" t="str">
        <f>_xlfn.XLOOKUP(C1800,'Ocupação DW'!$F:$F,'Ocupação DW'!$E:$E,"",0)</f>
        <v/>
      </c>
      <c r="H1800" t="str">
        <f>Vagas[[#This Row],[data]]&amp;Vagas[[#This Row],[profissional_id]]&amp;Vagas[[#This Row],[local_id]]</f>
        <v>4464912684</v>
      </c>
    </row>
    <row r="1801" spans="1:8" x14ac:dyDescent="0.25">
      <c r="A1801" s="2">
        <v>44649</v>
      </c>
      <c r="B1801">
        <v>12711</v>
      </c>
      <c r="D1801">
        <v>0</v>
      </c>
      <c r="E1801">
        <v>0</v>
      </c>
      <c r="F1801" s="1">
        <f t="shared" si="28"/>
        <v>0</v>
      </c>
      <c r="G1801" s="1" t="str">
        <f>_xlfn.XLOOKUP(C1801,'Ocupação DW'!$F:$F,'Ocupação DW'!$E:$E,"",0)</f>
        <v/>
      </c>
      <c r="H1801" t="str">
        <f>Vagas[[#This Row],[data]]&amp;Vagas[[#This Row],[profissional_id]]&amp;Vagas[[#This Row],[local_id]]</f>
        <v>4464912711</v>
      </c>
    </row>
    <row r="1802" spans="1:8" x14ac:dyDescent="0.25">
      <c r="A1802" s="2">
        <v>44649</v>
      </c>
      <c r="B1802">
        <v>12752</v>
      </c>
      <c r="C1802">
        <v>60</v>
      </c>
      <c r="D1802">
        <v>0</v>
      </c>
      <c r="E1802">
        <v>6</v>
      </c>
      <c r="F1802" s="1">
        <f t="shared" si="28"/>
        <v>0</v>
      </c>
      <c r="G1802" s="1" t="str">
        <f>_xlfn.XLOOKUP(C1802,'Ocupação DW'!$F:$F,'Ocupação DW'!$E:$E,"",0)</f>
        <v>SEG - NILÓPOLIS</v>
      </c>
      <c r="H1802" t="str">
        <f>Vagas[[#This Row],[data]]&amp;Vagas[[#This Row],[profissional_id]]&amp;Vagas[[#This Row],[local_id]]</f>
        <v>446491275260</v>
      </c>
    </row>
    <row r="1803" spans="1:8" x14ac:dyDescent="0.25">
      <c r="A1803" s="2">
        <v>44649</v>
      </c>
      <c r="B1803">
        <v>12810</v>
      </c>
      <c r="D1803">
        <v>0</v>
      </c>
      <c r="E1803">
        <v>0</v>
      </c>
      <c r="F1803" s="1">
        <f t="shared" si="28"/>
        <v>0</v>
      </c>
      <c r="G1803" s="1" t="str">
        <f>_xlfn.XLOOKUP(C1803,'Ocupação DW'!$F:$F,'Ocupação DW'!$E:$E,"",0)</f>
        <v/>
      </c>
      <c r="H1803" t="str">
        <f>Vagas[[#This Row],[data]]&amp;Vagas[[#This Row],[profissional_id]]&amp;Vagas[[#This Row],[local_id]]</f>
        <v>4464912810</v>
      </c>
    </row>
    <row r="1804" spans="1:8" x14ac:dyDescent="0.25">
      <c r="A1804" s="2">
        <v>44649</v>
      </c>
      <c r="B1804">
        <v>12825</v>
      </c>
      <c r="D1804">
        <v>37</v>
      </c>
      <c r="E1804">
        <v>0</v>
      </c>
      <c r="F1804" s="1">
        <f t="shared" si="28"/>
        <v>0</v>
      </c>
      <c r="G1804" s="1" t="str">
        <f>_xlfn.XLOOKUP(C1804,'Ocupação DW'!$F:$F,'Ocupação DW'!$E:$E,"",0)</f>
        <v/>
      </c>
      <c r="H1804" t="str">
        <f>Vagas[[#This Row],[data]]&amp;Vagas[[#This Row],[profissional_id]]&amp;Vagas[[#This Row],[local_id]]</f>
        <v>4464912825</v>
      </c>
    </row>
    <row r="1805" spans="1:8" x14ac:dyDescent="0.25">
      <c r="A1805" s="2">
        <v>44649</v>
      </c>
      <c r="B1805">
        <v>12825</v>
      </c>
      <c r="C1805">
        <v>63</v>
      </c>
      <c r="D1805">
        <v>0</v>
      </c>
      <c r="E1805">
        <v>0</v>
      </c>
      <c r="F1805" s="1">
        <f t="shared" si="28"/>
        <v>37</v>
      </c>
      <c r="G1805" s="1" t="str">
        <f>_xlfn.XLOOKUP(C1805,'Ocupação DW'!$F:$F,'Ocupação DW'!$E:$E,"",0)</f>
        <v>SEG - NILÓPOLIS</v>
      </c>
      <c r="H1805" t="str">
        <f>Vagas[[#This Row],[data]]&amp;Vagas[[#This Row],[profissional_id]]&amp;Vagas[[#This Row],[local_id]]</f>
        <v>446491282563</v>
      </c>
    </row>
    <row r="1806" spans="1:8" x14ac:dyDescent="0.25">
      <c r="A1806" s="2">
        <v>44649</v>
      </c>
      <c r="B1806">
        <v>13061</v>
      </c>
      <c r="C1806">
        <v>9</v>
      </c>
      <c r="D1806">
        <v>0</v>
      </c>
      <c r="E1806">
        <v>0</v>
      </c>
      <c r="F1806" s="1">
        <f t="shared" si="28"/>
        <v>0</v>
      </c>
      <c r="G1806" s="1" t="str">
        <f>_xlfn.XLOOKUP(C1806,'Ocupação DW'!$F:$F,'Ocupação DW'!$E:$E,"",0)</f>
        <v>SEG - FILIAL II 10°</v>
      </c>
      <c r="H1806" t="str">
        <f>Vagas[[#This Row],[data]]&amp;Vagas[[#This Row],[profissional_id]]&amp;Vagas[[#This Row],[local_id]]</f>
        <v>44649130619</v>
      </c>
    </row>
    <row r="1807" spans="1:8" x14ac:dyDescent="0.25">
      <c r="A1807" s="2">
        <v>44649</v>
      </c>
      <c r="B1807">
        <v>13249</v>
      </c>
      <c r="C1807">
        <v>45</v>
      </c>
      <c r="D1807">
        <v>0</v>
      </c>
      <c r="E1807">
        <v>0</v>
      </c>
      <c r="F1807" s="1">
        <f t="shared" si="28"/>
        <v>0</v>
      </c>
      <c r="G1807" s="1" t="str">
        <f>_xlfn.XLOOKUP(C1807,'Ocupação DW'!$F:$F,'Ocupação DW'!$E:$E,"",0)</f>
        <v>SEG - FILIAL I</v>
      </c>
      <c r="H1807" t="str">
        <f>Vagas[[#This Row],[data]]&amp;Vagas[[#This Row],[profissional_id]]&amp;Vagas[[#This Row],[local_id]]</f>
        <v>446491324945</v>
      </c>
    </row>
    <row r="1808" spans="1:8" x14ac:dyDescent="0.25">
      <c r="A1808" s="2">
        <v>44649</v>
      </c>
      <c r="B1808">
        <v>13295</v>
      </c>
      <c r="C1808">
        <v>79</v>
      </c>
      <c r="D1808">
        <v>60</v>
      </c>
      <c r="E1808">
        <v>0</v>
      </c>
      <c r="F1808" s="1">
        <f t="shared" si="28"/>
        <v>0</v>
      </c>
      <c r="G1808" s="1" t="str">
        <f>_xlfn.XLOOKUP(C1808,'Ocupação DW'!$F:$F,'Ocupação DW'!$E:$E,"",0)</f>
        <v/>
      </c>
      <c r="H1808" t="str">
        <f>Vagas[[#This Row],[data]]&amp;Vagas[[#This Row],[profissional_id]]&amp;Vagas[[#This Row],[local_id]]</f>
        <v>446491329579</v>
      </c>
    </row>
    <row r="1809" spans="1:8" x14ac:dyDescent="0.25">
      <c r="A1809" s="2">
        <v>44649</v>
      </c>
      <c r="B1809">
        <v>13371</v>
      </c>
      <c r="D1809">
        <v>0</v>
      </c>
      <c r="E1809">
        <v>0</v>
      </c>
      <c r="F1809" s="1">
        <f t="shared" si="28"/>
        <v>0</v>
      </c>
      <c r="G1809" s="1" t="str">
        <f>_xlfn.XLOOKUP(C1809,'Ocupação DW'!$F:$F,'Ocupação DW'!$E:$E,"",0)</f>
        <v/>
      </c>
      <c r="H1809" t="str">
        <f>Vagas[[#This Row],[data]]&amp;Vagas[[#This Row],[profissional_id]]&amp;Vagas[[#This Row],[local_id]]</f>
        <v>4464913371</v>
      </c>
    </row>
    <row r="1810" spans="1:8" x14ac:dyDescent="0.25">
      <c r="A1810" s="2">
        <v>44649</v>
      </c>
      <c r="B1810">
        <v>13479</v>
      </c>
      <c r="D1810">
        <v>121</v>
      </c>
      <c r="E1810">
        <v>0</v>
      </c>
      <c r="F1810" s="1">
        <f t="shared" si="28"/>
        <v>0</v>
      </c>
      <c r="G1810" s="1" t="str">
        <f>_xlfn.XLOOKUP(C1810,'Ocupação DW'!$F:$F,'Ocupação DW'!$E:$E,"",0)</f>
        <v/>
      </c>
      <c r="H1810" t="str">
        <f>Vagas[[#This Row],[data]]&amp;Vagas[[#This Row],[profissional_id]]&amp;Vagas[[#This Row],[local_id]]</f>
        <v>4464913479</v>
      </c>
    </row>
    <row r="1811" spans="1:8" x14ac:dyDescent="0.25">
      <c r="A1811" s="2">
        <v>44649</v>
      </c>
      <c r="B1811">
        <v>13645</v>
      </c>
      <c r="D1811">
        <v>49</v>
      </c>
      <c r="E1811">
        <v>0</v>
      </c>
      <c r="F1811" s="1">
        <f t="shared" si="28"/>
        <v>0</v>
      </c>
      <c r="G1811" s="1" t="str">
        <f>_xlfn.XLOOKUP(C1811,'Ocupação DW'!$F:$F,'Ocupação DW'!$E:$E,"",0)</f>
        <v/>
      </c>
      <c r="H1811" t="str">
        <f>Vagas[[#This Row],[data]]&amp;Vagas[[#This Row],[profissional_id]]&amp;Vagas[[#This Row],[local_id]]</f>
        <v>4464913645</v>
      </c>
    </row>
    <row r="1812" spans="1:8" x14ac:dyDescent="0.25">
      <c r="A1812" s="2">
        <v>44649</v>
      </c>
      <c r="B1812">
        <v>13645</v>
      </c>
      <c r="C1812">
        <v>79</v>
      </c>
      <c r="D1812">
        <v>60</v>
      </c>
      <c r="E1812">
        <v>0</v>
      </c>
      <c r="F1812" s="1">
        <f t="shared" si="28"/>
        <v>0</v>
      </c>
      <c r="G1812" s="1" t="str">
        <f>_xlfn.XLOOKUP(C1812,'Ocupação DW'!$F:$F,'Ocupação DW'!$E:$E,"",0)</f>
        <v/>
      </c>
      <c r="H1812" t="str">
        <f>Vagas[[#This Row],[data]]&amp;Vagas[[#This Row],[profissional_id]]&amp;Vagas[[#This Row],[local_id]]</f>
        <v>446491364579</v>
      </c>
    </row>
    <row r="1813" spans="1:8" x14ac:dyDescent="0.25">
      <c r="A1813" s="2">
        <v>44649</v>
      </c>
      <c r="B1813">
        <v>13835</v>
      </c>
      <c r="D1813">
        <v>0</v>
      </c>
      <c r="E1813">
        <v>0</v>
      </c>
      <c r="F1813" s="1">
        <f t="shared" si="28"/>
        <v>0</v>
      </c>
      <c r="G1813" s="1" t="str">
        <f>_xlfn.XLOOKUP(C1813,'Ocupação DW'!$F:$F,'Ocupação DW'!$E:$E,"",0)</f>
        <v/>
      </c>
      <c r="H1813" t="str">
        <f>Vagas[[#This Row],[data]]&amp;Vagas[[#This Row],[profissional_id]]&amp;Vagas[[#This Row],[local_id]]</f>
        <v>4464913835</v>
      </c>
    </row>
    <row r="1814" spans="1:8" x14ac:dyDescent="0.25">
      <c r="A1814" s="2">
        <v>44649</v>
      </c>
      <c r="B1814">
        <v>14237</v>
      </c>
      <c r="C1814">
        <v>47</v>
      </c>
      <c r="D1814">
        <v>0</v>
      </c>
      <c r="E1814">
        <v>0</v>
      </c>
      <c r="F1814" s="1">
        <f t="shared" si="28"/>
        <v>0</v>
      </c>
      <c r="G1814" s="1" t="str">
        <f>_xlfn.XLOOKUP(C1814,'Ocupação DW'!$F:$F,'Ocupação DW'!$E:$E,"",0)</f>
        <v>SEG - FILIAL I</v>
      </c>
      <c r="H1814" t="str">
        <f>Vagas[[#This Row],[data]]&amp;Vagas[[#This Row],[profissional_id]]&amp;Vagas[[#This Row],[local_id]]</f>
        <v>446491423747</v>
      </c>
    </row>
    <row r="1815" spans="1:8" x14ac:dyDescent="0.25">
      <c r="A1815" s="2">
        <v>44649</v>
      </c>
      <c r="B1815">
        <v>14371</v>
      </c>
      <c r="C1815">
        <v>60</v>
      </c>
      <c r="D1815">
        <v>23</v>
      </c>
      <c r="E1815">
        <v>0</v>
      </c>
      <c r="F1815" s="1">
        <f t="shared" si="28"/>
        <v>0</v>
      </c>
      <c r="G1815" s="1" t="str">
        <f>_xlfn.XLOOKUP(C1815,'Ocupação DW'!$F:$F,'Ocupação DW'!$E:$E,"",0)</f>
        <v>SEG - NILÓPOLIS</v>
      </c>
      <c r="H1815" t="str">
        <f>Vagas[[#This Row],[data]]&amp;Vagas[[#This Row],[profissional_id]]&amp;Vagas[[#This Row],[local_id]]</f>
        <v>446491437160</v>
      </c>
    </row>
    <row r="1816" spans="1:8" x14ac:dyDescent="0.25">
      <c r="A1816" s="2">
        <v>44649</v>
      </c>
      <c r="B1816">
        <v>14452</v>
      </c>
      <c r="D1816">
        <v>21</v>
      </c>
      <c r="E1816">
        <v>0</v>
      </c>
      <c r="F1816" s="1">
        <f t="shared" si="28"/>
        <v>0</v>
      </c>
      <c r="G1816" s="1" t="str">
        <f>_xlfn.XLOOKUP(C1816,'Ocupação DW'!$F:$F,'Ocupação DW'!$E:$E,"",0)</f>
        <v/>
      </c>
      <c r="H1816" t="str">
        <f>Vagas[[#This Row],[data]]&amp;Vagas[[#This Row],[profissional_id]]&amp;Vagas[[#This Row],[local_id]]</f>
        <v>4464914452</v>
      </c>
    </row>
    <row r="1817" spans="1:8" x14ac:dyDescent="0.25">
      <c r="A1817" s="2">
        <v>44649</v>
      </c>
      <c r="B1817">
        <v>14452</v>
      </c>
      <c r="C1817">
        <v>78</v>
      </c>
      <c r="D1817">
        <v>0</v>
      </c>
      <c r="E1817">
        <v>0</v>
      </c>
      <c r="F1817" s="1">
        <f t="shared" si="28"/>
        <v>21</v>
      </c>
      <c r="G1817" s="1" t="str">
        <f>_xlfn.XLOOKUP(C1817,'Ocupação DW'!$F:$F,'Ocupação DW'!$E:$E,"",0)</f>
        <v>SEG - MIGUEL COUTO</v>
      </c>
      <c r="H1817" t="str">
        <f>Vagas[[#This Row],[data]]&amp;Vagas[[#This Row],[profissional_id]]&amp;Vagas[[#This Row],[local_id]]</f>
        <v>446491445278</v>
      </c>
    </row>
    <row r="1818" spans="1:8" x14ac:dyDescent="0.25">
      <c r="A1818" s="2">
        <v>44649</v>
      </c>
      <c r="B1818">
        <v>14461</v>
      </c>
      <c r="C1818">
        <v>369</v>
      </c>
      <c r="D1818">
        <v>120</v>
      </c>
      <c r="E1818">
        <v>0</v>
      </c>
      <c r="F1818" s="1">
        <f t="shared" si="28"/>
        <v>0</v>
      </c>
      <c r="G1818" s="1" t="str">
        <f>_xlfn.XLOOKUP(C1818,'Ocupação DW'!$F:$F,'Ocupação DW'!$E:$E,"",0)</f>
        <v/>
      </c>
      <c r="H1818" t="str">
        <f>Vagas[[#This Row],[data]]&amp;Vagas[[#This Row],[profissional_id]]&amp;Vagas[[#This Row],[local_id]]</f>
        <v>4464914461369</v>
      </c>
    </row>
    <row r="1819" spans="1:8" x14ac:dyDescent="0.25">
      <c r="A1819" s="2">
        <v>44649</v>
      </c>
      <c r="B1819">
        <v>17051</v>
      </c>
      <c r="C1819">
        <v>3</v>
      </c>
      <c r="D1819">
        <v>11</v>
      </c>
      <c r="E1819">
        <v>0</v>
      </c>
      <c r="F1819" s="1">
        <f t="shared" si="28"/>
        <v>0</v>
      </c>
      <c r="G1819" s="1" t="str">
        <f>_xlfn.XLOOKUP(C1819,'Ocupação DW'!$F:$F,'Ocupação DW'!$E:$E,"",0)</f>
        <v>SEG - FILIAL II 10°</v>
      </c>
      <c r="H1819" t="str">
        <f>Vagas[[#This Row],[data]]&amp;Vagas[[#This Row],[profissional_id]]&amp;Vagas[[#This Row],[local_id]]</f>
        <v>44649170513</v>
      </c>
    </row>
    <row r="1820" spans="1:8" x14ac:dyDescent="0.25">
      <c r="A1820" s="2">
        <v>44649</v>
      </c>
      <c r="B1820">
        <v>17059</v>
      </c>
      <c r="D1820">
        <v>0</v>
      </c>
      <c r="E1820">
        <v>0</v>
      </c>
      <c r="F1820" s="1">
        <f t="shared" si="28"/>
        <v>0</v>
      </c>
      <c r="G1820" s="1" t="str">
        <f>_xlfn.XLOOKUP(C1820,'Ocupação DW'!$F:$F,'Ocupação DW'!$E:$E,"",0)</f>
        <v/>
      </c>
      <c r="H1820" t="str">
        <f>Vagas[[#This Row],[data]]&amp;Vagas[[#This Row],[profissional_id]]&amp;Vagas[[#This Row],[local_id]]</f>
        <v>4464917059</v>
      </c>
    </row>
    <row r="1821" spans="1:8" x14ac:dyDescent="0.25">
      <c r="A1821" s="2">
        <v>44649</v>
      </c>
      <c r="B1821">
        <v>17742</v>
      </c>
      <c r="D1821">
        <v>23</v>
      </c>
      <c r="E1821">
        <v>0</v>
      </c>
      <c r="F1821" s="1">
        <f t="shared" si="28"/>
        <v>0</v>
      </c>
      <c r="G1821" s="1" t="str">
        <f>_xlfn.XLOOKUP(C1821,'Ocupação DW'!$F:$F,'Ocupação DW'!$E:$E,"",0)</f>
        <v/>
      </c>
      <c r="H1821" t="str">
        <f>Vagas[[#This Row],[data]]&amp;Vagas[[#This Row],[profissional_id]]&amp;Vagas[[#This Row],[local_id]]</f>
        <v>4464917742</v>
      </c>
    </row>
    <row r="1822" spans="1:8" x14ac:dyDescent="0.25">
      <c r="A1822" s="2">
        <v>44649</v>
      </c>
      <c r="B1822">
        <v>17742</v>
      </c>
      <c r="C1822">
        <v>22</v>
      </c>
      <c r="D1822">
        <v>23</v>
      </c>
      <c r="E1822">
        <v>0</v>
      </c>
      <c r="F1822" s="1">
        <f t="shared" si="28"/>
        <v>0</v>
      </c>
      <c r="G1822" s="1" t="str">
        <f>_xlfn.XLOOKUP(C1822,'Ocupação DW'!$F:$F,'Ocupação DW'!$E:$E,"",0)</f>
        <v>SEG - MATRIZ</v>
      </c>
      <c r="H1822" t="str">
        <f>Vagas[[#This Row],[data]]&amp;Vagas[[#This Row],[profissional_id]]&amp;Vagas[[#This Row],[local_id]]</f>
        <v>446491774222</v>
      </c>
    </row>
    <row r="1823" spans="1:8" x14ac:dyDescent="0.25">
      <c r="A1823" s="2">
        <v>44649</v>
      </c>
      <c r="B1823">
        <v>17858</v>
      </c>
      <c r="D1823">
        <v>0</v>
      </c>
      <c r="E1823">
        <v>0</v>
      </c>
      <c r="F1823" s="1">
        <f t="shared" si="28"/>
        <v>0</v>
      </c>
      <c r="G1823" s="1" t="str">
        <f>_xlfn.XLOOKUP(C1823,'Ocupação DW'!$F:$F,'Ocupação DW'!$E:$E,"",0)</f>
        <v/>
      </c>
      <c r="H1823" t="str">
        <f>Vagas[[#This Row],[data]]&amp;Vagas[[#This Row],[profissional_id]]&amp;Vagas[[#This Row],[local_id]]</f>
        <v>4464917858</v>
      </c>
    </row>
    <row r="1824" spans="1:8" x14ac:dyDescent="0.25">
      <c r="A1824" s="2">
        <v>44649</v>
      </c>
      <c r="B1824">
        <v>17863</v>
      </c>
      <c r="C1824">
        <v>60</v>
      </c>
      <c r="D1824">
        <v>59</v>
      </c>
      <c r="E1824">
        <v>0</v>
      </c>
      <c r="F1824" s="1">
        <f t="shared" si="28"/>
        <v>0</v>
      </c>
      <c r="G1824" s="1" t="str">
        <f>_xlfn.XLOOKUP(C1824,'Ocupação DW'!$F:$F,'Ocupação DW'!$E:$E,"",0)</f>
        <v>SEG - NILÓPOLIS</v>
      </c>
      <c r="H1824" t="str">
        <f>Vagas[[#This Row],[data]]&amp;Vagas[[#This Row],[profissional_id]]&amp;Vagas[[#This Row],[local_id]]</f>
        <v>446491786360</v>
      </c>
    </row>
    <row r="1825" spans="1:8" x14ac:dyDescent="0.25">
      <c r="A1825" s="2">
        <v>44649</v>
      </c>
      <c r="B1825">
        <v>17868</v>
      </c>
      <c r="C1825">
        <v>73</v>
      </c>
      <c r="D1825">
        <v>133</v>
      </c>
      <c r="E1825">
        <v>0</v>
      </c>
      <c r="F1825" s="1">
        <f t="shared" si="28"/>
        <v>0</v>
      </c>
      <c r="G1825" s="1" t="str">
        <f>_xlfn.XLOOKUP(C1825,'Ocupação DW'!$F:$F,'Ocupação DW'!$E:$E,"",0)</f>
        <v/>
      </c>
      <c r="H1825" t="str">
        <f>Vagas[[#This Row],[data]]&amp;Vagas[[#This Row],[profissional_id]]&amp;Vagas[[#This Row],[local_id]]</f>
        <v>446491786873</v>
      </c>
    </row>
    <row r="1826" spans="1:8" x14ac:dyDescent="0.25">
      <c r="A1826" s="2">
        <v>44649</v>
      </c>
      <c r="B1826">
        <v>17871</v>
      </c>
      <c r="D1826">
        <v>0</v>
      </c>
      <c r="E1826">
        <v>0</v>
      </c>
      <c r="F1826" s="1">
        <f t="shared" si="28"/>
        <v>0</v>
      </c>
      <c r="G1826" s="1" t="str">
        <f>_xlfn.XLOOKUP(C1826,'Ocupação DW'!$F:$F,'Ocupação DW'!$E:$E,"",0)</f>
        <v/>
      </c>
      <c r="H1826" t="str">
        <f>Vagas[[#This Row],[data]]&amp;Vagas[[#This Row],[profissional_id]]&amp;Vagas[[#This Row],[local_id]]</f>
        <v>4464917871</v>
      </c>
    </row>
    <row r="1827" spans="1:8" x14ac:dyDescent="0.25">
      <c r="A1827" s="2">
        <v>44649</v>
      </c>
      <c r="B1827">
        <v>17874</v>
      </c>
      <c r="D1827">
        <v>0</v>
      </c>
      <c r="E1827">
        <v>0</v>
      </c>
      <c r="F1827" s="1">
        <f t="shared" si="28"/>
        <v>0</v>
      </c>
      <c r="G1827" s="1" t="str">
        <f>_xlfn.XLOOKUP(C1827,'Ocupação DW'!$F:$F,'Ocupação DW'!$E:$E,"",0)</f>
        <v/>
      </c>
      <c r="H1827" t="str">
        <f>Vagas[[#This Row],[data]]&amp;Vagas[[#This Row],[profissional_id]]&amp;Vagas[[#This Row],[local_id]]</f>
        <v>4464917874</v>
      </c>
    </row>
    <row r="1828" spans="1:8" x14ac:dyDescent="0.25">
      <c r="A1828" s="2">
        <v>44649</v>
      </c>
      <c r="B1828">
        <v>17878</v>
      </c>
      <c r="C1828">
        <v>372</v>
      </c>
      <c r="D1828">
        <v>0</v>
      </c>
      <c r="E1828">
        <v>0</v>
      </c>
      <c r="F1828" s="1">
        <f t="shared" si="28"/>
        <v>0</v>
      </c>
      <c r="G1828" s="1" t="str">
        <f>_xlfn.XLOOKUP(C1828,'Ocupação DW'!$F:$F,'Ocupação DW'!$E:$E,"",0)</f>
        <v/>
      </c>
      <c r="H1828" t="str">
        <f>Vagas[[#This Row],[data]]&amp;Vagas[[#This Row],[profissional_id]]&amp;Vagas[[#This Row],[local_id]]</f>
        <v>4464917878372</v>
      </c>
    </row>
    <row r="1829" spans="1:8" x14ac:dyDescent="0.25">
      <c r="A1829" s="2">
        <v>44649</v>
      </c>
      <c r="B1829">
        <v>17881</v>
      </c>
      <c r="C1829">
        <v>20</v>
      </c>
      <c r="D1829">
        <v>181</v>
      </c>
      <c r="E1829">
        <v>0</v>
      </c>
      <c r="F1829" s="1">
        <f t="shared" si="28"/>
        <v>0</v>
      </c>
      <c r="G1829" s="1" t="str">
        <f>_xlfn.XLOOKUP(C1829,'Ocupação DW'!$F:$F,'Ocupação DW'!$E:$E,"",0)</f>
        <v>SEG - MATRIZ</v>
      </c>
      <c r="H1829" t="str">
        <f>Vagas[[#This Row],[data]]&amp;Vagas[[#This Row],[profissional_id]]&amp;Vagas[[#This Row],[local_id]]</f>
        <v>446491788120</v>
      </c>
    </row>
    <row r="1830" spans="1:8" x14ac:dyDescent="0.25">
      <c r="A1830" s="2">
        <v>44649</v>
      </c>
      <c r="B1830">
        <v>17882</v>
      </c>
      <c r="C1830">
        <v>21</v>
      </c>
      <c r="D1830">
        <v>181</v>
      </c>
      <c r="E1830">
        <v>0</v>
      </c>
      <c r="F1830" s="1">
        <f t="shared" si="28"/>
        <v>0</v>
      </c>
      <c r="G1830" s="1" t="str">
        <f>_xlfn.XLOOKUP(C1830,'Ocupação DW'!$F:$F,'Ocupação DW'!$E:$E,"",0)</f>
        <v/>
      </c>
      <c r="H1830" t="str">
        <f>Vagas[[#This Row],[data]]&amp;Vagas[[#This Row],[profissional_id]]&amp;Vagas[[#This Row],[local_id]]</f>
        <v>446491788221</v>
      </c>
    </row>
    <row r="1831" spans="1:8" x14ac:dyDescent="0.25">
      <c r="A1831" s="2">
        <v>44649</v>
      </c>
      <c r="B1831">
        <v>17883</v>
      </c>
      <c r="D1831">
        <v>11</v>
      </c>
      <c r="E1831">
        <v>0</v>
      </c>
      <c r="F1831" s="1">
        <f t="shared" si="28"/>
        <v>0</v>
      </c>
      <c r="G1831" s="1" t="str">
        <f>_xlfn.XLOOKUP(C1831,'Ocupação DW'!$F:$F,'Ocupação DW'!$E:$E,"",0)</f>
        <v/>
      </c>
      <c r="H1831" t="str">
        <f>Vagas[[#This Row],[data]]&amp;Vagas[[#This Row],[profissional_id]]&amp;Vagas[[#This Row],[local_id]]</f>
        <v>4464917883</v>
      </c>
    </row>
    <row r="1832" spans="1:8" x14ac:dyDescent="0.25">
      <c r="A1832" s="2">
        <v>44649</v>
      </c>
      <c r="B1832">
        <v>17884</v>
      </c>
      <c r="C1832">
        <v>22</v>
      </c>
      <c r="D1832">
        <v>23</v>
      </c>
      <c r="E1832">
        <v>0</v>
      </c>
      <c r="F1832" s="1">
        <f t="shared" si="28"/>
        <v>0</v>
      </c>
      <c r="G1832" s="1" t="str">
        <f>_xlfn.XLOOKUP(C1832,'Ocupação DW'!$F:$F,'Ocupação DW'!$E:$E,"",0)</f>
        <v>SEG - MATRIZ</v>
      </c>
      <c r="H1832" t="str">
        <f>Vagas[[#This Row],[data]]&amp;Vagas[[#This Row],[profissional_id]]&amp;Vagas[[#This Row],[local_id]]</f>
        <v>446491788422</v>
      </c>
    </row>
    <row r="1833" spans="1:8" x14ac:dyDescent="0.25">
      <c r="A1833" s="2">
        <v>44649</v>
      </c>
      <c r="B1833">
        <v>17885</v>
      </c>
      <c r="D1833">
        <v>0</v>
      </c>
      <c r="E1833">
        <v>0</v>
      </c>
      <c r="F1833" s="1">
        <f t="shared" si="28"/>
        <v>0</v>
      </c>
      <c r="G1833" s="1" t="str">
        <f>_xlfn.XLOOKUP(C1833,'Ocupação DW'!$F:$F,'Ocupação DW'!$E:$E,"",0)</f>
        <v/>
      </c>
      <c r="H1833" t="str">
        <f>Vagas[[#This Row],[data]]&amp;Vagas[[#This Row],[profissional_id]]&amp;Vagas[[#This Row],[local_id]]</f>
        <v>4464917885</v>
      </c>
    </row>
    <row r="1834" spans="1:8" x14ac:dyDescent="0.25">
      <c r="A1834" s="2">
        <v>44649</v>
      </c>
      <c r="B1834">
        <v>17885</v>
      </c>
      <c r="C1834">
        <v>23</v>
      </c>
      <c r="D1834">
        <v>61</v>
      </c>
      <c r="E1834">
        <v>0</v>
      </c>
      <c r="F1834" s="1">
        <f t="shared" si="28"/>
        <v>0</v>
      </c>
      <c r="G1834" s="1" t="str">
        <f>_xlfn.XLOOKUP(C1834,'Ocupação DW'!$F:$F,'Ocupação DW'!$E:$E,"",0)</f>
        <v/>
      </c>
      <c r="H1834" t="str">
        <f>Vagas[[#This Row],[data]]&amp;Vagas[[#This Row],[profissional_id]]&amp;Vagas[[#This Row],[local_id]]</f>
        <v>446491788523</v>
      </c>
    </row>
    <row r="1835" spans="1:8" x14ac:dyDescent="0.25">
      <c r="A1835" s="2">
        <v>44649</v>
      </c>
      <c r="B1835">
        <v>17887</v>
      </c>
      <c r="C1835">
        <v>58</v>
      </c>
      <c r="D1835">
        <v>60</v>
      </c>
      <c r="E1835">
        <v>0</v>
      </c>
      <c r="F1835" s="1">
        <f t="shared" si="28"/>
        <v>0</v>
      </c>
      <c r="G1835" s="1" t="str">
        <f>_xlfn.XLOOKUP(C1835,'Ocupação DW'!$F:$F,'Ocupação DW'!$E:$E,"",0)</f>
        <v/>
      </c>
      <c r="H1835" t="str">
        <f>Vagas[[#This Row],[data]]&amp;Vagas[[#This Row],[profissional_id]]&amp;Vagas[[#This Row],[local_id]]</f>
        <v>446491788758</v>
      </c>
    </row>
    <row r="1836" spans="1:8" x14ac:dyDescent="0.25">
      <c r="A1836" s="2">
        <v>44649</v>
      </c>
      <c r="B1836">
        <v>17888</v>
      </c>
      <c r="C1836">
        <v>40</v>
      </c>
      <c r="D1836">
        <v>27</v>
      </c>
      <c r="E1836">
        <v>0</v>
      </c>
      <c r="F1836" s="1">
        <f t="shared" si="28"/>
        <v>0</v>
      </c>
      <c r="G1836" s="1" t="str">
        <f>_xlfn.XLOOKUP(C1836,'Ocupação DW'!$F:$F,'Ocupação DW'!$E:$E,"",0)</f>
        <v>SEG - FILIAL I</v>
      </c>
      <c r="H1836" t="str">
        <f>Vagas[[#This Row],[data]]&amp;Vagas[[#This Row],[profissional_id]]&amp;Vagas[[#This Row],[local_id]]</f>
        <v>446491788840</v>
      </c>
    </row>
    <row r="1837" spans="1:8" x14ac:dyDescent="0.25">
      <c r="A1837" s="2">
        <v>44649</v>
      </c>
      <c r="B1837">
        <v>17892</v>
      </c>
      <c r="D1837">
        <v>0</v>
      </c>
      <c r="E1837">
        <v>0</v>
      </c>
      <c r="F1837" s="1">
        <f t="shared" si="28"/>
        <v>0</v>
      </c>
      <c r="G1837" s="1" t="str">
        <f>_xlfn.XLOOKUP(C1837,'Ocupação DW'!$F:$F,'Ocupação DW'!$E:$E,"",0)</f>
        <v/>
      </c>
      <c r="H1837" t="str">
        <f>Vagas[[#This Row],[data]]&amp;Vagas[[#This Row],[profissional_id]]&amp;Vagas[[#This Row],[local_id]]</f>
        <v>4464917892</v>
      </c>
    </row>
    <row r="1838" spans="1:8" x14ac:dyDescent="0.25">
      <c r="A1838" s="2">
        <v>44649</v>
      </c>
      <c r="B1838">
        <v>17892</v>
      </c>
      <c r="C1838">
        <v>55</v>
      </c>
      <c r="D1838">
        <v>3</v>
      </c>
      <c r="E1838">
        <v>0</v>
      </c>
      <c r="F1838" s="1">
        <f t="shared" si="28"/>
        <v>0</v>
      </c>
      <c r="G1838" s="1" t="str">
        <f>_xlfn.XLOOKUP(C1838,'Ocupação DW'!$F:$F,'Ocupação DW'!$E:$E,"",0)</f>
        <v>SEG - NILÓPOLIS</v>
      </c>
      <c r="H1838" t="str">
        <f>Vagas[[#This Row],[data]]&amp;Vagas[[#This Row],[profissional_id]]&amp;Vagas[[#This Row],[local_id]]</f>
        <v>446491789255</v>
      </c>
    </row>
    <row r="1839" spans="1:8" x14ac:dyDescent="0.25">
      <c r="A1839" s="2">
        <v>44649</v>
      </c>
      <c r="B1839">
        <v>17903</v>
      </c>
      <c r="D1839">
        <v>0</v>
      </c>
      <c r="E1839">
        <v>0</v>
      </c>
      <c r="F1839" s="1">
        <f t="shared" si="28"/>
        <v>0</v>
      </c>
      <c r="G1839" s="1" t="str">
        <f>_xlfn.XLOOKUP(C1839,'Ocupação DW'!$F:$F,'Ocupação DW'!$E:$E,"",0)</f>
        <v/>
      </c>
      <c r="H1839" t="str">
        <f>Vagas[[#This Row],[data]]&amp;Vagas[[#This Row],[profissional_id]]&amp;Vagas[[#This Row],[local_id]]</f>
        <v>4464917903</v>
      </c>
    </row>
    <row r="1840" spans="1:8" x14ac:dyDescent="0.25">
      <c r="A1840" s="2">
        <v>44649</v>
      </c>
      <c r="B1840">
        <v>17904</v>
      </c>
      <c r="D1840">
        <v>0</v>
      </c>
      <c r="E1840">
        <v>0</v>
      </c>
      <c r="F1840" s="1">
        <f t="shared" si="28"/>
        <v>0</v>
      </c>
      <c r="G1840" s="1" t="str">
        <f>_xlfn.XLOOKUP(C1840,'Ocupação DW'!$F:$F,'Ocupação DW'!$E:$E,"",0)</f>
        <v/>
      </c>
      <c r="H1840" t="str">
        <f>Vagas[[#This Row],[data]]&amp;Vagas[[#This Row],[profissional_id]]&amp;Vagas[[#This Row],[local_id]]</f>
        <v>4464917904</v>
      </c>
    </row>
    <row r="1841" spans="1:8" x14ac:dyDescent="0.25">
      <c r="A1841" s="2">
        <v>44649</v>
      </c>
      <c r="B1841">
        <v>17907</v>
      </c>
      <c r="C1841">
        <v>55</v>
      </c>
      <c r="D1841">
        <v>14</v>
      </c>
      <c r="E1841">
        <v>0</v>
      </c>
      <c r="F1841" s="1">
        <f t="shared" si="28"/>
        <v>0</v>
      </c>
      <c r="G1841" s="1" t="str">
        <f>_xlfn.XLOOKUP(C1841,'Ocupação DW'!$F:$F,'Ocupação DW'!$E:$E,"",0)</f>
        <v>SEG - NILÓPOLIS</v>
      </c>
      <c r="H1841" t="str">
        <f>Vagas[[#This Row],[data]]&amp;Vagas[[#This Row],[profissional_id]]&amp;Vagas[[#This Row],[local_id]]</f>
        <v>446491790755</v>
      </c>
    </row>
    <row r="1842" spans="1:8" x14ac:dyDescent="0.25">
      <c r="A1842" s="2">
        <v>44649</v>
      </c>
      <c r="B1842">
        <v>17909</v>
      </c>
      <c r="C1842">
        <v>4</v>
      </c>
      <c r="D1842">
        <v>0</v>
      </c>
      <c r="E1842">
        <v>0</v>
      </c>
      <c r="F1842" s="1">
        <f t="shared" si="28"/>
        <v>0</v>
      </c>
      <c r="G1842" s="1" t="str">
        <f>_xlfn.XLOOKUP(C1842,'Ocupação DW'!$F:$F,'Ocupação DW'!$E:$E,"",0)</f>
        <v>SEG - FILIAL II 10°</v>
      </c>
      <c r="H1842" t="str">
        <f>Vagas[[#This Row],[data]]&amp;Vagas[[#This Row],[profissional_id]]&amp;Vagas[[#This Row],[local_id]]</f>
        <v>44649179094</v>
      </c>
    </row>
    <row r="1843" spans="1:8" x14ac:dyDescent="0.25">
      <c r="A1843" s="2">
        <v>44649</v>
      </c>
      <c r="B1843">
        <v>17918</v>
      </c>
      <c r="C1843">
        <v>378</v>
      </c>
      <c r="D1843">
        <v>0</v>
      </c>
      <c r="E1843">
        <v>0</v>
      </c>
      <c r="F1843" s="1">
        <f t="shared" si="28"/>
        <v>0</v>
      </c>
      <c r="G1843" s="1" t="str">
        <f>_xlfn.XLOOKUP(C1843,'Ocupação DW'!$F:$F,'Ocupação DW'!$E:$E,"",0)</f>
        <v>SEG - SÃO JOÃO</v>
      </c>
      <c r="H1843" t="str">
        <f>Vagas[[#This Row],[data]]&amp;Vagas[[#This Row],[profissional_id]]&amp;Vagas[[#This Row],[local_id]]</f>
        <v>4464917918378</v>
      </c>
    </row>
    <row r="1844" spans="1:8" x14ac:dyDescent="0.25">
      <c r="A1844" s="2">
        <v>44649</v>
      </c>
      <c r="B1844">
        <v>17922</v>
      </c>
      <c r="D1844">
        <v>133</v>
      </c>
      <c r="E1844">
        <v>0</v>
      </c>
      <c r="F1844" s="1">
        <f t="shared" si="28"/>
        <v>0</v>
      </c>
      <c r="G1844" s="1" t="str">
        <f>_xlfn.XLOOKUP(C1844,'Ocupação DW'!$F:$F,'Ocupação DW'!$E:$E,"",0)</f>
        <v/>
      </c>
      <c r="H1844" t="str">
        <f>Vagas[[#This Row],[data]]&amp;Vagas[[#This Row],[profissional_id]]&amp;Vagas[[#This Row],[local_id]]</f>
        <v>4464917922</v>
      </c>
    </row>
    <row r="1845" spans="1:8" x14ac:dyDescent="0.25">
      <c r="A1845" s="2">
        <v>44649</v>
      </c>
      <c r="B1845">
        <v>17922</v>
      </c>
      <c r="C1845">
        <v>74</v>
      </c>
      <c r="D1845">
        <v>133</v>
      </c>
      <c r="E1845">
        <v>0</v>
      </c>
      <c r="F1845" s="1">
        <f t="shared" si="28"/>
        <v>0</v>
      </c>
      <c r="G1845" s="1" t="str">
        <f>_xlfn.XLOOKUP(C1845,'Ocupação DW'!$F:$F,'Ocupação DW'!$E:$E,"",0)</f>
        <v/>
      </c>
      <c r="H1845" t="str">
        <f>Vagas[[#This Row],[data]]&amp;Vagas[[#This Row],[profissional_id]]&amp;Vagas[[#This Row],[local_id]]</f>
        <v>446491792274</v>
      </c>
    </row>
    <row r="1846" spans="1:8" x14ac:dyDescent="0.25">
      <c r="A1846" s="2">
        <v>44649</v>
      </c>
      <c r="B1846">
        <v>17924</v>
      </c>
      <c r="C1846">
        <v>52</v>
      </c>
      <c r="D1846">
        <v>133</v>
      </c>
      <c r="E1846">
        <v>0</v>
      </c>
      <c r="F1846" s="1">
        <f t="shared" si="28"/>
        <v>0</v>
      </c>
      <c r="G1846" s="1" t="str">
        <f>_xlfn.XLOOKUP(C1846,'Ocupação DW'!$F:$F,'Ocupação DW'!$E:$E,"",0)</f>
        <v/>
      </c>
      <c r="H1846" t="str">
        <f>Vagas[[#This Row],[data]]&amp;Vagas[[#This Row],[profissional_id]]&amp;Vagas[[#This Row],[local_id]]</f>
        <v>446491792452</v>
      </c>
    </row>
    <row r="1847" spans="1:8" x14ac:dyDescent="0.25">
      <c r="A1847" s="2">
        <v>44649</v>
      </c>
      <c r="D1847">
        <v>0</v>
      </c>
      <c r="E1847">
        <v>0</v>
      </c>
      <c r="F1847" s="1">
        <f t="shared" si="28"/>
        <v>0</v>
      </c>
      <c r="G1847" s="1" t="str">
        <f>_xlfn.XLOOKUP(C1847,'Ocupação DW'!$F:$F,'Ocupação DW'!$E:$E,"",0)</f>
        <v/>
      </c>
      <c r="H1847" t="str">
        <f>Vagas[[#This Row],[data]]&amp;Vagas[[#This Row],[profissional_id]]&amp;Vagas[[#This Row],[local_id]]</f>
        <v>44649</v>
      </c>
    </row>
    <row r="1848" spans="1:8" x14ac:dyDescent="0.25">
      <c r="A1848" s="2">
        <v>44649</v>
      </c>
      <c r="D1848">
        <v>0</v>
      </c>
      <c r="E1848">
        <v>0</v>
      </c>
      <c r="F1848" s="1">
        <f t="shared" si="28"/>
        <v>0</v>
      </c>
      <c r="G1848" s="1" t="str">
        <f>_xlfn.XLOOKUP(C1848,'Ocupação DW'!$F:$F,'Ocupação DW'!$E:$E,"",0)</f>
        <v/>
      </c>
      <c r="H1848" t="str">
        <f>Vagas[[#This Row],[data]]&amp;Vagas[[#This Row],[profissional_id]]&amp;Vagas[[#This Row],[local_id]]</f>
        <v>44649</v>
      </c>
    </row>
    <row r="1849" spans="1:8" x14ac:dyDescent="0.25">
      <c r="A1849" s="2">
        <v>44649</v>
      </c>
      <c r="D1849">
        <v>0</v>
      </c>
      <c r="E1849">
        <v>0</v>
      </c>
      <c r="F1849" s="1">
        <f t="shared" si="28"/>
        <v>0</v>
      </c>
      <c r="G1849" s="1" t="str">
        <f>_xlfn.XLOOKUP(C1849,'Ocupação DW'!$F:$F,'Ocupação DW'!$E:$E,"",0)</f>
        <v/>
      </c>
      <c r="H1849" t="str">
        <f>Vagas[[#This Row],[data]]&amp;Vagas[[#This Row],[profissional_id]]&amp;Vagas[[#This Row],[local_id]]</f>
        <v>44649</v>
      </c>
    </row>
    <row r="1850" spans="1:8" x14ac:dyDescent="0.25">
      <c r="A1850" s="2">
        <v>44650</v>
      </c>
      <c r="B1850">
        <v>54</v>
      </c>
      <c r="D1850">
        <v>10</v>
      </c>
      <c r="E1850">
        <v>0</v>
      </c>
      <c r="F1850" s="1">
        <f t="shared" si="28"/>
        <v>0</v>
      </c>
      <c r="G1850" s="1" t="str">
        <f>_xlfn.XLOOKUP(C1850,'Ocupação DW'!$F:$F,'Ocupação DW'!$E:$E,"",0)</f>
        <v/>
      </c>
      <c r="H1850" t="str">
        <f>Vagas[[#This Row],[data]]&amp;Vagas[[#This Row],[profissional_id]]&amp;Vagas[[#This Row],[local_id]]</f>
        <v>4465054</v>
      </c>
    </row>
    <row r="1851" spans="1:8" x14ac:dyDescent="0.25">
      <c r="A1851" s="2">
        <v>44650</v>
      </c>
      <c r="B1851">
        <v>55</v>
      </c>
      <c r="D1851">
        <v>0</v>
      </c>
      <c r="E1851">
        <v>0</v>
      </c>
      <c r="F1851" s="1">
        <f t="shared" si="28"/>
        <v>0</v>
      </c>
      <c r="G1851" s="1" t="str">
        <f>_xlfn.XLOOKUP(C1851,'Ocupação DW'!$F:$F,'Ocupação DW'!$E:$E,"",0)</f>
        <v/>
      </c>
      <c r="H1851" t="str">
        <f>Vagas[[#This Row],[data]]&amp;Vagas[[#This Row],[profissional_id]]&amp;Vagas[[#This Row],[local_id]]</f>
        <v>4465055</v>
      </c>
    </row>
    <row r="1852" spans="1:8" x14ac:dyDescent="0.25">
      <c r="A1852" s="2">
        <v>44650</v>
      </c>
      <c r="B1852">
        <v>57</v>
      </c>
      <c r="C1852">
        <v>8</v>
      </c>
      <c r="D1852">
        <v>24</v>
      </c>
      <c r="E1852">
        <v>0</v>
      </c>
      <c r="F1852" s="1">
        <f t="shared" si="28"/>
        <v>0</v>
      </c>
      <c r="G1852" s="1" t="str">
        <f>_xlfn.XLOOKUP(C1852,'Ocupação DW'!$F:$F,'Ocupação DW'!$E:$E,"",0)</f>
        <v>SEG - FILIAL II 10°</v>
      </c>
      <c r="H1852" t="str">
        <f>Vagas[[#This Row],[data]]&amp;Vagas[[#This Row],[profissional_id]]&amp;Vagas[[#This Row],[local_id]]</f>
        <v>44650578</v>
      </c>
    </row>
    <row r="1853" spans="1:8" x14ac:dyDescent="0.25">
      <c r="A1853" s="2">
        <v>44650</v>
      </c>
      <c r="B1853">
        <v>57</v>
      </c>
      <c r="C1853">
        <v>4</v>
      </c>
      <c r="D1853">
        <v>0</v>
      </c>
      <c r="E1853">
        <v>0</v>
      </c>
      <c r="F1853" s="1">
        <f t="shared" si="28"/>
        <v>24</v>
      </c>
      <c r="G1853" s="1" t="str">
        <f>_xlfn.XLOOKUP(C1853,'Ocupação DW'!$F:$F,'Ocupação DW'!$E:$E,"",0)</f>
        <v>SEG - FILIAL II 10°</v>
      </c>
      <c r="H1853" t="str">
        <f>Vagas[[#This Row],[data]]&amp;Vagas[[#This Row],[profissional_id]]&amp;Vagas[[#This Row],[local_id]]</f>
        <v>44650574</v>
      </c>
    </row>
    <row r="1854" spans="1:8" x14ac:dyDescent="0.25">
      <c r="A1854" s="2">
        <v>44650</v>
      </c>
      <c r="B1854">
        <v>57</v>
      </c>
      <c r="C1854">
        <v>2</v>
      </c>
      <c r="D1854">
        <v>23</v>
      </c>
      <c r="E1854">
        <v>0</v>
      </c>
      <c r="F1854" s="1">
        <f t="shared" si="28"/>
        <v>0</v>
      </c>
      <c r="G1854" s="1" t="str">
        <f>_xlfn.XLOOKUP(C1854,'Ocupação DW'!$F:$F,'Ocupação DW'!$E:$E,"",0)</f>
        <v>SEG - FILIAL II 10°</v>
      </c>
      <c r="H1854" t="str">
        <f>Vagas[[#This Row],[data]]&amp;Vagas[[#This Row],[profissional_id]]&amp;Vagas[[#This Row],[local_id]]</f>
        <v>44650572</v>
      </c>
    </row>
    <row r="1855" spans="1:8" x14ac:dyDescent="0.25">
      <c r="A1855" s="2">
        <v>44650</v>
      </c>
      <c r="B1855">
        <v>59</v>
      </c>
      <c r="D1855">
        <v>0</v>
      </c>
      <c r="E1855">
        <v>0</v>
      </c>
      <c r="F1855" s="1">
        <f t="shared" si="28"/>
        <v>0</v>
      </c>
      <c r="G1855" s="1" t="str">
        <f>_xlfn.XLOOKUP(C1855,'Ocupação DW'!$F:$F,'Ocupação DW'!$E:$E,"",0)</f>
        <v/>
      </c>
      <c r="H1855" t="str">
        <f>Vagas[[#This Row],[data]]&amp;Vagas[[#This Row],[profissional_id]]&amp;Vagas[[#This Row],[local_id]]</f>
        <v>4465059</v>
      </c>
    </row>
    <row r="1856" spans="1:8" x14ac:dyDescent="0.25">
      <c r="A1856" s="2">
        <v>44650</v>
      </c>
      <c r="B1856">
        <v>60</v>
      </c>
      <c r="D1856">
        <v>45</v>
      </c>
      <c r="E1856">
        <v>0</v>
      </c>
      <c r="F1856" s="1">
        <f t="shared" si="28"/>
        <v>0</v>
      </c>
      <c r="G1856" s="1" t="str">
        <f>_xlfn.XLOOKUP(C1856,'Ocupação DW'!$F:$F,'Ocupação DW'!$E:$E,"",0)</f>
        <v/>
      </c>
      <c r="H1856" t="str">
        <f>Vagas[[#This Row],[data]]&amp;Vagas[[#This Row],[profissional_id]]&amp;Vagas[[#This Row],[local_id]]</f>
        <v>4465060</v>
      </c>
    </row>
    <row r="1857" spans="1:8" x14ac:dyDescent="0.25">
      <c r="A1857" s="2">
        <v>44650</v>
      </c>
      <c r="B1857">
        <v>60</v>
      </c>
      <c r="C1857">
        <v>375</v>
      </c>
      <c r="D1857">
        <v>0</v>
      </c>
      <c r="E1857">
        <v>0</v>
      </c>
      <c r="F1857" s="1">
        <f t="shared" si="28"/>
        <v>45</v>
      </c>
      <c r="G1857" s="1" t="str">
        <f>_xlfn.XLOOKUP(C1857,'Ocupação DW'!$F:$F,'Ocupação DW'!$E:$E,"",0)</f>
        <v>SEG - SÃO JOÃO</v>
      </c>
      <c r="H1857" t="str">
        <f>Vagas[[#This Row],[data]]&amp;Vagas[[#This Row],[profissional_id]]&amp;Vagas[[#This Row],[local_id]]</f>
        <v>4465060375</v>
      </c>
    </row>
    <row r="1858" spans="1:8" x14ac:dyDescent="0.25">
      <c r="A1858" s="2">
        <v>44650</v>
      </c>
      <c r="B1858">
        <v>60</v>
      </c>
      <c r="C1858">
        <v>346</v>
      </c>
      <c r="D1858">
        <v>0</v>
      </c>
      <c r="E1858">
        <v>0</v>
      </c>
      <c r="F1858" s="1">
        <f t="shared" ref="F1858:F1921" si="29">IF(AND(A1858=A1857,B1858=B1857,D1857&lt;&gt;0,D1858=0),D1857,0)</f>
        <v>0</v>
      </c>
      <c r="G1858" s="1" t="str">
        <f>_xlfn.XLOOKUP(C1858,'Ocupação DW'!$F:$F,'Ocupação DW'!$E:$E,"",0)</f>
        <v>SEG - MATRIZ</v>
      </c>
      <c r="H1858" t="str">
        <f>Vagas[[#This Row],[data]]&amp;Vagas[[#This Row],[profissional_id]]&amp;Vagas[[#This Row],[local_id]]</f>
        <v>4465060346</v>
      </c>
    </row>
    <row r="1859" spans="1:8" x14ac:dyDescent="0.25">
      <c r="A1859" s="2">
        <v>44650</v>
      </c>
      <c r="B1859">
        <v>66</v>
      </c>
      <c r="D1859">
        <v>49</v>
      </c>
      <c r="E1859">
        <v>0</v>
      </c>
      <c r="F1859" s="1">
        <f t="shared" si="29"/>
        <v>0</v>
      </c>
      <c r="G1859" s="1" t="str">
        <f>_xlfn.XLOOKUP(C1859,'Ocupação DW'!$F:$F,'Ocupação DW'!$E:$E,"",0)</f>
        <v/>
      </c>
      <c r="H1859" t="str">
        <f>Vagas[[#This Row],[data]]&amp;Vagas[[#This Row],[profissional_id]]&amp;Vagas[[#This Row],[local_id]]</f>
        <v>4465066</v>
      </c>
    </row>
    <row r="1860" spans="1:8" x14ac:dyDescent="0.25">
      <c r="A1860" s="2">
        <v>44650</v>
      </c>
      <c r="B1860">
        <v>67</v>
      </c>
      <c r="C1860">
        <v>8</v>
      </c>
      <c r="D1860">
        <v>0</v>
      </c>
      <c r="E1860">
        <v>0</v>
      </c>
      <c r="F1860" s="1">
        <f t="shared" si="29"/>
        <v>0</v>
      </c>
      <c r="G1860" s="1" t="str">
        <f>_xlfn.XLOOKUP(C1860,'Ocupação DW'!$F:$F,'Ocupação DW'!$E:$E,"",0)</f>
        <v>SEG - FILIAL II 10°</v>
      </c>
      <c r="H1860" t="str">
        <f>Vagas[[#This Row],[data]]&amp;Vagas[[#This Row],[profissional_id]]&amp;Vagas[[#This Row],[local_id]]</f>
        <v>44650678</v>
      </c>
    </row>
    <row r="1861" spans="1:8" x14ac:dyDescent="0.25">
      <c r="A1861" s="2">
        <v>44650</v>
      </c>
      <c r="B1861">
        <v>69</v>
      </c>
      <c r="D1861">
        <v>0</v>
      </c>
      <c r="E1861">
        <v>0</v>
      </c>
      <c r="F1861" s="1">
        <f t="shared" si="29"/>
        <v>0</v>
      </c>
      <c r="G1861" s="1" t="str">
        <f>_xlfn.XLOOKUP(C1861,'Ocupação DW'!$F:$F,'Ocupação DW'!$E:$E,"",0)</f>
        <v/>
      </c>
      <c r="H1861" t="str">
        <f>Vagas[[#This Row],[data]]&amp;Vagas[[#This Row],[profissional_id]]&amp;Vagas[[#This Row],[local_id]]</f>
        <v>4465069</v>
      </c>
    </row>
    <row r="1862" spans="1:8" x14ac:dyDescent="0.25">
      <c r="A1862" s="2">
        <v>44650</v>
      </c>
      <c r="B1862">
        <v>70</v>
      </c>
      <c r="D1862">
        <v>19</v>
      </c>
      <c r="E1862">
        <v>0</v>
      </c>
      <c r="F1862" s="1">
        <f t="shared" si="29"/>
        <v>0</v>
      </c>
      <c r="G1862" s="1" t="str">
        <f>_xlfn.XLOOKUP(C1862,'Ocupação DW'!$F:$F,'Ocupação DW'!$E:$E,"",0)</f>
        <v/>
      </c>
      <c r="H1862" t="str">
        <f>Vagas[[#This Row],[data]]&amp;Vagas[[#This Row],[profissional_id]]&amp;Vagas[[#This Row],[local_id]]</f>
        <v>4465070</v>
      </c>
    </row>
    <row r="1863" spans="1:8" x14ac:dyDescent="0.25">
      <c r="A1863" s="2">
        <v>44650</v>
      </c>
      <c r="B1863">
        <v>70</v>
      </c>
      <c r="C1863">
        <v>13</v>
      </c>
      <c r="D1863">
        <v>0</v>
      </c>
      <c r="E1863">
        <v>0</v>
      </c>
      <c r="F1863" s="1">
        <f t="shared" si="29"/>
        <v>19</v>
      </c>
      <c r="G1863" s="1" t="str">
        <f>_xlfn.XLOOKUP(C1863,'Ocupação DW'!$F:$F,'Ocupação DW'!$E:$E,"",0)</f>
        <v>SEG - FILIAL II 11°</v>
      </c>
      <c r="H1863" t="str">
        <f>Vagas[[#This Row],[data]]&amp;Vagas[[#This Row],[profissional_id]]&amp;Vagas[[#This Row],[local_id]]</f>
        <v>446507013</v>
      </c>
    </row>
    <row r="1864" spans="1:8" x14ac:dyDescent="0.25">
      <c r="A1864" s="2">
        <v>44650</v>
      </c>
      <c r="B1864">
        <v>73</v>
      </c>
      <c r="D1864">
        <v>33</v>
      </c>
      <c r="E1864">
        <v>0</v>
      </c>
      <c r="F1864" s="1">
        <f t="shared" si="29"/>
        <v>0</v>
      </c>
      <c r="G1864" s="1" t="str">
        <f>_xlfn.XLOOKUP(C1864,'Ocupação DW'!$F:$F,'Ocupação DW'!$E:$E,"",0)</f>
        <v/>
      </c>
      <c r="H1864" t="str">
        <f>Vagas[[#This Row],[data]]&amp;Vagas[[#This Row],[profissional_id]]&amp;Vagas[[#This Row],[local_id]]</f>
        <v>4465073</v>
      </c>
    </row>
    <row r="1865" spans="1:8" x14ac:dyDescent="0.25">
      <c r="A1865" s="2">
        <v>44650</v>
      </c>
      <c r="B1865">
        <v>73</v>
      </c>
      <c r="C1865">
        <v>5</v>
      </c>
      <c r="D1865">
        <v>0</v>
      </c>
      <c r="E1865">
        <v>0</v>
      </c>
      <c r="F1865" s="1">
        <f t="shared" si="29"/>
        <v>33</v>
      </c>
      <c r="G1865" s="1" t="str">
        <f>_xlfn.XLOOKUP(C1865,'Ocupação DW'!$F:$F,'Ocupação DW'!$E:$E,"",0)</f>
        <v>SEG - FILIAL II 10°</v>
      </c>
      <c r="H1865" t="str">
        <f>Vagas[[#This Row],[data]]&amp;Vagas[[#This Row],[profissional_id]]&amp;Vagas[[#This Row],[local_id]]</f>
        <v>44650735</v>
      </c>
    </row>
    <row r="1866" spans="1:8" x14ac:dyDescent="0.25">
      <c r="A1866" s="2">
        <v>44650</v>
      </c>
      <c r="B1866">
        <v>74</v>
      </c>
      <c r="C1866">
        <v>7</v>
      </c>
      <c r="D1866">
        <v>0</v>
      </c>
      <c r="E1866">
        <v>2</v>
      </c>
      <c r="F1866" s="1">
        <f t="shared" si="29"/>
        <v>0</v>
      </c>
      <c r="G1866" s="1" t="str">
        <f>_xlfn.XLOOKUP(C1866,'Ocupação DW'!$F:$F,'Ocupação DW'!$E:$E,"",0)</f>
        <v>SEG - FILIAL II 10°</v>
      </c>
      <c r="H1866" t="str">
        <f>Vagas[[#This Row],[data]]&amp;Vagas[[#This Row],[profissional_id]]&amp;Vagas[[#This Row],[local_id]]</f>
        <v>44650747</v>
      </c>
    </row>
    <row r="1867" spans="1:8" x14ac:dyDescent="0.25">
      <c r="A1867" s="2">
        <v>44650</v>
      </c>
      <c r="B1867">
        <v>80</v>
      </c>
      <c r="C1867">
        <v>346</v>
      </c>
      <c r="D1867">
        <v>0</v>
      </c>
      <c r="E1867">
        <v>3</v>
      </c>
      <c r="F1867" s="1">
        <f t="shared" si="29"/>
        <v>0</v>
      </c>
      <c r="G1867" s="1" t="str">
        <f>_xlfn.XLOOKUP(C1867,'Ocupação DW'!$F:$F,'Ocupação DW'!$E:$E,"",0)</f>
        <v>SEG - MATRIZ</v>
      </c>
      <c r="H1867" t="str">
        <f>Vagas[[#This Row],[data]]&amp;Vagas[[#This Row],[profissional_id]]&amp;Vagas[[#This Row],[local_id]]</f>
        <v>4465080346</v>
      </c>
    </row>
    <row r="1868" spans="1:8" x14ac:dyDescent="0.25">
      <c r="A1868" s="2">
        <v>44650</v>
      </c>
      <c r="B1868">
        <v>81</v>
      </c>
      <c r="C1868">
        <v>41</v>
      </c>
      <c r="D1868">
        <v>0</v>
      </c>
      <c r="E1868">
        <v>0</v>
      </c>
      <c r="F1868" s="1">
        <f t="shared" si="29"/>
        <v>0</v>
      </c>
      <c r="G1868" s="1" t="str">
        <f>_xlfn.XLOOKUP(C1868,'Ocupação DW'!$F:$F,'Ocupação DW'!$E:$E,"",0)</f>
        <v>SEG - FILIAL I</v>
      </c>
      <c r="H1868" t="str">
        <f>Vagas[[#This Row],[data]]&amp;Vagas[[#This Row],[profissional_id]]&amp;Vagas[[#This Row],[local_id]]</f>
        <v>446508141</v>
      </c>
    </row>
    <row r="1869" spans="1:8" x14ac:dyDescent="0.25">
      <c r="A1869" s="2">
        <v>44650</v>
      </c>
      <c r="B1869">
        <v>86</v>
      </c>
      <c r="D1869">
        <v>13</v>
      </c>
      <c r="E1869">
        <v>0</v>
      </c>
      <c r="F1869" s="1">
        <f t="shared" si="29"/>
        <v>0</v>
      </c>
      <c r="G1869" s="1" t="str">
        <f>_xlfn.XLOOKUP(C1869,'Ocupação DW'!$F:$F,'Ocupação DW'!$E:$E,"",0)</f>
        <v/>
      </c>
      <c r="H1869" t="str">
        <f>Vagas[[#This Row],[data]]&amp;Vagas[[#This Row],[profissional_id]]&amp;Vagas[[#This Row],[local_id]]</f>
        <v>4465086</v>
      </c>
    </row>
    <row r="1870" spans="1:8" x14ac:dyDescent="0.25">
      <c r="A1870" s="2">
        <v>44650</v>
      </c>
      <c r="B1870">
        <v>86</v>
      </c>
      <c r="C1870">
        <v>66</v>
      </c>
      <c r="D1870">
        <v>0</v>
      </c>
      <c r="E1870">
        <v>0</v>
      </c>
      <c r="F1870" s="1">
        <f t="shared" si="29"/>
        <v>13</v>
      </c>
      <c r="G1870" s="1" t="str">
        <f>_xlfn.XLOOKUP(C1870,'Ocupação DW'!$F:$F,'Ocupação DW'!$E:$E,"",0)</f>
        <v>SEG - NILÓPOLIS</v>
      </c>
      <c r="H1870" t="str">
        <f>Vagas[[#This Row],[data]]&amp;Vagas[[#This Row],[profissional_id]]&amp;Vagas[[#This Row],[local_id]]</f>
        <v>446508666</v>
      </c>
    </row>
    <row r="1871" spans="1:8" x14ac:dyDescent="0.25">
      <c r="A1871" s="2">
        <v>44650</v>
      </c>
      <c r="B1871">
        <v>92</v>
      </c>
      <c r="C1871">
        <v>340</v>
      </c>
      <c r="D1871">
        <v>72</v>
      </c>
      <c r="E1871">
        <v>0</v>
      </c>
      <c r="F1871" s="1">
        <f t="shared" si="29"/>
        <v>0</v>
      </c>
      <c r="G1871" s="1" t="str">
        <f>_xlfn.XLOOKUP(C1871,'Ocupação DW'!$F:$F,'Ocupação DW'!$E:$E,"",0)</f>
        <v>SEG - MATRIZ</v>
      </c>
      <c r="H1871" t="str">
        <f>Vagas[[#This Row],[data]]&amp;Vagas[[#This Row],[profissional_id]]&amp;Vagas[[#This Row],[local_id]]</f>
        <v>4465092340</v>
      </c>
    </row>
    <row r="1872" spans="1:8" x14ac:dyDescent="0.25">
      <c r="A1872" s="2">
        <v>44650</v>
      </c>
      <c r="B1872">
        <v>100</v>
      </c>
      <c r="D1872">
        <v>0</v>
      </c>
      <c r="E1872">
        <v>0</v>
      </c>
      <c r="F1872" s="1">
        <f t="shared" si="29"/>
        <v>0</v>
      </c>
      <c r="G1872" s="1" t="str">
        <f>_xlfn.XLOOKUP(C1872,'Ocupação DW'!$F:$F,'Ocupação DW'!$E:$E,"",0)</f>
        <v/>
      </c>
      <c r="H1872" t="str">
        <f>Vagas[[#This Row],[data]]&amp;Vagas[[#This Row],[profissional_id]]&amp;Vagas[[#This Row],[local_id]]</f>
        <v>44650100</v>
      </c>
    </row>
    <row r="1873" spans="1:8" x14ac:dyDescent="0.25">
      <c r="A1873" s="2">
        <v>44650</v>
      </c>
      <c r="B1873">
        <v>110</v>
      </c>
      <c r="D1873">
        <v>43</v>
      </c>
      <c r="E1873">
        <v>0</v>
      </c>
      <c r="F1873" s="1">
        <f t="shared" si="29"/>
        <v>0</v>
      </c>
      <c r="G1873" s="1" t="str">
        <f>_xlfn.XLOOKUP(C1873,'Ocupação DW'!$F:$F,'Ocupação DW'!$E:$E,"",0)</f>
        <v/>
      </c>
      <c r="H1873" t="str">
        <f>Vagas[[#This Row],[data]]&amp;Vagas[[#This Row],[profissional_id]]&amp;Vagas[[#This Row],[local_id]]</f>
        <v>44650110</v>
      </c>
    </row>
    <row r="1874" spans="1:8" x14ac:dyDescent="0.25">
      <c r="A1874" s="2">
        <v>44650</v>
      </c>
      <c r="B1874">
        <v>110</v>
      </c>
      <c r="C1874">
        <v>334</v>
      </c>
      <c r="D1874">
        <v>0</v>
      </c>
      <c r="E1874">
        <v>0</v>
      </c>
      <c r="F1874" s="1">
        <f t="shared" si="29"/>
        <v>43</v>
      </c>
      <c r="G1874" s="1" t="str">
        <f>_xlfn.XLOOKUP(C1874,'Ocupação DW'!$F:$F,'Ocupação DW'!$E:$E,"",0)</f>
        <v>SEG - FILIAL I</v>
      </c>
      <c r="H1874" t="str">
        <f>Vagas[[#This Row],[data]]&amp;Vagas[[#This Row],[profissional_id]]&amp;Vagas[[#This Row],[local_id]]</f>
        <v>44650110334</v>
      </c>
    </row>
    <row r="1875" spans="1:8" x14ac:dyDescent="0.25">
      <c r="A1875" s="2">
        <v>44650</v>
      </c>
      <c r="B1875">
        <v>111</v>
      </c>
      <c r="C1875">
        <v>51</v>
      </c>
      <c r="D1875">
        <v>41</v>
      </c>
      <c r="E1875">
        <v>0</v>
      </c>
      <c r="F1875" s="1">
        <f t="shared" si="29"/>
        <v>0</v>
      </c>
      <c r="G1875" s="1" t="str">
        <f>_xlfn.XLOOKUP(C1875,'Ocupação DW'!$F:$F,'Ocupação DW'!$E:$E,"",0)</f>
        <v>SEG - FILIAL I</v>
      </c>
      <c r="H1875" t="str">
        <f>Vagas[[#This Row],[data]]&amp;Vagas[[#This Row],[profissional_id]]&amp;Vagas[[#This Row],[local_id]]</f>
        <v>4465011151</v>
      </c>
    </row>
    <row r="1876" spans="1:8" x14ac:dyDescent="0.25">
      <c r="A1876" s="2">
        <v>44650</v>
      </c>
      <c r="B1876">
        <v>123</v>
      </c>
      <c r="D1876">
        <v>11</v>
      </c>
      <c r="E1876">
        <v>0</v>
      </c>
      <c r="F1876" s="1">
        <f t="shared" si="29"/>
        <v>0</v>
      </c>
      <c r="G1876" s="1" t="str">
        <f>_xlfn.XLOOKUP(C1876,'Ocupação DW'!$F:$F,'Ocupação DW'!$E:$E,"",0)</f>
        <v/>
      </c>
      <c r="H1876" t="str">
        <f>Vagas[[#This Row],[data]]&amp;Vagas[[#This Row],[profissional_id]]&amp;Vagas[[#This Row],[local_id]]</f>
        <v>44650123</v>
      </c>
    </row>
    <row r="1877" spans="1:8" x14ac:dyDescent="0.25">
      <c r="A1877" s="2">
        <v>44650</v>
      </c>
      <c r="B1877">
        <v>282</v>
      </c>
      <c r="D1877">
        <v>134</v>
      </c>
      <c r="E1877">
        <v>0</v>
      </c>
      <c r="F1877" s="1">
        <f t="shared" si="29"/>
        <v>0</v>
      </c>
      <c r="G1877" s="1" t="str">
        <f>_xlfn.XLOOKUP(C1877,'Ocupação DW'!$F:$F,'Ocupação DW'!$E:$E,"",0)</f>
        <v/>
      </c>
      <c r="H1877" t="str">
        <f>Vagas[[#This Row],[data]]&amp;Vagas[[#This Row],[profissional_id]]&amp;Vagas[[#This Row],[local_id]]</f>
        <v>44650282</v>
      </c>
    </row>
    <row r="1878" spans="1:8" x14ac:dyDescent="0.25">
      <c r="A1878" s="2">
        <v>44650</v>
      </c>
      <c r="B1878">
        <v>282</v>
      </c>
      <c r="C1878">
        <v>39</v>
      </c>
      <c r="D1878">
        <v>51</v>
      </c>
      <c r="E1878">
        <v>0</v>
      </c>
      <c r="F1878" s="1">
        <f t="shared" si="29"/>
        <v>0</v>
      </c>
      <c r="G1878" s="1" t="str">
        <f>_xlfn.XLOOKUP(C1878,'Ocupação DW'!$F:$F,'Ocupação DW'!$E:$E,"",0)</f>
        <v>SEG - FILIAL I</v>
      </c>
      <c r="H1878" t="str">
        <f>Vagas[[#This Row],[data]]&amp;Vagas[[#This Row],[profissional_id]]&amp;Vagas[[#This Row],[local_id]]</f>
        <v>4465028239</v>
      </c>
    </row>
    <row r="1879" spans="1:8" x14ac:dyDescent="0.25">
      <c r="A1879" s="2">
        <v>44650</v>
      </c>
      <c r="B1879">
        <v>282</v>
      </c>
      <c r="C1879">
        <v>46</v>
      </c>
      <c r="D1879">
        <v>0</v>
      </c>
      <c r="E1879">
        <v>0</v>
      </c>
      <c r="F1879" s="1">
        <f t="shared" si="29"/>
        <v>51</v>
      </c>
      <c r="G1879" s="1" t="str">
        <f>_xlfn.XLOOKUP(C1879,'Ocupação DW'!$F:$F,'Ocupação DW'!$E:$E,"",0)</f>
        <v>SEG - FILIAL I</v>
      </c>
      <c r="H1879" t="str">
        <f>Vagas[[#This Row],[data]]&amp;Vagas[[#This Row],[profissional_id]]&amp;Vagas[[#This Row],[local_id]]</f>
        <v>4465028246</v>
      </c>
    </row>
    <row r="1880" spans="1:8" x14ac:dyDescent="0.25">
      <c r="A1880" s="2">
        <v>44650</v>
      </c>
      <c r="B1880">
        <v>1343</v>
      </c>
      <c r="D1880">
        <v>26</v>
      </c>
      <c r="E1880">
        <v>0</v>
      </c>
      <c r="F1880" s="1">
        <f t="shared" si="29"/>
        <v>0</v>
      </c>
      <c r="G1880" s="1" t="str">
        <f>_xlfn.XLOOKUP(C1880,'Ocupação DW'!$F:$F,'Ocupação DW'!$E:$E,"",0)</f>
        <v/>
      </c>
      <c r="H1880" t="str">
        <f>Vagas[[#This Row],[data]]&amp;Vagas[[#This Row],[profissional_id]]&amp;Vagas[[#This Row],[local_id]]</f>
        <v>446501343</v>
      </c>
    </row>
    <row r="1881" spans="1:8" x14ac:dyDescent="0.25">
      <c r="A1881" s="2">
        <v>44650</v>
      </c>
      <c r="B1881">
        <v>1343</v>
      </c>
      <c r="C1881">
        <v>64</v>
      </c>
      <c r="D1881">
        <v>0</v>
      </c>
      <c r="E1881">
        <v>0</v>
      </c>
      <c r="F1881" s="1">
        <f t="shared" si="29"/>
        <v>26</v>
      </c>
      <c r="G1881" s="1" t="str">
        <f>_xlfn.XLOOKUP(C1881,'Ocupação DW'!$F:$F,'Ocupação DW'!$E:$E,"",0)</f>
        <v>SEG - NILÓPOLIS</v>
      </c>
      <c r="H1881" t="str">
        <f>Vagas[[#This Row],[data]]&amp;Vagas[[#This Row],[profissional_id]]&amp;Vagas[[#This Row],[local_id]]</f>
        <v>44650134364</v>
      </c>
    </row>
    <row r="1882" spans="1:8" x14ac:dyDescent="0.25">
      <c r="A1882" s="2">
        <v>44650</v>
      </c>
      <c r="B1882">
        <v>1343</v>
      </c>
      <c r="C1882">
        <v>342</v>
      </c>
      <c r="D1882">
        <v>0</v>
      </c>
      <c r="E1882">
        <v>0</v>
      </c>
      <c r="F1882" s="1">
        <f t="shared" si="29"/>
        <v>0</v>
      </c>
      <c r="G1882" s="1" t="str">
        <f>_xlfn.XLOOKUP(C1882,'Ocupação DW'!$F:$F,'Ocupação DW'!$E:$E,"",0)</f>
        <v>SEG - MATRIZ</v>
      </c>
      <c r="H1882" t="str">
        <f>Vagas[[#This Row],[data]]&amp;Vagas[[#This Row],[profissional_id]]&amp;Vagas[[#This Row],[local_id]]</f>
        <v>446501343342</v>
      </c>
    </row>
    <row r="1883" spans="1:8" x14ac:dyDescent="0.25">
      <c r="A1883" s="2">
        <v>44650</v>
      </c>
      <c r="B1883">
        <v>1490</v>
      </c>
      <c r="D1883">
        <v>13</v>
      </c>
      <c r="E1883">
        <v>0</v>
      </c>
      <c r="F1883" s="1">
        <f t="shared" si="29"/>
        <v>0</v>
      </c>
      <c r="G1883" s="1" t="str">
        <f>_xlfn.XLOOKUP(C1883,'Ocupação DW'!$F:$F,'Ocupação DW'!$E:$E,"",0)</f>
        <v/>
      </c>
      <c r="H1883" t="str">
        <f>Vagas[[#This Row],[data]]&amp;Vagas[[#This Row],[profissional_id]]&amp;Vagas[[#This Row],[local_id]]</f>
        <v>446501490</v>
      </c>
    </row>
    <row r="1884" spans="1:8" x14ac:dyDescent="0.25">
      <c r="A1884" s="2">
        <v>44650</v>
      </c>
      <c r="B1884">
        <v>1490</v>
      </c>
      <c r="C1884">
        <v>13</v>
      </c>
      <c r="D1884">
        <v>0</v>
      </c>
      <c r="E1884">
        <v>0</v>
      </c>
      <c r="F1884" s="1">
        <f t="shared" si="29"/>
        <v>13</v>
      </c>
      <c r="G1884" s="1" t="str">
        <f>_xlfn.XLOOKUP(C1884,'Ocupação DW'!$F:$F,'Ocupação DW'!$E:$E,"",0)</f>
        <v>SEG - FILIAL II 11°</v>
      </c>
      <c r="H1884" t="str">
        <f>Vagas[[#This Row],[data]]&amp;Vagas[[#This Row],[profissional_id]]&amp;Vagas[[#This Row],[local_id]]</f>
        <v>44650149013</v>
      </c>
    </row>
    <row r="1885" spans="1:8" x14ac:dyDescent="0.25">
      <c r="A1885" s="2">
        <v>44650</v>
      </c>
      <c r="B1885">
        <v>1794</v>
      </c>
      <c r="C1885">
        <v>49</v>
      </c>
      <c r="D1885">
        <v>0</v>
      </c>
      <c r="E1885">
        <v>0</v>
      </c>
      <c r="F1885" s="1">
        <f t="shared" si="29"/>
        <v>0</v>
      </c>
      <c r="G1885" s="1" t="str">
        <f>_xlfn.XLOOKUP(C1885,'Ocupação DW'!$F:$F,'Ocupação DW'!$E:$E,"",0)</f>
        <v>SEG - FILIAL I</v>
      </c>
      <c r="H1885" t="str">
        <f>Vagas[[#This Row],[data]]&amp;Vagas[[#This Row],[profissional_id]]&amp;Vagas[[#This Row],[local_id]]</f>
        <v>44650179449</v>
      </c>
    </row>
    <row r="1886" spans="1:8" x14ac:dyDescent="0.25">
      <c r="A1886" s="2">
        <v>44650</v>
      </c>
      <c r="B1886">
        <v>2334</v>
      </c>
      <c r="D1886">
        <v>0</v>
      </c>
      <c r="E1886">
        <v>0</v>
      </c>
      <c r="F1886" s="1">
        <f t="shared" si="29"/>
        <v>0</v>
      </c>
      <c r="G1886" s="1" t="str">
        <f>_xlfn.XLOOKUP(C1886,'Ocupação DW'!$F:$F,'Ocupação DW'!$E:$E,"",0)</f>
        <v/>
      </c>
      <c r="H1886" t="str">
        <f>Vagas[[#This Row],[data]]&amp;Vagas[[#This Row],[profissional_id]]&amp;Vagas[[#This Row],[local_id]]</f>
        <v>446502334</v>
      </c>
    </row>
    <row r="1887" spans="1:8" x14ac:dyDescent="0.25">
      <c r="A1887" s="2">
        <v>44650</v>
      </c>
      <c r="B1887">
        <v>2396</v>
      </c>
      <c r="C1887">
        <v>2</v>
      </c>
      <c r="D1887">
        <v>0</v>
      </c>
      <c r="E1887">
        <v>0</v>
      </c>
      <c r="F1887" s="1">
        <f t="shared" si="29"/>
        <v>0</v>
      </c>
      <c r="G1887" s="1" t="str">
        <f>_xlfn.XLOOKUP(C1887,'Ocupação DW'!$F:$F,'Ocupação DW'!$E:$E,"",0)</f>
        <v>SEG - FILIAL II 10°</v>
      </c>
      <c r="H1887" t="str">
        <f>Vagas[[#This Row],[data]]&amp;Vagas[[#This Row],[profissional_id]]&amp;Vagas[[#This Row],[local_id]]</f>
        <v>4465023962</v>
      </c>
    </row>
    <row r="1888" spans="1:8" x14ac:dyDescent="0.25">
      <c r="A1888" s="2">
        <v>44650</v>
      </c>
      <c r="B1888">
        <v>2567</v>
      </c>
      <c r="C1888">
        <v>349</v>
      </c>
      <c r="D1888">
        <v>0</v>
      </c>
      <c r="E1888">
        <v>0</v>
      </c>
      <c r="F1888" s="1">
        <f t="shared" si="29"/>
        <v>0</v>
      </c>
      <c r="G1888" s="1" t="str">
        <f>_xlfn.XLOOKUP(C1888,'Ocupação DW'!$F:$F,'Ocupação DW'!$E:$E,"",0)</f>
        <v>SEG - FILIAL II 11°</v>
      </c>
      <c r="H1888" t="str">
        <f>Vagas[[#This Row],[data]]&amp;Vagas[[#This Row],[profissional_id]]&amp;Vagas[[#This Row],[local_id]]</f>
        <v>446502567349</v>
      </c>
    </row>
    <row r="1889" spans="1:8" x14ac:dyDescent="0.25">
      <c r="A1889" s="2">
        <v>44650</v>
      </c>
      <c r="B1889">
        <v>3092</v>
      </c>
      <c r="D1889">
        <v>0</v>
      </c>
      <c r="E1889">
        <v>0</v>
      </c>
      <c r="F1889" s="1">
        <f t="shared" si="29"/>
        <v>0</v>
      </c>
      <c r="G1889" s="1" t="str">
        <f>_xlfn.XLOOKUP(C1889,'Ocupação DW'!$F:$F,'Ocupação DW'!$E:$E,"",0)</f>
        <v/>
      </c>
      <c r="H1889" t="str">
        <f>Vagas[[#This Row],[data]]&amp;Vagas[[#This Row],[profissional_id]]&amp;Vagas[[#This Row],[local_id]]</f>
        <v>446503092</v>
      </c>
    </row>
    <row r="1890" spans="1:8" x14ac:dyDescent="0.25">
      <c r="A1890" s="2">
        <v>44650</v>
      </c>
      <c r="B1890">
        <v>3502</v>
      </c>
      <c r="D1890">
        <v>0</v>
      </c>
      <c r="E1890">
        <v>0</v>
      </c>
      <c r="F1890" s="1">
        <f t="shared" si="29"/>
        <v>0</v>
      </c>
      <c r="G1890" s="1" t="str">
        <f>_xlfn.XLOOKUP(C1890,'Ocupação DW'!$F:$F,'Ocupação DW'!$E:$E,"",0)</f>
        <v/>
      </c>
      <c r="H1890" t="str">
        <f>Vagas[[#This Row],[data]]&amp;Vagas[[#This Row],[profissional_id]]&amp;Vagas[[#This Row],[local_id]]</f>
        <v>446503502</v>
      </c>
    </row>
    <row r="1891" spans="1:8" x14ac:dyDescent="0.25">
      <c r="A1891" s="2">
        <v>44650</v>
      </c>
      <c r="B1891">
        <v>5767</v>
      </c>
      <c r="C1891">
        <v>44</v>
      </c>
      <c r="D1891">
        <v>14</v>
      </c>
      <c r="E1891">
        <v>0</v>
      </c>
      <c r="F1891" s="1">
        <f t="shared" si="29"/>
        <v>0</v>
      </c>
      <c r="G1891" s="1" t="str">
        <f>_xlfn.XLOOKUP(C1891,'Ocupação DW'!$F:$F,'Ocupação DW'!$E:$E,"",0)</f>
        <v>SEG - FILIAL I</v>
      </c>
      <c r="H1891" t="str">
        <f>Vagas[[#This Row],[data]]&amp;Vagas[[#This Row],[profissional_id]]&amp;Vagas[[#This Row],[local_id]]</f>
        <v>44650576744</v>
      </c>
    </row>
    <row r="1892" spans="1:8" x14ac:dyDescent="0.25">
      <c r="A1892" s="2">
        <v>44650</v>
      </c>
      <c r="B1892">
        <v>5927</v>
      </c>
      <c r="C1892">
        <v>17</v>
      </c>
      <c r="D1892">
        <v>0</v>
      </c>
      <c r="E1892">
        <v>0</v>
      </c>
      <c r="F1892" s="1">
        <f t="shared" si="29"/>
        <v>0</v>
      </c>
      <c r="G1892" s="1" t="str">
        <f>_xlfn.XLOOKUP(C1892,'Ocupação DW'!$F:$F,'Ocupação DW'!$E:$E,"",0)</f>
        <v>SEG - FILIAL II 11°</v>
      </c>
      <c r="H1892" t="str">
        <f>Vagas[[#This Row],[data]]&amp;Vagas[[#This Row],[profissional_id]]&amp;Vagas[[#This Row],[local_id]]</f>
        <v>44650592717</v>
      </c>
    </row>
    <row r="1893" spans="1:8" x14ac:dyDescent="0.25">
      <c r="A1893" s="2">
        <v>44650</v>
      </c>
      <c r="B1893">
        <v>5927</v>
      </c>
      <c r="C1893">
        <v>14</v>
      </c>
      <c r="D1893">
        <v>0</v>
      </c>
      <c r="E1893">
        <v>0</v>
      </c>
      <c r="F1893" s="1">
        <f t="shared" si="29"/>
        <v>0</v>
      </c>
      <c r="G1893" s="1" t="str">
        <f>_xlfn.XLOOKUP(C1893,'Ocupação DW'!$F:$F,'Ocupação DW'!$E:$E,"",0)</f>
        <v>SEG - FILIAL II 11°</v>
      </c>
      <c r="H1893" t="str">
        <f>Vagas[[#This Row],[data]]&amp;Vagas[[#This Row],[profissional_id]]&amp;Vagas[[#This Row],[local_id]]</f>
        <v>44650592714</v>
      </c>
    </row>
    <row r="1894" spans="1:8" x14ac:dyDescent="0.25">
      <c r="A1894" s="2">
        <v>44650</v>
      </c>
      <c r="B1894">
        <v>6046</v>
      </c>
      <c r="D1894">
        <v>5</v>
      </c>
      <c r="E1894">
        <v>0</v>
      </c>
      <c r="F1894" s="1">
        <f t="shared" si="29"/>
        <v>0</v>
      </c>
      <c r="G1894" s="1" t="str">
        <f>_xlfn.XLOOKUP(C1894,'Ocupação DW'!$F:$F,'Ocupação DW'!$E:$E,"",0)</f>
        <v/>
      </c>
      <c r="H1894" t="str">
        <f>Vagas[[#This Row],[data]]&amp;Vagas[[#This Row],[profissional_id]]&amp;Vagas[[#This Row],[local_id]]</f>
        <v>446506046</v>
      </c>
    </row>
    <row r="1895" spans="1:8" x14ac:dyDescent="0.25">
      <c r="A1895" s="2">
        <v>44650</v>
      </c>
      <c r="B1895">
        <v>6046</v>
      </c>
      <c r="C1895">
        <v>344</v>
      </c>
      <c r="D1895">
        <v>0</v>
      </c>
      <c r="E1895">
        <v>0</v>
      </c>
      <c r="F1895" s="1">
        <f t="shared" si="29"/>
        <v>5</v>
      </c>
      <c r="G1895" s="1" t="str">
        <f>_xlfn.XLOOKUP(C1895,'Ocupação DW'!$F:$F,'Ocupação DW'!$E:$E,"",0)</f>
        <v>SEG - MATRIZ</v>
      </c>
      <c r="H1895" t="str">
        <f>Vagas[[#This Row],[data]]&amp;Vagas[[#This Row],[profissional_id]]&amp;Vagas[[#This Row],[local_id]]</f>
        <v>446506046344</v>
      </c>
    </row>
    <row r="1896" spans="1:8" x14ac:dyDescent="0.25">
      <c r="A1896" s="2">
        <v>44650</v>
      </c>
      <c r="B1896">
        <v>6430</v>
      </c>
      <c r="D1896">
        <v>49</v>
      </c>
      <c r="E1896">
        <v>0</v>
      </c>
      <c r="F1896" s="1">
        <f t="shared" si="29"/>
        <v>0</v>
      </c>
      <c r="G1896" s="1" t="str">
        <f>_xlfn.XLOOKUP(C1896,'Ocupação DW'!$F:$F,'Ocupação DW'!$E:$E,"",0)</f>
        <v/>
      </c>
      <c r="H1896" t="str">
        <f>Vagas[[#This Row],[data]]&amp;Vagas[[#This Row],[profissional_id]]&amp;Vagas[[#This Row],[local_id]]</f>
        <v>446506430</v>
      </c>
    </row>
    <row r="1897" spans="1:8" x14ac:dyDescent="0.25">
      <c r="A1897" s="2">
        <v>44650</v>
      </c>
      <c r="B1897">
        <v>6430</v>
      </c>
      <c r="C1897">
        <v>42</v>
      </c>
      <c r="D1897">
        <v>0</v>
      </c>
      <c r="E1897">
        <v>0</v>
      </c>
      <c r="F1897" s="1">
        <f t="shared" si="29"/>
        <v>49</v>
      </c>
      <c r="G1897" s="1" t="str">
        <f>_xlfn.XLOOKUP(C1897,'Ocupação DW'!$F:$F,'Ocupação DW'!$E:$E,"",0)</f>
        <v>SEG - FILIAL I</v>
      </c>
      <c r="H1897" t="str">
        <f>Vagas[[#This Row],[data]]&amp;Vagas[[#This Row],[profissional_id]]&amp;Vagas[[#This Row],[local_id]]</f>
        <v>44650643042</v>
      </c>
    </row>
    <row r="1898" spans="1:8" x14ac:dyDescent="0.25">
      <c r="A1898" s="2">
        <v>44650</v>
      </c>
      <c r="B1898">
        <v>6839</v>
      </c>
      <c r="C1898">
        <v>81</v>
      </c>
      <c r="D1898">
        <v>48</v>
      </c>
      <c r="E1898">
        <v>0</v>
      </c>
      <c r="F1898" s="1">
        <f t="shared" si="29"/>
        <v>0</v>
      </c>
      <c r="G1898" s="1" t="str">
        <f>_xlfn.XLOOKUP(C1898,'Ocupação DW'!$F:$F,'Ocupação DW'!$E:$E,"",0)</f>
        <v>SEG - MIGUEL COUTO</v>
      </c>
      <c r="H1898" t="str">
        <f>Vagas[[#This Row],[data]]&amp;Vagas[[#This Row],[profissional_id]]&amp;Vagas[[#This Row],[local_id]]</f>
        <v>44650683981</v>
      </c>
    </row>
    <row r="1899" spans="1:8" x14ac:dyDescent="0.25">
      <c r="A1899" s="2">
        <v>44650</v>
      </c>
      <c r="B1899">
        <v>7551</v>
      </c>
      <c r="C1899">
        <v>15</v>
      </c>
      <c r="D1899">
        <v>0</v>
      </c>
      <c r="E1899">
        <v>0</v>
      </c>
      <c r="F1899" s="1">
        <f t="shared" si="29"/>
        <v>0</v>
      </c>
      <c r="G1899" s="1" t="str">
        <f>_xlfn.XLOOKUP(C1899,'Ocupação DW'!$F:$F,'Ocupação DW'!$E:$E,"",0)</f>
        <v>SEG - FILIAL II 11°</v>
      </c>
      <c r="H1899" t="str">
        <f>Vagas[[#This Row],[data]]&amp;Vagas[[#This Row],[profissional_id]]&amp;Vagas[[#This Row],[local_id]]</f>
        <v>44650755115</v>
      </c>
    </row>
    <row r="1900" spans="1:8" x14ac:dyDescent="0.25">
      <c r="A1900" s="2">
        <v>44650</v>
      </c>
      <c r="B1900">
        <v>8598</v>
      </c>
      <c r="D1900">
        <v>25</v>
      </c>
      <c r="E1900">
        <v>0</v>
      </c>
      <c r="F1900" s="1">
        <f t="shared" si="29"/>
        <v>0</v>
      </c>
      <c r="G1900" s="1" t="str">
        <f>_xlfn.XLOOKUP(C1900,'Ocupação DW'!$F:$F,'Ocupação DW'!$E:$E,"",0)</f>
        <v/>
      </c>
      <c r="H1900" t="str">
        <f>Vagas[[#This Row],[data]]&amp;Vagas[[#This Row],[profissional_id]]&amp;Vagas[[#This Row],[local_id]]</f>
        <v>446508598</v>
      </c>
    </row>
    <row r="1901" spans="1:8" x14ac:dyDescent="0.25">
      <c r="A1901" s="2">
        <v>44650</v>
      </c>
      <c r="B1901">
        <v>9111</v>
      </c>
      <c r="D1901">
        <v>0</v>
      </c>
      <c r="E1901">
        <v>0</v>
      </c>
      <c r="F1901" s="1">
        <f t="shared" si="29"/>
        <v>0</v>
      </c>
      <c r="G1901" s="1" t="str">
        <f>_xlfn.XLOOKUP(C1901,'Ocupação DW'!$F:$F,'Ocupação DW'!$E:$E,"",0)</f>
        <v/>
      </c>
      <c r="H1901" t="str">
        <f>Vagas[[#This Row],[data]]&amp;Vagas[[#This Row],[profissional_id]]&amp;Vagas[[#This Row],[local_id]]</f>
        <v>446509111</v>
      </c>
    </row>
    <row r="1902" spans="1:8" x14ac:dyDescent="0.25">
      <c r="A1902" s="2">
        <v>44650</v>
      </c>
      <c r="B1902">
        <v>9237</v>
      </c>
      <c r="C1902">
        <v>343</v>
      </c>
      <c r="D1902">
        <v>60</v>
      </c>
      <c r="E1902">
        <v>0</v>
      </c>
      <c r="F1902" s="1">
        <f t="shared" si="29"/>
        <v>0</v>
      </c>
      <c r="G1902" s="1" t="str">
        <f>_xlfn.XLOOKUP(C1902,'Ocupação DW'!$F:$F,'Ocupação DW'!$E:$E,"",0)</f>
        <v/>
      </c>
      <c r="H1902" t="str">
        <f>Vagas[[#This Row],[data]]&amp;Vagas[[#This Row],[profissional_id]]&amp;Vagas[[#This Row],[local_id]]</f>
        <v>446509237343</v>
      </c>
    </row>
    <row r="1903" spans="1:8" x14ac:dyDescent="0.25">
      <c r="A1903" s="2">
        <v>44650</v>
      </c>
      <c r="B1903">
        <v>9717</v>
      </c>
      <c r="D1903">
        <v>109</v>
      </c>
      <c r="E1903">
        <v>1</v>
      </c>
      <c r="F1903" s="1">
        <f t="shared" si="29"/>
        <v>0</v>
      </c>
      <c r="G1903" s="1" t="str">
        <f>_xlfn.XLOOKUP(C1903,'Ocupação DW'!$F:$F,'Ocupação DW'!$E:$E,"",0)</f>
        <v/>
      </c>
      <c r="H1903" t="str">
        <f>Vagas[[#This Row],[data]]&amp;Vagas[[#This Row],[profissional_id]]&amp;Vagas[[#This Row],[local_id]]</f>
        <v>446509717</v>
      </c>
    </row>
    <row r="1904" spans="1:8" x14ac:dyDescent="0.25">
      <c r="A1904" s="2">
        <v>44650</v>
      </c>
      <c r="B1904">
        <v>10249</v>
      </c>
      <c r="D1904">
        <v>0</v>
      </c>
      <c r="E1904">
        <v>0</v>
      </c>
      <c r="F1904" s="1">
        <f t="shared" si="29"/>
        <v>0</v>
      </c>
      <c r="G1904" s="1" t="str">
        <f>_xlfn.XLOOKUP(C1904,'Ocupação DW'!$F:$F,'Ocupação DW'!$E:$E,"",0)</f>
        <v/>
      </c>
      <c r="H1904" t="str">
        <f>Vagas[[#This Row],[data]]&amp;Vagas[[#This Row],[profissional_id]]&amp;Vagas[[#This Row],[local_id]]</f>
        <v>4465010249</v>
      </c>
    </row>
    <row r="1905" spans="1:8" x14ac:dyDescent="0.25">
      <c r="A1905" s="2">
        <v>44650</v>
      </c>
      <c r="B1905">
        <v>10595</v>
      </c>
      <c r="D1905">
        <v>0</v>
      </c>
      <c r="E1905">
        <v>0</v>
      </c>
      <c r="F1905" s="1">
        <f t="shared" si="29"/>
        <v>0</v>
      </c>
      <c r="G1905" s="1" t="str">
        <f>_xlfn.XLOOKUP(C1905,'Ocupação DW'!$F:$F,'Ocupação DW'!$E:$E,"",0)</f>
        <v/>
      </c>
      <c r="H1905" t="str">
        <f>Vagas[[#This Row],[data]]&amp;Vagas[[#This Row],[profissional_id]]&amp;Vagas[[#This Row],[local_id]]</f>
        <v>4465010595</v>
      </c>
    </row>
    <row r="1906" spans="1:8" x14ac:dyDescent="0.25">
      <c r="A1906" s="2">
        <v>44650</v>
      </c>
      <c r="B1906">
        <v>10691</v>
      </c>
      <c r="D1906">
        <v>41</v>
      </c>
      <c r="E1906">
        <v>0</v>
      </c>
      <c r="F1906" s="1">
        <f t="shared" si="29"/>
        <v>0</v>
      </c>
      <c r="G1906" s="1" t="str">
        <f>_xlfn.XLOOKUP(C1906,'Ocupação DW'!$F:$F,'Ocupação DW'!$E:$E,"",0)</f>
        <v/>
      </c>
      <c r="H1906" t="str">
        <f>Vagas[[#This Row],[data]]&amp;Vagas[[#This Row],[profissional_id]]&amp;Vagas[[#This Row],[local_id]]</f>
        <v>4465010691</v>
      </c>
    </row>
    <row r="1907" spans="1:8" x14ac:dyDescent="0.25">
      <c r="A1907" s="2">
        <v>44650</v>
      </c>
      <c r="B1907">
        <v>10691</v>
      </c>
      <c r="C1907">
        <v>9</v>
      </c>
      <c r="D1907">
        <v>0</v>
      </c>
      <c r="E1907">
        <v>0</v>
      </c>
      <c r="F1907" s="1">
        <f t="shared" si="29"/>
        <v>41</v>
      </c>
      <c r="G1907" s="1" t="str">
        <f>_xlfn.XLOOKUP(C1907,'Ocupação DW'!$F:$F,'Ocupação DW'!$E:$E,"",0)</f>
        <v>SEG - FILIAL II 10°</v>
      </c>
      <c r="H1907" t="str">
        <f>Vagas[[#This Row],[data]]&amp;Vagas[[#This Row],[profissional_id]]&amp;Vagas[[#This Row],[local_id]]</f>
        <v>44650106919</v>
      </c>
    </row>
    <row r="1908" spans="1:8" x14ac:dyDescent="0.25">
      <c r="A1908" s="2">
        <v>44650</v>
      </c>
      <c r="B1908">
        <v>10785</v>
      </c>
      <c r="C1908">
        <v>14</v>
      </c>
      <c r="D1908">
        <v>23</v>
      </c>
      <c r="E1908">
        <v>0</v>
      </c>
      <c r="F1908" s="1">
        <f t="shared" si="29"/>
        <v>0</v>
      </c>
      <c r="G1908" s="1" t="str">
        <f>_xlfn.XLOOKUP(C1908,'Ocupação DW'!$F:$F,'Ocupação DW'!$E:$E,"",0)</f>
        <v>SEG - FILIAL II 11°</v>
      </c>
      <c r="H1908" t="str">
        <f>Vagas[[#This Row],[data]]&amp;Vagas[[#This Row],[profissional_id]]&amp;Vagas[[#This Row],[local_id]]</f>
        <v>446501078514</v>
      </c>
    </row>
    <row r="1909" spans="1:8" x14ac:dyDescent="0.25">
      <c r="A1909" s="2">
        <v>44650</v>
      </c>
      <c r="B1909">
        <v>10799</v>
      </c>
      <c r="C1909">
        <v>18</v>
      </c>
      <c r="D1909">
        <v>0</v>
      </c>
      <c r="E1909">
        <v>0</v>
      </c>
      <c r="F1909" s="1">
        <f t="shared" si="29"/>
        <v>0</v>
      </c>
      <c r="G1909" s="1" t="str">
        <f>_xlfn.XLOOKUP(C1909,'Ocupação DW'!$F:$F,'Ocupação DW'!$E:$E,"",0)</f>
        <v>SEG - FILIAL II 11°</v>
      </c>
      <c r="H1909" t="str">
        <f>Vagas[[#This Row],[data]]&amp;Vagas[[#This Row],[profissional_id]]&amp;Vagas[[#This Row],[local_id]]</f>
        <v>446501079918</v>
      </c>
    </row>
    <row r="1910" spans="1:8" x14ac:dyDescent="0.25">
      <c r="A1910" s="2">
        <v>44650</v>
      </c>
      <c r="B1910">
        <v>10946</v>
      </c>
      <c r="D1910">
        <v>0</v>
      </c>
      <c r="E1910">
        <v>0</v>
      </c>
      <c r="F1910" s="1">
        <f t="shared" si="29"/>
        <v>0</v>
      </c>
      <c r="G1910" s="1" t="str">
        <f>_xlfn.XLOOKUP(C1910,'Ocupação DW'!$F:$F,'Ocupação DW'!$E:$E,"",0)</f>
        <v/>
      </c>
      <c r="H1910" t="str">
        <f>Vagas[[#This Row],[data]]&amp;Vagas[[#This Row],[profissional_id]]&amp;Vagas[[#This Row],[local_id]]</f>
        <v>4465010946</v>
      </c>
    </row>
    <row r="1911" spans="1:8" x14ac:dyDescent="0.25">
      <c r="A1911" s="2">
        <v>44650</v>
      </c>
      <c r="B1911">
        <v>10946</v>
      </c>
      <c r="C1911">
        <v>60</v>
      </c>
      <c r="D1911">
        <v>0</v>
      </c>
      <c r="E1911">
        <v>16</v>
      </c>
      <c r="F1911" s="1">
        <f t="shared" si="29"/>
        <v>0</v>
      </c>
      <c r="G1911" s="1" t="str">
        <f>_xlfn.XLOOKUP(C1911,'Ocupação DW'!$F:$F,'Ocupação DW'!$E:$E,"",0)</f>
        <v>SEG - NILÓPOLIS</v>
      </c>
      <c r="H1911" t="str">
        <f>Vagas[[#This Row],[data]]&amp;Vagas[[#This Row],[profissional_id]]&amp;Vagas[[#This Row],[local_id]]</f>
        <v>446501094660</v>
      </c>
    </row>
    <row r="1912" spans="1:8" x14ac:dyDescent="0.25">
      <c r="A1912" s="2">
        <v>44650</v>
      </c>
      <c r="B1912">
        <v>12369</v>
      </c>
      <c r="D1912">
        <v>0</v>
      </c>
      <c r="E1912">
        <v>0</v>
      </c>
      <c r="F1912" s="1">
        <f t="shared" si="29"/>
        <v>0</v>
      </c>
      <c r="G1912" s="1" t="str">
        <f>_xlfn.XLOOKUP(C1912,'Ocupação DW'!$F:$F,'Ocupação DW'!$E:$E,"",0)</f>
        <v/>
      </c>
      <c r="H1912" t="str">
        <f>Vagas[[#This Row],[data]]&amp;Vagas[[#This Row],[profissional_id]]&amp;Vagas[[#This Row],[local_id]]</f>
        <v>4465012369</v>
      </c>
    </row>
    <row r="1913" spans="1:8" x14ac:dyDescent="0.25">
      <c r="A1913" s="2">
        <v>44650</v>
      </c>
      <c r="B1913">
        <v>12519</v>
      </c>
      <c r="D1913">
        <v>29</v>
      </c>
      <c r="E1913">
        <v>0</v>
      </c>
      <c r="F1913" s="1">
        <f t="shared" si="29"/>
        <v>0</v>
      </c>
      <c r="G1913" s="1" t="str">
        <f>_xlfn.XLOOKUP(C1913,'Ocupação DW'!$F:$F,'Ocupação DW'!$E:$E,"",0)</f>
        <v/>
      </c>
      <c r="H1913" t="str">
        <f>Vagas[[#This Row],[data]]&amp;Vagas[[#This Row],[profissional_id]]&amp;Vagas[[#This Row],[local_id]]</f>
        <v>4465012519</v>
      </c>
    </row>
    <row r="1914" spans="1:8" x14ac:dyDescent="0.25">
      <c r="A1914" s="2">
        <v>44650</v>
      </c>
      <c r="B1914">
        <v>12519</v>
      </c>
      <c r="C1914">
        <v>48</v>
      </c>
      <c r="D1914">
        <v>0</v>
      </c>
      <c r="E1914">
        <v>0</v>
      </c>
      <c r="F1914" s="1">
        <f t="shared" si="29"/>
        <v>29</v>
      </c>
      <c r="G1914" s="1" t="str">
        <f>_xlfn.XLOOKUP(C1914,'Ocupação DW'!$F:$F,'Ocupação DW'!$E:$E,"",0)</f>
        <v>SEG - FILIAL I</v>
      </c>
      <c r="H1914" t="str">
        <f>Vagas[[#This Row],[data]]&amp;Vagas[[#This Row],[profissional_id]]&amp;Vagas[[#This Row],[local_id]]</f>
        <v>446501251948</v>
      </c>
    </row>
    <row r="1915" spans="1:8" x14ac:dyDescent="0.25">
      <c r="A1915" s="2">
        <v>44650</v>
      </c>
      <c r="B1915">
        <v>12679</v>
      </c>
      <c r="D1915">
        <v>22</v>
      </c>
      <c r="E1915">
        <v>0</v>
      </c>
      <c r="F1915" s="1">
        <f t="shared" si="29"/>
        <v>0</v>
      </c>
      <c r="G1915" s="1" t="str">
        <f>_xlfn.XLOOKUP(C1915,'Ocupação DW'!$F:$F,'Ocupação DW'!$E:$E,"",0)</f>
        <v/>
      </c>
      <c r="H1915" t="str">
        <f>Vagas[[#This Row],[data]]&amp;Vagas[[#This Row],[profissional_id]]&amp;Vagas[[#This Row],[local_id]]</f>
        <v>4465012679</v>
      </c>
    </row>
    <row r="1916" spans="1:8" x14ac:dyDescent="0.25">
      <c r="A1916" s="2">
        <v>44650</v>
      </c>
      <c r="B1916">
        <v>12679</v>
      </c>
      <c r="C1916">
        <v>82</v>
      </c>
      <c r="D1916">
        <v>15</v>
      </c>
      <c r="E1916">
        <v>0</v>
      </c>
      <c r="F1916" s="1">
        <f t="shared" si="29"/>
        <v>0</v>
      </c>
      <c r="G1916" s="1" t="str">
        <f>_xlfn.XLOOKUP(C1916,'Ocupação DW'!$F:$F,'Ocupação DW'!$E:$E,"",0)</f>
        <v>SEG - MIGUEL COUTO</v>
      </c>
      <c r="H1916" t="str">
        <f>Vagas[[#This Row],[data]]&amp;Vagas[[#This Row],[profissional_id]]&amp;Vagas[[#This Row],[local_id]]</f>
        <v>446501267982</v>
      </c>
    </row>
    <row r="1917" spans="1:8" x14ac:dyDescent="0.25">
      <c r="A1917" s="2">
        <v>44650</v>
      </c>
      <c r="B1917">
        <v>12679</v>
      </c>
      <c r="C1917">
        <v>11</v>
      </c>
      <c r="D1917">
        <v>0</v>
      </c>
      <c r="E1917">
        <v>0</v>
      </c>
      <c r="F1917" s="1">
        <f t="shared" si="29"/>
        <v>15</v>
      </c>
      <c r="G1917" s="1" t="str">
        <f>_xlfn.XLOOKUP(C1917,'Ocupação DW'!$F:$F,'Ocupação DW'!$E:$E,"",0)</f>
        <v>SEG - FILIAL II 11°</v>
      </c>
      <c r="H1917" t="str">
        <f>Vagas[[#This Row],[data]]&amp;Vagas[[#This Row],[profissional_id]]&amp;Vagas[[#This Row],[local_id]]</f>
        <v>446501267911</v>
      </c>
    </row>
    <row r="1918" spans="1:8" x14ac:dyDescent="0.25">
      <c r="A1918" s="2">
        <v>44650</v>
      </c>
      <c r="B1918">
        <v>12684</v>
      </c>
      <c r="D1918">
        <v>13</v>
      </c>
      <c r="E1918">
        <v>0</v>
      </c>
      <c r="F1918" s="1">
        <f t="shared" si="29"/>
        <v>0</v>
      </c>
      <c r="G1918" s="1" t="str">
        <f>_xlfn.XLOOKUP(C1918,'Ocupação DW'!$F:$F,'Ocupação DW'!$E:$E,"",0)</f>
        <v/>
      </c>
      <c r="H1918" t="str">
        <f>Vagas[[#This Row],[data]]&amp;Vagas[[#This Row],[profissional_id]]&amp;Vagas[[#This Row],[local_id]]</f>
        <v>4465012684</v>
      </c>
    </row>
    <row r="1919" spans="1:8" x14ac:dyDescent="0.25">
      <c r="A1919" s="2">
        <v>44650</v>
      </c>
      <c r="B1919">
        <v>12684</v>
      </c>
      <c r="C1919">
        <v>51</v>
      </c>
      <c r="D1919">
        <v>18</v>
      </c>
      <c r="E1919">
        <v>0</v>
      </c>
      <c r="F1919" s="1">
        <f t="shared" si="29"/>
        <v>0</v>
      </c>
      <c r="G1919" s="1" t="str">
        <f>_xlfn.XLOOKUP(C1919,'Ocupação DW'!$F:$F,'Ocupação DW'!$E:$E,"",0)</f>
        <v>SEG - FILIAL I</v>
      </c>
      <c r="H1919" t="str">
        <f>Vagas[[#This Row],[data]]&amp;Vagas[[#This Row],[profissional_id]]&amp;Vagas[[#This Row],[local_id]]</f>
        <v>446501268451</v>
      </c>
    </row>
    <row r="1920" spans="1:8" x14ac:dyDescent="0.25">
      <c r="A1920" s="2">
        <v>44650</v>
      </c>
      <c r="B1920">
        <v>12711</v>
      </c>
      <c r="D1920">
        <v>0</v>
      </c>
      <c r="E1920">
        <v>0</v>
      </c>
      <c r="F1920" s="1">
        <f t="shared" si="29"/>
        <v>0</v>
      </c>
      <c r="G1920" s="1" t="str">
        <f>_xlfn.XLOOKUP(C1920,'Ocupação DW'!$F:$F,'Ocupação DW'!$E:$E,"",0)</f>
        <v/>
      </c>
      <c r="H1920" t="str">
        <f>Vagas[[#This Row],[data]]&amp;Vagas[[#This Row],[profissional_id]]&amp;Vagas[[#This Row],[local_id]]</f>
        <v>4465012711</v>
      </c>
    </row>
    <row r="1921" spans="1:8" x14ac:dyDescent="0.25">
      <c r="A1921" s="2">
        <v>44650</v>
      </c>
      <c r="B1921">
        <v>12810</v>
      </c>
      <c r="D1921">
        <v>0</v>
      </c>
      <c r="E1921">
        <v>0</v>
      </c>
      <c r="F1921" s="1">
        <f t="shared" si="29"/>
        <v>0</v>
      </c>
      <c r="G1921" s="1" t="str">
        <f>_xlfn.XLOOKUP(C1921,'Ocupação DW'!$F:$F,'Ocupação DW'!$E:$E,"",0)</f>
        <v/>
      </c>
      <c r="H1921" t="str">
        <f>Vagas[[#This Row],[data]]&amp;Vagas[[#This Row],[profissional_id]]&amp;Vagas[[#This Row],[local_id]]</f>
        <v>4465012810</v>
      </c>
    </row>
    <row r="1922" spans="1:8" x14ac:dyDescent="0.25">
      <c r="A1922" s="2">
        <v>44650</v>
      </c>
      <c r="B1922">
        <v>12825</v>
      </c>
      <c r="D1922">
        <v>17</v>
      </c>
      <c r="E1922">
        <v>0</v>
      </c>
      <c r="F1922" s="1">
        <f t="shared" ref="F1922:F1985" si="30">IF(AND(A1922=A1921,B1922=B1921,D1921&lt;&gt;0,D1922=0),D1921,0)</f>
        <v>0</v>
      </c>
      <c r="G1922" s="1" t="str">
        <f>_xlfn.XLOOKUP(C1922,'Ocupação DW'!$F:$F,'Ocupação DW'!$E:$E,"",0)</f>
        <v/>
      </c>
      <c r="H1922" t="str">
        <f>Vagas[[#This Row],[data]]&amp;Vagas[[#This Row],[profissional_id]]&amp;Vagas[[#This Row],[local_id]]</f>
        <v>4465012825</v>
      </c>
    </row>
    <row r="1923" spans="1:8" x14ac:dyDescent="0.25">
      <c r="A1923" s="2">
        <v>44650</v>
      </c>
      <c r="B1923">
        <v>12825</v>
      </c>
      <c r="C1923">
        <v>45</v>
      </c>
      <c r="D1923">
        <v>0</v>
      </c>
      <c r="E1923">
        <v>0</v>
      </c>
      <c r="F1923" s="1">
        <f t="shared" si="30"/>
        <v>17</v>
      </c>
      <c r="G1923" s="1" t="str">
        <f>_xlfn.XLOOKUP(C1923,'Ocupação DW'!$F:$F,'Ocupação DW'!$E:$E,"",0)</f>
        <v>SEG - FILIAL I</v>
      </c>
      <c r="H1923" t="str">
        <f>Vagas[[#This Row],[data]]&amp;Vagas[[#This Row],[profissional_id]]&amp;Vagas[[#This Row],[local_id]]</f>
        <v>446501282545</v>
      </c>
    </row>
    <row r="1924" spans="1:8" x14ac:dyDescent="0.25">
      <c r="A1924" s="2">
        <v>44650</v>
      </c>
      <c r="B1924">
        <v>13058</v>
      </c>
      <c r="C1924">
        <v>47</v>
      </c>
      <c r="D1924">
        <v>0</v>
      </c>
      <c r="E1924">
        <v>0</v>
      </c>
      <c r="F1924" s="1">
        <f t="shared" si="30"/>
        <v>0</v>
      </c>
      <c r="G1924" s="1" t="str">
        <f>_xlfn.XLOOKUP(C1924,'Ocupação DW'!$F:$F,'Ocupação DW'!$E:$E,"",0)</f>
        <v>SEG - FILIAL I</v>
      </c>
      <c r="H1924" t="str">
        <f>Vagas[[#This Row],[data]]&amp;Vagas[[#This Row],[profissional_id]]&amp;Vagas[[#This Row],[local_id]]</f>
        <v>446501305847</v>
      </c>
    </row>
    <row r="1925" spans="1:8" x14ac:dyDescent="0.25">
      <c r="A1925" s="2">
        <v>44650</v>
      </c>
      <c r="B1925">
        <v>13061</v>
      </c>
      <c r="C1925">
        <v>3</v>
      </c>
      <c r="D1925">
        <v>0</v>
      </c>
      <c r="E1925">
        <v>7</v>
      </c>
      <c r="F1925" s="1">
        <f t="shared" si="30"/>
        <v>0</v>
      </c>
      <c r="G1925" s="1" t="str">
        <f>_xlfn.XLOOKUP(C1925,'Ocupação DW'!$F:$F,'Ocupação DW'!$E:$E,"",0)</f>
        <v>SEG - FILIAL II 10°</v>
      </c>
      <c r="H1925" t="str">
        <f>Vagas[[#This Row],[data]]&amp;Vagas[[#This Row],[profissional_id]]&amp;Vagas[[#This Row],[local_id]]</f>
        <v>44650130613</v>
      </c>
    </row>
    <row r="1926" spans="1:8" x14ac:dyDescent="0.25">
      <c r="A1926" s="2">
        <v>44650</v>
      </c>
      <c r="B1926">
        <v>13371</v>
      </c>
      <c r="D1926">
        <v>0</v>
      </c>
      <c r="E1926">
        <v>0</v>
      </c>
      <c r="F1926" s="1">
        <f t="shared" si="30"/>
        <v>0</v>
      </c>
      <c r="G1926" s="1" t="str">
        <f>_xlfn.XLOOKUP(C1926,'Ocupação DW'!$F:$F,'Ocupação DW'!$E:$E,"",0)</f>
        <v/>
      </c>
      <c r="H1926" t="str">
        <f>Vagas[[#This Row],[data]]&amp;Vagas[[#This Row],[profissional_id]]&amp;Vagas[[#This Row],[local_id]]</f>
        <v>4465013371</v>
      </c>
    </row>
    <row r="1927" spans="1:8" x14ac:dyDescent="0.25">
      <c r="A1927" s="2">
        <v>44650</v>
      </c>
      <c r="B1927">
        <v>13479</v>
      </c>
      <c r="D1927">
        <v>230</v>
      </c>
      <c r="E1927">
        <v>0</v>
      </c>
      <c r="F1927" s="1">
        <f t="shared" si="30"/>
        <v>0</v>
      </c>
      <c r="G1927" s="1" t="str">
        <f>_xlfn.XLOOKUP(C1927,'Ocupação DW'!$F:$F,'Ocupação DW'!$E:$E,"",0)</f>
        <v/>
      </c>
      <c r="H1927" t="str">
        <f>Vagas[[#This Row],[data]]&amp;Vagas[[#This Row],[profissional_id]]&amp;Vagas[[#This Row],[local_id]]</f>
        <v>4465013479</v>
      </c>
    </row>
    <row r="1928" spans="1:8" x14ac:dyDescent="0.25">
      <c r="A1928" s="2">
        <v>44650</v>
      </c>
      <c r="B1928">
        <v>13645</v>
      </c>
      <c r="D1928">
        <v>61</v>
      </c>
      <c r="E1928">
        <v>0</v>
      </c>
      <c r="F1928" s="1">
        <f t="shared" si="30"/>
        <v>0</v>
      </c>
      <c r="G1928" s="1" t="str">
        <f>_xlfn.XLOOKUP(C1928,'Ocupação DW'!$F:$F,'Ocupação DW'!$E:$E,"",0)</f>
        <v/>
      </c>
      <c r="H1928" t="str">
        <f>Vagas[[#This Row],[data]]&amp;Vagas[[#This Row],[profissional_id]]&amp;Vagas[[#This Row],[local_id]]</f>
        <v>4465013645</v>
      </c>
    </row>
    <row r="1929" spans="1:8" x14ac:dyDescent="0.25">
      <c r="A1929" s="2">
        <v>44650</v>
      </c>
      <c r="B1929">
        <v>13660</v>
      </c>
      <c r="C1929">
        <v>78</v>
      </c>
      <c r="D1929">
        <v>15</v>
      </c>
      <c r="E1929">
        <v>0</v>
      </c>
      <c r="F1929" s="1">
        <f t="shared" si="30"/>
        <v>0</v>
      </c>
      <c r="G1929" s="1" t="str">
        <f>_xlfn.XLOOKUP(C1929,'Ocupação DW'!$F:$F,'Ocupação DW'!$E:$E,"",0)</f>
        <v>SEG - MIGUEL COUTO</v>
      </c>
      <c r="H1929" t="str">
        <f>Vagas[[#This Row],[data]]&amp;Vagas[[#This Row],[profissional_id]]&amp;Vagas[[#This Row],[local_id]]</f>
        <v>446501366078</v>
      </c>
    </row>
    <row r="1930" spans="1:8" x14ac:dyDescent="0.25">
      <c r="A1930" s="2">
        <v>44650</v>
      </c>
      <c r="B1930">
        <v>13835</v>
      </c>
      <c r="D1930">
        <v>0</v>
      </c>
      <c r="E1930">
        <v>0</v>
      </c>
      <c r="F1930" s="1">
        <f t="shared" si="30"/>
        <v>0</v>
      </c>
      <c r="G1930" s="1" t="str">
        <f>_xlfn.XLOOKUP(C1930,'Ocupação DW'!$F:$F,'Ocupação DW'!$E:$E,"",0)</f>
        <v/>
      </c>
      <c r="H1930" t="str">
        <f>Vagas[[#This Row],[data]]&amp;Vagas[[#This Row],[profissional_id]]&amp;Vagas[[#This Row],[local_id]]</f>
        <v>4465013835</v>
      </c>
    </row>
    <row r="1931" spans="1:8" x14ac:dyDescent="0.25">
      <c r="A1931" s="2">
        <v>44650</v>
      </c>
      <c r="B1931">
        <v>14326</v>
      </c>
      <c r="C1931">
        <v>41</v>
      </c>
      <c r="D1931">
        <v>0</v>
      </c>
      <c r="E1931">
        <v>0</v>
      </c>
      <c r="F1931" s="1">
        <f t="shared" si="30"/>
        <v>0</v>
      </c>
      <c r="G1931" s="1" t="str">
        <f>_xlfn.XLOOKUP(C1931,'Ocupação DW'!$F:$F,'Ocupação DW'!$E:$E,"",0)</f>
        <v>SEG - FILIAL I</v>
      </c>
      <c r="H1931" t="str">
        <f>Vagas[[#This Row],[data]]&amp;Vagas[[#This Row],[profissional_id]]&amp;Vagas[[#This Row],[local_id]]</f>
        <v>446501432641</v>
      </c>
    </row>
    <row r="1932" spans="1:8" x14ac:dyDescent="0.25">
      <c r="A1932" s="2">
        <v>44650</v>
      </c>
      <c r="B1932">
        <v>14326</v>
      </c>
      <c r="C1932">
        <v>43</v>
      </c>
      <c r="D1932">
        <v>0</v>
      </c>
      <c r="E1932">
        <v>0</v>
      </c>
      <c r="F1932" s="1">
        <f t="shared" si="30"/>
        <v>0</v>
      </c>
      <c r="G1932" s="1" t="str">
        <f>_xlfn.XLOOKUP(C1932,'Ocupação DW'!$F:$F,'Ocupação DW'!$E:$E,"",0)</f>
        <v>SEG - FILIAL I</v>
      </c>
      <c r="H1932" t="str">
        <f>Vagas[[#This Row],[data]]&amp;Vagas[[#This Row],[profissional_id]]&amp;Vagas[[#This Row],[local_id]]</f>
        <v>446501432643</v>
      </c>
    </row>
    <row r="1933" spans="1:8" x14ac:dyDescent="0.25">
      <c r="A1933" s="2">
        <v>44650</v>
      </c>
      <c r="B1933">
        <v>14410</v>
      </c>
      <c r="C1933">
        <v>369</v>
      </c>
      <c r="D1933">
        <v>120</v>
      </c>
      <c r="E1933">
        <v>0</v>
      </c>
      <c r="F1933" s="1">
        <f t="shared" si="30"/>
        <v>0</v>
      </c>
      <c r="G1933" s="1" t="str">
        <f>_xlfn.XLOOKUP(C1933,'Ocupação DW'!$F:$F,'Ocupação DW'!$E:$E,"",0)</f>
        <v/>
      </c>
      <c r="H1933" t="str">
        <f>Vagas[[#This Row],[data]]&amp;Vagas[[#This Row],[profissional_id]]&amp;Vagas[[#This Row],[local_id]]</f>
        <v>4465014410369</v>
      </c>
    </row>
    <row r="1934" spans="1:8" x14ac:dyDescent="0.25">
      <c r="A1934" s="2">
        <v>44650</v>
      </c>
      <c r="B1934">
        <v>14452</v>
      </c>
      <c r="D1934">
        <v>0</v>
      </c>
      <c r="E1934">
        <v>0</v>
      </c>
      <c r="F1934" s="1">
        <f t="shared" si="30"/>
        <v>0</v>
      </c>
      <c r="G1934" s="1" t="str">
        <f>_xlfn.XLOOKUP(C1934,'Ocupação DW'!$F:$F,'Ocupação DW'!$E:$E,"",0)</f>
        <v/>
      </c>
      <c r="H1934" t="str">
        <f>Vagas[[#This Row],[data]]&amp;Vagas[[#This Row],[profissional_id]]&amp;Vagas[[#This Row],[local_id]]</f>
        <v>4465014452</v>
      </c>
    </row>
    <row r="1935" spans="1:8" x14ac:dyDescent="0.25">
      <c r="A1935" s="2">
        <v>44650</v>
      </c>
      <c r="B1935">
        <v>17059</v>
      </c>
      <c r="D1935">
        <v>0</v>
      </c>
      <c r="E1935">
        <v>0</v>
      </c>
      <c r="F1935" s="1">
        <f t="shared" si="30"/>
        <v>0</v>
      </c>
      <c r="G1935" s="1" t="str">
        <f>_xlfn.XLOOKUP(C1935,'Ocupação DW'!$F:$F,'Ocupação DW'!$E:$E,"",0)</f>
        <v/>
      </c>
      <c r="H1935" t="str">
        <f>Vagas[[#This Row],[data]]&amp;Vagas[[#This Row],[profissional_id]]&amp;Vagas[[#This Row],[local_id]]</f>
        <v>4465017059</v>
      </c>
    </row>
    <row r="1936" spans="1:8" x14ac:dyDescent="0.25">
      <c r="A1936" s="2">
        <v>44650</v>
      </c>
      <c r="B1936">
        <v>17742</v>
      </c>
      <c r="D1936">
        <v>0</v>
      </c>
      <c r="E1936">
        <v>0</v>
      </c>
      <c r="F1936" s="1">
        <f t="shared" si="30"/>
        <v>0</v>
      </c>
      <c r="G1936" s="1" t="str">
        <f>_xlfn.XLOOKUP(C1936,'Ocupação DW'!$F:$F,'Ocupação DW'!$E:$E,"",0)</f>
        <v/>
      </c>
      <c r="H1936" t="str">
        <f>Vagas[[#This Row],[data]]&amp;Vagas[[#This Row],[profissional_id]]&amp;Vagas[[#This Row],[local_id]]</f>
        <v>4465017742</v>
      </c>
    </row>
    <row r="1937" spans="1:8" x14ac:dyDescent="0.25">
      <c r="A1937" s="2">
        <v>44650</v>
      </c>
      <c r="B1937">
        <v>17858</v>
      </c>
      <c r="D1937">
        <v>0</v>
      </c>
      <c r="E1937">
        <v>0</v>
      </c>
      <c r="F1937" s="1">
        <f t="shared" si="30"/>
        <v>0</v>
      </c>
      <c r="G1937" s="1" t="str">
        <f>_xlfn.XLOOKUP(C1937,'Ocupação DW'!$F:$F,'Ocupação DW'!$E:$E,"",0)</f>
        <v/>
      </c>
      <c r="H1937" t="str">
        <f>Vagas[[#This Row],[data]]&amp;Vagas[[#This Row],[profissional_id]]&amp;Vagas[[#This Row],[local_id]]</f>
        <v>4465017858</v>
      </c>
    </row>
    <row r="1938" spans="1:8" x14ac:dyDescent="0.25">
      <c r="A1938" s="2">
        <v>44650</v>
      </c>
      <c r="B1938">
        <v>17859</v>
      </c>
      <c r="C1938">
        <v>7</v>
      </c>
      <c r="D1938">
        <v>0</v>
      </c>
      <c r="E1938">
        <v>0</v>
      </c>
      <c r="F1938" s="1">
        <f t="shared" si="30"/>
        <v>0</v>
      </c>
      <c r="G1938" s="1" t="str">
        <f>_xlfn.XLOOKUP(C1938,'Ocupação DW'!$F:$F,'Ocupação DW'!$E:$E,"",0)</f>
        <v>SEG - FILIAL II 10°</v>
      </c>
      <c r="H1938" t="str">
        <f>Vagas[[#This Row],[data]]&amp;Vagas[[#This Row],[profissional_id]]&amp;Vagas[[#This Row],[local_id]]</f>
        <v>44650178597</v>
      </c>
    </row>
    <row r="1939" spans="1:8" x14ac:dyDescent="0.25">
      <c r="A1939" s="2">
        <v>44650</v>
      </c>
      <c r="B1939">
        <v>17859</v>
      </c>
      <c r="C1939">
        <v>336</v>
      </c>
      <c r="D1939">
        <v>0</v>
      </c>
      <c r="E1939">
        <v>0</v>
      </c>
      <c r="F1939" s="1">
        <f t="shared" si="30"/>
        <v>0</v>
      </c>
      <c r="G1939" s="1" t="str">
        <f>_xlfn.XLOOKUP(C1939,'Ocupação DW'!$F:$F,'Ocupação DW'!$E:$E,"",0)</f>
        <v>SEG - FILIAL I</v>
      </c>
      <c r="H1939" t="str">
        <f>Vagas[[#This Row],[data]]&amp;Vagas[[#This Row],[profissional_id]]&amp;Vagas[[#This Row],[local_id]]</f>
        <v>4465017859336</v>
      </c>
    </row>
    <row r="1940" spans="1:8" x14ac:dyDescent="0.25">
      <c r="A1940" s="2">
        <v>44650</v>
      </c>
      <c r="B1940">
        <v>17866</v>
      </c>
      <c r="C1940">
        <v>340</v>
      </c>
      <c r="D1940">
        <v>60</v>
      </c>
      <c r="E1940">
        <v>0</v>
      </c>
      <c r="F1940" s="1">
        <f t="shared" si="30"/>
        <v>0</v>
      </c>
      <c r="G1940" s="1" t="str">
        <f>_xlfn.XLOOKUP(C1940,'Ocupação DW'!$F:$F,'Ocupação DW'!$E:$E,"",0)</f>
        <v>SEG - MATRIZ</v>
      </c>
      <c r="H1940" t="str">
        <f>Vagas[[#This Row],[data]]&amp;Vagas[[#This Row],[profissional_id]]&amp;Vagas[[#This Row],[local_id]]</f>
        <v>4465017866340</v>
      </c>
    </row>
    <row r="1941" spans="1:8" x14ac:dyDescent="0.25">
      <c r="A1941" s="2">
        <v>44650</v>
      </c>
      <c r="B1941">
        <v>17871</v>
      </c>
      <c r="D1941">
        <v>0</v>
      </c>
      <c r="E1941">
        <v>0</v>
      </c>
      <c r="F1941" s="1">
        <f t="shared" si="30"/>
        <v>0</v>
      </c>
      <c r="G1941" s="1" t="str">
        <f>_xlfn.XLOOKUP(C1941,'Ocupação DW'!$F:$F,'Ocupação DW'!$E:$E,"",0)</f>
        <v/>
      </c>
      <c r="H1941" t="str">
        <f>Vagas[[#This Row],[data]]&amp;Vagas[[#This Row],[profissional_id]]&amp;Vagas[[#This Row],[local_id]]</f>
        <v>4465017871</v>
      </c>
    </row>
    <row r="1942" spans="1:8" x14ac:dyDescent="0.25">
      <c r="A1942" s="2">
        <v>44650</v>
      </c>
      <c r="B1942">
        <v>17874</v>
      </c>
      <c r="D1942">
        <v>0</v>
      </c>
      <c r="E1942">
        <v>0</v>
      </c>
      <c r="F1942" s="1">
        <f t="shared" si="30"/>
        <v>0</v>
      </c>
      <c r="G1942" s="1" t="str">
        <f>_xlfn.XLOOKUP(C1942,'Ocupação DW'!$F:$F,'Ocupação DW'!$E:$E,"",0)</f>
        <v/>
      </c>
      <c r="H1942" t="str">
        <f>Vagas[[#This Row],[data]]&amp;Vagas[[#This Row],[profissional_id]]&amp;Vagas[[#This Row],[local_id]]</f>
        <v>4465017874</v>
      </c>
    </row>
    <row r="1943" spans="1:8" x14ac:dyDescent="0.25">
      <c r="A1943" s="2">
        <v>44650</v>
      </c>
      <c r="B1943">
        <v>17878</v>
      </c>
      <c r="C1943">
        <v>63</v>
      </c>
      <c r="D1943">
        <v>0</v>
      </c>
      <c r="E1943">
        <v>0</v>
      </c>
      <c r="F1943" s="1">
        <f t="shared" si="30"/>
        <v>0</v>
      </c>
      <c r="G1943" s="1" t="str">
        <f>_xlfn.XLOOKUP(C1943,'Ocupação DW'!$F:$F,'Ocupação DW'!$E:$E,"",0)</f>
        <v>SEG - NILÓPOLIS</v>
      </c>
      <c r="H1943" t="str">
        <f>Vagas[[#This Row],[data]]&amp;Vagas[[#This Row],[profissional_id]]&amp;Vagas[[#This Row],[local_id]]</f>
        <v>446501787863</v>
      </c>
    </row>
    <row r="1944" spans="1:8" x14ac:dyDescent="0.25">
      <c r="A1944" s="2">
        <v>44650</v>
      </c>
      <c r="B1944">
        <v>17883</v>
      </c>
      <c r="D1944">
        <v>11</v>
      </c>
      <c r="E1944">
        <v>0</v>
      </c>
      <c r="F1944" s="1">
        <f t="shared" si="30"/>
        <v>0</v>
      </c>
      <c r="G1944" s="1" t="str">
        <f>_xlfn.XLOOKUP(C1944,'Ocupação DW'!$F:$F,'Ocupação DW'!$E:$E,"",0)</f>
        <v/>
      </c>
      <c r="H1944" t="str">
        <f>Vagas[[#This Row],[data]]&amp;Vagas[[#This Row],[profissional_id]]&amp;Vagas[[#This Row],[local_id]]</f>
        <v>4465017883</v>
      </c>
    </row>
    <row r="1945" spans="1:8" x14ac:dyDescent="0.25">
      <c r="A1945" s="2">
        <v>44650</v>
      </c>
      <c r="B1945">
        <v>17885</v>
      </c>
      <c r="D1945">
        <v>0</v>
      </c>
      <c r="E1945">
        <v>0</v>
      </c>
      <c r="F1945" s="1">
        <f t="shared" si="30"/>
        <v>0</v>
      </c>
      <c r="G1945" s="1" t="str">
        <f>_xlfn.XLOOKUP(C1945,'Ocupação DW'!$F:$F,'Ocupação DW'!$E:$E,"",0)</f>
        <v/>
      </c>
      <c r="H1945" t="str">
        <f>Vagas[[#This Row],[data]]&amp;Vagas[[#This Row],[profissional_id]]&amp;Vagas[[#This Row],[local_id]]</f>
        <v>4465017885</v>
      </c>
    </row>
    <row r="1946" spans="1:8" x14ac:dyDescent="0.25">
      <c r="A1946" s="2">
        <v>44650</v>
      </c>
      <c r="B1946">
        <v>17885</v>
      </c>
      <c r="C1946">
        <v>23</v>
      </c>
      <c r="D1946">
        <v>61</v>
      </c>
      <c r="E1946">
        <v>0</v>
      </c>
      <c r="F1946" s="1">
        <f t="shared" si="30"/>
        <v>0</v>
      </c>
      <c r="G1946" s="1" t="str">
        <f>_xlfn.XLOOKUP(C1946,'Ocupação DW'!$F:$F,'Ocupação DW'!$E:$E,"",0)</f>
        <v/>
      </c>
      <c r="H1946" t="str">
        <f>Vagas[[#This Row],[data]]&amp;Vagas[[#This Row],[profissional_id]]&amp;Vagas[[#This Row],[local_id]]</f>
        <v>446501788523</v>
      </c>
    </row>
    <row r="1947" spans="1:8" x14ac:dyDescent="0.25">
      <c r="A1947" s="2">
        <v>44650</v>
      </c>
      <c r="B1947">
        <v>17888</v>
      </c>
      <c r="C1947">
        <v>40</v>
      </c>
      <c r="D1947">
        <v>26</v>
      </c>
      <c r="E1947">
        <v>0</v>
      </c>
      <c r="F1947" s="1">
        <f t="shared" si="30"/>
        <v>0</v>
      </c>
      <c r="G1947" s="1" t="str">
        <f>_xlfn.XLOOKUP(C1947,'Ocupação DW'!$F:$F,'Ocupação DW'!$E:$E,"",0)</f>
        <v>SEG - FILIAL I</v>
      </c>
      <c r="H1947" t="str">
        <f>Vagas[[#This Row],[data]]&amp;Vagas[[#This Row],[profissional_id]]&amp;Vagas[[#This Row],[local_id]]</f>
        <v>446501788840</v>
      </c>
    </row>
    <row r="1948" spans="1:8" x14ac:dyDescent="0.25">
      <c r="A1948" s="2">
        <v>44650</v>
      </c>
      <c r="B1948">
        <v>17889</v>
      </c>
      <c r="C1948">
        <v>59</v>
      </c>
      <c r="D1948">
        <v>24</v>
      </c>
      <c r="E1948">
        <v>0</v>
      </c>
      <c r="F1948" s="1">
        <f t="shared" si="30"/>
        <v>0</v>
      </c>
      <c r="G1948" s="1" t="str">
        <f>_xlfn.XLOOKUP(C1948,'Ocupação DW'!$F:$F,'Ocupação DW'!$E:$E,"",0)</f>
        <v>SEG - NILÓPOLIS</v>
      </c>
      <c r="H1948" t="str">
        <f>Vagas[[#This Row],[data]]&amp;Vagas[[#This Row],[profissional_id]]&amp;Vagas[[#This Row],[local_id]]</f>
        <v>446501788959</v>
      </c>
    </row>
    <row r="1949" spans="1:8" x14ac:dyDescent="0.25">
      <c r="A1949" s="2">
        <v>44650</v>
      </c>
      <c r="B1949">
        <v>17892</v>
      </c>
      <c r="D1949">
        <v>0</v>
      </c>
      <c r="E1949">
        <v>0</v>
      </c>
      <c r="F1949" s="1">
        <f t="shared" si="30"/>
        <v>0</v>
      </c>
      <c r="G1949" s="1" t="str">
        <f>_xlfn.XLOOKUP(C1949,'Ocupação DW'!$F:$F,'Ocupação DW'!$E:$E,"",0)</f>
        <v/>
      </c>
      <c r="H1949" t="str">
        <f>Vagas[[#This Row],[data]]&amp;Vagas[[#This Row],[profissional_id]]&amp;Vagas[[#This Row],[local_id]]</f>
        <v>4465017892</v>
      </c>
    </row>
    <row r="1950" spans="1:8" x14ac:dyDescent="0.25">
      <c r="A1950" s="2">
        <v>44650</v>
      </c>
      <c r="B1950">
        <v>17902</v>
      </c>
      <c r="C1950">
        <v>39</v>
      </c>
      <c r="D1950">
        <v>51</v>
      </c>
      <c r="E1950">
        <v>0</v>
      </c>
      <c r="F1950" s="1">
        <f t="shared" si="30"/>
        <v>0</v>
      </c>
      <c r="G1950" s="1" t="str">
        <f>_xlfn.XLOOKUP(C1950,'Ocupação DW'!$F:$F,'Ocupação DW'!$E:$E,"",0)</f>
        <v>SEG - FILIAL I</v>
      </c>
      <c r="H1950" t="str">
        <f>Vagas[[#This Row],[data]]&amp;Vagas[[#This Row],[profissional_id]]&amp;Vagas[[#This Row],[local_id]]</f>
        <v>446501790239</v>
      </c>
    </row>
    <row r="1951" spans="1:8" x14ac:dyDescent="0.25">
      <c r="A1951" s="2">
        <v>44650</v>
      </c>
      <c r="B1951">
        <v>17903</v>
      </c>
      <c r="D1951">
        <v>0</v>
      </c>
      <c r="E1951">
        <v>0</v>
      </c>
      <c r="F1951" s="1">
        <f t="shared" si="30"/>
        <v>0</v>
      </c>
      <c r="G1951" s="1" t="str">
        <f>_xlfn.XLOOKUP(C1951,'Ocupação DW'!$F:$F,'Ocupação DW'!$E:$E,"",0)</f>
        <v/>
      </c>
      <c r="H1951" t="str">
        <f>Vagas[[#This Row],[data]]&amp;Vagas[[#This Row],[profissional_id]]&amp;Vagas[[#This Row],[local_id]]</f>
        <v>4465017903</v>
      </c>
    </row>
    <row r="1952" spans="1:8" x14ac:dyDescent="0.25">
      <c r="A1952" s="2">
        <v>44650</v>
      </c>
      <c r="B1952">
        <v>17904</v>
      </c>
      <c r="D1952">
        <v>0</v>
      </c>
      <c r="E1952">
        <v>0</v>
      </c>
      <c r="F1952" s="1">
        <f t="shared" si="30"/>
        <v>0</v>
      </c>
      <c r="G1952" s="1" t="str">
        <f>_xlfn.XLOOKUP(C1952,'Ocupação DW'!$F:$F,'Ocupação DW'!$E:$E,"",0)</f>
        <v/>
      </c>
      <c r="H1952" t="str">
        <f>Vagas[[#This Row],[data]]&amp;Vagas[[#This Row],[profissional_id]]&amp;Vagas[[#This Row],[local_id]]</f>
        <v>4465017904</v>
      </c>
    </row>
    <row r="1953" spans="1:8" x14ac:dyDescent="0.25">
      <c r="A1953" s="2">
        <v>44650</v>
      </c>
      <c r="B1953">
        <v>17918</v>
      </c>
      <c r="C1953">
        <v>42</v>
      </c>
      <c r="D1953">
        <v>0</v>
      </c>
      <c r="E1953">
        <v>0</v>
      </c>
      <c r="F1953" s="1">
        <f t="shared" si="30"/>
        <v>0</v>
      </c>
      <c r="G1953" s="1" t="str">
        <f>_xlfn.XLOOKUP(C1953,'Ocupação DW'!$F:$F,'Ocupação DW'!$E:$E,"",0)</f>
        <v>SEG - FILIAL I</v>
      </c>
      <c r="H1953" t="str">
        <f>Vagas[[#This Row],[data]]&amp;Vagas[[#This Row],[profissional_id]]&amp;Vagas[[#This Row],[local_id]]</f>
        <v>446501791842</v>
      </c>
    </row>
    <row r="1954" spans="1:8" x14ac:dyDescent="0.25">
      <c r="A1954" s="2">
        <v>44650</v>
      </c>
      <c r="B1954">
        <v>17922</v>
      </c>
      <c r="D1954">
        <v>133</v>
      </c>
      <c r="E1954">
        <v>0</v>
      </c>
      <c r="F1954" s="1">
        <f t="shared" si="30"/>
        <v>0</v>
      </c>
      <c r="G1954" s="1" t="str">
        <f>_xlfn.XLOOKUP(C1954,'Ocupação DW'!$F:$F,'Ocupação DW'!$E:$E,"",0)</f>
        <v/>
      </c>
      <c r="H1954" t="str">
        <f>Vagas[[#This Row],[data]]&amp;Vagas[[#This Row],[profissional_id]]&amp;Vagas[[#This Row],[local_id]]</f>
        <v>4465017922</v>
      </c>
    </row>
    <row r="1955" spans="1:8" x14ac:dyDescent="0.25">
      <c r="A1955" s="2">
        <v>44650</v>
      </c>
      <c r="D1955">
        <v>0</v>
      </c>
      <c r="E1955">
        <v>0</v>
      </c>
      <c r="F1955" s="1">
        <f t="shared" si="30"/>
        <v>0</v>
      </c>
      <c r="G1955" s="1" t="str">
        <f>_xlfn.XLOOKUP(C1955,'Ocupação DW'!$F:$F,'Ocupação DW'!$E:$E,"",0)</f>
        <v/>
      </c>
      <c r="H1955" t="str">
        <f>Vagas[[#This Row],[data]]&amp;Vagas[[#This Row],[profissional_id]]&amp;Vagas[[#This Row],[local_id]]</f>
        <v>44650</v>
      </c>
    </row>
    <row r="1956" spans="1:8" x14ac:dyDescent="0.25">
      <c r="A1956" s="2">
        <v>44650</v>
      </c>
      <c r="D1956">
        <v>0</v>
      </c>
      <c r="E1956">
        <v>0</v>
      </c>
      <c r="F1956" s="1">
        <f t="shared" si="30"/>
        <v>0</v>
      </c>
      <c r="G1956" s="1" t="str">
        <f>_xlfn.XLOOKUP(C1956,'Ocupação DW'!$F:$F,'Ocupação DW'!$E:$E,"",0)</f>
        <v/>
      </c>
      <c r="H1956" t="str">
        <f>Vagas[[#This Row],[data]]&amp;Vagas[[#This Row],[profissional_id]]&amp;Vagas[[#This Row],[local_id]]</f>
        <v>44650</v>
      </c>
    </row>
    <row r="1957" spans="1:8" x14ac:dyDescent="0.25">
      <c r="A1957" s="2">
        <v>44650</v>
      </c>
      <c r="D1957">
        <v>0</v>
      </c>
      <c r="E1957">
        <v>0</v>
      </c>
      <c r="F1957" s="1">
        <f t="shared" si="30"/>
        <v>0</v>
      </c>
      <c r="G1957" s="1" t="str">
        <f>_xlfn.XLOOKUP(C1957,'Ocupação DW'!$F:$F,'Ocupação DW'!$E:$E,"",0)</f>
        <v/>
      </c>
      <c r="H1957" t="str">
        <f>Vagas[[#This Row],[data]]&amp;Vagas[[#This Row],[profissional_id]]&amp;Vagas[[#This Row],[local_id]]</f>
        <v>44650</v>
      </c>
    </row>
    <row r="1958" spans="1:8" x14ac:dyDescent="0.25">
      <c r="A1958" s="2">
        <v>44651</v>
      </c>
      <c r="B1958">
        <v>53</v>
      </c>
      <c r="C1958">
        <v>5</v>
      </c>
      <c r="D1958">
        <v>0</v>
      </c>
      <c r="E1958">
        <v>0</v>
      </c>
      <c r="F1958" s="1">
        <f t="shared" si="30"/>
        <v>0</v>
      </c>
      <c r="G1958" s="1" t="str">
        <f>_xlfn.XLOOKUP(C1958,'Ocupação DW'!$F:$F,'Ocupação DW'!$E:$E,"",0)</f>
        <v>SEG - FILIAL II 10°</v>
      </c>
      <c r="H1958" t="str">
        <f>Vagas[[#This Row],[data]]&amp;Vagas[[#This Row],[profissional_id]]&amp;Vagas[[#This Row],[local_id]]</f>
        <v>44651535</v>
      </c>
    </row>
    <row r="1959" spans="1:8" x14ac:dyDescent="0.25">
      <c r="A1959" s="2">
        <v>44651</v>
      </c>
      <c r="B1959">
        <v>53</v>
      </c>
      <c r="C1959">
        <v>14</v>
      </c>
      <c r="D1959">
        <v>0</v>
      </c>
      <c r="E1959">
        <v>0</v>
      </c>
      <c r="F1959" s="1">
        <f t="shared" si="30"/>
        <v>0</v>
      </c>
      <c r="G1959" s="1" t="str">
        <f>_xlfn.XLOOKUP(C1959,'Ocupação DW'!$F:$F,'Ocupação DW'!$E:$E,"",0)</f>
        <v>SEG - FILIAL II 11°</v>
      </c>
      <c r="H1959" t="str">
        <f>Vagas[[#This Row],[data]]&amp;Vagas[[#This Row],[profissional_id]]&amp;Vagas[[#This Row],[local_id]]</f>
        <v>446515314</v>
      </c>
    </row>
    <row r="1960" spans="1:8" x14ac:dyDescent="0.25">
      <c r="A1960" s="2">
        <v>44651</v>
      </c>
      <c r="B1960">
        <v>54</v>
      </c>
      <c r="D1960">
        <v>13</v>
      </c>
      <c r="E1960">
        <v>0</v>
      </c>
      <c r="F1960" s="1">
        <f t="shared" si="30"/>
        <v>0</v>
      </c>
      <c r="G1960" s="1" t="str">
        <f>_xlfn.XLOOKUP(C1960,'Ocupação DW'!$F:$F,'Ocupação DW'!$E:$E,"",0)</f>
        <v/>
      </c>
      <c r="H1960" t="str">
        <f>Vagas[[#This Row],[data]]&amp;Vagas[[#This Row],[profissional_id]]&amp;Vagas[[#This Row],[local_id]]</f>
        <v>4465154</v>
      </c>
    </row>
    <row r="1961" spans="1:8" x14ac:dyDescent="0.25">
      <c r="A1961" s="2">
        <v>44651</v>
      </c>
      <c r="B1961">
        <v>55</v>
      </c>
      <c r="D1961">
        <v>0</v>
      </c>
      <c r="E1961">
        <v>0</v>
      </c>
      <c r="F1961" s="1">
        <f t="shared" si="30"/>
        <v>0</v>
      </c>
      <c r="G1961" s="1" t="str">
        <f>_xlfn.XLOOKUP(C1961,'Ocupação DW'!$F:$F,'Ocupação DW'!$E:$E,"",0)</f>
        <v/>
      </c>
      <c r="H1961" t="str">
        <f>Vagas[[#This Row],[data]]&amp;Vagas[[#This Row],[profissional_id]]&amp;Vagas[[#This Row],[local_id]]</f>
        <v>4465155</v>
      </c>
    </row>
    <row r="1962" spans="1:8" x14ac:dyDescent="0.25">
      <c r="A1962" s="2">
        <v>44651</v>
      </c>
      <c r="B1962">
        <v>59</v>
      </c>
      <c r="D1962">
        <v>0</v>
      </c>
      <c r="E1962">
        <v>0</v>
      </c>
      <c r="F1962" s="1">
        <f t="shared" si="30"/>
        <v>0</v>
      </c>
      <c r="G1962" s="1" t="str">
        <f>_xlfn.XLOOKUP(C1962,'Ocupação DW'!$F:$F,'Ocupação DW'!$E:$E,"",0)</f>
        <v/>
      </c>
      <c r="H1962" t="str">
        <f>Vagas[[#This Row],[data]]&amp;Vagas[[#This Row],[profissional_id]]&amp;Vagas[[#This Row],[local_id]]</f>
        <v>4465159</v>
      </c>
    </row>
    <row r="1963" spans="1:8" x14ac:dyDescent="0.25">
      <c r="A1963" s="2">
        <v>44651</v>
      </c>
      <c r="B1963">
        <v>60</v>
      </c>
      <c r="D1963">
        <v>19</v>
      </c>
      <c r="E1963">
        <v>0</v>
      </c>
      <c r="F1963" s="1">
        <f t="shared" si="30"/>
        <v>0</v>
      </c>
      <c r="G1963" s="1" t="str">
        <f>_xlfn.XLOOKUP(C1963,'Ocupação DW'!$F:$F,'Ocupação DW'!$E:$E,"",0)</f>
        <v/>
      </c>
      <c r="H1963" t="str">
        <f>Vagas[[#This Row],[data]]&amp;Vagas[[#This Row],[profissional_id]]&amp;Vagas[[#This Row],[local_id]]</f>
        <v>4465160</v>
      </c>
    </row>
    <row r="1964" spans="1:8" x14ac:dyDescent="0.25">
      <c r="A1964" s="2">
        <v>44651</v>
      </c>
      <c r="B1964">
        <v>60</v>
      </c>
      <c r="C1964">
        <v>346</v>
      </c>
      <c r="D1964">
        <v>0</v>
      </c>
      <c r="E1964">
        <v>0</v>
      </c>
      <c r="F1964" s="1">
        <f t="shared" si="30"/>
        <v>19</v>
      </c>
      <c r="G1964" s="1" t="str">
        <f>_xlfn.XLOOKUP(C1964,'Ocupação DW'!$F:$F,'Ocupação DW'!$E:$E,"",0)</f>
        <v>SEG - MATRIZ</v>
      </c>
      <c r="H1964" t="str">
        <f>Vagas[[#This Row],[data]]&amp;Vagas[[#This Row],[profissional_id]]&amp;Vagas[[#This Row],[local_id]]</f>
        <v>4465160346</v>
      </c>
    </row>
    <row r="1965" spans="1:8" x14ac:dyDescent="0.25">
      <c r="A1965" s="2">
        <v>44651</v>
      </c>
      <c r="B1965">
        <v>66</v>
      </c>
      <c r="D1965">
        <v>61</v>
      </c>
      <c r="E1965">
        <v>0</v>
      </c>
      <c r="F1965" s="1">
        <f t="shared" si="30"/>
        <v>0</v>
      </c>
      <c r="G1965" s="1" t="str">
        <f>_xlfn.XLOOKUP(C1965,'Ocupação DW'!$F:$F,'Ocupação DW'!$E:$E,"",0)</f>
        <v/>
      </c>
      <c r="H1965" t="str">
        <f>Vagas[[#This Row],[data]]&amp;Vagas[[#This Row],[profissional_id]]&amp;Vagas[[#This Row],[local_id]]</f>
        <v>4465166</v>
      </c>
    </row>
    <row r="1966" spans="1:8" x14ac:dyDescent="0.25">
      <c r="A1966" s="2">
        <v>44651</v>
      </c>
      <c r="B1966">
        <v>66</v>
      </c>
      <c r="C1966">
        <v>345</v>
      </c>
      <c r="D1966">
        <v>64</v>
      </c>
      <c r="E1966">
        <v>0</v>
      </c>
      <c r="F1966" s="1">
        <f t="shared" si="30"/>
        <v>0</v>
      </c>
      <c r="G1966" s="1" t="str">
        <f>_xlfn.XLOOKUP(C1966,'Ocupação DW'!$F:$F,'Ocupação DW'!$E:$E,"",0)</f>
        <v>SEG - MATRIZ</v>
      </c>
      <c r="H1966" t="str">
        <f>Vagas[[#This Row],[data]]&amp;Vagas[[#This Row],[profissional_id]]&amp;Vagas[[#This Row],[local_id]]</f>
        <v>4465166345</v>
      </c>
    </row>
    <row r="1967" spans="1:8" x14ac:dyDescent="0.25">
      <c r="A1967" s="2">
        <v>44651</v>
      </c>
      <c r="B1967">
        <v>69</v>
      </c>
      <c r="D1967">
        <v>13</v>
      </c>
      <c r="E1967">
        <v>0</v>
      </c>
      <c r="F1967" s="1">
        <f t="shared" si="30"/>
        <v>0</v>
      </c>
      <c r="G1967" s="1" t="str">
        <f>_xlfn.XLOOKUP(C1967,'Ocupação DW'!$F:$F,'Ocupação DW'!$E:$E,"",0)</f>
        <v/>
      </c>
      <c r="H1967" t="str">
        <f>Vagas[[#This Row],[data]]&amp;Vagas[[#This Row],[profissional_id]]&amp;Vagas[[#This Row],[local_id]]</f>
        <v>4465169</v>
      </c>
    </row>
    <row r="1968" spans="1:8" x14ac:dyDescent="0.25">
      <c r="A1968" s="2">
        <v>44651</v>
      </c>
      <c r="B1968">
        <v>69</v>
      </c>
      <c r="C1968">
        <v>82</v>
      </c>
      <c r="D1968">
        <v>0</v>
      </c>
      <c r="E1968">
        <v>0</v>
      </c>
      <c r="F1968" s="1">
        <f t="shared" si="30"/>
        <v>13</v>
      </c>
      <c r="G1968" s="1" t="str">
        <f>_xlfn.XLOOKUP(C1968,'Ocupação DW'!$F:$F,'Ocupação DW'!$E:$E,"",0)</f>
        <v>SEG - MIGUEL COUTO</v>
      </c>
      <c r="H1968" t="str">
        <f>Vagas[[#This Row],[data]]&amp;Vagas[[#This Row],[profissional_id]]&amp;Vagas[[#This Row],[local_id]]</f>
        <v>446516982</v>
      </c>
    </row>
    <row r="1969" spans="1:8" x14ac:dyDescent="0.25">
      <c r="A1969" s="2">
        <v>44651</v>
      </c>
      <c r="B1969">
        <v>70</v>
      </c>
      <c r="D1969">
        <v>0</v>
      </c>
      <c r="E1969">
        <v>0</v>
      </c>
      <c r="F1969" s="1">
        <f t="shared" si="30"/>
        <v>0</v>
      </c>
      <c r="G1969" s="1" t="str">
        <f>_xlfn.XLOOKUP(C1969,'Ocupação DW'!$F:$F,'Ocupação DW'!$E:$E,"",0)</f>
        <v/>
      </c>
      <c r="H1969" t="str">
        <f>Vagas[[#This Row],[data]]&amp;Vagas[[#This Row],[profissional_id]]&amp;Vagas[[#This Row],[local_id]]</f>
        <v>4465170</v>
      </c>
    </row>
    <row r="1970" spans="1:8" x14ac:dyDescent="0.25">
      <c r="A1970" s="2">
        <v>44651</v>
      </c>
      <c r="B1970">
        <v>73</v>
      </c>
      <c r="D1970">
        <v>0</v>
      </c>
      <c r="E1970">
        <v>0</v>
      </c>
      <c r="F1970" s="1">
        <f t="shared" si="30"/>
        <v>0</v>
      </c>
      <c r="G1970" s="1" t="str">
        <f>_xlfn.XLOOKUP(C1970,'Ocupação DW'!$F:$F,'Ocupação DW'!$E:$E,"",0)</f>
        <v/>
      </c>
      <c r="H1970" t="str">
        <f>Vagas[[#This Row],[data]]&amp;Vagas[[#This Row],[profissional_id]]&amp;Vagas[[#This Row],[local_id]]</f>
        <v>4465173</v>
      </c>
    </row>
    <row r="1971" spans="1:8" x14ac:dyDescent="0.25">
      <c r="A1971" s="2">
        <v>44651</v>
      </c>
      <c r="B1971">
        <v>74</v>
      </c>
      <c r="C1971">
        <v>7</v>
      </c>
      <c r="D1971">
        <v>0</v>
      </c>
      <c r="E1971">
        <v>0</v>
      </c>
      <c r="F1971" s="1">
        <f t="shared" si="30"/>
        <v>0</v>
      </c>
      <c r="G1971" s="1" t="str">
        <f>_xlfn.XLOOKUP(C1971,'Ocupação DW'!$F:$F,'Ocupação DW'!$E:$E,"",0)</f>
        <v>SEG - FILIAL II 10°</v>
      </c>
      <c r="H1971" t="str">
        <f>Vagas[[#This Row],[data]]&amp;Vagas[[#This Row],[profissional_id]]&amp;Vagas[[#This Row],[local_id]]</f>
        <v>44651747</v>
      </c>
    </row>
    <row r="1972" spans="1:8" x14ac:dyDescent="0.25">
      <c r="A1972" s="2">
        <v>44651</v>
      </c>
      <c r="B1972">
        <v>76</v>
      </c>
      <c r="C1972">
        <v>48</v>
      </c>
      <c r="D1972">
        <v>0</v>
      </c>
      <c r="E1972">
        <v>0</v>
      </c>
      <c r="F1972" s="1">
        <f t="shared" si="30"/>
        <v>0</v>
      </c>
      <c r="G1972" s="1" t="str">
        <f>_xlfn.XLOOKUP(C1972,'Ocupação DW'!$F:$F,'Ocupação DW'!$E:$E,"",0)</f>
        <v>SEG - FILIAL I</v>
      </c>
      <c r="H1972" t="str">
        <f>Vagas[[#This Row],[data]]&amp;Vagas[[#This Row],[profissional_id]]&amp;Vagas[[#This Row],[local_id]]</f>
        <v>446517648</v>
      </c>
    </row>
    <row r="1973" spans="1:8" x14ac:dyDescent="0.25">
      <c r="A1973" s="2">
        <v>44651</v>
      </c>
      <c r="B1973">
        <v>80</v>
      </c>
      <c r="C1973">
        <v>348</v>
      </c>
      <c r="D1973">
        <v>0</v>
      </c>
      <c r="E1973">
        <v>0</v>
      </c>
      <c r="F1973" s="1">
        <f t="shared" si="30"/>
        <v>0</v>
      </c>
      <c r="G1973" s="1" t="str">
        <f>_xlfn.XLOOKUP(C1973,'Ocupação DW'!$F:$F,'Ocupação DW'!$E:$E,"",0)</f>
        <v>SEG - MATRIZ</v>
      </c>
      <c r="H1973" t="str">
        <f>Vagas[[#This Row],[data]]&amp;Vagas[[#This Row],[profissional_id]]&amp;Vagas[[#This Row],[local_id]]</f>
        <v>4465180348</v>
      </c>
    </row>
    <row r="1974" spans="1:8" x14ac:dyDescent="0.25">
      <c r="A1974" s="2">
        <v>44651</v>
      </c>
      <c r="B1974">
        <v>81</v>
      </c>
      <c r="C1974">
        <v>41</v>
      </c>
      <c r="D1974">
        <v>0</v>
      </c>
      <c r="E1974">
        <v>0</v>
      </c>
      <c r="F1974" s="1">
        <f t="shared" si="30"/>
        <v>0</v>
      </c>
      <c r="G1974" s="1" t="str">
        <f>_xlfn.XLOOKUP(C1974,'Ocupação DW'!$F:$F,'Ocupação DW'!$E:$E,"",0)</f>
        <v>SEG - FILIAL I</v>
      </c>
      <c r="H1974" t="str">
        <f>Vagas[[#This Row],[data]]&amp;Vagas[[#This Row],[profissional_id]]&amp;Vagas[[#This Row],[local_id]]</f>
        <v>446518141</v>
      </c>
    </row>
    <row r="1975" spans="1:8" x14ac:dyDescent="0.25">
      <c r="A1975" s="2">
        <v>44651</v>
      </c>
      <c r="B1975">
        <v>85</v>
      </c>
      <c r="C1975">
        <v>349</v>
      </c>
      <c r="D1975">
        <v>0</v>
      </c>
      <c r="E1975">
        <v>4</v>
      </c>
      <c r="F1975" s="1">
        <f t="shared" si="30"/>
        <v>0</v>
      </c>
      <c r="G1975" s="1" t="str">
        <f>_xlfn.XLOOKUP(C1975,'Ocupação DW'!$F:$F,'Ocupação DW'!$E:$E,"",0)</f>
        <v>SEG - FILIAL II 11°</v>
      </c>
      <c r="H1975" t="str">
        <f>Vagas[[#This Row],[data]]&amp;Vagas[[#This Row],[profissional_id]]&amp;Vagas[[#This Row],[local_id]]</f>
        <v>4465185349</v>
      </c>
    </row>
    <row r="1976" spans="1:8" x14ac:dyDescent="0.25">
      <c r="A1976" s="2">
        <v>44651</v>
      </c>
      <c r="B1976">
        <v>86</v>
      </c>
      <c r="D1976">
        <v>0</v>
      </c>
      <c r="E1976">
        <v>0</v>
      </c>
      <c r="F1976" s="1">
        <f t="shared" si="30"/>
        <v>0</v>
      </c>
      <c r="G1976" s="1" t="str">
        <f>_xlfn.XLOOKUP(C1976,'Ocupação DW'!$F:$F,'Ocupação DW'!$E:$E,"",0)</f>
        <v/>
      </c>
      <c r="H1976" t="str">
        <f>Vagas[[#This Row],[data]]&amp;Vagas[[#This Row],[profissional_id]]&amp;Vagas[[#This Row],[local_id]]</f>
        <v>4465186</v>
      </c>
    </row>
    <row r="1977" spans="1:8" x14ac:dyDescent="0.25">
      <c r="A1977" s="2">
        <v>44651</v>
      </c>
      <c r="B1977">
        <v>92</v>
      </c>
      <c r="C1977">
        <v>340</v>
      </c>
      <c r="D1977">
        <v>72</v>
      </c>
      <c r="E1977">
        <v>0</v>
      </c>
      <c r="F1977" s="1">
        <f t="shared" si="30"/>
        <v>0</v>
      </c>
      <c r="G1977" s="1" t="str">
        <f>_xlfn.XLOOKUP(C1977,'Ocupação DW'!$F:$F,'Ocupação DW'!$E:$E,"",0)</f>
        <v>SEG - MATRIZ</v>
      </c>
      <c r="H1977" t="str">
        <f>Vagas[[#This Row],[data]]&amp;Vagas[[#This Row],[profissional_id]]&amp;Vagas[[#This Row],[local_id]]</f>
        <v>4465192340</v>
      </c>
    </row>
    <row r="1978" spans="1:8" x14ac:dyDescent="0.25">
      <c r="A1978" s="2">
        <v>44651</v>
      </c>
      <c r="B1978">
        <v>93</v>
      </c>
      <c r="C1978">
        <v>343</v>
      </c>
      <c r="D1978">
        <v>60</v>
      </c>
      <c r="E1978">
        <v>0</v>
      </c>
      <c r="F1978" s="1">
        <f t="shared" si="30"/>
        <v>0</v>
      </c>
      <c r="G1978" s="1" t="str">
        <f>_xlfn.XLOOKUP(C1978,'Ocupação DW'!$F:$F,'Ocupação DW'!$E:$E,"",0)</f>
        <v/>
      </c>
      <c r="H1978" t="str">
        <f>Vagas[[#This Row],[data]]&amp;Vagas[[#This Row],[profissional_id]]&amp;Vagas[[#This Row],[local_id]]</f>
        <v>4465193343</v>
      </c>
    </row>
    <row r="1979" spans="1:8" x14ac:dyDescent="0.25">
      <c r="A1979" s="2">
        <v>44651</v>
      </c>
      <c r="B1979">
        <v>100</v>
      </c>
      <c r="D1979">
        <v>33</v>
      </c>
      <c r="E1979">
        <v>5</v>
      </c>
      <c r="F1979" s="1">
        <f t="shared" si="30"/>
        <v>0</v>
      </c>
      <c r="G1979" s="1" t="str">
        <f>_xlfn.XLOOKUP(C1979,'Ocupação DW'!$F:$F,'Ocupação DW'!$E:$E,"",0)</f>
        <v/>
      </c>
      <c r="H1979" t="str">
        <f>Vagas[[#This Row],[data]]&amp;Vagas[[#This Row],[profissional_id]]&amp;Vagas[[#This Row],[local_id]]</f>
        <v>44651100</v>
      </c>
    </row>
    <row r="1980" spans="1:8" x14ac:dyDescent="0.25">
      <c r="A1980" s="2">
        <v>44651</v>
      </c>
      <c r="B1980">
        <v>100</v>
      </c>
      <c r="C1980">
        <v>342</v>
      </c>
      <c r="D1980">
        <v>0</v>
      </c>
      <c r="E1980">
        <v>4</v>
      </c>
      <c r="F1980" s="1">
        <f t="shared" si="30"/>
        <v>33</v>
      </c>
      <c r="G1980" s="1" t="str">
        <f>_xlfn.XLOOKUP(C1980,'Ocupação DW'!$F:$F,'Ocupação DW'!$E:$E,"",0)</f>
        <v>SEG - MATRIZ</v>
      </c>
      <c r="H1980" t="str">
        <f>Vagas[[#This Row],[data]]&amp;Vagas[[#This Row],[profissional_id]]&amp;Vagas[[#This Row],[local_id]]</f>
        <v>44651100342</v>
      </c>
    </row>
    <row r="1981" spans="1:8" x14ac:dyDescent="0.25">
      <c r="A1981" s="2">
        <v>44651</v>
      </c>
      <c r="B1981">
        <v>110</v>
      </c>
      <c r="D1981">
        <v>0</v>
      </c>
      <c r="E1981">
        <v>0</v>
      </c>
      <c r="F1981" s="1">
        <f t="shared" si="30"/>
        <v>0</v>
      </c>
      <c r="G1981" s="1" t="str">
        <f>_xlfn.XLOOKUP(C1981,'Ocupação DW'!$F:$F,'Ocupação DW'!$E:$E,"",0)</f>
        <v/>
      </c>
      <c r="H1981" t="str">
        <f>Vagas[[#This Row],[data]]&amp;Vagas[[#This Row],[profissional_id]]&amp;Vagas[[#This Row],[local_id]]</f>
        <v>44651110</v>
      </c>
    </row>
    <row r="1982" spans="1:8" x14ac:dyDescent="0.25">
      <c r="A1982" s="2">
        <v>44651</v>
      </c>
      <c r="B1982">
        <v>123</v>
      </c>
      <c r="D1982">
        <v>72</v>
      </c>
      <c r="E1982">
        <v>0</v>
      </c>
      <c r="F1982" s="1">
        <f t="shared" si="30"/>
        <v>0</v>
      </c>
      <c r="G1982" s="1" t="str">
        <f>_xlfn.XLOOKUP(C1982,'Ocupação DW'!$F:$F,'Ocupação DW'!$E:$E,"",0)</f>
        <v/>
      </c>
      <c r="H1982" t="str">
        <f>Vagas[[#This Row],[data]]&amp;Vagas[[#This Row],[profissional_id]]&amp;Vagas[[#This Row],[local_id]]</f>
        <v>44651123</v>
      </c>
    </row>
    <row r="1983" spans="1:8" x14ac:dyDescent="0.25">
      <c r="A1983" s="2">
        <v>44651</v>
      </c>
      <c r="B1983">
        <v>266</v>
      </c>
      <c r="C1983">
        <v>42</v>
      </c>
      <c r="D1983">
        <v>0</v>
      </c>
      <c r="E1983">
        <v>0</v>
      </c>
      <c r="F1983" s="1">
        <f t="shared" si="30"/>
        <v>0</v>
      </c>
      <c r="G1983" s="1" t="str">
        <f>_xlfn.XLOOKUP(C1983,'Ocupação DW'!$F:$F,'Ocupação DW'!$E:$E,"",0)</f>
        <v>SEG - FILIAL I</v>
      </c>
      <c r="H1983" t="str">
        <f>Vagas[[#This Row],[data]]&amp;Vagas[[#This Row],[profissional_id]]&amp;Vagas[[#This Row],[local_id]]</f>
        <v>4465126642</v>
      </c>
    </row>
    <row r="1984" spans="1:8" x14ac:dyDescent="0.25">
      <c r="A1984" s="2">
        <v>44651</v>
      </c>
      <c r="B1984">
        <v>282</v>
      </c>
      <c r="D1984">
        <v>87</v>
      </c>
      <c r="E1984">
        <v>0</v>
      </c>
      <c r="F1984" s="1">
        <f t="shared" si="30"/>
        <v>0</v>
      </c>
      <c r="G1984" s="1" t="str">
        <f>_xlfn.XLOOKUP(C1984,'Ocupação DW'!$F:$F,'Ocupação DW'!$E:$E,"",0)</f>
        <v/>
      </c>
      <c r="H1984" t="str">
        <f>Vagas[[#This Row],[data]]&amp;Vagas[[#This Row],[profissional_id]]&amp;Vagas[[#This Row],[local_id]]</f>
        <v>44651282</v>
      </c>
    </row>
    <row r="1985" spans="1:8" x14ac:dyDescent="0.25">
      <c r="A1985" s="2">
        <v>44651</v>
      </c>
      <c r="B1985">
        <v>282</v>
      </c>
      <c r="C1985">
        <v>68</v>
      </c>
      <c r="D1985">
        <v>0</v>
      </c>
      <c r="E1985">
        <v>0</v>
      </c>
      <c r="F1985" s="1">
        <f t="shared" si="30"/>
        <v>87</v>
      </c>
      <c r="G1985" s="1" t="str">
        <f>_xlfn.XLOOKUP(C1985,'Ocupação DW'!$F:$F,'Ocupação DW'!$E:$E,"",0)</f>
        <v>SEG - NILÓPOLIS</v>
      </c>
      <c r="H1985" t="str">
        <f>Vagas[[#This Row],[data]]&amp;Vagas[[#This Row],[profissional_id]]&amp;Vagas[[#This Row],[local_id]]</f>
        <v>4465128268</v>
      </c>
    </row>
    <row r="1986" spans="1:8" x14ac:dyDescent="0.25">
      <c r="A1986" s="2">
        <v>44651</v>
      </c>
      <c r="B1986">
        <v>531</v>
      </c>
      <c r="C1986">
        <v>12</v>
      </c>
      <c r="D1986">
        <v>0</v>
      </c>
      <c r="E1986">
        <v>0</v>
      </c>
      <c r="F1986" s="1">
        <f t="shared" ref="F1986:F2049" si="31">IF(AND(A1986=A1985,B1986=B1985,D1985&lt;&gt;0,D1986=0),D1985,0)</f>
        <v>0</v>
      </c>
      <c r="G1986" s="1" t="str">
        <f>_xlfn.XLOOKUP(C1986,'Ocupação DW'!$F:$F,'Ocupação DW'!$E:$E,"",0)</f>
        <v>SEG - FILIAL II 11°</v>
      </c>
      <c r="H1986" t="str">
        <f>Vagas[[#This Row],[data]]&amp;Vagas[[#This Row],[profissional_id]]&amp;Vagas[[#This Row],[local_id]]</f>
        <v>4465153112</v>
      </c>
    </row>
    <row r="1987" spans="1:8" x14ac:dyDescent="0.25">
      <c r="A1987" s="2">
        <v>44651</v>
      </c>
      <c r="B1987">
        <v>531</v>
      </c>
      <c r="C1987">
        <v>371</v>
      </c>
      <c r="D1987">
        <v>0</v>
      </c>
      <c r="E1987">
        <v>0</v>
      </c>
      <c r="F1987" s="1">
        <f t="shared" si="31"/>
        <v>0</v>
      </c>
      <c r="G1987" s="1" t="str">
        <f>_xlfn.XLOOKUP(C1987,'Ocupação DW'!$F:$F,'Ocupação DW'!$E:$E,"",0)</f>
        <v>SEG - SÃO JOÃO</v>
      </c>
      <c r="H1987" t="str">
        <f>Vagas[[#This Row],[data]]&amp;Vagas[[#This Row],[profissional_id]]&amp;Vagas[[#This Row],[local_id]]</f>
        <v>44651531371</v>
      </c>
    </row>
    <row r="1988" spans="1:8" x14ac:dyDescent="0.25">
      <c r="A1988" s="2">
        <v>44651</v>
      </c>
      <c r="B1988">
        <v>1343</v>
      </c>
      <c r="D1988">
        <v>13</v>
      </c>
      <c r="E1988">
        <v>0</v>
      </c>
      <c r="F1988" s="1">
        <f t="shared" si="31"/>
        <v>0</v>
      </c>
      <c r="G1988" s="1" t="str">
        <f>_xlfn.XLOOKUP(C1988,'Ocupação DW'!$F:$F,'Ocupação DW'!$E:$E,"",0)</f>
        <v/>
      </c>
      <c r="H1988" t="str">
        <f>Vagas[[#This Row],[data]]&amp;Vagas[[#This Row],[profissional_id]]&amp;Vagas[[#This Row],[local_id]]</f>
        <v>446511343</v>
      </c>
    </row>
    <row r="1989" spans="1:8" x14ac:dyDescent="0.25">
      <c r="A1989" s="2">
        <v>44651</v>
      </c>
      <c r="B1989">
        <v>1343</v>
      </c>
      <c r="C1989">
        <v>80</v>
      </c>
      <c r="D1989">
        <v>0</v>
      </c>
      <c r="E1989">
        <v>0</v>
      </c>
      <c r="F1989" s="1">
        <f t="shared" si="31"/>
        <v>13</v>
      </c>
      <c r="G1989" s="1" t="str">
        <f>_xlfn.XLOOKUP(C1989,'Ocupação DW'!$F:$F,'Ocupação DW'!$E:$E,"",0)</f>
        <v>SEG - MIGUEL COUTO</v>
      </c>
      <c r="H1989" t="str">
        <f>Vagas[[#This Row],[data]]&amp;Vagas[[#This Row],[profissional_id]]&amp;Vagas[[#This Row],[local_id]]</f>
        <v>44651134380</v>
      </c>
    </row>
    <row r="1990" spans="1:8" x14ac:dyDescent="0.25">
      <c r="A1990" s="2">
        <v>44651</v>
      </c>
      <c r="B1990">
        <v>1490</v>
      </c>
      <c r="D1990">
        <v>12</v>
      </c>
      <c r="E1990">
        <v>0</v>
      </c>
      <c r="F1990" s="1">
        <f t="shared" si="31"/>
        <v>0</v>
      </c>
      <c r="G1990" s="1" t="str">
        <f>_xlfn.XLOOKUP(C1990,'Ocupação DW'!$F:$F,'Ocupação DW'!$E:$E,"",0)</f>
        <v/>
      </c>
      <c r="H1990" t="str">
        <f>Vagas[[#This Row],[data]]&amp;Vagas[[#This Row],[profissional_id]]&amp;Vagas[[#This Row],[local_id]]</f>
        <v>446511490</v>
      </c>
    </row>
    <row r="1991" spans="1:8" x14ac:dyDescent="0.25">
      <c r="A1991" s="2">
        <v>44651</v>
      </c>
      <c r="B1991">
        <v>1490</v>
      </c>
      <c r="C1991">
        <v>12</v>
      </c>
      <c r="D1991">
        <v>0</v>
      </c>
      <c r="E1991">
        <v>0</v>
      </c>
      <c r="F1991" s="1">
        <f t="shared" si="31"/>
        <v>12</v>
      </c>
      <c r="G1991" s="1" t="str">
        <f>_xlfn.XLOOKUP(C1991,'Ocupação DW'!$F:$F,'Ocupação DW'!$E:$E,"",0)</f>
        <v>SEG - FILIAL II 11°</v>
      </c>
      <c r="H1991" t="str">
        <f>Vagas[[#This Row],[data]]&amp;Vagas[[#This Row],[profissional_id]]&amp;Vagas[[#This Row],[local_id]]</f>
        <v>44651149012</v>
      </c>
    </row>
    <row r="1992" spans="1:8" x14ac:dyDescent="0.25">
      <c r="A1992" s="2">
        <v>44651</v>
      </c>
      <c r="B1992">
        <v>1490</v>
      </c>
      <c r="C1992">
        <v>13</v>
      </c>
      <c r="D1992">
        <v>0</v>
      </c>
      <c r="E1992">
        <v>0</v>
      </c>
      <c r="F1992" s="1">
        <f t="shared" si="31"/>
        <v>0</v>
      </c>
      <c r="G1992" s="1" t="str">
        <f>_xlfn.XLOOKUP(C1992,'Ocupação DW'!$F:$F,'Ocupação DW'!$E:$E,"",0)</f>
        <v>SEG - FILIAL II 11°</v>
      </c>
      <c r="H1992" t="str">
        <f>Vagas[[#This Row],[data]]&amp;Vagas[[#This Row],[profissional_id]]&amp;Vagas[[#This Row],[local_id]]</f>
        <v>44651149013</v>
      </c>
    </row>
    <row r="1993" spans="1:8" x14ac:dyDescent="0.25">
      <c r="A1993" s="2">
        <v>44651</v>
      </c>
      <c r="B1993">
        <v>1490</v>
      </c>
      <c r="C1993">
        <v>344</v>
      </c>
      <c r="D1993">
        <v>0</v>
      </c>
      <c r="E1993">
        <v>0</v>
      </c>
      <c r="F1993" s="1">
        <f t="shared" si="31"/>
        <v>0</v>
      </c>
      <c r="G1993" s="1" t="str">
        <f>_xlfn.XLOOKUP(C1993,'Ocupação DW'!$F:$F,'Ocupação DW'!$E:$E,"",0)</f>
        <v>SEG - MATRIZ</v>
      </c>
      <c r="H1993" t="str">
        <f>Vagas[[#This Row],[data]]&amp;Vagas[[#This Row],[profissional_id]]&amp;Vagas[[#This Row],[local_id]]</f>
        <v>446511490344</v>
      </c>
    </row>
    <row r="1994" spans="1:8" x14ac:dyDescent="0.25">
      <c r="A1994" s="2">
        <v>44651</v>
      </c>
      <c r="B1994">
        <v>2334</v>
      </c>
      <c r="D1994">
        <v>0</v>
      </c>
      <c r="E1994">
        <v>0</v>
      </c>
      <c r="F1994" s="1">
        <f t="shared" si="31"/>
        <v>0</v>
      </c>
      <c r="G1994" s="1" t="str">
        <f>_xlfn.XLOOKUP(C1994,'Ocupação DW'!$F:$F,'Ocupação DW'!$E:$E,"",0)</f>
        <v/>
      </c>
      <c r="H1994" t="str">
        <f>Vagas[[#This Row],[data]]&amp;Vagas[[#This Row],[profissional_id]]&amp;Vagas[[#This Row],[local_id]]</f>
        <v>446512334</v>
      </c>
    </row>
    <row r="1995" spans="1:8" x14ac:dyDescent="0.25">
      <c r="A1995" s="2">
        <v>44651</v>
      </c>
      <c r="B1995">
        <v>2334</v>
      </c>
      <c r="C1995">
        <v>335</v>
      </c>
      <c r="D1995">
        <v>1</v>
      </c>
      <c r="E1995">
        <v>0</v>
      </c>
      <c r="F1995" s="1">
        <f t="shared" si="31"/>
        <v>0</v>
      </c>
      <c r="G1995" s="1" t="str">
        <f>_xlfn.XLOOKUP(C1995,'Ocupação DW'!$F:$F,'Ocupação DW'!$E:$E,"",0)</f>
        <v>SEG - FILIAL I</v>
      </c>
      <c r="H1995" t="str">
        <f>Vagas[[#This Row],[data]]&amp;Vagas[[#This Row],[profissional_id]]&amp;Vagas[[#This Row],[local_id]]</f>
        <v>446512334335</v>
      </c>
    </row>
    <row r="1996" spans="1:8" x14ac:dyDescent="0.25">
      <c r="A1996" s="2">
        <v>44651</v>
      </c>
      <c r="B1996">
        <v>2567</v>
      </c>
      <c r="C1996">
        <v>18</v>
      </c>
      <c r="D1996">
        <v>0</v>
      </c>
      <c r="E1996">
        <v>0</v>
      </c>
      <c r="F1996" s="1">
        <f t="shared" si="31"/>
        <v>0</v>
      </c>
      <c r="G1996" s="1" t="str">
        <f>_xlfn.XLOOKUP(C1996,'Ocupação DW'!$F:$F,'Ocupação DW'!$E:$E,"",0)</f>
        <v>SEG - FILIAL II 11°</v>
      </c>
      <c r="H1996" t="str">
        <f>Vagas[[#This Row],[data]]&amp;Vagas[[#This Row],[profissional_id]]&amp;Vagas[[#This Row],[local_id]]</f>
        <v>44651256718</v>
      </c>
    </row>
    <row r="1997" spans="1:8" x14ac:dyDescent="0.25">
      <c r="A1997" s="2">
        <v>44651</v>
      </c>
      <c r="B1997">
        <v>3092</v>
      </c>
      <c r="D1997">
        <v>13</v>
      </c>
      <c r="E1997">
        <v>0</v>
      </c>
      <c r="F1997" s="1">
        <f t="shared" si="31"/>
        <v>0</v>
      </c>
      <c r="G1997" s="1" t="str">
        <f>_xlfn.XLOOKUP(C1997,'Ocupação DW'!$F:$F,'Ocupação DW'!$E:$E,"",0)</f>
        <v/>
      </c>
      <c r="H1997" t="str">
        <f>Vagas[[#This Row],[data]]&amp;Vagas[[#This Row],[profissional_id]]&amp;Vagas[[#This Row],[local_id]]</f>
        <v>446513092</v>
      </c>
    </row>
    <row r="1998" spans="1:8" x14ac:dyDescent="0.25">
      <c r="A1998" s="2">
        <v>44651</v>
      </c>
      <c r="B1998">
        <v>3502</v>
      </c>
      <c r="D1998">
        <v>0</v>
      </c>
      <c r="E1998">
        <v>0</v>
      </c>
      <c r="F1998" s="1">
        <f t="shared" si="31"/>
        <v>0</v>
      </c>
      <c r="G1998" s="1" t="str">
        <f>_xlfn.XLOOKUP(C1998,'Ocupação DW'!$F:$F,'Ocupação DW'!$E:$E,"",0)</f>
        <v/>
      </c>
      <c r="H1998" t="str">
        <f>Vagas[[#This Row],[data]]&amp;Vagas[[#This Row],[profissional_id]]&amp;Vagas[[#This Row],[local_id]]</f>
        <v>446513502</v>
      </c>
    </row>
    <row r="1999" spans="1:8" x14ac:dyDescent="0.25">
      <c r="A1999" s="2">
        <v>44651</v>
      </c>
      <c r="B1999">
        <v>4422</v>
      </c>
      <c r="C1999">
        <v>343</v>
      </c>
      <c r="D1999">
        <v>60</v>
      </c>
      <c r="E1999">
        <v>0</v>
      </c>
      <c r="F1999" s="1">
        <f t="shared" si="31"/>
        <v>0</v>
      </c>
      <c r="G1999" s="1" t="str">
        <f>_xlfn.XLOOKUP(C1999,'Ocupação DW'!$F:$F,'Ocupação DW'!$E:$E,"",0)</f>
        <v/>
      </c>
      <c r="H1999" t="str">
        <f>Vagas[[#This Row],[data]]&amp;Vagas[[#This Row],[profissional_id]]&amp;Vagas[[#This Row],[local_id]]</f>
        <v>446514422343</v>
      </c>
    </row>
    <row r="2000" spans="1:8" x14ac:dyDescent="0.25">
      <c r="A2000" s="2">
        <v>44651</v>
      </c>
      <c r="B2000">
        <v>4814</v>
      </c>
      <c r="C2000">
        <v>14</v>
      </c>
      <c r="D2000">
        <v>0</v>
      </c>
      <c r="E2000">
        <v>0</v>
      </c>
      <c r="F2000" s="1">
        <f t="shared" si="31"/>
        <v>0</v>
      </c>
      <c r="G2000" s="1" t="str">
        <f>_xlfn.XLOOKUP(C2000,'Ocupação DW'!$F:$F,'Ocupação DW'!$E:$E,"",0)</f>
        <v>SEG - FILIAL II 11°</v>
      </c>
      <c r="H2000" t="str">
        <f>Vagas[[#This Row],[data]]&amp;Vagas[[#This Row],[profissional_id]]&amp;Vagas[[#This Row],[local_id]]</f>
        <v>44651481414</v>
      </c>
    </row>
    <row r="2001" spans="1:8" x14ac:dyDescent="0.25">
      <c r="A2001" s="2">
        <v>44651</v>
      </c>
      <c r="B2001">
        <v>5822</v>
      </c>
      <c r="C2001">
        <v>11</v>
      </c>
      <c r="D2001">
        <v>0</v>
      </c>
      <c r="E2001">
        <v>0</v>
      </c>
      <c r="F2001" s="1">
        <f t="shared" si="31"/>
        <v>0</v>
      </c>
      <c r="G2001" s="1" t="str">
        <f>_xlfn.XLOOKUP(C2001,'Ocupação DW'!$F:$F,'Ocupação DW'!$E:$E,"",0)</f>
        <v>SEG - FILIAL II 11°</v>
      </c>
      <c r="H2001" t="str">
        <f>Vagas[[#This Row],[data]]&amp;Vagas[[#This Row],[profissional_id]]&amp;Vagas[[#This Row],[local_id]]</f>
        <v>44651582211</v>
      </c>
    </row>
    <row r="2002" spans="1:8" x14ac:dyDescent="0.25">
      <c r="A2002" s="2">
        <v>44651</v>
      </c>
      <c r="B2002">
        <v>6046</v>
      </c>
      <c r="D2002">
        <v>13</v>
      </c>
      <c r="E2002">
        <v>0</v>
      </c>
      <c r="F2002" s="1">
        <f t="shared" si="31"/>
        <v>0</v>
      </c>
      <c r="G2002" s="1" t="str">
        <f>_xlfn.XLOOKUP(C2002,'Ocupação DW'!$F:$F,'Ocupação DW'!$E:$E,"",0)</f>
        <v/>
      </c>
      <c r="H2002" t="str">
        <f>Vagas[[#This Row],[data]]&amp;Vagas[[#This Row],[profissional_id]]&amp;Vagas[[#This Row],[local_id]]</f>
        <v>446516046</v>
      </c>
    </row>
    <row r="2003" spans="1:8" x14ac:dyDescent="0.25">
      <c r="A2003" s="2">
        <v>44651</v>
      </c>
      <c r="B2003">
        <v>6046</v>
      </c>
      <c r="C2003">
        <v>46</v>
      </c>
      <c r="D2003">
        <v>0</v>
      </c>
      <c r="E2003">
        <v>0</v>
      </c>
      <c r="F2003" s="1">
        <f t="shared" si="31"/>
        <v>13</v>
      </c>
      <c r="G2003" s="1" t="str">
        <f>_xlfn.XLOOKUP(C2003,'Ocupação DW'!$F:$F,'Ocupação DW'!$E:$E,"",0)</f>
        <v>SEG - FILIAL I</v>
      </c>
      <c r="H2003" t="str">
        <f>Vagas[[#This Row],[data]]&amp;Vagas[[#This Row],[profissional_id]]&amp;Vagas[[#This Row],[local_id]]</f>
        <v>44651604646</v>
      </c>
    </row>
    <row r="2004" spans="1:8" x14ac:dyDescent="0.25">
      <c r="A2004" s="2">
        <v>44651</v>
      </c>
      <c r="B2004">
        <v>6430</v>
      </c>
      <c r="D2004">
        <v>0</v>
      </c>
      <c r="E2004">
        <v>0</v>
      </c>
      <c r="F2004" s="1">
        <f t="shared" si="31"/>
        <v>0</v>
      </c>
      <c r="G2004" s="1" t="str">
        <f>_xlfn.XLOOKUP(C2004,'Ocupação DW'!$F:$F,'Ocupação DW'!$E:$E,"",0)</f>
        <v/>
      </c>
      <c r="H2004" t="str">
        <f>Vagas[[#This Row],[data]]&amp;Vagas[[#This Row],[profissional_id]]&amp;Vagas[[#This Row],[local_id]]</f>
        <v>446516430</v>
      </c>
    </row>
    <row r="2005" spans="1:8" x14ac:dyDescent="0.25">
      <c r="A2005" s="2">
        <v>44651</v>
      </c>
      <c r="B2005">
        <v>6839</v>
      </c>
      <c r="C2005">
        <v>60</v>
      </c>
      <c r="D2005">
        <v>60</v>
      </c>
      <c r="E2005">
        <v>0</v>
      </c>
      <c r="F2005" s="1">
        <f t="shared" si="31"/>
        <v>0</v>
      </c>
      <c r="G2005" s="1" t="str">
        <f>_xlfn.XLOOKUP(C2005,'Ocupação DW'!$F:$F,'Ocupação DW'!$E:$E,"",0)</f>
        <v>SEG - NILÓPOLIS</v>
      </c>
      <c r="H2005" t="str">
        <f>Vagas[[#This Row],[data]]&amp;Vagas[[#This Row],[profissional_id]]&amp;Vagas[[#This Row],[local_id]]</f>
        <v>44651683960</v>
      </c>
    </row>
    <row r="2006" spans="1:8" x14ac:dyDescent="0.25">
      <c r="A2006" s="2">
        <v>44651</v>
      </c>
      <c r="B2006">
        <v>6839</v>
      </c>
      <c r="C2006">
        <v>373</v>
      </c>
      <c r="D2006">
        <v>48</v>
      </c>
      <c r="E2006">
        <v>0</v>
      </c>
      <c r="F2006" s="1">
        <f t="shared" si="31"/>
        <v>0</v>
      </c>
      <c r="G2006" s="1" t="str">
        <f>_xlfn.XLOOKUP(C2006,'Ocupação DW'!$F:$F,'Ocupação DW'!$E:$E,"",0)</f>
        <v/>
      </c>
      <c r="H2006" t="str">
        <f>Vagas[[#This Row],[data]]&amp;Vagas[[#This Row],[profissional_id]]&amp;Vagas[[#This Row],[local_id]]</f>
        <v>446516839373</v>
      </c>
    </row>
    <row r="2007" spans="1:8" x14ac:dyDescent="0.25">
      <c r="A2007" s="2">
        <v>44651</v>
      </c>
      <c r="B2007">
        <v>8598</v>
      </c>
      <c r="D2007">
        <v>0</v>
      </c>
      <c r="E2007">
        <v>0</v>
      </c>
      <c r="F2007" s="1">
        <f t="shared" si="31"/>
        <v>0</v>
      </c>
      <c r="G2007" s="1" t="str">
        <f>_xlfn.XLOOKUP(C2007,'Ocupação DW'!$F:$F,'Ocupação DW'!$E:$E,"",0)</f>
        <v/>
      </c>
      <c r="H2007" t="str">
        <f>Vagas[[#This Row],[data]]&amp;Vagas[[#This Row],[profissional_id]]&amp;Vagas[[#This Row],[local_id]]</f>
        <v>446518598</v>
      </c>
    </row>
    <row r="2008" spans="1:8" x14ac:dyDescent="0.25">
      <c r="A2008" s="2">
        <v>44651</v>
      </c>
      <c r="B2008">
        <v>8598</v>
      </c>
      <c r="C2008">
        <v>3</v>
      </c>
      <c r="D2008">
        <v>0</v>
      </c>
      <c r="E2008">
        <v>0</v>
      </c>
      <c r="F2008" s="1">
        <f t="shared" si="31"/>
        <v>0</v>
      </c>
      <c r="G2008" s="1" t="str">
        <f>_xlfn.XLOOKUP(C2008,'Ocupação DW'!$F:$F,'Ocupação DW'!$E:$E,"",0)</f>
        <v>SEG - FILIAL II 10°</v>
      </c>
      <c r="H2008" t="str">
        <f>Vagas[[#This Row],[data]]&amp;Vagas[[#This Row],[profissional_id]]&amp;Vagas[[#This Row],[local_id]]</f>
        <v>4465185983</v>
      </c>
    </row>
    <row r="2009" spans="1:8" x14ac:dyDescent="0.25">
      <c r="A2009" s="2">
        <v>44651</v>
      </c>
      <c r="B2009">
        <v>9111</v>
      </c>
      <c r="D2009">
        <v>49</v>
      </c>
      <c r="E2009">
        <v>0</v>
      </c>
      <c r="F2009" s="1">
        <f t="shared" si="31"/>
        <v>0</v>
      </c>
      <c r="G2009" s="1" t="str">
        <f>_xlfn.XLOOKUP(C2009,'Ocupação DW'!$F:$F,'Ocupação DW'!$E:$E,"",0)</f>
        <v/>
      </c>
      <c r="H2009" t="str">
        <f>Vagas[[#This Row],[data]]&amp;Vagas[[#This Row],[profissional_id]]&amp;Vagas[[#This Row],[local_id]]</f>
        <v>446519111</v>
      </c>
    </row>
    <row r="2010" spans="1:8" x14ac:dyDescent="0.25">
      <c r="A2010" s="2">
        <v>44651</v>
      </c>
      <c r="B2010">
        <v>9111</v>
      </c>
      <c r="C2010">
        <v>334</v>
      </c>
      <c r="D2010">
        <v>0</v>
      </c>
      <c r="E2010">
        <v>0</v>
      </c>
      <c r="F2010" s="1">
        <f t="shared" si="31"/>
        <v>49</v>
      </c>
      <c r="G2010" s="1" t="str">
        <f>_xlfn.XLOOKUP(C2010,'Ocupação DW'!$F:$F,'Ocupação DW'!$E:$E,"",0)</f>
        <v>SEG - FILIAL I</v>
      </c>
      <c r="H2010" t="str">
        <f>Vagas[[#This Row],[data]]&amp;Vagas[[#This Row],[profissional_id]]&amp;Vagas[[#This Row],[local_id]]</f>
        <v>446519111334</v>
      </c>
    </row>
    <row r="2011" spans="1:8" x14ac:dyDescent="0.25">
      <c r="A2011" s="2">
        <v>44651</v>
      </c>
      <c r="B2011">
        <v>9207</v>
      </c>
      <c r="C2011">
        <v>346</v>
      </c>
      <c r="D2011">
        <v>108</v>
      </c>
      <c r="E2011">
        <v>0</v>
      </c>
      <c r="F2011" s="1">
        <f t="shared" si="31"/>
        <v>0</v>
      </c>
      <c r="G2011" s="1" t="str">
        <f>_xlfn.XLOOKUP(C2011,'Ocupação DW'!$F:$F,'Ocupação DW'!$E:$E,"",0)</f>
        <v>SEG - MATRIZ</v>
      </c>
      <c r="H2011" t="str">
        <f>Vagas[[#This Row],[data]]&amp;Vagas[[#This Row],[profissional_id]]&amp;Vagas[[#This Row],[local_id]]</f>
        <v>446519207346</v>
      </c>
    </row>
    <row r="2012" spans="1:8" x14ac:dyDescent="0.25">
      <c r="A2012" s="2">
        <v>44651</v>
      </c>
      <c r="B2012">
        <v>9217</v>
      </c>
      <c r="C2012">
        <v>6</v>
      </c>
      <c r="D2012">
        <v>23</v>
      </c>
      <c r="E2012">
        <v>0</v>
      </c>
      <c r="F2012" s="1">
        <f t="shared" si="31"/>
        <v>0</v>
      </c>
      <c r="G2012" s="1" t="str">
        <f>_xlfn.XLOOKUP(C2012,'Ocupação DW'!$F:$F,'Ocupação DW'!$E:$E,"",0)</f>
        <v>SEG - FILIAL II 10°</v>
      </c>
      <c r="H2012" t="str">
        <f>Vagas[[#This Row],[data]]&amp;Vagas[[#This Row],[profissional_id]]&amp;Vagas[[#This Row],[local_id]]</f>
        <v>4465192176</v>
      </c>
    </row>
    <row r="2013" spans="1:8" x14ac:dyDescent="0.25">
      <c r="A2013" s="2">
        <v>44651</v>
      </c>
      <c r="B2013">
        <v>9217</v>
      </c>
      <c r="C2013">
        <v>7</v>
      </c>
      <c r="D2013">
        <v>0</v>
      </c>
      <c r="E2013">
        <v>0</v>
      </c>
      <c r="F2013" s="1">
        <f t="shared" si="31"/>
        <v>23</v>
      </c>
      <c r="G2013" s="1" t="str">
        <f>_xlfn.XLOOKUP(C2013,'Ocupação DW'!$F:$F,'Ocupação DW'!$E:$E,"",0)</f>
        <v>SEG - FILIAL II 10°</v>
      </c>
      <c r="H2013" t="str">
        <f>Vagas[[#This Row],[data]]&amp;Vagas[[#This Row],[profissional_id]]&amp;Vagas[[#This Row],[local_id]]</f>
        <v>4465192177</v>
      </c>
    </row>
    <row r="2014" spans="1:8" x14ac:dyDescent="0.25">
      <c r="A2014" s="2">
        <v>44651</v>
      </c>
      <c r="B2014">
        <v>9717</v>
      </c>
      <c r="D2014">
        <v>0</v>
      </c>
      <c r="E2014">
        <v>0</v>
      </c>
      <c r="F2014" s="1">
        <f t="shared" si="31"/>
        <v>0</v>
      </c>
      <c r="G2014" s="1" t="str">
        <f>_xlfn.XLOOKUP(C2014,'Ocupação DW'!$F:$F,'Ocupação DW'!$E:$E,"",0)</f>
        <v/>
      </c>
      <c r="H2014" t="str">
        <f>Vagas[[#This Row],[data]]&amp;Vagas[[#This Row],[profissional_id]]&amp;Vagas[[#This Row],[local_id]]</f>
        <v>446519717</v>
      </c>
    </row>
    <row r="2015" spans="1:8" x14ac:dyDescent="0.25">
      <c r="A2015" s="2">
        <v>44651</v>
      </c>
      <c r="B2015">
        <v>10249</v>
      </c>
      <c r="D2015">
        <v>17</v>
      </c>
      <c r="E2015">
        <v>0</v>
      </c>
      <c r="F2015" s="1">
        <f t="shared" si="31"/>
        <v>0</v>
      </c>
      <c r="G2015" s="1" t="str">
        <f>_xlfn.XLOOKUP(C2015,'Ocupação DW'!$F:$F,'Ocupação DW'!$E:$E,"",0)</f>
        <v/>
      </c>
      <c r="H2015" t="str">
        <f>Vagas[[#This Row],[data]]&amp;Vagas[[#This Row],[profissional_id]]&amp;Vagas[[#This Row],[local_id]]</f>
        <v>4465110249</v>
      </c>
    </row>
    <row r="2016" spans="1:8" x14ac:dyDescent="0.25">
      <c r="A2016" s="2">
        <v>44651</v>
      </c>
      <c r="B2016">
        <v>10249</v>
      </c>
      <c r="C2016">
        <v>44</v>
      </c>
      <c r="D2016">
        <v>0</v>
      </c>
      <c r="E2016">
        <v>0</v>
      </c>
      <c r="F2016" s="1">
        <f t="shared" si="31"/>
        <v>17</v>
      </c>
      <c r="G2016" s="1" t="str">
        <f>_xlfn.XLOOKUP(C2016,'Ocupação DW'!$F:$F,'Ocupação DW'!$E:$E,"",0)</f>
        <v>SEG - FILIAL I</v>
      </c>
      <c r="H2016" t="str">
        <f>Vagas[[#This Row],[data]]&amp;Vagas[[#This Row],[profissional_id]]&amp;Vagas[[#This Row],[local_id]]</f>
        <v>446511024944</v>
      </c>
    </row>
    <row r="2017" spans="1:8" x14ac:dyDescent="0.25">
      <c r="A2017" s="2">
        <v>44651</v>
      </c>
      <c r="B2017">
        <v>10321</v>
      </c>
      <c r="C2017">
        <v>11</v>
      </c>
      <c r="D2017">
        <v>0</v>
      </c>
      <c r="E2017">
        <v>0</v>
      </c>
      <c r="F2017" s="1">
        <f t="shared" si="31"/>
        <v>0</v>
      </c>
      <c r="G2017" s="1" t="str">
        <f>_xlfn.XLOOKUP(C2017,'Ocupação DW'!$F:$F,'Ocupação DW'!$E:$E,"",0)</f>
        <v>SEG - FILIAL II 11°</v>
      </c>
      <c r="H2017" t="str">
        <f>Vagas[[#This Row],[data]]&amp;Vagas[[#This Row],[profissional_id]]&amp;Vagas[[#This Row],[local_id]]</f>
        <v>446511032111</v>
      </c>
    </row>
    <row r="2018" spans="1:8" x14ac:dyDescent="0.25">
      <c r="A2018" s="2">
        <v>44651</v>
      </c>
      <c r="B2018">
        <v>10595</v>
      </c>
      <c r="D2018">
        <v>0</v>
      </c>
      <c r="E2018">
        <v>0</v>
      </c>
      <c r="F2018" s="1">
        <f t="shared" si="31"/>
        <v>0</v>
      </c>
      <c r="G2018" s="1" t="str">
        <f>_xlfn.XLOOKUP(C2018,'Ocupação DW'!$F:$F,'Ocupação DW'!$E:$E,"",0)</f>
        <v/>
      </c>
      <c r="H2018" t="str">
        <f>Vagas[[#This Row],[data]]&amp;Vagas[[#This Row],[profissional_id]]&amp;Vagas[[#This Row],[local_id]]</f>
        <v>4465110595</v>
      </c>
    </row>
    <row r="2019" spans="1:8" x14ac:dyDescent="0.25">
      <c r="A2019" s="2">
        <v>44651</v>
      </c>
      <c r="B2019">
        <v>10691</v>
      </c>
      <c r="D2019">
        <v>30</v>
      </c>
      <c r="E2019">
        <v>0</v>
      </c>
      <c r="F2019" s="1">
        <f t="shared" si="31"/>
        <v>0</v>
      </c>
      <c r="G2019" s="1" t="str">
        <f>_xlfn.XLOOKUP(C2019,'Ocupação DW'!$F:$F,'Ocupação DW'!$E:$E,"",0)</f>
        <v/>
      </c>
      <c r="H2019" t="str">
        <f>Vagas[[#This Row],[data]]&amp;Vagas[[#This Row],[profissional_id]]&amp;Vagas[[#This Row],[local_id]]</f>
        <v>4465110691</v>
      </c>
    </row>
    <row r="2020" spans="1:8" x14ac:dyDescent="0.25">
      <c r="A2020" s="2">
        <v>44651</v>
      </c>
      <c r="B2020">
        <v>10946</v>
      </c>
      <c r="D2020">
        <v>0</v>
      </c>
      <c r="E2020">
        <v>0</v>
      </c>
      <c r="F2020" s="1">
        <f t="shared" si="31"/>
        <v>0</v>
      </c>
      <c r="G2020" s="1" t="str">
        <f>_xlfn.XLOOKUP(C2020,'Ocupação DW'!$F:$F,'Ocupação DW'!$E:$E,"",0)</f>
        <v/>
      </c>
      <c r="H2020" t="str">
        <f>Vagas[[#This Row],[data]]&amp;Vagas[[#This Row],[profissional_id]]&amp;Vagas[[#This Row],[local_id]]</f>
        <v>4465110946</v>
      </c>
    </row>
    <row r="2021" spans="1:8" x14ac:dyDescent="0.25">
      <c r="A2021" s="2">
        <v>44651</v>
      </c>
      <c r="B2021">
        <v>11207</v>
      </c>
      <c r="C2021">
        <v>51</v>
      </c>
      <c r="D2021">
        <v>0</v>
      </c>
      <c r="E2021">
        <v>0</v>
      </c>
      <c r="F2021" s="1">
        <f t="shared" si="31"/>
        <v>0</v>
      </c>
      <c r="G2021" s="1" t="str">
        <f>_xlfn.XLOOKUP(C2021,'Ocupação DW'!$F:$F,'Ocupação DW'!$E:$E,"",0)</f>
        <v>SEG - FILIAL I</v>
      </c>
      <c r="H2021" t="str">
        <f>Vagas[[#This Row],[data]]&amp;Vagas[[#This Row],[profissional_id]]&amp;Vagas[[#This Row],[local_id]]</f>
        <v>446511120751</v>
      </c>
    </row>
    <row r="2022" spans="1:8" x14ac:dyDescent="0.25">
      <c r="A2022" s="2">
        <v>44651</v>
      </c>
      <c r="B2022">
        <v>11242</v>
      </c>
      <c r="C2022">
        <v>79</v>
      </c>
      <c r="D2022">
        <v>120</v>
      </c>
      <c r="E2022">
        <v>0</v>
      </c>
      <c r="F2022" s="1">
        <f t="shared" si="31"/>
        <v>0</v>
      </c>
      <c r="G2022" s="1" t="str">
        <f>_xlfn.XLOOKUP(C2022,'Ocupação DW'!$F:$F,'Ocupação DW'!$E:$E,"",0)</f>
        <v/>
      </c>
      <c r="H2022" t="str">
        <f>Vagas[[#This Row],[data]]&amp;Vagas[[#This Row],[profissional_id]]&amp;Vagas[[#This Row],[local_id]]</f>
        <v>446511124279</v>
      </c>
    </row>
    <row r="2023" spans="1:8" x14ac:dyDescent="0.25">
      <c r="A2023" s="2">
        <v>44651</v>
      </c>
      <c r="B2023">
        <v>11312</v>
      </c>
      <c r="C2023">
        <v>340</v>
      </c>
      <c r="D2023">
        <v>0</v>
      </c>
      <c r="E2023">
        <v>0</v>
      </c>
      <c r="F2023" s="1">
        <f t="shared" si="31"/>
        <v>0</v>
      </c>
      <c r="G2023" s="1" t="str">
        <f>_xlfn.XLOOKUP(C2023,'Ocupação DW'!$F:$F,'Ocupação DW'!$E:$E,"",0)</f>
        <v>SEG - MATRIZ</v>
      </c>
      <c r="H2023" t="str">
        <f>Vagas[[#This Row],[data]]&amp;Vagas[[#This Row],[profissional_id]]&amp;Vagas[[#This Row],[local_id]]</f>
        <v>4465111312340</v>
      </c>
    </row>
    <row r="2024" spans="1:8" x14ac:dyDescent="0.25">
      <c r="A2024" s="2">
        <v>44651</v>
      </c>
      <c r="B2024">
        <v>11312</v>
      </c>
      <c r="C2024">
        <v>336</v>
      </c>
      <c r="D2024">
        <v>28</v>
      </c>
      <c r="E2024">
        <v>0</v>
      </c>
      <c r="F2024" s="1">
        <f t="shared" si="31"/>
        <v>0</v>
      </c>
      <c r="G2024" s="1" t="str">
        <f>_xlfn.XLOOKUP(C2024,'Ocupação DW'!$F:$F,'Ocupação DW'!$E:$E,"",0)</f>
        <v>SEG - FILIAL I</v>
      </c>
      <c r="H2024" t="str">
        <f>Vagas[[#This Row],[data]]&amp;Vagas[[#This Row],[profissional_id]]&amp;Vagas[[#This Row],[local_id]]</f>
        <v>4465111312336</v>
      </c>
    </row>
    <row r="2025" spans="1:8" x14ac:dyDescent="0.25">
      <c r="A2025" s="2">
        <v>44651</v>
      </c>
      <c r="B2025">
        <v>11634</v>
      </c>
      <c r="C2025">
        <v>339</v>
      </c>
      <c r="D2025">
        <v>120</v>
      </c>
      <c r="E2025">
        <v>0</v>
      </c>
      <c r="F2025" s="1">
        <f t="shared" si="31"/>
        <v>0</v>
      </c>
      <c r="G2025" s="1" t="str">
        <f>_xlfn.XLOOKUP(C2025,'Ocupação DW'!$F:$F,'Ocupação DW'!$E:$E,"",0)</f>
        <v>SEG - MATRIZ</v>
      </c>
      <c r="H2025" t="str">
        <f>Vagas[[#This Row],[data]]&amp;Vagas[[#This Row],[profissional_id]]&amp;Vagas[[#This Row],[local_id]]</f>
        <v>4465111634339</v>
      </c>
    </row>
    <row r="2026" spans="1:8" x14ac:dyDescent="0.25">
      <c r="A2026" s="2">
        <v>44651</v>
      </c>
      <c r="B2026">
        <v>12369</v>
      </c>
      <c r="D2026">
        <v>0</v>
      </c>
      <c r="E2026">
        <v>0</v>
      </c>
      <c r="F2026" s="1">
        <f t="shared" si="31"/>
        <v>0</v>
      </c>
      <c r="G2026" s="1" t="str">
        <f>_xlfn.XLOOKUP(C2026,'Ocupação DW'!$F:$F,'Ocupação DW'!$E:$E,"",0)</f>
        <v/>
      </c>
      <c r="H2026" t="str">
        <f>Vagas[[#This Row],[data]]&amp;Vagas[[#This Row],[profissional_id]]&amp;Vagas[[#This Row],[local_id]]</f>
        <v>4465112369</v>
      </c>
    </row>
    <row r="2027" spans="1:8" x14ac:dyDescent="0.25">
      <c r="A2027" s="2">
        <v>44651</v>
      </c>
      <c r="B2027">
        <v>12426</v>
      </c>
      <c r="C2027">
        <v>5</v>
      </c>
      <c r="D2027">
        <v>0</v>
      </c>
      <c r="E2027">
        <v>0</v>
      </c>
      <c r="F2027" s="1">
        <f t="shared" si="31"/>
        <v>0</v>
      </c>
      <c r="G2027" s="1" t="str">
        <f>_xlfn.XLOOKUP(C2027,'Ocupação DW'!$F:$F,'Ocupação DW'!$E:$E,"",0)</f>
        <v>SEG - FILIAL II 10°</v>
      </c>
      <c r="H2027" t="str">
        <f>Vagas[[#This Row],[data]]&amp;Vagas[[#This Row],[profissional_id]]&amp;Vagas[[#This Row],[local_id]]</f>
        <v>44651124265</v>
      </c>
    </row>
    <row r="2028" spans="1:8" x14ac:dyDescent="0.25">
      <c r="A2028" s="2">
        <v>44651</v>
      </c>
      <c r="B2028">
        <v>12482</v>
      </c>
      <c r="C2028">
        <v>345</v>
      </c>
      <c r="D2028">
        <v>60</v>
      </c>
      <c r="E2028">
        <v>0</v>
      </c>
      <c r="F2028" s="1">
        <f t="shared" si="31"/>
        <v>0</v>
      </c>
      <c r="G2028" s="1" t="str">
        <f>_xlfn.XLOOKUP(C2028,'Ocupação DW'!$F:$F,'Ocupação DW'!$E:$E,"",0)</f>
        <v>SEG - MATRIZ</v>
      </c>
      <c r="H2028" t="str">
        <f>Vagas[[#This Row],[data]]&amp;Vagas[[#This Row],[profissional_id]]&amp;Vagas[[#This Row],[local_id]]</f>
        <v>4465112482345</v>
      </c>
    </row>
    <row r="2029" spans="1:8" x14ac:dyDescent="0.25">
      <c r="A2029" s="2">
        <v>44651</v>
      </c>
      <c r="B2029">
        <v>12519</v>
      </c>
      <c r="D2029">
        <v>0</v>
      </c>
      <c r="E2029">
        <v>0</v>
      </c>
      <c r="F2029" s="1">
        <f t="shared" si="31"/>
        <v>0</v>
      </c>
      <c r="G2029" s="1" t="str">
        <f>_xlfn.XLOOKUP(C2029,'Ocupação DW'!$F:$F,'Ocupação DW'!$E:$E,"",0)</f>
        <v/>
      </c>
      <c r="H2029" t="str">
        <f>Vagas[[#This Row],[data]]&amp;Vagas[[#This Row],[profissional_id]]&amp;Vagas[[#This Row],[local_id]]</f>
        <v>4465112519</v>
      </c>
    </row>
    <row r="2030" spans="1:8" x14ac:dyDescent="0.25">
      <c r="A2030" s="2">
        <v>44651</v>
      </c>
      <c r="B2030">
        <v>12519</v>
      </c>
      <c r="C2030">
        <v>42</v>
      </c>
      <c r="D2030">
        <v>0</v>
      </c>
      <c r="E2030">
        <v>27</v>
      </c>
      <c r="F2030" s="1">
        <f t="shared" si="31"/>
        <v>0</v>
      </c>
      <c r="G2030" s="1" t="str">
        <f>_xlfn.XLOOKUP(C2030,'Ocupação DW'!$F:$F,'Ocupação DW'!$E:$E,"",0)</f>
        <v>SEG - FILIAL I</v>
      </c>
      <c r="H2030" t="str">
        <f>Vagas[[#This Row],[data]]&amp;Vagas[[#This Row],[profissional_id]]&amp;Vagas[[#This Row],[local_id]]</f>
        <v>446511251942</v>
      </c>
    </row>
    <row r="2031" spans="1:8" x14ac:dyDescent="0.25">
      <c r="A2031" s="2">
        <v>44651</v>
      </c>
      <c r="B2031">
        <v>12582</v>
      </c>
      <c r="C2031">
        <v>6</v>
      </c>
      <c r="D2031">
        <v>0</v>
      </c>
      <c r="E2031">
        <v>4</v>
      </c>
      <c r="F2031" s="1">
        <f t="shared" si="31"/>
        <v>0</v>
      </c>
      <c r="G2031" s="1" t="str">
        <f>_xlfn.XLOOKUP(C2031,'Ocupação DW'!$F:$F,'Ocupação DW'!$E:$E,"",0)</f>
        <v>SEG - FILIAL II 10°</v>
      </c>
      <c r="H2031" t="str">
        <f>Vagas[[#This Row],[data]]&amp;Vagas[[#This Row],[profissional_id]]&amp;Vagas[[#This Row],[local_id]]</f>
        <v>44651125826</v>
      </c>
    </row>
    <row r="2032" spans="1:8" x14ac:dyDescent="0.25">
      <c r="A2032" s="2">
        <v>44651</v>
      </c>
      <c r="B2032">
        <v>12582</v>
      </c>
      <c r="C2032">
        <v>15</v>
      </c>
      <c r="D2032">
        <v>0</v>
      </c>
      <c r="E2032">
        <v>4</v>
      </c>
      <c r="F2032" s="1">
        <f t="shared" si="31"/>
        <v>0</v>
      </c>
      <c r="G2032" s="1" t="str">
        <f>_xlfn.XLOOKUP(C2032,'Ocupação DW'!$F:$F,'Ocupação DW'!$E:$E,"",0)</f>
        <v>SEG - FILIAL II 11°</v>
      </c>
      <c r="H2032" t="str">
        <f>Vagas[[#This Row],[data]]&amp;Vagas[[#This Row],[profissional_id]]&amp;Vagas[[#This Row],[local_id]]</f>
        <v>446511258215</v>
      </c>
    </row>
    <row r="2033" spans="1:8" x14ac:dyDescent="0.25">
      <c r="A2033" s="2">
        <v>44651</v>
      </c>
      <c r="B2033">
        <v>12679</v>
      </c>
      <c r="D2033">
        <v>0</v>
      </c>
      <c r="E2033">
        <v>0</v>
      </c>
      <c r="F2033" s="1">
        <f t="shared" si="31"/>
        <v>0</v>
      </c>
      <c r="G2033" s="1" t="str">
        <f>_xlfn.XLOOKUP(C2033,'Ocupação DW'!$F:$F,'Ocupação DW'!$E:$E,"",0)</f>
        <v/>
      </c>
      <c r="H2033" t="str">
        <f>Vagas[[#This Row],[data]]&amp;Vagas[[#This Row],[profissional_id]]&amp;Vagas[[#This Row],[local_id]]</f>
        <v>4465112679</v>
      </c>
    </row>
    <row r="2034" spans="1:8" x14ac:dyDescent="0.25">
      <c r="A2034" s="2">
        <v>44651</v>
      </c>
      <c r="B2034">
        <v>12684</v>
      </c>
      <c r="D2034">
        <v>0</v>
      </c>
      <c r="E2034">
        <v>0</v>
      </c>
      <c r="F2034" s="1">
        <f t="shared" si="31"/>
        <v>0</v>
      </c>
      <c r="G2034" s="1" t="str">
        <f>_xlfn.XLOOKUP(C2034,'Ocupação DW'!$F:$F,'Ocupação DW'!$E:$E,"",0)</f>
        <v/>
      </c>
      <c r="H2034" t="str">
        <f>Vagas[[#This Row],[data]]&amp;Vagas[[#This Row],[profissional_id]]&amp;Vagas[[#This Row],[local_id]]</f>
        <v>4465112684</v>
      </c>
    </row>
    <row r="2035" spans="1:8" x14ac:dyDescent="0.25">
      <c r="A2035" s="2">
        <v>44651</v>
      </c>
      <c r="B2035">
        <v>12711</v>
      </c>
      <c r="D2035">
        <v>0</v>
      </c>
      <c r="E2035">
        <v>0</v>
      </c>
      <c r="F2035" s="1">
        <f t="shared" si="31"/>
        <v>0</v>
      </c>
      <c r="G2035" s="1" t="str">
        <f>_xlfn.XLOOKUP(C2035,'Ocupação DW'!$F:$F,'Ocupação DW'!$E:$E,"",0)</f>
        <v/>
      </c>
      <c r="H2035" t="str">
        <f>Vagas[[#This Row],[data]]&amp;Vagas[[#This Row],[profissional_id]]&amp;Vagas[[#This Row],[local_id]]</f>
        <v>4465112711</v>
      </c>
    </row>
    <row r="2036" spans="1:8" x14ac:dyDescent="0.25">
      <c r="A2036" s="2">
        <v>44651</v>
      </c>
      <c r="B2036">
        <v>12810</v>
      </c>
      <c r="D2036">
        <v>0</v>
      </c>
      <c r="E2036">
        <v>0</v>
      </c>
      <c r="F2036" s="1">
        <f t="shared" si="31"/>
        <v>0</v>
      </c>
      <c r="G2036" s="1" t="str">
        <f>_xlfn.XLOOKUP(C2036,'Ocupação DW'!$F:$F,'Ocupação DW'!$E:$E,"",0)</f>
        <v/>
      </c>
      <c r="H2036" t="str">
        <f>Vagas[[#This Row],[data]]&amp;Vagas[[#This Row],[profissional_id]]&amp;Vagas[[#This Row],[local_id]]</f>
        <v>4465112810</v>
      </c>
    </row>
    <row r="2037" spans="1:8" x14ac:dyDescent="0.25">
      <c r="A2037" s="2">
        <v>44651</v>
      </c>
      <c r="B2037">
        <v>12825</v>
      </c>
      <c r="D2037">
        <v>0</v>
      </c>
      <c r="E2037">
        <v>0</v>
      </c>
      <c r="F2037" s="1">
        <f t="shared" si="31"/>
        <v>0</v>
      </c>
      <c r="G2037" s="1" t="str">
        <f>_xlfn.XLOOKUP(C2037,'Ocupação DW'!$F:$F,'Ocupação DW'!$E:$E,"",0)</f>
        <v/>
      </c>
      <c r="H2037" t="str">
        <f>Vagas[[#This Row],[data]]&amp;Vagas[[#This Row],[profissional_id]]&amp;Vagas[[#This Row],[local_id]]</f>
        <v>4465112825</v>
      </c>
    </row>
    <row r="2038" spans="1:8" x14ac:dyDescent="0.25">
      <c r="A2038" s="2">
        <v>44651</v>
      </c>
      <c r="B2038">
        <v>13371</v>
      </c>
      <c r="D2038">
        <v>0</v>
      </c>
      <c r="E2038">
        <v>0</v>
      </c>
      <c r="F2038" s="1">
        <f t="shared" si="31"/>
        <v>0</v>
      </c>
      <c r="G2038" s="1" t="str">
        <f>_xlfn.XLOOKUP(C2038,'Ocupação DW'!$F:$F,'Ocupação DW'!$E:$E,"",0)</f>
        <v/>
      </c>
      <c r="H2038" t="str">
        <f>Vagas[[#This Row],[data]]&amp;Vagas[[#This Row],[profissional_id]]&amp;Vagas[[#This Row],[local_id]]</f>
        <v>4465113371</v>
      </c>
    </row>
    <row r="2039" spans="1:8" x14ac:dyDescent="0.25">
      <c r="A2039" s="2">
        <v>44651</v>
      </c>
      <c r="B2039">
        <v>13479</v>
      </c>
      <c r="D2039">
        <v>13</v>
      </c>
      <c r="E2039">
        <v>0</v>
      </c>
      <c r="F2039" s="1">
        <f t="shared" si="31"/>
        <v>0</v>
      </c>
      <c r="G2039" s="1" t="str">
        <f>_xlfn.XLOOKUP(C2039,'Ocupação DW'!$F:$F,'Ocupação DW'!$E:$E,"",0)</f>
        <v/>
      </c>
      <c r="H2039" t="str">
        <f>Vagas[[#This Row],[data]]&amp;Vagas[[#This Row],[profissional_id]]&amp;Vagas[[#This Row],[local_id]]</f>
        <v>4465113479</v>
      </c>
    </row>
    <row r="2040" spans="1:8" x14ac:dyDescent="0.25">
      <c r="A2040" s="2">
        <v>44651</v>
      </c>
      <c r="B2040">
        <v>13487</v>
      </c>
      <c r="C2040">
        <v>61</v>
      </c>
      <c r="D2040">
        <v>120</v>
      </c>
      <c r="E2040">
        <v>0</v>
      </c>
      <c r="F2040" s="1">
        <f t="shared" si="31"/>
        <v>0</v>
      </c>
      <c r="G2040" s="1" t="str">
        <f>_xlfn.XLOOKUP(C2040,'Ocupação DW'!$F:$F,'Ocupação DW'!$E:$E,"",0)</f>
        <v/>
      </c>
      <c r="H2040" t="str">
        <f>Vagas[[#This Row],[data]]&amp;Vagas[[#This Row],[profissional_id]]&amp;Vagas[[#This Row],[local_id]]</f>
        <v>446511348761</v>
      </c>
    </row>
    <row r="2041" spans="1:8" x14ac:dyDescent="0.25">
      <c r="A2041" s="2">
        <v>44651</v>
      </c>
      <c r="B2041">
        <v>13645</v>
      </c>
      <c r="D2041">
        <v>0</v>
      </c>
      <c r="E2041">
        <v>0</v>
      </c>
      <c r="F2041" s="1">
        <f t="shared" si="31"/>
        <v>0</v>
      </c>
      <c r="G2041" s="1" t="str">
        <f>_xlfn.XLOOKUP(C2041,'Ocupação DW'!$F:$F,'Ocupação DW'!$E:$E,"",0)</f>
        <v/>
      </c>
      <c r="H2041" t="str">
        <f>Vagas[[#This Row],[data]]&amp;Vagas[[#This Row],[profissional_id]]&amp;Vagas[[#This Row],[local_id]]</f>
        <v>4465113645</v>
      </c>
    </row>
    <row r="2042" spans="1:8" x14ac:dyDescent="0.25">
      <c r="A2042" s="2">
        <v>44651</v>
      </c>
      <c r="B2042">
        <v>13660</v>
      </c>
      <c r="C2042">
        <v>341</v>
      </c>
      <c r="D2042">
        <v>108</v>
      </c>
      <c r="E2042">
        <v>0</v>
      </c>
      <c r="F2042" s="1">
        <f t="shared" si="31"/>
        <v>0</v>
      </c>
      <c r="G2042" s="1" t="str">
        <f>_xlfn.XLOOKUP(C2042,'Ocupação DW'!$F:$F,'Ocupação DW'!$E:$E,"",0)</f>
        <v/>
      </c>
      <c r="H2042" t="str">
        <f>Vagas[[#This Row],[data]]&amp;Vagas[[#This Row],[profissional_id]]&amp;Vagas[[#This Row],[local_id]]</f>
        <v>4465113660341</v>
      </c>
    </row>
    <row r="2043" spans="1:8" x14ac:dyDescent="0.25">
      <c r="A2043" s="2">
        <v>44651</v>
      </c>
      <c r="B2043">
        <v>13835</v>
      </c>
      <c r="D2043">
        <v>0</v>
      </c>
      <c r="E2043">
        <v>0</v>
      </c>
      <c r="F2043" s="1">
        <f t="shared" si="31"/>
        <v>0</v>
      </c>
      <c r="G2043" s="1" t="str">
        <f>_xlfn.XLOOKUP(C2043,'Ocupação DW'!$F:$F,'Ocupação DW'!$E:$E,"",0)</f>
        <v/>
      </c>
      <c r="H2043" t="str">
        <f>Vagas[[#This Row],[data]]&amp;Vagas[[#This Row],[profissional_id]]&amp;Vagas[[#This Row],[local_id]]</f>
        <v>4465113835</v>
      </c>
    </row>
    <row r="2044" spans="1:8" x14ac:dyDescent="0.25">
      <c r="A2044" s="2">
        <v>44651</v>
      </c>
      <c r="B2044">
        <v>14410</v>
      </c>
      <c r="C2044">
        <v>369</v>
      </c>
      <c r="D2044">
        <v>120</v>
      </c>
      <c r="E2044">
        <v>0</v>
      </c>
      <c r="F2044" s="1">
        <f t="shared" si="31"/>
        <v>0</v>
      </c>
      <c r="G2044" s="1" t="str">
        <f>_xlfn.XLOOKUP(C2044,'Ocupação DW'!$F:$F,'Ocupação DW'!$E:$E,"",0)</f>
        <v/>
      </c>
      <c r="H2044" t="str">
        <f>Vagas[[#This Row],[data]]&amp;Vagas[[#This Row],[profissional_id]]&amp;Vagas[[#This Row],[local_id]]</f>
        <v>4465114410369</v>
      </c>
    </row>
    <row r="2045" spans="1:8" x14ac:dyDescent="0.25">
      <c r="A2045" s="2">
        <v>44651</v>
      </c>
      <c r="B2045">
        <v>14452</v>
      </c>
      <c r="D2045">
        <v>0</v>
      </c>
      <c r="E2045">
        <v>0</v>
      </c>
      <c r="F2045" s="1">
        <f t="shared" si="31"/>
        <v>0</v>
      </c>
      <c r="G2045" s="1" t="str">
        <f>_xlfn.XLOOKUP(C2045,'Ocupação DW'!$F:$F,'Ocupação DW'!$E:$E,"",0)</f>
        <v/>
      </c>
      <c r="H2045" t="str">
        <f>Vagas[[#This Row],[data]]&amp;Vagas[[#This Row],[profissional_id]]&amp;Vagas[[#This Row],[local_id]]</f>
        <v>4465114452</v>
      </c>
    </row>
    <row r="2046" spans="1:8" x14ac:dyDescent="0.25">
      <c r="A2046" s="2">
        <v>44651</v>
      </c>
      <c r="B2046">
        <v>17059</v>
      </c>
      <c r="D2046">
        <v>0</v>
      </c>
      <c r="E2046">
        <v>0</v>
      </c>
      <c r="F2046" s="1">
        <f t="shared" si="31"/>
        <v>0</v>
      </c>
      <c r="G2046" s="1" t="str">
        <f>_xlfn.XLOOKUP(C2046,'Ocupação DW'!$F:$F,'Ocupação DW'!$E:$E,"",0)</f>
        <v/>
      </c>
      <c r="H2046" t="str">
        <f>Vagas[[#This Row],[data]]&amp;Vagas[[#This Row],[profissional_id]]&amp;Vagas[[#This Row],[local_id]]</f>
        <v>4465117059</v>
      </c>
    </row>
    <row r="2047" spans="1:8" x14ac:dyDescent="0.25">
      <c r="A2047" s="2">
        <v>44651</v>
      </c>
      <c r="B2047">
        <v>17742</v>
      </c>
      <c r="D2047">
        <v>0</v>
      </c>
      <c r="E2047">
        <v>0</v>
      </c>
      <c r="F2047" s="1">
        <f t="shared" si="31"/>
        <v>0</v>
      </c>
      <c r="G2047" s="1" t="str">
        <f>_xlfn.XLOOKUP(C2047,'Ocupação DW'!$F:$F,'Ocupação DW'!$E:$E,"",0)</f>
        <v/>
      </c>
      <c r="H2047" t="str">
        <f>Vagas[[#This Row],[data]]&amp;Vagas[[#This Row],[profissional_id]]&amp;Vagas[[#This Row],[local_id]]</f>
        <v>4465117742</v>
      </c>
    </row>
    <row r="2048" spans="1:8" x14ac:dyDescent="0.25">
      <c r="A2048" s="2">
        <v>44651</v>
      </c>
      <c r="B2048">
        <v>17858</v>
      </c>
      <c r="D2048">
        <v>15</v>
      </c>
      <c r="E2048">
        <v>0</v>
      </c>
      <c r="F2048" s="1">
        <f t="shared" si="31"/>
        <v>0</v>
      </c>
      <c r="G2048" s="1" t="str">
        <f>_xlfn.XLOOKUP(C2048,'Ocupação DW'!$F:$F,'Ocupação DW'!$E:$E,"",0)</f>
        <v/>
      </c>
      <c r="H2048" t="str">
        <f>Vagas[[#This Row],[data]]&amp;Vagas[[#This Row],[profissional_id]]&amp;Vagas[[#This Row],[local_id]]</f>
        <v>4465117858</v>
      </c>
    </row>
    <row r="2049" spans="1:8" x14ac:dyDescent="0.25">
      <c r="A2049" s="2">
        <v>44651</v>
      </c>
      <c r="B2049">
        <v>17858</v>
      </c>
      <c r="C2049">
        <v>12</v>
      </c>
      <c r="D2049">
        <v>0</v>
      </c>
      <c r="E2049">
        <v>0</v>
      </c>
      <c r="F2049" s="1">
        <f t="shared" si="31"/>
        <v>15</v>
      </c>
      <c r="G2049" s="1" t="str">
        <f>_xlfn.XLOOKUP(C2049,'Ocupação DW'!$F:$F,'Ocupação DW'!$E:$E,"",0)</f>
        <v>SEG - FILIAL II 11°</v>
      </c>
      <c r="H2049" t="str">
        <f>Vagas[[#This Row],[data]]&amp;Vagas[[#This Row],[profissional_id]]&amp;Vagas[[#This Row],[local_id]]</f>
        <v>446511785812</v>
      </c>
    </row>
    <row r="2050" spans="1:8" x14ac:dyDescent="0.25">
      <c r="A2050" s="2">
        <v>44651</v>
      </c>
      <c r="B2050">
        <v>17871</v>
      </c>
      <c r="D2050">
        <v>0</v>
      </c>
      <c r="E2050">
        <v>0</v>
      </c>
      <c r="F2050" s="1">
        <f t="shared" ref="F2050:F2113" si="32">IF(AND(A2050=A2049,B2050=B2049,D2049&lt;&gt;0,D2050=0),D2049,0)</f>
        <v>0</v>
      </c>
      <c r="G2050" s="1" t="str">
        <f>_xlfn.XLOOKUP(C2050,'Ocupação DW'!$F:$F,'Ocupação DW'!$E:$E,"",0)</f>
        <v/>
      </c>
      <c r="H2050" t="str">
        <f>Vagas[[#This Row],[data]]&amp;Vagas[[#This Row],[profissional_id]]&amp;Vagas[[#This Row],[local_id]]</f>
        <v>4465117871</v>
      </c>
    </row>
    <row r="2051" spans="1:8" x14ac:dyDescent="0.25">
      <c r="A2051" s="2">
        <v>44651</v>
      </c>
      <c r="B2051">
        <v>17874</v>
      </c>
      <c r="D2051">
        <v>0</v>
      </c>
      <c r="E2051">
        <v>0</v>
      </c>
      <c r="F2051" s="1">
        <f t="shared" si="32"/>
        <v>0</v>
      </c>
      <c r="G2051" s="1" t="str">
        <f>_xlfn.XLOOKUP(C2051,'Ocupação DW'!$F:$F,'Ocupação DW'!$E:$E,"",0)</f>
        <v/>
      </c>
      <c r="H2051" t="str">
        <f>Vagas[[#This Row],[data]]&amp;Vagas[[#This Row],[profissional_id]]&amp;Vagas[[#This Row],[local_id]]</f>
        <v>4465117874</v>
      </c>
    </row>
    <row r="2052" spans="1:8" x14ac:dyDescent="0.25">
      <c r="A2052" s="2">
        <v>44651</v>
      </c>
      <c r="B2052">
        <v>17883</v>
      </c>
      <c r="D2052">
        <v>11</v>
      </c>
      <c r="E2052">
        <v>0</v>
      </c>
      <c r="F2052" s="1">
        <f t="shared" si="32"/>
        <v>0</v>
      </c>
      <c r="G2052" s="1" t="str">
        <f>_xlfn.XLOOKUP(C2052,'Ocupação DW'!$F:$F,'Ocupação DW'!$E:$E,"",0)</f>
        <v/>
      </c>
      <c r="H2052" t="str">
        <f>Vagas[[#This Row],[data]]&amp;Vagas[[#This Row],[profissional_id]]&amp;Vagas[[#This Row],[local_id]]</f>
        <v>4465117883</v>
      </c>
    </row>
    <row r="2053" spans="1:8" x14ac:dyDescent="0.25">
      <c r="A2053" s="2">
        <v>44651</v>
      </c>
      <c r="B2053">
        <v>17885</v>
      </c>
      <c r="D2053">
        <v>0</v>
      </c>
      <c r="E2053">
        <v>0</v>
      </c>
      <c r="F2053" s="1">
        <f t="shared" si="32"/>
        <v>0</v>
      </c>
      <c r="G2053" s="1" t="str">
        <f>_xlfn.XLOOKUP(C2053,'Ocupação DW'!$F:$F,'Ocupação DW'!$E:$E,"",0)</f>
        <v/>
      </c>
      <c r="H2053" t="str">
        <f>Vagas[[#This Row],[data]]&amp;Vagas[[#This Row],[profissional_id]]&amp;Vagas[[#This Row],[local_id]]</f>
        <v>4465117885</v>
      </c>
    </row>
    <row r="2054" spans="1:8" x14ac:dyDescent="0.25">
      <c r="A2054" s="2">
        <v>44651</v>
      </c>
      <c r="B2054">
        <v>17885</v>
      </c>
      <c r="C2054">
        <v>23</v>
      </c>
      <c r="D2054">
        <v>61</v>
      </c>
      <c r="E2054">
        <v>0</v>
      </c>
      <c r="F2054" s="1">
        <f t="shared" si="32"/>
        <v>0</v>
      </c>
      <c r="G2054" s="1" t="str">
        <f>_xlfn.XLOOKUP(C2054,'Ocupação DW'!$F:$F,'Ocupação DW'!$E:$E,"",0)</f>
        <v/>
      </c>
      <c r="H2054" t="str">
        <f>Vagas[[#This Row],[data]]&amp;Vagas[[#This Row],[profissional_id]]&amp;Vagas[[#This Row],[local_id]]</f>
        <v>446511788523</v>
      </c>
    </row>
    <row r="2055" spans="1:8" x14ac:dyDescent="0.25">
      <c r="A2055" s="2">
        <v>44651</v>
      </c>
      <c r="B2055">
        <v>17892</v>
      </c>
      <c r="D2055">
        <v>0</v>
      </c>
      <c r="E2055">
        <v>0</v>
      </c>
      <c r="F2055" s="1">
        <f t="shared" si="32"/>
        <v>0</v>
      </c>
      <c r="G2055" s="1" t="str">
        <f>_xlfn.XLOOKUP(C2055,'Ocupação DW'!$F:$F,'Ocupação DW'!$E:$E,"",0)</f>
        <v/>
      </c>
      <c r="H2055" t="str">
        <f>Vagas[[#This Row],[data]]&amp;Vagas[[#This Row],[profissional_id]]&amp;Vagas[[#This Row],[local_id]]</f>
        <v>4465117892</v>
      </c>
    </row>
    <row r="2056" spans="1:8" x14ac:dyDescent="0.25">
      <c r="A2056" s="2">
        <v>44651</v>
      </c>
      <c r="B2056">
        <v>17903</v>
      </c>
      <c r="D2056">
        <v>0</v>
      </c>
      <c r="E2056">
        <v>0</v>
      </c>
      <c r="F2056" s="1">
        <f t="shared" si="32"/>
        <v>0</v>
      </c>
      <c r="G2056" s="1" t="str">
        <f>_xlfn.XLOOKUP(C2056,'Ocupação DW'!$F:$F,'Ocupação DW'!$E:$E,"",0)</f>
        <v/>
      </c>
      <c r="H2056" t="str">
        <f>Vagas[[#This Row],[data]]&amp;Vagas[[#This Row],[profissional_id]]&amp;Vagas[[#This Row],[local_id]]</f>
        <v>4465117903</v>
      </c>
    </row>
    <row r="2057" spans="1:8" x14ac:dyDescent="0.25">
      <c r="A2057" s="2">
        <v>44651</v>
      </c>
      <c r="B2057">
        <v>17904</v>
      </c>
      <c r="D2057">
        <v>0</v>
      </c>
      <c r="E2057">
        <v>0</v>
      </c>
      <c r="F2057" s="1">
        <f t="shared" si="32"/>
        <v>0</v>
      </c>
      <c r="G2057" s="1" t="str">
        <f>_xlfn.XLOOKUP(C2057,'Ocupação DW'!$F:$F,'Ocupação DW'!$E:$E,"",0)</f>
        <v/>
      </c>
      <c r="H2057" t="str">
        <f>Vagas[[#This Row],[data]]&amp;Vagas[[#This Row],[profissional_id]]&amp;Vagas[[#This Row],[local_id]]</f>
        <v>4465117904</v>
      </c>
    </row>
    <row r="2058" spans="1:8" x14ac:dyDescent="0.25">
      <c r="A2058" s="2">
        <v>44651</v>
      </c>
      <c r="B2058">
        <v>17909</v>
      </c>
      <c r="C2058">
        <v>4</v>
      </c>
      <c r="D2058">
        <v>0</v>
      </c>
      <c r="E2058">
        <v>0</v>
      </c>
      <c r="F2058" s="1">
        <f t="shared" si="32"/>
        <v>0</v>
      </c>
      <c r="G2058" s="1" t="str">
        <f>_xlfn.XLOOKUP(C2058,'Ocupação DW'!$F:$F,'Ocupação DW'!$E:$E,"",0)</f>
        <v>SEG - FILIAL II 10°</v>
      </c>
      <c r="H2058" t="str">
        <f>Vagas[[#This Row],[data]]&amp;Vagas[[#This Row],[profissional_id]]&amp;Vagas[[#This Row],[local_id]]</f>
        <v>44651179094</v>
      </c>
    </row>
    <row r="2059" spans="1:8" x14ac:dyDescent="0.25">
      <c r="A2059" s="2">
        <v>44651</v>
      </c>
      <c r="B2059">
        <v>17922</v>
      </c>
      <c r="D2059">
        <v>133</v>
      </c>
      <c r="E2059">
        <v>0</v>
      </c>
      <c r="F2059" s="1">
        <f t="shared" si="32"/>
        <v>0</v>
      </c>
      <c r="G2059" s="1" t="str">
        <f>_xlfn.XLOOKUP(C2059,'Ocupação DW'!$F:$F,'Ocupação DW'!$E:$E,"",0)</f>
        <v/>
      </c>
      <c r="H2059" t="str">
        <f>Vagas[[#This Row],[data]]&amp;Vagas[[#This Row],[profissional_id]]&amp;Vagas[[#This Row],[local_id]]</f>
        <v>4465117922</v>
      </c>
    </row>
    <row r="2060" spans="1:8" x14ac:dyDescent="0.25">
      <c r="A2060" s="2">
        <v>44651</v>
      </c>
      <c r="B2060">
        <v>17928</v>
      </c>
      <c r="C2060">
        <v>51</v>
      </c>
      <c r="D2060">
        <v>24</v>
      </c>
      <c r="E2060">
        <v>4</v>
      </c>
      <c r="F2060" s="1">
        <f t="shared" si="32"/>
        <v>0</v>
      </c>
      <c r="G2060" s="1" t="str">
        <f>_xlfn.XLOOKUP(C2060,'Ocupação DW'!$F:$F,'Ocupação DW'!$E:$E,"",0)</f>
        <v>SEG - FILIAL I</v>
      </c>
      <c r="H2060" t="str">
        <f>Vagas[[#This Row],[data]]&amp;Vagas[[#This Row],[profissional_id]]&amp;Vagas[[#This Row],[local_id]]</f>
        <v>446511792851</v>
      </c>
    </row>
    <row r="2061" spans="1:8" x14ac:dyDescent="0.25">
      <c r="A2061" s="2">
        <v>44651</v>
      </c>
      <c r="D2061">
        <v>0</v>
      </c>
      <c r="E2061">
        <v>0</v>
      </c>
      <c r="F2061" s="1">
        <f t="shared" si="32"/>
        <v>0</v>
      </c>
      <c r="G2061" s="1" t="str">
        <f>_xlfn.XLOOKUP(C2061,'Ocupação DW'!$F:$F,'Ocupação DW'!$E:$E,"",0)</f>
        <v/>
      </c>
      <c r="H2061" t="str">
        <f>Vagas[[#This Row],[data]]&amp;Vagas[[#This Row],[profissional_id]]&amp;Vagas[[#This Row],[local_id]]</f>
        <v>44651</v>
      </c>
    </row>
    <row r="2062" spans="1:8" x14ac:dyDescent="0.25">
      <c r="A2062" s="2">
        <v>44651</v>
      </c>
      <c r="D2062">
        <v>0</v>
      </c>
      <c r="E2062">
        <v>0</v>
      </c>
      <c r="F2062" s="1">
        <f t="shared" si="32"/>
        <v>0</v>
      </c>
      <c r="G2062" s="1" t="str">
        <f>_xlfn.XLOOKUP(C2062,'Ocupação DW'!$F:$F,'Ocupação DW'!$E:$E,"",0)</f>
        <v/>
      </c>
      <c r="H2062" t="str">
        <f>Vagas[[#This Row],[data]]&amp;Vagas[[#This Row],[profissional_id]]&amp;Vagas[[#This Row],[local_id]]</f>
        <v>44651</v>
      </c>
    </row>
    <row r="2063" spans="1:8" x14ac:dyDescent="0.25">
      <c r="A2063" s="2">
        <v>44651</v>
      </c>
      <c r="D2063">
        <v>0</v>
      </c>
      <c r="E2063">
        <v>0</v>
      </c>
      <c r="F2063" s="1">
        <f t="shared" si="32"/>
        <v>0</v>
      </c>
      <c r="G2063" s="1" t="str">
        <f>_xlfn.XLOOKUP(C2063,'Ocupação DW'!$F:$F,'Ocupação DW'!$E:$E,"",0)</f>
        <v/>
      </c>
      <c r="H2063" t="str">
        <f>Vagas[[#This Row],[data]]&amp;Vagas[[#This Row],[profissional_id]]&amp;Vagas[[#This Row],[local_id]]</f>
        <v>44651</v>
      </c>
    </row>
    <row r="2064" spans="1:8" x14ac:dyDescent="0.25">
      <c r="A2064" s="2">
        <v>44652</v>
      </c>
      <c r="B2064">
        <v>54</v>
      </c>
      <c r="C2064">
        <v>50</v>
      </c>
      <c r="D2064">
        <v>22</v>
      </c>
      <c r="E2064">
        <v>0</v>
      </c>
      <c r="F2064" s="1">
        <f t="shared" si="32"/>
        <v>0</v>
      </c>
      <c r="G2064" s="1" t="str">
        <f>_xlfn.XLOOKUP(C2064,'Ocupação DW'!$F:$F,'Ocupação DW'!$E:$E,"",0)</f>
        <v>SEG - FILIAL I</v>
      </c>
      <c r="H2064" t="str">
        <f>Vagas[[#This Row],[data]]&amp;Vagas[[#This Row],[profissional_id]]&amp;Vagas[[#This Row],[local_id]]</f>
        <v>446525450</v>
      </c>
    </row>
    <row r="2065" spans="1:8" x14ac:dyDescent="0.25">
      <c r="A2065" s="2">
        <v>44652</v>
      </c>
      <c r="B2065">
        <v>55</v>
      </c>
      <c r="C2065">
        <v>68</v>
      </c>
      <c r="D2065">
        <v>0</v>
      </c>
      <c r="E2065">
        <v>0</v>
      </c>
      <c r="F2065" s="1">
        <f t="shared" si="32"/>
        <v>0</v>
      </c>
      <c r="G2065" s="1" t="str">
        <f>_xlfn.XLOOKUP(C2065,'Ocupação DW'!$F:$F,'Ocupação DW'!$E:$E,"",0)</f>
        <v>SEG - NILÓPOLIS</v>
      </c>
      <c r="H2065" t="str">
        <f>Vagas[[#This Row],[data]]&amp;Vagas[[#This Row],[profissional_id]]&amp;Vagas[[#This Row],[local_id]]</f>
        <v>446525568</v>
      </c>
    </row>
    <row r="2066" spans="1:8" x14ac:dyDescent="0.25">
      <c r="A2066" s="2">
        <v>44652</v>
      </c>
      <c r="B2066">
        <v>57</v>
      </c>
      <c r="C2066">
        <v>8</v>
      </c>
      <c r="D2066">
        <v>0</v>
      </c>
      <c r="E2066">
        <v>0</v>
      </c>
      <c r="F2066" s="1">
        <f t="shared" si="32"/>
        <v>0</v>
      </c>
      <c r="G2066" s="1" t="str">
        <f>_xlfn.XLOOKUP(C2066,'Ocupação DW'!$F:$F,'Ocupação DW'!$E:$E,"",0)</f>
        <v>SEG - FILIAL II 10°</v>
      </c>
      <c r="H2066" t="str">
        <f>Vagas[[#This Row],[data]]&amp;Vagas[[#This Row],[profissional_id]]&amp;Vagas[[#This Row],[local_id]]</f>
        <v>44652578</v>
      </c>
    </row>
    <row r="2067" spans="1:8" x14ac:dyDescent="0.25">
      <c r="A2067" s="2">
        <v>44652</v>
      </c>
      <c r="B2067">
        <v>57</v>
      </c>
      <c r="C2067">
        <v>2</v>
      </c>
      <c r="D2067">
        <v>21</v>
      </c>
      <c r="E2067">
        <v>0</v>
      </c>
      <c r="F2067" s="1">
        <f t="shared" si="32"/>
        <v>0</v>
      </c>
      <c r="G2067" s="1" t="str">
        <f>_xlfn.XLOOKUP(C2067,'Ocupação DW'!$F:$F,'Ocupação DW'!$E:$E,"",0)</f>
        <v>SEG - FILIAL II 10°</v>
      </c>
      <c r="H2067" t="str">
        <f>Vagas[[#This Row],[data]]&amp;Vagas[[#This Row],[profissional_id]]&amp;Vagas[[#This Row],[local_id]]</f>
        <v>44652572</v>
      </c>
    </row>
    <row r="2068" spans="1:8" x14ac:dyDescent="0.25">
      <c r="A2068" s="2">
        <v>44652</v>
      </c>
      <c r="B2068">
        <v>59</v>
      </c>
      <c r="C2068">
        <v>7</v>
      </c>
      <c r="D2068">
        <v>13</v>
      </c>
      <c r="E2068">
        <v>0</v>
      </c>
      <c r="F2068" s="1">
        <f t="shared" si="32"/>
        <v>0</v>
      </c>
      <c r="G2068" s="1" t="str">
        <f>_xlfn.XLOOKUP(C2068,'Ocupação DW'!$F:$F,'Ocupação DW'!$E:$E,"",0)</f>
        <v>SEG - FILIAL II 10°</v>
      </c>
      <c r="H2068" t="str">
        <f>Vagas[[#This Row],[data]]&amp;Vagas[[#This Row],[profissional_id]]&amp;Vagas[[#This Row],[local_id]]</f>
        <v>44652597</v>
      </c>
    </row>
    <row r="2069" spans="1:8" x14ac:dyDescent="0.25">
      <c r="A2069" s="2">
        <v>44652</v>
      </c>
      <c r="B2069">
        <v>59</v>
      </c>
      <c r="C2069">
        <v>60</v>
      </c>
      <c r="D2069">
        <v>11</v>
      </c>
      <c r="E2069">
        <v>0</v>
      </c>
      <c r="F2069" s="1">
        <f t="shared" si="32"/>
        <v>0</v>
      </c>
      <c r="G2069" s="1" t="str">
        <f>_xlfn.XLOOKUP(C2069,'Ocupação DW'!$F:$F,'Ocupação DW'!$E:$E,"",0)</f>
        <v>SEG - NILÓPOLIS</v>
      </c>
      <c r="H2069" t="str">
        <f>Vagas[[#This Row],[data]]&amp;Vagas[[#This Row],[profissional_id]]&amp;Vagas[[#This Row],[local_id]]</f>
        <v>446525960</v>
      </c>
    </row>
    <row r="2070" spans="1:8" x14ac:dyDescent="0.25">
      <c r="A2070" s="2">
        <v>44652</v>
      </c>
      <c r="B2070">
        <v>59</v>
      </c>
      <c r="C2070">
        <v>78</v>
      </c>
      <c r="D2070">
        <v>19</v>
      </c>
      <c r="E2070">
        <v>2</v>
      </c>
      <c r="F2070" s="1">
        <f t="shared" si="32"/>
        <v>0</v>
      </c>
      <c r="G2070" s="1" t="str">
        <f>_xlfn.XLOOKUP(C2070,'Ocupação DW'!$F:$F,'Ocupação DW'!$E:$E,"",0)</f>
        <v>SEG - MIGUEL COUTO</v>
      </c>
      <c r="H2070" t="str">
        <f>Vagas[[#This Row],[data]]&amp;Vagas[[#This Row],[profissional_id]]&amp;Vagas[[#This Row],[local_id]]</f>
        <v>446525978</v>
      </c>
    </row>
    <row r="2071" spans="1:8" x14ac:dyDescent="0.25">
      <c r="A2071" s="2">
        <v>44652</v>
      </c>
      <c r="B2071">
        <v>60</v>
      </c>
      <c r="C2071">
        <v>348</v>
      </c>
      <c r="D2071">
        <v>0</v>
      </c>
      <c r="E2071">
        <v>0</v>
      </c>
      <c r="F2071" s="1">
        <f t="shared" si="32"/>
        <v>0</v>
      </c>
      <c r="G2071" s="1" t="str">
        <f>_xlfn.XLOOKUP(C2071,'Ocupação DW'!$F:$F,'Ocupação DW'!$E:$E,"",0)</f>
        <v>SEG - MATRIZ</v>
      </c>
      <c r="H2071" t="str">
        <f>Vagas[[#This Row],[data]]&amp;Vagas[[#This Row],[profissional_id]]&amp;Vagas[[#This Row],[local_id]]</f>
        <v>4465260348</v>
      </c>
    </row>
    <row r="2072" spans="1:8" x14ac:dyDescent="0.25">
      <c r="A2072" s="2">
        <v>44652</v>
      </c>
      <c r="B2072">
        <v>60</v>
      </c>
      <c r="C2072">
        <v>1</v>
      </c>
      <c r="D2072">
        <v>0</v>
      </c>
      <c r="E2072">
        <v>0</v>
      </c>
      <c r="F2072" s="1">
        <f t="shared" si="32"/>
        <v>0</v>
      </c>
      <c r="G2072" s="1" t="str">
        <f>_xlfn.XLOOKUP(C2072,'Ocupação DW'!$F:$F,'Ocupação DW'!$E:$E,"",0)</f>
        <v>SEG - FILIAL II 10°</v>
      </c>
      <c r="H2072" t="str">
        <f>Vagas[[#This Row],[data]]&amp;Vagas[[#This Row],[profissional_id]]&amp;Vagas[[#This Row],[local_id]]</f>
        <v>44652601</v>
      </c>
    </row>
    <row r="2073" spans="1:8" x14ac:dyDescent="0.25">
      <c r="A2073" s="2">
        <v>44652</v>
      </c>
      <c r="B2073">
        <v>66</v>
      </c>
      <c r="C2073">
        <v>345</v>
      </c>
      <c r="D2073">
        <v>78</v>
      </c>
      <c r="E2073">
        <v>0</v>
      </c>
      <c r="F2073" s="1">
        <f t="shared" si="32"/>
        <v>0</v>
      </c>
      <c r="G2073" s="1" t="str">
        <f>_xlfn.XLOOKUP(C2073,'Ocupação DW'!$F:$F,'Ocupação DW'!$E:$E,"",0)</f>
        <v>SEG - MATRIZ</v>
      </c>
      <c r="H2073" t="str">
        <f>Vagas[[#This Row],[data]]&amp;Vagas[[#This Row],[profissional_id]]&amp;Vagas[[#This Row],[local_id]]</f>
        <v>4465266345</v>
      </c>
    </row>
    <row r="2074" spans="1:8" x14ac:dyDescent="0.25">
      <c r="A2074" s="2">
        <v>44652</v>
      </c>
      <c r="B2074">
        <v>69</v>
      </c>
      <c r="C2074">
        <v>13</v>
      </c>
      <c r="D2074">
        <v>0</v>
      </c>
      <c r="E2074">
        <v>4</v>
      </c>
      <c r="F2074" s="1">
        <f t="shared" si="32"/>
        <v>0</v>
      </c>
      <c r="G2074" s="1" t="str">
        <f>_xlfn.XLOOKUP(C2074,'Ocupação DW'!$F:$F,'Ocupação DW'!$E:$E,"",0)</f>
        <v>SEG - FILIAL II 11°</v>
      </c>
      <c r="H2074" t="str">
        <f>Vagas[[#This Row],[data]]&amp;Vagas[[#This Row],[profissional_id]]&amp;Vagas[[#This Row],[local_id]]</f>
        <v>446526913</v>
      </c>
    </row>
    <row r="2075" spans="1:8" x14ac:dyDescent="0.25">
      <c r="A2075" s="2">
        <v>44652</v>
      </c>
      <c r="B2075">
        <v>73</v>
      </c>
      <c r="C2075">
        <v>5</v>
      </c>
      <c r="D2075">
        <v>20</v>
      </c>
      <c r="E2075">
        <v>0</v>
      </c>
      <c r="F2075" s="1">
        <f t="shared" si="32"/>
        <v>0</v>
      </c>
      <c r="G2075" s="1" t="str">
        <f>_xlfn.XLOOKUP(C2075,'Ocupação DW'!$F:$F,'Ocupação DW'!$E:$E,"",0)</f>
        <v>SEG - FILIAL II 10°</v>
      </c>
      <c r="H2075" t="str">
        <f>Vagas[[#This Row],[data]]&amp;Vagas[[#This Row],[profissional_id]]&amp;Vagas[[#This Row],[local_id]]</f>
        <v>44652735</v>
      </c>
    </row>
    <row r="2076" spans="1:8" x14ac:dyDescent="0.25">
      <c r="A2076" s="2">
        <v>44652</v>
      </c>
      <c r="B2076">
        <v>81</v>
      </c>
      <c r="C2076">
        <v>41</v>
      </c>
      <c r="D2076">
        <v>0</v>
      </c>
      <c r="E2076">
        <v>0</v>
      </c>
      <c r="F2076" s="1">
        <f t="shared" si="32"/>
        <v>0</v>
      </c>
      <c r="G2076" s="1" t="str">
        <f>_xlfn.XLOOKUP(C2076,'Ocupação DW'!$F:$F,'Ocupação DW'!$E:$E,"",0)</f>
        <v>SEG - FILIAL I</v>
      </c>
      <c r="H2076" t="str">
        <f>Vagas[[#This Row],[data]]&amp;Vagas[[#This Row],[profissional_id]]&amp;Vagas[[#This Row],[local_id]]</f>
        <v>446528141</v>
      </c>
    </row>
    <row r="2077" spans="1:8" x14ac:dyDescent="0.25">
      <c r="A2077" s="2">
        <v>44652</v>
      </c>
      <c r="B2077">
        <v>86</v>
      </c>
      <c r="C2077">
        <v>349</v>
      </c>
      <c r="D2077">
        <v>0</v>
      </c>
      <c r="E2077">
        <v>4</v>
      </c>
      <c r="F2077" s="1">
        <f t="shared" si="32"/>
        <v>0</v>
      </c>
      <c r="G2077" s="1" t="str">
        <f>_xlfn.XLOOKUP(C2077,'Ocupação DW'!$F:$F,'Ocupação DW'!$E:$E,"",0)</f>
        <v>SEG - FILIAL II 11°</v>
      </c>
      <c r="H2077" t="str">
        <f>Vagas[[#This Row],[data]]&amp;Vagas[[#This Row],[profissional_id]]&amp;Vagas[[#This Row],[local_id]]</f>
        <v>4465286349</v>
      </c>
    </row>
    <row r="2078" spans="1:8" x14ac:dyDescent="0.25">
      <c r="A2078" s="2">
        <v>44652</v>
      </c>
      <c r="B2078">
        <v>92</v>
      </c>
      <c r="C2078">
        <v>340</v>
      </c>
      <c r="D2078">
        <v>108</v>
      </c>
      <c r="E2078">
        <v>12</v>
      </c>
      <c r="F2078" s="1">
        <f t="shared" si="32"/>
        <v>0</v>
      </c>
      <c r="G2078" s="1" t="str">
        <f>_xlfn.XLOOKUP(C2078,'Ocupação DW'!$F:$F,'Ocupação DW'!$E:$E,"",0)</f>
        <v>SEG - MATRIZ</v>
      </c>
      <c r="H2078" t="str">
        <f>Vagas[[#This Row],[data]]&amp;Vagas[[#This Row],[profissional_id]]&amp;Vagas[[#This Row],[local_id]]</f>
        <v>4465292340</v>
      </c>
    </row>
    <row r="2079" spans="1:8" x14ac:dyDescent="0.25">
      <c r="A2079" s="2">
        <v>44652</v>
      </c>
      <c r="B2079">
        <v>123</v>
      </c>
      <c r="C2079">
        <v>339</v>
      </c>
      <c r="D2079">
        <v>11</v>
      </c>
      <c r="E2079">
        <v>0</v>
      </c>
      <c r="F2079" s="1">
        <f t="shared" si="32"/>
        <v>0</v>
      </c>
      <c r="G2079" s="1" t="str">
        <f>_xlfn.XLOOKUP(C2079,'Ocupação DW'!$F:$F,'Ocupação DW'!$E:$E,"",0)</f>
        <v>SEG - MATRIZ</v>
      </c>
      <c r="H2079" t="str">
        <f>Vagas[[#This Row],[data]]&amp;Vagas[[#This Row],[profissional_id]]&amp;Vagas[[#This Row],[local_id]]</f>
        <v>44652123339</v>
      </c>
    </row>
    <row r="2080" spans="1:8" x14ac:dyDescent="0.25">
      <c r="A2080" s="2">
        <v>44652</v>
      </c>
      <c r="B2080">
        <v>282</v>
      </c>
      <c r="C2080">
        <v>39</v>
      </c>
      <c r="D2080">
        <v>52</v>
      </c>
      <c r="E2080">
        <v>0</v>
      </c>
      <c r="F2080" s="1">
        <f t="shared" si="32"/>
        <v>0</v>
      </c>
      <c r="G2080" s="1" t="str">
        <f>_xlfn.XLOOKUP(C2080,'Ocupação DW'!$F:$F,'Ocupação DW'!$E:$E,"",0)</f>
        <v>SEG - FILIAL I</v>
      </c>
      <c r="H2080" t="str">
        <f>Vagas[[#This Row],[data]]&amp;Vagas[[#This Row],[profissional_id]]&amp;Vagas[[#This Row],[local_id]]</f>
        <v>4465228239</v>
      </c>
    </row>
    <row r="2081" spans="1:8" x14ac:dyDescent="0.25">
      <c r="A2081" s="2">
        <v>44652</v>
      </c>
      <c r="B2081">
        <v>531</v>
      </c>
      <c r="D2081">
        <v>9</v>
      </c>
      <c r="E2081">
        <v>0</v>
      </c>
      <c r="F2081" s="1">
        <f t="shared" si="32"/>
        <v>0</v>
      </c>
      <c r="G2081" s="1" t="str">
        <f>_xlfn.XLOOKUP(C2081,'Ocupação DW'!$F:$F,'Ocupação DW'!$E:$E,"",0)</f>
        <v/>
      </c>
      <c r="H2081" t="str">
        <f>Vagas[[#This Row],[data]]&amp;Vagas[[#This Row],[profissional_id]]&amp;Vagas[[#This Row],[local_id]]</f>
        <v>44652531</v>
      </c>
    </row>
    <row r="2082" spans="1:8" x14ac:dyDescent="0.25">
      <c r="A2082" s="2">
        <v>44652</v>
      </c>
      <c r="B2082">
        <v>531</v>
      </c>
      <c r="C2082">
        <v>78</v>
      </c>
      <c r="D2082">
        <v>0</v>
      </c>
      <c r="E2082">
        <v>0</v>
      </c>
      <c r="F2082" s="1">
        <f t="shared" si="32"/>
        <v>9</v>
      </c>
      <c r="G2082" s="1" t="str">
        <f>_xlfn.XLOOKUP(C2082,'Ocupação DW'!$F:$F,'Ocupação DW'!$E:$E,"",0)</f>
        <v>SEG - MIGUEL COUTO</v>
      </c>
      <c r="H2082" t="str">
        <f>Vagas[[#This Row],[data]]&amp;Vagas[[#This Row],[profissional_id]]&amp;Vagas[[#This Row],[local_id]]</f>
        <v>4465253178</v>
      </c>
    </row>
    <row r="2083" spans="1:8" x14ac:dyDescent="0.25">
      <c r="A2083" s="2">
        <v>44652</v>
      </c>
      <c r="B2083">
        <v>1343</v>
      </c>
      <c r="C2083">
        <v>342</v>
      </c>
      <c r="D2083">
        <v>0</v>
      </c>
      <c r="E2083">
        <v>0</v>
      </c>
      <c r="F2083" s="1">
        <f t="shared" si="32"/>
        <v>0</v>
      </c>
      <c r="G2083" s="1" t="str">
        <f>_xlfn.XLOOKUP(C2083,'Ocupação DW'!$F:$F,'Ocupação DW'!$E:$E,"",0)</f>
        <v>SEG - MATRIZ</v>
      </c>
      <c r="H2083" t="str">
        <f>Vagas[[#This Row],[data]]&amp;Vagas[[#This Row],[profissional_id]]&amp;Vagas[[#This Row],[local_id]]</f>
        <v>446521343342</v>
      </c>
    </row>
    <row r="2084" spans="1:8" x14ac:dyDescent="0.25">
      <c r="A2084" s="2">
        <v>44652</v>
      </c>
      <c r="B2084">
        <v>1794</v>
      </c>
      <c r="C2084">
        <v>46</v>
      </c>
      <c r="D2084">
        <v>27</v>
      </c>
      <c r="E2084">
        <v>0</v>
      </c>
      <c r="F2084" s="1">
        <f t="shared" si="32"/>
        <v>0</v>
      </c>
      <c r="G2084" s="1" t="str">
        <f>_xlfn.XLOOKUP(C2084,'Ocupação DW'!$F:$F,'Ocupação DW'!$E:$E,"",0)</f>
        <v>SEG - FILIAL I</v>
      </c>
      <c r="H2084" t="str">
        <f>Vagas[[#This Row],[data]]&amp;Vagas[[#This Row],[profissional_id]]&amp;Vagas[[#This Row],[local_id]]</f>
        <v>44652179446</v>
      </c>
    </row>
    <row r="2085" spans="1:8" x14ac:dyDescent="0.25">
      <c r="A2085" s="2">
        <v>44652</v>
      </c>
      <c r="B2085">
        <v>2567</v>
      </c>
      <c r="C2085">
        <v>18</v>
      </c>
      <c r="D2085">
        <v>0</v>
      </c>
      <c r="E2085">
        <v>0</v>
      </c>
      <c r="F2085" s="1">
        <f t="shared" si="32"/>
        <v>0</v>
      </c>
      <c r="G2085" s="1" t="str">
        <f>_xlfn.XLOOKUP(C2085,'Ocupação DW'!$F:$F,'Ocupação DW'!$E:$E,"",0)</f>
        <v>SEG - FILIAL II 11°</v>
      </c>
      <c r="H2085" t="str">
        <f>Vagas[[#This Row],[data]]&amp;Vagas[[#This Row],[profissional_id]]&amp;Vagas[[#This Row],[local_id]]</f>
        <v>44652256718</v>
      </c>
    </row>
    <row r="2086" spans="1:8" x14ac:dyDescent="0.25">
      <c r="A2086" s="2">
        <v>44652</v>
      </c>
      <c r="B2086">
        <v>2984</v>
      </c>
      <c r="C2086">
        <v>7</v>
      </c>
      <c r="D2086">
        <v>0</v>
      </c>
      <c r="E2086">
        <v>20</v>
      </c>
      <c r="F2086" s="1">
        <f t="shared" si="32"/>
        <v>0</v>
      </c>
      <c r="G2086" s="1" t="str">
        <f>_xlfn.XLOOKUP(C2086,'Ocupação DW'!$F:$F,'Ocupação DW'!$E:$E,"",0)</f>
        <v>SEG - FILIAL II 10°</v>
      </c>
      <c r="H2086" t="str">
        <f>Vagas[[#This Row],[data]]&amp;Vagas[[#This Row],[profissional_id]]&amp;Vagas[[#This Row],[local_id]]</f>
        <v>4465229847</v>
      </c>
    </row>
    <row r="2087" spans="1:8" x14ac:dyDescent="0.25">
      <c r="A2087" s="2">
        <v>44652</v>
      </c>
      <c r="B2087">
        <v>3158</v>
      </c>
      <c r="C2087">
        <v>342</v>
      </c>
      <c r="D2087">
        <v>0</v>
      </c>
      <c r="E2087">
        <v>0</v>
      </c>
      <c r="F2087" s="1">
        <f t="shared" si="32"/>
        <v>0</v>
      </c>
      <c r="G2087" s="1" t="str">
        <f>_xlfn.XLOOKUP(C2087,'Ocupação DW'!$F:$F,'Ocupação DW'!$E:$E,"",0)</f>
        <v>SEG - MATRIZ</v>
      </c>
      <c r="H2087" t="str">
        <f>Vagas[[#This Row],[data]]&amp;Vagas[[#This Row],[profissional_id]]&amp;Vagas[[#This Row],[local_id]]</f>
        <v>446523158342</v>
      </c>
    </row>
    <row r="2088" spans="1:8" x14ac:dyDescent="0.25">
      <c r="A2088" s="2">
        <v>44652</v>
      </c>
      <c r="B2088">
        <v>3930</v>
      </c>
      <c r="C2088">
        <v>10</v>
      </c>
      <c r="D2088">
        <v>15</v>
      </c>
      <c r="E2088">
        <v>0</v>
      </c>
      <c r="F2088" s="1">
        <f t="shared" si="32"/>
        <v>0</v>
      </c>
      <c r="G2088" s="1" t="str">
        <f>_xlfn.XLOOKUP(C2088,'Ocupação DW'!$F:$F,'Ocupação DW'!$E:$E,"",0)</f>
        <v/>
      </c>
      <c r="H2088" t="str">
        <f>Vagas[[#This Row],[data]]&amp;Vagas[[#This Row],[profissional_id]]&amp;Vagas[[#This Row],[local_id]]</f>
        <v>44652393010</v>
      </c>
    </row>
    <row r="2089" spans="1:8" x14ac:dyDescent="0.25">
      <c r="A2089" s="2">
        <v>44652</v>
      </c>
      <c r="B2089">
        <v>5927</v>
      </c>
      <c r="C2089">
        <v>17</v>
      </c>
      <c r="D2089">
        <v>0</v>
      </c>
      <c r="E2089">
        <v>0</v>
      </c>
      <c r="F2089" s="1">
        <f t="shared" si="32"/>
        <v>0</v>
      </c>
      <c r="G2089" s="1" t="str">
        <f>_xlfn.XLOOKUP(C2089,'Ocupação DW'!$F:$F,'Ocupação DW'!$E:$E,"",0)</f>
        <v>SEG - FILIAL II 11°</v>
      </c>
      <c r="H2089" t="str">
        <f>Vagas[[#This Row],[data]]&amp;Vagas[[#This Row],[profissional_id]]&amp;Vagas[[#This Row],[local_id]]</f>
        <v>44652592717</v>
      </c>
    </row>
    <row r="2090" spans="1:8" x14ac:dyDescent="0.25">
      <c r="A2090" s="2">
        <v>44652</v>
      </c>
      <c r="B2090">
        <v>6430</v>
      </c>
      <c r="C2090">
        <v>42</v>
      </c>
      <c r="D2090">
        <v>0</v>
      </c>
      <c r="E2090">
        <v>0</v>
      </c>
      <c r="F2090" s="1">
        <f t="shared" si="32"/>
        <v>0</v>
      </c>
      <c r="G2090" s="1" t="str">
        <f>_xlfn.XLOOKUP(C2090,'Ocupação DW'!$F:$F,'Ocupação DW'!$E:$E,"",0)</f>
        <v>SEG - FILIAL I</v>
      </c>
      <c r="H2090" t="str">
        <f>Vagas[[#This Row],[data]]&amp;Vagas[[#This Row],[profissional_id]]&amp;Vagas[[#This Row],[local_id]]</f>
        <v>44652643042</v>
      </c>
    </row>
    <row r="2091" spans="1:8" x14ac:dyDescent="0.25">
      <c r="A2091" s="2">
        <v>44652</v>
      </c>
      <c r="B2091">
        <v>6839</v>
      </c>
      <c r="C2091">
        <v>341</v>
      </c>
      <c r="D2091">
        <v>60</v>
      </c>
      <c r="E2091">
        <v>0</v>
      </c>
      <c r="F2091" s="1">
        <f t="shared" si="32"/>
        <v>0</v>
      </c>
      <c r="G2091" s="1" t="str">
        <f>_xlfn.XLOOKUP(C2091,'Ocupação DW'!$F:$F,'Ocupação DW'!$E:$E,"",0)</f>
        <v/>
      </c>
      <c r="H2091" t="str">
        <f>Vagas[[#This Row],[data]]&amp;Vagas[[#This Row],[profissional_id]]&amp;Vagas[[#This Row],[local_id]]</f>
        <v>446526839341</v>
      </c>
    </row>
    <row r="2092" spans="1:8" x14ac:dyDescent="0.25">
      <c r="A2092" s="2">
        <v>44652</v>
      </c>
      <c r="B2092">
        <v>9111</v>
      </c>
      <c r="C2092">
        <v>51</v>
      </c>
      <c r="D2092">
        <v>0</v>
      </c>
      <c r="E2092">
        <v>0</v>
      </c>
      <c r="F2092" s="1">
        <f t="shared" si="32"/>
        <v>0</v>
      </c>
      <c r="G2092" s="1" t="str">
        <f>_xlfn.XLOOKUP(C2092,'Ocupação DW'!$F:$F,'Ocupação DW'!$E:$E,"",0)</f>
        <v>SEG - FILIAL I</v>
      </c>
      <c r="H2092" t="str">
        <f>Vagas[[#This Row],[data]]&amp;Vagas[[#This Row],[profissional_id]]&amp;Vagas[[#This Row],[local_id]]</f>
        <v>44652911151</v>
      </c>
    </row>
    <row r="2093" spans="1:8" x14ac:dyDescent="0.25">
      <c r="A2093" s="2">
        <v>44652</v>
      </c>
      <c r="B2093">
        <v>9138</v>
      </c>
      <c r="C2093">
        <v>344</v>
      </c>
      <c r="D2093">
        <v>0</v>
      </c>
      <c r="E2093">
        <v>0</v>
      </c>
      <c r="F2093" s="1">
        <f t="shared" si="32"/>
        <v>0</v>
      </c>
      <c r="G2093" s="1" t="str">
        <f>_xlfn.XLOOKUP(C2093,'Ocupação DW'!$F:$F,'Ocupação DW'!$E:$E,"",0)</f>
        <v>SEG - MATRIZ</v>
      </c>
      <c r="H2093" t="str">
        <f>Vagas[[#This Row],[data]]&amp;Vagas[[#This Row],[profissional_id]]&amp;Vagas[[#This Row],[local_id]]</f>
        <v>446529138344</v>
      </c>
    </row>
    <row r="2094" spans="1:8" x14ac:dyDescent="0.25">
      <c r="A2094" s="2">
        <v>44652</v>
      </c>
      <c r="B2094">
        <v>9207</v>
      </c>
      <c r="C2094">
        <v>346</v>
      </c>
      <c r="D2094">
        <v>96</v>
      </c>
      <c r="E2094">
        <v>12</v>
      </c>
      <c r="F2094" s="1">
        <f t="shared" si="32"/>
        <v>0</v>
      </c>
      <c r="G2094" s="1" t="str">
        <f>_xlfn.XLOOKUP(C2094,'Ocupação DW'!$F:$F,'Ocupação DW'!$E:$E,"",0)</f>
        <v>SEG - MATRIZ</v>
      </c>
      <c r="H2094" t="str">
        <f>Vagas[[#This Row],[data]]&amp;Vagas[[#This Row],[profissional_id]]&amp;Vagas[[#This Row],[local_id]]</f>
        <v>446529207346</v>
      </c>
    </row>
    <row r="2095" spans="1:8" x14ac:dyDescent="0.25">
      <c r="A2095" s="2">
        <v>44652</v>
      </c>
      <c r="B2095">
        <v>9654</v>
      </c>
      <c r="C2095">
        <v>339</v>
      </c>
      <c r="D2095">
        <v>132</v>
      </c>
      <c r="E2095">
        <v>0</v>
      </c>
      <c r="F2095" s="1">
        <f t="shared" si="32"/>
        <v>0</v>
      </c>
      <c r="G2095" s="1" t="str">
        <f>_xlfn.XLOOKUP(C2095,'Ocupação DW'!$F:$F,'Ocupação DW'!$E:$E,"",0)</f>
        <v>SEG - MATRIZ</v>
      </c>
      <c r="H2095" t="str">
        <f>Vagas[[#This Row],[data]]&amp;Vagas[[#This Row],[profissional_id]]&amp;Vagas[[#This Row],[local_id]]</f>
        <v>446529654339</v>
      </c>
    </row>
    <row r="2096" spans="1:8" x14ac:dyDescent="0.25">
      <c r="A2096" s="2">
        <v>44652</v>
      </c>
      <c r="B2096">
        <v>10249</v>
      </c>
      <c r="C2096">
        <v>44</v>
      </c>
      <c r="D2096">
        <v>0</v>
      </c>
      <c r="E2096">
        <v>0</v>
      </c>
      <c r="F2096" s="1">
        <f t="shared" si="32"/>
        <v>0</v>
      </c>
      <c r="G2096" s="1" t="str">
        <f>_xlfn.XLOOKUP(C2096,'Ocupação DW'!$F:$F,'Ocupação DW'!$E:$E,"",0)</f>
        <v>SEG - FILIAL I</v>
      </c>
      <c r="H2096" t="str">
        <f>Vagas[[#This Row],[data]]&amp;Vagas[[#This Row],[profissional_id]]&amp;Vagas[[#This Row],[local_id]]</f>
        <v>446521024944</v>
      </c>
    </row>
    <row r="2097" spans="1:8" x14ac:dyDescent="0.25">
      <c r="A2097" s="2">
        <v>44652</v>
      </c>
      <c r="B2097">
        <v>10593</v>
      </c>
      <c r="C2097">
        <v>64</v>
      </c>
      <c r="D2097">
        <v>0</v>
      </c>
      <c r="E2097">
        <v>0</v>
      </c>
      <c r="F2097" s="1">
        <f t="shared" si="32"/>
        <v>0</v>
      </c>
      <c r="G2097" s="1" t="str">
        <f>_xlfn.XLOOKUP(C2097,'Ocupação DW'!$F:$F,'Ocupação DW'!$E:$E,"",0)</f>
        <v>SEG - NILÓPOLIS</v>
      </c>
      <c r="H2097" t="str">
        <f>Vagas[[#This Row],[data]]&amp;Vagas[[#This Row],[profissional_id]]&amp;Vagas[[#This Row],[local_id]]</f>
        <v>446521059364</v>
      </c>
    </row>
    <row r="2098" spans="1:8" x14ac:dyDescent="0.25">
      <c r="A2098" s="2">
        <v>44652</v>
      </c>
      <c r="B2098">
        <v>10600</v>
      </c>
      <c r="C2098">
        <v>86</v>
      </c>
      <c r="D2098">
        <v>0</v>
      </c>
      <c r="E2098">
        <v>0</v>
      </c>
      <c r="F2098" s="1">
        <f t="shared" si="32"/>
        <v>0</v>
      </c>
      <c r="G2098" s="1" t="str">
        <f>_xlfn.XLOOKUP(C2098,'Ocupação DW'!$F:$F,'Ocupação DW'!$E:$E,"",0)</f>
        <v>SEG - MIGUEL COUTO</v>
      </c>
      <c r="H2098" t="str">
        <f>Vagas[[#This Row],[data]]&amp;Vagas[[#This Row],[profissional_id]]&amp;Vagas[[#This Row],[local_id]]</f>
        <v>446521060086</v>
      </c>
    </row>
    <row r="2099" spans="1:8" x14ac:dyDescent="0.25">
      <c r="A2099" s="2">
        <v>44652</v>
      </c>
      <c r="B2099">
        <v>10691</v>
      </c>
      <c r="C2099">
        <v>78</v>
      </c>
      <c r="D2099">
        <v>0</v>
      </c>
      <c r="E2099">
        <v>0</v>
      </c>
      <c r="F2099" s="1">
        <f t="shared" si="32"/>
        <v>0</v>
      </c>
      <c r="G2099" s="1" t="str">
        <f>_xlfn.XLOOKUP(C2099,'Ocupação DW'!$F:$F,'Ocupação DW'!$E:$E,"",0)</f>
        <v>SEG - MIGUEL COUTO</v>
      </c>
      <c r="H2099" t="str">
        <f>Vagas[[#This Row],[data]]&amp;Vagas[[#This Row],[profissional_id]]&amp;Vagas[[#This Row],[local_id]]</f>
        <v>446521069178</v>
      </c>
    </row>
    <row r="2100" spans="1:8" x14ac:dyDescent="0.25">
      <c r="A2100" s="2">
        <v>44652</v>
      </c>
      <c r="B2100">
        <v>10717</v>
      </c>
      <c r="C2100">
        <v>18</v>
      </c>
      <c r="D2100">
        <v>0</v>
      </c>
      <c r="E2100">
        <v>0</v>
      </c>
      <c r="F2100" s="1">
        <f t="shared" si="32"/>
        <v>0</v>
      </c>
      <c r="G2100" s="1" t="str">
        <f>_xlfn.XLOOKUP(C2100,'Ocupação DW'!$F:$F,'Ocupação DW'!$E:$E,"",0)</f>
        <v>SEG - FILIAL II 11°</v>
      </c>
      <c r="H2100" t="str">
        <f>Vagas[[#This Row],[data]]&amp;Vagas[[#This Row],[profissional_id]]&amp;Vagas[[#This Row],[local_id]]</f>
        <v>446521071718</v>
      </c>
    </row>
    <row r="2101" spans="1:8" x14ac:dyDescent="0.25">
      <c r="A2101" s="2">
        <v>44652</v>
      </c>
      <c r="B2101">
        <v>10785</v>
      </c>
      <c r="C2101">
        <v>15</v>
      </c>
      <c r="D2101">
        <v>0</v>
      </c>
      <c r="E2101">
        <v>0</v>
      </c>
      <c r="F2101" s="1">
        <f t="shared" si="32"/>
        <v>0</v>
      </c>
      <c r="G2101" s="1" t="str">
        <f>_xlfn.XLOOKUP(C2101,'Ocupação DW'!$F:$F,'Ocupação DW'!$E:$E,"",0)</f>
        <v>SEG - FILIAL II 11°</v>
      </c>
      <c r="H2101" t="str">
        <f>Vagas[[#This Row],[data]]&amp;Vagas[[#This Row],[profissional_id]]&amp;Vagas[[#This Row],[local_id]]</f>
        <v>446521078515</v>
      </c>
    </row>
    <row r="2102" spans="1:8" x14ac:dyDescent="0.25">
      <c r="A2102" s="2">
        <v>44652</v>
      </c>
      <c r="B2102">
        <v>11634</v>
      </c>
      <c r="C2102">
        <v>345</v>
      </c>
      <c r="D2102">
        <v>48</v>
      </c>
      <c r="E2102">
        <v>0</v>
      </c>
      <c r="F2102" s="1">
        <f t="shared" si="32"/>
        <v>0</v>
      </c>
      <c r="G2102" s="1" t="str">
        <f>_xlfn.XLOOKUP(C2102,'Ocupação DW'!$F:$F,'Ocupação DW'!$E:$E,"",0)</f>
        <v>SEG - MATRIZ</v>
      </c>
      <c r="H2102" t="str">
        <f>Vagas[[#This Row],[data]]&amp;Vagas[[#This Row],[profissional_id]]&amp;Vagas[[#This Row],[local_id]]</f>
        <v>4465211634345</v>
      </c>
    </row>
    <row r="2103" spans="1:8" x14ac:dyDescent="0.25">
      <c r="A2103" s="2">
        <v>44652</v>
      </c>
      <c r="B2103">
        <v>12142</v>
      </c>
      <c r="C2103">
        <v>44</v>
      </c>
      <c r="D2103">
        <v>0</v>
      </c>
      <c r="E2103">
        <v>0</v>
      </c>
      <c r="F2103" s="1">
        <f t="shared" si="32"/>
        <v>0</v>
      </c>
      <c r="G2103" s="1" t="str">
        <f>_xlfn.XLOOKUP(C2103,'Ocupação DW'!$F:$F,'Ocupação DW'!$E:$E,"",0)</f>
        <v>SEG - FILIAL I</v>
      </c>
      <c r="H2103" t="str">
        <f>Vagas[[#This Row],[data]]&amp;Vagas[[#This Row],[profissional_id]]&amp;Vagas[[#This Row],[local_id]]</f>
        <v>446521214244</v>
      </c>
    </row>
    <row r="2104" spans="1:8" x14ac:dyDescent="0.25">
      <c r="A2104" s="2">
        <v>44652</v>
      </c>
      <c r="B2104">
        <v>12482</v>
      </c>
      <c r="C2104">
        <v>348</v>
      </c>
      <c r="D2104">
        <v>108</v>
      </c>
      <c r="E2104">
        <v>0</v>
      </c>
      <c r="F2104" s="1">
        <f t="shared" si="32"/>
        <v>0</v>
      </c>
      <c r="G2104" s="1" t="str">
        <f>_xlfn.XLOOKUP(C2104,'Ocupação DW'!$F:$F,'Ocupação DW'!$E:$E,"",0)</f>
        <v>SEG - MATRIZ</v>
      </c>
      <c r="H2104" t="str">
        <f>Vagas[[#This Row],[data]]&amp;Vagas[[#This Row],[profissional_id]]&amp;Vagas[[#This Row],[local_id]]</f>
        <v>4465212482348</v>
      </c>
    </row>
    <row r="2105" spans="1:8" x14ac:dyDescent="0.25">
      <c r="A2105" s="2">
        <v>44652</v>
      </c>
      <c r="B2105">
        <v>12679</v>
      </c>
      <c r="C2105">
        <v>336</v>
      </c>
      <c r="D2105">
        <v>0</v>
      </c>
      <c r="E2105">
        <v>0</v>
      </c>
      <c r="F2105" s="1">
        <f t="shared" si="32"/>
        <v>0</v>
      </c>
      <c r="G2105" s="1" t="str">
        <f>_xlfn.XLOOKUP(C2105,'Ocupação DW'!$F:$F,'Ocupação DW'!$E:$E,"",0)</f>
        <v>SEG - FILIAL I</v>
      </c>
      <c r="H2105" t="str">
        <f>Vagas[[#This Row],[data]]&amp;Vagas[[#This Row],[profissional_id]]&amp;Vagas[[#This Row],[local_id]]</f>
        <v>4465212679336</v>
      </c>
    </row>
    <row r="2106" spans="1:8" x14ac:dyDescent="0.25">
      <c r="A2106" s="2">
        <v>44652</v>
      </c>
      <c r="B2106">
        <v>12684</v>
      </c>
      <c r="C2106">
        <v>78</v>
      </c>
      <c r="D2106">
        <v>0</v>
      </c>
      <c r="E2106">
        <v>0</v>
      </c>
      <c r="F2106" s="1">
        <f t="shared" si="32"/>
        <v>0</v>
      </c>
      <c r="G2106" s="1" t="str">
        <f>_xlfn.XLOOKUP(C2106,'Ocupação DW'!$F:$F,'Ocupação DW'!$E:$E,"",0)</f>
        <v>SEG - MIGUEL COUTO</v>
      </c>
      <c r="H2106" t="str">
        <f>Vagas[[#This Row],[data]]&amp;Vagas[[#This Row],[profissional_id]]&amp;Vagas[[#This Row],[local_id]]</f>
        <v>446521268478</v>
      </c>
    </row>
    <row r="2107" spans="1:8" x14ac:dyDescent="0.25">
      <c r="A2107" s="2">
        <v>44652</v>
      </c>
      <c r="B2107">
        <v>12825</v>
      </c>
      <c r="C2107">
        <v>83</v>
      </c>
      <c r="D2107">
        <v>18</v>
      </c>
      <c r="E2107">
        <v>0</v>
      </c>
      <c r="F2107" s="1">
        <f t="shared" si="32"/>
        <v>0</v>
      </c>
      <c r="G2107" s="1" t="str">
        <f>_xlfn.XLOOKUP(C2107,'Ocupação DW'!$F:$F,'Ocupação DW'!$E:$E,"",0)</f>
        <v>SEG - MIGUEL COUTO</v>
      </c>
      <c r="H2107" t="str">
        <f>Vagas[[#This Row],[data]]&amp;Vagas[[#This Row],[profissional_id]]&amp;Vagas[[#This Row],[local_id]]</f>
        <v>446521282583</v>
      </c>
    </row>
    <row r="2108" spans="1:8" x14ac:dyDescent="0.25">
      <c r="A2108" s="2">
        <v>44652</v>
      </c>
      <c r="B2108">
        <v>13249</v>
      </c>
      <c r="D2108">
        <v>15</v>
      </c>
      <c r="E2108">
        <v>0</v>
      </c>
      <c r="F2108" s="1">
        <f t="shared" si="32"/>
        <v>0</v>
      </c>
      <c r="G2108" s="1" t="str">
        <f>_xlfn.XLOOKUP(C2108,'Ocupação DW'!$F:$F,'Ocupação DW'!$E:$E,"",0)</f>
        <v/>
      </c>
      <c r="H2108" t="str">
        <f>Vagas[[#This Row],[data]]&amp;Vagas[[#This Row],[profissional_id]]&amp;Vagas[[#This Row],[local_id]]</f>
        <v>4465213249</v>
      </c>
    </row>
    <row r="2109" spans="1:8" x14ac:dyDescent="0.25">
      <c r="A2109" s="2">
        <v>44652</v>
      </c>
      <c r="B2109">
        <v>13295</v>
      </c>
      <c r="C2109">
        <v>79</v>
      </c>
      <c r="D2109">
        <v>120</v>
      </c>
      <c r="E2109">
        <v>0</v>
      </c>
      <c r="F2109" s="1">
        <f t="shared" si="32"/>
        <v>0</v>
      </c>
      <c r="G2109" s="1" t="str">
        <f>_xlfn.XLOOKUP(C2109,'Ocupação DW'!$F:$F,'Ocupação DW'!$E:$E,"",0)</f>
        <v/>
      </c>
      <c r="H2109" t="str">
        <f>Vagas[[#This Row],[data]]&amp;Vagas[[#This Row],[profissional_id]]&amp;Vagas[[#This Row],[local_id]]</f>
        <v>446521329579</v>
      </c>
    </row>
    <row r="2110" spans="1:8" x14ac:dyDescent="0.25">
      <c r="A2110" s="2">
        <v>44652</v>
      </c>
      <c r="B2110">
        <v>13371</v>
      </c>
      <c r="D2110">
        <v>19</v>
      </c>
      <c r="E2110">
        <v>0</v>
      </c>
      <c r="F2110" s="1">
        <f t="shared" si="32"/>
        <v>0</v>
      </c>
      <c r="G2110" s="1" t="str">
        <f>_xlfn.XLOOKUP(C2110,'Ocupação DW'!$F:$F,'Ocupação DW'!$E:$E,"",0)</f>
        <v/>
      </c>
      <c r="H2110" t="str">
        <f>Vagas[[#This Row],[data]]&amp;Vagas[[#This Row],[profissional_id]]&amp;Vagas[[#This Row],[local_id]]</f>
        <v>4465213371</v>
      </c>
    </row>
    <row r="2111" spans="1:8" x14ac:dyDescent="0.25">
      <c r="A2111" s="2">
        <v>44652</v>
      </c>
      <c r="B2111">
        <v>13371</v>
      </c>
      <c r="C2111">
        <v>336</v>
      </c>
      <c r="D2111">
        <v>0</v>
      </c>
      <c r="E2111">
        <v>0</v>
      </c>
      <c r="F2111" s="1">
        <f t="shared" si="32"/>
        <v>19</v>
      </c>
      <c r="G2111" s="1" t="str">
        <f>_xlfn.XLOOKUP(C2111,'Ocupação DW'!$F:$F,'Ocupação DW'!$E:$E,"",0)</f>
        <v>SEG - FILIAL I</v>
      </c>
      <c r="H2111" t="str">
        <f>Vagas[[#This Row],[data]]&amp;Vagas[[#This Row],[profissional_id]]&amp;Vagas[[#This Row],[local_id]]</f>
        <v>4465213371336</v>
      </c>
    </row>
    <row r="2112" spans="1:8" x14ac:dyDescent="0.25">
      <c r="A2112" s="2">
        <v>44652</v>
      </c>
      <c r="B2112">
        <v>13479</v>
      </c>
      <c r="C2112">
        <v>85</v>
      </c>
      <c r="D2112">
        <v>0</v>
      </c>
      <c r="E2112">
        <v>0</v>
      </c>
      <c r="F2112" s="1">
        <f t="shared" si="32"/>
        <v>0</v>
      </c>
      <c r="G2112" s="1" t="str">
        <f>_xlfn.XLOOKUP(C2112,'Ocupação DW'!$F:$F,'Ocupação DW'!$E:$E,"",0)</f>
        <v>SEG - MIGUEL COUTO</v>
      </c>
      <c r="H2112" t="str">
        <f>Vagas[[#This Row],[data]]&amp;Vagas[[#This Row],[profissional_id]]&amp;Vagas[[#This Row],[local_id]]</f>
        <v>446521347985</v>
      </c>
    </row>
    <row r="2113" spans="1:8" x14ac:dyDescent="0.25">
      <c r="A2113" s="2">
        <v>44652</v>
      </c>
      <c r="B2113">
        <v>13479</v>
      </c>
      <c r="C2113">
        <v>83</v>
      </c>
      <c r="D2113">
        <v>0</v>
      </c>
      <c r="E2113">
        <v>0</v>
      </c>
      <c r="F2113" s="1">
        <f t="shared" si="32"/>
        <v>0</v>
      </c>
      <c r="G2113" s="1" t="str">
        <f>_xlfn.XLOOKUP(C2113,'Ocupação DW'!$F:$F,'Ocupação DW'!$E:$E,"",0)</f>
        <v>SEG - MIGUEL COUTO</v>
      </c>
      <c r="H2113" t="str">
        <f>Vagas[[#This Row],[data]]&amp;Vagas[[#This Row],[profissional_id]]&amp;Vagas[[#This Row],[local_id]]</f>
        <v>446521347983</v>
      </c>
    </row>
    <row r="2114" spans="1:8" x14ac:dyDescent="0.25">
      <c r="A2114" s="2">
        <v>44652</v>
      </c>
      <c r="B2114">
        <v>13660</v>
      </c>
      <c r="C2114">
        <v>17</v>
      </c>
      <c r="D2114">
        <v>0</v>
      </c>
      <c r="E2114">
        <v>0</v>
      </c>
      <c r="F2114" s="1">
        <f t="shared" ref="F2114:F2177" si="33">IF(AND(A2114=A2113,B2114=B2113,D2113&lt;&gt;0,D2114=0),D2113,0)</f>
        <v>0</v>
      </c>
      <c r="G2114" s="1" t="str">
        <f>_xlfn.XLOOKUP(C2114,'Ocupação DW'!$F:$F,'Ocupação DW'!$E:$E,"",0)</f>
        <v>SEG - FILIAL II 11°</v>
      </c>
      <c r="H2114" t="str">
        <f>Vagas[[#This Row],[data]]&amp;Vagas[[#This Row],[profissional_id]]&amp;Vagas[[#This Row],[local_id]]</f>
        <v>446521366017</v>
      </c>
    </row>
    <row r="2115" spans="1:8" x14ac:dyDescent="0.25">
      <c r="A2115" s="2">
        <v>44652</v>
      </c>
      <c r="B2115">
        <v>13660</v>
      </c>
      <c r="C2115">
        <v>15</v>
      </c>
      <c r="D2115">
        <v>0</v>
      </c>
      <c r="E2115">
        <v>0</v>
      </c>
      <c r="F2115" s="1">
        <f t="shared" si="33"/>
        <v>0</v>
      </c>
      <c r="G2115" s="1" t="str">
        <f>_xlfn.XLOOKUP(C2115,'Ocupação DW'!$F:$F,'Ocupação DW'!$E:$E,"",0)</f>
        <v>SEG - FILIAL II 11°</v>
      </c>
      <c r="H2115" t="str">
        <f>Vagas[[#This Row],[data]]&amp;Vagas[[#This Row],[profissional_id]]&amp;Vagas[[#This Row],[local_id]]</f>
        <v>446521366015</v>
      </c>
    </row>
    <row r="2116" spans="1:8" x14ac:dyDescent="0.25">
      <c r="A2116" s="2">
        <v>44652</v>
      </c>
      <c r="B2116">
        <v>13835</v>
      </c>
      <c r="C2116">
        <v>7</v>
      </c>
      <c r="D2116">
        <v>0</v>
      </c>
      <c r="E2116">
        <v>0</v>
      </c>
      <c r="F2116" s="1">
        <f t="shared" si="33"/>
        <v>0</v>
      </c>
      <c r="G2116" s="1" t="str">
        <f>_xlfn.XLOOKUP(C2116,'Ocupação DW'!$F:$F,'Ocupação DW'!$E:$E,"",0)</f>
        <v>SEG - FILIAL II 10°</v>
      </c>
      <c r="H2116" t="str">
        <f>Vagas[[#This Row],[data]]&amp;Vagas[[#This Row],[profissional_id]]&amp;Vagas[[#This Row],[local_id]]</f>
        <v>44652138357</v>
      </c>
    </row>
    <row r="2117" spans="1:8" x14ac:dyDescent="0.25">
      <c r="A2117" s="2">
        <v>44652</v>
      </c>
      <c r="B2117">
        <v>14417</v>
      </c>
      <c r="C2117">
        <v>60</v>
      </c>
      <c r="D2117">
        <v>120</v>
      </c>
      <c r="E2117">
        <v>0</v>
      </c>
      <c r="F2117" s="1">
        <f t="shared" si="33"/>
        <v>0</v>
      </c>
      <c r="G2117" s="1" t="str">
        <f>_xlfn.XLOOKUP(C2117,'Ocupação DW'!$F:$F,'Ocupação DW'!$E:$E,"",0)</f>
        <v>SEG - NILÓPOLIS</v>
      </c>
      <c r="H2117" t="str">
        <f>Vagas[[#This Row],[data]]&amp;Vagas[[#This Row],[profissional_id]]&amp;Vagas[[#This Row],[local_id]]</f>
        <v>446521441760</v>
      </c>
    </row>
    <row r="2118" spans="1:8" x14ac:dyDescent="0.25">
      <c r="A2118" s="2">
        <v>44652</v>
      </c>
      <c r="B2118">
        <v>17864</v>
      </c>
      <c r="C2118">
        <v>60</v>
      </c>
      <c r="D2118">
        <v>0</v>
      </c>
      <c r="E2118">
        <v>0</v>
      </c>
      <c r="F2118" s="1">
        <f t="shared" si="33"/>
        <v>0</v>
      </c>
      <c r="G2118" s="1" t="str">
        <f>_xlfn.XLOOKUP(C2118,'Ocupação DW'!$F:$F,'Ocupação DW'!$E:$E,"",0)</f>
        <v>SEG - NILÓPOLIS</v>
      </c>
      <c r="H2118" t="str">
        <f>Vagas[[#This Row],[data]]&amp;Vagas[[#This Row],[profissional_id]]&amp;Vagas[[#This Row],[local_id]]</f>
        <v>446521786460</v>
      </c>
    </row>
    <row r="2119" spans="1:8" x14ac:dyDescent="0.25">
      <c r="A2119" s="2">
        <v>44652</v>
      </c>
      <c r="B2119">
        <v>17866</v>
      </c>
      <c r="C2119">
        <v>81</v>
      </c>
      <c r="D2119">
        <v>60</v>
      </c>
      <c r="E2119">
        <v>0</v>
      </c>
      <c r="F2119" s="1">
        <f t="shared" si="33"/>
        <v>0</v>
      </c>
      <c r="G2119" s="1" t="str">
        <f>_xlfn.XLOOKUP(C2119,'Ocupação DW'!$F:$F,'Ocupação DW'!$E:$E,"",0)</f>
        <v>SEG - MIGUEL COUTO</v>
      </c>
      <c r="H2119" t="str">
        <f>Vagas[[#This Row],[data]]&amp;Vagas[[#This Row],[profissional_id]]&amp;Vagas[[#This Row],[local_id]]</f>
        <v>446521786681</v>
      </c>
    </row>
    <row r="2120" spans="1:8" x14ac:dyDescent="0.25">
      <c r="A2120" s="2">
        <v>44652</v>
      </c>
      <c r="B2120">
        <v>17882</v>
      </c>
      <c r="C2120">
        <v>21</v>
      </c>
      <c r="D2120">
        <v>181</v>
      </c>
      <c r="E2120">
        <v>0</v>
      </c>
      <c r="F2120" s="1">
        <f t="shared" si="33"/>
        <v>0</v>
      </c>
      <c r="G2120" s="1" t="str">
        <f>_xlfn.XLOOKUP(C2120,'Ocupação DW'!$F:$F,'Ocupação DW'!$E:$E,"",0)</f>
        <v/>
      </c>
      <c r="H2120" t="str">
        <f>Vagas[[#This Row],[data]]&amp;Vagas[[#This Row],[profissional_id]]&amp;Vagas[[#This Row],[local_id]]</f>
        <v>446521788221</v>
      </c>
    </row>
    <row r="2121" spans="1:8" x14ac:dyDescent="0.25">
      <c r="A2121" s="2">
        <v>44652</v>
      </c>
      <c r="B2121">
        <v>17883</v>
      </c>
      <c r="C2121">
        <v>351</v>
      </c>
      <c r="D2121">
        <v>0</v>
      </c>
      <c r="E2121">
        <v>0</v>
      </c>
      <c r="F2121" s="1">
        <f t="shared" si="33"/>
        <v>0</v>
      </c>
      <c r="G2121" s="1" t="str">
        <f>_xlfn.XLOOKUP(C2121,'Ocupação DW'!$F:$F,'Ocupação DW'!$E:$E,"",0)</f>
        <v>SEG - FILIAL I</v>
      </c>
      <c r="H2121" t="str">
        <f>Vagas[[#This Row],[data]]&amp;Vagas[[#This Row],[profissional_id]]&amp;Vagas[[#This Row],[local_id]]</f>
        <v>4465217883351</v>
      </c>
    </row>
    <row r="2122" spans="1:8" x14ac:dyDescent="0.25">
      <c r="A2122" s="2">
        <v>44652</v>
      </c>
      <c r="B2122">
        <v>17888</v>
      </c>
      <c r="C2122">
        <v>40</v>
      </c>
      <c r="D2122">
        <v>27</v>
      </c>
      <c r="E2122">
        <v>0</v>
      </c>
      <c r="F2122" s="1">
        <f t="shared" si="33"/>
        <v>0</v>
      </c>
      <c r="G2122" s="1" t="str">
        <f>_xlfn.XLOOKUP(C2122,'Ocupação DW'!$F:$F,'Ocupação DW'!$E:$E,"",0)</f>
        <v>SEG - FILIAL I</v>
      </c>
      <c r="H2122" t="str">
        <f>Vagas[[#This Row],[data]]&amp;Vagas[[#This Row],[profissional_id]]&amp;Vagas[[#This Row],[local_id]]</f>
        <v>446521788840</v>
      </c>
    </row>
    <row r="2123" spans="1:8" x14ac:dyDescent="0.25">
      <c r="A2123" s="2">
        <v>44652</v>
      </c>
      <c r="B2123">
        <v>17909</v>
      </c>
      <c r="C2123">
        <v>4</v>
      </c>
      <c r="D2123">
        <v>0</v>
      </c>
      <c r="E2123">
        <v>0</v>
      </c>
      <c r="F2123" s="1">
        <f t="shared" si="33"/>
        <v>0</v>
      </c>
      <c r="G2123" s="1" t="str">
        <f>_xlfn.XLOOKUP(C2123,'Ocupação DW'!$F:$F,'Ocupação DW'!$E:$E,"",0)</f>
        <v>SEG - FILIAL II 10°</v>
      </c>
      <c r="H2123" t="str">
        <f>Vagas[[#This Row],[data]]&amp;Vagas[[#This Row],[profissional_id]]&amp;Vagas[[#This Row],[local_id]]</f>
        <v>44652179094</v>
      </c>
    </row>
    <row r="2124" spans="1:8" x14ac:dyDescent="0.25">
      <c r="A2124" s="2">
        <v>44652</v>
      </c>
      <c r="B2124">
        <v>17922</v>
      </c>
      <c r="C2124">
        <v>74</v>
      </c>
      <c r="D2124">
        <v>133</v>
      </c>
      <c r="E2124">
        <v>0</v>
      </c>
      <c r="F2124" s="1">
        <f t="shared" si="33"/>
        <v>0</v>
      </c>
      <c r="G2124" s="1" t="str">
        <f>_xlfn.XLOOKUP(C2124,'Ocupação DW'!$F:$F,'Ocupação DW'!$E:$E,"",0)</f>
        <v/>
      </c>
      <c r="H2124" t="str">
        <f>Vagas[[#This Row],[data]]&amp;Vagas[[#This Row],[profissional_id]]&amp;Vagas[[#This Row],[local_id]]</f>
        <v>446521792274</v>
      </c>
    </row>
    <row r="2125" spans="1:8" x14ac:dyDescent="0.25">
      <c r="A2125" s="2">
        <v>44653</v>
      </c>
      <c r="B2125">
        <v>54</v>
      </c>
      <c r="C2125">
        <v>50</v>
      </c>
      <c r="D2125">
        <v>9</v>
      </c>
      <c r="E2125">
        <v>0</v>
      </c>
      <c r="F2125" s="1">
        <f t="shared" si="33"/>
        <v>0</v>
      </c>
      <c r="G2125" s="1" t="str">
        <f>_xlfn.XLOOKUP(C2125,'Ocupação DW'!$F:$F,'Ocupação DW'!$E:$E,"",0)</f>
        <v>SEG - FILIAL I</v>
      </c>
      <c r="H2125" t="str">
        <f>Vagas[[#This Row],[data]]&amp;Vagas[[#This Row],[profissional_id]]&amp;Vagas[[#This Row],[local_id]]</f>
        <v>446535450</v>
      </c>
    </row>
    <row r="2126" spans="1:8" x14ac:dyDescent="0.25">
      <c r="A2126" s="2">
        <v>44653</v>
      </c>
      <c r="B2126">
        <v>57</v>
      </c>
      <c r="C2126">
        <v>2</v>
      </c>
      <c r="D2126">
        <v>0</v>
      </c>
      <c r="E2126">
        <v>0</v>
      </c>
      <c r="F2126" s="1">
        <f t="shared" si="33"/>
        <v>0</v>
      </c>
      <c r="G2126" s="1" t="str">
        <f>_xlfn.XLOOKUP(C2126,'Ocupação DW'!$F:$F,'Ocupação DW'!$E:$E,"",0)</f>
        <v>SEG - FILIAL II 10°</v>
      </c>
      <c r="H2126" t="str">
        <f>Vagas[[#This Row],[data]]&amp;Vagas[[#This Row],[profissional_id]]&amp;Vagas[[#This Row],[local_id]]</f>
        <v>44653572</v>
      </c>
    </row>
    <row r="2127" spans="1:8" x14ac:dyDescent="0.25">
      <c r="A2127" s="2">
        <v>44653</v>
      </c>
      <c r="B2127">
        <v>60</v>
      </c>
      <c r="C2127">
        <v>375</v>
      </c>
      <c r="D2127">
        <v>0</v>
      </c>
      <c r="E2127">
        <v>0</v>
      </c>
      <c r="F2127" s="1">
        <f t="shared" si="33"/>
        <v>0</v>
      </c>
      <c r="G2127" s="1" t="str">
        <f>_xlfn.XLOOKUP(C2127,'Ocupação DW'!$F:$F,'Ocupação DW'!$E:$E,"",0)</f>
        <v>SEG - SÃO JOÃO</v>
      </c>
      <c r="H2127" t="str">
        <f>Vagas[[#This Row],[data]]&amp;Vagas[[#This Row],[profissional_id]]&amp;Vagas[[#This Row],[local_id]]</f>
        <v>4465360375</v>
      </c>
    </row>
    <row r="2128" spans="1:8" x14ac:dyDescent="0.25">
      <c r="A2128" s="2">
        <v>44653</v>
      </c>
      <c r="B2128">
        <v>66</v>
      </c>
      <c r="C2128">
        <v>345</v>
      </c>
      <c r="D2128">
        <v>72</v>
      </c>
      <c r="E2128">
        <v>0</v>
      </c>
      <c r="F2128" s="1">
        <f t="shared" si="33"/>
        <v>0</v>
      </c>
      <c r="G2128" s="1" t="str">
        <f>_xlfn.XLOOKUP(C2128,'Ocupação DW'!$F:$F,'Ocupação DW'!$E:$E,"",0)</f>
        <v>SEG - MATRIZ</v>
      </c>
      <c r="H2128" t="str">
        <f>Vagas[[#This Row],[data]]&amp;Vagas[[#This Row],[profissional_id]]&amp;Vagas[[#This Row],[local_id]]</f>
        <v>4465366345</v>
      </c>
    </row>
    <row r="2129" spans="1:8" x14ac:dyDescent="0.25">
      <c r="A2129" s="2">
        <v>44653</v>
      </c>
      <c r="B2129">
        <v>70</v>
      </c>
      <c r="C2129">
        <v>13</v>
      </c>
      <c r="D2129">
        <v>0</v>
      </c>
      <c r="E2129">
        <v>0</v>
      </c>
      <c r="F2129" s="1">
        <f t="shared" si="33"/>
        <v>0</v>
      </c>
      <c r="G2129" s="1" t="str">
        <f>_xlfn.XLOOKUP(C2129,'Ocupação DW'!$F:$F,'Ocupação DW'!$E:$E,"",0)</f>
        <v>SEG - FILIAL II 11°</v>
      </c>
      <c r="H2129" t="str">
        <f>Vagas[[#This Row],[data]]&amp;Vagas[[#This Row],[profissional_id]]&amp;Vagas[[#This Row],[local_id]]</f>
        <v>446537013</v>
      </c>
    </row>
    <row r="2130" spans="1:8" x14ac:dyDescent="0.25">
      <c r="A2130" s="2">
        <v>44653</v>
      </c>
      <c r="B2130">
        <v>111</v>
      </c>
      <c r="C2130">
        <v>51</v>
      </c>
      <c r="D2130">
        <v>48</v>
      </c>
      <c r="E2130">
        <v>0</v>
      </c>
      <c r="F2130" s="1">
        <f t="shared" si="33"/>
        <v>0</v>
      </c>
      <c r="G2130" s="1" t="str">
        <f>_xlfn.XLOOKUP(C2130,'Ocupação DW'!$F:$F,'Ocupação DW'!$E:$E,"",0)</f>
        <v>SEG - FILIAL I</v>
      </c>
      <c r="H2130" t="str">
        <f>Vagas[[#This Row],[data]]&amp;Vagas[[#This Row],[profissional_id]]&amp;Vagas[[#This Row],[local_id]]</f>
        <v>4465311151</v>
      </c>
    </row>
    <row r="2131" spans="1:8" x14ac:dyDescent="0.25">
      <c r="A2131" s="2">
        <v>44653</v>
      </c>
      <c r="B2131">
        <v>123</v>
      </c>
      <c r="C2131">
        <v>351</v>
      </c>
      <c r="D2131">
        <v>7</v>
      </c>
      <c r="E2131">
        <v>0</v>
      </c>
      <c r="F2131" s="1">
        <f t="shared" si="33"/>
        <v>0</v>
      </c>
      <c r="G2131" s="1" t="str">
        <f>_xlfn.XLOOKUP(C2131,'Ocupação DW'!$F:$F,'Ocupação DW'!$E:$E,"",0)</f>
        <v>SEG - FILIAL I</v>
      </c>
      <c r="H2131" t="str">
        <f>Vagas[[#This Row],[data]]&amp;Vagas[[#This Row],[profissional_id]]&amp;Vagas[[#This Row],[local_id]]</f>
        <v>44653123351</v>
      </c>
    </row>
    <row r="2132" spans="1:8" x14ac:dyDescent="0.25">
      <c r="A2132" s="2">
        <v>44653</v>
      </c>
      <c r="B2132">
        <v>174</v>
      </c>
      <c r="C2132">
        <v>24</v>
      </c>
      <c r="D2132">
        <v>54</v>
      </c>
      <c r="E2132">
        <v>0</v>
      </c>
      <c r="F2132" s="1">
        <f t="shared" si="33"/>
        <v>0</v>
      </c>
      <c r="G2132" s="1" t="str">
        <f>_xlfn.XLOOKUP(C2132,'Ocupação DW'!$F:$F,'Ocupação DW'!$E:$E,"",0)</f>
        <v>SEG - MATRIZ</v>
      </c>
      <c r="H2132" t="str">
        <f>Vagas[[#This Row],[data]]&amp;Vagas[[#This Row],[profissional_id]]&amp;Vagas[[#This Row],[local_id]]</f>
        <v>4465317424</v>
      </c>
    </row>
    <row r="2133" spans="1:8" x14ac:dyDescent="0.25">
      <c r="A2133" s="2">
        <v>44653</v>
      </c>
      <c r="B2133">
        <v>282</v>
      </c>
      <c r="C2133">
        <v>39</v>
      </c>
      <c r="D2133">
        <v>23</v>
      </c>
      <c r="E2133">
        <v>0</v>
      </c>
      <c r="F2133" s="1">
        <f t="shared" si="33"/>
        <v>0</v>
      </c>
      <c r="G2133" s="1" t="str">
        <f>_xlfn.XLOOKUP(C2133,'Ocupação DW'!$F:$F,'Ocupação DW'!$E:$E,"",0)</f>
        <v>SEG - FILIAL I</v>
      </c>
      <c r="H2133" t="str">
        <f>Vagas[[#This Row],[data]]&amp;Vagas[[#This Row],[profissional_id]]&amp;Vagas[[#This Row],[local_id]]</f>
        <v>4465328239</v>
      </c>
    </row>
    <row r="2134" spans="1:8" x14ac:dyDescent="0.25">
      <c r="A2134" s="2">
        <v>44653</v>
      </c>
      <c r="B2134">
        <v>531</v>
      </c>
      <c r="D2134">
        <v>22</v>
      </c>
      <c r="E2134">
        <v>0</v>
      </c>
      <c r="F2134" s="1">
        <f t="shared" si="33"/>
        <v>0</v>
      </c>
      <c r="G2134" s="1" t="str">
        <f>_xlfn.XLOOKUP(C2134,'Ocupação DW'!$F:$F,'Ocupação DW'!$E:$E,"",0)</f>
        <v/>
      </c>
      <c r="H2134" t="str">
        <f>Vagas[[#This Row],[data]]&amp;Vagas[[#This Row],[profissional_id]]&amp;Vagas[[#This Row],[local_id]]</f>
        <v>44653531</v>
      </c>
    </row>
    <row r="2135" spans="1:8" x14ac:dyDescent="0.25">
      <c r="A2135" s="2">
        <v>44653</v>
      </c>
      <c r="B2135">
        <v>4887</v>
      </c>
      <c r="C2135">
        <v>18</v>
      </c>
      <c r="D2135">
        <v>0</v>
      </c>
      <c r="E2135">
        <v>0</v>
      </c>
      <c r="F2135" s="1">
        <f t="shared" si="33"/>
        <v>0</v>
      </c>
      <c r="G2135" s="1" t="str">
        <f>_xlfn.XLOOKUP(C2135,'Ocupação DW'!$F:$F,'Ocupação DW'!$E:$E,"",0)</f>
        <v>SEG - FILIAL II 11°</v>
      </c>
      <c r="H2135" t="str">
        <f>Vagas[[#This Row],[data]]&amp;Vagas[[#This Row],[profissional_id]]&amp;Vagas[[#This Row],[local_id]]</f>
        <v>44653488718</v>
      </c>
    </row>
    <row r="2136" spans="1:8" x14ac:dyDescent="0.25">
      <c r="A2136" s="2">
        <v>44653</v>
      </c>
      <c r="B2136">
        <v>6046</v>
      </c>
      <c r="C2136">
        <v>46</v>
      </c>
      <c r="D2136">
        <v>0</v>
      </c>
      <c r="E2136">
        <v>0</v>
      </c>
      <c r="F2136" s="1">
        <f t="shared" si="33"/>
        <v>0</v>
      </c>
      <c r="G2136" s="1" t="str">
        <f>_xlfn.XLOOKUP(C2136,'Ocupação DW'!$F:$F,'Ocupação DW'!$E:$E,"",0)</f>
        <v>SEG - FILIAL I</v>
      </c>
      <c r="H2136" t="str">
        <f>Vagas[[#This Row],[data]]&amp;Vagas[[#This Row],[profissional_id]]&amp;Vagas[[#This Row],[local_id]]</f>
        <v>44653604646</v>
      </c>
    </row>
    <row r="2137" spans="1:8" x14ac:dyDescent="0.25">
      <c r="A2137" s="2">
        <v>44653</v>
      </c>
      <c r="B2137">
        <v>10249</v>
      </c>
      <c r="C2137">
        <v>44</v>
      </c>
      <c r="D2137">
        <v>0</v>
      </c>
      <c r="E2137">
        <v>0</v>
      </c>
      <c r="F2137" s="1">
        <f t="shared" si="33"/>
        <v>0</v>
      </c>
      <c r="G2137" s="1" t="str">
        <f>_xlfn.XLOOKUP(C2137,'Ocupação DW'!$F:$F,'Ocupação DW'!$E:$E,"",0)</f>
        <v>SEG - FILIAL I</v>
      </c>
      <c r="H2137" t="str">
        <f>Vagas[[#This Row],[data]]&amp;Vagas[[#This Row],[profissional_id]]&amp;Vagas[[#This Row],[local_id]]</f>
        <v>446531024944</v>
      </c>
    </row>
    <row r="2138" spans="1:8" x14ac:dyDescent="0.25">
      <c r="A2138" s="2">
        <v>44653</v>
      </c>
      <c r="B2138">
        <v>11312</v>
      </c>
      <c r="C2138">
        <v>336</v>
      </c>
      <c r="D2138">
        <v>23</v>
      </c>
      <c r="E2138">
        <v>0</v>
      </c>
      <c r="F2138" s="1">
        <f t="shared" si="33"/>
        <v>0</v>
      </c>
      <c r="G2138" s="1" t="str">
        <f>_xlfn.XLOOKUP(C2138,'Ocupação DW'!$F:$F,'Ocupação DW'!$E:$E,"",0)</f>
        <v>SEG - FILIAL I</v>
      </c>
      <c r="H2138" t="str">
        <f>Vagas[[#This Row],[data]]&amp;Vagas[[#This Row],[profissional_id]]&amp;Vagas[[#This Row],[local_id]]</f>
        <v>4465311312336</v>
      </c>
    </row>
    <row r="2139" spans="1:8" x14ac:dyDescent="0.25">
      <c r="A2139" s="2">
        <v>44653</v>
      </c>
      <c r="B2139">
        <v>11634</v>
      </c>
      <c r="C2139">
        <v>339</v>
      </c>
      <c r="D2139">
        <v>60</v>
      </c>
      <c r="E2139">
        <v>0</v>
      </c>
      <c r="F2139" s="1">
        <f t="shared" si="33"/>
        <v>0</v>
      </c>
      <c r="G2139" s="1" t="str">
        <f>_xlfn.XLOOKUP(C2139,'Ocupação DW'!$F:$F,'Ocupação DW'!$E:$E,"",0)</f>
        <v>SEG - MATRIZ</v>
      </c>
      <c r="H2139" t="str">
        <f>Vagas[[#This Row],[data]]&amp;Vagas[[#This Row],[profissional_id]]&amp;Vagas[[#This Row],[local_id]]</f>
        <v>4465311634339</v>
      </c>
    </row>
    <row r="2140" spans="1:8" x14ac:dyDescent="0.25">
      <c r="A2140" s="2">
        <v>44653</v>
      </c>
      <c r="B2140">
        <v>12810</v>
      </c>
      <c r="C2140">
        <v>339</v>
      </c>
      <c r="D2140">
        <v>0</v>
      </c>
      <c r="E2140">
        <v>0</v>
      </c>
      <c r="F2140" s="1">
        <f t="shared" si="33"/>
        <v>0</v>
      </c>
      <c r="G2140" s="1" t="str">
        <f>_xlfn.XLOOKUP(C2140,'Ocupação DW'!$F:$F,'Ocupação DW'!$E:$E,"",0)</f>
        <v>SEG - MATRIZ</v>
      </c>
      <c r="H2140" t="str">
        <f>Vagas[[#This Row],[data]]&amp;Vagas[[#This Row],[profissional_id]]&amp;Vagas[[#This Row],[local_id]]</f>
        <v>4465312810339</v>
      </c>
    </row>
    <row r="2141" spans="1:8" x14ac:dyDescent="0.25">
      <c r="A2141" s="2">
        <v>44653</v>
      </c>
      <c r="B2141">
        <v>13249</v>
      </c>
      <c r="D2141">
        <v>0</v>
      </c>
      <c r="E2141">
        <v>0</v>
      </c>
      <c r="F2141" s="1">
        <f t="shared" si="33"/>
        <v>0</v>
      </c>
      <c r="G2141" s="1" t="str">
        <f>_xlfn.XLOOKUP(C2141,'Ocupação DW'!$F:$F,'Ocupação DW'!$E:$E,"",0)</f>
        <v/>
      </c>
      <c r="H2141" t="str">
        <f>Vagas[[#This Row],[data]]&amp;Vagas[[#This Row],[profissional_id]]&amp;Vagas[[#This Row],[local_id]]</f>
        <v>4465313249</v>
      </c>
    </row>
    <row r="2142" spans="1:8" x14ac:dyDescent="0.25">
      <c r="A2142" s="2">
        <v>44653</v>
      </c>
      <c r="B2142">
        <v>13371</v>
      </c>
      <c r="D2142">
        <v>0</v>
      </c>
      <c r="E2142">
        <v>0</v>
      </c>
      <c r="F2142" s="1">
        <f t="shared" si="33"/>
        <v>0</v>
      </c>
      <c r="G2142" s="1" t="str">
        <f>_xlfn.XLOOKUP(C2142,'Ocupação DW'!$F:$F,'Ocupação DW'!$E:$E,"",0)</f>
        <v/>
      </c>
      <c r="H2142" t="str">
        <f>Vagas[[#This Row],[data]]&amp;Vagas[[#This Row],[profissional_id]]&amp;Vagas[[#This Row],[local_id]]</f>
        <v>4465313371</v>
      </c>
    </row>
    <row r="2143" spans="1:8" x14ac:dyDescent="0.25">
      <c r="A2143" s="2">
        <v>44653</v>
      </c>
      <c r="B2143">
        <v>13756</v>
      </c>
      <c r="C2143">
        <v>44</v>
      </c>
      <c r="D2143">
        <v>0</v>
      </c>
      <c r="E2143">
        <v>0</v>
      </c>
      <c r="F2143" s="1">
        <f t="shared" si="33"/>
        <v>0</v>
      </c>
      <c r="G2143" s="1" t="str">
        <f>_xlfn.XLOOKUP(C2143,'Ocupação DW'!$F:$F,'Ocupação DW'!$E:$E,"",0)</f>
        <v>SEG - FILIAL I</v>
      </c>
      <c r="H2143" t="str">
        <f>Vagas[[#This Row],[data]]&amp;Vagas[[#This Row],[profissional_id]]&amp;Vagas[[#This Row],[local_id]]</f>
        <v>446531375644</v>
      </c>
    </row>
    <row r="2144" spans="1:8" x14ac:dyDescent="0.25">
      <c r="A2144" s="2">
        <v>44653</v>
      </c>
      <c r="B2144">
        <v>17881</v>
      </c>
      <c r="C2144">
        <v>20</v>
      </c>
      <c r="D2144">
        <v>133</v>
      </c>
      <c r="E2144">
        <v>0</v>
      </c>
      <c r="F2144" s="1">
        <f t="shared" si="33"/>
        <v>0</v>
      </c>
      <c r="G2144" s="1" t="str">
        <f>_xlfn.XLOOKUP(C2144,'Ocupação DW'!$F:$F,'Ocupação DW'!$E:$E,"",0)</f>
        <v>SEG - MATRIZ</v>
      </c>
      <c r="H2144" t="str">
        <f>Vagas[[#This Row],[data]]&amp;Vagas[[#This Row],[profissional_id]]&amp;Vagas[[#This Row],[local_id]]</f>
        <v>446531788120</v>
      </c>
    </row>
    <row r="2145" spans="1:8" x14ac:dyDescent="0.25">
      <c r="A2145" s="2">
        <v>44653</v>
      </c>
      <c r="B2145">
        <v>17882</v>
      </c>
      <c r="C2145">
        <v>21</v>
      </c>
      <c r="D2145">
        <v>133</v>
      </c>
      <c r="E2145">
        <v>0</v>
      </c>
      <c r="F2145" s="1">
        <f t="shared" si="33"/>
        <v>0</v>
      </c>
      <c r="G2145" s="1" t="str">
        <f>_xlfn.XLOOKUP(C2145,'Ocupação DW'!$F:$F,'Ocupação DW'!$E:$E,"",0)</f>
        <v/>
      </c>
      <c r="H2145" t="str">
        <f>Vagas[[#This Row],[data]]&amp;Vagas[[#This Row],[profissional_id]]&amp;Vagas[[#This Row],[local_id]]</f>
        <v>446531788221</v>
      </c>
    </row>
    <row r="2146" spans="1:8" x14ac:dyDescent="0.25">
      <c r="A2146" s="2">
        <v>44653</v>
      </c>
      <c r="B2146">
        <v>17883</v>
      </c>
      <c r="C2146">
        <v>351</v>
      </c>
      <c r="D2146">
        <v>0</v>
      </c>
      <c r="E2146">
        <v>0</v>
      </c>
      <c r="F2146" s="1">
        <f t="shared" si="33"/>
        <v>0</v>
      </c>
      <c r="G2146" s="1" t="str">
        <f>_xlfn.XLOOKUP(C2146,'Ocupação DW'!$F:$F,'Ocupação DW'!$E:$E,"",0)</f>
        <v>SEG - FILIAL I</v>
      </c>
      <c r="H2146" t="str">
        <f>Vagas[[#This Row],[data]]&amp;Vagas[[#This Row],[profissional_id]]&amp;Vagas[[#This Row],[local_id]]</f>
        <v>4465317883351</v>
      </c>
    </row>
    <row r="2147" spans="1:8" x14ac:dyDescent="0.25">
      <c r="A2147" s="2">
        <v>44653</v>
      </c>
      <c r="B2147">
        <v>17885</v>
      </c>
      <c r="C2147">
        <v>23</v>
      </c>
      <c r="D2147">
        <v>55</v>
      </c>
      <c r="E2147">
        <v>0</v>
      </c>
      <c r="F2147" s="1">
        <f t="shared" si="33"/>
        <v>0</v>
      </c>
      <c r="G2147" s="1" t="str">
        <f>_xlfn.XLOOKUP(C2147,'Ocupação DW'!$F:$F,'Ocupação DW'!$E:$E,"",0)</f>
        <v/>
      </c>
      <c r="H2147" t="str">
        <f>Vagas[[#This Row],[data]]&amp;Vagas[[#This Row],[profissional_id]]&amp;Vagas[[#This Row],[local_id]]</f>
        <v>446531788523</v>
      </c>
    </row>
    <row r="2148" spans="1:8" x14ac:dyDescent="0.25">
      <c r="A2148" s="2">
        <v>44653</v>
      </c>
      <c r="B2148">
        <v>17898</v>
      </c>
      <c r="C2148">
        <v>35</v>
      </c>
      <c r="D2148">
        <v>60</v>
      </c>
      <c r="E2148">
        <v>0</v>
      </c>
      <c r="F2148" s="1">
        <f t="shared" si="33"/>
        <v>0</v>
      </c>
      <c r="G2148" s="1" t="str">
        <f>_xlfn.XLOOKUP(C2148,'Ocupação DW'!$F:$F,'Ocupação DW'!$E:$E,"",0)</f>
        <v/>
      </c>
      <c r="H2148" t="str">
        <f>Vagas[[#This Row],[data]]&amp;Vagas[[#This Row],[profissional_id]]&amp;Vagas[[#This Row],[local_id]]</f>
        <v>446531789835</v>
      </c>
    </row>
    <row r="2149" spans="1:8" x14ac:dyDescent="0.25">
      <c r="A2149" s="2">
        <v>44653</v>
      </c>
      <c r="B2149">
        <v>17908</v>
      </c>
      <c r="C2149">
        <v>25</v>
      </c>
      <c r="D2149">
        <v>14</v>
      </c>
      <c r="E2149">
        <v>0</v>
      </c>
      <c r="F2149" s="1">
        <f t="shared" si="33"/>
        <v>0</v>
      </c>
      <c r="G2149" s="1" t="str">
        <f>_xlfn.XLOOKUP(C2149,'Ocupação DW'!$F:$F,'Ocupação DW'!$E:$E,"",0)</f>
        <v>SEG - MATRIZ</v>
      </c>
      <c r="H2149" t="str">
        <f>Vagas[[#This Row],[data]]&amp;Vagas[[#This Row],[profissional_id]]&amp;Vagas[[#This Row],[local_id]]</f>
        <v>446531790825</v>
      </c>
    </row>
    <row r="2150" spans="1:8" x14ac:dyDescent="0.25">
      <c r="A2150" s="2">
        <v>44653</v>
      </c>
      <c r="B2150">
        <v>17909</v>
      </c>
      <c r="C2150">
        <v>4</v>
      </c>
      <c r="D2150">
        <v>0</v>
      </c>
      <c r="E2150">
        <v>0</v>
      </c>
      <c r="F2150" s="1">
        <f t="shared" si="33"/>
        <v>0</v>
      </c>
      <c r="G2150" s="1" t="str">
        <f>_xlfn.XLOOKUP(C2150,'Ocupação DW'!$F:$F,'Ocupação DW'!$E:$E,"",0)</f>
        <v>SEG - FILIAL II 10°</v>
      </c>
      <c r="H2150" t="str">
        <f>Vagas[[#This Row],[data]]&amp;Vagas[[#This Row],[profissional_id]]&amp;Vagas[[#This Row],[local_id]]</f>
        <v>44653179094</v>
      </c>
    </row>
    <row r="2151" spans="1:8" x14ac:dyDescent="0.25">
      <c r="A2151" s="2">
        <v>44654</v>
      </c>
      <c r="B2151">
        <v>59</v>
      </c>
      <c r="C2151">
        <v>340</v>
      </c>
      <c r="D2151">
        <v>290</v>
      </c>
      <c r="E2151">
        <v>67</v>
      </c>
      <c r="F2151" s="1">
        <f t="shared" si="33"/>
        <v>0</v>
      </c>
      <c r="G2151" s="1" t="str">
        <f>_xlfn.XLOOKUP(C2151,'Ocupação DW'!$F:$F,'Ocupação DW'!$E:$E,"",0)</f>
        <v>SEG - MATRIZ</v>
      </c>
      <c r="H2151" t="str">
        <f>Vagas[[#This Row],[data]]&amp;Vagas[[#This Row],[profissional_id]]&amp;Vagas[[#This Row],[local_id]]</f>
        <v>4465459340</v>
      </c>
    </row>
    <row r="2152" spans="1:8" x14ac:dyDescent="0.25">
      <c r="A2152" s="2">
        <v>44654</v>
      </c>
      <c r="B2152">
        <v>97</v>
      </c>
      <c r="C2152">
        <v>342</v>
      </c>
      <c r="D2152">
        <v>0</v>
      </c>
      <c r="E2152">
        <v>0</v>
      </c>
      <c r="F2152" s="1">
        <f t="shared" si="33"/>
        <v>0</v>
      </c>
      <c r="G2152" s="1" t="str">
        <f>_xlfn.XLOOKUP(C2152,'Ocupação DW'!$F:$F,'Ocupação DW'!$E:$E,"",0)</f>
        <v>SEG - MATRIZ</v>
      </c>
      <c r="H2152" t="str">
        <f>Vagas[[#This Row],[data]]&amp;Vagas[[#This Row],[profissional_id]]&amp;Vagas[[#This Row],[local_id]]</f>
        <v>4465497342</v>
      </c>
    </row>
    <row r="2153" spans="1:8" x14ac:dyDescent="0.25">
      <c r="A2153" s="2">
        <v>44654</v>
      </c>
      <c r="B2153">
        <v>123</v>
      </c>
      <c r="C2153">
        <v>339</v>
      </c>
      <c r="D2153">
        <v>357</v>
      </c>
      <c r="E2153">
        <v>0</v>
      </c>
      <c r="F2153" s="1">
        <f t="shared" si="33"/>
        <v>0</v>
      </c>
      <c r="G2153" s="1" t="str">
        <f>_xlfn.XLOOKUP(C2153,'Ocupação DW'!$F:$F,'Ocupação DW'!$E:$E,"",0)</f>
        <v>SEG - MATRIZ</v>
      </c>
      <c r="H2153" t="str">
        <f>Vagas[[#This Row],[data]]&amp;Vagas[[#This Row],[profissional_id]]&amp;Vagas[[#This Row],[local_id]]</f>
        <v>44654123339</v>
      </c>
    </row>
    <row r="2154" spans="1:8" x14ac:dyDescent="0.25">
      <c r="A2154" s="2">
        <v>44654</v>
      </c>
      <c r="B2154">
        <v>174</v>
      </c>
      <c r="C2154">
        <v>24</v>
      </c>
      <c r="D2154">
        <v>30</v>
      </c>
      <c r="E2154">
        <v>0</v>
      </c>
      <c r="F2154" s="1">
        <f t="shared" si="33"/>
        <v>0</v>
      </c>
      <c r="G2154" s="1" t="str">
        <f>_xlfn.XLOOKUP(C2154,'Ocupação DW'!$F:$F,'Ocupação DW'!$E:$E,"",0)</f>
        <v>SEG - MATRIZ</v>
      </c>
      <c r="H2154" t="str">
        <f>Vagas[[#This Row],[data]]&amp;Vagas[[#This Row],[profissional_id]]&amp;Vagas[[#This Row],[local_id]]</f>
        <v>4465417424</v>
      </c>
    </row>
    <row r="2155" spans="1:8" x14ac:dyDescent="0.25">
      <c r="A2155" s="2">
        <v>44654</v>
      </c>
      <c r="B2155">
        <v>531</v>
      </c>
      <c r="D2155">
        <v>0</v>
      </c>
      <c r="E2155">
        <v>0</v>
      </c>
      <c r="F2155" s="1">
        <f t="shared" si="33"/>
        <v>0</v>
      </c>
      <c r="G2155" s="1" t="str">
        <f>_xlfn.XLOOKUP(C2155,'Ocupação DW'!$F:$F,'Ocupação DW'!$E:$E,"",0)</f>
        <v/>
      </c>
      <c r="H2155" t="str">
        <f>Vagas[[#This Row],[data]]&amp;Vagas[[#This Row],[profissional_id]]&amp;Vagas[[#This Row],[local_id]]</f>
        <v>44654531</v>
      </c>
    </row>
    <row r="2156" spans="1:8" x14ac:dyDescent="0.25">
      <c r="A2156" s="2">
        <v>44654</v>
      </c>
      <c r="B2156">
        <v>9654</v>
      </c>
      <c r="C2156">
        <v>339</v>
      </c>
      <c r="D2156">
        <v>108</v>
      </c>
      <c r="E2156">
        <v>0</v>
      </c>
      <c r="F2156" s="1">
        <f t="shared" si="33"/>
        <v>0</v>
      </c>
      <c r="G2156" s="1" t="str">
        <f>_xlfn.XLOOKUP(C2156,'Ocupação DW'!$F:$F,'Ocupação DW'!$E:$E,"",0)</f>
        <v>SEG - MATRIZ</v>
      </c>
      <c r="H2156" t="str">
        <f>Vagas[[#This Row],[data]]&amp;Vagas[[#This Row],[profissional_id]]&amp;Vagas[[#This Row],[local_id]]</f>
        <v>446549654339</v>
      </c>
    </row>
    <row r="2157" spans="1:8" x14ac:dyDescent="0.25">
      <c r="A2157" s="2">
        <v>44654</v>
      </c>
      <c r="B2157">
        <v>13249</v>
      </c>
      <c r="D2157">
        <v>0</v>
      </c>
      <c r="E2157">
        <v>0</v>
      </c>
      <c r="F2157" s="1">
        <f t="shared" si="33"/>
        <v>0</v>
      </c>
      <c r="G2157" s="1" t="str">
        <f>_xlfn.XLOOKUP(C2157,'Ocupação DW'!$F:$F,'Ocupação DW'!$E:$E,"",0)</f>
        <v/>
      </c>
      <c r="H2157" t="str">
        <f>Vagas[[#This Row],[data]]&amp;Vagas[[#This Row],[profissional_id]]&amp;Vagas[[#This Row],[local_id]]</f>
        <v>4465413249</v>
      </c>
    </row>
    <row r="2158" spans="1:8" x14ac:dyDescent="0.25">
      <c r="A2158" s="2">
        <v>44654</v>
      </c>
      <c r="B2158">
        <v>13371</v>
      </c>
      <c r="D2158">
        <v>0</v>
      </c>
      <c r="E2158">
        <v>0</v>
      </c>
      <c r="F2158" s="1">
        <f t="shared" si="33"/>
        <v>0</v>
      </c>
      <c r="G2158" s="1" t="str">
        <f>_xlfn.XLOOKUP(C2158,'Ocupação DW'!$F:$F,'Ocupação DW'!$E:$E,"",0)</f>
        <v/>
      </c>
      <c r="H2158" t="str">
        <f>Vagas[[#This Row],[data]]&amp;Vagas[[#This Row],[profissional_id]]&amp;Vagas[[#This Row],[local_id]]</f>
        <v>4465413371</v>
      </c>
    </row>
    <row r="2159" spans="1:8" x14ac:dyDescent="0.25">
      <c r="A2159" s="2">
        <v>44654</v>
      </c>
      <c r="B2159">
        <v>17881</v>
      </c>
      <c r="C2159">
        <v>20</v>
      </c>
      <c r="D2159">
        <v>61</v>
      </c>
      <c r="E2159">
        <v>0</v>
      </c>
      <c r="F2159" s="1">
        <f t="shared" si="33"/>
        <v>0</v>
      </c>
      <c r="G2159" s="1" t="str">
        <f>_xlfn.XLOOKUP(C2159,'Ocupação DW'!$F:$F,'Ocupação DW'!$E:$E,"",0)</f>
        <v>SEG - MATRIZ</v>
      </c>
      <c r="H2159" t="str">
        <f>Vagas[[#This Row],[data]]&amp;Vagas[[#This Row],[profissional_id]]&amp;Vagas[[#This Row],[local_id]]</f>
        <v>446541788120</v>
      </c>
    </row>
    <row r="2160" spans="1:8" x14ac:dyDescent="0.25">
      <c r="A2160" s="2">
        <v>44654</v>
      </c>
      <c r="B2160">
        <v>17885</v>
      </c>
      <c r="C2160">
        <v>23</v>
      </c>
      <c r="D2160">
        <v>37</v>
      </c>
      <c r="E2160">
        <v>0</v>
      </c>
      <c r="F2160" s="1">
        <f t="shared" si="33"/>
        <v>0</v>
      </c>
      <c r="G2160" s="1" t="str">
        <f>_xlfn.XLOOKUP(C2160,'Ocupação DW'!$F:$F,'Ocupação DW'!$E:$E,"",0)</f>
        <v/>
      </c>
      <c r="H2160" t="str">
        <f>Vagas[[#This Row],[data]]&amp;Vagas[[#This Row],[profissional_id]]&amp;Vagas[[#This Row],[local_id]]</f>
        <v>446541788523</v>
      </c>
    </row>
    <row r="2161" spans="1:8" x14ac:dyDescent="0.25">
      <c r="A2161" s="2">
        <v>44654</v>
      </c>
      <c r="B2161">
        <v>17898</v>
      </c>
      <c r="C2161">
        <v>35</v>
      </c>
      <c r="D2161">
        <v>55</v>
      </c>
      <c r="E2161">
        <v>0</v>
      </c>
      <c r="F2161" s="1">
        <f t="shared" si="33"/>
        <v>0</v>
      </c>
      <c r="G2161" s="1" t="str">
        <f>_xlfn.XLOOKUP(C2161,'Ocupação DW'!$F:$F,'Ocupação DW'!$E:$E,"",0)</f>
        <v/>
      </c>
      <c r="H2161" t="str">
        <f>Vagas[[#This Row],[data]]&amp;Vagas[[#This Row],[profissional_id]]&amp;Vagas[[#This Row],[local_id]]</f>
        <v>446541789835</v>
      </c>
    </row>
    <row r="2162" spans="1:8" x14ac:dyDescent="0.25">
      <c r="A2162" s="2">
        <v>44654</v>
      </c>
      <c r="B2162">
        <v>17908</v>
      </c>
      <c r="C2162">
        <v>25</v>
      </c>
      <c r="D2162">
        <v>14</v>
      </c>
      <c r="E2162">
        <v>0</v>
      </c>
      <c r="F2162" s="1">
        <f t="shared" si="33"/>
        <v>0</v>
      </c>
      <c r="G2162" s="1" t="str">
        <f>_xlfn.XLOOKUP(C2162,'Ocupação DW'!$F:$F,'Ocupação DW'!$E:$E,"",0)</f>
        <v>SEG - MATRIZ</v>
      </c>
      <c r="H2162" t="str">
        <f>Vagas[[#This Row],[data]]&amp;Vagas[[#This Row],[profissional_id]]&amp;Vagas[[#This Row],[local_id]]</f>
        <v>446541790825</v>
      </c>
    </row>
    <row r="2163" spans="1:8" x14ac:dyDescent="0.25">
      <c r="A2163" s="2">
        <v>44655</v>
      </c>
      <c r="B2163">
        <v>54</v>
      </c>
      <c r="C2163">
        <v>50</v>
      </c>
      <c r="D2163">
        <v>9</v>
      </c>
      <c r="E2163">
        <v>0</v>
      </c>
      <c r="F2163" s="1">
        <f t="shared" si="33"/>
        <v>0</v>
      </c>
      <c r="G2163" s="1" t="str">
        <f>_xlfn.XLOOKUP(C2163,'Ocupação DW'!$F:$F,'Ocupação DW'!$E:$E,"",0)</f>
        <v>SEG - FILIAL I</v>
      </c>
      <c r="H2163" t="str">
        <f>Vagas[[#This Row],[data]]&amp;Vagas[[#This Row],[profissional_id]]&amp;Vagas[[#This Row],[local_id]]</f>
        <v>446555450</v>
      </c>
    </row>
    <row r="2164" spans="1:8" x14ac:dyDescent="0.25">
      <c r="A2164" s="2">
        <v>44655</v>
      </c>
      <c r="B2164">
        <v>59</v>
      </c>
      <c r="C2164">
        <v>340</v>
      </c>
      <c r="D2164">
        <v>23</v>
      </c>
      <c r="E2164">
        <v>2</v>
      </c>
      <c r="F2164" s="1">
        <f t="shared" si="33"/>
        <v>0</v>
      </c>
      <c r="G2164" s="1" t="str">
        <f>_xlfn.XLOOKUP(C2164,'Ocupação DW'!$F:$F,'Ocupação DW'!$E:$E,"",0)</f>
        <v>SEG - MATRIZ</v>
      </c>
      <c r="H2164" t="str">
        <f>Vagas[[#This Row],[data]]&amp;Vagas[[#This Row],[profissional_id]]&amp;Vagas[[#This Row],[local_id]]</f>
        <v>4465559340</v>
      </c>
    </row>
    <row r="2165" spans="1:8" x14ac:dyDescent="0.25">
      <c r="A2165" s="2">
        <v>44655</v>
      </c>
      <c r="B2165">
        <v>60</v>
      </c>
      <c r="C2165">
        <v>66</v>
      </c>
      <c r="D2165">
        <v>0</v>
      </c>
      <c r="E2165">
        <v>0</v>
      </c>
      <c r="F2165" s="1">
        <f t="shared" si="33"/>
        <v>0</v>
      </c>
      <c r="G2165" s="1" t="str">
        <f>_xlfn.XLOOKUP(C2165,'Ocupação DW'!$F:$F,'Ocupação DW'!$E:$E,"",0)</f>
        <v>SEG - NILÓPOLIS</v>
      </c>
      <c r="H2165" t="str">
        <f>Vagas[[#This Row],[data]]&amp;Vagas[[#This Row],[profissional_id]]&amp;Vagas[[#This Row],[local_id]]</f>
        <v>446556066</v>
      </c>
    </row>
    <row r="2166" spans="1:8" x14ac:dyDescent="0.25">
      <c r="A2166" s="2">
        <v>44655</v>
      </c>
      <c r="B2166">
        <v>60</v>
      </c>
      <c r="C2166">
        <v>345</v>
      </c>
      <c r="D2166">
        <v>0</v>
      </c>
      <c r="E2166">
        <v>0</v>
      </c>
      <c r="F2166" s="1">
        <f t="shared" si="33"/>
        <v>0</v>
      </c>
      <c r="G2166" s="1" t="str">
        <f>_xlfn.XLOOKUP(C2166,'Ocupação DW'!$F:$F,'Ocupação DW'!$E:$E,"",0)</f>
        <v>SEG - MATRIZ</v>
      </c>
      <c r="H2166" t="str">
        <f>Vagas[[#This Row],[data]]&amp;Vagas[[#This Row],[profissional_id]]&amp;Vagas[[#This Row],[local_id]]</f>
        <v>4465560345</v>
      </c>
    </row>
    <row r="2167" spans="1:8" x14ac:dyDescent="0.25">
      <c r="A2167" s="2">
        <v>44655</v>
      </c>
      <c r="B2167">
        <v>66</v>
      </c>
      <c r="C2167">
        <v>345</v>
      </c>
      <c r="D2167">
        <v>60</v>
      </c>
      <c r="E2167">
        <v>0</v>
      </c>
      <c r="F2167" s="1">
        <f t="shared" si="33"/>
        <v>0</v>
      </c>
      <c r="G2167" s="1" t="str">
        <f>_xlfn.XLOOKUP(C2167,'Ocupação DW'!$F:$F,'Ocupação DW'!$E:$E,"",0)</f>
        <v>SEG - MATRIZ</v>
      </c>
      <c r="H2167" t="str">
        <f>Vagas[[#This Row],[data]]&amp;Vagas[[#This Row],[profissional_id]]&amp;Vagas[[#This Row],[local_id]]</f>
        <v>4465566345</v>
      </c>
    </row>
    <row r="2168" spans="1:8" x14ac:dyDescent="0.25">
      <c r="A2168" s="2">
        <v>44655</v>
      </c>
      <c r="B2168">
        <v>70</v>
      </c>
      <c r="C2168">
        <v>13</v>
      </c>
      <c r="D2168">
        <v>0</v>
      </c>
      <c r="E2168">
        <v>0</v>
      </c>
      <c r="F2168" s="1">
        <f t="shared" si="33"/>
        <v>0</v>
      </c>
      <c r="G2168" s="1" t="str">
        <f>_xlfn.XLOOKUP(C2168,'Ocupação DW'!$F:$F,'Ocupação DW'!$E:$E,"",0)</f>
        <v>SEG - FILIAL II 11°</v>
      </c>
      <c r="H2168" t="str">
        <f>Vagas[[#This Row],[data]]&amp;Vagas[[#This Row],[profissional_id]]&amp;Vagas[[#This Row],[local_id]]</f>
        <v>446557013</v>
      </c>
    </row>
    <row r="2169" spans="1:8" x14ac:dyDescent="0.25">
      <c r="A2169" s="2">
        <v>44655</v>
      </c>
      <c r="B2169">
        <v>75</v>
      </c>
      <c r="C2169">
        <v>15</v>
      </c>
      <c r="D2169">
        <v>0</v>
      </c>
      <c r="E2169">
        <v>0</v>
      </c>
      <c r="F2169" s="1">
        <f t="shared" si="33"/>
        <v>0</v>
      </c>
      <c r="G2169" s="1" t="str">
        <f>_xlfn.XLOOKUP(C2169,'Ocupação DW'!$F:$F,'Ocupação DW'!$E:$E,"",0)</f>
        <v>SEG - FILIAL II 11°</v>
      </c>
      <c r="H2169" t="str">
        <f>Vagas[[#This Row],[data]]&amp;Vagas[[#This Row],[profissional_id]]&amp;Vagas[[#This Row],[local_id]]</f>
        <v>446557515</v>
      </c>
    </row>
    <row r="2170" spans="1:8" x14ac:dyDescent="0.25">
      <c r="A2170" s="2">
        <v>44655</v>
      </c>
      <c r="B2170">
        <v>81</v>
      </c>
      <c r="C2170">
        <v>41</v>
      </c>
      <c r="D2170">
        <v>0</v>
      </c>
      <c r="E2170">
        <v>0</v>
      </c>
      <c r="F2170" s="1">
        <f t="shared" si="33"/>
        <v>0</v>
      </c>
      <c r="G2170" s="1" t="str">
        <f>_xlfn.XLOOKUP(C2170,'Ocupação DW'!$F:$F,'Ocupação DW'!$E:$E,"",0)</f>
        <v>SEG - FILIAL I</v>
      </c>
      <c r="H2170" t="str">
        <f>Vagas[[#This Row],[data]]&amp;Vagas[[#This Row],[profissional_id]]&amp;Vagas[[#This Row],[local_id]]</f>
        <v>446558141</v>
      </c>
    </row>
    <row r="2171" spans="1:8" x14ac:dyDescent="0.25">
      <c r="A2171" s="2">
        <v>44655</v>
      </c>
      <c r="B2171">
        <v>86</v>
      </c>
      <c r="C2171">
        <v>349</v>
      </c>
      <c r="D2171">
        <v>0</v>
      </c>
      <c r="E2171">
        <v>4</v>
      </c>
      <c r="F2171" s="1">
        <f t="shared" si="33"/>
        <v>0</v>
      </c>
      <c r="G2171" s="1" t="str">
        <f>_xlfn.XLOOKUP(C2171,'Ocupação DW'!$F:$F,'Ocupação DW'!$E:$E,"",0)</f>
        <v>SEG - FILIAL II 11°</v>
      </c>
      <c r="H2171" t="str">
        <f>Vagas[[#This Row],[data]]&amp;Vagas[[#This Row],[profissional_id]]&amp;Vagas[[#This Row],[local_id]]</f>
        <v>4465586349</v>
      </c>
    </row>
    <row r="2172" spans="1:8" x14ac:dyDescent="0.25">
      <c r="A2172" s="2">
        <v>44655</v>
      </c>
      <c r="B2172">
        <v>92</v>
      </c>
      <c r="C2172">
        <v>340</v>
      </c>
      <c r="D2172">
        <v>96</v>
      </c>
      <c r="E2172">
        <v>12</v>
      </c>
      <c r="F2172" s="1">
        <f t="shared" si="33"/>
        <v>0</v>
      </c>
      <c r="G2172" s="1" t="str">
        <f>_xlfn.XLOOKUP(C2172,'Ocupação DW'!$F:$F,'Ocupação DW'!$E:$E,"",0)</f>
        <v>SEG - MATRIZ</v>
      </c>
      <c r="H2172" t="str">
        <f>Vagas[[#This Row],[data]]&amp;Vagas[[#This Row],[profissional_id]]&amp;Vagas[[#This Row],[local_id]]</f>
        <v>4465592340</v>
      </c>
    </row>
    <row r="2173" spans="1:8" x14ac:dyDescent="0.25">
      <c r="A2173" s="2">
        <v>44655</v>
      </c>
      <c r="B2173">
        <v>93</v>
      </c>
      <c r="C2173">
        <v>343</v>
      </c>
      <c r="D2173">
        <v>60</v>
      </c>
      <c r="E2173">
        <v>0</v>
      </c>
      <c r="F2173" s="1">
        <f t="shared" si="33"/>
        <v>0</v>
      </c>
      <c r="G2173" s="1" t="str">
        <f>_xlfn.XLOOKUP(C2173,'Ocupação DW'!$F:$F,'Ocupação DW'!$E:$E,"",0)</f>
        <v/>
      </c>
      <c r="H2173" t="str">
        <f>Vagas[[#This Row],[data]]&amp;Vagas[[#This Row],[profissional_id]]&amp;Vagas[[#This Row],[local_id]]</f>
        <v>4465593343</v>
      </c>
    </row>
    <row r="2174" spans="1:8" x14ac:dyDescent="0.25">
      <c r="A2174" s="2">
        <v>44655</v>
      </c>
      <c r="B2174">
        <v>100</v>
      </c>
      <c r="C2174">
        <v>342</v>
      </c>
      <c r="D2174">
        <v>0</v>
      </c>
      <c r="E2174">
        <v>0</v>
      </c>
      <c r="F2174" s="1">
        <f t="shared" si="33"/>
        <v>0</v>
      </c>
      <c r="G2174" s="1" t="str">
        <f>_xlfn.XLOOKUP(C2174,'Ocupação DW'!$F:$F,'Ocupação DW'!$E:$E,"",0)</f>
        <v>SEG - MATRIZ</v>
      </c>
      <c r="H2174" t="str">
        <f>Vagas[[#This Row],[data]]&amp;Vagas[[#This Row],[profissional_id]]&amp;Vagas[[#This Row],[local_id]]</f>
        <v>44655100342</v>
      </c>
    </row>
    <row r="2175" spans="1:8" x14ac:dyDescent="0.25">
      <c r="A2175" s="2">
        <v>44655</v>
      </c>
      <c r="B2175">
        <v>117</v>
      </c>
      <c r="C2175">
        <v>48</v>
      </c>
      <c r="D2175">
        <v>0</v>
      </c>
      <c r="E2175">
        <v>0</v>
      </c>
      <c r="F2175" s="1">
        <f t="shared" si="33"/>
        <v>0</v>
      </c>
      <c r="G2175" s="1" t="str">
        <f>_xlfn.XLOOKUP(C2175,'Ocupação DW'!$F:$F,'Ocupação DW'!$E:$E,"",0)</f>
        <v>SEG - FILIAL I</v>
      </c>
      <c r="H2175" t="str">
        <f>Vagas[[#This Row],[data]]&amp;Vagas[[#This Row],[profissional_id]]&amp;Vagas[[#This Row],[local_id]]</f>
        <v>4465511748</v>
      </c>
    </row>
    <row r="2176" spans="1:8" x14ac:dyDescent="0.25">
      <c r="A2176" s="2">
        <v>44655</v>
      </c>
      <c r="B2176">
        <v>123</v>
      </c>
      <c r="C2176">
        <v>351</v>
      </c>
      <c r="D2176">
        <v>11</v>
      </c>
      <c r="E2176">
        <v>0</v>
      </c>
      <c r="F2176" s="1">
        <f t="shared" si="33"/>
        <v>0</v>
      </c>
      <c r="G2176" s="1" t="str">
        <f>_xlfn.XLOOKUP(C2176,'Ocupação DW'!$F:$F,'Ocupação DW'!$E:$E,"",0)</f>
        <v>SEG - FILIAL I</v>
      </c>
      <c r="H2176" t="str">
        <f>Vagas[[#This Row],[data]]&amp;Vagas[[#This Row],[profissional_id]]&amp;Vagas[[#This Row],[local_id]]</f>
        <v>44655123351</v>
      </c>
    </row>
    <row r="2177" spans="1:8" x14ac:dyDescent="0.25">
      <c r="A2177" s="2">
        <v>44655</v>
      </c>
      <c r="B2177">
        <v>282</v>
      </c>
      <c r="C2177">
        <v>39</v>
      </c>
      <c r="D2177">
        <v>52</v>
      </c>
      <c r="E2177">
        <v>0</v>
      </c>
      <c r="F2177" s="1">
        <f t="shared" si="33"/>
        <v>0</v>
      </c>
      <c r="G2177" s="1" t="str">
        <f>_xlfn.XLOOKUP(C2177,'Ocupação DW'!$F:$F,'Ocupação DW'!$E:$E,"",0)</f>
        <v>SEG - FILIAL I</v>
      </c>
      <c r="H2177" t="str">
        <f>Vagas[[#This Row],[data]]&amp;Vagas[[#This Row],[profissional_id]]&amp;Vagas[[#This Row],[local_id]]</f>
        <v>4465528239</v>
      </c>
    </row>
    <row r="2178" spans="1:8" x14ac:dyDescent="0.25">
      <c r="A2178" s="2">
        <v>44655</v>
      </c>
      <c r="B2178">
        <v>531</v>
      </c>
      <c r="D2178">
        <v>0</v>
      </c>
      <c r="E2178">
        <v>0</v>
      </c>
      <c r="F2178" s="1">
        <f t="shared" ref="F2178:F2241" si="34">IF(AND(A2178=A2177,B2178=B2177,D2177&lt;&gt;0,D2178=0),D2177,0)</f>
        <v>0</v>
      </c>
      <c r="G2178" s="1" t="str">
        <f>_xlfn.XLOOKUP(C2178,'Ocupação DW'!$F:$F,'Ocupação DW'!$E:$E,"",0)</f>
        <v/>
      </c>
      <c r="H2178" t="str">
        <f>Vagas[[#This Row],[data]]&amp;Vagas[[#This Row],[profissional_id]]&amp;Vagas[[#This Row],[local_id]]</f>
        <v>44655531</v>
      </c>
    </row>
    <row r="2179" spans="1:8" x14ac:dyDescent="0.25">
      <c r="A2179" s="2">
        <v>44655</v>
      </c>
      <c r="B2179">
        <v>2567</v>
      </c>
      <c r="C2179">
        <v>18</v>
      </c>
      <c r="D2179">
        <v>0</v>
      </c>
      <c r="E2179">
        <v>12</v>
      </c>
      <c r="F2179" s="1">
        <f t="shared" si="34"/>
        <v>0</v>
      </c>
      <c r="G2179" s="1" t="str">
        <f>_xlfn.XLOOKUP(C2179,'Ocupação DW'!$F:$F,'Ocupação DW'!$E:$E,"",0)</f>
        <v>SEG - FILIAL II 11°</v>
      </c>
      <c r="H2179" t="str">
        <f>Vagas[[#This Row],[data]]&amp;Vagas[[#This Row],[profissional_id]]&amp;Vagas[[#This Row],[local_id]]</f>
        <v>44655256718</v>
      </c>
    </row>
    <row r="2180" spans="1:8" x14ac:dyDescent="0.25">
      <c r="A2180" s="2">
        <v>44655</v>
      </c>
      <c r="B2180">
        <v>2730</v>
      </c>
      <c r="C2180">
        <v>3</v>
      </c>
      <c r="D2180">
        <v>15</v>
      </c>
      <c r="E2180">
        <v>0</v>
      </c>
      <c r="F2180" s="1">
        <f t="shared" si="34"/>
        <v>0</v>
      </c>
      <c r="G2180" s="1" t="str">
        <f>_xlfn.XLOOKUP(C2180,'Ocupação DW'!$F:$F,'Ocupação DW'!$E:$E,"",0)</f>
        <v>SEG - FILIAL II 10°</v>
      </c>
      <c r="H2180" t="str">
        <f>Vagas[[#This Row],[data]]&amp;Vagas[[#This Row],[profissional_id]]&amp;Vagas[[#This Row],[local_id]]</f>
        <v>4465527303</v>
      </c>
    </row>
    <row r="2181" spans="1:8" x14ac:dyDescent="0.25">
      <c r="A2181" s="2">
        <v>44655</v>
      </c>
      <c r="B2181">
        <v>2984</v>
      </c>
      <c r="C2181">
        <v>7</v>
      </c>
      <c r="D2181">
        <v>0</v>
      </c>
      <c r="E2181">
        <v>0</v>
      </c>
      <c r="F2181" s="1">
        <f t="shared" si="34"/>
        <v>0</v>
      </c>
      <c r="G2181" s="1" t="str">
        <f>_xlfn.XLOOKUP(C2181,'Ocupação DW'!$F:$F,'Ocupação DW'!$E:$E,"",0)</f>
        <v>SEG - FILIAL II 10°</v>
      </c>
      <c r="H2181" t="str">
        <f>Vagas[[#This Row],[data]]&amp;Vagas[[#This Row],[profissional_id]]&amp;Vagas[[#This Row],[local_id]]</f>
        <v>4465529847</v>
      </c>
    </row>
    <row r="2182" spans="1:8" x14ac:dyDescent="0.25">
      <c r="A2182" s="2">
        <v>44655</v>
      </c>
      <c r="B2182">
        <v>3092</v>
      </c>
      <c r="C2182">
        <v>44</v>
      </c>
      <c r="D2182">
        <v>0</v>
      </c>
      <c r="E2182">
        <v>0</v>
      </c>
      <c r="F2182" s="1">
        <f t="shared" si="34"/>
        <v>0</v>
      </c>
      <c r="G2182" s="1" t="str">
        <f>_xlfn.XLOOKUP(C2182,'Ocupação DW'!$F:$F,'Ocupação DW'!$E:$E,"",0)</f>
        <v>SEG - FILIAL I</v>
      </c>
      <c r="H2182" t="str">
        <f>Vagas[[#This Row],[data]]&amp;Vagas[[#This Row],[profissional_id]]&amp;Vagas[[#This Row],[local_id]]</f>
        <v>44655309244</v>
      </c>
    </row>
    <row r="2183" spans="1:8" x14ac:dyDescent="0.25">
      <c r="A2183" s="2">
        <v>44655</v>
      </c>
      <c r="B2183">
        <v>3158</v>
      </c>
      <c r="C2183">
        <v>342</v>
      </c>
      <c r="D2183">
        <v>0</v>
      </c>
      <c r="E2183">
        <v>0</v>
      </c>
      <c r="F2183" s="1">
        <f t="shared" si="34"/>
        <v>0</v>
      </c>
      <c r="G2183" s="1" t="str">
        <f>_xlfn.XLOOKUP(C2183,'Ocupação DW'!$F:$F,'Ocupação DW'!$E:$E,"",0)</f>
        <v>SEG - MATRIZ</v>
      </c>
      <c r="H2183" t="str">
        <f>Vagas[[#This Row],[data]]&amp;Vagas[[#This Row],[profissional_id]]&amp;Vagas[[#This Row],[local_id]]</f>
        <v>446553158342</v>
      </c>
    </row>
    <row r="2184" spans="1:8" x14ac:dyDescent="0.25">
      <c r="A2184" s="2">
        <v>44655</v>
      </c>
      <c r="B2184">
        <v>4422</v>
      </c>
      <c r="C2184">
        <v>81</v>
      </c>
      <c r="D2184">
        <v>48</v>
      </c>
      <c r="E2184">
        <v>0</v>
      </c>
      <c r="F2184" s="1">
        <f t="shared" si="34"/>
        <v>0</v>
      </c>
      <c r="G2184" s="1" t="str">
        <f>_xlfn.XLOOKUP(C2184,'Ocupação DW'!$F:$F,'Ocupação DW'!$E:$E,"",0)</f>
        <v>SEG - MIGUEL COUTO</v>
      </c>
      <c r="H2184" t="str">
        <f>Vagas[[#This Row],[data]]&amp;Vagas[[#This Row],[profissional_id]]&amp;Vagas[[#This Row],[local_id]]</f>
        <v>44655442281</v>
      </c>
    </row>
    <row r="2185" spans="1:8" x14ac:dyDescent="0.25">
      <c r="A2185" s="2">
        <v>44655</v>
      </c>
      <c r="B2185">
        <v>5927</v>
      </c>
      <c r="C2185">
        <v>17</v>
      </c>
      <c r="D2185">
        <v>0</v>
      </c>
      <c r="E2185">
        <v>0</v>
      </c>
      <c r="F2185" s="1">
        <f t="shared" si="34"/>
        <v>0</v>
      </c>
      <c r="G2185" s="1" t="str">
        <f>_xlfn.XLOOKUP(C2185,'Ocupação DW'!$F:$F,'Ocupação DW'!$E:$E,"",0)</f>
        <v>SEG - FILIAL II 11°</v>
      </c>
      <c r="H2185" t="str">
        <f>Vagas[[#This Row],[data]]&amp;Vagas[[#This Row],[profissional_id]]&amp;Vagas[[#This Row],[local_id]]</f>
        <v>44655592717</v>
      </c>
    </row>
    <row r="2186" spans="1:8" x14ac:dyDescent="0.25">
      <c r="A2186" s="2">
        <v>44655</v>
      </c>
      <c r="B2186">
        <v>6046</v>
      </c>
      <c r="C2186">
        <v>62</v>
      </c>
      <c r="D2186">
        <v>0</v>
      </c>
      <c r="E2186">
        <v>0</v>
      </c>
      <c r="F2186" s="1">
        <f t="shared" si="34"/>
        <v>0</v>
      </c>
      <c r="G2186" s="1" t="str">
        <f>_xlfn.XLOOKUP(C2186,'Ocupação DW'!$F:$F,'Ocupação DW'!$E:$E,"",0)</f>
        <v>SEG - NILÓPOLIS</v>
      </c>
      <c r="H2186" t="str">
        <f>Vagas[[#This Row],[data]]&amp;Vagas[[#This Row],[profissional_id]]&amp;Vagas[[#This Row],[local_id]]</f>
        <v>44655604662</v>
      </c>
    </row>
    <row r="2187" spans="1:8" x14ac:dyDescent="0.25">
      <c r="A2187" s="2">
        <v>44655</v>
      </c>
      <c r="B2187">
        <v>6046</v>
      </c>
      <c r="C2187">
        <v>46</v>
      </c>
      <c r="D2187">
        <v>0</v>
      </c>
      <c r="E2187">
        <v>0</v>
      </c>
      <c r="F2187" s="1">
        <f t="shared" si="34"/>
        <v>0</v>
      </c>
      <c r="G2187" s="1" t="str">
        <f>_xlfn.XLOOKUP(C2187,'Ocupação DW'!$F:$F,'Ocupação DW'!$E:$E,"",0)</f>
        <v>SEG - FILIAL I</v>
      </c>
      <c r="H2187" t="str">
        <f>Vagas[[#This Row],[data]]&amp;Vagas[[#This Row],[profissional_id]]&amp;Vagas[[#This Row],[local_id]]</f>
        <v>44655604646</v>
      </c>
    </row>
    <row r="2188" spans="1:8" x14ac:dyDescent="0.25">
      <c r="A2188" s="2">
        <v>44655</v>
      </c>
      <c r="B2188">
        <v>6392</v>
      </c>
      <c r="C2188">
        <v>5</v>
      </c>
      <c r="D2188">
        <v>0</v>
      </c>
      <c r="E2188">
        <v>0</v>
      </c>
      <c r="F2188" s="1">
        <f t="shared" si="34"/>
        <v>0</v>
      </c>
      <c r="G2188" s="1" t="str">
        <f>_xlfn.XLOOKUP(C2188,'Ocupação DW'!$F:$F,'Ocupação DW'!$E:$E,"",0)</f>
        <v>SEG - FILIAL II 10°</v>
      </c>
      <c r="H2188" t="str">
        <f>Vagas[[#This Row],[data]]&amp;Vagas[[#This Row],[profissional_id]]&amp;Vagas[[#This Row],[local_id]]</f>
        <v>4465563925</v>
      </c>
    </row>
    <row r="2189" spans="1:8" x14ac:dyDescent="0.25">
      <c r="A2189" s="2">
        <v>44655</v>
      </c>
      <c r="B2189">
        <v>6430</v>
      </c>
      <c r="C2189">
        <v>86</v>
      </c>
      <c r="D2189">
        <v>0</v>
      </c>
      <c r="E2189">
        <v>0</v>
      </c>
      <c r="F2189" s="1">
        <f t="shared" si="34"/>
        <v>0</v>
      </c>
      <c r="G2189" s="1" t="str">
        <f>_xlfn.XLOOKUP(C2189,'Ocupação DW'!$F:$F,'Ocupação DW'!$E:$E,"",0)</f>
        <v>SEG - MIGUEL COUTO</v>
      </c>
      <c r="H2189" t="str">
        <f>Vagas[[#This Row],[data]]&amp;Vagas[[#This Row],[profissional_id]]&amp;Vagas[[#This Row],[local_id]]</f>
        <v>44655643086</v>
      </c>
    </row>
    <row r="2190" spans="1:8" x14ac:dyDescent="0.25">
      <c r="A2190" s="2">
        <v>44655</v>
      </c>
      <c r="B2190">
        <v>9207</v>
      </c>
      <c r="C2190">
        <v>79</v>
      </c>
      <c r="D2190">
        <v>108</v>
      </c>
      <c r="E2190">
        <v>12</v>
      </c>
      <c r="F2190" s="1">
        <f t="shared" si="34"/>
        <v>0</v>
      </c>
      <c r="G2190" s="1" t="str">
        <f>_xlfn.XLOOKUP(C2190,'Ocupação DW'!$F:$F,'Ocupação DW'!$E:$E,"",0)</f>
        <v/>
      </c>
      <c r="H2190" t="str">
        <f>Vagas[[#This Row],[data]]&amp;Vagas[[#This Row],[profissional_id]]&amp;Vagas[[#This Row],[local_id]]</f>
        <v>44655920779</v>
      </c>
    </row>
    <row r="2191" spans="1:8" x14ac:dyDescent="0.25">
      <c r="A2191" s="2">
        <v>44655</v>
      </c>
      <c r="B2191">
        <v>9237</v>
      </c>
      <c r="C2191">
        <v>343</v>
      </c>
      <c r="D2191">
        <v>60</v>
      </c>
      <c r="E2191">
        <v>0</v>
      </c>
      <c r="F2191" s="1">
        <f t="shared" si="34"/>
        <v>0</v>
      </c>
      <c r="G2191" s="1" t="str">
        <f>_xlfn.XLOOKUP(C2191,'Ocupação DW'!$F:$F,'Ocupação DW'!$E:$E,"",0)</f>
        <v/>
      </c>
      <c r="H2191" t="str">
        <f>Vagas[[#This Row],[data]]&amp;Vagas[[#This Row],[profissional_id]]&amp;Vagas[[#This Row],[local_id]]</f>
        <v>446559237343</v>
      </c>
    </row>
    <row r="2192" spans="1:8" x14ac:dyDescent="0.25">
      <c r="A2192" s="2">
        <v>44655</v>
      </c>
      <c r="B2192">
        <v>10595</v>
      </c>
      <c r="C2192">
        <v>78</v>
      </c>
      <c r="D2192">
        <v>0</v>
      </c>
      <c r="E2192">
        <v>4</v>
      </c>
      <c r="F2192" s="1">
        <f t="shared" si="34"/>
        <v>0</v>
      </c>
      <c r="G2192" s="1" t="str">
        <f>_xlfn.XLOOKUP(C2192,'Ocupação DW'!$F:$F,'Ocupação DW'!$E:$E,"",0)</f>
        <v>SEG - MIGUEL COUTO</v>
      </c>
      <c r="H2192" t="str">
        <f>Vagas[[#This Row],[data]]&amp;Vagas[[#This Row],[profissional_id]]&amp;Vagas[[#This Row],[local_id]]</f>
        <v>446551059578</v>
      </c>
    </row>
    <row r="2193" spans="1:8" x14ac:dyDescent="0.25">
      <c r="A2193" s="2">
        <v>44655</v>
      </c>
      <c r="B2193">
        <v>10691</v>
      </c>
      <c r="C2193">
        <v>348</v>
      </c>
      <c r="D2193">
        <v>0</v>
      </c>
      <c r="E2193">
        <v>0</v>
      </c>
      <c r="F2193" s="1">
        <f t="shared" si="34"/>
        <v>0</v>
      </c>
      <c r="G2193" s="1" t="str">
        <f>_xlfn.XLOOKUP(C2193,'Ocupação DW'!$F:$F,'Ocupação DW'!$E:$E,"",0)</f>
        <v>SEG - MATRIZ</v>
      </c>
      <c r="H2193" t="str">
        <f>Vagas[[#This Row],[data]]&amp;Vagas[[#This Row],[profissional_id]]&amp;Vagas[[#This Row],[local_id]]</f>
        <v>4465510691348</v>
      </c>
    </row>
    <row r="2194" spans="1:8" x14ac:dyDescent="0.25">
      <c r="A2194" s="2">
        <v>44655</v>
      </c>
      <c r="B2194">
        <v>10691</v>
      </c>
      <c r="C2194">
        <v>9</v>
      </c>
      <c r="D2194">
        <v>0</v>
      </c>
      <c r="E2194">
        <v>0</v>
      </c>
      <c r="F2194" s="1">
        <f t="shared" si="34"/>
        <v>0</v>
      </c>
      <c r="G2194" s="1" t="str">
        <f>_xlfn.XLOOKUP(C2194,'Ocupação DW'!$F:$F,'Ocupação DW'!$E:$E,"",0)</f>
        <v>SEG - FILIAL II 10°</v>
      </c>
      <c r="H2194" t="str">
        <f>Vagas[[#This Row],[data]]&amp;Vagas[[#This Row],[profissional_id]]&amp;Vagas[[#This Row],[local_id]]</f>
        <v>44655106919</v>
      </c>
    </row>
    <row r="2195" spans="1:8" x14ac:dyDescent="0.25">
      <c r="A2195" s="2">
        <v>44655</v>
      </c>
      <c r="B2195">
        <v>10941</v>
      </c>
      <c r="C2195">
        <v>67</v>
      </c>
      <c r="D2195">
        <v>0</v>
      </c>
      <c r="E2195">
        <v>0</v>
      </c>
      <c r="F2195" s="1">
        <f t="shared" si="34"/>
        <v>0</v>
      </c>
      <c r="G2195" s="1" t="str">
        <f>_xlfn.XLOOKUP(C2195,'Ocupação DW'!$F:$F,'Ocupação DW'!$E:$E,"",0)</f>
        <v>SEG - NILÓPOLIS</v>
      </c>
      <c r="H2195" t="str">
        <f>Vagas[[#This Row],[data]]&amp;Vagas[[#This Row],[profissional_id]]&amp;Vagas[[#This Row],[local_id]]</f>
        <v>446551094167</v>
      </c>
    </row>
    <row r="2196" spans="1:8" x14ac:dyDescent="0.25">
      <c r="A2196" s="2">
        <v>44655</v>
      </c>
      <c r="B2196">
        <v>10941</v>
      </c>
      <c r="C2196">
        <v>11</v>
      </c>
      <c r="D2196">
        <v>0</v>
      </c>
      <c r="E2196">
        <v>0</v>
      </c>
      <c r="F2196" s="1">
        <f t="shared" si="34"/>
        <v>0</v>
      </c>
      <c r="G2196" s="1" t="str">
        <f>_xlfn.XLOOKUP(C2196,'Ocupação DW'!$F:$F,'Ocupação DW'!$E:$E,"",0)</f>
        <v>SEG - FILIAL II 11°</v>
      </c>
      <c r="H2196" t="str">
        <f>Vagas[[#This Row],[data]]&amp;Vagas[[#This Row],[profissional_id]]&amp;Vagas[[#This Row],[local_id]]</f>
        <v>446551094111</v>
      </c>
    </row>
    <row r="2197" spans="1:8" x14ac:dyDescent="0.25">
      <c r="A2197" s="2">
        <v>44655</v>
      </c>
      <c r="B2197">
        <v>10946</v>
      </c>
      <c r="C2197">
        <v>3</v>
      </c>
      <c r="D2197">
        <v>0</v>
      </c>
      <c r="E2197">
        <v>0</v>
      </c>
      <c r="F2197" s="1">
        <f t="shared" si="34"/>
        <v>0</v>
      </c>
      <c r="G2197" s="1" t="str">
        <f>_xlfn.XLOOKUP(C2197,'Ocupação DW'!$F:$F,'Ocupação DW'!$E:$E,"",0)</f>
        <v>SEG - FILIAL II 10°</v>
      </c>
      <c r="H2197" t="str">
        <f>Vagas[[#This Row],[data]]&amp;Vagas[[#This Row],[profissional_id]]&amp;Vagas[[#This Row],[local_id]]</f>
        <v>44655109463</v>
      </c>
    </row>
    <row r="2198" spans="1:8" x14ac:dyDescent="0.25">
      <c r="A2198" s="2">
        <v>44655</v>
      </c>
      <c r="B2198">
        <v>11241</v>
      </c>
      <c r="C2198">
        <v>51</v>
      </c>
      <c r="D2198">
        <v>0</v>
      </c>
      <c r="E2198">
        <v>0</v>
      </c>
      <c r="F2198" s="1">
        <f t="shared" si="34"/>
        <v>0</v>
      </c>
      <c r="G2198" s="1" t="str">
        <f>_xlfn.XLOOKUP(C2198,'Ocupação DW'!$F:$F,'Ocupação DW'!$E:$E,"",0)</f>
        <v>SEG - FILIAL I</v>
      </c>
      <c r="H2198" t="str">
        <f>Vagas[[#This Row],[data]]&amp;Vagas[[#This Row],[profissional_id]]&amp;Vagas[[#This Row],[local_id]]</f>
        <v>446551124151</v>
      </c>
    </row>
    <row r="2199" spans="1:8" x14ac:dyDescent="0.25">
      <c r="A2199" s="2">
        <v>44655</v>
      </c>
      <c r="B2199">
        <v>11397</v>
      </c>
      <c r="C2199">
        <v>346</v>
      </c>
      <c r="D2199">
        <v>72</v>
      </c>
      <c r="E2199">
        <v>0</v>
      </c>
      <c r="F2199" s="1">
        <f t="shared" si="34"/>
        <v>0</v>
      </c>
      <c r="G2199" s="1" t="str">
        <f>_xlfn.XLOOKUP(C2199,'Ocupação DW'!$F:$F,'Ocupação DW'!$E:$E,"",0)</f>
        <v>SEG - MATRIZ</v>
      </c>
      <c r="H2199" t="str">
        <f>Vagas[[#This Row],[data]]&amp;Vagas[[#This Row],[profissional_id]]&amp;Vagas[[#This Row],[local_id]]</f>
        <v>4465511397346</v>
      </c>
    </row>
    <row r="2200" spans="1:8" x14ac:dyDescent="0.25">
      <c r="A2200" s="2">
        <v>44655</v>
      </c>
      <c r="B2200">
        <v>11634</v>
      </c>
      <c r="C2200">
        <v>339</v>
      </c>
      <c r="D2200">
        <v>120</v>
      </c>
      <c r="E2200">
        <v>0</v>
      </c>
      <c r="F2200" s="1">
        <f t="shared" si="34"/>
        <v>0</v>
      </c>
      <c r="G2200" s="1" t="str">
        <f>_xlfn.XLOOKUP(C2200,'Ocupação DW'!$F:$F,'Ocupação DW'!$E:$E,"",0)</f>
        <v>SEG - MATRIZ</v>
      </c>
      <c r="H2200" t="str">
        <f>Vagas[[#This Row],[data]]&amp;Vagas[[#This Row],[profissional_id]]&amp;Vagas[[#This Row],[local_id]]</f>
        <v>4465511634339</v>
      </c>
    </row>
    <row r="2201" spans="1:8" x14ac:dyDescent="0.25">
      <c r="A2201" s="2">
        <v>44655</v>
      </c>
      <c r="B2201">
        <v>12679</v>
      </c>
      <c r="C2201">
        <v>334</v>
      </c>
      <c r="D2201">
        <v>0</v>
      </c>
      <c r="E2201">
        <v>0</v>
      </c>
      <c r="F2201" s="1">
        <f t="shared" si="34"/>
        <v>0</v>
      </c>
      <c r="G2201" s="1" t="str">
        <f>_xlfn.XLOOKUP(C2201,'Ocupação DW'!$F:$F,'Ocupação DW'!$E:$E,"",0)</f>
        <v>SEG - FILIAL I</v>
      </c>
      <c r="H2201" t="str">
        <f>Vagas[[#This Row],[data]]&amp;Vagas[[#This Row],[profissional_id]]&amp;Vagas[[#This Row],[local_id]]</f>
        <v>4465512679334</v>
      </c>
    </row>
    <row r="2202" spans="1:8" x14ac:dyDescent="0.25">
      <c r="A2202" s="2">
        <v>44655</v>
      </c>
      <c r="B2202">
        <v>12810</v>
      </c>
      <c r="C2202">
        <v>339</v>
      </c>
      <c r="D2202">
        <v>60</v>
      </c>
      <c r="E2202">
        <v>0</v>
      </c>
      <c r="F2202" s="1">
        <f t="shared" si="34"/>
        <v>0</v>
      </c>
      <c r="G2202" s="1" t="str">
        <f>_xlfn.XLOOKUP(C2202,'Ocupação DW'!$F:$F,'Ocupação DW'!$E:$E,"",0)</f>
        <v>SEG - MATRIZ</v>
      </c>
      <c r="H2202" t="str">
        <f>Vagas[[#This Row],[data]]&amp;Vagas[[#This Row],[profissional_id]]&amp;Vagas[[#This Row],[local_id]]</f>
        <v>4465512810339</v>
      </c>
    </row>
    <row r="2203" spans="1:8" x14ac:dyDescent="0.25">
      <c r="A2203" s="2">
        <v>44655</v>
      </c>
      <c r="B2203">
        <v>13220</v>
      </c>
      <c r="C2203">
        <v>61</v>
      </c>
      <c r="D2203">
        <v>120</v>
      </c>
      <c r="E2203">
        <v>0</v>
      </c>
      <c r="F2203" s="1">
        <f t="shared" si="34"/>
        <v>0</v>
      </c>
      <c r="G2203" s="1" t="str">
        <f>_xlfn.XLOOKUP(C2203,'Ocupação DW'!$F:$F,'Ocupação DW'!$E:$E,"",0)</f>
        <v/>
      </c>
      <c r="H2203" t="str">
        <f>Vagas[[#This Row],[data]]&amp;Vagas[[#This Row],[profissional_id]]&amp;Vagas[[#This Row],[local_id]]</f>
        <v>446551322061</v>
      </c>
    </row>
    <row r="2204" spans="1:8" x14ac:dyDescent="0.25">
      <c r="A2204" s="2">
        <v>44655</v>
      </c>
      <c r="B2204">
        <v>13249</v>
      </c>
      <c r="D2204">
        <v>16</v>
      </c>
      <c r="E2204">
        <v>0</v>
      </c>
      <c r="F2204" s="1">
        <f t="shared" si="34"/>
        <v>0</v>
      </c>
      <c r="G2204" s="1" t="str">
        <f>_xlfn.XLOOKUP(C2204,'Ocupação DW'!$F:$F,'Ocupação DW'!$E:$E,"",0)</f>
        <v/>
      </c>
      <c r="H2204" t="str">
        <f>Vagas[[#This Row],[data]]&amp;Vagas[[#This Row],[profissional_id]]&amp;Vagas[[#This Row],[local_id]]</f>
        <v>4465513249</v>
      </c>
    </row>
    <row r="2205" spans="1:8" x14ac:dyDescent="0.25">
      <c r="A2205" s="2">
        <v>44655</v>
      </c>
      <c r="B2205">
        <v>13371</v>
      </c>
      <c r="D2205">
        <v>19</v>
      </c>
      <c r="E2205">
        <v>0</v>
      </c>
      <c r="F2205" s="1">
        <f t="shared" si="34"/>
        <v>0</v>
      </c>
      <c r="G2205" s="1" t="str">
        <f>_xlfn.XLOOKUP(C2205,'Ocupação DW'!$F:$F,'Ocupação DW'!$E:$E,"",0)</f>
        <v/>
      </c>
      <c r="H2205" t="str">
        <f>Vagas[[#This Row],[data]]&amp;Vagas[[#This Row],[profissional_id]]&amp;Vagas[[#This Row],[local_id]]</f>
        <v>4465513371</v>
      </c>
    </row>
    <row r="2206" spans="1:8" x14ac:dyDescent="0.25">
      <c r="A2206" s="2">
        <v>44655</v>
      </c>
      <c r="B2206">
        <v>13371</v>
      </c>
      <c r="C2206">
        <v>335</v>
      </c>
      <c r="D2206">
        <v>0</v>
      </c>
      <c r="E2206">
        <v>0</v>
      </c>
      <c r="F2206" s="1">
        <f t="shared" si="34"/>
        <v>19</v>
      </c>
      <c r="G2206" s="1" t="str">
        <f>_xlfn.XLOOKUP(C2206,'Ocupação DW'!$F:$F,'Ocupação DW'!$E:$E,"",0)</f>
        <v>SEG - FILIAL I</v>
      </c>
      <c r="H2206" t="str">
        <f>Vagas[[#This Row],[data]]&amp;Vagas[[#This Row],[profissional_id]]&amp;Vagas[[#This Row],[local_id]]</f>
        <v>4465513371335</v>
      </c>
    </row>
    <row r="2207" spans="1:8" x14ac:dyDescent="0.25">
      <c r="A2207" s="2">
        <v>44655</v>
      </c>
      <c r="B2207">
        <v>13479</v>
      </c>
      <c r="C2207">
        <v>46</v>
      </c>
      <c r="D2207">
        <v>0</v>
      </c>
      <c r="E2207">
        <v>0</v>
      </c>
      <c r="F2207" s="1">
        <f t="shared" si="34"/>
        <v>0</v>
      </c>
      <c r="G2207" s="1" t="str">
        <f>_xlfn.XLOOKUP(C2207,'Ocupação DW'!$F:$F,'Ocupação DW'!$E:$E,"",0)</f>
        <v>SEG - FILIAL I</v>
      </c>
      <c r="H2207" t="str">
        <f>Vagas[[#This Row],[data]]&amp;Vagas[[#This Row],[profissional_id]]&amp;Vagas[[#This Row],[local_id]]</f>
        <v>446551347946</v>
      </c>
    </row>
    <row r="2208" spans="1:8" x14ac:dyDescent="0.25">
      <c r="A2208" s="2">
        <v>44655</v>
      </c>
      <c r="B2208">
        <v>13659</v>
      </c>
      <c r="C2208">
        <v>341</v>
      </c>
      <c r="D2208">
        <v>108</v>
      </c>
      <c r="E2208">
        <v>0</v>
      </c>
      <c r="F2208" s="1">
        <f t="shared" si="34"/>
        <v>0</v>
      </c>
      <c r="G2208" s="1" t="str">
        <f>_xlfn.XLOOKUP(C2208,'Ocupação DW'!$F:$F,'Ocupação DW'!$E:$E,"",0)</f>
        <v/>
      </c>
      <c r="H2208" t="str">
        <f>Vagas[[#This Row],[data]]&amp;Vagas[[#This Row],[profissional_id]]&amp;Vagas[[#This Row],[local_id]]</f>
        <v>4465513659341</v>
      </c>
    </row>
    <row r="2209" spans="1:8" x14ac:dyDescent="0.25">
      <c r="A2209" s="2">
        <v>44655</v>
      </c>
      <c r="B2209">
        <v>13992</v>
      </c>
      <c r="C2209">
        <v>339</v>
      </c>
      <c r="D2209">
        <v>120</v>
      </c>
      <c r="E2209">
        <v>0</v>
      </c>
      <c r="F2209" s="1">
        <f t="shared" si="34"/>
        <v>0</v>
      </c>
      <c r="G2209" s="1" t="str">
        <f>_xlfn.XLOOKUP(C2209,'Ocupação DW'!$F:$F,'Ocupação DW'!$E:$E,"",0)</f>
        <v>SEG - MATRIZ</v>
      </c>
      <c r="H2209" t="str">
        <f>Vagas[[#This Row],[data]]&amp;Vagas[[#This Row],[profissional_id]]&amp;Vagas[[#This Row],[local_id]]</f>
        <v>4465513992339</v>
      </c>
    </row>
    <row r="2210" spans="1:8" x14ac:dyDescent="0.25">
      <c r="A2210" s="2">
        <v>44655</v>
      </c>
      <c r="B2210">
        <v>17868</v>
      </c>
      <c r="C2210">
        <v>73</v>
      </c>
      <c r="D2210">
        <v>133</v>
      </c>
      <c r="E2210">
        <v>0</v>
      </c>
      <c r="F2210" s="1">
        <f t="shared" si="34"/>
        <v>0</v>
      </c>
      <c r="G2210" s="1" t="str">
        <f>_xlfn.XLOOKUP(C2210,'Ocupação DW'!$F:$F,'Ocupação DW'!$E:$E,"",0)</f>
        <v/>
      </c>
      <c r="H2210" t="str">
        <f>Vagas[[#This Row],[data]]&amp;Vagas[[#This Row],[profissional_id]]&amp;Vagas[[#This Row],[local_id]]</f>
        <v>446551786873</v>
      </c>
    </row>
    <row r="2211" spans="1:8" x14ac:dyDescent="0.25">
      <c r="A2211" s="2">
        <v>44655</v>
      </c>
      <c r="B2211">
        <v>17878</v>
      </c>
      <c r="C2211">
        <v>47</v>
      </c>
      <c r="D2211">
        <v>6</v>
      </c>
      <c r="E2211">
        <v>0</v>
      </c>
      <c r="F2211" s="1">
        <f t="shared" si="34"/>
        <v>0</v>
      </c>
      <c r="G2211" s="1" t="str">
        <f>_xlfn.XLOOKUP(C2211,'Ocupação DW'!$F:$F,'Ocupação DW'!$E:$E,"",0)</f>
        <v>SEG - FILIAL I</v>
      </c>
      <c r="H2211" t="str">
        <f>Vagas[[#This Row],[data]]&amp;Vagas[[#This Row],[profissional_id]]&amp;Vagas[[#This Row],[local_id]]</f>
        <v>446551787847</v>
      </c>
    </row>
    <row r="2212" spans="1:8" x14ac:dyDescent="0.25">
      <c r="A2212" s="2">
        <v>44655</v>
      </c>
      <c r="B2212">
        <v>17881</v>
      </c>
      <c r="C2212">
        <v>20</v>
      </c>
      <c r="D2212">
        <v>181</v>
      </c>
      <c r="E2212">
        <v>0</v>
      </c>
      <c r="F2212" s="1">
        <f t="shared" si="34"/>
        <v>0</v>
      </c>
      <c r="G2212" s="1" t="str">
        <f>_xlfn.XLOOKUP(C2212,'Ocupação DW'!$F:$F,'Ocupação DW'!$E:$E,"",0)</f>
        <v>SEG - MATRIZ</v>
      </c>
      <c r="H2212" t="str">
        <f>Vagas[[#This Row],[data]]&amp;Vagas[[#This Row],[profissional_id]]&amp;Vagas[[#This Row],[local_id]]</f>
        <v>446551788120</v>
      </c>
    </row>
    <row r="2213" spans="1:8" x14ac:dyDescent="0.25">
      <c r="A2213" s="2">
        <v>44655</v>
      </c>
      <c r="B2213">
        <v>17882</v>
      </c>
      <c r="C2213">
        <v>21</v>
      </c>
      <c r="D2213">
        <v>181</v>
      </c>
      <c r="E2213">
        <v>0</v>
      </c>
      <c r="F2213" s="1">
        <f t="shared" si="34"/>
        <v>0</v>
      </c>
      <c r="G2213" s="1" t="str">
        <f>_xlfn.XLOOKUP(C2213,'Ocupação DW'!$F:$F,'Ocupação DW'!$E:$E,"",0)</f>
        <v/>
      </c>
      <c r="H2213" t="str">
        <f>Vagas[[#This Row],[data]]&amp;Vagas[[#This Row],[profissional_id]]&amp;Vagas[[#This Row],[local_id]]</f>
        <v>446551788221</v>
      </c>
    </row>
    <row r="2214" spans="1:8" x14ac:dyDescent="0.25">
      <c r="A2214" s="2">
        <v>44655</v>
      </c>
      <c r="B2214">
        <v>17883</v>
      </c>
      <c r="C2214">
        <v>351</v>
      </c>
      <c r="D2214">
        <v>0</v>
      </c>
      <c r="E2214">
        <v>0</v>
      </c>
      <c r="F2214" s="1">
        <f t="shared" si="34"/>
        <v>0</v>
      </c>
      <c r="G2214" s="1" t="str">
        <f>_xlfn.XLOOKUP(C2214,'Ocupação DW'!$F:$F,'Ocupação DW'!$E:$E,"",0)</f>
        <v>SEG - FILIAL I</v>
      </c>
      <c r="H2214" t="str">
        <f>Vagas[[#This Row],[data]]&amp;Vagas[[#This Row],[profissional_id]]&amp;Vagas[[#This Row],[local_id]]</f>
        <v>4465517883351</v>
      </c>
    </row>
    <row r="2215" spans="1:8" x14ac:dyDescent="0.25">
      <c r="A2215" s="2">
        <v>44655</v>
      </c>
      <c r="B2215">
        <v>17888</v>
      </c>
      <c r="C2215">
        <v>40</v>
      </c>
      <c r="D2215">
        <v>27</v>
      </c>
      <c r="E2215">
        <v>0</v>
      </c>
      <c r="F2215" s="1">
        <f t="shared" si="34"/>
        <v>0</v>
      </c>
      <c r="G2215" s="1" t="str">
        <f>_xlfn.XLOOKUP(C2215,'Ocupação DW'!$F:$F,'Ocupação DW'!$E:$E,"",0)</f>
        <v>SEG - FILIAL I</v>
      </c>
      <c r="H2215" t="str">
        <f>Vagas[[#This Row],[data]]&amp;Vagas[[#This Row],[profissional_id]]&amp;Vagas[[#This Row],[local_id]]</f>
        <v>446551788840</v>
      </c>
    </row>
    <row r="2216" spans="1:8" x14ac:dyDescent="0.25">
      <c r="A2216" s="2">
        <v>44655</v>
      </c>
      <c r="B2216">
        <v>17909</v>
      </c>
      <c r="C2216">
        <v>4</v>
      </c>
      <c r="D2216">
        <v>0</v>
      </c>
      <c r="E2216">
        <v>0</v>
      </c>
      <c r="F2216" s="1">
        <f t="shared" si="34"/>
        <v>0</v>
      </c>
      <c r="G2216" s="1" t="str">
        <f>_xlfn.XLOOKUP(C2216,'Ocupação DW'!$F:$F,'Ocupação DW'!$E:$E,"",0)</f>
        <v>SEG - FILIAL II 10°</v>
      </c>
      <c r="H2216" t="str">
        <f>Vagas[[#This Row],[data]]&amp;Vagas[[#This Row],[profissional_id]]&amp;Vagas[[#This Row],[local_id]]</f>
        <v>44655179094</v>
      </c>
    </row>
    <row r="2217" spans="1:8" x14ac:dyDescent="0.25">
      <c r="A2217" s="2">
        <v>44655</v>
      </c>
      <c r="B2217">
        <v>17918</v>
      </c>
      <c r="C2217">
        <v>42</v>
      </c>
      <c r="D2217">
        <v>0</v>
      </c>
      <c r="E2217">
        <v>0</v>
      </c>
      <c r="F2217" s="1">
        <f t="shared" si="34"/>
        <v>0</v>
      </c>
      <c r="G2217" s="1" t="str">
        <f>_xlfn.XLOOKUP(C2217,'Ocupação DW'!$F:$F,'Ocupação DW'!$E:$E,"",0)</f>
        <v>SEG - FILIAL I</v>
      </c>
      <c r="H2217" t="str">
        <f>Vagas[[#This Row],[data]]&amp;Vagas[[#This Row],[profissional_id]]&amp;Vagas[[#This Row],[local_id]]</f>
        <v>446551791842</v>
      </c>
    </row>
    <row r="2218" spans="1:8" x14ac:dyDescent="0.25">
      <c r="A2218" s="2">
        <v>44655</v>
      </c>
      <c r="B2218">
        <v>17922</v>
      </c>
      <c r="C2218">
        <v>74</v>
      </c>
      <c r="D2218">
        <v>133</v>
      </c>
      <c r="E2218">
        <v>0</v>
      </c>
      <c r="F2218" s="1">
        <f t="shared" si="34"/>
        <v>0</v>
      </c>
      <c r="G2218" s="1" t="str">
        <f>_xlfn.XLOOKUP(C2218,'Ocupação DW'!$F:$F,'Ocupação DW'!$E:$E,"",0)</f>
        <v/>
      </c>
      <c r="H2218" t="str">
        <f>Vagas[[#This Row],[data]]&amp;Vagas[[#This Row],[profissional_id]]&amp;Vagas[[#This Row],[local_id]]</f>
        <v>446551792274</v>
      </c>
    </row>
    <row r="2219" spans="1:8" x14ac:dyDescent="0.25">
      <c r="A2219" s="2">
        <v>44655</v>
      </c>
      <c r="B2219">
        <v>17928</v>
      </c>
      <c r="C2219">
        <v>51</v>
      </c>
      <c r="D2219">
        <v>18</v>
      </c>
      <c r="E2219">
        <v>2</v>
      </c>
      <c r="F2219" s="1">
        <f t="shared" si="34"/>
        <v>0</v>
      </c>
      <c r="G2219" s="1" t="str">
        <f>_xlfn.XLOOKUP(C2219,'Ocupação DW'!$F:$F,'Ocupação DW'!$E:$E,"",0)</f>
        <v>SEG - FILIAL I</v>
      </c>
      <c r="H2219" t="str">
        <f>Vagas[[#This Row],[data]]&amp;Vagas[[#This Row],[profissional_id]]&amp;Vagas[[#This Row],[local_id]]</f>
        <v>446551792851</v>
      </c>
    </row>
    <row r="2220" spans="1:8" x14ac:dyDescent="0.25">
      <c r="A2220" s="2">
        <v>44656</v>
      </c>
      <c r="B2220">
        <v>54</v>
      </c>
      <c r="C2220">
        <v>50</v>
      </c>
      <c r="D2220">
        <v>22</v>
      </c>
      <c r="E2220">
        <v>0</v>
      </c>
      <c r="F2220" s="1">
        <f t="shared" si="34"/>
        <v>0</v>
      </c>
      <c r="G2220" s="1" t="str">
        <f>_xlfn.XLOOKUP(C2220,'Ocupação DW'!$F:$F,'Ocupação DW'!$E:$E,"",0)</f>
        <v>SEG - FILIAL I</v>
      </c>
      <c r="H2220" t="str">
        <f>Vagas[[#This Row],[data]]&amp;Vagas[[#This Row],[profissional_id]]&amp;Vagas[[#This Row],[local_id]]</f>
        <v>446565450</v>
      </c>
    </row>
    <row r="2221" spans="1:8" x14ac:dyDescent="0.25">
      <c r="A2221" s="2">
        <v>44656</v>
      </c>
      <c r="B2221">
        <v>57</v>
      </c>
      <c r="C2221">
        <v>2</v>
      </c>
      <c r="D2221">
        <v>24</v>
      </c>
      <c r="E2221">
        <v>0</v>
      </c>
      <c r="F2221" s="1">
        <f t="shared" si="34"/>
        <v>0</v>
      </c>
      <c r="G2221" s="1" t="str">
        <f>_xlfn.XLOOKUP(C2221,'Ocupação DW'!$F:$F,'Ocupação DW'!$E:$E,"",0)</f>
        <v>SEG - FILIAL II 10°</v>
      </c>
      <c r="H2221" t="str">
        <f>Vagas[[#This Row],[data]]&amp;Vagas[[#This Row],[profissional_id]]&amp;Vagas[[#This Row],[local_id]]</f>
        <v>44656572</v>
      </c>
    </row>
    <row r="2222" spans="1:8" x14ac:dyDescent="0.25">
      <c r="A2222" s="2">
        <v>44656</v>
      </c>
      <c r="B2222">
        <v>59</v>
      </c>
      <c r="C2222">
        <v>72</v>
      </c>
      <c r="D2222">
        <v>13</v>
      </c>
      <c r="E2222">
        <v>0</v>
      </c>
      <c r="F2222" s="1">
        <f t="shared" si="34"/>
        <v>0</v>
      </c>
      <c r="G2222" s="1" t="str">
        <f>_xlfn.XLOOKUP(C2222,'Ocupação DW'!$F:$F,'Ocupação DW'!$E:$E,"",0)</f>
        <v>SEG - NILÓPOLIS</v>
      </c>
      <c r="H2222" t="str">
        <f>Vagas[[#This Row],[data]]&amp;Vagas[[#This Row],[profissional_id]]&amp;Vagas[[#This Row],[local_id]]</f>
        <v>446565972</v>
      </c>
    </row>
    <row r="2223" spans="1:8" x14ac:dyDescent="0.25">
      <c r="A2223" s="2">
        <v>44656</v>
      </c>
      <c r="B2223">
        <v>59</v>
      </c>
      <c r="C2223">
        <v>367</v>
      </c>
      <c r="D2223">
        <v>7</v>
      </c>
      <c r="E2223">
        <v>0</v>
      </c>
      <c r="F2223" s="1">
        <f t="shared" si="34"/>
        <v>0</v>
      </c>
      <c r="G2223" s="1" t="str">
        <f>_xlfn.XLOOKUP(C2223,'Ocupação DW'!$F:$F,'Ocupação DW'!$E:$E,"",0)</f>
        <v/>
      </c>
      <c r="H2223" t="str">
        <f>Vagas[[#This Row],[data]]&amp;Vagas[[#This Row],[profissional_id]]&amp;Vagas[[#This Row],[local_id]]</f>
        <v>4465659367</v>
      </c>
    </row>
    <row r="2224" spans="1:8" x14ac:dyDescent="0.25">
      <c r="A2224" s="2">
        <v>44656</v>
      </c>
      <c r="B2224">
        <v>60</v>
      </c>
      <c r="C2224">
        <v>345</v>
      </c>
      <c r="D2224">
        <v>0</v>
      </c>
      <c r="E2224">
        <v>0</v>
      </c>
      <c r="F2224" s="1">
        <f t="shared" si="34"/>
        <v>0</v>
      </c>
      <c r="G2224" s="1" t="str">
        <f>_xlfn.XLOOKUP(C2224,'Ocupação DW'!$F:$F,'Ocupação DW'!$E:$E,"",0)</f>
        <v>SEG - MATRIZ</v>
      </c>
      <c r="H2224" t="str">
        <f>Vagas[[#This Row],[data]]&amp;Vagas[[#This Row],[profissional_id]]&amp;Vagas[[#This Row],[local_id]]</f>
        <v>4465660345</v>
      </c>
    </row>
    <row r="2225" spans="1:8" x14ac:dyDescent="0.25">
      <c r="A2225" s="2">
        <v>44656</v>
      </c>
      <c r="B2225">
        <v>66</v>
      </c>
      <c r="C2225">
        <v>345</v>
      </c>
      <c r="D2225">
        <v>108</v>
      </c>
      <c r="E2225">
        <v>12</v>
      </c>
      <c r="F2225" s="1">
        <f t="shared" si="34"/>
        <v>0</v>
      </c>
      <c r="G2225" s="1" t="str">
        <f>_xlfn.XLOOKUP(C2225,'Ocupação DW'!$F:$F,'Ocupação DW'!$E:$E,"",0)</f>
        <v>SEG - MATRIZ</v>
      </c>
      <c r="H2225" t="str">
        <f>Vagas[[#This Row],[data]]&amp;Vagas[[#This Row],[profissional_id]]&amp;Vagas[[#This Row],[local_id]]</f>
        <v>4465666345</v>
      </c>
    </row>
    <row r="2226" spans="1:8" x14ac:dyDescent="0.25">
      <c r="A2226" s="2">
        <v>44656</v>
      </c>
      <c r="B2226">
        <v>67</v>
      </c>
      <c r="C2226">
        <v>8</v>
      </c>
      <c r="D2226">
        <v>0</v>
      </c>
      <c r="E2226">
        <v>0</v>
      </c>
      <c r="F2226" s="1">
        <f t="shared" si="34"/>
        <v>0</v>
      </c>
      <c r="G2226" s="1" t="str">
        <f>_xlfn.XLOOKUP(C2226,'Ocupação DW'!$F:$F,'Ocupação DW'!$E:$E,"",0)</f>
        <v>SEG - FILIAL II 10°</v>
      </c>
      <c r="H2226" t="str">
        <f>Vagas[[#This Row],[data]]&amp;Vagas[[#This Row],[profissional_id]]&amp;Vagas[[#This Row],[local_id]]</f>
        <v>44656678</v>
      </c>
    </row>
    <row r="2227" spans="1:8" x14ac:dyDescent="0.25">
      <c r="A2227" s="2">
        <v>44656</v>
      </c>
      <c r="B2227">
        <v>69</v>
      </c>
      <c r="C2227">
        <v>13</v>
      </c>
      <c r="D2227">
        <v>0</v>
      </c>
      <c r="E2227">
        <v>4</v>
      </c>
      <c r="F2227" s="1">
        <f t="shared" si="34"/>
        <v>0</v>
      </c>
      <c r="G2227" s="1" t="str">
        <f>_xlfn.XLOOKUP(C2227,'Ocupação DW'!$F:$F,'Ocupação DW'!$E:$E,"",0)</f>
        <v>SEG - FILIAL II 11°</v>
      </c>
      <c r="H2227" t="str">
        <f>Vagas[[#This Row],[data]]&amp;Vagas[[#This Row],[profissional_id]]&amp;Vagas[[#This Row],[local_id]]</f>
        <v>446566913</v>
      </c>
    </row>
    <row r="2228" spans="1:8" x14ac:dyDescent="0.25">
      <c r="A2228" s="2">
        <v>44656</v>
      </c>
      <c r="B2228">
        <v>72</v>
      </c>
      <c r="C2228">
        <v>334</v>
      </c>
      <c r="D2228">
        <v>5</v>
      </c>
      <c r="E2228">
        <v>0</v>
      </c>
      <c r="F2228" s="1">
        <f t="shared" si="34"/>
        <v>0</v>
      </c>
      <c r="G2228" s="1" t="str">
        <f>_xlfn.XLOOKUP(C2228,'Ocupação DW'!$F:$F,'Ocupação DW'!$E:$E,"",0)</f>
        <v>SEG - FILIAL I</v>
      </c>
      <c r="H2228" t="str">
        <f>Vagas[[#This Row],[data]]&amp;Vagas[[#This Row],[profissional_id]]&amp;Vagas[[#This Row],[local_id]]</f>
        <v>4465672334</v>
      </c>
    </row>
    <row r="2229" spans="1:8" x14ac:dyDescent="0.25">
      <c r="A2229" s="2">
        <v>44656</v>
      </c>
      <c r="B2229">
        <v>73</v>
      </c>
      <c r="C2229">
        <v>5</v>
      </c>
      <c r="D2229">
        <v>0</v>
      </c>
      <c r="E2229">
        <v>0</v>
      </c>
      <c r="F2229" s="1">
        <f t="shared" si="34"/>
        <v>0</v>
      </c>
      <c r="G2229" s="1" t="str">
        <f>_xlfn.XLOOKUP(C2229,'Ocupação DW'!$F:$F,'Ocupação DW'!$E:$E,"",0)</f>
        <v>SEG - FILIAL II 10°</v>
      </c>
      <c r="H2229" t="str">
        <f>Vagas[[#This Row],[data]]&amp;Vagas[[#This Row],[profissional_id]]&amp;Vagas[[#This Row],[local_id]]</f>
        <v>44656735</v>
      </c>
    </row>
    <row r="2230" spans="1:8" x14ac:dyDescent="0.25">
      <c r="A2230" s="2">
        <v>44656</v>
      </c>
      <c r="B2230">
        <v>81</v>
      </c>
      <c r="C2230">
        <v>71</v>
      </c>
      <c r="D2230">
        <v>0</v>
      </c>
      <c r="E2230">
        <v>0</v>
      </c>
      <c r="F2230" s="1">
        <f t="shared" si="34"/>
        <v>0</v>
      </c>
      <c r="G2230" s="1" t="str">
        <f>_xlfn.XLOOKUP(C2230,'Ocupação DW'!$F:$F,'Ocupação DW'!$E:$E,"",0)</f>
        <v>SEG - NILÓPOLIS</v>
      </c>
      <c r="H2230" t="str">
        <f>Vagas[[#This Row],[data]]&amp;Vagas[[#This Row],[profissional_id]]&amp;Vagas[[#This Row],[local_id]]</f>
        <v>446568171</v>
      </c>
    </row>
    <row r="2231" spans="1:8" x14ac:dyDescent="0.25">
      <c r="A2231" s="2">
        <v>44656</v>
      </c>
      <c r="B2231">
        <v>81</v>
      </c>
      <c r="C2231">
        <v>41</v>
      </c>
      <c r="D2231">
        <v>0</v>
      </c>
      <c r="E2231">
        <v>0</v>
      </c>
      <c r="F2231" s="1">
        <f t="shared" si="34"/>
        <v>0</v>
      </c>
      <c r="G2231" s="1" t="str">
        <f>_xlfn.XLOOKUP(C2231,'Ocupação DW'!$F:$F,'Ocupação DW'!$E:$E,"",0)</f>
        <v>SEG - FILIAL I</v>
      </c>
      <c r="H2231" t="str">
        <f>Vagas[[#This Row],[data]]&amp;Vagas[[#This Row],[profissional_id]]&amp;Vagas[[#This Row],[local_id]]</f>
        <v>446568141</v>
      </c>
    </row>
    <row r="2232" spans="1:8" x14ac:dyDescent="0.25">
      <c r="A2232" s="2">
        <v>44656</v>
      </c>
      <c r="B2232">
        <v>85</v>
      </c>
      <c r="C2232">
        <v>349</v>
      </c>
      <c r="D2232">
        <v>0</v>
      </c>
      <c r="E2232">
        <v>4</v>
      </c>
      <c r="F2232" s="1">
        <f t="shared" si="34"/>
        <v>0</v>
      </c>
      <c r="G2232" s="1" t="str">
        <f>_xlfn.XLOOKUP(C2232,'Ocupação DW'!$F:$F,'Ocupação DW'!$E:$E,"",0)</f>
        <v>SEG - FILIAL II 11°</v>
      </c>
      <c r="H2232" t="str">
        <f>Vagas[[#This Row],[data]]&amp;Vagas[[#This Row],[profissional_id]]&amp;Vagas[[#This Row],[local_id]]</f>
        <v>4465685349</v>
      </c>
    </row>
    <row r="2233" spans="1:8" x14ac:dyDescent="0.25">
      <c r="A2233" s="2">
        <v>44656</v>
      </c>
      <c r="B2233">
        <v>86</v>
      </c>
      <c r="C2233">
        <v>82</v>
      </c>
      <c r="D2233">
        <v>15</v>
      </c>
      <c r="E2233">
        <v>0</v>
      </c>
      <c r="F2233" s="1">
        <f t="shared" si="34"/>
        <v>0</v>
      </c>
      <c r="G2233" s="1" t="str">
        <f>_xlfn.XLOOKUP(C2233,'Ocupação DW'!$F:$F,'Ocupação DW'!$E:$E,"",0)</f>
        <v>SEG - MIGUEL COUTO</v>
      </c>
      <c r="H2233" t="str">
        <f>Vagas[[#This Row],[data]]&amp;Vagas[[#This Row],[profissional_id]]&amp;Vagas[[#This Row],[local_id]]</f>
        <v>446568682</v>
      </c>
    </row>
    <row r="2234" spans="1:8" x14ac:dyDescent="0.25">
      <c r="A2234" s="2">
        <v>44656</v>
      </c>
      <c r="B2234">
        <v>92</v>
      </c>
      <c r="C2234">
        <v>340</v>
      </c>
      <c r="D2234">
        <v>60</v>
      </c>
      <c r="E2234">
        <v>0</v>
      </c>
      <c r="F2234" s="1">
        <f t="shared" si="34"/>
        <v>0</v>
      </c>
      <c r="G2234" s="1" t="str">
        <f>_xlfn.XLOOKUP(C2234,'Ocupação DW'!$F:$F,'Ocupação DW'!$E:$E,"",0)</f>
        <v>SEG - MATRIZ</v>
      </c>
      <c r="H2234" t="str">
        <f>Vagas[[#This Row],[data]]&amp;Vagas[[#This Row],[profissional_id]]&amp;Vagas[[#This Row],[local_id]]</f>
        <v>4465692340</v>
      </c>
    </row>
    <row r="2235" spans="1:8" x14ac:dyDescent="0.25">
      <c r="A2235" s="2">
        <v>44656</v>
      </c>
      <c r="B2235">
        <v>100</v>
      </c>
      <c r="C2235">
        <v>342</v>
      </c>
      <c r="D2235">
        <v>15</v>
      </c>
      <c r="E2235">
        <v>0</v>
      </c>
      <c r="F2235" s="1">
        <f t="shared" si="34"/>
        <v>0</v>
      </c>
      <c r="G2235" s="1" t="str">
        <f>_xlfn.XLOOKUP(C2235,'Ocupação DW'!$F:$F,'Ocupação DW'!$E:$E,"",0)</f>
        <v>SEG - MATRIZ</v>
      </c>
      <c r="H2235" t="str">
        <f>Vagas[[#This Row],[data]]&amp;Vagas[[#This Row],[profissional_id]]&amp;Vagas[[#This Row],[local_id]]</f>
        <v>44656100342</v>
      </c>
    </row>
    <row r="2236" spans="1:8" x14ac:dyDescent="0.25">
      <c r="A2236" s="2">
        <v>44656</v>
      </c>
      <c r="B2236">
        <v>110</v>
      </c>
      <c r="C2236">
        <v>334</v>
      </c>
      <c r="D2236">
        <v>0</v>
      </c>
      <c r="E2236">
        <v>0</v>
      </c>
      <c r="F2236" s="1">
        <f t="shared" si="34"/>
        <v>0</v>
      </c>
      <c r="G2236" s="1" t="str">
        <f>_xlfn.XLOOKUP(C2236,'Ocupação DW'!$F:$F,'Ocupação DW'!$E:$E,"",0)</f>
        <v>SEG - FILIAL I</v>
      </c>
      <c r="H2236" t="str">
        <f>Vagas[[#This Row],[data]]&amp;Vagas[[#This Row],[profissional_id]]&amp;Vagas[[#This Row],[local_id]]</f>
        <v>44656110334</v>
      </c>
    </row>
    <row r="2237" spans="1:8" x14ac:dyDescent="0.25">
      <c r="A2237" s="2">
        <v>44656</v>
      </c>
      <c r="B2237">
        <v>111</v>
      </c>
      <c r="C2237">
        <v>51</v>
      </c>
      <c r="D2237">
        <v>41</v>
      </c>
      <c r="E2237">
        <v>0</v>
      </c>
      <c r="F2237" s="1">
        <f t="shared" si="34"/>
        <v>0</v>
      </c>
      <c r="G2237" s="1" t="str">
        <f>_xlfn.XLOOKUP(C2237,'Ocupação DW'!$F:$F,'Ocupação DW'!$E:$E,"",0)</f>
        <v>SEG - FILIAL I</v>
      </c>
      <c r="H2237" t="str">
        <f>Vagas[[#This Row],[data]]&amp;Vagas[[#This Row],[profissional_id]]&amp;Vagas[[#This Row],[local_id]]</f>
        <v>4465611151</v>
      </c>
    </row>
    <row r="2238" spans="1:8" x14ac:dyDescent="0.25">
      <c r="A2238" s="2">
        <v>44656</v>
      </c>
      <c r="B2238">
        <v>123</v>
      </c>
      <c r="C2238">
        <v>351</v>
      </c>
      <c r="D2238">
        <v>11</v>
      </c>
      <c r="E2238">
        <v>0</v>
      </c>
      <c r="F2238" s="1">
        <f t="shared" si="34"/>
        <v>0</v>
      </c>
      <c r="G2238" s="1" t="str">
        <f>_xlfn.XLOOKUP(C2238,'Ocupação DW'!$F:$F,'Ocupação DW'!$E:$E,"",0)</f>
        <v>SEG - FILIAL I</v>
      </c>
      <c r="H2238" t="str">
        <f>Vagas[[#This Row],[data]]&amp;Vagas[[#This Row],[profissional_id]]&amp;Vagas[[#This Row],[local_id]]</f>
        <v>44656123351</v>
      </c>
    </row>
    <row r="2239" spans="1:8" x14ac:dyDescent="0.25">
      <c r="A2239" s="2">
        <v>44656</v>
      </c>
      <c r="B2239">
        <v>174</v>
      </c>
      <c r="C2239">
        <v>24</v>
      </c>
      <c r="D2239">
        <v>82</v>
      </c>
      <c r="E2239">
        <v>0</v>
      </c>
      <c r="F2239" s="1">
        <f t="shared" si="34"/>
        <v>0</v>
      </c>
      <c r="G2239" s="1" t="str">
        <f>_xlfn.XLOOKUP(C2239,'Ocupação DW'!$F:$F,'Ocupação DW'!$E:$E,"",0)</f>
        <v>SEG - MATRIZ</v>
      </c>
      <c r="H2239" t="str">
        <f>Vagas[[#This Row],[data]]&amp;Vagas[[#This Row],[profissional_id]]&amp;Vagas[[#This Row],[local_id]]</f>
        <v>4465617424</v>
      </c>
    </row>
    <row r="2240" spans="1:8" x14ac:dyDescent="0.25">
      <c r="A2240" s="2">
        <v>44656</v>
      </c>
      <c r="B2240">
        <v>266</v>
      </c>
      <c r="C2240">
        <v>42</v>
      </c>
      <c r="D2240">
        <v>0</v>
      </c>
      <c r="E2240">
        <v>0</v>
      </c>
      <c r="F2240" s="1">
        <f t="shared" si="34"/>
        <v>0</v>
      </c>
      <c r="G2240" s="1" t="str">
        <f>_xlfn.XLOOKUP(C2240,'Ocupação DW'!$F:$F,'Ocupação DW'!$E:$E,"",0)</f>
        <v>SEG - FILIAL I</v>
      </c>
      <c r="H2240" t="str">
        <f>Vagas[[#This Row],[data]]&amp;Vagas[[#This Row],[profissional_id]]&amp;Vagas[[#This Row],[local_id]]</f>
        <v>4465626642</v>
      </c>
    </row>
    <row r="2241" spans="1:8" x14ac:dyDescent="0.25">
      <c r="A2241" s="2">
        <v>44656</v>
      </c>
      <c r="B2241">
        <v>282</v>
      </c>
      <c r="C2241">
        <v>48</v>
      </c>
      <c r="D2241">
        <v>0</v>
      </c>
      <c r="E2241">
        <v>0</v>
      </c>
      <c r="F2241" s="1">
        <f t="shared" si="34"/>
        <v>0</v>
      </c>
      <c r="G2241" s="1" t="str">
        <f>_xlfn.XLOOKUP(C2241,'Ocupação DW'!$F:$F,'Ocupação DW'!$E:$E,"",0)</f>
        <v>SEG - FILIAL I</v>
      </c>
      <c r="H2241" t="str">
        <f>Vagas[[#This Row],[data]]&amp;Vagas[[#This Row],[profissional_id]]&amp;Vagas[[#This Row],[local_id]]</f>
        <v>4465628248</v>
      </c>
    </row>
    <row r="2242" spans="1:8" x14ac:dyDescent="0.25">
      <c r="A2242" s="2">
        <v>44656</v>
      </c>
      <c r="B2242">
        <v>282</v>
      </c>
      <c r="C2242">
        <v>39</v>
      </c>
      <c r="D2242">
        <v>52</v>
      </c>
      <c r="E2242">
        <v>0</v>
      </c>
      <c r="F2242" s="1">
        <f t="shared" ref="F2242:F2305" si="35">IF(AND(A2242=A2241,B2242=B2241,D2241&lt;&gt;0,D2242=0),D2241,0)</f>
        <v>0</v>
      </c>
      <c r="G2242" s="1" t="str">
        <f>_xlfn.XLOOKUP(C2242,'Ocupação DW'!$F:$F,'Ocupação DW'!$E:$E,"",0)</f>
        <v>SEG - FILIAL I</v>
      </c>
      <c r="H2242" t="str">
        <f>Vagas[[#This Row],[data]]&amp;Vagas[[#This Row],[profissional_id]]&amp;Vagas[[#This Row],[local_id]]</f>
        <v>4465628239</v>
      </c>
    </row>
    <row r="2243" spans="1:8" x14ac:dyDescent="0.25">
      <c r="A2243" s="2">
        <v>44656</v>
      </c>
      <c r="B2243">
        <v>531</v>
      </c>
      <c r="D2243">
        <v>0</v>
      </c>
      <c r="E2243">
        <v>0</v>
      </c>
      <c r="F2243" s="1">
        <f t="shared" si="35"/>
        <v>0</v>
      </c>
      <c r="G2243" s="1" t="str">
        <f>_xlfn.XLOOKUP(C2243,'Ocupação DW'!$F:$F,'Ocupação DW'!$E:$E,"",0)</f>
        <v/>
      </c>
      <c r="H2243" t="str">
        <f>Vagas[[#This Row],[data]]&amp;Vagas[[#This Row],[profissional_id]]&amp;Vagas[[#This Row],[local_id]]</f>
        <v>44656531</v>
      </c>
    </row>
    <row r="2244" spans="1:8" x14ac:dyDescent="0.25">
      <c r="A2244" s="2">
        <v>44656</v>
      </c>
      <c r="B2244">
        <v>1343</v>
      </c>
      <c r="C2244">
        <v>80</v>
      </c>
      <c r="D2244">
        <v>0</v>
      </c>
      <c r="E2244">
        <v>0</v>
      </c>
      <c r="F2244" s="1">
        <f t="shared" si="35"/>
        <v>0</v>
      </c>
      <c r="G2244" s="1" t="str">
        <f>_xlfn.XLOOKUP(C2244,'Ocupação DW'!$F:$F,'Ocupação DW'!$E:$E,"",0)</f>
        <v>SEG - MIGUEL COUTO</v>
      </c>
      <c r="H2244" t="str">
        <f>Vagas[[#This Row],[data]]&amp;Vagas[[#This Row],[profissional_id]]&amp;Vagas[[#This Row],[local_id]]</f>
        <v>44656134380</v>
      </c>
    </row>
    <row r="2245" spans="1:8" x14ac:dyDescent="0.25">
      <c r="A2245" s="2">
        <v>44656</v>
      </c>
      <c r="B2245">
        <v>1586</v>
      </c>
      <c r="C2245">
        <v>67</v>
      </c>
      <c r="D2245">
        <v>0</v>
      </c>
      <c r="E2245">
        <v>0</v>
      </c>
      <c r="F2245" s="1">
        <f t="shared" si="35"/>
        <v>0</v>
      </c>
      <c r="G2245" s="1" t="str">
        <f>_xlfn.XLOOKUP(C2245,'Ocupação DW'!$F:$F,'Ocupação DW'!$E:$E,"",0)</f>
        <v>SEG - NILÓPOLIS</v>
      </c>
      <c r="H2245" t="str">
        <f>Vagas[[#This Row],[data]]&amp;Vagas[[#This Row],[profissional_id]]&amp;Vagas[[#This Row],[local_id]]</f>
        <v>44656158667</v>
      </c>
    </row>
    <row r="2246" spans="1:8" x14ac:dyDescent="0.25">
      <c r="A2246" s="2">
        <v>44656</v>
      </c>
      <c r="B2246">
        <v>2730</v>
      </c>
      <c r="C2246">
        <v>3</v>
      </c>
      <c r="D2246">
        <v>15</v>
      </c>
      <c r="E2246">
        <v>0</v>
      </c>
      <c r="F2246" s="1">
        <f t="shared" si="35"/>
        <v>0</v>
      </c>
      <c r="G2246" s="1" t="str">
        <f>_xlfn.XLOOKUP(C2246,'Ocupação DW'!$F:$F,'Ocupação DW'!$E:$E,"",0)</f>
        <v>SEG - FILIAL II 10°</v>
      </c>
      <c r="H2246" t="str">
        <f>Vagas[[#This Row],[data]]&amp;Vagas[[#This Row],[profissional_id]]&amp;Vagas[[#This Row],[local_id]]</f>
        <v>4465627303</v>
      </c>
    </row>
    <row r="2247" spans="1:8" x14ac:dyDescent="0.25">
      <c r="A2247" s="2">
        <v>44656</v>
      </c>
      <c r="B2247">
        <v>4433</v>
      </c>
      <c r="C2247">
        <v>341</v>
      </c>
      <c r="D2247">
        <v>72</v>
      </c>
      <c r="E2247">
        <v>0</v>
      </c>
      <c r="F2247" s="1">
        <f t="shared" si="35"/>
        <v>0</v>
      </c>
      <c r="G2247" s="1" t="str">
        <f>_xlfn.XLOOKUP(C2247,'Ocupação DW'!$F:$F,'Ocupação DW'!$E:$E,"",0)</f>
        <v/>
      </c>
      <c r="H2247" t="str">
        <f>Vagas[[#This Row],[data]]&amp;Vagas[[#This Row],[profissional_id]]&amp;Vagas[[#This Row],[local_id]]</f>
        <v>446564433341</v>
      </c>
    </row>
    <row r="2248" spans="1:8" x14ac:dyDescent="0.25">
      <c r="A2248" s="2">
        <v>44656</v>
      </c>
      <c r="B2248">
        <v>4814</v>
      </c>
      <c r="C2248">
        <v>17</v>
      </c>
      <c r="D2248">
        <v>0</v>
      </c>
      <c r="E2248">
        <v>0</v>
      </c>
      <c r="F2248" s="1">
        <f t="shared" si="35"/>
        <v>0</v>
      </c>
      <c r="G2248" s="1" t="str">
        <f>_xlfn.XLOOKUP(C2248,'Ocupação DW'!$F:$F,'Ocupação DW'!$E:$E,"",0)</f>
        <v>SEG - FILIAL II 11°</v>
      </c>
      <c r="H2248" t="str">
        <f>Vagas[[#This Row],[data]]&amp;Vagas[[#This Row],[profissional_id]]&amp;Vagas[[#This Row],[local_id]]</f>
        <v>44656481417</v>
      </c>
    </row>
    <row r="2249" spans="1:8" x14ac:dyDescent="0.25">
      <c r="A2249" s="2">
        <v>44656</v>
      </c>
      <c r="B2249">
        <v>6839</v>
      </c>
      <c r="C2249">
        <v>60</v>
      </c>
      <c r="D2249">
        <v>60</v>
      </c>
      <c r="E2249">
        <v>0</v>
      </c>
      <c r="F2249" s="1">
        <f t="shared" si="35"/>
        <v>0</v>
      </c>
      <c r="G2249" s="1" t="str">
        <f>_xlfn.XLOOKUP(C2249,'Ocupação DW'!$F:$F,'Ocupação DW'!$E:$E,"",0)</f>
        <v>SEG - NILÓPOLIS</v>
      </c>
      <c r="H2249" t="str">
        <f>Vagas[[#This Row],[data]]&amp;Vagas[[#This Row],[profissional_id]]&amp;Vagas[[#This Row],[local_id]]</f>
        <v>44656683960</v>
      </c>
    </row>
    <row r="2250" spans="1:8" x14ac:dyDescent="0.25">
      <c r="A2250" s="2">
        <v>44656</v>
      </c>
      <c r="B2250">
        <v>7290</v>
      </c>
      <c r="C2250">
        <v>18</v>
      </c>
      <c r="D2250">
        <v>0</v>
      </c>
      <c r="E2250">
        <v>6</v>
      </c>
      <c r="F2250" s="1">
        <f t="shared" si="35"/>
        <v>0</v>
      </c>
      <c r="G2250" s="1" t="str">
        <f>_xlfn.XLOOKUP(C2250,'Ocupação DW'!$F:$F,'Ocupação DW'!$E:$E,"",0)</f>
        <v>SEG - FILIAL II 11°</v>
      </c>
      <c r="H2250" t="str">
        <f>Vagas[[#This Row],[data]]&amp;Vagas[[#This Row],[profissional_id]]&amp;Vagas[[#This Row],[local_id]]</f>
        <v>44656729018</v>
      </c>
    </row>
    <row r="2251" spans="1:8" x14ac:dyDescent="0.25">
      <c r="A2251" s="2">
        <v>44656</v>
      </c>
      <c r="B2251">
        <v>8239</v>
      </c>
      <c r="C2251">
        <v>14</v>
      </c>
      <c r="D2251">
        <v>0</v>
      </c>
      <c r="E2251">
        <v>0</v>
      </c>
      <c r="F2251" s="1">
        <f t="shared" si="35"/>
        <v>0</v>
      </c>
      <c r="G2251" s="1" t="str">
        <f>_xlfn.XLOOKUP(C2251,'Ocupação DW'!$F:$F,'Ocupação DW'!$E:$E,"",0)</f>
        <v>SEG - FILIAL II 11°</v>
      </c>
      <c r="H2251" t="str">
        <f>Vagas[[#This Row],[data]]&amp;Vagas[[#This Row],[profissional_id]]&amp;Vagas[[#This Row],[local_id]]</f>
        <v>44656823914</v>
      </c>
    </row>
    <row r="2252" spans="1:8" x14ac:dyDescent="0.25">
      <c r="A2252" s="2">
        <v>44656</v>
      </c>
      <c r="B2252">
        <v>8239</v>
      </c>
      <c r="C2252">
        <v>345</v>
      </c>
      <c r="D2252">
        <v>0</v>
      </c>
      <c r="E2252">
        <v>0</v>
      </c>
      <c r="F2252" s="1">
        <f t="shared" si="35"/>
        <v>0</v>
      </c>
      <c r="G2252" s="1" t="str">
        <f>_xlfn.XLOOKUP(C2252,'Ocupação DW'!$F:$F,'Ocupação DW'!$E:$E,"",0)</f>
        <v>SEG - MATRIZ</v>
      </c>
      <c r="H2252" t="str">
        <f>Vagas[[#This Row],[data]]&amp;Vagas[[#This Row],[profissional_id]]&amp;Vagas[[#This Row],[local_id]]</f>
        <v>446568239345</v>
      </c>
    </row>
    <row r="2253" spans="1:8" x14ac:dyDescent="0.25">
      <c r="A2253" s="2">
        <v>44656</v>
      </c>
      <c r="B2253">
        <v>9111</v>
      </c>
      <c r="C2253">
        <v>335</v>
      </c>
      <c r="D2253">
        <v>0</v>
      </c>
      <c r="E2253">
        <v>0</v>
      </c>
      <c r="F2253" s="1">
        <f t="shared" si="35"/>
        <v>0</v>
      </c>
      <c r="G2253" s="1" t="str">
        <f>_xlfn.XLOOKUP(C2253,'Ocupação DW'!$F:$F,'Ocupação DW'!$E:$E,"",0)</f>
        <v>SEG - FILIAL I</v>
      </c>
      <c r="H2253" t="str">
        <f>Vagas[[#This Row],[data]]&amp;Vagas[[#This Row],[profissional_id]]&amp;Vagas[[#This Row],[local_id]]</f>
        <v>446569111335</v>
      </c>
    </row>
    <row r="2254" spans="1:8" x14ac:dyDescent="0.25">
      <c r="A2254" s="2">
        <v>44656</v>
      </c>
      <c r="B2254">
        <v>9138</v>
      </c>
      <c r="C2254">
        <v>344</v>
      </c>
      <c r="D2254">
        <v>0</v>
      </c>
      <c r="E2254">
        <v>0</v>
      </c>
      <c r="F2254" s="1">
        <f t="shared" si="35"/>
        <v>0</v>
      </c>
      <c r="G2254" s="1" t="str">
        <f>_xlfn.XLOOKUP(C2254,'Ocupação DW'!$F:$F,'Ocupação DW'!$E:$E,"",0)</f>
        <v>SEG - MATRIZ</v>
      </c>
      <c r="H2254" t="str">
        <f>Vagas[[#This Row],[data]]&amp;Vagas[[#This Row],[profissional_id]]&amp;Vagas[[#This Row],[local_id]]</f>
        <v>446569138344</v>
      </c>
    </row>
    <row r="2255" spans="1:8" x14ac:dyDescent="0.25">
      <c r="A2255" s="2">
        <v>44656</v>
      </c>
      <c r="B2255">
        <v>9237</v>
      </c>
      <c r="C2255">
        <v>343</v>
      </c>
      <c r="D2255">
        <v>108</v>
      </c>
      <c r="E2255">
        <v>12</v>
      </c>
      <c r="F2255" s="1">
        <f t="shared" si="35"/>
        <v>0</v>
      </c>
      <c r="G2255" s="1" t="str">
        <f>_xlfn.XLOOKUP(C2255,'Ocupação DW'!$F:$F,'Ocupação DW'!$E:$E,"",0)</f>
        <v/>
      </c>
      <c r="H2255" t="str">
        <f>Vagas[[#This Row],[data]]&amp;Vagas[[#This Row],[profissional_id]]&amp;Vagas[[#This Row],[local_id]]</f>
        <v>446569237343</v>
      </c>
    </row>
    <row r="2256" spans="1:8" x14ac:dyDescent="0.25">
      <c r="A2256" s="2">
        <v>44656</v>
      </c>
      <c r="B2256">
        <v>10600</v>
      </c>
      <c r="C2256">
        <v>86</v>
      </c>
      <c r="D2256">
        <v>0</v>
      </c>
      <c r="E2256">
        <v>0</v>
      </c>
      <c r="F2256" s="1">
        <f t="shared" si="35"/>
        <v>0</v>
      </c>
      <c r="G2256" s="1" t="str">
        <f>_xlfn.XLOOKUP(C2256,'Ocupação DW'!$F:$F,'Ocupação DW'!$E:$E,"",0)</f>
        <v>SEG - MIGUEL COUTO</v>
      </c>
      <c r="H2256" t="str">
        <f>Vagas[[#This Row],[data]]&amp;Vagas[[#This Row],[profissional_id]]&amp;Vagas[[#This Row],[local_id]]</f>
        <v>446561060086</v>
      </c>
    </row>
    <row r="2257" spans="1:8" x14ac:dyDescent="0.25">
      <c r="A2257" s="2">
        <v>44656</v>
      </c>
      <c r="B2257">
        <v>10941</v>
      </c>
      <c r="C2257">
        <v>13</v>
      </c>
      <c r="D2257">
        <v>0</v>
      </c>
      <c r="E2257">
        <v>0</v>
      </c>
      <c r="F2257" s="1">
        <f t="shared" si="35"/>
        <v>0</v>
      </c>
      <c r="G2257" s="1" t="str">
        <f>_xlfn.XLOOKUP(C2257,'Ocupação DW'!$F:$F,'Ocupação DW'!$E:$E,"",0)</f>
        <v>SEG - FILIAL II 11°</v>
      </c>
      <c r="H2257" t="str">
        <f>Vagas[[#This Row],[data]]&amp;Vagas[[#This Row],[profissional_id]]&amp;Vagas[[#This Row],[local_id]]</f>
        <v>446561094113</v>
      </c>
    </row>
    <row r="2258" spans="1:8" x14ac:dyDescent="0.25">
      <c r="A2258" s="2">
        <v>44656</v>
      </c>
      <c r="B2258">
        <v>10941</v>
      </c>
      <c r="C2258">
        <v>83</v>
      </c>
      <c r="D2258">
        <v>0</v>
      </c>
      <c r="E2258">
        <v>0</v>
      </c>
      <c r="F2258" s="1">
        <f t="shared" si="35"/>
        <v>0</v>
      </c>
      <c r="G2258" s="1" t="str">
        <f>_xlfn.XLOOKUP(C2258,'Ocupação DW'!$F:$F,'Ocupação DW'!$E:$E,"",0)</f>
        <v>SEG - MIGUEL COUTO</v>
      </c>
      <c r="H2258" t="str">
        <f>Vagas[[#This Row],[data]]&amp;Vagas[[#This Row],[profissional_id]]&amp;Vagas[[#This Row],[local_id]]</f>
        <v>446561094183</v>
      </c>
    </row>
    <row r="2259" spans="1:8" x14ac:dyDescent="0.25">
      <c r="A2259" s="2">
        <v>44656</v>
      </c>
      <c r="B2259">
        <v>11207</v>
      </c>
      <c r="C2259">
        <v>51</v>
      </c>
      <c r="D2259">
        <v>0</v>
      </c>
      <c r="E2259">
        <v>0</v>
      </c>
      <c r="F2259" s="1">
        <f t="shared" si="35"/>
        <v>0</v>
      </c>
      <c r="G2259" s="1" t="str">
        <f>_xlfn.XLOOKUP(C2259,'Ocupação DW'!$F:$F,'Ocupação DW'!$E:$E,"",0)</f>
        <v>SEG - FILIAL I</v>
      </c>
      <c r="H2259" t="str">
        <f>Vagas[[#This Row],[data]]&amp;Vagas[[#This Row],[profissional_id]]&amp;Vagas[[#This Row],[local_id]]</f>
        <v>446561120751</v>
      </c>
    </row>
    <row r="2260" spans="1:8" x14ac:dyDescent="0.25">
      <c r="A2260" s="2">
        <v>44656</v>
      </c>
      <c r="B2260">
        <v>11237</v>
      </c>
      <c r="C2260">
        <v>46</v>
      </c>
      <c r="D2260">
        <v>0</v>
      </c>
      <c r="E2260">
        <v>0</v>
      </c>
      <c r="F2260" s="1">
        <f t="shared" si="35"/>
        <v>0</v>
      </c>
      <c r="G2260" s="1" t="str">
        <f>_xlfn.XLOOKUP(C2260,'Ocupação DW'!$F:$F,'Ocupação DW'!$E:$E,"",0)</f>
        <v>SEG - FILIAL I</v>
      </c>
      <c r="H2260" t="str">
        <f>Vagas[[#This Row],[data]]&amp;Vagas[[#This Row],[profissional_id]]&amp;Vagas[[#This Row],[local_id]]</f>
        <v>446561123746</v>
      </c>
    </row>
    <row r="2261" spans="1:8" x14ac:dyDescent="0.25">
      <c r="A2261" s="2">
        <v>44656</v>
      </c>
      <c r="B2261">
        <v>11242</v>
      </c>
      <c r="C2261">
        <v>341</v>
      </c>
      <c r="D2261">
        <v>60</v>
      </c>
      <c r="E2261">
        <v>0</v>
      </c>
      <c r="F2261" s="1">
        <f t="shared" si="35"/>
        <v>0</v>
      </c>
      <c r="G2261" s="1" t="str">
        <f>_xlfn.XLOOKUP(C2261,'Ocupação DW'!$F:$F,'Ocupação DW'!$E:$E,"",0)</f>
        <v/>
      </c>
      <c r="H2261" t="str">
        <f>Vagas[[#This Row],[data]]&amp;Vagas[[#This Row],[profissional_id]]&amp;Vagas[[#This Row],[local_id]]</f>
        <v>4465611242341</v>
      </c>
    </row>
    <row r="2262" spans="1:8" x14ac:dyDescent="0.25">
      <c r="A2262" s="2">
        <v>44656</v>
      </c>
      <c r="B2262">
        <v>11397</v>
      </c>
      <c r="C2262">
        <v>344</v>
      </c>
      <c r="D2262">
        <v>72</v>
      </c>
      <c r="E2262">
        <v>0</v>
      </c>
      <c r="F2262" s="1">
        <f t="shared" si="35"/>
        <v>0</v>
      </c>
      <c r="G2262" s="1" t="str">
        <f>_xlfn.XLOOKUP(C2262,'Ocupação DW'!$F:$F,'Ocupação DW'!$E:$E,"",0)</f>
        <v>SEG - MATRIZ</v>
      </c>
      <c r="H2262" t="str">
        <f>Vagas[[#This Row],[data]]&amp;Vagas[[#This Row],[profissional_id]]&amp;Vagas[[#This Row],[local_id]]</f>
        <v>4465611397344</v>
      </c>
    </row>
    <row r="2263" spans="1:8" x14ac:dyDescent="0.25">
      <c r="A2263" s="2">
        <v>44656</v>
      </c>
      <c r="B2263">
        <v>11634</v>
      </c>
      <c r="C2263">
        <v>348</v>
      </c>
      <c r="D2263">
        <v>120</v>
      </c>
      <c r="E2263">
        <v>0</v>
      </c>
      <c r="F2263" s="1">
        <f t="shared" si="35"/>
        <v>0</v>
      </c>
      <c r="G2263" s="1" t="str">
        <f>_xlfn.XLOOKUP(C2263,'Ocupação DW'!$F:$F,'Ocupação DW'!$E:$E,"",0)</f>
        <v>SEG - MATRIZ</v>
      </c>
      <c r="H2263" t="str">
        <f>Vagas[[#This Row],[data]]&amp;Vagas[[#This Row],[profissional_id]]&amp;Vagas[[#This Row],[local_id]]</f>
        <v>4465611634348</v>
      </c>
    </row>
    <row r="2264" spans="1:8" x14ac:dyDescent="0.25">
      <c r="A2264" s="2">
        <v>44656</v>
      </c>
      <c r="B2264">
        <v>11652</v>
      </c>
      <c r="C2264">
        <v>47</v>
      </c>
      <c r="D2264">
        <v>48</v>
      </c>
      <c r="E2264">
        <v>0</v>
      </c>
      <c r="F2264" s="1">
        <f t="shared" si="35"/>
        <v>0</v>
      </c>
      <c r="G2264" s="1" t="str">
        <f>_xlfn.XLOOKUP(C2264,'Ocupação DW'!$F:$F,'Ocupação DW'!$E:$E,"",0)</f>
        <v>SEG - FILIAL I</v>
      </c>
      <c r="H2264" t="str">
        <f>Vagas[[#This Row],[data]]&amp;Vagas[[#This Row],[profissional_id]]&amp;Vagas[[#This Row],[local_id]]</f>
        <v>446561165247</v>
      </c>
    </row>
    <row r="2265" spans="1:8" x14ac:dyDescent="0.25">
      <c r="A2265" s="2">
        <v>44656</v>
      </c>
      <c r="B2265">
        <v>12230</v>
      </c>
      <c r="C2265">
        <v>17</v>
      </c>
      <c r="D2265">
        <v>0</v>
      </c>
      <c r="E2265">
        <v>0</v>
      </c>
      <c r="F2265" s="1">
        <f t="shared" si="35"/>
        <v>0</v>
      </c>
      <c r="G2265" s="1" t="str">
        <f>_xlfn.XLOOKUP(C2265,'Ocupação DW'!$F:$F,'Ocupação DW'!$E:$E,"",0)</f>
        <v>SEG - FILIAL II 11°</v>
      </c>
      <c r="H2265" t="str">
        <f>Vagas[[#This Row],[data]]&amp;Vagas[[#This Row],[profissional_id]]&amp;Vagas[[#This Row],[local_id]]</f>
        <v>446561223017</v>
      </c>
    </row>
    <row r="2266" spans="1:8" x14ac:dyDescent="0.25">
      <c r="A2266" s="2">
        <v>44656</v>
      </c>
      <c r="B2266">
        <v>12582</v>
      </c>
      <c r="C2266">
        <v>62</v>
      </c>
      <c r="D2266">
        <v>0</v>
      </c>
      <c r="E2266">
        <v>4</v>
      </c>
      <c r="F2266" s="1">
        <f t="shared" si="35"/>
        <v>0</v>
      </c>
      <c r="G2266" s="1" t="str">
        <f>_xlfn.XLOOKUP(C2266,'Ocupação DW'!$F:$F,'Ocupação DW'!$E:$E,"",0)</f>
        <v>SEG - NILÓPOLIS</v>
      </c>
      <c r="H2266" t="str">
        <f>Vagas[[#This Row],[data]]&amp;Vagas[[#This Row],[profissional_id]]&amp;Vagas[[#This Row],[local_id]]</f>
        <v>446561258262</v>
      </c>
    </row>
    <row r="2267" spans="1:8" x14ac:dyDescent="0.25">
      <c r="A2267" s="2">
        <v>44656</v>
      </c>
      <c r="B2267">
        <v>12623</v>
      </c>
      <c r="C2267">
        <v>11</v>
      </c>
      <c r="D2267">
        <v>0</v>
      </c>
      <c r="E2267">
        <v>0</v>
      </c>
      <c r="F2267" s="1">
        <f t="shared" si="35"/>
        <v>0</v>
      </c>
      <c r="G2267" s="1" t="str">
        <f>_xlfn.XLOOKUP(C2267,'Ocupação DW'!$F:$F,'Ocupação DW'!$E:$E,"",0)</f>
        <v>SEG - FILIAL II 11°</v>
      </c>
      <c r="H2267" t="str">
        <f>Vagas[[#This Row],[data]]&amp;Vagas[[#This Row],[profissional_id]]&amp;Vagas[[#This Row],[local_id]]</f>
        <v>446561262311</v>
      </c>
    </row>
    <row r="2268" spans="1:8" x14ac:dyDescent="0.25">
      <c r="A2268" s="2">
        <v>44656</v>
      </c>
      <c r="B2268">
        <v>12669</v>
      </c>
      <c r="C2268">
        <v>342</v>
      </c>
      <c r="D2268">
        <v>8</v>
      </c>
      <c r="E2268">
        <v>0</v>
      </c>
      <c r="F2268" s="1">
        <f t="shared" si="35"/>
        <v>0</v>
      </c>
      <c r="G2268" s="1" t="str">
        <f>_xlfn.XLOOKUP(C2268,'Ocupação DW'!$F:$F,'Ocupação DW'!$E:$E,"",0)</f>
        <v>SEG - MATRIZ</v>
      </c>
      <c r="H2268" t="str">
        <f>Vagas[[#This Row],[data]]&amp;Vagas[[#This Row],[profissional_id]]&amp;Vagas[[#This Row],[local_id]]</f>
        <v>4465612669342</v>
      </c>
    </row>
    <row r="2269" spans="1:8" x14ac:dyDescent="0.25">
      <c r="A2269" s="2">
        <v>44656</v>
      </c>
      <c r="B2269">
        <v>12669</v>
      </c>
      <c r="C2269">
        <v>6</v>
      </c>
      <c r="D2269">
        <v>0</v>
      </c>
      <c r="E2269">
        <v>0</v>
      </c>
      <c r="F2269" s="1">
        <f t="shared" si="35"/>
        <v>8</v>
      </c>
      <c r="G2269" s="1" t="str">
        <f>_xlfn.XLOOKUP(C2269,'Ocupação DW'!$F:$F,'Ocupação DW'!$E:$E,"",0)</f>
        <v>SEG - FILIAL II 10°</v>
      </c>
      <c r="H2269" t="str">
        <f>Vagas[[#This Row],[data]]&amp;Vagas[[#This Row],[profissional_id]]&amp;Vagas[[#This Row],[local_id]]</f>
        <v>44656126696</v>
      </c>
    </row>
    <row r="2270" spans="1:8" x14ac:dyDescent="0.25">
      <c r="A2270" s="2">
        <v>44656</v>
      </c>
      <c r="B2270">
        <v>12752</v>
      </c>
      <c r="C2270">
        <v>60</v>
      </c>
      <c r="D2270">
        <v>0</v>
      </c>
      <c r="E2270">
        <v>6</v>
      </c>
      <c r="F2270" s="1">
        <f t="shared" si="35"/>
        <v>0</v>
      </c>
      <c r="G2270" s="1" t="str">
        <f>_xlfn.XLOOKUP(C2270,'Ocupação DW'!$F:$F,'Ocupação DW'!$E:$E,"",0)</f>
        <v>SEG - NILÓPOLIS</v>
      </c>
      <c r="H2270" t="str">
        <f>Vagas[[#This Row],[data]]&amp;Vagas[[#This Row],[profissional_id]]&amp;Vagas[[#This Row],[local_id]]</f>
        <v>446561275260</v>
      </c>
    </row>
    <row r="2271" spans="1:8" x14ac:dyDescent="0.25">
      <c r="A2271" s="2">
        <v>44656</v>
      </c>
      <c r="B2271">
        <v>12825</v>
      </c>
      <c r="C2271">
        <v>63</v>
      </c>
      <c r="D2271">
        <v>0</v>
      </c>
      <c r="E2271">
        <v>0</v>
      </c>
      <c r="F2271" s="1">
        <f t="shared" si="35"/>
        <v>0</v>
      </c>
      <c r="G2271" s="1" t="str">
        <f>_xlfn.XLOOKUP(C2271,'Ocupação DW'!$F:$F,'Ocupação DW'!$E:$E,"",0)</f>
        <v>SEG - NILÓPOLIS</v>
      </c>
      <c r="H2271" t="str">
        <f>Vagas[[#This Row],[data]]&amp;Vagas[[#This Row],[profissional_id]]&amp;Vagas[[#This Row],[local_id]]</f>
        <v>446561282563</v>
      </c>
    </row>
    <row r="2272" spans="1:8" x14ac:dyDescent="0.25">
      <c r="A2272" s="2">
        <v>44656</v>
      </c>
      <c r="B2272">
        <v>13061</v>
      </c>
      <c r="C2272">
        <v>9</v>
      </c>
      <c r="D2272">
        <v>0</v>
      </c>
      <c r="E2272">
        <v>0</v>
      </c>
      <c r="F2272" s="1">
        <f t="shared" si="35"/>
        <v>0</v>
      </c>
      <c r="G2272" s="1" t="str">
        <f>_xlfn.XLOOKUP(C2272,'Ocupação DW'!$F:$F,'Ocupação DW'!$E:$E,"",0)</f>
        <v>SEG - FILIAL II 10°</v>
      </c>
      <c r="H2272" t="str">
        <f>Vagas[[#This Row],[data]]&amp;Vagas[[#This Row],[profissional_id]]&amp;Vagas[[#This Row],[local_id]]</f>
        <v>44656130619</v>
      </c>
    </row>
    <row r="2273" spans="1:8" x14ac:dyDescent="0.25">
      <c r="A2273" s="2">
        <v>44656</v>
      </c>
      <c r="B2273">
        <v>13249</v>
      </c>
      <c r="D2273">
        <v>16</v>
      </c>
      <c r="E2273">
        <v>0</v>
      </c>
      <c r="F2273" s="1">
        <f t="shared" si="35"/>
        <v>0</v>
      </c>
      <c r="G2273" s="1" t="str">
        <f>_xlfn.XLOOKUP(C2273,'Ocupação DW'!$F:$F,'Ocupação DW'!$E:$E,"",0)</f>
        <v/>
      </c>
      <c r="H2273" t="str">
        <f>Vagas[[#This Row],[data]]&amp;Vagas[[#This Row],[profissional_id]]&amp;Vagas[[#This Row],[local_id]]</f>
        <v>4465613249</v>
      </c>
    </row>
    <row r="2274" spans="1:8" x14ac:dyDescent="0.25">
      <c r="A2274" s="2">
        <v>44656</v>
      </c>
      <c r="B2274">
        <v>13295</v>
      </c>
      <c r="C2274">
        <v>79</v>
      </c>
      <c r="D2274">
        <v>60</v>
      </c>
      <c r="E2274">
        <v>0</v>
      </c>
      <c r="F2274" s="1">
        <f t="shared" si="35"/>
        <v>0</v>
      </c>
      <c r="G2274" s="1" t="str">
        <f>_xlfn.XLOOKUP(C2274,'Ocupação DW'!$F:$F,'Ocupação DW'!$E:$E,"",0)</f>
        <v/>
      </c>
      <c r="H2274" t="str">
        <f>Vagas[[#This Row],[data]]&amp;Vagas[[#This Row],[profissional_id]]&amp;Vagas[[#This Row],[local_id]]</f>
        <v>446561329579</v>
      </c>
    </row>
    <row r="2275" spans="1:8" x14ac:dyDescent="0.25">
      <c r="A2275" s="2">
        <v>44656</v>
      </c>
      <c r="B2275">
        <v>13371</v>
      </c>
      <c r="D2275">
        <v>0</v>
      </c>
      <c r="E2275">
        <v>0</v>
      </c>
      <c r="F2275" s="1">
        <f t="shared" si="35"/>
        <v>0</v>
      </c>
      <c r="G2275" s="1" t="str">
        <f>_xlfn.XLOOKUP(C2275,'Ocupação DW'!$F:$F,'Ocupação DW'!$E:$E,"",0)</f>
        <v/>
      </c>
      <c r="H2275" t="str">
        <f>Vagas[[#This Row],[data]]&amp;Vagas[[#This Row],[profissional_id]]&amp;Vagas[[#This Row],[local_id]]</f>
        <v>4465613371</v>
      </c>
    </row>
    <row r="2276" spans="1:8" x14ac:dyDescent="0.25">
      <c r="A2276" s="2">
        <v>44656</v>
      </c>
      <c r="B2276">
        <v>13479</v>
      </c>
      <c r="C2276">
        <v>339</v>
      </c>
      <c r="D2276">
        <v>132</v>
      </c>
      <c r="E2276">
        <v>0</v>
      </c>
      <c r="F2276" s="1">
        <f t="shared" si="35"/>
        <v>0</v>
      </c>
      <c r="G2276" s="1" t="str">
        <f>_xlfn.XLOOKUP(C2276,'Ocupação DW'!$F:$F,'Ocupação DW'!$E:$E,"",0)</f>
        <v>SEG - MATRIZ</v>
      </c>
      <c r="H2276" t="str">
        <f>Vagas[[#This Row],[data]]&amp;Vagas[[#This Row],[profissional_id]]&amp;Vagas[[#This Row],[local_id]]</f>
        <v>4465613479339</v>
      </c>
    </row>
    <row r="2277" spans="1:8" x14ac:dyDescent="0.25">
      <c r="A2277" s="2">
        <v>44656</v>
      </c>
      <c r="B2277">
        <v>13645</v>
      </c>
      <c r="C2277">
        <v>79</v>
      </c>
      <c r="D2277">
        <v>60</v>
      </c>
      <c r="E2277">
        <v>0</v>
      </c>
      <c r="F2277" s="1">
        <f t="shared" si="35"/>
        <v>0</v>
      </c>
      <c r="G2277" s="1" t="str">
        <f>_xlfn.XLOOKUP(C2277,'Ocupação DW'!$F:$F,'Ocupação DW'!$E:$E,"",0)</f>
        <v/>
      </c>
      <c r="H2277" t="str">
        <f>Vagas[[#This Row],[data]]&amp;Vagas[[#This Row],[profissional_id]]&amp;Vagas[[#This Row],[local_id]]</f>
        <v>446561364579</v>
      </c>
    </row>
    <row r="2278" spans="1:8" x14ac:dyDescent="0.25">
      <c r="A2278" s="2">
        <v>44656</v>
      </c>
      <c r="B2278">
        <v>14237</v>
      </c>
      <c r="C2278">
        <v>47</v>
      </c>
      <c r="D2278">
        <v>0</v>
      </c>
      <c r="E2278">
        <v>0</v>
      </c>
      <c r="F2278" s="1">
        <f t="shared" si="35"/>
        <v>0</v>
      </c>
      <c r="G2278" s="1" t="str">
        <f>_xlfn.XLOOKUP(C2278,'Ocupação DW'!$F:$F,'Ocupação DW'!$E:$E,"",0)</f>
        <v>SEG - FILIAL I</v>
      </c>
      <c r="H2278" t="str">
        <f>Vagas[[#This Row],[data]]&amp;Vagas[[#This Row],[profissional_id]]&amp;Vagas[[#This Row],[local_id]]</f>
        <v>446561423747</v>
      </c>
    </row>
    <row r="2279" spans="1:8" x14ac:dyDescent="0.25">
      <c r="A2279" s="2">
        <v>44656</v>
      </c>
      <c r="B2279">
        <v>14371</v>
      </c>
      <c r="C2279">
        <v>60</v>
      </c>
      <c r="D2279">
        <v>23</v>
      </c>
      <c r="E2279">
        <v>0</v>
      </c>
      <c r="F2279" s="1">
        <f t="shared" si="35"/>
        <v>0</v>
      </c>
      <c r="G2279" s="1" t="str">
        <f>_xlfn.XLOOKUP(C2279,'Ocupação DW'!$F:$F,'Ocupação DW'!$E:$E,"",0)</f>
        <v>SEG - NILÓPOLIS</v>
      </c>
      <c r="H2279" t="str">
        <f>Vagas[[#This Row],[data]]&amp;Vagas[[#This Row],[profissional_id]]&amp;Vagas[[#This Row],[local_id]]</f>
        <v>446561437160</v>
      </c>
    </row>
    <row r="2280" spans="1:8" x14ac:dyDescent="0.25">
      <c r="A2280" s="2">
        <v>44656</v>
      </c>
      <c r="B2280">
        <v>14452</v>
      </c>
      <c r="C2280">
        <v>78</v>
      </c>
      <c r="D2280">
        <v>0</v>
      </c>
      <c r="E2280">
        <v>0</v>
      </c>
      <c r="F2280" s="1">
        <f t="shared" si="35"/>
        <v>0</v>
      </c>
      <c r="G2280" s="1" t="str">
        <f>_xlfn.XLOOKUP(C2280,'Ocupação DW'!$F:$F,'Ocupação DW'!$E:$E,"",0)</f>
        <v>SEG - MIGUEL COUTO</v>
      </c>
      <c r="H2280" t="str">
        <f>Vagas[[#This Row],[data]]&amp;Vagas[[#This Row],[profissional_id]]&amp;Vagas[[#This Row],[local_id]]</f>
        <v>446561445278</v>
      </c>
    </row>
    <row r="2281" spans="1:8" x14ac:dyDescent="0.25">
      <c r="A2281" s="2">
        <v>44656</v>
      </c>
      <c r="B2281">
        <v>17051</v>
      </c>
      <c r="C2281">
        <v>3</v>
      </c>
      <c r="D2281">
        <v>11</v>
      </c>
      <c r="E2281">
        <v>0</v>
      </c>
      <c r="F2281" s="1">
        <f t="shared" si="35"/>
        <v>0</v>
      </c>
      <c r="G2281" s="1" t="str">
        <f>_xlfn.XLOOKUP(C2281,'Ocupação DW'!$F:$F,'Ocupação DW'!$E:$E,"",0)</f>
        <v>SEG - FILIAL II 10°</v>
      </c>
      <c r="H2281" t="str">
        <f>Vagas[[#This Row],[data]]&amp;Vagas[[#This Row],[profissional_id]]&amp;Vagas[[#This Row],[local_id]]</f>
        <v>44656170513</v>
      </c>
    </row>
    <row r="2282" spans="1:8" x14ac:dyDescent="0.25">
      <c r="A2282" s="2">
        <v>44656</v>
      </c>
      <c r="B2282">
        <v>17742</v>
      </c>
      <c r="C2282">
        <v>22</v>
      </c>
      <c r="D2282">
        <v>23</v>
      </c>
      <c r="E2282">
        <v>0</v>
      </c>
      <c r="F2282" s="1">
        <f t="shared" si="35"/>
        <v>0</v>
      </c>
      <c r="G2282" s="1" t="str">
        <f>_xlfn.XLOOKUP(C2282,'Ocupação DW'!$F:$F,'Ocupação DW'!$E:$E,"",0)</f>
        <v>SEG - MATRIZ</v>
      </c>
      <c r="H2282" t="str">
        <f>Vagas[[#This Row],[data]]&amp;Vagas[[#This Row],[profissional_id]]&amp;Vagas[[#This Row],[local_id]]</f>
        <v>446561774222</v>
      </c>
    </row>
    <row r="2283" spans="1:8" x14ac:dyDescent="0.25">
      <c r="A2283" s="2">
        <v>44656</v>
      </c>
      <c r="B2283">
        <v>17863</v>
      </c>
      <c r="C2283">
        <v>60</v>
      </c>
      <c r="D2283">
        <v>59</v>
      </c>
      <c r="E2283">
        <v>0</v>
      </c>
      <c r="F2283" s="1">
        <f t="shared" si="35"/>
        <v>0</v>
      </c>
      <c r="G2283" s="1" t="str">
        <f>_xlfn.XLOOKUP(C2283,'Ocupação DW'!$F:$F,'Ocupação DW'!$E:$E,"",0)</f>
        <v>SEG - NILÓPOLIS</v>
      </c>
      <c r="H2283" t="str">
        <f>Vagas[[#This Row],[data]]&amp;Vagas[[#This Row],[profissional_id]]&amp;Vagas[[#This Row],[local_id]]</f>
        <v>446561786360</v>
      </c>
    </row>
    <row r="2284" spans="1:8" x14ac:dyDescent="0.25">
      <c r="A2284" s="2">
        <v>44656</v>
      </c>
      <c r="B2284">
        <v>17868</v>
      </c>
      <c r="C2284">
        <v>73</v>
      </c>
      <c r="D2284">
        <v>133</v>
      </c>
      <c r="E2284">
        <v>0</v>
      </c>
      <c r="F2284" s="1">
        <f t="shared" si="35"/>
        <v>0</v>
      </c>
      <c r="G2284" s="1" t="str">
        <f>_xlfn.XLOOKUP(C2284,'Ocupação DW'!$F:$F,'Ocupação DW'!$E:$E,"",0)</f>
        <v/>
      </c>
      <c r="H2284" t="str">
        <f>Vagas[[#This Row],[data]]&amp;Vagas[[#This Row],[profissional_id]]&amp;Vagas[[#This Row],[local_id]]</f>
        <v>446561786873</v>
      </c>
    </row>
    <row r="2285" spans="1:8" x14ac:dyDescent="0.25">
      <c r="A2285" s="2">
        <v>44656</v>
      </c>
      <c r="B2285">
        <v>17881</v>
      </c>
      <c r="C2285">
        <v>20</v>
      </c>
      <c r="D2285">
        <v>181</v>
      </c>
      <c r="E2285">
        <v>0</v>
      </c>
      <c r="F2285" s="1">
        <f t="shared" si="35"/>
        <v>0</v>
      </c>
      <c r="G2285" s="1" t="str">
        <f>_xlfn.XLOOKUP(C2285,'Ocupação DW'!$F:$F,'Ocupação DW'!$E:$E,"",0)</f>
        <v>SEG - MATRIZ</v>
      </c>
      <c r="H2285" t="str">
        <f>Vagas[[#This Row],[data]]&amp;Vagas[[#This Row],[profissional_id]]&amp;Vagas[[#This Row],[local_id]]</f>
        <v>446561788120</v>
      </c>
    </row>
    <row r="2286" spans="1:8" x14ac:dyDescent="0.25">
      <c r="A2286" s="2">
        <v>44656</v>
      </c>
      <c r="B2286">
        <v>17882</v>
      </c>
      <c r="C2286">
        <v>21</v>
      </c>
      <c r="D2286">
        <v>181</v>
      </c>
      <c r="E2286">
        <v>0</v>
      </c>
      <c r="F2286" s="1">
        <f t="shared" si="35"/>
        <v>0</v>
      </c>
      <c r="G2286" s="1" t="str">
        <f>_xlfn.XLOOKUP(C2286,'Ocupação DW'!$F:$F,'Ocupação DW'!$E:$E,"",0)</f>
        <v/>
      </c>
      <c r="H2286" t="str">
        <f>Vagas[[#This Row],[data]]&amp;Vagas[[#This Row],[profissional_id]]&amp;Vagas[[#This Row],[local_id]]</f>
        <v>446561788221</v>
      </c>
    </row>
    <row r="2287" spans="1:8" x14ac:dyDescent="0.25">
      <c r="A2287" s="2">
        <v>44656</v>
      </c>
      <c r="B2287">
        <v>17883</v>
      </c>
      <c r="C2287">
        <v>351</v>
      </c>
      <c r="D2287">
        <v>0</v>
      </c>
      <c r="E2287">
        <v>0</v>
      </c>
      <c r="F2287" s="1">
        <f t="shared" si="35"/>
        <v>0</v>
      </c>
      <c r="G2287" s="1" t="str">
        <f>_xlfn.XLOOKUP(C2287,'Ocupação DW'!$F:$F,'Ocupação DW'!$E:$E,"",0)</f>
        <v>SEG - FILIAL I</v>
      </c>
      <c r="H2287" t="str">
        <f>Vagas[[#This Row],[data]]&amp;Vagas[[#This Row],[profissional_id]]&amp;Vagas[[#This Row],[local_id]]</f>
        <v>4465617883351</v>
      </c>
    </row>
    <row r="2288" spans="1:8" x14ac:dyDescent="0.25">
      <c r="A2288" s="2">
        <v>44656</v>
      </c>
      <c r="B2288">
        <v>17884</v>
      </c>
      <c r="C2288">
        <v>22</v>
      </c>
      <c r="D2288">
        <v>23</v>
      </c>
      <c r="E2288">
        <v>0</v>
      </c>
      <c r="F2288" s="1">
        <f t="shared" si="35"/>
        <v>0</v>
      </c>
      <c r="G2288" s="1" t="str">
        <f>_xlfn.XLOOKUP(C2288,'Ocupação DW'!$F:$F,'Ocupação DW'!$E:$E,"",0)</f>
        <v>SEG - MATRIZ</v>
      </c>
      <c r="H2288" t="str">
        <f>Vagas[[#This Row],[data]]&amp;Vagas[[#This Row],[profissional_id]]&amp;Vagas[[#This Row],[local_id]]</f>
        <v>446561788422</v>
      </c>
    </row>
    <row r="2289" spans="1:8" x14ac:dyDescent="0.25">
      <c r="A2289" s="2">
        <v>44656</v>
      </c>
      <c r="B2289">
        <v>17885</v>
      </c>
      <c r="C2289">
        <v>23</v>
      </c>
      <c r="D2289">
        <v>61</v>
      </c>
      <c r="E2289">
        <v>0</v>
      </c>
      <c r="F2289" s="1">
        <f t="shared" si="35"/>
        <v>0</v>
      </c>
      <c r="G2289" s="1" t="str">
        <f>_xlfn.XLOOKUP(C2289,'Ocupação DW'!$F:$F,'Ocupação DW'!$E:$E,"",0)</f>
        <v/>
      </c>
      <c r="H2289" t="str">
        <f>Vagas[[#This Row],[data]]&amp;Vagas[[#This Row],[profissional_id]]&amp;Vagas[[#This Row],[local_id]]</f>
        <v>446561788523</v>
      </c>
    </row>
    <row r="2290" spans="1:8" x14ac:dyDescent="0.25">
      <c r="A2290" s="2">
        <v>44656</v>
      </c>
      <c r="B2290">
        <v>17886</v>
      </c>
      <c r="C2290">
        <v>84</v>
      </c>
      <c r="D2290">
        <v>60</v>
      </c>
      <c r="E2290">
        <v>0</v>
      </c>
      <c r="F2290" s="1">
        <f t="shared" si="35"/>
        <v>0</v>
      </c>
      <c r="G2290" s="1" t="str">
        <f>_xlfn.XLOOKUP(C2290,'Ocupação DW'!$F:$F,'Ocupação DW'!$E:$E,"",0)</f>
        <v/>
      </c>
      <c r="H2290" t="str">
        <f>Vagas[[#This Row],[data]]&amp;Vagas[[#This Row],[profissional_id]]&amp;Vagas[[#This Row],[local_id]]</f>
        <v>446561788684</v>
      </c>
    </row>
    <row r="2291" spans="1:8" x14ac:dyDescent="0.25">
      <c r="A2291" s="2">
        <v>44656</v>
      </c>
      <c r="B2291">
        <v>17887</v>
      </c>
      <c r="C2291">
        <v>58</v>
      </c>
      <c r="D2291">
        <v>60</v>
      </c>
      <c r="E2291">
        <v>0</v>
      </c>
      <c r="F2291" s="1">
        <f t="shared" si="35"/>
        <v>0</v>
      </c>
      <c r="G2291" s="1" t="str">
        <f>_xlfn.XLOOKUP(C2291,'Ocupação DW'!$F:$F,'Ocupação DW'!$E:$E,"",0)</f>
        <v/>
      </c>
      <c r="H2291" t="str">
        <f>Vagas[[#This Row],[data]]&amp;Vagas[[#This Row],[profissional_id]]&amp;Vagas[[#This Row],[local_id]]</f>
        <v>446561788758</v>
      </c>
    </row>
    <row r="2292" spans="1:8" x14ac:dyDescent="0.25">
      <c r="A2292" s="2">
        <v>44656</v>
      </c>
      <c r="B2292">
        <v>17889</v>
      </c>
      <c r="C2292">
        <v>59</v>
      </c>
      <c r="D2292">
        <v>30</v>
      </c>
      <c r="E2292">
        <v>0</v>
      </c>
      <c r="F2292" s="1">
        <f t="shared" si="35"/>
        <v>0</v>
      </c>
      <c r="G2292" s="1" t="str">
        <f>_xlfn.XLOOKUP(C2292,'Ocupação DW'!$F:$F,'Ocupação DW'!$E:$E,"",0)</f>
        <v>SEG - NILÓPOLIS</v>
      </c>
      <c r="H2292" t="str">
        <f>Vagas[[#This Row],[data]]&amp;Vagas[[#This Row],[profissional_id]]&amp;Vagas[[#This Row],[local_id]]</f>
        <v>446561788959</v>
      </c>
    </row>
    <row r="2293" spans="1:8" x14ac:dyDescent="0.25">
      <c r="A2293" s="2">
        <v>44656</v>
      </c>
      <c r="B2293">
        <v>17890</v>
      </c>
      <c r="C2293">
        <v>4</v>
      </c>
      <c r="D2293">
        <v>8</v>
      </c>
      <c r="E2293">
        <v>0</v>
      </c>
      <c r="F2293" s="1">
        <f t="shared" si="35"/>
        <v>0</v>
      </c>
      <c r="G2293" s="1" t="str">
        <f>_xlfn.XLOOKUP(C2293,'Ocupação DW'!$F:$F,'Ocupação DW'!$E:$E,"",0)</f>
        <v>SEG - FILIAL II 10°</v>
      </c>
      <c r="H2293" t="str">
        <f>Vagas[[#This Row],[data]]&amp;Vagas[[#This Row],[profissional_id]]&amp;Vagas[[#This Row],[local_id]]</f>
        <v>44656178904</v>
      </c>
    </row>
    <row r="2294" spans="1:8" x14ac:dyDescent="0.25">
      <c r="A2294" s="2">
        <v>44656</v>
      </c>
      <c r="B2294">
        <v>17891</v>
      </c>
      <c r="C2294">
        <v>76</v>
      </c>
      <c r="D2294">
        <v>1</v>
      </c>
      <c r="E2294">
        <v>0</v>
      </c>
      <c r="F2294" s="1">
        <f t="shared" si="35"/>
        <v>0</v>
      </c>
      <c r="G2294" s="1" t="str">
        <f>_xlfn.XLOOKUP(C2294,'Ocupação DW'!$F:$F,'Ocupação DW'!$E:$E,"",0)</f>
        <v>SEG - MIGUEL COUTO</v>
      </c>
      <c r="H2294" t="str">
        <f>Vagas[[#This Row],[data]]&amp;Vagas[[#This Row],[profissional_id]]&amp;Vagas[[#This Row],[local_id]]</f>
        <v>446561789176</v>
      </c>
    </row>
    <row r="2295" spans="1:8" x14ac:dyDescent="0.25">
      <c r="A2295" s="2">
        <v>44656</v>
      </c>
      <c r="B2295">
        <v>17892</v>
      </c>
      <c r="C2295">
        <v>55</v>
      </c>
      <c r="D2295">
        <v>3</v>
      </c>
      <c r="E2295">
        <v>0</v>
      </c>
      <c r="F2295" s="1">
        <f t="shared" si="35"/>
        <v>0</v>
      </c>
      <c r="G2295" s="1" t="str">
        <f>_xlfn.XLOOKUP(C2295,'Ocupação DW'!$F:$F,'Ocupação DW'!$E:$E,"",0)</f>
        <v>SEG - NILÓPOLIS</v>
      </c>
      <c r="H2295" t="str">
        <f>Vagas[[#This Row],[data]]&amp;Vagas[[#This Row],[profissional_id]]&amp;Vagas[[#This Row],[local_id]]</f>
        <v>446561789255</v>
      </c>
    </row>
    <row r="2296" spans="1:8" x14ac:dyDescent="0.25">
      <c r="A2296" s="2">
        <v>44656</v>
      </c>
      <c r="B2296">
        <v>17895</v>
      </c>
      <c r="C2296">
        <v>55</v>
      </c>
      <c r="D2296">
        <v>2</v>
      </c>
      <c r="E2296">
        <v>0</v>
      </c>
      <c r="F2296" s="1">
        <f t="shared" si="35"/>
        <v>0</v>
      </c>
      <c r="G2296" s="1" t="str">
        <f>_xlfn.XLOOKUP(C2296,'Ocupação DW'!$F:$F,'Ocupação DW'!$E:$E,"",0)</f>
        <v>SEG - NILÓPOLIS</v>
      </c>
      <c r="H2296" t="str">
        <f>Vagas[[#This Row],[data]]&amp;Vagas[[#This Row],[profissional_id]]&amp;Vagas[[#This Row],[local_id]]</f>
        <v>446561789555</v>
      </c>
    </row>
    <row r="2297" spans="1:8" x14ac:dyDescent="0.25">
      <c r="A2297" s="2">
        <v>44656</v>
      </c>
      <c r="B2297">
        <v>17901</v>
      </c>
      <c r="C2297">
        <v>55</v>
      </c>
      <c r="D2297">
        <v>66</v>
      </c>
      <c r="E2297">
        <v>0</v>
      </c>
      <c r="F2297" s="1">
        <f t="shared" si="35"/>
        <v>0</v>
      </c>
      <c r="G2297" s="1" t="str">
        <f>_xlfn.XLOOKUP(C2297,'Ocupação DW'!$F:$F,'Ocupação DW'!$E:$E,"",0)</f>
        <v>SEG - NILÓPOLIS</v>
      </c>
      <c r="H2297" t="str">
        <f>Vagas[[#This Row],[data]]&amp;Vagas[[#This Row],[profissional_id]]&amp;Vagas[[#This Row],[local_id]]</f>
        <v>446561790155</v>
      </c>
    </row>
    <row r="2298" spans="1:8" x14ac:dyDescent="0.25">
      <c r="A2298" s="2">
        <v>44656</v>
      </c>
      <c r="B2298">
        <v>17907</v>
      </c>
      <c r="C2298">
        <v>55</v>
      </c>
      <c r="D2298">
        <v>14</v>
      </c>
      <c r="E2298">
        <v>0</v>
      </c>
      <c r="F2298" s="1">
        <f t="shared" si="35"/>
        <v>0</v>
      </c>
      <c r="G2298" s="1" t="str">
        <f>_xlfn.XLOOKUP(C2298,'Ocupação DW'!$F:$F,'Ocupação DW'!$E:$E,"",0)</f>
        <v>SEG - NILÓPOLIS</v>
      </c>
      <c r="H2298" t="str">
        <f>Vagas[[#This Row],[data]]&amp;Vagas[[#This Row],[profissional_id]]&amp;Vagas[[#This Row],[local_id]]</f>
        <v>446561790755</v>
      </c>
    </row>
    <row r="2299" spans="1:8" x14ac:dyDescent="0.25">
      <c r="A2299" s="2">
        <v>44656</v>
      </c>
      <c r="B2299">
        <v>17918</v>
      </c>
      <c r="C2299">
        <v>378</v>
      </c>
      <c r="D2299">
        <v>0</v>
      </c>
      <c r="E2299">
        <v>0</v>
      </c>
      <c r="F2299" s="1">
        <f t="shared" si="35"/>
        <v>0</v>
      </c>
      <c r="G2299" s="1" t="str">
        <f>_xlfn.XLOOKUP(C2299,'Ocupação DW'!$F:$F,'Ocupação DW'!$E:$E,"",0)</f>
        <v>SEG - SÃO JOÃO</v>
      </c>
      <c r="H2299" t="str">
        <f>Vagas[[#This Row],[data]]&amp;Vagas[[#This Row],[profissional_id]]&amp;Vagas[[#This Row],[local_id]]</f>
        <v>4465617918378</v>
      </c>
    </row>
    <row r="2300" spans="1:8" x14ac:dyDescent="0.25">
      <c r="A2300" s="2">
        <v>44656</v>
      </c>
      <c r="B2300">
        <v>17922</v>
      </c>
      <c r="C2300">
        <v>74</v>
      </c>
      <c r="D2300">
        <v>133</v>
      </c>
      <c r="E2300">
        <v>0</v>
      </c>
      <c r="F2300" s="1">
        <f t="shared" si="35"/>
        <v>0</v>
      </c>
      <c r="G2300" s="1" t="str">
        <f>_xlfn.XLOOKUP(C2300,'Ocupação DW'!$F:$F,'Ocupação DW'!$E:$E,"",0)</f>
        <v/>
      </c>
      <c r="H2300" t="str">
        <f>Vagas[[#This Row],[data]]&amp;Vagas[[#This Row],[profissional_id]]&amp;Vagas[[#This Row],[local_id]]</f>
        <v>446561792274</v>
      </c>
    </row>
    <row r="2301" spans="1:8" x14ac:dyDescent="0.25">
      <c r="A2301" s="2">
        <v>44656</v>
      </c>
      <c r="B2301">
        <v>17924</v>
      </c>
      <c r="C2301">
        <v>52</v>
      </c>
      <c r="D2301">
        <v>133</v>
      </c>
      <c r="E2301">
        <v>0</v>
      </c>
      <c r="F2301" s="1">
        <f t="shared" si="35"/>
        <v>0</v>
      </c>
      <c r="G2301" s="1" t="str">
        <f>_xlfn.XLOOKUP(C2301,'Ocupação DW'!$F:$F,'Ocupação DW'!$E:$E,"",0)</f>
        <v/>
      </c>
      <c r="H2301" t="str">
        <f>Vagas[[#This Row],[data]]&amp;Vagas[[#This Row],[profissional_id]]&amp;Vagas[[#This Row],[local_id]]</f>
        <v>446561792452</v>
      </c>
    </row>
    <row r="2302" spans="1:8" x14ac:dyDescent="0.25">
      <c r="A2302" s="2">
        <v>44657</v>
      </c>
      <c r="B2302">
        <v>57</v>
      </c>
      <c r="C2302">
        <v>4</v>
      </c>
      <c r="D2302">
        <v>0</v>
      </c>
      <c r="E2302">
        <v>0</v>
      </c>
      <c r="F2302" s="1">
        <f t="shared" si="35"/>
        <v>0</v>
      </c>
      <c r="G2302" s="1" t="str">
        <f>_xlfn.XLOOKUP(C2302,'Ocupação DW'!$F:$F,'Ocupação DW'!$E:$E,"",0)</f>
        <v>SEG - FILIAL II 10°</v>
      </c>
      <c r="H2302" t="str">
        <f>Vagas[[#This Row],[data]]&amp;Vagas[[#This Row],[profissional_id]]&amp;Vagas[[#This Row],[local_id]]</f>
        <v>44657574</v>
      </c>
    </row>
    <row r="2303" spans="1:8" x14ac:dyDescent="0.25">
      <c r="A2303" s="2">
        <v>44657</v>
      </c>
      <c r="B2303">
        <v>57</v>
      </c>
      <c r="C2303">
        <v>2</v>
      </c>
      <c r="D2303">
        <v>24</v>
      </c>
      <c r="E2303">
        <v>0</v>
      </c>
      <c r="F2303" s="1">
        <f t="shared" si="35"/>
        <v>0</v>
      </c>
      <c r="G2303" s="1" t="str">
        <f>_xlfn.XLOOKUP(C2303,'Ocupação DW'!$F:$F,'Ocupação DW'!$E:$E,"",0)</f>
        <v>SEG - FILIAL II 10°</v>
      </c>
      <c r="H2303" t="str">
        <f>Vagas[[#This Row],[data]]&amp;Vagas[[#This Row],[profissional_id]]&amp;Vagas[[#This Row],[local_id]]</f>
        <v>44657572</v>
      </c>
    </row>
    <row r="2304" spans="1:8" x14ac:dyDescent="0.25">
      <c r="A2304" s="2">
        <v>44657</v>
      </c>
      <c r="B2304">
        <v>60</v>
      </c>
      <c r="C2304">
        <v>8</v>
      </c>
      <c r="D2304">
        <v>0</v>
      </c>
      <c r="E2304">
        <v>0</v>
      </c>
      <c r="F2304" s="1">
        <f t="shared" si="35"/>
        <v>0</v>
      </c>
      <c r="G2304" s="1" t="str">
        <f>_xlfn.XLOOKUP(C2304,'Ocupação DW'!$F:$F,'Ocupação DW'!$E:$E,"",0)</f>
        <v>SEG - FILIAL II 10°</v>
      </c>
      <c r="H2304" t="str">
        <f>Vagas[[#This Row],[data]]&amp;Vagas[[#This Row],[profissional_id]]&amp;Vagas[[#This Row],[local_id]]</f>
        <v>44657608</v>
      </c>
    </row>
    <row r="2305" spans="1:8" x14ac:dyDescent="0.25">
      <c r="A2305" s="2">
        <v>44657</v>
      </c>
      <c r="B2305">
        <v>60</v>
      </c>
      <c r="C2305">
        <v>346</v>
      </c>
      <c r="D2305">
        <v>0</v>
      </c>
      <c r="E2305">
        <v>0</v>
      </c>
      <c r="F2305" s="1">
        <f t="shared" si="35"/>
        <v>0</v>
      </c>
      <c r="G2305" s="1" t="str">
        <f>_xlfn.XLOOKUP(C2305,'Ocupação DW'!$F:$F,'Ocupação DW'!$E:$E,"",0)</f>
        <v>SEG - MATRIZ</v>
      </c>
      <c r="H2305" t="str">
        <f>Vagas[[#This Row],[data]]&amp;Vagas[[#This Row],[profissional_id]]&amp;Vagas[[#This Row],[local_id]]</f>
        <v>4465760346</v>
      </c>
    </row>
    <row r="2306" spans="1:8" x14ac:dyDescent="0.25">
      <c r="A2306" s="2">
        <v>44657</v>
      </c>
      <c r="B2306">
        <v>60</v>
      </c>
      <c r="C2306">
        <v>375</v>
      </c>
      <c r="D2306">
        <v>0</v>
      </c>
      <c r="E2306">
        <v>0</v>
      </c>
      <c r="F2306" s="1">
        <f t="shared" ref="F2306:F2369" si="36">IF(AND(A2306=A2305,B2306=B2305,D2305&lt;&gt;0,D2306=0),D2305,0)</f>
        <v>0</v>
      </c>
      <c r="G2306" s="1" t="str">
        <f>_xlfn.XLOOKUP(C2306,'Ocupação DW'!$F:$F,'Ocupação DW'!$E:$E,"",0)</f>
        <v>SEG - SÃO JOÃO</v>
      </c>
      <c r="H2306" t="str">
        <f>Vagas[[#This Row],[data]]&amp;Vagas[[#This Row],[profissional_id]]&amp;Vagas[[#This Row],[local_id]]</f>
        <v>4465760375</v>
      </c>
    </row>
    <row r="2307" spans="1:8" x14ac:dyDescent="0.25">
      <c r="A2307" s="2">
        <v>44657</v>
      </c>
      <c r="B2307">
        <v>67</v>
      </c>
      <c r="C2307">
        <v>8</v>
      </c>
      <c r="D2307">
        <v>0</v>
      </c>
      <c r="E2307">
        <v>0</v>
      </c>
      <c r="F2307" s="1">
        <f t="shared" si="36"/>
        <v>0</v>
      </c>
      <c r="G2307" s="1" t="str">
        <f>_xlfn.XLOOKUP(C2307,'Ocupação DW'!$F:$F,'Ocupação DW'!$E:$E,"",0)</f>
        <v>SEG - FILIAL II 10°</v>
      </c>
      <c r="H2307" t="str">
        <f>Vagas[[#This Row],[data]]&amp;Vagas[[#This Row],[profissional_id]]&amp;Vagas[[#This Row],[local_id]]</f>
        <v>44657678</v>
      </c>
    </row>
    <row r="2308" spans="1:8" x14ac:dyDescent="0.25">
      <c r="A2308" s="2">
        <v>44657</v>
      </c>
      <c r="B2308">
        <v>70</v>
      </c>
      <c r="C2308">
        <v>13</v>
      </c>
      <c r="D2308">
        <v>0</v>
      </c>
      <c r="E2308">
        <v>0</v>
      </c>
      <c r="F2308" s="1">
        <f t="shared" si="36"/>
        <v>0</v>
      </c>
      <c r="G2308" s="1" t="str">
        <f>_xlfn.XLOOKUP(C2308,'Ocupação DW'!$F:$F,'Ocupação DW'!$E:$E,"",0)</f>
        <v>SEG - FILIAL II 11°</v>
      </c>
      <c r="H2308" t="str">
        <f>Vagas[[#This Row],[data]]&amp;Vagas[[#This Row],[profissional_id]]&amp;Vagas[[#This Row],[local_id]]</f>
        <v>446577013</v>
      </c>
    </row>
    <row r="2309" spans="1:8" x14ac:dyDescent="0.25">
      <c r="A2309" s="2">
        <v>44657</v>
      </c>
      <c r="B2309">
        <v>73</v>
      </c>
      <c r="C2309">
        <v>5</v>
      </c>
      <c r="D2309">
        <v>0</v>
      </c>
      <c r="E2309">
        <v>0</v>
      </c>
      <c r="F2309" s="1">
        <f t="shared" si="36"/>
        <v>0</v>
      </c>
      <c r="G2309" s="1" t="str">
        <f>_xlfn.XLOOKUP(C2309,'Ocupação DW'!$F:$F,'Ocupação DW'!$E:$E,"",0)</f>
        <v>SEG - FILIAL II 10°</v>
      </c>
      <c r="H2309" t="str">
        <f>Vagas[[#This Row],[data]]&amp;Vagas[[#This Row],[profissional_id]]&amp;Vagas[[#This Row],[local_id]]</f>
        <v>44657735</v>
      </c>
    </row>
    <row r="2310" spans="1:8" x14ac:dyDescent="0.25">
      <c r="A2310" s="2">
        <v>44657</v>
      </c>
      <c r="B2310">
        <v>74</v>
      </c>
      <c r="C2310">
        <v>7</v>
      </c>
      <c r="D2310">
        <v>0</v>
      </c>
      <c r="E2310">
        <v>2</v>
      </c>
      <c r="F2310" s="1">
        <f t="shared" si="36"/>
        <v>0</v>
      </c>
      <c r="G2310" s="1" t="str">
        <f>_xlfn.XLOOKUP(C2310,'Ocupação DW'!$F:$F,'Ocupação DW'!$E:$E,"",0)</f>
        <v>SEG - FILIAL II 10°</v>
      </c>
      <c r="H2310" t="str">
        <f>Vagas[[#This Row],[data]]&amp;Vagas[[#This Row],[profissional_id]]&amp;Vagas[[#This Row],[local_id]]</f>
        <v>44657747</v>
      </c>
    </row>
    <row r="2311" spans="1:8" x14ac:dyDescent="0.25">
      <c r="A2311" s="2">
        <v>44657</v>
      </c>
      <c r="B2311">
        <v>80</v>
      </c>
      <c r="C2311">
        <v>346</v>
      </c>
      <c r="D2311">
        <v>0</v>
      </c>
      <c r="E2311">
        <v>3</v>
      </c>
      <c r="F2311" s="1">
        <f t="shared" si="36"/>
        <v>0</v>
      </c>
      <c r="G2311" s="1" t="str">
        <f>_xlfn.XLOOKUP(C2311,'Ocupação DW'!$F:$F,'Ocupação DW'!$E:$E,"",0)</f>
        <v>SEG - MATRIZ</v>
      </c>
      <c r="H2311" t="str">
        <f>Vagas[[#This Row],[data]]&amp;Vagas[[#This Row],[profissional_id]]&amp;Vagas[[#This Row],[local_id]]</f>
        <v>4465780346</v>
      </c>
    </row>
    <row r="2312" spans="1:8" x14ac:dyDescent="0.25">
      <c r="A2312" s="2">
        <v>44657</v>
      </c>
      <c r="B2312">
        <v>81</v>
      </c>
      <c r="C2312">
        <v>41</v>
      </c>
      <c r="D2312">
        <v>0</v>
      </c>
      <c r="E2312">
        <v>0</v>
      </c>
      <c r="F2312" s="1">
        <f t="shared" si="36"/>
        <v>0</v>
      </c>
      <c r="G2312" s="1" t="str">
        <f>_xlfn.XLOOKUP(C2312,'Ocupação DW'!$F:$F,'Ocupação DW'!$E:$E,"",0)</f>
        <v>SEG - FILIAL I</v>
      </c>
      <c r="H2312" t="str">
        <f>Vagas[[#This Row],[data]]&amp;Vagas[[#This Row],[profissional_id]]&amp;Vagas[[#This Row],[local_id]]</f>
        <v>446578141</v>
      </c>
    </row>
    <row r="2313" spans="1:8" x14ac:dyDescent="0.25">
      <c r="A2313" s="2">
        <v>44657</v>
      </c>
      <c r="B2313">
        <v>86</v>
      </c>
      <c r="C2313">
        <v>66</v>
      </c>
      <c r="D2313">
        <v>0</v>
      </c>
      <c r="E2313">
        <v>0</v>
      </c>
      <c r="F2313" s="1">
        <f t="shared" si="36"/>
        <v>0</v>
      </c>
      <c r="G2313" s="1" t="str">
        <f>_xlfn.XLOOKUP(C2313,'Ocupação DW'!$F:$F,'Ocupação DW'!$E:$E,"",0)</f>
        <v>SEG - NILÓPOLIS</v>
      </c>
      <c r="H2313" t="str">
        <f>Vagas[[#This Row],[data]]&amp;Vagas[[#This Row],[profissional_id]]&amp;Vagas[[#This Row],[local_id]]</f>
        <v>446578666</v>
      </c>
    </row>
    <row r="2314" spans="1:8" x14ac:dyDescent="0.25">
      <c r="A2314" s="2">
        <v>44657</v>
      </c>
      <c r="B2314">
        <v>110</v>
      </c>
      <c r="C2314">
        <v>334</v>
      </c>
      <c r="D2314">
        <v>0</v>
      </c>
      <c r="E2314">
        <v>0</v>
      </c>
      <c r="F2314" s="1">
        <f t="shared" si="36"/>
        <v>0</v>
      </c>
      <c r="G2314" s="1" t="str">
        <f>_xlfn.XLOOKUP(C2314,'Ocupação DW'!$F:$F,'Ocupação DW'!$E:$E,"",0)</f>
        <v>SEG - FILIAL I</v>
      </c>
      <c r="H2314" t="str">
        <f>Vagas[[#This Row],[data]]&amp;Vagas[[#This Row],[profissional_id]]&amp;Vagas[[#This Row],[local_id]]</f>
        <v>44657110334</v>
      </c>
    </row>
    <row r="2315" spans="1:8" x14ac:dyDescent="0.25">
      <c r="A2315" s="2">
        <v>44657</v>
      </c>
      <c r="B2315">
        <v>111</v>
      </c>
      <c r="C2315">
        <v>51</v>
      </c>
      <c r="D2315">
        <v>41</v>
      </c>
      <c r="E2315">
        <v>0</v>
      </c>
      <c r="F2315" s="1">
        <f t="shared" si="36"/>
        <v>0</v>
      </c>
      <c r="G2315" s="1" t="str">
        <f>_xlfn.XLOOKUP(C2315,'Ocupação DW'!$F:$F,'Ocupação DW'!$E:$E,"",0)</f>
        <v>SEG - FILIAL I</v>
      </c>
      <c r="H2315" t="str">
        <f>Vagas[[#This Row],[data]]&amp;Vagas[[#This Row],[profissional_id]]&amp;Vagas[[#This Row],[local_id]]</f>
        <v>4465711151</v>
      </c>
    </row>
    <row r="2316" spans="1:8" x14ac:dyDescent="0.25">
      <c r="A2316" s="2">
        <v>44657</v>
      </c>
      <c r="B2316">
        <v>531</v>
      </c>
      <c r="D2316">
        <v>33</v>
      </c>
      <c r="E2316">
        <v>1</v>
      </c>
      <c r="F2316" s="1">
        <f t="shared" si="36"/>
        <v>0</v>
      </c>
      <c r="G2316" s="1" t="str">
        <f>_xlfn.XLOOKUP(C2316,'Ocupação DW'!$F:$F,'Ocupação DW'!$E:$E,"",0)</f>
        <v/>
      </c>
      <c r="H2316" t="str">
        <f>Vagas[[#This Row],[data]]&amp;Vagas[[#This Row],[profissional_id]]&amp;Vagas[[#This Row],[local_id]]</f>
        <v>44657531</v>
      </c>
    </row>
    <row r="2317" spans="1:8" x14ac:dyDescent="0.25">
      <c r="A2317" s="2">
        <v>44657</v>
      </c>
      <c r="B2317">
        <v>1343</v>
      </c>
      <c r="C2317">
        <v>342</v>
      </c>
      <c r="D2317">
        <v>0</v>
      </c>
      <c r="E2317">
        <v>0</v>
      </c>
      <c r="F2317" s="1">
        <f t="shared" si="36"/>
        <v>0</v>
      </c>
      <c r="G2317" s="1" t="str">
        <f>_xlfn.XLOOKUP(C2317,'Ocupação DW'!$F:$F,'Ocupação DW'!$E:$E,"",0)</f>
        <v>SEG - MATRIZ</v>
      </c>
      <c r="H2317" t="str">
        <f>Vagas[[#This Row],[data]]&amp;Vagas[[#This Row],[profissional_id]]&amp;Vagas[[#This Row],[local_id]]</f>
        <v>446571343342</v>
      </c>
    </row>
    <row r="2318" spans="1:8" x14ac:dyDescent="0.25">
      <c r="A2318" s="2">
        <v>44657</v>
      </c>
      <c r="B2318">
        <v>1343</v>
      </c>
      <c r="C2318">
        <v>64</v>
      </c>
      <c r="D2318">
        <v>0</v>
      </c>
      <c r="E2318">
        <v>0</v>
      </c>
      <c r="F2318" s="1">
        <f t="shared" si="36"/>
        <v>0</v>
      </c>
      <c r="G2318" s="1" t="str">
        <f>_xlfn.XLOOKUP(C2318,'Ocupação DW'!$F:$F,'Ocupação DW'!$E:$E,"",0)</f>
        <v>SEG - NILÓPOLIS</v>
      </c>
      <c r="H2318" t="str">
        <f>Vagas[[#This Row],[data]]&amp;Vagas[[#This Row],[profissional_id]]&amp;Vagas[[#This Row],[local_id]]</f>
        <v>44657134364</v>
      </c>
    </row>
    <row r="2319" spans="1:8" x14ac:dyDescent="0.25">
      <c r="A2319" s="2">
        <v>44657</v>
      </c>
      <c r="B2319">
        <v>1490</v>
      </c>
      <c r="C2319">
        <v>13</v>
      </c>
      <c r="D2319">
        <v>0</v>
      </c>
      <c r="E2319">
        <v>0</v>
      </c>
      <c r="F2319" s="1">
        <f t="shared" si="36"/>
        <v>0</v>
      </c>
      <c r="G2319" s="1" t="str">
        <f>_xlfn.XLOOKUP(C2319,'Ocupação DW'!$F:$F,'Ocupação DW'!$E:$E,"",0)</f>
        <v>SEG - FILIAL II 11°</v>
      </c>
      <c r="H2319" t="str">
        <f>Vagas[[#This Row],[data]]&amp;Vagas[[#This Row],[profissional_id]]&amp;Vagas[[#This Row],[local_id]]</f>
        <v>44657149013</v>
      </c>
    </row>
    <row r="2320" spans="1:8" x14ac:dyDescent="0.25">
      <c r="A2320" s="2">
        <v>44657</v>
      </c>
      <c r="B2320">
        <v>1794</v>
      </c>
      <c r="C2320">
        <v>49</v>
      </c>
      <c r="D2320">
        <v>0</v>
      </c>
      <c r="E2320">
        <v>0</v>
      </c>
      <c r="F2320" s="1">
        <f t="shared" si="36"/>
        <v>0</v>
      </c>
      <c r="G2320" s="1" t="str">
        <f>_xlfn.XLOOKUP(C2320,'Ocupação DW'!$F:$F,'Ocupação DW'!$E:$E,"",0)</f>
        <v>SEG - FILIAL I</v>
      </c>
      <c r="H2320" t="str">
        <f>Vagas[[#This Row],[data]]&amp;Vagas[[#This Row],[profissional_id]]&amp;Vagas[[#This Row],[local_id]]</f>
        <v>44657179449</v>
      </c>
    </row>
    <row r="2321" spans="1:8" x14ac:dyDescent="0.25">
      <c r="A2321" s="2">
        <v>44657</v>
      </c>
      <c r="B2321">
        <v>2396</v>
      </c>
      <c r="C2321">
        <v>2</v>
      </c>
      <c r="D2321">
        <v>0</v>
      </c>
      <c r="E2321">
        <v>0</v>
      </c>
      <c r="F2321" s="1">
        <f t="shared" si="36"/>
        <v>0</v>
      </c>
      <c r="G2321" s="1" t="str">
        <f>_xlfn.XLOOKUP(C2321,'Ocupação DW'!$F:$F,'Ocupação DW'!$E:$E,"",0)</f>
        <v>SEG - FILIAL II 10°</v>
      </c>
      <c r="H2321" t="str">
        <f>Vagas[[#This Row],[data]]&amp;Vagas[[#This Row],[profissional_id]]&amp;Vagas[[#This Row],[local_id]]</f>
        <v>4465723962</v>
      </c>
    </row>
    <row r="2322" spans="1:8" x14ac:dyDescent="0.25">
      <c r="A2322" s="2">
        <v>44657</v>
      </c>
      <c r="B2322">
        <v>2567</v>
      </c>
      <c r="C2322">
        <v>349</v>
      </c>
      <c r="D2322">
        <v>0</v>
      </c>
      <c r="E2322">
        <v>0</v>
      </c>
      <c r="F2322" s="1">
        <f t="shared" si="36"/>
        <v>0</v>
      </c>
      <c r="G2322" s="1" t="str">
        <f>_xlfn.XLOOKUP(C2322,'Ocupação DW'!$F:$F,'Ocupação DW'!$E:$E,"",0)</f>
        <v>SEG - FILIAL II 11°</v>
      </c>
      <c r="H2322" t="str">
        <f>Vagas[[#This Row],[data]]&amp;Vagas[[#This Row],[profissional_id]]&amp;Vagas[[#This Row],[local_id]]</f>
        <v>446572567349</v>
      </c>
    </row>
    <row r="2323" spans="1:8" x14ac:dyDescent="0.25">
      <c r="A2323" s="2">
        <v>44657</v>
      </c>
      <c r="B2323">
        <v>5767</v>
      </c>
      <c r="C2323">
        <v>44</v>
      </c>
      <c r="D2323">
        <v>13</v>
      </c>
      <c r="E2323">
        <v>0</v>
      </c>
      <c r="F2323" s="1">
        <f t="shared" si="36"/>
        <v>0</v>
      </c>
      <c r="G2323" s="1" t="str">
        <f>_xlfn.XLOOKUP(C2323,'Ocupação DW'!$F:$F,'Ocupação DW'!$E:$E,"",0)</f>
        <v>SEG - FILIAL I</v>
      </c>
      <c r="H2323" t="str">
        <f>Vagas[[#This Row],[data]]&amp;Vagas[[#This Row],[profissional_id]]&amp;Vagas[[#This Row],[local_id]]</f>
        <v>44657576744</v>
      </c>
    </row>
    <row r="2324" spans="1:8" x14ac:dyDescent="0.25">
      <c r="A2324" s="2">
        <v>44657</v>
      </c>
      <c r="B2324">
        <v>6046</v>
      </c>
      <c r="C2324">
        <v>344</v>
      </c>
      <c r="D2324">
        <v>0</v>
      </c>
      <c r="E2324">
        <v>0</v>
      </c>
      <c r="F2324" s="1">
        <f t="shared" si="36"/>
        <v>0</v>
      </c>
      <c r="G2324" s="1" t="str">
        <f>_xlfn.XLOOKUP(C2324,'Ocupação DW'!$F:$F,'Ocupação DW'!$E:$E,"",0)</f>
        <v>SEG - MATRIZ</v>
      </c>
      <c r="H2324" t="str">
        <f>Vagas[[#This Row],[data]]&amp;Vagas[[#This Row],[profissional_id]]&amp;Vagas[[#This Row],[local_id]]</f>
        <v>446576046344</v>
      </c>
    </row>
    <row r="2325" spans="1:8" x14ac:dyDescent="0.25">
      <c r="A2325" s="2">
        <v>44657</v>
      </c>
      <c r="B2325">
        <v>6430</v>
      </c>
      <c r="C2325">
        <v>42</v>
      </c>
      <c r="D2325">
        <v>0</v>
      </c>
      <c r="E2325">
        <v>0</v>
      </c>
      <c r="F2325" s="1">
        <f t="shared" si="36"/>
        <v>0</v>
      </c>
      <c r="G2325" s="1" t="str">
        <f>_xlfn.XLOOKUP(C2325,'Ocupação DW'!$F:$F,'Ocupação DW'!$E:$E,"",0)</f>
        <v>SEG - FILIAL I</v>
      </c>
      <c r="H2325" t="str">
        <f>Vagas[[#This Row],[data]]&amp;Vagas[[#This Row],[profissional_id]]&amp;Vagas[[#This Row],[local_id]]</f>
        <v>44657643042</v>
      </c>
    </row>
    <row r="2326" spans="1:8" x14ac:dyDescent="0.25">
      <c r="A2326" s="2">
        <v>44657</v>
      </c>
      <c r="B2326">
        <v>7551</v>
      </c>
      <c r="C2326">
        <v>15</v>
      </c>
      <c r="D2326">
        <v>0</v>
      </c>
      <c r="E2326">
        <v>0</v>
      </c>
      <c r="F2326" s="1">
        <f t="shared" si="36"/>
        <v>0</v>
      </c>
      <c r="G2326" s="1" t="str">
        <f>_xlfn.XLOOKUP(C2326,'Ocupação DW'!$F:$F,'Ocupação DW'!$E:$E,"",0)</f>
        <v>SEG - FILIAL II 11°</v>
      </c>
      <c r="H2326" t="str">
        <f>Vagas[[#This Row],[data]]&amp;Vagas[[#This Row],[profissional_id]]&amp;Vagas[[#This Row],[local_id]]</f>
        <v>44657755115</v>
      </c>
    </row>
    <row r="2327" spans="1:8" x14ac:dyDescent="0.25">
      <c r="A2327" s="2">
        <v>44657</v>
      </c>
      <c r="B2327">
        <v>8598</v>
      </c>
      <c r="C2327">
        <v>3</v>
      </c>
      <c r="D2327">
        <v>0</v>
      </c>
      <c r="E2327">
        <v>0</v>
      </c>
      <c r="F2327" s="1">
        <f t="shared" si="36"/>
        <v>0</v>
      </c>
      <c r="G2327" s="1" t="str">
        <f>_xlfn.XLOOKUP(C2327,'Ocupação DW'!$F:$F,'Ocupação DW'!$E:$E,"",0)</f>
        <v>SEG - FILIAL II 10°</v>
      </c>
      <c r="H2327" t="str">
        <f>Vagas[[#This Row],[data]]&amp;Vagas[[#This Row],[profissional_id]]&amp;Vagas[[#This Row],[local_id]]</f>
        <v>4465785983</v>
      </c>
    </row>
    <row r="2328" spans="1:8" x14ac:dyDescent="0.25">
      <c r="A2328" s="2">
        <v>44657</v>
      </c>
      <c r="B2328">
        <v>9717</v>
      </c>
      <c r="C2328">
        <v>61</v>
      </c>
      <c r="D2328">
        <v>108</v>
      </c>
      <c r="E2328">
        <v>12</v>
      </c>
      <c r="F2328" s="1">
        <f t="shared" si="36"/>
        <v>0</v>
      </c>
      <c r="G2328" s="1" t="str">
        <f>_xlfn.XLOOKUP(C2328,'Ocupação DW'!$F:$F,'Ocupação DW'!$E:$E,"",0)</f>
        <v/>
      </c>
      <c r="H2328" t="str">
        <f>Vagas[[#This Row],[data]]&amp;Vagas[[#This Row],[profissional_id]]&amp;Vagas[[#This Row],[local_id]]</f>
        <v>44657971761</v>
      </c>
    </row>
    <row r="2329" spans="1:8" x14ac:dyDescent="0.25">
      <c r="A2329" s="2">
        <v>44657</v>
      </c>
      <c r="B2329">
        <v>10600</v>
      </c>
      <c r="C2329">
        <v>71</v>
      </c>
      <c r="D2329">
        <v>0</v>
      </c>
      <c r="E2329">
        <v>0</v>
      </c>
      <c r="F2329" s="1">
        <f t="shared" si="36"/>
        <v>0</v>
      </c>
      <c r="G2329" s="1" t="str">
        <f>_xlfn.XLOOKUP(C2329,'Ocupação DW'!$F:$F,'Ocupação DW'!$E:$E,"",0)</f>
        <v>SEG - NILÓPOLIS</v>
      </c>
      <c r="H2329" t="str">
        <f>Vagas[[#This Row],[data]]&amp;Vagas[[#This Row],[profissional_id]]&amp;Vagas[[#This Row],[local_id]]</f>
        <v>446571060071</v>
      </c>
    </row>
    <row r="2330" spans="1:8" x14ac:dyDescent="0.25">
      <c r="A2330" s="2">
        <v>44657</v>
      </c>
      <c r="B2330">
        <v>10691</v>
      </c>
      <c r="C2330">
        <v>9</v>
      </c>
      <c r="D2330">
        <v>0</v>
      </c>
      <c r="E2330">
        <v>0</v>
      </c>
      <c r="F2330" s="1">
        <f t="shared" si="36"/>
        <v>0</v>
      </c>
      <c r="G2330" s="1" t="str">
        <f>_xlfn.XLOOKUP(C2330,'Ocupação DW'!$F:$F,'Ocupação DW'!$E:$E,"",0)</f>
        <v>SEG - FILIAL II 10°</v>
      </c>
      <c r="H2330" t="str">
        <f>Vagas[[#This Row],[data]]&amp;Vagas[[#This Row],[profissional_id]]&amp;Vagas[[#This Row],[local_id]]</f>
        <v>44657106919</v>
      </c>
    </row>
    <row r="2331" spans="1:8" x14ac:dyDescent="0.25">
      <c r="A2331" s="2">
        <v>44657</v>
      </c>
      <c r="B2331">
        <v>10785</v>
      </c>
      <c r="C2331">
        <v>14</v>
      </c>
      <c r="D2331">
        <v>23</v>
      </c>
      <c r="E2331">
        <v>0</v>
      </c>
      <c r="F2331" s="1">
        <f t="shared" si="36"/>
        <v>0</v>
      </c>
      <c r="G2331" s="1" t="str">
        <f>_xlfn.XLOOKUP(C2331,'Ocupação DW'!$F:$F,'Ocupação DW'!$E:$E,"",0)</f>
        <v>SEG - FILIAL II 11°</v>
      </c>
      <c r="H2331" t="str">
        <f>Vagas[[#This Row],[data]]&amp;Vagas[[#This Row],[profissional_id]]&amp;Vagas[[#This Row],[local_id]]</f>
        <v>446571078514</v>
      </c>
    </row>
    <row r="2332" spans="1:8" x14ac:dyDescent="0.25">
      <c r="A2332" s="2">
        <v>44657</v>
      </c>
      <c r="B2332">
        <v>10799</v>
      </c>
      <c r="C2332">
        <v>18</v>
      </c>
      <c r="D2332">
        <v>0</v>
      </c>
      <c r="E2332">
        <v>0</v>
      </c>
      <c r="F2332" s="1">
        <f t="shared" si="36"/>
        <v>0</v>
      </c>
      <c r="G2332" s="1" t="str">
        <f>_xlfn.XLOOKUP(C2332,'Ocupação DW'!$F:$F,'Ocupação DW'!$E:$E,"",0)</f>
        <v>SEG - FILIAL II 11°</v>
      </c>
      <c r="H2332" t="str">
        <f>Vagas[[#This Row],[data]]&amp;Vagas[[#This Row],[profissional_id]]&amp;Vagas[[#This Row],[local_id]]</f>
        <v>446571079918</v>
      </c>
    </row>
    <row r="2333" spans="1:8" x14ac:dyDescent="0.25">
      <c r="A2333" s="2">
        <v>44657</v>
      </c>
      <c r="B2333">
        <v>12519</v>
      </c>
      <c r="C2333">
        <v>48</v>
      </c>
      <c r="D2333">
        <v>0</v>
      </c>
      <c r="E2333">
        <v>0</v>
      </c>
      <c r="F2333" s="1">
        <f t="shared" si="36"/>
        <v>0</v>
      </c>
      <c r="G2333" s="1" t="str">
        <f>_xlfn.XLOOKUP(C2333,'Ocupação DW'!$F:$F,'Ocupação DW'!$E:$E,"",0)</f>
        <v>SEG - FILIAL I</v>
      </c>
      <c r="H2333" t="str">
        <f>Vagas[[#This Row],[data]]&amp;Vagas[[#This Row],[profissional_id]]&amp;Vagas[[#This Row],[local_id]]</f>
        <v>446571251948</v>
      </c>
    </row>
    <row r="2334" spans="1:8" x14ac:dyDescent="0.25">
      <c r="A2334" s="2">
        <v>44657</v>
      </c>
      <c r="B2334">
        <v>12679</v>
      </c>
      <c r="C2334">
        <v>82</v>
      </c>
      <c r="D2334">
        <v>15</v>
      </c>
      <c r="E2334">
        <v>0</v>
      </c>
      <c r="F2334" s="1">
        <f t="shared" si="36"/>
        <v>0</v>
      </c>
      <c r="G2334" s="1" t="str">
        <f>_xlfn.XLOOKUP(C2334,'Ocupação DW'!$F:$F,'Ocupação DW'!$E:$E,"",0)</f>
        <v>SEG - MIGUEL COUTO</v>
      </c>
      <c r="H2334" t="str">
        <f>Vagas[[#This Row],[data]]&amp;Vagas[[#This Row],[profissional_id]]&amp;Vagas[[#This Row],[local_id]]</f>
        <v>446571267982</v>
      </c>
    </row>
    <row r="2335" spans="1:8" x14ac:dyDescent="0.25">
      <c r="A2335" s="2">
        <v>44657</v>
      </c>
      <c r="B2335">
        <v>12679</v>
      </c>
      <c r="C2335">
        <v>11</v>
      </c>
      <c r="D2335">
        <v>0</v>
      </c>
      <c r="E2335">
        <v>0</v>
      </c>
      <c r="F2335" s="1">
        <f t="shared" si="36"/>
        <v>15</v>
      </c>
      <c r="G2335" s="1" t="str">
        <f>_xlfn.XLOOKUP(C2335,'Ocupação DW'!$F:$F,'Ocupação DW'!$E:$E,"",0)</f>
        <v>SEG - FILIAL II 11°</v>
      </c>
      <c r="H2335" t="str">
        <f>Vagas[[#This Row],[data]]&amp;Vagas[[#This Row],[profissional_id]]&amp;Vagas[[#This Row],[local_id]]</f>
        <v>446571267911</v>
      </c>
    </row>
    <row r="2336" spans="1:8" x14ac:dyDescent="0.25">
      <c r="A2336" s="2">
        <v>44657</v>
      </c>
      <c r="B2336">
        <v>12684</v>
      </c>
      <c r="C2336">
        <v>51</v>
      </c>
      <c r="D2336">
        <v>18</v>
      </c>
      <c r="E2336">
        <v>0</v>
      </c>
      <c r="F2336" s="1">
        <f t="shared" si="36"/>
        <v>0</v>
      </c>
      <c r="G2336" s="1" t="str">
        <f>_xlfn.XLOOKUP(C2336,'Ocupação DW'!$F:$F,'Ocupação DW'!$E:$E,"",0)</f>
        <v>SEG - FILIAL I</v>
      </c>
      <c r="H2336" t="str">
        <f>Vagas[[#This Row],[data]]&amp;Vagas[[#This Row],[profissional_id]]&amp;Vagas[[#This Row],[local_id]]</f>
        <v>446571268451</v>
      </c>
    </row>
    <row r="2337" spans="1:8" x14ac:dyDescent="0.25">
      <c r="A2337" s="2">
        <v>44657</v>
      </c>
      <c r="B2337">
        <v>12825</v>
      </c>
      <c r="C2337">
        <v>45</v>
      </c>
      <c r="D2337">
        <v>0</v>
      </c>
      <c r="E2337">
        <v>0</v>
      </c>
      <c r="F2337" s="1">
        <f t="shared" si="36"/>
        <v>0</v>
      </c>
      <c r="G2337" s="1" t="str">
        <f>_xlfn.XLOOKUP(C2337,'Ocupação DW'!$F:$F,'Ocupação DW'!$E:$E,"",0)</f>
        <v>SEG - FILIAL I</v>
      </c>
      <c r="H2337" t="str">
        <f>Vagas[[#This Row],[data]]&amp;Vagas[[#This Row],[profissional_id]]&amp;Vagas[[#This Row],[local_id]]</f>
        <v>446571282545</v>
      </c>
    </row>
    <row r="2338" spans="1:8" x14ac:dyDescent="0.25">
      <c r="A2338" s="2">
        <v>44657</v>
      </c>
      <c r="B2338">
        <v>13058</v>
      </c>
      <c r="C2338">
        <v>47</v>
      </c>
      <c r="D2338">
        <v>0</v>
      </c>
      <c r="E2338">
        <v>0</v>
      </c>
      <c r="F2338" s="1">
        <f t="shared" si="36"/>
        <v>0</v>
      </c>
      <c r="G2338" s="1" t="str">
        <f>_xlfn.XLOOKUP(C2338,'Ocupação DW'!$F:$F,'Ocupação DW'!$E:$E,"",0)</f>
        <v>SEG - FILIAL I</v>
      </c>
      <c r="H2338" t="str">
        <f>Vagas[[#This Row],[data]]&amp;Vagas[[#This Row],[profissional_id]]&amp;Vagas[[#This Row],[local_id]]</f>
        <v>446571305847</v>
      </c>
    </row>
    <row r="2339" spans="1:8" x14ac:dyDescent="0.25">
      <c r="A2339" s="2">
        <v>44657</v>
      </c>
      <c r="B2339">
        <v>13061</v>
      </c>
      <c r="C2339">
        <v>3</v>
      </c>
      <c r="D2339">
        <v>0</v>
      </c>
      <c r="E2339">
        <v>7</v>
      </c>
      <c r="F2339" s="1">
        <f t="shared" si="36"/>
        <v>0</v>
      </c>
      <c r="G2339" s="1" t="str">
        <f>_xlfn.XLOOKUP(C2339,'Ocupação DW'!$F:$F,'Ocupação DW'!$E:$E,"",0)</f>
        <v>SEG - FILIAL II 10°</v>
      </c>
      <c r="H2339" t="str">
        <f>Vagas[[#This Row],[data]]&amp;Vagas[[#This Row],[profissional_id]]&amp;Vagas[[#This Row],[local_id]]</f>
        <v>44657130613</v>
      </c>
    </row>
    <row r="2340" spans="1:8" x14ac:dyDescent="0.25">
      <c r="A2340" s="2">
        <v>44657</v>
      </c>
      <c r="B2340">
        <v>13249</v>
      </c>
      <c r="D2340">
        <v>0</v>
      </c>
      <c r="E2340">
        <v>0</v>
      </c>
      <c r="F2340" s="1">
        <f t="shared" si="36"/>
        <v>0</v>
      </c>
      <c r="G2340" s="1" t="str">
        <f>_xlfn.XLOOKUP(C2340,'Ocupação DW'!$F:$F,'Ocupação DW'!$E:$E,"",0)</f>
        <v/>
      </c>
      <c r="H2340" t="str">
        <f>Vagas[[#This Row],[data]]&amp;Vagas[[#This Row],[profissional_id]]&amp;Vagas[[#This Row],[local_id]]</f>
        <v>4465713249</v>
      </c>
    </row>
    <row r="2341" spans="1:8" x14ac:dyDescent="0.25">
      <c r="A2341" s="2">
        <v>44657</v>
      </c>
      <c r="B2341">
        <v>13371</v>
      </c>
      <c r="D2341">
        <v>0</v>
      </c>
      <c r="E2341">
        <v>0</v>
      </c>
      <c r="F2341" s="1">
        <f t="shared" si="36"/>
        <v>0</v>
      </c>
      <c r="G2341" s="1" t="str">
        <f>_xlfn.XLOOKUP(C2341,'Ocupação DW'!$F:$F,'Ocupação DW'!$E:$E,"",0)</f>
        <v/>
      </c>
      <c r="H2341" t="str">
        <f>Vagas[[#This Row],[data]]&amp;Vagas[[#This Row],[profissional_id]]&amp;Vagas[[#This Row],[local_id]]</f>
        <v>4465713371</v>
      </c>
    </row>
    <row r="2342" spans="1:8" x14ac:dyDescent="0.25">
      <c r="A2342" s="2">
        <v>44657</v>
      </c>
      <c r="B2342">
        <v>13552</v>
      </c>
      <c r="C2342">
        <v>64</v>
      </c>
      <c r="D2342">
        <v>0</v>
      </c>
      <c r="E2342">
        <v>0</v>
      </c>
      <c r="F2342" s="1">
        <f t="shared" si="36"/>
        <v>0</v>
      </c>
      <c r="G2342" s="1" t="str">
        <f>_xlfn.XLOOKUP(C2342,'Ocupação DW'!$F:$F,'Ocupação DW'!$E:$E,"",0)</f>
        <v>SEG - NILÓPOLIS</v>
      </c>
      <c r="H2342" t="str">
        <f>Vagas[[#This Row],[data]]&amp;Vagas[[#This Row],[profissional_id]]&amp;Vagas[[#This Row],[local_id]]</f>
        <v>446571355264</v>
      </c>
    </row>
    <row r="2343" spans="1:8" x14ac:dyDescent="0.25">
      <c r="A2343" s="2">
        <v>44657</v>
      </c>
      <c r="B2343">
        <v>14326</v>
      </c>
      <c r="C2343">
        <v>43</v>
      </c>
      <c r="D2343">
        <v>0</v>
      </c>
      <c r="E2343">
        <v>0</v>
      </c>
      <c r="F2343" s="1">
        <f t="shared" si="36"/>
        <v>0</v>
      </c>
      <c r="G2343" s="1" t="str">
        <f>_xlfn.XLOOKUP(C2343,'Ocupação DW'!$F:$F,'Ocupação DW'!$E:$E,"",0)</f>
        <v>SEG - FILIAL I</v>
      </c>
      <c r="H2343" t="str">
        <f>Vagas[[#This Row],[data]]&amp;Vagas[[#This Row],[profissional_id]]&amp;Vagas[[#This Row],[local_id]]</f>
        <v>446571432643</v>
      </c>
    </row>
    <row r="2344" spans="1:8" x14ac:dyDescent="0.25">
      <c r="A2344" s="2">
        <v>44657</v>
      </c>
      <c r="B2344">
        <v>17859</v>
      </c>
      <c r="C2344">
        <v>336</v>
      </c>
      <c r="D2344">
        <v>0</v>
      </c>
      <c r="E2344">
        <v>0</v>
      </c>
      <c r="F2344" s="1">
        <f t="shared" si="36"/>
        <v>0</v>
      </c>
      <c r="G2344" s="1" t="str">
        <f>_xlfn.XLOOKUP(C2344,'Ocupação DW'!$F:$F,'Ocupação DW'!$E:$E,"",0)</f>
        <v>SEG - FILIAL I</v>
      </c>
      <c r="H2344" t="str">
        <f>Vagas[[#This Row],[data]]&amp;Vagas[[#This Row],[profissional_id]]&amp;Vagas[[#This Row],[local_id]]</f>
        <v>4465717859336</v>
      </c>
    </row>
    <row r="2345" spans="1:8" x14ac:dyDescent="0.25">
      <c r="A2345" s="2">
        <v>44657</v>
      </c>
      <c r="B2345">
        <v>17859</v>
      </c>
      <c r="C2345">
        <v>7</v>
      </c>
      <c r="D2345">
        <v>0</v>
      </c>
      <c r="E2345">
        <v>0</v>
      </c>
      <c r="F2345" s="1">
        <f t="shared" si="36"/>
        <v>0</v>
      </c>
      <c r="G2345" s="1" t="str">
        <f>_xlfn.XLOOKUP(C2345,'Ocupação DW'!$F:$F,'Ocupação DW'!$E:$E,"",0)</f>
        <v>SEG - FILIAL II 10°</v>
      </c>
      <c r="H2345" t="str">
        <f>Vagas[[#This Row],[data]]&amp;Vagas[[#This Row],[profissional_id]]&amp;Vagas[[#This Row],[local_id]]</f>
        <v>44657178597</v>
      </c>
    </row>
    <row r="2346" spans="1:8" x14ac:dyDescent="0.25">
      <c r="A2346" s="2">
        <v>44657</v>
      </c>
      <c r="B2346">
        <v>17878</v>
      </c>
      <c r="C2346">
        <v>63</v>
      </c>
      <c r="D2346">
        <v>0</v>
      </c>
      <c r="E2346">
        <v>0</v>
      </c>
      <c r="F2346" s="1">
        <f t="shared" si="36"/>
        <v>0</v>
      </c>
      <c r="G2346" s="1" t="str">
        <f>_xlfn.XLOOKUP(C2346,'Ocupação DW'!$F:$F,'Ocupação DW'!$E:$E,"",0)</f>
        <v>SEG - NILÓPOLIS</v>
      </c>
      <c r="H2346" t="str">
        <f>Vagas[[#This Row],[data]]&amp;Vagas[[#This Row],[profissional_id]]&amp;Vagas[[#This Row],[local_id]]</f>
        <v>446571787863</v>
      </c>
    </row>
    <row r="2347" spans="1:8" x14ac:dyDescent="0.25">
      <c r="A2347" s="2">
        <v>44657</v>
      </c>
      <c r="B2347">
        <v>17889</v>
      </c>
      <c r="C2347">
        <v>59</v>
      </c>
      <c r="D2347">
        <v>24</v>
      </c>
      <c r="E2347">
        <v>0</v>
      </c>
      <c r="F2347" s="1">
        <f t="shared" si="36"/>
        <v>0</v>
      </c>
      <c r="G2347" s="1" t="str">
        <f>_xlfn.XLOOKUP(C2347,'Ocupação DW'!$F:$F,'Ocupação DW'!$E:$E,"",0)</f>
        <v>SEG - NILÓPOLIS</v>
      </c>
      <c r="H2347" t="str">
        <f>Vagas[[#This Row],[data]]&amp;Vagas[[#This Row],[profissional_id]]&amp;Vagas[[#This Row],[local_id]]</f>
        <v>446571788959</v>
      </c>
    </row>
    <row r="2348" spans="1:8" x14ac:dyDescent="0.25">
      <c r="A2348" s="2">
        <v>44657</v>
      </c>
      <c r="B2348">
        <v>17892</v>
      </c>
      <c r="C2348">
        <v>55</v>
      </c>
      <c r="D2348">
        <v>3</v>
      </c>
      <c r="E2348">
        <v>0</v>
      </c>
      <c r="F2348" s="1">
        <f t="shared" si="36"/>
        <v>0</v>
      </c>
      <c r="G2348" s="1" t="str">
        <f>_xlfn.XLOOKUP(C2348,'Ocupação DW'!$F:$F,'Ocupação DW'!$E:$E,"",0)</f>
        <v>SEG - NILÓPOLIS</v>
      </c>
      <c r="H2348" t="str">
        <f>Vagas[[#This Row],[data]]&amp;Vagas[[#This Row],[profissional_id]]&amp;Vagas[[#This Row],[local_id]]</f>
        <v>446571789255</v>
      </c>
    </row>
    <row r="2349" spans="1:8" x14ac:dyDescent="0.25">
      <c r="A2349" s="2">
        <v>44657</v>
      </c>
      <c r="B2349">
        <v>17895</v>
      </c>
      <c r="C2349">
        <v>55</v>
      </c>
      <c r="D2349">
        <v>2</v>
      </c>
      <c r="E2349">
        <v>0</v>
      </c>
      <c r="F2349" s="1">
        <f t="shared" si="36"/>
        <v>0</v>
      </c>
      <c r="G2349" s="1" t="str">
        <f>_xlfn.XLOOKUP(C2349,'Ocupação DW'!$F:$F,'Ocupação DW'!$E:$E,"",0)</f>
        <v>SEG - NILÓPOLIS</v>
      </c>
      <c r="H2349" t="str">
        <f>Vagas[[#This Row],[data]]&amp;Vagas[[#This Row],[profissional_id]]&amp;Vagas[[#This Row],[local_id]]</f>
        <v>446571789555</v>
      </c>
    </row>
    <row r="2350" spans="1:8" x14ac:dyDescent="0.25">
      <c r="A2350" s="2">
        <v>44657</v>
      </c>
      <c r="B2350">
        <v>17901</v>
      </c>
      <c r="C2350">
        <v>55</v>
      </c>
      <c r="D2350">
        <v>66</v>
      </c>
      <c r="E2350">
        <v>0</v>
      </c>
      <c r="F2350" s="1">
        <f t="shared" si="36"/>
        <v>0</v>
      </c>
      <c r="G2350" s="1" t="str">
        <f>_xlfn.XLOOKUP(C2350,'Ocupação DW'!$F:$F,'Ocupação DW'!$E:$E,"",0)</f>
        <v>SEG - NILÓPOLIS</v>
      </c>
      <c r="H2350" t="str">
        <f>Vagas[[#This Row],[data]]&amp;Vagas[[#This Row],[profissional_id]]&amp;Vagas[[#This Row],[local_id]]</f>
        <v>446571790155</v>
      </c>
    </row>
    <row r="2351" spans="1:8" x14ac:dyDescent="0.25">
      <c r="A2351" s="2">
        <v>44657</v>
      </c>
      <c r="B2351">
        <v>17907</v>
      </c>
      <c r="C2351">
        <v>55</v>
      </c>
      <c r="D2351">
        <v>14</v>
      </c>
      <c r="E2351">
        <v>0</v>
      </c>
      <c r="F2351" s="1">
        <f t="shared" si="36"/>
        <v>0</v>
      </c>
      <c r="G2351" s="1" t="str">
        <f>_xlfn.XLOOKUP(C2351,'Ocupação DW'!$F:$F,'Ocupação DW'!$E:$E,"",0)</f>
        <v>SEG - NILÓPOLIS</v>
      </c>
      <c r="H2351" t="str">
        <f>Vagas[[#This Row],[data]]&amp;Vagas[[#This Row],[profissional_id]]&amp;Vagas[[#This Row],[local_id]]</f>
        <v>446571790755</v>
      </c>
    </row>
    <row r="2352" spans="1:8" x14ac:dyDescent="0.25">
      <c r="A2352" s="2">
        <v>44657</v>
      </c>
      <c r="B2352">
        <v>17918</v>
      </c>
      <c r="C2352">
        <v>42</v>
      </c>
      <c r="D2352">
        <v>0</v>
      </c>
      <c r="E2352">
        <v>0</v>
      </c>
      <c r="F2352" s="1">
        <f t="shared" si="36"/>
        <v>0</v>
      </c>
      <c r="G2352" s="1" t="str">
        <f>_xlfn.XLOOKUP(C2352,'Ocupação DW'!$F:$F,'Ocupação DW'!$E:$E,"",0)</f>
        <v>SEG - FILIAL I</v>
      </c>
      <c r="H2352" t="str">
        <f>Vagas[[#This Row],[data]]&amp;Vagas[[#This Row],[profissional_id]]&amp;Vagas[[#This Row],[local_id]]</f>
        <v>446571791842</v>
      </c>
    </row>
    <row r="2353" spans="1:8" x14ac:dyDescent="0.25">
      <c r="A2353" s="2">
        <v>44657</v>
      </c>
      <c r="B2353">
        <v>17924</v>
      </c>
      <c r="C2353">
        <v>52</v>
      </c>
      <c r="D2353">
        <v>133</v>
      </c>
      <c r="E2353">
        <v>0</v>
      </c>
      <c r="F2353" s="1">
        <f t="shared" si="36"/>
        <v>0</v>
      </c>
      <c r="G2353" s="1" t="str">
        <f>_xlfn.XLOOKUP(C2353,'Ocupação DW'!$F:$F,'Ocupação DW'!$E:$E,"",0)</f>
        <v/>
      </c>
      <c r="H2353" t="str">
        <f>Vagas[[#This Row],[data]]&amp;Vagas[[#This Row],[profissional_id]]&amp;Vagas[[#This Row],[local_id]]</f>
        <v>446571792452</v>
      </c>
    </row>
    <row r="2354" spans="1:8" x14ac:dyDescent="0.25">
      <c r="A2354" s="2">
        <v>44658</v>
      </c>
      <c r="B2354">
        <v>53</v>
      </c>
      <c r="C2354">
        <v>14</v>
      </c>
      <c r="D2354">
        <v>0</v>
      </c>
      <c r="E2354">
        <v>0</v>
      </c>
      <c r="F2354" s="1">
        <f t="shared" si="36"/>
        <v>0</v>
      </c>
      <c r="G2354" s="1" t="str">
        <f>_xlfn.XLOOKUP(C2354,'Ocupação DW'!$F:$F,'Ocupação DW'!$E:$E,"",0)</f>
        <v>SEG - FILIAL II 11°</v>
      </c>
      <c r="H2354" t="str">
        <f>Vagas[[#This Row],[data]]&amp;Vagas[[#This Row],[profissional_id]]&amp;Vagas[[#This Row],[local_id]]</f>
        <v>446585314</v>
      </c>
    </row>
    <row r="2355" spans="1:8" x14ac:dyDescent="0.25">
      <c r="A2355" s="2">
        <v>44658</v>
      </c>
      <c r="B2355">
        <v>60</v>
      </c>
      <c r="C2355">
        <v>346</v>
      </c>
      <c r="D2355">
        <v>0</v>
      </c>
      <c r="E2355">
        <v>0</v>
      </c>
      <c r="F2355" s="1">
        <f t="shared" si="36"/>
        <v>0</v>
      </c>
      <c r="G2355" s="1" t="str">
        <f>_xlfn.XLOOKUP(C2355,'Ocupação DW'!$F:$F,'Ocupação DW'!$E:$E,"",0)</f>
        <v>SEG - MATRIZ</v>
      </c>
      <c r="H2355" t="str">
        <f>Vagas[[#This Row],[data]]&amp;Vagas[[#This Row],[profissional_id]]&amp;Vagas[[#This Row],[local_id]]</f>
        <v>4465860346</v>
      </c>
    </row>
    <row r="2356" spans="1:8" x14ac:dyDescent="0.25">
      <c r="A2356" s="2">
        <v>44658</v>
      </c>
      <c r="B2356">
        <v>74</v>
      </c>
      <c r="C2356">
        <v>7</v>
      </c>
      <c r="D2356">
        <v>7</v>
      </c>
      <c r="E2356">
        <v>0</v>
      </c>
      <c r="F2356" s="1">
        <f t="shared" si="36"/>
        <v>0</v>
      </c>
      <c r="G2356" s="1" t="str">
        <f>_xlfn.XLOOKUP(C2356,'Ocupação DW'!$F:$F,'Ocupação DW'!$E:$E,"",0)</f>
        <v>SEG - FILIAL II 10°</v>
      </c>
      <c r="H2356" t="str">
        <f>Vagas[[#This Row],[data]]&amp;Vagas[[#This Row],[profissional_id]]&amp;Vagas[[#This Row],[local_id]]</f>
        <v>44658747</v>
      </c>
    </row>
    <row r="2357" spans="1:8" x14ac:dyDescent="0.25">
      <c r="A2357" s="2">
        <v>44658</v>
      </c>
      <c r="B2357">
        <v>80</v>
      </c>
      <c r="C2357">
        <v>348</v>
      </c>
      <c r="D2357">
        <v>0</v>
      </c>
      <c r="E2357">
        <v>0</v>
      </c>
      <c r="F2357" s="1">
        <f t="shared" si="36"/>
        <v>0</v>
      </c>
      <c r="G2357" s="1" t="str">
        <f>_xlfn.XLOOKUP(C2357,'Ocupação DW'!$F:$F,'Ocupação DW'!$E:$E,"",0)</f>
        <v>SEG - MATRIZ</v>
      </c>
      <c r="H2357" t="str">
        <f>Vagas[[#This Row],[data]]&amp;Vagas[[#This Row],[profissional_id]]&amp;Vagas[[#This Row],[local_id]]</f>
        <v>4465880348</v>
      </c>
    </row>
    <row r="2358" spans="1:8" x14ac:dyDescent="0.25">
      <c r="A2358" s="2">
        <v>44658</v>
      </c>
      <c r="B2358">
        <v>81</v>
      </c>
      <c r="C2358">
        <v>41</v>
      </c>
      <c r="D2358">
        <v>0</v>
      </c>
      <c r="E2358">
        <v>0</v>
      </c>
      <c r="F2358" s="1">
        <f t="shared" si="36"/>
        <v>0</v>
      </c>
      <c r="G2358" s="1" t="str">
        <f>_xlfn.XLOOKUP(C2358,'Ocupação DW'!$F:$F,'Ocupação DW'!$E:$E,"",0)</f>
        <v>SEG - FILIAL I</v>
      </c>
      <c r="H2358" t="str">
        <f>Vagas[[#This Row],[data]]&amp;Vagas[[#This Row],[profissional_id]]&amp;Vagas[[#This Row],[local_id]]</f>
        <v>446588141</v>
      </c>
    </row>
    <row r="2359" spans="1:8" x14ac:dyDescent="0.25">
      <c r="A2359" s="2">
        <v>44658</v>
      </c>
      <c r="B2359">
        <v>85</v>
      </c>
      <c r="C2359">
        <v>349</v>
      </c>
      <c r="D2359">
        <v>0</v>
      </c>
      <c r="E2359">
        <v>4</v>
      </c>
      <c r="F2359" s="1">
        <f t="shared" si="36"/>
        <v>0</v>
      </c>
      <c r="G2359" s="1" t="str">
        <f>_xlfn.XLOOKUP(C2359,'Ocupação DW'!$F:$F,'Ocupação DW'!$E:$E,"",0)</f>
        <v>SEG - FILIAL II 11°</v>
      </c>
      <c r="H2359" t="str">
        <f>Vagas[[#This Row],[data]]&amp;Vagas[[#This Row],[profissional_id]]&amp;Vagas[[#This Row],[local_id]]</f>
        <v>4465885349</v>
      </c>
    </row>
    <row r="2360" spans="1:8" x14ac:dyDescent="0.25">
      <c r="A2360" s="2">
        <v>44658</v>
      </c>
      <c r="B2360">
        <v>100</v>
      </c>
      <c r="C2360">
        <v>342</v>
      </c>
      <c r="D2360">
        <v>0</v>
      </c>
      <c r="E2360">
        <v>4</v>
      </c>
      <c r="F2360" s="1">
        <f t="shared" si="36"/>
        <v>0</v>
      </c>
      <c r="G2360" s="1" t="str">
        <f>_xlfn.XLOOKUP(C2360,'Ocupação DW'!$F:$F,'Ocupação DW'!$E:$E,"",0)</f>
        <v>SEG - MATRIZ</v>
      </c>
      <c r="H2360" t="str">
        <f>Vagas[[#This Row],[data]]&amp;Vagas[[#This Row],[profissional_id]]&amp;Vagas[[#This Row],[local_id]]</f>
        <v>44658100342</v>
      </c>
    </row>
    <row r="2361" spans="1:8" x14ac:dyDescent="0.25">
      <c r="A2361" s="2">
        <v>44658</v>
      </c>
      <c r="B2361">
        <v>282</v>
      </c>
      <c r="C2361">
        <v>82</v>
      </c>
      <c r="D2361">
        <v>0</v>
      </c>
      <c r="E2361">
        <v>0</v>
      </c>
      <c r="F2361" s="1">
        <f t="shared" si="36"/>
        <v>0</v>
      </c>
      <c r="G2361" s="1" t="str">
        <f>_xlfn.XLOOKUP(C2361,'Ocupação DW'!$F:$F,'Ocupação DW'!$E:$E,"",0)</f>
        <v>SEG - MIGUEL COUTO</v>
      </c>
      <c r="H2361" t="str">
        <f>Vagas[[#This Row],[data]]&amp;Vagas[[#This Row],[profissional_id]]&amp;Vagas[[#This Row],[local_id]]</f>
        <v>4465828282</v>
      </c>
    </row>
    <row r="2362" spans="1:8" x14ac:dyDescent="0.25">
      <c r="A2362" s="2">
        <v>44658</v>
      </c>
      <c r="B2362">
        <v>531</v>
      </c>
      <c r="D2362">
        <v>13</v>
      </c>
      <c r="E2362">
        <v>0</v>
      </c>
      <c r="F2362" s="1">
        <f t="shared" si="36"/>
        <v>0</v>
      </c>
      <c r="G2362" s="1" t="str">
        <f>_xlfn.XLOOKUP(C2362,'Ocupação DW'!$F:$F,'Ocupação DW'!$E:$E,"",0)</f>
        <v/>
      </c>
      <c r="H2362" t="str">
        <f>Vagas[[#This Row],[data]]&amp;Vagas[[#This Row],[profissional_id]]&amp;Vagas[[#This Row],[local_id]]</f>
        <v>44658531</v>
      </c>
    </row>
    <row r="2363" spans="1:8" x14ac:dyDescent="0.25">
      <c r="A2363" s="2">
        <v>44658</v>
      </c>
      <c r="B2363">
        <v>531</v>
      </c>
      <c r="C2363">
        <v>371</v>
      </c>
      <c r="D2363">
        <v>0</v>
      </c>
      <c r="E2363">
        <v>0</v>
      </c>
      <c r="F2363" s="1">
        <f t="shared" si="36"/>
        <v>13</v>
      </c>
      <c r="G2363" s="1" t="str">
        <f>_xlfn.XLOOKUP(C2363,'Ocupação DW'!$F:$F,'Ocupação DW'!$E:$E,"",0)</f>
        <v>SEG - SÃO JOÃO</v>
      </c>
      <c r="H2363" t="str">
        <f>Vagas[[#This Row],[data]]&amp;Vagas[[#This Row],[profissional_id]]&amp;Vagas[[#This Row],[local_id]]</f>
        <v>44658531371</v>
      </c>
    </row>
    <row r="2364" spans="1:8" x14ac:dyDescent="0.25">
      <c r="A2364" s="2">
        <v>44658</v>
      </c>
      <c r="B2364">
        <v>531</v>
      </c>
      <c r="C2364">
        <v>12</v>
      </c>
      <c r="D2364">
        <v>0</v>
      </c>
      <c r="E2364">
        <v>0</v>
      </c>
      <c r="F2364" s="1">
        <f t="shared" si="36"/>
        <v>0</v>
      </c>
      <c r="G2364" s="1" t="str">
        <f>_xlfn.XLOOKUP(C2364,'Ocupação DW'!$F:$F,'Ocupação DW'!$E:$E,"",0)</f>
        <v>SEG - FILIAL II 11°</v>
      </c>
      <c r="H2364" t="str">
        <f>Vagas[[#This Row],[data]]&amp;Vagas[[#This Row],[profissional_id]]&amp;Vagas[[#This Row],[local_id]]</f>
        <v>4465853112</v>
      </c>
    </row>
    <row r="2365" spans="1:8" x14ac:dyDescent="0.25">
      <c r="A2365" s="2">
        <v>44658</v>
      </c>
      <c r="B2365">
        <v>1343</v>
      </c>
      <c r="C2365">
        <v>80</v>
      </c>
      <c r="D2365">
        <v>0</v>
      </c>
      <c r="E2365">
        <v>0</v>
      </c>
      <c r="F2365" s="1">
        <f t="shared" si="36"/>
        <v>0</v>
      </c>
      <c r="G2365" s="1" t="str">
        <f>_xlfn.XLOOKUP(C2365,'Ocupação DW'!$F:$F,'Ocupação DW'!$E:$E,"",0)</f>
        <v>SEG - MIGUEL COUTO</v>
      </c>
      <c r="H2365" t="str">
        <f>Vagas[[#This Row],[data]]&amp;Vagas[[#This Row],[profissional_id]]&amp;Vagas[[#This Row],[local_id]]</f>
        <v>44658134380</v>
      </c>
    </row>
    <row r="2366" spans="1:8" x14ac:dyDescent="0.25">
      <c r="A2366" s="2">
        <v>44658</v>
      </c>
      <c r="B2366">
        <v>1490</v>
      </c>
      <c r="C2366">
        <v>13</v>
      </c>
      <c r="D2366">
        <v>0</v>
      </c>
      <c r="E2366">
        <v>0</v>
      </c>
      <c r="F2366" s="1">
        <f t="shared" si="36"/>
        <v>0</v>
      </c>
      <c r="G2366" s="1" t="str">
        <f>_xlfn.XLOOKUP(C2366,'Ocupação DW'!$F:$F,'Ocupação DW'!$E:$E,"",0)</f>
        <v>SEG - FILIAL II 11°</v>
      </c>
      <c r="H2366" t="str">
        <f>Vagas[[#This Row],[data]]&amp;Vagas[[#This Row],[profissional_id]]&amp;Vagas[[#This Row],[local_id]]</f>
        <v>44658149013</v>
      </c>
    </row>
    <row r="2367" spans="1:8" x14ac:dyDescent="0.25">
      <c r="A2367" s="2">
        <v>44658</v>
      </c>
      <c r="B2367">
        <v>1490</v>
      </c>
      <c r="C2367">
        <v>344</v>
      </c>
      <c r="D2367">
        <v>0</v>
      </c>
      <c r="E2367">
        <v>0</v>
      </c>
      <c r="F2367" s="1">
        <f t="shared" si="36"/>
        <v>0</v>
      </c>
      <c r="G2367" s="1" t="str">
        <f>_xlfn.XLOOKUP(C2367,'Ocupação DW'!$F:$F,'Ocupação DW'!$E:$E,"",0)</f>
        <v>SEG - MATRIZ</v>
      </c>
      <c r="H2367" t="str">
        <f>Vagas[[#This Row],[data]]&amp;Vagas[[#This Row],[profissional_id]]&amp;Vagas[[#This Row],[local_id]]</f>
        <v>446581490344</v>
      </c>
    </row>
    <row r="2368" spans="1:8" x14ac:dyDescent="0.25">
      <c r="A2368" s="2">
        <v>44658</v>
      </c>
      <c r="B2368">
        <v>2334</v>
      </c>
      <c r="C2368">
        <v>335</v>
      </c>
      <c r="D2368">
        <v>1</v>
      </c>
      <c r="E2368">
        <v>0</v>
      </c>
      <c r="F2368" s="1">
        <f t="shared" si="36"/>
        <v>0</v>
      </c>
      <c r="G2368" s="1" t="str">
        <f>_xlfn.XLOOKUP(C2368,'Ocupação DW'!$F:$F,'Ocupação DW'!$E:$E,"",0)</f>
        <v>SEG - FILIAL I</v>
      </c>
      <c r="H2368" t="str">
        <f>Vagas[[#This Row],[data]]&amp;Vagas[[#This Row],[profissional_id]]&amp;Vagas[[#This Row],[local_id]]</f>
        <v>446582334335</v>
      </c>
    </row>
    <row r="2369" spans="1:8" x14ac:dyDescent="0.25">
      <c r="A2369" s="2">
        <v>44658</v>
      </c>
      <c r="B2369">
        <v>2567</v>
      </c>
      <c r="C2369">
        <v>18</v>
      </c>
      <c r="D2369">
        <v>0</v>
      </c>
      <c r="E2369">
        <v>0</v>
      </c>
      <c r="F2369" s="1">
        <f t="shared" si="36"/>
        <v>0</v>
      </c>
      <c r="G2369" s="1" t="str">
        <f>_xlfn.XLOOKUP(C2369,'Ocupação DW'!$F:$F,'Ocupação DW'!$E:$E,"",0)</f>
        <v>SEG - FILIAL II 11°</v>
      </c>
      <c r="H2369" t="str">
        <f>Vagas[[#This Row],[data]]&amp;Vagas[[#This Row],[profissional_id]]&amp;Vagas[[#This Row],[local_id]]</f>
        <v>44658256718</v>
      </c>
    </row>
    <row r="2370" spans="1:8" x14ac:dyDescent="0.25">
      <c r="A2370" s="2">
        <v>44658</v>
      </c>
      <c r="B2370">
        <v>4814</v>
      </c>
      <c r="C2370">
        <v>14</v>
      </c>
      <c r="D2370">
        <v>0</v>
      </c>
      <c r="E2370">
        <v>0</v>
      </c>
      <c r="F2370" s="1">
        <f t="shared" ref="F2370:F2385" si="37">IF(AND(A2370=A2369,B2370=B2369,D2369&lt;&gt;0,D2370=0),D2369,0)</f>
        <v>0</v>
      </c>
      <c r="G2370" s="1" t="str">
        <f>_xlfn.XLOOKUP(C2370,'Ocupação DW'!$F:$F,'Ocupação DW'!$E:$E,"",0)</f>
        <v>SEG - FILIAL II 11°</v>
      </c>
      <c r="H2370" t="str">
        <f>Vagas[[#This Row],[data]]&amp;Vagas[[#This Row],[profissional_id]]&amp;Vagas[[#This Row],[local_id]]</f>
        <v>44658481414</v>
      </c>
    </row>
    <row r="2371" spans="1:8" x14ac:dyDescent="0.25">
      <c r="A2371" s="2">
        <v>44658</v>
      </c>
      <c r="B2371">
        <v>5822</v>
      </c>
      <c r="C2371">
        <v>11</v>
      </c>
      <c r="D2371">
        <v>0</v>
      </c>
      <c r="E2371">
        <v>0</v>
      </c>
      <c r="F2371" s="1">
        <f t="shared" si="37"/>
        <v>0</v>
      </c>
      <c r="G2371" s="1" t="str">
        <f>_xlfn.XLOOKUP(C2371,'Ocupação DW'!$F:$F,'Ocupação DW'!$E:$E,"",0)</f>
        <v>SEG - FILIAL II 11°</v>
      </c>
      <c r="H2371" t="str">
        <f>Vagas[[#This Row],[data]]&amp;Vagas[[#This Row],[profissional_id]]&amp;Vagas[[#This Row],[local_id]]</f>
        <v>44658582211</v>
      </c>
    </row>
    <row r="2372" spans="1:8" x14ac:dyDescent="0.25">
      <c r="A2372" s="2">
        <v>44658</v>
      </c>
      <c r="B2372">
        <v>9111</v>
      </c>
      <c r="C2372">
        <v>334</v>
      </c>
      <c r="D2372">
        <v>0</v>
      </c>
      <c r="E2372">
        <v>0</v>
      </c>
      <c r="F2372" s="1">
        <f t="shared" si="37"/>
        <v>0</v>
      </c>
      <c r="G2372" s="1" t="str">
        <f>_xlfn.XLOOKUP(C2372,'Ocupação DW'!$F:$F,'Ocupação DW'!$E:$E,"",0)</f>
        <v>SEG - FILIAL I</v>
      </c>
      <c r="H2372" t="str">
        <f>Vagas[[#This Row],[data]]&amp;Vagas[[#This Row],[profissional_id]]&amp;Vagas[[#This Row],[local_id]]</f>
        <v>446589111334</v>
      </c>
    </row>
    <row r="2373" spans="1:8" x14ac:dyDescent="0.25">
      <c r="A2373" s="2">
        <v>44658</v>
      </c>
      <c r="B2373">
        <v>9217</v>
      </c>
      <c r="C2373">
        <v>7</v>
      </c>
      <c r="D2373">
        <v>0</v>
      </c>
      <c r="E2373">
        <v>0</v>
      </c>
      <c r="F2373" s="1">
        <f t="shared" si="37"/>
        <v>0</v>
      </c>
      <c r="G2373" s="1" t="str">
        <f>_xlfn.XLOOKUP(C2373,'Ocupação DW'!$F:$F,'Ocupação DW'!$E:$E,"",0)</f>
        <v>SEG - FILIAL II 10°</v>
      </c>
      <c r="H2373" t="str">
        <f>Vagas[[#This Row],[data]]&amp;Vagas[[#This Row],[profissional_id]]&amp;Vagas[[#This Row],[local_id]]</f>
        <v>4465892177</v>
      </c>
    </row>
    <row r="2374" spans="1:8" x14ac:dyDescent="0.25">
      <c r="A2374" s="2">
        <v>44658</v>
      </c>
      <c r="B2374">
        <v>10249</v>
      </c>
      <c r="C2374">
        <v>44</v>
      </c>
      <c r="D2374">
        <v>0</v>
      </c>
      <c r="E2374">
        <v>0</v>
      </c>
      <c r="F2374" s="1">
        <f t="shared" si="37"/>
        <v>0</v>
      </c>
      <c r="G2374" s="1" t="str">
        <f>_xlfn.XLOOKUP(C2374,'Ocupação DW'!$F:$F,'Ocupação DW'!$E:$E,"",0)</f>
        <v>SEG - FILIAL I</v>
      </c>
      <c r="H2374" t="str">
        <f>Vagas[[#This Row],[data]]&amp;Vagas[[#This Row],[profissional_id]]&amp;Vagas[[#This Row],[local_id]]</f>
        <v>446581024944</v>
      </c>
    </row>
    <row r="2375" spans="1:8" x14ac:dyDescent="0.25">
      <c r="A2375" s="2">
        <v>44658</v>
      </c>
      <c r="B2375">
        <v>10691</v>
      </c>
      <c r="C2375">
        <v>348</v>
      </c>
      <c r="D2375">
        <v>0</v>
      </c>
      <c r="E2375">
        <v>0</v>
      </c>
      <c r="F2375" s="1">
        <f t="shared" si="37"/>
        <v>0</v>
      </c>
      <c r="G2375" s="1" t="str">
        <f>_xlfn.XLOOKUP(C2375,'Ocupação DW'!$F:$F,'Ocupação DW'!$E:$E,"",0)</f>
        <v>SEG - MATRIZ</v>
      </c>
      <c r="H2375" t="str">
        <f>Vagas[[#This Row],[data]]&amp;Vagas[[#This Row],[profissional_id]]&amp;Vagas[[#This Row],[local_id]]</f>
        <v>4465810691348</v>
      </c>
    </row>
    <row r="2376" spans="1:8" x14ac:dyDescent="0.25">
      <c r="A2376" s="2">
        <v>44658</v>
      </c>
      <c r="B2376">
        <v>10691</v>
      </c>
      <c r="C2376">
        <v>9</v>
      </c>
      <c r="D2376">
        <v>0</v>
      </c>
      <c r="E2376">
        <v>0</v>
      </c>
      <c r="F2376" s="1">
        <f t="shared" si="37"/>
        <v>0</v>
      </c>
      <c r="G2376" s="1" t="str">
        <f>_xlfn.XLOOKUP(C2376,'Ocupação DW'!$F:$F,'Ocupação DW'!$E:$E,"",0)</f>
        <v>SEG - FILIAL II 10°</v>
      </c>
      <c r="H2376" t="str">
        <f>Vagas[[#This Row],[data]]&amp;Vagas[[#This Row],[profissional_id]]&amp;Vagas[[#This Row],[local_id]]</f>
        <v>44658106919</v>
      </c>
    </row>
    <row r="2377" spans="1:8" x14ac:dyDescent="0.25">
      <c r="A2377" s="2">
        <v>44658</v>
      </c>
      <c r="B2377">
        <v>10717</v>
      </c>
      <c r="C2377">
        <v>69</v>
      </c>
      <c r="D2377">
        <v>0</v>
      </c>
      <c r="E2377">
        <v>0</v>
      </c>
      <c r="F2377" s="1">
        <f t="shared" si="37"/>
        <v>0</v>
      </c>
      <c r="G2377" s="1" t="str">
        <f>_xlfn.XLOOKUP(C2377,'Ocupação DW'!$F:$F,'Ocupação DW'!$E:$E,"",0)</f>
        <v>SEG - NILÓPOLIS</v>
      </c>
      <c r="H2377" t="str">
        <f>Vagas[[#This Row],[data]]&amp;Vagas[[#This Row],[profissional_id]]&amp;Vagas[[#This Row],[local_id]]</f>
        <v>446581071769</v>
      </c>
    </row>
    <row r="2378" spans="1:8" x14ac:dyDescent="0.25">
      <c r="A2378" s="2">
        <v>44658</v>
      </c>
      <c r="B2378">
        <v>11207</v>
      </c>
      <c r="C2378">
        <v>51</v>
      </c>
      <c r="D2378">
        <v>0</v>
      </c>
      <c r="E2378">
        <v>0</v>
      </c>
      <c r="F2378" s="1">
        <f t="shared" si="37"/>
        <v>0</v>
      </c>
      <c r="G2378" s="1" t="str">
        <f>_xlfn.XLOOKUP(C2378,'Ocupação DW'!$F:$F,'Ocupação DW'!$E:$E,"",0)</f>
        <v>SEG - FILIAL I</v>
      </c>
      <c r="H2378" t="str">
        <f>Vagas[[#This Row],[data]]&amp;Vagas[[#This Row],[profissional_id]]&amp;Vagas[[#This Row],[local_id]]</f>
        <v>446581120751</v>
      </c>
    </row>
    <row r="2379" spans="1:8" x14ac:dyDescent="0.25">
      <c r="A2379" s="2">
        <v>44658</v>
      </c>
      <c r="B2379">
        <v>11312</v>
      </c>
      <c r="C2379">
        <v>336</v>
      </c>
      <c r="D2379">
        <v>29</v>
      </c>
      <c r="E2379">
        <v>0</v>
      </c>
      <c r="F2379" s="1">
        <f t="shared" si="37"/>
        <v>0</v>
      </c>
      <c r="G2379" s="1" t="str">
        <f>_xlfn.XLOOKUP(C2379,'Ocupação DW'!$F:$F,'Ocupação DW'!$E:$E,"",0)</f>
        <v>SEG - FILIAL I</v>
      </c>
      <c r="H2379" t="str">
        <f>Vagas[[#This Row],[data]]&amp;Vagas[[#This Row],[profissional_id]]&amp;Vagas[[#This Row],[local_id]]</f>
        <v>4465811312336</v>
      </c>
    </row>
    <row r="2380" spans="1:8" x14ac:dyDescent="0.25">
      <c r="A2380" s="2">
        <v>44658</v>
      </c>
      <c r="B2380">
        <v>12426</v>
      </c>
      <c r="C2380">
        <v>5</v>
      </c>
      <c r="D2380">
        <v>0</v>
      </c>
      <c r="E2380">
        <v>0</v>
      </c>
      <c r="F2380" s="1">
        <f t="shared" si="37"/>
        <v>0</v>
      </c>
      <c r="G2380" s="1" t="str">
        <f>_xlfn.XLOOKUP(C2380,'Ocupação DW'!$F:$F,'Ocupação DW'!$E:$E,"",0)</f>
        <v>SEG - FILIAL II 10°</v>
      </c>
      <c r="H2380" t="str">
        <f>Vagas[[#This Row],[data]]&amp;Vagas[[#This Row],[profissional_id]]&amp;Vagas[[#This Row],[local_id]]</f>
        <v>44658124265</v>
      </c>
    </row>
    <row r="2381" spans="1:8" x14ac:dyDescent="0.25">
      <c r="A2381" s="2">
        <v>44658</v>
      </c>
      <c r="B2381">
        <v>12582</v>
      </c>
      <c r="C2381">
        <v>15</v>
      </c>
      <c r="D2381">
        <v>0</v>
      </c>
      <c r="E2381">
        <v>4</v>
      </c>
      <c r="F2381" s="1">
        <f t="shared" si="37"/>
        <v>0</v>
      </c>
      <c r="G2381" s="1" t="str">
        <f>_xlfn.XLOOKUP(C2381,'Ocupação DW'!$F:$F,'Ocupação DW'!$E:$E,"",0)</f>
        <v>SEG - FILIAL II 11°</v>
      </c>
      <c r="H2381" t="str">
        <f>Vagas[[#This Row],[data]]&amp;Vagas[[#This Row],[profissional_id]]&amp;Vagas[[#This Row],[local_id]]</f>
        <v>446581258215</v>
      </c>
    </row>
    <row r="2382" spans="1:8" x14ac:dyDescent="0.25">
      <c r="A2382" s="2">
        <v>44658</v>
      </c>
      <c r="B2382">
        <v>13249</v>
      </c>
      <c r="D2382">
        <v>0</v>
      </c>
      <c r="E2382">
        <v>0</v>
      </c>
      <c r="F2382" s="1">
        <f t="shared" si="37"/>
        <v>0</v>
      </c>
      <c r="G2382" s="1" t="str">
        <f>_xlfn.XLOOKUP(C2382,'Ocupação DW'!$F:$F,'Ocupação DW'!$E:$E,"",0)</f>
        <v/>
      </c>
      <c r="H2382" t="str">
        <f>Vagas[[#This Row],[data]]&amp;Vagas[[#This Row],[profissional_id]]&amp;Vagas[[#This Row],[local_id]]</f>
        <v>4465813249</v>
      </c>
    </row>
    <row r="2383" spans="1:8" x14ac:dyDescent="0.25">
      <c r="A2383" s="2">
        <v>44658</v>
      </c>
      <c r="B2383">
        <v>13371</v>
      </c>
      <c r="D2383">
        <v>0</v>
      </c>
      <c r="E2383">
        <v>0</v>
      </c>
      <c r="F2383" s="1">
        <f t="shared" si="37"/>
        <v>0</v>
      </c>
      <c r="G2383" s="1" t="str">
        <f>_xlfn.XLOOKUP(C2383,'Ocupação DW'!$F:$F,'Ocupação DW'!$E:$E,"",0)</f>
        <v/>
      </c>
      <c r="H2383" t="str">
        <f>Vagas[[#This Row],[data]]&amp;Vagas[[#This Row],[profissional_id]]&amp;Vagas[[#This Row],[local_id]]</f>
        <v>4465813371</v>
      </c>
    </row>
    <row r="2384" spans="1:8" x14ac:dyDescent="0.25">
      <c r="A2384" s="2">
        <v>44658</v>
      </c>
      <c r="B2384">
        <v>17858</v>
      </c>
      <c r="C2384">
        <v>12</v>
      </c>
      <c r="D2384">
        <v>0</v>
      </c>
      <c r="E2384">
        <v>0</v>
      </c>
      <c r="F2384" s="1">
        <f t="shared" si="37"/>
        <v>0</v>
      </c>
      <c r="G2384" s="1" t="str">
        <f>_xlfn.XLOOKUP(C2384,'Ocupação DW'!$F:$F,'Ocupação DW'!$E:$E,"",0)</f>
        <v>SEG - FILIAL II 11°</v>
      </c>
      <c r="H2384" t="str">
        <f>Vagas[[#This Row],[data]]&amp;Vagas[[#This Row],[profissional_id]]&amp;Vagas[[#This Row],[local_id]]</f>
        <v>446581785812</v>
      </c>
    </row>
    <row r="2385" spans="1:8" x14ac:dyDescent="0.25">
      <c r="A2385" s="2">
        <v>44658</v>
      </c>
      <c r="B2385">
        <v>17928</v>
      </c>
      <c r="C2385">
        <v>51</v>
      </c>
      <c r="D2385">
        <v>24</v>
      </c>
      <c r="E2385">
        <v>4</v>
      </c>
      <c r="F2385" s="1">
        <f t="shared" si="37"/>
        <v>0</v>
      </c>
      <c r="G2385" s="1" t="str">
        <f>_xlfn.XLOOKUP(C2385,'Ocupação DW'!$F:$F,'Ocupação DW'!$E:$E,"",0)</f>
        <v>SEG - FILIAL I</v>
      </c>
      <c r="H2385" t="str">
        <f>Vagas[[#This Row],[data]]&amp;Vagas[[#This Row],[profissional_id]]&amp;Vagas[[#This Row],[local_id]]</f>
        <v>446581792851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464FE-A6F9-4F64-A532-EDF5F97F5100}">
  <sheetPr codeName="shtCadastro"/>
  <dimension ref="F1:H6"/>
  <sheetViews>
    <sheetView workbookViewId="0">
      <selection activeCell="H2" sqref="H2"/>
    </sheetView>
  </sheetViews>
  <sheetFormatPr defaultRowHeight="15" x14ac:dyDescent="0.25"/>
  <cols>
    <col min="6" max="6" width="17.42578125" bestFit="1" customWidth="1"/>
  </cols>
  <sheetData>
    <row r="1" spans="6:8" x14ac:dyDescent="0.25">
      <c r="F1" t="s">
        <v>37</v>
      </c>
      <c r="G1" t="s">
        <v>137</v>
      </c>
      <c r="H1" t="s">
        <v>138</v>
      </c>
    </row>
    <row r="2" spans="6:8" x14ac:dyDescent="0.25">
      <c r="F2" t="s">
        <v>105</v>
      </c>
      <c r="G2" s="34" t="s">
        <v>361</v>
      </c>
      <c r="H2" s="34" t="s">
        <v>312</v>
      </c>
    </row>
    <row r="3" spans="6:8" x14ac:dyDescent="0.25">
      <c r="F3" t="s">
        <v>38</v>
      </c>
      <c r="G3" s="34" t="s">
        <v>361</v>
      </c>
      <c r="H3" s="34" t="s">
        <v>312</v>
      </c>
    </row>
    <row r="4" spans="6:8" x14ac:dyDescent="0.25">
      <c r="F4" t="s">
        <v>33</v>
      </c>
      <c r="G4" s="34" t="s">
        <v>361</v>
      </c>
      <c r="H4" s="34" t="s">
        <v>312</v>
      </c>
    </row>
    <row r="5" spans="6:8" x14ac:dyDescent="0.25">
      <c r="F5" t="s">
        <v>35</v>
      </c>
      <c r="G5" s="34" t="s">
        <v>361</v>
      </c>
      <c r="H5" s="34" t="s">
        <v>312</v>
      </c>
    </row>
    <row r="6" spans="6:8" x14ac:dyDescent="0.25">
      <c r="F6" t="s">
        <v>316</v>
      </c>
      <c r="G6" s="34" t="s">
        <v>361</v>
      </c>
      <c r="H6" s="34" t="s">
        <v>312</v>
      </c>
    </row>
  </sheetData>
  <hyperlinks>
    <hyperlink ref="G2" r:id="rId1" xr:uid="{0F268FB0-0832-441F-9103-9861FF02DFD0}"/>
    <hyperlink ref="H2" r:id="rId2" xr:uid="{416DADA6-D5B5-4515-99AF-8ED34E81303C}"/>
    <hyperlink ref="H3:H6" r:id="rId3" display="CallCenter@segmedic.com.br;cliente@segmedic.com.br" xr:uid="{21469054-1BEE-403D-820D-0BA01960AAE6}"/>
    <hyperlink ref="G3:G6" r:id="rId4" display="rennanmiranda@segmedic.com.br;luiscamuce@segmedic.com.br;alvarojunior@segmedic.com.br;supervisao@segmedic.com.br;carloslima@segmedic.com.br;relacionamentomedico@segmedic.com.br;gabrielmarins@clubflex.com.br" xr:uid="{83EE3EE1-6D78-4933-BA9A-3FF850B1B595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C667-6978-4450-A47D-4EAA49D7397C}">
  <sheetPr codeName="shtVagas">
    <tabColor theme="3"/>
    <pageSetUpPr fitToPage="1"/>
  </sheetPr>
  <dimension ref="A3:Y61"/>
  <sheetViews>
    <sheetView showGridLines="0" topLeftCell="B1" workbookViewId="0">
      <selection activeCell="F21" sqref="F21"/>
    </sheetView>
  </sheetViews>
  <sheetFormatPr defaultRowHeight="15" x14ac:dyDescent="0.25"/>
  <cols>
    <col min="1" max="1" width="12.42578125" bestFit="1" customWidth="1"/>
    <col min="2" max="2" width="33" bestFit="1" customWidth="1"/>
    <col min="3" max="3" width="11.28515625" bestFit="1" customWidth="1"/>
  </cols>
  <sheetData>
    <row r="3" spans="1:25" x14ac:dyDescent="0.25">
      <c r="A3" s="29" t="s">
        <v>77</v>
      </c>
      <c r="B3" s="30">
        <f ca="1">TODAY()+1</f>
        <v>44743</v>
      </c>
    </row>
    <row r="4" spans="1:25" x14ac:dyDescent="0.25">
      <c r="A4" s="29" t="s">
        <v>78</v>
      </c>
      <c r="B4" s="31" t="s">
        <v>316</v>
      </c>
    </row>
    <row r="12" spans="1:25" x14ac:dyDescent="0.25">
      <c r="B12" s="56" t="str">
        <f>"Posição de vagas por especialidade - "&amp;IF(B4="*","TODAS AS LOCALIDADES",B4)</f>
        <v>Posição de vagas por especialidade - São João de Meriti</v>
      </c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</row>
    <row r="13" spans="1:25" x14ac:dyDescent="0.25"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25" ht="18.75" x14ac:dyDescent="0.25">
      <c r="C14" s="10" t="str">
        <f ca="1">TEXT(WEEKDAY(C$15),"ddd")</f>
        <v>sex</v>
      </c>
      <c r="D14" s="10" t="str">
        <f t="shared" ref="D14:Y14" ca="1" si="0">TEXT(WEEKDAY(D$15),"ddd")</f>
        <v>sáb</v>
      </c>
      <c r="E14" s="10" t="str">
        <f t="shared" ca="1" si="0"/>
        <v>dom</v>
      </c>
      <c r="F14" s="10" t="str">
        <f t="shared" ca="1" si="0"/>
        <v>seg</v>
      </c>
      <c r="G14" s="10" t="str">
        <f t="shared" ca="1" si="0"/>
        <v>ter</v>
      </c>
      <c r="H14" s="10" t="str">
        <f t="shared" ca="1" si="0"/>
        <v>qua</v>
      </c>
      <c r="I14" s="10" t="str">
        <f t="shared" ca="1" si="0"/>
        <v>qui</v>
      </c>
      <c r="J14" s="11" t="str">
        <f t="shared" ca="1" si="0"/>
        <v>sex</v>
      </c>
      <c r="K14" s="11" t="str">
        <f t="shared" ca="1" si="0"/>
        <v>sáb</v>
      </c>
      <c r="L14" s="11" t="str">
        <f t="shared" ca="1" si="0"/>
        <v>dom</v>
      </c>
      <c r="M14" s="11" t="str">
        <f t="shared" ca="1" si="0"/>
        <v>seg</v>
      </c>
      <c r="N14" s="12" t="str">
        <f t="shared" ca="1" si="0"/>
        <v>ter</v>
      </c>
      <c r="O14" s="12" t="str">
        <f t="shared" ca="1" si="0"/>
        <v>qua</v>
      </c>
      <c r="P14" s="12" t="str">
        <f t="shared" ca="1" si="0"/>
        <v>qui</v>
      </c>
      <c r="Q14" s="12" t="str">
        <f t="shared" ca="1" si="0"/>
        <v>sex</v>
      </c>
      <c r="R14" s="12" t="str">
        <f t="shared" ca="1" si="0"/>
        <v>sáb</v>
      </c>
      <c r="S14" s="12" t="str">
        <f t="shared" ca="1" si="0"/>
        <v>dom</v>
      </c>
      <c r="T14" s="12" t="str">
        <f t="shared" ca="1" si="0"/>
        <v>seg</v>
      </c>
      <c r="U14" s="12" t="str">
        <f t="shared" ca="1" si="0"/>
        <v>ter</v>
      </c>
      <c r="V14" s="12" t="str">
        <f t="shared" ca="1" si="0"/>
        <v>qua</v>
      </c>
      <c r="W14" s="12" t="str">
        <f t="shared" ca="1" si="0"/>
        <v>qui</v>
      </c>
      <c r="X14" s="12" t="str">
        <f t="shared" ca="1" si="0"/>
        <v>sex</v>
      </c>
      <c r="Y14" s="12" t="str">
        <f t="shared" ca="1" si="0"/>
        <v>sáb</v>
      </c>
    </row>
    <row r="15" spans="1:25" ht="18.75" x14ac:dyDescent="0.25">
      <c r="B15" s="13" t="s">
        <v>39</v>
      </c>
      <c r="C15" s="14">
        <f ca="1">$B$3</f>
        <v>44743</v>
      </c>
      <c r="D15" s="14">
        <f t="shared" ref="D15:Y15" ca="1" si="1">C15+1</f>
        <v>44744</v>
      </c>
      <c r="E15" s="14">
        <f t="shared" ca="1" si="1"/>
        <v>44745</v>
      </c>
      <c r="F15" s="14">
        <f t="shared" ca="1" si="1"/>
        <v>44746</v>
      </c>
      <c r="G15" s="14">
        <f t="shared" ca="1" si="1"/>
        <v>44747</v>
      </c>
      <c r="H15" s="14">
        <f t="shared" ca="1" si="1"/>
        <v>44748</v>
      </c>
      <c r="I15" s="14">
        <f t="shared" ca="1" si="1"/>
        <v>44749</v>
      </c>
      <c r="J15" s="15">
        <f t="shared" ca="1" si="1"/>
        <v>44750</v>
      </c>
      <c r="K15" s="15">
        <f t="shared" ca="1" si="1"/>
        <v>44751</v>
      </c>
      <c r="L15" s="15">
        <f t="shared" ca="1" si="1"/>
        <v>44752</v>
      </c>
      <c r="M15" s="15">
        <f t="shared" ca="1" si="1"/>
        <v>44753</v>
      </c>
      <c r="N15" s="16">
        <f t="shared" ca="1" si="1"/>
        <v>44754</v>
      </c>
      <c r="O15" s="16">
        <f t="shared" ca="1" si="1"/>
        <v>44755</v>
      </c>
      <c r="P15" s="16">
        <f t="shared" ca="1" si="1"/>
        <v>44756</v>
      </c>
      <c r="Q15" s="16">
        <f t="shared" ca="1" si="1"/>
        <v>44757</v>
      </c>
      <c r="R15" s="16">
        <f t="shared" ca="1" si="1"/>
        <v>44758</v>
      </c>
      <c r="S15" s="16">
        <f t="shared" ca="1" si="1"/>
        <v>44759</v>
      </c>
      <c r="T15" s="16">
        <f t="shared" ca="1" si="1"/>
        <v>44760</v>
      </c>
      <c r="U15" s="16">
        <f t="shared" ca="1" si="1"/>
        <v>44761</v>
      </c>
      <c r="V15" s="16">
        <f t="shared" ca="1" si="1"/>
        <v>44762</v>
      </c>
      <c r="W15" s="16">
        <f t="shared" ca="1" si="1"/>
        <v>44763</v>
      </c>
      <c r="X15" s="16">
        <f t="shared" ca="1" si="1"/>
        <v>44764</v>
      </c>
      <c r="Y15" s="16">
        <f t="shared" ca="1" si="1"/>
        <v>44765</v>
      </c>
    </row>
    <row r="16" spans="1:25" ht="18.75" x14ac:dyDescent="0.25">
      <c r="B16" s="17" t="s">
        <v>40</v>
      </c>
      <c r="C16" s="18">
        <f ca="1">SUMIFS(ocupação!$I:$I,ocupação!$A:$A,'Controle de vagas'!C$15,ocupação!$N:$N,'Controle de vagas'!$B$4,ocupação!$O:$O,'Controle de vagas'!$B16)</f>
        <v>0</v>
      </c>
      <c r="D16" s="18">
        <f ca="1">SUMIFS(ocupação!$I:$I,ocupação!$A:$A,'Controle de vagas'!D$15,ocupação!$N:$N,'Controle de vagas'!$B$4,ocupação!$O:$O,'Controle de vagas'!$B16)</f>
        <v>0</v>
      </c>
      <c r="E16" s="18">
        <f ca="1">SUMIFS(ocupação!$I:$I,ocupação!$A:$A,'Controle de vagas'!E$15,ocupação!$N:$N,'Controle de vagas'!$B$4,ocupação!$O:$O,'Controle de vagas'!$B16)</f>
        <v>0</v>
      </c>
      <c r="F16" s="18">
        <f ca="1">SUMIFS(ocupação!$I:$I,ocupação!$A:$A,'Controle de vagas'!F$15,ocupação!$N:$N,'Controle de vagas'!$B$4,ocupação!$O:$O,'Controle de vagas'!$B16)</f>
        <v>0</v>
      </c>
      <c r="G16" s="18">
        <f ca="1">SUMIFS(ocupação!$I:$I,ocupação!$A:$A,'Controle de vagas'!G$15,ocupação!$N:$N,'Controle de vagas'!$B$4,ocupação!$O:$O,'Controle de vagas'!$B16)</f>
        <v>0</v>
      </c>
      <c r="H16" s="18">
        <f ca="1">SUMIFS(ocupação!$I:$I,ocupação!$A:$A,'Controle de vagas'!H$15,ocupação!$N:$N,'Controle de vagas'!$B$4,ocupação!$O:$O,'Controle de vagas'!$B16)</f>
        <v>0</v>
      </c>
      <c r="I16" s="18">
        <f ca="1">SUMIFS(ocupação!$I:$I,ocupação!$A:$A,'Controle de vagas'!I$15,ocupação!$N:$N,'Controle de vagas'!$B$4,ocupação!$O:$O,'Controle de vagas'!$B16)</f>
        <v>0</v>
      </c>
      <c r="J16" s="19">
        <f ca="1">SUMIFS(ocupação!$I:$I,ocupação!$A:$A,'Controle de vagas'!J$15,ocupação!$N:$N,'Controle de vagas'!$B$4,ocupação!$O:$O,'Controle de vagas'!$B16)</f>
        <v>0</v>
      </c>
      <c r="K16" s="19">
        <f ca="1">SUMIFS(ocupação!$I:$I,ocupação!$A:$A,'Controle de vagas'!K$15,ocupação!$N:$N,'Controle de vagas'!$B$4,ocupação!$O:$O,'Controle de vagas'!$B16)</f>
        <v>0</v>
      </c>
      <c r="L16" s="19">
        <f ca="1">SUMIFS(ocupação!$I:$I,ocupação!$A:$A,'Controle de vagas'!L$15,ocupação!$N:$N,'Controle de vagas'!$B$4,ocupação!$O:$O,'Controle de vagas'!$B16)</f>
        <v>0</v>
      </c>
      <c r="M16" s="19">
        <f ca="1">SUMIFS(ocupação!$I:$I,ocupação!$A:$A,'Controle de vagas'!M$15,ocupação!$N:$N,'Controle de vagas'!$B$4,ocupação!$O:$O,'Controle de vagas'!$B16)</f>
        <v>0</v>
      </c>
      <c r="N16" s="20">
        <f ca="1">SUMIFS(ocupação!$I:$I,ocupação!$A:$A,'Controle de vagas'!N$15,ocupação!$N:$N,'Controle de vagas'!$B$4,ocupação!$O:$O,'Controle de vagas'!$B16)</f>
        <v>0</v>
      </c>
      <c r="O16" s="20">
        <f ca="1">SUMIFS(ocupação!$I:$I,ocupação!$A:$A,'Controle de vagas'!O$15,ocupação!$N:$N,'Controle de vagas'!$B$4,ocupação!$O:$O,'Controle de vagas'!$B16)</f>
        <v>0</v>
      </c>
      <c r="P16" s="20">
        <f ca="1">SUMIFS(ocupação!$I:$I,ocupação!$A:$A,'Controle de vagas'!P$15,ocupação!$N:$N,'Controle de vagas'!$B$4,ocupação!$O:$O,'Controle de vagas'!$B16)</f>
        <v>0</v>
      </c>
      <c r="Q16" s="20">
        <f ca="1">SUMIFS(ocupação!$I:$I,ocupação!$A:$A,'Controle de vagas'!Q$15,ocupação!$N:$N,'Controle de vagas'!$B$4,ocupação!$O:$O,'Controle de vagas'!$B16)</f>
        <v>0</v>
      </c>
      <c r="R16" s="20">
        <f ca="1">SUMIFS(ocupação!$I:$I,ocupação!$A:$A,'Controle de vagas'!R$15,ocupação!$N:$N,'Controle de vagas'!$B$4,ocupação!$O:$O,'Controle de vagas'!$B16)</f>
        <v>0</v>
      </c>
      <c r="S16" s="20">
        <f ca="1">SUMIFS(ocupação!$I:$I,ocupação!$A:$A,'Controle de vagas'!S$15,ocupação!$N:$N,'Controle de vagas'!$B$4,ocupação!$O:$O,'Controle de vagas'!$B16)</f>
        <v>0</v>
      </c>
      <c r="T16" s="20">
        <f ca="1">SUMIFS(ocupação!$I:$I,ocupação!$A:$A,'Controle de vagas'!T$15,ocupação!$N:$N,'Controle de vagas'!$B$4,ocupação!$O:$O,'Controle de vagas'!$B16)</f>
        <v>0</v>
      </c>
      <c r="U16" s="20">
        <f ca="1">SUMIFS(ocupação!$I:$I,ocupação!$A:$A,'Controle de vagas'!U$15,ocupação!$N:$N,'Controle de vagas'!$B$4,ocupação!$O:$O,'Controle de vagas'!$B16)</f>
        <v>0</v>
      </c>
      <c r="V16" s="20">
        <f ca="1">SUMIFS(ocupação!$I:$I,ocupação!$A:$A,'Controle de vagas'!V$15,ocupação!$N:$N,'Controle de vagas'!$B$4,ocupação!$O:$O,'Controle de vagas'!$B16)</f>
        <v>0</v>
      </c>
      <c r="W16" s="20">
        <f ca="1">SUMIFS(ocupação!$I:$I,ocupação!$A:$A,'Controle de vagas'!W$15,ocupação!$N:$N,'Controle de vagas'!$B$4,ocupação!$O:$O,'Controle de vagas'!$B16)</f>
        <v>0</v>
      </c>
      <c r="X16" s="20">
        <f ca="1">SUMIFS(ocupação!$I:$I,ocupação!$A:$A,'Controle de vagas'!X$15,ocupação!$N:$N,'Controle de vagas'!$B$4,ocupação!$O:$O,'Controle de vagas'!$B16)</f>
        <v>0</v>
      </c>
      <c r="Y16" s="20">
        <f ca="1">SUMIFS(ocupação!$I:$I,ocupação!$A:$A,'Controle de vagas'!Y$15,ocupação!$N:$N,'Controle de vagas'!$B$4,ocupação!$O:$O,'Controle de vagas'!$B16)</f>
        <v>0</v>
      </c>
    </row>
    <row r="17" spans="2:25" ht="18.75" x14ac:dyDescent="0.25">
      <c r="B17" s="21" t="s">
        <v>41</v>
      </c>
      <c r="C17" s="22">
        <f ca="1">SUMIFS(ocupação!$I:$I,ocupação!$A:$A,'Controle de vagas'!C$15,ocupação!$N:$N,'Controle de vagas'!$B$4,ocupação!$O:$O,'Controle de vagas'!$B17)</f>
        <v>0</v>
      </c>
      <c r="D17" s="22">
        <f ca="1">SUMIFS(ocupação!$I:$I,ocupação!$A:$A,'Controle de vagas'!D$15,ocupação!$N:$N,'Controle de vagas'!$B$4,ocupação!$O:$O,'Controle de vagas'!$B17)</f>
        <v>0</v>
      </c>
      <c r="E17" s="22">
        <f ca="1">SUMIFS(ocupação!$I:$I,ocupação!$A:$A,'Controle de vagas'!E$15,ocupação!$N:$N,'Controle de vagas'!$B$4,ocupação!$O:$O,'Controle de vagas'!$B17)</f>
        <v>0</v>
      </c>
      <c r="F17" s="22">
        <f ca="1">SUMIFS(ocupação!$I:$I,ocupação!$A:$A,'Controle de vagas'!F$15,ocupação!$N:$N,'Controle de vagas'!$B$4,ocupação!$O:$O,'Controle de vagas'!$B17)</f>
        <v>0</v>
      </c>
      <c r="G17" s="22">
        <f ca="1">SUMIFS(ocupação!$I:$I,ocupação!$A:$A,'Controle de vagas'!G$15,ocupação!$N:$N,'Controle de vagas'!$B$4,ocupação!$O:$O,'Controle de vagas'!$B17)</f>
        <v>0</v>
      </c>
      <c r="H17" s="22">
        <f ca="1">SUMIFS(ocupação!$I:$I,ocupação!$A:$A,'Controle de vagas'!H$15,ocupação!$N:$N,'Controle de vagas'!$B$4,ocupação!$O:$O,'Controle de vagas'!$B17)</f>
        <v>0</v>
      </c>
      <c r="I17" s="22">
        <f ca="1">SUMIFS(ocupação!$I:$I,ocupação!$A:$A,'Controle de vagas'!I$15,ocupação!$N:$N,'Controle de vagas'!$B$4,ocupação!$O:$O,'Controle de vagas'!$B17)</f>
        <v>0</v>
      </c>
      <c r="J17" s="23">
        <f ca="1">SUMIFS(ocupação!$I:$I,ocupação!$A:$A,'Controle de vagas'!J$15,ocupação!$N:$N,'Controle de vagas'!$B$4,ocupação!$O:$O,'Controle de vagas'!$B17)</f>
        <v>0</v>
      </c>
      <c r="K17" s="23">
        <f ca="1">SUMIFS(ocupação!$I:$I,ocupação!$A:$A,'Controle de vagas'!K$15,ocupação!$N:$N,'Controle de vagas'!$B$4,ocupação!$O:$O,'Controle de vagas'!$B17)</f>
        <v>0</v>
      </c>
      <c r="L17" s="23">
        <f ca="1">SUMIFS(ocupação!$I:$I,ocupação!$A:$A,'Controle de vagas'!L$15,ocupação!$N:$N,'Controle de vagas'!$B$4,ocupação!$O:$O,'Controle de vagas'!$B17)</f>
        <v>0</v>
      </c>
      <c r="M17" s="23">
        <f ca="1">SUMIFS(ocupação!$I:$I,ocupação!$A:$A,'Controle de vagas'!M$15,ocupação!$N:$N,'Controle de vagas'!$B$4,ocupação!$O:$O,'Controle de vagas'!$B17)</f>
        <v>0</v>
      </c>
      <c r="N17" s="24">
        <f ca="1">SUMIFS(ocupação!$I:$I,ocupação!$A:$A,'Controle de vagas'!N$15,ocupação!$N:$N,'Controle de vagas'!$B$4,ocupação!$O:$O,'Controle de vagas'!$B17)</f>
        <v>0</v>
      </c>
      <c r="O17" s="24">
        <f ca="1">SUMIFS(ocupação!$I:$I,ocupação!$A:$A,'Controle de vagas'!O$15,ocupação!$N:$N,'Controle de vagas'!$B$4,ocupação!$O:$O,'Controle de vagas'!$B17)</f>
        <v>0</v>
      </c>
      <c r="P17" s="24">
        <f ca="1">SUMIFS(ocupação!$I:$I,ocupação!$A:$A,'Controle de vagas'!P$15,ocupação!$N:$N,'Controle de vagas'!$B$4,ocupação!$O:$O,'Controle de vagas'!$B17)</f>
        <v>0</v>
      </c>
      <c r="Q17" s="24">
        <f ca="1">SUMIFS(ocupação!$I:$I,ocupação!$A:$A,'Controle de vagas'!Q$15,ocupação!$N:$N,'Controle de vagas'!$B$4,ocupação!$O:$O,'Controle de vagas'!$B17)</f>
        <v>0</v>
      </c>
      <c r="R17" s="24">
        <f ca="1">SUMIFS(ocupação!$I:$I,ocupação!$A:$A,'Controle de vagas'!R$15,ocupação!$N:$N,'Controle de vagas'!$B$4,ocupação!$O:$O,'Controle de vagas'!$B17)</f>
        <v>0</v>
      </c>
      <c r="S17" s="24">
        <f ca="1">SUMIFS(ocupação!$I:$I,ocupação!$A:$A,'Controle de vagas'!S$15,ocupação!$N:$N,'Controle de vagas'!$B$4,ocupação!$O:$O,'Controle de vagas'!$B17)</f>
        <v>0</v>
      </c>
      <c r="T17" s="24">
        <f ca="1">SUMIFS(ocupação!$I:$I,ocupação!$A:$A,'Controle de vagas'!T$15,ocupação!$N:$N,'Controle de vagas'!$B$4,ocupação!$O:$O,'Controle de vagas'!$B17)</f>
        <v>0</v>
      </c>
      <c r="U17" s="24">
        <f ca="1">SUMIFS(ocupação!$I:$I,ocupação!$A:$A,'Controle de vagas'!U$15,ocupação!$N:$N,'Controle de vagas'!$B$4,ocupação!$O:$O,'Controle de vagas'!$B17)</f>
        <v>0</v>
      </c>
      <c r="V17" s="24">
        <f ca="1">SUMIFS(ocupação!$I:$I,ocupação!$A:$A,'Controle de vagas'!V$15,ocupação!$N:$N,'Controle de vagas'!$B$4,ocupação!$O:$O,'Controle de vagas'!$B17)</f>
        <v>0</v>
      </c>
      <c r="W17" s="24">
        <f ca="1">SUMIFS(ocupação!$I:$I,ocupação!$A:$A,'Controle de vagas'!W$15,ocupação!$N:$N,'Controle de vagas'!$B$4,ocupação!$O:$O,'Controle de vagas'!$B17)</f>
        <v>0</v>
      </c>
      <c r="X17" s="24">
        <f ca="1">SUMIFS(ocupação!$I:$I,ocupação!$A:$A,'Controle de vagas'!X$15,ocupação!$N:$N,'Controle de vagas'!$B$4,ocupação!$O:$O,'Controle de vagas'!$B17)</f>
        <v>0</v>
      </c>
      <c r="Y17" s="24">
        <f ca="1">SUMIFS(ocupação!$I:$I,ocupação!$A:$A,'Controle de vagas'!Y$15,ocupação!$N:$N,'Controle de vagas'!$B$4,ocupação!$O:$O,'Controle de vagas'!$B17)</f>
        <v>0</v>
      </c>
    </row>
    <row r="18" spans="2:25" ht="18.75" x14ac:dyDescent="0.25">
      <c r="B18" s="17" t="s">
        <v>42</v>
      </c>
      <c r="C18" s="18">
        <f ca="1">SUMIFS(ocupação!$I:$I,ocupação!$A:$A,'Controle de vagas'!C$15,ocupação!$N:$N,'Controle de vagas'!$B$4,ocupação!$O:$O,'Controle de vagas'!$B18)</f>
        <v>0</v>
      </c>
      <c r="D18" s="18">
        <f ca="1">SUMIFS(ocupação!$I:$I,ocupação!$A:$A,'Controle de vagas'!D$15,ocupação!$N:$N,'Controle de vagas'!$B$4,ocupação!$O:$O,'Controle de vagas'!$B18)</f>
        <v>0</v>
      </c>
      <c r="E18" s="18">
        <f ca="1">SUMIFS(ocupação!$I:$I,ocupação!$A:$A,'Controle de vagas'!E$15,ocupação!$N:$N,'Controle de vagas'!$B$4,ocupação!$O:$O,'Controle de vagas'!$B18)</f>
        <v>0</v>
      </c>
      <c r="F18" s="18">
        <f ca="1">SUMIFS(ocupação!$I:$I,ocupação!$A:$A,'Controle de vagas'!F$15,ocupação!$N:$N,'Controle de vagas'!$B$4,ocupação!$O:$O,'Controle de vagas'!$B18)</f>
        <v>0</v>
      </c>
      <c r="G18" s="18">
        <f ca="1">SUMIFS(ocupação!$I:$I,ocupação!$A:$A,'Controle de vagas'!G$15,ocupação!$N:$N,'Controle de vagas'!$B$4,ocupação!$O:$O,'Controle de vagas'!$B18)</f>
        <v>0</v>
      </c>
      <c r="H18" s="18">
        <f ca="1">SUMIFS(ocupação!$I:$I,ocupação!$A:$A,'Controle de vagas'!H$15,ocupação!$N:$N,'Controle de vagas'!$B$4,ocupação!$O:$O,'Controle de vagas'!$B18)</f>
        <v>0</v>
      </c>
      <c r="I18" s="18">
        <f ca="1">SUMIFS(ocupação!$I:$I,ocupação!$A:$A,'Controle de vagas'!I$15,ocupação!$N:$N,'Controle de vagas'!$B$4,ocupação!$O:$O,'Controle de vagas'!$B18)</f>
        <v>0</v>
      </c>
      <c r="J18" s="19">
        <f ca="1">SUMIFS(ocupação!$I:$I,ocupação!$A:$A,'Controle de vagas'!J$15,ocupação!$N:$N,'Controle de vagas'!$B$4,ocupação!$O:$O,'Controle de vagas'!$B18)</f>
        <v>0</v>
      </c>
      <c r="K18" s="19">
        <f ca="1">SUMIFS(ocupação!$I:$I,ocupação!$A:$A,'Controle de vagas'!K$15,ocupação!$N:$N,'Controle de vagas'!$B$4,ocupação!$O:$O,'Controle de vagas'!$B18)</f>
        <v>0</v>
      </c>
      <c r="L18" s="19">
        <f ca="1">SUMIFS(ocupação!$I:$I,ocupação!$A:$A,'Controle de vagas'!L$15,ocupação!$N:$N,'Controle de vagas'!$B$4,ocupação!$O:$O,'Controle de vagas'!$B18)</f>
        <v>0</v>
      </c>
      <c r="M18" s="19">
        <f ca="1">SUMIFS(ocupação!$I:$I,ocupação!$A:$A,'Controle de vagas'!M$15,ocupação!$N:$N,'Controle de vagas'!$B$4,ocupação!$O:$O,'Controle de vagas'!$B18)</f>
        <v>0</v>
      </c>
      <c r="N18" s="20">
        <f ca="1">SUMIFS(ocupação!$I:$I,ocupação!$A:$A,'Controle de vagas'!N$15,ocupação!$N:$N,'Controle de vagas'!$B$4,ocupação!$O:$O,'Controle de vagas'!$B18)</f>
        <v>0</v>
      </c>
      <c r="O18" s="20">
        <f ca="1">SUMIFS(ocupação!$I:$I,ocupação!$A:$A,'Controle de vagas'!O$15,ocupação!$N:$N,'Controle de vagas'!$B$4,ocupação!$O:$O,'Controle de vagas'!$B18)</f>
        <v>0</v>
      </c>
      <c r="P18" s="20">
        <f ca="1">SUMIFS(ocupação!$I:$I,ocupação!$A:$A,'Controle de vagas'!P$15,ocupação!$N:$N,'Controle de vagas'!$B$4,ocupação!$O:$O,'Controle de vagas'!$B18)</f>
        <v>0</v>
      </c>
      <c r="Q18" s="20">
        <f ca="1">SUMIFS(ocupação!$I:$I,ocupação!$A:$A,'Controle de vagas'!Q$15,ocupação!$N:$N,'Controle de vagas'!$B$4,ocupação!$O:$O,'Controle de vagas'!$B18)</f>
        <v>0</v>
      </c>
      <c r="R18" s="20">
        <f ca="1">SUMIFS(ocupação!$I:$I,ocupação!$A:$A,'Controle de vagas'!R$15,ocupação!$N:$N,'Controle de vagas'!$B$4,ocupação!$O:$O,'Controle de vagas'!$B18)</f>
        <v>0</v>
      </c>
      <c r="S18" s="20">
        <f ca="1">SUMIFS(ocupação!$I:$I,ocupação!$A:$A,'Controle de vagas'!S$15,ocupação!$N:$N,'Controle de vagas'!$B$4,ocupação!$O:$O,'Controle de vagas'!$B18)</f>
        <v>0</v>
      </c>
      <c r="T18" s="20">
        <f ca="1">SUMIFS(ocupação!$I:$I,ocupação!$A:$A,'Controle de vagas'!T$15,ocupação!$N:$N,'Controle de vagas'!$B$4,ocupação!$O:$O,'Controle de vagas'!$B18)</f>
        <v>0</v>
      </c>
      <c r="U18" s="20">
        <f ca="1">SUMIFS(ocupação!$I:$I,ocupação!$A:$A,'Controle de vagas'!U$15,ocupação!$N:$N,'Controle de vagas'!$B$4,ocupação!$O:$O,'Controle de vagas'!$B18)</f>
        <v>0</v>
      </c>
      <c r="V18" s="20">
        <f ca="1">SUMIFS(ocupação!$I:$I,ocupação!$A:$A,'Controle de vagas'!V$15,ocupação!$N:$N,'Controle de vagas'!$B$4,ocupação!$O:$O,'Controle de vagas'!$B18)</f>
        <v>0</v>
      </c>
      <c r="W18" s="20">
        <f ca="1">SUMIFS(ocupação!$I:$I,ocupação!$A:$A,'Controle de vagas'!W$15,ocupação!$N:$N,'Controle de vagas'!$B$4,ocupação!$O:$O,'Controle de vagas'!$B18)</f>
        <v>0</v>
      </c>
      <c r="X18" s="20">
        <f ca="1">SUMIFS(ocupação!$I:$I,ocupação!$A:$A,'Controle de vagas'!X$15,ocupação!$N:$N,'Controle de vagas'!$B$4,ocupação!$O:$O,'Controle de vagas'!$B18)</f>
        <v>0</v>
      </c>
      <c r="Y18" s="20">
        <f ca="1">SUMIFS(ocupação!$I:$I,ocupação!$A:$A,'Controle de vagas'!Y$15,ocupação!$N:$N,'Controle de vagas'!$B$4,ocupação!$O:$O,'Controle de vagas'!$B18)</f>
        <v>0</v>
      </c>
    </row>
    <row r="19" spans="2:25" ht="18.75" x14ac:dyDescent="0.25">
      <c r="B19" s="21" t="s">
        <v>43</v>
      </c>
      <c r="C19" s="22">
        <f ca="1">SUMIFS(ocupação!$I:$I,ocupação!$A:$A,'Controle de vagas'!C$15,ocupação!$N:$N,'Controle de vagas'!$B$4,ocupação!$O:$O,'Controle de vagas'!$B19)</f>
        <v>0</v>
      </c>
      <c r="D19" s="22">
        <f ca="1">SUMIFS(ocupação!$I:$I,ocupação!$A:$A,'Controle de vagas'!D$15,ocupação!$N:$N,'Controle de vagas'!$B$4,ocupação!$O:$O,'Controle de vagas'!$B19)</f>
        <v>0</v>
      </c>
      <c r="E19" s="22">
        <f ca="1">SUMIFS(ocupação!$I:$I,ocupação!$A:$A,'Controle de vagas'!E$15,ocupação!$N:$N,'Controle de vagas'!$B$4,ocupação!$O:$O,'Controle de vagas'!$B19)</f>
        <v>0</v>
      </c>
      <c r="F19" s="22">
        <f ca="1">SUMIFS(ocupação!$I:$I,ocupação!$A:$A,'Controle de vagas'!F$15,ocupação!$N:$N,'Controle de vagas'!$B$4,ocupação!$O:$O,'Controle de vagas'!$B19)</f>
        <v>0</v>
      </c>
      <c r="G19" s="22">
        <f ca="1">SUMIFS(ocupação!$I:$I,ocupação!$A:$A,'Controle de vagas'!G$15,ocupação!$N:$N,'Controle de vagas'!$B$4,ocupação!$O:$O,'Controle de vagas'!$B19)</f>
        <v>0</v>
      </c>
      <c r="H19" s="22">
        <f ca="1">SUMIFS(ocupação!$I:$I,ocupação!$A:$A,'Controle de vagas'!H$15,ocupação!$N:$N,'Controle de vagas'!$B$4,ocupação!$O:$O,'Controle de vagas'!$B19)</f>
        <v>0</v>
      </c>
      <c r="I19" s="22">
        <f ca="1">SUMIFS(ocupação!$I:$I,ocupação!$A:$A,'Controle de vagas'!I$15,ocupação!$N:$N,'Controle de vagas'!$B$4,ocupação!$O:$O,'Controle de vagas'!$B19)</f>
        <v>0</v>
      </c>
      <c r="J19" s="23">
        <f ca="1">SUMIFS(ocupação!$I:$I,ocupação!$A:$A,'Controle de vagas'!J$15,ocupação!$N:$N,'Controle de vagas'!$B$4,ocupação!$O:$O,'Controle de vagas'!$B19)</f>
        <v>0</v>
      </c>
      <c r="K19" s="23">
        <f ca="1">SUMIFS(ocupação!$I:$I,ocupação!$A:$A,'Controle de vagas'!K$15,ocupação!$N:$N,'Controle de vagas'!$B$4,ocupação!$O:$O,'Controle de vagas'!$B19)</f>
        <v>0</v>
      </c>
      <c r="L19" s="23">
        <f ca="1">SUMIFS(ocupação!$I:$I,ocupação!$A:$A,'Controle de vagas'!L$15,ocupação!$N:$N,'Controle de vagas'!$B$4,ocupação!$O:$O,'Controle de vagas'!$B19)</f>
        <v>0</v>
      </c>
      <c r="M19" s="23">
        <f ca="1">SUMIFS(ocupação!$I:$I,ocupação!$A:$A,'Controle de vagas'!M$15,ocupação!$N:$N,'Controle de vagas'!$B$4,ocupação!$O:$O,'Controle de vagas'!$B19)</f>
        <v>0</v>
      </c>
      <c r="N19" s="24">
        <f ca="1">SUMIFS(ocupação!$I:$I,ocupação!$A:$A,'Controle de vagas'!N$15,ocupação!$N:$N,'Controle de vagas'!$B$4,ocupação!$O:$O,'Controle de vagas'!$B19)</f>
        <v>0</v>
      </c>
      <c r="O19" s="24">
        <f ca="1">SUMIFS(ocupação!$I:$I,ocupação!$A:$A,'Controle de vagas'!O$15,ocupação!$N:$N,'Controle de vagas'!$B$4,ocupação!$O:$O,'Controle de vagas'!$B19)</f>
        <v>0</v>
      </c>
      <c r="P19" s="24">
        <f ca="1">SUMIFS(ocupação!$I:$I,ocupação!$A:$A,'Controle de vagas'!P$15,ocupação!$N:$N,'Controle de vagas'!$B$4,ocupação!$O:$O,'Controle de vagas'!$B19)</f>
        <v>0</v>
      </c>
      <c r="Q19" s="24">
        <f ca="1">SUMIFS(ocupação!$I:$I,ocupação!$A:$A,'Controle de vagas'!Q$15,ocupação!$N:$N,'Controle de vagas'!$B$4,ocupação!$O:$O,'Controle de vagas'!$B19)</f>
        <v>0</v>
      </c>
      <c r="R19" s="24">
        <f ca="1">SUMIFS(ocupação!$I:$I,ocupação!$A:$A,'Controle de vagas'!R$15,ocupação!$N:$N,'Controle de vagas'!$B$4,ocupação!$O:$O,'Controle de vagas'!$B19)</f>
        <v>0</v>
      </c>
      <c r="S19" s="24">
        <f ca="1">SUMIFS(ocupação!$I:$I,ocupação!$A:$A,'Controle de vagas'!S$15,ocupação!$N:$N,'Controle de vagas'!$B$4,ocupação!$O:$O,'Controle de vagas'!$B19)</f>
        <v>0</v>
      </c>
      <c r="T19" s="24">
        <f ca="1">SUMIFS(ocupação!$I:$I,ocupação!$A:$A,'Controle de vagas'!T$15,ocupação!$N:$N,'Controle de vagas'!$B$4,ocupação!$O:$O,'Controle de vagas'!$B19)</f>
        <v>0</v>
      </c>
      <c r="U19" s="24">
        <f ca="1">SUMIFS(ocupação!$I:$I,ocupação!$A:$A,'Controle de vagas'!U$15,ocupação!$N:$N,'Controle de vagas'!$B$4,ocupação!$O:$O,'Controle de vagas'!$B19)</f>
        <v>0</v>
      </c>
      <c r="V19" s="24">
        <f ca="1">SUMIFS(ocupação!$I:$I,ocupação!$A:$A,'Controle de vagas'!V$15,ocupação!$N:$N,'Controle de vagas'!$B$4,ocupação!$O:$O,'Controle de vagas'!$B19)</f>
        <v>0</v>
      </c>
      <c r="W19" s="24">
        <f ca="1">SUMIFS(ocupação!$I:$I,ocupação!$A:$A,'Controle de vagas'!W$15,ocupação!$N:$N,'Controle de vagas'!$B$4,ocupação!$O:$O,'Controle de vagas'!$B19)</f>
        <v>0</v>
      </c>
      <c r="X19" s="24">
        <f ca="1">SUMIFS(ocupação!$I:$I,ocupação!$A:$A,'Controle de vagas'!X$15,ocupação!$N:$N,'Controle de vagas'!$B$4,ocupação!$O:$O,'Controle de vagas'!$B19)</f>
        <v>0</v>
      </c>
      <c r="Y19" s="24">
        <f ca="1">SUMIFS(ocupação!$I:$I,ocupação!$A:$A,'Controle de vagas'!Y$15,ocupação!$N:$N,'Controle de vagas'!$B$4,ocupação!$O:$O,'Controle de vagas'!$B19)</f>
        <v>0</v>
      </c>
    </row>
    <row r="20" spans="2:25" ht="18.75" x14ac:dyDescent="0.25">
      <c r="B20" s="17" t="s">
        <v>44</v>
      </c>
      <c r="C20" s="18">
        <f ca="1">SUMIFS(ocupação!$I:$I,ocupação!$A:$A,'Controle de vagas'!C$15,ocupação!$N:$N,'Controle de vagas'!$B$4,ocupação!$O:$O,'Controle de vagas'!$B20)</f>
        <v>22</v>
      </c>
      <c r="D20" s="18">
        <f ca="1">SUMIFS(ocupação!$I:$I,ocupação!$A:$A,'Controle de vagas'!D$15,ocupação!$N:$N,'Controle de vagas'!$B$4,ocupação!$O:$O,'Controle de vagas'!$B20)</f>
        <v>0</v>
      </c>
      <c r="E20" s="18">
        <f ca="1">SUMIFS(ocupação!$I:$I,ocupação!$A:$A,'Controle de vagas'!E$15,ocupação!$N:$N,'Controle de vagas'!$B$4,ocupação!$O:$O,'Controle de vagas'!$B20)</f>
        <v>0</v>
      </c>
      <c r="F20" s="18">
        <f ca="1">SUMIFS(ocupação!$I:$I,ocupação!$A:$A,'Controle de vagas'!F$15,ocupação!$N:$N,'Controle de vagas'!$B$4,ocupação!$O:$O,'Controle de vagas'!$B20)</f>
        <v>0</v>
      </c>
      <c r="G20" s="18">
        <f ca="1">SUMIFS(ocupação!$I:$I,ocupação!$A:$A,'Controle de vagas'!G$15,ocupação!$N:$N,'Controle de vagas'!$B$4,ocupação!$O:$O,'Controle de vagas'!$B20)</f>
        <v>22</v>
      </c>
      <c r="H20" s="18">
        <f ca="1">SUMIFS(ocupação!$I:$I,ocupação!$A:$A,'Controle de vagas'!H$15,ocupação!$N:$N,'Controle de vagas'!$B$4,ocupação!$O:$O,'Controle de vagas'!$B20)</f>
        <v>22</v>
      </c>
      <c r="I20" s="18">
        <f ca="1">SUMIFS(ocupação!$I:$I,ocupação!$A:$A,'Controle de vagas'!I$15,ocupação!$N:$N,'Controle de vagas'!$B$4,ocupação!$O:$O,'Controle de vagas'!$B20)</f>
        <v>22</v>
      </c>
      <c r="J20" s="19">
        <f ca="1">SUMIFS(ocupação!$I:$I,ocupação!$A:$A,'Controle de vagas'!J$15,ocupação!$N:$N,'Controle de vagas'!$B$4,ocupação!$O:$O,'Controle de vagas'!$B20)</f>
        <v>22</v>
      </c>
      <c r="K20" s="19">
        <f ca="1">SUMIFS(ocupação!$I:$I,ocupação!$A:$A,'Controle de vagas'!K$15,ocupação!$N:$N,'Controle de vagas'!$B$4,ocupação!$O:$O,'Controle de vagas'!$B20)</f>
        <v>14</v>
      </c>
      <c r="L20" s="19">
        <f ca="1">SUMIFS(ocupação!$I:$I,ocupação!$A:$A,'Controle de vagas'!L$15,ocupação!$N:$N,'Controle de vagas'!$B$4,ocupação!$O:$O,'Controle de vagas'!$B20)</f>
        <v>0</v>
      </c>
      <c r="M20" s="19">
        <f ca="1">SUMIFS(ocupação!$I:$I,ocupação!$A:$A,'Controle de vagas'!M$15,ocupação!$N:$N,'Controle de vagas'!$B$4,ocupação!$O:$O,'Controle de vagas'!$B20)</f>
        <v>22</v>
      </c>
      <c r="N20" s="20">
        <f ca="1">SUMIFS(ocupação!$I:$I,ocupação!$A:$A,'Controle de vagas'!N$15,ocupação!$N:$N,'Controle de vagas'!$B$4,ocupação!$O:$O,'Controle de vagas'!$B20)</f>
        <v>22</v>
      </c>
      <c r="O20" s="20">
        <f ca="1">SUMIFS(ocupação!$I:$I,ocupação!$A:$A,'Controle de vagas'!O$15,ocupação!$N:$N,'Controle de vagas'!$B$4,ocupação!$O:$O,'Controle de vagas'!$B20)</f>
        <v>22</v>
      </c>
      <c r="P20" s="20">
        <f ca="1">SUMIFS(ocupação!$I:$I,ocupação!$A:$A,'Controle de vagas'!P$15,ocupação!$N:$N,'Controle de vagas'!$B$4,ocupação!$O:$O,'Controle de vagas'!$B20)</f>
        <v>22</v>
      </c>
      <c r="Q20" s="20">
        <f ca="1">SUMIFS(ocupação!$I:$I,ocupação!$A:$A,'Controle de vagas'!Q$15,ocupação!$N:$N,'Controle de vagas'!$B$4,ocupação!$O:$O,'Controle de vagas'!$B20)</f>
        <v>0</v>
      </c>
      <c r="R20" s="20">
        <f ca="1">SUMIFS(ocupação!$I:$I,ocupação!$A:$A,'Controle de vagas'!R$15,ocupação!$N:$N,'Controle de vagas'!$B$4,ocupação!$O:$O,'Controle de vagas'!$B20)</f>
        <v>0</v>
      </c>
      <c r="S20" s="20">
        <f ca="1">SUMIFS(ocupação!$I:$I,ocupação!$A:$A,'Controle de vagas'!S$15,ocupação!$N:$N,'Controle de vagas'!$B$4,ocupação!$O:$O,'Controle de vagas'!$B20)</f>
        <v>0</v>
      </c>
      <c r="T20" s="20">
        <f ca="1">SUMIFS(ocupação!$I:$I,ocupação!$A:$A,'Controle de vagas'!T$15,ocupação!$N:$N,'Controle de vagas'!$B$4,ocupação!$O:$O,'Controle de vagas'!$B20)</f>
        <v>0</v>
      </c>
      <c r="U20" s="20">
        <f ca="1">SUMIFS(ocupação!$I:$I,ocupação!$A:$A,'Controle de vagas'!U$15,ocupação!$N:$N,'Controle de vagas'!$B$4,ocupação!$O:$O,'Controle de vagas'!$B20)</f>
        <v>0</v>
      </c>
      <c r="V20" s="20">
        <f ca="1">SUMIFS(ocupação!$I:$I,ocupação!$A:$A,'Controle de vagas'!V$15,ocupação!$N:$N,'Controle de vagas'!$B$4,ocupação!$O:$O,'Controle de vagas'!$B20)</f>
        <v>0</v>
      </c>
      <c r="W20" s="20">
        <f ca="1">SUMIFS(ocupação!$I:$I,ocupação!$A:$A,'Controle de vagas'!W$15,ocupação!$N:$N,'Controle de vagas'!$B$4,ocupação!$O:$O,'Controle de vagas'!$B20)</f>
        <v>0</v>
      </c>
      <c r="X20" s="20">
        <f ca="1">SUMIFS(ocupação!$I:$I,ocupação!$A:$A,'Controle de vagas'!X$15,ocupação!$N:$N,'Controle de vagas'!$B$4,ocupação!$O:$O,'Controle de vagas'!$B20)</f>
        <v>0</v>
      </c>
      <c r="Y20" s="20">
        <f ca="1">SUMIFS(ocupação!$I:$I,ocupação!$A:$A,'Controle de vagas'!Y$15,ocupação!$N:$N,'Controle de vagas'!$B$4,ocupação!$O:$O,'Controle de vagas'!$B20)</f>
        <v>0</v>
      </c>
    </row>
    <row r="21" spans="2:25" ht="18.75" x14ac:dyDescent="0.25">
      <c r="B21" s="21" t="s">
        <v>45</v>
      </c>
      <c r="C21" s="22">
        <f ca="1">SUMIFS(ocupação!$I:$I,ocupação!$A:$A,'Controle de vagas'!C$15,ocupação!$N:$N,'Controle de vagas'!$B$4,ocupação!$O:$O,'Controle de vagas'!$B21)</f>
        <v>0</v>
      </c>
      <c r="D21" s="22">
        <f ca="1">SUMIFS(ocupação!$I:$I,ocupação!$A:$A,'Controle de vagas'!D$15,ocupação!$N:$N,'Controle de vagas'!$B$4,ocupação!$O:$O,'Controle de vagas'!$B21)</f>
        <v>0</v>
      </c>
      <c r="E21" s="22">
        <f ca="1">SUMIFS(ocupação!$I:$I,ocupação!$A:$A,'Controle de vagas'!E$15,ocupação!$N:$N,'Controle de vagas'!$B$4,ocupação!$O:$O,'Controle de vagas'!$B21)</f>
        <v>0</v>
      </c>
      <c r="F21" s="22">
        <f ca="1">SUMIFS(ocupação!$I:$I,ocupação!$A:$A,'Controle de vagas'!F$15,ocupação!$N:$N,'Controle de vagas'!$B$4,ocupação!$O:$O,'Controle de vagas'!$B21)</f>
        <v>0</v>
      </c>
      <c r="G21" s="22">
        <f ca="1">SUMIFS(ocupação!$I:$I,ocupação!$A:$A,'Controle de vagas'!G$15,ocupação!$N:$N,'Controle de vagas'!$B$4,ocupação!$O:$O,'Controle de vagas'!$B21)</f>
        <v>0</v>
      </c>
      <c r="H21" s="22">
        <f ca="1">SUMIFS(ocupação!$I:$I,ocupação!$A:$A,'Controle de vagas'!H$15,ocupação!$N:$N,'Controle de vagas'!$B$4,ocupação!$O:$O,'Controle de vagas'!$B21)</f>
        <v>0</v>
      </c>
      <c r="I21" s="22">
        <f ca="1">SUMIFS(ocupação!$I:$I,ocupação!$A:$A,'Controle de vagas'!I$15,ocupação!$N:$N,'Controle de vagas'!$B$4,ocupação!$O:$O,'Controle de vagas'!$B21)</f>
        <v>0</v>
      </c>
      <c r="J21" s="23">
        <f ca="1">SUMIFS(ocupação!$I:$I,ocupação!$A:$A,'Controle de vagas'!J$15,ocupação!$N:$N,'Controle de vagas'!$B$4,ocupação!$O:$O,'Controle de vagas'!$B21)</f>
        <v>0</v>
      </c>
      <c r="K21" s="23">
        <f ca="1">SUMIFS(ocupação!$I:$I,ocupação!$A:$A,'Controle de vagas'!K$15,ocupação!$N:$N,'Controle de vagas'!$B$4,ocupação!$O:$O,'Controle de vagas'!$B21)</f>
        <v>0</v>
      </c>
      <c r="L21" s="23">
        <f ca="1">SUMIFS(ocupação!$I:$I,ocupação!$A:$A,'Controle de vagas'!L$15,ocupação!$N:$N,'Controle de vagas'!$B$4,ocupação!$O:$O,'Controle de vagas'!$B21)</f>
        <v>0</v>
      </c>
      <c r="M21" s="23">
        <f ca="1">SUMIFS(ocupação!$I:$I,ocupação!$A:$A,'Controle de vagas'!M$15,ocupação!$N:$N,'Controle de vagas'!$B$4,ocupação!$O:$O,'Controle de vagas'!$B21)</f>
        <v>0</v>
      </c>
      <c r="N21" s="24">
        <f ca="1">SUMIFS(ocupação!$I:$I,ocupação!$A:$A,'Controle de vagas'!N$15,ocupação!$N:$N,'Controle de vagas'!$B$4,ocupação!$O:$O,'Controle de vagas'!$B21)</f>
        <v>0</v>
      </c>
      <c r="O21" s="24">
        <f ca="1">SUMIFS(ocupação!$I:$I,ocupação!$A:$A,'Controle de vagas'!O$15,ocupação!$N:$N,'Controle de vagas'!$B$4,ocupação!$O:$O,'Controle de vagas'!$B21)</f>
        <v>0</v>
      </c>
      <c r="P21" s="24">
        <f ca="1">SUMIFS(ocupação!$I:$I,ocupação!$A:$A,'Controle de vagas'!P$15,ocupação!$N:$N,'Controle de vagas'!$B$4,ocupação!$O:$O,'Controle de vagas'!$B21)</f>
        <v>0</v>
      </c>
      <c r="Q21" s="24">
        <f ca="1">SUMIFS(ocupação!$I:$I,ocupação!$A:$A,'Controle de vagas'!Q$15,ocupação!$N:$N,'Controle de vagas'!$B$4,ocupação!$O:$O,'Controle de vagas'!$B21)</f>
        <v>0</v>
      </c>
      <c r="R21" s="24">
        <f ca="1">SUMIFS(ocupação!$I:$I,ocupação!$A:$A,'Controle de vagas'!R$15,ocupação!$N:$N,'Controle de vagas'!$B$4,ocupação!$O:$O,'Controle de vagas'!$B21)</f>
        <v>0</v>
      </c>
      <c r="S21" s="24">
        <f ca="1">SUMIFS(ocupação!$I:$I,ocupação!$A:$A,'Controle de vagas'!S$15,ocupação!$N:$N,'Controle de vagas'!$B$4,ocupação!$O:$O,'Controle de vagas'!$B21)</f>
        <v>0</v>
      </c>
      <c r="T21" s="24">
        <f ca="1">SUMIFS(ocupação!$I:$I,ocupação!$A:$A,'Controle de vagas'!T$15,ocupação!$N:$N,'Controle de vagas'!$B$4,ocupação!$O:$O,'Controle de vagas'!$B21)</f>
        <v>0</v>
      </c>
      <c r="U21" s="24">
        <f ca="1">SUMIFS(ocupação!$I:$I,ocupação!$A:$A,'Controle de vagas'!U$15,ocupação!$N:$N,'Controle de vagas'!$B$4,ocupação!$O:$O,'Controle de vagas'!$B21)</f>
        <v>0</v>
      </c>
      <c r="V21" s="24">
        <f ca="1">SUMIFS(ocupação!$I:$I,ocupação!$A:$A,'Controle de vagas'!V$15,ocupação!$N:$N,'Controle de vagas'!$B$4,ocupação!$O:$O,'Controle de vagas'!$B21)</f>
        <v>0</v>
      </c>
      <c r="W21" s="24">
        <f ca="1">SUMIFS(ocupação!$I:$I,ocupação!$A:$A,'Controle de vagas'!W$15,ocupação!$N:$N,'Controle de vagas'!$B$4,ocupação!$O:$O,'Controle de vagas'!$B21)</f>
        <v>0</v>
      </c>
      <c r="X21" s="24">
        <f ca="1">SUMIFS(ocupação!$I:$I,ocupação!$A:$A,'Controle de vagas'!X$15,ocupação!$N:$N,'Controle de vagas'!$B$4,ocupação!$O:$O,'Controle de vagas'!$B21)</f>
        <v>0</v>
      </c>
      <c r="Y21" s="24">
        <f ca="1">SUMIFS(ocupação!$I:$I,ocupação!$A:$A,'Controle de vagas'!Y$15,ocupação!$N:$N,'Controle de vagas'!$B$4,ocupação!$O:$O,'Controle de vagas'!$B21)</f>
        <v>0</v>
      </c>
    </row>
    <row r="22" spans="2:25" ht="18.75" x14ac:dyDescent="0.25">
      <c r="B22" s="17" t="s">
        <v>22</v>
      </c>
      <c r="C22" s="18">
        <f ca="1">SUMIFS(ocupação!$I:$I,ocupação!$A:$A,'Controle de vagas'!C$15,ocupação!$N:$N,'Controle de vagas'!$B$4,ocupação!$O:$O,'Controle de vagas'!$B22)</f>
        <v>1</v>
      </c>
      <c r="D22" s="18">
        <f ca="1">SUMIFS(ocupação!$I:$I,ocupação!$A:$A,'Controle de vagas'!D$15,ocupação!$N:$N,'Controle de vagas'!$B$4,ocupação!$O:$O,'Controle de vagas'!$B22)</f>
        <v>0</v>
      </c>
      <c r="E22" s="18">
        <f ca="1">SUMIFS(ocupação!$I:$I,ocupação!$A:$A,'Controle de vagas'!E$15,ocupação!$N:$N,'Controle de vagas'!$B$4,ocupação!$O:$O,'Controle de vagas'!$B22)</f>
        <v>0</v>
      </c>
      <c r="F22" s="18">
        <f ca="1">SUMIFS(ocupação!$I:$I,ocupação!$A:$A,'Controle de vagas'!F$15,ocupação!$N:$N,'Controle de vagas'!$B$4,ocupação!$O:$O,'Controle de vagas'!$B22)</f>
        <v>1</v>
      </c>
      <c r="G22" s="18">
        <f ca="1">SUMIFS(ocupação!$I:$I,ocupação!$A:$A,'Controle de vagas'!G$15,ocupação!$N:$N,'Controle de vagas'!$B$4,ocupação!$O:$O,'Controle de vagas'!$B22)</f>
        <v>1</v>
      </c>
      <c r="H22" s="18">
        <f ca="1">SUMIFS(ocupação!$I:$I,ocupação!$A:$A,'Controle de vagas'!H$15,ocupação!$N:$N,'Controle de vagas'!$B$4,ocupação!$O:$O,'Controle de vagas'!$B22)</f>
        <v>1</v>
      </c>
      <c r="I22" s="18">
        <f ca="1">SUMIFS(ocupação!$I:$I,ocupação!$A:$A,'Controle de vagas'!I$15,ocupação!$N:$N,'Controle de vagas'!$B$4,ocupação!$O:$O,'Controle de vagas'!$B22)</f>
        <v>1</v>
      </c>
      <c r="J22" s="19">
        <f ca="1">SUMIFS(ocupação!$I:$I,ocupação!$A:$A,'Controle de vagas'!J$15,ocupação!$N:$N,'Controle de vagas'!$B$4,ocupação!$O:$O,'Controle de vagas'!$B22)</f>
        <v>1</v>
      </c>
      <c r="K22" s="19">
        <f ca="1">SUMIFS(ocupação!$I:$I,ocupação!$A:$A,'Controle de vagas'!K$15,ocupação!$N:$N,'Controle de vagas'!$B$4,ocupação!$O:$O,'Controle de vagas'!$B22)</f>
        <v>0</v>
      </c>
      <c r="L22" s="19">
        <f ca="1">SUMIFS(ocupação!$I:$I,ocupação!$A:$A,'Controle de vagas'!L$15,ocupação!$N:$N,'Controle de vagas'!$B$4,ocupação!$O:$O,'Controle de vagas'!$B22)</f>
        <v>0</v>
      </c>
      <c r="M22" s="19">
        <f ca="1">SUMIFS(ocupação!$I:$I,ocupação!$A:$A,'Controle de vagas'!M$15,ocupação!$N:$N,'Controle de vagas'!$B$4,ocupação!$O:$O,'Controle de vagas'!$B22)</f>
        <v>1</v>
      </c>
      <c r="N22" s="20">
        <f ca="1">SUMIFS(ocupação!$I:$I,ocupação!$A:$A,'Controle de vagas'!N$15,ocupação!$N:$N,'Controle de vagas'!$B$4,ocupação!$O:$O,'Controle de vagas'!$B22)</f>
        <v>1</v>
      </c>
      <c r="O22" s="20">
        <f ca="1">SUMIFS(ocupação!$I:$I,ocupação!$A:$A,'Controle de vagas'!O$15,ocupação!$N:$N,'Controle de vagas'!$B$4,ocupação!$O:$O,'Controle de vagas'!$B22)</f>
        <v>1</v>
      </c>
      <c r="P22" s="20">
        <f ca="1">SUMIFS(ocupação!$I:$I,ocupação!$A:$A,'Controle de vagas'!P$15,ocupação!$N:$N,'Controle de vagas'!$B$4,ocupação!$O:$O,'Controle de vagas'!$B22)</f>
        <v>1</v>
      </c>
      <c r="Q22" s="20">
        <f ca="1">SUMIFS(ocupação!$I:$I,ocupação!$A:$A,'Controle de vagas'!Q$15,ocupação!$N:$N,'Controle de vagas'!$B$4,ocupação!$O:$O,'Controle de vagas'!$B22)</f>
        <v>0</v>
      </c>
      <c r="R22" s="20">
        <f ca="1">SUMIFS(ocupação!$I:$I,ocupação!$A:$A,'Controle de vagas'!R$15,ocupação!$N:$N,'Controle de vagas'!$B$4,ocupação!$O:$O,'Controle de vagas'!$B22)</f>
        <v>0</v>
      </c>
      <c r="S22" s="20">
        <f ca="1">SUMIFS(ocupação!$I:$I,ocupação!$A:$A,'Controle de vagas'!S$15,ocupação!$N:$N,'Controle de vagas'!$B$4,ocupação!$O:$O,'Controle de vagas'!$B22)</f>
        <v>0</v>
      </c>
      <c r="T22" s="20">
        <f ca="1">SUMIFS(ocupação!$I:$I,ocupação!$A:$A,'Controle de vagas'!T$15,ocupação!$N:$N,'Controle de vagas'!$B$4,ocupação!$O:$O,'Controle de vagas'!$B22)</f>
        <v>0</v>
      </c>
      <c r="U22" s="20">
        <f ca="1">SUMIFS(ocupação!$I:$I,ocupação!$A:$A,'Controle de vagas'!U$15,ocupação!$N:$N,'Controle de vagas'!$B$4,ocupação!$O:$O,'Controle de vagas'!$B22)</f>
        <v>0</v>
      </c>
      <c r="V22" s="20">
        <f ca="1">SUMIFS(ocupação!$I:$I,ocupação!$A:$A,'Controle de vagas'!V$15,ocupação!$N:$N,'Controle de vagas'!$B$4,ocupação!$O:$O,'Controle de vagas'!$B22)</f>
        <v>0</v>
      </c>
      <c r="W22" s="20">
        <f ca="1">SUMIFS(ocupação!$I:$I,ocupação!$A:$A,'Controle de vagas'!W$15,ocupação!$N:$N,'Controle de vagas'!$B$4,ocupação!$O:$O,'Controle de vagas'!$B22)</f>
        <v>0</v>
      </c>
      <c r="X22" s="20">
        <f ca="1">SUMIFS(ocupação!$I:$I,ocupação!$A:$A,'Controle de vagas'!X$15,ocupação!$N:$N,'Controle de vagas'!$B$4,ocupação!$O:$O,'Controle de vagas'!$B22)</f>
        <v>0</v>
      </c>
      <c r="Y22" s="20">
        <f ca="1">SUMIFS(ocupação!$I:$I,ocupação!$A:$A,'Controle de vagas'!Y$15,ocupação!$N:$N,'Controle de vagas'!$B$4,ocupação!$O:$O,'Controle de vagas'!$B22)</f>
        <v>0</v>
      </c>
    </row>
    <row r="23" spans="2:25" ht="18.75" x14ac:dyDescent="0.25">
      <c r="B23" s="21" t="s">
        <v>46</v>
      </c>
      <c r="C23" s="22">
        <f ca="1">SUMIFS(ocupação!$I:$I,ocupação!$A:$A,'Controle de vagas'!C$15,ocupação!$N:$N,'Controle de vagas'!$B$4,ocupação!$O:$O,'Controle de vagas'!$B23)</f>
        <v>0</v>
      </c>
      <c r="D23" s="22">
        <f ca="1">SUMIFS(ocupação!$I:$I,ocupação!$A:$A,'Controle de vagas'!D$15,ocupação!$N:$N,'Controle de vagas'!$B$4,ocupação!$O:$O,'Controle de vagas'!$B23)</f>
        <v>0</v>
      </c>
      <c r="E23" s="22">
        <f ca="1">SUMIFS(ocupação!$I:$I,ocupação!$A:$A,'Controle de vagas'!E$15,ocupação!$N:$N,'Controle de vagas'!$B$4,ocupação!$O:$O,'Controle de vagas'!$B23)</f>
        <v>0</v>
      </c>
      <c r="F23" s="22">
        <f ca="1">SUMIFS(ocupação!$I:$I,ocupação!$A:$A,'Controle de vagas'!F$15,ocupação!$N:$N,'Controle de vagas'!$B$4,ocupação!$O:$O,'Controle de vagas'!$B23)</f>
        <v>0</v>
      </c>
      <c r="G23" s="22">
        <f ca="1">SUMIFS(ocupação!$I:$I,ocupação!$A:$A,'Controle de vagas'!G$15,ocupação!$N:$N,'Controle de vagas'!$B$4,ocupação!$O:$O,'Controle de vagas'!$B23)</f>
        <v>0</v>
      </c>
      <c r="H23" s="22">
        <f ca="1">SUMIFS(ocupação!$I:$I,ocupação!$A:$A,'Controle de vagas'!H$15,ocupação!$N:$N,'Controle de vagas'!$B$4,ocupação!$O:$O,'Controle de vagas'!$B23)</f>
        <v>0</v>
      </c>
      <c r="I23" s="22">
        <f ca="1">SUMIFS(ocupação!$I:$I,ocupação!$A:$A,'Controle de vagas'!I$15,ocupação!$N:$N,'Controle de vagas'!$B$4,ocupação!$O:$O,'Controle de vagas'!$B23)</f>
        <v>0</v>
      </c>
      <c r="J23" s="23">
        <f ca="1">SUMIFS(ocupação!$I:$I,ocupação!$A:$A,'Controle de vagas'!J$15,ocupação!$N:$N,'Controle de vagas'!$B$4,ocupação!$O:$O,'Controle de vagas'!$B23)</f>
        <v>0</v>
      </c>
      <c r="K23" s="23">
        <f ca="1">SUMIFS(ocupação!$I:$I,ocupação!$A:$A,'Controle de vagas'!K$15,ocupação!$N:$N,'Controle de vagas'!$B$4,ocupação!$O:$O,'Controle de vagas'!$B23)</f>
        <v>0</v>
      </c>
      <c r="L23" s="23">
        <f ca="1">SUMIFS(ocupação!$I:$I,ocupação!$A:$A,'Controle de vagas'!L$15,ocupação!$N:$N,'Controle de vagas'!$B$4,ocupação!$O:$O,'Controle de vagas'!$B23)</f>
        <v>0</v>
      </c>
      <c r="M23" s="23">
        <f ca="1">SUMIFS(ocupação!$I:$I,ocupação!$A:$A,'Controle de vagas'!M$15,ocupação!$N:$N,'Controle de vagas'!$B$4,ocupação!$O:$O,'Controle de vagas'!$B23)</f>
        <v>0</v>
      </c>
      <c r="N23" s="24">
        <f ca="1">SUMIFS(ocupação!$I:$I,ocupação!$A:$A,'Controle de vagas'!N$15,ocupação!$N:$N,'Controle de vagas'!$B$4,ocupação!$O:$O,'Controle de vagas'!$B23)</f>
        <v>0</v>
      </c>
      <c r="O23" s="24">
        <f ca="1">SUMIFS(ocupação!$I:$I,ocupação!$A:$A,'Controle de vagas'!O$15,ocupação!$N:$N,'Controle de vagas'!$B$4,ocupação!$O:$O,'Controle de vagas'!$B23)</f>
        <v>0</v>
      </c>
      <c r="P23" s="24">
        <f ca="1">SUMIFS(ocupação!$I:$I,ocupação!$A:$A,'Controle de vagas'!P$15,ocupação!$N:$N,'Controle de vagas'!$B$4,ocupação!$O:$O,'Controle de vagas'!$B23)</f>
        <v>0</v>
      </c>
      <c r="Q23" s="24">
        <f ca="1">SUMIFS(ocupação!$I:$I,ocupação!$A:$A,'Controle de vagas'!Q$15,ocupação!$N:$N,'Controle de vagas'!$B$4,ocupação!$O:$O,'Controle de vagas'!$B23)</f>
        <v>0</v>
      </c>
      <c r="R23" s="24">
        <f ca="1">SUMIFS(ocupação!$I:$I,ocupação!$A:$A,'Controle de vagas'!R$15,ocupação!$N:$N,'Controle de vagas'!$B$4,ocupação!$O:$O,'Controle de vagas'!$B23)</f>
        <v>0</v>
      </c>
      <c r="S23" s="24">
        <f ca="1">SUMIFS(ocupação!$I:$I,ocupação!$A:$A,'Controle de vagas'!S$15,ocupação!$N:$N,'Controle de vagas'!$B$4,ocupação!$O:$O,'Controle de vagas'!$B23)</f>
        <v>0</v>
      </c>
      <c r="T23" s="24">
        <f ca="1">SUMIFS(ocupação!$I:$I,ocupação!$A:$A,'Controle de vagas'!T$15,ocupação!$N:$N,'Controle de vagas'!$B$4,ocupação!$O:$O,'Controle de vagas'!$B23)</f>
        <v>0</v>
      </c>
      <c r="U23" s="24">
        <f ca="1">SUMIFS(ocupação!$I:$I,ocupação!$A:$A,'Controle de vagas'!U$15,ocupação!$N:$N,'Controle de vagas'!$B$4,ocupação!$O:$O,'Controle de vagas'!$B23)</f>
        <v>0</v>
      </c>
      <c r="V23" s="24">
        <f ca="1">SUMIFS(ocupação!$I:$I,ocupação!$A:$A,'Controle de vagas'!V$15,ocupação!$N:$N,'Controle de vagas'!$B$4,ocupação!$O:$O,'Controle de vagas'!$B23)</f>
        <v>0</v>
      </c>
      <c r="W23" s="24">
        <f ca="1">SUMIFS(ocupação!$I:$I,ocupação!$A:$A,'Controle de vagas'!W$15,ocupação!$N:$N,'Controle de vagas'!$B$4,ocupação!$O:$O,'Controle de vagas'!$B23)</f>
        <v>0</v>
      </c>
      <c r="X23" s="24">
        <f ca="1">SUMIFS(ocupação!$I:$I,ocupação!$A:$A,'Controle de vagas'!X$15,ocupação!$N:$N,'Controle de vagas'!$B$4,ocupação!$O:$O,'Controle de vagas'!$B23)</f>
        <v>0</v>
      </c>
      <c r="Y23" s="24">
        <f ca="1">SUMIFS(ocupação!$I:$I,ocupação!$A:$A,'Controle de vagas'!Y$15,ocupação!$N:$N,'Controle de vagas'!$B$4,ocupação!$O:$O,'Controle de vagas'!$B23)</f>
        <v>0</v>
      </c>
    </row>
    <row r="24" spans="2:25" ht="18.75" x14ac:dyDescent="0.25">
      <c r="B24" s="17" t="s">
        <v>21</v>
      </c>
      <c r="C24" s="18">
        <f ca="1">SUMIFS(ocupação!$I:$I,ocupação!$A:$A,'Controle de vagas'!C$15,ocupação!$N:$N,'Controle de vagas'!$B$4,ocupação!$O:$O,'Controle de vagas'!$B24)</f>
        <v>0</v>
      </c>
      <c r="D24" s="18">
        <f ca="1">SUMIFS(ocupação!$I:$I,ocupação!$A:$A,'Controle de vagas'!D$15,ocupação!$N:$N,'Controle de vagas'!$B$4,ocupação!$O:$O,'Controle de vagas'!$B24)</f>
        <v>0</v>
      </c>
      <c r="E24" s="18">
        <f ca="1">SUMIFS(ocupação!$I:$I,ocupação!$A:$A,'Controle de vagas'!E$15,ocupação!$N:$N,'Controle de vagas'!$B$4,ocupação!$O:$O,'Controle de vagas'!$B24)</f>
        <v>0</v>
      </c>
      <c r="F24" s="18">
        <f ca="1">SUMIFS(ocupação!$I:$I,ocupação!$A:$A,'Controle de vagas'!F$15,ocupação!$N:$N,'Controle de vagas'!$B$4,ocupação!$O:$O,'Controle de vagas'!$B24)</f>
        <v>2</v>
      </c>
      <c r="G24" s="18">
        <f ca="1">SUMIFS(ocupação!$I:$I,ocupação!$A:$A,'Controle de vagas'!G$15,ocupação!$N:$N,'Controle de vagas'!$B$4,ocupação!$O:$O,'Controle de vagas'!$B24)</f>
        <v>2</v>
      </c>
      <c r="H24" s="18">
        <f ca="1">SUMIFS(ocupação!$I:$I,ocupação!$A:$A,'Controle de vagas'!H$15,ocupação!$N:$N,'Controle de vagas'!$B$4,ocupação!$O:$O,'Controle de vagas'!$B24)</f>
        <v>2</v>
      </c>
      <c r="I24" s="18">
        <f ca="1">SUMIFS(ocupação!$I:$I,ocupação!$A:$A,'Controle de vagas'!I$15,ocupação!$N:$N,'Controle de vagas'!$B$4,ocupação!$O:$O,'Controle de vagas'!$B24)</f>
        <v>0</v>
      </c>
      <c r="J24" s="19">
        <f ca="1">SUMIFS(ocupação!$I:$I,ocupação!$A:$A,'Controle de vagas'!J$15,ocupação!$N:$N,'Controle de vagas'!$B$4,ocupação!$O:$O,'Controle de vagas'!$B24)</f>
        <v>2</v>
      </c>
      <c r="K24" s="19">
        <f ca="1">SUMIFS(ocupação!$I:$I,ocupação!$A:$A,'Controle de vagas'!K$15,ocupação!$N:$N,'Controle de vagas'!$B$4,ocupação!$O:$O,'Controle de vagas'!$B24)</f>
        <v>0</v>
      </c>
      <c r="L24" s="19">
        <f ca="1">SUMIFS(ocupação!$I:$I,ocupação!$A:$A,'Controle de vagas'!L$15,ocupação!$N:$N,'Controle de vagas'!$B$4,ocupação!$O:$O,'Controle de vagas'!$B24)</f>
        <v>0</v>
      </c>
      <c r="M24" s="19">
        <f ca="1">SUMIFS(ocupação!$I:$I,ocupação!$A:$A,'Controle de vagas'!M$15,ocupação!$N:$N,'Controle de vagas'!$B$4,ocupação!$O:$O,'Controle de vagas'!$B24)</f>
        <v>2</v>
      </c>
      <c r="N24" s="20">
        <f ca="1">SUMIFS(ocupação!$I:$I,ocupação!$A:$A,'Controle de vagas'!N$15,ocupação!$N:$N,'Controle de vagas'!$B$4,ocupação!$O:$O,'Controle de vagas'!$B24)</f>
        <v>2</v>
      </c>
      <c r="O24" s="20">
        <f ca="1">SUMIFS(ocupação!$I:$I,ocupação!$A:$A,'Controle de vagas'!O$15,ocupação!$N:$N,'Controle de vagas'!$B$4,ocupação!$O:$O,'Controle de vagas'!$B24)</f>
        <v>2</v>
      </c>
      <c r="P24" s="20">
        <f ca="1">SUMIFS(ocupação!$I:$I,ocupação!$A:$A,'Controle de vagas'!P$15,ocupação!$N:$N,'Controle de vagas'!$B$4,ocupação!$O:$O,'Controle de vagas'!$B24)</f>
        <v>2</v>
      </c>
      <c r="Q24" s="20">
        <f ca="1">SUMIFS(ocupação!$I:$I,ocupação!$A:$A,'Controle de vagas'!Q$15,ocupação!$N:$N,'Controle de vagas'!$B$4,ocupação!$O:$O,'Controle de vagas'!$B24)</f>
        <v>0</v>
      </c>
      <c r="R24" s="20">
        <f ca="1">SUMIFS(ocupação!$I:$I,ocupação!$A:$A,'Controle de vagas'!R$15,ocupação!$N:$N,'Controle de vagas'!$B$4,ocupação!$O:$O,'Controle de vagas'!$B24)</f>
        <v>0</v>
      </c>
      <c r="S24" s="20">
        <f ca="1">SUMIFS(ocupação!$I:$I,ocupação!$A:$A,'Controle de vagas'!S$15,ocupação!$N:$N,'Controle de vagas'!$B$4,ocupação!$O:$O,'Controle de vagas'!$B24)</f>
        <v>0</v>
      </c>
      <c r="T24" s="20">
        <f ca="1">SUMIFS(ocupação!$I:$I,ocupação!$A:$A,'Controle de vagas'!T$15,ocupação!$N:$N,'Controle de vagas'!$B$4,ocupação!$O:$O,'Controle de vagas'!$B24)</f>
        <v>0</v>
      </c>
      <c r="U24" s="20">
        <f ca="1">SUMIFS(ocupação!$I:$I,ocupação!$A:$A,'Controle de vagas'!U$15,ocupação!$N:$N,'Controle de vagas'!$B$4,ocupação!$O:$O,'Controle de vagas'!$B24)</f>
        <v>0</v>
      </c>
      <c r="V24" s="20">
        <f ca="1">SUMIFS(ocupação!$I:$I,ocupação!$A:$A,'Controle de vagas'!V$15,ocupação!$N:$N,'Controle de vagas'!$B$4,ocupação!$O:$O,'Controle de vagas'!$B24)</f>
        <v>0</v>
      </c>
      <c r="W24" s="20">
        <f ca="1">SUMIFS(ocupação!$I:$I,ocupação!$A:$A,'Controle de vagas'!W$15,ocupação!$N:$N,'Controle de vagas'!$B$4,ocupação!$O:$O,'Controle de vagas'!$B24)</f>
        <v>0</v>
      </c>
      <c r="X24" s="20">
        <f ca="1">SUMIFS(ocupação!$I:$I,ocupação!$A:$A,'Controle de vagas'!X$15,ocupação!$N:$N,'Controle de vagas'!$B$4,ocupação!$O:$O,'Controle de vagas'!$B24)</f>
        <v>0</v>
      </c>
      <c r="Y24" s="20">
        <f ca="1">SUMIFS(ocupação!$I:$I,ocupação!$A:$A,'Controle de vagas'!Y$15,ocupação!$N:$N,'Controle de vagas'!$B$4,ocupação!$O:$O,'Controle de vagas'!$B24)</f>
        <v>0</v>
      </c>
    </row>
    <row r="25" spans="2:25" ht="18.75" x14ac:dyDescent="0.25">
      <c r="B25" s="39" t="s">
        <v>24</v>
      </c>
      <c r="C25" s="22">
        <f ca="1">SUMIFS(ocupação!$I:$I,ocupação!$A:$A,'Controle de vagas'!C$15,ocupação!$N:$N,'Controle de vagas'!$B$4,ocupação!$O:$O,'Controle de vagas'!$B25)</f>
        <v>0</v>
      </c>
      <c r="D25" s="22">
        <f ca="1">SUMIFS(ocupação!$I:$I,ocupação!$A:$A,'Controle de vagas'!D$15,ocupação!$N:$N,'Controle de vagas'!$B$4,ocupação!$O:$O,'Controle de vagas'!$B25)</f>
        <v>37</v>
      </c>
      <c r="E25" s="22">
        <f ca="1">SUMIFS(ocupação!$I:$I,ocupação!$A:$A,'Controle de vagas'!E$15,ocupação!$N:$N,'Controle de vagas'!$B$4,ocupação!$O:$O,'Controle de vagas'!$B25)</f>
        <v>0</v>
      </c>
      <c r="F25" s="22">
        <f ca="1">SUMIFS(ocupação!$I:$I,ocupação!$A:$A,'Controle de vagas'!F$15,ocupação!$N:$N,'Controle de vagas'!$B$4,ocupação!$O:$O,'Controle de vagas'!$B25)</f>
        <v>0</v>
      </c>
      <c r="G25" s="22">
        <f ca="1">SUMIFS(ocupação!$I:$I,ocupação!$A:$A,'Controle de vagas'!G$15,ocupação!$N:$N,'Controle de vagas'!$B$4,ocupação!$O:$O,'Controle de vagas'!$B25)</f>
        <v>0</v>
      </c>
      <c r="H25" s="22">
        <f ca="1">SUMIFS(ocupação!$I:$I,ocupação!$A:$A,'Controle de vagas'!H$15,ocupação!$N:$N,'Controle de vagas'!$B$4,ocupação!$O:$O,'Controle de vagas'!$B25)</f>
        <v>0</v>
      </c>
      <c r="I25" s="22">
        <f ca="1">SUMIFS(ocupação!$I:$I,ocupação!$A:$A,'Controle de vagas'!I$15,ocupação!$N:$N,'Controle de vagas'!$B$4,ocupação!$O:$O,'Controle de vagas'!$B25)</f>
        <v>0</v>
      </c>
      <c r="J25" s="23">
        <f ca="1">SUMIFS(ocupação!$I:$I,ocupação!$A:$A,'Controle de vagas'!J$15,ocupação!$N:$N,'Controle de vagas'!$B$4,ocupação!$O:$O,'Controle de vagas'!$B25)</f>
        <v>0</v>
      </c>
      <c r="K25" s="23">
        <f ca="1">SUMIFS(ocupação!$I:$I,ocupação!$A:$A,'Controle de vagas'!K$15,ocupação!$N:$N,'Controle de vagas'!$B$4,ocupação!$O:$O,'Controle de vagas'!$B25)</f>
        <v>0</v>
      </c>
      <c r="L25" s="23">
        <f ca="1">SUMIFS(ocupação!$I:$I,ocupação!$A:$A,'Controle de vagas'!L$15,ocupação!$N:$N,'Controle de vagas'!$B$4,ocupação!$O:$O,'Controle de vagas'!$B25)</f>
        <v>0</v>
      </c>
      <c r="M25" s="23">
        <f ca="1">SUMIFS(ocupação!$I:$I,ocupação!$A:$A,'Controle de vagas'!M$15,ocupação!$N:$N,'Controle de vagas'!$B$4,ocupação!$O:$O,'Controle de vagas'!$B25)</f>
        <v>0</v>
      </c>
      <c r="N25" s="24">
        <f ca="1">SUMIFS(ocupação!$I:$I,ocupação!$A:$A,'Controle de vagas'!N$15,ocupação!$N:$N,'Controle de vagas'!$B$4,ocupação!$O:$O,'Controle de vagas'!$B25)</f>
        <v>0</v>
      </c>
      <c r="O25" s="24">
        <f ca="1">SUMIFS(ocupação!$I:$I,ocupação!$A:$A,'Controle de vagas'!O$15,ocupação!$N:$N,'Controle de vagas'!$B$4,ocupação!$O:$O,'Controle de vagas'!$B25)</f>
        <v>0</v>
      </c>
      <c r="P25" s="24">
        <f ca="1">SUMIFS(ocupação!$I:$I,ocupação!$A:$A,'Controle de vagas'!P$15,ocupação!$N:$N,'Controle de vagas'!$B$4,ocupação!$O:$O,'Controle de vagas'!$B25)</f>
        <v>0</v>
      </c>
      <c r="Q25" s="24">
        <f ca="1">SUMIFS(ocupação!$I:$I,ocupação!$A:$A,'Controle de vagas'!Q$15,ocupação!$N:$N,'Controle de vagas'!$B$4,ocupação!$O:$O,'Controle de vagas'!$B25)</f>
        <v>0</v>
      </c>
      <c r="R25" s="24">
        <f ca="1">SUMIFS(ocupação!$I:$I,ocupação!$A:$A,'Controle de vagas'!R$15,ocupação!$N:$N,'Controle de vagas'!$B$4,ocupação!$O:$O,'Controle de vagas'!$B25)</f>
        <v>0</v>
      </c>
      <c r="S25" s="24">
        <f ca="1">SUMIFS(ocupação!$I:$I,ocupação!$A:$A,'Controle de vagas'!S$15,ocupação!$N:$N,'Controle de vagas'!$B$4,ocupação!$O:$O,'Controle de vagas'!$B25)</f>
        <v>0</v>
      </c>
      <c r="T25" s="24">
        <f ca="1">SUMIFS(ocupação!$I:$I,ocupação!$A:$A,'Controle de vagas'!T$15,ocupação!$N:$N,'Controle de vagas'!$B$4,ocupação!$O:$O,'Controle de vagas'!$B25)</f>
        <v>0</v>
      </c>
      <c r="U25" s="24">
        <f ca="1">SUMIFS(ocupação!$I:$I,ocupação!$A:$A,'Controle de vagas'!U$15,ocupação!$N:$N,'Controle de vagas'!$B$4,ocupação!$O:$O,'Controle de vagas'!$B25)</f>
        <v>0</v>
      </c>
      <c r="V25" s="24">
        <f ca="1">SUMIFS(ocupação!$I:$I,ocupação!$A:$A,'Controle de vagas'!V$15,ocupação!$N:$N,'Controle de vagas'!$B$4,ocupação!$O:$O,'Controle de vagas'!$B25)</f>
        <v>0</v>
      </c>
      <c r="W25" s="24">
        <f ca="1">SUMIFS(ocupação!$I:$I,ocupação!$A:$A,'Controle de vagas'!W$15,ocupação!$N:$N,'Controle de vagas'!$B$4,ocupação!$O:$O,'Controle de vagas'!$B25)</f>
        <v>0</v>
      </c>
      <c r="X25" s="24">
        <f ca="1">SUMIFS(ocupação!$I:$I,ocupação!$A:$A,'Controle de vagas'!X$15,ocupação!$N:$N,'Controle de vagas'!$B$4,ocupação!$O:$O,'Controle de vagas'!$B25)</f>
        <v>0</v>
      </c>
      <c r="Y25" s="24">
        <f ca="1">SUMIFS(ocupação!$I:$I,ocupação!$A:$A,'Controle de vagas'!Y$15,ocupação!$N:$N,'Controle de vagas'!$B$4,ocupação!$O:$O,'Controle de vagas'!$B25)</f>
        <v>0</v>
      </c>
    </row>
    <row r="26" spans="2:25" ht="18.75" x14ac:dyDescent="0.25">
      <c r="B26" s="40" t="s">
        <v>20</v>
      </c>
      <c r="C26" s="18">
        <f ca="1">SUMIFS(ocupação!$I:$I,ocupação!$A:$A,'Controle de vagas'!C$15,ocupação!$N:$N,'Controle de vagas'!$B$4,ocupação!$O:$O,'Controle de vagas'!$B26)</f>
        <v>0</v>
      </c>
      <c r="D26" s="18">
        <f ca="1">SUMIFS(ocupação!$I:$I,ocupação!$A:$A,'Controle de vagas'!D$15,ocupação!$N:$N,'Controle de vagas'!$B$4,ocupação!$O:$O,'Controle de vagas'!$B26)</f>
        <v>0</v>
      </c>
      <c r="E26" s="18">
        <f ca="1">SUMIFS(ocupação!$I:$I,ocupação!$A:$A,'Controle de vagas'!E$15,ocupação!$N:$N,'Controle de vagas'!$B$4,ocupação!$O:$O,'Controle de vagas'!$B26)</f>
        <v>0</v>
      </c>
      <c r="F26" s="18">
        <f ca="1">SUMIFS(ocupação!$I:$I,ocupação!$A:$A,'Controle de vagas'!F$15,ocupação!$N:$N,'Controle de vagas'!$B$4,ocupação!$O:$O,'Controle de vagas'!$B26)</f>
        <v>0</v>
      </c>
      <c r="G26" s="18">
        <f ca="1">SUMIFS(ocupação!$I:$I,ocupação!$A:$A,'Controle de vagas'!G$15,ocupação!$N:$N,'Controle de vagas'!$B$4,ocupação!$O:$O,'Controle de vagas'!$B26)</f>
        <v>0</v>
      </c>
      <c r="H26" s="18">
        <f ca="1">SUMIFS(ocupação!$I:$I,ocupação!$A:$A,'Controle de vagas'!H$15,ocupação!$N:$N,'Controle de vagas'!$B$4,ocupação!$O:$O,'Controle de vagas'!$B26)</f>
        <v>0</v>
      </c>
      <c r="I26" s="18">
        <f ca="1">SUMIFS(ocupação!$I:$I,ocupação!$A:$A,'Controle de vagas'!I$15,ocupação!$N:$N,'Controle de vagas'!$B$4,ocupação!$O:$O,'Controle de vagas'!$B26)</f>
        <v>0</v>
      </c>
      <c r="J26" s="19">
        <f ca="1">SUMIFS(ocupação!$I:$I,ocupação!$A:$A,'Controle de vagas'!J$15,ocupação!$N:$N,'Controle de vagas'!$B$4,ocupação!$O:$O,'Controle de vagas'!$B26)</f>
        <v>0</v>
      </c>
      <c r="K26" s="19">
        <f ca="1">SUMIFS(ocupação!$I:$I,ocupação!$A:$A,'Controle de vagas'!K$15,ocupação!$N:$N,'Controle de vagas'!$B$4,ocupação!$O:$O,'Controle de vagas'!$B26)</f>
        <v>0</v>
      </c>
      <c r="L26" s="19">
        <f ca="1">SUMIFS(ocupação!$I:$I,ocupação!$A:$A,'Controle de vagas'!L$15,ocupação!$N:$N,'Controle de vagas'!$B$4,ocupação!$O:$O,'Controle de vagas'!$B26)</f>
        <v>0</v>
      </c>
      <c r="M26" s="19">
        <f ca="1">SUMIFS(ocupação!$I:$I,ocupação!$A:$A,'Controle de vagas'!M$15,ocupação!$N:$N,'Controle de vagas'!$B$4,ocupação!$O:$O,'Controle de vagas'!$B26)</f>
        <v>0</v>
      </c>
      <c r="N26" s="20">
        <f ca="1">SUMIFS(ocupação!$I:$I,ocupação!$A:$A,'Controle de vagas'!N$15,ocupação!$N:$N,'Controle de vagas'!$B$4,ocupação!$O:$O,'Controle de vagas'!$B26)</f>
        <v>0</v>
      </c>
      <c r="O26" s="20">
        <f ca="1">SUMIFS(ocupação!$I:$I,ocupação!$A:$A,'Controle de vagas'!O$15,ocupação!$N:$N,'Controle de vagas'!$B$4,ocupação!$O:$O,'Controle de vagas'!$B26)</f>
        <v>0</v>
      </c>
      <c r="P26" s="20">
        <f ca="1">SUMIFS(ocupação!$I:$I,ocupação!$A:$A,'Controle de vagas'!P$15,ocupação!$N:$N,'Controle de vagas'!$B$4,ocupação!$O:$O,'Controle de vagas'!$B26)</f>
        <v>0</v>
      </c>
      <c r="Q26" s="20">
        <f ca="1">SUMIFS(ocupação!$I:$I,ocupação!$A:$A,'Controle de vagas'!Q$15,ocupação!$N:$N,'Controle de vagas'!$B$4,ocupação!$O:$O,'Controle de vagas'!$B26)</f>
        <v>0</v>
      </c>
      <c r="R26" s="20">
        <f ca="1">SUMIFS(ocupação!$I:$I,ocupação!$A:$A,'Controle de vagas'!R$15,ocupação!$N:$N,'Controle de vagas'!$B$4,ocupação!$O:$O,'Controle de vagas'!$B26)</f>
        <v>0</v>
      </c>
      <c r="S26" s="20">
        <f ca="1">SUMIFS(ocupação!$I:$I,ocupação!$A:$A,'Controle de vagas'!S$15,ocupação!$N:$N,'Controle de vagas'!$B$4,ocupação!$O:$O,'Controle de vagas'!$B26)</f>
        <v>0</v>
      </c>
      <c r="T26" s="20">
        <f ca="1">SUMIFS(ocupação!$I:$I,ocupação!$A:$A,'Controle de vagas'!T$15,ocupação!$N:$N,'Controle de vagas'!$B$4,ocupação!$O:$O,'Controle de vagas'!$B26)</f>
        <v>0</v>
      </c>
      <c r="U26" s="20">
        <f ca="1">SUMIFS(ocupação!$I:$I,ocupação!$A:$A,'Controle de vagas'!U$15,ocupação!$N:$N,'Controle de vagas'!$B$4,ocupação!$O:$O,'Controle de vagas'!$B26)</f>
        <v>0</v>
      </c>
      <c r="V26" s="20">
        <f ca="1">SUMIFS(ocupação!$I:$I,ocupação!$A:$A,'Controle de vagas'!V$15,ocupação!$N:$N,'Controle de vagas'!$B$4,ocupação!$O:$O,'Controle de vagas'!$B26)</f>
        <v>0</v>
      </c>
      <c r="W26" s="20">
        <f ca="1">SUMIFS(ocupação!$I:$I,ocupação!$A:$A,'Controle de vagas'!W$15,ocupação!$N:$N,'Controle de vagas'!$B$4,ocupação!$O:$O,'Controle de vagas'!$B26)</f>
        <v>0</v>
      </c>
      <c r="X26" s="20">
        <f ca="1">SUMIFS(ocupação!$I:$I,ocupação!$A:$A,'Controle de vagas'!X$15,ocupação!$N:$N,'Controle de vagas'!$B$4,ocupação!$O:$O,'Controle de vagas'!$B26)</f>
        <v>0</v>
      </c>
      <c r="Y26" s="20">
        <f ca="1">SUMIFS(ocupação!$I:$I,ocupação!$A:$A,'Controle de vagas'!Y$15,ocupação!$N:$N,'Controle de vagas'!$B$4,ocupação!$O:$O,'Controle de vagas'!$B26)</f>
        <v>0</v>
      </c>
    </row>
    <row r="27" spans="2:25" ht="18.75" x14ac:dyDescent="0.25">
      <c r="B27" s="39" t="s">
        <v>47</v>
      </c>
      <c r="C27" s="22">
        <f ca="1">SUMIFS(ocupação!$I:$I,ocupação!$A:$A,'Controle de vagas'!C$15,ocupação!$N:$N,'Controle de vagas'!$B$4,ocupação!$O:$O,'Controle de vagas'!$B27)</f>
        <v>0</v>
      </c>
      <c r="D27" s="22">
        <f ca="1">SUMIFS(ocupação!$I:$I,ocupação!$A:$A,'Controle de vagas'!D$15,ocupação!$N:$N,'Controle de vagas'!$B$4,ocupação!$O:$O,'Controle de vagas'!$B27)</f>
        <v>0</v>
      </c>
      <c r="E27" s="22">
        <f ca="1">SUMIFS(ocupação!$I:$I,ocupação!$A:$A,'Controle de vagas'!E$15,ocupação!$N:$N,'Controle de vagas'!$B$4,ocupação!$O:$O,'Controle de vagas'!$B27)</f>
        <v>0</v>
      </c>
      <c r="F27" s="22">
        <f ca="1">SUMIFS(ocupação!$I:$I,ocupação!$A:$A,'Controle de vagas'!F$15,ocupação!$N:$N,'Controle de vagas'!$B$4,ocupação!$O:$O,'Controle de vagas'!$B27)</f>
        <v>0</v>
      </c>
      <c r="G27" s="22">
        <f ca="1">SUMIFS(ocupação!$I:$I,ocupação!$A:$A,'Controle de vagas'!G$15,ocupação!$N:$N,'Controle de vagas'!$B$4,ocupação!$O:$O,'Controle de vagas'!$B27)</f>
        <v>0</v>
      </c>
      <c r="H27" s="22">
        <f ca="1">SUMIFS(ocupação!$I:$I,ocupação!$A:$A,'Controle de vagas'!H$15,ocupação!$N:$N,'Controle de vagas'!$B$4,ocupação!$O:$O,'Controle de vagas'!$B27)</f>
        <v>0</v>
      </c>
      <c r="I27" s="22">
        <f ca="1">SUMIFS(ocupação!$I:$I,ocupação!$A:$A,'Controle de vagas'!I$15,ocupação!$N:$N,'Controle de vagas'!$B$4,ocupação!$O:$O,'Controle de vagas'!$B27)</f>
        <v>0</v>
      </c>
      <c r="J27" s="23">
        <f ca="1">SUMIFS(ocupação!$I:$I,ocupação!$A:$A,'Controle de vagas'!J$15,ocupação!$N:$N,'Controle de vagas'!$B$4,ocupação!$O:$O,'Controle de vagas'!$B27)</f>
        <v>0</v>
      </c>
      <c r="K27" s="23">
        <f ca="1">SUMIFS(ocupação!$I:$I,ocupação!$A:$A,'Controle de vagas'!K$15,ocupação!$N:$N,'Controle de vagas'!$B$4,ocupação!$O:$O,'Controle de vagas'!$B27)</f>
        <v>0</v>
      </c>
      <c r="L27" s="23">
        <f ca="1">SUMIFS(ocupação!$I:$I,ocupação!$A:$A,'Controle de vagas'!L$15,ocupação!$N:$N,'Controle de vagas'!$B$4,ocupação!$O:$O,'Controle de vagas'!$B27)</f>
        <v>0</v>
      </c>
      <c r="M27" s="23">
        <f ca="1">SUMIFS(ocupação!$I:$I,ocupação!$A:$A,'Controle de vagas'!M$15,ocupação!$N:$N,'Controle de vagas'!$B$4,ocupação!$O:$O,'Controle de vagas'!$B27)</f>
        <v>0</v>
      </c>
      <c r="N27" s="24">
        <f ca="1">SUMIFS(ocupação!$I:$I,ocupação!$A:$A,'Controle de vagas'!N$15,ocupação!$N:$N,'Controle de vagas'!$B$4,ocupação!$O:$O,'Controle de vagas'!$B27)</f>
        <v>11</v>
      </c>
      <c r="O27" s="24">
        <f ca="1">SUMIFS(ocupação!$I:$I,ocupação!$A:$A,'Controle de vagas'!O$15,ocupação!$N:$N,'Controle de vagas'!$B$4,ocupação!$O:$O,'Controle de vagas'!$B27)</f>
        <v>0</v>
      </c>
      <c r="P27" s="24">
        <f ca="1">SUMIFS(ocupação!$I:$I,ocupação!$A:$A,'Controle de vagas'!P$15,ocupação!$N:$N,'Controle de vagas'!$B$4,ocupação!$O:$O,'Controle de vagas'!$B27)</f>
        <v>0</v>
      </c>
      <c r="Q27" s="24">
        <f ca="1">SUMIFS(ocupação!$I:$I,ocupação!$A:$A,'Controle de vagas'!Q$15,ocupação!$N:$N,'Controle de vagas'!$B$4,ocupação!$O:$O,'Controle de vagas'!$B27)</f>
        <v>0</v>
      </c>
      <c r="R27" s="24">
        <f ca="1">SUMIFS(ocupação!$I:$I,ocupação!$A:$A,'Controle de vagas'!R$15,ocupação!$N:$N,'Controle de vagas'!$B$4,ocupação!$O:$O,'Controle de vagas'!$B27)</f>
        <v>0</v>
      </c>
      <c r="S27" s="24">
        <f ca="1">SUMIFS(ocupação!$I:$I,ocupação!$A:$A,'Controle de vagas'!S$15,ocupação!$N:$N,'Controle de vagas'!$B$4,ocupação!$O:$O,'Controle de vagas'!$B27)</f>
        <v>0</v>
      </c>
      <c r="T27" s="24">
        <f ca="1">SUMIFS(ocupação!$I:$I,ocupação!$A:$A,'Controle de vagas'!T$15,ocupação!$N:$N,'Controle de vagas'!$B$4,ocupação!$O:$O,'Controle de vagas'!$B27)</f>
        <v>0</v>
      </c>
      <c r="U27" s="24">
        <f ca="1">SUMIFS(ocupação!$I:$I,ocupação!$A:$A,'Controle de vagas'!U$15,ocupação!$N:$N,'Controle de vagas'!$B$4,ocupação!$O:$O,'Controle de vagas'!$B27)</f>
        <v>0</v>
      </c>
      <c r="V27" s="24">
        <f ca="1">SUMIFS(ocupação!$I:$I,ocupação!$A:$A,'Controle de vagas'!V$15,ocupação!$N:$N,'Controle de vagas'!$B$4,ocupação!$O:$O,'Controle de vagas'!$B27)</f>
        <v>0</v>
      </c>
      <c r="W27" s="24">
        <f ca="1">SUMIFS(ocupação!$I:$I,ocupação!$A:$A,'Controle de vagas'!W$15,ocupação!$N:$N,'Controle de vagas'!$B$4,ocupação!$O:$O,'Controle de vagas'!$B27)</f>
        <v>0</v>
      </c>
      <c r="X27" s="24">
        <f ca="1">SUMIFS(ocupação!$I:$I,ocupação!$A:$A,'Controle de vagas'!X$15,ocupação!$N:$N,'Controle de vagas'!$B$4,ocupação!$O:$O,'Controle de vagas'!$B27)</f>
        <v>0</v>
      </c>
      <c r="Y27" s="24">
        <f ca="1">SUMIFS(ocupação!$I:$I,ocupação!$A:$A,'Controle de vagas'!Y$15,ocupação!$N:$N,'Controle de vagas'!$B$4,ocupação!$O:$O,'Controle de vagas'!$B27)</f>
        <v>0</v>
      </c>
    </row>
    <row r="28" spans="2:25" ht="18.75" x14ac:dyDescent="0.25">
      <c r="B28" s="40" t="s">
        <v>23</v>
      </c>
      <c r="C28" s="18">
        <f ca="1">SUMIFS(ocupação!$I:$I,ocupação!$A:$A,'Controle de vagas'!C$15,ocupação!$N:$N,'Controle de vagas'!$B$4,ocupação!$O:$O,'Controle de vagas'!$B28)</f>
        <v>66</v>
      </c>
      <c r="D28" s="18">
        <f ca="1">SUMIFS(ocupação!$I:$I,ocupação!$A:$A,'Controle de vagas'!D$15,ocupação!$N:$N,'Controle de vagas'!$B$4,ocupação!$O:$O,'Controle de vagas'!$B28)</f>
        <v>42</v>
      </c>
      <c r="E28" s="18">
        <f ca="1">SUMIFS(ocupação!$I:$I,ocupação!$A:$A,'Controle de vagas'!E$15,ocupação!$N:$N,'Controle de vagas'!$B$4,ocupação!$O:$O,'Controle de vagas'!$B28)</f>
        <v>0</v>
      </c>
      <c r="F28" s="18">
        <f ca="1">SUMIFS(ocupação!$I:$I,ocupação!$A:$A,'Controle de vagas'!F$15,ocupação!$N:$N,'Controle de vagas'!$B$4,ocupação!$O:$O,'Controle de vagas'!$B28)</f>
        <v>66</v>
      </c>
      <c r="G28" s="18">
        <f ca="1">SUMIFS(ocupação!$I:$I,ocupação!$A:$A,'Controle de vagas'!G$15,ocupação!$N:$N,'Controle de vagas'!$B$4,ocupação!$O:$O,'Controle de vagas'!$B28)</f>
        <v>66</v>
      </c>
      <c r="H28" s="18">
        <f ca="1">SUMIFS(ocupação!$I:$I,ocupação!$A:$A,'Controle de vagas'!H$15,ocupação!$N:$N,'Controle de vagas'!$B$4,ocupação!$O:$O,'Controle de vagas'!$B28)</f>
        <v>66</v>
      </c>
      <c r="I28" s="18">
        <f ca="1">SUMIFS(ocupação!$I:$I,ocupação!$A:$A,'Controle de vagas'!I$15,ocupação!$N:$N,'Controle de vagas'!$B$4,ocupação!$O:$O,'Controle de vagas'!$B28)</f>
        <v>0</v>
      </c>
      <c r="J28" s="19">
        <f ca="1">SUMIFS(ocupação!$I:$I,ocupação!$A:$A,'Controle de vagas'!J$15,ocupação!$N:$N,'Controle de vagas'!$B$4,ocupação!$O:$O,'Controle de vagas'!$B28)</f>
        <v>66</v>
      </c>
      <c r="K28" s="19">
        <f ca="1">SUMIFS(ocupação!$I:$I,ocupação!$A:$A,'Controle de vagas'!K$15,ocupação!$N:$N,'Controle de vagas'!$B$4,ocupação!$O:$O,'Controle de vagas'!$B28)</f>
        <v>42</v>
      </c>
      <c r="L28" s="19">
        <f ca="1">SUMIFS(ocupação!$I:$I,ocupação!$A:$A,'Controle de vagas'!L$15,ocupação!$N:$N,'Controle de vagas'!$B$4,ocupação!$O:$O,'Controle de vagas'!$B28)</f>
        <v>0</v>
      </c>
      <c r="M28" s="19">
        <f ca="1">SUMIFS(ocupação!$I:$I,ocupação!$A:$A,'Controle de vagas'!M$15,ocupação!$N:$N,'Controle de vagas'!$B$4,ocupação!$O:$O,'Controle de vagas'!$B28)</f>
        <v>66</v>
      </c>
      <c r="N28" s="20">
        <f ca="1">SUMIFS(ocupação!$I:$I,ocupação!$A:$A,'Controle de vagas'!N$15,ocupação!$N:$N,'Controle de vagas'!$B$4,ocupação!$O:$O,'Controle de vagas'!$B28)</f>
        <v>66</v>
      </c>
      <c r="O28" s="20">
        <f ca="1">SUMIFS(ocupação!$I:$I,ocupação!$A:$A,'Controle de vagas'!O$15,ocupação!$N:$N,'Controle de vagas'!$B$4,ocupação!$O:$O,'Controle de vagas'!$B28)</f>
        <v>66</v>
      </c>
      <c r="P28" s="20">
        <f ca="1">SUMIFS(ocupação!$I:$I,ocupação!$A:$A,'Controle de vagas'!P$15,ocupação!$N:$N,'Controle de vagas'!$B$4,ocupação!$O:$O,'Controle de vagas'!$B28)</f>
        <v>0</v>
      </c>
      <c r="Q28" s="20">
        <f ca="1">SUMIFS(ocupação!$I:$I,ocupação!$A:$A,'Controle de vagas'!Q$15,ocupação!$N:$N,'Controle de vagas'!$B$4,ocupação!$O:$O,'Controle de vagas'!$B28)</f>
        <v>0</v>
      </c>
      <c r="R28" s="20">
        <f ca="1">SUMIFS(ocupação!$I:$I,ocupação!$A:$A,'Controle de vagas'!R$15,ocupação!$N:$N,'Controle de vagas'!$B$4,ocupação!$O:$O,'Controle de vagas'!$B28)</f>
        <v>0</v>
      </c>
      <c r="S28" s="20">
        <f ca="1">SUMIFS(ocupação!$I:$I,ocupação!$A:$A,'Controle de vagas'!S$15,ocupação!$N:$N,'Controle de vagas'!$B$4,ocupação!$O:$O,'Controle de vagas'!$B28)</f>
        <v>0</v>
      </c>
      <c r="T28" s="20">
        <f ca="1">SUMIFS(ocupação!$I:$I,ocupação!$A:$A,'Controle de vagas'!T$15,ocupação!$N:$N,'Controle de vagas'!$B$4,ocupação!$O:$O,'Controle de vagas'!$B28)</f>
        <v>0</v>
      </c>
      <c r="U28" s="20">
        <f ca="1">SUMIFS(ocupação!$I:$I,ocupação!$A:$A,'Controle de vagas'!U$15,ocupação!$N:$N,'Controle de vagas'!$B$4,ocupação!$O:$O,'Controle de vagas'!$B28)</f>
        <v>0</v>
      </c>
      <c r="V28" s="20">
        <f ca="1">SUMIFS(ocupação!$I:$I,ocupação!$A:$A,'Controle de vagas'!V$15,ocupação!$N:$N,'Controle de vagas'!$B$4,ocupação!$O:$O,'Controle de vagas'!$B28)</f>
        <v>0</v>
      </c>
      <c r="W28" s="20">
        <f ca="1">SUMIFS(ocupação!$I:$I,ocupação!$A:$A,'Controle de vagas'!W$15,ocupação!$N:$N,'Controle de vagas'!$B$4,ocupação!$O:$O,'Controle de vagas'!$B28)</f>
        <v>0</v>
      </c>
      <c r="X28" s="20">
        <f ca="1">SUMIFS(ocupação!$I:$I,ocupação!$A:$A,'Controle de vagas'!X$15,ocupação!$N:$N,'Controle de vagas'!$B$4,ocupação!$O:$O,'Controle de vagas'!$B28)</f>
        <v>0</v>
      </c>
      <c r="Y28" s="20">
        <f ca="1">SUMIFS(ocupação!$I:$I,ocupação!$A:$A,'Controle de vagas'!Y$15,ocupação!$N:$N,'Controle de vagas'!$B$4,ocupação!$O:$O,'Controle de vagas'!$B28)</f>
        <v>0</v>
      </c>
    </row>
    <row r="29" spans="2:25" ht="18.75" x14ac:dyDescent="0.3"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2:25" ht="18.75" x14ac:dyDescent="0.25">
      <c r="C30" s="10" t="str">
        <f ca="1">TEXT(WEEKDAY(C$15),"ddd")</f>
        <v>sex</v>
      </c>
      <c r="D30" s="10" t="str">
        <f t="shared" ref="D30:Y30" ca="1" si="2">TEXT(WEEKDAY(D$15),"ddd")</f>
        <v>sáb</v>
      </c>
      <c r="E30" s="10" t="str">
        <f t="shared" ca="1" si="2"/>
        <v>dom</v>
      </c>
      <c r="F30" s="10" t="str">
        <f t="shared" ca="1" si="2"/>
        <v>seg</v>
      </c>
      <c r="G30" s="10" t="str">
        <f t="shared" ca="1" si="2"/>
        <v>ter</v>
      </c>
      <c r="H30" s="10" t="str">
        <f t="shared" ca="1" si="2"/>
        <v>qua</v>
      </c>
      <c r="I30" s="10" t="str">
        <f t="shared" ca="1" si="2"/>
        <v>qui</v>
      </c>
      <c r="J30" s="11" t="str">
        <f t="shared" ca="1" si="2"/>
        <v>sex</v>
      </c>
      <c r="K30" s="11" t="str">
        <f t="shared" ca="1" si="2"/>
        <v>sáb</v>
      </c>
      <c r="L30" s="11" t="str">
        <f t="shared" ca="1" si="2"/>
        <v>dom</v>
      </c>
      <c r="M30" s="11" t="str">
        <f t="shared" ca="1" si="2"/>
        <v>seg</v>
      </c>
      <c r="N30" s="12" t="str">
        <f t="shared" ca="1" si="2"/>
        <v>ter</v>
      </c>
      <c r="O30" s="12" t="str">
        <f t="shared" ca="1" si="2"/>
        <v>qua</v>
      </c>
      <c r="P30" s="12" t="str">
        <f t="shared" ca="1" si="2"/>
        <v>qui</v>
      </c>
      <c r="Q30" s="12" t="str">
        <f t="shared" ca="1" si="2"/>
        <v>sex</v>
      </c>
      <c r="R30" s="12" t="str">
        <f t="shared" ca="1" si="2"/>
        <v>sáb</v>
      </c>
      <c r="S30" s="12" t="str">
        <f t="shared" ca="1" si="2"/>
        <v>dom</v>
      </c>
      <c r="T30" s="12" t="str">
        <f t="shared" ca="1" si="2"/>
        <v>seg</v>
      </c>
      <c r="U30" s="12" t="str">
        <f t="shared" ca="1" si="2"/>
        <v>ter</v>
      </c>
      <c r="V30" s="12" t="str">
        <f t="shared" ca="1" si="2"/>
        <v>qua</v>
      </c>
      <c r="W30" s="12" t="str">
        <f t="shared" ca="1" si="2"/>
        <v>qui</v>
      </c>
      <c r="X30" s="12" t="str">
        <f t="shared" ca="1" si="2"/>
        <v>sex</v>
      </c>
      <c r="Y30" s="12" t="str">
        <f t="shared" ca="1" si="2"/>
        <v>sáb</v>
      </c>
    </row>
    <row r="31" spans="2:25" ht="18.75" x14ac:dyDescent="0.25">
      <c r="B31" s="13" t="s">
        <v>48</v>
      </c>
      <c r="C31" s="14">
        <f ca="1">$B$3</f>
        <v>44743</v>
      </c>
      <c r="D31" s="14">
        <f t="shared" ref="D31:Y31" ca="1" si="3">C31+1</f>
        <v>44744</v>
      </c>
      <c r="E31" s="14">
        <f t="shared" ca="1" si="3"/>
        <v>44745</v>
      </c>
      <c r="F31" s="14">
        <f t="shared" ca="1" si="3"/>
        <v>44746</v>
      </c>
      <c r="G31" s="14">
        <f t="shared" ca="1" si="3"/>
        <v>44747</v>
      </c>
      <c r="H31" s="14">
        <f t="shared" ca="1" si="3"/>
        <v>44748</v>
      </c>
      <c r="I31" s="14">
        <f t="shared" ca="1" si="3"/>
        <v>44749</v>
      </c>
      <c r="J31" s="15">
        <f t="shared" ca="1" si="3"/>
        <v>44750</v>
      </c>
      <c r="K31" s="15">
        <f t="shared" ca="1" si="3"/>
        <v>44751</v>
      </c>
      <c r="L31" s="15">
        <f t="shared" ca="1" si="3"/>
        <v>44752</v>
      </c>
      <c r="M31" s="15">
        <f t="shared" ca="1" si="3"/>
        <v>44753</v>
      </c>
      <c r="N31" s="16">
        <f t="shared" ca="1" si="3"/>
        <v>44754</v>
      </c>
      <c r="O31" s="16">
        <f t="shared" ca="1" si="3"/>
        <v>44755</v>
      </c>
      <c r="P31" s="16">
        <f t="shared" ca="1" si="3"/>
        <v>44756</v>
      </c>
      <c r="Q31" s="16">
        <f t="shared" ca="1" si="3"/>
        <v>44757</v>
      </c>
      <c r="R31" s="16">
        <f t="shared" ca="1" si="3"/>
        <v>44758</v>
      </c>
      <c r="S31" s="16">
        <f t="shared" ca="1" si="3"/>
        <v>44759</v>
      </c>
      <c r="T31" s="16">
        <f t="shared" ca="1" si="3"/>
        <v>44760</v>
      </c>
      <c r="U31" s="16">
        <f t="shared" ca="1" si="3"/>
        <v>44761</v>
      </c>
      <c r="V31" s="16">
        <f t="shared" ca="1" si="3"/>
        <v>44762</v>
      </c>
      <c r="W31" s="16">
        <f t="shared" ca="1" si="3"/>
        <v>44763</v>
      </c>
      <c r="X31" s="16">
        <f t="shared" ca="1" si="3"/>
        <v>44764</v>
      </c>
      <c r="Y31" s="16">
        <f t="shared" ca="1" si="3"/>
        <v>44765</v>
      </c>
    </row>
    <row r="32" spans="2:25" ht="18.75" x14ac:dyDescent="0.25">
      <c r="B32" s="46" t="s">
        <v>49</v>
      </c>
      <c r="C32" s="18">
        <v>55</v>
      </c>
      <c r="D32" s="18">
        <v>22</v>
      </c>
      <c r="E32" s="18">
        <f ca="1">SUMIFS(ocupação!$I:$I,ocupação!$A:$A,'Controle de vagas'!E$31,ocupação!$N:$N,'Controle de vagas'!$B$4,ocupação!$O:$O,'Controle de vagas'!$B32)</f>
        <v>0</v>
      </c>
      <c r="F32" s="18">
        <v>48</v>
      </c>
      <c r="G32" s="18">
        <f ca="1">SUMIFS(ocupação!$I:$I,ocupação!$A:$A,'Controle de vagas'!G$31,ocupação!$N:$N,'Controle de vagas'!$B$4,ocupação!$O:$O,'Controle de vagas'!$B32)</f>
        <v>15</v>
      </c>
      <c r="H32" s="18">
        <f ca="1">SUMIFS(ocupação!$I:$I,ocupação!$A:$A,'Controle de vagas'!H$31,ocupação!$N:$N,'Controle de vagas'!$B$4,ocupação!$O:$O,'Controle de vagas'!$B32)</f>
        <v>0</v>
      </c>
      <c r="I32" s="18">
        <v>79</v>
      </c>
      <c r="J32" s="19">
        <v>94</v>
      </c>
      <c r="K32" s="19">
        <f ca="1">SUMIFS(ocupação!$I:$I,ocupação!$A:$A,'Controle de vagas'!K$31,ocupação!$N:$N,'Controle de vagas'!$B$4,ocupação!$O:$O,'Controle de vagas'!$B32)</f>
        <v>0</v>
      </c>
      <c r="L32" s="19">
        <f ca="1">SUMIFS(ocupação!$I:$I,ocupação!$A:$A,'Controle de vagas'!L$31,ocupação!$N:$N,'Controle de vagas'!$B$4,ocupação!$O:$O,'Controle de vagas'!$B32)</f>
        <v>0</v>
      </c>
      <c r="M32" s="19">
        <v>117</v>
      </c>
      <c r="N32" s="20">
        <f ca="1">SUMIFS(ocupação!$I:$I,ocupação!$A:$A,'Controle de vagas'!N$31,ocupação!$N:$N,'Controle de vagas'!$B$4,ocupação!$O:$O,'Controle de vagas'!$B32)</f>
        <v>15</v>
      </c>
      <c r="O32" s="20">
        <f ca="1">SUMIFS(ocupação!$I:$I,ocupação!$A:$A,'Controle de vagas'!O$31,ocupação!$N:$N,'Controle de vagas'!$B$4,ocupação!$O:$O,'Controle de vagas'!$B32)</f>
        <v>0</v>
      </c>
      <c r="P32" s="20">
        <v>108</v>
      </c>
      <c r="Q32" s="20">
        <v>103</v>
      </c>
      <c r="R32" s="20">
        <f ca="1">SUMIFS(ocupação!$I:$I,ocupação!$A:$A,'Controle de vagas'!R$31,ocupação!$N:$N,'Controle de vagas'!$B$4,ocupação!$O:$O,'Controle de vagas'!$B32)</f>
        <v>0</v>
      </c>
      <c r="S32" s="20">
        <v>61</v>
      </c>
      <c r="T32" s="20">
        <f ca="1">SUMIFS(ocupação!$I:$I,ocupação!$A:$A,'Controle de vagas'!T$31,ocupação!$N:$N,'Controle de vagas'!$B$4,ocupação!$O:$O,'Controle de vagas'!$B32)</f>
        <v>0</v>
      </c>
      <c r="U32" s="20">
        <f ca="1">SUMIFS(ocupação!$I:$I,ocupação!$A:$A,'Controle de vagas'!U$31,ocupação!$N:$N,'Controle de vagas'!$B$4,ocupação!$O:$O,'Controle de vagas'!$B32)</f>
        <v>0</v>
      </c>
      <c r="V32" s="20">
        <f ca="1">SUMIFS(ocupação!$I:$I,ocupação!$A:$A,'Controle de vagas'!V$31,ocupação!$N:$N,'Controle de vagas'!$B$4,ocupação!$O:$O,'Controle de vagas'!$B32)</f>
        <v>0</v>
      </c>
      <c r="W32" s="20">
        <f ca="1">SUMIFS(ocupação!$I:$I,ocupação!$A:$A,'Controle de vagas'!W$31,ocupação!$N:$N,'Controle de vagas'!$B$4,ocupação!$O:$O,'Controle de vagas'!$B32)</f>
        <v>0</v>
      </c>
      <c r="X32" s="20">
        <v>105</v>
      </c>
      <c r="Y32" s="20">
        <f ca="1">SUMIFS(ocupação!$I:$I,ocupação!$A:$A,'Controle de vagas'!Y$31,ocupação!$N:$N,'Controle de vagas'!$B$4,ocupação!$O:$O,'Controle de vagas'!$B32)</f>
        <v>0</v>
      </c>
    </row>
    <row r="33" spans="2:25" ht="18.75" x14ac:dyDescent="0.25">
      <c r="B33" s="39" t="s">
        <v>50</v>
      </c>
      <c r="C33" s="22">
        <f ca="1">SUMIFS(ocupação!$I:$I,ocupação!$A:$A,'Controle de vagas'!C$31,ocupação!$N:$N,'Controle de vagas'!$B$4,ocupação!$O:$O,'Controle de vagas'!$B33)</f>
        <v>0</v>
      </c>
      <c r="D33" s="22">
        <f ca="1">SUMIFS(ocupação!$I:$I,ocupação!$A:$A,'Controle de vagas'!D$31,ocupação!$N:$N,'Controle de vagas'!$B$4,ocupação!$O:$O,'Controle de vagas'!$B33)</f>
        <v>0</v>
      </c>
      <c r="E33" s="22">
        <f ca="1">SUMIFS(ocupação!$I:$I,ocupação!$A:$A,'Controle de vagas'!E$31,ocupação!$N:$N,'Controle de vagas'!$B$4,ocupação!$O:$O,'Controle de vagas'!$B33)</f>
        <v>0</v>
      </c>
      <c r="F33" s="22">
        <f ca="1">SUMIFS(ocupação!$I:$I,ocupação!$A:$A,'Controle de vagas'!F$31,ocupação!$N:$N,'Controle de vagas'!$B$4,ocupação!$O:$O,'Controle de vagas'!$B33)</f>
        <v>0</v>
      </c>
      <c r="G33" s="22">
        <f ca="1">SUMIFS(ocupação!$I:$I,ocupação!$A:$A,'Controle de vagas'!G$31,ocupação!$N:$N,'Controle de vagas'!$B$4,ocupação!$O:$O,'Controle de vagas'!$B33)</f>
        <v>0</v>
      </c>
      <c r="H33" s="22">
        <f ca="1">SUMIFS(ocupação!$I:$I,ocupação!$A:$A,'Controle de vagas'!H$31,ocupação!$N:$N,'Controle de vagas'!$B$4,ocupação!$O:$O,'Controle de vagas'!$B33)</f>
        <v>0</v>
      </c>
      <c r="I33" s="22">
        <f ca="1">SUMIFS(ocupação!$I:$I,ocupação!$A:$A,'Controle de vagas'!I$31,ocupação!$N:$N,'Controle de vagas'!$B$4,ocupação!$O:$O,'Controle de vagas'!$B33)</f>
        <v>0</v>
      </c>
      <c r="J33" s="23">
        <f ca="1">SUMIFS(ocupação!$I:$I,ocupação!$A:$A,'Controle de vagas'!J$31,ocupação!$N:$N,'Controle de vagas'!$B$4,ocupação!$O:$O,'Controle de vagas'!$B33)</f>
        <v>0</v>
      </c>
      <c r="K33" s="23">
        <f ca="1">SUMIFS(ocupação!$I:$I,ocupação!$A:$A,'Controle de vagas'!K$31,ocupação!$N:$N,'Controle de vagas'!$B$4,ocupação!$O:$O,'Controle de vagas'!$B33)</f>
        <v>0</v>
      </c>
      <c r="L33" s="23">
        <f ca="1">SUMIFS(ocupação!$I:$I,ocupação!$A:$A,'Controle de vagas'!L$31,ocupação!$N:$N,'Controle de vagas'!$B$4,ocupação!$O:$O,'Controle de vagas'!$B33)</f>
        <v>0</v>
      </c>
      <c r="M33" s="23">
        <f ca="1">SUMIFS(ocupação!$I:$I,ocupação!$A:$A,'Controle de vagas'!M$31,ocupação!$N:$N,'Controle de vagas'!$B$4,ocupação!$O:$O,'Controle de vagas'!$B33)</f>
        <v>0</v>
      </c>
      <c r="N33" s="24">
        <f ca="1">SUMIFS(ocupação!$I:$I,ocupação!$A:$A,'Controle de vagas'!N$31,ocupação!$N:$N,'Controle de vagas'!$B$4,ocupação!$O:$O,'Controle de vagas'!$B33)</f>
        <v>0</v>
      </c>
      <c r="O33" s="24">
        <f ca="1">SUMIFS(ocupação!$I:$I,ocupação!$A:$A,'Controle de vagas'!O$31,ocupação!$N:$N,'Controle de vagas'!$B$4,ocupação!$O:$O,'Controle de vagas'!$B33)</f>
        <v>0</v>
      </c>
      <c r="P33" s="24">
        <f ca="1">SUMIFS(ocupação!$I:$I,ocupação!$A:$A,'Controle de vagas'!P$31,ocupação!$N:$N,'Controle de vagas'!$B$4,ocupação!$O:$O,'Controle de vagas'!$B33)</f>
        <v>0</v>
      </c>
      <c r="Q33" s="24">
        <f ca="1">SUMIFS(ocupação!$I:$I,ocupação!$A:$A,'Controle de vagas'!Q$31,ocupação!$N:$N,'Controle de vagas'!$B$4,ocupação!$O:$O,'Controle de vagas'!$B33)</f>
        <v>0</v>
      </c>
      <c r="R33" s="24">
        <f ca="1">SUMIFS(ocupação!$I:$I,ocupação!$A:$A,'Controle de vagas'!R$31,ocupação!$N:$N,'Controle de vagas'!$B$4,ocupação!$O:$O,'Controle de vagas'!$B33)</f>
        <v>0</v>
      </c>
      <c r="S33" s="24">
        <f ca="1">SUMIFS(ocupação!$I:$I,ocupação!$A:$A,'Controle de vagas'!S$31,ocupação!$N:$N,'Controle de vagas'!$B$4,ocupação!$O:$O,'Controle de vagas'!$B33)</f>
        <v>0</v>
      </c>
      <c r="T33" s="24">
        <f ca="1">SUMIFS(ocupação!$I:$I,ocupação!$A:$A,'Controle de vagas'!T$31,ocupação!$N:$N,'Controle de vagas'!$B$4,ocupação!$O:$O,'Controle de vagas'!$B33)</f>
        <v>0</v>
      </c>
      <c r="U33" s="24">
        <f ca="1">SUMIFS(ocupação!$I:$I,ocupação!$A:$A,'Controle de vagas'!U$31,ocupação!$N:$N,'Controle de vagas'!$B$4,ocupação!$O:$O,'Controle de vagas'!$B33)</f>
        <v>0</v>
      </c>
      <c r="V33" s="24">
        <f ca="1">SUMIFS(ocupação!$I:$I,ocupação!$A:$A,'Controle de vagas'!V$31,ocupação!$N:$N,'Controle de vagas'!$B$4,ocupação!$O:$O,'Controle de vagas'!$B33)</f>
        <v>0</v>
      </c>
      <c r="W33" s="24">
        <f ca="1">SUMIFS(ocupação!$I:$I,ocupação!$A:$A,'Controle de vagas'!W$31,ocupação!$N:$N,'Controle de vagas'!$B$4,ocupação!$O:$O,'Controle de vagas'!$B33)</f>
        <v>0</v>
      </c>
      <c r="X33" s="24">
        <f ca="1">SUMIFS(ocupação!$I:$I,ocupação!$A:$A,'Controle de vagas'!X$31,ocupação!$N:$N,'Controle de vagas'!$B$4,ocupação!$O:$O,'Controle de vagas'!$B33)</f>
        <v>0</v>
      </c>
      <c r="Y33" s="24">
        <f ca="1">SUMIFS(ocupação!$I:$I,ocupação!$A:$A,'Controle de vagas'!Y$31,ocupação!$N:$N,'Controle de vagas'!$B$4,ocupação!$O:$O,'Controle de vagas'!$B33)</f>
        <v>0</v>
      </c>
    </row>
    <row r="34" spans="2:25" ht="18.75" x14ac:dyDescent="0.25">
      <c r="B34" s="46" t="s">
        <v>51</v>
      </c>
      <c r="C34" s="18">
        <f ca="1">SUMIFS(ocupação!$I:$I,ocupação!$A:$A,'Controle de vagas'!C$31,ocupação!$N:$N,'Controle de vagas'!$B$4,ocupação!$O:$O,'Controle de vagas'!$B34)</f>
        <v>0</v>
      </c>
      <c r="D34" s="18">
        <v>29</v>
      </c>
      <c r="E34" s="18">
        <v>11</v>
      </c>
      <c r="F34" s="18">
        <f ca="1">SUMIFS(ocupação!$I:$I,ocupação!$A:$A,'Controle de vagas'!F$31,ocupação!$N:$N,'Controle de vagas'!$B$4,ocupação!$O:$O,'Controle de vagas'!$B34)</f>
        <v>0</v>
      </c>
      <c r="G34" s="18">
        <f ca="1">SUMIFS(ocupação!$I:$I,ocupação!$A:$A,'Controle de vagas'!G$31,ocupação!$N:$N,'Controle de vagas'!$B$4,ocupação!$O:$O,'Controle de vagas'!$B34)</f>
        <v>0</v>
      </c>
      <c r="H34" s="18">
        <f ca="1">SUMIFS(ocupação!$I:$I,ocupação!$A:$A,'Controle de vagas'!H$31,ocupação!$N:$N,'Controle de vagas'!$B$4,ocupação!$O:$O,'Controle de vagas'!$B34)</f>
        <v>0</v>
      </c>
      <c r="I34" s="18">
        <f ca="1">SUMIFS(ocupação!$I:$I,ocupação!$A:$A,'Controle de vagas'!I$31,ocupação!$N:$N,'Controle de vagas'!$B$4,ocupação!$O:$O,'Controle de vagas'!$B34)</f>
        <v>0</v>
      </c>
      <c r="J34" s="19">
        <f ca="1">SUMIFS(ocupação!$I:$I,ocupação!$A:$A,'Controle de vagas'!J$31,ocupação!$N:$N,'Controle de vagas'!$B$4,ocupação!$O:$O,'Controle de vagas'!$B34)</f>
        <v>0</v>
      </c>
      <c r="K34" s="19">
        <f ca="1">SUMIFS(ocupação!$I:$I,ocupação!$A:$A,'Controle de vagas'!K$31,ocupação!$N:$N,'Controle de vagas'!$B$4,ocupação!$O:$O,'Controle de vagas'!$B34)</f>
        <v>0</v>
      </c>
      <c r="L34" s="19">
        <v>30</v>
      </c>
      <c r="M34" s="19">
        <f ca="1">SUMIFS(ocupação!$I:$I,ocupação!$A:$A,'Controle de vagas'!M$31,ocupação!$N:$N,'Controle de vagas'!$B$4,ocupação!$O:$O,'Controle de vagas'!$B34)</f>
        <v>0</v>
      </c>
      <c r="N34" s="20">
        <f ca="1">SUMIFS(ocupação!$I:$I,ocupação!$A:$A,'Controle de vagas'!N$31,ocupação!$N:$N,'Controle de vagas'!$B$4,ocupação!$O:$O,'Controle de vagas'!$B34)</f>
        <v>0</v>
      </c>
      <c r="O34" s="20">
        <f ca="1">SUMIFS(ocupação!$I:$I,ocupação!$A:$A,'Controle de vagas'!O$31,ocupação!$N:$N,'Controle de vagas'!$B$4,ocupação!$O:$O,'Controle de vagas'!$B34)</f>
        <v>0</v>
      </c>
      <c r="P34" s="20">
        <f ca="1">SUMIFS(ocupação!$I:$I,ocupação!$A:$A,'Controle de vagas'!P$31,ocupação!$N:$N,'Controle de vagas'!$B$4,ocupação!$O:$O,'Controle de vagas'!$B34)</f>
        <v>0</v>
      </c>
      <c r="Q34" s="20">
        <f ca="1">SUMIFS(ocupação!$I:$I,ocupação!$A:$A,'Controle de vagas'!Q$31,ocupação!$N:$N,'Controle de vagas'!$B$4,ocupação!$O:$O,'Controle de vagas'!$B34)</f>
        <v>0</v>
      </c>
      <c r="R34" s="20">
        <f ca="1">SUMIFS(ocupação!$I:$I,ocupação!$A:$A,'Controle de vagas'!R$31,ocupação!$N:$N,'Controle de vagas'!$B$4,ocupação!$O:$O,'Controle de vagas'!$B34)</f>
        <v>0</v>
      </c>
      <c r="S34" s="20">
        <f ca="1">SUMIFS(ocupação!$I:$I,ocupação!$A:$A,'Controle de vagas'!S$31,ocupação!$N:$N,'Controle de vagas'!$B$4,ocupação!$O:$O,'Controle de vagas'!$B34)</f>
        <v>0</v>
      </c>
      <c r="T34" s="20">
        <f ca="1">SUMIFS(ocupação!$I:$I,ocupação!$A:$A,'Controle de vagas'!T$31,ocupação!$N:$N,'Controle de vagas'!$B$4,ocupação!$O:$O,'Controle de vagas'!$B34)</f>
        <v>0</v>
      </c>
      <c r="U34" s="20">
        <f ca="1">SUMIFS(ocupação!$I:$I,ocupação!$A:$A,'Controle de vagas'!U$31,ocupação!$N:$N,'Controle de vagas'!$B$4,ocupação!$O:$O,'Controle de vagas'!$B34)</f>
        <v>0</v>
      </c>
      <c r="V34" s="20">
        <f ca="1">SUMIFS(ocupação!$I:$I,ocupação!$A:$A,'Controle de vagas'!V$31,ocupação!$N:$N,'Controle de vagas'!$B$4,ocupação!$O:$O,'Controle de vagas'!$B34)</f>
        <v>0</v>
      </c>
      <c r="W34" s="20">
        <f ca="1">SUMIFS(ocupação!$I:$I,ocupação!$A:$A,'Controle de vagas'!W$31,ocupação!$N:$N,'Controle de vagas'!$B$4,ocupação!$O:$O,'Controle de vagas'!$B34)</f>
        <v>0</v>
      </c>
      <c r="X34" s="20">
        <f ca="1">SUMIFS(ocupação!$I:$I,ocupação!$A:$A,'Controle de vagas'!X$31,ocupação!$N:$N,'Controle de vagas'!$B$4,ocupação!$O:$O,'Controle de vagas'!$B34)</f>
        <v>0</v>
      </c>
      <c r="Y34" s="20">
        <f ca="1">SUMIFS(ocupação!$I:$I,ocupação!$A:$A,'Controle de vagas'!Y$31,ocupação!$N:$N,'Controle de vagas'!$B$4,ocupação!$O:$O,'Controle de vagas'!$B34)</f>
        <v>0</v>
      </c>
    </row>
    <row r="35" spans="2:25" ht="18.75" x14ac:dyDescent="0.25">
      <c r="B35" s="47" t="s">
        <v>52</v>
      </c>
      <c r="C35" s="22">
        <f ca="1">SUMIFS(ocupação!$I:$I,ocupação!$A:$A,'Controle de vagas'!C$31,ocupação!$N:$N,'Controle de vagas'!$B$4,ocupação!$O:$O,'Controle de vagas'!$B35)</f>
        <v>0</v>
      </c>
      <c r="D35" s="22">
        <f ca="1">SUMIFS(ocupação!$I:$I,ocupação!$A:$A,'Controle de vagas'!D$31,ocupação!$N:$N,'Controle de vagas'!$B$4,ocupação!$O:$O,'Controle de vagas'!$B35)</f>
        <v>0</v>
      </c>
      <c r="E35" s="22">
        <f ca="1">SUMIFS(ocupação!$I:$I,ocupação!$A:$A,'Controle de vagas'!E$31,ocupação!$N:$N,'Controle de vagas'!$B$4,ocupação!$O:$O,'Controle de vagas'!$B35)</f>
        <v>0</v>
      </c>
      <c r="F35" s="49" t="s">
        <v>801</v>
      </c>
      <c r="G35" s="22">
        <f ca="1">SUMIFS(ocupação!$I:$I,ocupação!$A:$A,'Controle de vagas'!G$31,ocupação!$N:$N,'Controle de vagas'!$B$4,ocupação!$O:$O,'Controle de vagas'!$B35)</f>
        <v>0</v>
      </c>
      <c r="H35" s="22">
        <f ca="1">SUMIFS(ocupação!$I:$I,ocupação!$A:$A,'Controle de vagas'!H$31,ocupação!$N:$N,'Controle de vagas'!$B$4,ocupação!$O:$O,'Controle de vagas'!$B35)</f>
        <v>0</v>
      </c>
      <c r="I35" s="22">
        <f ca="1">SUMIFS(ocupação!$I:$I,ocupação!$A:$A,'Controle de vagas'!I$31,ocupação!$N:$N,'Controle de vagas'!$B$4,ocupação!$O:$O,'Controle de vagas'!$B35)</f>
        <v>0</v>
      </c>
      <c r="J35" s="23">
        <f ca="1">SUMIFS(ocupação!$I:$I,ocupação!$A:$A,'Controle de vagas'!J$31,ocupação!$N:$N,'Controle de vagas'!$B$4,ocupação!$O:$O,'Controle de vagas'!$B35)</f>
        <v>0</v>
      </c>
      <c r="K35" s="23">
        <f ca="1">SUMIFS(ocupação!$I:$I,ocupação!$A:$A,'Controle de vagas'!K$31,ocupação!$N:$N,'Controle de vagas'!$B$4,ocupação!$O:$O,'Controle de vagas'!$B35)</f>
        <v>0</v>
      </c>
      <c r="L35" s="23">
        <f ca="1">SUMIFS(ocupação!$I:$I,ocupação!$A:$A,'Controle de vagas'!L$31,ocupação!$N:$N,'Controle de vagas'!$B$4,ocupação!$O:$O,'Controle de vagas'!$B35)</f>
        <v>0</v>
      </c>
      <c r="M35" s="48" t="s">
        <v>801</v>
      </c>
      <c r="N35" s="24">
        <f ca="1">SUMIFS(ocupação!$I:$I,ocupação!$A:$A,'Controle de vagas'!N$31,ocupação!$N:$N,'Controle de vagas'!$B$4,ocupação!$O:$O,'Controle de vagas'!$B35)</f>
        <v>0</v>
      </c>
      <c r="O35" s="24">
        <f ca="1">SUMIFS(ocupação!$I:$I,ocupação!$A:$A,'Controle de vagas'!O$31,ocupação!$N:$N,'Controle de vagas'!$B$4,ocupação!$O:$O,'Controle de vagas'!$B35)</f>
        <v>0</v>
      </c>
      <c r="P35" s="24">
        <f ca="1">SUMIFS(ocupação!$I:$I,ocupação!$A:$A,'Controle de vagas'!P$31,ocupação!$N:$N,'Controle de vagas'!$B$4,ocupação!$O:$O,'Controle de vagas'!$B35)</f>
        <v>0</v>
      </c>
      <c r="Q35" s="24">
        <f ca="1">SUMIFS(ocupação!$I:$I,ocupação!$A:$A,'Controle de vagas'!Q$31,ocupação!$N:$N,'Controle de vagas'!$B$4,ocupação!$O:$O,'Controle de vagas'!$B35)</f>
        <v>0</v>
      </c>
      <c r="R35" s="24">
        <f ca="1">SUMIFS(ocupação!$I:$I,ocupação!$A:$A,'Controle de vagas'!R$31,ocupação!$N:$N,'Controle de vagas'!$B$4,ocupação!$O:$O,'Controle de vagas'!$B35)</f>
        <v>0</v>
      </c>
      <c r="S35" s="24">
        <v>43</v>
      </c>
      <c r="T35" s="24">
        <f ca="1">SUMIFS(ocupação!$I:$I,ocupação!$A:$A,'Controle de vagas'!T$31,ocupação!$N:$N,'Controle de vagas'!$B$4,ocupação!$O:$O,'Controle de vagas'!$B35)</f>
        <v>0</v>
      </c>
      <c r="U35" s="24">
        <f ca="1">SUMIFS(ocupação!$I:$I,ocupação!$A:$A,'Controle de vagas'!U$31,ocupação!$N:$N,'Controle de vagas'!$B$4,ocupação!$O:$O,'Controle de vagas'!$B35)</f>
        <v>0</v>
      </c>
      <c r="V35" s="24">
        <f ca="1">SUMIFS(ocupação!$I:$I,ocupação!$A:$A,'Controle de vagas'!V$31,ocupação!$N:$N,'Controle de vagas'!$B$4,ocupação!$O:$O,'Controle de vagas'!$B35)</f>
        <v>0</v>
      </c>
      <c r="W35" s="24">
        <f ca="1">SUMIFS(ocupação!$I:$I,ocupação!$A:$A,'Controle de vagas'!W$31,ocupação!$N:$N,'Controle de vagas'!$B$4,ocupação!$O:$O,'Controle de vagas'!$B35)</f>
        <v>0</v>
      </c>
      <c r="X35" s="24">
        <v>41</v>
      </c>
      <c r="Y35" s="24">
        <f ca="1">SUMIFS(ocupação!$I:$I,ocupação!$A:$A,'Controle de vagas'!Y$31,ocupação!$N:$N,'Controle de vagas'!$B$4,ocupação!$O:$O,'Controle de vagas'!$B35)</f>
        <v>0</v>
      </c>
    </row>
    <row r="36" spans="2:25" ht="18.75" x14ac:dyDescent="0.25">
      <c r="B36" s="40" t="s">
        <v>53</v>
      </c>
      <c r="C36" s="18">
        <f ca="1">SUMIFS(ocupação!$I:$I,ocupação!$A:$A,'Controle de vagas'!C$31,ocupação!$N:$N,'Controle de vagas'!$B$4,ocupação!$O:$O,'Controle de vagas'!$B36)</f>
        <v>0</v>
      </c>
      <c r="D36" s="18">
        <f ca="1">SUMIFS(ocupação!$I:$I,ocupação!$A:$A,'Controle de vagas'!D$31,ocupação!$N:$N,'Controle de vagas'!$B$4,ocupação!$O:$O,'Controle de vagas'!$B36)</f>
        <v>0</v>
      </c>
      <c r="E36" s="18">
        <f ca="1">SUMIFS(ocupação!$I:$I,ocupação!$A:$A,'Controle de vagas'!E$31,ocupação!$N:$N,'Controle de vagas'!$B$4,ocupação!$O:$O,'Controle de vagas'!$B36)</f>
        <v>0</v>
      </c>
      <c r="F36" s="18">
        <f ca="1">SUMIFS(ocupação!$I:$I,ocupação!$A:$A,'Controle de vagas'!F$31,ocupação!$N:$N,'Controle de vagas'!$B$4,ocupação!$O:$O,'Controle de vagas'!$B36)</f>
        <v>0</v>
      </c>
      <c r="G36" s="18">
        <f ca="1">SUMIFS(ocupação!$I:$I,ocupação!$A:$A,'Controle de vagas'!G$31,ocupação!$N:$N,'Controle de vagas'!$B$4,ocupação!$O:$O,'Controle de vagas'!$B36)</f>
        <v>0</v>
      </c>
      <c r="H36" s="18">
        <f ca="1">SUMIFS(ocupação!$I:$I,ocupação!$A:$A,'Controle de vagas'!H$31,ocupação!$N:$N,'Controle de vagas'!$B$4,ocupação!$O:$O,'Controle de vagas'!$B36)</f>
        <v>0</v>
      </c>
      <c r="I36" s="18">
        <f ca="1">SUMIFS(ocupação!$I:$I,ocupação!$A:$A,'Controle de vagas'!I$31,ocupação!$N:$N,'Controle de vagas'!$B$4,ocupação!$O:$O,'Controle de vagas'!$B36)</f>
        <v>0</v>
      </c>
      <c r="J36" s="19">
        <f ca="1">SUMIFS(ocupação!$I:$I,ocupação!$A:$A,'Controle de vagas'!J$31,ocupação!$N:$N,'Controle de vagas'!$B$4,ocupação!$O:$O,'Controle de vagas'!$B36)</f>
        <v>0</v>
      </c>
      <c r="K36" s="19">
        <f ca="1">SUMIFS(ocupação!$I:$I,ocupação!$A:$A,'Controle de vagas'!K$31,ocupação!$N:$N,'Controle de vagas'!$B$4,ocupação!$O:$O,'Controle de vagas'!$B36)</f>
        <v>0</v>
      </c>
      <c r="L36" s="19">
        <f ca="1">SUMIFS(ocupação!$I:$I,ocupação!$A:$A,'Controle de vagas'!L$31,ocupação!$N:$N,'Controle de vagas'!$B$4,ocupação!$O:$O,'Controle de vagas'!$B36)</f>
        <v>0</v>
      </c>
      <c r="M36" s="19">
        <f ca="1">SUMIFS(ocupação!$I:$I,ocupação!$A:$A,'Controle de vagas'!M$31,ocupação!$N:$N,'Controle de vagas'!$B$4,ocupação!$O:$O,'Controle de vagas'!$B36)</f>
        <v>0</v>
      </c>
      <c r="N36" s="20">
        <f ca="1">SUMIFS(ocupação!$I:$I,ocupação!$A:$A,'Controle de vagas'!N$31,ocupação!$N:$N,'Controle de vagas'!$B$4,ocupação!$O:$O,'Controle de vagas'!$B36)</f>
        <v>0</v>
      </c>
      <c r="O36" s="20">
        <f ca="1">SUMIFS(ocupação!$I:$I,ocupação!$A:$A,'Controle de vagas'!O$31,ocupação!$N:$N,'Controle de vagas'!$B$4,ocupação!$O:$O,'Controle de vagas'!$B36)</f>
        <v>0</v>
      </c>
      <c r="P36" s="20">
        <f ca="1">SUMIFS(ocupação!$I:$I,ocupação!$A:$A,'Controle de vagas'!P$31,ocupação!$N:$N,'Controle de vagas'!$B$4,ocupação!$O:$O,'Controle de vagas'!$B36)</f>
        <v>0</v>
      </c>
      <c r="Q36" s="20">
        <f ca="1">SUMIFS(ocupação!$I:$I,ocupação!$A:$A,'Controle de vagas'!Q$31,ocupação!$N:$N,'Controle de vagas'!$B$4,ocupação!$O:$O,'Controle de vagas'!$B36)</f>
        <v>0</v>
      </c>
      <c r="R36" s="20">
        <f ca="1">SUMIFS(ocupação!$I:$I,ocupação!$A:$A,'Controle de vagas'!R$31,ocupação!$N:$N,'Controle de vagas'!$B$4,ocupação!$O:$O,'Controle de vagas'!$B36)</f>
        <v>0</v>
      </c>
      <c r="S36" s="20">
        <f ca="1">SUMIFS(ocupação!$I:$I,ocupação!$A:$A,'Controle de vagas'!S$31,ocupação!$N:$N,'Controle de vagas'!$B$4,ocupação!$O:$O,'Controle de vagas'!$B36)</f>
        <v>0</v>
      </c>
      <c r="T36" s="20">
        <f ca="1">SUMIFS(ocupação!$I:$I,ocupação!$A:$A,'Controle de vagas'!T$31,ocupação!$N:$N,'Controle de vagas'!$B$4,ocupação!$O:$O,'Controle de vagas'!$B36)</f>
        <v>0</v>
      </c>
      <c r="U36" s="20">
        <f ca="1">SUMIFS(ocupação!$I:$I,ocupação!$A:$A,'Controle de vagas'!U$31,ocupação!$N:$N,'Controle de vagas'!$B$4,ocupação!$O:$O,'Controle de vagas'!$B36)</f>
        <v>0</v>
      </c>
      <c r="V36" s="20">
        <f ca="1">SUMIFS(ocupação!$I:$I,ocupação!$A:$A,'Controle de vagas'!V$31,ocupação!$N:$N,'Controle de vagas'!$B$4,ocupação!$O:$O,'Controle de vagas'!$B36)</f>
        <v>0</v>
      </c>
      <c r="W36" s="20">
        <f ca="1">SUMIFS(ocupação!$I:$I,ocupação!$A:$A,'Controle de vagas'!W$31,ocupação!$N:$N,'Controle de vagas'!$B$4,ocupação!$O:$O,'Controle de vagas'!$B36)</f>
        <v>0</v>
      </c>
      <c r="X36" s="20">
        <f ca="1">SUMIFS(ocupação!$I:$I,ocupação!$A:$A,'Controle de vagas'!X$31,ocupação!$N:$N,'Controle de vagas'!$B$4,ocupação!$O:$O,'Controle de vagas'!$B36)</f>
        <v>0</v>
      </c>
      <c r="Y36" s="20">
        <f ca="1">SUMIFS(ocupação!$I:$I,ocupação!$A:$A,'Controle de vagas'!Y$31,ocupação!$N:$N,'Controle de vagas'!$B$4,ocupação!$O:$O,'Controle de vagas'!$B36)</f>
        <v>0</v>
      </c>
    </row>
    <row r="37" spans="2:25" ht="18.75" x14ac:dyDescent="0.25">
      <c r="B37" s="21" t="s">
        <v>54</v>
      </c>
      <c r="C37" s="22">
        <f ca="1">SUMIFS(ocupação!$I:$I,ocupação!$A:$A,'Controle de vagas'!C$31,ocupação!$N:$N,'Controle de vagas'!$B$4,ocupação!$O:$O,'Controle de vagas'!$B37)</f>
        <v>0</v>
      </c>
      <c r="D37" s="22">
        <f ca="1">SUMIFS(ocupação!$I:$I,ocupação!$A:$A,'Controle de vagas'!D$31,ocupação!$N:$N,'Controle de vagas'!$B$4,ocupação!$O:$O,'Controle de vagas'!$B37)</f>
        <v>0</v>
      </c>
      <c r="E37" s="22">
        <f ca="1">SUMIFS(ocupação!$I:$I,ocupação!$A:$A,'Controle de vagas'!E$31,ocupação!$N:$N,'Controle de vagas'!$B$4,ocupação!$O:$O,'Controle de vagas'!$B37)</f>
        <v>0</v>
      </c>
      <c r="F37" s="22">
        <f ca="1">SUMIFS(ocupação!$I:$I,ocupação!$A:$A,'Controle de vagas'!F$31,ocupação!$N:$N,'Controle de vagas'!$B$4,ocupação!$O:$O,'Controle de vagas'!$B37)</f>
        <v>0</v>
      </c>
      <c r="G37" s="22">
        <f ca="1">SUMIFS(ocupação!$I:$I,ocupação!$A:$A,'Controle de vagas'!G$31,ocupação!$N:$N,'Controle de vagas'!$B$4,ocupação!$O:$O,'Controle de vagas'!$B37)</f>
        <v>0</v>
      </c>
      <c r="H37" s="22">
        <f ca="1">SUMIFS(ocupação!$I:$I,ocupação!$A:$A,'Controle de vagas'!H$31,ocupação!$N:$N,'Controle de vagas'!$B$4,ocupação!$O:$O,'Controle de vagas'!$B37)</f>
        <v>0</v>
      </c>
      <c r="I37" s="22">
        <f ca="1">SUMIFS(ocupação!$I:$I,ocupação!$A:$A,'Controle de vagas'!I$31,ocupação!$N:$N,'Controle de vagas'!$B$4,ocupação!$O:$O,'Controle de vagas'!$B37)</f>
        <v>0</v>
      </c>
      <c r="J37" s="23">
        <f ca="1">SUMIFS(ocupação!$I:$I,ocupação!$A:$A,'Controle de vagas'!J$31,ocupação!$N:$N,'Controle de vagas'!$B$4,ocupação!$O:$O,'Controle de vagas'!$B37)</f>
        <v>0</v>
      </c>
      <c r="K37" s="23">
        <f ca="1">SUMIFS(ocupação!$I:$I,ocupação!$A:$A,'Controle de vagas'!K$31,ocupação!$N:$N,'Controle de vagas'!$B$4,ocupação!$O:$O,'Controle de vagas'!$B37)</f>
        <v>0</v>
      </c>
      <c r="L37" s="23">
        <f ca="1">SUMIFS(ocupação!$I:$I,ocupação!$A:$A,'Controle de vagas'!L$31,ocupação!$N:$N,'Controle de vagas'!$B$4,ocupação!$O:$O,'Controle de vagas'!$B37)</f>
        <v>0</v>
      </c>
      <c r="M37" s="23">
        <f ca="1">SUMIFS(ocupação!$I:$I,ocupação!$A:$A,'Controle de vagas'!M$31,ocupação!$N:$N,'Controle de vagas'!$B$4,ocupação!$O:$O,'Controle de vagas'!$B37)</f>
        <v>0</v>
      </c>
      <c r="N37" s="24">
        <f ca="1">SUMIFS(ocupação!$I:$I,ocupação!$A:$A,'Controle de vagas'!N$31,ocupação!$N:$N,'Controle de vagas'!$B$4,ocupação!$O:$O,'Controle de vagas'!$B37)</f>
        <v>0</v>
      </c>
      <c r="O37" s="24">
        <f ca="1">SUMIFS(ocupação!$I:$I,ocupação!$A:$A,'Controle de vagas'!O$31,ocupação!$N:$N,'Controle de vagas'!$B$4,ocupação!$O:$O,'Controle de vagas'!$B37)</f>
        <v>0</v>
      </c>
      <c r="P37" s="24">
        <f ca="1">SUMIFS(ocupação!$I:$I,ocupação!$A:$A,'Controle de vagas'!P$31,ocupação!$N:$N,'Controle de vagas'!$B$4,ocupação!$O:$O,'Controle de vagas'!$B37)</f>
        <v>0</v>
      </c>
      <c r="Q37" s="24">
        <f ca="1">SUMIFS(ocupação!$I:$I,ocupação!$A:$A,'Controle de vagas'!Q$31,ocupação!$N:$N,'Controle de vagas'!$B$4,ocupação!$O:$O,'Controle de vagas'!$B37)</f>
        <v>0</v>
      </c>
      <c r="R37" s="24">
        <f ca="1">SUMIFS(ocupação!$I:$I,ocupação!$A:$A,'Controle de vagas'!R$31,ocupação!$N:$N,'Controle de vagas'!$B$4,ocupação!$O:$O,'Controle de vagas'!$B37)</f>
        <v>0</v>
      </c>
      <c r="S37" s="24">
        <f ca="1">SUMIFS(ocupação!$I:$I,ocupação!$A:$A,'Controle de vagas'!S$31,ocupação!$N:$N,'Controle de vagas'!$B$4,ocupação!$O:$O,'Controle de vagas'!$B37)</f>
        <v>0</v>
      </c>
      <c r="T37" s="24">
        <f ca="1">SUMIFS(ocupação!$I:$I,ocupação!$A:$A,'Controle de vagas'!T$31,ocupação!$N:$N,'Controle de vagas'!$B$4,ocupação!$O:$O,'Controle de vagas'!$B37)</f>
        <v>0</v>
      </c>
      <c r="U37" s="24">
        <f ca="1">SUMIFS(ocupação!$I:$I,ocupação!$A:$A,'Controle de vagas'!U$31,ocupação!$N:$N,'Controle de vagas'!$B$4,ocupação!$O:$O,'Controle de vagas'!$B37)</f>
        <v>0</v>
      </c>
      <c r="V37" s="24">
        <f ca="1">SUMIFS(ocupação!$I:$I,ocupação!$A:$A,'Controle de vagas'!V$31,ocupação!$N:$N,'Controle de vagas'!$B$4,ocupação!$O:$O,'Controle de vagas'!$B37)</f>
        <v>0</v>
      </c>
      <c r="W37" s="24">
        <f ca="1">SUMIFS(ocupação!$I:$I,ocupação!$A:$A,'Controle de vagas'!W$31,ocupação!$N:$N,'Controle de vagas'!$B$4,ocupação!$O:$O,'Controle de vagas'!$B37)</f>
        <v>0</v>
      </c>
      <c r="X37" s="24">
        <f ca="1">SUMIFS(ocupação!$I:$I,ocupação!$A:$A,'Controle de vagas'!X$31,ocupação!$N:$N,'Controle de vagas'!$B$4,ocupação!$O:$O,'Controle de vagas'!$B37)</f>
        <v>0</v>
      </c>
      <c r="Y37" s="24">
        <f ca="1">SUMIFS(ocupação!$I:$I,ocupação!$A:$A,'Controle de vagas'!Y$31,ocupação!$N:$N,'Controle de vagas'!$B$4,ocupação!$O:$O,'Controle de vagas'!$B37)</f>
        <v>0</v>
      </c>
    </row>
    <row r="38" spans="2:25" ht="18.75" x14ac:dyDescent="0.25">
      <c r="B38" s="46" t="s">
        <v>55</v>
      </c>
      <c r="C38" s="18">
        <f ca="1">SUMIFS(ocupação!$I:$I,ocupação!$A:$A,'Controle de vagas'!C$31,ocupação!$N:$N,'Controle de vagas'!$B$4,ocupação!$O:$O,'Controle de vagas'!$B38)</f>
        <v>0</v>
      </c>
      <c r="D38" s="18">
        <v>41</v>
      </c>
      <c r="E38" s="18">
        <f ca="1">SUMIFS(ocupação!$I:$I,ocupação!$A:$A,'Controle de vagas'!E$31,ocupação!$N:$N,'Controle de vagas'!$B$4,ocupação!$O:$O,'Controle de vagas'!$B38)</f>
        <v>0</v>
      </c>
      <c r="F38" s="50" t="s">
        <v>801</v>
      </c>
      <c r="G38" s="18">
        <f ca="1">SUMIFS(ocupação!$I:$I,ocupação!$A:$A,'Controle de vagas'!G$31,ocupação!$N:$N,'Controle de vagas'!$B$4,ocupação!$O:$O,'Controle de vagas'!$B38)</f>
        <v>0</v>
      </c>
      <c r="H38" s="18">
        <f ca="1">SUMIFS(ocupação!$I:$I,ocupação!$A:$A,'Controle de vagas'!H$31,ocupação!$N:$N,'Controle de vagas'!$B$4,ocupação!$O:$O,'Controle de vagas'!$B38)</f>
        <v>0</v>
      </c>
      <c r="I38" s="18">
        <v>11</v>
      </c>
      <c r="J38" s="19">
        <f ca="1">SUMIFS(ocupação!$I:$I,ocupação!$A:$A,'Controle de vagas'!J$31,ocupação!$N:$N,'Controle de vagas'!$B$4,ocupação!$O:$O,'Controle de vagas'!$B38)</f>
        <v>0</v>
      </c>
      <c r="K38" s="19">
        <v>69</v>
      </c>
      <c r="L38" s="19">
        <f ca="1">SUMIFS(ocupação!$I:$I,ocupação!$A:$A,'Controle de vagas'!L$31,ocupação!$N:$N,'Controle de vagas'!$B$4,ocupação!$O:$O,'Controle de vagas'!$B38)</f>
        <v>0</v>
      </c>
      <c r="M38" s="19">
        <f ca="1">SUMIFS(ocupação!$I:$I,ocupação!$A:$A,'Controle de vagas'!M$31,ocupação!$N:$N,'Controle de vagas'!$B$4,ocupação!$O:$O,'Controle de vagas'!$B38)</f>
        <v>0</v>
      </c>
      <c r="N38" s="20">
        <f ca="1">SUMIFS(ocupação!$I:$I,ocupação!$A:$A,'Controle de vagas'!N$31,ocupação!$N:$N,'Controle de vagas'!$B$4,ocupação!$O:$O,'Controle de vagas'!$B38)</f>
        <v>0</v>
      </c>
      <c r="O38" s="20">
        <f ca="1">SUMIFS(ocupação!$I:$I,ocupação!$A:$A,'Controle de vagas'!O$31,ocupação!$N:$N,'Controle de vagas'!$B$4,ocupação!$O:$O,'Controle de vagas'!$B38)</f>
        <v>0</v>
      </c>
      <c r="P38" s="20">
        <v>17</v>
      </c>
      <c r="Q38" s="20">
        <f ca="1">SUMIFS(ocupação!$I:$I,ocupação!$A:$A,'Controle de vagas'!Q$31,ocupação!$N:$N,'Controle de vagas'!$B$4,ocupação!$O:$O,'Controle de vagas'!$B38)</f>
        <v>0</v>
      </c>
      <c r="R38" s="20">
        <v>88</v>
      </c>
      <c r="S38" s="20">
        <v>29</v>
      </c>
      <c r="T38" s="20">
        <v>29</v>
      </c>
      <c r="U38" s="20">
        <f ca="1">SUMIFS(ocupação!$I:$I,ocupação!$A:$A,'Controle de vagas'!U$31,ocupação!$N:$N,'Controle de vagas'!$B$4,ocupação!$O:$O,'Controle de vagas'!$B38)</f>
        <v>0</v>
      </c>
      <c r="V38" s="20">
        <f ca="1">SUMIFS(ocupação!$I:$I,ocupação!$A:$A,'Controle de vagas'!V$31,ocupação!$N:$N,'Controle de vagas'!$B$4,ocupação!$O:$O,'Controle de vagas'!$B38)</f>
        <v>0</v>
      </c>
      <c r="W38" s="20">
        <v>25</v>
      </c>
      <c r="X38" s="20">
        <f ca="1">SUMIFS(ocupação!$I:$I,ocupação!$A:$A,'Controle de vagas'!X$31,ocupação!$N:$N,'Controle de vagas'!$B$4,ocupação!$O:$O,'Controle de vagas'!$B38)</f>
        <v>0</v>
      </c>
      <c r="Y38" s="20">
        <f ca="1">SUMIFS(ocupação!$I:$I,ocupação!$A:$A,'Controle de vagas'!Y$31,ocupação!$N:$N,'Controle de vagas'!$B$4,ocupação!$O:$O,'Controle de vagas'!$B38)</f>
        <v>0</v>
      </c>
    </row>
    <row r="39" spans="2:25" ht="18.75" x14ac:dyDescent="0.25">
      <c r="B39" s="21" t="s">
        <v>56</v>
      </c>
      <c r="C39" s="22">
        <f ca="1">SUMIFS(ocupação!$I:$I,ocupação!$A:$A,'Controle de vagas'!C$31,ocupação!$N:$N,'Controle de vagas'!$B$4,ocupação!$O:$O,'Controle de vagas'!$B39,ocupação!$M:$M,"&lt;&gt;Seggastro")</f>
        <v>0</v>
      </c>
      <c r="D39" s="22">
        <f ca="1">SUMIFS(ocupação!$I:$I,ocupação!$A:$A,'Controle de vagas'!D$31,ocupação!$N:$N,'Controle de vagas'!$B$4,ocupação!$O:$O,'Controle de vagas'!$B39,ocupação!$M:$M,"&lt;&gt;Seggastro")</f>
        <v>0</v>
      </c>
      <c r="E39" s="22">
        <f ca="1">SUMIFS(ocupação!$I:$I,ocupação!$A:$A,'Controle de vagas'!E$31,ocupação!$N:$N,'Controle de vagas'!$B$4,ocupação!$O:$O,'Controle de vagas'!$B39,ocupação!$M:$M,"&lt;&gt;Seggastro")</f>
        <v>0</v>
      </c>
      <c r="F39" s="22">
        <f ca="1">SUMIFS(ocupação!$I:$I,ocupação!$A:$A,'Controle de vagas'!F$31,ocupação!$N:$N,'Controle de vagas'!$B$4,ocupação!$O:$O,'Controle de vagas'!$B39,ocupação!$M:$M,"&lt;&gt;Seggastro")</f>
        <v>0</v>
      </c>
      <c r="G39" s="22">
        <f ca="1">SUMIFS(ocupação!$I:$I,ocupação!$A:$A,'Controle de vagas'!G$31,ocupação!$N:$N,'Controle de vagas'!$B$4,ocupação!$O:$O,'Controle de vagas'!$B39,ocupação!$M:$M,"&lt;&gt;Seggastro")</f>
        <v>0</v>
      </c>
      <c r="H39" s="22">
        <f ca="1">SUMIFS(ocupação!$I:$I,ocupação!$A:$A,'Controle de vagas'!H$31,ocupação!$N:$N,'Controle de vagas'!$B$4,ocupação!$O:$O,'Controle de vagas'!$B39,ocupação!$M:$M,"&lt;&gt;Seggastro")</f>
        <v>0</v>
      </c>
      <c r="I39" s="22">
        <f ca="1">SUMIFS(ocupação!$I:$I,ocupação!$A:$A,'Controle de vagas'!I$31,ocupação!$N:$N,'Controle de vagas'!$B$4,ocupação!$O:$O,'Controle de vagas'!$B39,ocupação!$M:$M,"&lt;&gt;Seggastro")</f>
        <v>0</v>
      </c>
      <c r="J39" s="23">
        <f ca="1">SUMIFS(ocupação!$I:$I,ocupação!$A:$A,'Controle de vagas'!J$31,ocupação!$N:$N,'Controle de vagas'!$B$4,ocupação!$O:$O,'Controle de vagas'!$B39,ocupação!$M:$M,"&lt;&gt;Seggastro")</f>
        <v>0</v>
      </c>
      <c r="K39" s="23">
        <f ca="1">SUMIFS(ocupação!$I:$I,ocupação!$A:$A,'Controle de vagas'!K$31,ocupação!$N:$N,'Controle de vagas'!$B$4,ocupação!$O:$O,'Controle de vagas'!$B39,ocupação!$M:$M,"&lt;&gt;Seggastro")</f>
        <v>0</v>
      </c>
      <c r="L39" s="23">
        <f ca="1">SUMIFS(ocupação!$I:$I,ocupação!$A:$A,'Controle de vagas'!L$31,ocupação!$N:$N,'Controle de vagas'!$B$4,ocupação!$O:$O,'Controle de vagas'!$B39,ocupação!$M:$M,"&lt;&gt;Seggastro")</f>
        <v>0</v>
      </c>
      <c r="M39" s="23">
        <f ca="1">SUMIFS(ocupação!$I:$I,ocupação!$A:$A,'Controle de vagas'!M$31,ocupação!$N:$N,'Controle de vagas'!$B$4,ocupação!$O:$O,'Controle de vagas'!$B39,ocupação!$M:$M,"&lt;&gt;Seggastro")</f>
        <v>0</v>
      </c>
      <c r="N39" s="24">
        <f ca="1">SUMIFS(ocupação!$I:$I,ocupação!$A:$A,'Controle de vagas'!N$31,ocupação!$N:$N,'Controle de vagas'!$B$4,ocupação!$O:$O,'Controle de vagas'!$B39,ocupação!$M:$M,"&lt;&gt;Seggastro")</f>
        <v>0</v>
      </c>
      <c r="O39" s="24">
        <f ca="1">SUMIFS(ocupação!$I:$I,ocupação!$A:$A,'Controle de vagas'!O$31,ocupação!$N:$N,'Controle de vagas'!$B$4,ocupação!$O:$O,'Controle de vagas'!$B39,ocupação!$M:$M,"&lt;&gt;Seggastro")</f>
        <v>0</v>
      </c>
      <c r="P39" s="24">
        <f ca="1">SUMIFS(ocupação!$I:$I,ocupação!$A:$A,'Controle de vagas'!P$31,ocupação!$N:$N,'Controle de vagas'!$B$4,ocupação!$O:$O,'Controle de vagas'!$B39,ocupação!$M:$M,"&lt;&gt;Seggastro")</f>
        <v>0</v>
      </c>
      <c r="Q39" s="24">
        <f ca="1">SUMIFS(ocupação!$I:$I,ocupação!$A:$A,'Controle de vagas'!Q$31,ocupação!$N:$N,'Controle de vagas'!$B$4,ocupação!$O:$O,'Controle de vagas'!$B39,ocupação!$M:$M,"&lt;&gt;Seggastro")</f>
        <v>0</v>
      </c>
      <c r="R39" s="24">
        <f ca="1">SUMIFS(ocupação!$I:$I,ocupação!$A:$A,'Controle de vagas'!R$31,ocupação!$N:$N,'Controle de vagas'!$B$4,ocupação!$O:$O,'Controle de vagas'!$B39,ocupação!$M:$M,"&lt;&gt;Seggastro")</f>
        <v>0</v>
      </c>
      <c r="S39" s="24">
        <f ca="1">SUMIFS(ocupação!$I:$I,ocupação!$A:$A,'Controle de vagas'!S$31,ocupação!$N:$N,'Controle de vagas'!$B$4,ocupação!$O:$O,'Controle de vagas'!$B39,ocupação!$M:$M,"&lt;&gt;Seggastro")</f>
        <v>0</v>
      </c>
      <c r="T39" s="24">
        <f ca="1">SUMIFS(ocupação!$I:$I,ocupação!$A:$A,'Controle de vagas'!T$31,ocupação!$N:$N,'Controle de vagas'!$B$4,ocupação!$O:$O,'Controle de vagas'!$B39,ocupação!$M:$M,"&lt;&gt;Seggastro")</f>
        <v>0</v>
      </c>
      <c r="U39" s="24">
        <f ca="1">SUMIFS(ocupação!$I:$I,ocupação!$A:$A,'Controle de vagas'!U$31,ocupação!$N:$N,'Controle de vagas'!$B$4,ocupação!$O:$O,'Controle de vagas'!$B39,ocupação!$M:$M,"&lt;&gt;Seggastro")</f>
        <v>0</v>
      </c>
      <c r="V39" s="24">
        <f ca="1">SUMIFS(ocupação!$I:$I,ocupação!$A:$A,'Controle de vagas'!V$31,ocupação!$N:$N,'Controle de vagas'!$B$4,ocupação!$O:$O,'Controle de vagas'!$B39,ocupação!$M:$M,"&lt;&gt;Seggastro")</f>
        <v>0</v>
      </c>
      <c r="W39" s="24">
        <f ca="1">SUMIFS(ocupação!$I:$I,ocupação!$A:$A,'Controle de vagas'!W$31,ocupação!$N:$N,'Controle de vagas'!$B$4,ocupação!$O:$O,'Controle de vagas'!$B39,ocupação!$M:$M,"&lt;&gt;Seggastro")</f>
        <v>0</v>
      </c>
      <c r="X39" s="24">
        <f ca="1">SUMIFS(ocupação!$I:$I,ocupação!$A:$A,'Controle de vagas'!X$31,ocupação!$N:$N,'Controle de vagas'!$B$4,ocupação!$O:$O,'Controle de vagas'!$B39,ocupação!$M:$M,"&lt;&gt;Seggastro")</f>
        <v>0</v>
      </c>
      <c r="Y39" s="24">
        <f ca="1">SUMIFS(ocupação!$I:$I,ocupação!$A:$A,'Controle de vagas'!Y$31,ocupação!$N:$N,'Controle de vagas'!$B$4,ocupação!$O:$O,'Controle de vagas'!$B39,ocupação!$M:$M,"&lt;&gt;Seggastro")</f>
        <v>0</v>
      </c>
    </row>
    <row r="40" spans="2:25" ht="18.75" x14ac:dyDescent="0.25">
      <c r="B40" s="46" t="s">
        <v>57</v>
      </c>
      <c r="C40" s="18">
        <f ca="1">SUMIFS(ocupação!$I:$I,ocupação!$A:$A,'Controle de vagas'!C$31,ocupação!$N:$N,'Controle de vagas'!$B$4,ocupação!$O:$O,'Controle de vagas'!$B40)</f>
        <v>0</v>
      </c>
      <c r="D40" s="18">
        <f ca="1">SUMIFS(ocupação!$I:$I,ocupação!$A:$A,'Controle de vagas'!D$31,ocupação!$N:$N,'Controle de vagas'!$B$4,ocupação!$O:$O,'Controle de vagas'!$B40)</f>
        <v>0</v>
      </c>
      <c r="E40" s="18">
        <f ca="1">SUMIFS(ocupação!$I:$I,ocupação!$A:$A,'Controle de vagas'!E$31,ocupação!$N:$N,'Controle de vagas'!$B$4,ocupação!$O:$O,'Controle de vagas'!$B40)</f>
        <v>0</v>
      </c>
      <c r="F40" s="18">
        <f ca="1">SUMIFS(ocupação!$I:$I,ocupação!$A:$A,'Controle de vagas'!F$31,ocupação!$N:$N,'Controle de vagas'!$B$4,ocupação!$O:$O,'Controle de vagas'!$B40)</f>
        <v>0</v>
      </c>
      <c r="G40" s="18">
        <f ca="1">SUMIFS(ocupação!$I:$I,ocupação!$A:$A,'Controle de vagas'!G$31,ocupação!$N:$N,'Controle de vagas'!$B$4,ocupação!$O:$O,'Controle de vagas'!$B40)</f>
        <v>0</v>
      </c>
      <c r="H40" s="18">
        <f ca="1">SUMIFS(ocupação!$I:$I,ocupação!$A:$A,'Controle de vagas'!H$31,ocupação!$N:$N,'Controle de vagas'!$B$4,ocupação!$O:$O,'Controle de vagas'!$B40)</f>
        <v>0</v>
      </c>
      <c r="I40" s="18">
        <f ca="1">SUMIFS(ocupação!$I:$I,ocupação!$A:$A,'Controle de vagas'!I$31,ocupação!$N:$N,'Controle de vagas'!$B$4,ocupação!$O:$O,'Controle de vagas'!$B40)</f>
        <v>0</v>
      </c>
      <c r="J40" s="19">
        <f ca="1">SUMIFS(ocupação!$I:$I,ocupação!$A:$A,'Controle de vagas'!J$31,ocupação!$N:$N,'Controle de vagas'!$B$4,ocupação!$O:$O,'Controle de vagas'!$B40)</f>
        <v>0</v>
      </c>
      <c r="K40" s="19">
        <f ca="1">SUMIFS(ocupação!$I:$I,ocupação!$A:$A,'Controle de vagas'!K$31,ocupação!$N:$N,'Controle de vagas'!$B$4,ocupação!$O:$O,'Controle de vagas'!$B40)</f>
        <v>0</v>
      </c>
      <c r="L40" s="19">
        <f ca="1">SUMIFS(ocupação!$I:$I,ocupação!$A:$A,'Controle de vagas'!L$31,ocupação!$N:$N,'Controle de vagas'!$B$4,ocupação!$O:$O,'Controle de vagas'!$B40)</f>
        <v>0</v>
      </c>
      <c r="M40" s="19">
        <f ca="1">SUMIFS(ocupação!$I:$I,ocupação!$A:$A,'Controle de vagas'!M$31,ocupação!$N:$N,'Controle de vagas'!$B$4,ocupação!$O:$O,'Controle de vagas'!$B40)</f>
        <v>0</v>
      </c>
      <c r="N40" s="20">
        <f ca="1">SUMIFS(ocupação!$I:$I,ocupação!$A:$A,'Controle de vagas'!N$31,ocupação!$N:$N,'Controle de vagas'!$B$4,ocupação!$O:$O,'Controle de vagas'!$B40)</f>
        <v>0</v>
      </c>
      <c r="O40" s="20">
        <f ca="1">SUMIFS(ocupação!$I:$I,ocupação!$A:$A,'Controle de vagas'!O$31,ocupação!$N:$N,'Controle de vagas'!$B$4,ocupação!$O:$O,'Controle de vagas'!$B40)</f>
        <v>0</v>
      </c>
      <c r="P40" s="20">
        <f ca="1">SUMIFS(ocupação!$I:$I,ocupação!$A:$A,'Controle de vagas'!P$31,ocupação!$N:$N,'Controle de vagas'!$B$4,ocupação!$O:$O,'Controle de vagas'!$B40)</f>
        <v>0</v>
      </c>
      <c r="Q40" s="20">
        <f ca="1">SUMIFS(ocupação!$I:$I,ocupação!$A:$A,'Controle de vagas'!Q$31,ocupação!$N:$N,'Controle de vagas'!$B$4,ocupação!$O:$O,'Controle de vagas'!$B40)</f>
        <v>0</v>
      </c>
      <c r="R40" s="20">
        <f ca="1">SUMIFS(ocupação!$I:$I,ocupação!$A:$A,'Controle de vagas'!R$31,ocupação!$N:$N,'Controle de vagas'!$B$4,ocupação!$O:$O,'Controle de vagas'!$B40)</f>
        <v>0</v>
      </c>
      <c r="S40" s="20">
        <f ca="1">SUMIFS(ocupação!$I:$I,ocupação!$A:$A,'Controle de vagas'!S$31,ocupação!$N:$N,'Controle de vagas'!$B$4,ocupação!$O:$O,'Controle de vagas'!$B40)</f>
        <v>0</v>
      </c>
      <c r="T40" s="20">
        <f ca="1">SUMIFS(ocupação!$I:$I,ocupação!$A:$A,'Controle de vagas'!T$31,ocupação!$N:$N,'Controle de vagas'!$B$4,ocupação!$O:$O,'Controle de vagas'!$B40)</f>
        <v>0</v>
      </c>
      <c r="U40" s="20">
        <f ca="1">SUMIFS(ocupação!$I:$I,ocupação!$A:$A,'Controle de vagas'!U$31,ocupação!$N:$N,'Controle de vagas'!$B$4,ocupação!$O:$O,'Controle de vagas'!$B40)</f>
        <v>0</v>
      </c>
      <c r="V40" s="20">
        <f ca="1">SUMIFS(ocupação!$I:$I,ocupação!$A:$A,'Controle de vagas'!V$31,ocupação!$N:$N,'Controle de vagas'!$B$4,ocupação!$O:$O,'Controle de vagas'!$B40)</f>
        <v>0</v>
      </c>
      <c r="W40" s="20">
        <f ca="1">SUMIFS(ocupação!$I:$I,ocupação!$A:$A,'Controle de vagas'!W$31,ocupação!$N:$N,'Controle de vagas'!$B$4,ocupação!$O:$O,'Controle de vagas'!$B40)</f>
        <v>0</v>
      </c>
      <c r="X40" s="20">
        <f ca="1">SUMIFS(ocupação!$I:$I,ocupação!$A:$A,'Controle de vagas'!X$31,ocupação!$N:$N,'Controle de vagas'!$B$4,ocupação!$O:$O,'Controle de vagas'!$B40)</f>
        <v>0</v>
      </c>
      <c r="Y40" s="20">
        <f ca="1">SUMIFS(ocupação!$I:$I,ocupação!$A:$A,'Controle de vagas'!Y$31,ocupação!$N:$N,'Controle de vagas'!$B$4,ocupação!$O:$O,'Controle de vagas'!$B40)</f>
        <v>0</v>
      </c>
    </row>
    <row r="41" spans="2:25" ht="18.75" x14ac:dyDescent="0.25">
      <c r="B41" s="21" t="s">
        <v>58</v>
      </c>
      <c r="C41" s="22">
        <f ca="1">SUMIFS(ocupação!$I:$I,ocupação!$A:$A,'Controle de vagas'!C$31,ocupação!$N:$N,'Controle de vagas'!$B$4,ocupação!$O:$O,'Controle de vagas'!$B41)</f>
        <v>0</v>
      </c>
      <c r="D41" s="22">
        <f ca="1">SUMIFS(ocupação!$I:$I,ocupação!$A:$A,'Controle de vagas'!D$31,ocupação!$N:$N,'Controle de vagas'!$B$4,ocupação!$O:$O,'Controle de vagas'!$B41)</f>
        <v>0</v>
      </c>
      <c r="E41" s="22">
        <f ca="1">SUMIFS(ocupação!$I:$I,ocupação!$A:$A,'Controle de vagas'!E$31,ocupação!$N:$N,'Controle de vagas'!$B$4,ocupação!$O:$O,'Controle de vagas'!$B41)</f>
        <v>0</v>
      </c>
      <c r="F41" s="22">
        <f ca="1">SUMIFS(ocupação!$I:$I,ocupação!$A:$A,'Controle de vagas'!F$31,ocupação!$N:$N,'Controle de vagas'!$B$4,ocupação!$O:$O,'Controle de vagas'!$B41)</f>
        <v>0</v>
      </c>
      <c r="G41" s="22">
        <f ca="1">SUMIFS(ocupação!$I:$I,ocupação!$A:$A,'Controle de vagas'!G$31,ocupação!$N:$N,'Controle de vagas'!$B$4,ocupação!$O:$O,'Controle de vagas'!$B41)</f>
        <v>0</v>
      </c>
      <c r="H41" s="22">
        <f ca="1">SUMIFS(ocupação!$I:$I,ocupação!$A:$A,'Controle de vagas'!H$31,ocupação!$N:$N,'Controle de vagas'!$B$4,ocupação!$O:$O,'Controle de vagas'!$B41)</f>
        <v>0</v>
      </c>
      <c r="I41" s="22">
        <f ca="1">SUMIFS(ocupação!$I:$I,ocupação!$A:$A,'Controle de vagas'!I$31,ocupação!$N:$N,'Controle de vagas'!$B$4,ocupação!$O:$O,'Controle de vagas'!$B41)</f>
        <v>0</v>
      </c>
      <c r="J41" s="23">
        <f ca="1">SUMIFS(ocupação!$I:$I,ocupação!$A:$A,'Controle de vagas'!J$31,ocupação!$N:$N,'Controle de vagas'!$B$4,ocupação!$O:$O,'Controle de vagas'!$B41)</f>
        <v>0</v>
      </c>
      <c r="K41" s="23">
        <f ca="1">SUMIFS(ocupação!$I:$I,ocupação!$A:$A,'Controle de vagas'!K$31,ocupação!$N:$N,'Controle de vagas'!$B$4,ocupação!$O:$O,'Controle de vagas'!$B41)</f>
        <v>0</v>
      </c>
      <c r="L41" s="23">
        <f ca="1">SUMIFS(ocupação!$I:$I,ocupação!$A:$A,'Controle de vagas'!L$31,ocupação!$N:$N,'Controle de vagas'!$B$4,ocupação!$O:$O,'Controle de vagas'!$B41)</f>
        <v>0</v>
      </c>
      <c r="M41" s="23">
        <f ca="1">SUMIFS(ocupação!$I:$I,ocupação!$A:$A,'Controle de vagas'!M$31,ocupação!$N:$N,'Controle de vagas'!$B$4,ocupação!$O:$O,'Controle de vagas'!$B41)</f>
        <v>0</v>
      </c>
      <c r="N41" s="24">
        <f ca="1">SUMIFS(ocupação!$I:$I,ocupação!$A:$A,'Controle de vagas'!N$31,ocupação!$N:$N,'Controle de vagas'!$B$4,ocupação!$O:$O,'Controle de vagas'!$B41)</f>
        <v>0</v>
      </c>
      <c r="O41" s="24">
        <f ca="1">SUMIFS(ocupação!$I:$I,ocupação!$A:$A,'Controle de vagas'!O$31,ocupação!$N:$N,'Controle de vagas'!$B$4,ocupação!$O:$O,'Controle de vagas'!$B41)</f>
        <v>0</v>
      </c>
      <c r="P41" s="24">
        <f ca="1">SUMIFS(ocupação!$I:$I,ocupação!$A:$A,'Controle de vagas'!P$31,ocupação!$N:$N,'Controle de vagas'!$B$4,ocupação!$O:$O,'Controle de vagas'!$B41)</f>
        <v>0</v>
      </c>
      <c r="Q41" s="24">
        <f ca="1">SUMIFS(ocupação!$I:$I,ocupação!$A:$A,'Controle de vagas'!Q$31,ocupação!$N:$N,'Controle de vagas'!$B$4,ocupação!$O:$O,'Controle de vagas'!$B41)</f>
        <v>0</v>
      </c>
      <c r="R41" s="24">
        <f ca="1">SUMIFS(ocupação!$I:$I,ocupação!$A:$A,'Controle de vagas'!R$31,ocupação!$N:$N,'Controle de vagas'!$B$4,ocupação!$O:$O,'Controle de vagas'!$B41)</f>
        <v>0</v>
      </c>
      <c r="S41" s="24">
        <f ca="1">SUMIFS(ocupação!$I:$I,ocupação!$A:$A,'Controle de vagas'!S$31,ocupação!$N:$N,'Controle de vagas'!$B$4,ocupação!$O:$O,'Controle de vagas'!$B41)</f>
        <v>0</v>
      </c>
      <c r="T41" s="24">
        <f ca="1">SUMIFS(ocupação!$I:$I,ocupação!$A:$A,'Controle de vagas'!T$31,ocupação!$N:$N,'Controle de vagas'!$B$4,ocupação!$O:$O,'Controle de vagas'!$B41)</f>
        <v>0</v>
      </c>
      <c r="U41" s="24">
        <f ca="1">SUMIFS(ocupação!$I:$I,ocupação!$A:$A,'Controle de vagas'!U$31,ocupação!$N:$N,'Controle de vagas'!$B$4,ocupação!$O:$O,'Controle de vagas'!$B41)</f>
        <v>0</v>
      </c>
      <c r="V41" s="24">
        <f ca="1">SUMIFS(ocupação!$I:$I,ocupação!$A:$A,'Controle de vagas'!V$31,ocupação!$N:$N,'Controle de vagas'!$B$4,ocupação!$O:$O,'Controle de vagas'!$B41)</f>
        <v>0</v>
      </c>
      <c r="W41" s="24">
        <f ca="1">SUMIFS(ocupação!$I:$I,ocupação!$A:$A,'Controle de vagas'!W$31,ocupação!$N:$N,'Controle de vagas'!$B$4,ocupação!$O:$O,'Controle de vagas'!$B41)</f>
        <v>0</v>
      </c>
      <c r="X41" s="24">
        <f ca="1">SUMIFS(ocupação!$I:$I,ocupação!$A:$A,'Controle de vagas'!X$31,ocupação!$N:$N,'Controle de vagas'!$B$4,ocupação!$O:$O,'Controle de vagas'!$B41)</f>
        <v>0</v>
      </c>
      <c r="Y41" s="24">
        <f ca="1">SUMIFS(ocupação!$I:$I,ocupação!$A:$A,'Controle de vagas'!Y$31,ocupação!$N:$N,'Controle de vagas'!$B$4,ocupação!$O:$O,'Controle de vagas'!$B41)</f>
        <v>0</v>
      </c>
    </row>
    <row r="42" spans="2:25" ht="18.75" x14ac:dyDescent="0.25">
      <c r="B42" s="40" t="s">
        <v>59</v>
      </c>
      <c r="C42" s="18">
        <f ca="1">SUMIFS(ocupação!$I:$I,ocupação!$A:$A,'Controle de vagas'!C$31,ocupação!$N:$N,'Controle de vagas'!$B$4,ocupação!$O:$O,'Controle de vagas'!$B42)</f>
        <v>0</v>
      </c>
      <c r="D42" s="18">
        <f ca="1">SUMIFS(ocupação!$I:$I,ocupação!$A:$A,'Controle de vagas'!D$31,ocupação!$N:$N,'Controle de vagas'!$B$4,ocupação!$O:$O,'Controle de vagas'!$B42)</f>
        <v>0</v>
      </c>
      <c r="E42" s="18">
        <f ca="1">SUMIFS(ocupação!$I:$I,ocupação!$A:$A,'Controle de vagas'!E$31,ocupação!$N:$N,'Controle de vagas'!$B$4,ocupação!$O:$O,'Controle de vagas'!$B42)</f>
        <v>0</v>
      </c>
      <c r="F42" s="18">
        <f ca="1">SUMIFS(ocupação!$I:$I,ocupação!$A:$A,'Controle de vagas'!F$31,ocupação!$N:$N,'Controle de vagas'!$B$4,ocupação!$O:$O,'Controle de vagas'!$B42)</f>
        <v>0</v>
      </c>
      <c r="G42" s="18">
        <f ca="1">SUMIFS(ocupação!$I:$I,ocupação!$A:$A,'Controle de vagas'!G$31,ocupação!$N:$N,'Controle de vagas'!$B$4,ocupação!$O:$O,'Controle de vagas'!$B42)</f>
        <v>0</v>
      </c>
      <c r="H42" s="18">
        <f ca="1">SUMIFS(ocupação!$I:$I,ocupação!$A:$A,'Controle de vagas'!H$31,ocupação!$N:$N,'Controle de vagas'!$B$4,ocupação!$O:$O,'Controle de vagas'!$B42)</f>
        <v>0</v>
      </c>
      <c r="I42" s="18">
        <f ca="1">SUMIFS(ocupação!$I:$I,ocupação!$A:$A,'Controle de vagas'!I$31,ocupação!$N:$N,'Controle de vagas'!$B$4,ocupação!$O:$O,'Controle de vagas'!$B42)</f>
        <v>0</v>
      </c>
      <c r="J42" s="19">
        <f ca="1">SUMIFS(ocupação!$I:$I,ocupação!$A:$A,'Controle de vagas'!J$31,ocupação!$N:$N,'Controle de vagas'!$B$4,ocupação!$O:$O,'Controle de vagas'!$B42)</f>
        <v>0</v>
      </c>
      <c r="K42" s="19">
        <f ca="1">SUMIFS(ocupação!$I:$I,ocupação!$A:$A,'Controle de vagas'!K$31,ocupação!$N:$N,'Controle de vagas'!$B$4,ocupação!$O:$O,'Controle de vagas'!$B42)</f>
        <v>0</v>
      </c>
      <c r="L42" s="19">
        <f ca="1">SUMIFS(ocupação!$I:$I,ocupação!$A:$A,'Controle de vagas'!L$31,ocupação!$N:$N,'Controle de vagas'!$B$4,ocupação!$O:$O,'Controle de vagas'!$B42)</f>
        <v>0</v>
      </c>
      <c r="M42" s="19">
        <f ca="1">SUMIFS(ocupação!$I:$I,ocupação!$A:$A,'Controle de vagas'!M$31,ocupação!$N:$N,'Controle de vagas'!$B$4,ocupação!$O:$O,'Controle de vagas'!$B42)</f>
        <v>0</v>
      </c>
      <c r="N42" s="20">
        <f ca="1">SUMIFS(ocupação!$I:$I,ocupação!$A:$A,'Controle de vagas'!N$31,ocupação!$N:$N,'Controle de vagas'!$B$4,ocupação!$O:$O,'Controle de vagas'!$B42)</f>
        <v>0</v>
      </c>
      <c r="O42" s="20">
        <f ca="1">SUMIFS(ocupação!$I:$I,ocupação!$A:$A,'Controle de vagas'!O$31,ocupação!$N:$N,'Controle de vagas'!$B$4,ocupação!$O:$O,'Controle de vagas'!$B42)</f>
        <v>0</v>
      </c>
      <c r="P42" s="20">
        <f ca="1">SUMIFS(ocupação!$I:$I,ocupação!$A:$A,'Controle de vagas'!P$31,ocupação!$N:$N,'Controle de vagas'!$B$4,ocupação!$O:$O,'Controle de vagas'!$B42)</f>
        <v>0</v>
      </c>
      <c r="Q42" s="20">
        <f ca="1">SUMIFS(ocupação!$I:$I,ocupação!$A:$A,'Controle de vagas'!Q$31,ocupação!$N:$N,'Controle de vagas'!$B$4,ocupação!$O:$O,'Controle de vagas'!$B42)</f>
        <v>0</v>
      </c>
      <c r="R42" s="20">
        <f ca="1">SUMIFS(ocupação!$I:$I,ocupação!$A:$A,'Controle de vagas'!R$31,ocupação!$N:$N,'Controle de vagas'!$B$4,ocupação!$O:$O,'Controle de vagas'!$B42)</f>
        <v>0</v>
      </c>
      <c r="S42" s="20">
        <f ca="1">SUMIFS(ocupação!$I:$I,ocupação!$A:$A,'Controle de vagas'!S$31,ocupação!$N:$N,'Controle de vagas'!$B$4,ocupação!$O:$O,'Controle de vagas'!$B42)</f>
        <v>0</v>
      </c>
      <c r="T42" s="20">
        <f ca="1">SUMIFS(ocupação!$I:$I,ocupação!$A:$A,'Controle de vagas'!T$31,ocupação!$N:$N,'Controle de vagas'!$B$4,ocupação!$O:$O,'Controle de vagas'!$B42)</f>
        <v>0</v>
      </c>
      <c r="U42" s="20">
        <f ca="1">SUMIFS(ocupação!$I:$I,ocupação!$A:$A,'Controle de vagas'!U$31,ocupação!$N:$N,'Controle de vagas'!$B$4,ocupação!$O:$O,'Controle de vagas'!$B42)</f>
        <v>0</v>
      </c>
      <c r="V42" s="20">
        <f ca="1">SUMIFS(ocupação!$I:$I,ocupação!$A:$A,'Controle de vagas'!V$31,ocupação!$N:$N,'Controle de vagas'!$B$4,ocupação!$O:$O,'Controle de vagas'!$B42)</f>
        <v>0</v>
      </c>
      <c r="W42" s="20">
        <f ca="1">SUMIFS(ocupação!$I:$I,ocupação!$A:$A,'Controle de vagas'!W$31,ocupação!$N:$N,'Controle de vagas'!$B$4,ocupação!$O:$O,'Controle de vagas'!$B42)</f>
        <v>0</v>
      </c>
      <c r="X42" s="20">
        <f ca="1">SUMIFS(ocupação!$I:$I,ocupação!$A:$A,'Controle de vagas'!X$31,ocupação!$N:$N,'Controle de vagas'!$B$4,ocupação!$O:$O,'Controle de vagas'!$B42)</f>
        <v>0</v>
      </c>
      <c r="Y42" s="20">
        <f ca="1">SUMIFS(ocupação!$I:$I,ocupação!$A:$A,'Controle de vagas'!Y$31,ocupação!$N:$N,'Controle de vagas'!$B$4,ocupação!$O:$O,'Controle de vagas'!$B42)</f>
        <v>0</v>
      </c>
    </row>
    <row r="43" spans="2:25" ht="18.75" x14ac:dyDescent="0.25">
      <c r="B43" s="47" t="s">
        <v>60</v>
      </c>
      <c r="C43" s="22">
        <f ca="1">SUMIFS(ocupação!$I:$I,ocupação!$A:$A,'Controle de vagas'!C$31,ocupação!$N:$N,'Controle de vagas'!$B$4,ocupação!$O:$O,'Controle de vagas'!$B43)</f>
        <v>0</v>
      </c>
      <c r="D43" s="22">
        <f ca="1">SUMIFS(ocupação!$I:$I,ocupação!$A:$A,'Controle de vagas'!D$31,ocupação!$N:$N,'Controle de vagas'!$B$4,ocupação!$O:$O,'Controle de vagas'!$B43)</f>
        <v>0</v>
      </c>
      <c r="E43" s="22">
        <f ca="1">SUMIFS(ocupação!$I:$I,ocupação!$A:$A,'Controle de vagas'!E$31,ocupação!$N:$N,'Controle de vagas'!$B$4,ocupação!$O:$O,'Controle de vagas'!$B43)</f>
        <v>0</v>
      </c>
      <c r="F43" s="22">
        <f ca="1">SUMIFS(ocupação!$I:$I,ocupação!$A:$A,'Controle de vagas'!F$31,ocupação!$N:$N,'Controle de vagas'!$B$4,ocupação!$O:$O,'Controle de vagas'!$B43)</f>
        <v>0</v>
      </c>
      <c r="G43" s="22">
        <f ca="1">SUMIFS(ocupação!$I:$I,ocupação!$A:$A,'Controle de vagas'!G$31,ocupação!$N:$N,'Controle de vagas'!$B$4,ocupação!$O:$O,'Controle de vagas'!$B43)</f>
        <v>0</v>
      </c>
      <c r="H43" s="22">
        <f ca="1">SUMIFS(ocupação!$I:$I,ocupação!$A:$A,'Controle de vagas'!H$31,ocupação!$N:$N,'Controle de vagas'!$B$4,ocupação!$O:$O,'Controle de vagas'!$B43)</f>
        <v>0</v>
      </c>
      <c r="I43" s="22">
        <f ca="1">SUMIFS(ocupação!$I:$I,ocupação!$A:$A,'Controle de vagas'!I$31,ocupação!$N:$N,'Controle de vagas'!$B$4,ocupação!$O:$O,'Controle de vagas'!$B43)</f>
        <v>0</v>
      </c>
      <c r="J43" s="23">
        <f ca="1">SUMIFS(ocupação!$I:$I,ocupação!$A:$A,'Controle de vagas'!J$31,ocupação!$N:$N,'Controle de vagas'!$B$4,ocupação!$O:$O,'Controle de vagas'!$B43)</f>
        <v>0</v>
      </c>
      <c r="K43" s="23">
        <f ca="1">SUMIFS(ocupação!$I:$I,ocupação!$A:$A,'Controle de vagas'!K$31,ocupação!$N:$N,'Controle de vagas'!$B$4,ocupação!$O:$O,'Controle de vagas'!$B43)</f>
        <v>0</v>
      </c>
      <c r="L43" s="23">
        <f ca="1">SUMIFS(ocupação!$I:$I,ocupação!$A:$A,'Controle de vagas'!L$31,ocupação!$N:$N,'Controle de vagas'!$B$4,ocupação!$O:$O,'Controle de vagas'!$B43)</f>
        <v>0</v>
      </c>
      <c r="M43" s="23">
        <f ca="1">SUMIFS(ocupação!$I:$I,ocupação!$A:$A,'Controle de vagas'!M$31,ocupação!$N:$N,'Controle de vagas'!$B$4,ocupação!$O:$O,'Controle de vagas'!$B43)</f>
        <v>0</v>
      </c>
      <c r="N43" s="24">
        <v>0</v>
      </c>
      <c r="O43" s="24">
        <f ca="1">SUMIFS(ocupação!$I:$I,ocupação!$A:$A,'Controle de vagas'!O$31,ocupação!$N:$N,'Controle de vagas'!$B$4,ocupação!$O:$O,'Controle de vagas'!$B43)</f>
        <v>0</v>
      </c>
      <c r="P43" s="24">
        <v>13</v>
      </c>
      <c r="Q43" s="24">
        <f ca="1">SUMIFS(ocupação!$I:$I,ocupação!$A:$A,'Controle de vagas'!Q$31,ocupação!$N:$N,'Controle de vagas'!$B$4,ocupação!$O:$O,'Controle de vagas'!$B43)</f>
        <v>0</v>
      </c>
      <c r="R43" s="24">
        <f ca="1">SUMIFS(ocupação!$I:$I,ocupação!$A:$A,'Controle de vagas'!R$31,ocupação!$N:$N,'Controle de vagas'!$B$4,ocupação!$O:$O,'Controle de vagas'!$B43)</f>
        <v>0</v>
      </c>
      <c r="S43" s="24">
        <f ca="1">SUMIFS(ocupação!$I:$I,ocupação!$A:$A,'Controle de vagas'!S$31,ocupação!$N:$N,'Controle de vagas'!$B$4,ocupação!$O:$O,'Controle de vagas'!$B43)</f>
        <v>0</v>
      </c>
      <c r="T43" s="24">
        <f ca="1">SUMIFS(ocupação!$I:$I,ocupação!$A:$A,'Controle de vagas'!T$31,ocupação!$N:$N,'Controle de vagas'!$B$4,ocupação!$O:$O,'Controle de vagas'!$B43)</f>
        <v>0</v>
      </c>
      <c r="U43" s="24">
        <f ca="1">SUMIFS(ocupação!$I:$I,ocupação!$A:$A,'Controle de vagas'!U$31,ocupação!$N:$N,'Controle de vagas'!$B$4,ocupação!$O:$O,'Controle de vagas'!$B43)</f>
        <v>0</v>
      </c>
      <c r="V43" s="24">
        <f ca="1">SUMIFS(ocupação!$I:$I,ocupação!$A:$A,'Controle de vagas'!V$31,ocupação!$N:$N,'Controle de vagas'!$B$4,ocupação!$O:$O,'Controle de vagas'!$B43)</f>
        <v>0</v>
      </c>
      <c r="W43" s="24">
        <f ca="1">SUMIFS(ocupação!$I:$I,ocupação!$A:$A,'Controle de vagas'!W$31,ocupação!$N:$N,'Controle de vagas'!$B$4,ocupação!$O:$O,'Controle de vagas'!$B43)</f>
        <v>0</v>
      </c>
      <c r="X43" s="24">
        <f ca="1">SUMIFS(ocupação!$I:$I,ocupação!$A:$A,'Controle de vagas'!X$31,ocupação!$N:$N,'Controle de vagas'!$B$4,ocupação!$O:$O,'Controle de vagas'!$B43)</f>
        <v>0</v>
      </c>
      <c r="Y43" s="24">
        <f ca="1">SUMIFS(ocupação!$I:$I,ocupação!$A:$A,'Controle de vagas'!Y$31,ocupação!$N:$N,'Controle de vagas'!$B$4,ocupação!$O:$O,'Controle de vagas'!$B43)</f>
        <v>0</v>
      </c>
    </row>
    <row r="44" spans="2:25" ht="18.75" x14ac:dyDescent="0.25">
      <c r="B44" s="40" t="s">
        <v>61</v>
      </c>
      <c r="C44" s="18">
        <f ca="1">SUMIFS(ocupação!$I:$I,ocupação!$A:$A,'Controle de vagas'!C$31,ocupação!$N:$N,'Controle de vagas'!$B$4,ocupação!$O:$O,'Controle de vagas'!$B44)</f>
        <v>0</v>
      </c>
      <c r="D44" s="18">
        <f ca="1">SUMIFS(ocupação!$I:$I,ocupação!$A:$A,'Controle de vagas'!D$31,ocupação!$N:$N,'Controle de vagas'!$B$4,ocupação!$O:$O,'Controle de vagas'!$B44)</f>
        <v>0</v>
      </c>
      <c r="E44" s="18">
        <f ca="1">SUMIFS(ocupação!$I:$I,ocupação!$A:$A,'Controle de vagas'!E$31,ocupação!$N:$N,'Controle de vagas'!$B$4,ocupação!$O:$O,'Controle de vagas'!$B44)</f>
        <v>0</v>
      </c>
      <c r="F44" s="18">
        <f ca="1">SUMIFS(ocupação!$I:$I,ocupação!$A:$A,'Controle de vagas'!F$31,ocupação!$N:$N,'Controle de vagas'!$B$4,ocupação!$O:$O,'Controle de vagas'!$B44)</f>
        <v>0</v>
      </c>
      <c r="G44" s="18">
        <f ca="1">SUMIFS(ocupação!$I:$I,ocupação!$A:$A,'Controle de vagas'!G$31,ocupação!$N:$N,'Controle de vagas'!$B$4,ocupação!$O:$O,'Controle de vagas'!$B44)</f>
        <v>0</v>
      </c>
      <c r="H44" s="18">
        <f ca="1">SUMIFS(ocupação!$I:$I,ocupação!$A:$A,'Controle de vagas'!H$31,ocupação!$N:$N,'Controle de vagas'!$B$4,ocupação!$O:$O,'Controle de vagas'!$B44)</f>
        <v>0</v>
      </c>
      <c r="I44" s="18">
        <f ca="1">SUMIFS(ocupação!$I:$I,ocupação!$A:$A,'Controle de vagas'!I$31,ocupação!$N:$N,'Controle de vagas'!$B$4,ocupação!$O:$O,'Controle de vagas'!$B44)</f>
        <v>0</v>
      </c>
      <c r="J44" s="19">
        <f ca="1">SUMIFS(ocupação!$I:$I,ocupação!$A:$A,'Controle de vagas'!J$31,ocupação!$N:$N,'Controle de vagas'!$B$4,ocupação!$O:$O,'Controle de vagas'!$B44)</f>
        <v>0</v>
      </c>
      <c r="K44" s="19">
        <f ca="1">SUMIFS(ocupação!$I:$I,ocupação!$A:$A,'Controle de vagas'!K$31,ocupação!$N:$N,'Controle de vagas'!$B$4,ocupação!$O:$O,'Controle de vagas'!$B44)</f>
        <v>0</v>
      </c>
      <c r="L44" s="19">
        <f ca="1">SUMIFS(ocupação!$I:$I,ocupação!$A:$A,'Controle de vagas'!L$31,ocupação!$N:$N,'Controle de vagas'!$B$4,ocupação!$O:$O,'Controle de vagas'!$B44)</f>
        <v>0</v>
      </c>
      <c r="M44" s="19">
        <f ca="1">SUMIFS(ocupação!$I:$I,ocupação!$A:$A,'Controle de vagas'!M$31,ocupação!$N:$N,'Controle de vagas'!$B$4,ocupação!$O:$O,'Controle de vagas'!$B44)</f>
        <v>0</v>
      </c>
      <c r="N44" s="20">
        <f ca="1">SUMIFS(ocupação!$I:$I,ocupação!$A:$A,'Controle de vagas'!N$31,ocupação!$N:$N,'Controle de vagas'!$B$4,ocupação!$O:$O,'Controle de vagas'!$B44)</f>
        <v>0</v>
      </c>
      <c r="O44" s="20">
        <f ca="1">SUMIFS(ocupação!$I:$I,ocupação!$A:$A,'Controle de vagas'!O$31,ocupação!$N:$N,'Controle de vagas'!$B$4,ocupação!$O:$O,'Controle de vagas'!$B44)</f>
        <v>0</v>
      </c>
      <c r="P44" s="20">
        <f ca="1">SUMIFS(ocupação!$I:$I,ocupação!$A:$A,'Controle de vagas'!P$31,ocupação!$N:$N,'Controle de vagas'!$B$4,ocupação!$O:$O,'Controle de vagas'!$B44)</f>
        <v>0</v>
      </c>
      <c r="Q44" s="20">
        <f ca="1">SUMIFS(ocupação!$I:$I,ocupação!$A:$A,'Controle de vagas'!Q$31,ocupação!$N:$N,'Controle de vagas'!$B$4,ocupação!$O:$O,'Controle de vagas'!$B44)</f>
        <v>0</v>
      </c>
      <c r="R44" s="20">
        <f ca="1">SUMIFS(ocupação!$I:$I,ocupação!$A:$A,'Controle de vagas'!R$31,ocupação!$N:$N,'Controle de vagas'!$B$4,ocupação!$O:$O,'Controle de vagas'!$B44)</f>
        <v>0</v>
      </c>
      <c r="S44" s="20">
        <f ca="1">SUMIFS(ocupação!$I:$I,ocupação!$A:$A,'Controle de vagas'!S$31,ocupação!$N:$N,'Controle de vagas'!$B$4,ocupação!$O:$O,'Controle de vagas'!$B44)</f>
        <v>0</v>
      </c>
      <c r="T44" s="20">
        <f ca="1">SUMIFS(ocupação!$I:$I,ocupação!$A:$A,'Controle de vagas'!T$31,ocupação!$N:$N,'Controle de vagas'!$B$4,ocupação!$O:$O,'Controle de vagas'!$B44)</f>
        <v>0</v>
      </c>
      <c r="U44" s="20">
        <f ca="1">SUMIFS(ocupação!$I:$I,ocupação!$A:$A,'Controle de vagas'!U$31,ocupação!$N:$N,'Controle de vagas'!$B$4,ocupação!$O:$O,'Controle de vagas'!$B44)</f>
        <v>0</v>
      </c>
      <c r="V44" s="20">
        <f ca="1">SUMIFS(ocupação!$I:$I,ocupação!$A:$A,'Controle de vagas'!V$31,ocupação!$N:$N,'Controle de vagas'!$B$4,ocupação!$O:$O,'Controle de vagas'!$B44)</f>
        <v>0</v>
      </c>
      <c r="W44" s="20">
        <f ca="1">SUMIFS(ocupação!$I:$I,ocupação!$A:$A,'Controle de vagas'!W$31,ocupação!$N:$N,'Controle de vagas'!$B$4,ocupação!$O:$O,'Controle de vagas'!$B44)</f>
        <v>0</v>
      </c>
      <c r="X44" s="20">
        <f ca="1">SUMIFS(ocupação!$I:$I,ocupação!$A:$A,'Controle de vagas'!X$31,ocupação!$N:$N,'Controle de vagas'!$B$4,ocupação!$O:$O,'Controle de vagas'!$B44)</f>
        <v>0</v>
      </c>
      <c r="Y44" s="20">
        <f ca="1">SUMIFS(ocupação!$I:$I,ocupação!$A:$A,'Controle de vagas'!Y$31,ocupação!$N:$N,'Controle de vagas'!$B$4,ocupação!$O:$O,'Controle de vagas'!$B44)</f>
        <v>0</v>
      </c>
    </row>
    <row r="45" spans="2:25" ht="18.75" x14ac:dyDescent="0.25">
      <c r="B45" s="47" t="s">
        <v>62</v>
      </c>
      <c r="C45" s="22">
        <f ca="1">SUMIFS(ocupação!$I:$I,ocupação!$A:$A,'Controle de vagas'!C$31,ocupação!$N:$N,'Controle de vagas'!$B$4,ocupação!$O:$O,'Controle de vagas'!$B45)</f>
        <v>0</v>
      </c>
      <c r="D45" s="22">
        <f ca="1">SUMIFS(ocupação!$I:$I,ocupação!$A:$A,'Controle de vagas'!D$31,ocupação!$N:$N,'Controle de vagas'!$B$4,ocupação!$O:$O,'Controle de vagas'!$B45)</f>
        <v>0</v>
      </c>
      <c r="E45" s="22">
        <f ca="1">SUMIFS(ocupação!$I:$I,ocupação!$A:$A,'Controle de vagas'!E$31,ocupação!$N:$N,'Controle de vagas'!$B$4,ocupação!$O:$O,'Controle de vagas'!$B45)</f>
        <v>0</v>
      </c>
      <c r="F45" s="22">
        <f ca="1">SUMIFS(ocupação!$I:$I,ocupação!$A:$A,'Controle de vagas'!F$31,ocupação!$N:$N,'Controle de vagas'!$B$4,ocupação!$O:$O,'Controle de vagas'!$B45)</f>
        <v>0</v>
      </c>
      <c r="G45" s="22">
        <f ca="1">SUMIFS(ocupação!$I:$I,ocupação!$A:$A,'Controle de vagas'!G$31,ocupação!$N:$N,'Controle de vagas'!$B$4,ocupação!$O:$O,'Controle de vagas'!$B45)</f>
        <v>0</v>
      </c>
      <c r="H45" s="22">
        <f ca="1">SUMIFS(ocupação!$I:$I,ocupação!$A:$A,'Controle de vagas'!H$31,ocupação!$N:$N,'Controle de vagas'!$B$4,ocupação!$O:$O,'Controle de vagas'!$B45)</f>
        <v>0</v>
      </c>
      <c r="I45" s="22">
        <f ca="1">SUMIFS(ocupação!$I:$I,ocupação!$A:$A,'Controle de vagas'!I$31,ocupação!$N:$N,'Controle de vagas'!$B$4,ocupação!$O:$O,'Controle de vagas'!$B45)</f>
        <v>0</v>
      </c>
      <c r="J45" s="23">
        <f ca="1">SUMIFS(ocupação!$I:$I,ocupação!$A:$A,'Controle de vagas'!J$31,ocupação!$N:$N,'Controle de vagas'!$B$4,ocupação!$O:$O,'Controle de vagas'!$B45)</f>
        <v>0</v>
      </c>
      <c r="K45" s="23">
        <f ca="1">SUMIFS(ocupação!$I:$I,ocupação!$A:$A,'Controle de vagas'!K$31,ocupação!$N:$N,'Controle de vagas'!$B$4,ocupação!$O:$O,'Controle de vagas'!$B45)</f>
        <v>0</v>
      </c>
      <c r="L45" s="23">
        <f ca="1">SUMIFS(ocupação!$I:$I,ocupação!$A:$A,'Controle de vagas'!L$31,ocupação!$N:$N,'Controle de vagas'!$B$4,ocupação!$O:$O,'Controle de vagas'!$B45)</f>
        <v>0</v>
      </c>
      <c r="M45" s="23">
        <f ca="1">SUMIFS(ocupação!$I:$I,ocupação!$A:$A,'Controle de vagas'!M$31,ocupação!$N:$N,'Controle de vagas'!$B$4,ocupação!$O:$O,'Controle de vagas'!$B45)</f>
        <v>0</v>
      </c>
      <c r="N45" s="24">
        <f ca="1">SUMIFS(ocupação!$I:$I,ocupação!$A:$A,'Controle de vagas'!N$31,ocupação!$N:$N,'Controle de vagas'!$B$4,ocupação!$O:$O,'Controle de vagas'!$B45)</f>
        <v>0</v>
      </c>
      <c r="O45" s="24">
        <f ca="1">SUMIFS(ocupação!$I:$I,ocupação!$A:$A,'Controle de vagas'!O$31,ocupação!$N:$N,'Controle de vagas'!$B$4,ocupação!$O:$O,'Controle de vagas'!$B45)</f>
        <v>0</v>
      </c>
      <c r="P45" s="24">
        <f ca="1">SUMIFS(ocupação!$I:$I,ocupação!$A:$A,'Controle de vagas'!P$31,ocupação!$N:$N,'Controle de vagas'!$B$4,ocupação!$O:$O,'Controle de vagas'!$B45)</f>
        <v>0</v>
      </c>
      <c r="Q45" s="24">
        <f ca="1">SUMIFS(ocupação!$I:$I,ocupação!$A:$A,'Controle de vagas'!Q$31,ocupação!$N:$N,'Controle de vagas'!$B$4,ocupação!$O:$O,'Controle de vagas'!$B45)</f>
        <v>0</v>
      </c>
      <c r="R45" s="24">
        <f ca="1">SUMIFS(ocupação!$I:$I,ocupação!$A:$A,'Controle de vagas'!R$31,ocupação!$N:$N,'Controle de vagas'!$B$4,ocupação!$O:$O,'Controle de vagas'!$B45)</f>
        <v>0</v>
      </c>
      <c r="S45" s="24">
        <f ca="1">SUMIFS(ocupação!$I:$I,ocupação!$A:$A,'Controle de vagas'!S$31,ocupação!$N:$N,'Controle de vagas'!$B$4,ocupação!$O:$O,'Controle de vagas'!$B45)</f>
        <v>0</v>
      </c>
      <c r="T45" s="24">
        <f ca="1">SUMIFS(ocupação!$I:$I,ocupação!$A:$A,'Controle de vagas'!T$31,ocupação!$N:$N,'Controle de vagas'!$B$4,ocupação!$O:$O,'Controle de vagas'!$B45)</f>
        <v>0</v>
      </c>
      <c r="U45" s="24">
        <f ca="1">SUMIFS(ocupação!$I:$I,ocupação!$A:$A,'Controle de vagas'!U$31,ocupação!$N:$N,'Controle de vagas'!$B$4,ocupação!$O:$O,'Controle de vagas'!$B45)</f>
        <v>0</v>
      </c>
      <c r="V45" s="24">
        <f ca="1">SUMIFS(ocupação!$I:$I,ocupação!$A:$A,'Controle de vagas'!V$31,ocupação!$N:$N,'Controle de vagas'!$B$4,ocupação!$O:$O,'Controle de vagas'!$B45)</f>
        <v>0</v>
      </c>
      <c r="W45" s="24">
        <f ca="1">SUMIFS(ocupação!$I:$I,ocupação!$A:$A,'Controle de vagas'!W$31,ocupação!$N:$N,'Controle de vagas'!$B$4,ocupação!$O:$O,'Controle de vagas'!$B45)</f>
        <v>0</v>
      </c>
      <c r="X45" s="24">
        <f ca="1">SUMIFS(ocupação!$I:$I,ocupação!$A:$A,'Controle de vagas'!X$31,ocupação!$N:$N,'Controle de vagas'!$B$4,ocupação!$O:$O,'Controle de vagas'!$B45)</f>
        <v>0</v>
      </c>
      <c r="Y45" s="24">
        <f ca="1">SUMIFS(ocupação!$I:$I,ocupação!$A:$A,'Controle de vagas'!Y$31,ocupação!$N:$N,'Controle de vagas'!$B$4,ocupação!$O:$O,'Controle de vagas'!$B45)</f>
        <v>0</v>
      </c>
    </row>
    <row r="46" spans="2:25" ht="18.75" x14ac:dyDescent="0.25">
      <c r="B46" s="40" t="s">
        <v>63</v>
      </c>
      <c r="C46" s="18">
        <f ca="1">SUMIFS(ocupação!$I:$I,ocupação!$A:$A,'Controle de vagas'!C$31,ocupação!$N:$N,'Controle de vagas'!$B$4,ocupação!$O:$O,'Controle de vagas'!$B46)</f>
        <v>0</v>
      </c>
      <c r="D46" s="18">
        <f ca="1">SUMIFS(ocupação!$I:$I,ocupação!$A:$A,'Controle de vagas'!D$31,ocupação!$N:$N,'Controle de vagas'!$B$4,ocupação!$O:$O,'Controle de vagas'!$B46)</f>
        <v>0</v>
      </c>
      <c r="E46" s="18">
        <f ca="1">SUMIFS(ocupação!$I:$I,ocupação!$A:$A,'Controle de vagas'!E$31,ocupação!$N:$N,'Controle de vagas'!$B$4,ocupação!$O:$O,'Controle de vagas'!$B46)</f>
        <v>0</v>
      </c>
      <c r="F46" s="18">
        <f ca="1">SUMIFS(ocupação!$I:$I,ocupação!$A:$A,'Controle de vagas'!F$31,ocupação!$N:$N,'Controle de vagas'!$B$4,ocupação!$O:$O,'Controle de vagas'!$B46)</f>
        <v>0</v>
      </c>
      <c r="G46" s="18">
        <f ca="1">SUMIFS(ocupação!$I:$I,ocupação!$A:$A,'Controle de vagas'!G$31,ocupação!$N:$N,'Controle de vagas'!$B$4,ocupação!$O:$O,'Controle de vagas'!$B46)</f>
        <v>0</v>
      </c>
      <c r="H46" s="18">
        <f ca="1">SUMIFS(ocupação!$I:$I,ocupação!$A:$A,'Controle de vagas'!H$31,ocupação!$N:$N,'Controle de vagas'!$B$4,ocupação!$O:$O,'Controle de vagas'!$B46)</f>
        <v>0</v>
      </c>
      <c r="I46" s="18">
        <f ca="1">SUMIFS(ocupação!$I:$I,ocupação!$A:$A,'Controle de vagas'!I$31,ocupação!$N:$N,'Controle de vagas'!$B$4,ocupação!$O:$O,'Controle de vagas'!$B46)</f>
        <v>0</v>
      </c>
      <c r="J46" s="19">
        <f ca="1">SUMIFS(ocupação!$I:$I,ocupação!$A:$A,'Controle de vagas'!J$31,ocupação!$N:$N,'Controle de vagas'!$B$4,ocupação!$O:$O,'Controle de vagas'!$B46)</f>
        <v>0</v>
      </c>
      <c r="K46" s="19">
        <f ca="1">SUMIFS(ocupação!$I:$I,ocupação!$A:$A,'Controle de vagas'!K$31,ocupação!$N:$N,'Controle de vagas'!$B$4,ocupação!$O:$O,'Controle de vagas'!$B46)</f>
        <v>0</v>
      </c>
      <c r="L46" s="19">
        <f ca="1">SUMIFS(ocupação!$I:$I,ocupação!$A:$A,'Controle de vagas'!L$31,ocupação!$N:$N,'Controle de vagas'!$B$4,ocupação!$O:$O,'Controle de vagas'!$B46)</f>
        <v>0</v>
      </c>
      <c r="M46" s="19">
        <f ca="1">SUMIFS(ocupação!$I:$I,ocupação!$A:$A,'Controle de vagas'!M$31,ocupação!$N:$N,'Controle de vagas'!$B$4,ocupação!$O:$O,'Controle de vagas'!$B46)</f>
        <v>0</v>
      </c>
      <c r="N46" s="20">
        <f ca="1">SUMIFS(ocupação!$I:$I,ocupação!$A:$A,'Controle de vagas'!N$31,ocupação!$N:$N,'Controle de vagas'!$B$4,ocupação!$O:$O,'Controle de vagas'!$B46)</f>
        <v>0</v>
      </c>
      <c r="O46" s="20">
        <f ca="1">SUMIFS(ocupação!$I:$I,ocupação!$A:$A,'Controle de vagas'!O$31,ocupação!$N:$N,'Controle de vagas'!$B$4,ocupação!$O:$O,'Controle de vagas'!$B46)</f>
        <v>0</v>
      </c>
      <c r="P46" s="20">
        <f ca="1">SUMIFS(ocupação!$I:$I,ocupação!$A:$A,'Controle de vagas'!P$31,ocupação!$N:$N,'Controle de vagas'!$B$4,ocupação!$O:$O,'Controle de vagas'!$B46)</f>
        <v>0</v>
      </c>
      <c r="Q46" s="20">
        <f ca="1">SUMIFS(ocupação!$I:$I,ocupação!$A:$A,'Controle de vagas'!Q$31,ocupação!$N:$N,'Controle de vagas'!$B$4,ocupação!$O:$O,'Controle de vagas'!$B46)</f>
        <v>0</v>
      </c>
      <c r="R46" s="20">
        <f ca="1">SUMIFS(ocupação!$I:$I,ocupação!$A:$A,'Controle de vagas'!R$31,ocupação!$N:$N,'Controle de vagas'!$B$4,ocupação!$O:$O,'Controle de vagas'!$B46)</f>
        <v>0</v>
      </c>
      <c r="S46" s="20">
        <f ca="1">SUMIFS(ocupação!$I:$I,ocupação!$A:$A,'Controle de vagas'!S$31,ocupação!$N:$N,'Controle de vagas'!$B$4,ocupação!$O:$O,'Controle de vagas'!$B46)</f>
        <v>0</v>
      </c>
      <c r="T46" s="20">
        <f ca="1">SUMIFS(ocupação!$I:$I,ocupação!$A:$A,'Controle de vagas'!T$31,ocupação!$N:$N,'Controle de vagas'!$B$4,ocupação!$O:$O,'Controle de vagas'!$B46)</f>
        <v>0</v>
      </c>
      <c r="U46" s="20">
        <f ca="1">SUMIFS(ocupação!$I:$I,ocupação!$A:$A,'Controle de vagas'!U$31,ocupação!$N:$N,'Controle de vagas'!$B$4,ocupação!$O:$O,'Controle de vagas'!$B46)</f>
        <v>0</v>
      </c>
      <c r="V46" s="20">
        <f ca="1">SUMIFS(ocupação!$I:$I,ocupação!$A:$A,'Controle de vagas'!V$31,ocupação!$N:$N,'Controle de vagas'!$B$4,ocupação!$O:$O,'Controle de vagas'!$B46)</f>
        <v>0</v>
      </c>
      <c r="W46" s="20">
        <f ca="1">SUMIFS(ocupação!$I:$I,ocupação!$A:$A,'Controle de vagas'!W$31,ocupação!$N:$N,'Controle de vagas'!$B$4,ocupação!$O:$O,'Controle de vagas'!$B46)</f>
        <v>0</v>
      </c>
      <c r="X46" s="20">
        <f ca="1">SUMIFS(ocupação!$I:$I,ocupação!$A:$A,'Controle de vagas'!X$31,ocupação!$N:$N,'Controle de vagas'!$B$4,ocupação!$O:$O,'Controle de vagas'!$B46)</f>
        <v>0</v>
      </c>
      <c r="Y46" s="20">
        <f ca="1">SUMIFS(ocupação!$I:$I,ocupação!$A:$A,'Controle de vagas'!Y$31,ocupação!$N:$N,'Controle de vagas'!$B$4,ocupação!$O:$O,'Controle de vagas'!$B46)</f>
        <v>0</v>
      </c>
    </row>
    <row r="47" spans="2:25" ht="18.75" x14ac:dyDescent="0.25">
      <c r="B47" s="21" t="s">
        <v>64</v>
      </c>
      <c r="C47" s="22">
        <f ca="1">SUMIFS(ocupação!$I:$I,ocupação!$A:$A,'Controle de vagas'!C$31,ocupação!$N:$N,'Controle de vagas'!$B$4,ocupação!$O:$O,'Controle de vagas'!$B47)</f>
        <v>0</v>
      </c>
      <c r="D47" s="22">
        <f ca="1">SUMIFS(ocupação!$I:$I,ocupação!$A:$A,'Controle de vagas'!D$31,ocupação!$N:$N,'Controle de vagas'!$B$4,ocupação!$O:$O,'Controle de vagas'!$B47)</f>
        <v>0</v>
      </c>
      <c r="E47" s="22">
        <f ca="1">SUMIFS(ocupação!$I:$I,ocupação!$A:$A,'Controle de vagas'!E$31,ocupação!$N:$N,'Controle de vagas'!$B$4,ocupação!$O:$O,'Controle de vagas'!$B47)</f>
        <v>0</v>
      </c>
      <c r="F47" s="22">
        <f ca="1">SUMIFS(ocupação!$I:$I,ocupação!$A:$A,'Controle de vagas'!F$31,ocupação!$N:$N,'Controle de vagas'!$B$4,ocupação!$O:$O,'Controle de vagas'!$B47)</f>
        <v>0</v>
      </c>
      <c r="G47" s="22">
        <f ca="1">SUMIFS(ocupação!$I:$I,ocupação!$A:$A,'Controle de vagas'!G$31,ocupação!$N:$N,'Controle de vagas'!$B$4,ocupação!$O:$O,'Controle de vagas'!$B47)</f>
        <v>0</v>
      </c>
      <c r="H47" s="22">
        <f ca="1">SUMIFS(ocupação!$I:$I,ocupação!$A:$A,'Controle de vagas'!H$31,ocupação!$N:$N,'Controle de vagas'!$B$4,ocupação!$O:$O,'Controle de vagas'!$B47)</f>
        <v>0</v>
      </c>
      <c r="I47" s="22">
        <f ca="1">SUMIFS(ocupação!$I:$I,ocupação!$A:$A,'Controle de vagas'!I$31,ocupação!$N:$N,'Controle de vagas'!$B$4,ocupação!$O:$O,'Controle de vagas'!$B47)</f>
        <v>0</v>
      </c>
      <c r="J47" s="23">
        <f ca="1">SUMIFS(ocupação!$I:$I,ocupação!$A:$A,'Controle de vagas'!J$31,ocupação!$N:$N,'Controle de vagas'!$B$4,ocupação!$O:$O,'Controle de vagas'!$B47)</f>
        <v>0</v>
      </c>
      <c r="K47" s="23">
        <f ca="1">SUMIFS(ocupação!$I:$I,ocupação!$A:$A,'Controle de vagas'!K$31,ocupação!$N:$N,'Controle de vagas'!$B$4,ocupação!$O:$O,'Controle de vagas'!$B47)</f>
        <v>0</v>
      </c>
      <c r="L47" s="23">
        <f ca="1">SUMIFS(ocupação!$I:$I,ocupação!$A:$A,'Controle de vagas'!L$31,ocupação!$N:$N,'Controle de vagas'!$B$4,ocupação!$O:$O,'Controle de vagas'!$B47)</f>
        <v>0</v>
      </c>
      <c r="M47" s="23">
        <f ca="1">SUMIFS(ocupação!$I:$I,ocupação!$A:$A,'Controle de vagas'!M$31,ocupação!$N:$N,'Controle de vagas'!$B$4,ocupação!$O:$O,'Controle de vagas'!$B47)</f>
        <v>0</v>
      </c>
      <c r="N47" s="24">
        <f ca="1">SUMIFS(ocupação!$I:$I,ocupação!$A:$A,'Controle de vagas'!N$31,ocupação!$N:$N,'Controle de vagas'!$B$4,ocupação!$O:$O,'Controle de vagas'!$B47)</f>
        <v>0</v>
      </c>
      <c r="O47" s="24">
        <f ca="1">SUMIFS(ocupação!$I:$I,ocupação!$A:$A,'Controle de vagas'!O$31,ocupação!$N:$N,'Controle de vagas'!$B$4,ocupação!$O:$O,'Controle de vagas'!$B47)</f>
        <v>0</v>
      </c>
      <c r="P47" s="24">
        <f ca="1">SUMIFS(ocupação!$I:$I,ocupação!$A:$A,'Controle de vagas'!P$31,ocupação!$N:$N,'Controle de vagas'!$B$4,ocupação!$O:$O,'Controle de vagas'!$B47)</f>
        <v>0</v>
      </c>
      <c r="Q47" s="24">
        <f ca="1">SUMIFS(ocupação!$I:$I,ocupação!$A:$A,'Controle de vagas'!Q$31,ocupação!$N:$N,'Controle de vagas'!$B$4,ocupação!$O:$O,'Controle de vagas'!$B47)</f>
        <v>0</v>
      </c>
      <c r="R47" s="24">
        <f ca="1">SUMIFS(ocupação!$I:$I,ocupação!$A:$A,'Controle de vagas'!R$31,ocupação!$N:$N,'Controle de vagas'!$B$4,ocupação!$O:$O,'Controle de vagas'!$B47)</f>
        <v>0</v>
      </c>
      <c r="S47" s="24">
        <f ca="1">SUMIFS(ocupação!$I:$I,ocupação!$A:$A,'Controle de vagas'!S$31,ocupação!$N:$N,'Controle de vagas'!$B$4,ocupação!$O:$O,'Controle de vagas'!$B47)</f>
        <v>0</v>
      </c>
      <c r="T47" s="24">
        <f ca="1">SUMIFS(ocupação!$I:$I,ocupação!$A:$A,'Controle de vagas'!T$31,ocupação!$N:$N,'Controle de vagas'!$B$4,ocupação!$O:$O,'Controle de vagas'!$B47)</f>
        <v>0</v>
      </c>
      <c r="U47" s="24">
        <f ca="1">SUMIFS(ocupação!$I:$I,ocupação!$A:$A,'Controle de vagas'!U$31,ocupação!$N:$N,'Controle de vagas'!$B$4,ocupação!$O:$O,'Controle de vagas'!$B47)</f>
        <v>0</v>
      </c>
      <c r="V47" s="24">
        <f ca="1">SUMIFS(ocupação!$I:$I,ocupação!$A:$A,'Controle de vagas'!V$31,ocupação!$N:$N,'Controle de vagas'!$B$4,ocupação!$O:$O,'Controle de vagas'!$B47)</f>
        <v>0</v>
      </c>
      <c r="W47" s="24">
        <f ca="1">SUMIFS(ocupação!$I:$I,ocupação!$A:$A,'Controle de vagas'!W$31,ocupação!$N:$N,'Controle de vagas'!$B$4,ocupação!$O:$O,'Controle de vagas'!$B47)</f>
        <v>0</v>
      </c>
      <c r="X47" s="24">
        <f ca="1">SUMIFS(ocupação!$I:$I,ocupação!$A:$A,'Controle de vagas'!X$31,ocupação!$N:$N,'Controle de vagas'!$B$4,ocupação!$O:$O,'Controle de vagas'!$B47)</f>
        <v>0</v>
      </c>
      <c r="Y47" s="24">
        <f ca="1">SUMIFS(ocupação!$I:$I,ocupação!$A:$A,'Controle de vagas'!Y$31,ocupação!$N:$N,'Controle de vagas'!$B$4,ocupação!$O:$O,'Controle de vagas'!$B47)</f>
        <v>0</v>
      </c>
    </row>
    <row r="48" spans="2:25" ht="18.75" x14ac:dyDescent="0.25">
      <c r="B48" s="46" t="s">
        <v>65</v>
      </c>
      <c r="C48" s="18">
        <f ca="1">SUMIFS(ocupação!$I:$I,ocupação!$A:$A,'Controle de vagas'!C$31,ocupação!$N:$N,'Controle de vagas'!$B$4,ocupação!$O:$O,'Controle de vagas'!$B48)</f>
        <v>0</v>
      </c>
      <c r="D48" s="18">
        <f ca="1">SUMIFS(ocupação!$I:$I,ocupação!$A:$A,'Controle de vagas'!D$31,ocupação!$N:$N,'Controle de vagas'!$B$4,ocupação!$O:$O,'Controle de vagas'!$B48)</f>
        <v>0</v>
      </c>
      <c r="E48" s="18">
        <f ca="1">SUMIFS(ocupação!$I:$I,ocupação!$A:$A,'Controle de vagas'!E$31,ocupação!$N:$N,'Controle de vagas'!$B$4,ocupação!$O:$O,'Controle de vagas'!$B48)</f>
        <v>0</v>
      </c>
      <c r="F48" s="18">
        <f ca="1">SUMIFS(ocupação!$I:$I,ocupação!$A:$A,'Controle de vagas'!F$31,ocupação!$N:$N,'Controle de vagas'!$B$4,ocupação!$O:$O,'Controle de vagas'!$B48)</f>
        <v>0</v>
      </c>
      <c r="G48" s="18">
        <f ca="1">SUMIFS(ocupação!$I:$I,ocupação!$A:$A,'Controle de vagas'!G$31,ocupação!$N:$N,'Controle de vagas'!$B$4,ocupação!$O:$O,'Controle de vagas'!$B48)</f>
        <v>0</v>
      </c>
      <c r="H48" s="18">
        <f ca="1">SUMIFS(ocupação!$I:$I,ocupação!$A:$A,'Controle de vagas'!H$31,ocupação!$N:$N,'Controle de vagas'!$B$4,ocupação!$O:$O,'Controle de vagas'!$B48)</f>
        <v>24</v>
      </c>
      <c r="I48" s="18">
        <f ca="1">SUMIFS(ocupação!$I:$I,ocupação!$A:$A,'Controle de vagas'!I$31,ocupação!$N:$N,'Controle de vagas'!$B$4,ocupação!$O:$O,'Controle de vagas'!$B48)</f>
        <v>0</v>
      </c>
      <c r="J48" s="19">
        <f ca="1">SUMIFS(ocupação!$I:$I,ocupação!$A:$A,'Controle de vagas'!J$31,ocupação!$N:$N,'Controle de vagas'!$B$4,ocupação!$O:$O,'Controle de vagas'!$B48)</f>
        <v>0</v>
      </c>
      <c r="K48" s="19">
        <f ca="1">SUMIFS(ocupação!$I:$I,ocupação!$A:$A,'Controle de vagas'!K$31,ocupação!$N:$N,'Controle de vagas'!$B$4,ocupação!$O:$O,'Controle de vagas'!$B48)</f>
        <v>0</v>
      </c>
      <c r="L48" s="19">
        <f ca="1">SUMIFS(ocupação!$I:$I,ocupação!$A:$A,'Controle de vagas'!L$31,ocupação!$N:$N,'Controle de vagas'!$B$4,ocupação!$O:$O,'Controle de vagas'!$B48)</f>
        <v>0</v>
      </c>
      <c r="M48" s="19">
        <f ca="1">SUMIFS(ocupação!$I:$I,ocupação!$A:$A,'Controle de vagas'!M$31,ocupação!$N:$N,'Controle de vagas'!$B$4,ocupação!$O:$O,'Controle de vagas'!$B48)</f>
        <v>0</v>
      </c>
      <c r="N48" s="20">
        <f ca="1">SUMIFS(ocupação!$I:$I,ocupação!$A:$A,'Controle de vagas'!N$31,ocupação!$N:$N,'Controle de vagas'!$B$4,ocupação!$O:$O,'Controle de vagas'!$B48)</f>
        <v>0</v>
      </c>
      <c r="O48" s="20">
        <f ca="1">SUMIFS(ocupação!$I:$I,ocupação!$A:$A,'Controle de vagas'!O$31,ocupação!$N:$N,'Controle de vagas'!$B$4,ocupação!$O:$O,'Controle de vagas'!$B48)</f>
        <v>0</v>
      </c>
      <c r="P48" s="20">
        <f ca="1">SUMIFS(ocupação!$I:$I,ocupação!$A:$A,'Controle de vagas'!P$31,ocupação!$N:$N,'Controle de vagas'!$B$4,ocupação!$O:$O,'Controle de vagas'!$B48)</f>
        <v>0</v>
      </c>
      <c r="Q48" s="20">
        <v>64</v>
      </c>
      <c r="R48" s="20">
        <f ca="1">SUMIFS(ocupação!$I:$I,ocupação!$A:$A,'Controle de vagas'!R$31,ocupação!$N:$N,'Controle de vagas'!$B$4,ocupação!$O:$O,'Controle de vagas'!$B48)</f>
        <v>0</v>
      </c>
      <c r="S48" s="20">
        <f ca="1">SUMIFS(ocupação!$I:$I,ocupação!$A:$A,'Controle de vagas'!S$31,ocupação!$N:$N,'Controle de vagas'!$B$4,ocupação!$O:$O,'Controle de vagas'!$B48)</f>
        <v>0</v>
      </c>
      <c r="T48" s="20">
        <f ca="1">SUMIFS(ocupação!$I:$I,ocupação!$A:$A,'Controle de vagas'!T$31,ocupação!$N:$N,'Controle de vagas'!$B$4,ocupação!$O:$O,'Controle de vagas'!$B48)</f>
        <v>0</v>
      </c>
      <c r="U48" s="20">
        <f ca="1">SUMIFS(ocupação!$I:$I,ocupação!$A:$A,'Controle de vagas'!U$31,ocupação!$N:$N,'Controle de vagas'!$B$4,ocupação!$O:$O,'Controle de vagas'!$B48)</f>
        <v>0</v>
      </c>
      <c r="V48" s="20">
        <f ca="1">SUMIFS(ocupação!$I:$I,ocupação!$A:$A,'Controle de vagas'!V$31,ocupação!$N:$N,'Controle de vagas'!$B$4,ocupação!$O:$O,'Controle de vagas'!$B48)</f>
        <v>0</v>
      </c>
      <c r="W48" s="20">
        <f ca="1">SUMIFS(ocupação!$I:$I,ocupação!$A:$A,'Controle de vagas'!W$31,ocupação!$N:$N,'Controle de vagas'!$B$4,ocupação!$O:$O,'Controle de vagas'!$B48)</f>
        <v>0</v>
      </c>
      <c r="X48" s="20">
        <f ca="1">SUMIFS(ocupação!$I:$I,ocupação!$A:$A,'Controle de vagas'!X$31,ocupação!$N:$N,'Controle de vagas'!$B$4,ocupação!$O:$O,'Controle de vagas'!$B48)</f>
        <v>0</v>
      </c>
      <c r="Y48" s="20">
        <f ca="1">SUMIFS(ocupação!$I:$I,ocupação!$A:$A,'Controle de vagas'!Y$31,ocupação!$N:$N,'Controle de vagas'!$B$4,ocupação!$O:$O,'Controle de vagas'!$B48)</f>
        <v>0</v>
      </c>
    </row>
    <row r="49" spans="2:25" ht="18.75" x14ac:dyDescent="0.25">
      <c r="B49" s="21" t="s">
        <v>66</v>
      </c>
      <c r="C49" s="22">
        <f ca="1">SUMIFS(ocupação!$I:$I,ocupação!$A:$A,'Controle de vagas'!C$31,ocupação!$N:$N,'Controle de vagas'!$B$4,ocupação!$O:$O,'Controle de vagas'!$B49)</f>
        <v>0</v>
      </c>
      <c r="D49" s="22">
        <f ca="1">SUMIFS(ocupação!$I:$I,ocupação!$A:$A,'Controle de vagas'!D$31,ocupação!$N:$N,'Controle de vagas'!$B$4,ocupação!$O:$O,'Controle de vagas'!$B49)</f>
        <v>0</v>
      </c>
      <c r="E49" s="22">
        <f ca="1">SUMIFS(ocupação!$I:$I,ocupação!$A:$A,'Controle de vagas'!E$31,ocupação!$N:$N,'Controle de vagas'!$B$4,ocupação!$O:$O,'Controle de vagas'!$B49)</f>
        <v>0</v>
      </c>
      <c r="F49" s="22">
        <f ca="1">SUMIFS(ocupação!$I:$I,ocupação!$A:$A,'Controle de vagas'!F$31,ocupação!$N:$N,'Controle de vagas'!$B$4,ocupação!$O:$O,'Controle de vagas'!$B49)</f>
        <v>0</v>
      </c>
      <c r="G49" s="22">
        <f ca="1">SUMIFS(ocupação!$I:$I,ocupação!$A:$A,'Controle de vagas'!G$31,ocupação!$N:$N,'Controle de vagas'!$B$4,ocupação!$O:$O,'Controle de vagas'!$B49)</f>
        <v>0</v>
      </c>
      <c r="H49" s="22">
        <f ca="1">SUMIFS(ocupação!$I:$I,ocupação!$A:$A,'Controle de vagas'!H$31,ocupação!$N:$N,'Controle de vagas'!$B$4,ocupação!$O:$O,'Controle de vagas'!$B49)</f>
        <v>0</v>
      </c>
      <c r="I49" s="22">
        <f ca="1">SUMIFS(ocupação!$I:$I,ocupação!$A:$A,'Controle de vagas'!I$31,ocupação!$N:$N,'Controle de vagas'!$B$4,ocupação!$O:$O,'Controle de vagas'!$B49)</f>
        <v>0</v>
      </c>
      <c r="J49" s="23">
        <f ca="1">SUMIFS(ocupação!$I:$I,ocupação!$A:$A,'Controle de vagas'!J$31,ocupação!$N:$N,'Controle de vagas'!$B$4,ocupação!$O:$O,'Controle de vagas'!$B49)</f>
        <v>0</v>
      </c>
      <c r="K49" s="23">
        <f ca="1">SUMIFS(ocupação!$I:$I,ocupação!$A:$A,'Controle de vagas'!K$31,ocupação!$N:$N,'Controle de vagas'!$B$4,ocupação!$O:$O,'Controle de vagas'!$B49)</f>
        <v>0</v>
      </c>
      <c r="L49" s="23">
        <f ca="1">SUMIFS(ocupação!$I:$I,ocupação!$A:$A,'Controle de vagas'!L$31,ocupação!$N:$N,'Controle de vagas'!$B$4,ocupação!$O:$O,'Controle de vagas'!$B49)</f>
        <v>0</v>
      </c>
      <c r="M49" s="23">
        <f ca="1">SUMIFS(ocupação!$I:$I,ocupação!$A:$A,'Controle de vagas'!M$31,ocupação!$N:$N,'Controle de vagas'!$B$4,ocupação!$O:$O,'Controle de vagas'!$B49)</f>
        <v>0</v>
      </c>
      <c r="N49" s="24">
        <f ca="1">SUMIFS(ocupação!$I:$I,ocupação!$A:$A,'Controle de vagas'!N$31,ocupação!$N:$N,'Controle de vagas'!$B$4,ocupação!$O:$O,'Controle de vagas'!$B49)</f>
        <v>0</v>
      </c>
      <c r="O49" s="24">
        <f ca="1">SUMIFS(ocupação!$I:$I,ocupação!$A:$A,'Controle de vagas'!O$31,ocupação!$N:$N,'Controle de vagas'!$B$4,ocupação!$O:$O,'Controle de vagas'!$B49)</f>
        <v>0</v>
      </c>
      <c r="P49" s="24">
        <f ca="1">SUMIFS(ocupação!$I:$I,ocupação!$A:$A,'Controle de vagas'!P$31,ocupação!$N:$N,'Controle de vagas'!$B$4,ocupação!$O:$O,'Controle de vagas'!$B49)</f>
        <v>0</v>
      </c>
      <c r="Q49" s="24">
        <f ca="1">SUMIFS(ocupação!$I:$I,ocupação!$A:$A,'Controle de vagas'!Q$31,ocupação!$N:$N,'Controle de vagas'!$B$4,ocupação!$O:$O,'Controle de vagas'!$B49)</f>
        <v>0</v>
      </c>
      <c r="R49" s="24">
        <f ca="1">SUMIFS(ocupação!$I:$I,ocupação!$A:$A,'Controle de vagas'!R$31,ocupação!$N:$N,'Controle de vagas'!$B$4,ocupação!$O:$O,'Controle de vagas'!$B49)</f>
        <v>0</v>
      </c>
      <c r="S49" s="24">
        <f ca="1">SUMIFS(ocupação!$I:$I,ocupação!$A:$A,'Controle de vagas'!S$31,ocupação!$N:$N,'Controle de vagas'!$B$4,ocupação!$O:$O,'Controle de vagas'!$B49)</f>
        <v>0</v>
      </c>
      <c r="T49" s="24">
        <f ca="1">SUMIFS(ocupação!$I:$I,ocupação!$A:$A,'Controle de vagas'!T$31,ocupação!$N:$N,'Controle de vagas'!$B$4,ocupação!$O:$O,'Controle de vagas'!$B49)</f>
        <v>0</v>
      </c>
      <c r="U49" s="24">
        <f ca="1">SUMIFS(ocupação!$I:$I,ocupação!$A:$A,'Controle de vagas'!U$31,ocupação!$N:$N,'Controle de vagas'!$B$4,ocupação!$O:$O,'Controle de vagas'!$B49)</f>
        <v>0</v>
      </c>
      <c r="V49" s="24">
        <f ca="1">SUMIFS(ocupação!$I:$I,ocupação!$A:$A,'Controle de vagas'!V$31,ocupação!$N:$N,'Controle de vagas'!$B$4,ocupação!$O:$O,'Controle de vagas'!$B49)</f>
        <v>0</v>
      </c>
      <c r="W49" s="24">
        <f ca="1">SUMIFS(ocupação!$I:$I,ocupação!$A:$A,'Controle de vagas'!W$31,ocupação!$N:$N,'Controle de vagas'!$B$4,ocupação!$O:$O,'Controle de vagas'!$B49)</f>
        <v>0</v>
      </c>
      <c r="X49" s="24">
        <f ca="1">SUMIFS(ocupação!$I:$I,ocupação!$A:$A,'Controle de vagas'!X$31,ocupação!$N:$N,'Controle de vagas'!$B$4,ocupação!$O:$O,'Controle de vagas'!$B49)</f>
        <v>0</v>
      </c>
      <c r="Y49" s="24">
        <f ca="1">SUMIFS(ocupação!$I:$I,ocupação!$A:$A,'Controle de vagas'!Y$31,ocupação!$N:$N,'Controle de vagas'!$B$4,ocupação!$O:$O,'Controle de vagas'!$B49)</f>
        <v>0</v>
      </c>
    </row>
    <row r="50" spans="2:25" ht="18.75" x14ac:dyDescent="0.25">
      <c r="B50" s="40" t="s">
        <v>67</v>
      </c>
      <c r="C50" s="18">
        <f ca="1">SUMIFS(ocupação!$I:$I,ocupação!$A:$A,'Controle de vagas'!C$31,ocupação!$N:$N,'Controle de vagas'!$B$4,ocupação!$O:$O,'Controle de vagas'!$B50)</f>
        <v>0</v>
      </c>
      <c r="D50" s="18">
        <f ca="1">SUMIFS(ocupação!$I:$I,ocupação!$A:$A,'Controle de vagas'!D$31,ocupação!$N:$N,'Controle de vagas'!$B$4,ocupação!$O:$O,'Controle de vagas'!$B50)</f>
        <v>0</v>
      </c>
      <c r="E50" s="18">
        <f ca="1">SUMIFS(ocupação!$I:$I,ocupação!$A:$A,'Controle de vagas'!E$31,ocupação!$N:$N,'Controle de vagas'!$B$4,ocupação!$O:$O,'Controle de vagas'!$B50)</f>
        <v>0</v>
      </c>
      <c r="F50" s="18">
        <f ca="1">SUMIFS(ocupação!$I:$I,ocupação!$A:$A,'Controle de vagas'!F$31,ocupação!$N:$N,'Controle de vagas'!$B$4,ocupação!$O:$O,'Controle de vagas'!$B50)</f>
        <v>0</v>
      </c>
      <c r="G50" s="18">
        <f ca="1">SUMIFS(ocupação!$I:$I,ocupação!$A:$A,'Controle de vagas'!G$31,ocupação!$N:$N,'Controle de vagas'!$B$4,ocupação!$O:$O,'Controle de vagas'!$B50)</f>
        <v>0</v>
      </c>
      <c r="H50" s="18">
        <f ca="1">SUMIFS(ocupação!$I:$I,ocupação!$A:$A,'Controle de vagas'!H$31,ocupação!$N:$N,'Controle de vagas'!$B$4,ocupação!$O:$O,'Controle de vagas'!$B50)</f>
        <v>0</v>
      </c>
      <c r="I50" s="18">
        <f ca="1">SUMIFS(ocupação!$I:$I,ocupação!$A:$A,'Controle de vagas'!I$31,ocupação!$N:$N,'Controle de vagas'!$B$4,ocupação!$O:$O,'Controle de vagas'!$B50)</f>
        <v>0</v>
      </c>
      <c r="J50" s="19">
        <f ca="1">SUMIFS(ocupação!$I:$I,ocupação!$A:$A,'Controle de vagas'!J$31,ocupação!$N:$N,'Controle de vagas'!$B$4,ocupação!$O:$O,'Controle de vagas'!$B50)</f>
        <v>0</v>
      </c>
      <c r="K50" s="19">
        <f ca="1">SUMIFS(ocupação!$I:$I,ocupação!$A:$A,'Controle de vagas'!K$31,ocupação!$N:$N,'Controle de vagas'!$B$4,ocupação!$O:$O,'Controle de vagas'!$B50)</f>
        <v>0</v>
      </c>
      <c r="L50" s="19">
        <f ca="1">SUMIFS(ocupação!$I:$I,ocupação!$A:$A,'Controle de vagas'!L$31,ocupação!$N:$N,'Controle de vagas'!$B$4,ocupação!$O:$O,'Controle de vagas'!$B50)</f>
        <v>0</v>
      </c>
      <c r="M50" s="19">
        <f ca="1">SUMIFS(ocupação!$I:$I,ocupação!$A:$A,'Controle de vagas'!M$31,ocupação!$N:$N,'Controle de vagas'!$B$4,ocupação!$O:$O,'Controle de vagas'!$B50)</f>
        <v>0</v>
      </c>
      <c r="N50" s="20">
        <f ca="1">SUMIFS(ocupação!$I:$I,ocupação!$A:$A,'Controle de vagas'!N$31,ocupação!$N:$N,'Controle de vagas'!$B$4,ocupação!$O:$O,'Controle de vagas'!$B50)</f>
        <v>0</v>
      </c>
      <c r="O50" s="20">
        <f ca="1">SUMIFS(ocupação!$I:$I,ocupação!$A:$A,'Controle de vagas'!O$31,ocupação!$N:$N,'Controle de vagas'!$B$4,ocupação!$O:$O,'Controle de vagas'!$B50)</f>
        <v>0</v>
      </c>
      <c r="P50" s="20">
        <f ca="1">SUMIFS(ocupação!$I:$I,ocupação!$A:$A,'Controle de vagas'!P$31,ocupação!$N:$N,'Controle de vagas'!$B$4,ocupação!$O:$O,'Controle de vagas'!$B50)</f>
        <v>0</v>
      </c>
      <c r="Q50" s="20">
        <f ca="1">SUMIFS(ocupação!$I:$I,ocupação!$A:$A,'Controle de vagas'!Q$31,ocupação!$N:$N,'Controle de vagas'!$B$4,ocupação!$O:$O,'Controle de vagas'!$B50)</f>
        <v>0</v>
      </c>
      <c r="R50" s="20">
        <f ca="1">SUMIFS(ocupação!$I:$I,ocupação!$A:$A,'Controle de vagas'!R$31,ocupação!$N:$N,'Controle de vagas'!$B$4,ocupação!$O:$O,'Controle de vagas'!$B50)</f>
        <v>0</v>
      </c>
      <c r="S50" s="20">
        <f ca="1">SUMIFS(ocupação!$I:$I,ocupação!$A:$A,'Controle de vagas'!S$31,ocupação!$N:$N,'Controle de vagas'!$B$4,ocupação!$O:$O,'Controle de vagas'!$B50)</f>
        <v>0</v>
      </c>
      <c r="T50" s="20">
        <f ca="1">SUMIFS(ocupação!$I:$I,ocupação!$A:$A,'Controle de vagas'!T$31,ocupação!$N:$N,'Controle de vagas'!$B$4,ocupação!$O:$O,'Controle de vagas'!$B50)</f>
        <v>0</v>
      </c>
      <c r="U50" s="20">
        <f ca="1">SUMIFS(ocupação!$I:$I,ocupação!$A:$A,'Controle de vagas'!U$31,ocupação!$N:$N,'Controle de vagas'!$B$4,ocupação!$O:$O,'Controle de vagas'!$B50)</f>
        <v>0</v>
      </c>
      <c r="V50" s="20">
        <f ca="1">SUMIFS(ocupação!$I:$I,ocupação!$A:$A,'Controle de vagas'!V$31,ocupação!$N:$N,'Controle de vagas'!$B$4,ocupação!$O:$O,'Controle de vagas'!$B50)</f>
        <v>0</v>
      </c>
      <c r="W50" s="20">
        <f ca="1">SUMIFS(ocupação!$I:$I,ocupação!$A:$A,'Controle de vagas'!W$31,ocupação!$N:$N,'Controle de vagas'!$B$4,ocupação!$O:$O,'Controle de vagas'!$B50)</f>
        <v>0</v>
      </c>
      <c r="X50" s="20">
        <f ca="1">SUMIFS(ocupação!$I:$I,ocupação!$A:$A,'Controle de vagas'!X$31,ocupação!$N:$N,'Controle de vagas'!$B$4,ocupação!$O:$O,'Controle de vagas'!$B50)</f>
        <v>0</v>
      </c>
      <c r="Y50" s="20">
        <f ca="1">SUMIFS(ocupação!$I:$I,ocupação!$A:$A,'Controle de vagas'!Y$31,ocupação!$N:$N,'Controle de vagas'!$B$4,ocupação!$O:$O,'Controle de vagas'!$B50)</f>
        <v>0</v>
      </c>
    </row>
    <row r="51" spans="2:25" ht="18.75" x14ac:dyDescent="0.25">
      <c r="B51" s="21" t="s">
        <v>68</v>
      </c>
      <c r="C51" s="22">
        <f ca="1">SUMIFS(ocupação!$I:$I,ocupação!$A:$A,'Controle de vagas'!C$31,ocupação!$N:$N,'Controle de vagas'!$B$4,ocupação!$O:$O,'Controle de vagas'!$B51)</f>
        <v>0</v>
      </c>
      <c r="D51" s="22">
        <f ca="1">SUMIFS(ocupação!$I:$I,ocupação!$A:$A,'Controle de vagas'!D$31,ocupação!$N:$N,'Controle de vagas'!$B$4,ocupação!$O:$O,'Controle de vagas'!$B51)</f>
        <v>0</v>
      </c>
      <c r="E51" s="22">
        <f ca="1">SUMIFS(ocupação!$I:$I,ocupação!$A:$A,'Controle de vagas'!E$31,ocupação!$N:$N,'Controle de vagas'!$B$4,ocupação!$O:$O,'Controle de vagas'!$B51)</f>
        <v>0</v>
      </c>
      <c r="F51" s="22">
        <f ca="1">SUMIFS(ocupação!$I:$I,ocupação!$A:$A,'Controle de vagas'!F$31,ocupação!$N:$N,'Controle de vagas'!$B$4,ocupação!$O:$O,'Controle de vagas'!$B51)</f>
        <v>0</v>
      </c>
      <c r="G51" s="22">
        <f ca="1">SUMIFS(ocupação!$I:$I,ocupação!$A:$A,'Controle de vagas'!G$31,ocupação!$N:$N,'Controle de vagas'!$B$4,ocupação!$O:$O,'Controle de vagas'!$B51)</f>
        <v>0</v>
      </c>
      <c r="H51" s="22">
        <f ca="1">SUMIFS(ocupação!$I:$I,ocupação!$A:$A,'Controle de vagas'!H$31,ocupação!$N:$N,'Controle de vagas'!$B$4,ocupação!$O:$O,'Controle de vagas'!$B51)</f>
        <v>0</v>
      </c>
      <c r="I51" s="22">
        <f ca="1">SUMIFS(ocupação!$I:$I,ocupação!$A:$A,'Controle de vagas'!I$31,ocupação!$N:$N,'Controle de vagas'!$B$4,ocupação!$O:$O,'Controle de vagas'!$B51)</f>
        <v>0</v>
      </c>
      <c r="J51" s="23">
        <f ca="1">SUMIFS(ocupação!$I:$I,ocupação!$A:$A,'Controle de vagas'!J$31,ocupação!$N:$N,'Controle de vagas'!$B$4,ocupação!$O:$O,'Controle de vagas'!$B51)</f>
        <v>0</v>
      </c>
      <c r="K51" s="23">
        <f ca="1">SUMIFS(ocupação!$I:$I,ocupação!$A:$A,'Controle de vagas'!K$31,ocupação!$N:$N,'Controle de vagas'!$B$4,ocupação!$O:$O,'Controle de vagas'!$B51)</f>
        <v>0</v>
      </c>
      <c r="L51" s="23">
        <f ca="1">SUMIFS(ocupação!$I:$I,ocupação!$A:$A,'Controle de vagas'!L$31,ocupação!$N:$N,'Controle de vagas'!$B$4,ocupação!$O:$O,'Controle de vagas'!$B51)</f>
        <v>0</v>
      </c>
      <c r="M51" s="23">
        <f ca="1">SUMIFS(ocupação!$I:$I,ocupação!$A:$A,'Controle de vagas'!M$31,ocupação!$N:$N,'Controle de vagas'!$B$4,ocupação!$O:$O,'Controle de vagas'!$B51)</f>
        <v>0</v>
      </c>
      <c r="N51" s="24">
        <f ca="1">SUMIFS(ocupação!$I:$I,ocupação!$A:$A,'Controle de vagas'!N$31,ocupação!$N:$N,'Controle de vagas'!$B$4,ocupação!$O:$O,'Controle de vagas'!$B51)</f>
        <v>0</v>
      </c>
      <c r="O51" s="24">
        <f ca="1">SUMIFS(ocupação!$I:$I,ocupação!$A:$A,'Controle de vagas'!O$31,ocupação!$N:$N,'Controle de vagas'!$B$4,ocupação!$O:$O,'Controle de vagas'!$B51)</f>
        <v>0</v>
      </c>
      <c r="P51" s="24">
        <f ca="1">SUMIFS(ocupação!$I:$I,ocupação!$A:$A,'Controle de vagas'!P$31,ocupação!$N:$N,'Controle de vagas'!$B$4,ocupação!$O:$O,'Controle de vagas'!$B51)</f>
        <v>0</v>
      </c>
      <c r="Q51" s="24">
        <f ca="1">SUMIFS(ocupação!$I:$I,ocupação!$A:$A,'Controle de vagas'!Q$31,ocupação!$N:$N,'Controle de vagas'!$B$4,ocupação!$O:$O,'Controle de vagas'!$B51)</f>
        <v>0</v>
      </c>
      <c r="R51" s="24">
        <f ca="1">SUMIFS(ocupação!$I:$I,ocupação!$A:$A,'Controle de vagas'!R$31,ocupação!$N:$N,'Controle de vagas'!$B$4,ocupação!$O:$O,'Controle de vagas'!$B51)</f>
        <v>0</v>
      </c>
      <c r="S51" s="24">
        <f ca="1">SUMIFS(ocupação!$I:$I,ocupação!$A:$A,'Controle de vagas'!S$31,ocupação!$N:$N,'Controle de vagas'!$B$4,ocupação!$O:$O,'Controle de vagas'!$B51)</f>
        <v>0</v>
      </c>
      <c r="T51" s="24">
        <f ca="1">SUMIFS(ocupação!$I:$I,ocupação!$A:$A,'Controle de vagas'!T$31,ocupação!$N:$N,'Controle de vagas'!$B$4,ocupação!$O:$O,'Controle de vagas'!$B51)</f>
        <v>0</v>
      </c>
      <c r="U51" s="24">
        <f ca="1">SUMIFS(ocupação!$I:$I,ocupação!$A:$A,'Controle de vagas'!U$31,ocupação!$N:$N,'Controle de vagas'!$B$4,ocupação!$O:$O,'Controle de vagas'!$B51)</f>
        <v>0</v>
      </c>
      <c r="V51" s="24">
        <f ca="1">SUMIFS(ocupação!$I:$I,ocupação!$A:$A,'Controle de vagas'!V$31,ocupação!$N:$N,'Controle de vagas'!$B$4,ocupação!$O:$O,'Controle de vagas'!$B51)</f>
        <v>0</v>
      </c>
      <c r="W51" s="24">
        <f ca="1">SUMIFS(ocupação!$I:$I,ocupação!$A:$A,'Controle de vagas'!W$31,ocupação!$N:$N,'Controle de vagas'!$B$4,ocupação!$O:$O,'Controle de vagas'!$B51)</f>
        <v>0</v>
      </c>
      <c r="X51" s="24">
        <f ca="1">SUMIFS(ocupação!$I:$I,ocupação!$A:$A,'Controle de vagas'!X$31,ocupação!$N:$N,'Controle de vagas'!$B$4,ocupação!$O:$O,'Controle de vagas'!$B51)</f>
        <v>0</v>
      </c>
      <c r="Y51" s="24">
        <f ca="1">SUMIFS(ocupação!$I:$I,ocupação!$A:$A,'Controle de vagas'!Y$31,ocupação!$N:$N,'Controle de vagas'!$B$4,ocupação!$O:$O,'Controle de vagas'!$B51)</f>
        <v>0</v>
      </c>
    </row>
    <row r="52" spans="2:25" ht="18.75" x14ac:dyDescent="0.25">
      <c r="B52" s="40" t="s">
        <v>69</v>
      </c>
      <c r="C52" s="18">
        <f ca="1">SUMIFS(ocupação!$I:$I,ocupação!$A:$A,'Controle de vagas'!C$31,ocupação!$N:$N,'Controle de vagas'!$B$4,ocupação!$O:$O,'Controle de vagas'!$B52)</f>
        <v>0</v>
      </c>
      <c r="D52" s="18">
        <f ca="1">SUMIFS(ocupação!$I:$I,ocupação!$A:$A,'Controle de vagas'!D$31,ocupação!$N:$N,'Controle de vagas'!$B$4,ocupação!$O:$O,'Controle de vagas'!$B52)</f>
        <v>0</v>
      </c>
      <c r="E52" s="18">
        <f ca="1">SUMIFS(ocupação!$I:$I,ocupação!$A:$A,'Controle de vagas'!E$31,ocupação!$N:$N,'Controle de vagas'!$B$4,ocupação!$O:$O,'Controle de vagas'!$B52)</f>
        <v>0</v>
      </c>
      <c r="F52" s="18">
        <f ca="1">SUMIFS(ocupação!$I:$I,ocupação!$A:$A,'Controle de vagas'!F$31,ocupação!$N:$N,'Controle de vagas'!$B$4,ocupação!$O:$O,'Controle de vagas'!$B52)</f>
        <v>0</v>
      </c>
      <c r="G52" s="18">
        <f ca="1">SUMIFS(ocupação!$I:$I,ocupação!$A:$A,'Controle de vagas'!G$31,ocupação!$N:$N,'Controle de vagas'!$B$4,ocupação!$O:$O,'Controle de vagas'!$B52)</f>
        <v>0</v>
      </c>
      <c r="H52" s="18">
        <f ca="1">SUMIFS(ocupação!$I:$I,ocupação!$A:$A,'Controle de vagas'!H$31,ocupação!$N:$N,'Controle de vagas'!$B$4,ocupação!$O:$O,'Controle de vagas'!$B52)</f>
        <v>0</v>
      </c>
      <c r="I52" s="18">
        <f ca="1">SUMIFS(ocupação!$I:$I,ocupação!$A:$A,'Controle de vagas'!I$31,ocupação!$N:$N,'Controle de vagas'!$B$4,ocupação!$O:$O,'Controle de vagas'!$B52)</f>
        <v>0</v>
      </c>
      <c r="J52" s="19">
        <f ca="1">SUMIFS(ocupação!$I:$I,ocupação!$A:$A,'Controle de vagas'!J$31,ocupação!$N:$N,'Controle de vagas'!$B$4,ocupação!$O:$O,'Controle de vagas'!$B52)</f>
        <v>0</v>
      </c>
      <c r="K52" s="19">
        <f ca="1">SUMIFS(ocupação!$I:$I,ocupação!$A:$A,'Controle de vagas'!K$31,ocupação!$N:$N,'Controle de vagas'!$B$4,ocupação!$O:$O,'Controle de vagas'!$B52)</f>
        <v>0</v>
      </c>
      <c r="L52" s="19">
        <f ca="1">SUMIFS(ocupação!$I:$I,ocupação!$A:$A,'Controle de vagas'!L$31,ocupação!$N:$N,'Controle de vagas'!$B$4,ocupação!$O:$O,'Controle de vagas'!$B52)</f>
        <v>0</v>
      </c>
      <c r="M52" s="19">
        <f ca="1">SUMIFS(ocupação!$I:$I,ocupação!$A:$A,'Controle de vagas'!M$31,ocupação!$N:$N,'Controle de vagas'!$B$4,ocupação!$O:$O,'Controle de vagas'!$B52)</f>
        <v>0</v>
      </c>
      <c r="N52" s="20">
        <f ca="1">SUMIFS(ocupação!$I:$I,ocupação!$A:$A,'Controle de vagas'!N$31,ocupação!$N:$N,'Controle de vagas'!$B$4,ocupação!$O:$O,'Controle de vagas'!$B52)</f>
        <v>0</v>
      </c>
      <c r="O52" s="20">
        <f ca="1">SUMIFS(ocupação!$I:$I,ocupação!$A:$A,'Controle de vagas'!O$31,ocupação!$N:$N,'Controle de vagas'!$B$4,ocupação!$O:$O,'Controle de vagas'!$B52)</f>
        <v>0</v>
      </c>
      <c r="P52" s="20">
        <f ca="1">SUMIFS(ocupação!$I:$I,ocupação!$A:$A,'Controle de vagas'!P$31,ocupação!$N:$N,'Controle de vagas'!$B$4,ocupação!$O:$O,'Controle de vagas'!$B52)</f>
        <v>0</v>
      </c>
      <c r="Q52" s="20">
        <f ca="1">SUMIFS(ocupação!$I:$I,ocupação!$A:$A,'Controle de vagas'!Q$31,ocupação!$N:$N,'Controle de vagas'!$B$4,ocupação!$O:$O,'Controle de vagas'!$B52)</f>
        <v>0</v>
      </c>
      <c r="R52" s="20">
        <f ca="1">SUMIFS(ocupação!$I:$I,ocupação!$A:$A,'Controle de vagas'!R$31,ocupação!$N:$N,'Controle de vagas'!$B$4,ocupação!$O:$O,'Controle de vagas'!$B52)</f>
        <v>0</v>
      </c>
      <c r="S52" s="20">
        <f ca="1">SUMIFS(ocupação!$I:$I,ocupação!$A:$A,'Controle de vagas'!S$31,ocupação!$N:$N,'Controle de vagas'!$B$4,ocupação!$O:$O,'Controle de vagas'!$B52)</f>
        <v>0</v>
      </c>
      <c r="T52" s="20">
        <f ca="1">SUMIFS(ocupação!$I:$I,ocupação!$A:$A,'Controle de vagas'!T$31,ocupação!$N:$N,'Controle de vagas'!$B$4,ocupação!$O:$O,'Controle de vagas'!$B52)</f>
        <v>0</v>
      </c>
      <c r="U52" s="20">
        <f ca="1">SUMIFS(ocupação!$I:$I,ocupação!$A:$A,'Controle de vagas'!U$31,ocupação!$N:$N,'Controle de vagas'!$B$4,ocupação!$O:$O,'Controle de vagas'!$B52)</f>
        <v>0</v>
      </c>
      <c r="V52" s="20">
        <f ca="1">SUMIFS(ocupação!$I:$I,ocupação!$A:$A,'Controle de vagas'!V$31,ocupação!$N:$N,'Controle de vagas'!$B$4,ocupação!$O:$O,'Controle de vagas'!$B52)</f>
        <v>0</v>
      </c>
      <c r="W52" s="20">
        <f ca="1">SUMIFS(ocupação!$I:$I,ocupação!$A:$A,'Controle de vagas'!W$31,ocupação!$N:$N,'Controle de vagas'!$B$4,ocupação!$O:$O,'Controle de vagas'!$B52)</f>
        <v>0</v>
      </c>
      <c r="X52" s="20">
        <f ca="1">SUMIFS(ocupação!$I:$I,ocupação!$A:$A,'Controle de vagas'!X$31,ocupação!$N:$N,'Controle de vagas'!$B$4,ocupação!$O:$O,'Controle de vagas'!$B52)</f>
        <v>0</v>
      </c>
      <c r="Y52" s="20">
        <f ca="1">SUMIFS(ocupação!$I:$I,ocupação!$A:$A,'Controle de vagas'!Y$31,ocupação!$N:$N,'Controle de vagas'!$B$4,ocupação!$O:$O,'Controle de vagas'!$B52)</f>
        <v>0</v>
      </c>
    </row>
    <row r="53" spans="2:25" ht="18.75" x14ac:dyDescent="0.25">
      <c r="B53" s="47" t="s">
        <v>70</v>
      </c>
      <c r="C53" s="22">
        <v>1</v>
      </c>
      <c r="D53" s="22">
        <f ca="1">SUMIFS(ocupação!$I:$I,ocupação!$A:$A,'Controle de vagas'!D$31,ocupação!$N:$N,'Controle de vagas'!$B$4,ocupação!$O:$O,'Controle de vagas'!$B53)</f>
        <v>0</v>
      </c>
      <c r="E53" s="22">
        <f ca="1">SUMIFS(ocupação!$I:$I,ocupação!$A:$A,'Controle de vagas'!E$31,ocupação!$N:$N,'Controle de vagas'!$B$4,ocupação!$O:$O,'Controle de vagas'!$B53)</f>
        <v>0</v>
      </c>
      <c r="F53" s="22">
        <f ca="1">SUMIFS(ocupação!$I:$I,ocupação!$A:$A,'Controle de vagas'!F$31,ocupação!$N:$N,'Controle de vagas'!$B$4,ocupação!$O:$O,'Controle de vagas'!$B53)</f>
        <v>0</v>
      </c>
      <c r="G53" s="22">
        <f ca="1">SUMIFS(ocupação!$I:$I,ocupação!$A:$A,'Controle de vagas'!G$31,ocupação!$N:$N,'Controle de vagas'!$B$4,ocupação!$O:$O,'Controle de vagas'!$B53)</f>
        <v>0</v>
      </c>
      <c r="H53" s="22">
        <f ca="1">SUMIFS(ocupação!$I:$I,ocupação!$A:$A,'Controle de vagas'!H$31,ocupação!$N:$N,'Controle de vagas'!$B$4,ocupação!$O:$O,'Controle de vagas'!$B53)</f>
        <v>0</v>
      </c>
      <c r="I53" s="22">
        <v>17</v>
      </c>
      <c r="J53" s="23">
        <f ca="1">SUMIFS(ocupação!$I:$I,ocupação!$A:$A,'Controle de vagas'!J$31,ocupação!$N:$N,'Controle de vagas'!$B$4,ocupação!$O:$O,'Controle de vagas'!$B53)</f>
        <v>0</v>
      </c>
      <c r="K53" s="23">
        <f ca="1">SUMIFS(ocupação!$I:$I,ocupação!$A:$A,'Controle de vagas'!K$31,ocupação!$N:$N,'Controle de vagas'!$B$4,ocupação!$O:$O,'Controle de vagas'!$B53)</f>
        <v>0</v>
      </c>
      <c r="L53" s="23">
        <f ca="1">SUMIFS(ocupação!$I:$I,ocupação!$A:$A,'Controle de vagas'!L$31,ocupação!$N:$N,'Controle de vagas'!$B$4,ocupação!$O:$O,'Controle de vagas'!$B53)</f>
        <v>0</v>
      </c>
      <c r="M53" s="23">
        <f ca="1">SUMIFS(ocupação!$I:$I,ocupação!$A:$A,'Controle de vagas'!M$31,ocupação!$N:$N,'Controle de vagas'!$B$4,ocupação!$O:$O,'Controle de vagas'!$B53)</f>
        <v>0</v>
      </c>
      <c r="N53" s="24">
        <f ca="1">SUMIFS(ocupação!$I:$I,ocupação!$A:$A,'Controle de vagas'!N$31,ocupação!$N:$N,'Controle de vagas'!$B$4,ocupação!$O:$O,'Controle de vagas'!$B53)</f>
        <v>0</v>
      </c>
      <c r="O53" s="24">
        <f ca="1">SUMIFS(ocupação!$I:$I,ocupação!$A:$A,'Controle de vagas'!O$31,ocupação!$N:$N,'Controle de vagas'!$B$4,ocupação!$O:$O,'Controle de vagas'!$B53)</f>
        <v>0</v>
      </c>
      <c r="P53" s="24">
        <f ca="1">SUMIFS(ocupação!$I:$I,ocupação!$A:$A,'Controle de vagas'!P$31,ocupação!$N:$N,'Controle de vagas'!$B$4,ocupação!$O:$O,'Controle de vagas'!$B53)</f>
        <v>0</v>
      </c>
      <c r="Q53" s="24">
        <f ca="1">SUMIFS(ocupação!$I:$I,ocupação!$A:$A,'Controle de vagas'!Q$31,ocupação!$N:$N,'Controle de vagas'!$B$4,ocupação!$O:$O,'Controle de vagas'!$B53)</f>
        <v>0</v>
      </c>
      <c r="R53" s="24">
        <f ca="1">SUMIFS(ocupação!$I:$I,ocupação!$A:$A,'Controle de vagas'!R$31,ocupação!$N:$N,'Controle de vagas'!$B$4,ocupação!$O:$O,'Controle de vagas'!$B53)</f>
        <v>0</v>
      </c>
      <c r="S53" s="24">
        <f ca="1">SUMIFS(ocupação!$I:$I,ocupação!$A:$A,'Controle de vagas'!S$31,ocupação!$N:$N,'Controle de vagas'!$B$4,ocupação!$O:$O,'Controle de vagas'!$B53)</f>
        <v>0</v>
      </c>
      <c r="T53" s="24">
        <f ca="1">SUMIFS(ocupação!$I:$I,ocupação!$A:$A,'Controle de vagas'!T$31,ocupação!$N:$N,'Controle de vagas'!$B$4,ocupação!$O:$O,'Controle de vagas'!$B53)</f>
        <v>0</v>
      </c>
      <c r="U53" s="24">
        <f ca="1">SUMIFS(ocupação!$I:$I,ocupação!$A:$A,'Controle de vagas'!U$31,ocupação!$N:$N,'Controle de vagas'!$B$4,ocupação!$O:$O,'Controle de vagas'!$B53)</f>
        <v>0</v>
      </c>
      <c r="V53" s="24">
        <f ca="1">SUMIFS(ocupação!$I:$I,ocupação!$A:$A,'Controle de vagas'!V$31,ocupação!$N:$N,'Controle de vagas'!$B$4,ocupação!$O:$O,'Controle de vagas'!$B53)</f>
        <v>0</v>
      </c>
      <c r="W53" s="24">
        <f ca="1">SUMIFS(ocupação!$I:$I,ocupação!$A:$A,'Controle de vagas'!W$31,ocupação!$N:$N,'Controle de vagas'!$B$4,ocupação!$O:$O,'Controle de vagas'!$B53)</f>
        <v>0</v>
      </c>
      <c r="X53" s="24">
        <f ca="1">SUMIFS(ocupação!$I:$I,ocupação!$A:$A,'Controle de vagas'!X$31,ocupação!$N:$N,'Controle de vagas'!$B$4,ocupação!$O:$O,'Controle de vagas'!$B53)</f>
        <v>0</v>
      </c>
      <c r="Y53" s="24">
        <f ca="1">SUMIFS(ocupação!$I:$I,ocupação!$A:$A,'Controle de vagas'!Y$31,ocupação!$N:$N,'Controle de vagas'!$B$4,ocupação!$O:$O,'Controle de vagas'!$B53)</f>
        <v>0</v>
      </c>
    </row>
    <row r="54" spans="2:25" ht="18.75" x14ac:dyDescent="0.25">
      <c r="B54" s="40" t="s">
        <v>71</v>
      </c>
      <c r="C54" s="18">
        <f ca="1">SUMIFS(ocupação!$I:$I,ocupação!$A:$A,'Controle de vagas'!C$31,ocupação!$N:$N,'Controle de vagas'!$B$4,ocupação!$O:$O,'Controle de vagas'!$B54)</f>
        <v>0</v>
      </c>
      <c r="D54" s="18">
        <f ca="1">SUMIFS(ocupação!$I:$I,ocupação!$A:$A,'Controle de vagas'!D$31,ocupação!$N:$N,'Controle de vagas'!$B$4,ocupação!$O:$O,'Controle de vagas'!$B54)</f>
        <v>0</v>
      </c>
      <c r="E54" s="18">
        <f ca="1">SUMIFS(ocupação!$I:$I,ocupação!$A:$A,'Controle de vagas'!E$31,ocupação!$N:$N,'Controle de vagas'!$B$4,ocupação!$O:$O,'Controle de vagas'!$B54)</f>
        <v>0</v>
      </c>
      <c r="F54" s="18">
        <f ca="1">SUMIFS(ocupação!$I:$I,ocupação!$A:$A,'Controle de vagas'!F$31,ocupação!$N:$N,'Controle de vagas'!$B$4,ocupação!$O:$O,'Controle de vagas'!$B54)</f>
        <v>0</v>
      </c>
      <c r="G54" s="18">
        <f ca="1">SUMIFS(ocupação!$I:$I,ocupação!$A:$A,'Controle de vagas'!G$31,ocupação!$N:$N,'Controle de vagas'!$B$4,ocupação!$O:$O,'Controle de vagas'!$B54)</f>
        <v>0</v>
      </c>
      <c r="H54" s="18">
        <f ca="1">SUMIFS(ocupação!$I:$I,ocupação!$A:$A,'Controle de vagas'!H$31,ocupação!$N:$N,'Controle de vagas'!$B$4,ocupação!$O:$O,'Controle de vagas'!$B54)</f>
        <v>0</v>
      </c>
      <c r="I54" s="18">
        <f ca="1">SUMIFS(ocupação!$I:$I,ocupação!$A:$A,'Controle de vagas'!I$31,ocupação!$N:$N,'Controle de vagas'!$B$4,ocupação!$O:$O,'Controle de vagas'!$B54)</f>
        <v>0</v>
      </c>
      <c r="J54" s="19">
        <f ca="1">SUMIFS(ocupação!$I:$I,ocupação!$A:$A,'Controle de vagas'!J$31,ocupação!$N:$N,'Controle de vagas'!$B$4,ocupação!$O:$O,'Controle de vagas'!$B54)</f>
        <v>0</v>
      </c>
      <c r="K54" s="19">
        <f ca="1">SUMIFS(ocupação!$I:$I,ocupação!$A:$A,'Controle de vagas'!K$31,ocupação!$N:$N,'Controle de vagas'!$B$4,ocupação!$O:$O,'Controle de vagas'!$B54)</f>
        <v>0</v>
      </c>
      <c r="L54" s="19">
        <f ca="1">SUMIFS(ocupação!$I:$I,ocupação!$A:$A,'Controle de vagas'!L$31,ocupação!$N:$N,'Controle de vagas'!$B$4,ocupação!$O:$O,'Controle de vagas'!$B54)</f>
        <v>0</v>
      </c>
      <c r="M54" s="19">
        <f ca="1">SUMIFS(ocupação!$I:$I,ocupação!$A:$A,'Controle de vagas'!M$31,ocupação!$N:$N,'Controle de vagas'!$B$4,ocupação!$O:$O,'Controle de vagas'!$B54)</f>
        <v>0</v>
      </c>
      <c r="N54" s="20">
        <f ca="1">SUMIFS(ocupação!$I:$I,ocupação!$A:$A,'Controle de vagas'!N$31,ocupação!$N:$N,'Controle de vagas'!$B$4,ocupação!$O:$O,'Controle de vagas'!$B54)</f>
        <v>0</v>
      </c>
      <c r="O54" s="20">
        <f ca="1">SUMIFS(ocupação!$I:$I,ocupação!$A:$A,'Controle de vagas'!O$31,ocupação!$N:$N,'Controle de vagas'!$B$4,ocupação!$O:$O,'Controle de vagas'!$B54)</f>
        <v>0</v>
      </c>
      <c r="P54" s="20">
        <f ca="1">SUMIFS(ocupação!$I:$I,ocupação!$A:$A,'Controle de vagas'!P$31,ocupação!$N:$N,'Controle de vagas'!$B$4,ocupação!$O:$O,'Controle de vagas'!$B54)</f>
        <v>0</v>
      </c>
      <c r="Q54" s="20">
        <f ca="1">SUMIFS(ocupação!$I:$I,ocupação!$A:$A,'Controle de vagas'!Q$31,ocupação!$N:$N,'Controle de vagas'!$B$4,ocupação!$O:$O,'Controle de vagas'!$B54)</f>
        <v>0</v>
      </c>
      <c r="R54" s="20">
        <f ca="1">SUMIFS(ocupação!$I:$I,ocupação!$A:$A,'Controle de vagas'!R$31,ocupação!$N:$N,'Controle de vagas'!$B$4,ocupação!$O:$O,'Controle de vagas'!$B54)</f>
        <v>0</v>
      </c>
      <c r="S54" s="20">
        <f ca="1">SUMIFS(ocupação!$I:$I,ocupação!$A:$A,'Controle de vagas'!S$31,ocupação!$N:$N,'Controle de vagas'!$B$4,ocupação!$O:$O,'Controle de vagas'!$B54)</f>
        <v>0</v>
      </c>
      <c r="T54" s="20">
        <f ca="1">SUMIFS(ocupação!$I:$I,ocupação!$A:$A,'Controle de vagas'!T$31,ocupação!$N:$N,'Controle de vagas'!$B$4,ocupação!$O:$O,'Controle de vagas'!$B54)</f>
        <v>0</v>
      </c>
      <c r="U54" s="20">
        <f ca="1">SUMIFS(ocupação!$I:$I,ocupação!$A:$A,'Controle de vagas'!U$31,ocupação!$N:$N,'Controle de vagas'!$B$4,ocupação!$O:$O,'Controle de vagas'!$B54)</f>
        <v>0</v>
      </c>
      <c r="V54" s="20">
        <f ca="1">SUMIFS(ocupação!$I:$I,ocupação!$A:$A,'Controle de vagas'!V$31,ocupação!$N:$N,'Controle de vagas'!$B$4,ocupação!$O:$O,'Controle de vagas'!$B54)</f>
        <v>0</v>
      </c>
      <c r="W54" s="20">
        <f ca="1">SUMIFS(ocupação!$I:$I,ocupação!$A:$A,'Controle de vagas'!W$31,ocupação!$N:$N,'Controle de vagas'!$B$4,ocupação!$O:$O,'Controle de vagas'!$B54)</f>
        <v>0</v>
      </c>
      <c r="X54" s="20">
        <f ca="1">SUMIFS(ocupação!$I:$I,ocupação!$A:$A,'Controle de vagas'!X$31,ocupação!$N:$N,'Controle de vagas'!$B$4,ocupação!$O:$O,'Controle de vagas'!$B54)</f>
        <v>0</v>
      </c>
      <c r="Y54" s="20">
        <f ca="1">SUMIFS(ocupação!$I:$I,ocupação!$A:$A,'Controle de vagas'!Y$31,ocupação!$N:$N,'Controle de vagas'!$B$4,ocupação!$O:$O,'Controle de vagas'!$B54)</f>
        <v>0</v>
      </c>
    </row>
    <row r="55" spans="2:25" ht="18.75" x14ac:dyDescent="0.25">
      <c r="B55" s="47" t="s">
        <v>72</v>
      </c>
      <c r="C55" s="22">
        <f ca="1">SUMIFS(ocupação!$I:$I,ocupação!$A:$A,'Controle de vagas'!C$31,ocupação!$N:$N,'Controle de vagas'!$B$4,ocupação!$O:$O,'Controle de vagas'!$B55)</f>
        <v>0</v>
      </c>
      <c r="D55" s="22">
        <f ca="1">SUMIFS(ocupação!$I:$I,ocupação!$A:$A,'Controle de vagas'!D$31,ocupação!$N:$N,'Controle de vagas'!$B$4,ocupação!$O:$O,'Controle de vagas'!$B55)</f>
        <v>0</v>
      </c>
      <c r="E55" s="22">
        <f ca="1">SUMIFS(ocupação!$I:$I,ocupação!$A:$A,'Controle de vagas'!E$31,ocupação!$N:$N,'Controle de vagas'!$B$4,ocupação!$O:$O,'Controle de vagas'!$B55)</f>
        <v>0</v>
      </c>
      <c r="F55" s="22">
        <f ca="1">SUMIFS(ocupação!$I:$I,ocupação!$A:$A,'Controle de vagas'!F$31,ocupação!$N:$N,'Controle de vagas'!$B$4,ocupação!$O:$O,'Controle de vagas'!$B55)</f>
        <v>0</v>
      </c>
      <c r="G55" s="22">
        <f ca="1">SUMIFS(ocupação!$I:$I,ocupação!$A:$A,'Controle de vagas'!G$31,ocupação!$N:$N,'Controle de vagas'!$B$4,ocupação!$O:$O,'Controle de vagas'!$B55)</f>
        <v>0</v>
      </c>
      <c r="H55" s="22">
        <f ca="1">SUMIFS(ocupação!$I:$I,ocupação!$A:$A,'Controle de vagas'!H$31,ocupação!$N:$N,'Controle de vagas'!$B$4,ocupação!$O:$O,'Controle de vagas'!$B55)</f>
        <v>0</v>
      </c>
      <c r="I55" s="22">
        <v>6</v>
      </c>
      <c r="J55" s="23">
        <f ca="1">SUMIFS(ocupação!$I:$I,ocupação!$A:$A,'Controle de vagas'!J$31,ocupação!$N:$N,'Controle de vagas'!$B$4,ocupação!$O:$O,'Controle de vagas'!$B55)</f>
        <v>0</v>
      </c>
      <c r="K55" s="23">
        <f ca="1">SUMIFS(ocupação!$I:$I,ocupação!$A:$A,'Controle de vagas'!K$31,ocupação!$N:$N,'Controle de vagas'!$B$4,ocupação!$O:$O,'Controle de vagas'!$B55)</f>
        <v>0</v>
      </c>
      <c r="L55" s="23">
        <f ca="1">SUMIFS(ocupação!$I:$I,ocupação!$A:$A,'Controle de vagas'!L$31,ocupação!$N:$N,'Controle de vagas'!$B$4,ocupação!$O:$O,'Controle de vagas'!$B55)</f>
        <v>0</v>
      </c>
      <c r="M55" s="23">
        <f ca="1">SUMIFS(ocupação!$I:$I,ocupação!$A:$A,'Controle de vagas'!M$31,ocupação!$N:$N,'Controle de vagas'!$B$4,ocupação!$O:$O,'Controle de vagas'!$B55)</f>
        <v>0</v>
      </c>
      <c r="N55" s="24">
        <v>4</v>
      </c>
      <c r="O55" s="24">
        <f ca="1">SUMIFS(ocupação!$I:$I,ocupação!$A:$A,'Controle de vagas'!O$31,ocupação!$N:$N,'Controle de vagas'!$B$4,ocupação!$O:$O,'Controle de vagas'!$B55)</f>
        <v>0</v>
      </c>
      <c r="P55" s="24">
        <v>20</v>
      </c>
      <c r="Q55" s="24">
        <f ca="1">SUMIFS(ocupação!$I:$I,ocupação!$A:$A,'Controle de vagas'!Q$31,ocupação!$N:$N,'Controle de vagas'!$B$4,ocupação!$O:$O,'Controle de vagas'!$B55)</f>
        <v>0</v>
      </c>
      <c r="R55" s="24">
        <v>24</v>
      </c>
      <c r="S55" s="24">
        <v>16</v>
      </c>
      <c r="T55" s="24">
        <f ca="1">SUMIFS(ocupação!$I:$I,ocupação!$A:$A,'Controle de vagas'!T$31,ocupação!$N:$N,'Controle de vagas'!$B$4,ocupação!$O:$O,'Controle de vagas'!$B55)</f>
        <v>0</v>
      </c>
      <c r="U55" s="24">
        <v>11</v>
      </c>
      <c r="V55" s="24">
        <f ca="1">SUMIFS(ocupação!$I:$I,ocupação!$A:$A,'Controle de vagas'!V$31,ocupação!$N:$N,'Controle de vagas'!$B$4,ocupação!$O:$O,'Controle de vagas'!$B55)</f>
        <v>0</v>
      </c>
      <c r="W55" s="24">
        <f ca="1">SUMIFS(ocupação!$I:$I,ocupação!$A:$A,'Controle de vagas'!W$31,ocupação!$N:$N,'Controle de vagas'!$B$4,ocupação!$O:$O,'Controle de vagas'!$B55)</f>
        <v>0</v>
      </c>
      <c r="X55" s="24">
        <f ca="1">SUMIFS(ocupação!$I:$I,ocupação!$A:$A,'Controle de vagas'!X$31,ocupação!$N:$N,'Controle de vagas'!$B$4,ocupação!$O:$O,'Controle de vagas'!$B55)</f>
        <v>0</v>
      </c>
      <c r="Y55" s="24">
        <f ca="1">SUMIFS(ocupação!$I:$I,ocupação!$A:$A,'Controle de vagas'!Y$31,ocupação!$N:$N,'Controle de vagas'!$B$4,ocupação!$O:$O,'Controle de vagas'!$B55)</f>
        <v>0</v>
      </c>
    </row>
    <row r="56" spans="2:25" ht="18.75" x14ac:dyDescent="0.25">
      <c r="B56" s="46" t="s">
        <v>73</v>
      </c>
      <c r="C56" s="18">
        <f ca="1">SUMIFS(ocupação!$I:$I,ocupação!$A:$A,'Controle de vagas'!C$31,ocupação!$N:$N,'Controle de vagas'!$B$4,ocupação!$O:$O,'Controle de vagas'!$B56)</f>
        <v>0</v>
      </c>
      <c r="D56" s="18">
        <f ca="1">SUMIFS(ocupação!$I:$I,ocupação!$A:$A,'Controle de vagas'!D$31,ocupação!$N:$N,'Controle de vagas'!$B$4,ocupação!$O:$O,'Controle de vagas'!$B56)</f>
        <v>0</v>
      </c>
      <c r="E56" s="18">
        <f ca="1">SUMIFS(ocupação!$I:$I,ocupação!$A:$A,'Controle de vagas'!E$31,ocupação!$N:$N,'Controle de vagas'!$B$4,ocupação!$O:$O,'Controle de vagas'!$B56)</f>
        <v>0</v>
      </c>
      <c r="F56" s="18">
        <f ca="1">SUMIFS(ocupação!$I:$I,ocupação!$A:$A,'Controle de vagas'!F$31,ocupação!$N:$N,'Controle de vagas'!$B$4,ocupação!$O:$O,'Controle de vagas'!$B56)</f>
        <v>0</v>
      </c>
      <c r="G56" s="18">
        <f ca="1">SUMIFS(ocupação!$I:$I,ocupação!$A:$A,'Controle de vagas'!G$31,ocupação!$N:$N,'Controle de vagas'!$B$4,ocupação!$O:$O,'Controle de vagas'!$B56)</f>
        <v>0</v>
      </c>
      <c r="H56" s="18">
        <f ca="1">SUMIFS(ocupação!$I:$I,ocupação!$A:$A,'Controle de vagas'!H$31,ocupação!$N:$N,'Controle de vagas'!$B$4,ocupação!$O:$O,'Controle de vagas'!$B56)</f>
        <v>0</v>
      </c>
      <c r="I56" s="18">
        <f ca="1">SUMIFS(ocupação!$I:$I,ocupação!$A:$A,'Controle de vagas'!I$31,ocupação!$N:$N,'Controle de vagas'!$B$4,ocupação!$O:$O,'Controle de vagas'!$B56)</f>
        <v>0</v>
      </c>
      <c r="J56" s="19">
        <f ca="1">SUMIFS(ocupação!$I:$I,ocupação!$A:$A,'Controle de vagas'!J$31,ocupação!$N:$N,'Controle de vagas'!$B$4,ocupação!$O:$O,'Controle de vagas'!$B56)</f>
        <v>0</v>
      </c>
      <c r="K56" s="19">
        <f ca="1">SUMIFS(ocupação!$I:$I,ocupação!$A:$A,'Controle de vagas'!K$31,ocupação!$N:$N,'Controle de vagas'!$B$4,ocupação!$O:$O,'Controle de vagas'!$B56)</f>
        <v>0</v>
      </c>
      <c r="L56" s="19">
        <f ca="1">SUMIFS(ocupação!$I:$I,ocupação!$A:$A,'Controle de vagas'!L$31,ocupação!$N:$N,'Controle de vagas'!$B$4,ocupação!$O:$O,'Controle de vagas'!$B56)</f>
        <v>0</v>
      </c>
      <c r="M56" s="19">
        <f ca="1">SUMIFS(ocupação!$I:$I,ocupação!$A:$A,'Controle de vagas'!M$31,ocupação!$N:$N,'Controle de vagas'!$B$4,ocupação!$O:$O,'Controle de vagas'!$B56)</f>
        <v>0</v>
      </c>
      <c r="N56" s="20">
        <f ca="1">SUMIFS(ocupação!$I:$I,ocupação!$A:$A,'Controle de vagas'!N$31,ocupação!$N:$N,'Controle de vagas'!$B$4,ocupação!$O:$O,'Controle de vagas'!$B56)</f>
        <v>0</v>
      </c>
      <c r="O56" s="20">
        <f ca="1">SUMIFS(ocupação!$I:$I,ocupação!$A:$A,'Controle de vagas'!O$31,ocupação!$N:$N,'Controle de vagas'!$B$4,ocupação!$O:$O,'Controle de vagas'!$B56)</f>
        <v>0</v>
      </c>
      <c r="P56" s="20">
        <f ca="1">SUMIFS(ocupação!$I:$I,ocupação!$A:$A,'Controle de vagas'!P$31,ocupação!$N:$N,'Controle de vagas'!$B$4,ocupação!$O:$O,'Controle de vagas'!$B56)</f>
        <v>0</v>
      </c>
      <c r="Q56" s="20">
        <f ca="1">SUMIFS(ocupação!$I:$I,ocupação!$A:$A,'Controle de vagas'!Q$31,ocupação!$N:$N,'Controle de vagas'!$B$4,ocupação!$O:$O,'Controle de vagas'!$B56)</f>
        <v>0</v>
      </c>
      <c r="R56" s="20">
        <f ca="1">SUMIFS(ocupação!$I:$I,ocupação!$A:$A,'Controle de vagas'!R$31,ocupação!$N:$N,'Controle de vagas'!$B$4,ocupação!$O:$O,'Controle de vagas'!$B56)</f>
        <v>0</v>
      </c>
      <c r="S56" s="20">
        <f ca="1">SUMIFS(ocupação!$I:$I,ocupação!$A:$A,'Controle de vagas'!S$31,ocupação!$N:$N,'Controle de vagas'!$B$4,ocupação!$O:$O,'Controle de vagas'!$B56)</f>
        <v>0</v>
      </c>
      <c r="T56" s="20">
        <f ca="1">SUMIFS(ocupação!$I:$I,ocupação!$A:$A,'Controle de vagas'!T$31,ocupação!$N:$N,'Controle de vagas'!$B$4,ocupação!$O:$O,'Controle de vagas'!$B56)</f>
        <v>0</v>
      </c>
      <c r="U56" s="20">
        <f ca="1">SUMIFS(ocupação!$I:$I,ocupação!$A:$A,'Controle de vagas'!U$31,ocupação!$N:$N,'Controle de vagas'!$B$4,ocupação!$O:$O,'Controle de vagas'!$B56)</f>
        <v>0</v>
      </c>
      <c r="V56" s="20">
        <f ca="1">SUMIFS(ocupação!$I:$I,ocupação!$A:$A,'Controle de vagas'!V$31,ocupação!$N:$N,'Controle de vagas'!$B$4,ocupação!$O:$O,'Controle de vagas'!$B56)</f>
        <v>0</v>
      </c>
      <c r="W56" s="20">
        <f ca="1">SUMIFS(ocupação!$I:$I,ocupação!$A:$A,'Controle de vagas'!W$31,ocupação!$N:$N,'Controle de vagas'!$B$4,ocupação!$O:$O,'Controle de vagas'!$B56)</f>
        <v>0</v>
      </c>
      <c r="X56" s="20">
        <f ca="1">SUMIFS(ocupação!$I:$I,ocupação!$A:$A,'Controle de vagas'!X$31,ocupação!$N:$N,'Controle de vagas'!$B$4,ocupação!$O:$O,'Controle de vagas'!$B56)</f>
        <v>0</v>
      </c>
      <c r="Y56" s="20">
        <f ca="1">SUMIFS(ocupação!$I:$I,ocupação!$A:$A,'Controle de vagas'!Y$31,ocupação!$N:$N,'Controle de vagas'!$B$4,ocupação!$O:$O,'Controle de vagas'!$B56)</f>
        <v>0</v>
      </c>
    </row>
    <row r="57" spans="2:25" ht="18.75" x14ac:dyDescent="0.3">
      <c r="B57" s="26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8"/>
      <c r="N57" s="28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</row>
    <row r="58" spans="2:25" ht="18.75" x14ac:dyDescent="0.25">
      <c r="B58" s="26"/>
      <c r="C58" s="10" t="str">
        <f ca="1">TEXT(WEEKDAY(C$15),"ddd")</f>
        <v>sex</v>
      </c>
      <c r="D58" s="10" t="str">
        <f t="shared" ref="D58:Y58" ca="1" si="4">TEXT(WEEKDAY(D$15),"ddd")</f>
        <v>sáb</v>
      </c>
      <c r="E58" s="10" t="str">
        <f t="shared" ca="1" si="4"/>
        <v>dom</v>
      </c>
      <c r="F58" s="10" t="str">
        <f t="shared" ca="1" si="4"/>
        <v>seg</v>
      </c>
      <c r="G58" s="10" t="str">
        <f t="shared" ca="1" si="4"/>
        <v>ter</v>
      </c>
      <c r="H58" s="10" t="str">
        <f t="shared" ca="1" si="4"/>
        <v>qua</v>
      </c>
      <c r="I58" s="10" t="str">
        <f t="shared" ca="1" si="4"/>
        <v>qui</v>
      </c>
      <c r="J58" s="11" t="str">
        <f t="shared" ca="1" si="4"/>
        <v>sex</v>
      </c>
      <c r="K58" s="11" t="str">
        <f t="shared" ca="1" si="4"/>
        <v>sáb</v>
      </c>
      <c r="L58" s="11" t="str">
        <f t="shared" ca="1" si="4"/>
        <v>dom</v>
      </c>
      <c r="M58" s="11" t="str">
        <f t="shared" ca="1" si="4"/>
        <v>seg</v>
      </c>
      <c r="N58" s="12" t="str">
        <f t="shared" ca="1" si="4"/>
        <v>ter</v>
      </c>
      <c r="O58" s="12" t="str">
        <f t="shared" ca="1" si="4"/>
        <v>qua</v>
      </c>
      <c r="P58" s="12" t="str">
        <f t="shared" ca="1" si="4"/>
        <v>qui</v>
      </c>
      <c r="Q58" s="12" t="str">
        <f t="shared" ca="1" si="4"/>
        <v>sex</v>
      </c>
      <c r="R58" s="12" t="str">
        <f t="shared" ca="1" si="4"/>
        <v>sáb</v>
      </c>
      <c r="S58" s="12" t="str">
        <f t="shared" ca="1" si="4"/>
        <v>dom</v>
      </c>
      <c r="T58" s="12" t="str">
        <f t="shared" ca="1" si="4"/>
        <v>seg</v>
      </c>
      <c r="U58" s="12" t="str">
        <f t="shared" ca="1" si="4"/>
        <v>ter</v>
      </c>
      <c r="V58" s="12" t="str">
        <f t="shared" ca="1" si="4"/>
        <v>qua</v>
      </c>
      <c r="W58" s="12" t="str">
        <f t="shared" ca="1" si="4"/>
        <v>qui</v>
      </c>
      <c r="X58" s="12" t="str">
        <f t="shared" ca="1" si="4"/>
        <v>sex</v>
      </c>
      <c r="Y58" s="12" t="str">
        <f t="shared" ca="1" si="4"/>
        <v>sáb</v>
      </c>
    </row>
    <row r="59" spans="2:25" ht="18.75" x14ac:dyDescent="0.25">
      <c r="B59" s="13" t="s">
        <v>74</v>
      </c>
      <c r="C59" s="14">
        <f ca="1">$B$3</f>
        <v>44743</v>
      </c>
      <c r="D59" s="14">
        <f t="shared" ref="D59:Y59" ca="1" si="5">C59+1</f>
        <v>44744</v>
      </c>
      <c r="E59" s="14">
        <f t="shared" ca="1" si="5"/>
        <v>44745</v>
      </c>
      <c r="F59" s="14">
        <f t="shared" ca="1" si="5"/>
        <v>44746</v>
      </c>
      <c r="G59" s="14">
        <f t="shared" ca="1" si="5"/>
        <v>44747</v>
      </c>
      <c r="H59" s="14">
        <f t="shared" ca="1" si="5"/>
        <v>44748</v>
      </c>
      <c r="I59" s="14">
        <f t="shared" ca="1" si="5"/>
        <v>44749</v>
      </c>
      <c r="J59" s="15">
        <f t="shared" ca="1" si="5"/>
        <v>44750</v>
      </c>
      <c r="K59" s="15">
        <f t="shared" ca="1" si="5"/>
        <v>44751</v>
      </c>
      <c r="L59" s="15">
        <f t="shared" ca="1" si="5"/>
        <v>44752</v>
      </c>
      <c r="M59" s="15">
        <f t="shared" ca="1" si="5"/>
        <v>44753</v>
      </c>
      <c r="N59" s="16">
        <f t="shared" ca="1" si="5"/>
        <v>44754</v>
      </c>
      <c r="O59" s="16">
        <f t="shared" ca="1" si="5"/>
        <v>44755</v>
      </c>
      <c r="P59" s="16">
        <f t="shared" ca="1" si="5"/>
        <v>44756</v>
      </c>
      <c r="Q59" s="16">
        <f t="shared" ca="1" si="5"/>
        <v>44757</v>
      </c>
      <c r="R59" s="16">
        <f t="shared" ca="1" si="5"/>
        <v>44758</v>
      </c>
      <c r="S59" s="16">
        <f t="shared" ca="1" si="5"/>
        <v>44759</v>
      </c>
      <c r="T59" s="16">
        <f t="shared" ca="1" si="5"/>
        <v>44760</v>
      </c>
      <c r="U59" s="16">
        <f t="shared" ca="1" si="5"/>
        <v>44761</v>
      </c>
      <c r="V59" s="16">
        <f t="shared" ca="1" si="5"/>
        <v>44762</v>
      </c>
      <c r="W59" s="16">
        <f t="shared" ca="1" si="5"/>
        <v>44763</v>
      </c>
      <c r="X59" s="16">
        <f t="shared" ca="1" si="5"/>
        <v>44764</v>
      </c>
      <c r="Y59" s="16">
        <f t="shared" ca="1" si="5"/>
        <v>44765</v>
      </c>
    </row>
    <row r="60" spans="2:25" ht="18.75" x14ac:dyDescent="0.25">
      <c r="B60" s="17" t="s">
        <v>75</v>
      </c>
      <c r="C60" s="18">
        <f ca="1">SUMIFS(ocupação!$I:$I,ocupação!$A:$A,'Controle de vagas'!C$59,ocupação!$N:$N,'Controle de vagas'!$B$4,ocupação!$O:$O,'Controle de vagas'!$B60)</f>
        <v>120</v>
      </c>
      <c r="D60" s="18">
        <f ca="1">SUMIFS(ocupação!$I:$I,ocupação!$A:$A,'Controle de vagas'!D$59,ocupação!$N:$N,'Controle de vagas'!$B$4,ocupação!$O:$O,'Controle de vagas'!$B60)</f>
        <v>109</v>
      </c>
      <c r="E60" s="18">
        <f ca="1">SUMIFS(ocupação!$I:$I,ocupação!$A:$A,'Controle de vagas'!E$59,ocupação!$N:$N,'Controle de vagas'!$B$4,ocupação!$O:$O,'Controle de vagas'!$B60)</f>
        <v>0</v>
      </c>
      <c r="F60" s="18">
        <f ca="1">SUMIFS(ocupação!$I:$I,ocupação!$A:$A,'Controle de vagas'!F$59,ocupação!$N:$N,'Controle de vagas'!$B$4,ocupação!$O:$O,'Controle de vagas'!$B60)</f>
        <v>0</v>
      </c>
      <c r="G60" s="18">
        <f ca="1">SUMIFS(ocupação!$I:$I,ocupação!$A:$A,'Controle de vagas'!G$59,ocupação!$N:$N,'Controle de vagas'!$B$4,ocupação!$O:$O,'Controle de vagas'!$B60)</f>
        <v>120</v>
      </c>
      <c r="H60" s="18">
        <f ca="1">SUMIFS(ocupação!$I:$I,ocupação!$A:$A,'Controle de vagas'!H$59,ocupação!$N:$N,'Controle de vagas'!$B$4,ocupação!$O:$O,'Controle de vagas'!$B60)</f>
        <v>120</v>
      </c>
      <c r="I60" s="18">
        <f ca="1">SUMIFS(ocupação!$I:$I,ocupação!$A:$A,'Controle de vagas'!I$59,ocupação!$N:$N,'Controle de vagas'!$B$4,ocupação!$O:$O,'Controle de vagas'!$B60)</f>
        <v>120</v>
      </c>
      <c r="J60" s="19">
        <f ca="1">SUMIFS(ocupação!$I:$I,ocupação!$A:$A,'Controle de vagas'!J$59,ocupação!$N:$N,'Controle de vagas'!$B$4,ocupação!$O:$O,'Controle de vagas'!$B60)</f>
        <v>120</v>
      </c>
      <c r="K60" s="19">
        <f ca="1">SUMIFS(ocupação!$I:$I,ocupação!$A:$A,'Controle de vagas'!K$59,ocupação!$N:$N,'Controle de vagas'!$B$4,ocupação!$O:$O,'Controle de vagas'!$B60)</f>
        <v>72</v>
      </c>
      <c r="L60" s="19">
        <f ca="1">SUMIFS(ocupação!$I:$I,ocupação!$A:$A,'Controle de vagas'!L$59,ocupação!$N:$N,'Controle de vagas'!$B$4,ocupação!$O:$O,'Controle de vagas'!$B60)</f>
        <v>0</v>
      </c>
      <c r="M60" s="19">
        <f ca="1">SUMIFS(ocupação!$I:$I,ocupação!$A:$A,'Controle de vagas'!M$59,ocupação!$N:$N,'Controle de vagas'!$B$4,ocupação!$O:$O,'Controle de vagas'!$B60)</f>
        <v>120</v>
      </c>
      <c r="N60" s="24">
        <f ca="1">SUMIFS(ocupação!$I:$I,ocupação!$A:$A,'Controle de vagas'!N$59,ocupação!$N:$N,'Controle de vagas'!$B$4,ocupação!$O:$O,'Controle de vagas'!$B60)</f>
        <v>120</v>
      </c>
      <c r="O60" s="24">
        <f ca="1">SUMIFS(ocupação!$I:$I,ocupação!$A:$A,'Controle de vagas'!O$59,ocupação!$N:$N,'Controle de vagas'!$B$4,ocupação!$O:$O,'Controle de vagas'!$B60)</f>
        <v>120</v>
      </c>
      <c r="P60" s="24">
        <f ca="1">SUMIFS(ocupação!$I:$I,ocupação!$A:$A,'Controle de vagas'!P$59,ocupação!$N:$N,'Controle de vagas'!$B$4,ocupação!$O:$O,'Controle de vagas'!$B60)</f>
        <v>120</v>
      </c>
      <c r="Q60" s="24">
        <f ca="1">SUMIFS(ocupação!$I:$I,ocupação!$A:$A,'Controle de vagas'!Q$59,ocupação!$N:$N,'Controle de vagas'!$B$4,ocupação!$O:$O,'Controle de vagas'!$B60)</f>
        <v>0</v>
      </c>
      <c r="R60" s="24">
        <f ca="1">SUMIFS(ocupação!$I:$I,ocupação!$A:$A,'Controle de vagas'!R$59,ocupação!$N:$N,'Controle de vagas'!$B$4,ocupação!$O:$O,'Controle de vagas'!$B60)</f>
        <v>0</v>
      </c>
      <c r="S60" s="24">
        <f ca="1">SUMIFS(ocupação!$I:$I,ocupação!$A:$A,'Controle de vagas'!S$59,ocupação!$N:$N,'Controle de vagas'!$B$4,ocupação!$O:$O,'Controle de vagas'!$B60)</f>
        <v>0</v>
      </c>
      <c r="T60" s="24">
        <f ca="1">SUMIFS(ocupação!$I:$I,ocupação!$A:$A,'Controle de vagas'!T$59,ocupação!$N:$N,'Controle de vagas'!$B$4,ocupação!$O:$O,'Controle de vagas'!$B60)</f>
        <v>0</v>
      </c>
      <c r="U60" s="24">
        <f ca="1">SUMIFS(ocupação!$I:$I,ocupação!$A:$A,'Controle de vagas'!U$59,ocupação!$N:$N,'Controle de vagas'!$B$4,ocupação!$O:$O,'Controle de vagas'!$B60)</f>
        <v>0</v>
      </c>
      <c r="V60" s="24">
        <f ca="1">SUMIFS(ocupação!$I:$I,ocupação!$A:$A,'Controle de vagas'!V$59,ocupação!$N:$N,'Controle de vagas'!$B$4,ocupação!$O:$O,'Controle de vagas'!$B60)</f>
        <v>0</v>
      </c>
      <c r="W60" s="24">
        <f ca="1">SUMIFS(ocupação!$I:$I,ocupação!$A:$A,'Controle de vagas'!W$59,ocupação!$N:$N,'Controle de vagas'!$B$4,ocupação!$O:$O,'Controle de vagas'!$B60)</f>
        <v>0</v>
      </c>
      <c r="X60" s="24">
        <f ca="1">SUMIFS(ocupação!$I:$I,ocupação!$A:$A,'Controle de vagas'!X$59,ocupação!$N:$N,'Controle de vagas'!$B$4,ocupação!$O:$O,'Controle de vagas'!$B60)</f>
        <v>0</v>
      </c>
      <c r="Y60" s="24">
        <f ca="1">SUMIFS(ocupação!$I:$I,ocupação!$A:$A,'Controle de vagas'!Y$59,ocupação!$N:$N,'Controle de vagas'!$B$4,ocupação!$O:$O,'Controle de vagas'!$B60)</f>
        <v>0</v>
      </c>
    </row>
    <row r="61" spans="2:25" ht="18.75" x14ac:dyDescent="0.25">
      <c r="B61" s="21" t="s">
        <v>76</v>
      </c>
      <c r="C61" s="22">
        <f ca="1">SUMIFS(ocupação!$I:$I,ocupação!$A:$A,'Controle de vagas'!C$59,ocupação!$N:$N,'Controle de vagas'!$B$4,ocupação!$O:$O,'Controle de vagas'!$B61)</f>
        <v>0</v>
      </c>
      <c r="D61" s="22">
        <f ca="1">SUMIFS(ocupação!$I:$I,ocupação!$A:$A,'Controle de vagas'!D$59,ocupação!$N:$N,'Controle de vagas'!$B$4,ocupação!$O:$O,'Controle de vagas'!$B61)</f>
        <v>0</v>
      </c>
      <c r="E61" s="22">
        <f ca="1">SUMIFS(ocupação!$I:$I,ocupação!$A:$A,'Controle de vagas'!E$59,ocupação!$N:$N,'Controle de vagas'!$B$4,ocupação!$O:$O,'Controle de vagas'!$B61)</f>
        <v>0</v>
      </c>
      <c r="F61" s="22">
        <f ca="1">SUMIFS(ocupação!$I:$I,ocupação!$A:$A,'Controle de vagas'!F$59,ocupação!$N:$N,'Controle de vagas'!$B$4,ocupação!$O:$O,'Controle de vagas'!$B61)</f>
        <v>0</v>
      </c>
      <c r="G61" s="22">
        <f ca="1">SUMIFS(ocupação!$I:$I,ocupação!$A:$A,'Controle de vagas'!G$59,ocupação!$N:$N,'Controle de vagas'!$B$4,ocupação!$O:$O,'Controle de vagas'!$B61)</f>
        <v>48</v>
      </c>
      <c r="H61" s="22">
        <f ca="1">SUMIFS(ocupação!$I:$I,ocupação!$A:$A,'Controle de vagas'!H$59,ocupação!$N:$N,'Controle de vagas'!$B$4,ocupação!$O:$O,'Controle de vagas'!$B61)</f>
        <v>72</v>
      </c>
      <c r="I61" s="22">
        <f ca="1">SUMIFS(ocupação!$I:$I,ocupação!$A:$A,'Controle de vagas'!I$59,ocupação!$N:$N,'Controle de vagas'!$B$4,ocupação!$O:$O,'Controle de vagas'!$B61)</f>
        <v>48</v>
      </c>
      <c r="J61" s="23">
        <f ca="1">SUMIFS(ocupação!$I:$I,ocupação!$A:$A,'Controle de vagas'!J$59,ocupação!$N:$N,'Controle de vagas'!$B$4,ocupação!$O:$O,'Controle de vagas'!$B61)</f>
        <v>0</v>
      </c>
      <c r="K61" s="23">
        <f ca="1">SUMIFS(ocupação!$I:$I,ocupação!$A:$A,'Controle de vagas'!K$59,ocupação!$N:$N,'Controle de vagas'!$B$4,ocupação!$O:$O,'Controle de vagas'!$B61)</f>
        <v>0</v>
      </c>
      <c r="L61" s="23">
        <f ca="1">SUMIFS(ocupação!$I:$I,ocupação!$A:$A,'Controle de vagas'!L$59,ocupação!$N:$N,'Controle de vagas'!$B$4,ocupação!$O:$O,'Controle de vagas'!$B61)</f>
        <v>0</v>
      </c>
      <c r="M61" s="23">
        <f ca="1">SUMIFS(ocupação!$I:$I,ocupação!$A:$A,'Controle de vagas'!M$59,ocupação!$N:$N,'Controle de vagas'!$B$4,ocupação!$O:$O,'Controle de vagas'!$B61)</f>
        <v>0</v>
      </c>
      <c r="N61" s="20">
        <f ca="1">SUMIFS(ocupação!$I:$I,ocupação!$A:$A,'Controle de vagas'!N$59,ocupação!$N:$N,'Controle de vagas'!$B$4,ocupação!$O:$O,'Controle de vagas'!$B61)</f>
        <v>48</v>
      </c>
      <c r="O61" s="20">
        <f ca="1">SUMIFS(ocupação!$I:$I,ocupação!$A:$A,'Controle de vagas'!O$59,ocupação!$N:$N,'Controle de vagas'!$B$4,ocupação!$O:$O,'Controle de vagas'!$B61)</f>
        <v>0</v>
      </c>
      <c r="P61" s="20">
        <f ca="1">SUMIFS(ocupação!$I:$I,ocupação!$A:$A,'Controle de vagas'!P$59,ocupação!$N:$N,'Controle de vagas'!$B$4,ocupação!$O:$O,'Controle de vagas'!$B61)</f>
        <v>48</v>
      </c>
      <c r="Q61" s="20">
        <f ca="1">SUMIFS(ocupação!$I:$I,ocupação!$A:$A,'Controle de vagas'!Q$59,ocupação!$N:$N,'Controle de vagas'!$B$4,ocupação!$O:$O,'Controle de vagas'!$B61)</f>
        <v>0</v>
      </c>
      <c r="R61" s="20">
        <f ca="1">SUMIFS(ocupação!$I:$I,ocupação!$A:$A,'Controle de vagas'!R$59,ocupação!$N:$N,'Controle de vagas'!$B$4,ocupação!$O:$O,'Controle de vagas'!$B61)</f>
        <v>0</v>
      </c>
      <c r="S61" s="20">
        <f ca="1">SUMIFS(ocupação!$I:$I,ocupação!$A:$A,'Controle de vagas'!S$59,ocupação!$N:$N,'Controle de vagas'!$B$4,ocupação!$O:$O,'Controle de vagas'!$B61)</f>
        <v>0</v>
      </c>
      <c r="T61" s="20">
        <f ca="1">SUMIFS(ocupação!$I:$I,ocupação!$A:$A,'Controle de vagas'!T$59,ocupação!$N:$N,'Controle de vagas'!$B$4,ocupação!$O:$O,'Controle de vagas'!$B61)</f>
        <v>0</v>
      </c>
      <c r="U61" s="20">
        <f ca="1">SUMIFS(ocupação!$I:$I,ocupação!$A:$A,'Controle de vagas'!U$59,ocupação!$N:$N,'Controle de vagas'!$B$4,ocupação!$O:$O,'Controle de vagas'!$B61)</f>
        <v>0</v>
      </c>
      <c r="V61" s="20">
        <f ca="1">SUMIFS(ocupação!$I:$I,ocupação!$A:$A,'Controle de vagas'!V$59,ocupação!$N:$N,'Controle de vagas'!$B$4,ocupação!$O:$O,'Controle de vagas'!$B61)</f>
        <v>0</v>
      </c>
      <c r="W61" s="20">
        <f ca="1">SUMIFS(ocupação!$I:$I,ocupação!$A:$A,'Controle de vagas'!W$59,ocupação!$N:$N,'Controle de vagas'!$B$4,ocupação!$O:$O,'Controle de vagas'!$B61)</f>
        <v>0</v>
      </c>
      <c r="X61" s="20">
        <f ca="1">SUMIFS(ocupação!$I:$I,ocupação!$A:$A,'Controle de vagas'!X$59,ocupação!$N:$N,'Controle de vagas'!$B$4,ocupação!$O:$O,'Controle de vagas'!$B61)</f>
        <v>0</v>
      </c>
      <c r="Y61" s="20">
        <f ca="1">SUMIFS(ocupação!$I:$I,ocupação!$A:$A,'Controle de vagas'!Y$59,ocupação!$N:$N,'Controle de vagas'!$B$4,ocupação!$O:$O,'Controle de vagas'!$B61)</f>
        <v>0</v>
      </c>
    </row>
  </sheetData>
  <mergeCells count="1">
    <mergeCell ref="B12:Y13"/>
  </mergeCells>
  <pageMargins left="0.511811024" right="0.511811024" top="0.78740157499999996" bottom="0.78740157499999996" header="0.31496062000000002" footer="0.31496062000000002"/>
  <pageSetup paperSize="9" scale="4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9EF288-24B4-4ADD-AEED-531B8C4FA4A8}">
          <x14:formula1>
            <xm:f>Cadastro!$F$2:$F$6</xm:f>
          </x14:formula1>
          <xm:sqref>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24742-C544-44DC-88C1-1B04C88ED167}">
  <sheetPr codeName="shtVagas1">
    <tabColor theme="3"/>
    <pageSetUpPr fitToPage="1"/>
  </sheetPr>
  <dimension ref="A2:Y34"/>
  <sheetViews>
    <sheetView showGridLines="0" workbookViewId="0">
      <selection activeCell="K9" sqref="K9"/>
    </sheetView>
  </sheetViews>
  <sheetFormatPr defaultRowHeight="15" x14ac:dyDescent="0.25"/>
  <cols>
    <col min="1" max="1" width="12.42578125" bestFit="1" customWidth="1"/>
    <col min="2" max="2" width="33" bestFit="1" customWidth="1"/>
    <col min="3" max="3" width="15.140625" bestFit="1" customWidth="1"/>
  </cols>
  <sheetData>
    <row r="2" spans="1:25" x14ac:dyDescent="0.25">
      <c r="K2" s="34" t="s">
        <v>802</v>
      </c>
    </row>
    <row r="3" spans="1:25" x14ac:dyDescent="0.25">
      <c r="A3" s="29" t="s">
        <v>77</v>
      </c>
      <c r="B3" s="30">
        <f ca="1">TODAY()+1</f>
        <v>44743</v>
      </c>
      <c r="K3" s="34" t="s">
        <v>312</v>
      </c>
    </row>
    <row r="4" spans="1:25" x14ac:dyDescent="0.25">
      <c r="A4" s="29" t="s">
        <v>78</v>
      </c>
      <c r="B4" s="31" t="s">
        <v>316</v>
      </c>
    </row>
    <row r="8" spans="1:25" ht="16.5" x14ac:dyDescent="0.3">
      <c r="I8" s="54"/>
    </row>
    <row r="12" spans="1:25" x14ac:dyDescent="0.25">
      <c r="B12" s="56" t="str">
        <f>"Posição de vagas por especialidade - "&amp;IF(B4="*","TODAS AS LOCALIDADES",B4)</f>
        <v>Posição de vagas por especialidade - São João de Meriti</v>
      </c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</row>
    <row r="13" spans="1:25" x14ac:dyDescent="0.25"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25" ht="18.75" x14ac:dyDescent="0.25">
      <c r="C14" s="10" t="str">
        <f ca="1">TEXT(WEEKDAY(C$15),"ddd")</f>
        <v>sex</v>
      </c>
      <c r="D14" s="10" t="str">
        <f t="shared" ref="D14:Y14" ca="1" si="0">TEXT(WEEKDAY(D$15),"ddd")</f>
        <v>sáb</v>
      </c>
      <c r="E14" s="10" t="str">
        <f t="shared" ca="1" si="0"/>
        <v>dom</v>
      </c>
      <c r="F14" s="10" t="str">
        <f t="shared" ca="1" si="0"/>
        <v>seg</v>
      </c>
      <c r="G14" s="10" t="str">
        <f t="shared" ca="1" si="0"/>
        <v>ter</v>
      </c>
      <c r="H14" s="10" t="str">
        <f t="shared" ca="1" si="0"/>
        <v>qua</v>
      </c>
      <c r="I14" s="10" t="str">
        <f t="shared" ca="1" si="0"/>
        <v>qui</v>
      </c>
      <c r="J14" s="11" t="str">
        <f t="shared" ca="1" si="0"/>
        <v>sex</v>
      </c>
      <c r="K14" s="11" t="str">
        <f t="shared" ca="1" si="0"/>
        <v>sáb</v>
      </c>
      <c r="L14" s="11" t="str">
        <f t="shared" ca="1" si="0"/>
        <v>dom</v>
      </c>
      <c r="M14" s="11" t="str">
        <f t="shared" ca="1" si="0"/>
        <v>seg</v>
      </c>
      <c r="N14" s="12" t="str">
        <f t="shared" ca="1" si="0"/>
        <v>ter</v>
      </c>
      <c r="O14" s="12" t="str">
        <f t="shared" ca="1" si="0"/>
        <v>qua</v>
      </c>
      <c r="P14" s="12" t="str">
        <f t="shared" ca="1" si="0"/>
        <v>qui</v>
      </c>
      <c r="Q14" s="12" t="str">
        <f t="shared" ca="1" si="0"/>
        <v>sex</v>
      </c>
      <c r="R14" s="12" t="str">
        <f t="shared" ca="1" si="0"/>
        <v>sáb</v>
      </c>
      <c r="S14" s="12" t="str">
        <f t="shared" ca="1" si="0"/>
        <v>dom</v>
      </c>
      <c r="T14" s="12" t="str">
        <f t="shared" ca="1" si="0"/>
        <v>seg</v>
      </c>
      <c r="U14" s="12" t="str">
        <f t="shared" ca="1" si="0"/>
        <v>ter</v>
      </c>
      <c r="V14" s="12" t="str">
        <f t="shared" ca="1" si="0"/>
        <v>qua</v>
      </c>
      <c r="W14" s="12" t="str">
        <f t="shared" ca="1" si="0"/>
        <v>qui</v>
      </c>
      <c r="X14" s="12" t="str">
        <f t="shared" ca="1" si="0"/>
        <v>sex</v>
      </c>
      <c r="Y14" s="12" t="str">
        <f t="shared" ca="1" si="0"/>
        <v>sáb</v>
      </c>
    </row>
    <row r="15" spans="1:25" ht="18.75" x14ac:dyDescent="0.25">
      <c r="B15" s="13" t="s">
        <v>39</v>
      </c>
      <c r="C15" s="14">
        <f ca="1">$B$3</f>
        <v>44743</v>
      </c>
      <c r="D15" s="14">
        <f t="shared" ref="D15:Y15" ca="1" si="1">C15+1</f>
        <v>44744</v>
      </c>
      <c r="E15" s="14">
        <f t="shared" ca="1" si="1"/>
        <v>44745</v>
      </c>
      <c r="F15" s="14">
        <f t="shared" ca="1" si="1"/>
        <v>44746</v>
      </c>
      <c r="G15" s="14">
        <f t="shared" ca="1" si="1"/>
        <v>44747</v>
      </c>
      <c r="H15" s="14">
        <f t="shared" ca="1" si="1"/>
        <v>44748</v>
      </c>
      <c r="I15" s="14">
        <f t="shared" ca="1" si="1"/>
        <v>44749</v>
      </c>
      <c r="J15" s="15">
        <f t="shared" ca="1" si="1"/>
        <v>44750</v>
      </c>
      <c r="K15" s="15">
        <f t="shared" ca="1" si="1"/>
        <v>44751</v>
      </c>
      <c r="L15" s="15">
        <f t="shared" ca="1" si="1"/>
        <v>44752</v>
      </c>
      <c r="M15" s="15">
        <f t="shared" ca="1" si="1"/>
        <v>44753</v>
      </c>
      <c r="N15" s="16">
        <f t="shared" ca="1" si="1"/>
        <v>44754</v>
      </c>
      <c r="O15" s="16">
        <f t="shared" ca="1" si="1"/>
        <v>44755</v>
      </c>
      <c r="P15" s="16">
        <f t="shared" ca="1" si="1"/>
        <v>44756</v>
      </c>
      <c r="Q15" s="16">
        <f t="shared" ca="1" si="1"/>
        <v>44757</v>
      </c>
      <c r="R15" s="16">
        <f t="shared" ca="1" si="1"/>
        <v>44758</v>
      </c>
      <c r="S15" s="16">
        <f t="shared" ca="1" si="1"/>
        <v>44759</v>
      </c>
      <c r="T15" s="16">
        <f t="shared" ca="1" si="1"/>
        <v>44760</v>
      </c>
      <c r="U15" s="16">
        <f t="shared" ca="1" si="1"/>
        <v>44761</v>
      </c>
      <c r="V15" s="16">
        <f t="shared" ca="1" si="1"/>
        <v>44762</v>
      </c>
      <c r="W15" s="16">
        <f t="shared" ca="1" si="1"/>
        <v>44763</v>
      </c>
      <c r="X15" s="16">
        <f t="shared" ca="1" si="1"/>
        <v>44764</v>
      </c>
      <c r="Y15" s="16">
        <f t="shared" ca="1" si="1"/>
        <v>44765</v>
      </c>
    </row>
    <row r="16" spans="1:25" ht="18.75" x14ac:dyDescent="0.25">
      <c r="B16" s="46" t="s">
        <v>43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1">
        <v>0</v>
      </c>
      <c r="K16" s="51">
        <v>0</v>
      </c>
      <c r="L16" s="51">
        <v>0</v>
      </c>
      <c r="M16" s="51">
        <v>0</v>
      </c>
      <c r="N16" s="52"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</row>
    <row r="17" spans="2:25" ht="18.75" x14ac:dyDescent="0.25">
      <c r="B17" s="47" t="s">
        <v>46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8">
        <v>0</v>
      </c>
      <c r="K17" s="48">
        <v>0</v>
      </c>
      <c r="L17" s="48">
        <v>0</v>
      </c>
      <c r="M17" s="48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</row>
    <row r="18" spans="2:25" ht="18.75" x14ac:dyDescent="0.25">
      <c r="B18" s="46" t="s">
        <v>24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1">
        <v>0</v>
      </c>
      <c r="K18" s="51">
        <v>0</v>
      </c>
      <c r="L18" s="51">
        <v>0</v>
      </c>
      <c r="M18" s="51">
        <v>0</v>
      </c>
      <c r="N18" s="52"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</row>
    <row r="19" spans="2:25" ht="18.75" x14ac:dyDescent="0.25">
      <c r="B19" s="47" t="s">
        <v>47</v>
      </c>
      <c r="C19" s="49">
        <v>0</v>
      </c>
      <c r="D19" s="49">
        <v>0</v>
      </c>
      <c r="E19" s="49">
        <v>0</v>
      </c>
      <c r="F19" s="49">
        <v>0</v>
      </c>
      <c r="G19" s="49">
        <v>5</v>
      </c>
      <c r="H19" s="49">
        <v>0</v>
      </c>
      <c r="I19" s="49">
        <v>0</v>
      </c>
      <c r="J19" s="48">
        <v>0</v>
      </c>
      <c r="K19" s="48">
        <v>0</v>
      </c>
      <c r="L19" s="48">
        <v>0</v>
      </c>
      <c r="M19" s="48">
        <v>0</v>
      </c>
      <c r="N19" s="53">
        <v>11</v>
      </c>
      <c r="O19" s="53">
        <v>0</v>
      </c>
      <c r="P19" s="53">
        <v>0</v>
      </c>
      <c r="Q19" s="53">
        <v>0</v>
      </c>
      <c r="R19" s="53">
        <v>0</v>
      </c>
      <c r="S19" s="53">
        <v>0</v>
      </c>
      <c r="T19" s="53">
        <v>0</v>
      </c>
      <c r="U19" s="53">
        <v>12</v>
      </c>
      <c r="V19" s="53">
        <v>0</v>
      </c>
      <c r="W19" s="53">
        <v>0</v>
      </c>
      <c r="X19" s="53">
        <v>0</v>
      </c>
      <c r="Y19" s="53">
        <v>0</v>
      </c>
    </row>
    <row r="20" spans="2:25" ht="18.75" x14ac:dyDescent="0.3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2:25" ht="18.75" x14ac:dyDescent="0.25">
      <c r="C21" s="10" t="str">
        <f ca="1">TEXT(WEEKDAY(C$15),"ddd")</f>
        <v>sex</v>
      </c>
      <c r="D21" s="10" t="str">
        <f t="shared" ref="D21:Y21" ca="1" si="2">TEXT(WEEKDAY(D$15),"ddd")</f>
        <v>sáb</v>
      </c>
      <c r="E21" s="10" t="str">
        <f t="shared" ca="1" si="2"/>
        <v>dom</v>
      </c>
      <c r="F21" s="10" t="str">
        <f t="shared" ca="1" si="2"/>
        <v>seg</v>
      </c>
      <c r="G21" s="10" t="str">
        <f t="shared" ca="1" si="2"/>
        <v>ter</v>
      </c>
      <c r="H21" s="10" t="str">
        <f t="shared" ca="1" si="2"/>
        <v>qua</v>
      </c>
      <c r="I21" s="10" t="str">
        <f t="shared" ca="1" si="2"/>
        <v>qui</v>
      </c>
      <c r="J21" s="11" t="str">
        <f t="shared" ca="1" si="2"/>
        <v>sex</v>
      </c>
      <c r="K21" s="11" t="str">
        <f t="shared" ca="1" si="2"/>
        <v>sáb</v>
      </c>
      <c r="L21" s="11" t="str">
        <f t="shared" ca="1" si="2"/>
        <v>dom</v>
      </c>
      <c r="M21" s="11" t="str">
        <f t="shared" ca="1" si="2"/>
        <v>seg</v>
      </c>
      <c r="N21" s="12" t="str">
        <f t="shared" ca="1" si="2"/>
        <v>ter</v>
      </c>
      <c r="O21" s="12" t="str">
        <f t="shared" ca="1" si="2"/>
        <v>qua</v>
      </c>
      <c r="P21" s="12" t="str">
        <f t="shared" ca="1" si="2"/>
        <v>qui</v>
      </c>
      <c r="Q21" s="12" t="str">
        <f t="shared" ca="1" si="2"/>
        <v>sex</v>
      </c>
      <c r="R21" s="12" t="str">
        <f t="shared" ca="1" si="2"/>
        <v>sáb</v>
      </c>
      <c r="S21" s="12" t="str">
        <f t="shared" ca="1" si="2"/>
        <v>dom</v>
      </c>
      <c r="T21" s="12" t="str">
        <f t="shared" ca="1" si="2"/>
        <v>seg</v>
      </c>
      <c r="U21" s="12" t="str">
        <f t="shared" ca="1" si="2"/>
        <v>ter</v>
      </c>
      <c r="V21" s="12" t="str">
        <f t="shared" ca="1" si="2"/>
        <v>qua</v>
      </c>
      <c r="W21" s="12" t="str">
        <f t="shared" ca="1" si="2"/>
        <v>qui</v>
      </c>
      <c r="X21" s="12" t="str">
        <f t="shared" ca="1" si="2"/>
        <v>sex</v>
      </c>
      <c r="Y21" s="12" t="str">
        <f t="shared" ca="1" si="2"/>
        <v>sáb</v>
      </c>
    </row>
    <row r="22" spans="2:25" ht="18.75" x14ac:dyDescent="0.25">
      <c r="B22" s="13" t="s">
        <v>48</v>
      </c>
      <c r="C22" s="14">
        <f ca="1">$B$3</f>
        <v>44743</v>
      </c>
      <c r="D22" s="14">
        <f t="shared" ref="D22:Y22" ca="1" si="3">C22+1</f>
        <v>44744</v>
      </c>
      <c r="E22" s="14">
        <f t="shared" ca="1" si="3"/>
        <v>44745</v>
      </c>
      <c r="F22" s="14">
        <f t="shared" ca="1" si="3"/>
        <v>44746</v>
      </c>
      <c r="G22" s="14">
        <f t="shared" ca="1" si="3"/>
        <v>44747</v>
      </c>
      <c r="H22" s="14">
        <f t="shared" ca="1" si="3"/>
        <v>44748</v>
      </c>
      <c r="I22" s="14">
        <f t="shared" ca="1" si="3"/>
        <v>44749</v>
      </c>
      <c r="J22" s="15">
        <f t="shared" ca="1" si="3"/>
        <v>44750</v>
      </c>
      <c r="K22" s="15">
        <f t="shared" ca="1" si="3"/>
        <v>44751</v>
      </c>
      <c r="L22" s="15">
        <f t="shared" ca="1" si="3"/>
        <v>44752</v>
      </c>
      <c r="M22" s="15">
        <f t="shared" ca="1" si="3"/>
        <v>44753</v>
      </c>
      <c r="N22" s="16">
        <f t="shared" ca="1" si="3"/>
        <v>44754</v>
      </c>
      <c r="O22" s="16">
        <f t="shared" ca="1" si="3"/>
        <v>44755</v>
      </c>
      <c r="P22" s="16">
        <f t="shared" ca="1" si="3"/>
        <v>44756</v>
      </c>
      <c r="Q22" s="16">
        <f t="shared" ca="1" si="3"/>
        <v>44757</v>
      </c>
      <c r="R22" s="16">
        <f t="shared" ca="1" si="3"/>
        <v>44758</v>
      </c>
      <c r="S22" s="16">
        <f t="shared" ca="1" si="3"/>
        <v>44759</v>
      </c>
      <c r="T22" s="16">
        <f t="shared" ca="1" si="3"/>
        <v>44760</v>
      </c>
      <c r="U22" s="16">
        <f t="shared" ca="1" si="3"/>
        <v>44761</v>
      </c>
      <c r="V22" s="16">
        <f t="shared" ca="1" si="3"/>
        <v>44762</v>
      </c>
      <c r="W22" s="16">
        <f t="shared" ca="1" si="3"/>
        <v>44763</v>
      </c>
      <c r="X22" s="16">
        <f t="shared" ca="1" si="3"/>
        <v>44764</v>
      </c>
      <c r="Y22" s="16">
        <f t="shared" ca="1" si="3"/>
        <v>44765</v>
      </c>
    </row>
    <row r="23" spans="2:25" ht="18.75" x14ac:dyDescent="0.25">
      <c r="B23" s="46" t="s">
        <v>49</v>
      </c>
      <c r="C23" s="50">
        <v>0</v>
      </c>
      <c r="D23" s="50">
        <v>0</v>
      </c>
      <c r="E23" s="50">
        <v>0</v>
      </c>
      <c r="F23" s="50">
        <v>0</v>
      </c>
      <c r="G23" s="50">
        <v>5</v>
      </c>
      <c r="H23" s="50">
        <v>0</v>
      </c>
      <c r="I23" s="50">
        <v>0</v>
      </c>
      <c r="J23" s="51">
        <v>0</v>
      </c>
      <c r="K23" s="51">
        <v>0</v>
      </c>
      <c r="L23" s="51">
        <v>0</v>
      </c>
      <c r="M23" s="51">
        <v>0</v>
      </c>
      <c r="N23" s="52">
        <v>14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15</v>
      </c>
      <c r="V23" s="52">
        <v>0</v>
      </c>
      <c r="W23" s="52">
        <v>0</v>
      </c>
      <c r="X23" s="52">
        <v>0</v>
      </c>
      <c r="Y23" s="52">
        <v>0</v>
      </c>
    </row>
    <row r="24" spans="2:25" ht="18.75" x14ac:dyDescent="0.25">
      <c r="B24" s="47" t="s">
        <v>51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8">
        <v>0</v>
      </c>
      <c r="K24" s="48">
        <v>0</v>
      </c>
      <c r="L24" s="48">
        <v>0</v>
      </c>
      <c r="M24" s="48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3">
        <v>0</v>
      </c>
      <c r="T24" s="53">
        <v>0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</row>
    <row r="25" spans="2:25" ht="18.75" x14ac:dyDescent="0.25">
      <c r="B25" s="46" t="s">
        <v>52</v>
      </c>
      <c r="C25" s="50" t="s">
        <v>801</v>
      </c>
      <c r="D25" s="50">
        <v>2</v>
      </c>
      <c r="E25" s="50" t="s">
        <v>801</v>
      </c>
      <c r="F25" s="55" t="s">
        <v>801</v>
      </c>
      <c r="G25" s="50" t="s">
        <v>801</v>
      </c>
      <c r="H25" s="50" t="s">
        <v>801</v>
      </c>
      <c r="I25" s="50" t="s">
        <v>801</v>
      </c>
      <c r="J25" s="51" t="s">
        <v>801</v>
      </c>
      <c r="K25" s="51">
        <v>32</v>
      </c>
      <c r="L25" s="51" t="s">
        <v>801</v>
      </c>
      <c r="M25" s="51" t="s">
        <v>801</v>
      </c>
      <c r="N25" s="52" t="s">
        <v>801</v>
      </c>
      <c r="O25" s="52" t="s">
        <v>801</v>
      </c>
      <c r="P25" s="52" t="s">
        <v>801</v>
      </c>
      <c r="Q25" s="52" t="s">
        <v>801</v>
      </c>
      <c r="R25" s="52">
        <v>37</v>
      </c>
      <c r="S25" s="52" t="s">
        <v>801</v>
      </c>
      <c r="T25" s="52" t="s">
        <v>801</v>
      </c>
      <c r="U25" s="52" t="s">
        <v>801</v>
      </c>
      <c r="V25" s="52" t="s">
        <v>801</v>
      </c>
      <c r="W25" s="52" t="s">
        <v>801</v>
      </c>
      <c r="X25" s="52" t="s">
        <v>801</v>
      </c>
      <c r="Y25" s="52">
        <v>23</v>
      </c>
    </row>
    <row r="26" spans="2:25" ht="18.75" x14ac:dyDescent="0.25">
      <c r="B26" s="47" t="s">
        <v>55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8">
        <v>0</v>
      </c>
      <c r="K26" s="48">
        <v>9</v>
      </c>
      <c r="L26" s="48">
        <v>0</v>
      </c>
      <c r="M26" s="48">
        <v>36</v>
      </c>
      <c r="N26" s="53">
        <v>0</v>
      </c>
      <c r="O26" s="53">
        <v>0</v>
      </c>
      <c r="P26" s="53">
        <v>0</v>
      </c>
      <c r="Q26" s="53">
        <v>0</v>
      </c>
      <c r="R26" s="53">
        <v>35</v>
      </c>
      <c r="S26" s="53">
        <v>0</v>
      </c>
      <c r="T26" s="53">
        <v>40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</row>
    <row r="27" spans="2:25" ht="18.75" x14ac:dyDescent="0.25">
      <c r="B27" s="46" t="s">
        <v>57</v>
      </c>
      <c r="C27" s="50">
        <v>0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1">
        <v>0</v>
      </c>
      <c r="K27" s="51">
        <v>0</v>
      </c>
      <c r="L27" s="51">
        <v>0</v>
      </c>
      <c r="M27" s="51">
        <v>0</v>
      </c>
      <c r="N27" s="52" t="s">
        <v>801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</row>
    <row r="28" spans="2:25" ht="18.75" x14ac:dyDescent="0.25">
      <c r="B28" s="47" t="s">
        <v>60</v>
      </c>
      <c r="C28" s="49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49">
        <v>0</v>
      </c>
      <c r="J28" s="48">
        <v>0</v>
      </c>
      <c r="K28" s="48">
        <v>0</v>
      </c>
      <c r="L28" s="48">
        <v>0</v>
      </c>
      <c r="M28" s="48">
        <v>0</v>
      </c>
      <c r="N28" s="53">
        <v>0</v>
      </c>
      <c r="O28" s="53">
        <v>0</v>
      </c>
      <c r="P28" s="53">
        <v>0</v>
      </c>
      <c r="Q28" s="53">
        <v>0</v>
      </c>
      <c r="R28" s="53">
        <v>0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</row>
    <row r="29" spans="2:25" ht="18.75" x14ac:dyDescent="0.25">
      <c r="B29" s="46" t="s">
        <v>62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1">
        <v>0</v>
      </c>
      <c r="K29" s="51">
        <v>0</v>
      </c>
      <c r="L29" s="51">
        <v>0</v>
      </c>
      <c r="M29" s="51">
        <v>0</v>
      </c>
      <c r="N29" s="52">
        <v>0</v>
      </c>
      <c r="O29" s="52">
        <v>0</v>
      </c>
      <c r="P29" s="52">
        <v>0</v>
      </c>
      <c r="Q29" s="52">
        <v>0</v>
      </c>
      <c r="R29" s="52">
        <v>0</v>
      </c>
      <c r="S29" s="52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2">
        <v>0</v>
      </c>
    </row>
    <row r="30" spans="2:25" ht="18.75" x14ac:dyDescent="0.25">
      <c r="B30" s="47" t="s">
        <v>65</v>
      </c>
      <c r="C30" s="49">
        <v>0</v>
      </c>
      <c r="D30" s="49">
        <v>0</v>
      </c>
      <c r="E30" s="49">
        <v>0</v>
      </c>
      <c r="F30" s="49">
        <v>0</v>
      </c>
      <c r="G30" s="49">
        <v>0</v>
      </c>
      <c r="H30" s="49">
        <v>16</v>
      </c>
      <c r="I30" s="49">
        <v>0</v>
      </c>
      <c r="J30" s="48">
        <v>0</v>
      </c>
      <c r="K30" s="48">
        <v>0</v>
      </c>
      <c r="L30" s="48">
        <v>0</v>
      </c>
      <c r="M30" s="48">
        <v>0</v>
      </c>
      <c r="N30" s="53">
        <v>0</v>
      </c>
      <c r="O30" s="53">
        <v>23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24</v>
      </c>
      <c r="W30" s="53">
        <v>0</v>
      </c>
      <c r="X30" s="53">
        <v>0</v>
      </c>
      <c r="Y30" s="53">
        <v>0</v>
      </c>
    </row>
    <row r="31" spans="2:25" ht="18.75" x14ac:dyDescent="0.25">
      <c r="B31" s="46" t="s">
        <v>70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1">
        <v>0</v>
      </c>
      <c r="K31" s="51">
        <v>0</v>
      </c>
      <c r="L31" s="51">
        <v>0</v>
      </c>
      <c r="M31" s="51">
        <v>0</v>
      </c>
      <c r="N31" s="52">
        <v>23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</row>
    <row r="32" spans="2:25" ht="18.75" x14ac:dyDescent="0.25">
      <c r="B32" s="47" t="s">
        <v>72</v>
      </c>
      <c r="C32" s="49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8">
        <v>0</v>
      </c>
      <c r="K32" s="48">
        <v>0</v>
      </c>
      <c r="L32" s="48">
        <v>0</v>
      </c>
      <c r="M32" s="48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</row>
    <row r="33" spans="2:25" ht="18.75" x14ac:dyDescent="0.25">
      <c r="B33" s="46" t="s">
        <v>73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1">
        <v>0</v>
      </c>
      <c r="K33" s="51">
        <v>0</v>
      </c>
      <c r="L33" s="51">
        <v>0</v>
      </c>
      <c r="M33" s="51">
        <v>0</v>
      </c>
      <c r="N33" s="52">
        <v>0</v>
      </c>
      <c r="O33" s="52">
        <v>0</v>
      </c>
      <c r="P33" s="52">
        <v>0</v>
      </c>
      <c r="Q33" s="52">
        <v>0</v>
      </c>
      <c r="R33" s="52">
        <v>0</v>
      </c>
      <c r="S33" s="52">
        <v>0</v>
      </c>
      <c r="T33" s="52">
        <v>0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</row>
    <row r="34" spans="2:25" ht="18.75" x14ac:dyDescent="0.25">
      <c r="B34" s="47" t="s">
        <v>66</v>
      </c>
      <c r="C34" s="49">
        <v>20</v>
      </c>
      <c r="D34" s="49">
        <v>0</v>
      </c>
      <c r="E34" s="49">
        <v>0</v>
      </c>
      <c r="F34" s="49">
        <v>16</v>
      </c>
      <c r="G34" s="49">
        <v>0</v>
      </c>
      <c r="H34" s="49">
        <v>0</v>
      </c>
      <c r="I34" s="49">
        <v>0</v>
      </c>
      <c r="J34" s="48">
        <v>0</v>
      </c>
      <c r="K34" s="48">
        <v>0</v>
      </c>
      <c r="L34" s="48">
        <v>0</v>
      </c>
      <c r="M34" s="48">
        <v>16</v>
      </c>
      <c r="N34" s="53">
        <v>0</v>
      </c>
      <c r="O34" s="53">
        <v>0</v>
      </c>
      <c r="P34" s="53">
        <v>0</v>
      </c>
      <c r="Q34" s="53">
        <v>24</v>
      </c>
      <c r="R34" s="53">
        <v>0</v>
      </c>
      <c r="S34" s="53">
        <v>0</v>
      </c>
      <c r="T34" s="53">
        <v>17</v>
      </c>
      <c r="U34" s="53">
        <v>0</v>
      </c>
      <c r="V34" s="53">
        <v>0</v>
      </c>
      <c r="W34" s="53">
        <v>0</v>
      </c>
      <c r="X34" s="53">
        <v>24</v>
      </c>
      <c r="Y34" s="53">
        <v>0</v>
      </c>
    </row>
  </sheetData>
  <mergeCells count="1">
    <mergeCell ref="B12:Y13"/>
  </mergeCells>
  <hyperlinks>
    <hyperlink ref="K2" r:id="rId1" xr:uid="{8E52F4E9-16C3-4795-8005-CA57539C9010}"/>
    <hyperlink ref="K3" r:id="rId2" xr:uid="{C56B4BE1-150D-4507-BC30-223B68FDF8D1}"/>
  </hyperlinks>
  <pageMargins left="0.511811024" right="0.511811024" top="0.78740157499999996" bottom="0.78740157499999996" header="0.31496062000000002" footer="0.31496062000000002"/>
  <pageSetup paperSize="9" scale="45" orientation="landscape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3D1018-E578-4F33-BD5B-A0C2AE899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unidades</vt:lpstr>
      <vt:lpstr>especialidades</vt:lpstr>
      <vt:lpstr>ocupação</vt:lpstr>
      <vt:lpstr>Grade de horários</vt:lpstr>
      <vt:lpstr>Ocupação DW</vt:lpstr>
      <vt:lpstr>Vagas</vt:lpstr>
      <vt:lpstr>Cadastro</vt:lpstr>
      <vt:lpstr>Controle de vagas</vt:lpstr>
      <vt:lpstr>Conferência provisória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Operacoes 01</dc:creator>
  <cp:lastModifiedBy>Desenvolvimento 01</cp:lastModifiedBy>
  <cp:lastPrinted>2022-03-02T14:35:21Z</cp:lastPrinted>
  <dcterms:created xsi:type="dcterms:W3CDTF">2015-06-05T18:19:34Z</dcterms:created>
  <dcterms:modified xsi:type="dcterms:W3CDTF">2022-06-30T15:20:35Z</dcterms:modified>
</cp:coreProperties>
</file>